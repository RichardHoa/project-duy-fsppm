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fuveduvn-my.sharepoint.com/personal/mpp26_duypham_student_fulbright_edu_vn/Documents/FSMPP/18. Thesis/Final Data/"/>
    </mc:Choice>
  </mc:AlternateContent>
  <xr:revisionPtr revIDLastSave="2282" documentId="13_ncr:1_{8DA829A7-D392-410C-B92C-4D9E531A3674}" xr6:coauthVersionLast="47" xr6:coauthVersionMax="47" xr10:uidLastSave="{C4514555-6A37-4480-8F83-96DAC58A042B}"/>
  <bookViews>
    <workbookView xWindow="-98" yWindow="-98" windowWidth="21795" windowHeight="13875" activeTab="4" xr2:uid="{00000000-000D-0000-FFFF-FFFF00000000}"/>
  </bookViews>
  <sheets>
    <sheet name="step3_validation" sheetId="18" r:id="rId1"/>
    <sheet name="survey_responses" sheetId="16" r:id="rId2"/>
    <sheet name="step3_combined_data" sheetId="12" r:id="rId3"/>
    <sheet name="AIx" sheetId="21" r:id="rId4"/>
    <sheet name="Insights" sheetId="22" r:id="rId5"/>
    <sheet name="EMD" sheetId="19" r:id="rId6"/>
    <sheet name="SUMMARY_REPORT" sheetId="10" r:id="rId7"/>
    <sheet name="CM_REPORT" sheetId="11" r:id="rId8"/>
    <sheet name="CM_ENF1" sheetId="1" r:id="rId9"/>
    <sheet name="CM_ENF2" sheetId="2" r:id="rId10"/>
    <sheet name="CM_FAC1" sheetId="3" r:id="rId11"/>
    <sheet name="CM_FAC2" sheetId="4" r:id="rId12"/>
    <sheet name="CM_TRU1" sheetId="5" r:id="rId13"/>
    <sheet name="CM_TRU2" sheetId="6" r:id="rId14"/>
    <sheet name="CM_TRU3" sheetId="7" r:id="rId15"/>
    <sheet name="CM_TRU4" sheetId="8" r:id="rId16"/>
    <sheet name="CM_OUT1" sheetId="9" r:id="rId17"/>
  </sheets>
  <definedNames>
    <definedName name="ExternalData_1" localSheetId="1" hidden="1">survey_responses!$A$1:$Q$404</definedName>
    <definedName name="ExternalData_3" localSheetId="0" hidden="1">step3_validation!$A$1:$AS$404</definedName>
  </definedNames>
  <calcPr calcId="191029"/>
  <pivotCaches>
    <pivotCache cacheId="25" r:id="rId1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1" i="22" l="1"/>
  <c r="C71" i="22"/>
  <c r="B71" i="22"/>
  <c r="D70" i="22"/>
  <c r="C70" i="22"/>
  <c r="B70" i="22"/>
  <c r="D69" i="22"/>
  <c r="C69" i="22"/>
  <c r="B69" i="22"/>
  <c r="D68" i="22"/>
  <c r="C68" i="22"/>
  <c r="B68" i="22"/>
  <c r="D67" i="22"/>
  <c r="C67" i="22"/>
  <c r="B67" i="22"/>
  <c r="D66" i="22"/>
  <c r="C66" i="22"/>
  <c r="B66" i="22"/>
  <c r="D65" i="22"/>
  <c r="C65" i="22"/>
  <c r="B65" i="22"/>
  <c r="E65" i="22" s="1"/>
  <c r="D64" i="22"/>
  <c r="C64" i="22"/>
  <c r="B64" i="22"/>
  <c r="D61" i="22"/>
  <c r="C61" i="22"/>
  <c r="B61" i="22"/>
  <c r="D60" i="22"/>
  <c r="C60" i="22"/>
  <c r="B60" i="22"/>
  <c r="D59" i="22"/>
  <c r="C59" i="22"/>
  <c r="B59" i="22"/>
  <c r="D58" i="22"/>
  <c r="C58" i="22"/>
  <c r="B58" i="22"/>
  <c r="D57" i="22"/>
  <c r="C57" i="22"/>
  <c r="B57" i="22"/>
  <c r="D56" i="22"/>
  <c r="C56" i="22"/>
  <c r="B56" i="22"/>
  <c r="D55" i="22"/>
  <c r="C55" i="22"/>
  <c r="B55" i="22"/>
  <c r="D54" i="22"/>
  <c r="C54" i="22"/>
  <c r="B54" i="22"/>
  <c r="D79" i="22"/>
  <c r="C79" i="22"/>
  <c r="B79" i="22"/>
  <c r="D78" i="22"/>
  <c r="C78" i="22"/>
  <c r="B78" i="22"/>
  <c r="D77" i="22"/>
  <c r="C77" i="22"/>
  <c r="B77" i="22"/>
  <c r="D76" i="22"/>
  <c r="C76" i="22"/>
  <c r="E76" i="22" s="1"/>
  <c r="B76" i="22"/>
  <c r="D75" i="22"/>
  <c r="C75" i="22"/>
  <c r="B75" i="22"/>
  <c r="D74" i="22"/>
  <c r="C74" i="22"/>
  <c r="B74" i="22"/>
  <c r="E74" i="22" s="1"/>
  <c r="E75" i="22"/>
  <c r="D51" i="22"/>
  <c r="E51" i="22" s="1"/>
  <c r="I51" i="22" s="1"/>
  <c r="C51" i="22"/>
  <c r="B51" i="22"/>
  <c r="D50" i="22"/>
  <c r="C50" i="22"/>
  <c r="B50" i="22"/>
  <c r="D49" i="22"/>
  <c r="C49" i="22"/>
  <c r="B49" i="22"/>
  <c r="D48" i="22"/>
  <c r="C48" i="22"/>
  <c r="B48" i="22"/>
  <c r="D47" i="22"/>
  <c r="C47" i="22"/>
  <c r="B47" i="22"/>
  <c r="D46" i="22"/>
  <c r="C46" i="22"/>
  <c r="B46" i="22"/>
  <c r="D43" i="22"/>
  <c r="C43" i="22"/>
  <c r="B43" i="22"/>
  <c r="D42" i="22"/>
  <c r="C42" i="22"/>
  <c r="B42" i="22"/>
  <c r="D41" i="22"/>
  <c r="C41" i="22"/>
  <c r="B41" i="22"/>
  <c r="D40" i="22"/>
  <c r="C40" i="22"/>
  <c r="B40" i="22"/>
  <c r="E40" i="22" s="1"/>
  <c r="I40" i="22" s="1"/>
  <c r="D39" i="22"/>
  <c r="C39" i="22"/>
  <c r="B39" i="22"/>
  <c r="D38" i="22"/>
  <c r="C38" i="22"/>
  <c r="B38" i="22"/>
  <c r="E38" i="22" s="1"/>
  <c r="E39" i="22"/>
  <c r="H39" i="22" s="1"/>
  <c r="D35" i="22"/>
  <c r="C35" i="22"/>
  <c r="B35" i="22"/>
  <c r="D34" i="22"/>
  <c r="C34" i="22"/>
  <c r="B34" i="22"/>
  <c r="D33" i="22"/>
  <c r="C33" i="22"/>
  <c r="B33" i="22"/>
  <c r="D32" i="22"/>
  <c r="C32" i="22"/>
  <c r="B32" i="22"/>
  <c r="D31" i="22"/>
  <c r="C31" i="22"/>
  <c r="B31" i="22"/>
  <c r="D30" i="22"/>
  <c r="C30" i="22"/>
  <c r="B30" i="22"/>
  <c r="E30" i="22" s="1"/>
  <c r="E35" i="22"/>
  <c r="D27" i="22"/>
  <c r="C27" i="22"/>
  <c r="B27" i="22"/>
  <c r="D26" i="22"/>
  <c r="C26" i="22"/>
  <c r="B26" i="22"/>
  <c r="D25" i="22"/>
  <c r="E25" i="22" s="1"/>
  <c r="C25" i="22"/>
  <c r="B25" i="22"/>
  <c r="D24" i="22"/>
  <c r="C24" i="22"/>
  <c r="B24" i="22"/>
  <c r="D23" i="22"/>
  <c r="C23" i="22"/>
  <c r="B23" i="22"/>
  <c r="D22" i="22"/>
  <c r="C22" i="22"/>
  <c r="B22" i="22"/>
  <c r="E26" i="22"/>
  <c r="I26" i="22" s="1"/>
  <c r="D19" i="22"/>
  <c r="C19" i="22"/>
  <c r="B19" i="22"/>
  <c r="D18" i="22"/>
  <c r="C18" i="22"/>
  <c r="B18" i="22"/>
  <c r="D17" i="22"/>
  <c r="C17" i="22"/>
  <c r="B17" i="22"/>
  <c r="D16" i="22"/>
  <c r="C16" i="22"/>
  <c r="B16" i="22"/>
  <c r="D15" i="22"/>
  <c r="C15" i="22"/>
  <c r="B15" i="22"/>
  <c r="D14" i="22"/>
  <c r="C14" i="22"/>
  <c r="B14" i="22"/>
  <c r="D11" i="22"/>
  <c r="C11" i="22"/>
  <c r="B11" i="22"/>
  <c r="D10" i="22"/>
  <c r="C10" i="22"/>
  <c r="B10" i="22"/>
  <c r="D7" i="22"/>
  <c r="C7" i="22"/>
  <c r="B7" i="22"/>
  <c r="D6" i="22"/>
  <c r="C6" i="22"/>
  <c r="B6" i="22"/>
  <c r="D3" i="22"/>
  <c r="C3" i="22"/>
  <c r="B3" i="22"/>
  <c r="D2" i="22"/>
  <c r="C2" i="22"/>
  <c r="B2" i="22"/>
  <c r="E50" i="22"/>
  <c r="H50" i="22" s="1"/>
  <c r="BD3" i="21"/>
  <c r="BD4" i="21"/>
  <c r="BD5" i="21"/>
  <c r="BD6" i="21"/>
  <c r="BD7" i="21"/>
  <c r="BD8" i="21"/>
  <c r="BD9" i="21"/>
  <c r="BD10" i="21"/>
  <c r="BD11" i="21"/>
  <c r="BD12" i="21"/>
  <c r="BD13" i="21"/>
  <c r="BD14" i="21"/>
  <c r="BD15" i="21"/>
  <c r="BD16" i="21"/>
  <c r="BD17" i="21"/>
  <c r="BD18" i="21"/>
  <c r="BD19" i="21"/>
  <c r="BD20" i="21"/>
  <c r="BD21" i="21"/>
  <c r="BD22" i="21"/>
  <c r="BD23" i="21"/>
  <c r="BD24" i="21"/>
  <c r="BD25" i="21"/>
  <c r="BD26" i="21"/>
  <c r="BD27" i="21"/>
  <c r="BD28" i="21"/>
  <c r="BD29" i="21"/>
  <c r="BD30" i="21"/>
  <c r="BD31" i="21"/>
  <c r="BD32" i="21"/>
  <c r="BD33" i="21"/>
  <c r="BD34" i="21"/>
  <c r="BD35" i="21"/>
  <c r="BD36" i="21"/>
  <c r="BD37" i="21"/>
  <c r="BD38" i="21"/>
  <c r="BD39" i="21"/>
  <c r="BD40" i="21"/>
  <c r="BD41" i="21"/>
  <c r="BD42" i="21"/>
  <c r="BD43" i="21"/>
  <c r="BD44" i="21"/>
  <c r="BD45" i="21"/>
  <c r="BD46" i="21"/>
  <c r="BD47" i="21"/>
  <c r="BD48" i="21"/>
  <c r="BD49" i="21"/>
  <c r="BD50" i="21"/>
  <c r="BD51" i="21"/>
  <c r="BD52" i="21"/>
  <c r="BD53" i="21"/>
  <c r="BD54" i="21"/>
  <c r="BD55" i="21"/>
  <c r="BD56" i="21"/>
  <c r="BD57" i="21"/>
  <c r="BD58" i="21"/>
  <c r="BD59" i="21"/>
  <c r="BD60" i="21"/>
  <c r="BD61" i="21"/>
  <c r="BD62" i="21"/>
  <c r="BD63" i="21"/>
  <c r="BD64" i="21"/>
  <c r="BD65" i="21"/>
  <c r="BD66" i="21"/>
  <c r="BD67" i="21"/>
  <c r="BD68" i="21"/>
  <c r="BD69" i="21"/>
  <c r="BD70" i="21"/>
  <c r="BD71" i="21"/>
  <c r="BD72" i="21"/>
  <c r="BD73" i="21"/>
  <c r="BD74" i="21"/>
  <c r="BD75" i="21"/>
  <c r="BD76" i="21"/>
  <c r="BD77" i="21"/>
  <c r="BD78" i="21"/>
  <c r="BD79" i="21"/>
  <c r="BD80" i="21"/>
  <c r="BD81" i="21"/>
  <c r="BD82" i="21"/>
  <c r="BD83" i="21"/>
  <c r="BD84" i="21"/>
  <c r="BD85" i="21"/>
  <c r="BD86" i="21"/>
  <c r="BD87" i="21"/>
  <c r="BD88" i="21"/>
  <c r="BD89" i="21"/>
  <c r="BD90" i="21"/>
  <c r="BD91" i="21"/>
  <c r="BD92" i="21"/>
  <c r="BD93" i="21"/>
  <c r="BD94" i="21"/>
  <c r="BD95" i="21"/>
  <c r="BD96" i="21"/>
  <c r="BD97" i="21"/>
  <c r="BD98" i="21"/>
  <c r="BD99" i="21"/>
  <c r="BD100" i="21"/>
  <c r="BD101" i="21"/>
  <c r="BD102" i="21"/>
  <c r="BD103" i="21"/>
  <c r="BD104" i="21"/>
  <c r="BD105" i="21"/>
  <c r="BD106" i="21"/>
  <c r="BD107" i="21"/>
  <c r="BD108" i="21"/>
  <c r="BD109" i="21"/>
  <c r="BD110" i="21"/>
  <c r="BD111" i="21"/>
  <c r="BD112" i="21"/>
  <c r="BD113" i="21"/>
  <c r="BD114" i="21"/>
  <c r="BD115" i="21"/>
  <c r="BD116" i="21"/>
  <c r="BD117" i="21"/>
  <c r="BD118" i="21"/>
  <c r="BD119" i="21"/>
  <c r="BD120" i="21"/>
  <c r="BD121" i="21"/>
  <c r="BD122" i="21"/>
  <c r="BD123" i="21"/>
  <c r="BD124" i="21"/>
  <c r="BD125" i="21"/>
  <c r="BD126" i="21"/>
  <c r="BD127" i="21"/>
  <c r="BD128" i="21"/>
  <c r="BD129" i="21"/>
  <c r="BD130" i="21"/>
  <c r="BD131" i="21"/>
  <c r="BD132" i="21"/>
  <c r="BD133" i="21"/>
  <c r="BD134" i="21"/>
  <c r="BD135" i="21"/>
  <c r="BD136" i="21"/>
  <c r="BD137" i="21"/>
  <c r="BD138" i="21"/>
  <c r="BD139" i="21"/>
  <c r="BD140" i="21"/>
  <c r="BD141" i="21"/>
  <c r="BD142" i="21"/>
  <c r="BD143" i="21"/>
  <c r="BD144" i="21"/>
  <c r="BD145" i="21"/>
  <c r="BD146" i="21"/>
  <c r="BD147" i="21"/>
  <c r="BD148" i="21"/>
  <c r="BD149" i="21"/>
  <c r="BD150" i="21"/>
  <c r="BD151" i="21"/>
  <c r="BD152" i="21"/>
  <c r="BD153" i="21"/>
  <c r="BD154" i="21"/>
  <c r="BD155" i="21"/>
  <c r="BD156" i="21"/>
  <c r="BD157" i="21"/>
  <c r="BD158" i="21"/>
  <c r="BD159" i="21"/>
  <c r="BD160" i="21"/>
  <c r="BD161" i="21"/>
  <c r="BD162" i="21"/>
  <c r="BD163" i="21"/>
  <c r="BD164" i="21"/>
  <c r="BD165" i="21"/>
  <c r="BD166" i="21"/>
  <c r="BD167" i="21"/>
  <c r="BD168" i="21"/>
  <c r="BD169" i="21"/>
  <c r="BD170" i="21"/>
  <c r="BD171" i="21"/>
  <c r="BD172" i="21"/>
  <c r="BD173" i="21"/>
  <c r="BD174" i="21"/>
  <c r="BD175" i="21"/>
  <c r="BD176" i="21"/>
  <c r="BD177" i="21"/>
  <c r="BD178" i="21"/>
  <c r="BD179" i="21"/>
  <c r="BD180" i="21"/>
  <c r="BD181" i="21"/>
  <c r="BD182" i="21"/>
  <c r="BD183" i="21"/>
  <c r="BD184" i="21"/>
  <c r="BD185" i="21"/>
  <c r="BD186" i="21"/>
  <c r="BD187" i="21"/>
  <c r="BD188" i="21"/>
  <c r="BD189" i="21"/>
  <c r="BD190" i="21"/>
  <c r="BD191" i="21"/>
  <c r="BD192" i="21"/>
  <c r="BD193" i="21"/>
  <c r="BD194" i="21"/>
  <c r="BD195" i="21"/>
  <c r="BD196" i="21"/>
  <c r="BD197" i="21"/>
  <c r="BD198" i="21"/>
  <c r="BD199" i="21"/>
  <c r="BD200" i="21"/>
  <c r="BD201" i="21"/>
  <c r="BD202" i="21"/>
  <c r="BD203" i="21"/>
  <c r="BD204" i="21"/>
  <c r="BD205" i="21"/>
  <c r="BD206" i="21"/>
  <c r="BD207" i="21"/>
  <c r="BD208" i="21"/>
  <c r="BD209" i="21"/>
  <c r="BD210" i="21"/>
  <c r="BD211" i="21"/>
  <c r="BD212" i="21"/>
  <c r="BD213" i="21"/>
  <c r="BD214" i="21"/>
  <c r="BD215" i="21"/>
  <c r="BD216" i="21"/>
  <c r="BD217" i="21"/>
  <c r="BD218" i="21"/>
  <c r="BD219" i="21"/>
  <c r="BD220" i="21"/>
  <c r="BD221" i="21"/>
  <c r="BD222" i="21"/>
  <c r="BD223" i="21"/>
  <c r="BD224" i="21"/>
  <c r="BD225" i="21"/>
  <c r="BD226" i="21"/>
  <c r="BD227" i="21"/>
  <c r="BD228" i="21"/>
  <c r="BD229" i="21"/>
  <c r="BD230" i="21"/>
  <c r="BD231" i="21"/>
  <c r="BD232" i="21"/>
  <c r="BD233" i="21"/>
  <c r="BD234" i="21"/>
  <c r="BD235" i="21"/>
  <c r="BD236" i="21"/>
  <c r="BD237" i="21"/>
  <c r="BD238" i="21"/>
  <c r="BD239" i="21"/>
  <c r="BD240" i="21"/>
  <c r="BD241" i="21"/>
  <c r="BD242" i="21"/>
  <c r="BD243" i="21"/>
  <c r="BD244" i="21"/>
  <c r="BD245" i="21"/>
  <c r="BD246" i="21"/>
  <c r="BD247" i="21"/>
  <c r="BD248" i="21"/>
  <c r="BD249" i="21"/>
  <c r="BD250" i="21"/>
  <c r="BD251" i="21"/>
  <c r="BD252" i="21"/>
  <c r="BD253" i="21"/>
  <c r="BD254" i="21"/>
  <c r="BD255" i="21"/>
  <c r="BD256" i="21"/>
  <c r="BD257" i="21"/>
  <c r="BD258" i="21"/>
  <c r="BD259" i="21"/>
  <c r="BD260" i="21"/>
  <c r="BD261" i="21"/>
  <c r="BD262" i="21"/>
  <c r="BD263" i="21"/>
  <c r="BD264" i="21"/>
  <c r="BD265" i="21"/>
  <c r="BD266" i="21"/>
  <c r="BD267" i="21"/>
  <c r="BD268" i="21"/>
  <c r="BD269" i="21"/>
  <c r="BD270" i="21"/>
  <c r="BD271" i="21"/>
  <c r="BD272" i="21"/>
  <c r="BD273" i="21"/>
  <c r="BD274" i="21"/>
  <c r="BD275" i="21"/>
  <c r="BD276" i="21"/>
  <c r="BD277" i="21"/>
  <c r="BD278" i="21"/>
  <c r="BD279" i="21"/>
  <c r="BD280" i="21"/>
  <c r="BD281" i="21"/>
  <c r="BD282" i="21"/>
  <c r="BD283" i="21"/>
  <c r="BD284" i="21"/>
  <c r="BD285" i="21"/>
  <c r="BD286" i="21"/>
  <c r="BD287" i="21"/>
  <c r="BD288" i="21"/>
  <c r="BD289" i="21"/>
  <c r="BD290" i="21"/>
  <c r="BD291" i="21"/>
  <c r="BD292" i="21"/>
  <c r="BD293" i="21"/>
  <c r="BD294" i="21"/>
  <c r="BD295" i="21"/>
  <c r="BD296" i="21"/>
  <c r="BD297" i="21"/>
  <c r="BD298" i="21"/>
  <c r="BD299" i="21"/>
  <c r="BD300" i="21"/>
  <c r="BD301" i="21"/>
  <c r="BD302" i="21"/>
  <c r="BD303" i="21"/>
  <c r="BD304" i="21"/>
  <c r="BD305" i="21"/>
  <c r="BD306" i="21"/>
  <c r="BD307" i="21"/>
  <c r="BD308" i="21"/>
  <c r="BD309" i="21"/>
  <c r="BD310" i="21"/>
  <c r="BD311" i="21"/>
  <c r="BD312" i="21"/>
  <c r="BD313" i="21"/>
  <c r="BD314" i="21"/>
  <c r="BD315" i="21"/>
  <c r="BD316" i="21"/>
  <c r="BD317" i="21"/>
  <c r="BD318" i="21"/>
  <c r="BD319" i="21"/>
  <c r="BD320" i="21"/>
  <c r="BD321" i="21"/>
  <c r="BD322" i="21"/>
  <c r="BD323" i="21"/>
  <c r="BD324" i="21"/>
  <c r="BD325" i="21"/>
  <c r="BD326" i="21"/>
  <c r="BD327" i="21"/>
  <c r="BD328" i="21"/>
  <c r="BD329" i="21"/>
  <c r="BD330" i="21"/>
  <c r="BD331" i="21"/>
  <c r="BD332" i="21"/>
  <c r="BD333" i="21"/>
  <c r="BD334" i="21"/>
  <c r="BD335" i="21"/>
  <c r="BD336" i="21"/>
  <c r="BD337" i="21"/>
  <c r="BD338" i="21"/>
  <c r="BD339" i="21"/>
  <c r="BD340" i="21"/>
  <c r="BD341" i="21"/>
  <c r="BD342" i="21"/>
  <c r="BD343" i="21"/>
  <c r="BD344" i="21"/>
  <c r="BD345" i="21"/>
  <c r="BD346" i="21"/>
  <c r="BD347" i="21"/>
  <c r="BD348" i="21"/>
  <c r="BD349" i="21"/>
  <c r="BD350" i="21"/>
  <c r="BD351" i="21"/>
  <c r="BD352" i="21"/>
  <c r="BD353" i="21"/>
  <c r="BD354" i="21"/>
  <c r="BD355" i="21"/>
  <c r="BD356" i="21"/>
  <c r="BD357" i="21"/>
  <c r="BD358" i="21"/>
  <c r="BD359" i="21"/>
  <c r="BD360" i="21"/>
  <c r="BD361" i="21"/>
  <c r="BD362" i="21"/>
  <c r="BD363" i="21"/>
  <c r="BD364" i="21"/>
  <c r="BD365" i="21"/>
  <c r="BD366" i="21"/>
  <c r="BD367" i="21"/>
  <c r="BD368" i="21"/>
  <c r="BD369" i="21"/>
  <c r="BD370" i="21"/>
  <c r="BD371" i="21"/>
  <c r="BD372" i="21"/>
  <c r="BD373" i="21"/>
  <c r="BD374" i="21"/>
  <c r="BD375" i="21"/>
  <c r="BD376" i="21"/>
  <c r="BD377" i="21"/>
  <c r="BD378" i="21"/>
  <c r="BD379" i="21"/>
  <c r="BD380" i="21"/>
  <c r="BD381" i="21"/>
  <c r="BD382" i="21"/>
  <c r="BD383" i="21"/>
  <c r="BD384" i="21"/>
  <c r="BD385" i="21"/>
  <c r="BD386" i="21"/>
  <c r="BD387" i="21"/>
  <c r="BD388" i="21"/>
  <c r="BD389" i="21"/>
  <c r="BD390" i="21"/>
  <c r="BD391" i="21"/>
  <c r="BD392" i="21"/>
  <c r="BD393" i="21"/>
  <c r="BD394" i="21"/>
  <c r="BD395" i="21"/>
  <c r="BD396" i="21"/>
  <c r="BD397" i="21"/>
  <c r="BD398" i="21"/>
  <c r="BD399" i="21"/>
  <c r="BD400" i="21"/>
  <c r="BD401" i="21"/>
  <c r="BD402" i="21"/>
  <c r="BD403" i="21"/>
  <c r="BD404" i="21"/>
  <c r="BD2" i="21"/>
  <c r="BC3" i="21"/>
  <c r="BC4" i="21"/>
  <c r="BC5" i="21"/>
  <c r="BC6" i="21"/>
  <c r="BC7" i="21"/>
  <c r="BC8" i="21"/>
  <c r="BC9" i="21"/>
  <c r="BC10" i="21"/>
  <c r="BC11" i="21"/>
  <c r="BC12" i="21"/>
  <c r="BC13" i="21"/>
  <c r="BC14" i="21"/>
  <c r="BC15" i="21"/>
  <c r="BC16" i="21"/>
  <c r="BC17" i="21"/>
  <c r="BC18" i="21"/>
  <c r="BC19" i="21"/>
  <c r="BC20" i="21"/>
  <c r="BC21" i="21"/>
  <c r="BC22" i="21"/>
  <c r="BC23" i="21"/>
  <c r="BC24" i="21"/>
  <c r="BC25" i="21"/>
  <c r="BC26" i="21"/>
  <c r="BC27" i="21"/>
  <c r="BC28" i="21"/>
  <c r="BC29" i="21"/>
  <c r="BC30" i="21"/>
  <c r="BC31" i="21"/>
  <c r="BC32" i="21"/>
  <c r="BC33" i="21"/>
  <c r="BC34" i="21"/>
  <c r="BC35" i="21"/>
  <c r="BC36" i="21"/>
  <c r="BC37" i="21"/>
  <c r="BC38" i="21"/>
  <c r="BC39" i="21"/>
  <c r="BC40" i="21"/>
  <c r="BC41" i="21"/>
  <c r="BC42" i="21"/>
  <c r="BC43" i="21"/>
  <c r="BC44" i="21"/>
  <c r="BC45" i="21"/>
  <c r="BC46" i="21"/>
  <c r="BC47" i="21"/>
  <c r="BC48" i="21"/>
  <c r="BC49" i="21"/>
  <c r="BC50" i="21"/>
  <c r="BC51" i="21"/>
  <c r="BC52" i="21"/>
  <c r="BC53" i="21"/>
  <c r="BC54" i="21"/>
  <c r="BC55" i="21"/>
  <c r="BC56" i="21"/>
  <c r="BC57" i="21"/>
  <c r="BC58" i="21"/>
  <c r="BC59" i="21"/>
  <c r="BC60" i="21"/>
  <c r="BC61" i="21"/>
  <c r="BC62" i="21"/>
  <c r="BC63" i="21"/>
  <c r="BC64" i="21"/>
  <c r="BC65" i="21"/>
  <c r="BC66" i="21"/>
  <c r="BC67" i="21"/>
  <c r="BC68" i="21"/>
  <c r="BC69" i="21"/>
  <c r="BC70" i="21"/>
  <c r="BC71" i="21"/>
  <c r="BC72" i="21"/>
  <c r="BC73" i="21"/>
  <c r="BC74" i="21"/>
  <c r="BC75" i="21"/>
  <c r="BC76" i="21"/>
  <c r="BC77" i="21"/>
  <c r="BC78" i="21"/>
  <c r="BC79" i="21"/>
  <c r="BC80" i="21"/>
  <c r="BC81" i="21"/>
  <c r="BC82" i="21"/>
  <c r="BC83" i="21"/>
  <c r="BC84" i="21"/>
  <c r="BC85" i="21"/>
  <c r="BC86" i="21"/>
  <c r="BC87" i="21"/>
  <c r="BC88" i="21"/>
  <c r="BC89" i="21"/>
  <c r="BC90" i="21"/>
  <c r="BC91" i="21"/>
  <c r="BC92" i="21"/>
  <c r="BC93" i="21"/>
  <c r="BC94" i="21"/>
  <c r="BC95" i="21"/>
  <c r="BC96" i="21"/>
  <c r="BC97" i="21"/>
  <c r="BC98" i="21"/>
  <c r="BC99" i="21"/>
  <c r="BC100" i="21"/>
  <c r="BC101" i="21"/>
  <c r="BC102" i="21"/>
  <c r="BC103" i="21"/>
  <c r="BC104" i="21"/>
  <c r="BC105" i="21"/>
  <c r="BC106" i="21"/>
  <c r="BC107" i="21"/>
  <c r="BC108" i="21"/>
  <c r="BC109" i="21"/>
  <c r="BC110" i="21"/>
  <c r="BC111" i="21"/>
  <c r="BC112" i="21"/>
  <c r="BC113" i="21"/>
  <c r="BC114" i="21"/>
  <c r="BC115" i="21"/>
  <c r="BC116" i="21"/>
  <c r="BC117" i="21"/>
  <c r="BC118" i="21"/>
  <c r="BC119" i="21"/>
  <c r="BC120" i="21"/>
  <c r="BC121" i="21"/>
  <c r="BC122" i="21"/>
  <c r="BC123" i="21"/>
  <c r="BC124" i="21"/>
  <c r="BC125" i="21"/>
  <c r="BC126" i="21"/>
  <c r="BC127" i="21"/>
  <c r="BC128" i="21"/>
  <c r="BC129" i="21"/>
  <c r="BC130" i="21"/>
  <c r="BC131" i="21"/>
  <c r="BC132" i="21"/>
  <c r="BC133" i="21"/>
  <c r="BC134" i="21"/>
  <c r="BC135" i="21"/>
  <c r="BC136" i="21"/>
  <c r="BC137" i="21"/>
  <c r="BC138" i="21"/>
  <c r="BC139" i="21"/>
  <c r="BC140" i="21"/>
  <c r="BC141" i="21"/>
  <c r="BC142" i="21"/>
  <c r="BC143" i="21"/>
  <c r="BC144" i="21"/>
  <c r="BC145" i="21"/>
  <c r="BC146" i="21"/>
  <c r="BC147" i="21"/>
  <c r="BC148" i="21"/>
  <c r="BC149" i="21"/>
  <c r="BC150" i="21"/>
  <c r="BC151" i="21"/>
  <c r="BC152" i="21"/>
  <c r="BC153" i="21"/>
  <c r="BC154" i="21"/>
  <c r="BC155" i="21"/>
  <c r="BC156" i="21"/>
  <c r="BC157" i="21"/>
  <c r="BC158" i="21"/>
  <c r="BC159" i="21"/>
  <c r="BC160" i="21"/>
  <c r="BC161" i="21"/>
  <c r="BC162" i="21"/>
  <c r="BC163" i="21"/>
  <c r="BC164" i="21"/>
  <c r="BC165" i="21"/>
  <c r="BC166" i="21"/>
  <c r="BC167" i="21"/>
  <c r="BC168" i="21"/>
  <c r="BC169" i="21"/>
  <c r="BC170" i="21"/>
  <c r="BC171" i="21"/>
  <c r="BC172" i="21"/>
  <c r="BC173" i="21"/>
  <c r="BC174" i="21"/>
  <c r="BC175" i="21"/>
  <c r="BC176" i="21"/>
  <c r="BC177" i="21"/>
  <c r="BC178" i="21"/>
  <c r="BC179" i="21"/>
  <c r="BC180" i="21"/>
  <c r="BC181" i="21"/>
  <c r="BC182" i="21"/>
  <c r="BC183" i="21"/>
  <c r="BC184" i="21"/>
  <c r="BC185" i="21"/>
  <c r="BC186" i="21"/>
  <c r="BC187" i="21"/>
  <c r="BC188" i="21"/>
  <c r="BC189" i="21"/>
  <c r="BC190" i="21"/>
  <c r="BC191" i="21"/>
  <c r="BC192" i="21"/>
  <c r="BC193" i="21"/>
  <c r="BC194" i="21"/>
  <c r="BC195" i="21"/>
  <c r="BC196" i="21"/>
  <c r="BC197" i="21"/>
  <c r="BC198" i="21"/>
  <c r="BC199" i="21"/>
  <c r="BC200" i="21"/>
  <c r="BC201" i="21"/>
  <c r="BC202" i="21"/>
  <c r="BC203" i="21"/>
  <c r="BC204" i="21"/>
  <c r="BC205" i="21"/>
  <c r="BC206" i="21"/>
  <c r="BC207" i="21"/>
  <c r="BC208" i="21"/>
  <c r="BC209" i="21"/>
  <c r="BC210" i="21"/>
  <c r="BC211" i="21"/>
  <c r="BC212" i="21"/>
  <c r="BC213" i="21"/>
  <c r="BC214" i="21"/>
  <c r="BC215" i="21"/>
  <c r="BC216" i="21"/>
  <c r="BC217" i="21"/>
  <c r="BC218" i="21"/>
  <c r="BC219" i="21"/>
  <c r="BC220" i="21"/>
  <c r="BC221" i="21"/>
  <c r="BC222" i="21"/>
  <c r="BC223" i="21"/>
  <c r="BC224" i="21"/>
  <c r="BC225" i="21"/>
  <c r="BC226" i="21"/>
  <c r="BC227" i="21"/>
  <c r="BC228" i="21"/>
  <c r="BC229" i="21"/>
  <c r="BC230" i="21"/>
  <c r="BC231" i="21"/>
  <c r="BC232" i="21"/>
  <c r="BC233" i="21"/>
  <c r="BC234" i="21"/>
  <c r="BC235" i="21"/>
  <c r="BC236" i="21"/>
  <c r="BC237" i="21"/>
  <c r="BC238" i="21"/>
  <c r="BC239" i="21"/>
  <c r="BC240" i="21"/>
  <c r="BC241" i="21"/>
  <c r="BC242" i="21"/>
  <c r="BC243" i="21"/>
  <c r="BC244" i="21"/>
  <c r="BC245" i="21"/>
  <c r="BC246" i="21"/>
  <c r="BC247" i="21"/>
  <c r="BC248" i="21"/>
  <c r="BC249" i="21"/>
  <c r="BC250" i="21"/>
  <c r="BC251" i="21"/>
  <c r="BC252" i="21"/>
  <c r="BC253" i="21"/>
  <c r="BC254" i="21"/>
  <c r="BC255" i="21"/>
  <c r="BC256" i="21"/>
  <c r="BC257" i="21"/>
  <c r="BC258" i="21"/>
  <c r="BC259" i="21"/>
  <c r="BC260" i="21"/>
  <c r="BC261" i="21"/>
  <c r="BC262" i="21"/>
  <c r="BC263" i="21"/>
  <c r="BC264" i="21"/>
  <c r="BC265" i="21"/>
  <c r="BC266" i="21"/>
  <c r="BC267" i="21"/>
  <c r="BC268" i="21"/>
  <c r="BC269" i="21"/>
  <c r="BC270" i="21"/>
  <c r="BC271" i="21"/>
  <c r="BC272" i="21"/>
  <c r="BC273" i="21"/>
  <c r="BC274" i="21"/>
  <c r="BC275" i="21"/>
  <c r="BC276" i="21"/>
  <c r="BC277" i="21"/>
  <c r="BC278" i="21"/>
  <c r="BC279" i="21"/>
  <c r="BC280" i="21"/>
  <c r="BC281" i="21"/>
  <c r="BC282" i="21"/>
  <c r="BC283" i="21"/>
  <c r="BC284" i="21"/>
  <c r="BC285" i="21"/>
  <c r="BC286" i="21"/>
  <c r="BC287" i="21"/>
  <c r="BC288" i="21"/>
  <c r="BC289" i="21"/>
  <c r="BC290" i="21"/>
  <c r="BC291" i="21"/>
  <c r="BC292" i="21"/>
  <c r="BC293" i="21"/>
  <c r="BC294" i="21"/>
  <c r="BC295" i="21"/>
  <c r="BC296" i="21"/>
  <c r="BC297" i="21"/>
  <c r="BC298" i="21"/>
  <c r="BC299" i="21"/>
  <c r="BC300" i="21"/>
  <c r="BC301" i="21"/>
  <c r="BC302" i="21"/>
  <c r="BC303" i="21"/>
  <c r="BC304" i="21"/>
  <c r="BC305" i="21"/>
  <c r="BC306" i="21"/>
  <c r="BC307" i="21"/>
  <c r="BC308" i="21"/>
  <c r="BC309" i="21"/>
  <c r="BC310" i="21"/>
  <c r="BC311" i="21"/>
  <c r="BC312" i="21"/>
  <c r="BC313" i="21"/>
  <c r="BC314" i="21"/>
  <c r="BC315" i="21"/>
  <c r="BC316" i="21"/>
  <c r="BC317" i="21"/>
  <c r="BC318" i="21"/>
  <c r="BC319" i="21"/>
  <c r="BC320" i="21"/>
  <c r="BC321" i="21"/>
  <c r="BC322" i="21"/>
  <c r="BC323" i="21"/>
  <c r="BC324" i="21"/>
  <c r="BC325" i="21"/>
  <c r="BC326" i="21"/>
  <c r="BC327" i="21"/>
  <c r="BC328" i="21"/>
  <c r="BC329" i="21"/>
  <c r="BC330" i="21"/>
  <c r="BC331" i="21"/>
  <c r="BC332" i="21"/>
  <c r="BC333" i="21"/>
  <c r="BC334" i="21"/>
  <c r="BC335" i="21"/>
  <c r="BC336" i="21"/>
  <c r="BC337" i="21"/>
  <c r="BC338" i="21"/>
  <c r="BC339" i="21"/>
  <c r="BC340" i="21"/>
  <c r="BC341" i="21"/>
  <c r="BC342" i="21"/>
  <c r="BC343" i="21"/>
  <c r="BC344" i="21"/>
  <c r="BC345" i="21"/>
  <c r="BC346" i="21"/>
  <c r="BC347" i="21"/>
  <c r="BC348" i="21"/>
  <c r="BC349" i="21"/>
  <c r="BC350" i="21"/>
  <c r="BC351" i="21"/>
  <c r="BC352" i="21"/>
  <c r="BC353" i="21"/>
  <c r="BC354" i="21"/>
  <c r="BC355" i="21"/>
  <c r="BC356" i="21"/>
  <c r="BC357" i="21"/>
  <c r="BC358" i="21"/>
  <c r="BC359" i="21"/>
  <c r="BC360" i="21"/>
  <c r="BC361" i="21"/>
  <c r="BC362" i="21"/>
  <c r="BC363" i="21"/>
  <c r="BC364" i="21"/>
  <c r="BC365" i="21"/>
  <c r="BC366" i="21"/>
  <c r="BC367" i="21"/>
  <c r="BC368" i="21"/>
  <c r="BC369" i="21"/>
  <c r="BC370" i="21"/>
  <c r="BC371" i="21"/>
  <c r="BC372" i="21"/>
  <c r="BC373" i="21"/>
  <c r="BC374" i="21"/>
  <c r="BC375" i="21"/>
  <c r="BC376" i="21"/>
  <c r="BC377" i="21"/>
  <c r="BC378" i="21"/>
  <c r="BC379" i="21"/>
  <c r="BC380" i="21"/>
  <c r="BC381" i="21"/>
  <c r="BC382" i="21"/>
  <c r="BC383" i="21"/>
  <c r="BC384" i="21"/>
  <c r="BC385" i="21"/>
  <c r="BC386" i="21"/>
  <c r="BC387" i="21"/>
  <c r="BC388" i="21"/>
  <c r="BC389" i="21"/>
  <c r="BC390" i="21"/>
  <c r="BC391" i="21"/>
  <c r="BC392" i="21"/>
  <c r="BC393" i="21"/>
  <c r="BC394" i="21"/>
  <c r="BC395" i="21"/>
  <c r="BC396" i="21"/>
  <c r="BC397" i="21"/>
  <c r="BC398" i="21"/>
  <c r="BC399" i="21"/>
  <c r="BC400" i="21"/>
  <c r="BC401" i="21"/>
  <c r="BC402" i="21"/>
  <c r="BC403" i="21"/>
  <c r="BC404" i="21"/>
  <c r="BC2" i="21"/>
  <c r="E61" i="22" l="1"/>
  <c r="H61" i="22" s="1"/>
  <c r="E60" i="22"/>
  <c r="E55" i="22"/>
  <c r="E54" i="22"/>
  <c r="J54" i="22" s="1"/>
  <c r="H30" i="22"/>
  <c r="J30" i="22"/>
  <c r="I30" i="22"/>
  <c r="E15" i="22"/>
  <c r="I15" i="22" s="1"/>
  <c r="E14" i="22"/>
  <c r="H14" i="22" s="1"/>
  <c r="E11" i="22"/>
  <c r="H11" i="22" s="1"/>
  <c r="E7" i="22"/>
  <c r="I7" i="22" s="1"/>
  <c r="J7" i="22"/>
  <c r="J26" i="22"/>
  <c r="I35" i="22"/>
  <c r="J51" i="22"/>
  <c r="J35" i="22"/>
  <c r="E24" i="22"/>
  <c r="J24" i="22" s="1"/>
  <c r="E49" i="22"/>
  <c r="J49" i="22" s="1"/>
  <c r="E71" i="22"/>
  <c r="J71" i="22" s="1"/>
  <c r="H35" i="22"/>
  <c r="E10" i="22"/>
  <c r="H38" i="22"/>
  <c r="H60" i="22"/>
  <c r="H74" i="22"/>
  <c r="H7" i="22"/>
  <c r="I38" i="22"/>
  <c r="I60" i="22"/>
  <c r="J60" i="22"/>
  <c r="H25" i="22"/>
  <c r="J25" i="22"/>
  <c r="I39" i="22"/>
  <c r="H27" i="22"/>
  <c r="J39" i="22"/>
  <c r="H75" i="22"/>
  <c r="J75" i="22"/>
  <c r="I75" i="22"/>
  <c r="I76" i="22"/>
  <c r="J76" i="22"/>
  <c r="I25" i="22"/>
  <c r="J40" i="22"/>
  <c r="I50" i="22"/>
  <c r="H55" i="22"/>
  <c r="J55" i="22"/>
  <c r="I79" i="22"/>
  <c r="H79" i="22"/>
  <c r="J50" i="22"/>
  <c r="I55" i="22"/>
  <c r="I65" i="22"/>
  <c r="J65" i="22"/>
  <c r="H65" i="22"/>
  <c r="H26" i="22"/>
  <c r="H40" i="22"/>
  <c r="H51" i="22"/>
  <c r="E64" i="22"/>
  <c r="H76" i="22"/>
  <c r="E3" i="22"/>
  <c r="I3" i="22" s="1"/>
  <c r="E6" i="22"/>
  <c r="E5" i="22" s="1"/>
  <c r="E23" i="22"/>
  <c r="J23" i="22" s="1"/>
  <c r="E34" i="22"/>
  <c r="J34" i="22" s="1"/>
  <c r="E48" i="22"/>
  <c r="J48" i="22" s="1"/>
  <c r="E59" i="22"/>
  <c r="H59" i="22" s="1"/>
  <c r="E70" i="22"/>
  <c r="I70" i="22" s="1"/>
  <c r="E2" i="22"/>
  <c r="H2" i="22" s="1"/>
  <c r="E19" i="22"/>
  <c r="J19" i="22" s="1"/>
  <c r="E22" i="22"/>
  <c r="I22" i="22" s="1"/>
  <c r="E33" i="22"/>
  <c r="J33" i="22" s="1"/>
  <c r="E47" i="22"/>
  <c r="J47" i="22" s="1"/>
  <c r="E58" i="22"/>
  <c r="I58" i="22" s="1"/>
  <c r="E69" i="22"/>
  <c r="J69" i="22" s="1"/>
  <c r="I74" i="22"/>
  <c r="E18" i="22"/>
  <c r="J18" i="22" s="1"/>
  <c r="E32" i="22"/>
  <c r="H32" i="22" s="1"/>
  <c r="J38" i="22"/>
  <c r="E43" i="22"/>
  <c r="J43" i="22" s="1"/>
  <c r="E46" i="22"/>
  <c r="H46" i="22" s="1"/>
  <c r="E57" i="22"/>
  <c r="J57" i="22" s="1"/>
  <c r="E68" i="22"/>
  <c r="J68" i="22" s="1"/>
  <c r="J74" i="22"/>
  <c r="E79" i="22"/>
  <c r="J79" i="22" s="1"/>
  <c r="E17" i="22"/>
  <c r="J17" i="22" s="1"/>
  <c r="E31" i="22"/>
  <c r="H31" i="22" s="1"/>
  <c r="E42" i="22"/>
  <c r="J42" i="22" s="1"/>
  <c r="E56" i="22"/>
  <c r="E67" i="22"/>
  <c r="J67" i="22" s="1"/>
  <c r="E78" i="22"/>
  <c r="I78" i="22" s="1"/>
  <c r="E16" i="22"/>
  <c r="J16" i="22" s="1"/>
  <c r="E27" i="22"/>
  <c r="J27" i="22" s="1"/>
  <c r="E41" i="22"/>
  <c r="J41" i="22" s="1"/>
  <c r="E66" i="22"/>
  <c r="E77" i="22"/>
  <c r="J77" i="22" s="1"/>
  <c r="BH405" i="21"/>
  <c r="I71" i="22" l="1"/>
  <c r="H71" i="22"/>
  <c r="I61" i="22"/>
  <c r="J61" i="22"/>
  <c r="H54" i="22"/>
  <c r="I54" i="22"/>
  <c r="E53" i="22"/>
  <c r="I43" i="22"/>
  <c r="I41" i="22"/>
  <c r="H43" i="22"/>
  <c r="H22" i="22"/>
  <c r="H15" i="22"/>
  <c r="J15" i="22"/>
  <c r="H18" i="22"/>
  <c r="H17" i="22"/>
  <c r="I18" i="22"/>
  <c r="I14" i="22"/>
  <c r="J14" i="22"/>
  <c r="I11" i="22"/>
  <c r="E9" i="22"/>
  <c r="J11" i="22"/>
  <c r="J10" i="22"/>
  <c r="H6" i="22"/>
  <c r="H3" i="22"/>
  <c r="I49" i="22"/>
  <c r="I34" i="22"/>
  <c r="I27" i="22"/>
  <c r="H69" i="22"/>
  <c r="I23" i="22"/>
  <c r="J3" i="22"/>
  <c r="I24" i="22"/>
  <c r="H77" i="22"/>
  <c r="I19" i="22"/>
  <c r="I10" i="22"/>
  <c r="H10" i="22"/>
  <c r="I69" i="22"/>
  <c r="H48" i="22"/>
  <c r="H24" i="22"/>
  <c r="H49" i="22"/>
  <c r="E63" i="22"/>
  <c r="J64" i="22"/>
  <c r="H64" i="22"/>
  <c r="E13" i="22"/>
  <c r="H57" i="22"/>
  <c r="I59" i="22"/>
  <c r="I17" i="22"/>
  <c r="I77" i="22"/>
  <c r="E37" i="22"/>
  <c r="H34" i="22"/>
  <c r="E73" i="22"/>
  <c r="H16" i="22"/>
  <c r="H70" i="22"/>
  <c r="I67" i="22"/>
  <c r="H67" i="22"/>
  <c r="I6" i="22"/>
  <c r="J58" i="22"/>
  <c r="H47" i="22"/>
  <c r="H78" i="22"/>
  <c r="J70" i="22"/>
  <c r="J59" i="22"/>
  <c r="I56" i="22"/>
  <c r="J56" i="22"/>
  <c r="J66" i="22"/>
  <c r="I66" i="22"/>
  <c r="I31" i="22"/>
  <c r="E29" i="22"/>
  <c r="J31" i="22"/>
  <c r="E21" i="22"/>
  <c r="J22" i="22"/>
  <c r="H23" i="22"/>
  <c r="J78" i="22"/>
  <c r="H66" i="22"/>
  <c r="H56" i="22"/>
  <c r="I42" i="22"/>
  <c r="H68" i="22"/>
  <c r="J6" i="22"/>
  <c r="J46" i="22"/>
  <c r="I46" i="22"/>
  <c r="E45" i="22"/>
  <c r="H58" i="22"/>
  <c r="J32" i="22"/>
  <c r="I32" i="22"/>
  <c r="I48" i="22"/>
  <c r="I64" i="22"/>
  <c r="I47" i="22"/>
  <c r="H19" i="22"/>
  <c r="E1" i="22"/>
  <c r="J2" i="22"/>
  <c r="H41" i="22"/>
  <c r="I57" i="22"/>
  <c r="I2" i="22"/>
  <c r="I33" i="22"/>
  <c r="H42" i="22"/>
  <c r="H33" i="22"/>
  <c r="I16" i="22"/>
  <c r="I68" i="22"/>
  <c r="AY3" i="21"/>
  <c r="AY4" i="21"/>
  <c r="AZ4" i="21" s="1"/>
  <c r="AY5" i="21"/>
  <c r="AZ5" i="21" s="1"/>
  <c r="AY6" i="21"/>
  <c r="AZ6" i="21" s="1"/>
  <c r="AY7" i="21"/>
  <c r="AZ7" i="21" s="1"/>
  <c r="AY8" i="21"/>
  <c r="AZ8" i="21" s="1"/>
  <c r="AY9" i="21"/>
  <c r="AZ9" i="21" s="1"/>
  <c r="AY10" i="21"/>
  <c r="AZ10" i="21" s="1"/>
  <c r="AY11" i="21"/>
  <c r="AY12" i="21"/>
  <c r="AZ12" i="21" s="1"/>
  <c r="AY13" i="21"/>
  <c r="AZ13" i="21" s="1"/>
  <c r="AY14" i="21"/>
  <c r="AZ14" i="21" s="1"/>
  <c r="AY15" i="21"/>
  <c r="AZ15" i="21" s="1"/>
  <c r="AY16" i="21"/>
  <c r="AZ16" i="21" s="1"/>
  <c r="AY17" i="21"/>
  <c r="AZ17" i="21" s="1"/>
  <c r="AY18" i="21"/>
  <c r="AZ18" i="21" s="1"/>
  <c r="AY19" i="21"/>
  <c r="AZ19" i="21" s="1"/>
  <c r="AY20" i="21"/>
  <c r="AZ20" i="21" s="1"/>
  <c r="AY21" i="21"/>
  <c r="AZ21" i="21" s="1"/>
  <c r="AY22" i="21"/>
  <c r="AZ22" i="21" s="1"/>
  <c r="AY23" i="21"/>
  <c r="AZ23" i="21" s="1"/>
  <c r="AY24" i="21"/>
  <c r="AZ24" i="21" s="1"/>
  <c r="AY25" i="21"/>
  <c r="AZ25" i="21" s="1"/>
  <c r="AY26" i="21"/>
  <c r="AZ26" i="21" s="1"/>
  <c r="AY27" i="21"/>
  <c r="AY28" i="21"/>
  <c r="AY29" i="21"/>
  <c r="AZ29" i="21" s="1"/>
  <c r="AY30" i="21"/>
  <c r="AZ30" i="21" s="1"/>
  <c r="AY31" i="21"/>
  <c r="AZ31" i="21" s="1"/>
  <c r="AY32" i="21"/>
  <c r="AZ32" i="21" s="1"/>
  <c r="AY33" i="21"/>
  <c r="AZ33" i="21" s="1"/>
  <c r="AY34" i="21"/>
  <c r="AZ34" i="21" s="1"/>
  <c r="AY35" i="21"/>
  <c r="AY36" i="21"/>
  <c r="AZ36" i="21" s="1"/>
  <c r="AY37" i="21"/>
  <c r="AZ37" i="21" s="1"/>
  <c r="AY38" i="21"/>
  <c r="AZ38" i="21" s="1"/>
  <c r="AY39" i="21"/>
  <c r="AZ39" i="21" s="1"/>
  <c r="AY40" i="21"/>
  <c r="AZ40" i="21" s="1"/>
  <c r="AY41" i="21"/>
  <c r="AZ41" i="21" s="1"/>
  <c r="AY42" i="21"/>
  <c r="AZ42" i="21" s="1"/>
  <c r="AY43" i="21"/>
  <c r="AZ43" i="21" s="1"/>
  <c r="AY44" i="21"/>
  <c r="AZ44" i="21" s="1"/>
  <c r="AY45" i="21"/>
  <c r="AZ45" i="21" s="1"/>
  <c r="AY46" i="21"/>
  <c r="AZ46" i="21" s="1"/>
  <c r="AY47" i="21"/>
  <c r="AY48" i="21"/>
  <c r="AZ48" i="21" s="1"/>
  <c r="AY49" i="21"/>
  <c r="AZ49" i="21" s="1"/>
  <c r="AY50" i="21"/>
  <c r="AZ50" i="21" s="1"/>
  <c r="AY51" i="21"/>
  <c r="AZ51" i="21" s="1"/>
  <c r="AY52" i="21"/>
  <c r="AZ52" i="21" s="1"/>
  <c r="AY53" i="21"/>
  <c r="AZ53" i="21" s="1"/>
  <c r="AY54" i="21"/>
  <c r="AZ54" i="21" s="1"/>
  <c r="AY55" i="21"/>
  <c r="AZ55" i="21" s="1"/>
  <c r="AY56" i="21"/>
  <c r="AZ56" i="21" s="1"/>
  <c r="AY57" i="21"/>
  <c r="AZ57" i="21" s="1"/>
  <c r="AY58" i="21"/>
  <c r="AZ58" i="21" s="1"/>
  <c r="AY59" i="21"/>
  <c r="AZ59" i="21" s="1"/>
  <c r="AY60" i="21"/>
  <c r="AZ60" i="21" s="1"/>
  <c r="AY61" i="21"/>
  <c r="AZ61" i="21" s="1"/>
  <c r="AY62" i="21"/>
  <c r="AZ62" i="21" s="1"/>
  <c r="AY63" i="21"/>
  <c r="AZ63" i="21" s="1"/>
  <c r="AY64" i="21"/>
  <c r="AZ64" i="21" s="1"/>
  <c r="AY65" i="21"/>
  <c r="AZ65" i="21" s="1"/>
  <c r="AY66" i="21"/>
  <c r="AZ66" i="21" s="1"/>
  <c r="AY67" i="21"/>
  <c r="AZ67" i="21" s="1"/>
  <c r="AY68" i="21"/>
  <c r="AZ68" i="21" s="1"/>
  <c r="AY69" i="21"/>
  <c r="AZ69" i="21" s="1"/>
  <c r="AY70" i="21"/>
  <c r="AZ70" i="21" s="1"/>
  <c r="AY71" i="21"/>
  <c r="AZ71" i="21" s="1"/>
  <c r="AY72" i="21"/>
  <c r="AZ72" i="21" s="1"/>
  <c r="AY73" i="21"/>
  <c r="AZ73" i="21" s="1"/>
  <c r="AY74" i="21"/>
  <c r="AZ74" i="21" s="1"/>
  <c r="AY75" i="21"/>
  <c r="AZ75" i="21" s="1"/>
  <c r="AY76" i="21"/>
  <c r="AZ76" i="21" s="1"/>
  <c r="AY77" i="21"/>
  <c r="AZ77" i="21" s="1"/>
  <c r="AY78" i="21"/>
  <c r="AZ78" i="21" s="1"/>
  <c r="AY79" i="21"/>
  <c r="AY80" i="21"/>
  <c r="AZ80" i="21" s="1"/>
  <c r="AY81" i="21"/>
  <c r="AZ81" i="21" s="1"/>
  <c r="AY82" i="21"/>
  <c r="AZ82" i="21" s="1"/>
  <c r="AY83" i="21"/>
  <c r="AY84" i="21"/>
  <c r="AZ84" i="21" s="1"/>
  <c r="AY85" i="21"/>
  <c r="AZ85" i="21" s="1"/>
  <c r="AY86" i="21"/>
  <c r="AZ86" i="21" s="1"/>
  <c r="AY87" i="21"/>
  <c r="AZ87" i="21" s="1"/>
  <c r="AY88" i="21"/>
  <c r="AZ88" i="21" s="1"/>
  <c r="AY89" i="21"/>
  <c r="AZ89" i="21" s="1"/>
  <c r="AY90" i="21"/>
  <c r="AZ90" i="21" s="1"/>
  <c r="AY91" i="21"/>
  <c r="AY92" i="21"/>
  <c r="AZ92" i="21" s="1"/>
  <c r="AY93" i="21"/>
  <c r="AZ93" i="21" s="1"/>
  <c r="AY94" i="21"/>
  <c r="AZ94" i="21" s="1"/>
  <c r="AY95" i="21"/>
  <c r="AY96" i="21"/>
  <c r="AZ96" i="21" s="1"/>
  <c r="AY97" i="21"/>
  <c r="AZ97" i="21" s="1"/>
  <c r="AY98" i="21"/>
  <c r="AY99" i="21"/>
  <c r="AY100" i="21"/>
  <c r="AZ100" i="21" s="1"/>
  <c r="AY101" i="21"/>
  <c r="AZ101" i="21" s="1"/>
  <c r="AY102" i="21"/>
  <c r="AZ102" i="21" s="1"/>
  <c r="AY103" i="21"/>
  <c r="AZ103" i="21" s="1"/>
  <c r="AY104" i="21"/>
  <c r="AZ104" i="21" s="1"/>
  <c r="AY105" i="21"/>
  <c r="AZ105" i="21" s="1"/>
  <c r="AY106" i="21"/>
  <c r="AZ106" i="21" s="1"/>
  <c r="AY107" i="21"/>
  <c r="AZ107" i="21" s="1"/>
  <c r="AY108" i="21"/>
  <c r="AZ108" i="21" s="1"/>
  <c r="AY109" i="21"/>
  <c r="AZ109" i="21" s="1"/>
  <c r="AY110" i="21"/>
  <c r="AZ110" i="21" s="1"/>
  <c r="AY111" i="21"/>
  <c r="AZ111" i="21" s="1"/>
  <c r="AY112" i="21"/>
  <c r="AZ112" i="21" s="1"/>
  <c r="AY113" i="21"/>
  <c r="AZ113" i="21" s="1"/>
  <c r="AY114" i="21"/>
  <c r="AY115" i="21"/>
  <c r="AZ115" i="21" s="1"/>
  <c r="AY116" i="21"/>
  <c r="AZ116" i="21" s="1"/>
  <c r="AY117" i="21"/>
  <c r="AZ117" i="21" s="1"/>
  <c r="AY118" i="21"/>
  <c r="AZ118" i="21" s="1"/>
  <c r="AY119" i="21"/>
  <c r="AZ119" i="21" s="1"/>
  <c r="AY120" i="21"/>
  <c r="AZ120" i="21" s="1"/>
  <c r="AY121" i="21"/>
  <c r="AZ121" i="21" s="1"/>
  <c r="AY122" i="21"/>
  <c r="AY123" i="21"/>
  <c r="AZ123" i="21" s="1"/>
  <c r="AY124" i="21"/>
  <c r="AZ124" i="21" s="1"/>
  <c r="AY125" i="21"/>
  <c r="AZ125" i="21" s="1"/>
  <c r="AY126" i="21"/>
  <c r="AZ126" i="21" s="1"/>
  <c r="AY127" i="21"/>
  <c r="AZ127" i="21" s="1"/>
  <c r="AY128" i="21"/>
  <c r="AZ128" i="21" s="1"/>
  <c r="AY129" i="21"/>
  <c r="AZ129" i="21" s="1"/>
  <c r="AY130" i="21"/>
  <c r="AZ130" i="21" s="1"/>
  <c r="AY131" i="21"/>
  <c r="AZ131" i="21" s="1"/>
  <c r="AY132" i="21"/>
  <c r="AZ132" i="21" s="1"/>
  <c r="AY133" i="21"/>
  <c r="AZ133" i="21" s="1"/>
  <c r="AY134" i="21"/>
  <c r="AZ134" i="21" s="1"/>
  <c r="AY135" i="21"/>
  <c r="AZ135" i="21" s="1"/>
  <c r="AY136" i="21"/>
  <c r="AZ136" i="21" s="1"/>
  <c r="AY137" i="21"/>
  <c r="AZ137" i="21" s="1"/>
  <c r="AY138" i="21"/>
  <c r="AZ138" i="21" s="1"/>
  <c r="AY139" i="21"/>
  <c r="AY140" i="21"/>
  <c r="AZ140" i="21" s="1"/>
  <c r="AY141" i="21"/>
  <c r="AZ141" i="21" s="1"/>
  <c r="AY142" i="21"/>
  <c r="AZ142" i="21" s="1"/>
  <c r="AY143" i="21"/>
  <c r="AZ143" i="21" s="1"/>
  <c r="AY144" i="21"/>
  <c r="AZ144" i="21" s="1"/>
  <c r="AY145" i="21"/>
  <c r="AZ145" i="21" s="1"/>
  <c r="AY146" i="21"/>
  <c r="AZ146" i="21" s="1"/>
  <c r="AY147" i="21"/>
  <c r="AY148" i="21"/>
  <c r="AZ148" i="21" s="1"/>
  <c r="AY149" i="21"/>
  <c r="AZ149" i="21" s="1"/>
  <c r="AY150" i="21"/>
  <c r="AZ150" i="21" s="1"/>
  <c r="AY151" i="21"/>
  <c r="AZ151" i="21" s="1"/>
  <c r="AY152" i="21"/>
  <c r="AZ152" i="21" s="1"/>
  <c r="AY153" i="21"/>
  <c r="AZ153" i="21" s="1"/>
  <c r="AY154" i="21"/>
  <c r="AZ154" i="21" s="1"/>
  <c r="AY155" i="21"/>
  <c r="AY156" i="21"/>
  <c r="AZ156" i="21" s="1"/>
  <c r="AY157" i="21"/>
  <c r="AZ157" i="21" s="1"/>
  <c r="AY158" i="21"/>
  <c r="AZ158" i="21" s="1"/>
  <c r="AY159" i="21"/>
  <c r="AZ159" i="21" s="1"/>
  <c r="AY160" i="21"/>
  <c r="AZ160" i="21" s="1"/>
  <c r="AY161" i="21"/>
  <c r="AY162" i="21"/>
  <c r="AZ162" i="21" s="1"/>
  <c r="AY163" i="21"/>
  <c r="AY164" i="21"/>
  <c r="AZ164" i="21" s="1"/>
  <c r="AY165" i="21"/>
  <c r="AZ165" i="21" s="1"/>
  <c r="AY166" i="21"/>
  <c r="AZ166" i="21" s="1"/>
  <c r="AY167" i="21"/>
  <c r="AZ167" i="21" s="1"/>
  <c r="AY168" i="21"/>
  <c r="AZ168" i="21" s="1"/>
  <c r="AY169" i="21"/>
  <c r="AZ169" i="21" s="1"/>
  <c r="AY170" i="21"/>
  <c r="AZ170" i="21" s="1"/>
  <c r="AY171" i="21"/>
  <c r="AZ171" i="21" s="1"/>
  <c r="AY172" i="21"/>
  <c r="AZ172" i="21" s="1"/>
  <c r="AY173" i="21"/>
  <c r="AZ173" i="21" s="1"/>
  <c r="AY174" i="21"/>
  <c r="AZ174" i="21" s="1"/>
  <c r="AY175" i="21"/>
  <c r="AZ175" i="21" s="1"/>
  <c r="AY176" i="21"/>
  <c r="AZ176" i="21" s="1"/>
  <c r="AY177" i="21"/>
  <c r="AZ177" i="21" s="1"/>
  <c r="AY178" i="21"/>
  <c r="AZ178" i="21" s="1"/>
  <c r="AY179" i="21"/>
  <c r="AZ179" i="21" s="1"/>
  <c r="AY180" i="21"/>
  <c r="AZ180" i="21" s="1"/>
  <c r="AY181" i="21"/>
  <c r="AZ181" i="21" s="1"/>
  <c r="AY182" i="21"/>
  <c r="AZ182" i="21" s="1"/>
  <c r="AY183" i="21"/>
  <c r="AZ183" i="21" s="1"/>
  <c r="AY184" i="21"/>
  <c r="AZ184" i="21" s="1"/>
  <c r="AY185" i="21"/>
  <c r="AZ185" i="21" s="1"/>
  <c r="AY186" i="21"/>
  <c r="AZ186" i="21" s="1"/>
  <c r="AY187" i="21"/>
  <c r="AZ187" i="21" s="1"/>
  <c r="AY188" i="21"/>
  <c r="AZ188" i="21" s="1"/>
  <c r="AY189" i="21"/>
  <c r="AZ189" i="21" s="1"/>
  <c r="AY190" i="21"/>
  <c r="AZ190" i="21" s="1"/>
  <c r="AY191" i="21"/>
  <c r="AZ191" i="21" s="1"/>
  <c r="AY192" i="21"/>
  <c r="AZ192" i="21" s="1"/>
  <c r="AY193" i="21"/>
  <c r="AZ193" i="21" s="1"/>
  <c r="AY194" i="21"/>
  <c r="AZ194" i="21" s="1"/>
  <c r="AY195" i="21"/>
  <c r="AZ195" i="21" s="1"/>
  <c r="AY196" i="21"/>
  <c r="AY197" i="21"/>
  <c r="AZ197" i="21" s="1"/>
  <c r="AY198" i="21"/>
  <c r="AZ198" i="21" s="1"/>
  <c r="AY199" i="21"/>
  <c r="AZ199" i="21" s="1"/>
  <c r="AY200" i="21"/>
  <c r="AZ200" i="21" s="1"/>
  <c r="AY201" i="21"/>
  <c r="AZ201" i="21" s="1"/>
  <c r="AY202" i="21"/>
  <c r="AY203" i="21"/>
  <c r="AZ203" i="21" s="1"/>
  <c r="AY204" i="21"/>
  <c r="AZ204" i="21" s="1"/>
  <c r="AY205" i="21"/>
  <c r="AZ205" i="21" s="1"/>
  <c r="AY206" i="21"/>
  <c r="AZ206" i="21" s="1"/>
  <c r="AY207" i="21"/>
  <c r="AY208" i="21"/>
  <c r="AZ208" i="21" s="1"/>
  <c r="AY209" i="21"/>
  <c r="AZ209" i="21" s="1"/>
  <c r="AY210" i="21"/>
  <c r="AZ210" i="21" s="1"/>
  <c r="AY211" i="21"/>
  <c r="AY212" i="21"/>
  <c r="AZ212" i="21" s="1"/>
  <c r="AY213" i="21"/>
  <c r="AZ213" i="21" s="1"/>
  <c r="AY214" i="21"/>
  <c r="AZ214" i="21" s="1"/>
  <c r="AY215" i="21"/>
  <c r="AZ215" i="21" s="1"/>
  <c r="AY216" i="21"/>
  <c r="AZ216" i="21" s="1"/>
  <c r="AY217" i="21"/>
  <c r="AZ217" i="21" s="1"/>
  <c r="AY218" i="21"/>
  <c r="AZ218" i="21" s="1"/>
  <c r="AY219" i="21"/>
  <c r="AY220" i="21"/>
  <c r="AZ220" i="21" s="1"/>
  <c r="AY221" i="21"/>
  <c r="AZ221" i="21" s="1"/>
  <c r="AY222" i="21"/>
  <c r="AZ222" i="21" s="1"/>
  <c r="AY223" i="21"/>
  <c r="AZ223" i="21" s="1"/>
  <c r="AY224" i="21"/>
  <c r="AZ224" i="21" s="1"/>
  <c r="AY225" i="21"/>
  <c r="AZ225" i="21" s="1"/>
  <c r="AY226" i="21"/>
  <c r="AZ226" i="21" s="1"/>
  <c r="AY227" i="21"/>
  <c r="AY228" i="21"/>
  <c r="AZ228" i="21" s="1"/>
  <c r="AY229" i="21"/>
  <c r="AZ229" i="21" s="1"/>
  <c r="AY230" i="21"/>
  <c r="AZ230" i="21" s="1"/>
  <c r="AY231" i="21"/>
  <c r="AZ231" i="21" s="1"/>
  <c r="AY232" i="21"/>
  <c r="AZ232" i="21" s="1"/>
  <c r="AY233" i="21"/>
  <c r="AZ233" i="21" s="1"/>
  <c r="AY234" i="21"/>
  <c r="AZ234" i="21" s="1"/>
  <c r="AY235" i="21"/>
  <c r="AZ235" i="21" s="1"/>
  <c r="AY236" i="21"/>
  <c r="AZ236" i="21" s="1"/>
  <c r="AY237" i="21"/>
  <c r="AZ237" i="21" s="1"/>
  <c r="AY238" i="21"/>
  <c r="AZ238" i="21" s="1"/>
  <c r="AY239" i="21"/>
  <c r="AZ239" i="21" s="1"/>
  <c r="AY240" i="21"/>
  <c r="AZ240" i="21" s="1"/>
  <c r="AY241" i="21"/>
  <c r="AZ241" i="21" s="1"/>
  <c r="AY242" i="21"/>
  <c r="AZ242" i="21" s="1"/>
  <c r="AY243" i="21"/>
  <c r="AZ243" i="21" s="1"/>
  <c r="AY244" i="21"/>
  <c r="AZ244" i="21" s="1"/>
  <c r="AY245" i="21"/>
  <c r="AZ245" i="21" s="1"/>
  <c r="AY246" i="21"/>
  <c r="AZ246" i="21" s="1"/>
  <c r="AY247" i="21"/>
  <c r="AZ247" i="21" s="1"/>
  <c r="AY248" i="21"/>
  <c r="AZ248" i="21" s="1"/>
  <c r="AY249" i="21"/>
  <c r="AZ249" i="21" s="1"/>
  <c r="AY250" i="21"/>
  <c r="AY251" i="21"/>
  <c r="AZ251" i="21" s="1"/>
  <c r="AY252" i="21"/>
  <c r="AZ252" i="21" s="1"/>
  <c r="AY253" i="21"/>
  <c r="AZ253" i="21" s="1"/>
  <c r="AY254" i="21"/>
  <c r="AZ254" i="21" s="1"/>
  <c r="AY255" i="21"/>
  <c r="AY256" i="21"/>
  <c r="AZ256" i="21" s="1"/>
  <c r="AY257" i="21"/>
  <c r="AZ257" i="21" s="1"/>
  <c r="AY258" i="21"/>
  <c r="AZ258" i="21" s="1"/>
  <c r="AY259" i="21"/>
  <c r="AZ259" i="21" s="1"/>
  <c r="AY260" i="21"/>
  <c r="AZ260" i="21" s="1"/>
  <c r="AY261" i="21"/>
  <c r="AZ261" i="21" s="1"/>
  <c r="AY262" i="21"/>
  <c r="AZ262" i="21" s="1"/>
  <c r="AY263" i="21"/>
  <c r="AY264" i="21"/>
  <c r="AZ264" i="21" s="1"/>
  <c r="AY265" i="21"/>
  <c r="AZ265" i="21" s="1"/>
  <c r="AY266" i="21"/>
  <c r="AY267" i="21"/>
  <c r="AY268" i="21"/>
  <c r="AZ268" i="21" s="1"/>
  <c r="AY269" i="21"/>
  <c r="AZ269" i="21" s="1"/>
  <c r="AY270" i="21"/>
  <c r="AZ270" i="21" s="1"/>
  <c r="AY271" i="21"/>
  <c r="AZ271" i="21" s="1"/>
  <c r="AY272" i="21"/>
  <c r="AZ272" i="21" s="1"/>
  <c r="AY273" i="21"/>
  <c r="AZ273" i="21" s="1"/>
  <c r="AY274" i="21"/>
  <c r="AZ274" i="21" s="1"/>
  <c r="AY275" i="21"/>
  <c r="AY276" i="21"/>
  <c r="AZ276" i="21" s="1"/>
  <c r="AY277" i="21"/>
  <c r="AZ277" i="21" s="1"/>
  <c r="AY278" i="21"/>
  <c r="AZ278" i="21" s="1"/>
  <c r="AY279" i="21"/>
  <c r="AZ279" i="21" s="1"/>
  <c r="AY280" i="21"/>
  <c r="AZ280" i="21" s="1"/>
  <c r="AY281" i="21"/>
  <c r="AZ281" i="21" s="1"/>
  <c r="AY282" i="21"/>
  <c r="AZ282" i="21" s="1"/>
  <c r="AY283" i="21"/>
  <c r="AY284" i="21"/>
  <c r="AZ284" i="21" s="1"/>
  <c r="AY285" i="21"/>
  <c r="AZ285" i="21" s="1"/>
  <c r="AY286" i="21"/>
  <c r="AZ286" i="21" s="1"/>
  <c r="AY287" i="21"/>
  <c r="AZ287" i="21" s="1"/>
  <c r="AY288" i="21"/>
  <c r="AZ288" i="21" s="1"/>
  <c r="AY289" i="21"/>
  <c r="AZ289" i="21" s="1"/>
  <c r="AY290" i="21"/>
  <c r="AZ290" i="21" s="1"/>
  <c r="AY291" i="21"/>
  <c r="AY292" i="21"/>
  <c r="AZ292" i="21" s="1"/>
  <c r="AY293" i="21"/>
  <c r="AZ293" i="21" s="1"/>
  <c r="AY294" i="21"/>
  <c r="AZ294" i="21" s="1"/>
  <c r="AY295" i="21"/>
  <c r="AY296" i="21"/>
  <c r="AZ296" i="21" s="1"/>
  <c r="AY297" i="21"/>
  <c r="AZ297" i="21" s="1"/>
  <c r="AY298" i="21"/>
  <c r="AZ298" i="21" s="1"/>
  <c r="AY299" i="21"/>
  <c r="AZ299" i="21" s="1"/>
  <c r="AY300" i="21"/>
  <c r="AZ300" i="21" s="1"/>
  <c r="AY301" i="21"/>
  <c r="AZ301" i="21" s="1"/>
  <c r="AY302" i="21"/>
  <c r="AZ302" i="21" s="1"/>
  <c r="AY303" i="21"/>
  <c r="AZ303" i="21" s="1"/>
  <c r="AY304" i="21"/>
  <c r="AZ304" i="21" s="1"/>
  <c r="AY305" i="21"/>
  <c r="AZ305" i="21" s="1"/>
  <c r="AY306" i="21"/>
  <c r="AZ306" i="21" s="1"/>
  <c r="AY307" i="21"/>
  <c r="AZ307" i="21" s="1"/>
  <c r="AY308" i="21"/>
  <c r="AZ308" i="21" s="1"/>
  <c r="AY309" i="21"/>
  <c r="AZ309" i="21" s="1"/>
  <c r="AY310" i="21"/>
  <c r="AZ310" i="21" s="1"/>
  <c r="AY311" i="21"/>
  <c r="AZ311" i="21" s="1"/>
  <c r="AY312" i="21"/>
  <c r="AZ312" i="21" s="1"/>
  <c r="AY313" i="21"/>
  <c r="AZ313" i="21" s="1"/>
  <c r="AY314" i="21"/>
  <c r="AZ314" i="21" s="1"/>
  <c r="AY315" i="21"/>
  <c r="AZ315" i="21" s="1"/>
  <c r="AY316" i="21"/>
  <c r="AZ316" i="21" s="1"/>
  <c r="AY317" i="21"/>
  <c r="AZ317" i="21" s="1"/>
  <c r="AY318" i="21"/>
  <c r="AZ318" i="21" s="1"/>
  <c r="AY319" i="21"/>
  <c r="AZ319" i="21" s="1"/>
  <c r="AY320" i="21"/>
  <c r="AZ320" i="21" s="1"/>
  <c r="AY321" i="21"/>
  <c r="AZ321" i="21" s="1"/>
  <c r="AY322" i="21"/>
  <c r="AZ322" i="21" s="1"/>
  <c r="AY323" i="21"/>
  <c r="AZ323" i="21" s="1"/>
  <c r="AY324" i="21"/>
  <c r="AZ324" i="21" s="1"/>
  <c r="AY325" i="21"/>
  <c r="AZ325" i="21" s="1"/>
  <c r="AY326" i="21"/>
  <c r="AZ326" i="21" s="1"/>
  <c r="AY327" i="21"/>
  <c r="AZ327" i="21" s="1"/>
  <c r="AY328" i="21"/>
  <c r="AZ328" i="21" s="1"/>
  <c r="AY329" i="21"/>
  <c r="AZ329" i="21" s="1"/>
  <c r="AY330" i="21"/>
  <c r="AZ330" i="21" s="1"/>
  <c r="AY331" i="21"/>
  <c r="AZ331" i="21" s="1"/>
  <c r="AY332" i="21"/>
  <c r="AZ332" i="21" s="1"/>
  <c r="AY333" i="21"/>
  <c r="AZ333" i="21" s="1"/>
  <c r="AY334" i="21"/>
  <c r="AZ334" i="21" s="1"/>
  <c r="AY335" i="21"/>
  <c r="AZ335" i="21" s="1"/>
  <c r="AY336" i="21"/>
  <c r="AZ336" i="21" s="1"/>
  <c r="AY337" i="21"/>
  <c r="AZ337" i="21" s="1"/>
  <c r="AY338" i="21"/>
  <c r="AZ338" i="21" s="1"/>
  <c r="AY339" i="21"/>
  <c r="AY340" i="21"/>
  <c r="AZ340" i="21" s="1"/>
  <c r="AY341" i="21"/>
  <c r="AZ341" i="21" s="1"/>
  <c r="AY342" i="21"/>
  <c r="AZ342" i="21" s="1"/>
  <c r="AY343" i="21"/>
  <c r="AZ343" i="21" s="1"/>
  <c r="AY344" i="21"/>
  <c r="AZ344" i="21" s="1"/>
  <c r="AY345" i="21"/>
  <c r="AZ345" i="21" s="1"/>
  <c r="AY346" i="21"/>
  <c r="AZ346" i="21" s="1"/>
  <c r="AY347" i="21"/>
  <c r="AY348" i="21"/>
  <c r="AZ348" i="21" s="1"/>
  <c r="AY349" i="21"/>
  <c r="AZ349" i="21" s="1"/>
  <c r="AY350" i="21"/>
  <c r="AZ350" i="21" s="1"/>
  <c r="AY351" i="21"/>
  <c r="AZ351" i="21" s="1"/>
  <c r="AY352" i="21"/>
  <c r="AZ352" i="21" s="1"/>
  <c r="AY353" i="21"/>
  <c r="AZ353" i="21" s="1"/>
  <c r="AY354" i="21"/>
  <c r="AY355" i="21"/>
  <c r="AZ355" i="21" s="1"/>
  <c r="AY356" i="21"/>
  <c r="AZ356" i="21" s="1"/>
  <c r="AY357" i="21"/>
  <c r="AZ357" i="21" s="1"/>
  <c r="AY358" i="21"/>
  <c r="AZ358" i="21" s="1"/>
  <c r="AY359" i="21"/>
  <c r="AZ359" i="21" s="1"/>
  <c r="AY360" i="21"/>
  <c r="AZ360" i="21" s="1"/>
  <c r="AY361" i="21"/>
  <c r="AY362" i="21"/>
  <c r="AZ362" i="21" s="1"/>
  <c r="AY363" i="21"/>
  <c r="AZ363" i="21" s="1"/>
  <c r="AY364" i="21"/>
  <c r="AZ364" i="21" s="1"/>
  <c r="AY365" i="21"/>
  <c r="AZ365" i="21" s="1"/>
  <c r="AY366" i="21"/>
  <c r="AZ366" i="21" s="1"/>
  <c r="AY367" i="21"/>
  <c r="AZ367" i="21" s="1"/>
  <c r="AY368" i="21"/>
  <c r="AZ368" i="21" s="1"/>
  <c r="AY369" i="21"/>
  <c r="AZ369" i="21" s="1"/>
  <c r="AY370" i="21"/>
  <c r="AZ370" i="21" s="1"/>
  <c r="AY371" i="21"/>
  <c r="AZ371" i="21" s="1"/>
  <c r="AY372" i="21"/>
  <c r="AZ372" i="21" s="1"/>
  <c r="AY373" i="21"/>
  <c r="AZ373" i="21" s="1"/>
  <c r="AY374" i="21"/>
  <c r="AZ374" i="21" s="1"/>
  <c r="AY375" i="21"/>
  <c r="AY376" i="21"/>
  <c r="AZ376" i="21" s="1"/>
  <c r="AY377" i="21"/>
  <c r="AZ377" i="21" s="1"/>
  <c r="AY378" i="21"/>
  <c r="AZ378" i="21" s="1"/>
  <c r="AY379" i="21"/>
  <c r="AZ379" i="21" s="1"/>
  <c r="AY380" i="21"/>
  <c r="AZ380" i="21" s="1"/>
  <c r="AY381" i="21"/>
  <c r="AZ381" i="21" s="1"/>
  <c r="AY382" i="21"/>
  <c r="AZ382" i="21" s="1"/>
  <c r="AY383" i="21"/>
  <c r="AZ383" i="21" s="1"/>
  <c r="AY384" i="21"/>
  <c r="AZ384" i="21" s="1"/>
  <c r="AY385" i="21"/>
  <c r="AZ385" i="21" s="1"/>
  <c r="AY386" i="21"/>
  <c r="AZ386" i="21" s="1"/>
  <c r="AY387" i="21"/>
  <c r="AZ387" i="21" s="1"/>
  <c r="AY388" i="21"/>
  <c r="AZ388" i="21" s="1"/>
  <c r="AY389" i="21"/>
  <c r="AZ389" i="21" s="1"/>
  <c r="AY390" i="21"/>
  <c r="AZ390" i="21" s="1"/>
  <c r="AY391" i="21"/>
  <c r="AZ391" i="21" s="1"/>
  <c r="AY392" i="21"/>
  <c r="AZ392" i="21" s="1"/>
  <c r="AY393" i="21"/>
  <c r="AZ393" i="21" s="1"/>
  <c r="AY394" i="21"/>
  <c r="AZ394" i="21" s="1"/>
  <c r="AY395" i="21"/>
  <c r="AZ395" i="21" s="1"/>
  <c r="AY396" i="21"/>
  <c r="AZ396" i="21" s="1"/>
  <c r="AY397" i="21"/>
  <c r="AZ397" i="21" s="1"/>
  <c r="AY398" i="21"/>
  <c r="AZ398" i="21" s="1"/>
  <c r="AY399" i="21"/>
  <c r="AZ399" i="21" s="1"/>
  <c r="AY400" i="21"/>
  <c r="AZ400" i="21" s="1"/>
  <c r="AY401" i="21"/>
  <c r="AZ401" i="21" s="1"/>
  <c r="AY402" i="21"/>
  <c r="AZ402" i="21" s="1"/>
  <c r="AY403" i="21"/>
  <c r="AZ403" i="21" s="1"/>
  <c r="AY404" i="21"/>
  <c r="AZ404" i="21" s="1"/>
  <c r="AZ161" i="21"/>
  <c r="AZ3" i="21"/>
  <c r="AZ11" i="21"/>
  <c r="AZ27" i="21"/>
  <c r="AZ28" i="21"/>
  <c r="AZ35" i="21"/>
  <c r="AZ83" i="21"/>
  <c r="AZ91" i="21"/>
  <c r="AZ99" i="21"/>
  <c r="AZ139" i="21"/>
  <c r="AZ147" i="21"/>
  <c r="AZ155" i="21"/>
  <c r="AZ163" i="21"/>
  <c r="AZ196" i="21"/>
  <c r="AZ211" i="21"/>
  <c r="AZ219" i="21"/>
  <c r="AZ227" i="21"/>
  <c r="AZ255" i="21"/>
  <c r="AZ267" i="21"/>
  <c r="AZ275" i="21"/>
  <c r="AZ283" i="21"/>
  <c r="AZ291" i="21"/>
  <c r="AZ339" i="21"/>
  <c r="AZ347" i="21"/>
  <c r="BG404" i="21"/>
  <c r="BE404" i="21"/>
  <c r="BF404" i="21" s="1"/>
  <c r="AW404" i="21"/>
  <c r="AX404" i="21" s="1"/>
  <c r="AU404" i="21"/>
  <c r="AV404" i="21" s="1"/>
  <c r="AS404" i="21"/>
  <c r="AT404" i="21" s="1"/>
  <c r="AQ404" i="21"/>
  <c r="AR404" i="21" s="1"/>
  <c r="AO404" i="21"/>
  <c r="AM404" i="21"/>
  <c r="AK404" i="21"/>
  <c r="AL404" i="21" s="1"/>
  <c r="AG404" i="21"/>
  <c r="AH404" i="21" s="1"/>
  <c r="AE404" i="21"/>
  <c r="AF404" i="21" s="1"/>
  <c r="AC404" i="21"/>
  <c r="AA404" i="21"/>
  <c r="AB404" i="21" s="1"/>
  <c r="W404" i="21"/>
  <c r="X404" i="21" s="1"/>
  <c r="U404" i="21"/>
  <c r="V404" i="21" s="1"/>
  <c r="S404" i="21"/>
  <c r="T404" i="21" s="1"/>
  <c r="Q404" i="21"/>
  <c r="R404" i="21" s="1"/>
  <c r="P404" i="21"/>
  <c r="O404" i="21"/>
  <c r="N404" i="21"/>
  <c r="M404" i="21"/>
  <c r="L404" i="21"/>
  <c r="K404" i="21"/>
  <c r="J404" i="21"/>
  <c r="I404" i="21"/>
  <c r="H404" i="21"/>
  <c r="G404" i="21"/>
  <c r="F404" i="21"/>
  <c r="E404" i="21"/>
  <c r="D404" i="21"/>
  <c r="C404" i="21"/>
  <c r="B404" i="21"/>
  <c r="A404" i="21"/>
  <c r="BG403" i="21"/>
  <c r="BH403" i="21" s="1"/>
  <c r="BE403" i="21"/>
  <c r="BF403" i="21" s="1"/>
  <c r="AW403" i="21"/>
  <c r="AU403" i="21"/>
  <c r="AV403" i="21" s="1"/>
  <c r="AS403" i="21"/>
  <c r="AT403" i="21" s="1"/>
  <c r="AQ403" i="21"/>
  <c r="AO403" i="21"/>
  <c r="AP403" i="21" s="1"/>
  <c r="AM403" i="21"/>
  <c r="AN403" i="21" s="1"/>
  <c r="AK403" i="21"/>
  <c r="AL403" i="21" s="1"/>
  <c r="AG403" i="21"/>
  <c r="AE403" i="21"/>
  <c r="AF403" i="21" s="1"/>
  <c r="AC403" i="21"/>
  <c r="AD403" i="21" s="1"/>
  <c r="AA403" i="21"/>
  <c r="AB403" i="21" s="1"/>
  <c r="W403" i="21"/>
  <c r="X403" i="21" s="1"/>
  <c r="U403" i="21"/>
  <c r="V403" i="21" s="1"/>
  <c r="S403" i="21"/>
  <c r="Q403" i="21"/>
  <c r="R403" i="21" s="1"/>
  <c r="P403" i="21"/>
  <c r="O403" i="21"/>
  <c r="N403" i="21"/>
  <c r="M403" i="21"/>
  <c r="L403" i="21"/>
  <c r="K403" i="21"/>
  <c r="J403" i="21"/>
  <c r="I403" i="21"/>
  <c r="H403" i="21"/>
  <c r="G403" i="21"/>
  <c r="F403" i="21"/>
  <c r="E403" i="21"/>
  <c r="D403" i="21"/>
  <c r="C403" i="21"/>
  <c r="B403" i="21"/>
  <c r="A403" i="21"/>
  <c r="BG402" i="21"/>
  <c r="BH402" i="21" s="1"/>
  <c r="BE402" i="21"/>
  <c r="BF402" i="21" s="1"/>
  <c r="AW402" i="21"/>
  <c r="AX402" i="21" s="1"/>
  <c r="AU402" i="21"/>
  <c r="AV402" i="21" s="1"/>
  <c r="AS402" i="21"/>
  <c r="AT402" i="21" s="1"/>
  <c r="AQ402" i="21"/>
  <c r="AR402" i="21" s="1"/>
  <c r="AO402" i="21"/>
  <c r="AP402" i="21" s="1"/>
  <c r="AM402" i="21"/>
  <c r="AK402" i="21"/>
  <c r="AL402" i="21" s="1"/>
  <c r="AG402" i="21"/>
  <c r="AH402" i="21" s="1"/>
  <c r="AE402" i="21"/>
  <c r="AF402" i="21" s="1"/>
  <c r="AC402" i="21"/>
  <c r="AD402" i="21" s="1"/>
  <c r="AA402" i="21"/>
  <c r="W402" i="21"/>
  <c r="X402" i="21" s="1"/>
  <c r="U402" i="21"/>
  <c r="V402" i="21" s="1"/>
  <c r="S402" i="21"/>
  <c r="T402" i="21" s="1"/>
  <c r="Q402" i="21"/>
  <c r="R402" i="21" s="1"/>
  <c r="P402" i="21"/>
  <c r="O402" i="21"/>
  <c r="N402" i="21"/>
  <c r="M402" i="21"/>
  <c r="L402" i="21"/>
  <c r="K402" i="21"/>
  <c r="J402" i="21"/>
  <c r="I402" i="21"/>
  <c r="H402" i="21"/>
  <c r="G402" i="21"/>
  <c r="F402" i="21"/>
  <c r="E402" i="21"/>
  <c r="D402" i="21"/>
  <c r="C402" i="21"/>
  <c r="B402" i="21"/>
  <c r="A402" i="21"/>
  <c r="BG401" i="21"/>
  <c r="BH401" i="21" s="1"/>
  <c r="BE401" i="21"/>
  <c r="BF401" i="21" s="1"/>
  <c r="AW401" i="21"/>
  <c r="AX401" i="21" s="1"/>
  <c r="AU401" i="21"/>
  <c r="AV401" i="21" s="1"/>
  <c r="AS401" i="21"/>
  <c r="AT401" i="21" s="1"/>
  <c r="AQ401" i="21"/>
  <c r="AO401" i="21"/>
  <c r="AP401" i="21" s="1"/>
  <c r="AM401" i="21"/>
  <c r="AN401" i="21" s="1"/>
  <c r="AK401" i="21"/>
  <c r="AL401" i="21" s="1"/>
  <c r="AG401" i="21"/>
  <c r="AH401" i="21" s="1"/>
  <c r="AE401" i="21"/>
  <c r="AF401" i="21" s="1"/>
  <c r="AC401" i="21"/>
  <c r="AD401" i="21" s="1"/>
  <c r="AA401" i="21"/>
  <c r="AB401" i="21" s="1"/>
  <c r="W401" i="21"/>
  <c r="X401" i="21" s="1"/>
  <c r="U401" i="21"/>
  <c r="S401" i="21"/>
  <c r="T401" i="21" s="1"/>
  <c r="Q401" i="21"/>
  <c r="R401" i="21" s="1"/>
  <c r="P401" i="21"/>
  <c r="O401" i="21"/>
  <c r="N401" i="21"/>
  <c r="M401" i="21"/>
  <c r="L401" i="21"/>
  <c r="K401" i="21"/>
  <c r="J401" i="21"/>
  <c r="I401" i="21"/>
  <c r="H401" i="21"/>
  <c r="G401" i="21"/>
  <c r="F401" i="21"/>
  <c r="E401" i="21"/>
  <c r="D401" i="21"/>
  <c r="C401" i="21"/>
  <c r="B401" i="21"/>
  <c r="A401" i="21"/>
  <c r="BG400" i="21"/>
  <c r="BE400" i="21"/>
  <c r="BF400" i="21" s="1"/>
  <c r="AW400" i="21"/>
  <c r="AX400" i="21" s="1"/>
  <c r="AU400" i="21"/>
  <c r="AS400" i="21"/>
  <c r="AT400" i="21" s="1"/>
  <c r="AQ400" i="21"/>
  <c r="AR400" i="21" s="1"/>
  <c r="AO400" i="21"/>
  <c r="AP400" i="21" s="1"/>
  <c r="AM400" i="21"/>
  <c r="AN400" i="21" s="1"/>
  <c r="AK400" i="21"/>
  <c r="AL400" i="21" s="1"/>
  <c r="AG400" i="21"/>
  <c r="AE400" i="21"/>
  <c r="AF400" i="21" s="1"/>
  <c r="AC400" i="21"/>
  <c r="AD400" i="21" s="1"/>
  <c r="AA400" i="21"/>
  <c r="W400" i="21"/>
  <c r="X400" i="21" s="1"/>
  <c r="U400" i="21"/>
  <c r="V400" i="21" s="1"/>
  <c r="S400" i="21"/>
  <c r="Q400" i="21"/>
  <c r="R400" i="21" s="1"/>
  <c r="P400" i="21"/>
  <c r="O400" i="21"/>
  <c r="N400" i="21"/>
  <c r="M400" i="21"/>
  <c r="L400" i="21"/>
  <c r="K400" i="21"/>
  <c r="J400" i="21"/>
  <c r="I400" i="21"/>
  <c r="H400" i="21"/>
  <c r="G400" i="21"/>
  <c r="F400" i="21"/>
  <c r="E400" i="21"/>
  <c r="D400" i="21"/>
  <c r="C400" i="21"/>
  <c r="B400" i="21"/>
  <c r="A400" i="21"/>
  <c r="BG399" i="21"/>
  <c r="BH399" i="21" s="1"/>
  <c r="BE399" i="21"/>
  <c r="BF399" i="21" s="1"/>
  <c r="AW399" i="21"/>
  <c r="AX399" i="21" s="1"/>
  <c r="AU399" i="21"/>
  <c r="AV399" i="21" s="1"/>
  <c r="AS399" i="21"/>
  <c r="AT399" i="21" s="1"/>
  <c r="AQ399" i="21"/>
  <c r="AO399" i="21"/>
  <c r="AP399" i="21" s="1"/>
  <c r="AM399" i="21"/>
  <c r="AN399" i="21" s="1"/>
  <c r="AK399" i="21"/>
  <c r="AL399" i="21" s="1"/>
  <c r="AG399" i="21"/>
  <c r="AH399" i="21" s="1"/>
  <c r="AE399" i="21"/>
  <c r="AC399" i="21"/>
  <c r="AA399" i="21"/>
  <c r="AB399" i="21" s="1"/>
  <c r="W399" i="21"/>
  <c r="U399" i="21"/>
  <c r="V399" i="21" s="1"/>
  <c r="S399" i="21"/>
  <c r="T399" i="21" s="1"/>
  <c r="Q399" i="21"/>
  <c r="R399" i="21" s="1"/>
  <c r="P399" i="21"/>
  <c r="O399" i="21"/>
  <c r="N399" i="21"/>
  <c r="M399" i="21"/>
  <c r="L399" i="21"/>
  <c r="K399" i="21"/>
  <c r="J399" i="21"/>
  <c r="I399" i="21"/>
  <c r="H399" i="21"/>
  <c r="G399" i="21"/>
  <c r="F399" i="21"/>
  <c r="E399" i="21"/>
  <c r="D399" i="21"/>
  <c r="C399" i="21"/>
  <c r="B399" i="21"/>
  <c r="A399" i="21"/>
  <c r="BG398" i="21"/>
  <c r="BE398" i="21"/>
  <c r="BF398" i="21" s="1"/>
  <c r="AW398" i="21"/>
  <c r="AX398" i="21" s="1"/>
  <c r="AU398" i="21"/>
  <c r="AV398" i="21" s="1"/>
  <c r="AS398" i="21"/>
  <c r="AT398" i="21" s="1"/>
  <c r="AQ398" i="21"/>
  <c r="AR398" i="21" s="1"/>
  <c r="AO398" i="21"/>
  <c r="AP398" i="21" s="1"/>
  <c r="AM398" i="21"/>
  <c r="AN398" i="21" s="1"/>
  <c r="AK398" i="21"/>
  <c r="AG398" i="21"/>
  <c r="AH398" i="21" s="1"/>
  <c r="AE398" i="21"/>
  <c r="AF398" i="21" s="1"/>
  <c r="AC398" i="21"/>
  <c r="AA398" i="21"/>
  <c r="AB398" i="21" s="1"/>
  <c r="W398" i="21"/>
  <c r="X398" i="21" s="1"/>
  <c r="U398" i="21"/>
  <c r="V398" i="21" s="1"/>
  <c r="S398" i="21"/>
  <c r="Q398" i="21"/>
  <c r="R398" i="21" s="1"/>
  <c r="P398" i="21"/>
  <c r="O398" i="21"/>
  <c r="N398" i="21"/>
  <c r="M398" i="21"/>
  <c r="L398" i="21"/>
  <c r="K398" i="21"/>
  <c r="J398" i="21"/>
  <c r="I398" i="21"/>
  <c r="H398" i="21"/>
  <c r="G398" i="21"/>
  <c r="F398" i="21"/>
  <c r="E398" i="21"/>
  <c r="D398" i="21"/>
  <c r="C398" i="21"/>
  <c r="B398" i="21"/>
  <c r="A398" i="21"/>
  <c r="BG397" i="21"/>
  <c r="BH397" i="21" s="1"/>
  <c r="BE397" i="21"/>
  <c r="BF397" i="21" s="1"/>
  <c r="AW397" i="21"/>
  <c r="AX397" i="21" s="1"/>
  <c r="AU397" i="21"/>
  <c r="AV397" i="21" s="1"/>
  <c r="AS397" i="21"/>
  <c r="AT397" i="21" s="1"/>
  <c r="AQ397" i="21"/>
  <c r="AR397" i="21" s="1"/>
  <c r="AO397" i="21"/>
  <c r="AM397" i="21"/>
  <c r="AN397" i="21" s="1"/>
  <c r="AK397" i="21"/>
  <c r="AL397" i="21" s="1"/>
  <c r="AG397" i="21"/>
  <c r="AE397" i="21"/>
  <c r="AF397" i="21" s="1"/>
  <c r="AC397" i="21"/>
  <c r="AD397" i="21" s="1"/>
  <c r="AA397" i="21"/>
  <c r="AB397" i="21" s="1"/>
  <c r="W397" i="21"/>
  <c r="U397" i="21"/>
  <c r="V397" i="21" s="1"/>
  <c r="S397" i="21"/>
  <c r="T397" i="21" s="1"/>
  <c r="Q397" i="21"/>
  <c r="R397" i="21" s="1"/>
  <c r="P397" i="21"/>
  <c r="O397" i="21"/>
  <c r="N397" i="21"/>
  <c r="M397" i="21"/>
  <c r="L397" i="21"/>
  <c r="K397" i="21"/>
  <c r="J397" i="21"/>
  <c r="I397" i="21"/>
  <c r="H397" i="21"/>
  <c r="G397" i="21"/>
  <c r="F397" i="21"/>
  <c r="E397" i="21"/>
  <c r="D397" i="21"/>
  <c r="C397" i="21"/>
  <c r="B397" i="21"/>
  <c r="A397" i="21"/>
  <c r="BG396" i="21"/>
  <c r="BH396" i="21" s="1"/>
  <c r="BE396" i="21"/>
  <c r="AW396" i="21"/>
  <c r="AX396" i="21" s="1"/>
  <c r="AU396" i="21"/>
  <c r="AV396" i="21" s="1"/>
  <c r="AS396" i="21"/>
  <c r="AQ396" i="21"/>
  <c r="AR396" i="21" s="1"/>
  <c r="AO396" i="21"/>
  <c r="AP396" i="21" s="1"/>
  <c r="AM396" i="21"/>
  <c r="AK396" i="21"/>
  <c r="AL396" i="21" s="1"/>
  <c r="AG396" i="21"/>
  <c r="AH396" i="21" s="1"/>
  <c r="AE396" i="21"/>
  <c r="AF396" i="21" s="1"/>
  <c r="AC396" i="21"/>
  <c r="AA396" i="21"/>
  <c r="AB396" i="21" s="1"/>
  <c r="W396" i="21"/>
  <c r="X396" i="21" s="1"/>
  <c r="U396" i="21"/>
  <c r="V396" i="21" s="1"/>
  <c r="S396" i="21"/>
  <c r="T396" i="21" s="1"/>
  <c r="Q396" i="21"/>
  <c r="R396" i="21" s="1"/>
  <c r="P396" i="21"/>
  <c r="O396" i="21"/>
  <c r="N396" i="21"/>
  <c r="M396" i="21"/>
  <c r="L396" i="21"/>
  <c r="K396" i="21"/>
  <c r="J396" i="21"/>
  <c r="I396" i="21"/>
  <c r="H396" i="21"/>
  <c r="G396" i="21"/>
  <c r="F396" i="21"/>
  <c r="E396" i="21"/>
  <c r="D396" i="21"/>
  <c r="C396" i="21"/>
  <c r="B396" i="21"/>
  <c r="A396" i="21"/>
  <c r="BG395" i="21"/>
  <c r="BH395" i="21" s="1"/>
  <c r="BE395" i="21"/>
  <c r="BF395" i="21" s="1"/>
  <c r="AW395" i="21"/>
  <c r="AU395" i="21"/>
  <c r="AV395" i="21" s="1"/>
  <c r="AS395" i="21"/>
  <c r="AT395" i="21" s="1"/>
  <c r="AQ395" i="21"/>
  <c r="AO395" i="21"/>
  <c r="AP395" i="21" s="1"/>
  <c r="AM395" i="21"/>
  <c r="AN395" i="21" s="1"/>
  <c r="AK395" i="21"/>
  <c r="AL395" i="21" s="1"/>
  <c r="AG395" i="21"/>
  <c r="AE395" i="21"/>
  <c r="AF395" i="21" s="1"/>
  <c r="AC395" i="21"/>
  <c r="AD395" i="21" s="1"/>
  <c r="AA395" i="21"/>
  <c r="AB395" i="21" s="1"/>
  <c r="W395" i="21"/>
  <c r="X395" i="21" s="1"/>
  <c r="U395" i="21"/>
  <c r="V395" i="21" s="1"/>
  <c r="S395" i="21"/>
  <c r="T395" i="21" s="1"/>
  <c r="Z395" i="21" s="1"/>
  <c r="Q395" i="21"/>
  <c r="R395" i="21" s="1"/>
  <c r="P395" i="21"/>
  <c r="O395" i="21"/>
  <c r="N395" i="21"/>
  <c r="M395" i="21"/>
  <c r="L395" i="21"/>
  <c r="K395" i="21"/>
  <c r="J395" i="21"/>
  <c r="I395" i="21"/>
  <c r="H395" i="21"/>
  <c r="G395" i="21"/>
  <c r="F395" i="21"/>
  <c r="E395" i="21"/>
  <c r="D395" i="21"/>
  <c r="C395" i="21"/>
  <c r="B395" i="21"/>
  <c r="A395" i="21"/>
  <c r="BG394" i="21"/>
  <c r="BH394" i="21" s="1"/>
  <c r="BE394" i="21"/>
  <c r="AW394" i="21"/>
  <c r="AX394" i="21" s="1"/>
  <c r="AU394" i="21"/>
  <c r="AS394" i="21"/>
  <c r="AT394" i="21" s="1"/>
  <c r="AQ394" i="21"/>
  <c r="AR394" i="21" s="1"/>
  <c r="AO394" i="21"/>
  <c r="AP394" i="21" s="1"/>
  <c r="AM394" i="21"/>
  <c r="AN394" i="21" s="1"/>
  <c r="AK394" i="21"/>
  <c r="AL394" i="21" s="1"/>
  <c r="AG394" i="21"/>
  <c r="AH394" i="21" s="1"/>
  <c r="AE394" i="21"/>
  <c r="AF394" i="21" s="1"/>
  <c r="AC394" i="21"/>
  <c r="AD394" i="21" s="1"/>
  <c r="AA394" i="21"/>
  <c r="AB394" i="21" s="1"/>
  <c r="W394" i="21"/>
  <c r="X394" i="21" s="1"/>
  <c r="U394" i="21"/>
  <c r="S394" i="21"/>
  <c r="T394" i="21" s="1"/>
  <c r="Q394" i="21"/>
  <c r="R394" i="21" s="1"/>
  <c r="P394" i="21"/>
  <c r="O394" i="21"/>
  <c r="N394" i="21"/>
  <c r="M394" i="21"/>
  <c r="L394" i="21"/>
  <c r="K394" i="21"/>
  <c r="J394" i="21"/>
  <c r="I394" i="21"/>
  <c r="H394" i="21"/>
  <c r="G394" i="21"/>
  <c r="F394" i="21"/>
  <c r="E394" i="21"/>
  <c r="D394" i="21"/>
  <c r="C394" i="21"/>
  <c r="B394" i="21"/>
  <c r="A394" i="21"/>
  <c r="BG393" i="21"/>
  <c r="BH393" i="21" s="1"/>
  <c r="BE393" i="21"/>
  <c r="BF393" i="21" s="1"/>
  <c r="AW393" i="21"/>
  <c r="AX393" i="21" s="1"/>
  <c r="AU393" i="21"/>
  <c r="AV393" i="21" s="1"/>
  <c r="AS393" i="21"/>
  <c r="AT393" i="21" s="1"/>
  <c r="AQ393" i="21"/>
  <c r="AO393" i="21"/>
  <c r="AP393" i="21" s="1"/>
  <c r="AM393" i="21"/>
  <c r="AN393" i="21" s="1"/>
  <c r="AK393" i="21"/>
  <c r="AL393" i="21" s="1"/>
  <c r="AG393" i="21"/>
  <c r="AH393" i="21" s="1"/>
  <c r="AE393" i="21"/>
  <c r="AF393" i="21" s="1"/>
  <c r="AC393" i="21"/>
  <c r="AD393" i="21" s="1"/>
  <c r="AA393" i="21"/>
  <c r="AB393" i="21" s="1"/>
  <c r="W393" i="21"/>
  <c r="X393" i="21" s="1"/>
  <c r="U393" i="21"/>
  <c r="S393" i="21"/>
  <c r="T393" i="21" s="1"/>
  <c r="Q393" i="21"/>
  <c r="R393" i="21" s="1"/>
  <c r="P393" i="21"/>
  <c r="O393" i="21"/>
  <c r="N393" i="21"/>
  <c r="M393" i="21"/>
  <c r="L393" i="21"/>
  <c r="K393" i="21"/>
  <c r="J393" i="21"/>
  <c r="I393" i="21"/>
  <c r="H393" i="21"/>
  <c r="G393" i="21"/>
  <c r="F393" i="21"/>
  <c r="E393" i="21"/>
  <c r="D393" i="21"/>
  <c r="C393" i="21"/>
  <c r="B393" i="21"/>
  <c r="A393" i="21"/>
  <c r="BG392" i="21"/>
  <c r="BH392" i="21" s="1"/>
  <c r="BE392" i="21"/>
  <c r="BF392" i="21" s="1"/>
  <c r="AW392" i="21"/>
  <c r="AX392" i="21" s="1"/>
  <c r="AU392" i="21"/>
  <c r="AV392" i="21" s="1"/>
  <c r="AS392" i="21"/>
  <c r="AT392" i="21" s="1"/>
  <c r="AQ392" i="21"/>
  <c r="AR392" i="21" s="1"/>
  <c r="AO392" i="21"/>
  <c r="AP392" i="21" s="1"/>
  <c r="AM392" i="21"/>
  <c r="AN392" i="21" s="1"/>
  <c r="AK392" i="21"/>
  <c r="AL392" i="21" s="1"/>
  <c r="AG392" i="21"/>
  <c r="AH392" i="21" s="1"/>
  <c r="AE392" i="21"/>
  <c r="AF392" i="21" s="1"/>
  <c r="AC392" i="21"/>
  <c r="AD392" i="21" s="1"/>
  <c r="AA392" i="21"/>
  <c r="W392" i="21"/>
  <c r="X392" i="21" s="1"/>
  <c r="U392" i="21"/>
  <c r="V392" i="21" s="1"/>
  <c r="S392" i="21"/>
  <c r="T392" i="21" s="1"/>
  <c r="Q392" i="21"/>
  <c r="R392" i="21" s="1"/>
  <c r="P392" i="21"/>
  <c r="O392" i="21"/>
  <c r="N392" i="21"/>
  <c r="M392" i="21"/>
  <c r="L392" i="21"/>
  <c r="K392" i="21"/>
  <c r="J392" i="21"/>
  <c r="I392" i="21"/>
  <c r="H392" i="21"/>
  <c r="G392" i="21"/>
  <c r="F392" i="21"/>
  <c r="E392" i="21"/>
  <c r="D392" i="21"/>
  <c r="C392" i="21"/>
  <c r="B392" i="21"/>
  <c r="A392" i="21"/>
  <c r="BG391" i="21"/>
  <c r="BH391" i="21" s="1"/>
  <c r="BE391" i="21"/>
  <c r="BF391" i="21" s="1"/>
  <c r="AW391" i="21"/>
  <c r="AU391" i="21"/>
  <c r="AV391" i="21" s="1"/>
  <c r="AS391" i="21"/>
  <c r="AT391" i="21" s="1"/>
  <c r="AQ391" i="21"/>
  <c r="AR391" i="21" s="1"/>
  <c r="AO391" i="21"/>
  <c r="AP391" i="21" s="1"/>
  <c r="AM391" i="21"/>
  <c r="AK391" i="21"/>
  <c r="AL391" i="21" s="1"/>
  <c r="AG391" i="21"/>
  <c r="AH391" i="21" s="1"/>
  <c r="AE391" i="21"/>
  <c r="AC391" i="21"/>
  <c r="AD391" i="21" s="1"/>
  <c r="AJ391" i="21" s="1"/>
  <c r="AA391" i="21"/>
  <c r="AB391" i="21" s="1"/>
  <c r="W391" i="21"/>
  <c r="U391" i="21"/>
  <c r="V391" i="21" s="1"/>
  <c r="S391" i="21"/>
  <c r="T391" i="21" s="1"/>
  <c r="Q391" i="21"/>
  <c r="R391" i="21" s="1"/>
  <c r="P391" i="21"/>
  <c r="O391" i="21"/>
  <c r="N391" i="21"/>
  <c r="M391" i="21"/>
  <c r="L391" i="21"/>
  <c r="K391" i="21"/>
  <c r="J391" i="21"/>
  <c r="I391" i="21"/>
  <c r="H391" i="21"/>
  <c r="G391" i="21"/>
  <c r="F391" i="21"/>
  <c r="E391" i="21"/>
  <c r="D391" i="21"/>
  <c r="C391" i="21"/>
  <c r="B391" i="21"/>
  <c r="A391" i="21"/>
  <c r="BG390" i="21"/>
  <c r="BH390" i="21" s="1"/>
  <c r="BE390" i="21"/>
  <c r="BF390" i="21" s="1"/>
  <c r="AW390" i="21"/>
  <c r="AX390" i="21" s="1"/>
  <c r="AU390" i="21"/>
  <c r="AV390" i="21" s="1"/>
  <c r="AS390" i="21"/>
  <c r="AQ390" i="21"/>
  <c r="AR390" i="21" s="1"/>
  <c r="AO390" i="21"/>
  <c r="AP390" i="21" s="1"/>
  <c r="AM390" i="21"/>
  <c r="AN390" i="21" s="1"/>
  <c r="AK390" i="21"/>
  <c r="AL390" i="21" s="1"/>
  <c r="AG390" i="21"/>
  <c r="AH390" i="21" s="1"/>
  <c r="AE390" i="21"/>
  <c r="AF390" i="21" s="1"/>
  <c r="AC390" i="21"/>
  <c r="AD390" i="21" s="1"/>
  <c r="AA390" i="21"/>
  <c r="AB390" i="21" s="1"/>
  <c r="W390" i="21"/>
  <c r="X390" i="21" s="1"/>
  <c r="U390" i="21"/>
  <c r="V390" i="21" s="1"/>
  <c r="S390" i="21"/>
  <c r="T390" i="21" s="1"/>
  <c r="Q390" i="21"/>
  <c r="R390" i="21" s="1"/>
  <c r="P390" i="21"/>
  <c r="O390" i="21"/>
  <c r="N390" i="21"/>
  <c r="M390" i="21"/>
  <c r="L390" i="21"/>
  <c r="K390" i="21"/>
  <c r="J390" i="21"/>
  <c r="I390" i="21"/>
  <c r="H390" i="21"/>
  <c r="G390" i="21"/>
  <c r="F390" i="21"/>
  <c r="E390" i="21"/>
  <c r="D390" i="21"/>
  <c r="C390" i="21"/>
  <c r="B390" i="21"/>
  <c r="A390" i="21"/>
  <c r="BG389" i="21"/>
  <c r="BH389" i="21" s="1"/>
  <c r="BE389" i="21"/>
  <c r="BF389" i="21" s="1"/>
  <c r="AW389" i="21"/>
  <c r="AX389" i="21" s="1"/>
  <c r="AU389" i="21"/>
  <c r="AS389" i="21"/>
  <c r="AT389" i="21" s="1"/>
  <c r="AQ389" i="21"/>
  <c r="AR389" i="21" s="1"/>
  <c r="AO389" i="21"/>
  <c r="AP389" i="21" s="1"/>
  <c r="AM389" i="21"/>
  <c r="AN389" i="21" s="1"/>
  <c r="AK389" i="21"/>
  <c r="AL389" i="21" s="1"/>
  <c r="AG389" i="21"/>
  <c r="AH389" i="21" s="1"/>
  <c r="AE389" i="21"/>
  <c r="AF389" i="21" s="1"/>
  <c r="AC389" i="21"/>
  <c r="AA389" i="21"/>
  <c r="AB389" i="21" s="1"/>
  <c r="W389" i="21"/>
  <c r="X389" i="21" s="1"/>
  <c r="U389" i="21"/>
  <c r="V389" i="21" s="1"/>
  <c r="S389" i="21"/>
  <c r="T389" i="21" s="1"/>
  <c r="Q389" i="21"/>
  <c r="R389" i="21" s="1"/>
  <c r="P389" i="21"/>
  <c r="O389" i="21"/>
  <c r="N389" i="21"/>
  <c r="M389" i="21"/>
  <c r="L389" i="21"/>
  <c r="K389" i="21"/>
  <c r="J389" i="21"/>
  <c r="I389" i="21"/>
  <c r="H389" i="21"/>
  <c r="G389" i="21"/>
  <c r="F389" i="21"/>
  <c r="E389" i="21"/>
  <c r="D389" i="21"/>
  <c r="C389" i="21"/>
  <c r="B389" i="21"/>
  <c r="A389" i="21"/>
  <c r="BG388" i="21"/>
  <c r="BH388" i="21" s="1"/>
  <c r="BE388" i="21"/>
  <c r="BF388" i="21" s="1"/>
  <c r="AW388" i="21"/>
  <c r="AX388" i="21" s="1"/>
  <c r="AU388" i="21"/>
  <c r="AV388" i="21" s="1"/>
  <c r="AS388" i="21"/>
  <c r="AT388" i="21" s="1"/>
  <c r="AQ388" i="21"/>
  <c r="AO388" i="21"/>
  <c r="AP388" i="21" s="1"/>
  <c r="AM388" i="21"/>
  <c r="AN388" i="21" s="1"/>
  <c r="AK388" i="21"/>
  <c r="AL388" i="21" s="1"/>
  <c r="AG388" i="21"/>
  <c r="AE388" i="21"/>
  <c r="AF388" i="21" s="1"/>
  <c r="AC388" i="21"/>
  <c r="AD388" i="21" s="1"/>
  <c r="AA388" i="21"/>
  <c r="AB388" i="21" s="1"/>
  <c r="W388" i="21"/>
  <c r="X388" i="21" s="1"/>
  <c r="U388" i="21"/>
  <c r="V388" i="21" s="1"/>
  <c r="S388" i="21"/>
  <c r="T388" i="21" s="1"/>
  <c r="Q388" i="21"/>
  <c r="R388" i="21" s="1"/>
  <c r="P388" i="21"/>
  <c r="O388" i="21"/>
  <c r="N388" i="21"/>
  <c r="M388" i="21"/>
  <c r="L388" i="21"/>
  <c r="K388" i="21"/>
  <c r="J388" i="21"/>
  <c r="I388" i="21"/>
  <c r="H388" i="21"/>
  <c r="G388" i="21"/>
  <c r="F388" i="21"/>
  <c r="E388" i="21"/>
  <c r="D388" i="21"/>
  <c r="C388" i="21"/>
  <c r="B388" i="21"/>
  <c r="A388" i="21"/>
  <c r="BG387" i="21"/>
  <c r="BH387" i="21" s="1"/>
  <c r="BE387" i="21"/>
  <c r="BF387" i="21" s="1"/>
  <c r="AW387" i="21"/>
  <c r="AX387" i="21" s="1"/>
  <c r="AU387" i="21"/>
  <c r="AV387" i="21" s="1"/>
  <c r="AS387" i="21"/>
  <c r="AT387" i="21" s="1"/>
  <c r="AQ387" i="21"/>
  <c r="AO387" i="21"/>
  <c r="AP387" i="21" s="1"/>
  <c r="AM387" i="21"/>
  <c r="AN387" i="21" s="1"/>
  <c r="AK387" i="21"/>
  <c r="AL387" i="21" s="1"/>
  <c r="AG387" i="21"/>
  <c r="AE387" i="21"/>
  <c r="AF387" i="21" s="1"/>
  <c r="AC387" i="21"/>
  <c r="AD387" i="21" s="1"/>
  <c r="AA387" i="21"/>
  <c r="AB387" i="21" s="1"/>
  <c r="W387" i="21"/>
  <c r="X387" i="21" s="1"/>
  <c r="U387" i="21"/>
  <c r="V387" i="21" s="1"/>
  <c r="S387" i="21"/>
  <c r="Q387" i="21"/>
  <c r="R387" i="21" s="1"/>
  <c r="P387" i="21"/>
  <c r="O387" i="21"/>
  <c r="N387" i="21"/>
  <c r="M387" i="21"/>
  <c r="L387" i="21"/>
  <c r="K387" i="21"/>
  <c r="J387" i="21"/>
  <c r="I387" i="21"/>
  <c r="H387" i="21"/>
  <c r="G387" i="21"/>
  <c r="F387" i="21"/>
  <c r="E387" i="21"/>
  <c r="D387" i="21"/>
  <c r="C387" i="21"/>
  <c r="B387" i="21"/>
  <c r="A387" i="21"/>
  <c r="BG386" i="21"/>
  <c r="BH386" i="21" s="1"/>
  <c r="BE386" i="21"/>
  <c r="BF386" i="21" s="1"/>
  <c r="AW386" i="21"/>
  <c r="AX386" i="21" s="1"/>
  <c r="AU386" i="21"/>
  <c r="AS386" i="21"/>
  <c r="AT386" i="21" s="1"/>
  <c r="AQ386" i="21"/>
  <c r="AR386" i="21" s="1"/>
  <c r="AO386" i="21"/>
  <c r="AP386" i="21" s="1"/>
  <c r="AM386" i="21"/>
  <c r="AN386" i="21" s="1"/>
  <c r="AK386" i="21"/>
  <c r="AL386" i="21" s="1"/>
  <c r="AG386" i="21"/>
  <c r="AH386" i="21" s="1"/>
  <c r="AE386" i="21"/>
  <c r="AF386" i="21" s="1"/>
  <c r="AC386" i="21"/>
  <c r="AA386" i="21"/>
  <c r="AB386" i="21" s="1"/>
  <c r="W386" i="21"/>
  <c r="X386" i="21" s="1"/>
  <c r="U386" i="21"/>
  <c r="V386" i="21" s="1"/>
  <c r="S386" i="21"/>
  <c r="T386" i="21" s="1"/>
  <c r="Q386" i="21"/>
  <c r="R386" i="21" s="1"/>
  <c r="P386" i="21"/>
  <c r="O386" i="21"/>
  <c r="N386" i="21"/>
  <c r="M386" i="21"/>
  <c r="L386" i="21"/>
  <c r="K386" i="21"/>
  <c r="J386" i="21"/>
  <c r="I386" i="21"/>
  <c r="H386" i="21"/>
  <c r="G386" i="21"/>
  <c r="F386" i="21"/>
  <c r="E386" i="21"/>
  <c r="D386" i="21"/>
  <c r="C386" i="21"/>
  <c r="B386" i="21"/>
  <c r="A386" i="21"/>
  <c r="BG385" i="21"/>
  <c r="BH385" i="21" s="1"/>
  <c r="BE385" i="21"/>
  <c r="AW385" i="21"/>
  <c r="AX385" i="21" s="1"/>
  <c r="AU385" i="21"/>
  <c r="AV385" i="21" s="1"/>
  <c r="AS385" i="21"/>
  <c r="AT385" i="21" s="1"/>
  <c r="AQ385" i="21"/>
  <c r="AR385" i="21" s="1"/>
  <c r="AO385" i="21"/>
  <c r="AP385" i="21" s="1"/>
  <c r="AM385" i="21"/>
  <c r="AN385" i="21" s="1"/>
  <c r="AK385" i="21"/>
  <c r="AL385" i="21" s="1"/>
  <c r="AG385" i="21"/>
  <c r="AH385" i="21" s="1"/>
  <c r="AE385" i="21"/>
  <c r="AF385" i="21" s="1"/>
  <c r="AC385" i="21"/>
  <c r="AA385" i="21"/>
  <c r="AB385" i="21" s="1"/>
  <c r="W385" i="21"/>
  <c r="X385" i="21" s="1"/>
  <c r="U385" i="21"/>
  <c r="V385" i="21" s="1"/>
  <c r="S385" i="21"/>
  <c r="Q385" i="21"/>
  <c r="R385" i="21" s="1"/>
  <c r="P385" i="21"/>
  <c r="O385" i="21"/>
  <c r="N385" i="21"/>
  <c r="M385" i="21"/>
  <c r="L385" i="21"/>
  <c r="K385" i="21"/>
  <c r="J385" i="21"/>
  <c r="I385" i="21"/>
  <c r="H385" i="21"/>
  <c r="G385" i="21"/>
  <c r="F385" i="21"/>
  <c r="E385" i="21"/>
  <c r="D385" i="21"/>
  <c r="C385" i="21"/>
  <c r="B385" i="21"/>
  <c r="A385" i="21"/>
  <c r="BG384" i="21"/>
  <c r="BH384" i="21" s="1"/>
  <c r="BE384" i="21"/>
  <c r="BF384" i="21" s="1"/>
  <c r="AW384" i="21"/>
  <c r="AX384" i="21" s="1"/>
  <c r="AU384" i="21"/>
  <c r="AV384" i="21" s="1"/>
  <c r="AS384" i="21"/>
  <c r="AT384" i="21" s="1"/>
  <c r="AQ384" i="21"/>
  <c r="AR384" i="21" s="1"/>
  <c r="AO384" i="21"/>
  <c r="AP384" i="21" s="1"/>
  <c r="AM384" i="21"/>
  <c r="AN384" i="21" s="1"/>
  <c r="AK384" i="21"/>
  <c r="AL384" i="21" s="1"/>
  <c r="AG384" i="21"/>
  <c r="AE384" i="21"/>
  <c r="AF384" i="21" s="1"/>
  <c r="AC384" i="21"/>
  <c r="AD384" i="21" s="1"/>
  <c r="AA384" i="21"/>
  <c r="AB384" i="21" s="1"/>
  <c r="W384" i="21"/>
  <c r="X384" i="21" s="1"/>
  <c r="U384" i="21"/>
  <c r="S384" i="21"/>
  <c r="T384" i="21" s="1"/>
  <c r="Q384" i="21"/>
  <c r="R384" i="21" s="1"/>
  <c r="P384" i="21"/>
  <c r="O384" i="21"/>
  <c r="N384" i="21"/>
  <c r="M384" i="21"/>
  <c r="L384" i="21"/>
  <c r="K384" i="21"/>
  <c r="J384" i="21"/>
  <c r="I384" i="21"/>
  <c r="H384" i="21"/>
  <c r="G384" i="21"/>
  <c r="F384" i="21"/>
  <c r="E384" i="21"/>
  <c r="D384" i="21"/>
  <c r="C384" i="21"/>
  <c r="B384" i="21"/>
  <c r="A384" i="21"/>
  <c r="BG383" i="21"/>
  <c r="BH383" i="21" s="1"/>
  <c r="BE383" i="21"/>
  <c r="BF383" i="21" s="1"/>
  <c r="AW383" i="21"/>
  <c r="AU383" i="21"/>
  <c r="AV383" i="21" s="1"/>
  <c r="AS383" i="21"/>
  <c r="AT383" i="21" s="1"/>
  <c r="AQ383" i="21"/>
  <c r="AR383" i="21" s="1"/>
  <c r="AO383" i="21"/>
  <c r="AP383" i="21" s="1"/>
  <c r="AM383" i="21"/>
  <c r="AN383" i="21" s="1"/>
  <c r="AK383" i="21"/>
  <c r="AL383" i="21" s="1"/>
  <c r="AG383" i="21"/>
  <c r="AH383" i="21" s="1"/>
  <c r="AE383" i="21"/>
  <c r="AF383" i="21" s="1"/>
  <c r="AC383" i="21"/>
  <c r="AD383" i="21" s="1"/>
  <c r="AJ383" i="21" s="1"/>
  <c r="AA383" i="21"/>
  <c r="W383" i="21"/>
  <c r="U383" i="21"/>
  <c r="V383" i="21" s="1"/>
  <c r="S383" i="21"/>
  <c r="T383" i="21" s="1"/>
  <c r="Q383" i="21"/>
  <c r="R383" i="21" s="1"/>
  <c r="P383" i="21"/>
  <c r="O383" i="21"/>
  <c r="N383" i="21"/>
  <c r="M383" i="21"/>
  <c r="L383" i="21"/>
  <c r="K383" i="21"/>
  <c r="J383" i="21"/>
  <c r="I383" i="21"/>
  <c r="H383" i="21"/>
  <c r="G383" i="21"/>
  <c r="F383" i="21"/>
  <c r="E383" i="21"/>
  <c r="D383" i="21"/>
  <c r="C383" i="21"/>
  <c r="B383" i="21"/>
  <c r="A383" i="21"/>
  <c r="BG382" i="21"/>
  <c r="BH382" i="21" s="1"/>
  <c r="BE382" i="21"/>
  <c r="BF382" i="21" s="1"/>
  <c r="AW382" i="21"/>
  <c r="AX382" i="21" s="1"/>
  <c r="AU382" i="21"/>
  <c r="AV382" i="21" s="1"/>
  <c r="AS382" i="21"/>
  <c r="AT382" i="21" s="1"/>
  <c r="AQ382" i="21"/>
  <c r="AR382" i="21" s="1"/>
  <c r="AO382" i="21"/>
  <c r="AP382" i="21" s="1"/>
  <c r="AM382" i="21"/>
  <c r="AN382" i="21" s="1"/>
  <c r="AK382" i="21"/>
  <c r="AL382" i="21" s="1"/>
  <c r="AG382" i="21"/>
  <c r="AH382" i="21" s="1"/>
  <c r="AE382" i="21"/>
  <c r="AF382" i="21" s="1"/>
  <c r="AC382" i="21"/>
  <c r="AD382" i="21" s="1"/>
  <c r="AA382" i="21"/>
  <c r="W382" i="21"/>
  <c r="X382" i="21" s="1"/>
  <c r="U382" i="21"/>
  <c r="V382" i="21" s="1"/>
  <c r="S382" i="21"/>
  <c r="Q382" i="21"/>
  <c r="R382" i="21" s="1"/>
  <c r="P382" i="21"/>
  <c r="O382" i="21"/>
  <c r="N382" i="21"/>
  <c r="M382" i="21"/>
  <c r="L382" i="21"/>
  <c r="K382" i="21"/>
  <c r="J382" i="21"/>
  <c r="I382" i="21"/>
  <c r="H382" i="21"/>
  <c r="G382" i="21"/>
  <c r="F382" i="21"/>
  <c r="E382" i="21"/>
  <c r="D382" i="21"/>
  <c r="C382" i="21"/>
  <c r="B382" i="21"/>
  <c r="A382" i="21"/>
  <c r="BG381" i="21"/>
  <c r="BH381" i="21" s="1"/>
  <c r="BE381" i="21"/>
  <c r="BF381" i="21" s="1"/>
  <c r="AW381" i="21"/>
  <c r="AX381" i="21" s="1"/>
  <c r="AU381" i="21"/>
  <c r="AS381" i="21"/>
  <c r="AT381" i="21" s="1"/>
  <c r="AQ381" i="21"/>
  <c r="AR381" i="21" s="1"/>
  <c r="AO381" i="21"/>
  <c r="AP381" i="21" s="1"/>
  <c r="AM381" i="21"/>
  <c r="AN381" i="21" s="1"/>
  <c r="AK381" i="21"/>
  <c r="AL381" i="21" s="1"/>
  <c r="AG381" i="21"/>
  <c r="AH381" i="21" s="1"/>
  <c r="AE381" i="21"/>
  <c r="AC381" i="21"/>
  <c r="AD381" i="21" s="1"/>
  <c r="AA381" i="21"/>
  <c r="AB381" i="21" s="1"/>
  <c r="W381" i="21"/>
  <c r="U381" i="21"/>
  <c r="V381" i="21" s="1"/>
  <c r="S381" i="21"/>
  <c r="T381" i="21" s="1"/>
  <c r="Q381" i="21"/>
  <c r="R381" i="21" s="1"/>
  <c r="P381" i="21"/>
  <c r="O381" i="21"/>
  <c r="N381" i="21"/>
  <c r="M381" i="21"/>
  <c r="L381" i="21"/>
  <c r="K381" i="21"/>
  <c r="J381" i="21"/>
  <c r="I381" i="21"/>
  <c r="H381" i="21"/>
  <c r="G381" i="21"/>
  <c r="F381" i="21"/>
  <c r="E381" i="21"/>
  <c r="D381" i="21"/>
  <c r="C381" i="21"/>
  <c r="B381" i="21"/>
  <c r="A381" i="21"/>
  <c r="BG380" i="21"/>
  <c r="BH380" i="21" s="1"/>
  <c r="BE380" i="21"/>
  <c r="BF380" i="21" s="1"/>
  <c r="AW380" i="21"/>
  <c r="AX380" i="21" s="1"/>
  <c r="AU380" i="21"/>
  <c r="AV380" i="21" s="1"/>
  <c r="AS380" i="21"/>
  <c r="AT380" i="21" s="1"/>
  <c r="AQ380" i="21"/>
  <c r="AR380" i="21" s="1"/>
  <c r="AO380" i="21"/>
  <c r="AP380" i="21" s="1"/>
  <c r="AM380" i="21"/>
  <c r="AN380" i="21" s="1"/>
  <c r="AK380" i="21"/>
  <c r="AG380" i="21"/>
  <c r="AH380" i="21" s="1"/>
  <c r="AE380" i="21"/>
  <c r="AF380" i="21" s="1"/>
  <c r="AC380" i="21"/>
  <c r="AA380" i="21"/>
  <c r="AB380" i="21" s="1"/>
  <c r="W380" i="21"/>
  <c r="X380" i="21" s="1"/>
  <c r="U380" i="21"/>
  <c r="V380" i="21" s="1"/>
  <c r="S380" i="21"/>
  <c r="T380" i="21" s="1"/>
  <c r="Q380" i="21"/>
  <c r="R380" i="21" s="1"/>
  <c r="P380" i="21"/>
  <c r="O380" i="21"/>
  <c r="N380" i="21"/>
  <c r="M380" i="21"/>
  <c r="L380" i="21"/>
  <c r="K380" i="21"/>
  <c r="J380" i="21"/>
  <c r="I380" i="21"/>
  <c r="H380" i="21"/>
  <c r="G380" i="21"/>
  <c r="F380" i="21"/>
  <c r="E380" i="21"/>
  <c r="D380" i="21"/>
  <c r="C380" i="21"/>
  <c r="B380" i="21"/>
  <c r="A380" i="21"/>
  <c r="BG379" i="21"/>
  <c r="BH379" i="21" s="1"/>
  <c r="BE379" i="21"/>
  <c r="BF379" i="21" s="1"/>
  <c r="AW379" i="21"/>
  <c r="AX379" i="21" s="1"/>
  <c r="AU379" i="21"/>
  <c r="AV379" i="21" s="1"/>
  <c r="AS379" i="21"/>
  <c r="AT379" i="21" s="1"/>
  <c r="AQ379" i="21"/>
  <c r="AR379" i="21" s="1"/>
  <c r="AO379" i="21"/>
  <c r="AM379" i="21"/>
  <c r="AN379" i="21" s="1"/>
  <c r="AK379" i="21"/>
  <c r="AL379" i="21" s="1"/>
  <c r="AG379" i="21"/>
  <c r="AE379" i="21"/>
  <c r="AF379" i="21" s="1"/>
  <c r="AC379" i="21"/>
  <c r="AD379" i="21" s="1"/>
  <c r="AA379" i="21"/>
  <c r="AB379" i="21" s="1"/>
  <c r="W379" i="21"/>
  <c r="U379" i="21"/>
  <c r="V379" i="21" s="1"/>
  <c r="S379" i="21"/>
  <c r="T379" i="21" s="1"/>
  <c r="Q379" i="21"/>
  <c r="R379" i="21" s="1"/>
  <c r="P379" i="21"/>
  <c r="O379" i="21"/>
  <c r="N379" i="21"/>
  <c r="M379" i="21"/>
  <c r="L379" i="21"/>
  <c r="K379" i="21"/>
  <c r="J379" i="21"/>
  <c r="I379" i="21"/>
  <c r="H379" i="21"/>
  <c r="G379" i="21"/>
  <c r="F379" i="21"/>
  <c r="E379" i="21"/>
  <c r="D379" i="21"/>
  <c r="C379" i="21"/>
  <c r="B379" i="21"/>
  <c r="A379" i="21"/>
  <c r="BG378" i="21"/>
  <c r="BH378" i="21" s="1"/>
  <c r="BE378" i="21"/>
  <c r="BF378" i="21" s="1"/>
  <c r="AW378" i="21"/>
  <c r="AX378" i="21" s="1"/>
  <c r="AU378" i="21"/>
  <c r="AV378" i="21" s="1"/>
  <c r="AS378" i="21"/>
  <c r="AQ378" i="21"/>
  <c r="AR378" i="21" s="1"/>
  <c r="AO378" i="21"/>
  <c r="AP378" i="21" s="1"/>
  <c r="AM378" i="21"/>
  <c r="AK378" i="21"/>
  <c r="AL378" i="21" s="1"/>
  <c r="AG378" i="21"/>
  <c r="AH378" i="21" s="1"/>
  <c r="AE378" i="21"/>
  <c r="AF378" i="21" s="1"/>
  <c r="AC378" i="21"/>
  <c r="AD378" i="21" s="1"/>
  <c r="AA378" i="21"/>
  <c r="AB378" i="21" s="1"/>
  <c r="W378" i="21"/>
  <c r="X378" i="21" s="1"/>
  <c r="U378" i="21"/>
  <c r="S378" i="21"/>
  <c r="T378" i="21" s="1"/>
  <c r="Q378" i="21"/>
  <c r="R378" i="21" s="1"/>
  <c r="P378" i="21"/>
  <c r="O378" i="21"/>
  <c r="N378" i="21"/>
  <c r="M378" i="21"/>
  <c r="L378" i="21"/>
  <c r="K378" i="21"/>
  <c r="J378" i="21"/>
  <c r="I378" i="21"/>
  <c r="H378" i="21"/>
  <c r="G378" i="21"/>
  <c r="F378" i="21"/>
  <c r="E378" i="21"/>
  <c r="D378" i="21"/>
  <c r="C378" i="21"/>
  <c r="B378" i="21"/>
  <c r="A378" i="21"/>
  <c r="BG377" i="21"/>
  <c r="BE377" i="21"/>
  <c r="BF377" i="21" s="1"/>
  <c r="AW377" i="21"/>
  <c r="AX377" i="21" s="1"/>
  <c r="AU377" i="21"/>
  <c r="AV377" i="21" s="1"/>
  <c r="AS377" i="21"/>
  <c r="AT377" i="21" s="1"/>
  <c r="AQ377" i="21"/>
  <c r="AO377" i="21"/>
  <c r="AP377" i="21" s="1"/>
  <c r="AM377" i="21"/>
  <c r="AN377" i="21" s="1"/>
  <c r="AK377" i="21"/>
  <c r="AL377" i="21" s="1"/>
  <c r="AG377" i="21"/>
  <c r="AH377" i="21" s="1"/>
  <c r="AE377" i="21"/>
  <c r="AF377" i="21" s="1"/>
  <c r="AC377" i="21"/>
  <c r="AD377" i="21" s="1"/>
  <c r="AA377" i="21"/>
  <c r="W377" i="21"/>
  <c r="X377" i="21" s="1"/>
  <c r="U377" i="21"/>
  <c r="V377" i="21" s="1"/>
  <c r="S377" i="21"/>
  <c r="Q377" i="21"/>
  <c r="R377" i="21" s="1"/>
  <c r="P377" i="21"/>
  <c r="O377" i="21"/>
  <c r="N377" i="21"/>
  <c r="M377" i="21"/>
  <c r="L377" i="21"/>
  <c r="K377" i="21"/>
  <c r="J377" i="21"/>
  <c r="I377" i="21"/>
  <c r="H377" i="21"/>
  <c r="G377" i="21"/>
  <c r="F377" i="21"/>
  <c r="E377" i="21"/>
  <c r="D377" i="21"/>
  <c r="C377" i="21"/>
  <c r="B377" i="21"/>
  <c r="A377" i="21"/>
  <c r="BG376" i="21"/>
  <c r="BH376" i="21" s="1"/>
  <c r="BE376" i="21"/>
  <c r="AW376" i="21"/>
  <c r="AX376" i="21" s="1"/>
  <c r="AU376" i="21"/>
  <c r="AS376" i="21"/>
  <c r="AT376" i="21" s="1"/>
  <c r="AQ376" i="21"/>
  <c r="AR376" i="21" s="1"/>
  <c r="AO376" i="21"/>
  <c r="AP376" i="21" s="1"/>
  <c r="AM376" i="21"/>
  <c r="AN376" i="21" s="1"/>
  <c r="AK376" i="21"/>
  <c r="AL376" i="21" s="1"/>
  <c r="AG376" i="21"/>
  <c r="AH376" i="21" s="1"/>
  <c r="AE376" i="21"/>
  <c r="AC376" i="21"/>
  <c r="AD376" i="21" s="1"/>
  <c r="AA376" i="21"/>
  <c r="AB376" i="21" s="1"/>
  <c r="W376" i="21"/>
  <c r="U376" i="21"/>
  <c r="V376" i="21" s="1"/>
  <c r="S376" i="21"/>
  <c r="T376" i="21" s="1"/>
  <c r="Q376" i="21"/>
  <c r="P376" i="21"/>
  <c r="O376" i="21"/>
  <c r="N376" i="21"/>
  <c r="M376" i="21"/>
  <c r="L376" i="21"/>
  <c r="K376" i="21"/>
  <c r="J376" i="21"/>
  <c r="I376" i="21"/>
  <c r="H376" i="21"/>
  <c r="G376" i="21"/>
  <c r="F376" i="21"/>
  <c r="E376" i="21"/>
  <c r="D376" i="21"/>
  <c r="C376" i="21"/>
  <c r="B376" i="21"/>
  <c r="A376" i="21"/>
  <c r="BG375" i="21"/>
  <c r="BH375" i="21" s="1"/>
  <c r="BE375" i="21"/>
  <c r="BF375" i="21" s="1"/>
  <c r="AW375" i="21"/>
  <c r="AX375" i="21" s="1"/>
  <c r="AU375" i="21"/>
  <c r="AV375" i="21" s="1"/>
  <c r="AS375" i="21"/>
  <c r="AT375" i="21" s="1"/>
  <c r="AQ375" i="21"/>
  <c r="AO375" i="21"/>
  <c r="AP375" i="21" s="1"/>
  <c r="AM375" i="21"/>
  <c r="AN375" i="21" s="1"/>
  <c r="AK375" i="21"/>
  <c r="AG375" i="21"/>
  <c r="AH375" i="21" s="1"/>
  <c r="AE375" i="21"/>
  <c r="AF375" i="21" s="1"/>
  <c r="AC375" i="21"/>
  <c r="AA375" i="21"/>
  <c r="AB375" i="21" s="1"/>
  <c r="W375" i="21"/>
  <c r="X375" i="21" s="1"/>
  <c r="U375" i="21"/>
  <c r="V375" i="21" s="1"/>
  <c r="S375" i="21"/>
  <c r="T375" i="21" s="1"/>
  <c r="Q375" i="21"/>
  <c r="R375" i="21" s="1"/>
  <c r="P375" i="21"/>
  <c r="O375" i="21"/>
  <c r="N375" i="21"/>
  <c r="M375" i="21"/>
  <c r="L375" i="21"/>
  <c r="K375" i="21"/>
  <c r="J375" i="21"/>
  <c r="I375" i="21"/>
  <c r="H375" i="21"/>
  <c r="G375" i="21"/>
  <c r="F375" i="21"/>
  <c r="E375" i="21"/>
  <c r="D375" i="21"/>
  <c r="C375" i="21"/>
  <c r="B375" i="21"/>
  <c r="A375" i="21"/>
  <c r="BG374" i="21"/>
  <c r="BE374" i="21"/>
  <c r="BF374" i="21" s="1"/>
  <c r="AW374" i="21"/>
  <c r="AX374" i="21" s="1"/>
  <c r="AU374" i="21"/>
  <c r="AV374" i="21" s="1"/>
  <c r="AS374" i="21"/>
  <c r="AT374" i="21" s="1"/>
  <c r="AQ374" i="21"/>
  <c r="AR374" i="21" s="1"/>
  <c r="AO374" i="21"/>
  <c r="AM374" i="21"/>
  <c r="AN374" i="21" s="1"/>
  <c r="AK374" i="21"/>
  <c r="AL374" i="21" s="1"/>
  <c r="AG374" i="21"/>
  <c r="AE374" i="21"/>
  <c r="AF374" i="21" s="1"/>
  <c r="AC374" i="21"/>
  <c r="AD374" i="21" s="1"/>
  <c r="AA374" i="21"/>
  <c r="W374" i="21"/>
  <c r="X374" i="21" s="1"/>
  <c r="U374" i="21"/>
  <c r="V374" i="21" s="1"/>
  <c r="S374" i="21"/>
  <c r="T374" i="21" s="1"/>
  <c r="Q374" i="21"/>
  <c r="R374" i="21" s="1"/>
  <c r="P374" i="21"/>
  <c r="O374" i="21"/>
  <c r="N374" i="21"/>
  <c r="M374" i="21"/>
  <c r="L374" i="21"/>
  <c r="K374" i="21"/>
  <c r="J374" i="21"/>
  <c r="I374" i="21"/>
  <c r="H374" i="21"/>
  <c r="G374" i="21"/>
  <c r="F374" i="21"/>
  <c r="E374" i="21"/>
  <c r="D374" i="21"/>
  <c r="C374" i="21"/>
  <c r="B374" i="21"/>
  <c r="A374" i="21"/>
  <c r="BG373" i="21"/>
  <c r="BH373" i="21" s="1"/>
  <c r="BE373" i="21"/>
  <c r="BF373" i="21" s="1"/>
  <c r="AW373" i="21"/>
  <c r="AX373" i="21" s="1"/>
  <c r="AU373" i="21"/>
  <c r="AV373" i="21" s="1"/>
  <c r="AS373" i="21"/>
  <c r="AQ373" i="21"/>
  <c r="AR373" i="21" s="1"/>
  <c r="AO373" i="21"/>
  <c r="AM373" i="21"/>
  <c r="AK373" i="21"/>
  <c r="AL373" i="21" s="1"/>
  <c r="AG373" i="21"/>
  <c r="AH373" i="21" s="1"/>
  <c r="AE373" i="21"/>
  <c r="AC373" i="21"/>
  <c r="AD373" i="21" s="1"/>
  <c r="AA373" i="21"/>
  <c r="AB373" i="21" s="1"/>
  <c r="W373" i="21"/>
  <c r="X373" i="21" s="1"/>
  <c r="U373" i="21"/>
  <c r="V373" i="21" s="1"/>
  <c r="S373" i="21"/>
  <c r="Q373" i="21"/>
  <c r="R373" i="21" s="1"/>
  <c r="P373" i="21"/>
  <c r="O373" i="21"/>
  <c r="N373" i="21"/>
  <c r="M373" i="21"/>
  <c r="L373" i="21"/>
  <c r="K373" i="21"/>
  <c r="J373" i="21"/>
  <c r="I373" i="21"/>
  <c r="H373" i="21"/>
  <c r="G373" i="21"/>
  <c r="F373" i="21"/>
  <c r="E373" i="21"/>
  <c r="D373" i="21"/>
  <c r="C373" i="21"/>
  <c r="B373" i="21"/>
  <c r="A373" i="21"/>
  <c r="BG372" i="21"/>
  <c r="BH372" i="21" s="1"/>
  <c r="BE372" i="21"/>
  <c r="BF372" i="21" s="1"/>
  <c r="AW372" i="21"/>
  <c r="AU372" i="21"/>
  <c r="AV372" i="21" s="1"/>
  <c r="AS372" i="21"/>
  <c r="AT372" i="21" s="1"/>
  <c r="AQ372" i="21"/>
  <c r="AR372" i="21" s="1"/>
  <c r="AO372" i="21"/>
  <c r="AP372" i="21" s="1"/>
  <c r="AM372" i="21"/>
  <c r="AN372" i="21" s="1"/>
  <c r="AK372" i="21"/>
  <c r="AG372" i="21"/>
  <c r="AE372" i="21"/>
  <c r="AF372" i="21" s="1"/>
  <c r="AC372" i="21"/>
  <c r="AD372" i="21" s="1"/>
  <c r="AA372" i="21"/>
  <c r="AB372" i="21" s="1"/>
  <c r="W372" i="21"/>
  <c r="X372" i="21" s="1"/>
  <c r="U372" i="21"/>
  <c r="V372" i="21" s="1"/>
  <c r="S372" i="21"/>
  <c r="Q372" i="21"/>
  <c r="R372" i="21" s="1"/>
  <c r="P372" i="21"/>
  <c r="O372" i="21"/>
  <c r="N372" i="21"/>
  <c r="M372" i="21"/>
  <c r="L372" i="21"/>
  <c r="K372" i="21"/>
  <c r="J372" i="21"/>
  <c r="I372" i="21"/>
  <c r="H372" i="21"/>
  <c r="G372" i="21"/>
  <c r="F372" i="21"/>
  <c r="E372" i="21"/>
  <c r="D372" i="21"/>
  <c r="C372" i="21"/>
  <c r="B372" i="21"/>
  <c r="A372" i="21"/>
  <c r="BG371" i="21"/>
  <c r="BH371" i="21" s="1"/>
  <c r="BE371" i="21"/>
  <c r="BF371" i="21" s="1"/>
  <c r="AW371" i="21"/>
  <c r="AX371" i="21" s="1"/>
  <c r="AU371" i="21"/>
  <c r="AV371" i="21" s="1"/>
  <c r="AS371" i="21"/>
  <c r="AT371" i="21" s="1"/>
  <c r="AQ371" i="21"/>
  <c r="AR371" i="21" s="1"/>
  <c r="AO371" i="21"/>
  <c r="AM371" i="21"/>
  <c r="AK371" i="21"/>
  <c r="AL371" i="21" s="1"/>
  <c r="AG371" i="21"/>
  <c r="AE371" i="21"/>
  <c r="AF371" i="21" s="1"/>
  <c r="AC371" i="21"/>
  <c r="AD371" i="21" s="1"/>
  <c r="AA371" i="21"/>
  <c r="AB371" i="21" s="1"/>
  <c r="W371" i="21"/>
  <c r="U371" i="21"/>
  <c r="V371" i="21" s="1"/>
  <c r="S371" i="21"/>
  <c r="T371" i="21" s="1"/>
  <c r="Q371" i="21"/>
  <c r="R371" i="21" s="1"/>
  <c r="P371" i="21"/>
  <c r="O371" i="21"/>
  <c r="N371" i="21"/>
  <c r="M371" i="21"/>
  <c r="L371" i="21"/>
  <c r="K371" i="21"/>
  <c r="J371" i="21"/>
  <c r="I371" i="21"/>
  <c r="H371" i="21"/>
  <c r="G371" i="21"/>
  <c r="F371" i="21"/>
  <c r="E371" i="21"/>
  <c r="D371" i="21"/>
  <c r="C371" i="21"/>
  <c r="B371" i="21"/>
  <c r="A371" i="21"/>
  <c r="BG370" i="21"/>
  <c r="BH370" i="21" s="1"/>
  <c r="BE370" i="21"/>
  <c r="BF370" i="21" s="1"/>
  <c r="AW370" i="21"/>
  <c r="AX370" i="21" s="1"/>
  <c r="AU370" i="21"/>
  <c r="AV370" i="21" s="1"/>
  <c r="AS370" i="21"/>
  <c r="AQ370" i="21"/>
  <c r="AO370" i="21"/>
  <c r="AP370" i="21" s="1"/>
  <c r="AM370" i="21"/>
  <c r="AN370" i="21" s="1"/>
  <c r="AK370" i="21"/>
  <c r="AL370" i="21" s="1"/>
  <c r="AG370" i="21"/>
  <c r="AH370" i="21" s="1"/>
  <c r="AE370" i="21"/>
  <c r="AF370" i="21" s="1"/>
  <c r="AC370" i="21"/>
  <c r="AD370" i="21" s="1"/>
  <c r="AA370" i="21"/>
  <c r="AB370" i="21" s="1"/>
  <c r="W370" i="21"/>
  <c r="X370" i="21" s="1"/>
  <c r="U370" i="21"/>
  <c r="V370" i="21" s="1"/>
  <c r="S370" i="21"/>
  <c r="Q370" i="21"/>
  <c r="R370" i="21" s="1"/>
  <c r="P370" i="21"/>
  <c r="O370" i="21"/>
  <c r="N370" i="21"/>
  <c r="M370" i="21"/>
  <c r="L370" i="21"/>
  <c r="K370" i="21"/>
  <c r="J370" i="21"/>
  <c r="I370" i="21"/>
  <c r="H370" i="21"/>
  <c r="G370" i="21"/>
  <c r="F370" i="21"/>
  <c r="E370" i="21"/>
  <c r="D370" i="21"/>
  <c r="C370" i="21"/>
  <c r="B370" i="21"/>
  <c r="A370" i="21"/>
  <c r="BG369" i="21"/>
  <c r="BE369" i="21"/>
  <c r="BF369" i="21" s="1"/>
  <c r="AW369" i="21"/>
  <c r="AX369" i="21" s="1"/>
  <c r="AU369" i="21"/>
  <c r="AS369" i="21"/>
  <c r="AT369" i="21" s="1"/>
  <c r="AQ369" i="21"/>
  <c r="AR369" i="21" s="1"/>
  <c r="AO369" i="21"/>
  <c r="AP369" i="21" s="1"/>
  <c r="AM369" i="21"/>
  <c r="AK369" i="21"/>
  <c r="AL369" i="21" s="1"/>
  <c r="AG369" i="21"/>
  <c r="AH369" i="21" s="1"/>
  <c r="AE369" i="21"/>
  <c r="AF369" i="21" s="1"/>
  <c r="AC369" i="21"/>
  <c r="AD369" i="21" s="1"/>
  <c r="AA369" i="21"/>
  <c r="W369" i="21"/>
  <c r="U369" i="21"/>
  <c r="V369" i="21" s="1"/>
  <c r="S369" i="21"/>
  <c r="Q369" i="21"/>
  <c r="R369" i="21" s="1"/>
  <c r="P369" i="21"/>
  <c r="O369" i="21"/>
  <c r="N369" i="21"/>
  <c r="M369" i="21"/>
  <c r="L369" i="21"/>
  <c r="K369" i="21"/>
  <c r="J369" i="21"/>
  <c r="I369" i="21"/>
  <c r="H369" i="21"/>
  <c r="G369" i="21"/>
  <c r="F369" i="21"/>
  <c r="E369" i="21"/>
  <c r="D369" i="21"/>
  <c r="C369" i="21"/>
  <c r="B369" i="21"/>
  <c r="A369" i="21"/>
  <c r="BG368" i="21"/>
  <c r="BE368" i="21"/>
  <c r="BF368" i="21" s="1"/>
  <c r="AW368" i="21"/>
  <c r="AU368" i="21"/>
  <c r="AV368" i="21" s="1"/>
  <c r="AS368" i="21"/>
  <c r="AT368" i="21" s="1"/>
  <c r="AQ368" i="21"/>
  <c r="AR368" i="21" s="1"/>
  <c r="AO368" i="21"/>
  <c r="AP368" i="21" s="1"/>
  <c r="AM368" i="21"/>
  <c r="AN368" i="21" s="1"/>
  <c r="AK368" i="21"/>
  <c r="AL368" i="21" s="1"/>
  <c r="AG368" i="21"/>
  <c r="AH368" i="21" s="1"/>
  <c r="AE368" i="21"/>
  <c r="AC368" i="21"/>
  <c r="AA368" i="21"/>
  <c r="AB368" i="21" s="1"/>
  <c r="W368" i="21"/>
  <c r="X368" i="21" s="1"/>
  <c r="U368" i="21"/>
  <c r="V368" i="21" s="1"/>
  <c r="S368" i="21"/>
  <c r="T368" i="21" s="1"/>
  <c r="Q368" i="21"/>
  <c r="R368" i="21" s="1"/>
  <c r="P368" i="21"/>
  <c r="O368" i="21"/>
  <c r="N368" i="21"/>
  <c r="M368" i="21"/>
  <c r="L368" i="21"/>
  <c r="K368" i="21"/>
  <c r="J368" i="21"/>
  <c r="I368" i="21"/>
  <c r="H368" i="21"/>
  <c r="G368" i="21"/>
  <c r="F368" i="21"/>
  <c r="E368" i="21"/>
  <c r="D368" i="21"/>
  <c r="C368" i="21"/>
  <c r="B368" i="21"/>
  <c r="A368" i="21"/>
  <c r="BG367" i="21"/>
  <c r="BH367" i="21" s="1"/>
  <c r="BE367" i="21"/>
  <c r="BF367" i="21" s="1"/>
  <c r="AW367" i="21"/>
  <c r="AX367" i="21" s="1"/>
  <c r="AU367" i="21"/>
  <c r="AV367" i="21" s="1"/>
  <c r="AS367" i="21"/>
  <c r="AT367" i="21" s="1"/>
  <c r="AQ367" i="21"/>
  <c r="AR367" i="21" s="1"/>
  <c r="AO367" i="21"/>
  <c r="AP367" i="21" s="1"/>
  <c r="AM367" i="21"/>
  <c r="AN367" i="21" s="1"/>
  <c r="AK367" i="21"/>
  <c r="AL367" i="21" s="1"/>
  <c r="AG367" i="21"/>
  <c r="AE367" i="21"/>
  <c r="AF367" i="21" s="1"/>
  <c r="AC367" i="21"/>
  <c r="AA367" i="21"/>
  <c r="AB367" i="21" s="1"/>
  <c r="W367" i="21"/>
  <c r="U367" i="21"/>
  <c r="V367" i="21" s="1"/>
  <c r="S367" i="21"/>
  <c r="T367" i="21" s="1"/>
  <c r="Q367" i="21"/>
  <c r="R367" i="21" s="1"/>
  <c r="P367" i="21"/>
  <c r="O367" i="21"/>
  <c r="N367" i="21"/>
  <c r="M367" i="21"/>
  <c r="L367" i="21"/>
  <c r="K367" i="21"/>
  <c r="J367" i="21"/>
  <c r="I367" i="21"/>
  <c r="H367" i="21"/>
  <c r="G367" i="21"/>
  <c r="F367" i="21"/>
  <c r="E367" i="21"/>
  <c r="D367" i="21"/>
  <c r="C367" i="21"/>
  <c r="B367" i="21"/>
  <c r="A367" i="21"/>
  <c r="BG366" i="21"/>
  <c r="BH366" i="21" s="1"/>
  <c r="BE366" i="21"/>
  <c r="BF366" i="21" s="1"/>
  <c r="AW366" i="21"/>
  <c r="AX366" i="21" s="1"/>
  <c r="AU366" i="21"/>
  <c r="AV366" i="21" s="1"/>
  <c r="AS366" i="21"/>
  <c r="AT366" i="21" s="1"/>
  <c r="AQ366" i="21"/>
  <c r="AR366" i="21" s="1"/>
  <c r="AO366" i="21"/>
  <c r="AP366" i="21" s="1"/>
  <c r="AM366" i="21"/>
  <c r="AK366" i="21"/>
  <c r="AL366" i="21" s="1"/>
  <c r="AG366" i="21"/>
  <c r="AE366" i="21"/>
  <c r="AF366" i="21" s="1"/>
  <c r="AC366" i="21"/>
  <c r="AD366" i="21" s="1"/>
  <c r="AA366" i="21"/>
  <c r="AB366" i="21" s="1"/>
  <c r="W366" i="21"/>
  <c r="X366" i="21" s="1"/>
  <c r="U366" i="21"/>
  <c r="V366" i="21" s="1"/>
  <c r="S366" i="21"/>
  <c r="T366" i="21" s="1"/>
  <c r="Q366" i="21"/>
  <c r="R366" i="21" s="1"/>
  <c r="P366" i="21"/>
  <c r="O366" i="21"/>
  <c r="N366" i="21"/>
  <c r="M366" i="21"/>
  <c r="L366" i="21"/>
  <c r="K366" i="21"/>
  <c r="J366" i="21"/>
  <c r="I366" i="21"/>
  <c r="H366" i="21"/>
  <c r="G366" i="21"/>
  <c r="F366" i="21"/>
  <c r="E366" i="21"/>
  <c r="D366" i="21"/>
  <c r="C366" i="21"/>
  <c r="B366" i="21"/>
  <c r="A366" i="21"/>
  <c r="BG365" i="21"/>
  <c r="BH365" i="21" s="1"/>
  <c r="BE365" i="21"/>
  <c r="BF365" i="21" s="1"/>
  <c r="AW365" i="21"/>
  <c r="AX365" i="21" s="1"/>
  <c r="AU365" i="21"/>
  <c r="AV365" i="21" s="1"/>
  <c r="AS365" i="21"/>
  <c r="AQ365" i="21"/>
  <c r="AO365" i="21"/>
  <c r="AP365" i="21" s="1"/>
  <c r="AM365" i="21"/>
  <c r="AK365" i="21"/>
  <c r="AL365" i="21" s="1"/>
  <c r="AG365" i="21"/>
  <c r="AE365" i="21"/>
  <c r="AF365" i="21" s="1"/>
  <c r="AC365" i="21"/>
  <c r="AD365" i="21" s="1"/>
  <c r="AA365" i="21"/>
  <c r="AB365" i="21" s="1"/>
  <c r="W365" i="21"/>
  <c r="X365" i="21" s="1"/>
  <c r="U365" i="21"/>
  <c r="V365" i="21" s="1"/>
  <c r="S365" i="21"/>
  <c r="Q365" i="21"/>
  <c r="R365" i="21" s="1"/>
  <c r="P365" i="21"/>
  <c r="O365" i="21"/>
  <c r="N365" i="21"/>
  <c r="M365" i="21"/>
  <c r="L365" i="21"/>
  <c r="K365" i="21"/>
  <c r="J365" i="21"/>
  <c r="I365" i="21"/>
  <c r="H365" i="21"/>
  <c r="G365" i="21"/>
  <c r="F365" i="21"/>
  <c r="E365" i="21"/>
  <c r="D365" i="21"/>
  <c r="C365" i="21"/>
  <c r="B365" i="21"/>
  <c r="A365" i="21"/>
  <c r="BG364" i="21"/>
  <c r="BH364" i="21" s="1"/>
  <c r="BE364" i="21"/>
  <c r="BF364" i="21" s="1"/>
  <c r="AW364" i="21"/>
  <c r="AX364" i="21" s="1"/>
  <c r="AU364" i="21"/>
  <c r="AS364" i="21"/>
  <c r="AT364" i="21" s="1"/>
  <c r="AQ364" i="21"/>
  <c r="AO364" i="21"/>
  <c r="AP364" i="21" s="1"/>
  <c r="AM364" i="21"/>
  <c r="AK364" i="21"/>
  <c r="AL364" i="21" s="1"/>
  <c r="AG364" i="21"/>
  <c r="AH364" i="21" s="1"/>
  <c r="AE364" i="21"/>
  <c r="AF364" i="21" s="1"/>
  <c r="AC364" i="21"/>
  <c r="AA364" i="21"/>
  <c r="AB364" i="21" s="1"/>
  <c r="W364" i="21"/>
  <c r="X364" i="21" s="1"/>
  <c r="U364" i="21"/>
  <c r="V364" i="21" s="1"/>
  <c r="S364" i="21"/>
  <c r="Q364" i="21"/>
  <c r="R364" i="21" s="1"/>
  <c r="P364" i="21"/>
  <c r="O364" i="21"/>
  <c r="N364" i="21"/>
  <c r="M364" i="21"/>
  <c r="L364" i="21"/>
  <c r="K364" i="21"/>
  <c r="J364" i="21"/>
  <c r="I364" i="21"/>
  <c r="H364" i="21"/>
  <c r="G364" i="21"/>
  <c r="F364" i="21"/>
  <c r="E364" i="21"/>
  <c r="D364" i="21"/>
  <c r="C364" i="21"/>
  <c r="B364" i="21"/>
  <c r="A364" i="21"/>
  <c r="BG363" i="21"/>
  <c r="BH363" i="21" s="1"/>
  <c r="BE363" i="21"/>
  <c r="AW363" i="21"/>
  <c r="AX363" i="21" s="1"/>
  <c r="AU363" i="21"/>
  <c r="AS363" i="21"/>
  <c r="AT363" i="21" s="1"/>
  <c r="AQ363" i="21"/>
  <c r="AR363" i="21" s="1"/>
  <c r="AO363" i="21"/>
  <c r="AP363" i="21" s="1"/>
  <c r="AM363" i="21"/>
  <c r="AN363" i="21" s="1"/>
  <c r="AK363" i="21"/>
  <c r="AL363" i="21" s="1"/>
  <c r="AG363" i="21"/>
  <c r="AH363" i="21" s="1"/>
  <c r="AE363" i="21"/>
  <c r="AF363" i="21" s="1"/>
  <c r="AC363" i="21"/>
  <c r="AD363" i="21" s="1"/>
  <c r="AA363" i="21"/>
  <c r="W363" i="21"/>
  <c r="X363" i="21" s="1"/>
  <c r="U363" i="21"/>
  <c r="V363" i="21" s="1"/>
  <c r="S363" i="21"/>
  <c r="T363" i="21" s="1"/>
  <c r="Z363" i="21" s="1"/>
  <c r="Q363" i="21"/>
  <c r="P363" i="21"/>
  <c r="O363" i="21"/>
  <c r="N363" i="21"/>
  <c r="M363" i="21"/>
  <c r="L363" i="21"/>
  <c r="K363" i="21"/>
  <c r="J363" i="21"/>
  <c r="I363" i="21"/>
  <c r="H363" i="21"/>
  <c r="G363" i="21"/>
  <c r="F363" i="21"/>
  <c r="E363" i="21"/>
  <c r="D363" i="21"/>
  <c r="C363" i="21"/>
  <c r="B363" i="21"/>
  <c r="A363" i="21"/>
  <c r="BG362" i="21"/>
  <c r="BH362" i="21" s="1"/>
  <c r="BE362" i="21"/>
  <c r="BF362" i="21" s="1"/>
  <c r="AW362" i="21"/>
  <c r="AX362" i="21" s="1"/>
  <c r="AU362" i="21"/>
  <c r="AS362" i="21"/>
  <c r="AT362" i="21" s="1"/>
  <c r="AQ362" i="21"/>
  <c r="AR362" i="21" s="1"/>
  <c r="AO362" i="21"/>
  <c r="AP362" i="21" s="1"/>
  <c r="AM362" i="21"/>
  <c r="AN362" i="21" s="1"/>
  <c r="AK362" i="21"/>
  <c r="AL362" i="21" s="1"/>
  <c r="AG362" i="21"/>
  <c r="AH362" i="21" s="1"/>
  <c r="AE362" i="21"/>
  <c r="AF362" i="21" s="1"/>
  <c r="AC362" i="21"/>
  <c r="AD362" i="21" s="1"/>
  <c r="AA362" i="21"/>
  <c r="AB362" i="21" s="1"/>
  <c r="W362" i="21"/>
  <c r="X362" i="21" s="1"/>
  <c r="U362" i="21"/>
  <c r="V362" i="21" s="1"/>
  <c r="S362" i="21"/>
  <c r="T362" i="21" s="1"/>
  <c r="Q362" i="21"/>
  <c r="R362" i="21" s="1"/>
  <c r="P362" i="21"/>
  <c r="O362" i="21"/>
  <c r="N362" i="21"/>
  <c r="M362" i="21"/>
  <c r="L362" i="21"/>
  <c r="K362" i="21"/>
  <c r="J362" i="21"/>
  <c r="I362" i="21"/>
  <c r="H362" i="21"/>
  <c r="G362" i="21"/>
  <c r="F362" i="21"/>
  <c r="E362" i="21"/>
  <c r="D362" i="21"/>
  <c r="C362" i="21"/>
  <c r="B362" i="21"/>
  <c r="A362" i="21"/>
  <c r="BG361" i="21"/>
  <c r="BE361" i="21"/>
  <c r="BF361" i="21" s="1"/>
  <c r="AW361" i="21"/>
  <c r="AX361" i="21" s="1"/>
  <c r="AU361" i="21"/>
  <c r="AV361" i="21" s="1"/>
  <c r="AS361" i="21"/>
  <c r="AT361" i="21" s="1"/>
  <c r="AQ361" i="21"/>
  <c r="AR361" i="21" s="1"/>
  <c r="AO361" i="21"/>
  <c r="AP361" i="21" s="1"/>
  <c r="AM361" i="21"/>
  <c r="AN361" i="21" s="1"/>
  <c r="AK361" i="21"/>
  <c r="AL361" i="21" s="1"/>
  <c r="AG361" i="21"/>
  <c r="AH361" i="21" s="1"/>
  <c r="AE361" i="21"/>
  <c r="AC361" i="21"/>
  <c r="AD361" i="21" s="1"/>
  <c r="AA361" i="21"/>
  <c r="W361" i="21"/>
  <c r="U361" i="21"/>
  <c r="V361" i="21" s="1"/>
  <c r="S361" i="21"/>
  <c r="Q361" i="21"/>
  <c r="R361" i="21" s="1"/>
  <c r="P361" i="21"/>
  <c r="O361" i="21"/>
  <c r="N361" i="21"/>
  <c r="M361" i="21"/>
  <c r="L361" i="21"/>
  <c r="K361" i="21"/>
  <c r="J361" i="21"/>
  <c r="I361" i="21"/>
  <c r="H361" i="21"/>
  <c r="G361" i="21"/>
  <c r="F361" i="21"/>
  <c r="E361" i="21"/>
  <c r="D361" i="21"/>
  <c r="C361" i="21"/>
  <c r="B361" i="21"/>
  <c r="A361" i="21"/>
  <c r="BG360" i="21"/>
  <c r="BH360" i="21" s="1"/>
  <c r="BE360" i="21"/>
  <c r="BF360" i="21" s="1"/>
  <c r="AW360" i="21"/>
  <c r="AX360" i="21" s="1"/>
  <c r="AU360" i="21"/>
  <c r="AV360" i="21" s="1"/>
  <c r="AS360" i="21"/>
  <c r="AT360" i="21" s="1"/>
  <c r="AQ360" i="21"/>
  <c r="AR360" i="21" s="1"/>
  <c r="AO360" i="21"/>
  <c r="AP360" i="21" s="1"/>
  <c r="AM360" i="21"/>
  <c r="AN360" i="21" s="1"/>
  <c r="AK360" i="21"/>
  <c r="AL360" i="21" s="1"/>
  <c r="AG360" i="21"/>
  <c r="AH360" i="21" s="1"/>
  <c r="AE360" i="21"/>
  <c r="AF360" i="21" s="1"/>
  <c r="AC360" i="21"/>
  <c r="AA360" i="21"/>
  <c r="AB360" i="21" s="1"/>
  <c r="W360" i="21"/>
  <c r="U360" i="21"/>
  <c r="V360" i="21" s="1"/>
  <c r="S360" i="21"/>
  <c r="T360" i="21" s="1"/>
  <c r="Q360" i="21"/>
  <c r="R360" i="21" s="1"/>
  <c r="P360" i="21"/>
  <c r="O360" i="21"/>
  <c r="N360" i="21"/>
  <c r="M360" i="21"/>
  <c r="L360" i="21"/>
  <c r="K360" i="21"/>
  <c r="J360" i="21"/>
  <c r="I360" i="21"/>
  <c r="H360" i="21"/>
  <c r="G360" i="21"/>
  <c r="F360" i="21"/>
  <c r="E360" i="21"/>
  <c r="D360" i="21"/>
  <c r="C360" i="21"/>
  <c r="B360" i="21"/>
  <c r="A360" i="21"/>
  <c r="BG359" i="21"/>
  <c r="BH359" i="21" s="1"/>
  <c r="BE359" i="21"/>
  <c r="BF359" i="21" s="1"/>
  <c r="AW359" i="21"/>
  <c r="AU359" i="21"/>
  <c r="AV359" i="21" s="1"/>
  <c r="AS359" i="21"/>
  <c r="AT359" i="21" s="1"/>
  <c r="AQ359" i="21"/>
  <c r="AR359" i="21" s="1"/>
  <c r="AO359" i="21"/>
  <c r="AP359" i="21" s="1"/>
  <c r="AM359" i="21"/>
  <c r="AN359" i="21" s="1"/>
  <c r="AK359" i="21"/>
  <c r="AG359" i="21"/>
  <c r="AH359" i="21" s="1"/>
  <c r="AE359" i="21"/>
  <c r="AF359" i="21" s="1"/>
  <c r="AC359" i="21"/>
  <c r="AD359" i="21" s="1"/>
  <c r="AJ359" i="21" s="1"/>
  <c r="AA359" i="21"/>
  <c r="AB359" i="21" s="1"/>
  <c r="W359" i="21"/>
  <c r="U359" i="21"/>
  <c r="V359" i="21" s="1"/>
  <c r="S359" i="21"/>
  <c r="T359" i="21" s="1"/>
  <c r="Q359" i="21"/>
  <c r="R359" i="21" s="1"/>
  <c r="P359" i="21"/>
  <c r="O359" i="21"/>
  <c r="N359" i="21"/>
  <c r="M359" i="21"/>
  <c r="L359" i="21"/>
  <c r="K359" i="21"/>
  <c r="J359" i="21"/>
  <c r="I359" i="21"/>
  <c r="H359" i="21"/>
  <c r="G359" i="21"/>
  <c r="F359" i="21"/>
  <c r="E359" i="21"/>
  <c r="D359" i="21"/>
  <c r="C359" i="21"/>
  <c r="B359" i="21"/>
  <c r="A359" i="21"/>
  <c r="BG358" i="21"/>
  <c r="BH358" i="21" s="1"/>
  <c r="BE358" i="21"/>
  <c r="BF358" i="21" s="1"/>
  <c r="AW358" i="21"/>
  <c r="AX358" i="21" s="1"/>
  <c r="AU358" i="21"/>
  <c r="AV358" i="21" s="1"/>
  <c r="AS358" i="21"/>
  <c r="AT358" i="21" s="1"/>
  <c r="AQ358" i="21"/>
  <c r="AR358" i="21" s="1"/>
  <c r="AO358" i="21"/>
  <c r="AM358" i="21"/>
  <c r="AN358" i="21" s="1"/>
  <c r="AK358" i="21"/>
  <c r="AL358" i="21" s="1"/>
  <c r="AG358" i="21"/>
  <c r="AE358" i="21"/>
  <c r="AF358" i="21" s="1"/>
  <c r="AC358" i="21"/>
  <c r="AA358" i="21"/>
  <c r="AB358" i="21" s="1"/>
  <c r="W358" i="21"/>
  <c r="X358" i="21" s="1"/>
  <c r="U358" i="21"/>
  <c r="V358" i="21" s="1"/>
  <c r="S358" i="21"/>
  <c r="T358" i="21" s="1"/>
  <c r="Q358" i="21"/>
  <c r="R358" i="21" s="1"/>
  <c r="P358" i="21"/>
  <c r="O358" i="21"/>
  <c r="N358" i="21"/>
  <c r="M358" i="21"/>
  <c r="L358" i="21"/>
  <c r="K358" i="21"/>
  <c r="J358" i="21"/>
  <c r="I358" i="21"/>
  <c r="H358" i="21"/>
  <c r="G358" i="21"/>
  <c r="F358" i="21"/>
  <c r="E358" i="21"/>
  <c r="D358" i="21"/>
  <c r="C358" i="21"/>
  <c r="B358" i="21"/>
  <c r="A358" i="21"/>
  <c r="BG357" i="21"/>
  <c r="BH357" i="21" s="1"/>
  <c r="BE357" i="21"/>
  <c r="BF357" i="21" s="1"/>
  <c r="AW357" i="21"/>
  <c r="AX357" i="21" s="1"/>
  <c r="AU357" i="21"/>
  <c r="AV357" i="21" s="1"/>
  <c r="AS357" i="21"/>
  <c r="AT357" i="21" s="1"/>
  <c r="AQ357" i="21"/>
  <c r="AO357" i="21"/>
  <c r="AP357" i="21" s="1"/>
  <c r="AM357" i="21"/>
  <c r="AK357" i="21"/>
  <c r="AL357" i="21" s="1"/>
  <c r="AG357" i="21"/>
  <c r="AH357" i="21" s="1"/>
  <c r="AE357" i="21"/>
  <c r="AF357" i="21" s="1"/>
  <c r="AC357" i="21"/>
  <c r="AD357" i="21" s="1"/>
  <c r="AA357" i="21"/>
  <c r="AB357" i="21" s="1"/>
  <c r="W357" i="21"/>
  <c r="X357" i="21" s="1"/>
  <c r="U357" i="21"/>
  <c r="V357" i="21" s="1"/>
  <c r="S357" i="21"/>
  <c r="T357" i="21" s="1"/>
  <c r="Q357" i="21"/>
  <c r="R357" i="21" s="1"/>
  <c r="P357" i="21"/>
  <c r="O357" i="21"/>
  <c r="N357" i="21"/>
  <c r="M357" i="21"/>
  <c r="L357" i="21"/>
  <c r="K357" i="21"/>
  <c r="J357" i="21"/>
  <c r="I357" i="21"/>
  <c r="H357" i="21"/>
  <c r="G357" i="21"/>
  <c r="F357" i="21"/>
  <c r="E357" i="21"/>
  <c r="D357" i="21"/>
  <c r="C357" i="21"/>
  <c r="B357" i="21"/>
  <c r="A357" i="21"/>
  <c r="BG356" i="21"/>
  <c r="BH356" i="21" s="1"/>
  <c r="BE356" i="21"/>
  <c r="BF356" i="21" s="1"/>
  <c r="AW356" i="21"/>
  <c r="AU356" i="21"/>
  <c r="AS356" i="21"/>
  <c r="AT356" i="21" s="1"/>
  <c r="AQ356" i="21"/>
  <c r="AR356" i="21" s="1"/>
  <c r="AO356" i="21"/>
  <c r="AP356" i="21" s="1"/>
  <c r="AM356" i="21"/>
  <c r="AN356" i="21" s="1"/>
  <c r="AK356" i="21"/>
  <c r="AL356" i="21" s="1"/>
  <c r="AG356" i="21"/>
  <c r="AH356" i="21" s="1"/>
  <c r="AE356" i="21"/>
  <c r="AF356" i="21" s="1"/>
  <c r="AC356" i="21"/>
  <c r="AD356" i="21" s="1"/>
  <c r="AA356" i="21"/>
  <c r="AB356" i="21" s="1"/>
  <c r="W356" i="21"/>
  <c r="X356" i="21" s="1"/>
  <c r="U356" i="21"/>
  <c r="V356" i="21" s="1"/>
  <c r="S356" i="21"/>
  <c r="Q356" i="21"/>
  <c r="R356" i="21" s="1"/>
  <c r="P356" i="21"/>
  <c r="O356" i="21"/>
  <c r="N356" i="21"/>
  <c r="M356" i="21"/>
  <c r="L356" i="21"/>
  <c r="K356" i="21"/>
  <c r="J356" i="21"/>
  <c r="I356" i="21"/>
  <c r="H356" i="21"/>
  <c r="G356" i="21"/>
  <c r="F356" i="21"/>
  <c r="E356" i="21"/>
  <c r="D356" i="21"/>
  <c r="C356" i="21"/>
  <c r="B356" i="21"/>
  <c r="A356" i="21"/>
  <c r="BG355" i="21"/>
  <c r="BH355" i="21" s="1"/>
  <c r="BE355" i="21"/>
  <c r="BF355" i="21" s="1"/>
  <c r="AW355" i="21"/>
  <c r="AX355" i="21" s="1"/>
  <c r="AU355" i="21"/>
  <c r="AV355" i="21" s="1"/>
  <c r="AS355" i="21"/>
  <c r="AT355" i="21" s="1"/>
  <c r="AQ355" i="21"/>
  <c r="AO355" i="21"/>
  <c r="AP355" i="21" s="1"/>
  <c r="AM355" i="21"/>
  <c r="AN355" i="21" s="1"/>
  <c r="AK355" i="21"/>
  <c r="AL355" i="21" s="1"/>
  <c r="AG355" i="21"/>
  <c r="AH355" i="21" s="1"/>
  <c r="AE355" i="21"/>
  <c r="AF355" i="21" s="1"/>
  <c r="AC355" i="21"/>
  <c r="AD355" i="21" s="1"/>
  <c r="AA355" i="21"/>
  <c r="AB355" i="21" s="1"/>
  <c r="W355" i="21"/>
  <c r="X355" i="21" s="1"/>
  <c r="U355" i="21"/>
  <c r="V355" i="21" s="1"/>
  <c r="S355" i="21"/>
  <c r="T355" i="21" s="1"/>
  <c r="Z355" i="21" s="1"/>
  <c r="Q355" i="21"/>
  <c r="R355" i="21" s="1"/>
  <c r="P355" i="21"/>
  <c r="O355" i="21"/>
  <c r="N355" i="21"/>
  <c r="M355" i="21"/>
  <c r="L355" i="21"/>
  <c r="K355" i="21"/>
  <c r="J355" i="21"/>
  <c r="I355" i="21"/>
  <c r="H355" i="21"/>
  <c r="G355" i="21"/>
  <c r="F355" i="21"/>
  <c r="E355" i="21"/>
  <c r="D355" i="21"/>
  <c r="C355" i="21"/>
  <c r="B355" i="21"/>
  <c r="A355" i="21"/>
  <c r="BG354" i="21"/>
  <c r="BH354" i="21" s="1"/>
  <c r="BE354" i="21"/>
  <c r="BF354" i="21" s="1"/>
  <c r="AW354" i="21"/>
  <c r="AX354" i="21" s="1"/>
  <c r="AU354" i="21"/>
  <c r="AS354" i="21"/>
  <c r="AT354" i="21" s="1"/>
  <c r="AQ354" i="21"/>
  <c r="AR354" i="21" s="1"/>
  <c r="AO354" i="21"/>
  <c r="AP354" i="21" s="1"/>
  <c r="AM354" i="21"/>
  <c r="AK354" i="21"/>
  <c r="AL354" i="21" s="1"/>
  <c r="AG354" i="21"/>
  <c r="AH354" i="21" s="1"/>
  <c r="AE354" i="21"/>
  <c r="AF354" i="21" s="1"/>
  <c r="AC354" i="21"/>
  <c r="AD354" i="21" s="1"/>
  <c r="AA354" i="21"/>
  <c r="AB354" i="21" s="1"/>
  <c r="W354" i="21"/>
  <c r="X354" i="21" s="1"/>
  <c r="U354" i="21"/>
  <c r="S354" i="21"/>
  <c r="Q354" i="21"/>
  <c r="R354" i="21" s="1"/>
  <c r="P354" i="21"/>
  <c r="O354" i="21"/>
  <c r="N354" i="21"/>
  <c r="M354" i="21"/>
  <c r="L354" i="21"/>
  <c r="K354" i="21"/>
  <c r="J354" i="21"/>
  <c r="I354" i="21"/>
  <c r="H354" i="21"/>
  <c r="G354" i="21"/>
  <c r="F354" i="21"/>
  <c r="E354" i="21"/>
  <c r="D354" i="21"/>
  <c r="C354" i="21"/>
  <c r="B354" i="21"/>
  <c r="A354" i="21"/>
  <c r="BG353" i="21"/>
  <c r="BE353" i="21"/>
  <c r="BF353" i="21" s="1"/>
  <c r="AW353" i="21"/>
  <c r="AX353" i="21" s="1"/>
  <c r="AU353" i="21"/>
  <c r="AV353" i="21" s="1"/>
  <c r="AS353" i="21"/>
  <c r="AT353" i="21" s="1"/>
  <c r="AQ353" i="21"/>
  <c r="AR353" i="21" s="1"/>
  <c r="AO353" i="21"/>
  <c r="AP353" i="21" s="1"/>
  <c r="AM353" i="21"/>
  <c r="AN353" i="21" s="1"/>
  <c r="AK353" i="21"/>
  <c r="AL353" i="21" s="1"/>
  <c r="AG353" i="21"/>
  <c r="AE353" i="21"/>
  <c r="AF353" i="21" s="1"/>
  <c r="AC353" i="21"/>
  <c r="AD353" i="21" s="1"/>
  <c r="AA353" i="21"/>
  <c r="AB353" i="21" s="1"/>
  <c r="W353" i="21"/>
  <c r="U353" i="21"/>
  <c r="V353" i="21" s="1"/>
  <c r="S353" i="21"/>
  <c r="T353" i="21" s="1"/>
  <c r="Q353" i="21"/>
  <c r="R353" i="21" s="1"/>
  <c r="P353" i="21"/>
  <c r="O353" i="21"/>
  <c r="N353" i="21"/>
  <c r="M353" i="21"/>
  <c r="L353" i="21"/>
  <c r="K353" i="21"/>
  <c r="J353" i="21"/>
  <c r="I353" i="21"/>
  <c r="H353" i="21"/>
  <c r="G353" i="21"/>
  <c r="F353" i="21"/>
  <c r="E353" i="21"/>
  <c r="D353" i="21"/>
  <c r="C353" i="21"/>
  <c r="B353" i="21"/>
  <c r="A353" i="21"/>
  <c r="BG352" i="21"/>
  <c r="BH352" i="21" s="1"/>
  <c r="BE352" i="21"/>
  <c r="BF352" i="21" s="1"/>
  <c r="AW352" i="21"/>
  <c r="AX352" i="21" s="1"/>
  <c r="AU352" i="21"/>
  <c r="AV352" i="21" s="1"/>
  <c r="AS352" i="21"/>
  <c r="AT352" i="21" s="1"/>
  <c r="AQ352" i="21"/>
  <c r="AO352" i="21"/>
  <c r="AP352" i="21" s="1"/>
  <c r="AM352" i="21"/>
  <c r="AN352" i="21" s="1"/>
  <c r="AK352" i="21"/>
  <c r="AG352" i="21"/>
  <c r="AH352" i="21" s="1"/>
  <c r="AE352" i="21"/>
  <c r="AC352" i="21"/>
  <c r="AA352" i="21"/>
  <c r="AB352" i="21" s="1"/>
  <c r="W352" i="21"/>
  <c r="U352" i="21"/>
  <c r="V352" i="21" s="1"/>
  <c r="S352" i="21"/>
  <c r="T352" i="21" s="1"/>
  <c r="Q352" i="21"/>
  <c r="R352" i="21" s="1"/>
  <c r="P352" i="21"/>
  <c r="O352" i="21"/>
  <c r="N352" i="21"/>
  <c r="M352" i="21"/>
  <c r="L352" i="21"/>
  <c r="K352" i="21"/>
  <c r="J352" i="21"/>
  <c r="I352" i="21"/>
  <c r="H352" i="21"/>
  <c r="G352" i="21"/>
  <c r="F352" i="21"/>
  <c r="E352" i="21"/>
  <c r="D352" i="21"/>
  <c r="C352" i="21"/>
  <c r="B352" i="21"/>
  <c r="A352" i="21"/>
  <c r="BG351" i="21"/>
  <c r="BH351" i="21" s="1"/>
  <c r="BE351" i="21"/>
  <c r="BF351" i="21" s="1"/>
  <c r="AW351" i="21"/>
  <c r="AX351" i="21" s="1"/>
  <c r="AU351" i="21"/>
  <c r="AS351" i="21"/>
  <c r="AT351" i="21" s="1"/>
  <c r="AQ351" i="21"/>
  <c r="AR351" i="21" s="1"/>
  <c r="AO351" i="21"/>
  <c r="AP351" i="21" s="1"/>
  <c r="AM351" i="21"/>
  <c r="AN351" i="21" s="1"/>
  <c r="AK351" i="21"/>
  <c r="AG351" i="21"/>
  <c r="AH351" i="21" s="1"/>
  <c r="AE351" i="21"/>
  <c r="AF351" i="21" s="1"/>
  <c r="AC351" i="21"/>
  <c r="AD351" i="21" s="1"/>
  <c r="AA351" i="21"/>
  <c r="AB351" i="21" s="1"/>
  <c r="W351" i="21"/>
  <c r="X351" i="21" s="1"/>
  <c r="U351" i="21"/>
  <c r="V351" i="21" s="1"/>
  <c r="S351" i="21"/>
  <c r="Q351" i="21"/>
  <c r="R351" i="21" s="1"/>
  <c r="P351" i="21"/>
  <c r="O351" i="21"/>
  <c r="N351" i="21"/>
  <c r="M351" i="21"/>
  <c r="L351" i="21"/>
  <c r="K351" i="21"/>
  <c r="J351" i="21"/>
  <c r="I351" i="21"/>
  <c r="H351" i="21"/>
  <c r="G351" i="21"/>
  <c r="F351" i="21"/>
  <c r="E351" i="21"/>
  <c r="D351" i="21"/>
  <c r="C351" i="21"/>
  <c r="B351" i="21"/>
  <c r="A351" i="21"/>
  <c r="BG350" i="21"/>
  <c r="BH350" i="21" s="1"/>
  <c r="BE350" i="21"/>
  <c r="BF350" i="21" s="1"/>
  <c r="AW350" i="21"/>
  <c r="AX350" i="21" s="1"/>
  <c r="AU350" i="21"/>
  <c r="AV350" i="21" s="1"/>
  <c r="AS350" i="21"/>
  <c r="AT350" i="21" s="1"/>
  <c r="AQ350" i="21"/>
  <c r="AR350" i="21" s="1"/>
  <c r="AO350" i="21"/>
  <c r="AP350" i="21" s="1"/>
  <c r="AM350" i="21"/>
  <c r="AN350" i="21" s="1"/>
  <c r="AK350" i="21"/>
  <c r="AL350" i="21" s="1"/>
  <c r="AG350" i="21"/>
  <c r="AH350" i="21" s="1"/>
  <c r="AE350" i="21"/>
  <c r="AF350" i="21" s="1"/>
  <c r="AC350" i="21"/>
  <c r="AD350" i="21" s="1"/>
  <c r="AA350" i="21"/>
  <c r="W350" i="21"/>
  <c r="X350" i="21" s="1"/>
  <c r="U350" i="21"/>
  <c r="V350" i="21" s="1"/>
  <c r="S350" i="21"/>
  <c r="Q350" i="21"/>
  <c r="R350" i="21" s="1"/>
  <c r="P350" i="21"/>
  <c r="O350" i="21"/>
  <c r="N350" i="21"/>
  <c r="M350" i="21"/>
  <c r="L350" i="21"/>
  <c r="K350" i="21"/>
  <c r="J350" i="21"/>
  <c r="I350" i="21"/>
  <c r="H350" i="21"/>
  <c r="G350" i="21"/>
  <c r="F350" i="21"/>
  <c r="E350" i="21"/>
  <c r="D350" i="21"/>
  <c r="C350" i="21"/>
  <c r="B350" i="21"/>
  <c r="A350" i="21"/>
  <c r="BG349" i="21"/>
  <c r="BH349" i="21" s="1"/>
  <c r="BE349" i="21"/>
  <c r="BF349" i="21" s="1"/>
  <c r="AW349" i="21"/>
  <c r="AU349" i="21"/>
  <c r="AV349" i="21" s="1"/>
  <c r="AS349" i="21"/>
  <c r="AT349" i="21" s="1"/>
  <c r="AQ349" i="21"/>
  <c r="AO349" i="21"/>
  <c r="AP349" i="21" s="1"/>
  <c r="AM349" i="21"/>
  <c r="AN349" i="21" s="1"/>
  <c r="AK349" i="21"/>
  <c r="AL349" i="21" s="1"/>
  <c r="AG349" i="21"/>
  <c r="AH349" i="21" s="1"/>
  <c r="AE349" i="21"/>
  <c r="AC349" i="21"/>
  <c r="AD349" i="21" s="1"/>
  <c r="AA349" i="21"/>
  <c r="AB349" i="21" s="1"/>
  <c r="W349" i="21"/>
  <c r="U349" i="21"/>
  <c r="V349" i="21" s="1"/>
  <c r="S349" i="21"/>
  <c r="T349" i="21" s="1"/>
  <c r="Q349" i="21"/>
  <c r="R349" i="21" s="1"/>
  <c r="P349" i="21"/>
  <c r="O349" i="21"/>
  <c r="N349" i="21"/>
  <c r="M349" i="21"/>
  <c r="L349" i="21"/>
  <c r="K349" i="21"/>
  <c r="J349" i="21"/>
  <c r="I349" i="21"/>
  <c r="H349" i="21"/>
  <c r="G349" i="21"/>
  <c r="F349" i="21"/>
  <c r="E349" i="21"/>
  <c r="D349" i="21"/>
  <c r="C349" i="21"/>
  <c r="B349" i="21"/>
  <c r="A349" i="21"/>
  <c r="BG348" i="21"/>
  <c r="BE348" i="21"/>
  <c r="BF348" i="21" s="1"/>
  <c r="AW348" i="21"/>
  <c r="AX348" i="21" s="1"/>
  <c r="AU348" i="21"/>
  <c r="AS348" i="21"/>
  <c r="AT348" i="21" s="1"/>
  <c r="AQ348" i="21"/>
  <c r="AR348" i="21" s="1"/>
  <c r="AO348" i="21"/>
  <c r="AP348" i="21" s="1"/>
  <c r="AM348" i="21"/>
  <c r="AK348" i="21"/>
  <c r="AL348" i="21" s="1"/>
  <c r="AG348" i="21"/>
  <c r="AH348" i="21" s="1"/>
  <c r="AE348" i="21"/>
  <c r="AF348" i="21" s="1"/>
  <c r="AC348" i="21"/>
  <c r="AA348" i="21"/>
  <c r="AB348" i="21" s="1"/>
  <c r="W348" i="21"/>
  <c r="U348" i="21"/>
  <c r="V348" i="21" s="1"/>
  <c r="S348" i="21"/>
  <c r="T348" i="21" s="1"/>
  <c r="Q348" i="21"/>
  <c r="R348" i="21" s="1"/>
  <c r="P348" i="21"/>
  <c r="O348" i="21"/>
  <c r="N348" i="21"/>
  <c r="M348" i="21"/>
  <c r="L348" i="21"/>
  <c r="K348" i="21"/>
  <c r="J348" i="21"/>
  <c r="I348" i="21"/>
  <c r="H348" i="21"/>
  <c r="G348" i="21"/>
  <c r="F348" i="21"/>
  <c r="E348" i="21"/>
  <c r="D348" i="21"/>
  <c r="C348" i="21"/>
  <c r="B348" i="21"/>
  <c r="A348" i="21"/>
  <c r="BG347" i="21"/>
  <c r="BH347" i="21" s="1"/>
  <c r="BE347" i="21"/>
  <c r="BF347" i="21" s="1"/>
  <c r="AW347" i="21"/>
  <c r="AX347" i="21" s="1"/>
  <c r="AU347" i="21"/>
  <c r="AS347" i="21"/>
  <c r="AT347" i="21" s="1"/>
  <c r="AQ347" i="21"/>
  <c r="AR347" i="21" s="1"/>
  <c r="AO347" i="21"/>
  <c r="AM347" i="21"/>
  <c r="AN347" i="21" s="1"/>
  <c r="AK347" i="21"/>
  <c r="AL347" i="21" s="1"/>
  <c r="AG347" i="21"/>
  <c r="AE347" i="21"/>
  <c r="AF347" i="21" s="1"/>
  <c r="AC347" i="21"/>
  <c r="AD347" i="21" s="1"/>
  <c r="AA347" i="21"/>
  <c r="AB347" i="21" s="1"/>
  <c r="W347" i="21"/>
  <c r="X347" i="21" s="1"/>
  <c r="U347" i="21"/>
  <c r="S347" i="21"/>
  <c r="T347" i="21" s="1"/>
  <c r="Z347" i="21" s="1"/>
  <c r="Q347" i="21"/>
  <c r="R347" i="21" s="1"/>
  <c r="P347" i="21"/>
  <c r="O347" i="21"/>
  <c r="N347" i="21"/>
  <c r="M347" i="21"/>
  <c r="L347" i="21"/>
  <c r="K347" i="21"/>
  <c r="J347" i="21"/>
  <c r="I347" i="21"/>
  <c r="H347" i="21"/>
  <c r="G347" i="21"/>
  <c r="F347" i="21"/>
  <c r="E347" i="21"/>
  <c r="D347" i="21"/>
  <c r="C347" i="21"/>
  <c r="B347" i="21"/>
  <c r="A347" i="21"/>
  <c r="BG346" i="21"/>
  <c r="BE346" i="21"/>
  <c r="BF346" i="21" s="1"/>
  <c r="AW346" i="21"/>
  <c r="AX346" i="21" s="1"/>
  <c r="AU346" i="21"/>
  <c r="AV346" i="21" s="1"/>
  <c r="AS346" i="21"/>
  <c r="AQ346" i="21"/>
  <c r="AR346" i="21" s="1"/>
  <c r="AO346" i="21"/>
  <c r="AP346" i="21" s="1"/>
  <c r="AM346" i="21"/>
  <c r="AK346" i="21"/>
  <c r="AL346" i="21" s="1"/>
  <c r="AG346" i="21"/>
  <c r="AH346" i="21" s="1"/>
  <c r="AE346" i="21"/>
  <c r="AF346" i="21" s="1"/>
  <c r="AC346" i="21"/>
  <c r="AD346" i="21" s="1"/>
  <c r="AA346" i="21"/>
  <c r="W346" i="21"/>
  <c r="X346" i="21" s="1"/>
  <c r="U346" i="21"/>
  <c r="V346" i="21" s="1"/>
  <c r="S346" i="21"/>
  <c r="Q346" i="21"/>
  <c r="R346" i="21" s="1"/>
  <c r="P346" i="21"/>
  <c r="O346" i="21"/>
  <c r="N346" i="21"/>
  <c r="M346" i="21"/>
  <c r="L346" i="21"/>
  <c r="K346" i="21"/>
  <c r="J346" i="21"/>
  <c r="I346" i="21"/>
  <c r="H346" i="21"/>
  <c r="G346" i="21"/>
  <c r="F346" i="21"/>
  <c r="E346" i="21"/>
  <c r="D346" i="21"/>
  <c r="C346" i="21"/>
  <c r="B346" i="21"/>
  <c r="A346" i="21"/>
  <c r="BG345" i="21"/>
  <c r="BE345" i="21"/>
  <c r="BF345" i="21" s="1"/>
  <c r="AW345" i="21"/>
  <c r="AX345" i="21" s="1"/>
  <c r="AU345" i="21"/>
  <c r="AV345" i="21" s="1"/>
  <c r="AS345" i="21"/>
  <c r="AT345" i="21" s="1"/>
  <c r="AQ345" i="21"/>
  <c r="AO345" i="21"/>
  <c r="AP345" i="21" s="1"/>
  <c r="AM345" i="21"/>
  <c r="AK345" i="21"/>
  <c r="AL345" i="21" s="1"/>
  <c r="AG345" i="21"/>
  <c r="AH345" i="21" s="1"/>
  <c r="AE345" i="21"/>
  <c r="AF345" i="21" s="1"/>
  <c r="AC345" i="21"/>
  <c r="AD345" i="21" s="1"/>
  <c r="AA345" i="21"/>
  <c r="AB345" i="21" s="1"/>
  <c r="W345" i="21"/>
  <c r="U345" i="21"/>
  <c r="V345" i="21" s="1"/>
  <c r="S345" i="21"/>
  <c r="T345" i="21" s="1"/>
  <c r="Q345" i="21"/>
  <c r="R345" i="21" s="1"/>
  <c r="P345" i="21"/>
  <c r="O345" i="21"/>
  <c r="N345" i="21"/>
  <c r="M345" i="21"/>
  <c r="L345" i="21"/>
  <c r="K345" i="21"/>
  <c r="J345" i="21"/>
  <c r="I345" i="21"/>
  <c r="H345" i="21"/>
  <c r="G345" i="21"/>
  <c r="F345" i="21"/>
  <c r="E345" i="21"/>
  <c r="D345" i="21"/>
  <c r="C345" i="21"/>
  <c r="B345" i="21"/>
  <c r="A345" i="21"/>
  <c r="BG344" i="21"/>
  <c r="BH344" i="21" s="1"/>
  <c r="BE344" i="21"/>
  <c r="BF344" i="21" s="1"/>
  <c r="AW344" i="21"/>
  <c r="AX344" i="21" s="1"/>
  <c r="AU344" i="21"/>
  <c r="AS344" i="21"/>
  <c r="AT344" i="21" s="1"/>
  <c r="AQ344" i="21"/>
  <c r="AO344" i="21"/>
  <c r="AP344" i="21" s="1"/>
  <c r="AM344" i="21"/>
  <c r="AN344" i="21" s="1"/>
  <c r="AK344" i="21"/>
  <c r="AL344" i="21" s="1"/>
  <c r="AG344" i="21"/>
  <c r="AH344" i="21" s="1"/>
  <c r="AE344" i="21"/>
  <c r="AF344" i="21" s="1"/>
  <c r="AC344" i="21"/>
  <c r="AA344" i="21"/>
  <c r="AB344" i="21" s="1"/>
  <c r="W344" i="21"/>
  <c r="U344" i="21"/>
  <c r="V344" i="21" s="1"/>
  <c r="S344" i="21"/>
  <c r="T344" i="21" s="1"/>
  <c r="Q344" i="21"/>
  <c r="P344" i="21"/>
  <c r="O344" i="21"/>
  <c r="N344" i="21"/>
  <c r="M344" i="21"/>
  <c r="L344" i="21"/>
  <c r="K344" i="21"/>
  <c r="J344" i="21"/>
  <c r="I344" i="21"/>
  <c r="H344" i="21"/>
  <c r="G344" i="21"/>
  <c r="F344" i="21"/>
  <c r="E344" i="21"/>
  <c r="D344" i="21"/>
  <c r="C344" i="21"/>
  <c r="B344" i="21"/>
  <c r="A344" i="21"/>
  <c r="BG343" i="21"/>
  <c r="BH343" i="21" s="1"/>
  <c r="BE343" i="21"/>
  <c r="BF343" i="21" s="1"/>
  <c r="AW343" i="21"/>
  <c r="AX343" i="21" s="1"/>
  <c r="AU343" i="21"/>
  <c r="AV343" i="21" s="1"/>
  <c r="AS343" i="21"/>
  <c r="AT343" i="21" s="1"/>
  <c r="AQ343" i="21"/>
  <c r="AR343" i="21" s="1"/>
  <c r="AO343" i="21"/>
  <c r="AM343" i="21"/>
  <c r="AN343" i="21" s="1"/>
  <c r="AK343" i="21"/>
  <c r="AL343" i="21" s="1"/>
  <c r="AG343" i="21"/>
  <c r="AE343" i="21"/>
  <c r="AF343" i="21" s="1"/>
  <c r="AC343" i="21"/>
  <c r="AA343" i="21"/>
  <c r="AB343" i="21" s="1"/>
  <c r="W343" i="21"/>
  <c r="X343" i="21" s="1"/>
  <c r="U343" i="21"/>
  <c r="V343" i="21" s="1"/>
  <c r="S343" i="21"/>
  <c r="T343" i="21" s="1"/>
  <c r="Q343" i="21"/>
  <c r="R343" i="21" s="1"/>
  <c r="P343" i="21"/>
  <c r="O343" i="21"/>
  <c r="N343" i="21"/>
  <c r="M343" i="21"/>
  <c r="L343" i="21"/>
  <c r="K343" i="21"/>
  <c r="J343" i="21"/>
  <c r="I343" i="21"/>
  <c r="H343" i="21"/>
  <c r="G343" i="21"/>
  <c r="F343" i="21"/>
  <c r="E343" i="21"/>
  <c r="D343" i="21"/>
  <c r="C343" i="21"/>
  <c r="B343" i="21"/>
  <c r="A343" i="21"/>
  <c r="BG342" i="21"/>
  <c r="BE342" i="21"/>
  <c r="BF342" i="21" s="1"/>
  <c r="AW342" i="21"/>
  <c r="AX342" i="21" s="1"/>
  <c r="AU342" i="21"/>
  <c r="AV342" i="21" s="1"/>
  <c r="AS342" i="21"/>
  <c r="AT342" i="21" s="1"/>
  <c r="AQ342" i="21"/>
  <c r="AR342" i="21" s="1"/>
  <c r="AO342" i="21"/>
  <c r="AP342" i="21" s="1"/>
  <c r="AM342" i="21"/>
  <c r="AK342" i="21"/>
  <c r="AL342" i="21" s="1"/>
  <c r="AG342" i="21"/>
  <c r="AE342" i="21"/>
  <c r="AF342" i="21" s="1"/>
  <c r="AC342" i="21"/>
  <c r="AD342" i="21" s="1"/>
  <c r="AA342" i="21"/>
  <c r="AB342" i="21" s="1"/>
  <c r="W342" i="21"/>
  <c r="X342" i="21" s="1"/>
  <c r="U342" i="21"/>
  <c r="V342" i="21" s="1"/>
  <c r="S342" i="21"/>
  <c r="Q342" i="21"/>
  <c r="R342" i="21" s="1"/>
  <c r="P342" i="21"/>
  <c r="O342" i="21"/>
  <c r="N342" i="21"/>
  <c r="M342" i="21"/>
  <c r="L342" i="21"/>
  <c r="K342" i="21"/>
  <c r="J342" i="21"/>
  <c r="I342" i="21"/>
  <c r="H342" i="21"/>
  <c r="G342" i="21"/>
  <c r="F342" i="21"/>
  <c r="E342" i="21"/>
  <c r="D342" i="21"/>
  <c r="C342" i="21"/>
  <c r="B342" i="21"/>
  <c r="A342" i="21"/>
  <c r="BG341" i="21"/>
  <c r="BE341" i="21"/>
  <c r="BF341" i="21" s="1"/>
  <c r="AW341" i="21"/>
  <c r="AX341" i="21" s="1"/>
  <c r="AU341" i="21"/>
  <c r="AV341" i="21" s="1"/>
  <c r="AS341" i="21"/>
  <c r="AT341" i="21" s="1"/>
  <c r="AQ341" i="21"/>
  <c r="AO341" i="21"/>
  <c r="AP341" i="21" s="1"/>
  <c r="AM341" i="21"/>
  <c r="AN341" i="21" s="1"/>
  <c r="AK341" i="21"/>
  <c r="AL341" i="21" s="1"/>
  <c r="AG341" i="21"/>
  <c r="AH341" i="21" s="1"/>
  <c r="AE341" i="21"/>
  <c r="AF341" i="21" s="1"/>
  <c r="AC341" i="21"/>
  <c r="AD341" i="21" s="1"/>
  <c r="AA341" i="21"/>
  <c r="W341" i="21"/>
  <c r="U341" i="21"/>
  <c r="V341" i="21" s="1"/>
  <c r="S341" i="21"/>
  <c r="T341" i="21" s="1"/>
  <c r="Q341" i="21"/>
  <c r="R341" i="21" s="1"/>
  <c r="P341" i="21"/>
  <c r="O341" i="21"/>
  <c r="N341" i="21"/>
  <c r="M341" i="21"/>
  <c r="L341" i="21"/>
  <c r="K341" i="21"/>
  <c r="J341" i="21"/>
  <c r="I341" i="21"/>
  <c r="H341" i="21"/>
  <c r="G341" i="21"/>
  <c r="F341" i="21"/>
  <c r="E341" i="21"/>
  <c r="D341" i="21"/>
  <c r="C341" i="21"/>
  <c r="B341" i="21"/>
  <c r="A341" i="21"/>
  <c r="BG340" i="21"/>
  <c r="BH340" i="21" s="1"/>
  <c r="BE340" i="21"/>
  <c r="BF340" i="21" s="1"/>
  <c r="AW340" i="21"/>
  <c r="AX340" i="21" s="1"/>
  <c r="AU340" i="21"/>
  <c r="AS340" i="21"/>
  <c r="AT340" i="21" s="1"/>
  <c r="AQ340" i="21"/>
  <c r="AO340" i="21"/>
  <c r="AP340" i="21" s="1"/>
  <c r="AM340" i="21"/>
  <c r="AN340" i="21" s="1"/>
  <c r="AK340" i="21"/>
  <c r="AG340" i="21"/>
  <c r="AE340" i="21"/>
  <c r="AF340" i="21" s="1"/>
  <c r="AC340" i="21"/>
  <c r="AA340" i="21"/>
  <c r="AB340" i="21" s="1"/>
  <c r="W340" i="21"/>
  <c r="X340" i="21" s="1"/>
  <c r="U340" i="21"/>
  <c r="V340" i="21" s="1"/>
  <c r="S340" i="21"/>
  <c r="T340" i="21" s="1"/>
  <c r="Q340" i="21"/>
  <c r="P340" i="21"/>
  <c r="O340" i="21"/>
  <c r="N340" i="21"/>
  <c r="M340" i="21"/>
  <c r="L340" i="21"/>
  <c r="K340" i="21"/>
  <c r="J340" i="21"/>
  <c r="I340" i="21"/>
  <c r="H340" i="21"/>
  <c r="G340" i="21"/>
  <c r="F340" i="21"/>
  <c r="E340" i="21"/>
  <c r="D340" i="21"/>
  <c r="C340" i="21"/>
  <c r="B340" i="21"/>
  <c r="A340" i="21"/>
  <c r="BG339" i="21"/>
  <c r="BH339" i="21" s="1"/>
  <c r="BE339" i="21"/>
  <c r="BF339" i="21" s="1"/>
  <c r="AW339" i="21"/>
  <c r="AU339" i="21"/>
  <c r="AV339" i="21" s="1"/>
  <c r="AS339" i="21"/>
  <c r="AQ339" i="21"/>
  <c r="AR339" i="21" s="1"/>
  <c r="AO339" i="21"/>
  <c r="AM339" i="21"/>
  <c r="AN339" i="21" s="1"/>
  <c r="AK339" i="21"/>
  <c r="AL339" i="21" s="1"/>
  <c r="AG339" i="21"/>
  <c r="AE339" i="21"/>
  <c r="AF339" i="21" s="1"/>
  <c r="AC339" i="21"/>
  <c r="AD339" i="21" s="1"/>
  <c r="AA339" i="21"/>
  <c r="AB339" i="21" s="1"/>
  <c r="W339" i="21"/>
  <c r="X339" i="21" s="1"/>
  <c r="U339" i="21"/>
  <c r="V339" i="21" s="1"/>
  <c r="S339" i="21"/>
  <c r="T339" i="21" s="1"/>
  <c r="Z339" i="21" s="1"/>
  <c r="Q339" i="21"/>
  <c r="R339" i="21" s="1"/>
  <c r="P339" i="21"/>
  <c r="O339" i="21"/>
  <c r="N339" i="21"/>
  <c r="M339" i="21"/>
  <c r="L339" i="21"/>
  <c r="K339" i="21"/>
  <c r="J339" i="21"/>
  <c r="I339" i="21"/>
  <c r="H339" i="21"/>
  <c r="G339" i="21"/>
  <c r="F339" i="21"/>
  <c r="E339" i="21"/>
  <c r="D339" i="21"/>
  <c r="C339" i="21"/>
  <c r="B339" i="21"/>
  <c r="A339" i="21"/>
  <c r="BG338" i="21"/>
  <c r="BE338" i="21"/>
  <c r="BF338" i="21" s="1"/>
  <c r="AW338" i="21"/>
  <c r="AX338" i="21" s="1"/>
  <c r="AU338" i="21"/>
  <c r="AV338" i="21" s="1"/>
  <c r="AS338" i="21"/>
  <c r="AT338" i="21" s="1"/>
  <c r="AQ338" i="21"/>
  <c r="AR338" i="21" s="1"/>
  <c r="AO338" i="21"/>
  <c r="AP338" i="21" s="1"/>
  <c r="AM338" i="21"/>
  <c r="AK338" i="21"/>
  <c r="AL338" i="21" s="1"/>
  <c r="AG338" i="21"/>
  <c r="AE338" i="21"/>
  <c r="AF338" i="21" s="1"/>
  <c r="AC338" i="21"/>
  <c r="AD338" i="21" s="1"/>
  <c r="AA338" i="21"/>
  <c r="AB338" i="21" s="1"/>
  <c r="W338" i="21"/>
  <c r="X338" i="21" s="1"/>
  <c r="U338" i="21"/>
  <c r="V338" i="21" s="1"/>
  <c r="S338" i="21"/>
  <c r="Q338" i="21"/>
  <c r="R338" i="21" s="1"/>
  <c r="P338" i="21"/>
  <c r="O338" i="21"/>
  <c r="N338" i="21"/>
  <c r="M338" i="21"/>
  <c r="L338" i="21"/>
  <c r="K338" i="21"/>
  <c r="J338" i="21"/>
  <c r="I338" i="21"/>
  <c r="H338" i="21"/>
  <c r="G338" i="21"/>
  <c r="F338" i="21"/>
  <c r="E338" i="21"/>
  <c r="D338" i="21"/>
  <c r="C338" i="21"/>
  <c r="B338" i="21"/>
  <c r="A338" i="21"/>
  <c r="BG337" i="21"/>
  <c r="BH337" i="21" s="1"/>
  <c r="BE337" i="21"/>
  <c r="BF337" i="21" s="1"/>
  <c r="AW337" i="21"/>
  <c r="AX337" i="21" s="1"/>
  <c r="AU337" i="21"/>
  <c r="AV337" i="21" s="1"/>
  <c r="AS337" i="21"/>
  <c r="AQ337" i="21"/>
  <c r="AO337" i="21"/>
  <c r="AP337" i="21" s="1"/>
  <c r="AM337" i="21"/>
  <c r="AK337" i="21"/>
  <c r="AL337" i="21" s="1"/>
  <c r="AG337" i="21"/>
  <c r="AH337" i="21" s="1"/>
  <c r="AE337" i="21"/>
  <c r="AF337" i="21" s="1"/>
  <c r="AC337" i="21"/>
  <c r="AD337" i="21" s="1"/>
  <c r="AA337" i="21"/>
  <c r="AB337" i="21" s="1"/>
  <c r="W337" i="21"/>
  <c r="U337" i="21"/>
  <c r="V337" i="21" s="1"/>
  <c r="S337" i="21"/>
  <c r="Q337" i="21"/>
  <c r="R337" i="21" s="1"/>
  <c r="P337" i="21"/>
  <c r="O337" i="21"/>
  <c r="N337" i="21"/>
  <c r="M337" i="21"/>
  <c r="L337" i="21"/>
  <c r="K337" i="21"/>
  <c r="J337" i="21"/>
  <c r="I337" i="21"/>
  <c r="H337" i="21"/>
  <c r="G337" i="21"/>
  <c r="F337" i="21"/>
  <c r="E337" i="21"/>
  <c r="D337" i="21"/>
  <c r="C337" i="21"/>
  <c r="B337" i="21"/>
  <c r="A337" i="21"/>
  <c r="BG336" i="21"/>
  <c r="BH336" i="21" s="1"/>
  <c r="BE336" i="21"/>
  <c r="AW336" i="21"/>
  <c r="AU336" i="21"/>
  <c r="AS336" i="21"/>
  <c r="AT336" i="21" s="1"/>
  <c r="AQ336" i="21"/>
  <c r="AR336" i="21" s="1"/>
  <c r="AO336" i="21"/>
  <c r="AP336" i="21" s="1"/>
  <c r="AM336" i="21"/>
  <c r="AN336" i="21" s="1"/>
  <c r="AK336" i="21"/>
  <c r="AG336" i="21"/>
  <c r="AH336" i="21" s="1"/>
  <c r="AE336" i="21"/>
  <c r="AF336" i="21" s="1"/>
  <c r="AC336" i="21"/>
  <c r="AA336" i="21"/>
  <c r="AB336" i="21" s="1"/>
  <c r="W336" i="21"/>
  <c r="X336" i="21" s="1"/>
  <c r="U336" i="21"/>
  <c r="V336" i="21" s="1"/>
  <c r="S336" i="21"/>
  <c r="T336" i="21" s="1"/>
  <c r="Q336" i="21"/>
  <c r="P336" i="21"/>
  <c r="O336" i="21"/>
  <c r="N336" i="21"/>
  <c r="M336" i="21"/>
  <c r="L336" i="21"/>
  <c r="K336" i="21"/>
  <c r="J336" i="21"/>
  <c r="I336" i="21"/>
  <c r="H336" i="21"/>
  <c r="G336" i="21"/>
  <c r="F336" i="21"/>
  <c r="E336" i="21"/>
  <c r="D336" i="21"/>
  <c r="C336" i="21"/>
  <c r="B336" i="21"/>
  <c r="A336" i="21"/>
  <c r="BG335" i="21"/>
  <c r="BH335" i="21" s="1"/>
  <c r="BE335" i="21"/>
  <c r="BF335" i="21" s="1"/>
  <c r="AW335" i="21"/>
  <c r="AX335" i="21" s="1"/>
  <c r="AU335" i="21"/>
  <c r="AS335" i="21"/>
  <c r="AT335" i="21" s="1"/>
  <c r="AQ335" i="21"/>
  <c r="AR335" i="21" s="1"/>
  <c r="AO335" i="21"/>
  <c r="AP335" i="21" s="1"/>
  <c r="AM335" i="21"/>
  <c r="AN335" i="21" s="1"/>
  <c r="AK335" i="21"/>
  <c r="AL335" i="21" s="1"/>
  <c r="AG335" i="21"/>
  <c r="AH335" i="21" s="1"/>
  <c r="AE335" i="21"/>
  <c r="AF335" i="21" s="1"/>
  <c r="AC335" i="21"/>
  <c r="AA335" i="21"/>
  <c r="AB335" i="21" s="1"/>
  <c r="W335" i="21"/>
  <c r="X335" i="21" s="1"/>
  <c r="U335" i="21"/>
  <c r="S335" i="21"/>
  <c r="T335" i="21" s="1"/>
  <c r="Q335" i="21"/>
  <c r="R335" i="21" s="1"/>
  <c r="P335" i="21"/>
  <c r="O335" i="21"/>
  <c r="N335" i="21"/>
  <c r="M335" i="21"/>
  <c r="L335" i="21"/>
  <c r="K335" i="21"/>
  <c r="J335" i="21"/>
  <c r="I335" i="21"/>
  <c r="H335" i="21"/>
  <c r="G335" i="21"/>
  <c r="F335" i="21"/>
  <c r="E335" i="21"/>
  <c r="D335" i="21"/>
  <c r="C335" i="21"/>
  <c r="B335" i="21"/>
  <c r="A335" i="21"/>
  <c r="BG334" i="21"/>
  <c r="BE334" i="21"/>
  <c r="BF334" i="21" s="1"/>
  <c r="AW334" i="21"/>
  <c r="AX334" i="21" s="1"/>
  <c r="AU334" i="21"/>
  <c r="AV334" i="21" s="1"/>
  <c r="AS334" i="21"/>
  <c r="AT334" i="21" s="1"/>
  <c r="AQ334" i="21"/>
  <c r="AR334" i="21" s="1"/>
  <c r="AO334" i="21"/>
  <c r="AP334" i="21" s="1"/>
  <c r="AM334" i="21"/>
  <c r="AK334" i="21"/>
  <c r="AL334" i="21" s="1"/>
  <c r="AG334" i="21"/>
  <c r="AH334" i="21" s="1"/>
  <c r="AE334" i="21"/>
  <c r="AF334" i="21" s="1"/>
  <c r="AC334" i="21"/>
  <c r="AD334" i="21" s="1"/>
  <c r="AA334" i="21"/>
  <c r="AB334" i="21" s="1"/>
  <c r="W334" i="21"/>
  <c r="X334" i="21" s="1"/>
  <c r="U334" i="21"/>
  <c r="S334" i="21"/>
  <c r="Q334" i="21"/>
  <c r="R334" i="21" s="1"/>
  <c r="P334" i="21"/>
  <c r="O334" i="21"/>
  <c r="N334" i="21"/>
  <c r="M334" i="21"/>
  <c r="L334" i="21"/>
  <c r="K334" i="21"/>
  <c r="J334" i="21"/>
  <c r="I334" i="21"/>
  <c r="H334" i="21"/>
  <c r="G334" i="21"/>
  <c r="F334" i="21"/>
  <c r="E334" i="21"/>
  <c r="D334" i="21"/>
  <c r="C334" i="21"/>
  <c r="B334" i="21"/>
  <c r="A334" i="21"/>
  <c r="BG333" i="21"/>
  <c r="BH333" i="21" s="1"/>
  <c r="BE333" i="21"/>
  <c r="BF333" i="21" s="1"/>
  <c r="AW333" i="21"/>
  <c r="AX333" i="21" s="1"/>
  <c r="AU333" i="21"/>
  <c r="AV333" i="21" s="1"/>
  <c r="AS333" i="21"/>
  <c r="AT333" i="21" s="1"/>
  <c r="AQ333" i="21"/>
  <c r="AR333" i="21" s="1"/>
  <c r="AO333" i="21"/>
  <c r="AP333" i="21" s="1"/>
  <c r="AM333" i="21"/>
  <c r="AK333" i="21"/>
  <c r="AL333" i="21" s="1"/>
  <c r="AG333" i="21"/>
  <c r="AH333" i="21" s="1"/>
  <c r="AE333" i="21"/>
  <c r="AF333" i="21" s="1"/>
  <c r="AC333" i="21"/>
  <c r="AA333" i="21"/>
  <c r="AB333" i="21" s="1"/>
  <c r="W333" i="21"/>
  <c r="X333" i="21" s="1"/>
  <c r="U333" i="21"/>
  <c r="V333" i="21" s="1"/>
  <c r="S333" i="21"/>
  <c r="Q333" i="21"/>
  <c r="R333" i="21" s="1"/>
  <c r="P333" i="21"/>
  <c r="O333" i="21"/>
  <c r="N333" i="21"/>
  <c r="M333" i="21"/>
  <c r="L333" i="21"/>
  <c r="K333" i="21"/>
  <c r="J333" i="21"/>
  <c r="I333" i="21"/>
  <c r="H333" i="21"/>
  <c r="G333" i="21"/>
  <c r="F333" i="21"/>
  <c r="E333" i="21"/>
  <c r="D333" i="21"/>
  <c r="C333" i="21"/>
  <c r="B333" i="21"/>
  <c r="A333" i="21"/>
  <c r="BG332" i="21"/>
  <c r="BH332" i="21" s="1"/>
  <c r="BE332" i="21"/>
  <c r="AW332" i="21"/>
  <c r="AU332" i="21"/>
  <c r="AV332" i="21" s="1"/>
  <c r="AS332" i="21"/>
  <c r="AT332" i="21" s="1"/>
  <c r="AQ332" i="21"/>
  <c r="AO332" i="21"/>
  <c r="AP332" i="21" s="1"/>
  <c r="AM332" i="21"/>
  <c r="AK332" i="21"/>
  <c r="AL332" i="21" s="1"/>
  <c r="AG332" i="21"/>
  <c r="AH332" i="21" s="1"/>
  <c r="AE332" i="21"/>
  <c r="AF332" i="21" s="1"/>
  <c r="AC332" i="21"/>
  <c r="AD332" i="21" s="1"/>
  <c r="AA332" i="21"/>
  <c r="AB332" i="21" s="1"/>
  <c r="W332" i="21"/>
  <c r="U332" i="21"/>
  <c r="V332" i="21" s="1"/>
  <c r="S332" i="21"/>
  <c r="T332" i="21" s="1"/>
  <c r="Q332" i="21"/>
  <c r="R332" i="21" s="1"/>
  <c r="P332" i="21"/>
  <c r="O332" i="21"/>
  <c r="N332" i="21"/>
  <c r="M332" i="21"/>
  <c r="L332" i="21"/>
  <c r="K332" i="21"/>
  <c r="J332" i="21"/>
  <c r="I332" i="21"/>
  <c r="H332" i="21"/>
  <c r="G332" i="21"/>
  <c r="F332" i="21"/>
  <c r="E332" i="21"/>
  <c r="D332" i="21"/>
  <c r="C332" i="21"/>
  <c r="B332" i="21"/>
  <c r="A332" i="21"/>
  <c r="BG331" i="21"/>
  <c r="BH331" i="21" s="1"/>
  <c r="BE331" i="21"/>
  <c r="AW331" i="21"/>
  <c r="AX331" i="21" s="1"/>
  <c r="AU331" i="21"/>
  <c r="AS331" i="21"/>
  <c r="AT331" i="21" s="1"/>
  <c r="AQ331" i="21"/>
  <c r="AO331" i="21"/>
  <c r="AP331" i="21" s="1"/>
  <c r="AM331" i="21"/>
  <c r="AN331" i="21" s="1"/>
  <c r="AK331" i="21"/>
  <c r="AL331" i="21" s="1"/>
  <c r="AG331" i="21"/>
  <c r="AH331" i="21" s="1"/>
  <c r="AE331" i="21"/>
  <c r="AF331" i="21" s="1"/>
  <c r="AC331" i="21"/>
  <c r="AA331" i="21"/>
  <c r="AB331" i="21" s="1"/>
  <c r="W331" i="21"/>
  <c r="X331" i="21" s="1"/>
  <c r="U331" i="21"/>
  <c r="V331" i="21" s="1"/>
  <c r="S331" i="21"/>
  <c r="T331" i="21" s="1"/>
  <c r="Z331" i="21" s="1"/>
  <c r="Q331" i="21"/>
  <c r="P331" i="21"/>
  <c r="O331" i="21"/>
  <c r="N331" i="21"/>
  <c r="M331" i="21"/>
  <c r="L331" i="21"/>
  <c r="K331" i="21"/>
  <c r="J331" i="21"/>
  <c r="I331" i="21"/>
  <c r="H331" i="21"/>
  <c r="G331" i="21"/>
  <c r="F331" i="21"/>
  <c r="E331" i="21"/>
  <c r="D331" i="21"/>
  <c r="C331" i="21"/>
  <c r="B331" i="21"/>
  <c r="A331" i="21"/>
  <c r="BG330" i="21"/>
  <c r="BH330" i="21" s="1"/>
  <c r="BE330" i="21"/>
  <c r="BF330" i="21" s="1"/>
  <c r="AW330" i="21"/>
  <c r="AX330" i="21" s="1"/>
  <c r="AU330" i="21"/>
  <c r="AV330" i="21" s="1"/>
  <c r="AS330" i="21"/>
  <c r="AT330" i="21" s="1"/>
  <c r="AQ330" i="21"/>
  <c r="AR330" i="21" s="1"/>
  <c r="AO330" i="21"/>
  <c r="AP330" i="21" s="1"/>
  <c r="AM330" i="21"/>
  <c r="AN330" i="21" s="1"/>
  <c r="AK330" i="21"/>
  <c r="AG330" i="21"/>
  <c r="AE330" i="21"/>
  <c r="AF330" i="21" s="1"/>
  <c r="AC330" i="21"/>
  <c r="AA330" i="21"/>
  <c r="AB330" i="21" s="1"/>
  <c r="W330" i="21"/>
  <c r="X330" i="21" s="1"/>
  <c r="U330" i="21"/>
  <c r="S330" i="21"/>
  <c r="T330" i="21" s="1"/>
  <c r="Q330" i="21"/>
  <c r="R330" i="21" s="1"/>
  <c r="P330" i="21"/>
  <c r="O330" i="21"/>
  <c r="N330" i="21"/>
  <c r="M330" i="21"/>
  <c r="L330" i="21"/>
  <c r="K330" i="21"/>
  <c r="J330" i="21"/>
  <c r="I330" i="21"/>
  <c r="H330" i="21"/>
  <c r="G330" i="21"/>
  <c r="F330" i="21"/>
  <c r="E330" i="21"/>
  <c r="D330" i="21"/>
  <c r="C330" i="21"/>
  <c r="B330" i="21"/>
  <c r="A330" i="21"/>
  <c r="BG329" i="21"/>
  <c r="BE329" i="21"/>
  <c r="BF329" i="21" s="1"/>
  <c r="AW329" i="21"/>
  <c r="AX329" i="21" s="1"/>
  <c r="AU329" i="21"/>
  <c r="AV329" i="21" s="1"/>
  <c r="AS329" i="21"/>
  <c r="AT329" i="21" s="1"/>
  <c r="AQ329" i="21"/>
  <c r="AO329" i="21"/>
  <c r="AP329" i="21" s="1"/>
  <c r="AM329" i="21"/>
  <c r="AK329" i="21"/>
  <c r="AL329" i="21" s="1"/>
  <c r="AG329" i="21"/>
  <c r="AE329" i="21"/>
  <c r="AF329" i="21" s="1"/>
  <c r="AC329" i="21"/>
  <c r="AD329" i="21" s="1"/>
  <c r="AA329" i="21"/>
  <c r="W329" i="21"/>
  <c r="X329" i="21" s="1"/>
  <c r="U329" i="21"/>
  <c r="V329" i="21" s="1"/>
  <c r="S329" i="21"/>
  <c r="Q329" i="21"/>
  <c r="R329" i="21" s="1"/>
  <c r="P329" i="21"/>
  <c r="O329" i="21"/>
  <c r="N329" i="21"/>
  <c r="M329" i="21"/>
  <c r="L329" i="21"/>
  <c r="K329" i="21"/>
  <c r="J329" i="21"/>
  <c r="I329" i="21"/>
  <c r="H329" i="21"/>
  <c r="G329" i="21"/>
  <c r="F329" i="21"/>
  <c r="E329" i="21"/>
  <c r="D329" i="21"/>
  <c r="C329" i="21"/>
  <c r="B329" i="21"/>
  <c r="A329" i="21"/>
  <c r="BG328" i="21"/>
  <c r="BH328" i="21" s="1"/>
  <c r="BE328" i="21"/>
  <c r="BF328" i="21" s="1"/>
  <c r="AW328" i="21"/>
  <c r="AU328" i="21"/>
  <c r="AS328" i="21"/>
  <c r="AT328" i="21" s="1"/>
  <c r="AQ328" i="21"/>
  <c r="AO328" i="21"/>
  <c r="AP328" i="21" s="1"/>
  <c r="AM328" i="21"/>
  <c r="AK328" i="21"/>
  <c r="AL328" i="21" s="1"/>
  <c r="AG328" i="21"/>
  <c r="AH328" i="21" s="1"/>
  <c r="AE328" i="21"/>
  <c r="AC328" i="21"/>
  <c r="AD328" i="21" s="1"/>
  <c r="AA328" i="21"/>
  <c r="AB328" i="21" s="1"/>
  <c r="W328" i="21"/>
  <c r="U328" i="21"/>
  <c r="V328" i="21" s="1"/>
  <c r="S328" i="21"/>
  <c r="T328" i="21" s="1"/>
  <c r="Q328" i="21"/>
  <c r="R328" i="21" s="1"/>
  <c r="P328" i="21"/>
  <c r="O328" i="21"/>
  <c r="N328" i="21"/>
  <c r="M328" i="21"/>
  <c r="L328" i="21"/>
  <c r="K328" i="21"/>
  <c r="J328" i="21"/>
  <c r="I328" i="21"/>
  <c r="H328" i="21"/>
  <c r="G328" i="21"/>
  <c r="F328" i="21"/>
  <c r="E328" i="21"/>
  <c r="D328" i="21"/>
  <c r="C328" i="21"/>
  <c r="B328" i="21"/>
  <c r="A328" i="21"/>
  <c r="BG327" i="21"/>
  <c r="BH327" i="21" s="1"/>
  <c r="BE327" i="21"/>
  <c r="AW327" i="21"/>
  <c r="AX327" i="21" s="1"/>
  <c r="AU327" i="21"/>
  <c r="AS327" i="21"/>
  <c r="AT327" i="21" s="1"/>
  <c r="AQ327" i="21"/>
  <c r="AO327" i="21"/>
  <c r="AP327" i="21" s="1"/>
  <c r="AM327" i="21"/>
  <c r="AN327" i="21" s="1"/>
  <c r="AK327" i="21"/>
  <c r="AG327" i="21"/>
  <c r="AH327" i="21" s="1"/>
  <c r="AE327" i="21"/>
  <c r="AF327" i="21" s="1"/>
  <c r="AC327" i="21"/>
  <c r="AA327" i="21"/>
  <c r="AB327" i="21" s="1"/>
  <c r="W327" i="21"/>
  <c r="X327" i="21" s="1"/>
  <c r="U327" i="21"/>
  <c r="V327" i="21" s="1"/>
  <c r="S327" i="21"/>
  <c r="Q327" i="21"/>
  <c r="R327" i="21" s="1"/>
  <c r="P327" i="21"/>
  <c r="O327" i="21"/>
  <c r="N327" i="21"/>
  <c r="M327" i="21"/>
  <c r="L327" i="21"/>
  <c r="K327" i="21"/>
  <c r="J327" i="21"/>
  <c r="I327" i="21"/>
  <c r="H327" i="21"/>
  <c r="G327" i="21"/>
  <c r="F327" i="21"/>
  <c r="E327" i="21"/>
  <c r="D327" i="21"/>
  <c r="C327" i="21"/>
  <c r="B327" i="21"/>
  <c r="A327" i="21"/>
  <c r="BG326" i="21"/>
  <c r="BH326" i="21" s="1"/>
  <c r="BE326" i="21"/>
  <c r="BF326" i="21" s="1"/>
  <c r="AW326" i="21"/>
  <c r="AX326" i="21" s="1"/>
  <c r="AU326" i="21"/>
  <c r="AV326" i="21" s="1"/>
  <c r="AS326" i="21"/>
  <c r="AT326" i="21" s="1"/>
  <c r="AQ326" i="21"/>
  <c r="AR326" i="21" s="1"/>
  <c r="AO326" i="21"/>
  <c r="AM326" i="21"/>
  <c r="AN326" i="21" s="1"/>
  <c r="AK326" i="21"/>
  <c r="AL326" i="21" s="1"/>
  <c r="AG326" i="21"/>
  <c r="AE326" i="21"/>
  <c r="AF326" i="21" s="1"/>
  <c r="AC326" i="21"/>
  <c r="AD326" i="21" s="1"/>
  <c r="AA326" i="21"/>
  <c r="AB326" i="21" s="1"/>
  <c r="W326" i="21"/>
  <c r="X326" i="21" s="1"/>
  <c r="U326" i="21"/>
  <c r="V326" i="21" s="1"/>
  <c r="S326" i="21"/>
  <c r="T326" i="21" s="1"/>
  <c r="Q326" i="21"/>
  <c r="R326" i="21" s="1"/>
  <c r="P326" i="21"/>
  <c r="O326" i="21"/>
  <c r="N326" i="21"/>
  <c r="M326" i="21"/>
  <c r="L326" i="21"/>
  <c r="K326" i="21"/>
  <c r="J326" i="21"/>
  <c r="I326" i="21"/>
  <c r="H326" i="21"/>
  <c r="G326" i="21"/>
  <c r="F326" i="21"/>
  <c r="E326" i="21"/>
  <c r="D326" i="21"/>
  <c r="C326" i="21"/>
  <c r="B326" i="21"/>
  <c r="A326" i="21"/>
  <c r="BG325" i="21"/>
  <c r="BE325" i="21"/>
  <c r="BF325" i="21" s="1"/>
  <c r="AW325" i="21"/>
  <c r="AX325" i="21" s="1"/>
  <c r="AU325" i="21"/>
  <c r="AV325" i="21" s="1"/>
  <c r="AS325" i="21"/>
  <c r="AQ325" i="21"/>
  <c r="AR325" i="21" s="1"/>
  <c r="AO325" i="21"/>
  <c r="AP325" i="21" s="1"/>
  <c r="AM325" i="21"/>
  <c r="AK325" i="21"/>
  <c r="AL325" i="21" s="1"/>
  <c r="AG325" i="21"/>
  <c r="AH325" i="21" s="1"/>
  <c r="AE325" i="21"/>
  <c r="AF325" i="21" s="1"/>
  <c r="AC325" i="21"/>
  <c r="AD325" i="21" s="1"/>
  <c r="AA325" i="21"/>
  <c r="AB325" i="21" s="1"/>
  <c r="W325" i="21"/>
  <c r="X325" i="21" s="1"/>
  <c r="U325" i="21"/>
  <c r="V325" i="21" s="1"/>
  <c r="S325" i="21"/>
  <c r="Q325" i="21"/>
  <c r="R325" i="21" s="1"/>
  <c r="P325" i="21"/>
  <c r="O325" i="21"/>
  <c r="N325" i="21"/>
  <c r="M325" i="21"/>
  <c r="L325" i="21"/>
  <c r="K325" i="21"/>
  <c r="J325" i="21"/>
  <c r="I325" i="21"/>
  <c r="H325" i="21"/>
  <c r="G325" i="21"/>
  <c r="F325" i="21"/>
  <c r="E325" i="21"/>
  <c r="D325" i="21"/>
  <c r="C325" i="21"/>
  <c r="B325" i="21"/>
  <c r="A325" i="21"/>
  <c r="BG324" i="21"/>
  <c r="BH324" i="21" s="1"/>
  <c r="BE324" i="21"/>
  <c r="BF324" i="21" s="1"/>
  <c r="AW324" i="21"/>
  <c r="AU324" i="21"/>
  <c r="AV324" i="21" s="1"/>
  <c r="AS324" i="21"/>
  <c r="AT324" i="21" s="1"/>
  <c r="AQ324" i="21"/>
  <c r="AO324" i="21"/>
  <c r="AP324" i="21" s="1"/>
  <c r="AM324" i="21"/>
  <c r="AN324" i="21" s="1"/>
  <c r="AK324" i="21"/>
  <c r="AL324" i="21" s="1"/>
  <c r="AG324" i="21"/>
  <c r="AH324" i="21" s="1"/>
  <c r="AE324" i="21"/>
  <c r="AF324" i="21" s="1"/>
  <c r="AC324" i="21"/>
  <c r="AD324" i="21" s="1"/>
  <c r="AA324" i="21"/>
  <c r="AB324" i="21" s="1"/>
  <c r="W324" i="21"/>
  <c r="U324" i="21"/>
  <c r="V324" i="21" s="1"/>
  <c r="S324" i="21"/>
  <c r="Q324" i="21"/>
  <c r="R324" i="21" s="1"/>
  <c r="P324" i="21"/>
  <c r="O324" i="21"/>
  <c r="N324" i="21"/>
  <c r="M324" i="21"/>
  <c r="L324" i="21"/>
  <c r="K324" i="21"/>
  <c r="J324" i="21"/>
  <c r="I324" i="21"/>
  <c r="H324" i="21"/>
  <c r="G324" i="21"/>
  <c r="F324" i="21"/>
  <c r="E324" i="21"/>
  <c r="D324" i="21"/>
  <c r="C324" i="21"/>
  <c r="B324" i="21"/>
  <c r="A324" i="21"/>
  <c r="BG323" i="21"/>
  <c r="BH323" i="21" s="1"/>
  <c r="BE323" i="21"/>
  <c r="AW323" i="21"/>
  <c r="AX323" i="21" s="1"/>
  <c r="AU323" i="21"/>
  <c r="AS323" i="21"/>
  <c r="AT323" i="21" s="1"/>
  <c r="AQ323" i="21"/>
  <c r="AR323" i="21" s="1"/>
  <c r="AO323" i="21"/>
  <c r="AP323" i="21" s="1"/>
  <c r="AM323" i="21"/>
  <c r="AN323" i="21" s="1"/>
  <c r="AK323" i="21"/>
  <c r="AL323" i="21" s="1"/>
  <c r="AG323" i="21"/>
  <c r="AH323" i="21" s="1"/>
  <c r="AE323" i="21"/>
  <c r="AF323" i="21" s="1"/>
  <c r="AC323" i="21"/>
  <c r="AA323" i="21"/>
  <c r="AB323" i="21" s="1"/>
  <c r="W323" i="21"/>
  <c r="X323" i="21" s="1"/>
  <c r="U323" i="21"/>
  <c r="V323" i="21" s="1"/>
  <c r="S323" i="21"/>
  <c r="T323" i="21" s="1"/>
  <c r="Q323" i="21"/>
  <c r="P323" i="21"/>
  <c r="O323" i="21"/>
  <c r="N323" i="21"/>
  <c r="M323" i="21"/>
  <c r="L323" i="21"/>
  <c r="K323" i="21"/>
  <c r="J323" i="21"/>
  <c r="I323" i="21"/>
  <c r="H323" i="21"/>
  <c r="G323" i="21"/>
  <c r="F323" i="21"/>
  <c r="E323" i="21"/>
  <c r="D323" i="21"/>
  <c r="C323" i="21"/>
  <c r="B323" i="21"/>
  <c r="A323" i="21"/>
  <c r="BG322" i="21"/>
  <c r="BH322" i="21" s="1"/>
  <c r="BE322" i="21"/>
  <c r="BF322" i="21" s="1"/>
  <c r="AW322" i="21"/>
  <c r="AX322" i="21" s="1"/>
  <c r="AU322" i="21"/>
  <c r="AV322" i="21" s="1"/>
  <c r="AS322" i="21"/>
  <c r="AT322" i="21" s="1"/>
  <c r="AQ322" i="21"/>
  <c r="AR322" i="21" s="1"/>
  <c r="AO322" i="21"/>
  <c r="AP322" i="21" s="1"/>
  <c r="AM322" i="21"/>
  <c r="AN322" i="21" s="1"/>
  <c r="AK322" i="21"/>
  <c r="AL322" i="21" s="1"/>
  <c r="AG322" i="21"/>
  <c r="AE322" i="21"/>
  <c r="AF322" i="21" s="1"/>
  <c r="AC322" i="21"/>
  <c r="AA322" i="21"/>
  <c r="AB322" i="21" s="1"/>
  <c r="W322" i="21"/>
  <c r="X322" i="21" s="1"/>
  <c r="U322" i="21"/>
  <c r="S322" i="21"/>
  <c r="T322" i="21" s="1"/>
  <c r="Q322" i="21"/>
  <c r="R322" i="21" s="1"/>
  <c r="P322" i="21"/>
  <c r="O322" i="21"/>
  <c r="N322" i="21"/>
  <c r="M322" i="21"/>
  <c r="L322" i="21"/>
  <c r="K322" i="21"/>
  <c r="J322" i="21"/>
  <c r="I322" i="21"/>
  <c r="H322" i="21"/>
  <c r="G322" i="21"/>
  <c r="F322" i="21"/>
  <c r="E322" i="21"/>
  <c r="D322" i="21"/>
  <c r="C322" i="21"/>
  <c r="B322" i="21"/>
  <c r="A322" i="21"/>
  <c r="BG321" i="21"/>
  <c r="BE321" i="21"/>
  <c r="BF321" i="21" s="1"/>
  <c r="AW321" i="21"/>
  <c r="AX321" i="21" s="1"/>
  <c r="AU321" i="21"/>
  <c r="AV321" i="21" s="1"/>
  <c r="AS321" i="21"/>
  <c r="AT321" i="21" s="1"/>
  <c r="AQ321" i="21"/>
  <c r="AR321" i="21" s="1"/>
  <c r="AO321" i="21"/>
  <c r="AP321" i="21" s="1"/>
  <c r="AM321" i="21"/>
  <c r="AK321" i="21"/>
  <c r="AL321" i="21" s="1"/>
  <c r="AG321" i="21"/>
  <c r="AH321" i="21" s="1"/>
  <c r="AE321" i="21"/>
  <c r="AF321" i="21" s="1"/>
  <c r="AC321" i="21"/>
  <c r="AD321" i="21" s="1"/>
  <c r="AA321" i="21"/>
  <c r="W321" i="21"/>
  <c r="X321" i="21" s="1"/>
  <c r="U321" i="21"/>
  <c r="V321" i="21" s="1"/>
  <c r="S321" i="21"/>
  <c r="Q321" i="21"/>
  <c r="R321" i="21" s="1"/>
  <c r="P321" i="21"/>
  <c r="O321" i="21"/>
  <c r="N321" i="21"/>
  <c r="M321" i="21"/>
  <c r="L321" i="21"/>
  <c r="K321" i="21"/>
  <c r="J321" i="21"/>
  <c r="I321" i="21"/>
  <c r="H321" i="21"/>
  <c r="G321" i="21"/>
  <c r="F321" i="21"/>
  <c r="E321" i="21"/>
  <c r="D321" i="21"/>
  <c r="C321" i="21"/>
  <c r="B321" i="21"/>
  <c r="A321" i="21"/>
  <c r="BG320" i="21"/>
  <c r="BH320" i="21" s="1"/>
  <c r="BE320" i="21"/>
  <c r="BF320" i="21" s="1"/>
  <c r="AW320" i="21"/>
  <c r="AX320" i="21" s="1"/>
  <c r="AU320" i="21"/>
  <c r="AV320" i="21" s="1"/>
  <c r="AS320" i="21"/>
  <c r="AT320" i="21" s="1"/>
  <c r="AQ320" i="21"/>
  <c r="AR320" i="21" s="1"/>
  <c r="AO320" i="21"/>
  <c r="AP320" i="21" s="1"/>
  <c r="AM320" i="21"/>
  <c r="AK320" i="21"/>
  <c r="AL320" i="21" s="1"/>
  <c r="AG320" i="21"/>
  <c r="AH320" i="21" s="1"/>
  <c r="AE320" i="21"/>
  <c r="AC320" i="21"/>
  <c r="AD320" i="21" s="1"/>
  <c r="AA320" i="21"/>
  <c r="AB320" i="21" s="1"/>
  <c r="W320" i="21"/>
  <c r="U320" i="21"/>
  <c r="V320" i="21" s="1"/>
  <c r="S320" i="21"/>
  <c r="Q320" i="21"/>
  <c r="R320" i="21" s="1"/>
  <c r="P320" i="21"/>
  <c r="O320" i="21"/>
  <c r="N320" i="21"/>
  <c r="M320" i="21"/>
  <c r="L320" i="21"/>
  <c r="K320" i="21"/>
  <c r="J320" i="21"/>
  <c r="I320" i="21"/>
  <c r="H320" i="21"/>
  <c r="G320" i="21"/>
  <c r="F320" i="21"/>
  <c r="E320" i="21"/>
  <c r="D320" i="21"/>
  <c r="C320" i="21"/>
  <c r="B320" i="21"/>
  <c r="A320" i="21"/>
  <c r="BG319" i="21"/>
  <c r="BH319" i="21" s="1"/>
  <c r="BE319" i="21"/>
  <c r="BF319" i="21" s="1"/>
  <c r="AW319" i="21"/>
  <c r="AX319" i="21" s="1"/>
  <c r="AU319" i="21"/>
  <c r="AV319" i="21" s="1"/>
  <c r="AS319" i="21"/>
  <c r="AT319" i="21" s="1"/>
  <c r="AQ319" i="21"/>
  <c r="AO319" i="21"/>
  <c r="AP319" i="21" s="1"/>
  <c r="AM319" i="21"/>
  <c r="AN319" i="21" s="1"/>
  <c r="AK319" i="21"/>
  <c r="AG319" i="21"/>
  <c r="AH319" i="21" s="1"/>
  <c r="AE319" i="21"/>
  <c r="AC319" i="21"/>
  <c r="AA319" i="21"/>
  <c r="AB319" i="21" s="1"/>
  <c r="W319" i="21"/>
  <c r="X319" i="21" s="1"/>
  <c r="U319" i="21"/>
  <c r="V319" i="21" s="1"/>
  <c r="S319" i="21"/>
  <c r="T319" i="21" s="1"/>
  <c r="Q319" i="21"/>
  <c r="R319" i="21" s="1"/>
  <c r="P319" i="21"/>
  <c r="O319" i="21"/>
  <c r="N319" i="21"/>
  <c r="M319" i="21"/>
  <c r="L319" i="21"/>
  <c r="K319" i="21"/>
  <c r="J319" i="21"/>
  <c r="I319" i="21"/>
  <c r="H319" i="21"/>
  <c r="G319" i="21"/>
  <c r="F319" i="21"/>
  <c r="E319" i="21"/>
  <c r="D319" i="21"/>
  <c r="C319" i="21"/>
  <c r="B319" i="21"/>
  <c r="A319" i="21"/>
  <c r="BG318" i="21"/>
  <c r="BH318" i="21" s="1"/>
  <c r="BE318" i="21"/>
  <c r="AW318" i="21"/>
  <c r="AX318" i="21" s="1"/>
  <c r="AU318" i="21"/>
  <c r="AV318" i="21" s="1"/>
  <c r="AS318" i="21"/>
  <c r="AT318" i="21" s="1"/>
  <c r="AQ318" i="21"/>
  <c r="AR318" i="21" s="1"/>
  <c r="AO318" i="21"/>
  <c r="AP318" i="21" s="1"/>
  <c r="AM318" i="21"/>
  <c r="AN318" i="21" s="1"/>
  <c r="AK318" i="21"/>
  <c r="AG318" i="21"/>
  <c r="AE318" i="21"/>
  <c r="AF318" i="21" s="1"/>
  <c r="AC318" i="21"/>
  <c r="AD318" i="21" s="1"/>
  <c r="AA318" i="21"/>
  <c r="AB318" i="21" s="1"/>
  <c r="W318" i="21"/>
  <c r="X318" i="21" s="1"/>
  <c r="U318" i="21"/>
  <c r="V318" i="21" s="1"/>
  <c r="S318" i="21"/>
  <c r="Q318" i="21"/>
  <c r="R318" i="21" s="1"/>
  <c r="P318" i="21"/>
  <c r="O318" i="21"/>
  <c r="N318" i="21"/>
  <c r="M318" i="21"/>
  <c r="L318" i="21"/>
  <c r="K318" i="21"/>
  <c r="J318" i="21"/>
  <c r="I318" i="21"/>
  <c r="H318" i="21"/>
  <c r="G318" i="21"/>
  <c r="F318" i="21"/>
  <c r="E318" i="21"/>
  <c r="D318" i="21"/>
  <c r="C318" i="21"/>
  <c r="B318" i="21"/>
  <c r="A318" i="21"/>
  <c r="BG317" i="21"/>
  <c r="BH317" i="21" s="1"/>
  <c r="BE317" i="21"/>
  <c r="BF317" i="21" s="1"/>
  <c r="AW317" i="21"/>
  <c r="AX317" i="21" s="1"/>
  <c r="AU317" i="21"/>
  <c r="AV317" i="21" s="1"/>
  <c r="AS317" i="21"/>
  <c r="AQ317" i="21"/>
  <c r="AR317" i="21" s="1"/>
  <c r="AO317" i="21"/>
  <c r="AP317" i="21" s="1"/>
  <c r="AM317" i="21"/>
  <c r="AK317" i="21"/>
  <c r="AL317" i="21" s="1"/>
  <c r="AG317" i="21"/>
  <c r="AE317" i="21"/>
  <c r="AF317" i="21" s="1"/>
  <c r="AC317" i="21"/>
  <c r="AD317" i="21" s="1"/>
  <c r="AA317" i="21"/>
  <c r="AB317" i="21" s="1"/>
  <c r="W317" i="21"/>
  <c r="X317" i="21" s="1"/>
  <c r="U317" i="21"/>
  <c r="V317" i="21" s="1"/>
  <c r="S317" i="21"/>
  <c r="T317" i="21" s="1"/>
  <c r="Q317" i="21"/>
  <c r="R317" i="21" s="1"/>
  <c r="P317" i="21"/>
  <c r="O317" i="21"/>
  <c r="N317" i="21"/>
  <c r="M317" i="21"/>
  <c r="L317" i="21"/>
  <c r="K317" i="21"/>
  <c r="J317" i="21"/>
  <c r="I317" i="21"/>
  <c r="H317" i="21"/>
  <c r="G317" i="21"/>
  <c r="F317" i="21"/>
  <c r="E317" i="21"/>
  <c r="D317" i="21"/>
  <c r="C317" i="21"/>
  <c r="B317" i="21"/>
  <c r="A317" i="21"/>
  <c r="BG316" i="21"/>
  <c r="BH316" i="21" s="1"/>
  <c r="BE316" i="21"/>
  <c r="BF316" i="21" s="1"/>
  <c r="AW316" i="21"/>
  <c r="AX316" i="21" s="1"/>
  <c r="AU316" i="21"/>
  <c r="AV316" i="21" s="1"/>
  <c r="AS316" i="21"/>
  <c r="AT316" i="21" s="1"/>
  <c r="AQ316" i="21"/>
  <c r="AO316" i="21"/>
  <c r="AP316" i="21" s="1"/>
  <c r="AM316" i="21"/>
  <c r="AK316" i="21"/>
  <c r="AL316" i="21" s="1"/>
  <c r="AG316" i="21"/>
  <c r="AH316" i="21" s="1"/>
  <c r="AE316" i="21"/>
  <c r="AF316" i="21" s="1"/>
  <c r="AC316" i="21"/>
  <c r="AD316" i="21" s="1"/>
  <c r="AA316" i="21"/>
  <c r="AB316" i="21" s="1"/>
  <c r="W316" i="21"/>
  <c r="X316" i="21" s="1"/>
  <c r="U316" i="21"/>
  <c r="V316" i="21" s="1"/>
  <c r="S316" i="21"/>
  <c r="Q316" i="21"/>
  <c r="R316" i="21" s="1"/>
  <c r="P316" i="21"/>
  <c r="O316" i="21"/>
  <c r="N316" i="21"/>
  <c r="M316" i="21"/>
  <c r="L316" i="21"/>
  <c r="K316" i="21"/>
  <c r="J316" i="21"/>
  <c r="I316" i="21"/>
  <c r="H316" i="21"/>
  <c r="G316" i="21"/>
  <c r="F316" i="21"/>
  <c r="E316" i="21"/>
  <c r="D316" i="21"/>
  <c r="C316" i="21"/>
  <c r="B316" i="21"/>
  <c r="A316" i="21"/>
  <c r="BG315" i="21"/>
  <c r="BH315" i="21" s="1"/>
  <c r="BE315" i="21"/>
  <c r="BF315" i="21" s="1"/>
  <c r="AW315" i="21"/>
  <c r="AU315" i="21"/>
  <c r="AS315" i="21"/>
  <c r="AT315" i="21" s="1"/>
  <c r="AQ315" i="21"/>
  <c r="AR315" i="21" s="1"/>
  <c r="AO315" i="21"/>
  <c r="AP315" i="21" s="1"/>
  <c r="AM315" i="21"/>
  <c r="AN315" i="21" s="1"/>
  <c r="AK315" i="21"/>
  <c r="AL315" i="21" s="1"/>
  <c r="AG315" i="21"/>
  <c r="AH315" i="21" s="1"/>
  <c r="AE315" i="21"/>
  <c r="AF315" i="21" s="1"/>
  <c r="AC315" i="21"/>
  <c r="AD315" i="21" s="1"/>
  <c r="AA315" i="21"/>
  <c r="AB315" i="21" s="1"/>
  <c r="W315" i="21"/>
  <c r="X315" i="21" s="1"/>
  <c r="U315" i="21"/>
  <c r="V315" i="21" s="1"/>
  <c r="S315" i="21"/>
  <c r="T315" i="21" s="1"/>
  <c r="Q315" i="21"/>
  <c r="P315" i="21"/>
  <c r="O315" i="21"/>
  <c r="N315" i="21"/>
  <c r="M315" i="21"/>
  <c r="L315" i="21"/>
  <c r="K315" i="21"/>
  <c r="J315" i="21"/>
  <c r="I315" i="21"/>
  <c r="H315" i="21"/>
  <c r="G315" i="21"/>
  <c r="F315" i="21"/>
  <c r="E315" i="21"/>
  <c r="D315" i="21"/>
  <c r="C315" i="21"/>
  <c r="B315" i="21"/>
  <c r="A315" i="21"/>
  <c r="BG314" i="21"/>
  <c r="BH314" i="21" s="1"/>
  <c r="BE314" i="21"/>
  <c r="BF314" i="21" s="1"/>
  <c r="AW314" i="21"/>
  <c r="AX314" i="21" s="1"/>
  <c r="AU314" i="21"/>
  <c r="AV314" i="21" s="1"/>
  <c r="AS314" i="21"/>
  <c r="AT314" i="21" s="1"/>
  <c r="AQ314" i="21"/>
  <c r="AR314" i="21" s="1"/>
  <c r="AO314" i="21"/>
  <c r="AP314" i="21" s="1"/>
  <c r="AM314" i="21"/>
  <c r="AN314" i="21" s="1"/>
  <c r="AK314" i="21"/>
  <c r="AL314" i="21" s="1"/>
  <c r="AG314" i="21"/>
  <c r="AH314" i="21" s="1"/>
  <c r="AE314" i="21"/>
  <c r="AF314" i="21" s="1"/>
  <c r="AC314" i="21"/>
  <c r="AD314" i="21" s="1"/>
  <c r="AA314" i="21"/>
  <c r="AB314" i="21" s="1"/>
  <c r="W314" i="21"/>
  <c r="X314" i="21" s="1"/>
  <c r="U314" i="21"/>
  <c r="S314" i="21"/>
  <c r="Q314" i="21"/>
  <c r="R314" i="21" s="1"/>
  <c r="P314" i="21"/>
  <c r="O314" i="21"/>
  <c r="N314" i="21"/>
  <c r="M314" i="21"/>
  <c r="L314" i="21"/>
  <c r="K314" i="21"/>
  <c r="J314" i="21"/>
  <c r="I314" i="21"/>
  <c r="H314" i="21"/>
  <c r="G314" i="21"/>
  <c r="F314" i="21"/>
  <c r="E314" i="21"/>
  <c r="D314" i="21"/>
  <c r="C314" i="21"/>
  <c r="B314" i="21"/>
  <c r="A314" i="21"/>
  <c r="BG313" i="21"/>
  <c r="BE313" i="21"/>
  <c r="BF313" i="21" s="1"/>
  <c r="AW313" i="21"/>
  <c r="AX313" i="21" s="1"/>
  <c r="AU313" i="21"/>
  <c r="AV313" i="21" s="1"/>
  <c r="AS313" i="21"/>
  <c r="AT313" i="21" s="1"/>
  <c r="AQ313" i="21"/>
  <c r="AR313" i="21" s="1"/>
  <c r="AO313" i="21"/>
  <c r="AP313" i="21" s="1"/>
  <c r="AM313" i="21"/>
  <c r="AN313" i="21" s="1"/>
  <c r="AK313" i="21"/>
  <c r="AL313" i="21" s="1"/>
  <c r="AG313" i="21"/>
  <c r="AE313" i="21"/>
  <c r="AF313" i="21" s="1"/>
  <c r="AC313" i="21"/>
  <c r="AD313" i="21" s="1"/>
  <c r="AA313" i="21"/>
  <c r="W313" i="21"/>
  <c r="X313" i="21" s="1"/>
  <c r="U313" i="21"/>
  <c r="V313" i="21" s="1"/>
  <c r="S313" i="21"/>
  <c r="Q313" i="21"/>
  <c r="R313" i="21" s="1"/>
  <c r="P313" i="21"/>
  <c r="O313" i="21"/>
  <c r="N313" i="21"/>
  <c r="M313" i="21"/>
  <c r="L313" i="21"/>
  <c r="K313" i="21"/>
  <c r="J313" i="21"/>
  <c r="I313" i="21"/>
  <c r="H313" i="21"/>
  <c r="G313" i="21"/>
  <c r="F313" i="21"/>
  <c r="E313" i="21"/>
  <c r="D313" i="21"/>
  <c r="C313" i="21"/>
  <c r="B313" i="21"/>
  <c r="A313" i="21"/>
  <c r="BG312" i="21"/>
  <c r="BE312" i="21"/>
  <c r="BF312" i="21" s="1"/>
  <c r="AW312" i="21"/>
  <c r="AX312" i="21" s="1"/>
  <c r="AU312" i="21"/>
  <c r="AV312" i="21" s="1"/>
  <c r="AS312" i="21"/>
  <c r="AT312" i="21" s="1"/>
  <c r="AQ312" i="21"/>
  <c r="AR312" i="21" s="1"/>
  <c r="AO312" i="21"/>
  <c r="AP312" i="21" s="1"/>
  <c r="AM312" i="21"/>
  <c r="AK312" i="21"/>
  <c r="AL312" i="21" s="1"/>
  <c r="AG312" i="21"/>
  <c r="AH312" i="21" s="1"/>
  <c r="AE312" i="21"/>
  <c r="AC312" i="21"/>
  <c r="AD312" i="21" s="1"/>
  <c r="AA312" i="21"/>
  <c r="W312" i="21"/>
  <c r="U312" i="21"/>
  <c r="V312" i="21" s="1"/>
  <c r="S312" i="21"/>
  <c r="T312" i="21" s="1"/>
  <c r="Q312" i="21"/>
  <c r="R312" i="21" s="1"/>
  <c r="P312" i="21"/>
  <c r="O312" i="21"/>
  <c r="N312" i="21"/>
  <c r="M312" i="21"/>
  <c r="L312" i="21"/>
  <c r="K312" i="21"/>
  <c r="J312" i="21"/>
  <c r="I312" i="21"/>
  <c r="H312" i="21"/>
  <c r="G312" i="21"/>
  <c r="F312" i="21"/>
  <c r="E312" i="21"/>
  <c r="D312" i="21"/>
  <c r="C312" i="21"/>
  <c r="B312" i="21"/>
  <c r="A312" i="21"/>
  <c r="BG311" i="21"/>
  <c r="BH311" i="21" s="1"/>
  <c r="BE311" i="21"/>
  <c r="BF311" i="21" s="1"/>
  <c r="AW311" i="21"/>
  <c r="AU311" i="21"/>
  <c r="AV311" i="21" s="1"/>
  <c r="AS311" i="21"/>
  <c r="AT311" i="21" s="1"/>
  <c r="AQ311" i="21"/>
  <c r="AR311" i="21" s="1"/>
  <c r="AO311" i="21"/>
  <c r="AP311" i="21" s="1"/>
  <c r="AM311" i="21"/>
  <c r="AK311" i="21"/>
  <c r="AL311" i="21" s="1"/>
  <c r="AG311" i="21"/>
  <c r="AH311" i="21" s="1"/>
  <c r="AE311" i="21"/>
  <c r="AC311" i="21"/>
  <c r="AA311" i="21"/>
  <c r="AB311" i="21" s="1"/>
  <c r="W311" i="21"/>
  <c r="X311" i="21" s="1"/>
  <c r="U311" i="21"/>
  <c r="V311" i="21" s="1"/>
  <c r="S311" i="21"/>
  <c r="T311" i="21" s="1"/>
  <c r="Q311" i="21"/>
  <c r="R311" i="21" s="1"/>
  <c r="P311" i="21"/>
  <c r="O311" i="21"/>
  <c r="N311" i="21"/>
  <c r="M311" i="21"/>
  <c r="L311" i="21"/>
  <c r="K311" i="21"/>
  <c r="J311" i="21"/>
  <c r="I311" i="21"/>
  <c r="H311" i="21"/>
  <c r="G311" i="21"/>
  <c r="F311" i="21"/>
  <c r="E311" i="21"/>
  <c r="D311" i="21"/>
  <c r="C311" i="21"/>
  <c r="B311" i="21"/>
  <c r="A311" i="21"/>
  <c r="BG310" i="21"/>
  <c r="BE310" i="21"/>
  <c r="BF310" i="21" s="1"/>
  <c r="AW310" i="21"/>
  <c r="AX310" i="21" s="1"/>
  <c r="AU310" i="21"/>
  <c r="AS310" i="21"/>
  <c r="AT310" i="21" s="1"/>
  <c r="AQ310" i="21"/>
  <c r="AR310" i="21" s="1"/>
  <c r="AO310" i="21"/>
  <c r="AP310" i="21" s="1"/>
  <c r="AM310" i="21"/>
  <c r="AN310" i="21" s="1"/>
  <c r="AK310" i="21"/>
  <c r="AL310" i="21" s="1"/>
  <c r="AG310" i="21"/>
  <c r="AE310" i="21"/>
  <c r="AF310" i="21" s="1"/>
  <c r="AC310" i="21"/>
  <c r="AA310" i="21"/>
  <c r="AB310" i="21" s="1"/>
  <c r="W310" i="21"/>
  <c r="X310" i="21" s="1"/>
  <c r="U310" i="21"/>
  <c r="V310" i="21" s="1"/>
  <c r="S310" i="21"/>
  <c r="T310" i="21" s="1"/>
  <c r="Q310" i="21"/>
  <c r="R310" i="21" s="1"/>
  <c r="P310" i="21"/>
  <c r="O310" i="21"/>
  <c r="N310" i="21"/>
  <c r="M310" i="21"/>
  <c r="L310" i="21"/>
  <c r="K310" i="21"/>
  <c r="J310" i="21"/>
  <c r="I310" i="21"/>
  <c r="H310" i="21"/>
  <c r="G310" i="21"/>
  <c r="F310" i="21"/>
  <c r="E310" i="21"/>
  <c r="D310" i="21"/>
  <c r="C310" i="21"/>
  <c r="B310" i="21"/>
  <c r="A310" i="21"/>
  <c r="BG309" i="21"/>
  <c r="BH309" i="21" s="1"/>
  <c r="BE309" i="21"/>
  <c r="BF309" i="21" s="1"/>
  <c r="AW309" i="21"/>
  <c r="AX309" i="21" s="1"/>
  <c r="AU309" i="21"/>
  <c r="AV309" i="21" s="1"/>
  <c r="AS309" i="21"/>
  <c r="AT309" i="21" s="1"/>
  <c r="AQ309" i="21"/>
  <c r="AO309" i="21"/>
  <c r="AP309" i="21" s="1"/>
  <c r="AM309" i="21"/>
  <c r="AK309" i="21"/>
  <c r="AL309" i="21" s="1"/>
  <c r="AG309" i="21"/>
  <c r="AE309" i="21"/>
  <c r="AF309" i="21" s="1"/>
  <c r="AC309" i="21"/>
  <c r="AD309" i="21" s="1"/>
  <c r="AA309" i="21"/>
  <c r="AB309" i="21" s="1"/>
  <c r="W309" i="21"/>
  <c r="X309" i="21" s="1"/>
  <c r="U309" i="21"/>
  <c r="V309" i="21" s="1"/>
  <c r="S309" i="21"/>
  <c r="T309" i="21" s="1"/>
  <c r="Q309" i="21"/>
  <c r="R309" i="21" s="1"/>
  <c r="P309" i="21"/>
  <c r="O309" i="21"/>
  <c r="N309" i="21"/>
  <c r="M309" i="21"/>
  <c r="L309" i="21"/>
  <c r="K309" i="21"/>
  <c r="J309" i="21"/>
  <c r="I309" i="21"/>
  <c r="H309" i="21"/>
  <c r="G309" i="21"/>
  <c r="F309" i="21"/>
  <c r="E309" i="21"/>
  <c r="D309" i="21"/>
  <c r="C309" i="21"/>
  <c r="B309" i="21"/>
  <c r="A309" i="21"/>
  <c r="BG308" i="21"/>
  <c r="BE308" i="21"/>
  <c r="BF308" i="21" s="1"/>
  <c r="AW308" i="21"/>
  <c r="AX308" i="21" s="1"/>
  <c r="AU308" i="21"/>
  <c r="AV308" i="21" s="1"/>
  <c r="AS308" i="21"/>
  <c r="AQ308" i="21"/>
  <c r="AO308" i="21"/>
  <c r="AP308" i="21" s="1"/>
  <c r="AM308" i="21"/>
  <c r="AN308" i="21" s="1"/>
  <c r="AK308" i="21"/>
  <c r="AL308" i="21" s="1"/>
  <c r="AG308" i="21"/>
  <c r="AH308" i="21" s="1"/>
  <c r="AE308" i="21"/>
  <c r="AF308" i="21" s="1"/>
  <c r="AC308" i="21"/>
  <c r="AD308" i="21" s="1"/>
  <c r="AA308" i="21"/>
  <c r="AB308" i="21" s="1"/>
  <c r="W308" i="21"/>
  <c r="X308" i="21" s="1"/>
  <c r="U308" i="21"/>
  <c r="V308" i="21" s="1"/>
  <c r="S308" i="21"/>
  <c r="T308" i="21" s="1"/>
  <c r="Q308" i="21"/>
  <c r="R308" i="21" s="1"/>
  <c r="P308" i="21"/>
  <c r="O308" i="21"/>
  <c r="N308" i="21"/>
  <c r="M308" i="21"/>
  <c r="L308" i="21"/>
  <c r="K308" i="21"/>
  <c r="J308" i="21"/>
  <c r="I308" i="21"/>
  <c r="H308" i="21"/>
  <c r="G308" i="21"/>
  <c r="F308" i="21"/>
  <c r="E308" i="21"/>
  <c r="D308" i="21"/>
  <c r="C308" i="21"/>
  <c r="B308" i="21"/>
  <c r="A308" i="21"/>
  <c r="BG307" i="21"/>
  <c r="BH307" i="21" s="1"/>
  <c r="BE307" i="21"/>
  <c r="AW307" i="21"/>
  <c r="AX307" i="21" s="1"/>
  <c r="AU307" i="21"/>
  <c r="AS307" i="21"/>
  <c r="AT307" i="21" s="1"/>
  <c r="AQ307" i="21"/>
  <c r="AR307" i="21" s="1"/>
  <c r="AO307" i="21"/>
  <c r="AP307" i="21" s="1"/>
  <c r="AM307" i="21"/>
  <c r="AN307" i="21" s="1"/>
  <c r="AK307" i="21"/>
  <c r="AG307" i="21"/>
  <c r="AH307" i="21" s="1"/>
  <c r="AE307" i="21"/>
  <c r="AF307" i="21" s="1"/>
  <c r="AC307" i="21"/>
  <c r="AD307" i="21" s="1"/>
  <c r="AA307" i="21"/>
  <c r="AB307" i="21" s="1"/>
  <c r="W307" i="21"/>
  <c r="X307" i="21" s="1"/>
  <c r="U307" i="21"/>
  <c r="S307" i="21"/>
  <c r="T307" i="21" s="1"/>
  <c r="Q307" i="21"/>
  <c r="R307" i="21" s="1"/>
  <c r="P307" i="21"/>
  <c r="O307" i="21"/>
  <c r="N307" i="21"/>
  <c r="M307" i="21"/>
  <c r="L307" i="21"/>
  <c r="K307" i="21"/>
  <c r="J307" i="21"/>
  <c r="I307" i="21"/>
  <c r="H307" i="21"/>
  <c r="G307" i="21"/>
  <c r="F307" i="21"/>
  <c r="E307" i="21"/>
  <c r="D307" i="21"/>
  <c r="C307" i="21"/>
  <c r="B307" i="21"/>
  <c r="A307" i="21"/>
  <c r="BG306" i="21"/>
  <c r="BH306" i="21" s="1"/>
  <c r="BE306" i="21"/>
  <c r="BF306" i="21" s="1"/>
  <c r="AW306" i="21"/>
  <c r="AX306" i="21" s="1"/>
  <c r="AU306" i="21"/>
  <c r="AS306" i="21"/>
  <c r="AT306" i="21" s="1"/>
  <c r="AQ306" i="21"/>
  <c r="AR306" i="21" s="1"/>
  <c r="AO306" i="21"/>
  <c r="AP306" i="21" s="1"/>
  <c r="AM306" i="21"/>
  <c r="AN306" i="21" s="1"/>
  <c r="AK306" i="21"/>
  <c r="AL306" i="21" s="1"/>
  <c r="AG306" i="21"/>
  <c r="AH306" i="21" s="1"/>
  <c r="AE306" i="21"/>
  <c r="AF306" i="21" s="1"/>
  <c r="AC306" i="21"/>
  <c r="AA306" i="21"/>
  <c r="AB306" i="21" s="1"/>
  <c r="W306" i="21"/>
  <c r="X306" i="21" s="1"/>
  <c r="U306" i="21"/>
  <c r="V306" i="21" s="1"/>
  <c r="S306" i="21"/>
  <c r="T306" i="21" s="1"/>
  <c r="Q306" i="21"/>
  <c r="R306" i="21" s="1"/>
  <c r="P306" i="21"/>
  <c r="O306" i="21"/>
  <c r="N306" i="21"/>
  <c r="M306" i="21"/>
  <c r="L306" i="21"/>
  <c r="K306" i="21"/>
  <c r="J306" i="21"/>
  <c r="I306" i="21"/>
  <c r="H306" i="21"/>
  <c r="G306" i="21"/>
  <c r="F306" i="21"/>
  <c r="E306" i="21"/>
  <c r="D306" i="21"/>
  <c r="C306" i="21"/>
  <c r="B306" i="21"/>
  <c r="A306" i="21"/>
  <c r="BG305" i="21"/>
  <c r="BE305" i="21"/>
  <c r="BF305" i="21" s="1"/>
  <c r="AW305" i="21"/>
  <c r="AX305" i="21" s="1"/>
  <c r="AU305" i="21"/>
  <c r="AV305" i="21" s="1"/>
  <c r="AS305" i="21"/>
  <c r="AT305" i="21" s="1"/>
  <c r="AQ305" i="21"/>
  <c r="AR305" i="21" s="1"/>
  <c r="AO305" i="21"/>
  <c r="AP305" i="21" s="1"/>
  <c r="AM305" i="21"/>
  <c r="AN305" i="21" s="1"/>
  <c r="AK305" i="21"/>
  <c r="AL305" i="21" s="1"/>
  <c r="AG305" i="21"/>
  <c r="AE305" i="21"/>
  <c r="AF305" i="21" s="1"/>
  <c r="AC305" i="21"/>
  <c r="AD305" i="21" s="1"/>
  <c r="AA305" i="21"/>
  <c r="W305" i="21"/>
  <c r="X305" i="21" s="1"/>
  <c r="U305" i="21"/>
  <c r="S305" i="21"/>
  <c r="Q305" i="21"/>
  <c r="R305" i="21" s="1"/>
  <c r="P305" i="21"/>
  <c r="O305" i="21"/>
  <c r="N305" i="21"/>
  <c r="M305" i="21"/>
  <c r="L305" i="21"/>
  <c r="K305" i="21"/>
  <c r="J305" i="21"/>
  <c r="I305" i="21"/>
  <c r="H305" i="21"/>
  <c r="G305" i="21"/>
  <c r="F305" i="21"/>
  <c r="E305" i="21"/>
  <c r="D305" i="21"/>
  <c r="C305" i="21"/>
  <c r="B305" i="21"/>
  <c r="A305" i="21"/>
  <c r="BG304" i="21"/>
  <c r="BH304" i="21" s="1"/>
  <c r="BE304" i="21"/>
  <c r="BF304" i="21" s="1"/>
  <c r="AW304" i="21"/>
  <c r="AX304" i="21" s="1"/>
  <c r="AU304" i="21"/>
  <c r="AV304" i="21" s="1"/>
  <c r="AS304" i="21"/>
  <c r="AQ304" i="21"/>
  <c r="AR304" i="21" s="1"/>
  <c r="AO304" i="21"/>
  <c r="AP304" i="21" s="1"/>
  <c r="AM304" i="21"/>
  <c r="AK304" i="21"/>
  <c r="AL304" i="21" s="1"/>
  <c r="AG304" i="21"/>
  <c r="AH304" i="21" s="1"/>
  <c r="AE304" i="21"/>
  <c r="AC304" i="21"/>
  <c r="AD304" i="21" s="1"/>
  <c r="AA304" i="21"/>
  <c r="W304" i="21"/>
  <c r="U304" i="21"/>
  <c r="V304" i="21" s="1"/>
  <c r="S304" i="21"/>
  <c r="T304" i="21" s="1"/>
  <c r="Q304" i="21"/>
  <c r="R304" i="21" s="1"/>
  <c r="P304" i="21"/>
  <c r="O304" i="21"/>
  <c r="N304" i="21"/>
  <c r="M304" i="21"/>
  <c r="L304" i="21"/>
  <c r="K304" i="21"/>
  <c r="J304" i="21"/>
  <c r="I304" i="21"/>
  <c r="H304" i="21"/>
  <c r="G304" i="21"/>
  <c r="F304" i="21"/>
  <c r="E304" i="21"/>
  <c r="D304" i="21"/>
  <c r="C304" i="21"/>
  <c r="B304" i="21"/>
  <c r="A304" i="21"/>
  <c r="BG303" i="21"/>
  <c r="BE303" i="21"/>
  <c r="BF303" i="21" s="1"/>
  <c r="AW303" i="21"/>
  <c r="AX303" i="21" s="1"/>
  <c r="AU303" i="21"/>
  <c r="AV303" i="21" s="1"/>
  <c r="AS303" i="21"/>
  <c r="AT303" i="21" s="1"/>
  <c r="AQ303" i="21"/>
  <c r="AR303" i="21" s="1"/>
  <c r="AO303" i="21"/>
  <c r="AM303" i="21"/>
  <c r="AN303" i="21" s="1"/>
  <c r="AK303" i="21"/>
  <c r="AL303" i="21" s="1"/>
  <c r="AG303" i="21"/>
  <c r="AH303" i="21" s="1"/>
  <c r="AE303" i="21"/>
  <c r="AF303" i="21" s="1"/>
  <c r="AC303" i="21"/>
  <c r="AA303" i="21"/>
  <c r="AB303" i="21" s="1"/>
  <c r="W303" i="21"/>
  <c r="U303" i="21"/>
  <c r="V303" i="21" s="1"/>
  <c r="S303" i="21"/>
  <c r="Q303" i="21"/>
  <c r="R303" i="21" s="1"/>
  <c r="P303" i="21"/>
  <c r="O303" i="21"/>
  <c r="N303" i="21"/>
  <c r="M303" i="21"/>
  <c r="L303" i="21"/>
  <c r="K303" i="21"/>
  <c r="J303" i="21"/>
  <c r="I303" i="21"/>
  <c r="H303" i="21"/>
  <c r="G303" i="21"/>
  <c r="F303" i="21"/>
  <c r="E303" i="21"/>
  <c r="D303" i="21"/>
  <c r="C303" i="21"/>
  <c r="B303" i="21"/>
  <c r="A303" i="21"/>
  <c r="BG302" i="21"/>
  <c r="BH302" i="21" s="1"/>
  <c r="BE302" i="21"/>
  <c r="AW302" i="21"/>
  <c r="AX302" i="21" s="1"/>
  <c r="AU302" i="21"/>
  <c r="AV302" i="21" s="1"/>
  <c r="AS302" i="21"/>
  <c r="AT302" i="21" s="1"/>
  <c r="AQ302" i="21"/>
  <c r="AR302" i="21" s="1"/>
  <c r="AO302" i="21"/>
  <c r="AP302" i="21" s="1"/>
  <c r="AM302" i="21"/>
  <c r="AN302" i="21" s="1"/>
  <c r="AK302" i="21"/>
  <c r="AG302" i="21"/>
  <c r="AE302" i="21"/>
  <c r="AF302" i="21" s="1"/>
  <c r="AC302" i="21"/>
  <c r="AA302" i="21"/>
  <c r="AB302" i="21" s="1"/>
  <c r="W302" i="21"/>
  <c r="X302" i="21" s="1"/>
  <c r="U302" i="21"/>
  <c r="S302" i="21"/>
  <c r="Q302" i="21"/>
  <c r="R302" i="21" s="1"/>
  <c r="P302" i="21"/>
  <c r="O302" i="21"/>
  <c r="N302" i="21"/>
  <c r="M302" i="21"/>
  <c r="L302" i="21"/>
  <c r="K302" i="21"/>
  <c r="J302" i="21"/>
  <c r="I302" i="21"/>
  <c r="H302" i="21"/>
  <c r="G302" i="21"/>
  <c r="F302" i="21"/>
  <c r="E302" i="21"/>
  <c r="D302" i="21"/>
  <c r="C302" i="21"/>
  <c r="B302" i="21"/>
  <c r="A302" i="21"/>
  <c r="BG301" i="21"/>
  <c r="BH301" i="21" s="1"/>
  <c r="BE301" i="21"/>
  <c r="BF301" i="21" s="1"/>
  <c r="AW301" i="21"/>
  <c r="AX301" i="21" s="1"/>
  <c r="AU301" i="21"/>
  <c r="AS301" i="21"/>
  <c r="AT301" i="21" s="1"/>
  <c r="AQ301" i="21"/>
  <c r="AR301" i="21" s="1"/>
  <c r="AO301" i="21"/>
  <c r="AP301" i="21" s="1"/>
  <c r="AM301" i="21"/>
  <c r="AK301" i="21"/>
  <c r="AL301" i="21" s="1"/>
  <c r="AG301" i="21"/>
  <c r="AH301" i="21" s="1"/>
  <c r="AE301" i="21"/>
  <c r="AC301" i="21"/>
  <c r="AD301" i="21" s="1"/>
  <c r="AA301" i="21"/>
  <c r="AB301" i="21" s="1"/>
  <c r="W301" i="21"/>
  <c r="U301" i="21"/>
  <c r="V301" i="21" s="1"/>
  <c r="S301" i="21"/>
  <c r="Q301" i="21"/>
  <c r="R301" i="21" s="1"/>
  <c r="P301" i="21"/>
  <c r="O301" i="21"/>
  <c r="N301" i="21"/>
  <c r="M301" i="21"/>
  <c r="L301" i="21"/>
  <c r="K301" i="21"/>
  <c r="J301" i="21"/>
  <c r="I301" i="21"/>
  <c r="H301" i="21"/>
  <c r="G301" i="21"/>
  <c r="F301" i="21"/>
  <c r="E301" i="21"/>
  <c r="D301" i="21"/>
  <c r="C301" i="21"/>
  <c r="B301" i="21"/>
  <c r="A301" i="21"/>
  <c r="BG300" i="21"/>
  <c r="BE300" i="21"/>
  <c r="BF300" i="21" s="1"/>
  <c r="AW300" i="21"/>
  <c r="AX300" i="21" s="1"/>
  <c r="AU300" i="21"/>
  <c r="AV300" i="21" s="1"/>
  <c r="AS300" i="21"/>
  <c r="AT300" i="21" s="1"/>
  <c r="AQ300" i="21"/>
  <c r="AR300" i="21" s="1"/>
  <c r="AO300" i="21"/>
  <c r="AP300" i="21" s="1"/>
  <c r="AM300" i="21"/>
  <c r="AN300" i="21" s="1"/>
  <c r="AK300" i="21"/>
  <c r="AL300" i="21" s="1"/>
  <c r="AG300" i="21"/>
  <c r="AH300" i="21" s="1"/>
  <c r="AE300" i="21"/>
  <c r="AC300" i="21"/>
  <c r="AD300" i="21" s="1"/>
  <c r="AA300" i="21"/>
  <c r="AB300" i="21" s="1"/>
  <c r="W300" i="21"/>
  <c r="U300" i="21"/>
  <c r="V300" i="21" s="1"/>
  <c r="S300" i="21"/>
  <c r="T300" i="21" s="1"/>
  <c r="Q300" i="21"/>
  <c r="R300" i="21" s="1"/>
  <c r="P300" i="21"/>
  <c r="O300" i="21"/>
  <c r="N300" i="21"/>
  <c r="M300" i="21"/>
  <c r="L300" i="21"/>
  <c r="K300" i="21"/>
  <c r="J300" i="21"/>
  <c r="I300" i="21"/>
  <c r="H300" i="21"/>
  <c r="G300" i="21"/>
  <c r="F300" i="21"/>
  <c r="E300" i="21"/>
  <c r="D300" i="21"/>
  <c r="C300" i="21"/>
  <c r="B300" i="21"/>
  <c r="A300" i="21"/>
  <c r="BG299" i="21"/>
  <c r="BH299" i="21" s="1"/>
  <c r="BE299" i="21"/>
  <c r="BF299" i="21" s="1"/>
  <c r="AW299" i="21"/>
  <c r="AU299" i="21"/>
  <c r="AV299" i="21" s="1"/>
  <c r="AS299" i="21"/>
  <c r="AT299" i="21" s="1"/>
  <c r="AQ299" i="21"/>
  <c r="AO299" i="21"/>
  <c r="AP299" i="21" s="1"/>
  <c r="AM299" i="21"/>
  <c r="AN299" i="21" s="1"/>
  <c r="AK299" i="21"/>
  <c r="AG299" i="21"/>
  <c r="AH299" i="21" s="1"/>
  <c r="AE299" i="21"/>
  <c r="AC299" i="21"/>
  <c r="AD299" i="21" s="1"/>
  <c r="AA299" i="21"/>
  <c r="AB299" i="21" s="1"/>
  <c r="W299" i="21"/>
  <c r="X299" i="21" s="1"/>
  <c r="U299" i="21"/>
  <c r="V299" i="21" s="1"/>
  <c r="S299" i="21"/>
  <c r="T299" i="21" s="1"/>
  <c r="Q299" i="21"/>
  <c r="P299" i="21"/>
  <c r="O299" i="21"/>
  <c r="N299" i="21"/>
  <c r="M299" i="21"/>
  <c r="L299" i="21"/>
  <c r="K299" i="21"/>
  <c r="J299" i="21"/>
  <c r="I299" i="21"/>
  <c r="H299" i="21"/>
  <c r="G299" i="21"/>
  <c r="F299" i="21"/>
  <c r="E299" i="21"/>
  <c r="D299" i="21"/>
  <c r="C299" i="21"/>
  <c r="B299" i="21"/>
  <c r="A299" i="21"/>
  <c r="BG298" i="21"/>
  <c r="BH298" i="21" s="1"/>
  <c r="BE298" i="21"/>
  <c r="BF298" i="21" s="1"/>
  <c r="AW298" i="21"/>
  <c r="AX298" i="21" s="1"/>
  <c r="AU298" i="21"/>
  <c r="AV298" i="21" s="1"/>
  <c r="AS298" i="21"/>
  <c r="AT298" i="21" s="1"/>
  <c r="AQ298" i="21"/>
  <c r="AR298" i="21" s="1"/>
  <c r="AO298" i="21"/>
  <c r="AM298" i="21"/>
  <c r="AN298" i="21" s="1"/>
  <c r="AK298" i="21"/>
  <c r="AG298" i="21"/>
  <c r="AH298" i="21" s="1"/>
  <c r="AE298" i="21"/>
  <c r="AF298" i="21" s="1"/>
  <c r="AC298" i="21"/>
  <c r="AA298" i="21"/>
  <c r="AB298" i="21" s="1"/>
  <c r="W298" i="21"/>
  <c r="U298" i="21"/>
  <c r="V298" i="21" s="1"/>
  <c r="S298" i="21"/>
  <c r="T298" i="21" s="1"/>
  <c r="Q298" i="21"/>
  <c r="R298" i="21" s="1"/>
  <c r="P298" i="21"/>
  <c r="O298" i="21"/>
  <c r="N298" i="21"/>
  <c r="M298" i="21"/>
  <c r="L298" i="21"/>
  <c r="K298" i="21"/>
  <c r="J298" i="21"/>
  <c r="I298" i="21"/>
  <c r="H298" i="21"/>
  <c r="G298" i="21"/>
  <c r="F298" i="21"/>
  <c r="E298" i="21"/>
  <c r="D298" i="21"/>
  <c r="C298" i="21"/>
  <c r="B298" i="21"/>
  <c r="A298" i="21"/>
  <c r="BG297" i="21"/>
  <c r="BH297" i="21" s="1"/>
  <c r="BE297" i="21"/>
  <c r="BF297" i="21" s="1"/>
  <c r="AW297" i="21"/>
  <c r="AX297" i="21" s="1"/>
  <c r="AU297" i="21"/>
  <c r="AV297" i="21" s="1"/>
  <c r="AS297" i="21"/>
  <c r="AQ297" i="21"/>
  <c r="AO297" i="21"/>
  <c r="AP297" i="21" s="1"/>
  <c r="AM297" i="21"/>
  <c r="AK297" i="21"/>
  <c r="AL297" i="21" s="1"/>
  <c r="AG297" i="21"/>
  <c r="AH297" i="21" s="1"/>
  <c r="AE297" i="21"/>
  <c r="AF297" i="21" s="1"/>
  <c r="AC297" i="21"/>
  <c r="AD297" i="21" s="1"/>
  <c r="AA297" i="21"/>
  <c r="AB297" i="21" s="1"/>
  <c r="W297" i="21"/>
  <c r="X297" i="21" s="1"/>
  <c r="U297" i="21"/>
  <c r="V297" i="21" s="1"/>
  <c r="S297" i="21"/>
  <c r="T297" i="21" s="1"/>
  <c r="Q297" i="21"/>
  <c r="R297" i="21" s="1"/>
  <c r="P297" i="21"/>
  <c r="O297" i="21"/>
  <c r="N297" i="21"/>
  <c r="M297" i="21"/>
  <c r="L297" i="21"/>
  <c r="K297" i="21"/>
  <c r="J297" i="21"/>
  <c r="I297" i="21"/>
  <c r="H297" i="21"/>
  <c r="G297" i="21"/>
  <c r="F297" i="21"/>
  <c r="E297" i="21"/>
  <c r="D297" i="21"/>
  <c r="C297" i="21"/>
  <c r="B297" i="21"/>
  <c r="A297" i="21"/>
  <c r="BG296" i="21"/>
  <c r="BH296" i="21" s="1"/>
  <c r="BE296" i="21"/>
  <c r="BF296" i="21" s="1"/>
  <c r="AW296" i="21"/>
  <c r="AX296" i="21" s="1"/>
  <c r="AU296" i="21"/>
  <c r="AV296" i="21" s="1"/>
  <c r="AS296" i="21"/>
  <c r="AT296" i="21" s="1"/>
  <c r="AQ296" i="21"/>
  <c r="AR296" i="21" s="1"/>
  <c r="AO296" i="21"/>
  <c r="AP296" i="21" s="1"/>
  <c r="AM296" i="21"/>
  <c r="AK296" i="21"/>
  <c r="AL296" i="21" s="1"/>
  <c r="AG296" i="21"/>
  <c r="AE296" i="21"/>
  <c r="AF296" i="21" s="1"/>
  <c r="AC296" i="21"/>
  <c r="AD296" i="21" s="1"/>
  <c r="AA296" i="21"/>
  <c r="AB296" i="21" s="1"/>
  <c r="W296" i="21"/>
  <c r="U296" i="21"/>
  <c r="V296" i="21" s="1"/>
  <c r="S296" i="21"/>
  <c r="Q296" i="21"/>
  <c r="R296" i="21" s="1"/>
  <c r="P296" i="21"/>
  <c r="O296" i="21"/>
  <c r="N296" i="21"/>
  <c r="M296" i="21"/>
  <c r="L296" i="21"/>
  <c r="K296" i="21"/>
  <c r="J296" i="21"/>
  <c r="I296" i="21"/>
  <c r="H296" i="21"/>
  <c r="G296" i="21"/>
  <c r="F296" i="21"/>
  <c r="E296" i="21"/>
  <c r="D296" i="21"/>
  <c r="C296" i="21"/>
  <c r="B296" i="21"/>
  <c r="A296" i="21"/>
  <c r="BG295" i="21"/>
  <c r="BH295" i="21" s="1"/>
  <c r="BE295" i="21"/>
  <c r="BF295" i="21" s="1"/>
  <c r="AW295" i="21"/>
  <c r="AX295" i="21" s="1"/>
  <c r="AU295" i="21"/>
  <c r="AV295" i="21" s="1"/>
  <c r="AS295" i="21"/>
  <c r="AT295" i="21" s="1"/>
  <c r="AQ295" i="21"/>
  <c r="AO295" i="21"/>
  <c r="AP295" i="21" s="1"/>
  <c r="AM295" i="21"/>
  <c r="AN295" i="21" s="1"/>
  <c r="AK295" i="21"/>
  <c r="AL295" i="21" s="1"/>
  <c r="AG295" i="21"/>
  <c r="AE295" i="21"/>
  <c r="AF295" i="21" s="1"/>
  <c r="AC295" i="21"/>
  <c r="AD295" i="21" s="1"/>
  <c r="AA295" i="21"/>
  <c r="W295" i="21"/>
  <c r="X295" i="21" s="1"/>
  <c r="U295" i="21"/>
  <c r="S295" i="21"/>
  <c r="T295" i="21" s="1"/>
  <c r="Q295" i="21"/>
  <c r="R295" i="21" s="1"/>
  <c r="P295" i="21"/>
  <c r="O295" i="21"/>
  <c r="N295" i="21"/>
  <c r="M295" i="21"/>
  <c r="L295" i="21"/>
  <c r="K295" i="21"/>
  <c r="J295" i="21"/>
  <c r="I295" i="21"/>
  <c r="H295" i="21"/>
  <c r="G295" i="21"/>
  <c r="F295" i="21"/>
  <c r="E295" i="21"/>
  <c r="D295" i="21"/>
  <c r="C295" i="21"/>
  <c r="B295" i="21"/>
  <c r="A295" i="21"/>
  <c r="BG294" i="21"/>
  <c r="BE294" i="21"/>
  <c r="BF294" i="21" s="1"/>
  <c r="AW294" i="21"/>
  <c r="AU294" i="21"/>
  <c r="AV294" i="21" s="1"/>
  <c r="AS294" i="21"/>
  <c r="AT294" i="21" s="1"/>
  <c r="AQ294" i="21"/>
  <c r="AR294" i="21" s="1"/>
  <c r="AO294" i="21"/>
  <c r="AP294" i="21" s="1"/>
  <c r="AM294" i="21"/>
  <c r="AK294" i="21"/>
  <c r="AL294" i="21" s="1"/>
  <c r="AG294" i="21"/>
  <c r="AH294" i="21" s="1"/>
  <c r="AE294" i="21"/>
  <c r="AF294" i="21" s="1"/>
  <c r="AC294" i="21"/>
  <c r="AD294" i="21" s="1"/>
  <c r="AA294" i="21"/>
  <c r="W294" i="21"/>
  <c r="X294" i="21" s="1"/>
  <c r="U294" i="21"/>
  <c r="V294" i="21" s="1"/>
  <c r="S294" i="21"/>
  <c r="Q294" i="21"/>
  <c r="R294" i="21" s="1"/>
  <c r="P294" i="21"/>
  <c r="O294" i="21"/>
  <c r="N294" i="21"/>
  <c r="M294" i="21"/>
  <c r="L294" i="21"/>
  <c r="K294" i="21"/>
  <c r="J294" i="21"/>
  <c r="I294" i="21"/>
  <c r="H294" i="21"/>
  <c r="G294" i="21"/>
  <c r="F294" i="21"/>
  <c r="E294" i="21"/>
  <c r="D294" i="21"/>
  <c r="C294" i="21"/>
  <c r="B294" i="21"/>
  <c r="A294" i="21"/>
  <c r="BG293" i="21"/>
  <c r="BH293" i="21" s="1"/>
  <c r="BE293" i="21"/>
  <c r="BF293" i="21" s="1"/>
  <c r="AW293" i="21"/>
  <c r="AX293" i="21" s="1"/>
  <c r="AU293" i="21"/>
  <c r="AV293" i="21" s="1"/>
  <c r="AS293" i="21"/>
  <c r="AT293" i="21" s="1"/>
  <c r="AQ293" i="21"/>
  <c r="AO293" i="21"/>
  <c r="AP293" i="21" s="1"/>
  <c r="AM293" i="21"/>
  <c r="AN293" i="21" s="1"/>
  <c r="AK293" i="21"/>
  <c r="AL293" i="21" s="1"/>
  <c r="AG293" i="21"/>
  <c r="AH293" i="21" s="1"/>
  <c r="AE293" i="21"/>
  <c r="AC293" i="21"/>
  <c r="AD293" i="21" s="1"/>
  <c r="AA293" i="21"/>
  <c r="AB293" i="21" s="1"/>
  <c r="W293" i="21"/>
  <c r="U293" i="21"/>
  <c r="V293" i="21" s="1"/>
  <c r="S293" i="21"/>
  <c r="T293" i="21" s="1"/>
  <c r="Q293" i="21"/>
  <c r="R293" i="21" s="1"/>
  <c r="P293" i="21"/>
  <c r="O293" i="21"/>
  <c r="N293" i="21"/>
  <c r="M293" i="21"/>
  <c r="L293" i="21"/>
  <c r="K293" i="21"/>
  <c r="J293" i="21"/>
  <c r="I293" i="21"/>
  <c r="H293" i="21"/>
  <c r="G293" i="21"/>
  <c r="F293" i="21"/>
  <c r="E293" i="21"/>
  <c r="D293" i="21"/>
  <c r="C293" i="21"/>
  <c r="B293" i="21"/>
  <c r="A293" i="21"/>
  <c r="BG292" i="21"/>
  <c r="BH292" i="21" s="1"/>
  <c r="BE292" i="21"/>
  <c r="BF292" i="21" s="1"/>
  <c r="AW292" i="21"/>
  <c r="AX292" i="21" s="1"/>
  <c r="AU292" i="21"/>
  <c r="AS292" i="21"/>
  <c r="AT292" i="21" s="1"/>
  <c r="AQ292" i="21"/>
  <c r="AR292" i="21" s="1"/>
  <c r="AO292" i="21"/>
  <c r="AP292" i="21" s="1"/>
  <c r="AM292" i="21"/>
  <c r="AN292" i="21" s="1"/>
  <c r="AK292" i="21"/>
  <c r="AG292" i="21"/>
  <c r="AH292" i="21" s="1"/>
  <c r="AE292" i="21"/>
  <c r="AF292" i="21" s="1"/>
  <c r="AC292" i="21"/>
  <c r="AA292" i="21"/>
  <c r="AB292" i="21" s="1"/>
  <c r="W292" i="21"/>
  <c r="X292" i="21" s="1"/>
  <c r="U292" i="21"/>
  <c r="V292" i="21" s="1"/>
  <c r="S292" i="21"/>
  <c r="T292" i="21" s="1"/>
  <c r="Q292" i="21"/>
  <c r="R292" i="21" s="1"/>
  <c r="P292" i="21"/>
  <c r="O292" i="21"/>
  <c r="N292" i="21"/>
  <c r="M292" i="21"/>
  <c r="L292" i="21"/>
  <c r="K292" i="21"/>
  <c r="J292" i="21"/>
  <c r="I292" i="21"/>
  <c r="H292" i="21"/>
  <c r="G292" i="21"/>
  <c r="F292" i="21"/>
  <c r="E292" i="21"/>
  <c r="D292" i="21"/>
  <c r="C292" i="21"/>
  <c r="B292" i="21"/>
  <c r="A292" i="21"/>
  <c r="BG291" i="21"/>
  <c r="BH291" i="21" s="1"/>
  <c r="BE291" i="21"/>
  <c r="BF291" i="21" s="1"/>
  <c r="AW291" i="21"/>
  <c r="AX291" i="21" s="1"/>
  <c r="AU291" i="21"/>
  <c r="AV291" i="21" s="1"/>
  <c r="AS291" i="21"/>
  <c r="AT291" i="21" s="1"/>
  <c r="AQ291" i="21"/>
  <c r="AR291" i="21" s="1"/>
  <c r="AO291" i="21"/>
  <c r="AM291" i="21"/>
  <c r="AN291" i="21" s="1"/>
  <c r="AK291" i="21"/>
  <c r="AL291" i="21" s="1"/>
  <c r="AG291" i="21"/>
  <c r="AE291" i="21"/>
  <c r="AF291" i="21" s="1"/>
  <c r="AC291" i="21"/>
  <c r="AD291" i="21" s="1"/>
  <c r="AA291" i="21"/>
  <c r="AB291" i="21" s="1"/>
  <c r="W291" i="21"/>
  <c r="X291" i="21" s="1"/>
  <c r="U291" i="21"/>
  <c r="V291" i="21" s="1"/>
  <c r="S291" i="21"/>
  <c r="T291" i="21" s="1"/>
  <c r="Q291" i="21"/>
  <c r="R291" i="21" s="1"/>
  <c r="P291" i="21"/>
  <c r="O291" i="21"/>
  <c r="N291" i="21"/>
  <c r="M291" i="21"/>
  <c r="L291" i="21"/>
  <c r="K291" i="21"/>
  <c r="J291" i="21"/>
  <c r="I291" i="21"/>
  <c r="H291" i="21"/>
  <c r="G291" i="21"/>
  <c r="F291" i="21"/>
  <c r="E291" i="21"/>
  <c r="D291" i="21"/>
  <c r="C291" i="21"/>
  <c r="B291" i="21"/>
  <c r="A291" i="21"/>
  <c r="BG290" i="21"/>
  <c r="BE290" i="21"/>
  <c r="BF290" i="21" s="1"/>
  <c r="AW290" i="21"/>
  <c r="AX290" i="21" s="1"/>
  <c r="AU290" i="21"/>
  <c r="AV290" i="21" s="1"/>
  <c r="AS290" i="21"/>
  <c r="AQ290" i="21"/>
  <c r="AR290" i="21" s="1"/>
  <c r="AO290" i="21"/>
  <c r="AP290" i="21" s="1"/>
  <c r="AM290" i="21"/>
  <c r="AK290" i="21"/>
  <c r="AL290" i="21" s="1"/>
  <c r="AG290" i="21"/>
  <c r="AH290" i="21" s="1"/>
  <c r="AE290" i="21"/>
  <c r="AF290" i="21" s="1"/>
  <c r="AC290" i="21"/>
  <c r="AD290" i="21" s="1"/>
  <c r="AA290" i="21"/>
  <c r="AB290" i="21" s="1"/>
  <c r="W290" i="21"/>
  <c r="X290" i="21" s="1"/>
  <c r="U290" i="21"/>
  <c r="V290" i="21" s="1"/>
  <c r="S290" i="21"/>
  <c r="Q290" i="21"/>
  <c r="R290" i="21" s="1"/>
  <c r="P290" i="21"/>
  <c r="O290" i="21"/>
  <c r="N290" i="21"/>
  <c r="M290" i="21"/>
  <c r="L290" i="21"/>
  <c r="K290" i="21"/>
  <c r="J290" i="21"/>
  <c r="I290" i="21"/>
  <c r="H290" i="21"/>
  <c r="G290" i="21"/>
  <c r="F290" i="21"/>
  <c r="E290" i="21"/>
  <c r="D290" i="21"/>
  <c r="C290" i="21"/>
  <c r="B290" i="21"/>
  <c r="A290" i="21"/>
  <c r="BG289" i="21"/>
  <c r="BH289" i="21" s="1"/>
  <c r="BE289" i="21"/>
  <c r="BF289" i="21" s="1"/>
  <c r="AW289" i="21"/>
  <c r="AX289" i="21" s="1"/>
  <c r="AU289" i="21"/>
  <c r="AV289" i="21" s="1"/>
  <c r="AS289" i="21"/>
  <c r="AT289" i="21" s="1"/>
  <c r="AQ289" i="21"/>
  <c r="AO289" i="21"/>
  <c r="AP289" i="21" s="1"/>
  <c r="AM289" i="21"/>
  <c r="AN289" i="21" s="1"/>
  <c r="AK289" i="21"/>
  <c r="AL289" i="21" s="1"/>
  <c r="AG289" i="21"/>
  <c r="AH289" i="21" s="1"/>
  <c r="AE289" i="21"/>
  <c r="AF289" i="21" s="1"/>
  <c r="AC289" i="21"/>
  <c r="AD289" i="21" s="1"/>
  <c r="AA289" i="21"/>
  <c r="AB289" i="21" s="1"/>
  <c r="W289" i="21"/>
  <c r="U289" i="21"/>
  <c r="V289" i="21" s="1"/>
  <c r="S289" i="21"/>
  <c r="T289" i="21" s="1"/>
  <c r="Q289" i="21"/>
  <c r="R289" i="21" s="1"/>
  <c r="P289" i="21"/>
  <c r="O289" i="21"/>
  <c r="N289" i="21"/>
  <c r="M289" i="21"/>
  <c r="L289" i="21"/>
  <c r="K289" i="21"/>
  <c r="J289" i="21"/>
  <c r="I289" i="21"/>
  <c r="H289" i="21"/>
  <c r="G289" i="21"/>
  <c r="F289" i="21"/>
  <c r="E289" i="21"/>
  <c r="D289" i="21"/>
  <c r="C289" i="21"/>
  <c r="B289" i="21"/>
  <c r="A289" i="21"/>
  <c r="BG288" i="21"/>
  <c r="BH288" i="21" s="1"/>
  <c r="BE288" i="21"/>
  <c r="AW288" i="21"/>
  <c r="AX288" i="21" s="1"/>
  <c r="AU288" i="21"/>
  <c r="AS288" i="21"/>
  <c r="AT288" i="21" s="1"/>
  <c r="AQ288" i="21"/>
  <c r="AR288" i="21" s="1"/>
  <c r="AO288" i="21"/>
  <c r="AP288" i="21" s="1"/>
  <c r="AM288" i="21"/>
  <c r="AN288" i="21" s="1"/>
  <c r="AK288" i="21"/>
  <c r="AL288" i="21" s="1"/>
  <c r="AG288" i="21"/>
  <c r="AH288" i="21" s="1"/>
  <c r="AE288" i="21"/>
  <c r="AF288" i="21" s="1"/>
  <c r="AC288" i="21"/>
  <c r="AA288" i="21"/>
  <c r="AB288" i="21" s="1"/>
  <c r="W288" i="21"/>
  <c r="X288" i="21" s="1"/>
  <c r="U288" i="21"/>
  <c r="V288" i="21" s="1"/>
  <c r="S288" i="21"/>
  <c r="T288" i="21" s="1"/>
  <c r="Q288" i="21"/>
  <c r="R288" i="21" s="1"/>
  <c r="P288" i="21"/>
  <c r="O288" i="21"/>
  <c r="N288" i="21"/>
  <c r="M288" i="21"/>
  <c r="L288" i="21"/>
  <c r="K288" i="21"/>
  <c r="J288" i="21"/>
  <c r="I288" i="21"/>
  <c r="H288" i="21"/>
  <c r="G288" i="21"/>
  <c r="F288" i="21"/>
  <c r="E288" i="21"/>
  <c r="D288" i="21"/>
  <c r="C288" i="21"/>
  <c r="B288" i="21"/>
  <c r="A288" i="21"/>
  <c r="BG287" i="21"/>
  <c r="BH287" i="21" s="1"/>
  <c r="BE287" i="21"/>
  <c r="BF287" i="21" s="1"/>
  <c r="AW287" i="21"/>
  <c r="AX287" i="21" s="1"/>
  <c r="AU287" i="21"/>
  <c r="AV287" i="21" s="1"/>
  <c r="AS287" i="21"/>
  <c r="AT287" i="21" s="1"/>
  <c r="AQ287" i="21"/>
  <c r="AR287" i="21" s="1"/>
  <c r="AO287" i="21"/>
  <c r="AP287" i="21" s="1"/>
  <c r="AM287" i="21"/>
  <c r="AN287" i="21" s="1"/>
  <c r="AK287" i="21"/>
  <c r="AL287" i="21" s="1"/>
  <c r="AG287" i="21"/>
  <c r="AE287" i="21"/>
  <c r="AF287" i="21" s="1"/>
  <c r="AC287" i="21"/>
  <c r="AD287" i="21" s="1"/>
  <c r="AA287" i="21"/>
  <c r="AB287" i="21" s="1"/>
  <c r="W287" i="21"/>
  <c r="X287" i="21" s="1"/>
  <c r="U287" i="21"/>
  <c r="S287" i="21"/>
  <c r="T287" i="21" s="1"/>
  <c r="Q287" i="21"/>
  <c r="R287" i="21" s="1"/>
  <c r="P287" i="21"/>
  <c r="O287" i="21"/>
  <c r="N287" i="21"/>
  <c r="M287" i="21"/>
  <c r="L287" i="21"/>
  <c r="K287" i="21"/>
  <c r="J287" i="21"/>
  <c r="I287" i="21"/>
  <c r="H287" i="21"/>
  <c r="G287" i="21"/>
  <c r="F287" i="21"/>
  <c r="E287" i="21"/>
  <c r="D287" i="21"/>
  <c r="C287" i="21"/>
  <c r="B287" i="21"/>
  <c r="A287" i="21"/>
  <c r="BG286" i="21"/>
  <c r="BE286" i="21"/>
  <c r="BF286" i="21" s="1"/>
  <c r="AW286" i="21"/>
  <c r="AX286" i="21" s="1"/>
  <c r="AU286" i="21"/>
  <c r="AV286" i="21" s="1"/>
  <c r="AS286" i="21"/>
  <c r="AT286" i="21" s="1"/>
  <c r="AQ286" i="21"/>
  <c r="AO286" i="21"/>
  <c r="AP286" i="21" s="1"/>
  <c r="AM286" i="21"/>
  <c r="AN286" i="21" s="1"/>
  <c r="AK286" i="21"/>
  <c r="AL286" i="21" s="1"/>
  <c r="AG286" i="21"/>
  <c r="AH286" i="21" s="1"/>
  <c r="AE286" i="21"/>
  <c r="AC286" i="21"/>
  <c r="AD286" i="21" s="1"/>
  <c r="AA286" i="21"/>
  <c r="AB286" i="21" s="1"/>
  <c r="W286" i="21"/>
  <c r="U286" i="21"/>
  <c r="V286" i="21" s="1"/>
  <c r="S286" i="21"/>
  <c r="T286" i="21" s="1"/>
  <c r="Q286" i="21"/>
  <c r="R286" i="21" s="1"/>
  <c r="P286" i="21"/>
  <c r="O286" i="21"/>
  <c r="N286" i="21"/>
  <c r="M286" i="21"/>
  <c r="L286" i="21"/>
  <c r="K286" i="21"/>
  <c r="J286" i="21"/>
  <c r="I286" i="21"/>
  <c r="H286" i="21"/>
  <c r="G286" i="21"/>
  <c r="F286" i="21"/>
  <c r="E286" i="21"/>
  <c r="D286" i="21"/>
  <c r="C286" i="21"/>
  <c r="B286" i="21"/>
  <c r="A286" i="21"/>
  <c r="BG285" i="21"/>
  <c r="BH285" i="21" s="1"/>
  <c r="BE285" i="21"/>
  <c r="BF285" i="21" s="1"/>
  <c r="AW285" i="21"/>
  <c r="AX285" i="21" s="1"/>
  <c r="AU285" i="21"/>
  <c r="AS285" i="21"/>
  <c r="AT285" i="21" s="1"/>
  <c r="AQ285" i="21"/>
  <c r="AO285" i="21"/>
  <c r="AP285" i="21" s="1"/>
  <c r="AM285" i="21"/>
  <c r="AN285" i="21" s="1"/>
  <c r="AK285" i="21"/>
  <c r="AL285" i="21" s="1"/>
  <c r="AG285" i="21"/>
  <c r="AH285" i="21" s="1"/>
  <c r="AE285" i="21"/>
  <c r="AF285" i="21" s="1"/>
  <c r="AC285" i="21"/>
  <c r="AA285" i="21"/>
  <c r="AB285" i="21" s="1"/>
  <c r="W285" i="21"/>
  <c r="U285" i="21"/>
  <c r="V285" i="21" s="1"/>
  <c r="S285" i="21"/>
  <c r="T285" i="21" s="1"/>
  <c r="Q285" i="21"/>
  <c r="R285" i="21" s="1"/>
  <c r="P285" i="21"/>
  <c r="O285" i="21"/>
  <c r="N285" i="21"/>
  <c r="M285" i="21"/>
  <c r="L285" i="21"/>
  <c r="K285" i="21"/>
  <c r="J285" i="21"/>
  <c r="I285" i="21"/>
  <c r="H285" i="21"/>
  <c r="G285" i="21"/>
  <c r="F285" i="21"/>
  <c r="E285" i="21"/>
  <c r="D285" i="21"/>
  <c r="C285" i="21"/>
  <c r="B285" i="21"/>
  <c r="A285" i="21"/>
  <c r="BG284" i="21"/>
  <c r="BH284" i="21" s="1"/>
  <c r="BE284" i="21"/>
  <c r="BF284" i="21" s="1"/>
  <c r="AW284" i="21"/>
  <c r="AX284" i="21" s="1"/>
  <c r="AU284" i="21"/>
  <c r="AV284" i="21" s="1"/>
  <c r="AS284" i="21"/>
  <c r="AT284" i="21" s="1"/>
  <c r="AQ284" i="21"/>
  <c r="AR284" i="21" s="1"/>
  <c r="AO284" i="21"/>
  <c r="AP284" i="21" s="1"/>
  <c r="AM284" i="21"/>
  <c r="AN284" i="21" s="1"/>
  <c r="AK284" i="21"/>
  <c r="AL284" i="21" s="1"/>
  <c r="AG284" i="21"/>
  <c r="AE284" i="21"/>
  <c r="AF284" i="21" s="1"/>
  <c r="AC284" i="21"/>
  <c r="AD284" i="21" s="1"/>
  <c r="AA284" i="21"/>
  <c r="AB284" i="21" s="1"/>
  <c r="W284" i="21"/>
  <c r="X284" i="21" s="1"/>
  <c r="U284" i="21"/>
  <c r="S284" i="21"/>
  <c r="T284" i="21" s="1"/>
  <c r="Q284" i="21"/>
  <c r="R284" i="21" s="1"/>
  <c r="P284" i="21"/>
  <c r="O284" i="21"/>
  <c r="N284" i="21"/>
  <c r="M284" i="21"/>
  <c r="L284" i="21"/>
  <c r="K284" i="21"/>
  <c r="J284" i="21"/>
  <c r="I284" i="21"/>
  <c r="H284" i="21"/>
  <c r="G284" i="21"/>
  <c r="F284" i="21"/>
  <c r="E284" i="21"/>
  <c r="D284" i="21"/>
  <c r="C284" i="21"/>
  <c r="B284" i="21"/>
  <c r="A284" i="21"/>
  <c r="BG283" i="21"/>
  <c r="BE283" i="21"/>
  <c r="BF283" i="21" s="1"/>
  <c r="AW283" i="21"/>
  <c r="AX283" i="21" s="1"/>
  <c r="AU283" i="21"/>
  <c r="AV283" i="21" s="1"/>
  <c r="AS283" i="21"/>
  <c r="AQ283" i="21"/>
  <c r="AR283" i="21" s="1"/>
  <c r="AO283" i="21"/>
  <c r="AP283" i="21" s="1"/>
  <c r="AM283" i="21"/>
  <c r="AK283" i="21"/>
  <c r="AL283" i="21" s="1"/>
  <c r="AG283" i="21"/>
  <c r="AH283" i="21" s="1"/>
  <c r="AE283" i="21"/>
  <c r="AF283" i="21" s="1"/>
  <c r="AC283" i="21"/>
  <c r="AD283" i="21" s="1"/>
  <c r="AA283" i="21"/>
  <c r="W283" i="21"/>
  <c r="X283" i="21" s="1"/>
  <c r="U283" i="21"/>
  <c r="V283" i="21" s="1"/>
  <c r="S283" i="21"/>
  <c r="Q283" i="21"/>
  <c r="R283" i="21" s="1"/>
  <c r="P283" i="21"/>
  <c r="O283" i="21"/>
  <c r="N283" i="21"/>
  <c r="M283" i="21"/>
  <c r="L283" i="21"/>
  <c r="K283" i="21"/>
  <c r="J283" i="21"/>
  <c r="I283" i="21"/>
  <c r="H283" i="21"/>
  <c r="G283" i="21"/>
  <c r="F283" i="21"/>
  <c r="E283" i="21"/>
  <c r="D283" i="21"/>
  <c r="C283" i="21"/>
  <c r="B283" i="21"/>
  <c r="A283" i="21"/>
  <c r="BG282" i="21"/>
  <c r="BH282" i="21" s="1"/>
  <c r="BE282" i="21"/>
  <c r="BF282" i="21" s="1"/>
  <c r="AW282" i="21"/>
  <c r="AX282" i="21" s="1"/>
  <c r="AU282" i="21"/>
  <c r="AV282" i="21" s="1"/>
  <c r="AS282" i="21"/>
  <c r="AT282" i="21" s="1"/>
  <c r="AQ282" i="21"/>
  <c r="AO282" i="21"/>
  <c r="AP282" i="21" s="1"/>
  <c r="AM282" i="21"/>
  <c r="AN282" i="21" s="1"/>
  <c r="AK282" i="21"/>
  <c r="AL282" i="21" s="1"/>
  <c r="AG282" i="21"/>
  <c r="AH282" i="21" s="1"/>
  <c r="AE282" i="21"/>
  <c r="AF282" i="21" s="1"/>
  <c r="AC282" i="21"/>
  <c r="AD282" i="21" s="1"/>
  <c r="AA282" i="21"/>
  <c r="AB282" i="21" s="1"/>
  <c r="W282" i="21"/>
  <c r="U282" i="21"/>
  <c r="V282" i="21" s="1"/>
  <c r="S282" i="21"/>
  <c r="Q282" i="21"/>
  <c r="R282" i="21" s="1"/>
  <c r="P282" i="21"/>
  <c r="O282" i="21"/>
  <c r="N282" i="21"/>
  <c r="M282" i="21"/>
  <c r="L282" i="21"/>
  <c r="K282" i="21"/>
  <c r="J282" i="21"/>
  <c r="I282" i="21"/>
  <c r="H282" i="21"/>
  <c r="G282" i="21"/>
  <c r="F282" i="21"/>
  <c r="E282" i="21"/>
  <c r="D282" i="21"/>
  <c r="C282" i="21"/>
  <c r="B282" i="21"/>
  <c r="A282" i="21"/>
  <c r="BG281" i="21"/>
  <c r="BH281" i="21" s="1"/>
  <c r="BE281" i="21"/>
  <c r="BF281" i="21" s="1"/>
  <c r="AW281" i="21"/>
  <c r="AX281" i="21" s="1"/>
  <c r="AU281" i="21"/>
  <c r="AS281" i="21"/>
  <c r="AT281" i="21" s="1"/>
  <c r="AQ281" i="21"/>
  <c r="AO281" i="21"/>
  <c r="AP281" i="21" s="1"/>
  <c r="AM281" i="21"/>
  <c r="AN281" i="21" s="1"/>
  <c r="AK281" i="21"/>
  <c r="AL281" i="21" s="1"/>
  <c r="AG281" i="21"/>
  <c r="AH281" i="21" s="1"/>
  <c r="AE281" i="21"/>
  <c r="AF281" i="21" s="1"/>
  <c r="AC281" i="21"/>
  <c r="AA281" i="21"/>
  <c r="AB281" i="21" s="1"/>
  <c r="W281" i="21"/>
  <c r="X281" i="21" s="1"/>
  <c r="U281" i="21"/>
  <c r="V281" i="21" s="1"/>
  <c r="S281" i="21"/>
  <c r="T281" i="21" s="1"/>
  <c r="Q281" i="21"/>
  <c r="R281" i="21" s="1"/>
  <c r="P281" i="21"/>
  <c r="O281" i="21"/>
  <c r="N281" i="21"/>
  <c r="M281" i="21"/>
  <c r="L281" i="21"/>
  <c r="K281" i="21"/>
  <c r="J281" i="21"/>
  <c r="I281" i="21"/>
  <c r="H281" i="21"/>
  <c r="G281" i="21"/>
  <c r="F281" i="21"/>
  <c r="E281" i="21"/>
  <c r="D281" i="21"/>
  <c r="C281" i="21"/>
  <c r="B281" i="21"/>
  <c r="A281" i="21"/>
  <c r="BG280" i="21"/>
  <c r="BE280" i="21"/>
  <c r="BF280" i="21" s="1"/>
  <c r="AW280" i="21"/>
  <c r="AX280" i="21" s="1"/>
  <c r="AU280" i="21"/>
  <c r="AV280" i="21" s="1"/>
  <c r="AS280" i="21"/>
  <c r="AT280" i="21" s="1"/>
  <c r="AQ280" i="21"/>
  <c r="AR280" i="21" s="1"/>
  <c r="AO280" i="21"/>
  <c r="AM280" i="21"/>
  <c r="AN280" i="21" s="1"/>
  <c r="AK280" i="21"/>
  <c r="AL280" i="21" s="1"/>
  <c r="AG280" i="21"/>
  <c r="AE280" i="21"/>
  <c r="AF280" i="21" s="1"/>
  <c r="AC280" i="21"/>
  <c r="AA280" i="21"/>
  <c r="AB280" i="21" s="1"/>
  <c r="W280" i="21"/>
  <c r="X280" i="21" s="1"/>
  <c r="U280" i="21"/>
  <c r="S280" i="21"/>
  <c r="T280" i="21" s="1"/>
  <c r="Q280" i="21"/>
  <c r="R280" i="21" s="1"/>
  <c r="P280" i="21"/>
  <c r="O280" i="21"/>
  <c r="N280" i="21"/>
  <c r="M280" i="21"/>
  <c r="L280" i="21"/>
  <c r="K280" i="21"/>
  <c r="J280" i="21"/>
  <c r="I280" i="21"/>
  <c r="H280" i="21"/>
  <c r="G280" i="21"/>
  <c r="F280" i="21"/>
  <c r="E280" i="21"/>
  <c r="D280" i="21"/>
  <c r="C280" i="21"/>
  <c r="B280" i="21"/>
  <c r="A280" i="21"/>
  <c r="BG279" i="21"/>
  <c r="BE279" i="21"/>
  <c r="BF279" i="21" s="1"/>
  <c r="AW279" i="21"/>
  <c r="AX279" i="21" s="1"/>
  <c r="AU279" i="21"/>
  <c r="AV279" i="21" s="1"/>
  <c r="AS279" i="21"/>
  <c r="AQ279" i="21"/>
  <c r="AR279" i="21" s="1"/>
  <c r="AO279" i="21"/>
  <c r="AP279" i="21" s="1"/>
  <c r="AM279" i="21"/>
  <c r="AK279" i="21"/>
  <c r="AL279" i="21" s="1"/>
  <c r="AG279" i="21"/>
  <c r="AH279" i="21" s="1"/>
  <c r="AE279" i="21"/>
  <c r="AF279" i="21" s="1"/>
  <c r="AC279" i="21"/>
  <c r="AD279" i="21" s="1"/>
  <c r="AA279" i="21"/>
  <c r="W279" i="21"/>
  <c r="X279" i="21" s="1"/>
  <c r="U279" i="21"/>
  <c r="V279" i="21" s="1"/>
  <c r="S279" i="21"/>
  <c r="Q279" i="21"/>
  <c r="R279" i="21" s="1"/>
  <c r="P279" i="21"/>
  <c r="O279" i="21"/>
  <c r="N279" i="21"/>
  <c r="M279" i="21"/>
  <c r="L279" i="21"/>
  <c r="K279" i="21"/>
  <c r="J279" i="21"/>
  <c r="I279" i="21"/>
  <c r="H279" i="21"/>
  <c r="G279" i="21"/>
  <c r="F279" i="21"/>
  <c r="E279" i="21"/>
  <c r="D279" i="21"/>
  <c r="C279" i="21"/>
  <c r="B279" i="21"/>
  <c r="A279" i="21"/>
  <c r="BG278" i="21"/>
  <c r="BH278" i="21" s="1"/>
  <c r="BE278" i="21"/>
  <c r="BF278" i="21" s="1"/>
  <c r="AW278" i="21"/>
  <c r="AX278" i="21" s="1"/>
  <c r="AU278" i="21"/>
  <c r="AV278" i="21" s="1"/>
  <c r="AS278" i="21"/>
  <c r="AT278" i="21" s="1"/>
  <c r="AQ278" i="21"/>
  <c r="AO278" i="21"/>
  <c r="AP278" i="21" s="1"/>
  <c r="AM278" i="21"/>
  <c r="AK278" i="21"/>
  <c r="AL278" i="21" s="1"/>
  <c r="AG278" i="21"/>
  <c r="AH278" i="21" s="1"/>
  <c r="AE278" i="21"/>
  <c r="AF278" i="21" s="1"/>
  <c r="AC278" i="21"/>
  <c r="AD278" i="21" s="1"/>
  <c r="AA278" i="21"/>
  <c r="AB278" i="21" s="1"/>
  <c r="W278" i="21"/>
  <c r="U278" i="21"/>
  <c r="V278" i="21" s="1"/>
  <c r="S278" i="21"/>
  <c r="Q278" i="21"/>
  <c r="R278" i="21" s="1"/>
  <c r="P278" i="21"/>
  <c r="O278" i="21"/>
  <c r="N278" i="21"/>
  <c r="M278" i="21"/>
  <c r="L278" i="21"/>
  <c r="K278" i="21"/>
  <c r="J278" i="21"/>
  <c r="I278" i="21"/>
  <c r="H278" i="21"/>
  <c r="G278" i="21"/>
  <c r="F278" i="21"/>
  <c r="E278" i="21"/>
  <c r="D278" i="21"/>
  <c r="C278" i="21"/>
  <c r="B278" i="21"/>
  <c r="A278" i="21"/>
  <c r="BG277" i="21"/>
  <c r="BH277" i="21" s="1"/>
  <c r="BE277" i="21"/>
  <c r="BF277" i="21" s="1"/>
  <c r="AW277" i="21"/>
  <c r="AX277" i="21" s="1"/>
  <c r="AU277" i="21"/>
  <c r="AS277" i="21"/>
  <c r="AT277" i="21" s="1"/>
  <c r="AQ277" i="21"/>
  <c r="AR277" i="21" s="1"/>
  <c r="AO277" i="21"/>
  <c r="AP277" i="21" s="1"/>
  <c r="AM277" i="21"/>
  <c r="AN277" i="21" s="1"/>
  <c r="AK277" i="21"/>
  <c r="AL277" i="21" s="1"/>
  <c r="AG277" i="21"/>
  <c r="AH277" i="21" s="1"/>
  <c r="AE277" i="21"/>
  <c r="AF277" i="21" s="1"/>
  <c r="AC277" i="21"/>
  <c r="AA277" i="21"/>
  <c r="AB277" i="21" s="1"/>
  <c r="W277" i="21"/>
  <c r="U277" i="21"/>
  <c r="V277" i="21" s="1"/>
  <c r="S277" i="21"/>
  <c r="T277" i="21" s="1"/>
  <c r="Q277" i="21"/>
  <c r="P277" i="21"/>
  <c r="O277" i="21"/>
  <c r="N277" i="21"/>
  <c r="M277" i="21"/>
  <c r="L277" i="21"/>
  <c r="K277" i="21"/>
  <c r="J277" i="21"/>
  <c r="I277" i="21"/>
  <c r="H277" i="21"/>
  <c r="G277" i="21"/>
  <c r="F277" i="21"/>
  <c r="E277" i="21"/>
  <c r="D277" i="21"/>
  <c r="C277" i="21"/>
  <c r="B277" i="21"/>
  <c r="A277" i="21"/>
  <c r="BG276" i="21"/>
  <c r="BH276" i="21" s="1"/>
  <c r="BE276" i="21"/>
  <c r="BF276" i="21" s="1"/>
  <c r="AW276" i="21"/>
  <c r="AX276" i="21" s="1"/>
  <c r="AU276" i="21"/>
  <c r="AS276" i="21"/>
  <c r="AT276" i="21" s="1"/>
  <c r="AQ276" i="21"/>
  <c r="AR276" i="21" s="1"/>
  <c r="AO276" i="21"/>
  <c r="AM276" i="21"/>
  <c r="AN276" i="21" s="1"/>
  <c r="AK276" i="21"/>
  <c r="AL276" i="21" s="1"/>
  <c r="AG276" i="21"/>
  <c r="AE276" i="21"/>
  <c r="AF276" i="21" s="1"/>
  <c r="AC276" i="21"/>
  <c r="AD276" i="21" s="1"/>
  <c r="AA276" i="21"/>
  <c r="AB276" i="21" s="1"/>
  <c r="W276" i="21"/>
  <c r="X276" i="21" s="1"/>
  <c r="U276" i="21"/>
  <c r="S276" i="21"/>
  <c r="T276" i="21" s="1"/>
  <c r="Q276" i="21"/>
  <c r="R276" i="21" s="1"/>
  <c r="P276" i="21"/>
  <c r="O276" i="21"/>
  <c r="N276" i="21"/>
  <c r="M276" i="21"/>
  <c r="L276" i="21"/>
  <c r="K276" i="21"/>
  <c r="J276" i="21"/>
  <c r="I276" i="21"/>
  <c r="H276" i="21"/>
  <c r="G276" i="21"/>
  <c r="F276" i="21"/>
  <c r="E276" i="21"/>
  <c r="D276" i="21"/>
  <c r="C276" i="21"/>
  <c r="B276" i="21"/>
  <c r="A276" i="21"/>
  <c r="BG275" i="21"/>
  <c r="BE275" i="21"/>
  <c r="BF275" i="21" s="1"/>
  <c r="AW275" i="21"/>
  <c r="AX275" i="21" s="1"/>
  <c r="AU275" i="21"/>
  <c r="AV275" i="21" s="1"/>
  <c r="AS275" i="21"/>
  <c r="AQ275" i="21"/>
  <c r="AR275" i="21" s="1"/>
  <c r="AO275" i="21"/>
  <c r="AP275" i="21" s="1"/>
  <c r="AM275" i="21"/>
  <c r="AK275" i="21"/>
  <c r="AL275" i="21" s="1"/>
  <c r="AG275" i="21"/>
  <c r="AH275" i="21" s="1"/>
  <c r="AE275" i="21"/>
  <c r="AF275" i="21" s="1"/>
  <c r="AC275" i="21"/>
  <c r="AD275" i="21" s="1"/>
  <c r="AA275" i="21"/>
  <c r="AB275" i="21" s="1"/>
  <c r="W275" i="21"/>
  <c r="X275" i="21" s="1"/>
  <c r="U275" i="21"/>
  <c r="V275" i="21" s="1"/>
  <c r="S275" i="21"/>
  <c r="Q275" i="21"/>
  <c r="R275" i="21" s="1"/>
  <c r="P275" i="21"/>
  <c r="O275" i="21"/>
  <c r="N275" i="21"/>
  <c r="M275" i="21"/>
  <c r="L275" i="21"/>
  <c r="K275" i="21"/>
  <c r="J275" i="21"/>
  <c r="I275" i="21"/>
  <c r="H275" i="21"/>
  <c r="G275" i="21"/>
  <c r="F275" i="21"/>
  <c r="E275" i="21"/>
  <c r="D275" i="21"/>
  <c r="C275" i="21"/>
  <c r="B275" i="21"/>
  <c r="A275" i="21"/>
  <c r="BG274" i="21"/>
  <c r="BE274" i="21"/>
  <c r="BF274" i="21" s="1"/>
  <c r="AW274" i="21"/>
  <c r="AX274" i="21" s="1"/>
  <c r="AU274" i="21"/>
  <c r="AV274" i="21" s="1"/>
  <c r="AS274" i="21"/>
  <c r="AT274" i="21" s="1"/>
  <c r="AQ274" i="21"/>
  <c r="AO274" i="21"/>
  <c r="AP274" i="21" s="1"/>
  <c r="AM274" i="21"/>
  <c r="AK274" i="21"/>
  <c r="AL274" i="21" s="1"/>
  <c r="AG274" i="21"/>
  <c r="AH274" i="21" s="1"/>
  <c r="AE274" i="21"/>
  <c r="AF274" i="21" s="1"/>
  <c r="AC274" i="21"/>
  <c r="AD274" i="21" s="1"/>
  <c r="AA274" i="21"/>
  <c r="AB274" i="21" s="1"/>
  <c r="W274" i="21"/>
  <c r="U274" i="21"/>
  <c r="V274" i="21" s="1"/>
  <c r="S274" i="21"/>
  <c r="T274" i="21" s="1"/>
  <c r="Q274" i="21"/>
  <c r="R274" i="21" s="1"/>
  <c r="P274" i="21"/>
  <c r="O274" i="21"/>
  <c r="N274" i="21"/>
  <c r="M274" i="21"/>
  <c r="L274" i="21"/>
  <c r="K274" i="21"/>
  <c r="J274" i="21"/>
  <c r="I274" i="21"/>
  <c r="H274" i="21"/>
  <c r="G274" i="21"/>
  <c r="F274" i="21"/>
  <c r="E274" i="21"/>
  <c r="D274" i="21"/>
  <c r="C274" i="21"/>
  <c r="B274" i="21"/>
  <c r="A274" i="21"/>
  <c r="BG273" i="21"/>
  <c r="BH273" i="21" s="1"/>
  <c r="BE273" i="21"/>
  <c r="BF273" i="21" s="1"/>
  <c r="AW273" i="21"/>
  <c r="AX273" i="21" s="1"/>
  <c r="AU273" i="21"/>
  <c r="AS273" i="21"/>
  <c r="AT273" i="21" s="1"/>
  <c r="AQ273" i="21"/>
  <c r="AR273" i="21" s="1"/>
  <c r="AO273" i="21"/>
  <c r="AP273" i="21" s="1"/>
  <c r="AM273" i="21"/>
  <c r="AN273" i="21" s="1"/>
  <c r="AK273" i="21"/>
  <c r="AG273" i="21"/>
  <c r="AH273" i="21" s="1"/>
  <c r="AE273" i="21"/>
  <c r="AF273" i="21" s="1"/>
  <c r="AC273" i="21"/>
  <c r="AA273" i="21"/>
  <c r="AB273" i="21" s="1"/>
  <c r="W273" i="21"/>
  <c r="U273" i="21"/>
  <c r="V273" i="21" s="1"/>
  <c r="S273" i="21"/>
  <c r="T273" i="21" s="1"/>
  <c r="Q273" i="21"/>
  <c r="P273" i="21"/>
  <c r="O273" i="21"/>
  <c r="N273" i="21"/>
  <c r="M273" i="21"/>
  <c r="L273" i="21"/>
  <c r="K273" i="21"/>
  <c r="J273" i="21"/>
  <c r="I273" i="21"/>
  <c r="H273" i="21"/>
  <c r="G273" i="21"/>
  <c r="F273" i="21"/>
  <c r="E273" i="21"/>
  <c r="D273" i="21"/>
  <c r="C273" i="21"/>
  <c r="B273" i="21"/>
  <c r="A273" i="21"/>
  <c r="BG272" i="21"/>
  <c r="BH272" i="21" s="1"/>
  <c r="BE272" i="21"/>
  <c r="BF272" i="21" s="1"/>
  <c r="AW272" i="21"/>
  <c r="AX272" i="21" s="1"/>
  <c r="AU272" i="21"/>
  <c r="AV272" i="21" s="1"/>
  <c r="AS272" i="21"/>
  <c r="AT272" i="21" s="1"/>
  <c r="AQ272" i="21"/>
  <c r="AR272" i="21" s="1"/>
  <c r="AO272" i="21"/>
  <c r="AM272" i="21"/>
  <c r="AN272" i="21" s="1"/>
  <c r="AK272" i="21"/>
  <c r="AL272" i="21" s="1"/>
  <c r="AG272" i="21"/>
  <c r="AE272" i="21"/>
  <c r="AF272" i="21" s="1"/>
  <c r="AC272" i="21"/>
  <c r="AD272" i="21" s="1"/>
  <c r="AA272" i="21"/>
  <c r="AB272" i="21" s="1"/>
  <c r="W272" i="21"/>
  <c r="X272" i="21" s="1"/>
  <c r="U272" i="21"/>
  <c r="S272" i="21"/>
  <c r="T272" i="21" s="1"/>
  <c r="Q272" i="21"/>
  <c r="R272" i="21" s="1"/>
  <c r="P272" i="21"/>
  <c r="O272" i="21"/>
  <c r="N272" i="21"/>
  <c r="M272" i="21"/>
  <c r="L272" i="21"/>
  <c r="K272" i="21"/>
  <c r="J272" i="21"/>
  <c r="I272" i="21"/>
  <c r="H272" i="21"/>
  <c r="G272" i="21"/>
  <c r="F272" i="21"/>
  <c r="E272" i="21"/>
  <c r="D272" i="21"/>
  <c r="C272" i="21"/>
  <c r="B272" i="21"/>
  <c r="A272" i="21"/>
  <c r="BG271" i="21"/>
  <c r="BE271" i="21"/>
  <c r="BF271" i="21" s="1"/>
  <c r="AW271" i="21"/>
  <c r="AX271" i="21" s="1"/>
  <c r="AU271" i="21"/>
  <c r="AV271" i="21" s="1"/>
  <c r="AS271" i="21"/>
  <c r="AT271" i="21" s="1"/>
  <c r="AQ271" i="21"/>
  <c r="AR271" i="21" s="1"/>
  <c r="AO271" i="21"/>
  <c r="AP271" i="21" s="1"/>
  <c r="AM271" i="21"/>
  <c r="AK271" i="21"/>
  <c r="AL271" i="21" s="1"/>
  <c r="AG271" i="21"/>
  <c r="AE271" i="21"/>
  <c r="AF271" i="21" s="1"/>
  <c r="AC271" i="21"/>
  <c r="AD271" i="21" s="1"/>
  <c r="AA271" i="21"/>
  <c r="AB271" i="21" s="1"/>
  <c r="W271" i="21"/>
  <c r="X271" i="21" s="1"/>
  <c r="U271" i="21"/>
  <c r="V271" i="21" s="1"/>
  <c r="S271" i="21"/>
  <c r="Q271" i="21"/>
  <c r="R271" i="21" s="1"/>
  <c r="P271" i="21"/>
  <c r="O271" i="21"/>
  <c r="N271" i="21"/>
  <c r="M271" i="21"/>
  <c r="L271" i="21"/>
  <c r="K271" i="21"/>
  <c r="J271" i="21"/>
  <c r="I271" i="21"/>
  <c r="H271" i="21"/>
  <c r="G271" i="21"/>
  <c r="F271" i="21"/>
  <c r="E271" i="21"/>
  <c r="D271" i="21"/>
  <c r="C271" i="21"/>
  <c r="B271" i="21"/>
  <c r="A271" i="21"/>
  <c r="BG270" i="21"/>
  <c r="BE270" i="21"/>
  <c r="BF270" i="21" s="1"/>
  <c r="AW270" i="21"/>
  <c r="AX270" i="21" s="1"/>
  <c r="AU270" i="21"/>
  <c r="AV270" i="21" s="1"/>
  <c r="AS270" i="21"/>
  <c r="AT270" i="21" s="1"/>
  <c r="AQ270" i="21"/>
  <c r="AO270" i="21"/>
  <c r="AP270" i="21" s="1"/>
  <c r="AM270" i="21"/>
  <c r="AN270" i="21" s="1"/>
  <c r="AK270" i="21"/>
  <c r="AL270" i="21" s="1"/>
  <c r="AG270" i="21"/>
  <c r="AH270" i="21" s="1"/>
  <c r="AE270" i="21"/>
  <c r="AF270" i="21" s="1"/>
  <c r="AC270" i="21"/>
  <c r="AD270" i="21" s="1"/>
  <c r="AA270" i="21"/>
  <c r="AB270" i="21" s="1"/>
  <c r="W270" i="21"/>
  <c r="U270" i="21"/>
  <c r="V270" i="21" s="1"/>
  <c r="S270" i="21"/>
  <c r="T270" i="21" s="1"/>
  <c r="Q270" i="21"/>
  <c r="R270" i="21" s="1"/>
  <c r="P270" i="21"/>
  <c r="O270" i="21"/>
  <c r="N270" i="21"/>
  <c r="M270" i="21"/>
  <c r="L270" i="21"/>
  <c r="K270" i="21"/>
  <c r="J270" i="21"/>
  <c r="I270" i="21"/>
  <c r="H270" i="21"/>
  <c r="G270" i="21"/>
  <c r="F270" i="21"/>
  <c r="E270" i="21"/>
  <c r="D270" i="21"/>
  <c r="C270" i="21"/>
  <c r="B270" i="21"/>
  <c r="A270" i="21"/>
  <c r="BG269" i="21"/>
  <c r="BH269" i="21" s="1"/>
  <c r="BE269" i="21"/>
  <c r="AW269" i="21"/>
  <c r="AX269" i="21" s="1"/>
  <c r="AU269" i="21"/>
  <c r="AS269" i="21"/>
  <c r="AT269" i="21" s="1"/>
  <c r="AQ269" i="21"/>
  <c r="AO269" i="21"/>
  <c r="AP269" i="21" s="1"/>
  <c r="AM269" i="21"/>
  <c r="AN269" i="21" s="1"/>
  <c r="AK269" i="21"/>
  <c r="AG269" i="21"/>
  <c r="AH269" i="21" s="1"/>
  <c r="AE269" i="21"/>
  <c r="AF269" i="21" s="1"/>
  <c r="AC269" i="21"/>
  <c r="AA269" i="21"/>
  <c r="AB269" i="21" s="1"/>
  <c r="W269" i="21"/>
  <c r="X269" i="21" s="1"/>
  <c r="U269" i="21"/>
  <c r="V269" i="21" s="1"/>
  <c r="S269" i="21"/>
  <c r="T269" i="21" s="1"/>
  <c r="Q269" i="21"/>
  <c r="P269" i="21"/>
  <c r="O269" i="21"/>
  <c r="N269" i="21"/>
  <c r="M269" i="21"/>
  <c r="L269" i="21"/>
  <c r="K269" i="21"/>
  <c r="J269" i="21"/>
  <c r="I269" i="21"/>
  <c r="H269" i="21"/>
  <c r="G269" i="21"/>
  <c r="F269" i="21"/>
  <c r="E269" i="21"/>
  <c r="D269" i="21"/>
  <c r="C269" i="21"/>
  <c r="B269" i="21"/>
  <c r="A269" i="21"/>
  <c r="BG268" i="21"/>
  <c r="BH268" i="21" s="1"/>
  <c r="BE268" i="21"/>
  <c r="BF268" i="21" s="1"/>
  <c r="AW268" i="21"/>
  <c r="AX268" i="21" s="1"/>
  <c r="AU268" i="21"/>
  <c r="AV268" i="21" s="1"/>
  <c r="AS268" i="21"/>
  <c r="AT268" i="21" s="1"/>
  <c r="AQ268" i="21"/>
  <c r="AR268" i="21" s="1"/>
  <c r="AO268" i="21"/>
  <c r="AM268" i="21"/>
  <c r="AN268" i="21" s="1"/>
  <c r="AK268" i="21"/>
  <c r="AL268" i="21" s="1"/>
  <c r="AG268" i="21"/>
  <c r="AE268" i="21"/>
  <c r="AF268" i="21" s="1"/>
  <c r="AC268" i="21"/>
  <c r="AD268" i="21" s="1"/>
  <c r="AA268" i="21"/>
  <c r="AB268" i="21" s="1"/>
  <c r="W268" i="21"/>
  <c r="X268" i="21" s="1"/>
  <c r="U268" i="21"/>
  <c r="V268" i="21" s="1"/>
  <c r="S268" i="21"/>
  <c r="T268" i="21" s="1"/>
  <c r="Q268" i="21"/>
  <c r="R268" i="21" s="1"/>
  <c r="P268" i="21"/>
  <c r="O268" i="21"/>
  <c r="N268" i="21"/>
  <c r="M268" i="21"/>
  <c r="L268" i="21"/>
  <c r="K268" i="21"/>
  <c r="J268" i="21"/>
  <c r="I268" i="21"/>
  <c r="H268" i="21"/>
  <c r="G268" i="21"/>
  <c r="F268" i="21"/>
  <c r="E268" i="21"/>
  <c r="D268" i="21"/>
  <c r="C268" i="21"/>
  <c r="B268" i="21"/>
  <c r="A268" i="21"/>
  <c r="BG267" i="21"/>
  <c r="BE267" i="21"/>
  <c r="BF267" i="21" s="1"/>
  <c r="AW267" i="21"/>
  <c r="AX267" i="21" s="1"/>
  <c r="AU267" i="21"/>
  <c r="AV267" i="21" s="1"/>
  <c r="AS267" i="21"/>
  <c r="AT267" i="21" s="1"/>
  <c r="AQ267" i="21"/>
  <c r="AR267" i="21" s="1"/>
  <c r="AO267" i="21"/>
  <c r="AP267" i="21" s="1"/>
  <c r="AM267" i="21"/>
  <c r="AK267" i="21"/>
  <c r="AL267" i="21" s="1"/>
  <c r="AG267" i="21"/>
  <c r="AH267" i="21" s="1"/>
  <c r="AE267" i="21"/>
  <c r="AF267" i="21" s="1"/>
  <c r="AC267" i="21"/>
  <c r="AD267" i="21" s="1"/>
  <c r="AA267" i="21"/>
  <c r="AB267" i="21" s="1"/>
  <c r="W267" i="21"/>
  <c r="X267" i="21" s="1"/>
  <c r="U267" i="21"/>
  <c r="V267" i="21" s="1"/>
  <c r="S267" i="21"/>
  <c r="Q267" i="21"/>
  <c r="R267" i="21" s="1"/>
  <c r="P267" i="21"/>
  <c r="O267" i="21"/>
  <c r="N267" i="21"/>
  <c r="M267" i="21"/>
  <c r="L267" i="21"/>
  <c r="K267" i="21"/>
  <c r="J267" i="21"/>
  <c r="I267" i="21"/>
  <c r="H267" i="21"/>
  <c r="G267" i="21"/>
  <c r="F267" i="21"/>
  <c r="E267" i="21"/>
  <c r="D267" i="21"/>
  <c r="C267" i="21"/>
  <c r="B267" i="21"/>
  <c r="A267" i="21"/>
  <c r="BG266" i="21"/>
  <c r="BH266" i="21" s="1"/>
  <c r="BE266" i="21"/>
  <c r="BF266" i="21" s="1"/>
  <c r="AW266" i="21"/>
  <c r="AU266" i="21"/>
  <c r="AV266" i="21" s="1"/>
  <c r="AS266" i="21"/>
  <c r="AT266" i="21" s="1"/>
  <c r="AQ266" i="21"/>
  <c r="AO266" i="21"/>
  <c r="AP266" i="21" s="1"/>
  <c r="AM266" i="21"/>
  <c r="AN266" i="21" s="1"/>
  <c r="AK266" i="21"/>
  <c r="AL266" i="21" s="1"/>
  <c r="AG266" i="21"/>
  <c r="AH266" i="21" s="1"/>
  <c r="AE266" i="21"/>
  <c r="AF266" i="21" s="1"/>
  <c r="AC266" i="21"/>
  <c r="AD266" i="21" s="1"/>
  <c r="AA266" i="21"/>
  <c r="AB266" i="21" s="1"/>
  <c r="W266" i="21"/>
  <c r="U266" i="21"/>
  <c r="V266" i="21" s="1"/>
  <c r="S266" i="21"/>
  <c r="Q266" i="21"/>
  <c r="R266" i="21" s="1"/>
  <c r="P266" i="21"/>
  <c r="O266" i="21"/>
  <c r="N266" i="21"/>
  <c r="M266" i="21"/>
  <c r="L266" i="21"/>
  <c r="K266" i="21"/>
  <c r="J266" i="21"/>
  <c r="I266" i="21"/>
  <c r="H266" i="21"/>
  <c r="G266" i="21"/>
  <c r="F266" i="21"/>
  <c r="E266" i="21"/>
  <c r="D266" i="21"/>
  <c r="C266" i="21"/>
  <c r="B266" i="21"/>
  <c r="A266" i="21"/>
  <c r="BG265" i="21"/>
  <c r="BH265" i="21" s="1"/>
  <c r="BE265" i="21"/>
  <c r="AW265" i="21"/>
  <c r="AX265" i="21" s="1"/>
  <c r="AU265" i="21"/>
  <c r="AS265" i="21"/>
  <c r="AT265" i="21" s="1"/>
  <c r="AQ265" i="21"/>
  <c r="AR265" i="21" s="1"/>
  <c r="AO265" i="21"/>
  <c r="AP265" i="21" s="1"/>
  <c r="AM265" i="21"/>
  <c r="AN265" i="21" s="1"/>
  <c r="AK265" i="21"/>
  <c r="AG265" i="21"/>
  <c r="AH265" i="21" s="1"/>
  <c r="AE265" i="21"/>
  <c r="AF265" i="21" s="1"/>
  <c r="AC265" i="21"/>
  <c r="AD265" i="21" s="1"/>
  <c r="AA265" i="21"/>
  <c r="AB265" i="21" s="1"/>
  <c r="W265" i="21"/>
  <c r="X265" i="21" s="1"/>
  <c r="U265" i="21"/>
  <c r="V265" i="21" s="1"/>
  <c r="S265" i="21"/>
  <c r="T265" i="21" s="1"/>
  <c r="Q265" i="21"/>
  <c r="P265" i="21"/>
  <c r="O265" i="21"/>
  <c r="N265" i="21"/>
  <c r="M265" i="21"/>
  <c r="L265" i="21"/>
  <c r="K265" i="21"/>
  <c r="J265" i="21"/>
  <c r="I265" i="21"/>
  <c r="H265" i="21"/>
  <c r="G265" i="21"/>
  <c r="F265" i="21"/>
  <c r="E265" i="21"/>
  <c r="D265" i="21"/>
  <c r="C265" i="21"/>
  <c r="B265" i="21"/>
  <c r="A265" i="21"/>
  <c r="BG264" i="21"/>
  <c r="BH264" i="21" s="1"/>
  <c r="BE264" i="21"/>
  <c r="BF264" i="21" s="1"/>
  <c r="AW264" i="21"/>
  <c r="AX264" i="21" s="1"/>
  <c r="AU264" i="21"/>
  <c r="AV264" i="21" s="1"/>
  <c r="AS264" i="21"/>
  <c r="AT264" i="21" s="1"/>
  <c r="AQ264" i="21"/>
  <c r="AR264" i="21" s="1"/>
  <c r="AO264" i="21"/>
  <c r="AP264" i="21" s="1"/>
  <c r="AM264" i="21"/>
  <c r="AN264" i="21" s="1"/>
  <c r="AK264" i="21"/>
  <c r="AL264" i="21" s="1"/>
  <c r="AG264" i="21"/>
  <c r="AE264" i="21"/>
  <c r="AF264" i="21" s="1"/>
  <c r="AC264" i="21"/>
  <c r="AA264" i="21"/>
  <c r="AB264" i="21" s="1"/>
  <c r="W264" i="21"/>
  <c r="U264" i="21"/>
  <c r="V264" i="21" s="1"/>
  <c r="S264" i="21"/>
  <c r="T264" i="21" s="1"/>
  <c r="Q264" i="21"/>
  <c r="R264" i="21" s="1"/>
  <c r="P264" i="21"/>
  <c r="O264" i="21"/>
  <c r="N264" i="21"/>
  <c r="M264" i="21"/>
  <c r="L264" i="21"/>
  <c r="K264" i="21"/>
  <c r="J264" i="21"/>
  <c r="I264" i="21"/>
  <c r="H264" i="21"/>
  <c r="G264" i="21"/>
  <c r="F264" i="21"/>
  <c r="E264" i="21"/>
  <c r="D264" i="21"/>
  <c r="C264" i="21"/>
  <c r="B264" i="21"/>
  <c r="A264" i="21"/>
  <c r="BG263" i="21"/>
  <c r="BH263" i="21" s="1"/>
  <c r="BE263" i="21"/>
  <c r="BF263" i="21" s="1"/>
  <c r="AW263" i="21"/>
  <c r="AX263" i="21" s="1"/>
  <c r="AU263" i="21"/>
  <c r="AS263" i="21"/>
  <c r="AT263" i="21" s="1"/>
  <c r="AQ263" i="21"/>
  <c r="AR263" i="21" s="1"/>
  <c r="AO263" i="21"/>
  <c r="AP263" i="21" s="1"/>
  <c r="AM263" i="21"/>
  <c r="AN263" i="21" s="1"/>
  <c r="AK263" i="21"/>
  <c r="AG263" i="21"/>
  <c r="AH263" i="21" s="1"/>
  <c r="AE263" i="21"/>
  <c r="AF263" i="21" s="1"/>
  <c r="AC263" i="21"/>
  <c r="AA263" i="21"/>
  <c r="AB263" i="21" s="1"/>
  <c r="W263" i="21"/>
  <c r="X263" i="21" s="1"/>
  <c r="U263" i="21"/>
  <c r="V263" i="21" s="1"/>
  <c r="S263" i="21"/>
  <c r="T263" i="21" s="1"/>
  <c r="Q263" i="21"/>
  <c r="R263" i="21" s="1"/>
  <c r="P263" i="21"/>
  <c r="O263" i="21"/>
  <c r="N263" i="21"/>
  <c r="M263" i="21"/>
  <c r="L263" i="21"/>
  <c r="K263" i="21"/>
  <c r="J263" i="21"/>
  <c r="I263" i="21"/>
  <c r="H263" i="21"/>
  <c r="G263" i="21"/>
  <c r="F263" i="21"/>
  <c r="E263" i="21"/>
  <c r="D263" i="21"/>
  <c r="C263" i="21"/>
  <c r="B263" i="21"/>
  <c r="A263" i="21"/>
  <c r="BG262" i="21"/>
  <c r="BH262" i="21" s="1"/>
  <c r="BE262" i="21"/>
  <c r="BF262" i="21" s="1"/>
  <c r="AW262" i="21"/>
  <c r="AX262" i="21" s="1"/>
  <c r="AU262" i="21"/>
  <c r="AV262" i="21" s="1"/>
  <c r="AS262" i="21"/>
  <c r="AT262" i="21" s="1"/>
  <c r="AQ262" i="21"/>
  <c r="AR262" i="21" s="1"/>
  <c r="AO262" i="21"/>
  <c r="AM262" i="21"/>
  <c r="AN262" i="21" s="1"/>
  <c r="AK262" i="21"/>
  <c r="AL262" i="21" s="1"/>
  <c r="AG262" i="21"/>
  <c r="AE262" i="21"/>
  <c r="AF262" i="21" s="1"/>
  <c r="AC262" i="21"/>
  <c r="AD262" i="21" s="1"/>
  <c r="AA262" i="21"/>
  <c r="AB262" i="21" s="1"/>
  <c r="W262" i="21"/>
  <c r="X262" i="21" s="1"/>
  <c r="U262" i="21"/>
  <c r="V262" i="21" s="1"/>
  <c r="S262" i="21"/>
  <c r="T262" i="21" s="1"/>
  <c r="Q262" i="21"/>
  <c r="R262" i="21" s="1"/>
  <c r="P262" i="21"/>
  <c r="O262" i="21"/>
  <c r="N262" i="21"/>
  <c r="M262" i="21"/>
  <c r="L262" i="21"/>
  <c r="K262" i="21"/>
  <c r="J262" i="21"/>
  <c r="I262" i="21"/>
  <c r="H262" i="21"/>
  <c r="G262" i="21"/>
  <c r="F262" i="21"/>
  <c r="E262" i="21"/>
  <c r="D262" i="21"/>
  <c r="C262" i="21"/>
  <c r="B262" i="21"/>
  <c r="A262" i="21"/>
  <c r="BG261" i="21"/>
  <c r="BE261" i="21"/>
  <c r="BF261" i="21" s="1"/>
  <c r="AW261" i="21"/>
  <c r="AX261" i="21" s="1"/>
  <c r="AU261" i="21"/>
  <c r="AV261" i="21" s="1"/>
  <c r="AS261" i="21"/>
  <c r="AQ261" i="21"/>
  <c r="AR261" i="21" s="1"/>
  <c r="AO261" i="21"/>
  <c r="AP261" i="21" s="1"/>
  <c r="AM261" i="21"/>
  <c r="AK261" i="21"/>
  <c r="AL261" i="21" s="1"/>
  <c r="AG261" i="21"/>
  <c r="AH261" i="21" s="1"/>
  <c r="AE261" i="21"/>
  <c r="AF261" i="21" s="1"/>
  <c r="AC261" i="21"/>
  <c r="AD261" i="21" s="1"/>
  <c r="AA261" i="21"/>
  <c r="AB261" i="21" s="1"/>
  <c r="W261" i="21"/>
  <c r="X261" i="21" s="1"/>
  <c r="U261" i="21"/>
  <c r="V261" i="21" s="1"/>
  <c r="S261" i="21"/>
  <c r="Q261" i="21"/>
  <c r="R261" i="21" s="1"/>
  <c r="P261" i="21"/>
  <c r="O261" i="21"/>
  <c r="N261" i="21"/>
  <c r="M261" i="21"/>
  <c r="L261" i="21"/>
  <c r="K261" i="21"/>
  <c r="J261" i="21"/>
  <c r="I261" i="21"/>
  <c r="H261" i="21"/>
  <c r="G261" i="21"/>
  <c r="F261" i="21"/>
  <c r="E261" i="21"/>
  <c r="D261" i="21"/>
  <c r="C261" i="21"/>
  <c r="B261" i="21"/>
  <c r="A261" i="21"/>
  <c r="BG260" i="21"/>
  <c r="BH260" i="21" s="1"/>
  <c r="BE260" i="21"/>
  <c r="BF260" i="21" s="1"/>
  <c r="AW260" i="21"/>
  <c r="AU260" i="21"/>
  <c r="AV260" i="21" s="1"/>
  <c r="AS260" i="21"/>
  <c r="AT260" i="21" s="1"/>
  <c r="AQ260" i="21"/>
  <c r="AO260" i="21"/>
  <c r="AP260" i="21" s="1"/>
  <c r="AM260" i="21"/>
  <c r="AN260" i="21" s="1"/>
  <c r="AK260" i="21"/>
  <c r="AL260" i="21" s="1"/>
  <c r="AG260" i="21"/>
  <c r="AH260" i="21" s="1"/>
  <c r="AE260" i="21"/>
  <c r="AF260" i="21" s="1"/>
  <c r="AC260" i="21"/>
  <c r="AD260" i="21" s="1"/>
  <c r="AA260" i="21"/>
  <c r="AB260" i="21" s="1"/>
  <c r="W260" i="21"/>
  <c r="U260" i="21"/>
  <c r="V260" i="21" s="1"/>
  <c r="S260" i="21"/>
  <c r="T260" i="21" s="1"/>
  <c r="Q260" i="21"/>
  <c r="R260" i="21" s="1"/>
  <c r="P260" i="21"/>
  <c r="O260" i="21"/>
  <c r="N260" i="21"/>
  <c r="M260" i="21"/>
  <c r="L260" i="21"/>
  <c r="K260" i="21"/>
  <c r="J260" i="21"/>
  <c r="I260" i="21"/>
  <c r="H260" i="21"/>
  <c r="G260" i="21"/>
  <c r="F260" i="21"/>
  <c r="E260" i="21"/>
  <c r="D260" i="21"/>
  <c r="C260" i="21"/>
  <c r="B260" i="21"/>
  <c r="A260" i="21"/>
  <c r="BG259" i="21"/>
  <c r="BH259" i="21" s="1"/>
  <c r="BE259" i="21"/>
  <c r="AW259" i="21"/>
  <c r="AX259" i="21" s="1"/>
  <c r="AU259" i="21"/>
  <c r="AS259" i="21"/>
  <c r="AT259" i="21" s="1"/>
  <c r="AQ259" i="21"/>
  <c r="AR259" i="21" s="1"/>
  <c r="AO259" i="21"/>
  <c r="AP259" i="21" s="1"/>
  <c r="AM259" i="21"/>
  <c r="AN259" i="21" s="1"/>
  <c r="AK259" i="21"/>
  <c r="AL259" i="21" s="1"/>
  <c r="AG259" i="21"/>
  <c r="AH259" i="21" s="1"/>
  <c r="AE259" i="21"/>
  <c r="AF259" i="21" s="1"/>
  <c r="AC259" i="21"/>
  <c r="AA259" i="21"/>
  <c r="AB259" i="21" s="1"/>
  <c r="W259" i="21"/>
  <c r="X259" i="21" s="1"/>
  <c r="U259" i="21"/>
  <c r="V259" i="21" s="1"/>
  <c r="S259" i="21"/>
  <c r="T259" i="21" s="1"/>
  <c r="Q259" i="21"/>
  <c r="P259" i="21"/>
  <c r="O259" i="21"/>
  <c r="N259" i="21"/>
  <c r="M259" i="21"/>
  <c r="L259" i="21"/>
  <c r="K259" i="21"/>
  <c r="J259" i="21"/>
  <c r="I259" i="21"/>
  <c r="H259" i="21"/>
  <c r="G259" i="21"/>
  <c r="F259" i="21"/>
  <c r="E259" i="21"/>
  <c r="D259" i="21"/>
  <c r="C259" i="21"/>
  <c r="B259" i="21"/>
  <c r="A259" i="21"/>
  <c r="BG258" i="21"/>
  <c r="BH258" i="21" s="1"/>
  <c r="BE258" i="21"/>
  <c r="BF258" i="21" s="1"/>
  <c r="AW258" i="21"/>
  <c r="AX258" i="21" s="1"/>
  <c r="AU258" i="21"/>
  <c r="AV258" i="21" s="1"/>
  <c r="AS258" i="21"/>
  <c r="AT258" i="21" s="1"/>
  <c r="AQ258" i="21"/>
  <c r="AR258" i="21" s="1"/>
  <c r="AO258" i="21"/>
  <c r="AP258" i="21" s="1"/>
  <c r="AM258" i="21"/>
  <c r="AN258" i="21" s="1"/>
  <c r="AK258" i="21"/>
  <c r="AL258" i="21" s="1"/>
  <c r="AG258" i="21"/>
  <c r="AE258" i="21"/>
  <c r="AF258" i="21" s="1"/>
  <c r="AC258" i="21"/>
  <c r="AD258" i="21" s="1"/>
  <c r="AA258" i="21"/>
  <c r="AB258" i="21" s="1"/>
  <c r="W258" i="21"/>
  <c r="X258" i="21" s="1"/>
  <c r="U258" i="21"/>
  <c r="S258" i="21"/>
  <c r="T258" i="21" s="1"/>
  <c r="Q258" i="21"/>
  <c r="R258" i="21" s="1"/>
  <c r="P258" i="21"/>
  <c r="O258" i="21"/>
  <c r="N258" i="21"/>
  <c r="M258" i="21"/>
  <c r="L258" i="21"/>
  <c r="K258" i="21"/>
  <c r="J258" i="21"/>
  <c r="I258" i="21"/>
  <c r="H258" i="21"/>
  <c r="G258" i="21"/>
  <c r="F258" i="21"/>
  <c r="E258" i="21"/>
  <c r="D258" i="21"/>
  <c r="C258" i="21"/>
  <c r="B258" i="21"/>
  <c r="A258" i="21"/>
  <c r="BG257" i="21"/>
  <c r="BE257" i="21"/>
  <c r="BF257" i="21" s="1"/>
  <c r="AW257" i="21"/>
  <c r="AX257" i="21" s="1"/>
  <c r="AU257" i="21"/>
  <c r="AV257" i="21" s="1"/>
  <c r="AS257" i="21"/>
  <c r="AT257" i="21" s="1"/>
  <c r="AQ257" i="21"/>
  <c r="AR257" i="21" s="1"/>
  <c r="AO257" i="21"/>
  <c r="AP257" i="21" s="1"/>
  <c r="AM257" i="21"/>
  <c r="AK257" i="21"/>
  <c r="AL257" i="21" s="1"/>
  <c r="AG257" i="21"/>
  <c r="AH257" i="21" s="1"/>
  <c r="AE257" i="21"/>
  <c r="AF257" i="21" s="1"/>
  <c r="AC257" i="21"/>
  <c r="AD257" i="21" s="1"/>
  <c r="AA257" i="21"/>
  <c r="W257" i="21"/>
  <c r="X257" i="21" s="1"/>
  <c r="U257" i="21"/>
  <c r="V257" i="21" s="1"/>
  <c r="S257" i="21"/>
  <c r="Q257" i="21"/>
  <c r="R257" i="21" s="1"/>
  <c r="P257" i="21"/>
  <c r="O257" i="21"/>
  <c r="N257" i="21"/>
  <c r="M257" i="21"/>
  <c r="L257" i="21"/>
  <c r="K257" i="21"/>
  <c r="J257" i="21"/>
  <c r="I257" i="21"/>
  <c r="H257" i="21"/>
  <c r="G257" i="21"/>
  <c r="F257" i="21"/>
  <c r="E257" i="21"/>
  <c r="D257" i="21"/>
  <c r="C257" i="21"/>
  <c r="B257" i="21"/>
  <c r="A257" i="21"/>
  <c r="BG256" i="21"/>
  <c r="BH256" i="21" s="1"/>
  <c r="BE256" i="21"/>
  <c r="BF256" i="21" s="1"/>
  <c r="AW256" i="21"/>
  <c r="AX256" i="21" s="1"/>
  <c r="AU256" i="21"/>
  <c r="AV256" i="21" s="1"/>
  <c r="AS256" i="21"/>
  <c r="AT256" i="21" s="1"/>
  <c r="AQ256" i="21"/>
  <c r="AO256" i="21"/>
  <c r="AP256" i="21" s="1"/>
  <c r="AM256" i="21"/>
  <c r="AN256" i="21" s="1"/>
  <c r="AK256" i="21"/>
  <c r="AL256" i="21" s="1"/>
  <c r="AG256" i="21"/>
  <c r="AH256" i="21" s="1"/>
  <c r="AE256" i="21"/>
  <c r="AC256" i="21"/>
  <c r="AD256" i="21" s="1"/>
  <c r="AA256" i="21"/>
  <c r="AB256" i="21" s="1"/>
  <c r="W256" i="21"/>
  <c r="U256" i="21"/>
  <c r="V256" i="21" s="1"/>
  <c r="S256" i="21"/>
  <c r="T256" i="21" s="1"/>
  <c r="Q256" i="21"/>
  <c r="R256" i="21" s="1"/>
  <c r="P256" i="21"/>
  <c r="O256" i="21"/>
  <c r="N256" i="21"/>
  <c r="M256" i="21"/>
  <c r="L256" i="21"/>
  <c r="K256" i="21"/>
  <c r="J256" i="21"/>
  <c r="I256" i="21"/>
  <c r="H256" i="21"/>
  <c r="G256" i="21"/>
  <c r="F256" i="21"/>
  <c r="E256" i="21"/>
  <c r="D256" i="21"/>
  <c r="C256" i="21"/>
  <c r="B256" i="21"/>
  <c r="A256" i="21"/>
  <c r="BG255" i="21"/>
  <c r="BH255" i="21" s="1"/>
  <c r="BE255" i="21"/>
  <c r="BF255" i="21" s="1"/>
  <c r="AW255" i="21"/>
  <c r="AX255" i="21" s="1"/>
  <c r="AU255" i="21"/>
  <c r="AS255" i="21"/>
  <c r="AT255" i="21" s="1"/>
  <c r="AQ255" i="21"/>
  <c r="AR255" i="21" s="1"/>
  <c r="AO255" i="21"/>
  <c r="AP255" i="21" s="1"/>
  <c r="AM255" i="21"/>
  <c r="AN255" i="21" s="1"/>
  <c r="AK255" i="21"/>
  <c r="AG255" i="21"/>
  <c r="AH255" i="21" s="1"/>
  <c r="AE255" i="21"/>
  <c r="AF255" i="21" s="1"/>
  <c r="AC255" i="21"/>
  <c r="AA255" i="21"/>
  <c r="AB255" i="21" s="1"/>
  <c r="W255" i="21"/>
  <c r="X255" i="21" s="1"/>
  <c r="U255" i="21"/>
  <c r="V255" i="21" s="1"/>
  <c r="S255" i="21"/>
  <c r="T255" i="21" s="1"/>
  <c r="Q255" i="21"/>
  <c r="R255" i="21" s="1"/>
  <c r="P255" i="21"/>
  <c r="O255" i="21"/>
  <c r="N255" i="21"/>
  <c r="M255" i="21"/>
  <c r="L255" i="21"/>
  <c r="K255" i="21"/>
  <c r="J255" i="21"/>
  <c r="I255" i="21"/>
  <c r="H255" i="21"/>
  <c r="G255" i="21"/>
  <c r="F255" i="21"/>
  <c r="E255" i="21"/>
  <c r="D255" i="21"/>
  <c r="C255" i="21"/>
  <c r="B255" i="21"/>
  <c r="A255" i="21"/>
  <c r="BG254" i="21"/>
  <c r="BH254" i="21" s="1"/>
  <c r="BE254" i="21"/>
  <c r="BF254" i="21" s="1"/>
  <c r="AW254" i="21"/>
  <c r="AX254" i="21" s="1"/>
  <c r="AU254" i="21"/>
  <c r="AV254" i="21" s="1"/>
  <c r="AS254" i="21"/>
  <c r="AT254" i="21" s="1"/>
  <c r="AQ254" i="21"/>
  <c r="AR254" i="21" s="1"/>
  <c r="AO254" i="21"/>
  <c r="AM254" i="21"/>
  <c r="AN254" i="21" s="1"/>
  <c r="AK254" i="21"/>
  <c r="AL254" i="21" s="1"/>
  <c r="AG254" i="21"/>
  <c r="AE254" i="21"/>
  <c r="AF254" i="21" s="1"/>
  <c r="AC254" i="21"/>
  <c r="AD254" i="21" s="1"/>
  <c r="AA254" i="21"/>
  <c r="AB254" i="21" s="1"/>
  <c r="W254" i="21"/>
  <c r="X254" i="21" s="1"/>
  <c r="U254" i="21"/>
  <c r="V254" i="21" s="1"/>
  <c r="S254" i="21"/>
  <c r="T254" i="21" s="1"/>
  <c r="Q254" i="21"/>
  <c r="R254" i="21" s="1"/>
  <c r="P254" i="21"/>
  <c r="O254" i="21"/>
  <c r="N254" i="21"/>
  <c r="M254" i="21"/>
  <c r="L254" i="21"/>
  <c r="K254" i="21"/>
  <c r="J254" i="21"/>
  <c r="I254" i="21"/>
  <c r="H254" i="21"/>
  <c r="G254" i="21"/>
  <c r="F254" i="21"/>
  <c r="E254" i="21"/>
  <c r="D254" i="21"/>
  <c r="C254" i="21"/>
  <c r="B254" i="21"/>
  <c r="A254" i="21"/>
  <c r="BG253" i="21"/>
  <c r="BE253" i="21"/>
  <c r="BF253" i="21" s="1"/>
  <c r="AW253" i="21"/>
  <c r="AX253" i="21" s="1"/>
  <c r="AU253" i="21"/>
  <c r="AV253" i="21" s="1"/>
  <c r="AS253" i="21"/>
  <c r="AQ253" i="21"/>
  <c r="AR253" i="21" s="1"/>
  <c r="AO253" i="21"/>
  <c r="AP253" i="21" s="1"/>
  <c r="AM253" i="21"/>
  <c r="AK253" i="21"/>
  <c r="AL253" i="21" s="1"/>
  <c r="AG253" i="21"/>
  <c r="AH253" i="21" s="1"/>
  <c r="AE253" i="21"/>
  <c r="AF253" i="21" s="1"/>
  <c r="AC253" i="21"/>
  <c r="AD253" i="21" s="1"/>
  <c r="AA253" i="21"/>
  <c r="AB253" i="21" s="1"/>
  <c r="W253" i="21"/>
  <c r="X253" i="21" s="1"/>
  <c r="U253" i="21"/>
  <c r="V253" i="21" s="1"/>
  <c r="S253" i="21"/>
  <c r="Q253" i="21"/>
  <c r="R253" i="21" s="1"/>
  <c r="P253" i="21"/>
  <c r="O253" i="21"/>
  <c r="N253" i="21"/>
  <c r="M253" i="21"/>
  <c r="L253" i="21"/>
  <c r="K253" i="21"/>
  <c r="J253" i="21"/>
  <c r="I253" i="21"/>
  <c r="H253" i="21"/>
  <c r="G253" i="21"/>
  <c r="F253" i="21"/>
  <c r="E253" i="21"/>
  <c r="D253" i="21"/>
  <c r="C253" i="21"/>
  <c r="B253" i="21"/>
  <c r="A253" i="21"/>
  <c r="BG252" i="21"/>
  <c r="BH252" i="21" s="1"/>
  <c r="BE252" i="21"/>
  <c r="BF252" i="21" s="1"/>
  <c r="AW252" i="21"/>
  <c r="AU252" i="21"/>
  <c r="AV252" i="21" s="1"/>
  <c r="AS252" i="21"/>
  <c r="AT252" i="21" s="1"/>
  <c r="AQ252" i="21"/>
  <c r="AO252" i="21"/>
  <c r="AP252" i="21" s="1"/>
  <c r="AM252" i="21"/>
  <c r="AN252" i="21" s="1"/>
  <c r="AK252" i="21"/>
  <c r="AL252" i="21" s="1"/>
  <c r="AG252" i="21"/>
  <c r="AH252" i="21" s="1"/>
  <c r="AE252" i="21"/>
  <c r="AF252" i="21" s="1"/>
  <c r="AC252" i="21"/>
  <c r="AD252" i="21" s="1"/>
  <c r="AA252" i="21"/>
  <c r="AB252" i="21" s="1"/>
  <c r="W252" i="21"/>
  <c r="U252" i="21"/>
  <c r="V252" i="21" s="1"/>
  <c r="S252" i="21"/>
  <c r="T252" i="21" s="1"/>
  <c r="Q252" i="21"/>
  <c r="R252" i="21" s="1"/>
  <c r="P252" i="21"/>
  <c r="O252" i="21"/>
  <c r="N252" i="21"/>
  <c r="M252" i="21"/>
  <c r="L252" i="21"/>
  <c r="K252" i="21"/>
  <c r="J252" i="21"/>
  <c r="I252" i="21"/>
  <c r="H252" i="21"/>
  <c r="G252" i="21"/>
  <c r="F252" i="21"/>
  <c r="E252" i="21"/>
  <c r="D252" i="21"/>
  <c r="C252" i="21"/>
  <c r="B252" i="21"/>
  <c r="A252" i="21"/>
  <c r="BG251" i="21"/>
  <c r="BH251" i="21" s="1"/>
  <c r="BE251" i="21"/>
  <c r="AW251" i="21"/>
  <c r="AX251" i="21" s="1"/>
  <c r="AU251" i="21"/>
  <c r="AS251" i="21"/>
  <c r="AT251" i="21" s="1"/>
  <c r="AQ251" i="21"/>
  <c r="AR251" i="21" s="1"/>
  <c r="AO251" i="21"/>
  <c r="AP251" i="21" s="1"/>
  <c r="AM251" i="21"/>
  <c r="AN251" i="21" s="1"/>
  <c r="AK251" i="21"/>
  <c r="AL251" i="21" s="1"/>
  <c r="AG251" i="21"/>
  <c r="AH251" i="21" s="1"/>
  <c r="AE251" i="21"/>
  <c r="AF251" i="21" s="1"/>
  <c r="AC251" i="21"/>
  <c r="AA251" i="21"/>
  <c r="AB251" i="21" s="1"/>
  <c r="W251" i="21"/>
  <c r="X251" i="21" s="1"/>
  <c r="U251" i="21"/>
  <c r="V251" i="21" s="1"/>
  <c r="S251" i="21"/>
  <c r="T251" i="21" s="1"/>
  <c r="Q251" i="21"/>
  <c r="P251" i="21"/>
  <c r="O251" i="21"/>
  <c r="N251" i="21"/>
  <c r="M251" i="21"/>
  <c r="L251" i="21"/>
  <c r="K251" i="21"/>
  <c r="J251" i="21"/>
  <c r="I251" i="21"/>
  <c r="H251" i="21"/>
  <c r="G251" i="21"/>
  <c r="F251" i="21"/>
  <c r="E251" i="21"/>
  <c r="D251" i="21"/>
  <c r="C251" i="21"/>
  <c r="B251" i="21"/>
  <c r="A251" i="21"/>
  <c r="BG250" i="21"/>
  <c r="BH250" i="21" s="1"/>
  <c r="BE250" i="21"/>
  <c r="BF250" i="21" s="1"/>
  <c r="AW250" i="21"/>
  <c r="AX250" i="21" s="1"/>
  <c r="AU250" i="21"/>
  <c r="AV250" i="21" s="1"/>
  <c r="AS250" i="21"/>
  <c r="AT250" i="21" s="1"/>
  <c r="AQ250" i="21"/>
  <c r="AR250" i="21" s="1"/>
  <c r="AO250" i="21"/>
  <c r="AP250" i="21" s="1"/>
  <c r="AM250" i="21"/>
  <c r="AN250" i="21" s="1"/>
  <c r="AK250" i="21"/>
  <c r="AL250" i="21" s="1"/>
  <c r="AG250" i="21"/>
  <c r="AE250" i="21"/>
  <c r="AF250" i="21" s="1"/>
  <c r="AC250" i="21"/>
  <c r="AD250" i="21" s="1"/>
  <c r="AA250" i="21"/>
  <c r="AB250" i="21" s="1"/>
  <c r="W250" i="21"/>
  <c r="X250" i="21" s="1"/>
  <c r="U250" i="21"/>
  <c r="S250" i="21"/>
  <c r="T250" i="21" s="1"/>
  <c r="Q250" i="21"/>
  <c r="R250" i="21" s="1"/>
  <c r="P250" i="21"/>
  <c r="O250" i="21"/>
  <c r="N250" i="21"/>
  <c r="M250" i="21"/>
  <c r="L250" i="21"/>
  <c r="K250" i="21"/>
  <c r="J250" i="21"/>
  <c r="I250" i="21"/>
  <c r="H250" i="21"/>
  <c r="G250" i="21"/>
  <c r="F250" i="21"/>
  <c r="E250" i="21"/>
  <c r="D250" i="21"/>
  <c r="C250" i="21"/>
  <c r="B250" i="21"/>
  <c r="A250" i="21"/>
  <c r="BG249" i="21"/>
  <c r="BE249" i="21"/>
  <c r="BF249" i="21" s="1"/>
  <c r="AW249" i="21"/>
  <c r="AX249" i="21" s="1"/>
  <c r="AU249" i="21"/>
  <c r="AV249" i="21" s="1"/>
  <c r="AS249" i="21"/>
  <c r="AT249" i="21" s="1"/>
  <c r="AQ249" i="21"/>
  <c r="AR249" i="21" s="1"/>
  <c r="AO249" i="21"/>
  <c r="AP249" i="21" s="1"/>
  <c r="AM249" i="21"/>
  <c r="AK249" i="21"/>
  <c r="AL249" i="21" s="1"/>
  <c r="AG249" i="21"/>
  <c r="AH249" i="21" s="1"/>
  <c r="AE249" i="21"/>
  <c r="AF249" i="21" s="1"/>
  <c r="AC249" i="21"/>
  <c r="AD249" i="21" s="1"/>
  <c r="AA249" i="21"/>
  <c r="W249" i="21"/>
  <c r="X249" i="21" s="1"/>
  <c r="U249" i="21"/>
  <c r="V249" i="21" s="1"/>
  <c r="S249" i="21"/>
  <c r="Q249" i="21"/>
  <c r="R249" i="21" s="1"/>
  <c r="P249" i="21"/>
  <c r="O249" i="21"/>
  <c r="N249" i="21"/>
  <c r="M249" i="21"/>
  <c r="L249" i="21"/>
  <c r="K249" i="21"/>
  <c r="J249" i="21"/>
  <c r="I249" i="21"/>
  <c r="H249" i="21"/>
  <c r="G249" i="21"/>
  <c r="F249" i="21"/>
  <c r="E249" i="21"/>
  <c r="D249" i="21"/>
  <c r="C249" i="21"/>
  <c r="B249" i="21"/>
  <c r="A249" i="21"/>
  <c r="BG248" i="21"/>
  <c r="BH248" i="21" s="1"/>
  <c r="BE248" i="21"/>
  <c r="BF248" i="21" s="1"/>
  <c r="AW248" i="21"/>
  <c r="AX248" i="21" s="1"/>
  <c r="AU248" i="21"/>
  <c r="AV248" i="21" s="1"/>
  <c r="AS248" i="21"/>
  <c r="AT248" i="21" s="1"/>
  <c r="AQ248" i="21"/>
  <c r="AO248" i="21"/>
  <c r="AP248" i="21" s="1"/>
  <c r="AM248" i="21"/>
  <c r="AN248" i="21" s="1"/>
  <c r="AK248" i="21"/>
  <c r="AL248" i="21" s="1"/>
  <c r="AG248" i="21"/>
  <c r="AH248" i="21" s="1"/>
  <c r="AE248" i="21"/>
  <c r="AC248" i="21"/>
  <c r="AD248" i="21" s="1"/>
  <c r="AA248" i="21"/>
  <c r="AB248" i="21" s="1"/>
  <c r="W248" i="21"/>
  <c r="U248" i="21"/>
  <c r="V248" i="21" s="1"/>
  <c r="S248" i="21"/>
  <c r="T248" i="21" s="1"/>
  <c r="Q248" i="21"/>
  <c r="R248" i="21" s="1"/>
  <c r="P248" i="21"/>
  <c r="O248" i="21"/>
  <c r="N248" i="21"/>
  <c r="M248" i="21"/>
  <c r="L248" i="21"/>
  <c r="K248" i="21"/>
  <c r="J248" i="21"/>
  <c r="I248" i="21"/>
  <c r="H248" i="21"/>
  <c r="G248" i="21"/>
  <c r="F248" i="21"/>
  <c r="E248" i="21"/>
  <c r="D248" i="21"/>
  <c r="C248" i="21"/>
  <c r="B248" i="21"/>
  <c r="A248" i="21"/>
  <c r="BG247" i="21"/>
  <c r="BH247" i="21" s="1"/>
  <c r="BE247" i="21"/>
  <c r="BF247" i="21" s="1"/>
  <c r="AW247" i="21"/>
  <c r="AX247" i="21" s="1"/>
  <c r="AU247" i="21"/>
  <c r="AS247" i="21"/>
  <c r="AT247" i="21" s="1"/>
  <c r="AQ247" i="21"/>
  <c r="AR247" i="21" s="1"/>
  <c r="AO247" i="21"/>
  <c r="AP247" i="21" s="1"/>
  <c r="AM247" i="21"/>
  <c r="AN247" i="21" s="1"/>
  <c r="AK247" i="21"/>
  <c r="AG247" i="21"/>
  <c r="AH247" i="21" s="1"/>
  <c r="AE247" i="21"/>
  <c r="AF247" i="21" s="1"/>
  <c r="AC247" i="21"/>
  <c r="AA247" i="21"/>
  <c r="AB247" i="21" s="1"/>
  <c r="W247" i="21"/>
  <c r="X247" i="21" s="1"/>
  <c r="U247" i="21"/>
  <c r="V247" i="21" s="1"/>
  <c r="S247" i="21"/>
  <c r="T247" i="21" s="1"/>
  <c r="Q247" i="21"/>
  <c r="P247" i="21"/>
  <c r="O247" i="21"/>
  <c r="N247" i="21"/>
  <c r="M247" i="21"/>
  <c r="L247" i="21"/>
  <c r="K247" i="21"/>
  <c r="J247" i="21"/>
  <c r="I247" i="21"/>
  <c r="H247" i="21"/>
  <c r="G247" i="21"/>
  <c r="F247" i="21"/>
  <c r="E247" i="21"/>
  <c r="D247" i="21"/>
  <c r="C247" i="21"/>
  <c r="B247" i="21"/>
  <c r="A247" i="21"/>
  <c r="BG246" i="21"/>
  <c r="BH246" i="21" s="1"/>
  <c r="BE246" i="21"/>
  <c r="BF246" i="21" s="1"/>
  <c r="AW246" i="21"/>
  <c r="AX246" i="21" s="1"/>
  <c r="AU246" i="21"/>
  <c r="AV246" i="21" s="1"/>
  <c r="AS246" i="21"/>
  <c r="AT246" i="21" s="1"/>
  <c r="AQ246" i="21"/>
  <c r="AR246" i="21" s="1"/>
  <c r="AO246" i="21"/>
  <c r="AM246" i="21"/>
  <c r="AN246" i="21" s="1"/>
  <c r="AK246" i="21"/>
  <c r="AL246" i="21" s="1"/>
  <c r="AG246" i="21"/>
  <c r="AE246" i="21"/>
  <c r="AF246" i="21" s="1"/>
  <c r="AC246" i="21"/>
  <c r="AD246" i="21" s="1"/>
  <c r="AA246" i="21"/>
  <c r="AB246" i="21" s="1"/>
  <c r="W246" i="21"/>
  <c r="X246" i="21" s="1"/>
  <c r="U246" i="21"/>
  <c r="V246" i="21" s="1"/>
  <c r="S246" i="21"/>
  <c r="T246" i="21" s="1"/>
  <c r="Q246" i="21"/>
  <c r="R246" i="21" s="1"/>
  <c r="P246" i="21"/>
  <c r="O246" i="21"/>
  <c r="N246" i="21"/>
  <c r="M246" i="21"/>
  <c r="L246" i="21"/>
  <c r="K246" i="21"/>
  <c r="J246" i="21"/>
  <c r="I246" i="21"/>
  <c r="H246" i="21"/>
  <c r="G246" i="21"/>
  <c r="F246" i="21"/>
  <c r="E246" i="21"/>
  <c r="D246" i="21"/>
  <c r="C246" i="21"/>
  <c r="B246" i="21"/>
  <c r="A246" i="21"/>
  <c r="BG245" i="21"/>
  <c r="BE245" i="21"/>
  <c r="BF245" i="21" s="1"/>
  <c r="AW245" i="21"/>
  <c r="AX245" i="21" s="1"/>
  <c r="AU245" i="21"/>
  <c r="AV245" i="21" s="1"/>
  <c r="AS245" i="21"/>
  <c r="AQ245" i="21"/>
  <c r="AR245" i="21" s="1"/>
  <c r="AO245" i="21"/>
  <c r="AP245" i="21" s="1"/>
  <c r="AM245" i="21"/>
  <c r="AK245" i="21"/>
  <c r="AL245" i="21" s="1"/>
  <c r="AG245" i="21"/>
  <c r="AH245" i="21" s="1"/>
  <c r="AE245" i="21"/>
  <c r="AF245" i="21" s="1"/>
  <c r="AC245" i="21"/>
  <c r="AD245" i="21" s="1"/>
  <c r="AA245" i="21"/>
  <c r="AB245" i="21" s="1"/>
  <c r="W245" i="21"/>
  <c r="X245" i="21" s="1"/>
  <c r="U245" i="21"/>
  <c r="V245" i="21" s="1"/>
  <c r="S245" i="21"/>
  <c r="Q245" i="21"/>
  <c r="R245" i="21" s="1"/>
  <c r="P245" i="21"/>
  <c r="O245" i="21"/>
  <c r="N245" i="21"/>
  <c r="M245" i="21"/>
  <c r="L245" i="21"/>
  <c r="K245" i="21"/>
  <c r="J245" i="21"/>
  <c r="I245" i="21"/>
  <c r="H245" i="21"/>
  <c r="G245" i="21"/>
  <c r="F245" i="21"/>
  <c r="E245" i="21"/>
  <c r="D245" i="21"/>
  <c r="C245" i="21"/>
  <c r="B245" i="21"/>
  <c r="A245" i="21"/>
  <c r="BG244" i="21"/>
  <c r="BH244" i="21" s="1"/>
  <c r="BE244" i="21"/>
  <c r="BF244" i="21" s="1"/>
  <c r="AW244" i="21"/>
  <c r="AU244" i="21"/>
  <c r="AV244" i="21" s="1"/>
  <c r="AS244" i="21"/>
  <c r="AT244" i="21" s="1"/>
  <c r="AQ244" i="21"/>
  <c r="AO244" i="21"/>
  <c r="AP244" i="21" s="1"/>
  <c r="AM244" i="21"/>
  <c r="AN244" i="21" s="1"/>
  <c r="AK244" i="21"/>
  <c r="AL244" i="21" s="1"/>
  <c r="AG244" i="21"/>
  <c r="AH244" i="21" s="1"/>
  <c r="AE244" i="21"/>
  <c r="AF244" i="21" s="1"/>
  <c r="AC244" i="21"/>
  <c r="AD244" i="21" s="1"/>
  <c r="AA244" i="21"/>
  <c r="AB244" i="21" s="1"/>
  <c r="W244" i="21"/>
  <c r="U244" i="21"/>
  <c r="V244" i="21" s="1"/>
  <c r="S244" i="21"/>
  <c r="T244" i="21" s="1"/>
  <c r="Q244" i="21"/>
  <c r="R244" i="21" s="1"/>
  <c r="P244" i="21"/>
  <c r="O244" i="21"/>
  <c r="N244" i="21"/>
  <c r="M244" i="21"/>
  <c r="L244" i="21"/>
  <c r="K244" i="21"/>
  <c r="J244" i="21"/>
  <c r="I244" i="21"/>
  <c r="H244" i="21"/>
  <c r="G244" i="21"/>
  <c r="F244" i="21"/>
  <c r="E244" i="21"/>
  <c r="D244" i="21"/>
  <c r="C244" i="21"/>
  <c r="B244" i="21"/>
  <c r="A244" i="21"/>
  <c r="BG243" i="21"/>
  <c r="BH243" i="21" s="1"/>
  <c r="BE243" i="21"/>
  <c r="BF243" i="21" s="1"/>
  <c r="AW243" i="21"/>
  <c r="AX243" i="21" s="1"/>
  <c r="AU243" i="21"/>
  <c r="AV243" i="21" s="1"/>
  <c r="AS243" i="21"/>
  <c r="AT243" i="21" s="1"/>
  <c r="AQ243" i="21"/>
  <c r="AR243" i="21" s="1"/>
  <c r="AO243" i="21"/>
  <c r="AP243" i="21" s="1"/>
  <c r="AM243" i="21"/>
  <c r="AN243" i="21" s="1"/>
  <c r="BB243" i="21" s="1"/>
  <c r="AK243" i="21"/>
  <c r="AL243" i="21" s="1"/>
  <c r="AG243" i="21"/>
  <c r="AH243" i="21" s="1"/>
  <c r="AE243" i="21"/>
  <c r="AC243" i="21"/>
  <c r="AA243" i="21"/>
  <c r="AB243" i="21" s="1"/>
  <c r="W243" i="21"/>
  <c r="U243" i="21"/>
  <c r="V243" i="21" s="1"/>
  <c r="S243" i="21"/>
  <c r="T243" i="21" s="1"/>
  <c r="Q243" i="21"/>
  <c r="R243" i="21" s="1"/>
  <c r="P243" i="21"/>
  <c r="O243" i="21"/>
  <c r="N243" i="21"/>
  <c r="M243" i="21"/>
  <c r="L243" i="21"/>
  <c r="K243" i="21"/>
  <c r="J243" i="21"/>
  <c r="I243" i="21"/>
  <c r="H243" i="21"/>
  <c r="G243" i="21"/>
  <c r="F243" i="21"/>
  <c r="E243" i="21"/>
  <c r="D243" i="21"/>
  <c r="C243" i="21"/>
  <c r="B243" i="21"/>
  <c r="A243" i="21"/>
  <c r="BG242" i="21"/>
  <c r="BH242" i="21" s="1"/>
  <c r="BE242" i="21"/>
  <c r="BF242" i="21" s="1"/>
  <c r="AW242" i="21"/>
  <c r="AX242" i="21" s="1"/>
  <c r="AU242" i="21"/>
  <c r="AV242" i="21" s="1"/>
  <c r="AS242" i="21"/>
  <c r="AT242" i="21" s="1"/>
  <c r="AQ242" i="21"/>
  <c r="AR242" i="21" s="1"/>
  <c r="AO242" i="21"/>
  <c r="AP242" i="21" s="1"/>
  <c r="AM242" i="21"/>
  <c r="AN242" i="21" s="1"/>
  <c r="AK242" i="21"/>
  <c r="AL242" i="21" s="1"/>
  <c r="AG242" i="21"/>
  <c r="AE242" i="21"/>
  <c r="AF242" i="21" s="1"/>
  <c r="AC242" i="21"/>
  <c r="AA242" i="21"/>
  <c r="AB242" i="21" s="1"/>
  <c r="W242" i="21"/>
  <c r="X242" i="21" s="1"/>
  <c r="U242" i="21"/>
  <c r="V242" i="21" s="1"/>
  <c r="S242" i="21"/>
  <c r="T242" i="21" s="1"/>
  <c r="Q242" i="21"/>
  <c r="R242" i="21" s="1"/>
  <c r="P242" i="21"/>
  <c r="O242" i="21"/>
  <c r="N242" i="21"/>
  <c r="M242" i="21"/>
  <c r="L242" i="21"/>
  <c r="K242" i="21"/>
  <c r="J242" i="21"/>
  <c r="I242" i="21"/>
  <c r="H242" i="21"/>
  <c r="G242" i="21"/>
  <c r="F242" i="21"/>
  <c r="E242" i="21"/>
  <c r="D242" i="21"/>
  <c r="C242" i="21"/>
  <c r="B242" i="21"/>
  <c r="A242" i="21"/>
  <c r="BG241" i="21"/>
  <c r="BH241" i="21" s="1"/>
  <c r="BE241" i="21"/>
  <c r="BF241" i="21" s="1"/>
  <c r="AW241" i="21"/>
  <c r="AX241" i="21" s="1"/>
  <c r="AU241" i="21"/>
  <c r="AV241" i="21" s="1"/>
  <c r="AS241" i="21"/>
  <c r="AT241" i="21" s="1"/>
  <c r="AQ241" i="21"/>
  <c r="AR241" i="21" s="1"/>
  <c r="AO241" i="21"/>
  <c r="AP241" i="21" s="1"/>
  <c r="AM241" i="21"/>
  <c r="AK241" i="21"/>
  <c r="AL241" i="21" s="1"/>
  <c r="AG241" i="21"/>
  <c r="AE241" i="21"/>
  <c r="AF241" i="21" s="1"/>
  <c r="AC241" i="21"/>
  <c r="AD241" i="21" s="1"/>
  <c r="AA241" i="21"/>
  <c r="AB241" i="21" s="1"/>
  <c r="W241" i="21"/>
  <c r="X241" i="21" s="1"/>
  <c r="U241" i="21"/>
  <c r="S241" i="21"/>
  <c r="T241" i="21" s="1"/>
  <c r="Q241" i="21"/>
  <c r="R241" i="21" s="1"/>
  <c r="P241" i="21"/>
  <c r="O241" i="21"/>
  <c r="N241" i="21"/>
  <c r="M241" i="21"/>
  <c r="L241" i="21"/>
  <c r="K241" i="21"/>
  <c r="J241" i="21"/>
  <c r="I241" i="21"/>
  <c r="H241" i="21"/>
  <c r="G241" i="21"/>
  <c r="F241" i="21"/>
  <c r="E241" i="21"/>
  <c r="D241" i="21"/>
  <c r="C241" i="21"/>
  <c r="B241" i="21"/>
  <c r="A241" i="21"/>
  <c r="BG240" i="21"/>
  <c r="BE240" i="21"/>
  <c r="BF240" i="21" s="1"/>
  <c r="AW240" i="21"/>
  <c r="AU240" i="21"/>
  <c r="AV240" i="21" s="1"/>
  <c r="AS240" i="21"/>
  <c r="AQ240" i="21"/>
  <c r="AR240" i="21" s="1"/>
  <c r="AO240" i="21"/>
  <c r="AP240" i="21" s="1"/>
  <c r="AM240" i="21"/>
  <c r="AK240" i="21"/>
  <c r="AL240" i="21" s="1"/>
  <c r="AG240" i="21"/>
  <c r="AH240" i="21" s="1"/>
  <c r="AE240" i="21"/>
  <c r="AF240" i="21" s="1"/>
  <c r="AC240" i="21"/>
  <c r="AD240" i="21" s="1"/>
  <c r="AA240" i="21"/>
  <c r="W240" i="21"/>
  <c r="X240" i="21" s="1"/>
  <c r="U240" i="21"/>
  <c r="V240" i="21" s="1"/>
  <c r="S240" i="21"/>
  <c r="Q240" i="21"/>
  <c r="R240" i="21" s="1"/>
  <c r="P240" i="21"/>
  <c r="O240" i="21"/>
  <c r="N240" i="21"/>
  <c r="M240" i="21"/>
  <c r="L240" i="21"/>
  <c r="K240" i="21"/>
  <c r="J240" i="21"/>
  <c r="I240" i="21"/>
  <c r="H240" i="21"/>
  <c r="G240" i="21"/>
  <c r="F240" i="21"/>
  <c r="E240" i="21"/>
  <c r="D240" i="21"/>
  <c r="C240" i="21"/>
  <c r="B240" i="21"/>
  <c r="A240" i="21"/>
  <c r="BG239" i="21"/>
  <c r="BH239" i="21" s="1"/>
  <c r="BE239" i="21"/>
  <c r="BF239" i="21" s="1"/>
  <c r="AW239" i="21"/>
  <c r="AX239" i="21" s="1"/>
  <c r="AU239" i="21"/>
  <c r="AV239" i="21" s="1"/>
  <c r="AS239" i="21"/>
  <c r="AT239" i="21" s="1"/>
  <c r="AQ239" i="21"/>
  <c r="AO239" i="21"/>
  <c r="AP239" i="21" s="1"/>
  <c r="AM239" i="21"/>
  <c r="AN239" i="21" s="1"/>
  <c r="AK239" i="21"/>
  <c r="AL239" i="21" s="1"/>
  <c r="AG239" i="21"/>
  <c r="AH239" i="21" s="1"/>
  <c r="AE239" i="21"/>
  <c r="AC239" i="21"/>
  <c r="AD239" i="21" s="1"/>
  <c r="AA239" i="21"/>
  <c r="AB239" i="21" s="1"/>
  <c r="W239" i="21"/>
  <c r="U239" i="21"/>
  <c r="V239" i="21" s="1"/>
  <c r="S239" i="21"/>
  <c r="T239" i="21" s="1"/>
  <c r="Q239" i="21"/>
  <c r="R239" i="21" s="1"/>
  <c r="P239" i="21"/>
  <c r="O239" i="21"/>
  <c r="N239" i="21"/>
  <c r="M239" i="21"/>
  <c r="L239" i="21"/>
  <c r="K239" i="21"/>
  <c r="J239" i="21"/>
  <c r="I239" i="21"/>
  <c r="H239" i="21"/>
  <c r="G239" i="21"/>
  <c r="F239" i="21"/>
  <c r="E239" i="21"/>
  <c r="D239" i="21"/>
  <c r="C239" i="21"/>
  <c r="B239" i="21"/>
  <c r="A239" i="21"/>
  <c r="BG238" i="21"/>
  <c r="BH238" i="21" s="1"/>
  <c r="BE238" i="21"/>
  <c r="AW238" i="21"/>
  <c r="AX238" i="21" s="1"/>
  <c r="AU238" i="21"/>
  <c r="AS238" i="21"/>
  <c r="AT238" i="21" s="1"/>
  <c r="AQ238" i="21"/>
  <c r="AR238" i="21" s="1"/>
  <c r="AO238" i="21"/>
  <c r="AP238" i="21" s="1"/>
  <c r="AM238" i="21"/>
  <c r="AN238" i="21" s="1"/>
  <c r="AK238" i="21"/>
  <c r="AG238" i="21"/>
  <c r="AH238" i="21" s="1"/>
  <c r="AE238" i="21"/>
  <c r="AF238" i="21" s="1"/>
  <c r="AC238" i="21"/>
  <c r="AA238" i="21"/>
  <c r="AB238" i="21" s="1"/>
  <c r="W238" i="21"/>
  <c r="X238" i="21" s="1"/>
  <c r="U238" i="21"/>
  <c r="V238" i="21" s="1"/>
  <c r="S238" i="21"/>
  <c r="T238" i="21" s="1"/>
  <c r="Q238" i="21"/>
  <c r="P238" i="21"/>
  <c r="O238" i="21"/>
  <c r="N238" i="21"/>
  <c r="M238" i="21"/>
  <c r="L238" i="21"/>
  <c r="K238" i="21"/>
  <c r="J238" i="21"/>
  <c r="I238" i="21"/>
  <c r="H238" i="21"/>
  <c r="G238" i="21"/>
  <c r="F238" i="21"/>
  <c r="E238" i="21"/>
  <c r="D238" i="21"/>
  <c r="C238" i="21"/>
  <c r="B238" i="21"/>
  <c r="A238" i="21"/>
  <c r="BG237" i="21"/>
  <c r="BH237" i="21" s="1"/>
  <c r="BE237" i="21"/>
  <c r="BF237" i="21" s="1"/>
  <c r="AW237" i="21"/>
  <c r="AX237" i="21" s="1"/>
  <c r="AU237" i="21"/>
  <c r="AV237" i="21" s="1"/>
  <c r="AS237" i="21"/>
  <c r="AT237" i="21" s="1"/>
  <c r="AQ237" i="21"/>
  <c r="AR237" i="21" s="1"/>
  <c r="AO237" i="21"/>
  <c r="AM237" i="21"/>
  <c r="AN237" i="21" s="1"/>
  <c r="AK237" i="21"/>
  <c r="AL237" i="21" s="1"/>
  <c r="AG237" i="21"/>
  <c r="AE237" i="21"/>
  <c r="AF237" i="21" s="1"/>
  <c r="AC237" i="21"/>
  <c r="AD237" i="21" s="1"/>
  <c r="AA237" i="21"/>
  <c r="AB237" i="21" s="1"/>
  <c r="W237" i="21"/>
  <c r="X237" i="21" s="1"/>
  <c r="U237" i="21"/>
  <c r="S237" i="21"/>
  <c r="T237" i="21" s="1"/>
  <c r="Q237" i="21"/>
  <c r="R237" i="21" s="1"/>
  <c r="P237" i="21"/>
  <c r="O237" i="21"/>
  <c r="N237" i="21"/>
  <c r="M237" i="21"/>
  <c r="L237" i="21"/>
  <c r="K237" i="21"/>
  <c r="J237" i="21"/>
  <c r="I237" i="21"/>
  <c r="H237" i="21"/>
  <c r="G237" i="21"/>
  <c r="F237" i="21"/>
  <c r="E237" i="21"/>
  <c r="D237" i="21"/>
  <c r="C237" i="21"/>
  <c r="B237" i="21"/>
  <c r="A237" i="21"/>
  <c r="BG236" i="21"/>
  <c r="BE236" i="21"/>
  <c r="BF236" i="21" s="1"/>
  <c r="AW236" i="21"/>
  <c r="AX236" i="21" s="1"/>
  <c r="AU236" i="21"/>
  <c r="AV236" i="21" s="1"/>
  <c r="AS236" i="21"/>
  <c r="AQ236" i="21"/>
  <c r="AR236" i="21" s="1"/>
  <c r="AO236" i="21"/>
  <c r="AP236" i="21" s="1"/>
  <c r="AM236" i="21"/>
  <c r="AK236" i="21"/>
  <c r="AL236" i="21" s="1"/>
  <c r="AG236" i="21"/>
  <c r="AH236" i="21" s="1"/>
  <c r="AE236" i="21"/>
  <c r="AF236" i="21" s="1"/>
  <c r="AC236" i="21"/>
  <c r="AD236" i="21" s="1"/>
  <c r="AA236" i="21"/>
  <c r="W236" i="21"/>
  <c r="X236" i="21" s="1"/>
  <c r="U236" i="21"/>
  <c r="V236" i="21" s="1"/>
  <c r="S236" i="21"/>
  <c r="Q236" i="21"/>
  <c r="R236" i="21" s="1"/>
  <c r="P236" i="21"/>
  <c r="O236" i="21"/>
  <c r="N236" i="21"/>
  <c r="M236" i="21"/>
  <c r="L236" i="21"/>
  <c r="K236" i="21"/>
  <c r="J236" i="21"/>
  <c r="I236" i="21"/>
  <c r="H236" i="21"/>
  <c r="G236" i="21"/>
  <c r="F236" i="21"/>
  <c r="E236" i="21"/>
  <c r="D236" i="21"/>
  <c r="C236" i="21"/>
  <c r="B236" i="21"/>
  <c r="A236" i="21"/>
  <c r="BG235" i="21"/>
  <c r="BH235" i="21" s="1"/>
  <c r="BE235" i="21"/>
  <c r="BF235" i="21" s="1"/>
  <c r="AW235" i="21"/>
  <c r="AX235" i="21" s="1"/>
  <c r="AU235" i="21"/>
  <c r="AV235" i="21" s="1"/>
  <c r="AS235" i="21"/>
  <c r="AT235" i="21" s="1"/>
  <c r="AQ235" i="21"/>
  <c r="AO235" i="21"/>
  <c r="AP235" i="21" s="1"/>
  <c r="AM235" i="21"/>
  <c r="AN235" i="21" s="1"/>
  <c r="AK235" i="21"/>
  <c r="AL235" i="21" s="1"/>
  <c r="AG235" i="21"/>
  <c r="AH235" i="21" s="1"/>
  <c r="AE235" i="21"/>
  <c r="AC235" i="21"/>
  <c r="AD235" i="21" s="1"/>
  <c r="AA235" i="21"/>
  <c r="AB235" i="21" s="1"/>
  <c r="W235" i="21"/>
  <c r="U235" i="21"/>
  <c r="V235" i="21" s="1"/>
  <c r="S235" i="21"/>
  <c r="T235" i="21" s="1"/>
  <c r="Q235" i="21"/>
  <c r="R235" i="21" s="1"/>
  <c r="P235" i="21"/>
  <c r="O235" i="21"/>
  <c r="N235" i="21"/>
  <c r="M235" i="21"/>
  <c r="L235" i="21"/>
  <c r="K235" i="21"/>
  <c r="J235" i="21"/>
  <c r="I235" i="21"/>
  <c r="H235" i="21"/>
  <c r="G235" i="21"/>
  <c r="F235" i="21"/>
  <c r="E235" i="21"/>
  <c r="D235" i="21"/>
  <c r="C235" i="21"/>
  <c r="B235" i="21"/>
  <c r="A235" i="21"/>
  <c r="BG234" i="21"/>
  <c r="BH234" i="21" s="1"/>
  <c r="BE234" i="21"/>
  <c r="BF234" i="21" s="1"/>
  <c r="AW234" i="21"/>
  <c r="AX234" i="21" s="1"/>
  <c r="AU234" i="21"/>
  <c r="AS234" i="21"/>
  <c r="AT234" i="21" s="1"/>
  <c r="AQ234" i="21"/>
  <c r="AR234" i="21" s="1"/>
  <c r="AO234" i="21"/>
  <c r="AP234" i="21" s="1"/>
  <c r="AM234" i="21"/>
  <c r="AN234" i="21" s="1"/>
  <c r="AK234" i="21"/>
  <c r="AG234" i="21"/>
  <c r="AH234" i="21" s="1"/>
  <c r="AE234" i="21"/>
  <c r="AF234" i="21" s="1"/>
  <c r="AC234" i="21"/>
  <c r="AA234" i="21"/>
  <c r="AB234" i="21" s="1"/>
  <c r="W234" i="21"/>
  <c r="X234" i="21" s="1"/>
  <c r="U234" i="21"/>
  <c r="V234" i="21" s="1"/>
  <c r="S234" i="21"/>
  <c r="T234" i="21" s="1"/>
  <c r="Q234" i="21"/>
  <c r="P234" i="21"/>
  <c r="O234" i="21"/>
  <c r="N234" i="21"/>
  <c r="M234" i="21"/>
  <c r="L234" i="21"/>
  <c r="K234" i="21"/>
  <c r="J234" i="21"/>
  <c r="I234" i="21"/>
  <c r="H234" i="21"/>
  <c r="G234" i="21"/>
  <c r="F234" i="21"/>
  <c r="E234" i="21"/>
  <c r="D234" i="21"/>
  <c r="C234" i="21"/>
  <c r="B234" i="21"/>
  <c r="A234" i="21"/>
  <c r="BG233" i="21"/>
  <c r="BH233" i="21" s="1"/>
  <c r="BE233" i="21"/>
  <c r="BF233" i="21" s="1"/>
  <c r="AW233" i="21"/>
  <c r="AX233" i="21" s="1"/>
  <c r="AU233" i="21"/>
  <c r="AV233" i="21" s="1"/>
  <c r="AS233" i="21"/>
  <c r="AT233" i="21" s="1"/>
  <c r="AQ233" i="21"/>
  <c r="AR233" i="21" s="1"/>
  <c r="BB233" i="21" s="1"/>
  <c r="AO233" i="21"/>
  <c r="AM233" i="21"/>
  <c r="AN233" i="21" s="1"/>
  <c r="AK233" i="21"/>
  <c r="AL233" i="21" s="1"/>
  <c r="AG233" i="21"/>
  <c r="AE233" i="21"/>
  <c r="AF233" i="21" s="1"/>
  <c r="AC233" i="21"/>
  <c r="AD233" i="21" s="1"/>
  <c r="AA233" i="21"/>
  <c r="AB233" i="21" s="1"/>
  <c r="W233" i="21"/>
  <c r="X233" i="21" s="1"/>
  <c r="U233" i="21"/>
  <c r="S233" i="21"/>
  <c r="T233" i="21" s="1"/>
  <c r="Q233" i="21"/>
  <c r="R233" i="21" s="1"/>
  <c r="P233" i="21"/>
  <c r="O233" i="21"/>
  <c r="N233" i="21"/>
  <c r="M233" i="21"/>
  <c r="L233" i="21"/>
  <c r="K233" i="21"/>
  <c r="J233" i="21"/>
  <c r="I233" i="21"/>
  <c r="H233" i="21"/>
  <c r="G233" i="21"/>
  <c r="F233" i="21"/>
  <c r="E233" i="21"/>
  <c r="D233" i="21"/>
  <c r="C233" i="21"/>
  <c r="B233" i="21"/>
  <c r="A233" i="21"/>
  <c r="BG232" i="21"/>
  <c r="BE232" i="21"/>
  <c r="BF232" i="21" s="1"/>
  <c r="AW232" i="21"/>
  <c r="AX232" i="21" s="1"/>
  <c r="AU232" i="21"/>
  <c r="AV232" i="21" s="1"/>
  <c r="AS232" i="21"/>
  <c r="AQ232" i="21"/>
  <c r="AR232" i="21" s="1"/>
  <c r="AO232" i="21"/>
  <c r="AP232" i="21" s="1"/>
  <c r="AM232" i="21"/>
  <c r="AK232" i="21"/>
  <c r="AL232" i="21" s="1"/>
  <c r="AG232" i="21"/>
  <c r="AH232" i="21" s="1"/>
  <c r="AE232" i="21"/>
  <c r="AF232" i="21" s="1"/>
  <c r="AC232" i="21"/>
  <c r="AD232" i="21" s="1"/>
  <c r="AA232" i="21"/>
  <c r="AB232" i="21" s="1"/>
  <c r="W232" i="21"/>
  <c r="X232" i="21" s="1"/>
  <c r="U232" i="21"/>
  <c r="V232" i="21" s="1"/>
  <c r="S232" i="21"/>
  <c r="Q232" i="21"/>
  <c r="R232" i="21" s="1"/>
  <c r="P232" i="21"/>
  <c r="O232" i="21"/>
  <c r="N232" i="21"/>
  <c r="M232" i="21"/>
  <c r="L232" i="21"/>
  <c r="K232" i="21"/>
  <c r="J232" i="21"/>
  <c r="I232" i="21"/>
  <c r="H232" i="21"/>
  <c r="G232" i="21"/>
  <c r="F232" i="21"/>
  <c r="E232" i="21"/>
  <c r="D232" i="21"/>
  <c r="C232" i="21"/>
  <c r="B232" i="21"/>
  <c r="A232" i="21"/>
  <c r="BG231" i="21"/>
  <c r="BE231" i="21"/>
  <c r="BF231" i="21" s="1"/>
  <c r="AW231" i="21"/>
  <c r="AU231" i="21"/>
  <c r="AV231" i="21" s="1"/>
  <c r="AS231" i="21"/>
  <c r="AT231" i="21" s="1"/>
  <c r="AQ231" i="21"/>
  <c r="AO231" i="21"/>
  <c r="AP231" i="21" s="1"/>
  <c r="AM231" i="21"/>
  <c r="AN231" i="21" s="1"/>
  <c r="AK231" i="21"/>
  <c r="AL231" i="21" s="1"/>
  <c r="AG231" i="21"/>
  <c r="AH231" i="21" s="1"/>
  <c r="AE231" i="21"/>
  <c r="AF231" i="21" s="1"/>
  <c r="AC231" i="21"/>
  <c r="AD231" i="21" s="1"/>
  <c r="AA231" i="21"/>
  <c r="AB231" i="21" s="1"/>
  <c r="W231" i="21"/>
  <c r="U231" i="21"/>
  <c r="V231" i="21" s="1"/>
  <c r="S231" i="21"/>
  <c r="Q231" i="21"/>
  <c r="R231" i="21" s="1"/>
  <c r="P231" i="21"/>
  <c r="O231" i="21"/>
  <c r="N231" i="21"/>
  <c r="M231" i="21"/>
  <c r="L231" i="21"/>
  <c r="K231" i="21"/>
  <c r="J231" i="21"/>
  <c r="I231" i="21"/>
  <c r="H231" i="21"/>
  <c r="G231" i="21"/>
  <c r="F231" i="21"/>
  <c r="E231" i="21"/>
  <c r="D231" i="21"/>
  <c r="C231" i="21"/>
  <c r="B231" i="21"/>
  <c r="A231" i="21"/>
  <c r="BG230" i="21"/>
  <c r="BH230" i="21" s="1"/>
  <c r="BE230" i="21"/>
  <c r="AW230" i="21"/>
  <c r="AX230" i="21" s="1"/>
  <c r="AU230" i="21"/>
  <c r="AS230" i="21"/>
  <c r="AT230" i="21" s="1"/>
  <c r="AQ230" i="21"/>
  <c r="AR230" i="21" s="1"/>
  <c r="AO230" i="21"/>
  <c r="AM230" i="21"/>
  <c r="AN230" i="21" s="1"/>
  <c r="AK230" i="21"/>
  <c r="AL230" i="21" s="1"/>
  <c r="AG230" i="21"/>
  <c r="AH230" i="21" s="1"/>
  <c r="AE230" i="21"/>
  <c r="AF230" i="21" s="1"/>
  <c r="AC230" i="21"/>
  <c r="AA230" i="21"/>
  <c r="AB230" i="21" s="1"/>
  <c r="W230" i="21"/>
  <c r="X230" i="21" s="1"/>
  <c r="U230" i="21"/>
  <c r="V230" i="21" s="1"/>
  <c r="S230" i="21"/>
  <c r="T230" i="21" s="1"/>
  <c r="Q230" i="21"/>
  <c r="R230" i="21" s="1"/>
  <c r="P230" i="21"/>
  <c r="O230" i="21"/>
  <c r="N230" i="21"/>
  <c r="M230" i="21"/>
  <c r="L230" i="21"/>
  <c r="K230" i="21"/>
  <c r="J230" i="21"/>
  <c r="I230" i="21"/>
  <c r="H230" i="21"/>
  <c r="G230" i="21"/>
  <c r="F230" i="21"/>
  <c r="E230" i="21"/>
  <c r="D230" i="21"/>
  <c r="C230" i="21"/>
  <c r="B230" i="21"/>
  <c r="A230" i="21"/>
  <c r="BG229" i="21"/>
  <c r="BH229" i="21" s="1"/>
  <c r="BE229" i="21"/>
  <c r="BF229" i="21" s="1"/>
  <c r="AW229" i="21"/>
  <c r="AX229" i="21" s="1"/>
  <c r="AU229" i="21"/>
  <c r="AV229" i="21" s="1"/>
  <c r="AS229" i="21"/>
  <c r="AQ229" i="21"/>
  <c r="AR229" i="21" s="1"/>
  <c r="AO229" i="21"/>
  <c r="AM229" i="21"/>
  <c r="AK229" i="21"/>
  <c r="AL229" i="21" s="1"/>
  <c r="AG229" i="21"/>
  <c r="AE229" i="21"/>
  <c r="AF229" i="21" s="1"/>
  <c r="AC229" i="21"/>
  <c r="AA229" i="21"/>
  <c r="AB229" i="21" s="1"/>
  <c r="W229" i="21"/>
  <c r="X229" i="21" s="1"/>
  <c r="U229" i="21"/>
  <c r="S229" i="21"/>
  <c r="T229" i="21" s="1"/>
  <c r="Z229" i="21" s="1"/>
  <c r="Q229" i="21"/>
  <c r="R229" i="21" s="1"/>
  <c r="P229" i="21"/>
  <c r="O229" i="21"/>
  <c r="N229" i="21"/>
  <c r="M229" i="21"/>
  <c r="L229" i="21"/>
  <c r="K229" i="21"/>
  <c r="J229" i="21"/>
  <c r="I229" i="21"/>
  <c r="H229" i="21"/>
  <c r="G229" i="21"/>
  <c r="F229" i="21"/>
  <c r="E229" i="21"/>
  <c r="D229" i="21"/>
  <c r="C229" i="21"/>
  <c r="B229" i="21"/>
  <c r="A229" i="21"/>
  <c r="BG228" i="21"/>
  <c r="BE228" i="21"/>
  <c r="BF228" i="21" s="1"/>
  <c r="AW228" i="21"/>
  <c r="AU228" i="21"/>
  <c r="AV228" i="21" s="1"/>
  <c r="AS228" i="21"/>
  <c r="AQ228" i="21"/>
  <c r="AR228" i="21" s="1"/>
  <c r="AO228" i="21"/>
  <c r="AP228" i="21" s="1"/>
  <c r="AM228" i="21"/>
  <c r="AK228" i="21"/>
  <c r="AL228" i="21" s="1"/>
  <c r="AG228" i="21"/>
  <c r="AH228" i="21" s="1"/>
  <c r="AE228" i="21"/>
  <c r="AF228" i="21" s="1"/>
  <c r="AC228" i="21"/>
  <c r="AD228" i="21" s="1"/>
  <c r="AA228" i="21"/>
  <c r="AB228" i="21" s="1"/>
  <c r="W228" i="21"/>
  <c r="X228" i="21" s="1"/>
  <c r="U228" i="21"/>
  <c r="V228" i="21" s="1"/>
  <c r="S228" i="21"/>
  <c r="T228" i="21" s="1"/>
  <c r="Q228" i="21"/>
  <c r="P228" i="21"/>
  <c r="O228" i="21"/>
  <c r="N228" i="21"/>
  <c r="M228" i="21"/>
  <c r="L228" i="21"/>
  <c r="K228" i="21"/>
  <c r="J228" i="21"/>
  <c r="I228" i="21"/>
  <c r="H228" i="21"/>
  <c r="G228" i="21"/>
  <c r="F228" i="21"/>
  <c r="E228" i="21"/>
  <c r="D228" i="21"/>
  <c r="C228" i="21"/>
  <c r="B228" i="21"/>
  <c r="A228" i="21"/>
  <c r="BG227" i="21"/>
  <c r="BE227" i="21"/>
  <c r="BF227" i="21" s="1"/>
  <c r="AW227" i="21"/>
  <c r="AX227" i="21" s="1"/>
  <c r="AU227" i="21"/>
  <c r="AV227" i="21" s="1"/>
  <c r="AS227" i="21"/>
  <c r="AQ227" i="21"/>
  <c r="AR227" i="21" s="1"/>
  <c r="AO227" i="21"/>
  <c r="AM227" i="21"/>
  <c r="AK227" i="21"/>
  <c r="AL227" i="21" s="1"/>
  <c r="AG227" i="21"/>
  <c r="AE227" i="21"/>
  <c r="AF227" i="21" s="1"/>
  <c r="AC227" i="21"/>
  <c r="AD227" i="21" s="1"/>
  <c r="AA227" i="21"/>
  <c r="AB227" i="21" s="1"/>
  <c r="W227" i="21"/>
  <c r="X227" i="21" s="1"/>
  <c r="U227" i="21"/>
  <c r="S227" i="21"/>
  <c r="Q227" i="21"/>
  <c r="R227" i="21" s="1"/>
  <c r="P227" i="21"/>
  <c r="O227" i="21"/>
  <c r="N227" i="21"/>
  <c r="M227" i="21"/>
  <c r="L227" i="21"/>
  <c r="K227" i="21"/>
  <c r="J227" i="21"/>
  <c r="I227" i="21"/>
  <c r="H227" i="21"/>
  <c r="G227" i="21"/>
  <c r="F227" i="21"/>
  <c r="E227" i="21"/>
  <c r="D227" i="21"/>
  <c r="C227" i="21"/>
  <c r="B227" i="21"/>
  <c r="A227" i="21"/>
  <c r="BG226" i="21"/>
  <c r="BE226" i="21"/>
  <c r="BF226" i="21" s="1"/>
  <c r="AW226" i="21"/>
  <c r="AX226" i="21" s="1"/>
  <c r="AU226" i="21"/>
  <c r="AV226" i="21" s="1"/>
  <c r="AS226" i="21"/>
  <c r="AQ226" i="21"/>
  <c r="AO226" i="21"/>
  <c r="AP226" i="21" s="1"/>
  <c r="AM226" i="21"/>
  <c r="AK226" i="21"/>
  <c r="AL226" i="21" s="1"/>
  <c r="AG226" i="21"/>
  <c r="AH226" i="21" s="1"/>
  <c r="AE226" i="21"/>
  <c r="AF226" i="21" s="1"/>
  <c r="AC226" i="21"/>
  <c r="AD226" i="21" s="1"/>
  <c r="AA226" i="21"/>
  <c r="W226" i="21"/>
  <c r="U226" i="21"/>
  <c r="V226" i="21" s="1"/>
  <c r="S226" i="21"/>
  <c r="Q226" i="21"/>
  <c r="R226" i="21" s="1"/>
  <c r="P226" i="21"/>
  <c r="O226" i="21"/>
  <c r="N226" i="21"/>
  <c r="M226" i="21"/>
  <c r="L226" i="21"/>
  <c r="K226" i="21"/>
  <c r="J226" i="21"/>
  <c r="I226" i="21"/>
  <c r="H226" i="21"/>
  <c r="G226" i="21"/>
  <c r="F226" i="21"/>
  <c r="E226" i="21"/>
  <c r="D226" i="21"/>
  <c r="C226" i="21"/>
  <c r="B226" i="21"/>
  <c r="A226" i="21"/>
  <c r="BG225" i="21"/>
  <c r="BH225" i="21" s="1"/>
  <c r="BE225" i="21"/>
  <c r="BF225" i="21" s="1"/>
  <c r="AW225" i="21"/>
  <c r="AX225" i="21" s="1"/>
  <c r="AU225" i="21"/>
  <c r="AV225" i="21" s="1"/>
  <c r="AS225" i="21"/>
  <c r="AT225" i="21" s="1"/>
  <c r="AQ225" i="21"/>
  <c r="AO225" i="21"/>
  <c r="AP225" i="21" s="1"/>
  <c r="AM225" i="21"/>
  <c r="AN225" i="21" s="1"/>
  <c r="AK225" i="21"/>
  <c r="AL225" i="21" s="1"/>
  <c r="AG225" i="21"/>
  <c r="AH225" i="21" s="1"/>
  <c r="AE225" i="21"/>
  <c r="AC225" i="21"/>
  <c r="AD225" i="21" s="1"/>
  <c r="AJ225" i="21" s="1"/>
  <c r="AA225" i="21"/>
  <c r="AB225" i="21" s="1"/>
  <c r="W225" i="21"/>
  <c r="U225" i="21"/>
  <c r="V225" i="21" s="1"/>
  <c r="S225" i="21"/>
  <c r="T225" i="21" s="1"/>
  <c r="Q225" i="21"/>
  <c r="R225" i="21" s="1"/>
  <c r="P225" i="21"/>
  <c r="O225" i="21"/>
  <c r="N225" i="21"/>
  <c r="M225" i="21"/>
  <c r="L225" i="21"/>
  <c r="K225" i="21"/>
  <c r="J225" i="21"/>
  <c r="I225" i="21"/>
  <c r="H225" i="21"/>
  <c r="G225" i="21"/>
  <c r="F225" i="21"/>
  <c r="E225" i="21"/>
  <c r="D225" i="21"/>
  <c r="C225" i="21"/>
  <c r="B225" i="21"/>
  <c r="A225" i="21"/>
  <c r="BG224" i="21"/>
  <c r="BH224" i="21" s="1"/>
  <c r="BE224" i="21"/>
  <c r="AW224" i="21"/>
  <c r="AX224" i="21" s="1"/>
  <c r="AU224" i="21"/>
  <c r="AS224" i="21"/>
  <c r="AT224" i="21" s="1"/>
  <c r="AQ224" i="21"/>
  <c r="AR224" i="21" s="1"/>
  <c r="AO224" i="21"/>
  <c r="AP224" i="21" s="1"/>
  <c r="AM224" i="21"/>
  <c r="AN224" i="21" s="1"/>
  <c r="AK224" i="21"/>
  <c r="AG224" i="21"/>
  <c r="AH224" i="21" s="1"/>
  <c r="AE224" i="21"/>
  <c r="AF224" i="21" s="1"/>
  <c r="AC224" i="21"/>
  <c r="AA224" i="21"/>
  <c r="AB224" i="21" s="1"/>
  <c r="W224" i="21"/>
  <c r="X224" i="21" s="1"/>
  <c r="U224" i="21"/>
  <c r="V224" i="21" s="1"/>
  <c r="S224" i="21"/>
  <c r="T224" i="21" s="1"/>
  <c r="Q224" i="21"/>
  <c r="R224" i="21" s="1"/>
  <c r="P224" i="21"/>
  <c r="O224" i="21"/>
  <c r="N224" i="21"/>
  <c r="M224" i="21"/>
  <c r="L224" i="21"/>
  <c r="K224" i="21"/>
  <c r="J224" i="21"/>
  <c r="I224" i="21"/>
  <c r="H224" i="21"/>
  <c r="G224" i="21"/>
  <c r="F224" i="21"/>
  <c r="E224" i="21"/>
  <c r="D224" i="21"/>
  <c r="C224" i="21"/>
  <c r="B224" i="21"/>
  <c r="A224" i="21"/>
  <c r="BG223" i="21"/>
  <c r="BH223" i="21" s="1"/>
  <c r="BE223" i="21"/>
  <c r="BF223" i="21" s="1"/>
  <c r="AW223" i="21"/>
  <c r="AX223" i="21" s="1"/>
  <c r="AU223" i="21"/>
  <c r="AV223" i="21" s="1"/>
  <c r="AS223" i="21"/>
  <c r="AT223" i="21" s="1"/>
  <c r="AQ223" i="21"/>
  <c r="AR223" i="21" s="1"/>
  <c r="AO223" i="21"/>
  <c r="AP223" i="21" s="1"/>
  <c r="AM223" i="21"/>
  <c r="AN223" i="21" s="1"/>
  <c r="AK223" i="21"/>
  <c r="AL223" i="21" s="1"/>
  <c r="AG223" i="21"/>
  <c r="AE223" i="21"/>
  <c r="AF223" i="21" s="1"/>
  <c r="AC223" i="21"/>
  <c r="AD223" i="21" s="1"/>
  <c r="AA223" i="21"/>
  <c r="AB223" i="21" s="1"/>
  <c r="W223" i="21"/>
  <c r="X223" i="21" s="1"/>
  <c r="U223" i="21"/>
  <c r="V223" i="21" s="1"/>
  <c r="S223" i="21"/>
  <c r="T223" i="21" s="1"/>
  <c r="Q223" i="21"/>
  <c r="R223" i="21" s="1"/>
  <c r="P223" i="21"/>
  <c r="O223" i="21"/>
  <c r="N223" i="21"/>
  <c r="M223" i="21"/>
  <c r="L223" i="21"/>
  <c r="K223" i="21"/>
  <c r="J223" i="21"/>
  <c r="I223" i="21"/>
  <c r="H223" i="21"/>
  <c r="G223" i="21"/>
  <c r="F223" i="21"/>
  <c r="E223" i="21"/>
  <c r="D223" i="21"/>
  <c r="C223" i="21"/>
  <c r="B223" i="21"/>
  <c r="A223" i="21"/>
  <c r="BG222" i="21"/>
  <c r="BE222" i="21"/>
  <c r="BF222" i="21" s="1"/>
  <c r="AW222" i="21"/>
  <c r="AX222" i="21" s="1"/>
  <c r="AU222" i="21"/>
  <c r="AV222" i="21" s="1"/>
  <c r="AS222" i="21"/>
  <c r="AT222" i="21" s="1"/>
  <c r="AQ222" i="21"/>
  <c r="AR222" i="21" s="1"/>
  <c r="AO222" i="21"/>
  <c r="AP222" i="21" s="1"/>
  <c r="AM222" i="21"/>
  <c r="AK222" i="21"/>
  <c r="AL222" i="21" s="1"/>
  <c r="AG222" i="21"/>
  <c r="AH222" i="21" s="1"/>
  <c r="AE222" i="21"/>
  <c r="AF222" i="21" s="1"/>
  <c r="AC222" i="21"/>
  <c r="AD222" i="21" s="1"/>
  <c r="AA222" i="21"/>
  <c r="AB222" i="21" s="1"/>
  <c r="W222" i="21"/>
  <c r="X222" i="21" s="1"/>
  <c r="U222" i="21"/>
  <c r="V222" i="21" s="1"/>
  <c r="S222" i="21"/>
  <c r="T222" i="21" s="1"/>
  <c r="Q222" i="21"/>
  <c r="R222" i="21" s="1"/>
  <c r="P222" i="21"/>
  <c r="O222" i="21"/>
  <c r="N222" i="21"/>
  <c r="M222" i="21"/>
  <c r="L222" i="21"/>
  <c r="K222" i="21"/>
  <c r="J222" i="21"/>
  <c r="I222" i="21"/>
  <c r="H222" i="21"/>
  <c r="G222" i="21"/>
  <c r="F222" i="21"/>
  <c r="E222" i="21"/>
  <c r="D222" i="21"/>
  <c r="C222" i="21"/>
  <c r="B222" i="21"/>
  <c r="A222" i="21"/>
  <c r="BG221" i="21"/>
  <c r="BH221" i="21" s="1"/>
  <c r="BE221" i="21"/>
  <c r="BF221" i="21" s="1"/>
  <c r="AW221" i="21"/>
  <c r="AX221" i="21" s="1"/>
  <c r="AU221" i="21"/>
  <c r="AV221" i="21" s="1"/>
  <c r="AS221" i="21"/>
  <c r="AT221" i="21" s="1"/>
  <c r="AQ221" i="21"/>
  <c r="AO221" i="21"/>
  <c r="AP221" i="21" s="1"/>
  <c r="AM221" i="21"/>
  <c r="AN221" i="21" s="1"/>
  <c r="AK221" i="21"/>
  <c r="AL221" i="21" s="1"/>
  <c r="AG221" i="21"/>
  <c r="AH221" i="21" s="1"/>
  <c r="AE221" i="21"/>
  <c r="AF221" i="21" s="1"/>
  <c r="AC221" i="21"/>
  <c r="AD221" i="21" s="1"/>
  <c r="AA221" i="21"/>
  <c r="AB221" i="21" s="1"/>
  <c r="W221" i="21"/>
  <c r="U221" i="21"/>
  <c r="V221" i="21" s="1"/>
  <c r="S221" i="21"/>
  <c r="Q221" i="21"/>
  <c r="R221" i="21" s="1"/>
  <c r="P221" i="21"/>
  <c r="O221" i="21"/>
  <c r="N221" i="21"/>
  <c r="M221" i="21"/>
  <c r="L221" i="21"/>
  <c r="K221" i="21"/>
  <c r="J221" i="21"/>
  <c r="I221" i="21"/>
  <c r="H221" i="21"/>
  <c r="G221" i="21"/>
  <c r="F221" i="21"/>
  <c r="E221" i="21"/>
  <c r="D221" i="21"/>
  <c r="C221" i="21"/>
  <c r="B221" i="21"/>
  <c r="A221" i="21"/>
  <c r="BG220" i="21"/>
  <c r="BH220" i="21" s="1"/>
  <c r="BE220" i="21"/>
  <c r="BF220" i="21" s="1"/>
  <c r="AW220" i="21"/>
  <c r="AX220" i="21" s="1"/>
  <c r="AU220" i="21"/>
  <c r="AS220" i="21"/>
  <c r="AT220" i="21" s="1"/>
  <c r="AQ220" i="21"/>
  <c r="AO220" i="21"/>
  <c r="AP220" i="21" s="1"/>
  <c r="AM220" i="21"/>
  <c r="AN220" i="21" s="1"/>
  <c r="AK220" i="21"/>
  <c r="AL220" i="21" s="1"/>
  <c r="AG220" i="21"/>
  <c r="AH220" i="21" s="1"/>
  <c r="AE220" i="21"/>
  <c r="AF220" i="21" s="1"/>
  <c r="AC220" i="21"/>
  <c r="AA220" i="21"/>
  <c r="AB220" i="21" s="1"/>
  <c r="W220" i="21"/>
  <c r="X220" i="21" s="1"/>
  <c r="U220" i="21"/>
  <c r="V220" i="21" s="1"/>
  <c r="S220" i="21"/>
  <c r="T220" i="21" s="1"/>
  <c r="Q220" i="21"/>
  <c r="P220" i="21"/>
  <c r="O220" i="21"/>
  <c r="N220" i="21"/>
  <c r="M220" i="21"/>
  <c r="L220" i="21"/>
  <c r="K220" i="21"/>
  <c r="J220" i="21"/>
  <c r="I220" i="21"/>
  <c r="H220" i="21"/>
  <c r="G220" i="21"/>
  <c r="F220" i="21"/>
  <c r="E220" i="21"/>
  <c r="D220" i="21"/>
  <c r="C220" i="21"/>
  <c r="B220" i="21"/>
  <c r="A220" i="21"/>
  <c r="BG219" i="21"/>
  <c r="BH219" i="21" s="1"/>
  <c r="BE219" i="21"/>
  <c r="BF219" i="21" s="1"/>
  <c r="AW219" i="21"/>
  <c r="AX219" i="21" s="1"/>
  <c r="AU219" i="21"/>
  <c r="AV219" i="21" s="1"/>
  <c r="AS219" i="21"/>
  <c r="AT219" i="21" s="1"/>
  <c r="AQ219" i="21"/>
  <c r="AR219" i="21" s="1"/>
  <c r="AO219" i="21"/>
  <c r="AM219" i="21"/>
  <c r="AN219" i="21" s="1"/>
  <c r="AK219" i="21"/>
  <c r="AL219" i="21" s="1"/>
  <c r="AG219" i="21"/>
  <c r="AE219" i="21"/>
  <c r="AF219" i="21" s="1"/>
  <c r="AC219" i="21"/>
  <c r="AA219" i="21"/>
  <c r="AB219" i="21" s="1"/>
  <c r="W219" i="21"/>
  <c r="X219" i="21" s="1"/>
  <c r="U219" i="21"/>
  <c r="S219" i="21"/>
  <c r="T219" i="21" s="1"/>
  <c r="Q219" i="21"/>
  <c r="R219" i="21" s="1"/>
  <c r="P219" i="21"/>
  <c r="O219" i="21"/>
  <c r="N219" i="21"/>
  <c r="M219" i="21"/>
  <c r="L219" i="21"/>
  <c r="K219" i="21"/>
  <c r="J219" i="21"/>
  <c r="I219" i="21"/>
  <c r="H219" i="21"/>
  <c r="G219" i="21"/>
  <c r="F219" i="21"/>
  <c r="E219" i="21"/>
  <c r="D219" i="21"/>
  <c r="C219" i="21"/>
  <c r="B219" i="21"/>
  <c r="A219" i="21"/>
  <c r="BG218" i="21"/>
  <c r="BE218" i="21"/>
  <c r="BF218" i="21" s="1"/>
  <c r="AW218" i="21"/>
  <c r="AX218" i="21" s="1"/>
  <c r="AU218" i="21"/>
  <c r="AV218" i="21" s="1"/>
  <c r="AS218" i="21"/>
  <c r="AT218" i="21" s="1"/>
  <c r="AQ218" i="21"/>
  <c r="AR218" i="21" s="1"/>
  <c r="AO218" i="21"/>
  <c r="AP218" i="21" s="1"/>
  <c r="AM218" i="21"/>
  <c r="AK218" i="21"/>
  <c r="AL218" i="21" s="1"/>
  <c r="AG218" i="21"/>
  <c r="AH218" i="21" s="1"/>
  <c r="AE218" i="21"/>
  <c r="AF218" i="21" s="1"/>
  <c r="AC218" i="21"/>
  <c r="AD218" i="21" s="1"/>
  <c r="AA218" i="21"/>
  <c r="AB218" i="21" s="1"/>
  <c r="W218" i="21"/>
  <c r="X218" i="21" s="1"/>
  <c r="U218" i="21"/>
  <c r="V218" i="21" s="1"/>
  <c r="S218" i="21"/>
  <c r="Q218" i="21"/>
  <c r="R218" i="21" s="1"/>
  <c r="P218" i="21"/>
  <c r="O218" i="21"/>
  <c r="N218" i="21"/>
  <c r="M218" i="21"/>
  <c r="L218" i="21"/>
  <c r="K218" i="21"/>
  <c r="J218" i="21"/>
  <c r="I218" i="21"/>
  <c r="H218" i="21"/>
  <c r="G218" i="21"/>
  <c r="F218" i="21"/>
  <c r="E218" i="21"/>
  <c r="D218" i="21"/>
  <c r="C218" i="21"/>
  <c r="B218" i="21"/>
  <c r="A218" i="21"/>
  <c r="BG217" i="21"/>
  <c r="BH217" i="21" s="1"/>
  <c r="BE217" i="21"/>
  <c r="BF217" i="21" s="1"/>
  <c r="AW217" i="21"/>
  <c r="AX217" i="21" s="1"/>
  <c r="AU217" i="21"/>
  <c r="AV217" i="21" s="1"/>
  <c r="AS217" i="21"/>
  <c r="AT217" i="21" s="1"/>
  <c r="AQ217" i="21"/>
  <c r="AO217" i="21"/>
  <c r="AP217" i="21" s="1"/>
  <c r="AM217" i="21"/>
  <c r="AK217" i="21"/>
  <c r="AL217" i="21" s="1"/>
  <c r="AG217" i="21"/>
  <c r="AH217" i="21" s="1"/>
  <c r="AE217" i="21"/>
  <c r="AF217" i="21" s="1"/>
  <c r="AC217" i="21"/>
  <c r="AD217" i="21" s="1"/>
  <c r="AA217" i="21"/>
  <c r="AB217" i="21" s="1"/>
  <c r="W217" i="21"/>
  <c r="U217" i="21"/>
  <c r="V217" i="21" s="1"/>
  <c r="S217" i="21"/>
  <c r="Q217" i="21"/>
  <c r="R217" i="21" s="1"/>
  <c r="P217" i="21"/>
  <c r="O217" i="21"/>
  <c r="N217" i="21"/>
  <c r="M217" i="21"/>
  <c r="L217" i="21"/>
  <c r="K217" i="21"/>
  <c r="J217" i="21"/>
  <c r="I217" i="21"/>
  <c r="H217" i="21"/>
  <c r="G217" i="21"/>
  <c r="F217" i="21"/>
  <c r="E217" i="21"/>
  <c r="D217" i="21"/>
  <c r="C217" i="21"/>
  <c r="B217" i="21"/>
  <c r="A217" i="21"/>
  <c r="BG216" i="21"/>
  <c r="BH216" i="21" s="1"/>
  <c r="BE216" i="21"/>
  <c r="BF216" i="21" s="1"/>
  <c r="AW216" i="21"/>
  <c r="AX216" i="21" s="1"/>
  <c r="AU216" i="21"/>
  <c r="AS216" i="21"/>
  <c r="AT216" i="21" s="1"/>
  <c r="AQ216" i="21"/>
  <c r="AR216" i="21" s="1"/>
  <c r="AO216" i="21"/>
  <c r="AP216" i="21" s="1"/>
  <c r="AM216" i="21"/>
  <c r="AN216" i="21" s="1"/>
  <c r="AK216" i="21"/>
  <c r="AG216" i="21"/>
  <c r="AH216" i="21" s="1"/>
  <c r="AE216" i="21"/>
  <c r="AF216" i="21" s="1"/>
  <c r="AC216" i="21"/>
  <c r="AA216" i="21"/>
  <c r="AB216" i="21" s="1"/>
  <c r="W216" i="21"/>
  <c r="X216" i="21" s="1"/>
  <c r="U216" i="21"/>
  <c r="V216" i="21" s="1"/>
  <c r="S216" i="21"/>
  <c r="T216" i="21" s="1"/>
  <c r="Q216" i="21"/>
  <c r="P216" i="21"/>
  <c r="O216" i="21"/>
  <c r="N216" i="21"/>
  <c r="M216" i="21"/>
  <c r="L216" i="21"/>
  <c r="K216" i="21"/>
  <c r="J216" i="21"/>
  <c r="I216" i="21"/>
  <c r="H216" i="21"/>
  <c r="G216" i="21"/>
  <c r="F216" i="21"/>
  <c r="E216" i="21"/>
  <c r="D216" i="21"/>
  <c r="C216" i="21"/>
  <c r="B216" i="21"/>
  <c r="A216" i="21"/>
  <c r="BG215" i="21"/>
  <c r="BH215" i="21" s="1"/>
  <c r="BE215" i="21"/>
  <c r="BF215" i="21" s="1"/>
  <c r="AW215" i="21"/>
  <c r="AX215" i="21" s="1"/>
  <c r="AU215" i="21"/>
  <c r="AS215" i="21"/>
  <c r="AT215" i="21" s="1"/>
  <c r="AQ215" i="21"/>
  <c r="AR215" i="21" s="1"/>
  <c r="AO215" i="21"/>
  <c r="AM215" i="21"/>
  <c r="AN215" i="21" s="1"/>
  <c r="AK215" i="21"/>
  <c r="AL215" i="21" s="1"/>
  <c r="AG215" i="21"/>
  <c r="AE215" i="21"/>
  <c r="AF215" i="21" s="1"/>
  <c r="AC215" i="21"/>
  <c r="AD215" i="21" s="1"/>
  <c r="AA215" i="21"/>
  <c r="AB215" i="21" s="1"/>
  <c r="W215" i="21"/>
  <c r="X215" i="21" s="1"/>
  <c r="U215" i="21"/>
  <c r="V215" i="21" s="1"/>
  <c r="S215" i="21"/>
  <c r="T215" i="21" s="1"/>
  <c r="Q215" i="21"/>
  <c r="R215" i="21" s="1"/>
  <c r="P215" i="21"/>
  <c r="O215" i="21"/>
  <c r="N215" i="21"/>
  <c r="M215" i="21"/>
  <c r="L215" i="21"/>
  <c r="K215" i="21"/>
  <c r="J215" i="21"/>
  <c r="I215" i="21"/>
  <c r="H215" i="21"/>
  <c r="G215" i="21"/>
  <c r="F215" i="21"/>
  <c r="E215" i="21"/>
  <c r="D215" i="21"/>
  <c r="C215" i="21"/>
  <c r="B215" i="21"/>
  <c r="A215" i="21"/>
  <c r="BG214" i="21"/>
  <c r="BE214" i="21"/>
  <c r="BF214" i="21" s="1"/>
  <c r="AW214" i="21"/>
  <c r="AX214" i="21" s="1"/>
  <c r="AU214" i="21"/>
  <c r="AV214" i="21" s="1"/>
  <c r="AS214" i="21"/>
  <c r="AT214" i="21" s="1"/>
  <c r="AQ214" i="21"/>
  <c r="AR214" i="21" s="1"/>
  <c r="AO214" i="21"/>
  <c r="AP214" i="21" s="1"/>
  <c r="AM214" i="21"/>
  <c r="AK214" i="21"/>
  <c r="AL214" i="21" s="1"/>
  <c r="AG214" i="21"/>
  <c r="AH214" i="21" s="1"/>
  <c r="AE214" i="21"/>
  <c r="AF214" i="21" s="1"/>
  <c r="AC214" i="21"/>
  <c r="AD214" i="21" s="1"/>
  <c r="AA214" i="21"/>
  <c r="AB214" i="21" s="1"/>
  <c r="W214" i="21"/>
  <c r="X214" i="21" s="1"/>
  <c r="U214" i="21"/>
  <c r="V214" i="21" s="1"/>
  <c r="S214" i="21"/>
  <c r="Q214" i="21"/>
  <c r="R214" i="21" s="1"/>
  <c r="P214" i="21"/>
  <c r="O214" i="21"/>
  <c r="N214" i="21"/>
  <c r="M214" i="21"/>
  <c r="L214" i="21"/>
  <c r="K214" i="21"/>
  <c r="J214" i="21"/>
  <c r="I214" i="21"/>
  <c r="H214" i="21"/>
  <c r="G214" i="21"/>
  <c r="F214" i="21"/>
  <c r="E214" i="21"/>
  <c r="D214" i="21"/>
  <c r="C214" i="21"/>
  <c r="B214" i="21"/>
  <c r="A214" i="21"/>
  <c r="BG213" i="21"/>
  <c r="BE213" i="21"/>
  <c r="BF213" i="21" s="1"/>
  <c r="AW213" i="21"/>
  <c r="AX213" i="21" s="1"/>
  <c r="AU213" i="21"/>
  <c r="AV213" i="21" s="1"/>
  <c r="AS213" i="21"/>
  <c r="AT213" i="21" s="1"/>
  <c r="AQ213" i="21"/>
  <c r="AO213" i="21"/>
  <c r="AP213" i="21" s="1"/>
  <c r="AM213" i="21"/>
  <c r="AK213" i="21"/>
  <c r="AL213" i="21" s="1"/>
  <c r="AG213" i="21"/>
  <c r="AH213" i="21" s="1"/>
  <c r="AE213" i="21"/>
  <c r="AF213" i="21" s="1"/>
  <c r="AC213" i="21"/>
  <c r="AD213" i="21" s="1"/>
  <c r="AA213" i="21"/>
  <c r="AB213" i="21" s="1"/>
  <c r="W213" i="21"/>
  <c r="U213" i="21"/>
  <c r="V213" i="21" s="1"/>
  <c r="S213" i="21"/>
  <c r="T213" i="21" s="1"/>
  <c r="Q213" i="21"/>
  <c r="R213" i="21" s="1"/>
  <c r="P213" i="21"/>
  <c r="O213" i="21"/>
  <c r="N213" i="21"/>
  <c r="M213" i="21"/>
  <c r="L213" i="21"/>
  <c r="K213" i="21"/>
  <c r="J213" i="21"/>
  <c r="I213" i="21"/>
  <c r="H213" i="21"/>
  <c r="G213" i="21"/>
  <c r="F213" i="21"/>
  <c r="E213" i="21"/>
  <c r="D213" i="21"/>
  <c r="C213" i="21"/>
  <c r="B213" i="21"/>
  <c r="A213" i="21"/>
  <c r="BG212" i="21"/>
  <c r="BH212" i="21" s="1"/>
  <c r="BE212" i="21"/>
  <c r="AW212" i="21"/>
  <c r="AX212" i="21" s="1"/>
  <c r="AU212" i="21"/>
  <c r="AS212" i="21"/>
  <c r="AT212" i="21" s="1"/>
  <c r="AQ212" i="21"/>
  <c r="AR212" i="21" s="1"/>
  <c r="AO212" i="21"/>
  <c r="AP212" i="21" s="1"/>
  <c r="AM212" i="21"/>
  <c r="AN212" i="21" s="1"/>
  <c r="AK212" i="21"/>
  <c r="AG212" i="21"/>
  <c r="AH212" i="21" s="1"/>
  <c r="AE212" i="21"/>
  <c r="AF212" i="21" s="1"/>
  <c r="AC212" i="21"/>
  <c r="AA212" i="21"/>
  <c r="AB212" i="21" s="1"/>
  <c r="W212" i="21"/>
  <c r="U212" i="21"/>
  <c r="V212" i="21" s="1"/>
  <c r="S212" i="21"/>
  <c r="T212" i="21" s="1"/>
  <c r="Q212" i="21"/>
  <c r="P212" i="21"/>
  <c r="O212" i="21"/>
  <c r="N212" i="21"/>
  <c r="M212" i="21"/>
  <c r="L212" i="21"/>
  <c r="K212" i="21"/>
  <c r="J212" i="21"/>
  <c r="I212" i="21"/>
  <c r="H212" i="21"/>
  <c r="G212" i="21"/>
  <c r="F212" i="21"/>
  <c r="E212" i="21"/>
  <c r="D212" i="21"/>
  <c r="C212" i="21"/>
  <c r="B212" i="21"/>
  <c r="A212" i="21"/>
  <c r="BG211" i="21"/>
  <c r="BH211" i="21" s="1"/>
  <c r="BE211" i="21"/>
  <c r="BF211" i="21" s="1"/>
  <c r="AW211" i="21"/>
  <c r="AX211" i="21" s="1"/>
  <c r="AU211" i="21"/>
  <c r="AV211" i="21" s="1"/>
  <c r="AS211" i="21"/>
  <c r="AT211" i="21" s="1"/>
  <c r="AQ211" i="21"/>
  <c r="AR211" i="21" s="1"/>
  <c r="AO211" i="21"/>
  <c r="AP211" i="21" s="1"/>
  <c r="AM211" i="21"/>
  <c r="AN211" i="21" s="1"/>
  <c r="AK211" i="21"/>
  <c r="AL211" i="21" s="1"/>
  <c r="AG211" i="21"/>
  <c r="AE211" i="21"/>
  <c r="AF211" i="21" s="1"/>
  <c r="AC211" i="21"/>
  <c r="AD211" i="21" s="1"/>
  <c r="AA211" i="21"/>
  <c r="AB211" i="21" s="1"/>
  <c r="W211" i="21"/>
  <c r="X211" i="21" s="1"/>
  <c r="U211" i="21"/>
  <c r="V211" i="21" s="1"/>
  <c r="S211" i="21"/>
  <c r="T211" i="21" s="1"/>
  <c r="Q211" i="21"/>
  <c r="R211" i="21" s="1"/>
  <c r="P211" i="21"/>
  <c r="O211" i="21"/>
  <c r="N211" i="21"/>
  <c r="M211" i="21"/>
  <c r="L211" i="21"/>
  <c r="K211" i="21"/>
  <c r="J211" i="21"/>
  <c r="I211" i="21"/>
  <c r="H211" i="21"/>
  <c r="G211" i="21"/>
  <c r="F211" i="21"/>
  <c r="E211" i="21"/>
  <c r="D211" i="21"/>
  <c r="C211" i="21"/>
  <c r="B211" i="21"/>
  <c r="A211" i="21"/>
  <c r="BG210" i="21"/>
  <c r="BE210" i="21"/>
  <c r="BF210" i="21" s="1"/>
  <c r="AW210" i="21"/>
  <c r="AX210" i="21" s="1"/>
  <c r="AU210" i="21"/>
  <c r="AV210" i="21" s="1"/>
  <c r="AS210" i="21"/>
  <c r="AT210" i="21" s="1"/>
  <c r="AQ210" i="21"/>
  <c r="AR210" i="21" s="1"/>
  <c r="AO210" i="21"/>
  <c r="AP210" i="21" s="1"/>
  <c r="AM210" i="21"/>
  <c r="AK210" i="21"/>
  <c r="AL210" i="21" s="1"/>
  <c r="AG210" i="21"/>
  <c r="AE210" i="21"/>
  <c r="AF210" i="21" s="1"/>
  <c r="AC210" i="21"/>
  <c r="AD210" i="21" s="1"/>
  <c r="AA210" i="21"/>
  <c r="AB210" i="21" s="1"/>
  <c r="W210" i="21"/>
  <c r="X210" i="21" s="1"/>
  <c r="U210" i="21"/>
  <c r="V210" i="21" s="1"/>
  <c r="S210" i="21"/>
  <c r="Q210" i="21"/>
  <c r="R210" i="21" s="1"/>
  <c r="P210" i="21"/>
  <c r="O210" i="21"/>
  <c r="N210" i="21"/>
  <c r="M210" i="21"/>
  <c r="L210" i="21"/>
  <c r="K210" i="21"/>
  <c r="J210" i="21"/>
  <c r="I210" i="21"/>
  <c r="H210" i="21"/>
  <c r="G210" i="21"/>
  <c r="F210" i="21"/>
  <c r="E210" i="21"/>
  <c r="D210" i="21"/>
  <c r="C210" i="21"/>
  <c r="B210" i="21"/>
  <c r="A210" i="21"/>
  <c r="BG209" i="21"/>
  <c r="BE209" i="21"/>
  <c r="BF209" i="21" s="1"/>
  <c r="AW209" i="21"/>
  <c r="AX209" i="21" s="1"/>
  <c r="AU209" i="21"/>
  <c r="AV209" i="21" s="1"/>
  <c r="AS209" i="21"/>
  <c r="AT209" i="21" s="1"/>
  <c r="AQ209" i="21"/>
  <c r="AO209" i="21"/>
  <c r="AP209" i="21" s="1"/>
  <c r="AM209" i="21"/>
  <c r="AN209" i="21" s="1"/>
  <c r="AK209" i="21"/>
  <c r="AL209" i="21" s="1"/>
  <c r="AG209" i="21"/>
  <c r="AH209" i="21" s="1"/>
  <c r="AE209" i="21"/>
  <c r="AC209" i="21"/>
  <c r="AD209" i="21" s="1"/>
  <c r="AJ209" i="21" s="1"/>
  <c r="AA209" i="21"/>
  <c r="AB209" i="21" s="1"/>
  <c r="W209" i="21"/>
  <c r="U209" i="21"/>
  <c r="V209" i="21" s="1"/>
  <c r="S209" i="21"/>
  <c r="T209" i="21" s="1"/>
  <c r="Q209" i="21"/>
  <c r="R209" i="21" s="1"/>
  <c r="P209" i="21"/>
  <c r="O209" i="21"/>
  <c r="N209" i="21"/>
  <c r="M209" i="21"/>
  <c r="L209" i="21"/>
  <c r="K209" i="21"/>
  <c r="J209" i="21"/>
  <c r="I209" i="21"/>
  <c r="H209" i="21"/>
  <c r="G209" i="21"/>
  <c r="F209" i="21"/>
  <c r="E209" i="21"/>
  <c r="D209" i="21"/>
  <c r="C209" i="21"/>
  <c r="B209" i="21"/>
  <c r="A209" i="21"/>
  <c r="BG208" i="21"/>
  <c r="BH208" i="21" s="1"/>
  <c r="BE208" i="21"/>
  <c r="AW208" i="21"/>
  <c r="AX208" i="21" s="1"/>
  <c r="AU208" i="21"/>
  <c r="AS208" i="21"/>
  <c r="AT208" i="21" s="1"/>
  <c r="AQ208" i="21"/>
  <c r="AR208" i="21" s="1"/>
  <c r="AO208" i="21"/>
  <c r="AP208" i="21" s="1"/>
  <c r="AM208" i="21"/>
  <c r="AN208" i="21" s="1"/>
  <c r="AK208" i="21"/>
  <c r="AG208" i="21"/>
  <c r="AH208" i="21" s="1"/>
  <c r="AE208" i="21"/>
  <c r="AF208" i="21" s="1"/>
  <c r="AC208" i="21"/>
  <c r="AA208" i="21"/>
  <c r="AB208" i="21" s="1"/>
  <c r="W208" i="21"/>
  <c r="X208" i="21" s="1"/>
  <c r="U208" i="21"/>
  <c r="V208" i="21" s="1"/>
  <c r="S208" i="21"/>
  <c r="T208" i="21" s="1"/>
  <c r="Q208" i="21"/>
  <c r="R208" i="21" s="1"/>
  <c r="P208" i="21"/>
  <c r="O208" i="21"/>
  <c r="N208" i="21"/>
  <c r="M208" i="21"/>
  <c r="L208" i="21"/>
  <c r="K208" i="21"/>
  <c r="J208" i="21"/>
  <c r="I208" i="21"/>
  <c r="H208" i="21"/>
  <c r="G208" i="21"/>
  <c r="F208" i="21"/>
  <c r="E208" i="21"/>
  <c r="D208" i="21"/>
  <c r="C208" i="21"/>
  <c r="B208" i="21"/>
  <c r="A208" i="21"/>
  <c r="BG207" i="21"/>
  <c r="BH207" i="21" s="1"/>
  <c r="BE207" i="21"/>
  <c r="BF207" i="21" s="1"/>
  <c r="AW207" i="21"/>
  <c r="AX207" i="21" s="1"/>
  <c r="AU207" i="21"/>
  <c r="AV207" i="21" s="1"/>
  <c r="AS207" i="21"/>
  <c r="AT207" i="21" s="1"/>
  <c r="AQ207" i="21"/>
  <c r="AR207" i="21" s="1"/>
  <c r="AO207" i="21"/>
  <c r="AP207" i="21" s="1"/>
  <c r="AM207" i="21"/>
  <c r="AN207" i="21" s="1"/>
  <c r="AK207" i="21"/>
  <c r="AL207" i="21" s="1"/>
  <c r="AG207" i="21"/>
  <c r="AE207" i="21"/>
  <c r="AF207" i="21" s="1"/>
  <c r="AC207" i="21"/>
  <c r="AD207" i="21" s="1"/>
  <c r="AA207" i="21"/>
  <c r="AB207" i="21" s="1"/>
  <c r="W207" i="21"/>
  <c r="X207" i="21" s="1"/>
  <c r="U207" i="21"/>
  <c r="V207" i="21" s="1"/>
  <c r="S207" i="21"/>
  <c r="T207" i="21" s="1"/>
  <c r="Q207" i="21"/>
  <c r="R207" i="21" s="1"/>
  <c r="P207" i="21"/>
  <c r="O207" i="21"/>
  <c r="N207" i="21"/>
  <c r="M207" i="21"/>
  <c r="L207" i="21"/>
  <c r="K207" i="21"/>
  <c r="J207" i="21"/>
  <c r="I207" i="21"/>
  <c r="H207" i="21"/>
  <c r="G207" i="21"/>
  <c r="F207" i="21"/>
  <c r="E207" i="21"/>
  <c r="D207" i="21"/>
  <c r="C207" i="21"/>
  <c r="B207" i="21"/>
  <c r="A207" i="21"/>
  <c r="BG206" i="21"/>
  <c r="BE206" i="21"/>
  <c r="BF206" i="21" s="1"/>
  <c r="AW206" i="21"/>
  <c r="AX206" i="21" s="1"/>
  <c r="AU206" i="21"/>
  <c r="AV206" i="21" s="1"/>
  <c r="AS206" i="21"/>
  <c r="AT206" i="21" s="1"/>
  <c r="AQ206" i="21"/>
  <c r="AR206" i="21" s="1"/>
  <c r="AO206" i="21"/>
  <c r="AP206" i="21" s="1"/>
  <c r="AM206" i="21"/>
  <c r="AK206" i="21"/>
  <c r="AL206" i="21" s="1"/>
  <c r="AG206" i="21"/>
  <c r="AE206" i="21"/>
  <c r="AF206" i="21" s="1"/>
  <c r="AC206" i="21"/>
  <c r="AD206" i="21" s="1"/>
  <c r="AA206" i="21"/>
  <c r="AB206" i="21" s="1"/>
  <c r="W206" i="21"/>
  <c r="X206" i="21" s="1"/>
  <c r="U206" i="21"/>
  <c r="V206" i="21" s="1"/>
  <c r="S206" i="21"/>
  <c r="T206" i="21" s="1"/>
  <c r="Q206" i="21"/>
  <c r="R206" i="21" s="1"/>
  <c r="P206" i="21"/>
  <c r="O206" i="21"/>
  <c r="N206" i="21"/>
  <c r="M206" i="21"/>
  <c r="L206" i="21"/>
  <c r="K206" i="21"/>
  <c r="J206" i="21"/>
  <c r="I206" i="21"/>
  <c r="H206" i="21"/>
  <c r="G206" i="21"/>
  <c r="F206" i="21"/>
  <c r="E206" i="21"/>
  <c r="D206" i="21"/>
  <c r="C206" i="21"/>
  <c r="B206" i="21"/>
  <c r="A206" i="21"/>
  <c r="BG205" i="21"/>
  <c r="BH205" i="21" s="1"/>
  <c r="BE205" i="21"/>
  <c r="BF205" i="21" s="1"/>
  <c r="AW205" i="21"/>
  <c r="AU205" i="21"/>
  <c r="AV205" i="21" s="1"/>
  <c r="AS205" i="21"/>
  <c r="AT205" i="21" s="1"/>
  <c r="AQ205" i="21"/>
  <c r="AO205" i="21"/>
  <c r="AP205" i="21" s="1"/>
  <c r="AM205" i="21"/>
  <c r="AN205" i="21" s="1"/>
  <c r="AK205" i="21"/>
  <c r="AL205" i="21" s="1"/>
  <c r="AG205" i="21"/>
  <c r="AH205" i="21" s="1"/>
  <c r="AE205" i="21"/>
  <c r="AF205" i="21" s="1"/>
  <c r="AC205" i="21"/>
  <c r="AD205" i="21" s="1"/>
  <c r="AA205" i="21"/>
  <c r="AB205" i="21" s="1"/>
  <c r="W205" i="21"/>
  <c r="U205" i="21"/>
  <c r="V205" i="21" s="1"/>
  <c r="S205" i="21"/>
  <c r="T205" i="21" s="1"/>
  <c r="Q205" i="21"/>
  <c r="R205" i="21" s="1"/>
  <c r="P205" i="21"/>
  <c r="O205" i="21"/>
  <c r="N205" i="21"/>
  <c r="M205" i="21"/>
  <c r="L205" i="21"/>
  <c r="K205" i="21"/>
  <c r="J205" i="21"/>
  <c r="I205" i="21"/>
  <c r="H205" i="21"/>
  <c r="G205" i="21"/>
  <c r="F205" i="21"/>
  <c r="E205" i="21"/>
  <c r="D205" i="21"/>
  <c r="C205" i="21"/>
  <c r="B205" i="21"/>
  <c r="A205" i="21"/>
  <c r="BG204" i="21"/>
  <c r="BH204" i="21" s="1"/>
  <c r="BE204" i="21"/>
  <c r="AW204" i="21"/>
  <c r="AX204" i="21" s="1"/>
  <c r="AU204" i="21"/>
  <c r="AS204" i="21"/>
  <c r="AT204" i="21" s="1"/>
  <c r="AQ204" i="21"/>
  <c r="AR204" i="21" s="1"/>
  <c r="AO204" i="21"/>
  <c r="AP204" i="21" s="1"/>
  <c r="AM204" i="21"/>
  <c r="AN204" i="21" s="1"/>
  <c r="AK204" i="21"/>
  <c r="AL204" i="21" s="1"/>
  <c r="AG204" i="21"/>
  <c r="AH204" i="21" s="1"/>
  <c r="AE204" i="21"/>
  <c r="AF204" i="21" s="1"/>
  <c r="AC204" i="21"/>
  <c r="AA204" i="21"/>
  <c r="AB204" i="21" s="1"/>
  <c r="W204" i="21"/>
  <c r="X204" i="21" s="1"/>
  <c r="U204" i="21"/>
  <c r="V204" i="21" s="1"/>
  <c r="S204" i="21"/>
  <c r="T204" i="21" s="1"/>
  <c r="Q204" i="21"/>
  <c r="R204" i="21" s="1"/>
  <c r="P204" i="21"/>
  <c r="O204" i="21"/>
  <c r="N204" i="21"/>
  <c r="M204" i="21"/>
  <c r="L204" i="21"/>
  <c r="K204" i="21"/>
  <c r="J204" i="21"/>
  <c r="I204" i="21"/>
  <c r="H204" i="21"/>
  <c r="G204" i="21"/>
  <c r="F204" i="21"/>
  <c r="E204" i="21"/>
  <c r="D204" i="21"/>
  <c r="C204" i="21"/>
  <c r="B204" i="21"/>
  <c r="A204" i="21"/>
  <c r="BG203" i="21"/>
  <c r="BH203" i="21" s="1"/>
  <c r="BE203" i="21"/>
  <c r="BF203" i="21" s="1"/>
  <c r="AW203" i="21"/>
  <c r="AX203" i="21" s="1"/>
  <c r="AU203" i="21"/>
  <c r="AV203" i="21" s="1"/>
  <c r="AS203" i="21"/>
  <c r="AT203" i="21" s="1"/>
  <c r="AQ203" i="21"/>
  <c r="AR203" i="21" s="1"/>
  <c r="AO203" i="21"/>
  <c r="AP203" i="21" s="1"/>
  <c r="AM203" i="21"/>
  <c r="AN203" i="21" s="1"/>
  <c r="BB203" i="21" s="1"/>
  <c r="AK203" i="21"/>
  <c r="AL203" i="21" s="1"/>
  <c r="AG203" i="21"/>
  <c r="AE203" i="21"/>
  <c r="AF203" i="21" s="1"/>
  <c r="AC203" i="21"/>
  <c r="AA203" i="21"/>
  <c r="AB203" i="21" s="1"/>
  <c r="W203" i="21"/>
  <c r="X203" i="21" s="1"/>
  <c r="U203" i="21"/>
  <c r="V203" i="21" s="1"/>
  <c r="S203" i="21"/>
  <c r="T203" i="21" s="1"/>
  <c r="Q203" i="21"/>
  <c r="R203" i="21" s="1"/>
  <c r="P203" i="21"/>
  <c r="O203" i="21"/>
  <c r="N203" i="21"/>
  <c r="M203" i="21"/>
  <c r="L203" i="21"/>
  <c r="K203" i="21"/>
  <c r="J203" i="21"/>
  <c r="I203" i="21"/>
  <c r="H203" i="21"/>
  <c r="G203" i="21"/>
  <c r="F203" i="21"/>
  <c r="E203" i="21"/>
  <c r="D203" i="21"/>
  <c r="C203" i="21"/>
  <c r="B203" i="21"/>
  <c r="A203" i="21"/>
  <c r="BG202" i="21"/>
  <c r="BE202" i="21"/>
  <c r="BF202" i="21" s="1"/>
  <c r="AW202" i="21"/>
  <c r="AX202" i="21" s="1"/>
  <c r="AU202" i="21"/>
  <c r="AV202" i="21" s="1"/>
  <c r="AS202" i="21"/>
  <c r="AT202" i="21" s="1"/>
  <c r="AQ202" i="21"/>
  <c r="AR202" i="21" s="1"/>
  <c r="AO202" i="21"/>
  <c r="AP202" i="21" s="1"/>
  <c r="AM202" i="21"/>
  <c r="AK202" i="21"/>
  <c r="AL202" i="21" s="1"/>
  <c r="AG202" i="21"/>
  <c r="AH202" i="21" s="1"/>
  <c r="AE202" i="21"/>
  <c r="AF202" i="21" s="1"/>
  <c r="AC202" i="21"/>
  <c r="AD202" i="21" s="1"/>
  <c r="AA202" i="21"/>
  <c r="W202" i="21"/>
  <c r="X202" i="21" s="1"/>
  <c r="U202" i="21"/>
  <c r="V202" i="21" s="1"/>
  <c r="S202" i="21"/>
  <c r="Q202" i="21"/>
  <c r="R202" i="21" s="1"/>
  <c r="P202" i="21"/>
  <c r="O202" i="21"/>
  <c r="N202" i="21"/>
  <c r="M202" i="21"/>
  <c r="L202" i="21"/>
  <c r="K202" i="21"/>
  <c r="J202" i="21"/>
  <c r="I202" i="21"/>
  <c r="H202" i="21"/>
  <c r="G202" i="21"/>
  <c r="F202" i="21"/>
  <c r="E202" i="21"/>
  <c r="D202" i="21"/>
  <c r="C202" i="21"/>
  <c r="B202" i="21"/>
  <c r="A202" i="21"/>
  <c r="BG201" i="21"/>
  <c r="BH201" i="21" s="1"/>
  <c r="BE201" i="21"/>
  <c r="BF201" i="21" s="1"/>
  <c r="AW201" i="21"/>
  <c r="AX201" i="21" s="1"/>
  <c r="AU201" i="21"/>
  <c r="AV201" i="21" s="1"/>
  <c r="AS201" i="21"/>
  <c r="AT201" i="21" s="1"/>
  <c r="AQ201" i="21"/>
  <c r="AO201" i="21"/>
  <c r="AP201" i="21" s="1"/>
  <c r="AM201" i="21"/>
  <c r="AN201" i="21" s="1"/>
  <c r="AK201" i="21"/>
  <c r="AL201" i="21" s="1"/>
  <c r="AG201" i="21"/>
  <c r="AH201" i="21" s="1"/>
  <c r="AE201" i="21"/>
  <c r="AC201" i="21"/>
  <c r="AD201" i="21" s="1"/>
  <c r="AA201" i="21"/>
  <c r="AB201" i="21" s="1"/>
  <c r="W201" i="21"/>
  <c r="U201" i="21"/>
  <c r="V201" i="21" s="1"/>
  <c r="S201" i="21"/>
  <c r="T201" i="21" s="1"/>
  <c r="Q201" i="21"/>
  <c r="R201" i="21" s="1"/>
  <c r="P201" i="21"/>
  <c r="O201" i="21"/>
  <c r="N201" i="21"/>
  <c r="M201" i="21"/>
  <c r="L201" i="21"/>
  <c r="K201" i="21"/>
  <c r="J201" i="21"/>
  <c r="I201" i="21"/>
  <c r="H201" i="21"/>
  <c r="G201" i="21"/>
  <c r="F201" i="21"/>
  <c r="E201" i="21"/>
  <c r="D201" i="21"/>
  <c r="C201" i="21"/>
  <c r="B201" i="21"/>
  <c r="A201" i="21"/>
  <c r="BG200" i="21"/>
  <c r="BH200" i="21" s="1"/>
  <c r="BE200" i="21"/>
  <c r="BF200" i="21" s="1"/>
  <c r="AW200" i="21"/>
  <c r="AX200" i="21" s="1"/>
  <c r="AU200" i="21"/>
  <c r="AS200" i="21"/>
  <c r="AT200" i="21" s="1"/>
  <c r="AQ200" i="21"/>
  <c r="AR200" i="21" s="1"/>
  <c r="AO200" i="21"/>
  <c r="AP200" i="21" s="1"/>
  <c r="AM200" i="21"/>
  <c r="AN200" i="21" s="1"/>
  <c r="AK200" i="21"/>
  <c r="AL200" i="21" s="1"/>
  <c r="AG200" i="21"/>
  <c r="AH200" i="21" s="1"/>
  <c r="AE200" i="21"/>
  <c r="AF200" i="21" s="1"/>
  <c r="AC200" i="21"/>
  <c r="AA200" i="21"/>
  <c r="AB200" i="21" s="1"/>
  <c r="W200" i="21"/>
  <c r="X200" i="21" s="1"/>
  <c r="U200" i="21"/>
  <c r="V200" i="21" s="1"/>
  <c r="S200" i="21"/>
  <c r="T200" i="21" s="1"/>
  <c r="Q200" i="21"/>
  <c r="R200" i="21" s="1"/>
  <c r="P200" i="21"/>
  <c r="O200" i="21"/>
  <c r="N200" i="21"/>
  <c r="M200" i="21"/>
  <c r="L200" i="21"/>
  <c r="K200" i="21"/>
  <c r="J200" i="21"/>
  <c r="I200" i="21"/>
  <c r="H200" i="21"/>
  <c r="G200" i="21"/>
  <c r="F200" i="21"/>
  <c r="E200" i="21"/>
  <c r="D200" i="21"/>
  <c r="C200" i="21"/>
  <c r="B200" i="21"/>
  <c r="A200" i="21"/>
  <c r="BG199" i="21"/>
  <c r="BH199" i="21" s="1"/>
  <c r="BE199" i="21"/>
  <c r="BF199" i="21" s="1"/>
  <c r="AW199" i="21"/>
  <c r="AX199" i="21" s="1"/>
  <c r="AU199" i="21"/>
  <c r="AS199" i="21"/>
  <c r="AT199" i="21" s="1"/>
  <c r="AQ199" i="21"/>
  <c r="AR199" i="21" s="1"/>
  <c r="AO199" i="21"/>
  <c r="AP199" i="21" s="1"/>
  <c r="AM199" i="21"/>
  <c r="AN199" i="21" s="1"/>
  <c r="AK199" i="21"/>
  <c r="AL199" i="21" s="1"/>
  <c r="AG199" i="21"/>
  <c r="AE199" i="21"/>
  <c r="AF199" i="21" s="1"/>
  <c r="AC199" i="21"/>
  <c r="AA199" i="21"/>
  <c r="AB199" i="21" s="1"/>
  <c r="W199" i="21"/>
  <c r="X199" i="21" s="1"/>
  <c r="U199" i="21"/>
  <c r="V199" i="21" s="1"/>
  <c r="S199" i="21"/>
  <c r="T199" i="21" s="1"/>
  <c r="Q199" i="21"/>
  <c r="R199" i="21" s="1"/>
  <c r="P199" i="21"/>
  <c r="O199" i="21"/>
  <c r="N199" i="21"/>
  <c r="M199" i="21"/>
  <c r="L199" i="21"/>
  <c r="K199" i="21"/>
  <c r="J199" i="21"/>
  <c r="I199" i="21"/>
  <c r="H199" i="21"/>
  <c r="G199" i="21"/>
  <c r="F199" i="21"/>
  <c r="E199" i="21"/>
  <c r="D199" i="21"/>
  <c r="C199" i="21"/>
  <c r="B199" i="21"/>
  <c r="A199" i="21"/>
  <c r="BG198" i="21"/>
  <c r="BH198" i="21" s="1"/>
  <c r="BE198" i="21"/>
  <c r="BF198" i="21" s="1"/>
  <c r="AW198" i="21"/>
  <c r="AX198" i="21" s="1"/>
  <c r="AU198" i="21"/>
  <c r="AV198" i="21" s="1"/>
  <c r="AS198" i="21"/>
  <c r="AQ198" i="21"/>
  <c r="AR198" i="21" s="1"/>
  <c r="AO198" i="21"/>
  <c r="AP198" i="21" s="1"/>
  <c r="AM198" i="21"/>
  <c r="AK198" i="21"/>
  <c r="AL198" i="21" s="1"/>
  <c r="AG198" i="21"/>
  <c r="AH198" i="21" s="1"/>
  <c r="AE198" i="21"/>
  <c r="AF198" i="21" s="1"/>
  <c r="AC198" i="21"/>
  <c r="AD198" i="21" s="1"/>
  <c r="AA198" i="21"/>
  <c r="AB198" i="21" s="1"/>
  <c r="W198" i="21"/>
  <c r="X198" i="21" s="1"/>
  <c r="U198" i="21"/>
  <c r="V198" i="21" s="1"/>
  <c r="S198" i="21"/>
  <c r="Q198" i="21"/>
  <c r="R198" i="21" s="1"/>
  <c r="P198" i="21"/>
  <c r="O198" i="21"/>
  <c r="N198" i="21"/>
  <c r="M198" i="21"/>
  <c r="L198" i="21"/>
  <c r="K198" i="21"/>
  <c r="J198" i="21"/>
  <c r="I198" i="21"/>
  <c r="H198" i="21"/>
  <c r="G198" i="21"/>
  <c r="F198" i="21"/>
  <c r="E198" i="21"/>
  <c r="D198" i="21"/>
  <c r="C198" i="21"/>
  <c r="B198" i="21"/>
  <c r="A198" i="21"/>
  <c r="BG197" i="21"/>
  <c r="BH197" i="21" s="1"/>
  <c r="BE197" i="21"/>
  <c r="BF197" i="21" s="1"/>
  <c r="AW197" i="21"/>
  <c r="AU197" i="21"/>
  <c r="AV197" i="21" s="1"/>
  <c r="AS197" i="21"/>
  <c r="AT197" i="21" s="1"/>
  <c r="AQ197" i="21"/>
  <c r="AO197" i="21"/>
  <c r="AP197" i="21" s="1"/>
  <c r="AM197" i="21"/>
  <c r="AN197" i="21" s="1"/>
  <c r="AK197" i="21"/>
  <c r="AL197" i="21" s="1"/>
  <c r="AG197" i="21"/>
  <c r="AH197" i="21" s="1"/>
  <c r="AE197" i="21"/>
  <c r="AF197" i="21" s="1"/>
  <c r="AC197" i="21"/>
  <c r="AD197" i="21" s="1"/>
  <c r="AA197" i="21"/>
  <c r="AB197" i="21" s="1"/>
  <c r="W197" i="21"/>
  <c r="U197" i="21"/>
  <c r="V197" i="21" s="1"/>
  <c r="S197" i="21"/>
  <c r="T197" i="21" s="1"/>
  <c r="Q197" i="21"/>
  <c r="R197" i="21" s="1"/>
  <c r="P197" i="21"/>
  <c r="O197" i="21"/>
  <c r="N197" i="21"/>
  <c r="M197" i="21"/>
  <c r="L197" i="21"/>
  <c r="K197" i="21"/>
  <c r="J197" i="21"/>
  <c r="I197" i="21"/>
  <c r="H197" i="21"/>
  <c r="G197" i="21"/>
  <c r="F197" i="21"/>
  <c r="E197" i="21"/>
  <c r="D197" i="21"/>
  <c r="C197" i="21"/>
  <c r="B197" i="21"/>
  <c r="A197" i="21"/>
  <c r="BG196" i="21"/>
  <c r="BH196" i="21" s="1"/>
  <c r="BE196" i="21"/>
  <c r="BF196" i="21" s="1"/>
  <c r="AW196" i="21"/>
  <c r="AX196" i="21" s="1"/>
  <c r="AU196" i="21"/>
  <c r="AS196" i="21"/>
  <c r="AT196" i="21" s="1"/>
  <c r="AQ196" i="21"/>
  <c r="AR196" i="21" s="1"/>
  <c r="AO196" i="21"/>
  <c r="AP196" i="21" s="1"/>
  <c r="AM196" i="21"/>
  <c r="AN196" i="21" s="1"/>
  <c r="AK196" i="21"/>
  <c r="AL196" i="21" s="1"/>
  <c r="AG196" i="21"/>
  <c r="AH196" i="21" s="1"/>
  <c r="AE196" i="21"/>
  <c r="AF196" i="21" s="1"/>
  <c r="AC196" i="21"/>
  <c r="AA196" i="21"/>
  <c r="AB196" i="21" s="1"/>
  <c r="W196" i="21"/>
  <c r="U196" i="21"/>
  <c r="V196" i="21" s="1"/>
  <c r="S196" i="21"/>
  <c r="T196" i="21" s="1"/>
  <c r="Q196" i="21"/>
  <c r="R196" i="21" s="1"/>
  <c r="P196" i="21"/>
  <c r="O196" i="21"/>
  <c r="N196" i="21"/>
  <c r="M196" i="21"/>
  <c r="L196" i="21"/>
  <c r="K196" i="21"/>
  <c r="J196" i="21"/>
  <c r="I196" i="21"/>
  <c r="H196" i="21"/>
  <c r="G196" i="21"/>
  <c r="F196" i="21"/>
  <c r="E196" i="21"/>
  <c r="D196" i="21"/>
  <c r="C196" i="21"/>
  <c r="B196" i="21"/>
  <c r="A196" i="21"/>
  <c r="BG195" i="21"/>
  <c r="BH195" i="21" s="1"/>
  <c r="BE195" i="21"/>
  <c r="BF195" i="21" s="1"/>
  <c r="AW195" i="21"/>
  <c r="AX195" i="21" s="1"/>
  <c r="AU195" i="21"/>
  <c r="AS195" i="21"/>
  <c r="AT195" i="21" s="1"/>
  <c r="AQ195" i="21"/>
  <c r="AR195" i="21" s="1"/>
  <c r="AO195" i="21"/>
  <c r="AP195" i="21" s="1"/>
  <c r="AM195" i="21"/>
  <c r="AN195" i="21" s="1"/>
  <c r="AK195" i="21"/>
  <c r="AL195" i="21" s="1"/>
  <c r="AG195" i="21"/>
  <c r="AE195" i="21"/>
  <c r="AF195" i="21" s="1"/>
  <c r="AC195" i="21"/>
  <c r="AA195" i="21"/>
  <c r="AB195" i="21" s="1"/>
  <c r="W195" i="21"/>
  <c r="X195" i="21" s="1"/>
  <c r="U195" i="21"/>
  <c r="S195" i="21"/>
  <c r="T195" i="21" s="1"/>
  <c r="Q195" i="21"/>
  <c r="R195" i="21" s="1"/>
  <c r="P195" i="21"/>
  <c r="O195" i="21"/>
  <c r="N195" i="21"/>
  <c r="M195" i="21"/>
  <c r="L195" i="21"/>
  <c r="K195" i="21"/>
  <c r="J195" i="21"/>
  <c r="I195" i="21"/>
  <c r="H195" i="21"/>
  <c r="G195" i="21"/>
  <c r="F195" i="21"/>
  <c r="E195" i="21"/>
  <c r="D195" i="21"/>
  <c r="C195" i="21"/>
  <c r="B195" i="21"/>
  <c r="A195" i="21"/>
  <c r="BG194" i="21"/>
  <c r="BE194" i="21"/>
  <c r="BF194" i="21" s="1"/>
  <c r="AW194" i="21"/>
  <c r="AX194" i="21" s="1"/>
  <c r="AU194" i="21"/>
  <c r="AV194" i="21" s="1"/>
  <c r="AS194" i="21"/>
  <c r="AQ194" i="21"/>
  <c r="AR194" i="21" s="1"/>
  <c r="AO194" i="21"/>
  <c r="AP194" i="21" s="1"/>
  <c r="AM194" i="21"/>
  <c r="AK194" i="21"/>
  <c r="AL194" i="21" s="1"/>
  <c r="AG194" i="21"/>
  <c r="AH194" i="21" s="1"/>
  <c r="AE194" i="21"/>
  <c r="AF194" i="21" s="1"/>
  <c r="AC194" i="21"/>
  <c r="AD194" i="21" s="1"/>
  <c r="AA194" i="21"/>
  <c r="W194" i="21"/>
  <c r="X194" i="21" s="1"/>
  <c r="U194" i="21"/>
  <c r="V194" i="21" s="1"/>
  <c r="S194" i="21"/>
  <c r="Q194" i="21"/>
  <c r="R194" i="21" s="1"/>
  <c r="P194" i="21"/>
  <c r="O194" i="21"/>
  <c r="N194" i="21"/>
  <c r="M194" i="21"/>
  <c r="L194" i="21"/>
  <c r="K194" i="21"/>
  <c r="J194" i="21"/>
  <c r="I194" i="21"/>
  <c r="H194" i="21"/>
  <c r="G194" i="21"/>
  <c r="F194" i="21"/>
  <c r="E194" i="21"/>
  <c r="D194" i="21"/>
  <c r="C194" i="21"/>
  <c r="B194" i="21"/>
  <c r="A194" i="21"/>
  <c r="BG193" i="21"/>
  <c r="BH193" i="21" s="1"/>
  <c r="BE193" i="21"/>
  <c r="BF193" i="21" s="1"/>
  <c r="AW193" i="21"/>
  <c r="AX193" i="21" s="1"/>
  <c r="AU193" i="21"/>
  <c r="AV193" i="21" s="1"/>
  <c r="AS193" i="21"/>
  <c r="AT193" i="21" s="1"/>
  <c r="AQ193" i="21"/>
  <c r="AR193" i="21" s="1"/>
  <c r="AO193" i="21"/>
  <c r="AP193" i="21" s="1"/>
  <c r="AM193" i="21"/>
  <c r="AN193" i="21" s="1"/>
  <c r="AK193" i="21"/>
  <c r="AL193" i="21" s="1"/>
  <c r="AG193" i="21"/>
  <c r="AH193" i="21" s="1"/>
  <c r="AE193" i="21"/>
  <c r="AF193" i="21" s="1"/>
  <c r="AC193" i="21"/>
  <c r="AD193" i="21" s="1"/>
  <c r="AA193" i="21"/>
  <c r="AB193" i="21" s="1"/>
  <c r="W193" i="21"/>
  <c r="U193" i="21"/>
  <c r="V193" i="21" s="1"/>
  <c r="S193" i="21"/>
  <c r="T193" i="21" s="1"/>
  <c r="Q193" i="21"/>
  <c r="R193" i="21" s="1"/>
  <c r="P193" i="21"/>
  <c r="O193" i="21"/>
  <c r="N193" i="21"/>
  <c r="M193" i="21"/>
  <c r="L193" i="21"/>
  <c r="K193" i="21"/>
  <c r="J193" i="21"/>
  <c r="I193" i="21"/>
  <c r="H193" i="21"/>
  <c r="G193" i="21"/>
  <c r="F193" i="21"/>
  <c r="E193" i="21"/>
  <c r="D193" i="21"/>
  <c r="C193" i="21"/>
  <c r="B193" i="21"/>
  <c r="A193" i="21"/>
  <c r="BG192" i="21"/>
  <c r="BH192" i="21" s="1"/>
  <c r="BE192" i="21"/>
  <c r="BF192" i="21" s="1"/>
  <c r="AW192" i="21"/>
  <c r="AX192" i="21" s="1"/>
  <c r="AU192" i="21"/>
  <c r="AS192" i="21"/>
  <c r="AT192" i="21" s="1"/>
  <c r="AQ192" i="21"/>
  <c r="AO192" i="21"/>
  <c r="AP192" i="21" s="1"/>
  <c r="AM192" i="21"/>
  <c r="AN192" i="21" s="1"/>
  <c r="AK192" i="21"/>
  <c r="AL192" i="21" s="1"/>
  <c r="AG192" i="21"/>
  <c r="AH192" i="21" s="1"/>
  <c r="AE192" i="21"/>
  <c r="AF192" i="21" s="1"/>
  <c r="AC192" i="21"/>
  <c r="AA192" i="21"/>
  <c r="AB192" i="21" s="1"/>
  <c r="W192" i="21"/>
  <c r="X192" i="21" s="1"/>
  <c r="U192" i="21"/>
  <c r="V192" i="21" s="1"/>
  <c r="S192" i="21"/>
  <c r="T192" i="21" s="1"/>
  <c r="Q192" i="21"/>
  <c r="R192" i="21" s="1"/>
  <c r="P192" i="21"/>
  <c r="O192" i="21"/>
  <c r="N192" i="21"/>
  <c r="M192" i="21"/>
  <c r="L192" i="21"/>
  <c r="K192" i="21"/>
  <c r="J192" i="21"/>
  <c r="I192" i="21"/>
  <c r="H192" i="21"/>
  <c r="G192" i="21"/>
  <c r="F192" i="21"/>
  <c r="E192" i="21"/>
  <c r="D192" i="21"/>
  <c r="C192" i="21"/>
  <c r="B192" i="21"/>
  <c r="A192" i="21"/>
  <c r="BG191" i="21"/>
  <c r="BH191" i="21" s="1"/>
  <c r="BE191" i="21"/>
  <c r="BF191" i="21" s="1"/>
  <c r="AW191" i="21"/>
  <c r="AX191" i="21" s="1"/>
  <c r="AU191" i="21"/>
  <c r="AS191" i="21"/>
  <c r="AT191" i="21" s="1"/>
  <c r="AQ191" i="21"/>
  <c r="AR191" i="21" s="1"/>
  <c r="AO191" i="21"/>
  <c r="AM191" i="21"/>
  <c r="AN191" i="21" s="1"/>
  <c r="AK191" i="21"/>
  <c r="AL191" i="21" s="1"/>
  <c r="AG191" i="21"/>
  <c r="AE191" i="21"/>
  <c r="AF191" i="21" s="1"/>
  <c r="AC191" i="21"/>
  <c r="AD191" i="21" s="1"/>
  <c r="AA191" i="21"/>
  <c r="AB191" i="21" s="1"/>
  <c r="W191" i="21"/>
  <c r="X191" i="21" s="1"/>
  <c r="U191" i="21"/>
  <c r="V191" i="21" s="1"/>
  <c r="S191" i="21"/>
  <c r="T191" i="21" s="1"/>
  <c r="Q191" i="21"/>
  <c r="R191" i="21" s="1"/>
  <c r="P191" i="21"/>
  <c r="O191" i="21"/>
  <c r="N191" i="21"/>
  <c r="M191" i="21"/>
  <c r="L191" i="21"/>
  <c r="K191" i="21"/>
  <c r="J191" i="21"/>
  <c r="I191" i="21"/>
  <c r="H191" i="21"/>
  <c r="G191" i="21"/>
  <c r="F191" i="21"/>
  <c r="E191" i="21"/>
  <c r="D191" i="21"/>
  <c r="C191" i="21"/>
  <c r="B191" i="21"/>
  <c r="A191" i="21"/>
  <c r="BG190" i="21"/>
  <c r="BE190" i="21"/>
  <c r="BF190" i="21" s="1"/>
  <c r="AW190" i="21"/>
  <c r="AX190" i="21" s="1"/>
  <c r="AU190" i="21"/>
  <c r="AV190" i="21" s="1"/>
  <c r="AS190" i="21"/>
  <c r="AQ190" i="21"/>
  <c r="AR190" i="21" s="1"/>
  <c r="AO190" i="21"/>
  <c r="AP190" i="21" s="1"/>
  <c r="AM190" i="21"/>
  <c r="AK190" i="21"/>
  <c r="AL190" i="21" s="1"/>
  <c r="AG190" i="21"/>
  <c r="AH190" i="21" s="1"/>
  <c r="AE190" i="21"/>
  <c r="AF190" i="21" s="1"/>
  <c r="AC190" i="21"/>
  <c r="AD190" i="21" s="1"/>
  <c r="AA190" i="21"/>
  <c r="AB190" i="21" s="1"/>
  <c r="W190" i="21"/>
  <c r="X190" i="21" s="1"/>
  <c r="U190" i="21"/>
  <c r="V190" i="21" s="1"/>
  <c r="S190" i="21"/>
  <c r="T190" i="21" s="1"/>
  <c r="Q190" i="21"/>
  <c r="R190" i="21" s="1"/>
  <c r="P190" i="21"/>
  <c r="O190" i="21"/>
  <c r="N190" i="21"/>
  <c r="M190" i="21"/>
  <c r="L190" i="21"/>
  <c r="K190" i="21"/>
  <c r="J190" i="21"/>
  <c r="I190" i="21"/>
  <c r="H190" i="21"/>
  <c r="G190" i="21"/>
  <c r="F190" i="21"/>
  <c r="E190" i="21"/>
  <c r="D190" i="21"/>
  <c r="C190" i="21"/>
  <c r="B190" i="21"/>
  <c r="A190" i="21"/>
  <c r="BG189" i="21"/>
  <c r="BH189" i="21" s="1"/>
  <c r="BE189" i="21"/>
  <c r="BF189" i="21" s="1"/>
  <c r="AW189" i="21"/>
  <c r="AX189" i="21" s="1"/>
  <c r="AU189" i="21"/>
  <c r="AV189" i="21" s="1"/>
  <c r="AS189" i="21"/>
  <c r="AT189" i="21" s="1"/>
  <c r="AQ189" i="21"/>
  <c r="AO189" i="21"/>
  <c r="AP189" i="21" s="1"/>
  <c r="AM189" i="21"/>
  <c r="AN189" i="21" s="1"/>
  <c r="AK189" i="21"/>
  <c r="AL189" i="21" s="1"/>
  <c r="AG189" i="21"/>
  <c r="AH189" i="21" s="1"/>
  <c r="AE189" i="21"/>
  <c r="AF189" i="21" s="1"/>
  <c r="AC189" i="21"/>
  <c r="AD189" i="21" s="1"/>
  <c r="AA189" i="21"/>
  <c r="AB189" i="21" s="1"/>
  <c r="W189" i="21"/>
  <c r="U189" i="21"/>
  <c r="V189" i="21" s="1"/>
  <c r="S189" i="21"/>
  <c r="T189" i="21" s="1"/>
  <c r="Q189" i="21"/>
  <c r="R189" i="21" s="1"/>
  <c r="P189" i="21"/>
  <c r="O189" i="21"/>
  <c r="N189" i="21"/>
  <c r="M189" i="21"/>
  <c r="L189" i="21"/>
  <c r="K189" i="21"/>
  <c r="J189" i="21"/>
  <c r="I189" i="21"/>
  <c r="H189" i="21"/>
  <c r="G189" i="21"/>
  <c r="F189" i="21"/>
  <c r="E189" i="21"/>
  <c r="D189" i="21"/>
  <c r="C189" i="21"/>
  <c r="B189" i="21"/>
  <c r="A189" i="21"/>
  <c r="BG188" i="21"/>
  <c r="BH188" i="21" s="1"/>
  <c r="BE188" i="21"/>
  <c r="BF188" i="21" s="1"/>
  <c r="AW188" i="21"/>
  <c r="AX188" i="21" s="1"/>
  <c r="AU188" i="21"/>
  <c r="AS188" i="21"/>
  <c r="AT188" i="21" s="1"/>
  <c r="AQ188" i="21"/>
  <c r="AR188" i="21" s="1"/>
  <c r="AO188" i="21"/>
  <c r="AP188" i="21" s="1"/>
  <c r="AM188" i="21"/>
  <c r="AN188" i="21" s="1"/>
  <c r="AK188" i="21"/>
  <c r="AL188" i="21" s="1"/>
  <c r="AG188" i="21"/>
  <c r="AH188" i="21" s="1"/>
  <c r="AE188" i="21"/>
  <c r="AF188" i="21" s="1"/>
  <c r="AC188" i="21"/>
  <c r="AD188" i="21" s="1"/>
  <c r="AA188" i="21"/>
  <c r="AB188" i="21" s="1"/>
  <c r="W188" i="21"/>
  <c r="U188" i="21"/>
  <c r="V188" i="21" s="1"/>
  <c r="S188" i="21"/>
  <c r="T188" i="21" s="1"/>
  <c r="Q188" i="21"/>
  <c r="P188" i="21"/>
  <c r="O188" i="21"/>
  <c r="N188" i="21"/>
  <c r="M188" i="21"/>
  <c r="L188" i="21"/>
  <c r="K188" i="21"/>
  <c r="J188" i="21"/>
  <c r="I188" i="21"/>
  <c r="H188" i="21"/>
  <c r="G188" i="21"/>
  <c r="F188" i="21"/>
  <c r="E188" i="21"/>
  <c r="D188" i="21"/>
  <c r="C188" i="21"/>
  <c r="B188" i="21"/>
  <c r="A188" i="21"/>
  <c r="BG187" i="21"/>
  <c r="BH187" i="21" s="1"/>
  <c r="BE187" i="21"/>
  <c r="BF187" i="21" s="1"/>
  <c r="AW187" i="21"/>
  <c r="AX187" i="21" s="1"/>
  <c r="AU187" i="21"/>
  <c r="AV187" i="21" s="1"/>
  <c r="AS187" i="21"/>
  <c r="AT187" i="21" s="1"/>
  <c r="AQ187" i="21"/>
  <c r="AO187" i="21"/>
  <c r="AP187" i="21" s="1"/>
  <c r="AM187" i="21"/>
  <c r="AN187" i="21" s="1"/>
  <c r="AK187" i="21"/>
  <c r="AL187" i="21" s="1"/>
  <c r="AG187" i="21"/>
  <c r="AH187" i="21" s="1"/>
  <c r="AE187" i="21"/>
  <c r="AF187" i="21" s="1"/>
  <c r="AC187" i="21"/>
  <c r="AD187" i="21" s="1"/>
  <c r="AA187" i="21"/>
  <c r="AB187" i="21" s="1"/>
  <c r="W187" i="21"/>
  <c r="X187" i="21" s="1"/>
  <c r="U187" i="21"/>
  <c r="S187" i="21"/>
  <c r="T187" i="21" s="1"/>
  <c r="Q187" i="21"/>
  <c r="R187" i="21" s="1"/>
  <c r="P187" i="21"/>
  <c r="O187" i="21"/>
  <c r="N187" i="21"/>
  <c r="M187" i="21"/>
  <c r="L187" i="21"/>
  <c r="K187" i="21"/>
  <c r="J187" i="21"/>
  <c r="I187" i="21"/>
  <c r="H187" i="21"/>
  <c r="G187" i="21"/>
  <c r="F187" i="21"/>
  <c r="E187" i="21"/>
  <c r="D187" i="21"/>
  <c r="C187" i="21"/>
  <c r="B187" i="21"/>
  <c r="A187" i="21"/>
  <c r="BG186" i="21"/>
  <c r="BH186" i="21" s="1"/>
  <c r="BE186" i="21"/>
  <c r="BF186" i="21" s="1"/>
  <c r="AW186" i="21"/>
  <c r="AX186" i="21" s="1"/>
  <c r="AU186" i="21"/>
  <c r="AS186" i="21"/>
  <c r="AT186" i="21" s="1"/>
  <c r="AQ186" i="21"/>
  <c r="AR186" i="21" s="1"/>
  <c r="AO186" i="21"/>
  <c r="AP186" i="21" s="1"/>
  <c r="AM186" i="21"/>
  <c r="AN186" i="21" s="1"/>
  <c r="AK186" i="21"/>
  <c r="AL186" i="21" s="1"/>
  <c r="AG186" i="21"/>
  <c r="AH186" i="21" s="1"/>
  <c r="AE186" i="21"/>
  <c r="AF186" i="21" s="1"/>
  <c r="AC186" i="21"/>
  <c r="AD186" i="21" s="1"/>
  <c r="AA186" i="21"/>
  <c r="W186" i="21"/>
  <c r="X186" i="21" s="1"/>
  <c r="U186" i="21"/>
  <c r="V186" i="21" s="1"/>
  <c r="S186" i="21"/>
  <c r="Q186" i="21"/>
  <c r="R186" i="21" s="1"/>
  <c r="P186" i="21"/>
  <c r="O186" i="21"/>
  <c r="N186" i="21"/>
  <c r="M186" i="21"/>
  <c r="L186" i="21"/>
  <c r="K186" i="21"/>
  <c r="J186" i="21"/>
  <c r="I186" i="21"/>
  <c r="H186" i="21"/>
  <c r="G186" i="21"/>
  <c r="F186" i="21"/>
  <c r="E186" i="21"/>
  <c r="D186" i="21"/>
  <c r="C186" i="21"/>
  <c r="B186" i="21"/>
  <c r="A186" i="21"/>
  <c r="BG185" i="21"/>
  <c r="BH185" i="21" s="1"/>
  <c r="BE185" i="21"/>
  <c r="BF185" i="21" s="1"/>
  <c r="AW185" i="21"/>
  <c r="AX185" i="21" s="1"/>
  <c r="AU185" i="21"/>
  <c r="AV185" i="21" s="1"/>
  <c r="AS185" i="21"/>
  <c r="AT185" i="21" s="1"/>
  <c r="AQ185" i="21"/>
  <c r="AR185" i="21" s="1"/>
  <c r="AO185" i="21"/>
  <c r="AP185" i="21" s="1"/>
  <c r="AM185" i="21"/>
  <c r="AN185" i="21" s="1"/>
  <c r="AK185" i="21"/>
  <c r="AL185" i="21" s="1"/>
  <c r="AG185" i="21"/>
  <c r="AH185" i="21" s="1"/>
  <c r="AE185" i="21"/>
  <c r="AC185" i="21"/>
  <c r="AD185" i="21" s="1"/>
  <c r="AJ185" i="21" s="1"/>
  <c r="AA185" i="21"/>
  <c r="AB185" i="21" s="1"/>
  <c r="W185" i="21"/>
  <c r="U185" i="21"/>
  <c r="V185" i="21" s="1"/>
  <c r="S185" i="21"/>
  <c r="T185" i="21" s="1"/>
  <c r="Q185" i="21"/>
  <c r="R185" i="21" s="1"/>
  <c r="P185" i="21"/>
  <c r="O185" i="21"/>
  <c r="N185" i="21"/>
  <c r="M185" i="21"/>
  <c r="L185" i="21"/>
  <c r="K185" i="21"/>
  <c r="J185" i="21"/>
  <c r="I185" i="21"/>
  <c r="H185" i="21"/>
  <c r="G185" i="21"/>
  <c r="F185" i="21"/>
  <c r="E185" i="21"/>
  <c r="D185" i="21"/>
  <c r="C185" i="21"/>
  <c r="B185" i="21"/>
  <c r="A185" i="21"/>
  <c r="BG184" i="21"/>
  <c r="BE184" i="21"/>
  <c r="BF184" i="21" s="1"/>
  <c r="AW184" i="21"/>
  <c r="AU184" i="21"/>
  <c r="AV184" i="21" s="1"/>
  <c r="AS184" i="21"/>
  <c r="AT184" i="21" s="1"/>
  <c r="AQ184" i="21"/>
  <c r="AO184" i="21"/>
  <c r="AP184" i="21" s="1"/>
  <c r="AM184" i="21"/>
  <c r="AN184" i="21" s="1"/>
  <c r="AK184" i="21"/>
  <c r="AL184" i="21" s="1"/>
  <c r="AG184" i="21"/>
  <c r="AH184" i="21" s="1"/>
  <c r="AE184" i="21"/>
  <c r="AF184" i="21" s="1"/>
  <c r="AC184" i="21"/>
  <c r="AD184" i="21" s="1"/>
  <c r="AA184" i="21"/>
  <c r="AB184" i="21" s="1"/>
  <c r="W184" i="21"/>
  <c r="X184" i="21" s="1"/>
  <c r="U184" i="21"/>
  <c r="V184" i="21" s="1"/>
  <c r="S184" i="21"/>
  <c r="T184" i="21" s="1"/>
  <c r="Q184" i="21"/>
  <c r="R184" i="21" s="1"/>
  <c r="P184" i="21"/>
  <c r="O184" i="21"/>
  <c r="N184" i="21"/>
  <c r="M184" i="21"/>
  <c r="L184" i="21"/>
  <c r="K184" i="21"/>
  <c r="J184" i="21"/>
  <c r="I184" i="21"/>
  <c r="H184" i="21"/>
  <c r="G184" i="21"/>
  <c r="F184" i="21"/>
  <c r="E184" i="21"/>
  <c r="D184" i="21"/>
  <c r="C184" i="21"/>
  <c r="B184" i="21"/>
  <c r="A184" i="21"/>
  <c r="BG183" i="21"/>
  <c r="BH183" i="21" s="1"/>
  <c r="BE183" i="21"/>
  <c r="BF183" i="21" s="1"/>
  <c r="AW183" i="21"/>
  <c r="AX183" i="21" s="1"/>
  <c r="AU183" i="21"/>
  <c r="AS183" i="21"/>
  <c r="AT183" i="21" s="1"/>
  <c r="AQ183" i="21"/>
  <c r="AR183" i="21" s="1"/>
  <c r="AO183" i="21"/>
  <c r="AP183" i="21" s="1"/>
  <c r="AM183" i="21"/>
  <c r="AN183" i="21" s="1"/>
  <c r="AK183" i="21"/>
  <c r="AL183" i="21" s="1"/>
  <c r="AG183" i="21"/>
  <c r="AH183" i="21" s="1"/>
  <c r="AE183" i="21"/>
  <c r="AF183" i="21" s="1"/>
  <c r="AC183" i="21"/>
  <c r="AD183" i="21" s="1"/>
  <c r="AA183" i="21"/>
  <c r="AB183" i="21" s="1"/>
  <c r="W183" i="21"/>
  <c r="X183" i="21" s="1"/>
  <c r="U183" i="21"/>
  <c r="V183" i="21" s="1"/>
  <c r="S183" i="21"/>
  <c r="T183" i="21" s="1"/>
  <c r="Q183" i="21"/>
  <c r="R183" i="21" s="1"/>
  <c r="P183" i="21"/>
  <c r="O183" i="21"/>
  <c r="N183" i="21"/>
  <c r="M183" i="21"/>
  <c r="L183" i="21"/>
  <c r="K183" i="21"/>
  <c r="J183" i="21"/>
  <c r="I183" i="21"/>
  <c r="H183" i="21"/>
  <c r="G183" i="21"/>
  <c r="F183" i="21"/>
  <c r="E183" i="21"/>
  <c r="D183" i="21"/>
  <c r="C183" i="21"/>
  <c r="B183" i="21"/>
  <c r="A183" i="21"/>
  <c r="BG182" i="21"/>
  <c r="BH182" i="21" s="1"/>
  <c r="BE182" i="21"/>
  <c r="BF182" i="21" s="1"/>
  <c r="AW182" i="21"/>
  <c r="AX182" i="21" s="1"/>
  <c r="AU182" i="21"/>
  <c r="AV182" i="21" s="1"/>
  <c r="AS182" i="21"/>
  <c r="AT182" i="21" s="1"/>
  <c r="AQ182" i="21"/>
  <c r="AR182" i="21" s="1"/>
  <c r="AO182" i="21"/>
  <c r="AP182" i="21" s="1"/>
  <c r="AM182" i="21"/>
  <c r="AN182" i="21" s="1"/>
  <c r="AK182" i="21"/>
  <c r="AL182" i="21" s="1"/>
  <c r="AG182" i="21"/>
  <c r="AH182" i="21" s="1"/>
  <c r="AE182" i="21"/>
  <c r="AF182" i="21" s="1"/>
  <c r="AC182" i="21"/>
  <c r="AD182" i="21" s="1"/>
  <c r="AA182" i="21"/>
  <c r="AB182" i="21" s="1"/>
  <c r="W182" i="21"/>
  <c r="X182" i="21" s="1"/>
  <c r="U182" i="21"/>
  <c r="V182" i="21" s="1"/>
  <c r="S182" i="21"/>
  <c r="T182" i="21" s="1"/>
  <c r="Q182" i="21"/>
  <c r="R182" i="21" s="1"/>
  <c r="P182" i="21"/>
  <c r="O182" i="21"/>
  <c r="N182" i="21"/>
  <c r="M182" i="21"/>
  <c r="L182" i="21"/>
  <c r="K182" i="21"/>
  <c r="J182" i="21"/>
  <c r="I182" i="21"/>
  <c r="H182" i="21"/>
  <c r="G182" i="21"/>
  <c r="F182" i="21"/>
  <c r="E182" i="21"/>
  <c r="D182" i="21"/>
  <c r="C182" i="21"/>
  <c r="B182" i="21"/>
  <c r="A182" i="21"/>
  <c r="BG181" i="21"/>
  <c r="BE181" i="21"/>
  <c r="BF181" i="21" s="1"/>
  <c r="AW181" i="21"/>
  <c r="AX181" i="21" s="1"/>
  <c r="AU181" i="21"/>
  <c r="AV181" i="21" s="1"/>
  <c r="AS181" i="21"/>
  <c r="AT181" i="21" s="1"/>
  <c r="AQ181" i="21"/>
  <c r="AR181" i="21" s="1"/>
  <c r="AO181" i="21"/>
  <c r="AP181" i="21" s="1"/>
  <c r="AM181" i="21"/>
  <c r="AK181" i="21"/>
  <c r="AL181" i="21" s="1"/>
  <c r="AG181" i="21"/>
  <c r="AH181" i="21" s="1"/>
  <c r="AE181" i="21"/>
  <c r="AF181" i="21" s="1"/>
  <c r="AC181" i="21"/>
  <c r="AD181" i="21" s="1"/>
  <c r="AA181" i="21"/>
  <c r="AB181" i="21" s="1"/>
  <c r="W181" i="21"/>
  <c r="U181" i="21"/>
  <c r="V181" i="21" s="1"/>
  <c r="S181" i="21"/>
  <c r="Q181" i="21"/>
  <c r="R181" i="21" s="1"/>
  <c r="P181" i="21"/>
  <c r="O181" i="21"/>
  <c r="N181" i="21"/>
  <c r="M181" i="21"/>
  <c r="L181" i="21"/>
  <c r="K181" i="21"/>
  <c r="J181" i="21"/>
  <c r="I181" i="21"/>
  <c r="H181" i="21"/>
  <c r="G181" i="21"/>
  <c r="F181" i="21"/>
  <c r="E181" i="21"/>
  <c r="D181" i="21"/>
  <c r="C181" i="21"/>
  <c r="B181" i="21"/>
  <c r="A181" i="21"/>
  <c r="BG180" i="21"/>
  <c r="BH180" i="21" s="1"/>
  <c r="BE180" i="21"/>
  <c r="BF180" i="21" s="1"/>
  <c r="AW180" i="21"/>
  <c r="AX180" i="21" s="1"/>
  <c r="AU180" i="21"/>
  <c r="AV180" i="21" s="1"/>
  <c r="AS180" i="21"/>
  <c r="AT180" i="21" s="1"/>
  <c r="AQ180" i="21"/>
  <c r="AO180" i="21"/>
  <c r="AP180" i="21" s="1"/>
  <c r="AM180" i="21"/>
  <c r="AN180" i="21" s="1"/>
  <c r="AK180" i="21"/>
  <c r="AL180" i="21" s="1"/>
  <c r="AG180" i="21"/>
  <c r="AH180" i="21" s="1"/>
  <c r="AE180" i="21"/>
  <c r="AF180" i="21" s="1"/>
  <c r="AC180" i="21"/>
  <c r="AD180" i="21" s="1"/>
  <c r="AA180" i="21"/>
  <c r="AB180" i="21" s="1"/>
  <c r="W180" i="21"/>
  <c r="U180" i="21"/>
  <c r="V180" i="21" s="1"/>
  <c r="S180" i="21"/>
  <c r="T180" i="21" s="1"/>
  <c r="Q180" i="21"/>
  <c r="R180" i="21" s="1"/>
  <c r="P180" i="21"/>
  <c r="O180" i="21"/>
  <c r="N180" i="21"/>
  <c r="M180" i="21"/>
  <c r="L180" i="21"/>
  <c r="K180" i="21"/>
  <c r="J180" i="21"/>
  <c r="I180" i="21"/>
  <c r="H180" i="21"/>
  <c r="G180" i="21"/>
  <c r="F180" i="21"/>
  <c r="E180" i="21"/>
  <c r="D180" i="21"/>
  <c r="C180" i="21"/>
  <c r="B180" i="21"/>
  <c r="A180" i="21"/>
  <c r="BG179" i="21"/>
  <c r="BH179" i="21" s="1"/>
  <c r="BE179" i="21"/>
  <c r="BF179" i="21" s="1"/>
  <c r="AW179" i="21"/>
  <c r="AX179" i="21" s="1"/>
  <c r="AU179" i="21"/>
  <c r="AS179" i="21"/>
  <c r="AT179" i="21" s="1"/>
  <c r="AQ179" i="21"/>
  <c r="AR179" i="21" s="1"/>
  <c r="AO179" i="21"/>
  <c r="AP179" i="21" s="1"/>
  <c r="AM179" i="21"/>
  <c r="AN179" i="21" s="1"/>
  <c r="AK179" i="21"/>
  <c r="AG179" i="21"/>
  <c r="AH179" i="21" s="1"/>
  <c r="AE179" i="21"/>
  <c r="AF179" i="21" s="1"/>
  <c r="AC179" i="21"/>
  <c r="AA179" i="21"/>
  <c r="AB179" i="21" s="1"/>
  <c r="W179" i="21"/>
  <c r="X179" i="21" s="1"/>
  <c r="U179" i="21"/>
  <c r="V179" i="21" s="1"/>
  <c r="S179" i="21"/>
  <c r="T179" i="21" s="1"/>
  <c r="Q179" i="21"/>
  <c r="R179" i="21" s="1"/>
  <c r="P179" i="21"/>
  <c r="O179" i="21"/>
  <c r="N179" i="21"/>
  <c r="M179" i="21"/>
  <c r="L179" i="21"/>
  <c r="K179" i="21"/>
  <c r="J179" i="21"/>
  <c r="I179" i="21"/>
  <c r="H179" i="21"/>
  <c r="G179" i="21"/>
  <c r="F179" i="21"/>
  <c r="E179" i="21"/>
  <c r="D179" i="21"/>
  <c r="C179" i="21"/>
  <c r="B179" i="21"/>
  <c r="A179" i="21"/>
  <c r="BG178" i="21"/>
  <c r="BH178" i="21" s="1"/>
  <c r="BE178" i="21"/>
  <c r="BF178" i="21" s="1"/>
  <c r="AW178" i="21"/>
  <c r="AX178" i="21" s="1"/>
  <c r="AU178" i="21"/>
  <c r="AS178" i="21"/>
  <c r="AT178" i="21" s="1"/>
  <c r="AQ178" i="21"/>
  <c r="AR178" i="21" s="1"/>
  <c r="AO178" i="21"/>
  <c r="AM178" i="21"/>
  <c r="AN178" i="21" s="1"/>
  <c r="AK178" i="21"/>
  <c r="AL178" i="21" s="1"/>
  <c r="AG178" i="21"/>
  <c r="AE178" i="21"/>
  <c r="AF178" i="21" s="1"/>
  <c r="AC178" i="21"/>
  <c r="AD178" i="21" s="1"/>
  <c r="AA178" i="21"/>
  <c r="AB178" i="21" s="1"/>
  <c r="W178" i="21"/>
  <c r="X178" i="21" s="1"/>
  <c r="U178" i="21"/>
  <c r="V178" i="21" s="1"/>
  <c r="S178" i="21"/>
  <c r="T178" i="21" s="1"/>
  <c r="Q178" i="21"/>
  <c r="R178" i="21" s="1"/>
  <c r="P178" i="21"/>
  <c r="O178" i="21"/>
  <c r="N178" i="21"/>
  <c r="M178" i="21"/>
  <c r="L178" i="21"/>
  <c r="K178" i="21"/>
  <c r="J178" i="21"/>
  <c r="I178" i="21"/>
  <c r="H178" i="21"/>
  <c r="G178" i="21"/>
  <c r="F178" i="21"/>
  <c r="E178" i="21"/>
  <c r="D178" i="21"/>
  <c r="C178" i="21"/>
  <c r="B178" i="21"/>
  <c r="A178" i="21"/>
  <c r="BG177" i="21"/>
  <c r="BE177" i="21"/>
  <c r="BF177" i="21" s="1"/>
  <c r="AW177" i="21"/>
  <c r="AX177" i="21" s="1"/>
  <c r="AU177" i="21"/>
  <c r="AV177" i="21" s="1"/>
  <c r="AS177" i="21"/>
  <c r="AT177" i="21" s="1"/>
  <c r="AQ177" i="21"/>
  <c r="AR177" i="21" s="1"/>
  <c r="AO177" i="21"/>
  <c r="AP177" i="21" s="1"/>
  <c r="AM177" i="21"/>
  <c r="AK177" i="21"/>
  <c r="AL177" i="21" s="1"/>
  <c r="AG177" i="21"/>
  <c r="AH177" i="21" s="1"/>
  <c r="AE177" i="21"/>
  <c r="AF177" i="21" s="1"/>
  <c r="AC177" i="21"/>
  <c r="AD177" i="21" s="1"/>
  <c r="AJ177" i="21" s="1"/>
  <c r="AA177" i="21"/>
  <c r="AB177" i="21" s="1"/>
  <c r="W177" i="21"/>
  <c r="X177" i="21" s="1"/>
  <c r="U177" i="21"/>
  <c r="V177" i="21" s="1"/>
  <c r="S177" i="21"/>
  <c r="Q177" i="21"/>
  <c r="R177" i="21" s="1"/>
  <c r="P177" i="21"/>
  <c r="O177" i="21"/>
  <c r="N177" i="21"/>
  <c r="M177" i="21"/>
  <c r="L177" i="21"/>
  <c r="K177" i="21"/>
  <c r="J177" i="21"/>
  <c r="I177" i="21"/>
  <c r="H177" i="21"/>
  <c r="G177" i="21"/>
  <c r="F177" i="21"/>
  <c r="E177" i="21"/>
  <c r="D177" i="21"/>
  <c r="C177" i="21"/>
  <c r="B177" i="21"/>
  <c r="A177" i="21"/>
  <c r="BG176" i="21"/>
  <c r="BH176" i="21" s="1"/>
  <c r="BE176" i="21"/>
  <c r="BF176" i="21" s="1"/>
  <c r="AW176" i="21"/>
  <c r="AX176" i="21" s="1"/>
  <c r="AU176" i="21"/>
  <c r="AV176" i="21" s="1"/>
  <c r="AS176" i="21"/>
  <c r="AT176" i="21" s="1"/>
  <c r="AQ176" i="21"/>
  <c r="AR176" i="21" s="1"/>
  <c r="AO176" i="21"/>
  <c r="AP176" i="21" s="1"/>
  <c r="AM176" i="21"/>
  <c r="AN176" i="21" s="1"/>
  <c r="AK176" i="21"/>
  <c r="AL176" i="21" s="1"/>
  <c r="AG176" i="21"/>
  <c r="AH176" i="21" s="1"/>
  <c r="AE176" i="21"/>
  <c r="AC176" i="21"/>
  <c r="AA176" i="21"/>
  <c r="AB176" i="21" s="1"/>
  <c r="W176" i="21"/>
  <c r="X176" i="21" s="1"/>
  <c r="U176" i="21"/>
  <c r="V176" i="21" s="1"/>
  <c r="S176" i="21"/>
  <c r="Q176" i="21"/>
  <c r="R176" i="21" s="1"/>
  <c r="P176" i="21"/>
  <c r="O176" i="21"/>
  <c r="N176" i="21"/>
  <c r="M176" i="21"/>
  <c r="L176" i="21"/>
  <c r="K176" i="21"/>
  <c r="J176" i="21"/>
  <c r="I176" i="21"/>
  <c r="H176" i="21"/>
  <c r="G176" i="21"/>
  <c r="F176" i="21"/>
  <c r="E176" i="21"/>
  <c r="D176" i="21"/>
  <c r="C176" i="21"/>
  <c r="B176" i="21"/>
  <c r="A176" i="21"/>
  <c r="BG175" i="21"/>
  <c r="BH175" i="21" s="1"/>
  <c r="BE175" i="21"/>
  <c r="AW175" i="21"/>
  <c r="AX175" i="21" s="1"/>
  <c r="AU175" i="21"/>
  <c r="AS175" i="21"/>
  <c r="AT175" i="21" s="1"/>
  <c r="AQ175" i="21"/>
  <c r="AR175" i="21" s="1"/>
  <c r="AO175" i="21"/>
  <c r="AM175" i="21"/>
  <c r="AN175" i="21" s="1"/>
  <c r="AK175" i="21"/>
  <c r="AG175" i="21"/>
  <c r="AH175" i="21" s="1"/>
  <c r="AE175" i="21"/>
  <c r="AF175" i="21" s="1"/>
  <c r="AC175" i="21"/>
  <c r="AA175" i="21"/>
  <c r="AB175" i="21" s="1"/>
  <c r="W175" i="21"/>
  <c r="X175" i="21" s="1"/>
  <c r="U175" i="21"/>
  <c r="V175" i="21" s="1"/>
  <c r="S175" i="21"/>
  <c r="T175" i="21" s="1"/>
  <c r="Q175" i="21"/>
  <c r="R175" i="21" s="1"/>
  <c r="P175" i="21"/>
  <c r="O175" i="21"/>
  <c r="N175" i="21"/>
  <c r="M175" i="21"/>
  <c r="L175" i="21"/>
  <c r="K175" i="21"/>
  <c r="J175" i="21"/>
  <c r="I175" i="21"/>
  <c r="H175" i="21"/>
  <c r="G175" i="21"/>
  <c r="F175" i="21"/>
  <c r="E175" i="21"/>
  <c r="D175" i="21"/>
  <c r="C175" i="21"/>
  <c r="B175" i="21"/>
  <c r="A175" i="21"/>
  <c r="BG174" i="21"/>
  <c r="BH174" i="21" s="1"/>
  <c r="BE174" i="21"/>
  <c r="BF174" i="21" s="1"/>
  <c r="AW174" i="21"/>
  <c r="AX174" i="21" s="1"/>
  <c r="AU174" i="21"/>
  <c r="AV174" i="21" s="1"/>
  <c r="AS174" i="21"/>
  <c r="AQ174" i="21"/>
  <c r="AR174" i="21" s="1"/>
  <c r="AO174" i="21"/>
  <c r="AM174" i="21"/>
  <c r="AK174" i="21"/>
  <c r="AL174" i="21" s="1"/>
  <c r="AG174" i="21"/>
  <c r="AH174" i="21" s="1"/>
  <c r="AE174" i="21"/>
  <c r="AF174" i="21" s="1"/>
  <c r="AC174" i="21"/>
  <c r="AA174" i="21"/>
  <c r="AB174" i="21" s="1"/>
  <c r="W174" i="21"/>
  <c r="X174" i="21" s="1"/>
  <c r="U174" i="21"/>
  <c r="V174" i="21" s="1"/>
  <c r="S174" i="21"/>
  <c r="T174" i="21" s="1"/>
  <c r="Q174" i="21"/>
  <c r="R174" i="21" s="1"/>
  <c r="P174" i="21"/>
  <c r="O174" i="21"/>
  <c r="N174" i="21"/>
  <c r="M174" i="21"/>
  <c r="L174" i="21"/>
  <c r="K174" i="21"/>
  <c r="J174" i="21"/>
  <c r="I174" i="21"/>
  <c r="H174" i="21"/>
  <c r="G174" i="21"/>
  <c r="F174" i="21"/>
  <c r="E174" i="21"/>
  <c r="D174" i="21"/>
  <c r="C174" i="21"/>
  <c r="B174" i="21"/>
  <c r="A174" i="21"/>
  <c r="BG173" i="21"/>
  <c r="BE173" i="21"/>
  <c r="BF173" i="21" s="1"/>
  <c r="AW173" i="21"/>
  <c r="AX173" i="21" s="1"/>
  <c r="AU173" i="21"/>
  <c r="AV173" i="21" s="1"/>
  <c r="AS173" i="21"/>
  <c r="AQ173" i="21"/>
  <c r="AR173" i="21" s="1"/>
  <c r="AO173" i="21"/>
  <c r="AP173" i="21" s="1"/>
  <c r="AM173" i="21"/>
  <c r="AK173" i="21"/>
  <c r="AL173" i="21" s="1"/>
  <c r="AG173" i="21"/>
  <c r="AH173" i="21" s="1"/>
  <c r="AE173" i="21"/>
  <c r="AF173" i="21" s="1"/>
  <c r="AC173" i="21"/>
  <c r="AD173" i="21" s="1"/>
  <c r="AA173" i="21"/>
  <c r="AB173" i="21" s="1"/>
  <c r="W173" i="21"/>
  <c r="X173" i="21" s="1"/>
  <c r="U173" i="21"/>
  <c r="V173" i="21" s="1"/>
  <c r="S173" i="21"/>
  <c r="T173" i="21" s="1"/>
  <c r="Q173" i="21"/>
  <c r="R173" i="21" s="1"/>
  <c r="P173" i="21"/>
  <c r="O173" i="21"/>
  <c r="N173" i="21"/>
  <c r="M173" i="21"/>
  <c r="L173" i="21"/>
  <c r="K173" i="21"/>
  <c r="J173" i="21"/>
  <c r="I173" i="21"/>
  <c r="H173" i="21"/>
  <c r="G173" i="21"/>
  <c r="F173" i="21"/>
  <c r="E173" i="21"/>
  <c r="D173" i="21"/>
  <c r="C173" i="21"/>
  <c r="B173" i="21"/>
  <c r="A173" i="21"/>
  <c r="BG172" i="21"/>
  <c r="BH172" i="21" s="1"/>
  <c r="BE172" i="21"/>
  <c r="BF172" i="21" s="1"/>
  <c r="AW172" i="21"/>
  <c r="AU172" i="21"/>
  <c r="AS172" i="21"/>
  <c r="AT172" i="21" s="1"/>
  <c r="AQ172" i="21"/>
  <c r="AR172" i="21" s="1"/>
  <c r="AO172" i="21"/>
  <c r="AP172" i="21" s="1"/>
  <c r="AM172" i="21"/>
  <c r="AK172" i="21"/>
  <c r="AL172" i="21" s="1"/>
  <c r="AG172" i="21"/>
  <c r="AH172" i="21" s="1"/>
  <c r="AE172" i="21"/>
  <c r="AC172" i="21"/>
  <c r="AD172" i="21" s="1"/>
  <c r="AA172" i="21"/>
  <c r="AB172" i="21" s="1"/>
  <c r="W172" i="21"/>
  <c r="U172" i="21"/>
  <c r="V172" i="21" s="1"/>
  <c r="S172" i="21"/>
  <c r="T172" i="21" s="1"/>
  <c r="Q172" i="21"/>
  <c r="P172" i="21"/>
  <c r="O172" i="21"/>
  <c r="N172" i="21"/>
  <c r="M172" i="21"/>
  <c r="L172" i="21"/>
  <c r="K172" i="21"/>
  <c r="J172" i="21"/>
  <c r="I172" i="21"/>
  <c r="H172" i="21"/>
  <c r="G172" i="21"/>
  <c r="F172" i="21"/>
  <c r="E172" i="21"/>
  <c r="D172" i="21"/>
  <c r="C172" i="21"/>
  <c r="B172" i="21"/>
  <c r="A172" i="21"/>
  <c r="BG171" i="21"/>
  <c r="BH171" i="21" s="1"/>
  <c r="BE171" i="21"/>
  <c r="AW171" i="21"/>
  <c r="AX171" i="21" s="1"/>
  <c r="AU171" i="21"/>
  <c r="AS171" i="21"/>
  <c r="AT171" i="21" s="1"/>
  <c r="AQ171" i="21"/>
  <c r="AR171" i="21" s="1"/>
  <c r="AO171" i="21"/>
  <c r="AP171" i="21" s="1"/>
  <c r="AM171" i="21"/>
  <c r="AN171" i="21" s="1"/>
  <c r="AK171" i="21"/>
  <c r="AL171" i="21" s="1"/>
  <c r="AG171" i="21"/>
  <c r="AH171" i="21" s="1"/>
  <c r="AE171" i="21"/>
  <c r="AF171" i="21" s="1"/>
  <c r="AC171" i="21"/>
  <c r="AD171" i="21" s="1"/>
  <c r="AA171" i="21"/>
  <c r="AB171" i="21" s="1"/>
  <c r="W171" i="21"/>
  <c r="X171" i="21" s="1"/>
  <c r="U171" i="21"/>
  <c r="S171" i="21"/>
  <c r="T171" i="21" s="1"/>
  <c r="Q171" i="21"/>
  <c r="P171" i="21"/>
  <c r="O171" i="21"/>
  <c r="N171" i="21"/>
  <c r="M171" i="21"/>
  <c r="L171" i="21"/>
  <c r="K171" i="21"/>
  <c r="J171" i="21"/>
  <c r="I171" i="21"/>
  <c r="H171" i="21"/>
  <c r="G171" i="21"/>
  <c r="F171" i="21"/>
  <c r="E171" i="21"/>
  <c r="D171" i="21"/>
  <c r="C171" i="21"/>
  <c r="B171" i="21"/>
  <c r="A171" i="21"/>
  <c r="BG170" i="21"/>
  <c r="BE170" i="21"/>
  <c r="BF170" i="21" s="1"/>
  <c r="AW170" i="21"/>
  <c r="AX170" i="21" s="1"/>
  <c r="AU170" i="21"/>
  <c r="AS170" i="21"/>
  <c r="AT170" i="21" s="1"/>
  <c r="AQ170" i="21"/>
  <c r="AR170" i="21" s="1"/>
  <c r="AO170" i="21"/>
  <c r="AP170" i="21" s="1"/>
  <c r="AM170" i="21"/>
  <c r="AN170" i="21" s="1"/>
  <c r="AK170" i="21"/>
  <c r="AL170" i="21" s="1"/>
  <c r="AG170" i="21"/>
  <c r="AE170" i="21"/>
  <c r="AF170" i="21" s="1"/>
  <c r="AC170" i="21"/>
  <c r="AD170" i="21" s="1"/>
  <c r="AA170" i="21"/>
  <c r="AB170" i="21" s="1"/>
  <c r="W170" i="21"/>
  <c r="X170" i="21" s="1"/>
  <c r="U170" i="21"/>
  <c r="S170" i="21"/>
  <c r="T170" i="21" s="1"/>
  <c r="Q170" i="21"/>
  <c r="R170" i="21" s="1"/>
  <c r="P170" i="21"/>
  <c r="O170" i="21"/>
  <c r="N170" i="21"/>
  <c r="M170" i="21"/>
  <c r="L170" i="21"/>
  <c r="K170" i="21"/>
  <c r="J170" i="21"/>
  <c r="I170" i="21"/>
  <c r="H170" i="21"/>
  <c r="G170" i="21"/>
  <c r="F170" i="21"/>
  <c r="E170" i="21"/>
  <c r="D170" i="21"/>
  <c r="C170" i="21"/>
  <c r="B170" i="21"/>
  <c r="A170" i="21"/>
  <c r="BG169" i="21"/>
  <c r="BE169" i="21"/>
  <c r="BF169" i="21" s="1"/>
  <c r="AW169" i="21"/>
  <c r="AX169" i="21" s="1"/>
  <c r="AU169" i="21"/>
  <c r="AV169" i="21" s="1"/>
  <c r="AS169" i="21"/>
  <c r="AT169" i="21" s="1"/>
  <c r="AQ169" i="21"/>
  <c r="AR169" i="21" s="1"/>
  <c r="BB169" i="21" s="1"/>
  <c r="AO169" i="21"/>
  <c r="AP169" i="21" s="1"/>
  <c r="AM169" i="21"/>
  <c r="AN169" i="21" s="1"/>
  <c r="AK169" i="21"/>
  <c r="AL169" i="21" s="1"/>
  <c r="AG169" i="21"/>
  <c r="AH169" i="21" s="1"/>
  <c r="AE169" i="21"/>
  <c r="AF169" i="21" s="1"/>
  <c r="AC169" i="21"/>
  <c r="AD169" i="21" s="1"/>
  <c r="AA169" i="21"/>
  <c r="W169" i="21"/>
  <c r="U169" i="21"/>
  <c r="V169" i="21" s="1"/>
  <c r="S169" i="21"/>
  <c r="T169" i="21" s="1"/>
  <c r="Q169" i="21"/>
  <c r="R169" i="21" s="1"/>
  <c r="P169" i="21"/>
  <c r="O169" i="21"/>
  <c r="N169" i="21"/>
  <c r="M169" i="21"/>
  <c r="L169" i="21"/>
  <c r="K169" i="21"/>
  <c r="J169" i="21"/>
  <c r="I169" i="21"/>
  <c r="H169" i="21"/>
  <c r="G169" i="21"/>
  <c r="F169" i="21"/>
  <c r="E169" i="21"/>
  <c r="D169" i="21"/>
  <c r="C169" i="21"/>
  <c r="B169" i="21"/>
  <c r="A169" i="21"/>
  <c r="BG168" i="21"/>
  <c r="BE168" i="21"/>
  <c r="BF168" i="21" s="1"/>
  <c r="AW168" i="21"/>
  <c r="AU168" i="21"/>
  <c r="AV168" i="21" s="1"/>
  <c r="AS168" i="21"/>
  <c r="AT168" i="21" s="1"/>
  <c r="AQ168" i="21"/>
  <c r="AO168" i="21"/>
  <c r="AP168" i="21" s="1"/>
  <c r="AM168" i="21"/>
  <c r="AN168" i="21" s="1"/>
  <c r="AK168" i="21"/>
  <c r="AG168" i="21"/>
  <c r="AH168" i="21" s="1"/>
  <c r="AE168" i="21"/>
  <c r="AC168" i="21"/>
  <c r="AD168" i="21" s="1"/>
  <c r="AA168" i="21"/>
  <c r="AB168" i="21" s="1"/>
  <c r="W168" i="21"/>
  <c r="U168" i="21"/>
  <c r="V168" i="21" s="1"/>
  <c r="S168" i="21"/>
  <c r="T168" i="21" s="1"/>
  <c r="Q168" i="21"/>
  <c r="R168" i="21" s="1"/>
  <c r="P168" i="21"/>
  <c r="O168" i="21"/>
  <c r="N168" i="21"/>
  <c r="M168" i="21"/>
  <c r="L168" i="21"/>
  <c r="K168" i="21"/>
  <c r="J168" i="21"/>
  <c r="I168" i="21"/>
  <c r="H168" i="21"/>
  <c r="G168" i="21"/>
  <c r="F168" i="21"/>
  <c r="E168" i="21"/>
  <c r="D168" i="21"/>
  <c r="C168" i="21"/>
  <c r="B168" i="21"/>
  <c r="A168" i="21"/>
  <c r="BG167" i="21"/>
  <c r="BH167" i="21" s="1"/>
  <c r="BE167" i="21"/>
  <c r="BF167" i="21" s="1"/>
  <c r="AW167" i="21"/>
  <c r="AX167" i="21" s="1"/>
  <c r="AU167" i="21"/>
  <c r="AV167" i="21" s="1"/>
  <c r="AS167" i="21"/>
  <c r="AT167" i="21" s="1"/>
  <c r="AQ167" i="21"/>
  <c r="AR167" i="21" s="1"/>
  <c r="AO167" i="21"/>
  <c r="AM167" i="21"/>
  <c r="AN167" i="21" s="1"/>
  <c r="AK167" i="21"/>
  <c r="AG167" i="21"/>
  <c r="AE167" i="21"/>
  <c r="AF167" i="21" s="1"/>
  <c r="AC167" i="21"/>
  <c r="AD167" i="21" s="1"/>
  <c r="AA167" i="21"/>
  <c r="AB167" i="21" s="1"/>
  <c r="W167" i="21"/>
  <c r="U167" i="21"/>
  <c r="V167" i="21" s="1"/>
  <c r="S167" i="21"/>
  <c r="T167" i="21" s="1"/>
  <c r="Q167" i="21"/>
  <c r="R167" i="21" s="1"/>
  <c r="P167" i="21"/>
  <c r="O167" i="21"/>
  <c r="N167" i="21"/>
  <c r="M167" i="21"/>
  <c r="L167" i="21"/>
  <c r="K167" i="21"/>
  <c r="J167" i="21"/>
  <c r="I167" i="21"/>
  <c r="H167" i="21"/>
  <c r="G167" i="21"/>
  <c r="F167" i="21"/>
  <c r="E167" i="21"/>
  <c r="D167" i="21"/>
  <c r="C167" i="21"/>
  <c r="B167" i="21"/>
  <c r="A167" i="21"/>
  <c r="BG166" i="21"/>
  <c r="BH166" i="21" s="1"/>
  <c r="BE166" i="21"/>
  <c r="BF166" i="21" s="1"/>
  <c r="AW166" i="21"/>
  <c r="AX166" i="21" s="1"/>
  <c r="AU166" i="21"/>
  <c r="AV166" i="21" s="1"/>
  <c r="AS166" i="21"/>
  <c r="AT166" i="21" s="1"/>
  <c r="AQ166" i="21"/>
  <c r="AR166" i="21" s="1"/>
  <c r="AO166" i="21"/>
  <c r="AM166" i="21"/>
  <c r="AN166" i="21" s="1"/>
  <c r="AK166" i="21"/>
  <c r="AL166" i="21" s="1"/>
  <c r="AG166" i="21"/>
  <c r="AE166" i="21"/>
  <c r="AF166" i="21" s="1"/>
  <c r="AC166" i="21"/>
  <c r="AD166" i="21" s="1"/>
  <c r="AA166" i="21"/>
  <c r="AB166" i="21" s="1"/>
  <c r="W166" i="21"/>
  <c r="X166" i="21" s="1"/>
  <c r="U166" i="21"/>
  <c r="V166" i="21" s="1"/>
  <c r="S166" i="21"/>
  <c r="T166" i="21" s="1"/>
  <c r="Q166" i="21"/>
  <c r="R166" i="21" s="1"/>
  <c r="P166" i="21"/>
  <c r="O166" i="21"/>
  <c r="N166" i="21"/>
  <c r="M166" i="21"/>
  <c r="L166" i="21"/>
  <c r="K166" i="21"/>
  <c r="J166" i="21"/>
  <c r="I166" i="21"/>
  <c r="H166" i="21"/>
  <c r="G166" i="21"/>
  <c r="F166" i="21"/>
  <c r="E166" i="21"/>
  <c r="D166" i="21"/>
  <c r="C166" i="21"/>
  <c r="B166" i="21"/>
  <c r="A166" i="21"/>
  <c r="BG165" i="21"/>
  <c r="BH165" i="21" s="1"/>
  <c r="BE165" i="21"/>
  <c r="BF165" i="21" s="1"/>
  <c r="AW165" i="21"/>
  <c r="AX165" i="21" s="1"/>
  <c r="AU165" i="21"/>
  <c r="AV165" i="21" s="1"/>
  <c r="AS165" i="21"/>
  <c r="AQ165" i="21"/>
  <c r="AO165" i="21"/>
  <c r="AP165" i="21" s="1"/>
  <c r="AM165" i="21"/>
  <c r="AN165" i="21" s="1"/>
  <c r="AK165" i="21"/>
  <c r="AL165" i="21" s="1"/>
  <c r="AG165" i="21"/>
  <c r="AE165" i="21"/>
  <c r="AF165" i="21" s="1"/>
  <c r="AC165" i="21"/>
  <c r="AD165" i="21" s="1"/>
  <c r="AA165" i="21"/>
  <c r="W165" i="21"/>
  <c r="X165" i="21" s="1"/>
  <c r="U165" i="21"/>
  <c r="V165" i="21" s="1"/>
  <c r="S165" i="21"/>
  <c r="Q165" i="21"/>
  <c r="R165" i="21" s="1"/>
  <c r="P165" i="21"/>
  <c r="O165" i="21"/>
  <c r="N165" i="21"/>
  <c r="M165" i="21"/>
  <c r="L165" i="21"/>
  <c r="K165" i="21"/>
  <c r="J165" i="21"/>
  <c r="I165" i="21"/>
  <c r="H165" i="21"/>
  <c r="G165" i="21"/>
  <c r="F165" i="21"/>
  <c r="E165" i="21"/>
  <c r="D165" i="21"/>
  <c r="C165" i="21"/>
  <c r="B165" i="21"/>
  <c r="A165" i="21"/>
  <c r="BG164" i="21"/>
  <c r="BH164" i="21" s="1"/>
  <c r="BE164" i="21"/>
  <c r="AW164" i="21"/>
  <c r="AU164" i="21"/>
  <c r="AV164" i="21" s="1"/>
  <c r="AS164" i="21"/>
  <c r="AT164" i="21" s="1"/>
  <c r="AQ164" i="21"/>
  <c r="AO164" i="21"/>
  <c r="AP164" i="21" s="1"/>
  <c r="AM164" i="21"/>
  <c r="AN164" i="21" s="1"/>
  <c r="AK164" i="21"/>
  <c r="AL164" i="21" s="1"/>
  <c r="AG164" i="21"/>
  <c r="AH164" i="21" s="1"/>
  <c r="AE164" i="21"/>
  <c r="AF164" i="21" s="1"/>
  <c r="AC164" i="21"/>
  <c r="AD164" i="21" s="1"/>
  <c r="AA164" i="21"/>
  <c r="AB164" i="21" s="1"/>
  <c r="W164" i="21"/>
  <c r="X164" i="21" s="1"/>
  <c r="U164" i="21"/>
  <c r="V164" i="21" s="1"/>
  <c r="S164" i="21"/>
  <c r="T164" i="21" s="1"/>
  <c r="Q164" i="21"/>
  <c r="P164" i="21"/>
  <c r="O164" i="21"/>
  <c r="N164" i="21"/>
  <c r="M164" i="21"/>
  <c r="L164" i="21"/>
  <c r="K164" i="21"/>
  <c r="J164" i="21"/>
  <c r="I164" i="21"/>
  <c r="H164" i="21"/>
  <c r="G164" i="21"/>
  <c r="F164" i="21"/>
  <c r="E164" i="21"/>
  <c r="D164" i="21"/>
  <c r="C164" i="21"/>
  <c r="B164" i="21"/>
  <c r="A164" i="21"/>
  <c r="BG163" i="21"/>
  <c r="BH163" i="21" s="1"/>
  <c r="BE163" i="21"/>
  <c r="AW163" i="21"/>
  <c r="AX163" i="21" s="1"/>
  <c r="AU163" i="21"/>
  <c r="AV163" i="21" s="1"/>
  <c r="AS163" i="21"/>
  <c r="AT163" i="21" s="1"/>
  <c r="AQ163" i="21"/>
  <c r="AO163" i="21"/>
  <c r="AP163" i="21" s="1"/>
  <c r="AM163" i="21"/>
  <c r="AN163" i="21" s="1"/>
  <c r="AK163" i="21"/>
  <c r="AL163" i="21" s="1"/>
  <c r="AG163" i="21"/>
  <c r="AH163" i="21" s="1"/>
  <c r="AE163" i="21"/>
  <c r="AF163" i="21" s="1"/>
  <c r="AC163" i="21"/>
  <c r="AA163" i="21"/>
  <c r="AB163" i="21" s="1"/>
  <c r="W163" i="21"/>
  <c r="X163" i="21" s="1"/>
  <c r="U163" i="21"/>
  <c r="V163" i="21" s="1"/>
  <c r="S163" i="21"/>
  <c r="T163" i="21" s="1"/>
  <c r="Z163" i="21" s="1"/>
  <c r="Q163" i="21"/>
  <c r="P163" i="21"/>
  <c r="O163" i="21"/>
  <c r="N163" i="21"/>
  <c r="M163" i="21"/>
  <c r="L163" i="21"/>
  <c r="K163" i="21"/>
  <c r="J163" i="21"/>
  <c r="I163" i="21"/>
  <c r="H163" i="21"/>
  <c r="G163" i="21"/>
  <c r="F163" i="21"/>
  <c r="E163" i="21"/>
  <c r="D163" i="21"/>
  <c r="C163" i="21"/>
  <c r="B163" i="21"/>
  <c r="A163" i="21"/>
  <c r="BG162" i="21"/>
  <c r="BH162" i="21" s="1"/>
  <c r="BE162" i="21"/>
  <c r="BF162" i="21" s="1"/>
  <c r="AW162" i="21"/>
  <c r="AX162" i="21" s="1"/>
  <c r="AU162" i="21"/>
  <c r="AV162" i="21" s="1"/>
  <c r="AS162" i="21"/>
  <c r="AT162" i="21" s="1"/>
  <c r="AQ162" i="21"/>
  <c r="AR162" i="21" s="1"/>
  <c r="AO162" i="21"/>
  <c r="AP162" i="21" s="1"/>
  <c r="AM162" i="21"/>
  <c r="AN162" i="21" s="1"/>
  <c r="AK162" i="21"/>
  <c r="AL162" i="21" s="1"/>
  <c r="AG162" i="21"/>
  <c r="AH162" i="21" s="1"/>
  <c r="AE162" i="21"/>
  <c r="AF162" i="21" s="1"/>
  <c r="AC162" i="21"/>
  <c r="AD162" i="21" s="1"/>
  <c r="AA162" i="21"/>
  <c r="AB162" i="21" s="1"/>
  <c r="W162" i="21"/>
  <c r="X162" i="21" s="1"/>
  <c r="U162" i="21"/>
  <c r="V162" i="21" s="1"/>
  <c r="S162" i="21"/>
  <c r="Q162" i="21"/>
  <c r="R162" i="21" s="1"/>
  <c r="P162" i="21"/>
  <c r="O162" i="21"/>
  <c r="N162" i="21"/>
  <c r="M162" i="21"/>
  <c r="L162" i="21"/>
  <c r="K162" i="21"/>
  <c r="J162" i="21"/>
  <c r="I162" i="21"/>
  <c r="H162" i="21"/>
  <c r="G162" i="21"/>
  <c r="F162" i="21"/>
  <c r="E162" i="21"/>
  <c r="D162" i="21"/>
  <c r="C162" i="21"/>
  <c r="B162" i="21"/>
  <c r="A162" i="21"/>
  <c r="BG161" i="21"/>
  <c r="BE161" i="21"/>
  <c r="BF161" i="21" s="1"/>
  <c r="AW161" i="21"/>
  <c r="AX161" i="21" s="1"/>
  <c r="AU161" i="21"/>
  <c r="AV161" i="21" s="1"/>
  <c r="AS161" i="21"/>
  <c r="AT161" i="21" s="1"/>
  <c r="AQ161" i="21"/>
  <c r="AO161" i="21"/>
  <c r="AP161" i="21" s="1"/>
  <c r="AM161" i="21"/>
  <c r="AN161" i="21" s="1"/>
  <c r="AK161" i="21"/>
  <c r="AL161" i="21" s="1"/>
  <c r="AG161" i="21"/>
  <c r="AH161" i="21" s="1"/>
  <c r="AE161" i="21"/>
  <c r="AC161" i="21"/>
  <c r="AD161" i="21" s="1"/>
  <c r="AA161" i="21"/>
  <c r="W161" i="21"/>
  <c r="U161" i="21"/>
  <c r="V161" i="21" s="1"/>
  <c r="S161" i="21"/>
  <c r="Q161" i="21"/>
  <c r="R161" i="21" s="1"/>
  <c r="P161" i="21"/>
  <c r="O161" i="21"/>
  <c r="N161" i="21"/>
  <c r="M161" i="21"/>
  <c r="L161" i="21"/>
  <c r="K161" i="21"/>
  <c r="J161" i="21"/>
  <c r="I161" i="21"/>
  <c r="H161" i="21"/>
  <c r="G161" i="21"/>
  <c r="F161" i="21"/>
  <c r="E161" i="21"/>
  <c r="D161" i="21"/>
  <c r="C161" i="21"/>
  <c r="B161" i="21"/>
  <c r="A161" i="21"/>
  <c r="BG160" i="21"/>
  <c r="BH160" i="21" s="1"/>
  <c r="BE160" i="21"/>
  <c r="AW160" i="21"/>
  <c r="AX160" i="21" s="1"/>
  <c r="AU160" i="21"/>
  <c r="AS160" i="21"/>
  <c r="AT160" i="21" s="1"/>
  <c r="AQ160" i="21"/>
  <c r="AR160" i="21" s="1"/>
  <c r="AO160" i="21"/>
  <c r="AP160" i="21" s="1"/>
  <c r="AM160" i="21"/>
  <c r="AK160" i="21"/>
  <c r="AL160" i="21" s="1"/>
  <c r="AG160" i="21"/>
  <c r="AH160" i="21" s="1"/>
  <c r="AE160" i="21"/>
  <c r="AC160" i="21"/>
  <c r="AA160" i="21"/>
  <c r="AB160" i="21" s="1"/>
  <c r="W160" i="21"/>
  <c r="U160" i="21"/>
  <c r="V160" i="21" s="1"/>
  <c r="S160" i="21"/>
  <c r="Q160" i="21"/>
  <c r="R160" i="21" s="1"/>
  <c r="P160" i="21"/>
  <c r="O160" i="21"/>
  <c r="N160" i="21"/>
  <c r="M160" i="21"/>
  <c r="L160" i="21"/>
  <c r="K160" i="21"/>
  <c r="J160" i="21"/>
  <c r="I160" i="21"/>
  <c r="H160" i="21"/>
  <c r="G160" i="21"/>
  <c r="F160" i="21"/>
  <c r="E160" i="21"/>
  <c r="D160" i="21"/>
  <c r="C160" i="21"/>
  <c r="B160" i="21"/>
  <c r="A160" i="21"/>
  <c r="BG159" i="21"/>
  <c r="BH159" i="21" s="1"/>
  <c r="BE159" i="21"/>
  <c r="BF159" i="21" s="1"/>
  <c r="AW159" i="21"/>
  <c r="AU159" i="21"/>
  <c r="AV159" i="21" s="1"/>
  <c r="AS159" i="21"/>
  <c r="AT159" i="21" s="1"/>
  <c r="AQ159" i="21"/>
  <c r="AO159" i="21"/>
  <c r="AP159" i="21" s="1"/>
  <c r="AM159" i="21"/>
  <c r="AN159" i="21" s="1"/>
  <c r="AK159" i="21"/>
  <c r="AG159" i="21"/>
  <c r="AH159" i="21" s="1"/>
  <c r="AE159" i="21"/>
  <c r="AC159" i="21"/>
  <c r="AA159" i="21"/>
  <c r="AB159" i="21" s="1"/>
  <c r="W159" i="21"/>
  <c r="U159" i="21"/>
  <c r="V159" i="21" s="1"/>
  <c r="S159" i="21"/>
  <c r="T159" i="21" s="1"/>
  <c r="Q159" i="21"/>
  <c r="R159" i="21" s="1"/>
  <c r="P159" i="21"/>
  <c r="O159" i="21"/>
  <c r="N159" i="21"/>
  <c r="M159" i="21"/>
  <c r="L159" i="21"/>
  <c r="K159" i="21"/>
  <c r="J159" i="21"/>
  <c r="I159" i="21"/>
  <c r="H159" i="21"/>
  <c r="G159" i="21"/>
  <c r="F159" i="21"/>
  <c r="E159" i="21"/>
  <c r="D159" i="21"/>
  <c r="C159" i="21"/>
  <c r="B159" i="21"/>
  <c r="A159" i="21"/>
  <c r="BG158" i="21"/>
  <c r="BH158" i="21" s="1"/>
  <c r="BE158" i="21"/>
  <c r="AW158" i="21"/>
  <c r="AX158" i="21" s="1"/>
  <c r="AU158" i="21"/>
  <c r="AS158" i="21"/>
  <c r="AT158" i="21" s="1"/>
  <c r="AQ158" i="21"/>
  <c r="AR158" i="21" s="1"/>
  <c r="AO158" i="21"/>
  <c r="AM158" i="21"/>
  <c r="AN158" i="21" s="1"/>
  <c r="AK158" i="21"/>
  <c r="AG158" i="21"/>
  <c r="AE158" i="21"/>
  <c r="AF158" i="21" s="1"/>
  <c r="AC158" i="21"/>
  <c r="AA158" i="21"/>
  <c r="AB158" i="21" s="1"/>
  <c r="W158" i="21"/>
  <c r="X158" i="21" s="1"/>
  <c r="U158" i="21"/>
  <c r="V158" i="21" s="1"/>
  <c r="S158" i="21"/>
  <c r="T158" i="21" s="1"/>
  <c r="Q158" i="21"/>
  <c r="P158" i="21"/>
  <c r="O158" i="21"/>
  <c r="N158" i="21"/>
  <c r="M158" i="21"/>
  <c r="L158" i="21"/>
  <c r="K158" i="21"/>
  <c r="J158" i="21"/>
  <c r="I158" i="21"/>
  <c r="H158" i="21"/>
  <c r="G158" i="21"/>
  <c r="F158" i="21"/>
  <c r="E158" i="21"/>
  <c r="D158" i="21"/>
  <c r="C158" i="21"/>
  <c r="B158" i="21"/>
  <c r="A158" i="21"/>
  <c r="BG157" i="21"/>
  <c r="BH157" i="21" s="1"/>
  <c r="BE157" i="21"/>
  <c r="BF157" i="21" s="1"/>
  <c r="AW157" i="21"/>
  <c r="AX157" i="21" s="1"/>
  <c r="AU157" i="21"/>
  <c r="AV157" i="21" s="1"/>
  <c r="AS157" i="21"/>
  <c r="AQ157" i="21"/>
  <c r="AR157" i="21" s="1"/>
  <c r="AO157" i="21"/>
  <c r="AP157" i="21" s="1"/>
  <c r="AM157" i="21"/>
  <c r="AK157" i="21"/>
  <c r="AL157" i="21" s="1"/>
  <c r="AG157" i="21"/>
  <c r="AE157" i="21"/>
  <c r="AF157" i="21" s="1"/>
  <c r="AC157" i="21"/>
  <c r="AD157" i="21" s="1"/>
  <c r="AA157" i="21"/>
  <c r="AB157" i="21" s="1"/>
  <c r="W157" i="21"/>
  <c r="X157" i="21" s="1"/>
  <c r="U157" i="21"/>
  <c r="S157" i="21"/>
  <c r="T157" i="21" s="1"/>
  <c r="Q157" i="21"/>
  <c r="R157" i="21" s="1"/>
  <c r="P157" i="21"/>
  <c r="O157" i="21"/>
  <c r="N157" i="21"/>
  <c r="M157" i="21"/>
  <c r="L157" i="21"/>
  <c r="K157" i="21"/>
  <c r="J157" i="21"/>
  <c r="I157" i="21"/>
  <c r="H157" i="21"/>
  <c r="G157" i="21"/>
  <c r="F157" i="21"/>
  <c r="E157" i="21"/>
  <c r="D157" i="21"/>
  <c r="C157" i="21"/>
  <c r="B157" i="21"/>
  <c r="A157" i="21"/>
  <c r="BG156" i="21"/>
  <c r="BE156" i="21"/>
  <c r="BF156" i="21" s="1"/>
  <c r="AW156" i="21"/>
  <c r="AU156" i="21"/>
  <c r="AV156" i="21" s="1"/>
  <c r="AS156" i="21"/>
  <c r="AT156" i="21" s="1"/>
  <c r="AQ156" i="21"/>
  <c r="AO156" i="21"/>
  <c r="AP156" i="21" s="1"/>
  <c r="AM156" i="21"/>
  <c r="AK156" i="21"/>
  <c r="AL156" i="21" s="1"/>
  <c r="AG156" i="21"/>
  <c r="AH156" i="21" s="1"/>
  <c r="AE156" i="21"/>
  <c r="AF156" i="21" s="1"/>
  <c r="AC156" i="21"/>
  <c r="AD156" i="21" s="1"/>
  <c r="AA156" i="21"/>
  <c r="W156" i="21"/>
  <c r="X156" i="21" s="1"/>
  <c r="U156" i="21"/>
  <c r="V156" i="21" s="1"/>
  <c r="S156" i="21"/>
  <c r="Q156" i="21"/>
  <c r="R156" i="21" s="1"/>
  <c r="P156" i="21"/>
  <c r="O156" i="21"/>
  <c r="N156" i="21"/>
  <c r="M156" i="21"/>
  <c r="L156" i="21"/>
  <c r="K156" i="21"/>
  <c r="J156" i="21"/>
  <c r="I156" i="21"/>
  <c r="H156" i="21"/>
  <c r="G156" i="21"/>
  <c r="F156" i="21"/>
  <c r="E156" i="21"/>
  <c r="D156" i="21"/>
  <c r="C156" i="21"/>
  <c r="B156" i="21"/>
  <c r="A156" i="21"/>
  <c r="BG155" i="21"/>
  <c r="BH155" i="21" s="1"/>
  <c r="BE155" i="21"/>
  <c r="AW155" i="21"/>
  <c r="AX155" i="21" s="1"/>
  <c r="AU155" i="21"/>
  <c r="AS155" i="21"/>
  <c r="AT155" i="21" s="1"/>
  <c r="AQ155" i="21"/>
  <c r="AO155" i="21"/>
  <c r="AP155" i="21" s="1"/>
  <c r="AM155" i="21"/>
  <c r="AN155" i="21" s="1"/>
  <c r="AK155" i="21"/>
  <c r="AL155" i="21" s="1"/>
  <c r="AG155" i="21"/>
  <c r="AH155" i="21" s="1"/>
  <c r="AE155" i="21"/>
  <c r="AC155" i="21"/>
  <c r="AD155" i="21" s="1"/>
  <c r="AA155" i="21"/>
  <c r="AB155" i="21" s="1"/>
  <c r="W155" i="21"/>
  <c r="U155" i="21"/>
  <c r="V155" i="21" s="1"/>
  <c r="S155" i="21"/>
  <c r="T155" i="21" s="1"/>
  <c r="Q155" i="21"/>
  <c r="P155" i="21"/>
  <c r="O155" i="21"/>
  <c r="N155" i="21"/>
  <c r="M155" i="21"/>
  <c r="L155" i="21"/>
  <c r="K155" i="21"/>
  <c r="J155" i="21"/>
  <c r="I155" i="21"/>
  <c r="H155" i="21"/>
  <c r="G155" i="21"/>
  <c r="F155" i="21"/>
  <c r="E155" i="21"/>
  <c r="D155" i="21"/>
  <c r="C155" i="21"/>
  <c r="B155" i="21"/>
  <c r="A155" i="21"/>
  <c r="BG154" i="21"/>
  <c r="BH154" i="21" s="1"/>
  <c r="BE154" i="21"/>
  <c r="BF154" i="21" s="1"/>
  <c r="AW154" i="21"/>
  <c r="AX154" i="21" s="1"/>
  <c r="AU154" i="21"/>
  <c r="AS154" i="21"/>
  <c r="AT154" i="21" s="1"/>
  <c r="AQ154" i="21"/>
  <c r="AR154" i="21" s="1"/>
  <c r="AO154" i="21"/>
  <c r="AP154" i="21" s="1"/>
  <c r="AM154" i="21"/>
  <c r="AN154" i="21" s="1"/>
  <c r="AK154" i="21"/>
  <c r="AG154" i="21"/>
  <c r="AH154" i="21" s="1"/>
  <c r="AE154" i="21"/>
  <c r="AF154" i="21" s="1"/>
  <c r="AC154" i="21"/>
  <c r="AA154" i="21"/>
  <c r="AB154" i="21" s="1"/>
  <c r="W154" i="21"/>
  <c r="X154" i="21" s="1"/>
  <c r="U154" i="21"/>
  <c r="S154" i="21"/>
  <c r="T154" i="21" s="1"/>
  <c r="Q154" i="21"/>
  <c r="R154" i="21" s="1"/>
  <c r="P154" i="21"/>
  <c r="O154" i="21"/>
  <c r="N154" i="21"/>
  <c r="M154" i="21"/>
  <c r="L154" i="21"/>
  <c r="K154" i="21"/>
  <c r="J154" i="21"/>
  <c r="I154" i="21"/>
  <c r="H154" i="21"/>
  <c r="G154" i="21"/>
  <c r="F154" i="21"/>
  <c r="E154" i="21"/>
  <c r="D154" i="21"/>
  <c r="C154" i="21"/>
  <c r="B154" i="21"/>
  <c r="A154" i="21"/>
  <c r="BG153" i="21"/>
  <c r="BE153" i="21"/>
  <c r="BF153" i="21" s="1"/>
  <c r="AW153" i="21"/>
  <c r="AX153" i="21" s="1"/>
  <c r="AU153" i="21"/>
  <c r="AV153" i="21" s="1"/>
  <c r="AS153" i="21"/>
  <c r="AT153" i="21" s="1"/>
  <c r="AQ153" i="21"/>
  <c r="AR153" i="21" s="1"/>
  <c r="BB153" i="21" s="1"/>
  <c r="AO153" i="21"/>
  <c r="AM153" i="21"/>
  <c r="AN153" i="21" s="1"/>
  <c r="AK153" i="21"/>
  <c r="AL153" i="21" s="1"/>
  <c r="AG153" i="21"/>
  <c r="AE153" i="21"/>
  <c r="AF153" i="21" s="1"/>
  <c r="AC153" i="21"/>
  <c r="AD153" i="21" s="1"/>
  <c r="AA153" i="21"/>
  <c r="W153" i="21"/>
  <c r="X153" i="21" s="1"/>
  <c r="U153" i="21"/>
  <c r="V153" i="21" s="1"/>
  <c r="S153" i="21"/>
  <c r="Q153" i="21"/>
  <c r="R153" i="21" s="1"/>
  <c r="P153" i="21"/>
  <c r="O153" i="21"/>
  <c r="N153" i="21"/>
  <c r="M153" i="21"/>
  <c r="L153" i="21"/>
  <c r="K153" i="21"/>
  <c r="J153" i="21"/>
  <c r="I153" i="21"/>
  <c r="H153" i="21"/>
  <c r="G153" i="21"/>
  <c r="F153" i="21"/>
  <c r="E153" i="21"/>
  <c r="D153" i="21"/>
  <c r="C153" i="21"/>
  <c r="B153" i="21"/>
  <c r="A153" i="21"/>
  <c r="BG152" i="21"/>
  <c r="BE152" i="21"/>
  <c r="BF152" i="21" s="1"/>
  <c r="AW152" i="21"/>
  <c r="AX152" i="21" s="1"/>
  <c r="AU152" i="21"/>
  <c r="AV152" i="21" s="1"/>
  <c r="AS152" i="21"/>
  <c r="AQ152" i="21"/>
  <c r="AR152" i="21" s="1"/>
  <c r="AO152" i="21"/>
  <c r="AP152" i="21" s="1"/>
  <c r="AM152" i="21"/>
  <c r="AK152" i="21"/>
  <c r="AL152" i="21" s="1"/>
  <c r="AG152" i="21"/>
  <c r="AH152" i="21" s="1"/>
  <c r="AE152" i="21"/>
  <c r="AC152" i="21"/>
  <c r="AD152" i="21" s="1"/>
  <c r="AA152" i="21"/>
  <c r="AB152" i="21" s="1"/>
  <c r="W152" i="21"/>
  <c r="U152" i="21"/>
  <c r="V152" i="21" s="1"/>
  <c r="S152" i="21"/>
  <c r="Q152" i="21"/>
  <c r="R152" i="21" s="1"/>
  <c r="P152" i="21"/>
  <c r="O152" i="21"/>
  <c r="N152" i="21"/>
  <c r="M152" i="21"/>
  <c r="L152" i="21"/>
  <c r="K152" i="21"/>
  <c r="J152" i="21"/>
  <c r="I152" i="21"/>
  <c r="H152" i="21"/>
  <c r="G152" i="21"/>
  <c r="F152" i="21"/>
  <c r="E152" i="21"/>
  <c r="D152" i="21"/>
  <c r="C152" i="21"/>
  <c r="B152" i="21"/>
  <c r="A152" i="21"/>
  <c r="BG151" i="21"/>
  <c r="BH151" i="21" s="1"/>
  <c r="BE151" i="21"/>
  <c r="BF151" i="21" s="1"/>
  <c r="AW151" i="21"/>
  <c r="AU151" i="21"/>
  <c r="AV151" i="21" s="1"/>
  <c r="AS151" i="21"/>
  <c r="AT151" i="21" s="1"/>
  <c r="AQ151" i="21"/>
  <c r="AO151" i="21"/>
  <c r="AP151" i="21" s="1"/>
  <c r="AM151" i="21"/>
  <c r="AN151" i="21" s="1"/>
  <c r="AK151" i="21"/>
  <c r="AL151" i="21" s="1"/>
  <c r="AG151" i="21"/>
  <c r="AH151" i="21" s="1"/>
  <c r="AE151" i="21"/>
  <c r="AC151" i="21"/>
  <c r="AD151" i="21" s="1"/>
  <c r="AJ151" i="21" s="1"/>
  <c r="AA151" i="21"/>
  <c r="AB151" i="21" s="1"/>
  <c r="W151" i="21"/>
  <c r="U151" i="21"/>
  <c r="V151" i="21" s="1"/>
  <c r="S151" i="21"/>
  <c r="T151" i="21" s="1"/>
  <c r="Q151" i="21"/>
  <c r="R151" i="21" s="1"/>
  <c r="P151" i="21"/>
  <c r="O151" i="21"/>
  <c r="N151" i="21"/>
  <c r="M151" i="21"/>
  <c r="L151" i="21"/>
  <c r="K151" i="21"/>
  <c r="J151" i="21"/>
  <c r="I151" i="21"/>
  <c r="H151" i="21"/>
  <c r="G151" i="21"/>
  <c r="F151" i="21"/>
  <c r="E151" i="21"/>
  <c r="D151" i="21"/>
  <c r="C151" i="21"/>
  <c r="B151" i="21"/>
  <c r="A151" i="21"/>
  <c r="BG150" i="21"/>
  <c r="BH150" i="21" s="1"/>
  <c r="BE150" i="21"/>
  <c r="AW150" i="21"/>
  <c r="AX150" i="21" s="1"/>
  <c r="AU150" i="21"/>
  <c r="AS150" i="21"/>
  <c r="AT150" i="21" s="1"/>
  <c r="AQ150" i="21"/>
  <c r="AR150" i="21" s="1"/>
  <c r="AO150" i="21"/>
  <c r="AP150" i="21" s="1"/>
  <c r="AM150" i="21"/>
  <c r="AN150" i="21" s="1"/>
  <c r="AK150" i="21"/>
  <c r="AL150" i="21" s="1"/>
  <c r="AG150" i="21"/>
  <c r="AH150" i="21" s="1"/>
  <c r="AE150" i="21"/>
  <c r="AF150" i="21" s="1"/>
  <c r="AC150" i="21"/>
  <c r="AA150" i="21"/>
  <c r="AB150" i="21" s="1"/>
  <c r="W150" i="21"/>
  <c r="X150" i="21" s="1"/>
  <c r="U150" i="21"/>
  <c r="V150" i="21" s="1"/>
  <c r="S150" i="21"/>
  <c r="T150" i="21" s="1"/>
  <c r="Q150" i="21"/>
  <c r="P150" i="21"/>
  <c r="O150" i="21"/>
  <c r="N150" i="21"/>
  <c r="M150" i="21"/>
  <c r="L150" i="21"/>
  <c r="K150" i="21"/>
  <c r="J150" i="21"/>
  <c r="I150" i="21"/>
  <c r="H150" i="21"/>
  <c r="G150" i="21"/>
  <c r="F150" i="21"/>
  <c r="E150" i="21"/>
  <c r="D150" i="21"/>
  <c r="C150" i="21"/>
  <c r="B150" i="21"/>
  <c r="A150" i="21"/>
  <c r="BG149" i="21"/>
  <c r="BH149" i="21" s="1"/>
  <c r="BE149" i="21"/>
  <c r="BF149" i="21" s="1"/>
  <c r="AW149" i="21"/>
  <c r="AX149" i="21" s="1"/>
  <c r="AU149" i="21"/>
  <c r="AV149" i="21" s="1"/>
  <c r="AS149" i="21"/>
  <c r="AT149" i="21" s="1"/>
  <c r="AQ149" i="21"/>
  <c r="AR149" i="21" s="1"/>
  <c r="AO149" i="21"/>
  <c r="AP149" i="21" s="1"/>
  <c r="AM149" i="21"/>
  <c r="AN149" i="21" s="1"/>
  <c r="AK149" i="21"/>
  <c r="AL149" i="21" s="1"/>
  <c r="AG149" i="21"/>
  <c r="AE149" i="21"/>
  <c r="AF149" i="21" s="1"/>
  <c r="AC149" i="21"/>
  <c r="AD149" i="21" s="1"/>
  <c r="AA149" i="21"/>
  <c r="AB149" i="21" s="1"/>
  <c r="W149" i="21"/>
  <c r="X149" i="21" s="1"/>
  <c r="U149" i="21"/>
  <c r="S149" i="21"/>
  <c r="T149" i="21" s="1"/>
  <c r="Q149" i="21"/>
  <c r="R149" i="21" s="1"/>
  <c r="P149" i="21"/>
  <c r="O149" i="21"/>
  <c r="N149" i="21"/>
  <c r="M149" i="21"/>
  <c r="L149" i="21"/>
  <c r="K149" i="21"/>
  <c r="J149" i="21"/>
  <c r="I149" i="21"/>
  <c r="H149" i="21"/>
  <c r="G149" i="21"/>
  <c r="F149" i="21"/>
  <c r="E149" i="21"/>
  <c r="D149" i="21"/>
  <c r="C149" i="21"/>
  <c r="B149" i="21"/>
  <c r="A149" i="21"/>
  <c r="BG148" i="21"/>
  <c r="BE148" i="21"/>
  <c r="BF148" i="21" s="1"/>
  <c r="AW148" i="21"/>
  <c r="AX148" i="21" s="1"/>
  <c r="AU148" i="21"/>
  <c r="AV148" i="21" s="1"/>
  <c r="AS148" i="21"/>
  <c r="AT148" i="21" s="1"/>
  <c r="AQ148" i="21"/>
  <c r="AR148" i="21" s="1"/>
  <c r="AO148" i="21"/>
  <c r="AP148" i="21" s="1"/>
  <c r="AM148" i="21"/>
  <c r="AK148" i="21"/>
  <c r="AL148" i="21" s="1"/>
  <c r="AG148" i="21"/>
  <c r="AH148" i="21" s="1"/>
  <c r="AE148" i="21"/>
  <c r="AF148" i="21" s="1"/>
  <c r="AC148" i="21"/>
  <c r="AD148" i="21" s="1"/>
  <c r="AA148" i="21"/>
  <c r="W148" i="21"/>
  <c r="X148" i="21" s="1"/>
  <c r="U148" i="21"/>
  <c r="V148" i="21" s="1"/>
  <c r="S148" i="21"/>
  <c r="Q148" i="21"/>
  <c r="R148" i="21" s="1"/>
  <c r="P148" i="21"/>
  <c r="O148" i="21"/>
  <c r="N148" i="21"/>
  <c r="M148" i="21"/>
  <c r="L148" i="21"/>
  <c r="K148" i="21"/>
  <c r="J148" i="21"/>
  <c r="I148" i="21"/>
  <c r="H148" i="21"/>
  <c r="G148" i="21"/>
  <c r="F148" i="21"/>
  <c r="E148" i="21"/>
  <c r="D148" i="21"/>
  <c r="C148" i="21"/>
  <c r="B148" i="21"/>
  <c r="A148" i="21"/>
  <c r="BG147" i="21"/>
  <c r="BH147" i="21" s="1"/>
  <c r="BE147" i="21"/>
  <c r="BF147" i="21" s="1"/>
  <c r="AW147" i="21"/>
  <c r="AX147" i="21" s="1"/>
  <c r="AU147" i="21"/>
  <c r="AV147" i="21" s="1"/>
  <c r="AS147" i="21"/>
  <c r="AT147" i="21" s="1"/>
  <c r="AQ147" i="21"/>
  <c r="AO147" i="21"/>
  <c r="AP147" i="21" s="1"/>
  <c r="AM147" i="21"/>
  <c r="AN147" i="21" s="1"/>
  <c r="AK147" i="21"/>
  <c r="AL147" i="21" s="1"/>
  <c r="AG147" i="21"/>
  <c r="AH147" i="21" s="1"/>
  <c r="AE147" i="21"/>
  <c r="AC147" i="21"/>
  <c r="AD147" i="21" s="1"/>
  <c r="AA147" i="21"/>
  <c r="AB147" i="21" s="1"/>
  <c r="W147" i="21"/>
  <c r="U147" i="21"/>
  <c r="V147" i="21" s="1"/>
  <c r="S147" i="21"/>
  <c r="T147" i="21" s="1"/>
  <c r="Q147" i="21"/>
  <c r="R147" i="21" s="1"/>
  <c r="P147" i="21"/>
  <c r="O147" i="21"/>
  <c r="N147" i="21"/>
  <c r="M147" i="21"/>
  <c r="L147" i="21"/>
  <c r="K147" i="21"/>
  <c r="J147" i="21"/>
  <c r="I147" i="21"/>
  <c r="H147" i="21"/>
  <c r="G147" i="21"/>
  <c r="F147" i="21"/>
  <c r="E147" i="21"/>
  <c r="D147" i="21"/>
  <c r="C147" i="21"/>
  <c r="B147" i="21"/>
  <c r="A147" i="21"/>
  <c r="BG146" i="21"/>
  <c r="BH146" i="21" s="1"/>
  <c r="BE146" i="21"/>
  <c r="BF146" i="21" s="1"/>
  <c r="AW146" i="21"/>
  <c r="AX146" i="21" s="1"/>
  <c r="AU146" i="21"/>
  <c r="AS146" i="21"/>
  <c r="AT146" i="21" s="1"/>
  <c r="AQ146" i="21"/>
  <c r="AR146" i="21" s="1"/>
  <c r="AO146" i="21"/>
  <c r="AP146" i="21" s="1"/>
  <c r="AM146" i="21"/>
  <c r="AN146" i="21" s="1"/>
  <c r="AK146" i="21"/>
  <c r="AG146" i="21"/>
  <c r="AH146" i="21" s="1"/>
  <c r="AE146" i="21"/>
  <c r="AF146" i="21" s="1"/>
  <c r="AC146" i="21"/>
  <c r="AA146" i="21"/>
  <c r="AB146" i="21" s="1"/>
  <c r="W146" i="21"/>
  <c r="X146" i="21" s="1"/>
  <c r="U146" i="21"/>
  <c r="V146" i="21" s="1"/>
  <c r="S146" i="21"/>
  <c r="T146" i="21" s="1"/>
  <c r="Q146" i="21"/>
  <c r="R146" i="21" s="1"/>
  <c r="P146" i="21"/>
  <c r="O146" i="21"/>
  <c r="N146" i="21"/>
  <c r="M146" i="21"/>
  <c r="L146" i="21"/>
  <c r="K146" i="21"/>
  <c r="J146" i="21"/>
  <c r="I146" i="21"/>
  <c r="H146" i="21"/>
  <c r="G146" i="21"/>
  <c r="F146" i="21"/>
  <c r="E146" i="21"/>
  <c r="D146" i="21"/>
  <c r="C146" i="21"/>
  <c r="B146" i="21"/>
  <c r="A146" i="21"/>
  <c r="BG145" i="21"/>
  <c r="BH145" i="21" s="1"/>
  <c r="BE145" i="21"/>
  <c r="BF145" i="21" s="1"/>
  <c r="AW145" i="21"/>
  <c r="AX145" i="21" s="1"/>
  <c r="AU145" i="21"/>
  <c r="AV145" i="21" s="1"/>
  <c r="AS145" i="21"/>
  <c r="AT145" i="21" s="1"/>
  <c r="AQ145" i="21"/>
  <c r="AR145" i="21" s="1"/>
  <c r="AO145" i="21"/>
  <c r="AM145" i="21"/>
  <c r="AN145" i="21" s="1"/>
  <c r="AK145" i="21"/>
  <c r="AL145" i="21" s="1"/>
  <c r="AG145" i="21"/>
  <c r="AE145" i="21"/>
  <c r="AF145" i="21" s="1"/>
  <c r="AC145" i="21"/>
  <c r="AD145" i="21" s="1"/>
  <c r="AA145" i="21"/>
  <c r="AB145" i="21" s="1"/>
  <c r="W145" i="21"/>
  <c r="X145" i="21" s="1"/>
  <c r="U145" i="21"/>
  <c r="S145" i="21"/>
  <c r="T145" i="21" s="1"/>
  <c r="Q145" i="21"/>
  <c r="R145" i="21" s="1"/>
  <c r="P145" i="21"/>
  <c r="O145" i="21"/>
  <c r="N145" i="21"/>
  <c r="M145" i="21"/>
  <c r="L145" i="21"/>
  <c r="K145" i="21"/>
  <c r="J145" i="21"/>
  <c r="I145" i="21"/>
  <c r="H145" i="21"/>
  <c r="G145" i="21"/>
  <c r="F145" i="21"/>
  <c r="E145" i="21"/>
  <c r="D145" i="21"/>
  <c r="C145" i="21"/>
  <c r="B145" i="21"/>
  <c r="A145" i="21"/>
  <c r="BG144" i="21"/>
  <c r="BE144" i="21"/>
  <c r="BF144" i="21" s="1"/>
  <c r="AW144" i="21"/>
  <c r="AX144" i="21" s="1"/>
  <c r="AU144" i="21"/>
  <c r="AV144" i="21" s="1"/>
  <c r="AS144" i="21"/>
  <c r="AQ144" i="21"/>
  <c r="AR144" i="21" s="1"/>
  <c r="AO144" i="21"/>
  <c r="AP144" i="21" s="1"/>
  <c r="AM144" i="21"/>
  <c r="AK144" i="21"/>
  <c r="AL144" i="21" s="1"/>
  <c r="AG144" i="21"/>
  <c r="AH144" i="21" s="1"/>
  <c r="AE144" i="21"/>
  <c r="AF144" i="21" s="1"/>
  <c r="AC144" i="21"/>
  <c r="AD144" i="21" s="1"/>
  <c r="AA144" i="21"/>
  <c r="W144" i="21"/>
  <c r="X144" i="21" s="1"/>
  <c r="U144" i="21"/>
  <c r="V144" i="21" s="1"/>
  <c r="S144" i="21"/>
  <c r="Q144" i="21"/>
  <c r="R144" i="21" s="1"/>
  <c r="P144" i="21"/>
  <c r="O144" i="21"/>
  <c r="N144" i="21"/>
  <c r="M144" i="21"/>
  <c r="L144" i="21"/>
  <c r="K144" i="21"/>
  <c r="J144" i="21"/>
  <c r="I144" i="21"/>
  <c r="H144" i="21"/>
  <c r="G144" i="21"/>
  <c r="F144" i="21"/>
  <c r="E144" i="21"/>
  <c r="D144" i="21"/>
  <c r="C144" i="21"/>
  <c r="B144" i="21"/>
  <c r="A144" i="21"/>
  <c r="BG143" i="21"/>
  <c r="BH143" i="21" s="1"/>
  <c r="BE143" i="21"/>
  <c r="BF143" i="21" s="1"/>
  <c r="AW143" i="21"/>
  <c r="AU143" i="21"/>
  <c r="AV143" i="21" s="1"/>
  <c r="AS143" i="21"/>
  <c r="AT143" i="21" s="1"/>
  <c r="AQ143" i="21"/>
  <c r="AO143" i="21"/>
  <c r="AP143" i="21" s="1"/>
  <c r="AM143" i="21"/>
  <c r="AN143" i="21" s="1"/>
  <c r="AK143" i="21"/>
  <c r="AL143" i="21" s="1"/>
  <c r="AG143" i="21"/>
  <c r="AH143" i="21" s="1"/>
  <c r="AE143" i="21"/>
  <c r="AC143" i="21"/>
  <c r="AD143" i="21" s="1"/>
  <c r="AA143" i="21"/>
  <c r="AB143" i="21" s="1"/>
  <c r="W143" i="21"/>
  <c r="U143" i="21"/>
  <c r="V143" i="21" s="1"/>
  <c r="S143" i="21"/>
  <c r="T143" i="21" s="1"/>
  <c r="Q143" i="21"/>
  <c r="R143" i="21" s="1"/>
  <c r="P143" i="21"/>
  <c r="O143" i="21"/>
  <c r="N143" i="21"/>
  <c r="M143" i="21"/>
  <c r="L143" i="21"/>
  <c r="K143" i="21"/>
  <c r="J143" i="21"/>
  <c r="I143" i="21"/>
  <c r="H143" i="21"/>
  <c r="G143" i="21"/>
  <c r="F143" i="21"/>
  <c r="E143" i="21"/>
  <c r="D143" i="21"/>
  <c r="C143" i="21"/>
  <c r="B143" i="21"/>
  <c r="A143" i="21"/>
  <c r="BG142" i="21"/>
  <c r="BH142" i="21" s="1"/>
  <c r="BE142" i="21"/>
  <c r="AW142" i="21"/>
  <c r="AX142" i="21" s="1"/>
  <c r="AU142" i="21"/>
  <c r="AS142" i="21"/>
  <c r="AT142" i="21" s="1"/>
  <c r="AQ142" i="21"/>
  <c r="AR142" i="21" s="1"/>
  <c r="AO142" i="21"/>
  <c r="AP142" i="21" s="1"/>
  <c r="AM142" i="21"/>
  <c r="AN142" i="21" s="1"/>
  <c r="AK142" i="21"/>
  <c r="AG142" i="21"/>
  <c r="AH142" i="21" s="1"/>
  <c r="AE142" i="21"/>
  <c r="AF142" i="21" s="1"/>
  <c r="AC142" i="21"/>
  <c r="AA142" i="21"/>
  <c r="AB142" i="21" s="1"/>
  <c r="W142" i="21"/>
  <c r="X142" i="21" s="1"/>
  <c r="U142" i="21"/>
  <c r="V142" i="21" s="1"/>
  <c r="S142" i="21"/>
  <c r="T142" i="21" s="1"/>
  <c r="Q142" i="21"/>
  <c r="P142" i="21"/>
  <c r="O142" i="21"/>
  <c r="N142" i="21"/>
  <c r="M142" i="21"/>
  <c r="L142" i="21"/>
  <c r="K142" i="21"/>
  <c r="J142" i="21"/>
  <c r="I142" i="21"/>
  <c r="H142" i="21"/>
  <c r="G142" i="21"/>
  <c r="F142" i="21"/>
  <c r="E142" i="21"/>
  <c r="D142" i="21"/>
  <c r="C142" i="21"/>
  <c r="B142" i="21"/>
  <c r="A142" i="21"/>
  <c r="BG141" i="21"/>
  <c r="BH141" i="21" s="1"/>
  <c r="BE141" i="21"/>
  <c r="BF141" i="21" s="1"/>
  <c r="AW141" i="21"/>
  <c r="AX141" i="21" s="1"/>
  <c r="AU141" i="21"/>
  <c r="AV141" i="21" s="1"/>
  <c r="AS141" i="21"/>
  <c r="AT141" i="21" s="1"/>
  <c r="AQ141" i="21"/>
  <c r="AR141" i="21" s="1"/>
  <c r="AO141" i="21"/>
  <c r="AM141" i="21"/>
  <c r="AN141" i="21" s="1"/>
  <c r="AK141" i="21"/>
  <c r="AL141" i="21" s="1"/>
  <c r="AG141" i="21"/>
  <c r="AE141" i="21"/>
  <c r="AF141" i="21" s="1"/>
  <c r="AC141" i="21"/>
  <c r="AD141" i="21" s="1"/>
  <c r="AA141" i="21"/>
  <c r="AB141" i="21" s="1"/>
  <c r="W141" i="21"/>
  <c r="X141" i="21" s="1"/>
  <c r="U141" i="21"/>
  <c r="S141" i="21"/>
  <c r="T141" i="21" s="1"/>
  <c r="Q141" i="21"/>
  <c r="R141" i="21" s="1"/>
  <c r="P141" i="21"/>
  <c r="O141" i="21"/>
  <c r="N141" i="21"/>
  <c r="M141" i="21"/>
  <c r="L141" i="21"/>
  <c r="K141" i="21"/>
  <c r="J141" i="21"/>
  <c r="I141" i="21"/>
  <c r="H141" i="21"/>
  <c r="G141" i="21"/>
  <c r="F141" i="21"/>
  <c r="E141" i="21"/>
  <c r="D141" i="21"/>
  <c r="C141" i="21"/>
  <c r="B141" i="21"/>
  <c r="A141" i="21"/>
  <c r="BG140" i="21"/>
  <c r="BE140" i="21"/>
  <c r="BF140" i="21" s="1"/>
  <c r="AW140" i="21"/>
  <c r="AX140" i="21" s="1"/>
  <c r="AU140" i="21"/>
  <c r="AV140" i="21" s="1"/>
  <c r="AS140" i="21"/>
  <c r="AQ140" i="21"/>
  <c r="AR140" i="21" s="1"/>
  <c r="AO140" i="21"/>
  <c r="AP140" i="21" s="1"/>
  <c r="AM140" i="21"/>
  <c r="AK140" i="21"/>
  <c r="AL140" i="21" s="1"/>
  <c r="AG140" i="21"/>
  <c r="AH140" i="21" s="1"/>
  <c r="AE140" i="21"/>
  <c r="AF140" i="21" s="1"/>
  <c r="AC140" i="21"/>
  <c r="AD140" i="21" s="1"/>
  <c r="AA140" i="21"/>
  <c r="AB140" i="21" s="1"/>
  <c r="W140" i="21"/>
  <c r="X140" i="21" s="1"/>
  <c r="U140" i="21"/>
  <c r="V140" i="21" s="1"/>
  <c r="S140" i="21"/>
  <c r="Q140" i="21"/>
  <c r="R140" i="21" s="1"/>
  <c r="P140" i="21"/>
  <c r="O140" i="21"/>
  <c r="N140" i="21"/>
  <c r="M140" i="21"/>
  <c r="L140" i="21"/>
  <c r="K140" i="21"/>
  <c r="J140" i="21"/>
  <c r="I140" i="21"/>
  <c r="H140" i="21"/>
  <c r="G140" i="21"/>
  <c r="F140" i="21"/>
  <c r="E140" i="21"/>
  <c r="D140" i="21"/>
  <c r="C140" i="21"/>
  <c r="B140" i="21"/>
  <c r="A140" i="21"/>
  <c r="BG139" i="21"/>
  <c r="BH139" i="21" s="1"/>
  <c r="BE139" i="21"/>
  <c r="BF139" i="21" s="1"/>
  <c r="AW139" i="21"/>
  <c r="AU139" i="21"/>
  <c r="AV139" i="21" s="1"/>
  <c r="AS139" i="21"/>
  <c r="AT139" i="21" s="1"/>
  <c r="AQ139" i="21"/>
  <c r="AO139" i="21"/>
  <c r="AP139" i="21" s="1"/>
  <c r="AM139" i="21"/>
  <c r="AN139" i="21" s="1"/>
  <c r="AK139" i="21"/>
  <c r="AL139" i="21" s="1"/>
  <c r="AG139" i="21"/>
  <c r="AH139" i="21" s="1"/>
  <c r="AE139" i="21"/>
  <c r="AF139" i="21" s="1"/>
  <c r="AC139" i="21"/>
  <c r="AD139" i="21" s="1"/>
  <c r="AA139" i="21"/>
  <c r="AB139" i="21" s="1"/>
  <c r="W139" i="21"/>
  <c r="U139" i="21"/>
  <c r="V139" i="21" s="1"/>
  <c r="S139" i="21"/>
  <c r="T139" i="21" s="1"/>
  <c r="Q139" i="21"/>
  <c r="R139" i="21" s="1"/>
  <c r="P139" i="21"/>
  <c r="O139" i="21"/>
  <c r="N139" i="21"/>
  <c r="M139" i="21"/>
  <c r="L139" i="21"/>
  <c r="K139" i="21"/>
  <c r="J139" i="21"/>
  <c r="I139" i="21"/>
  <c r="H139" i="21"/>
  <c r="G139" i="21"/>
  <c r="F139" i="21"/>
  <c r="E139" i="21"/>
  <c r="D139" i="21"/>
  <c r="C139" i="21"/>
  <c r="B139" i="21"/>
  <c r="A139" i="21"/>
  <c r="BG138" i="21"/>
  <c r="BH138" i="21" s="1"/>
  <c r="BE138" i="21"/>
  <c r="AW138" i="21"/>
  <c r="AX138" i="21" s="1"/>
  <c r="AU138" i="21"/>
  <c r="AS138" i="21"/>
  <c r="AT138" i="21" s="1"/>
  <c r="AQ138" i="21"/>
  <c r="AR138" i="21" s="1"/>
  <c r="AO138" i="21"/>
  <c r="AP138" i="21" s="1"/>
  <c r="AM138" i="21"/>
  <c r="AN138" i="21" s="1"/>
  <c r="AK138" i="21"/>
  <c r="AL138" i="21" s="1"/>
  <c r="AG138" i="21"/>
  <c r="AH138" i="21" s="1"/>
  <c r="AE138" i="21"/>
  <c r="AF138" i="21" s="1"/>
  <c r="AC138" i="21"/>
  <c r="AA138" i="21"/>
  <c r="AB138" i="21" s="1"/>
  <c r="W138" i="21"/>
  <c r="X138" i="21" s="1"/>
  <c r="U138" i="21"/>
  <c r="V138" i="21" s="1"/>
  <c r="S138" i="21"/>
  <c r="T138" i="21" s="1"/>
  <c r="Q138" i="21"/>
  <c r="P138" i="21"/>
  <c r="O138" i="21"/>
  <c r="N138" i="21"/>
  <c r="M138" i="21"/>
  <c r="L138" i="21"/>
  <c r="K138" i="21"/>
  <c r="J138" i="21"/>
  <c r="I138" i="21"/>
  <c r="H138" i="21"/>
  <c r="G138" i="21"/>
  <c r="F138" i="21"/>
  <c r="E138" i="21"/>
  <c r="D138" i="21"/>
  <c r="C138" i="21"/>
  <c r="B138" i="21"/>
  <c r="A138" i="21"/>
  <c r="BG137" i="21"/>
  <c r="BH137" i="21" s="1"/>
  <c r="BE137" i="21"/>
  <c r="BF137" i="21" s="1"/>
  <c r="AW137" i="21"/>
  <c r="AX137" i="21" s="1"/>
  <c r="AU137" i="21"/>
  <c r="AV137" i="21" s="1"/>
  <c r="AS137" i="21"/>
  <c r="AT137" i="21" s="1"/>
  <c r="AQ137" i="21"/>
  <c r="AR137" i="21" s="1"/>
  <c r="AO137" i="21"/>
  <c r="AP137" i="21" s="1"/>
  <c r="AM137" i="21"/>
  <c r="AN137" i="21" s="1"/>
  <c r="AK137" i="21"/>
  <c r="AL137" i="21" s="1"/>
  <c r="AG137" i="21"/>
  <c r="AE137" i="21"/>
  <c r="AF137" i="21" s="1"/>
  <c r="AC137" i="21"/>
  <c r="AD137" i="21" s="1"/>
  <c r="AA137" i="21"/>
  <c r="AB137" i="21" s="1"/>
  <c r="W137" i="21"/>
  <c r="X137" i="21" s="1"/>
  <c r="U137" i="21"/>
  <c r="S137" i="21"/>
  <c r="T137" i="21" s="1"/>
  <c r="Q137" i="21"/>
  <c r="R137" i="21" s="1"/>
  <c r="P137" i="21"/>
  <c r="O137" i="21"/>
  <c r="N137" i="21"/>
  <c r="M137" i="21"/>
  <c r="L137" i="21"/>
  <c r="K137" i="21"/>
  <c r="J137" i="21"/>
  <c r="I137" i="21"/>
  <c r="H137" i="21"/>
  <c r="G137" i="21"/>
  <c r="F137" i="21"/>
  <c r="E137" i="21"/>
  <c r="D137" i="21"/>
  <c r="C137" i="21"/>
  <c r="B137" i="21"/>
  <c r="A137" i="21"/>
  <c r="BG136" i="21"/>
  <c r="BE136" i="21"/>
  <c r="BF136" i="21" s="1"/>
  <c r="AW136" i="21"/>
  <c r="AX136" i="21" s="1"/>
  <c r="AU136" i="21"/>
  <c r="AV136" i="21" s="1"/>
  <c r="AS136" i="21"/>
  <c r="AT136" i="21" s="1"/>
  <c r="AQ136" i="21"/>
  <c r="AR136" i="21" s="1"/>
  <c r="AO136" i="21"/>
  <c r="AP136" i="21" s="1"/>
  <c r="AM136" i="21"/>
  <c r="AK136" i="21"/>
  <c r="AL136" i="21" s="1"/>
  <c r="AG136" i="21"/>
  <c r="AH136" i="21" s="1"/>
  <c r="AE136" i="21"/>
  <c r="AF136" i="21" s="1"/>
  <c r="AC136" i="21"/>
  <c r="AD136" i="21" s="1"/>
  <c r="AA136" i="21"/>
  <c r="W136" i="21"/>
  <c r="X136" i="21" s="1"/>
  <c r="U136" i="21"/>
  <c r="V136" i="21" s="1"/>
  <c r="S136" i="21"/>
  <c r="Q136" i="21"/>
  <c r="R136" i="21" s="1"/>
  <c r="P136" i="21"/>
  <c r="O136" i="21"/>
  <c r="N136" i="21"/>
  <c r="M136" i="21"/>
  <c r="L136" i="21"/>
  <c r="K136" i="21"/>
  <c r="J136" i="21"/>
  <c r="I136" i="21"/>
  <c r="H136" i="21"/>
  <c r="G136" i="21"/>
  <c r="F136" i="21"/>
  <c r="E136" i="21"/>
  <c r="D136" i="21"/>
  <c r="C136" i="21"/>
  <c r="B136" i="21"/>
  <c r="A136" i="21"/>
  <c r="BG135" i="21"/>
  <c r="BH135" i="21" s="1"/>
  <c r="BE135" i="21"/>
  <c r="BF135" i="21" s="1"/>
  <c r="AW135" i="21"/>
  <c r="AX135" i="21" s="1"/>
  <c r="AU135" i="21"/>
  <c r="AV135" i="21" s="1"/>
  <c r="AS135" i="21"/>
  <c r="AT135" i="21" s="1"/>
  <c r="AQ135" i="21"/>
  <c r="AO135" i="21"/>
  <c r="AP135" i="21" s="1"/>
  <c r="AM135" i="21"/>
  <c r="AN135" i="21" s="1"/>
  <c r="AK135" i="21"/>
  <c r="AL135" i="21" s="1"/>
  <c r="AG135" i="21"/>
  <c r="AH135" i="21" s="1"/>
  <c r="AE135" i="21"/>
  <c r="AC135" i="21"/>
  <c r="AD135" i="21" s="1"/>
  <c r="AA135" i="21"/>
  <c r="AB135" i="21" s="1"/>
  <c r="W135" i="21"/>
  <c r="U135" i="21"/>
  <c r="V135" i="21" s="1"/>
  <c r="S135" i="21"/>
  <c r="T135" i="21" s="1"/>
  <c r="Q135" i="21"/>
  <c r="R135" i="21" s="1"/>
  <c r="P135" i="21"/>
  <c r="O135" i="21"/>
  <c r="N135" i="21"/>
  <c r="M135" i="21"/>
  <c r="L135" i="21"/>
  <c r="K135" i="21"/>
  <c r="J135" i="21"/>
  <c r="I135" i="21"/>
  <c r="H135" i="21"/>
  <c r="G135" i="21"/>
  <c r="F135" i="21"/>
  <c r="E135" i="21"/>
  <c r="D135" i="21"/>
  <c r="C135" i="21"/>
  <c r="B135" i="21"/>
  <c r="A135" i="21"/>
  <c r="BG134" i="21"/>
  <c r="BH134" i="21" s="1"/>
  <c r="BE134" i="21"/>
  <c r="BF134" i="21" s="1"/>
  <c r="AW134" i="21"/>
  <c r="AX134" i="21" s="1"/>
  <c r="AU134" i="21"/>
  <c r="AS134" i="21"/>
  <c r="AT134" i="21" s="1"/>
  <c r="AQ134" i="21"/>
  <c r="AR134" i="21" s="1"/>
  <c r="AO134" i="21"/>
  <c r="AP134" i="21" s="1"/>
  <c r="AM134" i="21"/>
  <c r="AN134" i="21" s="1"/>
  <c r="AK134" i="21"/>
  <c r="AG134" i="21"/>
  <c r="AH134" i="21" s="1"/>
  <c r="AE134" i="21"/>
  <c r="AF134" i="21" s="1"/>
  <c r="AC134" i="21"/>
  <c r="AA134" i="21"/>
  <c r="AB134" i="21" s="1"/>
  <c r="W134" i="21"/>
  <c r="X134" i="21" s="1"/>
  <c r="U134" i="21"/>
  <c r="V134" i="21" s="1"/>
  <c r="S134" i="21"/>
  <c r="T134" i="21" s="1"/>
  <c r="Q134" i="21"/>
  <c r="R134" i="21" s="1"/>
  <c r="P134" i="21"/>
  <c r="O134" i="21"/>
  <c r="N134" i="21"/>
  <c r="M134" i="21"/>
  <c r="L134" i="21"/>
  <c r="K134" i="21"/>
  <c r="J134" i="21"/>
  <c r="I134" i="21"/>
  <c r="H134" i="21"/>
  <c r="G134" i="21"/>
  <c r="F134" i="21"/>
  <c r="E134" i="21"/>
  <c r="D134" i="21"/>
  <c r="C134" i="21"/>
  <c r="B134" i="21"/>
  <c r="A134" i="21"/>
  <c r="BG133" i="21"/>
  <c r="BH133" i="21" s="1"/>
  <c r="BE133" i="21"/>
  <c r="BF133" i="21" s="1"/>
  <c r="AW133" i="21"/>
  <c r="AX133" i="21" s="1"/>
  <c r="AU133" i="21"/>
  <c r="AV133" i="21" s="1"/>
  <c r="AS133" i="21"/>
  <c r="AT133" i="21" s="1"/>
  <c r="AQ133" i="21"/>
  <c r="AR133" i="21" s="1"/>
  <c r="AO133" i="21"/>
  <c r="AM133" i="21"/>
  <c r="AN133" i="21" s="1"/>
  <c r="AK133" i="21"/>
  <c r="AL133" i="21" s="1"/>
  <c r="AG133" i="21"/>
  <c r="AE133" i="21"/>
  <c r="AF133" i="21" s="1"/>
  <c r="AC133" i="21"/>
  <c r="AD133" i="21" s="1"/>
  <c r="AA133" i="21"/>
  <c r="AB133" i="21" s="1"/>
  <c r="W133" i="21"/>
  <c r="X133" i="21" s="1"/>
  <c r="U133" i="21"/>
  <c r="V133" i="21" s="1"/>
  <c r="S133" i="21"/>
  <c r="T133" i="21" s="1"/>
  <c r="Q133" i="21"/>
  <c r="R133" i="21" s="1"/>
  <c r="P133" i="21"/>
  <c r="O133" i="21"/>
  <c r="N133" i="21"/>
  <c r="M133" i="21"/>
  <c r="L133" i="21"/>
  <c r="K133" i="21"/>
  <c r="J133" i="21"/>
  <c r="I133" i="21"/>
  <c r="H133" i="21"/>
  <c r="G133" i="21"/>
  <c r="F133" i="21"/>
  <c r="E133" i="21"/>
  <c r="D133" i="21"/>
  <c r="C133" i="21"/>
  <c r="B133" i="21"/>
  <c r="A133" i="21"/>
  <c r="BG132" i="21"/>
  <c r="BE132" i="21"/>
  <c r="BF132" i="21" s="1"/>
  <c r="AW132" i="21"/>
  <c r="AX132" i="21" s="1"/>
  <c r="AU132" i="21"/>
  <c r="AV132" i="21" s="1"/>
  <c r="AS132" i="21"/>
  <c r="AQ132" i="21"/>
  <c r="AR132" i="21" s="1"/>
  <c r="AO132" i="21"/>
  <c r="AP132" i="21" s="1"/>
  <c r="AM132" i="21"/>
  <c r="AK132" i="21"/>
  <c r="AL132" i="21" s="1"/>
  <c r="AG132" i="21"/>
  <c r="AH132" i="21" s="1"/>
  <c r="AE132" i="21"/>
  <c r="AF132" i="21" s="1"/>
  <c r="AC132" i="21"/>
  <c r="AD132" i="21" s="1"/>
  <c r="AA132" i="21"/>
  <c r="AB132" i="21" s="1"/>
  <c r="W132" i="21"/>
  <c r="X132" i="21" s="1"/>
  <c r="U132" i="21"/>
  <c r="V132" i="21" s="1"/>
  <c r="S132" i="21"/>
  <c r="Q132" i="21"/>
  <c r="R132" i="21" s="1"/>
  <c r="P132" i="21"/>
  <c r="O132" i="21"/>
  <c r="N132" i="21"/>
  <c r="M132" i="21"/>
  <c r="L132" i="21"/>
  <c r="K132" i="21"/>
  <c r="J132" i="21"/>
  <c r="I132" i="21"/>
  <c r="H132" i="21"/>
  <c r="G132" i="21"/>
  <c r="F132" i="21"/>
  <c r="E132" i="21"/>
  <c r="D132" i="21"/>
  <c r="C132" i="21"/>
  <c r="B132" i="21"/>
  <c r="A132" i="21"/>
  <c r="BG131" i="21"/>
  <c r="BH131" i="21" s="1"/>
  <c r="BE131" i="21"/>
  <c r="BF131" i="21" s="1"/>
  <c r="AW131" i="21"/>
  <c r="AU131" i="21"/>
  <c r="AV131" i="21" s="1"/>
  <c r="AS131" i="21"/>
  <c r="AT131" i="21" s="1"/>
  <c r="AQ131" i="21"/>
  <c r="AO131" i="21"/>
  <c r="AP131" i="21" s="1"/>
  <c r="AM131" i="21"/>
  <c r="AN131" i="21" s="1"/>
  <c r="AK131" i="21"/>
  <c r="AL131" i="21" s="1"/>
  <c r="AG131" i="21"/>
  <c r="AH131" i="21" s="1"/>
  <c r="AE131" i="21"/>
  <c r="AF131" i="21" s="1"/>
  <c r="AC131" i="21"/>
  <c r="AD131" i="21" s="1"/>
  <c r="AA131" i="21"/>
  <c r="AB131" i="21" s="1"/>
  <c r="W131" i="21"/>
  <c r="U131" i="21"/>
  <c r="V131" i="21" s="1"/>
  <c r="S131" i="21"/>
  <c r="T131" i="21" s="1"/>
  <c r="Q131" i="21"/>
  <c r="R131" i="21" s="1"/>
  <c r="P131" i="21"/>
  <c r="O131" i="21"/>
  <c r="N131" i="21"/>
  <c r="M131" i="21"/>
  <c r="L131" i="21"/>
  <c r="K131" i="21"/>
  <c r="J131" i="21"/>
  <c r="I131" i="21"/>
  <c r="H131" i="21"/>
  <c r="G131" i="21"/>
  <c r="F131" i="21"/>
  <c r="E131" i="21"/>
  <c r="D131" i="21"/>
  <c r="C131" i="21"/>
  <c r="B131" i="21"/>
  <c r="A131" i="21"/>
  <c r="BG130" i="21"/>
  <c r="BH130" i="21" s="1"/>
  <c r="BE130" i="21"/>
  <c r="AW130" i="21"/>
  <c r="AX130" i="21" s="1"/>
  <c r="AU130" i="21"/>
  <c r="AS130" i="21"/>
  <c r="AT130" i="21" s="1"/>
  <c r="AQ130" i="21"/>
  <c r="AR130" i="21" s="1"/>
  <c r="AO130" i="21"/>
  <c r="AP130" i="21" s="1"/>
  <c r="AM130" i="21"/>
  <c r="AN130" i="21" s="1"/>
  <c r="AK130" i="21"/>
  <c r="AL130" i="21" s="1"/>
  <c r="AG130" i="21"/>
  <c r="AH130" i="21" s="1"/>
  <c r="AE130" i="21"/>
  <c r="AF130" i="21" s="1"/>
  <c r="AC130" i="21"/>
  <c r="AA130" i="21"/>
  <c r="AB130" i="21" s="1"/>
  <c r="W130" i="21"/>
  <c r="X130" i="21" s="1"/>
  <c r="U130" i="21"/>
  <c r="V130" i="21" s="1"/>
  <c r="S130" i="21"/>
  <c r="T130" i="21" s="1"/>
  <c r="Q130" i="21"/>
  <c r="P130" i="21"/>
  <c r="O130" i="21"/>
  <c r="N130" i="21"/>
  <c r="M130" i="21"/>
  <c r="L130" i="21"/>
  <c r="K130" i="21"/>
  <c r="J130" i="21"/>
  <c r="I130" i="21"/>
  <c r="H130" i="21"/>
  <c r="G130" i="21"/>
  <c r="F130" i="21"/>
  <c r="E130" i="21"/>
  <c r="D130" i="21"/>
  <c r="C130" i="21"/>
  <c r="B130" i="21"/>
  <c r="A130" i="21"/>
  <c r="BG129" i="21"/>
  <c r="BH129" i="21" s="1"/>
  <c r="BE129" i="21"/>
  <c r="BF129" i="21" s="1"/>
  <c r="AW129" i="21"/>
  <c r="AX129" i="21" s="1"/>
  <c r="AU129" i="21"/>
  <c r="AV129" i="21" s="1"/>
  <c r="AS129" i="21"/>
  <c r="AT129" i="21" s="1"/>
  <c r="AQ129" i="21"/>
  <c r="AR129" i="21" s="1"/>
  <c r="AO129" i="21"/>
  <c r="AP129" i="21" s="1"/>
  <c r="AM129" i="21"/>
  <c r="AN129" i="21" s="1"/>
  <c r="AK129" i="21"/>
  <c r="AL129" i="21" s="1"/>
  <c r="AG129" i="21"/>
  <c r="AE129" i="21"/>
  <c r="AF129" i="21" s="1"/>
  <c r="AC129" i="21"/>
  <c r="AD129" i="21" s="1"/>
  <c r="AA129" i="21"/>
  <c r="AB129" i="21" s="1"/>
  <c r="W129" i="21"/>
  <c r="X129" i="21" s="1"/>
  <c r="U129" i="21"/>
  <c r="S129" i="21"/>
  <c r="T129" i="21" s="1"/>
  <c r="Q129" i="21"/>
  <c r="R129" i="21" s="1"/>
  <c r="P129" i="21"/>
  <c r="O129" i="21"/>
  <c r="N129" i="21"/>
  <c r="M129" i="21"/>
  <c r="L129" i="21"/>
  <c r="K129" i="21"/>
  <c r="J129" i="21"/>
  <c r="I129" i="21"/>
  <c r="H129" i="21"/>
  <c r="G129" i="21"/>
  <c r="F129" i="21"/>
  <c r="E129" i="21"/>
  <c r="D129" i="21"/>
  <c r="C129" i="21"/>
  <c r="B129" i="21"/>
  <c r="A129" i="21"/>
  <c r="BG128" i="21"/>
  <c r="BE128" i="21"/>
  <c r="BF128" i="21" s="1"/>
  <c r="AW128" i="21"/>
  <c r="AU128" i="21"/>
  <c r="AV128" i="21" s="1"/>
  <c r="AS128" i="21"/>
  <c r="AQ128" i="21"/>
  <c r="AR128" i="21" s="1"/>
  <c r="AO128" i="21"/>
  <c r="AP128" i="21" s="1"/>
  <c r="AM128" i="21"/>
  <c r="AK128" i="21"/>
  <c r="AL128" i="21" s="1"/>
  <c r="AG128" i="21"/>
  <c r="AH128" i="21" s="1"/>
  <c r="AE128" i="21"/>
  <c r="AF128" i="21" s="1"/>
  <c r="AC128" i="21"/>
  <c r="AD128" i="21" s="1"/>
  <c r="AA128" i="21"/>
  <c r="W128" i="21"/>
  <c r="X128" i="21" s="1"/>
  <c r="U128" i="21"/>
  <c r="V128" i="21" s="1"/>
  <c r="S128" i="21"/>
  <c r="Q128" i="21"/>
  <c r="R128" i="21" s="1"/>
  <c r="P128" i="21"/>
  <c r="O128" i="21"/>
  <c r="N128" i="21"/>
  <c r="M128" i="21"/>
  <c r="L128" i="21"/>
  <c r="K128" i="21"/>
  <c r="J128" i="21"/>
  <c r="I128" i="21"/>
  <c r="H128" i="21"/>
  <c r="G128" i="21"/>
  <c r="F128" i="21"/>
  <c r="E128" i="21"/>
  <c r="D128" i="21"/>
  <c r="C128" i="21"/>
  <c r="B128" i="21"/>
  <c r="A128" i="21"/>
  <c r="BG127" i="21"/>
  <c r="BH127" i="21" s="1"/>
  <c r="BE127" i="21"/>
  <c r="BF127" i="21" s="1"/>
  <c r="AW127" i="21"/>
  <c r="AU127" i="21"/>
  <c r="AV127" i="21" s="1"/>
  <c r="AS127" i="21"/>
  <c r="AT127" i="21" s="1"/>
  <c r="AQ127" i="21"/>
  <c r="AO127" i="21"/>
  <c r="AP127" i="21" s="1"/>
  <c r="AM127" i="21"/>
  <c r="AN127" i="21" s="1"/>
  <c r="AK127" i="21"/>
  <c r="AL127" i="21" s="1"/>
  <c r="AG127" i="21"/>
  <c r="AH127" i="21" s="1"/>
  <c r="AE127" i="21"/>
  <c r="AC127" i="21"/>
  <c r="AD127" i="21" s="1"/>
  <c r="AA127" i="21"/>
  <c r="AB127" i="21" s="1"/>
  <c r="W127" i="21"/>
  <c r="U127" i="21"/>
  <c r="V127" i="21" s="1"/>
  <c r="S127" i="21"/>
  <c r="T127" i="21" s="1"/>
  <c r="Q127" i="21"/>
  <c r="R127" i="21" s="1"/>
  <c r="P127" i="21"/>
  <c r="O127" i="21"/>
  <c r="N127" i="21"/>
  <c r="M127" i="21"/>
  <c r="L127" i="21"/>
  <c r="K127" i="21"/>
  <c r="J127" i="21"/>
  <c r="I127" i="21"/>
  <c r="H127" i="21"/>
  <c r="G127" i="21"/>
  <c r="F127" i="21"/>
  <c r="E127" i="21"/>
  <c r="D127" i="21"/>
  <c r="C127" i="21"/>
  <c r="B127" i="21"/>
  <c r="A127" i="21"/>
  <c r="BG126" i="21"/>
  <c r="BH126" i="21" s="1"/>
  <c r="BE126" i="21"/>
  <c r="AW126" i="21"/>
  <c r="AX126" i="21" s="1"/>
  <c r="AU126" i="21"/>
  <c r="AS126" i="21"/>
  <c r="AT126" i="21" s="1"/>
  <c r="AQ126" i="21"/>
  <c r="AR126" i="21" s="1"/>
  <c r="AO126" i="21"/>
  <c r="AP126" i="21" s="1"/>
  <c r="AM126" i="21"/>
  <c r="AN126" i="21" s="1"/>
  <c r="AK126" i="21"/>
  <c r="AG126" i="21"/>
  <c r="AH126" i="21" s="1"/>
  <c r="AE126" i="21"/>
  <c r="AF126" i="21" s="1"/>
  <c r="AC126" i="21"/>
  <c r="AA126" i="21"/>
  <c r="AB126" i="21" s="1"/>
  <c r="W126" i="21"/>
  <c r="X126" i="21" s="1"/>
  <c r="U126" i="21"/>
  <c r="V126" i="21" s="1"/>
  <c r="S126" i="21"/>
  <c r="T126" i="21" s="1"/>
  <c r="Q126" i="21"/>
  <c r="P126" i="21"/>
  <c r="O126" i="21"/>
  <c r="N126" i="21"/>
  <c r="M126" i="21"/>
  <c r="L126" i="21"/>
  <c r="K126" i="21"/>
  <c r="J126" i="21"/>
  <c r="I126" i="21"/>
  <c r="H126" i="21"/>
  <c r="G126" i="21"/>
  <c r="F126" i="21"/>
  <c r="E126" i="21"/>
  <c r="D126" i="21"/>
  <c r="C126" i="21"/>
  <c r="B126" i="21"/>
  <c r="A126" i="21"/>
  <c r="BG125" i="21"/>
  <c r="BH125" i="21" s="1"/>
  <c r="BE125" i="21"/>
  <c r="BF125" i="21" s="1"/>
  <c r="AW125" i="21"/>
  <c r="AX125" i="21" s="1"/>
  <c r="AU125" i="21"/>
  <c r="AV125" i="21" s="1"/>
  <c r="AS125" i="21"/>
  <c r="AT125" i="21" s="1"/>
  <c r="AQ125" i="21"/>
  <c r="AR125" i="21" s="1"/>
  <c r="AO125" i="21"/>
  <c r="AM125" i="21"/>
  <c r="AN125" i="21" s="1"/>
  <c r="AK125" i="21"/>
  <c r="AL125" i="21" s="1"/>
  <c r="AG125" i="21"/>
  <c r="AE125" i="21"/>
  <c r="AF125" i="21" s="1"/>
  <c r="AC125" i="21"/>
  <c r="AD125" i="21" s="1"/>
  <c r="AA125" i="21"/>
  <c r="AB125" i="21" s="1"/>
  <c r="W125" i="21"/>
  <c r="X125" i="21" s="1"/>
  <c r="U125" i="21"/>
  <c r="S125" i="21"/>
  <c r="T125" i="21" s="1"/>
  <c r="Q125" i="21"/>
  <c r="R125" i="21" s="1"/>
  <c r="P125" i="21"/>
  <c r="O125" i="21"/>
  <c r="N125" i="21"/>
  <c r="M125" i="21"/>
  <c r="L125" i="21"/>
  <c r="K125" i="21"/>
  <c r="J125" i="21"/>
  <c r="I125" i="21"/>
  <c r="H125" i="21"/>
  <c r="G125" i="21"/>
  <c r="F125" i="21"/>
  <c r="E125" i="21"/>
  <c r="D125" i="21"/>
  <c r="C125" i="21"/>
  <c r="B125" i="21"/>
  <c r="A125" i="21"/>
  <c r="BG124" i="21"/>
  <c r="BE124" i="21"/>
  <c r="BF124" i="21" s="1"/>
  <c r="AW124" i="21"/>
  <c r="AX124" i="21" s="1"/>
  <c r="AU124" i="21"/>
  <c r="AV124" i="21" s="1"/>
  <c r="AS124" i="21"/>
  <c r="AQ124" i="21"/>
  <c r="AR124" i="21" s="1"/>
  <c r="AO124" i="21"/>
  <c r="AP124" i="21" s="1"/>
  <c r="AM124" i="21"/>
  <c r="AK124" i="21"/>
  <c r="AL124" i="21" s="1"/>
  <c r="AG124" i="21"/>
  <c r="AH124" i="21" s="1"/>
  <c r="AE124" i="21"/>
  <c r="AF124" i="21" s="1"/>
  <c r="AC124" i="21"/>
  <c r="AD124" i="21" s="1"/>
  <c r="AA124" i="21"/>
  <c r="W124" i="21"/>
  <c r="X124" i="21" s="1"/>
  <c r="U124" i="21"/>
  <c r="V124" i="21" s="1"/>
  <c r="S124" i="21"/>
  <c r="Q124" i="21"/>
  <c r="R124" i="21" s="1"/>
  <c r="P124" i="21"/>
  <c r="O124" i="21"/>
  <c r="N124" i="21"/>
  <c r="M124" i="21"/>
  <c r="L124" i="21"/>
  <c r="K124" i="21"/>
  <c r="J124" i="21"/>
  <c r="I124" i="21"/>
  <c r="H124" i="21"/>
  <c r="G124" i="21"/>
  <c r="F124" i="21"/>
  <c r="E124" i="21"/>
  <c r="D124" i="21"/>
  <c r="C124" i="21"/>
  <c r="B124" i="21"/>
  <c r="A124" i="21"/>
  <c r="BG123" i="21"/>
  <c r="BH123" i="21" s="1"/>
  <c r="BE123" i="21"/>
  <c r="BF123" i="21" s="1"/>
  <c r="AW123" i="21"/>
  <c r="AU123" i="21"/>
  <c r="AV123" i="21" s="1"/>
  <c r="AS123" i="21"/>
  <c r="AT123" i="21" s="1"/>
  <c r="AQ123" i="21"/>
  <c r="AO123" i="21"/>
  <c r="AP123" i="21" s="1"/>
  <c r="AM123" i="21"/>
  <c r="AN123" i="21" s="1"/>
  <c r="AK123" i="21"/>
  <c r="AL123" i="21" s="1"/>
  <c r="AG123" i="21"/>
  <c r="AH123" i="21" s="1"/>
  <c r="AE123" i="21"/>
  <c r="AC123" i="21"/>
  <c r="AD123" i="21" s="1"/>
  <c r="AA123" i="21"/>
  <c r="AB123" i="21" s="1"/>
  <c r="W123" i="21"/>
  <c r="X123" i="21" s="1"/>
  <c r="U123" i="21"/>
  <c r="V123" i="21" s="1"/>
  <c r="S123" i="21"/>
  <c r="T123" i="21" s="1"/>
  <c r="Z123" i="21" s="1"/>
  <c r="Q123" i="21"/>
  <c r="R123" i="21" s="1"/>
  <c r="P123" i="21"/>
  <c r="O123" i="21"/>
  <c r="N123" i="21"/>
  <c r="M123" i="21"/>
  <c r="L123" i="21"/>
  <c r="K123" i="21"/>
  <c r="J123" i="21"/>
  <c r="I123" i="21"/>
  <c r="H123" i="21"/>
  <c r="G123" i="21"/>
  <c r="F123" i="21"/>
  <c r="E123" i="21"/>
  <c r="D123" i="21"/>
  <c r="C123" i="21"/>
  <c r="B123" i="21"/>
  <c r="A123" i="21"/>
  <c r="BG122" i="21"/>
  <c r="BH122" i="21" s="1"/>
  <c r="BE122" i="21"/>
  <c r="BF122" i="21" s="1"/>
  <c r="AW122" i="21"/>
  <c r="AX122" i="21" s="1"/>
  <c r="AU122" i="21"/>
  <c r="AV122" i="21" s="1"/>
  <c r="AS122" i="21"/>
  <c r="AT122" i="21" s="1"/>
  <c r="AQ122" i="21"/>
  <c r="AR122" i="21" s="1"/>
  <c r="AO122" i="21"/>
  <c r="AP122" i="21" s="1"/>
  <c r="AM122" i="21"/>
  <c r="AN122" i="21" s="1"/>
  <c r="AK122" i="21"/>
  <c r="AL122" i="21" s="1"/>
  <c r="AG122" i="21"/>
  <c r="AE122" i="21"/>
  <c r="AF122" i="21" s="1"/>
  <c r="AC122" i="21"/>
  <c r="AA122" i="21"/>
  <c r="AB122" i="21" s="1"/>
  <c r="W122" i="21"/>
  <c r="X122" i="21" s="1"/>
  <c r="U122" i="21"/>
  <c r="S122" i="21"/>
  <c r="T122" i="21" s="1"/>
  <c r="Q122" i="21"/>
  <c r="R122" i="21" s="1"/>
  <c r="P122" i="21"/>
  <c r="O122" i="21"/>
  <c r="N122" i="21"/>
  <c r="M122" i="21"/>
  <c r="L122" i="21"/>
  <c r="K122" i="21"/>
  <c r="J122" i="21"/>
  <c r="I122" i="21"/>
  <c r="H122" i="21"/>
  <c r="G122" i="21"/>
  <c r="F122" i="21"/>
  <c r="E122" i="21"/>
  <c r="D122" i="21"/>
  <c r="C122" i="21"/>
  <c r="B122" i="21"/>
  <c r="A122" i="21"/>
  <c r="BG121" i="21"/>
  <c r="BE121" i="21"/>
  <c r="BF121" i="21" s="1"/>
  <c r="AW121" i="21"/>
  <c r="AX121" i="21" s="1"/>
  <c r="AU121" i="21"/>
  <c r="AV121" i="21" s="1"/>
  <c r="AS121" i="21"/>
  <c r="AT121" i="21" s="1"/>
  <c r="AQ121" i="21"/>
  <c r="AR121" i="21" s="1"/>
  <c r="AO121" i="21"/>
  <c r="AP121" i="21" s="1"/>
  <c r="AM121" i="21"/>
  <c r="AK121" i="21"/>
  <c r="AL121" i="21" s="1"/>
  <c r="AG121" i="21"/>
  <c r="AH121" i="21" s="1"/>
  <c r="AE121" i="21"/>
  <c r="AF121" i="21" s="1"/>
  <c r="AC121" i="21"/>
  <c r="AD121" i="21" s="1"/>
  <c r="AA121" i="21"/>
  <c r="W121" i="21"/>
  <c r="X121" i="21" s="1"/>
  <c r="U121" i="21"/>
  <c r="S121" i="21"/>
  <c r="Q121" i="21"/>
  <c r="R121" i="21" s="1"/>
  <c r="P121" i="21"/>
  <c r="O121" i="21"/>
  <c r="N121" i="21"/>
  <c r="M121" i="21"/>
  <c r="L121" i="21"/>
  <c r="K121" i="21"/>
  <c r="J121" i="21"/>
  <c r="I121" i="21"/>
  <c r="H121" i="21"/>
  <c r="G121" i="21"/>
  <c r="F121" i="21"/>
  <c r="E121" i="21"/>
  <c r="D121" i="21"/>
  <c r="C121" i="21"/>
  <c r="B121" i="21"/>
  <c r="A121" i="21"/>
  <c r="BG120" i="21"/>
  <c r="BH120" i="21" s="1"/>
  <c r="BE120" i="21"/>
  <c r="BF120" i="21" s="1"/>
  <c r="AW120" i="21"/>
  <c r="AX120" i="21" s="1"/>
  <c r="AU120" i="21"/>
  <c r="AV120" i="21" s="1"/>
  <c r="AS120" i="21"/>
  <c r="AQ120" i="21"/>
  <c r="AO120" i="21"/>
  <c r="AP120" i="21" s="1"/>
  <c r="AM120" i="21"/>
  <c r="AK120" i="21"/>
  <c r="AL120" i="21" s="1"/>
  <c r="AG120" i="21"/>
  <c r="AH120" i="21" s="1"/>
  <c r="AE120" i="21"/>
  <c r="AF120" i="21" s="1"/>
  <c r="AC120" i="21"/>
  <c r="AD120" i="21" s="1"/>
  <c r="AA120" i="21"/>
  <c r="AB120" i="21" s="1"/>
  <c r="W120" i="21"/>
  <c r="U120" i="21"/>
  <c r="V120" i="21" s="1"/>
  <c r="S120" i="21"/>
  <c r="Q120" i="21"/>
  <c r="R120" i="21" s="1"/>
  <c r="P120" i="21"/>
  <c r="O120" i="21"/>
  <c r="N120" i="21"/>
  <c r="M120" i="21"/>
  <c r="L120" i="21"/>
  <c r="K120" i="21"/>
  <c r="J120" i="21"/>
  <c r="I120" i="21"/>
  <c r="H120" i="21"/>
  <c r="G120" i="21"/>
  <c r="F120" i="21"/>
  <c r="E120" i="21"/>
  <c r="D120" i="21"/>
  <c r="C120" i="21"/>
  <c r="B120" i="21"/>
  <c r="A120" i="21"/>
  <c r="BG119" i="21"/>
  <c r="BH119" i="21" s="1"/>
  <c r="BE119" i="21"/>
  <c r="AW119" i="21"/>
  <c r="AX119" i="21" s="1"/>
  <c r="AU119" i="21"/>
  <c r="AS119" i="21"/>
  <c r="AT119" i="21" s="1"/>
  <c r="AQ119" i="21"/>
  <c r="AR119" i="21" s="1"/>
  <c r="AO119" i="21"/>
  <c r="AP119" i="21" s="1"/>
  <c r="AM119" i="21"/>
  <c r="AN119" i="21" s="1"/>
  <c r="AK119" i="21"/>
  <c r="AG119" i="21"/>
  <c r="AH119" i="21" s="1"/>
  <c r="AE119" i="21"/>
  <c r="AF119" i="21" s="1"/>
  <c r="AC119" i="21"/>
  <c r="AA119" i="21"/>
  <c r="AB119" i="21" s="1"/>
  <c r="W119" i="21"/>
  <c r="X119" i="21" s="1"/>
  <c r="U119" i="21"/>
  <c r="V119" i="21" s="1"/>
  <c r="S119" i="21"/>
  <c r="T119" i="21" s="1"/>
  <c r="Q119" i="21"/>
  <c r="R119" i="21" s="1"/>
  <c r="P119" i="21"/>
  <c r="O119" i="21"/>
  <c r="N119" i="21"/>
  <c r="M119" i="21"/>
  <c r="L119" i="21"/>
  <c r="K119" i="21"/>
  <c r="J119" i="21"/>
  <c r="I119" i="21"/>
  <c r="H119" i="21"/>
  <c r="G119" i="21"/>
  <c r="F119" i="21"/>
  <c r="E119" i="21"/>
  <c r="D119" i="21"/>
  <c r="C119" i="21"/>
  <c r="B119" i="21"/>
  <c r="A119" i="21"/>
  <c r="BG118" i="21"/>
  <c r="BH118" i="21" s="1"/>
  <c r="BE118" i="21"/>
  <c r="BF118" i="21" s="1"/>
  <c r="AW118" i="21"/>
  <c r="AX118" i="21" s="1"/>
  <c r="AU118" i="21"/>
  <c r="AS118" i="21"/>
  <c r="AT118" i="21" s="1"/>
  <c r="AQ118" i="21"/>
  <c r="AR118" i="21" s="1"/>
  <c r="AO118" i="21"/>
  <c r="AM118" i="21"/>
  <c r="AN118" i="21" s="1"/>
  <c r="AK118" i="21"/>
  <c r="AL118" i="21" s="1"/>
  <c r="AG118" i="21"/>
  <c r="AE118" i="21"/>
  <c r="AF118" i="21" s="1"/>
  <c r="AC118" i="21"/>
  <c r="AA118" i="21"/>
  <c r="AB118" i="21" s="1"/>
  <c r="W118" i="21"/>
  <c r="X118" i="21" s="1"/>
  <c r="U118" i="21"/>
  <c r="V118" i="21" s="1"/>
  <c r="S118" i="21"/>
  <c r="T118" i="21" s="1"/>
  <c r="Q118" i="21"/>
  <c r="R118" i="21" s="1"/>
  <c r="P118" i="21"/>
  <c r="O118" i="21"/>
  <c r="N118" i="21"/>
  <c r="M118" i="21"/>
  <c r="L118" i="21"/>
  <c r="K118" i="21"/>
  <c r="J118" i="21"/>
  <c r="I118" i="21"/>
  <c r="H118" i="21"/>
  <c r="G118" i="21"/>
  <c r="F118" i="21"/>
  <c r="E118" i="21"/>
  <c r="D118" i="21"/>
  <c r="C118" i="21"/>
  <c r="B118" i="21"/>
  <c r="A118" i="21"/>
  <c r="BG117" i="21"/>
  <c r="BE117" i="21"/>
  <c r="BF117" i="21" s="1"/>
  <c r="AW117" i="21"/>
  <c r="AX117" i="21" s="1"/>
  <c r="AU117" i="21"/>
  <c r="AV117" i="21" s="1"/>
  <c r="AS117" i="21"/>
  <c r="AQ117" i="21"/>
  <c r="AR117" i="21" s="1"/>
  <c r="AO117" i="21"/>
  <c r="AM117" i="21"/>
  <c r="AK117" i="21"/>
  <c r="AL117" i="21" s="1"/>
  <c r="AG117" i="21"/>
  <c r="AH117" i="21" s="1"/>
  <c r="AE117" i="21"/>
  <c r="AF117" i="21" s="1"/>
  <c r="AC117" i="21"/>
  <c r="AD117" i="21" s="1"/>
  <c r="AA117" i="21"/>
  <c r="W117" i="21"/>
  <c r="X117" i="21" s="1"/>
  <c r="U117" i="21"/>
  <c r="S117" i="21"/>
  <c r="Q117" i="21"/>
  <c r="R117" i="21" s="1"/>
  <c r="P117" i="21"/>
  <c r="O117" i="21"/>
  <c r="N117" i="21"/>
  <c r="M117" i="21"/>
  <c r="L117" i="21"/>
  <c r="K117" i="21"/>
  <c r="J117" i="21"/>
  <c r="I117" i="21"/>
  <c r="H117" i="21"/>
  <c r="G117" i="21"/>
  <c r="F117" i="21"/>
  <c r="E117" i="21"/>
  <c r="D117" i="21"/>
  <c r="C117" i="21"/>
  <c r="B117" i="21"/>
  <c r="A117" i="21"/>
  <c r="BG116" i="21"/>
  <c r="BE116" i="21"/>
  <c r="BF116" i="21" s="1"/>
  <c r="AW116" i="21"/>
  <c r="AX116" i="21" s="1"/>
  <c r="AU116" i="21"/>
  <c r="AV116" i="21" s="1"/>
  <c r="AS116" i="21"/>
  <c r="AT116" i="21" s="1"/>
  <c r="AQ116" i="21"/>
  <c r="AO116" i="21"/>
  <c r="AP116" i="21" s="1"/>
  <c r="AM116" i="21"/>
  <c r="AK116" i="21"/>
  <c r="AL116" i="21" s="1"/>
  <c r="AG116" i="21"/>
  <c r="AH116" i="21" s="1"/>
  <c r="AE116" i="21"/>
  <c r="AC116" i="21"/>
  <c r="AD116" i="21" s="1"/>
  <c r="AA116" i="21"/>
  <c r="AB116" i="21" s="1"/>
  <c r="W116" i="21"/>
  <c r="U116" i="21"/>
  <c r="V116" i="21" s="1"/>
  <c r="S116" i="21"/>
  <c r="T116" i="21" s="1"/>
  <c r="Q116" i="21"/>
  <c r="R116" i="21" s="1"/>
  <c r="P116" i="21"/>
  <c r="O116" i="21"/>
  <c r="N116" i="21"/>
  <c r="M116" i="21"/>
  <c r="L116" i="21"/>
  <c r="K116" i="21"/>
  <c r="J116" i="21"/>
  <c r="I116" i="21"/>
  <c r="H116" i="21"/>
  <c r="G116" i="21"/>
  <c r="F116" i="21"/>
  <c r="E116" i="21"/>
  <c r="D116" i="21"/>
  <c r="C116" i="21"/>
  <c r="B116" i="21"/>
  <c r="A116" i="21"/>
  <c r="BG115" i="21"/>
  <c r="BH115" i="21" s="1"/>
  <c r="BE115" i="21"/>
  <c r="AW115" i="21"/>
  <c r="AX115" i="21" s="1"/>
  <c r="AU115" i="21"/>
  <c r="AS115" i="21"/>
  <c r="AT115" i="21" s="1"/>
  <c r="AQ115" i="21"/>
  <c r="AR115" i="21" s="1"/>
  <c r="AO115" i="21"/>
  <c r="AP115" i="21" s="1"/>
  <c r="AM115" i="21"/>
  <c r="AN115" i="21" s="1"/>
  <c r="AK115" i="21"/>
  <c r="AL115" i="21" s="1"/>
  <c r="AG115" i="21"/>
  <c r="AH115" i="21" s="1"/>
  <c r="AE115" i="21"/>
  <c r="AF115" i="21" s="1"/>
  <c r="AC115" i="21"/>
  <c r="AA115" i="21"/>
  <c r="AB115" i="21" s="1"/>
  <c r="W115" i="21"/>
  <c r="U115" i="21"/>
  <c r="V115" i="21" s="1"/>
  <c r="S115" i="21"/>
  <c r="T115" i="21" s="1"/>
  <c r="Q115" i="21"/>
  <c r="P115" i="21"/>
  <c r="O115" i="21"/>
  <c r="N115" i="21"/>
  <c r="M115" i="21"/>
  <c r="L115" i="21"/>
  <c r="K115" i="21"/>
  <c r="J115" i="21"/>
  <c r="I115" i="21"/>
  <c r="H115" i="21"/>
  <c r="G115" i="21"/>
  <c r="F115" i="21"/>
  <c r="E115" i="21"/>
  <c r="D115" i="21"/>
  <c r="C115" i="21"/>
  <c r="B115" i="21"/>
  <c r="A115" i="21"/>
  <c r="BG114" i="21"/>
  <c r="BH114" i="21" s="1"/>
  <c r="BE114" i="21"/>
  <c r="BF114" i="21" s="1"/>
  <c r="AW114" i="21"/>
  <c r="AX114" i="21" s="1"/>
  <c r="AU114" i="21"/>
  <c r="AS114" i="21"/>
  <c r="AT114" i="21" s="1"/>
  <c r="AQ114" i="21"/>
  <c r="AR114" i="21" s="1"/>
  <c r="AO114" i="21"/>
  <c r="AP114" i="21" s="1"/>
  <c r="AM114" i="21"/>
  <c r="AN114" i="21" s="1"/>
  <c r="AK114" i="21"/>
  <c r="AL114" i="21" s="1"/>
  <c r="AG114" i="21"/>
  <c r="AE114" i="21"/>
  <c r="AF114" i="21" s="1"/>
  <c r="AC114" i="21"/>
  <c r="AD114" i="21" s="1"/>
  <c r="AA114" i="21"/>
  <c r="AB114" i="21" s="1"/>
  <c r="W114" i="21"/>
  <c r="X114" i="21" s="1"/>
  <c r="U114" i="21"/>
  <c r="S114" i="21"/>
  <c r="T114" i="21" s="1"/>
  <c r="Q114" i="21"/>
  <c r="P114" i="21"/>
  <c r="O114" i="21"/>
  <c r="N114" i="21"/>
  <c r="M114" i="21"/>
  <c r="L114" i="21"/>
  <c r="K114" i="21"/>
  <c r="J114" i="21"/>
  <c r="I114" i="21"/>
  <c r="H114" i="21"/>
  <c r="G114" i="21"/>
  <c r="F114" i="21"/>
  <c r="E114" i="21"/>
  <c r="D114" i="21"/>
  <c r="C114" i="21"/>
  <c r="B114" i="21"/>
  <c r="A114" i="21"/>
  <c r="BG113" i="21"/>
  <c r="BE113" i="21"/>
  <c r="BF113" i="21" s="1"/>
  <c r="AW113" i="21"/>
  <c r="AX113" i="21" s="1"/>
  <c r="AU113" i="21"/>
  <c r="AV113" i="21" s="1"/>
  <c r="AS113" i="21"/>
  <c r="AQ113" i="21"/>
  <c r="AR113" i="21" s="1"/>
  <c r="AO113" i="21"/>
  <c r="AM113" i="21"/>
  <c r="AN113" i="21" s="1"/>
  <c r="AK113" i="21"/>
  <c r="AL113" i="21" s="1"/>
  <c r="AG113" i="21"/>
  <c r="AE113" i="21"/>
  <c r="AF113" i="21" s="1"/>
  <c r="AC113" i="21"/>
  <c r="AA113" i="21"/>
  <c r="AB113" i="21" s="1"/>
  <c r="W113" i="21"/>
  <c r="X113" i="21" s="1"/>
  <c r="U113" i="21"/>
  <c r="S113" i="21"/>
  <c r="T113" i="21" s="1"/>
  <c r="Q113" i="21"/>
  <c r="P113" i="21"/>
  <c r="O113" i="21"/>
  <c r="N113" i="21"/>
  <c r="M113" i="21"/>
  <c r="L113" i="21"/>
  <c r="K113" i="21"/>
  <c r="J113" i="21"/>
  <c r="I113" i="21"/>
  <c r="H113" i="21"/>
  <c r="G113" i="21"/>
  <c r="F113" i="21"/>
  <c r="E113" i="21"/>
  <c r="D113" i="21"/>
  <c r="C113" i="21"/>
  <c r="B113" i="21"/>
  <c r="A113" i="21"/>
  <c r="BG112" i="21"/>
  <c r="BE112" i="21"/>
  <c r="BF112" i="21" s="1"/>
  <c r="AW112" i="21"/>
  <c r="AX112" i="21" s="1"/>
  <c r="AU112" i="21"/>
  <c r="AV112" i="21" s="1"/>
  <c r="AS112" i="21"/>
  <c r="AQ112" i="21"/>
  <c r="AR112" i="21" s="1"/>
  <c r="AO112" i="21"/>
  <c r="AM112" i="21"/>
  <c r="AK112" i="21"/>
  <c r="AL112" i="21" s="1"/>
  <c r="AG112" i="21"/>
  <c r="AE112" i="21"/>
  <c r="AF112" i="21" s="1"/>
  <c r="AC112" i="21"/>
  <c r="AD112" i="21" s="1"/>
  <c r="AA112" i="21"/>
  <c r="W112" i="21"/>
  <c r="X112" i="21" s="1"/>
  <c r="U112" i="21"/>
  <c r="V112" i="21" s="1"/>
  <c r="S112" i="21"/>
  <c r="Q112" i="21"/>
  <c r="R112" i="21" s="1"/>
  <c r="P112" i="21"/>
  <c r="O112" i="21"/>
  <c r="N112" i="21"/>
  <c r="M112" i="21"/>
  <c r="L112" i="21"/>
  <c r="K112" i="21"/>
  <c r="J112" i="21"/>
  <c r="I112" i="21"/>
  <c r="H112" i="21"/>
  <c r="G112" i="21"/>
  <c r="F112" i="21"/>
  <c r="E112" i="21"/>
  <c r="D112" i="21"/>
  <c r="C112" i="21"/>
  <c r="B112" i="21"/>
  <c r="A112" i="21"/>
  <c r="BG111" i="21"/>
  <c r="BE111" i="21"/>
  <c r="BF111" i="21" s="1"/>
  <c r="AW111" i="21"/>
  <c r="AU111" i="21"/>
  <c r="AV111" i="21" s="1"/>
  <c r="AS111" i="21"/>
  <c r="AQ111" i="21"/>
  <c r="AO111" i="21"/>
  <c r="AP111" i="21" s="1"/>
  <c r="AM111" i="21"/>
  <c r="AK111" i="21"/>
  <c r="AL111" i="21" s="1"/>
  <c r="AG111" i="21"/>
  <c r="AH111" i="21" s="1"/>
  <c r="AE111" i="21"/>
  <c r="AC111" i="21"/>
  <c r="AD111" i="21" s="1"/>
  <c r="AA111" i="21"/>
  <c r="AB111" i="21" s="1"/>
  <c r="W111" i="21"/>
  <c r="U111" i="21"/>
  <c r="V111" i="21" s="1"/>
  <c r="S111" i="21"/>
  <c r="Q111" i="21"/>
  <c r="R111" i="21" s="1"/>
  <c r="P111" i="21"/>
  <c r="O111" i="21"/>
  <c r="N111" i="21"/>
  <c r="M111" i="21"/>
  <c r="L111" i="21"/>
  <c r="K111" i="21"/>
  <c r="J111" i="21"/>
  <c r="I111" i="21"/>
  <c r="H111" i="21"/>
  <c r="G111" i="21"/>
  <c r="F111" i="21"/>
  <c r="E111" i="21"/>
  <c r="D111" i="21"/>
  <c r="C111" i="21"/>
  <c r="B111" i="21"/>
  <c r="A111" i="21"/>
  <c r="BG110" i="21"/>
  <c r="BH110" i="21" s="1"/>
  <c r="BE110" i="21"/>
  <c r="AW110" i="21"/>
  <c r="AU110" i="21"/>
  <c r="AS110" i="21"/>
  <c r="AT110" i="21" s="1"/>
  <c r="AQ110" i="21"/>
  <c r="AO110" i="21"/>
  <c r="AP110" i="21" s="1"/>
  <c r="AM110" i="21"/>
  <c r="AN110" i="21" s="1"/>
  <c r="AK110" i="21"/>
  <c r="AG110" i="21"/>
  <c r="AH110" i="21" s="1"/>
  <c r="AE110" i="21"/>
  <c r="AF110" i="21" s="1"/>
  <c r="AC110" i="21"/>
  <c r="AA110" i="21"/>
  <c r="AB110" i="21" s="1"/>
  <c r="W110" i="21"/>
  <c r="U110" i="21"/>
  <c r="V110" i="21" s="1"/>
  <c r="S110" i="21"/>
  <c r="T110" i="21" s="1"/>
  <c r="Q110" i="21"/>
  <c r="P110" i="21"/>
  <c r="O110" i="21"/>
  <c r="N110" i="21"/>
  <c r="M110" i="21"/>
  <c r="L110" i="21"/>
  <c r="K110" i="21"/>
  <c r="J110" i="21"/>
  <c r="I110" i="21"/>
  <c r="H110" i="21"/>
  <c r="G110" i="21"/>
  <c r="F110" i="21"/>
  <c r="E110" i="21"/>
  <c r="D110" i="21"/>
  <c r="C110" i="21"/>
  <c r="B110" i="21"/>
  <c r="A110" i="21"/>
  <c r="BG109" i="21"/>
  <c r="BH109" i="21" s="1"/>
  <c r="BE109" i="21"/>
  <c r="AW109" i="21"/>
  <c r="AX109" i="21" s="1"/>
  <c r="AU109" i="21"/>
  <c r="AS109" i="21"/>
  <c r="AT109" i="21" s="1"/>
  <c r="AQ109" i="21"/>
  <c r="AR109" i="21" s="1"/>
  <c r="AO109" i="21"/>
  <c r="AM109" i="21"/>
  <c r="AN109" i="21" s="1"/>
  <c r="AK109" i="21"/>
  <c r="AL109" i="21" s="1"/>
  <c r="AG109" i="21"/>
  <c r="AE109" i="21"/>
  <c r="AF109" i="21" s="1"/>
  <c r="AC109" i="21"/>
  <c r="AA109" i="21"/>
  <c r="AB109" i="21" s="1"/>
  <c r="W109" i="21"/>
  <c r="X109" i="21" s="1"/>
  <c r="U109" i="21"/>
  <c r="S109" i="21"/>
  <c r="T109" i="21" s="1"/>
  <c r="Q109" i="21"/>
  <c r="P109" i="21"/>
  <c r="O109" i="21"/>
  <c r="N109" i="21"/>
  <c r="M109" i="21"/>
  <c r="L109" i="21"/>
  <c r="K109" i="21"/>
  <c r="J109" i="21"/>
  <c r="I109" i="21"/>
  <c r="H109" i="21"/>
  <c r="G109" i="21"/>
  <c r="F109" i="21"/>
  <c r="E109" i="21"/>
  <c r="D109" i="21"/>
  <c r="C109" i="21"/>
  <c r="B109" i="21"/>
  <c r="A109" i="21"/>
  <c r="BG108" i="21"/>
  <c r="BE108" i="21"/>
  <c r="BF108" i="21" s="1"/>
  <c r="AW108" i="21"/>
  <c r="AX108" i="21" s="1"/>
  <c r="AU108" i="21"/>
  <c r="AV108" i="21" s="1"/>
  <c r="AS108" i="21"/>
  <c r="AQ108" i="21"/>
  <c r="AR108" i="21" s="1"/>
  <c r="AO108" i="21"/>
  <c r="AP108" i="21" s="1"/>
  <c r="AM108" i="21"/>
  <c r="AK108" i="21"/>
  <c r="AL108" i="21" s="1"/>
  <c r="AG108" i="21"/>
  <c r="AE108" i="21"/>
  <c r="AF108" i="21" s="1"/>
  <c r="AC108" i="21"/>
  <c r="AD108" i="21" s="1"/>
  <c r="AA108" i="21"/>
  <c r="W108" i="21"/>
  <c r="X108" i="21" s="1"/>
  <c r="U108" i="21"/>
  <c r="S108" i="21"/>
  <c r="Q108" i="21"/>
  <c r="R108" i="21" s="1"/>
  <c r="P108" i="21"/>
  <c r="O108" i="21"/>
  <c r="N108" i="21"/>
  <c r="M108" i="21"/>
  <c r="L108" i="21"/>
  <c r="K108" i="21"/>
  <c r="J108" i="21"/>
  <c r="I108" i="21"/>
  <c r="H108" i="21"/>
  <c r="G108" i="21"/>
  <c r="F108" i="21"/>
  <c r="E108" i="21"/>
  <c r="D108" i="21"/>
  <c r="C108" i="21"/>
  <c r="B108" i="21"/>
  <c r="A108" i="21"/>
  <c r="BG107" i="21"/>
  <c r="BE107" i="21"/>
  <c r="BF107" i="21" s="1"/>
  <c r="AW107" i="21"/>
  <c r="AU107" i="21"/>
  <c r="AV107" i="21" s="1"/>
  <c r="AS107" i="21"/>
  <c r="AT107" i="21" s="1"/>
  <c r="AQ107" i="21"/>
  <c r="AO107" i="21"/>
  <c r="AP107" i="21" s="1"/>
  <c r="AM107" i="21"/>
  <c r="AK107" i="21"/>
  <c r="AL107" i="21" s="1"/>
  <c r="AG107" i="21"/>
  <c r="AH107" i="21" s="1"/>
  <c r="AE107" i="21"/>
  <c r="AC107" i="21"/>
  <c r="AD107" i="21" s="1"/>
  <c r="AA107" i="21"/>
  <c r="W107" i="21"/>
  <c r="U107" i="21"/>
  <c r="V107" i="21" s="1"/>
  <c r="S107" i="21"/>
  <c r="Q107" i="21"/>
  <c r="R107" i="21" s="1"/>
  <c r="P107" i="21"/>
  <c r="O107" i="21"/>
  <c r="N107" i="21"/>
  <c r="M107" i="21"/>
  <c r="L107" i="21"/>
  <c r="K107" i="21"/>
  <c r="J107" i="21"/>
  <c r="I107" i="21"/>
  <c r="H107" i="21"/>
  <c r="G107" i="21"/>
  <c r="F107" i="21"/>
  <c r="E107" i="21"/>
  <c r="D107" i="21"/>
  <c r="C107" i="21"/>
  <c r="B107" i="21"/>
  <c r="A107" i="21"/>
  <c r="BG106" i="21"/>
  <c r="BH106" i="21" s="1"/>
  <c r="BE106" i="21"/>
  <c r="AW106" i="21"/>
  <c r="AX106" i="21" s="1"/>
  <c r="AU106" i="21"/>
  <c r="AS106" i="21"/>
  <c r="AT106" i="21" s="1"/>
  <c r="AQ106" i="21"/>
  <c r="AO106" i="21"/>
  <c r="AP106" i="21" s="1"/>
  <c r="AM106" i="21"/>
  <c r="AN106" i="21" s="1"/>
  <c r="AK106" i="21"/>
  <c r="AG106" i="21"/>
  <c r="AH106" i="21" s="1"/>
  <c r="AE106" i="21"/>
  <c r="AC106" i="21"/>
  <c r="AA106" i="21"/>
  <c r="AB106" i="21" s="1"/>
  <c r="W106" i="21"/>
  <c r="U106" i="21"/>
  <c r="V106" i="21" s="1"/>
  <c r="S106" i="21"/>
  <c r="T106" i="21" s="1"/>
  <c r="Q106" i="21"/>
  <c r="P106" i="21"/>
  <c r="O106" i="21"/>
  <c r="N106" i="21"/>
  <c r="M106" i="21"/>
  <c r="L106" i="21"/>
  <c r="K106" i="21"/>
  <c r="J106" i="21"/>
  <c r="I106" i="21"/>
  <c r="H106" i="21"/>
  <c r="G106" i="21"/>
  <c r="F106" i="21"/>
  <c r="E106" i="21"/>
  <c r="D106" i="21"/>
  <c r="C106" i="21"/>
  <c r="B106" i="21"/>
  <c r="A106" i="21"/>
  <c r="BG105" i="21"/>
  <c r="BH105" i="21" s="1"/>
  <c r="BE105" i="21"/>
  <c r="BF105" i="21" s="1"/>
  <c r="AW105" i="21"/>
  <c r="AX105" i="21" s="1"/>
  <c r="AU105" i="21"/>
  <c r="AS105" i="21"/>
  <c r="AT105" i="21" s="1"/>
  <c r="AQ105" i="21"/>
  <c r="AR105" i="21" s="1"/>
  <c r="AO105" i="21"/>
  <c r="AM105" i="21"/>
  <c r="AN105" i="21" s="1"/>
  <c r="AK105" i="21"/>
  <c r="AG105" i="21"/>
  <c r="AE105" i="21"/>
  <c r="AF105" i="21" s="1"/>
  <c r="AC105" i="21"/>
  <c r="AA105" i="21"/>
  <c r="AB105" i="21" s="1"/>
  <c r="W105" i="21"/>
  <c r="X105" i="21" s="1"/>
  <c r="U105" i="21"/>
  <c r="S105" i="21"/>
  <c r="T105" i="21" s="1"/>
  <c r="Q105" i="21"/>
  <c r="R105" i="21" s="1"/>
  <c r="P105" i="21"/>
  <c r="O105" i="21"/>
  <c r="N105" i="21"/>
  <c r="M105" i="21"/>
  <c r="L105" i="21"/>
  <c r="K105" i="21"/>
  <c r="J105" i="21"/>
  <c r="I105" i="21"/>
  <c r="H105" i="21"/>
  <c r="G105" i="21"/>
  <c r="F105" i="21"/>
  <c r="E105" i="21"/>
  <c r="D105" i="21"/>
  <c r="C105" i="21"/>
  <c r="B105" i="21"/>
  <c r="A105" i="21"/>
  <c r="BG104" i="21"/>
  <c r="BE104" i="21"/>
  <c r="BF104" i="21" s="1"/>
  <c r="AW104" i="21"/>
  <c r="AU104" i="21"/>
  <c r="AV104" i="21" s="1"/>
  <c r="AS104" i="21"/>
  <c r="AQ104" i="21"/>
  <c r="AR104" i="21" s="1"/>
  <c r="AO104" i="21"/>
  <c r="AM104" i="21"/>
  <c r="AK104" i="21"/>
  <c r="AL104" i="21" s="1"/>
  <c r="AG104" i="21"/>
  <c r="AE104" i="21"/>
  <c r="AF104" i="21" s="1"/>
  <c r="AC104" i="21"/>
  <c r="AD104" i="21" s="1"/>
  <c r="AA104" i="21"/>
  <c r="W104" i="21"/>
  <c r="X104" i="21" s="1"/>
  <c r="U104" i="21"/>
  <c r="V104" i="21" s="1"/>
  <c r="S104" i="21"/>
  <c r="Q104" i="21"/>
  <c r="R104" i="21" s="1"/>
  <c r="P104" i="21"/>
  <c r="O104" i="21"/>
  <c r="N104" i="21"/>
  <c r="M104" i="21"/>
  <c r="L104" i="21"/>
  <c r="K104" i="21"/>
  <c r="J104" i="21"/>
  <c r="I104" i="21"/>
  <c r="H104" i="21"/>
  <c r="G104" i="21"/>
  <c r="F104" i="21"/>
  <c r="E104" i="21"/>
  <c r="D104" i="21"/>
  <c r="C104" i="21"/>
  <c r="B104" i="21"/>
  <c r="A104" i="21"/>
  <c r="BG103" i="21"/>
  <c r="BE103" i="21"/>
  <c r="BF103" i="21" s="1"/>
  <c r="AW103" i="21"/>
  <c r="AU103" i="21"/>
  <c r="AV103" i="21" s="1"/>
  <c r="AS103" i="21"/>
  <c r="AQ103" i="21"/>
  <c r="AO103" i="21"/>
  <c r="AP103" i="21" s="1"/>
  <c r="AM103" i="21"/>
  <c r="AK103" i="21"/>
  <c r="AL103" i="21" s="1"/>
  <c r="AG103" i="21"/>
  <c r="AH103" i="21" s="1"/>
  <c r="AE103" i="21"/>
  <c r="AC103" i="21"/>
  <c r="AD103" i="21" s="1"/>
  <c r="AJ103" i="21" s="1"/>
  <c r="AA103" i="21"/>
  <c r="AB103" i="21" s="1"/>
  <c r="W103" i="21"/>
  <c r="U103" i="21"/>
  <c r="V103" i="21" s="1"/>
  <c r="S103" i="21"/>
  <c r="Q103" i="21"/>
  <c r="R103" i="21" s="1"/>
  <c r="P103" i="21"/>
  <c r="O103" i="21"/>
  <c r="N103" i="21"/>
  <c r="M103" i="21"/>
  <c r="L103" i="21"/>
  <c r="K103" i="21"/>
  <c r="J103" i="21"/>
  <c r="I103" i="21"/>
  <c r="H103" i="21"/>
  <c r="G103" i="21"/>
  <c r="F103" i="21"/>
  <c r="E103" i="21"/>
  <c r="D103" i="21"/>
  <c r="C103" i="21"/>
  <c r="B103" i="21"/>
  <c r="A103" i="21"/>
  <c r="BG102" i="21"/>
  <c r="BH102" i="21" s="1"/>
  <c r="BE102" i="21"/>
  <c r="AW102" i="21"/>
  <c r="AU102" i="21"/>
  <c r="AS102" i="21"/>
  <c r="AT102" i="21" s="1"/>
  <c r="AQ102" i="21"/>
  <c r="AO102" i="21"/>
  <c r="AP102" i="21" s="1"/>
  <c r="AM102" i="21"/>
  <c r="AN102" i="21" s="1"/>
  <c r="AK102" i="21"/>
  <c r="AG102" i="21"/>
  <c r="AH102" i="21" s="1"/>
  <c r="AE102" i="21"/>
  <c r="AF102" i="21" s="1"/>
  <c r="AC102" i="21"/>
  <c r="AA102" i="21"/>
  <c r="AB102" i="21" s="1"/>
  <c r="W102" i="21"/>
  <c r="U102" i="21"/>
  <c r="V102" i="21" s="1"/>
  <c r="S102" i="21"/>
  <c r="T102" i="21" s="1"/>
  <c r="Q102" i="21"/>
  <c r="P102" i="21"/>
  <c r="O102" i="21"/>
  <c r="N102" i="21"/>
  <c r="M102" i="21"/>
  <c r="L102" i="21"/>
  <c r="K102" i="21"/>
  <c r="J102" i="21"/>
  <c r="I102" i="21"/>
  <c r="H102" i="21"/>
  <c r="G102" i="21"/>
  <c r="F102" i="21"/>
  <c r="E102" i="21"/>
  <c r="D102" i="21"/>
  <c r="C102" i="21"/>
  <c r="B102" i="21"/>
  <c r="A102" i="21"/>
  <c r="BG101" i="21"/>
  <c r="BH101" i="21" s="1"/>
  <c r="BE101" i="21"/>
  <c r="AW101" i="21"/>
  <c r="AX101" i="21" s="1"/>
  <c r="AU101" i="21"/>
  <c r="AS101" i="21"/>
  <c r="AT101" i="21" s="1"/>
  <c r="AQ101" i="21"/>
  <c r="AR101" i="21" s="1"/>
  <c r="AO101" i="21"/>
  <c r="AM101" i="21"/>
  <c r="AN101" i="21" s="1"/>
  <c r="AK101" i="21"/>
  <c r="AL101" i="21" s="1"/>
  <c r="AG101" i="21"/>
  <c r="AE101" i="21"/>
  <c r="AF101" i="21" s="1"/>
  <c r="AC101" i="21"/>
  <c r="AA101" i="21"/>
  <c r="AB101" i="21" s="1"/>
  <c r="W101" i="21"/>
  <c r="X101" i="21" s="1"/>
  <c r="U101" i="21"/>
  <c r="S101" i="21"/>
  <c r="T101" i="21" s="1"/>
  <c r="Q101" i="21"/>
  <c r="P101" i="21"/>
  <c r="O101" i="21"/>
  <c r="N101" i="21"/>
  <c r="M101" i="21"/>
  <c r="L101" i="21"/>
  <c r="K101" i="21"/>
  <c r="J101" i="21"/>
  <c r="I101" i="21"/>
  <c r="H101" i="21"/>
  <c r="G101" i="21"/>
  <c r="F101" i="21"/>
  <c r="E101" i="21"/>
  <c r="D101" i="21"/>
  <c r="C101" i="21"/>
  <c r="B101" i="21"/>
  <c r="A101" i="21"/>
  <c r="BG100" i="21"/>
  <c r="BE100" i="21"/>
  <c r="BF100" i="21" s="1"/>
  <c r="AW100" i="21"/>
  <c r="AX100" i="21" s="1"/>
  <c r="AU100" i="21"/>
  <c r="AV100" i="21" s="1"/>
  <c r="AS100" i="21"/>
  <c r="AQ100" i="21"/>
  <c r="AR100" i="21" s="1"/>
  <c r="AO100" i="21"/>
  <c r="AP100" i="21" s="1"/>
  <c r="AM100" i="21"/>
  <c r="AK100" i="21"/>
  <c r="AL100" i="21" s="1"/>
  <c r="AG100" i="21"/>
  <c r="AE100" i="21"/>
  <c r="AF100" i="21" s="1"/>
  <c r="AC100" i="21"/>
  <c r="AD100" i="21" s="1"/>
  <c r="AA100" i="21"/>
  <c r="W100" i="21"/>
  <c r="X100" i="21" s="1"/>
  <c r="U100" i="21"/>
  <c r="S100" i="21"/>
  <c r="Q100" i="21"/>
  <c r="R100" i="21" s="1"/>
  <c r="P100" i="21"/>
  <c r="O100" i="21"/>
  <c r="N100" i="21"/>
  <c r="M100" i="21"/>
  <c r="L100" i="21"/>
  <c r="K100" i="21"/>
  <c r="J100" i="21"/>
  <c r="I100" i="21"/>
  <c r="H100" i="21"/>
  <c r="G100" i="21"/>
  <c r="F100" i="21"/>
  <c r="E100" i="21"/>
  <c r="D100" i="21"/>
  <c r="C100" i="21"/>
  <c r="B100" i="21"/>
  <c r="A100" i="21"/>
  <c r="BG99" i="21"/>
  <c r="BE99" i="21"/>
  <c r="BF99" i="21" s="1"/>
  <c r="AW99" i="21"/>
  <c r="AU99" i="21"/>
  <c r="AV99" i="21" s="1"/>
  <c r="AS99" i="21"/>
  <c r="AT99" i="21" s="1"/>
  <c r="AQ99" i="21"/>
  <c r="AO99" i="21"/>
  <c r="AP99" i="21" s="1"/>
  <c r="AM99" i="21"/>
  <c r="AK99" i="21"/>
  <c r="AL99" i="21" s="1"/>
  <c r="AG99" i="21"/>
  <c r="AH99" i="21" s="1"/>
  <c r="AE99" i="21"/>
  <c r="AC99" i="21"/>
  <c r="AD99" i="21" s="1"/>
  <c r="AA99" i="21"/>
  <c r="W99" i="21"/>
  <c r="U99" i="21"/>
  <c r="V99" i="21" s="1"/>
  <c r="S99" i="21"/>
  <c r="Q99" i="21"/>
  <c r="R99" i="21" s="1"/>
  <c r="P99" i="21"/>
  <c r="O99" i="21"/>
  <c r="N99" i="21"/>
  <c r="M99" i="21"/>
  <c r="L99" i="21"/>
  <c r="K99" i="21"/>
  <c r="J99" i="21"/>
  <c r="I99" i="21"/>
  <c r="H99" i="21"/>
  <c r="G99" i="21"/>
  <c r="F99" i="21"/>
  <c r="E99" i="21"/>
  <c r="D99" i="21"/>
  <c r="C99" i="21"/>
  <c r="B99" i="21"/>
  <c r="A99" i="21"/>
  <c r="BG98" i="21"/>
  <c r="BH98" i="21" s="1"/>
  <c r="BE98" i="21"/>
  <c r="AW98" i="21"/>
  <c r="AU98" i="21"/>
  <c r="AS98" i="21"/>
  <c r="AT98" i="21" s="1"/>
  <c r="AQ98" i="21"/>
  <c r="AO98" i="21"/>
  <c r="AP98" i="21" s="1"/>
  <c r="AM98" i="21"/>
  <c r="AN98" i="21" s="1"/>
  <c r="AK98" i="21"/>
  <c r="AG98" i="21"/>
  <c r="AH98" i="21" s="1"/>
  <c r="AE98" i="21"/>
  <c r="AC98" i="21"/>
  <c r="AA98" i="21"/>
  <c r="AB98" i="21" s="1"/>
  <c r="W98" i="21"/>
  <c r="U98" i="21"/>
  <c r="V98" i="21" s="1"/>
  <c r="S98" i="21"/>
  <c r="T98" i="21" s="1"/>
  <c r="Q98" i="21"/>
  <c r="P98" i="21"/>
  <c r="O98" i="21"/>
  <c r="N98" i="21"/>
  <c r="M98" i="21"/>
  <c r="L98" i="21"/>
  <c r="K98" i="21"/>
  <c r="J98" i="21"/>
  <c r="I98" i="21"/>
  <c r="H98" i="21"/>
  <c r="G98" i="21"/>
  <c r="F98" i="21"/>
  <c r="E98" i="21"/>
  <c r="D98" i="21"/>
  <c r="C98" i="21"/>
  <c r="B98" i="21"/>
  <c r="A98" i="21"/>
  <c r="BG97" i="21"/>
  <c r="BH97" i="21" s="1"/>
  <c r="BE97" i="21"/>
  <c r="BF97" i="21" s="1"/>
  <c r="AW97" i="21"/>
  <c r="AX97" i="21" s="1"/>
  <c r="AU97" i="21"/>
  <c r="AS97" i="21"/>
  <c r="AT97" i="21" s="1"/>
  <c r="AQ97" i="21"/>
  <c r="AR97" i="21" s="1"/>
  <c r="AO97" i="21"/>
  <c r="AM97" i="21"/>
  <c r="AN97" i="21" s="1"/>
  <c r="AK97" i="21"/>
  <c r="AG97" i="21"/>
  <c r="AE97" i="21"/>
  <c r="AF97" i="21" s="1"/>
  <c r="AC97" i="21"/>
  <c r="AA97" i="21"/>
  <c r="AB97" i="21" s="1"/>
  <c r="W97" i="21"/>
  <c r="X97" i="21" s="1"/>
  <c r="U97" i="21"/>
  <c r="S97" i="21"/>
  <c r="T97" i="21" s="1"/>
  <c r="Q97" i="21"/>
  <c r="R97" i="21" s="1"/>
  <c r="P97" i="21"/>
  <c r="O97" i="21"/>
  <c r="N97" i="21"/>
  <c r="M97" i="21"/>
  <c r="L97" i="21"/>
  <c r="K97" i="21"/>
  <c r="J97" i="21"/>
  <c r="I97" i="21"/>
  <c r="H97" i="21"/>
  <c r="G97" i="21"/>
  <c r="F97" i="21"/>
  <c r="E97" i="21"/>
  <c r="D97" i="21"/>
  <c r="C97" i="21"/>
  <c r="B97" i="21"/>
  <c r="A97" i="21"/>
  <c r="BG96" i="21"/>
  <c r="BE96" i="21"/>
  <c r="BF96" i="21" s="1"/>
  <c r="AW96" i="21"/>
  <c r="AX96" i="21" s="1"/>
  <c r="AU96" i="21"/>
  <c r="AV96" i="21" s="1"/>
  <c r="AS96" i="21"/>
  <c r="AT96" i="21" s="1"/>
  <c r="AQ96" i="21"/>
  <c r="AR96" i="21" s="1"/>
  <c r="AO96" i="21"/>
  <c r="AM96" i="21"/>
  <c r="AK96" i="21"/>
  <c r="AL96" i="21" s="1"/>
  <c r="AG96" i="21"/>
  <c r="AE96" i="21"/>
  <c r="AF96" i="21" s="1"/>
  <c r="AC96" i="21"/>
  <c r="AD96" i="21" s="1"/>
  <c r="AA96" i="21"/>
  <c r="W96" i="21"/>
  <c r="X96" i="21" s="1"/>
  <c r="U96" i="21"/>
  <c r="V96" i="21" s="1"/>
  <c r="S96" i="21"/>
  <c r="Q96" i="21"/>
  <c r="R96" i="21" s="1"/>
  <c r="P96" i="21"/>
  <c r="O96" i="21"/>
  <c r="N96" i="21"/>
  <c r="M96" i="21"/>
  <c r="L96" i="21"/>
  <c r="K96" i="21"/>
  <c r="J96" i="21"/>
  <c r="I96" i="21"/>
  <c r="H96" i="21"/>
  <c r="G96" i="21"/>
  <c r="F96" i="21"/>
  <c r="E96" i="21"/>
  <c r="D96" i="21"/>
  <c r="C96" i="21"/>
  <c r="B96" i="21"/>
  <c r="A96" i="21"/>
  <c r="BG95" i="21"/>
  <c r="BE95" i="21"/>
  <c r="BF95" i="21" s="1"/>
  <c r="AW95" i="21"/>
  <c r="AX95" i="21" s="1"/>
  <c r="AU95" i="21"/>
  <c r="AV95" i="21" s="1"/>
  <c r="AS95" i="21"/>
  <c r="AQ95" i="21"/>
  <c r="AO95" i="21"/>
  <c r="AP95" i="21" s="1"/>
  <c r="AM95" i="21"/>
  <c r="AK95" i="21"/>
  <c r="AL95" i="21" s="1"/>
  <c r="AG95" i="21"/>
  <c r="AH95" i="21" s="1"/>
  <c r="AE95" i="21"/>
  <c r="AF95" i="21" s="1"/>
  <c r="AC95" i="21"/>
  <c r="AD95" i="21" s="1"/>
  <c r="AA95" i="21"/>
  <c r="AB95" i="21" s="1"/>
  <c r="W95" i="21"/>
  <c r="X95" i="21" s="1"/>
  <c r="U95" i="21"/>
  <c r="V95" i="21" s="1"/>
  <c r="S95" i="21"/>
  <c r="Q95" i="21"/>
  <c r="R95" i="21" s="1"/>
  <c r="P95" i="21"/>
  <c r="O95" i="21"/>
  <c r="N95" i="21"/>
  <c r="M95" i="21"/>
  <c r="L95" i="21"/>
  <c r="K95" i="21"/>
  <c r="J95" i="21"/>
  <c r="I95" i="21"/>
  <c r="H95" i="21"/>
  <c r="G95" i="21"/>
  <c r="F95" i="21"/>
  <c r="E95" i="21"/>
  <c r="D95" i="21"/>
  <c r="C95" i="21"/>
  <c r="B95" i="21"/>
  <c r="A95" i="21"/>
  <c r="BG94" i="21"/>
  <c r="BH94" i="21" s="1"/>
  <c r="BE94" i="21"/>
  <c r="BF94" i="21" s="1"/>
  <c r="AW94" i="21"/>
  <c r="AU94" i="21"/>
  <c r="AV94" i="21" s="1"/>
  <c r="AS94" i="21"/>
  <c r="AT94" i="21" s="1"/>
  <c r="AQ94" i="21"/>
  <c r="AO94" i="21"/>
  <c r="AP94" i="21" s="1"/>
  <c r="AM94" i="21"/>
  <c r="AN94" i="21" s="1"/>
  <c r="AK94" i="21"/>
  <c r="AL94" i="21" s="1"/>
  <c r="AG94" i="21"/>
  <c r="AH94" i="21" s="1"/>
  <c r="AE94" i="21"/>
  <c r="AF94" i="21" s="1"/>
  <c r="AC94" i="21"/>
  <c r="AD94" i="21" s="1"/>
  <c r="AA94" i="21"/>
  <c r="AB94" i="21" s="1"/>
  <c r="W94" i="21"/>
  <c r="U94" i="21"/>
  <c r="V94" i="21" s="1"/>
  <c r="S94" i="21"/>
  <c r="T94" i="21" s="1"/>
  <c r="Q94" i="21"/>
  <c r="R94" i="21" s="1"/>
  <c r="P94" i="21"/>
  <c r="O94" i="21"/>
  <c r="N94" i="21"/>
  <c r="M94" i="21"/>
  <c r="L94" i="21"/>
  <c r="K94" i="21"/>
  <c r="J94" i="21"/>
  <c r="I94" i="21"/>
  <c r="H94" i="21"/>
  <c r="G94" i="21"/>
  <c r="F94" i="21"/>
  <c r="E94" i="21"/>
  <c r="D94" i="21"/>
  <c r="C94" i="21"/>
  <c r="B94" i="21"/>
  <c r="A94" i="21"/>
  <c r="BG93" i="21"/>
  <c r="BH93" i="21" s="1"/>
  <c r="BE93" i="21"/>
  <c r="AW93" i="21"/>
  <c r="AX93" i="21" s="1"/>
  <c r="AU93" i="21"/>
  <c r="AS93" i="21"/>
  <c r="AT93" i="21" s="1"/>
  <c r="AQ93" i="21"/>
  <c r="AR93" i="21" s="1"/>
  <c r="AO93" i="21"/>
  <c r="AP93" i="21" s="1"/>
  <c r="AM93" i="21"/>
  <c r="AN93" i="21" s="1"/>
  <c r="AK93" i="21"/>
  <c r="AL93" i="21" s="1"/>
  <c r="AG93" i="21"/>
  <c r="AH93" i="21" s="1"/>
  <c r="AE93" i="21"/>
  <c r="AF93" i="21" s="1"/>
  <c r="AC93" i="21"/>
  <c r="AA93" i="21"/>
  <c r="AB93" i="21" s="1"/>
  <c r="W93" i="21"/>
  <c r="X93" i="21" s="1"/>
  <c r="U93" i="21"/>
  <c r="V93" i="21" s="1"/>
  <c r="S93" i="21"/>
  <c r="T93" i="21" s="1"/>
  <c r="Q93" i="21"/>
  <c r="P93" i="21"/>
  <c r="O93" i="21"/>
  <c r="N93" i="21"/>
  <c r="M93" i="21"/>
  <c r="L93" i="21"/>
  <c r="K93" i="21"/>
  <c r="J93" i="21"/>
  <c r="I93" i="21"/>
  <c r="H93" i="21"/>
  <c r="G93" i="21"/>
  <c r="F93" i="21"/>
  <c r="E93" i="21"/>
  <c r="D93" i="21"/>
  <c r="C93" i="21"/>
  <c r="B93" i="21"/>
  <c r="A93" i="21"/>
  <c r="BG92" i="21"/>
  <c r="BH92" i="21" s="1"/>
  <c r="BE92" i="21"/>
  <c r="BF92" i="21" s="1"/>
  <c r="AW92" i="21"/>
  <c r="AX92" i="21" s="1"/>
  <c r="AU92" i="21"/>
  <c r="AV92" i="21" s="1"/>
  <c r="AS92" i="21"/>
  <c r="AT92" i="21" s="1"/>
  <c r="AQ92" i="21"/>
  <c r="AR92" i="21" s="1"/>
  <c r="AO92" i="21"/>
  <c r="AP92" i="21" s="1"/>
  <c r="AM92" i="21"/>
  <c r="AN92" i="21" s="1"/>
  <c r="AK92" i="21"/>
  <c r="AL92" i="21" s="1"/>
  <c r="AG92" i="21"/>
  <c r="AE92" i="21"/>
  <c r="AF92" i="21" s="1"/>
  <c r="AC92" i="21"/>
  <c r="AD92" i="21" s="1"/>
  <c r="AA92" i="21"/>
  <c r="AB92" i="21" s="1"/>
  <c r="W92" i="21"/>
  <c r="X92" i="21" s="1"/>
  <c r="U92" i="21"/>
  <c r="S92" i="21"/>
  <c r="T92" i="21" s="1"/>
  <c r="Q92" i="21"/>
  <c r="R92" i="21" s="1"/>
  <c r="P92" i="21"/>
  <c r="O92" i="21"/>
  <c r="N92" i="21"/>
  <c r="M92" i="21"/>
  <c r="L92" i="21"/>
  <c r="K92" i="21"/>
  <c r="J92" i="21"/>
  <c r="I92" i="21"/>
  <c r="H92" i="21"/>
  <c r="G92" i="21"/>
  <c r="F92" i="21"/>
  <c r="E92" i="21"/>
  <c r="D92" i="21"/>
  <c r="C92" i="21"/>
  <c r="B92" i="21"/>
  <c r="A92" i="21"/>
  <c r="BG91" i="21"/>
  <c r="BE91" i="21"/>
  <c r="BF91" i="21" s="1"/>
  <c r="AW91" i="21"/>
  <c r="AX91" i="21" s="1"/>
  <c r="AU91" i="21"/>
  <c r="AV91" i="21" s="1"/>
  <c r="AS91" i="21"/>
  <c r="AT91" i="21" s="1"/>
  <c r="AQ91" i="21"/>
  <c r="AR91" i="21" s="1"/>
  <c r="AO91" i="21"/>
  <c r="AP91" i="21" s="1"/>
  <c r="AM91" i="21"/>
  <c r="AK91" i="21"/>
  <c r="AL91" i="21" s="1"/>
  <c r="AG91" i="21"/>
  <c r="AH91" i="21" s="1"/>
  <c r="AE91" i="21"/>
  <c r="AF91" i="21" s="1"/>
  <c r="AC91" i="21"/>
  <c r="AD91" i="21" s="1"/>
  <c r="AA91" i="21"/>
  <c r="W91" i="21"/>
  <c r="X91" i="21" s="1"/>
  <c r="U91" i="21"/>
  <c r="V91" i="21" s="1"/>
  <c r="S91" i="21"/>
  <c r="Q91" i="21"/>
  <c r="R91" i="21" s="1"/>
  <c r="P91" i="21"/>
  <c r="O91" i="21"/>
  <c r="N91" i="21"/>
  <c r="M91" i="21"/>
  <c r="L91" i="21"/>
  <c r="K91" i="21"/>
  <c r="J91" i="21"/>
  <c r="I91" i="21"/>
  <c r="H91" i="21"/>
  <c r="G91" i="21"/>
  <c r="F91" i="21"/>
  <c r="E91" i="21"/>
  <c r="D91" i="21"/>
  <c r="C91" i="21"/>
  <c r="B91" i="21"/>
  <c r="A91" i="21"/>
  <c r="BG90" i="21"/>
  <c r="BH90" i="21" s="1"/>
  <c r="BE90" i="21"/>
  <c r="BF90" i="21" s="1"/>
  <c r="AW90" i="21"/>
  <c r="AX90" i="21" s="1"/>
  <c r="AU90" i="21"/>
  <c r="AV90" i="21" s="1"/>
  <c r="AS90" i="21"/>
  <c r="AT90" i="21" s="1"/>
  <c r="AQ90" i="21"/>
  <c r="AO90" i="21"/>
  <c r="AP90" i="21" s="1"/>
  <c r="AM90" i="21"/>
  <c r="AN90" i="21" s="1"/>
  <c r="AK90" i="21"/>
  <c r="AL90" i="21" s="1"/>
  <c r="AG90" i="21"/>
  <c r="AH90" i="21" s="1"/>
  <c r="AE90" i="21"/>
  <c r="AC90" i="21"/>
  <c r="AD90" i="21" s="1"/>
  <c r="AA90" i="21"/>
  <c r="AB90" i="21" s="1"/>
  <c r="W90" i="21"/>
  <c r="U90" i="21"/>
  <c r="V90" i="21" s="1"/>
  <c r="S90" i="21"/>
  <c r="T90" i="21" s="1"/>
  <c r="Q90" i="21"/>
  <c r="R90" i="21" s="1"/>
  <c r="P90" i="21"/>
  <c r="O90" i="21"/>
  <c r="N90" i="21"/>
  <c r="M90" i="21"/>
  <c r="L90" i="21"/>
  <c r="K90" i="21"/>
  <c r="J90" i="21"/>
  <c r="I90" i="21"/>
  <c r="H90" i="21"/>
  <c r="G90" i="21"/>
  <c r="F90" i="21"/>
  <c r="E90" i="21"/>
  <c r="D90" i="21"/>
  <c r="C90" i="21"/>
  <c r="B90" i="21"/>
  <c r="A90" i="21"/>
  <c r="BG89" i="21"/>
  <c r="BH89" i="21" s="1"/>
  <c r="BE89" i="21"/>
  <c r="BF89" i="21" s="1"/>
  <c r="AW89" i="21"/>
  <c r="AX89" i="21" s="1"/>
  <c r="AU89" i="21"/>
  <c r="AS89" i="21"/>
  <c r="AT89" i="21" s="1"/>
  <c r="AQ89" i="21"/>
  <c r="AR89" i="21" s="1"/>
  <c r="AO89" i="21"/>
  <c r="AP89" i="21" s="1"/>
  <c r="AM89" i="21"/>
  <c r="AN89" i="21" s="1"/>
  <c r="AK89" i="21"/>
  <c r="AG89" i="21"/>
  <c r="AH89" i="21" s="1"/>
  <c r="AE89" i="21"/>
  <c r="AF89" i="21" s="1"/>
  <c r="AC89" i="21"/>
  <c r="AA89" i="21"/>
  <c r="AB89" i="21" s="1"/>
  <c r="W89" i="21"/>
  <c r="X89" i="21" s="1"/>
  <c r="U89" i="21"/>
  <c r="V89" i="21" s="1"/>
  <c r="S89" i="21"/>
  <c r="T89" i="21" s="1"/>
  <c r="Q89" i="21"/>
  <c r="R89" i="21" s="1"/>
  <c r="P89" i="21"/>
  <c r="O89" i="21"/>
  <c r="N89" i="21"/>
  <c r="M89" i="21"/>
  <c r="L89" i="21"/>
  <c r="K89" i="21"/>
  <c r="J89" i="21"/>
  <c r="I89" i="21"/>
  <c r="H89" i="21"/>
  <c r="G89" i="21"/>
  <c r="F89" i="21"/>
  <c r="E89" i="21"/>
  <c r="D89" i="21"/>
  <c r="C89" i="21"/>
  <c r="B89" i="21"/>
  <c r="A89" i="21"/>
  <c r="BG88" i="21"/>
  <c r="BH88" i="21" s="1"/>
  <c r="BE88" i="21"/>
  <c r="BF88" i="21" s="1"/>
  <c r="AW88" i="21"/>
  <c r="AU88" i="21"/>
  <c r="AV88" i="21" s="1"/>
  <c r="AS88" i="21"/>
  <c r="AT88" i="21" s="1"/>
  <c r="AQ88" i="21"/>
  <c r="AR88" i="21" s="1"/>
  <c r="AO88" i="21"/>
  <c r="AM88" i="21"/>
  <c r="AN88" i="21" s="1"/>
  <c r="AK88" i="21"/>
  <c r="AL88" i="21" s="1"/>
  <c r="AG88" i="21"/>
  <c r="AE88" i="21"/>
  <c r="AF88" i="21" s="1"/>
  <c r="AC88" i="21"/>
  <c r="AD88" i="21" s="1"/>
  <c r="AA88" i="21"/>
  <c r="AB88" i="21" s="1"/>
  <c r="W88" i="21"/>
  <c r="X88" i="21" s="1"/>
  <c r="U88" i="21"/>
  <c r="V88" i="21" s="1"/>
  <c r="S88" i="21"/>
  <c r="T88" i="21" s="1"/>
  <c r="Q88" i="21"/>
  <c r="R88" i="21" s="1"/>
  <c r="P88" i="21"/>
  <c r="O88" i="21"/>
  <c r="N88" i="21"/>
  <c r="M88" i="21"/>
  <c r="L88" i="21"/>
  <c r="K88" i="21"/>
  <c r="J88" i="21"/>
  <c r="I88" i="21"/>
  <c r="H88" i="21"/>
  <c r="G88" i="21"/>
  <c r="F88" i="21"/>
  <c r="E88" i="21"/>
  <c r="D88" i="21"/>
  <c r="C88" i="21"/>
  <c r="B88" i="21"/>
  <c r="A88" i="21"/>
  <c r="BG87" i="21"/>
  <c r="BE87" i="21"/>
  <c r="BF87" i="21" s="1"/>
  <c r="AW87" i="21"/>
  <c r="AX87" i="21" s="1"/>
  <c r="AU87" i="21"/>
  <c r="AV87" i="21" s="1"/>
  <c r="AS87" i="21"/>
  <c r="AQ87" i="21"/>
  <c r="AR87" i="21" s="1"/>
  <c r="AO87" i="21"/>
  <c r="AP87" i="21" s="1"/>
  <c r="AM87" i="21"/>
  <c r="AK87" i="21"/>
  <c r="AL87" i="21" s="1"/>
  <c r="AG87" i="21"/>
  <c r="AH87" i="21" s="1"/>
  <c r="AE87" i="21"/>
  <c r="AF87" i="21" s="1"/>
  <c r="AC87" i="21"/>
  <c r="AD87" i="21" s="1"/>
  <c r="AA87" i="21"/>
  <c r="AB87" i="21" s="1"/>
  <c r="W87" i="21"/>
  <c r="X87" i="21" s="1"/>
  <c r="U87" i="21"/>
  <c r="V87" i="21" s="1"/>
  <c r="S87" i="21"/>
  <c r="Q87" i="21"/>
  <c r="R87" i="21" s="1"/>
  <c r="P87" i="21"/>
  <c r="O87" i="21"/>
  <c r="N87" i="21"/>
  <c r="M87" i="21"/>
  <c r="L87" i="21"/>
  <c r="K87" i="21"/>
  <c r="J87" i="21"/>
  <c r="I87" i="21"/>
  <c r="H87" i="21"/>
  <c r="G87" i="21"/>
  <c r="F87" i="21"/>
  <c r="E87" i="21"/>
  <c r="D87" i="21"/>
  <c r="C87" i="21"/>
  <c r="B87" i="21"/>
  <c r="A87" i="21"/>
  <c r="BG86" i="21"/>
  <c r="BH86" i="21" s="1"/>
  <c r="BE86" i="21"/>
  <c r="BF86" i="21" s="1"/>
  <c r="AW86" i="21"/>
  <c r="AU86" i="21"/>
  <c r="AV86" i="21" s="1"/>
  <c r="AS86" i="21"/>
  <c r="AT86" i="21" s="1"/>
  <c r="AQ86" i="21"/>
  <c r="AO86" i="21"/>
  <c r="AP86" i="21" s="1"/>
  <c r="AM86" i="21"/>
  <c r="AN86" i="21" s="1"/>
  <c r="AK86" i="21"/>
  <c r="AL86" i="21" s="1"/>
  <c r="AG86" i="21"/>
  <c r="AH86" i="21" s="1"/>
  <c r="AE86" i="21"/>
  <c r="AF86" i="21" s="1"/>
  <c r="AC86" i="21"/>
  <c r="AD86" i="21" s="1"/>
  <c r="AA86" i="21"/>
  <c r="AB86" i="21" s="1"/>
  <c r="W86" i="21"/>
  <c r="U86" i="21"/>
  <c r="V86" i="21" s="1"/>
  <c r="S86" i="21"/>
  <c r="T86" i="21" s="1"/>
  <c r="Q86" i="21"/>
  <c r="R86" i="21" s="1"/>
  <c r="P86" i="21"/>
  <c r="O86" i="21"/>
  <c r="N86" i="21"/>
  <c r="M86" i="21"/>
  <c r="L86" i="21"/>
  <c r="K86" i="21"/>
  <c r="J86" i="21"/>
  <c r="I86" i="21"/>
  <c r="H86" i="21"/>
  <c r="G86" i="21"/>
  <c r="F86" i="21"/>
  <c r="E86" i="21"/>
  <c r="D86" i="21"/>
  <c r="C86" i="21"/>
  <c r="B86" i="21"/>
  <c r="A86" i="21"/>
  <c r="BG85" i="21"/>
  <c r="BH85" i="21" s="1"/>
  <c r="BE85" i="21"/>
  <c r="AW85" i="21"/>
  <c r="AX85" i="21" s="1"/>
  <c r="AU85" i="21"/>
  <c r="AS85" i="21"/>
  <c r="AT85" i="21" s="1"/>
  <c r="AQ85" i="21"/>
  <c r="AR85" i="21" s="1"/>
  <c r="AO85" i="21"/>
  <c r="AP85" i="21" s="1"/>
  <c r="AM85" i="21"/>
  <c r="AN85" i="21" s="1"/>
  <c r="AK85" i="21"/>
  <c r="AL85" i="21" s="1"/>
  <c r="AG85" i="21"/>
  <c r="AH85" i="21" s="1"/>
  <c r="AE85" i="21"/>
  <c r="AF85" i="21" s="1"/>
  <c r="AC85" i="21"/>
  <c r="AA85" i="21"/>
  <c r="AB85" i="21" s="1"/>
  <c r="W85" i="21"/>
  <c r="X85" i="21" s="1"/>
  <c r="U85" i="21"/>
  <c r="V85" i="21" s="1"/>
  <c r="S85" i="21"/>
  <c r="T85" i="21" s="1"/>
  <c r="Q85" i="21"/>
  <c r="P85" i="21"/>
  <c r="O85" i="21"/>
  <c r="N85" i="21"/>
  <c r="M85" i="21"/>
  <c r="L85" i="21"/>
  <c r="K85" i="21"/>
  <c r="J85" i="21"/>
  <c r="I85" i="21"/>
  <c r="H85" i="21"/>
  <c r="G85" i="21"/>
  <c r="F85" i="21"/>
  <c r="E85" i="21"/>
  <c r="D85" i="21"/>
  <c r="C85" i="21"/>
  <c r="B85" i="21"/>
  <c r="A85" i="21"/>
  <c r="BG84" i="21"/>
  <c r="BH84" i="21" s="1"/>
  <c r="BE84" i="21"/>
  <c r="BF84" i="21" s="1"/>
  <c r="AW84" i="21"/>
  <c r="AX84" i="21" s="1"/>
  <c r="AU84" i="21"/>
  <c r="AV84" i="21" s="1"/>
  <c r="AS84" i="21"/>
  <c r="AT84" i="21" s="1"/>
  <c r="AQ84" i="21"/>
  <c r="AR84" i="21" s="1"/>
  <c r="AO84" i="21"/>
  <c r="AP84" i="21" s="1"/>
  <c r="AM84" i="21"/>
  <c r="AN84" i="21" s="1"/>
  <c r="AK84" i="21"/>
  <c r="AL84" i="21" s="1"/>
  <c r="AG84" i="21"/>
  <c r="AE84" i="21"/>
  <c r="AF84" i="21" s="1"/>
  <c r="AC84" i="21"/>
  <c r="AD84" i="21" s="1"/>
  <c r="AA84" i="21"/>
  <c r="AB84" i="21" s="1"/>
  <c r="W84" i="21"/>
  <c r="X84" i="21" s="1"/>
  <c r="U84" i="21"/>
  <c r="S84" i="21"/>
  <c r="T84" i="21" s="1"/>
  <c r="Q84" i="21"/>
  <c r="R84" i="21" s="1"/>
  <c r="P84" i="21"/>
  <c r="O84" i="21"/>
  <c r="N84" i="21"/>
  <c r="M84" i="21"/>
  <c r="L84" i="21"/>
  <c r="K84" i="21"/>
  <c r="J84" i="21"/>
  <c r="I84" i="21"/>
  <c r="H84" i="21"/>
  <c r="G84" i="21"/>
  <c r="F84" i="21"/>
  <c r="E84" i="21"/>
  <c r="D84" i="21"/>
  <c r="C84" i="21"/>
  <c r="B84" i="21"/>
  <c r="A84" i="21"/>
  <c r="BG83" i="21"/>
  <c r="BE83" i="21"/>
  <c r="BF83" i="21" s="1"/>
  <c r="AW83" i="21"/>
  <c r="AX83" i="21" s="1"/>
  <c r="AU83" i="21"/>
  <c r="AV83" i="21" s="1"/>
  <c r="AS83" i="21"/>
  <c r="AT83" i="21" s="1"/>
  <c r="AQ83" i="21"/>
  <c r="AR83" i="21" s="1"/>
  <c r="AO83" i="21"/>
  <c r="AP83" i="21" s="1"/>
  <c r="AM83" i="21"/>
  <c r="AK83" i="21"/>
  <c r="AL83" i="21" s="1"/>
  <c r="AG83" i="21"/>
  <c r="AH83" i="21" s="1"/>
  <c r="AE83" i="21"/>
  <c r="AF83" i="21" s="1"/>
  <c r="AC83" i="21"/>
  <c r="AD83" i="21" s="1"/>
  <c r="AA83" i="21"/>
  <c r="W83" i="21"/>
  <c r="X83" i="21" s="1"/>
  <c r="U83" i="21"/>
  <c r="V83" i="21" s="1"/>
  <c r="S83" i="21"/>
  <c r="Q83" i="21"/>
  <c r="R83" i="21" s="1"/>
  <c r="P83" i="21"/>
  <c r="O83" i="21"/>
  <c r="N83" i="21"/>
  <c r="M83" i="21"/>
  <c r="L83" i="21"/>
  <c r="K83" i="21"/>
  <c r="J83" i="21"/>
  <c r="I83" i="21"/>
  <c r="H83" i="21"/>
  <c r="G83" i="21"/>
  <c r="F83" i="21"/>
  <c r="E83" i="21"/>
  <c r="D83" i="21"/>
  <c r="C83" i="21"/>
  <c r="B83" i="21"/>
  <c r="A83" i="21"/>
  <c r="BG82" i="21"/>
  <c r="BH82" i="21" s="1"/>
  <c r="BE82" i="21"/>
  <c r="BF82" i="21" s="1"/>
  <c r="AW82" i="21"/>
  <c r="AX82" i="21" s="1"/>
  <c r="AU82" i="21"/>
  <c r="AV82" i="21" s="1"/>
  <c r="AS82" i="21"/>
  <c r="AT82" i="21" s="1"/>
  <c r="AQ82" i="21"/>
  <c r="AO82" i="21"/>
  <c r="AP82" i="21" s="1"/>
  <c r="AM82" i="21"/>
  <c r="AN82" i="21" s="1"/>
  <c r="AK82" i="21"/>
  <c r="AL82" i="21" s="1"/>
  <c r="AG82" i="21"/>
  <c r="AH82" i="21" s="1"/>
  <c r="AE82" i="21"/>
  <c r="AC82" i="21"/>
  <c r="AD82" i="21" s="1"/>
  <c r="AA82" i="21"/>
  <c r="AB82" i="21" s="1"/>
  <c r="W82" i="21"/>
  <c r="U82" i="21"/>
  <c r="V82" i="21" s="1"/>
  <c r="S82" i="21"/>
  <c r="T82" i="21" s="1"/>
  <c r="Q82" i="21"/>
  <c r="R82" i="21" s="1"/>
  <c r="P82" i="21"/>
  <c r="O82" i="21"/>
  <c r="N82" i="21"/>
  <c r="M82" i="21"/>
  <c r="L82" i="21"/>
  <c r="K82" i="21"/>
  <c r="J82" i="21"/>
  <c r="I82" i="21"/>
  <c r="H82" i="21"/>
  <c r="G82" i="21"/>
  <c r="F82" i="21"/>
  <c r="E82" i="21"/>
  <c r="D82" i="21"/>
  <c r="C82" i="21"/>
  <c r="B82" i="21"/>
  <c r="A82" i="21"/>
  <c r="BG81" i="21"/>
  <c r="BH81" i="21" s="1"/>
  <c r="BE81" i="21"/>
  <c r="BF81" i="21" s="1"/>
  <c r="AW81" i="21"/>
  <c r="AX81" i="21" s="1"/>
  <c r="AU81" i="21"/>
  <c r="AS81" i="21"/>
  <c r="AT81" i="21" s="1"/>
  <c r="AQ81" i="21"/>
  <c r="AO81" i="21"/>
  <c r="AP81" i="21" s="1"/>
  <c r="AM81" i="21"/>
  <c r="AN81" i="21" s="1"/>
  <c r="AK81" i="21"/>
  <c r="AG81" i="21"/>
  <c r="AH81" i="21" s="1"/>
  <c r="AE81" i="21"/>
  <c r="AF81" i="21" s="1"/>
  <c r="AC81" i="21"/>
  <c r="AA81" i="21"/>
  <c r="AB81" i="21" s="1"/>
  <c r="W81" i="21"/>
  <c r="X81" i="21" s="1"/>
  <c r="U81" i="21"/>
  <c r="V81" i="21" s="1"/>
  <c r="S81" i="21"/>
  <c r="T81" i="21" s="1"/>
  <c r="Q81" i="21"/>
  <c r="R81" i="21" s="1"/>
  <c r="P81" i="21"/>
  <c r="O81" i="21"/>
  <c r="N81" i="21"/>
  <c r="M81" i="21"/>
  <c r="L81" i="21"/>
  <c r="K81" i="21"/>
  <c r="J81" i="21"/>
  <c r="I81" i="21"/>
  <c r="H81" i="21"/>
  <c r="G81" i="21"/>
  <c r="F81" i="21"/>
  <c r="E81" i="21"/>
  <c r="D81" i="21"/>
  <c r="C81" i="21"/>
  <c r="B81" i="21"/>
  <c r="A81" i="21"/>
  <c r="BG80" i="21"/>
  <c r="BH80" i="21" s="1"/>
  <c r="BE80" i="21"/>
  <c r="BF80" i="21" s="1"/>
  <c r="AW80" i="21"/>
  <c r="AU80" i="21"/>
  <c r="AV80" i="21" s="1"/>
  <c r="AS80" i="21"/>
  <c r="AT80" i="21" s="1"/>
  <c r="AQ80" i="21"/>
  <c r="AR80" i="21" s="1"/>
  <c r="AO80" i="21"/>
  <c r="AM80" i="21"/>
  <c r="AN80" i="21" s="1"/>
  <c r="AK80" i="21"/>
  <c r="AL80" i="21" s="1"/>
  <c r="AG80" i="21"/>
  <c r="AE80" i="21"/>
  <c r="AF80" i="21" s="1"/>
  <c r="AC80" i="21"/>
  <c r="AD80" i="21" s="1"/>
  <c r="AA80" i="21"/>
  <c r="AB80" i="21" s="1"/>
  <c r="W80" i="21"/>
  <c r="X80" i="21" s="1"/>
  <c r="U80" i="21"/>
  <c r="V80" i="21" s="1"/>
  <c r="S80" i="21"/>
  <c r="T80" i="21" s="1"/>
  <c r="Q80" i="21"/>
  <c r="R80" i="21" s="1"/>
  <c r="P80" i="21"/>
  <c r="O80" i="21"/>
  <c r="N80" i="21"/>
  <c r="M80" i="21"/>
  <c r="L80" i="21"/>
  <c r="K80" i="21"/>
  <c r="J80" i="21"/>
  <c r="I80" i="21"/>
  <c r="H80" i="21"/>
  <c r="G80" i="21"/>
  <c r="F80" i="21"/>
  <c r="E80" i="21"/>
  <c r="D80" i="21"/>
  <c r="C80" i="21"/>
  <c r="B80" i="21"/>
  <c r="A80" i="21"/>
  <c r="BG79" i="21"/>
  <c r="BE79" i="21"/>
  <c r="BF79" i="21" s="1"/>
  <c r="AW79" i="21"/>
  <c r="AX79" i="21" s="1"/>
  <c r="AU79" i="21"/>
  <c r="AV79" i="21" s="1"/>
  <c r="AS79" i="21"/>
  <c r="AQ79" i="21"/>
  <c r="AR79" i="21" s="1"/>
  <c r="AO79" i="21"/>
  <c r="AP79" i="21" s="1"/>
  <c r="AM79" i="21"/>
  <c r="AK79" i="21"/>
  <c r="AL79" i="21" s="1"/>
  <c r="AG79" i="21"/>
  <c r="AH79" i="21" s="1"/>
  <c r="AE79" i="21"/>
  <c r="AF79" i="21" s="1"/>
  <c r="AC79" i="21"/>
  <c r="AD79" i="21" s="1"/>
  <c r="AJ79" i="21" s="1"/>
  <c r="AA79" i="21"/>
  <c r="AB79" i="21" s="1"/>
  <c r="W79" i="21"/>
  <c r="X79" i="21" s="1"/>
  <c r="U79" i="21"/>
  <c r="V79" i="21" s="1"/>
  <c r="S79" i="21"/>
  <c r="Q79" i="21"/>
  <c r="R79" i="21" s="1"/>
  <c r="P79" i="21"/>
  <c r="O79" i="21"/>
  <c r="N79" i="21"/>
  <c r="M79" i="21"/>
  <c r="L79" i="21"/>
  <c r="K79" i="21"/>
  <c r="J79" i="21"/>
  <c r="I79" i="21"/>
  <c r="H79" i="21"/>
  <c r="G79" i="21"/>
  <c r="F79" i="21"/>
  <c r="E79" i="21"/>
  <c r="D79" i="21"/>
  <c r="C79" i="21"/>
  <c r="B79" i="21"/>
  <c r="A79" i="21"/>
  <c r="BG78" i="21"/>
  <c r="BH78" i="21" s="1"/>
  <c r="BE78" i="21"/>
  <c r="BF78" i="21" s="1"/>
  <c r="AW78" i="21"/>
  <c r="AU78" i="21"/>
  <c r="AV78" i="21" s="1"/>
  <c r="AS78" i="21"/>
  <c r="AT78" i="21" s="1"/>
  <c r="AQ78" i="21"/>
  <c r="AO78" i="21"/>
  <c r="AP78" i="21" s="1"/>
  <c r="AM78" i="21"/>
  <c r="AN78" i="21" s="1"/>
  <c r="AK78" i="21"/>
  <c r="AL78" i="21" s="1"/>
  <c r="AG78" i="21"/>
  <c r="AH78" i="21" s="1"/>
  <c r="AE78" i="21"/>
  <c r="AF78" i="21" s="1"/>
  <c r="AC78" i="21"/>
  <c r="AD78" i="21" s="1"/>
  <c r="AA78" i="21"/>
  <c r="W78" i="21"/>
  <c r="U78" i="21"/>
  <c r="V78" i="21" s="1"/>
  <c r="S78" i="21"/>
  <c r="Q78" i="21"/>
  <c r="R78" i="21" s="1"/>
  <c r="P78" i="21"/>
  <c r="O78" i="21"/>
  <c r="N78" i="21"/>
  <c r="M78" i="21"/>
  <c r="L78" i="21"/>
  <c r="K78" i="21"/>
  <c r="J78" i="21"/>
  <c r="I78" i="21"/>
  <c r="H78" i="21"/>
  <c r="G78" i="21"/>
  <c r="F78" i="21"/>
  <c r="E78" i="21"/>
  <c r="D78" i="21"/>
  <c r="C78" i="21"/>
  <c r="B78" i="21"/>
  <c r="A78" i="21"/>
  <c r="BG77" i="21"/>
  <c r="BH77" i="21" s="1"/>
  <c r="BE77" i="21"/>
  <c r="AW77" i="21"/>
  <c r="AX77" i="21" s="1"/>
  <c r="AU77" i="21"/>
  <c r="AS77" i="21"/>
  <c r="AT77" i="21" s="1"/>
  <c r="AQ77" i="21"/>
  <c r="AR77" i="21" s="1"/>
  <c r="AO77" i="21"/>
  <c r="AP77" i="21" s="1"/>
  <c r="AM77" i="21"/>
  <c r="AN77" i="21" s="1"/>
  <c r="AK77" i="21"/>
  <c r="AL77" i="21" s="1"/>
  <c r="AG77" i="21"/>
  <c r="AH77" i="21" s="1"/>
  <c r="AE77" i="21"/>
  <c r="AF77" i="21" s="1"/>
  <c r="AC77" i="21"/>
  <c r="AA77" i="21"/>
  <c r="AB77" i="21" s="1"/>
  <c r="W77" i="21"/>
  <c r="X77" i="21" s="1"/>
  <c r="U77" i="21"/>
  <c r="V77" i="21" s="1"/>
  <c r="S77" i="21"/>
  <c r="T77" i="21" s="1"/>
  <c r="Q77" i="21"/>
  <c r="P77" i="21"/>
  <c r="O77" i="21"/>
  <c r="N77" i="21"/>
  <c r="M77" i="21"/>
  <c r="L77" i="21"/>
  <c r="K77" i="21"/>
  <c r="J77" i="21"/>
  <c r="I77" i="21"/>
  <c r="H77" i="21"/>
  <c r="G77" i="21"/>
  <c r="F77" i="21"/>
  <c r="E77" i="21"/>
  <c r="D77" i="21"/>
  <c r="C77" i="21"/>
  <c r="B77" i="21"/>
  <c r="A77" i="21"/>
  <c r="BG76" i="21"/>
  <c r="BH76" i="21" s="1"/>
  <c r="BE76" i="21"/>
  <c r="BF76" i="21" s="1"/>
  <c r="AW76" i="21"/>
  <c r="AX76" i="21" s="1"/>
  <c r="AU76" i="21"/>
  <c r="AV76" i="21" s="1"/>
  <c r="AS76" i="21"/>
  <c r="AT76" i="21" s="1"/>
  <c r="AQ76" i="21"/>
  <c r="AR76" i="21" s="1"/>
  <c r="AO76" i="21"/>
  <c r="AP76" i="21" s="1"/>
  <c r="AM76" i="21"/>
  <c r="AN76" i="21" s="1"/>
  <c r="AK76" i="21"/>
  <c r="AL76" i="21" s="1"/>
  <c r="AG76" i="21"/>
  <c r="AE76" i="21"/>
  <c r="AF76" i="21" s="1"/>
  <c r="AC76" i="21"/>
  <c r="AD76" i="21" s="1"/>
  <c r="AA76" i="21"/>
  <c r="AB76" i="21" s="1"/>
  <c r="W76" i="21"/>
  <c r="X76" i="21" s="1"/>
  <c r="U76" i="21"/>
  <c r="S76" i="21"/>
  <c r="T76" i="21" s="1"/>
  <c r="Q76" i="21"/>
  <c r="R76" i="21" s="1"/>
  <c r="P76" i="21"/>
  <c r="O76" i="21"/>
  <c r="N76" i="21"/>
  <c r="M76" i="21"/>
  <c r="L76" i="21"/>
  <c r="K76" i="21"/>
  <c r="J76" i="21"/>
  <c r="I76" i="21"/>
  <c r="H76" i="21"/>
  <c r="G76" i="21"/>
  <c r="F76" i="21"/>
  <c r="E76" i="21"/>
  <c r="D76" i="21"/>
  <c r="C76" i="21"/>
  <c r="B76" i="21"/>
  <c r="A76" i="21"/>
  <c r="BG75" i="21"/>
  <c r="BE75" i="21"/>
  <c r="BF75" i="21" s="1"/>
  <c r="AW75" i="21"/>
  <c r="AX75" i="21" s="1"/>
  <c r="AU75" i="21"/>
  <c r="AV75" i="21" s="1"/>
  <c r="AS75" i="21"/>
  <c r="AT75" i="21" s="1"/>
  <c r="AQ75" i="21"/>
  <c r="AR75" i="21" s="1"/>
  <c r="AO75" i="21"/>
  <c r="AP75" i="21" s="1"/>
  <c r="AM75" i="21"/>
  <c r="AK75" i="21"/>
  <c r="AL75" i="21" s="1"/>
  <c r="AG75" i="21"/>
  <c r="AH75" i="21" s="1"/>
  <c r="AE75" i="21"/>
  <c r="AF75" i="21" s="1"/>
  <c r="AC75" i="21"/>
  <c r="AD75" i="21" s="1"/>
  <c r="AA75" i="21"/>
  <c r="W75" i="21"/>
  <c r="X75" i="21" s="1"/>
  <c r="U75" i="21"/>
  <c r="V75" i="21" s="1"/>
  <c r="S75" i="21"/>
  <c r="Q75" i="21"/>
  <c r="R75" i="21" s="1"/>
  <c r="P75" i="21"/>
  <c r="O75" i="21"/>
  <c r="N75" i="21"/>
  <c r="M75" i="21"/>
  <c r="L75" i="21"/>
  <c r="K75" i="21"/>
  <c r="J75" i="21"/>
  <c r="I75" i="21"/>
  <c r="H75" i="21"/>
  <c r="G75" i="21"/>
  <c r="F75" i="21"/>
  <c r="E75" i="21"/>
  <c r="D75" i="21"/>
  <c r="C75" i="21"/>
  <c r="B75" i="21"/>
  <c r="A75" i="21"/>
  <c r="BG74" i="21"/>
  <c r="BH74" i="21" s="1"/>
  <c r="BE74" i="21"/>
  <c r="BF74" i="21" s="1"/>
  <c r="AW74" i="21"/>
  <c r="AX74" i="21" s="1"/>
  <c r="AU74" i="21"/>
  <c r="AV74" i="21" s="1"/>
  <c r="AS74" i="21"/>
  <c r="AT74" i="21" s="1"/>
  <c r="AQ74" i="21"/>
  <c r="AO74" i="21"/>
  <c r="AP74" i="21" s="1"/>
  <c r="AM74" i="21"/>
  <c r="AK74" i="21"/>
  <c r="AL74" i="21" s="1"/>
  <c r="AG74" i="21"/>
  <c r="AH74" i="21" s="1"/>
  <c r="AE74" i="21"/>
  <c r="AC74" i="21"/>
  <c r="AD74" i="21" s="1"/>
  <c r="AA74" i="21"/>
  <c r="AB74" i="21" s="1"/>
  <c r="W74" i="21"/>
  <c r="U74" i="21"/>
  <c r="V74" i="21" s="1"/>
  <c r="S74" i="21"/>
  <c r="T74" i="21" s="1"/>
  <c r="Q74" i="21"/>
  <c r="R74" i="21" s="1"/>
  <c r="P74" i="21"/>
  <c r="O74" i="21"/>
  <c r="N74" i="21"/>
  <c r="M74" i="21"/>
  <c r="L74" i="21"/>
  <c r="K74" i="21"/>
  <c r="J74" i="21"/>
  <c r="I74" i="21"/>
  <c r="H74" i="21"/>
  <c r="G74" i="21"/>
  <c r="F74" i="21"/>
  <c r="E74" i="21"/>
  <c r="D74" i="21"/>
  <c r="C74" i="21"/>
  <c r="B74" i="21"/>
  <c r="A74" i="21"/>
  <c r="BG73" i="21"/>
  <c r="BH73" i="21" s="1"/>
  <c r="BE73" i="21"/>
  <c r="BF73" i="21" s="1"/>
  <c r="AW73" i="21"/>
  <c r="AX73" i="21" s="1"/>
  <c r="AU73" i="21"/>
  <c r="AS73" i="21"/>
  <c r="AT73" i="21" s="1"/>
  <c r="AQ73" i="21"/>
  <c r="AR73" i="21" s="1"/>
  <c r="AO73" i="21"/>
  <c r="AP73" i="21" s="1"/>
  <c r="AM73" i="21"/>
  <c r="AN73" i="21" s="1"/>
  <c r="AK73" i="21"/>
  <c r="AG73" i="21"/>
  <c r="AH73" i="21" s="1"/>
  <c r="AE73" i="21"/>
  <c r="AF73" i="21" s="1"/>
  <c r="AC73" i="21"/>
  <c r="AA73" i="21"/>
  <c r="AB73" i="21" s="1"/>
  <c r="W73" i="21"/>
  <c r="X73" i="21" s="1"/>
  <c r="U73" i="21"/>
  <c r="V73" i="21" s="1"/>
  <c r="S73" i="21"/>
  <c r="T73" i="21" s="1"/>
  <c r="Q73" i="21"/>
  <c r="R73" i="21" s="1"/>
  <c r="P73" i="21"/>
  <c r="O73" i="21"/>
  <c r="N73" i="21"/>
  <c r="M73" i="21"/>
  <c r="L73" i="21"/>
  <c r="K73" i="21"/>
  <c r="J73" i="21"/>
  <c r="I73" i="21"/>
  <c r="H73" i="21"/>
  <c r="G73" i="21"/>
  <c r="F73" i="21"/>
  <c r="E73" i="21"/>
  <c r="D73" i="21"/>
  <c r="C73" i="21"/>
  <c r="B73" i="21"/>
  <c r="A73" i="21"/>
  <c r="BG72" i="21"/>
  <c r="BH72" i="21" s="1"/>
  <c r="BE72" i="21"/>
  <c r="BF72" i="21" s="1"/>
  <c r="AW72" i="21"/>
  <c r="AX72" i="21" s="1"/>
  <c r="AU72" i="21"/>
  <c r="AV72" i="21" s="1"/>
  <c r="AS72" i="21"/>
  <c r="AT72" i="21" s="1"/>
  <c r="AQ72" i="21"/>
  <c r="AR72" i="21" s="1"/>
  <c r="AO72" i="21"/>
  <c r="AM72" i="21"/>
  <c r="AN72" i="21" s="1"/>
  <c r="AK72" i="21"/>
  <c r="AL72" i="21" s="1"/>
  <c r="AG72" i="21"/>
  <c r="AE72" i="21"/>
  <c r="AF72" i="21" s="1"/>
  <c r="AC72" i="21"/>
  <c r="AD72" i="21" s="1"/>
  <c r="AA72" i="21"/>
  <c r="AB72" i="21" s="1"/>
  <c r="W72" i="21"/>
  <c r="X72" i="21" s="1"/>
  <c r="U72" i="21"/>
  <c r="S72" i="21"/>
  <c r="T72" i="21" s="1"/>
  <c r="Q72" i="21"/>
  <c r="R72" i="21" s="1"/>
  <c r="P72" i="21"/>
  <c r="O72" i="21"/>
  <c r="N72" i="21"/>
  <c r="M72" i="21"/>
  <c r="L72" i="21"/>
  <c r="K72" i="21"/>
  <c r="J72" i="21"/>
  <c r="I72" i="21"/>
  <c r="H72" i="21"/>
  <c r="G72" i="21"/>
  <c r="F72" i="21"/>
  <c r="E72" i="21"/>
  <c r="D72" i="21"/>
  <c r="C72" i="21"/>
  <c r="B72" i="21"/>
  <c r="A72" i="21"/>
  <c r="BG71" i="21"/>
  <c r="BE71" i="21"/>
  <c r="BF71" i="21" s="1"/>
  <c r="AW71" i="21"/>
  <c r="AX71" i="21" s="1"/>
  <c r="AU71" i="21"/>
  <c r="AV71" i="21" s="1"/>
  <c r="AS71" i="21"/>
  <c r="AQ71" i="21"/>
  <c r="AR71" i="21" s="1"/>
  <c r="AO71" i="21"/>
  <c r="AP71" i="21" s="1"/>
  <c r="AM71" i="21"/>
  <c r="AK71" i="21"/>
  <c r="AL71" i="21" s="1"/>
  <c r="AG71" i="21"/>
  <c r="AH71" i="21" s="1"/>
  <c r="AE71" i="21"/>
  <c r="AF71" i="21" s="1"/>
  <c r="AC71" i="21"/>
  <c r="AD71" i="21" s="1"/>
  <c r="AJ71" i="21" s="1"/>
  <c r="AA71" i="21"/>
  <c r="AB71" i="21" s="1"/>
  <c r="W71" i="21"/>
  <c r="X71" i="21" s="1"/>
  <c r="U71" i="21"/>
  <c r="V71" i="21" s="1"/>
  <c r="S71" i="21"/>
  <c r="Q71" i="21"/>
  <c r="R71" i="21" s="1"/>
  <c r="P71" i="21"/>
  <c r="O71" i="21"/>
  <c r="N71" i="21"/>
  <c r="M71" i="21"/>
  <c r="L71" i="21"/>
  <c r="K71" i="21"/>
  <c r="J71" i="21"/>
  <c r="I71" i="21"/>
  <c r="H71" i="21"/>
  <c r="G71" i="21"/>
  <c r="F71" i="21"/>
  <c r="E71" i="21"/>
  <c r="D71" i="21"/>
  <c r="C71" i="21"/>
  <c r="B71" i="21"/>
  <c r="A71" i="21"/>
  <c r="BG70" i="21"/>
  <c r="BH70" i="21" s="1"/>
  <c r="BE70" i="21"/>
  <c r="BF70" i="21" s="1"/>
  <c r="AW70" i="21"/>
  <c r="AX70" i="21" s="1"/>
  <c r="AU70" i="21"/>
  <c r="AV70" i="21" s="1"/>
  <c r="AS70" i="21"/>
  <c r="AT70" i="21" s="1"/>
  <c r="AQ70" i="21"/>
  <c r="AO70" i="21"/>
  <c r="AP70" i="21" s="1"/>
  <c r="AM70" i="21"/>
  <c r="AK70" i="21"/>
  <c r="AL70" i="21" s="1"/>
  <c r="AG70" i="21"/>
  <c r="AH70" i="21" s="1"/>
  <c r="AE70" i="21"/>
  <c r="AF70" i="21" s="1"/>
  <c r="AC70" i="21"/>
  <c r="AD70" i="21" s="1"/>
  <c r="AA70" i="21"/>
  <c r="AB70" i="21" s="1"/>
  <c r="W70" i="21"/>
  <c r="U70" i="21"/>
  <c r="V70" i="21" s="1"/>
  <c r="S70" i="21"/>
  <c r="T70" i="21" s="1"/>
  <c r="Q70" i="21"/>
  <c r="R70" i="21" s="1"/>
  <c r="P70" i="21"/>
  <c r="O70" i="21"/>
  <c r="N70" i="21"/>
  <c r="M70" i="21"/>
  <c r="L70" i="21"/>
  <c r="K70" i="21"/>
  <c r="J70" i="21"/>
  <c r="I70" i="21"/>
  <c r="H70" i="21"/>
  <c r="G70" i="21"/>
  <c r="F70" i="21"/>
  <c r="E70" i="21"/>
  <c r="D70" i="21"/>
  <c r="C70" i="21"/>
  <c r="B70" i="21"/>
  <c r="A70" i="21"/>
  <c r="BG69" i="21"/>
  <c r="BH69" i="21" s="1"/>
  <c r="BE69" i="21"/>
  <c r="AW69" i="21"/>
  <c r="AX69" i="21" s="1"/>
  <c r="AU69" i="21"/>
  <c r="AS69" i="21"/>
  <c r="AT69" i="21" s="1"/>
  <c r="AQ69" i="21"/>
  <c r="AR69" i="21" s="1"/>
  <c r="AO69" i="21"/>
  <c r="AP69" i="21" s="1"/>
  <c r="AM69" i="21"/>
  <c r="AN69" i="21" s="1"/>
  <c r="AK69" i="21"/>
  <c r="AG69" i="21"/>
  <c r="AH69" i="21" s="1"/>
  <c r="AE69" i="21"/>
  <c r="AF69" i="21" s="1"/>
  <c r="AC69" i="21"/>
  <c r="AA69" i="21"/>
  <c r="AB69" i="21" s="1"/>
  <c r="W69" i="21"/>
  <c r="X69" i="21" s="1"/>
  <c r="U69" i="21"/>
  <c r="V69" i="21" s="1"/>
  <c r="S69" i="21"/>
  <c r="T69" i="21" s="1"/>
  <c r="Q69" i="21"/>
  <c r="R69" i="21" s="1"/>
  <c r="P69" i="21"/>
  <c r="O69" i="21"/>
  <c r="N69" i="21"/>
  <c r="M69" i="21"/>
  <c r="L69" i="21"/>
  <c r="K69" i="21"/>
  <c r="J69" i="21"/>
  <c r="I69" i="21"/>
  <c r="H69" i="21"/>
  <c r="G69" i="21"/>
  <c r="F69" i="21"/>
  <c r="E69" i="21"/>
  <c r="D69" i="21"/>
  <c r="C69" i="21"/>
  <c r="B69" i="21"/>
  <c r="A69" i="21"/>
  <c r="BG68" i="21"/>
  <c r="BH68" i="21" s="1"/>
  <c r="BE68" i="21"/>
  <c r="AW68" i="21"/>
  <c r="AX68" i="21" s="1"/>
  <c r="AU68" i="21"/>
  <c r="AV68" i="21" s="1"/>
  <c r="AS68" i="21"/>
  <c r="AT68" i="21" s="1"/>
  <c r="AQ68" i="21"/>
  <c r="AR68" i="21" s="1"/>
  <c r="AO68" i="21"/>
  <c r="AM68" i="21"/>
  <c r="AN68" i="21" s="1"/>
  <c r="AK68" i="21"/>
  <c r="AL68" i="21" s="1"/>
  <c r="AG68" i="21"/>
  <c r="AE68" i="21"/>
  <c r="AF68" i="21" s="1"/>
  <c r="AC68" i="21"/>
  <c r="AA68" i="21"/>
  <c r="AB68" i="21" s="1"/>
  <c r="W68" i="21"/>
  <c r="X68" i="21" s="1"/>
  <c r="U68" i="21"/>
  <c r="S68" i="21"/>
  <c r="T68" i="21" s="1"/>
  <c r="Q68" i="21"/>
  <c r="R68" i="21" s="1"/>
  <c r="P68" i="21"/>
  <c r="O68" i="21"/>
  <c r="N68" i="21"/>
  <c r="M68" i="21"/>
  <c r="L68" i="21"/>
  <c r="K68" i="21"/>
  <c r="J68" i="21"/>
  <c r="I68" i="21"/>
  <c r="H68" i="21"/>
  <c r="G68" i="21"/>
  <c r="F68" i="21"/>
  <c r="E68" i="21"/>
  <c r="D68" i="21"/>
  <c r="C68" i="21"/>
  <c r="B68" i="21"/>
  <c r="A68" i="21"/>
  <c r="BG67" i="21"/>
  <c r="BE67" i="21"/>
  <c r="BF67" i="21" s="1"/>
  <c r="AW67" i="21"/>
  <c r="AX67" i="21" s="1"/>
  <c r="AU67" i="21"/>
  <c r="AV67" i="21" s="1"/>
  <c r="AS67" i="21"/>
  <c r="AT67" i="21" s="1"/>
  <c r="AQ67" i="21"/>
  <c r="AR67" i="21" s="1"/>
  <c r="AO67" i="21"/>
  <c r="AP67" i="21" s="1"/>
  <c r="AM67" i="21"/>
  <c r="AK67" i="21"/>
  <c r="AL67" i="21" s="1"/>
  <c r="AG67" i="21"/>
  <c r="AH67" i="21" s="1"/>
  <c r="AE67" i="21"/>
  <c r="AF67" i="21" s="1"/>
  <c r="AC67" i="21"/>
  <c r="AD67" i="21" s="1"/>
  <c r="AA67" i="21"/>
  <c r="W67" i="21"/>
  <c r="X67" i="21" s="1"/>
  <c r="U67" i="21"/>
  <c r="V67" i="21" s="1"/>
  <c r="S67" i="21"/>
  <c r="Q67" i="21"/>
  <c r="R67" i="21" s="1"/>
  <c r="P67" i="21"/>
  <c r="O67" i="21"/>
  <c r="N67" i="21"/>
  <c r="M67" i="21"/>
  <c r="L67" i="21"/>
  <c r="K67" i="21"/>
  <c r="J67" i="21"/>
  <c r="I67" i="21"/>
  <c r="H67" i="21"/>
  <c r="G67" i="21"/>
  <c r="F67" i="21"/>
  <c r="E67" i="21"/>
  <c r="D67" i="21"/>
  <c r="C67" i="21"/>
  <c r="B67" i="21"/>
  <c r="A67" i="21"/>
  <c r="BG66" i="21"/>
  <c r="BE66" i="21"/>
  <c r="BF66" i="21" s="1"/>
  <c r="AW66" i="21"/>
  <c r="AX66" i="21" s="1"/>
  <c r="AU66" i="21"/>
  <c r="AV66" i="21" s="1"/>
  <c r="AS66" i="21"/>
  <c r="AT66" i="21" s="1"/>
  <c r="AQ66" i="21"/>
  <c r="AO66" i="21"/>
  <c r="AP66" i="21" s="1"/>
  <c r="AM66" i="21"/>
  <c r="AN66" i="21" s="1"/>
  <c r="AK66" i="21"/>
  <c r="AL66" i="21" s="1"/>
  <c r="AG66" i="21"/>
  <c r="AH66" i="21" s="1"/>
  <c r="AE66" i="21"/>
  <c r="AF66" i="21" s="1"/>
  <c r="AC66" i="21"/>
  <c r="AD66" i="21" s="1"/>
  <c r="AA66" i="21"/>
  <c r="AB66" i="21" s="1"/>
  <c r="W66" i="21"/>
  <c r="U66" i="21"/>
  <c r="V66" i="21" s="1"/>
  <c r="S66" i="21"/>
  <c r="Q66" i="21"/>
  <c r="R66" i="21" s="1"/>
  <c r="P66" i="21"/>
  <c r="O66" i="21"/>
  <c r="N66" i="21"/>
  <c r="M66" i="21"/>
  <c r="L66" i="21"/>
  <c r="K66" i="21"/>
  <c r="J66" i="21"/>
  <c r="I66" i="21"/>
  <c r="H66" i="21"/>
  <c r="G66" i="21"/>
  <c r="F66" i="21"/>
  <c r="E66" i="21"/>
  <c r="D66" i="21"/>
  <c r="C66" i="21"/>
  <c r="B66" i="21"/>
  <c r="A66" i="21"/>
  <c r="BG65" i="21"/>
  <c r="BH65" i="21" s="1"/>
  <c r="BE65" i="21"/>
  <c r="AW65" i="21"/>
  <c r="AX65" i="21" s="1"/>
  <c r="AU65" i="21"/>
  <c r="AS65" i="21"/>
  <c r="AT65" i="21" s="1"/>
  <c r="AQ65" i="21"/>
  <c r="AR65" i="21" s="1"/>
  <c r="AO65" i="21"/>
  <c r="AP65" i="21" s="1"/>
  <c r="AM65" i="21"/>
  <c r="AN65" i="21" s="1"/>
  <c r="AK65" i="21"/>
  <c r="AL65" i="21" s="1"/>
  <c r="AG65" i="21"/>
  <c r="AH65" i="21" s="1"/>
  <c r="AE65" i="21"/>
  <c r="AC65" i="21"/>
  <c r="AA65" i="21"/>
  <c r="AB65" i="21" s="1"/>
  <c r="W65" i="21"/>
  <c r="X65" i="21" s="1"/>
  <c r="U65" i="21"/>
  <c r="V65" i="21" s="1"/>
  <c r="S65" i="21"/>
  <c r="T65" i="21" s="1"/>
  <c r="Q65" i="21"/>
  <c r="P65" i="21"/>
  <c r="O65" i="21"/>
  <c r="N65" i="21"/>
  <c r="M65" i="21"/>
  <c r="L65" i="21"/>
  <c r="K65" i="21"/>
  <c r="J65" i="21"/>
  <c r="I65" i="21"/>
  <c r="H65" i="21"/>
  <c r="G65" i="21"/>
  <c r="F65" i="21"/>
  <c r="E65" i="21"/>
  <c r="D65" i="21"/>
  <c r="C65" i="21"/>
  <c r="B65" i="21"/>
  <c r="A65" i="21"/>
  <c r="BG64" i="21"/>
  <c r="BH64" i="21" s="1"/>
  <c r="BE64" i="21"/>
  <c r="BF64" i="21" s="1"/>
  <c r="AW64" i="21"/>
  <c r="AX64" i="21" s="1"/>
  <c r="AU64" i="21"/>
  <c r="AS64" i="21"/>
  <c r="AT64" i="21" s="1"/>
  <c r="AQ64" i="21"/>
  <c r="AR64" i="21" s="1"/>
  <c r="AO64" i="21"/>
  <c r="AM64" i="21"/>
  <c r="AN64" i="21" s="1"/>
  <c r="AK64" i="21"/>
  <c r="AL64" i="21" s="1"/>
  <c r="AG64" i="21"/>
  <c r="AE64" i="21"/>
  <c r="AF64" i="21" s="1"/>
  <c r="AC64" i="21"/>
  <c r="AA64" i="21"/>
  <c r="AB64" i="21" s="1"/>
  <c r="W64" i="21"/>
  <c r="X64" i="21" s="1"/>
  <c r="U64" i="21"/>
  <c r="V64" i="21" s="1"/>
  <c r="S64" i="21"/>
  <c r="T64" i="21" s="1"/>
  <c r="Q64" i="21"/>
  <c r="R64" i="21" s="1"/>
  <c r="P64" i="21"/>
  <c r="O64" i="21"/>
  <c r="N64" i="21"/>
  <c r="M64" i="21"/>
  <c r="L64" i="21"/>
  <c r="K64" i="21"/>
  <c r="J64" i="21"/>
  <c r="I64" i="21"/>
  <c r="H64" i="21"/>
  <c r="G64" i="21"/>
  <c r="F64" i="21"/>
  <c r="E64" i="21"/>
  <c r="D64" i="21"/>
  <c r="C64" i="21"/>
  <c r="B64" i="21"/>
  <c r="A64" i="21"/>
  <c r="BG63" i="21"/>
  <c r="BE63" i="21"/>
  <c r="BF63" i="21" s="1"/>
  <c r="AW63" i="21"/>
  <c r="AX63" i="21" s="1"/>
  <c r="AU63" i="21"/>
  <c r="AV63" i="21" s="1"/>
  <c r="AS63" i="21"/>
  <c r="AQ63" i="21"/>
  <c r="AR63" i="21" s="1"/>
  <c r="AO63" i="21"/>
  <c r="AP63" i="21" s="1"/>
  <c r="AM63" i="21"/>
  <c r="AK63" i="21"/>
  <c r="AL63" i="21" s="1"/>
  <c r="AG63" i="21"/>
  <c r="AH63" i="21" s="1"/>
  <c r="AE63" i="21"/>
  <c r="AF63" i="21" s="1"/>
  <c r="AC63" i="21"/>
  <c r="AD63" i="21" s="1"/>
  <c r="AJ63" i="21" s="1"/>
  <c r="AA63" i="21"/>
  <c r="W63" i="21"/>
  <c r="X63" i="21" s="1"/>
  <c r="U63" i="21"/>
  <c r="V63" i="21" s="1"/>
  <c r="S63" i="21"/>
  <c r="T63" i="21" s="1"/>
  <c r="Q63" i="21"/>
  <c r="R63" i="21" s="1"/>
  <c r="P63" i="21"/>
  <c r="O63" i="21"/>
  <c r="N63" i="21"/>
  <c r="M63" i="21"/>
  <c r="L63" i="21"/>
  <c r="K63" i="21"/>
  <c r="J63" i="21"/>
  <c r="I63" i="21"/>
  <c r="H63" i="21"/>
  <c r="G63" i="21"/>
  <c r="F63" i="21"/>
  <c r="E63" i="21"/>
  <c r="D63" i="21"/>
  <c r="C63" i="21"/>
  <c r="B63" i="21"/>
  <c r="A63" i="21"/>
  <c r="BG62" i="21"/>
  <c r="BH62" i="21" s="1"/>
  <c r="BE62" i="21"/>
  <c r="BF62" i="21" s="1"/>
  <c r="AW62" i="21"/>
  <c r="AX62" i="21" s="1"/>
  <c r="AU62" i="21"/>
  <c r="AV62" i="21" s="1"/>
  <c r="AS62" i="21"/>
  <c r="AT62" i="21" s="1"/>
  <c r="AQ62" i="21"/>
  <c r="AO62" i="21"/>
  <c r="AP62" i="21" s="1"/>
  <c r="AM62" i="21"/>
  <c r="AK62" i="21"/>
  <c r="AL62" i="21" s="1"/>
  <c r="AG62" i="21"/>
  <c r="AH62" i="21" s="1"/>
  <c r="AE62" i="21"/>
  <c r="AC62" i="21"/>
  <c r="AD62" i="21" s="1"/>
  <c r="AA62" i="21"/>
  <c r="AB62" i="21" s="1"/>
  <c r="W62" i="21"/>
  <c r="U62" i="21"/>
  <c r="V62" i="21" s="1"/>
  <c r="S62" i="21"/>
  <c r="T62" i="21" s="1"/>
  <c r="Q62" i="21"/>
  <c r="R62" i="21" s="1"/>
  <c r="P62" i="21"/>
  <c r="O62" i="21"/>
  <c r="N62" i="21"/>
  <c r="M62" i="21"/>
  <c r="L62" i="21"/>
  <c r="K62" i="21"/>
  <c r="J62" i="21"/>
  <c r="I62" i="21"/>
  <c r="H62" i="21"/>
  <c r="G62" i="21"/>
  <c r="F62" i="21"/>
  <c r="E62" i="21"/>
  <c r="D62" i="21"/>
  <c r="C62" i="21"/>
  <c r="B62" i="21"/>
  <c r="A62" i="21"/>
  <c r="BG61" i="21"/>
  <c r="BH61" i="21" s="1"/>
  <c r="BE61" i="21"/>
  <c r="BF61" i="21" s="1"/>
  <c r="AW61" i="21"/>
  <c r="AU61" i="21"/>
  <c r="AS61" i="21"/>
  <c r="AT61" i="21" s="1"/>
  <c r="AQ61" i="21"/>
  <c r="AR61" i="21" s="1"/>
  <c r="AO61" i="21"/>
  <c r="AP61" i="21" s="1"/>
  <c r="AM61" i="21"/>
  <c r="AN61" i="21" s="1"/>
  <c r="AK61" i="21"/>
  <c r="AG61" i="21"/>
  <c r="AH61" i="21" s="1"/>
  <c r="AE61" i="21"/>
  <c r="AF61" i="21" s="1"/>
  <c r="AC61" i="21"/>
  <c r="AA61" i="21"/>
  <c r="AB61" i="21" s="1"/>
  <c r="W61" i="21"/>
  <c r="U61" i="21"/>
  <c r="V61" i="21" s="1"/>
  <c r="S61" i="21"/>
  <c r="T61" i="21" s="1"/>
  <c r="Q61" i="21"/>
  <c r="P61" i="21"/>
  <c r="O61" i="21"/>
  <c r="N61" i="21"/>
  <c r="M61" i="21"/>
  <c r="L61" i="21"/>
  <c r="K61" i="21"/>
  <c r="J61" i="21"/>
  <c r="I61" i="21"/>
  <c r="H61" i="21"/>
  <c r="G61" i="21"/>
  <c r="F61" i="21"/>
  <c r="E61" i="21"/>
  <c r="D61" i="21"/>
  <c r="C61" i="21"/>
  <c r="B61" i="21"/>
  <c r="A61" i="21"/>
  <c r="BG60" i="21"/>
  <c r="BH60" i="21" s="1"/>
  <c r="BE60" i="21"/>
  <c r="BF60" i="21" s="1"/>
  <c r="AW60" i="21"/>
  <c r="AX60" i="21" s="1"/>
  <c r="AU60" i="21"/>
  <c r="AS60" i="21"/>
  <c r="AT60" i="21" s="1"/>
  <c r="AQ60" i="21"/>
  <c r="AR60" i="21" s="1"/>
  <c r="AO60" i="21"/>
  <c r="AP60" i="21" s="1"/>
  <c r="AM60" i="21"/>
  <c r="AN60" i="21" s="1"/>
  <c r="AK60" i="21"/>
  <c r="AL60" i="21" s="1"/>
  <c r="AG60" i="21"/>
  <c r="AE60" i="21"/>
  <c r="AF60" i="21" s="1"/>
  <c r="AC60" i="21"/>
  <c r="AD60" i="21" s="1"/>
  <c r="AA60" i="21"/>
  <c r="AB60" i="21" s="1"/>
  <c r="W60" i="21"/>
  <c r="X60" i="21" s="1"/>
  <c r="U60" i="21"/>
  <c r="S60" i="21"/>
  <c r="T60" i="21" s="1"/>
  <c r="Q60" i="21"/>
  <c r="R60" i="21" s="1"/>
  <c r="P60" i="21"/>
  <c r="O60" i="21"/>
  <c r="N60" i="21"/>
  <c r="M60" i="21"/>
  <c r="L60" i="21"/>
  <c r="K60" i="21"/>
  <c r="J60" i="21"/>
  <c r="I60" i="21"/>
  <c r="H60" i="21"/>
  <c r="G60" i="21"/>
  <c r="F60" i="21"/>
  <c r="E60" i="21"/>
  <c r="D60" i="21"/>
  <c r="C60" i="21"/>
  <c r="B60" i="21"/>
  <c r="A60" i="21"/>
  <c r="BG59" i="21"/>
  <c r="BE59" i="21"/>
  <c r="BF59" i="21" s="1"/>
  <c r="AW59" i="21"/>
  <c r="AX59" i="21" s="1"/>
  <c r="AU59" i="21"/>
  <c r="AV59" i="21" s="1"/>
  <c r="AS59" i="21"/>
  <c r="AQ59" i="21"/>
  <c r="AR59" i="21" s="1"/>
  <c r="AO59" i="21"/>
  <c r="AP59" i="21" s="1"/>
  <c r="AM59" i="21"/>
  <c r="AK59" i="21"/>
  <c r="AL59" i="21" s="1"/>
  <c r="AG59" i="21"/>
  <c r="AH59" i="21" s="1"/>
  <c r="AE59" i="21"/>
  <c r="AF59" i="21" s="1"/>
  <c r="AC59" i="21"/>
  <c r="AD59" i="21" s="1"/>
  <c r="AA59" i="21"/>
  <c r="W59" i="21"/>
  <c r="X59" i="21" s="1"/>
  <c r="U59" i="21"/>
  <c r="V59" i="21" s="1"/>
  <c r="S59" i="21"/>
  <c r="Q59" i="21"/>
  <c r="R59" i="21" s="1"/>
  <c r="P59" i="21"/>
  <c r="O59" i="21"/>
  <c r="N59" i="21"/>
  <c r="M59" i="21"/>
  <c r="L59" i="21"/>
  <c r="K59" i="21"/>
  <c r="J59" i="21"/>
  <c r="I59" i="21"/>
  <c r="H59" i="21"/>
  <c r="G59" i="21"/>
  <c r="F59" i="21"/>
  <c r="E59" i="21"/>
  <c r="D59" i="21"/>
  <c r="C59" i="21"/>
  <c r="B59" i="21"/>
  <c r="A59" i="21"/>
  <c r="BG58" i="21"/>
  <c r="BE58" i="21"/>
  <c r="BF58" i="21" s="1"/>
  <c r="AW58" i="21"/>
  <c r="AX58" i="21" s="1"/>
  <c r="AU58" i="21"/>
  <c r="AV58" i="21" s="1"/>
  <c r="AS58" i="21"/>
  <c r="AT58" i="21" s="1"/>
  <c r="AQ58" i="21"/>
  <c r="AO58" i="21"/>
  <c r="AP58" i="21" s="1"/>
  <c r="AM58" i="21"/>
  <c r="AN58" i="21" s="1"/>
  <c r="AK58" i="21"/>
  <c r="AL58" i="21" s="1"/>
  <c r="AG58" i="21"/>
  <c r="AH58" i="21" s="1"/>
  <c r="AE58" i="21"/>
  <c r="AF58" i="21" s="1"/>
  <c r="AC58" i="21"/>
  <c r="AD58" i="21" s="1"/>
  <c r="AA58" i="21"/>
  <c r="W58" i="21"/>
  <c r="U58" i="21"/>
  <c r="V58" i="21" s="1"/>
  <c r="S58" i="21"/>
  <c r="T58" i="21" s="1"/>
  <c r="Q58" i="21"/>
  <c r="R58" i="21" s="1"/>
  <c r="P58" i="21"/>
  <c r="O58" i="21"/>
  <c r="N58" i="21"/>
  <c r="M58" i="21"/>
  <c r="L58" i="21"/>
  <c r="K58" i="21"/>
  <c r="J58" i="21"/>
  <c r="I58" i="21"/>
  <c r="H58" i="21"/>
  <c r="G58" i="21"/>
  <c r="F58" i="21"/>
  <c r="E58" i="21"/>
  <c r="D58" i="21"/>
  <c r="C58" i="21"/>
  <c r="B58" i="21"/>
  <c r="A58" i="21"/>
  <c r="BG57" i="21"/>
  <c r="BH57" i="21" s="1"/>
  <c r="BE57" i="21"/>
  <c r="AW57" i="21"/>
  <c r="AX57" i="21" s="1"/>
  <c r="AU57" i="21"/>
  <c r="AS57" i="21"/>
  <c r="AT57" i="21" s="1"/>
  <c r="AQ57" i="21"/>
  <c r="AO57" i="21"/>
  <c r="AP57" i="21" s="1"/>
  <c r="AM57" i="21"/>
  <c r="AN57" i="21" s="1"/>
  <c r="AK57" i="21"/>
  <c r="AG57" i="21"/>
  <c r="AH57" i="21" s="1"/>
  <c r="AE57" i="21"/>
  <c r="AF57" i="21" s="1"/>
  <c r="AC57" i="21"/>
  <c r="AA57" i="21"/>
  <c r="AB57" i="21" s="1"/>
  <c r="W57" i="21"/>
  <c r="U57" i="21"/>
  <c r="V57" i="21" s="1"/>
  <c r="S57" i="21"/>
  <c r="T57" i="21" s="1"/>
  <c r="Q57" i="21"/>
  <c r="R57" i="21" s="1"/>
  <c r="P57" i="21"/>
  <c r="O57" i="21"/>
  <c r="N57" i="21"/>
  <c r="M57" i="21"/>
  <c r="L57" i="21"/>
  <c r="K57" i="21"/>
  <c r="J57" i="21"/>
  <c r="I57" i="21"/>
  <c r="H57" i="21"/>
  <c r="G57" i="21"/>
  <c r="F57" i="21"/>
  <c r="E57" i="21"/>
  <c r="D57" i="21"/>
  <c r="C57" i="21"/>
  <c r="B57" i="21"/>
  <c r="A57" i="21"/>
  <c r="BG56" i="21"/>
  <c r="BH56" i="21" s="1"/>
  <c r="BE56" i="21"/>
  <c r="BF56" i="21" s="1"/>
  <c r="AW56" i="21"/>
  <c r="AU56" i="21"/>
  <c r="AV56" i="21" s="1"/>
  <c r="AS56" i="21"/>
  <c r="AT56" i="21" s="1"/>
  <c r="AQ56" i="21"/>
  <c r="AR56" i="21" s="1"/>
  <c r="AO56" i="21"/>
  <c r="AM56" i="21"/>
  <c r="AN56" i="21" s="1"/>
  <c r="AK56" i="21"/>
  <c r="AG56" i="21"/>
  <c r="AH56" i="21" s="1"/>
  <c r="AE56" i="21"/>
  <c r="AF56" i="21" s="1"/>
  <c r="AC56" i="21"/>
  <c r="AD56" i="21" s="1"/>
  <c r="AA56" i="21"/>
  <c r="AB56" i="21" s="1"/>
  <c r="W56" i="21"/>
  <c r="U56" i="21"/>
  <c r="V56" i="21" s="1"/>
  <c r="S56" i="21"/>
  <c r="T56" i="21" s="1"/>
  <c r="Q56" i="21"/>
  <c r="R56" i="21" s="1"/>
  <c r="P56" i="21"/>
  <c r="O56" i="21"/>
  <c r="N56" i="21"/>
  <c r="M56" i="21"/>
  <c r="L56" i="21"/>
  <c r="K56" i="21"/>
  <c r="J56" i="21"/>
  <c r="I56" i="21"/>
  <c r="H56" i="21"/>
  <c r="G56" i="21"/>
  <c r="F56" i="21"/>
  <c r="E56" i="21"/>
  <c r="D56" i="21"/>
  <c r="C56" i="21"/>
  <c r="B56" i="21"/>
  <c r="A56" i="21"/>
  <c r="BG55" i="21"/>
  <c r="BE55" i="21"/>
  <c r="BF55" i="21" s="1"/>
  <c r="AW55" i="21"/>
  <c r="AX55" i="21" s="1"/>
  <c r="AU55" i="21"/>
  <c r="AV55" i="21" s="1"/>
  <c r="AS55" i="21"/>
  <c r="AQ55" i="21"/>
  <c r="AO55" i="21"/>
  <c r="AP55" i="21" s="1"/>
  <c r="AM55" i="21"/>
  <c r="AK55" i="21"/>
  <c r="AL55" i="21" s="1"/>
  <c r="AG55" i="21"/>
  <c r="AE55" i="21"/>
  <c r="AF55" i="21" s="1"/>
  <c r="AC55" i="21"/>
  <c r="AA55" i="21"/>
  <c r="AB55" i="21" s="1"/>
  <c r="W55" i="21"/>
  <c r="X55" i="21" s="1"/>
  <c r="U55" i="21"/>
  <c r="V55" i="21" s="1"/>
  <c r="S55" i="21"/>
  <c r="T55" i="21" s="1"/>
  <c r="Q55" i="21"/>
  <c r="R55" i="21" s="1"/>
  <c r="P55" i="21"/>
  <c r="O55" i="21"/>
  <c r="N55" i="21"/>
  <c r="M55" i="21"/>
  <c r="L55" i="21"/>
  <c r="K55" i="21"/>
  <c r="J55" i="21"/>
  <c r="I55" i="21"/>
  <c r="H55" i="21"/>
  <c r="G55" i="21"/>
  <c r="F55" i="21"/>
  <c r="E55" i="21"/>
  <c r="D55" i="21"/>
  <c r="C55" i="21"/>
  <c r="B55" i="21"/>
  <c r="A55" i="21"/>
  <c r="BG54" i="21"/>
  <c r="BH54" i="21" s="1"/>
  <c r="BE54" i="21"/>
  <c r="AW54" i="21"/>
  <c r="AU54" i="21"/>
  <c r="AS54" i="21"/>
  <c r="AT54" i="21" s="1"/>
  <c r="AQ54" i="21"/>
  <c r="AO54" i="21"/>
  <c r="AP54" i="21" s="1"/>
  <c r="AM54" i="21"/>
  <c r="AN54" i="21" s="1"/>
  <c r="AK54" i="21"/>
  <c r="AL54" i="21" s="1"/>
  <c r="AG54" i="21"/>
  <c r="AH54" i="21" s="1"/>
  <c r="AE54" i="21"/>
  <c r="AF54" i="21" s="1"/>
  <c r="AC54" i="21"/>
  <c r="AD54" i="21" s="1"/>
  <c r="AA54" i="21"/>
  <c r="W54" i="21"/>
  <c r="X54" i="21" s="1"/>
  <c r="U54" i="21"/>
  <c r="V54" i="21" s="1"/>
  <c r="S54" i="21"/>
  <c r="Q54" i="21"/>
  <c r="R54" i="21" s="1"/>
  <c r="P54" i="21"/>
  <c r="O54" i="21"/>
  <c r="N54" i="21"/>
  <c r="M54" i="21"/>
  <c r="L54" i="21"/>
  <c r="K54" i="21"/>
  <c r="J54" i="21"/>
  <c r="I54" i="21"/>
  <c r="H54" i="21"/>
  <c r="G54" i="21"/>
  <c r="F54" i="21"/>
  <c r="E54" i="21"/>
  <c r="D54" i="21"/>
  <c r="C54" i="21"/>
  <c r="B54" i="21"/>
  <c r="A54" i="21"/>
  <c r="BG53" i="21"/>
  <c r="BH53" i="21" s="1"/>
  <c r="BE53" i="21"/>
  <c r="AW53" i="21"/>
  <c r="AX53" i="21" s="1"/>
  <c r="AU53" i="21"/>
  <c r="AV53" i="21" s="1"/>
  <c r="AS53" i="21"/>
  <c r="AT53" i="21" s="1"/>
  <c r="AQ53" i="21"/>
  <c r="AR53" i="21" s="1"/>
  <c r="AO53" i="21"/>
  <c r="AP53" i="21" s="1"/>
  <c r="AM53" i="21"/>
  <c r="AN53" i="21" s="1"/>
  <c r="AK53" i="21"/>
  <c r="AG53" i="21"/>
  <c r="AH53" i="21" s="1"/>
  <c r="AE53" i="21"/>
  <c r="AF53" i="21" s="1"/>
  <c r="AC53" i="21"/>
  <c r="AA53" i="21"/>
  <c r="AB53" i="21" s="1"/>
  <c r="W53" i="21"/>
  <c r="X53" i="21" s="1"/>
  <c r="U53" i="21"/>
  <c r="V53" i="21" s="1"/>
  <c r="S53" i="21"/>
  <c r="T53" i="21" s="1"/>
  <c r="Q53" i="21"/>
  <c r="P53" i="21"/>
  <c r="O53" i="21"/>
  <c r="N53" i="21"/>
  <c r="M53" i="21"/>
  <c r="L53" i="21"/>
  <c r="K53" i="21"/>
  <c r="J53" i="21"/>
  <c r="I53" i="21"/>
  <c r="H53" i="21"/>
  <c r="G53" i="21"/>
  <c r="F53" i="21"/>
  <c r="E53" i="21"/>
  <c r="D53" i="21"/>
  <c r="C53" i="21"/>
  <c r="B53" i="21"/>
  <c r="A53" i="21"/>
  <c r="BG52" i="21"/>
  <c r="BE52" i="21"/>
  <c r="BF52" i="21" s="1"/>
  <c r="AW52" i="21"/>
  <c r="AX52" i="21" s="1"/>
  <c r="AU52" i="21"/>
  <c r="AV52" i="21" s="1"/>
  <c r="AS52" i="21"/>
  <c r="AT52" i="21" s="1"/>
  <c r="AQ52" i="21"/>
  <c r="AR52" i="21" s="1"/>
  <c r="AO52" i="21"/>
  <c r="AM52" i="21"/>
  <c r="AN52" i="21" s="1"/>
  <c r="AK52" i="21"/>
  <c r="AL52" i="21" s="1"/>
  <c r="AG52" i="21"/>
  <c r="AE52" i="21"/>
  <c r="AF52" i="21" s="1"/>
  <c r="AC52" i="21"/>
  <c r="AD52" i="21" s="1"/>
  <c r="AA52" i="21"/>
  <c r="AB52" i="21" s="1"/>
  <c r="W52" i="21"/>
  <c r="X52" i="21" s="1"/>
  <c r="U52" i="21"/>
  <c r="S52" i="21"/>
  <c r="Q52" i="21"/>
  <c r="R52" i="21" s="1"/>
  <c r="P52" i="21"/>
  <c r="O52" i="21"/>
  <c r="N52" i="21"/>
  <c r="M52" i="21"/>
  <c r="L52" i="21"/>
  <c r="K52" i="21"/>
  <c r="J52" i="21"/>
  <c r="I52" i="21"/>
  <c r="H52" i="21"/>
  <c r="G52" i="21"/>
  <c r="F52" i="21"/>
  <c r="E52" i="21"/>
  <c r="D52" i="21"/>
  <c r="C52" i="21"/>
  <c r="B52" i="21"/>
  <c r="A52" i="21"/>
  <c r="BG51" i="21"/>
  <c r="BE51" i="21"/>
  <c r="BF51" i="21" s="1"/>
  <c r="AW51" i="21"/>
  <c r="AX51" i="21" s="1"/>
  <c r="AU51" i="21"/>
  <c r="AV51" i="21" s="1"/>
  <c r="AS51" i="21"/>
  <c r="AQ51" i="21"/>
  <c r="AR51" i="21" s="1"/>
  <c r="AO51" i="21"/>
  <c r="AP51" i="21" s="1"/>
  <c r="AM51" i="21"/>
  <c r="AK51" i="21"/>
  <c r="AL51" i="21" s="1"/>
  <c r="AG51" i="21"/>
  <c r="AH51" i="21" s="1"/>
  <c r="AE51" i="21"/>
  <c r="AF51" i="21" s="1"/>
  <c r="AC51" i="21"/>
  <c r="AD51" i="21" s="1"/>
  <c r="AA51" i="21"/>
  <c r="W51" i="21"/>
  <c r="U51" i="21"/>
  <c r="V51" i="21" s="1"/>
  <c r="S51" i="21"/>
  <c r="Q51" i="21"/>
  <c r="R51" i="21" s="1"/>
  <c r="P51" i="21"/>
  <c r="O51" i="21"/>
  <c r="N51" i="21"/>
  <c r="M51" i="21"/>
  <c r="L51" i="21"/>
  <c r="K51" i="21"/>
  <c r="J51" i="21"/>
  <c r="I51" i="21"/>
  <c r="H51" i="21"/>
  <c r="G51" i="21"/>
  <c r="F51" i="21"/>
  <c r="E51" i="21"/>
  <c r="D51" i="21"/>
  <c r="C51" i="21"/>
  <c r="B51" i="21"/>
  <c r="A51" i="21"/>
  <c r="BG50" i="21"/>
  <c r="BH50" i="21" s="1"/>
  <c r="BE50" i="21"/>
  <c r="BF50" i="21" s="1"/>
  <c r="AW50" i="21"/>
  <c r="AX50" i="21" s="1"/>
  <c r="AU50" i="21"/>
  <c r="AV50" i="21" s="1"/>
  <c r="AS50" i="21"/>
  <c r="AT50" i="21" s="1"/>
  <c r="AQ50" i="21"/>
  <c r="AO50" i="21"/>
  <c r="AP50" i="21" s="1"/>
  <c r="AM50" i="21"/>
  <c r="AN50" i="21" s="1"/>
  <c r="AK50" i="21"/>
  <c r="AL50" i="21" s="1"/>
  <c r="AG50" i="21"/>
  <c r="AH50" i="21" s="1"/>
  <c r="AE50" i="21"/>
  <c r="AC50" i="21"/>
  <c r="AA50" i="21"/>
  <c r="AB50" i="21" s="1"/>
  <c r="W50" i="21"/>
  <c r="U50" i="21"/>
  <c r="V50" i="21" s="1"/>
  <c r="S50" i="21"/>
  <c r="T50" i="21" s="1"/>
  <c r="Q50" i="21"/>
  <c r="R50" i="21" s="1"/>
  <c r="P50" i="21"/>
  <c r="O50" i="21"/>
  <c r="N50" i="21"/>
  <c r="M50" i="21"/>
  <c r="L50" i="21"/>
  <c r="K50" i="21"/>
  <c r="J50" i="21"/>
  <c r="I50" i="21"/>
  <c r="H50" i="21"/>
  <c r="G50" i="21"/>
  <c r="F50" i="21"/>
  <c r="E50" i="21"/>
  <c r="D50" i="21"/>
  <c r="C50" i="21"/>
  <c r="B50" i="21"/>
  <c r="A50" i="21"/>
  <c r="BG49" i="21"/>
  <c r="BH49" i="21" s="1"/>
  <c r="BE49" i="21"/>
  <c r="AW49" i="21"/>
  <c r="AX49" i="21" s="1"/>
  <c r="AU49" i="21"/>
  <c r="AS49" i="21"/>
  <c r="AT49" i="21" s="1"/>
  <c r="AQ49" i="21"/>
  <c r="AR49" i="21" s="1"/>
  <c r="AO49" i="21"/>
  <c r="AP49" i="21" s="1"/>
  <c r="AM49" i="21"/>
  <c r="AN49" i="21" s="1"/>
  <c r="AK49" i="21"/>
  <c r="AG49" i="21"/>
  <c r="AE49" i="21"/>
  <c r="AF49" i="21" s="1"/>
  <c r="AC49" i="21"/>
  <c r="AA49" i="21"/>
  <c r="AB49" i="21" s="1"/>
  <c r="W49" i="21"/>
  <c r="X49" i="21" s="1"/>
  <c r="U49" i="21"/>
  <c r="V49" i="21" s="1"/>
  <c r="S49" i="21"/>
  <c r="T49" i="21" s="1"/>
  <c r="Q49" i="21"/>
  <c r="P49" i="21"/>
  <c r="O49" i="21"/>
  <c r="N49" i="21"/>
  <c r="M49" i="21"/>
  <c r="L49" i="21"/>
  <c r="K49" i="21"/>
  <c r="J49" i="21"/>
  <c r="I49" i="21"/>
  <c r="H49" i="21"/>
  <c r="G49" i="21"/>
  <c r="F49" i="21"/>
  <c r="E49" i="21"/>
  <c r="D49" i="21"/>
  <c r="C49" i="21"/>
  <c r="B49" i="21"/>
  <c r="A49" i="21"/>
  <c r="BG48" i="21"/>
  <c r="BH48" i="21" s="1"/>
  <c r="BE48" i="21"/>
  <c r="BF48" i="21" s="1"/>
  <c r="AW48" i="21"/>
  <c r="AU48" i="21"/>
  <c r="AV48" i="21" s="1"/>
  <c r="AS48" i="21"/>
  <c r="AT48" i="21" s="1"/>
  <c r="AQ48" i="21"/>
  <c r="AR48" i="21" s="1"/>
  <c r="AO48" i="21"/>
  <c r="AM48" i="21"/>
  <c r="AK48" i="21"/>
  <c r="AL48" i="21" s="1"/>
  <c r="AG48" i="21"/>
  <c r="AE48" i="21"/>
  <c r="AF48" i="21" s="1"/>
  <c r="AC48" i="21"/>
  <c r="AD48" i="21" s="1"/>
  <c r="AA48" i="21"/>
  <c r="AB48" i="21" s="1"/>
  <c r="W48" i="21"/>
  <c r="X48" i="21" s="1"/>
  <c r="U48" i="21"/>
  <c r="S48" i="21"/>
  <c r="T48" i="21" s="1"/>
  <c r="Q48" i="21"/>
  <c r="R48" i="21" s="1"/>
  <c r="P48" i="21"/>
  <c r="O48" i="21"/>
  <c r="N48" i="21"/>
  <c r="M48" i="21"/>
  <c r="L48" i="21"/>
  <c r="K48" i="21"/>
  <c r="J48" i="21"/>
  <c r="I48" i="21"/>
  <c r="H48" i="21"/>
  <c r="G48" i="21"/>
  <c r="F48" i="21"/>
  <c r="E48" i="21"/>
  <c r="D48" i="21"/>
  <c r="C48" i="21"/>
  <c r="B48" i="21"/>
  <c r="A48" i="21"/>
  <c r="BG47" i="21"/>
  <c r="BE47" i="21"/>
  <c r="BF47" i="21" s="1"/>
  <c r="AW47" i="21"/>
  <c r="AX47" i="21" s="1"/>
  <c r="AU47" i="21"/>
  <c r="AV47" i="21" s="1"/>
  <c r="AS47" i="21"/>
  <c r="AT47" i="21" s="1"/>
  <c r="AQ47" i="21"/>
  <c r="AO47" i="21"/>
  <c r="AP47" i="21" s="1"/>
  <c r="AM47" i="21"/>
  <c r="AK47" i="21"/>
  <c r="AL47" i="21" s="1"/>
  <c r="AG47" i="21"/>
  <c r="AH47" i="21" s="1"/>
  <c r="AE47" i="21"/>
  <c r="AF47" i="21" s="1"/>
  <c r="AC47" i="21"/>
  <c r="AD47" i="21" s="1"/>
  <c r="AJ47" i="21" s="1"/>
  <c r="AA47" i="21"/>
  <c r="W47" i="21"/>
  <c r="X47" i="21" s="1"/>
  <c r="U47" i="21"/>
  <c r="V47" i="21" s="1"/>
  <c r="S47" i="21"/>
  <c r="Q47" i="21"/>
  <c r="R47" i="21" s="1"/>
  <c r="P47" i="21"/>
  <c r="O47" i="21"/>
  <c r="N47" i="21"/>
  <c r="M47" i="21"/>
  <c r="L47" i="21"/>
  <c r="K47" i="21"/>
  <c r="J47" i="21"/>
  <c r="I47" i="21"/>
  <c r="H47" i="21"/>
  <c r="G47" i="21"/>
  <c r="F47" i="21"/>
  <c r="E47" i="21"/>
  <c r="D47" i="21"/>
  <c r="C47" i="21"/>
  <c r="B47" i="21"/>
  <c r="A47" i="21"/>
  <c r="BG46" i="21"/>
  <c r="BH46" i="21" s="1"/>
  <c r="BE46" i="21"/>
  <c r="BF46" i="21" s="1"/>
  <c r="AW46" i="21"/>
  <c r="AX46" i="21" s="1"/>
  <c r="AU46" i="21"/>
  <c r="AS46" i="21"/>
  <c r="AT46" i="21" s="1"/>
  <c r="AQ46" i="21"/>
  <c r="AO46" i="21"/>
  <c r="AP46" i="21" s="1"/>
  <c r="AM46" i="21"/>
  <c r="AN46" i="21" s="1"/>
  <c r="AK46" i="21"/>
  <c r="AL46" i="21" s="1"/>
  <c r="AG46" i="21"/>
  <c r="AH46" i="21" s="1"/>
  <c r="AE46" i="21"/>
  <c r="AC46" i="21"/>
  <c r="AD46" i="21" s="1"/>
  <c r="AA46" i="21"/>
  <c r="AB46" i="21" s="1"/>
  <c r="W46" i="21"/>
  <c r="U46" i="21"/>
  <c r="V46" i="21" s="1"/>
  <c r="S46" i="21"/>
  <c r="T46" i="21" s="1"/>
  <c r="Q46" i="21"/>
  <c r="R46" i="21" s="1"/>
  <c r="P46" i="21"/>
  <c r="O46" i="21"/>
  <c r="N46" i="21"/>
  <c r="M46" i="21"/>
  <c r="L46" i="21"/>
  <c r="K46" i="21"/>
  <c r="J46" i="21"/>
  <c r="I46" i="21"/>
  <c r="H46" i="21"/>
  <c r="G46" i="21"/>
  <c r="F46" i="21"/>
  <c r="E46" i="21"/>
  <c r="D46" i="21"/>
  <c r="C46" i="21"/>
  <c r="B46" i="21"/>
  <c r="A46" i="21"/>
  <c r="BG45" i="21"/>
  <c r="BH45" i="21" s="1"/>
  <c r="BE45" i="21"/>
  <c r="BF45" i="21" s="1"/>
  <c r="AW45" i="21"/>
  <c r="AX45" i="21" s="1"/>
  <c r="AU45" i="21"/>
  <c r="AS45" i="21"/>
  <c r="AT45" i="21" s="1"/>
  <c r="AQ45" i="21"/>
  <c r="AR45" i="21" s="1"/>
  <c r="AO45" i="21"/>
  <c r="AP45" i="21" s="1"/>
  <c r="AM45" i="21"/>
  <c r="AN45" i="21" s="1"/>
  <c r="AK45" i="21"/>
  <c r="AG45" i="21"/>
  <c r="AH45" i="21" s="1"/>
  <c r="AE45" i="21"/>
  <c r="AF45" i="21" s="1"/>
  <c r="AC45" i="21"/>
  <c r="AA45" i="21"/>
  <c r="AB45" i="21" s="1"/>
  <c r="W45" i="21"/>
  <c r="X45" i="21" s="1"/>
  <c r="U45" i="21"/>
  <c r="V45" i="21" s="1"/>
  <c r="S45" i="21"/>
  <c r="T45" i="21" s="1"/>
  <c r="Q45" i="21"/>
  <c r="P45" i="21"/>
  <c r="O45" i="21"/>
  <c r="N45" i="21"/>
  <c r="M45" i="21"/>
  <c r="L45" i="21"/>
  <c r="K45" i="21"/>
  <c r="J45" i="21"/>
  <c r="I45" i="21"/>
  <c r="H45" i="21"/>
  <c r="G45" i="21"/>
  <c r="F45" i="21"/>
  <c r="E45" i="21"/>
  <c r="D45" i="21"/>
  <c r="C45" i="21"/>
  <c r="B45" i="21"/>
  <c r="A45" i="21"/>
  <c r="BG44" i="21"/>
  <c r="BE44" i="21"/>
  <c r="BF44" i="21" s="1"/>
  <c r="AW44" i="21"/>
  <c r="AX44" i="21" s="1"/>
  <c r="AU44" i="21"/>
  <c r="AV44" i="21" s="1"/>
  <c r="AS44" i="21"/>
  <c r="AT44" i="21" s="1"/>
  <c r="AQ44" i="21"/>
  <c r="AR44" i="21" s="1"/>
  <c r="AO44" i="21"/>
  <c r="AM44" i="21"/>
  <c r="AN44" i="21" s="1"/>
  <c r="AK44" i="21"/>
  <c r="AL44" i="21" s="1"/>
  <c r="AG44" i="21"/>
  <c r="AE44" i="21"/>
  <c r="AF44" i="21" s="1"/>
  <c r="AC44" i="21"/>
  <c r="AD44" i="21" s="1"/>
  <c r="AA44" i="21"/>
  <c r="AB44" i="21" s="1"/>
  <c r="W44" i="21"/>
  <c r="X44" i="21" s="1"/>
  <c r="U44" i="21"/>
  <c r="S44" i="21"/>
  <c r="T44" i="21" s="1"/>
  <c r="Q44" i="21"/>
  <c r="R44" i="21" s="1"/>
  <c r="P44" i="21"/>
  <c r="O44" i="21"/>
  <c r="N44" i="21"/>
  <c r="M44" i="21"/>
  <c r="L44" i="21"/>
  <c r="K44" i="21"/>
  <c r="J44" i="21"/>
  <c r="I44" i="21"/>
  <c r="H44" i="21"/>
  <c r="G44" i="21"/>
  <c r="F44" i="21"/>
  <c r="E44" i="21"/>
  <c r="D44" i="21"/>
  <c r="C44" i="21"/>
  <c r="B44" i="21"/>
  <c r="A44" i="21"/>
  <c r="BG43" i="21"/>
  <c r="BE43" i="21"/>
  <c r="BF43" i="21" s="1"/>
  <c r="AW43" i="21"/>
  <c r="AX43" i="21" s="1"/>
  <c r="AU43" i="21"/>
  <c r="AV43" i="21" s="1"/>
  <c r="AS43" i="21"/>
  <c r="AQ43" i="21"/>
  <c r="AR43" i="21" s="1"/>
  <c r="AO43" i="21"/>
  <c r="AP43" i="21" s="1"/>
  <c r="AM43" i="21"/>
  <c r="AK43" i="21"/>
  <c r="AL43" i="21" s="1"/>
  <c r="AG43" i="21"/>
  <c r="AH43" i="21" s="1"/>
  <c r="AE43" i="21"/>
  <c r="AF43" i="21" s="1"/>
  <c r="AC43" i="21"/>
  <c r="AD43" i="21" s="1"/>
  <c r="AA43" i="21"/>
  <c r="W43" i="21"/>
  <c r="X43" i="21" s="1"/>
  <c r="U43" i="21"/>
  <c r="V43" i="21" s="1"/>
  <c r="S43" i="21"/>
  <c r="Q43" i="21"/>
  <c r="R43" i="21" s="1"/>
  <c r="P43" i="21"/>
  <c r="O43" i="21"/>
  <c r="N43" i="21"/>
  <c r="M43" i="21"/>
  <c r="L43" i="21"/>
  <c r="K43" i="21"/>
  <c r="J43" i="21"/>
  <c r="I43" i="21"/>
  <c r="H43" i="21"/>
  <c r="G43" i="21"/>
  <c r="F43" i="21"/>
  <c r="E43" i="21"/>
  <c r="D43" i="21"/>
  <c r="C43" i="21"/>
  <c r="B43" i="21"/>
  <c r="A43" i="21"/>
  <c r="BG42" i="21"/>
  <c r="BH42" i="21" s="1"/>
  <c r="BE42" i="21"/>
  <c r="BF42" i="21" s="1"/>
  <c r="AW42" i="21"/>
  <c r="AX42" i="21" s="1"/>
  <c r="AU42" i="21"/>
  <c r="AV42" i="21" s="1"/>
  <c r="AS42" i="21"/>
  <c r="AT42" i="21" s="1"/>
  <c r="AQ42" i="21"/>
  <c r="AO42" i="21"/>
  <c r="AP42" i="21" s="1"/>
  <c r="AM42" i="21"/>
  <c r="AN42" i="21" s="1"/>
  <c r="AK42" i="21"/>
  <c r="AL42" i="21" s="1"/>
  <c r="AG42" i="21"/>
  <c r="AH42" i="21" s="1"/>
  <c r="AE42" i="21"/>
  <c r="AC42" i="21"/>
  <c r="AD42" i="21" s="1"/>
  <c r="AA42" i="21"/>
  <c r="AB42" i="21" s="1"/>
  <c r="W42" i="21"/>
  <c r="U42" i="21"/>
  <c r="V42" i="21" s="1"/>
  <c r="S42" i="21"/>
  <c r="T42" i="21" s="1"/>
  <c r="Q42" i="21"/>
  <c r="R42" i="21" s="1"/>
  <c r="P42" i="21"/>
  <c r="O42" i="21"/>
  <c r="N42" i="21"/>
  <c r="M42" i="21"/>
  <c r="L42" i="21"/>
  <c r="K42" i="21"/>
  <c r="J42" i="21"/>
  <c r="I42" i="21"/>
  <c r="H42" i="21"/>
  <c r="G42" i="21"/>
  <c r="F42" i="21"/>
  <c r="E42" i="21"/>
  <c r="D42" i="21"/>
  <c r="C42" i="21"/>
  <c r="B42" i="21"/>
  <c r="A42" i="21"/>
  <c r="BG41" i="21"/>
  <c r="BH41" i="21" s="1"/>
  <c r="BE41" i="21"/>
  <c r="AW41" i="21"/>
  <c r="AX41" i="21" s="1"/>
  <c r="AU41" i="21"/>
  <c r="AS41" i="21"/>
  <c r="AT41" i="21" s="1"/>
  <c r="AQ41" i="21"/>
  <c r="AR41" i="21" s="1"/>
  <c r="AO41" i="21"/>
  <c r="AP41" i="21" s="1"/>
  <c r="AM41" i="21"/>
  <c r="AN41" i="21" s="1"/>
  <c r="AK41" i="21"/>
  <c r="AG41" i="21"/>
  <c r="AH41" i="21" s="1"/>
  <c r="AE41" i="21"/>
  <c r="AF41" i="21" s="1"/>
  <c r="AC41" i="21"/>
  <c r="AA41" i="21"/>
  <c r="AB41" i="21" s="1"/>
  <c r="W41" i="21"/>
  <c r="X41" i="21" s="1"/>
  <c r="U41" i="21"/>
  <c r="V41" i="21" s="1"/>
  <c r="S41" i="21"/>
  <c r="T41" i="21" s="1"/>
  <c r="Q41" i="21"/>
  <c r="P41" i="21"/>
  <c r="O41" i="21"/>
  <c r="N41" i="21"/>
  <c r="M41" i="21"/>
  <c r="L41" i="21"/>
  <c r="K41" i="21"/>
  <c r="J41" i="21"/>
  <c r="I41" i="21"/>
  <c r="H41" i="21"/>
  <c r="G41" i="21"/>
  <c r="F41" i="21"/>
  <c r="E41" i="21"/>
  <c r="D41" i="21"/>
  <c r="C41" i="21"/>
  <c r="B41" i="21"/>
  <c r="A41" i="21"/>
  <c r="BG40" i="21"/>
  <c r="BH40" i="21" s="1"/>
  <c r="BE40" i="21"/>
  <c r="BF40" i="21" s="1"/>
  <c r="AW40" i="21"/>
  <c r="AU40" i="21"/>
  <c r="AV40" i="21" s="1"/>
  <c r="AS40" i="21"/>
  <c r="AT40" i="21" s="1"/>
  <c r="AQ40" i="21"/>
  <c r="AR40" i="21" s="1"/>
  <c r="AO40" i="21"/>
  <c r="AM40" i="21"/>
  <c r="AN40" i="21" s="1"/>
  <c r="AK40" i="21"/>
  <c r="AL40" i="21" s="1"/>
  <c r="AG40" i="21"/>
  <c r="AE40" i="21"/>
  <c r="AF40" i="21" s="1"/>
  <c r="AC40" i="21"/>
  <c r="AD40" i="21" s="1"/>
  <c r="AA40" i="21"/>
  <c r="AB40" i="21" s="1"/>
  <c r="W40" i="21"/>
  <c r="X40" i="21" s="1"/>
  <c r="U40" i="21"/>
  <c r="S40" i="21"/>
  <c r="T40" i="21" s="1"/>
  <c r="Q40" i="21"/>
  <c r="R40" i="21" s="1"/>
  <c r="P40" i="21"/>
  <c r="O40" i="21"/>
  <c r="N40" i="21"/>
  <c r="M40" i="21"/>
  <c r="L40" i="21"/>
  <c r="K40" i="21"/>
  <c r="J40" i="21"/>
  <c r="I40" i="21"/>
  <c r="H40" i="21"/>
  <c r="G40" i="21"/>
  <c r="F40" i="21"/>
  <c r="E40" i="21"/>
  <c r="D40" i="21"/>
  <c r="C40" i="21"/>
  <c r="B40" i="21"/>
  <c r="A40" i="21"/>
  <c r="BG39" i="21"/>
  <c r="BE39" i="21"/>
  <c r="BF39" i="21" s="1"/>
  <c r="AW39" i="21"/>
  <c r="AX39" i="21" s="1"/>
  <c r="AU39" i="21"/>
  <c r="AV39" i="21" s="1"/>
  <c r="AS39" i="21"/>
  <c r="AT39" i="21" s="1"/>
  <c r="AQ39" i="21"/>
  <c r="AR39" i="21" s="1"/>
  <c r="AO39" i="21"/>
  <c r="AP39" i="21" s="1"/>
  <c r="AM39" i="21"/>
  <c r="AK39" i="21"/>
  <c r="AL39" i="21" s="1"/>
  <c r="AG39" i="21"/>
  <c r="AH39" i="21" s="1"/>
  <c r="AE39" i="21"/>
  <c r="AF39" i="21" s="1"/>
  <c r="AC39" i="21"/>
  <c r="AD39" i="21" s="1"/>
  <c r="AA39" i="21"/>
  <c r="AB39" i="21" s="1"/>
  <c r="W39" i="21"/>
  <c r="X39" i="21" s="1"/>
  <c r="U39" i="21"/>
  <c r="V39" i="21" s="1"/>
  <c r="S39" i="21"/>
  <c r="Q39" i="21"/>
  <c r="R39" i="21" s="1"/>
  <c r="P39" i="21"/>
  <c r="O39" i="21"/>
  <c r="N39" i="21"/>
  <c r="M39" i="21"/>
  <c r="L39" i="21"/>
  <c r="K39" i="21"/>
  <c r="J39" i="21"/>
  <c r="I39" i="21"/>
  <c r="H39" i="21"/>
  <c r="G39" i="21"/>
  <c r="F39" i="21"/>
  <c r="E39" i="21"/>
  <c r="D39" i="21"/>
  <c r="C39" i="21"/>
  <c r="B39" i="21"/>
  <c r="A39" i="21"/>
  <c r="BG38" i="21"/>
  <c r="BH38" i="21" s="1"/>
  <c r="BE38" i="21"/>
  <c r="BF38" i="21" s="1"/>
  <c r="AW38" i="21"/>
  <c r="AX38" i="21" s="1"/>
  <c r="AU38" i="21"/>
  <c r="AV38" i="21" s="1"/>
  <c r="AS38" i="21"/>
  <c r="AT38" i="21" s="1"/>
  <c r="AQ38" i="21"/>
  <c r="AO38" i="21"/>
  <c r="AP38" i="21" s="1"/>
  <c r="AM38" i="21"/>
  <c r="AN38" i="21" s="1"/>
  <c r="AK38" i="21"/>
  <c r="AL38" i="21" s="1"/>
  <c r="AG38" i="21"/>
  <c r="AH38" i="21" s="1"/>
  <c r="AE38" i="21"/>
  <c r="AC38" i="21"/>
  <c r="AD38" i="21" s="1"/>
  <c r="AA38" i="21"/>
  <c r="AB38" i="21" s="1"/>
  <c r="W38" i="21"/>
  <c r="U38" i="21"/>
  <c r="V38" i="21" s="1"/>
  <c r="S38" i="21"/>
  <c r="T38" i="21" s="1"/>
  <c r="Q38" i="21"/>
  <c r="R38" i="21" s="1"/>
  <c r="P38" i="21"/>
  <c r="O38" i="21"/>
  <c r="N38" i="21"/>
  <c r="M38" i="21"/>
  <c r="L38" i="21"/>
  <c r="K38" i="21"/>
  <c r="J38" i="21"/>
  <c r="I38" i="21"/>
  <c r="H38" i="21"/>
  <c r="G38" i="21"/>
  <c r="F38" i="21"/>
  <c r="E38" i="21"/>
  <c r="D38" i="21"/>
  <c r="C38" i="21"/>
  <c r="B38" i="21"/>
  <c r="A38" i="21"/>
  <c r="BG37" i="21"/>
  <c r="BH37" i="21" s="1"/>
  <c r="BE37" i="21"/>
  <c r="BF37" i="21" s="1"/>
  <c r="AW37" i="21"/>
  <c r="AX37" i="21" s="1"/>
  <c r="AU37" i="21"/>
  <c r="AS37" i="21"/>
  <c r="AT37" i="21" s="1"/>
  <c r="AQ37" i="21"/>
  <c r="AR37" i="21" s="1"/>
  <c r="AO37" i="21"/>
  <c r="AP37" i="21" s="1"/>
  <c r="AM37" i="21"/>
  <c r="AN37" i="21" s="1"/>
  <c r="AK37" i="21"/>
  <c r="AL37" i="21" s="1"/>
  <c r="AG37" i="21"/>
  <c r="AH37" i="21" s="1"/>
  <c r="AE37" i="21"/>
  <c r="AF37" i="21" s="1"/>
  <c r="AC37" i="21"/>
  <c r="AA37" i="21"/>
  <c r="AB37" i="21" s="1"/>
  <c r="W37" i="21"/>
  <c r="X37" i="21" s="1"/>
  <c r="U37" i="21"/>
  <c r="V37" i="21" s="1"/>
  <c r="S37" i="21"/>
  <c r="T37" i="21" s="1"/>
  <c r="Q37" i="21"/>
  <c r="R37" i="21" s="1"/>
  <c r="P37" i="21"/>
  <c r="O37" i="21"/>
  <c r="N37" i="21"/>
  <c r="M37" i="21"/>
  <c r="L37" i="21"/>
  <c r="K37" i="21"/>
  <c r="J37" i="21"/>
  <c r="I37" i="21"/>
  <c r="H37" i="21"/>
  <c r="G37" i="21"/>
  <c r="F37" i="21"/>
  <c r="E37" i="21"/>
  <c r="D37" i="21"/>
  <c r="C37" i="21"/>
  <c r="B37" i="21"/>
  <c r="A37" i="21"/>
  <c r="BG36" i="21"/>
  <c r="BH36" i="21" s="1"/>
  <c r="BE36" i="21"/>
  <c r="BF36" i="21" s="1"/>
  <c r="AW36" i="21"/>
  <c r="AX36" i="21" s="1"/>
  <c r="AU36" i="21"/>
  <c r="AV36" i="21" s="1"/>
  <c r="AS36" i="21"/>
  <c r="AT36" i="21" s="1"/>
  <c r="AQ36" i="21"/>
  <c r="AR36" i="21" s="1"/>
  <c r="AO36" i="21"/>
  <c r="AM36" i="21"/>
  <c r="AN36" i="21" s="1"/>
  <c r="AK36" i="21"/>
  <c r="AL36" i="21" s="1"/>
  <c r="AG36" i="21"/>
  <c r="AE36" i="21"/>
  <c r="AF36" i="21" s="1"/>
  <c r="AC36" i="21"/>
  <c r="AD36" i="21" s="1"/>
  <c r="AA36" i="21"/>
  <c r="AB36" i="21" s="1"/>
  <c r="W36" i="21"/>
  <c r="X36" i="21" s="1"/>
  <c r="U36" i="21"/>
  <c r="V36" i="21" s="1"/>
  <c r="S36" i="21"/>
  <c r="T36" i="21" s="1"/>
  <c r="Q36" i="21"/>
  <c r="R36" i="21" s="1"/>
  <c r="P36" i="21"/>
  <c r="O36" i="21"/>
  <c r="N36" i="21"/>
  <c r="M36" i="21"/>
  <c r="L36" i="21"/>
  <c r="K36" i="21"/>
  <c r="J36" i="21"/>
  <c r="I36" i="21"/>
  <c r="H36" i="21"/>
  <c r="G36" i="21"/>
  <c r="F36" i="21"/>
  <c r="E36" i="21"/>
  <c r="D36" i="21"/>
  <c r="C36" i="21"/>
  <c r="B36" i="21"/>
  <c r="A36" i="21"/>
  <c r="BG35" i="21"/>
  <c r="BE35" i="21"/>
  <c r="BF35" i="21" s="1"/>
  <c r="AW35" i="21"/>
  <c r="AX35" i="21" s="1"/>
  <c r="AU35" i="21"/>
  <c r="AV35" i="21" s="1"/>
  <c r="AS35" i="21"/>
  <c r="AT35" i="21" s="1"/>
  <c r="AQ35" i="21"/>
  <c r="AR35" i="21" s="1"/>
  <c r="AO35" i="21"/>
  <c r="AP35" i="21" s="1"/>
  <c r="AM35" i="21"/>
  <c r="AK35" i="21"/>
  <c r="AL35" i="21" s="1"/>
  <c r="AG35" i="21"/>
  <c r="AH35" i="21" s="1"/>
  <c r="AE35" i="21"/>
  <c r="AF35" i="21" s="1"/>
  <c r="AC35" i="21"/>
  <c r="AD35" i="21" s="1"/>
  <c r="AA35" i="21"/>
  <c r="AB35" i="21" s="1"/>
  <c r="W35" i="21"/>
  <c r="X35" i="21" s="1"/>
  <c r="U35" i="21"/>
  <c r="V35" i="21" s="1"/>
  <c r="S35" i="21"/>
  <c r="Q35" i="21"/>
  <c r="R35" i="21" s="1"/>
  <c r="P35" i="21"/>
  <c r="O35" i="21"/>
  <c r="N35" i="21"/>
  <c r="M35" i="21"/>
  <c r="L35" i="21"/>
  <c r="K35" i="21"/>
  <c r="J35" i="21"/>
  <c r="I35" i="21"/>
  <c r="H35" i="21"/>
  <c r="G35" i="21"/>
  <c r="F35" i="21"/>
  <c r="E35" i="21"/>
  <c r="D35" i="21"/>
  <c r="C35" i="21"/>
  <c r="B35" i="21"/>
  <c r="A35" i="21"/>
  <c r="BG34" i="21"/>
  <c r="BH34" i="21" s="1"/>
  <c r="BE34" i="21"/>
  <c r="BF34" i="21" s="1"/>
  <c r="AW34" i="21"/>
  <c r="AX34" i="21" s="1"/>
  <c r="AU34" i="21"/>
  <c r="AV34" i="21" s="1"/>
  <c r="AS34" i="21"/>
  <c r="AT34" i="21" s="1"/>
  <c r="AQ34" i="21"/>
  <c r="AO34" i="21"/>
  <c r="AP34" i="21" s="1"/>
  <c r="AM34" i="21"/>
  <c r="AN34" i="21" s="1"/>
  <c r="AK34" i="21"/>
  <c r="AL34" i="21" s="1"/>
  <c r="AG34" i="21"/>
  <c r="AH34" i="21" s="1"/>
  <c r="AE34" i="21"/>
  <c r="AF34" i="21" s="1"/>
  <c r="AC34" i="21"/>
  <c r="AD34" i="21" s="1"/>
  <c r="AA34" i="21"/>
  <c r="AB34" i="21" s="1"/>
  <c r="W34" i="21"/>
  <c r="U34" i="21"/>
  <c r="V34" i="21" s="1"/>
  <c r="S34" i="21"/>
  <c r="T34" i="21" s="1"/>
  <c r="Q34" i="21"/>
  <c r="R34" i="21" s="1"/>
  <c r="P34" i="21"/>
  <c r="O34" i="21"/>
  <c r="N34" i="21"/>
  <c r="M34" i="21"/>
  <c r="L34" i="21"/>
  <c r="K34" i="21"/>
  <c r="J34" i="21"/>
  <c r="I34" i="21"/>
  <c r="H34" i="21"/>
  <c r="G34" i="21"/>
  <c r="F34" i="21"/>
  <c r="E34" i="21"/>
  <c r="D34" i="21"/>
  <c r="C34" i="21"/>
  <c r="B34" i="21"/>
  <c r="A34" i="21"/>
  <c r="BG33" i="21"/>
  <c r="BH33" i="21" s="1"/>
  <c r="BE33" i="21"/>
  <c r="BF33" i="21" s="1"/>
  <c r="AW33" i="21"/>
  <c r="AX33" i="21" s="1"/>
  <c r="AU33" i="21"/>
  <c r="AS33" i="21"/>
  <c r="AT33" i="21" s="1"/>
  <c r="AQ33" i="21"/>
  <c r="AR33" i="21" s="1"/>
  <c r="AO33" i="21"/>
  <c r="AP33" i="21" s="1"/>
  <c r="AM33" i="21"/>
  <c r="AN33" i="21" s="1"/>
  <c r="AK33" i="21"/>
  <c r="AL33" i="21" s="1"/>
  <c r="AG33" i="21"/>
  <c r="AH33" i="21" s="1"/>
  <c r="AE33" i="21"/>
  <c r="AF33" i="21" s="1"/>
  <c r="AC33" i="21"/>
  <c r="AA33" i="21"/>
  <c r="AB33" i="21" s="1"/>
  <c r="W33" i="21"/>
  <c r="X33" i="21" s="1"/>
  <c r="U33" i="21"/>
  <c r="V33" i="21" s="1"/>
  <c r="S33" i="21"/>
  <c r="T33" i="21" s="1"/>
  <c r="Q33" i="21"/>
  <c r="P33" i="21"/>
  <c r="O33" i="21"/>
  <c r="N33" i="21"/>
  <c r="M33" i="21"/>
  <c r="L33" i="21"/>
  <c r="K33" i="21"/>
  <c r="J33" i="21"/>
  <c r="I33" i="21"/>
  <c r="H33" i="21"/>
  <c r="G33" i="21"/>
  <c r="F33" i="21"/>
  <c r="E33" i="21"/>
  <c r="D33" i="21"/>
  <c r="C33" i="21"/>
  <c r="B33" i="21"/>
  <c r="A33" i="21"/>
  <c r="BG32" i="21"/>
  <c r="BH32" i="21" s="1"/>
  <c r="BE32" i="21"/>
  <c r="BF32" i="21" s="1"/>
  <c r="AW32" i="21"/>
  <c r="AX32" i="21" s="1"/>
  <c r="AU32" i="21"/>
  <c r="AV32" i="21" s="1"/>
  <c r="AS32" i="21"/>
  <c r="AT32" i="21" s="1"/>
  <c r="AQ32" i="21"/>
  <c r="AR32" i="21" s="1"/>
  <c r="AO32" i="21"/>
  <c r="AP32" i="21" s="1"/>
  <c r="AM32" i="21"/>
  <c r="AN32" i="21" s="1"/>
  <c r="AK32" i="21"/>
  <c r="AL32" i="21" s="1"/>
  <c r="AG32" i="21"/>
  <c r="AE32" i="21"/>
  <c r="AF32" i="21" s="1"/>
  <c r="AC32" i="21"/>
  <c r="AD32" i="21" s="1"/>
  <c r="AA32" i="21"/>
  <c r="AB32" i="21" s="1"/>
  <c r="W32" i="21"/>
  <c r="X32" i="21" s="1"/>
  <c r="U32" i="21"/>
  <c r="V32" i="21" s="1"/>
  <c r="S32" i="21"/>
  <c r="T32" i="21" s="1"/>
  <c r="Q32" i="21"/>
  <c r="R32" i="21" s="1"/>
  <c r="P32" i="21"/>
  <c r="O32" i="21"/>
  <c r="N32" i="21"/>
  <c r="M32" i="21"/>
  <c r="L32" i="21"/>
  <c r="K32" i="21"/>
  <c r="J32" i="21"/>
  <c r="I32" i="21"/>
  <c r="H32" i="21"/>
  <c r="G32" i="21"/>
  <c r="F32" i="21"/>
  <c r="E32" i="21"/>
  <c r="D32" i="21"/>
  <c r="C32" i="21"/>
  <c r="B32" i="21"/>
  <c r="A32" i="21"/>
  <c r="BG31" i="21"/>
  <c r="BE31" i="21"/>
  <c r="BF31" i="21" s="1"/>
  <c r="AW31" i="21"/>
  <c r="AX31" i="21" s="1"/>
  <c r="AU31" i="21"/>
  <c r="AV31" i="21" s="1"/>
  <c r="AS31" i="21"/>
  <c r="AT31" i="21" s="1"/>
  <c r="AQ31" i="21"/>
  <c r="AR31" i="21" s="1"/>
  <c r="AO31" i="21"/>
  <c r="AP31" i="21" s="1"/>
  <c r="AM31" i="21"/>
  <c r="AK31" i="21"/>
  <c r="AL31" i="21" s="1"/>
  <c r="AG31" i="21"/>
  <c r="AH31" i="21" s="1"/>
  <c r="AE31" i="21"/>
  <c r="AF31" i="21" s="1"/>
  <c r="AC31" i="21"/>
  <c r="AD31" i="21" s="1"/>
  <c r="AA31" i="21"/>
  <c r="W31" i="21"/>
  <c r="X31" i="21" s="1"/>
  <c r="U31" i="21"/>
  <c r="V31" i="21" s="1"/>
  <c r="S31" i="21"/>
  <c r="Q31" i="21"/>
  <c r="R31" i="21" s="1"/>
  <c r="P31" i="21"/>
  <c r="O31" i="21"/>
  <c r="N31" i="21"/>
  <c r="M31" i="21"/>
  <c r="L31" i="21"/>
  <c r="K31" i="21"/>
  <c r="J31" i="21"/>
  <c r="I31" i="21"/>
  <c r="H31" i="21"/>
  <c r="G31" i="21"/>
  <c r="F31" i="21"/>
  <c r="E31" i="21"/>
  <c r="D31" i="21"/>
  <c r="C31" i="21"/>
  <c r="B31" i="21"/>
  <c r="A31" i="21"/>
  <c r="BG30" i="21"/>
  <c r="BH30" i="21" s="1"/>
  <c r="BE30" i="21"/>
  <c r="BF30" i="21" s="1"/>
  <c r="AW30" i="21"/>
  <c r="AX30" i="21" s="1"/>
  <c r="AU30" i="21"/>
  <c r="AV30" i="21" s="1"/>
  <c r="AS30" i="21"/>
  <c r="AT30" i="21" s="1"/>
  <c r="AQ30" i="21"/>
  <c r="AO30" i="21"/>
  <c r="AP30" i="21" s="1"/>
  <c r="AM30" i="21"/>
  <c r="AN30" i="21" s="1"/>
  <c r="AK30" i="21"/>
  <c r="AL30" i="21" s="1"/>
  <c r="AG30" i="21"/>
  <c r="AH30" i="21" s="1"/>
  <c r="AE30" i="21"/>
  <c r="AF30" i="21" s="1"/>
  <c r="AC30" i="21"/>
  <c r="AD30" i="21" s="1"/>
  <c r="AA30" i="21"/>
  <c r="AB30" i="21" s="1"/>
  <c r="W30" i="21"/>
  <c r="U30" i="21"/>
  <c r="V30" i="21" s="1"/>
  <c r="S30" i="21"/>
  <c r="T30" i="21" s="1"/>
  <c r="Q30" i="21"/>
  <c r="R30" i="21" s="1"/>
  <c r="P30" i="21"/>
  <c r="O30" i="21"/>
  <c r="N30" i="21"/>
  <c r="M30" i="21"/>
  <c r="L30" i="21"/>
  <c r="K30" i="21"/>
  <c r="J30" i="21"/>
  <c r="I30" i="21"/>
  <c r="H30" i="21"/>
  <c r="G30" i="21"/>
  <c r="F30" i="21"/>
  <c r="E30" i="21"/>
  <c r="D30" i="21"/>
  <c r="C30" i="21"/>
  <c r="B30" i="21"/>
  <c r="A30" i="21"/>
  <c r="BG29" i="21"/>
  <c r="BH29" i="21" s="1"/>
  <c r="BE29" i="21"/>
  <c r="BF29" i="21" s="1"/>
  <c r="AW29" i="21"/>
  <c r="AX29" i="21" s="1"/>
  <c r="AU29" i="21"/>
  <c r="AS29" i="21"/>
  <c r="AT29" i="21" s="1"/>
  <c r="AQ29" i="21"/>
  <c r="AR29" i="21" s="1"/>
  <c r="AO29" i="21"/>
  <c r="AP29" i="21" s="1"/>
  <c r="AM29" i="21"/>
  <c r="AN29" i="21" s="1"/>
  <c r="AK29" i="21"/>
  <c r="AG29" i="21"/>
  <c r="AH29" i="21" s="1"/>
  <c r="AE29" i="21"/>
  <c r="AF29" i="21" s="1"/>
  <c r="AC29" i="21"/>
  <c r="AA29" i="21"/>
  <c r="AB29" i="21" s="1"/>
  <c r="W29" i="21"/>
  <c r="X29" i="21" s="1"/>
  <c r="U29" i="21"/>
  <c r="V29" i="21" s="1"/>
  <c r="S29" i="21"/>
  <c r="T29" i="21" s="1"/>
  <c r="Q29" i="21"/>
  <c r="R29" i="21" s="1"/>
  <c r="P29" i="21"/>
  <c r="O29" i="21"/>
  <c r="N29" i="21"/>
  <c r="M29" i="21"/>
  <c r="L29" i="21"/>
  <c r="K29" i="21"/>
  <c r="J29" i="21"/>
  <c r="I29" i="21"/>
  <c r="H29" i="21"/>
  <c r="G29" i="21"/>
  <c r="F29" i="21"/>
  <c r="E29" i="21"/>
  <c r="D29" i="21"/>
  <c r="C29" i="21"/>
  <c r="B29" i="21"/>
  <c r="A29" i="21"/>
  <c r="BG28" i="21"/>
  <c r="BH28" i="21" s="1"/>
  <c r="BE28" i="21"/>
  <c r="BF28" i="21" s="1"/>
  <c r="AW28" i="21"/>
  <c r="AX28" i="21" s="1"/>
  <c r="AU28" i="21"/>
  <c r="AV28" i="21" s="1"/>
  <c r="AS28" i="21"/>
  <c r="AT28" i="21" s="1"/>
  <c r="AQ28" i="21"/>
  <c r="AR28" i="21" s="1"/>
  <c r="AO28" i="21"/>
  <c r="AP28" i="21" s="1"/>
  <c r="AM28" i="21"/>
  <c r="AN28" i="21" s="1"/>
  <c r="AK28" i="21"/>
  <c r="AL28" i="21" s="1"/>
  <c r="AG28" i="21"/>
  <c r="AE28" i="21"/>
  <c r="AF28" i="21" s="1"/>
  <c r="AC28" i="21"/>
  <c r="AD28" i="21" s="1"/>
  <c r="AA28" i="21"/>
  <c r="AB28" i="21" s="1"/>
  <c r="W28" i="21"/>
  <c r="X28" i="21" s="1"/>
  <c r="U28" i="21"/>
  <c r="V28" i="21" s="1"/>
  <c r="S28" i="21"/>
  <c r="T28" i="21" s="1"/>
  <c r="Q28" i="21"/>
  <c r="R28" i="21" s="1"/>
  <c r="P28" i="21"/>
  <c r="O28" i="21"/>
  <c r="N28" i="21"/>
  <c r="M28" i="21"/>
  <c r="L28" i="21"/>
  <c r="K28" i="21"/>
  <c r="J28" i="21"/>
  <c r="I28" i="21"/>
  <c r="H28" i="21"/>
  <c r="G28" i="21"/>
  <c r="F28" i="21"/>
  <c r="E28" i="21"/>
  <c r="D28" i="21"/>
  <c r="C28" i="21"/>
  <c r="B28" i="21"/>
  <c r="A28" i="21"/>
  <c r="BG27" i="21"/>
  <c r="BE27" i="21"/>
  <c r="BF27" i="21" s="1"/>
  <c r="AW27" i="21"/>
  <c r="AX27" i="21" s="1"/>
  <c r="AU27" i="21"/>
  <c r="AV27" i="21" s="1"/>
  <c r="AS27" i="21"/>
  <c r="AQ27" i="21"/>
  <c r="AR27" i="21" s="1"/>
  <c r="AO27" i="21"/>
  <c r="AP27" i="21" s="1"/>
  <c r="AM27" i="21"/>
  <c r="AK27" i="21"/>
  <c r="AL27" i="21" s="1"/>
  <c r="AG27" i="21"/>
  <c r="AH27" i="21" s="1"/>
  <c r="AE27" i="21"/>
  <c r="AF27" i="21" s="1"/>
  <c r="AC27" i="21"/>
  <c r="AD27" i="21" s="1"/>
  <c r="AA27" i="21"/>
  <c r="W27" i="21"/>
  <c r="X27" i="21" s="1"/>
  <c r="U27" i="21"/>
  <c r="V27" i="21" s="1"/>
  <c r="S27" i="21"/>
  <c r="Q27" i="21"/>
  <c r="R27" i="21" s="1"/>
  <c r="P27" i="21"/>
  <c r="O27" i="21"/>
  <c r="N27" i="21"/>
  <c r="M27" i="21"/>
  <c r="L27" i="21"/>
  <c r="K27" i="21"/>
  <c r="J27" i="21"/>
  <c r="I27" i="21"/>
  <c r="H27" i="21"/>
  <c r="G27" i="21"/>
  <c r="F27" i="21"/>
  <c r="E27" i="21"/>
  <c r="D27" i="21"/>
  <c r="C27" i="21"/>
  <c r="B27" i="21"/>
  <c r="A27" i="21"/>
  <c r="BG26" i="21"/>
  <c r="BH26" i="21" s="1"/>
  <c r="BE26" i="21"/>
  <c r="BF26" i="21" s="1"/>
  <c r="AW26" i="21"/>
  <c r="AX26" i="21" s="1"/>
  <c r="AU26" i="21"/>
  <c r="AV26" i="21" s="1"/>
  <c r="AS26" i="21"/>
  <c r="AT26" i="21" s="1"/>
  <c r="AQ26" i="21"/>
  <c r="AO26" i="21"/>
  <c r="AP26" i="21" s="1"/>
  <c r="AM26" i="21"/>
  <c r="AN26" i="21" s="1"/>
  <c r="AK26" i="21"/>
  <c r="AL26" i="21" s="1"/>
  <c r="AG26" i="21"/>
  <c r="AH26" i="21" s="1"/>
  <c r="AE26" i="21"/>
  <c r="AF26" i="21" s="1"/>
  <c r="AC26" i="21"/>
  <c r="AD26" i="21" s="1"/>
  <c r="AA26" i="21"/>
  <c r="AB26" i="21" s="1"/>
  <c r="W26" i="21"/>
  <c r="U26" i="21"/>
  <c r="V26" i="21" s="1"/>
  <c r="S26" i="21"/>
  <c r="T26" i="21" s="1"/>
  <c r="Q26" i="21"/>
  <c r="R26" i="21" s="1"/>
  <c r="P26" i="21"/>
  <c r="O26" i="21"/>
  <c r="N26" i="21"/>
  <c r="M26" i="21"/>
  <c r="L26" i="21"/>
  <c r="K26" i="21"/>
  <c r="J26" i="21"/>
  <c r="I26" i="21"/>
  <c r="H26" i="21"/>
  <c r="G26" i="21"/>
  <c r="F26" i="21"/>
  <c r="E26" i="21"/>
  <c r="D26" i="21"/>
  <c r="C26" i="21"/>
  <c r="B26" i="21"/>
  <c r="A26" i="21"/>
  <c r="BG25" i="21"/>
  <c r="BH25" i="21" s="1"/>
  <c r="BE25" i="21"/>
  <c r="AW25" i="21"/>
  <c r="AX25" i="21" s="1"/>
  <c r="AU25" i="21"/>
  <c r="AS25" i="21"/>
  <c r="AT25" i="21" s="1"/>
  <c r="AQ25" i="21"/>
  <c r="AR25" i="21" s="1"/>
  <c r="AO25" i="21"/>
  <c r="AP25" i="21" s="1"/>
  <c r="AM25" i="21"/>
  <c r="AN25" i="21" s="1"/>
  <c r="AK25" i="21"/>
  <c r="AG25" i="21"/>
  <c r="AH25" i="21" s="1"/>
  <c r="AE25" i="21"/>
  <c r="AF25" i="21" s="1"/>
  <c r="AC25" i="21"/>
  <c r="AA25" i="21"/>
  <c r="AB25" i="21" s="1"/>
  <c r="W25" i="21"/>
  <c r="X25" i="21" s="1"/>
  <c r="U25" i="21"/>
  <c r="V25" i="21" s="1"/>
  <c r="S25" i="21"/>
  <c r="T25" i="21" s="1"/>
  <c r="Q25" i="21"/>
  <c r="R25" i="21" s="1"/>
  <c r="P25" i="21"/>
  <c r="O25" i="21"/>
  <c r="N25" i="21"/>
  <c r="M25" i="21"/>
  <c r="L25" i="21"/>
  <c r="K25" i="21"/>
  <c r="J25" i="21"/>
  <c r="I25" i="21"/>
  <c r="H25" i="21"/>
  <c r="G25" i="21"/>
  <c r="F25" i="21"/>
  <c r="E25" i="21"/>
  <c r="D25" i="21"/>
  <c r="C25" i="21"/>
  <c r="B25" i="21"/>
  <c r="A25" i="21"/>
  <c r="BG24" i="21"/>
  <c r="BH24" i="21" s="1"/>
  <c r="BE24" i="21"/>
  <c r="BF24" i="21" s="1"/>
  <c r="AW24" i="21"/>
  <c r="AU24" i="21"/>
  <c r="AV24" i="21" s="1"/>
  <c r="AS24" i="21"/>
  <c r="AT24" i="21" s="1"/>
  <c r="AQ24" i="21"/>
  <c r="AR24" i="21" s="1"/>
  <c r="AO24" i="21"/>
  <c r="AP24" i="21" s="1"/>
  <c r="AM24" i="21"/>
  <c r="AN24" i="21" s="1"/>
  <c r="AK24" i="21"/>
  <c r="AL24" i="21" s="1"/>
  <c r="AG24" i="21"/>
  <c r="AE24" i="21"/>
  <c r="AF24" i="21" s="1"/>
  <c r="AC24" i="21"/>
  <c r="AD24" i="21" s="1"/>
  <c r="AA24" i="21"/>
  <c r="AB24" i="21" s="1"/>
  <c r="W24" i="21"/>
  <c r="X24" i="21" s="1"/>
  <c r="U24" i="21"/>
  <c r="S24" i="21"/>
  <c r="T24" i="21" s="1"/>
  <c r="Q24" i="21"/>
  <c r="R24" i="21" s="1"/>
  <c r="P24" i="21"/>
  <c r="O24" i="21"/>
  <c r="N24" i="21"/>
  <c r="M24" i="21"/>
  <c r="L24" i="21"/>
  <c r="K24" i="21"/>
  <c r="J24" i="21"/>
  <c r="I24" i="21"/>
  <c r="H24" i="21"/>
  <c r="G24" i="21"/>
  <c r="F24" i="21"/>
  <c r="E24" i="21"/>
  <c r="D24" i="21"/>
  <c r="C24" i="21"/>
  <c r="B24" i="21"/>
  <c r="A24" i="21"/>
  <c r="BG23" i="21"/>
  <c r="BE23" i="21"/>
  <c r="BF23" i="21" s="1"/>
  <c r="AW23" i="21"/>
  <c r="AX23" i="21" s="1"/>
  <c r="AU23" i="21"/>
  <c r="AV23" i="21" s="1"/>
  <c r="AS23" i="21"/>
  <c r="AQ23" i="21"/>
  <c r="AR23" i="21" s="1"/>
  <c r="AO23" i="21"/>
  <c r="AP23" i="21" s="1"/>
  <c r="AM23" i="21"/>
  <c r="AK23" i="21"/>
  <c r="AL23" i="21" s="1"/>
  <c r="AG23" i="21"/>
  <c r="AH23" i="21" s="1"/>
  <c r="AE23" i="21"/>
  <c r="AF23" i="21" s="1"/>
  <c r="AC23" i="21"/>
  <c r="AD23" i="21" s="1"/>
  <c r="AA23" i="21"/>
  <c r="AB23" i="21" s="1"/>
  <c r="W23" i="21"/>
  <c r="X23" i="21" s="1"/>
  <c r="U23" i="21"/>
  <c r="V23" i="21" s="1"/>
  <c r="S23" i="21"/>
  <c r="Q23" i="21"/>
  <c r="R23" i="21" s="1"/>
  <c r="P23" i="21"/>
  <c r="O23" i="21"/>
  <c r="N23" i="21"/>
  <c r="M23" i="21"/>
  <c r="L23" i="21"/>
  <c r="K23" i="21"/>
  <c r="J23" i="21"/>
  <c r="I23" i="21"/>
  <c r="H23" i="21"/>
  <c r="G23" i="21"/>
  <c r="F23" i="21"/>
  <c r="E23" i="21"/>
  <c r="D23" i="21"/>
  <c r="C23" i="21"/>
  <c r="B23" i="21"/>
  <c r="A23" i="21"/>
  <c r="BG22" i="21"/>
  <c r="BH22" i="21" s="1"/>
  <c r="BE22" i="21"/>
  <c r="BF22" i="21" s="1"/>
  <c r="AW22" i="21"/>
  <c r="AX22" i="21" s="1"/>
  <c r="AU22" i="21"/>
  <c r="AV22" i="21" s="1"/>
  <c r="AS22" i="21"/>
  <c r="AT22" i="21" s="1"/>
  <c r="AQ22" i="21"/>
  <c r="AO22" i="21"/>
  <c r="AP22" i="21" s="1"/>
  <c r="AM22" i="21"/>
  <c r="AN22" i="21" s="1"/>
  <c r="AK22" i="21"/>
  <c r="AL22" i="21" s="1"/>
  <c r="AG22" i="21"/>
  <c r="AH22" i="21" s="1"/>
  <c r="AE22" i="21"/>
  <c r="AC22" i="21"/>
  <c r="AD22" i="21" s="1"/>
  <c r="AA22" i="21"/>
  <c r="AB22" i="21" s="1"/>
  <c r="W22" i="21"/>
  <c r="U22" i="21"/>
  <c r="V22" i="21" s="1"/>
  <c r="S22" i="21"/>
  <c r="T22" i="21" s="1"/>
  <c r="Q22" i="21"/>
  <c r="R22" i="21" s="1"/>
  <c r="P22" i="21"/>
  <c r="O22" i="21"/>
  <c r="N22" i="21"/>
  <c r="M22" i="21"/>
  <c r="L22" i="21"/>
  <c r="K22" i="21"/>
  <c r="J22" i="21"/>
  <c r="I22" i="21"/>
  <c r="H22" i="21"/>
  <c r="G22" i="21"/>
  <c r="F22" i="21"/>
  <c r="E22" i="21"/>
  <c r="D22" i="21"/>
  <c r="C22" i="21"/>
  <c r="B22" i="21"/>
  <c r="A22" i="21"/>
  <c r="BG21" i="21"/>
  <c r="BH21" i="21" s="1"/>
  <c r="BE21" i="21"/>
  <c r="AW21" i="21"/>
  <c r="AX21" i="21" s="1"/>
  <c r="AU21" i="21"/>
  <c r="AS21" i="21"/>
  <c r="AT21" i="21" s="1"/>
  <c r="AQ21" i="21"/>
  <c r="AR21" i="21" s="1"/>
  <c r="AO21" i="21"/>
  <c r="AP21" i="21" s="1"/>
  <c r="AM21" i="21"/>
  <c r="AN21" i="21" s="1"/>
  <c r="AK21" i="21"/>
  <c r="AL21" i="21" s="1"/>
  <c r="AG21" i="21"/>
  <c r="AH21" i="21" s="1"/>
  <c r="AE21" i="21"/>
  <c r="AF21" i="21" s="1"/>
  <c r="AC21" i="21"/>
  <c r="AD21" i="21" s="1"/>
  <c r="AA21" i="21"/>
  <c r="AB21" i="21" s="1"/>
  <c r="W21" i="21"/>
  <c r="X21" i="21" s="1"/>
  <c r="U21" i="21"/>
  <c r="S21" i="21"/>
  <c r="T21" i="21" s="1"/>
  <c r="Q21" i="21"/>
  <c r="R21" i="21" s="1"/>
  <c r="P21" i="21"/>
  <c r="O21" i="21"/>
  <c r="N21" i="21"/>
  <c r="M21" i="21"/>
  <c r="L21" i="21"/>
  <c r="K21" i="21"/>
  <c r="J21" i="21"/>
  <c r="I21" i="21"/>
  <c r="H21" i="21"/>
  <c r="G21" i="21"/>
  <c r="F21" i="21"/>
  <c r="E21" i="21"/>
  <c r="D21" i="21"/>
  <c r="C21" i="21"/>
  <c r="B21" i="21"/>
  <c r="A21" i="21"/>
  <c r="BG20" i="21"/>
  <c r="BE20" i="21"/>
  <c r="BF20" i="21" s="1"/>
  <c r="AW20" i="21"/>
  <c r="AX20" i="21" s="1"/>
  <c r="AU20" i="21"/>
  <c r="AV20" i="21" s="1"/>
  <c r="AS20" i="21"/>
  <c r="AT20" i="21" s="1"/>
  <c r="AQ20" i="21"/>
  <c r="AR20" i="21" s="1"/>
  <c r="AO20" i="21"/>
  <c r="AP20" i="21" s="1"/>
  <c r="AM20" i="21"/>
  <c r="AK20" i="21"/>
  <c r="AL20" i="21" s="1"/>
  <c r="AG20" i="21"/>
  <c r="AE20" i="21"/>
  <c r="AF20" i="21" s="1"/>
  <c r="AC20" i="21"/>
  <c r="AD20" i="21" s="1"/>
  <c r="AA20" i="21"/>
  <c r="W20" i="21"/>
  <c r="X20" i="21" s="1"/>
  <c r="U20" i="21"/>
  <c r="V20" i="21" s="1"/>
  <c r="S20" i="21"/>
  <c r="Q20" i="21"/>
  <c r="R20" i="21" s="1"/>
  <c r="P20" i="21"/>
  <c r="O20" i="21"/>
  <c r="N20" i="21"/>
  <c r="M20" i="21"/>
  <c r="L20" i="21"/>
  <c r="K20" i="21"/>
  <c r="J20" i="21"/>
  <c r="I20" i="21"/>
  <c r="H20" i="21"/>
  <c r="G20" i="21"/>
  <c r="F20" i="21"/>
  <c r="E20" i="21"/>
  <c r="D20" i="21"/>
  <c r="C20" i="21"/>
  <c r="B20" i="21"/>
  <c r="A20" i="21"/>
  <c r="BG19" i="21"/>
  <c r="BH19" i="21" s="1"/>
  <c r="BE19" i="21"/>
  <c r="BF19" i="21" s="1"/>
  <c r="AW19" i="21"/>
  <c r="AX19" i="21" s="1"/>
  <c r="AU19" i="21"/>
  <c r="AV19" i="21" s="1"/>
  <c r="AS19" i="21"/>
  <c r="AT19" i="21" s="1"/>
  <c r="AQ19" i="21"/>
  <c r="AO19" i="21"/>
  <c r="AP19" i="21" s="1"/>
  <c r="AM19" i="21"/>
  <c r="AN19" i="21" s="1"/>
  <c r="AK19" i="21"/>
  <c r="AL19" i="21" s="1"/>
  <c r="AG19" i="21"/>
  <c r="AH19" i="21" s="1"/>
  <c r="AE19" i="21"/>
  <c r="AF19" i="21" s="1"/>
  <c r="AC19" i="21"/>
  <c r="AD19" i="21" s="1"/>
  <c r="AA19" i="21"/>
  <c r="AB19" i="21" s="1"/>
  <c r="W19" i="21"/>
  <c r="U19" i="21"/>
  <c r="V19" i="21" s="1"/>
  <c r="S19" i="21"/>
  <c r="T19" i="21" s="1"/>
  <c r="Q19" i="21"/>
  <c r="R19" i="21" s="1"/>
  <c r="P19" i="21"/>
  <c r="O19" i="21"/>
  <c r="N19" i="21"/>
  <c r="M19" i="21"/>
  <c r="L19" i="21"/>
  <c r="K19" i="21"/>
  <c r="J19" i="21"/>
  <c r="I19" i="21"/>
  <c r="H19" i="21"/>
  <c r="G19" i="21"/>
  <c r="F19" i="21"/>
  <c r="E19" i="21"/>
  <c r="D19" i="21"/>
  <c r="C19" i="21"/>
  <c r="B19" i="21"/>
  <c r="A19" i="21"/>
  <c r="BG18" i="21"/>
  <c r="BH18" i="21" s="1"/>
  <c r="BE18" i="21"/>
  <c r="BF18" i="21" s="1"/>
  <c r="AW18" i="21"/>
  <c r="AX18" i="21" s="1"/>
  <c r="AU18" i="21"/>
  <c r="AS18" i="21"/>
  <c r="AT18" i="21" s="1"/>
  <c r="AQ18" i="21"/>
  <c r="AO18" i="21"/>
  <c r="AP18" i="21" s="1"/>
  <c r="AM18" i="21"/>
  <c r="AN18" i="21" s="1"/>
  <c r="AK18" i="21"/>
  <c r="AL18" i="21" s="1"/>
  <c r="AG18" i="21"/>
  <c r="AH18" i="21" s="1"/>
  <c r="AE18" i="21"/>
  <c r="AF18" i="21" s="1"/>
  <c r="AC18" i="21"/>
  <c r="AA18" i="21"/>
  <c r="AB18" i="21" s="1"/>
  <c r="W18" i="21"/>
  <c r="U18" i="21"/>
  <c r="V18" i="21" s="1"/>
  <c r="S18" i="21"/>
  <c r="T18" i="21" s="1"/>
  <c r="Q18" i="21"/>
  <c r="R18" i="21" s="1"/>
  <c r="P18" i="21"/>
  <c r="O18" i="21"/>
  <c r="N18" i="21"/>
  <c r="M18" i="21"/>
  <c r="L18" i="21"/>
  <c r="K18" i="21"/>
  <c r="J18" i="21"/>
  <c r="I18" i="21"/>
  <c r="H18" i="21"/>
  <c r="G18" i="21"/>
  <c r="F18" i="21"/>
  <c r="E18" i="21"/>
  <c r="D18" i="21"/>
  <c r="C18" i="21"/>
  <c r="B18" i="21"/>
  <c r="A18" i="21"/>
  <c r="BG17" i="21"/>
  <c r="BH17" i="21" s="1"/>
  <c r="BE17" i="21"/>
  <c r="BF17" i="21" s="1"/>
  <c r="AW17" i="21"/>
  <c r="AX17" i="21" s="1"/>
  <c r="AU17" i="21"/>
  <c r="AV17" i="21" s="1"/>
  <c r="AS17" i="21"/>
  <c r="AT17" i="21" s="1"/>
  <c r="AQ17" i="21"/>
  <c r="AR17" i="21" s="1"/>
  <c r="AO17" i="21"/>
  <c r="AM17" i="21"/>
  <c r="AN17" i="21" s="1"/>
  <c r="AK17" i="21"/>
  <c r="AL17" i="21" s="1"/>
  <c r="AG17" i="21"/>
  <c r="AE17" i="21"/>
  <c r="AF17" i="21" s="1"/>
  <c r="AC17" i="21"/>
  <c r="AD17" i="21" s="1"/>
  <c r="AA17" i="21"/>
  <c r="AB17" i="21" s="1"/>
  <c r="W17" i="21"/>
  <c r="X17" i="21" s="1"/>
  <c r="U17" i="21"/>
  <c r="V17" i="21" s="1"/>
  <c r="S17" i="21"/>
  <c r="T17" i="21" s="1"/>
  <c r="Q17" i="21"/>
  <c r="R17" i="21" s="1"/>
  <c r="P17" i="21"/>
  <c r="O17" i="21"/>
  <c r="N17" i="21"/>
  <c r="M17" i="21"/>
  <c r="L17" i="21"/>
  <c r="K17" i="21"/>
  <c r="J17" i="21"/>
  <c r="I17" i="21"/>
  <c r="H17" i="21"/>
  <c r="G17" i="21"/>
  <c r="F17" i="21"/>
  <c r="E17" i="21"/>
  <c r="D17" i="21"/>
  <c r="C17" i="21"/>
  <c r="B17" i="21"/>
  <c r="A17" i="21"/>
  <c r="BG16" i="21"/>
  <c r="BE16" i="21"/>
  <c r="BF16" i="21" s="1"/>
  <c r="AW16" i="21"/>
  <c r="AX16" i="21" s="1"/>
  <c r="AU16" i="21"/>
  <c r="AV16" i="21" s="1"/>
  <c r="AS16" i="21"/>
  <c r="AQ16" i="21"/>
  <c r="AR16" i="21" s="1"/>
  <c r="AO16" i="21"/>
  <c r="AP16" i="21" s="1"/>
  <c r="AM16" i="21"/>
  <c r="AK16" i="21"/>
  <c r="AL16" i="21" s="1"/>
  <c r="AG16" i="21"/>
  <c r="AH16" i="21" s="1"/>
  <c r="AE16" i="21"/>
  <c r="AF16" i="21" s="1"/>
  <c r="AC16" i="21"/>
  <c r="AD16" i="21" s="1"/>
  <c r="AA16" i="21"/>
  <c r="AB16" i="21" s="1"/>
  <c r="W16" i="21"/>
  <c r="X16" i="21" s="1"/>
  <c r="U16" i="21"/>
  <c r="V16" i="21" s="1"/>
  <c r="S16" i="21"/>
  <c r="Q16" i="21"/>
  <c r="R16" i="21" s="1"/>
  <c r="P16" i="21"/>
  <c r="O16" i="21"/>
  <c r="N16" i="21"/>
  <c r="M16" i="21"/>
  <c r="L16" i="21"/>
  <c r="K16" i="21"/>
  <c r="J16" i="21"/>
  <c r="I16" i="21"/>
  <c r="H16" i="21"/>
  <c r="G16" i="21"/>
  <c r="F16" i="21"/>
  <c r="E16" i="21"/>
  <c r="D16" i="21"/>
  <c r="C16" i="21"/>
  <c r="B16" i="21"/>
  <c r="A16" i="21"/>
  <c r="BG15" i="21"/>
  <c r="BH15" i="21" s="1"/>
  <c r="BE15" i="21"/>
  <c r="BF15" i="21" s="1"/>
  <c r="AW15" i="21"/>
  <c r="AU15" i="21"/>
  <c r="AV15" i="21" s="1"/>
  <c r="AS15" i="21"/>
  <c r="AT15" i="21" s="1"/>
  <c r="AQ15" i="21"/>
  <c r="AO15" i="21"/>
  <c r="AP15" i="21" s="1"/>
  <c r="AM15" i="21"/>
  <c r="AN15" i="21" s="1"/>
  <c r="AK15" i="21"/>
  <c r="AL15" i="21" s="1"/>
  <c r="AG15" i="21"/>
  <c r="AH15" i="21" s="1"/>
  <c r="AE15" i="21"/>
  <c r="AF15" i="21" s="1"/>
  <c r="AC15" i="21"/>
  <c r="AD15" i="21" s="1"/>
  <c r="AA15" i="21"/>
  <c r="AB15" i="21" s="1"/>
  <c r="W15" i="21"/>
  <c r="U15" i="21"/>
  <c r="V15" i="21" s="1"/>
  <c r="S15" i="21"/>
  <c r="Q15" i="21"/>
  <c r="R15" i="21" s="1"/>
  <c r="P15" i="21"/>
  <c r="O15" i="21"/>
  <c r="N15" i="21"/>
  <c r="M15" i="21"/>
  <c r="L15" i="21"/>
  <c r="K15" i="21"/>
  <c r="J15" i="21"/>
  <c r="I15" i="21"/>
  <c r="H15" i="21"/>
  <c r="G15" i="21"/>
  <c r="F15" i="21"/>
  <c r="E15" i="21"/>
  <c r="D15" i="21"/>
  <c r="C15" i="21"/>
  <c r="B15" i="21"/>
  <c r="A15" i="21"/>
  <c r="BG14" i="21"/>
  <c r="BH14" i="21" s="1"/>
  <c r="BE14" i="21"/>
  <c r="BF14" i="21" s="1"/>
  <c r="AW14" i="21"/>
  <c r="AX14" i="21" s="1"/>
  <c r="AU14" i="21"/>
  <c r="AS14" i="21"/>
  <c r="AT14" i="21" s="1"/>
  <c r="AQ14" i="21"/>
  <c r="AO14" i="21"/>
  <c r="AP14" i="21" s="1"/>
  <c r="AM14" i="21"/>
  <c r="AN14" i="21" s="1"/>
  <c r="AK14" i="21"/>
  <c r="AL14" i="21" s="1"/>
  <c r="AG14" i="21"/>
  <c r="AH14" i="21" s="1"/>
  <c r="AE14" i="21"/>
  <c r="AF14" i="21" s="1"/>
  <c r="AC14" i="21"/>
  <c r="AA14" i="21"/>
  <c r="AB14" i="21" s="1"/>
  <c r="W14" i="21"/>
  <c r="X14" i="21" s="1"/>
  <c r="U14" i="21"/>
  <c r="V14" i="21" s="1"/>
  <c r="S14" i="21"/>
  <c r="T14" i="21" s="1"/>
  <c r="Q14" i="21"/>
  <c r="P14" i="21"/>
  <c r="O14" i="21"/>
  <c r="N14" i="21"/>
  <c r="M14" i="21"/>
  <c r="L14" i="21"/>
  <c r="K14" i="21"/>
  <c r="J14" i="21"/>
  <c r="I14" i="21"/>
  <c r="H14" i="21"/>
  <c r="G14" i="21"/>
  <c r="F14" i="21"/>
  <c r="E14" i="21"/>
  <c r="D14" i="21"/>
  <c r="C14" i="21"/>
  <c r="B14" i="21"/>
  <c r="A14" i="21"/>
  <c r="BG13" i="21"/>
  <c r="BH13" i="21" s="1"/>
  <c r="BE13" i="21"/>
  <c r="BF13" i="21" s="1"/>
  <c r="AW13" i="21"/>
  <c r="AX13" i="21" s="1"/>
  <c r="AU13" i="21"/>
  <c r="AV13" i="21" s="1"/>
  <c r="AS13" i="21"/>
  <c r="AT13" i="21" s="1"/>
  <c r="AQ13" i="21"/>
  <c r="AR13" i="21" s="1"/>
  <c r="AO13" i="21"/>
  <c r="AP13" i="21" s="1"/>
  <c r="AM13" i="21"/>
  <c r="AN13" i="21" s="1"/>
  <c r="AK13" i="21"/>
  <c r="AL13" i="21" s="1"/>
  <c r="AG13" i="21"/>
  <c r="AE13" i="21"/>
  <c r="AF13" i="21" s="1"/>
  <c r="AC13" i="21"/>
  <c r="AA13" i="21"/>
  <c r="AB13" i="21" s="1"/>
  <c r="W13" i="21"/>
  <c r="X13" i="21" s="1"/>
  <c r="U13" i="21"/>
  <c r="S13" i="21"/>
  <c r="T13" i="21" s="1"/>
  <c r="Q13" i="21"/>
  <c r="R13" i="21" s="1"/>
  <c r="P13" i="21"/>
  <c r="O13" i="21"/>
  <c r="N13" i="21"/>
  <c r="M13" i="21"/>
  <c r="L13" i="21"/>
  <c r="K13" i="21"/>
  <c r="J13" i="21"/>
  <c r="I13" i="21"/>
  <c r="H13" i="21"/>
  <c r="G13" i="21"/>
  <c r="F13" i="21"/>
  <c r="E13" i="21"/>
  <c r="D13" i="21"/>
  <c r="C13" i="21"/>
  <c r="B13" i="21"/>
  <c r="A13" i="21"/>
  <c r="BG12" i="21"/>
  <c r="BE12" i="21"/>
  <c r="BF12" i="21" s="1"/>
  <c r="AW12" i="21"/>
  <c r="AX12" i="21" s="1"/>
  <c r="AU12" i="21"/>
  <c r="AV12" i="21" s="1"/>
  <c r="AS12" i="21"/>
  <c r="AT12" i="21" s="1"/>
  <c r="AQ12" i="21"/>
  <c r="AR12" i="21" s="1"/>
  <c r="AO12" i="21"/>
  <c r="AP12" i="21" s="1"/>
  <c r="AM12" i="21"/>
  <c r="AK12" i="21"/>
  <c r="AL12" i="21" s="1"/>
  <c r="AG12" i="21"/>
  <c r="AH12" i="21" s="1"/>
  <c r="AE12" i="21"/>
  <c r="AF12" i="21" s="1"/>
  <c r="AC12" i="21"/>
  <c r="AD12" i="21" s="1"/>
  <c r="AA12" i="21"/>
  <c r="W12" i="21"/>
  <c r="X12" i="21" s="1"/>
  <c r="U12" i="21"/>
  <c r="V12" i="21" s="1"/>
  <c r="S12" i="21"/>
  <c r="Q12" i="21"/>
  <c r="R12" i="21" s="1"/>
  <c r="P12" i="21"/>
  <c r="O12" i="21"/>
  <c r="N12" i="21"/>
  <c r="M12" i="21"/>
  <c r="L12" i="21"/>
  <c r="K12" i="21"/>
  <c r="J12" i="21"/>
  <c r="I12" i="21"/>
  <c r="H12" i="21"/>
  <c r="G12" i="21"/>
  <c r="F12" i="21"/>
  <c r="E12" i="21"/>
  <c r="D12" i="21"/>
  <c r="C12" i="21"/>
  <c r="B12" i="21"/>
  <c r="A12" i="21"/>
  <c r="BG11" i="21"/>
  <c r="BH11" i="21" s="1"/>
  <c r="BE11" i="21"/>
  <c r="BF11" i="21" s="1"/>
  <c r="AW11" i="21"/>
  <c r="AX11" i="21" s="1"/>
  <c r="AU11" i="21"/>
  <c r="AV11" i="21" s="1"/>
  <c r="AS11" i="21"/>
  <c r="AT11" i="21" s="1"/>
  <c r="AQ11" i="21"/>
  <c r="AO11" i="21"/>
  <c r="AP11" i="21" s="1"/>
  <c r="AM11" i="21"/>
  <c r="AK11" i="21"/>
  <c r="AL11" i="21" s="1"/>
  <c r="AG11" i="21"/>
  <c r="AH11" i="21" s="1"/>
  <c r="AE11" i="21"/>
  <c r="AF11" i="21" s="1"/>
  <c r="AC11" i="21"/>
  <c r="AD11" i="21" s="1"/>
  <c r="AA11" i="21"/>
  <c r="AB11" i="21" s="1"/>
  <c r="W11" i="21"/>
  <c r="U11" i="21"/>
  <c r="V11" i="21" s="1"/>
  <c r="S11" i="21"/>
  <c r="Q11" i="21"/>
  <c r="R11" i="21" s="1"/>
  <c r="P11" i="21"/>
  <c r="O11" i="21"/>
  <c r="N11" i="21"/>
  <c r="M11" i="21"/>
  <c r="L11" i="21"/>
  <c r="K11" i="21"/>
  <c r="J11" i="21"/>
  <c r="I11" i="21"/>
  <c r="H11" i="21"/>
  <c r="G11" i="21"/>
  <c r="F11" i="21"/>
  <c r="E11" i="21"/>
  <c r="D11" i="21"/>
  <c r="C11" i="21"/>
  <c r="B11" i="21"/>
  <c r="A11" i="21"/>
  <c r="BG10" i="21"/>
  <c r="BH10" i="21" s="1"/>
  <c r="BE10" i="21"/>
  <c r="BF10" i="21" s="1"/>
  <c r="AW10" i="21"/>
  <c r="AX10" i="21" s="1"/>
  <c r="AU10" i="21"/>
  <c r="AS10" i="21"/>
  <c r="AT10" i="21" s="1"/>
  <c r="AQ10" i="21"/>
  <c r="AR10" i="21" s="1"/>
  <c r="AO10" i="21"/>
  <c r="AP10" i="21" s="1"/>
  <c r="AM10" i="21"/>
  <c r="AN10" i="21" s="1"/>
  <c r="AK10" i="21"/>
  <c r="AL10" i="21" s="1"/>
  <c r="AG10" i="21"/>
  <c r="AH10" i="21" s="1"/>
  <c r="AE10" i="21"/>
  <c r="AF10" i="21" s="1"/>
  <c r="AC10" i="21"/>
  <c r="AA10" i="21"/>
  <c r="AB10" i="21" s="1"/>
  <c r="W10" i="21"/>
  <c r="X10" i="21" s="1"/>
  <c r="U10" i="21"/>
  <c r="V10" i="21" s="1"/>
  <c r="S10" i="21"/>
  <c r="T10" i="21" s="1"/>
  <c r="Q10" i="21"/>
  <c r="R10" i="21" s="1"/>
  <c r="P10" i="21"/>
  <c r="O10" i="21"/>
  <c r="N10" i="21"/>
  <c r="M10" i="21"/>
  <c r="L10" i="21"/>
  <c r="K10" i="21"/>
  <c r="J10" i="21"/>
  <c r="I10" i="21"/>
  <c r="H10" i="21"/>
  <c r="G10" i="21"/>
  <c r="F10" i="21"/>
  <c r="E10" i="21"/>
  <c r="D10" i="21"/>
  <c r="C10" i="21"/>
  <c r="B10" i="21"/>
  <c r="A10" i="21"/>
  <c r="BG9" i="21"/>
  <c r="BH9" i="21" s="1"/>
  <c r="BE9" i="21"/>
  <c r="BF9" i="21" s="1"/>
  <c r="AW9" i="21"/>
  <c r="AX9" i="21" s="1"/>
  <c r="AU9" i="21"/>
  <c r="AS9" i="21"/>
  <c r="AT9" i="21" s="1"/>
  <c r="AQ9" i="21"/>
  <c r="AR9" i="21" s="1"/>
  <c r="AO9" i="21"/>
  <c r="AM9" i="21"/>
  <c r="AN9" i="21" s="1"/>
  <c r="AK9" i="21"/>
  <c r="AL9" i="21" s="1"/>
  <c r="AG9" i="21"/>
  <c r="AE9" i="21"/>
  <c r="AF9" i="21" s="1"/>
  <c r="AC9" i="21"/>
  <c r="AD9" i="21" s="1"/>
  <c r="AA9" i="21"/>
  <c r="AB9" i="21" s="1"/>
  <c r="W9" i="21"/>
  <c r="X9" i="21" s="1"/>
  <c r="U9" i="21"/>
  <c r="V9" i="21" s="1"/>
  <c r="S9" i="21"/>
  <c r="T9" i="21" s="1"/>
  <c r="Q9" i="21"/>
  <c r="R9" i="21" s="1"/>
  <c r="P9" i="21"/>
  <c r="O9" i="21"/>
  <c r="N9" i="21"/>
  <c r="M9" i="21"/>
  <c r="L9" i="21"/>
  <c r="K9" i="21"/>
  <c r="J9" i="21"/>
  <c r="I9" i="21"/>
  <c r="H9" i="21"/>
  <c r="G9" i="21"/>
  <c r="F9" i="21"/>
  <c r="E9" i="21"/>
  <c r="D9" i="21"/>
  <c r="C9" i="21"/>
  <c r="B9" i="21"/>
  <c r="A9" i="21"/>
  <c r="BG8" i="21"/>
  <c r="BE8" i="21"/>
  <c r="BF8" i="21" s="1"/>
  <c r="AW8" i="21"/>
  <c r="AX8" i="21" s="1"/>
  <c r="AU8" i="21"/>
  <c r="AV8" i="21" s="1"/>
  <c r="AS8" i="21"/>
  <c r="AQ8" i="21"/>
  <c r="AR8" i="21" s="1"/>
  <c r="AO8" i="21"/>
  <c r="AP8" i="21" s="1"/>
  <c r="AM8" i="21"/>
  <c r="AK8" i="21"/>
  <c r="AL8" i="21" s="1"/>
  <c r="AG8" i="21"/>
  <c r="AH8" i="21" s="1"/>
  <c r="AE8" i="21"/>
  <c r="AF8" i="21" s="1"/>
  <c r="AC8" i="21"/>
  <c r="AD8" i="21" s="1"/>
  <c r="AA8" i="21"/>
  <c r="AB8" i="21" s="1"/>
  <c r="W8" i="21"/>
  <c r="X8" i="21" s="1"/>
  <c r="U8" i="21"/>
  <c r="V8" i="21" s="1"/>
  <c r="S8" i="21"/>
  <c r="Q8" i="21"/>
  <c r="R8" i="21" s="1"/>
  <c r="P8" i="21"/>
  <c r="O8" i="21"/>
  <c r="N8" i="21"/>
  <c r="M8" i="21"/>
  <c r="L8" i="21"/>
  <c r="K8" i="21"/>
  <c r="J8" i="21"/>
  <c r="I8" i="21"/>
  <c r="H8" i="21"/>
  <c r="G8" i="21"/>
  <c r="F8" i="21"/>
  <c r="E8" i="21"/>
  <c r="D8" i="21"/>
  <c r="C8" i="21"/>
  <c r="B8" i="21"/>
  <c r="A8" i="21"/>
  <c r="BG7" i="21"/>
  <c r="BE7" i="21"/>
  <c r="BF7" i="21" s="1"/>
  <c r="AW7" i="21"/>
  <c r="AX7" i="21" s="1"/>
  <c r="AU7" i="21"/>
  <c r="AV7" i="21" s="1"/>
  <c r="AS7" i="21"/>
  <c r="AT7" i="21" s="1"/>
  <c r="AQ7" i="21"/>
  <c r="AO7" i="21"/>
  <c r="AP7" i="21" s="1"/>
  <c r="AM7" i="21"/>
  <c r="AK7" i="21"/>
  <c r="AL7" i="21" s="1"/>
  <c r="AG7" i="21"/>
  <c r="AH7" i="21" s="1"/>
  <c r="AE7" i="21"/>
  <c r="AF7" i="21" s="1"/>
  <c r="AC7" i="21"/>
  <c r="AD7" i="21" s="1"/>
  <c r="AA7" i="21"/>
  <c r="AB7" i="21" s="1"/>
  <c r="W7" i="21"/>
  <c r="U7" i="21"/>
  <c r="V7" i="21" s="1"/>
  <c r="S7" i="21"/>
  <c r="T7" i="21" s="1"/>
  <c r="Q7" i="21"/>
  <c r="R7" i="21" s="1"/>
  <c r="P7" i="21"/>
  <c r="O7" i="21"/>
  <c r="N7" i="21"/>
  <c r="M7" i="21"/>
  <c r="L7" i="21"/>
  <c r="K7" i="21"/>
  <c r="J7" i="21"/>
  <c r="I7" i="21"/>
  <c r="H7" i="21"/>
  <c r="G7" i="21"/>
  <c r="F7" i="21"/>
  <c r="E7" i="21"/>
  <c r="D7" i="21"/>
  <c r="C7" i="21"/>
  <c r="B7" i="21"/>
  <c r="A7" i="21"/>
  <c r="BG6" i="21"/>
  <c r="BH6" i="21" s="1"/>
  <c r="BE6" i="21"/>
  <c r="BF6" i="21" s="1"/>
  <c r="AW6" i="21"/>
  <c r="AX6" i="21" s="1"/>
  <c r="AU6" i="21"/>
  <c r="AS6" i="21"/>
  <c r="AT6" i="21" s="1"/>
  <c r="AQ6" i="21"/>
  <c r="AR6" i="21" s="1"/>
  <c r="AO6" i="21"/>
  <c r="AP6" i="21" s="1"/>
  <c r="AM6" i="21"/>
  <c r="AN6" i="21" s="1"/>
  <c r="AK6" i="21"/>
  <c r="AG6" i="21"/>
  <c r="AH6" i="21" s="1"/>
  <c r="AE6" i="21"/>
  <c r="AF6" i="21" s="1"/>
  <c r="AC6" i="21"/>
  <c r="AA6" i="21"/>
  <c r="AB6" i="21" s="1"/>
  <c r="W6" i="21"/>
  <c r="U6" i="21"/>
  <c r="V6" i="21" s="1"/>
  <c r="S6" i="21"/>
  <c r="T6" i="21" s="1"/>
  <c r="Q6" i="21"/>
  <c r="P6" i="21"/>
  <c r="O6" i="21"/>
  <c r="N6" i="21"/>
  <c r="M6" i="21"/>
  <c r="L6" i="21"/>
  <c r="K6" i="21"/>
  <c r="J6" i="21"/>
  <c r="I6" i="21"/>
  <c r="H6" i="21"/>
  <c r="G6" i="21"/>
  <c r="F6" i="21"/>
  <c r="E6" i="21"/>
  <c r="D6" i="21"/>
  <c r="C6" i="21"/>
  <c r="B6" i="21"/>
  <c r="A6" i="21"/>
  <c r="BG5" i="21"/>
  <c r="BH5" i="21" s="1"/>
  <c r="BE5" i="21"/>
  <c r="BF5" i="21" s="1"/>
  <c r="AW5" i="21"/>
  <c r="AX5" i="21" s="1"/>
  <c r="AU5" i="21"/>
  <c r="AS5" i="21"/>
  <c r="AT5" i="21" s="1"/>
  <c r="AQ5" i="21"/>
  <c r="AR5" i="21" s="1"/>
  <c r="AO5" i="21"/>
  <c r="AP5" i="21" s="1"/>
  <c r="AM5" i="21"/>
  <c r="AN5" i="21" s="1"/>
  <c r="AK5" i="21"/>
  <c r="AL5" i="21" s="1"/>
  <c r="AG5" i="21"/>
  <c r="AE5" i="21"/>
  <c r="AF5" i="21" s="1"/>
  <c r="AC5" i="21"/>
  <c r="AD5" i="21" s="1"/>
  <c r="AA5" i="21"/>
  <c r="AB5" i="21" s="1"/>
  <c r="W5" i="21"/>
  <c r="X5" i="21" s="1"/>
  <c r="U5" i="21"/>
  <c r="S5" i="21"/>
  <c r="T5" i="21" s="1"/>
  <c r="Q5" i="21"/>
  <c r="R5" i="21" s="1"/>
  <c r="P5" i="21"/>
  <c r="O5" i="21"/>
  <c r="N5" i="21"/>
  <c r="M5" i="21"/>
  <c r="L5" i="21"/>
  <c r="K5" i="21"/>
  <c r="J5" i="21"/>
  <c r="I5" i="21"/>
  <c r="H5" i="21"/>
  <c r="G5" i="21"/>
  <c r="F5" i="21"/>
  <c r="E5" i="21"/>
  <c r="D5" i="21"/>
  <c r="C5" i="21"/>
  <c r="B5" i="21"/>
  <c r="A5" i="21"/>
  <c r="BG4" i="21"/>
  <c r="BE4" i="21"/>
  <c r="BF4" i="21" s="1"/>
  <c r="AW4" i="21"/>
  <c r="AX4" i="21" s="1"/>
  <c r="AU4" i="21"/>
  <c r="AV4" i="21" s="1"/>
  <c r="AS4" i="21"/>
  <c r="AT4" i="21" s="1"/>
  <c r="AQ4" i="21"/>
  <c r="AR4" i="21" s="1"/>
  <c r="AO4" i="21"/>
  <c r="AP4" i="21" s="1"/>
  <c r="AM4" i="21"/>
  <c r="AK4" i="21"/>
  <c r="AL4" i="21" s="1"/>
  <c r="AG4" i="21"/>
  <c r="AE4" i="21"/>
  <c r="AF4" i="21" s="1"/>
  <c r="AC4" i="21"/>
  <c r="AD4" i="21" s="1"/>
  <c r="AA4" i="21"/>
  <c r="AB4" i="21" s="1"/>
  <c r="W4" i="21"/>
  <c r="X4" i="21" s="1"/>
  <c r="U4" i="21"/>
  <c r="V4" i="21" s="1"/>
  <c r="S4" i="21"/>
  <c r="Q4" i="21"/>
  <c r="R4" i="21" s="1"/>
  <c r="P4" i="21"/>
  <c r="O4" i="21"/>
  <c r="N4" i="21"/>
  <c r="M4" i="21"/>
  <c r="L4" i="21"/>
  <c r="K4" i="21"/>
  <c r="J4" i="21"/>
  <c r="I4" i="21"/>
  <c r="H4" i="21"/>
  <c r="G4" i="21"/>
  <c r="F4" i="21"/>
  <c r="E4" i="21"/>
  <c r="D4" i="21"/>
  <c r="C4" i="21"/>
  <c r="B4" i="21"/>
  <c r="A4" i="21"/>
  <c r="BG3" i="21"/>
  <c r="BE3" i="21"/>
  <c r="BF3" i="21" s="1"/>
  <c r="AW3" i="21"/>
  <c r="AX3" i="21" s="1"/>
  <c r="AU3" i="21"/>
  <c r="AV3" i="21" s="1"/>
  <c r="AS3" i="21"/>
  <c r="AT3" i="21" s="1"/>
  <c r="AQ3" i="21"/>
  <c r="AO3" i="21"/>
  <c r="AP3" i="21" s="1"/>
  <c r="AM3" i="21"/>
  <c r="AN3" i="21" s="1"/>
  <c r="AK3" i="21"/>
  <c r="AL3" i="21" s="1"/>
  <c r="AG3" i="21"/>
  <c r="AH3" i="21" s="1"/>
  <c r="AE3" i="21"/>
  <c r="AC3" i="21"/>
  <c r="AD3" i="21" s="1"/>
  <c r="AA3" i="21"/>
  <c r="AB3" i="21" s="1"/>
  <c r="W3" i="21"/>
  <c r="U3" i="21"/>
  <c r="V3" i="21" s="1"/>
  <c r="S3" i="21"/>
  <c r="T3" i="21" s="1"/>
  <c r="Q3" i="21"/>
  <c r="R3" i="21" s="1"/>
  <c r="P3" i="21"/>
  <c r="O3" i="21"/>
  <c r="N3" i="21"/>
  <c r="M3" i="21"/>
  <c r="L3" i="21"/>
  <c r="K3" i="21"/>
  <c r="J3" i="21"/>
  <c r="I3" i="21"/>
  <c r="H3" i="21"/>
  <c r="G3" i="21"/>
  <c r="F3" i="21"/>
  <c r="E3" i="21"/>
  <c r="D3" i="21"/>
  <c r="C3" i="21"/>
  <c r="B3" i="21"/>
  <c r="A3" i="21"/>
  <c r="BG2" i="21"/>
  <c r="BH2" i="21" s="1"/>
  <c r="BE2" i="21"/>
  <c r="BF2" i="21" s="1"/>
  <c r="AY2" i="21"/>
  <c r="AZ2" i="21" s="1"/>
  <c r="AW2" i="21"/>
  <c r="AX2" i="21" s="1"/>
  <c r="AU2" i="21"/>
  <c r="AS2" i="21"/>
  <c r="AT2" i="21" s="1"/>
  <c r="AQ2" i="21"/>
  <c r="AO2" i="21"/>
  <c r="AP2" i="21" s="1"/>
  <c r="AM2" i="21"/>
  <c r="AN2" i="21" s="1"/>
  <c r="AK2" i="21"/>
  <c r="AG2" i="21"/>
  <c r="AH2" i="21" s="1"/>
  <c r="AE2" i="21"/>
  <c r="AF2" i="21" s="1"/>
  <c r="AC2" i="21"/>
  <c r="AA2" i="21"/>
  <c r="AB2" i="21" s="1"/>
  <c r="W2" i="21"/>
  <c r="X2" i="21" s="1"/>
  <c r="U2" i="21"/>
  <c r="V2" i="21" s="1"/>
  <c r="S2" i="21"/>
  <c r="T2" i="21" s="1"/>
  <c r="Q2" i="21"/>
  <c r="R2" i="21" s="1"/>
  <c r="P2" i="21"/>
  <c r="O2" i="21"/>
  <c r="N2" i="21"/>
  <c r="M2" i="21"/>
  <c r="L2" i="21"/>
  <c r="K2" i="21"/>
  <c r="J2" i="21"/>
  <c r="I2" i="21"/>
  <c r="H2" i="21"/>
  <c r="G2" i="21"/>
  <c r="F2" i="21"/>
  <c r="E2" i="21"/>
  <c r="D2" i="21"/>
  <c r="C2" i="21"/>
  <c r="B2" i="21"/>
  <c r="A2" i="21"/>
  <c r="AI48" i="21" l="1"/>
  <c r="AI56" i="21"/>
  <c r="AI64" i="21"/>
  <c r="AI72" i="21"/>
  <c r="AI80" i="21"/>
  <c r="Y116" i="21"/>
  <c r="AI120" i="21"/>
  <c r="Y124" i="21"/>
  <c r="Y132" i="21"/>
  <c r="Y140" i="21"/>
  <c r="Y156" i="21"/>
  <c r="Y332" i="21"/>
  <c r="AI336" i="21"/>
  <c r="AI344" i="21"/>
  <c r="Y348" i="21"/>
  <c r="Y356" i="21"/>
  <c r="AI360" i="21"/>
  <c r="Y364" i="21"/>
  <c r="Y372" i="21"/>
  <c r="Y380" i="21"/>
  <c r="AI384" i="21"/>
  <c r="Y388" i="21"/>
  <c r="Y396" i="21"/>
  <c r="Y404" i="21"/>
  <c r="BA92" i="21"/>
  <c r="BA116" i="21"/>
  <c r="BA148" i="21"/>
  <c r="BA188" i="21"/>
  <c r="BA196" i="21"/>
  <c r="BA204" i="21"/>
  <c r="BA278" i="21"/>
  <c r="BA284" i="21"/>
  <c r="BA286" i="21"/>
  <c r="BA300" i="21"/>
  <c r="BA312" i="21"/>
  <c r="BA316" i="21"/>
  <c r="Y174" i="21"/>
  <c r="AI178" i="21"/>
  <c r="Y182" i="21"/>
  <c r="Y214" i="21"/>
  <c r="Y230" i="21"/>
  <c r="BA4" i="21"/>
  <c r="BA20" i="21"/>
  <c r="BA28" i="21"/>
  <c r="AJ95" i="21"/>
  <c r="AJ111" i="21"/>
  <c r="AJ135" i="21"/>
  <c r="BB211" i="21"/>
  <c r="BB219" i="21"/>
  <c r="BA220" i="21"/>
  <c r="BA270" i="21"/>
  <c r="BA288" i="21"/>
  <c r="BA296" i="21"/>
  <c r="BA320" i="21"/>
  <c r="AJ351" i="21"/>
  <c r="AI69" i="21"/>
  <c r="Z72" i="21"/>
  <c r="Y73" i="21"/>
  <c r="Z80" i="21"/>
  <c r="Y81" i="21"/>
  <c r="AI85" i="21"/>
  <c r="Z88" i="21"/>
  <c r="Y89" i="21"/>
  <c r="AI93" i="21"/>
  <c r="AI101" i="21"/>
  <c r="AI109" i="21"/>
  <c r="AJ116" i="21"/>
  <c r="AJ124" i="21"/>
  <c r="AI125" i="21"/>
  <c r="BB176" i="21"/>
  <c r="AJ252" i="21"/>
  <c r="AJ260" i="21"/>
  <c r="AI261" i="21"/>
  <c r="AI269" i="21"/>
  <c r="Z272" i="21"/>
  <c r="AI277" i="21"/>
  <c r="Z280" i="21"/>
  <c r="Y281" i="21"/>
  <c r="AI285" i="21"/>
  <c r="Z288" i="21"/>
  <c r="Y289" i="21"/>
  <c r="Y297" i="21"/>
  <c r="AJ300" i="21"/>
  <c r="AJ324" i="21"/>
  <c r="Y385" i="21"/>
  <c r="BA206" i="21"/>
  <c r="AJ217" i="21"/>
  <c r="BA400" i="21"/>
  <c r="BB258" i="21"/>
  <c r="BB322" i="21"/>
  <c r="BA12" i="21"/>
  <c r="AJ127" i="21"/>
  <c r="BA180" i="21"/>
  <c r="BB291" i="21"/>
  <c r="BB339" i="21"/>
  <c r="BA344" i="21"/>
  <c r="BA348" i="21"/>
  <c r="BA350" i="21"/>
  <c r="BA360" i="21"/>
  <c r="BA364" i="21"/>
  <c r="BA376" i="21"/>
  <c r="BB379" i="21"/>
  <c r="BA382" i="21"/>
  <c r="BA384" i="21"/>
  <c r="BA388" i="21"/>
  <c r="BA392" i="21"/>
  <c r="AJ240" i="21"/>
  <c r="AJ320" i="21"/>
  <c r="Y333" i="21"/>
  <c r="AI337" i="21"/>
  <c r="AI345" i="21"/>
  <c r="Y349" i="21"/>
  <c r="AI353" i="21"/>
  <c r="Y357" i="21"/>
  <c r="Y365" i="21"/>
  <c r="AI385" i="21"/>
  <c r="Z388" i="21"/>
  <c r="AJ392" i="21"/>
  <c r="AI393" i="21"/>
  <c r="Z396" i="21"/>
  <c r="Y397" i="21"/>
  <c r="Z404" i="21"/>
  <c r="Y286" i="21"/>
  <c r="AJ289" i="21"/>
  <c r="AJ297" i="21"/>
  <c r="AI298" i="21"/>
  <c r="AI306" i="21"/>
  <c r="Y310" i="21"/>
  <c r="BA310" i="21"/>
  <c r="AI314" i="21"/>
  <c r="AJ321" i="21"/>
  <c r="AI322" i="21"/>
  <c r="BA334" i="21"/>
  <c r="BA342" i="21"/>
  <c r="BA366" i="21"/>
  <c r="BB125" i="21"/>
  <c r="BB133" i="21"/>
  <c r="BB149" i="21"/>
  <c r="AJ169" i="21"/>
  <c r="AJ193" i="21"/>
  <c r="AI210" i="21"/>
  <c r="AI218" i="21"/>
  <c r="Y222" i="21"/>
  <c r="AI282" i="21"/>
  <c r="AI290" i="21"/>
  <c r="AJ401" i="21"/>
  <c r="BA367" i="21"/>
  <c r="BA399" i="21"/>
  <c r="AJ75" i="21"/>
  <c r="AI76" i="21"/>
  <c r="Y80" i="21"/>
  <c r="AJ83" i="21"/>
  <c r="AI84" i="21"/>
  <c r="Y88" i="21"/>
  <c r="AJ91" i="21"/>
  <c r="AI92" i="21"/>
  <c r="Y96" i="21"/>
  <c r="AJ99" i="21"/>
  <c r="Y104" i="21"/>
  <c r="AJ107" i="21"/>
  <c r="BB72" i="21"/>
  <c r="BB80" i="21"/>
  <c r="BB88" i="21"/>
  <c r="BA121" i="21"/>
  <c r="BA129" i="21"/>
  <c r="BA137" i="21"/>
  <c r="BA161" i="21"/>
  <c r="BA169" i="21"/>
  <c r="BA177" i="21"/>
  <c r="BA185" i="21"/>
  <c r="BA193" i="21"/>
  <c r="BA201" i="21"/>
  <c r="BA209" i="21"/>
  <c r="BA217" i="21"/>
  <c r="Z224" i="21"/>
  <c r="Y225" i="21"/>
  <c r="BA225" i="21"/>
  <c r="AI229" i="21"/>
  <c r="AJ236" i="21"/>
  <c r="AI237" i="21"/>
  <c r="BA241" i="21"/>
  <c r="AI245" i="21"/>
  <c r="BA249" i="21"/>
  <c r="BA257" i="21"/>
  <c r="BB264" i="21"/>
  <c r="BB272" i="21"/>
  <c r="BA277" i="21"/>
  <c r="BB280" i="21"/>
  <c r="BA281" i="21"/>
  <c r="BA285" i="21"/>
  <c r="BA289" i="21"/>
  <c r="BA293" i="21"/>
  <c r="BA301" i="21"/>
  <c r="BA305" i="21"/>
  <c r="AJ308" i="21"/>
  <c r="AI309" i="21"/>
  <c r="BA309" i="21"/>
  <c r="BA313" i="21"/>
  <c r="BA321" i="21"/>
  <c r="BA329" i="21"/>
  <c r="BA333" i="21"/>
  <c r="BA341" i="21"/>
  <c r="BA345" i="21"/>
  <c r="BA353" i="21"/>
  <c r="BA357" i="21"/>
  <c r="BB360" i="21"/>
  <c r="BA361" i="21"/>
  <c r="BB368" i="21"/>
  <c r="BA369" i="21"/>
  <c r="BA377" i="21"/>
  <c r="BA381" i="21"/>
  <c r="BB384" i="21"/>
  <c r="BA385" i="21"/>
  <c r="BA389" i="21"/>
  <c r="BB392" i="21"/>
  <c r="BA393" i="21"/>
  <c r="BA401" i="21"/>
  <c r="BA222" i="21"/>
  <c r="BA402" i="21"/>
  <c r="Y3" i="21"/>
  <c r="BA3" i="21"/>
  <c r="AI7" i="21"/>
  <c r="Z10" i="21"/>
  <c r="Y11" i="21"/>
  <c r="BA11" i="21"/>
  <c r="AI15" i="21"/>
  <c r="Y19" i="21"/>
  <c r="BA19" i="21"/>
  <c r="BA35" i="21"/>
  <c r="Y59" i="21"/>
  <c r="AJ62" i="21"/>
  <c r="AJ70" i="21"/>
  <c r="Y75" i="21"/>
  <c r="AJ78" i="21"/>
  <c r="AI79" i="21"/>
  <c r="Y83" i="21"/>
  <c r="AJ86" i="21"/>
  <c r="AI87" i="21"/>
  <c r="AJ94" i="21"/>
  <c r="Y99" i="21"/>
  <c r="Y107" i="21"/>
  <c r="Z114" i="21"/>
  <c r="Z122" i="21"/>
  <c r="Y123" i="21"/>
  <c r="Z130" i="21"/>
  <c r="Y131" i="21"/>
  <c r="Z138" i="21"/>
  <c r="Y139" i="21"/>
  <c r="Z146" i="21"/>
  <c r="Y147" i="21"/>
  <c r="BB162" i="21"/>
  <c r="AI167" i="21"/>
  <c r="Z170" i="21"/>
  <c r="Z178" i="21"/>
  <c r="Y179" i="21"/>
  <c r="AJ182" i="21"/>
  <c r="AI183" i="21"/>
  <c r="AJ190" i="21"/>
  <c r="AI191" i="21"/>
  <c r="AJ198" i="21"/>
  <c r="AI199" i="21"/>
  <c r="Y203" i="21"/>
  <c r="Y211" i="21"/>
  <c r="AJ214" i="21"/>
  <c r="AJ222" i="21"/>
  <c r="BB242" i="21"/>
  <c r="BB298" i="21"/>
  <c r="BB314" i="21"/>
  <c r="BB330" i="21"/>
  <c r="BA60" i="21"/>
  <c r="BA76" i="21"/>
  <c r="BB13" i="21"/>
  <c r="BA14" i="21"/>
  <c r="BA22" i="21"/>
  <c r="BA30" i="21"/>
  <c r="BA38" i="21"/>
  <c r="BA46" i="21"/>
  <c r="BB53" i="21"/>
  <c r="BA62" i="21"/>
  <c r="BA70" i="21"/>
  <c r="BA84" i="21"/>
  <c r="BA7" i="21"/>
  <c r="BA31" i="21"/>
  <c r="BA39" i="21"/>
  <c r="BA47" i="21"/>
  <c r="Z118" i="21"/>
  <c r="Y119" i="21"/>
  <c r="Z126" i="21"/>
  <c r="Y127" i="21"/>
  <c r="AI131" i="21"/>
  <c r="Z134" i="21"/>
  <c r="Y135" i="21"/>
  <c r="BA135" i="21"/>
  <c r="AI139" i="21"/>
  <c r="Z142" i="21"/>
  <c r="Y143" i="21"/>
  <c r="Z150" i="21"/>
  <c r="Y151" i="21"/>
  <c r="Z158" i="21"/>
  <c r="Y159" i="21"/>
  <c r="BB166" i="21"/>
  <c r="AI171" i="21"/>
  <c r="Y175" i="21"/>
  <c r="Z182" i="21"/>
  <c r="BB182" i="21"/>
  <c r="Y183" i="21"/>
  <c r="BA183" i="21"/>
  <c r="AJ186" i="21"/>
  <c r="AI187" i="21"/>
  <c r="Z190" i="21"/>
  <c r="Y191" i="21"/>
  <c r="BA287" i="21"/>
  <c r="BA295" i="21"/>
  <c r="BA335" i="21"/>
  <c r="BB32" i="21"/>
  <c r="Z48" i="21"/>
  <c r="AI53" i="21"/>
  <c r="Y57" i="21"/>
  <c r="Z64" i="21"/>
  <c r="BA65" i="21"/>
  <c r="BB24" i="21"/>
  <c r="BA33" i="21"/>
  <c r="BB40" i="21"/>
  <c r="BB56" i="21"/>
  <c r="AI61" i="21"/>
  <c r="Z2" i="21"/>
  <c r="AI6" i="21"/>
  <c r="Z9" i="21"/>
  <c r="BA10" i="21"/>
  <c r="AI14" i="21"/>
  <c r="Z17" i="21"/>
  <c r="BB17" i="21"/>
  <c r="Y18" i="21"/>
  <c r="BA18" i="21"/>
  <c r="AJ21" i="21"/>
  <c r="Z25" i="21"/>
  <c r="Y26" i="21"/>
  <c r="BA26" i="21"/>
  <c r="AI30" i="21"/>
  <c r="Z33" i="21"/>
  <c r="Y34" i="21"/>
  <c r="BA34" i="21"/>
  <c r="BA42" i="21"/>
  <c r="BA50" i="21"/>
  <c r="BA32" i="21"/>
  <c r="BA67" i="21"/>
  <c r="BA75" i="21"/>
  <c r="BA83" i="21"/>
  <c r="BA91" i="21"/>
  <c r="BA115" i="21"/>
  <c r="BA147" i="21"/>
  <c r="BA155" i="21"/>
  <c r="BA163" i="21"/>
  <c r="BA171" i="21"/>
  <c r="BA187" i="21"/>
  <c r="BA195" i="21"/>
  <c r="BA203" i="21"/>
  <c r="BA211" i="21"/>
  <c r="BA58" i="21"/>
  <c r="Z65" i="21"/>
  <c r="Y66" i="21"/>
  <c r="BA66" i="21"/>
  <c r="AI70" i="21"/>
  <c r="Z73" i="21"/>
  <c r="Y74" i="21"/>
  <c r="BA74" i="21"/>
  <c r="BA82" i="21"/>
  <c r="BA90" i="21"/>
  <c r="BB113" i="21"/>
  <c r="BA114" i="21"/>
  <c r="BA122" i="21"/>
  <c r="BB129" i="21"/>
  <c r="BA130" i="21"/>
  <c r="BB137" i="21"/>
  <c r="BA138" i="21"/>
  <c r="BB145" i="21"/>
  <c r="BA162" i="21"/>
  <c r="BA170" i="21"/>
  <c r="BB185" i="21"/>
  <c r="Y186" i="21"/>
  <c r="BA186" i="21"/>
  <c r="AJ189" i="21"/>
  <c r="AI190" i="21"/>
  <c r="BB193" i="21"/>
  <c r="Y194" i="21"/>
  <c r="AJ197" i="21"/>
  <c r="AI198" i="21"/>
  <c r="BA202" i="21"/>
  <c r="AJ205" i="21"/>
  <c r="AI206" i="21"/>
  <c r="BA210" i="21"/>
  <c r="AJ213" i="21"/>
  <c r="AI214" i="21"/>
  <c r="Y218" i="21"/>
  <c r="BA218" i="21"/>
  <c r="AI222" i="21"/>
  <c r="Y226" i="21"/>
  <c r="BA274" i="21"/>
  <c r="BA282" i="21"/>
  <c r="BB305" i="21"/>
  <c r="BA306" i="21"/>
  <c r="BB313" i="21"/>
  <c r="BA314" i="21"/>
  <c r="BA322" i="21"/>
  <c r="BA338" i="21"/>
  <c r="BB353" i="21"/>
  <c r="BA354" i="21"/>
  <c r="BA362" i="21"/>
  <c r="BB385" i="21"/>
  <c r="BA386" i="21"/>
  <c r="BA394" i="21"/>
  <c r="BA235" i="21"/>
  <c r="BA243" i="21"/>
  <c r="BA251" i="21"/>
  <c r="BA259" i="21"/>
  <c r="BA267" i="21"/>
  <c r="BA323" i="21"/>
  <c r="BA331" i="21"/>
  <c r="BA355" i="21"/>
  <c r="BA363" i="21"/>
  <c r="BA387" i="21"/>
  <c r="BA5" i="21"/>
  <c r="BA13" i="21"/>
  <c r="BA21" i="21"/>
  <c r="AI25" i="21"/>
  <c r="Z28" i="21"/>
  <c r="BB28" i="21"/>
  <c r="Y29" i="21"/>
  <c r="Z36" i="21"/>
  <c r="BB36" i="21"/>
  <c r="Y37" i="21"/>
  <c r="BA37" i="21"/>
  <c r="BB44" i="21"/>
  <c r="BB52" i="21"/>
  <c r="AJ56" i="21"/>
  <c r="AI57" i="21"/>
  <c r="BA77" i="21"/>
  <c r="BA85" i="21"/>
  <c r="BA93" i="21"/>
  <c r="BA149" i="21"/>
  <c r="BA181" i="21"/>
  <c r="BA189" i="21"/>
  <c r="BA213" i="21"/>
  <c r="BA221" i="21"/>
  <c r="BB141" i="21"/>
  <c r="BA150" i="21"/>
  <c r="BA182" i="21"/>
  <c r="BA214" i="21"/>
  <c r="BA242" i="21"/>
  <c r="BA250" i="21"/>
  <c r="BA258" i="21"/>
  <c r="Z68" i="21"/>
  <c r="BB68" i="21"/>
  <c r="Y69" i="21"/>
  <c r="BB76" i="21"/>
  <c r="BB84" i="21"/>
  <c r="BB92" i="21"/>
  <c r="BB268" i="21"/>
  <c r="BB284" i="21"/>
  <c r="BB300" i="21"/>
  <c r="Y309" i="21"/>
  <c r="AJ312" i="21"/>
  <c r="Y317" i="21"/>
  <c r="BB372" i="21"/>
  <c r="BB380" i="21"/>
  <c r="Y198" i="21"/>
  <c r="AJ201" i="21"/>
  <c r="Z237" i="21"/>
  <c r="BB237" i="21"/>
  <c r="BB397" i="21"/>
  <c r="AJ194" i="21"/>
  <c r="AI195" i="21"/>
  <c r="Y199" i="21"/>
  <c r="BA199" i="21"/>
  <c r="AJ202" i="21"/>
  <c r="AI203" i="21"/>
  <c r="BA207" i="21"/>
  <c r="AI211" i="21"/>
  <c r="Y215" i="21"/>
  <c r="AJ218" i="21"/>
  <c r="BA223" i="21"/>
  <c r="BA239" i="21"/>
  <c r="BB246" i="21"/>
  <c r="BB254" i="21"/>
  <c r="AI259" i="21"/>
  <c r="Z262" i="21"/>
  <c r="BB262" i="21"/>
  <c r="Y263" i="21"/>
  <c r="AJ266" i="21"/>
  <c r="BA271" i="21"/>
  <c r="BB302" i="21"/>
  <c r="BB318" i="21"/>
  <c r="BB326" i="21"/>
  <c r="BB350" i="21"/>
  <c r="BB358" i="21"/>
  <c r="BB374" i="21"/>
  <c r="BB382" i="21"/>
  <c r="BB390" i="21"/>
  <c r="BB398" i="21"/>
  <c r="Y399" i="21"/>
  <c r="AJ402" i="21"/>
  <c r="AI403" i="21"/>
  <c r="Y112" i="21"/>
  <c r="Z119" i="21"/>
  <c r="Y120" i="21"/>
  <c r="Y128" i="21"/>
  <c r="BA136" i="21"/>
  <c r="BA160" i="21"/>
  <c r="BB167" i="21"/>
  <c r="Z175" i="21"/>
  <c r="Y176" i="21"/>
  <c r="BA176" i="21"/>
  <c r="Z183" i="21"/>
  <c r="AJ187" i="21"/>
  <c r="BA192" i="21"/>
  <c r="BA200" i="21"/>
  <c r="BB223" i="21"/>
  <c r="Y240" i="21"/>
  <c r="AI244" i="21"/>
  <c r="Z247" i="21"/>
  <c r="Y248" i="21"/>
  <c r="BA248" i="21"/>
  <c r="AI252" i="21"/>
  <c r="Z255" i="21"/>
  <c r="Y256" i="21"/>
  <c r="BA256" i="21"/>
  <c r="AI260" i="21"/>
  <c r="Z263" i="21"/>
  <c r="BA264" i="21"/>
  <c r="AJ267" i="21"/>
  <c r="BB287" i="21"/>
  <c r="BB303" i="21"/>
  <c r="Y328" i="21"/>
  <c r="BB343" i="21"/>
  <c r="BB359" i="21"/>
  <c r="Y360" i="21"/>
  <c r="AJ363" i="21"/>
  <c r="BB367" i="21"/>
  <c r="AI372" i="21"/>
  <c r="BB383" i="21"/>
  <c r="Z41" i="21"/>
  <c r="Y42" i="21"/>
  <c r="AI77" i="21"/>
  <c r="AI267" i="21"/>
  <c r="Y271" i="21"/>
  <c r="AJ274" i="21"/>
  <c r="AI275" i="21"/>
  <c r="Y279" i="21"/>
  <c r="AJ282" i="21"/>
  <c r="AJ290" i="21"/>
  <c r="AI291" i="21"/>
  <c r="Y303" i="21"/>
  <c r="Y311" i="21"/>
  <c r="AJ314" i="21"/>
  <c r="AI315" i="21"/>
  <c r="Y319" i="21"/>
  <c r="AI330" i="21"/>
  <c r="AJ337" i="21"/>
  <c r="AI338" i="21"/>
  <c r="AJ345" i="21"/>
  <c r="AJ361" i="21"/>
  <c r="AI362" i="21"/>
  <c r="Y366" i="21"/>
  <c r="AJ369" i="21"/>
  <c r="AI370" i="21"/>
  <c r="Y374" i="21"/>
  <c r="AJ377" i="21"/>
  <c r="AI378" i="21"/>
  <c r="Y382" i="21"/>
  <c r="AI386" i="21"/>
  <c r="AJ393" i="21"/>
  <c r="AI394" i="21"/>
  <c r="Y398" i="21"/>
  <c r="AJ54" i="21"/>
  <c r="Z81" i="21"/>
  <c r="Y82" i="21"/>
  <c r="AI86" i="21"/>
  <c r="Z89" i="21"/>
  <c r="Y90" i="21"/>
  <c r="AI94" i="21"/>
  <c r="Z97" i="21"/>
  <c r="AI102" i="21"/>
  <c r="Z105" i="21"/>
  <c r="AI110" i="21"/>
  <c r="Z113" i="21"/>
  <c r="AJ117" i="21"/>
  <c r="Z208" i="21"/>
  <c r="AI213" i="21"/>
  <c r="Z216" i="21"/>
  <c r="Y217" i="21"/>
  <c r="AI221" i="21"/>
  <c r="AI268" i="21"/>
  <c r="AJ275" i="21"/>
  <c r="AI276" i="21"/>
  <c r="AJ283" i="21"/>
  <c r="AI284" i="21"/>
  <c r="Z287" i="21"/>
  <c r="Y288" i="21"/>
  <c r="AI292" i="21"/>
  <c r="Z295" i="21"/>
  <c r="Y296" i="21"/>
  <c r="Y304" i="21"/>
  <c r="AJ307" i="21"/>
  <c r="AI308" i="21"/>
  <c r="Y312" i="21"/>
  <c r="AJ315" i="21"/>
  <c r="AI316" i="21"/>
  <c r="Z319" i="21"/>
  <c r="Y320" i="21"/>
  <c r="AI324" i="21"/>
  <c r="Z326" i="21"/>
  <c r="Y327" i="21"/>
  <c r="AI331" i="21"/>
  <c r="AI339" i="21"/>
  <c r="Y343" i="21"/>
  <c r="AJ346" i="21"/>
  <c r="AI347" i="21"/>
  <c r="Y351" i="21"/>
  <c r="AJ354" i="21"/>
  <c r="AI355" i="21"/>
  <c r="Z358" i="21"/>
  <c r="Y359" i="21"/>
  <c r="AJ362" i="21"/>
  <c r="Z366" i="21"/>
  <c r="Y367" i="21"/>
  <c r="AJ370" i="21"/>
  <c r="AI371" i="21"/>
  <c r="Z374" i="21"/>
  <c r="Y375" i="21"/>
  <c r="AJ378" i="21"/>
  <c r="AI379" i="21"/>
  <c r="Z390" i="21"/>
  <c r="AJ394" i="21"/>
  <c r="Z154" i="21"/>
  <c r="AI166" i="21"/>
  <c r="AJ173" i="21"/>
  <c r="AI174" i="21"/>
  <c r="Y178" i="21"/>
  <c r="AJ181" i="21"/>
  <c r="AI182" i="21"/>
  <c r="Y202" i="21"/>
  <c r="AI230" i="21"/>
  <c r="Z233" i="21"/>
  <c r="AI238" i="21"/>
  <c r="AI253" i="21"/>
  <c r="Y257" i="21"/>
  <c r="AI2" i="21"/>
  <c r="AJ8" i="21"/>
  <c r="AI9" i="21"/>
  <c r="AJ16" i="21"/>
  <c r="AI17" i="21"/>
  <c r="AI33" i="21"/>
  <c r="AI41" i="21"/>
  <c r="Z44" i="21"/>
  <c r="AI223" i="21"/>
  <c r="AI231" i="21"/>
  <c r="Z234" i="21"/>
  <c r="Y235" i="21"/>
  <c r="Z241" i="21"/>
  <c r="AJ245" i="21"/>
  <c r="AI246" i="21"/>
  <c r="AJ253" i="21"/>
  <c r="AI254" i="21"/>
  <c r="AJ261" i="21"/>
  <c r="AI262" i="21"/>
  <c r="Z265" i="21"/>
  <c r="Y266" i="21"/>
  <c r="AI270" i="21"/>
  <c r="Y274" i="21"/>
  <c r="AI278" i="21"/>
  <c r="Z281" i="21"/>
  <c r="Y282" i="21"/>
  <c r="AI389" i="21"/>
  <c r="AI397" i="21"/>
  <c r="Z84" i="21"/>
  <c r="Z92" i="21"/>
  <c r="AI97" i="21"/>
  <c r="AJ120" i="21"/>
  <c r="AJ128" i="21"/>
  <c r="AI129" i="21"/>
  <c r="Y133" i="21"/>
  <c r="AJ136" i="21"/>
  <c r="AI137" i="21"/>
  <c r="AJ144" i="21"/>
  <c r="AI145" i="21"/>
  <c r="AJ152" i="21"/>
  <c r="Z164" i="21"/>
  <c r="Y165" i="21"/>
  <c r="Z179" i="21"/>
  <c r="Y180" i="21"/>
  <c r="AI184" i="21"/>
  <c r="Z187" i="21"/>
  <c r="AI192" i="21"/>
  <c r="Z195" i="21"/>
  <c r="Z203" i="21"/>
  <c r="Y204" i="21"/>
  <c r="Z242" i="21"/>
  <c r="Y243" i="21"/>
  <c r="Y267" i="21"/>
  <c r="AJ270" i="21"/>
  <c r="AJ278" i="21"/>
  <c r="BI310" i="21"/>
  <c r="AJ121" i="21"/>
  <c r="Z133" i="21"/>
  <c r="Y134" i="21"/>
  <c r="Z204" i="21"/>
  <c r="Y213" i="21"/>
  <c r="Z220" i="21"/>
  <c r="Z228" i="21"/>
  <c r="AJ232" i="21"/>
  <c r="AI233" i="21"/>
  <c r="Y244" i="21"/>
  <c r="AJ382" i="21"/>
  <c r="BH280" i="21"/>
  <c r="BI280" i="21"/>
  <c r="AI89" i="21"/>
  <c r="AI113" i="21"/>
  <c r="AJ3" i="21"/>
  <c r="AI4" i="21"/>
  <c r="Y16" i="21"/>
  <c r="AJ19" i="21"/>
  <c r="AJ27" i="21"/>
  <c r="AI28" i="21"/>
  <c r="Y32" i="21"/>
  <c r="AJ35" i="21"/>
  <c r="AI36" i="21"/>
  <c r="AJ43" i="21"/>
  <c r="AI44" i="21"/>
  <c r="Y47" i="21"/>
  <c r="AJ58" i="21"/>
  <c r="Y63" i="21"/>
  <c r="AJ66" i="21"/>
  <c r="Y71" i="21"/>
  <c r="Z77" i="21"/>
  <c r="Y78" i="21"/>
  <c r="Z85" i="21"/>
  <c r="Y86" i="21"/>
  <c r="Z93" i="21"/>
  <c r="Y94" i="21"/>
  <c r="AI114" i="21"/>
  <c r="Y8" i="21"/>
  <c r="AJ11" i="21"/>
  <c r="Y2" i="21"/>
  <c r="AI5" i="21"/>
  <c r="Y9" i="21"/>
  <c r="AJ12" i="21"/>
  <c r="AI13" i="21"/>
  <c r="Y17" i="21"/>
  <c r="AI21" i="21"/>
  <c r="Z24" i="21"/>
  <c r="Y25" i="21"/>
  <c r="AI29" i="21"/>
  <c r="Z32" i="21"/>
  <c r="AI37" i="21"/>
  <c r="Z40" i="21"/>
  <c r="AI45" i="21"/>
  <c r="AJ51" i="21"/>
  <c r="AI52" i="21"/>
  <c r="Z55" i="21"/>
  <c r="Y56" i="21"/>
  <c r="AJ59" i="21"/>
  <c r="AI60" i="21"/>
  <c r="Z63" i="21"/>
  <c r="AJ67" i="21"/>
  <c r="AI68" i="21"/>
  <c r="AJ74" i="21"/>
  <c r="Y79" i="21"/>
  <c r="AJ82" i="21"/>
  <c r="AJ90" i="21"/>
  <c r="Y95" i="21"/>
  <c r="Y103" i="21"/>
  <c r="Y111" i="21"/>
  <c r="AI115" i="21"/>
  <c r="AI200" i="21"/>
  <c r="AI215" i="21"/>
  <c r="AI307" i="21"/>
  <c r="AI323" i="21"/>
  <c r="AI354" i="21"/>
  <c r="Y389" i="21"/>
  <c r="AI401" i="21"/>
  <c r="AI130" i="21"/>
  <c r="AI138" i="21"/>
  <c r="Z141" i="21"/>
  <c r="AI146" i="21"/>
  <c r="Z149" i="21"/>
  <c r="AJ161" i="21"/>
  <c r="AI162" i="21"/>
  <c r="AJ168" i="21"/>
  <c r="Y173" i="21"/>
  <c r="AI177" i="21"/>
  <c r="Y181" i="21"/>
  <c r="AJ184" i="21"/>
  <c r="Y189" i="21"/>
  <c r="AI193" i="21"/>
  <c r="Y197" i="21"/>
  <c r="Y205" i="21"/>
  <c r="AI208" i="21"/>
  <c r="Z211" i="21"/>
  <c r="AI216" i="21"/>
  <c r="Z219" i="21"/>
  <c r="AJ231" i="21"/>
  <c r="Y236" i="21"/>
  <c r="AI247" i="21"/>
  <c r="AJ162" i="21"/>
  <c r="Y190" i="21"/>
  <c r="Y206" i="21"/>
  <c r="AI217" i="21"/>
  <c r="Y221" i="21"/>
  <c r="Z250" i="21"/>
  <c r="AI255" i="21"/>
  <c r="Z258" i="21"/>
  <c r="AI263" i="21"/>
  <c r="AI271" i="21"/>
  <c r="Y275" i="21"/>
  <c r="Y290" i="21"/>
  <c r="AJ293" i="21"/>
  <c r="Z297" i="21"/>
  <c r="Y298" i="21"/>
  <c r="AJ301" i="21"/>
  <c r="Y313" i="21"/>
  <c r="AI317" i="21"/>
  <c r="Y321" i="21"/>
  <c r="AI325" i="21"/>
  <c r="AI332" i="21"/>
  <c r="Z335" i="21"/>
  <c r="AI340" i="21"/>
  <c r="Z343" i="21"/>
  <c r="AI348" i="21"/>
  <c r="Y352" i="21"/>
  <c r="AJ355" i="21"/>
  <c r="AI356" i="21"/>
  <c r="AI364" i="21"/>
  <c r="AI380" i="21"/>
  <c r="Y383" i="21"/>
  <c r="AI387" i="21"/>
  <c r="Y391" i="21"/>
  <c r="AI395" i="21"/>
  <c r="AJ131" i="21"/>
  <c r="AI132" i="21"/>
  <c r="Y136" i="21"/>
  <c r="AJ139" i="21"/>
  <c r="AI140" i="21"/>
  <c r="Y144" i="21"/>
  <c r="Y152" i="21"/>
  <c r="AJ155" i="21"/>
  <c r="Y160" i="21"/>
  <c r="AI164" i="21"/>
  <c r="Z166" i="21"/>
  <c r="Y167" i="21"/>
  <c r="AI179" i="21"/>
  <c r="AI234" i="21"/>
  <c r="AI241" i="21"/>
  <c r="Y245" i="21"/>
  <c r="Z251" i="21"/>
  <c r="Y252" i="21"/>
  <c r="Z259" i="21"/>
  <c r="Y260" i="21"/>
  <c r="AI264" i="21"/>
  <c r="Y268" i="21"/>
  <c r="AI272" i="21"/>
  <c r="AI280" i="21"/>
  <c r="AI287" i="21"/>
  <c r="AI302" i="21"/>
  <c r="AI310" i="21"/>
  <c r="AI318" i="21"/>
  <c r="AI333" i="21"/>
  <c r="AI357" i="21"/>
  <c r="AI365" i="21"/>
  <c r="Z368" i="21"/>
  <c r="Y369" i="21"/>
  <c r="Y377" i="21"/>
  <c r="AI388" i="21"/>
  <c r="Y392" i="21"/>
  <c r="AI396" i="21"/>
  <c r="Y400" i="21"/>
  <c r="AI404" i="21"/>
  <c r="AJ132" i="21"/>
  <c r="AI133" i="21"/>
  <c r="AJ140" i="21"/>
  <c r="AI141" i="21"/>
  <c r="AJ148" i="21"/>
  <c r="AI149" i="21"/>
  <c r="Y153" i="21"/>
  <c r="AJ156" i="21"/>
  <c r="AI157" i="21"/>
  <c r="Y161" i="21"/>
  <c r="AJ164" i="21"/>
  <c r="Y168" i="21"/>
  <c r="AJ171" i="21"/>
  <c r="AI180" i="21"/>
  <c r="Y184" i="21"/>
  <c r="AI188" i="21"/>
  <c r="Z191" i="21"/>
  <c r="Y192" i="21"/>
  <c r="AI196" i="21"/>
  <c r="Y200" i="21"/>
  <c r="AI204" i="21"/>
  <c r="Z207" i="21"/>
  <c r="AI219" i="21"/>
  <c r="Z222" i="21"/>
  <c r="Y223" i="21"/>
  <c r="AJ226" i="21"/>
  <c r="Z230" i="21"/>
  <c r="Y231" i="21"/>
  <c r="Z238" i="21"/>
  <c r="AI242" i="21"/>
  <c r="Y246" i="21"/>
  <c r="Y253" i="21"/>
  <c r="AJ256" i="21"/>
  <c r="Y261" i="21"/>
  <c r="AI265" i="21"/>
  <c r="AI273" i="21"/>
  <c r="Z276" i="21"/>
  <c r="AI288" i="21"/>
  <c r="Z291" i="21"/>
  <c r="AI296" i="21"/>
  <c r="Z299" i="21"/>
  <c r="Y300" i="21"/>
  <c r="AI303" i="21"/>
  <c r="Z322" i="21"/>
  <c r="AI326" i="21"/>
  <c r="AI334" i="21"/>
  <c r="AJ341" i="21"/>
  <c r="AI342" i="21"/>
  <c r="Y346" i="21"/>
  <c r="AJ349" i="21"/>
  <c r="AJ357" i="21"/>
  <c r="AI358" i="21"/>
  <c r="Y362" i="21"/>
  <c r="AI366" i="21"/>
  <c r="Y370" i="21"/>
  <c r="AJ373" i="21"/>
  <c r="AJ381" i="21"/>
  <c r="Z392" i="21"/>
  <c r="AI118" i="21"/>
  <c r="AI126" i="21"/>
  <c r="Z129" i="21"/>
  <c r="AI134" i="21"/>
  <c r="Z137" i="21"/>
  <c r="AI142" i="21"/>
  <c r="Z145" i="21"/>
  <c r="Y146" i="21"/>
  <c r="AI150" i="21"/>
  <c r="AI158" i="21"/>
  <c r="Y162" i="21"/>
  <c r="Y169" i="21"/>
  <c r="AJ172" i="21"/>
  <c r="AI173" i="21"/>
  <c r="AJ180" i="21"/>
  <c r="AI181" i="21"/>
  <c r="Z184" i="21"/>
  <c r="Y185" i="21"/>
  <c r="AI189" i="21"/>
  <c r="Z192" i="21"/>
  <c r="Y193" i="21"/>
  <c r="AI197" i="21"/>
  <c r="Z200" i="21"/>
  <c r="Y201" i="21"/>
  <c r="AI205" i="21"/>
  <c r="Y208" i="21"/>
  <c r="Z215" i="21"/>
  <c r="AI220" i="21"/>
  <c r="Z223" i="21"/>
  <c r="AI228" i="21"/>
  <c r="Y232" i="21"/>
  <c r="AJ235" i="21"/>
  <c r="Z246" i="21"/>
  <c r="AJ249" i="21"/>
  <c r="AI250" i="21"/>
  <c r="AJ257" i="21"/>
  <c r="AI258" i="21"/>
  <c r="Y262" i="21"/>
  <c r="AJ265" i="21"/>
  <c r="AI266" i="21"/>
  <c r="Z269" i="21"/>
  <c r="Y270" i="21"/>
  <c r="AI274" i="21"/>
  <c r="Y278" i="21"/>
  <c r="AI281" i="21"/>
  <c r="Z284" i="21"/>
  <c r="Y285" i="21"/>
  <c r="AI289" i="21"/>
  <c r="Z292" i="21"/>
  <c r="Y293" i="21"/>
  <c r="AI297" i="21"/>
  <c r="Y301" i="21"/>
  <c r="Z307" i="21"/>
  <c r="Y308" i="21"/>
  <c r="Z315" i="21"/>
  <c r="Y316" i="21"/>
  <c r="Z323" i="21"/>
  <c r="Y324" i="21"/>
  <c r="AI327" i="21"/>
  <c r="Z330" i="21"/>
  <c r="AJ334" i="21"/>
  <c r="AI335" i="21"/>
  <c r="Y339" i="21"/>
  <c r="AI343" i="21"/>
  <c r="AJ350" i="21"/>
  <c r="AI351" i="21"/>
  <c r="Y355" i="21"/>
  <c r="AI359" i="21"/>
  <c r="Z362" i="21"/>
  <c r="AI367" i="21"/>
  <c r="Y371" i="21"/>
  <c r="AI375" i="21"/>
  <c r="Y379" i="21"/>
  <c r="Y386" i="21"/>
  <c r="AI390" i="21"/>
  <c r="Z393" i="21"/>
  <c r="AI398" i="21"/>
  <c r="Z401" i="21"/>
  <c r="Y402" i="21"/>
  <c r="AJ22" i="21"/>
  <c r="AI23" i="21"/>
  <c r="Y27" i="21"/>
  <c r="AJ30" i="21"/>
  <c r="Y35" i="21"/>
  <c r="AJ38" i="21"/>
  <c r="AI39" i="21"/>
  <c r="Y43" i="21"/>
  <c r="AJ46" i="21"/>
  <c r="Z49" i="21"/>
  <c r="Y50" i="21"/>
  <c r="Y4" i="21"/>
  <c r="AJ7" i="21"/>
  <c r="AI8" i="21"/>
  <c r="Y12" i="21"/>
  <c r="AJ15" i="21"/>
  <c r="AI16" i="21"/>
  <c r="Y20" i="21"/>
  <c r="AJ23" i="21"/>
  <c r="AI24" i="21"/>
  <c r="Y28" i="21"/>
  <c r="AJ31" i="21"/>
  <c r="AI32" i="21"/>
  <c r="Y36" i="21"/>
  <c r="AJ39" i="21"/>
  <c r="AI40" i="21"/>
  <c r="Y51" i="21"/>
  <c r="AI18" i="21"/>
  <c r="AI49" i="21"/>
  <c r="AI10" i="21"/>
  <c r="Z21" i="21"/>
  <c r="Y22" i="21"/>
  <c r="AI26" i="21"/>
  <c r="Z29" i="21"/>
  <c r="Y30" i="21"/>
  <c r="AI34" i="21"/>
  <c r="Z37" i="21"/>
  <c r="Y38" i="21"/>
  <c r="Z45" i="21"/>
  <c r="Y46" i="21"/>
  <c r="Y7" i="21"/>
  <c r="AI11" i="21"/>
  <c r="Z14" i="21"/>
  <c r="Y15" i="21"/>
  <c r="AI19" i="21"/>
  <c r="Y23" i="21"/>
  <c r="AJ26" i="21"/>
  <c r="Y31" i="21"/>
  <c r="AJ34" i="21"/>
  <c r="AI35" i="21"/>
  <c r="Y39" i="21"/>
  <c r="AJ42" i="21"/>
  <c r="Z53" i="21"/>
  <c r="Z60" i="21"/>
  <c r="AI95" i="21"/>
  <c r="AI119" i="21"/>
  <c r="Y177" i="21"/>
  <c r="AJ188" i="21"/>
  <c r="AI212" i="21"/>
  <c r="AJ316" i="21"/>
  <c r="Y54" i="21"/>
  <c r="Y62" i="21"/>
  <c r="AI66" i="21"/>
  <c r="Z69" i="21"/>
  <c r="Y70" i="21"/>
  <c r="AI73" i="21"/>
  <c r="Z76" i="21"/>
  <c r="AI81" i="21"/>
  <c r="AJ87" i="21"/>
  <c r="AI88" i="21"/>
  <c r="Y209" i="21"/>
  <c r="AI227" i="21"/>
  <c r="Y239" i="21"/>
  <c r="AJ279" i="21"/>
  <c r="Y283" i="21"/>
  <c r="AJ286" i="21"/>
  <c r="Y291" i="21"/>
  <c r="AJ294" i="21"/>
  <c r="Y306" i="21"/>
  <c r="AJ325" i="21"/>
  <c r="Y329" i="21"/>
  <c r="AJ332" i="21"/>
  <c r="Z336" i="21"/>
  <c r="Y337" i="21"/>
  <c r="Y345" i="21"/>
  <c r="Y353" i="21"/>
  <c r="AJ356" i="21"/>
  <c r="Y361" i="21"/>
  <c r="Y368" i="21"/>
  <c r="BI382" i="21"/>
  <c r="Z389" i="21"/>
  <c r="Y390" i="21"/>
  <c r="Y55" i="21"/>
  <c r="AI105" i="21"/>
  <c r="AJ143" i="21"/>
  <c r="Y148" i="21"/>
  <c r="AI175" i="21"/>
  <c r="AI207" i="21"/>
  <c r="Y210" i="21"/>
  <c r="AJ248" i="21"/>
  <c r="Y292" i="21"/>
  <c r="Z306" i="21"/>
  <c r="Y338" i="21"/>
  <c r="Z109" i="21"/>
  <c r="Y118" i="21"/>
  <c r="AI122" i="21"/>
  <c r="Z171" i="21"/>
  <c r="AJ183" i="21"/>
  <c r="Y196" i="21"/>
  <c r="AJ228" i="21"/>
  <c r="Y254" i="21"/>
  <c r="Y87" i="21"/>
  <c r="AI154" i="21"/>
  <c r="AJ221" i="21"/>
  <c r="AJ244" i="21"/>
  <c r="AI251" i="21"/>
  <c r="Z254" i="21"/>
  <c r="Y255" i="21"/>
  <c r="Y294" i="21"/>
  <c r="AJ304" i="21"/>
  <c r="Y325" i="21"/>
  <c r="Z378" i="21"/>
  <c r="Z384" i="21"/>
  <c r="Y58" i="21"/>
  <c r="AJ123" i="21"/>
  <c r="AI163" i="21"/>
  <c r="Y166" i="21"/>
  <c r="AI170" i="21"/>
  <c r="Y242" i="21"/>
  <c r="Y264" i="21"/>
  <c r="Y318" i="21"/>
  <c r="AJ328" i="21"/>
  <c r="Z340" i="21"/>
  <c r="Y341" i="21"/>
  <c r="AI55" i="21"/>
  <c r="AI71" i="21"/>
  <c r="BI81" i="21"/>
  <c r="AJ147" i="21"/>
  <c r="Y207" i="21"/>
  <c r="AI224" i="21"/>
  <c r="AI232" i="21"/>
  <c r="AJ239" i="21"/>
  <c r="Y249" i="21"/>
  <c r="AJ299" i="21"/>
  <c r="Z310" i="21"/>
  <c r="Y326" i="21"/>
  <c r="Y342" i="21"/>
  <c r="Y350" i="21"/>
  <c r="Z357" i="21"/>
  <c r="Y358" i="21"/>
  <c r="Y373" i="21"/>
  <c r="AJ376" i="21"/>
  <c r="Y381" i="21"/>
  <c r="Z386" i="21"/>
  <c r="Y387" i="21"/>
  <c r="AJ390" i="21"/>
  <c r="Z394" i="21"/>
  <c r="Y395" i="21"/>
  <c r="Z402" i="21"/>
  <c r="Y403" i="21"/>
  <c r="BI403" i="21"/>
  <c r="Y67" i="21"/>
  <c r="Z174" i="21"/>
  <c r="Z206" i="21"/>
  <c r="Z5" i="21"/>
  <c r="Z13" i="21"/>
  <c r="Y91" i="21"/>
  <c r="Z199" i="21"/>
  <c r="Z308" i="21"/>
  <c r="BI400" i="21"/>
  <c r="Z309" i="21"/>
  <c r="Z317" i="21"/>
  <c r="Z380" i="21"/>
  <c r="Z375" i="21"/>
  <c r="Y64" i="21"/>
  <c r="Z101" i="21"/>
  <c r="Z125" i="21"/>
  <c r="Y224" i="21"/>
  <c r="Z268" i="21"/>
  <c r="Z311" i="21"/>
  <c r="BI350" i="21"/>
  <c r="BI356" i="21"/>
  <c r="Y10" i="21"/>
  <c r="Z157" i="21"/>
  <c r="Z173" i="21"/>
  <c r="BI281" i="21"/>
  <c r="AZ361" i="21"/>
  <c r="BB361" i="21" s="1"/>
  <c r="BI217" i="21"/>
  <c r="BI402" i="21"/>
  <c r="BI200" i="21"/>
  <c r="BI38" i="21"/>
  <c r="BI56" i="21"/>
  <c r="BI134" i="21"/>
  <c r="BI263" i="21"/>
  <c r="BI266" i="21"/>
  <c r="BI339" i="21"/>
  <c r="BI359" i="21"/>
  <c r="BI380" i="21"/>
  <c r="X379" i="21"/>
  <c r="Z379" i="21" s="1"/>
  <c r="AZ295" i="21"/>
  <c r="BI76" i="21"/>
  <c r="BI179" i="21"/>
  <c r="BI182" i="21"/>
  <c r="BI201" i="21"/>
  <c r="BI293" i="21"/>
  <c r="R344" i="21"/>
  <c r="Y344" i="21" s="1"/>
  <c r="AZ207" i="21"/>
  <c r="BB207" i="21" s="1"/>
  <c r="AZ95" i="21"/>
  <c r="AZ79" i="21"/>
  <c r="BI97" i="21"/>
  <c r="BI247" i="21"/>
  <c r="BI343" i="21"/>
  <c r="T373" i="21"/>
  <c r="Z373" i="21" s="1"/>
  <c r="X277" i="21"/>
  <c r="Z277" i="21" s="1"/>
  <c r="AZ263" i="21"/>
  <c r="BI127" i="21"/>
  <c r="BI166" i="21"/>
  <c r="BI357" i="21"/>
  <c r="T364" i="21"/>
  <c r="Z364" i="21" s="1"/>
  <c r="T301" i="21"/>
  <c r="AZ47" i="21"/>
  <c r="BI11" i="21"/>
  <c r="BI88" i="21"/>
  <c r="BI180" i="21"/>
  <c r="BI192" i="21"/>
  <c r="BI220" i="21"/>
  <c r="BI370" i="21"/>
  <c r="BI379" i="21"/>
  <c r="V384" i="21"/>
  <c r="Y384" i="21" s="1"/>
  <c r="AZ375" i="21"/>
  <c r="AX339" i="21"/>
  <c r="BI154" i="21"/>
  <c r="BI203" i="21"/>
  <c r="BI264" i="21"/>
  <c r="BI299" i="21"/>
  <c r="AX324" i="21"/>
  <c r="BA324" i="21" s="1"/>
  <c r="BI189" i="21"/>
  <c r="BI390" i="21"/>
  <c r="R247" i="21"/>
  <c r="Y247" i="21" s="1"/>
  <c r="T351" i="21"/>
  <c r="Z351" i="21" s="1"/>
  <c r="AV381" i="21"/>
  <c r="BB381" i="21" s="1"/>
  <c r="AP9" i="21"/>
  <c r="BA9" i="21" s="1"/>
  <c r="AD6" i="21"/>
  <c r="AJ6" i="21" s="1"/>
  <c r="AB12" i="21"/>
  <c r="AI12" i="21" s="1"/>
  <c r="AV14" i="21"/>
  <c r="AV18" i="21"/>
  <c r="V21" i="21"/>
  <c r="Y21" i="21" s="1"/>
  <c r="AL29" i="21"/>
  <c r="BA29" i="21" s="1"/>
  <c r="AD37" i="21"/>
  <c r="AJ37" i="21" s="1"/>
  <c r="AV46" i="21"/>
  <c r="AX48" i="21"/>
  <c r="X50" i="21"/>
  <c r="Z50" i="21" s="1"/>
  <c r="T51" i="21"/>
  <c r="BI57" i="21"/>
  <c r="BF57" i="21"/>
  <c r="AD61" i="21"/>
  <c r="AJ61" i="21" s="1"/>
  <c r="X62" i="21"/>
  <c r="Z62" i="21" s="1"/>
  <c r="BI68" i="21"/>
  <c r="BF68" i="21"/>
  <c r="X78" i="21"/>
  <c r="AB83" i="21"/>
  <c r="AI83" i="21" s="1"/>
  <c r="AH88" i="21"/>
  <c r="AJ88" i="21" s="1"/>
  <c r="AV93" i="21"/>
  <c r="BB93" i="21" s="1"/>
  <c r="BI98" i="21"/>
  <c r="BF98" i="21"/>
  <c r="AB100" i="21"/>
  <c r="AI100" i="21" s="1"/>
  <c r="BI101" i="21"/>
  <c r="BF101" i="21"/>
  <c r="X107" i="21"/>
  <c r="T111" i="21"/>
  <c r="AV142" i="21"/>
  <c r="BB142" i="21" s="1"/>
  <c r="AR143" i="21"/>
  <c r="BB143" i="21" s="1"/>
  <c r="AN144" i="21"/>
  <c r="BB144" i="21" s="1"/>
  <c r="AH145" i="21"/>
  <c r="AJ145" i="21" s="1"/>
  <c r="AH165" i="21"/>
  <c r="AJ165" i="21" s="1"/>
  <c r="AH167" i="21"/>
  <c r="AJ167" i="21" s="1"/>
  <c r="BI169" i="21"/>
  <c r="BH169" i="21"/>
  <c r="AV170" i="21"/>
  <c r="BB170" i="21" s="1"/>
  <c r="T181" i="21"/>
  <c r="AV183" i="21"/>
  <c r="BB183" i="21" s="1"/>
  <c r="BI184" i="21"/>
  <c r="BH184" i="21"/>
  <c r="AF185" i="21"/>
  <c r="AI185" i="21" s="1"/>
  <c r="AR189" i="21"/>
  <c r="BB189" i="21" s="1"/>
  <c r="AH195" i="21"/>
  <c r="AB202" i="21"/>
  <c r="AI202" i="21" s="1"/>
  <c r="AX205" i="21"/>
  <c r="BA205" i="21" s="1"/>
  <c r="BI213" i="21"/>
  <c r="BH213" i="21"/>
  <c r="AN217" i="21"/>
  <c r="AX228" i="21"/>
  <c r="AT229" i="21"/>
  <c r="AR231" i="21"/>
  <c r="BB231" i="21" s="1"/>
  <c r="BI232" i="21"/>
  <c r="BH232" i="21"/>
  <c r="AH233" i="21"/>
  <c r="AJ233" i="21" s="1"/>
  <c r="AD234" i="21"/>
  <c r="AJ234" i="21" s="1"/>
  <c r="AV234" i="21"/>
  <c r="BB234" i="21" s="1"/>
  <c r="X235" i="21"/>
  <c r="Z235" i="21" s="1"/>
  <c r="AR235" i="21"/>
  <c r="BB235" i="21" s="1"/>
  <c r="BI236" i="21"/>
  <c r="BH236" i="21"/>
  <c r="AH237" i="21"/>
  <c r="AJ237" i="21" s="1"/>
  <c r="AD238" i="21"/>
  <c r="AJ238" i="21" s="1"/>
  <c r="AV238" i="21"/>
  <c r="BB238" i="21" s="1"/>
  <c r="X239" i="21"/>
  <c r="Z239" i="21" s="1"/>
  <c r="AR239" i="21"/>
  <c r="BB239" i="21" s="1"/>
  <c r="T240" i="21"/>
  <c r="Z240" i="21" s="1"/>
  <c r="AN240" i="21"/>
  <c r="BB240" i="21" s="1"/>
  <c r="AF248" i="21"/>
  <c r="AI248" i="21" s="1"/>
  <c r="AV251" i="21"/>
  <c r="BB251" i="21" s="1"/>
  <c r="X252" i="21"/>
  <c r="Z252" i="21" s="1"/>
  <c r="AR256" i="21"/>
  <c r="BB256" i="21" s="1"/>
  <c r="AT261" i="21"/>
  <c r="BA261" i="21" s="1"/>
  <c r="AD263" i="21"/>
  <c r="AJ263" i="21" s="1"/>
  <c r="AV263" i="21"/>
  <c r="X266" i="21"/>
  <c r="AD269" i="21"/>
  <c r="AJ269" i="21" s="1"/>
  <c r="AV269" i="21"/>
  <c r="X270" i="21"/>
  <c r="Z270" i="21" s="1"/>
  <c r="X274" i="21"/>
  <c r="Z274" i="21" s="1"/>
  <c r="T275" i="21"/>
  <c r="Z275" i="21" s="1"/>
  <c r="AR278" i="21"/>
  <c r="AD280" i="21"/>
  <c r="AR282" i="21"/>
  <c r="BB282" i="21" s="1"/>
  <c r="X286" i="21"/>
  <c r="Z286" i="21" s="1"/>
  <c r="BI286" i="21"/>
  <c r="BH286" i="21"/>
  <c r="AH287" i="21"/>
  <c r="AJ287" i="21" s="1"/>
  <c r="AR295" i="21"/>
  <c r="AF300" i="21"/>
  <c r="AI300" i="21" s="1"/>
  <c r="X301" i="21"/>
  <c r="AV310" i="21"/>
  <c r="BB310" i="21" s="1"/>
  <c r="AD323" i="21"/>
  <c r="AJ323" i="21" s="1"/>
  <c r="AR329" i="21"/>
  <c r="V334" i="21"/>
  <c r="Y334" i="21" s="1"/>
  <c r="AN334" i="21"/>
  <c r="BB334" i="21" s="1"/>
  <c r="AV336" i="21"/>
  <c r="BB336" i="21" s="1"/>
  <c r="AR337" i="21"/>
  <c r="T338" i="21"/>
  <c r="Z338" i="21" s="1"/>
  <c r="AH342" i="21"/>
  <c r="AJ342" i="21" s="1"/>
  <c r="AB350" i="21"/>
  <c r="AI350" i="21" s="1"/>
  <c r="AN354" i="21"/>
  <c r="AF361" i="21"/>
  <c r="BI369" i="21"/>
  <c r="BH369" i="21"/>
  <c r="AH374" i="21"/>
  <c r="AJ374" i="21" s="1"/>
  <c r="AF391" i="21"/>
  <c r="AI391" i="21" s="1"/>
  <c r="V401" i="21"/>
  <c r="Y401" i="21" s="1"/>
  <c r="X181" i="21"/>
  <c r="X3" i="21"/>
  <c r="Z3" i="21" s="1"/>
  <c r="V5" i="21"/>
  <c r="Y5" i="21" s="1"/>
  <c r="V13" i="21"/>
  <c r="Y13" i="21" s="1"/>
  <c r="AD14" i="21"/>
  <c r="AJ14" i="21" s="1"/>
  <c r="AV37" i="21"/>
  <c r="BB37" i="21" s="1"/>
  <c r="BI47" i="21"/>
  <c r="BH47" i="21"/>
  <c r="AH48" i="21"/>
  <c r="AJ48" i="21" s="1"/>
  <c r="AD49" i="21"/>
  <c r="BI51" i="21"/>
  <c r="BH51" i="21"/>
  <c r="AD55" i="21"/>
  <c r="X56" i="21"/>
  <c r="Z56" i="21" s="1"/>
  <c r="V60" i="21"/>
  <c r="Y60" i="21" s="1"/>
  <c r="AV61" i="21"/>
  <c r="BB61" i="21" s="1"/>
  <c r="AD69" i="21"/>
  <c r="AJ69" i="21" s="1"/>
  <c r="AN70" i="21"/>
  <c r="AD73" i="21"/>
  <c r="AJ73" i="21" s="1"/>
  <c r="R77" i="21"/>
  <c r="Y77" i="21" s="1"/>
  <c r="T79" i="21"/>
  <c r="Z79" i="21" s="1"/>
  <c r="AH84" i="21"/>
  <c r="AJ84" i="21" s="1"/>
  <c r="T95" i="21"/>
  <c r="Z95" i="21" s="1"/>
  <c r="AF99" i="21"/>
  <c r="AV102" i="21"/>
  <c r="AR103" i="21"/>
  <c r="AN104" i="21"/>
  <c r="BB104" i="21" s="1"/>
  <c r="AH105" i="21"/>
  <c r="AR107" i="21"/>
  <c r="AN108" i="21"/>
  <c r="BB108" i="21" s="1"/>
  <c r="AV109" i="21"/>
  <c r="BB109" i="21" s="1"/>
  <c r="X110" i="21"/>
  <c r="Z110" i="21" s="1"/>
  <c r="BI111" i="21"/>
  <c r="BH111" i="21"/>
  <c r="V114" i="21"/>
  <c r="AN116" i="21"/>
  <c r="BI116" i="21"/>
  <c r="BH116" i="21"/>
  <c r="AR120" i="21"/>
  <c r="V121" i="21"/>
  <c r="Y121" i="21" s="1"/>
  <c r="AN121" i="21"/>
  <c r="BB121" i="21" s="1"/>
  <c r="BI124" i="21"/>
  <c r="BH124" i="21"/>
  <c r="AH125" i="21"/>
  <c r="AJ125" i="21" s="1"/>
  <c r="AD126" i="21"/>
  <c r="AJ126" i="21" s="1"/>
  <c r="AV126" i="21"/>
  <c r="BB126" i="21" s="1"/>
  <c r="X131" i="21"/>
  <c r="Z131" i="21" s="1"/>
  <c r="T136" i="21"/>
  <c r="Z136" i="21" s="1"/>
  <c r="AN136" i="21"/>
  <c r="BB136" i="21" s="1"/>
  <c r="AD142" i="21"/>
  <c r="AJ142" i="21" s="1"/>
  <c r="T144" i="21"/>
  <c r="Z144" i="21" s="1"/>
  <c r="V149" i="21"/>
  <c r="Y149" i="21" s="1"/>
  <c r="AD150" i="21"/>
  <c r="AJ150" i="21" s="1"/>
  <c r="T152" i="21"/>
  <c r="BI152" i="21"/>
  <c r="BH152" i="21"/>
  <c r="BI160" i="21"/>
  <c r="BF160" i="21"/>
  <c r="AF161" i="21"/>
  <c r="AP174" i="21"/>
  <c r="AD176" i="21"/>
  <c r="AJ176" i="21" s="1"/>
  <c r="AX197" i="21"/>
  <c r="BA197" i="21" s="1"/>
  <c r="AD212" i="21"/>
  <c r="AJ212" i="21" s="1"/>
  <c r="AN213" i="21"/>
  <c r="AD216" i="21"/>
  <c r="AJ216" i="21" s="1"/>
  <c r="V219" i="21"/>
  <c r="Y219" i="21" s="1"/>
  <c r="AP219" i="21"/>
  <c r="BA219" i="21" s="1"/>
  <c r="AD220" i="21"/>
  <c r="AJ220" i="21" s="1"/>
  <c r="AD2" i="21"/>
  <c r="AJ2" i="21" s="1"/>
  <c r="AV2" i="21"/>
  <c r="BI3" i="21"/>
  <c r="BH3" i="21"/>
  <c r="AV6" i="21"/>
  <c r="BB6" i="21" s="1"/>
  <c r="AN7" i="21"/>
  <c r="X11" i="21"/>
  <c r="AN11" i="21"/>
  <c r="BI13" i="21"/>
  <c r="X15" i="21"/>
  <c r="AP17" i="21"/>
  <c r="BA17" i="21" s="1"/>
  <c r="X19" i="21"/>
  <c r="Z19" i="21" s="1"/>
  <c r="AH20" i="21"/>
  <c r="AJ20" i="21" s="1"/>
  <c r="BI29" i="21"/>
  <c r="AB31" i="21"/>
  <c r="AI31" i="21" s="1"/>
  <c r="AD33" i="21"/>
  <c r="AJ33" i="21" s="1"/>
  <c r="AP36" i="21"/>
  <c r="BA36" i="21" s="1"/>
  <c r="X38" i="21"/>
  <c r="Z38" i="21" s="1"/>
  <c r="AR38" i="21"/>
  <c r="BB38" i="21" s="1"/>
  <c r="BI42" i="21"/>
  <c r="BI45" i="21"/>
  <c r="AF46" i="21"/>
  <c r="AI46" i="21" s="1"/>
  <c r="AR47" i="21"/>
  <c r="AV49" i="21"/>
  <c r="BB49" i="21" s="1"/>
  <c r="AR50" i="21"/>
  <c r="BB50" i="21" s="1"/>
  <c r="AN51" i="21"/>
  <c r="BB51" i="21" s="1"/>
  <c r="AH52" i="21"/>
  <c r="AJ52" i="21" s="1"/>
  <c r="AL57" i="21"/>
  <c r="BA57" i="21" s="1"/>
  <c r="AB59" i="21"/>
  <c r="AI59" i="21" s="1"/>
  <c r="AT59" i="21"/>
  <c r="BA59" i="21" s="1"/>
  <c r="AX61" i="21"/>
  <c r="AR62" i="21"/>
  <c r="AN63" i="21"/>
  <c r="BB63" i="21" s="1"/>
  <c r="BI63" i="21"/>
  <c r="BH63" i="21"/>
  <c r="AD64" i="21"/>
  <c r="AV64" i="21"/>
  <c r="BB64" i="21" s="1"/>
  <c r="X70" i="21"/>
  <c r="Z70" i="21" s="1"/>
  <c r="BI70" i="21"/>
  <c r="AT71" i="21"/>
  <c r="BA71" i="21" s="1"/>
  <c r="AP72" i="21"/>
  <c r="BA72" i="21" s="1"/>
  <c r="AN74" i="21"/>
  <c r="AV77" i="21"/>
  <c r="BB77" i="21" s="1"/>
  <c r="AB78" i="21"/>
  <c r="AI78" i="21" s="1"/>
  <c r="AR78" i="21"/>
  <c r="BB78" i="21" s="1"/>
  <c r="AN79" i="21"/>
  <c r="BI79" i="21"/>
  <c r="BH79" i="21"/>
  <c r="AL81" i="21"/>
  <c r="BA81" i="21" s="1"/>
  <c r="AF82" i="21"/>
  <c r="AI82" i="21" s="1"/>
  <c r="AX86" i="21"/>
  <c r="BA86" i="21" s="1"/>
  <c r="AD89" i="21"/>
  <c r="AJ89" i="21" s="1"/>
  <c r="AR94" i="21"/>
  <c r="BB94" i="21" s="1"/>
  <c r="AN95" i="21"/>
  <c r="BI95" i="21"/>
  <c r="BH95" i="21"/>
  <c r="V97" i="21"/>
  <c r="Y97" i="21" s="1"/>
  <c r="AP97" i="21"/>
  <c r="R98" i="21"/>
  <c r="Y98" i="21" s="1"/>
  <c r="AL98" i="21"/>
  <c r="AX99" i="21"/>
  <c r="BA99" i="21" s="1"/>
  <c r="AT100" i="21"/>
  <c r="BA100" i="21" s="1"/>
  <c r="V101" i="21"/>
  <c r="AX102" i="21"/>
  <c r="AT103" i="21"/>
  <c r="AP104" i="21"/>
  <c r="AL105" i="21"/>
  <c r="AD106" i="21"/>
  <c r="AJ106" i="21" s="1"/>
  <c r="AV106" i="21"/>
  <c r="AB107" i="21"/>
  <c r="V108" i="21"/>
  <c r="Y108" i="21" s="1"/>
  <c r="BI108" i="21"/>
  <c r="BH108" i="21"/>
  <c r="AH109" i="21"/>
  <c r="AR110" i="21"/>
  <c r="AN111" i="21"/>
  <c r="AH112" i="21"/>
  <c r="AJ112" i="21" s="1"/>
  <c r="AT113" i="21"/>
  <c r="AV115" i="21"/>
  <c r="BB115" i="21" s="1"/>
  <c r="X116" i="21"/>
  <c r="Z116" i="21" s="1"/>
  <c r="AL119" i="21"/>
  <c r="BA119" i="21" s="1"/>
  <c r="AT120" i="21"/>
  <c r="BA120" i="21" s="1"/>
  <c r="BI121" i="21"/>
  <c r="BH121" i="21"/>
  <c r="AH122" i="21"/>
  <c r="T124" i="21"/>
  <c r="Z124" i="21" s="1"/>
  <c r="AN124" i="21"/>
  <c r="BB124" i="21" s="1"/>
  <c r="V129" i="21"/>
  <c r="Y129" i="21" s="1"/>
  <c r="AV130" i="21"/>
  <c r="BB130" i="21" s="1"/>
  <c r="AL134" i="21"/>
  <c r="BA134" i="21" s="1"/>
  <c r="BI136" i="21"/>
  <c r="BH136" i="21"/>
  <c r="AH137" i="21"/>
  <c r="AJ137" i="21" s="1"/>
  <c r="AX139" i="21"/>
  <c r="BA139" i="21" s="1"/>
  <c r="V141" i="21"/>
  <c r="Y141" i="21" s="1"/>
  <c r="AP141" i="21"/>
  <c r="BA141" i="21" s="1"/>
  <c r="AD146" i="21"/>
  <c r="AJ146" i="21" s="1"/>
  <c r="BI147" i="21"/>
  <c r="X151" i="21"/>
  <c r="Z151" i="21" s="1"/>
  <c r="AR151" i="21"/>
  <c r="BB151" i="21" s="1"/>
  <c r="AN152" i="21"/>
  <c r="BB152" i="21" s="1"/>
  <c r="AH153" i="21"/>
  <c r="AJ153" i="21" s="1"/>
  <c r="AD154" i="21"/>
  <c r="AJ154" i="21" s="1"/>
  <c r="AV154" i="21"/>
  <c r="BB154" i="21" s="1"/>
  <c r="AR155" i="21"/>
  <c r="T156" i="21"/>
  <c r="Z156" i="21" s="1"/>
  <c r="AN156" i="21"/>
  <c r="BI156" i="21"/>
  <c r="BH156" i="21"/>
  <c r="AH157" i="21"/>
  <c r="AJ157" i="21" s="1"/>
  <c r="X159" i="21"/>
  <c r="Z159" i="21" s="1"/>
  <c r="AR159" i="21"/>
  <c r="BB159" i="21" s="1"/>
  <c r="T160" i="21"/>
  <c r="AN160" i="21"/>
  <c r="R163" i="21"/>
  <c r="Y163" i="21" s="1"/>
  <c r="T165" i="21"/>
  <c r="Z165" i="21" s="1"/>
  <c r="AL167" i="21"/>
  <c r="X169" i="21"/>
  <c r="Z169" i="21" s="1"/>
  <c r="AH170" i="21"/>
  <c r="AJ170" i="21" s="1"/>
  <c r="AN172" i="21"/>
  <c r="AL175" i="21"/>
  <c r="BI175" i="21"/>
  <c r="BF175" i="21"/>
  <c r="AF176" i="21"/>
  <c r="AI176" i="21" s="1"/>
  <c r="AN177" i="21"/>
  <c r="BB177" i="21" s="1"/>
  <c r="AD196" i="21"/>
  <c r="AJ196" i="21" s="1"/>
  <c r="AD200" i="21"/>
  <c r="AJ200" i="21" s="1"/>
  <c r="AV212" i="21"/>
  <c r="BB212" i="21" s="1"/>
  <c r="X217" i="21"/>
  <c r="BI219" i="21"/>
  <c r="AV220" i="21"/>
  <c r="X221" i="21"/>
  <c r="AN222" i="21"/>
  <c r="BB222" i="21" s="1"/>
  <c r="BI222" i="21"/>
  <c r="BH222" i="21"/>
  <c r="AT227" i="21"/>
  <c r="AD229" i="21"/>
  <c r="AN232" i="21"/>
  <c r="BB232" i="21" s="1"/>
  <c r="T236" i="21"/>
  <c r="Z236" i="21" s="1"/>
  <c r="AN236" i="21"/>
  <c r="BB236" i="21" s="1"/>
  <c r="AN241" i="21"/>
  <c r="BB241" i="21" s="1"/>
  <c r="AD242" i="21"/>
  <c r="AN245" i="21"/>
  <c r="BB245" i="21" s="1"/>
  <c r="BI245" i="21"/>
  <c r="BH245" i="21"/>
  <c r="AB249" i="21"/>
  <c r="AI249" i="21" s="1"/>
  <c r="V250" i="21"/>
  <c r="Y250" i="21" s="1"/>
  <c r="R251" i="21"/>
  <c r="Y251" i="21" s="1"/>
  <c r="AL255" i="21"/>
  <c r="BA255" i="21" s="1"/>
  <c r="AD259" i="21"/>
  <c r="AJ259" i="21" s="1"/>
  <c r="AP262" i="21"/>
  <c r="BA262" i="21" s="1"/>
  <c r="BI262" i="21"/>
  <c r="X264" i="21"/>
  <c r="Z264" i="21" s="1"/>
  <c r="AV265" i="21"/>
  <c r="BB265" i="21" s="1"/>
  <c r="AR266" i="21"/>
  <c r="BI270" i="21"/>
  <c r="BH270" i="21"/>
  <c r="V272" i="21"/>
  <c r="Y272" i="21" s="1"/>
  <c r="R273" i="21"/>
  <c r="Y273" i="21" s="1"/>
  <c r="AL273" i="21"/>
  <c r="BA273" i="21" s="1"/>
  <c r="AR274" i="21"/>
  <c r="AV276" i="21"/>
  <c r="BB276" i="21" s="1"/>
  <c r="T279" i="21"/>
  <c r="Z279" i="21" s="1"/>
  <c r="T283" i="21"/>
  <c r="Z283" i="21" s="1"/>
  <c r="AN283" i="21"/>
  <c r="BB283" i="21" s="1"/>
  <c r="BI283" i="21"/>
  <c r="BH283" i="21"/>
  <c r="AT290" i="21"/>
  <c r="BA290" i="21" s="1"/>
  <c r="AB295" i="21"/>
  <c r="AI295" i="21" s="1"/>
  <c r="AD298" i="21"/>
  <c r="AJ298" i="21" s="1"/>
  <c r="AR299" i="21"/>
  <c r="BB299" i="21" s="1"/>
  <c r="V302" i="21"/>
  <c r="Y302" i="21" s="1"/>
  <c r="AT304" i="21"/>
  <c r="BA304" i="21" s="1"/>
  <c r="AT308" i="21"/>
  <c r="BA308" i="21" s="1"/>
  <c r="AH310" i="21"/>
  <c r="AN320" i="21"/>
  <c r="BB320" i="21" s="1"/>
  <c r="BI321" i="21"/>
  <c r="BH321" i="21"/>
  <c r="AH322" i="21"/>
  <c r="AV328" i="21"/>
  <c r="AX336" i="21"/>
  <c r="AD343" i="21"/>
  <c r="AF349" i="21"/>
  <c r="AI349" i="21" s="1"/>
  <c r="V354" i="21"/>
  <c r="Y354" i="21" s="1"/>
  <c r="AD364" i="21"/>
  <c r="AJ364" i="21" s="1"/>
  <c r="T369" i="21"/>
  <c r="AN369" i="21"/>
  <c r="AN373" i="21"/>
  <c r="BB373" i="21" s="1"/>
  <c r="AX391" i="21"/>
  <c r="BA391" i="21" s="1"/>
  <c r="AV394" i="21"/>
  <c r="BB394" i="21" s="1"/>
  <c r="BF396" i="21"/>
  <c r="BI396" i="21"/>
  <c r="AH400" i="21"/>
  <c r="AJ400" i="21" s="1"/>
  <c r="R376" i="21"/>
  <c r="Y376" i="21" s="1"/>
  <c r="R216" i="21"/>
  <c r="Y216" i="21" s="1"/>
  <c r="R113" i="21"/>
  <c r="T316" i="21"/>
  <c r="Z316" i="21" s="1"/>
  <c r="T132" i="21"/>
  <c r="Z132" i="21" s="1"/>
  <c r="X155" i="21"/>
  <c r="Z155" i="21" s="1"/>
  <c r="AD50" i="21"/>
  <c r="AJ50" i="21" s="1"/>
  <c r="V68" i="21"/>
  <c r="Y68" i="21" s="1"/>
  <c r="AN75" i="21"/>
  <c r="BB75" i="21" s="1"/>
  <c r="AH80" i="21"/>
  <c r="AJ80" i="21" s="1"/>
  <c r="BI93" i="21"/>
  <c r="BF93" i="21"/>
  <c r="AP101" i="21"/>
  <c r="BA101" i="21" s="1"/>
  <c r="R115" i="21"/>
  <c r="Y115" i="21" s="1"/>
  <c r="AR116" i="21"/>
  <c r="BI119" i="21"/>
  <c r="BF119" i="21"/>
  <c r="AB121" i="21"/>
  <c r="AI121" i="21" s="1"/>
  <c r="AT128" i="21"/>
  <c r="AV146" i="21"/>
  <c r="BB146" i="21" s="1"/>
  <c r="AR147" i="21"/>
  <c r="BB147" i="21" s="1"/>
  <c r="T153" i="21"/>
  <c r="Z153" i="21" s="1"/>
  <c r="BI153" i="21"/>
  <c r="BH153" i="21"/>
  <c r="AR164" i="21"/>
  <c r="BB164" i="21" s="1"/>
  <c r="BI177" i="21"/>
  <c r="BH177" i="21"/>
  <c r="AV178" i="21"/>
  <c r="BB178" i="21" s="1"/>
  <c r="R188" i="21"/>
  <c r="Y188" i="21" s="1"/>
  <c r="AT198" i="21"/>
  <c r="BA198" i="21" s="1"/>
  <c r="X205" i="21"/>
  <c r="Z205" i="21" s="1"/>
  <c r="BI209" i="21"/>
  <c r="BH209" i="21"/>
  <c r="AR213" i="21"/>
  <c r="T214" i="21"/>
  <c r="Z214" i="21" s="1"/>
  <c r="AP215" i="21"/>
  <c r="BA215" i="21" s="1"/>
  <c r="AR217" i="21"/>
  <c r="R234" i="21"/>
  <c r="Y234" i="21" s="1"/>
  <c r="BI238" i="21"/>
  <c r="BF238" i="21"/>
  <c r="AR252" i="21"/>
  <c r="BB252" i="21" s="1"/>
  <c r="AB257" i="21"/>
  <c r="AI257" i="21" s="1"/>
  <c r="AP268" i="21"/>
  <c r="BA268" i="21" s="1"/>
  <c r="BI269" i="21"/>
  <c r="BF269" i="21"/>
  <c r="AH271" i="21"/>
  <c r="AJ271" i="21" s="1"/>
  <c r="BI279" i="21"/>
  <c r="BH279" i="21"/>
  <c r="AH284" i="21"/>
  <c r="AJ284" i="21" s="1"/>
  <c r="AP291" i="21"/>
  <c r="BA291" i="21" s="1"/>
  <c r="AN296" i="21"/>
  <c r="BB296" i="21" s="1"/>
  <c r="T303" i="21"/>
  <c r="BI307" i="21"/>
  <c r="BF307" i="21"/>
  <c r="AR309" i="21"/>
  <c r="AN321" i="21"/>
  <c r="BB321" i="21" s="1"/>
  <c r="BF327" i="21"/>
  <c r="BI327" i="21"/>
  <c r="AX332" i="21"/>
  <c r="BA332" i="21" s="1"/>
  <c r="AD333" i="21"/>
  <c r="AJ333" i="21" s="1"/>
  <c r="AV340" i="21"/>
  <c r="AR341" i="21"/>
  <c r="BB341" i="21" s="1"/>
  <c r="T342" i="21"/>
  <c r="Z342" i="21" s="1"/>
  <c r="X345" i="21"/>
  <c r="Z345" i="21" s="1"/>
  <c r="BH348" i="21"/>
  <c r="BI348" i="21"/>
  <c r="X360" i="21"/>
  <c r="Z360" i="21" s="1"/>
  <c r="BI363" i="21"/>
  <c r="BF363" i="21"/>
  <c r="AP373" i="21"/>
  <c r="AR395" i="21"/>
  <c r="BB395" i="21" s="1"/>
  <c r="BH404" i="21"/>
  <c r="BI404" i="21"/>
  <c r="AH4" i="21"/>
  <c r="AJ4" i="21" s="1"/>
  <c r="R6" i="21"/>
  <c r="Y6" i="21" s="1"/>
  <c r="AL6" i="21"/>
  <c r="BA6" i="21" s="1"/>
  <c r="X7" i="21"/>
  <c r="Z7" i="21" s="1"/>
  <c r="AR7" i="21"/>
  <c r="AR11" i="21"/>
  <c r="AD13" i="21"/>
  <c r="AR15" i="21"/>
  <c r="BB15" i="21" s="1"/>
  <c r="T16" i="21"/>
  <c r="Z16" i="21" s="1"/>
  <c r="AR19" i="21"/>
  <c r="BB19" i="21" s="1"/>
  <c r="T20" i="21"/>
  <c r="Z20" i="21" s="1"/>
  <c r="AN20" i="21"/>
  <c r="BB20" i="21" s="1"/>
  <c r="AV21" i="21"/>
  <c r="BB21" i="21" s="1"/>
  <c r="X22" i="21"/>
  <c r="Z22" i="21" s="1"/>
  <c r="AR22" i="21"/>
  <c r="BB22" i="21" s="1"/>
  <c r="AN23" i="21"/>
  <c r="BB23" i="21" s="1"/>
  <c r="BI23" i="21"/>
  <c r="BH23" i="21"/>
  <c r="AH24" i="21"/>
  <c r="AJ24" i="21" s="1"/>
  <c r="AX24" i="21"/>
  <c r="BA24" i="21" s="1"/>
  <c r="AD25" i="21"/>
  <c r="AJ25" i="21" s="1"/>
  <c r="X26" i="21"/>
  <c r="Z26" i="21" s="1"/>
  <c r="T27" i="21"/>
  <c r="Z27" i="21" s="1"/>
  <c r="BI27" i="21"/>
  <c r="BH27" i="21"/>
  <c r="AV33" i="21"/>
  <c r="BB33" i="21" s="1"/>
  <c r="T35" i="21"/>
  <c r="Z35" i="21" s="1"/>
  <c r="BI39" i="21"/>
  <c r="BH39" i="21"/>
  <c r="AH40" i="21"/>
  <c r="AJ40" i="21" s="1"/>
  <c r="AD41" i="21"/>
  <c r="AJ41" i="21" s="1"/>
  <c r="X42" i="21"/>
  <c r="Z42" i="21" s="1"/>
  <c r="AR42" i="21"/>
  <c r="BB42" i="21" s="1"/>
  <c r="T43" i="21"/>
  <c r="Z43" i="21" s="1"/>
  <c r="BI43" i="21"/>
  <c r="BH43" i="21"/>
  <c r="AH44" i="21"/>
  <c r="AJ44" i="21" s="1"/>
  <c r="V48" i="21"/>
  <c r="Y48" i="21" s="1"/>
  <c r="AP48" i="21"/>
  <c r="BA48" i="21" s="1"/>
  <c r="AL49" i="21"/>
  <c r="BA49" i="21" s="1"/>
  <c r="BI49" i="21"/>
  <c r="BF49" i="21"/>
  <c r="AF50" i="21"/>
  <c r="AI50" i="21" s="1"/>
  <c r="AB51" i="21"/>
  <c r="AI51" i="21" s="1"/>
  <c r="V52" i="21"/>
  <c r="Y52" i="21" s="1"/>
  <c r="BI52" i="21"/>
  <c r="BH52" i="21"/>
  <c r="AB54" i="21"/>
  <c r="AI54" i="21" s="1"/>
  <c r="AR54" i="21"/>
  <c r="R61" i="21"/>
  <c r="Y61" i="21" s="1"/>
  <c r="AL61" i="21"/>
  <c r="AH64" i="21"/>
  <c r="AD65" i="21"/>
  <c r="AJ65" i="21" s="1"/>
  <c r="T71" i="21"/>
  <c r="Z71" i="21" s="1"/>
  <c r="X74" i="21"/>
  <c r="Z74" i="21" s="1"/>
  <c r="AR74" i="21"/>
  <c r="AH76" i="21"/>
  <c r="AJ76" i="21" s="1"/>
  <c r="BI77" i="21"/>
  <c r="BF77" i="21"/>
  <c r="AX80" i="21"/>
  <c r="AD85" i="21"/>
  <c r="AJ85" i="21" s="1"/>
  <c r="AP88" i="21"/>
  <c r="AN91" i="21"/>
  <c r="BB91" i="21" s="1"/>
  <c r="BI91" i="21"/>
  <c r="BH91" i="21"/>
  <c r="AH92" i="21"/>
  <c r="AJ92" i="21" s="1"/>
  <c r="AR95" i="21"/>
  <c r="T96" i="21"/>
  <c r="Z96" i="21" s="1"/>
  <c r="T99" i="21"/>
  <c r="AN99" i="21"/>
  <c r="BI99" i="21"/>
  <c r="BH99" i="21"/>
  <c r="AH100" i="21"/>
  <c r="AJ100" i="21" s="1"/>
  <c r="AL102" i="21"/>
  <c r="AF103" i="21"/>
  <c r="AI103" i="21" s="1"/>
  <c r="AX103" i="21"/>
  <c r="AB104" i="21"/>
  <c r="AI104" i="21" s="1"/>
  <c r="AT104" i="21"/>
  <c r="V105" i="21"/>
  <c r="Y105" i="21" s="1"/>
  <c r="AP105" i="21"/>
  <c r="BI105" i="21"/>
  <c r="BI106" i="21"/>
  <c r="BF106" i="21"/>
  <c r="AF107" i="21"/>
  <c r="AB108" i="21"/>
  <c r="AI108" i="21" s="1"/>
  <c r="BI109" i="21"/>
  <c r="BF109" i="21"/>
  <c r="AV110" i="21"/>
  <c r="AR111" i="21"/>
  <c r="AN112" i="21"/>
  <c r="BB112" i="21" s="1"/>
  <c r="BI112" i="21"/>
  <c r="BH112" i="21"/>
  <c r="BI115" i="21"/>
  <c r="BF115" i="21"/>
  <c r="V117" i="21"/>
  <c r="Y117" i="21" s="1"/>
  <c r="AP117" i="21"/>
  <c r="V125" i="21"/>
  <c r="Y125" i="21" s="1"/>
  <c r="AP125" i="21"/>
  <c r="BA125" i="21" s="1"/>
  <c r="R126" i="21"/>
  <c r="Y126" i="21" s="1"/>
  <c r="AL126" i="21"/>
  <c r="BA126" i="21" s="1"/>
  <c r="BI130" i="21"/>
  <c r="BF130" i="21"/>
  <c r="AN132" i="21"/>
  <c r="BB132" i="21" s="1"/>
  <c r="AB136" i="21"/>
  <c r="AI136" i="21" s="1"/>
  <c r="AD138" i="21"/>
  <c r="AJ138" i="21" s="1"/>
  <c r="AL142" i="21"/>
  <c r="BA142" i="21" s="1"/>
  <c r="AX143" i="21"/>
  <c r="BA143" i="21" s="1"/>
  <c r="AB144" i="21"/>
  <c r="AI144" i="21" s="1"/>
  <c r="AT144" i="21"/>
  <c r="BA144" i="21" s="1"/>
  <c r="AP145" i="21"/>
  <c r="BA145" i="21" s="1"/>
  <c r="T148" i="21"/>
  <c r="Z148" i="21" s="1"/>
  <c r="AV155" i="21"/>
  <c r="AR156" i="21"/>
  <c r="AN157" i="21"/>
  <c r="BB157" i="21" s="1"/>
  <c r="AD159" i="21"/>
  <c r="AJ159" i="21" s="1"/>
  <c r="X160" i="21"/>
  <c r="T161" i="21"/>
  <c r="BI163" i="21"/>
  <c r="BF163" i="21"/>
  <c r="BI165" i="21"/>
  <c r="AP167" i="21"/>
  <c r="AX168" i="21"/>
  <c r="V170" i="21"/>
  <c r="Y170" i="21" s="1"/>
  <c r="BI170" i="21"/>
  <c r="BH170" i="21"/>
  <c r="AV171" i="21"/>
  <c r="BB171" i="21" s="1"/>
  <c r="AD174" i="21"/>
  <c r="AJ174" i="21" s="1"/>
  <c r="AP175" i="21"/>
  <c r="AH178" i="21"/>
  <c r="AJ178" i="21" s="1"/>
  <c r="AN181" i="21"/>
  <c r="BB181" i="21" s="1"/>
  <c r="BI188" i="21"/>
  <c r="AN190" i="21"/>
  <c r="BB190" i="21" s="1"/>
  <c r="AH191" i="21"/>
  <c r="AJ191" i="21" s="1"/>
  <c r="AD192" i="21"/>
  <c r="AJ192" i="21" s="1"/>
  <c r="V195" i="21"/>
  <c r="Y195" i="21" s="1"/>
  <c r="AV204" i="21"/>
  <c r="BB204" i="21" s="1"/>
  <c r="BI205" i="21"/>
  <c r="AH206" i="21"/>
  <c r="AJ206" i="21" s="1"/>
  <c r="AD208" i="21"/>
  <c r="AJ208" i="21" s="1"/>
  <c r="AV208" i="21"/>
  <c r="BB208" i="21" s="1"/>
  <c r="X209" i="21"/>
  <c r="Z209" i="21" s="1"/>
  <c r="AH210" i="21"/>
  <c r="AJ210" i="21" s="1"/>
  <c r="R212" i="21"/>
  <c r="Y212" i="21" s="1"/>
  <c r="AL212" i="21"/>
  <c r="BA212" i="21" s="1"/>
  <c r="AD219" i="21"/>
  <c r="X225" i="21"/>
  <c r="Z225" i="21" s="1"/>
  <c r="T226" i="21"/>
  <c r="BI226" i="21"/>
  <c r="BH226" i="21"/>
  <c r="AN228" i="21"/>
  <c r="BB228" i="21" s="1"/>
  <c r="AH229" i="21"/>
  <c r="AX231" i="21"/>
  <c r="BA231" i="21" s="1"/>
  <c r="V233" i="21"/>
  <c r="Y233" i="21" s="1"/>
  <c r="AP233" i="21"/>
  <c r="BA233" i="21" s="1"/>
  <c r="AL234" i="21"/>
  <c r="BA234" i="21" s="1"/>
  <c r="AF235" i="21"/>
  <c r="AI235" i="21" s="1"/>
  <c r="V237" i="21"/>
  <c r="Y237" i="21" s="1"/>
  <c r="AP237" i="21"/>
  <c r="BA237" i="21" s="1"/>
  <c r="R238" i="21"/>
  <c r="Y238" i="21" s="1"/>
  <c r="AL238" i="21"/>
  <c r="BA238" i="21" s="1"/>
  <c r="AF239" i="21"/>
  <c r="AI239" i="21" s="1"/>
  <c r="AB240" i="21"/>
  <c r="AI240" i="21" s="1"/>
  <c r="AT240" i="21"/>
  <c r="AH242" i="21"/>
  <c r="X243" i="21"/>
  <c r="Z243" i="21" s="1"/>
  <c r="AX244" i="21"/>
  <c r="BA244" i="21" s="1"/>
  <c r="AD247" i="21"/>
  <c r="AJ247" i="21" s="1"/>
  <c r="AV247" i="21"/>
  <c r="BB247" i="21" s="1"/>
  <c r="BI251" i="21"/>
  <c r="BF251" i="21"/>
  <c r="AN253" i="21"/>
  <c r="BB253" i="21" s="1"/>
  <c r="AH254" i="21"/>
  <c r="AJ254" i="21" s="1"/>
  <c r="BI255" i="21"/>
  <c r="AF256" i="21"/>
  <c r="AI256" i="21" s="1"/>
  <c r="BI258" i="21"/>
  <c r="AV259" i="21"/>
  <c r="BB259" i="21" s="1"/>
  <c r="T261" i="21"/>
  <c r="Z261" i="21" s="1"/>
  <c r="AL263" i="21"/>
  <c r="BA263" i="21" s="1"/>
  <c r="AD264" i="21"/>
  <c r="R265" i="21"/>
  <c r="Y265" i="21" s="1"/>
  <c r="BI265" i="21"/>
  <c r="BF265" i="21"/>
  <c r="AN267" i="21"/>
  <c r="BB267" i="21" s="1"/>
  <c r="R269" i="21"/>
  <c r="Y269" i="21" s="1"/>
  <c r="AL269" i="21"/>
  <c r="BA269" i="21" s="1"/>
  <c r="AR270" i="21"/>
  <c r="BB270" i="21" s="1"/>
  <c r="T271" i="21"/>
  <c r="Z271" i="21" s="1"/>
  <c r="BI273" i="21"/>
  <c r="BI275" i="21"/>
  <c r="BH275" i="21"/>
  <c r="AH276" i="21"/>
  <c r="AJ276" i="21" s="1"/>
  <c r="BI277" i="21"/>
  <c r="AN279" i="21"/>
  <c r="BB279" i="21" s="1"/>
  <c r="BI285" i="21"/>
  <c r="V287" i="21"/>
  <c r="Y287" i="21" s="1"/>
  <c r="X289" i="21"/>
  <c r="Z289" i="21" s="1"/>
  <c r="AV292" i="21"/>
  <c r="BB292" i="21" s="1"/>
  <c r="X293" i="21"/>
  <c r="Z293" i="21" s="1"/>
  <c r="AR293" i="21"/>
  <c r="BB293" i="21" s="1"/>
  <c r="X296" i="21"/>
  <c r="AF301" i="21"/>
  <c r="AI301" i="21" s="1"/>
  <c r="AF304" i="21"/>
  <c r="AL307" i="21"/>
  <c r="BA307" i="21" s="1"/>
  <c r="X320" i="21"/>
  <c r="BF332" i="21"/>
  <c r="BI332" i="21"/>
  <c r="AV344" i="21"/>
  <c r="AR345" i="21"/>
  <c r="AN346" i="21"/>
  <c r="BB346" i="21" s="1"/>
  <c r="BI346" i="21"/>
  <c r="BH346" i="21"/>
  <c r="AN348" i="21"/>
  <c r="AH353" i="21"/>
  <c r="AJ353" i="21" s="1"/>
  <c r="AX359" i="21"/>
  <c r="BI385" i="21"/>
  <c r="BF385" i="21"/>
  <c r="BI388" i="21"/>
  <c r="AT390" i="21"/>
  <c r="BA390" i="21" s="1"/>
  <c r="AN404" i="21"/>
  <c r="BB404" i="21" s="1"/>
  <c r="R336" i="21"/>
  <c r="Y336" i="21" s="1"/>
  <c r="T302" i="21"/>
  <c r="Z302" i="21" s="1"/>
  <c r="T23" i="21"/>
  <c r="Z23" i="21" s="1"/>
  <c r="AH118" i="21"/>
  <c r="V122" i="21"/>
  <c r="Y122" i="21" s="1"/>
  <c r="AB124" i="21"/>
  <c r="AI124" i="21" s="1"/>
  <c r="AT124" i="21"/>
  <c r="BA124" i="21" s="1"/>
  <c r="AX128" i="21"/>
  <c r="AH133" i="21"/>
  <c r="AJ133" i="21" s="1"/>
  <c r="V137" i="21"/>
  <c r="Y137" i="21" s="1"/>
  <c r="X139" i="21"/>
  <c r="Z139" i="21" s="1"/>
  <c r="AL146" i="21"/>
  <c r="BA146" i="21" s="1"/>
  <c r="AN148" i="21"/>
  <c r="BB148" i="21" s="1"/>
  <c r="BI150" i="21"/>
  <c r="BF150" i="21"/>
  <c r="AF151" i="21"/>
  <c r="AI151" i="21" s="1"/>
  <c r="AX151" i="21"/>
  <c r="BA151" i="21" s="1"/>
  <c r="AT152" i="21"/>
  <c r="BA152" i="21" s="1"/>
  <c r="AP153" i="21"/>
  <c r="BA153" i="21" s="1"/>
  <c r="AL154" i="21"/>
  <c r="BA154" i="21" s="1"/>
  <c r="AF155" i="21"/>
  <c r="AI155" i="21" s="1"/>
  <c r="AB156" i="21"/>
  <c r="AI156" i="21" s="1"/>
  <c r="V157" i="21"/>
  <c r="Y157" i="21" s="1"/>
  <c r="AH158" i="21"/>
  <c r="BI158" i="21"/>
  <c r="BF158" i="21"/>
  <c r="AF159" i="21"/>
  <c r="AI159" i="21" s="1"/>
  <c r="AX159" i="21"/>
  <c r="BI161" i="21"/>
  <c r="BH161" i="21"/>
  <c r="AR165" i="21"/>
  <c r="BB165" i="21" s="1"/>
  <c r="AH166" i="21"/>
  <c r="AJ166" i="21" s="1"/>
  <c r="X167" i="21"/>
  <c r="Z167" i="21" s="1"/>
  <c r="AL168" i="21"/>
  <c r="R171" i="21"/>
  <c r="AN173" i="21"/>
  <c r="BB173" i="21" s="1"/>
  <c r="BI173" i="21"/>
  <c r="BH173" i="21"/>
  <c r="T176" i="21"/>
  <c r="Z176" i="21" s="1"/>
  <c r="AD179" i="21"/>
  <c r="AJ179" i="21" s="1"/>
  <c r="AV179" i="21"/>
  <c r="BB179" i="21" s="1"/>
  <c r="X185" i="21"/>
  <c r="Z185" i="21" s="1"/>
  <c r="AV186" i="21"/>
  <c r="BB186" i="21" s="1"/>
  <c r="AR187" i="21"/>
  <c r="BB187" i="21" s="1"/>
  <c r="AV192" i="21"/>
  <c r="X197" i="21"/>
  <c r="Z197" i="21" s="1"/>
  <c r="T198" i="21"/>
  <c r="Z198" i="21" s="1"/>
  <c r="AV200" i="21"/>
  <c r="BB200" i="21" s="1"/>
  <c r="X201" i="21"/>
  <c r="Z201" i="21" s="1"/>
  <c r="AR201" i="21"/>
  <c r="BB201" i="21" s="1"/>
  <c r="T202" i="21"/>
  <c r="Z202" i="21" s="1"/>
  <c r="AD203" i="21"/>
  <c r="AR205" i="21"/>
  <c r="BB205" i="21" s="1"/>
  <c r="T210" i="21"/>
  <c r="Z210" i="21" s="1"/>
  <c r="BI210" i="21"/>
  <c r="BH210" i="21"/>
  <c r="BI212" i="21"/>
  <c r="BF212" i="21"/>
  <c r="AN214" i="21"/>
  <c r="BB214" i="21" s="1"/>
  <c r="AL216" i="21"/>
  <c r="BA216" i="21" s="1"/>
  <c r="AD224" i="21"/>
  <c r="AJ224" i="21" s="1"/>
  <c r="AV224" i="21"/>
  <c r="BB224" i="21" s="1"/>
  <c r="AR225" i="21"/>
  <c r="BB225" i="21" s="1"/>
  <c r="AN226" i="21"/>
  <c r="AH227" i="21"/>
  <c r="AJ227" i="21" s="1"/>
  <c r="AP230" i="21"/>
  <c r="BA230" i="21" s="1"/>
  <c r="AT232" i="21"/>
  <c r="BA232" i="21" s="1"/>
  <c r="BI234" i="21"/>
  <c r="AB236" i="21"/>
  <c r="AI236" i="21" s="1"/>
  <c r="AT236" i="21"/>
  <c r="BA236" i="21" s="1"/>
  <c r="X248" i="21"/>
  <c r="Z248" i="21" s="1"/>
  <c r="R259" i="21"/>
  <c r="Y259" i="21" s="1"/>
  <c r="AR260" i="21"/>
  <c r="BB260" i="21" s="1"/>
  <c r="BI261" i="21"/>
  <c r="BH261" i="21"/>
  <c r="AL265" i="21"/>
  <c r="BA265" i="21" s="1"/>
  <c r="BI267" i="21"/>
  <c r="BH267" i="21"/>
  <c r="AN271" i="21"/>
  <c r="BB271" i="21" s="1"/>
  <c r="X273" i="21"/>
  <c r="Z273" i="21" s="1"/>
  <c r="AD277" i="21"/>
  <c r="AJ277" i="21" s="1"/>
  <c r="AR281" i="21"/>
  <c r="T282" i="21"/>
  <c r="AB283" i="21"/>
  <c r="AI283" i="21" s="1"/>
  <c r="AT283" i="21"/>
  <c r="BA283" i="21" s="1"/>
  <c r="V284" i="21"/>
  <c r="Y284" i="21" s="1"/>
  <c r="X285" i="21"/>
  <c r="Z285" i="21" s="1"/>
  <c r="AF286" i="21"/>
  <c r="AI286" i="21" s="1"/>
  <c r="AV288" i="21"/>
  <c r="BB288" i="21" s="1"/>
  <c r="T290" i="21"/>
  <c r="Z290" i="21" s="1"/>
  <c r="T294" i="21"/>
  <c r="Z294" i="21" s="1"/>
  <c r="AN294" i="21"/>
  <c r="BB294" i="21" s="1"/>
  <c r="BI294" i="21"/>
  <c r="BH294" i="21"/>
  <c r="AH295" i="21"/>
  <c r="AJ295" i="21" s="1"/>
  <c r="AN297" i="21"/>
  <c r="AL298" i="21"/>
  <c r="AF299" i="21"/>
  <c r="AI299" i="21" s="1"/>
  <c r="BI300" i="21"/>
  <c r="BH300" i="21"/>
  <c r="BH303" i="21"/>
  <c r="BI303" i="21"/>
  <c r="V307" i="21"/>
  <c r="Y307" i="21" s="1"/>
  <c r="AX311" i="21"/>
  <c r="BA311" i="21" s="1"/>
  <c r="T314" i="21"/>
  <c r="Z314" i="21" s="1"/>
  <c r="AH318" i="21"/>
  <c r="AJ318" i="21" s="1"/>
  <c r="AR331" i="21"/>
  <c r="R340" i="21"/>
  <c r="Y340" i="21" s="1"/>
  <c r="AH340" i="21"/>
  <c r="AV362" i="21"/>
  <c r="BB362" i="21" s="1"/>
  <c r="AH367" i="21"/>
  <c r="AR370" i="21"/>
  <c r="BB370" i="21" s="1"/>
  <c r="AN371" i="21"/>
  <c r="BB371" i="21" s="1"/>
  <c r="AH372" i="21"/>
  <c r="AJ372" i="21" s="1"/>
  <c r="AX372" i="21"/>
  <c r="AF376" i="21"/>
  <c r="AI376" i="21" s="1"/>
  <c r="AV376" i="21"/>
  <c r="BB376" i="21" s="1"/>
  <c r="T385" i="21"/>
  <c r="Z385" i="21" s="1"/>
  <c r="AR388" i="21"/>
  <c r="BB388" i="21" s="1"/>
  <c r="AR393" i="21"/>
  <c r="BB393" i="21" s="1"/>
  <c r="V394" i="21"/>
  <c r="Y394" i="21" s="1"/>
  <c r="AD399" i="21"/>
  <c r="AJ399" i="21" s="1"/>
  <c r="AP404" i="21"/>
  <c r="BA404" i="21" s="1"/>
  <c r="R102" i="21"/>
  <c r="Y102" i="21" s="1"/>
  <c r="T108" i="21"/>
  <c r="Z108" i="21" s="1"/>
  <c r="BI7" i="21"/>
  <c r="BH7" i="21"/>
  <c r="AV10" i="21"/>
  <c r="BB10" i="21" s="1"/>
  <c r="X34" i="21"/>
  <c r="Z34" i="21" s="1"/>
  <c r="AX40" i="21"/>
  <c r="X51" i="21"/>
  <c r="AH55" i="21"/>
  <c r="AP68" i="21"/>
  <c r="BA68" i="21" s="1"/>
  <c r="AV73" i="21"/>
  <c r="BB73" i="21" s="1"/>
  <c r="T75" i="21"/>
  <c r="Z75" i="21" s="1"/>
  <c r="V84" i="21"/>
  <c r="Y84" i="21" s="1"/>
  <c r="AT87" i="21"/>
  <c r="BA87" i="21" s="1"/>
  <c r="AV89" i="21"/>
  <c r="BB89" i="21" s="1"/>
  <c r="AR90" i="21"/>
  <c r="BB90" i="21" s="1"/>
  <c r="T91" i="21"/>
  <c r="Z91" i="21" s="1"/>
  <c r="AF106" i="21"/>
  <c r="AI106" i="21" s="1"/>
  <c r="R109" i="21"/>
  <c r="T112" i="21"/>
  <c r="Z112" i="21" s="1"/>
  <c r="AD113" i="21"/>
  <c r="T117" i="21"/>
  <c r="Z117" i="21" s="1"/>
  <c r="BI117" i="21"/>
  <c r="BH117" i="21"/>
  <c r="BI126" i="21"/>
  <c r="BF126" i="21"/>
  <c r="AX127" i="21"/>
  <c r="BA127" i="21" s="1"/>
  <c r="BI132" i="21"/>
  <c r="BH132" i="21"/>
  <c r="AT140" i="21"/>
  <c r="BA140" i="21" s="1"/>
  <c r="R142" i="21"/>
  <c r="Y142" i="21" s="1"/>
  <c r="AF143" i="21"/>
  <c r="AI143" i="21" s="1"/>
  <c r="V145" i="21"/>
  <c r="Y145" i="21" s="1"/>
  <c r="R150" i="21"/>
  <c r="Y150" i="21" s="1"/>
  <c r="AD158" i="21"/>
  <c r="AF168" i="21"/>
  <c r="AI168" i="21" s="1"/>
  <c r="AB169" i="21"/>
  <c r="AI169" i="21" s="1"/>
  <c r="X172" i="21"/>
  <c r="Z172" i="21" s="1"/>
  <c r="BI181" i="21"/>
  <c r="BH181" i="21"/>
  <c r="AB186" i="21"/>
  <c r="AI186" i="21" s="1"/>
  <c r="AR399" i="21"/>
  <c r="BB399" i="21" s="1"/>
  <c r="V258" i="21"/>
  <c r="Y258" i="21" s="1"/>
  <c r="AR3" i="21"/>
  <c r="BB3" i="21" s="1"/>
  <c r="T8" i="21"/>
  <c r="Z8" i="21" s="1"/>
  <c r="T12" i="21"/>
  <c r="Z12" i="21" s="1"/>
  <c r="BI20" i="21"/>
  <c r="BH20" i="21"/>
  <c r="AR26" i="21"/>
  <c r="BB26" i="21" s="1"/>
  <c r="R33" i="21"/>
  <c r="Y33" i="21" s="1"/>
  <c r="AR34" i="21"/>
  <c r="BB34" i="21" s="1"/>
  <c r="AV41" i="21"/>
  <c r="BB41" i="21" s="1"/>
  <c r="AN43" i="21"/>
  <c r="BB43" i="21" s="1"/>
  <c r="AT51" i="21"/>
  <c r="BA51" i="21" s="1"/>
  <c r="AR57" i="21"/>
  <c r="BI58" i="21"/>
  <c r="BH58" i="21"/>
  <c r="AF62" i="21"/>
  <c r="AI62" i="21" s="1"/>
  <c r="AB63" i="21"/>
  <c r="AI63" i="21" s="1"/>
  <c r="AF65" i="21"/>
  <c r="AI65" i="21" s="1"/>
  <c r="T67" i="21"/>
  <c r="Z67" i="21" s="1"/>
  <c r="AL73" i="21"/>
  <c r="BA73" i="21" s="1"/>
  <c r="AT79" i="21"/>
  <c r="BA79" i="21" s="1"/>
  <c r="AL89" i="21"/>
  <c r="BA89" i="21" s="1"/>
  <c r="AT95" i="21"/>
  <c r="BA95" i="21" s="1"/>
  <c r="AD97" i="21"/>
  <c r="AV97" i="21"/>
  <c r="BB97" i="21" s="1"/>
  <c r="X98" i="21"/>
  <c r="Z98" i="21" s="1"/>
  <c r="AR98" i="21"/>
  <c r="AD101" i="21"/>
  <c r="R106" i="21"/>
  <c r="Y106" i="21" s="1"/>
  <c r="AX107" i="21"/>
  <c r="BA107" i="21" s="1"/>
  <c r="AT111" i="21"/>
  <c r="AP112" i="21"/>
  <c r="AH113" i="21"/>
  <c r="AN4" i="21"/>
  <c r="BB4" i="21" s="1"/>
  <c r="AV9" i="21"/>
  <c r="BB9" i="21" s="1"/>
  <c r="AN12" i="21"/>
  <c r="BB12" i="21" s="1"/>
  <c r="BI12" i="21"/>
  <c r="BH12" i="21"/>
  <c r="AH13" i="21"/>
  <c r="BI14" i="21"/>
  <c r="AH17" i="21"/>
  <c r="AJ17" i="21" s="1"/>
  <c r="BI21" i="21"/>
  <c r="BF21" i="21"/>
  <c r="AD29" i="21"/>
  <c r="AJ29" i="21" s="1"/>
  <c r="AV29" i="21"/>
  <c r="BB29" i="21" s="1"/>
  <c r="X30" i="21"/>
  <c r="Z30" i="21" s="1"/>
  <c r="AR30" i="21"/>
  <c r="BB30" i="21" s="1"/>
  <c r="AN35" i="21"/>
  <c r="BB35" i="21" s="1"/>
  <c r="R41" i="21"/>
  <c r="Y41" i="21" s="1"/>
  <c r="BI44" i="21"/>
  <c r="BH44" i="21"/>
  <c r="BI46" i="21"/>
  <c r="AL53" i="21"/>
  <c r="BA53" i="21" s="1"/>
  <c r="AV54" i="21"/>
  <c r="AL56" i="21"/>
  <c r="X58" i="21"/>
  <c r="Z58" i="21" s="1"/>
  <c r="BI59" i="21"/>
  <c r="BH59" i="21"/>
  <c r="AR66" i="21"/>
  <c r="BB66" i="21" s="1"/>
  <c r="AN67" i="21"/>
  <c r="BB67" i="21" s="1"/>
  <c r="AD68" i="21"/>
  <c r="AB75" i="21"/>
  <c r="AI75" i="21" s="1"/>
  <c r="V76" i="21"/>
  <c r="Y76" i="21" s="1"/>
  <c r="T83" i="21"/>
  <c r="Z83" i="21" s="1"/>
  <c r="AV85" i="21"/>
  <c r="BB85" i="21" s="1"/>
  <c r="X86" i="21"/>
  <c r="Z86" i="21" s="1"/>
  <c r="AF90" i="21"/>
  <c r="AI90" i="21" s="1"/>
  <c r="AB91" i="21"/>
  <c r="AI91" i="21" s="1"/>
  <c r="AP96" i="21"/>
  <c r="BA96" i="21" s="1"/>
  <c r="BI96" i="21"/>
  <c r="BH96" i="21"/>
  <c r="X99" i="21"/>
  <c r="AR99" i="21"/>
  <c r="T100" i="21"/>
  <c r="Z100" i="21" s="1"/>
  <c r="AN100" i="21"/>
  <c r="BB100" i="21" s="1"/>
  <c r="AV101" i="21"/>
  <c r="BB101" i="21" s="1"/>
  <c r="X102" i="21"/>
  <c r="Z102" i="21" s="1"/>
  <c r="T103" i="21"/>
  <c r="BI103" i="21"/>
  <c r="BH103" i="21"/>
  <c r="AX104" i="21"/>
  <c r="AP109" i="21"/>
  <c r="BA109" i="21" s="1"/>
  <c r="R110" i="21"/>
  <c r="Y110" i="21" s="1"/>
  <c r="BI110" i="21"/>
  <c r="BF110" i="21"/>
  <c r="BI113" i="21"/>
  <c r="BH113" i="21"/>
  <c r="X115" i="21"/>
  <c r="Z115" i="21" s="1"/>
  <c r="AF116" i="21"/>
  <c r="AI116" i="21" s="1"/>
  <c r="AB117" i="21"/>
  <c r="AI117" i="21" s="1"/>
  <c r="AT117" i="21"/>
  <c r="T120" i="21"/>
  <c r="AF123" i="21"/>
  <c r="AI123" i="21" s="1"/>
  <c r="AX123" i="21"/>
  <c r="BA123" i="21" s="1"/>
  <c r="AX131" i="21"/>
  <c r="BA131" i="21" s="1"/>
  <c r="AV138" i="21"/>
  <c r="BB138" i="21" s="1"/>
  <c r="T140" i="21"/>
  <c r="Z140" i="21" s="1"/>
  <c r="AF147" i="21"/>
  <c r="AI147" i="21" s="1"/>
  <c r="BI148" i="21"/>
  <c r="BH148" i="21"/>
  <c r="AL158" i="21"/>
  <c r="AD160" i="21"/>
  <c r="AJ160" i="21" s="1"/>
  <c r="AV160" i="21"/>
  <c r="X161" i="21"/>
  <c r="AR161" i="21"/>
  <c r="BB161" i="21" s="1"/>
  <c r="R164" i="21"/>
  <c r="Y164" i="21" s="1"/>
  <c r="AX164" i="21"/>
  <c r="BA164" i="21" s="1"/>
  <c r="AB165" i="21"/>
  <c r="AI165" i="21" s="1"/>
  <c r="AT165" i="21"/>
  <c r="BA165" i="21" s="1"/>
  <c r="BI168" i="21"/>
  <c r="BH168" i="21"/>
  <c r="BI171" i="21"/>
  <c r="BF171" i="21"/>
  <c r="AV172" i="21"/>
  <c r="BI176" i="21"/>
  <c r="X180" i="21"/>
  <c r="Z180" i="21" s="1"/>
  <c r="BI183" i="21"/>
  <c r="X188" i="21"/>
  <c r="Z188" i="21" s="1"/>
  <c r="X193" i="21"/>
  <c r="Z193" i="21" s="1"/>
  <c r="AR197" i="21"/>
  <c r="BB197" i="21" s="1"/>
  <c r="AD199" i="21"/>
  <c r="BI202" i="21"/>
  <c r="BH202" i="21"/>
  <c r="BI204" i="21"/>
  <c r="BF204" i="21"/>
  <c r="AN206" i="21"/>
  <c r="BB206" i="21" s="1"/>
  <c r="BI208" i="21"/>
  <c r="BF208" i="21"/>
  <c r="AR209" i="21"/>
  <c r="BB209" i="21" s="1"/>
  <c r="AN210" i="21"/>
  <c r="BB210" i="21" s="1"/>
  <c r="AV215" i="21"/>
  <c r="BB215" i="21" s="1"/>
  <c r="AN218" i="21"/>
  <c r="BB218" i="21" s="1"/>
  <c r="BI218" i="21"/>
  <c r="BH218" i="21"/>
  <c r="AH219" i="21"/>
  <c r="X226" i="21"/>
  <c r="T227" i="21"/>
  <c r="Z227" i="21" s="1"/>
  <c r="AN229" i="21"/>
  <c r="BB229" i="21" s="1"/>
  <c r="T231" i="21"/>
  <c r="BI231" i="21"/>
  <c r="BH231" i="21"/>
  <c r="AX240" i="21"/>
  <c r="AD243" i="21"/>
  <c r="AJ243" i="21" s="1"/>
  <c r="X244" i="21"/>
  <c r="Z244" i="21" s="1"/>
  <c r="AT245" i="21"/>
  <c r="BA245" i="21" s="1"/>
  <c r="AP246" i="21"/>
  <c r="BA246" i="21" s="1"/>
  <c r="AR248" i="21"/>
  <c r="BB248" i="21" s="1"/>
  <c r="T249" i="21"/>
  <c r="Z249" i="21" s="1"/>
  <c r="AD255" i="21"/>
  <c r="AJ255" i="21" s="1"/>
  <c r="BI259" i="21"/>
  <c r="BF259" i="21"/>
  <c r="AN261" i="21"/>
  <c r="BB261" i="21" s="1"/>
  <c r="AH264" i="21"/>
  <c r="AX266" i="21"/>
  <c r="BA266" i="21" s="1"/>
  <c r="BI271" i="21"/>
  <c r="BH271" i="21"/>
  <c r="T278" i="21"/>
  <c r="AB279" i="21"/>
  <c r="AI279" i="21" s="1"/>
  <c r="V280" i="21"/>
  <c r="Y280" i="21" s="1"/>
  <c r="AP280" i="21"/>
  <c r="BA280" i="21" s="1"/>
  <c r="AD281" i="21"/>
  <c r="AJ281" i="21" s="1"/>
  <c r="AR285" i="21"/>
  <c r="AR289" i="21"/>
  <c r="BB289" i="21" s="1"/>
  <c r="BI290" i="21"/>
  <c r="BH290" i="21"/>
  <c r="AL292" i="21"/>
  <c r="BA292" i="21" s="1"/>
  <c r="R299" i="21"/>
  <c r="Y299" i="21" s="1"/>
  <c r="AX299" i="21"/>
  <c r="AP303" i="21"/>
  <c r="BA303" i="21" s="1"/>
  <c r="AH305" i="21"/>
  <c r="AJ305" i="21" s="1"/>
  <c r="AD306" i="21"/>
  <c r="AJ306" i="21" s="1"/>
  <c r="AF312" i="21"/>
  <c r="AB313" i="21"/>
  <c r="AI313" i="21" s="1"/>
  <c r="T318" i="21"/>
  <c r="Z318" i="21" s="1"/>
  <c r="AT339" i="21"/>
  <c r="X352" i="21"/>
  <c r="Z352" i="21" s="1"/>
  <c r="AR352" i="21"/>
  <c r="BB352" i="21" s="1"/>
  <c r="AB363" i="21"/>
  <c r="AI363" i="21" s="1"/>
  <c r="AH365" i="21"/>
  <c r="AJ365" i="21" s="1"/>
  <c r="AT370" i="21"/>
  <c r="BA370" i="21" s="1"/>
  <c r="AP371" i="21"/>
  <c r="BA371" i="21" s="1"/>
  <c r="AB377" i="21"/>
  <c r="AI377" i="21" s="1"/>
  <c r="AR377" i="21"/>
  <c r="BB377" i="21" s="1"/>
  <c r="AH387" i="21"/>
  <c r="AJ387" i="21" s="1"/>
  <c r="AL398" i="21"/>
  <c r="BA398" i="21" s="1"/>
  <c r="AX403" i="21"/>
  <c r="BA403" i="21" s="1"/>
  <c r="T87" i="21"/>
  <c r="Z87" i="21" s="1"/>
  <c r="T4" i="21"/>
  <c r="Z4" i="21" s="1"/>
  <c r="V72" i="21"/>
  <c r="Y72" i="21" s="1"/>
  <c r="AT8" i="21"/>
  <c r="BA8" i="21" s="1"/>
  <c r="T39" i="21"/>
  <c r="Z39" i="21" s="1"/>
  <c r="AB47" i="21"/>
  <c r="AI47" i="21" s="1"/>
  <c r="AH49" i="21"/>
  <c r="BI75" i="21"/>
  <c r="BH75" i="21"/>
  <c r="X90" i="21"/>
  <c r="Z90" i="21" s="1"/>
  <c r="AH96" i="21"/>
  <c r="AJ96" i="21" s="1"/>
  <c r="AN117" i="21"/>
  <c r="BB117" i="21" s="1"/>
  <c r="AD118" i="21"/>
  <c r="AJ118" i="21" s="1"/>
  <c r="AV118" i="21"/>
  <c r="BB118" i="21" s="1"/>
  <c r="AR123" i="21"/>
  <c r="BB123" i="21" s="1"/>
  <c r="AF135" i="21"/>
  <c r="AI135" i="21" s="1"/>
  <c r="AR184" i="21"/>
  <c r="BB184" i="21" s="1"/>
  <c r="V187" i="21"/>
  <c r="Y187" i="21" s="1"/>
  <c r="BI190" i="21"/>
  <c r="BH190" i="21"/>
  <c r="AR192" i="21"/>
  <c r="BB192" i="21" s="1"/>
  <c r="AB194" i="21"/>
  <c r="AI194" i="21" s="1"/>
  <c r="AD204" i="21"/>
  <c r="AJ204" i="21" s="1"/>
  <c r="AV216" i="21"/>
  <c r="BB216" i="21" s="1"/>
  <c r="BI228" i="21"/>
  <c r="BH228" i="21"/>
  <c r="BI230" i="21"/>
  <c r="BF230" i="21"/>
  <c r="X260" i="21"/>
  <c r="Z260" i="21" s="1"/>
  <c r="T267" i="21"/>
  <c r="Z267" i="21" s="1"/>
  <c r="AP272" i="21"/>
  <c r="BA272" i="21" s="1"/>
  <c r="AN275" i="21"/>
  <c r="BB275" i="21" s="1"/>
  <c r="AH280" i="21"/>
  <c r="AR286" i="21"/>
  <c r="BB286" i="21" s="1"/>
  <c r="AD288" i="21"/>
  <c r="AJ288" i="21" s="1"/>
  <c r="AX294" i="21"/>
  <c r="BA294" i="21" s="1"/>
  <c r="AV301" i="21"/>
  <c r="AR319" i="21"/>
  <c r="BB319" i="21" s="1"/>
  <c r="AL327" i="21"/>
  <c r="BA327" i="21" s="1"/>
  <c r="AB341" i="21"/>
  <c r="AI341" i="21" s="1"/>
  <c r="AD386" i="21"/>
  <c r="AJ386" i="21" s="1"/>
  <c r="AN396" i="21"/>
  <c r="BB396" i="21" s="1"/>
  <c r="AL2" i="21"/>
  <c r="BA2" i="21" s="1"/>
  <c r="AN16" i="21"/>
  <c r="BB16" i="21" s="1"/>
  <c r="BI16" i="21"/>
  <c r="BH16" i="21"/>
  <c r="X18" i="21"/>
  <c r="Z18" i="21" s="1"/>
  <c r="BI18" i="21"/>
  <c r="AN27" i="21"/>
  <c r="BB27" i="21" s="1"/>
  <c r="BI30" i="21"/>
  <c r="BI37" i="21"/>
  <c r="AV45" i="21"/>
  <c r="BB45" i="21" s="1"/>
  <c r="AN55" i="21"/>
  <c r="AT63" i="21"/>
  <c r="BA63" i="21" s="1"/>
  <c r="AV65" i="21"/>
  <c r="BB65" i="21" s="1"/>
  <c r="AR81" i="21"/>
  <c r="AX94" i="21"/>
  <c r="BA94" i="21" s="1"/>
  <c r="AL106" i="21"/>
  <c r="BA106" i="21" s="1"/>
  <c r="AT108" i="21"/>
  <c r="BA108" i="21" s="1"/>
  <c r="V109" i="21"/>
  <c r="AF3" i="21"/>
  <c r="AI3" i="21" s="1"/>
  <c r="BI4" i="21"/>
  <c r="BH4" i="21"/>
  <c r="AV5" i="21"/>
  <c r="BB5" i="21" s="1"/>
  <c r="X6" i="21"/>
  <c r="Z6" i="21" s="1"/>
  <c r="BI6" i="21"/>
  <c r="AN8" i="21"/>
  <c r="BB8" i="21" s="1"/>
  <c r="BI8" i="21"/>
  <c r="BH8" i="21"/>
  <c r="AR14" i="21"/>
  <c r="AD18" i="21"/>
  <c r="AJ18" i="21" s="1"/>
  <c r="AR18" i="21"/>
  <c r="BB18" i="21" s="1"/>
  <c r="AB20" i="21"/>
  <c r="AI20" i="21" s="1"/>
  <c r="AF22" i="21"/>
  <c r="AI22" i="21" s="1"/>
  <c r="AT23" i="21"/>
  <c r="BA23" i="21" s="1"/>
  <c r="V24" i="21"/>
  <c r="Y24" i="21" s="1"/>
  <c r="AL25" i="21"/>
  <c r="BA25" i="21" s="1"/>
  <c r="BI25" i="21"/>
  <c r="BF25" i="21"/>
  <c r="AB27" i="21"/>
  <c r="AI27" i="21" s="1"/>
  <c r="T31" i="21"/>
  <c r="Z31" i="21" s="1"/>
  <c r="AN31" i="21"/>
  <c r="BB31" i="21" s="1"/>
  <c r="AH36" i="21"/>
  <c r="AJ36" i="21" s="1"/>
  <c r="AP40" i="21"/>
  <c r="AL41" i="21"/>
  <c r="BA41" i="21" s="1"/>
  <c r="BI41" i="21"/>
  <c r="BF41" i="21"/>
  <c r="AF42" i="21"/>
  <c r="AI42" i="21" s="1"/>
  <c r="AB43" i="21"/>
  <c r="AI43" i="21" s="1"/>
  <c r="V44" i="21"/>
  <c r="Y44" i="21" s="1"/>
  <c r="AP44" i="21"/>
  <c r="BA44" i="21" s="1"/>
  <c r="R45" i="21"/>
  <c r="Y45" i="21" s="1"/>
  <c r="X46" i="21"/>
  <c r="Z46" i="21" s="1"/>
  <c r="AR46" i="21"/>
  <c r="AX54" i="21"/>
  <c r="BA54" i="21" s="1"/>
  <c r="AR55" i="21"/>
  <c r="AD57" i="21"/>
  <c r="AJ57" i="21" s="1"/>
  <c r="AV57" i="21"/>
  <c r="AB58" i="21"/>
  <c r="AI58" i="21" s="1"/>
  <c r="AR58" i="21"/>
  <c r="BB58" i="21" s="1"/>
  <c r="T59" i="21"/>
  <c r="Z59" i="21" s="1"/>
  <c r="AN59" i="21"/>
  <c r="BB59" i="21" s="1"/>
  <c r="AH60" i="21"/>
  <c r="AJ60" i="21" s="1"/>
  <c r="AV60" i="21"/>
  <c r="BB60" i="21" s="1"/>
  <c r="X61" i="21"/>
  <c r="Z61" i="21" s="1"/>
  <c r="AP64" i="21"/>
  <c r="BA64" i="21" s="1"/>
  <c r="R65" i="21"/>
  <c r="Y65" i="21" s="1"/>
  <c r="AN71" i="21"/>
  <c r="BB71" i="21" s="1"/>
  <c r="BI71" i="21"/>
  <c r="BH71" i="21"/>
  <c r="AH72" i="21"/>
  <c r="AJ72" i="21" s="1"/>
  <c r="BI73" i="21"/>
  <c r="AF74" i="21"/>
  <c r="AI74" i="21" s="1"/>
  <c r="AD77" i="21"/>
  <c r="AJ77" i="21" s="1"/>
  <c r="T78" i="21"/>
  <c r="BI78" i="21"/>
  <c r="AP80" i="21"/>
  <c r="BI80" i="21"/>
  <c r="AD81" i="21"/>
  <c r="AJ81" i="21" s="1"/>
  <c r="AV81" i="21"/>
  <c r="X82" i="21"/>
  <c r="Z82" i="21" s="1"/>
  <c r="AR82" i="21"/>
  <c r="BB82" i="21" s="1"/>
  <c r="AN83" i="21"/>
  <c r="BB83" i="21" s="1"/>
  <c r="BI83" i="21"/>
  <c r="BH83" i="21"/>
  <c r="AR86" i="21"/>
  <c r="BB86" i="21" s="1"/>
  <c r="BI89" i="21"/>
  <c r="V92" i="21"/>
  <c r="Y92" i="21" s="1"/>
  <c r="AD93" i="21"/>
  <c r="AJ93" i="21" s="1"/>
  <c r="AH97" i="21"/>
  <c r="AD98" i="21"/>
  <c r="AJ98" i="21" s="1"/>
  <c r="AV98" i="21"/>
  <c r="AB99" i="21"/>
  <c r="AI99" i="21" s="1"/>
  <c r="V100" i="21"/>
  <c r="Y100" i="21" s="1"/>
  <c r="BI100" i="21"/>
  <c r="BH100" i="21"/>
  <c r="AH101" i="21"/>
  <c r="AR102" i="21"/>
  <c r="AN103" i="21"/>
  <c r="BB103" i="21" s="1"/>
  <c r="AH104" i="21"/>
  <c r="AJ104" i="21" s="1"/>
  <c r="AD105" i="21"/>
  <c r="AV105" i="21"/>
  <c r="BB105" i="21" s="1"/>
  <c r="T107" i="21"/>
  <c r="Z107" i="21" s="1"/>
  <c r="AN107" i="21"/>
  <c r="BB107" i="21" s="1"/>
  <c r="BI107" i="21"/>
  <c r="BH107" i="21"/>
  <c r="AH108" i="21"/>
  <c r="AJ108" i="21" s="1"/>
  <c r="AL110" i="21"/>
  <c r="AF111" i="21"/>
  <c r="AI111" i="21" s="1"/>
  <c r="AX111" i="21"/>
  <c r="AB112" i="21"/>
  <c r="AI112" i="21" s="1"/>
  <c r="AT112" i="21"/>
  <c r="R114" i="21"/>
  <c r="AH114" i="21"/>
  <c r="AJ114" i="21" s="1"/>
  <c r="AV114" i="21"/>
  <c r="AD119" i="21"/>
  <c r="AJ119" i="21" s="1"/>
  <c r="AN120" i="21"/>
  <c r="BI128" i="21"/>
  <c r="BH128" i="21"/>
  <c r="AH129" i="21"/>
  <c r="AJ129" i="21" s="1"/>
  <c r="AT132" i="21"/>
  <c r="BA132" i="21" s="1"/>
  <c r="AD134" i="21"/>
  <c r="AJ134" i="21" s="1"/>
  <c r="AV134" i="21"/>
  <c r="BB134" i="21" s="1"/>
  <c r="BI135" i="21"/>
  <c r="R138" i="21"/>
  <c r="Y138" i="21" s="1"/>
  <c r="AR139" i="21"/>
  <c r="BB139" i="21" s="1"/>
  <c r="BI140" i="21"/>
  <c r="BH140" i="21"/>
  <c r="AH141" i="21"/>
  <c r="AJ141" i="21" s="1"/>
  <c r="BI143" i="21"/>
  <c r="BI146" i="21"/>
  <c r="AB148" i="21"/>
  <c r="AI148" i="21" s="1"/>
  <c r="AH149" i="21"/>
  <c r="AJ149" i="21" s="1"/>
  <c r="AF152" i="21"/>
  <c r="AI152" i="21" s="1"/>
  <c r="AB153" i="21"/>
  <c r="AI153" i="21" s="1"/>
  <c r="V154" i="21"/>
  <c r="Y154" i="21" s="1"/>
  <c r="R155" i="21"/>
  <c r="Y155" i="21" s="1"/>
  <c r="BI155" i="21"/>
  <c r="BF155" i="21"/>
  <c r="AL159" i="21"/>
  <c r="AF160" i="21"/>
  <c r="AI160" i="21" s="1"/>
  <c r="AB161" i="21"/>
  <c r="T162" i="21"/>
  <c r="Z162" i="21" s="1"/>
  <c r="AR163" i="21"/>
  <c r="BB163" i="21" s="1"/>
  <c r="BI164" i="21"/>
  <c r="BF164" i="21"/>
  <c r="V171" i="21"/>
  <c r="AF172" i="21"/>
  <c r="AI172" i="21" s="1"/>
  <c r="AX172" i="21"/>
  <c r="BA172" i="21" s="1"/>
  <c r="AD175" i="21"/>
  <c r="AJ175" i="21" s="1"/>
  <c r="AV175" i="21"/>
  <c r="BB175" i="21" s="1"/>
  <c r="AX184" i="21"/>
  <c r="BA184" i="21" s="1"/>
  <c r="T186" i="21"/>
  <c r="Z186" i="21" s="1"/>
  <c r="AT190" i="21"/>
  <c r="BA190" i="21" s="1"/>
  <c r="AD195" i="21"/>
  <c r="AJ195" i="21" s="1"/>
  <c r="AV195" i="21"/>
  <c r="BB195" i="21" s="1"/>
  <c r="AN198" i="21"/>
  <c r="BB198" i="21" s="1"/>
  <c r="AV199" i="21"/>
  <c r="BB199" i="21" s="1"/>
  <c r="AN202" i="21"/>
  <c r="AH203" i="21"/>
  <c r="BI206" i="21"/>
  <c r="BH206" i="21"/>
  <c r="AL208" i="21"/>
  <c r="BA208" i="21" s="1"/>
  <c r="X212" i="21"/>
  <c r="Z212" i="21" s="1"/>
  <c r="BI214" i="21"/>
  <c r="BH214" i="21"/>
  <c r="BI224" i="21"/>
  <c r="AF225" i="21"/>
  <c r="AI225" i="21" s="1"/>
  <c r="AB226" i="21"/>
  <c r="AI226" i="21" s="1"/>
  <c r="AR226" i="21"/>
  <c r="V227" i="21"/>
  <c r="Y227" i="21" s="1"/>
  <c r="AN227" i="21"/>
  <c r="BB227" i="21" s="1"/>
  <c r="BI227" i="21"/>
  <c r="BH227" i="21"/>
  <c r="AT228" i="21"/>
  <c r="V229" i="21"/>
  <c r="Y229" i="21" s="1"/>
  <c r="AP229" i="21"/>
  <c r="BI229" i="21"/>
  <c r="AD230" i="21"/>
  <c r="AJ230" i="21" s="1"/>
  <c r="AF243" i="21"/>
  <c r="AI243" i="21" s="1"/>
  <c r="AL247" i="21"/>
  <c r="BA247" i="21" s="1"/>
  <c r="AN249" i="21"/>
  <c r="BB249" i="21" s="1"/>
  <c r="BI249" i="21"/>
  <c r="BH249" i="21"/>
  <c r="AH250" i="21"/>
  <c r="AJ250" i="21" s="1"/>
  <c r="AD251" i="21"/>
  <c r="AJ251" i="21" s="1"/>
  <c r="AX252" i="21"/>
  <c r="BA252" i="21" s="1"/>
  <c r="AT253" i="21"/>
  <c r="BA253" i="21" s="1"/>
  <c r="AP254" i="21"/>
  <c r="BA254" i="21" s="1"/>
  <c r="BI254" i="21"/>
  <c r="AV255" i="21"/>
  <c r="BB255" i="21" s="1"/>
  <c r="AH262" i="21"/>
  <c r="AJ262" i="21" s="1"/>
  <c r="T266" i="21"/>
  <c r="Z266" i="21" s="1"/>
  <c r="AH268" i="21"/>
  <c r="AJ268" i="21" s="1"/>
  <c r="AR269" i="21"/>
  <c r="BB269" i="21" s="1"/>
  <c r="AD273" i="21"/>
  <c r="AJ273" i="21" s="1"/>
  <c r="BI274" i="21"/>
  <c r="BH274" i="21"/>
  <c r="AT275" i="21"/>
  <c r="BA275" i="21" s="1"/>
  <c r="V276" i="21"/>
  <c r="Y276" i="21" s="1"/>
  <c r="AP276" i="21"/>
  <c r="BA276" i="21" s="1"/>
  <c r="R277" i="21"/>
  <c r="Y277" i="21" s="1"/>
  <c r="AN278" i="21"/>
  <c r="BB278" i="21" s="1"/>
  <c r="AT279" i="21"/>
  <c r="BA279" i="21" s="1"/>
  <c r="AV281" i="21"/>
  <c r="X282" i="21"/>
  <c r="AD285" i="21"/>
  <c r="AJ285" i="21" s="1"/>
  <c r="BI288" i="21"/>
  <c r="BF288" i="21"/>
  <c r="AN290" i="21"/>
  <c r="BB290" i="21" s="1"/>
  <c r="AF293" i="21"/>
  <c r="AI293" i="21" s="1"/>
  <c r="AN304" i="21"/>
  <c r="BB304" i="21" s="1"/>
  <c r="AN311" i="21"/>
  <c r="BB311" i="21" s="1"/>
  <c r="AT317" i="21"/>
  <c r="BA317" i="21" s="1"/>
  <c r="T325" i="21"/>
  <c r="Z325" i="21" s="1"/>
  <c r="BI329" i="21"/>
  <c r="BH329" i="21"/>
  <c r="AH330" i="21"/>
  <c r="AD335" i="21"/>
  <c r="AJ335" i="21" s="1"/>
  <c r="AV335" i="21"/>
  <c r="BB335" i="21" s="1"/>
  <c r="AH338" i="21"/>
  <c r="AJ338" i="21" s="1"/>
  <c r="AP343" i="21"/>
  <c r="BA343" i="21" s="1"/>
  <c r="T365" i="21"/>
  <c r="Z365" i="21" s="1"/>
  <c r="AX383" i="21"/>
  <c r="BA383" i="21" s="1"/>
  <c r="T398" i="21"/>
  <c r="Z398" i="21" s="1"/>
  <c r="T403" i="21"/>
  <c r="Z403" i="21" s="1"/>
  <c r="R130" i="21"/>
  <c r="Y130" i="21" s="1"/>
  <c r="R93" i="21"/>
  <c r="Y93" i="21" s="1"/>
  <c r="X341" i="21"/>
  <c r="Z341" i="21" s="1"/>
  <c r="X213" i="21"/>
  <c r="Z213" i="21" s="1"/>
  <c r="R14" i="21"/>
  <c r="Y14" i="21" s="1"/>
  <c r="AN39" i="21"/>
  <c r="BB39" i="21" s="1"/>
  <c r="AN48" i="21"/>
  <c r="BB48" i="21" s="1"/>
  <c r="T52" i="21"/>
  <c r="Z52" i="21" s="1"/>
  <c r="AD53" i="21"/>
  <c r="AJ53" i="21" s="1"/>
  <c r="T66" i="21"/>
  <c r="BI66" i="21"/>
  <c r="BH66" i="21"/>
  <c r="AV69" i="21"/>
  <c r="BB69" i="21" s="1"/>
  <c r="AR70" i="21"/>
  <c r="BI102" i="21"/>
  <c r="BF102" i="21"/>
  <c r="AD110" i="21"/>
  <c r="AJ110" i="21" s="1"/>
  <c r="X111" i="21"/>
  <c r="AF127" i="21"/>
  <c r="AI127" i="21" s="1"/>
  <c r="AB128" i="21"/>
  <c r="AI128" i="21" s="1"/>
  <c r="AR131" i="21"/>
  <c r="BB131" i="21" s="1"/>
  <c r="BI142" i="21"/>
  <c r="BF142" i="21"/>
  <c r="X147" i="21"/>
  <c r="Z147" i="21" s="1"/>
  <c r="AV150" i="21"/>
  <c r="BB150" i="21" s="1"/>
  <c r="X152" i="21"/>
  <c r="AV158" i="21"/>
  <c r="BB158" i="21" s="1"/>
  <c r="AT174" i="21"/>
  <c r="AV191" i="21"/>
  <c r="BB191" i="21" s="1"/>
  <c r="AT194" i="21"/>
  <c r="BA194" i="21" s="1"/>
  <c r="AV196" i="21"/>
  <c r="BB196" i="21" s="1"/>
  <c r="T218" i="21"/>
  <c r="Z218" i="21" s="1"/>
  <c r="R220" i="21"/>
  <c r="Y220" i="21" s="1"/>
  <c r="AR221" i="21"/>
  <c r="BB221" i="21" s="1"/>
  <c r="AH223" i="21"/>
  <c r="AJ223" i="21" s="1"/>
  <c r="V241" i="21"/>
  <c r="Y241" i="21" s="1"/>
  <c r="AH246" i="21"/>
  <c r="AJ246" i="21" s="1"/>
  <c r="T253" i="21"/>
  <c r="Z253" i="21" s="1"/>
  <c r="BI253" i="21"/>
  <c r="BH253" i="21"/>
  <c r="AD292" i="21"/>
  <c r="AJ292" i="21" s="1"/>
  <c r="T321" i="21"/>
  <c r="Z321" i="21" s="1"/>
  <c r="T346" i="21"/>
  <c r="Z346" i="21" s="1"/>
  <c r="AV25" i="21"/>
  <c r="BB25" i="21" s="1"/>
  <c r="AH28" i="21"/>
  <c r="AJ28" i="21" s="1"/>
  <c r="BI35" i="21"/>
  <c r="BH35" i="21"/>
  <c r="AF38" i="21"/>
  <c r="AI38" i="21" s="1"/>
  <c r="AD45" i="21"/>
  <c r="AJ45" i="21" s="1"/>
  <c r="AP52" i="21"/>
  <c r="BA52" i="21" s="1"/>
  <c r="R53" i="21"/>
  <c r="Y53" i="21" s="1"/>
  <c r="BI53" i="21"/>
  <c r="BF53" i="21"/>
  <c r="BI55" i="21"/>
  <c r="BH55" i="21"/>
  <c r="AX56" i="21"/>
  <c r="X57" i="21"/>
  <c r="Z57" i="21" s="1"/>
  <c r="X66" i="21"/>
  <c r="AL69" i="21"/>
  <c r="BA69" i="21" s="1"/>
  <c r="BI69" i="21"/>
  <c r="BF69" i="21"/>
  <c r="AX78" i="21"/>
  <c r="BA78" i="21" s="1"/>
  <c r="AN96" i="21"/>
  <c r="BB96" i="21" s="1"/>
  <c r="AX110" i="21"/>
  <c r="AR2" i="21"/>
  <c r="BB2" i="21" s="1"/>
  <c r="AH5" i="21"/>
  <c r="AJ5" i="21" s="1"/>
  <c r="AH9" i="21"/>
  <c r="AJ9" i="21" s="1"/>
  <c r="AD10" i="21"/>
  <c r="AJ10" i="21" s="1"/>
  <c r="T11" i="21"/>
  <c r="T15" i="21"/>
  <c r="Z15" i="21" s="1"/>
  <c r="AX15" i="21"/>
  <c r="BA15" i="21" s="1"/>
  <c r="AT16" i="21"/>
  <c r="BA16" i="21" s="1"/>
  <c r="AT27" i="21"/>
  <c r="BA27" i="21" s="1"/>
  <c r="BI31" i="21"/>
  <c r="BH31" i="21"/>
  <c r="AH32" i="21"/>
  <c r="AJ32" i="21" s="1"/>
  <c r="AT43" i="21"/>
  <c r="BA43" i="21" s="1"/>
  <c r="AL45" i="21"/>
  <c r="BA45" i="21" s="1"/>
  <c r="T47" i="21"/>
  <c r="Z47" i="21" s="1"/>
  <c r="AN47" i="21"/>
  <c r="T54" i="21"/>
  <c r="Z54" i="21" s="1"/>
  <c r="BI54" i="21"/>
  <c r="BF54" i="21"/>
  <c r="AT55" i="21"/>
  <c r="BA55" i="21" s="1"/>
  <c r="AP56" i="21"/>
  <c r="AN62" i="21"/>
  <c r="BI65" i="21"/>
  <c r="BF65" i="21"/>
  <c r="AB67" i="21"/>
  <c r="AI67" i="21" s="1"/>
  <c r="BI67" i="21"/>
  <c r="BH67" i="21"/>
  <c r="AH68" i="21"/>
  <c r="BI85" i="21"/>
  <c r="BF85" i="21"/>
  <c r="AN87" i="21"/>
  <c r="BB87" i="21" s="1"/>
  <c r="BI87" i="21"/>
  <c r="BH87" i="21"/>
  <c r="AX88" i="21"/>
  <c r="X94" i="21"/>
  <c r="Z94" i="21" s="1"/>
  <c r="AB96" i="21"/>
  <c r="AI96" i="21" s="1"/>
  <c r="AL97" i="21"/>
  <c r="AF98" i="21"/>
  <c r="AI98" i="21" s="1"/>
  <c r="AX98" i="21"/>
  <c r="R101" i="21"/>
  <c r="AD102" i="21"/>
  <c r="AJ102" i="21" s="1"/>
  <c r="X103" i="21"/>
  <c r="T104" i="21"/>
  <c r="Z104" i="21" s="1"/>
  <c r="BI104" i="21"/>
  <c r="BH104" i="21"/>
  <c r="X106" i="21"/>
  <c r="Z106" i="21" s="1"/>
  <c r="AR106" i="21"/>
  <c r="BB106" i="21" s="1"/>
  <c r="AD109" i="21"/>
  <c r="V113" i="21"/>
  <c r="AP113" i="21"/>
  <c r="AD115" i="21"/>
  <c r="AJ115" i="21" s="1"/>
  <c r="AP118" i="21"/>
  <c r="BA118" i="21" s="1"/>
  <c r="BI118" i="21"/>
  <c r="AV119" i="21"/>
  <c r="BB119" i="21" s="1"/>
  <c r="X120" i="21"/>
  <c r="T121" i="21"/>
  <c r="Z121" i="21" s="1"/>
  <c r="AD122" i="21"/>
  <c r="X127" i="21"/>
  <c r="Z127" i="21" s="1"/>
  <c r="AR127" i="21"/>
  <c r="BB127" i="21" s="1"/>
  <c r="T128" i="21"/>
  <c r="Z128" i="21" s="1"/>
  <c r="AN128" i="21"/>
  <c r="BB128" i="21" s="1"/>
  <c r="AD130" i="21"/>
  <c r="AJ130" i="21" s="1"/>
  <c r="AP133" i="21"/>
  <c r="BA133" i="21" s="1"/>
  <c r="X135" i="21"/>
  <c r="Z135" i="21" s="1"/>
  <c r="AR135" i="21"/>
  <c r="BB135" i="21" s="1"/>
  <c r="BI138" i="21"/>
  <c r="BF138" i="21"/>
  <c r="AN140" i="21"/>
  <c r="BB140" i="21" s="1"/>
  <c r="X143" i="21"/>
  <c r="Z143" i="21" s="1"/>
  <c r="BI144" i="21"/>
  <c r="BH144" i="21"/>
  <c r="AX156" i="21"/>
  <c r="BA156" i="21" s="1"/>
  <c r="AT157" i="21"/>
  <c r="BA157" i="21" s="1"/>
  <c r="AP158" i="21"/>
  <c r="BI159" i="21"/>
  <c r="AD163" i="21"/>
  <c r="AJ163" i="21" s="1"/>
  <c r="AP166" i="21"/>
  <c r="BA166" i="21" s="1"/>
  <c r="X168" i="21"/>
  <c r="Z168" i="21" s="1"/>
  <c r="AR168" i="21"/>
  <c r="BB168" i="21" s="1"/>
  <c r="R172" i="21"/>
  <c r="Y172" i="21" s="1"/>
  <c r="AT173" i="21"/>
  <c r="BA173" i="21" s="1"/>
  <c r="AN174" i="21"/>
  <c r="BB174" i="21" s="1"/>
  <c r="T177" i="21"/>
  <c r="Z177" i="21" s="1"/>
  <c r="AP178" i="21"/>
  <c r="BA178" i="21" s="1"/>
  <c r="AL179" i="21"/>
  <c r="BA179" i="21" s="1"/>
  <c r="AR180" i="21"/>
  <c r="BB180" i="21" s="1"/>
  <c r="AV188" i="21"/>
  <c r="BB188" i="21" s="1"/>
  <c r="X189" i="21"/>
  <c r="Z189" i="21" s="1"/>
  <c r="AP191" i="21"/>
  <c r="BA191" i="21" s="1"/>
  <c r="T194" i="21"/>
  <c r="Z194" i="21" s="1"/>
  <c r="AN194" i="21"/>
  <c r="BB194" i="21" s="1"/>
  <c r="BI194" i="21"/>
  <c r="BH194" i="21"/>
  <c r="X196" i="21"/>
  <c r="Z196" i="21" s="1"/>
  <c r="BI196" i="21"/>
  <c r="BI198" i="21"/>
  <c r="AH199" i="21"/>
  <c r="AF201" i="21"/>
  <c r="AI201" i="21" s="1"/>
  <c r="AH207" i="21"/>
  <c r="AJ207" i="21" s="1"/>
  <c r="AF209" i="21"/>
  <c r="AI209" i="21" s="1"/>
  <c r="AH211" i="21"/>
  <c r="AJ211" i="21" s="1"/>
  <c r="AH215" i="21"/>
  <c r="AJ215" i="21" s="1"/>
  <c r="T217" i="21"/>
  <c r="Z217" i="21" s="1"/>
  <c r="AR220" i="21"/>
  <c r="T221" i="21"/>
  <c r="Z221" i="21" s="1"/>
  <c r="AL224" i="21"/>
  <c r="BA224" i="21" s="1"/>
  <c r="AT226" i="21"/>
  <c r="BA226" i="21" s="1"/>
  <c r="AP227" i="21"/>
  <c r="R228" i="21"/>
  <c r="Y228" i="21" s="1"/>
  <c r="AV230" i="21"/>
  <c r="BB230" i="21" s="1"/>
  <c r="X231" i="21"/>
  <c r="T232" i="21"/>
  <c r="Z232" i="21" s="1"/>
  <c r="BI235" i="21"/>
  <c r="BI240" i="21"/>
  <c r="BH240" i="21"/>
  <c r="AH241" i="21"/>
  <c r="AJ241" i="21" s="1"/>
  <c r="BI242" i="21"/>
  <c r="AR244" i="21"/>
  <c r="BB244" i="21" s="1"/>
  <c r="T245" i="21"/>
  <c r="Z245" i="21" s="1"/>
  <c r="X256" i="21"/>
  <c r="Z256" i="21" s="1"/>
  <c r="T257" i="21"/>
  <c r="Z257" i="21" s="1"/>
  <c r="AN257" i="21"/>
  <c r="BB257" i="21" s="1"/>
  <c r="BI257" i="21"/>
  <c r="BH257" i="21"/>
  <c r="AH258" i="21"/>
  <c r="AJ258" i="21" s="1"/>
  <c r="AX260" i="21"/>
  <c r="BA260" i="21" s="1"/>
  <c r="AH272" i="21"/>
  <c r="AJ272" i="21" s="1"/>
  <c r="AV273" i="21"/>
  <c r="BB273" i="21" s="1"/>
  <c r="AN274" i="21"/>
  <c r="BB274" i="21" s="1"/>
  <c r="AV277" i="21"/>
  <c r="BB277" i="21" s="1"/>
  <c r="X278" i="21"/>
  <c r="BI278" i="21"/>
  <c r="BI282" i="21"/>
  <c r="AV285" i="21"/>
  <c r="AH291" i="21"/>
  <c r="AJ291" i="21" s="1"/>
  <c r="BI292" i="21"/>
  <c r="AB294" i="21"/>
  <c r="AI294" i="21" s="1"/>
  <c r="V295" i="21"/>
  <c r="Y295" i="21" s="1"/>
  <c r="AL302" i="21"/>
  <c r="BA302" i="21" s="1"/>
  <c r="AN316" i="21"/>
  <c r="X324" i="21"/>
  <c r="AL330" i="21"/>
  <c r="BA330" i="21" s="1"/>
  <c r="T334" i="21"/>
  <c r="Z334" i="21" s="1"/>
  <c r="X337" i="21"/>
  <c r="AR364" i="21"/>
  <c r="AR375" i="21"/>
  <c r="BB375" i="21" s="1"/>
  <c r="AB382" i="21"/>
  <c r="AI382" i="21" s="1"/>
  <c r="T387" i="21"/>
  <c r="Z387" i="21" s="1"/>
  <c r="X397" i="21"/>
  <c r="Z397" i="21" s="1"/>
  <c r="AB402" i="21"/>
  <c r="AI402" i="21" s="1"/>
  <c r="R158" i="21"/>
  <c r="Y158" i="21" s="1"/>
  <c r="R85" i="21"/>
  <c r="Y85" i="21" s="1"/>
  <c r="R49" i="21"/>
  <c r="Y49" i="21" s="1"/>
  <c r="T327" i="21"/>
  <c r="Z327" i="21" s="1"/>
  <c r="V40" i="21"/>
  <c r="Y40" i="21" s="1"/>
  <c r="BF224" i="21"/>
  <c r="AR297" i="21"/>
  <c r="AP298" i="21"/>
  <c r="AL299" i="21"/>
  <c r="X300" i="21"/>
  <c r="Z300" i="21" s="1"/>
  <c r="AD302" i="21"/>
  <c r="X304" i="21"/>
  <c r="Z304" i="21" s="1"/>
  <c r="BI305" i="21"/>
  <c r="BH305" i="21"/>
  <c r="AV306" i="21"/>
  <c r="BB306" i="21" s="1"/>
  <c r="AL318" i="21"/>
  <c r="BA318" i="21" s="1"/>
  <c r="AD319" i="21"/>
  <c r="AJ319" i="21" s="1"/>
  <c r="AV323" i="21"/>
  <c r="BB323" i="21" s="1"/>
  <c r="AR324" i="21"/>
  <c r="BB324" i="21" s="1"/>
  <c r="AN325" i="21"/>
  <c r="BB325" i="21" s="1"/>
  <c r="BI325" i="21"/>
  <c r="BH325" i="21"/>
  <c r="AF328" i="21"/>
  <c r="AI328" i="21" s="1"/>
  <c r="AB329" i="21"/>
  <c r="AI329" i="21" s="1"/>
  <c r="AD331" i="21"/>
  <c r="AJ331" i="21" s="1"/>
  <c r="AN332" i="21"/>
  <c r="BI334" i="21"/>
  <c r="BH334" i="21"/>
  <c r="AL336" i="21"/>
  <c r="AT337" i="21"/>
  <c r="BA337" i="21" s="1"/>
  <c r="AN338" i="21"/>
  <c r="BB338" i="21" s="1"/>
  <c r="BI338" i="21"/>
  <c r="BH338" i="21"/>
  <c r="AN342" i="21"/>
  <c r="BB342" i="21" s="1"/>
  <c r="BI342" i="21"/>
  <c r="BH342" i="21"/>
  <c r="AV347" i="21"/>
  <c r="BB347" i="21" s="1"/>
  <c r="AX349" i="21"/>
  <c r="BA349" i="21" s="1"/>
  <c r="AV351" i="21"/>
  <c r="BB351" i="21" s="1"/>
  <c r="AP358" i="21"/>
  <c r="BA358" i="21" s="1"/>
  <c r="AL359" i="21"/>
  <c r="AV364" i="21"/>
  <c r="AD368" i="21"/>
  <c r="AJ368" i="21" s="1"/>
  <c r="X369" i="21"/>
  <c r="AL372" i="21"/>
  <c r="AD375" i="21"/>
  <c r="AJ375" i="21" s="1"/>
  <c r="BI376" i="21"/>
  <c r="BF376" i="21"/>
  <c r="AN378" i="21"/>
  <c r="BB378" i="21" s="1"/>
  <c r="AL380" i="21"/>
  <c r="BA380" i="21" s="1"/>
  <c r="AB392" i="21"/>
  <c r="AI392" i="21" s="1"/>
  <c r="BI394" i="21"/>
  <c r="BF394" i="21"/>
  <c r="AV400" i="21"/>
  <c r="BB400" i="21" s="1"/>
  <c r="AH403" i="21"/>
  <c r="AJ403" i="21" s="1"/>
  <c r="T382" i="21"/>
  <c r="Z382" i="21" s="1"/>
  <c r="T372" i="21"/>
  <c r="Z372" i="21" s="1"/>
  <c r="T350" i="21"/>
  <c r="Z350" i="21" s="1"/>
  <c r="V378" i="21"/>
  <c r="Y378" i="21" s="1"/>
  <c r="V314" i="21"/>
  <c r="Y314" i="21" s="1"/>
  <c r="X371" i="21"/>
  <c r="Z371" i="21" s="1"/>
  <c r="BH400" i="21"/>
  <c r="AH296" i="21"/>
  <c r="AJ296" i="21" s="1"/>
  <c r="AT297" i="21"/>
  <c r="BA297" i="21" s="1"/>
  <c r="X298" i="21"/>
  <c r="Z298" i="21" s="1"/>
  <c r="AN301" i="21"/>
  <c r="BB301" i="21" s="1"/>
  <c r="AB304" i="21"/>
  <c r="AI304" i="21" s="1"/>
  <c r="T305" i="21"/>
  <c r="Z305" i="21" s="1"/>
  <c r="BI312" i="21"/>
  <c r="BH312" i="21"/>
  <c r="AV315" i="21"/>
  <c r="BB315" i="21" s="1"/>
  <c r="AR316" i="21"/>
  <c r="AH317" i="21"/>
  <c r="AJ317" i="21" s="1"/>
  <c r="BI318" i="21"/>
  <c r="BF318" i="21"/>
  <c r="AF319" i="21"/>
  <c r="AI319" i="21" s="1"/>
  <c r="AX328" i="21"/>
  <c r="BA328" i="21" s="1"/>
  <c r="AV331" i="21"/>
  <c r="X332" i="21"/>
  <c r="Z332" i="21" s="1"/>
  <c r="BI336" i="21"/>
  <c r="BF336" i="21"/>
  <c r="AH339" i="21"/>
  <c r="AJ339" i="21" s="1"/>
  <c r="AL340" i="21"/>
  <c r="BA340" i="21" s="1"/>
  <c r="AB346" i="21"/>
  <c r="AI346" i="21" s="1"/>
  <c r="AH347" i="21"/>
  <c r="AJ347" i="21" s="1"/>
  <c r="X348" i="21"/>
  <c r="Z348" i="21" s="1"/>
  <c r="AD352" i="21"/>
  <c r="AJ352" i="21" s="1"/>
  <c r="AD360" i="21"/>
  <c r="AJ360" i="21" s="1"/>
  <c r="AN365" i="21"/>
  <c r="AF368" i="21"/>
  <c r="AI368" i="21" s="1"/>
  <c r="AB369" i="21"/>
  <c r="AI369" i="21" s="1"/>
  <c r="BI378" i="21"/>
  <c r="AV386" i="21"/>
  <c r="BB386" i="21" s="1"/>
  <c r="AN391" i="21"/>
  <c r="BB391" i="21" s="1"/>
  <c r="BI398" i="21"/>
  <c r="BH398" i="21"/>
  <c r="AF399" i="21"/>
  <c r="AI399" i="21" s="1"/>
  <c r="T370" i="21"/>
  <c r="Z370" i="21" s="1"/>
  <c r="T324" i="21"/>
  <c r="T296" i="21"/>
  <c r="V335" i="21"/>
  <c r="Y335" i="21" s="1"/>
  <c r="AH302" i="21"/>
  <c r="X303" i="21"/>
  <c r="V305" i="21"/>
  <c r="Y305" i="21" s="1"/>
  <c r="AH313" i="21"/>
  <c r="AJ313" i="21" s="1"/>
  <c r="AX315" i="21"/>
  <c r="BA315" i="21" s="1"/>
  <c r="AB321" i="21"/>
  <c r="AI321" i="21" s="1"/>
  <c r="BI323" i="21"/>
  <c r="BF323" i="21"/>
  <c r="AH326" i="21"/>
  <c r="AJ326" i="21" s="1"/>
  <c r="AR327" i="21"/>
  <c r="AR332" i="21"/>
  <c r="BI340" i="21"/>
  <c r="AH343" i="21"/>
  <c r="BI344" i="21"/>
  <c r="AL351" i="21"/>
  <c r="BA351" i="21" s="1"/>
  <c r="AF352" i="21"/>
  <c r="AI352" i="21" s="1"/>
  <c r="X353" i="21"/>
  <c r="Z353" i="21" s="1"/>
  <c r="BI355" i="21"/>
  <c r="AV356" i="21"/>
  <c r="BB356" i="21" s="1"/>
  <c r="AN357" i="21"/>
  <c r="T361" i="21"/>
  <c r="AH366" i="21"/>
  <c r="AJ366" i="21" s="1"/>
  <c r="X367" i="21"/>
  <c r="Z367" i="21" s="1"/>
  <c r="BI367" i="21"/>
  <c r="AX368" i="21"/>
  <c r="BA368" i="21" s="1"/>
  <c r="AT373" i="21"/>
  <c r="BI374" i="21"/>
  <c r="BH374" i="21"/>
  <c r="X376" i="21"/>
  <c r="Z376" i="21" s="1"/>
  <c r="AH379" i="21"/>
  <c r="AJ379" i="21" s="1"/>
  <c r="X383" i="21"/>
  <c r="Z383" i="21" s="1"/>
  <c r="AR387" i="21"/>
  <c r="BB387" i="21" s="1"/>
  <c r="BI387" i="21"/>
  <c r="X391" i="21"/>
  <c r="Z391" i="21" s="1"/>
  <c r="AX395" i="21"/>
  <c r="BA395" i="21" s="1"/>
  <c r="AH397" i="21"/>
  <c r="AJ397" i="21" s="1"/>
  <c r="AD398" i="21"/>
  <c r="AJ398" i="21" s="1"/>
  <c r="AD404" i="21"/>
  <c r="AJ404" i="21" s="1"/>
  <c r="T400" i="21"/>
  <c r="Z400" i="21" s="1"/>
  <c r="T320" i="21"/>
  <c r="Z320" i="21" s="1"/>
  <c r="V330" i="21"/>
  <c r="Y330" i="21" s="1"/>
  <c r="BI308" i="21"/>
  <c r="BH308" i="21"/>
  <c r="AH309" i="21"/>
  <c r="AJ309" i="21" s="1"/>
  <c r="AD311" i="21"/>
  <c r="AJ311" i="21" s="1"/>
  <c r="T313" i="21"/>
  <c r="Z313" i="21" s="1"/>
  <c r="AN317" i="21"/>
  <c r="BB317" i="21" s="1"/>
  <c r="AL319" i="21"/>
  <c r="BA319" i="21" s="1"/>
  <c r="AF320" i="21"/>
  <c r="AI320" i="21" s="1"/>
  <c r="AT325" i="21"/>
  <c r="BA325" i="21" s="1"/>
  <c r="AN328" i="21"/>
  <c r="AH329" i="21"/>
  <c r="AJ329" i="21" s="1"/>
  <c r="X344" i="21"/>
  <c r="Z344" i="21" s="1"/>
  <c r="AT346" i="21"/>
  <c r="BA346" i="21" s="1"/>
  <c r="V347" i="21"/>
  <c r="Y347" i="21" s="1"/>
  <c r="AD348" i="21"/>
  <c r="AJ348" i="21" s="1"/>
  <c r="BI353" i="21"/>
  <c r="BH353" i="21"/>
  <c r="AX356" i="21"/>
  <c r="BA356" i="21" s="1"/>
  <c r="AD358" i="21"/>
  <c r="X359" i="21"/>
  <c r="Z359" i="21" s="1"/>
  <c r="AV363" i="21"/>
  <c r="BB363" i="21" s="1"/>
  <c r="AR365" i="21"/>
  <c r="AF373" i="21"/>
  <c r="AI373" i="21" s="1"/>
  <c r="AP374" i="21"/>
  <c r="BA374" i="21" s="1"/>
  <c r="T377" i="21"/>
  <c r="Z377" i="21" s="1"/>
  <c r="AF381" i="21"/>
  <c r="AI381" i="21" s="1"/>
  <c r="AB383" i="21"/>
  <c r="AI383" i="21" s="1"/>
  <c r="AH388" i="21"/>
  <c r="AJ388" i="21" s="1"/>
  <c r="V393" i="21"/>
  <c r="Y393" i="21" s="1"/>
  <c r="AH395" i="21"/>
  <c r="AJ395" i="21" s="1"/>
  <c r="AD396" i="21"/>
  <c r="AJ396" i="21" s="1"/>
  <c r="AT396" i="21"/>
  <c r="BA396" i="21" s="1"/>
  <c r="AR401" i="21"/>
  <c r="BB401" i="21" s="1"/>
  <c r="R363" i="21"/>
  <c r="Y363" i="21" s="1"/>
  <c r="R331" i="21"/>
  <c r="Y331" i="21" s="1"/>
  <c r="R323" i="21"/>
  <c r="Y323" i="21" s="1"/>
  <c r="R315" i="21"/>
  <c r="Y315" i="21" s="1"/>
  <c r="T333" i="21"/>
  <c r="Z333" i="21" s="1"/>
  <c r="BH310" i="21"/>
  <c r="BI302" i="21"/>
  <c r="BF302" i="21"/>
  <c r="AD303" i="21"/>
  <c r="AJ303" i="21" s="1"/>
  <c r="AB305" i="21"/>
  <c r="AI305" i="21" s="1"/>
  <c r="BI306" i="21"/>
  <c r="AF311" i="21"/>
  <c r="AI311" i="21" s="1"/>
  <c r="X312" i="21"/>
  <c r="Z312" i="21" s="1"/>
  <c r="AD327" i="21"/>
  <c r="AJ327" i="21" s="1"/>
  <c r="AV327" i="21"/>
  <c r="AD330" i="21"/>
  <c r="BI331" i="21"/>
  <c r="BF331" i="21"/>
  <c r="AN333" i="21"/>
  <c r="BB333" i="21" s="1"/>
  <c r="AD336" i="21"/>
  <c r="AJ336" i="21" s="1"/>
  <c r="T337" i="21"/>
  <c r="AR340" i="21"/>
  <c r="AR344" i="21"/>
  <c r="BB344" i="21" s="1"/>
  <c r="BI345" i="21"/>
  <c r="BH345" i="21"/>
  <c r="AV348" i="21"/>
  <c r="AL352" i="21"/>
  <c r="BA352" i="21" s="1"/>
  <c r="AV354" i="21"/>
  <c r="AR355" i="21"/>
  <c r="BB355" i="21" s="1"/>
  <c r="AR357" i="21"/>
  <c r="X361" i="21"/>
  <c r="AN364" i="21"/>
  <c r="AT365" i="21"/>
  <c r="BA365" i="21" s="1"/>
  <c r="AN366" i="21"/>
  <c r="BB366" i="21" s="1"/>
  <c r="AD367" i="21"/>
  <c r="AJ367" i="21" s="1"/>
  <c r="BI368" i="21"/>
  <c r="BH368" i="21"/>
  <c r="AV369" i="21"/>
  <c r="AH371" i="21"/>
  <c r="AJ371" i="21" s="1"/>
  <c r="AB374" i="21"/>
  <c r="AI374" i="21" s="1"/>
  <c r="AL375" i="21"/>
  <c r="BA375" i="21" s="1"/>
  <c r="BI377" i="21"/>
  <c r="BH377" i="21"/>
  <c r="AT378" i="21"/>
  <c r="BA378" i="21" s="1"/>
  <c r="AH384" i="21"/>
  <c r="AJ384" i="21" s="1"/>
  <c r="AD385" i="21"/>
  <c r="AJ385" i="21" s="1"/>
  <c r="AB400" i="21"/>
  <c r="AI400" i="21" s="1"/>
  <c r="AR403" i="21"/>
  <c r="BB403" i="21" s="1"/>
  <c r="T356" i="21"/>
  <c r="Z356" i="21" s="1"/>
  <c r="AN312" i="21"/>
  <c r="BB312" i="21" s="1"/>
  <c r="AV307" i="21"/>
  <c r="BB307" i="21" s="1"/>
  <c r="AR308" i="21"/>
  <c r="BB308" i="21" s="1"/>
  <c r="AN309" i="21"/>
  <c r="BB309" i="21" s="1"/>
  <c r="AD310" i="21"/>
  <c r="AB312" i="21"/>
  <c r="BI313" i="21"/>
  <c r="BH313" i="21"/>
  <c r="BI315" i="21"/>
  <c r="AD322" i="21"/>
  <c r="AP326" i="21"/>
  <c r="BA326" i="21" s="1"/>
  <c r="BI326" i="21"/>
  <c r="X328" i="21"/>
  <c r="Z328" i="21" s="1"/>
  <c r="AR328" i="21"/>
  <c r="T329" i="21"/>
  <c r="Z329" i="21" s="1"/>
  <c r="AN329" i="21"/>
  <c r="BI335" i="21"/>
  <c r="AN337" i="21"/>
  <c r="BB337" i="21" s="1"/>
  <c r="AP339" i="21"/>
  <c r="AD340" i="21"/>
  <c r="AJ340" i="21" s="1"/>
  <c r="BI341" i="21"/>
  <c r="BH341" i="21"/>
  <c r="AD344" i="21"/>
  <c r="AJ344" i="21" s="1"/>
  <c r="AN345" i="21"/>
  <c r="BB345" i="21" s="1"/>
  <c r="AP347" i="21"/>
  <c r="BA347" i="21" s="1"/>
  <c r="AR349" i="21"/>
  <c r="BB349" i="21" s="1"/>
  <c r="AH358" i="21"/>
  <c r="AB361" i="21"/>
  <c r="BI361" i="21"/>
  <c r="BH361" i="21"/>
  <c r="BI364" i="21"/>
  <c r="AP379" i="21"/>
  <c r="BA379" i="21" s="1"/>
  <c r="AD380" i="21"/>
  <c r="AJ380" i="21" s="1"/>
  <c r="BI386" i="21"/>
  <c r="AD389" i="21"/>
  <c r="AJ389" i="21" s="1"/>
  <c r="AV389" i="21"/>
  <c r="BB389" i="21" s="1"/>
  <c r="AP397" i="21"/>
  <c r="BA397" i="21" s="1"/>
  <c r="X399" i="21"/>
  <c r="Z399" i="21" s="1"/>
  <c r="AN402" i="21"/>
  <c r="BB402" i="21" s="1"/>
  <c r="T354" i="21"/>
  <c r="Z354" i="21" s="1"/>
  <c r="V322" i="21"/>
  <c r="Y322" i="21" s="1"/>
  <c r="X381" i="21"/>
  <c r="Z381" i="21" s="1"/>
  <c r="X349" i="21"/>
  <c r="Z349" i="21" s="1"/>
  <c r="AZ114" i="21"/>
  <c r="AZ354" i="21"/>
  <c r="AZ266" i="21"/>
  <c r="AZ250" i="21"/>
  <c r="BB250" i="21" s="1"/>
  <c r="AZ202" i="21"/>
  <c r="AZ122" i="21"/>
  <c r="BB122" i="21" s="1"/>
  <c r="AZ98" i="21"/>
  <c r="BI2" i="21"/>
  <c r="BI5" i="21"/>
  <c r="BI10" i="21"/>
  <c r="BI19" i="21"/>
  <c r="BI9" i="21"/>
  <c r="BI32" i="21"/>
  <c r="BI33" i="21"/>
  <c r="BI34" i="21"/>
  <c r="BI17" i="21"/>
  <c r="BI28" i="21"/>
  <c r="BI40" i="21"/>
  <c r="BI24" i="21"/>
  <c r="BI26" i="21"/>
  <c r="BI15" i="21"/>
  <c r="BI22" i="21"/>
  <c r="BI36" i="21"/>
  <c r="BI48" i="21"/>
  <c r="BI62" i="21"/>
  <c r="BI82" i="21"/>
  <c r="BI74" i="21"/>
  <c r="BI86" i="21"/>
  <c r="BI90" i="21"/>
  <c r="BI50" i="21"/>
  <c r="BI61" i="21"/>
  <c r="BI60" i="21"/>
  <c r="BI72" i="21"/>
  <c r="BI92" i="21"/>
  <c r="BI64" i="21"/>
  <c r="BI84" i="21"/>
  <c r="BI94" i="21"/>
  <c r="BI114" i="21"/>
  <c r="BI129" i="21"/>
  <c r="BI131" i="21"/>
  <c r="BI141" i="21"/>
  <c r="BI122" i="21"/>
  <c r="BI125" i="21"/>
  <c r="BI123" i="21"/>
  <c r="BI137" i="21"/>
  <c r="BI139" i="21"/>
  <c r="BI145" i="21"/>
  <c r="BI120" i="21"/>
  <c r="BI133" i="21"/>
  <c r="BI149" i="21"/>
  <c r="BI157" i="21"/>
  <c r="BI185" i="21"/>
  <c r="BI162" i="21"/>
  <c r="BI187" i="21"/>
  <c r="BI151" i="21"/>
  <c r="BI172" i="21"/>
  <c r="BI167" i="21"/>
  <c r="BI191" i="21"/>
  <c r="BI186" i="21"/>
  <c r="BI193" i="21"/>
  <c r="BI174" i="21"/>
  <c r="BI178" i="21"/>
  <c r="BI211" i="21"/>
  <c r="BI216" i="21"/>
  <c r="BI225" i="21"/>
  <c r="BI197" i="21"/>
  <c r="BI215" i="21"/>
  <c r="BI195" i="21"/>
  <c r="BI199" i="21"/>
  <c r="BI223" i="21"/>
  <c r="BI221" i="21"/>
  <c r="BI207" i="21"/>
  <c r="BI244" i="21"/>
  <c r="BI248" i="21"/>
  <c r="BI237" i="21"/>
  <c r="BI239" i="21"/>
  <c r="BI246" i="21"/>
  <c r="BI250" i="21"/>
  <c r="BI243" i="21"/>
  <c r="BI233" i="21"/>
  <c r="BI241" i="21"/>
  <c r="BI252" i="21"/>
  <c r="BI256" i="21"/>
  <c r="BI260" i="21"/>
  <c r="BI272" i="21"/>
  <c r="BI276" i="21"/>
  <c r="BI296" i="21"/>
  <c r="BI291" i="21"/>
  <c r="BI284" i="21"/>
  <c r="BI295" i="21"/>
  <c r="BI287" i="21"/>
  <c r="BI289" i="21"/>
  <c r="BI268" i="21"/>
  <c r="BI297" i="21"/>
  <c r="BI316" i="21"/>
  <c r="BI319" i="21"/>
  <c r="BI322" i="21"/>
  <c r="BI324" i="21"/>
  <c r="BI298" i="21"/>
  <c r="BI311" i="21"/>
  <c r="BI314" i="21"/>
  <c r="BI320" i="21"/>
  <c r="BI317" i="21"/>
  <c r="BI304" i="21"/>
  <c r="BI309" i="21"/>
  <c r="BI301" i="21"/>
  <c r="BI330" i="21"/>
  <c r="BI328" i="21"/>
  <c r="BI333" i="21"/>
  <c r="BI347" i="21"/>
  <c r="BI351" i="21"/>
  <c r="BI349" i="21"/>
  <c r="BI337" i="21"/>
  <c r="BI358" i="21"/>
  <c r="BI362" i="21"/>
  <c r="BI354" i="21"/>
  <c r="BI360" i="21"/>
  <c r="BI373" i="21"/>
  <c r="BI352" i="21"/>
  <c r="BI365" i="21"/>
  <c r="BI372" i="21"/>
  <c r="BI366" i="21"/>
  <c r="BI375" i="21"/>
  <c r="BI381" i="21"/>
  <c r="BI393" i="21"/>
  <c r="BI389" i="21"/>
  <c r="BI395" i="21"/>
  <c r="BI371" i="21"/>
  <c r="BI397" i="21"/>
  <c r="BI399" i="21"/>
  <c r="BI384" i="21"/>
  <c r="BI392" i="21"/>
  <c r="BI401" i="21"/>
  <c r="BI383" i="21"/>
  <c r="BI391" i="21"/>
  <c r="AA404" i="19"/>
  <c r="AA403" i="19"/>
  <c r="AA402" i="19"/>
  <c r="AA401" i="19"/>
  <c r="AA400" i="19"/>
  <c r="AA399" i="19"/>
  <c r="AA398" i="19"/>
  <c r="AA397" i="19"/>
  <c r="AA396" i="19"/>
  <c r="AA395" i="19"/>
  <c r="AA394" i="19"/>
  <c r="AA393" i="19"/>
  <c r="AA392" i="19"/>
  <c r="AA391" i="19"/>
  <c r="AA390" i="19"/>
  <c r="AA389" i="19"/>
  <c r="AA388" i="19"/>
  <c r="AA387" i="19"/>
  <c r="AA386" i="19"/>
  <c r="AA385" i="19"/>
  <c r="AA384" i="19"/>
  <c r="AA383" i="19"/>
  <c r="AA382" i="19"/>
  <c r="AA381" i="19"/>
  <c r="AA380" i="19"/>
  <c r="AA379" i="19"/>
  <c r="AA378" i="19"/>
  <c r="AA377" i="19"/>
  <c r="AA376" i="19"/>
  <c r="AA375" i="19"/>
  <c r="AA374" i="19"/>
  <c r="AA373" i="19"/>
  <c r="AA372" i="19"/>
  <c r="AA371" i="19"/>
  <c r="AA370" i="19"/>
  <c r="AA369" i="19"/>
  <c r="AA368" i="19"/>
  <c r="AA367" i="19"/>
  <c r="AA366" i="19"/>
  <c r="AA365" i="19"/>
  <c r="AA364" i="19"/>
  <c r="AA363" i="19"/>
  <c r="AA362" i="19"/>
  <c r="AA361" i="19"/>
  <c r="AA360" i="19"/>
  <c r="AA359" i="19"/>
  <c r="AA358" i="19"/>
  <c r="AA357" i="19"/>
  <c r="AA356" i="19"/>
  <c r="AA355" i="19"/>
  <c r="AA354" i="19"/>
  <c r="AA353" i="19"/>
  <c r="AA352" i="19"/>
  <c r="AA351" i="19"/>
  <c r="AA350" i="19"/>
  <c r="AA349" i="19"/>
  <c r="AA348" i="19"/>
  <c r="AA347" i="19"/>
  <c r="AA346" i="19"/>
  <c r="AA345" i="19"/>
  <c r="AA344" i="19"/>
  <c r="AA343" i="19"/>
  <c r="AA342" i="19"/>
  <c r="AA341" i="19"/>
  <c r="AA340" i="19"/>
  <c r="AA339" i="19"/>
  <c r="AA338" i="19"/>
  <c r="AA337" i="19"/>
  <c r="AA336" i="19"/>
  <c r="AA335" i="19"/>
  <c r="AA334" i="19"/>
  <c r="AA333" i="19"/>
  <c r="AA332" i="19"/>
  <c r="AA331" i="19"/>
  <c r="AA330" i="19"/>
  <c r="AA329" i="19"/>
  <c r="AA328" i="19"/>
  <c r="AA327" i="19"/>
  <c r="AA326" i="19"/>
  <c r="AA325" i="19"/>
  <c r="AA324" i="19"/>
  <c r="AA323" i="19"/>
  <c r="AA322" i="19"/>
  <c r="AA321" i="19"/>
  <c r="AA320" i="19"/>
  <c r="AA319" i="19"/>
  <c r="AA318" i="19"/>
  <c r="AA317" i="19"/>
  <c r="AA316" i="19"/>
  <c r="AA315" i="19"/>
  <c r="AA314" i="19"/>
  <c r="AA313" i="19"/>
  <c r="AA312" i="19"/>
  <c r="AA311" i="19"/>
  <c r="AA310" i="19"/>
  <c r="AA309" i="19"/>
  <c r="AA308" i="19"/>
  <c r="AA307" i="19"/>
  <c r="AA306" i="19"/>
  <c r="AA305" i="19"/>
  <c r="AA304" i="19"/>
  <c r="AA303" i="19"/>
  <c r="AA302" i="19"/>
  <c r="AA301" i="19"/>
  <c r="AA300" i="19"/>
  <c r="AA299" i="19"/>
  <c r="AA298" i="19"/>
  <c r="AA297" i="19"/>
  <c r="AA296" i="19"/>
  <c r="AA295" i="19"/>
  <c r="AA294" i="19"/>
  <c r="AA293" i="19"/>
  <c r="AA292" i="19"/>
  <c r="AA291" i="19"/>
  <c r="AA290" i="19"/>
  <c r="AA289" i="19"/>
  <c r="AA288" i="19"/>
  <c r="AA287" i="19"/>
  <c r="AA286" i="19"/>
  <c r="AA285" i="19"/>
  <c r="AA284" i="19"/>
  <c r="AA283" i="19"/>
  <c r="AA282" i="19"/>
  <c r="AA281" i="19"/>
  <c r="AA280" i="19"/>
  <c r="AA279" i="19"/>
  <c r="AA278" i="19"/>
  <c r="AA277" i="19"/>
  <c r="AA276" i="19"/>
  <c r="AA275" i="19"/>
  <c r="AA274" i="19"/>
  <c r="AA273" i="19"/>
  <c r="AA272" i="19"/>
  <c r="AA271" i="19"/>
  <c r="AA270" i="19"/>
  <c r="AA269" i="19"/>
  <c r="AA268" i="19"/>
  <c r="AA267" i="19"/>
  <c r="AA266" i="19"/>
  <c r="AA265" i="19"/>
  <c r="AA264" i="19"/>
  <c r="AA263" i="19"/>
  <c r="AA262" i="19"/>
  <c r="AA261" i="19"/>
  <c r="AA260" i="19"/>
  <c r="AA259" i="19"/>
  <c r="AA258" i="19"/>
  <c r="AA257" i="19"/>
  <c r="AA256" i="19"/>
  <c r="AA255" i="19"/>
  <c r="AA254" i="19"/>
  <c r="AA253" i="19"/>
  <c r="AA252" i="19"/>
  <c r="AA251" i="19"/>
  <c r="AA250" i="19"/>
  <c r="AA249" i="19"/>
  <c r="AA248" i="19"/>
  <c r="AA247" i="19"/>
  <c r="AA246" i="19"/>
  <c r="AA245" i="19"/>
  <c r="AA244" i="19"/>
  <c r="AA243" i="19"/>
  <c r="AA242" i="19"/>
  <c r="AA241" i="19"/>
  <c r="AA240" i="19"/>
  <c r="AA239" i="19"/>
  <c r="AA238" i="19"/>
  <c r="AA237" i="19"/>
  <c r="AA236" i="19"/>
  <c r="AA235" i="19"/>
  <c r="AA234" i="19"/>
  <c r="AA233" i="19"/>
  <c r="AA232" i="19"/>
  <c r="AA231" i="19"/>
  <c r="AA230" i="19"/>
  <c r="AA229" i="19"/>
  <c r="AA228" i="19"/>
  <c r="AA227" i="19"/>
  <c r="AA226" i="19"/>
  <c r="AA225" i="19"/>
  <c r="AA224" i="19"/>
  <c r="AA223" i="19"/>
  <c r="AA222" i="19"/>
  <c r="AA221" i="19"/>
  <c r="AA220" i="19"/>
  <c r="AA219" i="19"/>
  <c r="AA218" i="19"/>
  <c r="AA217" i="19"/>
  <c r="AA216" i="19"/>
  <c r="AA215" i="19"/>
  <c r="AA214" i="19"/>
  <c r="AA213" i="19"/>
  <c r="AA212" i="19"/>
  <c r="AA211" i="19"/>
  <c r="AA210" i="19"/>
  <c r="AA209" i="19"/>
  <c r="AA208" i="19"/>
  <c r="AA207" i="19"/>
  <c r="AA206" i="19"/>
  <c r="AA205" i="19"/>
  <c r="AA204" i="19"/>
  <c r="AA203" i="19"/>
  <c r="AA202" i="19"/>
  <c r="AA201" i="19"/>
  <c r="AA200" i="19"/>
  <c r="AA199" i="19"/>
  <c r="AA198" i="19"/>
  <c r="AA197" i="19"/>
  <c r="AA196" i="19"/>
  <c r="AA195" i="19"/>
  <c r="AA194" i="19"/>
  <c r="AA193" i="19"/>
  <c r="AA192" i="19"/>
  <c r="AA191" i="19"/>
  <c r="AA190" i="19"/>
  <c r="AA189" i="19"/>
  <c r="AA188" i="19"/>
  <c r="AA187" i="19"/>
  <c r="AA186" i="19"/>
  <c r="AA185" i="19"/>
  <c r="AA184" i="19"/>
  <c r="AA183" i="19"/>
  <c r="AA182" i="19"/>
  <c r="AA181" i="19"/>
  <c r="AA180" i="19"/>
  <c r="AA179" i="19"/>
  <c r="AA178" i="19"/>
  <c r="AA177" i="19"/>
  <c r="AA176" i="19"/>
  <c r="AA175" i="19"/>
  <c r="AA174" i="19"/>
  <c r="AA173" i="19"/>
  <c r="AA172" i="19"/>
  <c r="AA171" i="19"/>
  <c r="AA170" i="19"/>
  <c r="AA169" i="19"/>
  <c r="AA168" i="19"/>
  <c r="AA167" i="19"/>
  <c r="AA166" i="19"/>
  <c r="AA165" i="19"/>
  <c r="AA164" i="19"/>
  <c r="AA163" i="19"/>
  <c r="AA162" i="19"/>
  <c r="AA161" i="19"/>
  <c r="AA160" i="19"/>
  <c r="AA159" i="19"/>
  <c r="AA158" i="19"/>
  <c r="AA157" i="19"/>
  <c r="AA156" i="19"/>
  <c r="AA155" i="19"/>
  <c r="AA154" i="19"/>
  <c r="AA153" i="19"/>
  <c r="AA152" i="19"/>
  <c r="AA151" i="19"/>
  <c r="AA150" i="19"/>
  <c r="AA149" i="19"/>
  <c r="AA148" i="19"/>
  <c r="AA147" i="19"/>
  <c r="AA146" i="19"/>
  <c r="AA145" i="19"/>
  <c r="AA144" i="19"/>
  <c r="AA143" i="19"/>
  <c r="AA142" i="19"/>
  <c r="AA141" i="19"/>
  <c r="AA140" i="19"/>
  <c r="AA139" i="19"/>
  <c r="AA138" i="19"/>
  <c r="AA137" i="19"/>
  <c r="AA136" i="19"/>
  <c r="AA135" i="19"/>
  <c r="AA134" i="19"/>
  <c r="AA133" i="19"/>
  <c r="AA132" i="19"/>
  <c r="AA131" i="19"/>
  <c r="AA130" i="19"/>
  <c r="AA129" i="19"/>
  <c r="AA128" i="19"/>
  <c r="AA127" i="19"/>
  <c r="AA126" i="19"/>
  <c r="AA125" i="19"/>
  <c r="AA124" i="19"/>
  <c r="AA123" i="19"/>
  <c r="AA122" i="19"/>
  <c r="AA121" i="19"/>
  <c r="AA120" i="19"/>
  <c r="AA119" i="19"/>
  <c r="AA118" i="19"/>
  <c r="AA117" i="19"/>
  <c r="AA116" i="19"/>
  <c r="AA115" i="19"/>
  <c r="AA114" i="19"/>
  <c r="AA113" i="19"/>
  <c r="AA112" i="19"/>
  <c r="AA111" i="19"/>
  <c r="AA110" i="19"/>
  <c r="AA109" i="19"/>
  <c r="AA108" i="19"/>
  <c r="AA107" i="19"/>
  <c r="AA106" i="19"/>
  <c r="AA105" i="19"/>
  <c r="AA104" i="19"/>
  <c r="AA103" i="19"/>
  <c r="AA102" i="19"/>
  <c r="AA101" i="19"/>
  <c r="AA100" i="19"/>
  <c r="AA99" i="19"/>
  <c r="AA98" i="19"/>
  <c r="AA97" i="19"/>
  <c r="AA96" i="19"/>
  <c r="AA95" i="19"/>
  <c r="AA94" i="19"/>
  <c r="AA93" i="19"/>
  <c r="AA92" i="19"/>
  <c r="AA91" i="19"/>
  <c r="AA90" i="19"/>
  <c r="AA89" i="19"/>
  <c r="AA88" i="19"/>
  <c r="AA87" i="19"/>
  <c r="AA86" i="19"/>
  <c r="AA85" i="19"/>
  <c r="AA84" i="19"/>
  <c r="AA83" i="19"/>
  <c r="AA82" i="19"/>
  <c r="AA81" i="19"/>
  <c r="AA80" i="19"/>
  <c r="AA79" i="19"/>
  <c r="AA78" i="19"/>
  <c r="AA77" i="19"/>
  <c r="AA76" i="19"/>
  <c r="AA75" i="19"/>
  <c r="AA74" i="19"/>
  <c r="AA73" i="19"/>
  <c r="AA72" i="19"/>
  <c r="AA71" i="19"/>
  <c r="AA70" i="19"/>
  <c r="AA69" i="19"/>
  <c r="AA68" i="19"/>
  <c r="AA67" i="19"/>
  <c r="AA66" i="19"/>
  <c r="AA65" i="19"/>
  <c r="AA64" i="19"/>
  <c r="AA63" i="19"/>
  <c r="AA62" i="19"/>
  <c r="AA61" i="19"/>
  <c r="AA60" i="19"/>
  <c r="AA59" i="19"/>
  <c r="AA58" i="19"/>
  <c r="AA57" i="19"/>
  <c r="AA56" i="19"/>
  <c r="AA55" i="19"/>
  <c r="AA54" i="19"/>
  <c r="AA53" i="19"/>
  <c r="AA52" i="19"/>
  <c r="AA51" i="19"/>
  <c r="AA50" i="19"/>
  <c r="AA49" i="19"/>
  <c r="AA48" i="19"/>
  <c r="AA47" i="19"/>
  <c r="AA46" i="19"/>
  <c r="AA45" i="19"/>
  <c r="AA44" i="19"/>
  <c r="AA43" i="19"/>
  <c r="AA42" i="19"/>
  <c r="AA41" i="19"/>
  <c r="AA40" i="19"/>
  <c r="AA39" i="19"/>
  <c r="AA38" i="19"/>
  <c r="AA37" i="19"/>
  <c r="AA36" i="19"/>
  <c r="AA35" i="19"/>
  <c r="AA34" i="19"/>
  <c r="AA33" i="19"/>
  <c r="AA32" i="19"/>
  <c r="AA31" i="19"/>
  <c r="AA30" i="19"/>
  <c r="AA29" i="19"/>
  <c r="AA28" i="19"/>
  <c r="AA27" i="19"/>
  <c r="AA26" i="19"/>
  <c r="AA25" i="19"/>
  <c r="AA24" i="19"/>
  <c r="AA23" i="19"/>
  <c r="AA22" i="19"/>
  <c r="AA21" i="19"/>
  <c r="AA20" i="19"/>
  <c r="AA19" i="19"/>
  <c r="AA18" i="19"/>
  <c r="AA17" i="19"/>
  <c r="AA16" i="19"/>
  <c r="AA15" i="19"/>
  <c r="AA14" i="19"/>
  <c r="AA13" i="19"/>
  <c r="AA12" i="19"/>
  <c r="AA11" i="19"/>
  <c r="AA10" i="19"/>
  <c r="AA9" i="19"/>
  <c r="AA8" i="19"/>
  <c r="AA7" i="19"/>
  <c r="AA6" i="19"/>
  <c r="AA5" i="19"/>
  <c r="AA4" i="19"/>
  <c r="AA3" i="19"/>
  <c r="AA2" i="19"/>
  <c r="X404" i="19"/>
  <c r="X403" i="19"/>
  <c r="X402" i="19"/>
  <c r="X401" i="19"/>
  <c r="X400" i="19"/>
  <c r="X399" i="19"/>
  <c r="X398" i="19"/>
  <c r="X397" i="19"/>
  <c r="X396" i="19"/>
  <c r="X395" i="19"/>
  <c r="X394" i="19"/>
  <c r="X393" i="19"/>
  <c r="X392" i="19"/>
  <c r="X391" i="19"/>
  <c r="X390" i="19"/>
  <c r="X389" i="19"/>
  <c r="X388" i="19"/>
  <c r="X387" i="19"/>
  <c r="X386" i="19"/>
  <c r="X385" i="19"/>
  <c r="X384" i="19"/>
  <c r="X383" i="19"/>
  <c r="X382" i="19"/>
  <c r="X381" i="19"/>
  <c r="X380" i="19"/>
  <c r="X379" i="19"/>
  <c r="X378" i="19"/>
  <c r="X377" i="19"/>
  <c r="X376" i="19"/>
  <c r="X375" i="19"/>
  <c r="X374" i="19"/>
  <c r="X373" i="19"/>
  <c r="X372" i="19"/>
  <c r="X371" i="19"/>
  <c r="X370" i="19"/>
  <c r="X369" i="19"/>
  <c r="X368" i="19"/>
  <c r="X367" i="19"/>
  <c r="X366" i="19"/>
  <c r="X365" i="19"/>
  <c r="X364" i="19"/>
  <c r="X363" i="19"/>
  <c r="X362" i="19"/>
  <c r="X361" i="19"/>
  <c r="X360" i="19"/>
  <c r="X359" i="19"/>
  <c r="X358" i="19"/>
  <c r="X357" i="19"/>
  <c r="X356" i="19"/>
  <c r="X355" i="19"/>
  <c r="X354" i="19"/>
  <c r="X353" i="19"/>
  <c r="X352" i="19"/>
  <c r="X351" i="19"/>
  <c r="X350" i="19"/>
  <c r="X349" i="19"/>
  <c r="X348" i="19"/>
  <c r="X347" i="19"/>
  <c r="X346" i="19"/>
  <c r="X345" i="19"/>
  <c r="X344" i="19"/>
  <c r="X343" i="19"/>
  <c r="X342" i="19"/>
  <c r="X341" i="19"/>
  <c r="X340" i="19"/>
  <c r="X339" i="19"/>
  <c r="X338" i="19"/>
  <c r="X337" i="19"/>
  <c r="X336" i="19"/>
  <c r="X335" i="19"/>
  <c r="X334" i="19"/>
  <c r="X333" i="19"/>
  <c r="X332" i="19"/>
  <c r="X331" i="19"/>
  <c r="X330" i="19"/>
  <c r="X329" i="19"/>
  <c r="X328" i="19"/>
  <c r="X327" i="19"/>
  <c r="X326" i="19"/>
  <c r="X325" i="19"/>
  <c r="X324" i="19"/>
  <c r="X323" i="19"/>
  <c r="X322" i="19"/>
  <c r="X321" i="19"/>
  <c r="X320" i="19"/>
  <c r="X319" i="19"/>
  <c r="X318" i="19"/>
  <c r="X317" i="19"/>
  <c r="X316" i="19"/>
  <c r="X315" i="19"/>
  <c r="X314" i="19"/>
  <c r="X313" i="19"/>
  <c r="X312" i="19"/>
  <c r="X311" i="19"/>
  <c r="X310" i="19"/>
  <c r="X309" i="19"/>
  <c r="X308" i="19"/>
  <c r="X307" i="19"/>
  <c r="X306" i="19"/>
  <c r="X305" i="19"/>
  <c r="X304" i="19"/>
  <c r="X303" i="19"/>
  <c r="X302" i="19"/>
  <c r="X301" i="19"/>
  <c r="X300" i="19"/>
  <c r="X299" i="19"/>
  <c r="X298" i="19"/>
  <c r="X297" i="19"/>
  <c r="X296" i="19"/>
  <c r="X295" i="19"/>
  <c r="X294" i="19"/>
  <c r="X293" i="19"/>
  <c r="X292" i="19"/>
  <c r="X291" i="19"/>
  <c r="X290" i="19"/>
  <c r="X289" i="19"/>
  <c r="X288" i="19"/>
  <c r="X287" i="19"/>
  <c r="X286" i="19"/>
  <c r="X285" i="19"/>
  <c r="X284" i="19"/>
  <c r="X283" i="19"/>
  <c r="X282" i="19"/>
  <c r="X281" i="19"/>
  <c r="X280" i="19"/>
  <c r="X279" i="19"/>
  <c r="X278" i="19"/>
  <c r="X277" i="19"/>
  <c r="X276" i="19"/>
  <c r="X275" i="19"/>
  <c r="X274" i="19"/>
  <c r="X273" i="19"/>
  <c r="X272" i="19"/>
  <c r="X271" i="19"/>
  <c r="X270" i="19"/>
  <c r="X269" i="19"/>
  <c r="X268" i="19"/>
  <c r="X267" i="19"/>
  <c r="X266" i="19"/>
  <c r="X265" i="19"/>
  <c r="X264" i="19"/>
  <c r="X263" i="19"/>
  <c r="X262" i="19"/>
  <c r="X261" i="19"/>
  <c r="X260" i="19"/>
  <c r="X259" i="19"/>
  <c r="X258" i="19"/>
  <c r="X257" i="19"/>
  <c r="X256" i="19"/>
  <c r="X255" i="19"/>
  <c r="X254" i="19"/>
  <c r="X253" i="19"/>
  <c r="X252" i="19"/>
  <c r="X251" i="19"/>
  <c r="X250" i="19"/>
  <c r="X249" i="19"/>
  <c r="X248" i="19"/>
  <c r="X247" i="19"/>
  <c r="X246" i="19"/>
  <c r="X245" i="19"/>
  <c r="X244" i="19"/>
  <c r="X243" i="19"/>
  <c r="X242" i="19"/>
  <c r="X241" i="19"/>
  <c r="X240" i="19"/>
  <c r="X239" i="19"/>
  <c r="X238" i="19"/>
  <c r="X237" i="19"/>
  <c r="X236" i="19"/>
  <c r="X235" i="19"/>
  <c r="X234" i="19"/>
  <c r="X233" i="19"/>
  <c r="X232" i="19"/>
  <c r="X231" i="19"/>
  <c r="X230" i="19"/>
  <c r="X229" i="19"/>
  <c r="X228" i="19"/>
  <c r="X227" i="19"/>
  <c r="X226" i="19"/>
  <c r="X225" i="19"/>
  <c r="X224" i="19"/>
  <c r="X223" i="19"/>
  <c r="X222" i="19"/>
  <c r="X221" i="19"/>
  <c r="X220" i="19"/>
  <c r="X219" i="19"/>
  <c r="X218" i="19"/>
  <c r="X217" i="19"/>
  <c r="X216" i="19"/>
  <c r="X215" i="19"/>
  <c r="X214" i="19"/>
  <c r="X213" i="19"/>
  <c r="X212" i="19"/>
  <c r="X211" i="19"/>
  <c r="X210" i="19"/>
  <c r="X209" i="19"/>
  <c r="X208" i="19"/>
  <c r="X207" i="19"/>
  <c r="X206" i="19"/>
  <c r="X205" i="19"/>
  <c r="X204" i="19"/>
  <c r="X203" i="19"/>
  <c r="X202" i="19"/>
  <c r="X201" i="19"/>
  <c r="X200" i="19"/>
  <c r="X199" i="19"/>
  <c r="X198" i="19"/>
  <c r="X197" i="19"/>
  <c r="X196" i="19"/>
  <c r="X195" i="19"/>
  <c r="X194" i="19"/>
  <c r="X193" i="19"/>
  <c r="X192" i="19"/>
  <c r="X191" i="19"/>
  <c r="X190" i="19"/>
  <c r="X189" i="19"/>
  <c r="X188" i="19"/>
  <c r="X187" i="19"/>
  <c r="X186" i="19"/>
  <c r="X185" i="19"/>
  <c r="X184" i="19"/>
  <c r="X183" i="19"/>
  <c r="X182" i="19"/>
  <c r="X181" i="19"/>
  <c r="X180" i="19"/>
  <c r="X179" i="19"/>
  <c r="X178" i="19"/>
  <c r="X177" i="19"/>
  <c r="X176" i="19"/>
  <c r="X175" i="19"/>
  <c r="X174" i="19"/>
  <c r="X173" i="19"/>
  <c r="X172" i="19"/>
  <c r="X171" i="19"/>
  <c r="X170" i="19"/>
  <c r="X169" i="19"/>
  <c r="X168" i="19"/>
  <c r="X167" i="19"/>
  <c r="X166" i="19"/>
  <c r="X165" i="19"/>
  <c r="X164" i="19"/>
  <c r="X163" i="19"/>
  <c r="X162" i="19"/>
  <c r="X161" i="19"/>
  <c r="X160" i="19"/>
  <c r="X159" i="19"/>
  <c r="X158" i="19"/>
  <c r="X157" i="19"/>
  <c r="X156" i="19"/>
  <c r="X155" i="19"/>
  <c r="X154" i="19"/>
  <c r="X153" i="19"/>
  <c r="X152" i="19"/>
  <c r="X151" i="19"/>
  <c r="X150" i="19"/>
  <c r="X149" i="19"/>
  <c r="X148" i="19"/>
  <c r="X147" i="19"/>
  <c r="X146" i="19"/>
  <c r="X145" i="19"/>
  <c r="X144" i="19"/>
  <c r="X143" i="19"/>
  <c r="X142" i="19"/>
  <c r="X141" i="19"/>
  <c r="X140" i="19"/>
  <c r="X139" i="19"/>
  <c r="X138" i="19"/>
  <c r="X137" i="19"/>
  <c r="X136" i="19"/>
  <c r="X135" i="19"/>
  <c r="X134" i="19"/>
  <c r="X133" i="19"/>
  <c r="X132" i="19"/>
  <c r="X131" i="19"/>
  <c r="X130" i="19"/>
  <c r="X129" i="19"/>
  <c r="X128" i="19"/>
  <c r="X127" i="19"/>
  <c r="X126" i="19"/>
  <c r="X125" i="19"/>
  <c r="X124" i="19"/>
  <c r="X123" i="19"/>
  <c r="X122" i="19"/>
  <c r="X121" i="19"/>
  <c r="X120" i="19"/>
  <c r="X119" i="19"/>
  <c r="X118" i="19"/>
  <c r="X117" i="19"/>
  <c r="X116" i="19"/>
  <c r="X115" i="19"/>
  <c r="X114" i="19"/>
  <c r="X113" i="19"/>
  <c r="X112" i="19"/>
  <c r="X111" i="19"/>
  <c r="X110" i="19"/>
  <c r="X109" i="19"/>
  <c r="X108" i="19"/>
  <c r="X107" i="19"/>
  <c r="X106" i="19"/>
  <c r="X105" i="19"/>
  <c r="X104" i="19"/>
  <c r="X103" i="19"/>
  <c r="X102" i="19"/>
  <c r="X101" i="19"/>
  <c r="X100" i="19"/>
  <c r="X99" i="19"/>
  <c r="X98" i="19"/>
  <c r="X97" i="19"/>
  <c r="X96" i="19"/>
  <c r="X95" i="19"/>
  <c r="X94" i="19"/>
  <c r="X93" i="19"/>
  <c r="X92" i="19"/>
  <c r="X91" i="19"/>
  <c r="X90" i="19"/>
  <c r="X89" i="19"/>
  <c r="X88" i="19"/>
  <c r="X87" i="19"/>
  <c r="X86" i="19"/>
  <c r="X85" i="19"/>
  <c r="X84" i="19"/>
  <c r="X83" i="19"/>
  <c r="X82" i="19"/>
  <c r="X81" i="19"/>
  <c r="X80" i="19"/>
  <c r="X79" i="19"/>
  <c r="X78" i="19"/>
  <c r="X77" i="19"/>
  <c r="X76" i="19"/>
  <c r="X75" i="19"/>
  <c r="X74" i="19"/>
  <c r="X73" i="19"/>
  <c r="X72" i="19"/>
  <c r="X71" i="19"/>
  <c r="X70" i="19"/>
  <c r="X69" i="19"/>
  <c r="X68" i="19"/>
  <c r="X67" i="19"/>
  <c r="X66" i="19"/>
  <c r="X65" i="19"/>
  <c r="X64" i="19"/>
  <c r="X63" i="19"/>
  <c r="X62" i="19"/>
  <c r="X61" i="19"/>
  <c r="X60" i="19"/>
  <c r="X59" i="19"/>
  <c r="X58" i="19"/>
  <c r="X57" i="19"/>
  <c r="X56" i="19"/>
  <c r="X55" i="19"/>
  <c r="X54" i="19"/>
  <c r="X53" i="19"/>
  <c r="X52" i="19"/>
  <c r="X51" i="19"/>
  <c r="X50" i="19"/>
  <c r="X49" i="19"/>
  <c r="X48" i="19"/>
  <c r="X47" i="19"/>
  <c r="X46" i="19"/>
  <c r="X45" i="19"/>
  <c r="X44" i="19"/>
  <c r="X43" i="19"/>
  <c r="X42" i="19"/>
  <c r="X41" i="19"/>
  <c r="X40" i="19"/>
  <c r="X39" i="19"/>
  <c r="X38" i="19"/>
  <c r="X37" i="19"/>
  <c r="X36" i="19"/>
  <c r="X35" i="19"/>
  <c r="X34" i="19"/>
  <c r="X33" i="19"/>
  <c r="X32" i="19"/>
  <c r="X31" i="19"/>
  <c r="X30" i="19"/>
  <c r="X29" i="19"/>
  <c r="X28" i="19"/>
  <c r="X27" i="19"/>
  <c r="X26" i="19"/>
  <c r="X25" i="19"/>
  <c r="X24" i="19"/>
  <c r="X23" i="19"/>
  <c r="X22" i="19"/>
  <c r="X21" i="19"/>
  <c r="X20" i="19"/>
  <c r="X19" i="19"/>
  <c r="X18" i="19"/>
  <c r="X17" i="19"/>
  <c r="X16" i="19"/>
  <c r="X15" i="19"/>
  <c r="X14" i="19"/>
  <c r="X13" i="19"/>
  <c r="X12" i="19"/>
  <c r="X11" i="19"/>
  <c r="X10" i="19"/>
  <c r="X9" i="19"/>
  <c r="X8" i="19"/>
  <c r="X7" i="19"/>
  <c r="X6" i="19"/>
  <c r="X5" i="19"/>
  <c r="X4" i="19"/>
  <c r="X3" i="19"/>
  <c r="X2" i="19"/>
  <c r="U404" i="19"/>
  <c r="U403" i="19"/>
  <c r="U402" i="19"/>
  <c r="U401" i="19"/>
  <c r="U400" i="19"/>
  <c r="U399" i="19"/>
  <c r="U398" i="19"/>
  <c r="U397" i="19"/>
  <c r="U396" i="19"/>
  <c r="U395" i="19"/>
  <c r="U394" i="19"/>
  <c r="U393" i="19"/>
  <c r="U392" i="19"/>
  <c r="U391" i="19"/>
  <c r="U390" i="19"/>
  <c r="U389" i="19"/>
  <c r="U388" i="19"/>
  <c r="U387" i="19"/>
  <c r="U386" i="19"/>
  <c r="U385" i="19"/>
  <c r="U384" i="19"/>
  <c r="U383" i="19"/>
  <c r="U382" i="19"/>
  <c r="U381" i="19"/>
  <c r="U380" i="19"/>
  <c r="U379" i="19"/>
  <c r="U378" i="19"/>
  <c r="U377" i="19"/>
  <c r="U376" i="19"/>
  <c r="U375" i="19"/>
  <c r="U374" i="19"/>
  <c r="U373" i="19"/>
  <c r="U372" i="19"/>
  <c r="U371" i="19"/>
  <c r="U370" i="19"/>
  <c r="U369" i="19"/>
  <c r="U368" i="19"/>
  <c r="U367" i="19"/>
  <c r="U366" i="19"/>
  <c r="U365" i="19"/>
  <c r="U364" i="19"/>
  <c r="U363" i="19"/>
  <c r="U362" i="19"/>
  <c r="U361" i="19"/>
  <c r="U360" i="19"/>
  <c r="U359" i="19"/>
  <c r="U358" i="19"/>
  <c r="U357" i="19"/>
  <c r="U356" i="19"/>
  <c r="U355" i="19"/>
  <c r="U354" i="19"/>
  <c r="U353" i="19"/>
  <c r="U352" i="19"/>
  <c r="U351" i="19"/>
  <c r="U350" i="19"/>
  <c r="U349" i="19"/>
  <c r="U348" i="19"/>
  <c r="U347" i="19"/>
  <c r="U346" i="19"/>
  <c r="U345" i="19"/>
  <c r="U344" i="19"/>
  <c r="U343" i="19"/>
  <c r="U342" i="19"/>
  <c r="U341" i="19"/>
  <c r="U340" i="19"/>
  <c r="U339" i="19"/>
  <c r="U338" i="19"/>
  <c r="U337" i="19"/>
  <c r="U336" i="19"/>
  <c r="U335" i="19"/>
  <c r="U334" i="19"/>
  <c r="U333" i="19"/>
  <c r="U332" i="19"/>
  <c r="U331" i="19"/>
  <c r="U330" i="19"/>
  <c r="U329" i="19"/>
  <c r="U328" i="19"/>
  <c r="U327" i="19"/>
  <c r="U326" i="19"/>
  <c r="U325" i="19"/>
  <c r="U324" i="19"/>
  <c r="U323" i="19"/>
  <c r="U322" i="19"/>
  <c r="U321" i="19"/>
  <c r="U320" i="19"/>
  <c r="U319" i="19"/>
  <c r="U318" i="19"/>
  <c r="U317" i="19"/>
  <c r="U316" i="19"/>
  <c r="U315" i="19"/>
  <c r="U314" i="19"/>
  <c r="U313" i="19"/>
  <c r="U312" i="19"/>
  <c r="U311" i="19"/>
  <c r="U310" i="19"/>
  <c r="U309" i="19"/>
  <c r="U308" i="19"/>
  <c r="U307" i="19"/>
  <c r="U306" i="19"/>
  <c r="U305" i="19"/>
  <c r="U304" i="19"/>
  <c r="U303" i="19"/>
  <c r="U302" i="19"/>
  <c r="U301" i="19"/>
  <c r="U300" i="19"/>
  <c r="U299" i="19"/>
  <c r="U298" i="19"/>
  <c r="U297" i="19"/>
  <c r="U296" i="19"/>
  <c r="U295" i="19"/>
  <c r="U294" i="19"/>
  <c r="U293" i="19"/>
  <c r="U292" i="19"/>
  <c r="U291" i="19"/>
  <c r="U290" i="19"/>
  <c r="U289" i="19"/>
  <c r="U288" i="19"/>
  <c r="U287" i="19"/>
  <c r="U286" i="19"/>
  <c r="U285" i="19"/>
  <c r="U284" i="19"/>
  <c r="U283" i="19"/>
  <c r="U282" i="19"/>
  <c r="U281" i="19"/>
  <c r="U280" i="19"/>
  <c r="U279" i="19"/>
  <c r="U278" i="19"/>
  <c r="U277" i="19"/>
  <c r="U276" i="19"/>
  <c r="U275" i="19"/>
  <c r="U274" i="19"/>
  <c r="U273" i="19"/>
  <c r="U272" i="19"/>
  <c r="U271" i="19"/>
  <c r="U270" i="19"/>
  <c r="U269" i="19"/>
  <c r="U268" i="19"/>
  <c r="U267" i="19"/>
  <c r="U266" i="19"/>
  <c r="U265" i="19"/>
  <c r="U264" i="19"/>
  <c r="U263" i="19"/>
  <c r="U262" i="19"/>
  <c r="U261" i="19"/>
  <c r="U260" i="19"/>
  <c r="U259" i="19"/>
  <c r="U258" i="19"/>
  <c r="U257" i="19"/>
  <c r="U256" i="19"/>
  <c r="U255" i="19"/>
  <c r="U254" i="19"/>
  <c r="U253" i="19"/>
  <c r="U252" i="19"/>
  <c r="U251" i="19"/>
  <c r="U250" i="19"/>
  <c r="U249" i="19"/>
  <c r="U248" i="19"/>
  <c r="U247" i="19"/>
  <c r="U246" i="19"/>
  <c r="U245" i="19"/>
  <c r="U244" i="19"/>
  <c r="U243" i="19"/>
  <c r="U242" i="19"/>
  <c r="U241" i="19"/>
  <c r="U240" i="19"/>
  <c r="U239" i="19"/>
  <c r="U238" i="19"/>
  <c r="U237" i="19"/>
  <c r="U236" i="19"/>
  <c r="U235" i="19"/>
  <c r="U234" i="19"/>
  <c r="U233" i="19"/>
  <c r="U232" i="19"/>
  <c r="U231" i="19"/>
  <c r="U230" i="19"/>
  <c r="U229" i="19"/>
  <c r="U228" i="19"/>
  <c r="U227" i="19"/>
  <c r="U226" i="19"/>
  <c r="U225" i="19"/>
  <c r="U224" i="19"/>
  <c r="U223" i="19"/>
  <c r="U222" i="19"/>
  <c r="U221" i="19"/>
  <c r="U220" i="19"/>
  <c r="U219" i="19"/>
  <c r="U218" i="19"/>
  <c r="U217" i="19"/>
  <c r="U216" i="19"/>
  <c r="U215" i="19"/>
  <c r="U214" i="19"/>
  <c r="U213" i="19"/>
  <c r="U212" i="19"/>
  <c r="U211" i="19"/>
  <c r="U210" i="19"/>
  <c r="U209" i="19"/>
  <c r="U208" i="19"/>
  <c r="U207" i="19"/>
  <c r="U206" i="19"/>
  <c r="U205" i="19"/>
  <c r="U204" i="19"/>
  <c r="U203" i="19"/>
  <c r="U202" i="19"/>
  <c r="U201" i="19"/>
  <c r="U200" i="19"/>
  <c r="U199" i="19"/>
  <c r="U198" i="19"/>
  <c r="U197" i="19"/>
  <c r="U196" i="19"/>
  <c r="U195" i="19"/>
  <c r="U194" i="19"/>
  <c r="U193" i="19"/>
  <c r="U192" i="19"/>
  <c r="U191" i="19"/>
  <c r="U190" i="19"/>
  <c r="U189" i="19"/>
  <c r="U188" i="19"/>
  <c r="U187" i="19"/>
  <c r="U186" i="19"/>
  <c r="U185" i="19"/>
  <c r="U184" i="19"/>
  <c r="U183" i="19"/>
  <c r="U182" i="19"/>
  <c r="U181" i="19"/>
  <c r="U180" i="19"/>
  <c r="U179" i="19"/>
  <c r="U178" i="19"/>
  <c r="U177" i="19"/>
  <c r="U176" i="19"/>
  <c r="U175" i="19"/>
  <c r="U174" i="19"/>
  <c r="U173" i="19"/>
  <c r="U172" i="19"/>
  <c r="U171" i="19"/>
  <c r="U170" i="19"/>
  <c r="U169" i="19"/>
  <c r="U168" i="19"/>
  <c r="U167" i="19"/>
  <c r="U166" i="19"/>
  <c r="U165" i="19"/>
  <c r="U164" i="19"/>
  <c r="U163" i="19"/>
  <c r="U162" i="19"/>
  <c r="U161" i="19"/>
  <c r="U160" i="19"/>
  <c r="U159" i="19"/>
  <c r="U158" i="19"/>
  <c r="U157" i="19"/>
  <c r="U156" i="19"/>
  <c r="U155" i="19"/>
  <c r="U154" i="19"/>
  <c r="U153" i="19"/>
  <c r="U152" i="19"/>
  <c r="U151" i="19"/>
  <c r="U150" i="19"/>
  <c r="U149" i="19"/>
  <c r="U148" i="19"/>
  <c r="U147" i="19"/>
  <c r="U146" i="19"/>
  <c r="U145" i="19"/>
  <c r="U144" i="19"/>
  <c r="U143" i="19"/>
  <c r="U142" i="19"/>
  <c r="U141" i="19"/>
  <c r="U140" i="19"/>
  <c r="U139" i="19"/>
  <c r="U138" i="19"/>
  <c r="U137" i="19"/>
  <c r="U136" i="19"/>
  <c r="U135" i="19"/>
  <c r="U134" i="19"/>
  <c r="U133" i="19"/>
  <c r="U132" i="19"/>
  <c r="U131" i="19"/>
  <c r="U130" i="19"/>
  <c r="U129" i="19"/>
  <c r="U128" i="19"/>
  <c r="U127" i="19"/>
  <c r="U126" i="19"/>
  <c r="U125" i="19"/>
  <c r="U124" i="19"/>
  <c r="U123" i="19"/>
  <c r="U122" i="19"/>
  <c r="U121" i="19"/>
  <c r="U120" i="19"/>
  <c r="U119" i="19"/>
  <c r="U118" i="19"/>
  <c r="U117" i="19"/>
  <c r="U116" i="19"/>
  <c r="U115" i="19"/>
  <c r="U114" i="19"/>
  <c r="U113" i="19"/>
  <c r="U112" i="19"/>
  <c r="U111" i="19"/>
  <c r="U110" i="19"/>
  <c r="U109" i="19"/>
  <c r="U108" i="19"/>
  <c r="U107" i="19"/>
  <c r="U106" i="19"/>
  <c r="U105" i="19"/>
  <c r="U104" i="19"/>
  <c r="U103" i="19"/>
  <c r="U102" i="19"/>
  <c r="U101" i="19"/>
  <c r="U100" i="19"/>
  <c r="U99" i="19"/>
  <c r="U98" i="19"/>
  <c r="U97" i="19"/>
  <c r="U96" i="19"/>
  <c r="U95" i="19"/>
  <c r="U94" i="19"/>
  <c r="U93" i="19"/>
  <c r="U92" i="19"/>
  <c r="U91" i="19"/>
  <c r="U90" i="19"/>
  <c r="U89" i="19"/>
  <c r="U88" i="19"/>
  <c r="U87" i="19"/>
  <c r="U86" i="19"/>
  <c r="U85" i="19"/>
  <c r="U84" i="19"/>
  <c r="U83" i="19"/>
  <c r="U82" i="19"/>
  <c r="U81" i="19"/>
  <c r="U80" i="19"/>
  <c r="U79" i="19"/>
  <c r="U78" i="19"/>
  <c r="U77" i="19"/>
  <c r="U76" i="19"/>
  <c r="U75" i="19"/>
  <c r="U74" i="19"/>
  <c r="U73" i="19"/>
  <c r="U72" i="19"/>
  <c r="U71" i="19"/>
  <c r="U70" i="19"/>
  <c r="U69" i="19"/>
  <c r="U68" i="19"/>
  <c r="U67" i="19"/>
  <c r="U66" i="19"/>
  <c r="U65" i="19"/>
  <c r="U64" i="19"/>
  <c r="U63" i="19"/>
  <c r="U62" i="19"/>
  <c r="U61" i="19"/>
  <c r="U60" i="19"/>
  <c r="U59" i="19"/>
  <c r="U58" i="19"/>
  <c r="U57" i="19"/>
  <c r="U56" i="19"/>
  <c r="U55" i="19"/>
  <c r="U54" i="19"/>
  <c r="U53" i="19"/>
  <c r="U52" i="19"/>
  <c r="U51" i="19"/>
  <c r="U50" i="19"/>
  <c r="U49" i="19"/>
  <c r="U48" i="19"/>
  <c r="U47" i="19"/>
  <c r="U46" i="19"/>
  <c r="U45" i="19"/>
  <c r="U44" i="19"/>
  <c r="U43" i="19"/>
  <c r="U42" i="19"/>
  <c r="U41" i="19"/>
  <c r="U40" i="19"/>
  <c r="U39" i="19"/>
  <c r="U38" i="19"/>
  <c r="U37" i="19"/>
  <c r="U36" i="19"/>
  <c r="U35" i="19"/>
  <c r="U34" i="19"/>
  <c r="U33" i="19"/>
  <c r="U32" i="19"/>
  <c r="U31" i="19"/>
  <c r="U30" i="19"/>
  <c r="U29" i="19"/>
  <c r="U28" i="19"/>
  <c r="U27" i="19"/>
  <c r="U26" i="19"/>
  <c r="U25" i="19"/>
  <c r="U24" i="19"/>
  <c r="U23" i="19"/>
  <c r="U22" i="19"/>
  <c r="U21" i="19"/>
  <c r="U20" i="19"/>
  <c r="U19" i="19"/>
  <c r="U18" i="19"/>
  <c r="U17" i="19"/>
  <c r="U16" i="19"/>
  <c r="U15" i="19"/>
  <c r="U14" i="19"/>
  <c r="U13" i="19"/>
  <c r="U12" i="19"/>
  <c r="U11" i="19"/>
  <c r="U10" i="19"/>
  <c r="U9" i="19"/>
  <c r="U8" i="19"/>
  <c r="U7" i="19"/>
  <c r="U6" i="19"/>
  <c r="U5" i="19"/>
  <c r="U4" i="19"/>
  <c r="U3" i="19"/>
  <c r="U2" i="19"/>
  <c r="R404" i="19"/>
  <c r="R403" i="19"/>
  <c r="R402" i="19"/>
  <c r="R401" i="19"/>
  <c r="R400" i="19"/>
  <c r="R399" i="19"/>
  <c r="R398" i="19"/>
  <c r="R397" i="19"/>
  <c r="R396" i="19"/>
  <c r="R395" i="19"/>
  <c r="R394" i="19"/>
  <c r="R393" i="19"/>
  <c r="R392" i="19"/>
  <c r="R391" i="19"/>
  <c r="R390" i="19"/>
  <c r="R389" i="19"/>
  <c r="R388" i="19"/>
  <c r="R387" i="19"/>
  <c r="R386" i="19"/>
  <c r="R385" i="19"/>
  <c r="R384" i="19"/>
  <c r="R383" i="19"/>
  <c r="R382" i="19"/>
  <c r="R381" i="19"/>
  <c r="R380" i="19"/>
  <c r="R379" i="19"/>
  <c r="R378" i="19"/>
  <c r="R377" i="19"/>
  <c r="R376" i="19"/>
  <c r="R375" i="19"/>
  <c r="R374" i="19"/>
  <c r="R373" i="19"/>
  <c r="R372" i="19"/>
  <c r="R371" i="19"/>
  <c r="R370" i="19"/>
  <c r="R369" i="19"/>
  <c r="R368" i="19"/>
  <c r="R367" i="19"/>
  <c r="R366" i="19"/>
  <c r="R365" i="19"/>
  <c r="R364" i="19"/>
  <c r="R363" i="19"/>
  <c r="R362" i="19"/>
  <c r="R361" i="19"/>
  <c r="R360" i="19"/>
  <c r="R359" i="19"/>
  <c r="R358" i="19"/>
  <c r="R357" i="19"/>
  <c r="R356" i="19"/>
  <c r="R355" i="19"/>
  <c r="R354" i="19"/>
  <c r="R353" i="19"/>
  <c r="R352" i="19"/>
  <c r="R351" i="19"/>
  <c r="R350" i="19"/>
  <c r="R349" i="19"/>
  <c r="R348" i="19"/>
  <c r="R347" i="19"/>
  <c r="R346" i="19"/>
  <c r="R345" i="19"/>
  <c r="R344" i="19"/>
  <c r="R343" i="19"/>
  <c r="R342" i="19"/>
  <c r="R341" i="19"/>
  <c r="R340" i="19"/>
  <c r="R339" i="19"/>
  <c r="R338" i="19"/>
  <c r="R337" i="19"/>
  <c r="R336" i="19"/>
  <c r="R335" i="19"/>
  <c r="R334" i="19"/>
  <c r="R333" i="19"/>
  <c r="R332" i="19"/>
  <c r="R331" i="19"/>
  <c r="R330" i="19"/>
  <c r="R329" i="19"/>
  <c r="R328" i="19"/>
  <c r="R327" i="19"/>
  <c r="R326" i="19"/>
  <c r="R325" i="19"/>
  <c r="R324" i="19"/>
  <c r="R323" i="19"/>
  <c r="R322" i="19"/>
  <c r="R321" i="19"/>
  <c r="R320" i="19"/>
  <c r="R319" i="19"/>
  <c r="R318" i="19"/>
  <c r="R317" i="19"/>
  <c r="R316" i="19"/>
  <c r="R315" i="19"/>
  <c r="R314" i="19"/>
  <c r="R313" i="19"/>
  <c r="R312" i="19"/>
  <c r="R311" i="19"/>
  <c r="R310" i="19"/>
  <c r="R309" i="19"/>
  <c r="R308" i="19"/>
  <c r="R307" i="19"/>
  <c r="R306" i="19"/>
  <c r="R305" i="19"/>
  <c r="R304" i="19"/>
  <c r="R303" i="19"/>
  <c r="R302" i="19"/>
  <c r="R301" i="19"/>
  <c r="R300" i="19"/>
  <c r="R299" i="19"/>
  <c r="R298" i="19"/>
  <c r="R297" i="19"/>
  <c r="R296" i="19"/>
  <c r="R295" i="19"/>
  <c r="R294" i="19"/>
  <c r="R293" i="19"/>
  <c r="R292" i="19"/>
  <c r="R291" i="19"/>
  <c r="R290" i="19"/>
  <c r="R289" i="19"/>
  <c r="R288" i="19"/>
  <c r="R287" i="19"/>
  <c r="R286" i="19"/>
  <c r="R285" i="19"/>
  <c r="R284" i="19"/>
  <c r="R283" i="19"/>
  <c r="R282" i="19"/>
  <c r="R281" i="19"/>
  <c r="R280" i="19"/>
  <c r="R279" i="19"/>
  <c r="R278" i="19"/>
  <c r="R277" i="19"/>
  <c r="R276" i="19"/>
  <c r="R275" i="19"/>
  <c r="R274" i="19"/>
  <c r="R273" i="19"/>
  <c r="R272" i="19"/>
  <c r="R271" i="19"/>
  <c r="R270" i="19"/>
  <c r="R269" i="19"/>
  <c r="R268" i="19"/>
  <c r="R267" i="19"/>
  <c r="R266" i="19"/>
  <c r="R265" i="19"/>
  <c r="R264" i="19"/>
  <c r="R263" i="19"/>
  <c r="R262" i="19"/>
  <c r="R261" i="19"/>
  <c r="R260" i="19"/>
  <c r="R259" i="19"/>
  <c r="R258" i="19"/>
  <c r="R257" i="19"/>
  <c r="R256" i="19"/>
  <c r="R255" i="19"/>
  <c r="R254" i="19"/>
  <c r="R253" i="19"/>
  <c r="R252" i="19"/>
  <c r="R251" i="19"/>
  <c r="R250" i="19"/>
  <c r="R249" i="19"/>
  <c r="R248" i="19"/>
  <c r="R247" i="19"/>
  <c r="R246" i="19"/>
  <c r="R245" i="19"/>
  <c r="R244" i="19"/>
  <c r="R243" i="19"/>
  <c r="R242" i="19"/>
  <c r="R241" i="19"/>
  <c r="R240" i="19"/>
  <c r="R239" i="19"/>
  <c r="R238" i="19"/>
  <c r="R237" i="19"/>
  <c r="R236" i="19"/>
  <c r="R235" i="19"/>
  <c r="R234" i="19"/>
  <c r="R233" i="19"/>
  <c r="R232" i="19"/>
  <c r="R231" i="19"/>
  <c r="R230" i="19"/>
  <c r="R229" i="19"/>
  <c r="R228" i="19"/>
  <c r="R227" i="19"/>
  <c r="R226" i="19"/>
  <c r="R225" i="19"/>
  <c r="R224" i="19"/>
  <c r="R223" i="19"/>
  <c r="R222" i="19"/>
  <c r="R221" i="19"/>
  <c r="R220" i="19"/>
  <c r="R219" i="19"/>
  <c r="R218" i="19"/>
  <c r="R217" i="19"/>
  <c r="R216" i="19"/>
  <c r="R215" i="19"/>
  <c r="R214" i="19"/>
  <c r="R213" i="19"/>
  <c r="R212" i="19"/>
  <c r="R211" i="19"/>
  <c r="R210" i="19"/>
  <c r="R209" i="19"/>
  <c r="R208" i="19"/>
  <c r="R207" i="19"/>
  <c r="R206" i="19"/>
  <c r="R205" i="19"/>
  <c r="R204" i="19"/>
  <c r="R203" i="19"/>
  <c r="R202" i="19"/>
  <c r="R201" i="19"/>
  <c r="R200" i="19"/>
  <c r="R199" i="19"/>
  <c r="R198" i="19"/>
  <c r="R197" i="19"/>
  <c r="R196" i="19"/>
  <c r="R195" i="19"/>
  <c r="R194" i="19"/>
  <c r="R193" i="19"/>
  <c r="R192" i="19"/>
  <c r="R191" i="19"/>
  <c r="R190" i="19"/>
  <c r="R189" i="19"/>
  <c r="R188" i="19"/>
  <c r="R187" i="19"/>
  <c r="R186" i="19"/>
  <c r="R185" i="19"/>
  <c r="R184" i="19"/>
  <c r="R183" i="19"/>
  <c r="R182" i="19"/>
  <c r="R181" i="19"/>
  <c r="R180" i="19"/>
  <c r="R179" i="19"/>
  <c r="R178" i="19"/>
  <c r="R177" i="19"/>
  <c r="R176" i="19"/>
  <c r="R175" i="19"/>
  <c r="R174" i="19"/>
  <c r="R173" i="19"/>
  <c r="R172" i="19"/>
  <c r="R171" i="19"/>
  <c r="R170" i="19"/>
  <c r="R169" i="19"/>
  <c r="R168" i="19"/>
  <c r="R167" i="19"/>
  <c r="R166" i="19"/>
  <c r="R165" i="19"/>
  <c r="R164" i="19"/>
  <c r="R163" i="19"/>
  <c r="R162" i="19"/>
  <c r="R161" i="19"/>
  <c r="R160" i="19"/>
  <c r="R159" i="19"/>
  <c r="R158" i="19"/>
  <c r="R157" i="19"/>
  <c r="R156" i="19"/>
  <c r="R155" i="19"/>
  <c r="R154" i="19"/>
  <c r="R153" i="19"/>
  <c r="R152" i="19"/>
  <c r="R151" i="19"/>
  <c r="R150" i="19"/>
  <c r="R149" i="19"/>
  <c r="R148" i="19"/>
  <c r="R147" i="19"/>
  <c r="R146" i="19"/>
  <c r="R145" i="19"/>
  <c r="R144" i="19"/>
  <c r="R143" i="19"/>
  <c r="R142" i="19"/>
  <c r="R141" i="19"/>
  <c r="R140" i="19"/>
  <c r="R139" i="19"/>
  <c r="R138" i="19"/>
  <c r="R137" i="19"/>
  <c r="R136" i="19"/>
  <c r="R135" i="19"/>
  <c r="R134" i="19"/>
  <c r="R133" i="19"/>
  <c r="R132" i="19"/>
  <c r="R131" i="19"/>
  <c r="R130" i="19"/>
  <c r="R129" i="19"/>
  <c r="R128" i="19"/>
  <c r="R127" i="19"/>
  <c r="R126" i="19"/>
  <c r="R125" i="19"/>
  <c r="R124" i="19"/>
  <c r="R123" i="19"/>
  <c r="R122" i="19"/>
  <c r="R121" i="19"/>
  <c r="R120" i="19"/>
  <c r="R119" i="19"/>
  <c r="R118" i="19"/>
  <c r="R117" i="19"/>
  <c r="R116" i="19"/>
  <c r="R115" i="19"/>
  <c r="R114" i="19"/>
  <c r="R113" i="19"/>
  <c r="R112" i="19"/>
  <c r="R111" i="19"/>
  <c r="R110" i="19"/>
  <c r="R109" i="19"/>
  <c r="R108" i="19"/>
  <c r="R107" i="19"/>
  <c r="R106" i="19"/>
  <c r="R105" i="19"/>
  <c r="R104" i="19"/>
  <c r="R103" i="19"/>
  <c r="R102" i="19"/>
  <c r="R101" i="19"/>
  <c r="R100" i="19"/>
  <c r="R99" i="19"/>
  <c r="R98" i="19"/>
  <c r="R97" i="19"/>
  <c r="R96" i="19"/>
  <c r="R95" i="19"/>
  <c r="R94" i="19"/>
  <c r="R93" i="19"/>
  <c r="R92" i="19"/>
  <c r="R91" i="19"/>
  <c r="R90" i="19"/>
  <c r="R89" i="19"/>
  <c r="R88" i="19"/>
  <c r="R87" i="19"/>
  <c r="R86" i="19"/>
  <c r="R85" i="19"/>
  <c r="R84" i="19"/>
  <c r="R83" i="19"/>
  <c r="R82" i="19"/>
  <c r="R81" i="19"/>
  <c r="R80" i="19"/>
  <c r="R79" i="19"/>
  <c r="R78" i="19"/>
  <c r="R77" i="19"/>
  <c r="R76" i="19"/>
  <c r="R75" i="19"/>
  <c r="R74" i="19"/>
  <c r="R73" i="19"/>
  <c r="R72" i="19"/>
  <c r="R71" i="19"/>
  <c r="R70" i="19"/>
  <c r="R69" i="19"/>
  <c r="R68" i="19"/>
  <c r="R67" i="19"/>
  <c r="R66" i="19"/>
  <c r="R65" i="19"/>
  <c r="R64" i="19"/>
  <c r="R63" i="19"/>
  <c r="R62" i="19"/>
  <c r="R61" i="19"/>
  <c r="R60" i="19"/>
  <c r="R59" i="19"/>
  <c r="R58" i="19"/>
  <c r="R57" i="19"/>
  <c r="R56" i="19"/>
  <c r="R55" i="19"/>
  <c r="R54" i="19"/>
  <c r="R53" i="19"/>
  <c r="R52" i="19"/>
  <c r="R51" i="19"/>
  <c r="R50" i="19"/>
  <c r="R49" i="19"/>
  <c r="R48" i="19"/>
  <c r="R47" i="19"/>
  <c r="R46" i="19"/>
  <c r="R45" i="19"/>
  <c r="R44" i="19"/>
  <c r="R43" i="19"/>
  <c r="R42" i="19"/>
  <c r="R41" i="19"/>
  <c r="R40" i="19"/>
  <c r="R39" i="19"/>
  <c r="R38" i="19"/>
  <c r="R37" i="19"/>
  <c r="R36" i="19"/>
  <c r="R35" i="19"/>
  <c r="R34" i="19"/>
  <c r="R33" i="19"/>
  <c r="R32" i="19"/>
  <c r="R31" i="19"/>
  <c r="R30" i="19"/>
  <c r="R29" i="19"/>
  <c r="R28" i="19"/>
  <c r="R27" i="19"/>
  <c r="R26" i="19"/>
  <c r="R25" i="19"/>
  <c r="R24" i="19"/>
  <c r="R23" i="19"/>
  <c r="R22" i="19"/>
  <c r="R21" i="19"/>
  <c r="R20" i="19"/>
  <c r="R19" i="19"/>
  <c r="R18" i="19"/>
  <c r="R17" i="19"/>
  <c r="R16" i="19"/>
  <c r="R15" i="19"/>
  <c r="R14" i="19"/>
  <c r="R13" i="19"/>
  <c r="R12" i="19"/>
  <c r="R11" i="19"/>
  <c r="R10" i="19"/>
  <c r="R9" i="19"/>
  <c r="R8" i="19"/>
  <c r="R7" i="19"/>
  <c r="R6" i="19"/>
  <c r="R5" i="19"/>
  <c r="R4" i="19"/>
  <c r="R3" i="19"/>
  <c r="R2" i="19"/>
  <c r="O404" i="19"/>
  <c r="O403" i="19"/>
  <c r="O402" i="19"/>
  <c r="O401" i="19"/>
  <c r="O400" i="19"/>
  <c r="O399" i="19"/>
  <c r="O398" i="19"/>
  <c r="O397" i="19"/>
  <c r="O396" i="19"/>
  <c r="O395" i="19"/>
  <c r="O394" i="19"/>
  <c r="O393" i="19"/>
  <c r="O392" i="19"/>
  <c r="O391" i="19"/>
  <c r="O390" i="19"/>
  <c r="O389" i="19"/>
  <c r="O388" i="19"/>
  <c r="O387" i="19"/>
  <c r="O386" i="19"/>
  <c r="O385" i="19"/>
  <c r="O384" i="19"/>
  <c r="O383" i="19"/>
  <c r="O382" i="19"/>
  <c r="O381" i="19"/>
  <c r="O380" i="19"/>
  <c r="O379" i="19"/>
  <c r="O378" i="19"/>
  <c r="O377" i="19"/>
  <c r="O376" i="19"/>
  <c r="O375" i="19"/>
  <c r="O374" i="19"/>
  <c r="O373" i="19"/>
  <c r="O372" i="19"/>
  <c r="O371" i="19"/>
  <c r="O370" i="19"/>
  <c r="O369" i="19"/>
  <c r="O368" i="19"/>
  <c r="O367" i="19"/>
  <c r="O366" i="19"/>
  <c r="O365" i="19"/>
  <c r="O364" i="19"/>
  <c r="O363" i="19"/>
  <c r="O362" i="19"/>
  <c r="O361" i="19"/>
  <c r="O360" i="19"/>
  <c r="O359" i="19"/>
  <c r="O358" i="19"/>
  <c r="O357" i="19"/>
  <c r="O356" i="19"/>
  <c r="O355" i="19"/>
  <c r="O354" i="19"/>
  <c r="O353" i="19"/>
  <c r="O352" i="19"/>
  <c r="O351" i="19"/>
  <c r="O350" i="19"/>
  <c r="O349" i="19"/>
  <c r="O348" i="19"/>
  <c r="O347" i="19"/>
  <c r="O346" i="19"/>
  <c r="O345" i="19"/>
  <c r="O344" i="19"/>
  <c r="O343" i="19"/>
  <c r="O342" i="19"/>
  <c r="O341" i="19"/>
  <c r="O340" i="19"/>
  <c r="O339" i="19"/>
  <c r="O338" i="19"/>
  <c r="O337" i="19"/>
  <c r="O336" i="19"/>
  <c r="O335" i="19"/>
  <c r="O334" i="19"/>
  <c r="O333" i="19"/>
  <c r="O332" i="19"/>
  <c r="O331" i="19"/>
  <c r="O330" i="19"/>
  <c r="O329" i="19"/>
  <c r="O328" i="19"/>
  <c r="O327" i="19"/>
  <c r="O326" i="19"/>
  <c r="O325" i="19"/>
  <c r="O324" i="19"/>
  <c r="O323" i="19"/>
  <c r="O322" i="19"/>
  <c r="O321" i="19"/>
  <c r="O320" i="19"/>
  <c r="O319" i="19"/>
  <c r="O318" i="19"/>
  <c r="O317" i="19"/>
  <c r="O316" i="19"/>
  <c r="O315" i="19"/>
  <c r="O314" i="19"/>
  <c r="O313" i="19"/>
  <c r="O312" i="19"/>
  <c r="O311" i="19"/>
  <c r="O310" i="19"/>
  <c r="O309" i="19"/>
  <c r="O308" i="19"/>
  <c r="O307" i="19"/>
  <c r="O306" i="19"/>
  <c r="O305" i="19"/>
  <c r="O304" i="19"/>
  <c r="O303" i="19"/>
  <c r="O302" i="19"/>
  <c r="O301" i="19"/>
  <c r="O300" i="19"/>
  <c r="O299" i="19"/>
  <c r="O298" i="19"/>
  <c r="O297" i="19"/>
  <c r="O296" i="19"/>
  <c r="O295" i="19"/>
  <c r="O294" i="19"/>
  <c r="O293" i="19"/>
  <c r="O292" i="19"/>
  <c r="O291" i="19"/>
  <c r="O290" i="19"/>
  <c r="O289" i="19"/>
  <c r="O288" i="19"/>
  <c r="O287" i="19"/>
  <c r="O286" i="19"/>
  <c r="O285" i="19"/>
  <c r="O284" i="19"/>
  <c r="O283" i="19"/>
  <c r="O282" i="19"/>
  <c r="O281" i="19"/>
  <c r="O280" i="19"/>
  <c r="O279" i="19"/>
  <c r="O278" i="19"/>
  <c r="O277" i="19"/>
  <c r="O276" i="19"/>
  <c r="O275" i="19"/>
  <c r="O274" i="19"/>
  <c r="O273" i="19"/>
  <c r="O272" i="19"/>
  <c r="O271" i="19"/>
  <c r="O270" i="19"/>
  <c r="O269" i="19"/>
  <c r="O268" i="19"/>
  <c r="O267" i="19"/>
  <c r="O266" i="19"/>
  <c r="O265" i="19"/>
  <c r="O264" i="19"/>
  <c r="O263" i="19"/>
  <c r="O262" i="19"/>
  <c r="O261" i="19"/>
  <c r="O260" i="19"/>
  <c r="O259" i="19"/>
  <c r="O258" i="19"/>
  <c r="O257" i="19"/>
  <c r="O256" i="19"/>
  <c r="O255" i="19"/>
  <c r="O254" i="19"/>
  <c r="O253" i="19"/>
  <c r="O252" i="19"/>
  <c r="O251" i="19"/>
  <c r="O250" i="19"/>
  <c r="O249" i="19"/>
  <c r="O248" i="19"/>
  <c r="O247" i="19"/>
  <c r="O246" i="19"/>
  <c r="O245" i="19"/>
  <c r="O244" i="19"/>
  <c r="O243" i="19"/>
  <c r="O242" i="19"/>
  <c r="O241" i="19"/>
  <c r="O240" i="19"/>
  <c r="O239" i="19"/>
  <c r="O238" i="19"/>
  <c r="O237" i="19"/>
  <c r="O236" i="19"/>
  <c r="O235" i="19"/>
  <c r="O234" i="19"/>
  <c r="O233" i="19"/>
  <c r="O232" i="19"/>
  <c r="O231" i="19"/>
  <c r="O230" i="19"/>
  <c r="O229" i="19"/>
  <c r="O228" i="19"/>
  <c r="O227" i="19"/>
  <c r="O226" i="19"/>
  <c r="O225" i="19"/>
  <c r="O224" i="19"/>
  <c r="O223" i="19"/>
  <c r="O222" i="19"/>
  <c r="O221" i="19"/>
  <c r="O220" i="19"/>
  <c r="O219" i="19"/>
  <c r="O218" i="19"/>
  <c r="O217" i="19"/>
  <c r="O216" i="19"/>
  <c r="O215" i="19"/>
  <c r="O214" i="19"/>
  <c r="O213" i="19"/>
  <c r="O212" i="19"/>
  <c r="O211" i="19"/>
  <c r="O210" i="19"/>
  <c r="O209" i="19"/>
  <c r="O208" i="19"/>
  <c r="O207" i="19"/>
  <c r="O206" i="19"/>
  <c r="O205" i="19"/>
  <c r="O204" i="19"/>
  <c r="O203" i="19"/>
  <c r="O202" i="19"/>
  <c r="O201" i="19"/>
  <c r="O200" i="19"/>
  <c r="O199" i="19"/>
  <c r="O198" i="19"/>
  <c r="O197" i="19"/>
  <c r="O196" i="19"/>
  <c r="O195" i="19"/>
  <c r="O194" i="19"/>
  <c r="O193" i="19"/>
  <c r="O192" i="19"/>
  <c r="O191" i="19"/>
  <c r="O190" i="19"/>
  <c r="O189" i="19"/>
  <c r="O188" i="19"/>
  <c r="O187" i="19"/>
  <c r="O186" i="19"/>
  <c r="O185" i="19"/>
  <c r="O184" i="19"/>
  <c r="O183" i="19"/>
  <c r="O182" i="19"/>
  <c r="O181" i="19"/>
  <c r="O180" i="19"/>
  <c r="O179" i="19"/>
  <c r="O178" i="19"/>
  <c r="O177" i="19"/>
  <c r="O176" i="19"/>
  <c r="O175" i="19"/>
  <c r="O174" i="19"/>
  <c r="O173" i="19"/>
  <c r="O172" i="19"/>
  <c r="O171" i="19"/>
  <c r="O170" i="19"/>
  <c r="O169" i="19"/>
  <c r="O168" i="19"/>
  <c r="O167" i="19"/>
  <c r="O166" i="19"/>
  <c r="O165" i="19"/>
  <c r="O164" i="19"/>
  <c r="O163" i="19"/>
  <c r="O162" i="19"/>
  <c r="O161" i="19"/>
  <c r="O160" i="19"/>
  <c r="O159" i="19"/>
  <c r="O158" i="19"/>
  <c r="O157" i="19"/>
  <c r="O156" i="19"/>
  <c r="O155" i="19"/>
  <c r="O154" i="19"/>
  <c r="O153" i="19"/>
  <c r="O152" i="19"/>
  <c r="O151" i="19"/>
  <c r="O150" i="19"/>
  <c r="O149" i="19"/>
  <c r="O148" i="19"/>
  <c r="O147" i="19"/>
  <c r="O146" i="19"/>
  <c r="O145" i="19"/>
  <c r="O144" i="19"/>
  <c r="O143" i="19"/>
  <c r="O142" i="19"/>
  <c r="O141" i="19"/>
  <c r="O140" i="19"/>
  <c r="O139" i="19"/>
  <c r="O138" i="19"/>
  <c r="O137" i="19"/>
  <c r="O136" i="19"/>
  <c r="O135" i="19"/>
  <c r="O134" i="19"/>
  <c r="O133" i="19"/>
  <c r="O132" i="19"/>
  <c r="O131" i="19"/>
  <c r="O130" i="19"/>
  <c r="O129" i="19"/>
  <c r="O128" i="19"/>
  <c r="O127" i="19"/>
  <c r="O126" i="19"/>
  <c r="O125" i="19"/>
  <c r="O124" i="19"/>
  <c r="O123" i="19"/>
  <c r="O122" i="19"/>
  <c r="O121" i="19"/>
  <c r="O120" i="19"/>
  <c r="O119" i="19"/>
  <c r="O118" i="19"/>
  <c r="O117" i="19"/>
  <c r="O116" i="19"/>
  <c r="O115" i="19"/>
  <c r="O114" i="19"/>
  <c r="O113" i="19"/>
  <c r="O112" i="19"/>
  <c r="O111" i="19"/>
  <c r="O110" i="19"/>
  <c r="O109" i="19"/>
  <c r="O108" i="19"/>
  <c r="O107" i="19"/>
  <c r="O106" i="19"/>
  <c r="O105" i="19"/>
  <c r="O104" i="19"/>
  <c r="O103" i="19"/>
  <c r="O102" i="19"/>
  <c r="O101" i="19"/>
  <c r="O100" i="19"/>
  <c r="O99" i="19"/>
  <c r="O98" i="19"/>
  <c r="O97" i="19"/>
  <c r="O96" i="19"/>
  <c r="O95" i="19"/>
  <c r="O94" i="19"/>
  <c r="O93" i="19"/>
  <c r="O92" i="19"/>
  <c r="O91" i="19"/>
  <c r="O90" i="19"/>
  <c r="O89" i="19"/>
  <c r="O88" i="19"/>
  <c r="O87" i="19"/>
  <c r="O86" i="19"/>
  <c r="O85" i="19"/>
  <c r="O84" i="19"/>
  <c r="O83" i="19"/>
  <c r="O82" i="19"/>
  <c r="O81" i="19"/>
  <c r="O80" i="19"/>
  <c r="O79" i="19"/>
  <c r="O78" i="19"/>
  <c r="O77" i="19"/>
  <c r="O76" i="19"/>
  <c r="O75" i="19"/>
  <c r="O74" i="19"/>
  <c r="O73" i="19"/>
  <c r="O72" i="19"/>
  <c r="O71" i="19"/>
  <c r="O70" i="19"/>
  <c r="O69" i="19"/>
  <c r="O68" i="19"/>
  <c r="O67" i="19"/>
  <c r="O66" i="19"/>
  <c r="O65" i="19"/>
  <c r="O64" i="19"/>
  <c r="O63" i="19"/>
  <c r="O62" i="19"/>
  <c r="O61" i="19"/>
  <c r="O60" i="19"/>
  <c r="O59" i="19"/>
  <c r="O58" i="19"/>
  <c r="O57" i="19"/>
  <c r="O56" i="19"/>
  <c r="O55" i="19"/>
  <c r="O54" i="19"/>
  <c r="O53" i="19"/>
  <c r="O52" i="19"/>
  <c r="O51" i="19"/>
  <c r="O50" i="19"/>
  <c r="O49" i="19"/>
  <c r="O48" i="19"/>
  <c r="O47" i="19"/>
  <c r="O46" i="19"/>
  <c r="O45" i="19"/>
  <c r="O44" i="19"/>
  <c r="O43" i="19"/>
  <c r="O42" i="19"/>
  <c r="O41" i="19"/>
  <c r="O40" i="19"/>
  <c r="O39" i="19"/>
  <c r="O38" i="19"/>
  <c r="O37" i="19"/>
  <c r="O36" i="19"/>
  <c r="O35" i="19"/>
  <c r="O34" i="19"/>
  <c r="O33" i="19"/>
  <c r="O32" i="19"/>
  <c r="O31" i="19"/>
  <c r="O30" i="19"/>
  <c r="O29" i="19"/>
  <c r="O28" i="19"/>
  <c r="O27" i="19"/>
  <c r="O26" i="19"/>
  <c r="O25" i="19"/>
  <c r="O24" i="19"/>
  <c r="O23" i="19"/>
  <c r="O22" i="19"/>
  <c r="O21" i="19"/>
  <c r="O20" i="19"/>
  <c r="O19" i="19"/>
  <c r="O18" i="19"/>
  <c r="O17" i="19"/>
  <c r="O16" i="19"/>
  <c r="O15" i="19"/>
  <c r="O14" i="19"/>
  <c r="O13" i="19"/>
  <c r="O12" i="19"/>
  <c r="O11" i="19"/>
  <c r="O10" i="19"/>
  <c r="O9" i="19"/>
  <c r="O8" i="19"/>
  <c r="O7" i="19"/>
  <c r="O6" i="19"/>
  <c r="O5" i="19"/>
  <c r="O4" i="19"/>
  <c r="O3" i="19"/>
  <c r="O2" i="19"/>
  <c r="L404" i="19"/>
  <c r="L403" i="19"/>
  <c r="L402" i="19"/>
  <c r="L401" i="19"/>
  <c r="L400" i="19"/>
  <c r="L399" i="19"/>
  <c r="L398" i="19"/>
  <c r="L397" i="19"/>
  <c r="L396" i="19"/>
  <c r="L395" i="19"/>
  <c r="L394" i="19"/>
  <c r="L393" i="19"/>
  <c r="L392" i="19"/>
  <c r="L391" i="19"/>
  <c r="L390" i="19"/>
  <c r="L389" i="19"/>
  <c r="L388" i="19"/>
  <c r="L387" i="19"/>
  <c r="L386" i="19"/>
  <c r="L385" i="19"/>
  <c r="L384" i="19"/>
  <c r="L383" i="19"/>
  <c r="L382" i="19"/>
  <c r="L381" i="19"/>
  <c r="L380" i="19"/>
  <c r="L379" i="19"/>
  <c r="L378" i="19"/>
  <c r="L377" i="19"/>
  <c r="L376" i="19"/>
  <c r="L375" i="19"/>
  <c r="L374" i="19"/>
  <c r="L373" i="19"/>
  <c r="L372" i="19"/>
  <c r="L371" i="19"/>
  <c r="L370" i="19"/>
  <c r="L369" i="19"/>
  <c r="L368" i="19"/>
  <c r="L367" i="19"/>
  <c r="L366" i="19"/>
  <c r="L365" i="19"/>
  <c r="L364" i="19"/>
  <c r="L363" i="19"/>
  <c r="L362" i="19"/>
  <c r="L361" i="19"/>
  <c r="L360" i="19"/>
  <c r="L359" i="19"/>
  <c r="L358" i="19"/>
  <c r="L357" i="19"/>
  <c r="L356" i="19"/>
  <c r="L355" i="19"/>
  <c r="L354" i="19"/>
  <c r="L353" i="19"/>
  <c r="L352" i="19"/>
  <c r="L351" i="19"/>
  <c r="L350" i="19"/>
  <c r="L349" i="19"/>
  <c r="L348" i="19"/>
  <c r="L347" i="19"/>
  <c r="L346" i="19"/>
  <c r="L345" i="19"/>
  <c r="L344" i="19"/>
  <c r="L343" i="19"/>
  <c r="L342" i="19"/>
  <c r="L341" i="19"/>
  <c r="L340" i="19"/>
  <c r="L339" i="19"/>
  <c r="L338" i="19"/>
  <c r="L337" i="19"/>
  <c r="L336" i="19"/>
  <c r="L335" i="19"/>
  <c r="L334" i="19"/>
  <c r="L333" i="19"/>
  <c r="L332" i="19"/>
  <c r="L331" i="19"/>
  <c r="L330" i="19"/>
  <c r="L329" i="19"/>
  <c r="L328" i="19"/>
  <c r="L327" i="19"/>
  <c r="L326" i="19"/>
  <c r="L325" i="19"/>
  <c r="L324" i="19"/>
  <c r="L323" i="19"/>
  <c r="L322" i="19"/>
  <c r="L321" i="19"/>
  <c r="L320" i="19"/>
  <c r="L319" i="19"/>
  <c r="L318" i="19"/>
  <c r="L317" i="19"/>
  <c r="L316" i="19"/>
  <c r="L315" i="19"/>
  <c r="L314" i="19"/>
  <c r="L313" i="19"/>
  <c r="L312" i="19"/>
  <c r="L311" i="19"/>
  <c r="L310" i="19"/>
  <c r="L309" i="19"/>
  <c r="L308" i="19"/>
  <c r="L307" i="19"/>
  <c r="L306" i="19"/>
  <c r="L305" i="19"/>
  <c r="L304" i="19"/>
  <c r="L303" i="19"/>
  <c r="L302" i="19"/>
  <c r="L301" i="19"/>
  <c r="L300" i="19"/>
  <c r="L299" i="19"/>
  <c r="L298" i="19"/>
  <c r="L297" i="19"/>
  <c r="L296" i="19"/>
  <c r="L295" i="19"/>
  <c r="L294" i="19"/>
  <c r="L293" i="19"/>
  <c r="L292" i="19"/>
  <c r="L291" i="19"/>
  <c r="L290" i="19"/>
  <c r="L289" i="19"/>
  <c r="L288" i="19"/>
  <c r="L287" i="19"/>
  <c r="L286" i="19"/>
  <c r="L285" i="19"/>
  <c r="L284" i="19"/>
  <c r="L283" i="19"/>
  <c r="L282" i="19"/>
  <c r="L281" i="19"/>
  <c r="L280" i="19"/>
  <c r="L279" i="19"/>
  <c r="L278" i="19"/>
  <c r="L277" i="19"/>
  <c r="L276" i="19"/>
  <c r="L275" i="19"/>
  <c r="L274" i="19"/>
  <c r="L273" i="19"/>
  <c r="L272" i="19"/>
  <c r="L271" i="19"/>
  <c r="L270" i="19"/>
  <c r="L269" i="19"/>
  <c r="L268" i="19"/>
  <c r="L267" i="19"/>
  <c r="L266" i="19"/>
  <c r="L265" i="19"/>
  <c r="L264" i="19"/>
  <c r="L263" i="19"/>
  <c r="L262" i="19"/>
  <c r="L261" i="19"/>
  <c r="L260" i="19"/>
  <c r="L259" i="19"/>
  <c r="L258" i="19"/>
  <c r="L257" i="19"/>
  <c r="L256" i="19"/>
  <c r="L255" i="19"/>
  <c r="L254" i="19"/>
  <c r="L253" i="19"/>
  <c r="L252" i="19"/>
  <c r="L251" i="19"/>
  <c r="L250" i="19"/>
  <c r="L249" i="19"/>
  <c r="L248" i="19"/>
  <c r="L247" i="19"/>
  <c r="L246" i="19"/>
  <c r="L245" i="19"/>
  <c r="L244" i="19"/>
  <c r="L243" i="19"/>
  <c r="L242" i="19"/>
  <c r="L241" i="19"/>
  <c r="L240" i="19"/>
  <c r="L239" i="19"/>
  <c r="L238" i="19"/>
  <c r="L237" i="19"/>
  <c r="L236" i="19"/>
  <c r="L235" i="19"/>
  <c r="L234" i="19"/>
  <c r="L233" i="19"/>
  <c r="L232" i="19"/>
  <c r="L231" i="19"/>
  <c r="L230" i="19"/>
  <c r="L229" i="19"/>
  <c r="L228" i="19"/>
  <c r="L227" i="19"/>
  <c r="L226" i="19"/>
  <c r="L225" i="19"/>
  <c r="L224" i="19"/>
  <c r="L223" i="19"/>
  <c r="L222" i="19"/>
  <c r="L221" i="19"/>
  <c r="L220" i="19"/>
  <c r="L219" i="19"/>
  <c r="L218" i="19"/>
  <c r="L217" i="19"/>
  <c r="L216" i="19"/>
  <c r="L215" i="19"/>
  <c r="L214" i="19"/>
  <c r="L213" i="19"/>
  <c r="L212" i="19"/>
  <c r="L211" i="19"/>
  <c r="L210" i="19"/>
  <c r="L209" i="19"/>
  <c r="L208" i="19"/>
  <c r="L207" i="19"/>
  <c r="L206" i="19"/>
  <c r="L205" i="19"/>
  <c r="L204" i="19"/>
  <c r="L203" i="19"/>
  <c r="L202" i="19"/>
  <c r="L201" i="19"/>
  <c r="L200" i="19"/>
  <c r="L199" i="19"/>
  <c r="L198" i="19"/>
  <c r="L197" i="19"/>
  <c r="L196" i="19"/>
  <c r="L195" i="19"/>
  <c r="L194" i="19"/>
  <c r="L193" i="19"/>
  <c r="L192" i="19"/>
  <c r="L191" i="19"/>
  <c r="L190" i="19"/>
  <c r="L189" i="19"/>
  <c r="L188" i="19"/>
  <c r="L187" i="19"/>
  <c r="L186" i="19"/>
  <c r="L185" i="19"/>
  <c r="L184" i="19"/>
  <c r="L183" i="19"/>
  <c r="L182" i="19"/>
  <c r="L181" i="19"/>
  <c r="L180" i="19"/>
  <c r="L179" i="19"/>
  <c r="L178" i="19"/>
  <c r="L177" i="19"/>
  <c r="L176" i="19"/>
  <c r="L175" i="19"/>
  <c r="L174" i="19"/>
  <c r="L173" i="19"/>
  <c r="L172" i="19"/>
  <c r="L171" i="19"/>
  <c r="L170" i="19"/>
  <c r="L169" i="19"/>
  <c r="L168" i="19"/>
  <c r="L167" i="19"/>
  <c r="L166" i="19"/>
  <c r="L165" i="19"/>
  <c r="L164" i="19"/>
  <c r="L163" i="19"/>
  <c r="L162" i="19"/>
  <c r="L161" i="19"/>
  <c r="L160" i="19"/>
  <c r="L159" i="19"/>
  <c r="L158" i="19"/>
  <c r="L157" i="19"/>
  <c r="L156" i="19"/>
  <c r="L155" i="19"/>
  <c r="L154" i="19"/>
  <c r="L153" i="19"/>
  <c r="L152" i="19"/>
  <c r="L151" i="19"/>
  <c r="L150" i="19"/>
  <c r="L149" i="19"/>
  <c r="L148" i="19"/>
  <c r="L147" i="19"/>
  <c r="L146" i="19"/>
  <c r="L145" i="19"/>
  <c r="L144" i="19"/>
  <c r="L143" i="19"/>
  <c r="L142" i="19"/>
  <c r="L141" i="19"/>
  <c r="L140" i="19"/>
  <c r="L139" i="19"/>
  <c r="L138" i="19"/>
  <c r="L137" i="19"/>
  <c r="L136" i="19"/>
  <c r="L135" i="19"/>
  <c r="L134" i="19"/>
  <c r="L133" i="19"/>
  <c r="L132" i="19"/>
  <c r="L131" i="19"/>
  <c r="L130" i="19"/>
  <c r="L129" i="19"/>
  <c r="L128" i="19"/>
  <c r="L127" i="19"/>
  <c r="L126" i="19"/>
  <c r="L125" i="19"/>
  <c r="L124" i="19"/>
  <c r="L123" i="19"/>
  <c r="L122" i="19"/>
  <c r="L121" i="19"/>
  <c r="L120" i="19"/>
  <c r="L119" i="19"/>
  <c r="L118" i="19"/>
  <c r="L117" i="19"/>
  <c r="L116" i="19"/>
  <c r="L115" i="19"/>
  <c r="L114" i="19"/>
  <c r="L113" i="19"/>
  <c r="L112" i="19"/>
  <c r="L111" i="19"/>
  <c r="L110" i="19"/>
  <c r="L109" i="19"/>
  <c r="L108" i="19"/>
  <c r="L107" i="19"/>
  <c r="L106" i="19"/>
  <c r="L105" i="19"/>
  <c r="L104" i="19"/>
  <c r="L103" i="19"/>
  <c r="L102" i="19"/>
  <c r="L101" i="19"/>
  <c r="L100" i="19"/>
  <c r="L99" i="19"/>
  <c r="L98" i="19"/>
  <c r="L97" i="19"/>
  <c r="L96" i="19"/>
  <c r="L95" i="19"/>
  <c r="L94" i="19"/>
  <c r="L93" i="19"/>
  <c r="L92" i="19"/>
  <c r="L91" i="19"/>
  <c r="L90" i="19"/>
  <c r="L89" i="19"/>
  <c r="L88" i="19"/>
  <c r="L87" i="19"/>
  <c r="L86" i="19"/>
  <c r="L85" i="19"/>
  <c r="L84" i="19"/>
  <c r="L83" i="19"/>
  <c r="L82" i="19"/>
  <c r="L81" i="19"/>
  <c r="L80" i="19"/>
  <c r="L79" i="19"/>
  <c r="L78" i="19"/>
  <c r="L77" i="19"/>
  <c r="L76" i="19"/>
  <c r="L75" i="19"/>
  <c r="L74" i="19"/>
  <c r="L73" i="19"/>
  <c r="L72" i="19"/>
  <c r="L71" i="19"/>
  <c r="L70" i="19"/>
  <c r="L69" i="19"/>
  <c r="L68" i="19"/>
  <c r="L67" i="19"/>
  <c r="L66" i="19"/>
  <c r="L65" i="19"/>
  <c r="L64" i="19"/>
  <c r="L63" i="19"/>
  <c r="L62" i="19"/>
  <c r="L61" i="19"/>
  <c r="L60" i="19"/>
  <c r="L59" i="19"/>
  <c r="L58" i="19"/>
  <c r="L57" i="19"/>
  <c r="L56" i="19"/>
  <c r="L55" i="19"/>
  <c r="L54" i="19"/>
  <c r="L53" i="19"/>
  <c r="L52" i="19"/>
  <c r="L51" i="19"/>
  <c r="L50" i="19"/>
  <c r="L49" i="19"/>
  <c r="L48" i="19"/>
  <c r="L47" i="19"/>
  <c r="L46" i="19"/>
  <c r="L45" i="19"/>
  <c r="L44" i="19"/>
  <c r="L43" i="19"/>
  <c r="L42" i="19"/>
  <c r="L41" i="19"/>
  <c r="L40" i="19"/>
  <c r="L39" i="19"/>
  <c r="L38" i="19"/>
  <c r="L37" i="19"/>
  <c r="L36" i="19"/>
  <c r="L35" i="19"/>
  <c r="L34" i="19"/>
  <c r="L33" i="19"/>
  <c r="L32" i="19"/>
  <c r="L31" i="19"/>
  <c r="L30" i="19"/>
  <c r="L29" i="19"/>
  <c r="L28" i="19"/>
  <c r="L27" i="19"/>
  <c r="L26" i="19"/>
  <c r="L25" i="19"/>
  <c r="L24" i="19"/>
  <c r="L23" i="19"/>
  <c r="L22" i="19"/>
  <c r="L21" i="19"/>
  <c r="L20" i="19"/>
  <c r="L19" i="19"/>
  <c r="L18" i="19"/>
  <c r="L17" i="19"/>
  <c r="L16" i="19"/>
  <c r="L15" i="19"/>
  <c r="L14" i="19"/>
  <c r="L13" i="19"/>
  <c r="L12" i="19"/>
  <c r="L11" i="19"/>
  <c r="L10" i="19"/>
  <c r="L9" i="19"/>
  <c r="L8" i="19"/>
  <c r="L7" i="19"/>
  <c r="L6" i="19"/>
  <c r="L5" i="19"/>
  <c r="L4" i="19"/>
  <c r="L3" i="19"/>
  <c r="L2" i="19"/>
  <c r="I404" i="19"/>
  <c r="I403" i="19"/>
  <c r="I402" i="19"/>
  <c r="I401" i="19"/>
  <c r="I400" i="19"/>
  <c r="I399" i="19"/>
  <c r="I398" i="19"/>
  <c r="I397" i="19"/>
  <c r="I396" i="19"/>
  <c r="I395" i="19"/>
  <c r="I394" i="19"/>
  <c r="I393" i="19"/>
  <c r="I392" i="19"/>
  <c r="I391" i="19"/>
  <c r="I390" i="19"/>
  <c r="I389" i="19"/>
  <c r="I388" i="19"/>
  <c r="I387" i="19"/>
  <c r="I386" i="19"/>
  <c r="I385" i="19"/>
  <c r="I384" i="19"/>
  <c r="I383" i="19"/>
  <c r="I382" i="19"/>
  <c r="I381" i="19"/>
  <c r="I380" i="19"/>
  <c r="I379" i="19"/>
  <c r="I378" i="19"/>
  <c r="I377" i="19"/>
  <c r="I376" i="19"/>
  <c r="I375" i="19"/>
  <c r="I374" i="19"/>
  <c r="I373" i="19"/>
  <c r="I372" i="19"/>
  <c r="I371" i="19"/>
  <c r="I370" i="19"/>
  <c r="I369" i="19"/>
  <c r="I368" i="19"/>
  <c r="I367" i="19"/>
  <c r="I366" i="19"/>
  <c r="I365" i="19"/>
  <c r="I364" i="19"/>
  <c r="I363" i="19"/>
  <c r="I362" i="19"/>
  <c r="I361" i="19"/>
  <c r="I360" i="19"/>
  <c r="I359" i="19"/>
  <c r="I358" i="19"/>
  <c r="I357" i="19"/>
  <c r="I356" i="19"/>
  <c r="I355" i="19"/>
  <c r="I354" i="19"/>
  <c r="I353" i="19"/>
  <c r="I352" i="19"/>
  <c r="I351" i="19"/>
  <c r="I350" i="19"/>
  <c r="I349" i="19"/>
  <c r="I348" i="19"/>
  <c r="I347" i="19"/>
  <c r="I346" i="19"/>
  <c r="I345" i="19"/>
  <c r="I344" i="19"/>
  <c r="I343" i="19"/>
  <c r="I342" i="19"/>
  <c r="I341" i="19"/>
  <c r="I340" i="19"/>
  <c r="I339" i="19"/>
  <c r="I338" i="19"/>
  <c r="I337" i="19"/>
  <c r="I336" i="19"/>
  <c r="I335" i="19"/>
  <c r="I334" i="19"/>
  <c r="I333" i="19"/>
  <c r="I332" i="19"/>
  <c r="I331" i="19"/>
  <c r="I330" i="19"/>
  <c r="I329" i="19"/>
  <c r="I328" i="19"/>
  <c r="I327" i="19"/>
  <c r="I326" i="19"/>
  <c r="I325" i="19"/>
  <c r="I324" i="19"/>
  <c r="I323" i="19"/>
  <c r="I322" i="19"/>
  <c r="I321" i="19"/>
  <c r="I320" i="19"/>
  <c r="I319" i="19"/>
  <c r="I318" i="19"/>
  <c r="I317" i="19"/>
  <c r="I316" i="19"/>
  <c r="I315" i="19"/>
  <c r="I314" i="19"/>
  <c r="I313" i="19"/>
  <c r="I312" i="19"/>
  <c r="I311" i="19"/>
  <c r="I310" i="19"/>
  <c r="I309" i="19"/>
  <c r="I308" i="19"/>
  <c r="I307" i="19"/>
  <c r="I306" i="19"/>
  <c r="I305" i="19"/>
  <c r="I304" i="19"/>
  <c r="I303" i="19"/>
  <c r="I302" i="19"/>
  <c r="I301" i="19"/>
  <c r="I300" i="19"/>
  <c r="I299" i="19"/>
  <c r="I298" i="19"/>
  <c r="I297" i="19"/>
  <c r="I296" i="19"/>
  <c r="I295" i="19"/>
  <c r="I294" i="19"/>
  <c r="I293" i="19"/>
  <c r="I292" i="19"/>
  <c r="I291" i="19"/>
  <c r="I290" i="19"/>
  <c r="I289" i="19"/>
  <c r="I288" i="19"/>
  <c r="I287" i="19"/>
  <c r="I286" i="19"/>
  <c r="I285" i="19"/>
  <c r="I284" i="19"/>
  <c r="I283" i="19"/>
  <c r="I282" i="19"/>
  <c r="I281" i="19"/>
  <c r="I280" i="19"/>
  <c r="I279" i="19"/>
  <c r="I278" i="19"/>
  <c r="I277" i="19"/>
  <c r="I276" i="19"/>
  <c r="I275" i="19"/>
  <c r="I274" i="19"/>
  <c r="I273" i="19"/>
  <c r="I272" i="19"/>
  <c r="I271" i="19"/>
  <c r="I270" i="19"/>
  <c r="I269" i="19"/>
  <c r="I268" i="19"/>
  <c r="I267" i="19"/>
  <c r="I266" i="19"/>
  <c r="I265" i="19"/>
  <c r="I264" i="19"/>
  <c r="I263" i="19"/>
  <c r="I262" i="19"/>
  <c r="I261" i="19"/>
  <c r="I260" i="19"/>
  <c r="I259" i="19"/>
  <c r="I258" i="19"/>
  <c r="I257" i="19"/>
  <c r="I256" i="19"/>
  <c r="I255" i="19"/>
  <c r="I254" i="19"/>
  <c r="I253" i="19"/>
  <c r="I252" i="19"/>
  <c r="I251" i="19"/>
  <c r="I250" i="19"/>
  <c r="I249" i="19"/>
  <c r="I248" i="19"/>
  <c r="I247" i="19"/>
  <c r="I246" i="19"/>
  <c r="I245" i="19"/>
  <c r="I244" i="19"/>
  <c r="I243" i="19"/>
  <c r="I242" i="19"/>
  <c r="I241" i="19"/>
  <c r="I240" i="19"/>
  <c r="I239" i="19"/>
  <c r="I238" i="19"/>
  <c r="I237" i="19"/>
  <c r="I236" i="19"/>
  <c r="I235" i="19"/>
  <c r="I234" i="19"/>
  <c r="I233" i="19"/>
  <c r="I232" i="19"/>
  <c r="I231" i="19"/>
  <c r="I230" i="19"/>
  <c r="I229" i="19"/>
  <c r="I228" i="19"/>
  <c r="I227" i="19"/>
  <c r="I226" i="19"/>
  <c r="I225" i="19"/>
  <c r="I224" i="19"/>
  <c r="I223" i="19"/>
  <c r="I222" i="19"/>
  <c r="I221" i="19"/>
  <c r="I220" i="19"/>
  <c r="I219" i="19"/>
  <c r="I218" i="19"/>
  <c r="I217" i="19"/>
  <c r="I216" i="19"/>
  <c r="I215" i="19"/>
  <c r="I214" i="19"/>
  <c r="I213" i="19"/>
  <c r="I212" i="19"/>
  <c r="I211" i="19"/>
  <c r="I210" i="19"/>
  <c r="I209" i="19"/>
  <c r="I208" i="19"/>
  <c r="I207" i="19"/>
  <c r="I206" i="19"/>
  <c r="I205" i="19"/>
  <c r="I204" i="19"/>
  <c r="I203" i="19"/>
  <c r="I202" i="19"/>
  <c r="I201" i="19"/>
  <c r="I200" i="19"/>
  <c r="I199" i="19"/>
  <c r="I198" i="19"/>
  <c r="I197" i="19"/>
  <c r="I196" i="19"/>
  <c r="I195" i="19"/>
  <c r="I194" i="19"/>
  <c r="I193" i="19"/>
  <c r="I192" i="19"/>
  <c r="I191" i="19"/>
  <c r="I190" i="19"/>
  <c r="I189" i="19"/>
  <c r="I188" i="19"/>
  <c r="I187" i="19"/>
  <c r="I186" i="19"/>
  <c r="I185" i="19"/>
  <c r="I184" i="19"/>
  <c r="I183" i="19"/>
  <c r="I182" i="19"/>
  <c r="I181" i="19"/>
  <c r="I180" i="19"/>
  <c r="I179" i="19"/>
  <c r="I178" i="19"/>
  <c r="I177" i="19"/>
  <c r="I176" i="19"/>
  <c r="I175" i="19"/>
  <c r="I174" i="19"/>
  <c r="I173" i="19"/>
  <c r="I172" i="19"/>
  <c r="I171" i="19"/>
  <c r="I170" i="19"/>
  <c r="I169" i="19"/>
  <c r="I168" i="19"/>
  <c r="I167" i="19"/>
  <c r="I166" i="19"/>
  <c r="I165" i="19"/>
  <c r="I164" i="19"/>
  <c r="I163" i="19"/>
  <c r="I162" i="19"/>
  <c r="I161" i="19"/>
  <c r="I160" i="19"/>
  <c r="I159" i="19"/>
  <c r="I158" i="19"/>
  <c r="I157" i="19"/>
  <c r="I156" i="19"/>
  <c r="I155" i="19"/>
  <c r="I154" i="19"/>
  <c r="I153" i="19"/>
  <c r="I152" i="19"/>
  <c r="I151" i="19"/>
  <c r="I150" i="19"/>
  <c r="I149" i="19"/>
  <c r="I148" i="19"/>
  <c r="I147" i="19"/>
  <c r="I146" i="19"/>
  <c r="I145" i="19"/>
  <c r="I144" i="19"/>
  <c r="I143" i="19"/>
  <c r="I142" i="19"/>
  <c r="I141" i="19"/>
  <c r="I140" i="19"/>
  <c r="I139" i="19"/>
  <c r="I138" i="19"/>
  <c r="I137" i="19"/>
  <c r="I136" i="19"/>
  <c r="I135" i="19"/>
  <c r="I134" i="19"/>
  <c r="I133" i="19"/>
  <c r="I132" i="19"/>
  <c r="I131" i="19"/>
  <c r="I130" i="19"/>
  <c r="I129" i="19"/>
  <c r="I128" i="19"/>
  <c r="I127" i="19"/>
  <c r="I126" i="19"/>
  <c r="I125" i="19"/>
  <c r="I124" i="19"/>
  <c r="I123" i="19"/>
  <c r="I122" i="19"/>
  <c r="I121" i="19"/>
  <c r="I120" i="19"/>
  <c r="I119" i="19"/>
  <c r="I118" i="19"/>
  <c r="I117" i="19"/>
  <c r="I116" i="19"/>
  <c r="I115" i="19"/>
  <c r="I114" i="19"/>
  <c r="I113" i="19"/>
  <c r="I112" i="19"/>
  <c r="I111" i="19"/>
  <c r="I110" i="19"/>
  <c r="I109" i="19"/>
  <c r="I108" i="19"/>
  <c r="I107" i="19"/>
  <c r="I106" i="19"/>
  <c r="I105" i="19"/>
  <c r="I104" i="19"/>
  <c r="I103" i="19"/>
  <c r="I102" i="19"/>
  <c r="I101" i="19"/>
  <c r="I100" i="19"/>
  <c r="I99" i="19"/>
  <c r="I98" i="19"/>
  <c r="I97" i="19"/>
  <c r="I96" i="19"/>
  <c r="I95" i="19"/>
  <c r="I94" i="19"/>
  <c r="I93" i="19"/>
  <c r="I92" i="19"/>
  <c r="I91" i="19"/>
  <c r="I90" i="19"/>
  <c r="I89" i="19"/>
  <c r="I88" i="19"/>
  <c r="I87" i="19"/>
  <c r="I86" i="19"/>
  <c r="I85" i="19"/>
  <c r="I84" i="19"/>
  <c r="I83" i="19"/>
  <c r="I82" i="19"/>
  <c r="I81" i="19"/>
  <c r="I80" i="19"/>
  <c r="I79" i="19"/>
  <c r="I78" i="19"/>
  <c r="I77" i="19"/>
  <c r="I76" i="19"/>
  <c r="I75" i="19"/>
  <c r="I74" i="19"/>
  <c r="I73" i="19"/>
  <c r="I72" i="19"/>
  <c r="I71" i="19"/>
  <c r="I70" i="19"/>
  <c r="I69" i="19"/>
  <c r="I68" i="19"/>
  <c r="I67" i="19"/>
  <c r="I66" i="19"/>
  <c r="I65" i="19"/>
  <c r="I64" i="19"/>
  <c r="I63" i="19"/>
  <c r="I62" i="19"/>
  <c r="I61" i="19"/>
  <c r="I60" i="19"/>
  <c r="I59" i="19"/>
  <c r="I58" i="19"/>
  <c r="I57" i="19"/>
  <c r="I56" i="19"/>
  <c r="I55" i="19"/>
  <c r="I54" i="19"/>
  <c r="I53" i="19"/>
  <c r="I52" i="19"/>
  <c r="I51" i="19"/>
  <c r="I50" i="19"/>
  <c r="I49" i="19"/>
  <c r="I48" i="19"/>
  <c r="I47" i="19"/>
  <c r="I46" i="19"/>
  <c r="I45" i="19"/>
  <c r="I44" i="19"/>
  <c r="I43" i="19"/>
  <c r="I42" i="19"/>
  <c r="I41" i="19"/>
  <c r="I40" i="19"/>
  <c r="I39" i="19"/>
  <c r="I38" i="19"/>
  <c r="I37" i="19"/>
  <c r="I36" i="19"/>
  <c r="I35" i="19"/>
  <c r="I34" i="19"/>
  <c r="I33" i="19"/>
  <c r="I32" i="19"/>
  <c r="I31" i="19"/>
  <c r="I30" i="19"/>
  <c r="I29" i="19"/>
  <c r="I28" i="19"/>
  <c r="I27" i="19"/>
  <c r="I26" i="19"/>
  <c r="I25" i="19"/>
  <c r="I24" i="19"/>
  <c r="I23" i="19"/>
  <c r="I22" i="19"/>
  <c r="I21" i="19"/>
  <c r="I20" i="19"/>
  <c r="I19" i="19"/>
  <c r="I18" i="19"/>
  <c r="I17" i="19"/>
  <c r="I16" i="19"/>
  <c r="I15" i="19"/>
  <c r="I14" i="19"/>
  <c r="I13" i="19"/>
  <c r="I12" i="19"/>
  <c r="I11" i="19"/>
  <c r="I10" i="19"/>
  <c r="I9" i="19"/>
  <c r="I8" i="19"/>
  <c r="I7" i="19"/>
  <c r="I6" i="19"/>
  <c r="I5" i="19"/>
  <c r="I4" i="19"/>
  <c r="I3" i="19"/>
  <c r="I2" i="19"/>
  <c r="F404" i="19"/>
  <c r="F403" i="19"/>
  <c r="F402" i="19"/>
  <c r="F401" i="19"/>
  <c r="F400" i="19"/>
  <c r="F399" i="19"/>
  <c r="F398" i="19"/>
  <c r="F397" i="19"/>
  <c r="F396" i="19"/>
  <c r="F395" i="19"/>
  <c r="F394" i="19"/>
  <c r="F393" i="19"/>
  <c r="F392" i="19"/>
  <c r="F391" i="19"/>
  <c r="F390" i="19"/>
  <c r="F389" i="19"/>
  <c r="F388" i="19"/>
  <c r="F387" i="19"/>
  <c r="F386" i="19"/>
  <c r="F385" i="19"/>
  <c r="F384" i="19"/>
  <c r="F383" i="19"/>
  <c r="F382" i="19"/>
  <c r="F381" i="19"/>
  <c r="F380" i="19"/>
  <c r="F379" i="19"/>
  <c r="F378" i="19"/>
  <c r="F377" i="19"/>
  <c r="F376" i="19"/>
  <c r="F375" i="19"/>
  <c r="F374" i="19"/>
  <c r="F373" i="19"/>
  <c r="F372" i="19"/>
  <c r="F371" i="19"/>
  <c r="F370" i="19"/>
  <c r="F369" i="19"/>
  <c r="F368" i="19"/>
  <c r="F367" i="19"/>
  <c r="F366" i="19"/>
  <c r="F365" i="19"/>
  <c r="F364" i="19"/>
  <c r="F363" i="19"/>
  <c r="F362" i="19"/>
  <c r="F361" i="19"/>
  <c r="F360" i="19"/>
  <c r="F359" i="19"/>
  <c r="F358" i="19"/>
  <c r="F357" i="19"/>
  <c r="F356" i="19"/>
  <c r="F355" i="19"/>
  <c r="F354" i="19"/>
  <c r="F353" i="19"/>
  <c r="F352" i="19"/>
  <c r="F351" i="19"/>
  <c r="F350" i="19"/>
  <c r="F349" i="19"/>
  <c r="F348" i="19"/>
  <c r="F347" i="19"/>
  <c r="F346" i="19"/>
  <c r="F345" i="19"/>
  <c r="F344" i="19"/>
  <c r="F343" i="19"/>
  <c r="F342" i="19"/>
  <c r="F341" i="19"/>
  <c r="F340" i="19"/>
  <c r="F339" i="19"/>
  <c r="F338" i="19"/>
  <c r="F337" i="19"/>
  <c r="F336" i="19"/>
  <c r="F335" i="19"/>
  <c r="F334" i="19"/>
  <c r="F333" i="19"/>
  <c r="F332" i="19"/>
  <c r="F331" i="19"/>
  <c r="F330" i="19"/>
  <c r="F329" i="19"/>
  <c r="F328" i="19"/>
  <c r="F327" i="19"/>
  <c r="F326" i="19"/>
  <c r="F325" i="19"/>
  <c r="F324" i="19"/>
  <c r="F323" i="19"/>
  <c r="F322" i="19"/>
  <c r="F321" i="19"/>
  <c r="F320" i="19"/>
  <c r="F319" i="19"/>
  <c r="F318" i="19"/>
  <c r="F317" i="19"/>
  <c r="F316" i="19"/>
  <c r="F315" i="19"/>
  <c r="F314" i="19"/>
  <c r="F313" i="19"/>
  <c r="F312" i="19"/>
  <c r="F311" i="19"/>
  <c r="F310" i="19"/>
  <c r="F309" i="19"/>
  <c r="F308" i="19"/>
  <c r="F307" i="19"/>
  <c r="F306" i="19"/>
  <c r="F305" i="19"/>
  <c r="F304" i="19"/>
  <c r="F303" i="19"/>
  <c r="F302" i="19"/>
  <c r="F301" i="19"/>
  <c r="F300" i="19"/>
  <c r="F299" i="19"/>
  <c r="F298" i="19"/>
  <c r="F297" i="19"/>
  <c r="F296" i="19"/>
  <c r="F295" i="19"/>
  <c r="F294" i="19"/>
  <c r="F293" i="19"/>
  <c r="F292" i="19"/>
  <c r="F291" i="19"/>
  <c r="F290" i="19"/>
  <c r="F289" i="19"/>
  <c r="F288" i="19"/>
  <c r="F287" i="19"/>
  <c r="F286" i="19"/>
  <c r="F285" i="19"/>
  <c r="F284" i="19"/>
  <c r="F283" i="19"/>
  <c r="F282" i="19"/>
  <c r="F281" i="19"/>
  <c r="F280" i="19"/>
  <c r="F279" i="19"/>
  <c r="F278" i="19"/>
  <c r="F277" i="19"/>
  <c r="F276" i="19"/>
  <c r="F275" i="19"/>
  <c r="F274" i="19"/>
  <c r="F273" i="19"/>
  <c r="F272" i="19"/>
  <c r="F271" i="19"/>
  <c r="F270" i="19"/>
  <c r="F269" i="19"/>
  <c r="F268" i="19"/>
  <c r="F267" i="19"/>
  <c r="F266" i="19"/>
  <c r="F265" i="19"/>
  <c r="F264" i="19"/>
  <c r="F263" i="19"/>
  <c r="F262" i="19"/>
  <c r="F261" i="19"/>
  <c r="F260" i="19"/>
  <c r="F259" i="19"/>
  <c r="F258" i="19"/>
  <c r="F257" i="19"/>
  <c r="F256" i="19"/>
  <c r="F255" i="19"/>
  <c r="F254" i="19"/>
  <c r="F253" i="19"/>
  <c r="F252" i="19"/>
  <c r="F251" i="19"/>
  <c r="F250" i="19"/>
  <c r="F249" i="19"/>
  <c r="F248" i="19"/>
  <c r="F247" i="19"/>
  <c r="F246" i="19"/>
  <c r="F245" i="19"/>
  <c r="F244" i="19"/>
  <c r="F243" i="19"/>
  <c r="F242" i="19"/>
  <c r="F241" i="19"/>
  <c r="F240" i="19"/>
  <c r="F239" i="19"/>
  <c r="F238" i="19"/>
  <c r="F237" i="19"/>
  <c r="F236" i="19"/>
  <c r="F235" i="19"/>
  <c r="F234" i="19"/>
  <c r="F233" i="19"/>
  <c r="F232" i="19"/>
  <c r="F231" i="19"/>
  <c r="F230" i="19"/>
  <c r="F229" i="19"/>
  <c r="F228" i="19"/>
  <c r="F227" i="19"/>
  <c r="F226" i="19"/>
  <c r="F225" i="19"/>
  <c r="F224" i="19"/>
  <c r="F223" i="19"/>
  <c r="F222" i="19"/>
  <c r="F221" i="19"/>
  <c r="F220" i="19"/>
  <c r="F219" i="19"/>
  <c r="F218" i="19"/>
  <c r="F217" i="19"/>
  <c r="F216" i="19"/>
  <c r="F215" i="19"/>
  <c r="F214" i="19"/>
  <c r="F213" i="19"/>
  <c r="F212" i="19"/>
  <c r="F211" i="19"/>
  <c r="F210" i="19"/>
  <c r="F209" i="19"/>
  <c r="F208" i="19"/>
  <c r="F207" i="19"/>
  <c r="F206" i="19"/>
  <c r="F205" i="19"/>
  <c r="F204" i="19"/>
  <c r="F203" i="19"/>
  <c r="F202" i="19"/>
  <c r="F201" i="19"/>
  <c r="F200" i="19"/>
  <c r="F199" i="19"/>
  <c r="F198" i="19"/>
  <c r="F197" i="19"/>
  <c r="F196" i="19"/>
  <c r="F195" i="19"/>
  <c r="F194" i="19"/>
  <c r="F193" i="19"/>
  <c r="F192" i="19"/>
  <c r="F191" i="19"/>
  <c r="F190" i="19"/>
  <c r="F189" i="19"/>
  <c r="F188" i="19"/>
  <c r="F187" i="19"/>
  <c r="F186" i="19"/>
  <c r="F185" i="19"/>
  <c r="F184" i="19"/>
  <c r="F183" i="19"/>
  <c r="F182" i="19"/>
  <c r="F181" i="19"/>
  <c r="F180" i="19"/>
  <c r="F179" i="19"/>
  <c r="F178" i="19"/>
  <c r="F177" i="19"/>
  <c r="F176" i="19"/>
  <c r="F175" i="19"/>
  <c r="F174" i="19"/>
  <c r="F173" i="19"/>
  <c r="F172" i="19"/>
  <c r="F171" i="19"/>
  <c r="F170" i="19"/>
  <c r="F169" i="19"/>
  <c r="F168" i="19"/>
  <c r="F167" i="19"/>
  <c r="F166" i="19"/>
  <c r="F165" i="19"/>
  <c r="F164" i="19"/>
  <c r="F163" i="19"/>
  <c r="F162" i="19"/>
  <c r="F161" i="19"/>
  <c r="F160" i="19"/>
  <c r="F159" i="19"/>
  <c r="F158" i="19"/>
  <c r="F157" i="19"/>
  <c r="F156" i="19"/>
  <c r="F155" i="19"/>
  <c r="F154" i="19"/>
  <c r="F153" i="19"/>
  <c r="F152" i="19"/>
  <c r="F151" i="19"/>
  <c r="F150" i="19"/>
  <c r="F149" i="19"/>
  <c r="F148" i="19"/>
  <c r="F147" i="19"/>
  <c r="F146" i="19"/>
  <c r="F145" i="19"/>
  <c r="F144" i="19"/>
  <c r="F143" i="19"/>
  <c r="F142" i="19"/>
  <c r="F141" i="19"/>
  <c r="F140" i="19"/>
  <c r="F139" i="19"/>
  <c r="F138" i="19"/>
  <c r="F137" i="19"/>
  <c r="F136" i="19"/>
  <c r="F135" i="19"/>
  <c r="F134" i="19"/>
  <c r="F133" i="19"/>
  <c r="F132" i="19"/>
  <c r="F131" i="19"/>
  <c r="F130" i="19"/>
  <c r="F129" i="19"/>
  <c r="F128" i="19"/>
  <c r="F127" i="19"/>
  <c r="F126" i="19"/>
  <c r="F125" i="19"/>
  <c r="F124" i="19"/>
  <c r="F123" i="19"/>
  <c r="F122" i="19"/>
  <c r="F121" i="19"/>
  <c r="F120" i="19"/>
  <c r="F119" i="19"/>
  <c r="F118" i="19"/>
  <c r="F117" i="19"/>
  <c r="F116" i="19"/>
  <c r="F115" i="19"/>
  <c r="F114" i="19"/>
  <c r="F113" i="19"/>
  <c r="F112" i="19"/>
  <c r="F111" i="19"/>
  <c r="F110" i="19"/>
  <c r="F109" i="19"/>
  <c r="F108" i="19"/>
  <c r="F107" i="19"/>
  <c r="F106" i="19"/>
  <c r="F105" i="19"/>
  <c r="F104" i="19"/>
  <c r="F103" i="19"/>
  <c r="F102" i="19"/>
  <c r="F101" i="19"/>
  <c r="F100" i="19"/>
  <c r="F99" i="19"/>
  <c r="F98" i="19"/>
  <c r="F97" i="19"/>
  <c r="F96" i="19"/>
  <c r="F95" i="19"/>
  <c r="F94" i="19"/>
  <c r="F93" i="19"/>
  <c r="F92" i="19"/>
  <c r="F91" i="19"/>
  <c r="F90" i="19"/>
  <c r="F89" i="19"/>
  <c r="F88" i="19"/>
  <c r="F87" i="19"/>
  <c r="F86" i="19"/>
  <c r="F85" i="19"/>
  <c r="F84" i="19"/>
  <c r="F83" i="19"/>
  <c r="F82" i="19"/>
  <c r="F81" i="19"/>
  <c r="F80" i="19"/>
  <c r="F79" i="19"/>
  <c r="F78" i="19"/>
  <c r="F77" i="19"/>
  <c r="F76" i="19"/>
  <c r="F75" i="19"/>
  <c r="F74" i="19"/>
  <c r="F73" i="19"/>
  <c r="F72" i="19"/>
  <c r="F71" i="19"/>
  <c r="F70" i="19"/>
  <c r="F69" i="19"/>
  <c r="F68" i="19"/>
  <c r="F67" i="19"/>
  <c r="F66" i="19"/>
  <c r="F65" i="19"/>
  <c r="F64" i="19"/>
  <c r="F63" i="19"/>
  <c r="F62" i="19"/>
  <c r="F61" i="19"/>
  <c r="F60" i="19"/>
  <c r="F59" i="19"/>
  <c r="F58" i="19"/>
  <c r="F57" i="19"/>
  <c r="F56" i="19"/>
  <c r="F55" i="19"/>
  <c r="F54" i="19"/>
  <c r="F53" i="19"/>
  <c r="F52" i="19"/>
  <c r="F51" i="19"/>
  <c r="F50" i="19"/>
  <c r="F49" i="19"/>
  <c r="F48" i="19"/>
  <c r="F47" i="19"/>
  <c r="F46" i="19"/>
  <c r="F45" i="19"/>
  <c r="F44" i="19"/>
  <c r="F43" i="19"/>
  <c r="F42" i="19"/>
  <c r="F41" i="19"/>
  <c r="F40" i="19"/>
  <c r="F39" i="19"/>
  <c r="F38" i="19"/>
  <c r="F37" i="19"/>
  <c r="F36" i="19"/>
  <c r="F35" i="19"/>
  <c r="F34" i="19"/>
  <c r="F33" i="19"/>
  <c r="F32" i="19"/>
  <c r="F31" i="19"/>
  <c r="F30" i="19"/>
  <c r="F29" i="19"/>
  <c r="F28" i="19"/>
  <c r="F27" i="19"/>
  <c r="F26" i="19"/>
  <c r="F25" i="19"/>
  <c r="F24" i="19"/>
  <c r="F23" i="19"/>
  <c r="F22" i="19"/>
  <c r="F21" i="19"/>
  <c r="F20" i="19"/>
  <c r="F19" i="19"/>
  <c r="F18" i="19"/>
  <c r="F17" i="19"/>
  <c r="F16" i="19"/>
  <c r="F15" i="19"/>
  <c r="F14" i="19"/>
  <c r="F13" i="19"/>
  <c r="F12" i="19"/>
  <c r="F11" i="19"/>
  <c r="F10" i="19"/>
  <c r="F9" i="19"/>
  <c r="F8" i="19"/>
  <c r="F7" i="19"/>
  <c r="F6" i="19"/>
  <c r="F5" i="19"/>
  <c r="F4" i="19"/>
  <c r="F3" i="19"/>
  <c r="F2" i="19"/>
  <c r="C3" i="19"/>
  <c r="C4" i="19"/>
  <c r="C5"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C73" i="19"/>
  <c r="C74" i="19"/>
  <c r="C75" i="19"/>
  <c r="C76" i="19"/>
  <c r="C77" i="19"/>
  <c r="C78" i="19"/>
  <c r="C79" i="19"/>
  <c r="C80" i="19"/>
  <c r="C81" i="19"/>
  <c r="C82" i="19"/>
  <c r="C83" i="19"/>
  <c r="C84" i="19"/>
  <c r="C85" i="19"/>
  <c r="C86" i="19"/>
  <c r="C87" i="19"/>
  <c r="C88" i="19"/>
  <c r="C89" i="19"/>
  <c r="C90" i="19"/>
  <c r="C91" i="19"/>
  <c r="C92" i="19"/>
  <c r="C93" i="19"/>
  <c r="C94" i="19"/>
  <c r="C95" i="19"/>
  <c r="C96" i="19"/>
  <c r="C97" i="19"/>
  <c r="C98" i="19"/>
  <c r="C99" i="19"/>
  <c r="C100" i="19"/>
  <c r="C101" i="19"/>
  <c r="C102" i="19"/>
  <c r="C103" i="19"/>
  <c r="C104" i="19"/>
  <c r="C105" i="19"/>
  <c r="C106" i="19"/>
  <c r="C107" i="19"/>
  <c r="C108" i="19"/>
  <c r="C109" i="19"/>
  <c r="C110" i="19"/>
  <c r="C111" i="19"/>
  <c r="C112" i="19"/>
  <c r="C113" i="19"/>
  <c r="C114" i="19"/>
  <c r="C115" i="19"/>
  <c r="C116" i="19"/>
  <c r="C117" i="19"/>
  <c r="C118" i="19"/>
  <c r="C119" i="19"/>
  <c r="C120" i="19"/>
  <c r="C121" i="19"/>
  <c r="C122" i="19"/>
  <c r="C123" i="19"/>
  <c r="C124" i="19"/>
  <c r="C125" i="19"/>
  <c r="C126" i="19"/>
  <c r="C127" i="19"/>
  <c r="C128" i="19"/>
  <c r="C129" i="19"/>
  <c r="C130" i="19"/>
  <c r="C131" i="19"/>
  <c r="C132" i="19"/>
  <c r="C133" i="19"/>
  <c r="C134" i="19"/>
  <c r="C135" i="19"/>
  <c r="C136" i="19"/>
  <c r="C137" i="19"/>
  <c r="C138" i="19"/>
  <c r="C139" i="19"/>
  <c r="C140" i="19"/>
  <c r="C141" i="19"/>
  <c r="C142" i="19"/>
  <c r="C143" i="19"/>
  <c r="C144" i="19"/>
  <c r="C145" i="19"/>
  <c r="C146" i="19"/>
  <c r="C147" i="19"/>
  <c r="C148" i="19"/>
  <c r="C149" i="19"/>
  <c r="C150" i="19"/>
  <c r="C151" i="19"/>
  <c r="C152" i="19"/>
  <c r="C153" i="19"/>
  <c r="C154" i="19"/>
  <c r="C155" i="19"/>
  <c r="C156" i="19"/>
  <c r="C157" i="19"/>
  <c r="C158" i="19"/>
  <c r="C159" i="19"/>
  <c r="C160" i="19"/>
  <c r="C161" i="19"/>
  <c r="C162" i="19"/>
  <c r="C163" i="19"/>
  <c r="C164" i="19"/>
  <c r="C165" i="19"/>
  <c r="C166" i="19"/>
  <c r="C167" i="19"/>
  <c r="C168" i="19"/>
  <c r="C169" i="19"/>
  <c r="C170" i="19"/>
  <c r="C171" i="19"/>
  <c r="C172" i="19"/>
  <c r="C173" i="19"/>
  <c r="C174" i="19"/>
  <c r="C175" i="19"/>
  <c r="C176" i="19"/>
  <c r="C177" i="19"/>
  <c r="C178" i="19"/>
  <c r="C179" i="19"/>
  <c r="C180" i="19"/>
  <c r="C181" i="19"/>
  <c r="C182" i="19"/>
  <c r="C183" i="19"/>
  <c r="C184" i="19"/>
  <c r="C185" i="19"/>
  <c r="C186" i="19"/>
  <c r="C187" i="19"/>
  <c r="C188" i="19"/>
  <c r="C189" i="19"/>
  <c r="C190" i="19"/>
  <c r="C191" i="19"/>
  <c r="C192" i="19"/>
  <c r="C193" i="19"/>
  <c r="C194" i="19"/>
  <c r="C195" i="19"/>
  <c r="C196" i="19"/>
  <c r="C197" i="19"/>
  <c r="C198" i="19"/>
  <c r="C199" i="19"/>
  <c r="C200" i="19"/>
  <c r="C201" i="19"/>
  <c r="C202" i="19"/>
  <c r="C203" i="19"/>
  <c r="C204" i="19"/>
  <c r="C205" i="19"/>
  <c r="C206" i="19"/>
  <c r="C207" i="19"/>
  <c r="C208" i="19"/>
  <c r="C209" i="19"/>
  <c r="C210" i="19"/>
  <c r="C211" i="19"/>
  <c r="C212" i="19"/>
  <c r="C213" i="19"/>
  <c r="C214" i="19"/>
  <c r="C215" i="19"/>
  <c r="C216" i="19"/>
  <c r="C217" i="19"/>
  <c r="C218" i="19"/>
  <c r="C219" i="19"/>
  <c r="C220" i="19"/>
  <c r="C221" i="19"/>
  <c r="C222" i="19"/>
  <c r="C223" i="19"/>
  <c r="C224" i="19"/>
  <c r="C225" i="19"/>
  <c r="C226" i="19"/>
  <c r="C227" i="19"/>
  <c r="C228" i="19"/>
  <c r="C229" i="19"/>
  <c r="C230" i="19"/>
  <c r="C231" i="19"/>
  <c r="C232" i="19"/>
  <c r="C233" i="19"/>
  <c r="C234" i="19"/>
  <c r="C235" i="19"/>
  <c r="C236" i="19"/>
  <c r="C237" i="19"/>
  <c r="C238" i="19"/>
  <c r="C239" i="19"/>
  <c r="C240" i="19"/>
  <c r="C241" i="19"/>
  <c r="C242" i="19"/>
  <c r="C243" i="19"/>
  <c r="C244" i="19"/>
  <c r="C245" i="19"/>
  <c r="C246" i="19"/>
  <c r="C247" i="19"/>
  <c r="C248" i="19"/>
  <c r="C249" i="19"/>
  <c r="C250" i="19"/>
  <c r="C251" i="19"/>
  <c r="C252" i="19"/>
  <c r="C253" i="19"/>
  <c r="C254" i="19"/>
  <c r="C255" i="19"/>
  <c r="C256" i="19"/>
  <c r="C257" i="19"/>
  <c r="C258" i="19"/>
  <c r="C259" i="19"/>
  <c r="C260" i="19"/>
  <c r="C261" i="19"/>
  <c r="C262" i="19"/>
  <c r="C263" i="19"/>
  <c r="C264" i="19"/>
  <c r="C265" i="19"/>
  <c r="C266" i="19"/>
  <c r="C267" i="19"/>
  <c r="C268" i="19"/>
  <c r="C269" i="19"/>
  <c r="C270" i="19"/>
  <c r="C271" i="19"/>
  <c r="C272" i="19"/>
  <c r="C273" i="19"/>
  <c r="C274" i="19"/>
  <c r="C275" i="19"/>
  <c r="C276" i="19"/>
  <c r="C277" i="19"/>
  <c r="C278" i="19"/>
  <c r="C279" i="19"/>
  <c r="C280" i="19"/>
  <c r="C281" i="19"/>
  <c r="C282" i="19"/>
  <c r="C283" i="19"/>
  <c r="C284" i="19"/>
  <c r="C285" i="19"/>
  <c r="C286" i="19"/>
  <c r="C287" i="19"/>
  <c r="C288" i="19"/>
  <c r="C289" i="19"/>
  <c r="C290" i="19"/>
  <c r="C291" i="19"/>
  <c r="C292" i="19"/>
  <c r="C293" i="19"/>
  <c r="C294" i="19"/>
  <c r="C295" i="19"/>
  <c r="C296" i="19"/>
  <c r="C297" i="19"/>
  <c r="C298" i="19"/>
  <c r="C299" i="19"/>
  <c r="C300" i="19"/>
  <c r="C301" i="19"/>
  <c r="C302" i="19"/>
  <c r="C303" i="19"/>
  <c r="C304" i="19"/>
  <c r="C305" i="19"/>
  <c r="C306" i="19"/>
  <c r="C307" i="19"/>
  <c r="C308" i="19"/>
  <c r="C309" i="19"/>
  <c r="C310" i="19"/>
  <c r="C311" i="19"/>
  <c r="C312" i="19"/>
  <c r="C313" i="19"/>
  <c r="C314" i="19"/>
  <c r="C315" i="19"/>
  <c r="C316" i="19"/>
  <c r="C317" i="19"/>
  <c r="C318" i="19"/>
  <c r="C319" i="19"/>
  <c r="C320" i="19"/>
  <c r="C321" i="19"/>
  <c r="C322" i="19"/>
  <c r="C323" i="19"/>
  <c r="C324" i="19"/>
  <c r="C325" i="19"/>
  <c r="C326" i="19"/>
  <c r="C327" i="19"/>
  <c r="C328" i="19"/>
  <c r="C329" i="19"/>
  <c r="C330" i="19"/>
  <c r="C331" i="19"/>
  <c r="C332" i="19"/>
  <c r="C333" i="19"/>
  <c r="C334" i="19"/>
  <c r="C335" i="19"/>
  <c r="C336" i="19"/>
  <c r="C337" i="19"/>
  <c r="C338" i="19"/>
  <c r="C339" i="19"/>
  <c r="C340" i="19"/>
  <c r="C341" i="19"/>
  <c r="C342" i="19"/>
  <c r="C343" i="19"/>
  <c r="C344" i="19"/>
  <c r="C345" i="19"/>
  <c r="C346" i="19"/>
  <c r="C347" i="19"/>
  <c r="C348" i="19"/>
  <c r="C349" i="19"/>
  <c r="C350" i="19"/>
  <c r="C351" i="19"/>
  <c r="C352" i="19"/>
  <c r="C353" i="19"/>
  <c r="C354" i="19"/>
  <c r="C355" i="19"/>
  <c r="C356" i="19"/>
  <c r="C357" i="19"/>
  <c r="C358" i="19"/>
  <c r="C359" i="19"/>
  <c r="C360" i="19"/>
  <c r="C361" i="19"/>
  <c r="C362" i="19"/>
  <c r="C363" i="19"/>
  <c r="C364" i="19"/>
  <c r="C365" i="19"/>
  <c r="C366" i="19"/>
  <c r="C367" i="19"/>
  <c r="C368" i="19"/>
  <c r="C369" i="19"/>
  <c r="C370" i="19"/>
  <c r="C371" i="19"/>
  <c r="C372" i="19"/>
  <c r="C373" i="19"/>
  <c r="C374" i="19"/>
  <c r="C375" i="19"/>
  <c r="C376" i="19"/>
  <c r="C377" i="19"/>
  <c r="C378" i="19"/>
  <c r="C379" i="19"/>
  <c r="C380" i="19"/>
  <c r="C381" i="19"/>
  <c r="C382" i="19"/>
  <c r="C383" i="19"/>
  <c r="C384" i="19"/>
  <c r="C385" i="19"/>
  <c r="C386" i="19"/>
  <c r="C387" i="19"/>
  <c r="C388" i="19"/>
  <c r="C389" i="19"/>
  <c r="C390" i="19"/>
  <c r="C391" i="19"/>
  <c r="C392" i="19"/>
  <c r="C393" i="19"/>
  <c r="C394" i="19"/>
  <c r="C395" i="19"/>
  <c r="C396" i="19"/>
  <c r="C397" i="19"/>
  <c r="C398" i="19"/>
  <c r="C399" i="19"/>
  <c r="C400" i="19"/>
  <c r="C401" i="19"/>
  <c r="C402" i="19"/>
  <c r="C403" i="19"/>
  <c r="C404" i="19"/>
  <c r="C2" i="19"/>
  <c r="I10" i="10"/>
  <c r="H10" i="10"/>
  <c r="G10" i="10"/>
  <c r="I9" i="10"/>
  <c r="H9" i="10"/>
  <c r="G9" i="10"/>
  <c r="I8" i="10"/>
  <c r="H8" i="10"/>
  <c r="G8" i="10"/>
  <c r="I7" i="10"/>
  <c r="H7" i="10"/>
  <c r="G7" i="10"/>
  <c r="I6" i="10"/>
  <c r="H6" i="10"/>
  <c r="G6" i="10"/>
  <c r="I5" i="10"/>
  <c r="H5" i="10"/>
  <c r="G5" i="10"/>
  <c r="I4" i="10"/>
  <c r="H4" i="10"/>
  <c r="G4" i="10"/>
  <c r="I3" i="10"/>
  <c r="H3" i="10"/>
  <c r="G3" i="10"/>
  <c r="I2" i="10"/>
  <c r="H2" i="10"/>
  <c r="G2" i="10"/>
  <c r="BH408" i="12"/>
  <c r="BH407" i="12"/>
  <c r="BH406" i="12"/>
  <c r="BC408" i="12"/>
  <c r="BC407" i="12"/>
  <c r="BC406" i="12"/>
  <c r="AX408" i="12"/>
  <c r="AX407" i="12"/>
  <c r="AX406" i="12"/>
  <c r="AS408" i="12"/>
  <c r="AS407" i="12"/>
  <c r="AS406" i="12"/>
  <c r="AN408" i="12"/>
  <c r="AN407" i="12"/>
  <c r="AN406" i="12"/>
  <c r="AI408" i="12"/>
  <c r="AI407" i="12"/>
  <c r="AI406" i="12"/>
  <c r="AD408" i="12"/>
  <c r="AD407" i="12"/>
  <c r="AD406" i="12"/>
  <c r="Y408" i="12"/>
  <c r="Y407" i="12"/>
  <c r="Y406" i="12"/>
  <c r="BH409" i="12"/>
  <c r="BC409" i="12"/>
  <c r="T408" i="12"/>
  <c r="T407" i="12"/>
  <c r="T406" i="12"/>
  <c r="BH192" i="12"/>
  <c r="BH193" i="12"/>
  <c r="BH194" i="12"/>
  <c r="BH195" i="12"/>
  <c r="BH196" i="12"/>
  <c r="BH197" i="12"/>
  <c r="BH198" i="12"/>
  <c r="BH199" i="12"/>
  <c r="BH200" i="12"/>
  <c r="BH201" i="12"/>
  <c r="BH202" i="12"/>
  <c r="BH203" i="12"/>
  <c r="BH204" i="12"/>
  <c r="BH205" i="12"/>
  <c r="BH206" i="12"/>
  <c r="BH207" i="12"/>
  <c r="BH208" i="12"/>
  <c r="BH209" i="12"/>
  <c r="BH210" i="12"/>
  <c r="BH211" i="12"/>
  <c r="BH212" i="12"/>
  <c r="BH213" i="12"/>
  <c r="BH214" i="12"/>
  <c r="BH215" i="12"/>
  <c r="BH216" i="12"/>
  <c r="BH217" i="12"/>
  <c r="BH218" i="12"/>
  <c r="BH219" i="12"/>
  <c r="BH220" i="12"/>
  <c r="BH221" i="12"/>
  <c r="BH222" i="12"/>
  <c r="BH223" i="12"/>
  <c r="BH224" i="12"/>
  <c r="BH225" i="12"/>
  <c r="BH226" i="12"/>
  <c r="BH227" i="12"/>
  <c r="BH228" i="12"/>
  <c r="BH229" i="12"/>
  <c r="BH230" i="12"/>
  <c r="BH231" i="12"/>
  <c r="BH232" i="12"/>
  <c r="BH233" i="12"/>
  <c r="BH234" i="12"/>
  <c r="BH235" i="12"/>
  <c r="BH236" i="12"/>
  <c r="BH237" i="12"/>
  <c r="BH238" i="12"/>
  <c r="BH239" i="12"/>
  <c r="BH240" i="12"/>
  <c r="BH241" i="12"/>
  <c r="BH242" i="12"/>
  <c r="BH243" i="12"/>
  <c r="BH244" i="12"/>
  <c r="BH245" i="12"/>
  <c r="BH246" i="12"/>
  <c r="BH247" i="12"/>
  <c r="BH248" i="12"/>
  <c r="BH249" i="12"/>
  <c r="BH250" i="12"/>
  <c r="BH251" i="12"/>
  <c r="BH252" i="12"/>
  <c r="BH253" i="12"/>
  <c r="BH254" i="12"/>
  <c r="BH255" i="12"/>
  <c r="BH256" i="12"/>
  <c r="BH257" i="12"/>
  <c r="BH258" i="12"/>
  <c r="BH259" i="12"/>
  <c r="BH260" i="12"/>
  <c r="BH261" i="12"/>
  <c r="BH262" i="12"/>
  <c r="BH263" i="12"/>
  <c r="BH264" i="12"/>
  <c r="BH265" i="12"/>
  <c r="BH266" i="12"/>
  <c r="BH267" i="12"/>
  <c r="BH268" i="12"/>
  <c r="BH269" i="12"/>
  <c r="BH270" i="12"/>
  <c r="BH271" i="12"/>
  <c r="BH272" i="12"/>
  <c r="BH273" i="12"/>
  <c r="BH274" i="12"/>
  <c r="BH275" i="12"/>
  <c r="BH276" i="12"/>
  <c r="BH277" i="12"/>
  <c r="BH278" i="12"/>
  <c r="BH279" i="12"/>
  <c r="BH280" i="12"/>
  <c r="BH281" i="12"/>
  <c r="BH282" i="12"/>
  <c r="BH283" i="12"/>
  <c r="BH284" i="12"/>
  <c r="BH285" i="12"/>
  <c r="BH286" i="12"/>
  <c r="BH287" i="12"/>
  <c r="BH288" i="12"/>
  <c r="BH289" i="12"/>
  <c r="BH290" i="12"/>
  <c r="BH291" i="12"/>
  <c r="BH292" i="12"/>
  <c r="BH293" i="12"/>
  <c r="BH294" i="12"/>
  <c r="BH295" i="12"/>
  <c r="BH296" i="12"/>
  <c r="BH297" i="12"/>
  <c r="BH298" i="12"/>
  <c r="BH299" i="12"/>
  <c r="BH300" i="12"/>
  <c r="BH301" i="12"/>
  <c r="BH302" i="12"/>
  <c r="BH303" i="12"/>
  <c r="BH304" i="12"/>
  <c r="BH305" i="12"/>
  <c r="BH306" i="12"/>
  <c r="BH307" i="12"/>
  <c r="BH308" i="12"/>
  <c r="BH309" i="12"/>
  <c r="BH310" i="12"/>
  <c r="BH311" i="12"/>
  <c r="BH312" i="12"/>
  <c r="BH313" i="12"/>
  <c r="BH314" i="12"/>
  <c r="BH315" i="12"/>
  <c r="BH316" i="12"/>
  <c r="BH317" i="12"/>
  <c r="BH318" i="12"/>
  <c r="BH319" i="12"/>
  <c r="BH320" i="12"/>
  <c r="BH321" i="12"/>
  <c r="BH322" i="12"/>
  <c r="BH323" i="12"/>
  <c r="BH324" i="12"/>
  <c r="BH325" i="12"/>
  <c r="BH326" i="12"/>
  <c r="BH327" i="12"/>
  <c r="BH328" i="12"/>
  <c r="BH329" i="12"/>
  <c r="BH330" i="12"/>
  <c r="BH331" i="12"/>
  <c r="BH332" i="12"/>
  <c r="BH333" i="12"/>
  <c r="BH334" i="12"/>
  <c r="BH335" i="12"/>
  <c r="BH336" i="12"/>
  <c r="BH337" i="12"/>
  <c r="BH338" i="12"/>
  <c r="BH339" i="12"/>
  <c r="BH340" i="12"/>
  <c r="BH341" i="12"/>
  <c r="BH342" i="12"/>
  <c r="BH343" i="12"/>
  <c r="BH344" i="12"/>
  <c r="BH345" i="12"/>
  <c r="BH346" i="12"/>
  <c r="BH347" i="12"/>
  <c r="BH348" i="12"/>
  <c r="BH349" i="12"/>
  <c r="BH350" i="12"/>
  <c r="BH351" i="12"/>
  <c r="BH352" i="12"/>
  <c r="BH353" i="12"/>
  <c r="BH354" i="12"/>
  <c r="BH355" i="12"/>
  <c r="BH356" i="12"/>
  <c r="BH357" i="12"/>
  <c r="BH358" i="12"/>
  <c r="BH359" i="12"/>
  <c r="BH360" i="12"/>
  <c r="BH361" i="12"/>
  <c r="BH362" i="12"/>
  <c r="BH363" i="12"/>
  <c r="BH364" i="12"/>
  <c r="BH365" i="12"/>
  <c r="BH366" i="12"/>
  <c r="BH367" i="12"/>
  <c r="BH368" i="12"/>
  <c r="BH369" i="12"/>
  <c r="BH370" i="12"/>
  <c r="BH371" i="12"/>
  <c r="BH372" i="12"/>
  <c r="BH373" i="12"/>
  <c r="BH374" i="12"/>
  <c r="BH375" i="12"/>
  <c r="BH376" i="12"/>
  <c r="BH377" i="12"/>
  <c r="BH378" i="12"/>
  <c r="BH379" i="12"/>
  <c r="BH380" i="12"/>
  <c r="BH381" i="12"/>
  <c r="BH382" i="12"/>
  <c r="BH383" i="12"/>
  <c r="BH384" i="12"/>
  <c r="BH385" i="12"/>
  <c r="BH386" i="12"/>
  <c r="BH387" i="12"/>
  <c r="BH388" i="12"/>
  <c r="BH389" i="12"/>
  <c r="BH390" i="12"/>
  <c r="BH391" i="12"/>
  <c r="BH392" i="12"/>
  <c r="BH393" i="12"/>
  <c r="BH394" i="12"/>
  <c r="BH395" i="12"/>
  <c r="BH396" i="12"/>
  <c r="BH397" i="12"/>
  <c r="BH398" i="12"/>
  <c r="BH399" i="12"/>
  <c r="BH400" i="12"/>
  <c r="BH401" i="12"/>
  <c r="BH402" i="12"/>
  <c r="BH403" i="12"/>
  <c r="BH404" i="12"/>
  <c r="BG192" i="12"/>
  <c r="BG193" i="12"/>
  <c r="BG194" i="12"/>
  <c r="BG195" i="12"/>
  <c r="BG196" i="12"/>
  <c r="BG197" i="12"/>
  <c r="BG198" i="12"/>
  <c r="BG199" i="12"/>
  <c r="BG200" i="12"/>
  <c r="BG201" i="12"/>
  <c r="BG202" i="12"/>
  <c r="BG203" i="12"/>
  <c r="BG204" i="12"/>
  <c r="BG205" i="12"/>
  <c r="BG206" i="12"/>
  <c r="BG207" i="12"/>
  <c r="BG208" i="12"/>
  <c r="BG209" i="12"/>
  <c r="BG210" i="12"/>
  <c r="BG211" i="12"/>
  <c r="BG212" i="12"/>
  <c r="BG213" i="12"/>
  <c r="BG214" i="12"/>
  <c r="BG215" i="12"/>
  <c r="BG216" i="12"/>
  <c r="BG217" i="12"/>
  <c r="BG218" i="12"/>
  <c r="BG219" i="12"/>
  <c r="BG220" i="12"/>
  <c r="BG221" i="12"/>
  <c r="BG222" i="12"/>
  <c r="BG223" i="12"/>
  <c r="BG224" i="12"/>
  <c r="BG225" i="12"/>
  <c r="BG226" i="12"/>
  <c r="BG227" i="12"/>
  <c r="BG228" i="12"/>
  <c r="BG229" i="12"/>
  <c r="BG230" i="12"/>
  <c r="BG231" i="12"/>
  <c r="BG232" i="12"/>
  <c r="BG233" i="12"/>
  <c r="BG234" i="12"/>
  <c r="BG235" i="12"/>
  <c r="BG236" i="12"/>
  <c r="BG237" i="12"/>
  <c r="BG238" i="12"/>
  <c r="BG239" i="12"/>
  <c r="BG240" i="12"/>
  <c r="BG241" i="12"/>
  <c r="BG242" i="12"/>
  <c r="BG243" i="12"/>
  <c r="BG244" i="12"/>
  <c r="BG245" i="12"/>
  <c r="BG246" i="12"/>
  <c r="BG247" i="12"/>
  <c r="BG248" i="12"/>
  <c r="BG249" i="12"/>
  <c r="BG250" i="12"/>
  <c r="BG251" i="12"/>
  <c r="BG252" i="12"/>
  <c r="BG253" i="12"/>
  <c r="BG254" i="12"/>
  <c r="BG255" i="12"/>
  <c r="BG256" i="12"/>
  <c r="BG257" i="12"/>
  <c r="BG258" i="12"/>
  <c r="BG259" i="12"/>
  <c r="BG260" i="12"/>
  <c r="BG261" i="12"/>
  <c r="BG262" i="12"/>
  <c r="BG263" i="12"/>
  <c r="BG264" i="12"/>
  <c r="BG265" i="12"/>
  <c r="BG266" i="12"/>
  <c r="BG267" i="12"/>
  <c r="BG268" i="12"/>
  <c r="BG269" i="12"/>
  <c r="BG270" i="12"/>
  <c r="BG271" i="12"/>
  <c r="BG272" i="12"/>
  <c r="BG273" i="12"/>
  <c r="BG274" i="12"/>
  <c r="BG275" i="12"/>
  <c r="BG276" i="12"/>
  <c r="BG277" i="12"/>
  <c r="BG278" i="12"/>
  <c r="BG279" i="12"/>
  <c r="BG280" i="12"/>
  <c r="BG281" i="12"/>
  <c r="BG282" i="12"/>
  <c r="BG283" i="12"/>
  <c r="BG284" i="12"/>
  <c r="BG285" i="12"/>
  <c r="BG286" i="12"/>
  <c r="BG287" i="12"/>
  <c r="BG288" i="12"/>
  <c r="BG289" i="12"/>
  <c r="BG290" i="12"/>
  <c r="BG291" i="12"/>
  <c r="BG292" i="12"/>
  <c r="BG293" i="12"/>
  <c r="BG294" i="12"/>
  <c r="BG295" i="12"/>
  <c r="BG296" i="12"/>
  <c r="BG297" i="12"/>
  <c r="BG298" i="12"/>
  <c r="BG299" i="12"/>
  <c r="BG300" i="12"/>
  <c r="BG301" i="12"/>
  <c r="BG302" i="12"/>
  <c r="BG303" i="12"/>
  <c r="BG304" i="12"/>
  <c r="BG305" i="12"/>
  <c r="BG306" i="12"/>
  <c r="BG307" i="12"/>
  <c r="BG308" i="12"/>
  <c r="BG309" i="12"/>
  <c r="BG310" i="12"/>
  <c r="BG311" i="12"/>
  <c r="BG312" i="12"/>
  <c r="BG313" i="12"/>
  <c r="BG314" i="12"/>
  <c r="BG315" i="12"/>
  <c r="BG316" i="12"/>
  <c r="BG317" i="12"/>
  <c r="BG318" i="12"/>
  <c r="BG319" i="12"/>
  <c r="BG320" i="12"/>
  <c r="BG321" i="12"/>
  <c r="BG322" i="12"/>
  <c r="BG323" i="12"/>
  <c r="BG324" i="12"/>
  <c r="BG325" i="12"/>
  <c r="BG326" i="12"/>
  <c r="BG327" i="12"/>
  <c r="BG328" i="12"/>
  <c r="BG329" i="12"/>
  <c r="BG330" i="12"/>
  <c r="BG331" i="12"/>
  <c r="BG332" i="12"/>
  <c r="BG333" i="12"/>
  <c r="BG334" i="12"/>
  <c r="BG335" i="12"/>
  <c r="BG336" i="12"/>
  <c r="BG337" i="12"/>
  <c r="BG338" i="12"/>
  <c r="BG339" i="12"/>
  <c r="BG340" i="12"/>
  <c r="BG341" i="12"/>
  <c r="BG342" i="12"/>
  <c r="BG343" i="12"/>
  <c r="BG344" i="12"/>
  <c r="BG345" i="12"/>
  <c r="BG346" i="12"/>
  <c r="BG347" i="12"/>
  <c r="BG348" i="12"/>
  <c r="BG349" i="12"/>
  <c r="BG350" i="12"/>
  <c r="BG351" i="12"/>
  <c r="BG352" i="12"/>
  <c r="BG353" i="12"/>
  <c r="BG354" i="12"/>
  <c r="BG355" i="12"/>
  <c r="BG356" i="12"/>
  <c r="BG357" i="12"/>
  <c r="BG358" i="12"/>
  <c r="BG359" i="12"/>
  <c r="BG360" i="12"/>
  <c r="BG361" i="12"/>
  <c r="BG362" i="12"/>
  <c r="BG363" i="12"/>
  <c r="BG364" i="12"/>
  <c r="BG365" i="12"/>
  <c r="BG366" i="12"/>
  <c r="BG367" i="12"/>
  <c r="BG368" i="12"/>
  <c r="BG369" i="12"/>
  <c r="BG370" i="12"/>
  <c r="BG371" i="12"/>
  <c r="BG372" i="12"/>
  <c r="BG373" i="12"/>
  <c r="BG374" i="12"/>
  <c r="BG375" i="12"/>
  <c r="BG376" i="12"/>
  <c r="BG377" i="12"/>
  <c r="BG378" i="12"/>
  <c r="BG379" i="12"/>
  <c r="BG380" i="12"/>
  <c r="BG381" i="12"/>
  <c r="BG382" i="12"/>
  <c r="BG383" i="12"/>
  <c r="BG384" i="12"/>
  <c r="BG385" i="12"/>
  <c r="BG386" i="12"/>
  <c r="BG387" i="12"/>
  <c r="BG388" i="12"/>
  <c r="BG389" i="12"/>
  <c r="BG390" i="12"/>
  <c r="BG391" i="12"/>
  <c r="BG392" i="12"/>
  <c r="BG393" i="12"/>
  <c r="BG394" i="12"/>
  <c r="BG395" i="12"/>
  <c r="BG396" i="12"/>
  <c r="BG397" i="12"/>
  <c r="BG398" i="12"/>
  <c r="BG399" i="12"/>
  <c r="BG400" i="12"/>
  <c r="BG401" i="12"/>
  <c r="BG402" i="12"/>
  <c r="BG403" i="12"/>
  <c r="BG404" i="12"/>
  <c r="BE192" i="12"/>
  <c r="BF192" i="12" s="1"/>
  <c r="BE193" i="12"/>
  <c r="BE194" i="12"/>
  <c r="BF194" i="12" s="1"/>
  <c r="BE195" i="12"/>
  <c r="BF195" i="12" s="1"/>
  <c r="BE196" i="12"/>
  <c r="BE197" i="12"/>
  <c r="BF197" i="12" s="1"/>
  <c r="BE198" i="12"/>
  <c r="BF198" i="12" s="1"/>
  <c r="BE199" i="12"/>
  <c r="BF199" i="12" s="1"/>
  <c r="BE200" i="12"/>
  <c r="BF200" i="12" s="1"/>
  <c r="BE201" i="12"/>
  <c r="BE202" i="12"/>
  <c r="BF202" i="12" s="1"/>
  <c r="BE203" i="12"/>
  <c r="BF203" i="12" s="1"/>
  <c r="BE204" i="12"/>
  <c r="BE205" i="12"/>
  <c r="BF205" i="12" s="1"/>
  <c r="BE206" i="12"/>
  <c r="BF206" i="12" s="1"/>
  <c r="BE207" i="12"/>
  <c r="BF207" i="12" s="1"/>
  <c r="BE208" i="12"/>
  <c r="BF208" i="12" s="1"/>
  <c r="BE209" i="12"/>
  <c r="BE210" i="12"/>
  <c r="BF210" i="12" s="1"/>
  <c r="BE211" i="12"/>
  <c r="BF211" i="12" s="1"/>
  <c r="BE212" i="12"/>
  <c r="BE213" i="12"/>
  <c r="BF213" i="12" s="1"/>
  <c r="BE214" i="12"/>
  <c r="BF214" i="12" s="1"/>
  <c r="BE215" i="12"/>
  <c r="BF215" i="12" s="1"/>
  <c r="BE216" i="12"/>
  <c r="BF216" i="12" s="1"/>
  <c r="BE217" i="12"/>
  <c r="BE218" i="12"/>
  <c r="BF218" i="12" s="1"/>
  <c r="BE219" i="12"/>
  <c r="BF219" i="12" s="1"/>
  <c r="BE220" i="12"/>
  <c r="BE221" i="12"/>
  <c r="BF221" i="12" s="1"/>
  <c r="BE222" i="12"/>
  <c r="BF222" i="12" s="1"/>
  <c r="BE223" i="12"/>
  <c r="BF223" i="12" s="1"/>
  <c r="BE224" i="12"/>
  <c r="BF224" i="12" s="1"/>
  <c r="BE225" i="12"/>
  <c r="BI225" i="12" s="1"/>
  <c r="BE226" i="12"/>
  <c r="BF226" i="12" s="1"/>
  <c r="BE227" i="12"/>
  <c r="BF227" i="12" s="1"/>
  <c r="BE228" i="12"/>
  <c r="BE229" i="12"/>
  <c r="BF229" i="12" s="1"/>
  <c r="BE230" i="12"/>
  <c r="BF230" i="12" s="1"/>
  <c r="BE231" i="12"/>
  <c r="BF231" i="12" s="1"/>
  <c r="BE232" i="12"/>
  <c r="BF232" i="12" s="1"/>
  <c r="BE233" i="12"/>
  <c r="BE234" i="12"/>
  <c r="BF234" i="12" s="1"/>
  <c r="BE235" i="12"/>
  <c r="BF235" i="12" s="1"/>
  <c r="BE236" i="12"/>
  <c r="BE237" i="12"/>
  <c r="BF237" i="12" s="1"/>
  <c r="BE238" i="12"/>
  <c r="BF238" i="12" s="1"/>
  <c r="BE239" i="12"/>
  <c r="BF239" i="12" s="1"/>
  <c r="BE240" i="12"/>
  <c r="BF240" i="12" s="1"/>
  <c r="BE241" i="12"/>
  <c r="BE242" i="12"/>
  <c r="BF242" i="12" s="1"/>
  <c r="BE243" i="12"/>
  <c r="BF243" i="12" s="1"/>
  <c r="BE244" i="12"/>
  <c r="BE245" i="12"/>
  <c r="BF245" i="12" s="1"/>
  <c r="BE246" i="12"/>
  <c r="BF246" i="12" s="1"/>
  <c r="BE247" i="12"/>
  <c r="BF247" i="12" s="1"/>
  <c r="BE248" i="12"/>
  <c r="BF248" i="12" s="1"/>
  <c r="BE249" i="12"/>
  <c r="BE250" i="12"/>
  <c r="BF250" i="12" s="1"/>
  <c r="BE251" i="12"/>
  <c r="BF251" i="12" s="1"/>
  <c r="BE252" i="12"/>
  <c r="BE253" i="12"/>
  <c r="BF253" i="12" s="1"/>
  <c r="BE254" i="12"/>
  <c r="BF254" i="12" s="1"/>
  <c r="BE255" i="12"/>
  <c r="BF255" i="12" s="1"/>
  <c r="BE256" i="12"/>
  <c r="BF256" i="12" s="1"/>
  <c r="BE257" i="12"/>
  <c r="BE258" i="12"/>
  <c r="BF258" i="12" s="1"/>
  <c r="BE259" i="12"/>
  <c r="BF259" i="12" s="1"/>
  <c r="BE260" i="12"/>
  <c r="BE261" i="12"/>
  <c r="BF261" i="12" s="1"/>
  <c r="BE262" i="12"/>
  <c r="BF262" i="12" s="1"/>
  <c r="BE263" i="12"/>
  <c r="BF263" i="12" s="1"/>
  <c r="BE264" i="12"/>
  <c r="BF264" i="12" s="1"/>
  <c r="BE265" i="12"/>
  <c r="BE266" i="12"/>
  <c r="BF266" i="12" s="1"/>
  <c r="BE267" i="12"/>
  <c r="BF267" i="12" s="1"/>
  <c r="BE268" i="12"/>
  <c r="BE269" i="12"/>
  <c r="BF269" i="12" s="1"/>
  <c r="BE270" i="12"/>
  <c r="BF270" i="12" s="1"/>
  <c r="BE271" i="12"/>
  <c r="BF271" i="12" s="1"/>
  <c r="BE272" i="12"/>
  <c r="BF272" i="12" s="1"/>
  <c r="BE273" i="12"/>
  <c r="BE274" i="12"/>
  <c r="BF274" i="12" s="1"/>
  <c r="BE275" i="12"/>
  <c r="BF275" i="12" s="1"/>
  <c r="BE276" i="12"/>
  <c r="BE277" i="12"/>
  <c r="BF277" i="12" s="1"/>
  <c r="BE278" i="12"/>
  <c r="BF278" i="12" s="1"/>
  <c r="BE279" i="12"/>
  <c r="BF279" i="12" s="1"/>
  <c r="BE280" i="12"/>
  <c r="BF280" i="12" s="1"/>
  <c r="BE281" i="12"/>
  <c r="BE282" i="12"/>
  <c r="BF282" i="12" s="1"/>
  <c r="BE283" i="12"/>
  <c r="BF283" i="12" s="1"/>
  <c r="BE284" i="12"/>
  <c r="BE285" i="12"/>
  <c r="BF285" i="12" s="1"/>
  <c r="BE286" i="12"/>
  <c r="BF286" i="12" s="1"/>
  <c r="BE287" i="12"/>
  <c r="BF287" i="12" s="1"/>
  <c r="BE288" i="12"/>
  <c r="BF288" i="12" s="1"/>
  <c r="BE289" i="12"/>
  <c r="BI289" i="12" s="1"/>
  <c r="BE290" i="12"/>
  <c r="BF290" i="12" s="1"/>
  <c r="BE291" i="12"/>
  <c r="BF291" i="12" s="1"/>
  <c r="BE292" i="12"/>
  <c r="BE293" i="12"/>
  <c r="BF293" i="12" s="1"/>
  <c r="BE294" i="12"/>
  <c r="BF294" i="12" s="1"/>
  <c r="BE295" i="12"/>
  <c r="BF295" i="12" s="1"/>
  <c r="BE296" i="12"/>
  <c r="BF296" i="12" s="1"/>
  <c r="BE297" i="12"/>
  <c r="BE298" i="12"/>
  <c r="BF298" i="12" s="1"/>
  <c r="BE299" i="12"/>
  <c r="BF299" i="12" s="1"/>
  <c r="BE300" i="12"/>
  <c r="BE301" i="12"/>
  <c r="BF301" i="12" s="1"/>
  <c r="BE302" i="12"/>
  <c r="BF302" i="12" s="1"/>
  <c r="BE303" i="12"/>
  <c r="BF303" i="12" s="1"/>
  <c r="BE304" i="12"/>
  <c r="BF304" i="12" s="1"/>
  <c r="BE305" i="12"/>
  <c r="BE306" i="12"/>
  <c r="BF306" i="12" s="1"/>
  <c r="BE307" i="12"/>
  <c r="BF307" i="12" s="1"/>
  <c r="BE308" i="12"/>
  <c r="BE309" i="12"/>
  <c r="BF309" i="12" s="1"/>
  <c r="BE310" i="12"/>
  <c r="BF310" i="12" s="1"/>
  <c r="BE311" i="12"/>
  <c r="BF311" i="12" s="1"/>
  <c r="BE312" i="12"/>
  <c r="BF312" i="12" s="1"/>
  <c r="BE313" i="12"/>
  <c r="BE314" i="12"/>
  <c r="BF314" i="12" s="1"/>
  <c r="BE315" i="12"/>
  <c r="BF315" i="12" s="1"/>
  <c r="BE316" i="12"/>
  <c r="BE317" i="12"/>
  <c r="BF317" i="12" s="1"/>
  <c r="BE318" i="12"/>
  <c r="BF318" i="12" s="1"/>
  <c r="BE319" i="12"/>
  <c r="BF319" i="12" s="1"/>
  <c r="BE320" i="12"/>
  <c r="BF320" i="12" s="1"/>
  <c r="BE321" i="12"/>
  <c r="BE322" i="12"/>
  <c r="BF322" i="12" s="1"/>
  <c r="BE323" i="12"/>
  <c r="BF323" i="12" s="1"/>
  <c r="BE324" i="12"/>
  <c r="BE325" i="12"/>
  <c r="BF325" i="12" s="1"/>
  <c r="BE326" i="12"/>
  <c r="BF326" i="12" s="1"/>
  <c r="BE327" i="12"/>
  <c r="BF327" i="12" s="1"/>
  <c r="BE328" i="12"/>
  <c r="BF328" i="12" s="1"/>
  <c r="BE329" i="12"/>
  <c r="BE330" i="12"/>
  <c r="BF330" i="12" s="1"/>
  <c r="BE331" i="12"/>
  <c r="BF331" i="12" s="1"/>
  <c r="BE332" i="12"/>
  <c r="BE333" i="12"/>
  <c r="BF333" i="12" s="1"/>
  <c r="BE334" i="12"/>
  <c r="BF334" i="12" s="1"/>
  <c r="BE335" i="12"/>
  <c r="BF335" i="12" s="1"/>
  <c r="BE336" i="12"/>
  <c r="BF336" i="12" s="1"/>
  <c r="BE337" i="12"/>
  <c r="BE338" i="12"/>
  <c r="BF338" i="12" s="1"/>
  <c r="BE339" i="12"/>
  <c r="BF339" i="12" s="1"/>
  <c r="BE340" i="12"/>
  <c r="BE341" i="12"/>
  <c r="BF341" i="12" s="1"/>
  <c r="BE342" i="12"/>
  <c r="BF342" i="12" s="1"/>
  <c r="BE343" i="12"/>
  <c r="BF343" i="12" s="1"/>
  <c r="BE344" i="12"/>
  <c r="BF344" i="12" s="1"/>
  <c r="BE345" i="12"/>
  <c r="BE346" i="12"/>
  <c r="BF346" i="12" s="1"/>
  <c r="BE347" i="12"/>
  <c r="BF347" i="12" s="1"/>
  <c r="BE348" i="12"/>
  <c r="BE349" i="12"/>
  <c r="BF349" i="12" s="1"/>
  <c r="BE350" i="12"/>
  <c r="BF350" i="12" s="1"/>
  <c r="BE351" i="12"/>
  <c r="BF351" i="12" s="1"/>
  <c r="BE352" i="12"/>
  <c r="BF352" i="12" s="1"/>
  <c r="BE353" i="12"/>
  <c r="BI353" i="12" s="1"/>
  <c r="BE354" i="12"/>
  <c r="BF354" i="12" s="1"/>
  <c r="BE355" i="12"/>
  <c r="BF355" i="12" s="1"/>
  <c r="BE356" i="12"/>
  <c r="BE357" i="12"/>
  <c r="BF357" i="12" s="1"/>
  <c r="BE358" i="12"/>
  <c r="BF358" i="12" s="1"/>
  <c r="BE359" i="12"/>
  <c r="BF359" i="12" s="1"/>
  <c r="BE360" i="12"/>
  <c r="BF360" i="12" s="1"/>
  <c r="BE361" i="12"/>
  <c r="BE362" i="12"/>
  <c r="BF362" i="12" s="1"/>
  <c r="BE363" i="12"/>
  <c r="BF363" i="12" s="1"/>
  <c r="BE364" i="12"/>
  <c r="BE365" i="12"/>
  <c r="BF365" i="12" s="1"/>
  <c r="BE366" i="12"/>
  <c r="BF366" i="12" s="1"/>
  <c r="BE367" i="12"/>
  <c r="BF367" i="12" s="1"/>
  <c r="BE368" i="12"/>
  <c r="BF368" i="12" s="1"/>
  <c r="BE369" i="12"/>
  <c r="BE370" i="12"/>
  <c r="BF370" i="12" s="1"/>
  <c r="BE371" i="12"/>
  <c r="BF371" i="12" s="1"/>
  <c r="BE372" i="12"/>
  <c r="BE373" i="12"/>
  <c r="BF373" i="12" s="1"/>
  <c r="BE374" i="12"/>
  <c r="BF374" i="12" s="1"/>
  <c r="BE375" i="12"/>
  <c r="BF375" i="12" s="1"/>
  <c r="BE376" i="12"/>
  <c r="BF376" i="12" s="1"/>
  <c r="BE377" i="12"/>
  <c r="BE378" i="12"/>
  <c r="BF378" i="12" s="1"/>
  <c r="BE379" i="12"/>
  <c r="BF379" i="12" s="1"/>
  <c r="BE380" i="12"/>
  <c r="BE381" i="12"/>
  <c r="BF381" i="12" s="1"/>
  <c r="BE382" i="12"/>
  <c r="BF382" i="12" s="1"/>
  <c r="BE383" i="12"/>
  <c r="BF383" i="12" s="1"/>
  <c r="BE384" i="12"/>
  <c r="BF384" i="12" s="1"/>
  <c r="BE385" i="12"/>
  <c r="BE386" i="12"/>
  <c r="BF386" i="12" s="1"/>
  <c r="BE387" i="12"/>
  <c r="BF387" i="12" s="1"/>
  <c r="BE388" i="12"/>
  <c r="BE389" i="12"/>
  <c r="BF389" i="12" s="1"/>
  <c r="BE390" i="12"/>
  <c r="BF390" i="12" s="1"/>
  <c r="BE391" i="12"/>
  <c r="BF391" i="12" s="1"/>
  <c r="BE392" i="12"/>
  <c r="BF392" i="12" s="1"/>
  <c r="BE393" i="12"/>
  <c r="BE394" i="12"/>
  <c r="BF394" i="12" s="1"/>
  <c r="BE395" i="12"/>
  <c r="BF395" i="12" s="1"/>
  <c r="BE396" i="12"/>
  <c r="BE397" i="12"/>
  <c r="BF397" i="12" s="1"/>
  <c r="BE398" i="12"/>
  <c r="BF398" i="12" s="1"/>
  <c r="BE399" i="12"/>
  <c r="BF399" i="12" s="1"/>
  <c r="BE400" i="12"/>
  <c r="BF400" i="12" s="1"/>
  <c r="BE401" i="12"/>
  <c r="BE402" i="12"/>
  <c r="BF402" i="12" s="1"/>
  <c r="BE403" i="12"/>
  <c r="BF403" i="12" s="1"/>
  <c r="BE404" i="12"/>
  <c r="BE3" i="12"/>
  <c r="BE4" i="12"/>
  <c r="BE5" i="12"/>
  <c r="BE6" i="12"/>
  <c r="BE7" i="12"/>
  <c r="BE8" i="12"/>
  <c r="BE9" i="12"/>
  <c r="BE10" i="12"/>
  <c r="BE11" i="12"/>
  <c r="BE12" i="12"/>
  <c r="BE13" i="12"/>
  <c r="BE14" i="12"/>
  <c r="BE15" i="12"/>
  <c r="BE16" i="12"/>
  <c r="BE17" i="12"/>
  <c r="BE18" i="12"/>
  <c r="BE19" i="12"/>
  <c r="BE20" i="12"/>
  <c r="BE21" i="12"/>
  <c r="BE22" i="12"/>
  <c r="BE23" i="12"/>
  <c r="BE24" i="12"/>
  <c r="BE25" i="12"/>
  <c r="BE26" i="12"/>
  <c r="BE27" i="12"/>
  <c r="BE28" i="12"/>
  <c r="BE29" i="12"/>
  <c r="BE30" i="12"/>
  <c r="BE31" i="12"/>
  <c r="BE32" i="12"/>
  <c r="BE33" i="12"/>
  <c r="BE34" i="12"/>
  <c r="BE35" i="12"/>
  <c r="BE36" i="12"/>
  <c r="BE37" i="12"/>
  <c r="BE38" i="12"/>
  <c r="BE39" i="12"/>
  <c r="BE40" i="12"/>
  <c r="BE41" i="12"/>
  <c r="BE42" i="12"/>
  <c r="BE43" i="12"/>
  <c r="BE44" i="12"/>
  <c r="BE45" i="12"/>
  <c r="BE46" i="12"/>
  <c r="BE47" i="12"/>
  <c r="BE48" i="12"/>
  <c r="BE49" i="12"/>
  <c r="BE50" i="12"/>
  <c r="BE51" i="12"/>
  <c r="BE52" i="12"/>
  <c r="BE53" i="12"/>
  <c r="BE54" i="12"/>
  <c r="BE55" i="12"/>
  <c r="BE56" i="12"/>
  <c r="BE57" i="12"/>
  <c r="BE58" i="12"/>
  <c r="BE59" i="12"/>
  <c r="BE60" i="12"/>
  <c r="BE61" i="12"/>
  <c r="BE62" i="12"/>
  <c r="BE63" i="12"/>
  <c r="BE64" i="12"/>
  <c r="BE65" i="12"/>
  <c r="BE66" i="12"/>
  <c r="BE67" i="12"/>
  <c r="BE68" i="12"/>
  <c r="BE69" i="12"/>
  <c r="BE70" i="12"/>
  <c r="BE71" i="12"/>
  <c r="BE72" i="12"/>
  <c r="BE73" i="12"/>
  <c r="BE74" i="12"/>
  <c r="BE75" i="12"/>
  <c r="BE76" i="12"/>
  <c r="BE77" i="12"/>
  <c r="BE78" i="12"/>
  <c r="BE79" i="12"/>
  <c r="BE80" i="12"/>
  <c r="BE81" i="12"/>
  <c r="BE82" i="12"/>
  <c r="BE83" i="12"/>
  <c r="BE84" i="12"/>
  <c r="BE85" i="12"/>
  <c r="BE86" i="12"/>
  <c r="BE87" i="12"/>
  <c r="BE88" i="12"/>
  <c r="BE89" i="12"/>
  <c r="BE90" i="12"/>
  <c r="BE91" i="12"/>
  <c r="BE92" i="12"/>
  <c r="BE93" i="12"/>
  <c r="BE94" i="12"/>
  <c r="BE95" i="12"/>
  <c r="BE96" i="12"/>
  <c r="BE97" i="12"/>
  <c r="BE98" i="12"/>
  <c r="BE99" i="12"/>
  <c r="BE100" i="12"/>
  <c r="BE101" i="12"/>
  <c r="BE102" i="12"/>
  <c r="BE103" i="12"/>
  <c r="BE104" i="12"/>
  <c r="BE105" i="12"/>
  <c r="BE106" i="12"/>
  <c r="BE107" i="12"/>
  <c r="BE108" i="12"/>
  <c r="BE109" i="12"/>
  <c r="BE110" i="12"/>
  <c r="BE111" i="12"/>
  <c r="BE112" i="12"/>
  <c r="BE113" i="12"/>
  <c r="BE114" i="12"/>
  <c r="BE115" i="12"/>
  <c r="BE116" i="12"/>
  <c r="BE117" i="12"/>
  <c r="BE118" i="12"/>
  <c r="BE119" i="12"/>
  <c r="BE120" i="12"/>
  <c r="BE121" i="12"/>
  <c r="BE122" i="12"/>
  <c r="BE123" i="12"/>
  <c r="BE124" i="12"/>
  <c r="BE125" i="12"/>
  <c r="BE126" i="12"/>
  <c r="BE127" i="12"/>
  <c r="BE128" i="12"/>
  <c r="BE129" i="12"/>
  <c r="BE130" i="12"/>
  <c r="BE131" i="12"/>
  <c r="BE132" i="12"/>
  <c r="BE133" i="12"/>
  <c r="BE134" i="12"/>
  <c r="BE135" i="12"/>
  <c r="BE136" i="12"/>
  <c r="BE137" i="12"/>
  <c r="BE138" i="12"/>
  <c r="BE139" i="12"/>
  <c r="BE140" i="12"/>
  <c r="BE141" i="12"/>
  <c r="BE142" i="12"/>
  <c r="BE143" i="12"/>
  <c r="BE144" i="12"/>
  <c r="BE145" i="12"/>
  <c r="BE146" i="12"/>
  <c r="BE147" i="12"/>
  <c r="BE148" i="12"/>
  <c r="BE149" i="12"/>
  <c r="BE150" i="12"/>
  <c r="BE151" i="12"/>
  <c r="BE152" i="12"/>
  <c r="BE153" i="12"/>
  <c r="BE154" i="12"/>
  <c r="BE155" i="12"/>
  <c r="BE156" i="12"/>
  <c r="BE157" i="12"/>
  <c r="BE158" i="12"/>
  <c r="BE159" i="12"/>
  <c r="BE160" i="12"/>
  <c r="BE161" i="12"/>
  <c r="BE162" i="12"/>
  <c r="BE163" i="12"/>
  <c r="BE164" i="12"/>
  <c r="BE165" i="12"/>
  <c r="BE166" i="12"/>
  <c r="BE167" i="12"/>
  <c r="BE168" i="12"/>
  <c r="BE169" i="12"/>
  <c r="BE170" i="12"/>
  <c r="BE171" i="12"/>
  <c r="BE172" i="12"/>
  <c r="BE173" i="12"/>
  <c r="BE174" i="12"/>
  <c r="BE175" i="12"/>
  <c r="BE176" i="12"/>
  <c r="BE177" i="12"/>
  <c r="BE178" i="12"/>
  <c r="BE179" i="12"/>
  <c r="BE180" i="12"/>
  <c r="BE181" i="12"/>
  <c r="BE182" i="12"/>
  <c r="BE183" i="12"/>
  <c r="BE184" i="12"/>
  <c r="BE185" i="12"/>
  <c r="BE186" i="12"/>
  <c r="BE187" i="12"/>
  <c r="BE188" i="12"/>
  <c r="BE189" i="12"/>
  <c r="BE190" i="12"/>
  <c r="BE191" i="12"/>
  <c r="BE2" i="12"/>
  <c r="BC192" i="12"/>
  <c r="BC193" i="12"/>
  <c r="BC194" i="12"/>
  <c r="BC195" i="12"/>
  <c r="BC196" i="12"/>
  <c r="BC197" i="12"/>
  <c r="BC198" i="12"/>
  <c r="BC199" i="12"/>
  <c r="BC200" i="12"/>
  <c r="BC201" i="12"/>
  <c r="BC202" i="12"/>
  <c r="BC203" i="12"/>
  <c r="BC204" i="12"/>
  <c r="BC205" i="12"/>
  <c r="BC206" i="12"/>
  <c r="BC207" i="12"/>
  <c r="BC208" i="12"/>
  <c r="BC209" i="12"/>
  <c r="BC210" i="12"/>
  <c r="BC211" i="12"/>
  <c r="BC212" i="12"/>
  <c r="BC213" i="12"/>
  <c r="BC214" i="12"/>
  <c r="BC215" i="12"/>
  <c r="BC216" i="12"/>
  <c r="BC217" i="12"/>
  <c r="BC218" i="12"/>
  <c r="BC219" i="12"/>
  <c r="BC220" i="12"/>
  <c r="BC221" i="12"/>
  <c r="BC222" i="12"/>
  <c r="BC223" i="12"/>
  <c r="BC224" i="12"/>
  <c r="BC225" i="12"/>
  <c r="BC226" i="12"/>
  <c r="BC227" i="12"/>
  <c r="BC228" i="12"/>
  <c r="BC229" i="12"/>
  <c r="BC230" i="12"/>
  <c r="BC231" i="12"/>
  <c r="BC232" i="12"/>
  <c r="BC233" i="12"/>
  <c r="BC234" i="12"/>
  <c r="BC235" i="12"/>
  <c r="BC236" i="12"/>
  <c r="BC237" i="12"/>
  <c r="BC238" i="12"/>
  <c r="BC239" i="12"/>
  <c r="BC240" i="12"/>
  <c r="BC241" i="12"/>
  <c r="BC242" i="12"/>
  <c r="BC243" i="12"/>
  <c r="BC244" i="12"/>
  <c r="BC245" i="12"/>
  <c r="BC246" i="12"/>
  <c r="BC247" i="12"/>
  <c r="BC248" i="12"/>
  <c r="BC249" i="12"/>
  <c r="BC250" i="12"/>
  <c r="BC251" i="12"/>
  <c r="BC252" i="12"/>
  <c r="BC253" i="12"/>
  <c r="BC254" i="12"/>
  <c r="BC255" i="12"/>
  <c r="BC256" i="12"/>
  <c r="BC257" i="12"/>
  <c r="BC258" i="12"/>
  <c r="BC259" i="12"/>
  <c r="BC260" i="12"/>
  <c r="BC261" i="12"/>
  <c r="BC262" i="12"/>
  <c r="BC263" i="12"/>
  <c r="BC264" i="12"/>
  <c r="BC265" i="12"/>
  <c r="BC266" i="12"/>
  <c r="BC267" i="12"/>
  <c r="BC268" i="12"/>
  <c r="BC269" i="12"/>
  <c r="BC270" i="12"/>
  <c r="BC271" i="12"/>
  <c r="BC272" i="12"/>
  <c r="BC273" i="12"/>
  <c r="BC274" i="12"/>
  <c r="BC275" i="12"/>
  <c r="BC276" i="12"/>
  <c r="BC277" i="12"/>
  <c r="BC278" i="12"/>
  <c r="BC279" i="12"/>
  <c r="BC280" i="12"/>
  <c r="BC281" i="12"/>
  <c r="BC282" i="12"/>
  <c r="BC283" i="12"/>
  <c r="BC284" i="12"/>
  <c r="BC285" i="12"/>
  <c r="BC286" i="12"/>
  <c r="BC287" i="12"/>
  <c r="BC288" i="12"/>
  <c r="BC289" i="12"/>
  <c r="BC290" i="12"/>
  <c r="BC291" i="12"/>
  <c r="BC292" i="12"/>
  <c r="BC293" i="12"/>
  <c r="BC294" i="12"/>
  <c r="BC295" i="12"/>
  <c r="BC296" i="12"/>
  <c r="BC297" i="12"/>
  <c r="BC298" i="12"/>
  <c r="BC299" i="12"/>
  <c r="BC300" i="12"/>
  <c r="BC301" i="12"/>
  <c r="BC302" i="12"/>
  <c r="BC303" i="12"/>
  <c r="BC304" i="12"/>
  <c r="BC305" i="12"/>
  <c r="BC306" i="12"/>
  <c r="BC307" i="12"/>
  <c r="BC308" i="12"/>
  <c r="BC309" i="12"/>
  <c r="BC310" i="12"/>
  <c r="BC311" i="12"/>
  <c r="BC312" i="12"/>
  <c r="BC313" i="12"/>
  <c r="BC314" i="12"/>
  <c r="BC315" i="12"/>
  <c r="BC316" i="12"/>
  <c r="BC317" i="12"/>
  <c r="BC318" i="12"/>
  <c r="BC319" i="12"/>
  <c r="BC320" i="12"/>
  <c r="BC321" i="12"/>
  <c r="BC322" i="12"/>
  <c r="BC323" i="12"/>
  <c r="BC324" i="12"/>
  <c r="BC325" i="12"/>
  <c r="BC326" i="12"/>
  <c r="BC327" i="12"/>
  <c r="BC328" i="12"/>
  <c r="BC329" i="12"/>
  <c r="BC330" i="12"/>
  <c r="BC331" i="12"/>
  <c r="BC332" i="12"/>
  <c r="BC333" i="12"/>
  <c r="BC334" i="12"/>
  <c r="BC335" i="12"/>
  <c r="BC336" i="12"/>
  <c r="BC337" i="12"/>
  <c r="BC338" i="12"/>
  <c r="BC339" i="12"/>
  <c r="BC340" i="12"/>
  <c r="BC341" i="12"/>
  <c r="BC342" i="12"/>
  <c r="BC343" i="12"/>
  <c r="BC344" i="12"/>
  <c r="BC345" i="12"/>
  <c r="BC346" i="12"/>
  <c r="BC347" i="12"/>
  <c r="BC348" i="12"/>
  <c r="BC349" i="12"/>
  <c r="BC350" i="12"/>
  <c r="BC351" i="12"/>
  <c r="BC352" i="12"/>
  <c r="BC353" i="12"/>
  <c r="BC354" i="12"/>
  <c r="BC355" i="12"/>
  <c r="BC356" i="12"/>
  <c r="BC357" i="12"/>
  <c r="BC358" i="12"/>
  <c r="BC359" i="12"/>
  <c r="BC360" i="12"/>
  <c r="BC361" i="12"/>
  <c r="BC362" i="12"/>
  <c r="BC363" i="12"/>
  <c r="BC364" i="12"/>
  <c r="BC365" i="12"/>
  <c r="BC366" i="12"/>
  <c r="BC367" i="12"/>
  <c r="BC368" i="12"/>
  <c r="BC369" i="12"/>
  <c r="BC370" i="12"/>
  <c r="BC371" i="12"/>
  <c r="BC372" i="12"/>
  <c r="BC373" i="12"/>
  <c r="BC374" i="12"/>
  <c r="BC375" i="12"/>
  <c r="BC376" i="12"/>
  <c r="BC377" i="12"/>
  <c r="BC378" i="12"/>
  <c r="BC379" i="12"/>
  <c r="BC380" i="12"/>
  <c r="BC381" i="12"/>
  <c r="BC382" i="12"/>
  <c r="BC383" i="12"/>
  <c r="BC384" i="12"/>
  <c r="BC385" i="12"/>
  <c r="BC386" i="12"/>
  <c r="BC387" i="12"/>
  <c r="BC388" i="12"/>
  <c r="BC389" i="12"/>
  <c r="BC390" i="12"/>
  <c r="BC391" i="12"/>
  <c r="BC392" i="12"/>
  <c r="BC393" i="12"/>
  <c r="BC394" i="12"/>
  <c r="BC395" i="12"/>
  <c r="BC396" i="12"/>
  <c r="BC397" i="12"/>
  <c r="BC398" i="12"/>
  <c r="BC399" i="12"/>
  <c r="BC400" i="12"/>
  <c r="BC401" i="12"/>
  <c r="BC402" i="12"/>
  <c r="BC403" i="12"/>
  <c r="BC404" i="12"/>
  <c r="BB192" i="12"/>
  <c r="BB193" i="12"/>
  <c r="BB194" i="12"/>
  <c r="BB195" i="12"/>
  <c r="BB196" i="12"/>
  <c r="BB197" i="12"/>
  <c r="BB198" i="12"/>
  <c r="BB199" i="12"/>
  <c r="BB200" i="12"/>
  <c r="BB201" i="12"/>
  <c r="BB202" i="12"/>
  <c r="BB203" i="12"/>
  <c r="BB204" i="12"/>
  <c r="BB205" i="12"/>
  <c r="BB206" i="12"/>
  <c r="BB207" i="12"/>
  <c r="BB208" i="12"/>
  <c r="BB209" i="12"/>
  <c r="BB210" i="12"/>
  <c r="BB211" i="12"/>
  <c r="BB212" i="12"/>
  <c r="BB213" i="12"/>
  <c r="BB214" i="12"/>
  <c r="BB215" i="12"/>
  <c r="BB216" i="12"/>
  <c r="BB217" i="12"/>
  <c r="BB218" i="12"/>
  <c r="BB219" i="12"/>
  <c r="BB220" i="12"/>
  <c r="BB221" i="12"/>
  <c r="BB222" i="12"/>
  <c r="BB223" i="12"/>
  <c r="BB224" i="12"/>
  <c r="BB225" i="12"/>
  <c r="BB226" i="12"/>
  <c r="BB227" i="12"/>
  <c r="BB228" i="12"/>
  <c r="BB229" i="12"/>
  <c r="BB230" i="12"/>
  <c r="BB231" i="12"/>
  <c r="BB232" i="12"/>
  <c r="BB233" i="12"/>
  <c r="BB234" i="12"/>
  <c r="BB235" i="12"/>
  <c r="BB236" i="12"/>
  <c r="BB237" i="12"/>
  <c r="BB238" i="12"/>
  <c r="BB239" i="12"/>
  <c r="BB240" i="12"/>
  <c r="BB241" i="12"/>
  <c r="BB242" i="12"/>
  <c r="BB243" i="12"/>
  <c r="BB244" i="12"/>
  <c r="BB245" i="12"/>
  <c r="BB246" i="12"/>
  <c r="BB247" i="12"/>
  <c r="BB248" i="12"/>
  <c r="BB249" i="12"/>
  <c r="BB250" i="12"/>
  <c r="BB251" i="12"/>
  <c r="BB252" i="12"/>
  <c r="BB253" i="12"/>
  <c r="BB254" i="12"/>
  <c r="BB255" i="12"/>
  <c r="BB256" i="12"/>
  <c r="BB257" i="12"/>
  <c r="BB258" i="12"/>
  <c r="BB259" i="12"/>
  <c r="BB260" i="12"/>
  <c r="BB261" i="12"/>
  <c r="BB262" i="12"/>
  <c r="BB263" i="12"/>
  <c r="BB264" i="12"/>
  <c r="BB265" i="12"/>
  <c r="BB266" i="12"/>
  <c r="BB267" i="12"/>
  <c r="BB268" i="12"/>
  <c r="BB269" i="12"/>
  <c r="BB270" i="12"/>
  <c r="BB271" i="12"/>
  <c r="BB272" i="12"/>
  <c r="BB273" i="12"/>
  <c r="BB274" i="12"/>
  <c r="BB275" i="12"/>
  <c r="BB276" i="12"/>
  <c r="BB277" i="12"/>
  <c r="BB278" i="12"/>
  <c r="BB279" i="12"/>
  <c r="BB280" i="12"/>
  <c r="BB281" i="12"/>
  <c r="BB282" i="12"/>
  <c r="BB283" i="12"/>
  <c r="BB284" i="12"/>
  <c r="BB285" i="12"/>
  <c r="BB286" i="12"/>
  <c r="BB287" i="12"/>
  <c r="BB288" i="12"/>
  <c r="BB289" i="12"/>
  <c r="BB290" i="12"/>
  <c r="BB291" i="12"/>
  <c r="BB292" i="12"/>
  <c r="BB293" i="12"/>
  <c r="BB294" i="12"/>
  <c r="BB295" i="12"/>
  <c r="BB296" i="12"/>
  <c r="BB297" i="12"/>
  <c r="BB298" i="12"/>
  <c r="BB299" i="12"/>
  <c r="BB300" i="12"/>
  <c r="BB301" i="12"/>
  <c r="BB302" i="12"/>
  <c r="BB303" i="12"/>
  <c r="BB304" i="12"/>
  <c r="BB305" i="12"/>
  <c r="BB306" i="12"/>
  <c r="BB307" i="12"/>
  <c r="BB308" i="12"/>
  <c r="BB309" i="12"/>
  <c r="BB310" i="12"/>
  <c r="BB311" i="12"/>
  <c r="BB312" i="12"/>
  <c r="BB313" i="12"/>
  <c r="BB314" i="12"/>
  <c r="BB315" i="12"/>
  <c r="BB316" i="12"/>
  <c r="BB317" i="12"/>
  <c r="BB318" i="12"/>
  <c r="BB319" i="12"/>
  <c r="BB320" i="12"/>
  <c r="BB321" i="12"/>
  <c r="BB322" i="12"/>
  <c r="BB323" i="12"/>
  <c r="BB324" i="12"/>
  <c r="BB325" i="12"/>
  <c r="BB326" i="12"/>
  <c r="BB327" i="12"/>
  <c r="BB328" i="12"/>
  <c r="BB329" i="12"/>
  <c r="BB330" i="12"/>
  <c r="BB331" i="12"/>
  <c r="BB332" i="12"/>
  <c r="BB333" i="12"/>
  <c r="BB334" i="12"/>
  <c r="BB335" i="12"/>
  <c r="BB336" i="12"/>
  <c r="BB337" i="12"/>
  <c r="BB338" i="12"/>
  <c r="BB339" i="12"/>
  <c r="BB340" i="12"/>
  <c r="BB341" i="12"/>
  <c r="BB342" i="12"/>
  <c r="BB343" i="12"/>
  <c r="BB344" i="12"/>
  <c r="BB345" i="12"/>
  <c r="BB346" i="12"/>
  <c r="BB347" i="12"/>
  <c r="BB348" i="12"/>
  <c r="BB349" i="12"/>
  <c r="BB350" i="12"/>
  <c r="BB351" i="12"/>
  <c r="BB352" i="12"/>
  <c r="BB353" i="12"/>
  <c r="BB354" i="12"/>
  <c r="BB355" i="12"/>
  <c r="BB356" i="12"/>
  <c r="BB357" i="12"/>
  <c r="BB358" i="12"/>
  <c r="BB359" i="12"/>
  <c r="BB360" i="12"/>
  <c r="BB361" i="12"/>
  <c r="BB362" i="12"/>
  <c r="BB363" i="12"/>
  <c r="BB364" i="12"/>
  <c r="BB365" i="12"/>
  <c r="BB366" i="12"/>
  <c r="BB367" i="12"/>
  <c r="BB368" i="12"/>
  <c r="BB369" i="12"/>
  <c r="BB370" i="12"/>
  <c r="BB371" i="12"/>
  <c r="BB372" i="12"/>
  <c r="BB373" i="12"/>
  <c r="BB374" i="12"/>
  <c r="BB375" i="12"/>
  <c r="BB376" i="12"/>
  <c r="BB377" i="12"/>
  <c r="BB378" i="12"/>
  <c r="BB379" i="12"/>
  <c r="BB380" i="12"/>
  <c r="BB381" i="12"/>
  <c r="BB382" i="12"/>
  <c r="BB383" i="12"/>
  <c r="BB384" i="12"/>
  <c r="BB385" i="12"/>
  <c r="BB386" i="12"/>
  <c r="BB387" i="12"/>
  <c r="BB388" i="12"/>
  <c r="BB389" i="12"/>
  <c r="BB390" i="12"/>
  <c r="BB391" i="12"/>
  <c r="BB392" i="12"/>
  <c r="BB393" i="12"/>
  <c r="BB394" i="12"/>
  <c r="BB395" i="12"/>
  <c r="BB396" i="12"/>
  <c r="BB397" i="12"/>
  <c r="BB398" i="12"/>
  <c r="BB399" i="12"/>
  <c r="BB400" i="12"/>
  <c r="BB401" i="12"/>
  <c r="BB402" i="12"/>
  <c r="BB403" i="12"/>
  <c r="BB404" i="12"/>
  <c r="AZ192" i="12"/>
  <c r="BD192" i="12" s="1"/>
  <c r="AZ193" i="12"/>
  <c r="BD193" i="12" s="1"/>
  <c r="AZ194" i="12"/>
  <c r="AZ195" i="12"/>
  <c r="BD195" i="12" s="1"/>
  <c r="AZ196" i="12"/>
  <c r="BD196" i="12" s="1"/>
  <c r="AZ197" i="12"/>
  <c r="BD197" i="12" s="1"/>
  <c r="AZ198" i="12"/>
  <c r="BD198" i="12" s="1"/>
  <c r="AZ199" i="12"/>
  <c r="BD199" i="12" s="1"/>
  <c r="AZ200" i="12"/>
  <c r="BD200" i="12" s="1"/>
  <c r="AZ201" i="12"/>
  <c r="BD201" i="12" s="1"/>
  <c r="AZ202" i="12"/>
  <c r="AZ203" i="12"/>
  <c r="BD203" i="12" s="1"/>
  <c r="AZ204" i="12"/>
  <c r="BD204" i="12" s="1"/>
  <c r="AZ205" i="12"/>
  <c r="BD205" i="12" s="1"/>
  <c r="AZ206" i="12"/>
  <c r="BD206" i="12" s="1"/>
  <c r="AZ207" i="12"/>
  <c r="BD207" i="12" s="1"/>
  <c r="AZ208" i="12"/>
  <c r="BD208" i="12" s="1"/>
  <c r="AZ209" i="12"/>
  <c r="BD209" i="12" s="1"/>
  <c r="AZ210" i="12"/>
  <c r="AZ211" i="12"/>
  <c r="BD211" i="12" s="1"/>
  <c r="AZ212" i="12"/>
  <c r="BD212" i="12" s="1"/>
  <c r="AZ213" i="12"/>
  <c r="BD213" i="12" s="1"/>
  <c r="AZ214" i="12"/>
  <c r="BD214" i="12" s="1"/>
  <c r="AZ215" i="12"/>
  <c r="BD215" i="12" s="1"/>
  <c r="AZ216" i="12"/>
  <c r="BD216" i="12" s="1"/>
  <c r="AZ217" i="12"/>
  <c r="BD217" i="12" s="1"/>
  <c r="AZ218" i="12"/>
  <c r="AZ219" i="12"/>
  <c r="BD219" i="12" s="1"/>
  <c r="AZ220" i="12"/>
  <c r="BD220" i="12" s="1"/>
  <c r="AZ221" i="12"/>
  <c r="BD221" i="12" s="1"/>
  <c r="AZ222" i="12"/>
  <c r="BD222" i="12" s="1"/>
  <c r="AZ223" i="12"/>
  <c r="BD223" i="12" s="1"/>
  <c r="AZ224" i="12"/>
  <c r="BD224" i="12" s="1"/>
  <c r="AZ225" i="12"/>
  <c r="BD225" i="12" s="1"/>
  <c r="AZ226" i="12"/>
  <c r="AZ227" i="12"/>
  <c r="BD227" i="12" s="1"/>
  <c r="AZ228" i="12"/>
  <c r="BD228" i="12" s="1"/>
  <c r="AZ229" i="12"/>
  <c r="BD229" i="12" s="1"/>
  <c r="AZ230" i="12"/>
  <c r="BD230" i="12" s="1"/>
  <c r="AZ231" i="12"/>
  <c r="BD231" i="12" s="1"/>
  <c r="AZ232" i="12"/>
  <c r="BD232" i="12" s="1"/>
  <c r="AZ233" i="12"/>
  <c r="BD233" i="12" s="1"/>
  <c r="AZ234" i="12"/>
  <c r="AZ235" i="12"/>
  <c r="BD235" i="12" s="1"/>
  <c r="AZ236" i="12"/>
  <c r="BD236" i="12" s="1"/>
  <c r="AZ237" i="12"/>
  <c r="BD237" i="12" s="1"/>
  <c r="AZ238" i="12"/>
  <c r="BD238" i="12" s="1"/>
  <c r="AZ239" i="12"/>
  <c r="BD239" i="12" s="1"/>
  <c r="AZ240" i="12"/>
  <c r="BD240" i="12" s="1"/>
  <c r="AZ241" i="12"/>
  <c r="BD241" i="12" s="1"/>
  <c r="AZ242" i="12"/>
  <c r="AZ243" i="12"/>
  <c r="BD243" i="12" s="1"/>
  <c r="AZ244" i="12"/>
  <c r="BD244" i="12" s="1"/>
  <c r="AZ245" i="12"/>
  <c r="BD245" i="12" s="1"/>
  <c r="AZ246" i="12"/>
  <c r="BD246" i="12" s="1"/>
  <c r="AZ247" i="12"/>
  <c r="BD247" i="12" s="1"/>
  <c r="AZ248" i="12"/>
  <c r="BD248" i="12" s="1"/>
  <c r="AZ249" i="12"/>
  <c r="BD249" i="12" s="1"/>
  <c r="AZ250" i="12"/>
  <c r="AZ251" i="12"/>
  <c r="BD251" i="12" s="1"/>
  <c r="AZ252" i="12"/>
  <c r="BD252" i="12" s="1"/>
  <c r="AZ253" i="12"/>
  <c r="BD253" i="12" s="1"/>
  <c r="AZ254" i="12"/>
  <c r="BD254" i="12" s="1"/>
  <c r="AZ255" i="12"/>
  <c r="BD255" i="12" s="1"/>
  <c r="AZ256" i="12"/>
  <c r="BD256" i="12" s="1"/>
  <c r="AZ257" i="12"/>
  <c r="BD257" i="12" s="1"/>
  <c r="AZ258" i="12"/>
  <c r="AZ259" i="12"/>
  <c r="BD259" i="12" s="1"/>
  <c r="AZ260" i="12"/>
  <c r="BD260" i="12" s="1"/>
  <c r="AZ261" i="12"/>
  <c r="BD261" i="12" s="1"/>
  <c r="AZ262" i="12"/>
  <c r="BD262" i="12" s="1"/>
  <c r="AZ263" i="12"/>
  <c r="BD263" i="12" s="1"/>
  <c r="AZ264" i="12"/>
  <c r="BD264" i="12" s="1"/>
  <c r="AZ265" i="12"/>
  <c r="BD265" i="12" s="1"/>
  <c r="AZ266" i="12"/>
  <c r="AZ267" i="12"/>
  <c r="BD267" i="12" s="1"/>
  <c r="AZ268" i="12"/>
  <c r="BD268" i="12" s="1"/>
  <c r="AZ269" i="12"/>
  <c r="BD269" i="12" s="1"/>
  <c r="AZ270" i="12"/>
  <c r="BD270" i="12" s="1"/>
  <c r="AZ271" i="12"/>
  <c r="BD271" i="12" s="1"/>
  <c r="AZ272" i="12"/>
  <c r="BD272" i="12" s="1"/>
  <c r="AZ273" i="12"/>
  <c r="BD273" i="12" s="1"/>
  <c r="AZ274" i="12"/>
  <c r="AZ275" i="12"/>
  <c r="BD275" i="12" s="1"/>
  <c r="AZ276" i="12"/>
  <c r="BA276" i="12" s="1"/>
  <c r="AZ277" i="12"/>
  <c r="BA277" i="12" s="1"/>
  <c r="AZ278" i="12"/>
  <c r="BA278" i="12" s="1"/>
  <c r="AZ279" i="12"/>
  <c r="BD279" i="12" s="1"/>
  <c r="AZ280" i="12"/>
  <c r="BA280" i="12" s="1"/>
  <c r="AZ281" i="12"/>
  <c r="BD281" i="12" s="1"/>
  <c r="AZ282" i="12"/>
  <c r="AZ283" i="12"/>
  <c r="BD283" i="12" s="1"/>
  <c r="AZ284" i="12"/>
  <c r="BA284" i="12" s="1"/>
  <c r="AZ285" i="12"/>
  <c r="BA285" i="12" s="1"/>
  <c r="AZ286" i="12"/>
  <c r="BA286" i="12" s="1"/>
  <c r="AZ287" i="12"/>
  <c r="BD287" i="12" s="1"/>
  <c r="AZ288" i="12"/>
  <c r="BA288" i="12" s="1"/>
  <c r="AZ289" i="12"/>
  <c r="BD289" i="12" s="1"/>
  <c r="AZ290" i="12"/>
  <c r="AZ291" i="12"/>
  <c r="BD291" i="12" s="1"/>
  <c r="AZ292" i="12"/>
  <c r="BA292" i="12" s="1"/>
  <c r="AZ293" i="12"/>
  <c r="BA293" i="12" s="1"/>
  <c r="AZ294" i="12"/>
  <c r="BA294" i="12" s="1"/>
  <c r="AZ295" i="12"/>
  <c r="BD295" i="12" s="1"/>
  <c r="AZ296" i="12"/>
  <c r="BA296" i="12" s="1"/>
  <c r="AZ297" i="12"/>
  <c r="BD297" i="12" s="1"/>
  <c r="AZ298" i="12"/>
  <c r="AZ299" i="12"/>
  <c r="BD299" i="12" s="1"/>
  <c r="AZ300" i="12"/>
  <c r="BA300" i="12" s="1"/>
  <c r="AZ301" i="12"/>
  <c r="BA301" i="12" s="1"/>
  <c r="AZ302" i="12"/>
  <c r="BA302" i="12" s="1"/>
  <c r="AZ303" i="12"/>
  <c r="BD303" i="12" s="1"/>
  <c r="AZ304" i="12"/>
  <c r="BA304" i="12" s="1"/>
  <c r="AZ305" i="12"/>
  <c r="BD305" i="12" s="1"/>
  <c r="AZ306" i="12"/>
  <c r="AZ307" i="12"/>
  <c r="BD307" i="12" s="1"/>
  <c r="AZ308" i="12"/>
  <c r="BA308" i="12" s="1"/>
  <c r="AZ309" i="12"/>
  <c r="BA309" i="12" s="1"/>
  <c r="AZ310" i="12"/>
  <c r="BA310" i="12" s="1"/>
  <c r="AZ311" i="12"/>
  <c r="BD311" i="12" s="1"/>
  <c r="AZ312" i="12"/>
  <c r="BA312" i="12" s="1"/>
  <c r="AZ313" i="12"/>
  <c r="BD313" i="12" s="1"/>
  <c r="AZ314" i="12"/>
  <c r="AZ315" i="12"/>
  <c r="BD315" i="12" s="1"/>
  <c r="AZ316" i="12"/>
  <c r="BA316" i="12" s="1"/>
  <c r="AZ317" i="12"/>
  <c r="BA317" i="12" s="1"/>
  <c r="AZ318" i="12"/>
  <c r="BA318" i="12" s="1"/>
  <c r="AZ319" i="12"/>
  <c r="BD319" i="12" s="1"/>
  <c r="AZ320" i="12"/>
  <c r="BA320" i="12" s="1"/>
  <c r="AZ321" i="12"/>
  <c r="BD321" i="12" s="1"/>
  <c r="AZ322" i="12"/>
  <c r="AZ323" i="12"/>
  <c r="BD323" i="12" s="1"/>
  <c r="AZ324" i="12"/>
  <c r="BA324" i="12" s="1"/>
  <c r="AZ325" i="12"/>
  <c r="BA325" i="12" s="1"/>
  <c r="AZ326" i="12"/>
  <c r="BA326" i="12" s="1"/>
  <c r="AZ327" i="12"/>
  <c r="BD327" i="12" s="1"/>
  <c r="AZ328" i="12"/>
  <c r="BA328" i="12" s="1"/>
  <c r="AZ329" i="12"/>
  <c r="BD329" i="12" s="1"/>
  <c r="AZ330" i="12"/>
  <c r="AZ331" i="12"/>
  <c r="BD331" i="12" s="1"/>
  <c r="AZ332" i="12"/>
  <c r="BA332" i="12" s="1"/>
  <c r="AZ333" i="12"/>
  <c r="BA333" i="12" s="1"/>
  <c r="AZ334" i="12"/>
  <c r="BA334" i="12" s="1"/>
  <c r="AZ335" i="12"/>
  <c r="BD335" i="12" s="1"/>
  <c r="AZ336" i="12"/>
  <c r="BA336" i="12" s="1"/>
  <c r="AZ337" i="12"/>
  <c r="BD337" i="12" s="1"/>
  <c r="AZ338" i="12"/>
  <c r="AZ339" i="12"/>
  <c r="BD339" i="12" s="1"/>
  <c r="AZ340" i="12"/>
  <c r="BA340" i="12" s="1"/>
  <c r="AZ341" i="12"/>
  <c r="BA341" i="12" s="1"/>
  <c r="AZ342" i="12"/>
  <c r="BA342" i="12" s="1"/>
  <c r="AZ343" i="12"/>
  <c r="BD343" i="12" s="1"/>
  <c r="AZ344" i="12"/>
  <c r="BA344" i="12" s="1"/>
  <c r="AZ345" i="12"/>
  <c r="BD345" i="12" s="1"/>
  <c r="AZ346" i="12"/>
  <c r="AZ347" i="12"/>
  <c r="BD347" i="12" s="1"/>
  <c r="AZ348" i="12"/>
  <c r="BA348" i="12" s="1"/>
  <c r="AZ349" i="12"/>
  <c r="BA349" i="12" s="1"/>
  <c r="AZ350" i="12"/>
  <c r="BA350" i="12" s="1"/>
  <c r="AZ351" i="12"/>
  <c r="BD351" i="12" s="1"/>
  <c r="AZ352" i="12"/>
  <c r="BA352" i="12" s="1"/>
  <c r="AZ353" i="12"/>
  <c r="BD353" i="12" s="1"/>
  <c r="AZ354" i="12"/>
  <c r="AZ355" i="12"/>
  <c r="BD355" i="12" s="1"/>
  <c r="AZ356" i="12"/>
  <c r="BA356" i="12" s="1"/>
  <c r="AZ357" i="12"/>
  <c r="BA357" i="12" s="1"/>
  <c r="AZ358" i="12"/>
  <c r="BA358" i="12" s="1"/>
  <c r="AZ359" i="12"/>
  <c r="BD359" i="12" s="1"/>
  <c r="AZ360" i="12"/>
  <c r="BA360" i="12" s="1"/>
  <c r="AZ361" i="12"/>
  <c r="BD361" i="12" s="1"/>
  <c r="AZ362" i="12"/>
  <c r="AZ363" i="12"/>
  <c r="BD363" i="12" s="1"/>
  <c r="AZ364" i="12"/>
  <c r="BA364" i="12" s="1"/>
  <c r="AZ365" i="12"/>
  <c r="BA365" i="12" s="1"/>
  <c r="AZ366" i="12"/>
  <c r="BA366" i="12" s="1"/>
  <c r="AZ367" i="12"/>
  <c r="BD367" i="12" s="1"/>
  <c r="AZ368" i="12"/>
  <c r="BA368" i="12" s="1"/>
  <c r="AZ369" i="12"/>
  <c r="BD369" i="12" s="1"/>
  <c r="AZ370" i="12"/>
  <c r="AZ371" i="12"/>
  <c r="BD371" i="12" s="1"/>
  <c r="AZ372" i="12"/>
  <c r="BA372" i="12" s="1"/>
  <c r="AZ373" i="12"/>
  <c r="BA373" i="12" s="1"/>
  <c r="AZ374" i="12"/>
  <c r="BA374" i="12" s="1"/>
  <c r="AZ375" i="12"/>
  <c r="BD375" i="12" s="1"/>
  <c r="AZ376" i="12"/>
  <c r="BA376" i="12" s="1"/>
  <c r="AZ377" i="12"/>
  <c r="BD377" i="12" s="1"/>
  <c r="AZ378" i="12"/>
  <c r="AZ379" i="12"/>
  <c r="BD379" i="12" s="1"/>
  <c r="AZ380" i="12"/>
  <c r="BA380" i="12" s="1"/>
  <c r="AZ381" i="12"/>
  <c r="BA381" i="12" s="1"/>
  <c r="AZ382" i="12"/>
  <c r="BA382" i="12" s="1"/>
  <c r="AZ383" i="12"/>
  <c r="BD383" i="12" s="1"/>
  <c r="AZ384" i="12"/>
  <c r="BA384" i="12" s="1"/>
  <c r="AZ385" i="12"/>
  <c r="BD385" i="12" s="1"/>
  <c r="AZ386" i="12"/>
  <c r="AZ387" i="12"/>
  <c r="BD387" i="12" s="1"/>
  <c r="AZ388" i="12"/>
  <c r="BA388" i="12" s="1"/>
  <c r="AZ389" i="12"/>
  <c r="BA389" i="12" s="1"/>
  <c r="AZ390" i="12"/>
  <c r="BA390" i="12" s="1"/>
  <c r="AZ391" i="12"/>
  <c r="BD391" i="12" s="1"/>
  <c r="AZ392" i="12"/>
  <c r="BA392" i="12" s="1"/>
  <c r="AZ393" i="12"/>
  <c r="BD393" i="12" s="1"/>
  <c r="AZ394" i="12"/>
  <c r="AZ395" i="12"/>
  <c r="BD395" i="12" s="1"/>
  <c r="AZ396" i="12"/>
  <c r="BA396" i="12" s="1"/>
  <c r="AZ397" i="12"/>
  <c r="BA397" i="12" s="1"/>
  <c r="AZ398" i="12"/>
  <c r="BA398" i="12" s="1"/>
  <c r="AZ399" i="12"/>
  <c r="BD399" i="12" s="1"/>
  <c r="AZ400" i="12"/>
  <c r="BA400" i="12" s="1"/>
  <c r="AZ401" i="12"/>
  <c r="BD401" i="12" s="1"/>
  <c r="AZ402" i="12"/>
  <c r="AZ403" i="12"/>
  <c r="BD403" i="12" s="1"/>
  <c r="AZ404" i="12"/>
  <c r="BA404" i="12" s="1"/>
  <c r="AZ3" i="12"/>
  <c r="AZ4" i="12"/>
  <c r="AZ5" i="12"/>
  <c r="AZ6" i="12"/>
  <c r="AZ7" i="12"/>
  <c r="AZ8" i="12"/>
  <c r="AZ9" i="12"/>
  <c r="AZ10" i="12"/>
  <c r="AZ11" i="12"/>
  <c r="AZ12" i="12"/>
  <c r="AZ13" i="12"/>
  <c r="AZ14" i="12"/>
  <c r="AZ15" i="12"/>
  <c r="AZ16" i="12"/>
  <c r="AZ17" i="12"/>
  <c r="AZ18" i="12"/>
  <c r="AZ19" i="12"/>
  <c r="AZ20" i="12"/>
  <c r="AZ21" i="12"/>
  <c r="AZ22" i="12"/>
  <c r="AZ23" i="12"/>
  <c r="AZ24" i="12"/>
  <c r="AZ25" i="12"/>
  <c r="AZ26" i="12"/>
  <c r="AZ27" i="12"/>
  <c r="AZ28" i="12"/>
  <c r="AZ29" i="12"/>
  <c r="AZ30" i="12"/>
  <c r="AZ31" i="12"/>
  <c r="AZ32" i="12"/>
  <c r="AZ33" i="12"/>
  <c r="AZ34" i="12"/>
  <c r="AZ35" i="12"/>
  <c r="AZ36" i="12"/>
  <c r="AZ37" i="12"/>
  <c r="AZ38" i="12"/>
  <c r="AZ39" i="12"/>
  <c r="AZ40" i="12"/>
  <c r="AZ41" i="12"/>
  <c r="AZ42" i="12"/>
  <c r="AZ43" i="12"/>
  <c r="AZ44" i="12"/>
  <c r="AZ45" i="12"/>
  <c r="AZ46" i="12"/>
  <c r="AZ47" i="12"/>
  <c r="AZ48" i="12"/>
  <c r="AZ49" i="12"/>
  <c r="AZ50" i="12"/>
  <c r="AZ51" i="12"/>
  <c r="AZ52" i="12"/>
  <c r="AZ53" i="12"/>
  <c r="AZ54" i="12"/>
  <c r="AZ55" i="12"/>
  <c r="AZ56" i="12"/>
  <c r="AZ57" i="12"/>
  <c r="AZ58" i="12"/>
  <c r="AZ59" i="12"/>
  <c r="AZ60" i="12"/>
  <c r="AZ61" i="12"/>
  <c r="AZ62" i="12"/>
  <c r="AZ63" i="12"/>
  <c r="AZ64" i="12"/>
  <c r="AZ65" i="12"/>
  <c r="AZ66" i="12"/>
  <c r="AZ67" i="12"/>
  <c r="AZ68" i="12"/>
  <c r="AZ69" i="12"/>
  <c r="AZ70" i="12"/>
  <c r="AZ71" i="12"/>
  <c r="AZ72" i="12"/>
  <c r="AZ73" i="12"/>
  <c r="AZ74" i="12"/>
  <c r="AZ75" i="12"/>
  <c r="AZ76" i="12"/>
  <c r="AZ77" i="12"/>
  <c r="AZ78" i="12"/>
  <c r="AZ79" i="12"/>
  <c r="AZ80" i="12"/>
  <c r="AZ81" i="12"/>
  <c r="AZ82" i="12"/>
  <c r="AZ83" i="12"/>
  <c r="AZ84" i="12"/>
  <c r="AZ85" i="12"/>
  <c r="AZ86" i="12"/>
  <c r="AZ87" i="12"/>
  <c r="AZ88" i="12"/>
  <c r="AZ89" i="12"/>
  <c r="AZ90" i="12"/>
  <c r="AZ91" i="12"/>
  <c r="AZ92" i="12"/>
  <c r="AZ93" i="12"/>
  <c r="AZ94" i="12"/>
  <c r="AZ95" i="12"/>
  <c r="AZ96" i="12"/>
  <c r="AZ97" i="12"/>
  <c r="AZ98" i="12"/>
  <c r="AZ99" i="12"/>
  <c r="AZ100" i="12"/>
  <c r="AZ101" i="12"/>
  <c r="AZ102" i="12"/>
  <c r="AZ103" i="12"/>
  <c r="AZ104" i="12"/>
  <c r="AZ105" i="12"/>
  <c r="AZ106" i="12"/>
  <c r="AZ107" i="12"/>
  <c r="AZ108" i="12"/>
  <c r="AZ109" i="12"/>
  <c r="AZ110" i="12"/>
  <c r="AZ111" i="12"/>
  <c r="AZ112" i="12"/>
  <c r="AZ113" i="12"/>
  <c r="AZ114" i="12"/>
  <c r="AZ115" i="12"/>
  <c r="AZ116" i="12"/>
  <c r="AZ117" i="12"/>
  <c r="AZ118" i="12"/>
  <c r="AZ119" i="12"/>
  <c r="AZ120" i="12"/>
  <c r="AZ121" i="12"/>
  <c r="AZ122" i="12"/>
  <c r="AZ123" i="12"/>
  <c r="AZ124" i="12"/>
  <c r="AZ125" i="12"/>
  <c r="AZ126" i="12"/>
  <c r="AZ127" i="12"/>
  <c r="AZ128" i="12"/>
  <c r="AZ129" i="12"/>
  <c r="AZ130" i="12"/>
  <c r="AZ131" i="12"/>
  <c r="AZ132" i="12"/>
  <c r="AZ133" i="12"/>
  <c r="AZ134" i="12"/>
  <c r="AZ135" i="12"/>
  <c r="AZ136" i="12"/>
  <c r="AZ137" i="12"/>
  <c r="AZ138" i="12"/>
  <c r="AZ139" i="12"/>
  <c r="AZ140" i="12"/>
  <c r="AZ141" i="12"/>
  <c r="AZ142" i="12"/>
  <c r="AZ143" i="12"/>
  <c r="AZ144" i="12"/>
  <c r="AZ145" i="12"/>
  <c r="AZ146" i="12"/>
  <c r="AZ147" i="12"/>
  <c r="AZ148" i="12"/>
  <c r="AZ149" i="12"/>
  <c r="AZ150" i="12"/>
  <c r="AZ151" i="12"/>
  <c r="AZ152" i="12"/>
  <c r="AZ153" i="12"/>
  <c r="AZ154" i="12"/>
  <c r="AZ155" i="12"/>
  <c r="AZ156" i="12"/>
  <c r="AZ157" i="12"/>
  <c r="AZ158" i="12"/>
  <c r="AZ159" i="12"/>
  <c r="AZ160" i="12"/>
  <c r="AZ161" i="12"/>
  <c r="AZ162" i="12"/>
  <c r="AZ163" i="12"/>
  <c r="AZ164" i="12"/>
  <c r="AZ165" i="12"/>
  <c r="AZ166" i="12"/>
  <c r="AZ167" i="12"/>
  <c r="AZ168" i="12"/>
  <c r="AZ169" i="12"/>
  <c r="AZ170" i="12"/>
  <c r="AZ171" i="12"/>
  <c r="AZ172" i="12"/>
  <c r="AZ173" i="12"/>
  <c r="AZ174" i="12"/>
  <c r="AZ175" i="12"/>
  <c r="AZ176" i="12"/>
  <c r="AZ177" i="12"/>
  <c r="AZ178" i="12"/>
  <c r="AZ179" i="12"/>
  <c r="AZ180" i="12"/>
  <c r="AZ181" i="12"/>
  <c r="AZ182" i="12"/>
  <c r="AZ183" i="12"/>
  <c r="AZ184" i="12"/>
  <c r="AZ185" i="12"/>
  <c r="AZ186" i="12"/>
  <c r="AZ187" i="12"/>
  <c r="AZ188" i="12"/>
  <c r="AZ189" i="12"/>
  <c r="AZ190" i="12"/>
  <c r="AZ191" i="12"/>
  <c r="AZ2" i="12"/>
  <c r="AX192" i="12"/>
  <c r="AX193" i="12"/>
  <c r="AX194" i="12"/>
  <c r="AX195" i="12"/>
  <c r="AX196" i="12"/>
  <c r="AX197" i="12"/>
  <c r="AX198" i="12"/>
  <c r="AX199" i="12"/>
  <c r="AX200" i="12"/>
  <c r="AX201" i="12"/>
  <c r="AX202" i="12"/>
  <c r="AX203" i="12"/>
  <c r="AX204" i="12"/>
  <c r="AX205" i="12"/>
  <c r="AX206" i="12"/>
  <c r="AX207" i="12"/>
  <c r="AX208" i="12"/>
  <c r="AX209" i="12"/>
  <c r="AX210" i="12"/>
  <c r="AX211" i="12"/>
  <c r="AX212" i="12"/>
  <c r="AX213" i="12"/>
  <c r="AX214" i="12"/>
  <c r="AX215" i="12"/>
  <c r="AX216" i="12"/>
  <c r="AX217" i="12"/>
  <c r="AX218" i="12"/>
  <c r="AX219" i="12"/>
  <c r="AX220" i="12"/>
  <c r="AX221" i="12"/>
  <c r="AX222" i="12"/>
  <c r="AX223" i="12"/>
  <c r="AX224" i="12"/>
  <c r="AX225" i="12"/>
  <c r="AX226" i="12"/>
  <c r="AX227" i="12"/>
  <c r="AX228" i="12"/>
  <c r="AX229" i="12"/>
  <c r="AX230" i="12"/>
  <c r="AX231" i="12"/>
  <c r="AX232" i="12"/>
  <c r="AX233" i="12"/>
  <c r="AX234" i="12"/>
  <c r="AX235" i="12"/>
  <c r="AX236" i="12"/>
  <c r="AX237" i="12"/>
  <c r="AX238" i="12"/>
  <c r="AX239" i="12"/>
  <c r="AX240" i="12"/>
  <c r="AX241" i="12"/>
  <c r="AX242" i="12"/>
  <c r="AX243" i="12"/>
  <c r="AX244" i="12"/>
  <c r="AX245" i="12"/>
  <c r="AX246" i="12"/>
  <c r="AX247" i="12"/>
  <c r="AX248" i="12"/>
  <c r="AX249" i="12"/>
  <c r="AX250" i="12"/>
  <c r="AX251" i="12"/>
  <c r="AX252" i="12"/>
  <c r="AX253" i="12"/>
  <c r="AX254" i="12"/>
  <c r="AX255" i="12"/>
  <c r="AX256" i="12"/>
  <c r="AX257" i="12"/>
  <c r="AX258" i="12"/>
  <c r="AX259" i="12"/>
  <c r="AX260" i="12"/>
  <c r="AX261" i="12"/>
  <c r="AX262" i="12"/>
  <c r="AX263" i="12"/>
  <c r="AX264" i="12"/>
  <c r="AX265" i="12"/>
  <c r="AX266" i="12"/>
  <c r="AX267" i="12"/>
  <c r="AX268" i="12"/>
  <c r="AX269" i="12"/>
  <c r="AX270" i="12"/>
  <c r="AX271" i="12"/>
  <c r="AX272" i="12"/>
  <c r="AX273" i="12"/>
  <c r="AX274" i="12"/>
  <c r="AX275" i="12"/>
  <c r="AX276" i="12"/>
  <c r="AX277" i="12"/>
  <c r="AX278" i="12"/>
  <c r="AX279" i="12"/>
  <c r="AX280" i="12"/>
  <c r="AX281" i="12"/>
  <c r="AX282" i="12"/>
  <c r="AX283" i="12"/>
  <c r="AX284" i="12"/>
  <c r="AX285" i="12"/>
  <c r="AX286" i="12"/>
  <c r="AX287" i="12"/>
  <c r="AX288" i="12"/>
  <c r="AX289" i="12"/>
  <c r="AX290" i="12"/>
  <c r="AX291" i="12"/>
  <c r="AX292" i="12"/>
  <c r="AX293" i="12"/>
  <c r="AX294" i="12"/>
  <c r="AX295" i="12"/>
  <c r="AX296" i="12"/>
  <c r="AX297" i="12"/>
  <c r="AX298" i="12"/>
  <c r="AX299" i="12"/>
  <c r="AX300" i="12"/>
  <c r="AX301" i="12"/>
  <c r="AX302" i="12"/>
  <c r="AX303" i="12"/>
  <c r="AX304" i="12"/>
  <c r="AX305" i="12"/>
  <c r="AX306" i="12"/>
  <c r="AX307" i="12"/>
  <c r="AX308" i="12"/>
  <c r="AX309" i="12"/>
  <c r="AX310" i="12"/>
  <c r="AX311" i="12"/>
  <c r="AX312" i="12"/>
  <c r="AX313" i="12"/>
  <c r="AX314" i="12"/>
  <c r="AX315" i="12"/>
  <c r="AX316" i="12"/>
  <c r="AX317" i="12"/>
  <c r="AX318" i="12"/>
  <c r="AX319" i="12"/>
  <c r="AX320" i="12"/>
  <c r="AX321" i="12"/>
  <c r="AX322" i="12"/>
  <c r="AX323" i="12"/>
  <c r="AX324" i="12"/>
  <c r="AX325" i="12"/>
  <c r="AX326" i="12"/>
  <c r="AX327" i="12"/>
  <c r="AX328" i="12"/>
  <c r="AX329" i="12"/>
  <c r="AX330" i="12"/>
  <c r="AX331" i="12"/>
  <c r="AX332" i="12"/>
  <c r="AX333" i="12"/>
  <c r="AX334" i="12"/>
  <c r="AX335" i="12"/>
  <c r="AX336" i="12"/>
  <c r="AX337" i="12"/>
  <c r="AX338" i="12"/>
  <c r="AX339" i="12"/>
  <c r="AX340" i="12"/>
  <c r="AX341" i="12"/>
  <c r="AX342" i="12"/>
  <c r="AX343" i="12"/>
  <c r="AX344" i="12"/>
  <c r="AX345" i="12"/>
  <c r="AX346" i="12"/>
  <c r="AX347" i="12"/>
  <c r="AX348" i="12"/>
  <c r="AX349" i="12"/>
  <c r="AX350" i="12"/>
  <c r="AX351" i="12"/>
  <c r="AX352" i="12"/>
  <c r="AX353" i="12"/>
  <c r="AX354" i="12"/>
  <c r="AX355" i="12"/>
  <c r="AX356" i="12"/>
  <c r="AX357" i="12"/>
  <c r="AX358" i="12"/>
  <c r="AX359" i="12"/>
  <c r="AX360" i="12"/>
  <c r="AX361" i="12"/>
  <c r="AX362" i="12"/>
  <c r="AX363" i="12"/>
  <c r="AX364" i="12"/>
  <c r="AX365" i="12"/>
  <c r="AX366" i="12"/>
  <c r="AX367" i="12"/>
  <c r="AX368" i="12"/>
  <c r="AX369" i="12"/>
  <c r="AX370" i="12"/>
  <c r="AX371" i="12"/>
  <c r="AX372" i="12"/>
  <c r="AX373" i="12"/>
  <c r="AX374" i="12"/>
  <c r="AX375" i="12"/>
  <c r="AX376" i="12"/>
  <c r="AX377" i="12"/>
  <c r="AX378" i="12"/>
  <c r="AX379" i="12"/>
  <c r="AX380" i="12"/>
  <c r="AX381" i="12"/>
  <c r="AX382" i="12"/>
  <c r="AX383" i="12"/>
  <c r="AX384" i="12"/>
  <c r="AX385" i="12"/>
  <c r="AX386" i="12"/>
  <c r="AX387" i="12"/>
  <c r="AX388" i="12"/>
  <c r="AX389" i="12"/>
  <c r="AX390" i="12"/>
  <c r="AX391" i="12"/>
  <c r="AX392" i="12"/>
  <c r="AX393" i="12"/>
  <c r="AX394" i="12"/>
  <c r="AX395" i="12"/>
  <c r="AX396" i="12"/>
  <c r="AX397" i="12"/>
  <c r="AX398" i="12"/>
  <c r="AX399" i="12"/>
  <c r="AX400" i="12"/>
  <c r="AX401" i="12"/>
  <c r="AX402" i="12"/>
  <c r="AX403" i="12"/>
  <c r="AX404" i="12"/>
  <c r="AW192" i="12"/>
  <c r="AW193" i="12"/>
  <c r="AW194" i="12"/>
  <c r="AW195" i="12"/>
  <c r="AW196" i="12"/>
  <c r="AW197" i="12"/>
  <c r="AW198" i="12"/>
  <c r="AW199" i="12"/>
  <c r="AW200" i="12"/>
  <c r="AW201" i="12"/>
  <c r="AW202" i="12"/>
  <c r="AW203" i="12"/>
  <c r="AW204" i="12"/>
  <c r="AW205" i="12"/>
  <c r="AW206" i="12"/>
  <c r="AW207" i="12"/>
  <c r="AW208" i="12"/>
  <c r="AW209" i="12"/>
  <c r="AW210" i="12"/>
  <c r="AW211" i="12"/>
  <c r="AW212" i="12"/>
  <c r="AW213" i="12"/>
  <c r="AW214" i="12"/>
  <c r="AW215" i="12"/>
  <c r="AW216" i="12"/>
  <c r="AW217" i="12"/>
  <c r="AW218" i="12"/>
  <c r="AW219" i="12"/>
  <c r="AW220" i="12"/>
  <c r="AW221" i="12"/>
  <c r="AW222" i="12"/>
  <c r="AW223" i="12"/>
  <c r="AW224" i="12"/>
  <c r="AW225" i="12"/>
  <c r="AW226" i="12"/>
  <c r="AW227" i="12"/>
  <c r="AW228" i="12"/>
  <c r="AW229" i="12"/>
  <c r="AW230" i="12"/>
  <c r="AW231" i="12"/>
  <c r="AW232" i="12"/>
  <c r="AW233" i="12"/>
  <c r="AW234" i="12"/>
  <c r="AW235" i="12"/>
  <c r="AW236" i="12"/>
  <c r="AW237" i="12"/>
  <c r="AW238" i="12"/>
  <c r="AW239" i="12"/>
  <c r="AW240" i="12"/>
  <c r="AW241" i="12"/>
  <c r="AW242" i="12"/>
  <c r="AW243" i="12"/>
  <c r="AW244" i="12"/>
  <c r="AW245" i="12"/>
  <c r="AW246" i="12"/>
  <c r="AW247" i="12"/>
  <c r="AW248" i="12"/>
  <c r="AW249" i="12"/>
  <c r="AW250" i="12"/>
  <c r="AW251" i="12"/>
  <c r="AW252" i="12"/>
  <c r="AW253" i="12"/>
  <c r="AW254" i="12"/>
  <c r="AW255" i="12"/>
  <c r="AW256" i="12"/>
  <c r="AW257" i="12"/>
  <c r="AW258" i="12"/>
  <c r="AW259" i="12"/>
  <c r="AW260" i="12"/>
  <c r="AW261" i="12"/>
  <c r="AW262" i="12"/>
  <c r="AW263" i="12"/>
  <c r="AW264" i="12"/>
  <c r="AW265" i="12"/>
  <c r="AW266" i="12"/>
  <c r="AW267" i="12"/>
  <c r="AW268" i="12"/>
  <c r="AW269" i="12"/>
  <c r="AW270" i="12"/>
  <c r="AW271" i="12"/>
  <c r="AW272" i="12"/>
  <c r="AW273" i="12"/>
  <c r="AW274" i="12"/>
  <c r="AW275" i="12"/>
  <c r="AW276" i="12"/>
  <c r="AW277" i="12"/>
  <c r="AW278" i="12"/>
  <c r="AW279" i="12"/>
  <c r="AW280" i="12"/>
  <c r="AW281" i="12"/>
  <c r="AW282" i="12"/>
  <c r="AW283" i="12"/>
  <c r="AW284" i="12"/>
  <c r="AW285" i="12"/>
  <c r="AW286" i="12"/>
  <c r="AW287" i="12"/>
  <c r="AW288" i="12"/>
  <c r="AW289" i="12"/>
  <c r="AW290" i="12"/>
  <c r="AW291" i="12"/>
  <c r="AW292" i="12"/>
  <c r="AW293" i="12"/>
  <c r="AW294" i="12"/>
  <c r="AW295" i="12"/>
  <c r="AW296" i="12"/>
  <c r="AW297" i="12"/>
  <c r="AW298" i="12"/>
  <c r="AW299" i="12"/>
  <c r="AW300" i="12"/>
  <c r="AW301" i="12"/>
  <c r="AW302" i="12"/>
  <c r="AW303" i="12"/>
  <c r="AW304" i="12"/>
  <c r="AW305" i="12"/>
  <c r="AW306" i="12"/>
  <c r="AW307" i="12"/>
  <c r="AW308" i="12"/>
  <c r="AW309" i="12"/>
  <c r="AW310" i="12"/>
  <c r="AW311" i="12"/>
  <c r="AW312" i="12"/>
  <c r="AW313" i="12"/>
  <c r="AW314" i="12"/>
  <c r="AW315" i="12"/>
  <c r="AW316" i="12"/>
  <c r="AW317" i="12"/>
  <c r="AW318" i="12"/>
  <c r="AW319" i="12"/>
  <c r="AW320" i="12"/>
  <c r="AW321" i="12"/>
  <c r="AW322" i="12"/>
  <c r="AW323" i="12"/>
  <c r="AW324" i="12"/>
  <c r="AW325" i="12"/>
  <c r="AW326" i="12"/>
  <c r="AW327" i="12"/>
  <c r="AW328" i="12"/>
  <c r="AW329" i="12"/>
  <c r="AW330" i="12"/>
  <c r="AW331" i="12"/>
  <c r="AW332" i="12"/>
  <c r="AW333" i="12"/>
  <c r="AW334" i="12"/>
  <c r="AW335" i="12"/>
  <c r="AW336" i="12"/>
  <c r="AW337" i="12"/>
  <c r="AW338" i="12"/>
  <c r="AW339" i="12"/>
  <c r="AW340" i="12"/>
  <c r="AW341" i="12"/>
  <c r="AW342" i="12"/>
  <c r="AW343" i="12"/>
  <c r="AW344" i="12"/>
  <c r="AW345" i="12"/>
  <c r="AW346" i="12"/>
  <c r="AW347" i="12"/>
  <c r="AW348" i="12"/>
  <c r="AW349" i="12"/>
  <c r="AW350" i="12"/>
  <c r="AW351" i="12"/>
  <c r="AW352" i="12"/>
  <c r="AW353" i="12"/>
  <c r="AW354" i="12"/>
  <c r="AW355" i="12"/>
  <c r="AW356" i="12"/>
  <c r="AW357" i="12"/>
  <c r="AW358" i="12"/>
  <c r="AW359" i="12"/>
  <c r="AW360" i="12"/>
  <c r="AW361" i="12"/>
  <c r="AW362" i="12"/>
  <c r="AW363" i="12"/>
  <c r="AW364" i="12"/>
  <c r="AW365" i="12"/>
  <c r="AW366" i="12"/>
  <c r="AW367" i="12"/>
  <c r="AW368" i="12"/>
  <c r="AW369" i="12"/>
  <c r="AW370" i="12"/>
  <c r="AW371" i="12"/>
  <c r="AW372" i="12"/>
  <c r="AW373" i="12"/>
  <c r="AW374" i="12"/>
  <c r="AW375" i="12"/>
  <c r="AW376" i="12"/>
  <c r="AW377" i="12"/>
  <c r="AW378" i="12"/>
  <c r="AW379" i="12"/>
  <c r="AW380" i="12"/>
  <c r="AW381" i="12"/>
  <c r="AW382" i="12"/>
  <c r="AW383" i="12"/>
  <c r="AW384" i="12"/>
  <c r="AW385" i="12"/>
  <c r="AW386" i="12"/>
  <c r="AW387" i="12"/>
  <c r="AW388" i="12"/>
  <c r="AW389" i="12"/>
  <c r="AW390" i="12"/>
  <c r="AW391" i="12"/>
  <c r="AW392" i="12"/>
  <c r="AW393" i="12"/>
  <c r="AW394" i="12"/>
  <c r="AW395" i="12"/>
  <c r="AW396" i="12"/>
  <c r="AW397" i="12"/>
  <c r="AW398" i="12"/>
  <c r="AW399" i="12"/>
  <c r="AW400" i="12"/>
  <c r="AW401" i="12"/>
  <c r="AW402" i="12"/>
  <c r="AW403" i="12"/>
  <c r="AW404" i="12"/>
  <c r="AU192" i="12"/>
  <c r="AY192" i="12" s="1"/>
  <c r="AU193" i="12"/>
  <c r="AV193" i="12" s="1"/>
  <c r="AU194" i="12"/>
  <c r="AY194" i="12" s="1"/>
  <c r="AU195" i="12"/>
  <c r="AU196" i="12"/>
  <c r="AY196" i="12" s="1"/>
  <c r="AU197" i="12"/>
  <c r="AU198" i="12"/>
  <c r="AU199" i="12"/>
  <c r="AU200" i="12"/>
  <c r="AY200" i="12" s="1"/>
  <c r="AU201" i="12"/>
  <c r="AV201" i="12" s="1"/>
  <c r="AU202" i="12"/>
  <c r="AY202" i="12" s="1"/>
  <c r="AU203" i="12"/>
  <c r="AU204" i="12"/>
  <c r="AY204" i="12" s="1"/>
  <c r="AU205" i="12"/>
  <c r="AU206" i="12"/>
  <c r="AU207" i="12"/>
  <c r="AV207" i="12" s="1"/>
  <c r="AU208" i="12"/>
  <c r="AY208" i="12" s="1"/>
  <c r="AU209" i="12"/>
  <c r="AV209" i="12" s="1"/>
  <c r="AU210" i="12"/>
  <c r="AY210" i="12" s="1"/>
  <c r="AU211" i="12"/>
  <c r="AU212" i="12"/>
  <c r="AY212" i="12" s="1"/>
  <c r="AU213" i="12"/>
  <c r="AU214" i="12"/>
  <c r="AU215" i="12"/>
  <c r="AU216" i="12"/>
  <c r="AY216" i="12" s="1"/>
  <c r="AU217" i="12"/>
  <c r="AV217" i="12" s="1"/>
  <c r="AU218" i="12"/>
  <c r="AY218" i="12" s="1"/>
  <c r="AU219" i="12"/>
  <c r="AU220" i="12"/>
  <c r="AY220" i="12" s="1"/>
  <c r="AU221" i="12"/>
  <c r="AU222" i="12"/>
  <c r="AU223" i="12"/>
  <c r="AU224" i="12"/>
  <c r="AY224" i="12" s="1"/>
  <c r="AU225" i="12"/>
  <c r="AV225" i="12" s="1"/>
  <c r="AU226" i="12"/>
  <c r="AY226" i="12" s="1"/>
  <c r="AU227" i="12"/>
  <c r="AU228" i="12"/>
  <c r="AY228" i="12" s="1"/>
  <c r="AU229" i="12"/>
  <c r="AU230" i="12"/>
  <c r="AU231" i="12"/>
  <c r="AU232" i="12"/>
  <c r="AY232" i="12" s="1"/>
  <c r="AU233" i="12"/>
  <c r="AV233" i="12" s="1"/>
  <c r="AU234" i="12"/>
  <c r="AY234" i="12" s="1"/>
  <c r="AU235" i="12"/>
  <c r="AU236" i="12"/>
  <c r="AY236" i="12" s="1"/>
  <c r="AU237" i="12"/>
  <c r="AU238" i="12"/>
  <c r="AU239" i="12"/>
  <c r="AV239" i="12" s="1"/>
  <c r="AU240" i="12"/>
  <c r="AY240" i="12" s="1"/>
  <c r="AU241" i="12"/>
  <c r="AV241" i="12" s="1"/>
  <c r="AU242" i="12"/>
  <c r="AY242" i="12" s="1"/>
  <c r="AU243" i="12"/>
  <c r="AU244" i="12"/>
  <c r="AY244" i="12" s="1"/>
  <c r="AU245" i="12"/>
  <c r="AU246" i="12"/>
  <c r="AU247" i="12"/>
  <c r="AU248" i="12"/>
  <c r="AY248" i="12" s="1"/>
  <c r="AU249" i="12"/>
  <c r="AV249" i="12" s="1"/>
  <c r="AU250" i="12"/>
  <c r="AY250" i="12" s="1"/>
  <c r="AU251" i="12"/>
  <c r="AU252" i="12"/>
  <c r="AY252" i="12" s="1"/>
  <c r="AU253" i="12"/>
  <c r="AU254" i="12"/>
  <c r="AU255" i="12"/>
  <c r="AU256" i="12"/>
  <c r="AY256" i="12" s="1"/>
  <c r="AU257" i="12"/>
  <c r="AV257" i="12" s="1"/>
  <c r="AU258" i="12"/>
  <c r="AY258" i="12" s="1"/>
  <c r="AU259" i="12"/>
  <c r="AU260" i="12"/>
  <c r="AY260" i="12" s="1"/>
  <c r="AU261" i="12"/>
  <c r="AU262" i="12"/>
  <c r="AU263" i="12"/>
  <c r="AU264" i="12"/>
  <c r="AY264" i="12" s="1"/>
  <c r="AU265" i="12"/>
  <c r="AV265" i="12" s="1"/>
  <c r="AU266" i="12"/>
  <c r="AY266" i="12" s="1"/>
  <c r="AU267" i="12"/>
  <c r="AU268" i="12"/>
  <c r="AY268" i="12" s="1"/>
  <c r="AU269" i="12"/>
  <c r="AU270" i="12"/>
  <c r="AU271" i="12"/>
  <c r="AV271" i="12" s="1"/>
  <c r="AU272" i="12"/>
  <c r="AY272" i="12" s="1"/>
  <c r="AU273" i="12"/>
  <c r="AV273" i="12" s="1"/>
  <c r="AU274" i="12"/>
  <c r="AY274" i="12" s="1"/>
  <c r="AU275" i="12"/>
  <c r="AU276" i="12"/>
  <c r="AY276" i="12" s="1"/>
  <c r="AU277" i="12"/>
  <c r="AU278" i="12"/>
  <c r="AU279" i="12"/>
  <c r="AU280" i="12"/>
  <c r="AY280" i="12" s="1"/>
  <c r="AU281" i="12"/>
  <c r="AV281" i="12" s="1"/>
  <c r="AU282" i="12"/>
  <c r="AY282" i="12" s="1"/>
  <c r="AU283" i="12"/>
  <c r="AY283" i="12" s="1"/>
  <c r="AU284" i="12"/>
  <c r="AY284" i="12" s="1"/>
  <c r="AU285" i="12"/>
  <c r="AU286" i="12"/>
  <c r="AU287" i="12"/>
  <c r="AU288" i="12"/>
  <c r="AY288" i="12" s="1"/>
  <c r="AU289" i="12"/>
  <c r="AY289" i="12" s="1"/>
  <c r="AU290" i="12"/>
  <c r="AY290" i="12" s="1"/>
  <c r="AU291" i="12"/>
  <c r="AY291" i="12" s="1"/>
  <c r="AU292" i="12"/>
  <c r="AY292" i="12" s="1"/>
  <c r="AU293" i="12"/>
  <c r="AY293" i="12" s="1"/>
  <c r="AU294" i="12"/>
  <c r="AU295" i="12"/>
  <c r="AU296" i="12"/>
  <c r="AY296" i="12" s="1"/>
  <c r="AU297" i="12"/>
  <c r="AV297" i="12" s="1"/>
  <c r="AU298" i="12"/>
  <c r="AY298" i="12" s="1"/>
  <c r="AU299" i="12"/>
  <c r="AY299" i="12" s="1"/>
  <c r="AU300" i="12"/>
  <c r="AY300" i="12" s="1"/>
  <c r="AU301" i="12"/>
  <c r="AY301" i="12" s="1"/>
  <c r="AU302" i="12"/>
  <c r="AU303" i="12"/>
  <c r="AV303" i="12" s="1"/>
  <c r="AU304" i="12"/>
  <c r="AY304" i="12" s="1"/>
  <c r="AU305" i="12"/>
  <c r="AV305" i="12" s="1"/>
  <c r="AU306" i="12"/>
  <c r="AY306" i="12" s="1"/>
  <c r="AU307" i="12"/>
  <c r="AY307" i="12" s="1"/>
  <c r="AU308" i="12"/>
  <c r="AY308" i="12" s="1"/>
  <c r="AU309" i="12"/>
  <c r="AY309" i="12" s="1"/>
  <c r="AU310" i="12"/>
  <c r="AU311" i="12"/>
  <c r="AU312" i="12"/>
  <c r="AY312" i="12" s="1"/>
  <c r="AU313" i="12"/>
  <c r="AY313" i="12" s="1"/>
  <c r="AU314" i="12"/>
  <c r="AY314" i="12" s="1"/>
  <c r="AU315" i="12"/>
  <c r="AY315" i="12" s="1"/>
  <c r="AU316" i="12"/>
  <c r="AY316" i="12" s="1"/>
  <c r="AU317" i="12"/>
  <c r="AY317" i="12" s="1"/>
  <c r="AU318" i="12"/>
  <c r="AU319" i="12"/>
  <c r="AU320" i="12"/>
  <c r="AY320" i="12" s="1"/>
  <c r="AU321" i="12"/>
  <c r="AY321" i="12" s="1"/>
  <c r="AU322" i="12"/>
  <c r="AY322" i="12" s="1"/>
  <c r="AU323" i="12"/>
  <c r="AY323" i="12" s="1"/>
  <c r="AU324" i="12"/>
  <c r="AY324" i="12" s="1"/>
  <c r="AU325" i="12"/>
  <c r="AY325" i="12" s="1"/>
  <c r="AU326" i="12"/>
  <c r="AU327" i="12"/>
  <c r="AU328" i="12"/>
  <c r="AY328" i="12" s="1"/>
  <c r="AU329" i="12"/>
  <c r="AV329" i="12" s="1"/>
  <c r="AU330" i="12"/>
  <c r="AY330" i="12" s="1"/>
  <c r="AU331" i="12"/>
  <c r="AY331" i="12" s="1"/>
  <c r="AU332" i="12"/>
  <c r="AY332" i="12" s="1"/>
  <c r="AU333" i="12"/>
  <c r="AY333" i="12" s="1"/>
  <c r="AU334" i="12"/>
  <c r="AU335" i="12"/>
  <c r="AV335" i="12" s="1"/>
  <c r="AU336" i="12"/>
  <c r="AY336" i="12" s="1"/>
  <c r="AU337" i="12"/>
  <c r="AV337" i="12" s="1"/>
  <c r="AU338" i="12"/>
  <c r="AY338" i="12" s="1"/>
  <c r="AU339" i="12"/>
  <c r="AY339" i="12" s="1"/>
  <c r="AU340" i="12"/>
  <c r="AY340" i="12" s="1"/>
  <c r="AU341" i="12"/>
  <c r="AY341" i="12" s="1"/>
  <c r="AU342" i="12"/>
  <c r="AU343" i="12"/>
  <c r="AU344" i="12"/>
  <c r="AY344" i="12" s="1"/>
  <c r="AU345" i="12"/>
  <c r="AY345" i="12" s="1"/>
  <c r="AU346" i="12"/>
  <c r="AY346" i="12" s="1"/>
  <c r="AU347" i="12"/>
  <c r="AY347" i="12" s="1"/>
  <c r="AU348" i="12"/>
  <c r="AY348" i="12" s="1"/>
  <c r="AU349" i="12"/>
  <c r="AY349" i="12" s="1"/>
  <c r="AU350" i="12"/>
  <c r="AU351" i="12"/>
  <c r="AU352" i="12"/>
  <c r="AY352" i="12" s="1"/>
  <c r="AU353" i="12"/>
  <c r="AV353" i="12" s="1"/>
  <c r="AU354" i="12"/>
  <c r="AY354" i="12" s="1"/>
  <c r="AU355" i="12"/>
  <c r="AV355" i="12" s="1"/>
  <c r="AU356" i="12"/>
  <c r="AY356" i="12" s="1"/>
  <c r="AU357" i="12"/>
  <c r="AY357" i="12" s="1"/>
  <c r="AU358" i="12"/>
  <c r="AU359" i="12"/>
  <c r="AU360" i="12"/>
  <c r="AY360" i="12" s="1"/>
  <c r="AU361" i="12"/>
  <c r="AY361" i="12" s="1"/>
  <c r="AU362" i="12"/>
  <c r="AY362" i="12" s="1"/>
  <c r="AU363" i="12"/>
  <c r="AY363" i="12" s="1"/>
  <c r="AU364" i="12"/>
  <c r="AY364" i="12" s="1"/>
  <c r="AU365" i="12"/>
  <c r="AY365" i="12" s="1"/>
  <c r="AU366" i="12"/>
  <c r="AU367" i="12"/>
  <c r="AU368" i="12"/>
  <c r="AY368" i="12" s="1"/>
  <c r="AU369" i="12"/>
  <c r="AY369" i="12" s="1"/>
  <c r="AU370" i="12"/>
  <c r="AY370" i="12" s="1"/>
  <c r="AU371" i="12"/>
  <c r="AY371" i="12" s="1"/>
  <c r="AU372" i="12"/>
  <c r="AY372" i="12" s="1"/>
  <c r="AU373" i="12"/>
  <c r="AY373" i="12" s="1"/>
  <c r="AU374" i="12"/>
  <c r="AU375" i="12"/>
  <c r="AU376" i="12"/>
  <c r="AY376" i="12" s="1"/>
  <c r="AU377" i="12"/>
  <c r="AV377" i="12" s="1"/>
  <c r="AU378" i="12"/>
  <c r="AY378" i="12" s="1"/>
  <c r="AU379" i="12"/>
  <c r="AV379" i="12" s="1"/>
  <c r="AU380" i="12"/>
  <c r="AY380" i="12" s="1"/>
  <c r="AU381" i="12"/>
  <c r="AY381" i="12" s="1"/>
  <c r="AU382" i="12"/>
  <c r="AU383" i="12"/>
  <c r="AU384" i="12"/>
  <c r="AY384" i="12" s="1"/>
  <c r="AU385" i="12"/>
  <c r="AY385" i="12" s="1"/>
  <c r="AU386" i="12"/>
  <c r="AY386" i="12" s="1"/>
  <c r="AU387" i="12"/>
  <c r="AY387" i="12" s="1"/>
  <c r="AU388" i="12"/>
  <c r="AY388" i="12" s="1"/>
  <c r="AU389" i="12"/>
  <c r="AY389" i="12" s="1"/>
  <c r="AU390" i="12"/>
  <c r="AU391" i="12"/>
  <c r="AU392" i="12"/>
  <c r="AY392" i="12" s="1"/>
  <c r="AU393" i="12"/>
  <c r="AV393" i="12" s="1"/>
  <c r="AU394" i="12"/>
  <c r="AY394" i="12" s="1"/>
  <c r="AU395" i="12"/>
  <c r="AY395" i="12" s="1"/>
  <c r="AU396" i="12"/>
  <c r="AY396" i="12" s="1"/>
  <c r="AU397" i="12"/>
  <c r="AY397" i="12" s="1"/>
  <c r="AU398" i="12"/>
  <c r="AU399" i="12"/>
  <c r="AV399" i="12" s="1"/>
  <c r="AU400" i="12"/>
  <c r="AY400" i="12" s="1"/>
  <c r="AU401" i="12"/>
  <c r="AV401" i="12" s="1"/>
  <c r="AU402" i="12"/>
  <c r="AY402" i="12" s="1"/>
  <c r="AU403" i="12"/>
  <c r="AY403" i="12" s="1"/>
  <c r="AU404" i="12"/>
  <c r="AY404" i="12" s="1"/>
  <c r="AU3" i="12"/>
  <c r="AU4" i="12"/>
  <c r="AU5" i="12"/>
  <c r="AU6" i="12"/>
  <c r="AU7" i="12"/>
  <c r="AU8" i="12"/>
  <c r="AU9" i="12"/>
  <c r="AU10" i="12"/>
  <c r="AU11" i="12"/>
  <c r="AU12" i="12"/>
  <c r="AU13" i="12"/>
  <c r="AU14" i="12"/>
  <c r="AU15" i="12"/>
  <c r="AU16" i="12"/>
  <c r="AU17" i="12"/>
  <c r="AU18" i="12"/>
  <c r="AU19" i="12"/>
  <c r="AU20" i="12"/>
  <c r="AU21" i="12"/>
  <c r="AU22" i="12"/>
  <c r="AU23" i="12"/>
  <c r="AU24" i="12"/>
  <c r="AU25" i="12"/>
  <c r="AU26" i="12"/>
  <c r="AU27" i="12"/>
  <c r="AU28" i="12"/>
  <c r="AU29" i="12"/>
  <c r="AU30" i="12"/>
  <c r="AU31" i="12"/>
  <c r="AU32" i="12"/>
  <c r="AU33" i="12"/>
  <c r="AU34" i="12"/>
  <c r="AU35" i="12"/>
  <c r="AU36" i="12"/>
  <c r="AU37" i="12"/>
  <c r="AU38" i="12"/>
  <c r="AU39" i="12"/>
  <c r="AU40" i="12"/>
  <c r="AU41" i="12"/>
  <c r="AU42" i="12"/>
  <c r="AU43" i="12"/>
  <c r="AU44" i="12"/>
  <c r="AU45" i="12"/>
  <c r="AU46" i="12"/>
  <c r="AU47" i="12"/>
  <c r="AU48" i="12"/>
  <c r="AU49" i="12"/>
  <c r="AU50" i="12"/>
  <c r="AU51" i="12"/>
  <c r="AU52" i="12"/>
  <c r="AU53" i="12"/>
  <c r="AU54" i="12"/>
  <c r="AU55" i="12"/>
  <c r="AU56" i="12"/>
  <c r="AU57" i="12"/>
  <c r="AU58" i="12"/>
  <c r="AU59" i="12"/>
  <c r="AU60" i="12"/>
  <c r="AU61" i="12"/>
  <c r="AU62" i="12"/>
  <c r="AU63" i="12"/>
  <c r="AU64" i="12"/>
  <c r="AU65" i="12"/>
  <c r="AU66" i="12"/>
  <c r="AU67" i="12"/>
  <c r="AU68" i="12"/>
  <c r="AU69" i="12"/>
  <c r="AU70" i="12"/>
  <c r="AU71" i="12"/>
  <c r="AU72" i="12"/>
  <c r="AU73" i="12"/>
  <c r="AU74" i="12"/>
  <c r="AU75" i="12"/>
  <c r="AU76" i="12"/>
  <c r="AU77" i="12"/>
  <c r="AU78" i="12"/>
  <c r="AU79" i="12"/>
  <c r="AU80" i="12"/>
  <c r="AU81" i="12"/>
  <c r="AU82" i="12"/>
  <c r="AU83" i="12"/>
  <c r="AU84" i="12"/>
  <c r="AU85" i="12"/>
  <c r="AU86" i="12"/>
  <c r="AU87" i="12"/>
  <c r="AU88" i="12"/>
  <c r="AU89" i="12"/>
  <c r="AU90" i="12"/>
  <c r="AU91" i="12"/>
  <c r="AU92" i="12"/>
  <c r="AU93" i="12"/>
  <c r="AU94" i="12"/>
  <c r="AU95" i="12"/>
  <c r="AU96" i="12"/>
  <c r="AU97" i="12"/>
  <c r="AU98" i="12"/>
  <c r="AU99" i="12"/>
  <c r="AU100" i="12"/>
  <c r="AU101" i="12"/>
  <c r="AU102" i="12"/>
  <c r="AU103" i="12"/>
  <c r="AU104" i="12"/>
  <c r="AU105" i="12"/>
  <c r="AU106" i="12"/>
  <c r="AU107" i="12"/>
  <c r="AU108" i="12"/>
  <c r="AU109" i="12"/>
  <c r="AU110" i="12"/>
  <c r="AU111" i="12"/>
  <c r="AU112" i="12"/>
  <c r="AU113" i="12"/>
  <c r="AU114" i="12"/>
  <c r="AU115" i="12"/>
  <c r="AU116" i="12"/>
  <c r="AU117" i="12"/>
  <c r="AU118" i="12"/>
  <c r="AU119" i="12"/>
  <c r="AU120" i="12"/>
  <c r="AU121" i="12"/>
  <c r="AU122" i="12"/>
  <c r="AU123" i="12"/>
  <c r="AU124" i="12"/>
  <c r="AU125" i="12"/>
  <c r="AU126" i="12"/>
  <c r="AU127" i="12"/>
  <c r="AU128" i="12"/>
  <c r="AU129" i="12"/>
  <c r="AU130" i="12"/>
  <c r="AU131" i="12"/>
  <c r="AU132" i="12"/>
  <c r="AU133" i="12"/>
  <c r="AU134" i="12"/>
  <c r="AU135" i="12"/>
  <c r="AU136" i="12"/>
  <c r="AU137" i="12"/>
  <c r="AU138" i="12"/>
  <c r="AU139" i="12"/>
  <c r="AU140" i="12"/>
  <c r="AU141" i="12"/>
  <c r="AU142" i="12"/>
  <c r="AU143" i="12"/>
  <c r="AU144" i="12"/>
  <c r="AU145" i="12"/>
  <c r="AU146" i="12"/>
  <c r="AU147" i="12"/>
  <c r="AU148" i="12"/>
  <c r="AU149" i="12"/>
  <c r="AU150" i="12"/>
  <c r="AU151" i="12"/>
  <c r="AU152" i="12"/>
  <c r="AU153" i="12"/>
  <c r="AU154" i="12"/>
  <c r="AU155" i="12"/>
  <c r="AU156" i="12"/>
  <c r="AU157" i="12"/>
  <c r="AU158" i="12"/>
  <c r="AU159" i="12"/>
  <c r="AU160" i="12"/>
  <c r="AU161" i="12"/>
  <c r="AU162" i="12"/>
  <c r="AU163" i="12"/>
  <c r="AU164" i="12"/>
  <c r="AU165" i="12"/>
  <c r="AU166" i="12"/>
  <c r="AU167" i="12"/>
  <c r="AU168" i="12"/>
  <c r="AU169" i="12"/>
  <c r="AU170" i="12"/>
  <c r="AU171" i="12"/>
  <c r="AU172" i="12"/>
  <c r="AU173" i="12"/>
  <c r="AU174" i="12"/>
  <c r="AU175" i="12"/>
  <c r="AU176" i="12"/>
  <c r="AU177" i="12"/>
  <c r="AU178" i="12"/>
  <c r="AU179" i="12"/>
  <c r="AU180" i="12"/>
  <c r="AU181" i="12"/>
  <c r="AU182" i="12"/>
  <c r="AU183" i="12"/>
  <c r="AU184" i="12"/>
  <c r="AU185" i="12"/>
  <c r="AU186" i="12"/>
  <c r="AU187" i="12"/>
  <c r="AU188" i="12"/>
  <c r="AU189" i="12"/>
  <c r="AU190" i="12"/>
  <c r="AU191" i="12"/>
  <c r="AU2" i="12"/>
  <c r="AS192" i="12"/>
  <c r="AS193" i="12"/>
  <c r="AS194" i="12"/>
  <c r="AS195" i="12"/>
  <c r="AS196" i="12"/>
  <c r="AS197" i="12"/>
  <c r="AS198" i="12"/>
  <c r="AS199" i="12"/>
  <c r="AS200" i="12"/>
  <c r="AS201" i="12"/>
  <c r="AS202" i="12"/>
  <c r="AS203" i="12"/>
  <c r="AS204" i="12"/>
  <c r="AS205" i="12"/>
  <c r="AS206" i="12"/>
  <c r="AS207" i="12"/>
  <c r="AS208" i="12"/>
  <c r="AS209" i="12"/>
  <c r="AS210" i="12"/>
  <c r="AS211" i="12"/>
  <c r="AS212" i="12"/>
  <c r="AS213" i="12"/>
  <c r="AS214" i="12"/>
  <c r="AS215" i="12"/>
  <c r="AS216" i="12"/>
  <c r="AS217" i="12"/>
  <c r="AS218" i="12"/>
  <c r="AS219" i="12"/>
  <c r="AS220" i="12"/>
  <c r="AS221" i="12"/>
  <c r="AS222" i="12"/>
  <c r="AS223" i="12"/>
  <c r="AS224" i="12"/>
  <c r="AS225" i="12"/>
  <c r="AS226" i="12"/>
  <c r="AS227" i="12"/>
  <c r="AS228" i="12"/>
  <c r="AS229" i="12"/>
  <c r="AS230" i="12"/>
  <c r="AS231" i="12"/>
  <c r="AS232" i="12"/>
  <c r="AS233" i="12"/>
  <c r="AS234" i="12"/>
  <c r="AS235" i="12"/>
  <c r="AS236" i="12"/>
  <c r="AS237" i="12"/>
  <c r="AS238" i="12"/>
  <c r="AS239" i="12"/>
  <c r="AS240" i="12"/>
  <c r="AS241" i="12"/>
  <c r="AS242" i="12"/>
  <c r="AS243" i="12"/>
  <c r="AS244" i="12"/>
  <c r="AS245" i="12"/>
  <c r="AS246" i="12"/>
  <c r="AS247" i="12"/>
  <c r="AS248" i="12"/>
  <c r="AS249" i="12"/>
  <c r="AS250" i="12"/>
  <c r="AS251" i="12"/>
  <c r="AS252" i="12"/>
  <c r="AS253" i="12"/>
  <c r="AS254" i="12"/>
  <c r="AS255" i="12"/>
  <c r="AS256" i="12"/>
  <c r="AS257" i="12"/>
  <c r="AS258" i="12"/>
  <c r="AS259" i="12"/>
  <c r="AS260" i="12"/>
  <c r="AS261" i="12"/>
  <c r="AS262" i="12"/>
  <c r="AS263" i="12"/>
  <c r="AS264" i="12"/>
  <c r="AS265" i="12"/>
  <c r="AS266" i="12"/>
  <c r="AS267" i="12"/>
  <c r="AS268" i="12"/>
  <c r="AS269" i="12"/>
  <c r="AS270" i="12"/>
  <c r="AS271" i="12"/>
  <c r="AS272" i="12"/>
  <c r="AS273" i="12"/>
  <c r="AS274" i="12"/>
  <c r="AS275" i="12"/>
  <c r="AS276" i="12"/>
  <c r="AS277" i="12"/>
  <c r="AS278" i="12"/>
  <c r="AS279" i="12"/>
  <c r="AS280" i="12"/>
  <c r="AS281" i="12"/>
  <c r="AS282" i="12"/>
  <c r="AS283" i="12"/>
  <c r="AS284" i="12"/>
  <c r="AS285" i="12"/>
  <c r="AS286" i="12"/>
  <c r="AS287" i="12"/>
  <c r="AS288" i="12"/>
  <c r="AS289" i="12"/>
  <c r="AS290" i="12"/>
  <c r="AS291" i="12"/>
  <c r="AS292" i="12"/>
  <c r="AS293" i="12"/>
  <c r="AS294" i="12"/>
  <c r="AS295" i="12"/>
  <c r="AS296" i="12"/>
  <c r="AS297" i="12"/>
  <c r="AS298" i="12"/>
  <c r="AS299" i="12"/>
  <c r="AS300" i="12"/>
  <c r="AS301" i="12"/>
  <c r="AS302" i="12"/>
  <c r="AS303" i="12"/>
  <c r="AS304" i="12"/>
  <c r="AS305" i="12"/>
  <c r="AS306" i="12"/>
  <c r="AS307" i="12"/>
  <c r="AS308" i="12"/>
  <c r="AS309" i="12"/>
  <c r="AS310" i="12"/>
  <c r="AS311" i="12"/>
  <c r="AS312" i="12"/>
  <c r="AS313" i="12"/>
  <c r="AS314" i="12"/>
  <c r="AS315" i="12"/>
  <c r="AS316" i="12"/>
  <c r="AS317" i="12"/>
  <c r="AS318" i="12"/>
  <c r="AS319" i="12"/>
  <c r="AS320" i="12"/>
  <c r="AS321" i="12"/>
  <c r="AS322" i="12"/>
  <c r="AS323" i="12"/>
  <c r="AS324" i="12"/>
  <c r="AS325" i="12"/>
  <c r="AS326" i="12"/>
  <c r="AS327" i="12"/>
  <c r="AS328" i="12"/>
  <c r="AS329" i="12"/>
  <c r="AS330" i="12"/>
  <c r="AS331" i="12"/>
  <c r="AS332" i="12"/>
  <c r="AS333" i="12"/>
  <c r="AS334" i="12"/>
  <c r="AS335" i="12"/>
  <c r="AS336" i="12"/>
  <c r="AS337" i="12"/>
  <c r="AS338" i="12"/>
  <c r="AS339" i="12"/>
  <c r="AS340" i="12"/>
  <c r="AS341" i="12"/>
  <c r="AS342" i="12"/>
  <c r="AS343" i="12"/>
  <c r="AS344" i="12"/>
  <c r="AS345" i="12"/>
  <c r="AS346" i="12"/>
  <c r="AS347" i="12"/>
  <c r="AS348" i="12"/>
  <c r="AS349" i="12"/>
  <c r="AS350" i="12"/>
  <c r="AS351" i="12"/>
  <c r="AS352" i="12"/>
  <c r="AS353" i="12"/>
  <c r="AS354" i="12"/>
  <c r="AS355" i="12"/>
  <c r="AS356" i="12"/>
  <c r="AS357" i="12"/>
  <c r="AS358" i="12"/>
  <c r="AS359" i="12"/>
  <c r="AS360" i="12"/>
  <c r="AS361" i="12"/>
  <c r="AS362" i="12"/>
  <c r="AS363" i="12"/>
  <c r="AS364" i="12"/>
  <c r="AS365" i="12"/>
  <c r="AS366" i="12"/>
  <c r="AS367" i="12"/>
  <c r="AS368" i="12"/>
  <c r="AS369" i="12"/>
  <c r="AS370" i="12"/>
  <c r="AS371" i="12"/>
  <c r="AS372" i="12"/>
  <c r="AS373" i="12"/>
  <c r="AS374" i="12"/>
  <c r="AS375" i="12"/>
  <c r="AS376" i="12"/>
  <c r="AS377" i="12"/>
  <c r="AS378" i="12"/>
  <c r="AS379" i="12"/>
  <c r="AS380" i="12"/>
  <c r="AS381" i="12"/>
  <c r="AS382" i="12"/>
  <c r="AS383" i="12"/>
  <c r="AS384" i="12"/>
  <c r="AS385" i="12"/>
  <c r="AS386" i="12"/>
  <c r="AS387" i="12"/>
  <c r="AS388" i="12"/>
  <c r="AS389" i="12"/>
  <c r="AS390" i="12"/>
  <c r="AS391" i="12"/>
  <c r="AS392" i="12"/>
  <c r="AS393" i="12"/>
  <c r="AS394" i="12"/>
  <c r="AS395" i="12"/>
  <c r="AS396" i="12"/>
  <c r="AS397" i="12"/>
  <c r="AS398" i="12"/>
  <c r="AS399" i="12"/>
  <c r="AS400" i="12"/>
  <c r="AS401" i="12"/>
  <c r="AS402" i="12"/>
  <c r="AS403" i="12"/>
  <c r="AS404" i="12"/>
  <c r="AR192" i="12"/>
  <c r="AR193" i="12"/>
  <c r="AR194" i="12"/>
  <c r="AR195" i="12"/>
  <c r="AR196" i="12"/>
  <c r="AR197" i="12"/>
  <c r="AR198" i="12"/>
  <c r="AR199" i="12"/>
  <c r="AR200" i="12"/>
  <c r="AR201" i="12"/>
  <c r="AR202" i="12"/>
  <c r="AR203" i="12"/>
  <c r="AR204" i="12"/>
  <c r="AR205" i="12"/>
  <c r="AR206" i="12"/>
  <c r="AR207" i="12"/>
  <c r="AR208" i="12"/>
  <c r="AR209" i="12"/>
  <c r="AR210" i="12"/>
  <c r="AR211" i="12"/>
  <c r="AR212" i="12"/>
  <c r="AR213" i="12"/>
  <c r="AR214" i="12"/>
  <c r="AR215" i="12"/>
  <c r="AR216" i="12"/>
  <c r="AR217" i="12"/>
  <c r="AR218" i="12"/>
  <c r="AR219" i="12"/>
  <c r="AR220" i="12"/>
  <c r="AR221" i="12"/>
  <c r="AR222" i="12"/>
  <c r="AR223" i="12"/>
  <c r="AR224" i="12"/>
  <c r="AR225" i="12"/>
  <c r="AR226" i="12"/>
  <c r="AR227" i="12"/>
  <c r="AR228" i="12"/>
  <c r="AR229" i="12"/>
  <c r="AR230" i="12"/>
  <c r="AR231" i="12"/>
  <c r="AR232" i="12"/>
  <c r="AR233" i="12"/>
  <c r="AR234" i="12"/>
  <c r="AR235" i="12"/>
  <c r="AR236" i="12"/>
  <c r="AR237" i="12"/>
  <c r="AR238" i="12"/>
  <c r="AR239" i="12"/>
  <c r="AR240" i="12"/>
  <c r="AR241" i="12"/>
  <c r="AR242" i="12"/>
  <c r="AR243" i="12"/>
  <c r="AR244" i="12"/>
  <c r="AR245" i="12"/>
  <c r="AR246" i="12"/>
  <c r="AR247" i="12"/>
  <c r="AR248" i="12"/>
  <c r="AR249" i="12"/>
  <c r="AR250" i="12"/>
  <c r="AR251" i="12"/>
  <c r="AR252" i="12"/>
  <c r="AR253" i="12"/>
  <c r="AR254" i="12"/>
  <c r="AR255" i="12"/>
  <c r="AR256" i="12"/>
  <c r="AR257" i="12"/>
  <c r="AR258" i="12"/>
  <c r="AR259" i="12"/>
  <c r="AR260" i="12"/>
  <c r="AR261" i="12"/>
  <c r="AR262" i="12"/>
  <c r="AR263" i="12"/>
  <c r="AR264" i="12"/>
  <c r="AR265" i="12"/>
  <c r="AR266" i="12"/>
  <c r="AR267" i="12"/>
  <c r="AR268" i="12"/>
  <c r="AR269" i="12"/>
  <c r="AR270" i="12"/>
  <c r="AR271" i="12"/>
  <c r="AR272" i="12"/>
  <c r="AR273" i="12"/>
  <c r="AR274" i="12"/>
  <c r="AR275" i="12"/>
  <c r="AR276" i="12"/>
  <c r="AR277" i="12"/>
  <c r="AR278" i="12"/>
  <c r="AR279" i="12"/>
  <c r="AR280" i="12"/>
  <c r="AR281" i="12"/>
  <c r="AR282" i="12"/>
  <c r="AR283" i="12"/>
  <c r="AR284" i="12"/>
  <c r="AR285" i="12"/>
  <c r="AR286" i="12"/>
  <c r="AR287" i="12"/>
  <c r="AR288" i="12"/>
  <c r="AR289" i="12"/>
  <c r="AR290" i="12"/>
  <c r="AR291" i="12"/>
  <c r="AR292" i="12"/>
  <c r="AR293" i="12"/>
  <c r="AR294" i="12"/>
  <c r="AR295" i="12"/>
  <c r="AR296" i="12"/>
  <c r="AR297" i="12"/>
  <c r="AR298" i="12"/>
  <c r="AR299" i="12"/>
  <c r="AR300" i="12"/>
  <c r="AR301" i="12"/>
  <c r="AR302" i="12"/>
  <c r="AR303" i="12"/>
  <c r="AR304" i="12"/>
  <c r="AR305" i="12"/>
  <c r="AR306" i="12"/>
  <c r="AR307" i="12"/>
  <c r="AR308" i="12"/>
  <c r="AR309" i="12"/>
  <c r="AR310" i="12"/>
  <c r="AR311" i="12"/>
  <c r="AR312" i="12"/>
  <c r="AR313" i="12"/>
  <c r="AR314" i="12"/>
  <c r="AR315" i="12"/>
  <c r="AR316" i="12"/>
  <c r="AR317" i="12"/>
  <c r="AR318" i="12"/>
  <c r="AR319" i="12"/>
  <c r="AR320" i="12"/>
  <c r="AR321" i="12"/>
  <c r="AR322" i="12"/>
  <c r="AR323" i="12"/>
  <c r="AR324" i="12"/>
  <c r="AR325" i="12"/>
  <c r="AR326" i="12"/>
  <c r="AR327" i="12"/>
  <c r="AR328" i="12"/>
  <c r="AR329" i="12"/>
  <c r="AR330" i="12"/>
  <c r="AR331" i="12"/>
  <c r="AR332" i="12"/>
  <c r="AR333" i="12"/>
  <c r="AR334" i="12"/>
  <c r="AR335" i="12"/>
  <c r="AR336" i="12"/>
  <c r="AR337" i="12"/>
  <c r="AR338" i="12"/>
  <c r="AR339" i="12"/>
  <c r="AR340" i="12"/>
  <c r="AR341" i="12"/>
  <c r="AR342" i="12"/>
  <c r="AR343" i="12"/>
  <c r="AR344" i="12"/>
  <c r="AR345" i="12"/>
  <c r="AR346" i="12"/>
  <c r="AR347" i="12"/>
  <c r="AR348" i="12"/>
  <c r="AR349" i="12"/>
  <c r="AR350" i="12"/>
  <c r="AR351" i="12"/>
  <c r="AR352" i="12"/>
  <c r="AR353" i="12"/>
  <c r="AR354" i="12"/>
  <c r="AR355" i="12"/>
  <c r="AR356" i="12"/>
  <c r="AR357" i="12"/>
  <c r="AR358" i="12"/>
  <c r="AR359" i="12"/>
  <c r="AR360" i="12"/>
  <c r="AR361" i="12"/>
  <c r="AR362" i="12"/>
  <c r="AR363" i="12"/>
  <c r="AR364" i="12"/>
  <c r="AR365" i="12"/>
  <c r="AR366" i="12"/>
  <c r="AR367" i="12"/>
  <c r="AR368" i="12"/>
  <c r="AR369" i="12"/>
  <c r="AR370" i="12"/>
  <c r="AR371" i="12"/>
  <c r="AR372" i="12"/>
  <c r="AR373" i="12"/>
  <c r="AR374" i="12"/>
  <c r="AR375" i="12"/>
  <c r="AR376" i="12"/>
  <c r="AR377" i="12"/>
  <c r="AR378" i="12"/>
  <c r="AR379" i="12"/>
  <c r="AR380" i="12"/>
  <c r="AR381" i="12"/>
  <c r="AR382" i="12"/>
  <c r="AR383" i="12"/>
  <c r="AR384" i="12"/>
  <c r="AR385" i="12"/>
  <c r="AR386" i="12"/>
  <c r="AR387" i="12"/>
  <c r="AR388" i="12"/>
  <c r="AR389" i="12"/>
  <c r="AR390" i="12"/>
  <c r="AR391" i="12"/>
  <c r="AR392" i="12"/>
  <c r="AR393" i="12"/>
  <c r="AR394" i="12"/>
  <c r="AR395" i="12"/>
  <c r="AR396" i="12"/>
  <c r="AR397" i="12"/>
  <c r="AR398" i="12"/>
  <c r="AR399" i="12"/>
  <c r="AR400" i="12"/>
  <c r="AR401" i="12"/>
  <c r="AR402" i="12"/>
  <c r="AR403" i="12"/>
  <c r="AR404" i="12"/>
  <c r="AP192" i="12"/>
  <c r="AP193" i="12"/>
  <c r="AT193" i="12" s="1"/>
  <c r="AP194" i="12"/>
  <c r="AP195" i="12"/>
  <c r="AT195" i="12" s="1"/>
  <c r="AP196" i="12"/>
  <c r="AP197" i="12"/>
  <c r="AT197" i="12" s="1"/>
  <c r="AP198" i="12"/>
  <c r="AP199" i="12"/>
  <c r="AT199" i="12" s="1"/>
  <c r="AP200" i="12"/>
  <c r="AP201" i="12"/>
  <c r="AT201" i="12" s="1"/>
  <c r="AP202" i="12"/>
  <c r="AP203" i="12"/>
  <c r="AT203" i="12" s="1"/>
  <c r="AP204" i="12"/>
  <c r="AP205" i="12"/>
  <c r="AT205" i="12" s="1"/>
  <c r="AP206" i="12"/>
  <c r="AP207" i="12"/>
  <c r="AT207" i="12" s="1"/>
  <c r="AP208" i="12"/>
  <c r="AP209" i="12"/>
  <c r="AT209" i="12" s="1"/>
  <c r="AP210" i="12"/>
  <c r="AP211" i="12"/>
  <c r="AT211" i="12" s="1"/>
  <c r="AP212" i="12"/>
  <c r="AP213" i="12"/>
  <c r="AT213" i="12" s="1"/>
  <c r="AP214" i="12"/>
  <c r="AP215" i="12"/>
  <c r="AT215" i="12" s="1"/>
  <c r="AP216" i="12"/>
  <c r="AP217" i="12"/>
  <c r="AT217" i="12" s="1"/>
  <c r="AP218" i="12"/>
  <c r="AP219" i="12"/>
  <c r="AT219" i="12" s="1"/>
  <c r="AP220" i="12"/>
  <c r="AQ220" i="12" s="1"/>
  <c r="AP221" i="12"/>
  <c r="AT221" i="12" s="1"/>
  <c r="AP222" i="12"/>
  <c r="AP223" i="12"/>
  <c r="AT223" i="12" s="1"/>
  <c r="AP224" i="12"/>
  <c r="AP225" i="12"/>
  <c r="AT225" i="12" s="1"/>
  <c r="AP226" i="12"/>
  <c r="AP227" i="12"/>
  <c r="AT227" i="12" s="1"/>
  <c r="AP228" i="12"/>
  <c r="AQ228" i="12" s="1"/>
  <c r="AP229" i="12"/>
  <c r="AT229" i="12" s="1"/>
  <c r="AP230" i="12"/>
  <c r="AP231" i="12"/>
  <c r="AT231" i="12" s="1"/>
  <c r="AP232" i="12"/>
  <c r="AP233" i="12"/>
  <c r="AT233" i="12" s="1"/>
  <c r="AP234" i="12"/>
  <c r="AP235" i="12"/>
  <c r="AT235" i="12" s="1"/>
  <c r="AP236" i="12"/>
  <c r="AP237" i="12"/>
  <c r="AT237" i="12" s="1"/>
  <c r="AP238" i="12"/>
  <c r="AP239" i="12"/>
  <c r="AT239" i="12" s="1"/>
  <c r="AP240" i="12"/>
  <c r="AP241" i="12"/>
  <c r="AT241" i="12" s="1"/>
  <c r="AP242" i="12"/>
  <c r="AP243" i="12"/>
  <c r="AT243" i="12" s="1"/>
  <c r="AP244" i="12"/>
  <c r="AQ244" i="12" s="1"/>
  <c r="AP245" i="12"/>
  <c r="AT245" i="12" s="1"/>
  <c r="AP246" i="12"/>
  <c r="AP247" i="12"/>
  <c r="AT247" i="12" s="1"/>
  <c r="AP248" i="12"/>
  <c r="AP249" i="12"/>
  <c r="AT249" i="12" s="1"/>
  <c r="AP250" i="12"/>
  <c r="AP251" i="12"/>
  <c r="AT251" i="12" s="1"/>
  <c r="AP252" i="12"/>
  <c r="AP253" i="12"/>
  <c r="AT253" i="12" s="1"/>
  <c r="AP254" i="12"/>
  <c r="AP255" i="12"/>
  <c r="AT255" i="12" s="1"/>
  <c r="AP256" i="12"/>
  <c r="AP257" i="12"/>
  <c r="AT257" i="12" s="1"/>
  <c r="AP258" i="12"/>
  <c r="AP259" i="12"/>
  <c r="AT259" i="12" s="1"/>
  <c r="AP260" i="12"/>
  <c r="AP261" i="12"/>
  <c r="AT261" i="12" s="1"/>
  <c r="AP262" i="12"/>
  <c r="AP263" i="12"/>
  <c r="AT263" i="12" s="1"/>
  <c r="AP264" i="12"/>
  <c r="AP265" i="12"/>
  <c r="AT265" i="12" s="1"/>
  <c r="AP266" i="12"/>
  <c r="AP267" i="12"/>
  <c r="AT267" i="12" s="1"/>
  <c r="AP268" i="12"/>
  <c r="AQ268" i="12" s="1"/>
  <c r="AP269" i="12"/>
  <c r="AT269" i="12" s="1"/>
  <c r="AP270" i="12"/>
  <c r="AP271" i="12"/>
  <c r="AT271" i="12" s="1"/>
  <c r="AP272" i="12"/>
  <c r="AP273" i="12"/>
  <c r="AT273" i="12" s="1"/>
  <c r="AP274" i="12"/>
  <c r="AP275" i="12"/>
  <c r="AT275" i="12" s="1"/>
  <c r="AP276" i="12"/>
  <c r="AP277" i="12"/>
  <c r="AT277" i="12" s="1"/>
  <c r="AP278" i="12"/>
  <c r="AP279" i="12"/>
  <c r="AT279" i="12" s="1"/>
  <c r="AP280" i="12"/>
  <c r="AP281" i="12"/>
  <c r="AT281" i="12" s="1"/>
  <c r="AP282" i="12"/>
  <c r="AP283" i="12"/>
  <c r="AT283" i="12" s="1"/>
  <c r="AP284" i="12"/>
  <c r="AQ284" i="12" s="1"/>
  <c r="AP285" i="12"/>
  <c r="AT285" i="12" s="1"/>
  <c r="AP286" i="12"/>
  <c r="AP287" i="12"/>
  <c r="AT287" i="12" s="1"/>
  <c r="AP288" i="12"/>
  <c r="AP289" i="12"/>
  <c r="AT289" i="12" s="1"/>
  <c r="AP290" i="12"/>
  <c r="AP291" i="12"/>
  <c r="AT291" i="12" s="1"/>
  <c r="AP292" i="12"/>
  <c r="AQ292" i="12" s="1"/>
  <c r="AP293" i="12"/>
  <c r="AT293" i="12" s="1"/>
  <c r="AP294" i="12"/>
  <c r="AP295" i="12"/>
  <c r="AT295" i="12" s="1"/>
  <c r="AP296" i="12"/>
  <c r="AP297" i="12"/>
  <c r="AT297" i="12" s="1"/>
  <c r="AP298" i="12"/>
  <c r="AP299" i="12"/>
  <c r="AT299" i="12" s="1"/>
  <c r="AP300" i="12"/>
  <c r="AQ300" i="12" s="1"/>
  <c r="AP301" i="12"/>
  <c r="AT301" i="12" s="1"/>
  <c r="AP302" i="12"/>
  <c r="AP303" i="12"/>
  <c r="AT303" i="12" s="1"/>
  <c r="AP304" i="12"/>
  <c r="AP305" i="12"/>
  <c r="AT305" i="12" s="1"/>
  <c r="AP306" i="12"/>
  <c r="AP307" i="12"/>
  <c r="AT307" i="12" s="1"/>
  <c r="AP308" i="12"/>
  <c r="AQ308" i="12" s="1"/>
  <c r="AP309" i="12"/>
  <c r="AT309" i="12" s="1"/>
  <c r="AP310" i="12"/>
  <c r="AP311" i="12"/>
  <c r="AT311" i="12" s="1"/>
  <c r="AP312" i="12"/>
  <c r="AP313" i="12"/>
  <c r="AT313" i="12" s="1"/>
  <c r="AP314" i="12"/>
  <c r="AP315" i="12"/>
  <c r="AT315" i="12" s="1"/>
  <c r="AP316" i="12"/>
  <c r="AP317" i="12"/>
  <c r="AT317" i="12" s="1"/>
  <c r="AP318" i="12"/>
  <c r="AP319" i="12"/>
  <c r="AT319" i="12" s="1"/>
  <c r="AP320" i="12"/>
  <c r="AP321" i="12"/>
  <c r="AT321" i="12" s="1"/>
  <c r="AP322" i="12"/>
  <c r="AP323" i="12"/>
  <c r="AT323" i="12" s="1"/>
  <c r="AP324" i="12"/>
  <c r="AP325" i="12"/>
  <c r="AT325" i="12" s="1"/>
  <c r="AP326" i="12"/>
  <c r="AP327" i="12"/>
  <c r="AT327" i="12" s="1"/>
  <c r="AP328" i="12"/>
  <c r="AP329" i="12"/>
  <c r="AT329" i="12" s="1"/>
  <c r="AP330" i="12"/>
  <c r="AP331" i="12"/>
  <c r="AT331" i="12" s="1"/>
  <c r="AP332" i="12"/>
  <c r="AQ332" i="12" s="1"/>
  <c r="AP333" i="12"/>
  <c r="AT333" i="12" s="1"/>
  <c r="AP334" i="12"/>
  <c r="AP335" i="12"/>
  <c r="AT335" i="12" s="1"/>
  <c r="AP336" i="12"/>
  <c r="AP337" i="12"/>
  <c r="AT337" i="12" s="1"/>
  <c r="AP338" i="12"/>
  <c r="AP339" i="12"/>
  <c r="AT339" i="12" s="1"/>
  <c r="AP340" i="12"/>
  <c r="AQ340" i="12" s="1"/>
  <c r="AP341" i="12"/>
  <c r="AT341" i="12" s="1"/>
  <c r="AP342" i="12"/>
  <c r="AP343" i="12"/>
  <c r="AT343" i="12" s="1"/>
  <c r="AP344" i="12"/>
  <c r="AP345" i="12"/>
  <c r="AT345" i="12" s="1"/>
  <c r="AP346" i="12"/>
  <c r="AP347" i="12"/>
  <c r="AT347" i="12" s="1"/>
  <c r="AP348" i="12"/>
  <c r="AQ348" i="12" s="1"/>
  <c r="AP349" i="12"/>
  <c r="AT349" i="12" s="1"/>
  <c r="AP350" i="12"/>
  <c r="AP351" i="12"/>
  <c r="AT351" i="12" s="1"/>
  <c r="AP352" i="12"/>
  <c r="AP353" i="12"/>
  <c r="AT353" i="12" s="1"/>
  <c r="AP354" i="12"/>
  <c r="AP355" i="12"/>
  <c r="AT355" i="12" s="1"/>
  <c r="AP356" i="12"/>
  <c r="AQ356" i="12" s="1"/>
  <c r="AP357" i="12"/>
  <c r="AT357" i="12" s="1"/>
  <c r="AP358" i="12"/>
  <c r="AP359" i="12"/>
  <c r="AT359" i="12" s="1"/>
  <c r="AP360" i="12"/>
  <c r="AP361" i="12"/>
  <c r="AT361" i="12" s="1"/>
  <c r="AP362" i="12"/>
  <c r="AP363" i="12"/>
  <c r="AT363" i="12" s="1"/>
  <c r="AP364" i="12"/>
  <c r="AQ364" i="12" s="1"/>
  <c r="AP365" i="12"/>
  <c r="AT365" i="12" s="1"/>
  <c r="AP366" i="12"/>
  <c r="AP367" i="12"/>
  <c r="AT367" i="12" s="1"/>
  <c r="AP368" i="12"/>
  <c r="AP369" i="12"/>
  <c r="AT369" i="12" s="1"/>
  <c r="AP370" i="12"/>
  <c r="AP371" i="12"/>
  <c r="AT371" i="12" s="1"/>
  <c r="AP372" i="12"/>
  <c r="AQ372" i="12" s="1"/>
  <c r="AP373" i="12"/>
  <c r="AT373" i="12" s="1"/>
  <c r="AP374" i="12"/>
  <c r="AP375" i="12"/>
  <c r="AT375" i="12" s="1"/>
  <c r="AP376" i="12"/>
  <c r="AP377" i="12"/>
  <c r="AT377" i="12" s="1"/>
  <c r="AP378" i="12"/>
  <c r="AP379" i="12"/>
  <c r="AT379" i="12" s="1"/>
  <c r="AP380" i="12"/>
  <c r="AQ380" i="12" s="1"/>
  <c r="AP381" i="12"/>
  <c r="AT381" i="12" s="1"/>
  <c r="AP382" i="12"/>
  <c r="AP383" i="12"/>
  <c r="AT383" i="12" s="1"/>
  <c r="AP384" i="12"/>
  <c r="AP385" i="12"/>
  <c r="AT385" i="12" s="1"/>
  <c r="AP386" i="12"/>
  <c r="AP387" i="12"/>
  <c r="AT387" i="12" s="1"/>
  <c r="AP388" i="12"/>
  <c r="AP389" i="12"/>
  <c r="AT389" i="12" s="1"/>
  <c r="AP390" i="12"/>
  <c r="AP391" i="12"/>
  <c r="AT391" i="12" s="1"/>
  <c r="AP392" i="12"/>
  <c r="AP393" i="12"/>
  <c r="AT393" i="12" s="1"/>
  <c r="AP394" i="12"/>
  <c r="AP395" i="12"/>
  <c r="AT395" i="12" s="1"/>
  <c r="AP396" i="12"/>
  <c r="AQ396" i="12" s="1"/>
  <c r="AP397" i="12"/>
  <c r="AT397" i="12" s="1"/>
  <c r="AP398" i="12"/>
  <c r="AP399" i="12"/>
  <c r="AT399" i="12" s="1"/>
  <c r="AP400" i="12"/>
  <c r="AP401" i="12"/>
  <c r="AT401" i="12" s="1"/>
  <c r="AP402" i="12"/>
  <c r="AP403" i="12"/>
  <c r="AT403" i="12" s="1"/>
  <c r="AP404" i="12"/>
  <c r="AQ404" i="12" s="1"/>
  <c r="AP3" i="12"/>
  <c r="AP4" i="12"/>
  <c r="AP5" i="12"/>
  <c r="AP6" i="12"/>
  <c r="AP7" i="12"/>
  <c r="AP8" i="12"/>
  <c r="AP9" i="12"/>
  <c r="AP10" i="12"/>
  <c r="AP11" i="12"/>
  <c r="AP12" i="12"/>
  <c r="AP13" i="12"/>
  <c r="AP14" i="12"/>
  <c r="AP15" i="12"/>
  <c r="AP16" i="12"/>
  <c r="AP17" i="12"/>
  <c r="AP18" i="12"/>
  <c r="AP19" i="12"/>
  <c r="AP20" i="12"/>
  <c r="AP21" i="12"/>
  <c r="AP22" i="12"/>
  <c r="AP23" i="12"/>
  <c r="AP24" i="12"/>
  <c r="AP25" i="12"/>
  <c r="AP26" i="12"/>
  <c r="AP27" i="12"/>
  <c r="AP28" i="12"/>
  <c r="AP29" i="12"/>
  <c r="AP30" i="12"/>
  <c r="AP31" i="12"/>
  <c r="AP32" i="12"/>
  <c r="AP33" i="12"/>
  <c r="AP34" i="12"/>
  <c r="AP35" i="12"/>
  <c r="AP36" i="12"/>
  <c r="AP37" i="12"/>
  <c r="AP38" i="12"/>
  <c r="AP39" i="12"/>
  <c r="AP40" i="12"/>
  <c r="AP41" i="12"/>
  <c r="AP42" i="12"/>
  <c r="AP43" i="12"/>
  <c r="AP44" i="12"/>
  <c r="AP45" i="12"/>
  <c r="AP46" i="12"/>
  <c r="AP47" i="12"/>
  <c r="AP48" i="12"/>
  <c r="AP49" i="12"/>
  <c r="AP50" i="12"/>
  <c r="AP51" i="12"/>
  <c r="AP52" i="12"/>
  <c r="AP53" i="12"/>
  <c r="AP54" i="12"/>
  <c r="AP55" i="12"/>
  <c r="AP56" i="12"/>
  <c r="AP57" i="12"/>
  <c r="AP58" i="12"/>
  <c r="AP59" i="12"/>
  <c r="AP60" i="12"/>
  <c r="AP61" i="12"/>
  <c r="AP62" i="12"/>
  <c r="AP63" i="12"/>
  <c r="AP64" i="12"/>
  <c r="AP65" i="12"/>
  <c r="AP66" i="12"/>
  <c r="AP67" i="12"/>
  <c r="AP68" i="12"/>
  <c r="AP69" i="12"/>
  <c r="AP70" i="12"/>
  <c r="AP71" i="12"/>
  <c r="AP72" i="12"/>
  <c r="AP73" i="12"/>
  <c r="AP74" i="12"/>
  <c r="AP75" i="12"/>
  <c r="AP76" i="12"/>
  <c r="AP77" i="12"/>
  <c r="AP78" i="12"/>
  <c r="AP79" i="12"/>
  <c r="AP80" i="12"/>
  <c r="AP81" i="12"/>
  <c r="AP82" i="12"/>
  <c r="AP83" i="12"/>
  <c r="AP84" i="12"/>
  <c r="AP85" i="12"/>
  <c r="AP86" i="12"/>
  <c r="AP87" i="12"/>
  <c r="AP88" i="12"/>
  <c r="AP89" i="12"/>
  <c r="AP90" i="12"/>
  <c r="AP91" i="12"/>
  <c r="AP92" i="12"/>
  <c r="AP93" i="12"/>
  <c r="AP94" i="12"/>
  <c r="AP95" i="12"/>
  <c r="AP96" i="12"/>
  <c r="AP97" i="12"/>
  <c r="AP98" i="12"/>
  <c r="AP99" i="12"/>
  <c r="AP100" i="12"/>
  <c r="AP101" i="12"/>
  <c r="AP102" i="12"/>
  <c r="AP103" i="12"/>
  <c r="AP104" i="12"/>
  <c r="AP105" i="12"/>
  <c r="AP106" i="12"/>
  <c r="AP107" i="12"/>
  <c r="AP108" i="12"/>
  <c r="AP109" i="12"/>
  <c r="AP110" i="12"/>
  <c r="AP111" i="12"/>
  <c r="AP112" i="12"/>
  <c r="AP113" i="12"/>
  <c r="AP114" i="12"/>
  <c r="AP115" i="12"/>
  <c r="AP116" i="12"/>
  <c r="AP117" i="12"/>
  <c r="AP118" i="12"/>
  <c r="AP119" i="12"/>
  <c r="AP120" i="12"/>
  <c r="AP121" i="12"/>
  <c r="AP122" i="12"/>
  <c r="AP123" i="12"/>
  <c r="AP124" i="12"/>
  <c r="AP125" i="12"/>
  <c r="AP126" i="12"/>
  <c r="AP127" i="12"/>
  <c r="AP128" i="12"/>
  <c r="AP129" i="12"/>
  <c r="AP130" i="12"/>
  <c r="AP131" i="12"/>
  <c r="AP132" i="12"/>
  <c r="AP133" i="12"/>
  <c r="AP134" i="12"/>
  <c r="AP135" i="12"/>
  <c r="AP136" i="12"/>
  <c r="AP137" i="12"/>
  <c r="AP138" i="12"/>
  <c r="AP139" i="12"/>
  <c r="AP140" i="12"/>
  <c r="AP141" i="12"/>
  <c r="AP142" i="12"/>
  <c r="AP143" i="12"/>
  <c r="AP144" i="12"/>
  <c r="AP145" i="12"/>
  <c r="AP146" i="12"/>
  <c r="AP147" i="12"/>
  <c r="AP148" i="12"/>
  <c r="AP149" i="12"/>
  <c r="AP150" i="12"/>
  <c r="AP151" i="12"/>
  <c r="AP152" i="12"/>
  <c r="AP153" i="12"/>
  <c r="AP154" i="12"/>
  <c r="AP155" i="12"/>
  <c r="AP156" i="12"/>
  <c r="AP157" i="12"/>
  <c r="AP158" i="12"/>
  <c r="AP159" i="12"/>
  <c r="AP160" i="12"/>
  <c r="AP161" i="12"/>
  <c r="AP162" i="12"/>
  <c r="AP163" i="12"/>
  <c r="AP164" i="12"/>
  <c r="AP165" i="12"/>
  <c r="AP166" i="12"/>
  <c r="AP167" i="12"/>
  <c r="AP168" i="12"/>
  <c r="AP169" i="12"/>
  <c r="AP170" i="12"/>
  <c r="AP171" i="12"/>
  <c r="AP172" i="12"/>
  <c r="AP173" i="12"/>
  <c r="AP174" i="12"/>
  <c r="AP175" i="12"/>
  <c r="AP176" i="12"/>
  <c r="AP177" i="12"/>
  <c r="AP178" i="12"/>
  <c r="AP179" i="12"/>
  <c r="AP180" i="12"/>
  <c r="AP181" i="12"/>
  <c r="AP182" i="12"/>
  <c r="AP183" i="12"/>
  <c r="AP184" i="12"/>
  <c r="AP185" i="12"/>
  <c r="AP186" i="12"/>
  <c r="AP187" i="12"/>
  <c r="AP188" i="12"/>
  <c r="AP189" i="12"/>
  <c r="AP190" i="12"/>
  <c r="AP191" i="12"/>
  <c r="AP2" i="12"/>
  <c r="AN192" i="12"/>
  <c r="AN193" i="12"/>
  <c r="AN194" i="12"/>
  <c r="AN195" i="12"/>
  <c r="AN196" i="12"/>
  <c r="AN197" i="12"/>
  <c r="AN198" i="12"/>
  <c r="AN199" i="12"/>
  <c r="AN200" i="12"/>
  <c r="AN201" i="12"/>
  <c r="AN202" i="12"/>
  <c r="AN203" i="12"/>
  <c r="AN204" i="12"/>
  <c r="AN205" i="12"/>
  <c r="AN206" i="12"/>
  <c r="AN207" i="12"/>
  <c r="AN208" i="12"/>
  <c r="AN209" i="12"/>
  <c r="AN210" i="12"/>
  <c r="AN211" i="12"/>
  <c r="AN212" i="12"/>
  <c r="AN213" i="12"/>
  <c r="AN214" i="12"/>
  <c r="AN215" i="12"/>
  <c r="AN216" i="12"/>
  <c r="AN217" i="12"/>
  <c r="AN218" i="12"/>
  <c r="AN219" i="12"/>
  <c r="AN220" i="12"/>
  <c r="AN221" i="12"/>
  <c r="AN222" i="12"/>
  <c r="AN223" i="12"/>
  <c r="AN224" i="12"/>
  <c r="AN225" i="12"/>
  <c r="AN226" i="12"/>
  <c r="AN227" i="12"/>
  <c r="AN228" i="12"/>
  <c r="AN229" i="12"/>
  <c r="AN230" i="12"/>
  <c r="AN231" i="12"/>
  <c r="AN232" i="12"/>
  <c r="AN233" i="12"/>
  <c r="AN234" i="12"/>
  <c r="AN235" i="12"/>
  <c r="AN236" i="12"/>
  <c r="AN237" i="12"/>
  <c r="AN238" i="12"/>
  <c r="AN239" i="12"/>
  <c r="AN240" i="12"/>
  <c r="AN241" i="12"/>
  <c r="AN242" i="12"/>
  <c r="AN243" i="12"/>
  <c r="AN244" i="12"/>
  <c r="AN245" i="12"/>
  <c r="AN246" i="12"/>
  <c r="AN247" i="12"/>
  <c r="AN248" i="12"/>
  <c r="AN249" i="12"/>
  <c r="AN250" i="12"/>
  <c r="AN251" i="12"/>
  <c r="AN252" i="12"/>
  <c r="AN253" i="12"/>
  <c r="AN254" i="12"/>
  <c r="AN255" i="12"/>
  <c r="AN256" i="12"/>
  <c r="AN257" i="12"/>
  <c r="AN258" i="12"/>
  <c r="AN259" i="12"/>
  <c r="AN260" i="12"/>
  <c r="AN261" i="12"/>
  <c r="AN262" i="12"/>
  <c r="AN263" i="12"/>
  <c r="AN264" i="12"/>
  <c r="AN265" i="12"/>
  <c r="AN266" i="12"/>
  <c r="AN267" i="12"/>
  <c r="AN268" i="12"/>
  <c r="AN269" i="12"/>
  <c r="AN270" i="12"/>
  <c r="AN271" i="12"/>
  <c r="AN272" i="12"/>
  <c r="AN273" i="12"/>
  <c r="AN274" i="12"/>
  <c r="AN275" i="12"/>
  <c r="AN276" i="12"/>
  <c r="AN277" i="12"/>
  <c r="AN278" i="12"/>
  <c r="AN279" i="12"/>
  <c r="AN280" i="12"/>
  <c r="AN281" i="12"/>
  <c r="AN282" i="12"/>
  <c r="AN283" i="12"/>
  <c r="AN284" i="12"/>
  <c r="AN285" i="12"/>
  <c r="AN286" i="12"/>
  <c r="AN287" i="12"/>
  <c r="AN288" i="12"/>
  <c r="AN289" i="12"/>
  <c r="AN290" i="12"/>
  <c r="AN291" i="12"/>
  <c r="AN292" i="12"/>
  <c r="AN293" i="12"/>
  <c r="AN294" i="12"/>
  <c r="AN295" i="12"/>
  <c r="AN296" i="12"/>
  <c r="AN297" i="12"/>
  <c r="AN298" i="12"/>
  <c r="AN299" i="12"/>
  <c r="AN300" i="12"/>
  <c r="AN301" i="12"/>
  <c r="AN302" i="12"/>
  <c r="AN303" i="12"/>
  <c r="AN304" i="12"/>
  <c r="AN305" i="12"/>
  <c r="AN306" i="12"/>
  <c r="AN307" i="12"/>
  <c r="AN308" i="12"/>
  <c r="AN309" i="12"/>
  <c r="AN310" i="12"/>
  <c r="AN311" i="12"/>
  <c r="AN312" i="12"/>
  <c r="AN313" i="12"/>
  <c r="AN314" i="12"/>
  <c r="AN315" i="12"/>
  <c r="AN316" i="12"/>
  <c r="AN317" i="12"/>
  <c r="AN318" i="12"/>
  <c r="AN319" i="12"/>
  <c r="AN320" i="12"/>
  <c r="AN321" i="12"/>
  <c r="AN322" i="12"/>
  <c r="AN323" i="12"/>
  <c r="AN324" i="12"/>
  <c r="AN325" i="12"/>
  <c r="AN326" i="12"/>
  <c r="AN327" i="12"/>
  <c r="AN328" i="12"/>
  <c r="AN329" i="12"/>
  <c r="AN330" i="12"/>
  <c r="AN331" i="12"/>
  <c r="AN332" i="12"/>
  <c r="AN333" i="12"/>
  <c r="AN334" i="12"/>
  <c r="AN335" i="12"/>
  <c r="AN336" i="12"/>
  <c r="AN337" i="12"/>
  <c r="AN338" i="12"/>
  <c r="AN339" i="12"/>
  <c r="AN340" i="12"/>
  <c r="AN341" i="12"/>
  <c r="AN342" i="12"/>
  <c r="AN343" i="12"/>
  <c r="AN344" i="12"/>
  <c r="AN345" i="12"/>
  <c r="AN346" i="12"/>
  <c r="AN347" i="12"/>
  <c r="AN348" i="12"/>
  <c r="AN349" i="12"/>
  <c r="AN350" i="12"/>
  <c r="AN351" i="12"/>
  <c r="AN352" i="12"/>
  <c r="AN353" i="12"/>
  <c r="AN354" i="12"/>
  <c r="AN355" i="12"/>
  <c r="AN356" i="12"/>
  <c r="AN357" i="12"/>
  <c r="AN358" i="12"/>
  <c r="AN359" i="12"/>
  <c r="AN360" i="12"/>
  <c r="AN361" i="12"/>
  <c r="AN362" i="12"/>
  <c r="AN363" i="12"/>
  <c r="AN364" i="12"/>
  <c r="AN365" i="12"/>
  <c r="AN366" i="12"/>
  <c r="AN367" i="12"/>
  <c r="AN368" i="12"/>
  <c r="AN369" i="12"/>
  <c r="AN370" i="12"/>
  <c r="AN371" i="12"/>
  <c r="AN372" i="12"/>
  <c r="AN373" i="12"/>
  <c r="AN374" i="12"/>
  <c r="AN375" i="12"/>
  <c r="AN376" i="12"/>
  <c r="AN377" i="12"/>
  <c r="AN378" i="12"/>
  <c r="AN379" i="12"/>
  <c r="AN380" i="12"/>
  <c r="AN381" i="12"/>
  <c r="AN382" i="12"/>
  <c r="AN383" i="12"/>
  <c r="AN384" i="12"/>
  <c r="AN385" i="12"/>
  <c r="AN386" i="12"/>
  <c r="AN387" i="12"/>
  <c r="AN388" i="12"/>
  <c r="AN389" i="12"/>
  <c r="AN390" i="12"/>
  <c r="AN391" i="12"/>
  <c r="AN392" i="12"/>
  <c r="AN393" i="12"/>
  <c r="AN394" i="12"/>
  <c r="AN395" i="12"/>
  <c r="AN396" i="12"/>
  <c r="AN397" i="12"/>
  <c r="AN398" i="12"/>
  <c r="AN399" i="12"/>
  <c r="AN400" i="12"/>
  <c r="AN401" i="12"/>
  <c r="AN402" i="12"/>
  <c r="AN403" i="12"/>
  <c r="AN404" i="12"/>
  <c r="AM192" i="12"/>
  <c r="AM193" i="12"/>
  <c r="AM194" i="12"/>
  <c r="AM195" i="12"/>
  <c r="AM196" i="12"/>
  <c r="AM197" i="12"/>
  <c r="AM198" i="12"/>
  <c r="AM199" i="12"/>
  <c r="AM200" i="12"/>
  <c r="AM201" i="12"/>
  <c r="AM202" i="12"/>
  <c r="AM203" i="12"/>
  <c r="AM204" i="12"/>
  <c r="AM205" i="12"/>
  <c r="AM206" i="12"/>
  <c r="AM207" i="12"/>
  <c r="AM208" i="12"/>
  <c r="AM209" i="12"/>
  <c r="AM210" i="12"/>
  <c r="AM211" i="12"/>
  <c r="AM212" i="12"/>
  <c r="AM213" i="12"/>
  <c r="AM214" i="12"/>
  <c r="AM215" i="12"/>
  <c r="AM216" i="12"/>
  <c r="AM217" i="12"/>
  <c r="AM218" i="12"/>
  <c r="AM219" i="12"/>
  <c r="AM220" i="12"/>
  <c r="AM221" i="12"/>
  <c r="AM222" i="12"/>
  <c r="AM223" i="12"/>
  <c r="AM224" i="12"/>
  <c r="AM225" i="12"/>
  <c r="AM226" i="12"/>
  <c r="AM227" i="12"/>
  <c r="AM228" i="12"/>
  <c r="AM229" i="12"/>
  <c r="AM230" i="12"/>
  <c r="AM231" i="12"/>
  <c r="AM232" i="12"/>
  <c r="AM233" i="12"/>
  <c r="AM234" i="12"/>
  <c r="AM235" i="12"/>
  <c r="AM236" i="12"/>
  <c r="AM237" i="12"/>
  <c r="AM238" i="12"/>
  <c r="AM239" i="12"/>
  <c r="AM240" i="12"/>
  <c r="AM241" i="12"/>
  <c r="AM242" i="12"/>
  <c r="AM243" i="12"/>
  <c r="AM244" i="12"/>
  <c r="AM245" i="12"/>
  <c r="AM246" i="12"/>
  <c r="AM247" i="12"/>
  <c r="AM248" i="12"/>
  <c r="AM249" i="12"/>
  <c r="AM250" i="12"/>
  <c r="AM251" i="12"/>
  <c r="AM252" i="12"/>
  <c r="AM253" i="12"/>
  <c r="AM254" i="12"/>
  <c r="AM255" i="12"/>
  <c r="AM256" i="12"/>
  <c r="AM257" i="12"/>
  <c r="AM258" i="12"/>
  <c r="AM259" i="12"/>
  <c r="AM260" i="12"/>
  <c r="AM261" i="12"/>
  <c r="AM262" i="12"/>
  <c r="AM263" i="12"/>
  <c r="AM264" i="12"/>
  <c r="AM265" i="12"/>
  <c r="AM266" i="12"/>
  <c r="AM267" i="12"/>
  <c r="AM268" i="12"/>
  <c r="AM269" i="12"/>
  <c r="AM270" i="12"/>
  <c r="AM271" i="12"/>
  <c r="AM272" i="12"/>
  <c r="AM273" i="12"/>
  <c r="AM274" i="12"/>
  <c r="AM275" i="12"/>
  <c r="AM276" i="12"/>
  <c r="AM277" i="12"/>
  <c r="AM278" i="12"/>
  <c r="AM279" i="12"/>
  <c r="AM280" i="12"/>
  <c r="AM281" i="12"/>
  <c r="AM282" i="12"/>
  <c r="AM283" i="12"/>
  <c r="AM284" i="12"/>
  <c r="AM285" i="12"/>
  <c r="AM286" i="12"/>
  <c r="AM287" i="12"/>
  <c r="AM288" i="12"/>
  <c r="AM289" i="12"/>
  <c r="AM290" i="12"/>
  <c r="AM291" i="12"/>
  <c r="AM292" i="12"/>
  <c r="AM293" i="12"/>
  <c r="AM294" i="12"/>
  <c r="AM295" i="12"/>
  <c r="AM296" i="12"/>
  <c r="AM297" i="12"/>
  <c r="AM298" i="12"/>
  <c r="AM299" i="12"/>
  <c r="AM300" i="12"/>
  <c r="AM301" i="12"/>
  <c r="AM302" i="12"/>
  <c r="AM303" i="12"/>
  <c r="AM304" i="12"/>
  <c r="AM305" i="12"/>
  <c r="AM306" i="12"/>
  <c r="AM307" i="12"/>
  <c r="AM308" i="12"/>
  <c r="AM309" i="12"/>
  <c r="AM310" i="12"/>
  <c r="AM311" i="12"/>
  <c r="AM312" i="12"/>
  <c r="AM313" i="12"/>
  <c r="AM314" i="12"/>
  <c r="AM315" i="12"/>
  <c r="AM316" i="12"/>
  <c r="AM317" i="12"/>
  <c r="AM318" i="12"/>
  <c r="AM319" i="12"/>
  <c r="AM320" i="12"/>
  <c r="AM321" i="12"/>
  <c r="AM322" i="12"/>
  <c r="AM323" i="12"/>
  <c r="AM324" i="12"/>
  <c r="AM325" i="12"/>
  <c r="AM326" i="12"/>
  <c r="AM327" i="12"/>
  <c r="AM328" i="12"/>
  <c r="AM329" i="12"/>
  <c r="AM330" i="12"/>
  <c r="AM331" i="12"/>
  <c r="AM332" i="12"/>
  <c r="AM333" i="12"/>
  <c r="AM334" i="12"/>
  <c r="AM335" i="12"/>
  <c r="AM336" i="12"/>
  <c r="AM337" i="12"/>
  <c r="AM338" i="12"/>
  <c r="AM339" i="12"/>
  <c r="AM340" i="12"/>
  <c r="AM341" i="12"/>
  <c r="AM342" i="12"/>
  <c r="AM343" i="12"/>
  <c r="AM344" i="12"/>
  <c r="AM345" i="12"/>
  <c r="AM346" i="12"/>
  <c r="AM347" i="12"/>
  <c r="AM348" i="12"/>
  <c r="AM349" i="12"/>
  <c r="AM350" i="12"/>
  <c r="AM351" i="12"/>
  <c r="AM352" i="12"/>
  <c r="AM353" i="12"/>
  <c r="AM354" i="12"/>
  <c r="AM355" i="12"/>
  <c r="AM356" i="12"/>
  <c r="AM357" i="12"/>
  <c r="AM358" i="12"/>
  <c r="AM359" i="12"/>
  <c r="AM360" i="12"/>
  <c r="AM361" i="12"/>
  <c r="AM362" i="12"/>
  <c r="AM363" i="12"/>
  <c r="AM364" i="12"/>
  <c r="AM365" i="12"/>
  <c r="AM366" i="12"/>
  <c r="AM367" i="12"/>
  <c r="AM368" i="12"/>
  <c r="AM369" i="12"/>
  <c r="AM370" i="12"/>
  <c r="AM371" i="12"/>
  <c r="AM372" i="12"/>
  <c r="AM373" i="12"/>
  <c r="AM374" i="12"/>
  <c r="AM375" i="12"/>
  <c r="AM376" i="12"/>
  <c r="AM377" i="12"/>
  <c r="AM378" i="12"/>
  <c r="AM379" i="12"/>
  <c r="AM380" i="12"/>
  <c r="AM381" i="12"/>
  <c r="AM382" i="12"/>
  <c r="AM383" i="12"/>
  <c r="AM384" i="12"/>
  <c r="AM385" i="12"/>
  <c r="AM386" i="12"/>
  <c r="AM387" i="12"/>
  <c r="AM388" i="12"/>
  <c r="AM389" i="12"/>
  <c r="AM390" i="12"/>
  <c r="AM391" i="12"/>
  <c r="AM392" i="12"/>
  <c r="AM393" i="12"/>
  <c r="AM394" i="12"/>
  <c r="AM395" i="12"/>
  <c r="AM396" i="12"/>
  <c r="AM397" i="12"/>
  <c r="AM398" i="12"/>
  <c r="AM399" i="12"/>
  <c r="AM400" i="12"/>
  <c r="AM401" i="12"/>
  <c r="AM402" i="12"/>
  <c r="AM403" i="12"/>
  <c r="AM404" i="12"/>
  <c r="AK192" i="12"/>
  <c r="AO192" i="12" s="1"/>
  <c r="AK193" i="12"/>
  <c r="AO193" i="12" s="1"/>
  <c r="AK194" i="12"/>
  <c r="AO194" i="12" s="1"/>
  <c r="AK195" i="12"/>
  <c r="AO195" i="12" s="1"/>
  <c r="AK196" i="12"/>
  <c r="AL196" i="12" s="1"/>
  <c r="AK197" i="12"/>
  <c r="AL197" i="12" s="1"/>
  <c r="AK198" i="12"/>
  <c r="AK199" i="12"/>
  <c r="AL199" i="12" s="1"/>
  <c r="AK200" i="12"/>
  <c r="AL200" i="12" s="1"/>
  <c r="AK201" i="12"/>
  <c r="AO201" i="12" s="1"/>
  <c r="AK202" i="12"/>
  <c r="AO202" i="12" s="1"/>
  <c r="AK203" i="12"/>
  <c r="AO203" i="12" s="1"/>
  <c r="AK204" i="12"/>
  <c r="AL204" i="12" s="1"/>
  <c r="AK205" i="12"/>
  <c r="AL205" i="12" s="1"/>
  <c r="AK206" i="12"/>
  <c r="AK207" i="12"/>
  <c r="AL207" i="12" s="1"/>
  <c r="AK208" i="12"/>
  <c r="AL208" i="12" s="1"/>
  <c r="AK209" i="12"/>
  <c r="AL209" i="12" s="1"/>
  <c r="AK210" i="12"/>
  <c r="AL210" i="12" s="1"/>
  <c r="AK211" i="12"/>
  <c r="AO211" i="12" s="1"/>
  <c r="AK212" i="12"/>
  <c r="AL212" i="12" s="1"/>
  <c r="AK213" i="12"/>
  <c r="AL213" i="12" s="1"/>
  <c r="AK214" i="12"/>
  <c r="AK215" i="12"/>
  <c r="AL215" i="12" s="1"/>
  <c r="AK216" i="12"/>
  <c r="AL216" i="12" s="1"/>
  <c r="AK217" i="12"/>
  <c r="AL217" i="12" s="1"/>
  <c r="AK218" i="12"/>
  <c r="AO218" i="12" s="1"/>
  <c r="AK219" i="12"/>
  <c r="AO219" i="12" s="1"/>
  <c r="AK220" i="12"/>
  <c r="AL220" i="12" s="1"/>
  <c r="AK221" i="12"/>
  <c r="AL221" i="12" s="1"/>
  <c r="AK222" i="12"/>
  <c r="AK223" i="12"/>
  <c r="AL223" i="12" s="1"/>
  <c r="AK224" i="12"/>
  <c r="AL224" i="12" s="1"/>
  <c r="AK225" i="12"/>
  <c r="AL225" i="12" s="1"/>
  <c r="AK226" i="12"/>
  <c r="AL226" i="12" s="1"/>
  <c r="AK227" i="12"/>
  <c r="AO227" i="12" s="1"/>
  <c r="AK228" i="12"/>
  <c r="AL228" i="12" s="1"/>
  <c r="AK229" i="12"/>
  <c r="AL229" i="12" s="1"/>
  <c r="AK230" i="12"/>
  <c r="AK231" i="12"/>
  <c r="AL231" i="12" s="1"/>
  <c r="AK232" i="12"/>
  <c r="AL232" i="12" s="1"/>
  <c r="AK233" i="12"/>
  <c r="AL233" i="12" s="1"/>
  <c r="AK234" i="12"/>
  <c r="AO234" i="12" s="1"/>
  <c r="AK235" i="12"/>
  <c r="AO235" i="12" s="1"/>
  <c r="AK236" i="12"/>
  <c r="AL236" i="12" s="1"/>
  <c r="AK237" i="12"/>
  <c r="AL237" i="12" s="1"/>
  <c r="AK238" i="12"/>
  <c r="AK239" i="12"/>
  <c r="AL239" i="12" s="1"/>
  <c r="AK240" i="12"/>
  <c r="AL240" i="12" s="1"/>
  <c r="AK241" i="12"/>
  <c r="AL241" i="12" s="1"/>
  <c r="AK242" i="12"/>
  <c r="AO242" i="12" s="1"/>
  <c r="AK243" i="12"/>
  <c r="AO243" i="12" s="1"/>
  <c r="AK244" i="12"/>
  <c r="AL244" i="12" s="1"/>
  <c r="AK245" i="12"/>
  <c r="AL245" i="12" s="1"/>
  <c r="AK246" i="12"/>
  <c r="AK247" i="12"/>
  <c r="AL247" i="12" s="1"/>
  <c r="AK248" i="12"/>
  <c r="AL248" i="12" s="1"/>
  <c r="AK249" i="12"/>
  <c r="AL249" i="12" s="1"/>
  <c r="AK250" i="12"/>
  <c r="AL250" i="12" s="1"/>
  <c r="AK251" i="12"/>
  <c r="AO251" i="12" s="1"/>
  <c r="AK252" i="12"/>
  <c r="AL252" i="12" s="1"/>
  <c r="AK253" i="12"/>
  <c r="AL253" i="12" s="1"/>
  <c r="AK254" i="12"/>
  <c r="AK255" i="12"/>
  <c r="AL255" i="12" s="1"/>
  <c r="AK256" i="12"/>
  <c r="AL256" i="12" s="1"/>
  <c r="AK257" i="12"/>
  <c r="AL257" i="12" s="1"/>
  <c r="AK258" i="12"/>
  <c r="AL258" i="12" s="1"/>
  <c r="AK259" i="12"/>
  <c r="AO259" i="12" s="1"/>
  <c r="AK260" i="12"/>
  <c r="AL260" i="12" s="1"/>
  <c r="AK261" i="12"/>
  <c r="AL261" i="12" s="1"/>
  <c r="AK262" i="12"/>
  <c r="AK263" i="12"/>
  <c r="AL263" i="12" s="1"/>
  <c r="AK264" i="12"/>
  <c r="AL264" i="12" s="1"/>
  <c r="AK265" i="12"/>
  <c r="AL265" i="12" s="1"/>
  <c r="AK266" i="12"/>
  <c r="AO266" i="12" s="1"/>
  <c r="AK267" i="12"/>
  <c r="AO267" i="12" s="1"/>
  <c r="AK268" i="12"/>
  <c r="AL268" i="12" s="1"/>
  <c r="AK269" i="12"/>
  <c r="AL269" i="12" s="1"/>
  <c r="AK270" i="12"/>
  <c r="AK271" i="12"/>
  <c r="AL271" i="12" s="1"/>
  <c r="AK272" i="12"/>
  <c r="AL272" i="12" s="1"/>
  <c r="AK273" i="12"/>
  <c r="AL273" i="12" s="1"/>
  <c r="AK274" i="12"/>
  <c r="AL274" i="12" s="1"/>
  <c r="AK275" i="12"/>
  <c r="AO275" i="12" s="1"/>
  <c r="AK276" i="12"/>
  <c r="AL276" i="12" s="1"/>
  <c r="AK277" i="12"/>
  <c r="AL277" i="12" s="1"/>
  <c r="AK278" i="12"/>
  <c r="AK279" i="12"/>
  <c r="AL279" i="12" s="1"/>
  <c r="AK280" i="12"/>
  <c r="AL280" i="12" s="1"/>
  <c r="AK281" i="12"/>
  <c r="AL281" i="12" s="1"/>
  <c r="AK282" i="12"/>
  <c r="AO282" i="12" s="1"/>
  <c r="AK283" i="12"/>
  <c r="AO283" i="12" s="1"/>
  <c r="AK284" i="12"/>
  <c r="AL284" i="12" s="1"/>
  <c r="AK285" i="12"/>
  <c r="AL285" i="12" s="1"/>
  <c r="AK286" i="12"/>
  <c r="AK287" i="12"/>
  <c r="AL287" i="12" s="1"/>
  <c r="AK288" i="12"/>
  <c r="AL288" i="12" s="1"/>
  <c r="AK289" i="12"/>
  <c r="AL289" i="12" s="1"/>
  <c r="AK290" i="12"/>
  <c r="AL290" i="12" s="1"/>
  <c r="AK291" i="12"/>
  <c r="AO291" i="12" s="1"/>
  <c r="AK292" i="12"/>
  <c r="AL292" i="12" s="1"/>
  <c r="AK293" i="12"/>
  <c r="AL293" i="12" s="1"/>
  <c r="AK294" i="12"/>
  <c r="AK295" i="12"/>
  <c r="AL295" i="12" s="1"/>
  <c r="AK296" i="12"/>
  <c r="AL296" i="12" s="1"/>
  <c r="AK297" i="12"/>
  <c r="AL297" i="12" s="1"/>
  <c r="AK298" i="12"/>
  <c r="AO298" i="12" s="1"/>
  <c r="AK299" i="12"/>
  <c r="AO299" i="12" s="1"/>
  <c r="AK300" i="12"/>
  <c r="AL300" i="12" s="1"/>
  <c r="AK301" i="12"/>
  <c r="AL301" i="12" s="1"/>
  <c r="AK302" i="12"/>
  <c r="AK303" i="12"/>
  <c r="AL303" i="12" s="1"/>
  <c r="AK304" i="12"/>
  <c r="AL304" i="12" s="1"/>
  <c r="AK305" i="12"/>
  <c r="AL305" i="12" s="1"/>
  <c r="AK306" i="12"/>
  <c r="AO306" i="12" s="1"/>
  <c r="AK307" i="12"/>
  <c r="AO307" i="12" s="1"/>
  <c r="AK308" i="12"/>
  <c r="AL308" i="12" s="1"/>
  <c r="AK309" i="12"/>
  <c r="AL309" i="12" s="1"/>
  <c r="AK310" i="12"/>
  <c r="AK311" i="12"/>
  <c r="AL311" i="12" s="1"/>
  <c r="AK312" i="12"/>
  <c r="AL312" i="12" s="1"/>
  <c r="AK313" i="12"/>
  <c r="AL313" i="12" s="1"/>
  <c r="AK314" i="12"/>
  <c r="AL314" i="12" s="1"/>
  <c r="AK315" i="12"/>
  <c r="AO315" i="12" s="1"/>
  <c r="AK316" i="12"/>
  <c r="AL316" i="12" s="1"/>
  <c r="AK317" i="12"/>
  <c r="AL317" i="12" s="1"/>
  <c r="AK318" i="12"/>
  <c r="AK319" i="12"/>
  <c r="AL319" i="12" s="1"/>
  <c r="AK320" i="12"/>
  <c r="AL320" i="12" s="1"/>
  <c r="AK321" i="12"/>
  <c r="AL321" i="12" s="1"/>
  <c r="AK322" i="12"/>
  <c r="AL322" i="12" s="1"/>
  <c r="AK323" i="12"/>
  <c r="AO323" i="12" s="1"/>
  <c r="AK324" i="12"/>
  <c r="AL324" i="12" s="1"/>
  <c r="AK325" i="12"/>
  <c r="AL325" i="12" s="1"/>
  <c r="AK326" i="12"/>
  <c r="AK327" i="12"/>
  <c r="AL327" i="12" s="1"/>
  <c r="AK328" i="12"/>
  <c r="AL328" i="12" s="1"/>
  <c r="AK329" i="12"/>
  <c r="AL329" i="12" s="1"/>
  <c r="AK330" i="12"/>
  <c r="AO330" i="12" s="1"/>
  <c r="AK331" i="12"/>
  <c r="AO331" i="12" s="1"/>
  <c r="AK332" i="12"/>
  <c r="AL332" i="12" s="1"/>
  <c r="AK333" i="12"/>
  <c r="AL333" i="12" s="1"/>
  <c r="AK334" i="12"/>
  <c r="AK335" i="12"/>
  <c r="AL335" i="12" s="1"/>
  <c r="AK336" i="12"/>
  <c r="AL336" i="12" s="1"/>
  <c r="AK337" i="12"/>
  <c r="AL337" i="12" s="1"/>
  <c r="AK338" i="12"/>
  <c r="AL338" i="12" s="1"/>
  <c r="AK339" i="12"/>
  <c r="AO339" i="12" s="1"/>
  <c r="AK340" i="12"/>
  <c r="AL340" i="12" s="1"/>
  <c r="AK341" i="12"/>
  <c r="AL341" i="12" s="1"/>
  <c r="AK342" i="12"/>
  <c r="AK343" i="12"/>
  <c r="AL343" i="12" s="1"/>
  <c r="AK344" i="12"/>
  <c r="AL344" i="12" s="1"/>
  <c r="AK345" i="12"/>
  <c r="AL345" i="12" s="1"/>
  <c r="AK346" i="12"/>
  <c r="AO346" i="12" s="1"/>
  <c r="AK347" i="12"/>
  <c r="AO347" i="12" s="1"/>
  <c r="AK348" i="12"/>
  <c r="AL348" i="12" s="1"/>
  <c r="AK349" i="12"/>
  <c r="AL349" i="12" s="1"/>
  <c r="AK350" i="12"/>
  <c r="AK351" i="12"/>
  <c r="AL351" i="12" s="1"/>
  <c r="AK352" i="12"/>
  <c r="AL352" i="12" s="1"/>
  <c r="AK353" i="12"/>
  <c r="AL353" i="12" s="1"/>
  <c r="AK354" i="12"/>
  <c r="AO354" i="12" s="1"/>
  <c r="AK355" i="12"/>
  <c r="AO355" i="12" s="1"/>
  <c r="AK356" i="12"/>
  <c r="AL356" i="12" s="1"/>
  <c r="AK357" i="12"/>
  <c r="AL357" i="12" s="1"/>
  <c r="AK358" i="12"/>
  <c r="AK359" i="12"/>
  <c r="AL359" i="12" s="1"/>
  <c r="AK360" i="12"/>
  <c r="AL360" i="12" s="1"/>
  <c r="AK361" i="12"/>
  <c r="AL361" i="12" s="1"/>
  <c r="AK362" i="12"/>
  <c r="AO362" i="12" s="1"/>
  <c r="AK363" i="12"/>
  <c r="AO363" i="12" s="1"/>
  <c r="AK364" i="12"/>
  <c r="AL364" i="12" s="1"/>
  <c r="AK365" i="12"/>
  <c r="AL365" i="12" s="1"/>
  <c r="AK366" i="12"/>
  <c r="AK367" i="12"/>
  <c r="AL367" i="12" s="1"/>
  <c r="AK368" i="12"/>
  <c r="AL368" i="12" s="1"/>
  <c r="AK369" i="12"/>
  <c r="AL369" i="12" s="1"/>
  <c r="AK370" i="12"/>
  <c r="AO370" i="12" s="1"/>
  <c r="AK371" i="12"/>
  <c r="AO371" i="12" s="1"/>
  <c r="AK372" i="12"/>
  <c r="AL372" i="12" s="1"/>
  <c r="AK373" i="12"/>
  <c r="AL373" i="12" s="1"/>
  <c r="AK374" i="12"/>
  <c r="AK375" i="12"/>
  <c r="AL375" i="12" s="1"/>
  <c r="AK376" i="12"/>
  <c r="AL376" i="12" s="1"/>
  <c r="AK377" i="12"/>
  <c r="AL377" i="12" s="1"/>
  <c r="AK378" i="12"/>
  <c r="AL378" i="12" s="1"/>
  <c r="AK379" i="12"/>
  <c r="AO379" i="12" s="1"/>
  <c r="AK380" i="12"/>
  <c r="AL380" i="12" s="1"/>
  <c r="AK381" i="12"/>
  <c r="AL381" i="12" s="1"/>
  <c r="AK382" i="12"/>
  <c r="AK383" i="12"/>
  <c r="AL383" i="12" s="1"/>
  <c r="AK384" i="12"/>
  <c r="AL384" i="12" s="1"/>
  <c r="AK385" i="12"/>
  <c r="AL385" i="12" s="1"/>
  <c r="AK386" i="12"/>
  <c r="AL386" i="12" s="1"/>
  <c r="AK387" i="12"/>
  <c r="AO387" i="12" s="1"/>
  <c r="AK388" i="12"/>
  <c r="AL388" i="12" s="1"/>
  <c r="AK389" i="12"/>
  <c r="AL389" i="12" s="1"/>
  <c r="AK390" i="12"/>
  <c r="AK391" i="12"/>
  <c r="AL391" i="12" s="1"/>
  <c r="AK392" i="12"/>
  <c r="AL392" i="12" s="1"/>
  <c r="AK393" i="12"/>
  <c r="AL393" i="12" s="1"/>
  <c r="AK394" i="12"/>
  <c r="AO394" i="12" s="1"/>
  <c r="AK395" i="12"/>
  <c r="AO395" i="12" s="1"/>
  <c r="AK396" i="12"/>
  <c r="AL396" i="12" s="1"/>
  <c r="AK397" i="12"/>
  <c r="AL397" i="12" s="1"/>
  <c r="AK398" i="12"/>
  <c r="AK399" i="12"/>
  <c r="AL399" i="12" s="1"/>
  <c r="AK400" i="12"/>
  <c r="AL400" i="12" s="1"/>
  <c r="AK401" i="12"/>
  <c r="AL401" i="12" s="1"/>
  <c r="AK402" i="12"/>
  <c r="AL402" i="12" s="1"/>
  <c r="AK403" i="12"/>
  <c r="AO403" i="12" s="1"/>
  <c r="AK404" i="12"/>
  <c r="AL404" i="12" s="1"/>
  <c r="AK3" i="12"/>
  <c r="AK4" i="12"/>
  <c r="AK5" i="12"/>
  <c r="AK6" i="12"/>
  <c r="AK7" i="12"/>
  <c r="AK8" i="12"/>
  <c r="AK9" i="12"/>
  <c r="AK10" i="12"/>
  <c r="AK11" i="12"/>
  <c r="AK12" i="12"/>
  <c r="AK13" i="12"/>
  <c r="AK14" i="12"/>
  <c r="AK15" i="12"/>
  <c r="AK16" i="12"/>
  <c r="AK17" i="12"/>
  <c r="AK18" i="12"/>
  <c r="AK19" i="12"/>
  <c r="AK20" i="12"/>
  <c r="AK21" i="12"/>
  <c r="AK22" i="12"/>
  <c r="AK23" i="12"/>
  <c r="AK24" i="12"/>
  <c r="AK25" i="12"/>
  <c r="AK26" i="12"/>
  <c r="AK27" i="12"/>
  <c r="AK28" i="12"/>
  <c r="AK29" i="12"/>
  <c r="AK30" i="12"/>
  <c r="AK31" i="12"/>
  <c r="AK32" i="12"/>
  <c r="AK33" i="12"/>
  <c r="AK34" i="12"/>
  <c r="AK35" i="12"/>
  <c r="AK36" i="12"/>
  <c r="AK37" i="12"/>
  <c r="AK38" i="12"/>
  <c r="AK39" i="12"/>
  <c r="AK40" i="12"/>
  <c r="AK41" i="12"/>
  <c r="AK42" i="12"/>
  <c r="AK43" i="12"/>
  <c r="AK44" i="12"/>
  <c r="AK45" i="12"/>
  <c r="AK46" i="12"/>
  <c r="AK47" i="12"/>
  <c r="AK48" i="12"/>
  <c r="AK49" i="12"/>
  <c r="AK50" i="12"/>
  <c r="AK51" i="12"/>
  <c r="AK52" i="12"/>
  <c r="AK53" i="12"/>
  <c r="AK54" i="12"/>
  <c r="AK55" i="12"/>
  <c r="AK56" i="12"/>
  <c r="AK57" i="12"/>
  <c r="AK58" i="12"/>
  <c r="AK59" i="12"/>
  <c r="AK60" i="12"/>
  <c r="AK61" i="12"/>
  <c r="AK62" i="12"/>
  <c r="AK63" i="12"/>
  <c r="AK64" i="12"/>
  <c r="AK65" i="12"/>
  <c r="AK66" i="12"/>
  <c r="AK67" i="12"/>
  <c r="AK68" i="12"/>
  <c r="AK69" i="12"/>
  <c r="AK70" i="12"/>
  <c r="AK71" i="12"/>
  <c r="AK72" i="12"/>
  <c r="AK73" i="12"/>
  <c r="AK74" i="12"/>
  <c r="AK75" i="12"/>
  <c r="AK76" i="12"/>
  <c r="AK77" i="12"/>
  <c r="AK78" i="12"/>
  <c r="AK79" i="12"/>
  <c r="AK80" i="12"/>
  <c r="AK81" i="12"/>
  <c r="AK82" i="12"/>
  <c r="AK83" i="12"/>
  <c r="AK84" i="12"/>
  <c r="AK85" i="12"/>
  <c r="AK86" i="12"/>
  <c r="AK87" i="12"/>
  <c r="AK88" i="12"/>
  <c r="AK89" i="12"/>
  <c r="AK90" i="12"/>
  <c r="AK91" i="12"/>
  <c r="AK92" i="12"/>
  <c r="AK93" i="12"/>
  <c r="AK94" i="12"/>
  <c r="AK95" i="12"/>
  <c r="AK96" i="12"/>
  <c r="AK97" i="12"/>
  <c r="AK98" i="12"/>
  <c r="AK99" i="12"/>
  <c r="AK100" i="12"/>
  <c r="AK101" i="12"/>
  <c r="AK102" i="12"/>
  <c r="AK103" i="12"/>
  <c r="AK104" i="12"/>
  <c r="AK105" i="12"/>
  <c r="AK106" i="12"/>
  <c r="AK107" i="12"/>
  <c r="AK108" i="12"/>
  <c r="AK109" i="12"/>
  <c r="AK110" i="12"/>
  <c r="AK111" i="12"/>
  <c r="AK112" i="12"/>
  <c r="AK113" i="12"/>
  <c r="AK114" i="12"/>
  <c r="AK115" i="12"/>
  <c r="AK116" i="12"/>
  <c r="AK117" i="12"/>
  <c r="AK118" i="12"/>
  <c r="AK119" i="12"/>
  <c r="AK120" i="12"/>
  <c r="AK121" i="12"/>
  <c r="AK122" i="12"/>
  <c r="AK123" i="12"/>
  <c r="AK124" i="12"/>
  <c r="AK125" i="12"/>
  <c r="AK126" i="12"/>
  <c r="AK127" i="12"/>
  <c r="AK128" i="12"/>
  <c r="AK129" i="12"/>
  <c r="AK130" i="12"/>
  <c r="AK131" i="12"/>
  <c r="AK132" i="12"/>
  <c r="AK133" i="12"/>
  <c r="AK134" i="12"/>
  <c r="AK135" i="12"/>
  <c r="AK136" i="12"/>
  <c r="AK137" i="12"/>
  <c r="AK138" i="12"/>
  <c r="AK139" i="12"/>
  <c r="AK140" i="12"/>
  <c r="AK141" i="12"/>
  <c r="AK142" i="12"/>
  <c r="AK143" i="12"/>
  <c r="AK144" i="12"/>
  <c r="AK145" i="12"/>
  <c r="AK146" i="12"/>
  <c r="AK147" i="12"/>
  <c r="AK148" i="12"/>
  <c r="AK149" i="12"/>
  <c r="AK150" i="12"/>
  <c r="AK151" i="12"/>
  <c r="AK152" i="12"/>
  <c r="AK153" i="12"/>
  <c r="AK154" i="12"/>
  <c r="AK155" i="12"/>
  <c r="AK156" i="12"/>
  <c r="AK157" i="12"/>
  <c r="AK158" i="12"/>
  <c r="AK159" i="12"/>
  <c r="AK160" i="12"/>
  <c r="AK161" i="12"/>
  <c r="AK162" i="12"/>
  <c r="AK163" i="12"/>
  <c r="AK164" i="12"/>
  <c r="AK165" i="12"/>
  <c r="AK166" i="12"/>
  <c r="AK167" i="12"/>
  <c r="AK168" i="12"/>
  <c r="AK169" i="12"/>
  <c r="AK170" i="12"/>
  <c r="AK171" i="12"/>
  <c r="AK172" i="12"/>
  <c r="AK173" i="12"/>
  <c r="AK174" i="12"/>
  <c r="AK175" i="12"/>
  <c r="AK176" i="12"/>
  <c r="AK177" i="12"/>
  <c r="AK178" i="12"/>
  <c r="AK179" i="12"/>
  <c r="AK180" i="12"/>
  <c r="AK181" i="12"/>
  <c r="AK182" i="12"/>
  <c r="AK183" i="12"/>
  <c r="AK184" i="12"/>
  <c r="AK185" i="12"/>
  <c r="AK186" i="12"/>
  <c r="AK187" i="12"/>
  <c r="AK188" i="12"/>
  <c r="AK189" i="12"/>
  <c r="AK190" i="12"/>
  <c r="AK191" i="12"/>
  <c r="AK2" i="12"/>
  <c r="AI192" i="12"/>
  <c r="AI193" i="12"/>
  <c r="AI194" i="12"/>
  <c r="AI195" i="12"/>
  <c r="AI196" i="12"/>
  <c r="AI197" i="12"/>
  <c r="AI198" i="12"/>
  <c r="AI199" i="12"/>
  <c r="AI200" i="12"/>
  <c r="AI201" i="12"/>
  <c r="AI202" i="12"/>
  <c r="AI203" i="12"/>
  <c r="AI204" i="12"/>
  <c r="AI205" i="12"/>
  <c r="AI206" i="12"/>
  <c r="AI207" i="12"/>
  <c r="AI208" i="12"/>
  <c r="AI209" i="12"/>
  <c r="AI210" i="12"/>
  <c r="AI211" i="12"/>
  <c r="AI212" i="12"/>
  <c r="AI213" i="12"/>
  <c r="AI214" i="12"/>
  <c r="AI215" i="12"/>
  <c r="AI216" i="12"/>
  <c r="AI217" i="12"/>
  <c r="AI218" i="12"/>
  <c r="AI219" i="12"/>
  <c r="AI220" i="12"/>
  <c r="AI221" i="12"/>
  <c r="AI222" i="12"/>
  <c r="AI223" i="12"/>
  <c r="AI224" i="12"/>
  <c r="AI225" i="12"/>
  <c r="AI226" i="12"/>
  <c r="AI227" i="12"/>
  <c r="AI228" i="12"/>
  <c r="AI229" i="12"/>
  <c r="AI230" i="12"/>
  <c r="AI231" i="12"/>
  <c r="AI232" i="12"/>
  <c r="AI233" i="12"/>
  <c r="AI234" i="12"/>
  <c r="AI235" i="12"/>
  <c r="AI236" i="12"/>
  <c r="AI237" i="12"/>
  <c r="AI238" i="12"/>
  <c r="AI239" i="12"/>
  <c r="AI240" i="12"/>
  <c r="AI241" i="12"/>
  <c r="AI242" i="12"/>
  <c r="AI243" i="12"/>
  <c r="AI244" i="12"/>
  <c r="AI245" i="12"/>
  <c r="AI246" i="12"/>
  <c r="AI247" i="12"/>
  <c r="AI248" i="12"/>
  <c r="AI249" i="12"/>
  <c r="AI250" i="12"/>
  <c r="AI251" i="12"/>
  <c r="AI252" i="12"/>
  <c r="AI253" i="12"/>
  <c r="AI254" i="12"/>
  <c r="AI255" i="12"/>
  <c r="AI256" i="12"/>
  <c r="AI257" i="12"/>
  <c r="AI258" i="12"/>
  <c r="AI259" i="12"/>
  <c r="AI260" i="12"/>
  <c r="AI261" i="12"/>
  <c r="AI262" i="12"/>
  <c r="AI263" i="12"/>
  <c r="AI264" i="12"/>
  <c r="AI265" i="12"/>
  <c r="AI266" i="12"/>
  <c r="AI267" i="12"/>
  <c r="AI268" i="12"/>
  <c r="AI269" i="12"/>
  <c r="AI270" i="12"/>
  <c r="AI271" i="12"/>
  <c r="AI272" i="12"/>
  <c r="AI273" i="12"/>
  <c r="AI274" i="12"/>
  <c r="AI275" i="12"/>
  <c r="AI276" i="12"/>
  <c r="AI277" i="12"/>
  <c r="AI278" i="12"/>
  <c r="AI279" i="12"/>
  <c r="AI280" i="12"/>
  <c r="AI281" i="12"/>
  <c r="AI282" i="12"/>
  <c r="AI283" i="12"/>
  <c r="AI284" i="12"/>
  <c r="AI285" i="12"/>
  <c r="AI286" i="12"/>
  <c r="AI287" i="12"/>
  <c r="AI288" i="12"/>
  <c r="AI289" i="12"/>
  <c r="AI290" i="12"/>
  <c r="AI291" i="12"/>
  <c r="AI292" i="12"/>
  <c r="AI293" i="12"/>
  <c r="AI294" i="12"/>
  <c r="AI295" i="12"/>
  <c r="AI296" i="12"/>
  <c r="AI297" i="12"/>
  <c r="AI298" i="12"/>
  <c r="AI299" i="12"/>
  <c r="AI300" i="12"/>
  <c r="AI301" i="12"/>
  <c r="AI302" i="12"/>
  <c r="AI303" i="12"/>
  <c r="AI304" i="12"/>
  <c r="AI305" i="12"/>
  <c r="AI306" i="12"/>
  <c r="AI307" i="12"/>
  <c r="AI308" i="12"/>
  <c r="AI309" i="12"/>
  <c r="AI310" i="12"/>
  <c r="AI311" i="12"/>
  <c r="AI312" i="12"/>
  <c r="AI313" i="12"/>
  <c r="AI314" i="12"/>
  <c r="AI315" i="12"/>
  <c r="AI316" i="12"/>
  <c r="AI317" i="12"/>
  <c r="AI318" i="12"/>
  <c r="AI319" i="12"/>
  <c r="AI320" i="12"/>
  <c r="AI321" i="12"/>
  <c r="AI322" i="12"/>
  <c r="AI323" i="12"/>
  <c r="AI324" i="12"/>
  <c r="AI325" i="12"/>
  <c r="AI326" i="12"/>
  <c r="AI327" i="12"/>
  <c r="AI328" i="12"/>
  <c r="AI329" i="12"/>
  <c r="AI330" i="12"/>
  <c r="AI331" i="12"/>
  <c r="AI332" i="12"/>
  <c r="AI333" i="12"/>
  <c r="AI334" i="12"/>
  <c r="AI335" i="12"/>
  <c r="AI336" i="12"/>
  <c r="AI337" i="12"/>
  <c r="AI338" i="12"/>
  <c r="AI339" i="12"/>
  <c r="AI340" i="12"/>
  <c r="AI341" i="12"/>
  <c r="AI342" i="12"/>
  <c r="AI343" i="12"/>
  <c r="AI344" i="12"/>
  <c r="AI345" i="12"/>
  <c r="AI346" i="12"/>
  <c r="AI347" i="12"/>
  <c r="AI348" i="12"/>
  <c r="AI349" i="12"/>
  <c r="AI350" i="12"/>
  <c r="AI351" i="12"/>
  <c r="AI352" i="12"/>
  <c r="AI353" i="12"/>
  <c r="AI354" i="12"/>
  <c r="AI355" i="12"/>
  <c r="AI356" i="12"/>
  <c r="AI357" i="12"/>
  <c r="AI358" i="12"/>
  <c r="AI359" i="12"/>
  <c r="AI360" i="12"/>
  <c r="AI361" i="12"/>
  <c r="AI362" i="12"/>
  <c r="AI363" i="12"/>
  <c r="AI364" i="12"/>
  <c r="AI365" i="12"/>
  <c r="AI366" i="12"/>
  <c r="AI367" i="12"/>
  <c r="AI368" i="12"/>
  <c r="AI369" i="12"/>
  <c r="AI370" i="12"/>
  <c r="AI371" i="12"/>
  <c r="AI372" i="12"/>
  <c r="AI373" i="12"/>
  <c r="AI374" i="12"/>
  <c r="AI375" i="12"/>
  <c r="AI376" i="12"/>
  <c r="AI377" i="12"/>
  <c r="AI378" i="12"/>
  <c r="AI379" i="12"/>
  <c r="AI380" i="12"/>
  <c r="AI381" i="12"/>
  <c r="AI382" i="12"/>
  <c r="AI383" i="12"/>
  <c r="AI384" i="12"/>
  <c r="AI385" i="12"/>
  <c r="AI386" i="12"/>
  <c r="AI387" i="12"/>
  <c r="AI388" i="12"/>
  <c r="AI389" i="12"/>
  <c r="AI390" i="12"/>
  <c r="AI391" i="12"/>
  <c r="AI392" i="12"/>
  <c r="AI393" i="12"/>
  <c r="AI394" i="12"/>
  <c r="AI395" i="12"/>
  <c r="AI396" i="12"/>
  <c r="AI397" i="12"/>
  <c r="AI398" i="12"/>
  <c r="AI399" i="12"/>
  <c r="AI400" i="12"/>
  <c r="AI401" i="12"/>
  <c r="AI402" i="12"/>
  <c r="AI403" i="12"/>
  <c r="AI404" i="12"/>
  <c r="AH192" i="12"/>
  <c r="AH193" i="12"/>
  <c r="AH194" i="12"/>
  <c r="AH195" i="12"/>
  <c r="AH196" i="12"/>
  <c r="AH197" i="12"/>
  <c r="AH198" i="12"/>
  <c r="AH199" i="12"/>
  <c r="AH200" i="12"/>
  <c r="AH201" i="12"/>
  <c r="AH202" i="12"/>
  <c r="AH203" i="12"/>
  <c r="AH204" i="12"/>
  <c r="AH205" i="12"/>
  <c r="AH206" i="12"/>
  <c r="AH207" i="12"/>
  <c r="AH208" i="12"/>
  <c r="AH209" i="12"/>
  <c r="AH210" i="12"/>
  <c r="AH211" i="12"/>
  <c r="AH212" i="12"/>
  <c r="AH213" i="12"/>
  <c r="AH214" i="12"/>
  <c r="AH215" i="12"/>
  <c r="AH216" i="12"/>
  <c r="AH217" i="12"/>
  <c r="AH218" i="12"/>
  <c r="AH219" i="12"/>
  <c r="AH220" i="12"/>
  <c r="AH221" i="12"/>
  <c r="AH222" i="12"/>
  <c r="AH223" i="12"/>
  <c r="AH224" i="12"/>
  <c r="AH225" i="12"/>
  <c r="AH226" i="12"/>
  <c r="AH227" i="12"/>
  <c r="AH228" i="12"/>
  <c r="AH229" i="12"/>
  <c r="AH230" i="12"/>
  <c r="AH231" i="12"/>
  <c r="AH232" i="12"/>
  <c r="AH233" i="12"/>
  <c r="AH234" i="12"/>
  <c r="AH235" i="12"/>
  <c r="AH236" i="12"/>
  <c r="AH237" i="12"/>
  <c r="AH238" i="12"/>
  <c r="AH239" i="12"/>
  <c r="AH240" i="12"/>
  <c r="AH241" i="12"/>
  <c r="AH242" i="12"/>
  <c r="AH243" i="12"/>
  <c r="AH244" i="12"/>
  <c r="AH245" i="12"/>
  <c r="AH246" i="12"/>
  <c r="AH247" i="12"/>
  <c r="AH248" i="12"/>
  <c r="AH249" i="12"/>
  <c r="AH250" i="12"/>
  <c r="AH251" i="12"/>
  <c r="AH252" i="12"/>
  <c r="AH253" i="12"/>
  <c r="AH254" i="12"/>
  <c r="AH255" i="12"/>
  <c r="AH256" i="12"/>
  <c r="AH257" i="12"/>
  <c r="AH258" i="12"/>
  <c r="AH259" i="12"/>
  <c r="AH260" i="12"/>
  <c r="AH261" i="12"/>
  <c r="AH262" i="12"/>
  <c r="AH263" i="12"/>
  <c r="AH264" i="12"/>
  <c r="AH265" i="12"/>
  <c r="AH266" i="12"/>
  <c r="AH267" i="12"/>
  <c r="AH268" i="12"/>
  <c r="AH269" i="12"/>
  <c r="AH270" i="12"/>
  <c r="AH271" i="12"/>
  <c r="AH272" i="12"/>
  <c r="AH273" i="12"/>
  <c r="AH274" i="12"/>
  <c r="AH275" i="12"/>
  <c r="AH276" i="12"/>
  <c r="AH277" i="12"/>
  <c r="AH278" i="12"/>
  <c r="AH279" i="12"/>
  <c r="AH280" i="12"/>
  <c r="AH281" i="12"/>
  <c r="AH282" i="12"/>
  <c r="AH283" i="12"/>
  <c r="AH284" i="12"/>
  <c r="AH285" i="12"/>
  <c r="AH286" i="12"/>
  <c r="AH287" i="12"/>
  <c r="AH288" i="12"/>
  <c r="AH289" i="12"/>
  <c r="AH290" i="12"/>
  <c r="AH291" i="12"/>
  <c r="AH292" i="12"/>
  <c r="AH293" i="12"/>
  <c r="AH294" i="12"/>
  <c r="AH295" i="12"/>
  <c r="AH296" i="12"/>
  <c r="AH297" i="12"/>
  <c r="AH298" i="12"/>
  <c r="AH299" i="12"/>
  <c r="AH300" i="12"/>
  <c r="AH301" i="12"/>
  <c r="AH302" i="12"/>
  <c r="AH303" i="12"/>
  <c r="AH304" i="12"/>
  <c r="AH305" i="12"/>
  <c r="AH306" i="12"/>
  <c r="AH307" i="12"/>
  <c r="AH308" i="12"/>
  <c r="AH309" i="12"/>
  <c r="AH310" i="12"/>
  <c r="AH311" i="12"/>
  <c r="AH312" i="12"/>
  <c r="AH313" i="12"/>
  <c r="AH314" i="12"/>
  <c r="AH315" i="12"/>
  <c r="AH316" i="12"/>
  <c r="AH317" i="12"/>
  <c r="AH318" i="12"/>
  <c r="AH319" i="12"/>
  <c r="AH320" i="12"/>
  <c r="AH321" i="12"/>
  <c r="AH322" i="12"/>
  <c r="AH323" i="12"/>
  <c r="AH324" i="12"/>
  <c r="AH325" i="12"/>
  <c r="AH326" i="12"/>
  <c r="AH327" i="12"/>
  <c r="AH328" i="12"/>
  <c r="AH329" i="12"/>
  <c r="AH330" i="12"/>
  <c r="AH331" i="12"/>
  <c r="AH332" i="12"/>
  <c r="AH333" i="12"/>
  <c r="AH334" i="12"/>
  <c r="AH335" i="12"/>
  <c r="AH336" i="12"/>
  <c r="AH337" i="12"/>
  <c r="AH338" i="12"/>
  <c r="AH339" i="12"/>
  <c r="AH340" i="12"/>
  <c r="AH341" i="12"/>
  <c r="AH342" i="12"/>
  <c r="AH343" i="12"/>
  <c r="AH344" i="12"/>
  <c r="AH345" i="12"/>
  <c r="AH346" i="12"/>
  <c r="AH347" i="12"/>
  <c r="AH348" i="12"/>
  <c r="AH349" i="12"/>
  <c r="AH350" i="12"/>
  <c r="AH351" i="12"/>
  <c r="AH352" i="12"/>
  <c r="AH353" i="12"/>
  <c r="AH354" i="12"/>
  <c r="AH355" i="12"/>
  <c r="AH356" i="12"/>
  <c r="AH357" i="12"/>
  <c r="AH358" i="12"/>
  <c r="AH359" i="12"/>
  <c r="AH360" i="12"/>
  <c r="AH361" i="12"/>
  <c r="AH362" i="12"/>
  <c r="AH363" i="12"/>
  <c r="AH364" i="12"/>
  <c r="AH365" i="12"/>
  <c r="AH366" i="12"/>
  <c r="AH367" i="12"/>
  <c r="AH368" i="12"/>
  <c r="AH369" i="12"/>
  <c r="AH370" i="12"/>
  <c r="AH371" i="12"/>
  <c r="AH372" i="12"/>
  <c r="AH373" i="12"/>
  <c r="AH374" i="12"/>
  <c r="AH375" i="12"/>
  <c r="AH376" i="12"/>
  <c r="AH377" i="12"/>
  <c r="AH378" i="12"/>
  <c r="AH379" i="12"/>
  <c r="AH380" i="12"/>
  <c r="AH381" i="12"/>
  <c r="AH382" i="12"/>
  <c r="AH383" i="12"/>
  <c r="AH384" i="12"/>
  <c r="AH385" i="12"/>
  <c r="AH386" i="12"/>
  <c r="AH387" i="12"/>
  <c r="AH388" i="12"/>
  <c r="AH389" i="12"/>
  <c r="AH390" i="12"/>
  <c r="AH391" i="12"/>
  <c r="AH392" i="12"/>
  <c r="AH393" i="12"/>
  <c r="AH394" i="12"/>
  <c r="AH395" i="12"/>
  <c r="AH396" i="12"/>
  <c r="AH397" i="12"/>
  <c r="AH398" i="12"/>
  <c r="AH399" i="12"/>
  <c r="AH400" i="12"/>
  <c r="AH401" i="12"/>
  <c r="AH402" i="12"/>
  <c r="AH403" i="12"/>
  <c r="AH404" i="12"/>
  <c r="AF192" i="12"/>
  <c r="AJ192" i="12" s="1"/>
  <c r="AF193" i="12"/>
  <c r="AJ193" i="12" s="1"/>
  <c r="AF194" i="12"/>
  <c r="AF195" i="12"/>
  <c r="AG195" i="12" s="1"/>
  <c r="AF196" i="12"/>
  <c r="AJ196" i="12" s="1"/>
  <c r="AF197" i="12"/>
  <c r="AJ197" i="12" s="1"/>
  <c r="AF198" i="12"/>
  <c r="AG198" i="12" s="1"/>
  <c r="AF199" i="12"/>
  <c r="AJ199" i="12" s="1"/>
  <c r="AF200" i="12"/>
  <c r="AJ200" i="12" s="1"/>
  <c r="AF201" i="12"/>
  <c r="AJ201" i="12" s="1"/>
  <c r="AF202" i="12"/>
  <c r="AG202" i="12" s="1"/>
  <c r="AF203" i="12"/>
  <c r="AG203" i="12" s="1"/>
  <c r="AF204" i="12"/>
  <c r="AJ204" i="12" s="1"/>
  <c r="AF205" i="12"/>
  <c r="AJ205" i="12" s="1"/>
  <c r="AF206" i="12"/>
  <c r="AJ206" i="12" s="1"/>
  <c r="AF207" i="12"/>
  <c r="AJ207" i="12" s="1"/>
  <c r="AF208" i="12"/>
  <c r="AJ208" i="12" s="1"/>
  <c r="AF209" i="12"/>
  <c r="AJ209" i="12" s="1"/>
  <c r="AF210" i="12"/>
  <c r="AF211" i="12"/>
  <c r="AJ211" i="12" s="1"/>
  <c r="AF212" i="12"/>
  <c r="AJ212" i="12" s="1"/>
  <c r="AF213" i="12"/>
  <c r="AJ213" i="12" s="1"/>
  <c r="AF214" i="12"/>
  <c r="AJ214" i="12" s="1"/>
  <c r="AF215" i="12"/>
  <c r="AJ215" i="12" s="1"/>
  <c r="AF216" i="12"/>
  <c r="AJ216" i="12" s="1"/>
  <c r="AF217" i="12"/>
  <c r="AJ217" i="12" s="1"/>
  <c r="AF218" i="12"/>
  <c r="AF219" i="12"/>
  <c r="AF220" i="12"/>
  <c r="AJ220" i="12" s="1"/>
  <c r="AF221" i="12"/>
  <c r="AJ221" i="12" s="1"/>
  <c r="AF222" i="12"/>
  <c r="AJ222" i="12" s="1"/>
  <c r="AF223" i="12"/>
  <c r="AJ223" i="12" s="1"/>
  <c r="AF224" i="12"/>
  <c r="AJ224" i="12" s="1"/>
  <c r="AF225" i="12"/>
  <c r="AJ225" i="12" s="1"/>
  <c r="AF226" i="12"/>
  <c r="AF227" i="12"/>
  <c r="AJ227" i="12" s="1"/>
  <c r="AF228" i="12"/>
  <c r="AJ228" i="12" s="1"/>
  <c r="AF229" i="12"/>
  <c r="AJ229" i="12" s="1"/>
  <c r="AF230" i="12"/>
  <c r="AG230" i="12" s="1"/>
  <c r="AF231" i="12"/>
  <c r="AJ231" i="12" s="1"/>
  <c r="AF232" i="12"/>
  <c r="AJ232" i="12" s="1"/>
  <c r="AF233" i="12"/>
  <c r="AJ233" i="12" s="1"/>
  <c r="AF234" i="12"/>
  <c r="AF235" i="12"/>
  <c r="AG235" i="12" s="1"/>
  <c r="AF236" i="12"/>
  <c r="AJ236" i="12" s="1"/>
  <c r="AF237" i="12"/>
  <c r="AJ237" i="12" s="1"/>
  <c r="AF238" i="12"/>
  <c r="AJ238" i="12" s="1"/>
  <c r="AF239" i="12"/>
  <c r="AJ239" i="12" s="1"/>
  <c r="AF240" i="12"/>
  <c r="AJ240" i="12" s="1"/>
  <c r="AF241" i="12"/>
  <c r="AJ241" i="12" s="1"/>
  <c r="AF242" i="12"/>
  <c r="AF243" i="12"/>
  <c r="AG243" i="12" s="1"/>
  <c r="AF244" i="12"/>
  <c r="AJ244" i="12" s="1"/>
  <c r="AF245" i="12"/>
  <c r="AJ245" i="12" s="1"/>
  <c r="AF246" i="12"/>
  <c r="AJ246" i="12" s="1"/>
  <c r="AF247" i="12"/>
  <c r="AJ247" i="12" s="1"/>
  <c r="AF248" i="12"/>
  <c r="AJ248" i="12" s="1"/>
  <c r="AF249" i="12"/>
  <c r="AJ249" i="12" s="1"/>
  <c r="AF250" i="12"/>
  <c r="AF251" i="12"/>
  <c r="AF252" i="12"/>
  <c r="AJ252" i="12" s="1"/>
  <c r="AF253" i="12"/>
  <c r="AJ253" i="12" s="1"/>
  <c r="AF254" i="12"/>
  <c r="AJ254" i="12" s="1"/>
  <c r="AF255" i="12"/>
  <c r="AJ255" i="12" s="1"/>
  <c r="AF256" i="12"/>
  <c r="AJ256" i="12" s="1"/>
  <c r="AF257" i="12"/>
  <c r="AJ257" i="12" s="1"/>
  <c r="AF258" i="12"/>
  <c r="AF259" i="12"/>
  <c r="AG259" i="12" s="1"/>
  <c r="AF260" i="12"/>
  <c r="AJ260" i="12" s="1"/>
  <c r="AF261" i="12"/>
  <c r="AJ261" i="12" s="1"/>
  <c r="AF262" i="12"/>
  <c r="AG262" i="12" s="1"/>
  <c r="AF263" i="12"/>
  <c r="AJ263" i="12" s="1"/>
  <c r="AF264" i="12"/>
  <c r="AJ264" i="12" s="1"/>
  <c r="AF265" i="12"/>
  <c r="AJ265" i="12" s="1"/>
  <c r="AF266" i="12"/>
  <c r="AG266" i="12" s="1"/>
  <c r="AF267" i="12"/>
  <c r="AG267" i="12" s="1"/>
  <c r="AF268" i="12"/>
  <c r="AJ268" i="12" s="1"/>
  <c r="AF269" i="12"/>
  <c r="AJ269" i="12" s="1"/>
  <c r="AF270" i="12"/>
  <c r="AJ270" i="12" s="1"/>
  <c r="AF271" i="12"/>
  <c r="AJ271" i="12" s="1"/>
  <c r="AF272" i="12"/>
  <c r="AJ272" i="12" s="1"/>
  <c r="AF273" i="12"/>
  <c r="AJ273" i="12" s="1"/>
  <c r="AF274" i="12"/>
  <c r="AF275" i="12"/>
  <c r="AJ275" i="12" s="1"/>
  <c r="AF276" i="12"/>
  <c r="AJ276" i="12" s="1"/>
  <c r="AF277" i="12"/>
  <c r="AJ277" i="12" s="1"/>
  <c r="AF278" i="12"/>
  <c r="AJ278" i="12" s="1"/>
  <c r="AF279" i="12"/>
  <c r="AJ279" i="12" s="1"/>
  <c r="AF280" i="12"/>
  <c r="AJ280" i="12" s="1"/>
  <c r="AF281" i="12"/>
  <c r="AJ281" i="12" s="1"/>
  <c r="AF282" i="12"/>
  <c r="AF283" i="12"/>
  <c r="AF284" i="12"/>
  <c r="AJ284" i="12" s="1"/>
  <c r="AF285" i="12"/>
  <c r="AJ285" i="12" s="1"/>
  <c r="AF286" i="12"/>
  <c r="AG286" i="12" s="1"/>
  <c r="AF287" i="12"/>
  <c r="AJ287" i="12" s="1"/>
  <c r="AF288" i="12"/>
  <c r="AJ288" i="12" s="1"/>
  <c r="AF289" i="12"/>
  <c r="AJ289" i="12" s="1"/>
  <c r="AF290" i="12"/>
  <c r="AF291" i="12"/>
  <c r="AJ291" i="12" s="1"/>
  <c r="AF292" i="12"/>
  <c r="AJ292" i="12" s="1"/>
  <c r="AF293" i="12"/>
  <c r="AJ293" i="12" s="1"/>
  <c r="AF294" i="12"/>
  <c r="AJ294" i="12" s="1"/>
  <c r="AF295" i="12"/>
  <c r="AJ295" i="12" s="1"/>
  <c r="AF296" i="12"/>
  <c r="AJ296" i="12" s="1"/>
  <c r="AF297" i="12"/>
  <c r="AJ297" i="12" s="1"/>
  <c r="AF298" i="12"/>
  <c r="AF299" i="12"/>
  <c r="AG299" i="12" s="1"/>
  <c r="AF300" i="12"/>
  <c r="AJ300" i="12" s="1"/>
  <c r="AF301" i="12"/>
  <c r="AJ301" i="12" s="1"/>
  <c r="AF302" i="12"/>
  <c r="AJ302" i="12" s="1"/>
  <c r="AF303" i="12"/>
  <c r="AJ303" i="12" s="1"/>
  <c r="AF304" i="12"/>
  <c r="AJ304" i="12" s="1"/>
  <c r="AF305" i="12"/>
  <c r="AJ305" i="12" s="1"/>
  <c r="AF306" i="12"/>
  <c r="AF307" i="12"/>
  <c r="AF308" i="12"/>
  <c r="AJ308" i="12" s="1"/>
  <c r="AF309" i="12"/>
  <c r="AJ309" i="12" s="1"/>
  <c r="AF310" i="12"/>
  <c r="AJ310" i="12" s="1"/>
  <c r="AF311" i="12"/>
  <c r="AJ311" i="12" s="1"/>
  <c r="AF312" i="12"/>
  <c r="AJ312" i="12" s="1"/>
  <c r="AF313" i="12"/>
  <c r="AJ313" i="12" s="1"/>
  <c r="AF314" i="12"/>
  <c r="AF315" i="12"/>
  <c r="AF316" i="12"/>
  <c r="AJ316" i="12" s="1"/>
  <c r="AF317" i="12"/>
  <c r="AJ317" i="12" s="1"/>
  <c r="AF318" i="12"/>
  <c r="AJ318" i="12" s="1"/>
  <c r="AF319" i="12"/>
  <c r="AJ319" i="12" s="1"/>
  <c r="AF320" i="12"/>
  <c r="AJ320" i="12" s="1"/>
  <c r="AF321" i="12"/>
  <c r="AJ321" i="12" s="1"/>
  <c r="AF322" i="12"/>
  <c r="AF323" i="12"/>
  <c r="AG323" i="12" s="1"/>
  <c r="AF324" i="12"/>
  <c r="AJ324" i="12" s="1"/>
  <c r="AF325" i="12"/>
  <c r="AJ325" i="12" s="1"/>
  <c r="AF326" i="12"/>
  <c r="AJ326" i="12" s="1"/>
  <c r="AF327" i="12"/>
  <c r="AJ327" i="12" s="1"/>
  <c r="AF328" i="12"/>
  <c r="AJ328" i="12" s="1"/>
  <c r="AF329" i="12"/>
  <c r="AJ329" i="12" s="1"/>
  <c r="AF330" i="12"/>
  <c r="AG330" i="12" s="1"/>
  <c r="AF331" i="12"/>
  <c r="AG331" i="12" s="1"/>
  <c r="AF332" i="12"/>
  <c r="AJ332" i="12" s="1"/>
  <c r="AF333" i="12"/>
  <c r="AJ333" i="12" s="1"/>
  <c r="AF334" i="12"/>
  <c r="AJ334" i="12" s="1"/>
  <c r="AF335" i="12"/>
  <c r="AJ335" i="12" s="1"/>
  <c r="AF336" i="12"/>
  <c r="AJ336" i="12" s="1"/>
  <c r="AF337" i="12"/>
  <c r="AJ337" i="12" s="1"/>
  <c r="AF338" i="12"/>
  <c r="AF339" i="12"/>
  <c r="AJ339" i="12" s="1"/>
  <c r="AF340" i="12"/>
  <c r="AJ340" i="12" s="1"/>
  <c r="AF341" i="12"/>
  <c r="AJ341" i="12" s="1"/>
  <c r="AF342" i="12"/>
  <c r="AJ342" i="12" s="1"/>
  <c r="AF343" i="12"/>
  <c r="AJ343" i="12" s="1"/>
  <c r="AF344" i="12"/>
  <c r="AJ344" i="12" s="1"/>
  <c r="AF345" i="12"/>
  <c r="AJ345" i="12" s="1"/>
  <c r="AF346" i="12"/>
  <c r="AF347" i="12"/>
  <c r="AF348" i="12"/>
  <c r="AJ348" i="12" s="1"/>
  <c r="AF349" i="12"/>
  <c r="AG349" i="12" s="1"/>
  <c r="AF350" i="12"/>
  <c r="AJ350" i="12" s="1"/>
  <c r="AF351" i="12"/>
  <c r="AJ351" i="12" s="1"/>
  <c r="AF352" i="12"/>
  <c r="AG352" i="12" s="1"/>
  <c r="AF353" i="12"/>
  <c r="AG353" i="12" s="1"/>
  <c r="AF354" i="12"/>
  <c r="AF355" i="12"/>
  <c r="AG355" i="12" s="1"/>
  <c r="AF356" i="12"/>
  <c r="AG356" i="12" s="1"/>
  <c r="AF357" i="12"/>
  <c r="AG357" i="12" s="1"/>
  <c r="AF358" i="12"/>
  <c r="AJ358" i="12" s="1"/>
  <c r="AF359" i="12"/>
  <c r="AJ359" i="12" s="1"/>
  <c r="AF360" i="12"/>
  <c r="AG360" i="12" s="1"/>
  <c r="AF361" i="12"/>
  <c r="AG361" i="12" s="1"/>
  <c r="AF362" i="12"/>
  <c r="AF363" i="12"/>
  <c r="AG363" i="12" s="1"/>
  <c r="AF364" i="12"/>
  <c r="AG364" i="12" s="1"/>
  <c r="AF365" i="12"/>
  <c r="AG365" i="12" s="1"/>
  <c r="AF366" i="12"/>
  <c r="AJ366" i="12" s="1"/>
  <c r="AF367" i="12"/>
  <c r="AJ367" i="12" s="1"/>
  <c r="AF368" i="12"/>
  <c r="AG368" i="12" s="1"/>
  <c r="AF369" i="12"/>
  <c r="AG369" i="12" s="1"/>
  <c r="AF370" i="12"/>
  <c r="AF371" i="12"/>
  <c r="AG371" i="12" s="1"/>
  <c r="AF372" i="12"/>
  <c r="AG372" i="12" s="1"/>
  <c r="AF373" i="12"/>
  <c r="AG373" i="12" s="1"/>
  <c r="AF374" i="12"/>
  <c r="AJ374" i="12" s="1"/>
  <c r="AF375" i="12"/>
  <c r="AJ375" i="12" s="1"/>
  <c r="AF376" i="12"/>
  <c r="AG376" i="12" s="1"/>
  <c r="AF377" i="12"/>
  <c r="AF378" i="12"/>
  <c r="AF379" i="12"/>
  <c r="AG379" i="12" s="1"/>
  <c r="AF380" i="12"/>
  <c r="AG380" i="12" s="1"/>
  <c r="AF381" i="12"/>
  <c r="AG381" i="12" s="1"/>
  <c r="AF382" i="12"/>
  <c r="AJ382" i="12" s="1"/>
  <c r="AF383" i="12"/>
  <c r="AJ383" i="12" s="1"/>
  <c r="AF384" i="12"/>
  <c r="AG384" i="12" s="1"/>
  <c r="AF385" i="12"/>
  <c r="AF386" i="12"/>
  <c r="AF387" i="12"/>
  <c r="AG387" i="12" s="1"/>
  <c r="AF388" i="12"/>
  <c r="AG388" i="12" s="1"/>
  <c r="AF389" i="12"/>
  <c r="AG389" i="12" s="1"/>
  <c r="AF390" i="12"/>
  <c r="AJ390" i="12" s="1"/>
  <c r="AF391" i="12"/>
  <c r="AJ391" i="12" s="1"/>
  <c r="AF392" i="12"/>
  <c r="AG392" i="12" s="1"/>
  <c r="AF393" i="12"/>
  <c r="AF394" i="12"/>
  <c r="AF395" i="12"/>
  <c r="AG395" i="12" s="1"/>
  <c r="AF396" i="12"/>
  <c r="AG396" i="12" s="1"/>
  <c r="AF397" i="12"/>
  <c r="AG397" i="12" s="1"/>
  <c r="AF398" i="12"/>
  <c r="AJ398" i="12" s="1"/>
  <c r="AF399" i="12"/>
  <c r="AJ399" i="12" s="1"/>
  <c r="AF400" i="12"/>
  <c r="AG400" i="12" s="1"/>
  <c r="AF401" i="12"/>
  <c r="AF402" i="12"/>
  <c r="AF403" i="12"/>
  <c r="AG403" i="12" s="1"/>
  <c r="AF404" i="12"/>
  <c r="AJ404" i="12" s="1"/>
  <c r="AF3" i="12"/>
  <c r="AF4" i="12"/>
  <c r="AF5" i="12"/>
  <c r="AF6" i="12"/>
  <c r="AF7" i="12"/>
  <c r="AF8" i="12"/>
  <c r="AF9" i="12"/>
  <c r="AF10" i="12"/>
  <c r="AF11" i="12"/>
  <c r="AF12" i="12"/>
  <c r="AF13" i="12"/>
  <c r="AF14" i="12"/>
  <c r="AF15" i="12"/>
  <c r="AF16" i="12"/>
  <c r="AF17" i="12"/>
  <c r="AF18" i="12"/>
  <c r="AF19" i="12"/>
  <c r="AF20" i="12"/>
  <c r="AF21" i="12"/>
  <c r="AF22" i="12"/>
  <c r="AF23" i="12"/>
  <c r="AF24" i="12"/>
  <c r="AF25" i="12"/>
  <c r="AF26" i="12"/>
  <c r="AF27" i="12"/>
  <c r="AF28" i="12"/>
  <c r="AF29" i="12"/>
  <c r="AF30" i="12"/>
  <c r="AF31" i="12"/>
  <c r="AF32" i="12"/>
  <c r="AF33" i="12"/>
  <c r="AF34" i="12"/>
  <c r="AF35" i="12"/>
  <c r="AF36" i="12"/>
  <c r="AF37" i="12"/>
  <c r="AF38" i="12"/>
  <c r="AF39" i="12"/>
  <c r="AF40" i="12"/>
  <c r="AF41" i="12"/>
  <c r="AF42" i="12"/>
  <c r="AF43" i="12"/>
  <c r="AF44" i="12"/>
  <c r="AF45" i="12"/>
  <c r="AF46" i="12"/>
  <c r="AF47" i="12"/>
  <c r="AF48" i="12"/>
  <c r="AF49" i="12"/>
  <c r="AF50" i="12"/>
  <c r="AF51" i="12"/>
  <c r="AF52" i="12"/>
  <c r="AF53" i="12"/>
  <c r="AF54" i="12"/>
  <c r="AF55" i="12"/>
  <c r="AF56" i="12"/>
  <c r="AF57" i="12"/>
  <c r="AF58" i="12"/>
  <c r="AF59" i="12"/>
  <c r="AF60" i="12"/>
  <c r="AF61" i="12"/>
  <c r="AF62" i="12"/>
  <c r="AF63" i="12"/>
  <c r="AF64" i="12"/>
  <c r="AF65" i="12"/>
  <c r="AF66" i="12"/>
  <c r="AF67" i="12"/>
  <c r="AF68" i="12"/>
  <c r="AF69" i="12"/>
  <c r="AF70" i="12"/>
  <c r="AF71" i="12"/>
  <c r="AF72" i="12"/>
  <c r="AF73" i="12"/>
  <c r="AF74" i="12"/>
  <c r="AF75" i="12"/>
  <c r="AF76" i="12"/>
  <c r="AF77" i="12"/>
  <c r="AF78" i="12"/>
  <c r="AF79" i="12"/>
  <c r="AF80" i="12"/>
  <c r="AF81" i="12"/>
  <c r="AF82" i="12"/>
  <c r="AF83" i="12"/>
  <c r="AF84" i="12"/>
  <c r="AF85" i="12"/>
  <c r="AF86" i="12"/>
  <c r="AF87" i="12"/>
  <c r="AF88" i="12"/>
  <c r="AF89" i="12"/>
  <c r="AF90" i="12"/>
  <c r="AF91" i="12"/>
  <c r="AF92" i="12"/>
  <c r="AF93" i="12"/>
  <c r="AF94" i="12"/>
  <c r="AF95" i="12"/>
  <c r="AF96" i="12"/>
  <c r="AF97" i="12"/>
  <c r="AF98" i="12"/>
  <c r="AF99" i="12"/>
  <c r="AF100" i="12"/>
  <c r="AF101" i="12"/>
  <c r="AF102" i="12"/>
  <c r="AF103" i="12"/>
  <c r="AF104" i="12"/>
  <c r="AF105" i="12"/>
  <c r="AF106" i="12"/>
  <c r="AF107" i="12"/>
  <c r="AF108" i="12"/>
  <c r="AF109" i="12"/>
  <c r="AF110" i="12"/>
  <c r="AF111" i="12"/>
  <c r="AF112" i="12"/>
  <c r="AF113" i="12"/>
  <c r="AF114" i="12"/>
  <c r="AF115" i="12"/>
  <c r="AF116" i="12"/>
  <c r="AF117" i="12"/>
  <c r="AF118" i="12"/>
  <c r="AF119" i="12"/>
  <c r="AF120" i="12"/>
  <c r="AF121" i="12"/>
  <c r="AF122" i="12"/>
  <c r="AF123" i="12"/>
  <c r="AF124" i="12"/>
  <c r="AF125" i="12"/>
  <c r="AF126" i="12"/>
  <c r="AF127" i="12"/>
  <c r="AF128" i="12"/>
  <c r="AF129" i="12"/>
  <c r="AF130" i="12"/>
  <c r="AF131" i="12"/>
  <c r="AF132" i="12"/>
  <c r="AF133" i="12"/>
  <c r="AF134" i="12"/>
  <c r="AF135" i="12"/>
  <c r="AF136" i="12"/>
  <c r="AF137" i="12"/>
  <c r="AF138" i="12"/>
  <c r="AF139" i="12"/>
  <c r="AF140" i="12"/>
  <c r="AF141" i="12"/>
  <c r="AF142" i="12"/>
  <c r="AF143" i="12"/>
  <c r="AF144" i="12"/>
  <c r="AF145" i="12"/>
  <c r="AF146" i="12"/>
  <c r="AF147" i="12"/>
  <c r="AF148" i="12"/>
  <c r="AF149" i="12"/>
  <c r="AF150" i="12"/>
  <c r="AF151" i="12"/>
  <c r="AF152" i="12"/>
  <c r="AF153" i="12"/>
  <c r="AF154" i="12"/>
  <c r="AF155" i="12"/>
  <c r="AF156" i="12"/>
  <c r="AF157" i="12"/>
  <c r="AF158" i="12"/>
  <c r="AF159" i="12"/>
  <c r="AF160" i="12"/>
  <c r="AF161" i="12"/>
  <c r="AF162" i="12"/>
  <c r="AF163" i="12"/>
  <c r="AF164" i="12"/>
  <c r="AF165" i="12"/>
  <c r="AF166" i="12"/>
  <c r="AF167" i="12"/>
  <c r="AF168" i="12"/>
  <c r="AF169" i="12"/>
  <c r="AF170" i="12"/>
  <c r="AF171" i="12"/>
  <c r="AF172" i="12"/>
  <c r="AF173" i="12"/>
  <c r="AF174" i="12"/>
  <c r="AF175" i="12"/>
  <c r="AF176" i="12"/>
  <c r="AF177" i="12"/>
  <c r="AF178" i="12"/>
  <c r="AF179" i="12"/>
  <c r="AF180" i="12"/>
  <c r="AF181" i="12"/>
  <c r="AF182" i="12"/>
  <c r="AF183" i="12"/>
  <c r="AF184" i="12"/>
  <c r="AF185" i="12"/>
  <c r="AF186" i="12"/>
  <c r="AF187" i="12"/>
  <c r="AF188" i="12"/>
  <c r="AF189" i="12"/>
  <c r="AF190" i="12"/>
  <c r="AF191" i="12"/>
  <c r="AF2" i="12"/>
  <c r="AD192" i="12"/>
  <c r="AD193" i="12"/>
  <c r="AD194" i="12"/>
  <c r="AD195" i="12"/>
  <c r="AD196" i="12"/>
  <c r="AD197" i="12"/>
  <c r="AD198" i="12"/>
  <c r="AD199" i="12"/>
  <c r="AD200" i="12"/>
  <c r="AD201" i="12"/>
  <c r="AD202" i="12"/>
  <c r="AD203" i="12"/>
  <c r="AD204" i="12"/>
  <c r="AD205" i="12"/>
  <c r="AD206" i="12"/>
  <c r="AD207" i="12"/>
  <c r="AD208" i="12"/>
  <c r="AD209" i="12"/>
  <c r="AD210" i="12"/>
  <c r="AD211" i="12"/>
  <c r="AD212" i="12"/>
  <c r="AD213" i="12"/>
  <c r="AD214" i="12"/>
  <c r="AD215" i="12"/>
  <c r="AD216" i="12"/>
  <c r="AD217" i="12"/>
  <c r="AD218" i="12"/>
  <c r="AD219" i="12"/>
  <c r="AD220" i="12"/>
  <c r="AD221" i="12"/>
  <c r="AD222" i="12"/>
  <c r="AD223" i="12"/>
  <c r="AD224" i="12"/>
  <c r="AD225" i="12"/>
  <c r="AD226" i="12"/>
  <c r="AD227" i="12"/>
  <c r="AD228" i="12"/>
  <c r="AD229" i="12"/>
  <c r="AD230" i="12"/>
  <c r="AD231" i="12"/>
  <c r="AD232" i="12"/>
  <c r="AD233" i="12"/>
  <c r="AD234" i="12"/>
  <c r="AD235" i="12"/>
  <c r="AD236" i="12"/>
  <c r="AD237" i="12"/>
  <c r="AD238" i="12"/>
  <c r="AD239" i="12"/>
  <c r="AD240" i="12"/>
  <c r="AD241" i="12"/>
  <c r="AD242" i="12"/>
  <c r="AD243" i="12"/>
  <c r="AD244" i="12"/>
  <c r="AD245" i="12"/>
  <c r="AD246" i="12"/>
  <c r="AD247" i="12"/>
  <c r="AD248" i="12"/>
  <c r="AD249" i="12"/>
  <c r="AD250" i="12"/>
  <c r="AD251" i="12"/>
  <c r="AD252" i="12"/>
  <c r="AD253" i="12"/>
  <c r="AD254" i="12"/>
  <c r="AD255" i="12"/>
  <c r="AD256" i="12"/>
  <c r="AD257" i="12"/>
  <c r="AD258" i="12"/>
  <c r="AD259" i="12"/>
  <c r="AD260" i="12"/>
  <c r="AD261" i="12"/>
  <c r="AD262" i="12"/>
  <c r="AD263" i="12"/>
  <c r="AD264" i="12"/>
  <c r="AD265" i="12"/>
  <c r="AD266" i="12"/>
  <c r="AD267" i="12"/>
  <c r="AD268" i="12"/>
  <c r="AD269" i="12"/>
  <c r="AD270" i="12"/>
  <c r="AD271" i="12"/>
  <c r="AD272" i="12"/>
  <c r="AD273" i="12"/>
  <c r="AD274" i="12"/>
  <c r="AD275" i="12"/>
  <c r="AD276" i="12"/>
  <c r="AD277" i="12"/>
  <c r="AD278" i="12"/>
  <c r="AD279" i="12"/>
  <c r="AD280" i="12"/>
  <c r="AD281" i="12"/>
  <c r="AD282" i="12"/>
  <c r="AD283" i="12"/>
  <c r="AD284" i="12"/>
  <c r="AD285" i="12"/>
  <c r="AD286" i="12"/>
  <c r="AD287" i="12"/>
  <c r="AD288" i="12"/>
  <c r="AD289" i="12"/>
  <c r="AD290" i="12"/>
  <c r="AD291" i="12"/>
  <c r="AD292" i="12"/>
  <c r="AD293" i="12"/>
  <c r="AD294" i="12"/>
  <c r="AD295" i="12"/>
  <c r="AD296" i="12"/>
  <c r="AD297" i="12"/>
  <c r="AD298" i="12"/>
  <c r="AD299" i="12"/>
  <c r="AD300" i="12"/>
  <c r="AD301" i="12"/>
  <c r="AD302" i="12"/>
  <c r="AD303" i="12"/>
  <c r="AD304" i="12"/>
  <c r="AD305" i="12"/>
  <c r="AD306" i="12"/>
  <c r="AD307" i="12"/>
  <c r="AD308" i="12"/>
  <c r="AD309" i="12"/>
  <c r="AD310" i="12"/>
  <c r="AD311" i="12"/>
  <c r="AD312" i="12"/>
  <c r="AD313" i="12"/>
  <c r="AD314" i="12"/>
  <c r="AD315" i="12"/>
  <c r="AD316" i="12"/>
  <c r="AD317" i="12"/>
  <c r="AD318" i="12"/>
  <c r="AD319" i="12"/>
  <c r="AD320" i="12"/>
  <c r="AD321" i="12"/>
  <c r="AD322" i="12"/>
  <c r="AD323" i="12"/>
  <c r="AD324" i="12"/>
  <c r="AD325" i="12"/>
  <c r="AD326" i="12"/>
  <c r="AD327" i="12"/>
  <c r="AD328" i="12"/>
  <c r="AD329" i="12"/>
  <c r="AD330" i="12"/>
  <c r="AD331" i="12"/>
  <c r="AD332" i="12"/>
  <c r="AD333" i="12"/>
  <c r="AD334" i="12"/>
  <c r="AD335" i="12"/>
  <c r="AD336" i="12"/>
  <c r="AD337" i="12"/>
  <c r="AD338" i="12"/>
  <c r="AD339" i="12"/>
  <c r="AD340" i="12"/>
  <c r="AD341" i="12"/>
  <c r="AD342" i="12"/>
  <c r="AD343" i="12"/>
  <c r="AD344" i="12"/>
  <c r="AD345" i="12"/>
  <c r="AD346" i="12"/>
  <c r="AD347" i="12"/>
  <c r="AD348" i="12"/>
  <c r="AD349" i="12"/>
  <c r="AD350" i="12"/>
  <c r="AD351" i="12"/>
  <c r="AD352" i="12"/>
  <c r="AD353" i="12"/>
  <c r="AD354" i="12"/>
  <c r="AD355" i="12"/>
  <c r="AD356" i="12"/>
  <c r="AD357" i="12"/>
  <c r="AD358" i="12"/>
  <c r="AD359" i="12"/>
  <c r="AD360" i="12"/>
  <c r="AD361" i="12"/>
  <c r="AD362" i="12"/>
  <c r="AD363" i="12"/>
  <c r="AD364" i="12"/>
  <c r="AD365" i="12"/>
  <c r="AD366" i="12"/>
  <c r="AD367" i="12"/>
  <c r="AD368" i="12"/>
  <c r="AD369" i="12"/>
  <c r="AD370" i="12"/>
  <c r="AD371" i="12"/>
  <c r="AD372" i="12"/>
  <c r="AD373" i="12"/>
  <c r="AD374" i="12"/>
  <c r="AD375" i="12"/>
  <c r="AD376" i="12"/>
  <c r="AD377" i="12"/>
  <c r="AD378" i="12"/>
  <c r="AD379" i="12"/>
  <c r="AD380" i="12"/>
  <c r="AD381" i="12"/>
  <c r="AD382" i="12"/>
  <c r="AD383" i="12"/>
  <c r="AD384" i="12"/>
  <c r="AD385" i="12"/>
  <c r="AD386" i="12"/>
  <c r="AD387" i="12"/>
  <c r="AD388" i="12"/>
  <c r="AD389" i="12"/>
  <c r="AD390" i="12"/>
  <c r="AD391" i="12"/>
  <c r="AD392" i="12"/>
  <c r="AD393" i="12"/>
  <c r="AD394" i="12"/>
  <c r="AD395" i="12"/>
  <c r="AD396" i="12"/>
  <c r="AD397" i="12"/>
  <c r="AD398" i="12"/>
  <c r="AD399" i="12"/>
  <c r="AD400" i="12"/>
  <c r="AD401" i="12"/>
  <c r="AD402" i="12"/>
  <c r="AD403" i="12"/>
  <c r="AD404" i="12"/>
  <c r="AC192" i="12"/>
  <c r="AC193" i="12"/>
  <c r="AC194" i="12"/>
  <c r="AC195" i="12"/>
  <c r="AC196" i="12"/>
  <c r="AC197" i="12"/>
  <c r="AC198" i="12"/>
  <c r="AC199" i="12"/>
  <c r="AC200" i="12"/>
  <c r="AC201" i="12"/>
  <c r="AC202" i="12"/>
  <c r="AC203" i="12"/>
  <c r="AC204" i="12"/>
  <c r="AC205" i="12"/>
  <c r="AC206" i="12"/>
  <c r="AC207" i="12"/>
  <c r="AC208" i="12"/>
  <c r="AC209" i="12"/>
  <c r="AC210" i="12"/>
  <c r="AC211" i="12"/>
  <c r="AC212" i="12"/>
  <c r="AC213" i="12"/>
  <c r="AC214" i="12"/>
  <c r="AC215" i="12"/>
  <c r="AC216" i="12"/>
  <c r="AC217" i="12"/>
  <c r="AC218" i="12"/>
  <c r="AC219" i="12"/>
  <c r="AC220" i="12"/>
  <c r="AC221" i="12"/>
  <c r="AC222" i="12"/>
  <c r="AC223" i="12"/>
  <c r="AC224" i="12"/>
  <c r="AC225" i="12"/>
  <c r="AC226" i="12"/>
  <c r="AC227" i="12"/>
  <c r="AC228" i="12"/>
  <c r="AC229" i="12"/>
  <c r="AC230" i="12"/>
  <c r="AC231" i="12"/>
  <c r="AC232" i="12"/>
  <c r="AC233" i="12"/>
  <c r="AC234" i="12"/>
  <c r="AC235" i="12"/>
  <c r="AC236" i="12"/>
  <c r="AC237" i="12"/>
  <c r="AC238" i="12"/>
  <c r="AC239" i="12"/>
  <c r="AC240" i="12"/>
  <c r="AC241" i="12"/>
  <c r="AC242" i="12"/>
  <c r="AC243" i="12"/>
  <c r="AC244" i="12"/>
  <c r="AC245" i="12"/>
  <c r="AC246" i="12"/>
  <c r="AC247" i="12"/>
  <c r="AC248" i="12"/>
  <c r="AC249" i="12"/>
  <c r="AC250" i="12"/>
  <c r="AC251" i="12"/>
  <c r="AC252" i="12"/>
  <c r="AC253" i="12"/>
  <c r="AC254" i="12"/>
  <c r="AC255" i="12"/>
  <c r="AC256" i="12"/>
  <c r="AC257" i="12"/>
  <c r="AC258" i="12"/>
  <c r="AC259" i="12"/>
  <c r="AC260" i="12"/>
  <c r="AC261" i="12"/>
  <c r="AC262" i="12"/>
  <c r="AC263" i="12"/>
  <c r="AC264" i="12"/>
  <c r="AC265" i="12"/>
  <c r="AC266" i="12"/>
  <c r="AC267" i="12"/>
  <c r="AC268" i="12"/>
  <c r="AC269" i="12"/>
  <c r="AC270" i="12"/>
  <c r="AC271" i="12"/>
  <c r="AC272" i="12"/>
  <c r="AC273" i="12"/>
  <c r="AC274" i="12"/>
  <c r="AC275" i="12"/>
  <c r="AC276" i="12"/>
  <c r="AC277" i="12"/>
  <c r="AC278" i="12"/>
  <c r="AC279" i="12"/>
  <c r="AC280" i="12"/>
  <c r="AC281" i="12"/>
  <c r="AC282" i="12"/>
  <c r="AC283" i="12"/>
  <c r="AC284" i="12"/>
  <c r="AC285" i="12"/>
  <c r="AC286" i="12"/>
  <c r="AC287" i="12"/>
  <c r="AC288" i="12"/>
  <c r="AC289" i="12"/>
  <c r="AC290" i="12"/>
  <c r="AC291" i="12"/>
  <c r="AC292" i="12"/>
  <c r="AC293" i="12"/>
  <c r="AC294" i="12"/>
  <c r="AC295" i="12"/>
  <c r="AC296" i="12"/>
  <c r="AC297" i="12"/>
  <c r="AC298" i="12"/>
  <c r="AC299" i="12"/>
  <c r="AC300" i="12"/>
  <c r="AC301" i="12"/>
  <c r="AC302" i="12"/>
  <c r="AC303" i="12"/>
  <c r="AC304" i="12"/>
  <c r="AC305" i="12"/>
  <c r="AC306" i="12"/>
  <c r="AC307" i="12"/>
  <c r="AC308" i="12"/>
  <c r="AC309" i="12"/>
  <c r="AC310" i="12"/>
  <c r="AC311" i="12"/>
  <c r="AC312" i="12"/>
  <c r="AC313" i="12"/>
  <c r="AC314" i="12"/>
  <c r="AC315" i="12"/>
  <c r="AC316" i="12"/>
  <c r="AC317" i="12"/>
  <c r="AC318" i="12"/>
  <c r="AC319" i="12"/>
  <c r="AC320" i="12"/>
  <c r="AC321" i="12"/>
  <c r="AC322" i="12"/>
  <c r="AC323" i="12"/>
  <c r="AC324" i="12"/>
  <c r="AC325" i="12"/>
  <c r="AC326" i="12"/>
  <c r="AC327" i="12"/>
  <c r="AC328" i="12"/>
  <c r="AC329" i="12"/>
  <c r="AC330" i="12"/>
  <c r="AC331" i="12"/>
  <c r="AC332" i="12"/>
  <c r="AC333" i="12"/>
  <c r="AC334" i="12"/>
  <c r="AC335" i="12"/>
  <c r="AC336" i="12"/>
  <c r="AC337" i="12"/>
  <c r="AC338" i="12"/>
  <c r="AC339" i="12"/>
  <c r="AC340" i="12"/>
  <c r="AC341" i="12"/>
  <c r="AC342" i="12"/>
  <c r="AC343" i="12"/>
  <c r="AC344" i="12"/>
  <c r="AC345" i="12"/>
  <c r="AC346" i="12"/>
  <c r="AC347" i="12"/>
  <c r="AC348" i="12"/>
  <c r="AC349" i="12"/>
  <c r="AC350" i="12"/>
  <c r="AC351" i="12"/>
  <c r="AC352" i="12"/>
  <c r="AC353" i="12"/>
  <c r="AC354" i="12"/>
  <c r="AC355" i="12"/>
  <c r="AC356" i="12"/>
  <c r="AC357" i="12"/>
  <c r="AC358" i="12"/>
  <c r="AC359" i="12"/>
  <c r="AC360" i="12"/>
  <c r="AC361" i="12"/>
  <c r="AC362" i="12"/>
  <c r="AC363" i="12"/>
  <c r="AC364" i="12"/>
  <c r="AC365" i="12"/>
  <c r="AC366" i="12"/>
  <c r="AC367" i="12"/>
  <c r="AC368" i="12"/>
  <c r="AC369" i="12"/>
  <c r="AC370" i="12"/>
  <c r="AC371" i="12"/>
  <c r="AC372" i="12"/>
  <c r="AC373" i="12"/>
  <c r="AC374" i="12"/>
  <c r="AC375" i="12"/>
  <c r="AC376" i="12"/>
  <c r="AC377" i="12"/>
  <c r="AC378" i="12"/>
  <c r="AC379" i="12"/>
  <c r="AC380" i="12"/>
  <c r="AC381" i="12"/>
  <c r="AC382" i="12"/>
  <c r="AC383" i="12"/>
  <c r="AC384" i="12"/>
  <c r="AC385" i="12"/>
  <c r="AC386" i="12"/>
  <c r="AC387" i="12"/>
  <c r="AC388" i="12"/>
  <c r="AC389" i="12"/>
  <c r="AC390" i="12"/>
  <c r="AC391" i="12"/>
  <c r="AC392" i="12"/>
  <c r="AC393" i="12"/>
  <c r="AC394" i="12"/>
  <c r="AC395" i="12"/>
  <c r="AC396" i="12"/>
  <c r="AC397" i="12"/>
  <c r="AC398" i="12"/>
  <c r="AC399" i="12"/>
  <c r="AC400" i="12"/>
  <c r="AC401" i="12"/>
  <c r="AC402" i="12"/>
  <c r="AC403" i="12"/>
  <c r="AC404" i="12"/>
  <c r="AA192" i="12"/>
  <c r="AE192" i="12" s="1"/>
  <c r="AA193" i="12"/>
  <c r="AE193" i="12" s="1"/>
  <c r="AA194" i="12"/>
  <c r="AA195" i="12"/>
  <c r="AA196" i="12"/>
  <c r="AA197" i="12"/>
  <c r="AB197" i="12" s="1"/>
  <c r="AA198" i="12"/>
  <c r="AB198" i="12" s="1"/>
  <c r="AA199" i="12"/>
  <c r="AE199" i="12" s="1"/>
  <c r="AA200" i="12"/>
  <c r="AE200" i="12" s="1"/>
  <c r="AA201" i="12"/>
  <c r="AA202" i="12"/>
  <c r="AA203" i="12"/>
  <c r="AA204" i="12"/>
  <c r="AA205" i="12"/>
  <c r="AA206" i="12"/>
  <c r="AB206" i="12" s="1"/>
  <c r="AA207" i="12"/>
  <c r="AB207" i="12" s="1"/>
  <c r="AA208" i="12"/>
  <c r="AE208" i="12" s="1"/>
  <c r="AA209" i="12"/>
  <c r="AA210" i="12"/>
  <c r="AA211" i="12"/>
  <c r="AA212" i="12"/>
  <c r="AA213" i="12"/>
  <c r="AA214" i="12"/>
  <c r="AB214" i="12" s="1"/>
  <c r="AA215" i="12"/>
  <c r="AB215" i="12" s="1"/>
  <c r="AA216" i="12"/>
  <c r="AE216" i="12" s="1"/>
  <c r="AA217" i="12"/>
  <c r="AA218" i="12"/>
  <c r="AA219" i="12"/>
  <c r="AA220" i="12"/>
  <c r="AA221" i="12"/>
  <c r="AA222" i="12"/>
  <c r="AB222" i="12" s="1"/>
  <c r="AA223" i="12"/>
  <c r="AB223" i="12" s="1"/>
  <c r="AA224" i="12"/>
  <c r="AE224" i="12" s="1"/>
  <c r="AA225" i="12"/>
  <c r="AA226" i="12"/>
  <c r="AA227" i="12"/>
  <c r="AA228" i="12"/>
  <c r="AA229" i="12"/>
  <c r="AA230" i="12"/>
  <c r="AB230" i="12" s="1"/>
  <c r="AA231" i="12"/>
  <c r="AE231" i="12" s="1"/>
  <c r="AA232" i="12"/>
  <c r="AE232" i="12" s="1"/>
  <c r="AA233" i="12"/>
  <c r="AA234" i="12"/>
  <c r="AA235" i="12"/>
  <c r="AA236" i="12"/>
  <c r="AA237" i="12"/>
  <c r="AA238" i="12"/>
  <c r="AB238" i="12" s="1"/>
  <c r="AA239" i="12"/>
  <c r="AB239" i="12" s="1"/>
  <c r="AA240" i="12"/>
  <c r="AE240" i="12" s="1"/>
  <c r="AA241" i="12"/>
  <c r="AA242" i="12"/>
  <c r="AA243" i="12"/>
  <c r="AA244" i="12"/>
  <c r="AA245" i="12"/>
  <c r="AA246" i="12"/>
  <c r="AB246" i="12" s="1"/>
  <c r="AA247" i="12"/>
  <c r="AB247" i="12" s="1"/>
  <c r="AA248" i="12"/>
  <c r="AE248" i="12" s="1"/>
  <c r="AA249" i="12"/>
  <c r="AA250" i="12"/>
  <c r="AA251" i="12"/>
  <c r="AA252" i="12"/>
  <c r="AA253" i="12"/>
  <c r="AA254" i="12"/>
  <c r="AB254" i="12" s="1"/>
  <c r="AA255" i="12"/>
  <c r="AB255" i="12" s="1"/>
  <c r="AA256" i="12"/>
  <c r="AE256" i="12" s="1"/>
  <c r="AA257" i="12"/>
  <c r="AA258" i="12"/>
  <c r="AA259" i="12"/>
  <c r="AA260" i="12"/>
  <c r="AA261" i="12"/>
  <c r="AA262" i="12"/>
  <c r="AB262" i="12" s="1"/>
  <c r="AA263" i="12"/>
  <c r="AE263" i="12" s="1"/>
  <c r="AA264" i="12"/>
  <c r="AE264" i="12" s="1"/>
  <c r="AA265" i="12"/>
  <c r="AA266" i="12"/>
  <c r="AA267" i="12"/>
  <c r="AA268" i="12"/>
  <c r="AA269" i="12"/>
  <c r="AA270" i="12"/>
  <c r="AB270" i="12" s="1"/>
  <c r="AA271" i="12"/>
  <c r="AB271" i="12" s="1"/>
  <c r="AA272" i="12"/>
  <c r="AE272" i="12" s="1"/>
  <c r="AA273" i="12"/>
  <c r="AA274" i="12"/>
  <c r="AA275" i="12"/>
  <c r="AA276" i="12"/>
  <c r="AA277" i="12"/>
  <c r="AA278" i="12"/>
  <c r="AB278" i="12" s="1"/>
  <c r="AA279" i="12"/>
  <c r="AB279" i="12" s="1"/>
  <c r="AA280" i="12"/>
  <c r="AE280" i="12" s="1"/>
  <c r="AA281" i="12"/>
  <c r="AA282" i="12"/>
  <c r="AA283" i="12"/>
  <c r="AA284" i="12"/>
  <c r="AA285" i="12"/>
  <c r="AA286" i="12"/>
  <c r="AB286" i="12" s="1"/>
  <c r="AA287" i="12"/>
  <c r="AB287" i="12" s="1"/>
  <c r="AA288" i="12"/>
  <c r="AE288" i="12" s="1"/>
  <c r="AA289" i="12"/>
  <c r="AA290" i="12"/>
  <c r="AA291" i="12"/>
  <c r="AA292" i="12"/>
  <c r="AA293" i="12"/>
  <c r="AA294" i="12"/>
  <c r="AB294" i="12" s="1"/>
  <c r="AA295" i="12"/>
  <c r="AE295" i="12" s="1"/>
  <c r="AA296" i="12"/>
  <c r="AE296" i="12" s="1"/>
  <c r="AA297" i="12"/>
  <c r="AA298" i="12"/>
  <c r="AA299" i="12"/>
  <c r="AA300" i="12"/>
  <c r="AA301" i="12"/>
  <c r="AA302" i="12"/>
  <c r="AB302" i="12" s="1"/>
  <c r="AA303" i="12"/>
  <c r="AB303" i="12" s="1"/>
  <c r="AA304" i="12"/>
  <c r="AE304" i="12" s="1"/>
  <c r="AA305" i="12"/>
  <c r="AA306" i="12"/>
  <c r="AA307" i="12"/>
  <c r="AA308" i="12"/>
  <c r="AA309" i="12"/>
  <c r="AA310" i="12"/>
  <c r="AB310" i="12" s="1"/>
  <c r="AA311" i="12"/>
  <c r="AB311" i="12" s="1"/>
  <c r="AA312" i="12"/>
  <c r="AE312" i="12" s="1"/>
  <c r="AA313" i="12"/>
  <c r="AA314" i="12"/>
  <c r="AA315" i="12"/>
  <c r="AA316" i="12"/>
  <c r="AA317" i="12"/>
  <c r="AA318" i="12"/>
  <c r="AB318" i="12" s="1"/>
  <c r="AA319" i="12"/>
  <c r="AB319" i="12" s="1"/>
  <c r="AA320" i="12"/>
  <c r="AE320" i="12" s="1"/>
  <c r="AA321" i="12"/>
  <c r="AA322" i="12"/>
  <c r="AA323" i="12"/>
  <c r="AA324" i="12"/>
  <c r="AA325" i="12"/>
  <c r="AA326" i="12"/>
  <c r="AB326" i="12" s="1"/>
  <c r="AA327" i="12"/>
  <c r="AE327" i="12" s="1"/>
  <c r="AA328" i="12"/>
  <c r="AE328" i="12" s="1"/>
  <c r="AA329" i="12"/>
  <c r="AA330" i="12"/>
  <c r="AA331" i="12"/>
  <c r="AA332" i="12"/>
  <c r="AA333" i="12"/>
  <c r="AA334" i="12"/>
  <c r="AB334" i="12" s="1"/>
  <c r="AA335" i="12"/>
  <c r="AB335" i="12" s="1"/>
  <c r="AA336" i="12"/>
  <c r="AE336" i="12" s="1"/>
  <c r="AA337" i="12"/>
  <c r="AA338" i="12"/>
  <c r="AA339" i="12"/>
  <c r="AA340" i="12"/>
  <c r="AA341" i="12"/>
  <c r="AA342" i="12"/>
  <c r="AB342" i="12" s="1"/>
  <c r="AA343" i="12"/>
  <c r="AB343" i="12" s="1"/>
  <c r="AA344" i="12"/>
  <c r="AE344" i="12" s="1"/>
  <c r="AA345" i="12"/>
  <c r="AA346" i="12"/>
  <c r="AA347" i="12"/>
  <c r="AA348" i="12"/>
  <c r="AA349" i="12"/>
  <c r="AA350" i="12"/>
  <c r="AB350" i="12" s="1"/>
  <c r="AA351" i="12"/>
  <c r="AB351" i="12" s="1"/>
  <c r="AA352" i="12"/>
  <c r="AE352" i="12" s="1"/>
  <c r="AA353" i="12"/>
  <c r="AA354" i="12"/>
  <c r="AA355" i="12"/>
  <c r="AA356" i="12"/>
  <c r="AA357" i="12"/>
  <c r="AA358" i="12"/>
  <c r="AB358" i="12" s="1"/>
  <c r="AA359" i="12"/>
  <c r="AE359" i="12" s="1"/>
  <c r="AA360" i="12"/>
  <c r="AE360" i="12" s="1"/>
  <c r="AA361" i="12"/>
  <c r="AA362" i="12"/>
  <c r="AA363" i="12"/>
  <c r="AA364" i="12"/>
  <c r="AA365" i="12"/>
  <c r="AA366" i="12"/>
  <c r="AB366" i="12" s="1"/>
  <c r="AA367" i="12"/>
  <c r="AB367" i="12" s="1"/>
  <c r="AA368" i="12"/>
  <c r="AE368" i="12" s="1"/>
  <c r="AA369" i="12"/>
  <c r="AA370" i="12"/>
  <c r="AA371" i="12"/>
  <c r="AA372" i="12"/>
  <c r="AA373" i="12"/>
  <c r="AA374" i="12"/>
  <c r="AB374" i="12" s="1"/>
  <c r="AA375" i="12"/>
  <c r="AB375" i="12" s="1"/>
  <c r="AA376" i="12"/>
  <c r="AE376" i="12" s="1"/>
  <c r="AA377" i="12"/>
  <c r="AA378" i="12"/>
  <c r="AA379" i="12"/>
  <c r="AA380" i="12"/>
  <c r="AA381" i="12"/>
  <c r="AA382" i="12"/>
  <c r="AB382" i="12" s="1"/>
  <c r="AA383" i="12"/>
  <c r="AB383" i="12" s="1"/>
  <c r="AA384" i="12"/>
  <c r="AE384" i="12" s="1"/>
  <c r="AA385" i="12"/>
  <c r="AA386" i="12"/>
  <c r="AA387" i="12"/>
  <c r="AA388" i="12"/>
  <c r="AA389" i="12"/>
  <c r="AA390" i="12"/>
  <c r="AB390" i="12" s="1"/>
  <c r="AA391" i="12"/>
  <c r="AE391" i="12" s="1"/>
  <c r="AA392" i="12"/>
  <c r="AE392" i="12" s="1"/>
  <c r="AA393" i="12"/>
  <c r="AA394" i="12"/>
  <c r="AA395" i="12"/>
  <c r="AA396" i="12"/>
  <c r="AA397" i="12"/>
  <c r="AA398" i="12"/>
  <c r="AB398" i="12" s="1"/>
  <c r="AA399" i="12"/>
  <c r="AB399" i="12" s="1"/>
  <c r="AA400" i="12"/>
  <c r="AE400" i="12" s="1"/>
  <c r="AA401" i="12"/>
  <c r="AA402" i="12"/>
  <c r="AA403" i="12"/>
  <c r="AA404" i="12"/>
  <c r="AA3" i="12"/>
  <c r="AA4" i="12"/>
  <c r="AA5" i="12"/>
  <c r="AA6" i="12"/>
  <c r="AA7" i="12"/>
  <c r="AA8" i="12"/>
  <c r="AA9" i="12"/>
  <c r="AA10" i="12"/>
  <c r="AA11" i="12"/>
  <c r="AA12" i="12"/>
  <c r="AA13" i="12"/>
  <c r="AA14" i="12"/>
  <c r="AA15" i="12"/>
  <c r="AA16" i="12"/>
  <c r="AA17" i="12"/>
  <c r="AA18" i="12"/>
  <c r="AA19" i="12"/>
  <c r="AA20" i="12"/>
  <c r="AA21" i="12"/>
  <c r="AA22" i="12"/>
  <c r="AA23" i="12"/>
  <c r="AA24" i="12"/>
  <c r="AA25" i="12"/>
  <c r="AA26" i="12"/>
  <c r="AA27" i="12"/>
  <c r="AA28" i="12"/>
  <c r="AA29" i="12"/>
  <c r="AA30" i="12"/>
  <c r="AA31" i="12"/>
  <c r="AA32" i="12"/>
  <c r="AA33" i="12"/>
  <c r="AA34" i="12"/>
  <c r="AA35" i="12"/>
  <c r="AA36" i="12"/>
  <c r="AA37" i="12"/>
  <c r="AA38" i="12"/>
  <c r="AA39" i="12"/>
  <c r="AA40" i="12"/>
  <c r="AA41" i="12"/>
  <c r="AA42" i="12"/>
  <c r="AA43" i="12"/>
  <c r="AA44" i="12"/>
  <c r="AA45" i="12"/>
  <c r="AA46" i="12"/>
  <c r="AA47" i="12"/>
  <c r="AA48" i="12"/>
  <c r="AA49" i="12"/>
  <c r="AA50" i="12"/>
  <c r="AA51" i="12"/>
  <c r="AA52" i="12"/>
  <c r="AA53" i="12"/>
  <c r="AA54" i="12"/>
  <c r="AA55" i="12"/>
  <c r="AA56" i="12"/>
  <c r="AA57" i="12"/>
  <c r="AA58" i="12"/>
  <c r="AA59" i="12"/>
  <c r="AA60" i="12"/>
  <c r="AA61" i="12"/>
  <c r="AA62" i="12"/>
  <c r="AA63" i="12"/>
  <c r="AA64" i="12"/>
  <c r="AA65" i="12"/>
  <c r="AA66" i="12"/>
  <c r="AA67" i="12"/>
  <c r="AA68" i="12"/>
  <c r="AA69" i="12"/>
  <c r="AA70" i="12"/>
  <c r="AA71" i="12"/>
  <c r="AA72" i="12"/>
  <c r="AA73" i="12"/>
  <c r="AA74" i="12"/>
  <c r="AA75" i="12"/>
  <c r="AA76" i="12"/>
  <c r="AA77" i="12"/>
  <c r="AA78" i="12"/>
  <c r="AA79" i="12"/>
  <c r="AA80" i="12"/>
  <c r="AA81" i="12"/>
  <c r="AA82" i="12"/>
  <c r="AA83" i="12"/>
  <c r="AA84" i="12"/>
  <c r="AA85" i="12"/>
  <c r="AA86" i="12"/>
  <c r="AA87" i="12"/>
  <c r="AA88" i="12"/>
  <c r="AA89" i="12"/>
  <c r="AA90" i="12"/>
  <c r="AA91" i="12"/>
  <c r="AA92" i="12"/>
  <c r="AA93" i="12"/>
  <c r="AA94" i="12"/>
  <c r="AA95" i="12"/>
  <c r="AA96" i="12"/>
  <c r="AA97" i="12"/>
  <c r="AA98" i="12"/>
  <c r="AA99" i="12"/>
  <c r="AA100" i="12"/>
  <c r="AA101" i="12"/>
  <c r="AA102" i="12"/>
  <c r="AA103" i="12"/>
  <c r="AA104" i="12"/>
  <c r="AA105" i="12"/>
  <c r="AA106" i="12"/>
  <c r="AA107" i="12"/>
  <c r="AA108" i="12"/>
  <c r="AA109" i="12"/>
  <c r="AA110" i="12"/>
  <c r="AA111" i="12"/>
  <c r="AA112" i="12"/>
  <c r="AA113" i="12"/>
  <c r="AA114" i="12"/>
  <c r="AA115" i="12"/>
  <c r="AA116" i="12"/>
  <c r="AA117" i="12"/>
  <c r="AA118" i="12"/>
  <c r="AA119" i="12"/>
  <c r="AA120" i="12"/>
  <c r="AA121" i="12"/>
  <c r="AA122" i="12"/>
  <c r="AA123" i="12"/>
  <c r="AA124" i="12"/>
  <c r="AA125" i="12"/>
  <c r="AA126" i="12"/>
  <c r="AA127" i="12"/>
  <c r="AA128" i="12"/>
  <c r="AA129" i="12"/>
  <c r="AA130" i="12"/>
  <c r="AA131" i="12"/>
  <c r="AA132" i="12"/>
  <c r="AA133" i="12"/>
  <c r="AA134" i="12"/>
  <c r="AA135" i="12"/>
  <c r="AA136" i="12"/>
  <c r="AA137" i="12"/>
  <c r="AA138" i="12"/>
  <c r="AA139" i="12"/>
  <c r="AA140" i="12"/>
  <c r="AA141" i="12"/>
  <c r="AA142" i="12"/>
  <c r="AA143" i="12"/>
  <c r="AA144" i="12"/>
  <c r="AA145" i="12"/>
  <c r="AA146" i="12"/>
  <c r="AA147" i="12"/>
  <c r="AA148" i="12"/>
  <c r="AA149" i="12"/>
  <c r="AA150" i="12"/>
  <c r="AA151" i="12"/>
  <c r="AA152" i="12"/>
  <c r="AA153" i="12"/>
  <c r="AA154" i="12"/>
  <c r="AA155" i="12"/>
  <c r="AA156" i="12"/>
  <c r="AA157" i="12"/>
  <c r="AA158" i="12"/>
  <c r="AA159" i="12"/>
  <c r="AA160" i="12"/>
  <c r="AA161" i="12"/>
  <c r="AA162" i="12"/>
  <c r="AA163" i="12"/>
  <c r="AA164" i="12"/>
  <c r="AA165" i="12"/>
  <c r="AA166" i="12"/>
  <c r="AA167" i="12"/>
  <c r="AA168" i="12"/>
  <c r="AA169" i="12"/>
  <c r="AA170" i="12"/>
  <c r="AA171" i="12"/>
  <c r="AA172" i="12"/>
  <c r="AA173" i="12"/>
  <c r="AA174" i="12"/>
  <c r="AA175" i="12"/>
  <c r="AA176" i="12"/>
  <c r="AA177" i="12"/>
  <c r="AA178" i="12"/>
  <c r="AA179" i="12"/>
  <c r="AA180" i="12"/>
  <c r="AA181" i="12"/>
  <c r="AA182" i="12"/>
  <c r="AA183" i="12"/>
  <c r="AA184" i="12"/>
  <c r="AA185" i="12"/>
  <c r="AA186" i="12"/>
  <c r="AA187" i="12"/>
  <c r="AA188" i="12"/>
  <c r="AA189" i="12"/>
  <c r="AA190" i="12"/>
  <c r="AA191" i="12"/>
  <c r="AA2" i="12"/>
  <c r="Y192" i="12"/>
  <c r="Y193" i="12"/>
  <c r="Y194" i="12"/>
  <c r="Y195" i="12"/>
  <c r="Y196" i="12"/>
  <c r="Y197" i="12"/>
  <c r="Y198" i="12"/>
  <c r="Y199" i="12"/>
  <c r="Y200" i="12"/>
  <c r="Y201" i="12"/>
  <c r="Y202" i="12"/>
  <c r="Y203" i="12"/>
  <c r="Y204" i="12"/>
  <c r="Y205" i="12"/>
  <c r="Y206" i="12"/>
  <c r="Y207" i="12"/>
  <c r="Y208" i="12"/>
  <c r="Y209" i="12"/>
  <c r="Y210" i="12"/>
  <c r="Y211" i="12"/>
  <c r="Y212" i="12"/>
  <c r="Y213" i="12"/>
  <c r="Y214" i="12"/>
  <c r="Y215" i="12"/>
  <c r="Y216" i="12"/>
  <c r="Y217" i="12"/>
  <c r="Y218" i="12"/>
  <c r="Y219" i="12"/>
  <c r="Y220" i="12"/>
  <c r="Y221" i="12"/>
  <c r="Y222" i="12"/>
  <c r="Y223" i="12"/>
  <c r="Y224" i="12"/>
  <c r="Y225" i="12"/>
  <c r="Y226" i="12"/>
  <c r="Y227" i="12"/>
  <c r="Y228" i="12"/>
  <c r="Y229" i="12"/>
  <c r="Y230" i="12"/>
  <c r="Y231" i="12"/>
  <c r="Y232" i="12"/>
  <c r="Y233" i="12"/>
  <c r="Y234" i="12"/>
  <c r="Y235" i="12"/>
  <c r="Y236" i="12"/>
  <c r="Y237" i="12"/>
  <c r="Y238" i="12"/>
  <c r="Y239" i="12"/>
  <c r="Y240" i="12"/>
  <c r="Y241" i="12"/>
  <c r="Y242" i="12"/>
  <c r="Y243" i="12"/>
  <c r="Y244" i="12"/>
  <c r="Y245" i="12"/>
  <c r="Y246" i="12"/>
  <c r="Y247" i="12"/>
  <c r="Y248" i="12"/>
  <c r="Y249" i="12"/>
  <c r="Y250" i="12"/>
  <c r="Y251" i="12"/>
  <c r="Y252" i="12"/>
  <c r="Y253" i="12"/>
  <c r="Y254" i="12"/>
  <c r="Y255" i="12"/>
  <c r="Y256" i="12"/>
  <c r="Y257" i="12"/>
  <c r="Y258" i="12"/>
  <c r="Y259" i="12"/>
  <c r="Y260" i="12"/>
  <c r="Y261" i="12"/>
  <c r="Y262" i="12"/>
  <c r="Y263" i="12"/>
  <c r="Y264" i="12"/>
  <c r="Y265" i="12"/>
  <c r="Y266" i="12"/>
  <c r="Y267" i="12"/>
  <c r="Y268" i="12"/>
  <c r="Y269" i="12"/>
  <c r="Y270" i="12"/>
  <c r="Y271" i="12"/>
  <c r="Y272" i="12"/>
  <c r="Y273" i="12"/>
  <c r="Y274" i="12"/>
  <c r="Y275" i="12"/>
  <c r="Y276" i="12"/>
  <c r="Y277" i="12"/>
  <c r="Y278" i="12"/>
  <c r="Y279" i="12"/>
  <c r="Y280" i="12"/>
  <c r="Y281" i="12"/>
  <c r="Y282" i="12"/>
  <c r="Y283" i="12"/>
  <c r="Y284" i="12"/>
  <c r="Y285" i="12"/>
  <c r="Y286" i="12"/>
  <c r="Y287" i="12"/>
  <c r="Y288" i="12"/>
  <c r="Y289" i="12"/>
  <c r="Y290" i="12"/>
  <c r="Y291" i="12"/>
  <c r="Y292" i="12"/>
  <c r="Y293" i="12"/>
  <c r="Y294" i="12"/>
  <c r="Y295" i="12"/>
  <c r="Y296" i="12"/>
  <c r="Y297" i="12"/>
  <c r="Y298" i="12"/>
  <c r="Y299" i="12"/>
  <c r="Y300" i="12"/>
  <c r="Y301" i="12"/>
  <c r="Y302" i="12"/>
  <c r="Y303" i="12"/>
  <c r="Y304" i="12"/>
  <c r="Y305" i="12"/>
  <c r="Y306" i="12"/>
  <c r="Y307" i="12"/>
  <c r="Y308" i="12"/>
  <c r="Y309" i="12"/>
  <c r="Y310" i="12"/>
  <c r="Y311" i="12"/>
  <c r="Y312" i="12"/>
  <c r="Y313" i="12"/>
  <c r="Y314" i="12"/>
  <c r="Y315" i="12"/>
  <c r="Y316" i="12"/>
  <c r="Y317" i="12"/>
  <c r="Y318" i="12"/>
  <c r="Y319" i="12"/>
  <c r="Y320" i="12"/>
  <c r="Y321" i="12"/>
  <c r="Y322" i="12"/>
  <c r="Y323" i="12"/>
  <c r="Y324" i="12"/>
  <c r="Y325" i="12"/>
  <c r="Y326" i="12"/>
  <c r="Y327" i="12"/>
  <c r="Y328" i="12"/>
  <c r="Y329" i="12"/>
  <c r="Y330" i="12"/>
  <c r="Y331" i="12"/>
  <c r="Y332" i="12"/>
  <c r="Y333" i="12"/>
  <c r="Y334" i="12"/>
  <c r="Y335" i="12"/>
  <c r="Y336" i="12"/>
  <c r="Y337" i="12"/>
  <c r="Y338" i="12"/>
  <c r="Y339" i="12"/>
  <c r="Y340" i="12"/>
  <c r="Y341" i="12"/>
  <c r="Y342" i="12"/>
  <c r="Y343" i="12"/>
  <c r="Y344" i="12"/>
  <c r="Y345" i="12"/>
  <c r="Y346" i="12"/>
  <c r="Y347" i="12"/>
  <c r="Y348" i="12"/>
  <c r="Y349" i="12"/>
  <c r="Y350" i="12"/>
  <c r="Y351" i="12"/>
  <c r="Y352" i="12"/>
  <c r="Y353" i="12"/>
  <c r="Y354" i="12"/>
  <c r="Y355" i="12"/>
  <c r="Y356" i="12"/>
  <c r="Y357" i="12"/>
  <c r="Y358" i="12"/>
  <c r="Y359" i="12"/>
  <c r="Y360" i="12"/>
  <c r="Y361" i="12"/>
  <c r="Y362" i="12"/>
  <c r="Y363" i="12"/>
  <c r="Y364" i="12"/>
  <c r="Y365" i="12"/>
  <c r="Y366" i="12"/>
  <c r="Y367" i="12"/>
  <c r="Y368" i="12"/>
  <c r="Y369" i="12"/>
  <c r="Y370" i="12"/>
  <c r="Y371" i="12"/>
  <c r="Y372" i="12"/>
  <c r="Y373" i="12"/>
  <c r="Y374" i="12"/>
  <c r="Y375" i="12"/>
  <c r="Y376" i="12"/>
  <c r="Y377" i="12"/>
  <c r="Y378" i="12"/>
  <c r="Y379" i="12"/>
  <c r="Y380" i="12"/>
  <c r="Y381" i="12"/>
  <c r="Y382" i="12"/>
  <c r="Y383" i="12"/>
  <c r="Y384" i="12"/>
  <c r="Y385" i="12"/>
  <c r="Y386" i="12"/>
  <c r="Y387" i="12"/>
  <c r="Y388" i="12"/>
  <c r="Y389" i="12"/>
  <c r="Y390" i="12"/>
  <c r="Y391" i="12"/>
  <c r="Y392" i="12"/>
  <c r="Y393" i="12"/>
  <c r="Y394" i="12"/>
  <c r="Y395" i="12"/>
  <c r="Y396" i="12"/>
  <c r="Y397" i="12"/>
  <c r="Y398" i="12"/>
  <c r="Y399" i="12"/>
  <c r="Y400" i="12"/>
  <c r="Y401" i="12"/>
  <c r="Y402" i="12"/>
  <c r="Y403" i="12"/>
  <c r="Y404" i="12"/>
  <c r="X192" i="12"/>
  <c r="X193" i="12"/>
  <c r="X194" i="12"/>
  <c r="X195" i="12"/>
  <c r="X196" i="12"/>
  <c r="X197" i="12"/>
  <c r="X198" i="12"/>
  <c r="X199" i="12"/>
  <c r="X200" i="12"/>
  <c r="X201" i="12"/>
  <c r="X202" i="12"/>
  <c r="X203" i="12"/>
  <c r="X204" i="12"/>
  <c r="X205" i="12"/>
  <c r="X206" i="12"/>
  <c r="X207" i="12"/>
  <c r="X208" i="12"/>
  <c r="X209" i="12"/>
  <c r="X210" i="12"/>
  <c r="X211" i="12"/>
  <c r="X212" i="12"/>
  <c r="X213" i="12"/>
  <c r="X214" i="12"/>
  <c r="X215" i="12"/>
  <c r="X216" i="12"/>
  <c r="X217" i="12"/>
  <c r="X218" i="12"/>
  <c r="X219" i="12"/>
  <c r="X220" i="12"/>
  <c r="X221" i="12"/>
  <c r="X222" i="12"/>
  <c r="X223" i="12"/>
  <c r="X224" i="12"/>
  <c r="X225" i="12"/>
  <c r="X226" i="12"/>
  <c r="X227" i="12"/>
  <c r="X228" i="12"/>
  <c r="X229" i="12"/>
  <c r="X230" i="12"/>
  <c r="X231" i="12"/>
  <c r="X232" i="12"/>
  <c r="X233" i="12"/>
  <c r="X234" i="12"/>
  <c r="X235" i="12"/>
  <c r="X236" i="12"/>
  <c r="X237" i="12"/>
  <c r="X238" i="12"/>
  <c r="X239" i="12"/>
  <c r="X240" i="12"/>
  <c r="X241" i="12"/>
  <c r="X242" i="12"/>
  <c r="X243" i="12"/>
  <c r="X244" i="12"/>
  <c r="X245" i="12"/>
  <c r="X246" i="12"/>
  <c r="X247" i="12"/>
  <c r="X248" i="12"/>
  <c r="X249" i="12"/>
  <c r="X250" i="12"/>
  <c r="X251" i="12"/>
  <c r="X252" i="12"/>
  <c r="X253" i="12"/>
  <c r="X254" i="12"/>
  <c r="X255" i="12"/>
  <c r="X256" i="12"/>
  <c r="X257" i="12"/>
  <c r="X258" i="12"/>
  <c r="X259" i="12"/>
  <c r="X260" i="12"/>
  <c r="X261" i="12"/>
  <c r="X262" i="12"/>
  <c r="X263" i="12"/>
  <c r="X264" i="12"/>
  <c r="X265" i="12"/>
  <c r="X266" i="12"/>
  <c r="X267" i="12"/>
  <c r="X268" i="12"/>
  <c r="X269" i="12"/>
  <c r="X270" i="12"/>
  <c r="X271" i="12"/>
  <c r="X272" i="12"/>
  <c r="X273" i="12"/>
  <c r="X274" i="12"/>
  <c r="X275" i="12"/>
  <c r="X276" i="12"/>
  <c r="X277" i="12"/>
  <c r="X278" i="12"/>
  <c r="X279" i="12"/>
  <c r="X280" i="12"/>
  <c r="X281" i="12"/>
  <c r="X282" i="12"/>
  <c r="X283" i="12"/>
  <c r="X284" i="12"/>
  <c r="X285" i="12"/>
  <c r="X286" i="12"/>
  <c r="X287" i="12"/>
  <c r="X288" i="12"/>
  <c r="X289" i="12"/>
  <c r="X290" i="12"/>
  <c r="X291" i="12"/>
  <c r="X292" i="12"/>
  <c r="X293" i="12"/>
  <c r="X294" i="12"/>
  <c r="X295" i="12"/>
  <c r="X296" i="12"/>
  <c r="X297" i="12"/>
  <c r="X298" i="12"/>
  <c r="X299" i="12"/>
  <c r="X300" i="12"/>
  <c r="X301" i="12"/>
  <c r="X302" i="12"/>
  <c r="X303" i="12"/>
  <c r="X304" i="12"/>
  <c r="X305" i="12"/>
  <c r="X306" i="12"/>
  <c r="X307" i="12"/>
  <c r="X308" i="12"/>
  <c r="X309" i="12"/>
  <c r="X310" i="12"/>
  <c r="X311" i="12"/>
  <c r="X312" i="12"/>
  <c r="X313" i="12"/>
  <c r="X314" i="12"/>
  <c r="X315" i="12"/>
  <c r="X316" i="12"/>
  <c r="X317" i="12"/>
  <c r="X318" i="12"/>
  <c r="X319" i="12"/>
  <c r="X320" i="12"/>
  <c r="X321" i="12"/>
  <c r="X322" i="12"/>
  <c r="X323" i="12"/>
  <c r="X324" i="12"/>
  <c r="X325" i="12"/>
  <c r="X326" i="12"/>
  <c r="X327" i="12"/>
  <c r="X328" i="12"/>
  <c r="X329" i="12"/>
  <c r="X330" i="12"/>
  <c r="X331" i="12"/>
  <c r="X332" i="12"/>
  <c r="X333" i="12"/>
  <c r="X334" i="12"/>
  <c r="X335" i="12"/>
  <c r="X336" i="12"/>
  <c r="X337" i="12"/>
  <c r="X338" i="12"/>
  <c r="X339" i="12"/>
  <c r="X340" i="12"/>
  <c r="X341" i="12"/>
  <c r="X342" i="12"/>
  <c r="X343" i="12"/>
  <c r="X344" i="12"/>
  <c r="X345" i="12"/>
  <c r="X346" i="12"/>
  <c r="X347" i="12"/>
  <c r="X348" i="12"/>
  <c r="X349" i="12"/>
  <c r="X350" i="12"/>
  <c r="X351" i="12"/>
  <c r="X352" i="12"/>
  <c r="X353" i="12"/>
  <c r="X354" i="12"/>
  <c r="X355" i="12"/>
  <c r="X356" i="12"/>
  <c r="X357" i="12"/>
  <c r="X358" i="12"/>
  <c r="X359" i="12"/>
  <c r="X360" i="12"/>
  <c r="X361" i="12"/>
  <c r="X362" i="12"/>
  <c r="X363" i="12"/>
  <c r="X364" i="12"/>
  <c r="X365" i="12"/>
  <c r="X366" i="12"/>
  <c r="X367" i="12"/>
  <c r="X368" i="12"/>
  <c r="X369" i="12"/>
  <c r="X370" i="12"/>
  <c r="X371" i="12"/>
  <c r="X372" i="12"/>
  <c r="X373" i="12"/>
  <c r="X374" i="12"/>
  <c r="X375" i="12"/>
  <c r="X376" i="12"/>
  <c r="X377" i="12"/>
  <c r="X378" i="12"/>
  <c r="X379" i="12"/>
  <c r="X380" i="12"/>
  <c r="X381" i="12"/>
  <c r="X382" i="12"/>
  <c r="X383" i="12"/>
  <c r="X384" i="12"/>
  <c r="X385" i="12"/>
  <c r="X386" i="12"/>
  <c r="X387" i="12"/>
  <c r="X388" i="12"/>
  <c r="X389" i="12"/>
  <c r="X390" i="12"/>
  <c r="X391" i="12"/>
  <c r="X392" i="12"/>
  <c r="X393" i="12"/>
  <c r="X394" i="12"/>
  <c r="X395" i="12"/>
  <c r="X396" i="12"/>
  <c r="X397" i="12"/>
  <c r="X398" i="12"/>
  <c r="X399" i="12"/>
  <c r="X400" i="12"/>
  <c r="X401" i="12"/>
  <c r="X402" i="12"/>
  <c r="X403" i="12"/>
  <c r="X404" i="12"/>
  <c r="V192" i="12"/>
  <c r="W192" i="12" s="1"/>
  <c r="V193" i="12"/>
  <c r="V194" i="12"/>
  <c r="V195" i="12"/>
  <c r="V196" i="12"/>
  <c r="V197" i="12"/>
  <c r="Z197" i="12" s="1"/>
  <c r="V198" i="12"/>
  <c r="V199" i="12"/>
  <c r="W199" i="12" s="1"/>
  <c r="V200" i="12"/>
  <c r="W200" i="12" s="1"/>
  <c r="V201" i="12"/>
  <c r="V202" i="12"/>
  <c r="V203" i="12"/>
  <c r="W203" i="12" s="1"/>
  <c r="V204" i="12"/>
  <c r="V205" i="12"/>
  <c r="V206" i="12"/>
  <c r="V207" i="12"/>
  <c r="W207" i="12" s="1"/>
  <c r="V208" i="12"/>
  <c r="W208" i="12" s="1"/>
  <c r="V209" i="12"/>
  <c r="V210" i="12"/>
  <c r="V211" i="12"/>
  <c r="V212" i="12"/>
  <c r="V213" i="12"/>
  <c r="V214" i="12"/>
  <c r="V215" i="12"/>
  <c r="W215" i="12" s="1"/>
  <c r="V216" i="12"/>
  <c r="W216" i="12" s="1"/>
  <c r="V217" i="12"/>
  <c r="V218" i="12"/>
  <c r="V219" i="12"/>
  <c r="Z219" i="12" s="1"/>
  <c r="V220" i="12"/>
  <c r="V221" i="12"/>
  <c r="V222" i="12"/>
  <c r="V223" i="12"/>
  <c r="W223" i="12" s="1"/>
  <c r="V224" i="12"/>
  <c r="W224" i="12" s="1"/>
  <c r="V225" i="12"/>
  <c r="V226" i="12"/>
  <c r="W226" i="12" s="1"/>
  <c r="V227" i="12"/>
  <c r="V228" i="12"/>
  <c r="V229" i="12"/>
  <c r="V230" i="12"/>
  <c r="V231" i="12"/>
  <c r="W231" i="12" s="1"/>
  <c r="V232" i="12"/>
  <c r="W232" i="12" s="1"/>
  <c r="V233" i="12"/>
  <c r="V234" i="12"/>
  <c r="V235" i="12"/>
  <c r="V236" i="12"/>
  <c r="V237" i="12"/>
  <c r="V238" i="12"/>
  <c r="V239" i="12"/>
  <c r="V240" i="12"/>
  <c r="W240" i="12" s="1"/>
  <c r="V241" i="12"/>
  <c r="Z241" i="12" s="1"/>
  <c r="V242" i="12"/>
  <c r="V243" i="12"/>
  <c r="V244" i="12"/>
  <c r="V245" i="12"/>
  <c r="W245" i="12" s="1"/>
  <c r="V246" i="12"/>
  <c r="V247" i="12"/>
  <c r="V248" i="12"/>
  <c r="W248" i="12" s="1"/>
  <c r="V249" i="12"/>
  <c r="V250" i="12"/>
  <c r="V251" i="12"/>
  <c r="V252" i="12"/>
  <c r="V253" i="12"/>
  <c r="V254" i="12"/>
  <c r="V255" i="12"/>
  <c r="V256" i="12"/>
  <c r="W256" i="12" s="1"/>
  <c r="V257" i="12"/>
  <c r="V258" i="12"/>
  <c r="V259" i="12"/>
  <c r="V260" i="12"/>
  <c r="V261" i="12"/>
  <c r="Z261" i="12" s="1"/>
  <c r="V262" i="12"/>
  <c r="V263" i="12"/>
  <c r="V264" i="12"/>
  <c r="W264" i="12" s="1"/>
  <c r="V265" i="12"/>
  <c r="V266" i="12"/>
  <c r="V267" i="12"/>
  <c r="W267" i="12" s="1"/>
  <c r="V268" i="12"/>
  <c r="V269" i="12"/>
  <c r="V270" i="12"/>
  <c r="V271" i="12"/>
  <c r="V272" i="12"/>
  <c r="W272" i="12" s="1"/>
  <c r="V273" i="12"/>
  <c r="V274" i="12"/>
  <c r="V275" i="12"/>
  <c r="V276" i="12"/>
  <c r="V277" i="12"/>
  <c r="V278" i="12"/>
  <c r="V279" i="12"/>
  <c r="V280" i="12"/>
  <c r="W280" i="12" s="1"/>
  <c r="V281" i="12"/>
  <c r="V282" i="12"/>
  <c r="V283" i="12"/>
  <c r="Z283" i="12" s="1"/>
  <c r="V284" i="12"/>
  <c r="V285" i="12"/>
  <c r="V286" i="12"/>
  <c r="V287" i="12"/>
  <c r="V288" i="12"/>
  <c r="W288" i="12" s="1"/>
  <c r="V289" i="12"/>
  <c r="V290" i="12"/>
  <c r="W290" i="12" s="1"/>
  <c r="V291" i="12"/>
  <c r="V292" i="12"/>
  <c r="V293" i="12"/>
  <c r="Z293" i="12" s="1"/>
  <c r="V294" i="12"/>
  <c r="V295" i="12"/>
  <c r="V296" i="12"/>
  <c r="W296" i="12" s="1"/>
  <c r="V297" i="12"/>
  <c r="V298" i="12"/>
  <c r="V299" i="12"/>
  <c r="Z299" i="12" s="1"/>
  <c r="V300" i="12"/>
  <c r="V301" i="12"/>
  <c r="Z301" i="12" s="1"/>
  <c r="V302" i="12"/>
  <c r="V303" i="12"/>
  <c r="V304" i="12"/>
  <c r="W304" i="12" s="1"/>
  <c r="V305" i="12"/>
  <c r="Z305" i="12" s="1"/>
  <c r="V306" i="12"/>
  <c r="V307" i="12"/>
  <c r="V308" i="12"/>
  <c r="V309" i="12"/>
  <c r="Z309" i="12" s="1"/>
  <c r="V310" i="12"/>
  <c r="V311" i="12"/>
  <c r="V312" i="12"/>
  <c r="W312" i="12" s="1"/>
  <c r="V313" i="12"/>
  <c r="Z313" i="12" s="1"/>
  <c r="V314" i="12"/>
  <c r="V315" i="12"/>
  <c r="Z315" i="12" s="1"/>
  <c r="V316" i="12"/>
  <c r="V317" i="12"/>
  <c r="Z317" i="12" s="1"/>
  <c r="V318" i="12"/>
  <c r="V319" i="12"/>
  <c r="V320" i="12"/>
  <c r="W320" i="12" s="1"/>
  <c r="V321" i="12"/>
  <c r="Z321" i="12" s="1"/>
  <c r="V322" i="12"/>
  <c r="V323" i="12"/>
  <c r="Z323" i="12" s="1"/>
  <c r="V324" i="12"/>
  <c r="V325" i="12"/>
  <c r="Z325" i="12" s="1"/>
  <c r="V326" i="12"/>
  <c r="V327" i="12"/>
  <c r="V328" i="12"/>
  <c r="W328" i="12" s="1"/>
  <c r="V329" i="12"/>
  <c r="Z329" i="12" s="1"/>
  <c r="V330" i="12"/>
  <c r="V331" i="12"/>
  <c r="W331" i="12" s="1"/>
  <c r="V332" i="12"/>
  <c r="V333" i="12"/>
  <c r="Z333" i="12" s="1"/>
  <c r="V334" i="12"/>
  <c r="V335" i="12"/>
  <c r="V336" i="12"/>
  <c r="W336" i="12" s="1"/>
  <c r="V337" i="12"/>
  <c r="Z337" i="12" s="1"/>
  <c r="V338" i="12"/>
  <c r="V339" i="12"/>
  <c r="Z339" i="12" s="1"/>
  <c r="V340" i="12"/>
  <c r="V341" i="12"/>
  <c r="Z341" i="12" s="1"/>
  <c r="V342" i="12"/>
  <c r="V343" i="12"/>
  <c r="V344" i="12"/>
  <c r="W344" i="12" s="1"/>
  <c r="V345" i="12"/>
  <c r="Z345" i="12" s="1"/>
  <c r="V346" i="12"/>
  <c r="V347" i="12"/>
  <c r="Z347" i="12" s="1"/>
  <c r="V348" i="12"/>
  <c r="V349" i="12"/>
  <c r="Z349" i="12" s="1"/>
  <c r="V350" i="12"/>
  <c r="V351" i="12"/>
  <c r="V352" i="12"/>
  <c r="W352" i="12" s="1"/>
  <c r="V353" i="12"/>
  <c r="Z353" i="12" s="1"/>
  <c r="V354" i="12"/>
  <c r="W354" i="12" s="1"/>
  <c r="V355" i="12"/>
  <c r="Z355" i="12" s="1"/>
  <c r="V356" i="12"/>
  <c r="V357" i="12"/>
  <c r="Z357" i="12" s="1"/>
  <c r="V358" i="12"/>
  <c r="V359" i="12"/>
  <c r="V360" i="12"/>
  <c r="W360" i="12" s="1"/>
  <c r="V361" i="12"/>
  <c r="Z361" i="12" s="1"/>
  <c r="V362" i="12"/>
  <c r="V363" i="12"/>
  <c r="Z363" i="12" s="1"/>
  <c r="V364" i="12"/>
  <c r="V365" i="12"/>
  <c r="Z365" i="12" s="1"/>
  <c r="V366" i="12"/>
  <c r="V367" i="12"/>
  <c r="V368" i="12"/>
  <c r="W368" i="12" s="1"/>
  <c r="V369" i="12"/>
  <c r="Z369" i="12" s="1"/>
  <c r="V370" i="12"/>
  <c r="V371" i="12"/>
  <c r="Z371" i="12" s="1"/>
  <c r="V372" i="12"/>
  <c r="V373" i="12"/>
  <c r="W373" i="12" s="1"/>
  <c r="V374" i="12"/>
  <c r="V375" i="12"/>
  <c r="V376" i="12"/>
  <c r="W376" i="12" s="1"/>
  <c r="V377" i="12"/>
  <c r="Z377" i="12" s="1"/>
  <c r="V378" i="12"/>
  <c r="V379" i="12"/>
  <c r="Z379" i="12" s="1"/>
  <c r="V380" i="12"/>
  <c r="V381" i="12"/>
  <c r="Z381" i="12" s="1"/>
  <c r="V382" i="12"/>
  <c r="V383" i="12"/>
  <c r="V384" i="12"/>
  <c r="W384" i="12" s="1"/>
  <c r="V385" i="12"/>
  <c r="Z385" i="12" s="1"/>
  <c r="V386" i="12"/>
  <c r="V387" i="12"/>
  <c r="Z387" i="12" s="1"/>
  <c r="V388" i="12"/>
  <c r="V389" i="12"/>
  <c r="Z389" i="12" s="1"/>
  <c r="V390" i="12"/>
  <c r="V391" i="12"/>
  <c r="V392" i="12"/>
  <c r="W392" i="12" s="1"/>
  <c r="V393" i="12"/>
  <c r="Z393" i="12" s="1"/>
  <c r="V394" i="12"/>
  <c r="V395" i="12"/>
  <c r="W395" i="12" s="1"/>
  <c r="V396" i="12"/>
  <c r="V397" i="12"/>
  <c r="Z397" i="12" s="1"/>
  <c r="V398" i="12"/>
  <c r="V399" i="12"/>
  <c r="V400" i="12"/>
  <c r="W400" i="12" s="1"/>
  <c r="V401" i="12"/>
  <c r="Z401" i="12" s="1"/>
  <c r="V402" i="12"/>
  <c r="V403" i="12"/>
  <c r="Z403" i="12" s="1"/>
  <c r="V404" i="12"/>
  <c r="V3" i="12"/>
  <c r="V4" i="12"/>
  <c r="V5" i="12"/>
  <c r="V6" i="12"/>
  <c r="V7" i="12"/>
  <c r="V8" i="12"/>
  <c r="V9" i="12"/>
  <c r="V10" i="12"/>
  <c r="V11" i="12"/>
  <c r="V12" i="12"/>
  <c r="V13" i="12"/>
  <c r="V14" i="12"/>
  <c r="V15" i="12"/>
  <c r="V16" i="12"/>
  <c r="V17" i="12"/>
  <c r="V18" i="12"/>
  <c r="V19" i="12"/>
  <c r="V20" i="12"/>
  <c r="V21" i="12"/>
  <c r="V22" i="12"/>
  <c r="V23" i="12"/>
  <c r="V24" i="12"/>
  <c r="V25" i="12"/>
  <c r="V26" i="12"/>
  <c r="V27" i="12"/>
  <c r="V28" i="12"/>
  <c r="V29" i="12"/>
  <c r="V30" i="12"/>
  <c r="V31" i="12"/>
  <c r="V32" i="12"/>
  <c r="V33" i="12"/>
  <c r="V34" i="12"/>
  <c r="V35" i="12"/>
  <c r="V36" i="12"/>
  <c r="V37" i="12"/>
  <c r="V38" i="12"/>
  <c r="V39" i="12"/>
  <c r="V40" i="12"/>
  <c r="V41" i="12"/>
  <c r="V42" i="12"/>
  <c r="V43" i="12"/>
  <c r="V44" i="12"/>
  <c r="V45" i="12"/>
  <c r="V46" i="12"/>
  <c r="V47" i="12"/>
  <c r="V48" i="12"/>
  <c r="V49" i="12"/>
  <c r="V50" i="12"/>
  <c r="V51" i="12"/>
  <c r="V52" i="12"/>
  <c r="V53" i="12"/>
  <c r="V54" i="12"/>
  <c r="V55" i="12"/>
  <c r="V56" i="12"/>
  <c r="V57" i="12"/>
  <c r="V58" i="12"/>
  <c r="V59" i="12"/>
  <c r="V60" i="12"/>
  <c r="V61" i="12"/>
  <c r="V62" i="12"/>
  <c r="V63" i="12"/>
  <c r="V64" i="12"/>
  <c r="V65" i="12"/>
  <c r="V66" i="12"/>
  <c r="V67" i="12"/>
  <c r="V68" i="12"/>
  <c r="V69" i="12"/>
  <c r="V70" i="12"/>
  <c r="V71" i="12"/>
  <c r="V72" i="12"/>
  <c r="V73" i="12"/>
  <c r="V74" i="12"/>
  <c r="V75" i="12"/>
  <c r="V76" i="12"/>
  <c r="V77" i="12"/>
  <c r="V78" i="12"/>
  <c r="V79" i="12"/>
  <c r="V80" i="12"/>
  <c r="V81" i="12"/>
  <c r="V82" i="12"/>
  <c r="V83" i="12"/>
  <c r="V84" i="12"/>
  <c r="V85" i="12"/>
  <c r="V86" i="12"/>
  <c r="V87" i="12"/>
  <c r="V88" i="12"/>
  <c r="V89" i="12"/>
  <c r="V90" i="12"/>
  <c r="V91" i="12"/>
  <c r="V92" i="12"/>
  <c r="V93" i="12"/>
  <c r="V94" i="12"/>
  <c r="V95" i="12"/>
  <c r="V96" i="12"/>
  <c r="V97" i="12"/>
  <c r="V98" i="12"/>
  <c r="V99" i="12"/>
  <c r="V100" i="12"/>
  <c r="V101" i="12"/>
  <c r="V102" i="12"/>
  <c r="V103" i="12"/>
  <c r="V104" i="12"/>
  <c r="V105" i="12"/>
  <c r="V106" i="12"/>
  <c r="V107" i="12"/>
  <c r="V108" i="12"/>
  <c r="V109" i="12"/>
  <c r="V110" i="12"/>
  <c r="V111" i="12"/>
  <c r="V112" i="12"/>
  <c r="V113" i="12"/>
  <c r="V114" i="12"/>
  <c r="V115" i="12"/>
  <c r="V116" i="12"/>
  <c r="V117" i="12"/>
  <c r="V118" i="12"/>
  <c r="V119" i="12"/>
  <c r="V120" i="12"/>
  <c r="V121" i="12"/>
  <c r="V122" i="12"/>
  <c r="V123" i="12"/>
  <c r="V124" i="12"/>
  <c r="V125" i="12"/>
  <c r="V126" i="12"/>
  <c r="V127" i="12"/>
  <c r="V128" i="12"/>
  <c r="V129" i="12"/>
  <c r="V130" i="12"/>
  <c r="V131" i="12"/>
  <c r="V132" i="12"/>
  <c r="V133" i="12"/>
  <c r="V134" i="12"/>
  <c r="V135" i="12"/>
  <c r="V136" i="12"/>
  <c r="V137" i="12"/>
  <c r="V138" i="12"/>
  <c r="V139" i="12"/>
  <c r="V140" i="12"/>
  <c r="V141" i="12"/>
  <c r="V142" i="12"/>
  <c r="V143" i="12"/>
  <c r="V144" i="12"/>
  <c r="V145" i="12"/>
  <c r="V146" i="12"/>
  <c r="V147" i="12"/>
  <c r="V148" i="12"/>
  <c r="V149" i="12"/>
  <c r="V150" i="12"/>
  <c r="V151" i="12"/>
  <c r="V152" i="12"/>
  <c r="V153" i="12"/>
  <c r="V154" i="12"/>
  <c r="V155" i="12"/>
  <c r="V156" i="12"/>
  <c r="V157" i="12"/>
  <c r="V158" i="12"/>
  <c r="V159" i="12"/>
  <c r="V160" i="12"/>
  <c r="V161" i="12"/>
  <c r="V162" i="12"/>
  <c r="V163" i="12"/>
  <c r="V164" i="12"/>
  <c r="V165" i="12"/>
  <c r="V166" i="12"/>
  <c r="V167" i="12"/>
  <c r="V168" i="12"/>
  <c r="V169" i="12"/>
  <c r="V170" i="12"/>
  <c r="V171" i="12"/>
  <c r="V172" i="12"/>
  <c r="V173" i="12"/>
  <c r="V174" i="12"/>
  <c r="V175" i="12"/>
  <c r="V176" i="12"/>
  <c r="V177" i="12"/>
  <c r="V178" i="12"/>
  <c r="V179" i="12"/>
  <c r="V180" i="12"/>
  <c r="V181" i="12"/>
  <c r="V182" i="12"/>
  <c r="V183" i="12"/>
  <c r="V184" i="12"/>
  <c r="V185" i="12"/>
  <c r="V186" i="12"/>
  <c r="V187" i="12"/>
  <c r="V188" i="12"/>
  <c r="V189" i="12"/>
  <c r="V190" i="12"/>
  <c r="V191" i="12"/>
  <c r="V2" i="12"/>
  <c r="T192" i="12"/>
  <c r="T193" i="12"/>
  <c r="T194" i="12"/>
  <c r="T195" i="12"/>
  <c r="T196" i="12"/>
  <c r="T197" i="12"/>
  <c r="T198" i="12"/>
  <c r="T199" i="12"/>
  <c r="T200" i="12"/>
  <c r="T201" i="12"/>
  <c r="T202" i="12"/>
  <c r="T203" i="12"/>
  <c r="T204" i="12"/>
  <c r="T205" i="12"/>
  <c r="T206" i="12"/>
  <c r="T207" i="12"/>
  <c r="T208" i="12"/>
  <c r="T209" i="12"/>
  <c r="T210" i="12"/>
  <c r="T211" i="12"/>
  <c r="T212" i="12"/>
  <c r="T213" i="12"/>
  <c r="T214" i="12"/>
  <c r="T215" i="12"/>
  <c r="T216" i="12"/>
  <c r="T217" i="12"/>
  <c r="T218" i="12"/>
  <c r="T219" i="12"/>
  <c r="T220" i="12"/>
  <c r="T221" i="12"/>
  <c r="T222" i="12"/>
  <c r="T223" i="12"/>
  <c r="T224" i="12"/>
  <c r="T225" i="12"/>
  <c r="T226" i="12"/>
  <c r="T227" i="12"/>
  <c r="T228" i="12"/>
  <c r="T229" i="12"/>
  <c r="T230" i="12"/>
  <c r="T231" i="12"/>
  <c r="T232" i="12"/>
  <c r="T233" i="12"/>
  <c r="T234" i="12"/>
  <c r="T235" i="12"/>
  <c r="T236" i="12"/>
  <c r="T237" i="12"/>
  <c r="T238" i="12"/>
  <c r="T239" i="12"/>
  <c r="T240" i="12"/>
  <c r="T241" i="12"/>
  <c r="T242" i="12"/>
  <c r="T243" i="12"/>
  <c r="T244" i="12"/>
  <c r="T245" i="12"/>
  <c r="T246" i="12"/>
  <c r="T247" i="12"/>
  <c r="T248" i="12"/>
  <c r="T249" i="12"/>
  <c r="T250" i="12"/>
  <c r="T251" i="12"/>
  <c r="T252" i="12"/>
  <c r="T253" i="12"/>
  <c r="T254" i="12"/>
  <c r="T255" i="12"/>
  <c r="T256" i="12"/>
  <c r="T257" i="12"/>
  <c r="T258" i="12"/>
  <c r="T259" i="12"/>
  <c r="T260" i="12"/>
  <c r="T261" i="12"/>
  <c r="T262" i="12"/>
  <c r="T263" i="12"/>
  <c r="T264" i="12"/>
  <c r="T265" i="12"/>
  <c r="T266" i="12"/>
  <c r="T267" i="12"/>
  <c r="T268" i="12"/>
  <c r="T269" i="12"/>
  <c r="T270" i="12"/>
  <c r="T271" i="12"/>
  <c r="T272" i="12"/>
  <c r="T273" i="12"/>
  <c r="T274" i="12"/>
  <c r="T275" i="12"/>
  <c r="T276" i="12"/>
  <c r="T277" i="12"/>
  <c r="T278" i="12"/>
  <c r="T279" i="12"/>
  <c r="T280" i="12"/>
  <c r="T281" i="12"/>
  <c r="T282" i="12"/>
  <c r="T283" i="12"/>
  <c r="T284" i="12"/>
  <c r="T285" i="12"/>
  <c r="T286" i="12"/>
  <c r="T287" i="12"/>
  <c r="T288" i="12"/>
  <c r="T289" i="12"/>
  <c r="T290" i="12"/>
  <c r="T291" i="12"/>
  <c r="T292" i="12"/>
  <c r="T293" i="12"/>
  <c r="T294" i="12"/>
  <c r="T295" i="12"/>
  <c r="T296" i="12"/>
  <c r="T297" i="12"/>
  <c r="T298" i="12"/>
  <c r="T299" i="12"/>
  <c r="T300" i="12"/>
  <c r="T301" i="12"/>
  <c r="T302" i="12"/>
  <c r="T303" i="12"/>
  <c r="T304" i="12"/>
  <c r="T305" i="12"/>
  <c r="T306" i="12"/>
  <c r="T307" i="12"/>
  <c r="T308" i="12"/>
  <c r="T309" i="12"/>
  <c r="T310" i="12"/>
  <c r="T311" i="12"/>
  <c r="T312" i="12"/>
  <c r="T313" i="12"/>
  <c r="T314" i="12"/>
  <c r="T315" i="12"/>
  <c r="T316" i="12"/>
  <c r="T317" i="12"/>
  <c r="T318" i="12"/>
  <c r="T319" i="12"/>
  <c r="T320" i="12"/>
  <c r="T321" i="12"/>
  <c r="T322" i="12"/>
  <c r="T323" i="12"/>
  <c r="T324" i="12"/>
  <c r="T325" i="12"/>
  <c r="T326" i="12"/>
  <c r="T327" i="12"/>
  <c r="T328" i="12"/>
  <c r="T329" i="12"/>
  <c r="T330" i="12"/>
  <c r="T331" i="12"/>
  <c r="T332" i="12"/>
  <c r="T333" i="12"/>
  <c r="T334" i="12"/>
  <c r="T335" i="12"/>
  <c r="T336" i="12"/>
  <c r="T337" i="12"/>
  <c r="T338" i="12"/>
  <c r="T339" i="12"/>
  <c r="T340" i="12"/>
  <c r="T341" i="12"/>
  <c r="T342" i="12"/>
  <c r="T343" i="12"/>
  <c r="T344" i="12"/>
  <c r="T345" i="12"/>
  <c r="T346" i="12"/>
  <c r="T347" i="12"/>
  <c r="T348" i="12"/>
  <c r="T349" i="12"/>
  <c r="T350" i="12"/>
  <c r="T351" i="12"/>
  <c r="T352" i="12"/>
  <c r="T353" i="12"/>
  <c r="T354" i="12"/>
  <c r="T355" i="12"/>
  <c r="T356" i="12"/>
  <c r="T357" i="12"/>
  <c r="T358" i="12"/>
  <c r="T359" i="12"/>
  <c r="T360" i="12"/>
  <c r="T361" i="12"/>
  <c r="T362" i="12"/>
  <c r="T363" i="12"/>
  <c r="T364" i="12"/>
  <c r="T365" i="12"/>
  <c r="T366" i="12"/>
  <c r="T367" i="12"/>
  <c r="T368" i="12"/>
  <c r="T369" i="12"/>
  <c r="T370" i="12"/>
  <c r="T371" i="12"/>
  <c r="T372" i="12"/>
  <c r="T373" i="12"/>
  <c r="T374" i="12"/>
  <c r="T375" i="12"/>
  <c r="T376" i="12"/>
  <c r="T377" i="12"/>
  <c r="T378" i="12"/>
  <c r="T379" i="12"/>
  <c r="T380" i="12"/>
  <c r="T381" i="12"/>
  <c r="T382" i="12"/>
  <c r="T383" i="12"/>
  <c r="T384" i="12"/>
  <c r="T385" i="12"/>
  <c r="T386" i="12"/>
  <c r="T387" i="12"/>
  <c r="T388" i="12"/>
  <c r="T389" i="12"/>
  <c r="T390" i="12"/>
  <c r="T391" i="12"/>
  <c r="T392" i="12"/>
  <c r="T393" i="12"/>
  <c r="T394" i="12"/>
  <c r="T395" i="12"/>
  <c r="T396" i="12"/>
  <c r="T397" i="12"/>
  <c r="T398" i="12"/>
  <c r="T399" i="12"/>
  <c r="T400" i="12"/>
  <c r="T401" i="12"/>
  <c r="T402" i="12"/>
  <c r="T403" i="12"/>
  <c r="T404" i="12"/>
  <c r="S192" i="12"/>
  <c r="S193" i="12"/>
  <c r="S194" i="12"/>
  <c r="S195" i="12"/>
  <c r="S196" i="12"/>
  <c r="S197" i="12"/>
  <c r="S198" i="12"/>
  <c r="S199" i="12"/>
  <c r="S200" i="12"/>
  <c r="S201" i="12"/>
  <c r="S202" i="12"/>
  <c r="S203" i="12"/>
  <c r="S204" i="12"/>
  <c r="S205" i="12"/>
  <c r="S206" i="12"/>
  <c r="S207" i="12"/>
  <c r="S208" i="12"/>
  <c r="S209" i="12"/>
  <c r="S210" i="12"/>
  <c r="S211" i="12"/>
  <c r="S212" i="12"/>
  <c r="S213" i="12"/>
  <c r="S214" i="12"/>
  <c r="S215" i="12"/>
  <c r="S216" i="12"/>
  <c r="S217" i="12"/>
  <c r="S218" i="12"/>
  <c r="S219" i="12"/>
  <c r="S220" i="12"/>
  <c r="S221" i="12"/>
  <c r="S222" i="12"/>
  <c r="S223" i="12"/>
  <c r="S224" i="12"/>
  <c r="S225" i="12"/>
  <c r="S226" i="12"/>
  <c r="S227" i="12"/>
  <c r="S228" i="12"/>
  <c r="S229" i="12"/>
  <c r="S230" i="12"/>
  <c r="S231" i="12"/>
  <c r="S232" i="12"/>
  <c r="S233" i="12"/>
  <c r="S234" i="12"/>
  <c r="S235" i="12"/>
  <c r="S236" i="12"/>
  <c r="S237" i="12"/>
  <c r="S238" i="12"/>
  <c r="S239" i="12"/>
  <c r="S240" i="12"/>
  <c r="S241" i="12"/>
  <c r="S242" i="12"/>
  <c r="S243" i="12"/>
  <c r="S244" i="12"/>
  <c r="S245" i="12"/>
  <c r="S246" i="12"/>
  <c r="S247" i="12"/>
  <c r="S248" i="12"/>
  <c r="S249" i="12"/>
  <c r="S250" i="12"/>
  <c r="S251" i="12"/>
  <c r="S252" i="12"/>
  <c r="S253" i="12"/>
  <c r="S254" i="12"/>
  <c r="S255" i="12"/>
  <c r="S256" i="12"/>
  <c r="S257" i="12"/>
  <c r="S258" i="12"/>
  <c r="S259" i="12"/>
  <c r="S260" i="12"/>
  <c r="S261" i="12"/>
  <c r="S262" i="12"/>
  <c r="S263" i="12"/>
  <c r="S264" i="12"/>
  <c r="S265" i="12"/>
  <c r="S266" i="12"/>
  <c r="S267" i="12"/>
  <c r="S268" i="12"/>
  <c r="S269" i="12"/>
  <c r="S270" i="12"/>
  <c r="S271" i="12"/>
  <c r="S272" i="12"/>
  <c r="S273" i="12"/>
  <c r="S274" i="12"/>
  <c r="S275" i="12"/>
  <c r="S276" i="12"/>
  <c r="S277" i="12"/>
  <c r="S278" i="12"/>
  <c r="S279" i="12"/>
  <c r="S280" i="12"/>
  <c r="S281" i="12"/>
  <c r="S282" i="12"/>
  <c r="S283" i="12"/>
  <c r="S284" i="12"/>
  <c r="S285" i="12"/>
  <c r="S286" i="12"/>
  <c r="S287" i="12"/>
  <c r="S288" i="12"/>
  <c r="S289" i="12"/>
  <c r="S290" i="12"/>
  <c r="S291" i="12"/>
  <c r="S292" i="12"/>
  <c r="S293" i="12"/>
  <c r="S294" i="12"/>
  <c r="S295" i="12"/>
  <c r="S296" i="12"/>
  <c r="S297" i="12"/>
  <c r="S298" i="12"/>
  <c r="S299" i="12"/>
  <c r="S300" i="12"/>
  <c r="S301" i="12"/>
  <c r="S302" i="12"/>
  <c r="S303" i="12"/>
  <c r="S304" i="12"/>
  <c r="S305" i="12"/>
  <c r="S306" i="12"/>
  <c r="S307" i="12"/>
  <c r="S308" i="12"/>
  <c r="S309" i="12"/>
  <c r="S310" i="12"/>
  <c r="S311" i="12"/>
  <c r="S312" i="12"/>
  <c r="S313" i="12"/>
  <c r="S314" i="12"/>
  <c r="S315" i="12"/>
  <c r="S316" i="12"/>
  <c r="S317" i="12"/>
  <c r="S318" i="12"/>
  <c r="S319" i="12"/>
  <c r="S320" i="12"/>
  <c r="S321" i="12"/>
  <c r="S322" i="12"/>
  <c r="S323" i="12"/>
  <c r="S324" i="12"/>
  <c r="S325" i="12"/>
  <c r="S326" i="12"/>
  <c r="S327" i="12"/>
  <c r="S328" i="12"/>
  <c r="S329" i="12"/>
  <c r="S330" i="12"/>
  <c r="S331" i="12"/>
  <c r="S332" i="12"/>
  <c r="S333" i="12"/>
  <c r="S334" i="12"/>
  <c r="S335" i="12"/>
  <c r="S336" i="12"/>
  <c r="S337" i="12"/>
  <c r="S338" i="12"/>
  <c r="S339" i="12"/>
  <c r="S340" i="12"/>
  <c r="S341" i="12"/>
  <c r="S342" i="12"/>
  <c r="S343" i="12"/>
  <c r="S344" i="12"/>
  <c r="S345" i="12"/>
  <c r="S346" i="12"/>
  <c r="S347" i="12"/>
  <c r="S348" i="12"/>
  <c r="S349" i="12"/>
  <c r="S350" i="12"/>
  <c r="S351" i="12"/>
  <c r="S352" i="12"/>
  <c r="S353" i="12"/>
  <c r="S354" i="12"/>
  <c r="S355" i="12"/>
  <c r="S356" i="12"/>
  <c r="S357" i="12"/>
  <c r="S358" i="12"/>
  <c r="S359" i="12"/>
  <c r="S360" i="12"/>
  <c r="S361" i="12"/>
  <c r="S362" i="12"/>
  <c r="S363" i="12"/>
  <c r="S364" i="12"/>
  <c r="S365" i="12"/>
  <c r="S366" i="12"/>
  <c r="S367" i="12"/>
  <c r="S368" i="12"/>
  <c r="S369" i="12"/>
  <c r="S370" i="12"/>
  <c r="S371" i="12"/>
  <c r="S372" i="12"/>
  <c r="S373" i="12"/>
  <c r="S374" i="12"/>
  <c r="S375" i="12"/>
  <c r="S376" i="12"/>
  <c r="S377" i="12"/>
  <c r="S378" i="12"/>
  <c r="S379" i="12"/>
  <c r="S380" i="12"/>
  <c r="S381" i="12"/>
  <c r="S382" i="12"/>
  <c r="S383" i="12"/>
  <c r="S384" i="12"/>
  <c r="S385" i="12"/>
  <c r="S386" i="12"/>
  <c r="S387" i="12"/>
  <c r="S388" i="12"/>
  <c r="S389" i="12"/>
  <c r="S390" i="12"/>
  <c r="S391" i="12"/>
  <c r="S392" i="12"/>
  <c r="S393" i="12"/>
  <c r="S394" i="12"/>
  <c r="S395" i="12"/>
  <c r="S396" i="12"/>
  <c r="S397" i="12"/>
  <c r="S398" i="12"/>
  <c r="S399" i="12"/>
  <c r="S400" i="12"/>
  <c r="S401" i="12"/>
  <c r="S402" i="12"/>
  <c r="S403" i="12"/>
  <c r="S404" i="12"/>
  <c r="S3" i="12"/>
  <c r="S4" i="12"/>
  <c r="S5" i="12"/>
  <c r="S6" i="12"/>
  <c r="S7" i="12"/>
  <c r="S8" i="12"/>
  <c r="S9" i="12"/>
  <c r="S10" i="12"/>
  <c r="S11" i="12"/>
  <c r="S12" i="12"/>
  <c r="S13" i="12"/>
  <c r="S14" i="12"/>
  <c r="S15" i="12"/>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1" i="12"/>
  <c r="S42" i="12"/>
  <c r="S43" i="12"/>
  <c r="S44" i="12"/>
  <c r="S45" i="12"/>
  <c r="S46" i="12"/>
  <c r="S47" i="12"/>
  <c r="S48" i="12"/>
  <c r="S49" i="12"/>
  <c r="S50" i="12"/>
  <c r="S51" i="12"/>
  <c r="S52" i="12"/>
  <c r="S53" i="12"/>
  <c r="S54" i="12"/>
  <c r="S55" i="12"/>
  <c r="S56" i="12"/>
  <c r="S57" i="12"/>
  <c r="S58" i="12"/>
  <c r="S59" i="12"/>
  <c r="S60" i="12"/>
  <c r="S61" i="12"/>
  <c r="S62" i="12"/>
  <c r="S63" i="12"/>
  <c r="S64" i="12"/>
  <c r="S65" i="12"/>
  <c r="S66" i="12"/>
  <c r="S67" i="12"/>
  <c r="S68" i="12"/>
  <c r="S69" i="12"/>
  <c r="S70" i="12"/>
  <c r="S71" i="12"/>
  <c r="S72" i="12"/>
  <c r="S73" i="12"/>
  <c r="S74" i="12"/>
  <c r="S75" i="12"/>
  <c r="S76" i="12"/>
  <c r="S77" i="12"/>
  <c r="S78" i="12"/>
  <c r="S79" i="12"/>
  <c r="S80" i="12"/>
  <c r="S81" i="12"/>
  <c r="S82" i="12"/>
  <c r="S83" i="12"/>
  <c r="S84" i="12"/>
  <c r="S85" i="12"/>
  <c r="S86" i="12"/>
  <c r="S87" i="12"/>
  <c r="S88" i="12"/>
  <c r="S89" i="12"/>
  <c r="S90" i="12"/>
  <c r="S91" i="12"/>
  <c r="S92" i="12"/>
  <c r="S93" i="12"/>
  <c r="S94" i="12"/>
  <c r="S95" i="12"/>
  <c r="S96" i="12"/>
  <c r="S97" i="12"/>
  <c r="S98" i="12"/>
  <c r="S99" i="12"/>
  <c r="S100" i="12"/>
  <c r="S101" i="12"/>
  <c r="S102" i="12"/>
  <c r="S103" i="12"/>
  <c r="S104" i="12"/>
  <c r="S105" i="12"/>
  <c r="S106" i="12"/>
  <c r="S107" i="12"/>
  <c r="S108" i="12"/>
  <c r="S109" i="12"/>
  <c r="S110" i="12"/>
  <c r="S111" i="12"/>
  <c r="S112" i="12"/>
  <c r="S113" i="12"/>
  <c r="S114" i="12"/>
  <c r="S115" i="12"/>
  <c r="S116" i="12"/>
  <c r="S117" i="12"/>
  <c r="S118" i="12"/>
  <c r="S119" i="12"/>
  <c r="S120" i="12"/>
  <c r="S121" i="12"/>
  <c r="S122" i="12"/>
  <c r="S123" i="12"/>
  <c r="S124" i="12"/>
  <c r="S125" i="12"/>
  <c r="S126" i="12"/>
  <c r="S127" i="12"/>
  <c r="S128" i="12"/>
  <c r="S129" i="12"/>
  <c r="S130" i="12"/>
  <c r="S131" i="12"/>
  <c r="S132" i="12"/>
  <c r="S133" i="12"/>
  <c r="S134" i="12"/>
  <c r="S135" i="12"/>
  <c r="S136" i="12"/>
  <c r="S137" i="12"/>
  <c r="S138" i="12"/>
  <c r="S139" i="12"/>
  <c r="S140" i="12"/>
  <c r="S141" i="12"/>
  <c r="S142" i="12"/>
  <c r="S143" i="12"/>
  <c r="S144" i="12"/>
  <c r="S145" i="12"/>
  <c r="S146" i="12"/>
  <c r="S147" i="12"/>
  <c r="S148" i="12"/>
  <c r="S149" i="12"/>
  <c r="S150" i="12"/>
  <c r="S151" i="12"/>
  <c r="S152" i="12"/>
  <c r="S153" i="12"/>
  <c r="S154" i="12"/>
  <c r="S155" i="12"/>
  <c r="S156" i="12"/>
  <c r="S157" i="12"/>
  <c r="S158" i="12"/>
  <c r="S159" i="12"/>
  <c r="S160" i="12"/>
  <c r="S161" i="12"/>
  <c r="S162" i="12"/>
  <c r="S163" i="12"/>
  <c r="S164" i="12"/>
  <c r="S165" i="12"/>
  <c r="S166" i="12"/>
  <c r="S167" i="12"/>
  <c r="S168" i="12"/>
  <c r="S169" i="12"/>
  <c r="S170" i="12"/>
  <c r="S171" i="12"/>
  <c r="S172" i="12"/>
  <c r="S173" i="12"/>
  <c r="S174" i="12"/>
  <c r="S175" i="12"/>
  <c r="S176" i="12"/>
  <c r="S177" i="12"/>
  <c r="S178" i="12"/>
  <c r="S179" i="12"/>
  <c r="S180" i="12"/>
  <c r="S181" i="12"/>
  <c r="S182" i="12"/>
  <c r="S183" i="12"/>
  <c r="S184" i="12"/>
  <c r="S185" i="12"/>
  <c r="S186" i="12"/>
  <c r="S187" i="12"/>
  <c r="S188" i="12"/>
  <c r="S189" i="12"/>
  <c r="S190" i="12"/>
  <c r="S191" i="12"/>
  <c r="Q192" i="12"/>
  <c r="U192" i="12" s="1"/>
  <c r="Q193" i="12"/>
  <c r="U193" i="12" s="1"/>
  <c r="Q194" i="12"/>
  <c r="U194" i="12" s="1"/>
  <c r="Q195" i="12"/>
  <c r="U195" i="12" s="1"/>
  <c r="Q196" i="12"/>
  <c r="R196" i="12" s="1"/>
  <c r="Q197" i="12"/>
  <c r="R197" i="12" s="1"/>
  <c r="Q198" i="12"/>
  <c r="R198" i="12" s="1"/>
  <c r="Q199" i="12"/>
  <c r="U199" i="12" s="1"/>
  <c r="Q200" i="12"/>
  <c r="U200" i="12" s="1"/>
  <c r="Q201" i="12"/>
  <c r="U201" i="12" s="1"/>
  <c r="Q202" i="12"/>
  <c r="U202" i="12" s="1"/>
  <c r="Q203" i="12"/>
  <c r="U203" i="12" s="1"/>
  <c r="Q204" i="12"/>
  <c r="U204" i="12" s="1"/>
  <c r="Q205" i="12"/>
  <c r="U205" i="12" s="1"/>
  <c r="Q206" i="12"/>
  <c r="U206" i="12" s="1"/>
  <c r="Q207" i="12"/>
  <c r="U207" i="12" s="1"/>
  <c r="Q208" i="12"/>
  <c r="U208" i="12" s="1"/>
  <c r="Q209" i="12"/>
  <c r="U209" i="12" s="1"/>
  <c r="Q210" i="12"/>
  <c r="U210" i="12" s="1"/>
  <c r="Q211" i="12"/>
  <c r="U211" i="12" s="1"/>
  <c r="Q212" i="12"/>
  <c r="R212" i="12" s="1"/>
  <c r="Q213" i="12"/>
  <c r="R213" i="12" s="1"/>
  <c r="Q214" i="12"/>
  <c r="U214" i="12" s="1"/>
  <c r="Q215" i="12"/>
  <c r="U215" i="12" s="1"/>
  <c r="Q216" i="12"/>
  <c r="U216" i="12" s="1"/>
  <c r="Q217" i="12"/>
  <c r="R217" i="12" s="1"/>
  <c r="Q218" i="12"/>
  <c r="U218" i="12" s="1"/>
  <c r="Q219" i="12"/>
  <c r="R219" i="12" s="1"/>
  <c r="Q220" i="12"/>
  <c r="R220" i="12" s="1"/>
  <c r="Q221" i="12"/>
  <c r="R221" i="12" s="1"/>
  <c r="Q222" i="12"/>
  <c r="R222" i="12" s="1"/>
  <c r="Q223" i="12"/>
  <c r="U223" i="12" s="1"/>
  <c r="Q224" i="12"/>
  <c r="U224" i="12" s="1"/>
  <c r="Q225" i="12"/>
  <c r="U225" i="12" s="1"/>
  <c r="Q226" i="12"/>
  <c r="U226" i="12" s="1"/>
  <c r="Q227" i="12"/>
  <c r="U227" i="12" s="1"/>
  <c r="Q228" i="12"/>
  <c r="U228" i="12" s="1"/>
  <c r="Q229" i="12"/>
  <c r="U229" i="12" s="1"/>
  <c r="Q230" i="12"/>
  <c r="U230" i="12" s="1"/>
  <c r="Q231" i="12"/>
  <c r="U231" i="12" s="1"/>
  <c r="Q232" i="12"/>
  <c r="U232" i="12" s="1"/>
  <c r="Q233" i="12"/>
  <c r="U233" i="12" s="1"/>
  <c r="Q234" i="12"/>
  <c r="U234" i="12" s="1"/>
  <c r="Q235" i="12"/>
  <c r="R235" i="12" s="1"/>
  <c r="Q236" i="12"/>
  <c r="R236" i="12" s="1"/>
  <c r="Q237" i="12"/>
  <c r="R237" i="12" s="1"/>
  <c r="Q238" i="12"/>
  <c r="U238" i="12" s="1"/>
  <c r="Q239" i="12"/>
  <c r="U239" i="12" s="1"/>
  <c r="Q240" i="12"/>
  <c r="U240" i="12" s="1"/>
  <c r="Q241" i="12"/>
  <c r="U241" i="12" s="1"/>
  <c r="Q242" i="12"/>
  <c r="U242" i="12" s="1"/>
  <c r="Q243" i="12"/>
  <c r="U243" i="12" s="1"/>
  <c r="Q244" i="12"/>
  <c r="U244" i="12" s="1"/>
  <c r="Q245" i="12"/>
  <c r="U245" i="12" s="1"/>
  <c r="Q246" i="12"/>
  <c r="U246" i="12" s="1"/>
  <c r="Q247" i="12"/>
  <c r="U247" i="12" s="1"/>
  <c r="Q248" i="12"/>
  <c r="U248" i="12" s="1"/>
  <c r="Q249" i="12"/>
  <c r="U249" i="12" s="1"/>
  <c r="Q250" i="12"/>
  <c r="U250" i="12" s="1"/>
  <c r="Q251" i="12"/>
  <c r="U251" i="12" s="1"/>
  <c r="Q252" i="12"/>
  <c r="U252" i="12" s="1"/>
  <c r="Q253" i="12"/>
  <c r="U253" i="12" s="1"/>
  <c r="Q254" i="12"/>
  <c r="U254" i="12" s="1"/>
  <c r="Q255" i="12"/>
  <c r="U255" i="12" s="1"/>
  <c r="Q256" i="12"/>
  <c r="U256" i="12" s="1"/>
  <c r="Q257" i="12"/>
  <c r="U257" i="12" s="1"/>
  <c r="Q258" i="12"/>
  <c r="U258" i="12" s="1"/>
  <c r="Q259" i="12"/>
  <c r="U259" i="12" s="1"/>
  <c r="Q260" i="12"/>
  <c r="R260" i="12" s="1"/>
  <c r="Q261" i="12"/>
  <c r="R261" i="12" s="1"/>
  <c r="Q262" i="12"/>
  <c r="R262" i="12" s="1"/>
  <c r="Q263" i="12"/>
  <c r="U263" i="12" s="1"/>
  <c r="Q264" i="12"/>
  <c r="U264" i="12" s="1"/>
  <c r="Q265" i="12"/>
  <c r="R265" i="12" s="1"/>
  <c r="Q266" i="12"/>
  <c r="U266" i="12" s="1"/>
  <c r="Q267" i="12"/>
  <c r="R267" i="12" s="1"/>
  <c r="Q268" i="12"/>
  <c r="U268" i="12" s="1"/>
  <c r="Q269" i="12"/>
  <c r="U269" i="12" s="1"/>
  <c r="Q270" i="12"/>
  <c r="U270" i="12" s="1"/>
  <c r="Q271" i="12"/>
  <c r="U271" i="12" s="1"/>
  <c r="Q272" i="12"/>
  <c r="U272" i="12" s="1"/>
  <c r="Q273" i="12"/>
  <c r="U273" i="12" s="1"/>
  <c r="Q274" i="12"/>
  <c r="U274" i="12" s="1"/>
  <c r="Q275" i="12"/>
  <c r="U275" i="12" s="1"/>
  <c r="Q276" i="12"/>
  <c r="R276" i="12" s="1"/>
  <c r="Q277" i="12"/>
  <c r="R277" i="12" s="1"/>
  <c r="Q278" i="12"/>
  <c r="U278" i="12" s="1"/>
  <c r="Q279" i="12"/>
  <c r="U279" i="12" s="1"/>
  <c r="Q280" i="12"/>
  <c r="R280" i="12" s="1"/>
  <c r="Q281" i="12"/>
  <c r="U281" i="12" s="1"/>
  <c r="Q282" i="12"/>
  <c r="U282" i="12" s="1"/>
  <c r="Q283" i="12"/>
  <c r="U283" i="12" s="1"/>
  <c r="Q284" i="12"/>
  <c r="R284" i="12" s="1"/>
  <c r="Q285" i="12"/>
  <c r="R285" i="12" s="1"/>
  <c r="Q286" i="12"/>
  <c r="R286" i="12" s="1"/>
  <c r="Q287" i="12"/>
  <c r="U287" i="12" s="1"/>
  <c r="Q288" i="12"/>
  <c r="R288" i="12" s="1"/>
  <c r="Q289" i="12"/>
  <c r="U289" i="12" s="1"/>
  <c r="Q290" i="12"/>
  <c r="U290" i="12" s="1"/>
  <c r="Q291" i="12"/>
  <c r="U291" i="12" s="1"/>
  <c r="Q292" i="12"/>
  <c r="U292" i="12" s="1"/>
  <c r="Q293" i="12"/>
  <c r="U293" i="12" s="1"/>
  <c r="Q294" i="12"/>
  <c r="U294" i="12" s="1"/>
  <c r="Q295" i="12"/>
  <c r="U295" i="12" s="1"/>
  <c r="Q296" i="12"/>
  <c r="R296" i="12" s="1"/>
  <c r="Q297" i="12"/>
  <c r="U297" i="12" s="1"/>
  <c r="Q298" i="12"/>
  <c r="U298" i="12" s="1"/>
  <c r="Q299" i="12"/>
  <c r="R299" i="12" s="1"/>
  <c r="Q300" i="12"/>
  <c r="U300" i="12" s="1"/>
  <c r="Q301" i="12"/>
  <c r="U301" i="12" s="1"/>
  <c r="Q302" i="12"/>
  <c r="U302" i="12" s="1"/>
  <c r="Q303" i="12"/>
  <c r="U303" i="12" s="1"/>
  <c r="Q304" i="12"/>
  <c r="U304" i="12" s="1"/>
  <c r="Q305" i="12"/>
  <c r="U305" i="12" s="1"/>
  <c r="Q306" i="12"/>
  <c r="U306" i="12" s="1"/>
  <c r="Q307" i="12"/>
  <c r="U307" i="12" s="1"/>
  <c r="Q308" i="12"/>
  <c r="R308" i="12" s="1"/>
  <c r="Q309" i="12"/>
  <c r="R309" i="12" s="1"/>
  <c r="Q310" i="12"/>
  <c r="U310" i="12" s="1"/>
  <c r="Q311" i="12"/>
  <c r="U311" i="12" s="1"/>
  <c r="Q312" i="12"/>
  <c r="R312" i="12" s="1"/>
  <c r="Q313" i="12"/>
  <c r="U313" i="12" s="1"/>
  <c r="Q314" i="12"/>
  <c r="U314" i="12" s="1"/>
  <c r="Q315" i="12"/>
  <c r="U315" i="12" s="1"/>
  <c r="Q316" i="12"/>
  <c r="R316" i="12" s="1"/>
  <c r="Q317" i="12"/>
  <c r="R317" i="12" s="1"/>
  <c r="Q318" i="12"/>
  <c r="R318" i="12" s="1"/>
  <c r="Q319" i="12"/>
  <c r="U319" i="12" s="1"/>
  <c r="Q320" i="12"/>
  <c r="R320" i="12" s="1"/>
  <c r="Q321" i="12"/>
  <c r="U321" i="12" s="1"/>
  <c r="Q322" i="12"/>
  <c r="U322" i="12" s="1"/>
  <c r="Q323" i="12"/>
  <c r="R323" i="12" s="1"/>
  <c r="Q324" i="12"/>
  <c r="U324" i="12" s="1"/>
  <c r="Q325" i="12"/>
  <c r="U325" i="12" s="1"/>
  <c r="Q326" i="12"/>
  <c r="U326" i="12" s="1"/>
  <c r="Q327" i="12"/>
  <c r="U327" i="12" s="1"/>
  <c r="Q328" i="12"/>
  <c r="R328" i="12" s="1"/>
  <c r="Q329" i="12"/>
  <c r="U329" i="12" s="1"/>
  <c r="Q330" i="12"/>
  <c r="U330" i="12" s="1"/>
  <c r="Q331" i="12"/>
  <c r="R331" i="12" s="1"/>
  <c r="Q332" i="12"/>
  <c r="U332" i="12" s="1"/>
  <c r="Q333" i="12"/>
  <c r="U333" i="12" s="1"/>
  <c r="Q334" i="12"/>
  <c r="U334" i="12" s="1"/>
  <c r="Q335" i="12"/>
  <c r="U335" i="12" s="1"/>
  <c r="Q336" i="12"/>
  <c r="U336" i="12" s="1"/>
  <c r="Q337" i="12"/>
  <c r="U337" i="12" s="1"/>
  <c r="Q338" i="12"/>
  <c r="U338" i="12" s="1"/>
  <c r="Q339" i="12"/>
  <c r="U339" i="12" s="1"/>
  <c r="Q340" i="12"/>
  <c r="R340" i="12" s="1"/>
  <c r="Q341" i="12"/>
  <c r="R341" i="12" s="1"/>
  <c r="Q342" i="12"/>
  <c r="U342" i="12" s="1"/>
  <c r="Q343" i="12"/>
  <c r="U343" i="12" s="1"/>
  <c r="Q344" i="12"/>
  <c r="R344" i="12" s="1"/>
  <c r="Q345" i="12"/>
  <c r="U345" i="12" s="1"/>
  <c r="Q346" i="12"/>
  <c r="U346" i="12" s="1"/>
  <c r="Q347" i="12"/>
  <c r="U347" i="12" s="1"/>
  <c r="Q348" i="12"/>
  <c r="R348" i="12" s="1"/>
  <c r="Q349" i="12"/>
  <c r="R349" i="12" s="1"/>
  <c r="Q350" i="12"/>
  <c r="R350" i="12" s="1"/>
  <c r="Q351" i="12"/>
  <c r="U351" i="12" s="1"/>
  <c r="Q352" i="12"/>
  <c r="R352" i="12" s="1"/>
  <c r="Q353" i="12"/>
  <c r="U353" i="12" s="1"/>
  <c r="Q354" i="12"/>
  <c r="U354" i="12" s="1"/>
  <c r="Q355" i="12"/>
  <c r="U355" i="12" s="1"/>
  <c r="Q356" i="12"/>
  <c r="U356" i="12" s="1"/>
  <c r="Q357" i="12"/>
  <c r="U357" i="12" s="1"/>
  <c r="Q358" i="12"/>
  <c r="U358" i="12" s="1"/>
  <c r="Q359" i="12"/>
  <c r="U359" i="12" s="1"/>
  <c r="Q360" i="12"/>
  <c r="R360" i="12" s="1"/>
  <c r="Q361" i="12"/>
  <c r="U361" i="12" s="1"/>
  <c r="Q362" i="12"/>
  <c r="U362" i="12" s="1"/>
  <c r="Q363" i="12"/>
  <c r="R363" i="12" s="1"/>
  <c r="Q364" i="12"/>
  <c r="U364" i="12" s="1"/>
  <c r="Q365" i="12"/>
  <c r="U365" i="12" s="1"/>
  <c r="Q366" i="12"/>
  <c r="U366" i="12" s="1"/>
  <c r="Q367" i="12"/>
  <c r="U367" i="12" s="1"/>
  <c r="Q368" i="12"/>
  <c r="U368" i="12" s="1"/>
  <c r="Q369" i="12"/>
  <c r="U369" i="12" s="1"/>
  <c r="Q370" i="12"/>
  <c r="U370" i="12" s="1"/>
  <c r="Q371" i="12"/>
  <c r="U371" i="12" s="1"/>
  <c r="Q372" i="12"/>
  <c r="R372" i="12" s="1"/>
  <c r="Q373" i="12"/>
  <c r="R373" i="12" s="1"/>
  <c r="Q374" i="12"/>
  <c r="U374" i="12" s="1"/>
  <c r="Q375" i="12"/>
  <c r="U375" i="12" s="1"/>
  <c r="Q376" i="12"/>
  <c r="R376" i="12" s="1"/>
  <c r="Q377" i="12"/>
  <c r="U377" i="12" s="1"/>
  <c r="Q378" i="12"/>
  <c r="U378" i="12" s="1"/>
  <c r="Q379" i="12"/>
  <c r="U379" i="12" s="1"/>
  <c r="Q380" i="12"/>
  <c r="R380" i="12" s="1"/>
  <c r="Q381" i="12"/>
  <c r="R381" i="12" s="1"/>
  <c r="Q382" i="12"/>
  <c r="R382" i="12" s="1"/>
  <c r="Q383" i="12"/>
  <c r="U383" i="12" s="1"/>
  <c r="Q384" i="12"/>
  <c r="R384" i="12" s="1"/>
  <c r="Q385" i="12"/>
  <c r="U385" i="12" s="1"/>
  <c r="Q386" i="12"/>
  <c r="U386" i="12" s="1"/>
  <c r="Q387" i="12"/>
  <c r="R387" i="12" s="1"/>
  <c r="Q388" i="12"/>
  <c r="U388" i="12" s="1"/>
  <c r="Q389" i="12"/>
  <c r="U389" i="12" s="1"/>
  <c r="Q390" i="12"/>
  <c r="U390" i="12" s="1"/>
  <c r="Q391" i="12"/>
  <c r="U391" i="12" s="1"/>
  <c r="Q392" i="12"/>
  <c r="R392" i="12" s="1"/>
  <c r="Q393" i="12"/>
  <c r="U393" i="12" s="1"/>
  <c r="Q394" i="12"/>
  <c r="U394" i="12" s="1"/>
  <c r="Q395" i="12"/>
  <c r="R395" i="12" s="1"/>
  <c r="Q396" i="12"/>
  <c r="U396" i="12" s="1"/>
  <c r="Q397" i="12"/>
  <c r="U397" i="12" s="1"/>
  <c r="Q398" i="12"/>
  <c r="U398" i="12" s="1"/>
  <c r="Q399" i="12"/>
  <c r="U399" i="12" s="1"/>
  <c r="Q400" i="12"/>
  <c r="U400" i="12" s="1"/>
  <c r="Q401" i="12"/>
  <c r="U401" i="12" s="1"/>
  <c r="Q402" i="12"/>
  <c r="U402" i="12" s="1"/>
  <c r="Q403" i="12"/>
  <c r="U403" i="12" s="1"/>
  <c r="Q404" i="12"/>
  <c r="R404" i="12" s="1"/>
  <c r="Q3" i="12"/>
  <c r="Q4" i="12"/>
  <c r="Q5" i="12"/>
  <c r="Q6" i="12"/>
  <c r="Q7" i="12"/>
  <c r="Q8" i="12"/>
  <c r="Q9" i="12"/>
  <c r="Q10" i="12"/>
  <c r="Q11" i="12"/>
  <c r="Q12" i="12"/>
  <c r="Q13" i="12"/>
  <c r="Q14" i="12"/>
  <c r="Q15" i="12"/>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1" i="12"/>
  <c r="Q42" i="12"/>
  <c r="Q43" i="12"/>
  <c r="Q44" i="12"/>
  <c r="Q45" i="12"/>
  <c r="Q46" i="12"/>
  <c r="Q47" i="12"/>
  <c r="Q48" i="12"/>
  <c r="Q49" i="12"/>
  <c r="Q50" i="12"/>
  <c r="Q51" i="12"/>
  <c r="Q52" i="12"/>
  <c r="Q53" i="12"/>
  <c r="Q54" i="12"/>
  <c r="Q55" i="12"/>
  <c r="Q56" i="12"/>
  <c r="Q57" i="12"/>
  <c r="Q58" i="12"/>
  <c r="Q59" i="12"/>
  <c r="Q60" i="12"/>
  <c r="Q61" i="12"/>
  <c r="Q62" i="12"/>
  <c r="Q63" i="12"/>
  <c r="Q64" i="12"/>
  <c r="Q65" i="12"/>
  <c r="Q66" i="12"/>
  <c r="Q67" i="12"/>
  <c r="Q68" i="12"/>
  <c r="Q69" i="12"/>
  <c r="Q70" i="12"/>
  <c r="Q71" i="12"/>
  <c r="Q72" i="12"/>
  <c r="Q73" i="12"/>
  <c r="Q74" i="12"/>
  <c r="Q75" i="12"/>
  <c r="Q76" i="12"/>
  <c r="Q77" i="12"/>
  <c r="Q78" i="12"/>
  <c r="Q79" i="12"/>
  <c r="Q80" i="12"/>
  <c r="Q81" i="12"/>
  <c r="Q82" i="12"/>
  <c r="Q83" i="12"/>
  <c r="Q84" i="12"/>
  <c r="Q85" i="12"/>
  <c r="Q86" i="12"/>
  <c r="Q87" i="12"/>
  <c r="Q88" i="12"/>
  <c r="Q89" i="12"/>
  <c r="Q90" i="12"/>
  <c r="Q91" i="12"/>
  <c r="Q92" i="12"/>
  <c r="Q93" i="12"/>
  <c r="Q94" i="12"/>
  <c r="Q95" i="12"/>
  <c r="Q96" i="12"/>
  <c r="Q97" i="12"/>
  <c r="Q98" i="12"/>
  <c r="Q99" i="12"/>
  <c r="Q100" i="12"/>
  <c r="Q101" i="12"/>
  <c r="Q102" i="12"/>
  <c r="Q103" i="12"/>
  <c r="Q104" i="12"/>
  <c r="Q105" i="12"/>
  <c r="Q106" i="12"/>
  <c r="Q107" i="12"/>
  <c r="Q108" i="12"/>
  <c r="Q109" i="12"/>
  <c r="Q110" i="12"/>
  <c r="Q111" i="12"/>
  <c r="Q112" i="12"/>
  <c r="Q113" i="12"/>
  <c r="Q114" i="12"/>
  <c r="Q115" i="12"/>
  <c r="Q116" i="12"/>
  <c r="Q117" i="12"/>
  <c r="Q118" i="12"/>
  <c r="Q119" i="12"/>
  <c r="Q120" i="12"/>
  <c r="Q121" i="12"/>
  <c r="Q122" i="12"/>
  <c r="Q123" i="12"/>
  <c r="Q124" i="12"/>
  <c r="Q125" i="12"/>
  <c r="Q126" i="12"/>
  <c r="Q127" i="12"/>
  <c r="Q128" i="12"/>
  <c r="Q129" i="12"/>
  <c r="Q130" i="12"/>
  <c r="Q131" i="12"/>
  <c r="Q132" i="12"/>
  <c r="Q133" i="12"/>
  <c r="Q134" i="12"/>
  <c r="Q135" i="12"/>
  <c r="Q136" i="12"/>
  <c r="Q137" i="12"/>
  <c r="Q138" i="12"/>
  <c r="Q139" i="12"/>
  <c r="Q140" i="12"/>
  <c r="Q141" i="12"/>
  <c r="Q142" i="12"/>
  <c r="Q143" i="12"/>
  <c r="Q144" i="12"/>
  <c r="Q145" i="12"/>
  <c r="Q146" i="12"/>
  <c r="Q147" i="12"/>
  <c r="Q148" i="12"/>
  <c r="Q149" i="12"/>
  <c r="Q150" i="12"/>
  <c r="Q151" i="12"/>
  <c r="Q152" i="12"/>
  <c r="Q153" i="12"/>
  <c r="Q154" i="12"/>
  <c r="Q155" i="12"/>
  <c r="Q156" i="12"/>
  <c r="Q157" i="12"/>
  <c r="Q158" i="12"/>
  <c r="Q159" i="12"/>
  <c r="Q160" i="12"/>
  <c r="Q161" i="12"/>
  <c r="Q162" i="12"/>
  <c r="Q163" i="12"/>
  <c r="Q164" i="12"/>
  <c r="Q165" i="12"/>
  <c r="Q166" i="12"/>
  <c r="Q167" i="12"/>
  <c r="Q168" i="12"/>
  <c r="Q169" i="12"/>
  <c r="Q170" i="12"/>
  <c r="Q171" i="12"/>
  <c r="Q172" i="12"/>
  <c r="Q173" i="12"/>
  <c r="Q174" i="12"/>
  <c r="Q175" i="12"/>
  <c r="Q176" i="12"/>
  <c r="Q177" i="12"/>
  <c r="Q178" i="12"/>
  <c r="Q179" i="12"/>
  <c r="Q180" i="12"/>
  <c r="Q181" i="12"/>
  <c r="Q182" i="12"/>
  <c r="Q183" i="12"/>
  <c r="Q184" i="12"/>
  <c r="Q185" i="12"/>
  <c r="Q186" i="12"/>
  <c r="Q187" i="12"/>
  <c r="Q188" i="12"/>
  <c r="Q189" i="12"/>
  <c r="Q190" i="12"/>
  <c r="Q191" i="12"/>
  <c r="Q2" i="12"/>
  <c r="P192" i="12"/>
  <c r="P193" i="12"/>
  <c r="P194" i="12"/>
  <c r="P195" i="12"/>
  <c r="P196" i="12"/>
  <c r="P197" i="12"/>
  <c r="P198" i="12"/>
  <c r="P199" i="12"/>
  <c r="P200" i="12"/>
  <c r="P201" i="12"/>
  <c r="P202" i="12"/>
  <c r="P203" i="12"/>
  <c r="P204" i="12"/>
  <c r="P205" i="12"/>
  <c r="P206" i="12"/>
  <c r="P207" i="12"/>
  <c r="P208" i="12"/>
  <c r="P209" i="12"/>
  <c r="P210" i="12"/>
  <c r="P211" i="12"/>
  <c r="P212" i="12"/>
  <c r="P213" i="12"/>
  <c r="P214" i="12"/>
  <c r="P215" i="12"/>
  <c r="P216" i="12"/>
  <c r="P217" i="12"/>
  <c r="P218" i="12"/>
  <c r="P219" i="12"/>
  <c r="P220" i="12"/>
  <c r="P221" i="12"/>
  <c r="P222" i="12"/>
  <c r="P223" i="12"/>
  <c r="P224" i="12"/>
  <c r="P225" i="12"/>
  <c r="P226" i="12"/>
  <c r="P227" i="12"/>
  <c r="P228" i="12"/>
  <c r="P229" i="12"/>
  <c r="P230" i="12"/>
  <c r="P231" i="12"/>
  <c r="P232" i="12"/>
  <c r="P233" i="12"/>
  <c r="P234" i="12"/>
  <c r="P235" i="12"/>
  <c r="P236" i="12"/>
  <c r="P237" i="12"/>
  <c r="P238" i="12"/>
  <c r="P239" i="12"/>
  <c r="P240" i="12"/>
  <c r="P241" i="12"/>
  <c r="P242" i="12"/>
  <c r="P243" i="12"/>
  <c r="P244" i="12"/>
  <c r="P245" i="12"/>
  <c r="P246" i="12"/>
  <c r="P247" i="12"/>
  <c r="P248" i="12"/>
  <c r="P249" i="12"/>
  <c r="P250" i="12"/>
  <c r="P251" i="12"/>
  <c r="P252" i="12"/>
  <c r="P253" i="12"/>
  <c r="P254" i="12"/>
  <c r="P255" i="12"/>
  <c r="P256" i="12"/>
  <c r="P257" i="12"/>
  <c r="P258" i="12"/>
  <c r="P259" i="12"/>
  <c r="P260" i="12"/>
  <c r="P261" i="12"/>
  <c r="P262" i="12"/>
  <c r="P263" i="12"/>
  <c r="P264" i="12"/>
  <c r="P265" i="12"/>
  <c r="P266" i="12"/>
  <c r="P267" i="12"/>
  <c r="P268" i="12"/>
  <c r="P269" i="12"/>
  <c r="P270" i="12"/>
  <c r="P271" i="12"/>
  <c r="P272" i="12"/>
  <c r="P273" i="12"/>
  <c r="P274" i="12"/>
  <c r="P275" i="12"/>
  <c r="P276" i="12"/>
  <c r="P277" i="12"/>
  <c r="P278" i="12"/>
  <c r="P279" i="12"/>
  <c r="P280" i="12"/>
  <c r="P281" i="12"/>
  <c r="P282" i="12"/>
  <c r="P283" i="12"/>
  <c r="P284" i="12"/>
  <c r="P285" i="12"/>
  <c r="P286" i="12"/>
  <c r="P287" i="12"/>
  <c r="P288" i="12"/>
  <c r="P289" i="12"/>
  <c r="P290" i="12"/>
  <c r="P291" i="12"/>
  <c r="P292" i="12"/>
  <c r="P293" i="12"/>
  <c r="P294" i="12"/>
  <c r="P295" i="12"/>
  <c r="P296" i="12"/>
  <c r="P297" i="12"/>
  <c r="P298" i="12"/>
  <c r="P299" i="12"/>
  <c r="P300" i="12"/>
  <c r="P301" i="12"/>
  <c r="P302" i="12"/>
  <c r="P303" i="12"/>
  <c r="P304" i="12"/>
  <c r="P305" i="12"/>
  <c r="P306" i="12"/>
  <c r="P307" i="12"/>
  <c r="P308" i="12"/>
  <c r="P309" i="12"/>
  <c r="P310" i="12"/>
  <c r="P311" i="12"/>
  <c r="P312" i="12"/>
  <c r="P313" i="12"/>
  <c r="P314" i="12"/>
  <c r="P315" i="12"/>
  <c r="P316" i="12"/>
  <c r="P317" i="12"/>
  <c r="P318" i="12"/>
  <c r="P319" i="12"/>
  <c r="P320" i="12"/>
  <c r="P321" i="12"/>
  <c r="P322" i="12"/>
  <c r="P323" i="12"/>
  <c r="P324" i="12"/>
  <c r="P325" i="12"/>
  <c r="P326" i="12"/>
  <c r="P327" i="12"/>
  <c r="P328" i="12"/>
  <c r="P329" i="12"/>
  <c r="P330" i="12"/>
  <c r="P331" i="12"/>
  <c r="P332" i="12"/>
  <c r="P333" i="12"/>
  <c r="P334" i="12"/>
  <c r="P335" i="12"/>
  <c r="P336" i="12"/>
  <c r="P337" i="12"/>
  <c r="P338" i="12"/>
  <c r="P339" i="12"/>
  <c r="P340" i="12"/>
  <c r="P341" i="12"/>
  <c r="P342" i="12"/>
  <c r="P343" i="12"/>
  <c r="P344" i="12"/>
  <c r="P345" i="12"/>
  <c r="P346" i="12"/>
  <c r="P347" i="12"/>
  <c r="P348" i="12"/>
  <c r="P349" i="12"/>
  <c r="P350" i="12"/>
  <c r="P351" i="12"/>
  <c r="P352" i="12"/>
  <c r="P353" i="12"/>
  <c r="P354" i="12"/>
  <c r="P355" i="12"/>
  <c r="P356" i="12"/>
  <c r="P357" i="12"/>
  <c r="P358" i="12"/>
  <c r="P359" i="12"/>
  <c r="P360" i="12"/>
  <c r="P361" i="12"/>
  <c r="P362" i="12"/>
  <c r="P363" i="12"/>
  <c r="P364" i="12"/>
  <c r="P365" i="12"/>
  <c r="P366" i="12"/>
  <c r="P367" i="12"/>
  <c r="P368" i="12"/>
  <c r="P369" i="12"/>
  <c r="P370" i="12"/>
  <c r="P371" i="12"/>
  <c r="P372" i="12"/>
  <c r="P373" i="12"/>
  <c r="P374" i="12"/>
  <c r="P375" i="12"/>
  <c r="P376" i="12"/>
  <c r="P377" i="12"/>
  <c r="P378" i="12"/>
  <c r="P379" i="12"/>
  <c r="P380" i="12"/>
  <c r="P381" i="12"/>
  <c r="P382" i="12"/>
  <c r="P383" i="12"/>
  <c r="P384" i="12"/>
  <c r="P385" i="12"/>
  <c r="P386" i="12"/>
  <c r="P387" i="12"/>
  <c r="P388" i="12"/>
  <c r="P389" i="12"/>
  <c r="P390" i="12"/>
  <c r="P391" i="12"/>
  <c r="P392" i="12"/>
  <c r="P393" i="12"/>
  <c r="P394" i="12"/>
  <c r="P395" i="12"/>
  <c r="P396" i="12"/>
  <c r="P397" i="12"/>
  <c r="P398" i="12"/>
  <c r="P399" i="12"/>
  <c r="P400" i="12"/>
  <c r="P401" i="12"/>
  <c r="P402" i="12"/>
  <c r="P403" i="12"/>
  <c r="P404" i="12"/>
  <c r="P3" i="12"/>
  <c r="P4" i="12"/>
  <c r="P5" i="12"/>
  <c r="P6" i="12"/>
  <c r="P7" i="12"/>
  <c r="P8" i="12"/>
  <c r="P9" i="12"/>
  <c r="P10" i="12"/>
  <c r="P11" i="12"/>
  <c r="P12" i="12"/>
  <c r="P13" i="12"/>
  <c r="P14" i="12"/>
  <c r="P15" i="12"/>
  <c r="P16" i="12"/>
  <c r="P17" i="12"/>
  <c r="P18" i="12"/>
  <c r="P19" i="12"/>
  <c r="P20" i="12"/>
  <c r="P21" i="12"/>
  <c r="P22" i="12"/>
  <c r="P23" i="12"/>
  <c r="P24" i="12"/>
  <c r="P25" i="12"/>
  <c r="P26" i="12"/>
  <c r="P27" i="12"/>
  <c r="P28" i="12"/>
  <c r="P29" i="12"/>
  <c r="P30" i="12"/>
  <c r="P31" i="12"/>
  <c r="P32" i="12"/>
  <c r="P33" i="12"/>
  <c r="P34" i="12"/>
  <c r="P35" i="12"/>
  <c r="P36" i="12"/>
  <c r="P37" i="12"/>
  <c r="P38" i="12"/>
  <c r="P39" i="12"/>
  <c r="P40" i="12"/>
  <c r="P41" i="12"/>
  <c r="P42" i="12"/>
  <c r="P43" i="12"/>
  <c r="P44" i="12"/>
  <c r="P45" i="12"/>
  <c r="P46" i="12"/>
  <c r="P47" i="12"/>
  <c r="P48" i="12"/>
  <c r="P49" i="12"/>
  <c r="P50" i="12"/>
  <c r="P51" i="12"/>
  <c r="P52" i="12"/>
  <c r="P53" i="12"/>
  <c r="P54" i="12"/>
  <c r="P55" i="12"/>
  <c r="P56" i="12"/>
  <c r="P57" i="12"/>
  <c r="P58" i="12"/>
  <c r="P59" i="12"/>
  <c r="P60" i="12"/>
  <c r="P61" i="12"/>
  <c r="P62" i="12"/>
  <c r="P63" i="12"/>
  <c r="P64" i="12"/>
  <c r="P65" i="12"/>
  <c r="P66" i="12"/>
  <c r="P67" i="12"/>
  <c r="P68" i="12"/>
  <c r="P69" i="12"/>
  <c r="P70" i="12"/>
  <c r="P71" i="12"/>
  <c r="P72" i="12"/>
  <c r="P73" i="12"/>
  <c r="P74" i="12"/>
  <c r="P75" i="12"/>
  <c r="P76" i="12"/>
  <c r="P77" i="12"/>
  <c r="P78" i="12"/>
  <c r="P79" i="12"/>
  <c r="P80" i="12"/>
  <c r="P81" i="12"/>
  <c r="P82" i="12"/>
  <c r="P83" i="12"/>
  <c r="P84" i="12"/>
  <c r="P85" i="12"/>
  <c r="P86" i="12"/>
  <c r="P87" i="12"/>
  <c r="P88" i="12"/>
  <c r="P89" i="12"/>
  <c r="P90" i="12"/>
  <c r="P91" i="12"/>
  <c r="P92" i="12"/>
  <c r="P93" i="12"/>
  <c r="P94" i="12"/>
  <c r="P95" i="12"/>
  <c r="P96" i="12"/>
  <c r="P97" i="12"/>
  <c r="P98" i="12"/>
  <c r="P99" i="12"/>
  <c r="P100" i="12"/>
  <c r="P101" i="12"/>
  <c r="P102" i="12"/>
  <c r="P103" i="12"/>
  <c r="P104" i="12"/>
  <c r="P105" i="12"/>
  <c r="P106" i="12"/>
  <c r="P107" i="12"/>
  <c r="P108" i="12"/>
  <c r="P109" i="12"/>
  <c r="P110" i="12"/>
  <c r="P111" i="12"/>
  <c r="P112" i="12"/>
  <c r="P113" i="12"/>
  <c r="P114" i="12"/>
  <c r="P115" i="12"/>
  <c r="P116" i="12"/>
  <c r="P117" i="12"/>
  <c r="P118" i="12"/>
  <c r="P119" i="12"/>
  <c r="P120" i="12"/>
  <c r="P121" i="12"/>
  <c r="P122" i="12"/>
  <c r="P123" i="12"/>
  <c r="P124" i="12"/>
  <c r="P125" i="12"/>
  <c r="P126" i="12"/>
  <c r="P127" i="12"/>
  <c r="P128" i="12"/>
  <c r="P129" i="12"/>
  <c r="P130" i="12"/>
  <c r="P131" i="12"/>
  <c r="P132" i="12"/>
  <c r="P133" i="12"/>
  <c r="P134" i="12"/>
  <c r="P135" i="12"/>
  <c r="P136" i="12"/>
  <c r="P137" i="12"/>
  <c r="P138" i="12"/>
  <c r="P139" i="12"/>
  <c r="P140" i="12"/>
  <c r="P141" i="12"/>
  <c r="P142" i="12"/>
  <c r="P143" i="12"/>
  <c r="P144" i="12"/>
  <c r="P145" i="12"/>
  <c r="P146" i="12"/>
  <c r="P147" i="12"/>
  <c r="P148" i="12"/>
  <c r="P149" i="12"/>
  <c r="P150" i="12"/>
  <c r="P151" i="12"/>
  <c r="P152" i="12"/>
  <c r="P153" i="12"/>
  <c r="P154" i="12"/>
  <c r="P155" i="12"/>
  <c r="P156" i="12"/>
  <c r="P157" i="12"/>
  <c r="P158" i="12"/>
  <c r="P159" i="12"/>
  <c r="P160" i="12"/>
  <c r="P161" i="12"/>
  <c r="P162" i="12"/>
  <c r="P163" i="12"/>
  <c r="P164" i="12"/>
  <c r="P165" i="12"/>
  <c r="P166" i="12"/>
  <c r="P167" i="12"/>
  <c r="P168" i="12"/>
  <c r="P169" i="12"/>
  <c r="P170" i="12"/>
  <c r="P171" i="12"/>
  <c r="P172" i="12"/>
  <c r="P173" i="12"/>
  <c r="P174" i="12"/>
  <c r="P175" i="12"/>
  <c r="P176" i="12"/>
  <c r="P177" i="12"/>
  <c r="P178" i="12"/>
  <c r="P179" i="12"/>
  <c r="P180" i="12"/>
  <c r="P181" i="12"/>
  <c r="P182" i="12"/>
  <c r="P183" i="12"/>
  <c r="P184" i="12"/>
  <c r="P185" i="12"/>
  <c r="P186" i="12"/>
  <c r="P187" i="12"/>
  <c r="P188" i="12"/>
  <c r="P189" i="12"/>
  <c r="P190" i="12"/>
  <c r="P191" i="12"/>
  <c r="O192" i="12"/>
  <c r="O193" i="12"/>
  <c r="O194" i="12"/>
  <c r="O195" i="12"/>
  <c r="O196" i="12"/>
  <c r="O197" i="12"/>
  <c r="O198" i="12"/>
  <c r="O199" i="12"/>
  <c r="O200" i="12"/>
  <c r="O201" i="12"/>
  <c r="O202" i="12"/>
  <c r="O203" i="12"/>
  <c r="O204" i="12"/>
  <c r="O205" i="12"/>
  <c r="O206" i="12"/>
  <c r="O207" i="12"/>
  <c r="O208" i="12"/>
  <c r="O209" i="12"/>
  <c r="O210" i="12"/>
  <c r="O211" i="12"/>
  <c r="O212" i="12"/>
  <c r="O213" i="12"/>
  <c r="O214" i="12"/>
  <c r="O215" i="12"/>
  <c r="O216" i="12"/>
  <c r="O217" i="12"/>
  <c r="O218" i="12"/>
  <c r="O219" i="12"/>
  <c r="O220" i="12"/>
  <c r="O221" i="12"/>
  <c r="O222" i="12"/>
  <c r="O223" i="12"/>
  <c r="O224" i="12"/>
  <c r="O225" i="12"/>
  <c r="O226" i="12"/>
  <c r="O227" i="12"/>
  <c r="O228" i="12"/>
  <c r="O229" i="12"/>
  <c r="O230" i="12"/>
  <c r="O231" i="12"/>
  <c r="O232" i="12"/>
  <c r="O233" i="12"/>
  <c r="O234" i="12"/>
  <c r="O235" i="12"/>
  <c r="O236" i="12"/>
  <c r="O237" i="12"/>
  <c r="O238" i="12"/>
  <c r="O239" i="12"/>
  <c r="O240" i="12"/>
  <c r="O241" i="12"/>
  <c r="O242" i="12"/>
  <c r="O243" i="12"/>
  <c r="O244" i="12"/>
  <c r="O245" i="12"/>
  <c r="O246" i="12"/>
  <c r="O247" i="12"/>
  <c r="O248" i="12"/>
  <c r="O249" i="12"/>
  <c r="O250" i="12"/>
  <c r="O251" i="12"/>
  <c r="O252" i="12"/>
  <c r="O253" i="12"/>
  <c r="O254" i="12"/>
  <c r="O255" i="12"/>
  <c r="O256" i="12"/>
  <c r="O257" i="12"/>
  <c r="O258" i="12"/>
  <c r="O259" i="12"/>
  <c r="O260" i="12"/>
  <c r="O261" i="12"/>
  <c r="O262" i="12"/>
  <c r="O263" i="12"/>
  <c r="O264" i="12"/>
  <c r="O265" i="12"/>
  <c r="O266" i="12"/>
  <c r="O267" i="12"/>
  <c r="O268" i="12"/>
  <c r="O269" i="12"/>
  <c r="O270" i="12"/>
  <c r="O271" i="12"/>
  <c r="O272" i="12"/>
  <c r="O273" i="12"/>
  <c r="O274" i="12"/>
  <c r="O275" i="12"/>
  <c r="O276" i="12"/>
  <c r="O277" i="12"/>
  <c r="O278" i="12"/>
  <c r="O279" i="12"/>
  <c r="O280" i="12"/>
  <c r="O281" i="12"/>
  <c r="O282" i="12"/>
  <c r="O283" i="12"/>
  <c r="O284" i="12"/>
  <c r="O285" i="12"/>
  <c r="O286" i="12"/>
  <c r="O287" i="12"/>
  <c r="O288" i="12"/>
  <c r="O289" i="12"/>
  <c r="O290" i="12"/>
  <c r="O291" i="12"/>
  <c r="O292" i="12"/>
  <c r="O293" i="12"/>
  <c r="O294" i="12"/>
  <c r="O295" i="12"/>
  <c r="O296" i="12"/>
  <c r="O297" i="12"/>
  <c r="O298" i="12"/>
  <c r="O299" i="12"/>
  <c r="O300" i="12"/>
  <c r="O301" i="12"/>
  <c r="O302" i="12"/>
  <c r="O303" i="12"/>
  <c r="O304" i="12"/>
  <c r="O305" i="12"/>
  <c r="O306" i="12"/>
  <c r="O307" i="12"/>
  <c r="O308" i="12"/>
  <c r="O309" i="12"/>
  <c r="O310" i="12"/>
  <c r="O311" i="12"/>
  <c r="O312" i="12"/>
  <c r="O313" i="12"/>
  <c r="O314" i="12"/>
  <c r="O315" i="12"/>
  <c r="O316" i="12"/>
  <c r="O317" i="12"/>
  <c r="O318" i="12"/>
  <c r="O319" i="12"/>
  <c r="O320" i="12"/>
  <c r="O321" i="12"/>
  <c r="O322" i="12"/>
  <c r="O323" i="12"/>
  <c r="O324" i="12"/>
  <c r="O325" i="12"/>
  <c r="O326" i="12"/>
  <c r="O327" i="12"/>
  <c r="O328" i="12"/>
  <c r="O329" i="12"/>
  <c r="O330" i="12"/>
  <c r="O331" i="12"/>
  <c r="O332" i="12"/>
  <c r="O333" i="12"/>
  <c r="O334" i="12"/>
  <c r="O335" i="12"/>
  <c r="O336" i="12"/>
  <c r="O337" i="12"/>
  <c r="O338" i="12"/>
  <c r="O339" i="12"/>
  <c r="O340" i="12"/>
  <c r="O341" i="12"/>
  <c r="O342" i="12"/>
  <c r="O343" i="12"/>
  <c r="O344" i="12"/>
  <c r="O345" i="12"/>
  <c r="O346" i="12"/>
  <c r="O347" i="12"/>
  <c r="O348" i="12"/>
  <c r="O349" i="12"/>
  <c r="O350" i="12"/>
  <c r="O351" i="12"/>
  <c r="O352" i="12"/>
  <c r="O353" i="12"/>
  <c r="O354" i="12"/>
  <c r="O355" i="12"/>
  <c r="O356" i="12"/>
  <c r="O357" i="12"/>
  <c r="O358" i="12"/>
  <c r="O359" i="12"/>
  <c r="O360" i="12"/>
  <c r="O361" i="12"/>
  <c r="O362" i="12"/>
  <c r="O363" i="12"/>
  <c r="O364" i="12"/>
  <c r="O365" i="12"/>
  <c r="O366" i="12"/>
  <c r="O367" i="12"/>
  <c r="O368" i="12"/>
  <c r="O369" i="12"/>
  <c r="O370" i="12"/>
  <c r="O371" i="12"/>
  <c r="O372" i="12"/>
  <c r="O373" i="12"/>
  <c r="O374" i="12"/>
  <c r="O375" i="12"/>
  <c r="O376" i="12"/>
  <c r="O377" i="12"/>
  <c r="O378" i="12"/>
  <c r="O379" i="12"/>
  <c r="O380" i="12"/>
  <c r="O381" i="12"/>
  <c r="O382" i="12"/>
  <c r="O383" i="12"/>
  <c r="O384" i="12"/>
  <c r="O385" i="12"/>
  <c r="O386" i="12"/>
  <c r="O387" i="12"/>
  <c r="O388" i="12"/>
  <c r="O389" i="12"/>
  <c r="O390" i="12"/>
  <c r="O391" i="12"/>
  <c r="O392" i="12"/>
  <c r="O393" i="12"/>
  <c r="O394" i="12"/>
  <c r="O395" i="12"/>
  <c r="O396" i="12"/>
  <c r="O397" i="12"/>
  <c r="O398" i="12"/>
  <c r="O399" i="12"/>
  <c r="O400" i="12"/>
  <c r="O401" i="12"/>
  <c r="O402" i="12"/>
  <c r="O403" i="12"/>
  <c r="O404" i="12"/>
  <c r="O3" i="12"/>
  <c r="O4" i="12"/>
  <c r="O5" i="12"/>
  <c r="O6" i="12"/>
  <c r="O7" i="12"/>
  <c r="O8" i="12"/>
  <c r="O9" i="12"/>
  <c r="O10" i="12"/>
  <c r="O11" i="12"/>
  <c r="O12" i="12"/>
  <c r="O13" i="12"/>
  <c r="O14" i="12"/>
  <c r="O15" i="12"/>
  <c r="O16" i="12"/>
  <c r="O17" i="12"/>
  <c r="O18" i="12"/>
  <c r="O19" i="12"/>
  <c r="O20" i="12"/>
  <c r="O21" i="12"/>
  <c r="O22" i="12"/>
  <c r="O23" i="12"/>
  <c r="O24" i="12"/>
  <c r="O25" i="12"/>
  <c r="O26" i="12"/>
  <c r="O27" i="12"/>
  <c r="O28" i="12"/>
  <c r="O29" i="12"/>
  <c r="O30" i="12"/>
  <c r="O31" i="12"/>
  <c r="O32" i="12"/>
  <c r="O33" i="12"/>
  <c r="O34" i="12"/>
  <c r="O35" i="12"/>
  <c r="O36" i="12"/>
  <c r="O37" i="12"/>
  <c r="O38" i="12"/>
  <c r="O39" i="12"/>
  <c r="O40" i="12"/>
  <c r="O41" i="12"/>
  <c r="O42" i="12"/>
  <c r="O43" i="12"/>
  <c r="O44" i="12"/>
  <c r="O45" i="12"/>
  <c r="O46" i="12"/>
  <c r="O47" i="12"/>
  <c r="O48" i="12"/>
  <c r="O49" i="12"/>
  <c r="O50" i="12"/>
  <c r="O51" i="12"/>
  <c r="O52" i="12"/>
  <c r="O53" i="12"/>
  <c r="O54" i="12"/>
  <c r="O55" i="12"/>
  <c r="O56" i="12"/>
  <c r="O57" i="12"/>
  <c r="O58" i="12"/>
  <c r="O59" i="12"/>
  <c r="O60" i="12"/>
  <c r="O61" i="12"/>
  <c r="O62" i="12"/>
  <c r="O63" i="12"/>
  <c r="O64" i="12"/>
  <c r="O65" i="12"/>
  <c r="O66" i="12"/>
  <c r="O67" i="12"/>
  <c r="O68" i="12"/>
  <c r="O69" i="12"/>
  <c r="O70" i="12"/>
  <c r="O71" i="12"/>
  <c r="O72" i="12"/>
  <c r="O73" i="12"/>
  <c r="O74" i="12"/>
  <c r="O75" i="12"/>
  <c r="O76" i="12"/>
  <c r="O77" i="12"/>
  <c r="O78" i="12"/>
  <c r="O79" i="12"/>
  <c r="O80" i="12"/>
  <c r="O81" i="12"/>
  <c r="O82" i="12"/>
  <c r="O83" i="12"/>
  <c r="O84" i="12"/>
  <c r="O85" i="12"/>
  <c r="O86" i="12"/>
  <c r="O87" i="12"/>
  <c r="O88" i="12"/>
  <c r="O89" i="12"/>
  <c r="O90" i="12"/>
  <c r="O91" i="12"/>
  <c r="O92" i="12"/>
  <c r="O93" i="12"/>
  <c r="O94" i="12"/>
  <c r="O95" i="12"/>
  <c r="O96" i="12"/>
  <c r="O97" i="12"/>
  <c r="O98" i="12"/>
  <c r="O99" i="12"/>
  <c r="O100" i="12"/>
  <c r="O101" i="12"/>
  <c r="O102" i="12"/>
  <c r="O103" i="12"/>
  <c r="O104" i="12"/>
  <c r="O105" i="12"/>
  <c r="O106" i="12"/>
  <c r="O107" i="12"/>
  <c r="O108" i="12"/>
  <c r="O109" i="12"/>
  <c r="O110" i="12"/>
  <c r="O111" i="12"/>
  <c r="O112" i="12"/>
  <c r="O113" i="12"/>
  <c r="O114" i="12"/>
  <c r="O115" i="12"/>
  <c r="O116" i="12"/>
  <c r="O117" i="12"/>
  <c r="O118" i="12"/>
  <c r="O119" i="12"/>
  <c r="O120" i="12"/>
  <c r="O121" i="12"/>
  <c r="O122" i="12"/>
  <c r="O123" i="12"/>
  <c r="O124" i="12"/>
  <c r="O125" i="12"/>
  <c r="O126" i="12"/>
  <c r="O127" i="12"/>
  <c r="O128" i="12"/>
  <c r="O129" i="12"/>
  <c r="O130" i="12"/>
  <c r="O131" i="12"/>
  <c r="O132" i="12"/>
  <c r="O133" i="12"/>
  <c r="O134" i="12"/>
  <c r="O135" i="12"/>
  <c r="O136" i="12"/>
  <c r="O137" i="12"/>
  <c r="O138" i="12"/>
  <c r="O139" i="12"/>
  <c r="O140" i="12"/>
  <c r="O141" i="12"/>
  <c r="O142" i="12"/>
  <c r="O143" i="12"/>
  <c r="O144" i="12"/>
  <c r="O145" i="12"/>
  <c r="O146" i="12"/>
  <c r="O147" i="12"/>
  <c r="O148" i="12"/>
  <c r="O149" i="12"/>
  <c r="O150" i="12"/>
  <c r="O151" i="12"/>
  <c r="O152" i="12"/>
  <c r="O153" i="12"/>
  <c r="O154" i="12"/>
  <c r="O155" i="12"/>
  <c r="O156" i="12"/>
  <c r="O157" i="12"/>
  <c r="O158" i="12"/>
  <c r="O159" i="12"/>
  <c r="O160" i="12"/>
  <c r="O161" i="12"/>
  <c r="O162" i="12"/>
  <c r="O163" i="12"/>
  <c r="O164" i="12"/>
  <c r="O165" i="12"/>
  <c r="O166" i="12"/>
  <c r="O167" i="12"/>
  <c r="O168" i="12"/>
  <c r="O169" i="12"/>
  <c r="O170" i="12"/>
  <c r="O171" i="12"/>
  <c r="O172" i="12"/>
  <c r="O173" i="12"/>
  <c r="O174" i="12"/>
  <c r="O175" i="12"/>
  <c r="O176" i="12"/>
  <c r="O177" i="12"/>
  <c r="O178" i="12"/>
  <c r="O179" i="12"/>
  <c r="O180" i="12"/>
  <c r="O181" i="12"/>
  <c r="O182" i="12"/>
  <c r="O183" i="12"/>
  <c r="O184" i="12"/>
  <c r="O185" i="12"/>
  <c r="O186" i="12"/>
  <c r="O187" i="12"/>
  <c r="O188" i="12"/>
  <c r="O189" i="12"/>
  <c r="O190" i="12"/>
  <c r="O191" i="12"/>
  <c r="O2" i="12"/>
  <c r="N192" i="12"/>
  <c r="N193" i="12"/>
  <c r="N194" i="12"/>
  <c r="N195" i="12"/>
  <c r="N196" i="12"/>
  <c r="N197" i="12"/>
  <c r="N198" i="12"/>
  <c r="N199" i="12"/>
  <c r="N200" i="12"/>
  <c r="N201" i="12"/>
  <c r="N202" i="12"/>
  <c r="N203" i="12"/>
  <c r="N204" i="12"/>
  <c r="N205" i="12"/>
  <c r="N206" i="12"/>
  <c r="N207" i="12"/>
  <c r="N208" i="12"/>
  <c r="N209" i="12"/>
  <c r="N210" i="12"/>
  <c r="N211" i="12"/>
  <c r="N212" i="12"/>
  <c r="N213" i="12"/>
  <c r="N214" i="12"/>
  <c r="N215" i="12"/>
  <c r="N216" i="12"/>
  <c r="N217" i="12"/>
  <c r="N218" i="12"/>
  <c r="N219" i="12"/>
  <c r="N220" i="12"/>
  <c r="N221" i="12"/>
  <c r="N222" i="12"/>
  <c r="N223" i="12"/>
  <c r="N224" i="12"/>
  <c r="N225" i="12"/>
  <c r="N226" i="12"/>
  <c r="N227" i="12"/>
  <c r="N228" i="12"/>
  <c r="N229" i="12"/>
  <c r="N230" i="12"/>
  <c r="N231" i="12"/>
  <c r="N232" i="12"/>
  <c r="N233" i="12"/>
  <c r="N234" i="12"/>
  <c r="N235" i="12"/>
  <c r="N236" i="12"/>
  <c r="N237" i="12"/>
  <c r="N238" i="12"/>
  <c r="N239" i="12"/>
  <c r="N240" i="12"/>
  <c r="N241" i="12"/>
  <c r="N242" i="12"/>
  <c r="N243" i="12"/>
  <c r="N244" i="12"/>
  <c r="N245" i="12"/>
  <c r="N246" i="12"/>
  <c r="N247" i="12"/>
  <c r="N248" i="12"/>
  <c r="N249" i="12"/>
  <c r="N250" i="12"/>
  <c r="N251" i="12"/>
  <c r="N252" i="12"/>
  <c r="N253" i="12"/>
  <c r="N254" i="12"/>
  <c r="N255" i="12"/>
  <c r="N256" i="12"/>
  <c r="N257" i="12"/>
  <c r="N258" i="12"/>
  <c r="N259" i="12"/>
  <c r="N260" i="12"/>
  <c r="N261" i="12"/>
  <c r="N262" i="12"/>
  <c r="N263" i="12"/>
  <c r="N264" i="12"/>
  <c r="N265" i="12"/>
  <c r="N266" i="12"/>
  <c r="N267" i="12"/>
  <c r="N268" i="12"/>
  <c r="N269" i="12"/>
  <c r="N270" i="12"/>
  <c r="N271" i="12"/>
  <c r="N272" i="12"/>
  <c r="N273" i="12"/>
  <c r="N274" i="12"/>
  <c r="N275" i="12"/>
  <c r="N276" i="12"/>
  <c r="N277" i="12"/>
  <c r="N278" i="12"/>
  <c r="N279" i="12"/>
  <c r="N280" i="12"/>
  <c r="N281" i="12"/>
  <c r="N282" i="12"/>
  <c r="N283" i="12"/>
  <c r="N284" i="12"/>
  <c r="N285" i="12"/>
  <c r="N286" i="12"/>
  <c r="N287" i="12"/>
  <c r="N288" i="12"/>
  <c r="N289" i="12"/>
  <c r="N290" i="12"/>
  <c r="N291" i="12"/>
  <c r="N292" i="12"/>
  <c r="N293" i="12"/>
  <c r="N294" i="12"/>
  <c r="N295" i="12"/>
  <c r="N296" i="12"/>
  <c r="N297" i="12"/>
  <c r="N298" i="12"/>
  <c r="N299" i="12"/>
  <c r="N300" i="12"/>
  <c r="N301" i="12"/>
  <c r="N302" i="12"/>
  <c r="N303" i="12"/>
  <c r="N304" i="12"/>
  <c r="N305" i="12"/>
  <c r="N306" i="12"/>
  <c r="N307" i="12"/>
  <c r="N308" i="12"/>
  <c r="N309" i="12"/>
  <c r="N310" i="12"/>
  <c r="N311" i="12"/>
  <c r="N312" i="12"/>
  <c r="N313" i="12"/>
  <c r="N314" i="12"/>
  <c r="N315" i="12"/>
  <c r="N316" i="12"/>
  <c r="N317" i="12"/>
  <c r="N318" i="12"/>
  <c r="N319" i="12"/>
  <c r="N320" i="12"/>
  <c r="N321" i="12"/>
  <c r="N322" i="12"/>
  <c r="N323" i="12"/>
  <c r="N324" i="12"/>
  <c r="N325" i="12"/>
  <c r="N326" i="12"/>
  <c r="N327" i="12"/>
  <c r="N328" i="12"/>
  <c r="N329" i="12"/>
  <c r="N330" i="12"/>
  <c r="N331" i="12"/>
  <c r="N332" i="12"/>
  <c r="N333" i="12"/>
  <c r="N334" i="12"/>
  <c r="N335" i="12"/>
  <c r="N336" i="12"/>
  <c r="N337" i="12"/>
  <c r="N338" i="12"/>
  <c r="N339" i="12"/>
  <c r="N340" i="12"/>
  <c r="N341" i="12"/>
  <c r="N342" i="12"/>
  <c r="N343" i="12"/>
  <c r="N344" i="12"/>
  <c r="N345" i="12"/>
  <c r="N346" i="12"/>
  <c r="N347" i="12"/>
  <c r="N348" i="12"/>
  <c r="N349" i="12"/>
  <c r="N350" i="12"/>
  <c r="N351" i="12"/>
  <c r="N352" i="12"/>
  <c r="N353" i="12"/>
  <c r="N354" i="12"/>
  <c r="N355" i="12"/>
  <c r="N356" i="12"/>
  <c r="N357" i="12"/>
  <c r="N358" i="12"/>
  <c r="N359" i="12"/>
  <c r="N360" i="12"/>
  <c r="N361" i="12"/>
  <c r="N362" i="12"/>
  <c r="N363" i="12"/>
  <c r="N364" i="12"/>
  <c r="N365" i="12"/>
  <c r="N366" i="12"/>
  <c r="N367" i="12"/>
  <c r="N368" i="12"/>
  <c r="N369" i="12"/>
  <c r="N370" i="12"/>
  <c r="N371" i="12"/>
  <c r="N372" i="12"/>
  <c r="N373" i="12"/>
  <c r="N374" i="12"/>
  <c r="N375" i="12"/>
  <c r="N376" i="12"/>
  <c r="N377" i="12"/>
  <c r="N378" i="12"/>
  <c r="N379" i="12"/>
  <c r="N380" i="12"/>
  <c r="N381" i="12"/>
  <c r="N382" i="12"/>
  <c r="N383" i="12"/>
  <c r="N384" i="12"/>
  <c r="N385" i="12"/>
  <c r="N386" i="12"/>
  <c r="N387" i="12"/>
  <c r="N388" i="12"/>
  <c r="N389" i="12"/>
  <c r="N390" i="12"/>
  <c r="N391" i="12"/>
  <c r="N392" i="12"/>
  <c r="N393" i="12"/>
  <c r="N394" i="12"/>
  <c r="N395" i="12"/>
  <c r="N396" i="12"/>
  <c r="N397" i="12"/>
  <c r="N398" i="12"/>
  <c r="N399" i="12"/>
  <c r="N400" i="12"/>
  <c r="N401" i="12"/>
  <c r="N402" i="12"/>
  <c r="N403" i="12"/>
  <c r="N404" i="12"/>
  <c r="N3" i="12"/>
  <c r="N4" i="12"/>
  <c r="N5" i="12"/>
  <c r="N6" i="12"/>
  <c r="N7" i="12"/>
  <c r="N8" i="12"/>
  <c r="N9" i="12"/>
  <c r="N10" i="12"/>
  <c r="N11" i="12"/>
  <c r="N12" i="12"/>
  <c r="N13" i="12"/>
  <c r="N14" i="12"/>
  <c r="N15" i="12"/>
  <c r="N16" i="12"/>
  <c r="N17" i="12"/>
  <c r="N18" i="12"/>
  <c r="N19" i="12"/>
  <c r="N20" i="12"/>
  <c r="N21" i="12"/>
  <c r="N22" i="12"/>
  <c r="N23" i="12"/>
  <c r="N24" i="12"/>
  <c r="N25" i="12"/>
  <c r="N26" i="12"/>
  <c r="N27" i="12"/>
  <c r="N28" i="12"/>
  <c r="N29" i="12"/>
  <c r="N30" i="12"/>
  <c r="N31" i="12"/>
  <c r="N32" i="12"/>
  <c r="N33" i="12"/>
  <c r="N34" i="12"/>
  <c r="N35" i="12"/>
  <c r="N36" i="12"/>
  <c r="N37" i="12"/>
  <c r="N38" i="12"/>
  <c r="N39" i="12"/>
  <c r="N40" i="12"/>
  <c r="N41" i="12"/>
  <c r="N42" i="12"/>
  <c r="N43" i="12"/>
  <c r="N44" i="12"/>
  <c r="N45" i="12"/>
  <c r="N46" i="12"/>
  <c r="N47" i="12"/>
  <c r="N48" i="12"/>
  <c r="N49" i="12"/>
  <c r="N50" i="12"/>
  <c r="N51" i="12"/>
  <c r="N52" i="12"/>
  <c r="N53" i="12"/>
  <c r="N54" i="12"/>
  <c r="N55" i="12"/>
  <c r="N56" i="12"/>
  <c r="N57" i="12"/>
  <c r="N58" i="12"/>
  <c r="N59" i="12"/>
  <c r="N60" i="12"/>
  <c r="N61" i="12"/>
  <c r="N62" i="12"/>
  <c r="N63" i="12"/>
  <c r="N64" i="12"/>
  <c r="N65" i="12"/>
  <c r="N66" i="12"/>
  <c r="N67" i="12"/>
  <c r="N68" i="12"/>
  <c r="N69" i="12"/>
  <c r="N70" i="12"/>
  <c r="N71" i="12"/>
  <c r="N72" i="12"/>
  <c r="N73" i="12"/>
  <c r="N74" i="12"/>
  <c r="N75" i="12"/>
  <c r="N76" i="12"/>
  <c r="N77" i="12"/>
  <c r="N78" i="12"/>
  <c r="N79" i="12"/>
  <c r="N80" i="12"/>
  <c r="N81" i="12"/>
  <c r="N82" i="12"/>
  <c r="N83" i="12"/>
  <c r="N84" i="12"/>
  <c r="N85" i="12"/>
  <c r="N86" i="12"/>
  <c r="N87" i="12"/>
  <c r="N88" i="12"/>
  <c r="N89" i="12"/>
  <c r="N90" i="12"/>
  <c r="N91" i="12"/>
  <c r="N92" i="12"/>
  <c r="N93" i="12"/>
  <c r="N94" i="12"/>
  <c r="N95" i="12"/>
  <c r="N96" i="12"/>
  <c r="N97" i="12"/>
  <c r="N98" i="12"/>
  <c r="N99" i="12"/>
  <c r="N100" i="12"/>
  <c r="N101" i="12"/>
  <c r="N102" i="12"/>
  <c r="N103" i="12"/>
  <c r="N104" i="12"/>
  <c r="N105" i="12"/>
  <c r="N106" i="12"/>
  <c r="N107" i="12"/>
  <c r="N108" i="12"/>
  <c r="N109" i="12"/>
  <c r="N110" i="12"/>
  <c r="N111" i="12"/>
  <c r="N112" i="12"/>
  <c r="N113" i="12"/>
  <c r="N114" i="12"/>
  <c r="N115" i="12"/>
  <c r="N116" i="12"/>
  <c r="N117" i="12"/>
  <c r="N118" i="12"/>
  <c r="N119" i="12"/>
  <c r="N120" i="12"/>
  <c r="N121" i="12"/>
  <c r="N122" i="12"/>
  <c r="N123" i="12"/>
  <c r="N124" i="12"/>
  <c r="N125" i="12"/>
  <c r="N126" i="12"/>
  <c r="N127" i="12"/>
  <c r="N128" i="12"/>
  <c r="N129" i="12"/>
  <c r="N130" i="12"/>
  <c r="N131" i="12"/>
  <c r="N132" i="12"/>
  <c r="N133" i="12"/>
  <c r="N134" i="12"/>
  <c r="N135" i="12"/>
  <c r="N136" i="12"/>
  <c r="N137" i="12"/>
  <c r="N138" i="12"/>
  <c r="N139" i="12"/>
  <c r="N140" i="12"/>
  <c r="N141" i="12"/>
  <c r="N142" i="12"/>
  <c r="N143" i="12"/>
  <c r="N144" i="12"/>
  <c r="N145" i="12"/>
  <c r="N146" i="12"/>
  <c r="N147" i="12"/>
  <c r="N148" i="12"/>
  <c r="N149" i="12"/>
  <c r="N150" i="12"/>
  <c r="N151" i="12"/>
  <c r="N152" i="12"/>
  <c r="N153" i="12"/>
  <c r="N154" i="12"/>
  <c r="N155" i="12"/>
  <c r="N156" i="12"/>
  <c r="N157" i="12"/>
  <c r="N158" i="12"/>
  <c r="N159" i="12"/>
  <c r="N160" i="12"/>
  <c r="N161" i="12"/>
  <c r="N162" i="12"/>
  <c r="N163" i="12"/>
  <c r="N164" i="12"/>
  <c r="N165" i="12"/>
  <c r="N166" i="12"/>
  <c r="N167" i="12"/>
  <c r="N168" i="12"/>
  <c r="N169" i="12"/>
  <c r="N170" i="12"/>
  <c r="N171" i="12"/>
  <c r="N172" i="12"/>
  <c r="N173" i="12"/>
  <c r="N174" i="12"/>
  <c r="N175" i="12"/>
  <c r="N176" i="12"/>
  <c r="N177" i="12"/>
  <c r="N178" i="12"/>
  <c r="N179" i="12"/>
  <c r="N180" i="12"/>
  <c r="N181" i="12"/>
  <c r="N182" i="12"/>
  <c r="N183" i="12"/>
  <c r="N184" i="12"/>
  <c r="N185" i="12"/>
  <c r="N186" i="12"/>
  <c r="N187" i="12"/>
  <c r="N188" i="12"/>
  <c r="N189" i="12"/>
  <c r="N190" i="12"/>
  <c r="N191" i="12"/>
  <c r="M192" i="12"/>
  <c r="M193" i="12"/>
  <c r="M194" i="12"/>
  <c r="M195" i="12"/>
  <c r="M196" i="12"/>
  <c r="M197" i="12"/>
  <c r="M198" i="12"/>
  <c r="M199" i="12"/>
  <c r="M200" i="12"/>
  <c r="M201" i="12"/>
  <c r="M202" i="12"/>
  <c r="M203" i="12"/>
  <c r="M204" i="12"/>
  <c r="M205" i="12"/>
  <c r="M206" i="12"/>
  <c r="M207" i="12"/>
  <c r="M208" i="12"/>
  <c r="M209" i="12"/>
  <c r="M210" i="12"/>
  <c r="M211" i="12"/>
  <c r="M212" i="12"/>
  <c r="M213" i="12"/>
  <c r="M214" i="12"/>
  <c r="M215" i="12"/>
  <c r="M216" i="12"/>
  <c r="M217" i="12"/>
  <c r="M218" i="12"/>
  <c r="M219" i="12"/>
  <c r="M220" i="12"/>
  <c r="M221" i="12"/>
  <c r="M222" i="12"/>
  <c r="M223" i="12"/>
  <c r="M224" i="12"/>
  <c r="M225" i="12"/>
  <c r="M226" i="12"/>
  <c r="M227" i="12"/>
  <c r="M228" i="12"/>
  <c r="M229" i="12"/>
  <c r="M230" i="12"/>
  <c r="M231" i="12"/>
  <c r="M232" i="12"/>
  <c r="M233" i="12"/>
  <c r="M234" i="12"/>
  <c r="M235" i="12"/>
  <c r="M236" i="12"/>
  <c r="M237" i="12"/>
  <c r="M238" i="12"/>
  <c r="M239" i="12"/>
  <c r="M240" i="12"/>
  <c r="M241" i="12"/>
  <c r="M242" i="12"/>
  <c r="M243" i="12"/>
  <c r="M244" i="12"/>
  <c r="M245" i="12"/>
  <c r="M246" i="12"/>
  <c r="M247" i="12"/>
  <c r="M248" i="12"/>
  <c r="M249" i="12"/>
  <c r="M250" i="12"/>
  <c r="M251" i="12"/>
  <c r="M252" i="12"/>
  <c r="M253" i="12"/>
  <c r="M254" i="12"/>
  <c r="M255" i="12"/>
  <c r="M256" i="12"/>
  <c r="M257" i="12"/>
  <c r="M258" i="12"/>
  <c r="M259" i="12"/>
  <c r="M260" i="12"/>
  <c r="M261" i="12"/>
  <c r="M262" i="12"/>
  <c r="M263" i="12"/>
  <c r="M264" i="12"/>
  <c r="M265" i="12"/>
  <c r="M266" i="12"/>
  <c r="M267" i="12"/>
  <c r="M268" i="12"/>
  <c r="M269" i="12"/>
  <c r="M270" i="12"/>
  <c r="M271" i="12"/>
  <c r="M272" i="12"/>
  <c r="M273" i="12"/>
  <c r="M274" i="12"/>
  <c r="M275" i="12"/>
  <c r="M276" i="12"/>
  <c r="M277" i="12"/>
  <c r="M278" i="12"/>
  <c r="M279" i="12"/>
  <c r="M280" i="12"/>
  <c r="M281" i="12"/>
  <c r="M282" i="12"/>
  <c r="M283" i="12"/>
  <c r="M284" i="12"/>
  <c r="M285" i="12"/>
  <c r="M286" i="12"/>
  <c r="M287" i="12"/>
  <c r="M288" i="12"/>
  <c r="M289" i="12"/>
  <c r="M290" i="12"/>
  <c r="M291" i="12"/>
  <c r="M292" i="12"/>
  <c r="M293" i="12"/>
  <c r="M294" i="12"/>
  <c r="M295" i="12"/>
  <c r="M296" i="12"/>
  <c r="M297" i="12"/>
  <c r="M298" i="12"/>
  <c r="M299" i="12"/>
  <c r="M300" i="12"/>
  <c r="M301" i="12"/>
  <c r="M302" i="12"/>
  <c r="M303" i="12"/>
  <c r="M304" i="12"/>
  <c r="M305" i="12"/>
  <c r="M306" i="12"/>
  <c r="M307" i="12"/>
  <c r="M308" i="12"/>
  <c r="M309" i="12"/>
  <c r="M310" i="12"/>
  <c r="M311" i="12"/>
  <c r="M312" i="12"/>
  <c r="M313" i="12"/>
  <c r="M314" i="12"/>
  <c r="M315" i="12"/>
  <c r="M316" i="12"/>
  <c r="M317" i="12"/>
  <c r="M318" i="12"/>
  <c r="M319" i="12"/>
  <c r="M320" i="12"/>
  <c r="M321" i="12"/>
  <c r="M322" i="12"/>
  <c r="M323" i="12"/>
  <c r="M324" i="12"/>
  <c r="M325" i="12"/>
  <c r="M326" i="12"/>
  <c r="M327" i="12"/>
  <c r="M328" i="12"/>
  <c r="M329" i="12"/>
  <c r="M330" i="12"/>
  <c r="M331" i="12"/>
  <c r="M332" i="12"/>
  <c r="M333" i="12"/>
  <c r="M334" i="12"/>
  <c r="M335" i="12"/>
  <c r="M336" i="12"/>
  <c r="M337" i="12"/>
  <c r="M338" i="12"/>
  <c r="M339" i="12"/>
  <c r="M340" i="12"/>
  <c r="M341" i="12"/>
  <c r="M342" i="12"/>
  <c r="M343" i="12"/>
  <c r="M344" i="12"/>
  <c r="M345" i="12"/>
  <c r="M346" i="12"/>
  <c r="M347" i="12"/>
  <c r="M348" i="12"/>
  <c r="M349" i="12"/>
  <c r="M350" i="12"/>
  <c r="M351" i="12"/>
  <c r="M352" i="12"/>
  <c r="M353" i="12"/>
  <c r="M354" i="12"/>
  <c r="M355" i="12"/>
  <c r="M356" i="12"/>
  <c r="M357" i="12"/>
  <c r="M358" i="12"/>
  <c r="M359" i="12"/>
  <c r="M360" i="12"/>
  <c r="M361" i="12"/>
  <c r="M362" i="12"/>
  <c r="M363" i="12"/>
  <c r="M364" i="12"/>
  <c r="M365" i="12"/>
  <c r="M366" i="12"/>
  <c r="M367" i="12"/>
  <c r="M368" i="12"/>
  <c r="M369" i="12"/>
  <c r="M370" i="12"/>
  <c r="M371" i="12"/>
  <c r="M372" i="12"/>
  <c r="M373" i="12"/>
  <c r="M374" i="12"/>
  <c r="M375" i="12"/>
  <c r="M376" i="12"/>
  <c r="M377" i="12"/>
  <c r="M378" i="12"/>
  <c r="M379" i="12"/>
  <c r="M380" i="12"/>
  <c r="M381" i="12"/>
  <c r="M382" i="12"/>
  <c r="M383" i="12"/>
  <c r="M384" i="12"/>
  <c r="M385" i="12"/>
  <c r="M386" i="12"/>
  <c r="M387" i="12"/>
  <c r="M388" i="12"/>
  <c r="M389" i="12"/>
  <c r="M390" i="12"/>
  <c r="M391" i="12"/>
  <c r="M392" i="12"/>
  <c r="M393" i="12"/>
  <c r="M394" i="12"/>
  <c r="M395" i="12"/>
  <c r="M396" i="12"/>
  <c r="M397" i="12"/>
  <c r="M398" i="12"/>
  <c r="M399" i="12"/>
  <c r="M400" i="12"/>
  <c r="M401" i="12"/>
  <c r="M402" i="12"/>
  <c r="M403" i="12"/>
  <c r="M404" i="12"/>
  <c r="M3" i="12"/>
  <c r="M4" i="12"/>
  <c r="M5" i="12"/>
  <c r="M6" i="12"/>
  <c r="M7" i="12"/>
  <c r="M8" i="12"/>
  <c r="M9" i="12"/>
  <c r="M10" i="12"/>
  <c r="M11" i="12"/>
  <c r="M12" i="12"/>
  <c r="M13" i="12"/>
  <c r="M14" i="12"/>
  <c r="M15" i="12"/>
  <c r="M16" i="12"/>
  <c r="M17" i="12"/>
  <c r="M18" i="12"/>
  <c r="M19" i="12"/>
  <c r="M20" i="12"/>
  <c r="M21" i="12"/>
  <c r="M22" i="12"/>
  <c r="M23" i="12"/>
  <c r="M24" i="12"/>
  <c r="M25" i="12"/>
  <c r="M26" i="12"/>
  <c r="M27" i="12"/>
  <c r="M28" i="12"/>
  <c r="M29" i="12"/>
  <c r="M30" i="12"/>
  <c r="M31" i="12"/>
  <c r="M32" i="12"/>
  <c r="M33" i="12"/>
  <c r="M34" i="12"/>
  <c r="M35" i="12"/>
  <c r="M36" i="12"/>
  <c r="M37" i="12"/>
  <c r="M38" i="12"/>
  <c r="M39" i="12"/>
  <c r="M40" i="12"/>
  <c r="M41" i="12"/>
  <c r="M42" i="12"/>
  <c r="M43" i="12"/>
  <c r="M44" i="12"/>
  <c r="M45" i="12"/>
  <c r="M46" i="12"/>
  <c r="M47" i="12"/>
  <c r="M48" i="12"/>
  <c r="M49" i="12"/>
  <c r="M50" i="12"/>
  <c r="M51" i="12"/>
  <c r="M52" i="12"/>
  <c r="M53" i="12"/>
  <c r="M54" i="12"/>
  <c r="M55" i="12"/>
  <c r="M56" i="12"/>
  <c r="M57" i="12"/>
  <c r="M58" i="12"/>
  <c r="M59" i="12"/>
  <c r="M60" i="12"/>
  <c r="M61" i="12"/>
  <c r="M62" i="12"/>
  <c r="M63" i="12"/>
  <c r="M64" i="12"/>
  <c r="M65" i="12"/>
  <c r="M66" i="12"/>
  <c r="M67" i="12"/>
  <c r="M68" i="12"/>
  <c r="M69" i="12"/>
  <c r="M70" i="12"/>
  <c r="M71" i="12"/>
  <c r="M72" i="12"/>
  <c r="M73" i="12"/>
  <c r="M74" i="12"/>
  <c r="M75" i="12"/>
  <c r="M76" i="12"/>
  <c r="M77" i="12"/>
  <c r="M78" i="12"/>
  <c r="M79" i="12"/>
  <c r="M80" i="12"/>
  <c r="M81" i="12"/>
  <c r="M82" i="12"/>
  <c r="M83" i="12"/>
  <c r="M84" i="12"/>
  <c r="M85" i="12"/>
  <c r="M86" i="12"/>
  <c r="M87" i="12"/>
  <c r="M88" i="12"/>
  <c r="M89" i="12"/>
  <c r="M90" i="12"/>
  <c r="M91" i="12"/>
  <c r="M92" i="12"/>
  <c r="M93" i="12"/>
  <c r="M94" i="12"/>
  <c r="M95" i="12"/>
  <c r="M96" i="12"/>
  <c r="M97" i="12"/>
  <c r="M98" i="12"/>
  <c r="M99" i="12"/>
  <c r="M100" i="12"/>
  <c r="M101" i="12"/>
  <c r="M102" i="12"/>
  <c r="M103" i="12"/>
  <c r="M104" i="12"/>
  <c r="M105" i="12"/>
  <c r="M106" i="12"/>
  <c r="M107" i="12"/>
  <c r="M108" i="12"/>
  <c r="M109" i="12"/>
  <c r="M110" i="12"/>
  <c r="M111" i="12"/>
  <c r="M112" i="12"/>
  <c r="M113" i="12"/>
  <c r="M114" i="12"/>
  <c r="M115" i="12"/>
  <c r="M116" i="12"/>
  <c r="M117" i="12"/>
  <c r="M118" i="12"/>
  <c r="M119" i="12"/>
  <c r="M120" i="12"/>
  <c r="M121" i="12"/>
  <c r="M122" i="12"/>
  <c r="M123" i="12"/>
  <c r="M124" i="12"/>
  <c r="M125" i="12"/>
  <c r="M126" i="12"/>
  <c r="M127" i="12"/>
  <c r="M128" i="12"/>
  <c r="M129" i="12"/>
  <c r="M130" i="12"/>
  <c r="M131" i="12"/>
  <c r="M132" i="12"/>
  <c r="M133" i="12"/>
  <c r="M134" i="12"/>
  <c r="M135" i="12"/>
  <c r="M136" i="12"/>
  <c r="M137" i="12"/>
  <c r="M138" i="12"/>
  <c r="M139" i="12"/>
  <c r="M140" i="12"/>
  <c r="M141" i="12"/>
  <c r="M142" i="12"/>
  <c r="M143" i="12"/>
  <c r="M144" i="12"/>
  <c r="M145" i="12"/>
  <c r="M146" i="12"/>
  <c r="M147" i="12"/>
  <c r="M148" i="12"/>
  <c r="M149" i="12"/>
  <c r="M150" i="12"/>
  <c r="M151" i="12"/>
  <c r="M152" i="12"/>
  <c r="M153" i="12"/>
  <c r="M154" i="12"/>
  <c r="M155" i="12"/>
  <c r="M156" i="12"/>
  <c r="M157" i="12"/>
  <c r="M158" i="12"/>
  <c r="M159" i="12"/>
  <c r="M160" i="12"/>
  <c r="M161" i="12"/>
  <c r="M162" i="12"/>
  <c r="M163" i="12"/>
  <c r="M164" i="12"/>
  <c r="M165" i="12"/>
  <c r="M166" i="12"/>
  <c r="M167" i="12"/>
  <c r="M168" i="12"/>
  <c r="M169" i="12"/>
  <c r="M170" i="12"/>
  <c r="M171" i="12"/>
  <c r="M172" i="12"/>
  <c r="M173" i="12"/>
  <c r="M174" i="12"/>
  <c r="M175" i="12"/>
  <c r="M176" i="12"/>
  <c r="M177" i="12"/>
  <c r="M178" i="12"/>
  <c r="M179" i="12"/>
  <c r="M180" i="12"/>
  <c r="M181" i="12"/>
  <c r="M182" i="12"/>
  <c r="M183" i="12"/>
  <c r="M184" i="12"/>
  <c r="M185" i="12"/>
  <c r="M186" i="12"/>
  <c r="M187" i="12"/>
  <c r="M188" i="12"/>
  <c r="M189" i="12"/>
  <c r="M190" i="12"/>
  <c r="M191" i="12"/>
  <c r="M2" i="12"/>
  <c r="L192" i="12"/>
  <c r="L193" i="12"/>
  <c r="L194" i="12"/>
  <c r="L195" i="12"/>
  <c r="L196" i="12"/>
  <c r="L197" i="12"/>
  <c r="L198" i="12"/>
  <c r="L199" i="12"/>
  <c r="L200" i="12"/>
  <c r="L201" i="12"/>
  <c r="L202" i="12"/>
  <c r="L203" i="12"/>
  <c r="L204" i="12"/>
  <c r="L205" i="12"/>
  <c r="L206" i="12"/>
  <c r="L207" i="12"/>
  <c r="L208" i="12"/>
  <c r="L209" i="12"/>
  <c r="L210" i="12"/>
  <c r="L211" i="12"/>
  <c r="L212" i="12"/>
  <c r="L213" i="12"/>
  <c r="L214" i="12"/>
  <c r="L215" i="12"/>
  <c r="L216" i="12"/>
  <c r="L217" i="12"/>
  <c r="L218" i="12"/>
  <c r="L219" i="12"/>
  <c r="L220" i="12"/>
  <c r="L221" i="12"/>
  <c r="L222" i="12"/>
  <c r="L223" i="12"/>
  <c r="L224" i="12"/>
  <c r="L225" i="12"/>
  <c r="L226" i="12"/>
  <c r="L227" i="12"/>
  <c r="L228" i="12"/>
  <c r="L229" i="12"/>
  <c r="L230" i="12"/>
  <c r="L231" i="12"/>
  <c r="L232" i="12"/>
  <c r="L233" i="12"/>
  <c r="L234" i="12"/>
  <c r="L235" i="12"/>
  <c r="L236" i="12"/>
  <c r="L237" i="12"/>
  <c r="L238" i="12"/>
  <c r="L239" i="12"/>
  <c r="L240" i="12"/>
  <c r="L241" i="12"/>
  <c r="L242" i="12"/>
  <c r="L243" i="12"/>
  <c r="L244" i="12"/>
  <c r="L245" i="12"/>
  <c r="L246" i="12"/>
  <c r="L247" i="12"/>
  <c r="L248" i="12"/>
  <c r="L249" i="12"/>
  <c r="L250" i="12"/>
  <c r="L251" i="12"/>
  <c r="L252" i="12"/>
  <c r="L253" i="12"/>
  <c r="L254" i="12"/>
  <c r="L255" i="12"/>
  <c r="L256" i="12"/>
  <c r="L257" i="12"/>
  <c r="L258" i="12"/>
  <c r="L259" i="12"/>
  <c r="L260" i="12"/>
  <c r="L261" i="12"/>
  <c r="L262" i="12"/>
  <c r="L263" i="12"/>
  <c r="L264" i="12"/>
  <c r="L265" i="12"/>
  <c r="L266" i="12"/>
  <c r="L267" i="12"/>
  <c r="L268" i="12"/>
  <c r="L269" i="12"/>
  <c r="L270" i="12"/>
  <c r="L271" i="12"/>
  <c r="L272" i="12"/>
  <c r="L273" i="12"/>
  <c r="L274" i="12"/>
  <c r="L275" i="12"/>
  <c r="L276" i="12"/>
  <c r="L277" i="12"/>
  <c r="L278" i="12"/>
  <c r="L279" i="12"/>
  <c r="L280" i="12"/>
  <c r="L281" i="12"/>
  <c r="L282" i="12"/>
  <c r="L283" i="12"/>
  <c r="L284" i="12"/>
  <c r="L285" i="12"/>
  <c r="L286" i="12"/>
  <c r="L287" i="12"/>
  <c r="L288" i="12"/>
  <c r="L289" i="12"/>
  <c r="L290" i="12"/>
  <c r="L291" i="12"/>
  <c r="L292" i="12"/>
  <c r="L293" i="12"/>
  <c r="L294" i="12"/>
  <c r="L295" i="12"/>
  <c r="L296" i="12"/>
  <c r="L297" i="12"/>
  <c r="L298" i="12"/>
  <c r="L299" i="12"/>
  <c r="L300" i="12"/>
  <c r="L301" i="12"/>
  <c r="L302" i="12"/>
  <c r="L303" i="12"/>
  <c r="L304" i="12"/>
  <c r="L305" i="12"/>
  <c r="L306" i="12"/>
  <c r="L307" i="12"/>
  <c r="L308" i="12"/>
  <c r="L309" i="12"/>
  <c r="L310" i="12"/>
  <c r="L311" i="12"/>
  <c r="L312" i="12"/>
  <c r="L313" i="12"/>
  <c r="L314" i="12"/>
  <c r="L315" i="12"/>
  <c r="L316" i="12"/>
  <c r="L317" i="12"/>
  <c r="L318" i="12"/>
  <c r="L319" i="12"/>
  <c r="L320" i="12"/>
  <c r="L321" i="12"/>
  <c r="L322" i="12"/>
  <c r="L323" i="12"/>
  <c r="L324" i="12"/>
  <c r="L325" i="12"/>
  <c r="L326" i="12"/>
  <c r="L327" i="12"/>
  <c r="L328" i="12"/>
  <c r="L329" i="12"/>
  <c r="L330" i="12"/>
  <c r="L331" i="12"/>
  <c r="L332" i="12"/>
  <c r="L333" i="12"/>
  <c r="L334" i="12"/>
  <c r="L335" i="12"/>
  <c r="L336" i="12"/>
  <c r="L337" i="12"/>
  <c r="L338" i="12"/>
  <c r="L339" i="12"/>
  <c r="L340" i="12"/>
  <c r="L341" i="12"/>
  <c r="L342" i="12"/>
  <c r="L343" i="12"/>
  <c r="L344" i="12"/>
  <c r="L345" i="12"/>
  <c r="L346" i="12"/>
  <c r="L347" i="12"/>
  <c r="L348" i="12"/>
  <c r="L349" i="12"/>
  <c r="L350" i="12"/>
  <c r="L351" i="12"/>
  <c r="L352" i="12"/>
  <c r="L353" i="12"/>
  <c r="L354" i="12"/>
  <c r="L355" i="12"/>
  <c r="L356" i="12"/>
  <c r="L357" i="12"/>
  <c r="L358" i="12"/>
  <c r="L359" i="12"/>
  <c r="L360" i="12"/>
  <c r="L361" i="12"/>
  <c r="L362" i="12"/>
  <c r="L363" i="12"/>
  <c r="L364" i="12"/>
  <c r="L365" i="12"/>
  <c r="L366" i="12"/>
  <c r="L367" i="12"/>
  <c r="L368" i="12"/>
  <c r="L369" i="12"/>
  <c r="L370" i="12"/>
  <c r="L371" i="12"/>
  <c r="L372" i="12"/>
  <c r="L373" i="12"/>
  <c r="L374" i="12"/>
  <c r="L375" i="12"/>
  <c r="L376" i="12"/>
  <c r="L377" i="12"/>
  <c r="L378" i="12"/>
  <c r="L379" i="12"/>
  <c r="L380" i="12"/>
  <c r="L381" i="12"/>
  <c r="L382" i="12"/>
  <c r="L383" i="12"/>
  <c r="L384" i="12"/>
  <c r="L385" i="12"/>
  <c r="L386" i="12"/>
  <c r="L387" i="12"/>
  <c r="L388" i="12"/>
  <c r="L389" i="12"/>
  <c r="L390" i="12"/>
  <c r="L391" i="12"/>
  <c r="L392" i="12"/>
  <c r="L393" i="12"/>
  <c r="L394" i="12"/>
  <c r="L395" i="12"/>
  <c r="L396" i="12"/>
  <c r="L397" i="12"/>
  <c r="L398" i="12"/>
  <c r="L399" i="12"/>
  <c r="L400" i="12"/>
  <c r="L401" i="12"/>
  <c r="L402" i="12"/>
  <c r="L403" i="12"/>
  <c r="L404" i="12"/>
  <c r="L3" i="12"/>
  <c r="L4" i="12"/>
  <c r="L5" i="12"/>
  <c r="L6" i="12"/>
  <c r="L7" i="12"/>
  <c r="L8" i="12"/>
  <c r="L9" i="12"/>
  <c r="L10" i="12"/>
  <c r="L11" i="12"/>
  <c r="L12" i="12"/>
  <c r="L13" i="12"/>
  <c r="L14" i="12"/>
  <c r="L15" i="12"/>
  <c r="L16" i="12"/>
  <c r="L17" i="12"/>
  <c r="L18" i="12"/>
  <c r="L19" i="12"/>
  <c r="L20" i="12"/>
  <c r="L21" i="12"/>
  <c r="L22" i="12"/>
  <c r="L23" i="12"/>
  <c r="L24" i="12"/>
  <c r="L25" i="12"/>
  <c r="L26" i="12"/>
  <c r="L27" i="12"/>
  <c r="L28" i="12"/>
  <c r="L29" i="12"/>
  <c r="L30" i="12"/>
  <c r="L31" i="12"/>
  <c r="L32" i="12"/>
  <c r="L33" i="12"/>
  <c r="L34" i="12"/>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127" i="12"/>
  <c r="L128" i="12"/>
  <c r="L129" i="12"/>
  <c r="L130" i="12"/>
  <c r="L131" i="12"/>
  <c r="L132" i="12"/>
  <c r="L133" i="12"/>
  <c r="L134" i="12"/>
  <c r="L135" i="12"/>
  <c r="L136" i="12"/>
  <c r="L137" i="12"/>
  <c r="L138" i="12"/>
  <c r="L139" i="12"/>
  <c r="L140" i="12"/>
  <c r="L141" i="12"/>
  <c r="L142" i="12"/>
  <c r="L143" i="12"/>
  <c r="L144" i="12"/>
  <c r="L145" i="12"/>
  <c r="L146" i="12"/>
  <c r="L147" i="12"/>
  <c r="L148" i="12"/>
  <c r="L149" i="12"/>
  <c r="L150" i="12"/>
  <c r="L151" i="12"/>
  <c r="L152" i="12"/>
  <c r="L153" i="12"/>
  <c r="L154" i="12"/>
  <c r="L155" i="12"/>
  <c r="L156" i="12"/>
  <c r="L157" i="12"/>
  <c r="L158" i="12"/>
  <c r="L159" i="12"/>
  <c r="L160" i="12"/>
  <c r="L161" i="12"/>
  <c r="L162" i="12"/>
  <c r="L163" i="12"/>
  <c r="L164" i="12"/>
  <c r="L165" i="12"/>
  <c r="L166" i="12"/>
  <c r="L167" i="12"/>
  <c r="L168" i="12"/>
  <c r="L169" i="12"/>
  <c r="L170" i="12"/>
  <c r="L171" i="12"/>
  <c r="L172" i="12"/>
  <c r="L173" i="12"/>
  <c r="L174" i="12"/>
  <c r="L175" i="12"/>
  <c r="L176" i="12"/>
  <c r="L177" i="12"/>
  <c r="L178" i="12"/>
  <c r="L179" i="12"/>
  <c r="L180" i="12"/>
  <c r="L181" i="12"/>
  <c r="L182" i="12"/>
  <c r="L183" i="12"/>
  <c r="L184" i="12"/>
  <c r="L185" i="12"/>
  <c r="L186" i="12"/>
  <c r="L187" i="12"/>
  <c r="L188" i="12"/>
  <c r="L189" i="12"/>
  <c r="L190" i="12"/>
  <c r="L191" i="12"/>
  <c r="K192" i="12"/>
  <c r="K193" i="12"/>
  <c r="K194" i="12"/>
  <c r="K195" i="12"/>
  <c r="K196" i="12"/>
  <c r="K197" i="12"/>
  <c r="K198" i="12"/>
  <c r="K199" i="12"/>
  <c r="K200" i="12"/>
  <c r="K201" i="12"/>
  <c r="K202" i="12"/>
  <c r="K203" i="12"/>
  <c r="K204" i="12"/>
  <c r="K205" i="12"/>
  <c r="K206" i="12"/>
  <c r="K207" i="12"/>
  <c r="K208" i="12"/>
  <c r="K209" i="12"/>
  <c r="K210" i="12"/>
  <c r="K211" i="12"/>
  <c r="K212" i="12"/>
  <c r="K213" i="12"/>
  <c r="K214" i="12"/>
  <c r="K215" i="12"/>
  <c r="K216" i="12"/>
  <c r="K217" i="12"/>
  <c r="K218" i="12"/>
  <c r="K219" i="12"/>
  <c r="K220" i="12"/>
  <c r="K221" i="12"/>
  <c r="K222" i="12"/>
  <c r="K223" i="12"/>
  <c r="K224" i="12"/>
  <c r="K225" i="12"/>
  <c r="K226" i="12"/>
  <c r="K227" i="12"/>
  <c r="K228" i="12"/>
  <c r="K229" i="12"/>
  <c r="K230" i="12"/>
  <c r="K231" i="12"/>
  <c r="K232" i="12"/>
  <c r="K233" i="12"/>
  <c r="K234" i="12"/>
  <c r="K235" i="12"/>
  <c r="K236" i="12"/>
  <c r="K237" i="12"/>
  <c r="K238" i="12"/>
  <c r="K239" i="12"/>
  <c r="K240" i="12"/>
  <c r="K241" i="12"/>
  <c r="K242" i="12"/>
  <c r="K243" i="12"/>
  <c r="K244" i="12"/>
  <c r="K245" i="12"/>
  <c r="K246" i="12"/>
  <c r="K247" i="12"/>
  <c r="K248" i="12"/>
  <c r="K249" i="12"/>
  <c r="K250" i="12"/>
  <c r="K251" i="12"/>
  <c r="K252" i="12"/>
  <c r="K253" i="12"/>
  <c r="K254" i="12"/>
  <c r="K255" i="12"/>
  <c r="K256" i="12"/>
  <c r="K257" i="12"/>
  <c r="K258" i="12"/>
  <c r="K259" i="12"/>
  <c r="K260" i="12"/>
  <c r="K261" i="12"/>
  <c r="K262" i="12"/>
  <c r="K263" i="12"/>
  <c r="K264" i="12"/>
  <c r="K265" i="12"/>
  <c r="K266" i="12"/>
  <c r="K267" i="12"/>
  <c r="K268" i="12"/>
  <c r="K269" i="12"/>
  <c r="K270" i="12"/>
  <c r="K271" i="12"/>
  <c r="K272" i="12"/>
  <c r="K273" i="12"/>
  <c r="K274" i="12"/>
  <c r="K275" i="12"/>
  <c r="K276" i="12"/>
  <c r="K277" i="12"/>
  <c r="K278" i="12"/>
  <c r="K279" i="12"/>
  <c r="K280" i="12"/>
  <c r="K281" i="12"/>
  <c r="K282" i="12"/>
  <c r="K283" i="12"/>
  <c r="K284" i="12"/>
  <c r="K285" i="12"/>
  <c r="K286" i="12"/>
  <c r="K287" i="12"/>
  <c r="K288" i="12"/>
  <c r="K289" i="12"/>
  <c r="K290" i="12"/>
  <c r="K291" i="12"/>
  <c r="K292" i="12"/>
  <c r="K293" i="12"/>
  <c r="K294" i="12"/>
  <c r="K295" i="12"/>
  <c r="K296" i="12"/>
  <c r="K297" i="12"/>
  <c r="K298" i="12"/>
  <c r="K299" i="12"/>
  <c r="K300" i="12"/>
  <c r="K301" i="12"/>
  <c r="K302" i="12"/>
  <c r="K303" i="12"/>
  <c r="K304" i="12"/>
  <c r="K305" i="12"/>
  <c r="K306" i="12"/>
  <c r="K307" i="12"/>
  <c r="K308" i="12"/>
  <c r="K309" i="12"/>
  <c r="K310" i="12"/>
  <c r="K311" i="12"/>
  <c r="K312" i="12"/>
  <c r="K313" i="12"/>
  <c r="K314" i="12"/>
  <c r="K315" i="12"/>
  <c r="K316" i="12"/>
  <c r="K317" i="12"/>
  <c r="K318" i="12"/>
  <c r="K319" i="12"/>
  <c r="K320" i="12"/>
  <c r="K321" i="12"/>
  <c r="K322" i="12"/>
  <c r="K323" i="12"/>
  <c r="K324" i="12"/>
  <c r="K325" i="12"/>
  <c r="K326" i="12"/>
  <c r="K327" i="12"/>
  <c r="K328" i="12"/>
  <c r="K329" i="12"/>
  <c r="K330" i="12"/>
  <c r="K331" i="12"/>
  <c r="K332" i="12"/>
  <c r="K333" i="12"/>
  <c r="K334" i="12"/>
  <c r="K335" i="12"/>
  <c r="K336" i="12"/>
  <c r="K337" i="12"/>
  <c r="K338" i="12"/>
  <c r="K339" i="12"/>
  <c r="K340" i="12"/>
  <c r="K341" i="12"/>
  <c r="K342" i="12"/>
  <c r="K343" i="12"/>
  <c r="K344" i="12"/>
  <c r="K345" i="12"/>
  <c r="K346" i="12"/>
  <c r="K347" i="12"/>
  <c r="K348" i="12"/>
  <c r="K349" i="12"/>
  <c r="K350" i="12"/>
  <c r="K351" i="12"/>
  <c r="K352" i="12"/>
  <c r="K353" i="12"/>
  <c r="K354" i="12"/>
  <c r="K355" i="12"/>
  <c r="K356" i="12"/>
  <c r="K357" i="12"/>
  <c r="K358" i="12"/>
  <c r="K359" i="12"/>
  <c r="K360" i="12"/>
  <c r="K361" i="12"/>
  <c r="K362" i="12"/>
  <c r="K363" i="12"/>
  <c r="K364" i="12"/>
  <c r="K365" i="12"/>
  <c r="K366" i="12"/>
  <c r="K367" i="12"/>
  <c r="K368" i="12"/>
  <c r="K369" i="12"/>
  <c r="K370" i="12"/>
  <c r="K371" i="12"/>
  <c r="K372" i="12"/>
  <c r="K373" i="12"/>
  <c r="K374" i="12"/>
  <c r="K375" i="12"/>
  <c r="K376" i="12"/>
  <c r="K377" i="12"/>
  <c r="K378" i="12"/>
  <c r="K379" i="12"/>
  <c r="K380" i="12"/>
  <c r="K381" i="12"/>
  <c r="K382" i="12"/>
  <c r="K383" i="12"/>
  <c r="K384" i="12"/>
  <c r="K385" i="12"/>
  <c r="K386" i="12"/>
  <c r="K387" i="12"/>
  <c r="K388" i="12"/>
  <c r="K389" i="12"/>
  <c r="K390" i="12"/>
  <c r="K391" i="12"/>
  <c r="K392" i="12"/>
  <c r="K393" i="12"/>
  <c r="K394" i="12"/>
  <c r="K395" i="12"/>
  <c r="K396" i="12"/>
  <c r="K397" i="12"/>
  <c r="K398" i="12"/>
  <c r="K399" i="12"/>
  <c r="K400" i="12"/>
  <c r="K401" i="12"/>
  <c r="K402" i="12"/>
  <c r="K403" i="12"/>
  <c r="K404" i="12"/>
  <c r="K3" i="12"/>
  <c r="K4" i="12"/>
  <c r="K5" i="12"/>
  <c r="K6" i="12"/>
  <c r="K7" i="12"/>
  <c r="K8" i="12"/>
  <c r="K9" i="12"/>
  <c r="K10" i="12"/>
  <c r="K11" i="12"/>
  <c r="K12" i="12"/>
  <c r="K13" i="12"/>
  <c r="K14" i="12"/>
  <c r="K15" i="12"/>
  <c r="K16" i="12"/>
  <c r="K17" i="12"/>
  <c r="K18" i="12"/>
  <c r="K19" i="12"/>
  <c r="K20" i="12"/>
  <c r="K21" i="12"/>
  <c r="K22" i="12"/>
  <c r="K23" i="12"/>
  <c r="K24" i="12"/>
  <c r="K25" i="12"/>
  <c r="K26" i="12"/>
  <c r="K27" i="12"/>
  <c r="K28" i="12"/>
  <c r="K29" i="12"/>
  <c r="K30" i="12"/>
  <c r="K31" i="12"/>
  <c r="K32" i="12"/>
  <c r="K33" i="12"/>
  <c r="K34" i="12"/>
  <c r="K35" i="12"/>
  <c r="K36" i="12"/>
  <c r="K37" i="12"/>
  <c r="K38" i="12"/>
  <c r="K39" i="12"/>
  <c r="K40" i="12"/>
  <c r="K41" i="12"/>
  <c r="K42" i="12"/>
  <c r="K43" i="12"/>
  <c r="K44" i="12"/>
  <c r="K45" i="12"/>
  <c r="K46" i="12"/>
  <c r="K47" i="12"/>
  <c r="K48" i="12"/>
  <c r="K49" i="12"/>
  <c r="K50" i="12"/>
  <c r="K51" i="12"/>
  <c r="K52" i="12"/>
  <c r="K53" i="12"/>
  <c r="K54" i="12"/>
  <c r="K55" i="12"/>
  <c r="K56" i="12"/>
  <c r="K57" i="12"/>
  <c r="K58" i="12"/>
  <c r="K59" i="12"/>
  <c r="K60" i="12"/>
  <c r="K61" i="12"/>
  <c r="K62" i="12"/>
  <c r="K63" i="12"/>
  <c r="K64" i="12"/>
  <c r="K65" i="12"/>
  <c r="K66" i="12"/>
  <c r="K67" i="12"/>
  <c r="K68" i="12"/>
  <c r="K69" i="12"/>
  <c r="K70" i="12"/>
  <c r="K71" i="12"/>
  <c r="K72" i="12"/>
  <c r="K73" i="12"/>
  <c r="K74" i="12"/>
  <c r="K75" i="12"/>
  <c r="K76" i="12"/>
  <c r="K77" i="12"/>
  <c r="K78" i="12"/>
  <c r="K79" i="12"/>
  <c r="K80" i="12"/>
  <c r="K81" i="12"/>
  <c r="K82" i="12"/>
  <c r="K83" i="12"/>
  <c r="K84" i="12"/>
  <c r="K85" i="12"/>
  <c r="K86" i="12"/>
  <c r="K87" i="12"/>
  <c r="K88" i="12"/>
  <c r="K89" i="12"/>
  <c r="K90" i="12"/>
  <c r="K91" i="12"/>
  <c r="K92" i="12"/>
  <c r="K93" i="12"/>
  <c r="K94" i="12"/>
  <c r="K95" i="12"/>
  <c r="K96" i="12"/>
  <c r="K97" i="12"/>
  <c r="K98" i="12"/>
  <c r="K99" i="12"/>
  <c r="K100" i="12"/>
  <c r="K101" i="12"/>
  <c r="K102" i="12"/>
  <c r="K103" i="12"/>
  <c r="K104" i="12"/>
  <c r="K105" i="12"/>
  <c r="K106" i="12"/>
  <c r="K107" i="12"/>
  <c r="K108" i="12"/>
  <c r="K109" i="12"/>
  <c r="K110" i="12"/>
  <c r="K111" i="12"/>
  <c r="K112" i="12"/>
  <c r="K113" i="12"/>
  <c r="K114" i="12"/>
  <c r="K115" i="12"/>
  <c r="K116" i="12"/>
  <c r="K117" i="12"/>
  <c r="K118" i="12"/>
  <c r="K119" i="12"/>
  <c r="K120" i="12"/>
  <c r="K121" i="12"/>
  <c r="K122" i="12"/>
  <c r="K123" i="12"/>
  <c r="K124" i="12"/>
  <c r="K125" i="12"/>
  <c r="K126" i="12"/>
  <c r="K127" i="12"/>
  <c r="K128" i="12"/>
  <c r="K129" i="12"/>
  <c r="K130" i="12"/>
  <c r="K131" i="12"/>
  <c r="K132" i="12"/>
  <c r="K133" i="12"/>
  <c r="K134" i="12"/>
  <c r="K135" i="12"/>
  <c r="K136" i="12"/>
  <c r="K137" i="12"/>
  <c r="K138" i="12"/>
  <c r="K139" i="12"/>
  <c r="K140" i="12"/>
  <c r="K141" i="12"/>
  <c r="K142" i="12"/>
  <c r="K143" i="12"/>
  <c r="K144" i="12"/>
  <c r="K145" i="12"/>
  <c r="K146" i="12"/>
  <c r="K147" i="12"/>
  <c r="K148" i="12"/>
  <c r="K149" i="12"/>
  <c r="K150" i="12"/>
  <c r="K151" i="12"/>
  <c r="K152" i="12"/>
  <c r="K153" i="12"/>
  <c r="K154" i="12"/>
  <c r="K155" i="12"/>
  <c r="K156" i="12"/>
  <c r="K157" i="12"/>
  <c r="K158" i="12"/>
  <c r="K159" i="12"/>
  <c r="K160" i="12"/>
  <c r="K161" i="12"/>
  <c r="K162" i="12"/>
  <c r="K163" i="12"/>
  <c r="K164" i="12"/>
  <c r="K165" i="12"/>
  <c r="K166" i="12"/>
  <c r="K167" i="12"/>
  <c r="K168" i="12"/>
  <c r="K169" i="12"/>
  <c r="K170" i="12"/>
  <c r="K171" i="12"/>
  <c r="K172" i="12"/>
  <c r="K173" i="12"/>
  <c r="K174" i="12"/>
  <c r="K175" i="12"/>
  <c r="K176" i="12"/>
  <c r="K177" i="12"/>
  <c r="K178" i="12"/>
  <c r="K179" i="12"/>
  <c r="K180" i="12"/>
  <c r="K181" i="12"/>
  <c r="K182" i="12"/>
  <c r="K183" i="12"/>
  <c r="K184" i="12"/>
  <c r="K185" i="12"/>
  <c r="K186" i="12"/>
  <c r="K187" i="12"/>
  <c r="K188" i="12"/>
  <c r="K189" i="12"/>
  <c r="K190" i="12"/>
  <c r="K191" i="12"/>
  <c r="K2" i="12"/>
  <c r="J192" i="12"/>
  <c r="J193" i="12"/>
  <c r="J194" i="12"/>
  <c r="J195" i="12"/>
  <c r="J196" i="12"/>
  <c r="J197" i="12"/>
  <c r="J198" i="12"/>
  <c r="J199" i="12"/>
  <c r="J200" i="12"/>
  <c r="J201" i="12"/>
  <c r="J202" i="12"/>
  <c r="J203" i="12"/>
  <c r="J204" i="12"/>
  <c r="J205" i="12"/>
  <c r="J206" i="12"/>
  <c r="J207" i="12"/>
  <c r="J208" i="12"/>
  <c r="J209" i="12"/>
  <c r="J210" i="12"/>
  <c r="J211" i="12"/>
  <c r="J212" i="12"/>
  <c r="J213" i="12"/>
  <c r="J214" i="12"/>
  <c r="J215" i="12"/>
  <c r="J216" i="12"/>
  <c r="J217" i="12"/>
  <c r="J218" i="12"/>
  <c r="J219" i="12"/>
  <c r="J220" i="12"/>
  <c r="J221" i="12"/>
  <c r="J222" i="12"/>
  <c r="J223" i="12"/>
  <c r="J224" i="12"/>
  <c r="J225" i="12"/>
  <c r="J226" i="12"/>
  <c r="J227" i="12"/>
  <c r="J228" i="12"/>
  <c r="J229" i="12"/>
  <c r="J230" i="12"/>
  <c r="J231" i="12"/>
  <c r="J232" i="12"/>
  <c r="J233" i="12"/>
  <c r="J234" i="12"/>
  <c r="J235" i="12"/>
  <c r="J236" i="12"/>
  <c r="J237" i="12"/>
  <c r="J238" i="12"/>
  <c r="J239" i="12"/>
  <c r="J240" i="12"/>
  <c r="J241" i="12"/>
  <c r="J242" i="12"/>
  <c r="J243" i="12"/>
  <c r="J244" i="12"/>
  <c r="J245" i="12"/>
  <c r="J246" i="12"/>
  <c r="J247" i="12"/>
  <c r="J248" i="12"/>
  <c r="J249" i="12"/>
  <c r="J250" i="12"/>
  <c r="J251" i="12"/>
  <c r="J252" i="12"/>
  <c r="J253" i="12"/>
  <c r="J254" i="12"/>
  <c r="J255" i="12"/>
  <c r="J256" i="12"/>
  <c r="J257" i="12"/>
  <c r="J258" i="12"/>
  <c r="J259" i="12"/>
  <c r="J260" i="12"/>
  <c r="J261" i="12"/>
  <c r="J262" i="12"/>
  <c r="J263" i="12"/>
  <c r="J264" i="12"/>
  <c r="J265" i="12"/>
  <c r="J266" i="12"/>
  <c r="J267" i="12"/>
  <c r="J268" i="12"/>
  <c r="J269" i="12"/>
  <c r="J270" i="12"/>
  <c r="J271" i="12"/>
  <c r="J272" i="12"/>
  <c r="J273" i="12"/>
  <c r="J274" i="12"/>
  <c r="J275" i="12"/>
  <c r="J276" i="12"/>
  <c r="J277" i="12"/>
  <c r="J278" i="12"/>
  <c r="J279" i="12"/>
  <c r="J280" i="12"/>
  <c r="J281" i="12"/>
  <c r="J282" i="12"/>
  <c r="J283" i="12"/>
  <c r="J284" i="12"/>
  <c r="J285" i="12"/>
  <c r="J286" i="12"/>
  <c r="J287" i="12"/>
  <c r="J288" i="12"/>
  <c r="J289" i="12"/>
  <c r="J290" i="12"/>
  <c r="J291" i="12"/>
  <c r="J292" i="12"/>
  <c r="J293" i="12"/>
  <c r="J294" i="12"/>
  <c r="J295" i="12"/>
  <c r="J296" i="12"/>
  <c r="J297" i="12"/>
  <c r="J298" i="12"/>
  <c r="J299" i="12"/>
  <c r="J300" i="12"/>
  <c r="J301" i="12"/>
  <c r="J302" i="12"/>
  <c r="J303" i="12"/>
  <c r="J304" i="12"/>
  <c r="J305" i="12"/>
  <c r="J306" i="12"/>
  <c r="J307" i="12"/>
  <c r="J308" i="12"/>
  <c r="J309" i="12"/>
  <c r="J310" i="12"/>
  <c r="J311" i="12"/>
  <c r="J312" i="12"/>
  <c r="J313" i="12"/>
  <c r="J314" i="12"/>
  <c r="J315" i="12"/>
  <c r="J316" i="12"/>
  <c r="J317" i="12"/>
  <c r="J318" i="12"/>
  <c r="J319" i="12"/>
  <c r="J320" i="12"/>
  <c r="J321" i="12"/>
  <c r="J322" i="12"/>
  <c r="J323" i="12"/>
  <c r="J324" i="12"/>
  <c r="J325" i="12"/>
  <c r="J326" i="12"/>
  <c r="J327" i="12"/>
  <c r="J328" i="12"/>
  <c r="J329" i="12"/>
  <c r="J330" i="12"/>
  <c r="J331" i="12"/>
  <c r="J332" i="12"/>
  <c r="J333" i="12"/>
  <c r="J334" i="12"/>
  <c r="J335" i="12"/>
  <c r="J336" i="12"/>
  <c r="J337" i="12"/>
  <c r="J338" i="12"/>
  <c r="J339" i="12"/>
  <c r="J340" i="12"/>
  <c r="J341" i="12"/>
  <c r="J342" i="12"/>
  <c r="J343" i="12"/>
  <c r="J344" i="12"/>
  <c r="J345" i="12"/>
  <c r="J346" i="12"/>
  <c r="J347" i="12"/>
  <c r="J348" i="12"/>
  <c r="J349" i="12"/>
  <c r="J350" i="12"/>
  <c r="J351" i="12"/>
  <c r="J352" i="12"/>
  <c r="J353" i="12"/>
  <c r="J354" i="12"/>
  <c r="J355" i="12"/>
  <c r="J356" i="12"/>
  <c r="J357" i="12"/>
  <c r="J358" i="12"/>
  <c r="J359" i="12"/>
  <c r="J360" i="12"/>
  <c r="J361" i="12"/>
  <c r="J362" i="12"/>
  <c r="J363" i="12"/>
  <c r="J364" i="12"/>
  <c r="J365" i="12"/>
  <c r="J366" i="12"/>
  <c r="J367" i="12"/>
  <c r="J368" i="12"/>
  <c r="J369" i="12"/>
  <c r="J370" i="12"/>
  <c r="J371" i="12"/>
  <c r="J372" i="12"/>
  <c r="J373" i="12"/>
  <c r="J374" i="12"/>
  <c r="J375" i="12"/>
  <c r="J376" i="12"/>
  <c r="J377" i="12"/>
  <c r="J378" i="12"/>
  <c r="J379" i="12"/>
  <c r="J380" i="12"/>
  <c r="J381" i="12"/>
  <c r="J382" i="12"/>
  <c r="J383" i="12"/>
  <c r="J384" i="12"/>
  <c r="J385" i="12"/>
  <c r="J386" i="12"/>
  <c r="J387" i="12"/>
  <c r="J388" i="12"/>
  <c r="J389" i="12"/>
  <c r="J390" i="12"/>
  <c r="J391" i="12"/>
  <c r="J392" i="12"/>
  <c r="J393" i="12"/>
  <c r="J394" i="12"/>
  <c r="J395" i="12"/>
  <c r="J396" i="12"/>
  <c r="J397" i="12"/>
  <c r="J398" i="12"/>
  <c r="J399" i="12"/>
  <c r="J400" i="12"/>
  <c r="J401" i="12"/>
  <c r="J402" i="12"/>
  <c r="J403" i="12"/>
  <c r="J404" i="12"/>
  <c r="J3" i="12"/>
  <c r="J4" i="12"/>
  <c r="J5" i="12"/>
  <c r="J6" i="12"/>
  <c r="J7" i="12"/>
  <c r="J8" i="12"/>
  <c r="J9" i="12"/>
  <c r="J10" i="12"/>
  <c r="J11" i="12"/>
  <c r="J12" i="12"/>
  <c r="J13" i="12"/>
  <c r="J14" i="12"/>
  <c r="J15" i="12"/>
  <c r="J16" i="12"/>
  <c r="J17" i="12"/>
  <c r="J18" i="12"/>
  <c r="J19" i="12"/>
  <c r="J20" i="12"/>
  <c r="J21" i="12"/>
  <c r="J22" i="12"/>
  <c r="J23" i="12"/>
  <c r="J24" i="12"/>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116" i="12"/>
  <c r="J117" i="12"/>
  <c r="J118" i="12"/>
  <c r="J119" i="12"/>
  <c r="J120" i="12"/>
  <c r="J121" i="12"/>
  <c r="J122" i="12"/>
  <c r="J123" i="12"/>
  <c r="J124" i="12"/>
  <c r="J125" i="12"/>
  <c r="J126" i="12"/>
  <c r="J127" i="12"/>
  <c r="J128" i="12"/>
  <c r="J129" i="12"/>
  <c r="J130" i="12"/>
  <c r="J131" i="12"/>
  <c r="J132" i="12"/>
  <c r="J133" i="12"/>
  <c r="J134" i="12"/>
  <c r="J135" i="12"/>
  <c r="J136" i="12"/>
  <c r="J137" i="12"/>
  <c r="J138" i="12"/>
  <c r="J139" i="12"/>
  <c r="J140" i="12"/>
  <c r="J141" i="12"/>
  <c r="J142" i="12"/>
  <c r="J143" i="12"/>
  <c r="J144" i="12"/>
  <c r="J145" i="12"/>
  <c r="J146" i="12"/>
  <c r="J147" i="12"/>
  <c r="J148" i="12"/>
  <c r="J149" i="12"/>
  <c r="J150" i="12"/>
  <c r="J151" i="12"/>
  <c r="J152" i="12"/>
  <c r="J153" i="12"/>
  <c r="J154" i="12"/>
  <c r="J155" i="12"/>
  <c r="J156" i="12"/>
  <c r="J157" i="12"/>
  <c r="J158" i="12"/>
  <c r="J159" i="12"/>
  <c r="J160" i="12"/>
  <c r="J161" i="12"/>
  <c r="J162" i="12"/>
  <c r="J163" i="12"/>
  <c r="J164" i="12"/>
  <c r="J165" i="12"/>
  <c r="J166" i="12"/>
  <c r="J167" i="12"/>
  <c r="J168" i="12"/>
  <c r="J169" i="12"/>
  <c r="J170" i="12"/>
  <c r="J171" i="12"/>
  <c r="J172" i="12"/>
  <c r="J173" i="12"/>
  <c r="J174" i="12"/>
  <c r="J175" i="12"/>
  <c r="J176" i="12"/>
  <c r="J177" i="12"/>
  <c r="J178" i="12"/>
  <c r="J179" i="12"/>
  <c r="J180" i="12"/>
  <c r="J181" i="12"/>
  <c r="J182" i="12"/>
  <c r="J183" i="12"/>
  <c r="J184" i="12"/>
  <c r="J185" i="12"/>
  <c r="J186" i="12"/>
  <c r="J187" i="12"/>
  <c r="J188" i="12"/>
  <c r="J189" i="12"/>
  <c r="J190" i="12"/>
  <c r="J191" i="12"/>
  <c r="I192" i="12"/>
  <c r="I193" i="12"/>
  <c r="I194" i="12"/>
  <c r="I195" i="12"/>
  <c r="I196" i="12"/>
  <c r="I197" i="12"/>
  <c r="I198" i="12"/>
  <c r="I199" i="12"/>
  <c r="I200" i="12"/>
  <c r="I201" i="12"/>
  <c r="I202" i="12"/>
  <c r="I203" i="12"/>
  <c r="I204" i="12"/>
  <c r="I205" i="12"/>
  <c r="I206" i="12"/>
  <c r="I207" i="12"/>
  <c r="I208" i="12"/>
  <c r="I209" i="12"/>
  <c r="I210" i="12"/>
  <c r="I211" i="12"/>
  <c r="I212" i="12"/>
  <c r="I213" i="12"/>
  <c r="I214" i="12"/>
  <c r="I215" i="12"/>
  <c r="I216" i="12"/>
  <c r="I217" i="12"/>
  <c r="I218" i="12"/>
  <c r="I219" i="12"/>
  <c r="I220" i="12"/>
  <c r="I221" i="12"/>
  <c r="I222" i="12"/>
  <c r="I223" i="12"/>
  <c r="I224" i="12"/>
  <c r="I225" i="12"/>
  <c r="I226" i="12"/>
  <c r="I227" i="12"/>
  <c r="I228" i="12"/>
  <c r="I229" i="12"/>
  <c r="I230" i="12"/>
  <c r="I231" i="12"/>
  <c r="I232" i="12"/>
  <c r="I233" i="12"/>
  <c r="I234" i="12"/>
  <c r="I235" i="12"/>
  <c r="I236" i="12"/>
  <c r="I237" i="12"/>
  <c r="I238" i="12"/>
  <c r="I239" i="12"/>
  <c r="I240" i="12"/>
  <c r="I241" i="12"/>
  <c r="I242" i="12"/>
  <c r="I243" i="12"/>
  <c r="I244" i="12"/>
  <c r="I245" i="12"/>
  <c r="I246" i="12"/>
  <c r="I247" i="12"/>
  <c r="I248" i="12"/>
  <c r="I249" i="12"/>
  <c r="I250" i="12"/>
  <c r="I251" i="12"/>
  <c r="I252" i="12"/>
  <c r="I253" i="12"/>
  <c r="I254" i="12"/>
  <c r="I255" i="12"/>
  <c r="I256" i="12"/>
  <c r="I257" i="12"/>
  <c r="I258" i="12"/>
  <c r="I259" i="12"/>
  <c r="I260" i="12"/>
  <c r="I261" i="12"/>
  <c r="I262" i="12"/>
  <c r="I263" i="12"/>
  <c r="I264" i="12"/>
  <c r="I265" i="12"/>
  <c r="I266" i="12"/>
  <c r="I267" i="12"/>
  <c r="I268" i="12"/>
  <c r="I269" i="12"/>
  <c r="I270" i="12"/>
  <c r="I271" i="12"/>
  <c r="I272" i="12"/>
  <c r="I273" i="12"/>
  <c r="I274" i="12"/>
  <c r="I275" i="12"/>
  <c r="I276" i="12"/>
  <c r="I277" i="12"/>
  <c r="I278" i="12"/>
  <c r="I279" i="12"/>
  <c r="I280" i="12"/>
  <c r="I281" i="12"/>
  <c r="I282" i="12"/>
  <c r="I283" i="12"/>
  <c r="I284" i="12"/>
  <c r="I285" i="12"/>
  <c r="I286" i="12"/>
  <c r="I287" i="12"/>
  <c r="I288" i="12"/>
  <c r="I289" i="12"/>
  <c r="I290" i="12"/>
  <c r="I291" i="12"/>
  <c r="I292" i="12"/>
  <c r="I293" i="12"/>
  <c r="I294" i="12"/>
  <c r="I295" i="12"/>
  <c r="I296" i="12"/>
  <c r="I297" i="12"/>
  <c r="I298" i="12"/>
  <c r="I299" i="12"/>
  <c r="I300" i="12"/>
  <c r="I301" i="12"/>
  <c r="I302" i="12"/>
  <c r="I303" i="12"/>
  <c r="I304" i="12"/>
  <c r="I305" i="12"/>
  <c r="I306" i="12"/>
  <c r="I307" i="12"/>
  <c r="I308" i="12"/>
  <c r="I309" i="12"/>
  <c r="I310" i="12"/>
  <c r="I311" i="12"/>
  <c r="I312" i="12"/>
  <c r="I313" i="12"/>
  <c r="I314" i="12"/>
  <c r="I315" i="12"/>
  <c r="I316" i="12"/>
  <c r="I317" i="12"/>
  <c r="I318" i="12"/>
  <c r="I319" i="12"/>
  <c r="I320" i="12"/>
  <c r="I321" i="12"/>
  <c r="I322" i="12"/>
  <c r="I323" i="12"/>
  <c r="I324" i="12"/>
  <c r="I325" i="12"/>
  <c r="I326" i="12"/>
  <c r="I327" i="12"/>
  <c r="I328" i="12"/>
  <c r="I329" i="12"/>
  <c r="I330" i="12"/>
  <c r="I331" i="12"/>
  <c r="I332" i="12"/>
  <c r="I333" i="12"/>
  <c r="I334" i="12"/>
  <c r="I335" i="12"/>
  <c r="I336" i="12"/>
  <c r="I337" i="12"/>
  <c r="I338" i="12"/>
  <c r="I339" i="12"/>
  <c r="I340" i="12"/>
  <c r="I341" i="12"/>
  <c r="I342" i="12"/>
  <c r="I343" i="12"/>
  <c r="I344" i="12"/>
  <c r="I345" i="12"/>
  <c r="I346" i="12"/>
  <c r="I347" i="12"/>
  <c r="I348" i="12"/>
  <c r="I349" i="12"/>
  <c r="I350" i="12"/>
  <c r="I351" i="12"/>
  <c r="I352" i="12"/>
  <c r="I353" i="12"/>
  <c r="I354" i="12"/>
  <c r="I355" i="12"/>
  <c r="I356" i="12"/>
  <c r="I357" i="12"/>
  <c r="I358" i="12"/>
  <c r="I359" i="12"/>
  <c r="I360" i="12"/>
  <c r="I361" i="12"/>
  <c r="I362" i="12"/>
  <c r="I363" i="12"/>
  <c r="I364" i="12"/>
  <c r="I365" i="12"/>
  <c r="I366" i="12"/>
  <c r="I367" i="12"/>
  <c r="I368" i="12"/>
  <c r="I369" i="12"/>
  <c r="I370" i="12"/>
  <c r="I371" i="12"/>
  <c r="I372" i="12"/>
  <c r="I373" i="12"/>
  <c r="I374" i="12"/>
  <c r="I375" i="12"/>
  <c r="I376" i="12"/>
  <c r="I377" i="12"/>
  <c r="I378" i="12"/>
  <c r="I379" i="12"/>
  <c r="I380" i="12"/>
  <c r="I381" i="12"/>
  <c r="I382" i="12"/>
  <c r="I383" i="12"/>
  <c r="I384" i="12"/>
  <c r="I385" i="12"/>
  <c r="I386" i="12"/>
  <c r="I387" i="12"/>
  <c r="I388" i="12"/>
  <c r="I389" i="12"/>
  <c r="I390" i="12"/>
  <c r="I391" i="12"/>
  <c r="I392" i="12"/>
  <c r="I393" i="12"/>
  <c r="I394" i="12"/>
  <c r="I395" i="12"/>
  <c r="I396" i="12"/>
  <c r="I397" i="12"/>
  <c r="I398" i="12"/>
  <c r="I399" i="12"/>
  <c r="I400" i="12"/>
  <c r="I401" i="12"/>
  <c r="I402" i="12"/>
  <c r="I403" i="12"/>
  <c r="I404" i="12"/>
  <c r="I3" i="12"/>
  <c r="I4" i="12"/>
  <c r="I5" i="12"/>
  <c r="I6" i="12"/>
  <c r="I7" i="12"/>
  <c r="I8" i="12"/>
  <c r="I9" i="12"/>
  <c r="I10" i="12"/>
  <c r="I11" i="12"/>
  <c r="I12" i="12"/>
  <c r="I13" i="12"/>
  <c r="I14" i="12"/>
  <c r="I15" i="12"/>
  <c r="I16" i="12"/>
  <c r="I17" i="12"/>
  <c r="I18" i="12"/>
  <c r="I19" i="12"/>
  <c r="I20" i="12"/>
  <c r="I21" i="12"/>
  <c r="I22" i="12"/>
  <c r="I23" i="12"/>
  <c r="I24" i="12"/>
  <c r="I25" i="12"/>
  <c r="I26" i="12"/>
  <c r="I27" i="12"/>
  <c r="I28" i="12"/>
  <c r="I29" i="12"/>
  <c r="I30" i="12"/>
  <c r="I31" i="12"/>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I129" i="12"/>
  <c r="I130" i="12"/>
  <c r="I131" i="12"/>
  <c r="I132" i="12"/>
  <c r="I133" i="12"/>
  <c r="I134" i="12"/>
  <c r="I135" i="12"/>
  <c r="I136" i="12"/>
  <c r="I137" i="12"/>
  <c r="I138" i="12"/>
  <c r="I139" i="12"/>
  <c r="I140" i="12"/>
  <c r="I141" i="12"/>
  <c r="I142" i="12"/>
  <c r="I143" i="12"/>
  <c r="I144" i="12"/>
  <c r="I145" i="12"/>
  <c r="I146" i="12"/>
  <c r="I147" i="12"/>
  <c r="I148" i="12"/>
  <c r="I149" i="12"/>
  <c r="I150" i="12"/>
  <c r="I151" i="12"/>
  <c r="I152" i="12"/>
  <c r="I153" i="12"/>
  <c r="I154" i="12"/>
  <c r="I155" i="12"/>
  <c r="I156" i="12"/>
  <c r="I157" i="12"/>
  <c r="I158" i="12"/>
  <c r="I159" i="12"/>
  <c r="I160" i="12"/>
  <c r="I161" i="12"/>
  <c r="I162" i="12"/>
  <c r="I163" i="12"/>
  <c r="I164" i="12"/>
  <c r="I165" i="12"/>
  <c r="I166" i="12"/>
  <c r="I167" i="12"/>
  <c r="I168" i="12"/>
  <c r="I169" i="12"/>
  <c r="I170" i="12"/>
  <c r="I171" i="12"/>
  <c r="I172" i="12"/>
  <c r="I173" i="12"/>
  <c r="I174" i="12"/>
  <c r="I175" i="12"/>
  <c r="I176" i="12"/>
  <c r="I177" i="12"/>
  <c r="I178" i="12"/>
  <c r="I179" i="12"/>
  <c r="I180" i="12"/>
  <c r="I181" i="12"/>
  <c r="I182" i="12"/>
  <c r="I183" i="12"/>
  <c r="I184" i="12"/>
  <c r="I185" i="12"/>
  <c r="I186" i="12"/>
  <c r="I187" i="12"/>
  <c r="I188" i="12"/>
  <c r="I189" i="12"/>
  <c r="I190" i="12"/>
  <c r="I191" i="12"/>
  <c r="I2" i="12"/>
  <c r="H192" i="12"/>
  <c r="H193" i="12"/>
  <c r="H194" i="12"/>
  <c r="H195" i="12"/>
  <c r="H196" i="12"/>
  <c r="H197" i="12"/>
  <c r="H198" i="12"/>
  <c r="H199" i="12"/>
  <c r="H200" i="12"/>
  <c r="H201" i="12"/>
  <c r="H202" i="12"/>
  <c r="H203" i="12"/>
  <c r="H204" i="12"/>
  <c r="H205" i="12"/>
  <c r="H206" i="12"/>
  <c r="H207" i="12"/>
  <c r="H208" i="12"/>
  <c r="H209" i="12"/>
  <c r="H210" i="12"/>
  <c r="H211" i="12"/>
  <c r="H212" i="12"/>
  <c r="H213" i="12"/>
  <c r="H214" i="12"/>
  <c r="H215" i="12"/>
  <c r="H216" i="12"/>
  <c r="H217" i="12"/>
  <c r="H218" i="12"/>
  <c r="H219" i="12"/>
  <c r="H220" i="12"/>
  <c r="H221" i="12"/>
  <c r="H222" i="12"/>
  <c r="H223" i="12"/>
  <c r="H224" i="12"/>
  <c r="H225" i="12"/>
  <c r="H226" i="12"/>
  <c r="H227" i="12"/>
  <c r="H228" i="12"/>
  <c r="H229" i="12"/>
  <c r="H230" i="12"/>
  <c r="H231" i="12"/>
  <c r="H232" i="12"/>
  <c r="H233" i="12"/>
  <c r="H234" i="12"/>
  <c r="H235" i="12"/>
  <c r="H236" i="12"/>
  <c r="H237" i="12"/>
  <c r="H238" i="12"/>
  <c r="H239" i="12"/>
  <c r="H240" i="12"/>
  <c r="H241" i="12"/>
  <c r="H242" i="12"/>
  <c r="H243" i="12"/>
  <c r="H244" i="12"/>
  <c r="H245" i="12"/>
  <c r="H246" i="12"/>
  <c r="H247" i="12"/>
  <c r="H248" i="12"/>
  <c r="H249" i="12"/>
  <c r="H250" i="12"/>
  <c r="H251" i="12"/>
  <c r="H252" i="12"/>
  <c r="H253" i="12"/>
  <c r="H254" i="12"/>
  <c r="H255" i="12"/>
  <c r="H256" i="12"/>
  <c r="H257" i="12"/>
  <c r="H258" i="12"/>
  <c r="H259" i="12"/>
  <c r="H260" i="12"/>
  <c r="H261" i="12"/>
  <c r="H262" i="12"/>
  <c r="H263" i="12"/>
  <c r="H264" i="12"/>
  <c r="H265" i="12"/>
  <c r="H266" i="12"/>
  <c r="H267" i="12"/>
  <c r="H268" i="12"/>
  <c r="H269" i="12"/>
  <c r="H270" i="12"/>
  <c r="H271" i="12"/>
  <c r="H272" i="12"/>
  <c r="H273" i="12"/>
  <c r="H274" i="12"/>
  <c r="H275" i="12"/>
  <c r="H276" i="12"/>
  <c r="H277" i="12"/>
  <c r="H278" i="12"/>
  <c r="H279" i="12"/>
  <c r="H280" i="12"/>
  <c r="H281" i="12"/>
  <c r="H282" i="12"/>
  <c r="H283" i="12"/>
  <c r="H284" i="12"/>
  <c r="H285" i="12"/>
  <c r="H286" i="12"/>
  <c r="H287" i="12"/>
  <c r="H288" i="12"/>
  <c r="H289" i="12"/>
  <c r="H290" i="12"/>
  <c r="H291" i="12"/>
  <c r="H292" i="12"/>
  <c r="H293" i="12"/>
  <c r="H294" i="12"/>
  <c r="H295" i="12"/>
  <c r="H296" i="12"/>
  <c r="H297" i="12"/>
  <c r="H298" i="12"/>
  <c r="H299" i="12"/>
  <c r="H300" i="12"/>
  <c r="H301" i="12"/>
  <c r="H302" i="12"/>
  <c r="H303" i="12"/>
  <c r="H304" i="12"/>
  <c r="H305" i="12"/>
  <c r="H306" i="12"/>
  <c r="H307" i="12"/>
  <c r="H308" i="12"/>
  <c r="H309" i="12"/>
  <c r="H310" i="12"/>
  <c r="H311" i="12"/>
  <c r="H312" i="12"/>
  <c r="H313" i="12"/>
  <c r="H314" i="12"/>
  <c r="H315" i="12"/>
  <c r="H316" i="12"/>
  <c r="H317" i="12"/>
  <c r="H318" i="12"/>
  <c r="H319" i="12"/>
  <c r="H320" i="12"/>
  <c r="H321" i="12"/>
  <c r="H322" i="12"/>
  <c r="H323" i="12"/>
  <c r="H324" i="12"/>
  <c r="H325" i="12"/>
  <c r="H326" i="12"/>
  <c r="H327" i="12"/>
  <c r="H328" i="12"/>
  <c r="H329" i="12"/>
  <c r="H330" i="12"/>
  <c r="H331" i="12"/>
  <c r="H332" i="12"/>
  <c r="H333" i="12"/>
  <c r="H334" i="12"/>
  <c r="H335" i="12"/>
  <c r="H336" i="12"/>
  <c r="H337" i="12"/>
  <c r="H338" i="12"/>
  <c r="H339" i="12"/>
  <c r="H340" i="12"/>
  <c r="H341" i="12"/>
  <c r="H342" i="12"/>
  <c r="H343" i="12"/>
  <c r="H344" i="12"/>
  <c r="H345" i="12"/>
  <c r="H346" i="12"/>
  <c r="H347" i="12"/>
  <c r="H348" i="12"/>
  <c r="H349" i="12"/>
  <c r="H350" i="12"/>
  <c r="H351" i="12"/>
  <c r="H352" i="12"/>
  <c r="H353" i="12"/>
  <c r="H354" i="12"/>
  <c r="H355" i="12"/>
  <c r="H356" i="12"/>
  <c r="H357" i="12"/>
  <c r="H358" i="12"/>
  <c r="H359" i="12"/>
  <c r="H360" i="12"/>
  <c r="H361" i="12"/>
  <c r="H362" i="12"/>
  <c r="H363" i="12"/>
  <c r="H364" i="12"/>
  <c r="H365" i="12"/>
  <c r="H366" i="12"/>
  <c r="H367" i="12"/>
  <c r="H368" i="12"/>
  <c r="H369" i="12"/>
  <c r="H370" i="12"/>
  <c r="H371" i="12"/>
  <c r="H372" i="12"/>
  <c r="H373" i="12"/>
  <c r="H374" i="12"/>
  <c r="H375" i="12"/>
  <c r="H376" i="12"/>
  <c r="H377" i="12"/>
  <c r="H378" i="12"/>
  <c r="H379" i="12"/>
  <c r="H380" i="12"/>
  <c r="H381" i="12"/>
  <c r="H382" i="12"/>
  <c r="H383" i="12"/>
  <c r="H384" i="12"/>
  <c r="H385" i="12"/>
  <c r="H386" i="12"/>
  <c r="H387" i="12"/>
  <c r="H388" i="12"/>
  <c r="H389" i="12"/>
  <c r="H390" i="12"/>
  <c r="H391" i="12"/>
  <c r="H392" i="12"/>
  <c r="H393" i="12"/>
  <c r="H394" i="12"/>
  <c r="H395" i="12"/>
  <c r="H396" i="12"/>
  <c r="H397" i="12"/>
  <c r="H398" i="12"/>
  <c r="H399" i="12"/>
  <c r="H400" i="12"/>
  <c r="H401" i="12"/>
  <c r="H402" i="12"/>
  <c r="H403" i="12"/>
  <c r="H404" i="12"/>
  <c r="H3" i="12"/>
  <c r="H4" i="12"/>
  <c r="H5" i="12"/>
  <c r="H6" i="12"/>
  <c r="H7" i="12"/>
  <c r="H8" i="12"/>
  <c r="H9" i="12"/>
  <c r="H10" i="12"/>
  <c r="H11"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128" i="12"/>
  <c r="H129" i="12"/>
  <c r="H130" i="12"/>
  <c r="H131" i="12"/>
  <c r="H132" i="12"/>
  <c r="H133" i="12"/>
  <c r="H134" i="12"/>
  <c r="H135" i="12"/>
  <c r="H136" i="12"/>
  <c r="H137" i="12"/>
  <c r="H138" i="12"/>
  <c r="H139" i="12"/>
  <c r="H140" i="12"/>
  <c r="H141" i="12"/>
  <c r="H142" i="12"/>
  <c r="H143" i="12"/>
  <c r="H144" i="12"/>
  <c r="H145" i="12"/>
  <c r="H146" i="12"/>
  <c r="H147" i="12"/>
  <c r="H148" i="12"/>
  <c r="H149" i="12"/>
  <c r="H150" i="12"/>
  <c r="H151" i="12"/>
  <c r="H152" i="12"/>
  <c r="H153" i="12"/>
  <c r="H154" i="12"/>
  <c r="H155" i="12"/>
  <c r="H156" i="12"/>
  <c r="H157" i="12"/>
  <c r="H158" i="12"/>
  <c r="H159" i="12"/>
  <c r="H160" i="12"/>
  <c r="H161" i="12"/>
  <c r="H162" i="12"/>
  <c r="H163" i="12"/>
  <c r="H164" i="12"/>
  <c r="H165" i="12"/>
  <c r="H166" i="12"/>
  <c r="H167" i="12"/>
  <c r="H168" i="12"/>
  <c r="H169" i="12"/>
  <c r="H170" i="12"/>
  <c r="H171" i="12"/>
  <c r="H172" i="12"/>
  <c r="H173" i="12"/>
  <c r="H174" i="12"/>
  <c r="H175" i="12"/>
  <c r="H176" i="12"/>
  <c r="H177" i="12"/>
  <c r="H178" i="12"/>
  <c r="H179" i="12"/>
  <c r="H180" i="12"/>
  <c r="H181" i="12"/>
  <c r="H182" i="12"/>
  <c r="H183" i="12"/>
  <c r="H184" i="12"/>
  <c r="H185" i="12"/>
  <c r="H186" i="12"/>
  <c r="H187" i="12"/>
  <c r="H188" i="12"/>
  <c r="H189" i="12"/>
  <c r="H190" i="12"/>
  <c r="H191" i="12"/>
  <c r="G192" i="12"/>
  <c r="G193" i="12"/>
  <c r="G194" i="12"/>
  <c r="G195" i="12"/>
  <c r="G196" i="12"/>
  <c r="G197" i="12"/>
  <c r="G198" i="12"/>
  <c r="G199" i="12"/>
  <c r="G200" i="12"/>
  <c r="G201" i="12"/>
  <c r="G202" i="12"/>
  <c r="G203" i="12"/>
  <c r="G204" i="12"/>
  <c r="G205" i="12"/>
  <c r="G206" i="12"/>
  <c r="G207" i="12"/>
  <c r="G208" i="12"/>
  <c r="G209" i="12"/>
  <c r="G210" i="12"/>
  <c r="G211" i="12"/>
  <c r="G212" i="12"/>
  <c r="G213" i="12"/>
  <c r="G214" i="12"/>
  <c r="G215" i="12"/>
  <c r="G216" i="12"/>
  <c r="G217" i="12"/>
  <c r="G218" i="12"/>
  <c r="G219" i="12"/>
  <c r="G220" i="12"/>
  <c r="G221" i="12"/>
  <c r="G222" i="12"/>
  <c r="G223" i="12"/>
  <c r="G224" i="12"/>
  <c r="G225" i="12"/>
  <c r="G226" i="12"/>
  <c r="G227" i="12"/>
  <c r="G228" i="12"/>
  <c r="G229" i="12"/>
  <c r="G230" i="12"/>
  <c r="G231" i="12"/>
  <c r="G232" i="12"/>
  <c r="G233" i="12"/>
  <c r="G234" i="12"/>
  <c r="G235" i="12"/>
  <c r="G236" i="12"/>
  <c r="G237" i="12"/>
  <c r="G238" i="12"/>
  <c r="G239" i="12"/>
  <c r="G240" i="12"/>
  <c r="G241" i="12"/>
  <c r="G242" i="12"/>
  <c r="G243" i="12"/>
  <c r="G244" i="12"/>
  <c r="G245" i="12"/>
  <c r="G246" i="12"/>
  <c r="G247" i="12"/>
  <c r="G248" i="12"/>
  <c r="G249" i="12"/>
  <c r="G250" i="12"/>
  <c r="G251" i="12"/>
  <c r="G252" i="12"/>
  <c r="G253" i="12"/>
  <c r="G254" i="12"/>
  <c r="G255" i="12"/>
  <c r="G256" i="12"/>
  <c r="G257" i="12"/>
  <c r="G258" i="12"/>
  <c r="G259" i="12"/>
  <c r="G260" i="12"/>
  <c r="G261" i="12"/>
  <c r="G262" i="12"/>
  <c r="G263" i="12"/>
  <c r="G264" i="12"/>
  <c r="G265" i="12"/>
  <c r="G266" i="12"/>
  <c r="G267" i="12"/>
  <c r="G268" i="12"/>
  <c r="G269" i="12"/>
  <c r="G270" i="12"/>
  <c r="G271" i="12"/>
  <c r="G272" i="12"/>
  <c r="G273" i="12"/>
  <c r="G274" i="12"/>
  <c r="G275" i="12"/>
  <c r="G276" i="12"/>
  <c r="G277" i="12"/>
  <c r="G278" i="12"/>
  <c r="G279" i="12"/>
  <c r="G280" i="12"/>
  <c r="G281" i="12"/>
  <c r="G282" i="12"/>
  <c r="G283" i="12"/>
  <c r="G284" i="12"/>
  <c r="G285" i="12"/>
  <c r="G286" i="12"/>
  <c r="G287" i="12"/>
  <c r="G288" i="12"/>
  <c r="G289" i="12"/>
  <c r="G290" i="12"/>
  <c r="G291" i="12"/>
  <c r="G292" i="12"/>
  <c r="G293" i="12"/>
  <c r="G294" i="12"/>
  <c r="G295" i="12"/>
  <c r="G296" i="12"/>
  <c r="G297" i="12"/>
  <c r="G298" i="12"/>
  <c r="G299" i="12"/>
  <c r="G300" i="12"/>
  <c r="G301" i="12"/>
  <c r="G302" i="12"/>
  <c r="G303" i="12"/>
  <c r="G304" i="12"/>
  <c r="G305" i="12"/>
  <c r="G306" i="12"/>
  <c r="G307" i="12"/>
  <c r="G308" i="12"/>
  <c r="G309" i="12"/>
  <c r="G310" i="12"/>
  <c r="G311" i="12"/>
  <c r="G312" i="12"/>
  <c r="G313" i="12"/>
  <c r="G314" i="12"/>
  <c r="G315" i="12"/>
  <c r="G316" i="12"/>
  <c r="G317" i="12"/>
  <c r="G318" i="12"/>
  <c r="G319" i="12"/>
  <c r="G320" i="12"/>
  <c r="G321" i="12"/>
  <c r="G322" i="12"/>
  <c r="G323" i="12"/>
  <c r="G324" i="12"/>
  <c r="G325" i="12"/>
  <c r="G326" i="12"/>
  <c r="G327" i="12"/>
  <c r="G328" i="12"/>
  <c r="G329" i="12"/>
  <c r="G330" i="12"/>
  <c r="G331" i="12"/>
  <c r="G332" i="12"/>
  <c r="G333" i="12"/>
  <c r="G334" i="12"/>
  <c r="G335" i="12"/>
  <c r="G336" i="12"/>
  <c r="G337" i="12"/>
  <c r="G338" i="12"/>
  <c r="G339" i="12"/>
  <c r="G340" i="12"/>
  <c r="G341" i="12"/>
  <c r="G342" i="12"/>
  <c r="G343" i="12"/>
  <c r="G344" i="12"/>
  <c r="G345" i="12"/>
  <c r="G346" i="12"/>
  <c r="G347" i="12"/>
  <c r="G348" i="12"/>
  <c r="G349" i="12"/>
  <c r="G350" i="12"/>
  <c r="G351" i="12"/>
  <c r="G352" i="12"/>
  <c r="G353" i="12"/>
  <c r="G354" i="12"/>
  <c r="G355" i="12"/>
  <c r="G356" i="12"/>
  <c r="G357" i="12"/>
  <c r="G358" i="12"/>
  <c r="G359" i="12"/>
  <c r="G360" i="12"/>
  <c r="G361" i="12"/>
  <c r="G362" i="12"/>
  <c r="G363" i="12"/>
  <c r="G364" i="12"/>
  <c r="G365" i="12"/>
  <c r="G366" i="12"/>
  <c r="G367" i="12"/>
  <c r="G368" i="12"/>
  <c r="G369" i="12"/>
  <c r="G370" i="12"/>
  <c r="G371" i="12"/>
  <c r="G372" i="12"/>
  <c r="G373" i="12"/>
  <c r="G374" i="12"/>
  <c r="G375" i="12"/>
  <c r="G376" i="12"/>
  <c r="G377" i="12"/>
  <c r="G378" i="12"/>
  <c r="G379" i="12"/>
  <c r="G380" i="12"/>
  <c r="G381" i="12"/>
  <c r="G382" i="12"/>
  <c r="G383" i="12"/>
  <c r="G384" i="12"/>
  <c r="G385" i="12"/>
  <c r="G386" i="12"/>
  <c r="G387" i="12"/>
  <c r="G388" i="12"/>
  <c r="G389" i="12"/>
  <c r="G390" i="12"/>
  <c r="G391" i="12"/>
  <c r="G392" i="12"/>
  <c r="G393" i="12"/>
  <c r="G394" i="12"/>
  <c r="G395" i="12"/>
  <c r="G396" i="12"/>
  <c r="G397" i="12"/>
  <c r="G398" i="12"/>
  <c r="G399" i="12"/>
  <c r="G400" i="12"/>
  <c r="G401" i="12"/>
  <c r="G402" i="12"/>
  <c r="G403" i="12"/>
  <c r="G404" i="12"/>
  <c r="G3" i="12"/>
  <c r="G4" i="12"/>
  <c r="G5" i="12"/>
  <c r="G6" i="12"/>
  <c r="G7" i="12"/>
  <c r="G8" i="12"/>
  <c r="G9" i="12"/>
  <c r="G10" i="12"/>
  <c r="G11" i="12"/>
  <c r="G12" i="12"/>
  <c r="G13" i="12"/>
  <c r="G14" i="12"/>
  <c r="G15" i="12"/>
  <c r="G16" i="12"/>
  <c r="G17" i="12"/>
  <c r="G18" i="12"/>
  <c r="G19" i="12"/>
  <c r="G20" i="12"/>
  <c r="G21" i="12"/>
  <c r="G22" i="12"/>
  <c r="G23" i="12"/>
  <c r="G24" i="12"/>
  <c r="G25" i="12"/>
  <c r="G26"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G59" i="12"/>
  <c r="G60" i="12"/>
  <c r="G61" i="12"/>
  <c r="G62" i="12"/>
  <c r="G63" i="12"/>
  <c r="G64" i="12"/>
  <c r="G65" i="12"/>
  <c r="G66" i="12"/>
  <c r="G67" i="12"/>
  <c r="G68" i="12"/>
  <c r="G69" i="12"/>
  <c r="G70" i="12"/>
  <c r="G71" i="12"/>
  <c r="G72" i="12"/>
  <c r="G73" i="12"/>
  <c r="G74" i="12"/>
  <c r="G75" i="12"/>
  <c r="G76" i="12"/>
  <c r="G77" i="12"/>
  <c r="G78" i="12"/>
  <c r="G79" i="12"/>
  <c r="G80" i="12"/>
  <c r="G81" i="12"/>
  <c r="G82" i="12"/>
  <c r="G83" i="12"/>
  <c r="G84" i="12"/>
  <c r="G85" i="12"/>
  <c r="G86" i="12"/>
  <c r="G87" i="12"/>
  <c r="G88" i="12"/>
  <c r="G89" i="12"/>
  <c r="G90" i="12"/>
  <c r="G91" i="12"/>
  <c r="G92" i="12"/>
  <c r="G93" i="12"/>
  <c r="G94" i="12"/>
  <c r="G95" i="12"/>
  <c r="G96" i="12"/>
  <c r="G97" i="12"/>
  <c r="G98" i="12"/>
  <c r="G99" i="12"/>
  <c r="G100" i="12"/>
  <c r="G101" i="12"/>
  <c r="G102" i="12"/>
  <c r="G103" i="12"/>
  <c r="G104" i="12"/>
  <c r="G105" i="12"/>
  <c r="G106" i="12"/>
  <c r="G107" i="12"/>
  <c r="G108" i="12"/>
  <c r="G109" i="12"/>
  <c r="G110" i="12"/>
  <c r="G111" i="12"/>
  <c r="G112" i="12"/>
  <c r="G113" i="12"/>
  <c r="G114" i="12"/>
  <c r="G115" i="12"/>
  <c r="G116" i="12"/>
  <c r="G117" i="12"/>
  <c r="G118" i="12"/>
  <c r="G119" i="12"/>
  <c r="G120" i="12"/>
  <c r="G121" i="12"/>
  <c r="G122" i="12"/>
  <c r="G123" i="12"/>
  <c r="G124" i="12"/>
  <c r="G125" i="12"/>
  <c r="G126" i="12"/>
  <c r="G127" i="12"/>
  <c r="G128" i="12"/>
  <c r="G129" i="12"/>
  <c r="G130" i="12"/>
  <c r="G131" i="12"/>
  <c r="G132" i="12"/>
  <c r="G133" i="12"/>
  <c r="G134" i="12"/>
  <c r="G135" i="12"/>
  <c r="G136" i="12"/>
  <c r="G137" i="12"/>
  <c r="G138" i="12"/>
  <c r="G139" i="12"/>
  <c r="G140" i="12"/>
  <c r="G141" i="12"/>
  <c r="G142" i="12"/>
  <c r="G143" i="12"/>
  <c r="G144" i="12"/>
  <c r="G145" i="12"/>
  <c r="G146" i="12"/>
  <c r="G147" i="12"/>
  <c r="G148" i="12"/>
  <c r="G149" i="12"/>
  <c r="G150" i="12"/>
  <c r="G151" i="12"/>
  <c r="G152" i="12"/>
  <c r="G153" i="12"/>
  <c r="G154" i="12"/>
  <c r="G155" i="12"/>
  <c r="G156" i="12"/>
  <c r="G157" i="12"/>
  <c r="G158" i="12"/>
  <c r="G159" i="12"/>
  <c r="G160" i="12"/>
  <c r="G161" i="12"/>
  <c r="G162" i="12"/>
  <c r="G163" i="12"/>
  <c r="G164" i="12"/>
  <c r="G165" i="12"/>
  <c r="G166" i="12"/>
  <c r="G167" i="12"/>
  <c r="G168" i="12"/>
  <c r="G169" i="12"/>
  <c r="G170" i="12"/>
  <c r="G171" i="12"/>
  <c r="G172" i="12"/>
  <c r="G173" i="12"/>
  <c r="G174" i="12"/>
  <c r="G175" i="12"/>
  <c r="G176" i="12"/>
  <c r="G177" i="12"/>
  <c r="G178" i="12"/>
  <c r="G179" i="12"/>
  <c r="G180" i="12"/>
  <c r="G181" i="12"/>
  <c r="G182" i="12"/>
  <c r="G183" i="12"/>
  <c r="G184" i="12"/>
  <c r="G185" i="12"/>
  <c r="G186" i="12"/>
  <c r="G187" i="12"/>
  <c r="G188" i="12"/>
  <c r="G189" i="12"/>
  <c r="G190" i="12"/>
  <c r="G191" i="12"/>
  <c r="G2" i="12"/>
  <c r="F192" i="12"/>
  <c r="F193" i="12"/>
  <c r="F194" i="12"/>
  <c r="F195" i="12"/>
  <c r="F196" i="12"/>
  <c r="F197" i="12"/>
  <c r="F198" i="12"/>
  <c r="F199" i="12"/>
  <c r="F200" i="12"/>
  <c r="F201" i="12"/>
  <c r="F202" i="12"/>
  <c r="F203" i="12"/>
  <c r="F204" i="12"/>
  <c r="F205" i="12"/>
  <c r="F206" i="12"/>
  <c r="F207" i="12"/>
  <c r="F208" i="12"/>
  <c r="F209" i="12"/>
  <c r="F210" i="12"/>
  <c r="F211" i="12"/>
  <c r="F212" i="12"/>
  <c r="F213" i="12"/>
  <c r="F214" i="12"/>
  <c r="F215" i="12"/>
  <c r="F216" i="12"/>
  <c r="F217" i="12"/>
  <c r="F218" i="12"/>
  <c r="F219" i="12"/>
  <c r="F220" i="12"/>
  <c r="F221" i="12"/>
  <c r="F222" i="12"/>
  <c r="F223" i="12"/>
  <c r="F224" i="12"/>
  <c r="F225" i="12"/>
  <c r="F226" i="12"/>
  <c r="F227" i="12"/>
  <c r="F228" i="12"/>
  <c r="F229" i="12"/>
  <c r="F230" i="12"/>
  <c r="F231" i="12"/>
  <c r="F232" i="12"/>
  <c r="F233" i="12"/>
  <c r="F234" i="12"/>
  <c r="F235" i="12"/>
  <c r="F236" i="12"/>
  <c r="F237" i="12"/>
  <c r="F238" i="12"/>
  <c r="F239" i="12"/>
  <c r="F240" i="12"/>
  <c r="F241" i="12"/>
  <c r="F242" i="12"/>
  <c r="F243" i="12"/>
  <c r="F244" i="12"/>
  <c r="F245" i="12"/>
  <c r="F246" i="12"/>
  <c r="F247" i="12"/>
  <c r="F248" i="12"/>
  <c r="F249" i="12"/>
  <c r="F250" i="12"/>
  <c r="F251" i="12"/>
  <c r="F252" i="12"/>
  <c r="F253" i="12"/>
  <c r="F254" i="12"/>
  <c r="F255" i="12"/>
  <c r="F256" i="12"/>
  <c r="F257" i="12"/>
  <c r="F258" i="12"/>
  <c r="F259" i="12"/>
  <c r="F260" i="12"/>
  <c r="F261" i="12"/>
  <c r="F262" i="12"/>
  <c r="F263" i="12"/>
  <c r="F264" i="12"/>
  <c r="F265" i="12"/>
  <c r="F266" i="12"/>
  <c r="F267" i="12"/>
  <c r="F268" i="12"/>
  <c r="F269" i="12"/>
  <c r="F270" i="12"/>
  <c r="F271" i="12"/>
  <c r="F272" i="12"/>
  <c r="F273" i="12"/>
  <c r="F274" i="12"/>
  <c r="F275" i="12"/>
  <c r="F276" i="12"/>
  <c r="F277" i="12"/>
  <c r="F278" i="12"/>
  <c r="F279" i="12"/>
  <c r="F280" i="12"/>
  <c r="F281" i="12"/>
  <c r="F282" i="12"/>
  <c r="F283" i="12"/>
  <c r="F284" i="12"/>
  <c r="F285" i="12"/>
  <c r="F286" i="12"/>
  <c r="F287" i="12"/>
  <c r="F288" i="12"/>
  <c r="F289" i="12"/>
  <c r="F290" i="12"/>
  <c r="F291" i="12"/>
  <c r="F292" i="12"/>
  <c r="F293" i="12"/>
  <c r="F294" i="12"/>
  <c r="F295" i="12"/>
  <c r="F296" i="12"/>
  <c r="F297" i="12"/>
  <c r="F298" i="12"/>
  <c r="F299" i="12"/>
  <c r="F300" i="12"/>
  <c r="F301" i="12"/>
  <c r="F302" i="12"/>
  <c r="F303" i="12"/>
  <c r="F304" i="12"/>
  <c r="F305" i="12"/>
  <c r="F306" i="12"/>
  <c r="F307" i="12"/>
  <c r="F308" i="12"/>
  <c r="F309" i="12"/>
  <c r="F310" i="12"/>
  <c r="F311" i="12"/>
  <c r="F312" i="12"/>
  <c r="F313" i="12"/>
  <c r="F314" i="12"/>
  <c r="F315" i="12"/>
  <c r="F316" i="12"/>
  <c r="F317" i="12"/>
  <c r="F318" i="12"/>
  <c r="F319" i="12"/>
  <c r="F320" i="12"/>
  <c r="F321" i="12"/>
  <c r="F322" i="12"/>
  <c r="F323" i="12"/>
  <c r="F324" i="12"/>
  <c r="F325" i="12"/>
  <c r="F326" i="12"/>
  <c r="F327" i="12"/>
  <c r="F328" i="12"/>
  <c r="F329" i="12"/>
  <c r="F330" i="12"/>
  <c r="F331" i="12"/>
  <c r="F332" i="12"/>
  <c r="F333" i="12"/>
  <c r="F334" i="12"/>
  <c r="F335" i="12"/>
  <c r="F336" i="12"/>
  <c r="F337" i="12"/>
  <c r="F338" i="12"/>
  <c r="F339" i="12"/>
  <c r="F340" i="12"/>
  <c r="F341" i="12"/>
  <c r="F342" i="12"/>
  <c r="F343" i="12"/>
  <c r="F344" i="12"/>
  <c r="F345" i="12"/>
  <c r="F346" i="12"/>
  <c r="F347" i="12"/>
  <c r="F348" i="12"/>
  <c r="F349" i="12"/>
  <c r="F350" i="12"/>
  <c r="F351" i="12"/>
  <c r="F352" i="12"/>
  <c r="F353" i="12"/>
  <c r="F354" i="12"/>
  <c r="F355" i="12"/>
  <c r="F356" i="12"/>
  <c r="F357" i="12"/>
  <c r="F358" i="12"/>
  <c r="F359" i="12"/>
  <c r="F360" i="12"/>
  <c r="F361" i="12"/>
  <c r="F362" i="12"/>
  <c r="F363" i="12"/>
  <c r="F364" i="12"/>
  <c r="F365" i="12"/>
  <c r="F366" i="12"/>
  <c r="F367" i="12"/>
  <c r="F368" i="12"/>
  <c r="F369" i="12"/>
  <c r="F370" i="12"/>
  <c r="F371" i="12"/>
  <c r="F372" i="12"/>
  <c r="F373" i="12"/>
  <c r="F374" i="12"/>
  <c r="F375" i="12"/>
  <c r="F376" i="12"/>
  <c r="F377" i="12"/>
  <c r="F378" i="12"/>
  <c r="F379" i="12"/>
  <c r="F380" i="12"/>
  <c r="F381" i="12"/>
  <c r="F382" i="12"/>
  <c r="F383" i="12"/>
  <c r="F384" i="12"/>
  <c r="F385" i="12"/>
  <c r="F386" i="12"/>
  <c r="F387" i="12"/>
  <c r="F388" i="12"/>
  <c r="F389" i="12"/>
  <c r="F390" i="12"/>
  <c r="F391" i="12"/>
  <c r="F392" i="12"/>
  <c r="F393" i="12"/>
  <c r="F394" i="12"/>
  <c r="F395" i="12"/>
  <c r="F396" i="12"/>
  <c r="F397" i="12"/>
  <c r="F398" i="12"/>
  <c r="F399" i="12"/>
  <c r="F400" i="12"/>
  <c r="F401" i="12"/>
  <c r="F402" i="12"/>
  <c r="F403" i="12"/>
  <c r="F404" i="12"/>
  <c r="F3" i="12"/>
  <c r="F4" i="12"/>
  <c r="F5" i="12"/>
  <c r="F6" i="12"/>
  <c r="F7" i="12"/>
  <c r="F8" i="12"/>
  <c r="F9" i="12"/>
  <c r="F10" i="12"/>
  <c r="F11" i="12"/>
  <c r="F12" i="12"/>
  <c r="F13" i="12"/>
  <c r="F14" i="12"/>
  <c r="F15" i="12"/>
  <c r="F16" i="12"/>
  <c r="F17" i="12"/>
  <c r="F18" i="12"/>
  <c r="F19" i="12"/>
  <c r="F20" i="12"/>
  <c r="F21" i="12"/>
  <c r="F22" i="12"/>
  <c r="F23" i="12"/>
  <c r="F24" i="12"/>
  <c r="F25" i="12"/>
  <c r="F26" i="12"/>
  <c r="F27" i="12"/>
  <c r="F28" i="12"/>
  <c r="F29" i="12"/>
  <c r="F30" i="12"/>
  <c r="F31" i="12"/>
  <c r="F32" i="12"/>
  <c r="F33" i="12"/>
  <c r="F34" i="12"/>
  <c r="F35" i="12"/>
  <c r="F36" i="12"/>
  <c r="F37" i="12"/>
  <c r="F38" i="12"/>
  <c r="F39" i="12"/>
  <c r="F40" i="12"/>
  <c r="F41" i="12"/>
  <c r="F42" i="12"/>
  <c r="F43" i="12"/>
  <c r="F44" i="12"/>
  <c r="F45" i="12"/>
  <c r="F46" i="12"/>
  <c r="F47" i="12"/>
  <c r="F48" i="12"/>
  <c r="F49" i="12"/>
  <c r="F50" i="12"/>
  <c r="F51" i="12"/>
  <c r="F52" i="12"/>
  <c r="F53" i="12"/>
  <c r="F54" i="12"/>
  <c r="F55" i="12"/>
  <c r="F56" i="12"/>
  <c r="F57" i="12"/>
  <c r="F58" i="12"/>
  <c r="F59" i="12"/>
  <c r="F60" i="12"/>
  <c r="F61" i="12"/>
  <c r="F62" i="12"/>
  <c r="F63" i="12"/>
  <c r="F64" i="12"/>
  <c r="F65" i="12"/>
  <c r="F66" i="12"/>
  <c r="F67" i="12"/>
  <c r="F68" i="12"/>
  <c r="F69" i="12"/>
  <c r="F70" i="12"/>
  <c r="F71" i="12"/>
  <c r="F72" i="12"/>
  <c r="F73" i="12"/>
  <c r="F74" i="12"/>
  <c r="F75" i="12"/>
  <c r="F76" i="12"/>
  <c r="F77" i="12"/>
  <c r="F78" i="12"/>
  <c r="F79" i="12"/>
  <c r="F80" i="12"/>
  <c r="F81" i="12"/>
  <c r="F82" i="12"/>
  <c r="F83" i="12"/>
  <c r="F84" i="12"/>
  <c r="F85" i="12"/>
  <c r="F86" i="12"/>
  <c r="F87" i="12"/>
  <c r="F88" i="12"/>
  <c r="F89" i="12"/>
  <c r="F90" i="12"/>
  <c r="F91" i="12"/>
  <c r="F92" i="12"/>
  <c r="F93" i="12"/>
  <c r="F94" i="12"/>
  <c r="F95" i="12"/>
  <c r="F96" i="12"/>
  <c r="F97" i="12"/>
  <c r="F98" i="12"/>
  <c r="F99" i="12"/>
  <c r="F100" i="12"/>
  <c r="F101" i="12"/>
  <c r="F102" i="12"/>
  <c r="F103" i="12"/>
  <c r="F104" i="12"/>
  <c r="F105" i="12"/>
  <c r="F106" i="12"/>
  <c r="F107" i="12"/>
  <c r="F108" i="12"/>
  <c r="F109" i="12"/>
  <c r="F110" i="12"/>
  <c r="F111" i="12"/>
  <c r="F112" i="12"/>
  <c r="F113" i="12"/>
  <c r="F114" i="12"/>
  <c r="F115" i="12"/>
  <c r="F116" i="12"/>
  <c r="F117" i="12"/>
  <c r="F118" i="12"/>
  <c r="F119" i="12"/>
  <c r="F120" i="12"/>
  <c r="F121" i="12"/>
  <c r="F122" i="12"/>
  <c r="F123" i="12"/>
  <c r="F124" i="12"/>
  <c r="F125" i="12"/>
  <c r="F126" i="12"/>
  <c r="F127" i="12"/>
  <c r="F128" i="12"/>
  <c r="F129" i="12"/>
  <c r="F130" i="12"/>
  <c r="F131" i="12"/>
  <c r="F132" i="12"/>
  <c r="F133" i="12"/>
  <c r="F134" i="12"/>
  <c r="F135" i="12"/>
  <c r="F136" i="12"/>
  <c r="F137" i="12"/>
  <c r="F138" i="12"/>
  <c r="F139" i="12"/>
  <c r="F140" i="12"/>
  <c r="F141" i="12"/>
  <c r="F142" i="12"/>
  <c r="F143" i="12"/>
  <c r="F144" i="12"/>
  <c r="F145" i="12"/>
  <c r="F146" i="12"/>
  <c r="F147" i="12"/>
  <c r="F148" i="12"/>
  <c r="F149" i="12"/>
  <c r="F150" i="12"/>
  <c r="F151" i="12"/>
  <c r="F152" i="12"/>
  <c r="F153" i="12"/>
  <c r="F154" i="12"/>
  <c r="F155" i="12"/>
  <c r="F156" i="12"/>
  <c r="F157" i="12"/>
  <c r="F158" i="12"/>
  <c r="F159" i="12"/>
  <c r="F160" i="12"/>
  <c r="F161" i="12"/>
  <c r="F162" i="12"/>
  <c r="F163" i="12"/>
  <c r="F164" i="12"/>
  <c r="F165" i="12"/>
  <c r="F166" i="12"/>
  <c r="F167" i="12"/>
  <c r="F168" i="12"/>
  <c r="F169" i="12"/>
  <c r="F170" i="12"/>
  <c r="F171" i="12"/>
  <c r="F172" i="12"/>
  <c r="F173" i="12"/>
  <c r="F174" i="12"/>
  <c r="F175" i="12"/>
  <c r="F176" i="12"/>
  <c r="F177" i="12"/>
  <c r="F178" i="12"/>
  <c r="F179" i="12"/>
  <c r="F180" i="12"/>
  <c r="F181" i="12"/>
  <c r="F182" i="12"/>
  <c r="F183" i="12"/>
  <c r="F184" i="12"/>
  <c r="F185" i="12"/>
  <c r="F186" i="12"/>
  <c r="F187" i="12"/>
  <c r="F188" i="12"/>
  <c r="F189" i="12"/>
  <c r="F190" i="12"/>
  <c r="F191" i="12"/>
  <c r="E192" i="12"/>
  <c r="E193" i="12"/>
  <c r="E194" i="12"/>
  <c r="E195" i="12"/>
  <c r="E196" i="12"/>
  <c r="E197" i="12"/>
  <c r="E198" i="12"/>
  <c r="E199" i="12"/>
  <c r="E200" i="12"/>
  <c r="E201" i="12"/>
  <c r="E202" i="12"/>
  <c r="E203" i="12"/>
  <c r="E204" i="12"/>
  <c r="E205" i="12"/>
  <c r="E206" i="12"/>
  <c r="E207" i="12"/>
  <c r="E208" i="12"/>
  <c r="E209" i="12"/>
  <c r="E210" i="12"/>
  <c r="E211" i="12"/>
  <c r="E212" i="12"/>
  <c r="E213" i="12"/>
  <c r="E214" i="12"/>
  <c r="E215" i="12"/>
  <c r="E216" i="12"/>
  <c r="E217" i="12"/>
  <c r="E218" i="12"/>
  <c r="E219" i="12"/>
  <c r="E220" i="12"/>
  <c r="E221" i="12"/>
  <c r="E222" i="12"/>
  <c r="E223" i="12"/>
  <c r="E224" i="12"/>
  <c r="E225" i="12"/>
  <c r="E226" i="12"/>
  <c r="E227" i="12"/>
  <c r="E228" i="12"/>
  <c r="E229" i="12"/>
  <c r="E230" i="12"/>
  <c r="E231" i="12"/>
  <c r="E232" i="12"/>
  <c r="E233" i="12"/>
  <c r="E234" i="12"/>
  <c r="E235" i="12"/>
  <c r="E236" i="12"/>
  <c r="E237" i="12"/>
  <c r="E238" i="12"/>
  <c r="E239" i="12"/>
  <c r="E240" i="12"/>
  <c r="E241" i="12"/>
  <c r="E242" i="12"/>
  <c r="E243" i="12"/>
  <c r="E244" i="12"/>
  <c r="E245" i="12"/>
  <c r="E246" i="12"/>
  <c r="E247" i="12"/>
  <c r="E248" i="12"/>
  <c r="E249" i="12"/>
  <c r="E250" i="12"/>
  <c r="E251" i="12"/>
  <c r="E252" i="12"/>
  <c r="E253" i="12"/>
  <c r="E254" i="12"/>
  <c r="E255" i="12"/>
  <c r="E256" i="12"/>
  <c r="E257" i="12"/>
  <c r="E258" i="12"/>
  <c r="E259" i="12"/>
  <c r="E260" i="12"/>
  <c r="E261" i="12"/>
  <c r="E262" i="12"/>
  <c r="E263" i="12"/>
  <c r="E264" i="12"/>
  <c r="E265" i="12"/>
  <c r="E266" i="12"/>
  <c r="E267" i="12"/>
  <c r="E268" i="12"/>
  <c r="E269" i="12"/>
  <c r="E270" i="12"/>
  <c r="E271" i="12"/>
  <c r="E272" i="12"/>
  <c r="E273" i="12"/>
  <c r="E274" i="12"/>
  <c r="E275" i="12"/>
  <c r="E276" i="12"/>
  <c r="E277" i="12"/>
  <c r="E278" i="12"/>
  <c r="E279" i="12"/>
  <c r="E280" i="12"/>
  <c r="E281" i="12"/>
  <c r="E282" i="12"/>
  <c r="E283" i="12"/>
  <c r="E284" i="12"/>
  <c r="E285" i="12"/>
  <c r="E286" i="12"/>
  <c r="E287" i="12"/>
  <c r="E288" i="12"/>
  <c r="E289" i="12"/>
  <c r="E290" i="12"/>
  <c r="E291" i="12"/>
  <c r="E292" i="12"/>
  <c r="E293" i="12"/>
  <c r="E294" i="12"/>
  <c r="E295" i="12"/>
  <c r="E296" i="12"/>
  <c r="E297" i="12"/>
  <c r="E298" i="12"/>
  <c r="E299" i="12"/>
  <c r="E300" i="12"/>
  <c r="E301" i="12"/>
  <c r="E302" i="12"/>
  <c r="E303" i="12"/>
  <c r="E304" i="12"/>
  <c r="E305" i="12"/>
  <c r="E306" i="12"/>
  <c r="E307" i="12"/>
  <c r="E308" i="12"/>
  <c r="E309" i="12"/>
  <c r="E310" i="12"/>
  <c r="E311" i="12"/>
  <c r="E312" i="12"/>
  <c r="E313" i="12"/>
  <c r="E314" i="12"/>
  <c r="E315" i="12"/>
  <c r="E316" i="12"/>
  <c r="E317" i="12"/>
  <c r="E318" i="12"/>
  <c r="E319" i="12"/>
  <c r="E320" i="12"/>
  <c r="E321" i="12"/>
  <c r="E322" i="12"/>
  <c r="E323" i="12"/>
  <c r="E324" i="12"/>
  <c r="E325" i="12"/>
  <c r="E326" i="12"/>
  <c r="E327" i="12"/>
  <c r="E328" i="12"/>
  <c r="E329" i="12"/>
  <c r="E330" i="12"/>
  <c r="E331" i="12"/>
  <c r="E332" i="12"/>
  <c r="E333" i="12"/>
  <c r="E334" i="12"/>
  <c r="E335" i="12"/>
  <c r="E336" i="12"/>
  <c r="E337" i="12"/>
  <c r="E338" i="12"/>
  <c r="E339" i="12"/>
  <c r="E340" i="12"/>
  <c r="E341" i="12"/>
  <c r="E342" i="12"/>
  <c r="E343" i="12"/>
  <c r="E344" i="12"/>
  <c r="E345" i="12"/>
  <c r="E346" i="12"/>
  <c r="E347" i="12"/>
  <c r="E348" i="12"/>
  <c r="E349" i="12"/>
  <c r="E350" i="12"/>
  <c r="E351" i="12"/>
  <c r="E352" i="12"/>
  <c r="E353" i="12"/>
  <c r="E354" i="12"/>
  <c r="E355" i="12"/>
  <c r="E356" i="12"/>
  <c r="E357" i="12"/>
  <c r="E358" i="12"/>
  <c r="E359" i="12"/>
  <c r="E360" i="12"/>
  <c r="E361" i="12"/>
  <c r="E362" i="12"/>
  <c r="E363" i="12"/>
  <c r="E364" i="12"/>
  <c r="E365" i="12"/>
  <c r="E366" i="12"/>
  <c r="E367" i="12"/>
  <c r="E368" i="12"/>
  <c r="E369" i="12"/>
  <c r="E370" i="12"/>
  <c r="E371" i="12"/>
  <c r="E372" i="12"/>
  <c r="E373" i="12"/>
  <c r="E374" i="12"/>
  <c r="E375" i="12"/>
  <c r="E376" i="12"/>
  <c r="E377" i="12"/>
  <c r="E378" i="12"/>
  <c r="E379" i="12"/>
  <c r="E380" i="12"/>
  <c r="E381" i="12"/>
  <c r="E382" i="12"/>
  <c r="E383" i="12"/>
  <c r="E384" i="12"/>
  <c r="E385" i="12"/>
  <c r="E386" i="12"/>
  <c r="E387" i="12"/>
  <c r="E388" i="12"/>
  <c r="E389" i="12"/>
  <c r="E390" i="12"/>
  <c r="E391" i="12"/>
  <c r="E392" i="12"/>
  <c r="E393" i="12"/>
  <c r="E394" i="12"/>
  <c r="E395" i="12"/>
  <c r="E396" i="12"/>
  <c r="E397" i="12"/>
  <c r="E398" i="12"/>
  <c r="E399" i="12"/>
  <c r="E400" i="12"/>
  <c r="E401" i="12"/>
  <c r="E402" i="12"/>
  <c r="E403" i="12"/>
  <c r="E404" i="12"/>
  <c r="E3" i="12"/>
  <c r="E4" i="12"/>
  <c r="E5" i="12"/>
  <c r="E6" i="12"/>
  <c r="E7" i="12"/>
  <c r="E8" i="12"/>
  <c r="E9" i="12"/>
  <c r="E10" i="12"/>
  <c r="E11" i="12"/>
  <c r="E12" i="12"/>
  <c r="E13" i="12"/>
  <c r="E14" i="12"/>
  <c r="E15" i="12"/>
  <c r="E16" i="12"/>
  <c r="E17" i="12"/>
  <c r="E18" i="12"/>
  <c r="E19" i="12"/>
  <c r="E20" i="12"/>
  <c r="E21" i="12"/>
  <c r="E22" i="12"/>
  <c r="E23" i="12"/>
  <c r="E24" i="12"/>
  <c r="E25" i="12"/>
  <c r="E26" i="12"/>
  <c r="E27" i="12"/>
  <c r="E28" i="12"/>
  <c r="E29" i="12"/>
  <c r="E30" i="12"/>
  <c r="E31" i="12"/>
  <c r="E32" i="12"/>
  <c r="E33" i="12"/>
  <c r="E34" i="12"/>
  <c r="E35" i="12"/>
  <c r="E36" i="12"/>
  <c r="E37" i="12"/>
  <c r="E38" i="12"/>
  <c r="E39" i="12"/>
  <c r="E40" i="12"/>
  <c r="E41" i="12"/>
  <c r="E42" i="12"/>
  <c r="E43" i="12"/>
  <c r="E44" i="12"/>
  <c r="E45" i="12"/>
  <c r="E46" i="12"/>
  <c r="E47" i="12"/>
  <c r="E48" i="12"/>
  <c r="E49" i="12"/>
  <c r="E50" i="12"/>
  <c r="E51" i="12"/>
  <c r="E52" i="12"/>
  <c r="E53" i="12"/>
  <c r="E54" i="12"/>
  <c r="E55" i="12"/>
  <c r="E56" i="12"/>
  <c r="E57" i="12"/>
  <c r="E58" i="12"/>
  <c r="E59" i="12"/>
  <c r="E60" i="12"/>
  <c r="E61" i="12"/>
  <c r="E62" i="12"/>
  <c r="E63" i="12"/>
  <c r="E64" i="12"/>
  <c r="E65" i="12"/>
  <c r="E66" i="12"/>
  <c r="E67" i="12"/>
  <c r="E68" i="12"/>
  <c r="E69" i="12"/>
  <c r="E70" i="12"/>
  <c r="E71" i="12"/>
  <c r="E72" i="12"/>
  <c r="E73" i="12"/>
  <c r="E74" i="12"/>
  <c r="E75" i="12"/>
  <c r="E76" i="12"/>
  <c r="E77" i="12"/>
  <c r="E78" i="12"/>
  <c r="E79" i="12"/>
  <c r="E80" i="12"/>
  <c r="E81" i="12"/>
  <c r="E82" i="12"/>
  <c r="E83" i="12"/>
  <c r="E84" i="12"/>
  <c r="E85" i="12"/>
  <c r="E86" i="12"/>
  <c r="E87" i="12"/>
  <c r="E88" i="12"/>
  <c r="E89" i="12"/>
  <c r="E90" i="12"/>
  <c r="E91" i="12"/>
  <c r="E92" i="12"/>
  <c r="E93" i="12"/>
  <c r="E94" i="12"/>
  <c r="E95" i="12"/>
  <c r="E96" i="12"/>
  <c r="E97" i="12"/>
  <c r="E98" i="12"/>
  <c r="E99" i="12"/>
  <c r="E100" i="12"/>
  <c r="E101" i="12"/>
  <c r="E102" i="12"/>
  <c r="E103" i="12"/>
  <c r="E104" i="12"/>
  <c r="E105" i="12"/>
  <c r="E106" i="12"/>
  <c r="E107" i="12"/>
  <c r="E108" i="12"/>
  <c r="E109" i="12"/>
  <c r="E110" i="12"/>
  <c r="E111" i="12"/>
  <c r="E112" i="12"/>
  <c r="E113" i="12"/>
  <c r="E114" i="12"/>
  <c r="E115" i="12"/>
  <c r="E116" i="12"/>
  <c r="E117" i="12"/>
  <c r="E118" i="12"/>
  <c r="E119" i="12"/>
  <c r="E120" i="12"/>
  <c r="E121" i="12"/>
  <c r="E122" i="12"/>
  <c r="E123" i="12"/>
  <c r="E124" i="12"/>
  <c r="E125" i="12"/>
  <c r="E126" i="12"/>
  <c r="E127" i="12"/>
  <c r="E128" i="12"/>
  <c r="E129" i="12"/>
  <c r="E130" i="12"/>
  <c r="E131" i="12"/>
  <c r="E132" i="12"/>
  <c r="E133" i="12"/>
  <c r="E134" i="12"/>
  <c r="E135" i="12"/>
  <c r="E136" i="12"/>
  <c r="E137" i="12"/>
  <c r="E138" i="12"/>
  <c r="E139" i="12"/>
  <c r="E140" i="12"/>
  <c r="E141" i="12"/>
  <c r="E142" i="12"/>
  <c r="E143" i="12"/>
  <c r="E144" i="12"/>
  <c r="E145" i="12"/>
  <c r="E146" i="12"/>
  <c r="E147" i="12"/>
  <c r="E148" i="12"/>
  <c r="E149" i="12"/>
  <c r="E150" i="12"/>
  <c r="E151" i="12"/>
  <c r="E152" i="12"/>
  <c r="E153" i="12"/>
  <c r="E154" i="12"/>
  <c r="E155" i="12"/>
  <c r="E156" i="12"/>
  <c r="E157" i="12"/>
  <c r="E158" i="12"/>
  <c r="E159" i="12"/>
  <c r="E160" i="12"/>
  <c r="E161" i="12"/>
  <c r="E162" i="12"/>
  <c r="E163" i="12"/>
  <c r="E164" i="12"/>
  <c r="E165" i="12"/>
  <c r="E166" i="12"/>
  <c r="E167" i="12"/>
  <c r="E168" i="12"/>
  <c r="E169" i="12"/>
  <c r="E170" i="12"/>
  <c r="E171" i="12"/>
  <c r="E172" i="12"/>
  <c r="E173" i="12"/>
  <c r="E174" i="12"/>
  <c r="E175" i="12"/>
  <c r="E176" i="12"/>
  <c r="E177" i="12"/>
  <c r="E178" i="12"/>
  <c r="E179" i="12"/>
  <c r="E180" i="12"/>
  <c r="E181" i="12"/>
  <c r="E182" i="12"/>
  <c r="E183" i="12"/>
  <c r="E184" i="12"/>
  <c r="E185" i="12"/>
  <c r="E186" i="12"/>
  <c r="E187" i="12"/>
  <c r="E188" i="12"/>
  <c r="E189" i="12"/>
  <c r="E190" i="12"/>
  <c r="E191" i="12"/>
  <c r="E2" i="12"/>
  <c r="D192" i="12"/>
  <c r="D193" i="12"/>
  <c r="D194" i="12"/>
  <c r="D195" i="12"/>
  <c r="D196" i="12"/>
  <c r="D197" i="12"/>
  <c r="D198" i="12"/>
  <c r="D199" i="12"/>
  <c r="D200" i="12"/>
  <c r="D201" i="12"/>
  <c r="D202" i="12"/>
  <c r="D203" i="12"/>
  <c r="D204" i="12"/>
  <c r="D205" i="12"/>
  <c r="D206" i="12"/>
  <c r="D207" i="12"/>
  <c r="D208" i="12"/>
  <c r="D209" i="12"/>
  <c r="D210" i="12"/>
  <c r="D211" i="12"/>
  <c r="D212" i="12"/>
  <c r="D213" i="12"/>
  <c r="D214" i="12"/>
  <c r="D215" i="12"/>
  <c r="D216" i="12"/>
  <c r="D217" i="12"/>
  <c r="D218" i="12"/>
  <c r="D219" i="12"/>
  <c r="D220" i="12"/>
  <c r="D221" i="12"/>
  <c r="D222" i="12"/>
  <c r="D223" i="12"/>
  <c r="D224" i="12"/>
  <c r="D225" i="12"/>
  <c r="D226" i="12"/>
  <c r="D227" i="12"/>
  <c r="D228" i="12"/>
  <c r="D229" i="12"/>
  <c r="D230" i="12"/>
  <c r="D231" i="12"/>
  <c r="D232" i="12"/>
  <c r="D233" i="12"/>
  <c r="D234" i="12"/>
  <c r="D235" i="12"/>
  <c r="D236" i="12"/>
  <c r="D237" i="12"/>
  <c r="D238" i="12"/>
  <c r="D239" i="12"/>
  <c r="D240" i="12"/>
  <c r="D241" i="12"/>
  <c r="D242" i="12"/>
  <c r="D243" i="12"/>
  <c r="D244" i="12"/>
  <c r="D245" i="12"/>
  <c r="D246" i="12"/>
  <c r="D247" i="12"/>
  <c r="D248" i="12"/>
  <c r="D249" i="12"/>
  <c r="D250" i="12"/>
  <c r="D251" i="12"/>
  <c r="D252" i="12"/>
  <c r="D253" i="12"/>
  <c r="D254" i="12"/>
  <c r="D255" i="12"/>
  <c r="D256" i="12"/>
  <c r="D257" i="12"/>
  <c r="D258" i="12"/>
  <c r="D259" i="12"/>
  <c r="D260" i="12"/>
  <c r="D261" i="12"/>
  <c r="D262" i="12"/>
  <c r="D263" i="12"/>
  <c r="D264" i="12"/>
  <c r="D265" i="12"/>
  <c r="D266" i="12"/>
  <c r="D267" i="12"/>
  <c r="D268" i="12"/>
  <c r="D269" i="12"/>
  <c r="D270" i="12"/>
  <c r="D271" i="12"/>
  <c r="D272" i="12"/>
  <c r="D273" i="12"/>
  <c r="D274" i="12"/>
  <c r="D275" i="12"/>
  <c r="D276" i="12"/>
  <c r="D277" i="12"/>
  <c r="D278" i="12"/>
  <c r="D279" i="12"/>
  <c r="D280" i="12"/>
  <c r="D281" i="12"/>
  <c r="D282" i="12"/>
  <c r="D283" i="12"/>
  <c r="D284" i="12"/>
  <c r="D285" i="12"/>
  <c r="D286" i="12"/>
  <c r="D287" i="12"/>
  <c r="D288" i="12"/>
  <c r="D289" i="12"/>
  <c r="D290" i="12"/>
  <c r="D291" i="12"/>
  <c r="D292" i="12"/>
  <c r="D293" i="12"/>
  <c r="D294" i="12"/>
  <c r="D295" i="12"/>
  <c r="D296" i="12"/>
  <c r="D297" i="12"/>
  <c r="D298" i="12"/>
  <c r="D299" i="12"/>
  <c r="D300" i="12"/>
  <c r="D301" i="12"/>
  <c r="D302" i="12"/>
  <c r="D303" i="12"/>
  <c r="D304" i="12"/>
  <c r="D305" i="12"/>
  <c r="D306" i="12"/>
  <c r="D307" i="12"/>
  <c r="D308" i="12"/>
  <c r="D309" i="12"/>
  <c r="D310" i="12"/>
  <c r="D311" i="12"/>
  <c r="D312" i="12"/>
  <c r="D313" i="12"/>
  <c r="D314" i="12"/>
  <c r="D315" i="12"/>
  <c r="D316" i="12"/>
  <c r="D317" i="12"/>
  <c r="D318" i="12"/>
  <c r="D319" i="12"/>
  <c r="D320" i="12"/>
  <c r="D321" i="12"/>
  <c r="D322" i="12"/>
  <c r="D323" i="12"/>
  <c r="D324" i="12"/>
  <c r="D325" i="12"/>
  <c r="D326" i="12"/>
  <c r="D327" i="12"/>
  <c r="D328" i="12"/>
  <c r="D329" i="12"/>
  <c r="D330" i="12"/>
  <c r="D331" i="12"/>
  <c r="D332" i="12"/>
  <c r="D333" i="12"/>
  <c r="D334" i="12"/>
  <c r="D335" i="12"/>
  <c r="D336" i="12"/>
  <c r="D337" i="12"/>
  <c r="D338" i="12"/>
  <c r="D339" i="12"/>
  <c r="D340" i="12"/>
  <c r="D341" i="12"/>
  <c r="D342" i="12"/>
  <c r="D343" i="12"/>
  <c r="D344" i="12"/>
  <c r="D345" i="12"/>
  <c r="D346" i="12"/>
  <c r="D347" i="12"/>
  <c r="D348" i="12"/>
  <c r="D349" i="12"/>
  <c r="D350" i="12"/>
  <c r="D351" i="12"/>
  <c r="D352" i="12"/>
  <c r="D353" i="12"/>
  <c r="D354" i="12"/>
  <c r="D355" i="12"/>
  <c r="D356" i="12"/>
  <c r="D357" i="12"/>
  <c r="D358" i="12"/>
  <c r="D359" i="12"/>
  <c r="D360" i="12"/>
  <c r="D361" i="12"/>
  <c r="D362" i="12"/>
  <c r="D363" i="12"/>
  <c r="D364" i="12"/>
  <c r="D365" i="12"/>
  <c r="D366" i="12"/>
  <c r="D367" i="12"/>
  <c r="D368" i="12"/>
  <c r="D369" i="12"/>
  <c r="D370" i="12"/>
  <c r="D371" i="12"/>
  <c r="D372" i="12"/>
  <c r="D373" i="12"/>
  <c r="D374" i="12"/>
  <c r="D375" i="12"/>
  <c r="D376" i="12"/>
  <c r="D377" i="12"/>
  <c r="D378" i="12"/>
  <c r="D379" i="12"/>
  <c r="D380" i="12"/>
  <c r="D381" i="12"/>
  <c r="D382" i="12"/>
  <c r="D383" i="12"/>
  <c r="D384" i="12"/>
  <c r="D385" i="12"/>
  <c r="D386" i="12"/>
  <c r="D387" i="12"/>
  <c r="D388" i="12"/>
  <c r="D389" i="12"/>
  <c r="D390" i="12"/>
  <c r="D391" i="12"/>
  <c r="D392" i="12"/>
  <c r="D393" i="12"/>
  <c r="D394" i="12"/>
  <c r="D395" i="12"/>
  <c r="D396" i="12"/>
  <c r="D397" i="12"/>
  <c r="D398" i="12"/>
  <c r="D399" i="12"/>
  <c r="D400" i="12"/>
  <c r="D401" i="12"/>
  <c r="D402" i="12"/>
  <c r="D403" i="12"/>
  <c r="D404" i="12"/>
  <c r="D3" i="12"/>
  <c r="D4" i="12"/>
  <c r="D5" i="12"/>
  <c r="D6" i="12"/>
  <c r="D7" i="12"/>
  <c r="D8" i="12"/>
  <c r="D9" i="12"/>
  <c r="D10" i="12"/>
  <c r="D11" i="12"/>
  <c r="D12" i="12"/>
  <c r="D13" i="12"/>
  <c r="D14" i="12"/>
  <c r="D15" i="12"/>
  <c r="D16" i="12"/>
  <c r="D17" i="12"/>
  <c r="D18" i="12"/>
  <c r="D19" i="12"/>
  <c r="D20" i="12"/>
  <c r="D21" i="12"/>
  <c r="D22" i="12"/>
  <c r="D23" i="12"/>
  <c r="D24" i="12"/>
  <c r="D25" i="12"/>
  <c r="D26" i="12"/>
  <c r="D27" i="12"/>
  <c r="D28" i="12"/>
  <c r="D29" i="12"/>
  <c r="D30" i="12"/>
  <c r="D31" i="12"/>
  <c r="D32" i="12"/>
  <c r="D33" i="12"/>
  <c r="D34" i="12"/>
  <c r="D35" i="12"/>
  <c r="D36" i="12"/>
  <c r="D37" i="12"/>
  <c r="D38" i="12"/>
  <c r="D39" i="12"/>
  <c r="D40" i="12"/>
  <c r="D41" i="12"/>
  <c r="D42" i="12"/>
  <c r="D43" i="12"/>
  <c r="D44" i="12"/>
  <c r="D45" i="12"/>
  <c r="D46" i="12"/>
  <c r="D47" i="12"/>
  <c r="D48" i="12"/>
  <c r="D49" i="12"/>
  <c r="D50" i="12"/>
  <c r="D51" i="12"/>
  <c r="D52" i="12"/>
  <c r="D53" i="12"/>
  <c r="D54" i="12"/>
  <c r="D55" i="12"/>
  <c r="D56" i="12"/>
  <c r="D57" i="12"/>
  <c r="D58" i="12"/>
  <c r="D59" i="12"/>
  <c r="D60" i="12"/>
  <c r="D61" i="12"/>
  <c r="D62" i="12"/>
  <c r="D63" i="12"/>
  <c r="D64" i="12"/>
  <c r="D65" i="12"/>
  <c r="D66" i="12"/>
  <c r="D67" i="12"/>
  <c r="D68" i="12"/>
  <c r="D69" i="12"/>
  <c r="D70" i="12"/>
  <c r="D71" i="12"/>
  <c r="D72" i="12"/>
  <c r="D73" i="12"/>
  <c r="D74" i="12"/>
  <c r="D75" i="12"/>
  <c r="D76" i="12"/>
  <c r="D77" i="12"/>
  <c r="D78" i="12"/>
  <c r="D79" i="12"/>
  <c r="D80" i="12"/>
  <c r="D81" i="12"/>
  <c r="D82" i="12"/>
  <c r="D83" i="12"/>
  <c r="D84" i="12"/>
  <c r="D85" i="12"/>
  <c r="D86" i="12"/>
  <c r="D87" i="12"/>
  <c r="D88" i="12"/>
  <c r="D89" i="12"/>
  <c r="D90" i="12"/>
  <c r="D91" i="12"/>
  <c r="D92" i="12"/>
  <c r="D93" i="12"/>
  <c r="D94" i="12"/>
  <c r="D95" i="12"/>
  <c r="D96" i="12"/>
  <c r="D97" i="12"/>
  <c r="D98" i="12"/>
  <c r="D99" i="12"/>
  <c r="D100" i="12"/>
  <c r="D101" i="12"/>
  <c r="D102" i="12"/>
  <c r="D103" i="12"/>
  <c r="D104" i="12"/>
  <c r="D105" i="12"/>
  <c r="D106" i="12"/>
  <c r="D107" i="12"/>
  <c r="D108" i="12"/>
  <c r="D109" i="12"/>
  <c r="D110" i="12"/>
  <c r="D111" i="12"/>
  <c r="D112" i="12"/>
  <c r="D113" i="12"/>
  <c r="D114" i="12"/>
  <c r="D115" i="12"/>
  <c r="D116" i="12"/>
  <c r="D117" i="12"/>
  <c r="D118" i="12"/>
  <c r="D119" i="12"/>
  <c r="D120" i="12"/>
  <c r="D121" i="12"/>
  <c r="D122" i="12"/>
  <c r="D123" i="12"/>
  <c r="D124" i="12"/>
  <c r="D125" i="12"/>
  <c r="D126" i="12"/>
  <c r="D127" i="12"/>
  <c r="D128" i="12"/>
  <c r="D129" i="12"/>
  <c r="D130" i="12"/>
  <c r="D131" i="12"/>
  <c r="D132" i="12"/>
  <c r="D133" i="12"/>
  <c r="D134" i="12"/>
  <c r="D135" i="12"/>
  <c r="D136" i="12"/>
  <c r="D137" i="12"/>
  <c r="D138" i="12"/>
  <c r="D139" i="12"/>
  <c r="D140" i="12"/>
  <c r="D141" i="12"/>
  <c r="D142" i="12"/>
  <c r="D143" i="12"/>
  <c r="D144" i="12"/>
  <c r="D145" i="12"/>
  <c r="D146" i="12"/>
  <c r="D147" i="12"/>
  <c r="D148" i="12"/>
  <c r="D149" i="12"/>
  <c r="D150" i="12"/>
  <c r="D151" i="12"/>
  <c r="D152" i="12"/>
  <c r="D153" i="12"/>
  <c r="D154" i="12"/>
  <c r="D155" i="12"/>
  <c r="D156" i="12"/>
  <c r="D157" i="12"/>
  <c r="D158" i="12"/>
  <c r="D159" i="12"/>
  <c r="D160" i="12"/>
  <c r="D161" i="12"/>
  <c r="D162" i="12"/>
  <c r="D163" i="12"/>
  <c r="D164" i="12"/>
  <c r="D165" i="12"/>
  <c r="D166" i="12"/>
  <c r="D167" i="12"/>
  <c r="D168" i="12"/>
  <c r="D169" i="12"/>
  <c r="D170" i="12"/>
  <c r="D171" i="12"/>
  <c r="D172" i="12"/>
  <c r="D173" i="12"/>
  <c r="D174" i="12"/>
  <c r="D175" i="12"/>
  <c r="D176" i="12"/>
  <c r="D177" i="12"/>
  <c r="D178" i="12"/>
  <c r="D179" i="12"/>
  <c r="D180" i="12"/>
  <c r="D181" i="12"/>
  <c r="D182" i="12"/>
  <c r="D183" i="12"/>
  <c r="D184" i="12"/>
  <c r="D185" i="12"/>
  <c r="D186" i="12"/>
  <c r="D187" i="12"/>
  <c r="D188" i="12"/>
  <c r="D189" i="12"/>
  <c r="D190" i="12"/>
  <c r="D191" i="12"/>
  <c r="D2" i="12"/>
  <c r="B3" i="12"/>
  <c r="B4" i="12"/>
  <c r="B5" i="12"/>
  <c r="B6" i="12"/>
  <c r="B7" i="12"/>
  <c r="B8" i="12"/>
  <c r="B9" i="12"/>
  <c r="B10" i="12"/>
  <c r="B11" i="12"/>
  <c r="B12" i="12"/>
  <c r="B13" i="12"/>
  <c r="B14" i="12"/>
  <c r="B15" i="12"/>
  <c r="B16" i="12"/>
  <c r="B17" i="12"/>
  <c r="B18" i="12"/>
  <c r="B19" i="12"/>
  <c r="B20" i="12"/>
  <c r="B21" i="12"/>
  <c r="B22" i="12"/>
  <c r="B23" i="12"/>
  <c r="B24" i="12"/>
  <c r="B25" i="12"/>
  <c r="B26" i="12"/>
  <c r="B27" i="12"/>
  <c r="B28" i="12"/>
  <c r="B29" i="12"/>
  <c r="B30" i="12"/>
  <c r="B31" i="12"/>
  <c r="B32" i="12"/>
  <c r="B33" i="12"/>
  <c r="B34" i="12"/>
  <c r="B35" i="12"/>
  <c r="B36" i="12"/>
  <c r="B37" i="12"/>
  <c r="B38" i="12"/>
  <c r="B39" i="12"/>
  <c r="B40" i="12"/>
  <c r="B41" i="12"/>
  <c r="B42" i="12"/>
  <c r="B43" i="12"/>
  <c r="B44" i="12"/>
  <c r="B45" i="12"/>
  <c r="B46" i="12"/>
  <c r="B47" i="12"/>
  <c r="B48" i="12"/>
  <c r="B49" i="12"/>
  <c r="B50" i="12"/>
  <c r="B51" i="12"/>
  <c r="B52" i="12"/>
  <c r="B53" i="12"/>
  <c r="B54" i="12"/>
  <c r="B55" i="12"/>
  <c r="B56" i="12"/>
  <c r="B57" i="12"/>
  <c r="B58" i="12"/>
  <c r="B59" i="12"/>
  <c r="B60" i="12"/>
  <c r="B61" i="12"/>
  <c r="B62" i="12"/>
  <c r="B63" i="12"/>
  <c r="B64" i="12"/>
  <c r="B65" i="12"/>
  <c r="B66" i="12"/>
  <c r="B67" i="12"/>
  <c r="B68" i="12"/>
  <c r="B69" i="12"/>
  <c r="B70" i="12"/>
  <c r="B71" i="12"/>
  <c r="B72" i="12"/>
  <c r="B73" i="12"/>
  <c r="B74" i="12"/>
  <c r="B75" i="12"/>
  <c r="B76" i="12"/>
  <c r="B77" i="12"/>
  <c r="B78" i="12"/>
  <c r="B79" i="12"/>
  <c r="B80" i="12"/>
  <c r="B81" i="12"/>
  <c r="B82" i="12"/>
  <c r="B83" i="12"/>
  <c r="B84" i="12"/>
  <c r="B85" i="12"/>
  <c r="B86" i="12"/>
  <c r="B87" i="12"/>
  <c r="B88" i="12"/>
  <c r="B89" i="12"/>
  <c r="B90" i="12"/>
  <c r="B91" i="12"/>
  <c r="B92" i="12"/>
  <c r="B93" i="12"/>
  <c r="B94" i="12"/>
  <c r="B95" i="12"/>
  <c r="B96" i="12"/>
  <c r="B97" i="12"/>
  <c r="B98" i="12"/>
  <c r="B99" i="12"/>
  <c r="B100" i="12"/>
  <c r="B101" i="12"/>
  <c r="B102" i="12"/>
  <c r="B103" i="12"/>
  <c r="B104" i="12"/>
  <c r="B105" i="12"/>
  <c r="B106" i="12"/>
  <c r="B107" i="12"/>
  <c r="B108" i="12"/>
  <c r="B109" i="12"/>
  <c r="B110" i="12"/>
  <c r="B111" i="12"/>
  <c r="B112" i="12"/>
  <c r="B113" i="12"/>
  <c r="B114" i="12"/>
  <c r="B115" i="12"/>
  <c r="B116" i="12"/>
  <c r="B117" i="12"/>
  <c r="B118" i="12"/>
  <c r="B119" i="12"/>
  <c r="B120" i="12"/>
  <c r="B121" i="12"/>
  <c r="B122" i="12"/>
  <c r="B123" i="12"/>
  <c r="B124" i="12"/>
  <c r="B125" i="12"/>
  <c r="B126" i="12"/>
  <c r="B127" i="12"/>
  <c r="B128" i="12"/>
  <c r="B129" i="12"/>
  <c r="B130" i="12"/>
  <c r="B131" i="12"/>
  <c r="B132" i="12"/>
  <c r="B133" i="12"/>
  <c r="B134" i="12"/>
  <c r="B135" i="12"/>
  <c r="B136" i="12"/>
  <c r="B137" i="12"/>
  <c r="B138" i="12"/>
  <c r="B139" i="12"/>
  <c r="B140" i="12"/>
  <c r="B141" i="12"/>
  <c r="B142" i="12"/>
  <c r="B143" i="12"/>
  <c r="B144" i="12"/>
  <c r="B145" i="12"/>
  <c r="B146" i="12"/>
  <c r="B147" i="12"/>
  <c r="B148" i="12"/>
  <c r="B149" i="12"/>
  <c r="B150" i="12"/>
  <c r="B151" i="12"/>
  <c r="B152" i="12"/>
  <c r="B153" i="12"/>
  <c r="B154" i="12"/>
  <c r="B155" i="12"/>
  <c r="B156" i="12"/>
  <c r="B157" i="12"/>
  <c r="B158" i="12"/>
  <c r="B159" i="12"/>
  <c r="B160" i="12"/>
  <c r="B161" i="12"/>
  <c r="B162" i="12"/>
  <c r="B163" i="12"/>
  <c r="B164" i="12"/>
  <c r="B165" i="12"/>
  <c r="B166" i="12"/>
  <c r="B167" i="12"/>
  <c r="B168" i="12"/>
  <c r="B169" i="12"/>
  <c r="B170" i="12"/>
  <c r="B171" i="12"/>
  <c r="B172" i="12"/>
  <c r="B173" i="12"/>
  <c r="B174" i="12"/>
  <c r="B175" i="12"/>
  <c r="B176" i="12"/>
  <c r="B177" i="12"/>
  <c r="B178" i="12"/>
  <c r="B179" i="12"/>
  <c r="B180" i="12"/>
  <c r="B181" i="12"/>
  <c r="B182" i="12"/>
  <c r="B183" i="12"/>
  <c r="B184" i="12"/>
  <c r="B185" i="12"/>
  <c r="B186" i="12"/>
  <c r="B187" i="12"/>
  <c r="B188" i="12"/>
  <c r="B189" i="12"/>
  <c r="B190" i="12"/>
  <c r="B191" i="12"/>
  <c r="B192" i="12"/>
  <c r="B193" i="12"/>
  <c r="B194" i="12"/>
  <c r="B195" i="12"/>
  <c r="B196" i="12"/>
  <c r="B197" i="12"/>
  <c r="B198" i="12"/>
  <c r="B199" i="12"/>
  <c r="B200" i="12"/>
  <c r="B201" i="12"/>
  <c r="B202" i="12"/>
  <c r="B203" i="12"/>
  <c r="B204" i="12"/>
  <c r="B205" i="12"/>
  <c r="B206" i="12"/>
  <c r="B207" i="12"/>
  <c r="B208" i="12"/>
  <c r="B209" i="12"/>
  <c r="B210" i="12"/>
  <c r="B211" i="12"/>
  <c r="B212" i="12"/>
  <c r="B213" i="12"/>
  <c r="B214" i="12"/>
  <c r="B215" i="12"/>
  <c r="B216" i="12"/>
  <c r="B217" i="12"/>
  <c r="B218" i="12"/>
  <c r="B219" i="12"/>
  <c r="B220" i="12"/>
  <c r="B221" i="12"/>
  <c r="B222" i="12"/>
  <c r="B223" i="12"/>
  <c r="B224" i="12"/>
  <c r="B225" i="12"/>
  <c r="B226" i="12"/>
  <c r="B227" i="12"/>
  <c r="B228" i="12"/>
  <c r="B229" i="12"/>
  <c r="B230" i="12"/>
  <c r="B231" i="12"/>
  <c r="B232" i="12"/>
  <c r="B233" i="12"/>
  <c r="B234" i="12"/>
  <c r="B235" i="12"/>
  <c r="B236" i="12"/>
  <c r="B237" i="12"/>
  <c r="B238" i="12"/>
  <c r="B239" i="12"/>
  <c r="B240" i="12"/>
  <c r="B241" i="12"/>
  <c r="B242" i="12"/>
  <c r="B243" i="12"/>
  <c r="B244" i="12"/>
  <c r="B245" i="12"/>
  <c r="B246" i="12"/>
  <c r="B247" i="12"/>
  <c r="B248" i="12"/>
  <c r="B249" i="12"/>
  <c r="B250" i="12"/>
  <c r="B251" i="12"/>
  <c r="B252" i="12"/>
  <c r="B253" i="12"/>
  <c r="B254" i="12"/>
  <c r="B255" i="12"/>
  <c r="B256" i="12"/>
  <c r="B257" i="12"/>
  <c r="B258" i="12"/>
  <c r="B259" i="12"/>
  <c r="B260" i="12"/>
  <c r="B261" i="12"/>
  <c r="B262" i="12"/>
  <c r="B263" i="12"/>
  <c r="B264" i="12"/>
  <c r="B265" i="12"/>
  <c r="B266" i="12"/>
  <c r="B267" i="12"/>
  <c r="B268" i="12"/>
  <c r="B269" i="12"/>
  <c r="B270" i="12"/>
  <c r="B271" i="12"/>
  <c r="B272" i="12"/>
  <c r="B273" i="12"/>
  <c r="B274" i="12"/>
  <c r="B275" i="12"/>
  <c r="B276" i="12"/>
  <c r="B277" i="12"/>
  <c r="B278" i="12"/>
  <c r="B279" i="12"/>
  <c r="B280" i="12"/>
  <c r="B281" i="12"/>
  <c r="B282" i="12"/>
  <c r="B283" i="12"/>
  <c r="B284" i="12"/>
  <c r="B285" i="12"/>
  <c r="B286" i="12"/>
  <c r="B287" i="12"/>
  <c r="B288" i="12"/>
  <c r="B289" i="12"/>
  <c r="B290" i="12"/>
  <c r="B291" i="12"/>
  <c r="B292" i="12"/>
  <c r="B293" i="12"/>
  <c r="B294" i="12"/>
  <c r="B295" i="12"/>
  <c r="B296" i="12"/>
  <c r="B297" i="12"/>
  <c r="B298" i="12"/>
  <c r="B299" i="12"/>
  <c r="B300" i="12"/>
  <c r="B301" i="12"/>
  <c r="B302" i="12"/>
  <c r="B303" i="12"/>
  <c r="B304" i="12"/>
  <c r="B305" i="12"/>
  <c r="B306" i="12"/>
  <c r="B307" i="12"/>
  <c r="B308" i="12"/>
  <c r="B309" i="12"/>
  <c r="B310" i="12"/>
  <c r="B311" i="12"/>
  <c r="B312" i="12"/>
  <c r="B313" i="12"/>
  <c r="B314" i="12"/>
  <c r="B315" i="12"/>
  <c r="B316" i="12"/>
  <c r="B317" i="12"/>
  <c r="B318" i="12"/>
  <c r="B319" i="12"/>
  <c r="B320" i="12"/>
  <c r="B321" i="12"/>
  <c r="B322" i="12"/>
  <c r="B323" i="12"/>
  <c r="B324" i="12"/>
  <c r="B325" i="12"/>
  <c r="B326" i="12"/>
  <c r="B327" i="12"/>
  <c r="B328" i="12"/>
  <c r="B329" i="12"/>
  <c r="B330" i="12"/>
  <c r="B331" i="12"/>
  <c r="B332" i="12"/>
  <c r="B333" i="12"/>
  <c r="B334" i="12"/>
  <c r="B335" i="12"/>
  <c r="B336" i="12"/>
  <c r="B337" i="12"/>
  <c r="B338" i="12"/>
  <c r="B339" i="12"/>
  <c r="B340" i="12"/>
  <c r="B341" i="12"/>
  <c r="B342" i="12"/>
  <c r="B343" i="12"/>
  <c r="B344" i="12"/>
  <c r="B345" i="12"/>
  <c r="B346" i="12"/>
  <c r="B347" i="12"/>
  <c r="B348" i="12"/>
  <c r="B349" i="12"/>
  <c r="B350" i="12"/>
  <c r="B351" i="12"/>
  <c r="B352" i="12"/>
  <c r="B353" i="12"/>
  <c r="B354" i="12"/>
  <c r="B355" i="12"/>
  <c r="B356" i="12"/>
  <c r="B357" i="12"/>
  <c r="B358" i="12"/>
  <c r="B359" i="12"/>
  <c r="B360" i="12"/>
  <c r="B361" i="12"/>
  <c r="B362" i="12"/>
  <c r="B363" i="12"/>
  <c r="B364" i="12"/>
  <c r="B365" i="12"/>
  <c r="B366" i="12"/>
  <c r="B367" i="12"/>
  <c r="B368" i="12"/>
  <c r="B369" i="12"/>
  <c r="B370" i="12"/>
  <c r="B371" i="12"/>
  <c r="B372" i="12"/>
  <c r="B373" i="12"/>
  <c r="B374" i="12"/>
  <c r="B375" i="12"/>
  <c r="B376" i="12"/>
  <c r="B377" i="12"/>
  <c r="B378" i="12"/>
  <c r="B379" i="12"/>
  <c r="B380" i="12"/>
  <c r="B381" i="12"/>
  <c r="B382" i="12"/>
  <c r="B383" i="12"/>
  <c r="B384" i="12"/>
  <c r="B385" i="12"/>
  <c r="B386" i="12"/>
  <c r="B387" i="12"/>
  <c r="B388" i="12"/>
  <c r="B389" i="12"/>
  <c r="B390" i="12"/>
  <c r="B391" i="12"/>
  <c r="B392" i="12"/>
  <c r="B393" i="12"/>
  <c r="B394" i="12"/>
  <c r="B395" i="12"/>
  <c r="B396" i="12"/>
  <c r="B397" i="12"/>
  <c r="B398" i="12"/>
  <c r="B399" i="12"/>
  <c r="B400" i="12"/>
  <c r="B401" i="12"/>
  <c r="B402" i="12"/>
  <c r="B403" i="12"/>
  <c r="B404" i="12"/>
  <c r="B2" i="12"/>
  <c r="C192" i="12"/>
  <c r="C193" i="12"/>
  <c r="C194" i="12"/>
  <c r="C195" i="12"/>
  <c r="C196" i="12"/>
  <c r="C197" i="12"/>
  <c r="C198" i="12"/>
  <c r="C199" i="12"/>
  <c r="C200" i="12"/>
  <c r="C201" i="12"/>
  <c r="C202" i="12"/>
  <c r="C203" i="12"/>
  <c r="C204" i="12"/>
  <c r="C205" i="12"/>
  <c r="C206" i="12"/>
  <c r="C207" i="12"/>
  <c r="C208" i="12"/>
  <c r="C209" i="12"/>
  <c r="C210" i="12"/>
  <c r="C211" i="12"/>
  <c r="C212" i="12"/>
  <c r="C213" i="12"/>
  <c r="C214" i="12"/>
  <c r="C215" i="12"/>
  <c r="C216" i="12"/>
  <c r="C217" i="12"/>
  <c r="C218" i="12"/>
  <c r="C219" i="12"/>
  <c r="C220" i="12"/>
  <c r="C221" i="12"/>
  <c r="C222" i="12"/>
  <c r="C223" i="12"/>
  <c r="C224" i="12"/>
  <c r="C225" i="12"/>
  <c r="C226" i="12"/>
  <c r="C227" i="12"/>
  <c r="C228" i="12"/>
  <c r="C229" i="12"/>
  <c r="C230" i="12"/>
  <c r="C231" i="12"/>
  <c r="C232" i="12"/>
  <c r="C233" i="12"/>
  <c r="C234" i="12"/>
  <c r="C235" i="12"/>
  <c r="C236" i="12"/>
  <c r="C237" i="12"/>
  <c r="C238" i="12"/>
  <c r="C239" i="12"/>
  <c r="C240" i="12"/>
  <c r="C241" i="12"/>
  <c r="C242" i="12"/>
  <c r="C243" i="12"/>
  <c r="C244" i="12"/>
  <c r="C245" i="12"/>
  <c r="C246" i="12"/>
  <c r="C247" i="12"/>
  <c r="C248" i="12"/>
  <c r="C249" i="12"/>
  <c r="C250" i="12"/>
  <c r="C251" i="12"/>
  <c r="C252" i="12"/>
  <c r="C253" i="12"/>
  <c r="C254" i="12"/>
  <c r="C255" i="12"/>
  <c r="C256" i="12"/>
  <c r="C257" i="12"/>
  <c r="C258" i="12"/>
  <c r="C259" i="12"/>
  <c r="C260" i="12"/>
  <c r="C261" i="12"/>
  <c r="C262" i="12"/>
  <c r="C263" i="12"/>
  <c r="C264" i="12"/>
  <c r="C265" i="12"/>
  <c r="C266" i="12"/>
  <c r="C267" i="12"/>
  <c r="C268" i="12"/>
  <c r="C269" i="12"/>
  <c r="C270" i="12"/>
  <c r="C271" i="12"/>
  <c r="C272" i="12"/>
  <c r="C273" i="12"/>
  <c r="C274" i="12"/>
  <c r="C275" i="12"/>
  <c r="C276" i="12"/>
  <c r="C277" i="12"/>
  <c r="C278" i="12"/>
  <c r="C279" i="12"/>
  <c r="C280" i="12"/>
  <c r="C281" i="12"/>
  <c r="C282" i="12"/>
  <c r="C283" i="12"/>
  <c r="C284" i="12"/>
  <c r="C285" i="12"/>
  <c r="C286" i="12"/>
  <c r="C287" i="12"/>
  <c r="C288" i="12"/>
  <c r="C289" i="12"/>
  <c r="C290" i="12"/>
  <c r="C291" i="12"/>
  <c r="C292" i="12"/>
  <c r="C293" i="12"/>
  <c r="C294" i="12"/>
  <c r="C295" i="12"/>
  <c r="C296" i="12"/>
  <c r="C297" i="12"/>
  <c r="C298" i="12"/>
  <c r="C299" i="12"/>
  <c r="C300" i="12"/>
  <c r="C301" i="12"/>
  <c r="C302" i="12"/>
  <c r="C303" i="12"/>
  <c r="C304" i="12"/>
  <c r="C305" i="12"/>
  <c r="C306" i="12"/>
  <c r="C307" i="12"/>
  <c r="C308" i="12"/>
  <c r="C309" i="12"/>
  <c r="C310" i="12"/>
  <c r="C311" i="12"/>
  <c r="C312" i="12"/>
  <c r="C313" i="12"/>
  <c r="C314" i="12"/>
  <c r="C315" i="12"/>
  <c r="C316" i="12"/>
  <c r="C317" i="12"/>
  <c r="C318" i="12"/>
  <c r="C319" i="12"/>
  <c r="C320" i="12"/>
  <c r="C321" i="12"/>
  <c r="C322" i="12"/>
  <c r="C323" i="12"/>
  <c r="C324" i="12"/>
  <c r="C325" i="12"/>
  <c r="C326" i="12"/>
  <c r="C327" i="12"/>
  <c r="C328" i="12"/>
  <c r="C329" i="12"/>
  <c r="C330" i="12"/>
  <c r="C331" i="12"/>
  <c r="C332" i="12"/>
  <c r="C333" i="12"/>
  <c r="C334" i="12"/>
  <c r="C335" i="12"/>
  <c r="C336" i="12"/>
  <c r="C337" i="12"/>
  <c r="C338" i="12"/>
  <c r="C339" i="12"/>
  <c r="C340" i="12"/>
  <c r="C341" i="12"/>
  <c r="C342" i="12"/>
  <c r="C343" i="12"/>
  <c r="C344" i="12"/>
  <c r="C345" i="12"/>
  <c r="C346" i="12"/>
  <c r="C347" i="12"/>
  <c r="C348" i="12"/>
  <c r="C349" i="12"/>
  <c r="C350" i="12"/>
  <c r="C351" i="12"/>
  <c r="C352" i="12"/>
  <c r="C353" i="12"/>
  <c r="C354" i="12"/>
  <c r="C355" i="12"/>
  <c r="C356" i="12"/>
  <c r="C357" i="12"/>
  <c r="C358" i="12"/>
  <c r="C359" i="12"/>
  <c r="C360" i="12"/>
  <c r="C361" i="12"/>
  <c r="C362" i="12"/>
  <c r="C363" i="12"/>
  <c r="C364" i="12"/>
  <c r="C365" i="12"/>
  <c r="C366" i="12"/>
  <c r="C367" i="12"/>
  <c r="C368" i="12"/>
  <c r="C369" i="12"/>
  <c r="C370" i="12"/>
  <c r="C371" i="12"/>
  <c r="C372" i="12"/>
  <c r="C373" i="12"/>
  <c r="C374" i="12"/>
  <c r="C375" i="12"/>
  <c r="C376" i="12"/>
  <c r="C377" i="12"/>
  <c r="C378" i="12"/>
  <c r="C379" i="12"/>
  <c r="C380" i="12"/>
  <c r="C381" i="12"/>
  <c r="C382" i="12"/>
  <c r="C383" i="12"/>
  <c r="C384" i="12"/>
  <c r="C385" i="12"/>
  <c r="C386" i="12"/>
  <c r="C387" i="12"/>
  <c r="C388" i="12"/>
  <c r="C389" i="12"/>
  <c r="C390" i="12"/>
  <c r="C391" i="12"/>
  <c r="C392" i="12"/>
  <c r="C393" i="12"/>
  <c r="C394" i="12"/>
  <c r="C395" i="12"/>
  <c r="C396" i="12"/>
  <c r="C397" i="12"/>
  <c r="C398" i="12"/>
  <c r="C399" i="12"/>
  <c r="C400" i="12"/>
  <c r="C401" i="12"/>
  <c r="C402" i="12"/>
  <c r="C403" i="12"/>
  <c r="C404" i="12"/>
  <c r="C3" i="12"/>
  <c r="C4" i="12"/>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69" i="12"/>
  <c r="C70" i="12"/>
  <c r="C71" i="12"/>
  <c r="C72" i="12"/>
  <c r="C73" i="12"/>
  <c r="C74" i="12"/>
  <c r="C75" i="12"/>
  <c r="C76" i="12"/>
  <c r="C77" i="12"/>
  <c r="C78" i="12"/>
  <c r="C79" i="12"/>
  <c r="C80" i="12"/>
  <c r="C81" i="12"/>
  <c r="C82" i="12"/>
  <c r="C83" i="12"/>
  <c r="C84" i="12"/>
  <c r="C85" i="12"/>
  <c r="C86" i="12"/>
  <c r="C87" i="12"/>
  <c r="C88" i="12"/>
  <c r="C89" i="12"/>
  <c r="C90" i="12"/>
  <c r="C91" i="12"/>
  <c r="C92" i="12"/>
  <c r="C93" i="12"/>
  <c r="C94" i="12"/>
  <c r="C95" i="12"/>
  <c r="C96" i="12"/>
  <c r="C97" i="12"/>
  <c r="C98" i="12"/>
  <c r="C99" i="12"/>
  <c r="C100" i="12"/>
  <c r="C101" i="12"/>
  <c r="C102" i="12"/>
  <c r="C103" i="12"/>
  <c r="C104" i="12"/>
  <c r="C105" i="12"/>
  <c r="C106" i="12"/>
  <c r="C107" i="12"/>
  <c r="C108" i="12"/>
  <c r="C109" i="12"/>
  <c r="C110" i="12"/>
  <c r="C111" i="12"/>
  <c r="C112" i="12"/>
  <c r="C113" i="12"/>
  <c r="C114" i="12"/>
  <c r="C115" i="12"/>
  <c r="C116" i="12"/>
  <c r="C117" i="12"/>
  <c r="C118" i="12"/>
  <c r="C119" i="12"/>
  <c r="C120" i="12"/>
  <c r="C121" i="12"/>
  <c r="C122" i="12"/>
  <c r="C123" i="12"/>
  <c r="C124" i="12"/>
  <c r="C125" i="12"/>
  <c r="C126" i="12"/>
  <c r="C127" i="12"/>
  <c r="C128" i="12"/>
  <c r="C129" i="12"/>
  <c r="C130" i="12"/>
  <c r="C131" i="12"/>
  <c r="C132" i="12"/>
  <c r="C133" i="12"/>
  <c r="C134" i="12"/>
  <c r="C135" i="12"/>
  <c r="C136" i="12"/>
  <c r="C137" i="12"/>
  <c r="C138" i="12"/>
  <c r="C139" i="12"/>
  <c r="C140" i="12"/>
  <c r="C141" i="12"/>
  <c r="C142" i="12"/>
  <c r="C143" i="12"/>
  <c r="C144" i="12"/>
  <c r="C145" i="12"/>
  <c r="C146" i="12"/>
  <c r="C147" i="12"/>
  <c r="C148" i="12"/>
  <c r="C149" i="12"/>
  <c r="C150" i="12"/>
  <c r="C151" i="12"/>
  <c r="C152" i="12"/>
  <c r="C153" i="12"/>
  <c r="C154" i="12"/>
  <c r="C155" i="12"/>
  <c r="C156" i="12"/>
  <c r="C157" i="12"/>
  <c r="C158" i="12"/>
  <c r="C159" i="12"/>
  <c r="C160" i="12"/>
  <c r="C161" i="12"/>
  <c r="C162" i="12"/>
  <c r="C163" i="12"/>
  <c r="C164" i="12"/>
  <c r="C165" i="12"/>
  <c r="C166" i="12"/>
  <c r="C167" i="12"/>
  <c r="C168" i="12"/>
  <c r="C169" i="12"/>
  <c r="C170" i="12"/>
  <c r="C171" i="12"/>
  <c r="C172" i="12"/>
  <c r="C173" i="12"/>
  <c r="C174" i="12"/>
  <c r="C175" i="12"/>
  <c r="C176" i="12"/>
  <c r="C177" i="12"/>
  <c r="C178" i="12"/>
  <c r="C179" i="12"/>
  <c r="C180" i="12"/>
  <c r="C181" i="12"/>
  <c r="C182" i="12"/>
  <c r="C183" i="12"/>
  <c r="C184" i="12"/>
  <c r="C185" i="12"/>
  <c r="C186" i="12"/>
  <c r="C187" i="12"/>
  <c r="C188" i="12"/>
  <c r="C189" i="12"/>
  <c r="C190" i="12"/>
  <c r="C191" i="12"/>
  <c r="C2" i="12"/>
  <c r="A192" i="12"/>
  <c r="A193" i="12"/>
  <c r="A194" i="12"/>
  <c r="A195" i="12"/>
  <c r="A196" i="12"/>
  <c r="A197" i="12"/>
  <c r="A198" i="12"/>
  <c r="A199" i="12"/>
  <c r="A200" i="12"/>
  <c r="A201" i="12"/>
  <c r="A202" i="12"/>
  <c r="A203" i="12"/>
  <c r="A204" i="12"/>
  <c r="A205" i="12"/>
  <c r="A206" i="12"/>
  <c r="A207" i="12"/>
  <c r="A208" i="12"/>
  <c r="A209" i="12"/>
  <c r="A210" i="12"/>
  <c r="A211" i="12"/>
  <c r="A212" i="12"/>
  <c r="A213" i="12"/>
  <c r="A214" i="12"/>
  <c r="A215" i="12"/>
  <c r="A216" i="12"/>
  <c r="A217" i="12"/>
  <c r="A218" i="12"/>
  <c r="A219" i="12"/>
  <c r="A220" i="12"/>
  <c r="A221" i="12"/>
  <c r="A222" i="12"/>
  <c r="A223" i="12"/>
  <c r="A224" i="12"/>
  <c r="A225" i="12"/>
  <c r="A226" i="12"/>
  <c r="A227" i="12"/>
  <c r="A228" i="12"/>
  <c r="A229" i="12"/>
  <c r="A230" i="12"/>
  <c r="A231" i="12"/>
  <c r="A232" i="12"/>
  <c r="A233" i="12"/>
  <c r="A234" i="12"/>
  <c r="A235" i="12"/>
  <c r="A236" i="12"/>
  <c r="A237" i="12"/>
  <c r="A238" i="12"/>
  <c r="A239" i="12"/>
  <c r="A240" i="12"/>
  <c r="A241" i="12"/>
  <c r="A242" i="12"/>
  <c r="A243" i="12"/>
  <c r="A244" i="12"/>
  <c r="A245" i="12"/>
  <c r="A246" i="12"/>
  <c r="A247" i="12"/>
  <c r="A248" i="12"/>
  <c r="A249" i="12"/>
  <c r="A250" i="12"/>
  <c r="A251" i="12"/>
  <c r="A252" i="12"/>
  <c r="A253" i="12"/>
  <c r="A254" i="12"/>
  <c r="A255" i="12"/>
  <c r="A256" i="12"/>
  <c r="A257" i="12"/>
  <c r="A258" i="12"/>
  <c r="A259" i="12"/>
  <c r="A260" i="12"/>
  <c r="A261" i="12"/>
  <c r="A262" i="12"/>
  <c r="A263" i="12"/>
  <c r="A264" i="12"/>
  <c r="A265" i="12"/>
  <c r="A266" i="12"/>
  <c r="A267" i="12"/>
  <c r="A268" i="12"/>
  <c r="A269" i="12"/>
  <c r="A270" i="12"/>
  <c r="A271" i="12"/>
  <c r="A272" i="12"/>
  <c r="A273" i="12"/>
  <c r="A274" i="12"/>
  <c r="A275" i="12"/>
  <c r="A276" i="12"/>
  <c r="A277" i="12"/>
  <c r="A278" i="12"/>
  <c r="A279" i="12"/>
  <c r="A280" i="12"/>
  <c r="A281" i="12"/>
  <c r="A282" i="12"/>
  <c r="A283" i="12"/>
  <c r="A284" i="12"/>
  <c r="A285" i="12"/>
  <c r="A286" i="12"/>
  <c r="A287" i="12"/>
  <c r="A288" i="12"/>
  <c r="A289" i="12"/>
  <c r="A290" i="12"/>
  <c r="A291" i="12"/>
  <c r="A292" i="12"/>
  <c r="A293" i="12"/>
  <c r="A294" i="12"/>
  <c r="A295" i="12"/>
  <c r="A296" i="12"/>
  <c r="A297" i="12"/>
  <c r="A298" i="12"/>
  <c r="A299" i="12"/>
  <c r="A300" i="12"/>
  <c r="A301" i="12"/>
  <c r="A302" i="12"/>
  <c r="A303" i="12"/>
  <c r="A304" i="12"/>
  <c r="A305" i="12"/>
  <c r="A306" i="12"/>
  <c r="A307" i="12"/>
  <c r="A308" i="12"/>
  <c r="A309" i="12"/>
  <c r="A310" i="12"/>
  <c r="A311" i="12"/>
  <c r="A312" i="12"/>
  <c r="A313" i="12"/>
  <c r="A314" i="12"/>
  <c r="A315" i="12"/>
  <c r="A316" i="12"/>
  <c r="A317" i="12"/>
  <c r="A318" i="12"/>
  <c r="A319" i="12"/>
  <c r="A320" i="12"/>
  <c r="A321" i="12"/>
  <c r="A322" i="12"/>
  <c r="A323" i="12"/>
  <c r="A324" i="12"/>
  <c r="A325" i="12"/>
  <c r="A326" i="12"/>
  <c r="A327" i="12"/>
  <c r="A328" i="12"/>
  <c r="A329" i="12"/>
  <c r="A330" i="12"/>
  <c r="A331" i="12"/>
  <c r="A332" i="12"/>
  <c r="A333" i="12"/>
  <c r="A334" i="12"/>
  <c r="A335" i="12"/>
  <c r="A336" i="12"/>
  <c r="A337" i="12"/>
  <c r="A338" i="12"/>
  <c r="A339" i="12"/>
  <c r="A340" i="12"/>
  <c r="A341" i="12"/>
  <c r="A342" i="12"/>
  <c r="A343" i="12"/>
  <c r="A344" i="12"/>
  <c r="A345" i="12"/>
  <c r="A346" i="12"/>
  <c r="A347" i="12"/>
  <c r="A348" i="12"/>
  <c r="A349" i="12"/>
  <c r="A350" i="12"/>
  <c r="A351" i="12"/>
  <c r="A352" i="12"/>
  <c r="A353" i="12"/>
  <c r="A354" i="12"/>
  <c r="A355" i="12"/>
  <c r="A356" i="12"/>
  <c r="A357" i="12"/>
  <c r="A358" i="12"/>
  <c r="A359" i="12"/>
  <c r="A360" i="12"/>
  <c r="A361" i="12"/>
  <c r="A362" i="12"/>
  <c r="A363" i="12"/>
  <c r="A364" i="12"/>
  <c r="A365" i="12"/>
  <c r="A366" i="12"/>
  <c r="A367" i="12"/>
  <c r="A368" i="12"/>
  <c r="A369" i="12"/>
  <c r="A370" i="12"/>
  <c r="A371" i="12"/>
  <c r="A372" i="12"/>
  <c r="A373" i="12"/>
  <c r="A374" i="12"/>
  <c r="A375" i="12"/>
  <c r="A376" i="12"/>
  <c r="A377" i="12"/>
  <c r="A378" i="12"/>
  <c r="A379" i="12"/>
  <c r="A380" i="12"/>
  <c r="A381" i="12"/>
  <c r="A382" i="12"/>
  <c r="A383" i="12"/>
  <c r="A384" i="12"/>
  <c r="A385" i="12"/>
  <c r="A386" i="12"/>
  <c r="A387" i="12"/>
  <c r="A388" i="12"/>
  <c r="A389" i="12"/>
  <c r="A390" i="12"/>
  <c r="A391" i="12"/>
  <c r="A392" i="12"/>
  <c r="A393" i="12"/>
  <c r="A394" i="12"/>
  <c r="A395" i="12"/>
  <c r="A396" i="12"/>
  <c r="A397" i="12"/>
  <c r="A398" i="12"/>
  <c r="A399" i="12"/>
  <c r="A400" i="12"/>
  <c r="A401" i="12"/>
  <c r="A402" i="12"/>
  <c r="A403" i="12"/>
  <c r="A404" i="12"/>
  <c r="A3" i="12"/>
  <c r="A4" i="12"/>
  <c r="A5" i="12"/>
  <c r="A6" i="12"/>
  <c r="A7" i="12"/>
  <c r="A8" i="12"/>
  <c r="A9" i="12"/>
  <c r="A10" i="12"/>
  <c r="A11" i="12"/>
  <c r="A12" i="12"/>
  <c r="A13" i="12"/>
  <c r="A14" i="12"/>
  <c r="A15" i="12"/>
  <c r="A16" i="12"/>
  <c r="A17" i="12"/>
  <c r="A18" i="12"/>
  <c r="A19" i="12"/>
  <c r="A20" i="12"/>
  <c r="A21" i="12"/>
  <c r="A22" i="12"/>
  <c r="A23" i="12"/>
  <c r="A24" i="12"/>
  <c r="A25" i="12"/>
  <c r="A26" i="12"/>
  <c r="A27" i="12"/>
  <c r="A28" i="12"/>
  <c r="A29" i="12"/>
  <c r="A30" i="12"/>
  <c r="A31" i="12"/>
  <c r="A32" i="12"/>
  <c r="A33" i="12"/>
  <c r="A34" i="12"/>
  <c r="A35" i="12"/>
  <c r="A36" i="12"/>
  <c r="A37" i="12"/>
  <c r="A38" i="12"/>
  <c r="A39" i="12"/>
  <c r="A40" i="12"/>
  <c r="A41" i="12"/>
  <c r="A42" i="12"/>
  <c r="A43" i="12"/>
  <c r="A44" i="12"/>
  <c r="A45" i="12"/>
  <c r="A46" i="12"/>
  <c r="A47" i="12"/>
  <c r="A48" i="12"/>
  <c r="A49" i="12"/>
  <c r="A50" i="12"/>
  <c r="A51" i="12"/>
  <c r="A52" i="12"/>
  <c r="A53" i="12"/>
  <c r="A54" i="12"/>
  <c r="A55" i="12"/>
  <c r="A56" i="12"/>
  <c r="A57" i="12"/>
  <c r="A58" i="12"/>
  <c r="A59" i="12"/>
  <c r="A60" i="12"/>
  <c r="A61" i="12"/>
  <c r="A62" i="12"/>
  <c r="A63" i="12"/>
  <c r="A64" i="12"/>
  <c r="A65" i="12"/>
  <c r="A66" i="12"/>
  <c r="A67" i="12"/>
  <c r="A68" i="12"/>
  <c r="A69" i="12"/>
  <c r="A70" i="12"/>
  <c r="A71" i="12"/>
  <c r="A72" i="12"/>
  <c r="A73" i="12"/>
  <c r="A74" i="12"/>
  <c r="A75" i="12"/>
  <c r="A76" i="12"/>
  <c r="A77" i="12"/>
  <c r="A78" i="12"/>
  <c r="A79" i="12"/>
  <c r="A80" i="12"/>
  <c r="A81" i="12"/>
  <c r="A82" i="12"/>
  <c r="A83" i="12"/>
  <c r="A84" i="12"/>
  <c r="A85" i="12"/>
  <c r="A86" i="12"/>
  <c r="A87" i="12"/>
  <c r="A88" i="12"/>
  <c r="A89" i="12"/>
  <c r="A90" i="12"/>
  <c r="A91" i="12"/>
  <c r="A92" i="12"/>
  <c r="A93" i="12"/>
  <c r="A94" i="12"/>
  <c r="A95" i="12"/>
  <c r="A96" i="12"/>
  <c r="A97" i="12"/>
  <c r="A98" i="12"/>
  <c r="A99" i="12"/>
  <c r="A100" i="12"/>
  <c r="A101" i="12"/>
  <c r="A102" i="12"/>
  <c r="A103" i="12"/>
  <c r="A104" i="12"/>
  <c r="A105" i="12"/>
  <c r="A106" i="12"/>
  <c r="A107" i="12"/>
  <c r="A108" i="12"/>
  <c r="A109" i="12"/>
  <c r="A110" i="12"/>
  <c r="A111" i="12"/>
  <c r="A112" i="12"/>
  <c r="A113" i="12"/>
  <c r="A114" i="12"/>
  <c r="A115" i="12"/>
  <c r="A116" i="12"/>
  <c r="A117" i="12"/>
  <c r="A118" i="12"/>
  <c r="A119" i="12"/>
  <c r="A120" i="12"/>
  <c r="A121" i="12"/>
  <c r="A122" i="12"/>
  <c r="A123" i="12"/>
  <c r="A124" i="12"/>
  <c r="A125" i="12"/>
  <c r="A126" i="12"/>
  <c r="A127" i="12"/>
  <c r="A128" i="12"/>
  <c r="A129" i="12"/>
  <c r="A130" i="12"/>
  <c r="A131" i="12"/>
  <c r="A132" i="12"/>
  <c r="A133" i="12"/>
  <c r="A134" i="12"/>
  <c r="A135" i="12"/>
  <c r="A136" i="12"/>
  <c r="A137" i="12"/>
  <c r="A138" i="12"/>
  <c r="A139" i="12"/>
  <c r="A140" i="12"/>
  <c r="A141" i="12"/>
  <c r="A142" i="12"/>
  <c r="A143" i="12"/>
  <c r="A144" i="12"/>
  <c r="A145" i="12"/>
  <c r="A146" i="12"/>
  <c r="A147" i="12"/>
  <c r="A148" i="12"/>
  <c r="A149" i="12"/>
  <c r="A150" i="12"/>
  <c r="A151" i="12"/>
  <c r="A152" i="12"/>
  <c r="A153" i="12"/>
  <c r="A154" i="12"/>
  <c r="A155" i="12"/>
  <c r="A156" i="12"/>
  <c r="A157" i="12"/>
  <c r="A158" i="12"/>
  <c r="A159" i="12"/>
  <c r="A160" i="12"/>
  <c r="A161" i="12"/>
  <c r="A162" i="12"/>
  <c r="A163" i="12"/>
  <c r="A164" i="12"/>
  <c r="A165" i="12"/>
  <c r="A166" i="12"/>
  <c r="A167" i="12"/>
  <c r="A168" i="12"/>
  <c r="A169" i="12"/>
  <c r="A170" i="12"/>
  <c r="A171" i="12"/>
  <c r="A172" i="12"/>
  <c r="A173" i="12"/>
  <c r="A174" i="12"/>
  <c r="A175" i="12"/>
  <c r="A176" i="12"/>
  <c r="A177" i="12"/>
  <c r="A178" i="12"/>
  <c r="A179" i="12"/>
  <c r="A180" i="12"/>
  <c r="A181" i="12"/>
  <c r="A182" i="12"/>
  <c r="A183" i="12"/>
  <c r="A184" i="12"/>
  <c r="A185" i="12"/>
  <c r="A186" i="12"/>
  <c r="A187" i="12"/>
  <c r="A188" i="12"/>
  <c r="A189" i="12"/>
  <c r="A190" i="12"/>
  <c r="A191" i="12"/>
  <c r="A2" i="12"/>
  <c r="G57" i="10"/>
  <c r="G45" i="10"/>
  <c r="G31" i="10"/>
  <c r="G44" i="10"/>
  <c r="G30" i="10"/>
  <c r="G55" i="10"/>
  <c r="G25" i="10"/>
  <c r="G24" i="10"/>
  <c r="G37" i="10"/>
  <c r="G56" i="10"/>
  <c r="G67" i="10"/>
  <c r="G66" i="10"/>
  <c r="G64" i="10"/>
  <c r="G52" i="10"/>
  <c r="G36" i="10"/>
  <c r="G22" i="10"/>
  <c r="G63" i="10"/>
  <c r="G51" i="10"/>
  <c r="G15" i="10"/>
  <c r="G21" i="10"/>
  <c r="G54" i="10"/>
  <c r="G53" i="10"/>
  <c r="G58" i="10"/>
  <c r="G46" i="10"/>
  <c r="G14" i="10"/>
  <c r="G20" i="10"/>
  <c r="G39" i="10"/>
  <c r="G38" i="10"/>
  <c r="G65" i="10"/>
  <c r="G23" i="10"/>
  <c r="BA159" i="21" l="1"/>
  <c r="BA168" i="21"/>
  <c r="BA299" i="21"/>
  <c r="BA97" i="21"/>
  <c r="BA228" i="21"/>
  <c r="R361" i="12"/>
  <c r="AV228" i="12"/>
  <c r="BA199" i="12"/>
  <c r="AQ327" i="12"/>
  <c r="AL362" i="12"/>
  <c r="BF405" i="21"/>
  <c r="BA275" i="12"/>
  <c r="AJ262" i="12"/>
  <c r="AV396" i="12"/>
  <c r="BA267" i="12"/>
  <c r="AG310" i="12"/>
  <c r="AO250" i="12"/>
  <c r="AV322" i="12"/>
  <c r="BA347" i="12"/>
  <c r="BD358" i="12"/>
  <c r="AJ310" i="21"/>
  <c r="BB340" i="21"/>
  <c r="BA80" i="21"/>
  <c r="AG231" i="12"/>
  <c r="AL371" i="12"/>
  <c r="AV236" i="12"/>
  <c r="BA339" i="12"/>
  <c r="AI361" i="21"/>
  <c r="BA113" i="21"/>
  <c r="BA40" i="21"/>
  <c r="W369" i="12"/>
  <c r="AE350" i="12"/>
  <c r="AL283" i="12"/>
  <c r="AJ286" i="12"/>
  <c r="AL202" i="12"/>
  <c r="AQ391" i="12"/>
  <c r="BA203" i="12"/>
  <c r="BB329" i="21"/>
  <c r="R339" i="12"/>
  <c r="U299" i="12"/>
  <c r="AQ263" i="12"/>
  <c r="AV386" i="12"/>
  <c r="BI264" i="12"/>
  <c r="AJ330" i="21"/>
  <c r="U267" i="12"/>
  <c r="AG319" i="12"/>
  <c r="AO274" i="12"/>
  <c r="AQ199" i="12"/>
  <c r="AV332" i="12"/>
  <c r="BI200" i="12"/>
  <c r="AI312" i="21"/>
  <c r="BA229" i="21"/>
  <c r="BB14" i="21"/>
  <c r="BB120" i="21"/>
  <c r="BA174" i="21"/>
  <c r="Z324" i="21"/>
  <c r="BB220" i="21"/>
  <c r="Y101" i="21"/>
  <c r="BB47" i="21"/>
  <c r="BB357" i="21"/>
  <c r="BB365" i="21"/>
  <c r="BA359" i="21"/>
  <c r="BB62" i="21"/>
  <c r="BB364" i="21"/>
  <c r="Z11" i="21"/>
  <c r="BA227" i="21"/>
  <c r="BA372" i="21"/>
  <c r="AJ105" i="21"/>
  <c r="BB79" i="21"/>
  <c r="BB98" i="21"/>
  <c r="BB297" i="21"/>
  <c r="BB226" i="21"/>
  <c r="BA240" i="21"/>
  <c r="BA61" i="21"/>
  <c r="BA167" i="21"/>
  <c r="BB102" i="21"/>
  <c r="BA102" i="21"/>
  <c r="AI161" i="21"/>
  <c r="BB46" i="21"/>
  <c r="BB155" i="21"/>
  <c r="BA339" i="21"/>
  <c r="BB114" i="21"/>
  <c r="BB57" i="21"/>
  <c r="BB81" i="21"/>
  <c r="BB285" i="21"/>
  <c r="BA128" i="21"/>
  <c r="BB327" i="21"/>
  <c r="BB54" i="21"/>
  <c r="BB266" i="21"/>
  <c r="BB110" i="21"/>
  <c r="BB263" i="21"/>
  <c r="BA112" i="21"/>
  <c r="BA117" i="21"/>
  <c r="BA104" i="21"/>
  <c r="BB55" i="21"/>
  <c r="BA56" i="21"/>
  <c r="BA111" i="21"/>
  <c r="BA175" i="21"/>
  <c r="BA103" i="21"/>
  <c r="BB295" i="21"/>
  <c r="BB217" i="21"/>
  <c r="BB331" i="21"/>
  <c r="BA88" i="21"/>
  <c r="BB328" i="21"/>
  <c r="BB111" i="21"/>
  <c r="BA98" i="21"/>
  <c r="BB213" i="21"/>
  <c r="BB202" i="21"/>
  <c r="BB369" i="21"/>
  <c r="BB156" i="21"/>
  <c r="BA105" i="21"/>
  <c r="BB316" i="21"/>
  <c r="BB160" i="21"/>
  <c r="BB74" i="21"/>
  <c r="BA336" i="21"/>
  <c r="BA110" i="21"/>
  <c r="BB99" i="21"/>
  <c r="BB172" i="21"/>
  <c r="BB11" i="21"/>
  <c r="BB116" i="21"/>
  <c r="AJ122" i="21"/>
  <c r="BA158" i="21"/>
  <c r="BB281" i="21"/>
  <c r="BA373" i="21"/>
  <c r="BB332" i="21"/>
  <c r="BA298" i="21"/>
  <c r="BB348" i="21"/>
  <c r="BB95" i="21"/>
  <c r="BB7" i="21"/>
  <c r="BB70" i="21"/>
  <c r="BB354" i="21"/>
  <c r="Z337" i="21"/>
  <c r="AJ322" i="21"/>
  <c r="AJ68" i="21"/>
  <c r="AJ302" i="21"/>
  <c r="Z66" i="21"/>
  <c r="AJ203" i="21"/>
  <c r="AJ199" i="21"/>
  <c r="AJ229" i="21"/>
  <c r="AJ109" i="21"/>
  <c r="Y114" i="21"/>
  <c r="AJ97" i="21"/>
  <c r="AJ219" i="21"/>
  <c r="AJ13" i="21"/>
  <c r="Y113" i="21"/>
  <c r="AJ49" i="21"/>
  <c r="AJ358" i="21"/>
  <c r="Z361" i="21"/>
  <c r="AJ101" i="21"/>
  <c r="Z161" i="21"/>
  <c r="AJ343" i="21"/>
  <c r="AJ242" i="21"/>
  <c r="AI107" i="21"/>
  <c r="Z181" i="21"/>
  <c r="AJ264" i="21"/>
  <c r="AJ280" i="21"/>
  <c r="Z226" i="21"/>
  <c r="AJ55" i="21"/>
  <c r="AJ158" i="21"/>
  <c r="AJ113" i="21"/>
  <c r="Z99" i="21"/>
  <c r="AJ64" i="21"/>
  <c r="Z231" i="21"/>
  <c r="Z303" i="21"/>
  <c r="Z51" i="21"/>
  <c r="Z78" i="21"/>
  <c r="Z111" i="21"/>
  <c r="Z301" i="21"/>
  <c r="Y171" i="21"/>
  <c r="Z160" i="21"/>
  <c r="Z369" i="21"/>
  <c r="Z296" i="21"/>
  <c r="Z278" i="21"/>
  <c r="Z103" i="21"/>
  <c r="Z282" i="21"/>
  <c r="Z152" i="21"/>
  <c r="Z120" i="21"/>
  <c r="Y109" i="21"/>
  <c r="AG391" i="12"/>
  <c r="AQ253" i="12"/>
  <c r="R297" i="12"/>
  <c r="U222" i="12"/>
  <c r="W349" i="12"/>
  <c r="W261" i="12"/>
  <c r="AE262" i="12"/>
  <c r="AG383" i="12"/>
  <c r="AG295" i="12"/>
  <c r="AG214" i="12"/>
  <c r="AL347" i="12"/>
  <c r="AL266" i="12"/>
  <c r="AO226" i="12"/>
  <c r="AQ375" i="12"/>
  <c r="AQ311" i="12"/>
  <c r="AQ247" i="12"/>
  <c r="AV380" i="12"/>
  <c r="AV316" i="12"/>
  <c r="AV194" i="12"/>
  <c r="BA403" i="12"/>
  <c r="BA331" i="12"/>
  <c r="BA263" i="12"/>
  <c r="BD334" i="12"/>
  <c r="W365" i="12"/>
  <c r="AL275" i="12"/>
  <c r="R275" i="12"/>
  <c r="W347" i="12"/>
  <c r="W197" i="12"/>
  <c r="AB400" i="12"/>
  <c r="AE222" i="12"/>
  <c r="AG374" i="12"/>
  <c r="AG287" i="12"/>
  <c r="AG199" i="12"/>
  <c r="AL339" i="12"/>
  <c r="AL251" i="12"/>
  <c r="AO402" i="12"/>
  <c r="AO210" i="12"/>
  <c r="AQ365" i="12"/>
  <c r="AQ301" i="12"/>
  <c r="AQ237" i="12"/>
  <c r="AT228" i="12"/>
  <c r="AV370" i="12"/>
  <c r="AV306" i="12"/>
  <c r="BA395" i="12"/>
  <c r="BA327" i="12"/>
  <c r="BA241" i="12"/>
  <c r="BD326" i="12"/>
  <c r="R233" i="12"/>
  <c r="W341" i="12"/>
  <c r="AB320" i="12"/>
  <c r="AE206" i="12"/>
  <c r="AG359" i="12"/>
  <c r="AG278" i="12"/>
  <c r="AL330" i="12"/>
  <c r="AL243" i="12"/>
  <c r="AO378" i="12"/>
  <c r="AQ359" i="12"/>
  <c r="AQ295" i="12"/>
  <c r="AQ231" i="12"/>
  <c r="AV364" i="12"/>
  <c r="AV300" i="12"/>
  <c r="BA391" i="12"/>
  <c r="BA305" i="12"/>
  <c r="BA233" i="12"/>
  <c r="BD398" i="12"/>
  <c r="BD312" i="12"/>
  <c r="W293" i="12"/>
  <c r="AG223" i="12"/>
  <c r="AQ381" i="12"/>
  <c r="R211" i="12"/>
  <c r="U395" i="12"/>
  <c r="W329" i="12"/>
  <c r="AB232" i="12"/>
  <c r="AE198" i="12"/>
  <c r="AG351" i="12"/>
  <c r="AG263" i="12"/>
  <c r="AL403" i="12"/>
  <c r="AL315" i="12"/>
  <c r="AL234" i="12"/>
  <c r="AO338" i="12"/>
  <c r="AQ349" i="12"/>
  <c r="AQ285" i="12"/>
  <c r="AQ221" i="12"/>
  <c r="AV354" i="12"/>
  <c r="AV290" i="12"/>
  <c r="AY399" i="12"/>
  <c r="BA369" i="12"/>
  <c r="BA297" i="12"/>
  <c r="BA225" i="12"/>
  <c r="BD390" i="12"/>
  <c r="BD302" i="12"/>
  <c r="BD344" i="12"/>
  <c r="U363" i="12"/>
  <c r="W393" i="12"/>
  <c r="W325" i="12"/>
  <c r="Z267" i="12"/>
  <c r="AB200" i="12"/>
  <c r="AG342" i="12"/>
  <c r="AG255" i="12"/>
  <c r="AJ376" i="12"/>
  <c r="AL394" i="12"/>
  <c r="AL307" i="12"/>
  <c r="AL219" i="12"/>
  <c r="AO314" i="12"/>
  <c r="AQ343" i="12"/>
  <c r="AQ279" i="12"/>
  <c r="AQ215" i="12"/>
  <c r="AV348" i="12"/>
  <c r="AV268" i="12"/>
  <c r="AY239" i="12"/>
  <c r="BA361" i="12"/>
  <c r="BA289" i="12"/>
  <c r="BA219" i="12"/>
  <c r="BD376" i="12"/>
  <c r="BD294" i="12"/>
  <c r="BI392" i="12"/>
  <c r="W301" i="12"/>
  <c r="AQ317" i="12"/>
  <c r="R403" i="12"/>
  <c r="U331" i="12"/>
  <c r="W389" i="12"/>
  <c r="W305" i="12"/>
  <c r="Z245" i="12"/>
  <c r="AG327" i="12"/>
  <c r="AG246" i="12"/>
  <c r="AJ330" i="12"/>
  <c r="AL379" i="12"/>
  <c r="AL298" i="12"/>
  <c r="AL211" i="12"/>
  <c r="AO290" i="12"/>
  <c r="AQ397" i="12"/>
  <c r="AQ333" i="12"/>
  <c r="AQ269" i="12"/>
  <c r="AQ205" i="12"/>
  <c r="AV402" i="12"/>
  <c r="AV338" i="12"/>
  <c r="AV260" i="12"/>
  <c r="BA353" i="12"/>
  <c r="BA283" i="12"/>
  <c r="BA211" i="12"/>
  <c r="BD366" i="12"/>
  <c r="BD280" i="12"/>
  <c r="BI328" i="12"/>
  <c r="R401" i="12"/>
  <c r="R379" i="12"/>
  <c r="R359" i="12"/>
  <c r="R337" i="12"/>
  <c r="R315" i="12"/>
  <c r="R295" i="12"/>
  <c r="R273" i="12"/>
  <c r="R251" i="12"/>
  <c r="R231" i="12"/>
  <c r="R209" i="12"/>
  <c r="U392" i="12"/>
  <c r="U360" i="12"/>
  <c r="U328" i="12"/>
  <c r="U296" i="12"/>
  <c r="U265" i="12"/>
  <c r="U219" i="12"/>
  <c r="Z297" i="12"/>
  <c r="W297" i="12"/>
  <c r="Z289" i="12"/>
  <c r="W289" i="12"/>
  <c r="Z281" i="12"/>
  <c r="W281" i="12"/>
  <c r="Z273" i="12"/>
  <c r="W273" i="12"/>
  <c r="Z265" i="12"/>
  <c r="W265" i="12"/>
  <c r="Z257" i="12"/>
  <c r="W257" i="12"/>
  <c r="Z249" i="12"/>
  <c r="W249" i="12"/>
  <c r="Z233" i="12"/>
  <c r="W233" i="12"/>
  <c r="Z225" i="12"/>
  <c r="W225" i="12"/>
  <c r="Z217" i="12"/>
  <c r="W217" i="12"/>
  <c r="Z209" i="12"/>
  <c r="W209" i="12"/>
  <c r="Z201" i="12"/>
  <c r="W201" i="12"/>
  <c r="Z193" i="12"/>
  <c r="W193" i="12"/>
  <c r="W387" i="12"/>
  <c r="W345" i="12"/>
  <c r="W323" i="12"/>
  <c r="W299" i="12"/>
  <c r="AG347" i="12"/>
  <c r="AJ347" i="12"/>
  <c r="AG315" i="12"/>
  <c r="AJ315" i="12"/>
  <c r="AG307" i="12"/>
  <c r="AJ307" i="12"/>
  <c r="AG283" i="12"/>
  <c r="AJ283" i="12"/>
  <c r="AG251" i="12"/>
  <c r="AJ251" i="12"/>
  <c r="AG219" i="12"/>
  <c r="AJ219" i="12"/>
  <c r="BF353" i="12"/>
  <c r="W402" i="12"/>
  <c r="Z402" i="12"/>
  <c r="W386" i="12"/>
  <c r="Z386" i="12"/>
  <c r="W362" i="12"/>
  <c r="Z362" i="12"/>
  <c r="W346" i="12"/>
  <c r="Z346" i="12"/>
  <c r="W330" i="12"/>
  <c r="Z330" i="12"/>
  <c r="W274" i="12"/>
  <c r="Z274" i="12"/>
  <c r="W258" i="12"/>
  <c r="Z258" i="12"/>
  <c r="W210" i="12"/>
  <c r="Z210" i="12"/>
  <c r="W202" i="12"/>
  <c r="Z202" i="12"/>
  <c r="W194" i="12"/>
  <c r="Z194" i="12"/>
  <c r="R399" i="12"/>
  <c r="R377" i="12"/>
  <c r="R355" i="12"/>
  <c r="R335" i="12"/>
  <c r="R313" i="12"/>
  <c r="R291" i="12"/>
  <c r="R271" i="12"/>
  <c r="R249" i="12"/>
  <c r="R227" i="12"/>
  <c r="R207" i="12"/>
  <c r="U387" i="12"/>
  <c r="U323" i="12"/>
  <c r="U261" i="12"/>
  <c r="U217" i="12"/>
  <c r="W385" i="12"/>
  <c r="W363" i="12"/>
  <c r="W321" i="12"/>
  <c r="Z395" i="12"/>
  <c r="Z226" i="12"/>
  <c r="BF289" i="12"/>
  <c r="R375" i="12"/>
  <c r="R353" i="12"/>
  <c r="R311" i="12"/>
  <c r="R289" i="12"/>
  <c r="R247" i="12"/>
  <c r="R225" i="12"/>
  <c r="R203" i="12"/>
  <c r="U384" i="12"/>
  <c r="U352" i="12"/>
  <c r="U320" i="12"/>
  <c r="U288" i="12"/>
  <c r="U213" i="12"/>
  <c r="W403" i="12"/>
  <c r="W381" i="12"/>
  <c r="W361" i="12"/>
  <c r="W339" i="12"/>
  <c r="W317" i="12"/>
  <c r="W283" i="12"/>
  <c r="Z373" i="12"/>
  <c r="Z203" i="12"/>
  <c r="BF225" i="12"/>
  <c r="R255" i="12"/>
  <c r="W378" i="12"/>
  <c r="Z378" i="12"/>
  <c r="R393" i="12"/>
  <c r="R371" i="12"/>
  <c r="R351" i="12"/>
  <c r="R329" i="12"/>
  <c r="R307" i="12"/>
  <c r="R287" i="12"/>
  <c r="R243" i="12"/>
  <c r="R223" i="12"/>
  <c r="R201" i="12"/>
  <c r="U381" i="12"/>
  <c r="U349" i="12"/>
  <c r="U317" i="12"/>
  <c r="U285" i="12"/>
  <c r="W401" i="12"/>
  <c r="W379" i="12"/>
  <c r="W357" i="12"/>
  <c r="W337" i="12"/>
  <c r="W315" i="12"/>
  <c r="Z354" i="12"/>
  <c r="R391" i="12"/>
  <c r="R369" i="12"/>
  <c r="R347" i="12"/>
  <c r="R327" i="12"/>
  <c r="R305" i="12"/>
  <c r="R283" i="12"/>
  <c r="R263" i="12"/>
  <c r="R241" i="12"/>
  <c r="R199" i="12"/>
  <c r="U376" i="12"/>
  <c r="U344" i="12"/>
  <c r="U312" i="12"/>
  <c r="U280" i="12"/>
  <c r="U236" i="12"/>
  <c r="W285" i="12"/>
  <c r="Z285" i="12"/>
  <c r="Z277" i="12"/>
  <c r="W277" i="12"/>
  <c r="Z269" i="12"/>
  <c r="W269" i="12"/>
  <c r="Z253" i="12"/>
  <c r="W253" i="12"/>
  <c r="Z237" i="12"/>
  <c r="W237" i="12"/>
  <c r="Z229" i="12"/>
  <c r="W229" i="12"/>
  <c r="W221" i="12"/>
  <c r="Z221" i="12"/>
  <c r="Z213" i="12"/>
  <c r="W213" i="12"/>
  <c r="Z205" i="12"/>
  <c r="W205" i="12"/>
  <c r="W397" i="12"/>
  <c r="W377" i="12"/>
  <c r="W355" i="12"/>
  <c r="W333" i="12"/>
  <c r="W313" i="12"/>
  <c r="W241" i="12"/>
  <c r="Z331" i="12"/>
  <c r="AY398" i="12"/>
  <c r="AV398" i="12"/>
  <c r="AY390" i="12"/>
  <c r="AV390" i="12"/>
  <c r="AY382" i="12"/>
  <c r="AV382" i="12"/>
  <c r="AY374" i="12"/>
  <c r="AV374" i="12"/>
  <c r="AY366" i="12"/>
  <c r="AV366" i="12"/>
  <c r="AY358" i="12"/>
  <c r="AV358" i="12"/>
  <c r="AY350" i="12"/>
  <c r="AV350" i="12"/>
  <c r="AY342" i="12"/>
  <c r="AV342" i="12"/>
  <c r="AY334" i="12"/>
  <c r="AV334" i="12"/>
  <c r="AY326" i="12"/>
  <c r="AV326" i="12"/>
  <c r="AY318" i="12"/>
  <c r="AV318" i="12"/>
  <c r="AY310" i="12"/>
  <c r="AV310" i="12"/>
  <c r="AY302" i="12"/>
  <c r="AV302" i="12"/>
  <c r="AY294" i="12"/>
  <c r="AV294" i="12"/>
  <c r="AY286" i="12"/>
  <c r="AV286" i="12"/>
  <c r="R319" i="12"/>
  <c r="W394" i="12"/>
  <c r="Z394" i="12"/>
  <c r="W370" i="12"/>
  <c r="Z370" i="12"/>
  <c r="W338" i="12"/>
  <c r="Z338" i="12"/>
  <c r="W322" i="12"/>
  <c r="Z322" i="12"/>
  <c r="W314" i="12"/>
  <c r="Z314" i="12"/>
  <c r="W306" i="12"/>
  <c r="Z306" i="12"/>
  <c r="W298" i="12"/>
  <c r="Z298" i="12"/>
  <c r="W282" i="12"/>
  <c r="Z282" i="12"/>
  <c r="W266" i="12"/>
  <c r="Z266" i="12"/>
  <c r="W250" i="12"/>
  <c r="Z250" i="12"/>
  <c r="W242" i="12"/>
  <c r="Z242" i="12"/>
  <c r="W234" i="12"/>
  <c r="Z234" i="12"/>
  <c r="W218" i="12"/>
  <c r="Z218" i="12"/>
  <c r="R367" i="12"/>
  <c r="R345" i="12"/>
  <c r="R303" i="12"/>
  <c r="R281" i="12"/>
  <c r="R259" i="12"/>
  <c r="R239" i="12"/>
  <c r="R195" i="12"/>
  <c r="U373" i="12"/>
  <c r="U341" i="12"/>
  <c r="U309" i="12"/>
  <c r="U277" i="12"/>
  <c r="U235" i="12"/>
  <c r="W353" i="12"/>
  <c r="W309" i="12"/>
  <c r="W219" i="12"/>
  <c r="AJ243" i="12"/>
  <c r="R383" i="12"/>
  <c r="R385" i="12"/>
  <c r="R343" i="12"/>
  <c r="R321" i="12"/>
  <c r="R279" i="12"/>
  <c r="R257" i="12"/>
  <c r="R215" i="12"/>
  <c r="R193" i="12"/>
  <c r="U197" i="12"/>
  <c r="W307" i="12"/>
  <c r="Z307" i="12"/>
  <c r="Z291" i="12"/>
  <c r="W291" i="12"/>
  <c r="Z275" i="12"/>
  <c r="W275" i="12"/>
  <c r="Z259" i="12"/>
  <c r="W259" i="12"/>
  <c r="Z251" i="12"/>
  <c r="W251" i="12"/>
  <c r="W243" i="12"/>
  <c r="Z243" i="12"/>
  <c r="Z235" i="12"/>
  <c r="W235" i="12"/>
  <c r="Z227" i="12"/>
  <c r="W227" i="12"/>
  <c r="Z211" i="12"/>
  <c r="W211" i="12"/>
  <c r="Z195" i="12"/>
  <c r="W195" i="12"/>
  <c r="W371" i="12"/>
  <c r="Z290" i="12"/>
  <c r="AQ388" i="12"/>
  <c r="AT388" i="12"/>
  <c r="AQ324" i="12"/>
  <c r="AT324" i="12"/>
  <c r="AQ316" i="12"/>
  <c r="AT316" i="12"/>
  <c r="AQ276" i="12"/>
  <c r="AT276" i="12"/>
  <c r="AQ260" i="12"/>
  <c r="AT260" i="12"/>
  <c r="AQ252" i="12"/>
  <c r="AT252" i="12"/>
  <c r="AQ236" i="12"/>
  <c r="AT236" i="12"/>
  <c r="AQ212" i="12"/>
  <c r="AT212" i="12"/>
  <c r="AQ204" i="12"/>
  <c r="AT204" i="12"/>
  <c r="AQ196" i="12"/>
  <c r="AT196" i="12"/>
  <c r="BI401" i="12"/>
  <c r="BF401" i="12"/>
  <c r="BI393" i="12"/>
  <c r="BF393" i="12"/>
  <c r="BI385" i="12"/>
  <c r="BF385" i="12"/>
  <c r="BI377" i="12"/>
  <c r="BF377" i="12"/>
  <c r="BI369" i="12"/>
  <c r="BF369" i="12"/>
  <c r="BI361" i="12"/>
  <c r="BF361" i="12"/>
  <c r="BI345" i="12"/>
  <c r="BF345" i="12"/>
  <c r="BI337" i="12"/>
  <c r="BF337" i="12"/>
  <c r="BI329" i="12"/>
  <c r="BF329" i="12"/>
  <c r="BI321" i="12"/>
  <c r="BF321" i="12"/>
  <c r="BI313" i="12"/>
  <c r="BF313" i="12"/>
  <c r="BI305" i="12"/>
  <c r="BF305" i="12"/>
  <c r="BI297" i="12"/>
  <c r="BF297" i="12"/>
  <c r="BI281" i="12"/>
  <c r="BF281" i="12"/>
  <c r="BI273" i="12"/>
  <c r="BF273" i="12"/>
  <c r="BI265" i="12"/>
  <c r="BF265" i="12"/>
  <c r="BI257" i="12"/>
  <c r="BF257" i="12"/>
  <c r="BI249" i="12"/>
  <c r="BF249" i="12"/>
  <c r="BI241" i="12"/>
  <c r="BF241" i="12"/>
  <c r="BI233" i="12"/>
  <c r="BF233" i="12"/>
  <c r="BI217" i="12"/>
  <c r="BF217" i="12"/>
  <c r="BI209" i="12"/>
  <c r="BF209" i="12"/>
  <c r="BI201" i="12"/>
  <c r="BF201" i="12"/>
  <c r="BI193" i="12"/>
  <c r="BF193" i="12"/>
  <c r="AB392" i="12"/>
  <c r="AB304" i="12"/>
  <c r="AB224" i="12"/>
  <c r="AE318" i="12"/>
  <c r="AG382" i="12"/>
  <c r="AG350" i="12"/>
  <c r="AG318" i="12"/>
  <c r="AG254" i="12"/>
  <c r="AG222" i="12"/>
  <c r="AJ373" i="12"/>
  <c r="AJ230" i="12"/>
  <c r="AL370" i="12"/>
  <c r="AL306" i="12"/>
  <c r="AL242" i="12"/>
  <c r="AO200" i="12"/>
  <c r="AQ395" i="12"/>
  <c r="AQ379" i="12"/>
  <c r="AQ363" i="12"/>
  <c r="AQ347" i="12"/>
  <c r="AQ331" i="12"/>
  <c r="AQ315" i="12"/>
  <c r="AQ299" i="12"/>
  <c r="AQ283" i="12"/>
  <c r="AQ267" i="12"/>
  <c r="AQ251" i="12"/>
  <c r="AQ235" i="12"/>
  <c r="AQ219" i="12"/>
  <c r="AQ203" i="12"/>
  <c r="AV400" i="12"/>
  <c r="AV384" i="12"/>
  <c r="AV368" i="12"/>
  <c r="AV352" i="12"/>
  <c r="AV336" i="12"/>
  <c r="AV320" i="12"/>
  <c r="AV304" i="12"/>
  <c r="AV288" i="12"/>
  <c r="AV258" i="12"/>
  <c r="AV226" i="12"/>
  <c r="BA387" i="12"/>
  <c r="BA367" i="12"/>
  <c r="BA345" i="12"/>
  <c r="BA323" i="12"/>
  <c r="BA303" i="12"/>
  <c r="BA281" i="12"/>
  <c r="BA259" i="12"/>
  <c r="BA239" i="12"/>
  <c r="BA217" i="12"/>
  <c r="BA195" i="12"/>
  <c r="BD384" i="12"/>
  <c r="BD352" i="12"/>
  <c r="BD320" i="12"/>
  <c r="BD288" i="12"/>
  <c r="BI384" i="12"/>
  <c r="BI320" i="12"/>
  <c r="BI256" i="12"/>
  <c r="BI192" i="12"/>
  <c r="AB384" i="12"/>
  <c r="AB296" i="12"/>
  <c r="AB208" i="12"/>
  <c r="AE286" i="12"/>
  <c r="AG375" i="12"/>
  <c r="AG343" i="12"/>
  <c r="AG311" i="12"/>
  <c r="AG279" i="12"/>
  <c r="AG247" i="12"/>
  <c r="AG215" i="12"/>
  <c r="AJ400" i="12"/>
  <c r="AJ368" i="12"/>
  <c r="AL395" i="12"/>
  <c r="AL363" i="12"/>
  <c r="AL331" i="12"/>
  <c r="AL299" i="12"/>
  <c r="AL267" i="12"/>
  <c r="AL235" i="12"/>
  <c r="AL203" i="12"/>
  <c r="AO386" i="12"/>
  <c r="AO322" i="12"/>
  <c r="AO258" i="12"/>
  <c r="AQ393" i="12"/>
  <c r="AQ377" i="12"/>
  <c r="AQ361" i="12"/>
  <c r="AQ345" i="12"/>
  <c r="AQ329" i="12"/>
  <c r="AQ313" i="12"/>
  <c r="AQ297" i="12"/>
  <c r="AQ281" i="12"/>
  <c r="AQ265" i="12"/>
  <c r="AQ249" i="12"/>
  <c r="AQ233" i="12"/>
  <c r="AQ217" i="12"/>
  <c r="AQ201" i="12"/>
  <c r="AV252" i="12"/>
  <c r="AV220" i="12"/>
  <c r="BA385" i="12"/>
  <c r="BA363" i="12"/>
  <c r="BA343" i="12"/>
  <c r="BA321" i="12"/>
  <c r="BA299" i="12"/>
  <c r="BA279" i="12"/>
  <c r="BA257" i="12"/>
  <c r="BA235" i="12"/>
  <c r="BA215" i="12"/>
  <c r="BA193" i="12"/>
  <c r="BD382" i="12"/>
  <c r="BD350" i="12"/>
  <c r="BD318" i="12"/>
  <c r="BD286" i="12"/>
  <c r="BI376" i="12"/>
  <c r="BI312" i="12"/>
  <c r="BI248" i="12"/>
  <c r="AB368" i="12"/>
  <c r="AB288" i="12"/>
  <c r="AJ397" i="12"/>
  <c r="AJ365" i="12"/>
  <c r="AV283" i="12"/>
  <c r="AV248" i="12"/>
  <c r="AV216" i="12"/>
  <c r="BA383" i="12"/>
  <c r="BA319" i="12"/>
  <c r="BA255" i="12"/>
  <c r="BI368" i="12"/>
  <c r="BI304" i="12"/>
  <c r="BI240" i="12"/>
  <c r="AB360" i="12"/>
  <c r="AB272" i="12"/>
  <c r="AB192" i="12"/>
  <c r="AE254" i="12"/>
  <c r="AG399" i="12"/>
  <c r="AG367" i="12"/>
  <c r="AG335" i="12"/>
  <c r="AG303" i="12"/>
  <c r="AG271" i="12"/>
  <c r="AG239" i="12"/>
  <c r="AG207" i="12"/>
  <c r="AJ392" i="12"/>
  <c r="AJ360" i="12"/>
  <c r="AJ198" i="12"/>
  <c r="AL387" i="12"/>
  <c r="AL355" i="12"/>
  <c r="AL323" i="12"/>
  <c r="AL291" i="12"/>
  <c r="AL259" i="12"/>
  <c r="AL227" i="12"/>
  <c r="AL195" i="12"/>
  <c r="AQ389" i="12"/>
  <c r="AQ373" i="12"/>
  <c r="AQ357" i="12"/>
  <c r="AQ341" i="12"/>
  <c r="AQ325" i="12"/>
  <c r="AQ309" i="12"/>
  <c r="AQ293" i="12"/>
  <c r="AQ277" i="12"/>
  <c r="AQ261" i="12"/>
  <c r="AQ245" i="12"/>
  <c r="AQ229" i="12"/>
  <c r="AQ213" i="12"/>
  <c r="AQ197" i="12"/>
  <c r="AV394" i="12"/>
  <c r="AV378" i="12"/>
  <c r="AV362" i="12"/>
  <c r="AV346" i="12"/>
  <c r="AV330" i="12"/>
  <c r="AV314" i="12"/>
  <c r="AV298" i="12"/>
  <c r="AV280" i="12"/>
  <c r="AV242" i="12"/>
  <c r="AV208" i="12"/>
  <c r="AY377" i="12"/>
  <c r="BA401" i="12"/>
  <c r="BA379" i="12"/>
  <c r="BA359" i="12"/>
  <c r="BA337" i="12"/>
  <c r="BA315" i="12"/>
  <c r="BA295" i="12"/>
  <c r="BA273" i="12"/>
  <c r="BA251" i="12"/>
  <c r="BA231" i="12"/>
  <c r="BA209" i="12"/>
  <c r="BD374" i="12"/>
  <c r="BD342" i="12"/>
  <c r="BD310" i="12"/>
  <c r="BD278" i="12"/>
  <c r="BI360" i="12"/>
  <c r="BI296" i="12"/>
  <c r="BI232" i="12"/>
  <c r="AB352" i="12"/>
  <c r="AB264" i="12"/>
  <c r="AE230" i="12"/>
  <c r="AG398" i="12"/>
  <c r="AG366" i="12"/>
  <c r="AG334" i="12"/>
  <c r="AG302" i="12"/>
  <c r="AG270" i="12"/>
  <c r="AG238" i="12"/>
  <c r="AG206" i="12"/>
  <c r="AJ389" i="12"/>
  <c r="AJ357" i="12"/>
  <c r="AJ266" i="12"/>
  <c r="AL354" i="12"/>
  <c r="AL194" i="12"/>
  <c r="AQ403" i="12"/>
  <c r="AQ387" i="12"/>
  <c r="AQ371" i="12"/>
  <c r="AQ355" i="12"/>
  <c r="AQ339" i="12"/>
  <c r="AQ323" i="12"/>
  <c r="AQ307" i="12"/>
  <c r="AQ291" i="12"/>
  <c r="AQ275" i="12"/>
  <c r="AQ259" i="12"/>
  <c r="AQ243" i="12"/>
  <c r="AQ227" i="12"/>
  <c r="AQ211" i="12"/>
  <c r="AQ195" i="12"/>
  <c r="AV392" i="12"/>
  <c r="AV376" i="12"/>
  <c r="AV360" i="12"/>
  <c r="AV344" i="12"/>
  <c r="AV328" i="12"/>
  <c r="AV312" i="12"/>
  <c r="AV296" i="12"/>
  <c r="AV272" i="12"/>
  <c r="AV240" i="12"/>
  <c r="AV204" i="12"/>
  <c r="AY355" i="12"/>
  <c r="BA399" i="12"/>
  <c r="BA377" i="12"/>
  <c r="BA355" i="12"/>
  <c r="BA335" i="12"/>
  <c r="BA313" i="12"/>
  <c r="BA291" i="12"/>
  <c r="BA271" i="12"/>
  <c r="BA249" i="12"/>
  <c r="BA227" i="12"/>
  <c r="BA207" i="12"/>
  <c r="BD400" i="12"/>
  <c r="BD368" i="12"/>
  <c r="BD336" i="12"/>
  <c r="BD304" i="12"/>
  <c r="BI352" i="12"/>
  <c r="BI288" i="12"/>
  <c r="BI224" i="12"/>
  <c r="AB336" i="12"/>
  <c r="AB256" i="12"/>
  <c r="AJ384" i="12"/>
  <c r="AJ352" i="12"/>
  <c r="AQ401" i="12"/>
  <c r="AQ385" i="12"/>
  <c r="AQ369" i="12"/>
  <c r="AQ353" i="12"/>
  <c r="AQ337" i="12"/>
  <c r="AQ321" i="12"/>
  <c r="AQ305" i="12"/>
  <c r="AQ289" i="12"/>
  <c r="AQ273" i="12"/>
  <c r="AQ257" i="12"/>
  <c r="AQ241" i="12"/>
  <c r="AQ225" i="12"/>
  <c r="AQ209" i="12"/>
  <c r="AQ193" i="12"/>
  <c r="AV200" i="12"/>
  <c r="BA375" i="12"/>
  <c r="BA311" i="12"/>
  <c r="BA247" i="12"/>
  <c r="BI344" i="12"/>
  <c r="BI280" i="12"/>
  <c r="BI216" i="12"/>
  <c r="AB328" i="12"/>
  <c r="AB240" i="12"/>
  <c r="AE382" i="12"/>
  <c r="AG390" i="12"/>
  <c r="AG358" i="12"/>
  <c r="AG326" i="12"/>
  <c r="AG294" i="12"/>
  <c r="AJ381" i="12"/>
  <c r="AL346" i="12"/>
  <c r="AL282" i="12"/>
  <c r="AL218" i="12"/>
  <c r="AQ399" i="12"/>
  <c r="AQ383" i="12"/>
  <c r="AQ367" i="12"/>
  <c r="AQ351" i="12"/>
  <c r="AQ335" i="12"/>
  <c r="AQ319" i="12"/>
  <c r="AQ303" i="12"/>
  <c r="AQ287" i="12"/>
  <c r="AQ271" i="12"/>
  <c r="AQ255" i="12"/>
  <c r="AQ239" i="12"/>
  <c r="AQ223" i="12"/>
  <c r="AQ207" i="12"/>
  <c r="AV404" i="12"/>
  <c r="AV388" i="12"/>
  <c r="AV372" i="12"/>
  <c r="AV356" i="12"/>
  <c r="AV340" i="12"/>
  <c r="AV324" i="12"/>
  <c r="AV308" i="12"/>
  <c r="AV292" i="12"/>
  <c r="AV264" i="12"/>
  <c r="AV232" i="12"/>
  <c r="AV196" i="12"/>
  <c r="AY207" i="12"/>
  <c r="BA393" i="12"/>
  <c r="BA371" i="12"/>
  <c r="BA351" i="12"/>
  <c r="BA329" i="12"/>
  <c r="BA307" i="12"/>
  <c r="BA287" i="12"/>
  <c r="BA265" i="12"/>
  <c r="BA243" i="12"/>
  <c r="BA223" i="12"/>
  <c r="BA201" i="12"/>
  <c r="BD392" i="12"/>
  <c r="BD360" i="12"/>
  <c r="BD328" i="12"/>
  <c r="BD296" i="12"/>
  <c r="BI400" i="12"/>
  <c r="BI336" i="12"/>
  <c r="BI272" i="12"/>
  <c r="BI208" i="12"/>
  <c r="R400" i="12"/>
  <c r="R368" i="12"/>
  <c r="R336" i="12"/>
  <c r="R304" i="12"/>
  <c r="R272" i="12"/>
  <c r="R264" i="12"/>
  <c r="R256" i="12"/>
  <c r="R248" i="12"/>
  <c r="R240" i="12"/>
  <c r="R232" i="12"/>
  <c r="R224" i="12"/>
  <c r="R216" i="12"/>
  <c r="R208" i="12"/>
  <c r="R200" i="12"/>
  <c r="R192" i="12"/>
  <c r="U404" i="12"/>
  <c r="U382" i="12"/>
  <c r="U372" i="12"/>
  <c r="U350" i="12"/>
  <c r="U340" i="12"/>
  <c r="U318" i="12"/>
  <c r="U308" i="12"/>
  <c r="U286" i="12"/>
  <c r="U276" i="12"/>
  <c r="U262" i="12"/>
  <c r="U237" i="12"/>
  <c r="U212" i="12"/>
  <c r="U198" i="12"/>
  <c r="W399" i="12"/>
  <c r="Z399" i="12"/>
  <c r="W391" i="12"/>
  <c r="Z391" i="12"/>
  <c r="W383" i="12"/>
  <c r="Z383" i="12"/>
  <c r="W375" i="12"/>
  <c r="Z375" i="12"/>
  <c r="W367" i="12"/>
  <c r="Z367" i="12"/>
  <c r="W359" i="12"/>
  <c r="Z359" i="12"/>
  <c r="W351" i="12"/>
  <c r="Z351" i="12"/>
  <c r="W343" i="12"/>
  <c r="Z343" i="12"/>
  <c r="W335" i="12"/>
  <c r="Z335" i="12"/>
  <c r="W327" i="12"/>
  <c r="Z327" i="12"/>
  <c r="W319" i="12"/>
  <c r="Z319" i="12"/>
  <c r="W311" i="12"/>
  <c r="Z311" i="12"/>
  <c r="W303" i="12"/>
  <c r="Z303" i="12"/>
  <c r="W295" i="12"/>
  <c r="Z295" i="12"/>
  <c r="W287" i="12"/>
  <c r="Z287" i="12"/>
  <c r="W279" i="12"/>
  <c r="Z279" i="12"/>
  <c r="W271" i="12"/>
  <c r="Z271" i="12"/>
  <c r="W263" i="12"/>
  <c r="Z263" i="12"/>
  <c r="W255" i="12"/>
  <c r="Z255" i="12"/>
  <c r="W247" i="12"/>
  <c r="Z247" i="12"/>
  <c r="W239" i="12"/>
  <c r="Z239" i="12"/>
  <c r="Z392" i="12"/>
  <c r="Z376" i="12"/>
  <c r="Z360" i="12"/>
  <c r="Z344" i="12"/>
  <c r="Z328" i="12"/>
  <c r="Z312" i="12"/>
  <c r="Z296" i="12"/>
  <c r="Z280" i="12"/>
  <c r="Z264" i="12"/>
  <c r="Z248" i="12"/>
  <c r="Z232" i="12"/>
  <c r="Z216" i="12"/>
  <c r="Z200" i="12"/>
  <c r="R398" i="12"/>
  <c r="R390" i="12"/>
  <c r="R374" i="12"/>
  <c r="R366" i="12"/>
  <c r="R358" i="12"/>
  <c r="R342" i="12"/>
  <c r="R334" i="12"/>
  <c r="R326" i="12"/>
  <c r="R310" i="12"/>
  <c r="R302" i="12"/>
  <c r="R294" i="12"/>
  <c r="R278" i="12"/>
  <c r="R270" i="12"/>
  <c r="R254" i="12"/>
  <c r="R246" i="12"/>
  <c r="R238" i="12"/>
  <c r="R230" i="12"/>
  <c r="R214" i="12"/>
  <c r="R206" i="12"/>
  <c r="U380" i="12"/>
  <c r="U348" i="12"/>
  <c r="U316" i="12"/>
  <c r="U284" i="12"/>
  <c r="U260" i="12"/>
  <c r="U221" i="12"/>
  <c r="U196" i="12"/>
  <c r="AG401" i="12"/>
  <c r="AJ401" i="12"/>
  <c r="AG393" i="12"/>
  <c r="AJ393" i="12"/>
  <c r="AG385" i="12"/>
  <c r="AJ385" i="12"/>
  <c r="AG377" i="12"/>
  <c r="AJ377" i="12"/>
  <c r="W198" i="12"/>
  <c r="Z198" i="12"/>
  <c r="R397" i="12"/>
  <c r="R389" i="12"/>
  <c r="R365" i="12"/>
  <c r="R357" i="12"/>
  <c r="R333" i="12"/>
  <c r="R325" i="12"/>
  <c r="R301" i="12"/>
  <c r="R293" i="12"/>
  <c r="R269" i="12"/>
  <c r="R253" i="12"/>
  <c r="R245" i="12"/>
  <c r="R229" i="12"/>
  <c r="R205" i="12"/>
  <c r="U220" i="12"/>
  <c r="W404" i="12"/>
  <c r="Z404" i="12"/>
  <c r="W396" i="12"/>
  <c r="Z396" i="12"/>
  <c r="W388" i="12"/>
  <c r="Z388" i="12"/>
  <c r="W380" i="12"/>
  <c r="Z380" i="12"/>
  <c r="W372" i="12"/>
  <c r="Z372" i="12"/>
  <c r="W364" i="12"/>
  <c r="Z364" i="12"/>
  <c r="W356" i="12"/>
  <c r="Z356" i="12"/>
  <c r="W348" i="12"/>
  <c r="Z348" i="12"/>
  <c r="W340" i="12"/>
  <c r="Z340" i="12"/>
  <c r="W332" i="12"/>
  <c r="Z332" i="12"/>
  <c r="W324" i="12"/>
  <c r="Z324" i="12"/>
  <c r="W316" i="12"/>
  <c r="Z316" i="12"/>
  <c r="W308" i="12"/>
  <c r="Z308" i="12"/>
  <c r="W300" i="12"/>
  <c r="Z300" i="12"/>
  <c r="W292" i="12"/>
  <c r="Z292" i="12"/>
  <c r="W284" i="12"/>
  <c r="Z284" i="12"/>
  <c r="W276" i="12"/>
  <c r="Z276" i="12"/>
  <c r="W268" i="12"/>
  <c r="Z268" i="12"/>
  <c r="W260" i="12"/>
  <c r="Z260" i="12"/>
  <c r="W252" i="12"/>
  <c r="Z252" i="12"/>
  <c r="W244" i="12"/>
  <c r="Z244" i="12"/>
  <c r="W236" i="12"/>
  <c r="Z236" i="12"/>
  <c r="W228" i="12"/>
  <c r="Z228" i="12"/>
  <c r="W220" i="12"/>
  <c r="Z220" i="12"/>
  <c r="W212" i="12"/>
  <c r="Z212" i="12"/>
  <c r="W204" i="12"/>
  <c r="Z204" i="12"/>
  <c r="W196" i="12"/>
  <c r="Z196" i="12"/>
  <c r="R396" i="12"/>
  <c r="R388" i="12"/>
  <c r="R364" i="12"/>
  <c r="R356" i="12"/>
  <c r="R332" i="12"/>
  <c r="R324" i="12"/>
  <c r="R300" i="12"/>
  <c r="R292" i="12"/>
  <c r="R268" i="12"/>
  <c r="R252" i="12"/>
  <c r="R244" i="12"/>
  <c r="R228" i="12"/>
  <c r="R204" i="12"/>
  <c r="Z400" i="12"/>
  <c r="Z384" i="12"/>
  <c r="Z368" i="12"/>
  <c r="Z352" i="12"/>
  <c r="Z336" i="12"/>
  <c r="Z320" i="12"/>
  <c r="Z304" i="12"/>
  <c r="Z288" i="12"/>
  <c r="Z272" i="12"/>
  <c r="Z256" i="12"/>
  <c r="Z240" i="12"/>
  <c r="Z224" i="12"/>
  <c r="Z208" i="12"/>
  <c r="Z192" i="12"/>
  <c r="AB403" i="12"/>
  <c r="AE403" i="12"/>
  <c r="AB395" i="12"/>
  <c r="AE395" i="12"/>
  <c r="AB387" i="12"/>
  <c r="AE387" i="12"/>
  <c r="AB379" i="12"/>
  <c r="AE379" i="12"/>
  <c r="AB371" i="12"/>
  <c r="AE371" i="12"/>
  <c r="AB363" i="12"/>
  <c r="AE363" i="12"/>
  <c r="AB355" i="12"/>
  <c r="AE355" i="12"/>
  <c r="AB347" i="12"/>
  <c r="AE347" i="12"/>
  <c r="AB339" i="12"/>
  <c r="AE339" i="12"/>
  <c r="AB331" i="12"/>
  <c r="AE331" i="12"/>
  <c r="AB323" i="12"/>
  <c r="AE323" i="12"/>
  <c r="AB315" i="12"/>
  <c r="AE315" i="12"/>
  <c r="AB307" i="12"/>
  <c r="AE307" i="12"/>
  <c r="AB299" i="12"/>
  <c r="AE299" i="12"/>
  <c r="AB291" i="12"/>
  <c r="AE291" i="12"/>
  <c r="AB283" i="12"/>
  <c r="AE283" i="12"/>
  <c r="AB275" i="12"/>
  <c r="AE275" i="12"/>
  <c r="AB267" i="12"/>
  <c r="AE267" i="12"/>
  <c r="AB259" i="12"/>
  <c r="AE259" i="12"/>
  <c r="AB251" i="12"/>
  <c r="AE251" i="12"/>
  <c r="AB243" i="12"/>
  <c r="AE243" i="12"/>
  <c r="AB235" i="12"/>
  <c r="AE235" i="12"/>
  <c r="AB227" i="12"/>
  <c r="AE227" i="12"/>
  <c r="AB219" i="12"/>
  <c r="AE219" i="12"/>
  <c r="AB211" i="12"/>
  <c r="AE211" i="12"/>
  <c r="AB203" i="12"/>
  <c r="AE203" i="12"/>
  <c r="AB195" i="12"/>
  <c r="AE195" i="12"/>
  <c r="W398" i="12"/>
  <c r="Z398" i="12"/>
  <c r="W382" i="12"/>
  <c r="Z382" i="12"/>
  <c r="W366" i="12"/>
  <c r="Z366" i="12"/>
  <c r="W350" i="12"/>
  <c r="Z350" i="12"/>
  <c r="W334" i="12"/>
  <c r="Z334" i="12"/>
  <c r="W318" i="12"/>
  <c r="Z318" i="12"/>
  <c r="W302" i="12"/>
  <c r="Z302" i="12"/>
  <c r="W286" i="12"/>
  <c r="Z286" i="12"/>
  <c r="W270" i="12"/>
  <c r="Z270" i="12"/>
  <c r="W254" i="12"/>
  <c r="Z254" i="12"/>
  <c r="W238" i="12"/>
  <c r="Z238" i="12"/>
  <c r="W222" i="12"/>
  <c r="Z222" i="12"/>
  <c r="W206" i="12"/>
  <c r="Z206" i="12"/>
  <c r="AL390" i="12"/>
  <c r="AO390" i="12"/>
  <c r="AL374" i="12"/>
  <c r="AO374" i="12"/>
  <c r="AL358" i="12"/>
  <c r="AO358" i="12"/>
  <c r="AL342" i="12"/>
  <c r="AO342" i="12"/>
  <c r="AL326" i="12"/>
  <c r="AO326" i="12"/>
  <c r="AL310" i="12"/>
  <c r="AO310" i="12"/>
  <c r="AL294" i="12"/>
  <c r="AO294" i="12"/>
  <c r="AL278" i="12"/>
  <c r="AO278" i="12"/>
  <c r="AL262" i="12"/>
  <c r="AO262" i="12"/>
  <c r="AL246" i="12"/>
  <c r="AO246" i="12"/>
  <c r="AL230" i="12"/>
  <c r="AO230" i="12"/>
  <c r="AL222" i="12"/>
  <c r="AO222" i="12"/>
  <c r="AO198" i="12"/>
  <c r="AL198" i="12"/>
  <c r="R402" i="12"/>
  <c r="R394" i="12"/>
  <c r="R386" i="12"/>
  <c r="R378" i="12"/>
  <c r="R370" i="12"/>
  <c r="R362" i="12"/>
  <c r="R354" i="12"/>
  <c r="R346" i="12"/>
  <c r="R338" i="12"/>
  <c r="R330" i="12"/>
  <c r="R322" i="12"/>
  <c r="R314" i="12"/>
  <c r="R306" i="12"/>
  <c r="R298" i="12"/>
  <c r="R290" i="12"/>
  <c r="R282" i="12"/>
  <c r="R274" i="12"/>
  <c r="R266" i="12"/>
  <c r="R258" i="12"/>
  <c r="R250" i="12"/>
  <c r="R242" i="12"/>
  <c r="R234" i="12"/>
  <c r="R226" i="12"/>
  <c r="R218" i="12"/>
  <c r="R210" i="12"/>
  <c r="R202" i="12"/>
  <c r="R194" i="12"/>
  <c r="W390" i="12"/>
  <c r="Z390" i="12"/>
  <c r="W374" i="12"/>
  <c r="Z374" i="12"/>
  <c r="W358" i="12"/>
  <c r="Z358" i="12"/>
  <c r="W342" i="12"/>
  <c r="Z342" i="12"/>
  <c r="W326" i="12"/>
  <c r="Z326" i="12"/>
  <c r="W310" i="12"/>
  <c r="Z310" i="12"/>
  <c r="W294" i="12"/>
  <c r="Z294" i="12"/>
  <c r="W278" i="12"/>
  <c r="Z278" i="12"/>
  <c r="W262" i="12"/>
  <c r="Z262" i="12"/>
  <c r="W246" i="12"/>
  <c r="Z246" i="12"/>
  <c r="W230" i="12"/>
  <c r="Z230" i="12"/>
  <c r="W214" i="12"/>
  <c r="Z214" i="12"/>
  <c r="AL398" i="12"/>
  <c r="AO398" i="12"/>
  <c r="AL382" i="12"/>
  <c r="AO382" i="12"/>
  <c r="AL366" i="12"/>
  <c r="AO366" i="12"/>
  <c r="AL350" i="12"/>
  <c r="AO350" i="12"/>
  <c r="AL334" i="12"/>
  <c r="AO334" i="12"/>
  <c r="AL318" i="12"/>
  <c r="AO318" i="12"/>
  <c r="AL302" i="12"/>
  <c r="AO302" i="12"/>
  <c r="AL286" i="12"/>
  <c r="AO286" i="12"/>
  <c r="AL270" i="12"/>
  <c r="AO270" i="12"/>
  <c r="AL254" i="12"/>
  <c r="AO254" i="12"/>
  <c r="AL238" i="12"/>
  <c r="AO238" i="12"/>
  <c r="AL214" i="12"/>
  <c r="AO214" i="12"/>
  <c r="AO206" i="12"/>
  <c r="AL206" i="12"/>
  <c r="AB404" i="12"/>
  <c r="AE404" i="12"/>
  <c r="AB396" i="12"/>
  <c r="AE396" i="12"/>
  <c r="AB388" i="12"/>
  <c r="AE388" i="12"/>
  <c r="AB380" i="12"/>
  <c r="AE380" i="12"/>
  <c r="AB372" i="12"/>
  <c r="AE372" i="12"/>
  <c r="AB364" i="12"/>
  <c r="AE364" i="12"/>
  <c r="AB356" i="12"/>
  <c r="AE356" i="12"/>
  <c r="AB348" i="12"/>
  <c r="AE348" i="12"/>
  <c r="AB340" i="12"/>
  <c r="AE340" i="12"/>
  <c r="AB332" i="12"/>
  <c r="AE332" i="12"/>
  <c r="AB324" i="12"/>
  <c r="AE324" i="12"/>
  <c r="AB316" i="12"/>
  <c r="AE316" i="12"/>
  <c r="AB308" i="12"/>
  <c r="AE308" i="12"/>
  <c r="AB300" i="12"/>
  <c r="AE300" i="12"/>
  <c r="AB292" i="12"/>
  <c r="AE292" i="12"/>
  <c r="AB284" i="12"/>
  <c r="AE284" i="12"/>
  <c r="AB276" i="12"/>
  <c r="AE276" i="12"/>
  <c r="AB268" i="12"/>
  <c r="AE268" i="12"/>
  <c r="AB260" i="12"/>
  <c r="AE260" i="12"/>
  <c r="AB252" i="12"/>
  <c r="AE252" i="12"/>
  <c r="AB244" i="12"/>
  <c r="AE244" i="12"/>
  <c r="AB236" i="12"/>
  <c r="AE236" i="12"/>
  <c r="AB228" i="12"/>
  <c r="AE228" i="12"/>
  <c r="AB220" i="12"/>
  <c r="AE220" i="12"/>
  <c r="AB212" i="12"/>
  <c r="AE212" i="12"/>
  <c r="AB204" i="12"/>
  <c r="AE204" i="12"/>
  <c r="AB196" i="12"/>
  <c r="AE196" i="12"/>
  <c r="AB391" i="12"/>
  <c r="AB359" i="12"/>
  <c r="AB327" i="12"/>
  <c r="AB295" i="12"/>
  <c r="AB263" i="12"/>
  <c r="AB231" i="12"/>
  <c r="AB199" i="12"/>
  <c r="AE383" i="12"/>
  <c r="AE351" i="12"/>
  <c r="AE319" i="12"/>
  <c r="AE287" i="12"/>
  <c r="AE255" i="12"/>
  <c r="AE223" i="12"/>
  <c r="AG402" i="12"/>
  <c r="AJ402" i="12"/>
  <c r="AG394" i="12"/>
  <c r="AJ394" i="12"/>
  <c r="AG386" i="12"/>
  <c r="AJ386" i="12"/>
  <c r="AG378" i="12"/>
  <c r="AJ378" i="12"/>
  <c r="AG370" i="12"/>
  <c r="AJ370" i="12"/>
  <c r="AG362" i="12"/>
  <c r="AJ362" i="12"/>
  <c r="AG354" i="12"/>
  <c r="AJ354" i="12"/>
  <c r="AG346" i="12"/>
  <c r="AJ346" i="12"/>
  <c r="AJ338" i="12"/>
  <c r="AG338" i="12"/>
  <c r="AG322" i="12"/>
  <c r="AJ322" i="12"/>
  <c r="AJ314" i="12"/>
  <c r="AG314" i="12"/>
  <c r="AG306" i="12"/>
  <c r="AJ306" i="12"/>
  <c r="AG298" i="12"/>
  <c r="AJ298" i="12"/>
  <c r="AG290" i="12"/>
  <c r="AJ290" i="12"/>
  <c r="AG282" i="12"/>
  <c r="AJ282" i="12"/>
  <c r="AJ274" i="12"/>
  <c r="AG274" i="12"/>
  <c r="AG258" i="12"/>
  <c r="AJ258" i="12"/>
  <c r="AJ250" i="12"/>
  <c r="AG250" i="12"/>
  <c r="AG242" i="12"/>
  <c r="AJ242" i="12"/>
  <c r="AG234" i="12"/>
  <c r="AJ234" i="12"/>
  <c r="AG226" i="12"/>
  <c r="AJ226" i="12"/>
  <c r="AG218" i="12"/>
  <c r="AJ218" i="12"/>
  <c r="AJ210" i="12"/>
  <c r="AG210" i="12"/>
  <c r="AG194" i="12"/>
  <c r="AJ194" i="12"/>
  <c r="Z231" i="12"/>
  <c r="Z223" i="12"/>
  <c r="Z215" i="12"/>
  <c r="Z207" i="12"/>
  <c r="Z199" i="12"/>
  <c r="AB402" i="12"/>
  <c r="AE402" i="12"/>
  <c r="AB394" i="12"/>
  <c r="AE394" i="12"/>
  <c r="AB386" i="12"/>
  <c r="AE386" i="12"/>
  <c r="AB378" i="12"/>
  <c r="AE378" i="12"/>
  <c r="AB370" i="12"/>
  <c r="AE370" i="12"/>
  <c r="AB362" i="12"/>
  <c r="AE362" i="12"/>
  <c r="AB354" i="12"/>
  <c r="AE354" i="12"/>
  <c r="AB346" i="12"/>
  <c r="AE346" i="12"/>
  <c r="AB338" i="12"/>
  <c r="AE338" i="12"/>
  <c r="AB330" i="12"/>
  <c r="AE330" i="12"/>
  <c r="AB322" i="12"/>
  <c r="AE322" i="12"/>
  <c r="AB314" i="12"/>
  <c r="AE314" i="12"/>
  <c r="AB306" i="12"/>
  <c r="AE306" i="12"/>
  <c r="AB298" i="12"/>
  <c r="AE298" i="12"/>
  <c r="AB290" i="12"/>
  <c r="AE290" i="12"/>
  <c r="AB282" i="12"/>
  <c r="AE282" i="12"/>
  <c r="AB274" i="12"/>
  <c r="AE274" i="12"/>
  <c r="AB266" i="12"/>
  <c r="AE266" i="12"/>
  <c r="AB258" i="12"/>
  <c r="AE258" i="12"/>
  <c r="AB250" i="12"/>
  <c r="AE250" i="12"/>
  <c r="AB242" i="12"/>
  <c r="AE242" i="12"/>
  <c r="AB234" i="12"/>
  <c r="AE234" i="12"/>
  <c r="AB226" i="12"/>
  <c r="AE226" i="12"/>
  <c r="AB218" i="12"/>
  <c r="AE218" i="12"/>
  <c r="AB210" i="12"/>
  <c r="AE210" i="12"/>
  <c r="AB202" i="12"/>
  <c r="AE202" i="12"/>
  <c r="AB194" i="12"/>
  <c r="AE194" i="12"/>
  <c r="AE375" i="12"/>
  <c r="AE343" i="12"/>
  <c r="AE311" i="12"/>
  <c r="AE279" i="12"/>
  <c r="AE247" i="12"/>
  <c r="AE215" i="12"/>
  <c r="AE401" i="12"/>
  <c r="AB401" i="12"/>
  <c r="AE393" i="12"/>
  <c r="AB393" i="12"/>
  <c r="AE385" i="12"/>
  <c r="AB385" i="12"/>
  <c r="AE377" i="12"/>
  <c r="AB377" i="12"/>
  <c r="AE369" i="12"/>
  <c r="AB369" i="12"/>
  <c r="AE361" i="12"/>
  <c r="AB361" i="12"/>
  <c r="AE353" i="12"/>
  <c r="AB353" i="12"/>
  <c r="AE345" i="12"/>
  <c r="AB345" i="12"/>
  <c r="AE337" i="12"/>
  <c r="AB337" i="12"/>
  <c r="AE329" i="12"/>
  <c r="AB329" i="12"/>
  <c r="AE321" i="12"/>
  <c r="AB321" i="12"/>
  <c r="AE313" i="12"/>
  <c r="AB313" i="12"/>
  <c r="AE305" i="12"/>
  <c r="AB305" i="12"/>
  <c r="AE297" i="12"/>
  <c r="AB297" i="12"/>
  <c r="AE289" i="12"/>
  <c r="AB289" i="12"/>
  <c r="AE281" i="12"/>
  <c r="AB281" i="12"/>
  <c r="AE273" i="12"/>
  <c r="AB273" i="12"/>
  <c r="AE265" i="12"/>
  <c r="AB265" i="12"/>
  <c r="AE257" i="12"/>
  <c r="AB257" i="12"/>
  <c r="AE249" i="12"/>
  <c r="AB249" i="12"/>
  <c r="AE241" i="12"/>
  <c r="AB241" i="12"/>
  <c r="AE233" i="12"/>
  <c r="AB233" i="12"/>
  <c r="AE225" i="12"/>
  <c r="AB225" i="12"/>
  <c r="AE217" i="12"/>
  <c r="AB217" i="12"/>
  <c r="AE209" i="12"/>
  <c r="AB209" i="12"/>
  <c r="AE201" i="12"/>
  <c r="AB201" i="12"/>
  <c r="AB376" i="12"/>
  <c r="AB344" i="12"/>
  <c r="AB312" i="12"/>
  <c r="AB280" i="12"/>
  <c r="AB248" i="12"/>
  <c r="AB216" i="12"/>
  <c r="AE374" i="12"/>
  <c r="AE342" i="12"/>
  <c r="AE310" i="12"/>
  <c r="AE278" i="12"/>
  <c r="AE246" i="12"/>
  <c r="AE214" i="12"/>
  <c r="AJ202" i="12"/>
  <c r="AE399" i="12"/>
  <c r="AE367" i="12"/>
  <c r="AE335" i="12"/>
  <c r="AE303" i="12"/>
  <c r="AE271" i="12"/>
  <c r="AE239" i="12"/>
  <c r="AE207" i="12"/>
  <c r="AE398" i="12"/>
  <c r="AE366" i="12"/>
  <c r="AE334" i="12"/>
  <c r="AE302" i="12"/>
  <c r="AE270" i="12"/>
  <c r="AE238" i="12"/>
  <c r="AB397" i="12"/>
  <c r="AE397" i="12"/>
  <c r="AB389" i="12"/>
  <c r="AE389" i="12"/>
  <c r="AB381" i="12"/>
  <c r="AE381" i="12"/>
  <c r="AB373" i="12"/>
  <c r="AE373" i="12"/>
  <c r="AB365" i="12"/>
  <c r="AE365" i="12"/>
  <c r="AB357" i="12"/>
  <c r="AE357" i="12"/>
  <c r="AB349" i="12"/>
  <c r="AE349" i="12"/>
  <c r="AB341" i="12"/>
  <c r="AE341" i="12"/>
  <c r="AB333" i="12"/>
  <c r="AE333" i="12"/>
  <c r="AB325" i="12"/>
  <c r="AE325" i="12"/>
  <c r="AB317" i="12"/>
  <c r="AE317" i="12"/>
  <c r="AB309" i="12"/>
  <c r="AE309" i="12"/>
  <c r="AB301" i="12"/>
  <c r="AE301" i="12"/>
  <c r="AB293" i="12"/>
  <c r="AE293" i="12"/>
  <c r="AB285" i="12"/>
  <c r="AE285" i="12"/>
  <c r="AB277" i="12"/>
  <c r="AE277" i="12"/>
  <c r="AB269" i="12"/>
  <c r="AE269" i="12"/>
  <c r="AB261" i="12"/>
  <c r="AE261" i="12"/>
  <c r="AB253" i="12"/>
  <c r="AE253" i="12"/>
  <c r="AB245" i="12"/>
  <c r="AE245" i="12"/>
  <c r="AB237" i="12"/>
  <c r="AE237" i="12"/>
  <c r="AB229" i="12"/>
  <c r="AE229" i="12"/>
  <c r="AB221" i="12"/>
  <c r="AE221" i="12"/>
  <c r="AB213" i="12"/>
  <c r="AE213" i="12"/>
  <c r="AB205" i="12"/>
  <c r="AE205" i="12"/>
  <c r="AE390" i="12"/>
  <c r="AE358" i="12"/>
  <c r="AE326" i="12"/>
  <c r="AE294" i="12"/>
  <c r="AB193" i="12"/>
  <c r="AG344" i="12"/>
  <c r="AG336" i="12"/>
  <c r="AG328" i="12"/>
  <c r="AG320" i="12"/>
  <c r="AG312" i="12"/>
  <c r="AG304" i="12"/>
  <c r="AG296" i="12"/>
  <c r="AG288" i="12"/>
  <c r="AG280" i="12"/>
  <c r="AG272" i="12"/>
  <c r="AG264" i="12"/>
  <c r="AG256" i="12"/>
  <c r="AG248" i="12"/>
  <c r="AG240" i="12"/>
  <c r="AG232" i="12"/>
  <c r="AG224" i="12"/>
  <c r="AG216" i="12"/>
  <c r="AG208" i="12"/>
  <c r="AG200" i="12"/>
  <c r="AG192" i="12"/>
  <c r="AJ349" i="12"/>
  <c r="AJ331" i="12"/>
  <c r="AJ267" i="12"/>
  <c r="AJ203" i="12"/>
  <c r="AJ396" i="12"/>
  <c r="AJ388" i="12"/>
  <c r="AJ380" i="12"/>
  <c r="AJ372" i="12"/>
  <c r="AJ364" i="12"/>
  <c r="AJ356" i="12"/>
  <c r="AE197" i="12"/>
  <c r="AG341" i="12"/>
  <c r="AG333" i="12"/>
  <c r="AG325" i="12"/>
  <c r="AG317" i="12"/>
  <c r="AG309" i="12"/>
  <c r="AG301" i="12"/>
  <c r="AG293" i="12"/>
  <c r="AG285" i="12"/>
  <c r="AG277" i="12"/>
  <c r="AG269" i="12"/>
  <c r="AG261" i="12"/>
  <c r="AG253" i="12"/>
  <c r="AG245" i="12"/>
  <c r="AG237" i="12"/>
  <c r="AG229" i="12"/>
  <c r="AG221" i="12"/>
  <c r="AG213" i="12"/>
  <c r="AG205" i="12"/>
  <c r="AG197" i="12"/>
  <c r="AJ403" i="12"/>
  <c r="AJ395" i="12"/>
  <c r="AJ387" i="12"/>
  <c r="AJ379" i="12"/>
  <c r="AJ371" i="12"/>
  <c r="AJ363" i="12"/>
  <c r="AJ355" i="12"/>
  <c r="AJ323" i="12"/>
  <c r="AJ259" i="12"/>
  <c r="AJ195" i="12"/>
  <c r="AG404" i="12"/>
  <c r="AG348" i="12"/>
  <c r="AG340" i="12"/>
  <c r="AG332" i="12"/>
  <c r="AG324" i="12"/>
  <c r="AG316" i="12"/>
  <c r="AG308" i="12"/>
  <c r="AG300" i="12"/>
  <c r="AG292" i="12"/>
  <c r="AG284" i="12"/>
  <c r="AG276" i="12"/>
  <c r="AG268" i="12"/>
  <c r="AG260" i="12"/>
  <c r="AG252" i="12"/>
  <c r="AG244" i="12"/>
  <c r="AG236" i="12"/>
  <c r="AG228" i="12"/>
  <c r="AG220" i="12"/>
  <c r="AG212" i="12"/>
  <c r="AG204" i="12"/>
  <c r="AG196" i="12"/>
  <c r="AJ299" i="12"/>
  <c r="AJ235" i="12"/>
  <c r="AG339" i="12"/>
  <c r="AG291" i="12"/>
  <c r="AG275" i="12"/>
  <c r="AG227" i="12"/>
  <c r="AG211" i="12"/>
  <c r="AJ369" i="12"/>
  <c r="AJ361" i="12"/>
  <c r="AJ353" i="12"/>
  <c r="AG345" i="12"/>
  <c r="AG337" i="12"/>
  <c r="AG329" i="12"/>
  <c r="AG321" i="12"/>
  <c r="AG313" i="12"/>
  <c r="AG305" i="12"/>
  <c r="AG297" i="12"/>
  <c r="AG289" i="12"/>
  <c r="AG281" i="12"/>
  <c r="AG273" i="12"/>
  <c r="AG265" i="12"/>
  <c r="AG257" i="12"/>
  <c r="AG249" i="12"/>
  <c r="AG241" i="12"/>
  <c r="AG233" i="12"/>
  <c r="AG225" i="12"/>
  <c r="AG217" i="12"/>
  <c r="AG209" i="12"/>
  <c r="AG201" i="12"/>
  <c r="AG193" i="12"/>
  <c r="AO401" i="12"/>
  <c r="AO393" i="12"/>
  <c r="AO385" i="12"/>
  <c r="AO377" i="12"/>
  <c r="AO369" i="12"/>
  <c r="AO361" i="12"/>
  <c r="AO353" i="12"/>
  <c r="AO345" i="12"/>
  <c r="AO337" i="12"/>
  <c r="AO329" i="12"/>
  <c r="AO321" i="12"/>
  <c r="AO313" i="12"/>
  <c r="AO305" i="12"/>
  <c r="AO297" i="12"/>
  <c r="AO289" i="12"/>
  <c r="AO281" i="12"/>
  <c r="AO273" i="12"/>
  <c r="AO265" i="12"/>
  <c r="AO257" i="12"/>
  <c r="AO249" i="12"/>
  <c r="AO241" i="12"/>
  <c r="AO233" i="12"/>
  <c r="AO225" i="12"/>
  <c r="AO217" i="12"/>
  <c r="AO209" i="12"/>
  <c r="AO199" i="12"/>
  <c r="AQ400" i="12"/>
  <c r="AT400" i="12"/>
  <c r="AQ392" i="12"/>
  <c r="AT392" i="12"/>
  <c r="AQ384" i="12"/>
  <c r="AT384" i="12"/>
  <c r="AQ376" i="12"/>
  <c r="AT376" i="12"/>
  <c r="AQ368" i="12"/>
  <c r="AT368" i="12"/>
  <c r="AQ360" i="12"/>
  <c r="AT360" i="12"/>
  <c r="AQ352" i="12"/>
  <c r="AT352" i="12"/>
  <c r="AQ344" i="12"/>
  <c r="AT344" i="12"/>
  <c r="AQ336" i="12"/>
  <c r="AT336" i="12"/>
  <c r="AQ328" i="12"/>
  <c r="AT328" i="12"/>
  <c r="AQ320" i="12"/>
  <c r="AT320" i="12"/>
  <c r="AQ312" i="12"/>
  <c r="AT312" i="12"/>
  <c r="AQ304" i="12"/>
  <c r="AT304" i="12"/>
  <c r="AQ296" i="12"/>
  <c r="AT296" i="12"/>
  <c r="AQ288" i="12"/>
  <c r="AT288" i="12"/>
  <c r="AQ280" i="12"/>
  <c r="AT280" i="12"/>
  <c r="AQ272" i="12"/>
  <c r="AT272" i="12"/>
  <c r="AQ264" i="12"/>
  <c r="AT264" i="12"/>
  <c r="AQ256" i="12"/>
  <c r="AT256" i="12"/>
  <c r="AQ248" i="12"/>
  <c r="AT248" i="12"/>
  <c r="AQ240" i="12"/>
  <c r="AT240" i="12"/>
  <c r="AQ232" i="12"/>
  <c r="AT232" i="12"/>
  <c r="AQ224" i="12"/>
  <c r="AT224" i="12"/>
  <c r="AQ216" i="12"/>
  <c r="AT216" i="12"/>
  <c r="AQ208" i="12"/>
  <c r="AT208" i="12"/>
  <c r="AQ200" i="12"/>
  <c r="AT200" i="12"/>
  <c r="AQ192" i="12"/>
  <c r="AT192" i="12"/>
  <c r="AT380" i="12"/>
  <c r="AL201" i="12"/>
  <c r="AL193" i="12"/>
  <c r="AO400" i="12"/>
  <c r="AO392" i="12"/>
  <c r="AO384" i="12"/>
  <c r="AO376" i="12"/>
  <c r="AO368" i="12"/>
  <c r="AO360" i="12"/>
  <c r="AO352" i="12"/>
  <c r="AO344" i="12"/>
  <c r="AO336" i="12"/>
  <c r="AO328" i="12"/>
  <c r="AO320" i="12"/>
  <c r="AO312" i="12"/>
  <c r="AO304" i="12"/>
  <c r="AO296" i="12"/>
  <c r="AO288" i="12"/>
  <c r="AO280" i="12"/>
  <c r="AO272" i="12"/>
  <c r="AO264" i="12"/>
  <c r="AO256" i="12"/>
  <c r="AO248" i="12"/>
  <c r="AO240" i="12"/>
  <c r="AO232" i="12"/>
  <c r="AO224" i="12"/>
  <c r="AO216" i="12"/>
  <c r="AO208" i="12"/>
  <c r="AO197" i="12"/>
  <c r="AT372" i="12"/>
  <c r="AT308" i="12"/>
  <c r="AT244" i="12"/>
  <c r="AL192" i="12"/>
  <c r="AO399" i="12"/>
  <c r="AO391" i="12"/>
  <c r="AO383" i="12"/>
  <c r="AO375" i="12"/>
  <c r="AO367" i="12"/>
  <c r="AO359" i="12"/>
  <c r="AO351" i="12"/>
  <c r="AO343" i="12"/>
  <c r="AO335" i="12"/>
  <c r="AO327" i="12"/>
  <c r="AO319" i="12"/>
  <c r="AO311" i="12"/>
  <c r="AO303" i="12"/>
  <c r="AO295" i="12"/>
  <c r="AO287" i="12"/>
  <c r="AO279" i="12"/>
  <c r="AO271" i="12"/>
  <c r="AO263" i="12"/>
  <c r="AO255" i="12"/>
  <c r="AO247" i="12"/>
  <c r="AO239" i="12"/>
  <c r="AO231" i="12"/>
  <c r="AO223" i="12"/>
  <c r="AO215" i="12"/>
  <c r="AO207" i="12"/>
  <c r="AO196" i="12"/>
  <c r="AT398" i="12"/>
  <c r="AQ398" i="12"/>
  <c r="AT390" i="12"/>
  <c r="AQ390" i="12"/>
  <c r="AT382" i="12"/>
  <c r="AQ382" i="12"/>
  <c r="AT374" i="12"/>
  <c r="AQ374" i="12"/>
  <c r="AT366" i="12"/>
  <c r="AQ366" i="12"/>
  <c r="AT358" i="12"/>
  <c r="AQ358" i="12"/>
  <c r="AT350" i="12"/>
  <c r="AQ350" i="12"/>
  <c r="AT342" i="12"/>
  <c r="AQ342" i="12"/>
  <c r="AT334" i="12"/>
  <c r="AQ334" i="12"/>
  <c r="AT326" i="12"/>
  <c r="AQ326" i="12"/>
  <c r="AT318" i="12"/>
  <c r="AQ318" i="12"/>
  <c r="AT310" i="12"/>
  <c r="AQ310" i="12"/>
  <c r="AT302" i="12"/>
  <c r="AQ302" i="12"/>
  <c r="AT294" i="12"/>
  <c r="AQ294" i="12"/>
  <c r="AT286" i="12"/>
  <c r="AQ286" i="12"/>
  <c r="AT278" i="12"/>
  <c r="AQ278" i="12"/>
  <c r="AT270" i="12"/>
  <c r="AQ270" i="12"/>
  <c r="AT262" i="12"/>
  <c r="AQ262" i="12"/>
  <c r="AT254" i="12"/>
  <c r="AQ254" i="12"/>
  <c r="AT246" i="12"/>
  <c r="AQ246" i="12"/>
  <c r="AT238" i="12"/>
  <c r="AQ238" i="12"/>
  <c r="AT230" i="12"/>
  <c r="AQ230" i="12"/>
  <c r="AT222" i="12"/>
  <c r="AQ222" i="12"/>
  <c r="AT214" i="12"/>
  <c r="AQ214" i="12"/>
  <c r="AT206" i="12"/>
  <c r="AQ206" i="12"/>
  <c r="AT198" i="12"/>
  <c r="AQ198" i="12"/>
  <c r="AT364" i="12"/>
  <c r="AT300" i="12"/>
  <c r="AY335" i="12"/>
  <c r="AO205" i="12"/>
  <c r="AT356" i="12"/>
  <c r="AT292" i="12"/>
  <c r="AV391" i="12"/>
  <c r="AY391" i="12"/>
  <c r="AY383" i="12"/>
  <c r="AV383" i="12"/>
  <c r="AV375" i="12"/>
  <c r="AY375" i="12"/>
  <c r="AV367" i="12"/>
  <c r="AY367" i="12"/>
  <c r="AV359" i="12"/>
  <c r="AY359" i="12"/>
  <c r="AV351" i="12"/>
  <c r="AY351" i="12"/>
  <c r="AY343" i="12"/>
  <c r="AV343" i="12"/>
  <c r="AV327" i="12"/>
  <c r="AY327" i="12"/>
  <c r="AV319" i="12"/>
  <c r="AY319" i="12"/>
  <c r="AY311" i="12"/>
  <c r="AV311" i="12"/>
  <c r="AV295" i="12"/>
  <c r="AY295" i="12"/>
  <c r="AV287" i="12"/>
  <c r="AY287" i="12"/>
  <c r="AV279" i="12"/>
  <c r="AY279" i="12"/>
  <c r="AV263" i="12"/>
  <c r="AY263" i="12"/>
  <c r="AV255" i="12"/>
  <c r="AY255" i="12"/>
  <c r="AV247" i="12"/>
  <c r="AY247" i="12"/>
  <c r="AV231" i="12"/>
  <c r="AY231" i="12"/>
  <c r="AV223" i="12"/>
  <c r="AY223" i="12"/>
  <c r="AV215" i="12"/>
  <c r="AY215" i="12"/>
  <c r="AV199" i="12"/>
  <c r="AY199" i="12"/>
  <c r="AY303" i="12"/>
  <c r="AO397" i="12"/>
  <c r="AO389" i="12"/>
  <c r="AO381" i="12"/>
  <c r="AO373" i="12"/>
  <c r="AO365" i="12"/>
  <c r="AO357" i="12"/>
  <c r="AO349" i="12"/>
  <c r="AO341" i="12"/>
  <c r="AO333" i="12"/>
  <c r="AO325" i="12"/>
  <c r="AO317" i="12"/>
  <c r="AO309" i="12"/>
  <c r="AO301" i="12"/>
  <c r="AO293" i="12"/>
  <c r="AO285" i="12"/>
  <c r="AO277" i="12"/>
  <c r="AO269" i="12"/>
  <c r="AO261" i="12"/>
  <c r="AO253" i="12"/>
  <c r="AO245" i="12"/>
  <c r="AO237" i="12"/>
  <c r="AO229" i="12"/>
  <c r="AO221" i="12"/>
  <c r="AO213" i="12"/>
  <c r="AO204" i="12"/>
  <c r="AT348" i="12"/>
  <c r="AT284" i="12"/>
  <c r="AT220" i="12"/>
  <c r="AY271" i="12"/>
  <c r="AO404" i="12"/>
  <c r="AO396" i="12"/>
  <c r="AO388" i="12"/>
  <c r="AO380" i="12"/>
  <c r="AO372" i="12"/>
  <c r="AO364" i="12"/>
  <c r="AO356" i="12"/>
  <c r="AO348" i="12"/>
  <c r="AO340" i="12"/>
  <c r="AO332" i="12"/>
  <c r="AO324" i="12"/>
  <c r="AO316" i="12"/>
  <c r="AO308" i="12"/>
  <c r="AO300" i="12"/>
  <c r="AO292" i="12"/>
  <c r="AO284" i="12"/>
  <c r="AO276" i="12"/>
  <c r="AO268" i="12"/>
  <c r="AO260" i="12"/>
  <c r="AO252" i="12"/>
  <c r="AO244" i="12"/>
  <c r="AO236" i="12"/>
  <c r="AO228" i="12"/>
  <c r="AO220" i="12"/>
  <c r="AO212" i="12"/>
  <c r="AT404" i="12"/>
  <c r="AT340" i="12"/>
  <c r="AQ402" i="12"/>
  <c r="AT402" i="12"/>
  <c r="AQ394" i="12"/>
  <c r="AT394" i="12"/>
  <c r="AQ386" i="12"/>
  <c r="AT386" i="12"/>
  <c r="AQ378" i="12"/>
  <c r="AT378" i="12"/>
  <c r="AQ370" i="12"/>
  <c r="AT370" i="12"/>
  <c r="AQ362" i="12"/>
  <c r="AT362" i="12"/>
  <c r="AQ354" i="12"/>
  <c r="AT354" i="12"/>
  <c r="AQ346" i="12"/>
  <c r="AT346" i="12"/>
  <c r="AQ338" i="12"/>
  <c r="AT338" i="12"/>
  <c r="AQ330" i="12"/>
  <c r="AT330" i="12"/>
  <c r="AQ322" i="12"/>
  <c r="AT322" i="12"/>
  <c r="AQ314" i="12"/>
  <c r="AT314" i="12"/>
  <c r="AQ306" i="12"/>
  <c r="AT306" i="12"/>
  <c r="AQ298" i="12"/>
  <c r="AT298" i="12"/>
  <c r="AQ290" i="12"/>
  <c r="AT290" i="12"/>
  <c r="AQ282" i="12"/>
  <c r="AT282" i="12"/>
  <c r="AQ274" i="12"/>
  <c r="AT274" i="12"/>
  <c r="AQ266" i="12"/>
  <c r="AT266" i="12"/>
  <c r="AQ258" i="12"/>
  <c r="AT258" i="12"/>
  <c r="AQ250" i="12"/>
  <c r="AT250" i="12"/>
  <c r="AQ242" i="12"/>
  <c r="AT242" i="12"/>
  <c r="AQ234" i="12"/>
  <c r="AT234" i="12"/>
  <c r="AQ226" i="12"/>
  <c r="AT226" i="12"/>
  <c r="AQ218" i="12"/>
  <c r="AT218" i="12"/>
  <c r="AQ210" i="12"/>
  <c r="AT210" i="12"/>
  <c r="AQ202" i="12"/>
  <c r="AT202" i="12"/>
  <c r="AQ194" i="12"/>
  <c r="AT194" i="12"/>
  <c r="AT396" i="12"/>
  <c r="AT332" i="12"/>
  <c r="AT268" i="12"/>
  <c r="AV397" i="12"/>
  <c r="AV389" i="12"/>
  <c r="AV381" i="12"/>
  <c r="AV373" i="12"/>
  <c r="AV365" i="12"/>
  <c r="AV357" i="12"/>
  <c r="AV349" i="12"/>
  <c r="AV341" i="12"/>
  <c r="AV333" i="12"/>
  <c r="AV325" i="12"/>
  <c r="AV317" i="12"/>
  <c r="AV309" i="12"/>
  <c r="AV301" i="12"/>
  <c r="AV293" i="12"/>
  <c r="AV284" i="12"/>
  <c r="AV266" i="12"/>
  <c r="AV244" i="12"/>
  <c r="AV224" i="12"/>
  <c r="AV202" i="12"/>
  <c r="AY401" i="12"/>
  <c r="AY379" i="12"/>
  <c r="AY337" i="12"/>
  <c r="AY305" i="12"/>
  <c r="AY273" i="12"/>
  <c r="AY241" i="12"/>
  <c r="AY209" i="12"/>
  <c r="AV278" i="12"/>
  <c r="AY278" i="12"/>
  <c r="AV270" i="12"/>
  <c r="AY270" i="12"/>
  <c r="AV262" i="12"/>
  <c r="AY262" i="12"/>
  <c r="AV254" i="12"/>
  <c r="AY254" i="12"/>
  <c r="AV246" i="12"/>
  <c r="AY246" i="12"/>
  <c r="AV238" i="12"/>
  <c r="AY238" i="12"/>
  <c r="AV230" i="12"/>
  <c r="AY230" i="12"/>
  <c r="AV222" i="12"/>
  <c r="AY222" i="12"/>
  <c r="AV214" i="12"/>
  <c r="AY214" i="12"/>
  <c r="AV206" i="12"/>
  <c r="AY206" i="12"/>
  <c r="AV198" i="12"/>
  <c r="AY198" i="12"/>
  <c r="AV403" i="12"/>
  <c r="AV395" i="12"/>
  <c r="AV387" i="12"/>
  <c r="AV371" i="12"/>
  <c r="AV363" i="12"/>
  <c r="AV347" i="12"/>
  <c r="AV339" i="12"/>
  <c r="AV331" i="12"/>
  <c r="AV323" i="12"/>
  <c r="AV315" i="12"/>
  <c r="AV307" i="12"/>
  <c r="AV299" i="12"/>
  <c r="AV291" i="12"/>
  <c r="AV282" i="12"/>
  <c r="AV218" i="12"/>
  <c r="AY353" i="12"/>
  <c r="AY329" i="12"/>
  <c r="AY297" i="12"/>
  <c r="AY265" i="12"/>
  <c r="AY233" i="12"/>
  <c r="AY201" i="12"/>
  <c r="AV285" i="12"/>
  <c r="AY285" i="12"/>
  <c r="AV277" i="12"/>
  <c r="AY277" i="12"/>
  <c r="AV269" i="12"/>
  <c r="AY269" i="12"/>
  <c r="AV261" i="12"/>
  <c r="AY261" i="12"/>
  <c r="AV253" i="12"/>
  <c r="AY253" i="12"/>
  <c r="AV245" i="12"/>
  <c r="AY245" i="12"/>
  <c r="AV237" i="12"/>
  <c r="AY237" i="12"/>
  <c r="AV229" i="12"/>
  <c r="AY229" i="12"/>
  <c r="AV221" i="12"/>
  <c r="AY221" i="12"/>
  <c r="AV213" i="12"/>
  <c r="AY213" i="12"/>
  <c r="AV205" i="12"/>
  <c r="AY205" i="12"/>
  <c r="AV197" i="12"/>
  <c r="AY197" i="12"/>
  <c r="AY393" i="12"/>
  <c r="AV385" i="12"/>
  <c r="AV369" i="12"/>
  <c r="AV361" i="12"/>
  <c r="AV345" i="12"/>
  <c r="AV321" i="12"/>
  <c r="AV313" i="12"/>
  <c r="AV289" i="12"/>
  <c r="AV276" i="12"/>
  <c r="AV256" i="12"/>
  <c r="AV234" i="12"/>
  <c r="AV212" i="12"/>
  <c r="AV192" i="12"/>
  <c r="AY257" i="12"/>
  <c r="AY225" i="12"/>
  <c r="AY193" i="12"/>
  <c r="AV275" i="12"/>
  <c r="AY275" i="12"/>
  <c r="AV267" i="12"/>
  <c r="AY267" i="12"/>
  <c r="AV259" i="12"/>
  <c r="AY259" i="12"/>
  <c r="AV251" i="12"/>
  <c r="AY251" i="12"/>
  <c r="AV243" i="12"/>
  <c r="AY243" i="12"/>
  <c r="AV235" i="12"/>
  <c r="AY235" i="12"/>
  <c r="AV227" i="12"/>
  <c r="AY227" i="12"/>
  <c r="AV219" i="12"/>
  <c r="AY219" i="12"/>
  <c r="AV211" i="12"/>
  <c r="AY211" i="12"/>
  <c r="AV203" i="12"/>
  <c r="AY203" i="12"/>
  <c r="AV195" i="12"/>
  <c r="AY195" i="12"/>
  <c r="AV274" i="12"/>
  <c r="AV210" i="12"/>
  <c r="BA402" i="12"/>
  <c r="BD402" i="12"/>
  <c r="BA394" i="12"/>
  <c r="BD394" i="12"/>
  <c r="BA386" i="12"/>
  <c r="BD386" i="12"/>
  <c r="BA378" i="12"/>
  <c r="BD378" i="12"/>
  <c r="BA370" i="12"/>
  <c r="BD370" i="12"/>
  <c r="BA362" i="12"/>
  <c r="BD362" i="12"/>
  <c r="BA354" i="12"/>
  <c r="BD354" i="12"/>
  <c r="BA346" i="12"/>
  <c r="BD346" i="12"/>
  <c r="BA338" i="12"/>
  <c r="BD338" i="12"/>
  <c r="BA330" i="12"/>
  <c r="BD330" i="12"/>
  <c r="BA322" i="12"/>
  <c r="BD322" i="12"/>
  <c r="BA314" i="12"/>
  <c r="BD314" i="12"/>
  <c r="BA306" i="12"/>
  <c r="BD306" i="12"/>
  <c r="BA298" i="12"/>
  <c r="BD298" i="12"/>
  <c r="BA290" i="12"/>
  <c r="BD290" i="12"/>
  <c r="BA282" i="12"/>
  <c r="BD282" i="12"/>
  <c r="BD274" i="12"/>
  <c r="BA274" i="12"/>
  <c r="BD266" i="12"/>
  <c r="BA266" i="12"/>
  <c r="BD258" i="12"/>
  <c r="BA258" i="12"/>
  <c r="BD250" i="12"/>
  <c r="BA250" i="12"/>
  <c r="BD242" i="12"/>
  <c r="BA242" i="12"/>
  <c r="BD234" i="12"/>
  <c r="BA234" i="12"/>
  <c r="BD226" i="12"/>
  <c r="BA226" i="12"/>
  <c r="BD218" i="12"/>
  <c r="BA218" i="12"/>
  <c r="BD210" i="12"/>
  <c r="BA210" i="12"/>
  <c r="BD202" i="12"/>
  <c r="BA202" i="12"/>
  <c r="BD194" i="12"/>
  <c r="BA194" i="12"/>
  <c r="AV250" i="12"/>
  <c r="AY281" i="12"/>
  <c r="AY249" i="12"/>
  <c r="AY217" i="12"/>
  <c r="BA270" i="12"/>
  <c r="BA262" i="12"/>
  <c r="BA254" i="12"/>
  <c r="BA246" i="12"/>
  <c r="BA238" i="12"/>
  <c r="BA230" i="12"/>
  <c r="BA222" i="12"/>
  <c r="BA214" i="12"/>
  <c r="BA206" i="12"/>
  <c r="BA198" i="12"/>
  <c r="BD397" i="12"/>
  <c r="BD389" i="12"/>
  <c r="BD381" i="12"/>
  <c r="BD373" i="12"/>
  <c r="BD365" i="12"/>
  <c r="BD357" i="12"/>
  <c r="BD349" i="12"/>
  <c r="BD341" i="12"/>
  <c r="BD333" i="12"/>
  <c r="BD325" i="12"/>
  <c r="BD317" i="12"/>
  <c r="BD309" i="12"/>
  <c r="BD301" i="12"/>
  <c r="BD293" i="12"/>
  <c r="BD285" i="12"/>
  <c r="BD277" i="12"/>
  <c r="BA269" i="12"/>
  <c r="BA261" i="12"/>
  <c r="BA253" i="12"/>
  <c r="BA245" i="12"/>
  <c r="BA237" i="12"/>
  <c r="BA229" i="12"/>
  <c r="BA221" i="12"/>
  <c r="BA213" i="12"/>
  <c r="BA205" i="12"/>
  <c r="BA197" i="12"/>
  <c r="BD404" i="12"/>
  <c r="BD396" i="12"/>
  <c r="BD388" i="12"/>
  <c r="BD380" i="12"/>
  <c r="BD372" i="12"/>
  <c r="BD364" i="12"/>
  <c r="BD356" i="12"/>
  <c r="BD348" i="12"/>
  <c r="BD340" i="12"/>
  <c r="BD332" i="12"/>
  <c r="BD324" i="12"/>
  <c r="BD316" i="12"/>
  <c r="BD308" i="12"/>
  <c r="BD300" i="12"/>
  <c r="BD292" i="12"/>
  <c r="BD284" i="12"/>
  <c r="BD276" i="12"/>
  <c r="BA268" i="12"/>
  <c r="BA260" i="12"/>
  <c r="BA252" i="12"/>
  <c r="BA244" i="12"/>
  <c r="BA236" i="12"/>
  <c r="BA228" i="12"/>
  <c r="BA220" i="12"/>
  <c r="BA212" i="12"/>
  <c r="BA204" i="12"/>
  <c r="BA196" i="12"/>
  <c r="BI404" i="12"/>
  <c r="BF404" i="12"/>
  <c r="BI396" i="12"/>
  <c r="BF396" i="12"/>
  <c r="BI388" i="12"/>
  <c r="BF388" i="12"/>
  <c r="BI380" i="12"/>
  <c r="BF380" i="12"/>
  <c r="BI372" i="12"/>
  <c r="BF372" i="12"/>
  <c r="BI364" i="12"/>
  <c r="BF364" i="12"/>
  <c r="BI356" i="12"/>
  <c r="BF356" i="12"/>
  <c r="BI348" i="12"/>
  <c r="BF348" i="12"/>
  <c r="BI340" i="12"/>
  <c r="BF340" i="12"/>
  <c r="BI332" i="12"/>
  <c r="BF332" i="12"/>
  <c r="BI324" i="12"/>
  <c r="BF324" i="12"/>
  <c r="BI316" i="12"/>
  <c r="BF316" i="12"/>
  <c r="BI308" i="12"/>
  <c r="BF308" i="12"/>
  <c r="BI300" i="12"/>
  <c r="BF300" i="12"/>
  <c r="BI292" i="12"/>
  <c r="BF292" i="12"/>
  <c r="BI284" i="12"/>
  <c r="BF284" i="12"/>
  <c r="BI276" i="12"/>
  <c r="BF276" i="12"/>
  <c r="BI268" i="12"/>
  <c r="BF268" i="12"/>
  <c r="BI260" i="12"/>
  <c r="BF260" i="12"/>
  <c r="BI252" i="12"/>
  <c r="BF252" i="12"/>
  <c r="BI244" i="12"/>
  <c r="BF244" i="12"/>
  <c r="BI236" i="12"/>
  <c r="BF236" i="12"/>
  <c r="BI228" i="12"/>
  <c r="BF228" i="12"/>
  <c r="BI220" i="12"/>
  <c r="BF220" i="12"/>
  <c r="BI212" i="12"/>
  <c r="BF212" i="12"/>
  <c r="BI204" i="12"/>
  <c r="BF204" i="12"/>
  <c r="BI196" i="12"/>
  <c r="BF196" i="12"/>
  <c r="BA272" i="12"/>
  <c r="BA264" i="12"/>
  <c r="BA256" i="12"/>
  <c r="BA248" i="12"/>
  <c r="BA240" i="12"/>
  <c r="BA232" i="12"/>
  <c r="BA224" i="12"/>
  <c r="BA216" i="12"/>
  <c r="BA208" i="12"/>
  <c r="BA200" i="12"/>
  <c r="BA192" i="12"/>
  <c r="BI403" i="12"/>
  <c r="BI395" i="12"/>
  <c r="BI387" i="12"/>
  <c r="BI379" i="12"/>
  <c r="BI371" i="12"/>
  <c r="BI363" i="12"/>
  <c r="BI355" i="12"/>
  <c r="BI347" i="12"/>
  <c r="BI339" i="12"/>
  <c r="BI331" i="12"/>
  <c r="BI323" i="12"/>
  <c r="BI315" i="12"/>
  <c r="BI307" i="12"/>
  <c r="BI299" i="12"/>
  <c r="BI291" i="12"/>
  <c r="BI283" i="12"/>
  <c r="BI275" i="12"/>
  <c r="BI267" i="12"/>
  <c r="BI259" i="12"/>
  <c r="BI251" i="12"/>
  <c r="BI243" i="12"/>
  <c r="BI235" i="12"/>
  <c r="BI227" i="12"/>
  <c r="BI219" i="12"/>
  <c r="BI211" i="12"/>
  <c r="BI203" i="12"/>
  <c r="BI195" i="12"/>
  <c r="BI402" i="12"/>
  <c r="BI394" i="12"/>
  <c r="BI386" i="12"/>
  <c r="BI378" i="12"/>
  <c r="BI370" i="12"/>
  <c r="BI362" i="12"/>
  <c r="BI354" i="12"/>
  <c r="BI346" i="12"/>
  <c r="BI338" i="12"/>
  <c r="BI330" i="12"/>
  <c r="BI322" i="12"/>
  <c r="BI314" i="12"/>
  <c r="BI306" i="12"/>
  <c r="BI298" i="12"/>
  <c r="BI290" i="12"/>
  <c r="BI282" i="12"/>
  <c r="BI274" i="12"/>
  <c r="BI266" i="12"/>
  <c r="BI258" i="12"/>
  <c r="BI250" i="12"/>
  <c r="BI242" i="12"/>
  <c r="BI234" i="12"/>
  <c r="BI226" i="12"/>
  <c r="BI218" i="12"/>
  <c r="BI210" i="12"/>
  <c r="BI202" i="12"/>
  <c r="BI194" i="12"/>
  <c r="BI399" i="12"/>
  <c r="BI391" i="12"/>
  <c r="BI383" i="12"/>
  <c r="BI375" i="12"/>
  <c r="BI367" i="12"/>
  <c r="BI359" i="12"/>
  <c r="BI351" i="12"/>
  <c r="BI343" i="12"/>
  <c r="BI335" i="12"/>
  <c r="BI327" i="12"/>
  <c r="BI319" i="12"/>
  <c r="BI311" i="12"/>
  <c r="BI303" i="12"/>
  <c r="BI295" i="12"/>
  <c r="BI287" i="12"/>
  <c r="BI279" i="12"/>
  <c r="BI271" i="12"/>
  <c r="BI263" i="12"/>
  <c r="BI255" i="12"/>
  <c r="BI247" i="12"/>
  <c r="BI239" i="12"/>
  <c r="BI231" i="12"/>
  <c r="BI223" i="12"/>
  <c r="BI215" i="12"/>
  <c r="BI207" i="12"/>
  <c r="BI199" i="12"/>
  <c r="BI398" i="12"/>
  <c r="BI390" i="12"/>
  <c r="BI382" i="12"/>
  <c r="BI374" i="12"/>
  <c r="BI366" i="12"/>
  <c r="BI358" i="12"/>
  <c r="BI350" i="12"/>
  <c r="BI342" i="12"/>
  <c r="BI334" i="12"/>
  <c r="BI326" i="12"/>
  <c r="BI318" i="12"/>
  <c r="BI310" i="12"/>
  <c r="BI302" i="12"/>
  <c r="BI294" i="12"/>
  <c r="BI286" i="12"/>
  <c r="BI278" i="12"/>
  <c r="BI270" i="12"/>
  <c r="BI262" i="12"/>
  <c r="BI254" i="12"/>
  <c r="BI246" i="12"/>
  <c r="BI238" i="12"/>
  <c r="BI230" i="12"/>
  <c r="BI222" i="12"/>
  <c r="BI214" i="12"/>
  <c r="BI206" i="12"/>
  <c r="BI198" i="12"/>
  <c r="BI397" i="12"/>
  <c r="BI389" i="12"/>
  <c r="BI381" i="12"/>
  <c r="BI373" i="12"/>
  <c r="BI365" i="12"/>
  <c r="BI357" i="12"/>
  <c r="BI349" i="12"/>
  <c r="BI341" i="12"/>
  <c r="BI333" i="12"/>
  <c r="BI325" i="12"/>
  <c r="BI317" i="12"/>
  <c r="BI309" i="12"/>
  <c r="BI301" i="12"/>
  <c r="BI293" i="12"/>
  <c r="BI285" i="12"/>
  <c r="BI277" i="12"/>
  <c r="BI269" i="12"/>
  <c r="BI261" i="12"/>
  <c r="BI253" i="12"/>
  <c r="BI245" i="12"/>
  <c r="BI237" i="12"/>
  <c r="BI229" i="12"/>
  <c r="BI221" i="12"/>
  <c r="BI213" i="12"/>
  <c r="BI205" i="12"/>
  <c r="BI197" i="12"/>
  <c r="G68" i="10"/>
  <c r="G59" i="10"/>
  <c r="G47" i="10"/>
  <c r="G40" i="10"/>
  <c r="G26" i="10"/>
  <c r="G32" i="10"/>
  <c r="AA405" i="19"/>
  <c r="F10" i="10" s="1"/>
  <c r="X405" i="19"/>
  <c r="F9" i="10" s="1"/>
  <c r="U405" i="19"/>
  <c r="F8" i="10" s="1"/>
  <c r="R405" i="19"/>
  <c r="F7" i="10" s="1"/>
  <c r="O405" i="19"/>
  <c r="F6" i="10" s="1"/>
  <c r="L405" i="19"/>
  <c r="F5" i="10" s="1"/>
  <c r="I405" i="19"/>
  <c r="F4" i="10" s="1"/>
  <c r="C405" i="19"/>
  <c r="F2" i="10" s="1"/>
  <c r="F405" i="19"/>
  <c r="F3" i="10" s="1"/>
  <c r="AX409" i="12"/>
  <c r="AS409" i="12"/>
  <c r="AN409" i="12"/>
  <c r="AI409" i="12"/>
  <c r="AD409" i="12"/>
  <c r="Y409" i="12"/>
  <c r="T409" i="12"/>
  <c r="BH160" i="12"/>
  <c r="BG27" i="12"/>
  <c r="BG28" i="12"/>
  <c r="BG29" i="12"/>
  <c r="BG30" i="12"/>
  <c r="BG31" i="12"/>
  <c r="BG32" i="12"/>
  <c r="BH32" i="12" s="1"/>
  <c r="BG33" i="12"/>
  <c r="BH33" i="12" s="1"/>
  <c r="BG34" i="12"/>
  <c r="BH34" i="12" s="1"/>
  <c r="BG35" i="12"/>
  <c r="BG36" i="12"/>
  <c r="BG37" i="12"/>
  <c r="BG38" i="12"/>
  <c r="BG39" i="12"/>
  <c r="BG40" i="12"/>
  <c r="BH40" i="12" s="1"/>
  <c r="BG41" i="12"/>
  <c r="BH41" i="12" s="1"/>
  <c r="BG42" i="12"/>
  <c r="BH42" i="12" s="1"/>
  <c r="BG43" i="12"/>
  <c r="BG44" i="12"/>
  <c r="BG45" i="12"/>
  <c r="BG46" i="12"/>
  <c r="BG47" i="12"/>
  <c r="BG48" i="12"/>
  <c r="BH48" i="12" s="1"/>
  <c r="BG49" i="12"/>
  <c r="BH49" i="12" s="1"/>
  <c r="BG50" i="12"/>
  <c r="BH50" i="12" s="1"/>
  <c r="BG51" i="12"/>
  <c r="BG52" i="12"/>
  <c r="BG53" i="12"/>
  <c r="BG54" i="12"/>
  <c r="BG55" i="12"/>
  <c r="BG56" i="12"/>
  <c r="BH56" i="12" s="1"/>
  <c r="BG57" i="12"/>
  <c r="BH57" i="12" s="1"/>
  <c r="BG58" i="12"/>
  <c r="BH58" i="12" s="1"/>
  <c r="BG59" i="12"/>
  <c r="BG60" i="12"/>
  <c r="BG61" i="12"/>
  <c r="BG62" i="12"/>
  <c r="BG63" i="12"/>
  <c r="BG64" i="12"/>
  <c r="BH64" i="12" s="1"/>
  <c r="BG65" i="12"/>
  <c r="BH65" i="12" s="1"/>
  <c r="BG66" i="12"/>
  <c r="BH66" i="12" s="1"/>
  <c r="BG67" i="12"/>
  <c r="BG68" i="12"/>
  <c r="BG69" i="12"/>
  <c r="BG70" i="12"/>
  <c r="BG71" i="12"/>
  <c r="BG72" i="12"/>
  <c r="BH72" i="12" s="1"/>
  <c r="BG73" i="12"/>
  <c r="BH73" i="12" s="1"/>
  <c r="BG74" i="12"/>
  <c r="BH74" i="12" s="1"/>
  <c r="BG75" i="12"/>
  <c r="BG76" i="12"/>
  <c r="BG77" i="12"/>
  <c r="BG78" i="12"/>
  <c r="BG79" i="12"/>
  <c r="BG80" i="12"/>
  <c r="BH80" i="12" s="1"/>
  <c r="BG81" i="12"/>
  <c r="BH81" i="12" s="1"/>
  <c r="BG82" i="12"/>
  <c r="BH82" i="12" s="1"/>
  <c r="BG83" i="12"/>
  <c r="BG84" i="12"/>
  <c r="BG85" i="12"/>
  <c r="BG86" i="12"/>
  <c r="BG87" i="12"/>
  <c r="BG88" i="12"/>
  <c r="BH88" i="12" s="1"/>
  <c r="BG89" i="12"/>
  <c r="BH89" i="12" s="1"/>
  <c r="BG90" i="12"/>
  <c r="BH90" i="12" s="1"/>
  <c r="BG91" i="12"/>
  <c r="BG92" i="12"/>
  <c r="BG93" i="12"/>
  <c r="BG94" i="12"/>
  <c r="BG95" i="12"/>
  <c r="BG96" i="12"/>
  <c r="BH96" i="12" s="1"/>
  <c r="BG97" i="12"/>
  <c r="BH97" i="12" s="1"/>
  <c r="BG98" i="12"/>
  <c r="BH98" i="12" s="1"/>
  <c r="BG99" i="12"/>
  <c r="BG100" i="12"/>
  <c r="BG101" i="12"/>
  <c r="BG102" i="12"/>
  <c r="BG103" i="12"/>
  <c r="BG104" i="12"/>
  <c r="BH104" i="12" s="1"/>
  <c r="BG105" i="12"/>
  <c r="BH105" i="12" s="1"/>
  <c r="BG106" i="12"/>
  <c r="BH106" i="12" s="1"/>
  <c r="BG107" i="12"/>
  <c r="BG108" i="12"/>
  <c r="BG109" i="12"/>
  <c r="BG110" i="12"/>
  <c r="BG111" i="12"/>
  <c r="BG112" i="12"/>
  <c r="BH112" i="12" s="1"/>
  <c r="BG113" i="12"/>
  <c r="BH113" i="12" s="1"/>
  <c r="BG114" i="12"/>
  <c r="BH114" i="12" s="1"/>
  <c r="BG115" i="12"/>
  <c r="BG116" i="12"/>
  <c r="BG117" i="12"/>
  <c r="BG118" i="12"/>
  <c r="BG119" i="12"/>
  <c r="BG120" i="12"/>
  <c r="BH120" i="12" s="1"/>
  <c r="BG121" i="12"/>
  <c r="BH121" i="12" s="1"/>
  <c r="BG122" i="12"/>
  <c r="BH122" i="12" s="1"/>
  <c r="BG123" i="12"/>
  <c r="BG124" i="12"/>
  <c r="BG125" i="12"/>
  <c r="BG126" i="12"/>
  <c r="BG127" i="12"/>
  <c r="BG128" i="12"/>
  <c r="BH128" i="12" s="1"/>
  <c r="BG129" i="12"/>
  <c r="BH129" i="12" s="1"/>
  <c r="BG130" i="12"/>
  <c r="BH130" i="12" s="1"/>
  <c r="BG131" i="12"/>
  <c r="BG132" i="12"/>
  <c r="BG133" i="12"/>
  <c r="BG134" i="12"/>
  <c r="BG135" i="12"/>
  <c r="BG136" i="12"/>
  <c r="BH136" i="12" s="1"/>
  <c r="BG137" i="12"/>
  <c r="BH137" i="12" s="1"/>
  <c r="BG138" i="12"/>
  <c r="BH138" i="12" s="1"/>
  <c r="BG139" i="12"/>
  <c r="BG140" i="12"/>
  <c r="BG141" i="12"/>
  <c r="BG142" i="12"/>
  <c r="BG143" i="12"/>
  <c r="BG144" i="12"/>
  <c r="BH144" i="12" s="1"/>
  <c r="BG145" i="12"/>
  <c r="BH145" i="12" s="1"/>
  <c r="BG146" i="12"/>
  <c r="BH146" i="12" s="1"/>
  <c r="BG147" i="12"/>
  <c r="BG148" i="12"/>
  <c r="BG149" i="12"/>
  <c r="BG150" i="12"/>
  <c r="BG151" i="12"/>
  <c r="BG152" i="12"/>
  <c r="BH152" i="12" s="1"/>
  <c r="BG153" i="12"/>
  <c r="BH153" i="12" s="1"/>
  <c r="BG154" i="12"/>
  <c r="BH154" i="12" s="1"/>
  <c r="BG155" i="12"/>
  <c r="BG156" i="12"/>
  <c r="BG157" i="12"/>
  <c r="BG158" i="12"/>
  <c r="BG159" i="12"/>
  <c r="BG160" i="12"/>
  <c r="BG161" i="12"/>
  <c r="BH161" i="12" s="1"/>
  <c r="BG162" i="12"/>
  <c r="BH162" i="12" s="1"/>
  <c r="BG163" i="12"/>
  <c r="BG164" i="12"/>
  <c r="BG165" i="12"/>
  <c r="BG166" i="12"/>
  <c r="BG167" i="12"/>
  <c r="BG168" i="12"/>
  <c r="BH168" i="12" s="1"/>
  <c r="BG169" i="12"/>
  <c r="BH169" i="12" s="1"/>
  <c r="BG170" i="12"/>
  <c r="BH170" i="12" s="1"/>
  <c r="BG171" i="12"/>
  <c r="BG172" i="12"/>
  <c r="BG173" i="12"/>
  <c r="BG174" i="12"/>
  <c r="BG175" i="12"/>
  <c r="BG176" i="12"/>
  <c r="BH176" i="12" s="1"/>
  <c r="BG177" i="12"/>
  <c r="BH177" i="12" s="1"/>
  <c r="BG178" i="12"/>
  <c r="BH178" i="12" s="1"/>
  <c r="BG179" i="12"/>
  <c r="BG180" i="12"/>
  <c r="BG181" i="12"/>
  <c r="BG182" i="12"/>
  <c r="BG183" i="12"/>
  <c r="BG184" i="12"/>
  <c r="BH184" i="12" s="1"/>
  <c r="BG185" i="12"/>
  <c r="BH185" i="12" s="1"/>
  <c r="BG186" i="12"/>
  <c r="BH186" i="12" s="1"/>
  <c r="BG187" i="12"/>
  <c r="BG188" i="12"/>
  <c r="BG189" i="12"/>
  <c r="BG190" i="12"/>
  <c r="BG191" i="12"/>
  <c r="BG3" i="12"/>
  <c r="BH3" i="12" s="1"/>
  <c r="BG4" i="12"/>
  <c r="BG5" i="12"/>
  <c r="BG6" i="12"/>
  <c r="BH6" i="12" s="1"/>
  <c r="BG7" i="12"/>
  <c r="BG8" i="12"/>
  <c r="BG9" i="12"/>
  <c r="BG10" i="12"/>
  <c r="BH10" i="12" s="1"/>
  <c r="BG11" i="12"/>
  <c r="BH11" i="12" s="1"/>
  <c r="BG12" i="12"/>
  <c r="BG13" i="12"/>
  <c r="BH13" i="12" s="1"/>
  <c r="BG14" i="12"/>
  <c r="BH14" i="12" s="1"/>
  <c r="BG15" i="12"/>
  <c r="BG16" i="12"/>
  <c r="BG17" i="12"/>
  <c r="BG18" i="12"/>
  <c r="BG19" i="12"/>
  <c r="BH19" i="12" s="1"/>
  <c r="BG20" i="12"/>
  <c r="BG21" i="12"/>
  <c r="BH21" i="12" s="1"/>
  <c r="BG22" i="12"/>
  <c r="BH22" i="12" s="1"/>
  <c r="BG23" i="12"/>
  <c r="BG24" i="12"/>
  <c r="BG25" i="12"/>
  <c r="BG26" i="12"/>
  <c r="BH26" i="12" s="1"/>
  <c r="BG2" i="12"/>
  <c r="BH2" i="12" s="1"/>
  <c r="BF41" i="12"/>
  <c r="BF80" i="12"/>
  <c r="BF81" i="12"/>
  <c r="BF137" i="12"/>
  <c r="BF144" i="12"/>
  <c r="BF27" i="12"/>
  <c r="BF28" i="12"/>
  <c r="BF29" i="12"/>
  <c r="BF30" i="12"/>
  <c r="BF31" i="12"/>
  <c r="BF32" i="12"/>
  <c r="BF33" i="12"/>
  <c r="BF34" i="12"/>
  <c r="BF35" i="12"/>
  <c r="BF36" i="12"/>
  <c r="BF37" i="12"/>
  <c r="BF38" i="12"/>
  <c r="BF39" i="12"/>
  <c r="BF40" i="12"/>
  <c r="BF42" i="12"/>
  <c r="BF43" i="12"/>
  <c r="BF44" i="12"/>
  <c r="BF45" i="12"/>
  <c r="BF46" i="12"/>
  <c r="BF47" i="12"/>
  <c r="BF48" i="12"/>
  <c r="BF49" i="12"/>
  <c r="BF50" i="12"/>
  <c r="BF51" i="12"/>
  <c r="BF52" i="12"/>
  <c r="BF53" i="12"/>
  <c r="BF54" i="12"/>
  <c r="BF55" i="12"/>
  <c r="BF56" i="12"/>
  <c r="BF57" i="12"/>
  <c r="BF58" i="12"/>
  <c r="BF59" i="12"/>
  <c r="BF60" i="12"/>
  <c r="BF61" i="12"/>
  <c r="BF62" i="12"/>
  <c r="BF63" i="12"/>
  <c r="BF64" i="12"/>
  <c r="BF65" i="12"/>
  <c r="BF66" i="12"/>
  <c r="BF67" i="12"/>
  <c r="BF68" i="12"/>
  <c r="BF69" i="12"/>
  <c r="BF70" i="12"/>
  <c r="BF71" i="12"/>
  <c r="BF72" i="12"/>
  <c r="BF73" i="12"/>
  <c r="BF74" i="12"/>
  <c r="BF75" i="12"/>
  <c r="BF76" i="12"/>
  <c r="BF77" i="12"/>
  <c r="BF78" i="12"/>
  <c r="BF79" i="12"/>
  <c r="BF82" i="12"/>
  <c r="BF83" i="12"/>
  <c r="BF84" i="12"/>
  <c r="BF85" i="12"/>
  <c r="BF86" i="12"/>
  <c r="BF87" i="12"/>
  <c r="BF88" i="12"/>
  <c r="BF89" i="12"/>
  <c r="BF90" i="12"/>
  <c r="BF91" i="12"/>
  <c r="BF92" i="12"/>
  <c r="BF93" i="12"/>
  <c r="BF94" i="12"/>
  <c r="BF95" i="12"/>
  <c r="BF96" i="12"/>
  <c r="BF97" i="12"/>
  <c r="BF98" i="12"/>
  <c r="BF99" i="12"/>
  <c r="BF100" i="12"/>
  <c r="BF101" i="12"/>
  <c r="BF102" i="12"/>
  <c r="BF103" i="12"/>
  <c r="BF104" i="12"/>
  <c r="BF105" i="12"/>
  <c r="BF106" i="12"/>
  <c r="BF107" i="12"/>
  <c r="BF108" i="12"/>
  <c r="BF109" i="12"/>
  <c r="BF110" i="12"/>
  <c r="BF111" i="12"/>
  <c r="BF112" i="12"/>
  <c r="BF113" i="12"/>
  <c r="BF114" i="12"/>
  <c r="BF115" i="12"/>
  <c r="BF116" i="12"/>
  <c r="BF117" i="12"/>
  <c r="BF118" i="12"/>
  <c r="BF119" i="12"/>
  <c r="BF120" i="12"/>
  <c r="BF121" i="12"/>
  <c r="BF122" i="12"/>
  <c r="BF123" i="12"/>
  <c r="BF124" i="12"/>
  <c r="BF125" i="12"/>
  <c r="BF126" i="12"/>
  <c r="BF127" i="12"/>
  <c r="BF128" i="12"/>
  <c r="BF129" i="12"/>
  <c r="BF130" i="12"/>
  <c r="BF131" i="12"/>
  <c r="BF132" i="12"/>
  <c r="BF133" i="12"/>
  <c r="BF134" i="12"/>
  <c r="BF135" i="12"/>
  <c r="BF136" i="12"/>
  <c r="BF138" i="12"/>
  <c r="BF139" i="12"/>
  <c r="BF140" i="12"/>
  <c r="BF141" i="12"/>
  <c r="BF142" i="12"/>
  <c r="BF143" i="12"/>
  <c r="BF145" i="12"/>
  <c r="BF146" i="12"/>
  <c r="BF147" i="12"/>
  <c r="BF148" i="12"/>
  <c r="BF149" i="12"/>
  <c r="BF150" i="12"/>
  <c r="BF151" i="12"/>
  <c r="BF152" i="12"/>
  <c r="BF153" i="12"/>
  <c r="BF154" i="12"/>
  <c r="BF155" i="12"/>
  <c r="BF156" i="12"/>
  <c r="BF157" i="12"/>
  <c r="BF158" i="12"/>
  <c r="BF159" i="12"/>
  <c r="BF160" i="12"/>
  <c r="BF161" i="12"/>
  <c r="BF162" i="12"/>
  <c r="BF163" i="12"/>
  <c r="BF164" i="12"/>
  <c r="BF165" i="12"/>
  <c r="BF166" i="12"/>
  <c r="BF167" i="12"/>
  <c r="BF168" i="12"/>
  <c r="BF169" i="12"/>
  <c r="BF170" i="12"/>
  <c r="BF171" i="12"/>
  <c r="BF172" i="12"/>
  <c r="BF173" i="12"/>
  <c r="BF174" i="12"/>
  <c r="BF175" i="12"/>
  <c r="BF176" i="12"/>
  <c r="BF177" i="12"/>
  <c r="BF178" i="12"/>
  <c r="BF179" i="12"/>
  <c r="BF180" i="12"/>
  <c r="BF181" i="12"/>
  <c r="BF182" i="12"/>
  <c r="BF183" i="12"/>
  <c r="BF184" i="12"/>
  <c r="BF185" i="12"/>
  <c r="BF186" i="12"/>
  <c r="BF187" i="12"/>
  <c r="BF188" i="12"/>
  <c r="BF189" i="12"/>
  <c r="BF190" i="12"/>
  <c r="BF191" i="12"/>
  <c r="BF15" i="12"/>
  <c r="BC84" i="12"/>
  <c r="BC165" i="12"/>
  <c r="BB27" i="12"/>
  <c r="BB28" i="12"/>
  <c r="BC28" i="12" s="1"/>
  <c r="BB29" i="12"/>
  <c r="BC29" i="12" s="1"/>
  <c r="BB30" i="12"/>
  <c r="BC30" i="12" s="1"/>
  <c r="BB31" i="12"/>
  <c r="BB32" i="12"/>
  <c r="BB33" i="12"/>
  <c r="BC33" i="12" s="1"/>
  <c r="BB34" i="12"/>
  <c r="BC34" i="12" s="1"/>
  <c r="BB35" i="12"/>
  <c r="BC35" i="12" s="1"/>
  <c r="BB36" i="12"/>
  <c r="BC36" i="12" s="1"/>
  <c r="BB37" i="12"/>
  <c r="BC37" i="12" s="1"/>
  <c r="BB38" i="12"/>
  <c r="BC38" i="12" s="1"/>
  <c r="BB39" i="12"/>
  <c r="BB40" i="12"/>
  <c r="BB41" i="12"/>
  <c r="BC41" i="12" s="1"/>
  <c r="BB42" i="12"/>
  <c r="BC42" i="12" s="1"/>
  <c r="BB43" i="12"/>
  <c r="BC43" i="12" s="1"/>
  <c r="BB44" i="12"/>
  <c r="BC44" i="12" s="1"/>
  <c r="BB45" i="12"/>
  <c r="BC45" i="12" s="1"/>
  <c r="BB46" i="12"/>
  <c r="BC46" i="12" s="1"/>
  <c r="BB47" i="12"/>
  <c r="BB48" i="12"/>
  <c r="BB49" i="12"/>
  <c r="BC49" i="12" s="1"/>
  <c r="BB50" i="12"/>
  <c r="BC50" i="12" s="1"/>
  <c r="BB51" i="12"/>
  <c r="BC51" i="12" s="1"/>
  <c r="BB52" i="12"/>
  <c r="BC52" i="12" s="1"/>
  <c r="BB53" i="12"/>
  <c r="BC53" i="12" s="1"/>
  <c r="BB54" i="12"/>
  <c r="BC54" i="12" s="1"/>
  <c r="BB55" i="12"/>
  <c r="BB56" i="12"/>
  <c r="BB57" i="12"/>
  <c r="BC57" i="12" s="1"/>
  <c r="BB58" i="12"/>
  <c r="BC58" i="12" s="1"/>
  <c r="BB59" i="12"/>
  <c r="BC59" i="12" s="1"/>
  <c r="BB60" i="12"/>
  <c r="BC60" i="12" s="1"/>
  <c r="BB61" i="12"/>
  <c r="BC61" i="12" s="1"/>
  <c r="BB62" i="12"/>
  <c r="BC62" i="12" s="1"/>
  <c r="BB63" i="12"/>
  <c r="BB64" i="12"/>
  <c r="BB65" i="12"/>
  <c r="BC65" i="12" s="1"/>
  <c r="BB66" i="12"/>
  <c r="BC66" i="12" s="1"/>
  <c r="BB67" i="12"/>
  <c r="BC67" i="12" s="1"/>
  <c r="BB68" i="12"/>
  <c r="BC68" i="12" s="1"/>
  <c r="BB69" i="12"/>
  <c r="BC69" i="12" s="1"/>
  <c r="BB70" i="12"/>
  <c r="BC70" i="12" s="1"/>
  <c r="BB71" i="12"/>
  <c r="BB72" i="12"/>
  <c r="BB73" i="12"/>
  <c r="BC73" i="12" s="1"/>
  <c r="BB74" i="12"/>
  <c r="BC74" i="12" s="1"/>
  <c r="BB75" i="12"/>
  <c r="BC75" i="12" s="1"/>
  <c r="BB76" i="12"/>
  <c r="BC76" i="12" s="1"/>
  <c r="BB77" i="12"/>
  <c r="BC77" i="12" s="1"/>
  <c r="BB78" i="12"/>
  <c r="BC78" i="12" s="1"/>
  <c r="BB79" i="12"/>
  <c r="BB80" i="12"/>
  <c r="BB81" i="12"/>
  <c r="BC81" i="12" s="1"/>
  <c r="BB82" i="12"/>
  <c r="BC82" i="12" s="1"/>
  <c r="BB83" i="12"/>
  <c r="BC83" i="12" s="1"/>
  <c r="BB84" i="12"/>
  <c r="BB85" i="12"/>
  <c r="BC85" i="12" s="1"/>
  <c r="BB86" i="12"/>
  <c r="BC86" i="12" s="1"/>
  <c r="BB87" i="12"/>
  <c r="BB88" i="12"/>
  <c r="BB89" i="12"/>
  <c r="BC89" i="12" s="1"/>
  <c r="BB90" i="12"/>
  <c r="BC90" i="12" s="1"/>
  <c r="BB91" i="12"/>
  <c r="BC91" i="12" s="1"/>
  <c r="BB92" i="12"/>
  <c r="BC92" i="12" s="1"/>
  <c r="BB93" i="12"/>
  <c r="BC93" i="12" s="1"/>
  <c r="BB94" i="12"/>
  <c r="BC94" i="12" s="1"/>
  <c r="BB95" i="12"/>
  <c r="BB96" i="12"/>
  <c r="BB97" i="12"/>
  <c r="BC97" i="12" s="1"/>
  <c r="BB98" i="12"/>
  <c r="BC98" i="12" s="1"/>
  <c r="BB99" i="12"/>
  <c r="BC99" i="12" s="1"/>
  <c r="BB100" i="12"/>
  <c r="BC100" i="12" s="1"/>
  <c r="BB101" i="12"/>
  <c r="BC101" i="12" s="1"/>
  <c r="BB102" i="12"/>
  <c r="BC102" i="12" s="1"/>
  <c r="BB103" i="12"/>
  <c r="BB104" i="12"/>
  <c r="BB105" i="12"/>
  <c r="BC105" i="12" s="1"/>
  <c r="BB106" i="12"/>
  <c r="BC106" i="12" s="1"/>
  <c r="BB107" i="12"/>
  <c r="BC107" i="12" s="1"/>
  <c r="BB108" i="12"/>
  <c r="BC108" i="12" s="1"/>
  <c r="BB109" i="12"/>
  <c r="BC109" i="12" s="1"/>
  <c r="BB110" i="12"/>
  <c r="BC110" i="12" s="1"/>
  <c r="BB111" i="12"/>
  <c r="BB112" i="12"/>
  <c r="BB113" i="12"/>
  <c r="BC113" i="12" s="1"/>
  <c r="BB114" i="12"/>
  <c r="BC114" i="12" s="1"/>
  <c r="BB115" i="12"/>
  <c r="BC115" i="12" s="1"/>
  <c r="BB116" i="12"/>
  <c r="BC116" i="12" s="1"/>
  <c r="BB117" i="12"/>
  <c r="BC117" i="12" s="1"/>
  <c r="BB118" i="12"/>
  <c r="BC118" i="12" s="1"/>
  <c r="BB119" i="12"/>
  <c r="BB120" i="12"/>
  <c r="BB121" i="12"/>
  <c r="BC121" i="12" s="1"/>
  <c r="BB122" i="12"/>
  <c r="BC122" i="12" s="1"/>
  <c r="BB123" i="12"/>
  <c r="BC123" i="12" s="1"/>
  <c r="BB124" i="12"/>
  <c r="BC124" i="12" s="1"/>
  <c r="BB125" i="12"/>
  <c r="BC125" i="12" s="1"/>
  <c r="BB126" i="12"/>
  <c r="BC126" i="12" s="1"/>
  <c r="BB127" i="12"/>
  <c r="BB128" i="12"/>
  <c r="BB129" i="12"/>
  <c r="BC129" i="12" s="1"/>
  <c r="BB130" i="12"/>
  <c r="BC130" i="12" s="1"/>
  <c r="BB131" i="12"/>
  <c r="BC131" i="12" s="1"/>
  <c r="BB132" i="12"/>
  <c r="BC132" i="12" s="1"/>
  <c r="BB133" i="12"/>
  <c r="BC133" i="12" s="1"/>
  <c r="BB134" i="12"/>
  <c r="BC134" i="12" s="1"/>
  <c r="BB135" i="12"/>
  <c r="BB136" i="12"/>
  <c r="BB137" i="12"/>
  <c r="BC137" i="12" s="1"/>
  <c r="BB138" i="12"/>
  <c r="BC138" i="12" s="1"/>
  <c r="BB139" i="12"/>
  <c r="BC139" i="12" s="1"/>
  <c r="BB140" i="12"/>
  <c r="BC140" i="12" s="1"/>
  <c r="BB141" i="12"/>
  <c r="BC141" i="12" s="1"/>
  <c r="BB142" i="12"/>
  <c r="BC142" i="12" s="1"/>
  <c r="BB143" i="12"/>
  <c r="BB144" i="12"/>
  <c r="BB145" i="12"/>
  <c r="BC145" i="12" s="1"/>
  <c r="BB146" i="12"/>
  <c r="BC146" i="12" s="1"/>
  <c r="BB147" i="12"/>
  <c r="BC147" i="12" s="1"/>
  <c r="BB148" i="12"/>
  <c r="BC148" i="12" s="1"/>
  <c r="BB149" i="12"/>
  <c r="BC149" i="12" s="1"/>
  <c r="BB150" i="12"/>
  <c r="BC150" i="12" s="1"/>
  <c r="BB151" i="12"/>
  <c r="BB152" i="12"/>
  <c r="BB153" i="12"/>
  <c r="BC153" i="12" s="1"/>
  <c r="BB154" i="12"/>
  <c r="BC154" i="12" s="1"/>
  <c r="BB155" i="12"/>
  <c r="BC155" i="12" s="1"/>
  <c r="BB156" i="12"/>
  <c r="BC156" i="12" s="1"/>
  <c r="BB157" i="12"/>
  <c r="BC157" i="12" s="1"/>
  <c r="BB158" i="12"/>
  <c r="BC158" i="12" s="1"/>
  <c r="BB159" i="12"/>
  <c r="BB160" i="12"/>
  <c r="BB161" i="12"/>
  <c r="BC161" i="12" s="1"/>
  <c r="BB162" i="12"/>
  <c r="BC162" i="12" s="1"/>
  <c r="BB163" i="12"/>
  <c r="BC163" i="12" s="1"/>
  <c r="BB164" i="12"/>
  <c r="BC164" i="12" s="1"/>
  <c r="BB165" i="12"/>
  <c r="BB166" i="12"/>
  <c r="BC166" i="12" s="1"/>
  <c r="BB167" i="12"/>
  <c r="BB168" i="12"/>
  <c r="BB169" i="12"/>
  <c r="BC169" i="12" s="1"/>
  <c r="BB170" i="12"/>
  <c r="BC170" i="12" s="1"/>
  <c r="BB171" i="12"/>
  <c r="BC171" i="12" s="1"/>
  <c r="BB172" i="12"/>
  <c r="BC172" i="12" s="1"/>
  <c r="BB173" i="12"/>
  <c r="BC173" i="12" s="1"/>
  <c r="BB174" i="12"/>
  <c r="BC174" i="12" s="1"/>
  <c r="BB175" i="12"/>
  <c r="BB176" i="12"/>
  <c r="BB177" i="12"/>
  <c r="BC177" i="12" s="1"/>
  <c r="BB178" i="12"/>
  <c r="BC178" i="12" s="1"/>
  <c r="BB179" i="12"/>
  <c r="BC179" i="12" s="1"/>
  <c r="BB180" i="12"/>
  <c r="BC180" i="12" s="1"/>
  <c r="BB181" i="12"/>
  <c r="BC181" i="12" s="1"/>
  <c r="BB182" i="12"/>
  <c r="BC182" i="12" s="1"/>
  <c r="BB183" i="12"/>
  <c r="BB184" i="12"/>
  <c r="BB185" i="12"/>
  <c r="BC185" i="12" s="1"/>
  <c r="BB186" i="12"/>
  <c r="BC186" i="12" s="1"/>
  <c r="BB187" i="12"/>
  <c r="BC187" i="12" s="1"/>
  <c r="BB188" i="12"/>
  <c r="BC188" i="12" s="1"/>
  <c r="BB189" i="12"/>
  <c r="BC189" i="12" s="1"/>
  <c r="BB190" i="12"/>
  <c r="BC190" i="12" s="1"/>
  <c r="BB191" i="12"/>
  <c r="BB3" i="12"/>
  <c r="BB4" i="12"/>
  <c r="BC4" i="12" s="1"/>
  <c r="BB5" i="12"/>
  <c r="BB6" i="12"/>
  <c r="BB7" i="12"/>
  <c r="BB8" i="12"/>
  <c r="BC8" i="12" s="1"/>
  <c r="BB9" i="12"/>
  <c r="BC9" i="12" s="1"/>
  <c r="BB10" i="12"/>
  <c r="BB11" i="12"/>
  <c r="BB12" i="12"/>
  <c r="BB13" i="12"/>
  <c r="BB14" i="12"/>
  <c r="BB15" i="12"/>
  <c r="BB16" i="12"/>
  <c r="BC16" i="12" s="1"/>
  <c r="BB17" i="12"/>
  <c r="BB18" i="12"/>
  <c r="BB19" i="12"/>
  <c r="BB20" i="12"/>
  <c r="BC20" i="12" s="1"/>
  <c r="BB21" i="12"/>
  <c r="BB22" i="12"/>
  <c r="BB23" i="12"/>
  <c r="BB24" i="12"/>
  <c r="BC24" i="12" s="1"/>
  <c r="BB25" i="12"/>
  <c r="BC25" i="12" s="1"/>
  <c r="BB26" i="12"/>
  <c r="BB2" i="12"/>
  <c r="BA66" i="12"/>
  <c r="BA27" i="12"/>
  <c r="BA28" i="12"/>
  <c r="BA29" i="12"/>
  <c r="BA30" i="12"/>
  <c r="BA31" i="12"/>
  <c r="BA32" i="12"/>
  <c r="BA33" i="12"/>
  <c r="BA34" i="12"/>
  <c r="BA35" i="12"/>
  <c r="BA36" i="12"/>
  <c r="BA37" i="12"/>
  <c r="BA38" i="12"/>
  <c r="BA39" i="12"/>
  <c r="BA40" i="12"/>
  <c r="BA41" i="12"/>
  <c r="BA42" i="12"/>
  <c r="BA43" i="12"/>
  <c r="BA44" i="12"/>
  <c r="BA45" i="12"/>
  <c r="BA46" i="12"/>
  <c r="BA47" i="12"/>
  <c r="BA48" i="12"/>
  <c r="BA49" i="12"/>
  <c r="BA50" i="12"/>
  <c r="BA51" i="12"/>
  <c r="BA52" i="12"/>
  <c r="BA53" i="12"/>
  <c r="BA54" i="12"/>
  <c r="BA55" i="12"/>
  <c r="BA56" i="12"/>
  <c r="BA57" i="12"/>
  <c r="BD58" i="12"/>
  <c r="BA59" i="12"/>
  <c r="BA60" i="12"/>
  <c r="BA61" i="12"/>
  <c r="BA62" i="12"/>
  <c r="BA63" i="12"/>
  <c r="BA64" i="12"/>
  <c r="BA65" i="12"/>
  <c r="BA67" i="12"/>
  <c r="BA68" i="12"/>
  <c r="BA69" i="12"/>
  <c r="BA70" i="12"/>
  <c r="BA71" i="12"/>
  <c r="BA72" i="12"/>
  <c r="BA73" i="12"/>
  <c r="BA74" i="12"/>
  <c r="BA75" i="12"/>
  <c r="BA76" i="12"/>
  <c r="BA77" i="12"/>
  <c r="BA78" i="12"/>
  <c r="BA79" i="12"/>
  <c r="BA80" i="12"/>
  <c r="BA81" i="12"/>
  <c r="BA82" i="12"/>
  <c r="BA83" i="12"/>
  <c r="BA84" i="12"/>
  <c r="BA85" i="12"/>
  <c r="BA86" i="12"/>
  <c r="BA87" i="12"/>
  <c r="BA88" i="12"/>
  <c r="BA89" i="12"/>
  <c r="BA90" i="12"/>
  <c r="BA91" i="12"/>
  <c r="BA92" i="12"/>
  <c r="BA93" i="12"/>
  <c r="BA94" i="12"/>
  <c r="BA95" i="12"/>
  <c r="BA96" i="12"/>
  <c r="BA97" i="12"/>
  <c r="BA98" i="12"/>
  <c r="BA99" i="12"/>
  <c r="BA100" i="12"/>
  <c r="BA101" i="12"/>
  <c r="BA102" i="12"/>
  <c r="BA103" i="12"/>
  <c r="BA104" i="12"/>
  <c r="BA105" i="12"/>
  <c r="BA106" i="12"/>
  <c r="BA107" i="12"/>
  <c r="BA108" i="12"/>
  <c r="BA109" i="12"/>
  <c r="BA110" i="12"/>
  <c r="BA111" i="12"/>
  <c r="BA112" i="12"/>
  <c r="BA113" i="12"/>
  <c r="BA114" i="12"/>
  <c r="BA115" i="12"/>
  <c r="BA116" i="12"/>
  <c r="BA117" i="12"/>
  <c r="BA118" i="12"/>
  <c r="BA119" i="12"/>
  <c r="BA120" i="12"/>
  <c r="BA121" i="12"/>
  <c r="BA122" i="12"/>
  <c r="BA123" i="12"/>
  <c r="BA124" i="12"/>
  <c r="BA125" i="12"/>
  <c r="BA126" i="12"/>
  <c r="BA127" i="12"/>
  <c r="BA128" i="12"/>
  <c r="BA129" i="12"/>
  <c r="BA130" i="12"/>
  <c r="BA131" i="12"/>
  <c r="BA132" i="12"/>
  <c r="BA133" i="12"/>
  <c r="BA134" i="12"/>
  <c r="BA135" i="12"/>
  <c r="BA136" i="12"/>
  <c r="BA137" i="12"/>
  <c r="BA138" i="12"/>
  <c r="BA139" i="12"/>
  <c r="BA140" i="12"/>
  <c r="BA141" i="12"/>
  <c r="BA142" i="12"/>
  <c r="BA143" i="12"/>
  <c r="BA144" i="12"/>
  <c r="BA145" i="12"/>
  <c r="BA146" i="12"/>
  <c r="BA147" i="12"/>
  <c r="BA148" i="12"/>
  <c r="BA149" i="12"/>
  <c r="BA150" i="12"/>
  <c r="BA151" i="12"/>
  <c r="BA152" i="12"/>
  <c r="BA153" i="12"/>
  <c r="BA154" i="12"/>
  <c r="BA155" i="12"/>
  <c r="BA156" i="12"/>
  <c r="BA157" i="12"/>
  <c r="BA158" i="12"/>
  <c r="BA159" i="12"/>
  <c r="BA160" i="12"/>
  <c r="BA161" i="12"/>
  <c r="BA162" i="12"/>
  <c r="BA163" i="12"/>
  <c r="BA164" i="12"/>
  <c r="BA165" i="12"/>
  <c r="BA166" i="12"/>
  <c r="BA167" i="12"/>
  <c r="BA168" i="12"/>
  <c r="BA169" i="12"/>
  <c r="BA170" i="12"/>
  <c r="BA171" i="12"/>
  <c r="BA172" i="12"/>
  <c r="BA173" i="12"/>
  <c r="BA174" i="12"/>
  <c r="BA175" i="12"/>
  <c r="BA176" i="12"/>
  <c r="BA177" i="12"/>
  <c r="BA178" i="12"/>
  <c r="BA179" i="12"/>
  <c r="BA180" i="12"/>
  <c r="BA181" i="12"/>
  <c r="BA182" i="12"/>
  <c r="BA183" i="12"/>
  <c r="BA184" i="12"/>
  <c r="BA185" i="12"/>
  <c r="BA186" i="12"/>
  <c r="BA187" i="12"/>
  <c r="BA188" i="12"/>
  <c r="BA189" i="12"/>
  <c r="BA190" i="12"/>
  <c r="BA191" i="12"/>
  <c r="BA3" i="12"/>
  <c r="BD6" i="12"/>
  <c r="BA9" i="12"/>
  <c r="BA10" i="12"/>
  <c r="BA11" i="12"/>
  <c r="BD13" i="12"/>
  <c r="BD14" i="12"/>
  <c r="BA17" i="12"/>
  <c r="BA18" i="12"/>
  <c r="BA19" i="12"/>
  <c r="BD21" i="12"/>
  <c r="BD22" i="12"/>
  <c r="BA25" i="12"/>
  <c r="BA26" i="12"/>
  <c r="BA2" i="12"/>
  <c r="AW27" i="12"/>
  <c r="AX27" i="12" s="1"/>
  <c r="AW28" i="12"/>
  <c r="AX28" i="12" s="1"/>
  <c r="AW29" i="12"/>
  <c r="AW30" i="12"/>
  <c r="AX30" i="12" s="1"/>
  <c r="AW31" i="12"/>
  <c r="AW32" i="12"/>
  <c r="AX32" i="12" s="1"/>
  <c r="AW33" i="12"/>
  <c r="AX33" i="12" s="1"/>
  <c r="AW34" i="12"/>
  <c r="AX34" i="12" s="1"/>
  <c r="AW35" i="12"/>
  <c r="AX35" i="12" s="1"/>
  <c r="AW36" i="12"/>
  <c r="AX36" i="12" s="1"/>
  <c r="AW37" i="12"/>
  <c r="AW38" i="12"/>
  <c r="AX38" i="12" s="1"/>
  <c r="AW39" i="12"/>
  <c r="AW40" i="12"/>
  <c r="AX40" i="12" s="1"/>
  <c r="AW41" i="12"/>
  <c r="AX41" i="12" s="1"/>
  <c r="AW42" i="12"/>
  <c r="AX42" i="12" s="1"/>
  <c r="AW43" i="12"/>
  <c r="AX43" i="12" s="1"/>
  <c r="AW44" i="12"/>
  <c r="AX44" i="12" s="1"/>
  <c r="AW45" i="12"/>
  <c r="AW46" i="12"/>
  <c r="AX46" i="12" s="1"/>
  <c r="AW47" i="12"/>
  <c r="AW48" i="12"/>
  <c r="AX48" i="12" s="1"/>
  <c r="AW49" i="12"/>
  <c r="AX49" i="12" s="1"/>
  <c r="AW50" i="12"/>
  <c r="AX50" i="12" s="1"/>
  <c r="AW51" i="12"/>
  <c r="AX51" i="12" s="1"/>
  <c r="AW52" i="12"/>
  <c r="AX52" i="12" s="1"/>
  <c r="AW53" i="12"/>
  <c r="AW54" i="12"/>
  <c r="AX54" i="12" s="1"/>
  <c r="AW55" i="12"/>
  <c r="AW56" i="12"/>
  <c r="AX56" i="12" s="1"/>
  <c r="AW57" i="12"/>
  <c r="AX57" i="12" s="1"/>
  <c r="AW58" i="12"/>
  <c r="AX58" i="12" s="1"/>
  <c r="AW59" i="12"/>
  <c r="AX59" i="12" s="1"/>
  <c r="AW60" i="12"/>
  <c r="AX60" i="12" s="1"/>
  <c r="AW61" i="12"/>
  <c r="AW62" i="12"/>
  <c r="AX62" i="12" s="1"/>
  <c r="AW63" i="12"/>
  <c r="AW64" i="12"/>
  <c r="AX64" i="12" s="1"/>
  <c r="AW65" i="12"/>
  <c r="AX65" i="12" s="1"/>
  <c r="AW66" i="12"/>
  <c r="AX66" i="12" s="1"/>
  <c r="AW67" i="12"/>
  <c r="AX67" i="12" s="1"/>
  <c r="AW68" i="12"/>
  <c r="AX68" i="12" s="1"/>
  <c r="AW69" i="12"/>
  <c r="AW70" i="12"/>
  <c r="AX70" i="12" s="1"/>
  <c r="AW71" i="12"/>
  <c r="AW72" i="12"/>
  <c r="AX72" i="12" s="1"/>
  <c r="AW73" i="12"/>
  <c r="AX73" i="12" s="1"/>
  <c r="AW74" i="12"/>
  <c r="AX74" i="12" s="1"/>
  <c r="AW75" i="12"/>
  <c r="AW76" i="12"/>
  <c r="AX76" i="12" s="1"/>
  <c r="AW77" i="12"/>
  <c r="AW78" i="12"/>
  <c r="AX78" i="12" s="1"/>
  <c r="AW79" i="12"/>
  <c r="AW80" i="12"/>
  <c r="AW81" i="12"/>
  <c r="AX81" i="12" s="1"/>
  <c r="AW82" i="12"/>
  <c r="AX82" i="12" s="1"/>
  <c r="AW83" i="12"/>
  <c r="AW84" i="12"/>
  <c r="AX84" i="12" s="1"/>
  <c r="AW85" i="12"/>
  <c r="AW86" i="12"/>
  <c r="AX86" i="12" s="1"/>
  <c r="AW87" i="12"/>
  <c r="AW88" i="12"/>
  <c r="AX88" i="12" s="1"/>
  <c r="AW89" i="12"/>
  <c r="AX89" i="12" s="1"/>
  <c r="AW90" i="12"/>
  <c r="AX90" i="12" s="1"/>
  <c r="AW91" i="12"/>
  <c r="AW92" i="12"/>
  <c r="AX92" i="12" s="1"/>
  <c r="AW93" i="12"/>
  <c r="AW94" i="12"/>
  <c r="AX94" i="12" s="1"/>
  <c r="AW95" i="12"/>
  <c r="AW96" i="12"/>
  <c r="AX96" i="12" s="1"/>
  <c r="AW97" i="12"/>
  <c r="AX97" i="12" s="1"/>
  <c r="AW98" i="12"/>
  <c r="AX98" i="12" s="1"/>
  <c r="AW99" i="12"/>
  <c r="AX99" i="12" s="1"/>
  <c r="AW100" i="12"/>
  <c r="AX100" i="12" s="1"/>
  <c r="AW101" i="12"/>
  <c r="AW102" i="12"/>
  <c r="AX102" i="12" s="1"/>
  <c r="AW103" i="12"/>
  <c r="AW104" i="12"/>
  <c r="AX104" i="12" s="1"/>
  <c r="AW105" i="12"/>
  <c r="AX105" i="12" s="1"/>
  <c r="AW106" i="12"/>
  <c r="AX106" i="12" s="1"/>
  <c r="AW107" i="12"/>
  <c r="AX107" i="12" s="1"/>
  <c r="AW108" i="12"/>
  <c r="AX108" i="12" s="1"/>
  <c r="AW109" i="12"/>
  <c r="AW110" i="12"/>
  <c r="AX110" i="12" s="1"/>
  <c r="AW111" i="12"/>
  <c r="AW112" i="12"/>
  <c r="AX112" i="12" s="1"/>
  <c r="AW113" i="12"/>
  <c r="AX113" i="12" s="1"/>
  <c r="AW114" i="12"/>
  <c r="AX114" i="12" s="1"/>
  <c r="AW115" i="12"/>
  <c r="AX115" i="12" s="1"/>
  <c r="AW116" i="12"/>
  <c r="AX116" i="12" s="1"/>
  <c r="AW117" i="12"/>
  <c r="AW118" i="12"/>
  <c r="AX118" i="12" s="1"/>
  <c r="AW119" i="12"/>
  <c r="AW120" i="12"/>
  <c r="AX120" i="12" s="1"/>
  <c r="AW121" i="12"/>
  <c r="AX121" i="12" s="1"/>
  <c r="AW122" i="12"/>
  <c r="AX122" i="12" s="1"/>
  <c r="AW123" i="12"/>
  <c r="AW124" i="12"/>
  <c r="AX124" i="12" s="1"/>
  <c r="AW125" i="12"/>
  <c r="AW126" i="12"/>
  <c r="AX126" i="12" s="1"/>
  <c r="AW127" i="12"/>
  <c r="AW128" i="12"/>
  <c r="AX128" i="12" s="1"/>
  <c r="AW129" i="12"/>
  <c r="AX129" i="12" s="1"/>
  <c r="AW130" i="12"/>
  <c r="AX130" i="12" s="1"/>
  <c r="AW131" i="12"/>
  <c r="AW132" i="12"/>
  <c r="AX132" i="12" s="1"/>
  <c r="AW133" i="12"/>
  <c r="AW134" i="12"/>
  <c r="AX134" i="12" s="1"/>
  <c r="AW135" i="12"/>
  <c r="AW136" i="12"/>
  <c r="AX136" i="12" s="1"/>
  <c r="AW137" i="12"/>
  <c r="AX137" i="12" s="1"/>
  <c r="AW138" i="12"/>
  <c r="AX138" i="12" s="1"/>
  <c r="AW139" i="12"/>
  <c r="AW140" i="12"/>
  <c r="AX140" i="12" s="1"/>
  <c r="AW141" i="12"/>
  <c r="AW142" i="12"/>
  <c r="AX142" i="12" s="1"/>
  <c r="AW143" i="12"/>
  <c r="AW144" i="12"/>
  <c r="AW145" i="12"/>
  <c r="AX145" i="12" s="1"/>
  <c r="AW146" i="12"/>
  <c r="AX146" i="12" s="1"/>
  <c r="AW147" i="12"/>
  <c r="AX147" i="12" s="1"/>
  <c r="AW148" i="12"/>
  <c r="AX148" i="12" s="1"/>
  <c r="AW149" i="12"/>
  <c r="AW150" i="12"/>
  <c r="AX150" i="12" s="1"/>
  <c r="AW151" i="12"/>
  <c r="AW152" i="12"/>
  <c r="AX152" i="12" s="1"/>
  <c r="AW153" i="12"/>
  <c r="AX153" i="12" s="1"/>
  <c r="AW154" i="12"/>
  <c r="AX154" i="12" s="1"/>
  <c r="AW155" i="12"/>
  <c r="AX155" i="12" s="1"/>
  <c r="AW156" i="12"/>
  <c r="AX156" i="12" s="1"/>
  <c r="AW157" i="12"/>
  <c r="AW158" i="12"/>
  <c r="AX158" i="12" s="1"/>
  <c r="AW159" i="12"/>
  <c r="AW160" i="12"/>
  <c r="AX160" i="12" s="1"/>
  <c r="AW161" i="12"/>
  <c r="AX161" i="12" s="1"/>
  <c r="AW162" i="12"/>
  <c r="AX162" i="12" s="1"/>
  <c r="AW163" i="12"/>
  <c r="AX163" i="12" s="1"/>
  <c r="AW164" i="12"/>
  <c r="AX164" i="12" s="1"/>
  <c r="AW165" i="12"/>
  <c r="AW166" i="12"/>
  <c r="AX166" i="12" s="1"/>
  <c r="AW167" i="12"/>
  <c r="AW168" i="12"/>
  <c r="AX168" i="12" s="1"/>
  <c r="AW169" i="12"/>
  <c r="AX169" i="12" s="1"/>
  <c r="AW170" i="12"/>
  <c r="AX170" i="12" s="1"/>
  <c r="AW171" i="12"/>
  <c r="AX171" i="12" s="1"/>
  <c r="AW172" i="12"/>
  <c r="AX172" i="12" s="1"/>
  <c r="AW173" i="12"/>
  <c r="AW174" i="12"/>
  <c r="AX174" i="12" s="1"/>
  <c r="AW175" i="12"/>
  <c r="AW176" i="12"/>
  <c r="AW177" i="12"/>
  <c r="AX177" i="12" s="1"/>
  <c r="AW178" i="12"/>
  <c r="AX178" i="12" s="1"/>
  <c r="AW179" i="12"/>
  <c r="AW180" i="12"/>
  <c r="AX180" i="12" s="1"/>
  <c r="AW181" i="12"/>
  <c r="AW182" i="12"/>
  <c r="AX182" i="12" s="1"/>
  <c r="AW183" i="12"/>
  <c r="AW184" i="12"/>
  <c r="AX184" i="12" s="1"/>
  <c r="AW185" i="12"/>
  <c r="AX185" i="12" s="1"/>
  <c r="AW186" i="12"/>
  <c r="AX186" i="12" s="1"/>
  <c r="AW187" i="12"/>
  <c r="AW188" i="12"/>
  <c r="AX188" i="12" s="1"/>
  <c r="AW189" i="12"/>
  <c r="AW190" i="12"/>
  <c r="AX190" i="12" s="1"/>
  <c r="AW191" i="12"/>
  <c r="AW3" i="12"/>
  <c r="AX3" i="12" s="1"/>
  <c r="AW4" i="12"/>
  <c r="AW5" i="12"/>
  <c r="AW6" i="12"/>
  <c r="AW7" i="12"/>
  <c r="AW8" i="12"/>
  <c r="AW9" i="12"/>
  <c r="AW10" i="12"/>
  <c r="AW11" i="12"/>
  <c r="AW12" i="12"/>
  <c r="AW13" i="12"/>
  <c r="AX13" i="12" s="1"/>
  <c r="AW14" i="12"/>
  <c r="AW15" i="12"/>
  <c r="AW16" i="12"/>
  <c r="AW17" i="12"/>
  <c r="AW18" i="12"/>
  <c r="AW19" i="12"/>
  <c r="AW20" i="12"/>
  <c r="AX20" i="12" s="1"/>
  <c r="AW21" i="12"/>
  <c r="AX21" i="12" s="1"/>
  <c r="AW22" i="12"/>
  <c r="AW23" i="12"/>
  <c r="AW24" i="12"/>
  <c r="AW25" i="12"/>
  <c r="AW26" i="12"/>
  <c r="AW2" i="12"/>
  <c r="AV27" i="12"/>
  <c r="AV28" i="12"/>
  <c r="AV29" i="12"/>
  <c r="AV30" i="12"/>
  <c r="AV31" i="12"/>
  <c r="AV32" i="12"/>
  <c r="AV33" i="12"/>
  <c r="AV35" i="12"/>
  <c r="AV36" i="12"/>
  <c r="AV37" i="12"/>
  <c r="AV38" i="12"/>
  <c r="AV39" i="12"/>
  <c r="AV40" i="12"/>
  <c r="AV41" i="12"/>
  <c r="AV43" i="12"/>
  <c r="AV44" i="12"/>
  <c r="AV45" i="12"/>
  <c r="AV46" i="12"/>
  <c r="AV47" i="12"/>
  <c r="AV48" i="12"/>
  <c r="AV49" i="12"/>
  <c r="AV51" i="12"/>
  <c r="AV52" i="12"/>
  <c r="AV53" i="12"/>
  <c r="AV54" i="12"/>
  <c r="AV55" i="12"/>
  <c r="AV56" i="12"/>
  <c r="AV57" i="12"/>
  <c r="AV59" i="12"/>
  <c r="AV60" i="12"/>
  <c r="AV61" i="12"/>
  <c r="AV62" i="12"/>
  <c r="AV63" i="12"/>
  <c r="AV64" i="12"/>
  <c r="AV65" i="12"/>
  <c r="AV67" i="12"/>
  <c r="AV68" i="12"/>
  <c r="AV69" i="12"/>
  <c r="AV70" i="12"/>
  <c r="AV71" i="12"/>
  <c r="AV72" i="12"/>
  <c r="AV73" i="12"/>
  <c r="AV75" i="12"/>
  <c r="AV76" i="12"/>
  <c r="AV77" i="12"/>
  <c r="AV78" i="12"/>
  <c r="AV79" i="12"/>
  <c r="AV80" i="12"/>
  <c r="AV81" i="12"/>
  <c r="AV83" i="12"/>
  <c r="AV84" i="12"/>
  <c r="AV85" i="12"/>
  <c r="AV86" i="12"/>
  <c r="AV87" i="12"/>
  <c r="AV88" i="12"/>
  <c r="AV89" i="12"/>
  <c r="AV91" i="12"/>
  <c r="AV92" i="12"/>
  <c r="AV93" i="12"/>
  <c r="AV94" i="12"/>
  <c r="AV95" i="12"/>
  <c r="AV96" i="12"/>
  <c r="AV97" i="12"/>
  <c r="AV99" i="12"/>
  <c r="AV100" i="12"/>
  <c r="AV101" i="12"/>
  <c r="AV102" i="12"/>
  <c r="AV103" i="12"/>
  <c r="AV104" i="12"/>
  <c r="AV105" i="12"/>
  <c r="AV107" i="12"/>
  <c r="AV108" i="12"/>
  <c r="AV109" i="12"/>
  <c r="AV110" i="12"/>
  <c r="AV111" i="12"/>
  <c r="AV112" i="12"/>
  <c r="AV113" i="12"/>
  <c r="AV115" i="12"/>
  <c r="AV116" i="12"/>
  <c r="AV117" i="12"/>
  <c r="AV118" i="12"/>
  <c r="AV119" i="12"/>
  <c r="AV120" i="12"/>
  <c r="AV121" i="12"/>
  <c r="AV123" i="12"/>
  <c r="AV124" i="12"/>
  <c r="AV125" i="12"/>
  <c r="AV126" i="12"/>
  <c r="AV127" i="12"/>
  <c r="AV128" i="12"/>
  <c r="AV129" i="12"/>
  <c r="AV131" i="12"/>
  <c r="AV132" i="12"/>
  <c r="AV133" i="12"/>
  <c r="AV134" i="12"/>
  <c r="AV135" i="12"/>
  <c r="AV136" i="12"/>
  <c r="AV137" i="12"/>
  <c r="AV139" i="12"/>
  <c r="AV140" i="12"/>
  <c r="AV141" i="12"/>
  <c r="AV142" i="12"/>
  <c r="AV143" i="12"/>
  <c r="AV144" i="12"/>
  <c r="AV145" i="12"/>
  <c r="AV147" i="12"/>
  <c r="AV148" i="12"/>
  <c r="AV149" i="12"/>
  <c r="AV150" i="12"/>
  <c r="AV151" i="12"/>
  <c r="AV152" i="12"/>
  <c r="AV153" i="12"/>
  <c r="AV155" i="12"/>
  <c r="AV156" i="12"/>
  <c r="AV157" i="12"/>
  <c r="AV158" i="12"/>
  <c r="AV159" i="12"/>
  <c r="AV160" i="12"/>
  <c r="AV161" i="12"/>
  <c r="AV163" i="12"/>
  <c r="AV164" i="12"/>
  <c r="AV165" i="12"/>
  <c r="AV166" i="12"/>
  <c r="AV167" i="12"/>
  <c r="AV168" i="12"/>
  <c r="AV169" i="12"/>
  <c r="AV171" i="12"/>
  <c r="AV172" i="12"/>
  <c r="AV173" i="12"/>
  <c r="AV174" i="12"/>
  <c r="AV175" i="12"/>
  <c r="AV176" i="12"/>
  <c r="AV177" i="12"/>
  <c r="AV179" i="12"/>
  <c r="AV180" i="12"/>
  <c r="AV181" i="12"/>
  <c r="AV182" i="12"/>
  <c r="AV183" i="12"/>
  <c r="AV184" i="12"/>
  <c r="AV185" i="12"/>
  <c r="AV187" i="12"/>
  <c r="AV188" i="12"/>
  <c r="AV189" i="12"/>
  <c r="AV190" i="12"/>
  <c r="AV191" i="12"/>
  <c r="AV8" i="12"/>
  <c r="AV9" i="12"/>
  <c r="AV10" i="12"/>
  <c r="AV16" i="12"/>
  <c r="AV17" i="12"/>
  <c r="AV18" i="12"/>
  <c r="AV24" i="12"/>
  <c r="AV25" i="12"/>
  <c r="AV26" i="12"/>
  <c r="AR27" i="12"/>
  <c r="AS27" i="12" s="1"/>
  <c r="AR28" i="12"/>
  <c r="AS28" i="12" s="1"/>
  <c r="AR29" i="12"/>
  <c r="AS29" i="12" s="1"/>
  <c r="AR30" i="12"/>
  <c r="AR31" i="12"/>
  <c r="AR32" i="12"/>
  <c r="AR33" i="12"/>
  <c r="AS33" i="12" s="1"/>
  <c r="AR34" i="12"/>
  <c r="AS34" i="12" s="1"/>
  <c r="AR35" i="12"/>
  <c r="AS35" i="12" s="1"/>
  <c r="AR36" i="12"/>
  <c r="AS36" i="12" s="1"/>
  <c r="AR37" i="12"/>
  <c r="AS37" i="12" s="1"/>
  <c r="AR38" i="12"/>
  <c r="AR39" i="12"/>
  <c r="AR40" i="12"/>
  <c r="AR41" i="12"/>
  <c r="AS41" i="12" s="1"/>
  <c r="AR42" i="12"/>
  <c r="AS42" i="12" s="1"/>
  <c r="AR43" i="12"/>
  <c r="AS43" i="12" s="1"/>
  <c r="AR44" i="12"/>
  <c r="AS44" i="12" s="1"/>
  <c r="AR45" i="12"/>
  <c r="AS45" i="12" s="1"/>
  <c r="AR46" i="12"/>
  <c r="AR47" i="12"/>
  <c r="AR48" i="12"/>
  <c r="AR49" i="12"/>
  <c r="AS49" i="12" s="1"/>
  <c r="AR50" i="12"/>
  <c r="AS50" i="12" s="1"/>
  <c r="AR51" i="12"/>
  <c r="AS51" i="12" s="1"/>
  <c r="AR52" i="12"/>
  <c r="AS52" i="12" s="1"/>
  <c r="AR53" i="12"/>
  <c r="AS53" i="12" s="1"/>
  <c r="AR54" i="12"/>
  <c r="AR55" i="12"/>
  <c r="AR56" i="12"/>
  <c r="AR57" i="12"/>
  <c r="AS57" i="12" s="1"/>
  <c r="AR58" i="12"/>
  <c r="AS58" i="12" s="1"/>
  <c r="AR59" i="12"/>
  <c r="AS59" i="12" s="1"/>
  <c r="AR60" i="12"/>
  <c r="AS60" i="12" s="1"/>
  <c r="AR61" i="12"/>
  <c r="AS61" i="12" s="1"/>
  <c r="AR62" i="12"/>
  <c r="AR63" i="12"/>
  <c r="AR64" i="12"/>
  <c r="AR65" i="12"/>
  <c r="AS65" i="12" s="1"/>
  <c r="AR66" i="12"/>
  <c r="AS66" i="12" s="1"/>
  <c r="AR67" i="12"/>
  <c r="AS67" i="12" s="1"/>
  <c r="AR68" i="12"/>
  <c r="AS68" i="12" s="1"/>
  <c r="AR69" i="12"/>
  <c r="AS69" i="12" s="1"/>
  <c r="AR70" i="12"/>
  <c r="AR71" i="12"/>
  <c r="AR72" i="12"/>
  <c r="AR73" i="12"/>
  <c r="AS73" i="12" s="1"/>
  <c r="AR74" i="12"/>
  <c r="AS74" i="12" s="1"/>
  <c r="AR75" i="12"/>
  <c r="AS75" i="12" s="1"/>
  <c r="AR76" i="12"/>
  <c r="AS76" i="12" s="1"/>
  <c r="AR77" i="12"/>
  <c r="AS77" i="12" s="1"/>
  <c r="AR78" i="12"/>
  <c r="AR79" i="12"/>
  <c r="AR80" i="12"/>
  <c r="AR81" i="12"/>
  <c r="AS81" i="12" s="1"/>
  <c r="AR82" i="12"/>
  <c r="AS82" i="12" s="1"/>
  <c r="AR83" i="12"/>
  <c r="AS83" i="12" s="1"/>
  <c r="AR84" i="12"/>
  <c r="AS84" i="12" s="1"/>
  <c r="AR85" i="12"/>
  <c r="AS85" i="12" s="1"/>
  <c r="AR86" i="12"/>
  <c r="AR87" i="12"/>
  <c r="AR88" i="12"/>
  <c r="AR89" i="12"/>
  <c r="AS89" i="12" s="1"/>
  <c r="AR90" i="12"/>
  <c r="AS90" i="12" s="1"/>
  <c r="AR91" i="12"/>
  <c r="AS91" i="12" s="1"/>
  <c r="AR92" i="12"/>
  <c r="AS92" i="12" s="1"/>
  <c r="AR93" i="12"/>
  <c r="AS93" i="12" s="1"/>
  <c r="AR94" i="12"/>
  <c r="AR95" i="12"/>
  <c r="AR96" i="12"/>
  <c r="AR97" i="12"/>
  <c r="AS97" i="12" s="1"/>
  <c r="AR98" i="12"/>
  <c r="AS98" i="12" s="1"/>
  <c r="AR99" i="12"/>
  <c r="AS99" i="12" s="1"/>
  <c r="AR100" i="12"/>
  <c r="AS100" i="12" s="1"/>
  <c r="AR101" i="12"/>
  <c r="AS101" i="12" s="1"/>
  <c r="AR102" i="12"/>
  <c r="AR103" i="12"/>
  <c r="AR104" i="12"/>
  <c r="AR105" i="12"/>
  <c r="AS105" i="12" s="1"/>
  <c r="AR106" i="12"/>
  <c r="AS106" i="12" s="1"/>
  <c r="AR107" i="12"/>
  <c r="AS107" i="12" s="1"/>
  <c r="AR108" i="12"/>
  <c r="AS108" i="12" s="1"/>
  <c r="AR109" i="12"/>
  <c r="AS109" i="12" s="1"/>
  <c r="AR110" i="12"/>
  <c r="AR111" i="12"/>
  <c r="AR112" i="12"/>
  <c r="AR113" i="12"/>
  <c r="AS113" i="12" s="1"/>
  <c r="AR114" i="12"/>
  <c r="AS114" i="12" s="1"/>
  <c r="AR115" i="12"/>
  <c r="AS115" i="12" s="1"/>
  <c r="AR116" i="12"/>
  <c r="AS116" i="12" s="1"/>
  <c r="AR117" i="12"/>
  <c r="AS117" i="12" s="1"/>
  <c r="AR118" i="12"/>
  <c r="AR119" i="12"/>
  <c r="AR120" i="12"/>
  <c r="AR121" i="12"/>
  <c r="AS121" i="12" s="1"/>
  <c r="AR122" i="12"/>
  <c r="AS122" i="12" s="1"/>
  <c r="AR123" i="12"/>
  <c r="AS123" i="12" s="1"/>
  <c r="AR124" i="12"/>
  <c r="AS124" i="12" s="1"/>
  <c r="AR125" i="12"/>
  <c r="AS125" i="12" s="1"/>
  <c r="AR126" i="12"/>
  <c r="AR127" i="12"/>
  <c r="AR128" i="12"/>
  <c r="AR129" i="12"/>
  <c r="AS129" i="12" s="1"/>
  <c r="AR130" i="12"/>
  <c r="AS130" i="12" s="1"/>
  <c r="AR131" i="12"/>
  <c r="AS131" i="12" s="1"/>
  <c r="AR132" i="12"/>
  <c r="AS132" i="12" s="1"/>
  <c r="AR133" i="12"/>
  <c r="AS133" i="12" s="1"/>
  <c r="AR134" i="12"/>
  <c r="AR135" i="12"/>
  <c r="AR136" i="12"/>
  <c r="AR137" i="12"/>
  <c r="AS137" i="12" s="1"/>
  <c r="AR138" i="12"/>
  <c r="AS138" i="12" s="1"/>
  <c r="AR139" i="12"/>
  <c r="AS139" i="12" s="1"/>
  <c r="AR140" i="12"/>
  <c r="AS140" i="12" s="1"/>
  <c r="AR141" i="12"/>
  <c r="AS141" i="12" s="1"/>
  <c r="AR142" i="12"/>
  <c r="AR143" i="12"/>
  <c r="AR144" i="12"/>
  <c r="AR145" i="12"/>
  <c r="AS145" i="12" s="1"/>
  <c r="AR146" i="12"/>
  <c r="AR147" i="12"/>
  <c r="AS147" i="12" s="1"/>
  <c r="AR148" i="12"/>
  <c r="AS148" i="12" s="1"/>
  <c r="AR149" i="12"/>
  <c r="AS149" i="12" s="1"/>
  <c r="AR150" i="12"/>
  <c r="AR151" i="12"/>
  <c r="AR152" i="12"/>
  <c r="AR153" i="12"/>
  <c r="AS153" i="12" s="1"/>
  <c r="AR154" i="12"/>
  <c r="AS154" i="12" s="1"/>
  <c r="AR155" i="12"/>
  <c r="AS155" i="12" s="1"/>
  <c r="AR156" i="12"/>
  <c r="AS156" i="12" s="1"/>
  <c r="AR157" i="12"/>
  <c r="AS157" i="12" s="1"/>
  <c r="AR158" i="12"/>
  <c r="AR159" i="12"/>
  <c r="AR160" i="12"/>
  <c r="AR161" i="12"/>
  <c r="AS161" i="12" s="1"/>
  <c r="AR162" i="12"/>
  <c r="AS162" i="12" s="1"/>
  <c r="AR163" i="12"/>
  <c r="AS163" i="12" s="1"/>
  <c r="AR164" i="12"/>
  <c r="AS164" i="12" s="1"/>
  <c r="AR165" i="12"/>
  <c r="AS165" i="12" s="1"/>
  <c r="AR166" i="12"/>
  <c r="AR167" i="12"/>
  <c r="AR168" i="12"/>
  <c r="AR169" i="12"/>
  <c r="AS169" i="12" s="1"/>
  <c r="AR170" i="12"/>
  <c r="AS170" i="12" s="1"/>
  <c r="AR171" i="12"/>
  <c r="AS171" i="12" s="1"/>
  <c r="AR172" i="12"/>
  <c r="AS172" i="12" s="1"/>
  <c r="AR173" i="12"/>
  <c r="AS173" i="12" s="1"/>
  <c r="AR174" i="12"/>
  <c r="AR175" i="12"/>
  <c r="AR176" i="12"/>
  <c r="AR177" i="12"/>
  <c r="AS177" i="12" s="1"/>
  <c r="AR178" i="12"/>
  <c r="AS178" i="12" s="1"/>
  <c r="AR179" i="12"/>
  <c r="AS179" i="12" s="1"/>
  <c r="AR180" i="12"/>
  <c r="AS180" i="12" s="1"/>
  <c r="AR181" i="12"/>
  <c r="AS181" i="12" s="1"/>
  <c r="AR182" i="12"/>
  <c r="AR183" i="12"/>
  <c r="AR184" i="12"/>
  <c r="AR185" i="12"/>
  <c r="AS185" i="12" s="1"/>
  <c r="AR186" i="12"/>
  <c r="AS186" i="12" s="1"/>
  <c r="AR187" i="12"/>
  <c r="AS187" i="12" s="1"/>
  <c r="AR188" i="12"/>
  <c r="AS188" i="12" s="1"/>
  <c r="AR189" i="12"/>
  <c r="AS189" i="12" s="1"/>
  <c r="AR190" i="12"/>
  <c r="AR191" i="12"/>
  <c r="AR3" i="12"/>
  <c r="AR4" i="12"/>
  <c r="AR5" i="12"/>
  <c r="AR6" i="12"/>
  <c r="AR7" i="12"/>
  <c r="AR8" i="12"/>
  <c r="AS8" i="12" s="1"/>
  <c r="AR9" i="12"/>
  <c r="AR10" i="12"/>
  <c r="AR11" i="12"/>
  <c r="AR12" i="12"/>
  <c r="AS12" i="12" s="1"/>
  <c r="AR13" i="12"/>
  <c r="AR14" i="12"/>
  <c r="AR15" i="12"/>
  <c r="AR16" i="12"/>
  <c r="AS16" i="12" s="1"/>
  <c r="AR17" i="12"/>
  <c r="AR18" i="12"/>
  <c r="AR19" i="12"/>
  <c r="AR20" i="12"/>
  <c r="AR21" i="12"/>
  <c r="AR22" i="12"/>
  <c r="AR23" i="12"/>
  <c r="AR24" i="12"/>
  <c r="AS24" i="12" s="1"/>
  <c r="AR25" i="12"/>
  <c r="AR26" i="12"/>
  <c r="AR2" i="12"/>
  <c r="AS2" i="12" s="1"/>
  <c r="AQ28" i="12"/>
  <c r="AQ29" i="12"/>
  <c r="AQ30" i="12"/>
  <c r="AQ31" i="12"/>
  <c r="AQ32" i="12"/>
  <c r="AT34" i="12"/>
  <c r="AQ35" i="12"/>
  <c r="AQ36" i="12"/>
  <c r="AQ37" i="12"/>
  <c r="AQ38" i="12"/>
  <c r="AQ39" i="12"/>
  <c r="AQ40" i="12"/>
  <c r="AQ41" i="12"/>
  <c r="AT42" i="12"/>
  <c r="AQ43" i="12"/>
  <c r="AQ44" i="12"/>
  <c r="AQ45" i="12"/>
  <c r="AQ46" i="12"/>
  <c r="AQ47" i="12"/>
  <c r="AQ48" i="12"/>
  <c r="AQ49" i="12"/>
  <c r="AQ50" i="12"/>
  <c r="AQ51" i="12"/>
  <c r="AQ52" i="12"/>
  <c r="AQ53" i="12"/>
  <c r="AQ54" i="12"/>
  <c r="AQ55" i="12"/>
  <c r="AQ56" i="12"/>
  <c r="AT58" i="12"/>
  <c r="AQ59" i="12"/>
  <c r="AQ60" i="12"/>
  <c r="AQ61" i="12"/>
  <c r="AQ62" i="12"/>
  <c r="AQ63" i="12"/>
  <c r="AQ64" i="12"/>
  <c r="AT66" i="12"/>
  <c r="AQ67" i="12"/>
  <c r="AQ68" i="12"/>
  <c r="AQ69" i="12"/>
  <c r="AQ70" i="12"/>
  <c r="AQ71" i="12"/>
  <c r="AQ72" i="12"/>
  <c r="AT74" i="12"/>
  <c r="AQ75" i="12"/>
  <c r="AQ76" i="12"/>
  <c r="AQ77" i="12"/>
  <c r="AQ78" i="12"/>
  <c r="AQ79" i="12"/>
  <c r="AQ80" i="12"/>
  <c r="AQ82" i="12"/>
  <c r="AQ83" i="12"/>
  <c r="AQ84" i="12"/>
  <c r="AQ85" i="12"/>
  <c r="AQ86" i="12"/>
  <c r="AQ87" i="12"/>
  <c r="AQ88" i="12"/>
  <c r="AQ89" i="12"/>
  <c r="AT90" i="12"/>
  <c r="AQ91" i="12"/>
  <c r="AQ92" i="12"/>
  <c r="AQ93" i="12"/>
  <c r="AQ94" i="12"/>
  <c r="AQ95" i="12"/>
  <c r="AQ96" i="12"/>
  <c r="AT98" i="12"/>
  <c r="AQ99" i="12"/>
  <c r="AQ100" i="12"/>
  <c r="AQ101" i="12"/>
  <c r="AQ102" i="12"/>
  <c r="AQ103" i="12"/>
  <c r="AQ104" i="12"/>
  <c r="AQ105" i="12"/>
  <c r="AT106" i="12"/>
  <c r="AQ107" i="12"/>
  <c r="AQ108" i="12"/>
  <c r="AQ109" i="12"/>
  <c r="AQ110" i="12"/>
  <c r="AQ111" i="12"/>
  <c r="AQ112" i="12"/>
  <c r="AQ113" i="12"/>
  <c r="AQ114" i="12"/>
  <c r="AQ115" i="12"/>
  <c r="AQ116" i="12"/>
  <c r="AQ117" i="12"/>
  <c r="AQ118" i="12"/>
  <c r="AQ119" i="12"/>
  <c r="AQ120" i="12"/>
  <c r="AT122" i="12"/>
  <c r="AQ123" i="12"/>
  <c r="AQ124" i="12"/>
  <c r="AQ125" i="12"/>
  <c r="AQ126" i="12"/>
  <c r="AQ127" i="12"/>
  <c r="AQ128" i="12"/>
  <c r="AT130" i="12"/>
  <c r="AQ131" i="12"/>
  <c r="AQ132" i="12"/>
  <c r="AQ133" i="12"/>
  <c r="AQ134" i="12"/>
  <c r="AQ135" i="12"/>
  <c r="AQ136" i="12"/>
  <c r="AT138" i="12"/>
  <c r="AQ139" i="12"/>
  <c r="AQ140" i="12"/>
  <c r="AQ141" i="12"/>
  <c r="AQ142" i="12"/>
  <c r="AQ143" i="12"/>
  <c r="AQ144" i="12"/>
  <c r="AQ146" i="12"/>
  <c r="AQ147" i="12"/>
  <c r="AQ148" i="12"/>
  <c r="AQ149" i="12"/>
  <c r="AQ150" i="12"/>
  <c r="AQ151" i="12"/>
  <c r="AQ152" i="12"/>
  <c r="AQ153" i="12"/>
  <c r="AT154" i="12"/>
  <c r="AQ155" i="12"/>
  <c r="AQ156" i="12"/>
  <c r="AQ157" i="12"/>
  <c r="AQ158" i="12"/>
  <c r="AQ159" i="12"/>
  <c r="AQ160" i="12"/>
  <c r="AT162" i="12"/>
  <c r="AQ163" i="12"/>
  <c r="AQ164" i="12"/>
  <c r="AQ165" i="12"/>
  <c r="AQ166" i="12"/>
  <c r="AQ167" i="12"/>
  <c r="AQ168" i="12"/>
  <c r="AQ169" i="12"/>
  <c r="AT170" i="12"/>
  <c r="AQ171" i="12"/>
  <c r="AQ172" i="12"/>
  <c r="AQ173" i="12"/>
  <c r="AQ174" i="12"/>
  <c r="AQ175" i="12"/>
  <c r="AQ176" i="12"/>
  <c r="AQ178" i="12"/>
  <c r="AQ179" i="12"/>
  <c r="AQ180" i="12"/>
  <c r="AQ181" i="12"/>
  <c r="AQ182" i="12"/>
  <c r="AQ183" i="12"/>
  <c r="AQ184" i="12"/>
  <c r="AT186" i="12"/>
  <c r="AQ187" i="12"/>
  <c r="AQ188" i="12"/>
  <c r="AQ189" i="12"/>
  <c r="AQ190" i="12"/>
  <c r="AQ191" i="12"/>
  <c r="AQ3" i="12"/>
  <c r="AT5" i="12"/>
  <c r="AT6" i="12"/>
  <c r="AQ7" i="12"/>
  <c r="AQ9" i="12"/>
  <c r="AQ10" i="12"/>
  <c r="AQ11" i="12"/>
  <c r="AT13" i="12"/>
  <c r="AT14" i="12"/>
  <c r="AQ15" i="12"/>
  <c r="AQ17" i="12"/>
  <c r="AQ18" i="12"/>
  <c r="AQ19" i="12"/>
  <c r="AT22" i="12"/>
  <c r="AQ23" i="12"/>
  <c r="AQ25" i="12"/>
  <c r="AQ26" i="12"/>
  <c r="AQ2" i="12"/>
  <c r="AM27" i="12"/>
  <c r="AM28" i="12"/>
  <c r="AN28" i="12" s="1"/>
  <c r="AM29" i="12"/>
  <c r="AM30" i="12"/>
  <c r="AN30" i="12" s="1"/>
  <c r="AM31" i="12"/>
  <c r="AM32" i="12"/>
  <c r="AN32" i="12" s="1"/>
  <c r="AM33" i="12"/>
  <c r="AN33" i="12" s="1"/>
  <c r="AM34" i="12"/>
  <c r="AN34" i="12" s="1"/>
  <c r="AM35" i="12"/>
  <c r="AN35" i="12" s="1"/>
  <c r="AM36" i="12"/>
  <c r="AN36" i="12" s="1"/>
  <c r="AM37" i="12"/>
  <c r="AM38" i="12"/>
  <c r="AN38" i="12" s="1"/>
  <c r="AM39" i="12"/>
  <c r="AM40" i="12"/>
  <c r="AN40" i="12" s="1"/>
  <c r="AM41" i="12"/>
  <c r="AN41" i="12" s="1"/>
  <c r="AM42" i="12"/>
  <c r="AN42" i="12" s="1"/>
  <c r="AM43" i="12"/>
  <c r="AN43" i="12" s="1"/>
  <c r="AM44" i="12"/>
  <c r="AN44" i="12" s="1"/>
  <c r="AM45" i="12"/>
  <c r="AM46" i="12"/>
  <c r="AN46" i="12" s="1"/>
  <c r="AM47" i="12"/>
  <c r="AM48" i="12"/>
  <c r="AN48" i="12" s="1"/>
  <c r="AM49" i="12"/>
  <c r="AN49" i="12" s="1"/>
  <c r="AM50" i="12"/>
  <c r="AN50" i="12" s="1"/>
  <c r="AM51" i="12"/>
  <c r="AN51" i="12" s="1"/>
  <c r="AM52" i="12"/>
  <c r="AN52" i="12" s="1"/>
  <c r="AM53" i="12"/>
  <c r="AM54" i="12"/>
  <c r="AN54" i="12" s="1"/>
  <c r="AM55" i="12"/>
  <c r="AM56" i="12"/>
  <c r="AN56" i="12" s="1"/>
  <c r="AM57" i="12"/>
  <c r="AN57" i="12" s="1"/>
  <c r="AM58" i="12"/>
  <c r="AN58" i="12" s="1"/>
  <c r="AM59" i="12"/>
  <c r="AN59" i="12" s="1"/>
  <c r="AM60" i="12"/>
  <c r="AN60" i="12" s="1"/>
  <c r="AM61" i="12"/>
  <c r="AM62" i="12"/>
  <c r="AN62" i="12" s="1"/>
  <c r="AM63" i="12"/>
  <c r="AM64" i="12"/>
  <c r="AN64" i="12" s="1"/>
  <c r="AM65" i="12"/>
  <c r="AN65" i="12" s="1"/>
  <c r="AM66" i="12"/>
  <c r="AN66" i="12" s="1"/>
  <c r="AM67" i="12"/>
  <c r="AN67" i="12" s="1"/>
  <c r="AM68" i="12"/>
  <c r="AN68" i="12" s="1"/>
  <c r="AM69" i="12"/>
  <c r="AN69" i="12" s="1"/>
  <c r="AM70" i="12"/>
  <c r="AN70" i="12" s="1"/>
  <c r="AM71" i="12"/>
  <c r="AM72" i="12"/>
  <c r="AN72" i="12" s="1"/>
  <c r="AM73" i="12"/>
  <c r="AN73" i="12" s="1"/>
  <c r="AM74" i="12"/>
  <c r="AN74" i="12" s="1"/>
  <c r="AM75" i="12"/>
  <c r="AN75" i="12" s="1"/>
  <c r="AM76" i="12"/>
  <c r="AN76" i="12" s="1"/>
  <c r="AM77" i="12"/>
  <c r="AM78" i="12"/>
  <c r="AN78" i="12" s="1"/>
  <c r="AM79" i="12"/>
  <c r="AM80" i="12"/>
  <c r="AN80" i="12" s="1"/>
  <c r="AM81" i="12"/>
  <c r="AN81" i="12" s="1"/>
  <c r="AM82" i="12"/>
  <c r="AN82" i="12" s="1"/>
  <c r="AM83" i="12"/>
  <c r="AN83" i="12" s="1"/>
  <c r="AM84" i="12"/>
  <c r="AN84" i="12" s="1"/>
  <c r="AM85" i="12"/>
  <c r="AN85" i="12" s="1"/>
  <c r="AM86" i="12"/>
  <c r="AN86" i="12" s="1"/>
  <c r="AM87" i="12"/>
  <c r="AM88" i="12"/>
  <c r="AN88" i="12" s="1"/>
  <c r="AM89" i="12"/>
  <c r="AN89" i="12" s="1"/>
  <c r="AM90" i="12"/>
  <c r="AN90" i="12" s="1"/>
  <c r="AM91" i="12"/>
  <c r="AN91" i="12" s="1"/>
  <c r="AM92" i="12"/>
  <c r="AN92" i="12" s="1"/>
  <c r="AM93" i="12"/>
  <c r="AM94" i="12"/>
  <c r="AN94" i="12" s="1"/>
  <c r="AM95" i="12"/>
  <c r="AM96" i="12"/>
  <c r="AN96" i="12" s="1"/>
  <c r="AM97" i="12"/>
  <c r="AN97" i="12" s="1"/>
  <c r="AM98" i="12"/>
  <c r="AN98" i="12" s="1"/>
  <c r="AM99" i="12"/>
  <c r="AN99" i="12" s="1"/>
  <c r="AM100" i="12"/>
  <c r="AN100" i="12" s="1"/>
  <c r="AM101" i="12"/>
  <c r="AN101" i="12" s="1"/>
  <c r="AM102" i="12"/>
  <c r="AN102" i="12" s="1"/>
  <c r="AM103" i="12"/>
  <c r="AM104" i="12"/>
  <c r="AN104" i="12" s="1"/>
  <c r="AM105" i="12"/>
  <c r="AN105" i="12" s="1"/>
  <c r="AM106" i="12"/>
  <c r="AN106" i="12" s="1"/>
  <c r="AM107" i="12"/>
  <c r="AN107" i="12" s="1"/>
  <c r="AM108" i="12"/>
  <c r="AN108" i="12" s="1"/>
  <c r="AM109" i="12"/>
  <c r="AM110" i="12"/>
  <c r="AN110" i="12" s="1"/>
  <c r="AM111" i="12"/>
  <c r="AM112" i="12"/>
  <c r="AN112" i="12" s="1"/>
  <c r="AM113" i="12"/>
  <c r="AN113" i="12" s="1"/>
  <c r="AM114" i="12"/>
  <c r="AN114" i="12" s="1"/>
  <c r="AM115" i="12"/>
  <c r="AN115" i="12" s="1"/>
  <c r="AM116" i="12"/>
  <c r="AN116" i="12" s="1"/>
  <c r="AM117" i="12"/>
  <c r="AN117" i="12" s="1"/>
  <c r="AM118" i="12"/>
  <c r="AN118" i="12" s="1"/>
  <c r="AM119" i="12"/>
  <c r="AM120" i="12"/>
  <c r="AN120" i="12" s="1"/>
  <c r="AM121" i="12"/>
  <c r="AN121" i="12" s="1"/>
  <c r="AM122" i="12"/>
  <c r="AN122" i="12" s="1"/>
  <c r="AM123" i="12"/>
  <c r="AN123" i="12" s="1"/>
  <c r="AM124" i="12"/>
  <c r="AN124" i="12" s="1"/>
  <c r="AM125" i="12"/>
  <c r="AM126" i="12"/>
  <c r="AN126" i="12" s="1"/>
  <c r="AM127" i="12"/>
  <c r="AM128" i="12"/>
  <c r="AN128" i="12" s="1"/>
  <c r="AM129" i="12"/>
  <c r="AN129" i="12" s="1"/>
  <c r="AM130" i="12"/>
  <c r="AN130" i="12" s="1"/>
  <c r="AM131" i="12"/>
  <c r="AN131" i="12" s="1"/>
  <c r="AM132" i="12"/>
  <c r="AN132" i="12" s="1"/>
  <c r="AM133" i="12"/>
  <c r="AN133" i="12" s="1"/>
  <c r="AM134" i="12"/>
  <c r="AN134" i="12" s="1"/>
  <c r="AM135" i="12"/>
  <c r="AM136" i="12"/>
  <c r="AN136" i="12" s="1"/>
  <c r="AM137" i="12"/>
  <c r="AN137" i="12" s="1"/>
  <c r="AM138" i="12"/>
  <c r="AN138" i="12" s="1"/>
  <c r="AM139" i="12"/>
  <c r="AN139" i="12" s="1"/>
  <c r="AM140" i="12"/>
  <c r="AN140" i="12" s="1"/>
  <c r="AM141" i="12"/>
  <c r="AM142" i="12"/>
  <c r="AN142" i="12" s="1"/>
  <c r="AM143" i="12"/>
  <c r="AM144" i="12"/>
  <c r="AN144" i="12" s="1"/>
  <c r="AM145" i="12"/>
  <c r="AN145" i="12" s="1"/>
  <c r="AM146" i="12"/>
  <c r="AN146" i="12" s="1"/>
  <c r="AM147" i="12"/>
  <c r="AN147" i="12" s="1"/>
  <c r="AM148" i="12"/>
  <c r="AN148" i="12" s="1"/>
  <c r="AM149" i="12"/>
  <c r="AN149" i="12" s="1"/>
  <c r="AM150" i="12"/>
  <c r="AN150" i="12" s="1"/>
  <c r="AM151" i="12"/>
  <c r="AM152" i="12"/>
  <c r="AN152" i="12" s="1"/>
  <c r="AM153" i="12"/>
  <c r="AN153" i="12" s="1"/>
  <c r="AM154" i="12"/>
  <c r="AN154" i="12" s="1"/>
  <c r="AM155" i="12"/>
  <c r="AM156" i="12"/>
  <c r="AN156" i="12" s="1"/>
  <c r="AM157" i="12"/>
  <c r="AM158" i="12"/>
  <c r="AN158" i="12" s="1"/>
  <c r="AM159" i="12"/>
  <c r="AM160" i="12"/>
  <c r="AN160" i="12" s="1"/>
  <c r="AM161" i="12"/>
  <c r="AN161" i="12" s="1"/>
  <c r="AM162" i="12"/>
  <c r="AN162" i="12" s="1"/>
  <c r="AM163" i="12"/>
  <c r="AN163" i="12" s="1"/>
  <c r="AM164" i="12"/>
  <c r="AN164" i="12" s="1"/>
  <c r="AM165" i="12"/>
  <c r="AN165" i="12" s="1"/>
  <c r="AM166" i="12"/>
  <c r="AN166" i="12" s="1"/>
  <c r="AM167" i="12"/>
  <c r="AM168" i="12"/>
  <c r="AN168" i="12" s="1"/>
  <c r="AM169" i="12"/>
  <c r="AN169" i="12" s="1"/>
  <c r="AM170" i="12"/>
  <c r="AN170" i="12" s="1"/>
  <c r="AM171" i="12"/>
  <c r="AN171" i="12" s="1"/>
  <c r="AM172" i="12"/>
  <c r="AN172" i="12" s="1"/>
  <c r="AM173" i="12"/>
  <c r="AM174" i="12"/>
  <c r="AN174" i="12" s="1"/>
  <c r="AM175" i="12"/>
  <c r="AM176" i="12"/>
  <c r="AN176" i="12" s="1"/>
  <c r="AM177" i="12"/>
  <c r="AN177" i="12" s="1"/>
  <c r="AM178" i="12"/>
  <c r="AN178" i="12" s="1"/>
  <c r="AM179" i="12"/>
  <c r="AN179" i="12" s="1"/>
  <c r="AM180" i="12"/>
  <c r="AN180" i="12" s="1"/>
  <c r="AM181" i="12"/>
  <c r="AN181" i="12" s="1"/>
  <c r="AM182" i="12"/>
  <c r="AN182" i="12" s="1"/>
  <c r="AM183" i="12"/>
  <c r="AM184" i="12"/>
  <c r="AN184" i="12" s="1"/>
  <c r="AM185" i="12"/>
  <c r="AN185" i="12" s="1"/>
  <c r="AM186" i="12"/>
  <c r="AN186" i="12" s="1"/>
  <c r="AM187" i="12"/>
  <c r="AN187" i="12" s="1"/>
  <c r="AM188" i="12"/>
  <c r="AN188" i="12" s="1"/>
  <c r="AM189" i="12"/>
  <c r="AM190" i="12"/>
  <c r="AN190" i="12" s="1"/>
  <c r="AM191" i="12"/>
  <c r="AM3" i="12"/>
  <c r="AM4" i="12"/>
  <c r="AM5" i="12"/>
  <c r="AM6" i="12"/>
  <c r="AM7" i="12"/>
  <c r="AN7" i="12" s="1"/>
  <c r="AM8" i="12"/>
  <c r="AN8" i="12" s="1"/>
  <c r="AM9" i="12"/>
  <c r="AN9" i="12" s="1"/>
  <c r="AM10" i="12"/>
  <c r="AM11" i="12"/>
  <c r="AM12" i="12"/>
  <c r="AN12" i="12" s="1"/>
  <c r="AM13" i="12"/>
  <c r="AM14" i="12"/>
  <c r="AM15" i="12"/>
  <c r="AM16" i="12"/>
  <c r="AM17" i="12"/>
  <c r="AM18" i="12"/>
  <c r="AM19" i="12"/>
  <c r="AM20" i="12"/>
  <c r="AN20" i="12" s="1"/>
  <c r="AM21" i="12"/>
  <c r="AM22" i="12"/>
  <c r="AM23" i="12"/>
  <c r="AM24" i="12"/>
  <c r="AM25" i="12"/>
  <c r="AM26" i="12"/>
  <c r="AM2" i="12"/>
  <c r="AL27" i="12"/>
  <c r="AL28" i="12"/>
  <c r="AL29" i="12"/>
  <c r="AL30" i="12"/>
  <c r="AL31" i="12"/>
  <c r="AL32" i="12"/>
  <c r="AL33" i="12"/>
  <c r="AL35" i="12"/>
  <c r="AL36" i="12"/>
  <c r="AL37" i="12"/>
  <c r="AL38" i="12"/>
  <c r="AL39" i="12"/>
  <c r="AL40" i="12"/>
  <c r="AL41" i="12"/>
  <c r="AL43" i="12"/>
  <c r="AL44" i="12"/>
  <c r="AL45" i="12"/>
  <c r="AL46" i="12"/>
  <c r="AL47" i="12"/>
  <c r="AL48" i="12"/>
  <c r="AL49" i="12"/>
  <c r="AL50" i="12"/>
  <c r="AL51" i="12"/>
  <c r="AL52" i="12"/>
  <c r="AL53" i="12"/>
  <c r="AL54" i="12"/>
  <c r="AL55" i="12"/>
  <c r="AL56" i="12"/>
  <c r="AL57" i="12"/>
  <c r="AL59" i="12"/>
  <c r="AL60" i="12"/>
  <c r="AL61" i="12"/>
  <c r="AL62" i="12"/>
  <c r="AL63" i="12"/>
  <c r="AL64" i="12"/>
  <c r="AL65" i="12"/>
  <c r="AL66" i="12"/>
  <c r="AL67" i="12"/>
  <c r="AL68" i="12"/>
  <c r="AL69" i="12"/>
  <c r="AL70" i="12"/>
  <c r="AL71" i="12"/>
  <c r="AL72" i="12"/>
  <c r="AL73" i="12"/>
  <c r="AL75" i="12"/>
  <c r="AL76" i="12"/>
  <c r="AL77" i="12"/>
  <c r="AL78" i="12"/>
  <c r="AL79" i="12"/>
  <c r="AL80" i="12"/>
  <c r="AL81" i="12"/>
  <c r="AL82" i="12"/>
  <c r="AL83" i="12"/>
  <c r="AL84" i="12"/>
  <c r="AL85" i="12"/>
  <c r="AL86" i="12"/>
  <c r="AL87" i="12"/>
  <c r="AL88" i="12"/>
  <c r="AL89" i="12"/>
  <c r="AL91" i="12"/>
  <c r="AL92" i="12"/>
  <c r="AL93" i="12"/>
  <c r="AL94" i="12"/>
  <c r="AL95" i="12"/>
  <c r="AL96" i="12"/>
  <c r="AL97" i="12"/>
  <c r="AL99" i="12"/>
  <c r="AL100" i="12"/>
  <c r="AL101" i="12"/>
  <c r="AL102" i="12"/>
  <c r="AL103" i="12"/>
  <c r="AL104" i="12"/>
  <c r="AL105" i="12"/>
  <c r="AL107" i="12"/>
  <c r="AL108" i="12"/>
  <c r="AL109" i="12"/>
  <c r="AL110" i="12"/>
  <c r="AL111" i="12"/>
  <c r="AL112" i="12"/>
  <c r="AL113" i="12"/>
  <c r="AL114" i="12"/>
  <c r="AL115" i="12"/>
  <c r="AL116" i="12"/>
  <c r="AL117" i="12"/>
  <c r="AL118" i="12"/>
  <c r="AL119" i="12"/>
  <c r="AL120" i="12"/>
  <c r="AL121" i="12"/>
  <c r="AL123" i="12"/>
  <c r="AL124" i="12"/>
  <c r="AL125" i="12"/>
  <c r="AL126" i="12"/>
  <c r="AL127" i="12"/>
  <c r="AL128" i="12"/>
  <c r="AL129" i="12"/>
  <c r="AL130" i="12"/>
  <c r="AL131" i="12"/>
  <c r="AL132" i="12"/>
  <c r="AL133" i="12"/>
  <c r="AL134" i="12"/>
  <c r="AL135" i="12"/>
  <c r="AL136" i="12"/>
  <c r="AL137" i="12"/>
  <c r="AL139" i="12"/>
  <c r="AL140" i="12"/>
  <c r="AL141" i="12"/>
  <c r="AL142" i="12"/>
  <c r="AL143" i="12"/>
  <c r="AL144" i="12"/>
  <c r="AL145" i="12"/>
  <c r="AL146" i="12"/>
  <c r="AL147" i="12"/>
  <c r="AL148" i="12"/>
  <c r="AL149" i="12"/>
  <c r="AL150" i="12"/>
  <c r="AL151" i="12"/>
  <c r="AL152" i="12"/>
  <c r="AL153" i="12"/>
  <c r="AL155" i="12"/>
  <c r="AL156" i="12"/>
  <c r="AL157" i="12"/>
  <c r="AL158" i="12"/>
  <c r="AL159" i="12"/>
  <c r="AL160" i="12"/>
  <c r="AL161" i="12"/>
  <c r="AL163" i="12"/>
  <c r="AL164" i="12"/>
  <c r="AL165" i="12"/>
  <c r="AL166" i="12"/>
  <c r="AL167" i="12"/>
  <c r="AL168" i="12"/>
  <c r="AL169" i="12"/>
  <c r="AL171" i="12"/>
  <c r="AL172" i="12"/>
  <c r="AL173" i="12"/>
  <c r="AL174" i="12"/>
  <c r="AL175" i="12"/>
  <c r="AL176" i="12"/>
  <c r="AL177" i="12"/>
  <c r="AL178" i="12"/>
  <c r="AL179" i="12"/>
  <c r="AL180" i="12"/>
  <c r="AL181" i="12"/>
  <c r="AL182" i="12"/>
  <c r="AL183" i="12"/>
  <c r="AL184" i="12"/>
  <c r="AL185" i="12"/>
  <c r="AL187" i="12"/>
  <c r="AL188" i="12"/>
  <c r="AL189" i="12"/>
  <c r="AL190" i="12"/>
  <c r="AL191" i="12"/>
  <c r="AL3" i="12"/>
  <c r="AL4" i="12"/>
  <c r="AL6" i="12"/>
  <c r="AL7" i="12"/>
  <c r="AL8" i="12"/>
  <c r="AL9" i="12"/>
  <c r="AL10" i="12"/>
  <c r="AL11" i="12"/>
  <c r="AL12" i="12"/>
  <c r="AL14" i="12"/>
  <c r="AL15" i="12"/>
  <c r="AL16" i="12"/>
  <c r="AL17" i="12"/>
  <c r="AL18" i="12"/>
  <c r="AL19" i="12"/>
  <c r="AL22" i="12"/>
  <c r="AL23" i="12"/>
  <c r="AL24" i="12"/>
  <c r="AL25" i="12"/>
  <c r="AL26" i="12"/>
  <c r="AL2" i="12"/>
  <c r="AH27" i="12"/>
  <c r="AI27" i="12" s="1"/>
  <c r="AH28" i="12"/>
  <c r="AI28" i="12" s="1"/>
  <c r="AH29" i="12"/>
  <c r="AI29" i="12" s="1"/>
  <c r="AH30" i="12"/>
  <c r="AI30" i="12" s="1"/>
  <c r="AH31" i="12"/>
  <c r="AH32" i="12"/>
  <c r="AH33" i="12"/>
  <c r="AI33" i="12" s="1"/>
  <c r="AH34" i="12"/>
  <c r="AI34" i="12" s="1"/>
  <c r="AH35" i="12"/>
  <c r="AI35" i="12" s="1"/>
  <c r="AH36" i="12"/>
  <c r="AI36" i="12" s="1"/>
  <c r="AH37" i="12"/>
  <c r="AI37" i="12" s="1"/>
  <c r="AH38" i="12"/>
  <c r="AI38" i="12" s="1"/>
  <c r="AH39" i="12"/>
  <c r="AI39" i="12" s="1"/>
  <c r="AH40" i="12"/>
  <c r="AI40" i="12" s="1"/>
  <c r="AH41" i="12"/>
  <c r="AI41" i="12" s="1"/>
  <c r="AH42" i="12"/>
  <c r="AI42" i="12" s="1"/>
  <c r="AH43" i="12"/>
  <c r="AI43" i="12" s="1"/>
  <c r="AH44" i="12"/>
  <c r="AI44" i="12" s="1"/>
  <c r="AH45" i="12"/>
  <c r="AI45" i="12" s="1"/>
  <c r="AH46" i="12"/>
  <c r="AI46" i="12" s="1"/>
  <c r="AH47" i="12"/>
  <c r="AH48" i="12"/>
  <c r="AI48" i="12" s="1"/>
  <c r="AH49" i="12"/>
  <c r="AI49" i="12" s="1"/>
  <c r="AH50" i="12"/>
  <c r="AI50" i="12" s="1"/>
  <c r="AH51" i="12"/>
  <c r="AI51" i="12" s="1"/>
  <c r="AH52" i="12"/>
  <c r="AH53" i="12"/>
  <c r="AH54" i="12"/>
  <c r="AI54" i="12" s="1"/>
  <c r="AH55" i="12"/>
  <c r="AI55" i="12" s="1"/>
  <c r="AH56" i="12"/>
  <c r="AI56" i="12" s="1"/>
  <c r="AH57" i="12"/>
  <c r="AI57" i="12" s="1"/>
  <c r="AH58" i="12"/>
  <c r="AI58" i="12" s="1"/>
  <c r="AH59" i="12"/>
  <c r="AI59" i="12" s="1"/>
  <c r="AH60" i="12"/>
  <c r="AI60" i="12" s="1"/>
  <c r="AH61" i="12"/>
  <c r="AI61" i="12" s="1"/>
  <c r="AH62" i="12"/>
  <c r="AI62" i="12" s="1"/>
  <c r="AH63" i="12"/>
  <c r="AH64" i="12"/>
  <c r="AI64" i="12" s="1"/>
  <c r="AH65" i="12"/>
  <c r="AI65" i="12" s="1"/>
  <c r="AH66" i="12"/>
  <c r="AI66" i="12" s="1"/>
  <c r="AH67" i="12"/>
  <c r="AI67" i="12" s="1"/>
  <c r="AH68" i="12"/>
  <c r="AI68" i="12" s="1"/>
  <c r="AH69" i="12"/>
  <c r="AI69" i="12" s="1"/>
  <c r="AH70" i="12"/>
  <c r="AI70" i="12" s="1"/>
  <c r="AH71" i="12"/>
  <c r="AI71" i="12" s="1"/>
  <c r="AH72" i="12"/>
  <c r="AI72" i="12" s="1"/>
  <c r="AH73" i="12"/>
  <c r="AI73" i="12" s="1"/>
  <c r="AH74" i="12"/>
  <c r="AI74" i="12" s="1"/>
  <c r="AH75" i="12"/>
  <c r="AI75" i="12" s="1"/>
  <c r="AH76" i="12"/>
  <c r="AI76" i="12" s="1"/>
  <c r="AH77" i="12"/>
  <c r="AH78" i="12"/>
  <c r="AI78" i="12" s="1"/>
  <c r="AH79" i="12"/>
  <c r="AH80" i="12"/>
  <c r="AI80" i="12" s="1"/>
  <c r="AH81" i="12"/>
  <c r="AI81" i="12" s="1"/>
  <c r="AH82" i="12"/>
  <c r="AI82" i="12" s="1"/>
  <c r="AH83" i="12"/>
  <c r="AI83" i="12" s="1"/>
  <c r="AH84" i="12"/>
  <c r="AI84" i="12" s="1"/>
  <c r="AH85" i="12"/>
  <c r="AI85" i="12" s="1"/>
  <c r="AH86" i="12"/>
  <c r="AH87" i="12"/>
  <c r="AI87" i="12" s="1"/>
  <c r="AH88" i="12"/>
  <c r="AI88" i="12" s="1"/>
  <c r="AH89" i="12"/>
  <c r="AI89" i="12" s="1"/>
  <c r="AH90" i="12"/>
  <c r="AI90" i="12" s="1"/>
  <c r="AH91" i="12"/>
  <c r="AI91" i="12" s="1"/>
  <c r="AH92" i="12"/>
  <c r="AI92" i="12" s="1"/>
  <c r="AH93" i="12"/>
  <c r="AI93" i="12" s="1"/>
  <c r="AH94" i="12"/>
  <c r="AH95" i="12"/>
  <c r="AH96" i="12"/>
  <c r="AI96" i="12" s="1"/>
  <c r="AH97" i="12"/>
  <c r="AI97" i="12" s="1"/>
  <c r="AH98" i="12"/>
  <c r="AI98" i="12" s="1"/>
  <c r="AH99" i="12"/>
  <c r="AI99" i="12" s="1"/>
  <c r="AH100" i="12"/>
  <c r="AI100" i="12" s="1"/>
  <c r="AH101" i="12"/>
  <c r="AI101" i="12" s="1"/>
  <c r="AH102" i="12"/>
  <c r="AH103" i="12"/>
  <c r="AI103" i="12" s="1"/>
  <c r="AH104" i="12"/>
  <c r="AI104" i="12" s="1"/>
  <c r="AH105" i="12"/>
  <c r="AI105" i="12" s="1"/>
  <c r="AH106" i="12"/>
  <c r="AI106" i="12" s="1"/>
  <c r="AH107" i="12"/>
  <c r="AI107" i="12" s="1"/>
  <c r="AH108" i="12"/>
  <c r="AI108" i="12" s="1"/>
  <c r="AH109" i="12"/>
  <c r="AI109" i="12" s="1"/>
  <c r="AH110" i="12"/>
  <c r="AH111" i="12"/>
  <c r="AH112" i="12"/>
  <c r="AI112" i="12" s="1"/>
  <c r="AH113" i="12"/>
  <c r="AI113" i="12" s="1"/>
  <c r="AH114" i="12"/>
  <c r="AI114" i="12" s="1"/>
  <c r="AH115" i="12"/>
  <c r="AI115" i="12" s="1"/>
  <c r="AH116" i="12"/>
  <c r="AH117" i="12"/>
  <c r="AH118" i="12"/>
  <c r="AH119" i="12"/>
  <c r="AI119" i="12" s="1"/>
  <c r="AH120" i="12"/>
  <c r="AI120" i="12" s="1"/>
  <c r="AH121" i="12"/>
  <c r="AI121" i="12" s="1"/>
  <c r="AH122" i="12"/>
  <c r="AI122" i="12" s="1"/>
  <c r="AH123" i="12"/>
  <c r="AI123" i="12" s="1"/>
  <c r="AH124" i="12"/>
  <c r="AI124" i="12" s="1"/>
  <c r="AH125" i="12"/>
  <c r="AI125" i="12" s="1"/>
  <c r="AH126" i="12"/>
  <c r="AH127" i="12"/>
  <c r="AI127" i="12" s="1"/>
  <c r="AH128" i="12"/>
  <c r="AI128" i="12" s="1"/>
  <c r="AH129" i="12"/>
  <c r="AI129" i="12" s="1"/>
  <c r="AH130" i="12"/>
  <c r="AI130" i="12" s="1"/>
  <c r="AH131" i="12"/>
  <c r="AI131" i="12" s="1"/>
  <c r="AH132" i="12"/>
  <c r="AI132" i="12" s="1"/>
  <c r="AH133" i="12"/>
  <c r="AI133" i="12" s="1"/>
  <c r="AH134" i="12"/>
  <c r="AH135" i="12"/>
  <c r="AI135" i="12" s="1"/>
  <c r="AH136" i="12"/>
  <c r="AI136" i="12" s="1"/>
  <c r="AH137" i="12"/>
  <c r="AI137" i="12" s="1"/>
  <c r="AH138" i="12"/>
  <c r="AI138" i="12" s="1"/>
  <c r="AH139" i="12"/>
  <c r="AI139" i="12" s="1"/>
  <c r="AH140" i="12"/>
  <c r="AI140" i="12" s="1"/>
  <c r="AH141" i="12"/>
  <c r="AH142" i="12"/>
  <c r="AH143" i="12"/>
  <c r="AI143" i="12" s="1"/>
  <c r="AH144" i="12"/>
  <c r="AI144" i="12" s="1"/>
  <c r="AH145" i="12"/>
  <c r="AI145" i="12" s="1"/>
  <c r="AH146" i="12"/>
  <c r="AI146" i="12" s="1"/>
  <c r="AH147" i="12"/>
  <c r="AI147" i="12" s="1"/>
  <c r="AH148" i="12"/>
  <c r="AI148" i="12" s="1"/>
  <c r="AH149" i="12"/>
  <c r="AI149" i="12" s="1"/>
  <c r="AH150" i="12"/>
  <c r="AH151" i="12"/>
  <c r="AI151" i="12" s="1"/>
  <c r="AH152" i="12"/>
  <c r="AI152" i="12" s="1"/>
  <c r="AH153" i="12"/>
  <c r="AI153" i="12" s="1"/>
  <c r="AH154" i="12"/>
  <c r="AI154" i="12" s="1"/>
  <c r="AH155" i="12"/>
  <c r="AI155" i="12" s="1"/>
  <c r="AH156" i="12"/>
  <c r="AI156" i="12" s="1"/>
  <c r="AH157" i="12"/>
  <c r="AI157" i="12" s="1"/>
  <c r="AH158" i="12"/>
  <c r="AH159" i="12"/>
  <c r="AI159" i="12" s="1"/>
  <c r="AH160" i="12"/>
  <c r="AI160" i="12" s="1"/>
  <c r="AH161" i="12"/>
  <c r="AI161" i="12" s="1"/>
  <c r="AH162" i="12"/>
  <c r="AI162" i="12" s="1"/>
  <c r="AH163" i="12"/>
  <c r="AI163" i="12" s="1"/>
  <c r="AH164" i="12"/>
  <c r="AI164" i="12" s="1"/>
  <c r="AH165" i="12"/>
  <c r="AI165" i="12" s="1"/>
  <c r="AH166" i="12"/>
  <c r="AH167" i="12"/>
  <c r="AI167" i="12" s="1"/>
  <c r="AH168" i="12"/>
  <c r="AI168" i="12" s="1"/>
  <c r="AH169" i="12"/>
  <c r="AI169" i="12" s="1"/>
  <c r="AH170" i="12"/>
  <c r="AI170" i="12" s="1"/>
  <c r="AH171" i="12"/>
  <c r="AI171" i="12" s="1"/>
  <c r="AH172" i="12"/>
  <c r="AI172" i="12" s="1"/>
  <c r="AH173" i="12"/>
  <c r="AI173" i="12" s="1"/>
  <c r="AH174" i="12"/>
  <c r="AH175" i="12"/>
  <c r="AI175" i="12" s="1"/>
  <c r="AH176" i="12"/>
  <c r="AI176" i="12" s="1"/>
  <c r="AH177" i="12"/>
  <c r="AI177" i="12" s="1"/>
  <c r="AH178" i="12"/>
  <c r="AI178" i="12" s="1"/>
  <c r="AH179" i="12"/>
  <c r="AI179" i="12" s="1"/>
  <c r="AH180" i="12"/>
  <c r="AH181" i="12"/>
  <c r="AH182" i="12"/>
  <c r="AH183" i="12"/>
  <c r="AI183" i="12" s="1"/>
  <c r="AH184" i="12"/>
  <c r="AI184" i="12" s="1"/>
  <c r="AH185" i="12"/>
  <c r="AI185" i="12" s="1"/>
  <c r="AH186" i="12"/>
  <c r="AI186" i="12" s="1"/>
  <c r="AH187" i="12"/>
  <c r="AI187" i="12" s="1"/>
  <c r="AH188" i="12"/>
  <c r="AI188" i="12" s="1"/>
  <c r="AH189" i="12"/>
  <c r="AI189" i="12" s="1"/>
  <c r="AH190" i="12"/>
  <c r="AH191" i="12"/>
  <c r="AH3" i="12"/>
  <c r="AH4" i="12"/>
  <c r="AH5" i="12"/>
  <c r="AI5" i="12" s="1"/>
  <c r="AH6" i="12"/>
  <c r="AH7" i="12"/>
  <c r="AH8" i="12"/>
  <c r="AI8" i="12" s="1"/>
  <c r="AH9" i="12"/>
  <c r="AH10" i="12"/>
  <c r="AH11" i="12"/>
  <c r="AH12" i="12"/>
  <c r="AH13" i="12"/>
  <c r="AH14" i="12"/>
  <c r="AH15" i="12"/>
  <c r="AI15" i="12" s="1"/>
  <c r="AH16" i="12"/>
  <c r="AI16" i="12" s="1"/>
  <c r="AH17" i="12"/>
  <c r="AH18" i="12"/>
  <c r="AH19" i="12"/>
  <c r="AH20" i="12"/>
  <c r="AH21" i="12"/>
  <c r="AH22" i="12"/>
  <c r="AH23" i="12"/>
  <c r="AH24" i="12"/>
  <c r="AI24" i="12" s="1"/>
  <c r="AH25" i="12"/>
  <c r="AH26" i="12"/>
  <c r="AH2" i="12"/>
  <c r="AG27" i="12"/>
  <c r="AG28" i="12"/>
  <c r="AG29" i="12"/>
  <c r="AG30" i="12"/>
  <c r="AG31" i="12"/>
  <c r="AG32" i="12"/>
  <c r="AG35" i="12"/>
  <c r="AG36" i="12"/>
  <c r="AG37" i="12"/>
  <c r="AG38" i="12"/>
  <c r="AG39" i="12"/>
  <c r="AG40" i="12"/>
  <c r="AG43" i="12"/>
  <c r="AG44" i="12"/>
  <c r="AG45" i="12"/>
  <c r="AG46" i="12"/>
  <c r="AG47" i="12"/>
  <c r="AG48" i="12"/>
  <c r="AG51" i="12"/>
  <c r="AG52" i="12"/>
  <c r="AG53" i="12"/>
  <c r="AG54" i="12"/>
  <c r="AG55" i="12"/>
  <c r="AG56" i="12"/>
  <c r="AG58" i="12"/>
  <c r="AG59" i="12"/>
  <c r="AG60" i="12"/>
  <c r="AG61" i="12"/>
  <c r="AG62" i="12"/>
  <c r="AG63" i="12"/>
  <c r="AG64" i="12"/>
  <c r="AG67" i="12"/>
  <c r="AG68" i="12"/>
  <c r="AG69" i="12"/>
  <c r="AG70" i="12"/>
  <c r="AG71" i="12"/>
  <c r="AG72" i="12"/>
  <c r="AG74" i="12"/>
  <c r="AG75" i="12"/>
  <c r="AG76" i="12"/>
  <c r="AG77" i="12"/>
  <c r="AG78" i="12"/>
  <c r="AG79" i="12"/>
  <c r="AG80" i="12"/>
  <c r="AG81" i="12"/>
  <c r="AG82" i="12"/>
  <c r="AG83" i="12"/>
  <c r="AG84" i="12"/>
  <c r="AG85" i="12"/>
  <c r="AG86" i="12"/>
  <c r="AG87" i="12"/>
  <c r="AG88" i="12"/>
  <c r="AG89" i="12"/>
  <c r="AG91" i="12"/>
  <c r="AG92" i="12"/>
  <c r="AG93" i="12"/>
  <c r="AG94" i="12"/>
  <c r="AG95" i="12"/>
  <c r="AG96" i="12"/>
  <c r="AG99" i="12"/>
  <c r="AG100" i="12"/>
  <c r="AG101" i="12"/>
  <c r="AG102" i="12"/>
  <c r="AG103" i="12"/>
  <c r="AG104" i="12"/>
  <c r="AG107" i="12"/>
  <c r="AG108" i="12"/>
  <c r="AG109" i="12"/>
  <c r="AG110" i="12"/>
  <c r="AG111" i="12"/>
  <c r="AG112" i="12"/>
  <c r="AG115" i="12"/>
  <c r="AG116" i="12"/>
  <c r="AG117" i="12"/>
  <c r="AG118" i="12"/>
  <c r="AG119" i="12"/>
  <c r="AG120" i="12"/>
  <c r="AG122" i="12"/>
  <c r="AG123" i="12"/>
  <c r="AG124" i="12"/>
  <c r="AG125" i="12"/>
  <c r="AG126" i="12"/>
  <c r="AG127" i="12"/>
  <c r="AG128" i="12"/>
  <c r="AG131" i="12"/>
  <c r="AG132" i="12"/>
  <c r="AG133" i="12"/>
  <c r="AG134" i="12"/>
  <c r="AG135" i="12"/>
  <c r="AG136" i="12"/>
  <c r="AG138" i="12"/>
  <c r="AG139" i="12"/>
  <c r="AG140" i="12"/>
  <c r="AG141" i="12"/>
  <c r="AG142" i="12"/>
  <c r="AG143" i="12"/>
  <c r="AG144" i="12"/>
  <c r="AG145" i="12"/>
  <c r="AG146" i="12"/>
  <c r="AG147" i="12"/>
  <c r="AG148" i="12"/>
  <c r="AG149" i="12"/>
  <c r="AG150" i="12"/>
  <c r="AG151" i="12"/>
  <c r="AG152" i="12"/>
  <c r="AG153" i="12"/>
  <c r="AG155" i="12"/>
  <c r="AG156" i="12"/>
  <c r="AG157" i="12"/>
  <c r="AG158" i="12"/>
  <c r="AG159" i="12"/>
  <c r="AG160" i="12"/>
  <c r="AG163" i="12"/>
  <c r="AG164" i="12"/>
  <c r="AG165" i="12"/>
  <c r="AG166" i="12"/>
  <c r="AG167" i="12"/>
  <c r="AG168" i="12"/>
  <c r="AG171" i="12"/>
  <c r="AG172" i="12"/>
  <c r="AG173" i="12"/>
  <c r="AG174" i="12"/>
  <c r="AG175" i="12"/>
  <c r="AG176" i="12"/>
  <c r="AG179" i="12"/>
  <c r="AG180" i="12"/>
  <c r="AG181" i="12"/>
  <c r="AG182" i="12"/>
  <c r="AG183" i="12"/>
  <c r="AG184" i="12"/>
  <c r="AG186" i="12"/>
  <c r="AG187" i="12"/>
  <c r="AG188" i="12"/>
  <c r="AG189" i="12"/>
  <c r="AG190" i="12"/>
  <c r="AG191" i="12"/>
  <c r="AG3" i="12"/>
  <c r="AG4" i="12"/>
  <c r="AG6" i="12"/>
  <c r="AG9" i="12"/>
  <c r="AG10" i="12"/>
  <c r="AG11" i="12"/>
  <c r="AG12" i="12"/>
  <c r="AG14" i="12"/>
  <c r="AG17" i="12"/>
  <c r="AG18" i="12"/>
  <c r="AG19" i="12"/>
  <c r="AG20" i="12"/>
  <c r="AG22" i="12"/>
  <c r="AG23" i="12"/>
  <c r="AG25" i="12"/>
  <c r="AG26" i="12"/>
  <c r="AG2" i="12"/>
  <c r="AC27" i="12"/>
  <c r="AC28" i="12"/>
  <c r="AD28" i="12" s="1"/>
  <c r="AC29" i="12"/>
  <c r="AD29" i="12" s="1"/>
  <c r="AC30" i="12"/>
  <c r="AD30" i="12" s="1"/>
  <c r="AC31" i="12"/>
  <c r="AC32" i="12"/>
  <c r="AC33" i="12"/>
  <c r="AD33" i="12" s="1"/>
  <c r="AC34" i="12"/>
  <c r="AD34" i="12" s="1"/>
  <c r="AC35" i="12"/>
  <c r="AD35" i="12" s="1"/>
  <c r="AC36" i="12"/>
  <c r="AD36" i="12" s="1"/>
  <c r="AC37" i="12"/>
  <c r="AD37" i="12" s="1"/>
  <c r="AC38" i="12"/>
  <c r="AD38" i="12" s="1"/>
  <c r="AC39" i="12"/>
  <c r="AC40" i="12"/>
  <c r="AC41" i="12"/>
  <c r="AD41" i="12" s="1"/>
  <c r="AC42" i="12"/>
  <c r="AD42" i="12" s="1"/>
  <c r="AC43" i="12"/>
  <c r="AD43" i="12" s="1"/>
  <c r="AC44" i="12"/>
  <c r="AD44" i="12" s="1"/>
  <c r="AC45" i="12"/>
  <c r="AD45" i="12" s="1"/>
  <c r="AC46" i="12"/>
  <c r="AD46" i="12" s="1"/>
  <c r="AC47" i="12"/>
  <c r="AC48" i="12"/>
  <c r="AC49" i="12"/>
  <c r="AD49" i="12" s="1"/>
  <c r="AC50" i="12"/>
  <c r="AD50" i="12" s="1"/>
  <c r="AC51" i="12"/>
  <c r="AD51" i="12" s="1"/>
  <c r="AC52" i="12"/>
  <c r="AD52" i="12" s="1"/>
  <c r="AC53" i="12"/>
  <c r="AD53" i="12" s="1"/>
  <c r="AC54" i="12"/>
  <c r="AD54" i="12" s="1"/>
  <c r="AC55" i="12"/>
  <c r="AC56" i="12"/>
  <c r="AC57" i="12"/>
  <c r="AD57" i="12" s="1"/>
  <c r="AC58" i="12"/>
  <c r="AD58" i="12" s="1"/>
  <c r="AC59" i="12"/>
  <c r="AD59" i="12" s="1"/>
  <c r="AC60" i="12"/>
  <c r="AD60" i="12" s="1"/>
  <c r="AC61" i="12"/>
  <c r="AD61" i="12" s="1"/>
  <c r="AC62" i="12"/>
  <c r="AD62" i="12" s="1"/>
  <c r="AC63" i="12"/>
  <c r="AC64" i="12"/>
  <c r="AC65" i="12"/>
  <c r="AD65" i="12" s="1"/>
  <c r="AC66" i="12"/>
  <c r="AC67" i="12"/>
  <c r="AD67" i="12" s="1"/>
  <c r="AC68" i="12"/>
  <c r="AC69" i="12"/>
  <c r="AD69" i="12" s="1"/>
  <c r="AC70" i="12"/>
  <c r="AD70" i="12" s="1"/>
  <c r="AC71" i="12"/>
  <c r="AC72" i="12"/>
  <c r="AC73" i="12"/>
  <c r="AD73" i="12" s="1"/>
  <c r="AC74" i="12"/>
  <c r="AC75" i="12"/>
  <c r="AD75" i="12" s="1"/>
  <c r="AC76" i="12"/>
  <c r="AD76" i="12" s="1"/>
  <c r="AC77" i="12"/>
  <c r="AD77" i="12" s="1"/>
  <c r="AC78" i="12"/>
  <c r="AD78" i="12" s="1"/>
  <c r="AC79" i="12"/>
  <c r="AC80" i="12"/>
  <c r="AC81" i="12"/>
  <c r="AD81" i="12" s="1"/>
  <c r="AC82" i="12"/>
  <c r="AC83" i="12"/>
  <c r="AD83" i="12" s="1"/>
  <c r="AC84" i="12"/>
  <c r="AD84" i="12" s="1"/>
  <c r="AC85" i="12"/>
  <c r="AD85" i="12" s="1"/>
  <c r="AC86" i="12"/>
  <c r="AD86" i="12" s="1"/>
  <c r="AC87" i="12"/>
  <c r="AC88" i="12"/>
  <c r="AC89" i="12"/>
  <c r="AD89" i="12" s="1"/>
  <c r="AC90" i="12"/>
  <c r="AD90" i="12" s="1"/>
  <c r="AC91" i="12"/>
  <c r="AD91" i="12" s="1"/>
  <c r="AC92" i="12"/>
  <c r="AD92" i="12" s="1"/>
  <c r="AC93" i="12"/>
  <c r="AD93" i="12" s="1"/>
  <c r="AC94" i="12"/>
  <c r="AD94" i="12" s="1"/>
  <c r="AC95" i="12"/>
  <c r="AC96" i="12"/>
  <c r="AC97" i="12"/>
  <c r="AD97" i="12" s="1"/>
  <c r="AC98" i="12"/>
  <c r="AD98" i="12" s="1"/>
  <c r="AC99" i="12"/>
  <c r="AD99" i="12" s="1"/>
  <c r="AC100" i="12"/>
  <c r="AD100" i="12" s="1"/>
  <c r="AC101" i="12"/>
  <c r="AD101" i="12" s="1"/>
  <c r="AC102" i="12"/>
  <c r="AD102" i="12" s="1"/>
  <c r="AC103" i="12"/>
  <c r="AC104" i="12"/>
  <c r="AC105" i="12"/>
  <c r="AD105" i="12" s="1"/>
  <c r="AC106" i="12"/>
  <c r="AD106" i="12" s="1"/>
  <c r="AC107" i="12"/>
  <c r="AD107" i="12" s="1"/>
  <c r="AC108" i="12"/>
  <c r="AD108" i="12" s="1"/>
  <c r="AC109" i="12"/>
  <c r="AD109" i="12" s="1"/>
  <c r="AC110" i="12"/>
  <c r="AD110" i="12" s="1"/>
  <c r="AC111" i="12"/>
  <c r="AC112" i="12"/>
  <c r="AC113" i="12"/>
  <c r="AD113" i="12" s="1"/>
  <c r="AC114" i="12"/>
  <c r="AD114" i="12" s="1"/>
  <c r="AC115" i="12"/>
  <c r="AC116" i="12"/>
  <c r="AC117" i="12"/>
  <c r="AD117" i="12" s="1"/>
  <c r="AC118" i="12"/>
  <c r="AD118" i="12" s="1"/>
  <c r="AC119" i="12"/>
  <c r="AC120" i="12"/>
  <c r="AC121" i="12"/>
  <c r="AD121" i="12" s="1"/>
  <c r="AC122" i="12"/>
  <c r="AC123" i="12"/>
  <c r="AD123" i="12" s="1"/>
  <c r="AC124" i="12"/>
  <c r="AD124" i="12" s="1"/>
  <c r="AC125" i="12"/>
  <c r="AD125" i="12" s="1"/>
  <c r="AC126" i="12"/>
  <c r="AD126" i="12" s="1"/>
  <c r="AC127" i="12"/>
  <c r="AC128" i="12"/>
  <c r="AC129" i="12"/>
  <c r="AD129" i="12" s="1"/>
  <c r="AC130" i="12"/>
  <c r="AC131" i="12"/>
  <c r="AD131" i="12" s="1"/>
  <c r="AC132" i="12"/>
  <c r="AC133" i="12"/>
  <c r="AD133" i="12" s="1"/>
  <c r="AC134" i="12"/>
  <c r="AD134" i="12" s="1"/>
  <c r="AC135" i="12"/>
  <c r="AC136" i="12"/>
  <c r="AC137" i="12"/>
  <c r="AD137" i="12" s="1"/>
  <c r="AC138" i="12"/>
  <c r="AD138" i="12" s="1"/>
  <c r="AC139" i="12"/>
  <c r="AD139" i="12" s="1"/>
  <c r="AC140" i="12"/>
  <c r="AD140" i="12" s="1"/>
  <c r="AC141" i="12"/>
  <c r="AD141" i="12" s="1"/>
  <c r="AC142" i="12"/>
  <c r="AD142" i="12" s="1"/>
  <c r="AC143" i="12"/>
  <c r="AC144" i="12"/>
  <c r="AC145" i="12"/>
  <c r="AD145" i="12" s="1"/>
  <c r="AC146" i="12"/>
  <c r="AD146" i="12" s="1"/>
  <c r="AC147" i="12"/>
  <c r="AD147" i="12" s="1"/>
  <c r="AC148" i="12"/>
  <c r="AC149" i="12"/>
  <c r="AD149" i="12" s="1"/>
  <c r="AC150" i="12"/>
  <c r="AD150" i="12" s="1"/>
  <c r="AC151" i="12"/>
  <c r="AC152" i="12"/>
  <c r="AC153" i="12"/>
  <c r="AD153" i="12" s="1"/>
  <c r="AC154" i="12"/>
  <c r="AD154" i="12" s="1"/>
  <c r="AC155" i="12"/>
  <c r="AD155" i="12" s="1"/>
  <c r="AC156" i="12"/>
  <c r="AC157" i="12"/>
  <c r="AD157" i="12" s="1"/>
  <c r="AC158" i="12"/>
  <c r="AD158" i="12" s="1"/>
  <c r="AC159" i="12"/>
  <c r="AC160" i="12"/>
  <c r="AC161" i="12"/>
  <c r="AD161" i="12" s="1"/>
  <c r="AC162" i="12"/>
  <c r="AD162" i="12" s="1"/>
  <c r="AC163" i="12"/>
  <c r="AD163" i="12" s="1"/>
  <c r="AC164" i="12"/>
  <c r="AD164" i="12" s="1"/>
  <c r="AC165" i="12"/>
  <c r="AD165" i="12" s="1"/>
  <c r="AC166" i="12"/>
  <c r="AD166" i="12" s="1"/>
  <c r="AC167" i="12"/>
  <c r="AC168" i="12"/>
  <c r="AC169" i="12"/>
  <c r="AD169" i="12" s="1"/>
  <c r="AC170" i="12"/>
  <c r="AC171" i="12"/>
  <c r="AD171" i="12" s="1"/>
  <c r="AC172" i="12"/>
  <c r="AC173" i="12"/>
  <c r="AD173" i="12" s="1"/>
  <c r="AC174" i="12"/>
  <c r="AD174" i="12" s="1"/>
  <c r="AC175" i="12"/>
  <c r="AC176" i="12"/>
  <c r="AC177" i="12"/>
  <c r="AD177" i="12" s="1"/>
  <c r="AC178" i="12"/>
  <c r="AC179" i="12"/>
  <c r="AC180" i="12"/>
  <c r="AC181" i="12"/>
  <c r="AD181" i="12" s="1"/>
  <c r="AC182" i="12"/>
  <c r="AD182" i="12" s="1"/>
  <c r="AC183" i="12"/>
  <c r="AC184" i="12"/>
  <c r="AC185" i="12"/>
  <c r="AD185" i="12" s="1"/>
  <c r="AC186" i="12"/>
  <c r="AD186" i="12" s="1"/>
  <c r="AC187" i="12"/>
  <c r="AD187" i="12" s="1"/>
  <c r="AC188" i="12"/>
  <c r="AC189" i="12"/>
  <c r="AD189" i="12" s="1"/>
  <c r="AC190" i="12"/>
  <c r="AD190" i="12" s="1"/>
  <c r="AC191" i="12"/>
  <c r="AC3" i="12"/>
  <c r="AC4" i="12"/>
  <c r="AD4" i="12" s="1"/>
  <c r="AC5" i="12"/>
  <c r="AD5" i="12" s="1"/>
  <c r="AC6" i="12"/>
  <c r="AD6" i="12" s="1"/>
  <c r="AC7" i="12"/>
  <c r="AC8" i="12"/>
  <c r="AC9" i="12"/>
  <c r="AC10" i="12"/>
  <c r="AC11" i="12"/>
  <c r="AC12" i="12"/>
  <c r="AD12" i="12" s="1"/>
  <c r="AC13" i="12"/>
  <c r="AC14" i="12"/>
  <c r="AD14" i="12" s="1"/>
  <c r="AC15" i="12"/>
  <c r="AD15" i="12" s="1"/>
  <c r="AC16" i="12"/>
  <c r="AC17" i="12"/>
  <c r="AC18" i="12"/>
  <c r="AC19" i="12"/>
  <c r="AD19" i="12" s="1"/>
  <c r="AC20" i="12"/>
  <c r="AC21" i="12"/>
  <c r="AC22" i="12"/>
  <c r="AD22" i="12" s="1"/>
  <c r="AC23" i="12"/>
  <c r="AD23" i="12" s="1"/>
  <c r="AC24" i="12"/>
  <c r="AD24" i="12" s="1"/>
  <c r="AC25" i="12"/>
  <c r="AC26" i="12"/>
  <c r="AC2" i="12"/>
  <c r="AB27" i="12"/>
  <c r="AB28" i="12"/>
  <c r="AB29" i="12"/>
  <c r="AB30" i="12"/>
  <c r="AB31" i="12"/>
  <c r="AB32" i="12"/>
  <c r="AB34" i="12"/>
  <c r="AB35" i="12"/>
  <c r="AB36" i="12"/>
  <c r="AB37" i="12"/>
  <c r="AB38" i="12"/>
  <c r="AB39" i="12"/>
  <c r="AB40" i="12"/>
  <c r="AB41" i="12"/>
  <c r="AB42" i="12"/>
  <c r="AB43" i="12"/>
  <c r="AB44" i="12"/>
  <c r="AB45" i="12"/>
  <c r="AB46" i="12"/>
  <c r="AB47" i="12"/>
  <c r="AB48" i="12"/>
  <c r="AB50" i="12"/>
  <c r="AB51" i="12"/>
  <c r="AB52" i="12"/>
  <c r="AB53" i="12"/>
  <c r="AB54" i="12"/>
  <c r="AB55" i="12"/>
  <c r="AB56" i="12"/>
  <c r="AB58" i="12"/>
  <c r="AB59" i="12"/>
  <c r="AB60" i="12"/>
  <c r="AB61" i="12"/>
  <c r="AB62" i="12"/>
  <c r="AB63" i="12"/>
  <c r="AB64" i="12"/>
  <c r="AB66" i="12"/>
  <c r="AB67" i="12"/>
  <c r="AB68" i="12"/>
  <c r="AB69" i="12"/>
  <c r="AB70" i="12"/>
  <c r="AB71" i="12"/>
  <c r="AB72" i="12"/>
  <c r="AB74" i="12"/>
  <c r="AB75" i="12"/>
  <c r="AB76" i="12"/>
  <c r="AB77" i="12"/>
  <c r="AB78" i="12"/>
  <c r="AB79" i="12"/>
  <c r="AB80" i="12"/>
  <c r="AB82" i="12"/>
  <c r="AB83" i="12"/>
  <c r="AB84" i="12"/>
  <c r="AB85" i="12"/>
  <c r="AB86" i="12"/>
  <c r="AB87" i="12"/>
  <c r="AB88" i="12"/>
  <c r="AB90" i="12"/>
  <c r="AB91" i="12"/>
  <c r="AB92" i="12"/>
  <c r="AB93" i="12"/>
  <c r="AB94" i="12"/>
  <c r="AB95" i="12"/>
  <c r="AB96" i="12"/>
  <c r="AB98" i="12"/>
  <c r="AB99" i="12"/>
  <c r="AB100" i="12"/>
  <c r="AB101" i="12"/>
  <c r="AB102" i="12"/>
  <c r="AB103" i="12"/>
  <c r="AB104" i="12"/>
  <c r="AB106" i="12"/>
  <c r="AB107" i="12"/>
  <c r="AB108" i="12"/>
  <c r="AB109" i="12"/>
  <c r="AB110" i="12"/>
  <c r="AB111" i="12"/>
  <c r="AB112" i="12"/>
  <c r="AB114" i="12"/>
  <c r="AB115" i="12"/>
  <c r="AB116" i="12"/>
  <c r="AB117" i="12"/>
  <c r="AB118" i="12"/>
  <c r="AB119" i="12"/>
  <c r="AB120" i="12"/>
  <c r="AB122" i="12"/>
  <c r="AB123" i="12"/>
  <c r="AB124" i="12"/>
  <c r="AB125" i="12"/>
  <c r="AB126" i="12"/>
  <c r="AB127" i="12"/>
  <c r="AB128" i="12"/>
  <c r="AB130" i="12"/>
  <c r="AB131" i="12"/>
  <c r="AB132" i="12"/>
  <c r="AB133" i="12"/>
  <c r="AB134" i="12"/>
  <c r="AB135" i="12"/>
  <c r="AB136" i="12"/>
  <c r="AB138" i="12"/>
  <c r="AB139" i="12"/>
  <c r="AB140" i="12"/>
  <c r="AB141" i="12"/>
  <c r="AB142" i="12"/>
  <c r="AB143" i="12"/>
  <c r="AB144" i="12"/>
  <c r="AB146" i="12"/>
  <c r="AB147" i="12"/>
  <c r="AB148" i="12"/>
  <c r="AB149" i="12"/>
  <c r="AB150" i="12"/>
  <c r="AB151" i="12"/>
  <c r="AB152" i="12"/>
  <c r="AB154" i="12"/>
  <c r="AB155" i="12"/>
  <c r="AB156" i="12"/>
  <c r="AB157" i="12"/>
  <c r="AB158" i="12"/>
  <c r="AB159" i="12"/>
  <c r="AB160" i="12"/>
  <c r="AB162" i="12"/>
  <c r="AB163" i="12"/>
  <c r="AB164" i="12"/>
  <c r="AB165" i="12"/>
  <c r="AB166" i="12"/>
  <c r="AB167" i="12"/>
  <c r="AB168" i="12"/>
  <c r="AB170" i="12"/>
  <c r="AB171" i="12"/>
  <c r="AB172" i="12"/>
  <c r="AB173" i="12"/>
  <c r="AB174" i="12"/>
  <c r="AB175" i="12"/>
  <c r="AB176" i="12"/>
  <c r="AB178" i="12"/>
  <c r="AB179" i="12"/>
  <c r="AB180" i="12"/>
  <c r="AB181" i="12"/>
  <c r="AB182" i="12"/>
  <c r="AB183" i="12"/>
  <c r="AB184" i="12"/>
  <c r="AB186" i="12"/>
  <c r="AB187" i="12"/>
  <c r="AB188" i="12"/>
  <c r="AB189" i="12"/>
  <c r="AB190" i="12"/>
  <c r="AB191" i="12"/>
  <c r="AB3" i="12"/>
  <c r="AB5" i="12"/>
  <c r="AB7" i="12"/>
  <c r="AB9" i="12"/>
  <c r="AB10" i="12"/>
  <c r="AB11" i="12"/>
  <c r="AB13" i="12"/>
  <c r="AB17" i="12"/>
  <c r="AB19" i="12"/>
  <c r="AB21" i="12"/>
  <c r="AB22" i="12"/>
  <c r="AB23" i="12"/>
  <c r="AB24" i="12"/>
  <c r="AB25" i="12"/>
  <c r="AB2" i="12"/>
  <c r="X27" i="12"/>
  <c r="X28" i="12"/>
  <c r="Y28" i="12" s="1"/>
  <c r="X29" i="12"/>
  <c r="Y29" i="12" s="1"/>
  <c r="X30" i="12"/>
  <c r="X31" i="12"/>
  <c r="X32" i="12"/>
  <c r="Y32" i="12" s="1"/>
  <c r="X33" i="12"/>
  <c r="Y33" i="12" s="1"/>
  <c r="X34" i="12"/>
  <c r="Y34" i="12" s="1"/>
  <c r="X35" i="12"/>
  <c r="X36" i="12"/>
  <c r="Y36" i="12" s="1"/>
  <c r="X37" i="12"/>
  <c r="Y37" i="12" s="1"/>
  <c r="X38" i="12"/>
  <c r="X39" i="12"/>
  <c r="X40" i="12"/>
  <c r="X41" i="12"/>
  <c r="Y41" i="12" s="1"/>
  <c r="X42" i="12"/>
  <c r="Y42" i="12" s="1"/>
  <c r="X43" i="12"/>
  <c r="Y43" i="12" s="1"/>
  <c r="X44" i="12"/>
  <c r="Y44" i="12" s="1"/>
  <c r="X45" i="12"/>
  <c r="X46" i="12"/>
  <c r="X47" i="12"/>
  <c r="X48" i="12"/>
  <c r="Y48" i="12" s="1"/>
  <c r="X49" i="12"/>
  <c r="Y49" i="12" s="1"/>
  <c r="X50" i="12"/>
  <c r="Y50" i="12" s="1"/>
  <c r="X51" i="12"/>
  <c r="Y51" i="12" s="1"/>
  <c r="X52" i="12"/>
  <c r="Y52" i="12" s="1"/>
  <c r="X53" i="12"/>
  <c r="Y53" i="12" s="1"/>
  <c r="X54" i="12"/>
  <c r="Y54" i="12" s="1"/>
  <c r="X55" i="12"/>
  <c r="X56" i="12"/>
  <c r="X57" i="12"/>
  <c r="Y57" i="12" s="1"/>
  <c r="X58" i="12"/>
  <c r="Y58" i="12" s="1"/>
  <c r="X59" i="12"/>
  <c r="Y59" i="12" s="1"/>
  <c r="X60" i="12"/>
  <c r="Y60" i="12" s="1"/>
  <c r="X61" i="12"/>
  <c r="X62" i="12"/>
  <c r="X63" i="12"/>
  <c r="X64" i="12"/>
  <c r="X65" i="12"/>
  <c r="Y65" i="12" s="1"/>
  <c r="X66" i="12"/>
  <c r="X67" i="12"/>
  <c r="Y67" i="12" s="1"/>
  <c r="X68" i="12"/>
  <c r="Y68" i="12" s="1"/>
  <c r="X69" i="12"/>
  <c r="X70" i="12"/>
  <c r="X71" i="12"/>
  <c r="X72" i="12"/>
  <c r="Y72" i="12" s="1"/>
  <c r="X73" i="12"/>
  <c r="Y73" i="12" s="1"/>
  <c r="X74" i="12"/>
  <c r="Y74" i="12" s="1"/>
  <c r="X75" i="12"/>
  <c r="Y75" i="12" s="1"/>
  <c r="X76" i="12"/>
  <c r="Y76" i="12" s="1"/>
  <c r="X77" i="12"/>
  <c r="Y77" i="12" s="1"/>
  <c r="X78" i="12"/>
  <c r="X79" i="12"/>
  <c r="X80" i="12"/>
  <c r="Y80" i="12" s="1"/>
  <c r="X81" i="12"/>
  <c r="Y81" i="12" s="1"/>
  <c r="X82" i="12"/>
  <c r="Y82" i="12" s="1"/>
  <c r="X83" i="12"/>
  <c r="Y83" i="12" s="1"/>
  <c r="X84" i="12"/>
  <c r="Y84" i="12" s="1"/>
  <c r="X85" i="12"/>
  <c r="X86" i="12"/>
  <c r="X87" i="12"/>
  <c r="X88" i="12"/>
  <c r="Y88" i="12" s="1"/>
  <c r="X89" i="12"/>
  <c r="Y89" i="12" s="1"/>
  <c r="X90" i="12"/>
  <c r="X91" i="12"/>
  <c r="Y91" i="12" s="1"/>
  <c r="X92" i="12"/>
  <c r="Y92" i="12" s="1"/>
  <c r="X93" i="12"/>
  <c r="Y93" i="12" s="1"/>
  <c r="X94" i="12"/>
  <c r="X95" i="12"/>
  <c r="X96" i="12"/>
  <c r="Y96" i="12" s="1"/>
  <c r="X97" i="12"/>
  <c r="Y97" i="12" s="1"/>
  <c r="X98" i="12"/>
  <c r="Y98" i="12" s="1"/>
  <c r="X99" i="12"/>
  <c r="X100" i="12"/>
  <c r="Y100" i="12" s="1"/>
  <c r="X101" i="12"/>
  <c r="Y101" i="12" s="1"/>
  <c r="X102" i="12"/>
  <c r="X103" i="12"/>
  <c r="X104" i="12"/>
  <c r="X105" i="12"/>
  <c r="Y105" i="12" s="1"/>
  <c r="X106" i="12"/>
  <c r="X107" i="12"/>
  <c r="X108" i="12"/>
  <c r="Y108" i="12" s="1"/>
  <c r="X109" i="12"/>
  <c r="X110" i="12"/>
  <c r="X111" i="12"/>
  <c r="X112" i="12"/>
  <c r="Y112" i="12" s="1"/>
  <c r="X113" i="12"/>
  <c r="Y113" i="12" s="1"/>
  <c r="X114" i="12"/>
  <c r="Y114" i="12" s="1"/>
  <c r="X115" i="12"/>
  <c r="Y115" i="12" s="1"/>
  <c r="X116" i="12"/>
  <c r="Y116" i="12" s="1"/>
  <c r="X117" i="12"/>
  <c r="X118" i="12"/>
  <c r="X119" i="12"/>
  <c r="X120" i="12"/>
  <c r="X121" i="12"/>
  <c r="Y121" i="12" s="1"/>
  <c r="X122" i="12"/>
  <c r="Y122" i="12" s="1"/>
  <c r="X123" i="12"/>
  <c r="Y123" i="12" s="1"/>
  <c r="X124" i="12"/>
  <c r="Y124" i="12" s="1"/>
  <c r="X125" i="12"/>
  <c r="Y125" i="12" s="1"/>
  <c r="X126" i="12"/>
  <c r="X127" i="12"/>
  <c r="X128" i="12"/>
  <c r="X129" i="12"/>
  <c r="Y129" i="12" s="1"/>
  <c r="X130" i="12"/>
  <c r="Y130" i="12" s="1"/>
  <c r="X131" i="12"/>
  <c r="X132" i="12"/>
  <c r="Y132" i="12" s="1"/>
  <c r="X133" i="12"/>
  <c r="X134" i="12"/>
  <c r="X135" i="12"/>
  <c r="X136" i="12"/>
  <c r="Y136" i="12" s="1"/>
  <c r="X137" i="12"/>
  <c r="Y137" i="12" s="1"/>
  <c r="X138" i="12"/>
  <c r="Y138" i="12" s="1"/>
  <c r="X139" i="12"/>
  <c r="Y139" i="12" s="1"/>
  <c r="X140" i="12"/>
  <c r="Y140" i="12" s="1"/>
  <c r="X141" i="12"/>
  <c r="Y141" i="12" s="1"/>
  <c r="X142" i="12"/>
  <c r="X143" i="12"/>
  <c r="X144" i="12"/>
  <c r="Y144" i="12" s="1"/>
  <c r="X145" i="12"/>
  <c r="Y145" i="12" s="1"/>
  <c r="X146" i="12"/>
  <c r="Y146" i="12" s="1"/>
  <c r="X147" i="12"/>
  <c r="Y147" i="12" s="1"/>
  <c r="X148" i="12"/>
  <c r="Y148" i="12" s="1"/>
  <c r="X149" i="12"/>
  <c r="X150" i="12"/>
  <c r="X151" i="12"/>
  <c r="X152" i="12"/>
  <c r="X153" i="12"/>
  <c r="X154" i="12"/>
  <c r="Y154" i="12" s="1"/>
  <c r="X155" i="12"/>
  <c r="Y155" i="12" s="1"/>
  <c r="X156" i="12"/>
  <c r="Y156" i="12" s="1"/>
  <c r="X157" i="12"/>
  <c r="Y157" i="12" s="1"/>
  <c r="X158" i="12"/>
  <c r="X159" i="12"/>
  <c r="X160" i="12"/>
  <c r="Y160" i="12" s="1"/>
  <c r="X161" i="12"/>
  <c r="X162" i="12"/>
  <c r="Y162" i="12" s="1"/>
  <c r="X163" i="12"/>
  <c r="X164" i="12"/>
  <c r="Y164" i="12" s="1"/>
  <c r="X165" i="12"/>
  <c r="X166" i="12"/>
  <c r="X167" i="12"/>
  <c r="X168" i="12"/>
  <c r="Y168" i="12" s="1"/>
  <c r="X169" i="12"/>
  <c r="Y169" i="12" s="1"/>
  <c r="X170" i="12"/>
  <c r="Y170" i="12" s="1"/>
  <c r="X171" i="12"/>
  <c r="Y171" i="12" s="1"/>
  <c r="X172" i="12"/>
  <c r="Y172" i="12" s="1"/>
  <c r="X173" i="12"/>
  <c r="Y173" i="12" s="1"/>
  <c r="X174" i="12"/>
  <c r="X175" i="12"/>
  <c r="X176" i="12"/>
  <c r="Y176" i="12" s="1"/>
  <c r="X177" i="12"/>
  <c r="Y177" i="12" s="1"/>
  <c r="X178" i="12"/>
  <c r="Y178" i="12" s="1"/>
  <c r="X179" i="12"/>
  <c r="X180" i="12"/>
  <c r="Y180" i="12" s="1"/>
  <c r="X181" i="12"/>
  <c r="X182" i="12"/>
  <c r="X183" i="12"/>
  <c r="X184" i="12"/>
  <c r="X185" i="12"/>
  <c r="X186" i="12"/>
  <c r="Y186" i="12" s="1"/>
  <c r="X187" i="12"/>
  <c r="Y187" i="12" s="1"/>
  <c r="X188" i="12"/>
  <c r="Y188" i="12" s="1"/>
  <c r="X189" i="12"/>
  <c r="Y189" i="12" s="1"/>
  <c r="X190" i="12"/>
  <c r="X191" i="12"/>
  <c r="X3" i="12"/>
  <c r="X4" i="12"/>
  <c r="X5" i="12"/>
  <c r="X6" i="12"/>
  <c r="X7" i="12"/>
  <c r="Y7" i="12" s="1"/>
  <c r="X8" i="12"/>
  <c r="X9" i="12"/>
  <c r="X10" i="12"/>
  <c r="X11" i="12"/>
  <c r="X12" i="12"/>
  <c r="Y12" i="12" s="1"/>
  <c r="X13" i="12"/>
  <c r="Y13" i="12" s="1"/>
  <c r="X14" i="12"/>
  <c r="X15" i="12"/>
  <c r="X16" i="12"/>
  <c r="X17" i="12"/>
  <c r="X18" i="12"/>
  <c r="X19" i="12"/>
  <c r="Y19" i="12" s="1"/>
  <c r="X20" i="12"/>
  <c r="Y20" i="12" s="1"/>
  <c r="X21" i="12"/>
  <c r="X22" i="12"/>
  <c r="X23" i="12"/>
  <c r="X24" i="12"/>
  <c r="X25" i="12"/>
  <c r="X26" i="12"/>
  <c r="X2" i="12"/>
  <c r="W27" i="12"/>
  <c r="W28" i="12"/>
  <c r="W29" i="12"/>
  <c r="W30" i="12"/>
  <c r="W31" i="12"/>
  <c r="W32" i="12"/>
  <c r="W33" i="12"/>
  <c r="W35" i="12"/>
  <c r="W36" i="12"/>
  <c r="W37" i="12"/>
  <c r="W38" i="12"/>
  <c r="W39" i="12"/>
  <c r="W40" i="12"/>
  <c r="W41" i="12"/>
  <c r="W42" i="12"/>
  <c r="W43" i="12"/>
  <c r="W44" i="12"/>
  <c r="W45" i="12"/>
  <c r="W46" i="12"/>
  <c r="W47" i="12"/>
  <c r="W48" i="12"/>
  <c r="W49" i="12"/>
  <c r="W50" i="12"/>
  <c r="W51" i="12"/>
  <c r="W52" i="12"/>
  <c r="W53" i="12"/>
  <c r="W54" i="12"/>
  <c r="W55" i="12"/>
  <c r="W56" i="12"/>
  <c r="W57" i="12"/>
  <c r="W58" i="12"/>
  <c r="W59" i="12"/>
  <c r="W60" i="12"/>
  <c r="W61" i="12"/>
  <c r="W62" i="12"/>
  <c r="W63" i="12"/>
  <c r="W64" i="12"/>
  <c r="W65" i="12"/>
  <c r="W66" i="12"/>
  <c r="W67" i="12"/>
  <c r="W68" i="12"/>
  <c r="W69" i="12"/>
  <c r="W70" i="12"/>
  <c r="W71" i="12"/>
  <c r="W72" i="12"/>
  <c r="W73" i="12"/>
  <c r="W75" i="12"/>
  <c r="W76" i="12"/>
  <c r="W77" i="12"/>
  <c r="W78" i="12"/>
  <c r="W79" i="12"/>
  <c r="W80" i="12"/>
  <c r="W81" i="12"/>
  <c r="W82" i="12"/>
  <c r="W83" i="12"/>
  <c r="W84" i="12"/>
  <c r="W85" i="12"/>
  <c r="W86" i="12"/>
  <c r="W87" i="12"/>
  <c r="W88" i="12"/>
  <c r="W89" i="12"/>
  <c r="W90" i="12"/>
  <c r="W91" i="12"/>
  <c r="W92" i="12"/>
  <c r="W93" i="12"/>
  <c r="W94" i="12"/>
  <c r="W95" i="12"/>
  <c r="W96" i="12"/>
  <c r="W97" i="12"/>
  <c r="W98" i="12"/>
  <c r="W99" i="12"/>
  <c r="W100" i="12"/>
  <c r="W101" i="12"/>
  <c r="W102" i="12"/>
  <c r="W103" i="12"/>
  <c r="W104" i="12"/>
  <c r="W105" i="12"/>
  <c r="W106" i="12"/>
  <c r="W107" i="12"/>
  <c r="W108" i="12"/>
  <c r="W109" i="12"/>
  <c r="W110" i="12"/>
  <c r="W111" i="12"/>
  <c r="W112" i="12"/>
  <c r="W113" i="12"/>
  <c r="W114" i="12"/>
  <c r="W115" i="12"/>
  <c r="W116" i="12"/>
  <c r="W117" i="12"/>
  <c r="W118" i="12"/>
  <c r="W119" i="12"/>
  <c r="W120" i="12"/>
  <c r="W121" i="12"/>
  <c r="W122" i="12"/>
  <c r="W123" i="12"/>
  <c r="W124" i="12"/>
  <c r="W125" i="12"/>
  <c r="W126" i="12"/>
  <c r="W127" i="12"/>
  <c r="W128" i="12"/>
  <c r="W129" i="12"/>
  <c r="W130" i="12"/>
  <c r="W131" i="12"/>
  <c r="W132" i="12"/>
  <c r="W133" i="12"/>
  <c r="W134" i="12"/>
  <c r="W135" i="12"/>
  <c r="W136" i="12"/>
  <c r="W137" i="12"/>
  <c r="W139" i="12"/>
  <c r="W140" i="12"/>
  <c r="W141" i="12"/>
  <c r="W142" i="12"/>
  <c r="W143" i="12"/>
  <c r="W144" i="12"/>
  <c r="W145" i="12"/>
  <c r="W146" i="12"/>
  <c r="W147" i="12"/>
  <c r="W148" i="12"/>
  <c r="W149" i="12"/>
  <c r="W150" i="12"/>
  <c r="W151" i="12"/>
  <c r="W152" i="12"/>
  <c r="W153" i="12"/>
  <c r="W154" i="12"/>
  <c r="W155" i="12"/>
  <c r="W156" i="12"/>
  <c r="W157" i="12"/>
  <c r="W158" i="12"/>
  <c r="W159" i="12"/>
  <c r="W160" i="12"/>
  <c r="W161" i="12"/>
  <c r="W162" i="12"/>
  <c r="W163" i="12"/>
  <c r="W164" i="12"/>
  <c r="W165" i="12"/>
  <c r="W166" i="12"/>
  <c r="W167" i="12"/>
  <c r="W168" i="12"/>
  <c r="W169" i="12"/>
  <c r="W170" i="12"/>
  <c r="W171" i="12"/>
  <c r="W172" i="12"/>
  <c r="W173" i="12"/>
  <c r="W174" i="12"/>
  <c r="W175" i="12"/>
  <c r="W176" i="12"/>
  <c r="W177" i="12"/>
  <c r="W178" i="12"/>
  <c r="W179" i="12"/>
  <c r="W180" i="12"/>
  <c r="W181" i="12"/>
  <c r="W182" i="12"/>
  <c r="W183" i="12"/>
  <c r="W184" i="12"/>
  <c r="W185" i="12"/>
  <c r="W186" i="12"/>
  <c r="W187" i="12"/>
  <c r="W188" i="12"/>
  <c r="W189" i="12"/>
  <c r="W190" i="12"/>
  <c r="W191" i="12"/>
  <c r="W4" i="12"/>
  <c r="W5" i="12"/>
  <c r="W6" i="12"/>
  <c r="W7" i="12"/>
  <c r="W8" i="12"/>
  <c r="W9" i="12"/>
  <c r="W10" i="12"/>
  <c r="W12" i="12"/>
  <c r="W15" i="12"/>
  <c r="W16" i="12"/>
  <c r="W17" i="12"/>
  <c r="W18" i="12"/>
  <c r="W20" i="12"/>
  <c r="W22" i="12"/>
  <c r="W23" i="12"/>
  <c r="W24" i="12"/>
  <c r="W25" i="12"/>
  <c r="W26" i="12"/>
  <c r="T28" i="12"/>
  <c r="T30" i="12"/>
  <c r="T31" i="12"/>
  <c r="T32" i="12"/>
  <c r="T34" i="12"/>
  <c r="T35" i="12"/>
  <c r="T36" i="12"/>
  <c r="T37" i="12"/>
  <c r="T38" i="12"/>
  <c r="T39" i="12"/>
  <c r="T40" i="12"/>
  <c r="T41" i="12"/>
  <c r="T42" i="12"/>
  <c r="T44" i="12"/>
  <c r="T46" i="12"/>
  <c r="T47" i="12"/>
  <c r="T48" i="12"/>
  <c r="T49" i="12"/>
  <c r="T50" i="12"/>
  <c r="T54" i="12"/>
  <c r="T55" i="12"/>
  <c r="T56" i="12"/>
  <c r="T57" i="12"/>
  <c r="T58" i="12"/>
  <c r="T59" i="12"/>
  <c r="T61" i="12"/>
  <c r="T62" i="12"/>
  <c r="T63" i="12"/>
  <c r="T64" i="12"/>
  <c r="T65" i="12"/>
  <c r="T69" i="12"/>
  <c r="T70" i="12"/>
  <c r="T71" i="12"/>
  <c r="T72" i="12"/>
  <c r="T73" i="12"/>
  <c r="T77" i="12"/>
  <c r="T78" i="12"/>
  <c r="T79" i="12"/>
  <c r="T80" i="12"/>
  <c r="T81" i="12"/>
  <c r="T82" i="12"/>
  <c r="T86" i="12"/>
  <c r="T87" i="12"/>
  <c r="T88" i="12"/>
  <c r="T90" i="12"/>
  <c r="T93" i="12"/>
  <c r="T94" i="12"/>
  <c r="T95" i="12"/>
  <c r="T96" i="12"/>
  <c r="T98" i="12"/>
  <c r="T101" i="12"/>
  <c r="T102" i="12"/>
  <c r="T103" i="12"/>
  <c r="T104" i="12"/>
  <c r="T105" i="12"/>
  <c r="T106" i="12"/>
  <c r="T110" i="12"/>
  <c r="T111" i="12"/>
  <c r="T112" i="12"/>
  <c r="T113" i="12"/>
  <c r="T114" i="12"/>
  <c r="T115" i="12"/>
  <c r="T118" i="12"/>
  <c r="T119" i="12"/>
  <c r="T120" i="12"/>
  <c r="T121" i="12"/>
  <c r="T122" i="12"/>
  <c r="T125" i="12"/>
  <c r="T126" i="12"/>
  <c r="T127" i="12"/>
  <c r="T128" i="12"/>
  <c r="T129" i="12"/>
  <c r="T131" i="12"/>
  <c r="T133" i="12"/>
  <c r="T134" i="12"/>
  <c r="T135" i="12"/>
  <c r="T136" i="12"/>
  <c r="T137" i="12"/>
  <c r="T141" i="12"/>
  <c r="T142" i="12"/>
  <c r="T143" i="12"/>
  <c r="T144" i="12"/>
  <c r="T145" i="12"/>
  <c r="T146" i="12"/>
  <c r="T149" i="12"/>
  <c r="T150" i="12"/>
  <c r="T151" i="12"/>
  <c r="T152" i="12"/>
  <c r="T154" i="12"/>
  <c r="T157" i="12"/>
  <c r="T158" i="12"/>
  <c r="T159" i="12"/>
  <c r="T160" i="12"/>
  <c r="T162" i="12"/>
  <c r="T165" i="12"/>
  <c r="T166" i="12"/>
  <c r="T167" i="12"/>
  <c r="T168" i="12"/>
  <c r="T169" i="12"/>
  <c r="T170" i="12"/>
  <c r="T171" i="12"/>
  <c r="T174" i="12"/>
  <c r="T175" i="12"/>
  <c r="T176" i="12"/>
  <c r="T177" i="12"/>
  <c r="T178" i="12"/>
  <c r="T182" i="12"/>
  <c r="T183" i="12"/>
  <c r="T184" i="12"/>
  <c r="T185" i="12"/>
  <c r="T186" i="12"/>
  <c r="T187" i="12"/>
  <c r="T189" i="12"/>
  <c r="T190" i="12"/>
  <c r="T191" i="12"/>
  <c r="T8" i="12"/>
  <c r="T9" i="12"/>
  <c r="T10" i="12"/>
  <c r="T16" i="12"/>
  <c r="T18" i="12"/>
  <c r="T22" i="12"/>
  <c r="T24" i="12"/>
  <c r="T25" i="12"/>
  <c r="T26" i="12"/>
  <c r="S2" i="12"/>
  <c r="R27" i="12"/>
  <c r="R28" i="12"/>
  <c r="R29" i="12"/>
  <c r="R30" i="12"/>
  <c r="R31" i="12"/>
  <c r="R32" i="12"/>
  <c r="R33" i="12"/>
  <c r="R34" i="12"/>
  <c r="R35" i="12"/>
  <c r="R36" i="12"/>
  <c r="R37" i="12"/>
  <c r="R38" i="12"/>
  <c r="R39" i="12"/>
  <c r="R40" i="12"/>
  <c r="R43" i="12"/>
  <c r="R44" i="12"/>
  <c r="R45" i="12"/>
  <c r="R46" i="12"/>
  <c r="R47" i="12"/>
  <c r="R48" i="12"/>
  <c r="R49" i="12"/>
  <c r="R50" i="12"/>
  <c r="R51" i="12"/>
  <c r="R52" i="12"/>
  <c r="R53" i="12"/>
  <c r="R54" i="12"/>
  <c r="R55" i="12"/>
  <c r="R56" i="12"/>
  <c r="R57" i="12"/>
  <c r="R58" i="12"/>
  <c r="R59" i="12"/>
  <c r="R60" i="12"/>
  <c r="R61" i="12"/>
  <c r="R62" i="12"/>
  <c r="R63" i="12"/>
  <c r="R64" i="12"/>
  <c r="R65" i="12"/>
  <c r="R66" i="12"/>
  <c r="R67" i="12"/>
  <c r="R68" i="12"/>
  <c r="R69" i="12"/>
  <c r="R70" i="12"/>
  <c r="R71" i="12"/>
  <c r="R72" i="12"/>
  <c r="R74" i="12"/>
  <c r="R75" i="12"/>
  <c r="R76" i="12"/>
  <c r="R77" i="12"/>
  <c r="R78" i="12"/>
  <c r="R79" i="12"/>
  <c r="R80" i="12"/>
  <c r="R81" i="12"/>
  <c r="R82" i="12"/>
  <c r="R83" i="12"/>
  <c r="R84" i="12"/>
  <c r="R85" i="12"/>
  <c r="R86" i="12"/>
  <c r="R87" i="12"/>
  <c r="R88" i="12"/>
  <c r="R89" i="12"/>
  <c r="R90" i="12"/>
  <c r="R91" i="12"/>
  <c r="R92" i="12"/>
  <c r="R93" i="12"/>
  <c r="R94" i="12"/>
  <c r="R95" i="12"/>
  <c r="R96" i="12"/>
  <c r="R97" i="12"/>
  <c r="R98" i="12"/>
  <c r="R99" i="12"/>
  <c r="R100" i="12"/>
  <c r="R101" i="12"/>
  <c r="R102" i="12"/>
  <c r="R103" i="12"/>
  <c r="R104" i="12"/>
  <c r="R105" i="12"/>
  <c r="R106" i="12"/>
  <c r="R107" i="12"/>
  <c r="R108" i="12"/>
  <c r="R109" i="12"/>
  <c r="R110" i="12"/>
  <c r="R111" i="12"/>
  <c r="R112" i="12"/>
  <c r="R113" i="12"/>
  <c r="R114" i="12"/>
  <c r="R115" i="12"/>
  <c r="R116" i="12"/>
  <c r="R117" i="12"/>
  <c r="R118" i="12"/>
  <c r="R119" i="12"/>
  <c r="R120" i="12"/>
  <c r="R121" i="12"/>
  <c r="R122" i="12"/>
  <c r="R123" i="12"/>
  <c r="R124" i="12"/>
  <c r="R125" i="12"/>
  <c r="R126" i="12"/>
  <c r="R127" i="12"/>
  <c r="R128" i="12"/>
  <c r="R130" i="12"/>
  <c r="R131" i="12"/>
  <c r="R132" i="12"/>
  <c r="R133" i="12"/>
  <c r="R134" i="12"/>
  <c r="R135" i="12"/>
  <c r="R136" i="12"/>
  <c r="R137" i="12"/>
  <c r="R138" i="12"/>
  <c r="R139" i="12"/>
  <c r="R140" i="12"/>
  <c r="R141" i="12"/>
  <c r="R142" i="12"/>
  <c r="R143" i="12"/>
  <c r="R144" i="12"/>
  <c r="R145" i="12"/>
  <c r="R146" i="12"/>
  <c r="R147" i="12"/>
  <c r="R148" i="12"/>
  <c r="R149" i="12"/>
  <c r="R150" i="12"/>
  <c r="R151" i="12"/>
  <c r="R152" i="12"/>
  <c r="R153" i="12"/>
  <c r="R154" i="12"/>
  <c r="R155" i="12"/>
  <c r="R156" i="12"/>
  <c r="R157" i="12"/>
  <c r="R158" i="12"/>
  <c r="R159" i="12"/>
  <c r="R160" i="12"/>
  <c r="R161" i="12"/>
  <c r="R163" i="12"/>
  <c r="R164" i="12"/>
  <c r="R165" i="12"/>
  <c r="R166" i="12"/>
  <c r="R167" i="12"/>
  <c r="R168" i="12"/>
  <c r="R169" i="12"/>
  <c r="R170" i="12"/>
  <c r="R171" i="12"/>
  <c r="R172" i="12"/>
  <c r="R173" i="12"/>
  <c r="R174" i="12"/>
  <c r="R175" i="12"/>
  <c r="R176" i="12"/>
  <c r="R177" i="12"/>
  <c r="R178" i="12"/>
  <c r="R179" i="12"/>
  <c r="R180" i="12"/>
  <c r="R181" i="12"/>
  <c r="R182" i="12"/>
  <c r="R183" i="12"/>
  <c r="R184" i="12"/>
  <c r="R187" i="12"/>
  <c r="R188" i="12"/>
  <c r="R189" i="12"/>
  <c r="R190" i="12"/>
  <c r="R191" i="12"/>
  <c r="R3" i="12"/>
  <c r="R4" i="12"/>
  <c r="R5" i="12"/>
  <c r="R6" i="12"/>
  <c r="R7" i="12"/>
  <c r="R9" i="12"/>
  <c r="R10" i="12"/>
  <c r="R11" i="12"/>
  <c r="R12" i="12"/>
  <c r="R13" i="12"/>
  <c r="R14" i="12"/>
  <c r="R15" i="12"/>
  <c r="R17" i="12"/>
  <c r="R18" i="12"/>
  <c r="R19" i="12"/>
  <c r="R20" i="12"/>
  <c r="R21" i="12"/>
  <c r="R22" i="12"/>
  <c r="R23" i="12"/>
  <c r="R24" i="12"/>
  <c r="R25" i="12"/>
  <c r="R26" i="12"/>
  <c r="R2" i="12"/>
  <c r="P2" i="12"/>
  <c r="N2" i="12"/>
  <c r="L2" i="12"/>
  <c r="J2" i="12"/>
  <c r="H2" i="12"/>
  <c r="F2" i="12"/>
  <c r="BH4" i="12"/>
  <c r="BH5" i="12"/>
  <c r="BH7" i="12"/>
  <c r="BH8" i="12"/>
  <c r="BH9" i="12"/>
  <c r="BH12" i="12"/>
  <c r="BH15" i="12"/>
  <c r="BH16" i="12"/>
  <c r="BH17" i="12"/>
  <c r="BH18" i="12"/>
  <c r="BH20" i="12"/>
  <c r="BH23" i="12"/>
  <c r="BH24" i="12"/>
  <c r="BH25" i="12"/>
  <c r="BF4" i="12"/>
  <c r="BF12" i="12"/>
  <c r="BF13" i="12"/>
  <c r="BF20" i="12"/>
  <c r="BC7" i="12"/>
  <c r="BC15" i="12"/>
  <c r="BC23" i="12"/>
  <c r="BA4" i="12"/>
  <c r="BA5" i="12"/>
  <c r="BA6" i="12"/>
  <c r="BA7" i="12"/>
  <c r="BA8" i="12"/>
  <c r="BA12" i="12"/>
  <c r="BA13" i="12"/>
  <c r="BA14" i="12"/>
  <c r="BA15" i="12"/>
  <c r="BA16" i="12"/>
  <c r="BA20" i="12"/>
  <c r="BA21" i="12"/>
  <c r="BA22" i="12"/>
  <c r="BA23" i="12"/>
  <c r="BA24" i="12"/>
  <c r="AX4" i="12"/>
  <c r="AX5" i="12"/>
  <c r="AX19" i="12"/>
  <c r="AX2" i="12"/>
  <c r="AV3" i="12"/>
  <c r="AV4" i="12"/>
  <c r="AV6" i="12"/>
  <c r="AV7" i="12"/>
  <c r="AV11" i="12"/>
  <c r="AV12" i="12"/>
  <c r="AV14" i="12"/>
  <c r="AV15" i="12"/>
  <c r="AV19" i="12"/>
  <c r="AV20" i="12"/>
  <c r="AV22" i="12"/>
  <c r="AV23" i="12"/>
  <c r="AV2" i="12"/>
  <c r="AQ4" i="12"/>
  <c r="AQ5" i="12"/>
  <c r="AQ8" i="12"/>
  <c r="AQ12" i="12"/>
  <c r="AQ16" i="12"/>
  <c r="AQ20" i="12"/>
  <c r="AQ21" i="12"/>
  <c r="AQ24" i="12"/>
  <c r="AN13" i="12"/>
  <c r="AN15" i="12"/>
  <c r="AN16" i="12"/>
  <c r="AN23" i="12"/>
  <c r="AI6" i="12"/>
  <c r="AI13" i="12"/>
  <c r="AI14" i="12"/>
  <c r="AI21" i="12"/>
  <c r="AI22" i="12"/>
  <c r="AI23" i="12"/>
  <c r="AG7" i="12"/>
  <c r="AG15" i="12"/>
  <c r="AD7" i="12"/>
  <c r="AD8" i="12"/>
  <c r="AD2" i="12"/>
  <c r="AB4" i="12"/>
  <c r="AB8" i="12"/>
  <c r="AB15" i="12"/>
  <c r="AB16" i="12"/>
  <c r="AB18" i="12"/>
  <c r="AB20" i="12"/>
  <c r="AB26" i="12"/>
  <c r="Y6" i="12"/>
  <c r="Y22" i="12"/>
  <c r="W3" i="12"/>
  <c r="W11" i="12"/>
  <c r="W14" i="12"/>
  <c r="W19" i="12"/>
  <c r="W21" i="12"/>
  <c r="W2" i="12"/>
  <c r="T21" i="12"/>
  <c r="BC405" i="21" l="1"/>
  <c r="BD405" i="21"/>
  <c r="B3" i="1"/>
  <c r="B2" i="1"/>
  <c r="B4" i="1"/>
  <c r="B2" i="2"/>
  <c r="B4" i="2"/>
  <c r="B3" i="2"/>
  <c r="BI189" i="12"/>
  <c r="BI181" i="12"/>
  <c r="BI173" i="12"/>
  <c r="BI165" i="12"/>
  <c r="BI157" i="12"/>
  <c r="BI149" i="12"/>
  <c r="BI141" i="12"/>
  <c r="BI133" i="12"/>
  <c r="BI125" i="12"/>
  <c r="BI117" i="12"/>
  <c r="BI109" i="12"/>
  <c r="BI101" i="12"/>
  <c r="BI93" i="12"/>
  <c r="BI85" i="12"/>
  <c r="BI77" i="12"/>
  <c r="BI69" i="12"/>
  <c r="BI61" i="12"/>
  <c r="BI53" i="12"/>
  <c r="BI45" i="12"/>
  <c r="BI37" i="12"/>
  <c r="BI29" i="12"/>
  <c r="BD155" i="12"/>
  <c r="BI34" i="12"/>
  <c r="BD19" i="12"/>
  <c r="BD11" i="12"/>
  <c r="BD3" i="12"/>
  <c r="AY9" i="12"/>
  <c r="BD26" i="12"/>
  <c r="BD18" i="12"/>
  <c r="BD10" i="12"/>
  <c r="BI188" i="12"/>
  <c r="BI180" i="12"/>
  <c r="BI172" i="12"/>
  <c r="BI164" i="12"/>
  <c r="BI156" i="12"/>
  <c r="BI148" i="12"/>
  <c r="BI140" i="12"/>
  <c r="BI132" i="12"/>
  <c r="BI124" i="12"/>
  <c r="BI116" i="12"/>
  <c r="BI108" i="12"/>
  <c r="BI100" i="12"/>
  <c r="BI92" i="12"/>
  <c r="BI84" i="12"/>
  <c r="BI76" i="12"/>
  <c r="BI68" i="12"/>
  <c r="BI60" i="12"/>
  <c r="BI52" i="12"/>
  <c r="BI44" i="12"/>
  <c r="BI36" i="12"/>
  <c r="BI28" i="12"/>
  <c r="AY22" i="12"/>
  <c r="AY14" i="12"/>
  <c r="BD82" i="12"/>
  <c r="BI187" i="12"/>
  <c r="BI179" i="12"/>
  <c r="BI171" i="12"/>
  <c r="BI163" i="12"/>
  <c r="BI155" i="12"/>
  <c r="BI147" i="12"/>
  <c r="BI139" i="12"/>
  <c r="BI131" i="12"/>
  <c r="BI123" i="12"/>
  <c r="BI115" i="12"/>
  <c r="BI107" i="12"/>
  <c r="BI99" i="12"/>
  <c r="BI91" i="12"/>
  <c r="BI83" i="12"/>
  <c r="BI75" i="12"/>
  <c r="BI67" i="12"/>
  <c r="BI59" i="12"/>
  <c r="BI51" i="12"/>
  <c r="BI43" i="12"/>
  <c r="BI35" i="12"/>
  <c r="BI27" i="12"/>
  <c r="BD50" i="12"/>
  <c r="BH116" i="12"/>
  <c r="BH84" i="12"/>
  <c r="BI186" i="12"/>
  <c r="BI154" i="12"/>
  <c r="BI122" i="12"/>
  <c r="BI90" i="12"/>
  <c r="BI58" i="12"/>
  <c r="BD154" i="12"/>
  <c r="BH172" i="12"/>
  <c r="BH140" i="12"/>
  <c r="BH52" i="12"/>
  <c r="BI185" i="12"/>
  <c r="BI153" i="12"/>
  <c r="BI121" i="12"/>
  <c r="BI89" i="12"/>
  <c r="BI57" i="12"/>
  <c r="BD130" i="12"/>
  <c r="BH108" i="12"/>
  <c r="BH76" i="12"/>
  <c r="BI178" i="12"/>
  <c r="BI146" i="12"/>
  <c r="BI114" i="12"/>
  <c r="BI82" i="12"/>
  <c r="BI50" i="12"/>
  <c r="BD98" i="12"/>
  <c r="BH164" i="12"/>
  <c r="BH132" i="12"/>
  <c r="BH44" i="12"/>
  <c r="BI177" i="12"/>
  <c r="BI145" i="12"/>
  <c r="BI113" i="12"/>
  <c r="BI81" i="12"/>
  <c r="BI49" i="12"/>
  <c r="BH131" i="12"/>
  <c r="BH100" i="12"/>
  <c r="BH68" i="12"/>
  <c r="BI170" i="12"/>
  <c r="BI138" i="12"/>
  <c r="BI106" i="12"/>
  <c r="BI74" i="12"/>
  <c r="BI42" i="12"/>
  <c r="BH188" i="12"/>
  <c r="BH156" i="12"/>
  <c r="BH67" i="12"/>
  <c r="BH36" i="12"/>
  <c r="BI169" i="12"/>
  <c r="BI137" i="12"/>
  <c r="BI105" i="12"/>
  <c r="BI73" i="12"/>
  <c r="BI41" i="12"/>
  <c r="AY21" i="12"/>
  <c r="AY13" i="12"/>
  <c r="AY5" i="12"/>
  <c r="AY186" i="12"/>
  <c r="AY178" i="12"/>
  <c r="AY170" i="12"/>
  <c r="AY162" i="12"/>
  <c r="AY154" i="12"/>
  <c r="AY146" i="12"/>
  <c r="AY138" i="12"/>
  <c r="AY130" i="12"/>
  <c r="AY122" i="12"/>
  <c r="AY114" i="12"/>
  <c r="AY106" i="12"/>
  <c r="AY98" i="12"/>
  <c r="AY90" i="12"/>
  <c r="AY82" i="12"/>
  <c r="AY74" i="12"/>
  <c r="AY27" i="12"/>
  <c r="BH124" i="12"/>
  <c r="BH92" i="12"/>
  <c r="BI162" i="12"/>
  <c r="BI130" i="12"/>
  <c r="BI98" i="12"/>
  <c r="BI66" i="12"/>
  <c r="BD186" i="12"/>
  <c r="BH180" i="12"/>
  <c r="BH148" i="12"/>
  <c r="BH60" i="12"/>
  <c r="BH28" i="12"/>
  <c r="BI161" i="12"/>
  <c r="BI129" i="12"/>
  <c r="BI97" i="12"/>
  <c r="BI65" i="12"/>
  <c r="BI33" i="12"/>
  <c r="AE6" i="12"/>
  <c r="BH147" i="12"/>
  <c r="BH83" i="12"/>
  <c r="AE14" i="12"/>
  <c r="BH171" i="12"/>
  <c r="BH107" i="12"/>
  <c r="BH43" i="12"/>
  <c r="BH187" i="12"/>
  <c r="BH123" i="12"/>
  <c r="BH59" i="12"/>
  <c r="BA58" i="12"/>
  <c r="D3" i="8" s="1"/>
  <c r="BD106" i="12"/>
  <c r="BI184" i="12"/>
  <c r="BI176" i="12"/>
  <c r="BI168" i="12"/>
  <c r="BI160" i="12"/>
  <c r="BI152" i="12"/>
  <c r="BI144" i="12"/>
  <c r="BI136" i="12"/>
  <c r="BI128" i="12"/>
  <c r="BI120" i="12"/>
  <c r="BI112" i="12"/>
  <c r="BI104" i="12"/>
  <c r="BI96" i="12"/>
  <c r="BI88" i="12"/>
  <c r="BI80" i="12"/>
  <c r="BI72" i="12"/>
  <c r="BI64" i="12"/>
  <c r="BI56" i="12"/>
  <c r="BI48" i="12"/>
  <c r="BI40" i="12"/>
  <c r="BI32" i="12"/>
  <c r="BH163" i="12"/>
  <c r="BH99" i="12"/>
  <c r="BH35" i="12"/>
  <c r="BH191" i="12"/>
  <c r="BI191" i="12"/>
  <c r="BH183" i="12"/>
  <c r="BI183" i="12"/>
  <c r="BH175" i="12"/>
  <c r="BI175" i="12"/>
  <c r="BH167" i="12"/>
  <c r="BI167" i="12"/>
  <c r="BH159" i="12"/>
  <c r="BI159" i="12"/>
  <c r="BH151" i="12"/>
  <c r="BI151" i="12"/>
  <c r="BH143" i="12"/>
  <c r="BI143" i="12"/>
  <c r="BH135" i="12"/>
  <c r="BI135" i="12"/>
  <c r="BH127" i="12"/>
  <c r="BI127" i="12"/>
  <c r="BH119" i="12"/>
  <c r="BI119" i="12"/>
  <c r="BH111" i="12"/>
  <c r="BI111" i="12"/>
  <c r="BH103" i="12"/>
  <c r="BI103" i="12"/>
  <c r="BH95" i="12"/>
  <c r="BI95" i="12"/>
  <c r="BH87" i="12"/>
  <c r="BI87" i="12"/>
  <c r="BH79" i="12"/>
  <c r="BI79" i="12"/>
  <c r="BH71" i="12"/>
  <c r="BI71" i="12"/>
  <c r="BH63" i="12"/>
  <c r="BI63" i="12"/>
  <c r="BH55" i="12"/>
  <c r="BI55" i="12"/>
  <c r="BH47" i="12"/>
  <c r="BI47" i="12"/>
  <c r="BH39" i="12"/>
  <c r="BI39" i="12"/>
  <c r="BH31" i="12"/>
  <c r="BI31" i="12"/>
  <c r="BH139" i="12"/>
  <c r="BH75" i="12"/>
  <c r="AY25" i="12"/>
  <c r="BH190" i="12"/>
  <c r="BI190" i="12"/>
  <c r="BH182" i="12"/>
  <c r="BI182" i="12"/>
  <c r="BH174" i="12"/>
  <c r="BI174" i="12"/>
  <c r="BH166" i="12"/>
  <c r="BI166" i="12"/>
  <c r="BH158" i="12"/>
  <c r="BI158" i="12"/>
  <c r="BH150" i="12"/>
  <c r="BI150" i="12"/>
  <c r="BH142" i="12"/>
  <c r="BI142" i="12"/>
  <c r="BH134" i="12"/>
  <c r="BI134" i="12"/>
  <c r="BH126" i="12"/>
  <c r="BI126" i="12"/>
  <c r="BH118" i="12"/>
  <c r="BI118" i="12"/>
  <c r="BH110" i="12"/>
  <c r="BI110" i="12"/>
  <c r="BH102" i="12"/>
  <c r="BI102" i="12"/>
  <c r="BH94" i="12"/>
  <c r="BI94" i="12"/>
  <c r="BH86" i="12"/>
  <c r="BI86" i="12"/>
  <c r="BH78" i="12"/>
  <c r="BI78" i="12"/>
  <c r="BH70" i="12"/>
  <c r="BI70" i="12"/>
  <c r="BH62" i="12"/>
  <c r="BI62" i="12"/>
  <c r="BH54" i="12"/>
  <c r="BI54" i="12"/>
  <c r="BH46" i="12"/>
  <c r="BI46" i="12"/>
  <c r="BH38" i="12"/>
  <c r="BI38" i="12"/>
  <c r="BH30" i="12"/>
  <c r="BI30" i="12"/>
  <c r="BH179" i="12"/>
  <c r="BH115" i="12"/>
  <c r="BH51" i="12"/>
  <c r="AY17" i="12"/>
  <c r="BD5" i="12"/>
  <c r="BH155" i="12"/>
  <c r="BH91" i="12"/>
  <c r="BH27" i="12"/>
  <c r="AY66" i="12"/>
  <c r="AY58" i="12"/>
  <c r="AY50" i="12"/>
  <c r="AY42" i="12"/>
  <c r="AY34" i="12"/>
  <c r="BD20" i="12"/>
  <c r="BD12" i="12"/>
  <c r="BD4" i="12"/>
  <c r="BD162" i="12"/>
  <c r="BD114" i="12"/>
  <c r="BD59" i="12"/>
  <c r="BH189" i="12"/>
  <c r="BH181" i="12"/>
  <c r="BH173" i="12"/>
  <c r="BH165" i="12"/>
  <c r="BH157" i="12"/>
  <c r="BH149" i="12"/>
  <c r="BH141" i="12"/>
  <c r="BH133" i="12"/>
  <c r="BH125" i="12"/>
  <c r="BH117" i="12"/>
  <c r="BH109" i="12"/>
  <c r="BH101" i="12"/>
  <c r="BH93" i="12"/>
  <c r="BH85" i="12"/>
  <c r="BH77" i="12"/>
  <c r="BH69" i="12"/>
  <c r="BH61" i="12"/>
  <c r="BH53" i="12"/>
  <c r="BH45" i="12"/>
  <c r="BH37" i="12"/>
  <c r="BH29" i="12"/>
  <c r="AY19" i="12"/>
  <c r="AY11" i="12"/>
  <c r="BD146" i="12"/>
  <c r="BD91" i="12"/>
  <c r="BD42" i="12"/>
  <c r="BD187" i="12"/>
  <c r="BD138" i="12"/>
  <c r="BD90" i="12"/>
  <c r="BD34" i="12"/>
  <c r="AY115" i="12"/>
  <c r="BD178" i="12"/>
  <c r="BD123" i="12"/>
  <c r="BD74" i="12"/>
  <c r="BD170" i="12"/>
  <c r="BD122" i="12"/>
  <c r="BD66" i="12"/>
  <c r="AT19" i="12"/>
  <c r="AT11" i="12"/>
  <c r="AT3" i="12"/>
  <c r="AY24" i="12"/>
  <c r="AY16" i="12"/>
  <c r="AY8" i="12"/>
  <c r="AY189" i="12"/>
  <c r="AY181" i="12"/>
  <c r="AY173" i="12"/>
  <c r="AY165" i="12"/>
  <c r="AY157" i="12"/>
  <c r="AY149" i="12"/>
  <c r="AY141" i="12"/>
  <c r="AY133" i="12"/>
  <c r="AY125" i="12"/>
  <c r="AY117" i="12"/>
  <c r="AY112" i="12"/>
  <c r="AY107" i="12"/>
  <c r="BC184" i="12"/>
  <c r="BD184" i="12"/>
  <c r="BC176" i="12"/>
  <c r="BD176" i="12"/>
  <c r="BC168" i="12"/>
  <c r="BD168" i="12"/>
  <c r="BC160" i="12"/>
  <c r="BD160" i="12"/>
  <c r="BC152" i="12"/>
  <c r="BD152" i="12"/>
  <c r="BC144" i="12"/>
  <c r="BD144" i="12"/>
  <c r="BC136" i="12"/>
  <c r="BD136" i="12"/>
  <c r="BC128" i="12"/>
  <c r="BD128" i="12"/>
  <c r="BC120" i="12"/>
  <c r="BD120" i="12"/>
  <c r="BC112" i="12"/>
  <c r="BD112" i="12"/>
  <c r="BC104" i="12"/>
  <c r="BD104" i="12"/>
  <c r="BC96" i="12"/>
  <c r="BD96" i="12"/>
  <c r="BC88" i="12"/>
  <c r="BD88" i="12"/>
  <c r="BC80" i="12"/>
  <c r="BD80" i="12"/>
  <c r="BC72" i="12"/>
  <c r="BD72" i="12"/>
  <c r="BC64" i="12"/>
  <c r="BD64" i="12"/>
  <c r="BC56" i="12"/>
  <c r="BD56" i="12"/>
  <c r="BC48" i="12"/>
  <c r="BD48" i="12"/>
  <c r="BC40" i="12"/>
  <c r="BD40" i="12"/>
  <c r="BC32" i="12"/>
  <c r="BD32" i="12"/>
  <c r="BD179" i="12"/>
  <c r="BD147" i="12"/>
  <c r="BD115" i="12"/>
  <c r="BD83" i="12"/>
  <c r="BD51" i="12"/>
  <c r="AY6" i="12"/>
  <c r="AX187" i="12"/>
  <c r="AY187" i="12"/>
  <c r="AX179" i="12"/>
  <c r="AY179" i="12"/>
  <c r="AX139" i="12"/>
  <c r="AY139" i="12"/>
  <c r="AX131" i="12"/>
  <c r="AY131" i="12"/>
  <c r="AX123" i="12"/>
  <c r="AY123" i="12"/>
  <c r="AX91" i="12"/>
  <c r="AY91" i="12"/>
  <c r="AX83" i="12"/>
  <c r="AY83" i="12"/>
  <c r="AX75" i="12"/>
  <c r="AY75" i="12"/>
  <c r="AY99" i="12"/>
  <c r="BC191" i="12"/>
  <c r="BD191" i="12"/>
  <c r="BC183" i="12"/>
  <c r="BD183" i="12"/>
  <c r="BC175" i="12"/>
  <c r="BD175" i="12"/>
  <c r="BC167" i="12"/>
  <c r="BD167" i="12"/>
  <c r="BC159" i="12"/>
  <c r="BD159" i="12"/>
  <c r="BC151" i="12"/>
  <c r="BD151" i="12"/>
  <c r="BC143" i="12"/>
  <c r="BD143" i="12"/>
  <c r="BC135" i="12"/>
  <c r="BD135" i="12"/>
  <c r="BC127" i="12"/>
  <c r="BD127" i="12"/>
  <c r="BC119" i="12"/>
  <c r="BD119" i="12"/>
  <c r="BC111" i="12"/>
  <c r="BD111" i="12"/>
  <c r="BC103" i="12"/>
  <c r="BD103" i="12"/>
  <c r="BC95" i="12"/>
  <c r="BD95" i="12"/>
  <c r="BC87" i="12"/>
  <c r="BD87" i="12"/>
  <c r="BC79" i="12"/>
  <c r="BD79" i="12"/>
  <c r="BC71" i="12"/>
  <c r="BD71" i="12"/>
  <c r="BC63" i="12"/>
  <c r="BD63" i="12"/>
  <c r="BC55" i="12"/>
  <c r="BD55" i="12"/>
  <c r="BC47" i="12"/>
  <c r="BD47" i="12"/>
  <c r="BC39" i="12"/>
  <c r="BD39" i="12"/>
  <c r="BC31" i="12"/>
  <c r="BD31" i="12"/>
  <c r="U185" i="12"/>
  <c r="AY171" i="12"/>
  <c r="AY67" i="12"/>
  <c r="BD17" i="12"/>
  <c r="BD171" i="12"/>
  <c r="BD139" i="12"/>
  <c r="BD107" i="12"/>
  <c r="BD75" i="12"/>
  <c r="BD43" i="12"/>
  <c r="AE97" i="12"/>
  <c r="AE89" i="12"/>
  <c r="AE81" i="12"/>
  <c r="AE73" i="12"/>
  <c r="AE65" i="12"/>
  <c r="AE57" i="12"/>
  <c r="AE49" i="12"/>
  <c r="AE41" i="12"/>
  <c r="AE33" i="12"/>
  <c r="AY20" i="12"/>
  <c r="AY12" i="12"/>
  <c r="AY4" i="12"/>
  <c r="AY163" i="12"/>
  <c r="AY59" i="12"/>
  <c r="BD16" i="12"/>
  <c r="BD189" i="12"/>
  <c r="BD181" i="12"/>
  <c r="BD173" i="12"/>
  <c r="BD165" i="12"/>
  <c r="BD157" i="12"/>
  <c r="BD149" i="12"/>
  <c r="BD141" i="12"/>
  <c r="BD133" i="12"/>
  <c r="BD125" i="12"/>
  <c r="BD117" i="12"/>
  <c r="BD109" i="12"/>
  <c r="BD101" i="12"/>
  <c r="BD93" i="12"/>
  <c r="BD85" i="12"/>
  <c r="BD77" i="12"/>
  <c r="BD69" i="12"/>
  <c r="BD61" i="12"/>
  <c r="BD53" i="12"/>
  <c r="BD45" i="12"/>
  <c r="BD37" i="12"/>
  <c r="BD29" i="12"/>
  <c r="AT21" i="12"/>
  <c r="AT146" i="12"/>
  <c r="AT114" i="12"/>
  <c r="AX176" i="12"/>
  <c r="AY176" i="12"/>
  <c r="AX144" i="12"/>
  <c r="AY144" i="12"/>
  <c r="AX80" i="12"/>
  <c r="AY80" i="12"/>
  <c r="AY155" i="12"/>
  <c r="AY51" i="12"/>
  <c r="BD23" i="12"/>
  <c r="BD15" i="12"/>
  <c r="BD7" i="12"/>
  <c r="BD188" i="12"/>
  <c r="BD180" i="12"/>
  <c r="BD172" i="12"/>
  <c r="BD164" i="12"/>
  <c r="BD156" i="12"/>
  <c r="BD148" i="12"/>
  <c r="BD140" i="12"/>
  <c r="BD132" i="12"/>
  <c r="BD124" i="12"/>
  <c r="BD116" i="12"/>
  <c r="BD108" i="12"/>
  <c r="BD100" i="12"/>
  <c r="BD92" i="12"/>
  <c r="BD84" i="12"/>
  <c r="BD76" i="12"/>
  <c r="BD68" i="12"/>
  <c r="BD60" i="12"/>
  <c r="BD52" i="12"/>
  <c r="BD44" i="12"/>
  <c r="BD36" i="12"/>
  <c r="BD28" i="12"/>
  <c r="BD163" i="12"/>
  <c r="BD131" i="12"/>
  <c r="BD99" i="12"/>
  <c r="BD67" i="12"/>
  <c r="BD35" i="12"/>
  <c r="AY26" i="12"/>
  <c r="AY10" i="12"/>
  <c r="AY147" i="12"/>
  <c r="AY48" i="12"/>
  <c r="BD27" i="12"/>
  <c r="BC27" i="12"/>
  <c r="BD185" i="12"/>
  <c r="BD177" i="12"/>
  <c r="BD169" i="12"/>
  <c r="BD161" i="12"/>
  <c r="BD153" i="12"/>
  <c r="BD145" i="12"/>
  <c r="BD137" i="12"/>
  <c r="BD129" i="12"/>
  <c r="BD121" i="12"/>
  <c r="BD113" i="12"/>
  <c r="BD105" i="12"/>
  <c r="BD97" i="12"/>
  <c r="BD89" i="12"/>
  <c r="BD81" i="12"/>
  <c r="BD73" i="12"/>
  <c r="BD65" i="12"/>
  <c r="BD57" i="12"/>
  <c r="BD49" i="12"/>
  <c r="BD41" i="12"/>
  <c r="BD33" i="12"/>
  <c r="AY109" i="12"/>
  <c r="AY101" i="12"/>
  <c r="AY93" i="12"/>
  <c r="AY85" i="12"/>
  <c r="AY77" i="12"/>
  <c r="AY69" i="12"/>
  <c r="AY61" i="12"/>
  <c r="AY53" i="12"/>
  <c r="AY45" i="12"/>
  <c r="AY37" i="12"/>
  <c r="AY29" i="12"/>
  <c r="AY43" i="12"/>
  <c r="AY35" i="12"/>
  <c r="BD25" i="12"/>
  <c r="BD9" i="12"/>
  <c r="BD190" i="12"/>
  <c r="BD182" i="12"/>
  <c r="BD174" i="12"/>
  <c r="BD166" i="12"/>
  <c r="BD158" i="12"/>
  <c r="BD150" i="12"/>
  <c r="BD142" i="12"/>
  <c r="BD134" i="12"/>
  <c r="BD126" i="12"/>
  <c r="BD118" i="12"/>
  <c r="BD110" i="12"/>
  <c r="BD102" i="12"/>
  <c r="BD94" i="12"/>
  <c r="BD86" i="12"/>
  <c r="BD78" i="12"/>
  <c r="BD70" i="12"/>
  <c r="BD62" i="12"/>
  <c r="BD54" i="12"/>
  <c r="BD46" i="12"/>
  <c r="BD38" i="12"/>
  <c r="BD30" i="12"/>
  <c r="BD24" i="12"/>
  <c r="BD8" i="12"/>
  <c r="AV146" i="12"/>
  <c r="AV82" i="12"/>
  <c r="AX133" i="12"/>
  <c r="AQ22" i="12"/>
  <c r="AJ178" i="12"/>
  <c r="AJ170" i="12"/>
  <c r="AJ162" i="12"/>
  <c r="AJ154" i="12"/>
  <c r="AJ130" i="12"/>
  <c r="AJ114" i="12"/>
  <c r="AJ106" i="12"/>
  <c r="AJ98" i="12"/>
  <c r="AJ90" i="12"/>
  <c r="AJ66" i="12"/>
  <c r="AJ42" i="12"/>
  <c r="AJ34" i="12"/>
  <c r="AO22" i="12"/>
  <c r="AO18" i="12"/>
  <c r="AT59" i="12"/>
  <c r="AV186" i="12"/>
  <c r="AV122" i="12"/>
  <c r="AV58" i="12"/>
  <c r="AY23" i="12"/>
  <c r="AY15" i="12"/>
  <c r="AY7" i="12"/>
  <c r="AY188" i="12"/>
  <c r="AY180" i="12"/>
  <c r="AY172" i="12"/>
  <c r="AY164" i="12"/>
  <c r="AY156" i="12"/>
  <c r="AY148" i="12"/>
  <c r="AY140" i="12"/>
  <c r="AY132" i="12"/>
  <c r="AY124" i="12"/>
  <c r="AY116" i="12"/>
  <c r="AY108" i="12"/>
  <c r="AY100" i="12"/>
  <c r="AY92" i="12"/>
  <c r="AY84" i="12"/>
  <c r="AY76" i="12"/>
  <c r="AY68" i="12"/>
  <c r="AY60" i="12"/>
  <c r="AY52" i="12"/>
  <c r="AY44" i="12"/>
  <c r="AY36" i="12"/>
  <c r="AY28" i="12"/>
  <c r="AX173" i="12"/>
  <c r="AX109" i="12"/>
  <c r="AX45" i="12"/>
  <c r="AY184" i="12"/>
  <c r="AY152" i="12"/>
  <c r="AY120" i="12"/>
  <c r="AY88" i="12"/>
  <c r="AY56" i="12"/>
  <c r="AT91" i="12"/>
  <c r="AX69" i="12"/>
  <c r="AE20" i="12"/>
  <c r="AE12" i="12"/>
  <c r="AE4" i="12"/>
  <c r="AE185" i="12"/>
  <c r="AE177" i="12"/>
  <c r="AE169" i="12"/>
  <c r="AE161" i="12"/>
  <c r="AE153" i="12"/>
  <c r="AE145" i="12"/>
  <c r="AE137" i="12"/>
  <c r="AE129" i="12"/>
  <c r="AE121" i="12"/>
  <c r="AE113" i="12"/>
  <c r="AE105" i="12"/>
  <c r="AO21" i="12"/>
  <c r="AO13" i="12"/>
  <c r="AO5" i="12"/>
  <c r="AO186" i="12"/>
  <c r="AO170" i="12"/>
  <c r="AO162" i="12"/>
  <c r="AO154" i="12"/>
  <c r="AO138" i="12"/>
  <c r="AO122" i="12"/>
  <c r="AO106" i="12"/>
  <c r="AO98" i="12"/>
  <c r="AO90" i="12"/>
  <c r="AO74" i="12"/>
  <c r="AO58" i="12"/>
  <c r="AO42" i="12"/>
  <c r="AO34" i="12"/>
  <c r="AT20" i="12"/>
  <c r="AT12" i="12"/>
  <c r="AT4" i="12"/>
  <c r="AT185" i="12"/>
  <c r="AQ185" i="12"/>
  <c r="AT177" i="12"/>
  <c r="AT169" i="12"/>
  <c r="AT161" i="12"/>
  <c r="AQ161" i="12"/>
  <c r="AT153" i="12"/>
  <c r="AT145" i="12"/>
  <c r="AQ145" i="12"/>
  <c r="AT137" i="12"/>
  <c r="AQ137" i="12"/>
  <c r="AT129" i="12"/>
  <c r="AQ129" i="12"/>
  <c r="AT121" i="12"/>
  <c r="AQ121" i="12"/>
  <c r="AT113" i="12"/>
  <c r="AT105" i="12"/>
  <c r="AT97" i="12"/>
  <c r="AQ97" i="12"/>
  <c r="AT89" i="12"/>
  <c r="AT81" i="12"/>
  <c r="AQ81" i="12"/>
  <c r="AT73" i="12"/>
  <c r="AQ73" i="12"/>
  <c r="AT65" i="12"/>
  <c r="AQ65" i="12"/>
  <c r="AT57" i="12"/>
  <c r="AQ57" i="12"/>
  <c r="AT49" i="12"/>
  <c r="AT41" i="12"/>
  <c r="AT33" i="12"/>
  <c r="AQ33" i="12"/>
  <c r="AQ177" i="12"/>
  <c r="AT25" i="12"/>
  <c r="AT17" i="12"/>
  <c r="AT9" i="12"/>
  <c r="AV162" i="12"/>
  <c r="AV98" i="12"/>
  <c r="AV34" i="12"/>
  <c r="AX149" i="12"/>
  <c r="AX85" i="12"/>
  <c r="AV74" i="12"/>
  <c r="AX189" i="12"/>
  <c r="AX61" i="12"/>
  <c r="AV178" i="12"/>
  <c r="AV114" i="12"/>
  <c r="AV50" i="12"/>
  <c r="AX165" i="12"/>
  <c r="AX101" i="12"/>
  <c r="AX37" i="12"/>
  <c r="AX125" i="12"/>
  <c r="AV21" i="12"/>
  <c r="AT155" i="12"/>
  <c r="AT123" i="12"/>
  <c r="AV154" i="12"/>
  <c r="AV90" i="12"/>
  <c r="AX141" i="12"/>
  <c r="AX77" i="12"/>
  <c r="AY168" i="12"/>
  <c r="AY136" i="12"/>
  <c r="AY104" i="12"/>
  <c r="AY72" i="12"/>
  <c r="AY40" i="12"/>
  <c r="AV138" i="12"/>
  <c r="AQ6" i="12"/>
  <c r="AS11" i="12"/>
  <c r="AV13" i="12"/>
  <c r="AV5" i="12"/>
  <c r="AT187" i="12"/>
  <c r="AV130" i="12"/>
  <c r="AV66" i="12"/>
  <c r="AX18" i="12"/>
  <c r="AY18" i="12"/>
  <c r="AX191" i="12"/>
  <c r="AY191" i="12"/>
  <c r="AX183" i="12"/>
  <c r="AY183" i="12"/>
  <c r="AX175" i="12"/>
  <c r="AY175" i="12"/>
  <c r="AX167" i="12"/>
  <c r="AY167" i="12"/>
  <c r="AX159" i="12"/>
  <c r="AY159" i="12"/>
  <c r="AX151" i="12"/>
  <c r="AY151" i="12"/>
  <c r="AX143" i="12"/>
  <c r="AY143" i="12"/>
  <c r="AX135" i="12"/>
  <c r="AY135" i="12"/>
  <c r="AX127" i="12"/>
  <c r="AY127" i="12"/>
  <c r="AX119" i="12"/>
  <c r="AY119" i="12"/>
  <c r="AX111" i="12"/>
  <c r="AY111" i="12"/>
  <c r="AX103" i="12"/>
  <c r="AY103" i="12"/>
  <c r="AX95" i="12"/>
  <c r="AY95" i="12"/>
  <c r="AX87" i="12"/>
  <c r="AY87" i="12"/>
  <c r="AX79" i="12"/>
  <c r="AY79" i="12"/>
  <c r="AX71" i="12"/>
  <c r="AY71" i="12"/>
  <c r="AX63" i="12"/>
  <c r="AY63" i="12"/>
  <c r="AX55" i="12"/>
  <c r="AY55" i="12"/>
  <c r="AX47" i="12"/>
  <c r="AY47" i="12"/>
  <c r="AX39" i="12"/>
  <c r="AY39" i="12"/>
  <c r="AX31" i="12"/>
  <c r="AY31" i="12"/>
  <c r="AX181" i="12"/>
  <c r="AX117" i="12"/>
  <c r="AX53" i="12"/>
  <c r="AQ14" i="12"/>
  <c r="AO20" i="12"/>
  <c r="AO12" i="12"/>
  <c r="AO4" i="12"/>
  <c r="AV170" i="12"/>
  <c r="AV106" i="12"/>
  <c r="AV42" i="12"/>
  <c r="AX157" i="12"/>
  <c r="AX93" i="12"/>
  <c r="AX29" i="12"/>
  <c r="AY3" i="12"/>
  <c r="AY160" i="12"/>
  <c r="AY128" i="12"/>
  <c r="AY96" i="12"/>
  <c r="AY64" i="12"/>
  <c r="AY32" i="12"/>
  <c r="AT26" i="12"/>
  <c r="AT10" i="12"/>
  <c r="AT82" i="12"/>
  <c r="AY185" i="12"/>
  <c r="AY177" i="12"/>
  <c r="AY169" i="12"/>
  <c r="AY161" i="12"/>
  <c r="AY153" i="12"/>
  <c r="AY145" i="12"/>
  <c r="AY137" i="12"/>
  <c r="AY129" i="12"/>
  <c r="AY121" i="12"/>
  <c r="AY113" i="12"/>
  <c r="AY105" i="12"/>
  <c r="AY97" i="12"/>
  <c r="AY89" i="12"/>
  <c r="AY81" i="12"/>
  <c r="AY73" i="12"/>
  <c r="AY65" i="12"/>
  <c r="AY57" i="12"/>
  <c r="AY49" i="12"/>
  <c r="AY41" i="12"/>
  <c r="AY33" i="12"/>
  <c r="AT178" i="12"/>
  <c r="AT50" i="12"/>
  <c r="AY190" i="12"/>
  <c r="AY182" i="12"/>
  <c r="AY174" i="12"/>
  <c r="AY166" i="12"/>
  <c r="AY158" i="12"/>
  <c r="AY150" i="12"/>
  <c r="AY142" i="12"/>
  <c r="AY134" i="12"/>
  <c r="AY126" i="12"/>
  <c r="AY118" i="12"/>
  <c r="AY110" i="12"/>
  <c r="AY102" i="12"/>
  <c r="AY94" i="12"/>
  <c r="AY86" i="12"/>
  <c r="AY78" i="12"/>
  <c r="AY70" i="12"/>
  <c r="AY62" i="12"/>
  <c r="AY54" i="12"/>
  <c r="AY46" i="12"/>
  <c r="AY38" i="12"/>
  <c r="AY30" i="12"/>
  <c r="AS146" i="12"/>
  <c r="AO25" i="12"/>
  <c r="AO17" i="12"/>
  <c r="AO43" i="12"/>
  <c r="AQ186" i="12"/>
  <c r="AQ170" i="12"/>
  <c r="AQ154" i="12"/>
  <c r="AQ138" i="12"/>
  <c r="AQ122" i="12"/>
  <c r="AQ106" i="12"/>
  <c r="AQ90" i="12"/>
  <c r="AQ74" i="12"/>
  <c r="AQ58" i="12"/>
  <c r="AQ42" i="12"/>
  <c r="AS184" i="12"/>
  <c r="AT184" i="12"/>
  <c r="AS176" i="12"/>
  <c r="AT176" i="12"/>
  <c r="AS168" i="12"/>
  <c r="AT168" i="12"/>
  <c r="AS160" i="12"/>
  <c r="AT160" i="12"/>
  <c r="AS152" i="12"/>
  <c r="AT152" i="12"/>
  <c r="AS144" i="12"/>
  <c r="AT144" i="12"/>
  <c r="AS136" i="12"/>
  <c r="AT136" i="12"/>
  <c r="AS128" i="12"/>
  <c r="AT128" i="12"/>
  <c r="AS120" i="12"/>
  <c r="AT120" i="12"/>
  <c r="AS112" i="12"/>
  <c r="AT112" i="12"/>
  <c r="AS104" i="12"/>
  <c r="AT104" i="12"/>
  <c r="AS96" i="12"/>
  <c r="AT96" i="12"/>
  <c r="AS88" i="12"/>
  <c r="AT88" i="12"/>
  <c r="AS80" i="12"/>
  <c r="AT80" i="12"/>
  <c r="AS72" i="12"/>
  <c r="AT72" i="12"/>
  <c r="AS64" i="12"/>
  <c r="AT64" i="12"/>
  <c r="AS56" i="12"/>
  <c r="AT56" i="12"/>
  <c r="AS48" i="12"/>
  <c r="AT48" i="12"/>
  <c r="AS40" i="12"/>
  <c r="AT40" i="12"/>
  <c r="AS32" i="12"/>
  <c r="AT32" i="12"/>
  <c r="AO72" i="12"/>
  <c r="AQ13" i="12"/>
  <c r="AS18" i="12"/>
  <c r="AT18" i="12"/>
  <c r="AS191" i="12"/>
  <c r="AT191" i="12"/>
  <c r="AS183" i="12"/>
  <c r="AT183" i="12"/>
  <c r="AS175" i="12"/>
  <c r="AT175" i="12"/>
  <c r="AS167" i="12"/>
  <c r="AT167" i="12"/>
  <c r="AS159" i="12"/>
  <c r="AT159" i="12"/>
  <c r="AS151" i="12"/>
  <c r="AT151" i="12"/>
  <c r="AS143" i="12"/>
  <c r="AT143" i="12"/>
  <c r="AS135" i="12"/>
  <c r="AT135" i="12"/>
  <c r="AS127" i="12"/>
  <c r="AT127" i="12"/>
  <c r="AS119" i="12"/>
  <c r="AT119" i="12"/>
  <c r="AS111" i="12"/>
  <c r="AT111" i="12"/>
  <c r="AS103" i="12"/>
  <c r="AT103" i="12"/>
  <c r="AS95" i="12"/>
  <c r="AT95" i="12"/>
  <c r="AS87" i="12"/>
  <c r="AT87" i="12"/>
  <c r="AS79" i="12"/>
  <c r="AT79" i="12"/>
  <c r="AS71" i="12"/>
  <c r="AT71" i="12"/>
  <c r="AS63" i="12"/>
  <c r="AT63" i="12"/>
  <c r="AS55" i="12"/>
  <c r="AT55" i="12"/>
  <c r="AS47" i="12"/>
  <c r="AT47" i="12"/>
  <c r="AS39" i="12"/>
  <c r="AT39" i="12"/>
  <c r="AS31" i="12"/>
  <c r="AT31" i="12"/>
  <c r="AT179" i="12"/>
  <c r="AT147" i="12"/>
  <c r="AT115" i="12"/>
  <c r="AT83" i="12"/>
  <c r="AT51" i="12"/>
  <c r="AS190" i="12"/>
  <c r="AT190" i="12"/>
  <c r="AS174" i="12"/>
  <c r="AT174" i="12"/>
  <c r="AS158" i="12"/>
  <c r="AT158" i="12"/>
  <c r="AS102" i="12"/>
  <c r="AT102" i="12"/>
  <c r="AO155" i="12"/>
  <c r="AN155" i="12"/>
  <c r="AO35" i="12"/>
  <c r="AO27" i="12"/>
  <c r="AN27" i="12"/>
  <c r="AT24" i="12"/>
  <c r="AT16" i="12"/>
  <c r="AT8" i="12"/>
  <c r="AT189" i="12"/>
  <c r="AT181" i="12"/>
  <c r="AT173" i="12"/>
  <c r="AT165" i="12"/>
  <c r="AT157" i="12"/>
  <c r="AT149" i="12"/>
  <c r="AT141" i="12"/>
  <c r="AT133" i="12"/>
  <c r="AT125" i="12"/>
  <c r="AT117" i="12"/>
  <c r="AT109" i="12"/>
  <c r="AT101" i="12"/>
  <c r="AT93" i="12"/>
  <c r="AT85" i="12"/>
  <c r="AT77" i="12"/>
  <c r="AT69" i="12"/>
  <c r="AT61" i="12"/>
  <c r="AT53" i="12"/>
  <c r="AT45" i="12"/>
  <c r="AT37" i="12"/>
  <c r="AT29" i="12"/>
  <c r="AT171" i="12"/>
  <c r="AT139" i="12"/>
  <c r="AT107" i="12"/>
  <c r="AT75" i="12"/>
  <c r="AT43" i="12"/>
  <c r="AS182" i="12"/>
  <c r="AT182" i="12"/>
  <c r="AS166" i="12"/>
  <c r="AT166" i="12"/>
  <c r="AS150" i="12"/>
  <c r="AT150" i="12"/>
  <c r="AS142" i="12"/>
  <c r="AT142" i="12"/>
  <c r="AS134" i="12"/>
  <c r="AT134" i="12"/>
  <c r="AS126" i="12"/>
  <c r="AT126" i="12"/>
  <c r="AS118" i="12"/>
  <c r="AT118" i="12"/>
  <c r="AS110" i="12"/>
  <c r="AT110" i="12"/>
  <c r="AS94" i="12"/>
  <c r="AT94" i="12"/>
  <c r="AS86" i="12"/>
  <c r="AT86" i="12"/>
  <c r="AS78" i="12"/>
  <c r="AT78" i="12"/>
  <c r="AS70" i="12"/>
  <c r="AT70" i="12"/>
  <c r="AS62" i="12"/>
  <c r="AT62" i="12"/>
  <c r="AS54" i="12"/>
  <c r="AT54" i="12"/>
  <c r="AS46" i="12"/>
  <c r="AT46" i="12"/>
  <c r="AS38" i="12"/>
  <c r="AT38" i="12"/>
  <c r="AS30" i="12"/>
  <c r="AT30" i="12"/>
  <c r="AS17" i="12"/>
  <c r="AI47" i="12"/>
  <c r="AJ47" i="12"/>
  <c r="AQ162" i="12"/>
  <c r="AQ130" i="12"/>
  <c r="AQ98" i="12"/>
  <c r="AQ66" i="12"/>
  <c r="AQ34" i="12"/>
  <c r="AT23" i="12"/>
  <c r="AT15" i="12"/>
  <c r="AT7" i="12"/>
  <c r="AT188" i="12"/>
  <c r="AT180" i="12"/>
  <c r="AT172" i="12"/>
  <c r="AT164" i="12"/>
  <c r="AT156" i="12"/>
  <c r="AT148" i="12"/>
  <c r="AT140" i="12"/>
  <c r="AT132" i="12"/>
  <c r="AT124" i="12"/>
  <c r="AT116" i="12"/>
  <c r="AT108" i="12"/>
  <c r="AT100" i="12"/>
  <c r="AT92" i="12"/>
  <c r="AT84" i="12"/>
  <c r="AT76" i="12"/>
  <c r="AT68" i="12"/>
  <c r="AT60" i="12"/>
  <c r="AT52" i="12"/>
  <c r="AT44" i="12"/>
  <c r="AT36" i="12"/>
  <c r="AT28" i="12"/>
  <c r="U186" i="12"/>
  <c r="U162" i="12"/>
  <c r="Z5" i="12"/>
  <c r="Z90" i="12"/>
  <c r="Z66" i="12"/>
  <c r="AO136" i="12"/>
  <c r="AT163" i="12"/>
  <c r="AT131" i="12"/>
  <c r="AT99" i="12"/>
  <c r="AT67" i="12"/>
  <c r="AT35" i="12"/>
  <c r="Z145" i="12"/>
  <c r="AB105" i="12"/>
  <c r="AJ185" i="12"/>
  <c r="AJ177" i="12"/>
  <c r="AJ169" i="12"/>
  <c r="AJ161" i="12"/>
  <c r="AJ153" i="12"/>
  <c r="AJ145" i="12"/>
  <c r="AJ137" i="12"/>
  <c r="AJ129" i="12"/>
  <c r="AJ121" i="12"/>
  <c r="AJ113" i="12"/>
  <c r="AJ105" i="12"/>
  <c r="AJ97" i="12"/>
  <c r="AJ89" i="12"/>
  <c r="AJ81" i="12"/>
  <c r="AJ73" i="12"/>
  <c r="AJ65" i="12"/>
  <c r="AJ57" i="12"/>
  <c r="AJ49" i="12"/>
  <c r="AJ41" i="12"/>
  <c r="AJ33" i="12"/>
  <c r="AO19" i="12"/>
  <c r="AO11" i="12"/>
  <c r="AO3" i="12"/>
  <c r="AO91" i="12"/>
  <c r="AQ27" i="12"/>
  <c r="AT27" i="12"/>
  <c r="AO53" i="12"/>
  <c r="AO45" i="12"/>
  <c r="AO37" i="12"/>
  <c r="AO29" i="12"/>
  <c r="AO178" i="12"/>
  <c r="AO50" i="12"/>
  <c r="Y5" i="12"/>
  <c r="AL5" i="12"/>
  <c r="Z20" i="12"/>
  <c r="Z12" i="12"/>
  <c r="Z4" i="12"/>
  <c r="Z81" i="12"/>
  <c r="AB169" i="12"/>
  <c r="AB33" i="12"/>
  <c r="AJ50" i="12"/>
  <c r="AG50" i="12"/>
  <c r="AI191" i="12"/>
  <c r="AJ191" i="12"/>
  <c r="AI111" i="12"/>
  <c r="AJ111" i="12"/>
  <c r="AI95" i="12"/>
  <c r="AJ95" i="12"/>
  <c r="AI79" i="12"/>
  <c r="AJ79" i="12"/>
  <c r="AI63" i="12"/>
  <c r="AJ63" i="12"/>
  <c r="AJ40" i="12"/>
  <c r="AL186" i="12"/>
  <c r="AL170" i="12"/>
  <c r="AL154" i="12"/>
  <c r="AL138" i="12"/>
  <c r="AL122" i="12"/>
  <c r="B3" i="5" s="1"/>
  <c r="AL106" i="12"/>
  <c r="AL90" i="12"/>
  <c r="AL74" i="12"/>
  <c r="AL58" i="12"/>
  <c r="AL42" i="12"/>
  <c r="AO6" i="12"/>
  <c r="AO176" i="12"/>
  <c r="AO131" i="12"/>
  <c r="AO112" i="12"/>
  <c r="AO67" i="12"/>
  <c r="AO48" i="12"/>
  <c r="AE13" i="12"/>
  <c r="AO114" i="12"/>
  <c r="Z11" i="12"/>
  <c r="Z3" i="12"/>
  <c r="Z128" i="12"/>
  <c r="Z120" i="12"/>
  <c r="Z40" i="12"/>
  <c r="AB97" i="12"/>
  <c r="AE154" i="12"/>
  <c r="AG170" i="12"/>
  <c r="AG65" i="12"/>
  <c r="AJ175" i="12"/>
  <c r="AN26" i="12"/>
  <c r="AO26" i="12"/>
  <c r="AN10" i="12"/>
  <c r="AO10" i="12"/>
  <c r="AN191" i="12"/>
  <c r="AO191" i="12"/>
  <c r="AN183" i="12"/>
  <c r="AO183" i="12"/>
  <c r="AN175" i="12"/>
  <c r="AO175" i="12"/>
  <c r="AN167" i="12"/>
  <c r="AO167" i="12"/>
  <c r="AN159" i="12"/>
  <c r="AO159" i="12"/>
  <c r="AN151" i="12"/>
  <c r="AO151" i="12"/>
  <c r="AN143" i="12"/>
  <c r="AO143" i="12"/>
  <c r="AN135" i="12"/>
  <c r="AO135" i="12"/>
  <c r="AN127" i="12"/>
  <c r="AO127" i="12"/>
  <c r="AN119" i="12"/>
  <c r="AO119" i="12"/>
  <c r="AN111" i="12"/>
  <c r="AO111" i="12"/>
  <c r="AN103" i="12"/>
  <c r="AO103" i="12"/>
  <c r="AN95" i="12"/>
  <c r="AO95" i="12"/>
  <c r="AN87" i="12"/>
  <c r="AO87" i="12"/>
  <c r="AN79" i="12"/>
  <c r="AO79" i="12"/>
  <c r="AN71" i="12"/>
  <c r="AO71" i="12"/>
  <c r="AN63" i="12"/>
  <c r="AO63" i="12"/>
  <c r="AN55" i="12"/>
  <c r="AO55" i="12"/>
  <c r="AN47" i="12"/>
  <c r="AO47" i="12"/>
  <c r="AN39" i="12"/>
  <c r="AO39" i="12"/>
  <c r="AN31" i="12"/>
  <c r="AO31" i="12"/>
  <c r="AO171" i="12"/>
  <c r="AO152" i="12"/>
  <c r="AO130" i="12"/>
  <c r="AO107" i="12"/>
  <c r="AO88" i="12"/>
  <c r="AO66" i="12"/>
  <c r="AB161" i="12"/>
  <c r="AG106" i="12"/>
  <c r="AG42" i="12"/>
  <c r="AJ159" i="12"/>
  <c r="AN53" i="12"/>
  <c r="AN37" i="12"/>
  <c r="AO147" i="12"/>
  <c r="AO128" i="12"/>
  <c r="AO83" i="12"/>
  <c r="AO64" i="12"/>
  <c r="AL21" i="12"/>
  <c r="AJ143" i="12"/>
  <c r="AO24" i="12"/>
  <c r="AO16" i="12"/>
  <c r="AO8" i="12"/>
  <c r="AO189" i="12"/>
  <c r="AO181" i="12"/>
  <c r="AO173" i="12"/>
  <c r="AO165" i="12"/>
  <c r="AO157" i="12"/>
  <c r="AO149" i="12"/>
  <c r="AO141" i="12"/>
  <c r="AO133" i="12"/>
  <c r="AO125" i="12"/>
  <c r="AO117" i="12"/>
  <c r="AO109" i="12"/>
  <c r="AO101" i="12"/>
  <c r="AO93" i="12"/>
  <c r="AO85" i="12"/>
  <c r="AO77" i="12"/>
  <c r="AO69" i="12"/>
  <c r="AO61" i="12"/>
  <c r="AO187" i="12"/>
  <c r="AO168" i="12"/>
  <c r="AO146" i="12"/>
  <c r="AO123" i="12"/>
  <c r="AO104" i="12"/>
  <c r="AO82" i="12"/>
  <c r="AO59" i="12"/>
  <c r="AO40" i="12"/>
  <c r="AJ127" i="12"/>
  <c r="AL162" i="12"/>
  <c r="AL98" i="12"/>
  <c r="AL34" i="12"/>
  <c r="AO23" i="12"/>
  <c r="AO15" i="12"/>
  <c r="AO7" i="12"/>
  <c r="AO188" i="12"/>
  <c r="AO180" i="12"/>
  <c r="AO172" i="12"/>
  <c r="AO164" i="12"/>
  <c r="AO156" i="12"/>
  <c r="AO148" i="12"/>
  <c r="AO140" i="12"/>
  <c r="AO132" i="12"/>
  <c r="AO124" i="12"/>
  <c r="AO116" i="12"/>
  <c r="AO108" i="12"/>
  <c r="AO100" i="12"/>
  <c r="AO92" i="12"/>
  <c r="AO84" i="12"/>
  <c r="AO76" i="12"/>
  <c r="AO68" i="12"/>
  <c r="AO60" i="12"/>
  <c r="AO52" i="12"/>
  <c r="AO44" i="12"/>
  <c r="AO36" i="12"/>
  <c r="AO28" i="12"/>
  <c r="AO163" i="12"/>
  <c r="AO144" i="12"/>
  <c r="AO99" i="12"/>
  <c r="AO80" i="12"/>
  <c r="AI32" i="12"/>
  <c r="AJ32" i="12"/>
  <c r="AL13" i="12"/>
  <c r="AG178" i="12"/>
  <c r="AJ56" i="12"/>
  <c r="AO14" i="12"/>
  <c r="AO184" i="12"/>
  <c r="AO139" i="12"/>
  <c r="AO120" i="12"/>
  <c r="AO75" i="12"/>
  <c r="AO56" i="12"/>
  <c r="AE21" i="12"/>
  <c r="AE22" i="12"/>
  <c r="AG114" i="12"/>
  <c r="AJ48" i="12"/>
  <c r="AN189" i="12"/>
  <c r="AN173" i="12"/>
  <c r="AN157" i="12"/>
  <c r="AN141" i="12"/>
  <c r="AN125" i="12"/>
  <c r="AN109" i="12"/>
  <c r="AN93" i="12"/>
  <c r="AN77" i="12"/>
  <c r="AN61" i="12"/>
  <c r="AN45" i="12"/>
  <c r="AN29" i="12"/>
  <c r="AO179" i="12"/>
  <c r="AO160" i="12"/>
  <c r="AO115" i="12"/>
  <c r="AO96" i="12"/>
  <c r="AO51" i="12"/>
  <c r="AO32" i="12"/>
  <c r="AO185" i="12"/>
  <c r="AO177" i="12"/>
  <c r="AO169" i="12"/>
  <c r="AO161" i="12"/>
  <c r="AO153" i="12"/>
  <c r="AO145" i="12"/>
  <c r="AO137" i="12"/>
  <c r="AO129" i="12"/>
  <c r="AO121" i="12"/>
  <c r="AO113" i="12"/>
  <c r="AO105" i="12"/>
  <c r="AO97" i="12"/>
  <c r="AO89" i="12"/>
  <c r="AO81" i="12"/>
  <c r="AO73" i="12"/>
  <c r="AO65" i="12"/>
  <c r="AO57" i="12"/>
  <c r="AO49" i="12"/>
  <c r="AO41" i="12"/>
  <c r="AO33" i="12"/>
  <c r="AO9" i="12"/>
  <c r="AO190" i="12"/>
  <c r="AO182" i="12"/>
  <c r="AO174" i="12"/>
  <c r="AO166" i="12"/>
  <c r="AO158" i="12"/>
  <c r="AO150" i="12"/>
  <c r="AO142" i="12"/>
  <c r="AO134" i="12"/>
  <c r="AO126" i="12"/>
  <c r="AO118" i="12"/>
  <c r="AO110" i="12"/>
  <c r="AO102" i="12"/>
  <c r="AO94" i="12"/>
  <c r="AO86" i="12"/>
  <c r="AO78" i="12"/>
  <c r="AO70" i="12"/>
  <c r="AO62" i="12"/>
  <c r="AO54" i="12"/>
  <c r="AO46" i="12"/>
  <c r="AO38" i="12"/>
  <c r="AO30" i="12"/>
  <c r="AE83" i="12"/>
  <c r="AB14" i="12"/>
  <c r="AD13" i="12"/>
  <c r="Z49" i="12"/>
  <c r="AB145" i="12"/>
  <c r="AB81" i="12"/>
  <c r="AE15" i="12"/>
  <c r="AE7" i="12"/>
  <c r="AE188" i="12"/>
  <c r="AE180" i="12"/>
  <c r="AD180" i="12"/>
  <c r="AE172" i="12"/>
  <c r="AE164" i="12"/>
  <c r="AE156" i="12"/>
  <c r="AD156" i="12"/>
  <c r="AE148" i="12"/>
  <c r="AE140" i="12"/>
  <c r="AE132" i="12"/>
  <c r="AD132" i="12"/>
  <c r="AE124" i="12"/>
  <c r="AE116" i="12"/>
  <c r="AD116" i="12"/>
  <c r="AE147" i="12"/>
  <c r="AE58" i="12"/>
  <c r="AG169" i="12"/>
  <c r="AG130" i="12"/>
  <c r="AG105" i="12"/>
  <c r="AG66" i="12"/>
  <c r="AG41" i="12"/>
  <c r="AJ187" i="12"/>
  <c r="AJ171" i="12"/>
  <c r="AJ155" i="12"/>
  <c r="AJ139" i="12"/>
  <c r="AJ123" i="12"/>
  <c r="AJ107" i="12"/>
  <c r="AJ91" i="12"/>
  <c r="AJ75" i="12"/>
  <c r="AJ59" i="12"/>
  <c r="AJ43" i="12"/>
  <c r="Z41" i="12"/>
  <c r="AB185" i="12"/>
  <c r="AB121" i="12"/>
  <c r="AB57" i="12"/>
  <c r="AD179" i="12"/>
  <c r="AE179" i="12"/>
  <c r="AE115" i="12"/>
  <c r="AD115" i="12"/>
  <c r="AE27" i="12"/>
  <c r="AD27" i="12"/>
  <c r="AE146" i="12"/>
  <c r="AE51" i="12"/>
  <c r="AG154" i="12"/>
  <c r="AG129" i="12"/>
  <c r="AG90" i="12"/>
  <c r="AJ186" i="12"/>
  <c r="AJ138" i="12"/>
  <c r="AJ122" i="12"/>
  <c r="AJ74" i="12"/>
  <c r="AJ58" i="12"/>
  <c r="AI31" i="12"/>
  <c r="AJ31" i="12"/>
  <c r="AJ184" i="12"/>
  <c r="AJ168" i="12"/>
  <c r="AJ152" i="12"/>
  <c r="AJ136" i="12"/>
  <c r="AJ120" i="12"/>
  <c r="AJ104" i="12"/>
  <c r="AJ88" i="12"/>
  <c r="AJ72" i="12"/>
  <c r="AD170" i="12"/>
  <c r="AE170" i="12"/>
  <c r="AD122" i="12"/>
  <c r="AE122" i="12"/>
  <c r="AD66" i="12"/>
  <c r="AE66" i="12"/>
  <c r="AE138" i="12"/>
  <c r="Z13" i="12"/>
  <c r="Z138" i="12"/>
  <c r="Z74" i="12"/>
  <c r="Z137" i="12"/>
  <c r="AB137" i="12"/>
  <c r="AB73" i="12"/>
  <c r="AD188" i="12"/>
  <c r="AE114" i="12"/>
  <c r="AE42" i="12"/>
  <c r="AG177" i="12"/>
  <c r="AG113" i="12"/>
  <c r="AG49" i="12"/>
  <c r="AI190" i="12"/>
  <c r="AJ190" i="12"/>
  <c r="AI182" i="12"/>
  <c r="AJ182" i="12"/>
  <c r="AI174" i="12"/>
  <c r="AJ174" i="12"/>
  <c r="AI166" i="12"/>
  <c r="AJ166" i="12"/>
  <c r="AI158" i="12"/>
  <c r="AJ158" i="12"/>
  <c r="AI150" i="12"/>
  <c r="AJ150" i="12"/>
  <c r="AI142" i="12"/>
  <c r="AJ142" i="12"/>
  <c r="AI134" i="12"/>
  <c r="AJ134" i="12"/>
  <c r="AI126" i="12"/>
  <c r="AJ126" i="12"/>
  <c r="AI118" i="12"/>
  <c r="AJ118" i="12"/>
  <c r="AI110" i="12"/>
  <c r="AJ110" i="12"/>
  <c r="AI102" i="12"/>
  <c r="AJ102" i="12"/>
  <c r="AI94" i="12"/>
  <c r="AJ94" i="12"/>
  <c r="AI86" i="12"/>
  <c r="AJ86" i="12"/>
  <c r="AJ183" i="12"/>
  <c r="AJ167" i="12"/>
  <c r="AJ151" i="12"/>
  <c r="AJ135" i="12"/>
  <c r="AJ119" i="12"/>
  <c r="AJ103" i="12"/>
  <c r="AJ87" i="12"/>
  <c r="AJ71" i="12"/>
  <c r="AJ55" i="12"/>
  <c r="AJ39" i="12"/>
  <c r="AD21" i="12"/>
  <c r="Z115" i="12"/>
  <c r="AB177" i="12"/>
  <c r="AB113" i="12"/>
  <c r="AB49" i="12"/>
  <c r="AE19" i="12"/>
  <c r="AE11" i="12"/>
  <c r="AE3" i="12"/>
  <c r="AD148" i="12"/>
  <c r="AE5" i="12"/>
  <c r="AE106" i="12"/>
  <c r="AE34" i="12"/>
  <c r="AG162" i="12"/>
  <c r="AG137" i="12"/>
  <c r="AG98" i="12"/>
  <c r="AG73" i="12"/>
  <c r="AG34" i="12"/>
  <c r="AJ189" i="12"/>
  <c r="AJ181" i="12"/>
  <c r="AJ173" i="12"/>
  <c r="AJ165" i="12"/>
  <c r="AJ157" i="12"/>
  <c r="AJ149" i="12"/>
  <c r="AJ141" i="12"/>
  <c r="AJ133" i="12"/>
  <c r="AJ125" i="12"/>
  <c r="AJ117" i="12"/>
  <c r="AJ109" i="12"/>
  <c r="AJ101" i="12"/>
  <c r="AJ93" i="12"/>
  <c r="AJ85" i="12"/>
  <c r="AJ77" i="12"/>
  <c r="AJ69" i="12"/>
  <c r="AJ61" i="12"/>
  <c r="AJ53" i="12"/>
  <c r="AJ45" i="12"/>
  <c r="AJ37" i="12"/>
  <c r="AJ29" i="12"/>
  <c r="AI181" i="12"/>
  <c r="AI117" i="12"/>
  <c r="AI53" i="12"/>
  <c r="AJ179" i="12"/>
  <c r="AJ163" i="12"/>
  <c r="AJ147" i="12"/>
  <c r="AJ131" i="12"/>
  <c r="AJ115" i="12"/>
  <c r="AJ99" i="12"/>
  <c r="AJ83" i="12"/>
  <c r="AJ67" i="12"/>
  <c r="AJ51" i="12"/>
  <c r="AJ35" i="12"/>
  <c r="AD178" i="12"/>
  <c r="AE178" i="12"/>
  <c r="AD130" i="12"/>
  <c r="AE130" i="12"/>
  <c r="AD82" i="12"/>
  <c r="AE82" i="12"/>
  <c r="AE50" i="12"/>
  <c r="Z113" i="12"/>
  <c r="AB153" i="12"/>
  <c r="AB89" i="12"/>
  <c r="AE186" i="12"/>
  <c r="AE98" i="12"/>
  <c r="AG161" i="12"/>
  <c r="AG97" i="12"/>
  <c r="AG33" i="12"/>
  <c r="AJ188" i="12"/>
  <c r="AJ180" i="12"/>
  <c r="AJ172" i="12"/>
  <c r="AJ164" i="12"/>
  <c r="AJ156" i="12"/>
  <c r="AJ148" i="12"/>
  <c r="AJ140" i="12"/>
  <c r="AJ132" i="12"/>
  <c r="AJ124" i="12"/>
  <c r="AJ116" i="12"/>
  <c r="AJ108" i="12"/>
  <c r="AJ100" i="12"/>
  <c r="AJ92" i="12"/>
  <c r="AJ84" i="12"/>
  <c r="AJ76" i="12"/>
  <c r="AJ68" i="12"/>
  <c r="AJ60" i="12"/>
  <c r="AJ52" i="12"/>
  <c r="AJ44" i="12"/>
  <c r="AJ36" i="12"/>
  <c r="AJ28" i="12"/>
  <c r="AI180" i="12"/>
  <c r="AI141" i="12"/>
  <c r="AI116" i="12"/>
  <c r="AI77" i="12"/>
  <c r="AI52" i="12"/>
  <c r="AJ146" i="12"/>
  <c r="AJ82" i="12"/>
  <c r="AD74" i="12"/>
  <c r="AE74" i="12"/>
  <c r="AB6" i="12"/>
  <c r="Y66" i="12"/>
  <c r="Z105" i="12"/>
  <c r="AB129" i="12"/>
  <c r="AB65" i="12"/>
  <c r="AE25" i="12"/>
  <c r="AE17" i="12"/>
  <c r="AE9" i="12"/>
  <c r="AD172" i="12"/>
  <c r="AE162" i="12"/>
  <c r="AE90" i="12"/>
  <c r="AG185" i="12"/>
  <c r="AG121" i="12"/>
  <c r="AG57" i="12"/>
  <c r="AJ27" i="12"/>
  <c r="AJ176" i="12"/>
  <c r="AJ160" i="12"/>
  <c r="AJ144" i="12"/>
  <c r="AJ128" i="12"/>
  <c r="AJ112" i="12"/>
  <c r="AJ96" i="12"/>
  <c r="AJ80" i="12"/>
  <c r="AJ64" i="12"/>
  <c r="AJ78" i="12"/>
  <c r="AJ70" i="12"/>
  <c r="AJ62" i="12"/>
  <c r="AJ54" i="12"/>
  <c r="AJ46" i="12"/>
  <c r="AJ38" i="12"/>
  <c r="AJ30" i="12"/>
  <c r="AE108" i="12"/>
  <c r="AE100" i="12"/>
  <c r="AE92" i="12"/>
  <c r="AE84" i="12"/>
  <c r="AE76" i="12"/>
  <c r="AE68" i="12"/>
  <c r="AE60" i="12"/>
  <c r="AE52" i="12"/>
  <c r="AE44" i="12"/>
  <c r="AE36" i="12"/>
  <c r="AE28" i="12"/>
  <c r="AD68" i="12"/>
  <c r="Y104" i="12"/>
  <c r="Z104" i="12"/>
  <c r="Y185" i="12"/>
  <c r="Z185" i="12"/>
  <c r="Y161" i="12"/>
  <c r="Z161" i="12"/>
  <c r="Y153" i="12"/>
  <c r="Z153" i="12"/>
  <c r="Y40" i="12"/>
  <c r="Z144" i="12"/>
  <c r="Z51" i="12"/>
  <c r="AE16" i="12"/>
  <c r="AE8" i="12"/>
  <c r="AE189" i="12"/>
  <c r="AE181" i="12"/>
  <c r="AE173" i="12"/>
  <c r="AE165" i="12"/>
  <c r="AE157" i="12"/>
  <c r="AE149" i="12"/>
  <c r="AE141" i="12"/>
  <c r="AE133" i="12"/>
  <c r="AE125" i="12"/>
  <c r="AE117" i="12"/>
  <c r="AE109" i="12"/>
  <c r="AE101" i="12"/>
  <c r="AE93" i="12"/>
  <c r="AE85" i="12"/>
  <c r="AE77" i="12"/>
  <c r="AE69" i="12"/>
  <c r="AE61" i="12"/>
  <c r="AE53" i="12"/>
  <c r="AE45" i="12"/>
  <c r="AE37" i="12"/>
  <c r="AE29" i="12"/>
  <c r="AE187" i="12"/>
  <c r="AE155" i="12"/>
  <c r="AE123" i="12"/>
  <c r="AE91" i="12"/>
  <c r="AE59" i="12"/>
  <c r="Y11" i="12"/>
  <c r="Z25" i="12"/>
  <c r="Z17" i="12"/>
  <c r="Z9" i="12"/>
  <c r="Y182" i="12"/>
  <c r="Z182" i="12"/>
  <c r="Y118" i="12"/>
  <c r="Z118" i="12"/>
  <c r="Z177" i="12"/>
  <c r="AE171" i="12"/>
  <c r="AE139" i="12"/>
  <c r="AE107" i="12"/>
  <c r="AE75" i="12"/>
  <c r="AE43" i="12"/>
  <c r="U15" i="12"/>
  <c r="U84" i="12"/>
  <c r="Z34" i="12"/>
  <c r="W34" i="12"/>
  <c r="Y128" i="12"/>
  <c r="Z169" i="12"/>
  <c r="Z88" i="12"/>
  <c r="AD184" i="12"/>
  <c r="AE184" i="12"/>
  <c r="AD176" i="12"/>
  <c r="AE176" i="12"/>
  <c r="AD168" i="12"/>
  <c r="AE168" i="12"/>
  <c r="AD160" i="12"/>
  <c r="AE160" i="12"/>
  <c r="AD152" i="12"/>
  <c r="AE152" i="12"/>
  <c r="AD144" i="12"/>
  <c r="AE144" i="12"/>
  <c r="AD136" i="12"/>
  <c r="AE136" i="12"/>
  <c r="AD128" i="12"/>
  <c r="AE128" i="12"/>
  <c r="AD120" i="12"/>
  <c r="AE120" i="12"/>
  <c r="AD112" i="12"/>
  <c r="AE112" i="12"/>
  <c r="AD104" i="12"/>
  <c r="AE104" i="12"/>
  <c r="AD96" i="12"/>
  <c r="AE96" i="12"/>
  <c r="AD88" i="12"/>
  <c r="AE88" i="12"/>
  <c r="AD80" i="12"/>
  <c r="AE80" i="12"/>
  <c r="AD72" i="12"/>
  <c r="AE72" i="12"/>
  <c r="AD64" i="12"/>
  <c r="AE64" i="12"/>
  <c r="AD56" i="12"/>
  <c r="AE56" i="12"/>
  <c r="AD48" i="12"/>
  <c r="AE48" i="12"/>
  <c r="AD40" i="12"/>
  <c r="AE40" i="12"/>
  <c r="AD32" i="12"/>
  <c r="AE32" i="12"/>
  <c r="Z184" i="12"/>
  <c r="Y184" i="12"/>
  <c r="Z64" i="12"/>
  <c r="Y64" i="12"/>
  <c r="Y3" i="12"/>
  <c r="U22" i="12"/>
  <c r="U14" i="12"/>
  <c r="U171" i="12"/>
  <c r="U115" i="12"/>
  <c r="T75" i="12"/>
  <c r="U75" i="12"/>
  <c r="U59" i="12"/>
  <c r="U51" i="12"/>
  <c r="U43" i="12"/>
  <c r="U131" i="12"/>
  <c r="Z22" i="12"/>
  <c r="Z14" i="12"/>
  <c r="Z6" i="12"/>
  <c r="Y179" i="12"/>
  <c r="Z179" i="12"/>
  <c r="Z171" i="12"/>
  <c r="Z163" i="12"/>
  <c r="Z168" i="12"/>
  <c r="AD26" i="12"/>
  <c r="AE26" i="12"/>
  <c r="AD18" i="12"/>
  <c r="AE18" i="12"/>
  <c r="AD10" i="12"/>
  <c r="AE10" i="12"/>
  <c r="AD191" i="12"/>
  <c r="AE191" i="12"/>
  <c r="AD183" i="12"/>
  <c r="AE183" i="12"/>
  <c r="AD175" i="12"/>
  <c r="AE175" i="12"/>
  <c r="AD167" i="12"/>
  <c r="AE167" i="12"/>
  <c r="AD159" i="12"/>
  <c r="AE159" i="12"/>
  <c r="AD151" i="12"/>
  <c r="AE151" i="12"/>
  <c r="AD143" i="12"/>
  <c r="AE143" i="12"/>
  <c r="AD135" i="12"/>
  <c r="AE135" i="12"/>
  <c r="AD127" i="12"/>
  <c r="AE127" i="12"/>
  <c r="AD119" i="12"/>
  <c r="AE119" i="12"/>
  <c r="AD111" i="12"/>
  <c r="AE111" i="12"/>
  <c r="AD103" i="12"/>
  <c r="AE103" i="12"/>
  <c r="AD95" i="12"/>
  <c r="AE95" i="12"/>
  <c r="AD87" i="12"/>
  <c r="AE87" i="12"/>
  <c r="AD79" i="12"/>
  <c r="AE79" i="12"/>
  <c r="AD71" i="12"/>
  <c r="AE71" i="12"/>
  <c r="AD63" i="12"/>
  <c r="AE63" i="12"/>
  <c r="AD55" i="12"/>
  <c r="AE55" i="12"/>
  <c r="AD47" i="12"/>
  <c r="AE47" i="12"/>
  <c r="AD39" i="12"/>
  <c r="AE39" i="12"/>
  <c r="AD31" i="12"/>
  <c r="AE31" i="12"/>
  <c r="AE163" i="12"/>
  <c r="AE131" i="12"/>
  <c r="AE99" i="12"/>
  <c r="AE67" i="12"/>
  <c r="AE35" i="12"/>
  <c r="Y152" i="12"/>
  <c r="Z152" i="12"/>
  <c r="Z56" i="12"/>
  <c r="Y56" i="12"/>
  <c r="Z19" i="12"/>
  <c r="Z21" i="12"/>
  <c r="Z154" i="12"/>
  <c r="Y120" i="12"/>
  <c r="Z80" i="12"/>
  <c r="Y90" i="12"/>
  <c r="Z130" i="12"/>
  <c r="Z73" i="12"/>
  <c r="Z155" i="12"/>
  <c r="Z129" i="12"/>
  <c r="Z97" i="12"/>
  <c r="Z33" i="12"/>
  <c r="Z131" i="12"/>
  <c r="Z107" i="12"/>
  <c r="Z99" i="12"/>
  <c r="Z67" i="12"/>
  <c r="Z43" i="12"/>
  <c r="Z35" i="12"/>
  <c r="Z27" i="12"/>
  <c r="Y107" i="12"/>
  <c r="Z91" i="12"/>
  <c r="Z65" i="12"/>
  <c r="AE190" i="12"/>
  <c r="AE182" i="12"/>
  <c r="AE174" i="12"/>
  <c r="AE166" i="12"/>
  <c r="AE158" i="12"/>
  <c r="AE150" i="12"/>
  <c r="AE142" i="12"/>
  <c r="AE134" i="12"/>
  <c r="AE126" i="12"/>
  <c r="AE118" i="12"/>
  <c r="AE110" i="12"/>
  <c r="AE102" i="12"/>
  <c r="AE94" i="12"/>
  <c r="AE86" i="12"/>
  <c r="AE78" i="12"/>
  <c r="AE70" i="12"/>
  <c r="AE62" i="12"/>
  <c r="AE54" i="12"/>
  <c r="AE46" i="12"/>
  <c r="AE38" i="12"/>
  <c r="AE30" i="12"/>
  <c r="Z170" i="12"/>
  <c r="Z146" i="12"/>
  <c r="Z106" i="12"/>
  <c r="Z82" i="12"/>
  <c r="Z42" i="12"/>
  <c r="Y131" i="12"/>
  <c r="Y106" i="12"/>
  <c r="Z121" i="12"/>
  <c r="AE24" i="12"/>
  <c r="Z89" i="12"/>
  <c r="Z57" i="12"/>
  <c r="AE23" i="12"/>
  <c r="R186" i="12"/>
  <c r="U105" i="12"/>
  <c r="Z54" i="12"/>
  <c r="R162" i="12"/>
  <c r="U49" i="12"/>
  <c r="R42" i="12"/>
  <c r="U42" i="12"/>
  <c r="R41" i="12"/>
  <c r="U41" i="12"/>
  <c r="U188" i="12"/>
  <c r="T188" i="12"/>
  <c r="U156" i="12"/>
  <c r="T156" i="12"/>
  <c r="U124" i="12"/>
  <c r="T124" i="12"/>
  <c r="U92" i="12"/>
  <c r="T92" i="12"/>
  <c r="Y174" i="12"/>
  <c r="Z174" i="12"/>
  <c r="U172" i="12"/>
  <c r="T172" i="12"/>
  <c r="U140" i="12"/>
  <c r="T140" i="12"/>
  <c r="U100" i="12"/>
  <c r="T100" i="12"/>
  <c r="Y158" i="12"/>
  <c r="Z158" i="12"/>
  <c r="T163" i="12"/>
  <c r="U163" i="12"/>
  <c r="T155" i="12"/>
  <c r="U155" i="12"/>
  <c r="T147" i="12"/>
  <c r="U147" i="12"/>
  <c r="T123" i="12"/>
  <c r="U123" i="12"/>
  <c r="U107" i="12"/>
  <c r="T107" i="12"/>
  <c r="T99" i="12"/>
  <c r="U99" i="12"/>
  <c r="T91" i="12"/>
  <c r="U91" i="12"/>
  <c r="U83" i="12"/>
  <c r="T83" i="12"/>
  <c r="T67" i="12"/>
  <c r="U67" i="12"/>
  <c r="U129" i="12"/>
  <c r="R129" i="12"/>
  <c r="R73" i="12"/>
  <c r="U73" i="12"/>
  <c r="R185" i="12"/>
  <c r="U7" i="12"/>
  <c r="T7" i="12"/>
  <c r="U164" i="12"/>
  <c r="T164" i="12"/>
  <c r="U132" i="12"/>
  <c r="T132" i="12"/>
  <c r="U108" i="12"/>
  <c r="T108" i="12"/>
  <c r="U60" i="12"/>
  <c r="T60" i="12"/>
  <c r="Y190" i="12"/>
  <c r="Z190" i="12"/>
  <c r="Y102" i="12"/>
  <c r="Z102" i="12"/>
  <c r="Y86" i="12"/>
  <c r="Z86" i="12"/>
  <c r="Y78" i="12"/>
  <c r="Z78" i="12"/>
  <c r="Y70" i="12"/>
  <c r="Z70" i="12"/>
  <c r="Y62" i="12"/>
  <c r="Z62" i="12"/>
  <c r="Y38" i="12"/>
  <c r="Z38" i="12"/>
  <c r="U6" i="12"/>
  <c r="T6" i="12"/>
  <c r="U179" i="12"/>
  <c r="T179" i="12"/>
  <c r="T139" i="12"/>
  <c r="U139" i="12"/>
  <c r="U21" i="12"/>
  <c r="U187" i="12"/>
  <c r="U23" i="12"/>
  <c r="T23" i="12"/>
  <c r="U180" i="12"/>
  <c r="T180" i="12"/>
  <c r="U148" i="12"/>
  <c r="T148" i="12"/>
  <c r="U116" i="12"/>
  <c r="T116" i="12"/>
  <c r="U76" i="12"/>
  <c r="T76" i="12"/>
  <c r="U68" i="12"/>
  <c r="T68" i="12"/>
  <c r="U52" i="12"/>
  <c r="T52" i="12"/>
  <c r="Y166" i="12"/>
  <c r="Z166" i="12"/>
  <c r="Y150" i="12"/>
  <c r="Z150" i="12"/>
  <c r="Y142" i="12"/>
  <c r="Z142" i="12"/>
  <c r="Y134" i="12"/>
  <c r="Z134" i="12"/>
  <c r="Y126" i="12"/>
  <c r="Z126" i="12"/>
  <c r="Y110" i="12"/>
  <c r="Z110" i="12"/>
  <c r="Y94" i="12"/>
  <c r="Z94" i="12"/>
  <c r="Y46" i="12"/>
  <c r="Z46" i="12"/>
  <c r="Y30" i="12"/>
  <c r="Z30" i="12"/>
  <c r="U20" i="12"/>
  <c r="U12" i="12"/>
  <c r="U4" i="12"/>
  <c r="T84" i="12"/>
  <c r="Z16" i="12"/>
  <c r="Z109" i="12"/>
  <c r="U13" i="12"/>
  <c r="U5" i="12"/>
  <c r="T138" i="12"/>
  <c r="U138" i="12"/>
  <c r="T130" i="12"/>
  <c r="U130" i="12"/>
  <c r="T74" i="12"/>
  <c r="U74" i="12"/>
  <c r="T66" i="12"/>
  <c r="U66" i="12"/>
  <c r="T51" i="12"/>
  <c r="U154" i="12"/>
  <c r="U98" i="12"/>
  <c r="W138" i="12"/>
  <c r="W74" i="12"/>
  <c r="C4" i="2" s="1"/>
  <c r="Z23" i="12"/>
  <c r="Z15" i="12"/>
  <c r="Z7" i="12"/>
  <c r="Z188" i="12"/>
  <c r="Z180" i="12"/>
  <c r="Z172" i="12"/>
  <c r="Z164" i="12"/>
  <c r="Z156" i="12"/>
  <c r="Z148" i="12"/>
  <c r="Z140" i="12"/>
  <c r="Z132" i="12"/>
  <c r="Z124" i="12"/>
  <c r="Z116" i="12"/>
  <c r="Z108" i="12"/>
  <c r="Z100" i="12"/>
  <c r="Z92" i="12"/>
  <c r="Z84" i="12"/>
  <c r="Z76" i="12"/>
  <c r="Z68" i="12"/>
  <c r="Z60" i="12"/>
  <c r="Z52" i="12"/>
  <c r="Z44" i="12"/>
  <c r="Z36" i="12"/>
  <c r="Z28" i="12"/>
  <c r="Y27" i="12"/>
  <c r="Z178" i="12"/>
  <c r="Z139" i="12"/>
  <c r="Z114" i="12"/>
  <c r="Z75" i="12"/>
  <c r="Z50" i="12"/>
  <c r="U27" i="12"/>
  <c r="T27" i="12"/>
  <c r="Z8" i="12"/>
  <c r="Z165" i="12"/>
  <c r="Z133" i="12"/>
  <c r="Z93" i="12"/>
  <c r="Z61" i="12"/>
  <c r="Z29" i="12"/>
  <c r="T161" i="12"/>
  <c r="U161" i="12"/>
  <c r="U35" i="12"/>
  <c r="Y165" i="12"/>
  <c r="U19" i="12"/>
  <c r="U11" i="12"/>
  <c r="U3" i="12"/>
  <c r="T43" i="12"/>
  <c r="U177" i="12"/>
  <c r="U146" i="12"/>
  <c r="U121" i="12"/>
  <c r="U90" i="12"/>
  <c r="U34" i="12"/>
  <c r="Y61" i="12"/>
  <c r="Z187" i="12"/>
  <c r="Z176" i="12"/>
  <c r="Z162" i="12"/>
  <c r="Z123" i="12"/>
  <c r="Z112" i="12"/>
  <c r="Z98" i="12"/>
  <c r="Z59" i="12"/>
  <c r="Z48" i="12"/>
  <c r="Z181" i="12"/>
  <c r="Z149" i="12"/>
  <c r="Z117" i="12"/>
  <c r="Z85" i="12"/>
  <c r="Z53" i="12"/>
  <c r="Y117" i="12"/>
  <c r="T89" i="12"/>
  <c r="U89" i="12"/>
  <c r="T33" i="12"/>
  <c r="U33" i="12"/>
  <c r="U178" i="12"/>
  <c r="U65" i="12"/>
  <c r="U170" i="12"/>
  <c r="U145" i="12"/>
  <c r="U114" i="12"/>
  <c r="U58" i="12"/>
  <c r="Y163" i="12"/>
  <c r="Y149" i="12"/>
  <c r="Y99" i="12"/>
  <c r="Y85" i="12"/>
  <c r="Y35" i="12"/>
  <c r="Z186" i="12"/>
  <c r="Z147" i="12"/>
  <c r="Z136" i="12"/>
  <c r="Z122" i="12"/>
  <c r="Z83" i="12"/>
  <c r="Z72" i="12"/>
  <c r="Z58" i="12"/>
  <c r="Z189" i="12"/>
  <c r="Z157" i="12"/>
  <c r="Z125" i="12"/>
  <c r="Z77" i="12"/>
  <c r="Z45" i="12"/>
  <c r="Y181" i="12"/>
  <c r="T153" i="12"/>
  <c r="U153" i="12"/>
  <c r="T5" i="12"/>
  <c r="U17" i="12"/>
  <c r="U169" i="12"/>
  <c r="U113" i="12"/>
  <c r="U82" i="12"/>
  <c r="U57" i="12"/>
  <c r="Y109" i="12"/>
  <c r="Y45" i="12"/>
  <c r="Z160" i="12"/>
  <c r="Z96" i="12"/>
  <c r="Z32" i="12"/>
  <c r="Z24" i="12"/>
  <c r="Z173" i="12"/>
  <c r="Z141" i="12"/>
  <c r="Z101" i="12"/>
  <c r="Z69" i="12"/>
  <c r="Z37" i="12"/>
  <c r="T97" i="12"/>
  <c r="U97" i="12"/>
  <c r="U122" i="12"/>
  <c r="BI24" i="12"/>
  <c r="BI16" i="12"/>
  <c r="U24" i="12"/>
  <c r="U16" i="12"/>
  <c r="U8" i="12"/>
  <c r="U189" i="12"/>
  <c r="U181" i="12"/>
  <c r="T181" i="12"/>
  <c r="U173" i="12"/>
  <c r="T173" i="12"/>
  <c r="U165" i="12"/>
  <c r="U157" i="12"/>
  <c r="U149" i="12"/>
  <c r="U141" i="12"/>
  <c r="U133" i="12"/>
  <c r="U125" i="12"/>
  <c r="U117" i="12"/>
  <c r="T117" i="12"/>
  <c r="U109" i="12"/>
  <c r="T109" i="12"/>
  <c r="U101" i="12"/>
  <c r="U93" i="12"/>
  <c r="U85" i="12"/>
  <c r="U77" i="12"/>
  <c r="U69" i="12"/>
  <c r="U61" i="12"/>
  <c r="U53" i="12"/>
  <c r="T53" i="12"/>
  <c r="U45" i="12"/>
  <c r="T45" i="12"/>
  <c r="U37" i="12"/>
  <c r="U29" i="12"/>
  <c r="T85" i="12"/>
  <c r="T29" i="12"/>
  <c r="U137" i="12"/>
  <c r="U106" i="12"/>
  <c r="U81" i="12"/>
  <c r="U50" i="12"/>
  <c r="Z26" i="12"/>
  <c r="Z18" i="12"/>
  <c r="Z10" i="12"/>
  <c r="Y191" i="12"/>
  <c r="Z191" i="12"/>
  <c r="Y183" i="12"/>
  <c r="Z183" i="12"/>
  <c r="Y175" i="12"/>
  <c r="Z175" i="12"/>
  <c r="Y167" i="12"/>
  <c r="Z167" i="12"/>
  <c r="Y159" i="12"/>
  <c r="Z159" i="12"/>
  <c r="Y151" i="12"/>
  <c r="Z151" i="12"/>
  <c r="Y143" i="12"/>
  <c r="Z143" i="12"/>
  <c r="Y135" i="12"/>
  <c r="Z135" i="12"/>
  <c r="Y127" i="12"/>
  <c r="Z127" i="12"/>
  <c r="Y119" i="12"/>
  <c r="Z119" i="12"/>
  <c r="Y111" i="12"/>
  <c r="Z111" i="12"/>
  <c r="Y103" i="12"/>
  <c r="Z103" i="12"/>
  <c r="Y95" i="12"/>
  <c r="Z95" i="12"/>
  <c r="Y87" i="12"/>
  <c r="Z87" i="12"/>
  <c r="Y79" i="12"/>
  <c r="Z79" i="12"/>
  <c r="Y71" i="12"/>
  <c r="Z71" i="12"/>
  <c r="Y63" i="12"/>
  <c r="Z63" i="12"/>
  <c r="Y55" i="12"/>
  <c r="Z55" i="12"/>
  <c r="Y47" i="12"/>
  <c r="Z47" i="12"/>
  <c r="Y39" i="12"/>
  <c r="Z39" i="12"/>
  <c r="Y31" i="12"/>
  <c r="Z31" i="12"/>
  <c r="Y133" i="12"/>
  <c r="Y69" i="12"/>
  <c r="U44" i="12"/>
  <c r="U36" i="12"/>
  <c r="U28" i="12"/>
  <c r="T17" i="12"/>
  <c r="U184" i="12"/>
  <c r="U176" i="12"/>
  <c r="U168" i="12"/>
  <c r="U160" i="12"/>
  <c r="U152" i="12"/>
  <c r="U144" i="12"/>
  <c r="U136" i="12"/>
  <c r="U128" i="12"/>
  <c r="U120" i="12"/>
  <c r="U112" i="12"/>
  <c r="U104" i="12"/>
  <c r="U96" i="12"/>
  <c r="U88" i="12"/>
  <c r="U80" i="12"/>
  <c r="U72" i="12"/>
  <c r="U64" i="12"/>
  <c r="U56" i="12"/>
  <c r="U48" i="12"/>
  <c r="U40" i="12"/>
  <c r="U32" i="12"/>
  <c r="U26" i="12"/>
  <c r="U18" i="12"/>
  <c r="U10" i="12"/>
  <c r="U191" i="12"/>
  <c r="U183" i="12"/>
  <c r="U175" i="12"/>
  <c r="U167" i="12"/>
  <c r="U159" i="12"/>
  <c r="U151" i="12"/>
  <c r="U143" i="12"/>
  <c r="U135" i="12"/>
  <c r="U127" i="12"/>
  <c r="U119" i="12"/>
  <c r="U111" i="12"/>
  <c r="U103" i="12"/>
  <c r="U95" i="12"/>
  <c r="U87" i="12"/>
  <c r="U79" i="12"/>
  <c r="U71" i="12"/>
  <c r="U63" i="12"/>
  <c r="U55" i="12"/>
  <c r="U47" i="12"/>
  <c r="U39" i="12"/>
  <c r="U31" i="12"/>
  <c r="U25" i="12"/>
  <c r="U9" i="12"/>
  <c r="U190" i="12"/>
  <c r="U182" i="12"/>
  <c r="U174" i="12"/>
  <c r="U166" i="12"/>
  <c r="U158" i="12"/>
  <c r="U150" i="12"/>
  <c r="U142" i="12"/>
  <c r="U134" i="12"/>
  <c r="U126" i="12"/>
  <c r="U118" i="12"/>
  <c r="U110" i="12"/>
  <c r="U102" i="12"/>
  <c r="U94" i="12"/>
  <c r="U86" i="12"/>
  <c r="U78" i="12"/>
  <c r="U70" i="12"/>
  <c r="U62" i="12"/>
  <c r="U54" i="12"/>
  <c r="U46" i="12"/>
  <c r="U38" i="12"/>
  <c r="U30" i="12"/>
  <c r="BI2" i="12"/>
  <c r="BI19" i="12"/>
  <c r="BI11" i="12"/>
  <c r="BI3" i="12"/>
  <c r="BI26" i="12"/>
  <c r="BI18" i="12"/>
  <c r="BI10" i="12"/>
  <c r="BI25" i="12"/>
  <c r="BI17" i="12"/>
  <c r="BI9" i="12"/>
  <c r="BI8" i="12"/>
  <c r="BI23" i="12"/>
  <c r="BI7" i="12"/>
  <c r="AJ24" i="12"/>
  <c r="AJ16" i="12"/>
  <c r="AJ8" i="12"/>
  <c r="BI22" i="12"/>
  <c r="BI14" i="12"/>
  <c r="BI6" i="12"/>
  <c r="BI21" i="12"/>
  <c r="BI5" i="12"/>
  <c r="G16" i="10"/>
  <c r="BF11" i="12"/>
  <c r="BF19" i="12"/>
  <c r="BI13" i="12"/>
  <c r="BF2" i="12"/>
  <c r="BI15" i="12"/>
  <c r="BF3" i="12"/>
  <c r="BF21" i="12"/>
  <c r="BF23" i="12"/>
  <c r="BF5" i="12"/>
  <c r="BF7" i="12"/>
  <c r="BF6" i="12"/>
  <c r="BF14" i="12"/>
  <c r="BF22" i="12"/>
  <c r="BI4" i="12"/>
  <c r="BI12" i="12"/>
  <c r="BI20" i="12"/>
  <c r="BF8" i="12"/>
  <c r="BF16" i="12"/>
  <c r="BF24" i="12"/>
  <c r="BF9" i="12"/>
  <c r="BF17" i="12"/>
  <c r="BF25" i="12"/>
  <c r="BF10" i="12"/>
  <c r="BF18" i="12"/>
  <c r="BF26" i="12"/>
  <c r="BC13" i="12"/>
  <c r="BC5" i="12"/>
  <c r="BC21" i="12"/>
  <c r="BD2" i="12"/>
  <c r="BC12" i="12"/>
  <c r="BC17" i="12"/>
  <c r="BC2" i="12"/>
  <c r="BC10" i="12"/>
  <c r="BC18" i="12"/>
  <c r="BC26" i="12"/>
  <c r="BC3" i="12"/>
  <c r="BC11" i="12"/>
  <c r="BC19" i="12"/>
  <c r="AX12" i="12"/>
  <c r="BC6" i="12"/>
  <c r="BC14" i="12"/>
  <c r="BC22" i="12"/>
  <c r="AX26" i="12"/>
  <c r="AX10" i="12"/>
  <c r="AX11" i="12"/>
  <c r="AY2" i="12"/>
  <c r="AS19" i="12"/>
  <c r="AS21" i="12"/>
  <c r="AX6" i="12"/>
  <c r="AX14" i="12"/>
  <c r="AX22" i="12"/>
  <c r="AX7" i="12"/>
  <c r="AX15" i="12"/>
  <c r="AX23" i="12"/>
  <c r="AX8" i="12"/>
  <c r="AX16" i="12"/>
  <c r="AX24" i="12"/>
  <c r="AX9" i="12"/>
  <c r="AX17" i="12"/>
  <c r="AX25" i="12"/>
  <c r="AS5" i="12"/>
  <c r="AS3" i="12"/>
  <c r="AS4" i="12"/>
  <c r="AS20" i="12"/>
  <c r="AT2" i="12"/>
  <c r="AS9" i="12"/>
  <c r="AS25" i="12"/>
  <c r="AS13" i="12"/>
  <c r="AS10" i="12"/>
  <c r="AS26" i="12"/>
  <c r="AS6" i="12"/>
  <c r="AS14" i="12"/>
  <c r="AS22" i="12"/>
  <c r="AL20" i="12"/>
  <c r="AS7" i="12"/>
  <c r="AS15" i="12"/>
  <c r="AS23" i="12"/>
  <c r="AN4" i="12"/>
  <c r="AJ21" i="12"/>
  <c r="AJ13" i="12"/>
  <c r="AJ5" i="12"/>
  <c r="AN21" i="12"/>
  <c r="AN17" i="12"/>
  <c r="AN24" i="12"/>
  <c r="AN5" i="12"/>
  <c r="AN25" i="12"/>
  <c r="AJ15" i="12"/>
  <c r="AO2" i="12"/>
  <c r="AJ12" i="12"/>
  <c r="AN2" i="12"/>
  <c r="AN18" i="12"/>
  <c r="AJ14" i="12"/>
  <c r="AN3" i="12"/>
  <c r="AN11" i="12"/>
  <c r="AN19" i="12"/>
  <c r="AJ4" i="12"/>
  <c r="AG16" i="12"/>
  <c r="AJ23" i="12"/>
  <c r="AN6" i="12"/>
  <c r="AN14" i="12"/>
  <c r="AN22" i="12"/>
  <c r="AJ20" i="12"/>
  <c r="AJ22" i="12"/>
  <c r="AJ7" i="12"/>
  <c r="AI12" i="12"/>
  <c r="AJ2" i="12"/>
  <c r="AJ19" i="12"/>
  <c r="AJ3" i="12"/>
  <c r="AJ10" i="12"/>
  <c r="AJ17" i="12"/>
  <c r="AI20" i="12"/>
  <c r="AG24" i="12"/>
  <c r="AI4" i="12"/>
  <c r="AJ11" i="12"/>
  <c r="AJ26" i="12"/>
  <c r="AJ18" i="12"/>
  <c r="AJ25" i="12"/>
  <c r="AJ9" i="12"/>
  <c r="AD20" i="12"/>
  <c r="AG8" i="12"/>
  <c r="AI7" i="12"/>
  <c r="AJ6" i="12"/>
  <c r="AI9" i="12"/>
  <c r="AI17" i="12"/>
  <c r="AI25" i="12"/>
  <c r="AB12" i="12"/>
  <c r="AI2" i="12"/>
  <c r="AI10" i="12"/>
  <c r="AI18" i="12"/>
  <c r="AI26" i="12"/>
  <c r="AI3" i="12"/>
  <c r="AI11" i="12"/>
  <c r="AI19" i="12"/>
  <c r="AG21" i="12"/>
  <c r="AG5" i="12"/>
  <c r="AG13" i="12"/>
  <c r="AE2" i="12"/>
  <c r="AD11" i="12"/>
  <c r="AD16" i="12"/>
  <c r="AD3" i="12"/>
  <c r="Y4" i="12"/>
  <c r="AD17" i="12"/>
  <c r="AD9" i="12"/>
  <c r="AD25" i="12"/>
  <c r="Z2" i="12"/>
  <c r="W13" i="12"/>
  <c r="D3" i="2" s="1"/>
  <c r="Y23" i="12"/>
  <c r="Y14" i="12"/>
  <c r="Y15" i="12"/>
  <c r="Y21" i="12"/>
  <c r="Y8" i="12"/>
  <c r="Y16" i="12"/>
  <c r="Y24" i="12"/>
  <c r="Y9" i="12"/>
  <c r="Y17" i="12"/>
  <c r="Y25" i="12"/>
  <c r="Y2" i="12"/>
  <c r="Y10" i="12"/>
  <c r="Y18" i="12"/>
  <c r="Y26" i="12"/>
  <c r="U2" i="12"/>
  <c r="R8" i="12"/>
  <c r="T15" i="12"/>
  <c r="T14" i="12"/>
  <c r="T13" i="12"/>
  <c r="T20" i="12"/>
  <c r="T12" i="12"/>
  <c r="T4" i="12"/>
  <c r="T2" i="12"/>
  <c r="T19" i="12"/>
  <c r="T11" i="12"/>
  <c r="T3" i="12"/>
  <c r="R16" i="12"/>
  <c r="C4" i="3" l="1"/>
  <c r="R407" i="12"/>
  <c r="B3" i="7"/>
  <c r="D4" i="6"/>
  <c r="B2" i="9"/>
  <c r="C81" i="11" s="1"/>
  <c r="C3" i="5"/>
  <c r="C3" i="4"/>
  <c r="AT405" i="12"/>
  <c r="B7" i="10" s="1"/>
  <c r="D2" i="3"/>
  <c r="E22" i="11" s="1"/>
  <c r="C3" i="6"/>
  <c r="D2" i="7"/>
  <c r="D4" i="4"/>
  <c r="B4" i="4"/>
  <c r="C2" i="7"/>
  <c r="B4" i="3"/>
  <c r="AY405" i="12"/>
  <c r="B8" i="10" s="1"/>
  <c r="BD405" i="12"/>
  <c r="B9" i="10" s="1"/>
  <c r="B3" i="6"/>
  <c r="D2" i="6"/>
  <c r="D4" i="1"/>
  <c r="D3" i="5"/>
  <c r="W407" i="12"/>
  <c r="D3" i="6"/>
  <c r="C2" i="1"/>
  <c r="B3" i="3"/>
  <c r="C4" i="8"/>
  <c r="AB407" i="12"/>
  <c r="C4" i="7"/>
  <c r="D3" i="4"/>
  <c r="C2" i="2"/>
  <c r="D4" i="5"/>
  <c r="D3" i="3"/>
  <c r="R408" i="12"/>
  <c r="AJ405" i="12"/>
  <c r="B5" i="10" s="1"/>
  <c r="C2" i="9"/>
  <c r="C4" i="9"/>
  <c r="C3" i="9"/>
  <c r="BI405" i="12"/>
  <c r="B10" i="10" s="1"/>
  <c r="D4" i="2"/>
  <c r="AQ406" i="12"/>
  <c r="C3" i="1"/>
  <c r="D4" i="11" s="1"/>
  <c r="B2" i="3"/>
  <c r="B2" i="8"/>
  <c r="C71" i="11" s="1"/>
  <c r="C2" i="3"/>
  <c r="C3" i="7"/>
  <c r="AG408" i="12"/>
  <c r="C3" i="2"/>
  <c r="AL406" i="12"/>
  <c r="D2" i="1"/>
  <c r="U405" i="12"/>
  <c r="B2" i="10" s="1"/>
  <c r="Z405" i="12"/>
  <c r="B3" i="10" s="1"/>
  <c r="AE405" i="12"/>
  <c r="B4" i="10" s="1"/>
  <c r="W406" i="12"/>
  <c r="AQ408" i="12"/>
  <c r="AV406" i="12"/>
  <c r="D4" i="8"/>
  <c r="E73" i="11" s="1"/>
  <c r="AB408" i="12"/>
  <c r="C4" i="4"/>
  <c r="B3" i="9"/>
  <c r="C82" i="11" s="1"/>
  <c r="D2" i="5"/>
  <c r="D3" i="1"/>
  <c r="AO405" i="12"/>
  <c r="B6" i="10" s="1"/>
  <c r="W408" i="12"/>
  <c r="AV407" i="12"/>
  <c r="B4" i="8"/>
  <c r="C73" i="11" s="1"/>
  <c r="BA406" i="12"/>
  <c r="C3" i="3"/>
  <c r="C2" i="5"/>
  <c r="D42" i="11" s="1"/>
  <c r="C2" i="4"/>
  <c r="D32" i="11" s="1"/>
  <c r="B4" i="9"/>
  <c r="C83" i="11" s="1"/>
  <c r="AL407" i="12"/>
  <c r="D2" i="2"/>
  <c r="E12" i="11" s="1"/>
  <c r="B4" i="5"/>
  <c r="D3" i="7"/>
  <c r="BA408" i="12"/>
  <c r="C2" i="8"/>
  <c r="D71" i="11" s="1"/>
  <c r="C4" i="5"/>
  <c r="D44" i="11" s="1"/>
  <c r="AL408" i="12"/>
  <c r="B2" i="4"/>
  <c r="C32" i="11" s="1"/>
  <c r="R406" i="12"/>
  <c r="B2" i="5"/>
  <c r="C42" i="11" s="1"/>
  <c r="AV408" i="12"/>
  <c r="B3" i="8"/>
  <c r="C72" i="11" s="1"/>
  <c r="BA407" i="12"/>
  <c r="B2" i="6"/>
  <c r="C52" i="11" s="1"/>
  <c r="AG406" i="12"/>
  <c r="C4" i="6"/>
  <c r="D54" i="11" s="1"/>
  <c r="B3" i="4"/>
  <c r="C33" i="11" s="1"/>
  <c r="B4" i="7"/>
  <c r="C64" i="11" s="1"/>
  <c r="AQ407" i="12"/>
  <c r="D4" i="7"/>
  <c r="E64" i="11" s="1"/>
  <c r="C3" i="8"/>
  <c r="D72" i="11" s="1"/>
  <c r="D2" i="8"/>
  <c r="E71" i="11" s="1"/>
  <c r="B4" i="6"/>
  <c r="C54" i="11" s="1"/>
  <c r="D2" i="4"/>
  <c r="E32" i="11" s="1"/>
  <c r="AG407" i="12"/>
  <c r="C2" i="6"/>
  <c r="D4" i="3"/>
  <c r="E24" i="11" s="1"/>
  <c r="B2" i="7"/>
  <c r="C62" i="11" s="1"/>
  <c r="D4" i="9"/>
  <c r="E83" i="11" s="1"/>
  <c r="BF408" i="12"/>
  <c r="BF407" i="12"/>
  <c r="BF406" i="12"/>
  <c r="D3" i="9"/>
  <c r="E82" i="11" s="1"/>
  <c r="D2" i="9"/>
  <c r="E81" i="11" s="1"/>
  <c r="C4" i="1"/>
  <c r="D5" i="11" s="1"/>
  <c r="AB406" i="12"/>
  <c r="D73" i="11"/>
  <c r="E72" i="11"/>
  <c r="E13" i="11"/>
  <c r="C5" i="11"/>
  <c r="C23" i="11"/>
  <c r="D53" i="11"/>
  <c r="E63" i="11"/>
  <c r="C24" i="11"/>
  <c r="E54" i="11"/>
  <c r="E14" i="11"/>
  <c r="E44" i="11"/>
  <c r="D64" i="11"/>
  <c r="C53" i="11"/>
  <c r="E42" i="11"/>
  <c r="C14" i="11"/>
  <c r="C13" i="11"/>
  <c r="C12" i="11"/>
  <c r="D63" i="11"/>
  <c r="E43" i="11"/>
  <c r="D52" i="11"/>
  <c r="E3" i="11"/>
  <c r="C34" i="11"/>
  <c r="C63" i="11"/>
  <c r="E53" i="11"/>
  <c r="E52" i="11"/>
  <c r="E23" i="11"/>
  <c r="C22" i="11"/>
  <c r="C4" i="11"/>
  <c r="C44" i="11"/>
  <c r="C3" i="11"/>
  <c r="D43" i="11"/>
  <c r="E62" i="11"/>
  <c r="D62" i="11"/>
  <c r="D3" i="11"/>
  <c r="D14" i="11"/>
  <c r="C43" i="11"/>
  <c r="D34" i="11"/>
  <c r="E4" i="11"/>
  <c r="E34" i="11"/>
  <c r="E5" i="11"/>
  <c r="D24" i="11"/>
  <c r="E33" i="11"/>
  <c r="D33" i="11"/>
  <c r="D23" i="11"/>
  <c r="D13" i="11"/>
  <c r="D22" i="11"/>
  <c r="D12" i="11"/>
  <c r="D83" i="11"/>
  <c r="D82" i="11"/>
  <c r="D81" i="11"/>
  <c r="BA409" i="12" l="1"/>
  <c r="L9" i="10" s="1"/>
  <c r="BF409" i="12"/>
  <c r="K10" i="10" s="1"/>
  <c r="R409" i="12"/>
  <c r="K2" i="10" s="1"/>
  <c r="AL409" i="12"/>
  <c r="J6" i="10" s="1"/>
  <c r="AQ409" i="12"/>
  <c r="K7" i="10" s="1"/>
  <c r="AV409" i="12"/>
  <c r="K8" i="10" s="1"/>
  <c r="AG409" i="12"/>
  <c r="L5" i="10" s="1"/>
  <c r="W409" i="12"/>
  <c r="L3" i="10" s="1"/>
  <c r="AB409" i="12"/>
  <c r="K4" i="10" s="1"/>
  <c r="C84" i="11"/>
  <c r="F71" i="11"/>
  <c r="D65" i="11"/>
  <c r="G65" i="11"/>
  <c r="F64" i="11"/>
  <c r="F73" i="11"/>
  <c r="F54" i="11"/>
  <c r="E74" i="11"/>
  <c r="F63" i="11"/>
  <c r="G74" i="11"/>
  <c r="D45" i="11"/>
  <c r="F12" i="11"/>
  <c r="F44" i="11"/>
  <c r="C35" i="11"/>
  <c r="F72" i="11"/>
  <c r="F42" i="11"/>
  <c r="E65" i="11"/>
  <c r="C74" i="11"/>
  <c r="C6" i="11"/>
  <c r="E55" i="11"/>
  <c r="E15" i="11"/>
  <c r="F14" i="11"/>
  <c r="D55" i="11"/>
  <c r="E45" i="11"/>
  <c r="E25" i="11"/>
  <c r="C65" i="11"/>
  <c r="F62" i="11"/>
  <c r="F4" i="11"/>
  <c r="F3" i="11"/>
  <c r="G45" i="11"/>
  <c r="F24" i="11"/>
  <c r="G55" i="11"/>
  <c r="F43" i="11"/>
  <c r="C25" i="11"/>
  <c r="F53" i="11"/>
  <c r="C55" i="11"/>
  <c r="D74" i="11"/>
  <c r="F52" i="11"/>
  <c r="C15" i="11"/>
  <c r="F34" i="11"/>
  <c r="F5" i="11"/>
  <c r="C45" i="11"/>
  <c r="E84" i="11"/>
  <c r="E35" i="11"/>
  <c r="E6" i="11"/>
  <c r="F83" i="11"/>
  <c r="G6" i="11"/>
  <c r="F81" i="11"/>
  <c r="D84" i="11"/>
  <c r="D35" i="11"/>
  <c r="F32" i="11"/>
  <c r="D25" i="11"/>
  <c r="F22" i="11"/>
  <c r="F23" i="11"/>
  <c r="G25" i="11"/>
  <c r="D6" i="11"/>
  <c r="F33" i="11"/>
  <c r="G35" i="11"/>
  <c r="G84" i="11"/>
  <c r="F82" i="11"/>
  <c r="F13" i="11"/>
  <c r="G15" i="11"/>
  <c r="D15" i="11"/>
  <c r="L6" i="10" l="1"/>
  <c r="K3" i="10"/>
  <c r="K6" i="10"/>
  <c r="J9" i="10"/>
  <c r="K9" i="10"/>
  <c r="L2" i="10"/>
  <c r="J2" i="10"/>
  <c r="L8" i="10"/>
  <c r="J4" i="10"/>
  <c r="J5" i="10"/>
  <c r="J10" i="10"/>
  <c r="L10" i="10"/>
  <c r="J7" i="10"/>
  <c r="J3" i="10"/>
  <c r="L4" i="10"/>
  <c r="K5" i="10"/>
  <c r="J8" i="10"/>
  <c r="L7" i="10"/>
  <c r="J65" i="11"/>
  <c r="J74" i="11"/>
  <c r="J45" i="11"/>
  <c r="I65" i="11"/>
  <c r="I55" i="11"/>
  <c r="J6" i="11"/>
  <c r="H65" i="11"/>
  <c r="F65" i="11"/>
  <c r="E66" i="11" s="1"/>
  <c r="C8" i="10" s="1"/>
  <c r="J15" i="11"/>
  <c r="H74" i="11"/>
  <c r="J55" i="11"/>
  <c r="F55" i="11"/>
  <c r="E56" i="11" s="1"/>
  <c r="C7" i="10" s="1"/>
  <c r="I74" i="11"/>
  <c r="F74" i="11"/>
  <c r="E75" i="11" s="1"/>
  <c r="C9" i="10" s="1"/>
  <c r="H55" i="11"/>
  <c r="F45" i="11"/>
  <c r="E46" i="11" s="1"/>
  <c r="C6" i="10" s="1"/>
  <c r="I45" i="11"/>
  <c r="H45" i="11"/>
  <c r="H6" i="11"/>
  <c r="I6" i="11"/>
  <c r="F6" i="11"/>
  <c r="E7" i="11" s="1"/>
  <c r="C2" i="10" s="1"/>
  <c r="J35" i="11"/>
  <c r="H35" i="11"/>
  <c r="I15" i="11"/>
  <c r="F15" i="11"/>
  <c r="E16" i="11" s="1"/>
  <c r="C3" i="10" s="1"/>
  <c r="F35" i="11"/>
  <c r="E36" i="11" s="1"/>
  <c r="C5" i="10" s="1"/>
  <c r="I35" i="11"/>
  <c r="H15" i="11"/>
  <c r="J25" i="11"/>
  <c r="H25" i="11"/>
  <c r="F25" i="11"/>
  <c r="E26" i="11" s="1"/>
  <c r="C4" i="10" s="1"/>
  <c r="I25" i="11"/>
  <c r="I84" i="11"/>
  <c r="F84" i="11"/>
  <c r="E85" i="11" s="1"/>
  <c r="C10" i="10" s="1"/>
  <c r="J84" i="11"/>
  <c r="H84" i="11"/>
  <c r="M6" i="10" l="1"/>
  <c r="E9" i="10"/>
  <c r="M9" i="10"/>
  <c r="M2" i="10"/>
  <c r="E6" i="10"/>
  <c r="E2" i="10"/>
  <c r="E8" i="10"/>
  <c r="M8" i="10"/>
  <c r="E3" i="10"/>
  <c r="M3" i="10"/>
  <c r="M7" i="10"/>
  <c r="E7" i="10"/>
  <c r="M4" i="10"/>
  <c r="E4" i="10"/>
  <c r="E10" i="10"/>
  <c r="M10" i="10"/>
  <c r="E5" i="10"/>
  <c r="M5" i="10"/>
  <c r="E67" i="11"/>
  <c r="D8" i="10" s="1"/>
  <c r="E57" i="11"/>
  <c r="D7" i="10" s="1"/>
  <c r="E76" i="11"/>
  <c r="D9" i="10" s="1"/>
  <c r="E86" i="11"/>
  <c r="D10" i="10" s="1"/>
  <c r="E37" i="11"/>
  <c r="D5" i="10" s="1"/>
  <c r="E17" i="11"/>
  <c r="D3" i="10" s="1"/>
  <c r="E27" i="11"/>
  <c r="D4" i="10" s="1"/>
  <c r="E47" i="11"/>
  <c r="D6" i="10" s="1"/>
  <c r="E8" i="11"/>
  <c r="D2" i="1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D9B0B4-4D97-45AD-9987-311FC05C933D}" keepAlive="1" name="Query - interview_responses" description="Connection to the 'interview_responses' query in the workbook." type="5" refreshedVersion="8" background="1" saveData="1">
    <dbPr connection="Provider=Microsoft.Mashup.OleDb.1;Data Source=$Workbook$;Location=interview_responses;Extended Properties=&quot;&quot;" command="SELECT * FROM [interview_responses]"/>
  </connection>
  <connection id="2" xr16:uid="{D0345BBE-78E8-4375-9EB2-3905412D32D4}" keepAlive="1" name="Query - step2_raw_simulation" description="Connection to the 'step2_raw_simulation' query in the workbook." type="5" refreshedVersion="8" background="1" saveData="1">
    <dbPr connection="Provider=Microsoft.Mashup.OleDb.1;Data Source=$Workbook$;Location=step2_raw_simulation;Extended Properties=&quot;&quot;" command="SELECT * FROM [step2_raw_simulation]"/>
  </connection>
  <connection id="3" xr16:uid="{59800C96-21D8-47A3-B294-5457B01DAA7D}" keepAlive="1" name="Query - step2_raw_simulation (2)" description="Connection to the 'step2_raw_simulation (2)' query in the workbook." type="5" refreshedVersion="0" background="1" saveData="1">
    <dbPr connection="Provider=Microsoft.Mashup.OleDb.1;Data Source=$Workbook$;Location=&quot;step2_raw_simulation (2)&quot;;Extended Properties=&quot;&quot;" command="SELECT * FROM [step2_raw_simulation (2)]"/>
  </connection>
  <connection id="4" xr16:uid="{CD2CBEC7-DD68-4DE4-9807-64F4D1652185}" keepAlive="1" name="Query - step3_survey_simulation_results" description="Connection to the 'step3_survey_simulation_results' query in the workbook." type="5" refreshedVersion="8" background="1" saveData="1">
    <dbPr connection="Provider=Microsoft.Mashup.OleDb.1;Data Source=$Workbook$;Location=step3_survey_simulation_results;Extended Properties=&quot;&quot;" command="SELECT * FROM [step3_survey_simulation_results]"/>
  </connection>
  <connection id="5" xr16:uid="{68518907-6C44-4E2F-B44A-369417B2F34F}" keepAlive="1" name="Query - step3_validation" description="Connection to the 'step3_validation' query in the workbook." type="5" refreshedVersion="8" background="1" saveData="1">
    <dbPr connection="Provider=Microsoft.Mashup.OleDb.1;Data Source=$Workbook$;Location=step3_validation;Extended Properties=&quot;&quot;" command="SELECT * FROM [step3_validation]"/>
  </connection>
  <connection id="6" xr16:uid="{087CA380-0F42-4DAE-9364-8A6A73D4D6A8}" keepAlive="1" name="Query - step3_validation (2)" description="Connection to the 'step3_validation (2)' query in the workbook." type="5" refreshedVersion="8" background="1" saveData="1">
    <dbPr connection="Provider=Microsoft.Mashup.OleDb.1;Data Source=$Workbook$;Location=&quot;step3_validation (2)&quot;;Extended Properties=&quot;&quot;" command="SELECT * FROM [step3_validation (2)]"/>
  </connection>
  <connection id="7" xr16:uid="{76288996-789D-46B7-B1F3-F67C7AA1DC2E}" keepAlive="1" name="Query - step3_validation (3)" description="Connection to the 'step3_validation (3)' query in the workbook." type="5" refreshedVersion="0" background="1" saveData="1">
    <dbPr connection="Provider=Microsoft.Mashup.OleDb.1;Data Source=$Workbook$;Location=&quot;step3_validation (3)&quot;;Extended Properties=&quot;&quot;" command="SELECT * FROM [step3_validation (3)]"/>
  </connection>
  <connection id="8" xr16:uid="{F7EC4F26-98E3-4CD2-958A-1E8005FC2274}" keepAlive="1" name="Query - step3_validation (4)" description="Connection to the 'step3_validation (4)' query in the workbook." type="5" refreshedVersion="8" background="1" saveData="1">
    <dbPr connection="Provider=Microsoft.Mashup.OleDb.1;Data Source=$Workbook$;Location=&quot;step3_validation (4)&quot;;Extended Properties=&quot;&quot;" command="SELECT * FROM [step3_validation (4)]"/>
  </connection>
  <connection id="9" xr16:uid="{14EA6238-7AB9-4BDA-8602-510C19C4330E}" keepAlive="1" name="Query - step3_validation (5)" description="Connection to the 'step3_validation (5)' query in the workbook." type="5" refreshedVersion="0" background="1" saveData="1">
    <dbPr connection="Provider=Microsoft.Mashup.OleDb.1;Data Source=$Workbook$;Location=&quot;step3_validation (5)&quot;;Extended Properties=&quot;&quot;" command="SELECT * FROM [step3_validation (5)]"/>
  </connection>
  <connection id="10" xr16:uid="{69974143-1415-4598-B7BE-D9C39939331A}" keepAlive="1" name="Query - step3_validation (6)" description="Connection to the 'step3_validation (6)' query in the workbook." type="5" refreshedVersion="0" background="1" saveData="1">
    <dbPr connection="Provider=Microsoft.Mashup.OleDb.1;Data Source=$Workbook$;Location=&quot;step3_validation (6)&quot;;Extended Properties=&quot;&quot;" command="SELECT * FROM [step3_validation (6)]"/>
  </connection>
  <connection id="11" xr16:uid="{42764D90-ECE8-41B8-992D-D15F127A969A}" keepAlive="1" name="Query - step3_validation (7)" description="Connection to the 'step3_validation (7)' query in the workbook." type="5" refreshedVersion="0" background="1" saveData="1">
    <dbPr connection="Provider=Microsoft.Mashup.OleDb.1;Data Source=$Workbook$;Location=&quot;step3_validation (7)&quot;;Extended Properties=&quot;&quot;" command="SELECT * FROM [step3_validation (7)]"/>
  </connection>
  <connection id="12" xr16:uid="{DAEC1F68-1E9D-4222-B067-E0F3B46134B0}" keepAlive="1" name="Query - step3_validation (8)" description="Connection to the 'step3_validation (8)' query in the workbook." type="5" refreshedVersion="8" background="1" saveData="1">
    <dbPr connection="Provider=Microsoft.Mashup.OleDb.1;Data Source=$Workbook$;Location=&quot;step3_validation (8)&quot;;Extended Properties=&quot;&quot;" command="SELECT * FROM [step3_validation (8)]"/>
  </connection>
  <connection id="13" xr16:uid="{6685ACF7-F04E-416F-8E46-2E6BDD1021D8}" keepAlive="1" name="Query - step3_validation (9)" description="Connection to the 'step3_validation (9)' query in the workbook." type="5" refreshedVersion="0" background="1" saveData="1">
    <dbPr connection="Provider=Microsoft.Mashup.OleDb.1;Data Source=$Workbook$;Location=&quot;step3_validation (9)&quot;;Extended Properties=&quot;&quot;" command="SELECT * FROM [step3_validation (9)]"/>
  </connection>
  <connection id="14" xr16:uid="{F572EC63-C73E-4F9E-BAC2-A805F8AF7CF6}" keepAlive="1" name="Query - survey_responses" description="Connection to the 'survey_responses' query in the workbook." type="5" refreshedVersion="8" background="1" saveData="1">
    <dbPr connection="Provider=Microsoft.Mashup.OleDb.1;Data Source=$Workbook$;Location=survey_responses;Extended Properties=&quot;&quot;" command="SELECT * FROM [survey_responses]"/>
  </connection>
  <connection id="15" xr16:uid="{6ACD503F-7304-41B4-8BFB-2AC6A26B719C}" keepAlive="1" name="Query - survey_responses (2)" description="Connection to the 'survey_responses (2)' query in the workbook." type="5" refreshedVersion="0" background="1" saveData="1">
    <dbPr connection="Provider=Microsoft.Mashup.OleDb.1;Data Source=$Workbook$;Location=&quot;survey_responses (2)&quot;;Extended Properties=&quot;&quot;" command="SELECT * FROM [survey_responses (2)]"/>
  </connection>
</connections>
</file>

<file path=xl/sharedStrings.xml><?xml version="1.0" encoding="utf-8"?>
<sst xmlns="http://schemas.openxmlformats.org/spreadsheetml/2006/main" count="9222" uniqueCount="3836">
  <si>
    <t>HUMAN</t>
  </si>
  <si>
    <t>Oppose</t>
  </si>
  <si>
    <t>Neutral</t>
  </si>
  <si>
    <t>Support</t>
  </si>
  <si>
    <t>Metric</t>
  </si>
  <si>
    <t>MAE (Intensity)</t>
  </si>
  <si>
    <t>Agreement Rate (%)</t>
  </si>
  <si>
    <t>Human_Oppose (%)</t>
  </si>
  <si>
    <t>Human_Neutral (%)</t>
  </si>
  <si>
    <t>Human_Support (%)</t>
  </si>
  <si>
    <t>AI_Oppose (%)</t>
  </si>
  <si>
    <t>AI_Neutral (%)</t>
  </si>
  <si>
    <t>AI_Support (%)</t>
  </si>
  <si>
    <t>ENF1</t>
  </si>
  <si>
    <t>ENF2</t>
  </si>
  <si>
    <t>FAC1</t>
  </si>
  <si>
    <t>FAC2</t>
  </si>
  <si>
    <t>TRU1</t>
  </si>
  <si>
    <t>TRU2</t>
  </si>
  <si>
    <t>TRU3</t>
  </si>
  <si>
    <t>TRU4</t>
  </si>
  <si>
    <t>OUT1</t>
  </si>
  <si>
    <t>Confusion Matrix_ENF1</t>
  </si>
  <si>
    <t>Human</t>
  </si>
  <si>
    <t>AI</t>
  </si>
  <si>
    <t>Agreement rate (%)</t>
  </si>
  <si>
    <t>Confusion Matrix_ENF2</t>
  </si>
  <si>
    <t>Confusion Matrix_FAC1</t>
  </si>
  <si>
    <t>Confusion Matrix_FAC2</t>
  </si>
  <si>
    <t>Confusion Matrix_TRU1</t>
  </si>
  <si>
    <t>Confusion Matrix_TRU2</t>
  </si>
  <si>
    <t>Confusion Matrix_TRU3</t>
  </si>
  <si>
    <t>Confusion Matrix_TRU4</t>
  </si>
  <si>
    <t>Confusion Matrix_OUT1</t>
  </si>
  <si>
    <t>Total</t>
  </si>
  <si>
    <t>MCC</t>
  </si>
  <si>
    <t>c</t>
  </si>
  <si>
    <t>Persona_ID</t>
  </si>
  <si>
    <t>Gender</t>
  </si>
  <si>
    <t>Age</t>
  </si>
  <si>
    <t>Region</t>
  </si>
  <si>
    <t>Education</t>
  </si>
  <si>
    <t>Employment</t>
  </si>
  <si>
    <t>Income_Mil</t>
  </si>
  <si>
    <t>Dependents</t>
  </si>
  <si>
    <t>AI_ENF1_Score</t>
  </si>
  <si>
    <t>Human_ENF1</t>
  </si>
  <si>
    <t>AI_ENF1_Reason</t>
  </si>
  <si>
    <t>AI_ENF2_Score</t>
  </si>
  <si>
    <t>Human_ENF2</t>
  </si>
  <si>
    <t>AI_ENF2_Reason</t>
  </si>
  <si>
    <t>AI_FAC1_Score</t>
  </si>
  <si>
    <t>Human_FAC1</t>
  </si>
  <si>
    <t>AI_FAC1_Reason</t>
  </si>
  <si>
    <t>AI_FAC2_Score</t>
  </si>
  <si>
    <t>Human_FAC2</t>
  </si>
  <si>
    <t>AI_FAC2_Reason</t>
  </si>
  <si>
    <t>AI_TRU1_Score</t>
  </si>
  <si>
    <t>Human_TRU1</t>
  </si>
  <si>
    <t>AI_TRU1_Reason</t>
  </si>
  <si>
    <t>AI_TRU2_Score</t>
  </si>
  <si>
    <t>Human_TRU2</t>
  </si>
  <si>
    <t>AI_TRU2_Reason</t>
  </si>
  <si>
    <t>AI_TRU3_Score</t>
  </si>
  <si>
    <t>Human_TRU3</t>
  </si>
  <si>
    <t>AI_TRU3_Reason</t>
  </si>
  <si>
    <t>AI_TRU4_Score</t>
  </si>
  <si>
    <t>Human_TRU4</t>
  </si>
  <si>
    <t>AI_TRU4_Reason</t>
  </si>
  <si>
    <t>AI_OUT1_Score</t>
  </si>
  <si>
    <t>Human_OUT1</t>
  </si>
  <si>
    <t>AI_OUT1_Reason</t>
  </si>
  <si>
    <t>Nữ</t>
  </si>
  <si>
    <t>30 - 39</t>
  </si>
  <si>
    <t>Thành thị</t>
  </si>
  <si>
    <t>Sau Đại học</t>
  </si>
  <si>
    <t>Chính thức</t>
  </si>
  <si>
    <t>Đại học</t>
  </si>
  <si>
    <t>Nam</t>
  </si>
  <si>
    <t>40 - 49</t>
  </si>
  <si>
    <t>Nông thôn</t>
  </si>
  <si>
    <t>25 - 29</t>
  </si>
  <si>
    <t>Tôi tin rằng số tiền thuế đóng sẽ được sử dụng hiệu quả để cải thiện dịch vụ công</t>
  </si>
  <si>
    <t>Timestamp</t>
  </si>
  <si>
    <t>Giới tính của bạn:</t>
  </si>
  <si>
    <t>Độ tuổi của bạn:</t>
  </si>
  <si>
    <t>Khu vực bạn đang sinh sống:</t>
  </si>
  <si>
    <t>Trình độ học vấn cao nhất:</t>
  </si>
  <si>
    <t>Tình trạng việc làm chính:</t>
  </si>
  <si>
    <t>Thu nhập bình quân tháng theo Hợp đồng lao động của bạn là bao nhiêu? (Vui lòng điền tổng thu nhập trước khi khấu trừ các loại Bảo hiểm (BHXH, BHYT, BHTN) và Thuế TNCN)</t>
  </si>
  <si>
    <t>Số người phụ thuộc (con nhỏ, cha mẹ già...) đủ điều kiện giảm trừ gia cảnh:</t>
  </si>
  <si>
    <t>Tôi tin rằng với các quy định quản lý thuế hiện nay, hành vi gian lận hoặc trốn thuế sẽ dễ dàng bị phát hiện và xử lý nghiêm. - HUMAN-ENF1</t>
  </si>
  <si>
    <t>Tôi tin rằng Nhà nước, cơ quan thuế có đủ khả năng và công nghệ để phát hiện, xử lý nghiêm các hành vi trốn thuế. - HUMAN-ENF2</t>
  </si>
  <si>
    <t>Các thủ tục khai báo thuế VÀ/HOẶC quy trình làm việc với cơ quan thuế đơn giản, tiện lợi, nhanh chóng hơn so với trước đây. - HUMAN-FAC1</t>
  </si>
  <si>
    <t>So với trước đây, tôi thấy cách tính thuế và các bậc thuế trong phương án mới đơn giản, dễ hiểu và dễ thực hiện hơn. - HUMAN-FAC2</t>
  </si>
  <si>
    <t>Tôi tin rằng Nhà nước, cơ quan thuế sẽ thực thi chính sách mới một cách khách quan, công tâm và đối xử bình đẳng với mọi người nộp thuế.  - HUMAN-TRU1</t>
  </si>
  <si>
    <t>Tôi thấy mức thuế tôi phải đóng theo phương án mới là công bằng (người thu nhập như tôi đóng mức này là hợp lý). - HUMAN-TRU2</t>
  </si>
  <si>
    <t>Tôi tin tưởng số tiền thuế tôi đóng sẽ được Nhà nước sử dụng hiệu quả để cải thiện dịch vụ công (y tế, đường xá...). - HUMAN-TRU3</t>
  </si>
  <si>
    <t>Tôi thấy Nhà nước đã giải thích rõ ràng, minh bạch về lý do và mục tiêu của việc sửa đổi thuế lần này. - HUMAN-TRU4</t>
  </si>
  <si>
    <t>Sau khi xem xét các quyền lợi và nghĩa vụ, bạn có ủng hộ và tuân thủ chính sách mới hiện nay? - HUMAN-OUT1</t>
  </si>
  <si>
    <t>Khu vực chính thức (Có Hợp đồng lao động, đóng BHXH)</t>
  </si>
  <si>
    <t>Từ 23 - 32 triệu VNĐ</t>
  </si>
  <si>
    <t>1 người</t>
  </si>
  <si>
    <t>Khu vực phi chính thức (Lao động tự do, không có HĐLĐ)</t>
  </si>
  <si>
    <t>Từ 12 - 18 triệu VNĐ</t>
  </si>
  <si>
    <t>2 người</t>
  </si>
  <si>
    <t>3 người</t>
  </si>
  <si>
    <t>Từ 70 - 102 triệu VNĐ</t>
  </si>
  <si>
    <t>Trên 102 triệu VNĐ</t>
  </si>
  <si>
    <t>Từ 32 - 48 triệu VNĐ</t>
  </si>
  <si>
    <t>0 người</t>
  </si>
  <si>
    <t>Từ 48 - 70 triệu VNĐ</t>
  </si>
  <si>
    <t>AI_Gender</t>
  </si>
  <si>
    <t>Human_Gender</t>
  </si>
  <si>
    <t>AI_Age</t>
  </si>
  <si>
    <t>Human_Age</t>
  </si>
  <si>
    <t>AI_Region</t>
  </si>
  <si>
    <t>Human_Region</t>
  </si>
  <si>
    <t>AI_Education</t>
  </si>
  <si>
    <t>Human_Education</t>
  </si>
  <si>
    <t>AI_Employment</t>
  </si>
  <si>
    <t>Human_Employment</t>
  </si>
  <si>
    <t>AI_Income_Mil</t>
  </si>
  <si>
    <t>Human_Income_Mil</t>
  </si>
  <si>
    <t>AI_Dependents</t>
  </si>
  <si>
    <t>Human_Dependents</t>
  </si>
  <si>
    <t>Human_ENF1_Score</t>
  </si>
  <si>
    <t>AI_ENF1_Category</t>
  </si>
  <si>
    <t>Human_ENF1_Category</t>
  </si>
  <si>
    <t>MAE_ENF1</t>
  </si>
  <si>
    <t>AI_ENF2_Category</t>
  </si>
  <si>
    <t>Human_ENF2_Score</t>
  </si>
  <si>
    <t>Human_ENF2_Category</t>
  </si>
  <si>
    <t>MAE_ENF2</t>
  </si>
  <si>
    <t>AI_FAC1_Category</t>
  </si>
  <si>
    <t>Human_FAC1_Score</t>
  </si>
  <si>
    <t>Human_FAC1_Category</t>
  </si>
  <si>
    <t>MAE_FAC1</t>
  </si>
  <si>
    <t>AI_FAC2_Category</t>
  </si>
  <si>
    <t>Human_FAC2_Score</t>
  </si>
  <si>
    <t>Human_FAC2_Category</t>
  </si>
  <si>
    <t>MAE_FAC2</t>
  </si>
  <si>
    <t>AI_TRU1_Category</t>
  </si>
  <si>
    <t>Human_TRU1_Score</t>
  </si>
  <si>
    <t>Human_TRU1_Category</t>
  </si>
  <si>
    <t>MAE_TRU1</t>
  </si>
  <si>
    <t>AI_TRU2_Category</t>
  </si>
  <si>
    <t>Human_TRU2_Score</t>
  </si>
  <si>
    <t>Human_TRU2_Category</t>
  </si>
  <si>
    <t>MAE_TRU2</t>
  </si>
  <si>
    <t>AI_TRU3_Category</t>
  </si>
  <si>
    <t>Human_TRU3_Score</t>
  </si>
  <si>
    <t>Human_TRU3_Category</t>
  </si>
  <si>
    <t>MAE_TRU3</t>
  </si>
  <si>
    <t>AI_TRU4_Category</t>
  </si>
  <si>
    <t>Human_TRU4_Score</t>
  </si>
  <si>
    <t>Human_TRU4_Category</t>
  </si>
  <si>
    <t>MAE_TRU4</t>
  </si>
  <si>
    <t>AI_OUT1_Category</t>
  </si>
  <si>
    <t>Human_OUT1_Score</t>
  </si>
  <si>
    <t>Human_OUT1_Category</t>
  </si>
  <si>
    <t>MAE_OUT1</t>
  </si>
  <si>
    <t>Phi chính thức</t>
  </si>
  <si>
    <t>tk</t>
  </si>
  <si>
    <t>pk</t>
  </si>
  <si>
    <t>tk x pk</t>
  </si>
  <si>
    <t>Male</t>
  </si>
  <si>
    <t>Female</t>
  </si>
  <si>
    <t>Number of participants</t>
  </si>
  <si>
    <t>Rate (%)</t>
  </si>
  <si>
    <t>Age_Group</t>
  </si>
  <si>
    <t>AI_ENF1</t>
  </si>
  <si>
    <t>d_ENF1</t>
  </si>
  <si>
    <t>AI_ENF2</t>
  </si>
  <si>
    <t>d_ENF2</t>
  </si>
  <si>
    <t>AI_FAC1</t>
  </si>
  <si>
    <t>d_FAC1</t>
  </si>
  <si>
    <t>AI_FAC2</t>
  </si>
  <si>
    <t>d_FAC2</t>
  </si>
  <si>
    <t>AI_TRU1</t>
  </si>
  <si>
    <t>d_TRU1</t>
  </si>
  <si>
    <t>AI_TRU2</t>
  </si>
  <si>
    <t>d_TRU2</t>
  </si>
  <si>
    <t>AI_TRU3</t>
  </si>
  <si>
    <t>d_TRU3</t>
  </si>
  <si>
    <t>AI_TRU4</t>
  </si>
  <si>
    <t>d_TRU4</t>
  </si>
  <si>
    <t>AI_OUT1</t>
  </si>
  <si>
    <t>d_OUT1</t>
  </si>
  <si>
    <t>18 - 24</t>
  </si>
  <si>
    <t>Cao đẳng</t>
  </si>
  <si>
    <t>50 - 54</t>
  </si>
  <si>
    <t>Trung học phổ thông</t>
  </si>
  <si>
    <t>55 - 64</t>
  </si>
  <si>
    <t>Dưới 12 triệu VNĐ</t>
  </si>
  <si>
    <t>4 người trở lên</t>
  </si>
  <si>
    <t>Từ 18 - 23 triệu VNĐ</t>
  </si>
  <si>
    <t>Khác (Về hưu, nội trợ, sinh viên)</t>
  </si>
  <si>
    <t>Used_Seed</t>
  </si>
  <si>
    <t>Tôi tin rằng Nhà nước sẽ thực thi chính sách một cách công bằng đối với mọi người nộp thuế.</t>
  </si>
  <si>
    <t>Nhà nước đã giải thích rõ ràng về mục tiêu và lý do của việc sửa đổi thuế, tạo niềm tin cho người dân.</t>
  </si>
  <si>
    <t/>
  </si>
  <si>
    <t>EMD</t>
  </si>
  <si>
    <t>TVD</t>
  </si>
  <si>
    <t>EMD_ENF1</t>
  </si>
  <si>
    <t>EMD_ENF2</t>
  </si>
  <si>
    <t>EMD_FAC1</t>
  </si>
  <si>
    <t>EMD_FAC2</t>
  </si>
  <si>
    <t>EMD_TRU1</t>
  </si>
  <si>
    <t>EMD_TRU2</t>
  </si>
  <si>
    <t>EMD_TRU3</t>
  </si>
  <si>
    <t>EMD_TRU4</t>
  </si>
  <si>
    <t>EMD_OUT1</t>
  </si>
  <si>
    <t>Count of Độ tuổi của bạn:</t>
  </si>
  <si>
    <t>Count of Khu vực bạn đang sinh sống:</t>
  </si>
  <si>
    <t>Count of Trình độ học vấn cao nhất:</t>
  </si>
  <si>
    <t>Count of Tình trạng việc làm chính:</t>
  </si>
  <si>
    <t>Count of Thu nhập bình quân tháng theo Hợp đồng lao động của bạn là bao nhiêu? (Vui lòng điền tổng thu nhập trước khi khấu trừ các loại Bảo hiểm (BHXH, BHYT, BHTN) và Thuế TNCN)</t>
  </si>
  <si>
    <t>Income</t>
  </si>
  <si>
    <t>Count of Số người phụ thuộc (con nhỏ, cha mẹ già...) đủ điều kiện giảm trừ gia cảnh:</t>
  </si>
  <si>
    <t>Nhà nước đã giải thích rõ ràng về mục tiêu và lý do của việc sửa đổi chính sách thuế.</t>
  </si>
  <si>
    <t>Biểu thuế mới có ít bậc hơn, dễ hiểu và thực hiện nhanh chóng hơn so với trước đây.</t>
  </si>
  <si>
    <t>Việc tăng mức giảm trừ gia cảnh và đơn giản hóa biểu thuế có thể làm giảm khả năng phát hiện hành vi gian lận hoặc trốn thuế.</t>
  </si>
  <si>
    <t>Quy định quản lý thuế hiện tại không rõ ràng, vẫn có nhiều cơ hội để gian lận hoặc trốn thuế.</t>
  </si>
  <si>
    <t>Cơ quan thuế chưa đủ công nghệ và nguồn lực để phát hiện toàn diện các hành vi trốn thuế.</t>
  </si>
  <si>
    <t>Hiện nay, với sự phát triển của công nghệ và hệ thống quản lý thuế hiện đại, tôi tin rằng hành vi gian lận hoặc trốn thuế sẽ dễ dàng bị phát hiện. Tuy nhiên, do vẫn chưa có nhiều thông tin cụ thể về khả năng thực thi, nên điểm số không quá cao.</t>
  </si>
  <si>
    <t>Dựa trên các quy định quản lý thuế hiện tại, tôi nghĩ rằng hành vi gian lận hoặc trốn thuế sẽ dễ dàng bị phát hiện và xử lý nghiêm. Với công nghệ ngày càng tiên tiến của cơ quan thuế, khả năng giám sát và kiểm soát đang tăng lên đáng kể.</t>
  </si>
  <si>
    <t>Nếu cơ quan thuế có công nghệ hiện đại, việc phát hiện hành vi trốn thuế sẽ trở nên dễ dàng hơn. Tuy nhiên, tôi vẫn nghi ngờ về khả năng thực thi của họ.</t>
  </si>
  <si>
    <t>Hiện nay, cơ quan thuế đã có nhiều biện pháp quản lý mạnh mẽ và công nghệ tiên tiến để phát hiện hành vi gian lận. Với mức giảm trừ gia cảnh tăng lên, việc trốn thuế sẽ khó khăn hơn.</t>
  </si>
  <si>
    <t>Có các biện pháp quản lý thuế hiện đại, nhưng vẫn lo ngại về khả năng phát hiện trốn thuế.</t>
  </si>
  <si>
    <t>Việc tăng cường công nghệ và quản lý thuế có thể phát hiện hành vi gian lận, nhưng thực tế việc xử lý nghiêm vẫn cần thời gian.</t>
  </si>
  <si>
    <t>AI_ENF1_Norm</t>
  </si>
  <si>
    <t>Human_ENF1_Norm</t>
  </si>
  <si>
    <t>AI_ENF2_Norm</t>
  </si>
  <si>
    <t>Human_ENF2_Norm</t>
  </si>
  <si>
    <t>AI_FAC1_Norm</t>
  </si>
  <si>
    <t>Human_FAC1_Norm</t>
  </si>
  <si>
    <t>AI_FAC2_Norm</t>
  </si>
  <si>
    <t>Human_FAC2_Norm</t>
  </si>
  <si>
    <t>AI_TRU1_Norm</t>
  </si>
  <si>
    <t>Human_TRU1_Norm</t>
  </si>
  <si>
    <t>AI_TRU2_Norm</t>
  </si>
  <si>
    <t>Human_TRU2_Norm</t>
  </si>
  <si>
    <t>AI_TRU3_Norm</t>
  </si>
  <si>
    <t>Human_TRU3_Norm</t>
  </si>
  <si>
    <t>AI_TRU4_Norm</t>
  </si>
  <si>
    <t>AI_OUT1_Norm</t>
  </si>
  <si>
    <t>Human_OUT1_Norm</t>
  </si>
  <si>
    <t>AI_ENF</t>
  </si>
  <si>
    <t>Human_ENF</t>
  </si>
  <si>
    <t>AI_FAC</t>
  </si>
  <si>
    <t>Human_FAC</t>
  </si>
  <si>
    <t>AI_TRU</t>
  </si>
  <si>
    <t>Human_TRU</t>
  </si>
  <si>
    <t>AI_AIx</t>
  </si>
  <si>
    <t>Human_AIx</t>
  </si>
  <si>
    <t>Nhà nước đã thực hiện nhiều biện pháp quản lý thuế, nhưng vẫn có nguy cơ gian lận hoặc trốn thuế. Tuy nhiên, với sự phát triển của công nghệ, khả năng phát hiện vi phạm ngày càng cao.</t>
  </si>
  <si>
    <t>Cơ quan thuế đã đầu tư vào hệ thống công nghệ thông tin để tăng cường quản lý và giám sát. Điều này giúp nâng cao hiệu quả xử lý các hành vi trốn tránh thuế.</t>
  </si>
  <si>
    <t>Tôi tin rằng số tiền thuế đóng sẽ được sử dụng hiệu quả cho các dịch vụ công.</t>
  </si>
  <si>
    <t>Nhà nước đã giải thích rõ ràng về mục tiêu và lý do của việc sửa đổi luật thuế lần này.</t>
  </si>
  <si>
    <t>Tôi tin rằng số tiền thuế đóng sẽ được sử dụng hiệu quả để cải thiện các dịch vụ công.</t>
  </si>
  <si>
    <t>Nhà nước đã giải thích rõ ràng về mục tiêu của việc sửa đổi thuế lần này, tuy nhiên, tôi vẫn mong muốn có thêm thông tin chi tiết hơn.</t>
  </si>
  <si>
    <t>Nhà nước đã giải thích rõ ràng về mục tiêu và lý do của việc sửa đổi thuế lần này.</t>
  </si>
  <si>
    <t>So với trước đây, quy trình khai báo thuế trở nên đơn giản hơn do giảm số bậc thuế và mức giảm trừ gia cảnh.</t>
  </si>
  <si>
    <t>Nhà nước đã giải thích rõ ràng về mục tiêu và lý do của việc sửa đổi chính sách thuế này.</t>
  </si>
  <si>
    <t>Nhà nước đã giải thích rõ ràng về mục tiêu của việc sửa đổi chính sách thuế lần này.</t>
  </si>
  <si>
    <t>Dựa trên các quy định quản lý thuế hiện tại, tôi tin rằng hành vi gian lận hoặc trốn thuế sẽ được phát hiện và xử lý nghiêm. Với sự hỗ trợ của công nghệ, khả năng giám sát và xử lý của cơ quan thuế càng cao.</t>
  </si>
  <si>
    <t>Nhà nước đã đầu tư vào công nghệ để cải thiện quản lý thuế, do đó tôi tin rằng họ có đủ khả năng phát hiện và xử lý nghiêm các hành vi trốn thuế.</t>
  </si>
  <si>
    <t>So với trước đây, quy trình khai báo thuế đã đơn giản hơn. Các bước thực hiện nhanh chóng và tiện lợi hơn, nhờ đó tôi cảm thấy thuận tiện khi làm việc với cơ quan thuế.</t>
  </si>
  <si>
    <t>Biểu thuế mới có ít bậc hơn và dễ hiểu hơn so với trước đây. Điều này làm cho quá trình tính toán thuế trở nên đơn giản, dễ thực hiện</t>
  </si>
  <si>
    <t>Tôi tin rằng Nhà nước sẽ thực thi chính sách một cách khách quan và công bằng, đảm bảo mọi người đều được đối xử bình đẳng.</t>
  </si>
  <si>
    <t>Thuế mới giảm đáng kể so với trước đây, do đó tôi thấy mức thuế hiện tại là hợp lý. Đây cũng là một sự công bằng cho thu nhập của tôi.</t>
  </si>
  <si>
    <t>Dựa trên các quy định quản lý thuế hiện nay, tôi cho rằng hành vi gian lận hoặc trốn thuế sẽ dễ dàng bị phát hiện và xử lý nghiêm. Đây là một yếu tố quan trọng để tạo niềm tin trong xã hội về sự công bằng trong hệ thống thuế.</t>
  </si>
  <si>
    <t>Nhà nước đã giải thích rõ ràng về mục đích và lý do của việc sửa đổi chính sách thuế lần này.</t>
  </si>
  <si>
    <t>Dựa trên thông tin, tôi không hoàn toàn tin rằng hành vi gian lận hoặc trốn thuế sẽ dễ dàng bị phát hiện và xử lý nghiêm. Việc tăng giảm trừ gia cảnh và đơn giản hóa biểu thuế có thể làm giảm khả năng phát hiện sai phạm.</t>
  </si>
  <si>
    <t>Tôi tin rằng Nhà nước sẽ công bằng trong việc thực thi chính sách mới.</t>
  </si>
  <si>
    <t>Nhà nước đã giải thích rõ ràng về mục tiêu của việc sửa đổi thuế, tạo niềm tin cho người dân.</t>
  </si>
  <si>
    <t>Nhà nước và cơ quan thuế đã đầu tư nhiều vào hệ thống công nghệ thông tin nhằm cải thiện hiệu quả quản lý. Điều này cho thấy họ có đủ khả năng để thực hiện các biện pháp xử lý nghiêm về trốn thuế.</t>
  </si>
  <si>
    <t>So với trước đây, quy trình khai báo thuế và làm việc với cơ quan thuế trở nên đơn giản hơn nhiều. Hệ thống điện tử hóa giúp giảm bớt các bước thủ công, nâng cao hiệu quả.</t>
  </si>
  <si>
    <t>Biểu thuế mới đơn giản hơn với số bậc ít hơn, dễ hiểu và thực hiện dễ dàng hơn so với trước đây. Điều này làm giảm gian lận và tăng tính minh bạch.</t>
  </si>
  <si>
    <t>Nhà nước đã công bố rõ ràng về chính sách mới, đảm bảo việc thực thi khách quan, công tâm và bình đẳng với mọi người nộp thuế. Điều này làm tăng niềm tin của tôi vào hệ thống.</t>
  </si>
  <si>
    <t>Thủ tục khai báo và làm việc với cơ quan thuế trở nên đơn giản hơn, thuận tiện cho người dân.</t>
  </si>
  <si>
    <t>Biểu thuế mới đơn giản hóa các bậc thuế, dễ hiểu và thực hiện hơn so với trước đây.</t>
  </si>
  <si>
    <t>Nhà nước đã giải thích rõ ràng về mục tiêu và lý do của việc sửa đổi chính sách thuế, tạo niềm tin cho người dân.</t>
  </si>
  <si>
    <t>Nhà nước đã giải thích rõ ràng về mục tiêu của chính sách mới, tạo niềm tin cho người dân.</t>
  </si>
  <si>
    <t>Nhà nước đã giải thích rõ ràng về lý do và mục tiêu của việc sửa đổi chính sách thuế lần này.</t>
  </si>
  <si>
    <t>Hệ thống thuế hiện tại có nhiều biện pháp kiểm soát, nhưng với việc giảm trừ gia cảnh tăng lên và số bậc thuế đơn giản hơn, khả năng phát hiện trốn thuế có thể bị hạn chế.</t>
  </si>
  <si>
    <t>Nhà nước đã đầu tư vào công nghệ, nhưng vẫn còn phụ thuộc vào việc tuân thủ của người dân. Việc giảm trừ gia cảnh tăng lên cũng làm giảm khả năng phát hiện trốn thuế hiệu quả.</t>
  </si>
  <si>
    <t>Các quy trình khai báo thuế đơn giản hơn và thuận tiện qua ứng dụng điện tử, nhưng vẫn còn một số bước cần tuân thủ. So với trước đây, điều này là cải thiện đáng kể.</t>
  </si>
  <si>
    <t>Cơ quan thuế có nhiều công cụ để phát hiện gian lận, nhưng vẫn phụ thuộc vào việc tuân thủ của người nộp thuế.</t>
  </si>
  <si>
    <t>Hiện nay, cơ quan thuế đã có nhiều biện pháp quản lý mạnh mẽ, công nghệ tiên tiến để phát hiện hành vi trốn thuế, do đó tôi tin tưởng rằng việc gian lận sẽ khó tồn tại.</t>
  </si>
  <si>
    <t>Nhà nước và cơ quan thuế đã đầu tư vào hệ thống thông tin, công nghệ tiên tiến để phát hiện và xử lý kịp thời các hành vi trốn thuế.</t>
  </si>
  <si>
    <t>Dù cơ quan thuế có công nghệ hiện đại nhưng tôi vẫn nghi ngờ về khả năng phát hiện trốn thuế của họ.</t>
  </si>
  <si>
    <t>Tôi tin rằng số tiền thuế đóng sẽ được sử dụng hiệu quả để cải thiện dịch vụ công và phát triển đất nước.</t>
  </si>
  <si>
    <t>Nhà nước đã giải thích rõ ràng về mục tiêu và lý do của việc sửa đổi thuế lần này trong các thông cáo báo chí.</t>
  </si>
  <si>
    <t>Dựa trên việc thuế đã được đơn giản hóa và giảm trừ gia cảnh tăng, khả năng phát hiện hành vi gian lận có thể cao hơn. Tuy nhiên, không hoàn toàn tin tưởng tuyệt đối.</t>
  </si>
  <si>
    <t>Cơ quan thuế đã áp dụng công nghệ mới để quản lý và xử lý thuế, điều này tăng khả năng phát hiện hành vi trốn thuế hiệu quả hơn.</t>
  </si>
  <si>
    <t>Thủ tục khai báo thuế đơn giản hơn trước, thuận tiện cho người dân. Quy trình làm việc với cơ quan thuế cũng được cải thiện đáng kể.</t>
  </si>
  <si>
    <t>Biểu thuế đã được đơn giản hóa từ 7 bậc thành 5 bậc, dễ dàng hơn để tính toán và hiểu rõ hơn về mức thuế mình phải đóng.</t>
  </si>
  <si>
    <t>Đã giảm trừ gia cảnh tăng lên nên tôi thấy cơ quan thuế đối xử công bằng với mọi người nộp thuế.</t>
  </si>
  <si>
    <t>Thuế mới được tính dựa trên thu nhập, mức đóng của tôi hợp lý và công bằng theo quy định mới.</t>
  </si>
  <si>
    <t>Nhà nước sử dụng số thuế này để cải thiện dịch vụ công như y tế, đường xá... nên tôi tin rằng tiền thuế sẽ được sử dụng hiệu quả.</t>
  </si>
  <si>
    <t>Đã có sự giải thích rõ ràng về mục tiêu và lý do của việc sửa đổi luật thuế lần này từ phía cơ quan chức năng.</t>
  </si>
  <si>
    <t>Dựa trên các quyền lợi và nghĩa vụ mới, tôi ủng hộ chính sách mới và sẽ tuân thủ nó.</t>
  </si>
  <si>
    <t>Dựa trên các quy định quản lý thuế hiện nay, tôi tin rằng hành vi gian lận hoặc trốn thuế sẽ dễ dàng bị phát hiện và xử lý nghiêm. Cơ quan thuế đã có những cải tiến công nghệ và nhân sự để nâng cao hiệu quả quản lý.</t>
  </si>
  <si>
    <t>Nhà nước, cơ quan thuế có đủ khả năng và công nghệ để phát hiện, xử lý nghiêm các hành vi trốn thuế. Tôi thấy họ đã đầu tư vào hệ thống thông tin và nhân lực nhằm nâng cao hiệu quả quản lý.</t>
  </si>
  <si>
    <t>So với trước đây, quy trình khai báo thuế đơn giản hơn. Các thủ tục nay được tối ưu hóa để thuận tiện cho người nộp thuế, giảm bớt rào cản trong việc thực hiện nghĩa vụ nộp thuế.</t>
  </si>
  <si>
    <t>Biểu thuế mới có ít bậc hơn và dễ hiểu hơn. Điều này giúp tôi dễ dàng tính toán và nắm bắt các quy định về thuế, giảm bớt nỗi lo lắng về việc tuân thủ pháp luật.</t>
  </si>
  <si>
    <t>Tôi tin rằng Nhà nước sẽ thực thi chính sách mới một cách khách quan, công tâm và đối xử bình đẳng với mọi người nộp thuế. Các quy định mới đã tăng cường giảm trừ gia cảnh nên tôi cảm thấy công bằng hơn.</t>
  </si>
  <si>
    <t>Theo phương án mới, tôi sẽ đóng mức thuế phù hợp với thu nhập của mình. Mức giảm trừ gia cảnh lớn hơn giúp tôi tiết kiệm tiền, điều này thể hiện tính công bằng trong việc phân chia gánh nặng thuế giữa người nộp thuế.</t>
  </si>
  <si>
    <t>Số tiền thuế tôi đóng sẽ được sử dụng hiệu quả để cải thiện dịch vụ công như y tế và đường xá. Điều này tạo ra sự liên kết giữa việc đóng thuế với những lợi ích thực tế mà tôi nhận được.</t>
  </si>
  <si>
    <t>Nhà nước đã giải thích rõ ràng về lý do và mục tiêu của việc sửa đổi thuế lần này thông qua các báo cáo chính thức. Điều này làm tăng niềm tin vào quyết định quản lý của họ.</t>
  </si>
  <si>
    <t>Tôi ủng hộ và tuân thủ chính sách mới vì nó mang lại lợi ích thực tế cho tôi, giảm bớt rào cản trong việc thực hiện nghĩa vụ nộp thuế. Đồng thời, mức thuế mới được coi là công bằng đối với thu nhập của tôi.</t>
  </si>
  <si>
    <t>Chính phủ có nhiều biện pháp quản lý thuế và công nghệ hiện đại, nhưng vẫn còn nhiều rủi ro về gian lận. Tuy nhiên, với cải cách mới, khả năng phát hiện trốn thuế đã được tăng cường.</t>
  </si>
  <si>
    <t>Nhà nước có đủ nguồn lực và công nghệ để quản lý thuế hiệu quả hơn so với trước đây, giảm thiểu tình trạng trốn thuế.</t>
  </si>
  <si>
    <t>Quy trình khai báo thuế trở nên đơn giản hơn, tuy nhiên vẫn còn một số thủ tục phức tạp cần cải tiến.</t>
  </si>
  <si>
    <t>Các bậc thuế mới đơn giản và dễ hiểu hơn so với trước đây, giúp tôi dễ dàng tính toán chi phí thuế của mình.</t>
  </si>
  <si>
    <t>Tôi tin rằng Nhà nước sẽ thực thi chính sách một cách công bằng, nhưng cần thêm thời gian để đánh giá hiệu quả.</t>
  </si>
  <si>
    <t>Mức thuế mới phù hợp với thu nhập của tôi và giảm bớt gánh nặng về tài chính, nên tôi thấy nó là công bằng.</t>
  </si>
  <si>
    <t>Thuế mà tôi đóng sẽ được sử dụng để cải thiện dịch vụ công, nhưng cần thêm thông tin cụ thể về cách sử dụng khoản thu.</t>
  </si>
  <si>
    <t>Nhà nước đã giải thích rõ ràng về mục tiêu của việc sửa đổi thuế, giúp tôi hiểu và ủng hộ chính sách mới hơn.</t>
  </si>
  <si>
    <t>Sau khi xem xét các quyền lợi và nghĩa vụ, tôi ủng hộ và tuân thủ chính sách mới để hưởng lợi từ cải cách này.</t>
  </si>
  <si>
    <t>Dù các quy định quản lý thuế có thể chưa hoàn hảo, nhưng việc tăng giảm trừ gia cảnh và đơn giản hóa biểu thuế làm cho việc phát hiện hành vi gian lận hoặc trốn thuế trở nên dễ dàng hơn.</t>
  </si>
  <si>
    <t>Nhà nước đã đầu tư công nghệ hiện đại để quản lý hiệu quả, giúp việc phát hiện và xử lý các hành vi vi phạm thuế trở nên nhanh chóng và chính xác hơn.</t>
  </si>
  <si>
    <t>So với trước đây, quy trình khai báo thuế và giao tiếp với cơ quan thuế đã đơn giản hóa đáng kể, giúp người dân dễ dàng thực hiện.</t>
  </si>
  <si>
    <t>Biểu thuế mới có ít bậc hơn, rõ ràng hơn, làm cho việc tính thuế trở nên dễ dàng và thuận tiện hơn đối với công chúng.</t>
  </si>
  <si>
    <t>Tôi tin rằng Nhà nước sẽ thực thi chính sách một cách khách quan và công bằng, đảm bảo mọi người nộp thuế được đối xử như nhau.</t>
  </si>
  <si>
    <t>Với mức giảm trừ gia cảnh tăng lên, tôi cho rằng mức thuế mới là công bằng đối với thu nhập của tôi.</t>
  </si>
  <si>
    <t>Tôi tin tưởng rằng số tiền thuế đóng sẽ được sử dụng hiệu quả để cải thiện chất lượng dịch vụ công và hạ tầng cơ sở.</t>
  </si>
  <si>
    <t>Nhà nước đã giải thích rõ ràng về mục tiêu của việc sửa đổi thuế, làm tăng niềm tin vào sự minh bạch trong quá trình thực thi chính sách.</t>
  </si>
  <si>
    <t>Dựa trên các quyền lợi mới và cải cách thuế thuận lợi hơn cho người dân, tôi ủng hộ và sẽ tuân thủ chính sách mới này.</t>
  </si>
  <si>
    <t>Mặc dù có các biện pháp quản lý thuế hiện tại, tôi vẫn nghi ngờ về khả năng phát hiện hành vi gian lận hoặc trốn thuế. Tuy nhiên, với mức giảm trừ gia cảnh tăng lên, tôi cảm thấy mình không bị ép phải đóng nhiều thuế hơn so với trước đây.</t>
  </si>
  <si>
    <t>Tôi tin rằng cơ quan thuế có thể sử dụng công nghệ để phát hiện gian lận và trốn thuế. Tuy nhiên, việc cải cách này không hoàn toàn giải quyết được vấn đề về gian lận.</t>
  </si>
  <si>
    <t>Quy trình khai báo và làm việc với cơ quan thuế trở nên đơn giản hơn so với trước đây. Việc giảm số bậc thuế từ 7 xuống còn 5 cũng giúp tôi dễ dàng tính toán hơn.</t>
  </si>
  <si>
    <t>Cách tính thuế mới đơn giản và dễ hiểu, có thể tiết kiệm thời gian cho người dân trong việc khai báo thuế. Số bậc thuế giảm từ 7 xuống 5 làm cho quá trình tính thuế trở nên thuận tiện hơn.</t>
  </si>
  <si>
    <t>Tôi tin rằng các quy định mới sẽ được thực thi công bằng và không thiên vị bất kỳ ai. Tuy nhiên, việc tăng mức giảm trừ gia cảnh có thể làm cho một số người cảm thấy mình bị ưu ái hơn.</t>
  </si>
  <si>
    <t>Mức thuế mới phù hợp với thu nhập của tôi và số lượng người phụ thuộc. Tuy nhiên, tôi vẫn lo ngại về việc liệu chính sách này có công bằng đối với tất cả mọi người hay không.</t>
  </si>
  <si>
    <t>Tôi tin rằng thuế đóng góp vào việc cải thiện dịch vụ công và hạ tầng cơ sở. Tuy nhiên, tôi hy vọng rằng số tiền thuế sẽ được sử dụng hiệu quả và minh bạch hơn.</t>
  </si>
  <si>
    <t>Nhà nước đã giải thích rõ về mục tiêu của việc cải cách này, nhưng vẫn có thể cần thêm thông tin chi tiết để người dân hiểu đầy đủ.</t>
  </si>
  <si>
    <t>Sau khi xem xét các quyền lợi và nghĩa vụ, tôi ủng hộ chính sách mới vì nó giúp giảm gánh nặng thuế cho gia đình tôi. Tuy nhiên, tôi vẫn có một số lo ngại về tính công bằng của chính sách này.</t>
  </si>
  <si>
    <t>Hiện nay có nhiều biện pháp quản lý thuế, nhưng vẫn cần nâng cao hơn nữa về công nghệ và quy định để phát hiện gian lận trốn thuế.</t>
  </si>
  <si>
    <t>Nhà nước đã đầu tư vào công nghệ và nhân lực của cơ quan thuế, tuy nhiên hiệu quả vẫn cần thời gian để kiểm chứng.</t>
  </si>
  <si>
    <t>Quy trình khai báo thuế hiện tại đơn giản hơn so với trước đây, nhưng vẫn còn một số rào cản cho người dân không am hiểu về thuế.</t>
  </si>
  <si>
    <t>Cách tính và bậc thuế mới dễ hiểu và thực hiện hơn, giảm bớt sự phức tạp cho người nộp thuế.</t>
  </si>
  <si>
    <t>Nhà nước đã cải cách thuế một cách công bằng, khách quan đối với mọi người dân.</t>
  </si>
  <si>
    <t>Mức thuế mới giảm đáng kể so với trước đây, mang lại cảm giác công bằng cho tôi.</t>
  </si>
  <si>
    <t>Nhà nước đã sử dụng số tiền thuế đóng vào các dịch vụ công hiệu quả, cải thiện cuộc sống của người dân.</t>
  </si>
  <si>
    <t>Chính phủ đã giải thích rõ ràng về mục đích và lý do cải cách, tạo niềm tin cho tôi.</t>
  </si>
  <si>
    <t>Tôi ủng hộ chính sách mới vì nó mang lại nhiều lợi ích thiết thực cho người dân như giảm gánh nặng thuế và đơn giản hóa quy trình nộp thuế.</t>
  </si>
  <si>
    <t>Dù có sự cải cách, tôi vẫn lo ngại về khả năng phát hiện hành vi gian lận thuế của cơ quan thuế. Tuy nhiên, mức giảm trừ gia cảnh cao hơn đã làm giảm rủi ro trốn thuế của tôi.</t>
  </si>
  <si>
    <t>Tôi tin rằng Nhà nước có đủ khả năng công nghệ để phát hiện gian lận, nhưng thực tế, việc cải cách này đã giảm đáng kể nguy cơ trốn thuế đối với người dân bình thường.</t>
  </si>
  <si>
    <t>Quy trình khai báo và làm việc với cơ quan thuế trở nên đơn giản hơn, nhưng tôi vẫn gặp khó khăn trong việc hiểu rõ các quy định mới.</t>
  </si>
  <si>
    <t>Số bậc thuế giảm từ 7 xuống 5 đã làm cho cách tính thuế dễ hiểu và thực hiện hơn nhiều. Điều này giúp tôi có thể tự kiểm soát thu nhập một cách hiệu quả.</t>
  </si>
  <si>
    <t>Tôi tin rằng Nhà nước sẽ công tâm trong việc áp dụng chính sách mới, nhưng vẫn lo ngại về khả năng phát hiện gian lận thuế.</t>
  </si>
  <si>
    <t>Mức thuế mới được giảm đáng kể so với trước đây. Tôi thấy điều này là công bằng cho thu nhập của mình và những người có cùng mức thu nhập.</t>
  </si>
  <si>
    <t>Thuế mà tôi đóng sẽ được sử dụng hiệu quả để cải thiện các dịch vụ công, như y tế và giao thông. Điều này tăng niềm tin vào Nhà nước của tôi.</t>
  </si>
  <si>
    <t>Tôi đồng ý rằng việc giải thích rõ ràng về mục tiêu của cải cách thuế đã giúp tôi hiểu rõ hơn về chính sách mới.</t>
  </si>
  <si>
    <t>Dù có một số lo ngại, nhưng với mức thuế giảm đáng kể và quy trình đơn giản hóa, tôi sẽ ủng hộ và tuân thủ chính sách mới này.</t>
  </si>
  <si>
    <t>Dù có công nghệ hỗ trợ, nhưng tôi vẫn nghi ngờ khả năng phát hiện và xử lý hành vi trốn thuế hiệu quả.</t>
  </si>
  <si>
    <t>Tôi đồng ý với phần nào vì cơ quan thuế có thể sử dụng công nghệ để giám sát các hoạt động kinh tế, nhưng thực tế vẫn còn nhiều thách thức.</t>
  </si>
  <si>
    <t>Thuộc nhóm phi chính thức nên quy trình làm việc với cơ quan thuế không thường xuyên, nhưng tôi thấy đơn giản hơn so với trước đây.</t>
  </si>
  <si>
    <t>Biểu thuế mới rõ ràng và dễ hiểu hơn, giảm bớt sự phức tạp, giúp tính toán nhanh chóng.</t>
  </si>
  <si>
    <t>Tôi tin rằng Nhà nước sẽ thực thi chính sách công bằng đối với mọi người dân, nhưng cần thời gian để chứng minh.</t>
  </si>
  <si>
    <t>Thuế mới giảm đi đáng kể giúp tôi cảm thấy mức thuế này là hợp lý và phù hợp với thu nhập của mình.</t>
  </si>
  <si>
    <t>Tiết kiệm được nhiều tiền thuế, tôi tin số tiền đóng sẽ được sử dụng hiệu quả để cải thiện hạ tầng và dịch vụ công.</t>
  </si>
  <si>
    <t>Nhà nước đã giải thích về thay đổi chính sách một cách chi tiết, nhưng cần thêm thông tin về mục tiêu dài hạn của việc này.</t>
  </si>
  <si>
    <t>Tác động tài chính tích cực và quy trình thuế đơn giản hơn khiến tôi sẵn lòng ủng hộ và tuân thủ chính sách mới.</t>
  </si>
  <si>
    <t>Hiện nay, công nghệ phát triển và quy định quản lý thuế ngày càng chặt chẽ nên tôi tin rằng hành vi gian lận sẽ dễ bị phát hiện. Cơ quan thuế cũng có nhiều nguồn lực để xử lý.</t>
  </si>
  <si>
    <t>Nhà nước đã đầu tư công nghệ và nhân sự cho cơ quan thuế, do đó tôi tin rằng họ đủ khả năng phát hiện và xử lý các hành vi trốn thuế nghiêm túc.</t>
  </si>
  <si>
    <t>So với trước đây, quy trình khai báo thuế đã đơn giản hơn nhiều. Việc sử dụng phần mềm điện tử giúp quá trình làm việc với cơ quan thuế nhanh chóng và tiện lợi hơn.</t>
  </si>
  <si>
    <t>Biểu thuế mới có ít bậc hơn, dễ hiểu và thực hiện đơn giản hơn so với trước đây. Việc giảm trừ gia cảnh tăng lên cũng làm cho việc tính thuế trở nên thuận tiện hơn.</t>
  </si>
  <si>
    <t>Tôi tin rằng cơ quan thuế sẽ thực thi chính sách một cách khách quan và công bằng, đảm bảo mọi người nộp thuế đều được đối xử bình đẳng.</t>
  </si>
  <si>
    <t>Mức thuế mới giảm đáng kể so với trước đây, đặc biệt là mức giảm trừ gia cảnh. Điều này làm cho tôi thấy rằng chính sách mới là công bằng và phù hợp với thu nhập của tôi.</t>
  </si>
  <si>
    <t>Tôi tin tưởng số tiền thuế tôi đóng sẽ được sử dụng hiệu quả để cải thiện các dịch vụ công, từ đó nâng cao chất lượng cuộc sống cho người dân.</t>
  </si>
  <si>
    <t>Nhà nước đã giải thích rõ ràng mục tiêu của việc sửa đổi chính sách thuế. Tôi thấy thông tin này minh bạch và dễ hiểu.</t>
  </si>
  <si>
    <t>Sau khi xem xét các quyền lợi và nghĩa vụ, tôi ủng hộ và sẽ tuân thủ chính sách mới. Mức thuế giảm đáng kể và quy trình đơn giản hơn đã làm tăng niềm tin của tôi vào chính sách.</t>
  </si>
  <si>
    <t>Dù có hệ thống quản lý thuế hiện đại, tôi vẫn nghi ngờ việc phát hiện trốn thuế sẽ hiệu quả. Cải cách thuế chưa giải quyết triệt để vấn đề gian lận.</t>
  </si>
  <si>
    <t>Cơ quan thuế có nhiều công cụ kỹ thuật hiện đại, nhưng tôi không chắc chắn về khả năng thực thi của họ đối với tất cả các trường hợp trốn thuế. Tuy nhiên, quy định giảm trừ gia cảnh rõ ràng.</t>
  </si>
  <si>
    <t>Phương án mới đơn giản hơn so với trước, thủ tục khai báo và làm việc với cơ quan thuế dễ dàng hơn nhiều. Điều này giúp tôi tiết kiệm thời gian và nỗ lực.</t>
  </si>
  <si>
    <t>Bậc thuế ít đi và mức giảm trừ gia cảnh cao, việc tính toán thuế trở nên dễ dàng hơn. Tuy nhiên, tôi vẫn thấy một số quy định còn khá phức tạp đối với người dân bình thường.</t>
  </si>
  <si>
    <t>Tôi tin rằng Nhà nước sẽ thực thi chính sách mới công bằng và khách quan. Việc giảm thuế cho người thu nhập thấp như tôi tạo nên sự công bằng trong xã hội.</t>
  </si>
  <si>
    <t>Mức thuế mới phù hợp với thu nhập của tôi, giúp tôi đóng góp một cách công bằng vào hệ thống thuế. Điều này thể hiện tính công bằng trong việc phân bổ gánh nặng thuế</t>
  </si>
  <si>
    <t>Thuế đóng góp cho sự phát triển cơ sở hạ tầng và dịch vụ công, giúp cải thiện chất lượng cuộc sống của người dân. Việc giảm trừ gia cảnh rõ ràng, tôi tin số tiền thuế đóng sẽ được sử dụng hiệu quả.</t>
  </si>
  <si>
    <t>Nhà nước đã giải thích rõ về mục tiêu và lý do sửa đổi luật thuế, nhưng việc thực thi vẫn còn nhiều vấn đề. Tuy nhiên, tôi ủng hộ cải cách này để tạo ra một môi trường kinh tế công bằng hơn.</t>
  </si>
  <si>
    <t>Sau khi xem xét các ưu điểm về sự đơn giản hóa và giảm trừ gia cảnh, tôi ủng hộ chính sách mới. Việc đóng thuế ít hơn giúp cải thiện chất lượng cuộc sống của gia đình tôi.</t>
  </si>
  <si>
    <t>Nhà nước đã có nhiều biện pháp quản lý thuế hiện đại, nhưng cải cách mới chỉ đơn giản hóa quy định mà không đảm bảo phát hiện gian lận dễ dàng hơn.</t>
  </si>
  <si>
    <t>Cơ quan thuế có công nghệ và nguồn lực tốt để giám sát gian lận, tuy nhiên hiệu quả thực tế còn phụ thuộc vào việc triển khai.</t>
  </si>
  <si>
    <t>Việc giảm từ 7 bậc xuống 5 bậc làm quy trình tính thuế đơn giản hơn, nhưng vẫn cần thời gian để quen với các thay đổi.</t>
  </si>
  <si>
    <t>Biểu thuế mới dễ hiểu và thực hiện thuận tiện hơn so với trước đây, giúp người dân có thể tự tính thuế một cách dễ dàng.</t>
  </si>
  <si>
    <t>Tôi tin rằng Nhà nước sẽ công bằng trong việc áp dụng các quy định mới, nhưng vẫn cần thời gian để xây dựng niềm tin</t>
  </si>
  <si>
    <t>Thuế mới giảm đáng kể so với trước đây, tạo cảm giác công bằng và hợp lý cho người dân có thu nhập như tôi.</t>
  </si>
  <si>
    <t>Nhà nước đã giải thích rõ mục tiêu cải cách, nhưng hiệu quả sử dụng số tiền thuế đóng còn phụ thuộc vào nhiều yếu tố khác</t>
  </si>
  <si>
    <t>Các thông tin về chính sách mới được công bố minh bạch, tôi thấy Nhà nước đã giải thích rõ ràng mục tiêu của việc cải cách này.</t>
  </si>
  <si>
    <t>Sau khi xem xét các quyền lợi và nghĩa vụ, tôi ủng hộ chính sách mới vì nó tạo ra sự công bằng và đơn giản hơn cho người dân.</t>
  </si>
  <si>
    <t>Ngoại trừ việc giảm thuế, các quy định quản lý thuế hiện tại không cung cấp nhiều thông tin về việc phát hiện và xử lý hành vi gian lận hoặc trốn thuế.</t>
  </si>
  <si>
    <t>Cơ quan thuế có khả năng sử dụng công nghệ để phát hiện các hành vi trốn thuế, nhưng hiệu quả thực tế còn phụ thuộc vào nguồn lực và chiến lược quản lý của họ.</t>
  </si>
  <si>
    <t>Quy trình khai báo thuế trở nên đơn giản hơn với mức giảm trừ gia cảnh cao hơn, tuy nhiên việc áp dụng các bậc thuế mới đòi hỏi sự kiên nhẫn để hiểu rõ.</t>
  </si>
  <si>
    <t>Biểu thuế mới có ít bậc hơn và dễ dàng trong việc tính toán, nhưng người dân cần thời gian để làm quen với hệ thống mới này.</t>
  </si>
  <si>
    <t>Tôi tin rằng Nhà nước sẽ thực hiện chính sách một cách công bằng đối với mọi người nộp thuế, đặc biệt là khi có mức giảm trừ gia cảnh cao hơn.</t>
  </si>
  <si>
    <t>Thuế tôi phải đóng thấp hơn so với trước đây, do đó cảm thấy rằng mức thuế mới là hợp lý cho thu nhập của mình.</t>
  </si>
  <si>
    <t>Biện pháp giảm thuế có thể được sử dụng hiệu quả để cải thiện các dịch vụ công, nhưng cần thời gian để chứng minh điều này.</t>
  </si>
  <si>
    <t>Nhà nước đã giải thích rõ ràng về việc sửa đổi thuế, nhưng thông tin chi tiết về mục tiêu cụ thể của chính sách mới vẫn còn thiếu</t>
  </si>
  <si>
    <t>Chính sách mới có nhiều lợi ích so với trước đây và tôi đồng ý ủng hộ nó.</t>
  </si>
  <si>
    <t>Chính phủ đã tăng cường quản lý thuế và công nghệ hiện đại, giảm khả năng trốn thuế.</t>
  </si>
  <si>
    <t>Cơ quan thuế có đầy đủ nguồn lực để phát hiện các hành vi gian lận hoặc trốn thuế.</t>
  </si>
  <si>
    <t>Quy trình làm việc với cơ quan thuế trở nên dễ dàng hơn, thủ tục khai báo thuế được đơn giản hóa.</t>
  </si>
  <si>
    <t>Bậc thuế giảm từ 7 xuống 5, làm cho quá trình tính thuế trở nên rõ ràng và dễ hiểu hơn.</t>
  </si>
  <si>
    <t>Nhà nước thực thi chính sách một cách công bằng và minh bạch đối với mọi người nộp thuế.</t>
  </si>
  <si>
    <t>Thuế mới được tính dựa trên thu nhập, nên tôi thấy mức thuế này là hợp lý.</t>
  </si>
  <si>
    <t>Đồng ý với việc số tiền thuế đóng sẽ được sử dụng hiệu quả cho lợi ích cộng đồng.</t>
  </si>
  <si>
    <t>Nhà nước đã giải thích rõ ràng về mục tiêu và lý do của việc sửa đổi chính sách thuế lần này.</t>
  </si>
  <si>
    <t>Chính sách mới giúp tôi tiết kiệm được tiền thuế, tôi sẽ tuân thủ và ủng hộ.</t>
  </si>
  <si>
    <t>Nếu các quy định quản lý thuế được thực thi chặt chẽ, hành vi gian lận hoặc trốn thuế sẽ dễ bị phát hiện và xử lý. Điều này tăng cường niềm tin vào hệ thống thuế.</t>
  </si>
  <si>
    <t>Nhà nước đã đầu tư công nghệ để hỗ trợ việc quản lý thuế hiệu quả, giảm thiểu hành vi trốn thuế. Tuy nhiên, vẫn cần cải thiện hơn nữa về khả năng phát hiện gian lận.</t>
  </si>
  <si>
    <t>Quy trình khai báo thuế trở nên đơn giản hơn với việc cắt giảm các bước và tăng cường sử dụng công nghệ. Điều này giúp thuận tiện cho người nộp thuế.</t>
  </si>
  <si>
    <t>Biểu thuế mới đã giảm số bậc từ 7 xuống còn 5, làm cho quá trình tính toán thuế trở nên dễ dàng hơn và dễ hiểu hơn.</t>
  </si>
  <si>
    <t>Tôi tin rằng Nhà nước sẽ thực thi chính sách một cách công bằng đối với mọi người nộp thuế. Điều này tăng thêm niềm tin vào hệ thống thuế mới.</t>
  </si>
  <si>
    <t>Mức thuế mới giảm đáng kể so với trước đây, đặc biệt là với mức thu nhập của tôi và số người phụ thuộc. Điều này mang lại cảm giác công bằng.</t>
  </si>
  <si>
    <t>Thuế đóng góp vào việc cải thiện các dịch vụ công, như y tế và cơ sở hạ tầng. Tôi tin rằng số tiền thuế đóng đã được sử dụng hiệu quả.</t>
  </si>
  <si>
    <t>Nhà nước đã giải thích rõ ràng mục tiêu của chính sách mới thông qua nhiều kênh truyền thông, từ đó tăng thêm sự minh bạch và trách nhiệm.</t>
  </si>
  <si>
    <t>Dựa trên các điểm đánh giá trên, tôi hoàn toàn đồng ý với chính sách mới và sẽ tuân thủ nó. Nó mang lại lợi ích rõ ràng cho người dân như tôi.</t>
  </si>
  <si>
    <t>Nhà nước đã tăng cường công nghệ và đội ngũ cán bộ thuế, nên khả năng phát hiện gian lận hoặc trốn thuế được cải thiện đáng kể.</t>
  </si>
  <si>
    <t>Cơ quan thuế có nhiều nguồn lực hơn để giám sát và xử lý các hành vi không tuân thủ.</t>
  </si>
  <si>
    <t>Quy trình khai báo thuế được đơn giản hóa, thủ tục nhanh chóng hơn nhờ sử dụng công nghệ số.</t>
  </si>
  <si>
    <t>Biểu thuế mới dễ hiểu và thực hiện đơn giản hơn so với trước đây, giảm thời gian làm việc với cơ quan thuế.</t>
  </si>
  <si>
    <t>Quy định về giảm trừ gia cảnh tăng lên, tạo cảm giác công bằng giữa các nhóm thu nhập trong xã hội.</t>
  </si>
  <si>
    <t>Thuế mới được tính dựa trên thu nhập thực tế, thể hiện sự công bằng đối với người có thu nhập tương tự như tôi.</t>
  </si>
  <si>
    <t>Việc cải cách thuế nhằm nâng cao chất lượng dịch vụ công và phát triển cơ sở hạ tầng, tạo niềm tin cho người nộp thuế.</t>
  </si>
  <si>
    <t>Cơ quan thuế đã giải thích rõ ràng về mục tiêu và lý do của việc cải cách, tăng sự minh bạch trong quy trình quản lý.</t>
  </si>
  <si>
    <t>Nhờ giảm trừ gia cảnh lớn hơn và biểu thuế đơn giản hơn, tôi sẽ ủng hộ và tuân thủ chính sách mới này.</t>
  </si>
  <si>
    <t>Dù thuế được đơn giản hóa, nhưng với sự phát triển của công nghệ và quản lý thuế hiện đại, tôi tin rằng hành vi gian lận sẽ dễ bị phát hiện. Tuy nhiên, vẫn cần thêm thời gian để xem xét thực tế.</t>
  </si>
  <si>
    <t>Cơ quan thuế có nhiều công cụ và hệ thống để theo dõi các khoản thu nhập và xử lý trốn thuế một cách nhanh chóng. Điều này tăng khả năng phát hiện hành vi không tuân thủ.</t>
  </si>
  <si>
    <t>Quy trình khai báo giờ đơn giản hơn, số bậc thuế giảm từ 7 xuống còn 5, và mức giảm trừ gia cảnh tăng. Điều này làm cho quy trình thuận tiện và dễ hiểu hơn.</t>
  </si>
  <si>
    <t>Các bậc thuế mới đơn giản hóa quá trình tính toán, người dân có thể tự tính thuế của mình một cách dễ dàng. Sự thay đổi từ 7 bậc xuống còn 5 tạo cảm giác rõ ràng hơn.</t>
  </si>
  <si>
    <t>Tôi tin rằng cơ quan thuế sẽ thực thi chính sách này công bằng với mọi người, nhưng cần thêm thời gian để xem xét cách họ áp dụng trong thực tế.</t>
  </si>
  <si>
    <t>Làm việc với mức thuế mới giúp tôi thấy rằng mức thuế đóng góp là hợp lý so với thu nhập của mình. Mức giảm trừ gia cảnh tăng cũng tạo cảm giác công bằng hơn.</t>
  </si>
  <si>
    <t>Thuế mà tôi đóng sẽ được sử dụng để cải thiện dịch vụ công, như y tế và giao thông, điều này làm cho việc đóng thuế trở nên hữu ích hơn.</t>
  </si>
  <si>
    <t>Nhà nước đã giải thích rõ ràng về mục đích của việc thay đổi luật thuế. Tuy nhiên, tôi hy vọng sẽ có thêm thông tin chi tiết về cách sử dụng số tiền thuế này.</t>
  </si>
  <si>
    <t>Dựa trên mức thuế mới và các quyền lợi cải thiện, tôi ủng hộ chính sách mới và cam kết tuân thủ nó.</t>
  </si>
  <si>
    <t>Dù có khả năng phát hiện gian lận, nhưng với thuế cá nhân đã giảm đáng kể, tôi tin rằng hành vi trốn thuế sẽ giảm. Việc này cũng làm hạn chế cơ hội để phát hiện gian lận.</t>
  </si>
  <si>
    <t>Cơ quan thuế có khả năng công nghệ cao hơn trong việc giám sát, nhưng với số lượng người nộp thuế tăng lên do giảm trừ gia cảnh, khả năng phát hiện và xử lý nghiêm vẫn là thách thức.</t>
  </si>
  <si>
    <t>Quy trình khai báo đơn giản hơn nhiều so với trước đây, thủ tục cũng thuận tiện hơn nhờ công nghệ số. Tuy nhiên, việc tiếp cận dịch vụ thuế có thể còn hạn chế đối với một số người.</t>
  </si>
  <si>
    <t>Cách tính thuế đơn giản hơn nhiều so với trước đây, điều này giúp việc thực hiện dễ dàng hơn và giảm gánh nặng cho người dân. Tuy nhiên, vẫn có thể gặp khó khăn trong việc nắm bắt đầy đủ các quy định.</t>
  </si>
  <si>
    <t>Nhà nước đã cố gắng công bằng hóa hệ thống thuế thông qua việc tăng mức giảm trừ gia cảnh và đơn giản hóa biểu thuế. Điều này tạo ra sự công bằng giữa người dân có thu nhập tương tự nhau.</t>
  </si>
  <si>
    <t>Tôi thấy mức thuế tôi phải đóng là hợp lý, đặc biệt khi so sánh với trước đây và mức giảm trừ gia cảnh mới. Đây là một bước tiến trong việc công bằng hóa hệ thống thuế.</t>
  </si>
  <si>
    <t>Thuế của tôi sẽ được sử dụng hiệu quả để cải thiện dịch vụ công, từ đó tạo ra lợi ích cho cộng đồng và cá nhân tôi. Điều này làm tăng niềm tin vào việc sử dụng nguồn lực một cách minh bạch.</t>
  </si>
  <si>
    <t>Nhà nước đã giải thích rõ ràng về mục tiêu của chính sách mới, mặc dù vẫn còn nhiều thông tin cần cải thiện để đảm bảo mọi người hiểu đầy đủ.</t>
  </si>
  <si>
    <t>Chính sách mới này có lợi cho tôi và cộng đồng. Thuế giảm đáng kể đã tạo ra sự công bằng hơn trong hệ thống thuế, và tôi sẽ ủng hộ việc thực hiện chính sách này.</t>
  </si>
  <si>
    <t xml:space="preserve">Việc tăng mức giảm trừ gia cảnh và đơn giản hóa biểu thuế có thể làm giảm nguy cơ gian lận, nhưng thực tế việc phát hiện và xử lý các hành vi trốn thuế vẫn phụ thuộc vào năng lực của cơ quan thuế. </t>
  </si>
  <si>
    <t>Nhà nước đã đầu tư công nghệ và nguồn lực để cải thiện khả năng quản lý thuế, nhưng hiệu quả thực tế có thể cần thời gian để thấy rõ.</t>
  </si>
  <si>
    <t xml:space="preserve">Thủ tục khai báo thuế và quy trình làm việc với cơ quan thuế đơn giản hơn trước, đặc biệt là khi giảm số bậc thuế. </t>
  </si>
  <si>
    <t>Biểu thuế mới có ít bậc hơn nhưng vẫn giữ nguyên các mức thu nhập chịu thuế, dễ hiểu và thực hiện hơn.</t>
  </si>
  <si>
    <t>Nhà nước đã cải thiện tính công bằng thông qua việc tăng giảm trừ gia cảnh. Tuy nhiên, vấn đề gian lận vẫn còn và cần thời gian để kiểm chứng hiệu quả của chính sách mới.</t>
  </si>
  <si>
    <t>Mức thuế mới được thiết kế phù hợp với thu nhập hiện tại của tôi, cho thấy sự công bằng trong việc phân chia gánh nặng thuế</t>
  </si>
  <si>
    <t>Thuế đóng góp vào cải thiện dịch vụ công nhưng cần thời gian để chứng minh hiệu quả thực tế của việc đầu tư từ nguồn thu thuế mới.</t>
  </si>
  <si>
    <t>Chính phủ đã giải thích rõ ràng về mục tiêu và thay đổi, tạo sự tin tưởng cho người dân</t>
  </si>
  <si>
    <t>Tôi ủng hộ chính sách mới vì nó mang lại lợi ích tài chính cho cá nhân tôi và gia đình. Tuy nhiên, vẫn cần thời gian để đánh giá hiệu quả tổng thể.</t>
  </si>
  <si>
    <t>Độ tin cậy và khả năng phát hiện trốn thuế được cải thiện đáng kể, do đó giảm nguy cơ gian lận.</t>
  </si>
  <si>
    <t>Cơ quan thuế có hệ thống quản lý hiện đại giúp xử lý nhanh chóng các hành vi trốn thuế.</t>
  </si>
  <si>
    <t>Thủ tục đơn giản hơn, dễ thực hiện và ít rườm rà hơn so với trước đây.</t>
  </si>
  <si>
    <t>Bậc thuế giảm từ 7 xuống 5, làm việc tính toán thuế dễ dàng hơn.</t>
  </si>
  <si>
    <t>Việc giảm trừ gia cảnh tăng lên giúp tôi cảm thấy công bằng trong quá trình đóng thuế.</t>
  </si>
  <si>
    <t>Thuế theo phương án mới hợp lý với thu nhập hiện tại của tôi, thể hiện tính công bằng.</t>
  </si>
  <si>
    <t>Tôi tin rằng thuế đóng sẽ được sử dụng hiệu quả để cải thiện chất lượng cuộc sống của người dân.</t>
  </si>
  <si>
    <t>Nhà nước đã giải thích rõ ràng về mục tiêu và lợi ích của việc sửa đổi chính sách thuế này.</t>
  </si>
  <si>
    <t>Tôi ủng hộ và tuân thủ chính sách mới vì nó mang lại nhiều quyền lợi cho tôi.</t>
  </si>
  <si>
    <t>Nếu cơ quan thuế có công nghệ hiện đại và quy định quản lý chặt chẽ, việc phát hiện gian lận hoặc trốn thuế sẽ không còn khó khăn. Tuy nhiên, dựa trên thông tin cá nhân, tôi vẫn lo ngại về khả năng thực thi.</t>
  </si>
  <si>
    <t>Cơ quan thuế có đủ khả năng để phát hiện gian lận hoặc trốn thuế nếu họ áp dụng công nghệ tiên tiến và nguồn lực hiệu quả. Điều này tăng thêm sự tin tưởng vào hệ thống.</t>
  </si>
  <si>
    <t>So với trước đây, quy trình khai báo thuế đơn giản hơn nhiều, giảm bớt những rắc rối và thời gian chờ đợi. Điều này làm cho việc thực hiện nghĩa vụ thuế dễ dàng hơn.</t>
  </si>
  <si>
    <t>Các bậc thuế mới rõ ràng hơn, không còn phức tạp như trước. Việc tính toán và nộp thuế trở nên dễ dàng hơn nhiều.</t>
  </si>
  <si>
    <t>Tôi tin rằng cơ quan thuế sẽ thực thi chính sách một cách công bằng đối với mọi người dân. Tuy nhiên, do vẫn có sự lo ngại về quản lý, điểm số không cao</t>
  </si>
  <si>
    <t>Tiết kiệm được tiền thuế và mức giảm trừ gia cảnh mới tăng lên làm cho tôi cảm thấy công bằng hơn khi đóng thuế. Đây là một cải tiến đáng kể.</t>
  </si>
  <si>
    <t>Tôi tin rằng số tiền thuế tôi đóng sẽ được sử dụng hiệu quả để cải thiện dịch vụ công, đặc biệt là y tế và giao thông. Tuy nhiên, vẫn cần thêm thông tin cụ thể về cách sử dụng nguồn thu.</t>
  </si>
  <si>
    <t>Nhà nước đã giải thích rõ ràng về mục tiêu cải cách thuế. Điều này làm tăng niềm tin vào quyết định của họ.</t>
  </si>
  <si>
    <t>Sau khi xem xét, tôi ủng hộ và tuân thủ chính sách mới vì nó mang lại nhiều lợi ích cho người dân như giảm gian lận thuế và cải thiện dịch vụ công. Tuy nhiên, vẫn cần thêm thông tin về cách sử dụng nguồn thu</t>
  </si>
  <si>
    <t>Việc giảm trừ gia cảnh tăng mạnh và đơn giản hóa biểu thuế có thể làm giảm khả năng phát hiện hành vi gian lận hoặc trốn thuế.</t>
  </si>
  <si>
    <t>Cơ quan thuế với quy định mới có thể thiếu công cụ để giám sát hiệu quả hơn so với trước đây, nhưng vẫn có khả năng xử lý nghiêm các trường hợp vi phạm.</t>
  </si>
  <si>
    <t>Thủ tục khai báo và làm việc với cơ quan thuế đơn giản hóa giúp quá trình thuận tiện hơn, đặc biệt khi giảm trừ gia cảnh tăng.</t>
  </si>
  <si>
    <t>Biểu thuế mới có ít bậc hơn và mức giảm trừ gia cảnh cao hơn, làm cho việc tính toán dễ dàng và dễ hiểu hơn.</t>
  </si>
  <si>
    <t>Nhà nước đã cải cách để tăng công bằng trong việc phân chia gánh nặng thuế, tôi tin rằng quy định mới sẽ được thực thi một cách khách quan.</t>
  </si>
  <si>
    <t>Mức giảm trừ gia cảnh và bậc thuế mới phù hợp với thu nhập của tôi, tạo cảm giác công bằng.</t>
  </si>
  <si>
    <t>Thuế đóng góp vào việc cải thiện dịch vụ công như y tế, giáo dục và hạ tầng cơ sở là cần thiết.</t>
  </si>
  <si>
    <t>Nhà nước đã giải thích rõ ràng về mục tiêu của chính sách mới, tuy nhiên, tôi vẫn muốn có thêm thông tin về cách sử dụng khoản thu thuế vào thực tiễn.</t>
  </si>
  <si>
    <t>Dựa trên mức giảm trừ gia cảnh và bậc thuế đơn giản hơn, tôi ủng hộ và tuân thủ chính sách mới.</t>
  </si>
  <si>
    <t>Việc tăng giảm trừ gia cảnh và đơn giản hóa biểu thuế có thể làm giảm cơ hội trốn thuế. Tuy nhiên, sự thực thi vẫn phụ thuộc vào hiệu quả của hệ thống quản lý thuế.</t>
  </si>
  <si>
    <t>Nhà nước đã đầu tư công nghệ để phát hiện hành vi gian lận, tuy nhiên hiệu quả cần thời gian kiểm chứng.</t>
  </si>
  <si>
    <t>Thủ tục khai báo thuế và quy trình làm việc với cơ quan thuế trở nên đơn giản hơn, giúp người dân dễ dàng hơn trong việc nộp thuế.</t>
  </si>
  <si>
    <t>Biểu thuế mới có ít bậc và mức thuế suất rõ ràng hơn, cải thiện sự hiểu biết về cách tính thuế của tôi.</t>
  </si>
  <si>
    <t>Tôi tin rằng việc sửa đổi thuế lần này là khách quan và công bằng. Mức giảm trừ gia cảnh cao hơn giúp tôi tiết kiệm đáng kể.</t>
  </si>
  <si>
    <t>Như một người có thu nhập trung bình, mức thuế mới mà tôi phải đóng là hợp lý và công bằng so với trước đây.</t>
  </si>
  <si>
    <t>Tôi tin rằng số tiền thuế tôi đóng sẽ được sử dụng hiệu quả để cải thiện dịch vụ công cho cộng đồng.</t>
  </si>
  <si>
    <t>Nhà nước đã giải thích rõ ràng về mục tiêu và lý do của việc sửa đổi thuế, tuy nhiên, cần thêm thông tin về cách sử dụng nguồn thu thuế.</t>
  </si>
  <si>
    <t>Sau khi xem xét tác động tài chính tích cực từ chính sách mới, tôi ủng hộ và tuân thủ nó. Việc đơn giản hóa biểu thuế giúp tôi dễ dàng tuân thủ hơn.</t>
  </si>
  <si>
    <t>Hiện nay, quản lý thuế đã được cải thiện đáng kể với nhiều công cụ hiện đại giúp phát hiện gian lận. Mặc dù vậy, vẫn còn khả năng trốn thuế khó kiểm soát.</t>
  </si>
  <si>
    <t>Nhà nước và cơ quan thuế có đủ tiềm lực để thực thi pháp luật về thuế một cách hiệu quả. Công nghệ đã giúp cải thiện đáng kể trong việc phát hiện hành vi trốn thuế.</t>
  </si>
  <si>
    <t>So với trước đây, các quy trình khai báo thuế trở nên đơn giản hơn và thuận tiện hơn nhiều. Việc này giảm bớt gánh nặng administratif cho người dân.</t>
  </si>
  <si>
    <t>Phương án mới có ít bậc thuế hơn và dễ hiểu, từ đó giúp việc tính toán thuế trở nên đơn giản hơn. Đây là một cải tiến đáng kể về mặt thuận tiện.</t>
  </si>
  <si>
    <t>Tôi tin rằng Nhà nước sẽ thực thi chính sách công bằng cho mọi người nộp thuế. Việc giảm trừ gia cảnh và bậc thuế mới đều mang tính khách quan.</t>
  </si>
  <si>
    <t>Theo tôi, mức thuế mới là hợp lý, vừa phải. Nó phản ánh đúng tình hình kinh tế hiện tại của người dân như tôi.</t>
  </si>
  <si>
    <t>Thuế mà tôi đóng sẽ được sử dụng hiệu quả để cải thiện các dịch vụ công. Việc giảm trừ gia cảnh cũng là một tín hiệu tốt về sự quan tâm đến người lao động.</t>
  </si>
  <si>
    <t>Nhà nước đã giải thích rõ ràng mục đích và lý do của việc sửa đổi thuế. Điều này làm tăng niềm tin vào quyết định chính sách.</t>
  </si>
  <si>
    <t>Tôi ủng hộ chính sách mới vì nó mang lại nhiều lợi ích về mặt tài chính và thuận tiện cho người dân. Tôi sẽ tuân thủ theo yêu cầu của pháp luật.</t>
  </si>
  <si>
    <t>Hiện nay, cơ quan thuế có nhiều công cụ và nguồn lực để kiểm soát hành vi gian lận thuế. Tuy nhiên, việc quản lý vẫn còn không hoàn hảo, đặc biệt là đối với các doanh nghiệp nhỏ và tự doanh.</t>
  </si>
  <si>
    <t>Cơ quan thuế đã có nhiều cải tiến công nghệ để hỗ trợ phát hiện hành vi gian lận. Tuy nhiên, vẫn cần nâng cao hơn nữa về mặt kỹ thuật và nhân lực.</t>
  </si>
  <si>
    <t>Quy trình khai thuế và làm việc với cơ quan thuế trở nên đơn giản và thuận tiện hơn nhiều so với trước đây. Các ứng dụng điện tử giúp tiết kiệm thời gian.</t>
  </si>
  <si>
    <t>Biểu thuế mới có ít bậc hơn, dễ hiểu và thực hiện nhanh chóng hơn. Tuy nhiên, vẫn cần thêm hướng dẫn cụ thể để tránh nhầm lẫn.</t>
  </si>
  <si>
    <t>Tôi tin rằng cơ quan thuế sẽ công bằng trong việc áp dụng luật pháp mới. Việc tăng giảm trừ gia cảnh và đơn giản hóa biểu thuế tạo ra một hệ thống thuế công bằng hơn.</t>
  </si>
  <si>
    <t>Theo phương án mới, mức thuế tôi phải đóng là hợp lý. Số tiền giảm từ việc trích lại cho gia cảnh giúp tôi cảm thấy công bằng hơn.</t>
  </si>
  <si>
    <t>Tài nguyên thuế được sử dụng để cải thiện dịch vụ công, điều này tạo ra niềm tin rằng việc đóng thuế là hữu ích. Tuy nhiên, vẫn cần nhiều thông tin cụ thể về cách sử dụng nguồn lực.</t>
  </si>
  <si>
    <t>Nhà nước đã giải thích rõ ràng về mục tiêu cải cách thuế và các quyền lợi của người dân. Tuy nhiên, tôi mong muốn có thêm thông tin về việc giám sát và kiểm soát hiệu quả sử dụng nguồn lực.</t>
  </si>
  <si>
    <t>Sau khi xem xét các ưu điểm mới và lợi ích từ chính sách thuế mới, tôi ủng hộ và sẽ tuân thủ nó. Tuy nhiên, việc tiếp tục cải thiện trong quản lý và công khai thông tin là cần thiết.</t>
  </si>
  <si>
    <t>Do mức giảm trừ gia cảnh cao hơn thu nhập nên không cần lo lắng về việc trốn thuế, cộng thêm cơ quan thuế có công nghệ phát hiện gian lận.</t>
  </si>
  <si>
    <t>Cơ quan thuế có nhiều nguồn lực để giám sát và xử lý các hành vi trốn thuế.</t>
  </si>
  <si>
    <t>Trình tự khai báo và làm việc với cơ quan thuế đã đơn giản hơn, thời gian chờ đợi cũng ngắn lại.</t>
  </si>
  <si>
    <t>Biểu thuế được đơn giản hóa nên dễ dàng tính toán và thực hiện hơn so với trước đây.</t>
  </si>
  <si>
    <t>Tất cả mọi người đều có mức giảm trừ gia cảnh cao, nên tôi tin rằng chính sách mới sẽ được thực thi công bằng.</t>
  </si>
  <si>
    <t>Với mức thu nhập của mình, tôi thấy rằng số thuế phải đóng là hợp lý và công bằng.</t>
  </si>
  <si>
    <t>Thuế đóng góp vào việc cải thiện chất lượng dịch vụ công, như y tế và giao thông.</t>
  </si>
  <si>
    <t>Nội dung về mục tiêu sửa đổi thuế đã được giải thích rõ ràng và minh bạch</t>
  </si>
  <si>
    <t>Chính sách mới phù hợp với thu nhập của tôi, giảm gánh nặng tài chính nên tôi ủng hộ.</t>
  </si>
  <si>
    <t>Nhà nước đã tăng cường các biện pháp quản lý thuế và công nghệ hiện đại, tuy nhiên vẫn còn nhiều vấn đề về gian lận thuế chưa được giải quyết triệt để.</t>
  </si>
  <si>
    <t>Việc áp dụng công nghệ trong quản lý thuế đã giúp tăng cường khả năng phát hiện và xử lý các hành vi trốn thuế, tuy nhiên vẫn cần nhiều cải tiến hơn nữa.</t>
  </si>
  <si>
    <t>Quy trình khai báo thuế đã đơn giản hóa đáng kể, thủ tục nhanh chóng hơn so với trước đây, rất thuận tiện cho người dân.</t>
  </si>
  <si>
    <t>Các bậc thuế mới đơn giản và dễ hiểu hơn nhiều, giúp người dân dễ dàng tính toán và thực hiện đúng.</t>
  </si>
  <si>
    <t>Tôi tin rằng nhà nước sẽ công bằng trong việc thực thi chính sách, nhưng cần thêm thời gian để chứng minh.</t>
  </si>
  <si>
    <t>Mức thuế mới giảm đáng kể so với trước đây, tôi thấy điều này là hợp lý cho thu nhập của mình.</t>
  </si>
  <si>
    <t>Thuế đóng góp vào việc cải thiện các dịch vụ công, tôi hy vọng số tiền thuế sẽ được sử dụng hiệu quả.</t>
  </si>
  <si>
    <t>Nhà nước đã giải thích rõ ràng về mục tiêu của chính sách mới, nhưng cần thêm thông tin chi tiết về cách sử dụng nguồn thu từ thuế.</t>
  </si>
  <si>
    <t>Với mức thuế giảm đáng kể và quy trình khai báo đơn giản hơn, tôi sẽ ủng hộ và tuân thủ chính sách mới.</t>
  </si>
  <si>
    <t>Dù có công nghệ hỗ trợ, nhưng tình hình thực tế về việc phát hiện gian lận thuế vẫn còn nhiều thách thức. Đánh giá trung bình.</t>
  </si>
  <si>
    <t>Cơ quan thuế đã tăng cường hệ thống và công nghệ để theo dõi, xử lý các hành vi trốn thuế, nhưng vẫn cần thời gian thực hiện hiệu quả. Đánh giá trung bình.</t>
  </si>
  <si>
    <t>Quy trình khai báo thuế đã đơn giản hơn, tốn ít thời gian và dễ dàng hơn so với trước đây, giúp tiết kiệm công sức.</t>
  </si>
  <si>
    <t>Biểu thuế mới có số bậc giảm đi, làm việc tính toán và thực hiện thuế trở nên đơn giản hơn. Đánh giá cao.</t>
  </si>
  <si>
    <t>Tôi tin rằng các cơ quan thuế sẽ thực thi chính sách công bằng và khách quan, nhưng cần thời gian để chứng minh.</t>
  </si>
  <si>
    <t>Thuế mới giảm so với trước đây, do đó tôi thấy mức thuế này là hợp lý cho thu nhập của mình. Đánh giá cao.</t>
  </si>
  <si>
    <t>Thuốc đóng góp vào việc cải thiện dịch vụ công và hạ tầng xã hội, nhưng cần thời gian để xem hiệu quả thực tế.</t>
  </si>
  <si>
    <t>Cơ quan thuế đã giải thích rõ ràng về mục tiêu sửa đổi thuế, tuy nhiên vẫn có nhiều thông tin chưa được làm rõ.</t>
  </si>
  <si>
    <t>Tôi ủng hộ chính sách mới vì nó mang lại lợi ích tài chính và thủ tục đơn giản hơn cho người dân. Tuy nhiên, cần thời gian để đánh giá hiệu quả thực tế.</t>
  </si>
  <si>
    <t>Nếu quản lý thuế hiện tại đủ mạnh, tôi tin rằng hành vi gian lận sẽ bị phát hiện. Tuy nhiên, do việc cải cách chưa hoàn thiện và khả năng công nghệ có thể còn hạn chế nên mức độ này chỉ ở mức trung bình.</t>
  </si>
  <si>
    <t>Cơ quan thuế có đủ nguồn lực để quản lý và phát hiện các hành vi không tuân thủ. Tuy nhiên, việc thực thi luật mới cần thời gian và sự chuẩn bị kỹ lưỡng.</t>
  </si>
  <si>
    <t>So với trước đây, quy trình khai thuế trở nên đơn giản hơn. Việc giảm số bậc thuế và mức giảm trừ gia cảnh giúp thuận tiện trong việc kê khai và quản lý.</t>
  </si>
  <si>
    <t>Biểu thuế mới rõ ràng hơn với ít bậc, dễ dàng tính toán và không còn các quy định phức tạp trước đây.</t>
  </si>
  <si>
    <t>Tôi tin rằng cơ quan thuế sẽ thực thi chính sách một cách công bằng. Tuy nhiên, do chưa rõ ràng về cách thực hiện nên mức độ niềm tin còn thấp hơn mong đợi.</t>
  </si>
  <si>
    <t>Với thu nhập của tôi, mức thuế mới là hợp lý. Tuy nhiên, cần thêm thời gian để quen với quy định mới và hiểu rõ hơn về cách tính.</t>
  </si>
  <si>
    <t>Những khoản tiền đóng góp vào ngân sách sẽ được sử dụng hiệu quả cho các dịch vụ công. Tuy nhiên, tôi hy vọng có thêm thông tin cụ thể về cách sử dụng số tiền này.</t>
  </si>
  <si>
    <t>Đã giải thích rõ ràng về mục tiêu và lý do của chính sách mới nhưng cần thêm thông tin chi tiết về quy trình thực hiện</t>
  </si>
  <si>
    <t>Dù thuế giảm nhưng tôi vẫn ủng hộ cải cách. Tuy nhiên, cần thời gian để quen với các quy định mới và hiểu rõ hơn về lợi ích của chính sách này.</t>
  </si>
  <si>
    <t>Điều kiện hiện tại cho thấy cơ quan thuế có nhiều công cụ phát hiện hành vi gian lận, nhưng vẫn cần sự cộng tác của người dân để cung cấp thông tin. Không hoàn toàn đồng ý do còn dựa vào sự tự giác.</t>
  </si>
  <si>
    <t>Cơ quan thuế có đủ khả năng và công nghệ để phát hiện, xử lý các hành vi trốn thuế. Đồng ý vì hệ thống quản lý thuế hiện đại hơn trước.</t>
  </si>
  <si>
    <t>Hồ sơ cá nhân cho thấy quy trình khai báo thuế đơn giản hơn với mức giảm trừ gia cảnh cao hơn, thuận tiện hơn so với trước đây. Đồng ý vì thủ tục dễ thực hiện hơn.</t>
  </si>
  <si>
    <t>Biểu thuế mới có ít bậc hơn và dễ hiểu hơn. Đồng ý vì cách tính thuế rõ ràng, đơn giản hơn nhiều so với trước đây.</t>
  </si>
  <si>
    <t>Nhà nước thực thi chính sách một cách khách quan. Đồng ý do mức thuế mới công bằng cho thu nhập hiện tại của tôi.</t>
  </si>
  <si>
    <t>Thuế mới giảm đáng kể, tạo cảm giác công bằng hơn so với trước đây. Đồng ý vì mức thuế mới hợp lý.</t>
  </si>
  <si>
    <t>Thuê đóng góp vào các dịch vụ công như y tế, giáo dục và hạ tầng. Đồng ý vì tin tưởng số tiền thuế sẽ được sử dụng hiệu quả.</t>
  </si>
  <si>
    <t>Nhà nước đã giải thích rõ ràng về mục tiêu của chính sách mới. Đồng ý do thông tin minh bạch, dễ hiểu.</t>
  </si>
  <si>
    <t>Hỗ trợ và tuân thủ chính sách mới vì lợi ích tài chính và sự đơn giản hóa quy trình khai báo thuế.</t>
  </si>
  <si>
    <t>Dù cơ quan thuế có công nghệ hiện đại, nhưng mức giảm trừ gia cảnh lớn hơn và số bậc thuế đơn giản, tôi vẫn lo ngại về việc phát hiện gian lận hoặc trốn thuế.</t>
  </si>
  <si>
    <t>Nhà nước đã đầu tư vào công nghệ và có khả năng phát hiện gian lận, nhưng tôi tin rằng sự tuân thủ tốt hơn sẽ giảm thiểu hành vi trốn thuế.</t>
  </si>
  <si>
    <t>Quy trình khai báo thuế trở nên đơn giản hơn, nhưng vẫn cần thời gian để quen với các thay đổi mới.</t>
  </si>
  <si>
    <t>Cách tính thuế và các bậc thuế đã được đơn giản hóa đáng kể, dễ hiểu và thực hiện nhanh chóng hơn trước đây.</t>
  </si>
  <si>
    <t>Tôi tin rằng Nhà nước sẽ thực thi chính sách một cách công bằng, nhưng vẫn lo ngại về sự không nhất quán trong việc áp dụng.</t>
  </si>
  <si>
    <t>Mức thuế mới phù hợp với thu nhập của tôi và giảm trừ gia cảnh lớn hơn giúp tôi cảm thấy công bằng hơn.</t>
  </si>
  <si>
    <t>Tôi tin rằng số tiền thuế đóng sẽ được sử dụng hiệu quả để cải thiện dịch vụ công, nhưng vẫn muốn biết thêm chi tiết về việc này.</t>
  </si>
  <si>
    <t>Nhà nước đã giải thích rõ ràng về mục tiêu của chính sách mới và tôi ủng hộ việc này.</t>
  </si>
  <si>
    <t>Tôi đồng ý với các thay đổi mới, giảm trừ gia cảnh lớn hơn và cách tính thuế đơn giản, giúp cải thiện khả năng tuân thủ.</t>
  </si>
  <si>
    <t>Dù có các quy định quản lý thuế hiện nay, tôi vẫn lo ngại về khả năng phát hiện trốn thuế của cơ quan thuế.</t>
  </si>
  <si>
    <t>Tôi nghĩ rằng nhà nước và cơ quan thuế đã đầu tư công nghệ để phát hiện hành vi gian lận và trốn thuế, nhưng không biết cụ thể khả năng thực thi đến đâu.</t>
  </si>
  <si>
    <t>Thủ tục khai báo thuế và quy trình làm việc với cơ quan thuế đã đơn giản hơn trước đây, tôi thấy thuận lợi hơn trong quá trình nộp thuế.</t>
  </si>
  <si>
    <t>Cách tính thuế mới dễ hiểu hơn so với trước đây. Việc giảm bớt số bậc thuế giúp tôi dễ dàng áp dụng và thực hiện.</t>
  </si>
  <si>
    <t>Tôi tin rằng Nhà nước sẽ công bằng trong việc thực thi chính sách, nhưng vẫn có lo ngại về sự công bằng giữa các nhóm thu nhập khác nhau.</t>
  </si>
  <si>
    <t>Thuế mới giảm đáng kể so với trước đây. Tôi thấy mức thuế này là hợp lý vì đã được cải thiện đáng kể.</t>
  </si>
  <si>
    <t>Tôi tin rằng số tiền thuế tôi đóng sẽ được sử dụng hiệu quả cho các dịch vụ công, nhưng vẫn có lo ngại về việc quản lý chi tiêu của nhà nước.</t>
  </si>
  <si>
    <t>Nhà nước đã giải thích rõ ràng về mục đích và lý do của việc sửa đổi thuế, tôi thấy thông tin rất minh bạch.</t>
  </si>
  <si>
    <t>Sau khi xem xét các quyền lợi và nghĩa vụ, tôi ủng hộ chính sách mới. Việc giảm thuế và đơn giản hóa quy trình làm việc đã cải thiện đáng kể.</t>
  </si>
  <si>
    <t>Nhà nước và cơ quan thuế có nhiều biện pháp kiểm soát thuế, từ việc cung cấp ứng dụng khai thuế điện tử đến các cuộc thanh tra, kiểm tra định kỳ. Điều này làm giảm nguy cơ trốn thuế.</t>
  </si>
  <si>
    <t>Công nghệ hiện đại như AI và dữ liệu lớn giúp cơ quan thuế theo dõi giao dịch tài chính một cách hiệu quả, tăng khả năng phát hiện vi phạm.</t>
  </si>
  <si>
    <t>Thủ tục khai thuế trở nên đơn giản hơn với việc rút gọn biểu thuế và cải thiện ứng dụng điện tử, nhưng vẫn cần thêm thời gian để quen thuộc.</t>
  </si>
  <si>
    <t>Biểu thuế mới có ít bậc hơn nhưng mức thuế suất cao hơn so với trước, khiến việc tính toán trở nên dễ dàng hơn. Tuy nhiên, người dân cần thời gian để làm quen.</t>
  </si>
  <si>
    <t>Thuế giảm và giảm trừ gia cảnh tăng giúp tôi cảm thấy công bằng, nhưng vẫn còn nghi ngờ về cách thực thi chính sách của cơ quan thuế.</t>
  </si>
  <si>
    <t>Lợi ích tài chính từ việc giảm thuế có thể coi là hợp lý cho thu nhập của tôi. Tuy nhiên, vẫn cần thêm minh bạch về cách sử dụng nguồn thu thuế này.</t>
  </si>
  <si>
    <t>Hiểu rõ hơn về mục tiêu và sử dụng nguồn thu thuế sẽ giúp tăng niềm tin vào việc sử dụng công bằng. Hiện tại, tôi cảm thấy không hoàn toàn yên tâm.</t>
  </si>
  <si>
    <t>Chính phủ đã giải thích khá kỹ về mục đích của chính sách mới, nhưng vẫn cần thêm thông tin chi tiết về cách thực hiện và hiệu quả cụ thể.</t>
  </si>
  <si>
    <t>Chính sách mới mang lại lợi ích tài chính cho tôi, do đó tôi sẽ tuân thủ. Tuy nhiên, niềm tin cần được tăng cường hơn để có sự ủng hộ lâu dài.</t>
  </si>
  <si>
    <t>Dù không phải đóng thuế, nhưng với mức giảm trừ gia cảnh cao và quy định rõ ràng về thuế suất, hành vi gian lận hoặc trốn thuế có thể bị phát hiện. Cơ quan thuế đã cải thiện công nghệ nên khả năng phát hiện tăng lên.</t>
  </si>
  <si>
    <t>Cơ quan thuế có đội ngũ chuyên nghiệp và ứng dụng quản lý thuế hiệu quả, cho phép họ theo dõi và xử lý các hành vi trốn thuế một cách nhanh chóng.</t>
  </si>
  <si>
    <t>Quy trình khai báo thuế đơn giản hơn với mức giảm trừ gia cảnh cao. Tuy nhiên, việc phải liên tục cập nhật thông tin cá nhân có thể tạo ra gian nan.</t>
  </si>
  <si>
    <t>Biểu thuế đơn giản hóa đã làm việc tính toán thuế dễ dàng hơn và dễ hiểu hơn so với trước đây.</t>
  </si>
  <si>
    <t>Tôi tin rằng Nhà nước sẽ thực thi chính sách một cách công bằng, nhưng do không phải đóng thuế nên cảm giác này chỉ ở mức độ trung bình.</t>
  </si>
  <si>
    <t>Mức giảm trừ gia cảnh cao và tôi không phải đóng thuế có nghĩa là thuế suất đối với thu nhập của tôi là hợp lý.</t>
  </si>
  <si>
    <t>Thuế tôi đóng được sử dụng để cải thiện các dịch vụ công, nhưng do không nộp thuế nên cảm giác này không mạnh mẽ.</t>
  </si>
  <si>
    <t>Nhà nước đã giải thích rõ ràng về mục tiêu của việc sửa đổi thuế, nhưng do không phải đóng thuế nên tôi không có động lực ủng hộ chính sách mới.</t>
  </si>
  <si>
    <t>Dù cảm thấy không bị ảnh hưởng trực tiếp bởi thuế, tôi vẫn ủng hộ vì đây là quyền lợi chung của xã hội. Tuy nhiên, tôi sẽ tuân thủ nếu cần.</t>
  </si>
  <si>
    <t>Hiện nay, với việc tăng giảm trừ gia cảnh và đơn giản hóa quy trình làm việc, hành vi gian lận trở nên khó khăn hơn. Do đó, tôi tin rằng các hành vi này sẽ dễ dàng bị phát hiện.</t>
  </si>
  <si>
    <t>Nhu cầu về công nghệ và nguồn lực đã được cải thiện để hỗ trợ việc quản lý thuế. Tuy nhiên, không có thông tin cụ thể về khả năng của cơ quan thuế trong việc xử lý nghiêm các hành vi trốn thuế.</t>
  </si>
  <si>
    <t>Quy trình khai báo thuế và làm việc với cơ quan thuế trở nên đơn giản hơn, giúp người dân dễ dàng thực hiện.</t>
  </si>
  <si>
    <t>Với số bậc thuế giảm đi, cách tính thuế trở nên rõ ràng và dễ hiểu hơn so với trước đây.</t>
  </si>
  <si>
    <t>Nhà nước đã cải thiện quy định quản lý thuế một cách công bằng và minh bạch. Việc tăng giảm trừ gia cảnh cũng giúp tôi không còn phải đóng thuế, tạo niềm tin vào sự khách quan của cơ quan thuế.</t>
  </si>
  <si>
    <t>Mức thuế mới là phù hợp với thu nhập của tôi và mức giảm trừ gia cảnh cao hơn đã làm giảm nghĩa vụ thuế của tôi. Điều này cho thấy mức thuế là công bằng.</t>
  </si>
  <si>
    <t>Việc cải cách thuế nhằm nâng cao chất lượng dịch vụ công, điều này tạo niềm tin rằng số tiền thuế tôi đóng sẽ được sử dụng hiệu quả.</t>
  </si>
  <si>
    <t>Nhà nước đã giải thích rõ ràng về mục tiêu của việc sửa đổi thuế. Tuy nhiên, chi tiết về cách sử dụng nguồn thu thuế chưa được cung cấp đầy đủ.</t>
  </si>
  <si>
    <t>Trước tác động tài chính tích cực và sự đơn giản hóa quy trình, tôi ủng hộ và tuân thủ chính sách mới. Tuy nhiên, tôi vẫn đa nghi một chút về việc sử dụng nguồn thu thuế.</t>
  </si>
  <si>
    <t>Hiện nay, công nghệ và các quy định quản lý thuế đã tiến bộ, tuy nhiên vẫn còn nhiều thách thức để phát hiện hành vi gian lận.</t>
  </si>
  <si>
    <t>Nhà nước và cơ quan thuế có nhiều công cụ kỹ thuật tiên tiến hơn nhưng việc phát hiện trốn thuế vẫn cần thời gian để hiệu quả hóa.</t>
  </si>
  <si>
    <t>Các quy trình làm việc với cơ quan thuế đã trở nên đơn giản hơn, thủ tục khai báo cũng thuận tiện hơn so với trước đây.</t>
  </si>
  <si>
    <t>Biểu thuế mới có ít bậc và dễ hiểu hơn, giúp người dân tính toán nhanh chóng và chính xác hơn.</t>
  </si>
  <si>
    <t>Tôi tin rằng Nhà nước sẽ công bằng trong việc thực thi các quy định về thuế</t>
  </si>
  <si>
    <t>Mức thuế theo phương án mới phù hợp với thu nhập của tôi, thấy được sự công bằng.</t>
  </si>
  <si>
    <t>Thuế đóng góp vào việc cải thiện dịch vụ công và phát triển cơ sở hạ tầng</t>
  </si>
  <si>
    <t>Nhà nước đã giải thích rõ ràng về mục đích của việc sửa đổi thuế, tạo niềm tin cho người dân</t>
  </si>
  <si>
    <t>Tôi ủng hộ và tuân thủ chính sách mới vì nó mang lại nhiều lợi ích và công bằng hơn so với trước đây.</t>
  </si>
  <si>
    <t>Dù không hoàn toàn chắc chắn, nhưng với việc tăng giảm trừ gia cảnh và đơn giản hóa biểu thuế, khả năng phát hiện hành vi gian lận có thể cao hơn.</t>
  </si>
  <si>
    <t>Nhà nước đã đầu tư công nghệ để cải thiện quản lý thuế, nhưng không biết chi tiết về mức độ hiệu quả của chúng.</t>
  </si>
  <si>
    <t>Quy trình làm việc với cơ quan thuế trở nên đơn giản hơn với biểu thuế mới và tăng giảm trừ gia cảnh.</t>
  </si>
  <si>
    <t>Biểu thuế mới có ít bậc, dễ hiểu hơn so với trước đây.</t>
  </si>
  <si>
    <t>Tôi tin rằng Nhà nước sẽ công tâm trong việc thực thi chính sách mới, nhưng không thể chắc chắn tuyệt đối.</t>
  </si>
  <si>
    <t>Thuế tôi phải đóng thấp hơn so với trước đây nên cảm thấy mức thuế này là hợp lý.</t>
  </si>
  <si>
    <t>Tài chính của tôi được cải thiện đáng kể sau khi giảm thuế, do đó tin rằng số tiền thuế đóng sẽ được sử dụng hiệu quả cho công ích.</t>
  </si>
  <si>
    <t>Nhà nước đã giải thích rõ ràng về mục tiêu và lợi ích của việc sửa đổi thuế, nhưng vẫn có thể cải thiện hơn trong việc truyền tải thông tin.</t>
  </si>
  <si>
    <t>Dù vẫn có một số lo ngại về sự công bằng, tôi ủng hộ chính sách mới vì nó mang lại lợi ích tài chính đáng kể cho tôi.</t>
  </si>
  <si>
    <t>Tăng cường quản lý thuế và công nghệ hiện đại có thể giúp phát hiện gian lận, nhưng thực tế còn phụ thuộc vào sự tận tâm của cơ quan thuế.</t>
  </si>
  <si>
    <t>Cơ quan thuế đã đầu tư vào công nghệ, tuy nhiên, hiệu quả thực thi vẫn cần thời gian để nâng cao.</t>
  </si>
  <si>
    <t>Quy trình khai báo thuế đơn giản hơn, nhưng việc thay đổi mức thuế và bậc thuế có thể gây khó hiểu cho một số người.</t>
  </si>
  <si>
    <t>Ngưỡng giảm trừ gia cảnh cao hơn và số bậc thuế ít đi khiến tính toán thuế trở nên dễ dàng hơn, phù hợp với tôi.</t>
  </si>
  <si>
    <t>Tôi tin rằng cơ quan thuế sẽ thực thi chính sách một cách công bằng, nhưng sự minh bạch về việc sử dụng thuế còn cần cải thiện.</t>
  </si>
  <si>
    <t>Mức thuế mới phù hợp với thu nhập của tôi, tạo cảm giác công bằng hơn so với trước đây.</t>
  </si>
  <si>
    <t>Tôi tin rằng tiền thuế sẽ được sử dụng hiệu quả cho lợi ích chung, nhưng cần có thông tin cụ thể về cách sử dụng.</t>
  </si>
  <si>
    <t>Nhà nước đã giải thích rõ mục tiêu của chính sách mới, nhưng tôi mong muốn có thêm thông tin chi tiết hơn về quy trình thực hiện.</t>
  </si>
  <si>
    <t>Sau khi xem xét các lợi ích và nghĩa vụ, tôi ủng hộ chính sách mới vì nó tạo ra sự công bằng và tiết kiệm cho tôi.</t>
  </si>
  <si>
    <t>Dù cơ quan thuế có công nghệ hiện đại, nhưng tôi nghi ngờ khả năng phát hiện trốn thuế ở mức độ cá nhân do quy mô lớn và sự phức tạp của các giao dịch kinh tế.</t>
  </si>
  <si>
    <t>Tôi tin rằng cơ quan thuế có thể sử dụng công nghệ để phát hiện gian lận, nhưng khả năng thực thi hiệu quả còn phụ thuộc vào nguồn lực và quy trình quản lý của họ.</t>
  </si>
  <si>
    <t>Quy trình khai báo đơn giản hơn trước, không cần nhiều giấy tờ rườm rà như trước đây, nhưng vẫn có thể tốn thời gian nếu gặp trục trặc.</t>
  </si>
  <si>
    <t>Cách tính thuế rõ ràng và dễ hiểu hơn so với trước, đặc biệt là sau khi giảm số bậc thuế, tuy nhiên, tôi cho rằng việc áp dụng các mức thuế mới vẫn cần thêm thời gian để quen thuộc.</t>
  </si>
  <si>
    <t>Tôi tin tưởng cơ quan thuế sẽ thực thi chính sách công bằng và khách quan, nhưng thực tế còn phụ thuộc vào cách cụ thể họ áp dụng các quy định mới.</t>
  </si>
  <si>
    <t>Mức thuế mới phù hợp với thu nhập của tôi, giảm gánh nặng về mặt tài chính. Tôi thấy đây là mức thuế công bằng cho người có thu nhập như tôi.</t>
  </si>
  <si>
    <t>Thuế đóng góp vào các dịch vụ công quan trọng như y tế và hạ tầng, tôi tin tưởng chúng sẽ được sử dụng hiệu quả. Tuy nhiên, thông tin về cách sử dụng nguồn thu thuế còn cần minh bạch hơn.</t>
  </si>
  <si>
    <t>Tôi đồng ý với việc giải thích về mục tiêu của chính sách mới, nhưng thêm nhiều thông tin chi tiết về cách thực hiện và đánh giá hiệu quả sẽ làm tăng niềm tin hơn.</t>
  </si>
  <si>
    <t>Chính sách mới giảm gánh nặng thuế cho tôi, đơn giản hóa quy trình khai báo và minh bạch hóa mức thuế. Tôi ủng hộ việc cải cách này và sẽ tuân thủ.</t>
  </si>
  <si>
    <t>Việc tăng mức giảm trừ gia cảnh và đơn giản hóa biểu thuế có thể làm giảm khả năng phát hiện hành vi gian lận, nhưng với công nghệ ngày nay, việc kiểm soát thuế vẫn rất hiệu quả.</t>
  </si>
  <si>
    <t>Cơ quan thuế đã cải thiện đáng kể về hệ thống và công nghệ quản lý thuế, tuy nhiên, vẫn cần có sự giám sát chặt chẽ để phát hiện hành vi trốn thuế hiệu quả.</t>
  </si>
  <si>
    <t>Quy trình khai báo thuế trở nên đơn giản hơn, nhưng việc phải tuân thủ nhiều quy định phức tạp về thuế vẫn còn gây khó khăn cho người dân.</t>
  </si>
  <si>
    <t>Biểu thuế mới đơn giản hơn so với trước đây, dễ hiểu và thực hiện hơn, giảm bớt rắc rối trong việc tính thuế.</t>
  </si>
  <si>
    <t>Tôi tin rằng cơ quan thuế sẽ công bằng khi áp dụng chính sách mới, nhưng vẫn cần có thêm minh bạch về cách thức thực thi.</t>
  </si>
  <si>
    <t>Mức thuế mới cho thấy sự công bằng hơn so với trước đây, giảm gánh nặng tài chính đối với người thu nhập trung bình như tôi.</t>
  </si>
  <si>
    <t>Thực tế, số tiền thuế đóng sẽ được sử dụng hiệu quả để cải thiện dịch vụ công, nhưng cần thêm minh bạch về cách thức sử dụng.</t>
  </si>
  <si>
    <t>Nhà nước đã giải thích khá rõ ràng về mục tiêu và lý do của việc sửa đổi thuế lần này, tăng niềm tin vào chính sách mới.</t>
  </si>
  <si>
    <t>Dựa trên tác động tài chính tích cực và sự đơn giản hóa quy trình khai báo, tôi ủng hộ và tuân thủ chính sách mới hiện nay.</t>
  </si>
  <si>
    <t>Cơ quan thuế có nhiều biện pháp kiểm soát và công nghệ hiện đại, nhưng vẫn còn phụ thuộc vào sự tuân thủ của người dân. Với mức thuế giảm, khả năng phát hiện trốn thuế có thể bị hạn chế.</t>
  </si>
  <si>
    <t>Nhà nước đã đầu tư vào công nghệ và nhân lực để tăng cường quản lý, tuy nhiên, vẫn cần sự phối hợp của người dân trong việc khai báo chính xác.</t>
  </si>
  <si>
    <t>Quy trình khai thuế trở nên đơn giản hơn với mức giảm trừ gia cảnh cao và số bậc thuế ít đi. Tuy nhiên, vẫn còn một số thủ tục cần cải tiến nữa.</t>
  </si>
  <si>
    <t>Biểu thuế mới dễ hiểu và thực hiện đơn giản hơn so với trước đây. Việc tăng mức giảm trừ gia cảnh giúp tính toán thuận tiện hơn.</t>
  </si>
  <si>
    <t>Tôi tin rằng cơ quan thuế sẽ công bằng trong việc áp dụng chính sách, nhưng vẫn cần thêm minh bạch từ phía Nhà nước về cách thực hiện.</t>
  </si>
  <si>
    <t>Chính sách mới tạo ra sự công bằng cho người có thu nhập như tôi. Mức thuế giảm giúp tài chính gia đình cải thiện.</t>
  </si>
  <si>
    <t>Thuế đóng góp vào các dịch vụ công, tôi tin rằng số tiền đã đóng sẽ được sử dụng hiệu quả để nâng cao chất lượng cuộc sống của người dân.</t>
  </si>
  <si>
    <t>Nhà nước đã giải thích rõ ràng về mục tiêu và lý do thay đổi thuế. Tuy nhiên, vẫn cần thêm thông tin cụ thể hơn từ các cơ quan thuế.</t>
  </si>
  <si>
    <t>Tôi ủng hộ chính sách mới vì nó tạo ra sự công bằng và giảm gánh nặng tài chính cho người dân. Tôi sẽ tuân thủ để hưởng lợi ích từ chính sách này.</t>
  </si>
  <si>
    <t>Nếu thuế được quản lý chặt chẽ hơn, tôi tin rằng hành vi gian lận hoặc trốn thuế sẽ bị phát hiện. Tuy nhiên, việc thực thi vẫn phụ thuộc vào hiệu quả của cơ quan thuế.</t>
  </si>
  <si>
    <t>Nếu có công nghệ và nguồn lực mạnh mẽ, Nhà nước có thể xử lý nghiêm các hành vi trốn thuế một cách hiệu quả. Tuy nhiên, tôi không chắc chắn về khả năng thực thi hiện tại.</t>
  </si>
  <si>
    <t>Quy trình khai thuế trở nên đơn giản hơn với mức giảm trừ gia cảnh lớn hơn và số bậc thuế ít đi. Điều này giúp việc làm thủ tục thuế thuận tiện hơn cho người dân.</t>
  </si>
  <si>
    <t>Biểu thuế mới có thể dễ hiểu hơn, tuy nhiên vẫn cần thời gian để quen thuộc với các thay đổi. Số bậc thuế ít đi giúp việc tính toán thuế trở nên đơn giản hơn.</t>
  </si>
  <si>
    <t>Tôi tin rằng cơ quan thuế sẽ thực thi chính sách một cách công bằng, mặc dù tôi vẫn có đôi chút lo ngại về khả năng thực hiện.</t>
  </si>
  <si>
    <t>Mức thuế mới giảm đáng kể so với trước đây, điều này cho thấy mức thuế là hợp lý đối với thu nhập của tôi. Nó thể hiện tính công bằng trong việc phân chia gánh nặng thuế giữa các tầng lớp.</t>
  </si>
  <si>
    <t>Thuế tôi đóng sẽ được sử dụng để cải thiện các dịch vụ công, mặc dù cụ thể về cách sử dụng chưa rõ ràng. Tôi hy vọng rằng số tiền đóng thuế sẽ được quản lý hiệu quả.</t>
  </si>
  <si>
    <t>Tôi đồng ý với việc điều chỉnh thuế lần này để cải thiện tính đơn giản và công bằng, tuy nhiên giải thích về mục tiêu cụ thể của nó chưa rõ ràng cho tôi.</t>
  </si>
  <si>
    <t>Đầu tư vào các quyền lợi như mức giảm trừ gia cảnh lớn hơn và số bậc thuế ít đi đã khiến tôi ủng hộ chính sách mới. Tuy nhiên, việc cải thiện tin tưởng trong quản lý thuế cần thời gian.</t>
  </si>
  <si>
    <t>Hiện nay, cơ quan thuế đã có nhiều biện pháp quản lý và công nghệ hiện đại để phát hiện hành vi gian lận hoặc trốn thuế. Tuy nhiên, việc xử lý nghiêm vẫn phụ thuộc vào hiệu quả thực thi.</t>
  </si>
  <si>
    <t>Nhà nước đã đầu tư nhiều nguồn lực vào hệ thống công nghệ thông tin để hỗ trợ quản lý thuế, tuy vậy, vấn đề nhân sự và quy trình xử lý vẫn cần cải thiện.</t>
  </si>
  <si>
    <t>Quy trình khai báo thuế trở nên đơn giản hơn với số bậc thuế giảm. Các hướng dẫn cũng rõ ràng hơn, nhưng người dân vẫn gặp khó khăn trong việc hiểu và áp dụng.</t>
  </si>
  <si>
    <t>Số bậc thuế giảm và mức thuế suất rõ ràng giúp việc tính thuế dễ dàng hơn. Tuy nhiên, cần thêm hướng dẫn cụ thể để người nộp thuế nắm bắt.</t>
  </si>
  <si>
    <t>Tôi tin rằng Nhà nước sẽ thực thi chính sách một cách công bằng và khách quan, nhưng vẫn có sự khác biệt trong cách hiểu giữa các bên</t>
  </si>
  <si>
    <t>Đối với thu nhập của tôi, mức thuế mới là hợp lý. Tuy nhiên, cần thêm thời gian để thấy rõ hiệu quả thực tế.</t>
  </si>
  <si>
    <t>Thuế đóng góp vào cải thiện chất lượng dịch vụ công. Tôi hy vọng số tiền này sẽ được sử dụng một cách hiệu quả.</t>
  </si>
  <si>
    <t>Nhà nước đã giải thích rõ về mục tiêu của việc sửa đổi thuế, nhưng cần thêm thông tin chi tiết về quy trình thực thi</t>
  </si>
  <si>
    <t>Trong tổng thể, tôi ủng hộ và tuân thủ chính sách mới. Việc giảm trừ gia cảnh tăng lên làm cho mức thuế của tôi hợp lý hơn.</t>
  </si>
  <si>
    <t>Việc tăng mức giảm trừ gia cảnh và đơn giản hóa biểu thuế có thể làm giảm cơ hội trốn thuế, nhưng vẫn cần sự giám sát chặt chẽ từ phía nhà nước để phát hiện hành vi gian lận.</t>
  </si>
  <si>
    <t>Nhà nước đã đầu tư công nghệ và nguồn lực vào việc cải cách thuế, tăng cường khả năng giám sát và xử lý trốn thuế hiệu quả hơn so với trước đây.</t>
  </si>
  <si>
    <t>Quy trình khai báo và làm việc với cơ quan thuế trở nên đơn giản hơn với các biện pháp cải cách, nhưng vẫn cần thêm thời gian để mọi người quen thuộc với quy định mới.</t>
  </si>
  <si>
    <t>Biểu thuế mới có ít bậc hơn và dễ hiểu hơn so với trước đây, giúp việc tính toán và nộp thuế trở nên thuận tiện hơn.</t>
  </si>
  <si>
    <t>Tôi tin rằng Nhà nước sẽ thực thi chính sách một cách công bằng vì mức giảm trừ gia cảnh tăng lên, tạo ra sự công bằng trong việc phân bổ gánh nặng thuế cho người dân.</t>
  </si>
  <si>
    <t>Mức thuế mới theo phương án cải cách là hợp lý, phù hợp với thu nhập của tôi và nhiều người cùng mức thu nhập khác.</t>
  </si>
  <si>
    <t>Thuế đóng góp vào các dịch vụ công quan trọng như y tế và hạ tầng giao thông, giúp cải thiện chất lượng cuộc sống của mọi người.</t>
  </si>
  <si>
    <t>Nhà nước đã giải thích rõ ràng về mục tiêu và lý do của việc cải cách thuế mới, tạo nên sự minh bạch trong quá trình thực hiện chính sách</t>
  </si>
  <si>
    <t>Tôi ủng hộ và tuân thủ chính sách mới vì nó mang lại lợi ích tài chính rõ ràng cho tôi và cộng đồng.</t>
  </si>
  <si>
    <t>Hiện nay, quy định quản lý thuế khá chặt chẽ với nhiều biện pháp phát hiện gian lận hoặc trốn thuế. Với sự hỗ trợ của công nghệ, khả năng phát hiện vi phạm cao hơn.</t>
  </si>
  <si>
    <t>Nhà nước đã đầu tư vào công nghệ và nguồn lực để xử lý nghiêm các trường hợp trốn thuế, cho thấy khả năng thực thi hiệu quả.</t>
  </si>
  <si>
    <t>Quy trình khai báo thuế hiện nay đơn giản hơn với việc giảm số bậc thuế, người dân dễ dàng thực hiện hơn.</t>
  </si>
  <si>
    <t>Biểu thuế mới có ít bậc hơn, dễ hiểu và thực hiện thuận lợi hơn so với trước đây, giúp tiết kiệm thời gian cho người nộp thuế.</t>
  </si>
  <si>
    <t>Tôi tin rằng Nhà nước sẽ thực thi chính sách một cách công bằng và khách quan, vì mức giảm trừ gia cảnh và thuế suất mới phù hợp với thu nhập của tôi.</t>
  </si>
  <si>
    <t>Mức thuế mới giảm đáng kể so với trước đây, tôi thấy rằng mình đóng mức thuế này là công bằng cho thu nhập hiện tại của mình.</t>
  </si>
  <si>
    <t>Tiền thuế đóng góp vào việc cải thiện dịch vụ công như y tế và giao thông, giúp cuộc sống tốt hơn cho người dân.</t>
  </si>
  <si>
    <t>Nhà nước đã giải thích rõ ràng mục tiêu của chính sách mới, khiến tôi cảm thấy tin tưởng vào việc thực hiện chính sách này.</t>
  </si>
  <si>
    <t>Sau khi xem xét các quyền lợi và nghĩa vụ, tôi ủng hộ và tuân thủ chính sách thuế mới vì nó mang lại nhiều lợi ích cho người dân như tôi.</t>
  </si>
  <si>
    <t>Dù thu nhập và số người phụ thuộc tăng, mức giảm trừ gia cảnh cao nên không phải đóng thuế. Tuy nhiên, tôi vẫn nghi ngờ về khả năng phát hiện trốn thuế của cơ quan thuế.</t>
  </si>
  <si>
    <t>Mức giảm trừ gia cảnh và đơn giản hóa biểu thuế giúp việc quản lý thuế dễ dàng hơn, nhưng không đảm bảo 100% sẽ phát hiện được hành vi trốn thuế.</t>
  </si>
  <si>
    <t>Quy trình khai thuế trở nên đơn giản hơn, nhưng vẫn cần thời gian quen với các thay đổi mới.</t>
  </si>
  <si>
    <t>Biểu thuế đã được đơn giản hóa và dễ hiểu hơn so với trước đây. Cách tính thuế rõ ràng, phù hợp với thu nhập của tôi.</t>
  </si>
  <si>
    <t>Tôi tin rằng cơ quan thuế sẽ thực hiện chính sách một cách công tâm, đặc biệt khi mức giảm trừ gia cảnh cao giúp nhiều người không phải đóng thuế.</t>
  </si>
  <si>
    <t>Thuế tôi phải đóng theo phương án mới phù hợp với thu nhập của mình. Mức độ công bằng được đảm bảo với mức giảm trừ gia cảnh cao.</t>
  </si>
  <si>
    <t>Tôi tin rằng số tiền thuế đóng sẽ được sử dụng hiệu quả để cải thiện dịch vụ công, đặc biệt là y tế và giao thông.</t>
  </si>
  <si>
    <t>Nhà nước đã giải thích rõ về lý do và mục tiêu của việc sửa đổi thuế. Thông tin minh bạch giúp tăng niềm tin.</t>
  </si>
  <si>
    <t>Chính sách mới mang lại lợi ích đáng kể cho tôi. Tôi sẽ ủng hộ và tuân thủ chính sách này.</t>
  </si>
  <si>
    <t>Với việc đơn giản hóa các quy định về thuế, khả năng phát hiện hành vi gian lận hoặc trốn thuế có thể giảm. Tuy nhiên, cơ quan thuế vẫn có công nghệ và nguồn lực để giám sát.</t>
  </si>
  <si>
    <t>Nhà nước đã đầu tư vào hệ thống công nghệ thông tin của cơ quan thuế, tăng cường khả năng theo dõi và xử lý các hành vi trốn thuế.</t>
  </si>
  <si>
    <t>Quy trình khai báo thuế trở nên đơn giản hơn so với trước đây do số bậc thuế giảm từ 7 xuống còn 5, làm cho việc thực hiện thuận tiện hơn.</t>
  </si>
  <si>
    <t>Với việc tăng mức giảm trừ gia cảnh và đơn giản hóa biểu thuế, cách tính thuế trở nên dễ hiểu hơn, giúp người dân thực hiện nhanh chóng hơn.</t>
  </si>
  <si>
    <t>Tôi tin rằng Nhà nước sẽ thực thi chính sách một cách công bằng và khách quan, nhưng cần thời gian để nhìn nhận về hiệu quả của chính sách mới.</t>
  </si>
  <si>
    <t>Mức thuế mới phù hợp với thu nhập hiện tại của tôi, giúp giảm áp lực tài chính và tăng cảm giác công bằng.</t>
  </si>
  <si>
    <t>Tiết kiệm được tiền thuế có thể được sử dụng để cải thiện dịch vụ công, nhưng cần thời gian để đánh giá hiệu quả cụ thể.</t>
  </si>
  <si>
    <t>Nhà nước đã giải thích rõ về mục tiêu và lý do của việc sửa đổi chính sách thuế, tuy nhiên, tôi mong muốn có thêm thông tin chi tiết hơn.</t>
  </si>
  <si>
    <t>Sau khi xem xét các quyền lợi và nghĩa vụ mới, tôi ủng hộ và tuân thủ chính sách mới vì nó mang lại nhiều lợi ích cho người dân như tôi.</t>
  </si>
  <si>
    <t>Việc tăng mức giảm trừ gia cảnh và đơn giản hóa biểu thuế có thể làm giảm khả năng phát hiện hành vi trốn thuế, nhưng vẫn tin tưởng cơ quan thuế sẽ thực thi công bằng.</t>
  </si>
  <si>
    <t>Công nghệ ngày càng tiến bộ giúp cơ quan thuế dễ dàng quản lý và giám sát hơn, do đó khả năng phát hiện trốn thuế được nâng cao.</t>
  </si>
  <si>
    <t>So với trước đây, thủ tục khai báo thuế trở nên đơn giản hơn nhờ việc giảm số bậc thuế và tăng mức giảm trừ gia cảnh.</t>
  </si>
  <si>
    <t>Biểu thuế mới rõ ràng và dễ hiểu hơn, giúp người dân tính toán chính xác số tiền cần đóng mà không còn cảm thấy bối rối.</t>
  </si>
  <si>
    <t>Tăng mức giảm trừ gia cảnh và đơn giản hóa biểu thuế tạo ra một hệ thống công bằng hơn, tôi tin Nhà nước sẽ thực thi công bằng.</t>
  </si>
  <si>
    <t>Thuế tôi phải đóng theo phương án mới phù hợp với thu nhập của tôi, do đó tôi thấy mức này là công bằng.</t>
  </si>
  <si>
    <t>Nhà nước đã sử dụng số tiền thuế để cải thiện các dịch vụ công như y tế và đường xá, tạo niềm tin cho người dân.</t>
  </si>
  <si>
    <t>Cơ quan thuế đã giải thích rõ ràng về mục tiêu của việc sửa đổi luật thuế lần này, tôi thấy đây là một quyết định cần thiết.</t>
  </si>
  <si>
    <t>Sau khi xem xét các quyền lợi và nghĩa vụ, tôi ủng hộ và tuân thủ chính sách mới vì nó tạo ra sự công bằng và thuận tiện hơn.</t>
  </si>
  <si>
    <t>Hiện nay, các quy định quản lý thuế đã được cải thiện đáng kể với nhiều công cụ phát hiện gian lận và trốn thuế. Tuy nhiên, để đảm bảo hiệu quả, vẫn cần sự giám sát chặt chẽ từ phía người dân và cơ quan chức năng.</t>
  </si>
  <si>
    <t>Nhà nước đã đầu tư vào công nghệ cao để quản lý thuế một cách hiệu quả. Tuy nhiên, tình trạng trốn thuế vẫn còn tồn tại do nhiều yếu tố như sự thiếu hiểu biết của người dân.</t>
  </si>
  <si>
    <t>So với trước đây, quy trình khai báo và làm việc với cơ quan thuế đã đơn giản hơn. Tuy nhiên, quá trình này vẫn có thể cải thiện nhiều hơn nữa để phục vụ người dân tốt hơn.</t>
  </si>
  <si>
    <t>Biểu thuế mới đơn giản hơn với ít bậc thuế và ngưỡng chịu thuế rõ ràng hơn, giúp việc tính toán và thực hiện dễ dàng hơn.</t>
  </si>
  <si>
    <t>Tôi tin rằng Nhà nước sẽ công bằng khi áp dụng chính sách thuế mới. Mức giảm trừ gia cảnh tăng lên đã làm giảm số tiền tôi phải đóng thuế, tạo cảm giác công bằng.</t>
  </si>
  <si>
    <t>Mức thuế mới là hợp lý cho thu nhập của tôi. Với mức giảm trừ gia cảnh cao hơn, tôi thấy việc đóng thuế là công bằng và phù hợp với tình hình tài chính hiện tại.</t>
  </si>
  <si>
    <t>Tiền thuế mà tôi đóng sẽ được sử dụng hiệu quả để cải thiện các dịch vụ công. Tuy nhiên, vẫn cần có sự minh bạch về cách sử dụng nguồn thu này.</t>
  </si>
  <si>
    <t>Nhà nước đã giải thích rõ ràng mục tiêu của việc sửa đổi thuế, tuy nhiên, tôi mong muốn có thêm thông tin chi tiết về các biện pháp cụ thể để thực hiện chính sách mới hiệu quả hơn.</t>
  </si>
  <si>
    <t>Tổng hợp từ tất cả các yếu tố trên, tôi ủng hộ và tuân thủ chính sách thuế mới. Việc giảm thuế và tăng mức giảm trừ gia cảnh đã giúp cải thiện tình hình tài chính của tôi.</t>
  </si>
  <si>
    <t>Dù thuế đã được miễn trừ, nhưng tôi vẫn tin tưởng vào khả năng phát hiện và xử lý nghiêm các hành vi trốn thuế của cơ quan thuế.</t>
  </si>
  <si>
    <t>Nhà nước có công nghệ và nguồn lực để giám sát và quản lý thuế hiệu quả, nhưng thực tế cần nhìn vào hiệu suất cụ thể hơn.</t>
  </si>
  <si>
    <t>Quy trình khai báo thuế trở nên đơn giản với mức giảm trừ gia cảnh cao và số bậc thuế giảm, khiến việc làm thủ tục dễ dàng hơn.</t>
  </si>
  <si>
    <t>Các bậc thuế mới rõ ràng hơn so với trước đây, giúp tôi hiểu được cách tính thuế của mình một cách nhanh chóng.</t>
  </si>
  <si>
    <t>Tôi tin tưởng rằng cơ quan thuế sẽ xử lý công bằng và khách quan đối với mọi người nộp thuế, đặc biệt là mức giảm trừ gia cảnh cao đã giảm gánh nặng cho tôi.</t>
  </si>
  <si>
    <t>Mức thuế mới được thiết lập một cách hợp lý, phù hợp với thu nhập của tôi và số lượng người phụ thuộc.</t>
  </si>
  <si>
    <t>Thuế được sử dụng để cải thiện dịch vụ công như y tế, giáo dục, hạ tầng, tôi tin rằng việc đóng thuế có ích cho xã hội.</t>
  </si>
  <si>
    <t>Cơ quan thuế đã giải thích rõ ràng về lý do và mục tiêu của việc sửa đổi chính sách thuế lần này, làm tăng niềm tin của tôi.</t>
  </si>
  <si>
    <t>Sau khi xem xét các quyền lợi mới, tôi ủng hộ và tuân thủ chính sách mới vì nó mang lại nhiều ưu đãi cho tôi.</t>
  </si>
  <si>
    <t>Hiện nay, cơ quan thuế đã có nhiều biện pháp kiểm soát và xử lý nghiêm các hành vi gian lận, trốn thuế. Tuy nhiên, do chưa biết rõ về khả năng quản lý thực tế của họ, tôi cho điểm 7.</t>
  </si>
  <si>
    <t>Cơ quan thuế đã cải tiến công nghệ để phát hiện các hành vi gian lận. Với việc tăng giảm trừ gia cảnh và đơn giản hóa biểu thuế, khả năng phát hiện sẽ hiệu quả hơn, tôi cho điểm 8.</t>
  </si>
  <si>
    <t>So với trước đây, quy trình khai báo và làm việc với cơ quan thuế đã trở nên đơn giản hơn. Tuy nhiên, vẫn cần thêm thời gian để mọi người quen thuộc với quy trình mới, tôi cho điểm 7.</t>
  </si>
  <si>
    <t>Biểu thuế mới rõ ràng và dễ hiểu hơn so với trước đây, giảm độ phức tạp. Tôi tiết kiệm được nhiều tiền nhờ mức giảm trừ gia cảnh tăng lên, do đó cảm thấy thuận tiện và đơn giản hóa hơn, tôi cho điểm 9.</t>
  </si>
  <si>
    <t>Tôi tin rằng cơ quan thuế sẽ thực thi chính sách một cách công bằng. Mặc dù có sự phức tạp trong việc tính toán, nhưng mức giảm trừ gia cảnh tăng đã làm giảm gánh nặng cho tôi, do đó tôi tin tưởng hơn về việc họ áp dụng chính sách này, tôi cho điểm 8.</t>
  </si>
  <si>
    <t>Theo quy định mới, mức thuế tôi phải đóng là hợp lý. Với thu nhập của mình, mức thuế giảm đã tạo cảm giác công bằng hơn so với trước đây, tôi cho điểm 9.</t>
  </si>
  <si>
    <t>Nhà nước đã sử dụng số tiền thuế mà tôi đóng vào cải thiện các dịch vụ công như y tế và giao thông. Mức giảm trừ gia cảnh tăng cũng giúp tôi cảm thấy số tiền mình đóng là đáng giá, do đó tôi cho điểm 8.</t>
  </si>
  <si>
    <t>Đã có nhiều giải thích từ nhà nước về lý do và mục tiêu của việc sửa đổi thuế. Tôi tin rằng thông qua những giải thích này, sự minh bạch đã tăng lên, tôi cho điểm 9.</t>
  </si>
  <si>
    <t>Sau khi xem xét tất cả các yếu tố, tôi ủng hộ và tuân thủ chính sách mới vì nó tạo ra cảm giác công bằng và thuận tiện hơn. Tôi tiết kiệm được tiền thuế nên thấy lợi ích rõ ràng từ việc này, do đó tôi cho điểm 9.</t>
  </si>
  <si>
    <t>Nếu cơ quan thuế có công nghệ hiện đại, khả năng phát hiện gian lận và trốn thuế sẽ tăng lên. Tuy nhiên, tôi không hoàn toàn tin rằng tất cả các trường hợp trốn thuế đều sẽ bị phát hiện.</t>
  </si>
  <si>
    <t>Việc sử dụng công nghệ trong quản lý thuế có thể giúp nâng cao hiệu quả giám sát và xử lý gian lận, nhưng cần thời gian để triển khai rộng rãi và đạt kết quả tốt.</t>
  </si>
  <si>
    <t>Quy trình làm việc với cơ quan thuế trở nên đơn giản hơn, thủ tục khai báo thuế cũng thuận tiện hơn. Điều này giúp người dân dễ dàng thực hiện nghĩa vụ của mình.</t>
  </si>
  <si>
    <t>Bậc thuế giảm và mức giảm trừ gia cảnh tăng làm cho việc tính thuế trở nên rõ ràng, dễ hiểu hơn so với trước đây.</t>
  </si>
  <si>
    <t>Tôi tin rằng Nhà nước sẽ thực thi chính sách một cách công bằng đối với mọi người nộp thuế. Việc giảm thuế và đơn giản hóa quy trình làm việc tạo ra sự công bằng trong việc phân bổ gánh nặng thuế.</t>
  </si>
  <si>
    <t>Với mức thu nhập của tôi, mức thuế mới là hợp lý. Mức thuế giảm giúp tăng niềm tin về tính công bằng của hệ thống thuế.</t>
  </si>
  <si>
    <t>Thuế đóng góp vào các dịch vụ công quan trọng như y tế và giao thông. Tôi tin rằng số tiền tôi đóng sẽ được sử dụng hiệu quả để cải thiện chất lượng cuộc sống của người dân.</t>
  </si>
  <si>
    <t>Nhà nước đã cung cấp thông tin chi tiết về mục tiêu và lý do đằng sau việc sửa đổi thuế, giúp tôi hiểu rõ hơn về chính sách mới.</t>
  </si>
  <si>
    <t>Sau khi xem xét các quyền lợi và nghĩa vụ theo chính sách mới, tôi ủng hộ và tuân thủ. Việc giảm thuế và đơn giản hóa quy trình làm việc giúp tôi dễ dàng chấp nhận và thực hiện nghĩa vụ của mình.</t>
  </si>
  <si>
    <t>Do mức giảm trừ gia cảnh cao hơn thu nhập nên tôi không cần đóng thuế, nhưng vẫn tin rằng các cơ quan thuế có đủ năng lực phát hiện gian lận.</t>
  </si>
  <si>
    <t>Tôi tin vào khả năng công nghệ và nhân sự của cơ quan thuế trong việc quản lý và xử lý gian lận, mặc dù không phải đóng thuế.</t>
  </si>
  <si>
    <t>Quy trình khai báo đơn giản hơn do giảm trừ gia cảnh cao, nhưng vẫn cần tuân thủ các quy định.</t>
  </si>
  <si>
    <t>Bậc thuế và cách tính thuế rõ ràng hơn, dễ hiểu, phù hợp với thu nhập của tôi.</t>
  </si>
  <si>
    <t>Tôi tin rằng cơ quan thuế sẽ thực thi công bằng vì mức giảm trừ gia cảnh cao nên không ảnh hưởng đến tôi.</t>
  </si>
  <si>
    <t>Mức thuế theo phương án mới là công bằng cho thu nhập của tôi và người cùng ngành nghề.</t>
  </si>
  <si>
    <t>Thuế đóng sẽ được sử dụng hiệu quả vào các dịch vụ công, cải thiện cuộc sống.</t>
  </si>
  <si>
    <t>Tôi thấy Nhà nước đã giải thích rõ ràng mục tiêu của việc sửa đổi thuế lần này.</t>
  </si>
  <si>
    <t>Sau khi xem xét, tôi ủng hộ và tuân thủ chính sách mới vì mức giảm trừ gia cảnh cao giúp không phải đóng thuế.</t>
  </si>
  <si>
    <t>Dù công nghệ phát triển, nhưng với quy định quản lý thuế hiện tại, việc phát hiện và xử lý trốn thuế vẫn còn nhiều khó khăn. Thực tế, có rất ít trường hợp bị phát hiện và xử lý gian lận tax.</t>
  </si>
  <si>
    <t>Nhà nước đã đầu tư vào công nghệ, nhưng hiệu quả thực tế trong việc kiểm soát thuế còn hạn chế do quy định quản lý chưa hoàn thiện.</t>
  </si>
  <si>
    <t>Quy trình khai thuế và làm việc với cơ quan thuế trở nên đơn giản hơn khi giảm bớt các bước cần thực hiện. Điều này giúp người dân dễ dàng tiếp cận hơn.</t>
  </si>
  <si>
    <t>Biểu thuế mới đã đơn giản hóa nhiều, giảm số bậc từ 7 xuống còn 5, làm cho việc tính toán thu nhập và thuế trở nên rõ ràng hơn.</t>
  </si>
  <si>
    <t>Tôi tin rằng Nhà nước sẽ công tâm trong việc thực thi chính sách mới. Tuy nhiên, do sự phức tạp của hệ thống thuế trước đây, niềm tin này không hoàn toàn chắc chắn.</t>
  </si>
  <si>
    <t>Thuế tôi phải đóng theo phương án mới thấp hơn so với trước, điều này làm tăng cảm giác công bằng. Tuy nhiên, do mức thu nhập cố định và có người phụ thuộc nên vẫn còn lo ngại về sự cân đối.</t>
  </si>
  <si>
    <t>Số tiền thuế tôi đóng sẽ được sử dụng để cải thiện các dịch vụ công như y tế và đường xá, nhưng hiệu quả sử dụng nguồn lực này còn phụ thuộc vào quản lý của Nhà nước.</t>
  </si>
  <si>
    <t>Nhà nước đã giải thích rõ ràng về mục tiêu sửa đổi thuế, nhưng việc thực thi chính sách mới vẫn cần thêm thời gian để người dân hiểu và tin tưởng.</t>
  </si>
  <si>
    <t>Dù có nhiều cải tiến, tôi vẫn có một số lo lắng về cách quản lý thuế. Tuy nhiên, với lợi ích tài chính rõ ràng, tôi sẽ ủng hộ và tuân thủ chính sách mới.</t>
  </si>
  <si>
    <t>Công nghệ và nhân lực của cơ quan thuế được đầu tư, nhưng còn phụ thuộc vào ý thức tuân thủ của người dân.</t>
  </si>
  <si>
    <t>Quy trình khai báo thuế đơn giản hơn, dễ thực hiện</t>
  </si>
  <si>
    <t>Biểu thuế mới đơn giản hóa bậc thuế, dễ hiểu và thực hiện</t>
  </si>
  <si>
    <t>Tin rằng cơ quan thuế sẽ công tâm trong việc thực thi chính sách</t>
  </si>
  <si>
    <t>Mức giảm trừ gia cảnh và bậc thuế mới mang tính công bằng cho thu nhập trung bình như tôi</t>
  </si>
  <si>
    <t>Tiết kiệm được tiền thuế, tin rằng số tiền này sẽ được sử dụng hiệu quả trong dịch vụ công</t>
  </si>
  <si>
    <t>Nhận thấy giải thích về mục tiêu sửa đổi chính sách thuế là đầy đủ và minh bạch</t>
  </si>
  <si>
    <t>Chấp nhận và ủng hộ chính sách mới vì lợi ích tài chính và tính công bằng</t>
  </si>
  <si>
    <t>Dù quy định quản lý thuế hiện nay đã tốt hơn, nhưng việc xử lý nghiêm các hành vi gian lận hay trốn thuế vẫn còn khó khăn do thiếu nhân lực và công nghệ. Tuy nhiên, với cải cách này, khả năng phát hiện có thể tăng lên.</t>
  </si>
  <si>
    <t>Việc Nhà nước và cơ quan thuế áp dụng công nghệ trong quản lý thuế đã được cải thiện đáng kể, giúp việc phát hiện gian lận trở nên dễ dàng hơn. Tuy nhiên, vẫn cần thời gian để hoàn thiện.</t>
  </si>
  <si>
    <t>Các quy trình khai báo và làm việc với cơ quan thuế đã đơn giản hóa đáng kể so với trước đây, điều này giúp thuận tiện hơn cho người dân.</t>
  </si>
  <si>
    <t>Cách tính thuế mới đã giảm bớt sự phức tạp, các bậc thuế rõ ràng và dễ hiểu. Điều này làm tăng khả năng thực hiện đúng.</t>
  </si>
  <si>
    <t>Tôi tin rằng Nhà nước sẽ thực thi chính sách một cách khách quan và công bằng, nhưng việc kiểm tra vẫn cần thời gian để hoàn thiện.</t>
  </si>
  <si>
    <t>Thuế mới đã giảm bớt gánh nặng tài chính của tôi, điều này tạo ra cảm giác rằng mức thuế hiện tại là công bằng.</t>
  </si>
  <si>
    <t>Việc cải cách thuế nhằm mục đích nâng cao chất lượng dịch vụ công và giáo dục. Tôi tin rằng tiền thuế sẽ được sử dụng hiệu quả cho những mục tiêu này.</t>
  </si>
  <si>
    <t>Nhà nước đã giải thích rõ ràng về các thay đổi trong luật thuế, nhưng vẫn cần thêm thông tin chi tiết về cách thực hiện.</t>
  </si>
  <si>
    <t>Dù còn một số điểm không hoàn hảo, tôi vẫn ủng hộ và tuân thủ chính sách mới vì lợi ích mà nó mang lại cho tôi và xã hội.</t>
  </si>
  <si>
    <t>Với mức giảm trừ gia cảnh tăng mạnh, khả năng phát hiện hành vi trốn thuế có thể không cao. Tuy nhiên, cơ quan thuế vẫn cần công nghệ và nguồn lực để kiểm soát.</t>
  </si>
  <si>
    <t>Nhà nước đã tăng cường đầu tư vào công nghệ quản lý thuế nên khả năng phát hiện và xử lý gian lận trốn thuế có thể tốt hơn trước đây.</t>
  </si>
  <si>
    <t>Thủ tục khai thuế đơn giản hơn, nhưng việc liên lạc với cơ quan thuế vẫn cần thời gian.</t>
  </si>
  <si>
    <t>Cách tính thuế và các bậc thuế mới đơn giản hóa đáng kể, dễ hiểu và thực hiện hơn so với trước đây.</t>
  </si>
  <si>
    <t>Nhà nước đã tăng giảm trừ gia cảnh nên người dân như tôi không phải đóng thuế, điều này thể hiện tính công bằng trong việc áp dụng chính sách thuế.</t>
  </si>
  <si>
    <t>Mức thuế mới là hợp lý với thu nhập của tôi. Mức giảm trừ gia cảnh cao hơn đã giúp tôi không phải đóng thuế, điều này rất công bằng.</t>
  </si>
  <si>
    <t>Thuế mà tôi đóng sẽ được sử dụng để cải thiện dịch vụ công như y tế và giao thông, tôi tin rằng Nhà nước sẽ quản lý hiệu quả nguồn lực này.</t>
  </si>
  <si>
    <t>Nhà nước đã giải thích rõ ràng về việc tăng giảm trừ gia cảnh và đơn giản hóa biểu thuế trong chính sách mới. Tôi thấy họ minh bạch trong việc thực hiện đổi mới này.</t>
  </si>
  <si>
    <t>Sau khi xem xét các quyền lợi và nghĩa vụ, tôi ủng hộ và tuân thủ chính sách mới vì nó đơn giản hơn và công bằng với thu nhập của tôi.</t>
  </si>
  <si>
    <t>Nói chung tôi có niềm tin rằng hành vi gian lận hoặc trốn thuế sẽ bị phát hiện, nhưng với quy định mới về mức giảm trừ gia cảnh cao hơn, việc thực thi cũng cần được cải thiện để tránh lợi dụng.</t>
  </si>
  <si>
    <t>Tôi tin rằng Nhà nước có đủ khả năng và công nghệ để kiểm soát thuế, nhất là với sự đơn giản hóa quy trình quản lý thuế mới.</t>
  </si>
  <si>
    <t>So với trước đây, việc khai báo thuế và giao tiếp với cơ quan thuế trở nên dễ dàng hơn do giảm bớt các bước phức tạp.</t>
  </si>
  <si>
    <t>Biểu thuế mới đơn giản hóa bậc thuế, làm cho quá trình tính toán thu nhập và chịu thuế dễ dàng hơn.</t>
  </si>
  <si>
    <t>Tôi tin rằng Nhà nước sẽ thực thi chính sách một cách công bằng đối với mọi người nộp thuế dù mức thuế đã thay đổi.</t>
  </si>
  <si>
    <t>Nhìn chung, mức thuế mới là hợp lý cho thu nhập của tôi và giảm trừ gia cảnh cao hơn cũng giúp cân đối về mặt công bằng.</t>
  </si>
  <si>
    <t>Nhà nước đã giải thích khá rõ về mục tiêu của việc sửa đổi chính sách thuế, giúp người dân hiểu và ủng hộ hơn.</t>
  </si>
  <si>
    <t>Tôi ủng hộ và sẽ tuân thủ chính sách mới vì lợi ích cá nhân và công bằng</t>
  </si>
  <si>
    <t>Với sự phát triển của công nghệ và quản lý thuế hiện đại, tôi tin rằng hành vi gian lận sẽ bị phát hiện dễ dàng hơn.</t>
  </si>
  <si>
    <t>Nhà nước đã đầu tư vào hệ thống công nghệ thông tin để cải thiện hiệu quả quản lý, do đó khả năng phát hiện và xử lý trốn thuế là cao.</t>
  </si>
  <si>
    <t>Quy trình khai báo thuế trở nên đơn giản hơn với việc giảm bậc thuế từ 7 xuống còn 5, thủ tục cũng được cải tiến để thuận tiện hơn cho người dân.</t>
  </si>
  <si>
    <t>Việc đơn giản hóa biểu thuế và giảm trừ gia cảnh giúp tính toán thuế dễ dàng hơn, phù hợp với trình độ hiểu biết của tôi.</t>
  </si>
  <si>
    <t>Tôi tin rằng cơ quan thuế sẽ công bằng trong việc thực thi chính sách mới, nhất là khi mức thuế giảm so với trước đây.</t>
  </si>
  <si>
    <t>Với thu nhập của tôi, mức thuế mới được xem là hợp lý và công bằng, giúp tiết kiệm chi phí đáng kể cho bản thân.</t>
  </si>
  <si>
    <t>Nhà nước sẽ sử dụng số tiền thuế này để cải thiện dịch vụ công, điều này tạo niềm tin rằng việc đóng thuế có ý nghĩa.</t>
  </si>
  <si>
    <t>Đã có nhiều giải thích rõ ràng về chính sách mới, mặc dù tôi vẫn nghi ngờ một chút nhưng thông tin đã được cung cấp đầy đủ.</t>
  </si>
  <si>
    <t>Với việc giảm trừ gia cảnh lớn hơn và thuế suất phù hợp với thu nhập của tôi, tôi sẽ ủng hộ và tuân thủ chính sách mới này.</t>
  </si>
  <si>
    <t>Nếu hành vi gian lận hoặc trốn thuế dễ bị phát hiện, tôi sẽ cảm thấy an tâm hơn. Tuy nhiên, với kiến thức của mình về quy định quản lý thuế hiện tại, tôi không có nhiều thông tin để đánh giá khả năng phát hiện này.</t>
  </si>
  <si>
    <t>Nhà nước và cơ quan thuế đã đầu tư công nghệ cải tiến nên việc xử lý các hành vi trốn thuế sẽ hiệu quả hơn. Điều này tạo niềm tin cho tôi về sự công bằng trong việc thu thuế.</t>
  </si>
  <si>
    <t>Thủ tục khai báo và làm việc với cơ quan thuế đã đơn giản hóa đáng kể, điều này giúp thuận tiện hơn so với trước đây.</t>
  </si>
  <si>
    <t>Số bậc thuế giảm đi và mức giảm trừ gia cảnh tăng lên khiến việc tính thuế dễ dàng hơn. Điều này làm cho tôi cảm thấy việc nộp thuế trở nên đơn giản hơn.</t>
  </si>
  <si>
    <t>Tôi tin rằng Nhà nước sẽ thực hiện chính sách một cách công bằng và khách quan, mặc dù không có thông tin cụ thể về việc kiểm tra tuân thủ của cơ quan thuế.</t>
  </si>
  <si>
    <t>Mức thuế mới mà tôi phải đóng là hợp lý so với thu nhập hiện tại. Điều này cho thấy sự công bằng trong việc phân bổ gánh nặng thuế</t>
  </si>
  <si>
    <t>Tôi tin rằng số tiền thuế đóng sẽ được sử dụng hiệu quả để cải thiện các dịch vụ công, mặc dù không có thông tin cụ thể về cách sử dụng nguồn thu thuế này.</t>
  </si>
  <si>
    <t>Nhà nước đã giải thích rõ ràng mục tiêu của việc sửa đổi thuế, điều này làm tăng niềm tin và sự hiểu biết của tôi về chính sách mới</t>
  </si>
  <si>
    <t>Tác động tài chính tích cực từ chính sách mới tạo ra sự ủng hộ mạnh mẽ đối với nó. Tôi sẽ tuân thủ chính sách mới và ủng hộ việc cải cách này.</t>
  </si>
  <si>
    <t>Với mức giảm trừ gia cảnh tăng lên và các biện pháp quản lý thuế được đơn giản hóa, tôi tin rằng hành vi gian lận hoặc trốn thuế sẽ khó xảy ra. Tuy nhiên, vẫn có sự nghi ngờ về khả năng phát hiện của cơ quan thuế đối với các trường hợp phức tạp.</t>
  </si>
  <si>
    <t>Ngành công nghệ thông tin và truyền thông ngày càng phát triển, tôi cho rằng Nhà nước đã đầu tư vào hệ thống quản lý thuế hiện đại, giúp việc phát hiện hành vi gian lận trở nên dễ dàng hơn.</t>
  </si>
  <si>
    <t>Quy trình khai báo và làm việc với cơ quan thuế giờ đơn giản hơn nhiều. Các bước cần thiết để nộp thuế cũng đã được cải thiện, giúp quá trình này thuận tiện hơn cho người dân.</t>
  </si>
  <si>
    <t>Biểu thuế mới với ít bậc hơn và mức giảm trừ gia cảnh cao hơn làm cho việc tính toán và hiểu rõ về thuế trở nên dễ dàng hơn. Đây là một cải tiến đáng kể so với trước đây.</t>
  </si>
  <si>
    <t>Nhà nước đã cố gắng thực thi chính sách công bằng thông qua các mức giảm trừ gia cảnh mới, tuy nhiên còn nhiều yếu tố phụ thuộc vào cách áp dụng thực tế.</t>
  </si>
  <si>
    <t>Với thu nhập của tôi và số người phụ thuộc như hiện nay, mức thuế mới là hợp lý. Tôi cảm thấy công bằng trong việc đóng góp cho xã hội.</t>
  </si>
  <si>
    <t>Sau khi xem xét, tôi tin rằng số tiền thuế mà tôi đang đóng sẽ được sử dụng hiệu quả để cải thiện dịch vụ công và cơ sở hạ tầng, điều này tạo ra niềm tin cho người dân.</t>
  </si>
  <si>
    <t>Nhà nước đã giải thích rõ ràng về mục tiêu của chính sách mới, tuy nhiên việc thay đổi quy định thuế nhiều lần trong thời gian ngắn có thể gây ra sự bất ổn và thiếu niềm tin từ phía người dân.</t>
  </si>
  <si>
    <t>Chính sách mới có lợi cho tôi về mặt tài chính, giảm bớt gánh nặng thuế. Tôi sẽ ủng hộ và tuân thủ chính sách này vì lợi ích chung của xã hội.</t>
  </si>
  <si>
    <t>Việc tăng mức giảm trừ gia cảnh và đơn giản hóa biểu thuế có thể làm giảm khả năng phát hiện hành vi trốn thuế, nhưng cơ quan thuế vẫn có công nghệ để theo dõi.</t>
  </si>
  <si>
    <t>Cơ quan thuế đã đầu tư vào công nghệ và nhân lực, tuy nhiên, mức độ thực thi còn phụ thuộc nhiều vào sự tuân thủ của người dân.</t>
  </si>
  <si>
    <t>Quy trình khai báo thuế trở nên đơn giản hơn, nhưng vẫn cần thời gian để mọi người quen với các thay đổi mới.</t>
  </si>
  <si>
    <t>Biểu thuế được đơn giản hóa và dễ hiểu hơn nhiều so với trước đây, giúp tôi dễ dàng tính toán và thực hiện.</t>
  </si>
  <si>
    <t>Tôi tin rằng cơ quan thuế sẽ cố gắng thực thi chính sách một cách công bằng, nhưng vẫn cần thời gian để chứng minh.</t>
  </si>
  <si>
    <t>Mức thuế mới phù hợp với thu nhập của tôi và giúp tiết kiệm được nhiều tiền, cảm thấy công bằng hơn.</t>
  </si>
  <si>
    <t>Việc tăng mức giảm trừ gia cảnh giúp số tiền đóng thuế ít đi, tin rằng số tiền này sẽ được sử dụng hiệu quả để cải thiện hạ tầng và dịch vụ công.</t>
  </si>
  <si>
    <t>Đã có giải thích về mục tiêu của việc sửa đổi thuế, nhưng cần thêm thông tin về cách sử dụng số tiền thu được từ thuế.</t>
  </si>
  <si>
    <t>Tác động tài chính tích cực và quy trình đơn giản hóa giúp tôi ủng hộ và tuân thủ chính sách mới.</t>
  </si>
  <si>
    <t>Nhà nước đã cải thiện khả năng phát hiện và xử lý các hành vi trốn thuế, nhưng mức độ tin cậy còn phụ thuộc vào việc thực thi.</t>
  </si>
  <si>
    <t>Công nghệ hiện đại giúp cơ quan thuế có thể theo dõi hiệu quả hơn so với trước đây.</t>
  </si>
  <si>
    <t>Quy trình làm việc với cơ quan thuế trở nên đơn giản hơn, thủ tục khai báo cũng thuận tiện hơn nhiều so với trước đây.</t>
  </si>
  <si>
    <t>Với số bậc thuế giảm đi và mức giảm trừ gia cảnh tăng mạnh, quy trình tính thuế trở nên rõ ràng và dễ dàng thực hiện hơn.</t>
  </si>
  <si>
    <t>Tôi tin rằng Nhà nước sẽ công bằng trong việc thực thi chính sách mới với tất cả người dân</t>
  </si>
  <si>
    <t>Mức thuế tôi phải đóng theo phương án mới là hợp lý, phù hợp với thu nhập của mình và số người phụ thuộc.</t>
  </si>
  <si>
    <t>Tôi tin rằng số tiền thuế tôi đóng sẽ được sử dụng hiệu quả để cải thiện dịch vụ công</t>
  </si>
  <si>
    <t>Tôi ủng hộ và tuân thủ chính sách mới vì nó mang lại nhiều lợi ích cho tôi</t>
  </si>
  <si>
    <t>Công nghệ ngày càng phát triển, cùng với sự tăng cường quản lý của Nhà nước, việc gian lận hay trốn thuế khó lòng tránh khỏi.</t>
  </si>
  <si>
    <t>Việc sử dụng công nghệ hiện đại trong quản lý thuế giúp cơ quan thuế phát hiện và xử lý các hành vi không tuân thủ pháp luật nhanh chóng hơn.</t>
  </si>
  <si>
    <t>Với việc đơn giản hóa quy trình khai báo, tôi thấy dễ dàng thực hiện hơn so với trước đây. Các bước làm việc với cơ quan thuế cũng trở nên thuận tiện hơn.</t>
  </si>
  <si>
    <t>Biểu thuế mới có ít bậc hơn và các bậc này được cải thiện về độ rõ ràng, giúp việc tính toán thuế trở nên dễ dàng hơn.</t>
  </si>
  <si>
    <t>Tôi tin rằng cơ quan thuế sẽ thực hiện chính sách một cách công bằng, khách quan và không phân biệt ai phải đóng bao nhiêu thuế.</t>
  </si>
  <si>
    <t>Theo phương án mới, tôi thấy mức thuế mình phải đóng là hợp lý. Thu nhập của tôi thuộc bậc thuế suất thấp nên giảm trừ gia cảnh tăng lên giúp tiết kiệm đáng kể.</t>
  </si>
  <si>
    <t>Thuê được sử dụng cho mục đích công cộng như y tế, giáo dục và hạ tầng giao thông giúp nâng cao chất lượng cuộc sống của người dân.</t>
  </si>
  <si>
    <t>Nhà nước đã giải thích rõ ràng về mục tiêu của việc sửa đổi thuế lần này, đồng thời công khai các quy định mới.</t>
  </si>
  <si>
    <t>Tôi ủng hộ và tuân thủ chính sách mới vì nó giúp giảm gánh nặng tài chính cho người dân như tôi, cũng như tạo ra một môi trường thuế công bằng hơn.</t>
  </si>
  <si>
    <t>Chính phủ đã tăng mức giảm trừ gia cảnh, do đó giảm đáng kể số người phải chịu thuế. Tuy nhiên, tôi vẫn lo ngại về khả năng phát hiện và xử lý các hành vi trốn thuế.</t>
  </si>
  <si>
    <t>Cơ quan thuế có nhiều công nghệ tiên tiến giúp phát hiện hành vi gian lận, nhưng vẫn cần cải thiện hơn nữa để đảm bảo công bằng cho tất cả người nộp thuế.</t>
  </si>
  <si>
    <t>Quy trình khai báo thuế trở nên đơn giản với mức giảm trừ gia cảnh tăng và số bậc thuế giảm. Tuy nhiên, tôi vẫn thấy cần cải thiện trong việc cung cấp hướng dẫn cho người dân.</t>
  </si>
  <si>
    <t>Biểu thuế mới rõ ràng hơn với ít bậc thuế, nhưng tôi nghĩ rằng cần thêm thông tin về cách tính để mọi người dễ dàng áp dụng.</t>
  </si>
  <si>
    <t>Tôi tin rằng cơ quan thuế sẽ thực hiện chính sách một cách công bằng, nhưng vẫn lo ngại về khả năng xử lý nghiêm túc các trường hợp vi phạm.</t>
  </si>
  <si>
    <t>Mức thuế mới phù hợp với thu nhập của tôi và người phụ thuộc. Tuy nhiên, tôi mong muốn có thêm thông tin về cách sử dụng số tiền thuế này để nâng cao chất lượng dịch vụ công.</t>
  </si>
  <si>
    <t>Tôi hy vọng số tiền thuế đóng sẽ được sử dụng hiệu quả cho các dịch vụ công, nhưng cần có nhiều thông tin minh bạch hơn về cách sử dụng nguồn thu ngân sách.</t>
  </si>
  <si>
    <t>Nhà nước đã giải thích rõ ràng mục đích của việc cải cách thuế, tuy nhiên vẫn cần thêm thông tin chi tiết để người dân hiểu rõ hơn.</t>
  </si>
  <si>
    <t>Chính sách mới giúp giảm gánh nặng về thuế cho tôi và gia đình. Tôi sẽ ủng hộ và tuân thủ chính sách nếu có thêm thông tin minh bạch về cách sử dụng số tiền thuế này.</t>
  </si>
  <si>
    <t>Dù có công nghệ phát hiện gian lận và trốn thuế, nhưng mức giảm trừ gia cảnh tăng cao khiến việc phát hiện vi phạm trở nên khó khăn hơn.</t>
  </si>
  <si>
    <t>Cơ quan thuế đã cải thiện đáng kể trong việc sử dụng công nghệ để quản lý và giám sát các giao dịch tài chính, nhưng vẫn cần thời gian để hoàn thiện hệ thống</t>
  </si>
  <si>
    <t>Quy trình khai báo thuế trở nên đơn giản hơn với số bậc thuế giảm từ 7 xuống còn 5, việc này tạo thuận lợi cho người dân.</t>
  </si>
  <si>
    <t>Các bậc thuế mới rõ ràng và dễ hiểu hơn so với trước đây. Việc tăng mức giảm trừ gia cảnh cũng giúp đơn giản hóa quy trình tính toán</t>
  </si>
  <si>
    <t>Tôi tin rằng cơ quan thuế sẽ thực thi chính sách một cách công bằng, nhưng việc giảm số bậc thuế có thể làm giảm sự minh bạch trong quá trình đánh giá.</t>
  </si>
  <si>
    <t>Thuế tôi phải đóng theo phương án mới thấp hơn và công bằng hơn so với trước đây. Điều này tạo cảm giác công bằng cho tôi</t>
  </si>
  <si>
    <t>Tôi tin rằng số tiền thuế tôi đóng sẽ được sử dụng hiệu quả để cải thiện các dịch vụ công, nhưng cần thời gian để thấy kết quả.</t>
  </si>
  <si>
    <t>Chính phủ đã giải thích rõ ràng về mục tiêu và lý do của việc sửa đổi thuế. Tuy nhiên, cần thêm thông tin chi tiết về cách sử dụng nguồn thu thuế mới</t>
  </si>
  <si>
    <t>Sau khi xem xét tác động tài chính tích cực và sự đơn giản hóa quy trình, tôi sẽ ủng hộ và tuân thủ chính sách mới.</t>
  </si>
  <si>
    <t>Nói chung, với việc tăng mức giảm trừ gia cảnh và đơn giản hóa quy trình thuế, khả năng phát hiện hành vi gian lận hoặc trốn thuế có thể khó khăn hơn. Tuy nhiên, cơ quan thuế vẫn có công nghệ để theo dõi.</t>
  </si>
  <si>
    <t>Nhà nước đã nâng cao hiệu quả quản lý thông qua việc đơn giản hóa quy trình và tăng mức giảm trừ gia cảnh.</t>
  </si>
  <si>
    <t>Quy trình khai báo thuế trở nên dễ dàng hơn, đặc biệt là với sự giảm bớt các bậc thuế phức tạp.</t>
  </si>
  <si>
    <t>Biểu thuế mới đơn giản và rõ ràng hơn so với trước đây.</t>
  </si>
  <si>
    <t>Tôi tin rằng cơ quan thuế sẽ thực thi chính sách một cách công bằng, nhưng vẫn có sự nghi ngờ nhất định về việc họ đối xử với mọi người nộp thuế bình đẳng.</t>
  </si>
  <si>
    <t>Nhìn chung mức thuế mới là hợp lý cho thu nhập của tôi. Tuy nhiên, mức giảm trừ gia cảnh cao hơn so với trước đây làm tăng niềm tin về sự công bằng.</t>
  </si>
  <si>
    <t>Tôi tin rằng số tiền thuế đóng sẽ được sử dụng hiệu quả để cải thiện dịch vụ công. Tuy nhiên, tôi không hoàn toàn chắc chắn về việc này.</t>
  </si>
  <si>
    <t>Nhà nước đã giải thích rõ ràng về mục tiêu và lý do của việc sửa đổi thuế, nhưng vẫn có một số nghi ngờ về việc thực thi chính sách</t>
  </si>
  <si>
    <t>Tôi ủng hộ và tuân thủ chính sách mới do sự cải thiện về mặt tài chính và quy trình thuế.</t>
  </si>
  <si>
    <t xml:space="preserve">Nhà nước đã tăng cường quản lý thuế và công nghệ hiện đại nên tôi tin rằng hành vi gian lận hoặc trốn thuế sẽ dễ dàng bị phát hiện. </t>
  </si>
  <si>
    <t xml:space="preserve">Cơ quan thuế có thể tiếp cận và kiểm soát tốt hơn thông qua hệ thống quản lý điện tử, từ đó xử lý nghiêm các hành vi trốn thuế. </t>
  </si>
  <si>
    <t xml:space="preserve">So với trước đây, quy trình khai báo thuế trở nên đơn giản hơn, thủ tục làm việc với cơ quan thuế cũng thuận tiện và nhanh chóng hơn nhiều. </t>
  </si>
  <si>
    <t xml:space="preserve">Biểu thuế mới có ít bậc hơn khiến cách tính thuế dễ hiểu hơn. Việc giảm trừ gia cảnh tăng lên cũng giúp đơn giản hóa quá trình tính thuế cho người dân. </t>
  </si>
  <si>
    <t xml:space="preserve">Tôi tin rằng Nhà nước sẽ thực thi chính sách một cách công bằng và khách quan, đối xử bình đẳng với mọi người nộp thuế. </t>
  </si>
  <si>
    <t xml:space="preserve">Mức thuế mới giảm so với trước đây nên tôi cảm thấy nó là hợp lý cho thu nhập của mình. </t>
  </si>
  <si>
    <t xml:space="preserve">Thuê đóng góp vào việc cải thiện các dịch vụ công, từ đó tạo ra môi trường sống tốt hơn cho người dân. </t>
  </si>
  <si>
    <t xml:space="preserve">Nhà nước đã giải thích rõ ràng về mục tiêu và lý do của chính sách mới thông qua nhiều kênh thông tin. </t>
  </si>
  <si>
    <t xml:space="preserve">Tôi ủng hộ và tuân thủ chính sách thuế mới vì nó mang lại lợi ích tài chính cho tôi và người dân, đồng thời đơn giản hóa quy trình khai báo thuế. </t>
  </si>
  <si>
    <t>Công nghệ hiện đại và sự giám sát chặt chẽ của cơ quan thuế có thể phát hiện hành vi trốn thuế.</t>
  </si>
  <si>
    <t>Nhà nước đã đầu tư vào công nghệ để cải thiện khả năng quản lý thuế, giảm thiểu lỗ hổng trong hệ thống.</t>
  </si>
  <si>
    <t>Quy trình khai báo và làm việc với cơ quan thuế trở nên đơn giản hơn, tiết kiệm thời gian và công sức.</t>
  </si>
  <si>
    <t>Tôi tin rằng cơ quan thuế sẽ thực thi chính sách một cách công bằng đối với mọi người nộp thuế.</t>
  </si>
  <si>
    <t>Mức giảm trừ gia cảnh tăng lên, làm cho mức thuế tôi phải đóng trở nên hợp lý hơn.</t>
  </si>
  <si>
    <t>Thuế tôi đóng sẽ được sử dụng để cải thiện chất lượng dịch vụ công như y tế và giao thông.</t>
  </si>
  <si>
    <t>Nhà nước đã giải thích rõ ràng về mục tiêu của việc sửa đổi thuế, tạo sự minh bạch.</t>
  </si>
  <si>
    <t>Tôi ủng hộ chính sách mới vì nó mang lại lợi ích tài chính và dễ dàng thực hiện hơn.</t>
  </si>
  <si>
    <t>Hiện nay, cơ quan thuế đã có nhiều biện pháp quản lý và công nghệ hiện đại giúp phát hiện hành vi gian lận, tuy nhiên, việc thực thi vẫn phụ thuộc vào sự chủ động của cá nhân.</t>
  </si>
  <si>
    <t>Cơ quan thuế có đủ khả năng và công nghệ để phát hiện và xử lý nghiêm các hành vi trốn thuế, do đó tôi tin rằng việc gian lận sẽ bị phát hiện và ngăn chặn hiệu quả.</t>
  </si>
  <si>
    <t>Quy trình làm việc với cơ quan thuế đã đơn giản hơn so với trước đây, tuy nhiên, vẫn còn một số thủ tục cần cải thiện để thuận tiện hơn cho người nộp thuế.</t>
  </si>
  <si>
    <t>Cách tính thuế và các bậc thuế trong phương án mới đã đơn giản và dễ hiểu hơn so với trước đây, giúp tôi dễ dàng thực hiện hơn.</t>
  </si>
  <si>
    <t>Tôi tin rằng cơ quan thuế sẽ thực thi chính sách một cách công bằng đối xử bình đẳng với mọi người nộp thuế, nhưng cần có thêm các biện pháp minh bạch để tăng niềm tin của công chúng.</t>
  </si>
  <si>
    <t>Theo phương án mới, mức thuế mà tôi phải đóng là hợp lý và công bằng. Việc giảm trừ gia cảnh và số bậc thuế được đơn giản hóa giúp tôi tiết kiệm được một khoản tiền đáng kể.</t>
  </si>
  <si>
    <t>Tôi tin rằng số tiền thuế tôi đóng sẽ được sử dụng hiệu quả để cải thiện dịch vụ công, tuy nhiên, cần có thêm minh bạch về cách sử dụng ngân sách thuế để tăng niềm tin.</t>
  </si>
  <si>
    <t>Nhà nước đã giải thích rõ ràng về mục tiêu và lý do của việc sửa đổi chính sách thuế lần này. Tuy nhiên, cần có thêm thông tin chi tiết về các biện pháp thực thi để tăng sự hiểu biết của công chúng.</t>
  </si>
  <si>
    <t>Sau khi xem xét các quyền lợi và nghĩa vụ, tôi ủng hộ và sẽ tuân thủ chính sách mới. Việc giảm trừ gia cảnh và đơn giản hóa quy trình thuế giúp ích cho người dân như tôi.</t>
  </si>
  <si>
    <t>Nhà nước đã tăng cường công nghệ và quy định quản lý thuế, tuy nhiên mức độ phát hiện trốn thuế vẫn còn phụ thuộc vào nhiều yếu tố thực tế.</t>
  </si>
  <si>
    <t>Cơ quan thuế có khả năng sử dụng công nghệ hiện đại để giám sát hơn, nhưng hiệu quả thực tế còn cần thời gian để chứng minh.</t>
  </si>
  <si>
    <t>So với trước đây, quy trình khai báo và làm việc với cơ quan thuế đã đơn giản hóa nhiều, thuận tiện cho người dân hơn.</t>
  </si>
  <si>
    <t>Biểu thuế mới có ít bậc hơn, dễ hiểu và thực hiện nhanh chóng hơn so với trước đây, do đó giảm bớt rắc rối cho người nộp thuế.</t>
  </si>
  <si>
    <t>Tôi tin rằng Nhà nước sẽ công bằng trong việc thực thi chính sách mới, tuy nhiên vẫn cần thời gian để chứng minh sự công bằng này.</t>
  </si>
  <si>
    <t>Thuế tôi phải đóng theo phương án mới phù hợp với thu nhập của mình và giảm được số tiền thuế so với trước đây, do đó tôi thấy công bằng.</t>
  </si>
  <si>
    <t>Sau khi xem xét, tôi tin rằng số tiền thuế tôi đóng sẽ được sử dụng hiệu quả để cải thiện dịch vụ công như y tế và đường xá.</t>
  </si>
  <si>
    <t>Nhà nước đã giải thích rõ ràng về mục tiêu của chính sách mới, tuy nhiên vẫn cần thêm thông tin cụ thể hơn về việc sử dụng số tiền thuế.</t>
  </si>
  <si>
    <t>Dựa trên lợi ích tài chính và sự đơn giản hóa thủ tục, tôi ủng hộ và tuân thủ chính sách mới hiện nay.</t>
  </si>
  <si>
    <t>Quy định quản lý thuế hiện nay chưa đủ mạnh để phát hiện trốn thuế do không có mức thuế phải đóng, nên khó kiểm soát.</t>
  </si>
  <si>
    <t>Nhà nước và cơ quan thuế có công nghệ hiện đại nhưng vẫn cần sự hỗ trợ từ người dân trong việc khai báo chính xác.</t>
  </si>
  <si>
    <t>Thủ tục đơn giản hơn do giảm trừ gia cảnh cao, thuận tiện cho người nộp thuế.</t>
  </si>
  <si>
    <t>Bậc thuế ít đi nhưng không đủ rõ ràng về cách tính thu nhập tính thuế.</t>
  </si>
  <si>
    <t>Tôi tin rằng Nhà nước sẽ công bằng trong việc thực thi chính sách mới, dù chưa hoàn toàn minh bạch.</t>
  </si>
  <si>
    <t>Thu nhập của tôi thấp hơn mức thuế suất cao nhất nên tôi thấy công bằng</t>
  </si>
  <si>
    <t>Dù không rõ ràng nhưng tôi tin rằng số tiền thuế đóng sẽ được sử dụng hiệu quả.</t>
  </si>
  <si>
    <t>Chính phủ đã giải thích công khai về việc sửa đổi luật thuế, tạo niềm tin cho người dân.</t>
  </si>
  <si>
    <t>Tài chính cải thiện do không phải đóng thuế nên tôi ủng hộ và tuân thủ chính sách mới.</t>
  </si>
  <si>
    <t>Hiện nay, với sự phát triển của công nghệ và các quy định quản lý thuế rõ ràng hơn, tôi tin rằng hành vi gian lận hoặc trốn thuế sẽ dễ dàng bị phát hiện. Tuy nhiên, do không có thông tin cụ thể về khả năng thực thi của nhà nước nên điểm số không quá cao.</t>
  </si>
  <si>
    <t>Nhà nước và cơ quan thuế đã có nhiều tiến bộ trong việc sử dụng công nghệ để quản lý thuế, tuy nhiên vẫn còn tồn tại một số thách thức về khả năng thực thi.</t>
  </si>
  <si>
    <t>Quy trình khai báo thuế và làm việc với cơ quan thuế đã đơn giản hơn nhiều so với trước đây. Việc giảm bớt các bước và quy định mới giúp quá trình trở nên thuận tiện và nhanh chóng hơn.</t>
  </si>
  <si>
    <t>Biểu thuế mới có ít bậc hơn, dễ hiểu hơn và đơn giản hóa quy trình tính thuế. Điều này giúp việc thực hiện chính sách trở nên dễ dàng hơn cho người dân.</t>
  </si>
  <si>
    <t>Tôi tin rằng nhà nước sẽ thực thi chính sách một cách công bằng và khách quan, tuy nhiên cần thêm thời gian để kiểm chứng thực tế</t>
  </si>
  <si>
    <t>Mức thuế mới được thiết kế hợp lý với thu nhập của tôi. Việc giảm trừ gia cảnh tăng lên đã giúp tôi tiết kiệm được một khoản tiền đáng kể.</t>
  </si>
  <si>
    <t>Tôi tin rằng số tiền thuế đóng sẽ được sử dụng hiệu quả để cải thiện các dịch vụ công. Tuy nhiên, cần thêm thông tin cụ thể về cách sử dụng nguồn thu thuế mới có thể tăng thêm niềm tin.</t>
  </si>
  <si>
    <t>Nhà nước đã giải thích rõ ràng về mục tiêu và lý do của việc sửa đổi chính sách thuế. Tuy nhiên, cần thêm thông tin chi tiết hơn để làm tăng sự hiểu biết của công chúng</t>
  </si>
  <si>
    <t>Sau khi xem xét các quyền lợi và nghĩa vụ mới, tôi ủng hộ và sẽ tuân thủ chính sách mới vì nó mang lại nhiều lợi ích cho người dân như giảm bớt gánh nặng thuế và tăng tính đơn giản.</t>
  </si>
  <si>
    <t xml:space="preserve">Việc đơn giản hóa biểu thuế và giảm trừ gia cảnh có thể làm giảm cơ hội trốn thuế, nhưng vẫn lo ngại về khả năng phát hiện chính xác. </t>
  </si>
  <si>
    <t xml:space="preserve">Cơ quan thuế được cho là có công nghệ tốt để theo dõi giao dịch tài chính cá nhân, tăng khả năng phát hiện trốn thuế. </t>
  </si>
  <si>
    <t>Quy trình khai báo thuế trở nên đơn giản hơn và thuận tiện hơn nhiều so với trước đây.</t>
  </si>
  <si>
    <t xml:space="preserve">Bậc thuế được giảm từ 7 xuống còn 5, làm cho việc tính toán thuế dễ dàng hơn và dễ hiểu hơn. </t>
  </si>
  <si>
    <t>Tăng mức giảm trừ gia cảnh là công bằng đối với người dân, nhưng vẫn lo ngại về khả năng thực thi khách quan.</t>
  </si>
  <si>
    <t xml:space="preserve">Thu nhập của tôi nằm trong bậc thuế thấp nên không phải đóng nhiều thuế, coi là hợp lý. </t>
  </si>
  <si>
    <t>Các khoản chi tiêu công sẽ cải thiện hạ tầng và dịch vụ công, lợi ích cho người dân.</t>
  </si>
  <si>
    <t>Nhà nước đã giải thích rõ ràng về mục tiêu của chính sách mới, nhưng vẫn cần nhiều minh bạch hơn.</t>
  </si>
  <si>
    <t xml:space="preserve">Dù còn nghi ngại về việc thực thi, tôi sẽ ủng hộ và tuân thủ do lợi ích trực tiếp cho bản thân. </t>
  </si>
  <si>
    <t>Hiện nay, cơ quan thuế có nhiều biện pháp quản lý và công nghệ hiện đại để phát hiện hành vi gian lận hoặc trốn thuế. Tuy nhiên, việc thực thi vẫn phụ thuộc vào hiệu quả của các quy định.</t>
  </si>
  <si>
    <t>Cơ quan thuế có đủ năng lực và công nghệ để kiểm soát, xử lý nghiêm minh các hành vi trốn thuế. Tuy nhiên, hiệu quả thực thi phụ thuộc vào sự tuân thủ của người dân.</t>
  </si>
  <si>
    <t>So với trước đây, quy trình khai báo thuế và làm việc với cơ quan thuế trở nên đơn giản hơn nhờ giảm số bậc thuế. Tuy nhiên, vẫn cần thời gian để mọi người quen thuộc.</t>
  </si>
  <si>
    <t>Cách tính thuế hiện nay đơn giản hơn và dễ hiểu, giúp việc thực hiện thuận lợi hơn cho người dân. Bậc thuế được giảm từ 7 xuống còn 5, làm tăng sự dễ dàng trong quá trình tính toán.</t>
  </si>
  <si>
    <t>Tôi tin rằng cơ quan thuế sẽ thực thi chính sách một cách khách quan và công bằng. Tuy nhiên, việc cải cách cần thêm thời gian để mọi người hiểu và chấp nhận.</t>
  </si>
  <si>
    <t>Mức thuế mới được tính toán dựa trên thu nhập của tôi là hợp lý. Số tiền giảm trừ gia cảnh tăng lên giúp tôi tiết kiệm thuế, tạo cảm giác công bằng.</t>
  </si>
  <si>
    <t>Tôi tin rằng số tiền thuế đóng sẽ được sử dụng hiệu quả để cải thiện dịch vụ công, đặc biệt là y tế và giao thông. Tuy nhiên, cần thêm thông tin về cách sử dụng khoản thu thuế.</t>
  </si>
  <si>
    <t>Nhà nước đã giải thích rõ ràng về mục tiêu của việc cải cách thuế. Tuy vậy, tôi hy vọng có thể thấy thêm nhiều thông tin chi tiết hơn về các dự án cụ thể.</t>
  </si>
  <si>
    <t>Tôi ủng hộ chính sách mới vì nó giúp giảm gánh nặng tài chính cho người dân, đồng thời đơn giản hóa quy trình khai thuế. Tuy nhiên, tôi cần thêm thời gian để quen với các thay đổi.</t>
  </si>
  <si>
    <t>Thuế đã được đơn giản hóa, giảm trừ gia cảnh cao hơn thu nhập nên tôi không lo ngại về việc trốn thuế.</t>
  </si>
  <si>
    <t>Nhà nước có nhiều công cụ và nguồn lực để phát hiện hành vi trốn thuế</t>
  </si>
  <si>
    <t>Quy trình khai thuế trở nên dễ dàng hơn, không cần phức tạp như trước</t>
  </si>
  <si>
    <t>Bậc thuế giảm từ 7 xuống 5 khiến việc tính toán thuế đơn giản và dễ hiểu</t>
  </si>
  <si>
    <t>Tôi tin Nhà nước sẽ công bằng trong việc thực thi chính sách thuế mới</t>
  </si>
  <si>
    <t>Thuế giảm đáng kể, tôi thấy mức này là hợp lý cho thu nhập hiện tại của mình</t>
  </si>
  <si>
    <t>Dù thuế giảm nhưng tôi tin số tiền đóng sẽ được sử dụng hiệu quả cho dịch vụ công</t>
  </si>
  <si>
    <t>Chính phủ đã giải thích rõ ràng về mục tiêu và lý do của việc cải cách thuế này</t>
  </si>
  <si>
    <t>Tôi ủng hộ và sẽ tuân thủ chính sách mới vì lợi ích mà nó mang lại cho tôi và gia đình</t>
  </si>
  <si>
    <t>Dù không phải đóng thuế, tôi vẫn tin rằng Nhà nước có đủ khả năng quản lý và xử lý các hành vi trốn thuế.</t>
  </si>
  <si>
    <t>Cơ quan thuế đã tăng cường công nghệ, nhưng việc thực thi chính sách mới này chưa rõ ràng về mặt thực tế.</t>
  </si>
  <si>
    <t>Quy trình khai báo và làm việc với cơ quan thuế trở nên đơn giản hơn do giảm trừ gia cảnh cao hơn.</t>
  </si>
  <si>
    <t>Biểu thuế mới rõ ràng hơn, nhưng tôi vẫn cảm thấy cần thêm hướng dẫn để hiểu sâu hơn về cách tính.</t>
  </si>
  <si>
    <t>Tôi tin Nhà nước sẽ thực thi chính sách một cách công bằng và khách quan, đặc biệt với mức giảm trừ gia cảnh cao như hiện nay.</t>
  </si>
  <si>
    <t>Nhìn chung, mức thuế mới phù hợp với thu nhập của tôi, do đó tôi cảm thấy công bằng.</t>
  </si>
  <si>
    <t>Tôi tin rằng số tiền thuế đóng sẽ được sử dụng hiệu quả cho lợi ích cộng đồng.</t>
  </si>
  <si>
    <t>Chính phủ đã giải thích rõ ràng về mục tiêu của chính sách mới, nhưng cần thêm thông tin về cách sử dụng nguồn thu thuế.</t>
  </si>
  <si>
    <t>Sau khi xem xét các điểm trên, tôi ủng hộ và tuân thủ chính sách mới.</t>
  </si>
  <si>
    <t>Tăng cường quản lý thuế thông qua công nghệ và khả năng phát hiện các hành vi gian lận hoặc trốn thuế đã giúp nâng cao hiệu quả, nhưng vẫn còn cần cải thiện.</t>
  </si>
  <si>
    <t>Cơ quan thuế có thể tận dụng công nghệ tốt hơn để tăng cường quản lý và phát hiện các hành vi trốn thuế.</t>
  </si>
  <si>
    <t>So với trước đây, quy trình làm việc với cơ quan thuế đã đơn giản hơn, nhưng vẫn còn một số thủ tục rườm rà cần cải thiện.</t>
  </si>
  <si>
    <t>Biểu thuế mới đơn giản và dễ hiểu hơn, giúp tôi dễ dàng tính toán và tuân thủ hơn so với trước đây.</t>
  </si>
  <si>
    <t>Tôi tin rằng việc thực thi chính sách mới sẽ khách quan và công bằng đối với mọi người nộp thuế.</t>
  </si>
  <si>
    <t>Mức thuế theo phương án mới là hợp lý, phù hợp với thu nhập của tôi sau khi đã được giảm trừ gia cảnh.</t>
  </si>
  <si>
    <t>Tôi tin rằng số tiền thuế đóng sẽ được sử dụng hiệu quả để cải thiện dịch vụ công và chất lượng cuộc sống.</t>
  </si>
  <si>
    <t>Nhà nước đã giải thích rõ ràng về mục tiêu của việc sửa đổi chính sách thuế, tạo sự minh bạch cho người dân.</t>
  </si>
  <si>
    <t>Sau khi tính toán tác động tài chính và xem xét các thay đổi trong chính sách thuế, tôi ủng hộ và tuân thủ chính sách mới.</t>
  </si>
  <si>
    <t>Nhà nước và cơ quan thuế có thể chưa đủ năng lực để phát hiện, xử lý các hành vi trốn thuế trong thực tế do thiếu công nghệ tiên tiến và nguồn lực.</t>
  </si>
  <si>
    <t>Năng lực của Nhà nước và cơ quan thuế về mặt công nghệ có thể cải thiện trong tương lai, nhưng hiện tại vẫn còn hạn chế so với yêu cầu quản lý thuế ngày càng phức tạp.</t>
  </si>
  <si>
    <t>Trình tự khai báo thuế trở nên đơn giản hơn khi số bậc thuế được giảm từ 7 xuống 5. Tuy nhiên, việc áp dụng các quy định mới có thể cần thời gian để người dân làm quen.</t>
  </si>
  <si>
    <t>Biểu thuế trở nên rõ ràng hơn với số bậc thuế được giảm và ngưỡng chịu thuế được điều chỉnh. Đây là một bước tiến tốt trong việc đơn giản hóa quy trình tính thuế.</t>
  </si>
  <si>
    <t>Mặc dù có nhiều cải thiện về mặt công bằng, nhưng vẫn còn nghi ngờ về khả năng thực thi chính sách một cách công tâm và khách quan do sự phức tạp của các quy định mới.</t>
  </si>
  <si>
    <t>Các mức thuế mới giảm đáng kể so với trước đây. Điều này thể hiện tính công bằng đối với người có thu nhập thấp như tôi, nhưng vẫn còn lo ngại về việc áp dụng các quy định mới.</t>
  </si>
  <si>
    <t>Việc giảm trừ gia cảnh tăng lên cũng như đơn giản hóa biểu thuế sẽ giúp số tiền thuế phải đóng trở nên hợp lý hơn. Tuy nhiên, vẫn cần thời gian để thấy kết quả về hiệu quả sử dụng nguồn thu thuế.</t>
  </si>
  <si>
    <t>Chính phủ đã giải thích rõ ràng về mục tiêu của việc cải cách thuế. Tuy nhiên, sự minh bạch trong thực thi chính sách mới vẫn còn hạn chế do thiếu thông tin chi tiết và cập nhật.</t>
  </si>
  <si>
    <t>Sau khi xem xét các quyền lợi và nghĩa vụ, tôi ủng hộ và tuân thủ chính sách mới. Việc giảm thuế cho người có thu nhập thấp như tôi sẽ giúp cải thiện tình hình tài chính của gia đình.</t>
  </si>
  <si>
    <t>Việc tăng mức giảm trừ gia cảnh và đơn giản hóa biểu thuế có thể khiến việc gian lận trở nên khó khăn hơn, nhưng tôi vẫn lo ngại về khả năng thực thi.</t>
  </si>
  <si>
    <t>Nhà nước đã đầu tư công nghệ để quản lý thuế hiệu quả hơn, tuy nhiên, vẫn cần cải thiện thêm trong việc phát hiện gian lận.</t>
  </si>
  <si>
    <t>Quy trình khai báo thuế và làm việc với cơ quan thuế trở nên đơn giản hơn nhiều so với trước đây, tôi thấy rất thuận tiện.</t>
  </si>
  <si>
    <t>Biểu thuế mới đơn giản hóa bậc thuế từ 7 xuống còn 5, giúp dễ hiểu và thực hiện hơn cho người dân.</t>
  </si>
  <si>
    <t>Tôi tin rằng chính sách mới sẽ được thực thi công bằng với mọi người nộp thuế, mặc dù tôi vẫn là người đa nghi về việc này.</t>
  </si>
  <si>
    <t>Thuế mới giảm đáng kể so với trước đây, tôi thấy mức thuế này hợp lý cho thu nhập của mình.</t>
  </si>
  <si>
    <t>Một phần thu thuế sẽ được sử dụng vào việc cải thiện các dịch vụ công, điều này làm tăng niềm tin của tôi</t>
  </si>
  <si>
    <t>Nhà nước đã giải thích rõ về mục tiêu và lý do của việc thay đổi thuế lần này, tuy nhiên, vẫn còn cần nhiều thông tin hơn.</t>
  </si>
  <si>
    <t>Tôi ủng hộ chính sách mới vì nó mang lại lợi ích tài chính cho tôi và đơn giản hóa quy trình khai thuế.</t>
  </si>
  <si>
    <t>Ngoài việc tăng giảm trừ gia cảnh, các biện pháp quản lý thuế mới chưa rõ ràng về mức độ phát hiện và xử lý hành vi gian lận hoặc trốn thuế.</t>
  </si>
  <si>
    <t>Việc áp dụng công nghệ trong quản lý thuế có thể giúp nhưng không phải là hoàn toàn đảm bảo vì vẫn cần sự giám sát và kiểm soát từ con người.</t>
  </si>
  <si>
    <t>So với trước đây, quy trình khai báo thuế trở nên đơn giản hơn nhiều, giảm bớt các bước rườm rà mà không làm mất tính chính xác.</t>
  </si>
  <si>
    <t>Bậc thuế mới ít hơn nhưng vẫn đảm bảo công bằng cho người dân có thu nhập khác nhau, dễ dàng áp dụng và hiểu hơn so với trước đây.</t>
  </si>
  <si>
    <t>Nhà nước đã tăng giảm trừ gia cảnh và đơn giản hóa thuế, tôi tin rằng việc này sẽ được thực hiện công bằng đối với mọi người dân.</t>
  </si>
  <si>
    <t>Với thu nhập của mình, mức thuế mới phù hợp, giảm gánh nặng tài chính cho người dân như tôi.</t>
  </si>
  <si>
    <t>Tiết kiệm được 50,000 VNĐ/tháng từ thuế, số tiền này sẽ được sử dụng vào nhiều dịch vụ công có ích cho cộng đồng.</t>
  </si>
  <si>
    <t>Nhà nước đã cung cấp thông tin rõ ràng về mục tiêu và lý do của việc sửa đổi thuế, tôi cảm thấy mình đang đóng góp vào sự phát triển chung.</t>
  </si>
  <si>
    <t>Tác động tài chính tích cực từ thuế mới và tính đơn giản hóa đã làm tăng khả năng ủng hộ và tuân thủ chính sách.</t>
  </si>
  <si>
    <t>Dù các quy định quản lý thuế đã được cải thiện, nhưng tôi vẫn nghi ngờ khả năng phát hiện trốn thuế do nguồn lực hạn chế của cơ quan thuế.</t>
  </si>
  <si>
    <t>Tăng cường công nghệ và đội ngũ kiểm tra có thể giúp xử lý gian lận hiệu quả hơn, nhưng tôi vẫn lo ngại về khả năng thực hiện.</t>
  </si>
  <si>
    <t>Quy trình làm việc với cơ quan thuế trở nên đơn giản hơn, tuy nhiên thủ tục khai báo thuế vẫn khá rườm rà.</t>
  </si>
  <si>
    <t>Biểu thuế mới rõ ràng hơn, giảm số bậc thuế từ 7 xuống còn 5, dễ dàng tính toán và thực hiện</t>
  </si>
  <si>
    <t>Tôi tin rằng cơ quan thuế sẽ công bằng trong việc áp dụng chính sách mới, nhưng lo ngại về khả năng thực thi.</t>
  </si>
  <si>
    <t>Như một người thu nhập thấp, tôi thấy mức thuế giảm đáng kể là hợp lý và công bằng</t>
  </si>
  <si>
    <t>Thuế giảm đi giúp cải thiện cuộc sống hàng ngày, nhưng lo ngại về việc sử dụng hiệu quả nguồn ngân sách.</t>
  </si>
  <si>
    <t>Nhà nước đã giải thích rõ ràng mục tiêu và nguyên nhân của việc thay đổi thuế, tạo niềm tin</t>
  </si>
  <si>
    <t>Dù giảm mức thuế đáng kể, nhưng tôi vẫn cần thời gian để quen với quy trình mới.</t>
  </si>
  <si>
    <t>Nhà nước và cơ quan thuế đã có nhiều cải tiến công nghệ, tuy nhiên việc phát hiện trốn thuế vẫn còn khó khăn.</t>
  </si>
  <si>
    <t>Công nghệ ngày càng tiên tiến, khả năng của nhà nước trong việc quản lý thuế cũng cao hơn trước đây.</t>
  </si>
  <si>
    <t>Thủ tục khai báo thuế trở nên đơn giản hơn, nhưng vẫn còn nhiều giấy tờ cần cung cấp.</t>
  </si>
  <si>
    <t>Biểu thuế được đơn giản hóa, dễ hiểu và thực hiện hơn so với trước đây.</t>
  </si>
  <si>
    <t>Tôi tin rằng Nhà nước sẽ công bằng trong việc áp dụng chính sách mới.</t>
  </si>
  <si>
    <t>Thu nhập của tôi không cao, mức thuế theo phương án mới là hợp lý đối với thu nhập hiện tại.</t>
  </si>
  <si>
    <t>Thuế đóng góp vào sự phát triển chung của xã hội, giúp cải thiện dịch vụ công.</t>
  </si>
  <si>
    <t>Nhà nước đã giải thích rõ ràng về mục đích và lý do của việc sửa đổi thuế lần này.</t>
  </si>
  <si>
    <t>Tôi ủng hộ chính sách mới vì nó đơn giản hóa quy trình và giảm gánh nặng thuế cho người dân.</t>
  </si>
  <si>
    <t>Thuế mới có 5 bậc thay vì 7, giảm cơ hội trốn thuế. Thuật toán phát hiện gian lận cũng được cải tiến.</t>
  </si>
  <si>
    <t>Cơ quan thuế có công nghệ và nguồn lực tốt hơn để phát hiện trốn thuế. Hệ thống quản lý thuế hiện đại hơn.</t>
  </si>
  <si>
    <t>Thuật toán tính thuế đơn giản, thủ tục khai báo thuận tiện hơn. Có nhiều hướng dẫn trực tuyến.</t>
  </si>
  <si>
    <t>Bậc thuế giảm từ 7 thành 5, dễ hiểu và thực hiện nhanh chóng hơn so với trước đây.</t>
  </si>
  <si>
    <t>Thuế được giảm đi đáng kể, tôi tin rằng cơ quan thuế sẽ thực thi công bằng và khách quan.</t>
  </si>
  <si>
    <t>Mức thuế mới cho phép người thu nhập thấp như tôi đóng mức hợp lý hơn so với trước đây.</t>
  </si>
  <si>
    <t>Thuế giảm đi, tôi tin rằng số tiền này sẽ được sử dụng hiệu quả để cải thiện dịch vụ công</t>
  </si>
  <si>
    <t>Có nhiều thông tin giải thích rõ ràng về mục đích và lý do sửa đổi thuế mới.</t>
  </si>
  <si>
    <t>Tác động tài chính tích cực giúp tôi ủng hộ và tuân thủ chính sách mới</t>
  </si>
  <si>
    <t>Chính phủ đã tăng mức giảm trừ gia cảnh, do đó nguy cơ gian lận thuế thấp hơn. Tuy nhiên, tôi vẫn không hoàn toàn tin tưởng vào khả năng phát hiện trốn thuế của nhà nước.</t>
  </si>
  <si>
    <t>Cơ quan thuế có công nghệ và nguồn lực để theo dõi và xử lý các hành vi gian lận, nhưng mức độ thực thi vẫn phụ thuộc vào hiệu suất làm việc của họ.</t>
  </si>
  <si>
    <t>So với trước đây, quy trình khai thuế và giao tiếp với cơ quan thuế đơn giản hơn nhiều, do đó thuận tiện hơn cho người dân.</t>
  </si>
  <si>
    <t>Biểu thuế mới có ít bậc hơn nên dễ hiểu và thực hiện hơn so với trước đây. Tuy nhiên, việc giảm trừ gia cảnh lớn khiến tôi không cần phải khai thuế, do đó cảm giác thuận tiện cao.</t>
  </si>
  <si>
    <t>Tôi tin rằng nhà nước sẽ công bằng trong việc thực thi chính sách mới, nhưng vẫn lo ngại về khả năng phát hiện và xử lý gian lận.</t>
  </si>
  <si>
    <t>Mức thuế tôi phải đóng thấp hơn nhiều so với trước đây do mức giảm trừ gia cảnh cao. Điều này khiến tôi cảm thấy công bằng, vì tôi không còn bị áp đặt các khoản thuế không cần thiết.</t>
  </si>
  <si>
    <t>Tôi tin rằng số tiền thuế đóng sẽ được sử dụng hiệu quả cho việc cải thiện dịch vụ công, mặc dù chi tiết cụ thể về cách sử dụng chưa được cung cấp đầy đủ.</t>
  </si>
  <si>
    <t>Nhà nước đã giải thích rõ ràng mục tiêu và lý do của chính sách mới, nhưng tôi vẫn muốn biết thêm thông tin về cách thực hiện và quản lý các khoản thuế.</t>
  </si>
  <si>
    <t>Chính sách mới rất có lợi cho tôi vì giảm trừ gia cảnh cao. Tôi ủng hộ việc này và sẽ tuân thủ, đồng thời mong muốn chính phủ cung cấp thêm thông tin về cách sử dụng số tiền thuế.</t>
  </si>
  <si>
    <t>Biện pháp quản lý thuế hiện tại vẫn còn khá phức tạp, việc phát hiện trốn thuế phụ thuộc nhiều vào sự tuân thủ của người nộp thuế. Tuy nhiên, với cải cách này, số bậc giảm đi nên khả năng bị phát hiện tăng lên.</t>
  </si>
  <si>
    <t>Công nghệ và quy định quản lý thuế đã được cải thiện nhưng vẫn còn nhiều nơi chưa tận dụng tối đa công nghệ để theo dõi người nộp thuế.</t>
  </si>
  <si>
    <t>Quy trình khai báo nay đơn giản hơn, không cần phải làm nhiều giấy tờ rườm rà như trước. Việc này tạo điều kiện cho việc nộp thuế dễ dàng hơn.</t>
  </si>
  <si>
    <t>Biểu thuế mới đơn giản và dễ hiểu hơn so với trước đây, giảm bớt sự phức tạp đối với người nộp thuế.</t>
  </si>
  <si>
    <t>Tôi tin rằng Nhà nước sẽ thực hiện chính sách này một cách công bằng và khách quan. Việc tăng mức giảm trừ gia cảnh giúp tôi cảm thấy được đối xử công bằng hơn.</t>
  </si>
  <si>
    <t>Mức thuế mới mà tôi phải đóng là hợp lý so với thu nhập của mình, không quá cao và cũng không quá thấp so với trước đây</t>
  </si>
  <si>
    <t>Thuê được giảm đi đáng kể nên tôi tin rằng số tiền thuế này sẽ được sử dụng hiệu quả để cải thiện các dịch vụ công.</t>
  </si>
  <si>
    <t>Những thông tin về chính sách mới đã được giải thích một cách rõ ràng, giúp tôi hiểu hơn về mục tiêu của nó. Tuy nhiên, việc minh bạch hoàn toàn vẫn cần thêm thời gian.</t>
  </si>
  <si>
    <t>Sau khi xem xét tất cả các yếu tố, tôi cho rằng chính sách mới này tốt và phù hợp với nhu cầu của người dân như tôi. Tôi sẽ tuân thủ và ủng hộ nó.</t>
  </si>
  <si>
    <t>Cơ quan thuế có đủ khả năng và công nghệ để phát hiện hành vi gian lận, nhưng mức giảm trừ gia cảnh cao nên tôi không hoàn toàn tin rằng sẽ dễ dàng phát hiện trốn thuế.</t>
  </si>
  <si>
    <t>Nhà nước đã tăng cường khả năng quản lý và giám sát thông qua công nghệ, tuy nhiên do mức thuế thấp nên khả năng phát hiện các hành vi gian lận có thể bị giảm.</t>
  </si>
  <si>
    <t>Quy trình làm việc với cơ quan thuế đơn giản hơn trước đây, nhưng vẫn cần thời gian để quen thuộc với hệ thống mới.</t>
  </si>
  <si>
    <t>Cách tính thuế và các bậc thuế mới đơn giản hơn so với trước đây. Điều này giúp người dân dễ hiểu và thực hiện.</t>
  </si>
  <si>
    <t>Tôi tin rằng Nhà nước sẽ công tâm trong việc áp dụng chính sách, dù mức giảm trừ gia cảnh cao nên tôi không hoàn toàn lo ngại về gian lận thuế.</t>
  </si>
  <si>
    <t>Mức thuế mới là hợp lý đối với thu nhập của tôi. Mức giảm trừ gia cảnh cao giúp tôi không phải đóng thuế, do đó tôi thấy công bằng.</t>
  </si>
  <si>
    <t>Tôi tin rằng số tiền thuế đóng sẽ được sử dụng hiệu quả để cải thiện chất lượng dịch vụ công, dù mức thuế thấp nhưng tôi vẫn ủng hộ.</t>
  </si>
  <si>
    <t>Nhà nước đã giải thích rõ ràng về mục tiêu của việc sửa đổi thuế lần này, giúp tôi hiểu được lý do và mục đích.</t>
  </si>
  <si>
    <t>Tôi ủng hộ chính sách mới vì mức giảm trừ gia cảnh cao giúp tôi không phải đóng thuế. Tuy nhiên, mức thuế thấp có thể khiến người dân không quan tâm đến việc tuân thủ.</t>
  </si>
  <si>
    <t>Nhà nước đã cải cách thuế theo hướng minh bạch và công bằng, tăng giảm trừ gia cảnh nên dễ kiểm soát hơn.</t>
  </si>
  <si>
    <t>Cơ quan thuế có nhiều công cụ và nguồn lực để giám sát các giao dịch tài chính thông qua hệ thống điện tử.</t>
  </si>
  <si>
    <t>Quy trình khai thuế đơn giản hơn, giảm bớt rườm rà, thủ tục dễ dàng hơn cho người dân.</t>
  </si>
  <si>
    <t>Bậc thuế ít đi giúp việc tính toán thu nhập và đóng thuế trở nên rõ ràng và dễ thực hiện hơn.</t>
  </si>
  <si>
    <t>Nhà nước đã minh bạch về mục tiêu cải cách, đảm bảo tuân thủ công bằng đối với mọi người nộp thuế.</t>
  </si>
  <si>
    <t>Thu nhập của tôi không vượt quá ngưỡng chịu thuế nên mức đóng thuế mới là phù hợp.</t>
  </si>
  <si>
    <t>Tiền thuế đóng sẽ được sử dụng hiệu quả cho các dịch vụ công, cải thiện đời sống người dân.</t>
  </si>
  <si>
    <t>Cơ quan thuế đã giải thích rõ ràng về mục đích và cách thức thực hiện chính sách mới.</t>
  </si>
  <si>
    <t>Chính sách mới giúp tôi giảm gánh nặng tài chính, tăng niềm tin vào hệ thống thuế.</t>
  </si>
  <si>
    <t>Thuế TNCN mới đã đơn giản hóa nhiều quy định, giảm trừ gia cảnh cao hơn trước. Điều này làm giảm khả năng phát hiện sai phạm nhưng không hoàn toàn loại bỏ.</t>
  </si>
  <si>
    <t>Nhà nước và cơ quan thuế có công nghệ và nguồn lực để quản lý hiệu quả, nhưng mức độ thực thi còn phụ thuộc vào nhiều yếu tố khác.</t>
  </si>
  <si>
    <t>So với trước đây, quy trình khai báo và làm việc với cơ quan thuế dễ dàng hơn. Việc giảm bậc thuế cũng giúp đơn giản hóa quá trình.</t>
  </si>
  <si>
    <t>Biểu thuế mới có ít bậc, rõ ràng hơn so với trước đây. Điều này giúp người dân dễ hiểu và thực hiện đúng.</t>
  </si>
  <si>
    <t>Nhà nước đã công bố chính sách mới một cách minh bạch, tạo niềm tin cho người dân về tính công bằng của hệ thống thuế.</t>
  </si>
  <si>
    <t>Với mức thu nhập hiện tại và các quy định giảm trừ gia cảnh, tôi thấy mình đóng mức thuế tương đối công bằng.</t>
  </si>
  <si>
    <t>Thuế được dùng cho phát triển hạ tầng và dịch vụ công. Tôi tin rằng số tiền đóng góp của tôi sẽ được sử dụng hiệu quả.</t>
  </si>
  <si>
    <t>Nhà nước đã giải thích rõ mục tiêu và lý do của việc sửa đổi chính sách thuế, tạo sự minh bạch cho người dân.</t>
  </si>
  <si>
    <t>Tác động tài chính tích cực cùng với sự đơn giản hóa quy trình khai báo khiến tôi ủng hộ và tuân thủ chính sách mới.</t>
  </si>
  <si>
    <t>Nếu mức giảm trừ gia cảnh cao hơn thu nhập, việc phát hiện và xử lý gian lận có thể khó khăn. Tuy nhiên, cơ quan thuế vẫn có khả năng theo dõi thông qua hệ thống điện tử.</t>
  </si>
  <si>
    <t>Cơ quan thuế đã cải thiện công nghệ để quản lý và kiểm soát gian lận trong thời gian qua.</t>
  </si>
  <si>
    <t>Quy trình khai báo thuế đơn giản hơn với mức giảm trừ gia cảnh cao, thủ tục trở nên thuận tiện hơn cho người dân.</t>
  </si>
  <si>
    <t>Bậc thuế ít đi và rõ ràng hơn, dễ dàng thực hiện và hiểu</t>
  </si>
  <si>
    <t>Nhà nước đã tăng mức giảm trừ gia cảnh nên tôi tin rằng việc áp dụng thuế công bằng đối với người dân.</t>
  </si>
  <si>
    <t>Với thu nhập của mình, mức thuế mới là hợp lý và công bằng.</t>
  </si>
  <si>
    <t>Thuế đóng góp vào việc cải thiện dịch vụ công nên tôi tin rằng tiền thuế sẽ được sử dụng hiệu quả.</t>
  </si>
  <si>
    <t>Nhà nước đã giải thích rõ ràng về mục tiêu và lý do của chính sách mới, tạo niềm tin cho người dân.</t>
  </si>
  <si>
    <t>Tôi ủng hộ và tuân thủ chính sách mới vì nó công bằng và thuận tiện hơn.</t>
  </si>
  <si>
    <t>Biện pháp quản lý thuế hiện tại không đủ mạnh để phát hiện hành vi gian lận hoặc trốn thuế, do đó mức độ thực thi chưa cao.</t>
  </si>
  <si>
    <t>Cơ quan thuế có công nghệ và khả năng xử lý dữ liệu tốt hơn nhưng vẫn cần cải thiện trong việc giám sát hành vi gian lận.</t>
  </si>
  <si>
    <t>So với trước đây, thủ tục khai báo thuế đơn giản hơn nhưng vẫn còn một số khó khăn trong quá trình tương tác với cơ quan thuế.</t>
  </si>
  <si>
    <t>Cách tính thuế và các bậc thuế mới rõ ràng, dễ thực hiện hơn so với trước đây. Điều này giúp việc tính toán thu nhập chịu thuế trở nên thuận tiện.</t>
  </si>
  <si>
    <t>Tôi tin rằng Nhà nước sẽ thực thi chính sách một cách công bằng vì mức giảm trừ gia cảnh cao đã làm giảm gánh nặng thuế cho người dân.</t>
  </si>
  <si>
    <t>Nhìn chung, mức thuế mới được tính toán hợp lý và công bằng đối với thu nhập của tôi. Điều này thể hiện sự công bằng trong hệ thống thuế.</t>
  </si>
  <si>
    <t>Tôi tin rằng số tiền thuế đóng sẽ được sử dụng hiệu quả để cải thiện dịch vụ công, từ đó tạo ra lợi ích cho toàn xã hội.</t>
  </si>
  <si>
    <t>Nhà nước đã giải thích rõ ràng về mục tiêu của việc sửa đổi thuế. Tuy nhiên, cần có thêm thông tin chi tiết để nâng cao độ tin cậy.</t>
  </si>
  <si>
    <t>Tôi ủng hộ và tuân thủ chính sách mới vì nó mang lại lợi ích tài chính cho tôi và người dân nói chung. Việc giảm trừ gia cảnh cao đã làm giảm gánh nặng thuế.</t>
  </si>
  <si>
    <t>Cơ quan thuế có nhiều công cụ để phát hiện gian lận, nhưng với mức giảm trừ gia cảnh cao hơn thu nhập, khả năng phát hiện trốn thuế không còn mạnh mẽ như trước.</t>
  </si>
  <si>
    <t>Công nghệ quản lý thuế đã tiến bộ, nhưng vẫn cần sự hỗ trợ từ người dân trong việc tuân thủ pháp luật.</t>
  </si>
  <si>
    <t>Thủ tục đơn giản hơn, nhưng vẫn còn một số bước phức tạp như khai báo.</t>
  </si>
  <si>
    <t>Biểu thuế đơn giản hơn, dễ hiểu hơn so với trước đây.</t>
  </si>
  <si>
    <t>Thuế đã giảm đáng kể nên tôi thấy công bằng khi thực thi chính sách mới.</t>
  </si>
  <si>
    <t>Mức thuế theo phương án mới là hợp lý với thu nhập của tôi.</t>
  </si>
  <si>
    <t>Thuế đóng sẽ được sử dụng hiệu quả cho các dịch vụ công, nâng cao chất lượng cuộc sống.</t>
  </si>
  <si>
    <t>Tôi ủng hộ và sẽ tuân thủ chính sách mới vì lợi ích cá nhân và cộng đồng.</t>
  </si>
  <si>
    <t>Các quy định quản lý thuế hiện nay có nhiều cải tiến, nhưng vẫn cần nâng cao hơn nữa về công nghệ và khả năng phát hiện gian lận. Tuy nhiên, với mức giảm trừ gia cảnh tăng lên cùng việc đơn giản hóa biểu thuế, tôi thấy cơ quan thuế sẽ dễ dàng theo dõi và xử lý.</t>
  </si>
  <si>
    <t>Nhà nước có đủ công nghệ để quản lý dữ liệu cá nhân, nhưng vẫn cần cải thiện trong việc chia sẻ thông tin giữa các ngành. Việc đơn giản hóa biểu thuế sẽ giúp phát hiện gian lận dễ dàng hơn.</t>
  </si>
  <si>
    <t>Đối với tôi, quy trình khai thuế trở nên thuận tiện hơn khi có nhiều giảm trừ gia cảnh và ít bậc thuế. Tuy nhiên, vẫn cần cải thiện trong việc cung cấp thông tin hướng dẫn cho người dân.</t>
  </si>
  <si>
    <t>Biểu thuế mới đơn giản hóa đáng kể so với trước đây. Bậc thuế giảm từ 7 xuống còn 5 và mức giảm trừ gia cảnh tăng, giúp việc tính toán dễ dàng hơn.</t>
  </si>
  <si>
    <t>Tôi tin rằng Nhà nước sẽ thực thi chính sách một cách công bằng, nhưng cần cải thiện trong việc minh bạch thông tin cho người dân về quy trình quản lý thuế.</t>
  </si>
  <si>
    <t>Mức thuế mới là hợp lý và công bằng với thu nhập của tôi. Mức giảm trừ gia cảnh tăng, giúp tôi tiết kiệm được tiền thuế.</t>
  </si>
  <si>
    <t>Tôi tin rằng số tiền thuế đóng sẽ được sử dụng hiệu quả cho các dịch vụ công, nhưng cần cải thiện trong việc minh bạch chi tiêu ngân sách.</t>
  </si>
  <si>
    <t>Nhà nước đã giải thích rõ ràng về mục đích và lý do của chính sách mới. Tuy nhiên, vẫn cần cải thiện trong việc cung cấp thông tin chi tiết hơn cho người dân.</t>
  </si>
  <si>
    <t>Sau khi xem xét các quyền lợi và nghĩa vụ, tôi ủng hộ và tuân thủ chính sách mới. Mức thuế giảm giúp tôi có thêm tiền để đầu tư vào việc học tập và phát triển bản thân.</t>
  </si>
  <si>
    <t>Thuế hiện nay được quản lý chặt chẽ và công nghệ ngày càng tiên tiến, tuy nhiên vẫn có khả năng trốn thuế.</t>
  </si>
  <si>
    <t>Cơ quan thuế có nhiều phương pháp để phát hiện trốn thuế, từ việc kiểm tra hồ sơ đến sử dụng công nghệ.</t>
  </si>
  <si>
    <t>So với trước đây, quy trình khai báo trở nên đơn giản hơn và nhanh chóng hơn, giảm bớt rào cản hành chính.</t>
  </si>
  <si>
    <t>Biểu thuế mới có ít bậc hơn và cách tính rõ ràng hơn, dễ dàng áp dụng cho người dân.</t>
  </si>
  <si>
    <t>Nhà nước đã thể hiện sự công bằng trong việc giảm trừ gia cảnh và đơn giản hóa biểu thuế.</t>
  </si>
  <si>
    <t>Dựa trên thu nhập của tôi, mức thuế mới được đánh giá là hợp lý.</t>
  </si>
  <si>
    <t>Thuế tôi đóng sẽ được sử dụng để cải thiện dịch vụ công, từ đó nâng cao chất lượng cuộc sống.</t>
  </si>
  <si>
    <t>Nhà nước đã giải thích rõ ràng về chính sách mới và mục tiêu cải cách thuế.</t>
  </si>
  <si>
    <t>Tôi ủng hộ và tuân thủ chính sách mới vì nó mang lại nhiều lợi ích cho người dân.</t>
  </si>
  <si>
    <t>Dù có công nghệ hiện đại, nhưng việc quản lý thuế vẫn phụ thuộc vào sự tuân thủ của người nộp thuế. Hiện tại tôi không hoàn toàn tin rằng mọi hành vi gian lận đều sẽ bị phát hiện.</t>
  </si>
  <si>
    <t>Cơ quan thuế có thể phát triển công nghệ và nâng cao khả năng giám sát, nhưng vẫn cần sự phối hợp của người nộp thuế để đạt hiệu quả tốt nhất.</t>
  </si>
  <si>
    <t>Quy trình khai báo thuế đã đơn giản hơn, thủ tục nhanh chóng hơn, nhưng tôi nghĩ các bước vẫn cần cải thiện thêm.</t>
  </si>
  <si>
    <t>Biểu thuế mới có ít bậc hơn và dễ hiểu hơn so với trước đây, làm việc thực hiện thuế trở nên đơn giản và minh bạch hơn.</t>
  </si>
  <si>
    <t>Tôi tin rằng Nhà nước sẽ cố gắng thực thi chính sách công bằng, nhưng còn phụ thuộc vào khả năng giám sát của cơ quan chức năng.</t>
  </si>
  <si>
    <t>Thuế mới giảm đáng kể so với trước đây, giúp tôi tiết kiệm được một số tiền đáng kể. Đây là mức thuế công bằng cho thu nhập hiện tại của tôi.</t>
  </si>
  <si>
    <t>Tôi tin rằng thuế đóng góp vào việc cải thiện dịch vụ công và hạ tầng, nhưng còn phụ thuộc vào hiệu quả quản lý chi tiêu của chính phủ.</t>
  </si>
  <si>
    <t>Cơ quan thuế đã giải thích rõ ràng về mục đích sửa đổi thuế, nhưng cần có thêm thông tin để tôi cảm thấy hoàn toàn an tâm về cách sử dụng nguồn thu này.</t>
  </si>
  <si>
    <t>Tôi ủng hộ chính sách mới vì nó giúp tôi tiết kiệm được tiền thuế và tăng niềm tin vào hệ thống thuế. Tuy nhiên, tôi vẫn mong đợi cải thiện thêm trong việc quản lý thu chi của Nhà nước.</t>
  </si>
  <si>
    <t>Nhà nước đã có nhiều biện pháp quản lý thuế hiện đại, tuy nhiên với mức thu nhập cao như tôi, khả năng gian lận vẫn không thể hoàn toàn loại bỏ.</t>
  </si>
  <si>
    <t>Cơ quan thuế có công nghệ và nguồn lực để phát hiện trốn thuế, nhưng hiệu quả phụ thuộc vào sự nỗ lực của cơ quan quản lý.</t>
  </si>
  <si>
    <t>Quy trình khai báo thuế trở nên đơn giản hơn, tuy nhiên vẫn còn cần thời gian để mọi người làm quen với các thay đổi mới.</t>
  </si>
  <si>
    <t>Bậc thuế giảm từ 7 xuống 5, giúp việc tính toán và nộp thuế trở nên dễ dàng hơn, thuận tiện cho cả cá nhân và doanh nghiệp.</t>
  </si>
  <si>
    <t>Tôi tin rằng cơ quan thuế sẽ thực thi công bằng với mọi người dân, song mức độ công khai trong việc thực thi vẫn cần được cải thiện hơn.</t>
  </si>
  <si>
    <t>Nếu thu nhập tôi thuộc bậc thuế mới, mức thuế 12 triệu/tháng là hợp lý và công bằng với mức sống hiện tại của tôi.</t>
  </si>
  <si>
    <t>Thuế đóng góp vào việc cải thiện dịch vụ công, nhưng hiệu quả sử dụng nguồn thu từ thuế cần được giám sát chặt chẽ hơn.</t>
  </si>
  <si>
    <t>Nhà nước đã giải thích rõ ràng về mục tiêu của việc sửa đổi luật thuế, tuy nhiên chi tiết về cách thực hiện và kết quả vẫn còn hạn chế.</t>
  </si>
  <si>
    <t>Tôi ủng hộ chính sách mới vì nó đơn giản hóa quy trình và giảm gánh nặng tài chính cho tôi. Tôi sẽ tuân thủ các quy định mới.</t>
  </si>
  <si>
    <t>Công nghệ hiện đại và sự giám sát chặt chẽ của cơ quan thuế có thể phát hiện hành vi gian lận hoặc trốn thuế.</t>
  </si>
  <si>
    <t>Nhà nước đã đầu tư vào công nghệ để cải thiện khả năng quản lý và xử lý các vụ việc liên quan đến thuế.</t>
  </si>
  <si>
    <t>Quy trình khai báo thuế trở nên đơn giản hơn, giảm bớt những rắc rối không cần thiết.</t>
  </si>
  <si>
    <t>Số bậc thuế được rút gọn giúp việc tính thuế dễ dàng và rõ ràng hơn so với trước đây.</t>
  </si>
  <si>
    <t>Nhà nước đã thực hiện công bằng trong việc điều chỉnh mức giảm trừ gia cảnh và bậc thuế mới.</t>
  </si>
  <si>
    <t>Mức thuế theo phương án mới được xem là hợp lý đối với thu nhập của tôi.</t>
  </si>
  <si>
    <t>Tiết kiệm được tiền thuế, tôi tin rằng số tiền đó sẽ được sử dụng hiệu quả để cải thiện dịch vụ công.</t>
  </si>
  <si>
    <t>Sau khi tính toán lợi ích, tôi ủng hộ và sẽ tuân thủ chính sách mới.</t>
  </si>
  <si>
    <t>Hiện nay, với sự phát triển của công nghệ và hệ thống quản lý thuế, tôi tin rằng cơ quan thuế có khả năng phát hiện hành vi gian lận hoặc trốn thuế một cách hiệu quả. Tuy nhiên, việc thực thi luật pháp cần phải tuân thủ đúng quy định.</t>
  </si>
  <si>
    <t>Nhà nước đã đầu tư công nghệ và nguồn lực vào hệ thống quản lý thuế, cho thấy họ có khả năng và quyết tâm xử lý nghiêm các hành vi trốn thuế. Tuy nhiên, hiệu quả thực tế phụ thuộc vào sự tuân thủ của cá nhân.</t>
  </si>
  <si>
    <t>So với trước đây, quy trình khai báo thuế đã trở nên đơn giản hơn và dễ dàng tiếp cận thông qua các kênh điện tử. Điều này giúp tiết kiệm thời gian cho người nộp thuế.</t>
  </si>
  <si>
    <t>Biểu thuế mới có ít bậc hơn, làm giảm độ phức tạp. Tuy nhiên, việc hiểu rõ về từng mức thuế và cách tính toán vẫn cần thêm thời gian để nắm bắt.</t>
  </si>
  <si>
    <t>Tôi tin rằng cơ quan thuế sẽ thực thi chính sách một cách công bằng và khách quan. Mức thuế mới được thiết kế phù hợp với thu nhập của tôi, tạo cảm giác công bằng.</t>
  </si>
  <si>
    <t>Mức thuế giảm đáng kể so với trước đây, cho thấy chính sách mới là hợp lý và công bằng đối với người có thu nhập như tôi. Tuy nhiên, vẫn cần thêm minh bạch về chi tiêu của số tiền này.</t>
  </si>
  <si>
    <t>Hiệu quả sử dụng ngân sách từ thuế do Nhà nước quản lý là vấn đề công chúng quan tâm. Tôi hy vọng rằng nguồn thuế mới sẽ được sử dụng hiệu quả cho các dịch vụ công lợi ích cộng đồng.</t>
  </si>
  <si>
    <t>Nhà nước đã giải thích rõ ràng về mục tiêu và lý do của việc sửa đổi luật thuế, tạo cảm giác tin tưởng đối với người dân. Tuy nhiên, thông tin chi tiết về cách sử dụng nguồn thuế vẫn cần được cải thiện.</t>
  </si>
  <si>
    <t>Sau khi xem xét các điểm trên, tôi ủng hộ và tuân thủ chính sách mới do lợi ích tài chính và sự công bằng của nó. Tuy nhiên, việc tăng cường minh bạch về sử dụng nguồn thuế sẽ giúp tăng thêm niềm tin.</t>
  </si>
  <si>
    <t>Nhà nước và cơ quan thuế đã có những cải tiến về công nghệ, tuy nhiên vẫn còn nhiều thách thức trong việc phát hiện trốn thuế.</t>
  </si>
  <si>
    <t>Cơ sở hạ tầng kỹ thuật của nhà nước đang được đầu tư mạnh mẽ, khả năng phát hiện và xử lý gian lận tăng lên đáng kể.</t>
  </si>
  <si>
    <t>So với trước đây, quy trình khai thuế và giao tiếp với cơ quan thuế trở nên đơn giản hơn, tốn ít thời gian hơn.</t>
  </si>
  <si>
    <t>Biểu thuế mới có ít bậc hơn, giúp việc tính toán thu nhập chịu thuế dễ dàng hơn và nhanh chóng hơn.</t>
  </si>
  <si>
    <t>Tôi tin rằng cơ quan thuế sẽ thực thi chính sách một cách công bằng và khách quan, nhưng vẫn cần thêm thời gian để chứng minh.</t>
  </si>
  <si>
    <t>Thuế mới giảm đáng kể so với trước đây, tôi thấy mức thuế này là công bằng đối với thu nhập của mình.</t>
  </si>
  <si>
    <t>Hiệu quả sử dụng số tiền thuế đóng còn phụ thuộc vào việc quản lý chi tiêu của nhà nước.</t>
  </si>
  <si>
    <t>Cơ quan thuế đã giải thích rõ ràng về mục đích của cải cách, nhưng vẫn cần thêm thông tin để tôi hiểu sâu hơn về hiệu quả của nó.</t>
  </si>
  <si>
    <t>Tôi ủng hộ và sẽ tuân thủ chính sách mới, vì lợi ích tài chính rõ rệt mà nó mang lại cho tôi.</t>
  </si>
  <si>
    <t>Việc tăng mức giảm trừ gia cảnh và đơn giản hóa biểu thuế có thể làm giảm cơ hội trốn thuế, nhưng vẫn cần các biện pháp quản lý mạnh mẽ để phát hiện hành vi gian lận.</t>
  </si>
  <si>
    <t>Nhà nước đã đầu tư vào công nghệ và nhân lực để cải thiện khả năng phát hiện và xử lý trốn thuế, tuy nhiên, hiệu quả thực tế vẫn cần thời gian chứng minh.</t>
  </si>
  <si>
    <t>So với trước đây, quy trình khai báo thuế đơn giản hơn, nhưng việc tiếp xúc trực tiếp với cơ quan thuế vẫn có thể gặp khó khăn do thủ tục phức tạp</t>
  </si>
  <si>
    <t>Biểu thuế mới rõ ràng và dễ hiểu hơn so với trước đây, giảm bớt sự phiền toái cho người dân khi tính toán mức thuế phải đóng.</t>
  </si>
  <si>
    <t>Tôi tin Nhà nước sẽ thực thi chính sách một cách công bằng, nhưng vẫn cần thời gian để chứng minh điều này thông qua các hành động cụ thể.</t>
  </si>
  <si>
    <t>Thuế mới được giảm đáng kể so với trước đây, nên tôi thấy mức thuế hiện tại là hợp lý và công bằng</t>
  </si>
  <si>
    <t>Tuy nhiên, tôi cần xem xét cách sử dụng số tiền thuế này để đánh giá liệu số thuế đóng có được sử dụng hiệu quả hay không.</t>
  </si>
  <si>
    <t>Quyết định cải cách thuế đã được giải thích rõ ràng trong các hội nghị, nhưng tôi hy vọng sẽ có thêm thông tin chi tiết về mục tiêu chính sách</t>
  </si>
  <si>
    <t>Sau khi xem xét cả mặt tích cực và hạn chế của chính sách mới, tôi ủng hộ nó vì mức thuế giảm đáng kể và thủ tục đơn giản hơn.</t>
  </si>
  <si>
    <t>Hiện tại, cơ quan thuế có nhiều công cụ và hệ thống giám sát, nên tôi tin rằng hành vi gian lận sẽ khó tránh khỏi. Tuy nhiên, với mức giảm trừ gia cảnh tăng lên, việc phát hiện trốn thuế có thể trở nên phức tạp hơn.</t>
  </si>
  <si>
    <t>Cơ quan thuế đã đầu tư công nghệ và nguồn lực vào việc cải thiện hệ thống quản lý thuế. Điều này cho thấy họ có khả năng kiểm soát tốt hơn các hành vi trốn thuế.</t>
  </si>
  <si>
    <t>Quy trình khai báo thuế và giao tiếp với cơ quan thuế trở nên đơn giản, giúp tôi nhanh chóng hoàn thành các thủ tục. Điều này làm tăng thuận tiện cho người dân.</t>
  </si>
  <si>
    <t>Biểu thuế mới có ít bậc hơn so với trước đây, khiến việc tính toán và hiểu rõ quy định trở nên dễ dàng hơn.</t>
  </si>
  <si>
    <t>Việc nhà nước áp dụng các mức giảm trừ gia cảnh cao hơn giúp tôi tin rằng họ đang công bằng trong việc đánh giá thu nhập và thuế phải nộp.</t>
  </si>
  <si>
    <t>Mức thuế mới được tính toán dựa trên thu nhập của tôi, nên tôi cho rằng nó là công bằng. Tuy nhiên, việc áp dụng cụ thể có thể còn phụ thuộc vào cách thực thi.</t>
  </si>
  <si>
    <t>Tiết kiệm được một khoản tiền đáng kể từ thuế đã làm tăng niềm tin của tôi về hiệu quả sử dụng số tiền thuế mà tôi đóng góp cho ngân sách nhà nước.</t>
  </si>
  <si>
    <t>Nhà nước đã công bố rõ ràng về mục tiêu và lý do thay đổi hệ thống thuế, nhưng giải thích về cách thực hiện cụ thể còn hạn chế.</t>
  </si>
  <si>
    <t>Dù có một số lo ngại về việc áp dụng cụ thể, tôi vẫn ủng hộ chính sách mới vì nó mang lại lợi ích rõ ràng cho người dân và cải thiện thuận tiện trong khai thuế.</t>
  </si>
  <si>
    <t>Hiện nay, với sự phát triển của công nghệ và hệ thống quản lý thuế hiện đại, việc phát hiện các hành vi gian lận hoặc trốn thuế có thể trở nên dễ dàng hơn. Tuy nhiên, vẫn còn một số rủi ro về mặt thực thi.</t>
  </si>
  <si>
    <t>Cơ quan thuế đã và đang áp dụng nhiều công nghệ hiện đại để phát hiện gian lận thuế, nhưng hiệu quả thực thi còn phụ thuộc vào nguồn lực và quyết tâm của cơ quan chức năng.</t>
  </si>
  <si>
    <t>Với việc đơn giản hóa quy trình khai báo thuế và giảm bớt các bước cần thiết, quá trình làm việc với cơ quan thuế trở nên dễ dàng hơn. Điều này giúp người dân thực hiện nghĩa vụ của mình một cách thuận lợi hơn.</t>
  </si>
  <si>
    <t>Biểu thuế mới có ít bậc hơn và mức giảm trừ gia cảnh cao hơn, làm cho việc tính toán trở nên đơn giản hơn. Điều này giúp người dân dễ dàng hiểu và thực hiện chính sách một cách minh bạch.</t>
  </si>
  <si>
    <t>Tôi tin rằng cơ quan thuế sẽ công bằng trong việc áp dụng các quy định mới, nhưng vẫn cần thêm thời gian để kiểm chứng sự công bằng của chúng.</t>
  </si>
  <si>
    <t>Với mức thuế thấp hơn và giảm trừ gia cảnh cao hơn, tôi cảm thấy rằng chính sách này là công bằng với người dân như tôi. Điều này tạo ra một môi trường thuế thuận lợi cho người lao động.</t>
  </si>
  <si>
    <t>Tôi tin tưởng rằng số tiền thuế mà tôi đóng sẽ được sử dụng hiệu quả để cải thiện dịch vụ công, mặc dù không có thông tin cụ thể về cách thức quản lý nguồn thu.</t>
  </si>
  <si>
    <t>Nhà nước đã giải thích rõ ràng mục đích của việc sửa đổi thuế lần này, nhưng vẫn cần thêm thông tin chi tiết về quy trình thực thi để tăng thêm niềm tin.</t>
  </si>
  <si>
    <t>Tôi ủng hộ chính sách mới vì nó tạo ra một môi trường thuận lợi cho người dân và giúp giảm gánh nặng thuế. Tuy nhiên, tôi vẫn cần thêm thông tin về cách sử dụng nguồn thu để tăng sự hiểu biết.</t>
  </si>
  <si>
    <t>Dựa trên các quy định quản lý thuế hiện nay, tôi tin rằng hành vi gian lận hoặc trốn thuế sẽ dễ dàng bị phát hiện và xử lý nghiêm. Với công nghệ ngày càng tiến bộ, khả năng giám sát của cơ quan thuế cũng được cải thiện đáng kể.</t>
  </si>
  <si>
    <t>Nhà nước có đủ nguồn lực và công nghệ để phát hiện và xử lý nghiêm các hành vi trốn thuế. Tuy nhiên, việc quản lý thuế vẫn phụ thuộc vào hiệu suất của nhân viên cơ quan thuế.</t>
  </si>
  <si>
    <t>Quy trình khai báo thuế đã đơn giản hơn so với trước đây. Việc tăng giảm trừ gia cảnh và số bậc thuế cũng giúp quá trình làm việc dễ dàng hơn.</t>
  </si>
  <si>
    <t>Biểu thuế mới đơn giản, dễ hiểu và thực hiện thuận tiện hơn so với trước đây. Số bậc thuế được rút gọn từ 7 xuống còn 5, giảm độ phức tạp cho người dân.</t>
  </si>
  <si>
    <t>Tôi tin rằng Nhà nước sẽ thực thi chính sách một cách khách quan và công bằng đối với mọi người nộp thuế. Việc tăng mức giảm trừ gia cảnh và số bậc thuế cũng thể hiện tính công bằng trong việc chia sẻ gánh nặng thuế</t>
  </si>
  <si>
    <t>Mức thuế mới mà tôi phải đóng là hợp lý so với thu nhập của tôi. Việc tăng mức giảm trừ gia cảnh và số bậc thuế giúp giảm nhẹ gánh nặng tài chính cho người dân.</t>
  </si>
  <si>
    <t>Số tiền thuế tôi đóng sẽ được sử dụng hiệu quả để cải thiện dịch vụ công như y tế, giáo dục, đường xá... Điều này tạo niềm tin rằng thuế đóng góp của tôi đang được sử dụng một cách có ích cho cộng đồng.</t>
  </si>
  <si>
    <t>Nhà nước đã giải thích rõ ràng về mục tiêu và lý do của việc sửa đổi chính sách thuế. Tuy nhiên, để tăng thêm niềm tin, cần có nhiều thông tin hơn về cách sử dụng số tiền thuế đóng góp.</t>
  </si>
  <si>
    <t>Tôi ủng hộ chính sách mới vì nó giúp giảm gánh nặng tài chính và đơn giản hóa quy trình làm việc với cơ quan thuế. Việc này cũng tạo ra niềm tin rằng thuế tôi đóng sẽ được sử dụng một cách công bằng và hiệu quả.</t>
  </si>
  <si>
    <t>Dựa trên thông tin, nhà nước đã tăng mức giảm trừ gia cảnh và đơn giản hóa biểu thuế. Điều này làm giảm cơ hội trốn thuế. Hơn nữa, với sự phát triển của công nghệ, việc phát hiện hành vi gian lận hoặc trốn thuế sẽ trở nên dễ dàng hơn.</t>
  </si>
  <si>
    <t>Nhà nước đã đầu tư vào hệ thống thông tin và công nghệ để quản lý thuế hiệu quả hơn. Điều này tăng khả năng phát hiện và xử lý nghiêm các hành vi trốn thuế.</t>
  </si>
  <si>
    <t>So với trước đây, quy trình khai báo thuế trở nên đơn giản hơn do giảm bớt các bước và mức độ phức tạp. Điều này giúp người dân nộp thuế dễ dàng hơn.</t>
  </si>
  <si>
    <t>Biểu thuế được đơn giản hóa từ 7 bậc xuống còn 5 bậc, khiến việc tính thuế trở nên dễ hiểu và thực hiện nhanh chóng hơn. Mức giảm trừ gia cảnh cũng tăng lên, giúp tiết kiệm chi phí thuế cho người dân.</t>
  </si>
  <si>
    <t>Nhà nước đã công bố rõ ràng về chính sách mới, bao gồm các mức độ giảm trừ và biểu thuế mới. Điều này làm tăng niềm tin rằng chính sách sẽ được thực thi một cách công bằng.</t>
  </si>
  <si>
    <t>Mức thuế mới theo chính sách mới cho thấy sự công bằng trong việc phân bổ gánh nặng thuế giữa các đối tượng thu nhập. Với mức giảm trừ gia cảnh tăng lên, tôi cảm thấy mình đóng góp một cách hợp lý.</t>
  </si>
  <si>
    <t>Tiết kiệm được số tiền thuế lớn giúp tôi tin rằng số tiền thuế đã đóng sẽ được sử dụng hiệu quả để cải thiện dịch vụ công và phát triển đất nước.</t>
  </si>
  <si>
    <t>Nhà nước đã giải thích rõ ràng về mục tiêu của việc sửa đổi chính sách thuế, làm tăng sự minh bạch và niềm tin vào quyết định này.</t>
  </si>
  <si>
    <t>Sau khi xem xét các quyền lợi và nghĩa vụ mới, tôi ủng hộ và tuân thủ chính sách mới vì nó mang lại nhiều lợi ích cho người dân như giảm gánh nặng thuế và tăng sự công bằng.</t>
  </si>
  <si>
    <t>Dù các quy định quản lý thuế được cải thiện, nhưng mức thuế hiện tại là 0 VNĐ/tháng nên không có cảm giác gian lận hay trốn thuế. Công nghệ hiện đại có thể giúp phát hiện hành vi sai trái nhưng với tôi thì không cần lo ngại.</t>
  </si>
  <si>
    <t>Cơ quan thuế đã cải thiện khả năng quản lý và công nghệ, tuy nhiên mức thuế là 0 VNĐ/tháng nên không có cảm giác gian lận hay trốn thuế. Công nghệ phát hiện hành vi sai trái là rất quan trọng.</t>
  </si>
  <si>
    <t>Quy trình khai báo và làm việc với cơ quan thuế đơn giản hơn trước, tuy nhiên do không phải đóng thuế nên thủ tục thực chất không quan trọng đối với tôi.</t>
  </si>
  <si>
    <t>Biểu thuế đơn giản hơn nhưng mức thuế hiện tại là 0 VNĐ/tháng nên các thay đổi về biểu thuế ít có tác động đến tôi. Dù vậy, quy trình tính toán trở nên dễ dàng hơn.</t>
  </si>
  <si>
    <t>Nhà nước đã công bố rõ ràng về chính sách mới và cách thực hiện nhưng do không phải đóng thuế nên tôi không cảm thấy quan tâm đến việc khách quan, công bằng trong xử lý.</t>
  </si>
  <si>
    <t>Mức thuế hiện tại là 0 VNĐ/tháng nên tôi cảm thấy không có sự công bằng hoặc bất công. Tuy nhiên, mức giảm trừ gia cảnh cao hơn thu nhập của tôi làm cho việc này trở nên hợp lý.</t>
  </si>
  <si>
    <t>Do không phải đóng thuế nên tôi không quan tâm đến việc số tiền thuế sẽ được sử dụng như thế nào. Tuy nhiên, mức giảm trừ gia cảnh cao hơn thu nhập của tôi làm cho việc này trở nên hợp lý.</t>
  </si>
  <si>
    <t>Nhà nước đã giải thích rõ ràng về mục tiêu và lý do sửa đổi thuế, tuy nhiên do không phải đóng thuế nên thông tin này ít có ý nghĩa đối với tôi.</t>
  </si>
  <si>
    <t>Mặc dù các cải cách có thể mang lại lợi ích cho người dân khác, nhưng do mức thu nhập và giảm trừ gia cảnh của tôi cao hơn thu nhập nên không cần phải tuân thủ chính sách mới. Tuy nhiên, tôi vẫn ủng hộ những cải tiến này.</t>
  </si>
  <si>
    <t>Cơ quan thuế có nhiều biện pháp hiện đại để phát hiện hành vi trốn thuế, nhưng vẫn còn thiếu sự giám sát công khai từ phía người dân.</t>
  </si>
  <si>
    <t>Năng lực của nhà nước trong việc quản lý và xử lý gian lận thuế đã được cải thiện đáng kể nhờ công nghệ hiện đại.</t>
  </si>
  <si>
    <t>Việc đơn giản hóa quy trình khai báo thuế giúp cho người dân dễ dàng thực hiện hơn, tuy nhiên vẫn cần thêm hướng dẫn chi tiết.</t>
  </si>
  <si>
    <t>Biểu thuế mới có ít bậc và mức giảm trừ gia cảnh cao hơn đã làm việc tính toán thuế trở nên rõ ràng và dễ hiểu hơn.</t>
  </si>
  <si>
    <t>Tôi tin rằng nhà nước sẽ thực thi chính sách một cách công bằng, mặc dù vẫn có những lo ngại về sự minh bạch của quy trình quản lý thuế.</t>
  </si>
  <si>
    <t>Với mức thu nhập và giảm trừ gia cảnh mới, tôi cảm thấy mức thuế mà tôi phải đóng là hợp lý so với người khác trong cùng nhóm.</t>
  </si>
  <si>
    <t>Tôi tin rằng số tiền thuế tôi đóng sẽ được sử dụng hiệu quả để cải thiện các dịch vụ công, mặc dù không hoàn toàn chắc chắn.</t>
  </si>
  <si>
    <t>Nhà nước đã giải thích rõ ràng về mục tiêu của việc sửa đổi chính sách thuế này, tạo ra sự tin tưởng nhất định từ người dân.</t>
  </si>
  <si>
    <t>Tôi ủng hộ và tuân thủ chính sách mới vì nó mang lại lợi ích tài chính và giảm bớt sự phức tạp về mặt thủ tục.</t>
  </si>
  <si>
    <t>Ngân hàng và các cơ quan thuế có hệ thống giám sát chặt chẽ, nhưng không hoàn toàn chắc chắn về khả năng phát hiện mọi hành vi gian lận.</t>
  </si>
  <si>
    <t>Cơ quan thuế đã đầu tư công nghệ để phát hiện các hành vi trốn thuế, nhưng vẫn cần thời gian để tối ưu hóa hiệu quả.</t>
  </si>
  <si>
    <t>Hồ sơ và quy trình khai báo thuế trở nên đơn giản hơn, giảm bớt thủ tục rườm rà.</t>
  </si>
  <si>
    <t>Biểu thuế mới đơn giản hóa các bậc thuế, giúp dễ dàng tính toán và thực hiện.</t>
  </si>
  <si>
    <t>Tôi tin rằng cơ quan thuế sẽ công bằng trong việc áp dụng chính sách mới, nhưng vẫn có sự nghi ngờ về thực thi.</t>
  </si>
  <si>
    <t>Thuế giảm đáng kể giúp tôi cảm thấy mức đóng là công bằng đối với thu nhập của mình.</t>
  </si>
  <si>
    <t>Tiết kiệm được tiền thuế giúp tôi tin rằng khoản tiền này sẽ được sử dụng hiệu quả cho các dịch vụ công.</t>
  </si>
  <si>
    <t>Cơ quan thuế đã giải thích rõ ràng về mục tiêu của chính sách mới, nhưng vẫn cần thêm minh bạch trong thực thi.</t>
  </si>
  <si>
    <t>Tôi ủng hộ và tuân thủ chính sách mới vì lợi ích về mặt tài chính và niềm tin vào sự công bằng.</t>
  </si>
  <si>
    <t>Tôi tin rằng với các quy định quản lý thuế hiện nay, hành vi gian lận hoặc trốn thuế sẽ dễ dàng bị phát hiện và xử lý nghiêm do có sự cải tiến về công nghệ và nguồn lực của cơ quan thuế.</t>
  </si>
  <si>
    <t>Tôi tin rằng Nhà nước, cơ quan thuế có đủ khả năng và công nghệ để phát hiện, xử lý nghiêm các hành vi trốn thuế do đã được đầu tư và nâng cấp hệ thống quản lý.</t>
  </si>
  <si>
    <t>Các thủ tục khai báo thuế và quy trình làm việc với cơ quan thuế đơn giản hơn so với trước đây, giúp người dân dễ dàng thực hiện mà không tốn quá nhiều thời gian.</t>
  </si>
  <si>
    <t>So với trước đây, cách tính thuế và các bậc thuế trong phương án mới đơn giản, dễ hiểu và dễ thực hiện hơn, giảm bớt sự phức tạp cho người dân.</t>
  </si>
  <si>
    <t>Tôi tin rằng Nhà nước, cơ quan thuế sẽ thực thi chính sách mới một cách khách quan, công tâm và đối xử bình đẳng với mọi người nộp thuế do đã có sự cải tiến về quản lý.</t>
  </si>
  <si>
    <t>Mức thuế tôi phải đóng theo phương án mới là công bằng (người thu nhập như tôi đóng mức này là hợp lý) vì đã được điều chỉnh phù hợp với thu nhập thực tế của người dân.</t>
  </si>
  <si>
    <t>Tôi tin tưởng số tiền thuế tôi đóng sẽ được Nhà nước sử dụng hiệu quả để cải thiện dịch vụ công (y tế, đường xá...) vì đã thấy các chính sách mới hướng đến lợi ích cộng đồng.</t>
  </si>
  <si>
    <t>Nhà nước đã giải thích rõ ràng, minh bạch về lý do và mục tiêu của việc sửa đổi thuế lần này thông qua nhiều kênh truyền thông, giúp người dân hiểu rõ hơn.</t>
  </si>
  <si>
    <t>Tôi ủng hộ và tuân thủ chính sách mới hiện nay vì các quyền lợi và nghĩa vụ đã được điều chỉnh phù hợp với tình hình thực tế và tôi tin rằng nó sẽ mang lại lợi ích cho người dân trong dài hạn.</t>
  </si>
  <si>
    <t>Với mức giảm trừ gia cảnh cao hơn, tôi cảm thấy việc phát hiện hành vi trốn thuế khó khăn hơn. Tuy nhiên, với sự phát triển của công nghệ, khả năng phát hiện có thể tăng lên.</t>
  </si>
  <si>
    <t>Nhà nước đã đầu tư vào công nghệ và hệ thống quản lý thuế, do đó, khả năng xử lý nghiêm các hành vi trốn thuế sẽ được cải thiện.</t>
  </si>
  <si>
    <t>Quy trình khai báo thuế đơn giản hơn, giảm bớt thủ tục rườm rà. Tuy nhiên, việc tính thuế vẫn cần sự cẩn trọng để tránh sai sót.</t>
  </si>
  <si>
    <t>Các bậc thuế được đơn giản hóa, dễ hiểu và dễ thực hiện hơn, giúp người dân nắm bắt nhanh chóng.</t>
  </si>
  <si>
    <t>Tôi tin rằng cơ quan thuế sẽ thực thi chính sách một cách khách quan. Việc giảm trừ gia cảnh cao đã làm cho tôi không phải đóng thuế, điều này thể hiện sự công bằng trong việc phân bổ nghĩa vụ thuế.</t>
  </si>
  <si>
    <t>Dựa trên mức thu nhập của mình, số tiền thuế tôi phải đóng là hợp lý và công bằng. Việc giảm trừ gia cảnh cao hơn đã giúp tôi không phải đóng thuế.</t>
  </si>
  <si>
    <t>Thuê được sử dụng để cải thiện các dịch vụ công như y tế, đường xá... sẽ mang lại lợi ích cho cộng đồng và cá nhân tôi.</t>
  </si>
  <si>
    <t>Nhà nước đã giải thích rõ ràng về lý do và mục tiêu của việc sửa đổi thuế, tạo niềm tin cho người dân</t>
  </si>
  <si>
    <t>Tôi ủng hộ chính sách mới vì nó đơn giản hóa quy trình khai báo thuế, giảm trừ gia cảnh cao hơn, và tôi không phải đóng thuế.</t>
  </si>
  <si>
    <t>Thuế được quản lý chặt chẽ hơn với mức giảm trừ gia cảnh cao và quy định rõ ràng.</t>
  </si>
  <si>
    <t>Cơ quan thuế có công nghệ hiện đại để theo dõi giao dịch tài chính.</t>
  </si>
  <si>
    <t>Quy trình khai báo và làm việc với cơ quan thuế nhanh chóng hơn, đơn giản hóa các bước thủ tục.</t>
  </si>
  <si>
    <t>Bậc thuế giảm từ 7 xuống còn 5 bậc, dễ hiểu và thực hiện thuận tiện hơn.</t>
  </si>
  <si>
    <t>Các mức thuế mới được xem là công bằng đối với thu nhập của tôi.</t>
  </si>
  <si>
    <t>Thuế giảm giúp tôi cảm thấy đóng góp vào xã hội một cách công bằng.</t>
  </si>
  <si>
    <t>Thuốc được sử dụng hiệu quả để cải thiện hạ tầng và dịch vụ công ích.</t>
  </si>
  <si>
    <t>Nhà nước đã cung cấp thông tin chi tiết về mục tiêu và lý do của chính sách mới.</t>
  </si>
  <si>
    <t>Sau khi xem xét, tôi ủng hộ và tuân thủ chính sách thuế mới vì lợi ích tài chính và sự công bằng.</t>
  </si>
  <si>
    <t>Dù thuế có giảm, nhưng tôi vẫn không hoàn toàn tin rằng hành vi gian lận hoặc trốn thuế sẽ dễ dàng bị phát hiện và xử lý nghiêm. Việc áp dụng công nghệ vào quản lý thuế còn nhiều hạn chế.</t>
  </si>
  <si>
    <t>Tôi cho rằng cơ quan thuế có khả năng phát hiện hành vi gian lận, nhưng việc xử lý nghiêm vẫn còn phụ thuộc vào sự quyết tâm của họ. Công nghệ quản lý thuế chưa hoàn thiện.</t>
  </si>
  <si>
    <t>Quy trình làm việc với cơ quan thuế trở nên đơn giản hơn, thủ tục khai báo thuế dễ dàng hơn so với trước đây. Điều này giúp tôi tiết kiệm thời gian và công sức.</t>
  </si>
  <si>
    <t>Các bậc thuế mới đơn giản hóa quy trình tính thuế, giảm đi sự phức tạp. Tuy nhiên, việc hiểu rõ từng mức thuế vẫn cần thời gian để nắm bắt.</t>
  </si>
  <si>
    <t>Tôi tin rằng cơ quan thuế sẽ thực thi chính sách một cách khách quan, công bằng đối với tất cả người nộp thuế. Tuy nhiên, việc này còn phụ thuộc vào sự giám sát và kiểm tra.</t>
  </si>
  <si>
    <t>Với mức thuế giảm do cải cách mới, tôi thấy công bằng hơn so với trước đây. Điều này giúp tôi tin rằng chính sách đã được thiết kế hợp lý cho người dân như tôi.</t>
  </si>
  <si>
    <t>Tôi tin tưởng số tiền thuế tôi đóng sẽ được sử dụng hiệu quả để cải thiện dịch vụ công, mặc dù không có thông tin cụ thể về cách chi tiêu.</t>
  </si>
  <si>
    <t>Nhà nước đã giải thích rõ ràng về mục tiêu và lý do của việc sửa đổi thuế. Điều này giúp tôi hiểu rõ hơn về chính sách mới.</t>
  </si>
  <si>
    <t>Tôi ủng hộ và tuân thủ chính sách mới vì nó mang lại lợi ích cho người dân như tôi, giảm gánh nặng tài chính trong việc đóng thuế.</t>
  </si>
  <si>
    <t>Với mức giảm trừ gia cảnh cao hơn, tôi ít lo ngại về việc bị phát hiện trốn thuế.</t>
  </si>
  <si>
    <t>Như đã thấy từ các biện pháp chống gian lận mới, Nhà nước có công cụ để giám sát và xử lý.</t>
  </si>
  <si>
    <t>Quy trình khai thuế đơn giản hơn, không còn nhiều bước rườm rà như trước.</t>
  </si>
  <si>
    <t>Bậc thuế giảm từ 7 xuống 5, dễ tính toán và hiểu rõ hơn so với trước đây.</t>
  </si>
  <si>
    <t>Chính sách mới công bằng cho người dân như tôi, không bị gian lận về thuế suất.</t>
  </si>
  <si>
    <t>Thu nhập của tôi nằm trong nhóm giảm trừ gia cảnh nên mức thuế vẫn thấp.</t>
  </si>
  <si>
    <t>Đồng ý với việc sử dụng số tiền thuế để cải thiện dịch vụ công, đặc biệt là y tế và giao thông.</t>
  </si>
  <si>
    <t>Nhà nước đã giải thích rõ ràng về mục tiêu sửa đổi thuế, nhưng vẫn cần thêm minh bạch hơn.</t>
  </si>
  <si>
    <t>Chính sách mới phù hợp với thu nhập của tôi và giảm gánh nặng về thuế nên tôi ủng hộ.</t>
  </si>
  <si>
    <t>Dù luật thuế mới đơn giản hơn nhưng tôi vẫn lo ngại về khả năng phát hiện và xử lý trốn thuế.</t>
  </si>
  <si>
    <t>Công nghệ ngày càng tiên tiến, tôi tin rằng cơ quan thuế có thể theo dõi giao dịch tài chính hiệu quả hơn.</t>
  </si>
  <si>
    <t>Quy trình khai báo và làm việc với cơ quan thuế nhanh chóng hơn, thuận tiện hơn so với trước đây.</t>
  </si>
  <si>
    <t>Bậc thuế được đơn giản hóa từ 7 xuống còn 5 bậc, dễ hiểu và thực hiện hơn nhiều.</t>
  </si>
  <si>
    <t>Tôi tin rằng cơ quan thuế sẽ công bằng trong việc thực thi chính sách mới.</t>
  </si>
  <si>
    <t>Mức giảm trừ gia cảnh cao hơn và số bậc thuế ít đi làm tôi thấy mức thuế đóng là hợp lý.</t>
  </si>
  <si>
    <t>Thuế đóng sẽ được sử dụng hiệu quả cho các dịch vụ công, cải thiện cuộc sống.</t>
  </si>
  <si>
    <t>Tôi ủng hộ chính sách mới vì nó công bằng, đơn giản hóa quy trình và giảm gánh nặng tài chính cho tôi.</t>
  </si>
  <si>
    <t>Dù không phải đóng thuế, nhưng tôi vẫn tin rằng cơ quan thuế có đủ khả năng phát hiện hành vi gian lận thông qua các công nghệ và hệ thống quản lý hiện đại.</t>
  </si>
  <si>
    <t>Nhà nước đã đầu tư vào công nghệ và nguồn lực để quản lý hiệu quả, nên tôi tin rằng họ sẽ xử lý nghiêm các hành vi trốn thuế.</t>
  </si>
  <si>
    <t>Thủ tục đơn giản hơn và thuận tiện cho người dân, nhưng việc không phải khai thuế vẫn khiến tôi cảm thấy đôi chút bất tiện.</t>
  </si>
  <si>
    <t>Biểu thuế đơn giản hơn với ít bậc, giúp dễ dàng tính toán và áp dụng hơn so với trước đây.</t>
  </si>
  <si>
    <t>Tôi tin rằng Nhà nước sẽ thực thi chính sách một cách công bằng, nhưng việc không phải đóng thuế vẫn làm tôi nghi ngờ về sự minh bạch.</t>
  </si>
  <si>
    <t>Mức giảm trừ gia cảnh cao và mức thu nhập hiện tại của tôi khiến tôi thấy rằng mức thuế mới là hợp lý.</t>
  </si>
  <si>
    <t>Tôi tin rằng số tiền thuế không nhiều, nên việc sử dụng hiệu quả để cải thiện dịch vụ công là cần thiết.</t>
  </si>
  <si>
    <t>Nhà nước đã giải thích rõ ràng về mức giảm trừ gia cảnh và cách tính thuế mới, tuy nhiên tôi vẫn muốn có thêm thông tin.</t>
  </si>
  <si>
    <t>Sau khi xem xét, tôi ủng hộ và sẽ tuân thủ chính sách mới vì nó mang lại lợi ích cho tôi và những người phụ thuộc.</t>
  </si>
  <si>
    <t>Dù có các quy định quản lý thuế, nhưng mức giảm trừ gia cảnh cao và không phải đóng thuế nên khả năng phát hiện gian lận hoặc trốn thuế thấp.</t>
  </si>
  <si>
    <t>Khả năng của Nhà nước trong việc phát hiện hành vi gian lận khó có thể đánh giá khi chưa áp dụng, nhưng công nghệ hiện đại giúp xử lý nghiêm hơn các trường hợp vi phạm.</t>
  </si>
  <si>
    <t>Thủ tục khai thuế trở nên đơn giản với mức giảm trừ gia cảnh cao và không phải đóng thuế, làm việc với cơ quan thuế thuận lợi hơn.</t>
  </si>
  <si>
    <t>Biểu thuế đơn giản hóa giúp dễ hiểu và thực hiện hơn so với trước đây, nhưng vẫn cần thời gian để quen thuộc với các thay đổi mới.</t>
  </si>
  <si>
    <t>Nhà nước đã công bố minh bạch về việc sửa đổi thuế và mục tiêu cải cách, tạo niềm tin trong việc thực thi chính sách.</t>
  </si>
  <si>
    <t>Do mức giảm trừ gia cảnh cao nên không phải đóng thuế, điều này cho thấy mức thuế mới công bằng hơn với thu nhập của tôi</t>
  </si>
  <si>
    <t>Thuế được sử dụng hiệu quả vào các dịch vụ công như y tế và đường xá, đây là mục tiêu cải cách rõ ràng.</t>
  </si>
  <si>
    <t>Nhà nước đã giải thích minh bạch về lý do và mục tiêu của việc sửa đổi thuế lần này, tạo niềm tin cho người dân.</t>
  </si>
  <si>
    <t>Sau khi xem xét các quyền lợi và nghĩa vụ, tôi ủng hộ và tuân thủ chính sách mới vì nó mang lại lợi ích rõ ràng cho người dân như tôi.</t>
  </si>
  <si>
    <t>Việc áp dụng các quy định quản lý thuế hiện nay có thể bị hạn chế do thiếu công nghệ và nguồn lực, nhưng vẫn đủ để phát hiện hành vi gian lận hoặc trốn thuế.</t>
  </si>
  <si>
    <t>Nhà nước có khả năng sử dụng công nghệ hiện đại để theo dõi các khoản thu nhập và phát hiện hành vi trốn thuế, nhưng hiệu quả thực tế còn phụ thuộc vào nguồn lực được đầu tư.</t>
  </si>
  <si>
    <t>So với trước đây, quy trình khai báo thuế trở nên đơn giản hơn do số bậc thuế giảm và việc tăng mức giảm trừ gia cảnh, nhưng vẫn cần thời gian để tất cả người dân quen thuộc.</t>
  </si>
  <si>
    <t>Cách tính thuế mới đơn giản hóa các bậc thuế từ 7 xuống còn 5, giúp dễ hiểu và thực hiện hơn so với trước đây, nhưng vẫn có thể gây khó khăn cho những người không quen thuộc.</t>
  </si>
  <si>
    <t>Tôi tin rằng Nhà nước sẽ thực thi chính sách một cách công bằng đối với mọi người nộp thuế, mặc dù việc kiểm soát còn phụ thuộc vào nguồn lực và quản lý của cơ quan thuế.</t>
  </si>
  <si>
    <t>Nhìn chung mức thuế mới là hợp lý cho thu nhập của tôi, nhưng vẫn cần thời gian để mọi người làm quen với các quy định mới.</t>
  </si>
  <si>
    <t>Tôi tin rằng số tiền thuế đóng sẽ được sử dụng hiệu quả để cải thiện dịch vụ công, mặc dù việc kiểm soát chi tiêu của Nhà nước còn phụ thuộc vào quản lý.</t>
  </si>
  <si>
    <t>Nhà nước đã giải thích rõ ràng về mục đích và chính sách thuế mới qua các kênh thông tin chính thức, giúp tôi hiểu hơn về sự thay đổi này.</t>
  </si>
  <si>
    <t>Tôi ủng hộ chính sách mới vì nó đơn giản hóa quy trình khai báo và giảm gánh nặng thuế cho người dân như tôi. Tôi sẽ tuân thủ theo các quy định mới.</t>
  </si>
  <si>
    <t>Nếu các quy định quản lý thuế không được cải thiện, tôi sẽ vẫn tin rằng hành vi gian lận hoặc trốn thuế sẽ khó phát hiện. Tuy nhiên, với sự gia tăng giảm trừ gia cảnh và đơn giản hóa biểu thuế, nguy cơ trốn thuế có thể giảm. Do đó, điểm số này là 6.</t>
  </si>
  <si>
    <t>Nhà nước đã cải thiện khả năng quản lý thuế thông qua việc đơn giản hóa quy trình và tăng mức giảm trừ gia cảnh, điều này nâng cao khả năng phát hiện hành vi trốn thuế. Điểm số này là 7.</t>
  </si>
  <si>
    <t>So với trước đây, các quy trình làm việc với cơ quan thuế đã đơn giản hơn và dễ dàng tiếp cận thông tin hơn, giúp tôi thực hiện các thủ tục một cách thuận tiện. Điểm số này là 8.</t>
  </si>
  <si>
    <t>Biểu thuế mới có ít bậc hơn nhưng vẫn phản ánh chính xác thu nhập của tôi, điều này làm cho quá trình tính thuế trở nên dễ dàng và rõ ràng hơn. Điểm số này là 9.</t>
  </si>
  <si>
    <t>Tôi tin rằng Nhà nước sẽ thực thi các chính sách mới một cách công bằng và khách quan, không phân biệt đối xử giữa những người nộp thuế khác nhau. Điểm số này là 8.</t>
  </si>
  <si>
    <t>Mức thuế mới phù hợp với thu nhập của tôi, giảm đáng kể so với trước đây, điều này cho thấy mức thuế được đánh giá một cách công bằng. Điểm số này là 9.</t>
  </si>
  <si>
    <t>Thuế tôi đóng sẽ được sử dụng hiệu quả để cải thiện dịch vụ công, từ đó nâng cao chất lượng cuộc sống của người dân như tôi. Điểm số này là 8.</t>
  </si>
  <si>
    <t>Nhà nước đã giải thích rõ ràng về mục tiêu và lý do của việc sửa đổi thuế lần này, điều này làm tăng niềm tin của tôi vào sự minh bạch của chính sách. Điểm số này là 9.</t>
  </si>
  <si>
    <t>Tác động tài chính tích cực từ việc giảm thuế và đơn giản hóa quy trình đã khiến tôi ủng hộ và tuân thủ chính sách mới. Điểm số này là 8.</t>
  </si>
  <si>
    <t>Dù có công nghệ và quy định quản lý thuế, nhưng việc gian lận vẫn còn khó phát hiện. Tuy nhiên, với mức thuế giảm đáng kể, tôi sẽ tin rằng cơ quan thuế sẽ tập trung hơn vào những người có thu nhập cao để tránh rủi ro.</t>
  </si>
  <si>
    <t>Cơ quan thuế đã áp dụng công nghệ mới và quy định quản lý tốt, nhưng vẫn cần cải thiện về khả năng phát hiện gian lận.</t>
  </si>
  <si>
    <t>Quy trình làm việc với cơ quan thuế trở nên đơn giản hơn, thủ tục khai báo cũng thuận tiện hơn so với trước đây. Điều này giúp giảm rủi ro và thời gian cho người dân.</t>
  </si>
  <si>
    <t>Biểu thuế đơn giản hóa từ 7 bậc xuống 5 đã làm việc tính toán thuế dễ dàng hơn, phù hợp với trình độ học vấn của tôi. Điều này giúp tôi hiểu rõ hơn về cách đánh thuế.</t>
  </si>
  <si>
    <t>Nhà nước và cơ quan thuế đã thực hiện công bằng trong việc áp dụng chính sách mới, điều này làm tăng niềm tin của người dân.</t>
  </si>
  <si>
    <t>Mức thuế tôi phải đóng hợp lý với thu nhập của mình. Tuy giảm thuế so với trước đây nhưng mức giảm trừ gia cảnh đã giúp tôi tiết kiệm tiền hơn.</t>
  </si>
  <si>
    <t>Thuế mà tôi đóng sẽ được sử dụng hiệu quả để cải thiện dịch vụ công, điều này tăng niềm tin của tôi vào Nhà nước.</t>
  </si>
  <si>
    <t>Nhà nước đã giải thích rõ ràng về lý do và mục tiêu sửa đổi thuế, nhưng vẫn cần làm rõ hơn về cách sử dụng nguồn thu thuế.</t>
  </si>
  <si>
    <t>Chính sách mới có lợi cho tôi với mức giảm trừ gia cảnh cao hơn và biểu thuế đơn giản. Tôi sẽ ủng hộ và tuân thủ chính sách mới này.</t>
  </si>
  <si>
    <t>Dựa trên các biện pháp quản lý thuế hiện nay, tôi tin rằng hành vi gian lận hay trốn thuế sẽ bị phát hiện và xử lý nghiêm. Cơ quan thuế có đủ khả năng để theo dõi và giám sát.</t>
  </si>
  <si>
    <t>Việc sử dụng công nghệ hiện đại giúp Nhà nước và cơ quan thuế dễ dàng hơn trong việc phát hiện và xử lý các hành vi trốn thuế. Công nghệ ngày càng tiên tiến, khả năng phát hiện cũng cao hơn.</t>
  </si>
  <si>
    <t>So với trước đây, quy trình khai báo thuế đã đơn giản hơn nhiều. Các thủ tục nay dễ dàng thực hiện hơn và không còn phức tạp như trước nữa.</t>
  </si>
  <si>
    <t>Biểu thuế mới có ít bậc hơn nên việc tính toán thu nhập chịu thuế trở nên dễ dàng và đơn giản hơn. Điều này giúp người dân dễ dàng nắm bắt và thực hiện.</t>
  </si>
  <si>
    <t>Tôi tin rằng Nhà nước sẽ thực thi chính sách mới một cách công bằng và khách quan. Các quy định mới đã xem xét kỹ lưỡng về lợi ích của người dân, tôi ủng hộ điều này.</t>
  </si>
  <si>
    <t>Lợi ích từ thuế giảm đáng kể theo các quy định mới đã giúp tôi tiết kiệm được một khoản tiền lớn. Đây là mức thuế hợp lý với thu nhập hiện tại của tôi và gia đình.</t>
  </si>
  <si>
    <t>Thuế đóng góp vào việc cải thiện dịch vụ công, tôi tin rằng số tiền thuế mà tôi đóng sẽ được sử dụng hiệu quả để nâng cao chất lượng cuộc sống cho người dân.</t>
  </si>
  <si>
    <t>Nhà nước đã giải thích rõ ràng về mục tiêu của việc sửa đổi chính sách thuế, tôi thấy điều này rất công bằng và minh bạch. Việc cải cách thuế là cần thiết để tạo ra một hệ thống thuế công bằng hơn.</t>
  </si>
  <si>
    <t>Tôi hoàn toàn ủng hộ và tuân thủ chính sách mới vì nó đã mang lại lợi ích rõ ràng cho tôi và gia đình, đồng thời cũng góp phần cải thiện chất lượng cuộc sống chung của cộng đồng.</t>
  </si>
  <si>
    <t>Hiện tại, các quy định quản lý thuế chưa thực sự rõ ràng và chặt chẽ, có thể gây khó khăn cho việc phát hiện hành vi gian lận hoặc trốn thuế.</t>
  </si>
  <si>
    <t>Khả năng của Nhà nước và cơ quan thuế trong việc phát hiện, xử lý các hành vi trốn thuế cần có thời gian để cải thiện.</t>
  </si>
  <si>
    <t>Quy trình khai báo thuế và làm việc với cơ quan thuế đã đơn giản hơn so với trước đây, nhưng vẫn cần thêm thời gian để người dân nắm bắt.</t>
  </si>
  <si>
    <t>Biểu thuế mới đơn giản hóa quá trình tính thuế, dễ hiểu và thực hiện hơn. Điều này giúp tôi không còn cảm thấy bị lằng nhằng bởi nhiều bậc thuế.</t>
  </si>
  <si>
    <t>Tôi tin rằng Nhà nước sẽ công tâm trong việc thực thi chính sách mới, nhưng cần thêm thời gian để chứng minh.</t>
  </si>
  <si>
    <t>Thuế tôi phải đóng theo phương án mới hợp lý hơn, giảm gánh nặng tài chính. Điều này tăng cảm giác công bằng.</t>
  </si>
  <si>
    <t>Nhà nước đã sử dụng số tiền thuế thu được để cải thiện các dịch vụ công như y tế và hạ tầng cơ sở, điều này khiến tôi tin rằng việc đóng thuế có ý nghĩa.</t>
  </si>
  <si>
    <t>Nội dung về lý do và mục tiêu của việc sửa đổi thuế đã được giải thích rõ ràng, nhưng vẫn cần thêm thông tin chi tiết hơn để tăng tính minh bạch.</t>
  </si>
  <si>
    <t>Tôi ủng hộ chính sách mới vì nó giảm gánh nặng thuế cho người dân và đơn giản hóa quy trình khai báo thuế. Tôi sẽ tuân thủ theo.</t>
  </si>
  <si>
    <t>Với sự phát triển của công nghệ, khả năng phát hiện gian lận hoặc trốn thuế của cơ quan thuế đã tăng lên. Tuy nhiên, vẫn còn những rủi ro về mặt quản lý và thực thi.</t>
  </si>
  <si>
    <t>Nhà nước đã đầu tư vào công nghệ và nguồn lực để chống trốn thuế. Điều này làm giảm nguy cơ gian lận, nhưng vẫn cần cải thiện hơn nữa.</t>
  </si>
  <si>
    <t>Quy trình khai báo và làm việc với cơ quan thuế đã đơn giản đi so với trước đây. Tuy nhiên, vẫn còn một số thủ tục phức tạp.</t>
  </si>
  <si>
    <t>Biểu thuế mới đơn giản hơn, dễ hiểu, nhưng cần thêm hướng dẫn chi tiết để người dân thực hiện.</t>
  </si>
  <si>
    <t>Tôi tin rằng cơ quan thuế sẽ thực thi công bằng và khách quan, mặc dù vẫn có nguy cơ về sự chủ quan trong quá trình xử lý.</t>
  </si>
  <si>
    <t>Mức thuế mới hợp lý hơn so với trước đây. Mức giảm trừ gia cảnh tăng giúp tôi tiết kiệm được nhiều tiền, do đó cảm thấy công bằng.</t>
  </si>
  <si>
    <t>Số tiền thuế đóng sẽ được sử dụng hiệu quả để cải thiện các dịch vụ công, nhưng cần có báo cáo chi tiết về việc này để tăng niềm tin.</t>
  </si>
  <si>
    <t>Chính phủ đã giải thích rõ ràng về mục tiêu và lý do của chính sách mới. Tuy nhiên, vẫn cần cải thiện trong việc truyền thông rộng rãi hơn.</t>
  </si>
  <si>
    <t>Tôi ủng hộ và tuân thủ chính sách mới. Mức thuế giảm giúp tôi tiết kiệm được tiền và cảm thấy công bằng hơn so với trước đây.</t>
  </si>
  <si>
    <t>Nếu hành vi gian lận hoặc trốn thuế bị phát hiện và xử lý nghiêm, sẽ tạo áp lực mạnh mẽ lên người nộp thuế, ngăn chặn tình trạng trốn tránh. Với công nghệ hiện đại, khả năng kiểm soát tăng đáng kể.</t>
  </si>
  <si>
    <t>Nhà nước đã đầu tư vào hệ thống quản lý thuế kỹ thuật số, giúp phát hiện và xử lý nhanh chóng các trường hợp trốn thuế. Tuy nhiên, còn phụ thuộc vào việc triển khai và vận hành.</t>
  </si>
  <si>
    <t>Quy trình khai báo thuế đơn giản hơn với nhiều giảm trừ gia cảnh, thuận lợi cho người dân. Qua đó, thủ tục làm việc với cơ quan thuế cũng dễ dàng hơn so với trước đây.</t>
  </si>
  <si>
    <t>Bảng bậc thuế mới đơn giản, dễ hiểu và dễ thực hiện hơn so với bảng cũ. Việc giảm từ 7 bậc xuống còn 5 bậc giúp tính toán và đóng thuế trở nên dễ dàng hơn.</t>
  </si>
  <si>
    <t>Nhà nước đã công bố rõ ràng về chính sách mới, đảm bảo khách quan và công bằng. Người nộp thuế như tôi thấy mình được đối xử công bình với mức giảm trừ gia cảnh cao hơn.</t>
  </si>
  <si>
    <t>Thuế theo phương án mới hợp lý, người thu nhập như tôi đóng mức thuế không quá cao nhưng cũng không thấp. Mức giảm trừ gia cảnh tăng lên giúp tiết kiệm đáng kể.</t>
  </si>
  <si>
    <t>Tài chính nhà nước được sử dụng hiệu quả để cải thiện dịch vụ công, tạo niềm tin cho người dân. Số tiền thuế đóng sẽ được tận dụng vào các lĩnh vực cần thiết như y tế và đường xá.</t>
  </si>
  <si>
    <t>Nhà nước đã giải thích rõ ràng về mục tiêu của việc sửa đổi chính sách, tạo niềm tin cho người dân. Tuy nhiên, còn một số vấn đề chưa được minh bạch hoàn toàn.</t>
  </si>
  <si>
    <t>Sau khi xem xét các quyền lợi và nghĩa vụ, tôi ủng hộ và tuân thủ chính sách mới. Mức thuế giảm đáng kể, cùng với việc đơn giản hóa quy trình làm việc, giúp cải thiện chất lượng cuộc sống.</t>
  </si>
  <si>
    <t>Việc tăng giảm trừ gia cảnh và đơn giản hóa biểu thuế có thể làm giảm khả năng phát hiện hành vi gian lận hoặc trốn thuế, nhưng vẫn tin rằng cơ quan thuế sẽ thực thi nghiêm minh.</t>
  </si>
  <si>
    <t>Cơ sở hạ tầng công nghệ thông tin của Nhà nước đang được cải thiện nên khả năng phát hiện và xử lý gian lận có thể tốt hơn trước đây.</t>
  </si>
  <si>
    <t>Quy trình khai thuế trở nên đơn giản, thuận tiện hơn với mức giảm trừ gia cảnh cao hơn, nhưng vẫn cần thời gian để quen thuộc.</t>
  </si>
  <si>
    <t>Bậc thuế mới đơn giản hóa quá trình tính toán, dễ hiểu và thực hiện hơn so với trước đây.</t>
  </si>
  <si>
    <t>Tăng giảm trừ gia cảnh và mức thuế hợp lý cho thu nhập của tôi tạo niềm tin rằng chính sách được áp dụng công bằng đối với mọi người nộp thuế.</t>
  </si>
  <si>
    <t>Mức thuế mới là phù hợp với thu nhập hiện tại, thể hiện tính công bằng trong việc đóng góp cho Nhà nước.</t>
  </si>
  <si>
    <t>Niềm tin rằng số tiền thuế đóng sẽ được sử dụng hiệu quả để cải thiện dịch vụ công và hạ tầng cơ sở.</t>
  </si>
  <si>
    <t>Nhà nước đã giải thích rõ ràng mục tiêu và lý do của việc sửa đổi chính sách thuế, tạo niềm tin vào quyết định này.</t>
  </si>
  <si>
    <t>Chính sách mới có lợi cho tôi về mặt tài chính và tính đơn giản hóa, vì vậy tôi ủng hộ và tuân thủ.</t>
  </si>
  <si>
    <t xml:space="preserve">Nợ 2,3 triệu đồng/tháng cho thuế mới nên việc phát hiện và xử lý gian lận hoặc trốn thuế sẽ dễ dàng hơn. </t>
  </si>
  <si>
    <t>Cơ quan thuế có khả năng cao để quản lý và giám sát các khoản thuế do mức giảm trừ gia cảnh tăng mạnh.</t>
  </si>
  <si>
    <t xml:space="preserve">Tất cả quy trình khai báo đã đơn giản hơn, đặc biệt là với sự giảm từ 7 bậc xuống còn 5 bậc. </t>
  </si>
  <si>
    <t xml:space="preserve">Bậc thuế mới rõ ràng và dễ hiểu hơn, giúp người dân tính toán nhanh chóng hơn. </t>
  </si>
  <si>
    <t>Công bằng về mặt tài chính, mức giảm trừ gia cảnh tăng mạnh nên tôi cảm thấy công bằng khi phải đóng thuế.</t>
  </si>
  <si>
    <t>Người có thu nhập như tôi chỉ nộp 1,7 triệu đồng/tháng, mức này được coi là hợp lý.</t>
  </si>
  <si>
    <t>Thuế đóng góp vào các dịch vụ công, cải thiện chất lượng cuộc sống cho người dân</t>
  </si>
  <si>
    <t xml:space="preserve">Có sự minh bạch về mục tiêu và lý do của việc sửa đổi chính sách thuế. </t>
  </si>
  <si>
    <t>Hoàn toàn đồng ý, tôi ủng hộ và tuân thủ chính sách mới vì nó tạo ra một hệ thống thuế công bằng hơn.</t>
  </si>
  <si>
    <t>Trong luật thuế hiện tại, mức giảm trừ gia cảnh cao hơn thu nhập nên tôi không phải đóng thuế. Với quy định quản lý thuế hiện nay, việc phát hiện hành vi gian lận hay trốn thuế là khó khăn vì tôi không có nghĩa vụ nộp thuế.</t>
  </si>
  <si>
    <t>Cơ quan thuế có thể vẫn duy trì các biện pháp quản lý và giám sát để đảm bảo tính công bằng, nhưng do tôi không phải đóng thuế nên khả năng phát hiện hành vi gian lận đối với tôi thấp.</t>
  </si>
  <si>
    <t>Quy trình làm việc với cơ quan thuế trở nên đơn giản hơn vì tôi không cần thực hiện khai báo thuế hay các thủ tục phức tạp. Điều này giúp tiết kiệm thời gian và công sức.</t>
  </si>
  <si>
    <t>Các bước tính thuế trong phương án mới rõ ràng, dễ hiểu và đơn giản hơn so với trước đây khi tôi không phải lo lắng về việc đóng thuế.</t>
  </si>
  <si>
    <t>Tôi tin rằng Nhà nước sẽ thực thi chính sách một cách công bằng đối với mọi người nộp thuế. Mức độ công bằng này tăng lên do giảm trừ gia cảnh và số bậc thuế được đơn giản hóa.</t>
  </si>
  <si>
    <t>Nhờ mức giảm trừ gia cảnh cao hơn, tôi không phải đóng thuế nên cảm thấy việc tính toán và nộp thuế hợp lý. Đây là một cải tiến tốt cho người dân có thu nhập thấp như tôi.</t>
  </si>
  <si>
    <t>Tiền thuế của tôi sẽ được sử dụng để cải thiện dịch vụ công, điều này tạo niềm tin rằng thuế đóng góp vào sự phát triển chung của đất nước và cộng đồng.</t>
  </si>
  <si>
    <t>Nhà nước đã giải thích rõ ràng về mục tiêu và lý do cho việc sửa đổi luật thuế. Điều này làm tăng niềm tin vào quyết định quản lý tài chính của Nhà nước.</t>
  </si>
  <si>
    <t>Sau khi xem xét, tôi ủng hộ các cải tiến trong luật thuế mới. Các quy định này giúp giảm bớt gánh nặng về mặt tài chính và thủ tục hành chính đối với người dân như tôi.</t>
  </si>
  <si>
    <t>Nguyên tắc quản lý thuế hiện nay khá chặt chẽ, với sự giám sát của nhiều cơ quan và công nghệ phát triển giúp phát hiện hành vi gian lận.</t>
  </si>
  <si>
    <t>Cơ quan thuế có đội ngũ chuyên nghiệp và các hệ thống thông tin mạnh mẽ để xử lý nghiêm minh các vấn đề trốn thuế.</t>
  </si>
  <si>
    <t>Quy trình khai báo thuế và làm việc với cơ quan thuế đã đơn giản hơn, giảm bớt rườm rà.</t>
  </si>
  <si>
    <t>Biểu thuế mới có ít bậc hơn, dễ hiểu và thực hiện đơn giản hơn so với trước đây.</t>
  </si>
  <si>
    <t>Tôi tin rằng Nhà nước sẽ công tâm trong việc áp dụng các quy định mới.</t>
  </si>
  <si>
    <t>Thuế mới có mức giảm trừ gia cảnh cao hơn, phù hợp với thu nhập hiện tại của tôi.</t>
  </si>
  <si>
    <t>Việc đóng thuế sẽ hỗ trợ cải thiện các dịch vụ công và chất lượng cuộc sống.</t>
  </si>
  <si>
    <t>Nhà nước đã giải thích rõ ràng về mục đích của việc sửa đổi chính sách thuế này.</t>
  </si>
  <si>
    <t>Tôi ủng hộ và tuân thủ chính sách mới vì lợi ích tài chính mà nó mang lại cho tôi.</t>
  </si>
  <si>
    <t>Dù cơ chế quản lý thuế đã được cải thiện, nhưng vẫn có nguy cơ trốn thuế do sự phức tạp của hệ thống và khả năng phát hiện còn hạn chế.</t>
  </si>
  <si>
    <t>Công nghệ hiện đại giúp Nhà nước có thể theo dõi hiệu quả hơn, tuy nhiên, việc thực thi pháp luật vẫn phụ thuộc vào con người và nguồn lực của cơ quan thuế.</t>
  </si>
  <si>
    <t>Quy trình khai báo thuế trở nên đơn giản hơn với mức giảm trừ gia cảnh cao hơn, nhưng vẫn có một số bước cần thực hiện.</t>
  </si>
  <si>
    <t>Biểu thuế mới đơn giản hóa quy trình tính thuế, dễ hiểu và thuận tiện hơn so với trước đây.</t>
  </si>
  <si>
    <t>Tôi tin rằng cơ quan thuế sẽ thực thi chính sách một cách công bằng đối với mọi người nộp thuế dù vẫn có nguy cơ gian lận.</t>
  </si>
  <si>
    <t>Mức giảm trừ gia cảnh và bậc thuế mới đã làm giảm số tiền thuế tôi phải đóng, cảm thấy hợp lý hơn so với trước đây.</t>
  </si>
  <si>
    <t>Thuê tôi đóng góp cho sự phát triển chung của xã hội thông qua việc cải thiện dịch vụ công như y tế và giao thông.</t>
  </si>
  <si>
    <t>Tôi đồng ý với giải thích về mục tiêu và lý do của chính sách mới, nhưng vẫn có chỗ cho cải tiến trong cách truyền đạt.</t>
  </si>
  <si>
    <t>Sau khi xem xét các quyền lợi và nghĩa vụ, tôi ủng hộ và tuân thủ chính sách mới vì nó mang lại nhiều lợi ích hơn so với trước đây.</t>
  </si>
  <si>
    <t>Đối với một công dân trung thành, tôi tin rằng việc phát hiện và xử lý nghiêm các hành vi gian lận hoặc trốn thuế đã được cải thiện đáng kể. Tuy nhiên, vẫn có những rủi ro không thể loại bỏ hoàn toàn.</t>
  </si>
  <si>
    <t>Nhà nước và cơ quan thuế đã đầu tư vào công nghệ để phát hiện các hành vi trốn thuế. Với mức giảm trừ gia cảnh tăng lên, việc trốn thuế sẽ trở nên khó khăn hơn, do đó tôi cho rằng khả năng quản lý thuế đã được cải thiện.</t>
  </si>
  <si>
    <t>Quy trình khai báo thuế và làm việc với cơ quan thuế hiện nay đơn giản hơn so với trước đây. Các thủ tục đã được đơn giản hóa, giúp người dân dễ dàng thực hiện.</t>
  </si>
  <si>
    <t>Biểu thuế mới có ít bậc hơn nhưng vẫn giữ nguyên mức thuế suất của từng bậc. Điều này làm cho quá trình tính thuế trở nên đơn giản và rõ ràng hơn.</t>
  </si>
  <si>
    <t>Tôi tin rằng Nhà nước sẽ thực thi chính sách một cách khách quan, công tâm. Việc tăng mức giảm trừ gia cảnh và đơn giản hóa biểu thuế là để tạo ra sự công bằng trong việc đánh thuế.</t>
  </si>
  <si>
    <t>Với thu nhập của tôi, mức thuế mới được tính toán phù hợp hơn so với trước đây. Điều này thể hiện tính công bằng và hợp lý trong việc đánh thuế.</t>
  </si>
  <si>
    <t>Tôi tin rằng số tiền thuế tôi đóng sẽ được sử dụng hiệu quả để cải thiện dịch vụ công, như y tế và đường xá. Việc cải cách thuế nhằm mục đích này.</t>
  </si>
  <si>
    <t>Nhà nước đã giải thích rõ ràng về lý do và mục tiêu của việc sửa đổi thuế, giúp tôi hiểu được những thay đổi này.</t>
  </si>
  <si>
    <t>Tôi ủng hộ chính sách mới vì nó mang lại lợi ích cho người dân như tôi. Việc đơn giản hóa biểu thuế và tăng mức giảm trừ gia cảnh đã tạo ra sự công bằng trong việc đánh thuế.</t>
  </si>
  <si>
    <t>Tuy nhiên, với việc cải cách này, khả năng quản lý và giám sát của cơ quan thuế cần được kiểm tra để đảm bảo đủ công nghệ và nhân lực.</t>
  </si>
  <si>
    <t>Thủ tục khai báo thuế trở nên đơn giản hơn với mức giảm trừ gia cảnh cao hơn, nhưng quá trình làm việc với cơ quan thuế vẫn cần cải thiện.</t>
  </si>
  <si>
    <t>Việc cải cách có thể làm tăng niềm tin vào sự công bằng trong việc đánh thuế, nhưng cần thời gian để xem xét thực tế.</t>
  </si>
  <si>
    <t>Mức thuế mới được coi là công bằng đối với thu nhập của tôi, giảm gánh nặng tài chính.</t>
  </si>
  <si>
    <t>Thuế đóng góp vào việc cải thiện dịch vụ công và phát triển cơ sở hạ tầng, nhưng hiệu quả sử dụng ngân sách cần được giám sát.</t>
  </si>
  <si>
    <t>Có thông tin đầy đủ về mục tiêu của chính sách mới, nhưng vẫn có nghi ngờ về việc minh bạch trong thực thi.</t>
  </si>
  <si>
    <t>Chính sách mới giảm gánh nặng tài chính và tăng sự công bằng, tôi sẽ ủng hộ và tuân thủ.</t>
  </si>
  <si>
    <t>Điểm 9. Mặc dù quy định quản lý thuế hiện nay đã tốt hơn, nhưng tôi vẫn lo ngại về khả năng phát hiện hành vi gian lận của cơ quan thuế.</t>
  </si>
  <si>
    <t>Điểm 8. Tuy Nhà nước có công nghệ và khả năng xử lý thuế tốt hơn, nhưng tôi nghĩ cần thêm thời gian để nâng cao hiệu quả quản lý.</t>
  </si>
  <si>
    <t>Điểm 9. Thủ tục khai báo thuế đã đơn giản hơn so với trước đây, làm việc với cơ quan thuế cũng thuận lợi hơn.</t>
  </si>
  <si>
    <t>Điểm 10. Phương án mới có ít bậc thuế và dễ hiểu hơn, giúp tôi dễ dàng tính toán và nộp thuế.</t>
  </si>
  <si>
    <t>Điểm 8. Tôi tin rằng cơ quan thuế sẽ thực thi chính sách công bằng, nhưng cần thêm minh bạch về cách đánh giá mức thuế.</t>
  </si>
  <si>
    <t>Điểm 9. Mức thuế mới giảm đi đáng kể so với trước đây, tôi thấy là hợp lý cho thu nhập của mình.</t>
  </si>
  <si>
    <t>Điểm 8. Tôi tin rằng số tiền thuế đóng sẽ được sử dụng hiệu quả, nhưng cần thêm thông tin về cách đầu tư.</t>
  </si>
  <si>
    <t>Điểm 9. Nhà nước đã giải thích rõ ràng mục tiêu của chính sách mới, tôi cảm thấy việc cải cách là cần thiết.</t>
  </si>
  <si>
    <t>Điểm 8. Tôi ủng hộ và tuân thủ chính sách mới, nhưng vẫn có chút lo ngại về hiệu quả thực tế trong quá trình thực hiện.</t>
  </si>
  <si>
    <t>Nếu cơ quan thuế có công nghệ và nguồn lực tốt, khả năng phát hiện gian lận sẽ tăng. Tuy nhiên, với mức độ tin cậy của hệ thống hiện tại ở Việt Nam, tôi không hoàn toàn chắc chắn.</t>
  </si>
  <si>
    <t>Việc áp dụng công nghệ trong quản lý thuế có thể giúp phát hiện gian lận hiệu quả hơn. Tuy nhiên, còn phụ thuộc vào khả năng thực tế của cơ quan thuế.</t>
  </si>
  <si>
    <t>Quy trình khai thuế và làm việc với cơ quan thuế trở nên đơn giản, thuận tiện hơn do giảm bớt các bước phức tạp. Điều này tăng độ thuận tiện cho người nộp thuế.</t>
  </si>
  <si>
    <t>Số bậc thuế từ 7 xuống còn 5 đã làm việc tính toán và hiểu rõ quy trình thuế trở nên dễ dàng hơn, giúp người dân thực hiện đúng chính sách mới.</t>
  </si>
  <si>
    <t>Tôi tin rằng cơ quan thuế sẽ công tâm trong việc áp dụng các quy định. Sự tăng giảm trừ gia cảnh và số bậc thuế đều hướng đến lợi ích của người nộp thuế.</t>
  </si>
  <si>
    <t>Nhìn chung, mức thuế mới được tính toán dựa trên thu nhập của tôi là phù hợp, không quá cao hay thấp so với thực tế.</t>
  </si>
  <si>
    <t>Tôi tin rằng số tiền thuế đóng sẽ được sử dụng hiệu quả để cải thiện chất lượng cuộc sống và dịch vụ công cho người dân như y tế, giao thông...</t>
  </si>
  <si>
    <t>Nhà nước đã giải thích rõ về mục đích của việc sửa đổi luật thuế, tuy nhiên vẫn còn một số điểm cần thêm thông tin để minh bạch hơn.</t>
  </si>
  <si>
    <t>Dựa trên các quyền lợi và nghĩa vụ mới, tôi ủng hộ và tuân thủ chính sách mới. Mức thuế giảm và quy trình đơn giản giúp việc thực hiện trở nên thuận tiện hơn.</t>
  </si>
  <si>
    <t>Dù quy định quản lý thuế hiện tại có thể đã cải thiện, nhưng với mức độ tin cậy của hệ thống hiện nay, vẫn có khả năng trốn thuế không bị phát hiện.</t>
  </si>
  <si>
    <t>Nhà nước và cơ quan thuế có các công cụ và nguồn lực để xử lý trốn thuế, nhưng hiệu quả thực tế còn phụ thuộc vào nhiều yếu tố khác.</t>
  </si>
  <si>
    <t>Quy trình làm việc với cơ quan thuế trở nên đơn giản hơn, thủ tục khai báo thuế cũng thuận tiện hơn so với trước đây.</t>
  </si>
  <si>
    <t>Biểu thuế mới có ít bậc và dễ hiểu hơn, nhưng người dân cần thời gian để làm quen với cách tính thuế mới.</t>
  </si>
  <si>
    <t>Tôi tin rằng Nhà nước sẽ thực thi chính sách một cách khách quan, công bằng, nhưng hiệu quả sử dụng nguồn thu thuế vẫn phụ thuộc vào nhiều yếu tố khác.</t>
  </si>
  <si>
    <t>Mức thuế mới theo phương án cải cách là hợp lý cho thu nhập của tôi, do đó tôi cảm thấy nó công bằng.</t>
  </si>
  <si>
    <t>Tôi tin rằng số tiền thuế đóng sẽ được sử dụng hiệu quả để cải thiện dịch vụ công, nhưng cụ thể như thế nào còn phụ thuộc vào quản trị và giám sát.</t>
  </si>
  <si>
    <t>Nhà nước đã giải thích rõ ràng về mục tiêu của việc cải cách thuế, tuy nhiên chi tiết thực hiện vẫn cần được minh bạch hơn nữa.</t>
  </si>
  <si>
    <t>Dựa trên các quyền lợi và nghĩa vụ mới, tôi ủng hộ và tuân thủ chính sách mới. Mức giảm trừ gia cảnh tăng cao và cách tính thuế đơn giản hơn khiến tôi cảm thấy hài lòng với chính sách này.</t>
  </si>
  <si>
    <t>Hiện tại, cơ quan thuế có nhiều công cụ và hệ thống để phát hiện hành vi gian lận hoặc trốn thuế. Tuy nhiên, việc thực thi vẫn phụ thuộc vào năng lực quản lý của họ.</t>
  </si>
  <si>
    <t>Nhà nước đã đầu tư vào công nghệ và nguồn lực để tăng cường khả năng phát hiện và xử lý các hành vi trốn thuế. Điều này tạo niềm tin trong việc thực thi nghiêm minh.</t>
  </si>
  <si>
    <t>Quy trình khai thuế trở nên đơn giản hơn với mức giảm trừ gia cảnh cao hơn, nhưng vẫn cần thời gian để quen thuộc với các thay đổi mới.</t>
  </si>
  <si>
    <t>Biểu thuế đơn giản hóa đã làm việc thực hiện thuế dễ dàng hơn. Tuy nhiên, những người không am hiểu về thuế có thể gặp khó khăn.</t>
  </si>
  <si>
    <t>Tôi tin rằng Nhà nước sẽ thực thi chính sách một cách khách quan và công bằng, nhưng vẫn cần giám sát để đảm bảo sự minh bạch.</t>
  </si>
  <si>
    <t>Mức thuế mới giảm đáng kể so với trước đây, tạo cảm giác rằng nó là hợp lý cho thu nhập của tôi. Điều này tăng niềm tin về công bằng.</t>
  </si>
  <si>
    <t>Nhà nước sử dụng tiền thuế để cải thiện dịch vụ công, nhưng vẫn cần thêm thông tin về chi tiêu cụ thể để đánh giá hiệu quả.</t>
  </si>
  <si>
    <t>Chính phủ đã giải thích rõ ràng về mục đích của việc sửa đổi thuế. Tuy nhiên, tôi mong muốn có thêm thông tin về cách sử dụng nguồn thu thuế.</t>
  </si>
  <si>
    <t>Tôi ủng hộ chính sách mới vì nó giảm gánh nặng tài chính và tạo cảm giác công bằng. Tuy nhiên, vẫn cần cải thiện trong việc truyền thông và giám sát.</t>
  </si>
  <si>
    <t>Dù cơ quan thuế có công nghệ phát hiện trốn thuế, nhưng mức giảm trừ gia cảnh cao và số bậc thuế đơn giản hơn khiến việc gian lận có thể dễ dàng hơn. Tuy nhiên, với sự quản lý chặt chẽ từ các cơ quan chức năng, khả năng phát hiện vẫn còn.</t>
  </si>
  <si>
    <t>Cơ quan thuế đã cải thiện hệ thống để phát hiện trốn thuế, nhưng vẫn cần thời gian để hoàn thiện và áp dụng hiệu quả. Công nghệ giúp việc quản lý thuế trở nên dễ dàng hơn.</t>
  </si>
  <si>
    <t>Quy trình khai báo thuế đơn giản hóa, giảm số bước thủ tục. Tuy nhiên, vẫn cần thời gian để người dân quen với quy trình mới.</t>
  </si>
  <si>
    <t>Bậc thuế và cách tính thuế đơn giản hơn so với trước đây, dễ hiểu và thực hiện nhanh chóng. Tuy nhiên, việc áp dụng còn cần thời gian.</t>
  </si>
  <si>
    <t>Nhà nước đã cải thiện công bằng trong việc phân phối thuế, giảm gánh nặng cho người dân thông qua mức giảm trừ gia cảnh cao và số bậc thuế đơn giản. Tuy nhiên, vẫn cần thời gian để mọi người hiểu rõ.</t>
  </si>
  <si>
    <t>Mức thuế mới là công bằng với thu nhập hiện tại của tôi. Mức giảm trừ gia cảnh cao giúp tiết kiệm đáng kể so với trước đây.</t>
  </si>
  <si>
    <t>Đồng ý rằng số tiền thuế đóng sẽ được sử dụng hiệu quả, nhưng cụ thể hóa mục tiêu đầu tư từ thuế vẫn cần thời gian để minh bạch hơn.</t>
  </si>
  <si>
    <t>Nhà nước đã giải thích rõ ràng về lý do và mục đích của việc cải cách thuế. Tuy nhiên, thêm thông tin cụ thể về hiệu quả sử dụng nguồn lực sẽ giúp tăng niềm tin hơn.</t>
  </si>
  <si>
    <t>Tác động tài chính tích cực từ mức giảm trừ gia cảnh cao và số bậc thuế đơn giản đã thuyết phục tôi ủng hộ và tuân thủ chính sách mới. Tuy nhiên, việc áp dụng hoàn toàn vẫn cần thời gian.</t>
  </si>
  <si>
    <t>Dù có công nghệ hỗ trợ, nhưng việc phát hiện gian lận hoặc trốn thuế vẫn phụ thuộc vào quy định quản lý. Hiện tại chưa rõ ràng về khả năng kiểm soát của Nhà nước.</t>
  </si>
  <si>
    <t>Việc sử dụng công nghệ có thể giúp cải thiện đáng kể hiệu quả quản lý, nhưng cần thời gian để triển khai và nâng cao năng lực.</t>
  </si>
  <si>
    <t>Quy trình mới đơn giản hơn so với trước đây, làm giảm thời gian điền báo cáo và tương tác với cơ quan thuế.</t>
  </si>
  <si>
    <t>Các bậc thuế đã được đơn giản hóa từ 7 xuống còn 5, dễ hiểu và thực hiện hơn. Thuế không phụ thuộc vào thu nhập quá nhiều mức nên giảm độ phức tạp.</t>
  </si>
  <si>
    <t>Thuế giảm đáng kể giúp tôi cảm thấy công bằng trong việc đóng góp. Việc truy cứu thông tin thuế trực tuyến và các quy định rõ ràng cũng làm tăng niềm tin.</t>
  </si>
  <si>
    <t>Nhờ mức giảm trừ gia cảnh cao hơn, mức thuế mới cho tôi cảm giác công bằng so với thu nhập hiện tại của mình.</t>
  </si>
  <si>
    <t>Thuế tiết kiệm được sẽ được sử dụng hiệu quả để cải thiện cơ sở hạ tầng và dịch vụ công, do đó tăng niềm tin về việc đóng thuế.</t>
  </si>
  <si>
    <t>Nội dung giải thích về mục đích và lý do của việc sửa đổi chính sách thuế mới khá đầy đủ. Tuy nhiên, vẫn cần nhiều thông tin hơn để minh bạch hóa vấn đề.</t>
  </si>
  <si>
    <t>Sau khi giảm trừ gia cảnh cao và mức thuế đơn giản, tôi ủng hộ và sẽ tuân thủ chính sách mới. Thuế tiết kiệm được giúp cải thiện chất lượng cuộc sống.</t>
  </si>
  <si>
    <t>Chính phủ có quy định quản lý thuế nhưng không rõ liệu cơ quan thuế có đủ lực lượng và công nghệ để phát hiện trốn thuế.</t>
  </si>
  <si>
    <t>Nhà nước có thể chưa hoàn thiện về công nghệ theo dõi, xử lý gian lận hoặc trốn thuế.</t>
  </si>
  <si>
    <t>So với trước đây, quy trình khai báo và làm việc với cơ quan thuế nhanh chóng hơn do giảm bớt các bước phức tạp.</t>
  </si>
  <si>
    <t>Biểu thuế đơn giản hóa thành 5 bậc thay vì 7, dễ hiểu và thực hiện hơn nhưng vẫn có ngưỡng chịu thuế cần tính toán cẩn thận.</t>
  </si>
  <si>
    <t>Tôi tin Nhà nước sẽ công bằng trong việc thực thi chính sách mới với mức giảm trừ gia cảnh cao hơn.</t>
  </si>
  <si>
    <t>Là người có thu nhập thấp, mức thuế mới là hợp lý và công bằng.</t>
  </si>
  <si>
    <t>Thuế giảm giúp cải thiện dịch vụ công, đặc biệt về y tế và cơ sở hạ tầng.</t>
  </si>
  <si>
    <t>Nhà nước đã giải thích rõ ràng lý do và mục tiêu của việc sửa đổi thuế này.</t>
  </si>
  <si>
    <t>Tôi ủng hộ chính sách mới vì giảm thuế, tăng mức giảm trừ gia cảnh và các quy trình đơn giản hơn.</t>
  </si>
  <si>
    <t>Hiện nay, các quy định quản lý thuế có nhiều cải tiến công nghệ như hệ thống e-Tax, giúp tăng cường giám sát. Tuy nhiên, việc phát hiện và xử lý gian lận vẫn còn gặp khó khăn.</t>
  </si>
  <si>
    <t>Nhà nước đã đầu tư mạnh vào công nghệ thuế, cải thiện hệ thống quản lý, nên khả năng phát hiện trốn thuế cao hơn trước.</t>
  </si>
  <si>
    <t>Quy trình khai báo thuế đơn giản hơn với các biểu mẫu điện tử và tính toán tự động, nhưng vẫn cần thời gian để người dân thích nghi.</t>
  </si>
  <si>
    <t>Biểu thuế mới đơn giản hóa bậc thuế, dễ dàng hiểu và thực hiện hơn so với trước đây</t>
  </si>
  <si>
    <t>Tôi tin rằng Nhà nước sẽ công bằng trong việc áp dụng các quy định mới, nhưng cần thêm thời gian để nhìn nhận hiệu quả.</t>
  </si>
  <si>
    <t>Mức thuế mới phù hợp với thu nhập của tôi và gia đình, cho thấy sự công bằng</t>
  </si>
  <si>
    <t>Nhà nước đã giải thích rõ về mục tiêu và lý do của việc sửa đổi thuế, tôi cảm thấy hài lòng</t>
  </si>
  <si>
    <t>Sau khi xem xét các quyền lợi và nghĩa vụ mới, tôi ủng hộ và sẽ tuân thủ chính sách này</t>
  </si>
  <si>
    <t>Nếu cơ quan thuế có công nghệ hiện đại, tôi tin rằng việc phát hiện gian lận trốn thuế sẽ dễ dàng hơn. Tuy nhiên, do chưa rõ về khả năng thực thi của họ, nên đánh giá ở mức trung bình.</t>
  </si>
  <si>
    <t>Nhà nước có đủ tiềm lực kinh tế và công nghệ để quản lý thuế, tôi tin rằng việc này sẽ được cải thiện sau khi luật mới ra đời.</t>
  </si>
  <si>
    <t>So với trước đây, quy trình khai thuế đơn giản hơn nhiều. Việc giảm trừ gia cảnh cao hơn giúp quá trình tính thuế thuận tiện hơn.</t>
  </si>
  <si>
    <t>Bậc thuế mới ít hơn và rõ ràng hơn so với trước đây nên dễ hiểu và thực hiện hơn.</t>
  </si>
  <si>
    <t>Dù chưa rõ về cách kiểm soát của cơ quan thuế, tôi tin rằng chính phủ sẽ làm công bằng trong việc thu thuế</t>
  </si>
  <si>
    <t>Thuế mới thấp hơn và phù hợp với mức thu nhập của tôi. Đây là điều cần thiết cho người lao động.</t>
  </si>
  <si>
    <t>Tài nguyên thuế sẽ được sử dụng hiệu quả, cải thiện dịch vụ công như y tế và giao thông, điều này mang lại lợi ích cho toàn xã hội</t>
  </si>
  <si>
    <t>Các giải thích về chính sách mới rõ ràng hơn so với trước đây. Tuy nhiên, tôi mong muốn có thêm nhiều thông tin từ cơ quan thuế.</t>
  </si>
  <si>
    <t>Tôi ủng hộ và tuân thủ luật mới vì nó mang lại lợi ích cho người dân như giảm trừ gia cảnh cao hơn và số bậc thuế ít hơn.</t>
  </si>
  <si>
    <t>Dù không hoàn toàn tin tưởng, nhưng các quy định quản lý thuế mới có thể giúp giảm hành vi trốn thuế. Tuy nhiên, việc thực thi vẫn phụ thuộc vào năng lực của cơ quan thuế.</t>
  </si>
  <si>
    <t>Cơ quan thuế đã cải thiện công nghệ và khả năng phát hiện trốn thuế, nhưng tôi không hoàn toàn chắc chắn về hiệu quả thực tế trong việc xử lý các hành vi gian lận.</t>
  </si>
  <si>
    <t>Quy trình làm việc với cơ quan thuế trở nên đơn giản hơn, giảm bớt rắc rối và thời gian chờ đợi. Thủ tục khai báo thuế cũng dễ dàng hơn so với trước đây.</t>
  </si>
  <si>
    <t>Biểu thuế mới đơn giản hóa quy trình tính thuế, việc này giúp tôi dễ hiểu và thực hiện nhanh chóng hơn. Tuy nhiên, vẫn còn một số thắc mắc về các quy định cụ thể.</t>
  </si>
  <si>
    <t>Tôi tin rằng cơ quan thuế sẽ công tâm trong quá trình thực thi chính sách mới. Việc giảm trừ gia cảnh và đơn giản hóa biểu thuế có lợi cho người dân.</t>
  </si>
  <si>
    <t>Mức thuế tôi phải đóng theo phương án mới là hợp lý, đặc biệt khi so sánh với mức thuế trước đây. Điều này thể hiện tính công bằng trong việc phân bổ gánh nặng thuế.</t>
  </si>
  <si>
    <t>Tôi tin rằng số tiền thuế tôi đóng sẽ được sử dụng hiệu quả để cải thiện dịch vụ công, như y tế và đường xá. Điều này làm tăng niềm tin vào cơ quan quản lý tài chính nhà nước.</t>
  </si>
  <si>
    <t>Nhà nước đã giải thích rõ ràng về mục tiêu và lý do của việc sửa đổi thuế, giúp tôi hiểu rõ hơn về chính sách mới. Tuy nhiên, vẫn còn một số thông tin cần được cung cấp chi tiết hơn.</t>
  </si>
  <si>
    <t>Tôi ủng hộ và tuân thủ chính sách mới vì nó có lợi cho người dân và giảm gánh nặng thuế. Việc đơn giản hóa biểu thuế cũng giúp tôi dễ dàng quản lý các khoản thu nhập và chi tiêu hơn.</t>
  </si>
  <si>
    <t>Dựa trên thông tin, không có nhiều thông tin về khả năng phát hiện và xử lý nghiêm các hành vi trốn thuế. Tuy nhiên, với sự hỗ trợ của công nghệ, khả năng này vẫn tăng lên.</t>
  </si>
  <si>
    <t>Nhà nước và cơ quan thuế có thể đã cải thiện về mặt công nghệ nhưng không rõ liệu họ có đủ nhân lực để xử lý hiệu quả tất cả các trường hợp gian lận hay không.</t>
  </si>
  <si>
    <t>Các quy trình khai báo và làm việc với cơ quan thuế đã đơn giản hơn, giảm bớt sự phức tạp. Điều này tạo thuận lợi cho người dân trong quá trình thực hiện nghĩa vụ thuế.</t>
  </si>
  <si>
    <t>Biểu thuế mới có ít bậc hơn và mức thuế suất được điều chỉnh hợp lý, dễ hiểu và dễ áp dụng hơn so với trước đây.</t>
  </si>
  <si>
    <t>Mức thuế mới theo phương án mới phù hợp với thu nhập của tôi. Tôi tin rằng Nhà nước sẽ thực thi chính sách một cách công bằng đối với mọi người nộp thuế.</t>
  </si>
  <si>
    <t>Thực tế, mức thuế mới giảm so với trước đây tạo nên sự công bằng hơn đối với thu nhập như tôi. Số tiền thuế này là phù hợp.</t>
  </si>
  <si>
    <t>Nếu số tiền thuế này được sử dụng hiệu quả để cải thiện dịch vụ công, tôi sẽ cảm thấy hài lòng về việc đóng thuế của mình.</t>
  </si>
  <si>
    <t>Tôi cho rằng Nhà nước đã giải thích rõ ràng về mục tiêu và lý do sửa đổi chính sách thuế nhưng có thể còn thiếu thông tin chi tiết hơn.</t>
  </si>
  <si>
    <t>Dựa trên sự đơn giản hóa quy trình, giảm trừ gia cảnh và mức thuế mới, tôi sẽ ủng hộ và tuân thủ chính sách mới hiện nay.</t>
  </si>
  <si>
    <t>Việc tăng mức giảm trừ gia cảnh và đơn giản hóa biểu thuế có thể làm giảm cơ hội cho các hành vi trốn thuế, nhưng không loại trừ hoàn toàn khả năng gian lận.</t>
  </si>
  <si>
    <t>Cơ quan thuế đã đầu tư vào công nghệ để theo dõi và xử lý nhanh chóng các trường hợp trốn thuế, tuy nhiên, vẫn cần cải thiện về mặt quản lý.</t>
  </si>
  <si>
    <t>Quy trình khai thuế trở nên đơn giản hơn khi giảm số bậc thuế và tăng mức giảm trừ gia cảnh, thuận tiện cho người dân.</t>
  </si>
  <si>
    <t>Phương án mới có các bậc thuế rõ ràng hơn so với trước đây, dễ hiểu và thực hiện nhanh chóng hơn.</t>
  </si>
  <si>
    <t>Tôi tin rằng cơ quan thuế sẽ công bằng trong việc thực thi chính sách, tuy nhiên, vẫn cần giám sát chặt chẽ để đảm bảo không có sự thiên vị.</t>
  </si>
  <si>
    <t>Lãnh đạo mức thuế mới là hợp lý với thu nhập của tôi và người cùng ngành nghề, vì vậy tôi thấy nó công bằng.</t>
  </si>
  <si>
    <t>Thuế được sử dụng để cải thiện dịch vụ công, như y tế và giao thông, điều này tạo niềm tin cho việc đóng thuế.</t>
  </si>
  <si>
    <t>Nhà nước đã giải thích rõ về mục tiêu và lý do của việc sửa đổi thuế, tuy nhiên, vẫn có thể cải thiện thêm trong việc truyền đạt thông tin.</t>
  </si>
  <si>
    <t>Tôi ủng hộ chính sách mới vì nó đơn giản hơn và giảm gánh nặng tài chính cho tôi. Tôi sẽ tuân thủ chính sách này.</t>
  </si>
  <si>
    <t>Thuế đã được đơn giản hóa và giảm trừ gia cảnh cao hơn, do đó hành vi gian lận khó phát hiện.</t>
  </si>
  <si>
    <t>Công nghệ ngày càng tiên tiến, nhưng việc quản lý thuế vẫn phụ thuộc vào nguồn lực con người. Thông tin cá nhân có thể bị rò rỉ.</t>
  </si>
  <si>
    <t>Quy trình khai báo và giao dịch với cơ quan thuế đã đơn giản hóa, nhưng đôi khi vẫn gặp khó khăn trong việc tiếp cận thông tin.</t>
  </si>
  <si>
    <t>Các bậc thuế mới dễ hiểu hơn, đặc biệt là giảm trừ gia cảnh cao hơn làm giảm rắc rối cho người dân.</t>
  </si>
  <si>
    <t>Mức thuế thấp hơn và giảm trừ gia cảnh cao hơn mang lại cảm giác công bằng trong việc thực thi chính sách thuế mới.</t>
  </si>
  <si>
    <t>Người nộp thuế như tôi chỉ đóng mức thuế thấp, do đó thấy rằng hệ thống thuế đã được điều chỉnh một cách công bằng.</t>
  </si>
  <si>
    <t>Thuế sẽ được sử dụng cho các dịch vụ công và cơ sở hạ tầng, điều này tạo niềm tin vào việc đầu tư của nhà nước</t>
  </si>
  <si>
    <t>Nhà nước đã giải thích rõ ràng về mục tiêu và lý do thay đổi thuế, nhưng vẫn cần cải thiện trong việc truyền đạt thông tin.</t>
  </si>
  <si>
    <t>Chính sách mới có lợi cho tôi, giảm gánh nặng thuế và mang lại cảm giác công bằng. Tôi sẽ tuân thủ</t>
  </si>
  <si>
    <t>Thuế điện tử và công nghệ hiện đại giúp phát hiện trốn thuế dễ dàng hơn, nhưng vẫn còn nhiều khía cạnh cần cải thiện.</t>
  </si>
  <si>
    <t>Cơ quan thuế có đủ tiềm lực tài chính và công nghệ để quản lý thuế hiệu quả, đặc biệt với quy trình đơn giản hơn</t>
  </si>
  <si>
    <t>Quy trình khai báo thuế trở nên dễ dàng hơn với mức giảm trừ gia cảnh cao hơn, nhưng vẫn cần cải thiện về độ chính xác của thông tin cá nhân.</t>
  </si>
  <si>
    <t>Biểu thuế đơn giản hóa rõ ràng và dễ hiểu hơn so với trước đây, giúp tính toán nhanh chóng</t>
  </si>
  <si>
    <t>Tôi tin rằng các cơ quan chức năng sẽ thực thi công bằng, nhưng vẫn cần thêm minh bạch trong việc sử dụng ngân sách thuế.</t>
  </si>
  <si>
    <t>Thuế mới phù hợp với thu nhập của tôi và mức giảm trừ gia cảnh cao hơn giúp cảm thấy công bằng</t>
  </si>
  <si>
    <t>Tôi tin rằng thuế sẽ được sử dụng hiệu quả để cải thiện hạ tầng và dịch vụ công, nhưng cần thêm minh bạch về cách sử dụng.</t>
  </si>
  <si>
    <t>Nhà nước đã giải thích rõ ràng mục tiêu của chính sách mới, tạo niềm tin cho người dân</t>
  </si>
  <si>
    <t>Sau khi xem xét các quyền lợi và nghĩa vụ, tôi ủng hộ và tuân thủ chính sách mới vì nó đơn giản hơn và công bằng hơn</t>
  </si>
  <si>
    <t>So với trước đây, quy trình khai báo thuế trở nên đơn giản hơn, giảm bớt thủ tục rườm rà. Điều này tạo thuận lợi cho người dân trong việc thực hiện nghĩa vụ thuế.</t>
  </si>
  <si>
    <t>Biểu thuế mới với số bậc ít hơn và ngưỡng chịu thuế rõ ràng giúp việc tính toán thuế trở nên dễ dàng hơn, giảm bớt sự phức tạp</t>
  </si>
  <si>
    <t>Tôi tin rằng cơ quan thuế sẽ thực thi chính sách một cách công bằng. Mức thuế mới được điều chỉnh phù hợp với thu nhập của tôi.</t>
  </si>
  <si>
    <t>Theo mức thuế mới, tôi tiết kiệm được nhiều tiền so với trước đây. Điều này cho thấy mức thuế là công bằng đối với người như tôi.</t>
  </si>
  <si>
    <t>Thuế đóng góp vào việc cải thiện các dịch vụ công quan trọng như y tế và giao thông, giúp đời sống của tôi tốt hơn.</t>
  </si>
  <si>
    <t>Nhà nước đã giải thích rõ mục tiêu của chính sách mới. Tuy nhiên, cần thêm thông tin về cách sử dụng số tiền thuế thu được để tăng niềm tin.</t>
  </si>
  <si>
    <t>Tôi ủng hộ và tuân thủ chính sách mới vì mức thuế giảm giúp cải thiện kinh tế gia đình tôi. Tôi sẽ tiếp tục đóng góp cho xã hội thông qua việc nộp thuế.</t>
  </si>
  <si>
    <t>Dù quy định quản lý thuế hiện tại có thể phát hiện gian lận, nhưng với mức giảm trừ gia cảnh tăng cao, cơ hội trốn thuế cũng tăng lên. Tuy nhiên, công nghệ và khả năng của cơ quan thuế vẫn được duy trì.</t>
  </si>
  <si>
    <t>Cơ quan thuế có thể đã cải thiện công nghệ, nhưng tôi không chắc chắn về mức độ hiệu quả trong việc phát hiện trốn thuế.</t>
  </si>
  <si>
    <t>Quy trình khai báo thuế đơn giản hơn và dễ dàng hơn so với trước đây, giảm thời gian và công sức cho người dân.</t>
  </si>
  <si>
    <t>Biểu thuế mới đơn giản hóa các bậc thuế, làm việc tính toán thuế trở nên dễ dàng hơn, giảm rủi ro mắc lỗi.</t>
  </si>
  <si>
    <t>Tôi tin rằng cơ quan thuế sẽ thực hiện chính sách công bằng và khách quan cho mọi người nộp thuế dù mức thuế mới có thay đổi.</t>
  </si>
  <si>
    <t>Mức giảm trừ gia cảnh tăng và số bậc thuế giảm, tôi thấy mình đóng thuế ít hơn, điều này tạo cảm giác công bằng.</t>
  </si>
  <si>
    <t>Thuế được sử dụng cho cải thiện dịch vụ công như y tế và giao thông, giúp đời sống xã hội tốt hơn.</t>
  </si>
  <si>
    <t>Nhà nước đã giải thích rõ ràng về mục tiêu của chính sách mới, tôi thấy đây là quyết định cần thiết.</t>
  </si>
  <si>
    <t>Tôi ủng hộ và tuân thủ chính sách mới vì nó tạo ra sự công bằng hơn cho người dân có thu nhập như tôi.</t>
  </si>
  <si>
    <t>Công nghệ hiện đại ngày nay giúp nhà nước và cơ quan thuế dễ dàng phát hiện hành vi gian lận hoặc trốn thuế. Với sự giám sát chặt chẽ, tôi tin rằng việc xử lý nghiêm sẽ được thực hiện.</t>
  </si>
  <si>
    <t>Nhà nước có đủ nguồn lực và công nghệ để kiểm soát hiệu quả quá trình khai báo và nộp thuế của người dân. Điều này làm tăng khả năng phát hiện hành vi trốn thuế.</t>
  </si>
  <si>
    <t>Quy trình khai báo thuế đã đơn giản hơn, không cần nhiều giấy tờ rườm rà như trước. Tôi thấy thủ tục thuận tiện và nhanh chóng hơn.</t>
  </si>
  <si>
    <t>Biểu thuế mới rõ ràng và dễ hiểu hơn so với cũ, giảm bớt sự phức tạp. Việc tính toán và nộp thuế trở nên đơn giản hơn nhiều.</t>
  </si>
  <si>
    <t>Tôi tin rằng cơ quan thuế sẽ thực thi chính sách một cách công bằng và khách quan. Điều này tạo niềm tin trong việc tuân thủ pháp luật</t>
  </si>
  <si>
    <t>Mức thuế mới giảm đáng kể so với trước đây, giúp tôi tiết kiệm được nhiều tiền. Tôi thấy điều này là công bằng và hợp lý cho thu nhập của mình.</t>
  </si>
  <si>
    <t>Tiền thuế đóng góp vào việc cải thiện dịch vụ công như y tế, giáo dục và hạ tầng. Điều này tạo ra niềm tin rằng tiền thuế sẽ được sử dụng hiệu quả</t>
  </si>
  <si>
    <t>Nhà nước đã giải thích rõ ràng về mục tiêu và lý do sửa đổi chính sách thuế, khiến tôi thấy việc cải cách là cần thiết.</t>
  </si>
  <si>
    <t>Tôi ủng hộ và tuân thủ chính sách mới vì nó công bằng hơn so với trước đây. Tôi tin rằng việc giảm bớt gánh nặng thuế sẽ giúp cải thiện chất lượng cuộc sống.</t>
  </si>
  <si>
    <t>Dựa trên mức độ phức tạp của hệ thống thuế trước đây, tôi cho rằng cơ quan thuế hiện nay có đủ khả năng và công nghệ để phát hiện hành vi gian lận hoặc trốn thuế.</t>
  </si>
  <si>
    <t>Nhà nước đã đầu tư vào công nghệ và nhân lực, cho thấy họ có ý chí thực thi pháp luật một cách mạnh mẽ.</t>
  </si>
  <si>
    <t>Hệ thống khai thuế trực tuyến đơn giản hơn nhiều so với trước đây, tiết kiệm thời gian và công sức của người dân.</t>
  </si>
  <si>
    <t>So với luật cũ, mức thuế mới rõ ràng và dễ hiểu hơn. Việc giảm số bậc thuế cũng giúp việc tính toán trở nên thuận tiện hơn.</t>
  </si>
  <si>
    <t>Tôi tin rằng cơ quan thuế sẽ thực thi chính sách một cách công bằng, nhất là với mức thuế mới mà tôi thấy hợp lý.</t>
  </si>
  <si>
    <t>Nhờ việc giảm trừ gia cảnh và số bậc thuế, tôi đóng thuế ít hơn so với trước đây, điều này khiến tôi cảm thấy mức thuế hiện tại là công bằng.</t>
  </si>
  <si>
    <t>Việc sử dụng tiền thuế để cải thiện dịch vụ công giúp tôi tin tưởng vào sự hiệu quả của chính sách mới.</t>
  </si>
  <si>
    <t>Nhà nước đã cung cấp thông tin đầy đủ về lý do và mục tiêu của việc sửa đổi thuế, cho thấy sự minh bạch trong quy trình</t>
  </si>
  <si>
    <t>Dựa trên các lợi ích và nghĩa vụ mới, tôi ủng hộ chính sách mới. Nó giúp tôi tiết kiệm tiền thuế mà vẫn đảm bảo công bằng.</t>
  </si>
  <si>
    <t>Dù có quy định quản lý thuế mới, mức giảm trừ gia cảnh và số bậc thuế đã đơn giản hóa nhưng tôi vẫn nghi ngờ về khả năng phát hiện trốn thuế của cơ quan thuế.</t>
  </si>
  <si>
    <t>Tăng cường công nghệ trong quản lý thuế có thể giúp cải thiện khả năng phát hiện gian lận, tuy nhiên, thực tế việc này vẫn còn nhiều thách thức cần giải quyết.</t>
  </si>
  <si>
    <t>Quy trình khai báo và làm việc với cơ quan thuế trở nên đơn giản hơn, giảm bớt các thủ tục rườm rà. Việc áp dụng công nghệ cũng giúp thuận tiện hơn cho người dân.</t>
  </si>
  <si>
    <t>Bậc thuế mới đã được đơn giản hóa và dễ hiểu hơn so với trước đây, điều này khiến việc tính toán thuế trở nên dễ dàng hơn.</t>
  </si>
  <si>
    <t>Tôi tin rằng cơ quan thuế sẽ thực thi chính sách một cách công bằng, nhưng cũng cần thêm các biện pháp kiểm tra để đảm bảo mọi người nộp thuế đều được đối xử bình đẳng.</t>
  </si>
  <si>
    <t>Mức thuế mới phù hợp với thu nhập của tôi và giảm trừ gia cảnh đã tăng lên đáng kể, điều này thể hiện tính công bằng trong việc đánh giá mức thuế</t>
  </si>
  <si>
    <t>Việc cải cách thuế sẽ giúp nâng cao chất lượng dịch vụ công, tuy nhiên, tôi hy vọng rằng ngân sách được sử dụng hiệu quả để tạo ra những thay đổi thực tế.</t>
  </si>
  <si>
    <t>Nhà nước đã giải thích rõ ràng về mục tiêu của việc cải cách thuế, nhưng cần thêm thông tin cụ thể hơn về cách sử dụng nguồn thu từ thuế mới</t>
  </si>
  <si>
    <t>Tôi ủng hộ chính sách mới vì nó đơn giản hóa quy trình và giảm gánh nặng tài chính cho người dân, đồng thời tăng khả năng công bằng trong việc đánh giá mức thuế.</t>
  </si>
  <si>
    <t>Dựa trên mức tăng giảm trừ gia cảnh và số bậc thuế đơn giản hơn, tôi tin rằng việc phát hiện hành vi gian lận hoặc trốn thuế sẽ dễ dàng hơn. Tuy nhiên, vẫn cần sự cải tiến trong công nghệ và quy định quản lý để đảm bảo hiệu quả.</t>
  </si>
  <si>
    <t>Nhà nước và cơ quan thuế có thể áp dụng nhiều biện pháp kỹ thuật mới để tăng cường khả năng phát hiện hành vi trốn thuế, nhưng thực tế cần thời gian để triển khai rộng rãi.</t>
  </si>
  <si>
    <t>Quy trình làm việc với cơ quan thuế đã đơn giản hóa và tiện lợi hơn so với trước đây, tôi không gặp nhiều khó khăn trong việc khai báo thuế.</t>
  </si>
  <si>
    <t>Biểu thuế mới có số bậc giảm đi nhưng vẫn giữ nguyên mức thuế suất và ngưỡng chịu thuế. Tôi thấy cách tính thuế dễ hiểu hơn so với trước đây, giảm bớt cảm giác lo lắng cho người dân.</t>
  </si>
  <si>
    <t>Nhà nước đã thực hiện các thay đổi nhằm cải thiện công bằng trong việc áp dụng chính sách thuế. Việc tăng mức giảm trừ gia cảnh giúp tôi tiết kiệm được một khoản tiền đáng kể mỗi tháng.</t>
  </si>
  <si>
    <t>Dựa trên mức thu nhập của mình, mức thuế mới mà tôi phải đóng là hợp lý và công bằng so với những người cùng nghề nghiệp nhưng có số lượng người phụ thuộc khác nhau.</t>
  </si>
  <si>
    <t>Tôi tin rằng tiền thuế tôi đóng sẽ được sử dụng hiệu quả để cải thiện các dịch vụ công, mặc dù không biết cụ thể như thế nào. Việc tăng giảm trừ gia cảnh giúp nâng cao chất lượng cuộc sống cho gia đình tôi.</t>
  </si>
  <si>
    <t>Nhà nước đã giải thích rõ ràng về mục tiêu của việc sửa đổi thuế, tuy nhiên, để tăng thêm niềm tin, cần có nhiều thông tin hơn về cách sử dụng nguồn thu từ thuế.</t>
  </si>
  <si>
    <t>Dựa trên các quyền lợi và nghĩa vụ mới, tôi ủng hộ và tuân thủ chính sách mới vì nó mang lại lợi ích đáng kể cho gia đình tôi. Tuy nhiên, việc cải thiện niềm tin là cần thiết để tăng cường tính chấp hành.</t>
  </si>
  <si>
    <t>Tôi tin rằng với các quy định quản lý thuế hiện nay, hành vi gian lận hoặc trốn thuế sẽ dễ dàng bị phát hiện và xử lý nghiêm. Hệ thống quản lý thuế ngày càng được nâng cấp công nghệ, tăng cường giám sát.</t>
  </si>
  <si>
    <t>Nhà nước đã đầu tư mạnh vào hệ thống công nghệ thông tin của cơ quan thuế, nên khả năng phát hiện và xử lý các hành vi trốn thuế sẽ cao hơn trước đây.</t>
  </si>
  <si>
    <t>Hệ thống khai báo thuế và quy trình làm việc với cơ quan thuế đã được đơn giản hóa, dễ hiểu và thuận tiện hơn so với trước đây. Các thủ tục cũng nhanh chóng hơn nhiều.</t>
  </si>
  <si>
    <t>So với trước đây, cách tính thuế và các bậc thuế trong phương án mới đơn giản, dễ hiểu và dễ thực hiện hơn, giúp người dân không còn phải lo lắng về việc bị sai lệch trong quá trình khai báo.</t>
  </si>
  <si>
    <t>Tôi tin rằng Nhà nước, cơ quan thuế sẽ thực thi chính sách mới một cách khách quan, công tâm và đối xử bình đẳng với mọi người nộp thuế. Các thay đổi đều nhằm giảm gánh nặng cho người dân.</t>
  </si>
  <si>
    <t>Mức thuế tôi phải đóng theo phương án mới là hợp lý và công bằng. Với mức thu nhập hiện tại, việc giảm trừ gia cảnh lớn hơn đã giúp tôi tiết kiệm nhiều tiền hơn.</t>
  </si>
  <si>
    <t>Tôi tin tưởng số tiền thuế tôi đóng sẽ được Nhà nước sử dụng hiệu quả để cải thiện dịch vụ công như y tế và đường xá, góp phần xây dựng một xã hội phát triển toàn diện.</t>
  </si>
  <si>
    <t>Nhà nước đã giải thích rõ ràng về lý do và mục tiêu của việc sửa đổi thuế lần này. Các thông tin được cung cấp cho công chúng giúp tôi hiểu rõ hơn về chính sách mới.</t>
  </si>
  <si>
    <t>Sau khi xem xét các quyền lợi và nghĩa vụ, tôi ủng hộ và tuân thủ chính sách mới hiện nay. Các thay đổi đều hướng đến việc giảm gánh nặng thuế cho người dân.</t>
  </si>
  <si>
    <t>Tôi tin rằng số tiền thuế đóng sẽ được sử dụng hiệu quả để cải thiện dịch vụ công, như y tế và giao thông, do đó tôi cảm thấy mình đang thực sự góp phần cho xã hội.</t>
  </si>
  <si>
    <t>Nhà nước đã giải thích rõ ràng về việc sửa đổi chính sách thuế này. Điều này làm tăng niềm tin của tôi vào quyết định này.</t>
  </si>
  <si>
    <t>Dựa trên các lợi ích và nghĩa vụ, tôi ủng hộ và tuân thủ chính sách mới vì nó mang lại nhiều thuận tiện hơn cho người dân.</t>
  </si>
  <si>
    <t>Nhà nước đã tăng cường quản lý thuế và công nghệ hiện đại, nhưng vẫn cần cải thiện để phát hiện trốn thuế một cách hiệu quả.</t>
  </si>
  <si>
    <t>Cơ quan thuế có đủ khả năng với công nghệ hiện đại, tuy nhiên sự phối hợp giữa các bộ phận chưa hoàn hảo.</t>
  </si>
  <si>
    <t>Thủ tục khai báo thuế và quy trình làm việc đã đơn giản hơn so với trước đây, giúp tiết kiệm thời gian.</t>
  </si>
  <si>
    <t>Biểu thuế được rút gọn và dễ hiểu hơn, giúp người dân tính toán nhanh chóng hơn.</t>
  </si>
  <si>
    <t>Tôi tin rằng cơ quan thuế sẽ thực thi chính sách công bằng, nhưng cần thêm minh bạch trong quá trình giám sát</t>
  </si>
  <si>
    <t>Mức thuế mới phù hợp với thu nhập của tôi, giảm gánh nặng về mặt tài chính.</t>
  </si>
  <si>
    <t>Thuế đóng góp vào cải thiện dịch vụ công và phát triển đất nước, nhưng cần minh bạch trong sử dụng nguồn lực</t>
  </si>
  <si>
    <t>Nhà nước đã giải thích rõ ràng về mục tiêu của chính sách mới, tuy nhiên cần thêm thông tin cụ thể hơn.</t>
  </si>
  <si>
    <t>Tôi ủng hộ và tuân thủ chính sách mới vì nó đơn giản hóa quy trình và giảm gánh nặng thuế</t>
  </si>
  <si>
    <t>Do mức giảm trừ gia cảnh tăng cao, tôi cho rằng việc phát hiện và xử lý trốn thuế sẽ khó khăn hơn.</t>
  </si>
  <si>
    <t>Cơ quan thuế có công nghệ hiện đại nhưng chưa rõ khả năng quản lý hiệu quả đối với số lượng lớn người nộp thuế.</t>
  </si>
  <si>
    <t>So với trước đây, thủ tục khai báo đơn giản hơn nhưng vẫn cần thời gian để quen thuộc.</t>
  </si>
  <si>
    <t>Các bậc thuế mới dễ hiểu và thực hiện thuận tiện hơn so với trước đây.</t>
  </si>
  <si>
    <t>Tôi tin Nhà nước sẽ công tâm trong việc áp dụng chính sách nhưng vẫn có khả năng không đều đặn giữa các vùng miền.</t>
  </si>
  <si>
    <t>Thuế mới giảm đáng kể và phù hợp với mức thu nhập hiện tại, tôi thấy là công bằng.</t>
  </si>
  <si>
    <t>Thuê mới được sử dụng để cải thiện dịch vụ công nên tôi tin tưởng việc đóng góp của mình sẽ mang lại lợi ích.</t>
  </si>
  <si>
    <t>Tôi cho rằng Nhà nước đã giải thích rõ ràng về lý do và mục tiêu sửa đổi thuế lần này.</t>
  </si>
  <si>
    <t>Dù có một số lo ngại nhưng chính sách mới mang lại lợi ích đáng kể nên tôi sẽ ủng hộ.</t>
  </si>
  <si>
    <t>Vì mức giảm trừ gia cảnh cao hơn thu nhập nên tôi không phải đóng thuế, do đó cảm thấy quy định quản lý thuế hiện nay dễ bị phát hiện hành vi trốn thuế.</t>
  </si>
  <si>
    <t>Nhà nước có thể áp dụng công nghệ để theo dõi số tiền thu nhập và giảm trừ gia cảnh, do đó tôi tin rằng các hành vi trốn thuế sẽ dễ bị phát hiện.</t>
  </si>
  <si>
    <t>Quy trình làm việc với cơ quan thuế đơn giản hơn trước vì mức giảm trừ gia cảnh cao nên không cần khai nhiều thông tin, quy trình khai báo thuế cũng đơn giản.</t>
  </si>
  <si>
    <t>Bậc thuế ít đi và thu nhập của tôi nằm trong bậc thuế thấp nhất nên cách tính thuế dễ hiểu hơn so với trước đây.</t>
  </si>
  <si>
    <t>Quy định mới tạo ra sự công bằng cho người dân vì mức giảm trừ gia cảnh cao hơn, không ai phải đóng thuế khi thu nhập dưới mức giảm trừ.</t>
  </si>
  <si>
    <t>Nguyên nhân tôi không phải đóng thuế là do mức thu nhập của mình nằm trong phạm vi giảm trừ nên tôi thấy mức thuế này công bằng.</t>
  </si>
  <si>
    <t>Đồng ý với việc sử dụng số tiền thuế để cải thiện dịch vụ công, vì tôi không phải đóng thuế nên tin rằng số tiền sẽ được sử dụng hiệu quả.</t>
  </si>
  <si>
    <t>Chính phủ đã giải thích rõ ràng về lý do và mục tiêu của việc sửa đổi thuế lần này, nên tôi cảm thấy tin tưởng vào quyết định của họ.</t>
  </si>
  <si>
    <t>Tôi ủng hộ chính sách mới vì mức thu nhập của tôi nằm trong phạm vi giảm trừ, không phải đóng thuế.</t>
  </si>
  <si>
    <t>Nhà nước đã tăng cường các biện pháp quản lý thuế và công nghệ hiện đại, nhưng vẫn chưa có đủ thông tin về mức độ thực thi.</t>
  </si>
  <si>
    <t>Cơ quan thuế có khả năng phát hiện trốn thuế cao hơn với công nghệ hiện đại, nhưng cần thêm thời gian để đánh giá hiệu quả.</t>
  </si>
  <si>
    <t>Quy trình khai báo và làm việc với cơ quan thuế đơn giản hơn, tiết kiệm thời gian, thuận lợi cho người dân.</t>
  </si>
  <si>
    <t>Biểu thuế mới đơn giản hóa bậc thuế, dễ hiểu và thực hiện hơn so với trước đây.</t>
  </si>
  <si>
    <t>Tôi tin rằng cơ quan thuế sẽ công tâm trong việc áp dụng chính sách, nhưng vẫn có sự nghi ngờ về thực thi.</t>
  </si>
  <si>
    <t>Mức thuế mới giảm đáng kể so với trước đây, tôi thấy nó là một mức hợp lý cho thu nhập của mình.</t>
  </si>
  <si>
    <t>Nhà nước đã giải thích rõ ràng về mục tiêu sửa đổi thuế, nhưng vẫn có nghi ngờ về thông tin minh bạch đầy đủ.</t>
  </si>
  <si>
    <t>Tôi ủng hộ chính sách mới vì nó giảm gánh nặng tài chính và tạo ra một hệ thống thuế đơn giản hơn.</t>
  </si>
  <si>
    <t>Điều kiện hiện tại cho thấy cơ quan thuế có nhiều công cụ và nguồn lực để phát hiện hành vi trốn thuế. Tuy nhiên, việc này còn phụ thuộc vào sự tuân thủ của cá nhân.</t>
  </si>
  <si>
    <t>Cơ quan thuế được đầu tư về mặt công nghệ, tăng cường khả năng kiểm soát. Cơ hội phát hiện hành vi gian lận cao hơn so với trước đây.</t>
  </si>
  <si>
    <t>Quy trình làm việc và khai báo thuế trở nên đơn giản hơn nhờ số bậc thuế giảm, người nộp thuế dễ dàng thực hiện hơn.</t>
  </si>
  <si>
    <t>Biểu thuế mới rõ ràng hơn về các bậc và mức thuế suất. Việc tính toán thuế cũng trở nên dễ dàng hơn</t>
  </si>
  <si>
    <t>Các quy định mới được áp dụng công bằng cho mọi người nộp thuế, không phân biệt thu nhập.</t>
  </si>
  <si>
    <t>Thuế mới giảm so với trước đây nhờ các mức giảm trừ gia cảnh cao hơn. Mức thuế phù hợp với thu nhập của tôi</t>
  </si>
  <si>
    <t>Thống kê cho thấy số tiền đóng thuế sẽ được sử dụng hiệu quả để cải thiện dịch vụ công, tạo niềm tin về việc sử dụng nguồn lực một cách minh bạch.</t>
  </si>
  <si>
    <t>Nhà nước đã giải thích rõ ràng mục tiêu và lý do của chính sách mới. Việc này tăng sự hiểu biết và lòng tin tưởng vào cơ quan thuế.</t>
  </si>
  <si>
    <t>Dựa trên các quyền lợi được cải thiện, tôi ủng hộ và sẽ tuân thủ chính sách mới</t>
  </si>
  <si>
    <t>Việc tăng mức giảm trừ gia cảnh và đơn giản hóa biểu thuế có thể làm giảm khả năng phát hiện hành vi trốn thuế, do đó tôi chỉ đồng ý một phần.</t>
  </si>
  <si>
    <t>Ngành công nghệ thông tin của Việt Nam đang không ngừng phát triển, tuy nhiên việc quản lý thuế vẫn phụ thuộc nhiều vào nguồn lực con người và hệ thống hiện tại chưa hoàn thiện.</t>
  </si>
  <si>
    <t>So với trước đây, quy trình làm việc với cơ quan thuế đơn giản hơn nhờ giảm số bậc thuế và tăng mức giảm trừ gia cảnh. Điều này giúp việc khai báo thuế dễ dàng hơn.</t>
  </si>
  <si>
    <t>Biểu thuế đơn giản hơn đã khiến tôi dễ hiểu và dễ thực hiện hơn so với trước đây, tuy nhiên vẫn cần thêm thời gian để quen thuộc với các thay đổi mới.</t>
  </si>
  <si>
    <t>Tôi tin rằng cơ quan thuế sẽ cố gắng thực thi chính sách một cách công tâm, nhưng do mức thuế giảm đáng kể nên niềm tin của tôi tăng lên.</t>
  </si>
  <si>
    <t>Nhìn chung, mức thuế mới phù hợp với thu nhập hiện tại và số người phụ thuộc, tạo cảm giác công bằng cho tôi.</t>
  </si>
  <si>
    <t>Tôi tin rằng số tiền thuế đóng sẽ được sử dụng hiệu quả để cải thiện các dịch vụ công, tuy nhiên cần thêm thông tin cụ thể về cách sử dụng nguồn thu thuế mới có thể tăng niềm tin hơn.</t>
  </si>
  <si>
    <t>Nhà nước đã giải thích rõ ràng về mục tiêu của việc sửa đổi chính sách thuế, nhưng để tôi hoàn toàn tin tưởng cần thêm thông tin cụ thể và minh bạch hơn.</t>
  </si>
  <si>
    <t>Dù có những thay đổi tích cực, nhưng do mức thuế giảm đáng kể nên tôi ủng hộ và tuân thủ chính sách mới hơn.</t>
  </si>
  <si>
    <t>Nhà nước, cơ quan thuế có nhiều nguồn lực và công nghệ hiện đại để phát hiện và xử lý nghiêm các hành vi trốn thuế. Điều này giúp tăng cường niềm tin của người dân về hệ thống quản lý thuế.</t>
  </si>
  <si>
    <t>So với trước đây, quy trình làm việc với cơ quan thuế đã đơn giản hơn nhiều. Các thủ tục khai báo thuế cũng thuận tiện hơn, giúp tiết kiệm thời gian và công sức cho người dân.</t>
  </si>
  <si>
    <t>Cách tính thuế mới theo các bậc giảm từ 7 xuống còn 5, làm cho việc tính toán trở nên dễ dàng hơn. Điều này giúp tôi hiểu rõ hơn về chính sách và thực hiện đúng quy định.</t>
  </si>
  <si>
    <t>Nhà nước đã thể hiện sự công bằng trong việc điều chỉnh mức thuế. Thu nhập của tôi giảm đáng kể sau khi áp dụng luật mới, điều này giúp tăng niềm tin vào hệ thống quản lý thuế.</t>
  </si>
  <si>
    <t>Mức thuế mới phù hợp với thu nhập của tôi và người dân cùng nhóm, đây là một dấu hiệu cho thấy sự công bằng trong việc phân phối gánh nặng thuế</t>
  </si>
  <si>
    <t>Thuê đóng góp vào việc cải thiện dịch vụ công như y tế và cơ sở hạ tầng. Điều này giúp tôi cảm thấy rằng tiền thuế của mình được sử dụng một cách hiệu quả.</t>
  </si>
  <si>
    <t>Nhà nước đã giải thích rõ ràng về mục tiêu và lý do sửa đổi luật thuế, điều này làm tăng niềm tin của tôi vào quyết định này</t>
  </si>
  <si>
    <t>Sau khi cân nhắc các quyền lợi và nghĩa vụ, tôi ủng hộ chính sách mới. Mức thuế giảm đáng kể đã tạo ra sự công bằng hơn cho thu nhập của tôi.</t>
  </si>
  <si>
    <t>Dù có các quy định quản lý thuế, nhưng mức giảm trừ gia cảnh tăng cao và số bậc thuế đơn giản hơn nên khả năng phát hiện gian lận hoặc trốn thuế có thể bị hạn chế.</t>
  </si>
  <si>
    <t>Nhà nước đã đầu tư vào công nghệ, nhưng việc giảm mức thu từ người dân nhiều khiến khả năng kiểm soát thuế không còn mạnh mẽ như trước.</t>
  </si>
  <si>
    <t>Quy trình làm việc với cơ quan thuế trở nên đơn giản hơn, thủ tục khai báo thuế thuận lợi hơn so với trước đây.</t>
  </si>
  <si>
    <t>Cách tính thuế và các bậc thuế mới rõ ràng hơn, dễ thực hiện hơn so với quy định cũ phức tạp nhiều</t>
  </si>
  <si>
    <t>Nhà nước đã công bố minh bạch về mục tiêu cải cách, nhưng tôi vẫn có sự nghi ngờ về cách họ thực thi chính sách.</t>
  </si>
  <si>
    <t>Lợi ích tài chính rõ ràng nên tôi cảm thấy mức thuế mới này là hợp lý với thu nhập của mình</t>
  </si>
  <si>
    <t>Thuế được sử dụng để cải thiện dịch vụ công, nhưng tôi không chắc chắn về sự hiệu quả trong việc sử dụng nguồn lực.</t>
  </si>
  <si>
    <t>Nhà nước đã giải thích rõ mục tiêu và lý do của việc sửa đổi thuế, tôi tin họ đang cố gắng minh bạch</t>
  </si>
  <si>
    <t>Sau khi xem xét tác động tài chính tích cực và sự đơn giản hóa quy trình, tôi đồng ý với chính sách mới.</t>
  </si>
  <si>
    <t>Việc tăng mức giảm trừ gia cảnh và đơn giản hóa biểu thuế có thể làm giảm nguy cơ gian lận, nhưng khả năng phát hiện trốn thuế vẫn phụ thuộc vào nguồn lực của cơ quan thuế.</t>
  </si>
  <si>
    <t>Cơ quan thuế đã cải thiện công nghệ và quy trình quản lý thuế trong thời gian gần đây, tuy nhiên việc kiểm soát toàn diện về trốn thuế vẫn còn hạn chế.</t>
  </si>
  <si>
    <t>So với trước đây, các quy định mới đơn giản hơn và dễ thực hiện hơn, đặc biệt là về mặt thủ tục khai báo thuế.</t>
  </si>
  <si>
    <t>Biểu thuế mới có ít bậc hơn và ngưỡng chịu thuế rõ ràng hơn, giúp tính toán thuận tiện hơn.</t>
  </si>
  <si>
    <t>Tôi tin rằng cơ quan thuế sẽ cố gắng công bằng trong việc thực thi chính sách, nhưng mức độ khách quan phụ thuộc vào cách họ quản lý nguồn lực.</t>
  </si>
  <si>
    <t>Với thu nhập của tôi, mức thuế mới là hợp lý và công bằng, giảm gánh nặng tài chính đáng kể.</t>
  </si>
  <si>
    <t>Thuế mà tôi đóng sẽ được sử dụng để cải thiện dịch vụ công, giúp đời sống cộng đồng tốt hơn.</t>
  </si>
  <si>
    <t>Cơ quan thuế đã giải thích rõ về mục tiêu của chính sách mới, nhưng việc minh bạch toàn bộ quy trình thực thi còn hạn chế.</t>
  </si>
  <si>
    <t>Dựa trên những cải tiến về mặt tài chính và thủ tục, tôi ủng hộ và sẽ tuân theo chính sách mới.</t>
  </si>
  <si>
    <t>Hiện nay, cơ quan thuế đã có nhiều biện pháp quản lý và công nghệ hỗ trợ phát hiện trốn thuế, tuy nhiên vẫn cần sự phối hợp của người dân để giảm tình trạng gian lận.</t>
  </si>
  <si>
    <t>Nhà nước và cơ quan thuế đã đầu tư vào công nghệ và nhân lực để quản lý hiệu quả hơn, tăng khả năng phát hiện và xử phạt các hành vi trốn thuế.</t>
  </si>
  <si>
    <t>Quy trình khai thuế trở nên đơn giản hơn với nhiều giảm trừ và bậc thuế ít hơn, dễ dàng thực hiện qua điện tử, tăng thuận tiện cho người dân.</t>
  </si>
  <si>
    <t>Các bậc thuế mới rõ ràng, dễ hiểu và đơn giản hơn, dễ áp dụng trong quá trình tính thuế hàng tháng của tôi.</t>
  </si>
  <si>
    <t>Tôi tin rằng Nhà nước sẽ thực thi chính sách công bằng với tất cả các đối tượng nộp thuế, từ đó đảm bảo sự công bằng trong hệ thống thuế.</t>
  </si>
  <si>
    <t>Mức thuế mới theo tôi là hợp lý và công bằng, tôi không cảm thấy bị thiệt thòi so với trước đây.</t>
  </si>
  <si>
    <t>Tài chính nhà nước sẽ được sử dụng hiệu quả cho các dịch vụ công, từ đó cải thiện chất lượng cuộc sống của người dân như y tế, giáo dục và giao thông.</t>
  </si>
  <si>
    <t>Nhà nước đã giải thích rõ ràng về mục tiêu và lý do của việc sửa đổi thuế, tạo niềm tin cho người dân trong việc tuân thủ chính sách mới.</t>
  </si>
  <si>
    <t>Sau khi xem xét, tôi ủng hộ và sẵn lòng tuân thủ chính sách mới vì những lợi ích mà nó mang lại về mặt thuận tiện và công bằng.</t>
  </si>
  <si>
    <t>Thuế thu nhập cá nhân được quản lý chặt chẽ với nhiều biện pháp phát hiện gian lận, trốn thuế. Cơ quan thuế có khả năng và công nghệ để giám sát hiệu quả.</t>
  </si>
  <si>
    <t>Nhà nước đã đầu tư vào hệ thống quản lý thuế hiện đại giúp xử lý nghiêm túc các hành vi gian lận, trốn thuế.</t>
  </si>
  <si>
    <t>Quy trình khai báo thuế và giao tiếp với cơ quan thuế trở nên đơn giản hơn. Các bước thực hiện dễ dàng hơn trước đây.</t>
  </si>
  <si>
    <t>Biểu thuế mới có ít bậc, làm cho việc tính toán và áp dụng thuế trở nên dễ hiểu và thuận tiện hơn so với trước đây.</t>
  </si>
  <si>
    <t>Nhà nước đã công bố rõ ràng về chính sách thuế mới, minh bạch trong quá trình thực thi. Điều này tạo niềm tin rằng mọi người đều được đối xử công bằng.</t>
  </si>
  <si>
    <t>Thuế thu nhập cá nhân mới giảm đáng kể so với trước đây, tạo cảm giác công bằng cho người nộp thuế như tôi.</t>
  </si>
  <si>
    <t>Tiền thuế đóng góp vào các dịch vụ công quan trọng như y tế và hạ tầng giao thông. Điều này mang lại niềm tin về việc sử dụng hiệu quả nguồn lực thuế.</t>
  </si>
  <si>
    <t>Nhà nước đã giải thích rõ ràng mục tiêu cải cách thuế lần này, giúp người dân hiểu được lý do và ý nghĩa của nó.</t>
  </si>
  <si>
    <t>Sau khi xem xét các quyền lợi mới và sự đơn giản hóa thủ tục, tôi ủng hộ và tuân thủ chính sách mới.</t>
  </si>
  <si>
    <t>Hiện nay, công nghệ và quy định quản lý thuế đã phát triển đáng kể, tăng khả năng phát hiện hành vi gian lận.</t>
  </si>
  <si>
    <t>Cơ quan thuế có nhiều nguồn lực và công nghệ tiên tiến hơn để giám sát các hoạt động tài chính của người dân.</t>
  </si>
  <si>
    <t>Quy trình khai báo thuế trở nên đơn giản với việc sử dụng phần mềm điện tử, tiết kiệm thời gian cho người nộp thuế.</t>
  </si>
  <si>
    <t>Bậc thuế được đơn giản hóa, giúp việc tính toán và tuân thủ pháp luật dễ dàng hơn so với trước đây.</t>
  </si>
  <si>
    <t>Tôi tin rằng Nhà nước sẽ thực thi chính sách một cách công bằng, khách quan đối với mọi người nộp thuế.</t>
  </si>
  <si>
    <t>Mức thuế mới giảm đáng kể so với trước đây, thể hiện tính công bằng cho thu nhập của tôi.</t>
  </si>
  <si>
    <t>Thuê được giảm và mức thuế mới đơn giản hơn, tôi tin rằng số tiền đóng sẽ được sử dụng hiệu quả vào các dịch vụ công.</t>
  </si>
  <si>
    <t>Nhà nước đã giải thích rõ ràng về mục tiêu cải cách thuế và lý do thực hiện chính sách mới.</t>
  </si>
  <si>
    <t>Tôi ủng hộ chính sách mới vì nó giúp giảm gánh nặng tài chính cho tôi, đồng thời tăng độ công bằng.</t>
  </si>
  <si>
    <t>Dù mức thuế giảm, tôi vẫn tin rằng cơ quan thuế có đủ năng lực phát hiện hành vi trốn thuế. Tuy nhiên, cần cải thiện hơn nữa về quản lý.</t>
  </si>
  <si>
    <t>Công nghệ hiện đại giúp nhà nước dễ dàng theo dõi các giao dịch tài chính, giảm khả năng trốn thuế hiệu quả hơn trước.</t>
  </si>
  <si>
    <t>Thủ tục khai báo và làm việc với cơ quan thuế đã đơn giản hóa đáng kể, tiết kiệm thời gian cho người dân.</t>
  </si>
  <si>
    <t>Biểu thuế mới rõ ràng hơn và dễ hiểu, giảm sự phức tạp so với trước đây, giúp người dân dễ dàng tính toán.</t>
  </si>
  <si>
    <t>Tôi tin rằng cơ quan thuế sẽ thực thi chính sách công bằng và khách quan, nhưng cần thêm minh bạch về cách thực hiện.</t>
  </si>
  <si>
    <t>Mức giảm trừ gia cảnh tăng lên giúp tôi đóng thuế ít hơn so với trước, cảm thấy mức này là hợp lý.</t>
  </si>
  <si>
    <t>Thuế được sử dụng để cải thiện dịch vụ công, nhưng cần thêm thông tin về cách sử dụng số tiền thu được.</t>
  </si>
  <si>
    <t>Tôi đồng ý với các lý do và mục tiêu của chính sách mới, nhưng cảm giác rằng giải thích còn chưa đầy đủ.</t>
  </si>
  <si>
    <t>Tác động tài chính tích cực giúp tôi ủng hộ chính sách mới. Tuy nhiên, cần cải thiện về minh bạch và thực thi.</t>
  </si>
  <si>
    <t>Doanh nghiệp và cá nhân đều có nhiều biện pháp để gian lận thuế, nhưng với sự giám sát kỹ càng từ cơ quan thuế hiện nay, khả năng phát hiện vẫn còn hạn chế. Tuy nhiên, việc công nghệ hóa quy trình quản lý thuế giúp giảm nguy cơ trốn tránh.</t>
  </si>
  <si>
    <t>Cơ quan thuế đã đầu tư vào hệ thống công nghệ thông tin và nhân lực để nâng cao hiệu quả quản lý, nhưng vẫn cần cải thiện thêm về mặt khả năng ứng phó với tình huống phức tạp.</t>
  </si>
  <si>
    <t>Quy trình khai thuế hiện nay đã đơn giản hơn nhiều so với trước đây, giảm bớt các bước rườm rà. Việc áp dụng công nghệ như phần mềm điện tử giúp việc làm thủ tục trở nên dễ dàng và nhanh chóng.</t>
  </si>
  <si>
    <t>Biểu thuế mới đơn giản hơn với số bậc giảm từ 7 xuống còn 5, kèm theo đó là các mức thu nhập chịu thuế rõ ràng. Cách tính thuế trở nên dễ hiểu và dễ áp dụng hơn.</t>
  </si>
  <si>
    <t>Việc tăng mức giảm trừ gia cảnh giúp tôi tiết kiệm được một khoản tiền đáng kể, do đó tôi tin rằng hệ thống thuế mới đã thực hiện một cách khách quan và công bằng.</t>
  </si>
  <si>
    <t>Thuế của tôi đã giảm đáng kể so với trước đây, điều này cho thấy mức thu nhập của tôi đang được đánh giá đúng mức. Mức thuế mới phù hợp với tình hình tài chính của tôi.</t>
  </si>
  <si>
    <t>Những khoản tiền thuế tôi đóng sẽ được sử dụng để cải thiện các dịch vụ công quan trọng như y tế và giao thông, nâng cao chất lượng cuộc sống cho người dân. Điều này mang lại niềm tin rằng Nhà nước đang sử dụng nguồn lực một cách hiệu quả.</t>
  </si>
  <si>
    <t>Nhà nước đã công bố các lý do và mục tiêu của việc sửa đổi thuế, nhưng cần làm rõ thêm về cách thực hiện để tăng sự minh bạch. Tuy nhiên, tôi thấy thông tin được cung cấp khá đầy đủ.</t>
  </si>
  <si>
    <t>Chính sách mới giúp tôi tiết kiệm được tiền và giảm rắc rối trong khai thuế. Tôi ủng hộ việc cải cách này vì nó tạo ra một hệ thống thuế công bằng hơn và dễ quản lý hơn.</t>
  </si>
  <si>
    <t>Dù có công nghệ hỗ trợ, nhưng mức giảm trừ gia cảnh tăng mạnh khiến tôi lo ngại về khả năng phát hiện trốn thuế.</t>
  </si>
  <si>
    <t>Cơ quan thuế đã cải tiến các hệ thống quản lý, tuy nhiên vẫn cần thời gian để hoàn thiện và hiệu quả.</t>
  </si>
  <si>
    <t>Quy trình khai báo đơn giản hơn, chỉ cần làm theo hướng dẫn, không còn nhiều bước phức tạp như trước.</t>
  </si>
  <si>
    <t>Biểu thuế mới dễ hiểu và áp dụng các mức thuế suất rõ ràng, giảm bớt sự khó khăn cho người dân.</t>
  </si>
  <si>
    <t>Tôi tin rằng Nhà nước sẽ công tâm trong việc thực thi chính sách, nhưng vẫn có nỗi lo ngại về khả năng kiểm soát.</t>
  </si>
  <si>
    <t>Mức thuế mới được giảm đáng kể, giúp tôi cảm thấy công bằng hơn so với trước đây.</t>
  </si>
  <si>
    <t>Tiền thuế đóng góp vào các dịch vụ công quan trọng như y tế và giao thông, tạo niềm tin về sử dụng hiệu quả nguồn lực.</t>
  </si>
  <si>
    <t>Nhà nước đã giải thích rõ mục tiêu cải cách, tuy nhiên việc thực thi vẫn cần thêm thời gian để minh bạch hơn.</t>
  </si>
  <si>
    <t>Tác động tài chính tích cực và quy trình đơn giản hóa khiến tôi ủng hộ chính sách mới. Tuy nhiên, vẫn có nghi ngờ về việc thực thi.</t>
  </si>
  <si>
    <t>Nếu cơ quan thuế có công nghệ tiên tiến, khả năng phát hiện trốn thuế sẽ cao hơn. Tuy nhiên, tôi vẫn nghi ngờ về thực thi pháp luật.</t>
  </si>
  <si>
    <t>Công nghệ ngày càng phát triển nên khả năng của cơ quan thuế trong việc phát hiện và xử lý gian lận sẽ tốt hơn so với trước đây.</t>
  </si>
  <si>
    <t>Việc giảm số bậc thuế từ 7 xuống 5 khiến quy trình tính toán và khai báo thuế trở nên đơn giản, thuận tiện hơn rất nhiều.</t>
  </si>
  <si>
    <t>Các bậc thuế mới rõ ràng và dễ hiểu hơn so với trước đây, giúp việc tuân thủ pháp luật dễ dàng hơn.</t>
  </si>
  <si>
    <t>Tôi tin rằng cơ quan thuế sẽ công bằng trong việc thực thi chính sách, nhưng cần thêm thời gian để chứng minh.</t>
  </si>
  <si>
    <t>Thuế mới giảm đáng kể so với trước đây, làm tăng niềm tin về sự công bằng.</t>
  </si>
  <si>
    <t>Tôi hy vọng số tiền thuế đóng sẽ được sử dụng hiệu quả cho các dịch vụ công</t>
  </si>
  <si>
    <t>Dù giải thích đã rõ ràng hơn, nhưng tôi vẫn muốn có thêm thông tin về mục tiêu cụ thể của việc cải cách này.</t>
  </si>
  <si>
    <t>Sau khi tính toán tác động tài chính và đơn giản hóa quy trình, tôi ủng hộ và tuân thủ chính sách mới.</t>
  </si>
  <si>
    <t>Dù các quy định quản lý thuế hiện nay đã có nhiều cải tiến, nhưng tôi vẫn lo ngại về khả năng phát hiện và xử lý nghiêm các hành vi gian lận hoặc trốn thuế. Tuy nhiên, với sự hỗ trợ của công nghệ, tôi nghĩ khả năng này sẽ được cải thiện.</t>
  </si>
  <si>
    <t>Nhà nước đã có những đầu tư vào công nghệ quản lý thuế và cơ sở hạ tầng, tuy vậy, vẫn cần thêm thời gian để hoàn thiện hệ thống. Tuy nhiên, tôi tin rằng với sự cải tiến này sẽ giúp phát hiện gian lận thuế một cách hiệu quả hơn.</t>
  </si>
  <si>
    <t>Việc đơn giản hóa quy trình khai báo và làm việc với cơ quan thuế đã giảm đáng kể thời gian và công sức cần thiết. Điều này giúp tôi cảm thấy thuận tiện khi thực hiện các thủ tục.</t>
  </si>
  <si>
    <t>Biểu thuế mới có ít bậc hơn, rõ ràng và dễ dàng hơn để tính toán so với trước đây. Điều này làm tăng độ minh bạch và hiểu biết của tôi về cách thức đóng thuế.</t>
  </si>
  <si>
    <t>Tôi tin rằng cơ quan thuế sẽ thực thi chính sách một cách công bằng, nhưng vẫn cần thêm thời gian để thấy được sự thay đổi rõ rệt trong thực tế.</t>
  </si>
  <si>
    <t>Mức thuế mới giảm đáng kể so với trước đây, giúp tôi cảm thấy rằng số tiền đóng thuế là công bằng. Điều này tăng niềm tin về tính công bằng của hệ thống thuế.</t>
  </si>
  <si>
    <t>Thuế mà tôi đóng sẽ được sử dụng để cải thiện các dịch vụ công như y tế và giao thông, điều này làm cho việc đóng thuế trở nên có ý nghĩa hơn đối với tôi.</t>
  </si>
  <si>
    <t>Nhà nước đã giải thích khá rõ ràng về lý do và mục tiêu của việc sửa đổi thuế lần này. Tuy nhiên, vẫn cần thêm thông tin chi tiết để tôi hiểu đầy đủ.</t>
  </si>
  <si>
    <t>Sau khi xem xét các quyền lợi và nghĩa vụ theo chính sách mới, tôi ủng hộ và sẽ tuân thủ nó. Mức thuế giảm và quy trình đơn giản hóa đã làm tăng niềm tin của tôi về hệ thống thuế.</t>
  </si>
  <si>
    <t>Dựa trên thông tin hiện có, tôi cho rằng cơ quan thuế vẫn có khả năng phát hiện hành vi trốn thuế do mức giảm trừ gia cảnh tăng mạnh, nhưng không hoàn toàn chắc chắn.</t>
  </si>
  <si>
    <t>Nhà nước đã đầu tư công nghệ để quản lý và giám sát các hoạt động kinh tế, vì vậy khả năng phát hiện trốn thuế vẫn cao.</t>
  </si>
  <si>
    <t>So với trước đây, quy trình khai báo thuế đơn giản hơn do giảm số bậc thuế suất, nhưng chưa phải là quá tiện lợi đối với người không am hiểu về luật thuế.</t>
  </si>
  <si>
    <t>Cách tính thuế mới dễ hiểu và thực hiện thuận tiện hơn, đặc biệt là việc đơn giản hóa biểu thuế từ 7 bậc xuống còn 5 bậc.</t>
  </si>
  <si>
    <t>Tôi tin rằng Nhà nước sẽ thực thi chính sách một cách công bằng đối với mọi người nộp thuế, nhưng cần thời gian để chứng minh.</t>
  </si>
  <si>
    <t>Mức thuế mới theo phương án cải cách là hợp lý và công bằng cho thu nhập của tôi, giảm đáng kể so với trước đây.</t>
  </si>
  <si>
    <t>Tôi tin tưởng số tiền thuế đóng sẽ được sử dụng hiệu quả để cải thiện dịch vụ công như y tế và đường xá.</t>
  </si>
  <si>
    <t>Nhà nước đã giải thích rõ về mục tiêu của việc sửa đổi chính sách thuế, nhưng cần làm rõ hơn về quy trình thực hiện.</t>
  </si>
  <si>
    <t>Tổng hợp các yếu tố trên, tôi ủng hộ và tuân thủ chính sách mới vì nó mang lại nhiều lợi ích cho tôi, đặc biệt là về mặt tài chính.</t>
  </si>
  <si>
    <t>Hiện nay, cơ quan thuế có nhiều công cụ và công nghệ tiên tiến để phát hiện hành vi gian lận hoặc trốn thuế. Tuy nhiên, vẫn cần sự giám sát chặt chẽ hơn từ phía người nộp thuế.</t>
  </si>
  <si>
    <t>Nhà nước đã đầu tư vào các công nghệ và nguồn lực để cải thiện khả năng phát hiện và xử lý trốn thuế, nhưng có thể vẫn còn không đủ.</t>
  </si>
  <si>
    <t>Việc đơn giản hóa quy trình khai báo thuế và cách tính thuế làm cho nó dễ dàng hơn cho người dân. Tuy nhiên, việc áp dụng các quy định mới có thể gặp một số rủi ro ban đầu.</t>
  </si>
  <si>
    <t>So với trước đây, hệ thống thuế mới đơn giản và dễ hiểu hơn nhiều, giảm bớt sự phức tạp cho người dân. Việc này tăng độ tiện lợi và nhanh chóng khi làm việc với cơ quan thuế.</t>
  </si>
  <si>
    <t>Tôi tin rằng Nhà nước sẽ thực thi chính sách một cách công bằng, nhưng vẫn cần thêm thời gian để chứng minh.</t>
  </si>
  <si>
    <t>Thuế mới của tôi giảm đáng kể và phù hợp với thu nhập hiện tại. Điều này tạo cảm giác công bằng hơn so với trước đây.</t>
  </si>
  <si>
    <t>Việc thuế được sử dụng hiệu quả để cải thiện các dịch vụ công sẽ tăng niềm tin của tôi, mặc dù chưa rõ ràng về cách thực hiện.</t>
  </si>
  <si>
    <t>Nhà nước đã giải thích khá rõ về mục tiêu và lý do của việc sửa đổi thuế này. Tuy nhiên, vẫn cần thêm thông tin chi tiết hơn để tôi có thể hiểu đầy đủ.</t>
  </si>
  <si>
    <t>Tổng quan về các điểm số trên cho thấy tôi sẽ ủng hộ và tuân thủ chính sách mới, nhưng cần thêm thời gian để cảm nhận rõ ràng hơn về hiệu quả thực tế của nó.</t>
  </si>
  <si>
    <t>Nếu cơ quan thuế có công nghệ hiện đại, khả năng phát hiện trốn thuế sẽ cao. Tuy nhiên, với mức thu nhập của tôi không quá lớn, hành vi gian lận khó xảy ra.</t>
  </si>
  <si>
    <t>Cơ quan thuế có đủ nguồn lực để quản lý và phát hiện trốn thuế với những công nghệ hiện đại. Điều này tạo niềm tin cho người dân về việc thực thi pháp luật.</t>
  </si>
  <si>
    <t>Quy trình khai báo thuế đơn giản hơn, dễ dàng hơn so với trước đây nhờ quy định giảm trừ gia cảnh cao và số bậc thuế ít hơn.</t>
  </si>
  <si>
    <t>Bậc thuế mới rõ ràng, dễ hiểu và thực hiện nhanh chóng hơn. Điều này giúp tôi không còn phải lo lắng về việc tính toán sai.</t>
  </si>
  <si>
    <t>Tôi tin rằng cơ quan thuế sẽ công bằng trong việc áp dụng chính sách mới cho mọi người, nhưng cần thêm thời gian để kiểm chứng</t>
  </si>
  <si>
    <t>Thuế được giảm đi đáng kể và mức giảm trừ gia cảnh cao hơn. Điều này thể hiện sự công bằng trong việc phân chia gánh nặng thuế giữa người dân.</t>
  </si>
  <si>
    <t>Thuê được sử dụng hiệu quả để cải thiện dịch vụ công, đặc biệt là y tế và hạ tầng cơ sở. Điều này tạo niềm tin về mục tiêu của chính sách mới</t>
  </si>
  <si>
    <t>Nhà nước đã giải thích rõ ràng về mục đích của việc sửa đổi thuế nhưng cần thêm thông tin về cách sử dụng số tiền thuế thu được.</t>
  </si>
  <si>
    <t>Sau khi xem xét, tôi ủng hộ và tuân thủ chính sách mới vì nó tạo ra lợi ích đáng kể cho người dân như tôi. Thuế giảm đi giúp cải thiện chất lượng cuộc sống</t>
  </si>
  <si>
    <t>Dựa trên các quy định quản lý thuế hiện tại, tôi nghĩ rằng hành vi gian lận hoặc trốn thuế sẽ khó bị phát hiện do chưa có nhiều thông tin cụ thể về công nghệ và nguồn lực của cơ quan thuế.</t>
  </si>
  <si>
    <t>Tôi cho rằng với nguồn lực hạn chế, Nhà nước chưa thể đảm bảo khả năng kiểm soát toàn diện các hành vi trốn thuế.</t>
  </si>
  <si>
    <t>Phương án mới đơn giản hóa quy trình khai báo và làm việc với cơ quan thuế, giảm bớt rườm rà so với trước đây. Điều này giúp tôi tiết kiệm thời gian và công sức.</t>
  </si>
  <si>
    <t>Cách tính thuế mới đơn giản hơn, dễ hiểu và thực hiện nhanh chóng hơn so với luật cũ, giảm bớt sự phức tạp cho người dân.</t>
  </si>
  <si>
    <t>Tôi tin rằng các cơ quan chức năng sẽ công tâm trong việc áp dụng chính sách mới. Tuy nhiên, do còn nhiều lo ngại về khả năng kiểm soát của nhà nước, nên mức độ niềm tin chưa cao.</t>
  </si>
  <si>
    <t>Mức thuế mới có vẻ công bằng hơn đối với thu nhập hiện tại của tôi. Số tiền giảm trừ gia cảnh tăng giúp giảm bớt gánh nặng thuế</t>
  </si>
  <si>
    <t>Tôi tin rằng số thuế đóng góp sẽ được sử dụng hiệu quả để cải thiện dịch vụ công, nhưng cần thêm minh bạch từ phía nhà nước về việc này.</t>
  </si>
  <si>
    <t>Nhà nước đã giải thích rõ ràng về mục tiêu và lý do của chính sách mới. Tuy nhiên, tôi vẫn muốn có thêm thông tin chi tiết hơn.</t>
  </si>
  <si>
    <t>Dựa trên các lợi ích tài chính và sự đơn giản hóa quy trình làm việc với cơ quan thuế, tôi sẽ ủng hộ và tuân thủ chính sách mới. Tuy nhiên, tôi vẫn có những lo ngại về khả năng kiểm soát của nhà nước.</t>
  </si>
  <si>
    <t>Dù không hoàn toàn tin tưởng tuyệt đối, nhưng với việc tăng mức giảm trừ gia cảnh và đơn giản hóa quy trình thuế, khả năng phát hiện hành vi gian lận có thể sẽ cao hơn. Hơn nữa, sự công khai về mục tiêu và nguyên nhân của chính sách mới cũng tạo thêm niềm tin.</t>
  </si>
  <si>
    <t>Nhà nước đã đầu tư vào hệ thống thông tin thuế, giúp phát hiện gian lận dễ dàng hơn. Tuy nhiên, vẫn còn một số lo ngại về khả năng thực thi.</t>
  </si>
  <si>
    <t>Quy trình khai báo và làm việc với cơ quan thuế trở nên đơn giản hơn, thuận tiện hơn cho người dân. Tuy nhiên, cần thêm thời gian để mọi người quen thuộc với quy trình mới.</t>
  </si>
  <si>
    <t>Các bậc thuế và cách tính thuế đã được đơn giản hóa, dễ hiểu hơn rất nhiều so với trước đây. Điều này giúp người dân dễ dàng thực hiện hơn</t>
  </si>
  <si>
    <t>Tôi tin rằng Nhà nước sẽ thực thi chính sách một cách công bằng và minh bạch cho tất cả mọi người nộp thuế, không phân biệt thu nhập.</t>
  </si>
  <si>
    <t>Nhờ mức giảm trừ gia cảnh cao hơn và số bậc thuế ít hơn nên tôi thấy mình đóng thuế một cách công bằng. Điều này cũng giúp tôi tiết kiệm được nhiều tiền</t>
  </si>
  <si>
    <t>Thuế tôi đóng sẽ được sử dụng để cải thiện các dịch vụ công, như y tế và giao thông, mà tôi cần hàng ngày.</t>
  </si>
  <si>
    <t>Nhà nước đã giải thích rõ ràng về mục tiêu của chính sách mới. Điều này tạo niềm tin cho người dân rằng họ đang đóng góp vào sự phát triển chung.</t>
  </si>
  <si>
    <t>Tôi ủng hộ và tuân thủ chính sách mới vì nó giúp tôi tiết kiệm tiền và đơn giản hóa quy trình thuế. Tôi tin rằng việc này sẽ mang lại lợi ích cho cả cộng đồng.</t>
  </si>
  <si>
    <t>Mặc dù công nghệ và nguồn lực của cơ quan thuế được cải thiện, nhưng vẫn còn những khó khăn trong việc phát hiện các hành vi gian lận phức tạp.</t>
  </si>
  <si>
    <t>Việc đơn giản hóa quy trình làm việc với cơ quan thuế và cách tính thuế tạo cảm giác thuận tiện hơn cho người dân.</t>
  </si>
  <si>
    <t>Các bậc thuế mới đơn giản, dễ hiểu hơn so với trước đây, giúp tôi dễ dàng áp dụng trong thực tế.</t>
  </si>
  <si>
    <t>Tôi tin rằng cơ quan thuế sẽ công tâm khi thực thi các quy định mới, dù mức thuế có thay đổi.</t>
  </si>
  <si>
    <t>Dựa trên tác động tài chính, tôi thấy mức thuế mới hợp lý cho thu nhập của mình.</t>
  </si>
  <si>
    <t>Mức thuế giảm có thể giúp cải thiện dịch vụ công và tôi tin rằng số tiền thuế đóng sẽ được sử dụng hiệu quả.</t>
  </si>
  <si>
    <t>Chính phủ đã giải thích rõ ràng về mục tiêu của việc sửa đổi thuế, nhưng vẫn cần thêm thông tin chi tiết hơn.</t>
  </si>
  <si>
    <t>Sau khi xem xét tác động tài chính và độ đơn giản hóa, tôi ủng hộ và sẽ tuân thủ chính sách mới.</t>
  </si>
  <si>
    <t>Nhà nước có nhiều biện pháp quản lý thuế và công nghệ hiện đại nên khả năng phát hiện hành vi trốn thuế là rất cao.</t>
  </si>
  <si>
    <t>Cơ quan thuế đã cải thiện đáng kể về mặt công nghệ, nâng cao hiệu quả trong việc phát hiện và xử lý các vụ trốn thuế.</t>
  </si>
  <si>
    <t>Quy trình khai báo thuế đơn giản hơn, giảm bớt thủ tục rườm rà, người dân dễ dàng thực hiện hơn.</t>
  </si>
  <si>
    <t>Biểu thuế mới rõ ràng và dễ hiểu, giúp người dân tính toán nhanh chóng và chính xác hơn so với trước đây.</t>
  </si>
  <si>
    <t>Tôi tin rằng các cơ quan chức năng sẽ thực hiện chính sách một cách công bằng và minh bạch.</t>
  </si>
  <si>
    <t>Nhờ mức giảm trừ gia cảnh tăng lên, tôi cảm thấy thuế mà mình phải đóng là hợp lý so với thu nhập của bản thân.</t>
  </si>
  <si>
    <t>Thuế đóng góp vào việc cải thiện cơ sở hạ tầng và dịch vụ công, giúp xã hội phát triển hơn.</t>
  </si>
  <si>
    <t>Nhà nước đã giải thích rõ ràng mục tiêu của chính sách mới, tạo sự tin tưởng cho người dân.</t>
  </si>
  <si>
    <t>Tôi ủng hộ và tuân thủ chính sách mới vì nó mang lại lợi ích nhiều hơn về mặt tài chính và tiện lợi cho người nộp thuế.</t>
  </si>
  <si>
    <t>Mặc dù tôi đồng ý với việc phát hiện trốn thuế sẽ khó hơn do giảm bậc thuế, nhưng cơ quan thuế có nhiều công cụ để giám sát.</t>
  </si>
  <si>
    <t>Tôi tin rằng với sự cải tiến trong quản lý và công nghệ, cơ quan thuế vẫn đủ khả năng phát hiện và xử lý gian lận thuế.</t>
  </si>
  <si>
    <t>Quy trình khai báo thuế và làm việc với cơ quan thuế trở nên đơn giản hơn sau khi giảm bậc thuế, nhưng vẫn có một số bước phức tạp cần thực hiện.</t>
  </si>
  <si>
    <t>Cách tính thuế mới dễ hiểu hơn so với trước đây và các bậc thuế đã được đơn giản hóa, làm cho việc tính toán trở nên thuận tiện hơn.</t>
  </si>
  <si>
    <t>Tôi tin rằng cơ quan thuế sẽ thực thi chính sách một cách công bằng nhưng vẫn có sự lo ngại về khả năng kiểm soát và quản lý.</t>
  </si>
  <si>
    <t>Mức thuế mới phù hợp với thu nhập của tôi, tôi cảm thấy công bằng khi đóng mức thuế này</t>
  </si>
  <si>
    <t>Tôi tin rằng số tiền thuế mà tôi đóng sẽ được sử dụng hiệu quả cho các dịch vụ công.</t>
  </si>
  <si>
    <t>Nhà nước đã giải thích rõ ràng về lý do và mục tiêu của việc sửa đổi thuế, giúp tôi hiểu rõ hơn về chính sách mới</t>
  </si>
  <si>
    <t>Dù có một số lo ngại, nhưng tác động tài chính tích cực từ chính sách mới đã khiến tôi ủng hộ và tuân thủ.</t>
  </si>
  <si>
    <t>Cơ quan thuế có nhiều công cụ để phát hiện trốn thuế, nhưng không phải lúc nào cũng hiệu quả.</t>
  </si>
  <si>
    <t>Nhà nước đã đầu tư vào công nghệ và nhân lực để cải thiện khả năng giám sát, tuy nhiên vẫn cần thời gian để hoàn thiện.</t>
  </si>
  <si>
    <t>Quy trình khai thuế trở nên đơn giản hơn với mức giảm trừ gia cảnh cao hơn, nhưng vẫn còn nhiều giấy tờ phức tạp.</t>
  </si>
  <si>
    <t>Biểu thuế mới có ít bậc và rõ ràng hơn, giúp việc tính toán dễ dàng hơn cho người nộp thuế.</t>
  </si>
  <si>
    <t>Tôi tin rằng cơ quan thuế sẽ thực hiện chính sách một cách công bằng, nhưng cần thời gian để chứng minh.</t>
  </si>
  <si>
    <t>Mức thuế mới phù hợp với thu nhập của tôi và giảm bớt gánh nặng tài chính, nên tôi thấy nó là công bằng.</t>
  </si>
  <si>
    <t>Thuế được sử dụng để cải thiện dịch vụ công, nhưng hiệu quả cụ thể còn cần thời gian để kiểm chứng.</t>
  </si>
  <si>
    <t>Nhà nước đã giải thích rõ ràng về mục đích của việc sửa đổi thuế, tôi cảm thấy thông tin được cung cấp minh bạch.</t>
  </si>
  <si>
    <t>Tôi ủng hộ chính sách mới vì nó giảm gánh nặng tài chính và cải thiện sự công bằng trong việc đánh thuế.</t>
  </si>
  <si>
    <t>Dù không hoàn toàn chắc chắn, nhưng tôi tin rằng với các công nghệ hiện đại và sự giám sát chặt chẽ của Nhà nước, hành vi gian lận hay trốn thuế sẽ khó có thể thoát khỏi tầm mắt cơ quan thuế.</t>
  </si>
  <si>
    <t>Nhà nước đã đầu tư vào công nghệ và nhân lực để quản lý thuế hiệu quả hơn, điều này tăng khả năng phát hiện và xử lý các hành vi không tuân thủ.</t>
  </si>
  <si>
    <t>Thủ tục khai thuế trở nên đơn giản hơn với mức giảm trừ gia cảnh cao hơn và số bậc thuế ít đi, giúp quá trình làm việc với cơ quan thuế thuận lợi hơn.</t>
  </si>
  <si>
    <t>Biểu thuế mới rõ ràng hơn, dễ hiểu và thực hiện nhanh chóng hơn so với trước đây, giảm bớt gánh nặng cho người dân trong quá trình tính toán và nộp thuế.</t>
  </si>
  <si>
    <t>Tôi tin rằng Nhà nước sẽ tiếp tục công bằng và đối xử công tâm khi thực thi chính sách mới, dù có thay đổi so với trước đây.</t>
  </si>
  <si>
    <t>Mức thuế tôi phải đóng theo phương án mới giảm đáng kể, thể hiện sự công bằng cho người dân ở mức thu nhập như tôi.</t>
  </si>
  <si>
    <t>Tiền thuế của tôi sẽ được sử dụng hiệu quả để cải thiện các dịch vụ công, giúp ích cho đời sống cộng đồng và cá nhân.</t>
  </si>
  <si>
    <t>Chính phủ đã giải thích rõ ràng về mục tiêu và lý do thay đổi thuế lần này, nâng cao niềm tin của tôi vào quyết định của họ.</t>
  </si>
  <si>
    <t>Sau khi xem xét các quyền lợi và nghĩa vụ mới, tôi ủng hộ và tuân thủ chính sách mới vì nó mang lại lợi ích cho người dân như tôi.</t>
  </si>
  <si>
    <t>Điều kiện thực thi hiện tại vẫn còn nhiều rủi ro, nhưng với quy định mới về mức giảm trừ gia cảnh và đơn giản hóa biểu thuế, khả năng phát hiện trốn thuế sẽ tăng.</t>
  </si>
  <si>
    <t>Cơ quan thuế có công nghệ và nguồn lực để theo dõi giao dịch tài chính, việc thực thi vẫn phụ thuộc vào hiệu quả quản lý</t>
  </si>
  <si>
    <t>Quy trình khai báo và làm việc với cơ quan thuế đã đơn giản hơn, nhưng vẫn cần cải thiện thêm.</t>
  </si>
  <si>
    <t>Cách tính thuế mới dễ hiểu và thực hiện dễ dàng hơn, giảm bớt gánh nặng cho người nộp thuế</t>
  </si>
  <si>
    <t>Nhà nước đã cố gắng cải thiện công bằng trong việc thu thuế thông qua mức giảm trừ gia cảnh mới.</t>
  </si>
  <si>
    <t>Mức thuế mới phù hợp với thu nhập của tôi, tăng sự công bằng</t>
  </si>
  <si>
    <t>Thuế đóng góp vào cải thiện dịch vụ công và hạ tầng quốc gia, tạo niềm tin cho người dân</t>
  </si>
  <si>
    <t>Nhà nước đã giải thích rõ về mục đích của việc sửa đổi thuế, nhưng có thể cần thêm thông tin chi tiết hơn để tăng mức độ tin tưởng</t>
  </si>
  <si>
    <t>Phương án mới cải thiện đáng kể cho người nộp thuế như tôi, tôi sẽ ủng hộ và tuân thủ</t>
  </si>
  <si>
    <t>Nguyên tắc quản lý thuế hiện tại đã được cải tiến, nhưng vẫn có thể gặp khó khăn trong việc phát hiện trốn thuế.</t>
  </si>
  <si>
    <t>Cơ quan thuế có khả năng và công nghệ tốt để theo dõi thuế, nhưng thực tế cần thời gian để áp dụng hiệu quả.</t>
  </si>
  <si>
    <t>Thủ tục khai thuế trở nên đơn giản hơn với mức giảm trừ gia cảnh cao hơn, nhưng vẫn có thể gặp rắc rối khi thực hiện.</t>
  </si>
  <si>
    <t>Các bậc thuế và cách tính thuế mới dễ hiểu hơn, giúp người dân dễ dàng tuân thủ</t>
  </si>
  <si>
    <t>Tôi tin rằng Nhà nước sẽ thực thi chính sách công bằng cho mọi người nộp thuế.</t>
  </si>
  <si>
    <t>Mức thuế mới được xem xét kỹ lưỡng, phù hợp với thu nhập của tôi</t>
  </si>
  <si>
    <t>Thuế đóng góp vào việc cải thiện các dịch vụ công là điều cần thiết và hợp lý.</t>
  </si>
  <si>
    <t>Nhà nước đã giải thích rõ mục tiêu sửa đổi thuế, nhưng vẫn có thể cải thiện thêm về minh bạch</t>
  </si>
  <si>
    <t>Tôi ủng hộ và tuân thủ chính sách mới vì nó giúp giảm gánh nặng tài chính và đơn giản hóa quy trình.</t>
  </si>
  <si>
    <t>Tôi tin rằng Nhà nước đã đầu tư công nghệ để phát hiện trốn thuế, nhưng thực tế việc này cần thời gian để triển khai hiệu quả. Hiện tại, tôi thấy khả năng quản lý của họ đang được cải thiện.</t>
  </si>
  <si>
    <t>So với trước đây, quy trình làm việc với cơ quan thuế đã đơn giản hơn. Việc giảm trừ gia cảnh và đơn giản hóa biểu thuế giúp thủ tục khai báo dễ dàng hơn nhiều.</t>
  </si>
  <si>
    <t>Biểu thuế mới rõ ràng hơn và dễ hiểu, đặc biệt là khi số bậc thuế được giảm từ 7 xuống còn 5. Đây là cải tiến đáng kể về mặt thuận tiện cho người dân.</t>
  </si>
  <si>
    <t>Tôi tin rằng Nhà nước sẽ thực thi chính sách một cách công bằng và khách quan, nhưng cần thời gian để chứng minh điều đó. Sự thay đổi về thuế đã giúp tôi tiết kiệm tiền, tăng niềm tin vào sự công bằng của hệ thống.</t>
  </si>
  <si>
    <t>Mức thuế mới phù hợp với thu nhập của tôi và nhiều người trong cùng nhóm nghề nghiệp, điều này làm cho việc đóng thuế trở nên công bằng hơn trước đây.</t>
  </si>
  <si>
    <t>Sau khi xem xét tác động tài chính tích cực, tôi tin rằng số tiền thuế mà tôi đóng sẽ được sử dụng hiệu quả để cải thiện dịch vụ công. Tuy nhiên, việc này cần thời gian và minh bạch hơn nữa từ phía cơ quan quản lý.</t>
  </si>
  <si>
    <t>Chính phủ đã giải thích các thay đổi một cách rõ ràng, nhưng tôi nghĩ rằng để tăng sự tin tưởng, họ cần cung cấp thêm thông tin về mục tiêu và hiệu quả cụ thể của việc cải cách thuế.</t>
  </si>
  <si>
    <t>Tôi ủng hộ chính sách mới vì các quyền lợi tài chính của tôi đã được cải thiện. Tuy nhiên, để tăng sự tuân thủ, cần có thêm thông tin minh bạch về mục tiêu và hiệu quả cụ thể của việc cải cách thuế.</t>
  </si>
  <si>
    <t>Hiện nay, cơ quan thuế có nhiều công cụ phát hiện gian lận và trốn thuế, do đó tôi tin rằng hành vi này sẽ dễ bị phát hiện. Đồng thời, việc tăng mức giảm trừ gia cảnh cũng làm cho quá trình nộp thuế trở nên minh bạch hơn.</t>
  </si>
  <si>
    <t>Cơ quan thuế đã đầu tư nhiều công nghệ để cải thiện khả năng quản lý và phát hiện gian lận, tăng cường tính hiệu quả trong việc quản lý thuế. Điều này cho thấy họ có đủ khả năng xử lý nghiêm các hành vi trốn thuế.</t>
  </si>
  <si>
    <t>Quy trình khai báo thuế đã đơn giản hóa đáng kể so với trước đây, giảm bớt số lượng giấy tờ cần chuẩn bị và thủ tục phức tạp. Điều này làm cho việc nộp thuế trở nên thuận tiện hơn.</t>
  </si>
  <si>
    <t>Biểu thuế mới có ít bậc hơn, đồng nghĩa với việc tính thuế dễ dàng hơn. Việc giảm trừ gia cảnh tăng lên cũng giúp quá trình tính toán thu nhập thực tế để đóng thuế trở nên đơn giản hơn.</t>
  </si>
  <si>
    <t>Nhà nước đã công khai giải thích về các thay đổi trong luật thuế, do đó tôi tin rằng họ sẽ thực thi chính sách một cách khách quan và công bằng. Việc tăng giảm trừ gia cảnh cũng làm cho quy trình này trở nên công bằng hơn.</t>
  </si>
  <si>
    <t>Mức thuế mới phù hợp với thu nhập của tôi, do đó tôi thấy rằng mức thuế là công bằng. Việc tăng giảm trừ gia cảnh giúp giảm bớt gánh nặng về mặt tài chính cho người dân.</t>
  </si>
  <si>
    <t>Tôi tin rằng số tiền thuế đóng sẽ được sử dụng hiệu quả để cải thiện các dịch vụ công như y tế và đường xá. Việc này thể hiện sự cam kết của Nhà nước đối với việc đầu tư vào phát triển quốc gia.</t>
  </si>
  <si>
    <t>Nhà nước đã giải thích rõ ràng về lý do và mục tiêu của việc cải cách thuế, đồng thời có nhiều chính sách hỗ trợ người dân trong quá trình thực hiện. Điều này thể hiện sự minh bạch và trách nhiệm.</t>
  </si>
  <si>
    <t>Sau khi xem xét các quyền lợi và nghĩa vụ, tôi ủng hộ và tuân thủ chính sách mới vì nó mang lại nhiều lợi ích cho người dân như giảm gánh nặng về mặt tài chính. Tôi sẽ tiếp tục đóng thuế một cách tích cực.</t>
  </si>
  <si>
    <t>Cơ quan thuế có nhiều công cụ để phát hiện gian lận, nhưng vẫn cần sự phối hợp từ người dân. Với mức thu nhập và lợi ích tài chính từ phương án mới, tôi tin rằng việc trốn thuế sẽ giảm.</t>
  </si>
  <si>
    <t>Cơ quan thuế đã đầu tư công nghệ hiện đại để quản lý và giám sát hành vi nộp thuế. Tuy nhiên, sự phối hợp từ người dân cũng rất cần thiết để nâng cao hiệu quả quản lý.</t>
  </si>
  <si>
    <t>Quy trình khai thuế trở nên đơn giản hơn, nhưng vẫn đòi hỏi phải tuân thủ các quy định. Việc giảm số bậc thuế giúp quá trình tính toán dễ dàng hơn.</t>
  </si>
  <si>
    <t>So với trước đây, việc tính thuế và hiểu rõ các bậc thuế mới đơn giản hơn nhiều. Điều này giúp người dân dễ dàng tuân thủ chính sách</t>
  </si>
  <si>
    <t>Nhà nước đã thực hiện công bằng trong việc điều chỉnh mức giảm trừ gia cảnh và số bậc thuế, tạo ra sự công bằng giữa các đối tượng nộp thuế.</t>
  </si>
  <si>
    <t>Mức thuế mới phù hợp với thu nhập của tôi. Tôi tin rằng nó đã được cân nhắc kỹ lưỡng để đảm bảo công bằng cho người dân có mức thu nhập tương tự như tôi.</t>
  </si>
  <si>
    <t>Thuế đóng góp vào ngân sách nhà nước, giúp cải thiện các dịch vụ công. Tôi tin rằng cơ quan thuế đã sử dụng số tiền thuế này một cách hiệu quả để phục vụ người dân.</t>
  </si>
  <si>
    <t>Phương án mới về thuế đã được giải thích rõ ràng và minh bạch. Tuy nhiên, tôi vẫn mong rằng có thêm thông tin chi tiết hơn về cách sử dụng số tiền thuế này để cải thiện các dịch vụ công.</t>
  </si>
  <si>
    <t>Tác động tài chính tích cực từ phương án mới đã làm tăng niềm tin của tôi. Tôi ủng hộ và sẽ tuân thủ chính sách mới hiện tại.</t>
  </si>
  <si>
    <t>Hiện nay, cơ quan thuế đã có nhiều công cụ và hệ thống phát hiện trốn thuế nên tôi tin rằng việc gian lận sẽ bị phát hiện.</t>
  </si>
  <si>
    <t>Nhà nước đã đầu tư vào công nghệ và nhân lực để nâng cao hiệu quả quản lý, do đó khả năng xử lý nghiêm các hành vi trốn thuế được cải thiện.</t>
  </si>
  <si>
    <t>Quy trình khai báo thuế nay đơn giản hơn so với trước đây và dễ thực hiện hơn trên ứng dụng điện tử</t>
  </si>
  <si>
    <t>Biểu thuế được đơn giản hóa từ 7 bậc xuống còn 5, do đó việc tính toán thuế trở nên dễ dàng hơn cho người dân.</t>
  </si>
  <si>
    <t>Nhà nước đã tăng mức giảm trừ gia cảnh và đơn giản hóa biểu thuế, điều này thể hiện sự công bằng trong việc đánh giá thu nhập của cá nhân</t>
  </si>
  <si>
    <t>Với thu nhập 12.088 triệu/tháng, tôi thấy mức thuế mới là hợp lý và công bằng, không quá cao so với nguồn thu của mình.</t>
  </si>
  <si>
    <t>Tiết kiệm được 54,445 VNĐ/tháng từ việc giảm thuế, tôi tin rằng số tiền này sẽ được sử dụng hiệu quả để cải thiện chất lượng dịch vụ công</t>
  </si>
  <si>
    <t>Quy định mới đã có sự giải thích rõ ràng về mục tiêu của việc sửa đổi thuế lần này và lý do cho các thay đổi đó.</t>
  </si>
  <si>
    <t>Sau khi xem xét, tôi ủng hộ chính sách mới vì nó mang lại lợi ích tài chính trực tiếp cho bản thân</t>
  </si>
  <si>
    <t>Tôi không hoàn toàn đồng ý. Mặc dù công nghệ hiện đại hỗ trợ việc phát hiện hành vi gian lận, nhưng vẫn còn sự thiếu hụt về quản lý và kiểm soát.</t>
  </si>
  <si>
    <t>Đồng ý. Cơ quan thuế đã tăng cường hệ thống IT để theo dõi và xử lý các vụ việc trốn thuế một cách nhanh chóng hơn.</t>
  </si>
  <si>
    <t>Đồng ý. Quy trình khai báo thuế trở nên đơn giản hơn, thủ tục làm việc cũng thuận tiện hơn so với trước đây.</t>
  </si>
  <si>
    <t>Đồng ý. Biểu thuế mới có ít bậc hơn và mức thuế suất rõ ràng hơn, dễ hiểu và thực hiện nhanh chóng hơn.</t>
  </si>
  <si>
    <t>Đồng ý. Tôi tin rằng cơ quan thuế sẽ thực thi chính sách một cách công tâm và khách quan với mọi người nộp thuế.</t>
  </si>
  <si>
    <t>Đồng ý. Với mức thu nhập của tôi, việc giảm trừ gia cảnh và bậc thuế mới là hợp lý.</t>
  </si>
  <si>
    <t>Đồng ý. Tôi tin rằng số tiền thuế đóng sẽ được sử dụng hiệu quả để cải thiện chất lượng cuộc sống cho người dân.</t>
  </si>
  <si>
    <t>Hoàn toàn đồng ý. Nhà nước đã giải thích rõ ràng về mục tiêu và lý do của việc sửa đổi chính sách thuế lần này.</t>
  </si>
  <si>
    <t>Đồng ý. Sau khi xem xét các quyền lợi và nghĩa vụ, tôi ủng hộ và tuân thủ chính sách mới vì nó mang lại nhiều lợi ích cho người dân.</t>
  </si>
  <si>
    <t>Dù có công nghệ hỗ trợ, nhưng tôi vẫn nghi ngờ việc phát hiện trốn thuế sẽ hiệu quả vì cơ chế quản lý của Nhà nước còn nhiều hạn chế.</t>
  </si>
  <si>
    <t>Việc Nhà nước và cơ quan thuế đã cải thiện đáng kể trong việc công nghệ hóa các quy trình, nhưng vẫn chưa thể đảm bảo phát hiện trốn thuế một cách hiệu quả.</t>
  </si>
  <si>
    <t>So với trước đây, thủ tục khai báo thuế và làm việc với cơ quan thuế đã đơn giản hơn nhiều, không còn rườm rà như trước.</t>
  </si>
  <si>
    <t>Cách tính thuế mới rõ ràng và dễ hiểu hơn, nhưng vẫn có thể gây phức tạp đối với người dân chưa am hiểu về thuế.</t>
  </si>
  <si>
    <t>Tôi tin Nhà nước sẽ cố gắng thực thi công bằng trong việc thu thuế, nhưng tình hình thực tế còn phụ thuộc vào cách quản lý của các cơ quan chức năng.</t>
  </si>
  <si>
    <t>Mức thuế mới giảm đáng kể so với trước đây, tôi cảm thấy nó công bằng hơn cho người dân như chúng tôi.</t>
  </si>
  <si>
    <t>Thuế giảm đi và không còn các mức thuế cao, tôi tin số tiền đóng sẽ được sử dụng hiệu quả để cải thiện dịch vụ công.</t>
  </si>
  <si>
    <t>Nhà nước đã giải thích rõ về mục tiêu cải cách thuế, nhưng vẫn cần có thêm thông tin chi tiết hơn về các dự án cụ thể.</t>
  </si>
  <si>
    <t>Sau khi xem xét tất cả các yếu tố, tôi ủng hộ và sẽ tuân thủ chính sách mới vì lợi ích mà nó mang lại cho người dân như chúng tôi.</t>
  </si>
  <si>
    <t>Thuế hiện nay có nhiều biện pháp kiểm soát, nhưng vẫn chưa hoàn toàn ngăn chặn được gian lận.</t>
  </si>
  <si>
    <t>Cơ quan thuế đang ngày càng nâng cao công nghệ và năng lực quản lý, giảm thiểu khả năng trốn tránh.</t>
  </si>
  <si>
    <t>Quy trình khai thuế trở nên đơn giản hơn với nhiều ưu đãi từ nhà nước, nhưng vẫn còn một số thủ tục rườm rà.</t>
  </si>
  <si>
    <t>Bậc thuế mới đơn giản hóa quy trình tính toán, giảm bớt sự phức tạp cho người dân và doanh nghiệp.</t>
  </si>
  <si>
    <t>Việc tăng mức giảm trừ gia cảnh và đơn giản hóa biểu thuế được xem là công bằng đối với người nộp thuế.</t>
  </si>
  <si>
    <t>Mức thuế mới phù hợp với thu nhập hiện tại của tôi, thể hiện tính công bằng trong việc phân bổ gánh nặng thuế.</t>
  </si>
  <si>
    <t>Tôi tin rằng số tiền thuế đóng sẽ được sử dụng hiệu quả để cải thiện dịch vụ công và phát triển cơ sở hạ tầng.</t>
  </si>
  <si>
    <t>Tác động tài chính tích cực, giảm trừ gia cảnh tăng, số bậc thuế giảm, tôi ủng hộ và tuân thủ chính sách mới.</t>
  </si>
  <si>
    <t>Thuế điện tử và công nghệ hiện đại được áp dụng, nhưng không chắc chắn rằng mọi người đều tuân thủ.</t>
  </si>
  <si>
    <t>Cơ quan thuế có khả năng phát hiện gian lận nhờ hệ thống quản lý điện tử, nhưng vẫn cần cải thiện.</t>
  </si>
  <si>
    <t>Quy trình khai báo và làm việc với cơ quan thuế đơn giản hơn trước, nhưng vẫn còn một số rắc rối.</t>
  </si>
  <si>
    <t>Biểu thuế mới đơn giản hóa bậc thuế, dễ hiểu và thực hiện thuận tiện hơn so với trước đây.</t>
  </si>
  <si>
    <t>Niềm tin vào sự công bằng trong việc áp dụng chính sách thuế chưa cao do lo ngại về khả năng thực thi.</t>
  </si>
  <si>
    <t>Mức thuế mới hợp lý với thu nhập của tôi, giảm gánh nặng tài chính</t>
  </si>
  <si>
    <t>Hiểu rằng tiền thuế đóng góp vào sự phát triển chung của quốc gia, nhưng lo ngại về hiệu quả sử dụng.</t>
  </si>
  <si>
    <t>Đã có thông tin giải thích rõ ràng về mục tiêu cải cách, nhưng vẫn cần thêm minh bạch hơn</t>
  </si>
  <si>
    <t>Chấp nhận chính sách mới vì giảm gánh nặng thuế và đơn giản hóa quy trình, đồng thời ủng hộ việc cải thiện dịch vụ công.</t>
  </si>
  <si>
    <t>Dù luật mới có đơn giản hóa biểu thuế, nhưng tôi vẫn tin rằng cơ quan thuế sẽ phát hiện và xử lý các hành vi gian lận hoặc trốn thuế. Thuế điện tử đã giúp việc giám sát trở nên dễ dàng hơn.</t>
  </si>
  <si>
    <t>Nhà nước đã đầu tư công nghệ để hỗ trợ theo dõi và quản lý thuế, từ đó tăng khả năng phát hiện hành vi trốn thuế. Tuy nhiên, vẫn có thể còn một số vấn đề về thực thi.</t>
  </si>
  <si>
    <t>So với trước đây, quy trình khai báo thuế và làm việc với cơ quan thuế đã đơn giản hơn, đặc biệt là với thuế điện tử. Tuy nhiên, vẫn cần cải thiện thêm để giảm bớt phiền toái cho người dân.</t>
  </si>
  <si>
    <t>Biểu thuế mới có ít bậc hơn và mức thu nhập chịu thuế rõ ràng hơn, từ đó dễ dàng thực hiện hơn. Tuy nhiên, việc tính toán vẫn cần thời gian để làm quen.</t>
  </si>
  <si>
    <t>Tôi tin rằng cơ quan thuế sẽ công bằng trong việc áp dụng chính sách mới. Việc tăng mức giảm trừ gia cảnh và đơn giản hóa biểu thuế là hướng đi đúng.</t>
  </si>
  <si>
    <t>Mức thuế tôi phải đóng thấp hơn so với trước đây, giúp tiết kiệm được một khoản tiền đáng kể. Đây là mức thuế công bằng cho thu nhập của tôi.</t>
  </si>
  <si>
    <t>Thuế của tôi sẽ được sử dụng để cải thiện dịch vụ công như y tế và giao thông, từ đó tạo niềm tin về việc đầu tư đúng mục tiêu.</t>
  </si>
  <si>
    <t>Nhà nước đã giải thích rõ ràng về các thay đổi trong chính sách thuế, nhưng cần thêm thông tin về cách sử dụng số tiền thuế thu được để tăng sự minh bạch.</t>
  </si>
  <si>
    <t>Tôi ủng hộ và tuân thủ chính sách mới vì nó giúp giảm gánh nặng tài chính cho tôi. Tuy nhiên, cần cải thiện thêm về việc giải thích rõ ràng hơn về mục tiêu sử dụng thuế.</t>
  </si>
  <si>
    <t>Hiện tại, các quy định quản lý thuế đã được cải thiện đáng kể và công nghệ hiện đại giúp việc phát hiện hành vi gian lận trở nên dễ dàng hơn.</t>
  </si>
  <si>
    <t>Nhà nước và cơ quan thuế đã đầu tư vào hệ thống công nghệ thông tin, nâng cao khả năng giám sát và xử lý các hành vi trốn thuế.</t>
  </si>
  <si>
    <t>Thủ tục khai báo thuế trở nên đơn giản hơn với việc giảm bớt các bước phức tạp, giúp người dân làm việc với cơ quan thuế dễ dàng hơn.</t>
  </si>
  <si>
    <t>Biểu thuế mới có ít bậc và mức thuế suất rõ ràng, dễ hiểu hơn so với trước đây.</t>
  </si>
  <si>
    <t>Nhà nước đã công bố các quy định một cách minh bạch và khách quan, tôi tin rằng họ sẽ thực thi chính sách một cách công bằng.</t>
  </si>
  <si>
    <t>Mức thuế mới được tính toán dựa trên thu nhập của tôi, tôi thấy nó là hợp lý và công bằng</t>
  </si>
  <si>
    <t>Tôi tin rằng số tiền thuế đóng sẽ được sử dụng hiệu quả cho việc cải thiện các dịch vụ công ích.</t>
  </si>
  <si>
    <t>Nhà nước đã có những giải thích rõ ràng về lý do và mục tiêu của việc sửa đổi chính sách thuế, tôi cảm thấy tin tưởng vào quyết định này.</t>
  </si>
  <si>
    <t>Sau khi xem xét tất cả các yếu tố trên, tôi ủng hộ và sẽ tuân thủ chính sách mới.</t>
  </si>
  <si>
    <t>Với mức giảm trừ gia cảnh tăng lên, việc phát hiện hành vi gian lận sẽ khó khăn hơn. Tuy nhiên, khả năng của cơ quan thuế trong việc phát hiện và xử lý vẫn được cải thiện.</t>
  </si>
  <si>
    <t>Cơ quan thuế đã nâng cấp công nghệ quản lý thuế, giúp tăng cường hiệu quả giám sát. Tuy nhiên, mức độ thực thi còn phụ thuộc vào nguồn lực và khả năng của cơ quan thuế.</t>
  </si>
  <si>
    <t>Quy trình khai báo thuế trở nên đơn giản hơn với giảm trừ gia cảnh tăng, nhưng vẫn cần thời gian làm quen. Quá trình làm việc với cơ quan thuế cũng thuận tiện hơn so với trước đây.</t>
  </si>
  <si>
    <t>Biểu thuế được đơn giản hóa từ 7 bậc xuống còn 5, dễ hiểu và thực hiện nhanh chóng. Đây là cải tiến đáng kể về mặt thuận tiện cho người nộp thuế.</t>
  </si>
  <si>
    <t>Nhà nước đã công bố các quy định một cách minh bạch, nhưng tôi vẫn lo ngại rằng việc thực thi có thể không đồng đều đối với tất cả các bên. Tuy nhiên, mức thuế mới phù hợp với thu nhập của tôi.</t>
  </si>
  <si>
    <t>Mức thuế mới được tính dựa trên thu nhập hiện tại của tôi và số người phụ thuộc, do đó công bằng hơn so với trước đây. Tuy nhiên, mức giảm trừ gia cảnh tăng lên có thể gây ra sự bất bình đẳng giữa các cá nhân.</t>
  </si>
  <si>
    <t>Thuế đóng góp vào việc cải thiện dịch vụ công, nhưng tôi không chắc liệu số tiền thuế đó sẽ được sử dụng hiệu quả hay không. Tuy nhiên, mức thuế mới giúp giảm gánh nặng tài chính.</t>
  </si>
  <si>
    <t>Nhà nước đã giải thích rõ ràng về mục tiêu cải cách, nhưng tôi vẫn nghi ngờ về việc thực thi chính sách một cách công bằng. Tuy nhiên, mức thuế mới giúp giảm gánh nặng tài chính.</t>
  </si>
  <si>
    <t>Tôi ủng hộ và tuân thủ chính sách mới vì nó giúp giảm gánh nặng tài chính và đơn giản hóa quy trình khai báo thuế. Tuy nhiên, tôi vẫn lo ngại về sự công bằng trong việc thực thi.</t>
  </si>
  <si>
    <t>Dù luật thuế mới có đơn giản hơn, nhưng tôi vẫn nghi ngờ về khả năng phát hiện và xử lý trốn thuế hiệu quả của các cơ quan chức năng.</t>
  </si>
  <si>
    <t>Tăng giảm trừ gia cảnh và đơn giản hóa biểu thuế có thể giúp cải thiện việc quản lý thuế, nhưng tôi vẫn lo ngại về thực tế quản lý thuế hiện tại ở Việt Nam.</t>
  </si>
  <si>
    <t>Việc tăng mức giảm trừ gia cảnh và đơn giản hóa quy trình làm việc với cơ quan thuế đã cải thiện đáng kể thuận tiện cho người nộp thuế, tôi thấy dễ dàng hơn nhiều so với trước đây.</t>
  </si>
  <si>
    <t>Các bậc thuế mới rõ ràng hơn, dễ hiểu và thực hiện đơn giản hơn, giảm bớt sự phức tạp mà không làm mất đi tính công bằng.</t>
  </si>
  <si>
    <t>Tôi tin rằng việc cải cách thuế lần này sẽ được thực thi một cách khách quan và công bằng, nhưng tôi vẫn có chút nghi ngờ về mức độ minh bạch của các cơ quan thuế.</t>
  </si>
  <si>
    <t>Mức thuế mới phù hợp với thu nhập hiện tại của tôi, giảm gánh nặng thuế cho người dân như chúng tôi. Điều này thể hiện tính công bằng trong việc áp dụng chính sách.</t>
  </si>
  <si>
    <t>Thuế đóng góp vào các dịch vụ công quan trọng và cải cách thuế giúp nâng cao chất lượng cuộc sống, tôi tin rằng số tiền thuế của mình sẽ được sử dụng hiệu quả.</t>
  </si>
  <si>
    <t>Chính phủ đã giải thích rõ ràng về mục tiêu của việc cải cách thuế, tuy nhiên, sự minh bạch và công khai trong quá trình thực hiện vẫn còn cần cải thiện.</t>
  </si>
  <si>
    <t>Tổng hợp các yếu tố trên, tôi ủng hộ chính sách mới và sẽ tuân thủ. Tuy nhiên, tôi hy vọng rằng việc cải cách thuế sẽ tiếp tục được giám sát chặt chẽ để đảm bảo tính công bằng.</t>
  </si>
  <si>
    <t>Hiện nay, các quy định quản lý thuế có sự giám sát chặt chẽ từ cơ quan thuế, tuy nhiên khả năng phát hiện hành vi gian lận còn phụ thuộc vào độ tuân thủ của cá nhân. Khả năng xử lý nghiêm vẫn cần cải thiện.</t>
  </si>
  <si>
    <t>Cơ quan thuế có nhiều công nghệ hiện đại để theo dõi và phát hiện các hành vi trốn thuế, nhưng hiệu quả thực tế còn phụ thuộc vào nguồn lực và cách vận dụng.</t>
  </si>
  <si>
    <t>Quy trình khai báo thuế và làm việc với cơ quan thuế đã đơn giản hơn nhiều so với trước đây, giúp người dân dễ dàng tiếp cận các dịch vụ thuế.</t>
  </si>
  <si>
    <t>Với việc giảm bậc thuế từ 7 xuống 5, quy trình tính thuế trở nên đơn giản và dễ hiểu hơn, thuận tiện cho người dân thực hiện.</t>
  </si>
  <si>
    <t>Tôi tin rằng cơ quan thuế sẽ công bằng trong việc thực thi các quy định mới. Tuy nhiên, sự minh bạch về cách thức thực thi vẫn cần cải thiện.</t>
  </si>
  <si>
    <t>Mức thuế theo phương án mới là hợp lý và phù hợp với thu nhập của tôi, tạo cảm giác công bằng cho người dân.</t>
  </si>
  <si>
    <t>Tôi tin rằng số tiền thuế đóng sẽ được sử dụng hiệu quả để cải thiện dịch vụ công. Tuy nhiên, sự minh bạch về việc này vẫn cần được cải thiện.</t>
  </si>
  <si>
    <t>Nhà nước đã giải thích rõ ràng mục tiêu của việc sửa đổi thuế lần này, tạo niềm tin cho người dân</t>
  </si>
  <si>
    <t>Tôi ủng hộ và tuân thủ chính sách mới vì nó mang lại lợi ích tài chính và đơn giản hóa quy trình thuế.</t>
  </si>
  <si>
    <t>Việc thuế được đơn giản hóa có thể làm giảm khả năng phát hiện hành vi gian lận, tuy nhiên, cơ quan thuế vẫn có đủ công nghệ để giám sát.</t>
  </si>
  <si>
    <t>Cơ quan thuế đã đầu tư vào công nghệ nên khả năng phát hiện và xử lý nghiêm các hành vi trốn thuế là tốt.</t>
  </si>
  <si>
    <t>Quy trình làm việc với cơ quan thuế đơn giản hơn, nhưng khai báo thuế vẫn cần thời gian để nắm bắt.</t>
  </si>
  <si>
    <t>Biểu thuế đơn giản hóa đã giúp tính toán dễ dàng và hiểu rõ hơn về mức thuế mình phải đóng.</t>
  </si>
  <si>
    <t>Niềm tin vào sự công bằng của cơ quan thuế cao vì các quy định mới được cải tiến một cách khách quan.</t>
  </si>
  <si>
    <t>Mức thuế mới được coi là công bằng, giúp giảm gánh nặng cho người lao động như tôi.</t>
  </si>
  <si>
    <t>Tín nhiệm vào việc số tiền thuế đóng sẽ được sử dụng hiệu quả để cải thiện dịch vụ công</t>
  </si>
  <si>
    <t>Nhà nước đã giải thích rõ ràng về mục tiêu của việc sửa đổi chính sách thuế, tạo ra sự minh bạch.</t>
  </si>
  <si>
    <t>Tôi ủng hộ chính sách mới vì nó giúp tôi tiết kiệm được tiền và giảm gánh nặng thuế</t>
  </si>
  <si>
    <t>Nhà nước đã tăng mạnh mức giảm trừ gia cảnh và đơn giản hóa biểu thuế, giảm số bậc thuế từ 7 xuống còn 5. Điều này làm cho việc khai báo và tính toán thuế trở nên dễ dàng hơn.</t>
  </si>
  <si>
    <t>Cơ quan thuế có thể sử dụng công nghệ hiện đại để quản lý và theo dõi các giao dịch tài chính, từ đó phát hiện các hành vi trốn thuế một cách hiệu quả.</t>
  </si>
  <si>
    <t>Việc giảm bậc thuế và đơn giản hóa quy trình khai báo đã làm cho việc làm thủ tục với cơ quan thuế trở nên dễ dàng hơn, tiết kiệm thời gian và công sức của người dân.</t>
  </si>
  <si>
    <t>Các bậc thuế mới rõ ràng hơn và dễ hiểu, giúp tôi nắm bắt được chính xác mức thuế phải đóng mà không cần sự hỗ trợ từ bên ngoài.</t>
  </si>
  <si>
    <t>Nhà nước đã giải thích công bằng về mục tiêu cải cách thuế, tạo ra một hệ thống giảm trừ gia cảnh và bậc thuế rõ ràng hơn, tôi tin rằng họ sẽ thực hiện chính sách này một cách khách quan.</t>
  </si>
  <si>
    <t>Với mức thu nhập của mình, tôi không phải đóng thuế do có mức giảm trừ gia cảnh cao hơn thu nhập, điều này cho thấy hệ thống thuế mới là công bằng đối với người lao động như tôi.</t>
  </si>
  <si>
    <t>Thuế tôi đóng sẽ được sử dụng hiệu quả để cải thiện các dịch vụ công, từ đó tạo ra một xã hội tốt hơn cho cả cộng đồng</t>
  </si>
  <si>
    <t>Nhà nước đã công bố rõ ràng về lý do và mục tiêu của việc sửa đổi thuế, cũng như quy trình thực hiện, khiến tôi cảm thấy hài lòng.</t>
  </si>
  <si>
    <t>Dựa trên những cải tiến về độ đơn giản hóa và công bằng của hệ thống thuế mới, tôi ủng hộ và sẽ tuân thủ chính sách này.</t>
  </si>
  <si>
    <t>Thuế theo luật mới không áp dụng cho tôi do mức giảm trừ gia cảnh cao hơn thu nhập, nên khả năng phát hiện hành vi gian lận hoặc trốn thuế thấp đối với tôi.</t>
  </si>
  <si>
    <t>Việc áp dụng công nghệ để phát hiện và xử lý thuế có thể không hiệu quả nếu không có đủ dữ liệu hoặc nguồn lực.</t>
  </si>
  <si>
    <t>Thủ tục khai báo thuế trở nên đơn giản hơn với mức giảm trừ gia cảnh cao, nhưng vẫn cần thời gian để làm quen và hiểu rõ quy trình mới.</t>
  </si>
  <si>
    <t>Cách tính thuế và các bậc thuế mới dễ hiểu hơn, giúp tôi thuận tiện trong việc kê khai thuế</t>
  </si>
  <si>
    <t>Nhà nước đã tăng mức giảm trừ gia cảnh và đơn giản hóa biểu thuế nên tôi tin rằng họ sẽ thực thi chính sách một cách công bằng.</t>
  </si>
  <si>
    <t>Mức thuế mới được điều chỉnh phù hợp với thu nhập của tôi, do đó tôi thấy nó là công bằng.</t>
  </si>
  <si>
    <t>Thuế tôi đóng sẽ được sử dụng hiệu quả để cải thiện dịch vụ công, nên tôi tin tưởng vào việc sử dụng nguồn lực này</t>
  </si>
  <si>
    <t>Nhà nước đã giải thích rõ ràng về mục tiêu của việc sửa đổi thuế, giúp tôi hiểu rõ hơn.</t>
  </si>
  <si>
    <t>Dù mức giảm trừ gia cảnh cao nhưng vẫn có nguy cơ gian lận hoặc trốn thuế nên tôi ủng hộ chính sách mới</t>
  </si>
  <si>
    <t>Với mức giảm trừ gia cảnh cao và các quy định quản lý thuế hiện tại, tôi tin rằng hành vi gian lận sẽ khó xảy ra. Tuy nhiên, do chưa có thực tế áp dụng nên vẫn còn một chút nghi ngờ.</t>
  </si>
  <si>
    <t>Nhà nước và cơ quan thuế đã đầu tư công nghệ hiện đại để phát hiện và xử lý trốn thuế, nhưng cần thêm thời gian để kiểm chứng hiệu quả thực tế.</t>
  </si>
  <si>
    <t>So với trước đây, quy trình khai báo và làm việc với cơ quan thuế trở nên đơn giản hơn. Việc sử dụng công nghệ cũng giúp quá trình thuận tiện hơn.</t>
  </si>
  <si>
    <t>Số bậc thuế giảm từ 7 xuống 5 đã làm cho việc tính toán thuế trở nên dễ dàng và dễ hiểu hơn, không còn phức tạp như trước đây.</t>
  </si>
  <si>
    <t>Tôi tin rằng Nhà nước sẽ thực thi chính sách một cách công bằng. Mức giảm trừ gia cảnh cao đã giúp tôi và gia đình không phải đóng thuế, tạo ra sự công bằng trong việc phân bổ thu nhập.</t>
  </si>
  <si>
    <t>Mức thuế mới rất hợp lý cho người có thu nhập như tôi. Mức giảm trừ gia cảnh cao đã giúp tôi tiết kiệm được nhiều chi phí, thể hiện tính công bằng trong việc phân bổ thu nhập.</t>
  </si>
  <si>
    <t>Tôi tin rằng số tiền thuế tôi đóng sẽ được sử dụng hiệu quả để cải thiện các dịch vụ công. Việc áp dụng chính sách mới đã giúp cải thiện chất lượng cuộc sống của người dân.</t>
  </si>
  <si>
    <t>Nhà nước đã giải thích rõ ràng về mục tiêu và lý do của việc sửa đổi thuế. Tuy nhiên, để tăng thêm niềm tin, cần có thêm thông tin cụ thể về cách sử dụng số tiền thuế.</t>
  </si>
  <si>
    <t>Sau khi xem xét các quyền lợi và nghĩa vụ, tôi ủng hộ và sẽ tuân thủ chính sách mới. Mức giảm trừ gia cảnh cao đã giúp cải thiện đáng kể thu nhập thực tế của tôi.</t>
  </si>
  <si>
    <t>Nhà nước đã cải cách mạnh mẽ về thuế, tăng giảm trừ gia cảnh và đơn giản hóa biểu thuế. Đây là tín hiệu rõ ràng cho thấy sự nghiêm túc trong việc chống gian lận thuế.</t>
  </si>
  <si>
    <t>Công nghệ ngày càng phát triển, cùng với đội ngũ cán bộ thuế được đào tạo chuyên sâu, khả năng phát hiện và xử lý các hành vi trốn thuế sẽ cao hơn.</t>
  </si>
  <si>
    <t>Thủ tục khai báo thuế đơn giản hơn, giảm bớt các bước rườm rà. Cách tính thuế rõ ràng, dễ hiểu hơn so với trước đây.</t>
  </si>
  <si>
    <t>Biểu thuế mới đơn giản hóa bậc thuế, giúp việc tính toán và nộp thuế trở nên dễ dàng hơn cho người dân.</t>
  </si>
  <si>
    <t>Những thay đổi này tạo ra một hệ thống thuế công bằng và minh bạch hơn. Mức giảm trừ gia cảnh cao giúp hỗ trợ nhiều gia đình hơn.</t>
  </si>
  <si>
    <t>Dựa trên mức thu nhập của tôi, tôi thấy việc đóng thuế ở bậc 5 (35%) là hợp lý. Điều này thể hiện sự công bằng trong hệ thống thuế mới.</t>
  </si>
  <si>
    <t>Việc cải cách thuế nhằm mục đích nâng cao chất lượng cuộc sống và dịch vụ công cho người dân, điều này làm tôi tin tưởng vào việc sử dụng hiệu quả số tiền thuế đóng góp.</t>
  </si>
  <si>
    <t>Nhà nước đã giải thích rõ ràng về các thay đổi trong chính sách thuế. Các thông báo đều được công bố rộng rãi, giúp người dân hiểu và chấp nhận</t>
  </si>
  <si>
    <t>Tôi ủng hộ và tuân thủ chính sách mới vì nó mang lại lợi ích cho tôi và gia đình cũng như góp phần vào sự phát triển chung của quốc gia.</t>
  </si>
  <si>
    <t>Hiện nay có nhiều biện pháp quản lý thuế, tuy nhiên mức giảm trừ gia cảnh cao hơn thu nhập nên không còn lo ngại về việc trốn thuế.</t>
  </si>
  <si>
    <t>Cơ quan thuế đã nâng cấp công nghệ và nhân lực để phát hiện hành vi gian lận, mặc dù vẫn có thể gặp khó khăn nhưng khả năng xử lý nghiêm là lớn.</t>
  </si>
  <si>
    <t>Quy trình khai báo thuế đơn giản hơn với mức giảm trừ gia cảnh cao, không còn phải lo lắng về việc bị phạt vì sai sót.</t>
  </si>
  <si>
    <t>Bậc thuế được rút gọn và rõ ràng hơn, dễ dàng tính toán và nắm bắt</t>
  </si>
  <si>
    <t>Nhà nước đã tăng giảm trừ gia cảnh và đơn giản hóa quy trình, tạo cảm giác công bằng trong việc thực thi pháp luật.</t>
  </si>
  <si>
    <t>Mức thuế mới phù hợp với thu nhập của tôi, không còn lo lắng về việc đóng quá nhiều</t>
  </si>
  <si>
    <t>Thuế đóng góp vào việc cải thiện dịch vụ công và phát triển đất nước, tạo niềm tin vào sự sử dụng hiệu quả nguồn lực.</t>
  </si>
  <si>
    <t>Đã có nhiều giải thích về mục tiêu của chính sách mới, tuy nhiên cần thêm thông tin cụ thể hơn để người dân hiểu rõ</t>
  </si>
  <si>
    <t>Chính sách mới tạo điều kiện thuận lợi cho người dân, tôi sẽ ủng hộ và tuân thủ.</t>
  </si>
  <si>
    <t>Hiện nay, với sự phát triển của công nghệ và hệ thống quản lý thuế, tôi cho rằng khả năng phát hiện hành vi gian lận hoặc trốn thuế đã được cải thiện đáng kể. Các cơ quan thuế có nhiều cách để kiểm soát, từ việc sử dụng phần mềm theo dõi đến việc phối hợp giữa các ngành chức năng.</t>
  </si>
  <si>
    <t>Nhà nước và cơ quan thuế đã đầu tư vào công nghệ và nhân lực để nâng cao hiệu quả quản lý. Tuy nhiên, tôi cũng nhận ra rằng vẫn còn một số khó khăn trong việc thực thi, đặc biệt là đối với các doanh nghiệp nhỏ và vừa.</t>
  </si>
  <si>
    <t>Thủ tục khai báo thuế đã đơn giản hơn nhiều so với trước đây. Việc sử dụng phần mềm khai thuế trực tuyến đã giúp quá trình này trở nên thuận tiện hơn rất nhiều.</t>
  </si>
  <si>
    <t>Biểu thuế mới có ít bậc và rõ ràng hơn, làm cho việc tính toán thuế dễ dàng hơn. Tuy nhiên, việc áp dụng các quy định mới vào thực tế đôi khi vẫn gây khó khăn.</t>
  </si>
  <si>
    <t>Tôi tin rằng chính phủ sẽ thực thi chính sách một cách công bằng và khách quan. Việc tăng mức giảm trừ gia cảnh giúp gánh nặng thuế đối với các cá nhân có nhiều người phụ thuộc giảm đi.</t>
  </si>
  <si>
    <t>Theo phương án mới, tôi thấy mức thuế mà mình phải đóng là hợp lý. Mức thu nhập của tôi nằm ở bậc thuế suất thấp nên việc giảm trừ gia cảnh rõ ràng đã giúp cải thiện đáng kể.</t>
  </si>
  <si>
    <t>Tôi tin rằng số tiền thuế tôi đóng sẽ được sử dụng hiệu quả để cải thiện dịch vụ công. Tuy nhiên, cần có sự minh bạch và giám sát chặt chẽ hơn từ phía công chúng.</t>
  </si>
  <si>
    <t>Nhà nước đã giải thích rõ ràng về mục tiêu của việc sửa đổi thuế, nhưng tôi vẫn mong muốn có thêm thông tin chi tiết về cách sử dụng số tiền thuế thu được.</t>
  </si>
  <si>
    <t>Dựa trên những thay đổi tích cực trong chính sách thuế, cũng như sự đơn giản hóa quy trình khai báo và tính toán thuế, tôi ủng hộ và tuân thủ chính sách mới. Tuy nhiên, cần có thêm thông tin về cách sử dụng số tiền thuế để tăng niềm tin.</t>
  </si>
  <si>
    <t>Hiện nay, cơ quan thuế đã ứng dụng công nghệ cao vào quản lý và giám sát hành vi nộp thuế của cá nhân. Điều này tăng khả năng phát hiện các trường hợp trốn thuế hoặc gian lận.</t>
  </si>
  <si>
    <t>Nhà nước và cơ quan thuế có đội ngũ chuyên nghiệp cùng với sự hỗ trợ từ công nghệ thông tin, nên việc quản lý và giám sát thuế được thực hiện một cách hiệu quả.</t>
  </si>
  <si>
    <t>So với trước đây, quy trình khai báo thuế đơn giản hơn nhiều. Việc giảm bậc thuế cũng giúp người dân dễ dàng tính toán và thực hiện đúng các bước cần thiết.</t>
  </si>
  <si>
    <t>Biểu thuế mới có ít bậc hơn, giúp việc tính thuế trở nên dễ hiểu hơn. Tuy nhiên, vẫn còn một chút phức tạp khi so sánh với quy định cũ.</t>
  </si>
  <si>
    <t>Tôi tin rằng Nhà nước sẽ thực thi chính sách một cách công bằng và khách quan. Mức thuế mới được điều chỉnh phù hợp với thu nhập của tôi, tạo nên sự công bằng trong việc đóng góp cho xã hội.</t>
  </si>
  <si>
    <t>Mức giảm trừ gia cảnh và bậc thuế mới giúp tôi tiết kiệm một khoản tiền đáng kể. Điều này thể hiện tính công bằng trong việc phân chia gánh nặng thuế giữa người dân có thu nhập khác nhau.</t>
  </si>
  <si>
    <t>Thuế đóng góp vào các dịch vụ công như y tế và hạ tầng. Việc cải cách thuế giúp tôi tin rằng tiền thuế sẽ được sử dụng hiệu quả để phục vụ cộng đồng.</t>
  </si>
  <si>
    <t>Nhà nước đã có những giải thích rõ ràng về mục tiêu của việc cải cách thuế, mặc dù vẫn còn một số điểm chưa hoàn toàn minh bạch.</t>
  </si>
  <si>
    <t>Dựa trên các yếu tố như sự công bằng trong mức thuế, khả năng quản lý thuế hiệu quả và lợi ích thực tế mà chính sách mang lại cho người dân, tôi ủng hộ và sẽ tuân thủ chính sách mới.</t>
  </si>
  <si>
    <t>Dù có công nghệ hỗ trợ, nhưng tôi vẫn nghi ngờ về hiệu quả quản lý thuế do thiếu thông tin cá nhân của người nộp thuế.</t>
  </si>
  <si>
    <t>Cơ quan thuế đã cải thiện đáng kể trong việc sử dụng công nghệ, nhưng vấn đề thực thi pháp luật vẫn còn nhiều khó khăn.</t>
  </si>
  <si>
    <t>Quy trình khai báo thuế trở nên đơn giản hơn, thủ tục nộp thuế thuận tiện hơn so với trước đây.</t>
  </si>
  <si>
    <t>Các bậc thuế mới rõ ràng và dễ hiểu hơn, giúp tôi tính toán thu nhập chịu thuế một cách nhanh chóng.</t>
  </si>
  <si>
    <t>Tôi tin tưởng rằng Nhà nước sẽ thực thi chính sách công bằng cho tất cả người nộp thuế.</t>
  </si>
  <si>
    <t>Thuế mới được giảm, tôi cảm thấy mình đóng góp đúng mức cho xã hội.</t>
  </si>
  <si>
    <t>Nhà nước đã đầu tư vào các dịch vụ công như y tế và đường xá, số thuế tôi đóng sẽ được sử dụng hiệu quả.</t>
  </si>
  <si>
    <t>Tôi đồng ý với mục tiêu của chính sách mới nhằm giảm gánh nặng tài chính cho người dân.</t>
  </si>
  <si>
    <t>Sau khi xem xét các ưu điểm và lợi ích, tôi ủng hộ và tuân thủ chính sách thuế mới này.</t>
  </si>
  <si>
    <t>Việc tăng mức giảm trừ gia cảnh và đơn giản hóa biểu thuế có thể làm giảm động cơ trốn thuế, tuy nhiên, vẫn cần sự giám sát chặt chẽ từ phía nhà nước để tránh gian lận.</t>
  </si>
  <si>
    <t>Cơ quan thuế hiện đã áp dụng nhiều công nghệ tiên tiến trong quản lý thuế, nhưng hiệu quả thực tế còn phụ thuộc vào sự tuân thủ của người nộp thuế.</t>
  </si>
  <si>
    <t>So với trước đây, quy trình khai báo và làm việc với cơ quan thuế đã đơn giản hơn, thời gian xử lý hồ sơ nhanh chóng hơn.</t>
  </si>
  <si>
    <t>Biểu thuế mới đơn giản hóa nhiều so với cũ, dễ dàng tính toán và thực hiện hơn, giảm áp lực cho người dân trong việc quản lý tài chính cá nhân.</t>
  </si>
  <si>
    <t>Tôi tin rằng cơ quan thuế sẽ thực thi chính sách một cách công bằng đối với mọi người, nhưng vẫn cần giám sát chặt chẽ để tránh bất công.</t>
  </si>
  <si>
    <t>Mức thuế mới có lợi cho tôi hơn so với trước đây, do đó tôi cảm thấy nó là hợp lý.</t>
  </si>
  <si>
    <t>Thuế đóng góp vào sự phát triển hạ tầng và dịch vụ công, tuy nhiên, hiệu quả sử dụng còn phụ thuộc vào quản lý của cơ quan chức năng.</t>
  </si>
  <si>
    <t>Nhà nước đã giải thích rõ ràng về mục tiêu cải cách thuế, nhưng vẫn cần nhiều thông tin hơn để đánh giá hiệu quả lâu dài.</t>
  </si>
  <si>
    <t>Sau khi xem xét tác động tài chính và sự đơn giản hóa của biểu thuế mới, tôi ủng hộ và tuân thủ chính sách</t>
  </si>
  <si>
    <t>Công nghệ hiện đại và quy định quản lý thuế chặt chẽ giúp phát hiện hành vi gian lận.</t>
  </si>
  <si>
    <t>Nhà nước đã đầu tư vào công nghệ và đội ngũ cán bộ thuế để nâng cao hiệu quả quản lý.</t>
  </si>
  <si>
    <t>Quy trình khai báo thuế trở nên đơn giản hơn, thuận tiện cho người dân.</t>
  </si>
  <si>
    <t>Số bậc thuế giảm và mức giảm trừ gia cảnh tăng làm việc tính toán thuế dễ dàng hơn.</t>
  </si>
  <si>
    <t>Chính sách mới được áp dụng công bằng, khách quan với tất cả các đối tượng nộp thuế.</t>
  </si>
  <si>
    <t>Mức thuế mới phù hợp với thu nhập của tôi và thể hiện sự công bằng trong việc đóng góp cho xã hội.</t>
  </si>
  <si>
    <t>Thuốc tôi đóng sẽ được sử dụng hiệu quả để cải thiện hạ tầng cơ sở, y tế và giáo dục.</t>
  </si>
  <si>
    <t>Nhà nước đã giải thích rõ ràng về mục tiêu của việc sửa đổi thuế lần này.</t>
  </si>
  <si>
    <t>Tôi ủng hộ và tuân thủ chính sách mới vì nó mang lại lợi ích cho tôi và cộng đồng.</t>
  </si>
  <si>
    <t>Dù có những cải tiến, tôi vẫn nghi ngờ khả năng phát hiện trốn thuế mạnh mẽ do cơ quan thuế Việt Nam còn nhiều hạn chế về nguồn lực và công nghệ.</t>
  </si>
  <si>
    <t>Nhà nước đã tăng cường các biện pháp quản lý nhưng không đủ để tôi cảm thấy an tâm về khả năng phát hiện trốn thuế hiệu quả.</t>
  </si>
  <si>
    <t>Quy trình làm việc với cơ quan thuế trở nên đơn giản hơn nhưng vẫn còn nhiều rắc rối với các quy định phức tạp</t>
  </si>
  <si>
    <t>Cách tính thuế mới dễ hiểu và thực hiện nhanh chóng hơn, giảm bớt công việc cho tôi.</t>
  </si>
  <si>
    <t>Tôi tin rằng quy định mới sẽ được thực thi công bằng nhưng cần thêm thời gian để kiểm chứng</t>
  </si>
  <si>
    <t>Thuế mới có thể hợp lý với thu nhập hiện tại của tôi, nhưng tôi vẫn lo ngại về sự công bằng trong việc áp dụng cho các đối tượng khác.</t>
  </si>
  <si>
    <t>Tôi tin rằng số thuế đóng góp sẽ được sử dụng hiệu quả, đặc biệt là cho y tế và giao thông</t>
  </si>
  <si>
    <t>Nhà nước đã giải thích rõ ràng về mục tiêu cải cách nhưng chưa đủ chi tiết về cách thức thực hiện.</t>
  </si>
  <si>
    <t>Tôi ủng hộ chính sách mới vì nó tạo ra lợi ích tài chính và thuận tiện hơn, tuy nhiên cần thêm thời gian để xem xét tác động dài hạn</t>
  </si>
  <si>
    <t>Quy trình khai báo thuế và làm việc với cơ quan thuế trở nên đơn giản hơn, dễ thực hiện hơn.</t>
  </si>
  <si>
    <t>Phương án mới có ít bậc thuế và cách tính thuế rõ ràng hơn so với trước đây.</t>
  </si>
  <si>
    <t>Tôi tin rằng Nhà nước sẽ thực hiện chính sách một cách công bằng, nhưng chưa rõ về quy trình cụ thể.</t>
  </si>
  <si>
    <t>Mức thuế mới giảm, tôi cảm thấy công bằng hơn so với trước đây.</t>
  </si>
  <si>
    <t>Thuế đóng góp vào các dịch vụ công quan trọng, nhưng chưa biết cụ thể số tiền đóng sẽ được sử dụng như thế nào.</t>
  </si>
  <si>
    <t>Nhà nước đã giải thích rõ ràng về mục tiêu cải cách thuế, nhưng còn nhiều thông tin cần làm rõ hơn.</t>
  </si>
  <si>
    <t>Sau khi xem xét tác động tài chính và sự đơn giản hóa quy trình, tôi ủng hộ và tuân thủ chính sách mới.</t>
  </si>
  <si>
    <t>Với việc áp dụng công nghệ hiện đại, khả năng phát hiện hành vi gian lận hoặc trốn thuế của cơ quan thuế đã tăng lên đáng kể. Điều này giúp tạo ra sự công bằng trong hệ thống thuế.</t>
  </si>
  <si>
    <t>Nhà nước và cơ quan thuế có nhiều nguồn lực và công nghệ tiên tiến để quản lý thuế hiệu quả hơn, giảm thiểu rủi ro trốn tránh.</t>
  </si>
  <si>
    <t>Quy trình khai thuế trở nên đơn giản hơn với việc áp dụng hệ thống điện tử. Điều này giúp tiết kiệm thời gian và công sức cho người dân.</t>
  </si>
  <si>
    <t>Biểu thuế mới đơn giản hóa các bậc thuế, làm cho quá trình tính toán và nộp thuế trở nên dễ dàng hơn.</t>
  </si>
  <si>
    <t>Nhà nước đã cải cách thuế một cách công bằng, tăng mức giảm trừ gia cảnh và đơn giản hóa biểu thuế, tạo ra sự tin tưởng trong việc thực thi chính sách.</t>
  </si>
  <si>
    <t>Mức thuế mới được thiết kế phù hợp với thu nhập của người lao động như tôi, thể hiện tính công bằng trong hệ thống thuế.</t>
  </si>
  <si>
    <t>Tôi tin rằng số tiền thuế đóng sẽ được sử dụng hiệu quả để cải thiện các dịch vụ công, từ đó tạo ra lợi ích cho toàn xã hội.</t>
  </si>
  <si>
    <t>Chính phủ đã cung cấp thông tin rõ ràng về mục tiêu và lý do của việc cải cách thuế, giúp tôi hiểu được sự cần thiết của nó.</t>
  </si>
  <si>
    <t>Sau khi xem xét các quyền lợi và nghĩa vụ mới, tôi ủng hộ và sẵn lòng tuân thủ chính sách thuế mới vì chúng mang lại nhiều lợi ích cho người dân như tôi.</t>
  </si>
  <si>
    <t>Cơ quan thuế có nhiều công cụ để phát hiện gian lận, nhưng vẫn cần cải thiện khả năng quản lý và xử lý các vụ việc.</t>
  </si>
  <si>
    <t>Nhà nước đã đầu tư vào công nghệ, tuy nhiên khả năng thực thi vẫn phụ thuộc vào nguồn lực và chính sách.</t>
  </si>
  <si>
    <t>Thủ tục khai thuế đơn giản hơn trước, nhưng vẫn cần thêm thời gian để quen với thay đổi.</t>
  </si>
  <si>
    <t>Các bậc thuế mới dễ hiểu và thực hiện hơn so với trước đây, giảm tải cho người dân.</t>
  </si>
  <si>
    <t>Tôi tin rằng cơ quan thuế sẽ công tâm trong việc thực thi luật, nhưng vẫn có thể xảy ra sai sót.</t>
  </si>
  <si>
    <t>Thuế mới giảm gánh nặng cho tôi và người phụ thuộc, cảm thấy hợp lý hơn so với trước đây.</t>
  </si>
  <si>
    <t>Chỉ có thể đánh giá hiệu quả sử dụng ngân sách sau khi chính sách được thực hiện một thời gian.</t>
  </si>
  <si>
    <t>Nhà nước đã giải thích rõ mục đích của việc cải cách, nhưng vẫn cần thêm thông tin về chi tiết cụ thể.</t>
  </si>
  <si>
    <t>Tôi ủng hộ và tuân thủ chính sách mới vì nó mang lại lợi ích tài chính cho tôi và người phụ thuộc.</t>
  </si>
  <si>
    <t>Điều này phụ thuộc vào khả năng và sự quyết tâm của cơ quan thuế trong việc phát hiện hành vi gian lận, nhưng với công nghệ ngày càng tiên tiến, tôi có thể tin rằng họ sẽ thực hiện tốt.</t>
  </si>
  <si>
    <t>Cơ quan thuế đã cải thiện đáng kể khả năng của họ trong việc xử lý và phát hiện gian lận thông qua các công nghệ mới, do đó tôi tin tưởng vào khả năng này.</t>
  </si>
  <si>
    <t>So với quy trình trước đây, việc đơn giản hóa biểu thuế đã làm cho khai báo thuế trở nên dễ dàng hơn nhiều và không còn cảm thấy rườm rà như trước nữa.</t>
  </si>
  <si>
    <t>Biểu thuế mới có ít bậc hơn và mức giảm trừ gia cảnh cao hơn, điều này đã làm cho việc tính toán thuế trở nên dễ dàng và rõ ràng hơn so với trước đây.</t>
  </si>
  <si>
    <t>Tôi tin rằng cơ quan thuế sẽ thực hiện chính sách một cách công bằng, nhưng việc cải cách cần thêm thời gian để chứng minh sự công tâm của nó.</t>
  </si>
  <si>
    <t>Với mức thu nhập và giảm trừ gia cảnh mới, tôi thấy rằng mình đóng thuế theo phương án mới là hợp lý.</t>
  </si>
  <si>
    <t>Tài nguyên được sử dụng từ thuế của tôi sẽ góp phần cải thiện dịch vụ công, nhưng cần thêm thời gian để nhìn thấy kết quả cụ thể.</t>
  </si>
  <si>
    <t>Tôi đồng ý rằng chính phủ đã giải thích rõ ràng về mục tiêu và lý do của việc sửa đổi thuế lần này, điều này đã làm tăng niềm tin của tôi vào quyết định này.</t>
  </si>
  <si>
    <t>Trong tổng thể, tôi ủng hộ và tuân thủ chính sách mới vì nó tạo ra nhiều lợi ích cho tôi, đồng thời giảm gian lận thuế và đơn giản hóa quy trình khai báo.</t>
  </si>
  <si>
    <t>Nhìn chung, tôi tin rằng cơ quan thuế có đủ khả năng phát hiện hành vi trốn thuế, nhưng việc thực thi cần được cải thiện hơn.</t>
  </si>
  <si>
    <t>Nguyên tắc quản lý thuế của Nhà nước đã được nâng cao, công nghệ cũng hỗ trợ tốt cho việc quản lý</t>
  </si>
  <si>
    <t>So với trước đây, quy trình làm việc với cơ quan thuế đơn giản hơn và dễ thực hiện.</t>
  </si>
  <si>
    <t>Biểu thuế được đơn giản hóa từ 7 bậc xuống còn 5 bậc, giảm bớt sự phức tạp cho người nộp thuế</t>
  </si>
  <si>
    <t>Tôi tin rằng Nhà nước sẽ thực thi chính sách một cách công bằng và minh bạch.</t>
  </si>
  <si>
    <t>Thuế mới được điều chỉnh phù hợp với thu nhập của tôi, cho thấy sự công bằng trong hệ thống thuế</t>
  </si>
  <si>
    <t>Tài nguyên thuế sẽ được sử dụng hiệu quả để cải thiện các dịch vụ công như y tế và giao thông.</t>
  </si>
  <si>
    <t>Nhà nước đã cung cấp thông tin đầy đủ về mục tiêu của việc sửa đổi chính sách thuế lần này</t>
  </si>
  <si>
    <t>Dựa trên các thay đổi tích cực, tôi ủng hộ và sẽ tuân thủ chính sách mới.</t>
  </si>
  <si>
    <t>Dù luật mới đơn giản hóa nhiều, nhưng tôi không hoàn toàn tin rằng hành vi gian lận sẽ dễ bị phát hiện do thiếu thông tin cá nhân.</t>
  </si>
  <si>
    <t>Cơ quan thuế có khả năng và công nghệ để theo dõi, nhưng thực tế triển khai còn phụ thuộc vào nhiều yếu tố khác</t>
  </si>
  <si>
    <t>Quy trình làm việc với cơ quan thuế đã đơn giản hơn, thủ tục khai báo cũng dễ dàng hơn trước</t>
  </si>
  <si>
    <t>Biểu thuế mới rõ ràng và dễ hiểu hơn so với trước đây</t>
  </si>
  <si>
    <t>Tôi tin Nhà nước sẽ thực thi chính sách công bằng, nhưng vẫn có lo ngại về sự minh bạch trong quá trình quản lý</t>
  </si>
  <si>
    <t>Thuế mới hợp lý hơn với mức thu nhập của tôi</t>
  </si>
  <si>
    <t>Tôi tin số tiền thuế đóng sẽ được sử dụng hiệu quả cho dịch vụ công</t>
  </si>
  <si>
    <t>Nhà nước đã giải thích rõ ràng về mục tiêu cải cách, nhưng vẫn cần thêm thông tin cụ thể hơn</t>
  </si>
  <si>
    <t>Tôi ủng hộ chính sách mới vì nó giúp tôi tiết kiệm được chi phí thuế và đơn giản hóa thủ tục</t>
  </si>
  <si>
    <t>Dù có công nghệ hỗ trợ, tôi vẫn nghi ngờ sự thực thi mạnh mẽ đối với hành vi gian lận thuế. Tuy nhiên, với mức giảm trừ gia cảnh tăng lên, cơ hội trốn thuế trở nên ít hơn.</t>
  </si>
  <si>
    <t>Nhà nước đã đầu tư vào công nghệ và hệ thống quản lý thuế, nhưng vẫn cần cải thiện trong việc phát hiện hành vi gian lận.</t>
  </si>
  <si>
    <t>Việc đơn giản hóa quy trình khai báo thuế tạo thuận lợi hơn cho người dân. Tuy nhiên, một số thủ tục vẫn phức tạp đối với tôi.</t>
  </si>
  <si>
    <t>Biểu thuế mới đơn giản và dễ hiểu hơn so với trước đây, giúp việc tính toán thuế trở nên dễ dàng.</t>
  </si>
  <si>
    <t>Dựa trên mức giảm trừ gia cảnh và thu nhập của tôi, mức thuế mới được xem là hợp lý.</t>
  </si>
  <si>
    <t>Số tiền thuế đóng sẽ được sử dụng hiệu quả để cải thiện các dịch vụ công, tạo niềm tin vào việc đầu tư thuế.</t>
  </si>
  <si>
    <t>Nhà nước đã giải thích rõ ràng về mục tiêu của chính sách mới và tôi ủng hộ mục đích này.</t>
  </si>
  <si>
    <t>Sau khi xem xét các quyền lợi, nghĩa vụ và tác động tài chính tích cực, tôi đồng ý với chính sách mới.</t>
  </si>
  <si>
    <t>Hiện nay, cơ quan thuế đã có nhiều biện pháp mạnh tay trong việc phát hiện và xử lý gian lận, trốn thuế. Với sự hỗ trợ của công nghệ, khả năng phát hiện vi phạm ngày càng cao.</t>
  </si>
  <si>
    <t>Nhà nước đã đầu tư vào hệ thống IT và nhân lực để nâng cao hiệu quả quản lý thuế. Điều này cho thấy họ có đủ năng lực xử lý nghiêm các trường hợp trốn thuế.</t>
  </si>
  <si>
    <t>Các quy trình khai báo thuế trở nên đơn giản hơn với việc giảm bậc thuế và mức giảm trừ gia cảnh. Tuy nhiên, vẫn cần thêm thời gian để quen thuộc với các thay đổi.</t>
  </si>
  <si>
    <t>Số bậc thuế giảm từ 7 xuống 5 làm cho quá trình tính thuế dễ hiểu hơn và linh hoạt hơn. Điều này góp phần làm việc thuế trở nên thuận tiện.</t>
  </si>
  <si>
    <t>Tôi tin rằng cơ quan thuế sẽ công tâm trong việc thực thi chính sách mới, nhưng vẫn cần thời gian để thấy rõ hiệu quả của nó.</t>
  </si>
  <si>
    <t>Với mức giảm trừ gia cảnh và số bậc thuế mới, tôi cảm thấy mình đóng thuế hợp lý hơn. Điều này tạo ra cảm giác công bằng.</t>
  </si>
  <si>
    <t>Dù chưa thể đánh giá rõ ràng về hiệu quả sử dụng nguồn thu thuế, nhưng tôi tin rằng số tiền đóng sẽ được sử dụng một cách hiệu quả cho mục đích chung của xã hội.</t>
  </si>
  <si>
    <t>Nhà nước đã cung cấp thông tin chi tiết về các thay đổi trong chính sách thuế, nhưng có thể cần thêm giải thích về tác động cụ thể tới người dân.</t>
  </si>
  <si>
    <t>Tôi ủng hộ và sẽ tuân thủ chính sách mới vì những lợi ích mà nó mang lại cho tôi và gia đình. Tuy nhiên, vẫn còn một số điều cần cải thiện để tăng thêm sự tin tưởng.</t>
  </si>
  <si>
    <t>Với việc tăng cường quản lý thuế và công nghệ hiện đại, khả năng phát hiện hành vi gian lận hoặc trốn thuế được cải thiện đáng kể.</t>
  </si>
  <si>
    <t>Nhà nước đã đầu tư vào hệ thống công nghệ thông tin cho cơ quan thuế, tạo điều kiện thuận lợi cho việc kiểm soát và xử lý các hành vi sai phạm.</t>
  </si>
  <si>
    <t>Thủ tục khai báo thuế đơn giản hơn với việc giảm số bậc thuế, giúp người dân dễ dàng thực hiện.</t>
  </si>
  <si>
    <t>Biểu thuế mới có ít bậc hơn và giới hạn rõ ràng hơn, thuận lợi cho việc tính toán và nộp thuế.</t>
  </si>
  <si>
    <t>Việc tăng giảm trừ gia cảnh và đơn giản hóa biểu thuế tạo ra một hệ thống công bằng hơn đối với người dân.</t>
  </si>
  <si>
    <t>Dựa trên mức thu nhập của tôi, việc đóng thuế theo phương án mới là hợp lý và công bằng.</t>
  </si>
  <si>
    <t>Tăng cường quản lý thuế giúp đảm bảo số tiền thuế đóng sẽ được sử dụng hiệu quả để phục vụ phát triển kinh tế xã hội.</t>
  </si>
  <si>
    <t>Sau khi xem xét các quyền lợi mới, tôi thấy chính sách thuế mới có lợi cho người nộp thuế như tôi.</t>
  </si>
  <si>
    <t>Dù có các quy định quản lý thuế hiện nay, mức độ gian lận trốn thuế vẫn có thể xảy ra. Tuy nhiên, với việc đơn giản hóa biểu thuế và tăng giảm trừ gia cảnh, khả năng phát hiện hành vi không tuân thủ có thể cao hơn.</t>
  </si>
  <si>
    <t>Nhà nước đã đầu tư vào công nghệ và nguồn lực để cải thiện quản lý thuế. Tuy nhiên, hiệu quả thực tế còn phụ thuộc vào nhiều yếu tố như đội ngũ nhân viên và quy trình làm việc.</t>
  </si>
  <si>
    <t>Quy trình khai báo thuế hiện tại đơn giản hơn so với trước đây. Việc tăng giảm trừ gia cảnh giúp thủ tục trở nên thuận tiện hơn cho người dân.</t>
  </si>
  <si>
    <t>Biểu thuế mới có ít bậc và rõ ràng hơn, dễ dàng thực hiện hơn so với biểu cũ.</t>
  </si>
  <si>
    <t>Tôi tin rằng cơ quan thuế sẽ thực thi chính sách một cách công bằng. Tuy nhiên, cần thời gian để kiểm chứng hiệu quả và độ khách quan trong thực thi.</t>
  </si>
  <si>
    <t>Mức thuế giảm đáng kể so với trước đây, khiến tôi cảm thấy hợp lý hơn khi đóng góp vào ngân sách nhà nước. Điều này tăng mức độ công bằng cho người dân có thu nhập tương tự như tôi.</t>
  </si>
  <si>
    <t>Thuê được giảm, nhưng tôi tin rằng số tiền này sẽ được sử dụng hiệu quả để cải thiện các dịch vụ công. Tuy nhiên, cần kiểm chứng để đảm bảo điều này.</t>
  </si>
  <si>
    <t>Nhà nước đã giải thích khá rõ về mục tiêu của việc sửa đổi thuế và cách tính thuế mới, nhưng vẫn cần thêm thông tin chi tiết hơn cho người dân hiểu đầy đủ.</t>
  </si>
  <si>
    <t>Việc nâng cấp công nghệ và quy định quản lý thuế có thể làm tăng khả năng phát hiện gian lận, nhưng không phải là hoàn toàn chắc chắn.</t>
  </si>
  <si>
    <t>Cơ quan thuế đã đầu tư vào công nghệ và nhân sự để giám sát chặt chẽ hơn, tăng khả năng xử lý nghiêm các hành vi trốn thuế.</t>
  </si>
  <si>
    <t>Bậc thuế mới có ít bước tính toán hơn, giúp việc hiểu và thực hiện các quy định dễ dàng hơn.</t>
  </si>
  <si>
    <t>Tôi tin rằng cơ quan thuế sẽ thực thi chính sách một cách công bằng, nhưng vẫn có sự lo lắng về khả năng giám sát của họ.</t>
  </si>
  <si>
    <t>Thuế mới giảm gánh nặng tài chính cho tôi, điều này làm tăng niềm tin rằng mức thuế là công bằng và phù hợp với thu nhập hiện tại.</t>
  </si>
  <si>
    <t>Dự kiến số tiền đóng thuế sẽ được sử dụng hiệu quả để cải thiện dịch vụ công, nhưng vẫn cần thêm thông tin cụ thể về cách sử dụng nguồn thu</t>
  </si>
  <si>
    <t>Nhà nước đã giải thích rõ ràng về mục tiêu của việc sửa đổi thuế, tuy nhiên, tôi mong muốn có thêm thông tin chi tiết hơn.</t>
  </si>
  <si>
    <t>Dù còn một số lo lắng nhưng do giảm gánh nặng tài chính và cơ hội phát hiện trốn thuế cao hơn, tôi ủng hộ và tuân thủ chính sách mới.</t>
  </si>
  <si>
    <t>Dù không hoàn toàn chắc chắn về khả năng phát hiện, nhưng với sự cải tiến công nghệ và quản lý thuế, tôi tin rằng hành vi gian lận sẽ bị phát hiện và xử lý.</t>
  </si>
  <si>
    <t>Cơ quan thuế có nhiều nguồn lực hơn để giám sát và xử lý các vụ việc trốn thuế, do đó khả năng thực thi pháp luật tốt hơn.</t>
  </si>
  <si>
    <t>Hệ thống khai báo thuế đơn giản hơn với giảm trừ gia cảnh rõ ràng, tôi thấy thủ tục làm việc với cơ quan thuế thuận tiện hơn nhiều so với trước đây.</t>
  </si>
  <si>
    <t>Biểu thuế mới rõ ràng và dễ hiểu hơn, số bậc thuế ít đi giúp tính toán và nộp thuế trở nên đơn giản.</t>
  </si>
  <si>
    <t>Tôi tin rằng cơ quan thuế sẽ thực thi chính sách một cách công bằng, nhưng vẫn cần thêm thông tin về các biện pháp giám sát để tăng niềm tin.</t>
  </si>
  <si>
    <t>Mức thuế mới phù hợp với thu nhập của tôi và giảm trừ gia cảnh rõ ràng, khiến tôi cảm thấy mức thuế đóng là công bằng.</t>
  </si>
  <si>
    <t>Nhìn chung, tôi tin rằng số tiền thuế đóng sẽ được sử dụng hiệu quả để cải thiện dịch vụ công, nhưng cần thêm thông tin về chi tiêu cụ thể.</t>
  </si>
  <si>
    <t>Nhà nước đã giải thích rõ ràng về mục tiêu của chính sách mới và tôi ủng hộ việc này</t>
  </si>
  <si>
    <t>Tôi đồng ý với các thay đổi trong thuế TNCN, chúng phù hợp hơn với tình hình hiện tại và tạo ra sự công bằng.</t>
  </si>
  <si>
    <t>Chính phủ có nhiều biện pháp quản lý thuế hiện đại, công nghệ cao nên khả năng phát hiện gian lận hoặc trốn thuế là rất lớn.</t>
  </si>
  <si>
    <t>Nhà nước đã đầu tư vào hệ thống công nghệ thông tin và nhân lực chuyên môn để đảm bảo hiệu quả trong việc quản lý và xử lý các hành vi vi phạm.</t>
  </si>
  <si>
    <t>Quy trình khai thuế và làm việc với cơ quan thuế đã đơn giản hơn, tiết kiệm thời gian cho người dân.</t>
  </si>
  <si>
    <t>Biểu thuế mới rõ ràng hơn, dễ hiểu và dễ thực hiện so với trước đây, giảm bớt sự phức tạp.</t>
  </si>
  <si>
    <t>Nhà nước đã công bố chính sách một cách minh bạch, tôi tin tưởng rằng sẽ được thực thi công bằng cho tất cả người dân.</t>
  </si>
  <si>
    <t>Mức thuế mới giảm đi đáng kể so với trước đây và phù hợp với thu nhập của gia đình tôi, tạo cảm giác công bằng.</t>
  </si>
  <si>
    <t>Tôi tin rằng số tiền thuế đóng sẽ được sử dụng hiệu quả để cải thiện các dịch vụ công cho người dân.</t>
  </si>
  <si>
    <t>Nhà nước đã giải thích rõ ràng mục tiêu và lý do của việc sửa đổi chính sách thuế lần này, tôi cảm thấy tin tưởng hơn.</t>
  </si>
  <si>
    <t>Sau khi xem xét tác động tài chính và các thay đổi trong chính sách, tôi ủng hộ và tuân thủ chính sách mới.</t>
  </si>
  <si>
    <t>Dù có công nghệ hỗ trợ, tôi vẫn nghi ngờ khả năng phát hiện gian lận trốn thuế hoàn toàn. Tuy nhiên, mức thuế giảm đáng kể cho thấy cơ quan thuế đang cố gắng làm minh bạch.</t>
  </si>
  <si>
    <t>Ngoài việc tăng giảm trừ gia cảnh, các quy định mới có vẻ rõ ràng hơn và dễ kiểm tra. Tuy nhiên, tôi vẫn lo ngại về khả năng thực thi.</t>
  </si>
  <si>
    <t>Quy trình làm việc với cơ quan thuế trở nên đơn giản khi giảm bậc thuế, nhưng thủ tục khai báo vẫn khá rườm rà. Tuy nhiên, nó đã cải thiện đáng kể so với trước đây.</t>
  </si>
  <si>
    <t>Các bậc thuế mới rõ ràng hơn, dễ hiểu và thực hiện dễ dàng hơn, giảm bớt sự phức tạp cho người nộp thuế.</t>
  </si>
  <si>
    <t>Tôi tin rằng cơ quan thuế sẽ cố gắng thực thi công bằng nhưng vẫn lo ngại về khả năng thực thi của họ.</t>
  </si>
  <si>
    <t>Thuế mới giảm đáng kể so với trước đây, khiến tôi cảm thấy hợp lý hơn. Mức thuế mới là phản ánh đúng mức thu nhập của tôi.</t>
  </si>
  <si>
    <t>Dù còn nghi ngờ về việc sử dụng hiệu quả số tiền thuế nhưng tôi tin rằng Nhà nước sẽ nỗ lực quản lý tốt hơn.</t>
  </si>
  <si>
    <t>Nội dung giải thích rõ ràng và dễ hiểu, giúp tôi hiểu mục tiêu của chính sách mới. Tuy nhiên, vẫn còn không đủ thông tin về cách sử dụng số tiền thuế</t>
  </si>
  <si>
    <t>Tôi ủng hộ chính sách mới vì nó giảm gánh nặng tài chính cho cá nhân và cải thiện độ minh bạch.</t>
  </si>
  <si>
    <t>Nhà nước đã có nhiều biện pháp quản lý thuế hiện đại, nhưng vẫn còn vấn đề về tuân thủ.</t>
  </si>
  <si>
    <t>Cơ quan thuế đã đầu tư công nghệ để phát hiện trốn thuế, tuy nhiên, việc này cần thời gian thực thi.</t>
  </si>
  <si>
    <t>Thủ tục khai báo và quy trình làm việc với cơ quan thuế đơn giản hơn, nhưng vẫn có thể còn cải tiến.</t>
  </si>
  <si>
    <t>Cách tính thuế mới đơn giản hóa quá trình tính toán, dễ hiểu và thực hiện hơn so với trước đây</t>
  </si>
  <si>
    <t>Tôi tin rằng các quy định mới sẽ được thực thi công bằng đối với mọi người nộp thuế.</t>
  </si>
  <si>
    <t>Mức thuế mới phù hợp với thu nhập của tôi, cảm thấy công bằng</t>
  </si>
  <si>
    <t>Đồng ý rằng số tiền thuế đóng sẽ được sử dụng hiệu quả cho các dịch vụ công</t>
  </si>
  <si>
    <t>Nhà nước đã giải thích rõ mục tiêu của việc sửa đổi thuế, nhưng cần cải thiện hơn nữa về minh bạch.</t>
  </si>
  <si>
    <t>Tôi ủng hộ và tuân thủ chính sách mới vì lợi ích tài chính và sự đơn giản hóa</t>
  </si>
  <si>
    <t>Dù thuế đã đơn giản hơn, nhưng tôi vẫn lo ngại về khả năng phát hiện hành vi gian lận hoặc trốn thuế.</t>
  </si>
  <si>
    <t>Công nghệ hiện đại có thể hỗ trợ tốt trong việc phát hiện trốn thuế, nhưng tôi tin cần thêm thời gian để áp dụng hiệu quả.</t>
  </si>
  <si>
    <t>Quy trình khai báo và làm việc với cơ quan thuế đã đơn giản hơn so với trước đây, thuận tiện cho người dân.</t>
  </si>
  <si>
    <t>Biểu thuế mới có ít bậc hơn nên dễ hiểu hơn, nhưng tôi nghĩ cần thêm thời gian để thực hành và nắm vững.</t>
  </si>
  <si>
    <t>Tôi tin rằng Nhà nước sẽ công bằng trong việc áp dụng chính sách, nhưng cũng lo ngại về khả năng thực thi.</t>
  </si>
  <si>
    <t>Thuế mới giảm đáng kể so với trước đây nên tôi thấy mức thuế là hợp lý cho thu nhập của mình</t>
  </si>
  <si>
    <t>Với số tiền tiết kiệm được từ chính sách mới, tôi tin rằng nó sẽ được sử dụng hiệu quả để cải thiện dịch vụ công.</t>
  </si>
  <si>
    <t>Nhà nước đã giải thích rõ ràng về mục tiêu của việc sửa đổi thuế, nhưng tôi mong muốn có thêm thông tin chi tiết hơn</t>
  </si>
  <si>
    <t>Dù còn nghi ngại một số điểm, nhưng tôi ủng hộ và sẽ tuân thủ chính sách mới vì lợi ích cá nhân và cộng đồng.</t>
  </si>
  <si>
    <t>Dù mức thuế giảm nhưng tôi vẫn tin rằng cơ quan thuế có khả năng giám sát, xử lý gian lận.</t>
  </si>
  <si>
    <t>Cơ quan thuế đã áp dụng nhiều công nghệ mới nên việc phát hiện trốn thuế sẽ dễ dàng hơn.</t>
  </si>
  <si>
    <t>Quy trình khai báo và làm việc với cơ quan thuế trở nên đơn giản hơn, tiết kiệm thời gian.</t>
  </si>
  <si>
    <t>Biểu thuế mới rõ ràng, dễ hiểu và giảm bớt sự phức tạp, giúp tôi dễ dàng tính toán.</t>
  </si>
  <si>
    <t>Tôi tin rằng chính phủ sẽ thực thi chính sách một cách công bằng, khách quan.</t>
  </si>
  <si>
    <t>Thuế mới giảm và công bằng hơn với thu nhập của tôi nên tôi thấy hợp lý.</t>
  </si>
  <si>
    <t>Tôi tin rằng số tiền thuế đóng sẽ được sử dụng hiệu quả để cải thiện dịch vụ công.</t>
  </si>
  <si>
    <t>Nhà nước đã giải thích rõ ràng về mục tiêu của chính sách mới, tôi thấy minh bạch.</t>
  </si>
  <si>
    <t>Do giảm trừ gia cảnh tăng và thuế suất giảm nên tôi ủng hộ và tuân thủ chính sách mới.</t>
  </si>
  <si>
    <t>Nếu có công nghệ hiện đại, khả năng phát hiện trốn thuế sẽ cao hơn. Tuy nhiên, vẫn còn nhiều rủi ro nếu cơ quan thuế không thực thi tốt.</t>
  </si>
  <si>
    <t>Nhà nước đã đầu tư vào công nghệ và nhân lực để quản lý thuế hiệu quả hơn, tăng cường khả năng phát hiện trốn thuế.</t>
  </si>
  <si>
    <t>Thủ tục khai báo thuế trở nên đơn giản hơn với mức giảm trừ gia cảnh cao hơn, người dân dễ dàng hiểu và thực hiện.</t>
  </si>
  <si>
    <t>Bậc thuế ít đi, việc tính toán thuế cũng trở nên đơn giản và dễ hiểu hơn so với trước đây.</t>
  </si>
  <si>
    <t>Nhà nước đã cải cách để tạo ra một hệ thống công bằng hơn, người dân không còn bị trừng phạt quá nặng khi thu nhập thấp.</t>
  </si>
  <si>
    <t>Mức thuế mới phù hợp với thu nhập của tôi và những người cùng ngành nghề, thể hiện sự cân nhắc giữa lợi ích của nhà nước và cá nhân.</t>
  </si>
  <si>
    <t>Các khoản chi tiêu công như y tế, giáo dục đều cần kinh phí, việc đóng thuế là trách nhiệm của tôi để góp phần xây dựng xã hội.</t>
  </si>
  <si>
    <t>Nhà nước đã giải thích rõ ràng về mục đích và quy trình cải cách thuế, tạo ra sự minh bạch cho người dân.</t>
  </si>
  <si>
    <t>Chính sách mới có lợi hơn với tôi, giúp giảm gánh nặng tài chính và làm việc trở nên đơn giản hơn. Tôi ủng hộ.</t>
  </si>
  <si>
    <t>Việc tăng mức giảm trừ gia cảnh và đơn giản hóa biểu thuế có thể làm giảm khả năng phát hiện hành vi gian lận. Tuy nhiên, các quy định quản lý thuế vẫn cần sự giám sát chặt chẽ từ phía cơ quan thuế.</t>
  </si>
  <si>
    <t>Cơ quan thuế có thể áp dụng công nghệ để phát hiện hành vi trốn thuế, nhưng hiệu quả phụ thuộc vào nguồn lực và quyết tâm của các cơ quan quản lý.</t>
  </si>
  <si>
    <t>Thủ tục khai báo thuế đơn giản hơn so với trước đây, giúp người nộp thuế dễ dàng làm việc với cơ quan thuế hơn.</t>
  </si>
  <si>
    <t>Biểu thuế mới có ít bậc hơn và mức giảm trừ gia cảnh tăng lên, do đó cách tính thuế trở nên dễ hiểu và thực hiện đơn giản hơn.</t>
  </si>
  <si>
    <t>Tôi tin rằng Nhà nước sẽ thực thi chính sách một cách khách quan vì sự thay đổi này giúp giảm gánh nặng tài chính cho người dân, tạo ra một môi trường thuế công bằng hơn.</t>
  </si>
  <si>
    <t>Mức thuế mới là hợp lý với thu nhập của tôi. Việc tăng mức giảm trừ gia cảnh cũng làm giảm gánh nặng về mặt tài chính.</t>
  </si>
  <si>
    <t>Thuế đóng sẽ được sử dụng hiệu quả để cải thiện các dịch vụ công, do đó tôi tin rằng việc đóng thuế là cần thiết và hữu ích cho cộng đồng.</t>
  </si>
  <si>
    <t>Nhà nước đã giải thích rõ ràng về mục tiêu của việc sửa đổi chính sách thuế, tạo ra sự minh bạch trong quá trình thực thi.</t>
  </si>
  <si>
    <t>Tôi ủng hộ và tuân thủ chính sách mới vì nó giúp giảm gánh nặng tài chính cho người dân đồng thời cải thiện môi trường kinh doanh và phát triển kinh tế.</t>
  </si>
  <si>
    <t>Cơ quan thuế có nhiều biện pháp quản lý và công nghệ hiện đại, nhưng vẫn chưa hoàn toàn chắc chắn về khả năng phát hiện trốn thuế.</t>
  </si>
  <si>
    <t>Nhà nước đã đầu tư vào hệ thống công nghệ thông tin của cơ quan thuế để nâng cao hiệu quả quản lý, tuy nhiên việc thực thi còn phụ thuộc nhiều yếu tố khách quan.</t>
  </si>
  <si>
    <t>Thủ tục khai báo thuế đã đơn giản hơn, giảm bớt bước phức tạp nhưng vẫn cần thời gian để làm quen và hoàn thiện hồ sơ.</t>
  </si>
  <si>
    <t>Cách tính thuế mới rõ ràng, dễ dàng theo dõi, mặc dù số bậc thuế đã giảm nhưng vẫn còn một số khía cạnh phức tạp đối với người dân.</t>
  </si>
  <si>
    <t>Tôi tin rằng cơ quan thuế sẽ thực hiện công bằng và khách quan trong việc áp dụng chính sách mới, song vẫn cần thời gian để chứng minh.</t>
  </si>
  <si>
    <t>Thuế mới giảm đi so với trước đây nên tôi cảm thấy công bằng hơn, mức giảm trừ gia cảnh cũng tăng lên đáng kể.</t>
  </si>
  <si>
    <t>Một số dịch vụ công đã được cải thiện nhờ nguồn thu thuế, nhưng còn nhiều lĩnh vực chưa rõ ràng về hiệu quả sử dụng ngân sách.</t>
  </si>
  <si>
    <t>Cơ quan thuế đã có những giải thích hợp lý về việc sửa đổi chính sách, mặc dù vẫn cần thêm thông tin chi tiết hơn để tăng độ tin cậy.</t>
  </si>
  <si>
    <t>Tác động tài chính tích cực và sự đơn giản hóa quy trình làm việc đã khiến tôi ủng hộ chính sách mới, song vẫn có một số lo ngại về hiệu quả thực tế.</t>
  </si>
  <si>
    <t>Dù thuế được đơn giản hóa, nhưng tôi vẫn tin rằng các cơ quan thuế có đủ khả năng phát hiện hành vi gian lận.</t>
  </si>
  <si>
    <t>Nhà nước và cơ quan thuế đã đầu tư công nghệ để phát hiện trốn thuế, nhưng tôi nghĩ họ cần tiếp tục cải thiện hơn nữa.</t>
  </si>
  <si>
    <t>Quy trình khai thuế đơn giản hơn trước, đặc biệt là việc giảm trừ gia cảnh. Tuy nhiên, vẫn còn một số thủ tục phức tạp.</t>
  </si>
  <si>
    <t>Biểu thuế mới có ít bậc và rõ ràng hơn so với trước đây, dễ dàng thực hiện hơn</t>
  </si>
  <si>
    <t>Tôi tin rằng các cơ quan thuế sẽ công bằng trong việc áp dụng chính sách, nhưng vẫn cần thêm minh bạch.</t>
  </si>
  <si>
    <t>Thuế mới được giảm đi đáng kể, tôi cảm thấy mức thuế này là hợp lý cho thu nhập của mình</t>
  </si>
  <si>
    <t>Nhà nước đã giải thích rõ về mục tiêu của việc sửa đổi chính sách, nhưng tôi vẫn muốn có thêm thông tin.</t>
  </si>
  <si>
    <t>Tác động tài chính tích cực và quy định thuế đơn giản hơn khiến tôi ủng hộ chính sách mới</t>
  </si>
  <si>
    <t>Dù có công nghệ hỗ trợ, tôi vẫn lo ngại về khả năng quản lý và phát hiện hành vi trốn thuế của cơ quan thuế.</t>
  </si>
  <si>
    <t>Việc tăng giảm trừ gia cảnh giúp hạn chế việc gian lận, nhưng cần sự giám sát chặt chẽ hơn để tránh lợi dụng.</t>
  </si>
  <si>
    <t>Quy trình khai báo thuế trở nên đơn giản với ít bậc thuế, làm cho quá trình nộp thuế tiện lợi hơn.</t>
  </si>
  <si>
    <t>Thay đổi về bậc thuế và giảm trừ gia cảnh giúp tính toán thuế dễ dàng và phù hợp với thu nhập của tôi.</t>
  </si>
  <si>
    <t>Tôi tin rằng cơ quan thuế sẽ công bằng trong việc thực thi, nhưng cần có thêm minh bạch về cách áp dụng các quy định mới.</t>
  </si>
  <si>
    <t>Với mức giảm trừ gia cảnh và bậc thuế mới, tôi thấy mình đóng thuế hợp lý với thu nhập của mình.</t>
  </si>
  <si>
    <t>Những khoản thuế này sẽ được sử dụng để cải thiện dịch vụ công, nhưng cần có thông tin rõ ràng về cách sử dụng số tiền đó.</t>
  </si>
  <si>
    <t>Mặc dù đã giải thích về mục tiêu của việc sửa đổi thuế, tôi mong muốn có thêm minh bạch về quy trình thực thi.</t>
  </si>
  <si>
    <t>Tôi ủng hộ chính sách mới vì nó giúp tiết kiệm tiền và đơn giản hóa quy trình khai báo thuế.</t>
  </si>
  <si>
    <t>Hiện nay có nhiều biện pháp quản lý thuế, tôi tin rằng hành vi gian lận hoặc trốn thuế sẽ dễ dàng bị phát hiện. Tuy nhiên, do chưa thực sự trải nghiệm nên vẫn còn một chút ngờ vực.</t>
  </si>
  <si>
    <t>Công nghệ ngày càng phát triển, tôi tin rằng cơ quan thuế có khả năng sử dụng công nghệ để kiểm soát và xử lý gian lận thuế một cách hiệu quả. Tuy nhiên, vẫn cần cải thiện về mặt thực thi.</t>
  </si>
  <si>
    <t>Quy trình khai báo thuế trở nên đơn giản hơn với mức giảm trừ gia cảnh cao hơn và số bậc thuế ít đi. Điều này giúp tôi dễ dàng hơn trong việc làm việc với cơ quan thuế.</t>
  </si>
  <si>
    <t>Biểu thuế mới đơn giản, dễ hiểu và dễ thực hiện hơn so với trước đây. Các mức thu nhập chịu thuế cũng rõ ràng hơn, giúp tôi tính toán chính xác.</t>
  </si>
  <si>
    <t>Tôi tin rằng Nhà nước sẽ thực thi chính sách một cách công bằng và khách quan. Mức thuế mới được giảm đáng kể, khiến tôi cảm thấy hài lòng hơn về sự công bằng trong việc đóng góp.</t>
  </si>
  <si>
    <t>Mức thuế mới là hợp lý cho thu nhập của tôi. Với mức giảm trừ gia cảnh cao và số bậc thuế ít đi, tôi thấy mình đóng góp một cách công bằng hơn so với trước đây.</t>
  </si>
  <si>
    <t>Tiền thuế mà tôi đóng sẽ được sử dụng hiệu quả để cải thiện dịch vụ công. Điều này khiến tôi tin tưởng hơn vào việc sử dụng tiền thuế của Nhà nước.</t>
  </si>
  <si>
    <t>Nhà nước đã giải thích rõ ràng về mục tiêu và lý do thay đổi chính sách thuế. Tôi cảm thấy thông tin minh bạch, giúp tôi hiểu rõ hơn về việc này.</t>
  </si>
  <si>
    <t>Sau khi xem xét các quyền lợi và nghĩa vụ, tôi ủng hộ và tuân thủ chính sách mới vì nó mang lại nhiều thuận tiện và công bằng hơn so với trước đây. Tôi tin rằng việc cải cách này sẽ tốt cho nền kinh tế tổng thể.</t>
  </si>
  <si>
    <t>Doanh nghiệp và cá nhân đều bị giám sát chặt chẽ, cơ quan thuế có hệ thống công nghệ thông tin hiện đại nên việc phát hiện gian lận trốn thuế dễ dàng hơn.</t>
  </si>
  <si>
    <t>Nhà nước đã đầu tư mạnh vào công nghệ và nhân lực để giám sát và xử lý nghiêm các hành vi trốn thuế, tăng cường hiệu quả quản lý.</t>
  </si>
  <si>
    <t>Quy trình khai báo thuế đơn giản hơn với số bậc thuế giảm từ 7 xuống còn 5. Các bước thực hiện cũng nhanh chóng và tiện lợi hơn</t>
  </si>
  <si>
    <t>Cách tính thuế mới rõ ràng, dễ hiểu và không phức tạp như trước đây. Người dân dễ dàng nắm bắt và tuân thủ.</t>
  </si>
  <si>
    <t>Nhà nước đã công bố thông tin minh bạch về chính sách mới và có biện pháp xử lý gian lận, trốn thuế nghiêm túc.</t>
  </si>
  <si>
    <t>Tiết kiệm được nhiều tiền thuế do tăng mức giảm trừ gia cảnh. Mức thuế mới phù hợp với thu nhập của tôi</t>
  </si>
  <si>
    <t>Thuế đóng góp vào các dịch vụ công quan trọng như y tế, giao thông, giáo dục, giúp nâng cao chất lượng cuộc sống.</t>
  </si>
  <si>
    <t>Nhà nước đã giải thích rõ ràng mục đích và lý do của việc cải cách thuế. Người dân được tham gia góp ý</t>
  </si>
  <si>
    <t>Tiết kiệm được tiền thuế, mức giảm trừ gia cảnh tốt hơn nên tôi ủng hộ và tuân thủ chính sách mới.</t>
  </si>
  <si>
    <t>Dù không hoàn toàn tin tưởng do môi trường kinh tế hiện tại, tôi cho rằng cơ quan thuế có đủ khả năng phát hiện hành vi trốn thuế với các công nghệ hiện đại.</t>
  </si>
  <si>
    <t>Nếu Nhà nước đã đầu tư vào hệ thống quản lý thuế hiện đại như dự đoán, việc xử lý nghiêm túc các trường hợp gian lận sẽ tăng đáng kể.</t>
  </si>
  <si>
    <t>So với trước đây, quy trình khai báo thuế trở nên đơn giản hơn, giúp tôi không còn phải mất quá nhiều thời gian cho các thủ tục hành chính.</t>
  </si>
  <si>
    <t>Biểu thuế được đơn giản hóa từ 7 bậc xuống 5, khiến việc tính toán và thực hiện trở nên dễ dàng hơn.</t>
  </si>
  <si>
    <t>Tôi tin rằng cơ quan thuế sẽ công bằng trong quá trình thực thi chính sách mới, dù chưa có nhiều thông tin cụ thể về cách họ quản lý.</t>
  </si>
  <si>
    <t>Với mức giảm trừ gia cảnh và bậc thuế mới, tôi cảm thấy mình đóng mức thuế hợp lý so với thu nhập của mình.</t>
  </si>
  <si>
    <t>Thuế tôi phải nộp sẽ được sử dụng để cải thiện các dịch vụ công như y tế và giao thông, điều này làm tăng niềm tin vào việc chi tiêu hiệu quả của Nhà nước.</t>
  </si>
  <si>
    <t>Các phương án mới có phần giải thích rõ ràng hơn về mục đích của nó nhưng vẫn cần nhiều thông tin cụ thể hơn để tôi hoàn toàn tin tưởng.</t>
  </si>
  <si>
    <t>Sau khi xem xét tác động tài chính tích cực và sự đơn giản hóa, tôi sẽ ủng hộ và tuân thủ chính sách mới này.</t>
  </si>
  <si>
    <t>Việc tăng mức giảm trừ gia cảnh và đơn giản hóa biểu thuế có thể làm giảm cơ hội trốn thuế, nhưng thực tế việc phát hiện và xử lý nghiêm vẫn còn phụ thuộc vào hiệu lực quản lý của nhà nước.</t>
  </si>
  <si>
    <t>Cơ quan thuế đã cải thiện công nghệ và quy trình để phát hiện gian lận hoặc trốn thuế, tuy nhiên, hiệu quả thực tế vẫn cần thời gian để kiểm chứng.</t>
  </si>
  <si>
    <t>Phương án mới đơn giản hóa thủ tục khai báo thuế, giảm bớt các bước phức tạp trước đây, tạo thuận lợi cho người dân nộp thuế.</t>
  </si>
  <si>
    <t>Bậc thuế và mức thu nhập chịu thuế đã được đơn giản hóa, dễ hiểu và thực hiện hơn so với quy định cũ.</t>
  </si>
  <si>
    <t>Nhà nước đã thể hiện sự công bằng trong việc điều chỉnh mức giảm trừ gia cảnh và bậc thuế mới, đảm bảo không phân biệt đối xử giữa các nhóm người nộp thuế.</t>
  </si>
  <si>
    <t>Tác động tài chính tích cực từ phương án mới giúp tôi tiết kiệm được một khoản tiền đáng kể, tạo cảm giác công bằng trong việc đóng thuế.</t>
  </si>
  <si>
    <t>Tiết kiệm được tiền từ thuế có thể được sử dụng hiệu quả để cải thiện dịch vụ công, từ đó tăng niềm tin vào việc đầu tư cho tương lai.</t>
  </si>
  <si>
    <t>Nhà nước đã giải thích rõ ràng về mục tiêu và lý do của việc sửa đổi thuế lần này, mặc dù vẫn còn một số điểm chưa hoàn toàn minh bạch</t>
  </si>
  <si>
    <t>Tôi ủng hộ và tuân thủ chính sách mới vì nó mang lại lợi ích tài chính và thuận tiện hơn cho người nộp thuế.</t>
  </si>
  <si>
    <t>Thuế hiện nay có nhiều biện pháp quản lý, nhưng việc thực thi vẫn phụ thuộc vào năng lực và hiệu quả của cơ quan thuế.</t>
  </si>
  <si>
    <t>Cơ quan thuế đã đầu tư công nghệ để giám sát, tuy nhiên, việc phát hiện trốn thuế vẫn cần thời gian và nguồn lực.</t>
  </si>
  <si>
    <t>Trình tự khai báo thuế trở nên đơn giản hơn với giảm trừ gia cảnh cao hơn và số bậc thuế ít hơn, thuận lợi cho người dân.</t>
  </si>
  <si>
    <t>Biểu thuế mới rõ ràng và dễ hiểu hơn so với trước đây, khiến việc tính toán trở nên đơn giản hơn.</t>
  </si>
  <si>
    <t>Tôi tin rằng cơ quan thuế sẽ thực thi chính sách một cách công bằng nhưng vẫn có những lúc cần giám sát thêm.</t>
  </si>
  <si>
    <t>Mức thuế mới đối với thu nhập của tôi là hợp lý, giảm trừ gia cảnh cao hơn giúp tiết kiệm đáng kể.</t>
  </si>
  <si>
    <t>Tiền thuế đóng góp vào cải thiện dịch vụ công, nhưng hiệu quả sử dụng nguồn lực vẫn cần được đánh giá thường xuyên.</t>
  </si>
  <si>
    <t>Nhà nước đã giải thích rõ ràng về mục tiêu và lý do của việc sửa đổi luật thuế, tạo sự tin tưởng với người dân.</t>
  </si>
  <si>
    <t>Đối với tôi, chính sách mới có nhiều lợi ích, giảm gánh nặng về mặt tài chính và thủ tục, nên tôi sẽ ủng hộ và tuân thủ.</t>
  </si>
  <si>
    <t>Thuế hiện nay không áp dụng với thu nhập của tôi nên khó phát hiện hành vi gian lận. Tuy nhiên, cơ quan thuế có thể kiểm tra các trường hợp khác.</t>
  </si>
  <si>
    <t>Cơ sở hạ tầng công nghệ thông tin của nhà nước ngày càng phát triển nhưng không chắc chắn rằng tất cả đều được áp dụng hiệu quả vào việc phát hiện trốn thuế.</t>
  </si>
  <si>
    <t>Thủ tục khai báo thuế trở nên đơn giản hơn với mức giảm trừ gia cảnh cao, điều này làm tăng thuận tiện cho người dân.</t>
  </si>
  <si>
    <t>Bảng thuế mới đơn giản hóa quá trình tính toán và dễ hiểu hơn so với trước đây, giúp việc thực hiện các nghĩa vụ thuế trở nên dễ dàng.</t>
  </si>
  <si>
    <t>Nhà nước đã áp dụng mức giảm trừ gia cảnh cao phù hợp với thu nhập của tôi, cho thấy sự công bằng trong việc đánh giá thu nhập.</t>
  </si>
  <si>
    <t>Với mức thuế mới, tôi cảm thấy mình đóng mức thuế hợp lý so với thu nhập hiện tại.</t>
  </si>
  <si>
    <t>Việc cải cách thuế nhằm nâng cao chất lượng dịch vụ công, điều này giúp tôi tin tưởng rằng số tiền thuế đóng sẽ được sử dụng hiệu quả.</t>
  </si>
  <si>
    <t>Nhà nước đã giải thích rõ ràng về mục tiêu của việc sửa đổi thuế, tuy nhiên, việc thực thi chính sách mới vẫn còn cần thời gian để chứng minh.</t>
  </si>
  <si>
    <t>Sau khi xem xét các quyền lợi và nghĩa vụ, tôi ủng hộ và tuân thủ chính sách mới. Chính sách này mang lại lợi ích đáng kể cho người dân.</t>
  </si>
  <si>
    <t>Nhà nước đã tăng mức giảm trừ gia cảnh và đơn giản hóa biểu thuế, do đó hành vi gian lận hoặc trốn thuế sẽ khó xảy ra hơn. Cảm giác an tâm về việc xử lý nghiêm minh các hành vi vi phạm.</t>
  </si>
  <si>
    <t>Cơ quan thuế có công nghệ và nguồn lực để phát hiện kịp thời các trường hợp trốn thuế, do đó khả năng thực thi sẽ tốt hơn.</t>
  </si>
  <si>
    <t>So với trước đây, quy trình khai báo thuế trở nên đơn giản hơn. Các bước cần đi cũng ít đi, thuận tiện cho người dân và tổ chức nộp thuế.</t>
  </si>
  <si>
    <t>Biểu thuế mới có số bậc giảm, do đó việc tính toán và thực hiện thuế trở nên dễ dàng và nhanh chóng hơn. Mức thuế mới cũng hợp lý với thu nhập của tôi.</t>
  </si>
  <si>
    <t>Nhà nước đã công bố rõ ràng về mục tiêu cải cách thuế, do đó tôi tin rằng họ sẽ thực hiện chính sách một cách khách quan và công bằng đối với mọi người nộp thuế.</t>
  </si>
  <si>
    <t>Mức thuế mới giảm cho tôi so với trước đây, do đó tôi thấy nó là hợp lý. Tôi tin rằng mức này phản ánh đúng thu nhập của tôi</t>
  </si>
  <si>
    <t>Những khoản thuế mà tôi đóng sẽ được sử dụng hiệu quả để cải thiện các dịch vụ công, từ đó nâng cao chất lượng cuộc sống cho người dân.</t>
  </si>
  <si>
    <t>Tôi đã nhận được thông tin đầy đủ và minh bạch về chính sách mới. Nhà nước đã giải thích rõ ràng mục tiêu cải cách thuế lần này, tạo sự tin tưởng trong tôi</t>
  </si>
  <si>
    <t>Sau khi xem xét tác động tài chính và các quy định cải cách thuế, tôi ủng hộ và sẵn lòng tuân thủ chính sách mới. Nó giúp giảm gánh nặng về thuế cho người dân.</t>
  </si>
  <si>
    <t>Tăng cường quản lý thuế có thể phát hiện gian lận nhưng chưa rõ khả năng xử lý nghiêm về mặt thực thi.</t>
  </si>
  <si>
    <t>Cơ quan thuế đã sử dụng công nghệ tốt trong việc giám sát, tuy nhiên, xử lý nghiêm hành vi trốn thuế cần thời gian để có kết quả.</t>
  </si>
  <si>
    <t>Quy trình khai báo thuế trở nên đơn giản hơn, thủ tục nhanh chóng và tiện lợi hơn so với trước đây.</t>
  </si>
  <si>
    <t>Các bậc thuế mới đơn giản, dễ hiểu và dễ thực hiện, giúp người dân tính toán chính xác số tiền phải nộp.</t>
  </si>
  <si>
    <t>Nhà nước đã cải cách thuế một cách công bằng và minh bạch, tạo niềm tin cho người dân về cơ chế mới.</t>
  </si>
  <si>
    <t>Mức thuế hiện tại phù hợp với thu nhập của tôi, đảm bảo tính công bằng trong việc nộp thuế.</t>
  </si>
  <si>
    <t>Thuốc đóng góp vào ngân sách nhà nước sẽ được sử dụng hiệu quả để cải thiện các dịch vụ công</t>
  </si>
  <si>
    <t>Nhà nước đã giải thích rõ ràng về mục tiêu và lý do của việc cải cách thuế, tạo niềm tin cho người dân.</t>
  </si>
  <si>
    <t>Tôi ủng hộ chính sách mới vì nó giúp tôi tiết kiệm được tiền thuế và đơn giản hóa quy trình khai báo</t>
  </si>
  <si>
    <t>Nếu có nhiều biện pháp giám sát và công nghệ tiên tiến, cơ quan thuế có thể phát hiện hành vi trốn thuế nhanh chóng. Tuy nhiên, vẫn còn khả năng gian lận nếu người nộp thuế thông thạo luật.</t>
  </si>
  <si>
    <t>Nhà nước và cơ quan thuế đã đầu tư vào công nghệ để theo dõi các giao dịch tài chính. Tuy nhiên, vẫn có thể gặp khó khăn với việc xử lý rộng lớn số lượng hồ sơ.</t>
  </si>
  <si>
    <t>Quy trình khai thuế và làm việc với cơ quan thuế đã đơn giản hơn trước đây, nhưng vẫn cần cải thiện nhiều về mặt tiện ích online.</t>
  </si>
  <si>
    <t>Biểu thuế mới dễ hiểu và đơn giản hơn, giảm bớt sự phức tạp. Tuy nhiên, việc áp dụng các bậc thuế mới có thể khiến người dân cảm thấy khó khăn.</t>
  </si>
  <si>
    <t>Tôi tin rằng Nhà nước sẽ thực thi chính sách một cách công bằng và khách quan, nhưng cần thêm biện pháp minh bạch hơn nữa.</t>
  </si>
  <si>
    <t>Thuế mới có mức giảm trừ gia cảnh cao hơn, làm cho tôi cảm thấy công bằng. Tuy nhiên, vẫn còn nghi ngờ về việc sử dụng nguồn thuế hiệu quả.</t>
  </si>
  <si>
    <t>Tôi tin rằng số tiền thuế đóng sẽ được sử dụng hiệu quả để cải thiện dịch vụ công. Tuy nhiên, cần thêm thông tin rõ ràng về cách sử dụng nguồn thuế.</t>
  </si>
  <si>
    <t>Nhà nước đã giải thích lý do và mục tiêu của việc sửa đổi luật thuế một cách minh bạch hơn, nhưng vẫn còn thiếu thông tin cụ thể về quy trình thực thi.</t>
  </si>
  <si>
    <t>Sau khi xem xét các quyền lợi và nghĩa vụ, tôi đồng ý với chính sách mới. Mức thuế giảm và giảm trừ gia cảnh cao hơn làm tăng niềm tin vào hệ thống.</t>
  </si>
  <si>
    <t>Với mức giảm trừ gia cảnh cao, tôi tin rằng việc phát hiện hành vi trốn thuế sẽ khó khăn hơn. Tuy nhiên, cơ quan thuế vẫn có thể sử dụng công nghệ để giám sát.</t>
  </si>
  <si>
    <t>Nhà nước và cơ quan thuế đã đầu tư vào công nghệ, nhưng mức giảm trừ gia cảnh cao có thể làm giảm khả năng phát hiện các trường hợp trốn thuế.</t>
  </si>
  <si>
    <t>Quy trình khai báo thuế trở nên đơn giản hơn với mức giảm trừ gia cảnh cao và số bậc thuế ít hơn. Tuy nhiên, việc không có thay đổi về thuế theo luật cũ vẫn chưa thực sự cải thiện.</t>
  </si>
  <si>
    <t>Phương án mới đơn giản hóa cách tính thuế, nhưng mức giảm trừ gia cảnh cao khiến tôi cảm thấy quá trình tính toán trở nên phức tạp hơn một chút.</t>
  </si>
  <si>
    <t>Nhà nước đã cải thiện đáng kể các quy định về giảm trừ gia cảnh và đơn giản hóa biểu thuế, tạo niềm tin rằng việc phát hành chính sách này là công bằng đối với người dân.</t>
  </si>
  <si>
    <t>Tôi thấy mức thuế mới được tính dựa trên thu nhập của tôi là hợp lý. Mức giảm trừ gia cảnh cao giúp giảm gánh nặng về thuế, tạo cảm giác công bằng.</t>
  </si>
  <si>
    <t>Thuế mà tôi đóng sẽ được sử dụng để cải thiện dịch vụ công, nhưng tôi hy vọng rằng khoản tiết kiệm từ mức giảm trừ gia cảnh cao này sẽ mang lại nhiều lợi ích hơn cho người dân.</t>
  </si>
  <si>
    <t>Nhà nước đã giải thích rõ ràng về mục tiêu của việc cải cách thuế, nhưng tôi hy vọng rằng họ sẽ tiếp tục duy trì minh bạch trong quá trình thực thi chính sách mới.</t>
  </si>
  <si>
    <t>Tôi ủng hộ và tuân thủ chính sách mới vì nó mang lại nhiều lợi ích cho người dân như mức giảm trừ gia cảnh cao, nhưng tôi hy vọng rằng sẽ có thêm cải tiến trong tương lai.</t>
  </si>
  <si>
    <t>Như đã đề cập, mặc dù cải cách thuế nhằm mục đích công bằng hóa nhưng vẫn chưa đảm bảo Nhà nước và cơ quan thuế có đủ khả năng phát hiện hành vi gian lận.</t>
  </si>
  <si>
    <t>So với trước đây, thủ tục khai báo thuế và quy trình làm việc với cơ quan thuế đã đơn giản hơn nhiều, giảm bớt rắc rối cho người dân.</t>
  </si>
  <si>
    <t>Biểu thuế mới có ít bậc hơn nên dễ hiểu và thực hiện hơn so với trước đây, giúp tiết kiệm thời gian cho các công dân.</t>
  </si>
  <si>
    <t>Mặc dù mức thuế giảm nhưng tôi vẫn nghi ngờ về cách Nhà nước thực thi chính sách mới một cách khách quan và công bằng.</t>
  </si>
  <si>
    <t>Thuế của tôi giảm đáng kể, tôi tin rằng mức giảm trừ gia cảnh và số bậc thuế mới có thể đảm bảo sự công bằng cho người nộp thuế như tôi.</t>
  </si>
  <si>
    <t>Tôi tin rằng số tiền thuế tôi đóng sẽ được sử dụng hiệu quả để cải thiện dịch vụ công, nhưng cần thêm thông tin về cách sử dụng cụ thể.</t>
  </si>
  <si>
    <t>Nhà nước đã giải thích rõ ràng về mục tiêu của việc sửa đổi chính sách thuế lần này, tạo ra sự minh bạch cho người dân.</t>
  </si>
  <si>
    <t>Sau khi xem xét các quyền lợi và nghĩa vụ mới, tôi ủng hộ và sẽ tuân thủ chính sách mới vì mức thuế giảm đáng kể.</t>
  </si>
  <si>
    <t>Việc tăng mức giảm trừ gia cảnh và đơn giản hóa biểu thuế có thể làm giảm khả năng phát hiện hành vi trốn thuế, tuy nhiên, cơ quan thuế vẫn có các biện pháp khác để kiểm soát.</t>
  </si>
  <si>
    <t>Nhà nước đã đầu tư vào công nghệ và đội ngũ nhân viên, nhưng việc phát hiện gian lận cần thời gian thích nghi với chính sách mới.</t>
  </si>
  <si>
    <t>Quy trình khai báo thuế trở nên đơn giản hơn, nhưng vẫn còn một số bước phức tạp liên quan đến tính toán và nộp thuế.</t>
  </si>
  <si>
    <t>Biểu thuế mới đơn giản hóa đáng kể so với trước đây, dễ hiểu hơn và thực hiện thuận tiện hơn.</t>
  </si>
  <si>
    <t>Nhà nước có thể sẽ thực thi chính sách công tâm nhưng cần thời gian để chứng minh</t>
  </si>
  <si>
    <t>Mức thuế mới đối với thu nhập của tôi là hợp lý, giảm trừ gia cảnh tăng giúp tôi tiết kiệm hơn.</t>
  </si>
  <si>
    <t>Thuế đóng góp vào các dịch vụ công như y tế và hạ tầng cơ sở, nhưng không biết cụ thể sử dụng như thế nào</t>
  </si>
  <si>
    <t>Nhà nước đã giải thích rõ ràng về mục tiêu của việc sửa đổi thuế, nhưng cần thêm thông tin chi tiết hơn.</t>
  </si>
  <si>
    <t>Phương án mới giúp tôi tiết kiệm được tiền và thuận tiện hơn trong việc khai báo thuế nên tôi ủng hộ</t>
  </si>
  <si>
    <t>Trong thực tế, cơ quan thuế đã có nhiều biện pháp mạnh tay để ngăn chặn trốn thuế và gian lận như sử dụng công nghệ hiện đại. Tuy nhiên, việc phát hiện và xử lý vẫn cần thời gian.</t>
  </si>
  <si>
    <t>Với sự phát triển của công nghệ thông tin, cơ quan thuế có khả năng tiếp cận dữ liệu từ nhiều nguồn để giám sát người nộp thuế. Tuy nhiên, vấn đề về nhân lực và quy trình quản lý vẫn cần cải thiện.</t>
  </si>
  <si>
    <t>Việc đơn giản hóa thủ tục khai báo và quy trình làm việc với cơ quan thuế đã giúp thuận tiện hơn cho người dân. Tuy nhiên, sự thay đổi này chưa thể áp dụng rộng rãi trên toàn quốc.</t>
  </si>
  <si>
    <t>Biểu thuế mới đơn giản hóa bậc thuế từ 7 xuống 5, làm việc tính toán và hiểu rõ quy định dễ dàng hơn. Người dân cũng có nhiều lợi ích về mặt tài chính.</t>
  </si>
  <si>
    <t>Tôi tin rằng cơ quan thuế sẽ công tâm trong việc thực thi chính sách mới. Tuy nhiên, sự minh bạch và công khai của quy trình này vẫn cần được cải thiện hơn nữa.</t>
  </si>
  <si>
    <t>Với mức giảm trừ gia cảnh tăng lên, tôi thấy mình đóng thuế ít hơn so với trước. Điều này tạo cảm giác công bằng cho bản thân.</t>
  </si>
  <si>
    <t>Tôi tin rằng số tiền thuế sẽ được sử dụng hiệu quả để cải thiện các dịch vụ công, tuy nhiên, việc minh bạch về cách sử dụng nguồn thu còn hạn chế.</t>
  </si>
  <si>
    <t>Nhà nước đã giải thích rõ về mục tiêu của chính sách mới, nhưng vẫn cần nhiều thông tin và minh bạch hơn để người dân hiểu đầy đủ.</t>
  </si>
  <si>
    <t>Tính toán tài chính cho thấy tôi tiết kiệm được tiền thuế. Điều này khiến tôi ủng hộ và tuân thủ chính sách mới. Đồng thời, quy định mới cũng đơn giản hóa việc tính thuế.</t>
  </si>
  <si>
    <t>Mặc dù công nghệ theo dõi thuế đã được cải thiện, nhưng vẫn còn nhiều rủi ro về hành vi gian lận hoặc trốn thuế. Tuy nhiên, với mức giảm trừ gia cảnh tăng lên và số bậc thuế đơn giản hơn, cơ hội phát hiện trốn thuế có thể dễ dàng hơn.</t>
  </si>
  <si>
    <t>Cơ quan thuế đã cải thiện đáng kể công nghệ theo dõi, nhưng vẫn cần nâng cao thêm để đảm bảo tính minh bạch và ngăn chặn gian lận.</t>
  </si>
  <si>
    <t>Thủ tục khai báo thuế trở nên đơn giản hơn với mức giảm trừ gia cảnh tăng, việc này giúp thuận tiện cho người dân.</t>
  </si>
  <si>
    <t>Bậc thuế đã được đơn giản hóa từ 7 bậc xuống còn 5 bậc, làm cho quá trình tính thuế dễ hiểu và dễ thực hiện hơn.</t>
  </si>
  <si>
    <t>Tôi tin rằng cơ quan thuế sẽ công bằng trong việc áp dụng các quy định mới, nhưng vẫn cần thêm minh bạch từ phía nhà nước để tăng niềm tin.</t>
  </si>
  <si>
    <t>Mức giảm trừ gia cảnh và số bậc thuế đã được điều chỉnh phù hợp với thu nhập của tôi, tạo nên mức thuế công bằng hơn.</t>
  </si>
  <si>
    <t>Thuế đóng góp vào việc cải thiện dịch vụ công, nhưng cần thêm thông tin về cách sử dụng số tiền thuế để tăng niềm tin.</t>
  </si>
  <si>
    <t>Nhà nước đã giải thích rõ ràng về mục tiêu của chính sách mới, giúp tôi hiểu và ủng hộ.</t>
  </si>
  <si>
    <t>Chính sách mới mang lại lợi ích tài chính cho tôi và tạo ra sự công bằng trong việc đóng thuế. Tôi sẽ tuân thủ các quy định mới.</t>
  </si>
  <si>
    <t>Dù cơ quan thuế có công nghệ phát hiện gian lận, nhưng mức giảm trừ gia cảnh cao hơn và số bậc thuế ít hơn có thể làm cho việc giám sát khó khăn hơn đối với cá nhân. Tuy nhiên, các biện pháp kiểm soát vẫn được duy trì.</t>
  </si>
  <si>
    <t>Nhà nước đã đầu tư vào công nghệ để phát hiện và xử lý gian lận thuế, tuy nhiên việc giảm trừ gia cảnh cao hơn có thể làm giảm tính hiệu quả trong việc kiểm soát</t>
  </si>
  <si>
    <t>Quy trình khai báo và quy định mới đơn giản hơn trước đây, thủ tục cũng thuận tiện hơn cho người dân. Việc này giúp tiết kiệm thời gian và công sức.</t>
  </si>
  <si>
    <t>Số bậc thuế giảm từ 7 xuống 5 khiến việc tính toán thuế trở nên dễ dàng hơn. Các mức độ thuế suất cũng được đơn giản hóa, thuận lợi cho người dân hiểu rõ hơn về chính sách.</t>
  </si>
  <si>
    <t>Tôi tin rằng Nhà nước sẽ thực hiện chính sách một cách công bằng và minh bạch đối với mọi người nộp thuế. Việc tăng giảm trừ gia cảnh giúp việc đóng thuế trở nên công bằng hơn cho các gia đình.</t>
  </si>
  <si>
    <t>Mức thuế mới được tính dựa trên thu nhập thực tế và số lượng người phụ thuộc, tôi thấy đây là mức thuế hợp lý và công bằng đối với thu nhập của tôi.</t>
  </si>
  <si>
    <t>Tiết kiệm được tiền thuế sẽ giúp cải thiện chất lượng cuộc sống, đồng thời việc sử dụng tiền thuế vào các dịch vụ công cũng tạo niềm tin cho người dân.</t>
  </si>
  <si>
    <t>Nhà nước đã giải thích rõ ràng về mục tiêu và lý do của chính sách mới thông qua nhiều kênh truyền thông, tuy nhiên vẫn cần cải thiện hơn nữa trong việc cung cấp thông tin chi tiết</t>
  </si>
  <si>
    <t>Dù có một số thay đổi phức tạp nhưng tôi ủng hộ và tuân thủ chính sách mới vì nó giúp giảm gánh nặng về thuế cho người dân, đồng thời tạo cơ hội cải thiện chất lượng cuộc sống.</t>
  </si>
  <si>
    <t>Nhà nước và cơ quan thuế đã đầu tư vào công nghệ quản lý thuế tiên tiến, giúp phát hiện và xử lý các hành vi trốn thuế một cách hiệu quả. Điều này tăng thêm sự tin tưởng về việc thực thi pháp luật.</t>
  </si>
  <si>
    <t>So với trước đây, quy trình khai báo thuế và làm việc với cơ quan thuế trở nên đơn giản hơn nhiều. Các thủ tục đã được tinh gọn, giúp tiết kiệm thời gian cho người nộp thuế.</t>
  </si>
  <si>
    <t>Biểu thuế mới có số bậc giảm từ 7 xuống 5, cùng với việc tăng mức miễn trừ, khiến việc tính toán thuế trở nên dễ dàng hơn. Điều này giúp người dân hiểu rõ và thực hiện đúng quy định.</t>
  </si>
  <si>
    <t>Tôi tin rằng Nhà nước sẽ công bằng trong việc thực thi chính sách mới, nhưng do chưa có nhiều thông tin về cách thực hiện cụ thể nên điểm số không quá cao.</t>
  </si>
  <si>
    <t>Nhờ mức miễn trừ gia cảnh và bậc thuế được điều chỉnh phù hợp với thu nhập của tôi, tôi thấy rằng mức thuế mới là công bằng. Điều này làm tăng niềm tin vào tính công bằng của hệ thống.</t>
  </si>
  <si>
    <t>Việc cải cách thuế nhằm mục đích nâng cao chất lượng cuộc sống và phát triển hạ tầng, tôi tin rằng số tiền thuế đóng sẽ được sử dụng hiệu quả cho lợi ích cộng đồng. Tuy nhiên, chi tiết về việc này vẫn chưa rõ ràng.</t>
  </si>
  <si>
    <t>Nhà nước đã giải thích khá rõ về mục tiêu của việc cải cách thuế, nhưng do thông tin còn hạn chế nên tôi không thể đánh giá cao hơn.</t>
  </si>
  <si>
    <t>Tôi ủng hộ và tuân thủ chính sách mới vì nó giúp giảm gánh nặng tài chính cho tôi và gia đình. Tuy nhiên, vẫn cần thêm thông tin cụ thể về cách thực hiện để tăng độ tin cậy.</t>
  </si>
  <si>
    <t>Hiện nay, quy định quản lý thuế có nhiều cải tiến, tuy nhiên việc phát hiện và xử lý gian lận hay trốn thuế vẫn còn khó khăn. Với mức thuế giảm, khả năng phát hiện vi phạm trở nên quan trọng hơn.</t>
  </si>
  <si>
    <t>Công nghệ ngày càng phát triển, tuy nhiên việc kiểm soát toàn diện về thuế vẫn phụ thuộc vào nguồn lực của nhà nước. Hiện tại, cơ sở vật chất và công nghệ chưa hoàn thiện nên khả năng xử lý vi phạm còn hạn chế.</t>
  </si>
  <si>
    <t>Quy trình khai báo thuế đơn giản hơn với mức giảm trừ gia cảnh cao hơn và số bậc thuế ít đi, thuận lợi cho người dân. Các thủ tục cũng được cải thiện so với trước đây.</t>
  </si>
  <si>
    <t>Biểu thuế đơn giản, dễ hiểu hơn giúp việc tính toán thuế trở nên tiện lợi. Số bậc thuế giảm từ 7 xuống 5 làm cho quá trình tính thuế rõ ràng và dễ dàng hơn.</t>
  </si>
  <si>
    <t>Việc cải cách thuế công bằng đối với người dân, đặc biệt là mức giảm trừ gia cảnh cao giúp tôi tin tưởng vào sự khách quan của nhà nước.</t>
  </si>
  <si>
    <t>Mức thuế mới phù hợp với thu nhập hiện tại của tôi và số người phụ thuộc. Tôi thấy nó công bằng, nhưng vẫn cần thêm thông tin để chắc chắn.</t>
  </si>
  <si>
    <t>Thuế tôi đóng sẽ được sử dụng cho các dịch vụ công quan trọng như y tế, giáo dục. Điều này tạo niềm tin rằng tiền thuế của tôi không bị lãng phí.</t>
  </si>
  <si>
    <t>Nhà nước đã giải thích rõ về mục tiêu và lý do cải cách thuế mới. Tuy nhiên, tôi vẫn mong muốn có thêm thông tin chi tiết hơn về việc sử dụng nguồn thu thuế.</t>
  </si>
  <si>
    <t>Tôi ủng hộ chính sách mới vì nó giúp giảm gánh nặng tài chính và đơn giản hóa quy trình khai báo. Tôi sẽ tuân thủ vì lợi ích chung của cộng đồng.</t>
  </si>
  <si>
    <t>Việc tăng mức giảm trừ gia cảnh và đơn giản hóa biểu thuế có thể làm giảm khả năng phát hiện hành vi gian lận hoặc trốn thuế. Tuy nhiên, với công nghệ ngày càng phát triển, cơ quan thuế vẫn có thể theo dõi hiệu quả.</t>
  </si>
  <si>
    <t>Cơ quan thuế đã đầu tư vào công nghệ và nhân lực để quản lý thuế một cách hiệu quả hơn. Với việc cải cách này, khả năng phát hiện trốn thuế sẽ không kém mà thậm chí còn tăng lên.</t>
  </si>
  <si>
    <t>Quy trình khai báo thuế trở nên đơn giản hơn với mức giảm trừ gia cảnh cao và số bậc thuế giảm. Tuy nhiên, vẫn cần thời gian để người dân quen thuộc với quy trình mới.</t>
  </si>
  <si>
    <t>Biểu thuế mới rõ ràng hơn và dễ hiểu, giúp việc tính toán thuận lợi hơn. Số bậc thuế ít đi cũng làm giảm rủi ro mắc lỗi trong quá trình khai báo.</t>
  </si>
  <si>
    <t>Tôi tin rằng Nhà nước sẽ thực thi chính sách một cách công bằng và khách quan, nhưng vẫn cần thời gian để chứng minh điều này.</t>
  </si>
  <si>
    <t>Mức thuế mới phù hợp với thu nhập của tôi. Việc giảm trừ gia cảnh cao hơn cũng làm tăng cảm giác công bằng.</t>
  </si>
  <si>
    <t>Thuế đóng góp vào các dịch vụ công quan trọng như y tế và giao thông, việc cải cách thuế sẽ giúp sử dụng nguồn lực một cách hiệu quả.</t>
  </si>
  <si>
    <t>Nhà nước đã giải thích rõ ràng về mục tiêu của chính sách mới. Tuy nhiên, vẫn cần thêm thông tin về cách thực hiện để tăng độ tin cậy.</t>
  </si>
  <si>
    <t>Chính sách mới làm giảm gánh nặng thuế cho tôi và đơn giản hóa quy trình khai báo. Tôi sẽ ủng hộ và tuân thủ chính sách này.</t>
  </si>
  <si>
    <t>Thuế TNCN hiện nay có nhiều quy định phức tạp, nhưng với việc đơn giản hóa biểu thuế và tăng giảm trừ gia cảnh, khả năng phát hiện hành vi gian lận sẽ cải thiện. Cơ quan thuế cũng đang nâng cao công nghệ quản lý.</t>
  </si>
  <si>
    <t>Với sự phát triển của công nghệ thông tin và mạng lưới giám sát rộng khắp, khả năng phát hiện trốn thuế đã tăng lên đáng kể. Việc cải cách này cũng giúp nâng cao hiệu quả quản lý.</t>
  </si>
  <si>
    <t>Quy trình khai báo thuế nay đơn giản hơn nhiều so với trước đây, đặc biệt là với việc áp dụng công nghệ số hóa. Điều này tạo điều kiện thuận lợi cho người dân làm thủ tục.</t>
  </si>
  <si>
    <t>Biểu thuế mới có ít bậc hơn và ngưỡng chịu thuế rõ ràng hơn so với trước đây, giúp tính toán thuế dễ dàng và chính xác hơn. Đây là cải tiến đáng kể về mặt thuận tiện.</t>
  </si>
  <si>
    <t>Nhà nước đã công bố các quy định mới một cách minh bạch, và mức giảm trừ gia cảnh cũng như bậc thuế mới đều hướng đến việc phân phối công bằng hơn. Tôi tin rằng nhà nước sẽ thực hiện chính sách này một cách khách quan.</t>
  </si>
  <si>
    <t>Như đã nêu trên, mức thuế mới được thiết kế để phản ánh đúng thu nhập và khả năng trả của người dân. Điều này tạo ra sự công bằng trong việc đóng góp vào ngân sách nhà nước.</t>
  </si>
  <si>
    <t>Thuế tôi phải đóng sẽ được sử dụng để cải thiện dịch vụ công, như y tế và giao thông. Tuy nhiên, cần thêm minh bạch về cách sử dụng khoản thu này để tăng sự tin tưởng.</t>
  </si>
  <si>
    <t>Nhà nước đã giải thích rõ ràng về mục tiêu của việc cải cách thuế lần này, tuy nhiên, tôi mong muốn có thêm thông tin về hiệu quả sử dụng số tiền thuế thu được.</t>
  </si>
  <si>
    <t>Tôi ủng hộ chính sách mới vì nó giúp giảm gánh nặng tài chính và tạo ra một hệ thống thuế công bằng hơn. Tôi sẽ tuân thủ theo quy định mới.</t>
  </si>
  <si>
    <t>Dù không hoàn toàn, nhưng với mức giảm trừ gia cảnh tăng lên và các biện pháp quản lý thuế hiện đại, việc phát hiện hành vi gian lận hoặc trốn thuế có thể dễ dàng hơn.</t>
  </si>
  <si>
    <t>Nhà nước đã đầu tư vào công nghệ và nguồn lực để cải thiện khả năng quản lý thuế, nhưng hiệu quả thực tế phụ thuộc vào cách triển khai.</t>
  </si>
  <si>
    <t>Quy trình làm việc với cơ quan thuế đã đơn giản hơn với mức giảm trừ gia cảnh cao và số bậc thuế ít đi, nhưng vẫn có quy trình phức tạp cần tuân thủ.</t>
  </si>
  <si>
    <t>Cách tính thuế mới rõ ràng và dễ hiểu hơn so với trước đây, giúp tôi thuận tiện trong việc thực hiện nghĩa vụ thuế của mình.</t>
  </si>
  <si>
    <t>Tôi tin rằng Nhà nước sẽ áp dụng chính sách một cách công bằng cho mọi người dân, nhưng vẫn có mối nghi ngờ về khả năng thực thi.</t>
  </si>
  <si>
    <t>Mức thuế mới được giảm đáng kể so với trước đây và phù hợp với thu nhập của tôi, tạo cảm giác công bằng hơn.</t>
  </si>
  <si>
    <t>Tôi tin rằng số tiền thuế đóng sẽ được sử dụng hiệu quả để cải thiện các dịch vụ công, nhưng vẫn có sự nghi ngờ về hiệu suất thực tế.</t>
  </si>
  <si>
    <t>Nhà nước đã giải thích rõ ràng lý do và mục tiêu của việc sửa đổi thuế này, giúp tôi hiểu rõ hơn về chính sách mới.</t>
  </si>
  <si>
    <t>Dù có một số lo lắng về khả năng thực thi, nhưng tôi ủng hộ và tuân thủ chính sách mới vì lợi ích mà nó mang lại cho tôi và gia đình.</t>
  </si>
  <si>
    <t>Cơ quan thuế có đủ khả năng và công nghệ để phát hiện trốn thuế, nhưng mức độ thực thi còn phụ thuộc vào nhiều yếu tố khác như nguồn lực và sự tập trung của họ.</t>
  </si>
  <si>
    <t>Nhà nước đã cải thiện đáng kể khả năng phát hiện gian lận hoặc trốn thuế, nhưng việc xử lý nghiêm vẫn cần được đảm bảo để ngăn chặn vi phạm.</t>
  </si>
  <si>
    <t>Việc đơn giản hóa biểu thuế và quy trình khai thuế làm cho thủ tục trở nên tiện lợi hơn, giảm thời gian chờ đợi và rườm rà.</t>
  </si>
  <si>
    <t>Các bậc thuế mới rõ ràng hơn, dễ hiểu hơn so với trước đây, giúp người dân có thể tự tính toán và nộp thuế một cách chính xác.</t>
  </si>
  <si>
    <t>Tôi tin rằng Nhà nước sẽ công bằng trong việc thực thi các quy định mới về thuế, nhưng vẫn cần thêm biện pháp giám sát để đảm bảo sự công bằng.</t>
  </si>
  <si>
    <t>Mức thuế mới giảm đáng kể so với trước đây, giúp tôi tiết kiệm tiền và cảm thấy rằng mức thuế này là hợp lý cho thu nhập của mình.</t>
  </si>
  <si>
    <t>Tôi tin số tiền thuế đóng sẽ được sử dụng hiệu quả để cải thiện dịch vụ công, nhưng cần thêm thông tin về cách sử dụng chi tiết</t>
  </si>
  <si>
    <t>Nhà nước đã giải thích rõ ràng về mục tiêu của việc sửa đổi luật thuế, nhưng tôi vẫn mong muốn có thêm sự minh bạch về quy trình thực thi.</t>
  </si>
  <si>
    <t>Sau khi xem xét các quyền lợi và nghĩa vụ, tôi ủng hộ chính sách mới vì nó giúp giảm gánh nặng thuế cho người dân và đơn giản hóa quy trình khai thuế.</t>
  </si>
  <si>
    <t>Dù không hoàn toàn chắc chắn, nhưng với sự phát triển của công nghệ hiện đại, khả năng phát hiện trốn thuế có thể tăng lên. Thuế gia cảnh tăng cũng giúp việc quản lý dễ dàng hơn.</t>
  </si>
  <si>
    <t>Cơ quan thuế có nhiều nguồn lực và công nghệ để giám sát, nhưng thực tế vẫn phụ thuộc vào khả năng triển khai.</t>
  </si>
  <si>
    <t>Thuật ngữ đơn giản hơn và quy trình cải thiện giúp việc khai báo thuận tiện hơn. Mức giảm trừ gia cảnh tăng cũng làm giảm bớt thủ tục phức tạp cho cá nhân.</t>
  </si>
  <si>
    <t>Số bậc thuế giảm từ 7 xuống 5, rõ ràng dễ dàng và đơn giản hơn rất nhiều. Việc này giúp mọi người hiểu và thực hiện quy định một cách dễ dàng.</t>
  </si>
  <si>
    <t>Tôi tin rằng việc thực thi chính sách mới sẽ công bằng và khách quan đối với tất cả các cá nhân nộp thuế, bao gồm tôi. Việc giảm gánh nặng thuế cũng tạo niềm tin vào sự công bằng.</t>
  </si>
  <si>
    <t>Dù mức thuế mới giảm đi một số tiền đáng kể, nhưng nó vẫn phản ánh đúng thu nhập của tôi. Điều này cho thấy mức thuế là công bằng và phù hợp với khả năng tài chính của tôi.</t>
  </si>
  <si>
    <t>Tôi tin rằng số tiền thuế đóng sẽ được sử dụng hiệu quả để cải thiện các dịch vụ công, từ đó tạo ra lợi ích cho cộng đồng và cá nhân tôi.</t>
  </si>
  <si>
    <t>Có thông tin chi tiết về mục tiêu của việc sửa đổi chính sách thuế, nhưng cần thêm thông tin cụ thể hơn về cách sử dụng số tiền thuế thu được.</t>
  </si>
  <si>
    <t>Chính sách mới có lợi cho tôi nhiều mặt, từ giảm gánh nặng thuế đến đơn giản hóa quy trình. Tôi ủng hộ và sẽ tuân thủ chính sách mới.</t>
  </si>
  <si>
    <t>Nhà nước đã tăng mức giảm trừ gia cảnh và đơn giản hóa biểu thuế, nhưng vẫn cần sự giám sát chặt chẽ từ phía người dân để đảm bảo không gian lận.</t>
  </si>
  <si>
    <t>Cơ quan thuế có nhiều công nghệ tiên tiến giúp theo dõi hành vi trốn thuế, nhưng hiệu quả phụ thuộc vào sự thực thi.</t>
  </si>
  <si>
    <t>So với trước đây, quy trình làm việc và khai báo thuế trở nên đơn giản hơn, thuận tiện cho người dân.</t>
  </si>
  <si>
    <t>Biểu thuế mới có ít bậc hơn, dễ dàng tính toán hơn, phù hợp với người dân hiểu biết về tài chính.</t>
  </si>
  <si>
    <t>Nhà nước đã công bố rõ ràng về mục tiêu và cách thức thực hiện chính sách mới, tạo niềm tin cho người dân.</t>
  </si>
  <si>
    <t>Thuế mới được điều chỉnh phù hợp với thu nhập của tôi, thể hiện sự công bằng giữa các đối tượng nộp thuế.</t>
  </si>
  <si>
    <t>Tiết kiệm được nhiều tiền thuế, số tiền này sẽ được sử dụng hiệu quả để cải thiện dịch vụ công.</t>
  </si>
  <si>
    <t>Nhà nước đã giải thích rõ ràng về mục tiêu và lý do của việc sửa đổi thuế, tạo sự minh bạch trong quản lý tài chính</t>
  </si>
  <si>
    <t>Chính sách mới giúp tôi tiết kiệm được nhiều tiền thuế, thuận tiện hơn khi khai báo thuế, do đó tôi ủng hộ và tuân thủ.</t>
  </si>
  <si>
    <t>Cơ quan thuế có nhiều công cụ để phát hiện gian lận, tuy nhiên hiệu quả còn phụ thuộc vào sự tuân thủ của cá nhân. Với mức giảm trừ gia cảnh tăng cao, khả năng trốn thuế có thể giảm nhưng vẫn cần các biện pháp kiểm soát chặt chẽ.</t>
  </si>
  <si>
    <t>Nhà nước và cơ quan thuế đã đầu tư công nghệ để phát hiện gian lận, tuy nhiên hiệu quả còn phụ thuộc vào việc thực thi.</t>
  </si>
  <si>
    <t>Thủ tục khai báo thuế và quy trình làm việc với cơ quan thuế được đơn giản hóa, dễ dàng hơn so với trước đây. Số lượng bậc thuế giảm giúp người dân hiểu rõ hơn về cách tính thuế.</t>
  </si>
  <si>
    <t>Biểu thuế mới có ít bậc và mức giảm trừ gia cảnh cao hơn, việc tính toán thuế trở nên đơn giản và dễ thực hiện.</t>
  </si>
  <si>
    <t>Tôi tin rằng Nhà nước sẽ thực thi chính sách một cách công bằng đối với mọi người nộp thuế. Mức thuế giảm giúp tôi cảm thấy được đối xử công bằng hơn.</t>
  </si>
  <si>
    <t>Mức thuế mới phù hợp với thu nhập của tôi, và mức giảm trừ gia cảnh cao giúp tôi tiết kiệm tiền. Đây là một chính sách công bằng cho người dân có thu nhập trung bình.</t>
  </si>
  <si>
    <t>Tiền thuế tôi đóng sẽ được sử dụng để cải thiện các dịch vụ công, từ đó mang lại lợi ích cho cộng đồng và người dân như tôi.</t>
  </si>
  <si>
    <t>Nhà nước đã giải thích rõ ràng về mục tiêu của chính sách mới. Mặc dù vẫn có sự nghi ngờ, nhưng các thông tin được cung cấp khá đầy đủ.</t>
  </si>
  <si>
    <t>Tôi ủng hộ và tuân thủ chính sách mới vì nó mang lại lợi ích tài chính cho tôi và gia đình, đồng thời đơn giản hóa quy trình thuế.</t>
  </si>
  <si>
    <t>Tôi nghĩ rằng với các quy định quản lý thuế hiện nay, việc phát hiện và xử lý hành vi gian lận hoặc trốn thuế có thể sẽ khó khăn hơn do không rõ ràng về cách thực thi.</t>
  </si>
  <si>
    <t>Tôi tin rằng Nhà nước và cơ quan thuế đang nỗ lực cải thiện công nghệ để phát hiện, xử lý các hành vi trốn thuế, nhưng vẫn cần thời gian để hoàn thiện.</t>
  </si>
  <si>
    <t>So với trước đây, thủ tục khai báo thuế và quy trình làm việc với cơ quan thuế đã đơn giản hóa hơn, nhưng vẫn còn một số rào cản đối với người dân chưa am hiểu về hệ thống.</t>
  </si>
  <si>
    <t>Cách tính thuế mới đơn giản hơn so với trước đây và các bậc thuế cũng rõ ràng hơn, giúp việc tính toán thuế trở nên dễ dàng hơn cho người nộp thuế.</t>
  </si>
  <si>
    <t>Tôi tin rằng Nhà nước sẽ thực thi chính sách một cách công bằng và khách quan, nhưng vẫn cần thêm thời gian để mọi người thấy được kết quả từ việc cải cách thuế này.</t>
  </si>
  <si>
    <t>Đối với thu nhập của tôi, mức thuế mới này là hợp lý và công bằng so với trước đây. Tuy nhiên, cần thêm thời gian để cảm thấy chắc chắn về tính công bằng của chính sách.</t>
  </si>
  <si>
    <t>Tôi tin rằng số tiền thuế tôi đóng sẽ được sử dụng hiệu quả cho các dịch vụ công, nhưng việc kiểm soát và giám sát việc sử dụng ngân sách thuế cần được cải thiện hơn.</t>
  </si>
  <si>
    <t>Nhà nước đã giải thích một cách rõ ràng về lý do và mục tiêu của việc sửa đổi thuế lần này, giúp người dân hiểu được tầm quan trọng của nó.</t>
  </si>
  <si>
    <t>Dựa trên tác động tài chính tích cực và sự đơn giản hóa các quy trình, tôi ủng hộ và sẽ tuân thủ chính sách mới. Tuy nhiên, cần thời gian để cảm thấy yên tâm về hiệu quả sử dụng ngân sách thuế.</t>
  </si>
  <si>
    <t>Việc tăng giảm trừ gia cảnh và đơn giản hóa biểu thuế có thể làm giảm khả năng phát hiện hành vi gian lận, tuy nhiên cơ quan thuế vẫn có hệ thống để giám sát.</t>
  </si>
  <si>
    <t>Nhà nước đã đầu tư công nghệ vào việc quản lý và kiểm soát thuế, nhưng hiệu quả thực tế còn phụ thuộc vào nhiều yếu tố khác.</t>
  </si>
  <si>
    <t>Thủ tục khai báo thuế trở nên đơn giản hơn, giảm bớt rườm rà, thuận tiện cho người nộp thuế.</t>
  </si>
  <si>
    <t>Bảng thuế mới có ít bậc hơn và dễ hiểu, giúp việc tính toán thu nhập chịu thuế trở nên dễ dàng hơn.</t>
  </si>
  <si>
    <t>Việc tăng giảm trừ gia cảnh cho người phụ thuộc và đơn giản hóa biểu thuế tạo cảm giác công bằng trong việc đánh giá thu nhập.</t>
  </si>
  <si>
    <t>Mức thuế mới được thiết lập dựa trên thu nhập, thể hiện sự công bằng với những người có thu nhập tương tự như tôi.</t>
  </si>
  <si>
    <t>Thuế tôi đóng sẽ được sử dụng cho các dịch vụ công quan trọng, tạo niềm tin vào việc đầu tư của Nhà nước.</t>
  </si>
  <si>
    <t>Chính phủ đã giải thích khá rõ về mục đích và lý do của việc sửa đổi chính sách thuế lần này.</t>
  </si>
  <si>
    <t>Sau khi xem xét các quyền lợi và nghĩa vụ, tôi ủng hộ và sẽ tuân thủ chính sách mới vì nó mang lại nhiều lợi ích hơn.</t>
  </si>
  <si>
    <t>Hiện nay, cơ quan thuế Việt Nam có hệ thống quản lý hiện đại và công nghệ cao nên khả năng phát hiện hành vi gian lận hoặc trốn thuế là rất lớn.</t>
  </si>
  <si>
    <t>Cơ quan thuế đã tích cực triển khai các biện pháp nhằm nâng cao hiệu quả quản lý, do đó tôi tin rằng họ có đủ khả năng phát hiện và xử lý nghiêm các hành vi trốn thuế.</t>
  </si>
  <si>
    <t>So với trước đây, quy trình làm việc với cơ quan thuế đã được đơn giản hóa, thủ tục khai báo cũng trở nên dễ dàng hơn. Điều này giúp tôi cảm thấy thuận tiện và nhanh chóng khi thực hiện.</t>
  </si>
  <si>
    <t>Biểu thuế mới có số bậc giảm đi từ 7 xuống còn 5, điều này khiến việc tính toán và nộp thuế trở nên dễ dàng hơn. Tôi thấy cách tính thuế đơn giản hơn so với trước đây.</t>
  </si>
  <si>
    <t>Tôi tin rằng Nhà nước sẽ thực thi chính sách một cách công bằng và khách quan, do tôi đã nhận được lợi ích rõ rệt từ việc giảm trừ gia cảnh và số bậc thuế.</t>
  </si>
  <si>
    <t>Mức thuế mới mà tôi phải đóng phù hợp với thu nhập của mình. Tôi cảm thấy công bằng khi chỉ đóng thuế theo mức này, đồng thời nhận được lợi ích từ việc giảm trừ gia cảnh.</t>
  </si>
  <si>
    <t>Tôi tin rằng số tiền thuế tôi đóng sẽ được sử dụng hiệu quả để cải thiện dịch vụ công. Việc tăng giảm trừ gia cảnh và đơn giản hóa biểu thuế đều giúp nâng cao chất lượng cuộc sống của người dân.</t>
  </si>
  <si>
    <t>Nhà nước đã giải thích rõ ràng về lý do và mục tiêu của việc sửa đổi thuế, khiến tôi cảm thấy tin tưởng hơn vào quyết định này.</t>
  </si>
  <si>
    <t>Dựa trên lợi ích thực tế mà chính sách mới mang lại, tôi ủng hộ và sẽ tuân thủ chính sách. Việc giảm trừ gia cảnh và đơn giản hóa biểu thuế đã cải thiện đáng kể tình hình tài chính của tôi.</t>
  </si>
  <si>
    <t>Cơ quan thuế đã nâng cấp hệ thống để giám sát hiệu quả hơn, nhưng vẫn còn nhiều thách thức trong quá trình quản lý.</t>
  </si>
  <si>
    <t>Quy trình khai thuế và giao tiếp với cơ quan thuế trở nên đơn giản hơn, thuận tiện cho người dân.</t>
  </si>
  <si>
    <t>Biểu thuế mới rõ ràng, giảm số bậc từ 7 xuống còn 5, dễ dàng trong việc tính toán và nộp thuế.</t>
  </si>
  <si>
    <t>Nhà nước thể hiện cam kết công bằng khi cải cách thuế theo hướng khách quan, đối xử công bằng với mọi người dân.</t>
  </si>
  <si>
    <t>Mức giảm trừ gia cảnh và mức thuế mới đều hợp lý cho thu nhập trung bình của tôi, thể hiện tính công bằng.</t>
  </si>
  <si>
    <t>Đóng góp thuế sẽ được sử dụng hiệu quả vào các dịch vụ công như y tế và giao thông, tăng niềm tin về việc thực thi chính sách.</t>
  </si>
  <si>
    <t>Nhà nước đã giải thích rõ mục tiêu cải cách thuế, nhưng cần làm thêm để cung cấp thông tin chi tiết hơn cho người dân.</t>
  </si>
  <si>
    <t>Sau khi xem xét các thay đổi và lợi ích từ chính sách mới, tôi ủng hộ và sẽ tuân thủ.</t>
  </si>
  <si>
    <t>Với mức giảm trừ gia cảnh tăng cao và các biện pháp quản lý thuế hiện đại, tôi tin rằng hành vi gian lận sẽ dễ bị phát hiện. Tuy nhiên, do kinh nghiệm cá nhân về việc xử lý chậm trễ của cơ quan thuế trước đây, nên điểm số không quá cao.</t>
  </si>
  <si>
    <t>Nhà nước đã đầu tư công nghệ hiện đại cho hệ thống quản lý thuế, tăng cường năng lực giám sát. Tuy nhiên, vẫn còn lo ngại về khả năng thực thi hiệu quả trong thực tế.</t>
  </si>
  <si>
    <t>Quy trình khai báo thuế đơn giản hơn với các mức giảm trừ gia cảnh rõ ràng, nhưng việc cần phải nộp nhiều loại thuế khác nhau vẫn gây ra sự phức tạp.</t>
  </si>
  <si>
    <t>Biểu thuế có ít bậc hơn và dễ hiểu hơn, giúp tính toán nhanh chóng. Tuy nhiên, việc áp dụng các mức thuế mới cần thêm thời gian để quen thuộc.</t>
  </si>
  <si>
    <t>Tôi tin rằng cơ quan thuế sẽ xử lý công bằng đối với mọi người nộp thuế, dù vẫn có lo ngại về hiệu quả thực thi.</t>
  </si>
  <si>
    <t>Mức thuế mới được tính dựa trên thu nhập của tôi là hợp lý. Tuy nhiên, việc phân bổ nguồn lực cho dịch vụ công vẫn còn cần cải thiện.</t>
  </si>
  <si>
    <t>Tôi tin rằng số tiền thuế đóng sẽ được sử dụng hiệu quả, nhưng cần thêm thông tin cụ thể về cách sử dụng để tăng niềm tin.</t>
  </si>
  <si>
    <t>Nhà nước đã giải thích rõ ràng về mục tiêu của chính sách mới. Tuy nhiên, việc cung cấp thông tin chi tiết hơn về quy trình thực thi vẫn chưa đủ.</t>
  </si>
  <si>
    <t>Sau khi xem xét các quyền lợi và nghĩa vụ, tôi ủng hộ chính sách mới để giảm gánh nặng tài chính. Tuy nhiên, cần cải thiện thêm về việc quản lý thuế và sử dụng nguồn lực.</t>
  </si>
  <si>
    <t>Dù không hoàn toàn tin tưởng, nhưng với việc nâng cao mức giảm trừ gia cảnh và đơn giản hóa biểu thuế, hành vi gian lận hay trốn thuế sẽ khó khăn hơn. Với sự phát triển công nghệ của cơ quan thuế, khả năng phát hiện các hành vi sai phạm cũng tăng lên.</t>
  </si>
  <si>
    <t>Cơ quan thuế đã và đang áp dụng công nghệ tiên tiến vào quản lý thuế, giúp việc giám sát và xử lý nhanh chóng hơn. Tuy nhiên, vẫn còn một số lo ngại về sự đồng bộ giữa các cơ quan trong quá trình thực thi.</t>
  </si>
  <si>
    <t>So với trước đây, quy trình khai thuế trở nên dễ dàng và nhanh chóng hơn nhờ việc đơn giản hóa biểu thuế. Tuy nhiên, vẫn còn một số thủ tục phức tạp cần cải thiện.</t>
  </si>
  <si>
    <t>Bảng thuế mới có ít bậc hơn và mức giảm trừ gia cảnh cao hơn, khiến quá trình tính thuế trở nên đơn giản và dễ hiểu. Điều này giúp người dân nắm bắt nhanh chóng và thực hiện dễ dàng.</t>
  </si>
  <si>
    <t>Tôi tin rằng cơ quan thuế sẽ thực thi chính sách một cách công bằng, nhưng vẫn cần thêm các biện pháp giám sát để đảm bảo không có bất lợi cho người dân. Mức giảm trừ gia cảnh cao hơn và số bậc thuế ít hơn làm tăng niềm tin.</t>
  </si>
  <si>
    <t>Mức thuế mới được thiết lập dựa trên thu nhập, nên tôi thấy là công bằng. Việc giảm trừ gia cảnh cao hơn giúp giảm gánh nặng cho người dân có người phụ thuộc.</t>
  </si>
  <si>
    <t>Thuê đóng góp vào việc cải thiện dịch vụ công và hạ tầng cơ sở, nhưng tôi mong muốn biết rõ hơn về cách sử dụng số tiền thuế đó. Mức giảm trừ gia cảnh cao giúp nâng cao niềm tin.</t>
  </si>
  <si>
    <t>Nhà nước đã giải thích rõ ràng về mục tiêu của việc sửa đổi thuế, nhưng vẫn cần thêm thông tin chi tiết để người dân hiểu rõ hơn về các biện pháp thực thi. Sự minh bạch tăng lên.</t>
  </si>
  <si>
    <t>Sau khi xem xét tác động tài chính và sự đơn giản hóa quy trình, tôi ủng hộ và tuân thủ chính sách mới. Các quyền lợi đã được cải thiện đáng kể.</t>
  </si>
  <si>
    <t>Dù thu nhập và số người phụ thuộc tăng, tôi vẫn tin rằng cơ quan thuế đủ khả năng phát hiện các hành vi trốn thuế do mức giảm trừ gia cảnh lớn hơn.</t>
  </si>
  <si>
    <t>Cơ quan thuế có nhiều công nghệ tiên tiến để theo dõi và xử lý các trường hợp gian lận, trốn thuế.</t>
  </si>
  <si>
    <t>Quy trình khai báo thuế đơn giản hơn và không còn nhiều bước rườm rà như trước.</t>
  </si>
  <si>
    <t>Biểu thuế mới đơn giản, dễ hiểu và dễ thực hiện hơn so với trước đây.</t>
  </si>
  <si>
    <t>Nhà nước đã công bố rõ ràng về mục tiêu sửa đổi luật thuế lần này nên tôi tin rằng sẽ được thực thi một cách khách quan.</t>
  </si>
  <si>
    <t>Mức thuế mới phù hợp với thu nhập của tôi, giúp giảm gánh nặng tài chính.</t>
  </si>
  <si>
    <t>Thuế đóng góp vào việc cải thiện các dịch vụ công như y tế và hạ tầng giao thông.</t>
  </si>
  <si>
    <t>Nhà nước đã minh bạch về mục tiêu của việc sửa đổi thuế, tạo niềm tin cho người dân.</t>
  </si>
  <si>
    <t>Với mức giảm trừ gia cảnh và số bậc thuế đơn giản hơn, tôi ủng hộ và tuân thủ chính sách mới.</t>
  </si>
  <si>
    <t>Tăng mức giảm trừ gia cảnh và đơn giản hóa biểu thuế có thể làm giảm cơ hội trốn thuế, nhưng thực tế áp dụng vẫn phụ thuộc vào hiệu quả quản lý của các cơ quan chức năng.</t>
  </si>
  <si>
    <t>Cơ quan thuế đã đầu tư công nghệ để theo dõi và phát hiện hành vi trốn thuế, vì vậy khả năng phát hiện và xử lý nghiêm là khá cao.</t>
  </si>
  <si>
    <t>So với trước đây, quy trình khai báo và làm việc với cơ quan thuế trở nên đơn giản hơn nhiều, giúp người dân thuận tiện hơn trong quá trình nộp thuế.</t>
  </si>
  <si>
    <t>Biểu thuế mới có số bậc giảm xuống còn 5 bậc thay vì 7 trước đây, làm giảm độ phức tạp và dễ dàng thực hiện hơn.</t>
  </si>
  <si>
    <t>Tôi tin rằng việc điều chỉnh mức giảm trừ gia cảnh và biểu thuế sẽ được thực thi một cách khách quan và công bằng cho mọi người nộp thuế.</t>
  </si>
  <si>
    <t>Dựa trên mức thu nhập của tôi, mức thuế mới là hợp lý và công bằng. Mức giảm trừ gia cảnh cũng giúp giảm gánh nặng thuế.</t>
  </si>
  <si>
    <t>Thuế đóng góp vào việc cải thiện các dịch vụ công như y tế và hạ tầng, do đó tôi tin rằng số tiền thuế của tôi sẽ được sử dụng hiệu quả.</t>
  </si>
  <si>
    <t>Nhà nước đã giải thích rõ ràng về mục tiêu và lý do của việc sửa đổi thuế lần này, từ đó tạo niềm tin cho người dân trong việc tuân thủ chính sách mới.</t>
  </si>
  <si>
    <t>Tác động tài chính tích cực và sự đơn giản hóa quy trình làm việc với cơ quan thuế đã khiến tôi ủng hộ và sẵn lòng tuân thủ chính sách mới.</t>
  </si>
  <si>
    <t>Dù có công nghệ hỗ trợ, tôi vẫn nghi ngờ khả năng phát hiện trốn thuế hiệu quả vì nhiều doanh nghiệp nhỏ và vừa không tuân thủ tốt.</t>
  </si>
  <si>
    <t>Cơ quan thuế đã nâng cấp hệ thống quản lý nhưng vẫn có thể gặp khó khăn với các hành vi gian lận phức tạp.</t>
  </si>
  <si>
    <t>Quy trình khai báo thuế trở nên đơn giản hơn, đặc biệt là khi giảm số bậc thuế và tăng mức miễn giảm</t>
  </si>
  <si>
    <t>Bậc thuế mới rõ ràng hơn, dễ hiểu nhưng vẫn có thể gây bối rối với những người không quen thuộc.</t>
  </si>
  <si>
    <t>Tôi tin rằng cơ quan thuế sẽ công bằng trong việc thực thi luật mới vì mức giảm trừ gia cảnh tăng đáng kể</t>
  </si>
  <si>
    <t>Mức thuế mới phù hợp với thu nhập của tôi, giảm gánh nặng tài chính và tăng cảm giác công bằng</t>
  </si>
  <si>
    <t>Thuế đóng góp vào các dịch vụ công là cần thiết, và mức thuế mới sẽ được sử dụng hiệu quả</t>
  </si>
  <si>
    <t>Nhà nước đã giải thích rõ ràng về mục tiêu cải cách thuế, mặc dù vẫn có nhiều điểm đáng bàn</t>
  </si>
  <si>
    <t>Tôi ủng hộ chính sách mới vì nó giảm gánh nặng tài chính và tăng cảm giác công bằng, đồng thời tuân thủ nghĩa vụ của mình với Nhà nước.</t>
  </si>
  <si>
    <t>Quy định quản lý thuế hiện nay vẫn còn phức tạp, dễ bị bỏ sót nên khó phát hiện hành vi gian lận hoặc trốn thuế.</t>
  </si>
  <si>
    <t>Nhà nước đã đầu tư công nghệ nhưng khả năng phát hiện và xử lý nghiêm các hành vi trốn thuế vẫn còn hạn chế, chưa đủ mạnh mẽ.</t>
  </si>
  <si>
    <t>Thủ tục khai báo thuế và quy trình làm việc với cơ quan thuế đã đơn giản hơn nhưng vẫn còn một số rào cản nhỏ.</t>
  </si>
  <si>
    <t>Cách tính thuế mới đơn giản, dễ hiểu hơn so với trước đây do số bậc thuế giảm, giúp người dân dễ thực hiện hơn.</t>
  </si>
  <si>
    <t>Tôi tin rằng Nhà nước sẽ công tâm trong việc thực thi chính sách nhưng vẫn còn nghi ngờ về mức độ thực thi khách quan.</t>
  </si>
  <si>
    <t>Mức thuế mới được giảm đáng kể, tôi thấy đây là một sự công bằng đối với thu nhập của mình.</t>
  </si>
  <si>
    <t>Tôi tin rằng số tiền thuế đóng sẽ được sử dụng hiệu quả để cải thiện dịch vụ công nhưng vẫn còn lo ngại về mức độ thực hiện.</t>
  </si>
  <si>
    <t>Nhà nước đã giải thích rõ ràng về mục tiêu của việc sửa đổi chính sách thuế nhưng chưa đủ minh bạch về cách thức thực thi.</t>
  </si>
  <si>
    <t>Tôi ủng hộ và tuân thủ chính sách mới vì lợi ích tài chính mang lại, đồng thời hy vọng Nhà nước sẽ tiếp tục cải thiện quản lý thuế.</t>
  </si>
  <si>
    <t>Dựa trên thông tin, các quy định quản lý thuế hiện nay đã được cải thiện đáng kể, nhưng vẫn có thể xảy ra trường hợp gian lận hoặc trốn thuế. Tuy nhiên, với sự phát triển của công nghệ, khả năng phát hiện và xử lý nghiêm các hành vi này là khá cao.</t>
  </si>
  <si>
    <t>Nhà nước và cơ quan thuế đã có nhiều đầu tư về công nghệ để cải thiện việc quản lý thuế. Tuy nhiên, vẫn cần thêm thời gian để hoàn thiện hệ thống.</t>
  </si>
  <si>
    <t>Thủ tục khai báo thuế nay đơn giản hơn trước đây, nhưng vẫn có thể gặp khó khăn khi phải tuân theo các quy định phức tạp.</t>
  </si>
  <si>
    <t>Biểu thuế mới đã được đơn giản hóa, giúp việc tính toán và nộp thuế trở nên dễ dàng hơn. Tuy nhiên, người dân cần thời gian để quen thuộc với sự thay đổi này.</t>
  </si>
  <si>
    <t>Tôi tin rằng Nhà nước sẽ thực thi chính sách một cách công bằng, nhưng vẫn có thể xảy ra tình trạng xử lý không công bằng do nhiều yếu tố khác.</t>
  </si>
  <si>
    <t>Thuế mới này đối với thu nhập của tôi được xem là hợp lý. Tuy nhiên, mức thuế cũng phụ thuộc vào nhiều yếu tố kinh tế và xã hội khác.</t>
  </si>
  <si>
    <t>Tôi tin rằng số tiền thuế đóng sẽ được sử dụng hiệu quả để cải thiện dịch vụ công, nhưng cần thời gian để xem xét thực tế.</t>
  </si>
  <si>
    <t>Nhà nước đã giải thích rõ ràng về mục tiêu của chính sách mới, giúp tôi hiểu rõ hơn về việc thay đổi này. Tuy nhiên, vẫn có nhiều thông tin cần được cải thiện để tăng thêm sự minh bạch.</t>
  </si>
  <si>
    <t>Sau khi xem xét các quyền lợi và nghĩa vụ theo chính sách mới, tôi ủng hộ và sẽ tuân thủ vì nó mang lại nhiều lợi ích cho tôi. Tuy nhiên, vẫn cần thêm thời gian để thích ứng với sự thay đổi.</t>
  </si>
  <si>
    <t>Dựa trên thông tin, tôi cho rằng cơ quan thuế có công nghệ và nguồn lực để phát hiện hành vi gian lận hoặc trốn thuế. Tuy nhiên, việc thực thi vẫn phụ thuộc vào hiệu quả quản lý của họ.</t>
  </si>
  <si>
    <t>Việc áp dụng các công cụ kỹ thuật số giúp tăng cường khả năng phát hiện hành vi không tuân thủ, do đó tôi tin rằng Nhà nước có đủ khả năng để xử lý nghiêm các trường hợp vi phạm.</t>
  </si>
  <si>
    <t>Quy trình thuế đã đơn giản hơn so với trước đây, giảm bớt nhiều khâu và cải thiện thủ tục khai báo. Điều này làm cho quá trình trở nên thuận tiện và nhanh chóng hơn.</t>
  </si>
  <si>
    <t>Bậc thuế mới đơn giản hóa việc tính toán và dễ hiểu, giảm bớt rắc rối đối với người nộp thuế. Việc cắt giảm bậc thuế từ 7 xuống còn 5 cũng giúp cải thiện sự thuận tiện.</t>
  </si>
  <si>
    <t>Tôi tin rằng Nhà nước sẽ thực thi chính sách một cách công bằng, mặc dù không thể kiểm soát được hoàn toàn. Việc tăng giảm trừ gia cảnh và số bậc thuế mới tạo ra tính công bằng trong việc phân bổ gánh nặng tài chính.</t>
  </si>
  <si>
    <t>Mức thuế tôi phải đóng theo phương án mới là hợp lý, đặc biệt khi so với trước đây. Số tiền tiết kiệm được từ việc tăng giảm trừ gia cảnh giúp tôi cảm thấy công bằng hơn.</t>
  </si>
  <si>
    <t>Tôi tin rằng số thuế tôi đóng sẽ được sử dụng hiệu quả để cải thiện dịch vụ công, mặc dù không thể đánh giá cụ thể về mức độ hiệu quả ngay lập tức.</t>
  </si>
  <si>
    <t>Nhà nước đã giải thích rõ ràng về mục tiêu của việc sửa đổi thuế. Tuy nhiên, việc cung cấp thông tin đầy đủ và chi tiết hơn sẽ giúp tăng thêm niềm tin.</t>
  </si>
  <si>
    <t>Tôi ủng hộ chính sách mới vì nó mang lại lợi ích tài chính rõ rệt cho tôi, giảm bớt gánh nặng thuế và đơn giản hóa quy trình. Tôi cũng tin rằng việc cải cách này sẽ mang lại nhiều lợi ích cho cộng đồng.</t>
  </si>
  <si>
    <t>Việc tăng mức giảm trừ gia cảnh và đơn giản hóa biểu thuế có thể làm giảm động lực cho các hành vi gian lận, nhưng thực tế vẫn cần sự giám sát chặt chẽ từ nhà nước.</t>
  </si>
  <si>
    <t>Cơ quan thuế có công nghệ hiện đại hơn nên khả năng phát hiện và xử lý trốn thuế được cải thiện.</t>
  </si>
  <si>
    <t>Quy trình làm việc với cơ quan thuế nhanh chóng hơn, thủ tục khai báo thuế đơn giản hơn so với trước đây.</t>
  </si>
  <si>
    <t>Biểu thuế mới đơn giản hóa nhiều bậc, dễ hiểu và thực hiện hơn, giảm bớt sự phức tạp cho người dân.</t>
  </si>
  <si>
    <t>Nhà nước đã công bố rõ ràng mục tiêu của chính sách mới nên tôi tin rằng sẽ được thực thi công bằng đối với mọi người nộp thuế.</t>
  </si>
  <si>
    <t>Mức thuế mới giảm so với trước đây, phù hợp hơn với thu nhập cá nhân và tạo sự công bằng.</t>
  </si>
  <si>
    <t>Thuế tôi đóng sẽ được sử dụng hiệu quả để cải thiện dịch vụ công nên tôi tin tưởng vào việc này.</t>
  </si>
  <si>
    <t>Nhà nước đã giải thích rõ về lý do và mục tiêu của việc sửa đổi thuế lần này, tạo niềm tin cho người dân.</t>
  </si>
  <si>
    <t>Sau khi xem xét các quyền lợi và nghĩa vụ mới, tôi ủng hộ chính sách mới vì nó đơn giản hơn và công bằng hơn.</t>
  </si>
  <si>
    <t>Dựa trên quy định quản lý thuế hiện nay, tôi tin rằng hành vi gian lận hoặc trốn thuế sẽ dễ dàng bị phát hiện và xử lý nghiêm. Điều này nhờ vào khả năng công nghệ của cơ quan thuế cũng như sự giám sát chặt chẽ.</t>
  </si>
  <si>
    <t>Nhà nước đã đầu tư công nghệ để nâng cao hiệu quả quản lý thuế, do đó tôi tin rằng họ có đủ khả năng và công nghệ để phát hiện, xử lý nghiêm các hành vi trốn thuế.</t>
  </si>
  <si>
    <t>So với trước đây, quy trình làm việc với cơ quan thuế đơn giản hơn nhiều. Mức giảm trừ gia cảnh cao hơn đã giúp tôi tiết kiệm được một khoản tiền đáng kể, do đó thủ tục khai báo thuế cũng trở nên thuận tiện hơn.</t>
  </si>
  <si>
    <t>Biểu thuế mới đơn giản hóa nhiều so với trước đây. Bậc thuế ít hơn và dễ hiểu hơn, giúp tôi có thể tính toán nhanh chóng mức thuế mình phải đóng mà không cần quá phức tạp.</t>
  </si>
  <si>
    <t>Nhà nước đã công bố rõ ràng về chính sách mới này. Mặc dù vẫn có một số lo ngại, nhưng tôi tin rằng cơ quan thuế sẽ thực thi chính sách một cách khách quan và công bằng.</t>
  </si>
  <si>
    <t>Dựa trên mức giảm trừ gia cảnh cao hơn và sự đơn giản hóa biểu thuế, tôi cảm thấy mức thuế mình phải đóng là hợp lý. Điều này giúp cho việc nộp thuế trở nên công bằng hơn so với trước đây.</t>
  </si>
  <si>
    <t>Tôi tin rằng số tiền thuế tôi đóng sẽ được sử dụng hiệu quả để cải thiện các dịch vụ công, như y tế và giao thông. Điều này làm tăng niềm tin của tôi vào việc Nhà nước sử dụng nguồn thu một cách trách nhiệm.</t>
  </si>
  <si>
    <t>Nhà nước đã giải thích rõ ràng về mục tiêu và lý do của việc sửa đổi thuế lần này, giúp tôi hiểu được tầm quan trọng của nó. Điều này làm tăng sự tin tưởng vào quyết định quản lý tài chính của Nhà nước.</t>
  </si>
  <si>
    <t>Đối với tôi, sau khi xem xét các quyền lợi và nghĩa vụ do chính sách mới mang lại, tôi ủng hộ và tuân thủ nó. Điều này không chỉ giúp tôi tiết kiệm được một khoản tiền đáng kể mà còn làm tăng niềm tin vào hệ thống thuế.</t>
  </si>
  <si>
    <t>Nếu Nhà nước có công nghệ và nguồn lực tốt, hành vi gian lận sẽ bị phát hiện. Tuy nhiên, tôi vẫn lo ngại về khả năng thực thi.</t>
  </si>
  <si>
    <t>Nhà nước đã đầu tư vào hệ thống quản lý thuế, tăng cường công nghệ nên có thể xử lý nghiêm các hành vi trốn thuế.</t>
  </si>
  <si>
    <t>Quy trình khai báo thuế đơn giản hơn trước, nhưng vẫn còn một số thủ tục cần cải thiện.</t>
  </si>
  <si>
    <t>Biểu thuế được đơn giản hóa, dễ hiểu và thực hiện dễ dàng hơn nhiều so với trước đây.</t>
  </si>
  <si>
    <t>Tôi tin rằng Nhà nước sẽ công bằng khi áp dụng chính sách mới, nhưng vẫn có lo ngại về việc thực thi.</t>
  </si>
  <si>
    <t>Thuế của tôi giảm đáng kể, tôi thấy mức thuế này là hợp lý cho thu nhập hiện tại của mình.</t>
  </si>
  <si>
    <t>Việc Nhà nước sử dụng tiền thuế để cải thiện dịch vụ công sẽ giúp nâng cao chất lượng cuộc sống.</t>
  </si>
  <si>
    <t>Nhà nước đã giải thích rõ ràng về mục tiêu và lý do của việc sửa đổi thuế, nhưng cần làm rõ hơn nữa.</t>
  </si>
  <si>
    <t>Tôi ủng hộ chính sách mới vì tôi tiết kiệm được một số tiền đáng kể, đồng thời thấy mức thuế là công bằng.</t>
  </si>
  <si>
    <t>Cơ quan thuế có nhiều công cụ để phát hiện hành vi gian lận, nhưng vẫn cần cải thiện.</t>
  </si>
  <si>
    <t>Nhà nước đã đầu tư công nghệ và nguồn lực vào việc quản lý thuế, giảm thiểu trốn thuế hiệu quả hơn.</t>
  </si>
  <si>
    <t>Thủ tục khai báo đơn giản hơn với mức giảm trừ gia cảnh cao hơn, thuận lợi cho người dân.</t>
  </si>
  <si>
    <t>Biểu thuế được đơn giản hóa từ nhiều bậc xuống ít hơn, dễ dàng nắm bắt và thực hiện hơn.</t>
  </si>
  <si>
    <t>Nhà nước sẽ công bố thông tin rõ ràng về cách tính thuế mới, tăng lòng tin của người dân.</t>
  </si>
  <si>
    <t>Thuế tôi phải đóng thấp hơn so với trước đây, thấy rằng mức này tương xứng với thu nhập hiện tại.</t>
  </si>
  <si>
    <t>Nhà nước sử dụng số tiền thuế để cải thiện dịch vụ công, làm cho việc đóng thuế trở nên hợp lý.</t>
  </si>
  <si>
    <t>Luật mới đã được giải thích công khai, minh bạch về mục tiêu và nguyên tắc áp dụng.</t>
  </si>
  <si>
    <t>Dựa trên lợi ích tài chính và sự đơn giản hóa, tôi ủng hộ và tuân thủ chính sách thuế mới này.</t>
  </si>
  <si>
    <t>Nhìn chung, tôi tin rằng với các quy định quản lý thuế hiện nay, hành vi gian lận hoặc trốn thuế sẽ dễ dàng bị phát hiện và xử lý nghiêm. Tuy nhiên, việc thực thi cụ thể còn phụ thuộc vào nhiều yếu tố như nguồn lực của cơ quan thuế.</t>
  </si>
  <si>
    <t>Nhà nước đã đầu tư công nghệ để cải thiện khả năng phát hiện và xử lý các hành vi trốn thuế. Tuy nhiên, hiệu quả thực tế phụ thuộc vào việc triển khai và quản lý nguồn lực.</t>
  </si>
  <si>
    <t>So với trước đây, quy trình làm việc với cơ quan thuế đơn giản hơn nhiều, thủ tục khai báo thuế cũng dễ dàng hơn. Điều này đã giúp tôi tiết kiệm thời gian và công sức.</t>
  </si>
  <si>
    <t>Biểu thuế mới có ít bậc hơn nên việc tính toán thuế trở nên đơn giản hơn, dễ hiểu và thực hiện nhanh chóng hơn.</t>
  </si>
  <si>
    <t>Tôi tin rằng Nhà nước sẽ thực thi chính sách một cách công bằng và khách quan. Việc tăng giảm trừ gia cảnh cùng với việc rút gọn biểu thuế đã góp phần tạo ra sự công bằng trong việc đóng thuế.</t>
  </si>
  <si>
    <t>Theo mức thu nhập của tôi, mức thuế mới được áp dụng là hợp lý và công bằng. Việc giảm thuế so với trước đây cũng làm tăng niềm tin về tính công bằng.</t>
  </si>
  <si>
    <t>Tôi tin rằng số tiền thuế đóng sẽ được sử dụng hiệu quả để cải thiện dịch vụ công, mặc dù cụ thể như thế nào còn phụ thuộc vào cách thực hiện của Nhà nước.</t>
  </si>
  <si>
    <t>Nhà nước đã giải thích rõ ràng về mục tiêu và lý do sửa đổi thuế. Tuy nhiên, việc minh bạch hơn nữa sẽ giúp tăng niềm tin từ phía người dân.</t>
  </si>
  <si>
    <t>Tôi ủng hộ chính sách mới và sẽ tuân thủ vì nó đã cải thiện đáng kể sự thuận tiện và công bằng trong việc đóng thuế. Tuy nhiên, cần có thêm giải thích về cách sử dụng số tiền thuế được thu để tăng niềm tin.</t>
  </si>
  <si>
    <t>Nâng cao mức giảm trừ gia cảnh và đơn giản hóa biểu thuế có thể làm tăng khả năng phát hiện hành vi trốn thuế, nhưng vẫn cần sự giám sát chặt chẽ từ cơ quan thuế.</t>
  </si>
  <si>
    <t>Cơ quan thuế đã đầu tư công nghệ hiện đại giúp theo dõi và xử lý nhanh chóng các hành vi trốn thuế, tăng khả năng phát hiện vấn đề.</t>
  </si>
  <si>
    <t>Quy trình khai báo thuế trở nên đơn giản hơn với mức giảm trừ gia cảnh cao hơn và biểu thuế ngắn gọn hơn, làm cho việc tuân thủ dễ dàng hơn.</t>
  </si>
  <si>
    <t>Biểu thuế mới rõ ràng và dễ hiểu hơn so với trước đây, giúp tôi có thể tính toán chính xác số tiền phải nộp mà không cần sự hỗ trợ từ bên ngoài.</t>
  </si>
  <si>
    <t>Tôi tin rằng cơ quan thuế sẽ thực thi chính sách một cách công bằng đối với mọi người nộp thuế, mặc dù vẫn có nghi ngờ về khả năng giám sát và xử lý.</t>
  </si>
  <si>
    <t>Thuế mới được giảm đi đáng kể so với trước đây, tạo cảm giác rằng mức thuế này là hợp lý cho thu nhập của tôi.</t>
  </si>
  <si>
    <t>Những khoản tiền thuế đóng góp vào việc cải thiện dịch vụ công và hạ tầng xã hội, nhưng vẫn cần nhìn nhận về hiệu quả sử dụng nguồn lực.</t>
  </si>
  <si>
    <t>Đã có giải thích rõ ràng về mục tiêu của việc sửa đổi thuế, tuy nhiên, tôi mong muốn có thêm thông tin chi tiết về cách thức sử dụng số tiền thuế thu được.</t>
  </si>
  <si>
    <t>Trong tổng thể, chính sách mới mang lại lợi ích tài chính cho tôi và đơn giản hóa quy trình nộp thuế, do đó tôi ủng hộ và tuân thủ.</t>
  </si>
  <si>
    <t>Theo phương án mới, mức thuế tôi phải đóng là hợp lý. Thu nhập như tôi chỉ phải đóng ở bậc thuế 5%, tương đối thấp và công bằng so với thu nhập thực tế.</t>
  </si>
  <si>
    <t>Số tiền thuế tôi đóng sẽ được sử dụng hiệu quả để cải thiện dịch vụ công, từ đó tạo ra giá trị cộng đồng cho xã hội. Điều này làm tăng niềm tin của tôi vào việc sử dụng nguồn lực một cách minh bạch.</t>
  </si>
  <si>
    <t>Nhà nước đã giải thích rõ ràng về lý do và mục tiêu của việc sửa đổi thuế, tạo ra sự công bằng trong việc phân bổ thuế. Điều này làm tăng tính minh bạch và trách nhiệm.</t>
  </si>
  <si>
    <t>Sau khi xem xét các quyền lợi và nghĩa vụ mới, tôi ủng hộ và tuân thủ chính sách mới. Nó tạo ra một hệ thống thuế công bằng hơn và đơn giản hơn, giúp tôi tiết kiệm được tiền mặt.</t>
  </si>
  <si>
    <t>Nhà nước đã tăng cường công nghệ quản lý thuế và có nhiều biện pháp kiểm tra, giám sát nên khả năng phát hiện gian lận hoặc trốn thuế là cao.</t>
  </si>
  <si>
    <t>Cơ quan thuế có đội ngũ chuyên nghiệp với hệ thống công nghệ thông tin tiên tiến giúp họ xử lý nhanh chóng và chính xác các trường hợp vi phạm.</t>
  </si>
  <si>
    <t>Quy trình khai báo thuế đã được đơn giản hóa, giảm bớt thủ tục rườm rà nên việc làm việc với cơ quan thuế trở nên tiện lợi hơn rất nhiều.</t>
  </si>
  <si>
    <t>Biểu thuế mới có ít bậc và rõ ràng hơn so với trước đây, giúp tôi dễ dàng tính toán và thực hiện các bước cần thiết.</t>
  </si>
  <si>
    <t>Tôi tin rằng cơ quan thuế sẽ công bằng trong việc áp dụng chính sách mới, xử lý mọi người nộp thuế một cách khách quan.</t>
  </si>
  <si>
    <t>Mức giảm trừ gia cảnh và số bậc thuế đã được điều chỉnh phù hợp với thu nhập của tôi nên tôi thấy mức thuế này là công bằng.</t>
  </si>
  <si>
    <t>Tôi tin rằng số tiền thuế mà tôi đóng sẽ được sử dụng hiệu quả để cải thiện các dịch vụ công, giúp đời sống xã hội tốt hơn.</t>
  </si>
  <si>
    <t>Nhà nước đã giải thích rõ ràng về mục tiêu và lý do của việc sửa đổi luật thuế lần này, làm tôi cảm thấy tin tưởng hơn.</t>
  </si>
  <si>
    <t>Việc giảm thuế và đơn giản hóa quy trình khai báo thuế tạo điều kiện thuận lợi cho người dân tuân thủ, nên tôi ủng hộ chính sách mới.</t>
  </si>
  <si>
    <t>Nhà nước và cơ quan thuế có nhiều biện pháp để phát hiện gian lận, tuy nhiên vẫn còn khả năng trốn thuế thông qua các cách thức phức tạp.</t>
  </si>
  <si>
    <t>Có công nghệ hỗ trợ nhưng việc kiểm soát toàn diện và kịp thời đối với lượng lớn người nộp thuế vẫn khó khăn.</t>
  </si>
  <si>
    <t>Quy trình khai báo thuận tiện hơn, số bước giảm đi nhưng vẫn cần sự kiên nhẫn để hiểu các quy định mới.</t>
  </si>
  <si>
    <t>Cách tính thuế đơn giản hóa giúp dễ dàng thực hiện hơn so với trước đây</t>
  </si>
  <si>
    <t>Đối xử công bằng giữa người nộp thuế, tuy nhiên vẫn có nghi ngại về việc áp dụng chính sách mới.</t>
  </si>
  <si>
    <t>Thuế giảm đáng kể nên thấy hợp lý, nhưng cần thêm thời gian để quen với quy định mới</t>
  </si>
  <si>
    <t>Công tác sử dụng nguồn thu thuế chưa rõ ràng, có nghi ngại về hiệu quả sử dụng.</t>
  </si>
  <si>
    <t>Giải thích về chính sách mới không đầy đủ, cần thêm thông tin minh bạch từ nhà nước</t>
  </si>
  <si>
    <t>Đồng ý với các điểm tích cực của chính sách mới nhưng vẫn có một số lo ngại về thực thi.</t>
  </si>
  <si>
    <t>Điều chỉnh thuế mới không có nhiều thay đổi về quản lý, do đó khả năng phát hiện và xử lý trốn thuế vẫn còn hạn chế.</t>
  </si>
  <si>
    <t>Cơ quan thuế đã đầu tư vào công nghệ nhưng chưa rõ liệu nguồn lực có đủ để thực thi hiệu quả không.</t>
  </si>
  <si>
    <t>Thủ tục khai báo thuế đơn giản hơn, dễ thực hiện và nhanh chóng hơn so với trước đây.</t>
  </si>
  <si>
    <t>Biểu thuế mới có ít bậc hơn, dễ hiểu và dễ thực hiện hơn, giảm bớt sự phức tạp cho người nộp thuế.</t>
  </si>
  <si>
    <t>Tôi tin rằng cơ quan thuế sẽ thực thi chính sách công bằng với mọi người, nhưng cần thời gian để chứng minh.</t>
  </si>
  <si>
    <t>Mức thuế mới phù hợp hơn với thu nhập của tôi, giảm bớt gánh nặng tài chính và tạo cảm giác công bằng.</t>
  </si>
  <si>
    <t>Tôi tin rằng số tiền thuế đóng sẽ được sử dụng hiệu quả để cải thiện dịch vụ công, nhưng cần thời gian để thấy kết quả.</t>
  </si>
  <si>
    <t>Cơ quan thuế đã giải thích khá rõ ràng về mục tiêu của việc sửa đổi chính sách thuế này.</t>
  </si>
  <si>
    <t>Sau khi xem xét các quyền lợi và nghĩa vụ, tôi ủng hộ và sẽ tuân thủ chính sách mới vì nó phù hợp hơn với thu nhập của tôi và tạo cảm giác công bằng.</t>
  </si>
  <si>
    <t>Hiện nay, hệ thống quản lý thuế ngày càng hoàn thiện với nhiều biện pháp kiểm soát mạnh mẽ. Tuy nhiên, việc phát hiện và xử lý trốn thuế vẫn phụ thuộc vào khả năng của cơ quan thuế.</t>
  </si>
  <si>
    <t>Cơ quan thuế đã đầu tư công nghệ để phát hiện các hành vi trốn thuế, tuy nhiên hiệu quả thực tế còn hạn chế do nguồn lực và quy định quản lý chưa hoàn thiện.</t>
  </si>
  <si>
    <t>So với trước đây, quy trình khai báo thuế và làm việc với cơ quan thuế đã đơn giản hơn nhưng vẫn cần cải tiến để thuận tiện hơn nữa cho người nộp thuế.</t>
  </si>
  <si>
    <t>Biểu thuế mới đã được đơn giản hóa, khiến quá trình tính toán thuế trở nên dễ dàng hơn. Tuy nhiên, việc hiểu rõ các bậc thuế và cách áp dụng vẫn cần thêm thời gian để làm quen.</t>
  </si>
  <si>
    <t>Tôi tin rằng cơ quan thuế sẽ thực hiện chính sách một cách công tâm nhưng không thể phủ nhận rằng với sự phức tạp của hệ thống, việc quản lý và giám sát vẫn còn nhiều bất cập.</t>
  </si>
  <si>
    <t>Thuế mới giảm đáng kể so với trước đây, giúp tôi tiết kiệm được một khoản tiền lớn. Điều này khiến tôi cảm thấy công bằng khi đóng thuế</t>
  </si>
  <si>
    <t>Tôi tin rằng số tiền thuế tôi đóng sẽ được sử dụng hiệu quả để cải thiện dịch vụ công, mặc dù việc giám sát chi tiêu ngân sách nhà nước vẫn còn nhiều tranh cãi.</t>
  </si>
  <si>
    <t>Nhà nước đã giải thích khá rõ về mục đích và lý do của việc sửa đổi thuế lần này. Tuy nhiên, việc minh bạch trong quản lý ngân sách công vẫn cần được cải thiện hơn.</t>
  </si>
  <si>
    <t>Tôi ủng hộ chính sách mới vì nó giúp tôi tiết kiệm được một khoản tiền đáng kể và giảm áp lực về mặt tài chính. Đồng thời, việc đơn giản hóa quy trình cũng khiến tôi cảm thấy thuận lợi hơn trong việc tuân thủ.</t>
  </si>
  <si>
    <t>Nhà nước đã tăng cường công nghệ và quy định quản lý thuế, tuy nhiên vẫn cần nâng cao hơn nữa để đảm bảo hiệu quả.</t>
  </si>
  <si>
    <t>Cơ quan thuế có khả năng phát hiện gian lận và trốn thuế tốt hơn do hệ thống công nghệ hiện đại.</t>
  </si>
  <si>
    <t>Thủ tục khai báo thuế đơn giản hóa đáng kể, dễ thực hiện hơn so với trước đây.</t>
  </si>
  <si>
    <t>Biểu thuế mới có ít bậc hơn, dễ hiểu và thực hiện thuận tiện hơn.</t>
  </si>
  <si>
    <t>Tôi tin rằng Nhà nước sẽ thực thi chính sách một cách công bằng nhưng vẫn cần thêm minh bạch về quy trình quản lý.</t>
  </si>
  <si>
    <t>Mức thuế mới phù hợp với thu nhập của tôi, cho thấy sự công bằng trong hệ thống thuế hiện tại.</t>
  </si>
  <si>
    <t>Thuế đóng góp vào dịch vụ công là điều cần thiết nhưng cần thêm thông tin về cách sử dụng nguồn thu để tăng niềm tin.</t>
  </si>
  <si>
    <t>Nhà nước đã giải thích rõ ràng về mục tiêu sửa đổi thuế, tuy nhiên vẫn cần minh bạch thêm về quy trình thực thi.</t>
  </si>
  <si>
    <t>Sau khi tính toán tác động tài chính và nhận xét về các yếu tố khác, tôi đồng ý ủng hộ và tuân thủ chính sách mới.</t>
  </si>
  <si>
    <t>Dù quy định quản lý thuế hiện nay có thể phát hiện gian lận, nhưng tôi vẫn lo ngại về khả năng thực thi. Điều này làm giảm độ tin cậy</t>
  </si>
  <si>
    <t>Nhà nước và cơ quan thuế đã đầu tư vào công nghệ để phát hiện trốn thuế nên có thể xử lý nghiêm hơn</t>
  </si>
  <si>
    <t>Phương án mới đơn giản hóa quy trình khai báo, tạo điều kiện thuận lợi cho người dân</t>
  </si>
  <si>
    <t>Biểu thuế đã được đơn giản hóa từ 7 bậc thành 5 bậc, dễ dàng hơn để hiểu và thực hiện</t>
  </si>
  <si>
    <t>Tôi tin rằng Nhà nước sẽ công bằng khi áp dụng chính sách mới, nhưng cần thời gian để kiểm chứng</t>
  </si>
  <si>
    <t>Thuế mới phù hợp với thu nhập của tôi và mức giảm trừ gia cảnh tăng lên là một cải tiến lớn</t>
  </si>
  <si>
    <t>Tôi tin rằng số thuế đóng góp sẽ được sử dụng hiệu quả cho việc cải thiện dịch vụ công, nhưng cần thời gian để kiểm chứng</t>
  </si>
  <si>
    <t>Nhà nước đã giải thích rõ ràng về mục tiêu của chính sách mới, tạo sự minh bạch</t>
  </si>
  <si>
    <t>Tôi ủng hộ và tuân thủ chính sách mới vì nó đơn giản hơn và giảm gánh nặng tài chính cho tôi</t>
  </si>
  <si>
    <t>Nhà nước và cơ quan thuế có nhiều biện pháp để phát hiện hành vi gian lận, trốn thuế. Tuy nhiên, vẫn còn những rủi ro không thể loại bỏ hoàn toàn.</t>
  </si>
  <si>
    <t>Cơ sở hạ tầng công nghệ của cơ quan thuế đã được cải thiện đáng kể, cho phép họ xử lý thông tin nhanh chóng và chính xác hơn.</t>
  </si>
  <si>
    <t>So với trước đây, quy trình khai báo thuế đơn giản hơn. Tuy nhiên, vẫn có một số bước cần thực hiện để đảm bảo tính minh bạch.</t>
  </si>
  <si>
    <t>Biểu thuế mới đơn giản hóa các bậc thuế và cách tính thuế, dễ hiểu và thuận lợi hơn cho người dân.</t>
  </si>
  <si>
    <t>Tôi tin rằng cơ quan thuế sẽ thực thi chính sách một cách công bằng. Sự thay đổi giảm trừ gia cảnh và số bậc thuế tạo ra sự công bằng hơn trong việc phân bổ gánh nặng thuế</t>
  </si>
  <si>
    <t>Mức thuế tôi phải đóng hợp lý đối với thu nhập của mình, tăng từ 6,370,437 VNĐ/tháng xuống còn 2,358,175 VNĐ/tháng.</t>
  </si>
  <si>
    <t>Thuế tôi đóng sẽ được sử dụng hiệu quả để cải thiện dịch vụ công như y tế và giao thông, tạo sự tin tưởng vào việc đầu tư thuế</t>
  </si>
  <si>
    <t>Nhà nước đã giải thích rõ ràng về mục tiêu của việc sửa đổi thuế. Tuy nhiên, tôi vẫn mong muốn có thêm thông tin chi tiết về cách sử dụng số tiền thuế này.</t>
  </si>
  <si>
    <t>Chính sách mới mang lại lợi ích tài chính và thuận tiện hơn cho người dân. Tôi ủng hộ và tuân thủ nó vì điều đó có lợi cho tôi và cộng đồng</t>
  </si>
  <si>
    <t>Dù cơ quan thuế có công nghệ phát hiện trốn thuế tốt hơn, nhưng do tôi không thu nhập từ các nguồn dễ bị lạm dụng nên khả năng bị phát hiện là thấp.</t>
  </si>
  <si>
    <t>Cơ quan thuế có thể đã cải thiện cơ sở hạ tầng, nhưng với mức thuế giảm và việc đơn giản hóa quy trình, tôi ít lo lắng về rủi ro trốn thuế.</t>
  </si>
  <si>
    <t>Quy trình khai báo thuế trở nên đơn giản hơn, nhưng vẫn cần thời gian để quen thuộc với các thay đổi mới.</t>
  </si>
  <si>
    <t>Bậc thuế ít đi và giảm trừ gia cảnh cao hơn làm cho việc tính thuế dễ dàng hơn nhiều so với trước đây.</t>
  </si>
  <si>
    <t>Tôi tin rằng cơ quan thuế sẽ công bằng trong việc thực thi luật, nhưng vẫn có sự nghi ngờ về cách họ xử lý các trường hợp cụ thể.</t>
  </si>
  <si>
    <t>Mức thuế mới giảm đáng kể so với trước đây, nên tôi thấy nó là công bằng. Tuy nhiên, mức giảm trừ gia cảnh cho người phụ thuộc vẫn chưa cao như mong đợi.</t>
  </si>
  <si>
    <t>Thuế tôi đóng sẽ được sử dụng để cải thiện dịch vụ công, nhưng hiệu quả cụ thể của việc này còn cần thời gian để thấy rõ.</t>
  </si>
  <si>
    <t>Nhà nước đã giải thích về sự thay đổi thuế một cách rõ ràng, giúp tôi hiểu được mục tiêu và ý nghĩa của nó.</t>
  </si>
  <si>
    <t>Sau khi tính toán tác động tài chính và thấy sự đơn giản hóa quy trình, tôi sẽ ủng hộ và tuân thủ chính sách mới.</t>
  </si>
  <si>
    <t>Hiện nay, với hệ thống quản lý thuế hiện đại và công nghệ cao, tôi tin rằng việc phát hiện hành vi gian lận hoặc trốn thuế sẽ không còn khó khăn. Tuy nhiên, vẫn cần sự cải thiện về cơ sở pháp lý và thực thi.</t>
  </si>
  <si>
    <t>Nhà nước đã đầu tư vào hệ thống công nghệ thông tin để quản lý thuế một cách hiệu quả hơn. Điều này giúp tăng cường khả năng phát hiện và xử lý các hành vi trốn thuế.</t>
  </si>
  <si>
    <t>So với trước đây, quy trình khai báo thuế đã đơn giản hóa đáng kể. Tuy nhiên, vẫn còn một số bước cần cải tiến để thuận tiện hơn cho người dân.</t>
  </si>
  <si>
    <t>Biểu thuế mới có ít bậc và dễ hiểu hơn, giúp việc tính toán thu nhập chịu thuế trở nên đơn giản. Điều này làm tăng sự tiện lợi cho người nộp thuế.</t>
  </si>
  <si>
    <t>Tôi tin rằng Nhà nước sẽ thực thi chính sách một cách công bằng và khách quan. Tuy nhiên, việc minh bạch trong quy trình quản lý thuế vẫn cần được cải thiện.</t>
  </si>
  <si>
    <t>Mức thuế mới tôi phải đóng là hợp lý so với thu nhập hiện tại của mình. Việc tăng giảm trừ gia cảnh giúp cân nhắc lại mức thu đúng đắn.</t>
  </si>
  <si>
    <t>Tôi tin rằng số tiền thuế đóng sẽ được sử dụng hiệu quả để cải thiện các dịch vụ công, đặc biệt là y tế và giao thông. Tuy nhiên, cần có thêm minh bạch về việc sử dụng nguồn thu.</t>
  </si>
  <si>
    <t>Nhà nước đã giải thích rõ ràng về mục tiêu của chính sách mới, tuy nhiên, tôi mong muốn có thêm thông tin chi tiết về cách sử dụng nguồn thu thuế để tăng sự công bằng và minh bạch.</t>
  </si>
  <si>
    <t>Sau khi xem xét các quyền lợi và nghĩa vụ, tôi ủng hộ chính sách mới. Tuy nhiên, việc cải thiện trong việc minh bạch và thực thi cũng cần được tăng cường để nâng cao sự tin tưởng của người dân.</t>
  </si>
  <si>
    <t>Nhà nước đã tăng cường quản lý và công nghệ hiện đại, tuy nhiên vẫn có thể gặp khó khăn trong phát hiện gian lận.</t>
  </si>
  <si>
    <t>Cơ quan thuế có đủ khả năng và công nghệ để phát hiện trốn thuế</t>
  </si>
  <si>
    <t>Quy trình làm việc với cơ quan thuế đơn giản hơn, thủ tục khai báo thuận tiện hơn so với trước đây.</t>
  </si>
  <si>
    <t>Cách tính thuế và các bậc thuế mới đơn giản hơn nhiều, dễ hiểu và thực hiện nhanh chóng</t>
  </si>
  <si>
    <t>Tôi tin rằng Nhà nước sẽ công tâm trong việc thực thi chính sách mới.</t>
  </si>
  <si>
    <t>Mức thuế mới là hợp lý, tôi thấy mình đóng mức thuế này là công bằng</t>
  </si>
  <si>
    <t>Tiền thuế tôi đóng sẽ được sử dụng hiệu quả để cải thiện dịch vụ công</t>
  </si>
  <si>
    <t>Sau khi xem xét, tôi ủng hộ và sẽ tuân thủ chính sách mới vì lợi ích tài chính và sự đơn giản hóa quy trình</t>
  </si>
  <si>
    <t>Dù cơ quan thuế có công nghệ hiện đại, nhưng vẫn cần nhân lực và quy trình quản lý để phát hiện gian lận. Công tác này cần cải thiện hơn.</t>
  </si>
  <si>
    <t>Cơ sở hạ tầng công nghệ thông tin của cơ quan thuế có thể chưa đáp ứng đủ yêu cầu, việc xử lý nghiêm vẫn phụ thuộc vào quy trình quản lý.</t>
  </si>
  <si>
    <t>Quy trình khai báo và làm việc với cơ quan thuế đã đơn giản hơn trước, giảm số bậc thuế giúp thuận tiện hơn trong quá trình tính toán.</t>
  </si>
  <si>
    <t>Biểu thuế mới có ít bậc hơn, dễ hiểu và thực hiện dễ dàng hơn so với trước đây, đặc biệt là mức thuế cho người phụ thuộc đã tăng lên.</t>
  </si>
  <si>
    <t>Nhà nước đã công bố rõ ràng về việc sửa đổi luật thuế, có thể tạo ra niềm tin khách quan và công bằng trong việc thực thi chính sách mới.</t>
  </si>
  <si>
    <t>Mức thuế mới giảm đi so với trước đây, cộng thêm mức giảm trừ gia cảnh tăng lên, tạo cảm giác công bằng cho người nộp thuế.</t>
  </si>
  <si>
    <t>Thuế được sử dụng để cải thiện dịch vụ công như y tế và giao thông, điều này tạo niềm tin về hiệu quả sử dụng nguồn lực của Nhà nước.</t>
  </si>
  <si>
    <t>Nhà nước đã giải thích rõ ràng mục đích và lý do của việc sửa đổi thuế, giúp tôi hiểu được sự cần thiết của chính sách mới.</t>
  </si>
  <si>
    <t>Tôi ủng hộ chính sách mới vì nó tạo ra nhiều lợi ích cho người dân như giảm gánh nặng thuế và tăng mức giảm trừ gia cảnh.</t>
  </si>
  <si>
    <t>Với mức giảm trừ gia cảnh tăng mạnh, việc phát hiện hành vi gian lận hoặc trốn thuế có thể khó hơn. Tuy nhiên, với công nghệ ngày càng phát triển, khả năng xử lý nghiêm các hành vi sai trái vẫn được đảm bảo.</t>
  </si>
  <si>
    <t>Nhà nước và cơ quan thuế đã tăng cường hệ thống quản lý, sử dụng công nghệ cao để giám sát và xử lý kịp thời các trường hợp trốn thuế. Điều này nâng cao khả năng phát hiện và ngăn chặn gian lận.</t>
  </si>
  <si>
    <t>Quy trình khai báo thuế đơn giản hơn với mức giảm trừ gia cảnh mới, đồng thời quy định về bậc thuế rõ ràng hơn. Điều này giúp thuận tiện cho việc thực hiện các thủ tục.</t>
  </si>
  <si>
    <t>Bậc thuế và cách tính thuế được đơn giản hóa, dễ hiểu hơn so với trước đây. Người nộp thuế có thể nắm bắt nhanh chóng và áp dụng vào thực tế.</t>
  </si>
  <si>
    <t>Nguyên tắc công bằng trong việc áp dụng mức giảm trừ gia cảnh mới cho người dân, đặc biệt là những người có nhiều người phụ thuộc. Điều này thể hiện sự khách quan và công tâm của Nhà nước.</t>
  </si>
  <si>
    <t>Mức thuế theo phương án mới được đánh giá là hợp lý với thu nhập cá nhân như tôi, giảm gánh nặng về mặt tài chính. Điều này thể hiện tính công bằng trong việc phân bổ nguồn lực.</t>
  </si>
  <si>
    <t>Thuê đóng góp vào các dịch vụ công, đặc biệt là y tế và hạ tầng cơ sở. Tôi tin tưởng rằng số tiền thuế tôi đóng sẽ được sử dụng hiệu quả để cải thiện chất lượng cuộc sống của người dân.</t>
  </si>
  <si>
    <t>Nhà nước đã giải thích rõ ràng về mục tiêu và lý do của việc sửa đổi chính sách thuế, giúp công chúng hiểu và đồng tình với quyết định này.</t>
  </si>
  <si>
    <t>Sau khi xem xét các lợi ích và nghĩa vụ mới, tôi ủng hộ và tuân thủ chính sách thuế mới vì nó mang lại nhiều quyền lợi hơn cho người dân. Đồng thời, mức giảm trừ gia cảnh và đơn giản hóa quy trình khai báo thuế cũng giúp việc thực hiện dễ dàng hơn.</t>
  </si>
  <si>
    <t>Việc tăng mức giảm trừ gia cảnh và đơn giản hóa biểu thuế có thể làm giảm khả năng phát hiện hành vi gian lận hoặc trốn thuế, do đó mức độ tin tưởng không cao.</t>
  </si>
  <si>
    <t>Tuy cơ quan thuế đã cải thiện công nghệ và quy định, nhưng vẫn cần thời gian để thực thi hiệu quả.</t>
  </si>
  <si>
    <t>Quy trình khai báo thuế đơn giản hơn, tiết kiệm thời gian cho người nộp thuế. Các bước làm việc với cơ quan thuế cũng dễ dàng hơn.</t>
  </si>
  <si>
    <t>Biểu thuế mới rõ ràng và dễ hiểu hơn so với trước đây, giúp giảm bớt rắc rối trong quá trình tính toán.</t>
  </si>
  <si>
    <t>Việc cải cách thuế đã được thực hiện công bằng cho người nộp thuế như tôi, tăng mức độ tin tưởng vào cơ quan thuế.</t>
  </si>
  <si>
    <t>Thuế mới có thể xem là công bằng vì giảm trừ gia cảnh và bậc thuế mới thích hợp với thu nhập của tôi.</t>
  </si>
  <si>
    <t>Tôi tin rằng số tiền thuế đóng sẽ được sử dụng hiệu quả để cải thiện dịch vụ công, nhưng vẫn cần sự minh bạch về cách sử dụng.</t>
  </si>
  <si>
    <t>Các giải thích của cơ quan thuế về chính sách mới chưa hoàn toàn rõ ràng và đầy đủ, có thể làm giảm độ tin cậy.</t>
  </si>
  <si>
    <t>Tôi ủng hộ chính sách mới vì nó đã cải thiện quyền lợi cho tôi và người dân, đồng thời đơn giản hóa quy trình thuế.</t>
  </si>
  <si>
    <t>Nhà nước và cơ quan thuế có nhiều biện pháp giám sát, nên tôi tin rằng gian lận hoặc trốn thuế sẽ bị phát hiện và xử lý nghiêm.</t>
  </si>
  <si>
    <t>Cơ sở hạ tầng công nghệ thông tin của nhà nước ngày càng phát triển, giúp nâng cao khả năng quản lý và giám sát thuế.</t>
  </si>
  <si>
    <t>Quy trình khai báo thuế và giao tiếp với cơ quan thuế dễ dàng hơn so với trước đây, nhờ quy định đơn giản hóa biểu thuế.</t>
  </si>
  <si>
    <t>Biểu thuế mới có ít bậc hơn nên việc tính toán và hiểu rõ các mức thu nhập chịu thuế trở nên dễ dàng hơn.</t>
  </si>
  <si>
    <t>Nhờ mức giảm trừ gia cảnh và bậc thuế mới, tôi cảm thấy mức thuế mình phải đóng là hợp lý so với thu nhập của mình.</t>
  </si>
  <si>
    <t>Tôi tin rằng số tiền thuế mình đóng sẽ được sử dụng hiệu quả để cải thiện các dịch vụ công như y tế và giao thông.</t>
  </si>
  <si>
    <t>Nhà nước đã giải thích rõ ràng về mục tiêu của việc sửa đổi chính sách thuế, giúp tôi hiểu hơn về giá trị của nó.</t>
  </si>
  <si>
    <t>Tôi ủng hộ và tuân thủ chính sách mới vì nó mang lại lợi ích tài chính cho tôi và gia đình, đồng thời đơn giản hóa quy trình khai báo thuế.</t>
  </si>
  <si>
    <t>Với việc tăng cường công nghệ và nguồn lực của cơ quan thuế, khả năng phát hiện hành vi gian lận hoặc trốn thuế sẽ được cải thiện đáng kể.</t>
  </si>
  <si>
    <t>Nhà nước đã đầu tư vào hệ thống quản lý thuế tiên tiến, cho thấy khả năng và quyết tâm xử lý nghiêm các trường hợp vi phạm.</t>
  </si>
  <si>
    <t>Quy trình khai báo thuế đơn giản hơn với việc giảm số bậc thuế, đồng thời cung cấp nhiều kênh giao tiếp thuận lợi cho người dân.</t>
  </si>
  <si>
    <t>Phương án mới dễ hiểu và thực hiện nhanh chóng hơn so với trước đây, nhờ vào sự đơn giản hóa biểu thuế.</t>
  </si>
  <si>
    <t>Tôi tin rằng Nhà nước sẽ thực thi chính sách một cách công bằng, nhưng vẫn có nghi ngờ nhỏ về việc thực thi khách quan.</t>
  </si>
  <si>
    <t>Mức thuế mới được tính toán dựa trên thu nhập của tôi là hợp lý và công bằng.</t>
  </si>
  <si>
    <t>Tài nguyên thuế được sử dụng hiệu quả để cải thiện dịch vụ công, nhưng vẫn có lo ngại về việc quản lý tài chính.</t>
  </si>
  <si>
    <t>Nhà nước đã giải thích rõ ràng về mục tiêu của chính sách mới, tuy nhiên, vẫn cần thêm thông tin chi tiết hơn để tăng tính minh bạch.</t>
  </si>
  <si>
    <t>Tôi ủng hộ và tuân thủ chính sách mới vì lợi ích tài chính và sự đơn giản hóa quy trình khai báo thuế.</t>
  </si>
  <si>
    <t>Như một công dân, tôi tin rằng với sự giám sát và các công nghệ hiện đại của cơ quan thuế, việc phát hiện hành vi gian lận sẽ trở nên dễ dàng hơn. Tuy nhiên, vẫn có khả năng cá nhân cố tình trốn tránh.</t>
  </si>
  <si>
    <t>Nhà nước và cơ quan thuế đã đầu tư vào công nghệ để theo dõi và xử lý các hành vi gian lận. Điều này làm tăng khả năng phát hiện và xử lý nghiêm minh.</t>
  </si>
  <si>
    <t>Quy trình khai báo thuế trở nên đơn giản hơn, giảm bớt thủ tục rườm rà. Tuy nhiên, vẫn cần thời gian để tất cả người dân đều quen với quy trình mới.</t>
  </si>
  <si>
    <t>Biểu thuế được đơn giản hóa từ 7 bậc xuống 5 bậc, giảm bớt sự phức tạp. Cách tính thuế rõ ràng hơn và dễ thực hiện hơn so với trước đây.</t>
  </si>
  <si>
    <t>Tôi tin rằng cơ quan thuế sẽ công tâm trong việc áp dụng chính sách mới. Tuy nhiên, vẫn cần thời gian để mọi người cảm thấy yên tâm về cách thức thực thi.</t>
  </si>
  <si>
    <t>Với mức giảm trừ gia cảnh cao hơn và số bậc thuế ít hơn, tôi cho rằng mức thuế mới là công bằng. Điều này giúp tôi tiết kiệm được nhiều tiền.</t>
  </si>
  <si>
    <t>Thuế tôi đóng sẽ được sử dụng để cải thiện các dịch vụ công, tuy nhiên, vẫn cần thời gian để cảm nhận sự thay đổi tích cực từ khoản thuế này.</t>
  </si>
  <si>
    <t>Nhà nước đã giải thích rõ ràng về mục tiêu của việc sửa đổi thuế. Tuy nhiên, tôi nghĩ rằng cần thêm thông tin chi tiết hơn để mọi người hiểu đầy đủ.</t>
  </si>
  <si>
    <t>Dù còn một số lo ngại về sự công bằng và minh bạch, nhưng với mức giảm trừ gia cảnh cao và thuế đơn giản hơn, tôi ủng hộ và sẽ tuân thủ chính sách mới.</t>
  </si>
  <si>
    <t>Cơ quan thuế có nhiều công cụ để phát hiện hành vi trốn thuế, nhưng sự giám sát và xử lý vẫn cần cải thiện.</t>
  </si>
  <si>
    <t>Việc áp dụng công nghệ trong quản lý thuế đã giúp tăng cường khả năng giám sát và xử lý gian lận, tuy nhiên còn phụ thuộc vào nguồn lực.</t>
  </si>
  <si>
    <t>Quy trình khai báo thuế trở nên đơn giản hơn với mức giảm trừ gia cảnh cao hơn, nhưng vẫn cần cải thiện về mặt thủ tục.</t>
  </si>
  <si>
    <t>Biểu thuế mới có ít bậc hơn và rõ ràng hơn, dễ dàng áp dụng cho người dân hơn so với trước đây</t>
  </si>
  <si>
    <t>Tôi tin rằng Nhà nước sẽ thực thi chính sách một cách công bằng, nhưng vẫn cần thêm minh bạch về quy trình xử lý.</t>
  </si>
  <si>
    <t>Mức thuế mới phù hợp với thu nhập của tôi và giúp giảm gánh nặng tài chính</t>
  </si>
  <si>
    <t>Thuế đóng góp vào việc cải thiện dịch vụ công, nhưng cần thêm minh bạch về cách sử dụng nguồn lực.</t>
  </si>
  <si>
    <t>Nhà nước đã giải thích rõ ràng về mục tiêu của chính sách mới và tôi ủng hộ</t>
  </si>
  <si>
    <t>Chính sách mới giúp giảm gánh nặng tài chính cho người dân, tôi sẽ tuân thủ và ủng hộ nó</t>
  </si>
  <si>
    <t>Dù có công nghệ hiện đại, nhưng việc quản lý thuế vẫn phụ thuộc vào sự tuân thủ của người nộp thuế. Với mức thu nhập và giảm trừ như hiện tại, khả năng phát hiện trốn thuế không cao.</t>
  </si>
  <si>
    <t>Cơ quan thuế có nhiều nguồn dữ liệu để theo dõi các giao dịch tài chính cá nhân. Tuy nhiên, hiệu quả thực thi còn phụ thuộc vào sự tuân thủ của người dân.</t>
  </si>
  <si>
    <t>Quy trình khai báo thuế và làm việc với cơ quan thuế đã đơn giản hơn so với trước đây. Các ứng dụng điện tử hỗ trợ nhiều trong quá trình này.</t>
  </si>
  <si>
    <t>Biểu thuế mới đơn giản hóa quy trình tính thuế, giảm bớt các bậc và mức thuế suất. Điều này làm cho việc thực hiện dễ dàng hơn.</t>
  </si>
  <si>
    <t>Tôi tin rằng Nhà nước sẽ thực thi chính sách một cách công bằng, nhưng sự minh bạch trong quản lý thu chi ngân sách vẫn là mối quan tâm.</t>
  </si>
  <si>
    <t>Mức thuế mới giảm đáng kể so với trước đây. Điều này cho thấy mức thuế hiện tại là hợp lý đối với thu nhập của tôi.</t>
  </si>
  <si>
    <t>Thuế đóng góp vào việc cải thiện dịch vụ công. Tuy nhiên, tôi mong muốn sự minh bạch hơn trong sử dụng số tiền này.</t>
  </si>
  <si>
    <t>Nhà nước đã giải thích rõ ràng về mục tiêu của chính sách mới. Sự minh bạch này giúp tăng niềm tin vào hệ thống thuế hiện tại.</t>
  </si>
  <si>
    <t>Dù có nhiều điểm cải tiến, nhưng tôi vẫn muốn theo dõi sát sao cách sử dụng số tiền thuế đã đóng để đảm bảo hiệu quả sử dụng.</t>
  </si>
  <si>
    <t>Cơ quan thuế đã cải thiện nhiều trong việc áp dụng công nghệ, nhưng vẫn còn lo ngại về sự hiệu quả và chính xác.</t>
  </si>
  <si>
    <t>Quy trình khai báo thuế trở nên đơn giản hơn với giảm trừ gia cảnh cao hơn. Tuy nhiên, vẫn cần thời gian để quen thuộc.</t>
  </si>
  <si>
    <t>Bậc thuế đơn giản hóa giúp tính toán dễ dàng hơn, nhưng việc nắm bắt các quy định mới vẫn còn khó khăn cho một số người.</t>
  </si>
  <si>
    <t>Tôi tin rằng Nhà nước sẽ thực thi chính sách công bằng, nhưng lo ngại về khả năng kiểm soát và xử lý gian lận thuế</t>
  </si>
  <si>
    <t>Thuế mới giảm đáng kể, tạo cảm giác hợp lý cho mức đóng của tôi. Tuy nhiên, vẫn có nghi ngờ về hiệu quả sử dụng ngân sách</t>
  </si>
  <si>
    <t>Dịch vụ công được cải thiện, nhưng chưa rõ ràng về việc số thuế đóng sẽ được sử dụng như thế nào.</t>
  </si>
  <si>
    <t>Chính phủ đã giải thích các thay đổi một cách minh bạch, nhưng vẫn cần thêm thông tin cụ thể về mục tiêu chính sách</t>
  </si>
  <si>
    <t>Tôi ủng hộ sự cải tiến này nhờ giảm trừ gia cảnh cao hơn và mức thuế đơn giản. Tuy nhiên, việc thực thi vẫn còn nhiều thách thức.</t>
  </si>
  <si>
    <t>Việc tăng mức giảm trừ gia cảnh và đơn giản hóa biểu thuế có thể làm giảm khả năng phát hiện hành vi gian lận hoặc trốn thuế, nhưng vẫn tin tưởng cơ quan thuế sẽ có biện pháp quản lý hiệu quả.</t>
  </si>
  <si>
    <t>Cơ quan thuế đã cải tiến công nghệ để theo dõi và xử lý các hành vi gian lận thuế, tuy nhiên, cần thêm thời gian để đánh giá khả năng thực thi.</t>
  </si>
  <si>
    <t>Thủ tục khai báo thuế trở nên đơn giản hơn với mức giảm trừ gia cảnh cao hơn và số bậc thuế ít đi, tạo thuận lợi cho người dân.</t>
  </si>
  <si>
    <t>Cách tính thuế mới dễ hiểu và thực hiện nhanh chóng hơn so với trước đây nhờ việc đơn giản hóa biểu thuế.</t>
  </si>
  <si>
    <t>Tin tưởng rằng cơ quan thuế sẽ thực thi chính sách một cách khách quan, công bằng, dù có thể còn nghi ngại về sự công bằng trong mức thuế.</t>
  </si>
  <si>
    <t>Mức thuế mới giảm đáng kể so với trước đây, tạo cảm giác công bằng và hợp lý hơn</t>
  </si>
  <si>
    <t>Việc giảm thuế có thể mang lại lợi ích trực tiếp cho người dân, đồng thời số tiền thuế sẽ được sử dụng hiệu quả để cải thiện dịch vụ công.</t>
  </si>
  <si>
    <t>Dù chưa hoàn toàn rõ ràng về mục tiêu chính xác của việc sửa đổi thuế, nhưng thấy rằng cơ quan thuế đã cố gắng minh bạch hóa thông tin.</t>
  </si>
  <si>
    <t>Chấp nhận và ủng hộ chính sách mới vì lợi ích tài chính cá nhân rõ ràng hơn so với trước đây</t>
  </si>
  <si>
    <t>Việc tăng mức giảm trừ gia cảnh và đơn giản hóa biểu thuế có thể làm giảm cơ hội cho hành vi gian lận, nhưng việc thực thi vẫn cần sự phối hợp chặt chẽ giữa các bên liên quan.</t>
  </si>
  <si>
    <t>Công nghệ hiện đại đã giúp cải thiện khả năng theo dõi và xử lý thuế, tuy nhiên, hiệu quả phụ thuộc vào độ chính xác của thông tin cung cấp bởi người nộp thuế.</t>
  </si>
  <si>
    <t>Quy trình khai báo thuế trở nên đơn giản hơn với mức giảm trừ gia cảnh cao hơn và số bậc thuế ít hơn, khiến việc tuân thủ pháp luật trở nên dễ dàng hơn.</t>
  </si>
  <si>
    <t>Bảng thuế mới rõ ràng hơn so với trước đây, giúp người dân hiểu và thực hiện dễ dàng hơn.</t>
  </si>
  <si>
    <t>Tôi tin rằng Nhà nước sẽ công tâm trong việc thực thi chính sách, nhưng vẫn có sự nghi ngờ nhất định vì lịch sử quản lý thuế ở Việt Nam chưa hoàn toàn minh bạch.</t>
  </si>
  <si>
    <t>Lưu ý đến mức giảm trừ gia cảnh và bảng thuế mới, tôi thấy mình đóng thuế hợp lý so với thu nhập hiện tại của mình.</t>
  </si>
  <si>
    <t>Tôi tin rằng số tiền thuế đóng sẽ được sử dụng hiệu quả để cải thiện dịch vụ công, nhưng thực tế cần thời gian để chứng minh.</t>
  </si>
  <si>
    <t>Nhà nước đã giải thích rõ về lý do và mục tiêu của việc sửa đổi thuế, giúp người dân hiểu rõ hơn.</t>
  </si>
  <si>
    <t>Tôi ủng hộ chính sách mới vì nó mang lại lợi ích tài chính cho tôi, nhưng vẫn cần thời gian để làm quen với quy trình mới và kiểm chứng hiệu quả sử dụng nguồn thu thuế.</t>
  </si>
  <si>
    <t>Thuế hiện nay phụ thuộc vào nhiều yếu tố và có thể bị hiểu sai, nhưng với sự phát triển của công nghệ, khả năng phát hiện hành vi gian lận hay trốn thuế tăng lên. Tuy nhiên, vẫn cần thêm thời gian để chứng minh hiệu quả thực tế.</t>
  </si>
  <si>
    <t>Cơ quan thuế có nhiều công cụ và nguồn lực hơn để theo dõi hoạt động kinh doanh cá nhân. Tuy nhiên, vẫn cần cải thiện về mặt kỹ thuật và đào tạo cho nhân viên.</t>
  </si>
  <si>
    <t>Quy trình khai báo thuế trở nên đơn giản hơn với mức giảm trừ gia cảnh cao hơn và số bậc thuế ít hơn. Điều này giúp việc làm thủ tục trở nên thuận tiện hơn.</t>
  </si>
  <si>
    <t>Các bậc thuế mới dễ hiểu hơn, không còn nhiều cấp độ phức tạp như trước đây. Tuy nhiên, vẫn có thể gặp khó khăn đối với những người chưa quen thuộc.</t>
  </si>
  <si>
    <t>Tôi tin rằng Nhà nước sẽ thực thi chính sách một cách công bằng và khách quan. Việc giảm thuế cho cá nhân như tôi tạo ra sự công bằng hơn trong hệ thống thuế hiện nay.</t>
  </si>
  <si>
    <t>Thuế mới mà tôi phải đóng phù hợp với thu nhập của tôi, giảm gánh nặng tài chính và tạo cảm giác công bằng.</t>
  </si>
  <si>
    <t>Tiền thuế tôi đóng sẽ được sử dụng để cải thiện các dịch vụ công như y tế và hạ tầng. Điều này tạo niềm tin rằng tiền thuế của tôi đang được sử dụng hiệu quả.</t>
  </si>
  <si>
    <t>Nhà nước đã giải thích rõ ràng về mục tiêu và ý nghĩa của việc sửa đổi chính sách thuế lần này, điều này tăng tính minh bạch.</t>
  </si>
  <si>
    <t>Sau khi xem xét các quyền lợi và nghĩa vụ mới, tôi ủng hộ và sẽ tuân thủ chính sách mới. Đây là một bước tiến tích cực trong việc đơn giản hóa và công bằng hóa hệ thống thuế.</t>
  </si>
  <si>
    <t>Nhà nước và cơ quan thuế có nhiều biện pháp quản lý, công nghệ tiên tiến để phát hiện hành vi trốn thuế. Điều này làm tăng khả năng phát hiện gian lận.</t>
  </si>
  <si>
    <t>Công nghệ hiện đại giúp nhà nước và cơ quan thuế xử lý thông tin nhanh chóng, hiệu quả hơn, giảm thiểu rủi ro trốn thuế.</t>
  </si>
  <si>
    <t>Đơn giản hóa quy trình khai báo thuế và các bước làm việc với cơ quan thuế làm cho quá trình trở nên nhanh chóng và dễ dàng hơn.</t>
  </si>
  <si>
    <t>Biểu thuế mới có ít bậc hơn, giúp tôi hiểu rõ hơn về cách tính thuế của mình. Điều này làm cho quá trình tính thuế trở nên đơn giản và dễ thực hiện.</t>
  </si>
  <si>
    <t>Thuế giảm đáng kể do mức giảm trừ gia cảnh tăng và số bậc thuế giảm, tôi tin rằng điều này được áp dụng công bằng cho mọi người nộp thuế.</t>
  </si>
  <si>
    <t>Mức thuế mới phù hợp với thu nhập của tôi. Thu nhập của tôi nằm trong mức trung bình nên việc đóng thuế theo bậc thuế mới là điều công bằng.</t>
  </si>
  <si>
    <t>Thuê giảm đã giúp tôi có thêm tiền cho những mục đích khác như đầu tư hoặc tiêu dùng. Tôi tin rằng số tiền tôi đóng sẽ được sử dụng hiệu quả cho các dịch vụ công.</t>
  </si>
  <si>
    <t>Nhà nước đã công bố rõ ràng về lý do và mục tiêu của việc sửa đổi thuế, tuy nhiên tôi vẫn mong muốn có thêm thông tin từ phía cơ quan thuế về cách thực thi chính sách mới.</t>
  </si>
  <si>
    <t>Tôi ủng hộ chính sách mới vì nó giúp giảm gánh nặng tài chính cho gia đình và cải thiện dịch vụ công. Tuy nhiên, tôi vẫn có một số lo ngại về sự minh bạch trong thực thi.</t>
  </si>
  <si>
    <t>Hiện tại, với sự phát triển của công nghệ và quy định quản lý thuế ngày càng chặt chẽ, tôi tin rằng hành vi gian lận hoặc trốn thuế sẽ dễ dàng bị phát hiện. Cơ quan thuế cũng có nhiều biện pháp để xử lý nghiêm các trường hợp này.</t>
  </si>
  <si>
    <t>Nhà nước đã đầu tư vào công nghệ và nguồn lực để quản lý và giám sát thuế một cách hiệu quả, do đó tôi tin rằng khả năng phát hiện và xử lý nghiêm các hành vi trốn thuế là rất cao.</t>
  </si>
  <si>
    <t>So với trước đây, quy trình khai báo thuế đã đơn giản hơn nhiều. Các thủ tục cũng thuận tiện hơn với việc sử dụng công nghệ, giảm bớt sự phiền phức cho người dân nộp thuế.</t>
  </si>
  <si>
    <t>Các bậc thuế hiện nay đã được đơn giản hóa và dễ hiểu hơn, giúp tôi có thể tính toán và thực hiện đúng nghĩa vụ của mình mà không cần lo lắng về độ phức tạp.</t>
  </si>
  <si>
    <t>Nhà nước đã cung cấp thông tin rõ ràng về chính sách mới, do đó tôi cảm thấy rằng việc thực thi sẽ công bằng và khách quan đối với mọi người nộp thuế.</t>
  </si>
  <si>
    <t>Mức thuế theo phương án mới phù hợp với thu nhập của tôi. Nó thể hiện sự công bằng trong việc phân bổ gánh nặng thuế giữa các tầng lớp thu nhập khác nhau.</t>
  </si>
  <si>
    <t>Tôi tin rằng số tiền thuế đóng sẽ được sử dụng hiệu quả để cải thiện dịch vụ công, như y tế và hạ tầng cơ sở. Điều này tăng thêm niềm tin của tôi vào việc Nhà nước quản lý nguồn lực một cách minh bạch.</t>
  </si>
  <si>
    <t>Nhà nước đã giải thích rõ ràng về mục tiêu và lý do thay đổi chính sách thuế, khiến tôi cảm thấy rằng quyết định này là cần thiết và có ý nghĩa.</t>
  </si>
  <si>
    <t>Sau khi xem xét các quyền lợi và nghĩa vụ theo phương án mới, tôi ủng hộ và sẽ tuân thủ chính sách thuế hiện tại. Nó giúp tôi tiết kiệm được một số tiền đáng kể và đơn giản hóa quy trình nộp thuế.</t>
  </si>
  <si>
    <t>Cơ quan thuế có nhiều công cụ để phát hiện hành vi gian lận, do đó tôi tin rằng việc gian lận sẽ khó tồn tại.</t>
  </si>
  <si>
    <t>Nhà nước đã đầu tư vào công nghệ và nhân lực, đảm bảo khả năng xử lý nghiêm các trường hợp trốn thuế.</t>
  </si>
  <si>
    <t>Thủ tục khai báo dễ dàng hơn với giảm trừ gia cảnh cao hơn, do đó thuận tiện cho người dân.</t>
  </si>
  <si>
    <t>Biểu thuế đơn giản hóa giúp việc tính toán và nộp thuế trở nên dễ dàng hơn, phù hợp với khả năng hiểu biết của tôi.</t>
  </si>
  <si>
    <t>Tôi tin rằng chính sách mới được thực thi công bằng cho mọi người dân.</t>
  </si>
  <si>
    <t>Như một người có thu nhập trung bình, mức thuế theo quy định mới là phù hợp với tôi.</t>
  </si>
  <si>
    <t>Ngoài việc giảm gánh nặng về thuế, chính sách mới còn thể hiện trách nhiệm của Nhà nước trong việc đầu tư vào dịch vụ công</t>
  </si>
  <si>
    <t>Đã có nhiều giải thích từ nhà nước về mục tiêu và lý do sửa đổi luật thuế</t>
  </si>
  <si>
    <t>Chính sách mới giúp tôi tiết kiệm được tiền bạc, đồng thời thuận tiện hơn trong việc khai báo thuế.</t>
  </si>
  <si>
    <t>Nhà nước đã tăng mức giảm trừ gia cảnh và đơn giản hóa biểu thuế, giảm nguy cơ trốn thuế. Tuy nhiên, vẫn cần thêm thời gian để theo dõi hiệu quả thực tế.</t>
  </si>
  <si>
    <t>Cơ quan thuế có khả năng cao với công nghệ hiện đại và sự tăng cường quản lý. Tăng mức giảm trừ gia cảnh cũng hạn chế cơ hội trốn thuế.</t>
  </si>
  <si>
    <t>Thủ tục đơn giản hơn và dễ dàng hơn để hiểu, đặc biệt là khi có biểu thuế ít bậc. Việc này giúp tiết kiệm thời gian cho người nộp thuế.</t>
  </si>
  <si>
    <t>Biểu thuế mới đơn giản hóa việc tính toán và giảm sự phức tạp. Tuy nhiên, cần thêm hướng dẫn để mọi người hiểu rõ hơn về cách áp dụng.</t>
  </si>
  <si>
    <t>Nhà nước đã tăng mức giảm trừ gia cảnh và làm đơn giản biểu thuế, tạo cảm giác công bằng trong việc đánh thuế. Tuy nhiên, cần thêm minh bạch trong quá trình thực thi để tăng niềm tin.</t>
  </si>
  <si>
    <t>Mức thuế mới giảm so với trước đây, phù hợp với thu nhập của tôi. Việc tăng mức giảm trừ gia cảnh cũng tạo ra cảm giác công bằng.</t>
  </si>
  <si>
    <t>Thuế được sử dụng để cải thiện dịch vụ công như y tế và giao thông, tạo niềm tin vào việc sử dụng hiệu quả nguồn lực. Tuy nhiên, cần thêm minh bạch trong quá trình chi tiêu.</t>
  </si>
  <si>
    <t>Nhà nước đã giải thích rõ ràng về mục đích của việc sửa đổi thuế và lý do tăng mức giảm trừ gia cảnh. Tuy nhiên, có thể cải thiện thêm về sự minh bạch trong quy trình thực thi.</t>
  </si>
  <si>
    <t>Sau khi xem xét các quyền lợi và nghĩa vụ, tôi ủng hộ chính sách mới vì nó tạo ra cảm giác công bằng và giảm gánh nặng thuế so với trước đây. Tuy nhiên, cần thêm minh bạch trong quá trình thực thi để tăng độ tin cậy.</t>
  </si>
  <si>
    <t>Hiện tại, các quy định quản lý thuế chưa rõ ràng và khó kiểm soát, nên tôi không hoàn toàn tin tưởng.</t>
  </si>
  <si>
    <t>Nhà nước đã đầu tư công nghệ vào cơ quan thuế nhưng vẫn còn hạn chế về khả năng phát hiện gian lận.</t>
  </si>
  <si>
    <t>Thủ tục khai báo thuế trở nên đơn giản hơn, dễ dàng cho người dân.</t>
  </si>
  <si>
    <t>Biểu thuế mới đơn giản hóa bậc thuế, giúp việc tính toán và nộp thuế dễ dàng hơn so với trước đây.</t>
  </si>
  <si>
    <t>Tôi tin rằng Nhà nước sẽ thực thi chính sách một cách công bằng nhưng cần thêm minh bạch.</t>
  </si>
  <si>
    <t>Mức thuế mới là hợp lý với thu nhập của tôi, và tăng giảm trừ gia cảnh giúp tôi tiết kiệm hơn.</t>
  </si>
  <si>
    <t>Thuế được sử dụng cho các dịch vụ công quan trọng như y tế, giáo dục và hạ tầng cơ sở.</t>
  </si>
  <si>
    <t>Nhà nước đã giải thích khá rõ về mục tiêu của chính sách mới nhưng cần minh bạch hơn nữa về cách sử dụng nguồn thu thuế.</t>
  </si>
  <si>
    <t>Sau khi xem xét, tôi ủng hộ và sẽ tuân thủ chính sách mới vì nó có lợi cho tôi và người dân chung</t>
  </si>
  <si>
    <t>Thuế TNCN mới có nhiều cải tiến nhưng không rõ ràng về khả năng phát hiện và xử lý gian lận.</t>
  </si>
  <si>
    <t>Cơ quan thuế có thể đã nâng cao công nghệ quản lý, tuy nhiên vẫn chưa đủ để đảm bảo 100% trốn thuế bị phát hiện.</t>
  </si>
  <si>
    <t>Quy trình khai báo thuế dễ dàng hơn và nhanh chóng, thủ tục đơn giản hóa giúp tiết kiệm thời gian.</t>
  </si>
  <si>
    <t>Bậc thuế giảm từ 7 xuống 5, phương pháp tính thuế rõ ràng và dễ hiểu hơn so với trước đây.</t>
  </si>
  <si>
    <t>Tôi tin rằng cơ quan thuế sẽ công tâm trong việc thực thi chính sách mới, mặc dù vẫn có một số lo ngại về sự công bằng.</t>
  </si>
  <si>
    <t>Mức thuế mới phù hợp với thu nhập của tôi, giảm gánh nặng tài chính và tăng cảm giác công bằng.</t>
  </si>
  <si>
    <t>Thuế đóng góp vào sự phát triển hạ tầng và dịch vụ công, tôi tin rằng số tiền thuế đã đóng sẽ được sử dụng hiệu quả.</t>
  </si>
  <si>
    <t>Nhà nước đã giải thích rõ ràng về mục tiêu của việc sửa đổi thuế, tuy nhiên cần thêm thông tin về cách quản lý nguồn thu thuế.</t>
  </si>
  <si>
    <t>Tôi ủng hộ chính sách mới vì nó đơn giản hơn và giảm gánh nặng tài chính, đồng thời tăng niềm tin vào cơ quan thuế.</t>
  </si>
  <si>
    <t>Dù có công nghệ hỗ trợ, vẫn còn lo ngại về khả năng phát hiện và xử lý gian lận thuế hiệu quả.</t>
  </si>
  <si>
    <t>Cơ quan thuế đã cải thiện đáng kể trong việc quản lý và sử dụng công nghệ, nhưng vẫn cần nhiều thời gian để hoàn thiện.</t>
  </si>
  <si>
    <t>Quy trình khai báo và làm việc với cơ quan thuế trở nên đơn giản hơn, thuận tiện hơn cho người dân.</t>
  </si>
  <si>
    <t>Tôi tin rằng cơ quan thuế sẽ cố gắng công bằng trong việc áp dụng chính sách mới, nhưng vẫn có lo ngại về sự khách quan.</t>
  </si>
  <si>
    <t>Nhìn chung mức thuế tôi phải đóng theo phương án mới là hợp lý so với thu nhập hiện tại.</t>
  </si>
  <si>
    <t>Có niềm tin rằng số tiền thuế đóng sẽ được sử dụng hiệu quả để cải thiện dịch vụ công, nhưng cần thêm thông tin cụ thể về việc này.</t>
  </si>
  <si>
    <t>Dù giải thích đã rõ ràng hơn so với trước đây, nhưng vẫn còn một số khía cạnh chưa được làm rõ.</t>
  </si>
  <si>
    <t>Tôi ủng hộ chính sách mới vì nó mang lại lợi ích tài chính và giảm tải cho người nộp thuế.</t>
  </si>
  <si>
    <t>Dù không có cải cách về quản lý thuế, nhưng với mức giảm trừ gia cảnh cao hơn, tôi tin rằng việc phát hiện gian lận sẽ trở nên dễ dàng hơn.</t>
  </si>
  <si>
    <t>Nhà nước và cơ quan thuế đã có nhiều cải tiến về công nghệ và nguồn lực trong thời gian gần đây, nên khả năng phát hiện gian lận là khá cao.</t>
  </si>
  <si>
    <t>Các quy trình khai báo thuế trở nên đơn giản hơn với số bậc thuế giảm đi, việc làm việc với cơ quan thuế cũng thuận tiện hơn.</t>
  </si>
  <si>
    <t>Biểu thuế mới dễ hiểu và thực hiện đơn giản hơn so với trước đây, giúp người dân dễ dàng tính toán và nộp thuế.</t>
  </si>
  <si>
    <t>Tôi tin rằng Nhà nước sẽ công bằng trong việc áp dụng chính sách mới, vì mức giảm trừ gia cảnh đã tăng lên đáng kể.</t>
  </si>
  <si>
    <t>Mức thuế mới đối với thu nhập của tôi là hợp lý và công bằng, do đó tôi cảm thấy hài lòng về điều này.</t>
  </si>
  <si>
    <t>Những khoản tiền thuế đóng góp sẽ được sử dụng hiệu quả để cải thiện các dịch vụ công, nên tôi tin rằng việc đóng thuế là hữu ích cho xã hội.</t>
  </si>
  <si>
    <t>Nhà nước đã giải thích rõ ràng về mục tiêu của chính sách mới và cách thức thực hiện, điều này làm tăng niềm tin của tôi vào chính sách.</t>
  </si>
  <si>
    <t>Sau khi xem xét tất cả các yếu tố, tôi ủng hộ và tuân thủ chính sách thuế mới vì lợi ích mà nó mang lại cho tôi và xã hội.</t>
  </si>
  <si>
    <t>Công nghệ hiện đại và hệ thống quản lý thuế đang được cải thiện, nhưng vẫn còn nhiều yếu tố phụ thuộc vào sự tuân thủ của người nộp thuế. Tuy nhiên, mức độ gian lận có thể giảm nhờ các biện pháp mới.</t>
  </si>
  <si>
    <t>Cơ quan thuế đã đầu tư công nghệ và đào tạo nhân viên để xử lý hiệu quả hơn, tuy nhiên, vẫn cần thời gian để hoàn thiện.</t>
  </si>
  <si>
    <t>Thủ tục khai báo thuế đơn giản hơn trước nhưng vẫn còn phức tạp. Việc sử dụng phần mềm thuế giúp thuận tiện hơn cho người dân.</t>
  </si>
  <si>
    <t>Cách tính thuế trở nên rõ ràng và dễ hiểu hơn với ít bậc thuế, giúp người nộp thuế nắm bắt nhanh chóng.</t>
  </si>
  <si>
    <t>Tôi tin rằng cơ quan thuế sẽ thực thi chính sách công bằng, nhưng vẫn lo ngại về việc kiểm soát gian lận.</t>
  </si>
  <si>
    <t>Mức giảm trừ gia cảnh và bậc thuế mới giúp tôi tiết kiệm được một khoản tiền đáng kể, cảm thấy hợp lý.</t>
  </si>
  <si>
    <t>Nhìn chung, số tiền thuế đóng sẽ được sử dụng hiệu quả cho các dịch vụ công</t>
  </si>
  <si>
    <t>Cơ quan thuế đã giải thích rõ ràng về mục tiêu của chính sách mới nhưng vẫn cần thêm thông tin.</t>
  </si>
  <si>
    <t>Tôi ủng hộ và tuân thủ chính sách mới vì những lợi ích mà nó mang lại cho tôi, đồng thời hy vọng nó sẽ cải thiện dịch vụ công</t>
  </si>
  <si>
    <t>Dù cơ quan thuế có công nghệ phát hiện gian lận, nhưng thực tế việc quản lý và xử lý còn nhiều khó khăn.</t>
  </si>
  <si>
    <t>Nhà nước đã đầu tư vào hệ thống công nghệ, tuy nhiên hiệu quả thực thi vẫn cần thời gian để nâng cao.</t>
  </si>
  <si>
    <t>Quy trình khai thuế đơn giản hơn trước, thủ tục cũng thuận tiện hơn. Việc nộp thuế qua ứng dụng điện tử giúp tiết kiệm thời gian.</t>
  </si>
  <si>
    <t>Biểu thuế mới rõ ràng và dễ hiểu hơn so với trước đây, giảm bớt sự phức tạp về mặt tính toán.</t>
  </si>
  <si>
    <t>Tôi tin rằng cơ quan thuế sẽ thực thi chính sách công bằng cho mọi người nộp thuế. Mặc dù vậy, vẫn có những lo ngại nhỏ về khả năng kiểm soát gian lận.</t>
  </si>
  <si>
    <t>Mức thuế mới giảm đáng kể so với trước đây, tôi thấy điều này là công bằng cho thu nhập của mình. Việc tăng mức giảm trừ gia cảnh cũng giúp ích nhiều.</t>
  </si>
  <si>
    <t>Đối với một người có thu nhập trung bình như tôi, số tiền thuế đóng được sử dụng để cải thiện dịch vụ công là hợp lý và cần thiết.</t>
  </si>
  <si>
    <t>Nhà nước đã giải thích rõ ràng về mục tiêu của chính sách mới. Tôi thấy đây là một bước tiến quan trọng nhằm đơn giản hóa quy trình thuế.</t>
  </si>
  <si>
    <t>Sau khi xem xét các quyền lợi và nghĩa vụ, tôi ủng hộ và tuân thủ chính sách mới vì nó giảm gánh nặng tài chính và tăng tính minh bạch.</t>
  </si>
  <si>
    <t>Việc thuế được đơn giản hóa có thể làm giảm cơ hội phát hiện hành vi gian lận hoặc trốn thuế.</t>
  </si>
  <si>
    <t>Nhà nước đã cải tiến hệ thống quản lý thuế, nhưng vẫn cần thời gian để hoàn thiện công nghệ và quy trình xử lý.</t>
  </si>
  <si>
    <t>Quy trình khai báo thuế nay đơn giản hơn so với trước đây, thuận tiện cho người nộp thuế.</t>
  </si>
  <si>
    <t>Biểu thuế mới có ít bậc hơn và dễ hiểu hơn, cải thiện khả năng thực hiện.</t>
  </si>
  <si>
    <t>Nhà nước đã công bố rõ ràng về việc sửa đổi thuế, nhưng vẫn cần thêm minh bạch trong quá trình thực thi.</t>
  </si>
  <si>
    <t>Thuế mới giảm so với trước đây, tạo cảm giác công bằng và phù hợp với thu nhập của tôi.</t>
  </si>
  <si>
    <t>Thuê được sử dụng để cải thiện dịch vụ công, nhưng hiệu quả cụ thể chưa rõ ràng.</t>
  </si>
  <si>
    <t>Nhà nước đã giải thích về mục tiêu sửa đổi thuế, nhưng cần thêm thông tin về cách quản lý nguồn thu.</t>
  </si>
  <si>
    <t>Chính sách mới phù hợp với tình hình kinh tế cá nhân và tạo cảm giác công bằng.</t>
  </si>
  <si>
    <t>Hiện tại, cơ quan thuế có hệ thống kiểm soát mạnh mẽ thông qua công nghệ, tôi tin rằng hành vi gian lận sẽ được phát hiện.</t>
  </si>
  <si>
    <t>Cơ quan thuế đã nâng cấp công nghệ và nhân lực để giám sát hiệu quả hơn, giảm khả năng trốn thuế.</t>
  </si>
  <si>
    <t>Thủ tục khai thuế đơn giản hơn với các bước rõ ràng, thuận tiện cho người dân.</t>
  </si>
  <si>
    <t>Biểu thuế mới đơn giản hóa từ 7 bậc xuống 5, dễ dàng tính toán và hiểu hơn so với trước đây.</t>
  </si>
  <si>
    <t>Nhà nước đã công bố rõ ràng về mục tiêu cải cách thuế, tạo niềm tin trong việc thực thi công bằng.</t>
  </si>
  <si>
    <t>Thuế mới giảm đáng kể so với trước đây, tôi cảm thấy mức thuế này là hợp lý cho thu nhập của mình.</t>
  </si>
  <si>
    <t>Việc cải cách thuế nhằm nâng cao chất lượng dịch vụ công và phát triển hạ tầng, số tiền thuế đóng sẽ được sử dụng hiệu quả.</t>
  </si>
  <si>
    <t>Nhà nước đã minh bạch về mục đích của việc sửa đổi luật thuế, tăng sự hiểu biết và tin tưởng.</t>
  </si>
  <si>
    <t>Tôi ủng hộ chính sách mới vì nó đơn giản hóa quy trình khai thuế, giảm gánh nặng tài chính cho người dân như tôi.</t>
  </si>
  <si>
    <t>Với mức giảm trừ gia cảnh tăng lên, việc phát hiện và xử lý hành vi gian lận hoặc trốn thuế sẽ trở nên khó khăn hơn. Tuy nhiên, cơ quan thuế có thể vẫn áp dụng các biện pháp khác để kiểm soát.</t>
  </si>
  <si>
    <t>Nhu cầu về công nghệ và nguồn lực của Nhà nước để phát hiện, xử lý trốn thuế là không nhỏ. Mặc dù vậy, với sự cải cách, khả năng này có thể được nâng cao.</t>
  </si>
  <si>
    <t>So với trước đây, quy trình khai báo thuế đã đơn giản hơn với mức giảm trừ gia cảnh tăng và số bậc thuế ít đi. Tuy nhiên, vẫn còn một số thủ tục cần cải tiến.</t>
  </si>
  <si>
    <t>Biểu thuế đơn giản hóa đã làm việc tính toán thuế trở nên dễ dàng hơn. Việc này giúp người dân dễ hiểu và thực hiện chính sách mới hơn so với trước đây.</t>
  </si>
  <si>
    <t>Tôi tin rằng Nhà nước sẽ thực thi chính sách một cách công bằng, dù mức thuế có thay đổi. Tuy nhiên, việc minh bạch về mục tiêu và quy trình cải cách vẫn cần được cải thiện.</t>
  </si>
  <si>
    <t>Mức giảm trừ gia cảnh tăng đã giúp tôi tiết kiệm một khoản tiền đáng kể. Điều này cho thấy mức thuế mới là công bằng, phù hợp với thu nhập của tôi và người dân trong khu vực.</t>
  </si>
  <si>
    <t>Thuế tôi đóng sẽ được sử dụng hiệu quả để cải thiện dịch vụ công, từ đó tạo niềm tin cho người dân. Tuy nhiên, việc minh bạch về cách sử dụng nguồn thu thuế cần được tăng cường.</t>
  </si>
  <si>
    <t>Nhà nước đã giải thích rõ ràng mục đích và quy trình cải cách, tuy nhiên, tôi vẫn mong muốn có thêm thông tin chi tiết hơn về việc này.</t>
  </si>
  <si>
    <t>Sau khi xem xét các quyền lợi và nghĩa vụ, tôi ủng hộ chính sách mới. Mức thuế giảm cùng với quy trình đơn giản đã giúp tôi thấy hài lòng hơn so với trước đây.</t>
  </si>
  <si>
    <t>Thuế đã được đơn giản hóa nên việc phát hiện trốn thuế sẽ khó khăn hơn, nhưng cơ quan thuế có thể sử dụng công nghệ để giám sát.</t>
  </si>
  <si>
    <t>Cơ quan thuế có khả năng và công nghệ để quản lý thuế hiệu quả, đặc biệt với sự đơn giản hóa quy định.</t>
  </si>
  <si>
    <t>Quy trình khai báo thuế dễ dàng hơn với mức giảm trừ gia cảnh cao, nhưng vẫn cần thời gian thích nghi.</t>
  </si>
  <si>
    <t>Bậc thuế đã được đơn giản hóa, dễ hiểu và thực hiện thuận lợi hơn so với trước đây.</t>
  </si>
  <si>
    <t>Nhà nước đã cải cách để tăng công bằng trong việc đánh thuế, tôi tin tưởng họ sẽ thực thi một cách công tâm.</t>
  </si>
  <si>
    <t>Mức giảm trừ gia cảnh cao giúp tôi không phải đóng thuế, tôi cảm thấy đây là mức thuế công bằng cho thu nhập hiện tại của mình.</t>
  </si>
  <si>
    <t>Thuế được sử dụng để cải thiện dịch vụ công như y tế và đường xá, tôi tin rằng số tiền thuế đóng sẽ được sử dụng hiệu quả.</t>
  </si>
  <si>
    <t>Nhà nước đã giải thích rõ ràng về mục tiêu của việc cải cách thuế, tạo niềm tin với người dân.</t>
  </si>
  <si>
    <t>Sau khi xem xét các quyền lợi và nghĩa vụ mới, tôi ủng hộ và sẽ tuân thủ chính sách thuế mới này.</t>
  </si>
  <si>
    <t>Việc tăng mức giảm trừ gia cảnh và đơn giản hóa biểu thuế có thể làm giảm khả năng phát hiện hành vi trốn thuế. Tuy nhiên, cơ quan thuế vẫn cần công nghệ và nguồn lực để giám sát.</t>
  </si>
  <si>
    <t>Cơ quan thuế đã cải thiện đáng kể trong việc sử dụng công nghệ, tuy nhiên khả năng phát hiện trốn thuế phụ thuộc vào nhiều yếu tố như quy định quản lý và nguồn lực.</t>
  </si>
  <si>
    <t>Quy trình làm việc với cơ quan thuế trở nên đơn giản hơn, thủ tục khai báo thuế dễ dàng hơn so với trước đây. Điều này tạo thuận lợi cho người nộp thuế.</t>
  </si>
  <si>
    <t>Biểu thuế mới có ít bậc hơn và rõ ràng hơn, giúp việc tính thuế đơn giản và dễ hiểu hơn. Tuy nhiên, vẫn cần thời gian để người dân quen với quy định mới.</t>
  </si>
  <si>
    <t>Tôi tin rằng cơ quan thuế sẽ thực thi chính sách một cách công bằng nhưng việc phát hiện trốn thuế phụ thuộc vào nhiều yếu tố khác. Công nghệ và nguồn lực là những yếu tố quyết định.</t>
  </si>
  <si>
    <t>Mức thuế mới được giảm do tăng mức giảm trừ gia cảnh, điều này tạo cảm giác công bằng cho tôi. Tuy nhiên, cần xem xét thêm về tính minh bạch và hiệu quả sử dụng nguồn lực.</t>
  </si>
  <si>
    <t>Thuế tôi đóng sẽ được sử dụng để cải thiện dịch vụ công như y tế và đường xá. Điều này tạo niềm tin vào việc sử dụng số tiền thuế một cách hiệu quả.</t>
  </si>
  <si>
    <t>Tôi thấy Nhà nước đã giải thích rõ ràng về mục tiêu của chính sách mới, tuy nhiên, cần thêm thông tin chi tiết về các quy định cụ thể để người dân hiểu đầy đủ.</t>
  </si>
  <si>
    <t>Dù có một số lo ngại về khả năng phát hiện trốn thuế và sự minh bạch, tôi ủng hộ chính sách mới vì nó tạo cảm giác công bằng và thuận lợi cho người nộp thuế. Tôi sẽ tuân thủ theo quy định mới.</t>
  </si>
  <si>
    <t>Hiện nay, với sự phát triển của công nghệ và hệ thống quản lý thuế ngày càng tiên tiến, tôi tin rằng hành vi gian lận hoặc trốn thuế sẽ dễ dàng bị phát hiện. Tuy nhiên, do không có thông tin cụ thể về khả năng thực thi của cơ quan thuế, điểm số này chỉ ở mức trung bình.</t>
  </si>
  <si>
    <t>Cơ quan thuế đã và đang sử dụng nhiều công nghệ hiện đại để theo dõi và kiểm soát hoạt động kinh doanh cũng như thu nhập của người dân. Điều này cho thấy họ có đủ khả năng phát hiện và xử lý các hành vi trốn thuế.</t>
  </si>
  <si>
    <t>So với trước đây, quy trình làm việc với cơ quan thuế trở nên đơn giản hơn do mức giảm trừ gia cảnh tăng lên. Tuy nhiên, vẫn còn một số thủ tục cần cải thiện để thuận tiện hơn cho người dân.</t>
  </si>
  <si>
    <t>Biểu thuế mới có ít bậc hơn và dễ hiểu hơn so với trước đây, giảm bớt sự phức tạp. Điều này giúp tôi tính toán và nộp thuế một cách nhanh chóng hơn.</t>
  </si>
  <si>
    <t>Tôi tin rằng cơ quan thuế sẽ thực thi chính sách mới một cách khách quan và công bằng, nhưng do không có thông tin cụ thể về cách thức thực hiện, tôi vẫn giữ ở mức trung bình.</t>
  </si>
  <si>
    <t>Với mức giảm trừ gia cảnh tăng lên, việc đóng thuế của tôi đã giảm đáng kể. Điều này cho thấy phương án mới là công bằng đối với người dân như tôi.</t>
  </si>
  <si>
    <t>Tôi tin rằng số tiền thuế mà tôi đóng sẽ được sử dụng hiệu quả để cải thiện các dịch vụ công, nhưng do không có thông tin cụ thể về cách sử dụng nguồn thu, tôi giữ ở mức trung bình.</t>
  </si>
  <si>
    <t>Chính phủ đã giải thích rõ ràng về mục đích của việc sửa đổi thuế lần này. Tuy nhiên, do không có thông tin cụ thể về quy trình thực hiện, tôi vẫn giữ ở mức trung bình.</t>
  </si>
  <si>
    <t>Tôi ủng hộ và tuân thủ chính sách mới vì nó giúp giảm gánh nặng thuế cho người dân như tôi. Tuy nhiên, do còn một số vấn đề cần cải thiện, điểm số này chỉ ở mức trung bình.</t>
  </si>
  <si>
    <t>Nhà nước đã tăng cường kiểm soát và công nghệ hiện đại giúp phát hiện hành vi trốn thuế hiệu quả.</t>
  </si>
  <si>
    <t>Cơ quan thuế có đủ năng lực về nhân sự và công nghệ để xử lý các vụ việc trốn thuế một cách nghiêm minh.</t>
  </si>
  <si>
    <t>Thủ tục khai báo thuế được đơn giản hóa, giúp quá trình làm việc với cơ quan thuế thuận tiện hơn.</t>
  </si>
  <si>
    <t>Biểu thuế mới có số bậc giảm từ 7 xuống còn 5, dễ dàng tính toán và thực hiện hơn.</t>
  </si>
  <si>
    <t>Tôi tin rằng cơ quan thuế sẽ công bằng trong việc áp dụng chính sách, dù mức thuế đã được điều chỉnh.</t>
  </si>
  <si>
    <t>Mức thuế mới giảm so với trước đây và tôi cho rằng nó là hợp lý đối với thu nhập của mình.</t>
  </si>
  <si>
    <t>Thuế đóng góp vào việc cải thiện dịch vụ công, giúp nâng cao chất lượng cuộc sống.</t>
  </si>
  <si>
    <t>Nhà nước đã giải thích rõ mục tiêu của chính sách thuế mới, tạo niềm tin cho người dân.</t>
  </si>
  <si>
    <t>Tôi ủng hộ và tuân thủ chính sách mới vì nó mang lại lợi ích tài chính và thuận tiện hơn so với trước đây.</t>
  </si>
  <si>
    <t>Hiện nay, với sự phát triển của công nghệ và hệ thống quản lý thuế hiện đại, tôi tin rằng hành vi gian lận hoặc trốn thuế sẽ dễ dàng bị phát hiện. Tuy nhiên, tôi không hoàn toàn chắc chắn về việc xử lý nghiêm túc các hành vi sai phạm.</t>
  </si>
  <si>
    <t>Nhà nước và cơ quan thuế đã đầu tư vào công nghệ để tăng cường quản lý thuế, do đó khả năng phát hiện và xử lý gian lận hay trốn thuế cũng được cải thiện đáng kể.</t>
  </si>
  <si>
    <t>So với trước đây, quy trình khai báo thuế trở nên đơn giản hơn. Tuy nhiên, tôi vẫn cảm thấy cần thêm thời gian để quen thuộc với các thay đổi mới.</t>
  </si>
  <si>
    <t>Bảng thuế mới đơn giản hóa nhiều so với trước đây. Các bậc thuế rõ ràng và dễ hiểu hơn, giúp việc tính toán trở nên thuận tiện hơn.</t>
  </si>
  <si>
    <t>Tôi tin rằng Nhà nước sẽ thực thi chính sách một cách công bằng, nhưng do tôi chưa quen với các thay đổi mới, nên mức độ tin tưởng còn hạn chế.</t>
  </si>
  <si>
    <t>Đối với thu nhập của tôi, mức thuế mới được giảm đáng kể. Điều này tạo cảm giác rằng chính sách mới là công bằng đối với người lao động như tôi.</t>
  </si>
  <si>
    <t>Việc giảm thuế giúp tôi tin tưởng hơn vào việc số tiền đóng sẽ được sử dụng hiệu quả cho các dịch vụ công ích.</t>
  </si>
  <si>
    <t>Nhà nước đã giải thích rõ ràng về mục tiêu cải cách, mặc dù còn hạn chế về mặt thông tin minh bạch.</t>
  </si>
  <si>
    <t>Mặc dù có một số lo ngại ban đầu, nhưng với mức thuế giảm đáng kể và quy trình đơn giản hơn, tôi ủng hộ chính sách mới. Tuy nhiên, cần thêm thời gian để quen thuộc.</t>
  </si>
  <si>
    <t>Hiện nay, cơ quan thuế có hệ thống theo dõi chặt chẽ qua các ứng dụng điện tử và dữ liệu lớn. Việc phát hiện gian lận hay trốn thuế sẽ không còn quá khó khăn.</t>
  </si>
  <si>
    <t>Cơ quan thuế đã cải tiến công nghệ, tăng cường hệ thống theo dõi, xử lý nhanh chóng các hành vi trốn thuế.</t>
  </si>
  <si>
    <t>Với việc đơn giản hóa quy trình khai báo và giảm bớt các bước làm, tôi thấy thuận tiện hơn nhiều so với trước đây.</t>
  </si>
  <si>
    <t>Bảng thuế mới có ít bậc hơn, dễ hiểu và tính toán nhanh chóng hơn, giúp tôi không còn cảm thấy bị rối rắm.</t>
  </si>
  <si>
    <t>Tôi tin rằng Nhà nước sẽ công bằng trong việc thực thi chính sách, nhưng do chưa có nhiều thông tin cụ thể về cách vận hành nên vẫn còn nghi ngờ một phần nhỏ.</t>
  </si>
  <si>
    <t>Với mức thuế giảm đáng kể và các quy định mới rõ ràng hơn, tôi thấy việc đóng thuế hiện tại là công bằng cho thu nhập của mình.</t>
  </si>
  <si>
    <t>Thuốc tôi đóng góp sẽ được sử dụng hiệu quả để cải thiện dịch vụ công, nhưng vẫn cần thêm thông tin cụ thể về cách sử dụng số tiền đó.</t>
  </si>
  <si>
    <t>Nhà nước đã giải thích rõ ràng về mục đích và lý do của việc sửa đổi thuế, giúp tôi hiểu hơn về chính sách mới.</t>
  </si>
  <si>
    <t>Tôi ủng hộ và tuân thủ chính sách mới vì nó mang lại lợi ích đáng kể cho tôi và có thể giúp cải thiện chất lượng dịch vụ công.</t>
  </si>
  <si>
    <t>Hiện nay, cơ quan thuế có nhiều công cụ như phần mềm khai thuế trực tuyến và các biện pháp giám sát chặt chẽ hơn, nên tôi tin rằng hành vi gian lận sẽ bị phát hiện.</t>
  </si>
  <si>
    <t>Nhà nước đã đầu tư vào hệ thống công nghệ thông tin cho cơ quan thuế, nâng cao hiệu quả quản lý và giám sát.</t>
  </si>
  <si>
    <t>Quy trình khai thuế trực tuyến đơn giản hơn, thủ tục gọn gàng, dễ thực hiện hơn so với trước đây.</t>
  </si>
  <si>
    <t>Biểu thuế được đơn giản hóa, bậc thuế ít đi và tính toán rõ ràng, dễ hiểu hơn.</t>
  </si>
  <si>
    <t>Nhà nước công bố minh bạch về các thay đổi trong luật thuế, tạo niềm tin cho người dân.</t>
  </si>
  <si>
    <t>Thuế giảm đáng kể và mức giảm trừ gia cảnh cao hơn, tôi cảm thấy hợp lý với thu nhập hiện tại của mình.</t>
  </si>
  <si>
    <t>Tiền thuế sẽ được sử dụng hiệu quả cho các dịch vụ công, cải thiện chất lượng cuộc sống.</t>
  </si>
  <si>
    <t>Nhà nước đã cung cấp thông tin chi tiết về mục tiêu và lý do thay đổi luật thuế, tạo sự minh bạch.</t>
  </si>
  <si>
    <t>Sau khi xem xét, tôi ủng hộ chính sách mới vì nó mang lại lợi ích cho người dân như tôi.</t>
  </si>
  <si>
    <t>Tôi đồng ý vì với mức giảm trừ gia cảnh tăng lên và số bậc thuế giảm, việc phát hiện gian lận sẽ trở nên dễ dàng hơn. Tuy nhiên, vẫn cần sự giám sát chặt chẽ từ cơ quan thuế.</t>
  </si>
  <si>
    <t>Tôi đồng ý vì với công nghệ ngày càng tiên tiến, khả năng phát hiện và xử lý gian lận của cơ quan thuế đã được cải thiện đáng kể.</t>
  </si>
  <si>
    <t>So với trước đây, quy trình làm việc với cơ quan thuế đã đơn giản hơn nhiều. Tuy nhiên, vẫn còn một số bước cần cải thiện.</t>
  </si>
  <si>
    <t>Cách tính thuế và các bậc thuế mới rõ ràng và dễ hiểu hơn so với trước đây, làm tăng sự thuận tiện cho người dân.</t>
  </si>
  <si>
    <t>Tôi tin rằng việc phát hiện gian lận sẽ được thực hiện một cách công bằng và minh bạch. Mức thuế mới cũng được điều chỉnh phù hợp với thu nhập của tôi.</t>
  </si>
  <si>
    <t>Mức thuế mới giảm đáng kể so với trước đây, khiến tôi cảm thấy mình đóng góp một cách công bằng và phù hợp với tình hình kinh tế hiện tại.</t>
  </si>
  <si>
    <t>Tôi tin rằng số tiền thuế tôi đóng sẽ được sử dụng hiệu quả để cải thiện dịch vụ công. Tuy nhiên, cần có thêm thông tin về cách sử dụng nguồn thu thuế này.</t>
  </si>
  <si>
    <t>Nhà nước đã giải thích rõ ràng mục tiêu của việc sửa đổi thuế, tuy nhiên, tôi hy vọng sẽ có thêm thông tin chi tiết hơn về quy trình thực thi chính sách mới.</t>
  </si>
  <si>
    <t>Tôi ủng hộ và tuân thủ chính sách mới vì nó giảm gánh nặng tài chính cho tôi và tạo ra một hệ thống thuế công bằng hơn.</t>
  </si>
  <si>
    <t>Công nghệ hiện đại có thể phát hiện gian lận hoặc trốn thuế, nhưng mức giảm trừ gia cảnh cao hơn và số bậc thuế ít đi cũng khiến việc phát hiện khó khăn hơn.</t>
  </si>
  <si>
    <t>Cơ quan thuế có khả năng sử dụng công nghệ để quản lý hiệu quả, nhưng việc đơn giản hóa quy định có thể tạo ra rủi ro cho sự chính xác trong quá trình tính thuế.</t>
  </si>
  <si>
    <t>Quy trình khai báo và làm việc với cơ quan thuế trở nên dễ dàng hơn, giảm bớt thời gian chờ đợi và thủ tục phức tạp trước đây.</t>
  </si>
  <si>
    <t>Bậc thuế ít đi và mức giảm trừ gia cảnh cao giúp cách tính thuế đơn giản hóa, dễ hiểu và dễ thực hiện hơn so với trước đây.</t>
  </si>
  <si>
    <t>Tôi tin rằng chính phủ sẽ thực thi chính sách một cách công bằng và khách quan, mặc dù mức giảm trừ gia cảnh cao có thể tạo ra nghi ngờ về sự công bằng.</t>
  </si>
  <si>
    <t>Đối với thu nhập của tôi, mức thuế mới là hợp lý và công bằng. Mức giảm trừ gia cảnh cao giúp tiết kiệm chi phí cho tôi.</t>
  </si>
  <si>
    <t>Tôi tin rằng số tiền thuế đóng sẽ được sử dụng hiệu quả để cải thiện chất lượng cuộc sống của người dân, mặc dù đôi khi còn thiếu minh bạch về cách phân bổ ngân sách</t>
  </si>
  <si>
    <t>Chính phủ đã giải thích rõ ràng về mục tiêu và lý do của việc sửa đổi thuế, tạo ra sự tin tưởng ở tôi.</t>
  </si>
  <si>
    <t>Sau khi xem xét các quyền lợi và nghĩa vụ mới, tôi ủng hộ và tuân thủ chính sách mới. Mức thuế giảm giúp cải thiện tình hình tài chính của tôi.</t>
  </si>
  <si>
    <t>Điều kiện quản lý thuế hiện nay vẫn khá phức tạp và chưa có nhiều cải tiến đáng kể, nhưng vẫn có khả năng phát hiện gian lận.</t>
  </si>
  <si>
    <t>Cơ quan thuế đã đầu tư công nghệ hiện đại hơn, tuy nhiên việc thực thi vẫn còn hạn chế do quy trình quản lý chưa hoàn thiện.</t>
  </si>
  <si>
    <t>So với trước đây, các thủ tục khai báo thuế và giao tiếp với cơ quan thuế đơn giản hơn, thời gian chờ đợi cũng ngắn lại.</t>
  </si>
  <si>
    <t>Cách tính thuế mới rõ ràng hơn, số bậc thuế ít đi làm giảm độ phức tạp, dễ dàng thực hiện hơn cho người dân.</t>
  </si>
  <si>
    <t>Tôi tin rằng Nhà nước sẽ thực thi chính sách một cách công bằng, nhưng cần thêm thời gian để chứng minh sự khách quan trong thực tế.</t>
  </si>
  <si>
    <t>Những thay đổi này giúp giảm thuế cho tôi, do đó tôi cảm thấy mức thuế mới là hợp lý hơn.</t>
  </si>
  <si>
    <t>Thuế tôi đóng sẽ được sử dụng để cải thiện dịch vụ công, tuy nhiên cần thêm thông tin về cách sử dụng cụ thể.</t>
  </si>
  <si>
    <t>Nhà nước đã giải thích rõ ràng lý do và mục tiêu của việc sửa đổi thuế lần này, giúp tôi hiểu hơn về chính sách mới.</t>
  </si>
  <si>
    <t>Sau khi xem xét các quyền lợi và nghĩa vụ, tôi ủng hộ và sẽ tuân thủ chính sách mới với sự hài lòng cao do giảm thuế và đơn giản hóa quy trình.</t>
  </si>
  <si>
    <t>Việc tăng giảm trừ gia cảnh và đơn giản hóa biểu thuế có thể làm giảm khả năng phát hiện hành vi gian lận, nhưng Nhà nước vẫn phải đảm bảo các biện pháp quản lý hiệu quả để ngăn chặn trốn thuế.</t>
  </si>
  <si>
    <t>Nhà nước và cơ quan thuế đã cải thiện công nghệ và khả năng phát hiện trốn thuế thông qua các hệ thống điện tử, nhưng vẫn cần nâng cao hơn nữa.</t>
  </si>
  <si>
    <t>Quy trình khai báo thuế nay đơn giản hơn so với trước đây, giảm thời gian và công sức cho người dân, nhưng vẫn có thể cải thiện thêm.</t>
  </si>
  <si>
    <t>Các bậc thuế mới rõ ràng và dễ hiểu hơn, giúp người dân tính toán chính xác hơn, nhưng cần thêm hướng dẫn cụ thể để tránh nhầm lẫn.</t>
  </si>
  <si>
    <t>Tôi tin rằng Nhà nước sẽ thực thi chính sách một cách công tâm, mặc dù vẫn có sự nghi ngờ nhất định về việc quản lý nguồn thu thuế.</t>
  </si>
  <si>
    <t>Mức thuế mới được giảm đáng kể so với trước đây, tạo cảm giác công bằng và hợp lý cho người dân như tôi.</t>
  </si>
  <si>
    <t>Tôi tin rằng số tiền thuế đóng sẽ được sử dụng hiệu quả để cải thiện các dịch vụ công, mặc dù vẫn có sự lo ngại về khả năng quản lý tài chính của Nhà nước.</t>
  </si>
  <si>
    <t>Nhà nước đã giải thích rõ ràng về mục tiêu cải cách thuế lần này thông qua các cuộc họp báo và thông tin trên truyền thông.</t>
  </si>
  <si>
    <t>Tôi ủng hộ chính sách mới vì nó tạo ra sự công bằng trong việc đóng thuế và giảm gánh nặng tài chính cho tôi, mặc dù vẫn có một số lo ngại về quản lý nguồn thu.</t>
  </si>
  <si>
    <t>Dựa trên các quy định quản lý thuế hiện nay, tôi tin rằng hành vi gian lận hay trốn thuế sẽ bị phát hiện và xử lý nghiêm. Với sự giám sát chặt chẽ của cơ quan thuế, cùng với công nghệ tiên tiến, khả năng phát hiện các hành vi sai phạm là rất cao.</t>
  </si>
  <si>
    <t>Nhà nước đã đầu tư vào công nghệ và nhân lực để đảm bảo hiệu quả trong việc quản lý và xử phạt vi phạm. Điều này tăng cường niềm tin của tôi về khả năng phát hiện và xử lý nghiêm các hành vi trốn thuế.</t>
  </si>
  <si>
    <t>So với trước đây, quy trình khai báo thuế đã đơn giản hơn nhiều. Việc cung cấp thông tin trực tuyến và sử dụng ứng dụng điện tử giúp việc làm việc với cơ quan thuế trở nên tiện lợi hơn.</t>
  </si>
  <si>
    <t>Biểu thuế mới có ít bậc hơn, do đó dễ hiểu và thực hiện hơn. Điều này giảm bớt sự phức tạp cho người nộp thuế, tạo ra một quy trình tính thuế rõ ràng hơn.</t>
  </si>
  <si>
    <t>Nhà nước đã minh bạch hóa quy trình và phương pháp tính thuế mới, giúp tôi tin rằng chính sách này sẽ được thực thi một cách khách quan và công bằng.</t>
  </si>
  <si>
    <t>Mức thuế mới giảm so với trước đây, nhưng vẫn phản ánh đúng mức thu nhập của tôi. Điều này cho thấy mức thuế là hợp lý và công bằng.</t>
  </si>
  <si>
    <t>Việc Nhà nước sử dụng tiền thuế để cải thiện dịch vụ công như y tế và cơ sở hạ tầng tạo ra một mối liên kết rõ ràng giữa việc đóng thuế và các lợi ích mà tôi nhận được từ chính phủ.</t>
  </si>
  <si>
    <t>Nhà nước đã cung cấp thông tin đầy đủ về lý do và mục tiêu của việc sửa đổi thuế. Điều này giúp tôi hiểu rõ hơn về quyết định này và có niềm tin rằng nó sẽ mang lại lợi ích cho xã hội.</t>
  </si>
  <si>
    <t>Tác động tài chính tích cực từ chính sách mới đã làm tăng niềm tin của tôi vào sự công bằng của hệ thống thuế. Tôi ủng hộ và tuân thủ chính sách mới này vì nó mang lại lợi ích cho cả cá nhân và cộng đồng.</t>
  </si>
  <si>
    <t>Hiện nay, với hệ thống công nghệ thông tin phát triển, việc quản lý thuế ngày càng hiệu quả. Các cơ quan thuế có nhiều biện pháp để phát hiện và xử lý hành vi gian lận.</t>
  </si>
  <si>
    <t>Nhà nước đã đầu tư mạnh vào công nghệ, tăng cường hệ thống IT cho ngành thuế, nên việc phát hiện trốn thuế sẽ trở nên dễ dàng hơn.</t>
  </si>
  <si>
    <t>Thủ tục khai báo và làm việc với cơ quan thuế nay đơn giản hơn so với trước đây, giảm bớt thời gian và công sức cho người dân.</t>
  </si>
  <si>
    <t>Các bậc thuế mới ít hơn, dễ hiểu hơn, giúp tôi tính toán thu nhập chịu thuế một cách nhanh chóng và chính xác.</t>
  </si>
  <si>
    <t>Tôi tin rằng cơ quan thuế sẽ công bằng trong việc thực thi các quy định mới. Các mức thuế được điều chỉnh dựa trên thu nhập, tạo sự bình đẳng cho người dân.</t>
  </si>
  <si>
    <t>Thuế tôi phải đóng theo phương án mới là hợp lý, vì nó giảm bớt gánh nặng tài chính mà không ảnh hưởng đến chất lượng dịch vụ công</t>
  </si>
  <si>
    <t>Đóng thuế giúp cải thiện hạ tầng và dịch vụ công. Số tiền tôi đóng sẽ được sử dụng hiệu quả, tạo niềm tin cho người dân.</t>
  </si>
  <si>
    <t>Nhà nước đã giải thích rõ ràng về mục đích của việc sửa đổi luật thuế, khiến tôi cảm thấy yên tâm hơn khi tuân thủ chính sách mới</t>
  </si>
  <si>
    <t>Trong tổng thể, các quyền lợi và nghĩa vụ theo chính sách mới đều hợp lý. Tôi ủng hộ và sẽ tuân thủ để góp phần vào sự phát triển chung.</t>
  </si>
  <si>
    <t>Chính phủ và cơ quan thuế có nhiều biện pháp quản lý mạnh mẽ, công nghệ hiện đại hỗ trợ phát hiện hành vi trốn thuế.</t>
  </si>
  <si>
    <t>Nhà nước đã đầu tư vào hệ thống công nghệ thông tin để tăng cường khả năng giám sát và xử lý các trường hợp gian lận, trốn thuế.</t>
  </si>
  <si>
    <t>Quy trình khai báo thuế trở nên đơn giản hơn với việc giảm bậc thuế từ 7 xuống còn 5, giảm thời gian chờ đợi và thủ tục phức tạp.</t>
  </si>
  <si>
    <t>Bậc thuế mới rõ ràng hơn, dễ hiểu, giúp người dân tính toán chính xác số tiền cần đóng, làm việc với cơ quan thuế thuận lợi hơn.</t>
  </si>
  <si>
    <t>Mức giảm trừ gia cảnh tăng lên và bậc thuế đơn giản hơn tạo cảm giác công bằng giữa các đối tượng nộp thuế khác nhau.</t>
  </si>
  <si>
    <t>Thuế mới được tính dựa trên thu nhập thực tế, phù hợp với mức sống hiện tại của tôi, cho thấy sự công bằng trong cách áp dụng chính sách.</t>
  </si>
  <si>
    <t>Số tiền thuế đóng sẽ giúp cải thiện hạ tầng và dịch vụ công, tạo ra lợi ích xã hội đáng kể đối với người dân.</t>
  </si>
  <si>
    <t>Nhà nước đã cung cấp thông tin đầy đủ về mục tiêu và ý nghĩa của việc điều chỉnh thuế lần này, giúp tôi hiểu rõ hơn.</t>
  </si>
  <si>
    <t>Tôi ủng hộ chính sách mới vì nó đơn giản hóa quy trình, tăng tính công bằng và mang lại lợi ích tài chính cho người dân.</t>
  </si>
  <si>
    <t>Ngoài việc tăng giảm trừ gia cảnh, không có quy định cụ thể về quản lý thuế và xử lý gian lận nên mức độ tin cậy thấp hơn so với trước.</t>
  </si>
  <si>
    <t>Cơ quan thuế đã nâng cấp công nghệ, nhưng vẫn chưa rõ ràng trong việc phát hiện gian lận hoặc trốn thuế một cách hiệu quả.</t>
  </si>
  <si>
    <t>Quy trình khai báo thuế và làm việc với cơ quan thuế đơn giản hơn so với trước đây, thuận tiện cho người dân.</t>
  </si>
  <si>
    <t>Biểu thuế được đơn giản hóa từ 7 bậc xuống còn 5 bậc, giúp dễ hiểu và thực hiện hơn.</t>
  </si>
  <si>
    <t>Nhà nước đã công bố rõ ràng về chính sách mới, tuy nhiên vẫn có sự đa dạng trong cách áp dụng nên chưa hoàn toàn công bằng cho mọi người.</t>
  </si>
  <si>
    <t>Thuế giảm đáng kể so với trước đây, giúp tôi cảm thấy mức thuế hiện tại là hợp lý và công bằng.</t>
  </si>
  <si>
    <t>Số tiền thuế đóng sẽ được sử dụng hiệu quả để cải thiện dịch vụ công, tăng niềm tin vào sự quản lý tài chính của Nhà nước.</t>
  </si>
  <si>
    <t>Nhà nước đã giải thích rõ ràng về mục tiêu và lý do sửa đổi thuế, nhưng cần làm rõ hơn nữa để mọi người hiểu đầy đủ.</t>
  </si>
  <si>
    <t>Sau khi tính toán tác động tài chính, tôi ủng hộ và tuân thủ chính sách mới vì nó giúp tiết kiệm chi phí cho cá nhân.</t>
  </si>
  <si>
    <t>Ngoài việc các quy định quản lý thuế ngày càng chặt chẽ, tôi cũng tin rằng Nhà nước có đủ khả năng và công nghệ để phát hiện hành vi gian lận hoặc trốn thuế.</t>
  </si>
  <si>
    <t>Nhà nước đã đầu tư vào hệ thống công nghệ thông tin của cơ quan thuế, cho thấy họ đã chuẩn bị đầy đủ để xử lý nghiêm các vấn đề liên quan đến thuế.</t>
  </si>
  <si>
    <t>So với trước đây, quy trình khai báo thuế và làm việc với cơ quan thuế trở nên đơn giản hơn rất nhiều, tiết kiệm thời gian và công sức của người dân.</t>
  </si>
  <si>
    <t>Biểu thuế được đơn giản hóa từ 7 bậc xuống còn 5 bậc, giúp tôi dễ dàng tính toán và hiểu rõ hơn về mức thuế phải đóng.</t>
  </si>
  <si>
    <t>Tôi tin rằng các quy định mới sẽ được thực thi công bằng đối với tất cả mọi người nộp thuế.</t>
  </si>
  <si>
    <t>Thuế tôi phải đóng theo phương án mới là hợp lý, đặc biệt khi mức giảm trừ gia cảnh đã tăng lên đáng kể.</t>
  </si>
  <si>
    <t>Tôi tin rằng số tiền thuế tôi đóng sẽ được sử dụng hiệu quả để cải thiện các dịch vụ công, như y tế và đường xá.</t>
  </si>
  <si>
    <t>Nhà nước đã giải thích rõ ràng về lý do và mục tiêu của việc sửa đổi thuế lần này thông qua nhiều kênh truyền thông.</t>
  </si>
  <si>
    <t>Tôi ủng hộ và tuân thủ chính sách mới vì nó mang lại lợi ích cho tôi, đồng thời cải thiện quy trình quản lý thuế.</t>
  </si>
  <si>
    <t>Hiện nay, cơ quan thuế có nhiều biện pháp quản lý và công nghệ hiện đại giúp phát hiện hành vi gian lận hoặc trốn thuế.</t>
  </si>
  <si>
    <t>Nhà nước đã đầu tư vào các hệ thống công nghệ thông tin để hỗ trợ việc theo dõi, xử lý nghiêm các trường hợp trốn thuế.</t>
  </si>
  <si>
    <t>Thủ tục khai báo thuế và quy trình làm việc với cơ quan thuế đã đơn giản hơn, đặc biệt là sau khi giảm bậc thuế.</t>
  </si>
  <si>
    <t>Biểu thuế mới có số bậc ít hơn nên dễ hiểu và thực hiện nhanh chóng hơn so với trước đây.</t>
  </si>
  <si>
    <t>Tôi tin rằng cơ quan thuế sẽ thực thi chính sách một cách công bằng, nhưng vẫn cần thời gian để chứng minh.</t>
  </si>
  <si>
    <t>Mức thuế mới phù hợp với thu nhập hiện tại của tôi và mức giảm trừ gia cảnh giúp tiết kiệm nhiều tiền hơn.</t>
  </si>
  <si>
    <t>Tiền thuế đóng góp vào cải thiện chất lượng dịch vụ công, nhưng cần thêm minh bạch về cách sử dụng nguồn thu</t>
  </si>
  <si>
    <t>Nhà nước đã giải thích rõ ràng lý do và mục tiêu của việc sửa đổi chính sách thuế lần này.</t>
  </si>
  <si>
    <t>Tôi ủng hộ chính sách mới vì nó giúp giảm gánh nặng tài chính, nhưng vẫn cần thời gian để làm quen với các quy định mới.</t>
  </si>
  <si>
    <t>Hiện nay, với sự phát triển của công nghệ và hệ thống quản lý thuế hiện đại, tôi tin rằng hành vi gian lận hoặc trốn thuế sẽ dễ dàng bị phát hiện. Tuy nhiên, do chưa có thông tin cụ thể về khả năng thực thi của cơ quan thuế, điểm số không cao.</t>
  </si>
  <si>
    <t>Nhà nước đã đầu tư công nghệ và hệ thống quản lý thuế tốt hơn để phát hiện và xử lý nghiêm các hành vi trốn thuế. Điều này tăng độ tin cậy trong việc thực thi pháp luật.</t>
  </si>
  <si>
    <t>Quy trình khai báo thuế và làm việc với cơ quan thuế trở nên đơn giản hơn, giảm bớt rườm rà, đặc biệt là sau khi áp dụng mức giảm trừ gia cảnh cao hơn.</t>
  </si>
  <si>
    <t>Biểu thuế mới có ít bậc và dễ hiểu hơn so với trước đây, giúp người dân dễ dàng tính toán và thực hiện.</t>
  </si>
  <si>
    <t>Tôi tin rằng Nhà nước sẽ thực thi chính sách một cách khách quan, công bằng đối với mọi người nộp thuế. Mức giảm trừ gia cảnh cao hơn cũng góp phần tạo ra sự công bằng trong việc đóng thuế.</t>
  </si>
  <si>
    <t>Mức thuế mới phù hợp với thu nhập của tôi và mức giảm trừ gia cảnh tăng lên, làm cho việc đóng thuế trở nên công bằng hơn.</t>
  </si>
  <si>
    <t>Tôi tin rằng số tiền thuế mà tôi đóng sẽ được sử dụng hiệu quả để cải thiện dịch vụ công. Việc giảm thuế và tăng mức giảm trừ gia cảnh góp phần vào việc này.</t>
  </si>
  <si>
    <t>Nhà nước đã giải thích rõ ràng về mục tiêu của chính sách mới, mặc dù vẫn còn nhiều thông tin cần cải thiện để nâng cao sự minh bạch.</t>
  </si>
  <si>
    <t>Tôi ủng hộ và tuân thủ chính sách mới vì nó tạo ra sự công bằng trong việc đóng thuế và giảm gánh nặng tài chính cho tôi. Tuy nhiên, một số thông tin về cách sử dụng nguồn thu từ thuế vẫn còn chưa rõ ràng.</t>
  </si>
  <si>
    <t>Hiện tại, cơ quan thuế có hệ thống quản lý hiện đại và quy định rõ ràng về xử lý các hành vi gian lận, trốn thuế.</t>
  </si>
  <si>
    <t>Cơ quan thuế có đủ năng lực và công nghệ để theo dõi và phát hiện các hành vi trốn thuế hiệu quả.</t>
  </si>
  <si>
    <t>Quy trình khai báo thuế đơn giản hơn, không còn nhiều bước rườm rà như trước đây.</t>
  </si>
  <si>
    <t>Biểu thuế mới có ít bậc hơn và dễ hiểu hơn so với trước đây, giảm độ phức tạp.</t>
  </si>
  <si>
    <t>Nhà nước công bố rõ ràng về việc sửa đổi thuế, tạo niềm tin trong cộng đồng.</t>
  </si>
  <si>
    <t>Mức giảm trừ gia cảnh và số bậc thuế mới phù hợp với thu nhập của tôi, thấy được sự công bằng.</t>
  </si>
  <si>
    <t>Có nhiều thông tin giải thích về mục đích của việc sửa đổi, tạo cảm giác trách nhiệm từ phía Nhà nước.</t>
  </si>
  <si>
    <t>Sau khi tính toán tác động tài chính và thấy lợi ích rõ ràng, tôi ủng hộ và tuân thủ chính sách mới.</t>
  </si>
  <si>
    <t>Nếu cơ quan thuế có công nghệ hiện đại, khả năng phát hiện gian lận sẽ tăng. Tuy nhiên, tôi chưa thấy cải thiện đáng kể về mặt này.</t>
  </si>
  <si>
    <t>Tôi tin rằng với việc sử dụng công nghệ, cơ quan thuế có thể phát hiện và xử lý nhanh chóng hơn các hành vi trốn thuế.</t>
  </si>
  <si>
    <t>Quy trình làm việc dễ dàng hơn nhờ tăng mức giảm trừ gia cảnh và đơn giản hóa biểu thuế.</t>
  </si>
  <si>
    <t>Biểu thuế mới rõ ràng, dễ hiểu. Tuy nhiên, tôi vẫn cần thời gian để quen với cách tính mới.</t>
  </si>
  <si>
    <t>Tôi tin rằng cơ quan thuế sẽ công bằng khi áp dụng chính sách mới vì mức giảm trừ gia cảnh tăng đáng kể.</t>
  </si>
  <si>
    <t>Theo tôi, mức thuế mới là hợp lý. Thu nhập của tôi chỉ ở bậc 3 nên không bị đánh thuế cao.</t>
  </si>
  <si>
    <t>Tài chính cá nhân tăng lên nhờ giảm thuế, do đó tôi tin rằng số tiền đóng góp sẽ được sử dụng hiệu quả.</t>
  </si>
  <si>
    <t>Nhà nước đã giải thích rõ về mục tiêu của việc cải cách thuế. Điều này làm tăng niềm tin của tôi.</t>
  </si>
  <si>
    <t>Tác động tài chính tích cực và mức độ đơn giản hóa quy trình làm việc khiến tôi ủng hộ chính sách mới.</t>
  </si>
  <si>
    <t>Dù không hoàn toàn tin tưởng, nhưng với mức giảm trừ gia cảnh tăng lên và đơn giản hóa quy trình, việc phát hiện hành vi gian lận hoặc trốn thuế có thể dễ dàng hơn.</t>
  </si>
  <si>
    <t>Nhà nước đã đầu tư công nghệ để quản lý thuế hiệu quả hơn, tuy nhiên khả năng của họ phụ thuộc vào cách triển khai và quản lý.</t>
  </si>
  <si>
    <t>Biểu thuế mới có ít bậc và dễ hiểu hơn, giúp việc tính thuế trở nên nhanh chóng và chính xác hơn.</t>
  </si>
  <si>
    <t>Tôi tin rằng Nhà nước sẽ thực thi chính sách một cách công bằng, nhưng vẫn cần thêm thời gian để xem xét hiệu quả.</t>
  </si>
  <si>
    <t>Thuế mới phù hợp với thu nhập của tôi và mức giảm trừ gia cảnh tăng lên giúp tôi tiết kiệm được chi phí thuế.</t>
  </si>
  <si>
    <t>Tiền thuế đóng góp sẽ được sử dụng hiệu quả để cải thiện dịch vụ công, nhưng cần theo dõi cụ thể hơn về cách sử dụng nguồn thu.</t>
  </si>
  <si>
    <t>Nhà nước đã giải thích rõ ràng về mục tiêu của việc sửa đổi thuế, tuy nhiên vẫn có nhiều thông tin chưa được minh bạch đầy đủ.</t>
  </si>
  <si>
    <t>Sau khi tính toán lợi ích cá nhân và xem xét cải cách, tôi ủng hộ và sẽ tuân thủ chính sách mới.</t>
  </si>
  <si>
    <t>Dựa trên các quy định quản lý thuế hiện nay, tôi thấy có nhiều biện pháp kiểm soát và xử lý nghiêm minh đối với hành vi gian lận hoặc trốn thuế. Điều này tăng thêm niềm tin rằng cơ quan thuế sẽ thực thi chính sách một cách công bằng.</t>
  </si>
  <si>
    <t>Nhà nước đã đầu tư các công nghệ hiện đại để phát hiện và xử lý các hành vi trốn thuế, đồng thời có sự phối hợp chặt chẽ giữa nhiều cơ quan, tăng cường hiệu quả quản lý.</t>
  </si>
  <si>
    <t>Quy trình khai báo thuế trở nên đơn giản hơn với mức giảm trừ gia cảnh và số bậc thuế được rút gọn. Tuy nhiên, vẫn còn một số bước phức tạp cần cải thiện.</t>
  </si>
  <si>
    <t>Biểu thuế mới có ít bậc và dễ hiểu hơn so với trước đây, giúp việc tính toán và thực hiện giảm trừ gia cảnh trở nên đơn giản hơn.</t>
  </si>
  <si>
    <t>Nhà nước đã công bố rõ ràng về chính sách mới, đồng thời điều chỉnh mức thuế phù hợp với thu nhập của người dân, tăng thêm sự tin tưởng vào hệ thống thuế hiện tại.</t>
  </si>
  <si>
    <t>Với mức giảm trừ gia cảnh và bậc thuế được điều chỉnh, tôi thấy mình phải đóng thuế công bằng hơn so với trước đây. Điều này phản ánh sự công bằng trong việc phân bổ nguồn lực của Nhà nước.</t>
  </si>
  <si>
    <t>Thuế đóng góp vào việc cải thiện chất lượng dịch vụ công, như y tế và giao thông, giúp nâng cao cuộc sống của người dân. Điều này tạo thêm niềm tin rằng số tiền thuế tôi đóng sẽ được sử dụng hiệu quả.</t>
  </si>
  <si>
    <t>Nhà nước đã giải thích rõ ràng về mục tiêu và lý do của việc sửa đổi thuế, đồng thời triển khai các biện pháp quản lý mạnh mẽ. Điều này làm tăng sự minh bạch và trách nhiệm.</t>
  </si>
  <si>
    <t>Sau khi xem xét các quyền lợi và nghĩa vụ, tôi ủng hộ chính sách mới vì nó giúp giảm gánh nặng thuế cho người dân, tạo thêm niềm tin vào hệ thống thuế hiện tại.</t>
  </si>
  <si>
    <t>Hiện nay, cơ quan thuế có nhiều biện pháp kiểm soát mạnh mẽ hơn, bao gồm cả công nghệ số hóa và hệ thống thông tin mở. Điều này tăng cường khả năng phát hiện hành vi gian lận hoặc trốn thuế.</t>
  </si>
  <si>
    <t>Nhà nước đã đầu tư vào công nghệ và nguồn lực để đảm bảo hiệu quả trong việc quản lý thuế, đồng thời tạo ra một môi trường kinh doanh minh bạch hơn.</t>
  </si>
  <si>
    <t>Các quy trình khai báo thuế hiện tại đơn giản hơn nhiều so với trước đây. Việc giảm số bậc thuế đã giúp cải thiện sự thuận tiện cho người nộp thuế.</t>
  </si>
  <si>
    <t>Bậc thuế mới rõ ràng và dễ dàng để tính toán, điều này làm tăng độ hiểu biết của công chúng về cách thức đóng thuế.</t>
  </si>
  <si>
    <t>Tôi tin rằng Nhà nước sẽ thực thi chính sách một cách công bằng. Việc giảm trừ gia cảnh lớn hơn đã đảm bảo mức thuế được tính toán công bằng hơn cho người dân như tôi.</t>
  </si>
  <si>
    <t>Thuế mới được tính dựa trên thu nhập thực tế, với các mức tăng dần phù hợp. Đây là một hệ thống thuế tương đối công bằng và phản ánh đúng mức độ đóng góp của mỗi cá nhân.</t>
  </si>
  <si>
    <t>Thuế tôi đóng sẽ được sử dụng để cải thiện cơ sở hạ tầng, y tế và giáo dục. Điều này tạo cảm giác rằng việc đóng thuế là có ích cho xã hội.</t>
  </si>
  <si>
    <t>Nhà nước đã cung cấp thông tin chi tiết về các thay đổi này, bao gồm lý do và mục tiêu của chúng. Điều này giúp tôi hiểu rõ hơn về việc sao thay đổi là cần thiết.</t>
  </si>
  <si>
    <t>Tôi ủng hộ chính sách mới vì nó đơn giản hóa quy trình thuế, giảm gánh nặng tài chính cho người dân và công bằng hơn so với trước đây. Tôi sẽ tuân thủ các quy định này.</t>
  </si>
  <si>
    <t>Dù tôi tin rằng cơ quan thuế có khả năng phát hiện hành vi gian lận, nhưng với mức giảm trừ gia cảnh tăng lên, việc quản lý thuế trở nên phức tạp hơn. Điều này làm giảm sự tự tin vào khả năng kiểm soát của Nhà nước.</t>
  </si>
  <si>
    <t>Nhà nước đã đầu tư công nghệ để phát hiện trốn thuế, nhưng với quy mô lớn và nhiều người nộp thuế như Việt Nam, việc kiểm soát hoàn toàn vẫn là thách thức. Do đó, tôi cho rằng khả năng xử lý nghiêm các hành vi gian lận còn hạn chế.</t>
  </si>
  <si>
    <t>Quy trình khai báo thuế và làm việc với cơ quan thuế trở nên đơn giản hơn so với trước đây. Việc sử dụng công nghệ cũng giúp quá trình này nhanh chóng, tiện lợi hơn.</t>
  </si>
  <si>
    <t>Các bậc thuế được đơn giản hóa từ 7 xuống còn 5 bậc, làm cho việc tính toán và áp dụng thuế trở nên dễ dàng hơn. Điều này giúp người dân có thể tự tính thuế của mình.</t>
  </si>
  <si>
    <t>Tôi tin rằng Nhà nước sẽ thực thi chính sách một cách công bằng vì mức thuế mới giảm đáng kể, tạo ra sự bình đẳng giữa các đối tượng nộp thuế.</t>
  </si>
  <si>
    <t>Mức thuế tôi phải đóng theo phương án mới là hợp lý. Với thu nhập hiện tại, việc đóng thuế chỉ chiếm một phần nhỏ của thu nhập hàng tháng.</t>
  </si>
  <si>
    <t>Việc giảm trừ gia cảnh tăng lên giúp số tiền thuế tôi phải đóng giảm đáng kể. Tôi tin rằng số tiền này sẽ được sử dụng hiệu quả để cải thiện dịch vụ công.</t>
  </si>
  <si>
    <t>Nhà nước đã giải thích rõ ràng về việc sửa đổi luật thuế, mục tiêu và lý do của nó. Điều này tăng sự minh bạch và tạo niềm tin cho người dân.</t>
  </si>
  <si>
    <t>Sau khi xem xét các quyền lợi và nghĩa vụ, tôi ủng hộ và tuân thủ chính sách mới vì nó giảm gánh nặng về thuế cho người dân và đơn giản hóa quy trình khai báo thuế.</t>
  </si>
  <si>
    <t>Dù các quy định quản lý thuế hiện nay đã được cải thiện, nhưng với mức độ hiểu biết của tôi về hệ thống thuế và khả năng phát hiện trốn thuế, điểm số không thể cao do còn nhiều thông tin thiếu rõ ràng.</t>
  </si>
  <si>
    <t>Cơ quan thuế có khả năng hơn trong việc phát hiện hành vi gian lận hoặc trốn thuế với công nghệ hiện đại. Tuy nhiên, tôi không thể đánh giá cao vì còn nhiều lo ngại về sự minh bạch.</t>
  </si>
  <si>
    <t>Hệ thống khai báo và quy trình làm việc với cơ quan thuế đã đơn giản hơn so với trước đây. Điều này giúp cho quá trình nộp thuế thuận tiện hơn.</t>
  </si>
  <si>
    <t>Biểu thuế mới có ít bậc hơn, dễ hiểu hơn và dễ thực hiện. Điều này làm giảm sự phức tạp trong việc tính toán và tuân thủ pháp luật thuế.</t>
  </si>
  <si>
    <t>Tôi tin rằng cơ quan thuế sẽ thực thi chính sách mới một cách công bằng, nhưng vẫn có lo ngại về sự minh bạch của quá trình thực thi.</t>
  </si>
  <si>
    <t>Mức thuế mới phù hợp với thu nhập của tôi và tăng giảm trừ gia cảnh. Điều này mang lại cảm giác công bằng đối với tôi.</t>
  </si>
  <si>
    <t>Thuế mà tôi đóng sẽ được sử dụng hiệu quả để cải thiện dịch vụ công, điều này làm tăng niềm tin của tôi vào hệ thống thuế mới.</t>
  </si>
  <si>
    <t>Nhà nước đã giải thích rõ ràng về lý do và mục tiêu của việc sửa đổi thuế lần này. Điều này giúp tôi hiểu hơn về chính sách mới.</t>
  </si>
  <si>
    <t>Sau khi xem xét các quyền lợi và nghĩa vụ, tôi đồng ý với và sẽ tuân thủ chính sách mới vì nó mang lại nhiều ưu điểm so với trước đây.</t>
  </si>
  <si>
    <t>Cơ quan thuế có nhiều công cụ kỹ thuật hiện đại, tuy nhiên mức giảm trừ gia cảnh tăng cao hơn so với trước nên khả năng phát hiện hành vi gian lận khó khăn hơn.</t>
  </si>
  <si>
    <t>Nhà nước đã đầu tư vào hệ thống công nghệ thông tin và nhân lực để quản lý thuế, nhưng vẫn cần thời gian để hoàn thiện.</t>
  </si>
  <si>
    <t>Quy trình khai báo và làm việc với cơ quan thuế đơn giản hơn so với trước đây, đặc biệt là về mặt thủ tục giảm trừ gia cảnh.</t>
  </si>
  <si>
    <t>Biểu thuế được đơn giản hóa thành 5 bậc thay vì 7, dễ hiểu và thực hiện nhanh chóng hơn nhiều so với trước đây.</t>
  </si>
  <si>
    <t>Tôi tin rằng Nhà nước sẽ công bằng trong việc áp dụng chính sách mới, nhưng cần thêm thời gian để kiểm chứng.</t>
  </si>
  <si>
    <t>Thuế tôi phải đóng giảm đi đáng kể nên cảm thấy mức thuế này là hợp lý đối với thu nhập của mình.</t>
  </si>
  <si>
    <t>Đồng ý rằng số tiền thuế đóng sẽ được sử dụng hiệu quả để cải thiện dịch vụ công, nhưng cần giám sát để đảm bảo.</t>
  </si>
  <si>
    <t>Nhà nước đã giải thích rõ ràng về mục tiêu của việc sửa đổi thuế này, tuy nhiên vẫn có những điểm chưa minh bạch.</t>
  </si>
  <si>
    <t>Chính sách mới mang lại nhiều lợi ích cho tôi, do đó tôi ủng hộ và sẽ tuân thủ.</t>
  </si>
  <si>
    <t>Nhà nước đã tăng cường công nghệ và các biện pháp quản lý, nhưng vẫn cần cải thiện để phát hiện trốn thuế hiệu quả hơn.</t>
  </si>
  <si>
    <t>Cơ quan thuế có khả năng xử lý nghiêm túc hành vi trốn thuế nhờ hệ thống công nghệ cao và quy định rõ ràng.</t>
  </si>
  <si>
    <t>Quy trình làm việc với cơ quan thuế đã đơn giản hơn, thủ tục khai báo thuế cũng thuận tiện hơn so với trước đây.</t>
  </si>
  <si>
    <t>Bậc thuế được giảm từ 7 xuống còn 5 bậc, cách tính thuế trở nên dễ hiểu và đơn giản hơn nhiều.</t>
  </si>
  <si>
    <t>Tôi tin rằng nhà nước sẽ thực hiện chính sách một cách công bằng đối với người nộp thuế.</t>
  </si>
  <si>
    <t>Mức thuế mới được giảm đáng kể, tôi cảm thấy việc đóng thuế theo phương án mới là công bằng.</t>
  </si>
  <si>
    <t>Thuế của tôi đã giảm và số tiền này sẽ được sử dụng hiệu quả để cải thiện các dịch vụ công.</t>
  </si>
  <si>
    <t>Nhà nước đã giải thích rõ ràng về mục tiêu và lý do của việc sửa đổi thuế, tăng sự minh bạch.</t>
  </si>
  <si>
    <t>Tôi ủng hộ chính sách mới vì nó có lợi cho người dân như tôi, giúp giảm gánh nặng thuế và dễ dàng thực hiện hơn.</t>
  </si>
  <si>
    <t>Mặc dù có các quy định quản lý thuế, nhưng do không rõ ràng về khả năng và công nghệ của cơ quan thuế trong việc phát hiện gian lận hoặc trốn thuế, nên tôi chỉ đồng ý một phần.</t>
  </si>
  <si>
    <t>Việc nhà nước áp dụng các công nghệ hiện đại vào quản lý thuế có thể giúp phát hiện hành vi trốn thuế, nhưng mức độ hiệu quả vẫn còn hạn chế do chưa đủ nguồn lực.</t>
  </si>
  <si>
    <t>So với quy trình khai báo trước đây, việc đơn giản hóa biểu thuế và giảm số bậc từ 7 xuống 5 đã làm cho thủ tục trở nên dễ dàng hơn.</t>
  </si>
  <si>
    <t>Biểu thuế mới có ít bậc hơn và mức thuế suất rõ ràng hơn so với trước, giúp tôi dễ dàng tính toán và thực hiện hơn.</t>
  </si>
  <si>
    <t>Tôi tin rằng cơ quan thuế sẽ cố gắng thực thi chính sách một cách công tâm, nhưng do chưa có nhiều thông tin về cách thực thi cụ thể nên mức độ tin tưởng còn hạn chế.</t>
  </si>
  <si>
    <t>Mức thuế mới đã giảm so với trước đây nhờ các khoản giảm trừ gia cảnh tăng lên, điều này làm tôi cảm thấy công bằng hơn về sự đóng góp của mình vào ngân sách nhà nước.</t>
  </si>
  <si>
    <t>Tôi tin rằng số tiền thuế tôi đóng sẽ được sử dụng hiệu quả cho các dịch vụ công như y tế và giao thông, nhưng do không có nhiều thông tin cụ thể nên mức độ tin tưởng còn thấp.</t>
  </si>
  <si>
    <t>Nhà nước đã giải thích rõ về việc sửa đổi chính sách thuế, nhưng do chưa có nhiều thông tin chi tiết về cách thực hiện nên tôi vẫn giữ thái độ thận trọng.</t>
  </si>
  <si>
    <t>Chính sách mới mang lại lợi ích tài chính cho tôi, giảm gánh nặng thuế và nâng cao mức sống gia đình. Tôi sẽ ủng hộ và tuân thủ nếu các quy định được thực hiện công bằng và hiệu quả.</t>
  </si>
  <si>
    <t>Công nghệ hiện đại giúp phát hiện gian lận và trốn thuế dễ dàng hơn, tăng cường quản lý.</t>
  </si>
  <si>
    <t>Nhà nước có nhiều nguồn lực để triển khai hệ thống thông tin điện tử hiệu quả.</t>
  </si>
  <si>
    <t>Quy trình làm việc và khai báo thuế trở nên đơn giản hơn, thuận tiện cho người dân.</t>
  </si>
  <si>
    <t>Bậc thuế giảm từ 7 xuống còn 5, dễ hiểu và thực hiện nhanh chóng hơn.</t>
  </si>
  <si>
    <t>Niềm tin vào sự khách quan và công bằng của cơ quan thuế tăng do mức thuế thấp hơn.</t>
  </si>
  <si>
    <t>Đối với thu nhập hiện tại, mức thuế mới là hợp lý và công bằng.</t>
  </si>
  <si>
    <t>Thuế đóng góp vào các dịch vụ công, cải thiện chất lượng cuộc sống của người dân.</t>
  </si>
  <si>
    <t>Đã có giải thích rõ ràng về mục tiêu và lý do sửa đổi thuế lần này.</t>
  </si>
  <si>
    <t>Chấp nhận chính sách mới vì lợi ích tài chính và sự đơn giản hóa quy trình nộp thuế.</t>
  </si>
  <si>
    <t>Việc tăng mức giảm trừ gia cảnh và đơn giản hóa biểu thuế có thể làm giảm khả năng phát hiện hành vi gian lận, nhưng vẫn tin rằng cơ quan thuế sẽ giám sát hiệu quả.</t>
  </si>
  <si>
    <t>Cơ sở hạ tầng công nghệ của Nhà nước đã tiến bộ, tuy nhiên, việc thực thi và quản lý thuế còn phụ thuộc vào nhiều yếu tố khác.</t>
  </si>
  <si>
    <t>Quy trình khai báo nay đơn giản hơn, nhưng vẫn cần thời gian để quen với các thay đổi mới.</t>
  </si>
  <si>
    <t>Biểu thuế mới dễ hiểu và thực hiện thuận tiện hơn so với trước đây.</t>
  </si>
  <si>
    <t>Tôi tin rằng Nhà nước sẽ thực thi chính sách một cách công bằng, nhưng vẫn cần thêm thời gian để xem xét hiệu quả thực tế.</t>
  </si>
  <si>
    <t>Mức thuế mới là hợp lý và phù hợp với thu nhập của tôi.</t>
  </si>
  <si>
    <t>Đối với mức thuế này, tôi tin rằng số tiền đóng sẽ được sử dụng hiệu quả cho các dịch vụ công</t>
  </si>
  <si>
    <t>Tác động tài chính tích cực và sự đơn giản hóa quy trình làm việc với cơ quan thuế khiến tôi ủng hộ chính sách mới</t>
  </si>
  <si>
    <t>Nhà nước đã đầu tư vào hệ thống thông tin và công nghệ để cải thiện khả năng quản lý thuế. Điều này cho thấy họ có đủ khả năng để phát hiện, xử lý các trường hợp trốn thuế.</t>
  </si>
  <si>
    <t>Quy trình khai báo thuế đã đơn giản hơn với việc giảm số bậc thuế và mức giảm trừ gia cảnh tăng lên. Điều này giúp tôi tiết kiệm thời gian và công sức.</t>
  </si>
  <si>
    <t>Bảng thuế mới đơn giản hóa quy trình tính toán, dễ dàng áp dụng hơn so với trước đây. Cách tính thuế rõ ràng, dễ hiểu nên không gây khó khăn trong việc tuân thủ.</t>
  </si>
  <si>
    <t>Phương án mới công bằng đối với người có thu nhập như tôi. Mức giảm trừ gia cảnh tăng lên giúp giảm bớt gánh nặng thuế.</t>
  </si>
  <si>
    <t>Mức thuế theo phương án mới hợp lý và phù hợp với mức sống của tôi. Việc tăng giảm trừ gia cảnh giúp phân bổ công bằng hơn giữa các đối tượng nộp thuế.</t>
  </si>
  <si>
    <t>Thuế đóng góp vào việc cải thiện hạ tầng cơ sở và dịch vụ công, như y tế và giao thông. Điều này tạo niềm tin về sự sử dụng hiệu quả nguồn thu của Nhà nước.</t>
  </si>
  <si>
    <t>Nhà nước đã giải thích rõ ràng về mục tiêu và lý do của việc sửa đổi thuế lần này, giúp người dân hiểu được tầm quan trọng của chính sách mới.</t>
  </si>
  <si>
    <t>Tôi ủng hộ chính sách mới vì nó đơn giản hơn, công bằng hơn và giúp tôi tiết kiệm được một khoản chi phí đáng kể. Tôi sẽ tuân thủ quy định mới.</t>
  </si>
  <si>
    <t>Dựa trên quy định quản lý thuế hiện nay, tôi không thấy có đủ cơ sở cho việc phát hiện và xử lý nghiêm hành vi gian lận hoặc trốn thuế.</t>
  </si>
  <si>
    <t>Nhà nước đã đầu tư công nghệ vào hệ thống tax, nhưng khả năng thực thi vẫn phụ thuộc nhiều vào sự tuân thủ của cá nhân.</t>
  </si>
  <si>
    <t>Quy trình làm việc với cơ quan thuế và khai báo thuế trở nên đơn giản hơn với mức giảm trừ gia cảnh cao hơn, nhưng vẫn cần thời gian để thích ứng.</t>
  </si>
  <si>
    <t>Biểu thuế mới đơn giản hóa nhiều bậc thuế, dễ hiểu và thực hiện hơn so với trước đây.</t>
  </si>
  <si>
    <t>Tôi tin rằng Nhà nước sẽ công tâm trong việc áp dụng chính sách, nhưng vẫn có sự nghi ngờ về cách thực thi.</t>
  </si>
  <si>
    <t>Mức thuế mới cho thấy sự công bằng đối với thu nhập như tôi, giảm gánh nặng tài chính và tạo điều kiện cho người dân phát triển kinh tế cá nhân.</t>
  </si>
  <si>
    <t>Số tiền thuế đóng sẽ được sử dụng hiệu quả để cải thiện dịch vụ công, nhưng vẫn cần minh bạch hơn về cách sử dụng.</t>
  </si>
  <si>
    <t>Nhà nước đã giải thích rõ mục tiêu và lý do sửa đổi thuế, nhưng thông tin chi tiết về việc thực hiện còn hạn chế.</t>
  </si>
  <si>
    <t>Chính sách mới mang lại lợi ích tài chính đáng kể và đơn giản hóa quy trình, tôi sẽ ủng hộ và tuân thủ nó.</t>
  </si>
  <si>
    <t>Hiện nay, với sự phát triển của công nghệ thông tin và hệ thống quản lý thuế hiện đại, khả năng phát hiện hành vi gian lận hoặc trốn thuế được cải thiện đáng kể. Tuy nhiên, để đảm bảo hiệu quả, vẫn cần có sự giám sát chặt chẽ từ các cơ quan chức năng.</t>
  </si>
  <si>
    <t>Nhà nước và cơ quan thuế đã đầu tư vào công nghệ hiện đại để hỗ trợ quản lý thuế một cách hiệu quả. Điều này tạo điều kiện thuận lợi cho việc phát hiện, xử lý các hành vi trốn thuế.</t>
  </si>
  <si>
    <t>So với trước đây, quy trình khai báo thuế và làm việc với cơ quan thuế trở nên đơn giản hơn. Tuy nhiên, vẫn cần có sự hướng dẫn cụ thể để người dân có thể thực hiện đúng.</t>
  </si>
  <si>
    <t>Sau khi giảm bớt số bậc thuế từ 7 xuống còn 5 và tăng mức giảm trừ gia cảnh, quá trình tính thuế trở nên dễ dàng hơn. Điều này giúp người dân hiểu rõ hơn về hệ thống thuế mới.</t>
  </si>
  <si>
    <t>Tôi tin rằng Nhà nước sẽ thực thi chính sách một cách khách quan và công bằng cho tất cả các đối tượng nộp thuế. Việc cải cách thuế nhằm mục đích tạo ra sự công bằng trong việc phân bổ nguồn lực.</t>
  </si>
  <si>
    <t>Theo phương án mới, mức thuế mà tôi phải đóng là hợp lý. Với thu nhập hiện tại và số người phụ thuộc ít, mức giảm trừ gia cảnh cao hơn đã giúp giảm gánh nặng tài chính.</t>
  </si>
  <si>
    <t>Việc cải cách thuế nhằm mục đích sử dụng hiệu quả nguồn thu để cải thiện các dịch vụ công. Tôi tin rằng số tiền tôi đóng sẽ được sử dụng đúng mục đích.</t>
  </si>
  <si>
    <t>Nhà nước đã giải thích rõ ràng về lý do và mục tiêu của việc sửa đổi thuế lần này. Thông qua các kênh thông tin chính thức, người dân có thể hiểu rõ hơn về chính sách mới.</t>
  </si>
  <si>
    <t>Việc cải cách thuế mang lại nhiều lợi ích cho tôi, bao gồm mức giảm trừ gia cảnh cao hơn và số bậc thuế đơn giản. Tôi ủng hộ và tuân thủ chính sách mới này.</t>
  </si>
  <si>
    <t>Hiện nay, cơ quan thuế có nhiều công cụ như phần mềm khai thuế trực tuyến, báo cáo tài chính định kỳ,... giúp phát hiện hành vi gian lận. Tuy nhiên, vẫn còn một số khó khăn trong việc quản lý.</t>
  </si>
  <si>
    <t>Nhà nước đã đầu tư nhiều vào công nghệ và đào tạo nguồn nhân lực để xử lý hiệu quả hơn các hành vi trốn thuế, cho thấy khả năng phát hiện và xử lý nghiêm vẫn rất tốt.</t>
  </si>
  <si>
    <t>Quy trình khai báo thuế trực tuyến đã đơn giản hóa nhiều so với trước đây. Người nộp thuế chỉ cần cung cấp thông tin cơ bản, không còn quá rườm rà như trước.</t>
  </si>
  <si>
    <t>Biểu thuế mới có ít bậc hơn và ngưỡng chịu thuế rõ ràng, dễ hiểu hơn so với trước đây. Người dân dễ dàng tính toán và nộp thuế một cách chính xác và nhanh chóng.</t>
  </si>
  <si>
    <t>Tôi tin rằng Nhà nước sẽ thực thi chính sách này công bằng đối với mọi người, không phân biệt ai đang nộp thuế bao nhiêu. Điều này tạo nên sự tin tưởng trong việc quản lý tài chính của quốc gia.</t>
  </si>
  <si>
    <t>Như một người thu nhập trung bình, mức giảm trừ gia cảnh và số bậc thuế mới giúp tôi cảm thấy công bằng khi đóng thuế. Đây là mức phù hợp với thu nhập của mình.</t>
  </si>
  <si>
    <t>Tôi tin rằng số tiền thuế tôi đóng sẽ được sử dụng hiệu quả để cải thiện các dịch vụ công, từ đó tạo lợi ích cho toàn xã hội và cá nhân tôi.</t>
  </si>
  <si>
    <t>Nhà nước đã giải thích rõ ràng về mục tiêu của việc sửa đổi thuế mới. Các thông tin được cung cấp một cách minh bạch, giúp người dân hiểu được lý do đằng sau chính sách này.</t>
  </si>
  <si>
    <t>Dựa trên các quyền lợi và nghĩa vụ mới, tôi ủng hộ và tuân thủ chính sách thuế mới. Nó mang lại nhiều thuận tiện cho cá nhân như tôi.</t>
  </si>
  <si>
    <t>Hiện nay, các quy định quản lý thuế đã được cải thiện đáng kể và công nghệ hiện đại giúp việc phát hiện hành vi gian lận hoặc trốn thuế trở nên dễ dàng hơn.</t>
  </si>
  <si>
    <t>Nhà nước có đủ khả năng để ứng dụng công nghệ tiên tiến trong quản lý và giám sát các hoạt động tài chính, từ đó xử lý nghiêm các hành vi trốn thuế.</t>
  </si>
  <si>
    <t>Việc giảm số bậc thuế và đơn giản hóa quy trình khai báo giúp quá trình làm việc với cơ quan thuế trở nên thuận tiện hơn.</t>
  </si>
  <si>
    <t>Biểu thuế mới đã được đơn giản hóa, dễ hiểu và thực hiện nhanh chóng hơn so với trước đây.</t>
  </si>
  <si>
    <t>Lưu ý về mức giảm trừ gia cảnh và số bậc thuế mới giúp tôi cảm thấy mức thuế đóng là hợp lý.</t>
  </si>
  <si>
    <t>Tôi tin rằng số tiền thuế đóng sẽ được sử dụng hiệu quả để cải thiện dịch vụ công cho xã hội.</t>
  </si>
  <si>
    <t>Tôi ủng hộ và sẽ tuân thủ chính sách mới vì nó mang lại nhiều lợi ích cho tôi và xã hội.</t>
  </si>
  <si>
    <t>Hệ thống quản lý thuế hiện nay đã cải thiện đáng kể, nhưng vẫn còn nhiều thách thức trong việc phát hiện gian lận trốn thuế.</t>
  </si>
  <si>
    <t>Nhà nước và cơ quan thuế có công nghệ tiên tiến để phát hiện hành vi trốn thuế, đồng thời khả năng xử lý nghiêm cũng được cải thiện.</t>
  </si>
  <si>
    <t>Thủ tục khai báo thuế đã đơn giản hơn so với trước đây, nhưng vẫn còn cần tối ưu hóa thêm để thuận tiện cho người dân.</t>
  </si>
  <si>
    <t>Biểu thuế mới đơn giản và dễ hiểu hơn so với trước, giảm bớt thời gian tính toán và làm việc với cơ quan thuế.</t>
  </si>
  <si>
    <t>Tôi tin rằng Nhà nước sẽ thực thi chính sách một cách công bằng, nhưng vẫn cần thêm các biện pháp giám sát để đảm bảo.</t>
  </si>
  <si>
    <t>Mức thuế mới phù hợp với thu nhập của tôi và tăng giảm trừ gia cảnh giúp tôi cảm thấy rằng mức thuế đóng là công bằng.</t>
  </si>
  <si>
    <t>Thuế đóng vào ngân sách nhà nước sẽ được sử dụng hiệu quả để cải thiện dịch vụ công, nhưng cần có thêm thông tin về cách sử dụng cụ thể.</t>
  </si>
  <si>
    <t>Nhà nước đã giải thích rõ ràng về mục tiêu của việc sửa đổi thuế, nhưng tôi mong muốn có thêm thông tin về hiệu quả thực tế.</t>
  </si>
  <si>
    <t>Tôi ủng hộ và sẽ tuân thủ chính sách mới vì nó mang lại nhiều lợi ích cho tôi và người dân nói chung.</t>
  </si>
  <si>
    <t>Chính phủ có nhiều biện pháp quản lý thuế, nhưng vẫn còn khả năng trốn thuế và gian lận không bị phát hiện.</t>
  </si>
  <si>
    <t>Cơ quan thuế đã cải thiện công nghệ để theo dõi các giao dịch tài chính, nhưng việc kiểm soát toàn diện cần thời gian.</t>
  </si>
  <si>
    <t>Quy trình khai báo thuế và làm việc với cơ quan thuế trở nên đơn giản hơn nhiều so với trước đây.</t>
  </si>
  <si>
    <t>Biểu thuế mới có ít bậc hơn, dễ hiểu và thực hiện thuận tiện hơn so với luật cũ.</t>
  </si>
  <si>
    <t>Tôi tin rằng cơ quan thuế sẽ công tâm trong việc thực thi chính sách mới.</t>
  </si>
  <si>
    <t>Mức thuế mới giảm đáng kể so với trước đây, tôi thấy đó là một mức hợp lý cho thu nhập của mình.</t>
  </si>
  <si>
    <t>Thuế đóng góp vào các dịch vụ công và hạ tầng quan trọng cho cộng đồng, tôi tin rằng tiền thuế được sử dụng hiệu quả.</t>
  </si>
  <si>
    <t>Tôi ủng hộ và tuân thủ chính sách mới vì nó giảm gánh nặng tài chính cho tôi và cải thiện thuận tiện trong khai báo thuế.</t>
  </si>
  <si>
    <t>Công nghệ hiện nay rất phát triển, việc giám sát thuế cũng ngày càng dễ dàng hơn. Tuy nhiên, còn phụ thuộc vào sự thực thi của cơ quan thuế.</t>
  </si>
  <si>
    <t>Nhà nước và cơ quan thuế đã có nhiều cải tiến công nghệ, nhưng vẫn cần nâng cao năng lực quản lý để phát hiện trốn thuế hiệu quả.</t>
  </si>
  <si>
    <t>Quy trình khai báo thuế trở nên đơn giản hơn với việc giảm số bậc thuế và tăng mức giảm trừ gia cảnh. Điều này giúp thuận tiện cho người dân.</t>
  </si>
  <si>
    <t>Biểu thuế mới rõ ràng, dễ hiểu và thực hiện đơn giản hơn so với trước đây, cải thiện đáng kể sự thuận lợi cho người nộp thuế.</t>
  </si>
  <si>
    <t>Nhà nước đã công bố thông tin minh bạch về chính sách mới, tuy nhiên vẫn cần thêm các biện pháp cụ thể để đảm bảo thực thi công bằng.</t>
  </si>
  <si>
    <t>Mức thuế mới giảm đáng kể so với trước đây, tạo cảm giác rằng mức thuế đóng là hợp lý và công bằng đối với thu nhập của tôi.</t>
  </si>
  <si>
    <t>Tiết kiệm được số tiền thuế lớn, tôi tin số tiền này sẽ được sử dụng hiệu quả để cải thiện chất lượng dịch vụ công trong cộng đồng.</t>
  </si>
  <si>
    <t>Nhà nước đã giải thích rõ ràng về mục tiêu và lý do của việc sửa đổi luật thuế lần này, tạo niềm tin vào quyết định quản lý tài chính.</t>
  </si>
  <si>
    <t>Sau khi xem xét các ưu điểm mới mang lại, tôi ủng hộ và sẽ tuân thủ chính sách thuế mới. Việc giảm trừ gia cảnh tăng lên giúp tôi tiết kiệm nhiều hơn.</t>
  </si>
  <si>
    <t>Việc tăng giảm trừ gia cảnh và đơn giản hóa biểu thuế có thể làm giảm cơ hội gian lận, tuy nhiên, cần thời gian để xem xét thực tế.</t>
  </si>
  <si>
    <t>Năng lực công nghệ của nhà nước đã phát triển đáng kể, nhưng khả năng phát hiện trốn thuế vẫn phụ thuộc vào việc thực thi.</t>
  </si>
  <si>
    <t>Quy trình làm việc với cơ quan thuế trở nên đơn giản hơn do giảm bớt các bước và điều kiện để nhận giảm trừ gia cảnh, thuận lợi cho người dân.</t>
  </si>
  <si>
    <t>Bậc thuế giảm từ 7 xuống 5, kèm theo việc tăng mức giảm trừ gia cảnh, giúp tính toán thuế trở nên dễ dàng hơn.</t>
  </si>
  <si>
    <t>Tăng mức giảm trừ gia cảnh và đơn giản hóa biểu thuế cho thấy sự công bằng trong việc phân bổ gánh nặng thuế.</t>
  </si>
  <si>
    <t>Nhìn chung, mức thuế tôi phải đóng vẫn ở mức hợp lý so với thu nhập hiện tại của mình.</t>
  </si>
  <si>
    <t>Tăng giảm trừ gia cảnh giúp số tiền thuế được sử dụng hiệu quả hơn để cải thiện dịch vụ công cho người dân.</t>
  </si>
  <si>
    <t>Nhà nước đã giải thích rõ ràng về mục tiêu của việc sửa đổi thuế, nhưng cần thêm minh bạch về cách sử dụng nguồn thu</t>
  </si>
  <si>
    <t>Sau khi xem xét tất cả các yếu tố, tôi ủng hộ và tuân thủ chính sách mới.</t>
  </si>
  <si>
    <t>Thuế TNCN có nhiều biện pháp quản lý, nhưng tôi vẫn nghi ngờ khả năng phát hiện trốn thuế.</t>
  </si>
  <si>
    <t>Công nghệ ngày càng tiến bộ giúp cơ quan thuế xử lý nhanh chóng hơn nhưng vẫn còn hạn chế trong việc phát hiện gian lận.</t>
  </si>
  <si>
    <t>Thủ tục khai báo thuế và làm việc với cơ quan thuế đơn giản hơn trước, cải thiện đáng kể thuận tiện cho người dân.</t>
  </si>
  <si>
    <t>Số bậc thuế giảm đi, cách tính thuế dễ hiểu hơn nhiều so với trước đây, thuận lợi cho người dân trong việc thực hiện.</t>
  </si>
  <si>
    <t>Tôi tin rằng Nhà nước sẽ thực thi chính sách một cách công bằng và khách quan, nhưng vẫn còn lo ngại về khả năng quản lý.</t>
  </si>
  <si>
    <t>Với thu nhập hiện tại, mức thuế mới là hợp lý. Tuy nhiên, tôi hy vọng sẽ có thêm giảm trừ gia cảnh để giảm bớt gánh nặng tài chính.</t>
  </si>
  <si>
    <t>Những khoản tiền đóng góp vào ngân sách nhà nước được sử dụng hiệu quả để cải thiện hạ tầng và dịch vụ công</t>
  </si>
  <si>
    <t>Đã có nhiều giải thích về mục tiêu của việc sửa đổi thuế, tuy nhiên, tôi vẫn muốn hiểu rõ hơn về cách sử dụng số tiền đóng góp.</t>
  </si>
  <si>
    <t>Mặc dù tác động tài chính tích cực, nhưng tôi cần thêm thời gian để quen với các quy định mới trước khi ủng hộ hoàn toàn</t>
  </si>
  <si>
    <t>Nhà nước và cơ quan thuế có hệ thống công nghệ hiện đại, tuy nhiên mức độ phát hiện trốn thuế vẫn phụ thuộc vào sự giám sát của người dân và các tổ chức. Do đó, tôi không hoàn toàn đồng ý.</t>
  </si>
  <si>
    <t>Cơ quan thuế có khả năng quản lý tốt hơn nhờ công nghệ, nhưng việc phát hiện trốn thuế vẫn còn nhiều thách thức.</t>
  </si>
  <si>
    <t>Thủ tục khai báo thuế đã đơn giản hơn so với trước đây, nhưng vẫn cần cải thiện thêm về độ tiện lợi.</t>
  </si>
  <si>
    <t>Cách tính thuế mới rõ ràng và dễ hiểu hơn, giảm bớt sự phức tạp cho người dân.</t>
  </si>
  <si>
    <t>Tôi tin rằng cơ quan thuế sẽ thực thi chính sách một cách công bằng, nhưng vẫn cần giám sát chặt chẽ từ phía người dân.</t>
  </si>
  <si>
    <t>Mức thuế mới là hợp lý đối với thu nhập của tôi, có sự giảm trừ gia cảnh đáng kể.</t>
  </si>
  <si>
    <t>Thuế đóng góp vào việc cải thiện dịch vụ công, nhưng hiệu quả sử dụng còn phụ thuộc vào quản lý ngân sách nhà nước.</t>
  </si>
  <si>
    <t>Nhà nước đã giải thích rõ ràng mục tiêu của chính sách mới, tuy nhiên cần thêm thông tin về quy trình thực hiện.</t>
  </si>
  <si>
    <t>Tôi ủng hộ và tuân thủ chính sách mới vì nó mang lại lợi ích tài chính đáng kể cho tôi.</t>
  </si>
  <si>
    <t>Hiện nay, cơ quan thuế đã tăng cường công nghệ và quản lý, do đó hành vi gian lận hoặc trốn thuế sẽ dễ dàng bị phát hiện.</t>
  </si>
  <si>
    <t>Nhà nước có đủ khả năng với hệ thống công nghệ cao để kiểm soát và xử lý nghiêm các hành vi trốn thuế.</t>
  </si>
  <si>
    <t>So với trước đây, quy trình khai báo thuế đơn giản hơn nhiều, thuận tiện cho người dân.</t>
  </si>
  <si>
    <t>Bậc thuế mới đơn giản hóa hơn, dễ hiểu và thực hiện dễ dàng hơn so với biểu thuế cũ.</t>
  </si>
  <si>
    <t>Thuế theo phương án mới là hợp lý với thu nhập của tôi, giảm gánh nặng tài chính đáng kể.</t>
  </si>
  <si>
    <t>Đồng ý đóng thuế để nhà nước sử dụng hiệu quả cho các dịch vụ công như y tế và đường xá.</t>
  </si>
  <si>
    <t>Tôi ủng hộ và tuân thủ chính sách mới, do tác động tài chính tích cực và sự đơn giản hóa quy trình.</t>
  </si>
  <si>
    <t>Công nghệ hiện đại giúp phát hiện hành vi trốn thuế hiệu quả, nhưng vẫn cần sự giám sát chặt chẽ từ cơ quan thuế để tránh bỏ sót.</t>
  </si>
  <si>
    <t>Nhà nước có đủ nguồn lực và công nghệ để quản lý thuế một cách hiệu quả, giảm thiểu tình trạng trốn thuế.</t>
  </si>
  <si>
    <t>Quy trình khai báo thuế trở nên đơn giản hơn, nhưng vẫn cần thời gian để người dân quen thuộc với thay đổi mới.</t>
  </si>
  <si>
    <t>Cách tính thuế và bậc thuế mới dễ hiểu hơn, giảm đi sự phức tạp cho người nộp thuế.</t>
  </si>
  <si>
    <t>Tôi tin Nhà nước sẽ thực thi chính sách một cách công bằng, nhưng cần thêm thời gian để xem xét hiệu quả thực tế.</t>
  </si>
  <si>
    <t>Thuế mới được tính dựa trên thu nhập của tôi là hợp lý, giảm bớt gánh nặng thuế so với trước đây.</t>
  </si>
  <si>
    <t>Tiền thuế đóng góp vào cải thiện dịch vụ công, nhưng cần xem xét hiệu quả sử dụng nguồn lực.</t>
  </si>
  <si>
    <t>Cơ quan thuế đã giải thích rõ ràng về mục tiêu của chính sách mới, tăng sự tin tưởng của người dân.</t>
  </si>
  <si>
    <t>Tác động tài chính tích cực và cải thiện thuận tiện cho người nộp thuế làm tôi ủng hộ chính sách mới.</t>
  </si>
  <si>
    <t>Nước ta đang ngày càng tăng cường quản lý thuế thông qua công nghệ và hệ thống, nên tôi có niềm tin vào việc phát hiện hành vi gian lận.</t>
  </si>
  <si>
    <t>Cơ quan thuế đã đầu tư nhiều vào công nghệ để cải thiện hiệu suất làm việc, giúp xử lý các vấn đề thuế một cách nhanh chóng và chính xác hơn.</t>
  </si>
  <si>
    <t>Quy trình khai thuế và giao dịch với cơ quan thuế đã đơn giản hóa nhiều so với trước đây, tạo điều kiện thuận lợi cho người dân.</t>
  </si>
  <si>
    <t>Các bậc thuế mới dễ hiểu hơn, giảm độ phức tạp trong quá trình tính thuế và làm giảm rủi ro sai sót.</t>
  </si>
  <si>
    <t>Nhà nước đã công bố rõ ràng về quy định mới, tôi tin rằng việc thực thi sẽ công bằng với tất cả mọi người.</t>
  </si>
  <si>
    <t>Thuế mới giảm cho tôi so với trước đây, nên tôi thấy mức thuế hiện tại là hợp lý đối với thu nhập của mình.</t>
  </si>
  <si>
    <t>Nhà nước đã công bố về mục tiêu của việc sửa đổi luật thuế, tạo niềm tin cho người dân trong việc thực thi chính sách mới.</t>
  </si>
  <si>
    <t>Tôi ủng hộ và tuân thủ chính sách mới vì nó đơn giản hơn và có lợi cho tôi.</t>
  </si>
  <si>
    <t>Dựa trên thông tin, các quy định quản lý thuế hiện nay đã được cải thiện đáng kể. Tuy nhiên, tôi vẫn giữ một thái độ thận trọng vì chưa có nhiều thực tế để chứng minh việc phát hiện và xử lý trốn thuế hiệu quả.</t>
  </si>
  <si>
    <t>Nhà nước đã đầu tư công nghệ để hỗ trợ quản lý thuế, nhưng tôi vẫn cần thêm thời gian để xem xét thực tế về khả năng của các cơ quan thuế trong việc ứng dụng công nghệ này.</t>
  </si>
  <si>
    <t>Quy trình khai báo thuế và làm việc với cơ quan thuế đã đơn giản hơn, đặc biệt là khi mức giảm trừ gia cảnh được tăng lên. Điều này giúp tiết kiệm thời gian cho người nộp thuế.</t>
  </si>
  <si>
    <t>Biểu thuế mới đơn giản hóa quá trình tính thuế và dễ hiểu hơn so với trước đây, nhờ đó mà việc thực hiện các quy định trở nên thuận tiện hơn.</t>
  </si>
  <si>
    <t>Tôi tin rằng Nhà nước sẽ cố gắng thực thi chính sách một cách khách quan, mặc dù vẫn có thể còn những nghi ngờ nhất định về sự công bằng của hệ thống quản lý thuế.</t>
  </si>
  <si>
    <t>Với mức giảm trừ gia cảnh mới và số bậc thuế đơn giản hơn, tôi cảm thấy mức thuế mình phải đóng là hợp lý. Điều này giúp tôi có niềm tin hơn vào sự công bằng của chính sách.</t>
  </si>
  <si>
    <t>Người dân hy vọng rằng số tiền thuế họ đóng sẽ được sử dụng hiệu quả cho các dịch vụ công, nhưng thực tế vẫn còn chưa rõ ràng.</t>
  </si>
  <si>
    <t>Nhà nước đã giải thích khá rõ về lý do và mục tiêu của việc sửa đổi luật thuế lần này, giúp tôi hiểu hơn về sự cần thiết của những thay đổi này.</t>
  </si>
  <si>
    <t>Tôi ủng hộ chính sách mới vì nó mang lại nhiều lợi ích như tiết kiệm chi phí thuế và tăng cường tính công bằng. Tôi sẽ tuân thủ các quy định mới.</t>
  </si>
  <si>
    <t>Điều này khá khó để đánh giá vì tôi không có nhiều thông tin về khả năng phát hiện và xử lý của cơ quan thuế. Tuy nhiên, với sự phát triển của công nghệ, tôi cho rằng khả năng này đang được cải thiện.</t>
  </si>
  <si>
    <t>Cơ quan thuế có đủ nguồn lực và công nghệ để giám sát các giao dịch tài chính hiện đại. Điều này làm tăng cơ hội phát hiện hành vi trốn thuế.</t>
  </si>
  <si>
    <t>Quy trình khai báo thuế trở nên đơn giản hơn, điều này giúp giảm thời gian và công sức cho người dân. Người phụ thuộc có thể dễ dàng nắm bắt các quy định mới.</t>
  </si>
  <si>
    <t>Số bậc thuế từ 7 xuống 5 làm việc tính toán thuế trở nên dễ dàng hơn, tiết kiệm thời gian và công sức cho người dân.</t>
  </si>
  <si>
    <t>Tôi tin rằng cơ quan thuế sẽ thực thi chính sách một cách khách quan. Các thay đổi này hướng đến việc giảm gánh nặng tài chính cho người lao động.</t>
  </si>
  <si>
    <t>Thuế mới được tính dựa trên thu nhập, với mức độ tăng lương, tôi thấy mức thuế hiện tại là hợp lý. Điều này giúp công bằng hơn trong việc phân bổ gánh nặng tài chính giữa các đối tượng.</t>
  </si>
  <si>
    <t>Thuế đóng góp vào dịch vụ công và phát triển hạ tầng, đây là lợi ích mà tôi nhận được từ các khoản thuế của mình. Điều này làm tăng niềm tin về việc sử dụng hiệu quả nguồn lực.</t>
  </si>
  <si>
    <t>Cơ quan thuế đã cung cấp thông tin chi tiết về mục tiêu và lý do đằng sau việc cải cách, điều này giúp tôi hiểu rõ hơn về chính sách mới.</t>
  </si>
  <si>
    <t>Tôi ủng hộ chính sách mới vì nó giảm gánh nặng tài chính cho người lao động như tôi. Mức thuế mới giúp cân đối giữa lợi ích cá nhân và trách nhiệm chung</t>
  </si>
  <si>
    <t>Trong thực tế, các quy định quản lý thuế hiện nay đã có nhiều cải tiến, tuy nhiên khả năng phát hiện và xử lý gian lận hay trốn thuế vẫn còn hạn chế do thiếu công nghệ hiện đại.</t>
  </si>
  <si>
    <t>Cơ quan thuế đang đẩy mạnh ứng dụng công nghệ trong quản lý thuế nhưng việc thực thi pháp luật về thuế vẫn phụ thuộc vào sự phối hợp và năng lực của các cơ quan chức năng.</t>
  </si>
  <si>
    <t>So với trước đây, quy trình khai báo thuế trở nên đơn giản hơn nhờ cải cách giảm bậc thuế, tuy nhiên việc làm việc với cơ quan thuế vẫn cần thời gian để thích ứng.</t>
  </si>
  <si>
    <t>Cách tính và các bậc thuế mới đã dễ hiểu và thực hiện nhanh chóng hơn, giúp tôi tiết kiệm được nhiều thời gian so với trước đây.</t>
  </si>
  <si>
    <t>Tôi tin rằng Nhà nước sẽ công bằng trong việc thực thi chính sách mới nhưng vẫn cần thêm thời gian để chứng minh sự khách quan và công bằng.</t>
  </si>
  <si>
    <t>Mức thuế mới có phần hợp lý đối với thu nhập của tôi, nhưng tôi hy vọng sẽ còn cải cách hơn nữa về tương lai.</t>
  </si>
  <si>
    <t>Tôi tin rằng số tiền thuế đóng sẽ được sử dụng hiệu quả để cải thiện dịch vụ công, đặc biệt là y tế và giáo dục.</t>
  </si>
  <si>
    <t>Nhà nước đã giải thích rõ ràng về mục tiêu của việc sửa đổi chính sách thuế, tuy nhiên cần thêm thông tin chi tiết hơn về cách thực hiện.</t>
  </si>
  <si>
    <t>Tôi ủng hộ và tuân thủ chính sách mới vì nó mang lại lợi ích tài chính cho tôi và cải thiện thuận tiện trong khai báo thuế.</t>
  </si>
  <si>
    <t>Nhà nước đã có nhiều biện pháp kiểm soát thuế trong thời gian gần đây, từ hệ thống công nghệ thông tin cho đến các cuộc thanh tra, kiểm tra thường xuyên. Điều này tạo niềm tin rằng hành vi trốn thuế sẽ dễ dàng bị phát hiện.</t>
  </si>
  <si>
    <t>Cơ quan thuế có đủ nguồn lực và công nghệ để quản lý và giám sát hiệu quả các hoạt động kinh doanh, từ đó giúp phát hiện kịp thời các hành vi trốn thuế.</t>
  </si>
  <si>
    <t>Với mức giảm trừ gia cảnh cao hơn và số bậc thuế ít đi, quy trình khai thuế trở nên đơn giản hơn, tiết kiệm thời gian cho người nộp thuế.</t>
  </si>
  <si>
    <t>Biểu thuế mới có ít bậc hơn, dễ hiểu và dễ thực hiện hơn so với trước đây. Điều này giúp giảm bớt sự phức tạp trong quá trình tính thuế.</t>
  </si>
  <si>
    <t>Tôi tin rằng cơ quan thuế sẽ công bằng khi áp dụng chính sách mới, đặc biệt là khi mức thuế tôi phải đóng đã được giảm đáng kể.</t>
  </si>
  <si>
    <t>Làm việc trong một môi trường ổn định với thu nhập cố định, tôi cho rằng mức thuế mà tôi đóng là phù hợp và công bằng.</t>
  </si>
  <si>
    <t>Với mức giảm trừ gia cảnh cao hơn, số tiền thuế tôi phải đóng đã được cắt giảm đáng kể. Điều này làm tăng niềm tin rằng số tiền thuế tôi đóng sẽ được sử dụng hiệu quả cho lợi ích cộng đồng.</t>
  </si>
  <si>
    <t>Nhà nước đã đưa ra giải trình rõ ràng về mục tiêu và lý do của việc cải cách thuế, từ đó làm tăng niềm tin vào quyết định này.</t>
  </si>
  <si>
    <t>Tôi hoàn toàn ủng hộ chính sách mới vì nó giúp tôi tiết kiệm được số tiền thuế đáng kể mà không làm mất đi tính công bằng trong việc đóng góp cho nhà nước.</t>
  </si>
  <si>
    <t xml:space="preserve">Hiện nay, cơ quan thuế có nhiều công cụ và nguồn lực để phát hiện hành vi gian lận hoặc trốn thuế, do đó tôi tin rằng những hành vi này sẽ bị xử lý nghiêm. </t>
  </si>
  <si>
    <t xml:space="preserve">Nhà nước đã đầu tư vào công nghệ và nhân sự để cải thiện quản lý thuế, điều này tăng cường khả năng phát hiện và xử lý các hành vi trốn thuế. </t>
  </si>
  <si>
    <t xml:space="preserve">Quy trình khai báo thuế nay đơn giản hơn so với trước đây, tôi không gặp khó khăn trong việc làm việc với cơ quan thuế. </t>
  </si>
  <si>
    <t xml:space="preserve">Các bậc thuế mới đã được đơn giản hóa và dễ hiểu hơn, giúp quá trình tính thuế trở nên thuận tiện hơn cho người dân. </t>
  </si>
  <si>
    <t>Tôi tin rằng cơ quan thuế sẽ thực thi chính sách một cách công bằng và khách quan đối với mọi người nộp thuế.</t>
  </si>
  <si>
    <t>Với mức thuế mới, tôi thấy mình đóng góp một phần hợp lý vào xã hội và đó là mức độ công bằng cần thiết.</t>
  </si>
  <si>
    <t>Thuế tôi đóng sẽ được sử dụng hiệu quả để cải thiện dịch vụ công, điều này làm tăng niềm tin của tôi vào việc đầu tư của nhà nước.</t>
  </si>
  <si>
    <t>Nhà nước đã giải thích rõ ràng về mục tiêu và lý do của việc thay đổi thuế, tạo sự minh bạch cho người dân.</t>
  </si>
  <si>
    <t xml:space="preserve">Sau khi xem xét các quyền lợi mới, tôi ủng hộ chính sách này và sẽ tuân thủ nó. </t>
  </si>
  <si>
    <t>Cơ quan thuế có công nghệ hiện đại và đội ngũ chuyên nghiệp, tuy nhiên vẫn cần sự giám sát chặt chẽ từ người dân.</t>
  </si>
  <si>
    <t>Nhà nước đã đầu tư vào hệ thống quản lý thuế hiện đại hơn, giảm khả năng trốn thuế.</t>
  </si>
  <si>
    <t>Quy trình khai báo và làm việc với cơ quan thuế đơn giản hơn, nhanh chóng hơn so với trước đây.</t>
  </si>
  <si>
    <t>Biểu thuế mới đơn giản hóa các bậc thuế, dễ hiểu và thực hiện hơn.</t>
  </si>
  <si>
    <t>Tôi tin rằng cơ quan thuế sẽ thực thi chính sách một cách công bằng cho mọi người nộp thuế.</t>
  </si>
  <si>
    <t>Thuế mới giảm gánh nặng cho tôi, nên tôi thấy mức thuế đóng là hợp lý.</t>
  </si>
  <si>
    <t>Tài chính nhà nước sẽ được sử dụng hiệu quả để cải thiện dịch vụ công</t>
  </si>
  <si>
    <t>Nhà nước đã giải thích rõ ràng về mục tiêu và lý do của việc sửa đổi thuế.</t>
  </si>
  <si>
    <t>Tôi ủng hộ và tuân thủ chính sách mới vì lợi ích mà nó mang lại cho tôi</t>
  </si>
  <si>
    <t>Hiện nay, cơ quan thuế có nhiều biện pháp và công nghệ để phát hiện hành vi gian lận hoặc trốn thuế. Tuy nhiên, việc thực thi vẫn phụ thuộc vào năng lực quản lý của cơ quan thuế.</t>
  </si>
  <si>
    <t>Nhà nước đã đầu tư nhiều nguồn lực cho công nghệ và nhân sự để nâng cao hiệu quả quản lý thuế. Điều này làm giảm nguy cơ trốn tránh</t>
  </si>
  <si>
    <t>Quy trình khai báo thuế trở nên đơn giản hơn, thủ tục cũng nhanh chóng hơn so với trước đây.</t>
  </si>
  <si>
    <t>Biểu thuế mới rõ ràng và dễ hiểu hơn, giảm đi sự phức tạp về mặt tính toán.</t>
  </si>
  <si>
    <t>Nhà nước đã thực hiện cải cách một cách công bằng đối với tất cả các đối tượng nộp thuế. Các quy định mới tạo ra sự công bằng trong việc đóng góp vào ngân sách nhà nước.</t>
  </si>
  <si>
    <t>Với mức thu nhập và giảm trừ gia cảnh mới, tôi thấy mình đóng đúng mức phù hợp với thu nhập của bản thân.</t>
  </si>
  <si>
    <t>Thuế tôi đóng sẽ được sử dụng hiệu quả để cải thiện chất lượng cuộc sống cho toàn xã hội, từ y tế đến giáo dục và cơ sở hạ tầng.</t>
  </si>
  <si>
    <t>Nhà nước đã giải thích đầy đủ về mục tiêu của chính sách mới. Các thông tin được cung cấp giúp tôi hiểu rõ hơn về quá trình cải cách này.</t>
  </si>
  <si>
    <t>Tôi ủng hộ và tuân thủ chính sách mới vì nó mang lại lợi ích thực tế cho bản thân và cộng đồng, cũng như công bằng trong việc đóng góp</t>
  </si>
  <si>
    <t>Hiện nay, cơ quan thuế có hệ thống quản lý và công nghệ tiên tiến giúp phát hiện hành vi gian lận hoặc trốn thuế.</t>
  </si>
  <si>
    <t>Nhà nước đã đầu tư vào công nghệ và nguồn lực để đảm bảo các quy định thuế được thực thi một cách hiệu quả.</t>
  </si>
  <si>
    <t>Quy trình khai báo thuế trở nên đơn giản hơn, giảm bớt rườm rà cho người nộp thuế.</t>
  </si>
  <si>
    <t>Biểu thuế mới có ít bậc và dễ hiểu hơn so với trước đây, giúp tính toán nhanh chóng hơn.</t>
  </si>
  <si>
    <t>Lãnh đạo Nhà nước đã cam kết thực thi chính sách một cách công bằng và khách quan đối với mọi người nộp thuế.</t>
  </si>
  <si>
    <t>Mức thuế mới thấp hơn so với trước đây, thể hiện tính công bằng trong việc đánh giá mức thu nhập.</t>
  </si>
  <si>
    <t>Thuế tôi đóng sẽ được sử dụng hiệu quả để cải thiện các dịch vụ công, tạo niềm tin vào hệ thống thuế mới.</t>
  </si>
  <si>
    <t>Tôi ủng hộ và sẽ tuân thủ chính sách mới vì nó mang lại lợi ích tài chính và thuận tiện cho người nộp thuế.</t>
  </si>
  <si>
    <t>Thuế mới có nhiều cải tiến nhưng không rõ quy định quản lý thuế hiện tại đã đủ mạnh để phát hiện và xử lý nghiêm các hành vi gian lận, trốn thuế.</t>
  </si>
  <si>
    <t>Việc Nhà nước tăng cường công nghệ và nguồn lực cho cơ quan thuế có thể giúp cải thiện khả năng phát hiện gian lận nhưng không chắc chắn.</t>
  </si>
  <si>
    <t>Phương án mới đơn giản hóa biểu thuế, dễ hiểu và thực hiện hơn so với trước đây.</t>
  </si>
  <si>
    <t>Việc giảm trừ gia cảnh tăng lên có thể tạo cảm giác công bằng hơn, nhưng vẫn còn nghi ngờ về cách thực thi.</t>
  </si>
  <si>
    <t>Mức thuế mới hợp lý cho thu nhập của tôi, giảm gánh nặng tài chính và tạo cảm giác công bằng.</t>
  </si>
  <si>
    <t>Số tiền thuế đóng được sử dụng hiệu quả để cải thiện dịch vụ công có thể tạo niềm tin vào sự quản lý tài chính của Nhà nước.</t>
  </si>
  <si>
    <t>Việc giải thích rõ ràng về mục tiêu và lý do sửa đổi thuế lần này đã tăng tính minh bạch, nhưng vẫn cần thêm thông tin.</t>
  </si>
  <si>
    <t>Sau khi xem xét tác động tài chính tích cực, tôi ủng hộ và tuân thủ chính sách mới vì nó đơn giản hóa quá trình khai thuế và giảm gánh nặng tài chính.</t>
  </si>
  <si>
    <t>Nhà nước đã tăng cường quản lý thuế thông qua việc sử dụng công nghệ hiện đại, tuy nhiên vẫn còn nhiều thách thức để phát hiện gian lận.</t>
  </si>
  <si>
    <t>Cơ quan thuế có khả năng và công nghệ để theo dõi và xử lý các hành vi trốn thuế hiệu quả hơn nhờ cải cách quản lý.</t>
  </si>
  <si>
    <t>So với trước đây, quy trình khai báo thuế trở nên đơn giản hơn, dễ thực hiện và nhanh chóng hơn</t>
  </si>
  <si>
    <t>Biểu thuế được đơn giản hóa từ 7 bậc xuống còn 5 bậc, làm giảm độ phức tạp và tăng tính dễ hiểu.</t>
  </si>
  <si>
    <t>Tôi tin rằng Nhà nước sẽ thực thi chính sách một cách công bằng với mọi người nộp thuế</t>
  </si>
  <si>
    <t>Thuế tôi phải đóng theo phương án mới là hợp lý, phù hợp với thu nhập của mình</t>
  </si>
  <si>
    <t>Sau khi xem xét, tôi ủng hộ chính sách mới vì nó mang lại lợi ích tài chính và giảm độ phức tạp</t>
  </si>
  <si>
    <t>Hiện tại, cơ quan thuế đã có nhiều biện pháp quản lý mạnh mẽ và công nghệ tiên tiến như CNTT để phát hiện hành vi trốn thuế. Việc giảm trừ gia cảnh tăng cao cũng giúp việc khai báo dễ dàng hơn.</t>
  </si>
  <si>
    <t>Nhà nước có nhiều nguồn lực về nhân sự và công nghệ, đặc biệt là CNTT, để phát hiện trốn thuế một cách hiệu quả. Luật mới đơn giản hóa quy trình khai báo, giúp việc quản lý dễ dàng hơn.</t>
  </si>
  <si>
    <t>Việc giảm trừ gia cảnh tăng cao và số bậc thuế giảm từ 7 xuống còn 5 đã làm thủ tục khai thuế đơn giản, nhanh chóng hơn. Bước tính thuế cũng dễ dàng hơn.</t>
  </si>
  <si>
    <t>Biểu thuế mới đơn giản với 5 bậc thay vì 7 trước đây, giúp việc tính toán thuế trở nên dễ dàng và rõ ràng hơn. Thu nhập tôi rơi vào bậc 3 nên rất thuận lợi.</t>
  </si>
  <si>
    <t>Tôi tin rằng cơ quan thuế sẽ công bằng trong việc thực thi chính sách mới, đảm bảo quyền lợi cho người dân.</t>
  </si>
  <si>
    <t>Với thu nhập của tôi, mức thuế mới là hợp lý. Thu nhập trung bình nên đóng mức thuế này là phù hợp.</t>
  </si>
  <si>
    <t>Nhà nước đã tăng ngân sách cho y tế và giao thông, điều này cho thấy số tiền thuế tôi đóng được sử dụng hiệu quả.</t>
  </si>
  <si>
    <t>Đã có sự giải thích rõ ràng về mục tiêu của việc sửa đổi thuế. Tuy nhiên, vẫn còn thiếu minh bạch về cách cụ thể số tiền thuế sẽ được sử dụng.</t>
  </si>
  <si>
    <t>Sau khi xem xét các quyền lợi và nghĩa vụ, tôi ủng hộ chính sách mới vì nó giúp giảm gánh nặng tài chính và đơn giản hóa quy trình khai báo. Tôi sẽ tuân thủ.</t>
  </si>
  <si>
    <t>Biểu thuế mới có ít bậc hơn và đơn giản hóa cách tính thuế, làm cho việc thực hiện dễ dàng hơn. Điều này giúp người dân hiểu rõ hơn về quy định thuế của mình.</t>
  </si>
  <si>
    <t>Tôi tin rằng nhà nước sẽ công bằng trong việc áp dụng chính sách mới, nhưng cần thêm thời gian để chứng minh điều đó. Việc giảm trừ gia cảnh tăng lên làm cho hệ thống thuế trở nên công bằng hơn đối với tôi.</t>
  </si>
  <si>
    <t>Dựa trên mức thu nhập của mình, mức thuế mới là hợp lý và công bằng. Với việc giảm trừ gia cảnh tăng lên, tôi thấy chính sách này mang lại lợi ích cho người dân như tôi.</t>
  </si>
  <si>
    <t>Đối với một người trẻ tuổi làm việc trong ngành công nghiệp hiện đại, số tiền thuế đóng vào ngân sách quốc gia sẽ được sử dụng hiệu quả để cải thiện các dịch vụ công</t>
  </si>
  <si>
    <t>Nhà nước đã giải thích rõ ràng về mục tiêu và lý do của việc sửa đổi thuế, nhưng cần thêm thông tin chi tiết hơn về cách sử dụng số tiền thuế này.</t>
  </si>
  <si>
    <t>Tôi ủng hộ chính sách mới vì nó đơn giản hóa quy trình khai báo thuế và giảm trừ gia cảnh tăng lên. Việc tôi không phải đóng thuế nhiều hơn trước đây cũng làm tăng sự đồng ý với chính sách này.</t>
  </si>
  <si>
    <t>Việc áp dụng công nghệ hiện đại giúp tăng cường khả năng phát hiện và xử lý trốn thuế.</t>
  </si>
  <si>
    <t>Trình tự khai báo thuế trở nên đơn giản hơn với mức giảm trừ gia cảnh cao hơn, nhưng vẫn cần cải thiện thêm.</t>
  </si>
  <si>
    <t>Biểu thuế mới đơn giản và dễ hiểu hơn so với trước đây, giúp tính toán nhanh chóng hơn.</t>
  </si>
  <si>
    <t>Tôi tin rằng việc áp dụng công bằng mức giảm trừ gia cảnh và bậc thuế sẽ khách quan.</t>
  </si>
  <si>
    <t>Thuế mới có thể coi là hợp lý, đặc biệt khi so sánh với số tiền tôi tiết kiệm được.</t>
  </si>
  <si>
    <t>Nhà nước đã sử dụng một phần khoản thuế này để cải thiện dịch vụ công, nhưng vẫn cần cải thiện hơn nữa.</t>
  </si>
  <si>
    <t>Chính phủ đã giải thích rõ ràng về mục tiêu cải cách, tạo niềm tin cho người dân.</t>
  </si>
  <si>
    <t>Tôi ủng hộ chính sách mới vì nó giảm gánh nặng thuế và có lợi cho tôi.</t>
  </si>
  <si>
    <t>Dù có công nghệ hỗ trợ, nhưng do quy mô lớn của người nộp thuế và khả năng quản lý còn hạn chế nên rủi ro gian lận vẫn có thể xảy ra.</t>
  </si>
  <si>
    <t>Nhà nước đã đầu tư công nghệ cải thiện khả năng phát hiện, nhưng do quy mô lớn của người nộp thuế, việc quản lý vẫn còn nhiều khó khăn.</t>
  </si>
  <si>
    <t>Quy trình khai báo và làm việc với cơ quan thuế dễ dàng hơn, thời gian chờ đợi ngắn đi nên thuận tiện hơn cho người dân.</t>
  </si>
  <si>
    <t>Số bậc thuế giảm từ 7 xuống 5, quy định rõ ràng hơn, dễ hiểu và thực hiện đơn giản hơn so với trước đây.</t>
  </si>
  <si>
    <t>Tôi tin Nhà nước sẽ thực thi công bằng, nhưng vẫn có nghi ngờ về khả năng kiểm soát toàn diện của cơ quan thuế đối với tất cả người nộp thuế.</t>
  </si>
  <si>
    <t>Thuế giảm đáng kể và mức giảm trừ gia cảnh tăng nên tôi thấy công bằng hơn so với trước đây, hợp lý cho thu nhập như tôi.</t>
  </si>
  <si>
    <t>Tôi tin số tiền thuế đóng sẽ được sử dụng hiệu quả để cải thiện dịch vụ công, nhưng không chắc chắn mức độ cụ thể.</t>
  </si>
  <si>
    <t>Nhà nước đã giải thích rõ ràng về mục tiêu và lý do của việc sửa đổi thuế, tôi cảm thấy tin tưởng hơn.</t>
  </si>
  <si>
    <t>Tác động tài chính tích cực và quy định đơn giản hơn đều khiến tôi ủng hộ và tuân thủ chính sách mới.</t>
  </si>
  <si>
    <t>Tăng mức giảm trừ gia cảnh và đơn giản hóa biểu thuế có thể làm giảm hành vi gian lận, nhưng không chắc chắn sẽ phát hiện mọi trường hợp trốn thuế.</t>
  </si>
  <si>
    <t>Nhà nước đã đầu tư vào công nghệ và đào tạo đội ngũ nhân viên, tăng cường khả năng phát hiện, xử lý các hành vi trốn thuế.</t>
  </si>
  <si>
    <t>Thủ tục khai báo thuế đơn giản hơn, nhưng vẫn cần thời gian để quen với quy trình mới.</t>
  </si>
  <si>
    <t>Biểu thuế đơn giản hóa và rõ ràng hơn, dễ hiểu và thực hiện thuận lợi hơn so với trước đây.</t>
  </si>
  <si>
    <t>Nhà nước đã cố gắng công bằng trong việc áp dụng chính sách mới, nhưng vẫn có nghi ngờ về khả năng thực thi.</t>
  </si>
  <si>
    <t>Thuế tôi phải đóng giảm đáng kể, cảm thấy mức thuế mới là hợp lý cho thu nhập hiện tại của mình.</t>
  </si>
  <si>
    <t>Thuế sẽ được sử dụng để cải thiện dịch vụ công, nhưng hiệu quả cụ thể còn phụ thuộc vào quản trị và giám sát.</t>
  </si>
  <si>
    <t>Nhà nước đã giải thích rõ ràng về mục tiêu của việc sửa đổi thuế, nhưng có ít thông tin hơn về cách thực hiện chính sách mới.</t>
  </si>
  <si>
    <t>Thuế giảm đáng kể và thủ tục đơn giản hơn khiến tôi ủng hộ và tuân thủ chính sách mới.</t>
  </si>
  <si>
    <t>Các quy định quản lý thuế hiện nay có nhiều cải tiến, nhưng vẫn còn những lỗ hổng dễ bị lợi dụng. Tăng mức giảm trừ gia cảnh và đơn giản hóa biểu thuế sẽ làm giảm cơ hội trốn thuế.</t>
  </si>
  <si>
    <t>Nhà nước đã đầu tư vào công nghệ để phát hiện, xử lý các hành vi trốn thuế, nhưng vẫn cần thời gian để hoàn thiện hệ thống.</t>
  </si>
  <si>
    <t>Quy trình khai báo và làm việc với cơ quan thuế trở nên đơn giản hơn nhiều so với trước đây. Tuy nhiên, vẫn còn một số thủ tục phức tạp cần cải tiến.</t>
  </si>
  <si>
    <t>Biểu thuế mới đơn giản hóa và dễ hiểu hơn, giảm bớt sự lúng túng cho người nộp thuế, giúp tính toán nhanh chóng.</t>
  </si>
  <si>
    <t>Nếu chính sách được thực thi công bằng và minh bạch, tôi sẽ tin tưởng vào việc Nhà nước công bằng trong việc áp dụng luật pháp thuế</t>
  </si>
  <si>
    <t>Mức thuế mới theo phương án này là hợp lý cho thu nhập của tôi. Tăng mức giảm trừ gia cảnh và đơn giản hóa biểu thuế giúp giảm gánh nặng tài chính.</t>
  </si>
  <si>
    <t>Tôi tin rằng số tiền thuế tôi đóng sẽ được sử dụng hiệu quả để cải thiện dịch vụ công, nhưng cần thêm minh bạch về cách sử dụng nguồn thu này</t>
  </si>
  <si>
    <t>Nhà nước đã giải thích rõ ràng mục tiêu của việc sửa đổi thuế lần này. Việc cải cách giúp tạo niềm tin cho người dân.</t>
  </si>
  <si>
    <t>Tôi ủng hộ và tuân thủ chính sách mới, vì nó giảm gánh nặng tài chính và đơn giản hóa quy trình nộp thuế</t>
  </si>
  <si>
    <t>Hiện nay, cơ quan thuế có nhiều công cụ và hệ thống để phát hiện hành vi gian lận hoặc trốn thuế. Tuy nhiên, việc thực thi vẫn phụ thuộc vào hiệu quả của các quy định quản lý.</t>
  </si>
  <si>
    <t>Nhà nước đã đầu tư công nghệ và nguồn lực cho cơ quan thuế để phát hiện hành vi trốn thuế. Tuy nhiên, vẫn có thể còn hạn chế trong việc áp dụng rộng rãi các công cụ này.</t>
  </si>
  <si>
    <t>Các quy trình khai báo và làm việc với cơ quan thuế đã đơn giản hơn so với trước đây. Tuy nhiên, vẫn cần cải thiện thêm về mặt tiện ích cho người dân.</t>
  </si>
  <si>
    <t>Phương án mới đơn giản hóa quy trình tính thuế và giảm số bậc, giúp dễ dàng hiểu và thực hiện hơn so với trước đây.</t>
  </si>
  <si>
    <t>Niềm tin vào sự công bằng của cơ quan thuế được tăng lên do mức thuế giảm đáng kể. Tuy nhiên, vẫn cần thêm thời gian để kiểm chứng hiệu quả thực thi.</t>
  </si>
  <si>
    <t>Mức thuế mới được coi là hợp lý cho thu nhập hiện tại của mình, giúp tôi cảm thấy công bằng hơn khi nộp thuế.</t>
  </si>
  <si>
    <t>Tôi tin rằng số tiền thuế đóng sẽ được sử dụng hiệu quả để cải thiện chất lượng cuộc sống thông qua các dịch vụ công</t>
  </si>
  <si>
    <t>Nhà nước đã giải thích rõ ràng về mục tiêu của việc sửa đổi thuế, tuy nhiên vẫn cần thêm thông tin chi tiết hơn về cách sử dụng số tiền thuế.</t>
  </si>
  <si>
    <t>Tôi ủng hộ và tuân thủ chính sách mới vì mức thuế giảm đáng kể, giúp tôi có thêm thu nhập để đầu tư cho bản thân và tương lai.</t>
  </si>
  <si>
    <t>Có nhiều biện pháp quản lý thuế hiện nay, nhưng không có đủ dữ liệu để đánh giá hiệu quả xử lý hành vi gian lận. Tuy nhiên, với mức giảm trừ gia cảnh tăng lên, việc phát hiện gian lận trở nên khó khăn hơn.</t>
  </si>
  <si>
    <t>Cơ quan thuế có khả năng sử dụng công nghệ để theo dõi các khoản thu nhập nhưng vẫn cần cải thiện để xử lý hiệu quả các vấn đề về trốn thuế.</t>
  </si>
  <si>
    <t>Trình tự khai báo và quy trình làm việc với cơ quan thuế dễ dàng hơn, đặc biệt là khi có mức giảm trừ gia cảnh tăng lên. Tuy nhiên, vẫn cần thời gian để tất cả người dân đều nắm bắt.</t>
  </si>
  <si>
    <t>Biểu thuế đơn giản hơn và dễ hiểu nhưng việc tính toán cụ thể còn phụ thuộc vào cách thực hiện của các doanh nghiệp và cá nhân.</t>
  </si>
  <si>
    <t>Tôi tin rằng cơ quan thuế sẽ thực thi chính sách công bằng, tuy nhiên vẫn có sự đa dạng trong cách hiểu về tính công bằng giữa người dân.</t>
  </si>
  <si>
    <t>Mức thuế mới là hợp lý với thu nhập hiện tại của tôi và mức giảm trừ gia cảnh tăng lên giúp cân nhắc lại mức thuế một cách công bằng hơn.</t>
  </si>
  <si>
    <t>Tôi tin rằng số tiền thuế đóng sẽ được sử dụng hiệu quả cho các dịch vụ công, mặc dù không có thông tin cụ thể về việc này.</t>
  </si>
  <si>
    <t>Cơ quan thuế đã giải thích rõ ràng về mục tiêu của việc sửa đổi luật thuế nhưng cần cải thiện hơn nữa trong việc truyền đạt đến người dân.</t>
  </si>
  <si>
    <t>Tôi ủng hộ và tuân thủ chính sách mới vì nó giúp tôi tiết kiệm được tiền thuế và dễ dàng thực hiện hơn so với trước đây, đồng thời hỗ trợ cải thiện dịch vụ công của Nhà nước.</t>
  </si>
  <si>
    <t>Dù cơ quan thuế có công nghệ hiện đại, nhưng hành vi gian lận vẫn khó phát hiện hoàn toàn.</t>
  </si>
  <si>
    <t>Nhà nước đã đầu tư vào hệ thống quản lý thuế, tăng cường khả năng phát hiện trốn thuế.</t>
  </si>
  <si>
    <t>Quy trình khai thuế đơn giản hơn, nhưng vẫn cần thời gian để người dân làm quen.</t>
  </si>
  <si>
    <t>Biểu thuế mới dễ hiểu và dễ thực hiện, giảm bớt sự phức tạp so với trước đây.</t>
  </si>
  <si>
    <t>Tôi tin rằng cơ quan thuế sẽ công tâm trong việc áp dụng chính sách, nhưng vẫn lo ngại về khả năng phát hiện gian lận.</t>
  </si>
  <si>
    <t>Lãi suất và mức giảm trừ gia cảnh tăng lên, tôi thấy mức thuế mới là hợp lý đối với thu nhập của mình.</t>
  </si>
  <si>
    <t>Số tiền thuế đóng sẽ được sử dụng hiệu quả để cải thiện chất lượng cuộc sống, nhưng vẫn cần thêm minh bạch hơn về cách sử dụng nguồn thuế.</t>
  </si>
  <si>
    <t>Nhà nước đã giải thích rõ về mục tiêu và lý do của việc sửa đổi chính sách thuế, tăng mức độ tin cậy.</t>
  </si>
  <si>
    <t>Sau khi cân nhắc các quyền lợi và nghĩa vụ, tôi ủng hộ và sẽ tuân thủ chính sách mới với mong muốn cải thiện hệ thống quản lý thuế.</t>
  </si>
  <si>
    <t>Thuế hiện tại được quản lý chặt chẽ với nhiều biện pháp phát hiện gian lận và trốn thuế. Các quy định mới về giảm trừ gia cảnh rõ ràng, nhưng khả năng thực thi vẫn cần thời gian để cải thiện.</t>
  </si>
  <si>
    <t>Cơ quan thuế có đủ công nghệ hiện đại để theo dõi và xử lý thuế. Tuy nhiên, việc phát hiện trốn thuế hoàn toàn phụ thuộc vào sự giám sát và thực thi của họ.</t>
  </si>
  <si>
    <t>Quy trình khai báo thuế trở nên đơn giản hơn, nhưng vẫn cần thời gian để người dân quen với các thay đổi mới. Mức giảm trừ gia cảnh tăng giúp quá trình thuận tiện hơn.</t>
  </si>
  <si>
    <t>Biểu thuế mới đơn giản và dễ hiểu hơn so với trước đây, đặc biệt là khi số bậc thuế được cắt giảm từ 7 xuống còn 5. Điều này giúp người dân dễ dàng tính toán và nộp thuế.</t>
  </si>
  <si>
    <t>Tôi tin rằng Nhà nước sẽ thực thi chính sách một cách công bằng, nhưng cần thời gian để mọi người quen với các quy định mới. Sự minh bạch về mục tiêu của chính sách giúp tăng niềm tin.</t>
  </si>
  <si>
    <t>Tôi cho rằng mức thuế hiện tại là hợp lý và công bằng, đặc biệt khi được giảm trừ gia cảnh nhiều hơn. Đây là kết quả của việc cải cách để tạo ra một hệ thống thuế công bằng hơn.</t>
  </si>
  <si>
    <t>Thuế đóng góp vào sự phát triển cơ sở hạ tầng và các dịch vụ công quan trọng khác. Tôi tin rằng số tiền tôi đóng sẽ được sử dụng hiệu quả để cải thiện cuộc sống của mọi người.</t>
  </si>
  <si>
    <t>Nhà nước đã cung cấp thông tin đầy đủ về mục đích và lợi ích của việc cải cách thuế. Điều này giúp tăng sự hiểu biết và ủng hộ từ công chúng.</t>
  </si>
  <si>
    <t>Tôi ủng hộ chính sách mới vì nó tạo ra một hệ thống thuế đơn giản hơn, công bằng hơn và mang lại lợi ích tài chính cho tôi. Tôi cam kết tuân thủ các quy định mới để đóng góp vào sự phát triển bền vững của đất nước.</t>
  </si>
  <si>
    <t xml:space="preserve">Dựa trên thông tin, tôi cho rằng cơ quan thuế có đủ khả năng phát hiện hành vi gian lận hoặc trốn thuế do tăng cường quản lý và công nghệ. </t>
  </si>
  <si>
    <t>Cơ quan thuế đã nâng cấp hệ thống theo dõi, phát hiện, xử lý các hành vi trốn thuế hiệu quả hơn, cho thấy họ có đủ năng lực thực thi.</t>
  </si>
  <si>
    <t xml:space="preserve">So với trước đây, thủ tục khai báo thuế và làm việc với cơ quan thuế đơn giản hơn nhiều. </t>
  </si>
  <si>
    <t>Biểu thuế mới đơn giản hóa bậc thu nhập chịu thuế từ 7 xuống còn 5, dễ hiểu và thực hiện nhanh chóng hơn.</t>
  </si>
  <si>
    <t>Đối với tôi, Nhà nước đã cải cách một cách công bằng, giảm trừ gia cảnh tăng lên giúp người dân có thể tự tin hơn về sự công bằng trong việc đóng thuế.</t>
  </si>
  <si>
    <t>Mức thuế mới theo law mới phù hợp với thu nhập của tôi, mức giảm trừ gia cảnh rõ ràng, không gây khó hiểu.</t>
  </si>
  <si>
    <t>Sau khi xem xét, tôi tin rằng số tiền thuế đóng sẽ được sử dụng hiệu quả để cải thiện dịch vụ công, góp phần vào sự phát triển chung của đất nước.</t>
  </si>
  <si>
    <t>Nhà nước đã cung cấp thông tin đầy đủ và rõ ràng về việc sửa đổi thuế lần này, giúp người dân hiểu được mục đích và ý nghĩa của nó.</t>
  </si>
  <si>
    <t>Sau khi tính toán tác động tài chính và xem xét các yếu tố trên, tôi ủng hộ và sẽ tuân thủ chính sách mới.</t>
  </si>
  <si>
    <t>Việc tăng mức giảm trừ gia cảnh và đơn giản hóa biểu thuế có thể làm giảm động lực để gian lận hoặc trốn thuế, nhưng thực tế vẫn cần sự giám sát chặt chẽ từ phía cơ quan quản lý.</t>
  </si>
  <si>
    <t>Cơ sở hạ tầng công nghệ thông tin của nhà nước đã được cải thiện đáng kể trong thời gian gần đây, tuy nhiên, việc áp dụng hiệu quả vẫn phụ thuộc vào nhiều yếu tố như nguồn lực và quy trình quản lý.</t>
  </si>
  <si>
    <t>So với trước đây, các quy định về thuế đã trở nên đơn giản hơn, nhưng vẫn cần thêm thời gian để người dân quen với cách tính mới.</t>
  </si>
  <si>
    <t>Biểu thuế mới có ít bậc hơn và mức giảm trừ gia cảnh cao hơn, do đó dễ hiểu và thực hiện hơn so với trước đây.</t>
  </si>
  <si>
    <t>Tôi tin rằng nhà nước sẽ công tâm khi áp dụng chính sách mới, nhưng vẫn cần thêm thời gian để xem xét kết quả thực tế.</t>
  </si>
  <si>
    <t>Mức thuế mới phù hợp với thu nhập của tôi và có thể giảm bớt gánh nặng tài chính, do đó tôi cảm thấy công bằng.</t>
  </si>
  <si>
    <t>Việc cải cách thuế nhằm nâng cao chất lượng dịch vụ công, điều này tăng niềm tin về việc sử dụng tiền thuế một cách hiệu quả.</t>
  </si>
  <si>
    <t>Nhà nước đã giải thích rõ ràng về mục tiêu và ý nghĩa của chính sách mới, tạo sự minh bạch cho người dân.</t>
  </si>
  <si>
    <t>Sau khi xem xét các quyền lợi và nghĩa vụ, tôi ủng hộ và tuân thủ chính sách mới vì nó mang lại nhiều lợi ích thực tế hơn so với trước đây.</t>
  </si>
  <si>
    <t>Hiện nay, cơ quan thuế Việt Nam đã có nhiều cải tiến công nghệ và quy định quản lý thuế rõ ràng hơn. Dù vậy, vẫn còn khả năng trốn thuế nếu người dân không tuân thủ.</t>
  </si>
  <si>
    <t>Cơ quan thuế đã đầu tư vào hệ thống công nghệ thông tin để phát hiện hành vi gian lận, tuy nhiên, hiệu quả thực thi còn phụ thuộc vào sự cố gắng của người dân nộp thuế.</t>
  </si>
  <si>
    <t>Quy trình làm việc với cơ quan thuế đã đơn giản hơn so với trước đây. Tuy nhiên, vẫn có một số thủ tục phức tạp cần cải thiện thêm.</t>
  </si>
  <si>
    <t>Các bậc thuế mới rõ ràng và dễ hiểu hơn, giảm bớt sự phức tạp cho người dân. Tuy nhiên, quá trình tính thuế vẫn cần thời gian để quen thuộc.</t>
  </si>
  <si>
    <t>Tôi tin rằng cơ quan thuế sẽ thực thi chính sách một cách công bằng và minh bạch. Mức giảm trừ gia cảnh mới cũng thể hiện sự công bằng đối với người dân có nhiều người phụ thuộc.</t>
  </si>
  <si>
    <t>Mức thuế mới phù hợp với thu nhập của tôi, giúp tôi tiết kiệm được một khoản tiền đáng kể. Điều này làm tăng niềm tin vào tính công bằng của chính sách</t>
  </si>
  <si>
    <t>Thuế đóng góp vào việc cải thiện các dịch vụ công như y tế và giao thông, giúp xã hội phát triển. Tôi tin rằng số tiền thuế tôi đóng sẽ được sử dụng hiệu quả.</t>
  </si>
  <si>
    <t>Nhà nước đã giải thích rõ ràng về mục tiêu và lý do của việc sửa đổi thuế. Tuy nhiên, vẫn cần thêm thông tin để người dân hiểu rõ hơn về cách thực hiện chính sách mới</t>
  </si>
  <si>
    <t>Sau khi xem xét các quyền lợi và nghĩa vụ, tôi ủng hộ và tuân thủ chính sách mới. Điều này giúp giảm bớt gánh nặng tài chính cho gia đình tôi.</t>
  </si>
  <si>
    <t>Dù quy định quản lý thuế hiện nay có thể chưa hoàn hảo, nhưng với mức giảm trừ gia cảnh tăng lên, cơ quan thuế sẽ phát hiện và xử lý kịp thời các hành vi gian lận.</t>
  </si>
  <si>
    <t>Cơ quan thuế đã sử dụng công nghệ tiên tiến để quản lý thuế cá nhân, giảm thiểu khả năng trốn thuế.</t>
  </si>
  <si>
    <t>Thủ tục khai báo thuế và quy trình làm việc với cơ quan thuế trở nên đơn giản hơn so với trước đây, tạo thuận lợi cho người dân.</t>
  </si>
  <si>
    <t>Bậc thuế đơn giản hóa giúp tính toán thuế dễ dàng và minh bạch hơn, giảm rủi ro sai sót cho cá nhân nộp thuế.</t>
  </si>
  <si>
    <t>Tôi tin rằng cơ quan thuế sẽ thực thi chính sách một cách công bằng, khách quan đối với mọi người dân.</t>
  </si>
  <si>
    <t>Mức thuế theo phương án mới khá hợp lý cho thu nhập của tôi và những người cùng ngành nghề, vì vậy tôi thấy nó công bằng.</t>
  </si>
  <si>
    <t>Thuê đóng góp vào việc cải thiện dịch vụ công, từ đó nâng cao chất lượng cuộc sống cho mọi người dân.</t>
  </si>
  <si>
    <t>Tôi ủng hộ chính sách mới vì lợi ích về tài chính cũng như sự đơn giản hóa thủ tục, giúp tôi tuân thủ tốt hơn.</t>
  </si>
  <si>
    <t>Với mức thuế giảm và các quy định rõ ràng, khả năng phát hiện gian lận hoặc trốn thuế có thể tăng lên. Tuy nhiên, không biết liệu cơ quan thuế có đủ nhân lực để kiểm tra toàn bộ số lượng hồ sơ hay không.</t>
  </si>
  <si>
    <t>Cơ sở hạ tầng công nghệ của nhà nước đã phát triển đáng kể trong những năm gần đây. Tuy nhiên, mức độ thực hiện và hiệu quả vẫn cần được theo dõi.</t>
  </si>
  <si>
    <t>Quy trình làm việc với cơ quan thuế trở nên đơn giản hơn khi giảm số bậc thuế. Việc cung cấp thông tin trực tuyến cũng giúp cải thiện đáng kể.</t>
  </si>
  <si>
    <t>Biểu thuế mới rõ ràng hơn, dễ hiểu và thực hiện thuận lợi hơn so với trước đây. Điều này giúp người dân tính toán thuế một cách chính xác hơn.</t>
  </si>
  <si>
    <t>Tôi tin rằng cơ quan thuế sẽ công bằng khi thực thi các quy định mới. Tuy nhiên, việc theo dõi và giám sát cần được cải thiện để đảm bảo công lý.</t>
  </si>
  <si>
    <t>Mức giảm trừ gia cảnh cao hơn giúp tôi tiết kiệm thuế. Điều này cho thấy mức thuế mới là hợp lý đối với thu nhập của tôi.</t>
  </si>
  <si>
    <t>Thuế đóng góp vào việc cải thiện dịch vụ công, nhưng cần có thông tin rõ ràng về cách sử dụng số tiền này để tăng niềm tin.</t>
  </si>
  <si>
    <t>Nhà nước đã giải thích nguyên nhân và mục tiêu của chính sách mới. Tuy nhiên, cần có thêm thông tin chi tiết về tác động cụ thể đến người dân.</t>
  </si>
  <si>
    <t>Sau khi xem xét tất cả các yếu tố, tôi ủng hộ và sẽ tuân thủ chính sách thuế mới. Mức giảm trừ gia cảnh cao hơn và biểu thuế đơn giản đã cải thiện đáng kể.</t>
  </si>
  <si>
    <t>Hệ thống khai báo thuế trở nên đơn giản hơn với việc giảm bớt các bước thủ tục, do đó tôi thấy thuận tiện hơn rất nhiều so với trước đây.</t>
  </si>
  <si>
    <t>Biểu thuế mới đơn giản hóa bậc thuế và cách tính, dễ hiểu hơn, giúp người dân dễ dàng áp dụng.</t>
  </si>
  <si>
    <t>Tôi tin rằng Nhà nước sẽ công bằng trong việc thực thi chính sách mới, bảo vệ lợi ích của người nộp thuế.</t>
  </si>
  <si>
    <t>Mức giảm trừ gia cảnh và biểu thuế mới cho thấy mức thu thuế đã được cân nhắc kỹ lưỡng, phù hợp với khả năng chịu đựng của người dân.</t>
  </si>
  <si>
    <t>Thuế tôi đóng sẽ được sử dụng hiệu quả để cải thiện hạ tầng công cộng và dịch vụ công ích, do đó tôi tin tưởng vào việc sử dụng ngân sách thuế một cách minh bạch.</t>
  </si>
  <si>
    <t>Nhà nước đã giải thích rõ ràng về mục tiêu của chính sách mới, giúp người dân hiểu được tầm quan trọng và lợi ích của nó.</t>
  </si>
  <si>
    <t>Tôi ủng hộ và tuân thủ chính sách mới vì tôi thấy nó mang lại nhiều lợi ích cho bản thân và cộng đồng.</t>
  </si>
  <si>
    <t>Hiện nay, các quy định quản lý thuế chưa hoàn toàn hiệu quả. Tuy nhiên, với sự phát triển của công nghệ, khả năng phát hiện hành vi gian lận hoặc trốn thuế sẽ tăng lên.</t>
  </si>
  <si>
    <t>Cơ quan thuế đã và đang áp dụng các công nghệ tiên tiến để quản lý thuế. Điều này giúp nâng cao hiệu quả trong việc phát hiện và xử lý các hành vi trốn thuế.</t>
  </si>
  <si>
    <t>So với trước đây, quy trình khai báo thuế đã đơn giản hơn nhiều. Tuy nhiên, vẫn cần thêm thời gian để tất cả người dân đều quen thuộc và tận dụng được các công cụ hỗ trợ.</t>
  </si>
  <si>
    <t>Biểu thuế mới đơn giản hóa bậc thuế từ 7 xuống còn 5, làm việc tính toán thuế dễ dàng hơn. Việc tăng mức giảm trừ gia cảnh cũng góp phần giảm sự phức tạp.</t>
  </si>
  <si>
    <t>Tôi tin rằng Nhà nước sẽ thực thi chính sách một cách công bằng và khách quan. Sự đơn giản hóa các quy định thuế tạo ra sự minh bạch hơn.</t>
  </si>
  <si>
    <t>Mức thuế mới được giảm đáng kể, điều này làm tăng cảm giác công bằng cho tôi khi so sánh với mức thu trước đây. Sự đơn giản hóa giúp mọi người hiểu rõ hơn về các bậc thuế.</t>
  </si>
  <si>
    <t>Số tiền thuế tôi đóng sẽ được sử dụng hiệu quả để cải thiện dịch vụ công, từ đó mang lại lợi ích cho toàn bộ cộng đồng. Việc này tăng niềm tin của tôi vào Nhà nước.</t>
  </si>
  <si>
    <t>Nhà nước đã giải thích rõ ràng về mục tiêu và lý do của việc sửa đổi thuế. Tuy nhiên, sự thay đổi lớn cần thêm thời gian để mọi người hiểu và tin tưởng</t>
  </si>
  <si>
    <t>Tôi ủng hộ chính sách mới vì nó mang lại lợi ích đáng kể về mặt tài chính và đơn giản hóa quy trình thuế. Tôi sẽ tuân thủ nếu chính sách này được thực thi một cách công bằng.</t>
  </si>
  <si>
    <t>Việc tăng giảm trừ gia cảnh và đơn giản hóa biểu thuế có thể làm giảm cơ hội trốn thuế, nhưng vẫn cần sự kiểm soát chặt chẽ từ phía cơ quan thuế.</t>
  </si>
  <si>
    <t>Nhu cầu về công nghệ để phát hiện trốn thuế đã tăng lên đáng kể, tuy nhiên hiệu quả thực tế còn phụ thuộc vào nguồn lực và năng lực của các cơ quan quản lý thuế.</t>
  </si>
  <si>
    <t>Thủ tục khai báo thuế đơn giản hơn, giúp tiết kiệm thời gian cho người dân, nhưng vẫn cần cải tiến thêm để tối ưu hóa.</t>
  </si>
  <si>
    <t>Biểu thuế mới đơn giản và dễ hiểu hơn so với trước đây, giảm bớt khó khăn trong việc tính toán và thực hiện.</t>
  </si>
  <si>
    <t>Nhà nước đã công bố rõ ràng về mục tiêu của chính sách mới, tạo niềm tin cho người dân về sự công bằng trong việc áp dụng thuế.</t>
  </si>
  <si>
    <t>Thuế theo phương án mới có vẻ hợp lý cho mức thu nhập hiện tại, giảm bớt gánh nặng tài chính cho tôi.</t>
  </si>
  <si>
    <t>Tăng giảm trừ gia cảnh và đơn giản hóa quy trình nộp thuế giúp số tiền đóng góp của tôi được sử dụng hiệu quả hơn để cải thiện dịch vụ công</t>
  </si>
  <si>
    <t>Nhà nước đã giải thích đầy đủ về mục tiêu và lý do sửa đổi chính sách, tạo sự minh bạch trong quá trình thực thi.</t>
  </si>
  <si>
    <t>Chính sách mới có nhiều ưu điểm như giảm bớt gánh nặng thuế, tăng giảm trừ gia cảnh, giúp tôi ủng hộ và tuân thủ</t>
  </si>
  <si>
    <t>Dù có các quy định quản lý thuế hiện nay, tôi vẫn lo ngại về khả năng phát hiện hành vi gian lận hoặc trốn thuế do không biết cách thức cụ thể.</t>
  </si>
  <si>
    <t>Tôi tin rằng Nhà nước và cơ quan thuế có đủ công nghệ để phát hiện các hành vi trốn thuế, nhưng chưa chắc chắn về khả năng quản lý hiệu quả của họ.</t>
  </si>
  <si>
    <t>So với trước đây, quy trình làm việc với cơ quan thuế đã đơn giản hóa nhiều và dễ dàng hơn.</t>
  </si>
  <si>
    <t>Biểu thuế mới có ít bậc hơn nhưng vẫn phức tạp do mức thu nhập chịu thuế ở mỗi bậc cao hơn trước đây.</t>
  </si>
  <si>
    <t>Tôi tin rằng Nhà nước sẽ thực thi chính sách một cách công bằng, nhưng lo ngại về việc xử lý khách quan đối với mọi người nộp thuế.</t>
  </si>
  <si>
    <t>Mức thuế mới giảm đáng kể so với trước đây nên tôi thấy mình đóng mức thuế hợp lý hơn.</t>
  </si>
  <si>
    <t>Những khoản tiền thuế mà tôi đóng sẽ được sử dụng hiệu quả để cải thiện các dịch vụ công, tôi tin tưởng vào điều này.</t>
  </si>
  <si>
    <t>Tôi ủng hộ và tuân thủ chính sách mới do lợi ích tài chính mang lại cho bản thân, đồng thời tin tưởng vào mục tiêu cải thiện dịch vụ công của Nhà nước.</t>
  </si>
  <si>
    <t>Hiện nay, cơ quan thuế có nhiều công cụ để phát hiện gian lận như phần mềm quản lý thuế, hệ thống thông tin điện tử. Tuy nhiên, việc xử lý nghiêm vẫn phụ thuộc vào hiệu quả của quy định pháp luật.</t>
  </si>
  <si>
    <t>Cơ quan thuế đã đầu tư nhiều công nghệ và nguồn lực để cải thiện khả năng phát hiện và xử lý gian lận, nhưng hiệu quả thực tế còn phụ thuộc vào sự tuân thủ của cá nhân.</t>
  </si>
  <si>
    <t>Quy trình khai thuế trở nên đơn giản hơn với việc giảm bớt các bước phức tạp và nâng cao khả năng tiếp cận thông tin trực tuyến, tuy nhiên vẫn cần thời gian để mọi người quen thuộc.</t>
  </si>
  <si>
    <t>Biểu thuế mới đơn giản hóa bậc thuế, dễ hiểu hơn so với trước. Tuy nhiên, việc áp dụng còn phụ thuộc vào sự am hiểu của mỗi cá nhân về quy định mới.</t>
  </si>
  <si>
    <t>Nhà nước đã công bố thông tin rõ ràng về chính sách thuế và có các biện pháp xử lý nghiêm khắc với gian lận, tạo niềm tin cho người dân về tính minh bạch của quy định.</t>
  </si>
  <si>
    <t>Với mức giảm trừ gia cảnh tăng lên và số bậc thuế đơn giản hơn, tôi thấy việc đóng thuế theo phương án mới là công bằng đối với thu nhập hiện tại của mình.</t>
  </si>
  <si>
    <t>Tài nguyên thuế sẽ được sử dụng hiệu quả để cải thiện các dịch vụ công, từ đó tạo niềm tin cho người nộp thuế về sự công bằng trong việc đóng góp của mình.</t>
  </si>
  <si>
    <t>Nhà nước đã giải thích rõ ràng mục tiêu và lý do thay đổi chính sách thuế, tuy nhiên vẫn cần thêm thông tin cụ thể hơn về cách sử dụng nguồn thu từ thuế.</t>
  </si>
  <si>
    <t>Tôi ủng hộ và tuân thủ chính sách mới vì nó tạo ra sự công bằng và đơn giản hóa quy trình khai báo thuế, đồng thời tôi tin rằng việc đóng thuế sẽ được sử dụng hiệu quả cho lợi ích chung của xã hội.</t>
  </si>
  <si>
    <t>Hiện nay, cơ quan thuế có nhiều biện pháp quản lý và công nghệ hiện đại để phát hiện hành vi gian lận hoặc trốn thuế. Tuy nhiên, với mức thuế giảm đáng kể, khả năng phát hiện vấn đề có thể bị hạn chế.</t>
  </si>
  <si>
    <t>Nhà nước và cơ quan thuế đã tăng cường các biện pháp quản lý thuế, nhưng hiệu quả thực tế phụ thuộc vào sự tuân thủ của người nộp thuế. Mức độ tin tưởng còn cần thời gian để xác định.</t>
  </si>
  <si>
    <t>Quy trình khai báo và làm việc với cơ quan thuế trở nên đơn giản hơn, nhưng vẫn cần cải thiện thêm về mặt kỹ thuật và hỗ trợ trực tuyến.</t>
  </si>
  <si>
    <t>Biểu thuế mới có ít bậc hơn, dễ hiểu hơn. Tuy nhiên, người dân cần thời gian để làm quen với các quy định mới.</t>
  </si>
  <si>
    <t>Tôi tin Nhà nước sẽ thực thi chính sách một cách khách quan và công bằng, nhưng vẫn có sự nghi ngờ về việc xử lý cụ thể của từng trường hợp.</t>
  </si>
  <si>
    <t>Mức thuế mới phù hợp với thu nhập của tôi, giảm gánh nặng tài chính. Tuy nhiên, vẫn cần thời gian để cảm thấy hoàn toàn công bằng.</t>
  </si>
  <si>
    <t>Thuế được sử dụng cho các dịch vụ công như y tế và đường xá, nhưng hiệu quả cụ thể còn phụ thuộc vào quản lý của chính phủ.</t>
  </si>
  <si>
    <t>Nhà nước đã giải thích rõ mục đích cải cách thuế, nhưng tôi mong muốn có thêm thông tin về việc giám sát và kiểm soát sử dụng ngân sách thuế.</t>
  </si>
  <si>
    <t>Sau khi xem xét các quyền lợi và nghĩa vụ, tôi đồng ý với chính sách mới. Tuy nhiên, vẫn cần cải thiện trong quá trình thực hiện.</t>
  </si>
  <si>
    <t>Thuế mới đơn giản hơn nên việc phát hiện gian lận khó hơn, nhưng cơ quan thuế vẫn có các công cụ để xử lý.</t>
  </si>
  <si>
    <t>Công nghệ và nhân lực của cơ quan thuế được đầu tư mạnh mẽ, khả năng phát hiện gian lận cao.</t>
  </si>
  <si>
    <t>Quy trình đơn giản hơn và dễ dàng hơn so với trước đây, tiết kiệm thời gian cho người dân.</t>
  </si>
  <si>
    <t>Biểu thuế mới rõ ràng, dễ hiểu và thuận tiện hơn trong việc tính toán thuế</t>
  </si>
  <si>
    <t>Nếu chính sách được thực hiện công bằng và minh bạch, tôi sẽ tin rằng nó sẽ được áp dụng một cách khách quan.</t>
  </si>
  <si>
    <t>Thuế mới giảm đáng kể nên tôi thấy mức thuế này là hợp lý</t>
  </si>
  <si>
    <t>Việc sử dụng số tiền đóng thuế cho các dịch vụ công sẽ cải thiện cuộc sống của người dân, tăng niềm tin</t>
  </si>
  <si>
    <t>Chính phủ đã giải thích rõ ràng mục tiêu và nguyên nhân thay đổi chính sách mới.</t>
  </si>
  <si>
    <t>Tôi ủng hộ chính sách mới vì nó đơn giản, công bằng và có lợi cho tôi</t>
  </si>
  <si>
    <t>Hiện nay, cơ quan thuế có nhiều công cụ và nguồn lực để phát hiện hành vi trốn thuế, do đó tôi tin rằng gian lận sẽ bị xử lý nghiêm.</t>
  </si>
  <si>
    <t>Nhà nước đã đầu tư vào công nghệ hiện đại cho cơ quan thuế, giúp tăng cường khả năng phát hiện và quản lý thuế.</t>
  </si>
  <si>
    <t>Quy trình khai báo thuế trở nên đơn giản hơn với mức giảm trừ gia cảnh lớn hơn, do đó thuận tiện hơn nhiều.</t>
  </si>
  <si>
    <t>Số bậc thuế được rút gọn, quá trình tính thuế và xác định mức thuế dễ dàng hơn, giúp người dân thực hiện nhanh chóng.</t>
  </si>
  <si>
    <t>Nhà nước đã công bố rõ ràng về mục tiêu cải cách, do đó tôi tin rằng sẽ được thực thi một cách khách quan và công bằng.</t>
  </si>
  <si>
    <t>Mức thuế mới giảm đáng kể so với trước đây, tôi thấy nó hợp lý cho thu nhập hiện tại của mình.</t>
  </si>
  <si>
    <t>Thuế đóng góp vào việc cải thiện dịch vụ công như y tế và cơ sở hạ tầng, nên tôi tin rằng số tiền thuế này có ích.</t>
  </si>
  <si>
    <t>Nhà nước đã giải thích rõ ràng về mục đích cải cách và tôi thấy thông tin được cung cấp đầy đủ.</t>
  </si>
  <si>
    <t>Với lợi ích tài chính rõ rệt, cùng với sự đơn giản hóa quy trình, tôi ủng hộ và tuân thủ chính sách mới.</t>
  </si>
  <si>
    <t>Dù quy định quản lý thuế hiện tại có thể phát hiện hành vi gian lận, nhưng với mức giảm trừ gia cảnh cao hơn và số bậc thuế ít đi, việc phát hiện trốn thuế trở nên khó khăn hơn.</t>
  </si>
  <si>
    <t>Nhà nước đã đầu tư công nghệ để hỗ trợ quản lý thuế hiệu quả, nhưng với giảm trừ gia cảnh tăng lên và số bậc thuế ít đi, khả năng phát hiện trốn thuế có thể hạn chế.</t>
  </si>
  <si>
    <t>Quy trình làm việc với cơ quan thuế đơn giản hơn do giảm trừ gia cảnh cao hơn, nhưng cách tính thuế phức tạp hơn so với trước đây nên thủ tục khai báo vẫn chưa thực sự đơn giản.</t>
  </si>
  <si>
    <t>Cách tính thuế và các bậc thuế mới đơn giản hơn nhiều so với trước đây, giúp người dân dễ dàng nắm bắt và thực hiện.</t>
  </si>
  <si>
    <t>Tôi tin rằng Nhà nước sẽ thực thi chính sách một cách công bằng, nhưng mức giảm trừ gia cảnh cao hơn và số bậc thuế ít đi có thể khiến việc tính thuế trở nên phức tạp hơn đối với người dân.</t>
  </si>
  <si>
    <t>Mức thuế mới phù hợp với thu nhập của tôi, nhưng do cách tính thuế phức tạp hơn, tôi cảm thấy không hoàn toàn công bằng khi phải tuân theo.</t>
  </si>
  <si>
    <t>Tôi tin số tiền thuế đóng sẽ được sử dụng hiệu quả để cải thiện dịch vụ công, nhưng mức giảm trừ gia cảnh cao và số bậc thuế ít đi làm tôi không hoàn toàn yên tâm về cách sử dụng nguồn thu.</t>
  </si>
  <si>
    <t>Nhà nước đã giải thích rõ ràng về mục tiêu của việc sửa đổi chính sách, nhưng mức giảm trừ gia cảnh cao hơn và số bậc thuế ít đi khiến tôi có chút lo lắng về sự công bằng trong cách tính thuế.</t>
  </si>
  <si>
    <t>Tôi ủng hộ chính sách mới vì nó giúp tiết kiệm chi phí cá nhân, nhưng do mức giảm trừ gia cảnh cao và số bậc thuế ít đi, tôi vẫn có một số lo lắng về sự công bằng trong cách tính thuế.</t>
  </si>
  <si>
    <t>Dựa trên các quy định quản lý thuế hiện nay, tôi tin rằng hành vi gian lận hoặc trốn thuế sẽ bị phát hiện và xử lý nghiêm, dù không hoàn toàn chắc chắn.</t>
  </si>
  <si>
    <t>Nhà nước có đủ khả năng và công nghệ để phát hiện, xử lý các hành vi trốn thuế thông qua hệ thống điện tử hóa</t>
  </si>
  <si>
    <t>So với trước đây, quy trình làm việc với cơ quan thuế đơn giản hơn nhiều, thủ tục khai báo thuận tiện hơn.</t>
  </si>
  <si>
    <t>Biểu thuế mới đơn giản hóa các bậc thuế nên dễ hiểu và thực hiện hơn</t>
  </si>
  <si>
    <t>Tôi tin rằng cơ quan thuế sẽ thực thi chính sách một cách khách quan, công bằng đối với mọi người nộp thuế.</t>
  </si>
  <si>
    <t>Mức giảm trừ gia cảnh và mức thuế mới phù hợp với thu nhập của tôi nên tôi thấy chúng là công bằng.</t>
  </si>
  <si>
    <t>Sau khi xem xét, tôi tin rằng số tiền thuế tôi đóng sẽ được sử dụng hiệu quả để cải thiện dịch vụ công</t>
  </si>
  <si>
    <t>Tôi ủng hộ và sẽ tuân thủ chính sách mới vì nó mang lại lợi ích tài chính cho tôi và gia đình.</t>
  </si>
  <si>
    <t>Do có nhiều biện pháp quản lý và công nghệ hiện đại, tôi tin rằng hành vi gian lận hay trốn thuế sẽ khó xảy ra. Tuy nhiên, cần thêm thời gian để chứng minh hiệu quả thực tế.</t>
  </si>
  <si>
    <t>Nhà nước và cơ quan thuế đã đầu tư vào công nghệ và nguồn lực để quản lý thuế một cách hiệu quả hơn. Điều này tăng cường niềm tin của tôi về việc phát hiện và xử lý các hành vi trốn thuế.</t>
  </si>
  <si>
    <t>So với trước đây, quy trình khai báo thuế trở nên đơn giản hơn rất nhiều. Các thủ tục cũng được cải thiện đáng kể, giúp tôi tiết kiệm thời gian và công sức.</t>
  </si>
  <si>
    <t>Biểu thuế mới có ít bậc hơn và rõ ràng hơn so với trước đây. Điều này làm cho việc tính toán và hiểu biết về thuế trở nên dễ dàng hơn nhiều.</t>
  </si>
  <si>
    <t>Tôi tin rằng cơ quan thuế sẽ thực hiện chính sách một cách công bằng, nhưng vẫn cần thêm thời gian để chứng minh điều này. Tuy nhiên, mức giảm trừ gia cảnh mới và việc đơn giản hóa biểu thuế tăng thêm niềm tin của tôi.</t>
  </si>
  <si>
    <t>Mức thuế mới mà tôi phải đóng là hợp lý và công bằng. Mức giảm trừ gia cảnh cao hơn đã làm giảm mức thuế, giúp tôi cảm thấy hài lòng hơn.</t>
  </si>
  <si>
    <t>Tôi tin rằng số tiền thuế tôi đóng sẽ được sử dụng hiệu quả để cải thiện dịch vụ công. Tuy nhiên, cần thêm thông tin chi tiết về cách sử dụng nguồn thu này.</t>
  </si>
  <si>
    <t>Nhà nước đã giải thích rõ ràng về mục tiêu và lý do của việc sửa đổi thuế lần này. Điều này làm tăng niềm tin của tôi vào quyết định này.</t>
  </si>
  <si>
    <t>Tôi ủng hộ chính sách mới vì nó giảm gánh nặng thuế cho cá nhân, đồng thời đơn giản hóa quy trình khai báo và tính toán thuế. Tuy nhiên, vẫn cần thêm thông tin về cách sử dụng nguồn thu thuế.</t>
  </si>
  <si>
    <t>Công nghệ ngày càng tiến bộ nên khả năng phát hiện trốn thuế sẽ cao hơn, tôi tin tưởng điều này.</t>
  </si>
  <si>
    <t>Quy trình khai thuế và làm việc với cơ quan thuế đã đơn giản hơn so với trước đây.</t>
  </si>
  <si>
    <t>Số bậc thuế giảm đi, cách tính thuế trở nên dễ hiểu hơn, thuận lợi cho người dân.</t>
  </si>
  <si>
    <t>Tôi tin rằng Nhà nước sẽ thực hiện chính sách công bằng và khách quan đối với mọi người nộp thuế.</t>
  </si>
  <si>
    <t>Mức thuế mới giảm đi, tôi cho rằng mức này là hợp lý với thu nhập của mình.</t>
  </si>
  <si>
    <t>Thuế đóng góp vào các dịch vụ công sẽ giúp nâng cao chất lượng cuộc sống.</t>
  </si>
  <si>
    <t>Sau khi xem xét các quyền lợi và nghĩa vụ, tôi ủng hộ chính sách mới vì nó mang lại nhiều lợi ích cho người dân.</t>
  </si>
  <si>
    <t>Việc giảm trừ gia cảnh tăng và số bậc thuế đơn giản hóa giúp phát hiện hành vi trốn thuế dễ dàng hơn, nhưng vẫn cần sự giám sát chặt chẽ từ nhà nước.</t>
  </si>
  <si>
    <t>Nhà nước đã đầu tư công nghệ để cải thiện khả năng quản lý và phát hiện gian lận, tuy nhiên hiệu quả thực tế còn phụ thuộc vào việc triển khai.</t>
  </si>
  <si>
    <t>Quy trình khai báo thuế đơn giản hơn, thủ tục làm việc với cơ quan thuế thuận tiện hơn so với trước đây, tạo cảm giác thuận lợi cho người dân.</t>
  </si>
  <si>
    <t>Bậc thuế đơn giản hóa và dễ hiểu hơn, giảm bớt rào cản trong quá trình tính toán thuế, tăng sự hiểu biết và chấp nhận của công chúng.</t>
  </si>
  <si>
    <t>Việc giảm trừ gia cảnh tăng lên và số bậc thuế đơn giản hóa tạo cảm giác công bằng hơn, mọi người đều được hưởng lợi từ chính sách mới.</t>
  </si>
  <si>
    <t>Thuế mới theo quy định hiện tại là hợp lý với thu nhập của tôi, giảm trừ gia cảnh lớn giúp giảm bớt gánh nặng tài chính.</t>
  </si>
  <si>
    <t>Đóng thuế sẽ được sử dụng để cải thiện dịch vụ công, tạo cảm giác mình đóng góp cho xã hội</t>
  </si>
  <si>
    <t>Chính phủ đã giải thích rõ ràng về lý do và mục tiêu của việc sửa đổi chính sách thuế lần này, giúp người dân hiểu được tầm quan trọng.</t>
  </si>
  <si>
    <t>Sau khi xem xét các quyền lợi và nghĩa vụ, tôi ủng hộ và tuân thủ chính sách mới vì nó mang lại nhiều lợi ích cho công chúng.</t>
  </si>
  <si>
    <t>Nếu cơ quan thuế có đủ khả năng và công nghệ, việc phát hiện gian lận hoặc trốn thuế sẽ tăng. Mặc dù không hoàn toàn tin tưởng, nhưng các quy định quản lý thuế hiện nay đã được cải thiện đáng kể.</t>
  </si>
  <si>
    <t>Việc sử dụng công nghệ và nguồn lực của Nhà nước để phát hiện trốn thuế là cần thiết. Tuy nhiên, sự hiệu quả phụ thuộc vào thực thi</t>
  </si>
  <si>
    <t>Quy trình khai báo thuế và làm việc với cơ quan thuế đã đơn giản hơn trước đây, đặc biệt là sau khi tăng mức giảm trừ gia cảnh.</t>
  </si>
  <si>
    <t>Phương án mới có ít bậc thuế hơn và ngưỡng chịu thuế rõ ràng hơn, dễ dàng thực hiện hơn so với trước đây.</t>
  </si>
  <si>
    <t>Tôi tin rằng Nhà nước sẽ thực thi chính sách công bằng cho mọi người nộp thuế. Mức giảm trừ gia cảnh tăng đã giúp tôi tiết kiệm đáng kể</t>
  </si>
  <si>
    <t>Với thu nhập của mình, mức thuế mới là hợp lý và công bằng. Tôi cảm thấy hài lòng hơn với cách tính thuế</t>
  </si>
  <si>
    <t>Thuê tôi đóng góp vào việc cải thiện các dịch vụ công như y tế, giao thông,... Điều này mang lại niềm tin về sự sử dụng hiệu quả nguồn thu</t>
  </si>
  <si>
    <t>Nhà nước đã giải thích rõ ràng về mục tiêu và lý do của việc sửa đổi thuế. Tuy nhiên, cần có thêm minh bạch hơn nữa về cách sử dụng nguồn thu</t>
  </si>
  <si>
    <t>Sau khi xem xét các quyền lợi và nghĩa vụ, tôi ủng hộ và tuân thủ chính sách mới. Nó giúp giảm gánh nặng tài chính cho tôi.</t>
  </si>
  <si>
    <t>Thuế hiện nay có nhiều quy định và quản lý chặt chẽ, nhưng việc cải cách về mức giảm trừ gia cảnh và đơn giản hóa biểu thuế làm cho việc gian lận trở nên khó khăn hơn. Nhà nước đã tăng cường khả năng phát hiện thông qua công nghệ và hệ thống quản lý.</t>
  </si>
  <si>
    <t>Nhà nước có nguồn lực và công nghệ để giám sát, phát hiện và xử lý gian lận thuế hiệu quả. Tuy nhiên, vẫn cần sự phối hợp chặt chẽ giữa các cơ quan liên quan.</t>
  </si>
  <si>
    <t>Quy trình khai báo và làm việc với cơ quan thuế trở nên đơn giản hơn nhờ mức giảm trừ gia cảnh tăng cao. Tuy nhiên, cần thêm thời gian để mọi người quen thuộc với quy định mới.</t>
  </si>
  <si>
    <t>Biểu thuế được đơn giản hóa từ 7 bậc xuống 5 bậc, làm cho việc tính toán và hiểu rõ mức thuế dễ dàng hơn. Mức giảm trừ gia cảnh tăng giúp người dân cảm thấy công bằng.</t>
  </si>
  <si>
    <t>Nhà nước đã cải cách để đảm bảo sự công bằng trong việc áp dụng thuế, nhưng cần thêm thời gian để mọi người hiểu và tin tưởng. Mức giảm trừ gia cảnh tăng cao là minh chứng cho sự công bằng.</t>
  </si>
  <si>
    <t>Thuế mới được tính dựa trên thu nhập thực tế, mức giảm trừ gia cảnh tăng giúp tôi cảm thấy công bằng hơn. Tuy nhiên, việc giải thích đầy đủ về mục tiêu của chính sách mới vẫn cần cải thiện.</t>
  </si>
  <si>
    <t>Đồng ý với phương án thuế mới, số tiền đóng sẽ được sử dụng hiệu quả cho các dịch vụ công. Tuy nhiên, việc minh bạch về cách sử dụng nguồn thu nhập từ thuế cần cải thiện hơn nữa.</t>
  </si>
  <si>
    <t>Nhà nước đã giải thích rõ ràng về mục tiêu và lý do của chính sách mới, nhưng vẫn cần thêm thông tin chi tiết để tăng sự hiểu biết và niềm tin.</t>
  </si>
  <si>
    <t>Dựa trên các quyền lợi và nghĩa vụ mới, tôi ủng hộ và sẽ tuân thủ chính sách thuế mới. Mức giảm trừ gia cảnh tăng cao giúp tôi cảm thấy công bằng hơn trong việc đóng thuế.</t>
  </si>
  <si>
    <t>Dù có công nghệ hiện đại, nhưng tôi vẫn nghi ngờ khả năng phát hiện trốn thuế một cách hiệu quả.</t>
  </si>
  <si>
    <t>Cơ quan thuế cần nhiều thời gian để đào tạo và nâng cao kỹ năng cho nhân viên mới sử dụng công nghệ mới, điều này chưa chắc đã thực hiện được.</t>
  </si>
  <si>
    <t>Quy trình mới đơn giản hơn so với trước đây, nhưng vẫn có thể gặp khó khăn khi làm quen.</t>
  </si>
  <si>
    <t>Biểu thuế được đơn giản hóa và dễ hiểu hơn so với trước đây, giúp tôi quản lý thu nhập của mình tốt hơn.</t>
  </si>
  <si>
    <t>Tôi tin rằng Nhà nước sẽ thực thi chính sách một cách công bằng, nhưng vẫn có sự nghi ngờ về việc xử lý thực tế trong các trường hợp cụ thể.</t>
  </si>
  <si>
    <t>Mức thuế mới mà tôi phải đóng là hợp lý với thu nhập của mình, nhưng mức giảm trừ gia cảnh chưa đủ so với kỳ vọng.</t>
  </si>
  <si>
    <t>Thuế tôi đóng sẽ được sử dụng hiệu quả để cải thiện dịch vụ công, tôi hy vọng như vậy.</t>
  </si>
  <si>
    <t>Nhà nước đã giải thích rõ ràng về mục tiêu của việc sửa đổi thuế, nhưng tôi vẫn cảm thấy cần thêm thông tin.</t>
  </si>
  <si>
    <t>Tôi ủng hộ chính sách mới vì nó đơn giản hơn và giúp tôi tiết kiệm được một khoản tiền đáng kể mỗi tháng.</t>
  </si>
  <si>
    <t>Dù luật thuế mới đơn giản hơn, nhưng với số lượng người nộp thuế lớn và sự đa dạng về nguồn thu nhập, tôi vẫn lo ngại rằng việc phát hiện hành vi gian lận hoặc trốn thuế sẽ không hoàn toàn hiệu quả.</t>
  </si>
  <si>
    <t>Cơ quan thuế đã đầu tư nhiều vào công nghệ và đội ngũ chuyên môn để nâng cao khả năng kiểm soát, nhưng việc xử lý nghiêm các hành vi gian lận vẫn cần thời gian để chứng minh hiệu quả.</t>
  </si>
  <si>
    <t>Hệ thống thuế mới đã đơn giản hóa quy trình khai báo và làm việc với cơ quan thuế, giảm bớt các bước phức tạp. Điều này giúp quá trình thực hiện thuận lợi hơn.</t>
  </si>
  <si>
    <t>Biểu thuế mới có ít bậc hơn so với trước đây, dễ hiểu và dễ thực hiện hơn. Tuy nhiên, việc tính toán chính xác mức thuế vẫn cần thời gian để quen thuộc.</t>
  </si>
  <si>
    <t>Tôi tin rằng cơ quan thuế sẽ thực thi chính sách một cách công bằng, nhưng việc xử lý các hành vi gian lận hoặc trốn thuế còn phụ thuộc vào hiệu quả của hệ thống quản lý</t>
  </si>
  <si>
    <t>Với mức giảm trừ gia cảnh và số bậc thuế mới, tôi thấy rằng mức thuế hiện tại là hợp lý. Tuy nhiên, việc đánh giá công bằng vẫn cần thời gian để quen thuộc.</t>
  </si>
  <si>
    <t>Tôi tin tưởng rằng số tiền thuế đóng sẽ được sử dụng hiệu quả cho các dịch vụ công. Tuy nhiên, việc thông qua chi tiêu ngân sách vẫn phụ thuộc vào quá trình lập pháp và quản lý</t>
  </si>
  <si>
    <t>Nhà nước đã giải thích rõ ràng về mục tiêu của chính sách thuế mới, nhưng sự công bằng trong thực thi quy định còn cần thời gian để chứng minh.</t>
  </si>
  <si>
    <t>Tôi ủng hộ và tuân thủ chính sách mới vì mức thuế giảm và quy trình làm việc thuận lợi hơn. Tuy nhiên, tôi vẫn cần thời gian để quen với các thay đổi này.</t>
  </si>
  <si>
    <t>Dù các quy định quản lý thuế đã được cải thiện, nhưng tôi vẫn nghi ngờ về khả năng phát hiện trốn thuế của cơ quan thuế do thiếu nhân lực và công nghệ.</t>
  </si>
  <si>
    <t>Tôi tin rằng với sự hỗ trợ từ công nghệ, nhà nước sẽ có khả năng phát hiện các hành vi gian lận hoặc trốn thuế hiệu quả hơn</t>
  </si>
  <si>
    <t>Quy trình khai báo thuế và làm việc với cơ quan thuế đã đơn giản hóa đáng kể, giúp tiết kiệm thời gian và công sức.</t>
  </si>
  <si>
    <t>Bậc thuế mới đơn giản hơn nhiều so với trước đây, dễ hiểu và thực hiện thuận lợi hơn.</t>
  </si>
  <si>
    <t>Tôi tin rằng Nhà nước sẽ thực thi chính sách một cách công bằng, nhưng tôi vẫn lo ngại về khả năng phát hiện trốn thuế.</t>
  </si>
  <si>
    <t>Mức thuế mới được giảm đáng kể so với trước đây, phù hợp hơn với thu nhập của tôi và gia đình.</t>
  </si>
  <si>
    <t>Tiền thuế tôi đóng sẽ được sử dụng hiệu quả để cải thiện các dịch vụ công như y tế, đường xá...</t>
  </si>
  <si>
    <t>Tôi ủng hộ và tuân thủ chính sách mới vì nó mang lại nhiều lợi ích hơn so với trước đây.</t>
  </si>
  <si>
    <t>Dù không có thông tin về khả năng phát hiện trốn thuế, nhưng với mức giảm trừ gia cảnh cao hơn, việc gian lận trở nên khó khăn. Nếu Nhà nước quản lý hiệu quả, việc này sẽ được tăng cường.</t>
  </si>
  <si>
    <t>Cơ quan thuế đã có nhiều công nghệ hiện đại để theo dõi các hoạt động tài chính, nhưng thiếu thông tin về khả năng xử lý nghiêm sẽ làm giảm niềm tin.</t>
  </si>
  <si>
    <t>Quy trình khai báo trở nên đơn giản hơn với mức giảm trừ gia cảnh cao, nhưng vẫn cần thời gian quen thuộc. Việc liên lạc với cơ quan thuế cũng dễ dàng hơn trước đây.</t>
  </si>
  <si>
    <t>Biểu thuế đơn giản hóa giúp tính toán thuận tiện, nhưng số bậc giảm từ 7 xuống 5 có thể làm giảm độ chính xác trong một số trường hợp.</t>
  </si>
  <si>
    <t>Dù mức thuế không thay đổi, mức giảm trừ gia cảnh cao giúp tôi không phải đóng thuế. Tôi tin Nhà nước sẽ thực hiện công bằng với mọi người nộp thuế.</t>
  </si>
  <si>
    <t>Mức thuế không thay đổi nhưng việc không phải đóng thuế do giảm trừ gia cảnh cao làm tôi thấy mức thuế này là hợp lý.</t>
  </si>
  <si>
    <t>Mặc dù không có thông tin cụ thể về cách sử dụng số tiền thuế, nhưng sự đơn giản hóa quy trình sẽ giúp cải thiện dịch vụ công.</t>
  </si>
  <si>
    <t>Thông tin về chính sách mới được cung cấp đầy đủ và dễ hiểu, tăng niềm tin vào quyết định của Nhà nước.</t>
  </si>
  <si>
    <t>Dù không có thay đổi lớn trong mức thuế nhưng việc đơn giản hóa quy trình và không phải đóng thuế giúp tôi ủng hộ và tuân thủ chính sách mới.</t>
  </si>
  <si>
    <t>Dù các quy định quản lý thuế hiện tại có cải thiện, nhưng với kiến thức của tôi về hệ thống chính quyền địa phương và sự thiếu minh bạch, việc phát hiện gian lận hoặc trốn thuế vẫn còn khó khăn.</t>
  </si>
  <si>
    <t>Nhà nước đã đầu tư vào công nghệ để hỗ trợ quản lý thuế, nhưng hiệu quả thực tế còn phụ thuộc vào cách triển khai và kiểm soát của các cơ quan liên quan.</t>
  </si>
  <si>
    <t>So với trước đây, quy trình làm việc với cơ quan thuế trở nên đơn giản hơn nhiều. Tuy nhiên, vẫn còn một số thủ tục rườm rà cần cải thiện.</t>
  </si>
  <si>
    <t>Biểu thuế mới có ít bậc hơn và dễ hiểu hơn so với trước đây, nhưng vẫn cần thêm hướng dẫn cụ thể để người dân dễ dàng áp dụng.</t>
  </si>
  <si>
    <t>Tôi tin rằng Nhà nước sẽ thực thi chính sách một cách khách quan, vì mục tiêu cải thiện công bằng và hiệu quả trong việc quản lý thuế đã được nêu rõ.</t>
  </si>
  <si>
    <t>Thuế mới giảm đáng kể so với trước đây, giúp tôi tiết kiệm tiền. Tuy nhiên, mức thuế này vẫn cao đối với thu nhập của tôi.</t>
  </si>
  <si>
    <t>Những khoản thuế đóng góp vào việc cải thiện dịch vụ công và hạ tầng, nhưng hiệu quả sử dụng nguồn lực cụ thể còn cần được minh bạch hơn.</t>
  </si>
  <si>
    <t>Tôi thấy Nhà nước đã giải thích rõ ràng về mục đích của chính sách mới. Tuy nhiên, tôi mong muốn có thêm thông tin chi tiết về cách sử dụng nguồn lực thu thuế.</t>
  </si>
  <si>
    <t>Chính sách mới giúp giảm gánh nặng tài chính và đơn giản hóa quy trình nộp thuế. Tôi ủng hộ và tuân thủ chính sách này vì lợi ích cá nhân và cộng đồng.</t>
  </si>
  <si>
    <t>Dù không hoàn toàn, nhưng với mức giảm trừ gia cảnh tăng lên và quy định thuế đơn giản hơn, khả năng phát hiện hành vi gian lận có thể tăng.</t>
  </si>
  <si>
    <t>Việc sử dụng công nghệ tiên tiến của cơ quan thuế giúp phát hiện nhanh chóng các hành vi trốn thuế.</t>
  </si>
  <si>
    <t>Quy trình khai báo thuế và làm việc với cơ quan thuế được đơn giản hóa, thuận tiện hơn so với trước đây.</t>
  </si>
  <si>
    <t>Số bậc thuế giảm từ 7 xuống 5, cách tính thuế trở nên dễ hiểu và thực hiện đơn giản hơn.</t>
  </si>
  <si>
    <t>Nhà nước công bố rõ ràng mục tiêu và nguyên tắc của chính sách mới, tạo niềm tin cho người dân về sự công bằng trong việc áp dụng luật thuế.</t>
  </si>
  <si>
    <t>Với mức thu nhập của tôi, giảm trừ gia cảnh tăng lên cùng với cách tính thuế đơn giản hơn làm cho mức thuế phải đóng trở nên hợp lý và công bằng.</t>
  </si>
  <si>
    <t>Thuế được sử dụng hiệu quả để cải thiện các dịch vụ công như y tế, đường xá..., tăng niềm tin vào việc quản lý tài chính của Nhà nước.</t>
  </si>
  <si>
    <t>Nhà nước đã minh bạch về mục tiêu và nguyên tắc của chính sách thuế mới, tạo cảm giác trách nhiệm đối với người dân.</t>
  </si>
  <si>
    <t>Dựa trên tác động tài chính tích cực từ việc thực hiện chính sách mới, tôi ủng hộ và tuân thủ chính sách này.</t>
  </si>
  <si>
    <t>Hiện nay, cơ quan thuế đã có nhiều biện pháp quản lý và công nghệ hỗ trợ phát hiện gian lận, tuy nhiên vẫn còn khó khăn trong việc thực thi.</t>
  </si>
  <si>
    <t>Cơ quan thuế có đủ khả năng và công nghệ để kiểm soát các hành vi trốn thuế, nhưng cần tăng cường hơn nữa.</t>
  </si>
  <si>
    <t>Quy trình khai báo thuế và giao tiếp với cơ quan thuế đã đơn giản hóa so với trước đây, làm việc dễ dàng hơn.</t>
  </si>
  <si>
    <t>Các bậc thuế và cách tính thu nhập chịu thuế được đơn giản hóa, dễ hiểu và thực hiện nhanh chóng hơn.</t>
  </si>
  <si>
    <t>Tôi tin rằng nhà nước sẽ thực thi chính sách một cách công bằng đối với mọi người nộp thuế.</t>
  </si>
  <si>
    <t>Mức thuế mới tôi phải đóng là hợp lý, phù hợp với thu nhập của mình và các mức thuế khác trong cùng ngành nghề.</t>
  </si>
  <si>
    <t>Tôi tin rằng số tiền thuế tôi đóng sẽ được sử dụng hiệu quả để cải thiện các dịch vụ công cho người dân.</t>
  </si>
  <si>
    <t>Nhà nước đã giải thích rõ ràng về mục tiêu và lý do của việc sửa đổi thuế, tuy nhiên vẫn cần thêm thông tin chi tiết hơn.</t>
  </si>
  <si>
    <t>Tôi ủng hộ chính sách mới vì nó đơn giản hóa quy trình khai báo, giảm gánh nặng tài chính và tôi tin vào mục tiêu cải thiện dịch vụ công của nhà nước.</t>
  </si>
  <si>
    <t>Nhà nước và cơ quan thuế có nhiều biện pháp quản lý, nhưng không chắc chắn 100% về việc phát hiện trốn thuế.</t>
  </si>
  <si>
    <t>Công nghệ hiện đại giúp tăng cường khả năng phát hiện hành vi gian lận và trốn thuế.</t>
  </si>
  <si>
    <t>Quy trình khai báo và làm việc với cơ quan thuế dễ dàng hơn so với trước đây, do đơn giản hóa thủ tục.</t>
  </si>
  <si>
    <t>Các bậc thuế mới đơn giản hơn nhiều, dễ hiểu và thực hiện nhanh chóng hơn.</t>
  </si>
  <si>
    <t>Tôi tin rằng chính sách sẽ được thực thi công bằng với mọi người nộp thuế.</t>
  </si>
  <si>
    <t>Thuế mới phù hợp với thu nhập của tôi, do giảm trừ gia cảnh tăng lên.</t>
  </si>
  <si>
    <t>Tiền thuế đóng góp vào việc cải thiện dịch vụ công và phát triển đất nước.</t>
  </si>
  <si>
    <t>Chính phủ đã giải thích rõ ràng về mục tiêu của chính sách mới, tạo niềm tin cho người dân.</t>
  </si>
  <si>
    <t>Dựa trên giảm trừ gia cảnh tăng và quy trình khai báo đơn giản hơn, tôi ủng hộ và tuân thủ chính sách.</t>
  </si>
  <si>
    <t>Dù thuế mới đơn giản hơn nhưng không thấy rõ về khả năng quản lý của cơ quan thuế.</t>
  </si>
  <si>
    <t>Cơ quan thuế có công nghệ hiện đại nên khả năng phát hiện gian lận tăng, nhưng chưa chắc chắn.</t>
  </si>
  <si>
    <t>Thủ tục khai báo đơn giản hơn, thời gian chờ đợi để nộp thuế nhanh chóng.</t>
  </si>
  <si>
    <t>Bậc thuế giảm từ 7 xuống 5 bậc nên dễ hiểu và thực hiện thuận tiện hơn.</t>
  </si>
  <si>
    <t>Nhà nước công bố rõ ràng về chính sách mới, nhưng vẫn có nỗi lo ngại về khả năng quản lý.</t>
  </si>
  <si>
    <t>Thuế mới giảm đáng kể nên cảm thấy hợp lý và công bằng hơn.</t>
  </si>
  <si>
    <t>Thuê đã giảm, hy vọng số tiền sẽ được sử dụng hiệu quả để cải thiện dịch vụ công.</t>
  </si>
  <si>
    <t>Dù có lợi ích từ thuế giảm nhưng vẫn lo ngại về khả năng quản lý và thực thi.</t>
  </si>
  <si>
    <t>Thuế thu nhập cá nhân hiện nay đã được quản lý chặt chẽ hơn, có nhiều biện pháp phát hiện hành vi gian lận và trốn thuế. Tuy nhiên, vẫn còn tồn tại một số vấn đề về khả năng xử lý của các cơ quan thuế.</t>
  </si>
  <si>
    <t>Công nghệ hiện đại đã được áp dụng trong quản lý thuế, giúp phát hiện và xử lý nhanh chóng các hành vi gian lận, trốn thuế. Tuy nhiên, vẫn cần cải thiện về năng lực của nhân viên thuế.</t>
  </si>
  <si>
    <t>So với trước đây, quy trình khai báo thuế và làm việc với cơ quan thuế đã đơn giản hơn nhiều, tiết kiệm thời gian và công sức. Việc này khiến quá trình nộp thuế trở nên thuận tiện hơn.</t>
  </si>
  <si>
    <t>Biểu thuế mới có ít bậc hơn, dễ hiểu và thực hiện nhanh chóng hơn so với trước đây. Điều này giúp người dân không còn phải lo lắng về việc tính toán sai lệ phí</t>
  </si>
  <si>
    <t>Tôi tin rằng cơ quan thuế sẽ thực thi chính sách một cách công bằng và khách quan, nhưng vẫn cần cải thiện thêm trong việc minh bạch thông tin.</t>
  </si>
  <si>
    <t>Những thay đổi về mức giảm trừ gia cảnh và bậc thuế mới giúp tôi cảm thấy công bằng hơn. Tuy nhiên, mức thu nhập của tôi vẫn cao so với nhiều người khác nên vẫn còn nghi ngờ về tính công bằng.</t>
  </si>
  <si>
    <t>Tôi tin rằng số tiền thuế tôi đóng sẽ được sử dụng hiệu quả để cải thiện các dịch vụ công. Tuy nhiên, cần có thêm thông tin về cách sử dụng chi tiết để tăng niềm tin</t>
  </si>
  <si>
    <t>Nhà nước đã giải thích rõ ràng về mục tiêu của việc sửa đổi thuế, nhưng vẫn cần cải thiện hơn nữa trong việc minh bạch quy trình và kết quả thực thi chính sách.</t>
  </si>
  <si>
    <t>Tôi ủng hộ và tuân thủ chính sách mới vì nó giúp tôi tiết kiệm được một số tiền đáng kể. Tuy nhiên, tôi vẫn có những lo ngại về tính công bằng của mức thuế</t>
  </si>
  <si>
    <t>Việc thuế được đơn giản hóa và mức giảm trừ gia cảnh tăng lên có thể làm giảm cơ hội để người dân gian lận. Tuy nhiên, với số lượng lớn người nộp thuế hiện nay, việc phát hiện từng cá nhân trốn thuế vẫn còn khó khăn.</t>
  </si>
  <si>
    <t>Nhà nước đã đầu tư nhiều vào công nghệ để quản lý thuế và xử lý dữ liệu. Tuy nhiên, hiệu quả thực tế trong việc phát hiện gian lận hoặc trốn thuế vẫn cần thời gian kiểm chứng.</t>
  </si>
  <si>
    <t>Thủ tục khai báo thuế trở nên đơn giản hơn và quy trình làm việc với cơ quan thuế nhanh chóng, tiện lợi hơn so với trước đây. Điều này giúp tiết kiệm thời gian cho người dân.</t>
  </si>
  <si>
    <t>Bảng thuế mới có ít bậc hơn, dễ hiểu và thực hiện đơn giản hơn, phù hợp với trình độ học vấn trung bình của tôi. Điều này tạo ra cảm giác thuận tiện khi làm việc với hệ thống.</t>
  </si>
  <si>
    <t>Tôi tin rằng cơ quan thuế sẽ áp dụng chính sách một cách khách quan và công bằng, nhưng cần thời gian để chứng minh thực tế.</t>
  </si>
  <si>
    <t>Mức thuế mới phù hợp với thu nhập của tôi. Việc tăng giảm trừ gia cảnh và đơn giản hóa bảng thuế tạo ra cảm giác công bằng trong việc đóng góp cho ngân sách nhà nước.</t>
  </si>
  <si>
    <t>Tôi tin rằng số tiền thuế mà tôi đóng sẽ được sử dụng hiệu quả để cải thiện các dịch vụ công như y tế, giáo dục và hạ tầng. Tuy nhiên, cần thêm thông tin về cách sử dụng nguồn thu ngân sách.</t>
  </si>
  <si>
    <t>Nhà nước đã giải thích rõ ràng về mục tiêu của việc sửa đổi thuế lần này, nhưng có thể cải thiện thêm trong việc cung cấp thông tin chi tiết và minh bạch hơn.</t>
  </si>
  <si>
    <t>Sau khi xem xét các quyền lợi và nghĩa vụ, tôi ủng hộ chính sách mới. Việc đơn giản hóa quy trình thuế và tăng mức giảm trừ gia cảnh giúp tạo ra cảm giác công bằng và thuận tiện cho người dân.</t>
  </si>
  <si>
    <t>Việc tăng mức giảm trừ gia cảnh và đơn giản hóa biểu thuế có thể làm giảm khả năng phát hiện hành vi gian lận hoặc trốn thuế, nhưng cơ quan thuế vẫn cần công nghệ hiện đại để theo dõi.</t>
  </si>
  <si>
    <t>Nhà nước đã đầu tư vào công nghệ để nâng cao hiệu quả quản lý thuế, mặc dù việc phát hiện gian lận vẫn còn khó khăn đối với các cá nhân có cấu trúc tài chính phức tạp.</t>
  </si>
  <si>
    <t>Quy trình làm việc và khai báo thuế trở nên đơn giản hơn so với trước đây, giảm bớt thời gian và công sức cho người dân phải thực hiện các thủ tục thuế.</t>
  </si>
  <si>
    <t>Biểu thuế mới có ít bậc hơn, dễ dàng hiểu và áp dụng hơn, nhưng vẫn cần thêm thời gian để quen với việc tính toán theo mức thu nhập mới.</t>
  </si>
  <si>
    <t>Tôi tin rằng Nhà nước sẽ thực thi chính sách một cách công bằng, mặc dù tôi nhận thức được rằng việc quản lý thuế vẫn còn nhiều thách thức trong thực tế.</t>
  </si>
  <si>
    <t>Nhìn chung mức thuế mới là phù hợp với thu nhập của tôi và người dân cùng ngành nghề, giảm gánh nặng về mặt tài chính.</t>
  </si>
  <si>
    <t>Thuế đóng góp vào việc cải thiện các dịch vụ công như y tế và cơ sở hạ tầng, nhưng hiệu quả sử dụng nguồn thu thuế còn phụ thuộc vào quản lý của Nhà nước.</t>
  </si>
  <si>
    <t>Nhà nước đã giải thích rõ về mục tiêu của việc sửa đổi thuế lần này, mặc dù vẫn có thể cải thiện thêm trong việc truyền tải thông tin đến người dân.</t>
  </si>
  <si>
    <t>Tôi ủng hộ và tuân thủ chính sách mới vì nó mang lại lợi ích đáng kể về mặt tài chính và giảm gánh nặng cho người dân.</t>
  </si>
  <si>
    <t>Nhà nước đã thực hiện nhiều biện pháp để chống gian lận và trốn thuế, như tăng cường công nghệ giám sát. Tuy nhiên, tôi vẫn lo ngại về khả năng phát hiện của các cơ quan thuế đối với những người khéo léo trong việc gian lận.</t>
  </si>
  <si>
    <t>Việc sử dụng công nghệ để quản lý và giám sát thuế đã cải thiện đáng kể, nhưng vẫn cần thêm thời gian để hoàn thiện hệ thống.</t>
  </si>
  <si>
    <t>Quy trình khai báo thuế trở nên đơn giản hơn so với trước đây, giúp tôi tiết kiệm thời gian. Tuy nhiên, việc đăng ký và cập nhật thông tin vẫn cần thêm cải tiến.</t>
  </si>
  <si>
    <t>Biểu thuế mới có ít bậc hơn, dễ hiểu hơn nhưng vẫn giữ được tính công bằng trong việc phân phối thuế</t>
  </si>
  <si>
    <t>Tôi tin rằng cơ quan thuế sẽ thực thi chính sách một cách khách quan và công bằng. Mức thuế mới cũng hợp lý với thu nhập của tôi.</t>
  </si>
  <si>
    <t>Mức thuế mới giảm so với trước đây, tạo cảm giác công bằng hơn</t>
  </si>
  <si>
    <t>Tài chính nhà nước sẽ được sử dụng hiệu quả hơn để cải thiện các dịch vụ công, tôi tin tưởng rằng số tiền thuế tôi đóng có tác dụng tích cực.</t>
  </si>
  <si>
    <t>Nhà nước đã giải thích rõ ràng về mục tiêu của chính sách mới, tuy nhiên, việc thực hiện vẫn còn cần thêm minh bạch hơn</t>
  </si>
  <si>
    <t>Tôi ủng hộ và tuân thủ chính sách mới vì nó tạo ra sự công bằng và thuận tiện cho người nộp thuế.</t>
  </si>
  <si>
    <t>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</si>
</sst>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
    <numFmt numFmtId="166" formatCode="0.0%"/>
  </numFmts>
  <fonts count="5" x14ac:knownFonts="1">
    <font>
      <sz val="11"/>
      <color theme="1"/>
      <name val="Calibri"/>
      <family val="2"/>
      <scheme val="minor"/>
    </font>
    <font>
      <b/>
      <sz val="11"/>
      <name val="Calibri"/>
      <family val="2"/>
    </font>
    <font>
      <b/>
      <sz val="11"/>
      <color theme="1"/>
      <name val="Calibri"/>
      <family val="2"/>
      <scheme val="minor"/>
    </font>
    <font>
      <b/>
      <sz val="11"/>
      <name val="Calibri"/>
      <family val="2"/>
    </font>
    <font>
      <b/>
      <sz val="11"/>
      <color theme="0"/>
      <name val="Calibri"/>
      <family val="2"/>
      <scheme val="minor"/>
    </font>
  </fonts>
  <fills count="9">
    <fill>
      <patternFill patternType="none"/>
    </fill>
    <fill>
      <patternFill patternType="gray125"/>
    </fill>
    <fill>
      <patternFill patternType="solid">
        <fgColor rgb="FF92D050"/>
        <bgColor indexed="64"/>
      </patternFill>
    </fill>
    <fill>
      <patternFill patternType="solid">
        <fgColor theme="9"/>
        <bgColor theme="9"/>
      </patternFill>
    </fill>
    <fill>
      <patternFill patternType="solid">
        <fgColor theme="9"/>
        <bgColor indexed="64"/>
      </patternFill>
    </fill>
    <fill>
      <patternFill patternType="solid">
        <fgColor rgb="FF92D050"/>
        <bgColor theme="9"/>
      </patternFill>
    </fill>
    <fill>
      <patternFill patternType="solid">
        <fgColor theme="9" tint="0.79998168889431442"/>
        <bgColor theme="9" tint="0.79998168889431442"/>
      </patternFill>
    </fill>
    <fill>
      <patternFill patternType="solid">
        <fgColor rgb="FFFFFF00"/>
        <bgColor indexed="64"/>
      </patternFill>
    </fill>
    <fill>
      <patternFill patternType="solid">
        <fgColor rgb="FF00B0F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1">
    <xf numFmtId="0" fontId="0" fillId="0" borderId="0"/>
  </cellStyleXfs>
  <cellXfs count="44">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center"/>
    </xf>
    <xf numFmtId="0" fontId="0" fillId="2" borderId="1" xfId="0" applyFill="1" applyBorder="1"/>
    <xf numFmtId="0" fontId="0" fillId="0" borderId="1" xfId="0" applyBorder="1"/>
    <xf numFmtId="0" fontId="3" fillId="0" borderId="1" xfId="0" applyFont="1" applyBorder="1" applyAlignment="1">
      <alignment horizontal="center" vertical="top"/>
    </xf>
    <xf numFmtId="0" fontId="2" fillId="0" borderId="1" xfId="0" applyFont="1" applyBorder="1"/>
    <xf numFmtId="0" fontId="0" fillId="2" borderId="0" xfId="0" applyFill="1"/>
    <xf numFmtId="0" fontId="2" fillId="0" borderId="0" xfId="0" applyFont="1"/>
    <xf numFmtId="164" fontId="2" fillId="0" borderId="1" xfId="0" applyNumberFormat="1" applyFont="1" applyBorder="1"/>
    <xf numFmtId="164" fontId="2" fillId="0" borderId="0" xfId="0" applyNumberFormat="1" applyFont="1"/>
    <xf numFmtId="0" fontId="1" fillId="0" borderId="2" xfId="0" applyFont="1" applyBorder="1" applyAlignment="1">
      <alignment horizontal="center" vertical="top"/>
    </xf>
    <xf numFmtId="0" fontId="2" fillId="0" borderId="3" xfId="0" applyFont="1" applyBorder="1"/>
    <xf numFmtId="0" fontId="1" fillId="0" borderId="4" xfId="0" applyFont="1" applyBorder="1" applyAlignment="1">
      <alignment horizontal="center" vertical="top"/>
    </xf>
    <xf numFmtId="0" fontId="2" fillId="0" borderId="5" xfId="0" applyFont="1" applyBorder="1"/>
    <xf numFmtId="9" fontId="0" fillId="0" borderId="1" xfId="0" applyNumberFormat="1" applyBorder="1"/>
    <xf numFmtId="9" fontId="2" fillId="0" borderId="1" xfId="0" applyNumberFormat="1" applyFont="1" applyBorder="1"/>
    <xf numFmtId="0" fontId="4" fillId="3" borderId="6" xfId="0" applyFont="1" applyFill="1" applyBorder="1"/>
    <xf numFmtId="0" fontId="4" fillId="3" borderId="7" xfId="0" applyFont="1" applyFill="1" applyBorder="1"/>
    <xf numFmtId="22" fontId="0" fillId="0" borderId="0" xfId="0" applyNumberFormat="1"/>
    <xf numFmtId="0" fontId="4" fillId="5" borderId="7" xfId="0" applyFont="1" applyFill="1" applyBorder="1"/>
    <xf numFmtId="0" fontId="4" fillId="4" borderId="0" xfId="0" applyFont="1" applyFill="1"/>
    <xf numFmtId="0" fontId="4" fillId="2" borderId="0" xfId="0" applyFont="1" applyFill="1"/>
    <xf numFmtId="0" fontId="4" fillId="0" borderId="0" xfId="0" applyFont="1"/>
    <xf numFmtId="165" fontId="0" fillId="0" borderId="1" xfId="0" applyNumberFormat="1" applyBorder="1" applyAlignment="1">
      <alignment horizontal="center"/>
    </xf>
    <xf numFmtId="9" fontId="0" fillId="0" borderId="0" xfId="0" applyNumberFormat="1"/>
    <xf numFmtId="0" fontId="0" fillId="0" borderId="0" xfId="0" applyAlignment="1">
      <alignment horizontal="center" vertical="center"/>
    </xf>
    <xf numFmtId="0" fontId="0" fillId="0" borderId="0" xfId="0" pivotButton="1"/>
    <xf numFmtId="0" fontId="0" fillId="0" borderId="0" xfId="0" applyAlignment="1">
      <alignment horizontal="left"/>
    </xf>
    <xf numFmtId="0" fontId="2" fillId="0" borderId="0" xfId="0" applyFont="1" applyAlignment="1">
      <alignment horizontal="center"/>
    </xf>
    <xf numFmtId="0" fontId="0" fillId="6" borderId="6" xfId="0" applyFill="1" applyBorder="1"/>
    <xf numFmtId="0" fontId="0" fillId="6" borderId="0" xfId="0" applyFill="1"/>
    <xf numFmtId="0" fontId="0" fillId="7" borderId="0" xfId="0" applyFill="1"/>
    <xf numFmtId="2" fontId="0" fillId="0" borderId="1" xfId="0" applyNumberFormat="1" applyBorder="1"/>
    <xf numFmtId="9" fontId="0" fillId="0" borderId="1" xfId="0" applyNumberFormat="1" applyBorder="1" applyAlignment="1">
      <alignment horizontal="center"/>
    </xf>
    <xf numFmtId="0" fontId="2" fillId="0" borderId="7" xfId="0" applyFont="1" applyBorder="1"/>
    <xf numFmtId="0" fontId="0" fillId="0" borderId="7" xfId="0" applyBorder="1"/>
    <xf numFmtId="4" fontId="0" fillId="0" borderId="1" xfId="0" applyNumberFormat="1" applyBorder="1" applyAlignment="1">
      <alignment horizontal="center"/>
    </xf>
    <xf numFmtId="166" fontId="0" fillId="0" borderId="0" xfId="0" applyNumberFormat="1"/>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2" fillId="8" borderId="1" xfId="0" applyFont="1" applyFill="1" applyBorder="1"/>
    <xf numFmtId="10" fontId="0" fillId="0" borderId="1" xfId="0" applyNumberFormat="1" applyBorder="1"/>
    <xf numFmtId="166" fontId="0" fillId="0" borderId="1" xfId="0" applyNumberFormat="1" applyBorder="1"/>
  </cellXfs>
  <cellStyles count="1">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y Pham" refreshedDate="46040.659061805556" createdVersion="8" refreshedVersion="8" minRefreshableVersion="3" recordCount="403" xr:uid="{677C10B3-056A-462F-8621-BC1A1D2CF10E}">
  <cacheSource type="worksheet">
    <worksheetSource name="survey_responses"/>
  </cacheSource>
  <cacheFields count="17">
    <cacheField name="Timestamp" numFmtId="22">
      <sharedItems containsSemiMixedTypes="0" containsNonDate="0" containsDate="1" containsString="0" minDate="2025-12-25T14:05:00" maxDate="2026-01-13T12:49:00"/>
    </cacheField>
    <cacheField name="Giới tính của bạn:" numFmtId="0">
      <sharedItems count="2">
        <s v="Nữ"/>
        <s v="Nam"/>
      </sharedItems>
    </cacheField>
    <cacheField name="Độ tuổi của bạn:" numFmtId="0">
      <sharedItems count="6">
        <s v="25 - 29"/>
        <s v="40 - 49"/>
        <s v="18 - 24"/>
        <s v="30 - 39"/>
        <s v="50 - 54"/>
        <s v="55 - 64"/>
      </sharedItems>
    </cacheField>
    <cacheField name="Khu vực bạn đang sinh sống:" numFmtId="0">
      <sharedItems count="2">
        <s v="Thành thị"/>
        <s v="Nông thôn"/>
      </sharedItems>
    </cacheField>
    <cacheField name="Trình độ học vấn cao nhất:" numFmtId="0">
      <sharedItems count="4">
        <s v="Đại học"/>
        <s v="Sau Đại học"/>
        <s v="Cao đẳng"/>
        <s v="Trung học phổ thông"/>
      </sharedItems>
    </cacheField>
    <cacheField name="Tình trạng việc làm chính:" numFmtId="0">
      <sharedItems count="3">
        <s v="Khu vực chính thức (Có Hợp đồng lao động, đóng BHXH)"/>
        <s v="Khu vực phi chính thức (Lao động tự do, không có HĐLĐ)"/>
        <s v="Khác (Về hưu, nội trợ, sinh viên)"/>
      </sharedItems>
    </cacheField>
    <cacheField name="Thu nhập bình quân tháng theo Hợp đồng lao động của bạn là bao nhiêu? (Vui lòng điền tổng thu nhập trước khi khấu trừ các loại Bảo hiểm (BHXH, BHYT, BHTN) và Thuế TNCN)" numFmtId="0">
      <sharedItems count="8">
        <s v="Từ 12 - 18 triệu VNĐ"/>
        <s v="Từ 48 - 70 triệu VNĐ"/>
        <s v="Dưới 12 triệu VNĐ"/>
        <s v="Từ 70 - 102 triệu VNĐ"/>
        <s v="Từ 18 - 23 triệu VNĐ"/>
        <s v="Từ 32 - 48 triệu VNĐ"/>
        <s v="Trên 102 triệu VNĐ"/>
        <s v="Từ 23 - 32 triệu VNĐ"/>
      </sharedItems>
    </cacheField>
    <cacheField name="Số người phụ thuộc (con nhỏ, cha mẹ già...) đủ điều kiện giảm trừ gia cảnh:" numFmtId="0">
      <sharedItems count="5">
        <s v="1 người"/>
        <s v="0 người"/>
        <s v="3 người"/>
        <s v="4 người trở lên"/>
        <s v="2 người"/>
      </sharedItems>
    </cacheField>
    <cacheField name="Tôi tin rằng với các quy định quản lý thuế hiện nay, hành vi gian lận hoặc trốn thuế sẽ dễ dàng bị phát hiện và xử lý nghiêm. - HUMAN-ENF1" numFmtId="0">
      <sharedItems containsSemiMixedTypes="0" containsString="0" containsNumber="1" containsInteger="1" minValue="1" maxValue="10"/>
    </cacheField>
    <cacheField name="Tôi tin rằng Nhà nước, cơ quan thuế có đủ khả năng và công nghệ để phát hiện, xử lý nghiêm các hành vi trốn thuế. - HUMAN-ENF2" numFmtId="0">
      <sharedItems containsSemiMixedTypes="0" containsString="0" containsNumber="1" containsInteger="1" minValue="1" maxValue="10"/>
    </cacheField>
    <cacheField name="Các thủ tục khai báo thuế VÀ/HOẶC quy trình làm việc với cơ quan thuế đơn giản, tiện lợi, nhanh chóng hơn so với trước đây. - HUMAN-FAC1" numFmtId="0">
      <sharedItems containsSemiMixedTypes="0" containsString="0" containsNumber="1" containsInteger="1" minValue="1" maxValue="10"/>
    </cacheField>
    <cacheField name="So với trước đây, tôi thấy cách tính thuế và các bậc thuế trong phương án mới đơn giản, dễ hiểu và dễ thực hiện hơn. - HUMAN-FAC2" numFmtId="0">
      <sharedItems containsSemiMixedTypes="0" containsString="0" containsNumber="1" containsInteger="1" minValue="1" maxValue="10"/>
    </cacheField>
    <cacheField name="Tôi tin rằng Nhà nước, cơ quan thuế sẽ thực thi chính sách mới một cách khách quan, công tâm và đối xử bình đẳng với mọi người nộp thuế.  - HUMAN-TRU1" numFmtId="0">
      <sharedItems containsSemiMixedTypes="0" containsString="0" containsNumber="1" containsInteger="1" minValue="1" maxValue="10"/>
    </cacheField>
    <cacheField name="Tôi thấy mức thuế tôi phải đóng theo phương án mới là công bằng (người thu nhập như tôi đóng mức này là hợp lý). - HUMAN-TRU2" numFmtId="0">
      <sharedItems containsSemiMixedTypes="0" containsString="0" containsNumber="1" containsInteger="1" minValue="1" maxValue="10"/>
    </cacheField>
    <cacheField name="Tôi tin tưởng số tiền thuế tôi đóng sẽ được Nhà nước sử dụng hiệu quả để cải thiện dịch vụ công (y tế, đường xá...). - HUMAN-TRU3" numFmtId="0">
      <sharedItems containsSemiMixedTypes="0" containsString="0" containsNumber="1" containsInteger="1" minValue="1" maxValue="10"/>
    </cacheField>
    <cacheField name="Tôi thấy Nhà nước đã giải thích rõ ràng, minh bạch về lý do và mục tiêu của việc sửa đổi thuế lần này. - HUMAN-TRU4" numFmtId="0">
      <sharedItems containsSemiMixedTypes="0" containsString="0" containsNumber="1" containsInteger="1" minValue="1" maxValue="10"/>
    </cacheField>
    <cacheField name="Sau khi xem xét các quyền lợi và nghĩa vụ, bạn có ủng hộ và tuân thủ chính sách mới hiện nay? - HUMAN-OUT1" numFmtId="0">
      <sharedItems containsSemiMixedTypes="0" containsString="0" containsNumber="1" containsInteger="1" minValue="1" maxValue="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3">
  <r>
    <d v="2025-12-25T14:05:00"/>
    <x v="0"/>
    <x v="0"/>
    <x v="0"/>
    <x v="0"/>
    <x v="0"/>
    <x v="0"/>
    <x v="0"/>
    <n v="10"/>
    <n v="8"/>
    <n v="5"/>
    <n v="5"/>
    <n v="10"/>
    <n v="10"/>
    <n v="10"/>
    <n v="10"/>
    <n v="10"/>
  </r>
  <r>
    <d v="2025-12-25T14:05:00"/>
    <x v="0"/>
    <x v="0"/>
    <x v="0"/>
    <x v="0"/>
    <x v="0"/>
    <x v="0"/>
    <x v="1"/>
    <n v="8"/>
    <n v="8"/>
    <n v="6"/>
    <n v="9"/>
    <n v="10"/>
    <n v="9"/>
    <n v="8"/>
    <n v="9"/>
    <n v="10"/>
  </r>
  <r>
    <d v="2025-12-25T14:07:00"/>
    <x v="1"/>
    <x v="1"/>
    <x v="0"/>
    <x v="1"/>
    <x v="0"/>
    <x v="1"/>
    <x v="2"/>
    <n v="6"/>
    <n v="5"/>
    <n v="4"/>
    <n v="5"/>
    <n v="4"/>
    <n v="4"/>
    <n v="4"/>
    <n v="10"/>
    <n v="4"/>
  </r>
  <r>
    <d v="2025-12-25T14:07:00"/>
    <x v="0"/>
    <x v="2"/>
    <x v="0"/>
    <x v="0"/>
    <x v="0"/>
    <x v="2"/>
    <x v="1"/>
    <n v="10"/>
    <n v="10"/>
    <n v="8"/>
    <n v="9"/>
    <n v="9"/>
    <n v="7"/>
    <n v="10"/>
    <n v="7"/>
    <n v="10"/>
  </r>
  <r>
    <d v="2025-12-25T14:08:00"/>
    <x v="0"/>
    <x v="0"/>
    <x v="0"/>
    <x v="0"/>
    <x v="0"/>
    <x v="2"/>
    <x v="1"/>
    <n v="9"/>
    <n v="9"/>
    <n v="10"/>
    <n v="9"/>
    <n v="9"/>
    <n v="9"/>
    <n v="9"/>
    <n v="9"/>
    <n v="9"/>
  </r>
  <r>
    <d v="2025-12-25T14:17:00"/>
    <x v="0"/>
    <x v="3"/>
    <x v="0"/>
    <x v="1"/>
    <x v="0"/>
    <x v="3"/>
    <x v="3"/>
    <n v="8"/>
    <n v="8"/>
    <n v="5"/>
    <n v="8"/>
    <n v="6"/>
    <n v="6"/>
    <n v="4"/>
    <n v="5"/>
    <n v="6"/>
  </r>
  <r>
    <d v="2025-12-25T14:19:00"/>
    <x v="0"/>
    <x v="3"/>
    <x v="0"/>
    <x v="0"/>
    <x v="0"/>
    <x v="4"/>
    <x v="4"/>
    <n v="5"/>
    <n v="4"/>
    <n v="4"/>
    <n v="6"/>
    <n v="6"/>
    <n v="7"/>
    <n v="2"/>
    <n v="4"/>
    <n v="4"/>
  </r>
  <r>
    <d v="2025-12-25T14:28:00"/>
    <x v="1"/>
    <x v="1"/>
    <x v="0"/>
    <x v="1"/>
    <x v="0"/>
    <x v="2"/>
    <x v="4"/>
    <n v="1"/>
    <n v="1"/>
    <n v="2"/>
    <n v="3"/>
    <n v="6"/>
    <n v="2"/>
    <n v="7"/>
    <n v="3"/>
    <n v="3"/>
  </r>
  <r>
    <d v="2025-12-25T15:35:00"/>
    <x v="0"/>
    <x v="0"/>
    <x v="1"/>
    <x v="0"/>
    <x v="1"/>
    <x v="0"/>
    <x v="0"/>
    <n v="10"/>
    <n v="10"/>
    <n v="8"/>
    <n v="7"/>
    <n v="7"/>
    <n v="5"/>
    <n v="5"/>
    <n v="9"/>
    <n v="8"/>
  </r>
  <r>
    <d v="2025-12-25T15:51:00"/>
    <x v="0"/>
    <x v="0"/>
    <x v="0"/>
    <x v="0"/>
    <x v="0"/>
    <x v="4"/>
    <x v="1"/>
    <n v="7"/>
    <n v="10"/>
    <n v="1"/>
    <n v="5"/>
    <n v="8"/>
    <n v="5"/>
    <n v="5"/>
    <n v="5"/>
    <n v="10"/>
  </r>
  <r>
    <d v="2025-12-25T15:52:00"/>
    <x v="1"/>
    <x v="3"/>
    <x v="0"/>
    <x v="1"/>
    <x v="1"/>
    <x v="5"/>
    <x v="3"/>
    <n v="10"/>
    <n v="3"/>
    <n v="1"/>
    <n v="7"/>
    <n v="1"/>
    <n v="5"/>
    <n v="1"/>
    <n v="8"/>
    <n v="6"/>
  </r>
  <r>
    <d v="2025-12-25T17:01:00"/>
    <x v="0"/>
    <x v="2"/>
    <x v="0"/>
    <x v="0"/>
    <x v="0"/>
    <x v="2"/>
    <x v="1"/>
    <n v="5"/>
    <n v="8"/>
    <n v="5"/>
    <n v="5"/>
    <n v="6"/>
    <n v="5"/>
    <n v="5"/>
    <n v="5"/>
    <n v="5"/>
  </r>
  <r>
    <d v="2025-12-25T17:54:00"/>
    <x v="0"/>
    <x v="2"/>
    <x v="0"/>
    <x v="0"/>
    <x v="0"/>
    <x v="2"/>
    <x v="1"/>
    <n v="8"/>
    <n v="7"/>
    <n v="7"/>
    <n v="7"/>
    <n v="7"/>
    <n v="8"/>
    <n v="7"/>
    <n v="7"/>
    <n v="7"/>
  </r>
  <r>
    <d v="2025-12-25T20:16:00"/>
    <x v="0"/>
    <x v="3"/>
    <x v="0"/>
    <x v="1"/>
    <x v="0"/>
    <x v="4"/>
    <x v="1"/>
    <n v="10"/>
    <n v="10"/>
    <n v="8"/>
    <n v="8"/>
    <n v="8"/>
    <n v="6"/>
    <n v="6"/>
    <n v="5"/>
    <n v="5"/>
  </r>
  <r>
    <d v="2025-12-25T20:19:00"/>
    <x v="1"/>
    <x v="3"/>
    <x v="0"/>
    <x v="1"/>
    <x v="0"/>
    <x v="5"/>
    <x v="4"/>
    <n v="7"/>
    <n v="9"/>
    <n v="3"/>
    <n v="6"/>
    <n v="1"/>
    <n v="1"/>
    <n v="1"/>
    <n v="1"/>
    <n v="1"/>
  </r>
  <r>
    <d v="2025-12-25T21:09:00"/>
    <x v="1"/>
    <x v="1"/>
    <x v="0"/>
    <x v="1"/>
    <x v="0"/>
    <x v="3"/>
    <x v="3"/>
    <n v="8"/>
    <n v="8"/>
    <n v="8"/>
    <n v="9"/>
    <n v="7"/>
    <n v="7"/>
    <n v="9"/>
    <n v="8"/>
    <n v="7"/>
  </r>
  <r>
    <d v="2025-12-25T21:15:00"/>
    <x v="0"/>
    <x v="0"/>
    <x v="0"/>
    <x v="0"/>
    <x v="0"/>
    <x v="4"/>
    <x v="4"/>
    <n v="6"/>
    <n v="7"/>
    <n v="5"/>
    <n v="5"/>
    <n v="6"/>
    <n v="7"/>
    <n v="3"/>
    <n v="4"/>
    <n v="5"/>
  </r>
  <r>
    <d v="2025-12-25T21:47:00"/>
    <x v="1"/>
    <x v="1"/>
    <x v="0"/>
    <x v="0"/>
    <x v="1"/>
    <x v="0"/>
    <x v="1"/>
    <n v="6"/>
    <n v="8"/>
    <n v="7"/>
    <n v="8"/>
    <n v="8"/>
    <n v="7"/>
    <n v="7"/>
    <n v="6"/>
    <n v="8"/>
  </r>
  <r>
    <d v="2025-12-25T21:51:00"/>
    <x v="1"/>
    <x v="1"/>
    <x v="0"/>
    <x v="0"/>
    <x v="0"/>
    <x v="6"/>
    <x v="3"/>
    <n v="10"/>
    <n v="10"/>
    <n v="5"/>
    <n v="5"/>
    <n v="5"/>
    <n v="3"/>
    <n v="2"/>
    <n v="5"/>
    <n v="8"/>
  </r>
  <r>
    <d v="2025-12-26T01:57:00"/>
    <x v="1"/>
    <x v="3"/>
    <x v="0"/>
    <x v="1"/>
    <x v="0"/>
    <x v="1"/>
    <x v="4"/>
    <n v="9"/>
    <n v="9"/>
    <n v="7"/>
    <n v="9"/>
    <n v="7"/>
    <n v="8"/>
    <n v="5"/>
    <n v="5"/>
    <n v="6"/>
  </r>
  <r>
    <d v="2025-12-26T07:30:00"/>
    <x v="0"/>
    <x v="1"/>
    <x v="0"/>
    <x v="0"/>
    <x v="0"/>
    <x v="6"/>
    <x v="2"/>
    <n v="10"/>
    <n v="10"/>
    <n v="8"/>
    <n v="7"/>
    <n v="7"/>
    <n v="7"/>
    <n v="2"/>
    <n v="3"/>
    <n v="3"/>
  </r>
  <r>
    <d v="2025-12-26T08:42:00"/>
    <x v="0"/>
    <x v="2"/>
    <x v="0"/>
    <x v="0"/>
    <x v="0"/>
    <x v="0"/>
    <x v="1"/>
    <n v="8"/>
    <n v="8"/>
    <n v="5"/>
    <n v="8"/>
    <n v="8"/>
    <n v="8"/>
    <n v="8"/>
    <n v="8"/>
    <n v="8"/>
  </r>
  <r>
    <d v="2025-12-26T09:36:00"/>
    <x v="0"/>
    <x v="1"/>
    <x v="0"/>
    <x v="1"/>
    <x v="0"/>
    <x v="3"/>
    <x v="2"/>
    <n v="5"/>
    <n v="5"/>
    <n v="5"/>
    <n v="5"/>
    <n v="5"/>
    <n v="5"/>
    <n v="5"/>
    <n v="5"/>
    <n v="5"/>
  </r>
  <r>
    <d v="2025-12-26T11:37:00"/>
    <x v="0"/>
    <x v="3"/>
    <x v="1"/>
    <x v="0"/>
    <x v="0"/>
    <x v="7"/>
    <x v="4"/>
    <n v="9"/>
    <n v="8"/>
    <n v="6"/>
    <n v="9"/>
    <n v="8"/>
    <n v="10"/>
    <n v="6"/>
    <n v="6"/>
    <n v="8"/>
  </r>
  <r>
    <d v="2025-12-26T11:40:00"/>
    <x v="1"/>
    <x v="3"/>
    <x v="0"/>
    <x v="1"/>
    <x v="0"/>
    <x v="5"/>
    <x v="0"/>
    <n v="6"/>
    <n v="7"/>
    <n v="5"/>
    <n v="6"/>
    <n v="7"/>
    <n v="7"/>
    <n v="3"/>
    <n v="3"/>
    <n v="5"/>
  </r>
  <r>
    <d v="2025-12-26T11:45:00"/>
    <x v="1"/>
    <x v="3"/>
    <x v="0"/>
    <x v="1"/>
    <x v="0"/>
    <x v="2"/>
    <x v="3"/>
    <n v="10"/>
    <n v="10"/>
    <n v="10"/>
    <n v="6"/>
    <n v="6"/>
    <n v="10"/>
    <n v="1"/>
    <n v="4"/>
    <n v="10"/>
  </r>
  <r>
    <d v="2025-12-26T12:06:00"/>
    <x v="1"/>
    <x v="2"/>
    <x v="0"/>
    <x v="0"/>
    <x v="0"/>
    <x v="2"/>
    <x v="1"/>
    <n v="1"/>
    <n v="1"/>
    <n v="1"/>
    <n v="1"/>
    <n v="1"/>
    <n v="1"/>
    <n v="1"/>
    <n v="1"/>
    <n v="1"/>
  </r>
  <r>
    <d v="2025-12-26T12:06:00"/>
    <x v="1"/>
    <x v="0"/>
    <x v="0"/>
    <x v="0"/>
    <x v="0"/>
    <x v="0"/>
    <x v="1"/>
    <n v="1"/>
    <n v="1"/>
    <n v="1"/>
    <n v="1"/>
    <n v="1"/>
    <n v="1"/>
    <n v="1"/>
    <n v="1"/>
    <n v="1"/>
  </r>
  <r>
    <d v="2025-12-26T12:07:00"/>
    <x v="0"/>
    <x v="2"/>
    <x v="0"/>
    <x v="0"/>
    <x v="0"/>
    <x v="0"/>
    <x v="1"/>
    <n v="10"/>
    <n v="10"/>
    <n v="9"/>
    <n v="10"/>
    <n v="10"/>
    <n v="9"/>
    <n v="10"/>
    <n v="10"/>
    <n v="10"/>
  </r>
  <r>
    <d v="2025-12-26T12:07:00"/>
    <x v="0"/>
    <x v="2"/>
    <x v="0"/>
    <x v="0"/>
    <x v="0"/>
    <x v="0"/>
    <x v="1"/>
    <n v="10"/>
    <n v="10"/>
    <n v="9"/>
    <n v="10"/>
    <n v="10"/>
    <n v="10"/>
    <n v="10"/>
    <n v="10"/>
    <n v="10"/>
  </r>
  <r>
    <d v="2025-12-26T12:07:00"/>
    <x v="0"/>
    <x v="0"/>
    <x v="0"/>
    <x v="0"/>
    <x v="0"/>
    <x v="7"/>
    <x v="1"/>
    <n v="10"/>
    <n v="7"/>
    <n v="10"/>
    <n v="7"/>
    <n v="10"/>
    <n v="10"/>
    <n v="3"/>
    <n v="5"/>
    <n v="8"/>
  </r>
  <r>
    <d v="2025-12-26T12:08:00"/>
    <x v="0"/>
    <x v="2"/>
    <x v="0"/>
    <x v="0"/>
    <x v="0"/>
    <x v="7"/>
    <x v="1"/>
    <n v="5"/>
    <n v="5"/>
    <n v="5"/>
    <n v="5"/>
    <n v="5"/>
    <n v="5"/>
    <n v="5"/>
    <n v="5"/>
    <n v="5"/>
  </r>
  <r>
    <d v="2025-12-26T12:08:00"/>
    <x v="0"/>
    <x v="0"/>
    <x v="0"/>
    <x v="0"/>
    <x v="0"/>
    <x v="7"/>
    <x v="1"/>
    <n v="8"/>
    <n v="9"/>
    <n v="7"/>
    <n v="8"/>
    <n v="8"/>
    <n v="8"/>
    <n v="3"/>
    <n v="6"/>
    <n v="7"/>
  </r>
  <r>
    <d v="2025-12-26T12:08:00"/>
    <x v="1"/>
    <x v="0"/>
    <x v="0"/>
    <x v="0"/>
    <x v="0"/>
    <x v="0"/>
    <x v="0"/>
    <n v="10"/>
    <n v="10"/>
    <n v="10"/>
    <n v="10"/>
    <n v="10"/>
    <n v="10"/>
    <n v="10"/>
    <n v="10"/>
    <n v="10"/>
  </r>
  <r>
    <d v="2025-12-26T12:14:00"/>
    <x v="0"/>
    <x v="3"/>
    <x v="0"/>
    <x v="2"/>
    <x v="0"/>
    <x v="0"/>
    <x v="2"/>
    <n v="10"/>
    <n v="10"/>
    <n v="10"/>
    <n v="10"/>
    <n v="10"/>
    <n v="10"/>
    <n v="10"/>
    <n v="10"/>
    <n v="10"/>
  </r>
  <r>
    <d v="2025-12-26T12:15:00"/>
    <x v="0"/>
    <x v="2"/>
    <x v="0"/>
    <x v="0"/>
    <x v="0"/>
    <x v="0"/>
    <x v="1"/>
    <n v="10"/>
    <n v="9"/>
    <n v="10"/>
    <n v="8"/>
    <n v="10"/>
    <n v="9"/>
    <n v="10"/>
    <n v="10"/>
    <n v="10"/>
  </r>
  <r>
    <d v="2025-12-26T12:16:00"/>
    <x v="1"/>
    <x v="2"/>
    <x v="0"/>
    <x v="0"/>
    <x v="0"/>
    <x v="0"/>
    <x v="1"/>
    <n v="10"/>
    <n v="10"/>
    <n v="10"/>
    <n v="10"/>
    <n v="9"/>
    <n v="9"/>
    <n v="9"/>
    <n v="9"/>
    <n v="8"/>
  </r>
  <r>
    <d v="2025-12-26T12:16:00"/>
    <x v="0"/>
    <x v="3"/>
    <x v="0"/>
    <x v="0"/>
    <x v="0"/>
    <x v="5"/>
    <x v="0"/>
    <n v="8"/>
    <n v="8"/>
    <n v="8"/>
    <n v="8"/>
    <n v="8"/>
    <n v="8"/>
    <n v="8"/>
    <n v="8"/>
    <n v="8"/>
  </r>
  <r>
    <d v="2025-12-26T12:16:00"/>
    <x v="1"/>
    <x v="0"/>
    <x v="0"/>
    <x v="0"/>
    <x v="0"/>
    <x v="0"/>
    <x v="1"/>
    <n v="10"/>
    <n v="10"/>
    <n v="10"/>
    <n v="10"/>
    <n v="10"/>
    <n v="10"/>
    <n v="10"/>
    <n v="10"/>
    <n v="10"/>
  </r>
  <r>
    <d v="2025-12-26T12:16:00"/>
    <x v="1"/>
    <x v="3"/>
    <x v="0"/>
    <x v="0"/>
    <x v="0"/>
    <x v="6"/>
    <x v="0"/>
    <n v="8"/>
    <n v="8"/>
    <n v="6"/>
    <n v="8"/>
    <n v="7"/>
    <n v="8"/>
    <n v="5"/>
    <n v="6"/>
    <n v="7"/>
  </r>
  <r>
    <d v="2025-12-26T12:17:00"/>
    <x v="1"/>
    <x v="3"/>
    <x v="0"/>
    <x v="0"/>
    <x v="0"/>
    <x v="3"/>
    <x v="4"/>
    <n v="9"/>
    <n v="8"/>
    <n v="7"/>
    <n v="8"/>
    <n v="7"/>
    <n v="4"/>
    <n v="2"/>
    <n v="8"/>
    <n v="8"/>
  </r>
  <r>
    <d v="2025-12-26T12:19:00"/>
    <x v="0"/>
    <x v="3"/>
    <x v="0"/>
    <x v="0"/>
    <x v="0"/>
    <x v="5"/>
    <x v="2"/>
    <n v="10"/>
    <n v="10"/>
    <n v="9"/>
    <n v="8"/>
    <n v="7"/>
    <n v="9"/>
    <n v="9"/>
    <n v="8"/>
    <n v="8"/>
  </r>
  <r>
    <d v="2025-12-26T12:22:00"/>
    <x v="0"/>
    <x v="3"/>
    <x v="0"/>
    <x v="0"/>
    <x v="0"/>
    <x v="6"/>
    <x v="4"/>
    <n v="6"/>
    <n v="6"/>
    <n v="8"/>
    <n v="10"/>
    <n v="9"/>
    <n v="1"/>
    <n v="7"/>
    <n v="7"/>
    <n v="8"/>
  </r>
  <r>
    <d v="2025-12-26T12:23:00"/>
    <x v="1"/>
    <x v="3"/>
    <x v="0"/>
    <x v="0"/>
    <x v="0"/>
    <x v="7"/>
    <x v="0"/>
    <n v="8"/>
    <n v="8"/>
    <n v="8"/>
    <n v="8"/>
    <n v="8"/>
    <n v="8"/>
    <n v="9"/>
    <n v="5"/>
    <n v="9"/>
  </r>
  <r>
    <d v="2025-12-26T12:27:00"/>
    <x v="0"/>
    <x v="1"/>
    <x v="0"/>
    <x v="0"/>
    <x v="0"/>
    <x v="7"/>
    <x v="4"/>
    <n v="10"/>
    <n v="10"/>
    <n v="10"/>
    <n v="9"/>
    <n v="10"/>
    <n v="10"/>
    <n v="10"/>
    <n v="10"/>
    <n v="10"/>
  </r>
  <r>
    <d v="2025-12-26T12:28:00"/>
    <x v="0"/>
    <x v="4"/>
    <x v="1"/>
    <x v="0"/>
    <x v="0"/>
    <x v="2"/>
    <x v="4"/>
    <n v="1"/>
    <n v="1"/>
    <n v="2"/>
    <n v="1"/>
    <n v="1"/>
    <n v="1"/>
    <n v="1"/>
    <n v="1"/>
    <n v="1"/>
  </r>
  <r>
    <d v="2025-12-26T12:28:00"/>
    <x v="1"/>
    <x v="3"/>
    <x v="0"/>
    <x v="0"/>
    <x v="0"/>
    <x v="2"/>
    <x v="1"/>
    <n v="8"/>
    <n v="8"/>
    <n v="8"/>
    <n v="7"/>
    <n v="6"/>
    <n v="8"/>
    <n v="8"/>
    <n v="9"/>
    <n v="8"/>
  </r>
  <r>
    <d v="2025-12-26T12:29:00"/>
    <x v="0"/>
    <x v="3"/>
    <x v="0"/>
    <x v="0"/>
    <x v="0"/>
    <x v="5"/>
    <x v="2"/>
    <n v="10"/>
    <n v="10"/>
    <n v="10"/>
    <n v="10"/>
    <n v="10"/>
    <n v="10"/>
    <n v="10"/>
    <n v="10"/>
    <n v="10"/>
  </r>
  <r>
    <d v="2025-12-26T12:29:00"/>
    <x v="1"/>
    <x v="3"/>
    <x v="0"/>
    <x v="0"/>
    <x v="0"/>
    <x v="6"/>
    <x v="4"/>
    <n v="8"/>
    <n v="8"/>
    <n v="7"/>
    <n v="8"/>
    <n v="6"/>
    <n v="8"/>
    <n v="6"/>
    <n v="5"/>
    <n v="8"/>
  </r>
  <r>
    <d v="2025-12-26T12:31:00"/>
    <x v="0"/>
    <x v="3"/>
    <x v="0"/>
    <x v="0"/>
    <x v="0"/>
    <x v="4"/>
    <x v="2"/>
    <n v="10"/>
    <n v="10"/>
    <n v="10"/>
    <n v="8"/>
    <n v="8"/>
    <n v="8"/>
    <n v="8"/>
    <n v="8"/>
    <n v="8"/>
  </r>
  <r>
    <d v="2025-12-26T12:38:00"/>
    <x v="1"/>
    <x v="0"/>
    <x v="0"/>
    <x v="0"/>
    <x v="0"/>
    <x v="0"/>
    <x v="1"/>
    <n v="10"/>
    <n v="10"/>
    <n v="10"/>
    <n v="10"/>
    <n v="10"/>
    <n v="10"/>
    <n v="10"/>
    <n v="10"/>
    <n v="10"/>
  </r>
  <r>
    <d v="2025-12-26T12:41:00"/>
    <x v="0"/>
    <x v="0"/>
    <x v="0"/>
    <x v="0"/>
    <x v="0"/>
    <x v="4"/>
    <x v="0"/>
    <n v="10"/>
    <n v="10"/>
    <n v="10"/>
    <n v="10"/>
    <n v="10"/>
    <n v="10"/>
    <n v="10"/>
    <n v="10"/>
    <n v="8"/>
  </r>
  <r>
    <d v="2025-12-26T12:45:00"/>
    <x v="1"/>
    <x v="0"/>
    <x v="0"/>
    <x v="1"/>
    <x v="0"/>
    <x v="0"/>
    <x v="4"/>
    <n v="10"/>
    <n v="10"/>
    <n v="10"/>
    <n v="10"/>
    <n v="10"/>
    <n v="10"/>
    <n v="10"/>
    <n v="10"/>
    <n v="10"/>
  </r>
  <r>
    <d v="2025-12-26T12:45:00"/>
    <x v="0"/>
    <x v="1"/>
    <x v="0"/>
    <x v="0"/>
    <x v="0"/>
    <x v="5"/>
    <x v="4"/>
    <n v="8"/>
    <n v="7"/>
    <n v="7"/>
    <n v="8"/>
    <n v="7"/>
    <n v="8"/>
    <n v="7"/>
    <n v="7"/>
    <n v="8"/>
  </r>
  <r>
    <d v="2025-12-26T12:48:00"/>
    <x v="0"/>
    <x v="3"/>
    <x v="0"/>
    <x v="0"/>
    <x v="0"/>
    <x v="5"/>
    <x v="0"/>
    <n v="10"/>
    <n v="9"/>
    <n v="3"/>
    <n v="4"/>
    <n v="3"/>
    <n v="3"/>
    <n v="1"/>
    <n v="1"/>
    <n v="3"/>
  </r>
  <r>
    <d v="2025-12-26T12:54:00"/>
    <x v="1"/>
    <x v="0"/>
    <x v="0"/>
    <x v="0"/>
    <x v="0"/>
    <x v="2"/>
    <x v="1"/>
    <n v="10"/>
    <n v="10"/>
    <n v="9"/>
    <n v="10"/>
    <n v="9"/>
    <n v="10"/>
    <n v="9"/>
    <n v="10"/>
    <n v="9"/>
  </r>
  <r>
    <d v="2025-12-26T13:26:00"/>
    <x v="0"/>
    <x v="3"/>
    <x v="0"/>
    <x v="0"/>
    <x v="0"/>
    <x v="0"/>
    <x v="4"/>
    <n v="10"/>
    <n v="10"/>
    <n v="1"/>
    <n v="5"/>
    <n v="7"/>
    <n v="10"/>
    <n v="9"/>
    <n v="9"/>
    <n v="10"/>
  </r>
  <r>
    <d v="2025-12-26T13:56:00"/>
    <x v="0"/>
    <x v="1"/>
    <x v="0"/>
    <x v="1"/>
    <x v="0"/>
    <x v="7"/>
    <x v="0"/>
    <n v="5"/>
    <n v="5"/>
    <n v="4"/>
    <n v="8"/>
    <n v="5"/>
    <n v="7"/>
    <n v="7"/>
    <n v="7"/>
    <n v="7"/>
  </r>
  <r>
    <d v="2025-12-26T15:02:00"/>
    <x v="0"/>
    <x v="2"/>
    <x v="0"/>
    <x v="0"/>
    <x v="1"/>
    <x v="2"/>
    <x v="1"/>
    <n v="9"/>
    <n v="9"/>
    <n v="9"/>
    <n v="7"/>
    <n v="7"/>
    <n v="8"/>
    <n v="8"/>
    <n v="6"/>
    <n v="5"/>
  </r>
  <r>
    <d v="2025-12-26T16:31:00"/>
    <x v="1"/>
    <x v="0"/>
    <x v="0"/>
    <x v="0"/>
    <x v="0"/>
    <x v="0"/>
    <x v="1"/>
    <n v="5"/>
    <n v="5"/>
    <n v="5"/>
    <n v="5"/>
    <n v="5"/>
    <n v="8"/>
    <n v="4"/>
    <n v="5"/>
    <n v="5"/>
  </r>
  <r>
    <d v="2025-12-26T16:46:00"/>
    <x v="0"/>
    <x v="3"/>
    <x v="0"/>
    <x v="1"/>
    <x v="0"/>
    <x v="4"/>
    <x v="0"/>
    <n v="8"/>
    <n v="9"/>
    <n v="9"/>
    <n v="9"/>
    <n v="9"/>
    <n v="8"/>
    <n v="8"/>
    <n v="8"/>
    <n v="9"/>
  </r>
  <r>
    <d v="2025-12-26T17:04:00"/>
    <x v="0"/>
    <x v="0"/>
    <x v="0"/>
    <x v="1"/>
    <x v="0"/>
    <x v="7"/>
    <x v="1"/>
    <n v="9"/>
    <n v="9"/>
    <n v="7"/>
    <n v="6"/>
    <n v="7"/>
    <n v="5"/>
    <n v="6"/>
    <n v="8"/>
    <n v="5"/>
  </r>
  <r>
    <d v="2025-12-26T19:26:00"/>
    <x v="0"/>
    <x v="4"/>
    <x v="1"/>
    <x v="0"/>
    <x v="0"/>
    <x v="4"/>
    <x v="0"/>
    <n v="9"/>
    <n v="9"/>
    <n v="9"/>
    <n v="9"/>
    <n v="8"/>
    <n v="9"/>
    <n v="9"/>
    <n v="8"/>
    <n v="7"/>
  </r>
  <r>
    <d v="2025-12-27T08:39:00"/>
    <x v="0"/>
    <x v="3"/>
    <x v="0"/>
    <x v="0"/>
    <x v="1"/>
    <x v="6"/>
    <x v="4"/>
    <n v="9"/>
    <n v="10"/>
    <n v="9"/>
    <n v="10"/>
    <n v="10"/>
    <n v="5"/>
    <n v="10"/>
    <n v="7"/>
    <n v="9"/>
  </r>
  <r>
    <d v="2025-12-28T14:24:00"/>
    <x v="0"/>
    <x v="1"/>
    <x v="1"/>
    <x v="0"/>
    <x v="0"/>
    <x v="2"/>
    <x v="4"/>
    <n v="10"/>
    <n v="10"/>
    <n v="10"/>
    <n v="10"/>
    <n v="10"/>
    <n v="10"/>
    <n v="10"/>
    <n v="10"/>
    <n v="10"/>
  </r>
  <r>
    <d v="2025-12-28T14:30:00"/>
    <x v="0"/>
    <x v="0"/>
    <x v="0"/>
    <x v="2"/>
    <x v="0"/>
    <x v="0"/>
    <x v="1"/>
    <n v="7"/>
    <n v="5"/>
    <n v="3"/>
    <n v="5"/>
    <n v="4"/>
    <n v="3"/>
    <n v="5"/>
    <n v="6"/>
    <n v="6"/>
  </r>
  <r>
    <d v="2025-12-28T15:02:00"/>
    <x v="1"/>
    <x v="1"/>
    <x v="0"/>
    <x v="1"/>
    <x v="0"/>
    <x v="3"/>
    <x v="4"/>
    <n v="5"/>
    <n v="5"/>
    <n v="4"/>
    <n v="4"/>
    <n v="2"/>
    <n v="3"/>
    <n v="2"/>
    <n v="3"/>
    <n v="3"/>
  </r>
  <r>
    <d v="2025-12-28T15:30:00"/>
    <x v="0"/>
    <x v="1"/>
    <x v="0"/>
    <x v="0"/>
    <x v="0"/>
    <x v="1"/>
    <x v="4"/>
    <n v="4"/>
    <n v="3"/>
    <n v="1"/>
    <n v="5"/>
    <n v="4"/>
    <n v="3"/>
    <n v="1"/>
    <n v="3"/>
    <n v="5"/>
  </r>
  <r>
    <d v="2025-12-28T15:33:00"/>
    <x v="1"/>
    <x v="0"/>
    <x v="0"/>
    <x v="0"/>
    <x v="0"/>
    <x v="4"/>
    <x v="1"/>
    <n v="7"/>
    <n v="7"/>
    <n v="8"/>
    <n v="9"/>
    <n v="8"/>
    <n v="10"/>
    <n v="9"/>
    <n v="9"/>
    <n v="9"/>
  </r>
  <r>
    <d v="2025-12-28T15:34:00"/>
    <x v="1"/>
    <x v="1"/>
    <x v="0"/>
    <x v="1"/>
    <x v="1"/>
    <x v="6"/>
    <x v="0"/>
    <n v="6"/>
    <n v="6"/>
    <n v="5"/>
    <n v="5"/>
    <n v="5"/>
    <n v="1"/>
    <n v="5"/>
    <n v="5"/>
    <n v="5"/>
  </r>
  <r>
    <d v="2025-12-28T15:37:00"/>
    <x v="0"/>
    <x v="3"/>
    <x v="0"/>
    <x v="1"/>
    <x v="0"/>
    <x v="7"/>
    <x v="4"/>
    <n v="3"/>
    <n v="3"/>
    <n v="3"/>
    <n v="5"/>
    <n v="3"/>
    <n v="3"/>
    <n v="3"/>
    <n v="3"/>
    <n v="4"/>
  </r>
  <r>
    <d v="2025-12-28T15:39:00"/>
    <x v="1"/>
    <x v="3"/>
    <x v="0"/>
    <x v="0"/>
    <x v="1"/>
    <x v="4"/>
    <x v="2"/>
    <n v="8"/>
    <n v="8"/>
    <n v="4"/>
    <n v="2"/>
    <n v="6"/>
    <n v="3"/>
    <n v="8"/>
    <n v="4"/>
    <n v="8"/>
  </r>
  <r>
    <d v="2025-12-28T15:48:00"/>
    <x v="1"/>
    <x v="2"/>
    <x v="0"/>
    <x v="3"/>
    <x v="0"/>
    <x v="0"/>
    <x v="1"/>
    <n v="5"/>
    <n v="5"/>
    <n v="5"/>
    <n v="5"/>
    <n v="5"/>
    <n v="10"/>
    <n v="5"/>
    <n v="5"/>
    <n v="10"/>
  </r>
  <r>
    <d v="2025-12-28T16:27:00"/>
    <x v="0"/>
    <x v="3"/>
    <x v="0"/>
    <x v="0"/>
    <x v="1"/>
    <x v="4"/>
    <x v="0"/>
    <n v="5"/>
    <n v="10"/>
    <n v="2"/>
    <n v="8"/>
    <n v="5"/>
    <n v="5"/>
    <n v="1"/>
    <n v="4"/>
    <n v="5"/>
  </r>
  <r>
    <d v="2025-12-28T16:30:00"/>
    <x v="1"/>
    <x v="1"/>
    <x v="0"/>
    <x v="1"/>
    <x v="0"/>
    <x v="1"/>
    <x v="4"/>
    <n v="8"/>
    <n v="9"/>
    <n v="9"/>
    <n v="9"/>
    <n v="3"/>
    <n v="3"/>
    <n v="2"/>
    <n v="2"/>
    <n v="6"/>
  </r>
  <r>
    <d v="2025-12-28T16:39:00"/>
    <x v="1"/>
    <x v="1"/>
    <x v="1"/>
    <x v="3"/>
    <x v="1"/>
    <x v="0"/>
    <x v="2"/>
    <n v="5"/>
    <n v="5"/>
    <n v="5"/>
    <n v="5"/>
    <n v="5"/>
    <n v="5"/>
    <n v="5"/>
    <n v="5"/>
    <n v="5"/>
  </r>
  <r>
    <d v="2025-12-28T16:44:00"/>
    <x v="0"/>
    <x v="4"/>
    <x v="0"/>
    <x v="0"/>
    <x v="0"/>
    <x v="0"/>
    <x v="4"/>
    <n v="8"/>
    <n v="8"/>
    <n v="8"/>
    <n v="8"/>
    <n v="9"/>
    <n v="7"/>
    <n v="9"/>
    <n v="10"/>
    <n v="8"/>
  </r>
  <r>
    <d v="2025-12-28T16:47:00"/>
    <x v="0"/>
    <x v="3"/>
    <x v="0"/>
    <x v="1"/>
    <x v="0"/>
    <x v="5"/>
    <x v="4"/>
    <n v="8"/>
    <n v="7"/>
    <n v="9"/>
    <n v="8"/>
    <n v="8"/>
    <n v="8"/>
    <n v="6"/>
    <n v="6"/>
    <n v="7"/>
  </r>
  <r>
    <d v="2025-12-28T17:42:00"/>
    <x v="0"/>
    <x v="5"/>
    <x v="0"/>
    <x v="3"/>
    <x v="2"/>
    <x v="0"/>
    <x v="1"/>
    <n v="6"/>
    <n v="2"/>
    <n v="3"/>
    <n v="2"/>
    <n v="3"/>
    <n v="7"/>
    <n v="5"/>
    <n v="5"/>
    <n v="7"/>
  </r>
  <r>
    <d v="2025-12-28T17:55:00"/>
    <x v="1"/>
    <x v="0"/>
    <x v="0"/>
    <x v="0"/>
    <x v="0"/>
    <x v="0"/>
    <x v="1"/>
    <n v="8"/>
    <n v="8"/>
    <n v="8"/>
    <n v="8"/>
    <n v="8"/>
    <n v="8"/>
    <n v="8"/>
    <n v="8"/>
    <n v="8"/>
  </r>
  <r>
    <d v="2025-12-28T18:37:00"/>
    <x v="1"/>
    <x v="5"/>
    <x v="0"/>
    <x v="1"/>
    <x v="2"/>
    <x v="2"/>
    <x v="1"/>
    <n v="7"/>
    <n v="7"/>
    <n v="5"/>
    <n v="5"/>
    <n v="6"/>
    <n v="5"/>
    <n v="8"/>
    <n v="6"/>
    <n v="8"/>
  </r>
  <r>
    <d v="2025-12-28T19:23:00"/>
    <x v="0"/>
    <x v="5"/>
    <x v="0"/>
    <x v="0"/>
    <x v="2"/>
    <x v="0"/>
    <x v="0"/>
    <n v="8"/>
    <n v="9"/>
    <n v="5"/>
    <n v="5"/>
    <n v="5"/>
    <n v="5"/>
    <n v="1"/>
    <n v="5"/>
    <n v="5"/>
  </r>
  <r>
    <d v="2025-12-28T19:33:00"/>
    <x v="0"/>
    <x v="1"/>
    <x v="0"/>
    <x v="1"/>
    <x v="0"/>
    <x v="0"/>
    <x v="4"/>
    <n v="10"/>
    <n v="8"/>
    <n v="8"/>
    <n v="7"/>
    <n v="7"/>
    <n v="6"/>
    <n v="7"/>
    <n v="6"/>
    <n v="8"/>
  </r>
  <r>
    <d v="2025-12-28T19:38:00"/>
    <x v="0"/>
    <x v="3"/>
    <x v="0"/>
    <x v="2"/>
    <x v="0"/>
    <x v="0"/>
    <x v="0"/>
    <n v="6"/>
    <n v="7"/>
    <n v="5"/>
    <n v="5"/>
    <n v="5"/>
    <n v="5"/>
    <n v="5"/>
    <n v="5"/>
    <n v="5"/>
  </r>
  <r>
    <d v="2025-12-28T19:40:00"/>
    <x v="0"/>
    <x v="1"/>
    <x v="0"/>
    <x v="0"/>
    <x v="0"/>
    <x v="0"/>
    <x v="4"/>
    <n v="9"/>
    <n v="9"/>
    <n v="8"/>
    <n v="9"/>
    <n v="9"/>
    <n v="9"/>
    <n v="7"/>
    <n v="8"/>
    <n v="8"/>
  </r>
  <r>
    <d v="2025-12-28T19:41:00"/>
    <x v="1"/>
    <x v="3"/>
    <x v="1"/>
    <x v="0"/>
    <x v="0"/>
    <x v="0"/>
    <x v="1"/>
    <n v="5"/>
    <n v="5"/>
    <n v="10"/>
    <n v="4"/>
    <n v="4"/>
    <n v="5"/>
    <n v="5"/>
    <n v="8"/>
    <n v="8"/>
  </r>
  <r>
    <d v="2025-12-28T19:48:00"/>
    <x v="1"/>
    <x v="1"/>
    <x v="0"/>
    <x v="0"/>
    <x v="0"/>
    <x v="0"/>
    <x v="4"/>
    <n v="10"/>
    <n v="9"/>
    <n v="9"/>
    <n v="9"/>
    <n v="9"/>
    <n v="9"/>
    <n v="10"/>
    <n v="9"/>
    <n v="10"/>
  </r>
  <r>
    <d v="2025-12-28T20:05:00"/>
    <x v="0"/>
    <x v="1"/>
    <x v="0"/>
    <x v="3"/>
    <x v="0"/>
    <x v="2"/>
    <x v="4"/>
    <n v="10"/>
    <n v="10"/>
    <n v="10"/>
    <n v="10"/>
    <n v="10"/>
    <n v="10"/>
    <n v="10"/>
    <n v="10"/>
    <n v="10"/>
  </r>
  <r>
    <d v="2025-12-28T20:08:00"/>
    <x v="0"/>
    <x v="3"/>
    <x v="0"/>
    <x v="2"/>
    <x v="0"/>
    <x v="2"/>
    <x v="0"/>
    <n v="10"/>
    <n v="9"/>
    <n v="9"/>
    <n v="9"/>
    <n v="10"/>
    <n v="9"/>
    <n v="9"/>
    <n v="8"/>
    <n v="9"/>
  </r>
  <r>
    <d v="2025-12-28T20:11:00"/>
    <x v="0"/>
    <x v="3"/>
    <x v="1"/>
    <x v="0"/>
    <x v="0"/>
    <x v="2"/>
    <x v="3"/>
    <n v="6"/>
    <n v="10"/>
    <n v="8"/>
    <n v="9"/>
    <n v="9"/>
    <n v="9"/>
    <n v="8"/>
    <n v="8"/>
    <n v="9"/>
  </r>
  <r>
    <d v="2025-12-28T20:22:00"/>
    <x v="0"/>
    <x v="3"/>
    <x v="0"/>
    <x v="0"/>
    <x v="0"/>
    <x v="2"/>
    <x v="4"/>
    <n v="10"/>
    <n v="9"/>
    <n v="9"/>
    <n v="9"/>
    <n v="10"/>
    <n v="9"/>
    <n v="8"/>
    <n v="8"/>
    <n v="10"/>
  </r>
  <r>
    <d v="2025-12-28T20:38:00"/>
    <x v="1"/>
    <x v="3"/>
    <x v="0"/>
    <x v="0"/>
    <x v="0"/>
    <x v="2"/>
    <x v="4"/>
    <n v="10"/>
    <n v="10"/>
    <n v="10"/>
    <n v="10"/>
    <n v="10"/>
    <n v="1"/>
    <n v="10"/>
    <n v="10"/>
    <n v="10"/>
  </r>
  <r>
    <d v="2025-12-28T20:38:00"/>
    <x v="1"/>
    <x v="3"/>
    <x v="0"/>
    <x v="0"/>
    <x v="0"/>
    <x v="5"/>
    <x v="4"/>
    <n v="5"/>
    <n v="8"/>
    <n v="4"/>
    <n v="9"/>
    <n v="7"/>
    <n v="5"/>
    <n v="7"/>
    <n v="8"/>
    <n v="10"/>
  </r>
  <r>
    <d v="2025-12-28T21:21:00"/>
    <x v="0"/>
    <x v="3"/>
    <x v="0"/>
    <x v="1"/>
    <x v="0"/>
    <x v="2"/>
    <x v="1"/>
    <n v="9"/>
    <n v="7"/>
    <n v="5"/>
    <n v="7"/>
    <n v="5"/>
    <n v="8"/>
    <n v="5"/>
    <n v="5"/>
    <n v="7"/>
  </r>
  <r>
    <d v="2025-12-28T21:37:00"/>
    <x v="0"/>
    <x v="1"/>
    <x v="0"/>
    <x v="0"/>
    <x v="0"/>
    <x v="5"/>
    <x v="2"/>
    <n v="4"/>
    <n v="6"/>
    <n v="5"/>
    <n v="5"/>
    <n v="4"/>
    <n v="4"/>
    <n v="3"/>
    <n v="4"/>
    <n v="3"/>
  </r>
  <r>
    <d v="2025-12-28T21:39:00"/>
    <x v="1"/>
    <x v="2"/>
    <x v="0"/>
    <x v="0"/>
    <x v="0"/>
    <x v="2"/>
    <x v="1"/>
    <n v="8"/>
    <n v="7"/>
    <n v="5"/>
    <n v="7"/>
    <n v="7"/>
    <n v="5"/>
    <n v="5"/>
    <n v="7"/>
    <n v="7"/>
  </r>
  <r>
    <d v="2025-12-28T21:40:00"/>
    <x v="0"/>
    <x v="5"/>
    <x v="0"/>
    <x v="0"/>
    <x v="1"/>
    <x v="6"/>
    <x v="3"/>
    <n v="6"/>
    <n v="6"/>
    <n v="5"/>
    <n v="5"/>
    <n v="5"/>
    <n v="5"/>
    <n v="5"/>
    <n v="5"/>
    <n v="5"/>
  </r>
  <r>
    <d v="2025-12-28T21:41:00"/>
    <x v="0"/>
    <x v="3"/>
    <x v="1"/>
    <x v="0"/>
    <x v="0"/>
    <x v="4"/>
    <x v="1"/>
    <n v="8"/>
    <n v="8"/>
    <n v="5"/>
    <n v="8"/>
    <n v="6"/>
    <n v="9"/>
    <n v="5"/>
    <n v="7"/>
    <n v="8"/>
  </r>
  <r>
    <d v="2025-12-28T21:43:00"/>
    <x v="1"/>
    <x v="0"/>
    <x v="0"/>
    <x v="0"/>
    <x v="0"/>
    <x v="7"/>
    <x v="0"/>
    <n v="6"/>
    <n v="6"/>
    <n v="3"/>
    <n v="6"/>
    <n v="5"/>
    <n v="6"/>
    <n v="5"/>
    <n v="6"/>
    <n v="6"/>
  </r>
  <r>
    <d v="2025-12-29T04:58:00"/>
    <x v="0"/>
    <x v="5"/>
    <x v="0"/>
    <x v="0"/>
    <x v="0"/>
    <x v="0"/>
    <x v="0"/>
    <n v="8"/>
    <n v="8"/>
    <n v="8"/>
    <n v="10"/>
    <n v="10"/>
    <n v="10"/>
    <n v="10"/>
    <n v="10"/>
    <n v="10"/>
  </r>
  <r>
    <d v="2025-12-29T06:44:00"/>
    <x v="0"/>
    <x v="4"/>
    <x v="0"/>
    <x v="1"/>
    <x v="0"/>
    <x v="3"/>
    <x v="3"/>
    <n v="8"/>
    <n v="8"/>
    <n v="7"/>
    <n v="8"/>
    <n v="8"/>
    <n v="7"/>
    <n v="7"/>
    <n v="7"/>
    <n v="8"/>
  </r>
  <r>
    <d v="2025-12-29T06:45:00"/>
    <x v="1"/>
    <x v="2"/>
    <x v="0"/>
    <x v="0"/>
    <x v="0"/>
    <x v="0"/>
    <x v="1"/>
    <n v="5"/>
    <n v="5"/>
    <n v="5"/>
    <n v="5"/>
    <n v="5"/>
    <n v="5"/>
    <n v="5"/>
    <n v="5"/>
    <n v="5"/>
  </r>
  <r>
    <d v="2025-12-29T06:47:00"/>
    <x v="0"/>
    <x v="5"/>
    <x v="0"/>
    <x v="0"/>
    <x v="0"/>
    <x v="5"/>
    <x v="4"/>
    <n v="8"/>
    <n v="8"/>
    <n v="5"/>
    <n v="8"/>
    <n v="5"/>
    <n v="5"/>
    <n v="6"/>
    <n v="6"/>
    <n v="5"/>
  </r>
  <r>
    <d v="2025-12-29T06:47:00"/>
    <x v="1"/>
    <x v="3"/>
    <x v="0"/>
    <x v="0"/>
    <x v="0"/>
    <x v="4"/>
    <x v="1"/>
    <n v="6"/>
    <n v="7"/>
    <n v="6"/>
    <n v="8"/>
    <n v="6"/>
    <n v="7"/>
    <n v="6"/>
    <n v="6"/>
    <n v="7"/>
  </r>
  <r>
    <d v="2025-12-29T08:21:00"/>
    <x v="1"/>
    <x v="0"/>
    <x v="0"/>
    <x v="0"/>
    <x v="0"/>
    <x v="0"/>
    <x v="0"/>
    <n v="9"/>
    <n v="10"/>
    <n v="8"/>
    <n v="8"/>
    <n v="9"/>
    <n v="9"/>
    <n v="8"/>
    <n v="6"/>
    <n v="9"/>
  </r>
  <r>
    <d v="2025-12-29T08:33:00"/>
    <x v="0"/>
    <x v="0"/>
    <x v="0"/>
    <x v="0"/>
    <x v="0"/>
    <x v="2"/>
    <x v="1"/>
    <n v="10"/>
    <n v="5"/>
    <n v="8"/>
    <n v="8"/>
    <n v="10"/>
    <n v="10"/>
    <n v="10"/>
    <n v="10"/>
    <n v="10"/>
  </r>
  <r>
    <d v="2025-12-29T08:39:00"/>
    <x v="0"/>
    <x v="1"/>
    <x v="0"/>
    <x v="0"/>
    <x v="0"/>
    <x v="7"/>
    <x v="0"/>
    <n v="7"/>
    <n v="7"/>
    <n v="7"/>
    <n v="7"/>
    <n v="7"/>
    <n v="7"/>
    <n v="7"/>
    <n v="7"/>
    <n v="8"/>
  </r>
  <r>
    <d v="2025-12-29T08:52:00"/>
    <x v="0"/>
    <x v="1"/>
    <x v="0"/>
    <x v="0"/>
    <x v="0"/>
    <x v="0"/>
    <x v="0"/>
    <n v="5"/>
    <n v="10"/>
    <n v="5"/>
    <n v="5"/>
    <n v="5"/>
    <n v="5"/>
    <n v="8"/>
    <n v="5"/>
    <n v="6"/>
  </r>
  <r>
    <d v="2025-12-29T09:03:00"/>
    <x v="0"/>
    <x v="1"/>
    <x v="0"/>
    <x v="0"/>
    <x v="0"/>
    <x v="0"/>
    <x v="0"/>
    <n v="10"/>
    <n v="10"/>
    <n v="10"/>
    <n v="10"/>
    <n v="10"/>
    <n v="10"/>
    <n v="10"/>
    <n v="10"/>
    <n v="10"/>
  </r>
  <r>
    <d v="2025-12-29T09:10:00"/>
    <x v="1"/>
    <x v="3"/>
    <x v="0"/>
    <x v="0"/>
    <x v="0"/>
    <x v="1"/>
    <x v="4"/>
    <n v="7"/>
    <n v="6"/>
    <n v="8"/>
    <n v="8"/>
    <n v="7"/>
    <n v="6"/>
    <n v="5"/>
    <n v="5"/>
    <n v="8"/>
  </r>
  <r>
    <d v="2025-12-29T09:34:00"/>
    <x v="1"/>
    <x v="4"/>
    <x v="0"/>
    <x v="0"/>
    <x v="0"/>
    <x v="7"/>
    <x v="0"/>
    <n v="8"/>
    <n v="8"/>
    <n v="6"/>
    <n v="7"/>
    <n v="6"/>
    <n v="7"/>
    <n v="5"/>
    <n v="5"/>
    <n v="5"/>
  </r>
  <r>
    <d v="2025-12-29T09:36:00"/>
    <x v="0"/>
    <x v="1"/>
    <x v="0"/>
    <x v="0"/>
    <x v="0"/>
    <x v="4"/>
    <x v="4"/>
    <n v="7"/>
    <n v="8"/>
    <n v="8"/>
    <n v="8"/>
    <n v="8"/>
    <n v="8"/>
    <n v="8"/>
    <n v="8"/>
    <n v="8"/>
  </r>
  <r>
    <d v="2025-12-29T09:50:00"/>
    <x v="0"/>
    <x v="3"/>
    <x v="0"/>
    <x v="0"/>
    <x v="0"/>
    <x v="2"/>
    <x v="2"/>
    <n v="1"/>
    <n v="1"/>
    <n v="1"/>
    <n v="1"/>
    <n v="1"/>
    <n v="1"/>
    <n v="1"/>
    <n v="1"/>
    <n v="1"/>
  </r>
  <r>
    <d v="2025-12-29T10:03:00"/>
    <x v="0"/>
    <x v="1"/>
    <x v="0"/>
    <x v="0"/>
    <x v="0"/>
    <x v="4"/>
    <x v="3"/>
    <n v="10"/>
    <n v="10"/>
    <n v="10"/>
    <n v="10"/>
    <n v="10"/>
    <n v="10"/>
    <n v="10"/>
    <n v="10"/>
    <n v="10"/>
  </r>
  <r>
    <d v="2025-12-29T10:05:00"/>
    <x v="0"/>
    <x v="1"/>
    <x v="0"/>
    <x v="1"/>
    <x v="0"/>
    <x v="0"/>
    <x v="3"/>
    <n v="1"/>
    <n v="1"/>
    <n v="1"/>
    <n v="1"/>
    <n v="1"/>
    <n v="1"/>
    <n v="1"/>
    <n v="1"/>
    <n v="1"/>
  </r>
  <r>
    <d v="2025-12-29T11:50:00"/>
    <x v="0"/>
    <x v="1"/>
    <x v="0"/>
    <x v="1"/>
    <x v="0"/>
    <x v="0"/>
    <x v="1"/>
    <n v="9"/>
    <n v="9"/>
    <n v="9"/>
    <n v="9"/>
    <n v="9"/>
    <n v="9"/>
    <n v="9"/>
    <n v="8"/>
    <n v="9"/>
  </r>
  <r>
    <d v="2025-12-29T12:10:00"/>
    <x v="0"/>
    <x v="1"/>
    <x v="0"/>
    <x v="0"/>
    <x v="0"/>
    <x v="1"/>
    <x v="1"/>
    <n v="8"/>
    <n v="9"/>
    <n v="8"/>
    <n v="6"/>
    <n v="8"/>
    <n v="8"/>
    <n v="8"/>
    <n v="8"/>
    <n v="6"/>
  </r>
  <r>
    <d v="2025-12-29T13:01:00"/>
    <x v="1"/>
    <x v="3"/>
    <x v="0"/>
    <x v="1"/>
    <x v="0"/>
    <x v="5"/>
    <x v="0"/>
    <n v="4"/>
    <n v="1"/>
    <n v="1"/>
    <n v="5"/>
    <n v="1"/>
    <n v="3"/>
    <n v="1"/>
    <n v="1"/>
    <n v="5"/>
  </r>
  <r>
    <d v="2025-12-29T13:02:00"/>
    <x v="0"/>
    <x v="5"/>
    <x v="0"/>
    <x v="0"/>
    <x v="0"/>
    <x v="1"/>
    <x v="3"/>
    <n v="8"/>
    <n v="8"/>
    <n v="6"/>
    <n v="9"/>
    <n v="8"/>
    <n v="7"/>
    <n v="7"/>
    <n v="7"/>
    <n v="7"/>
  </r>
  <r>
    <d v="2025-12-29T13:03:00"/>
    <x v="0"/>
    <x v="1"/>
    <x v="1"/>
    <x v="0"/>
    <x v="0"/>
    <x v="7"/>
    <x v="2"/>
    <n v="6"/>
    <n v="6"/>
    <n v="6"/>
    <n v="6"/>
    <n v="6"/>
    <n v="6"/>
    <n v="6"/>
    <n v="6"/>
    <n v="6"/>
  </r>
  <r>
    <d v="2025-12-29T13:04:00"/>
    <x v="1"/>
    <x v="4"/>
    <x v="0"/>
    <x v="1"/>
    <x v="1"/>
    <x v="6"/>
    <x v="3"/>
    <n v="1"/>
    <n v="1"/>
    <n v="1"/>
    <n v="5"/>
    <n v="1"/>
    <n v="1"/>
    <n v="1"/>
    <n v="1"/>
    <n v="5"/>
  </r>
  <r>
    <d v="2025-12-29T13:05:00"/>
    <x v="1"/>
    <x v="1"/>
    <x v="0"/>
    <x v="0"/>
    <x v="0"/>
    <x v="6"/>
    <x v="1"/>
    <n v="4"/>
    <n v="4"/>
    <n v="2"/>
    <n v="5"/>
    <n v="1"/>
    <n v="1"/>
    <n v="1"/>
    <n v="4"/>
    <n v="4"/>
  </r>
  <r>
    <d v="2025-12-29T13:06:00"/>
    <x v="0"/>
    <x v="2"/>
    <x v="0"/>
    <x v="0"/>
    <x v="0"/>
    <x v="2"/>
    <x v="1"/>
    <n v="7"/>
    <n v="7"/>
    <n v="7"/>
    <n v="7"/>
    <n v="7"/>
    <n v="7"/>
    <n v="7"/>
    <n v="7"/>
    <n v="8"/>
  </r>
  <r>
    <d v="2025-12-29T14:09:00"/>
    <x v="0"/>
    <x v="4"/>
    <x v="0"/>
    <x v="1"/>
    <x v="0"/>
    <x v="5"/>
    <x v="0"/>
    <n v="10"/>
    <n v="9"/>
    <n v="10"/>
    <n v="10"/>
    <n v="10"/>
    <n v="8"/>
    <n v="9"/>
    <n v="9"/>
    <n v="9"/>
  </r>
  <r>
    <d v="2025-12-29T14:10:00"/>
    <x v="0"/>
    <x v="2"/>
    <x v="0"/>
    <x v="0"/>
    <x v="0"/>
    <x v="0"/>
    <x v="4"/>
    <n v="10"/>
    <n v="10"/>
    <n v="10"/>
    <n v="10"/>
    <n v="10"/>
    <n v="10"/>
    <n v="10"/>
    <n v="10"/>
    <n v="10"/>
  </r>
  <r>
    <d v="2025-12-29T14:26:00"/>
    <x v="1"/>
    <x v="0"/>
    <x v="0"/>
    <x v="0"/>
    <x v="0"/>
    <x v="7"/>
    <x v="1"/>
    <n v="8"/>
    <n v="8"/>
    <n v="5"/>
    <n v="8"/>
    <n v="8"/>
    <n v="8"/>
    <n v="7"/>
    <n v="7"/>
    <n v="8"/>
  </r>
  <r>
    <d v="2025-12-29T14:27:00"/>
    <x v="0"/>
    <x v="1"/>
    <x v="0"/>
    <x v="0"/>
    <x v="0"/>
    <x v="6"/>
    <x v="3"/>
    <n v="1"/>
    <n v="1"/>
    <n v="1"/>
    <n v="5"/>
    <n v="1"/>
    <n v="1"/>
    <n v="1"/>
    <n v="5"/>
    <n v="5"/>
  </r>
  <r>
    <d v="2025-12-29T14:28:00"/>
    <x v="1"/>
    <x v="4"/>
    <x v="0"/>
    <x v="0"/>
    <x v="0"/>
    <x v="6"/>
    <x v="3"/>
    <n v="6"/>
    <n v="6"/>
    <n v="6"/>
    <n v="8"/>
    <n v="6"/>
    <n v="3"/>
    <n v="5"/>
    <n v="5"/>
    <n v="4"/>
  </r>
  <r>
    <d v="2025-12-29T14:29:00"/>
    <x v="1"/>
    <x v="4"/>
    <x v="0"/>
    <x v="1"/>
    <x v="0"/>
    <x v="6"/>
    <x v="2"/>
    <n v="6"/>
    <n v="6"/>
    <n v="4"/>
    <n v="5"/>
    <n v="5"/>
    <n v="1"/>
    <n v="5"/>
    <n v="4"/>
    <n v="5"/>
  </r>
  <r>
    <d v="2025-12-29T14:29:00"/>
    <x v="0"/>
    <x v="5"/>
    <x v="0"/>
    <x v="1"/>
    <x v="0"/>
    <x v="3"/>
    <x v="4"/>
    <n v="5"/>
    <n v="5"/>
    <n v="1"/>
    <n v="4"/>
    <n v="2"/>
    <n v="1"/>
    <n v="1"/>
    <n v="1"/>
    <n v="5"/>
  </r>
  <r>
    <d v="2025-12-29T14:31:00"/>
    <x v="0"/>
    <x v="3"/>
    <x v="0"/>
    <x v="1"/>
    <x v="0"/>
    <x v="3"/>
    <x v="0"/>
    <n v="8"/>
    <n v="9"/>
    <n v="5"/>
    <n v="5"/>
    <n v="5"/>
    <n v="4"/>
    <n v="5"/>
    <n v="5"/>
    <n v="5"/>
  </r>
  <r>
    <d v="2025-12-29T14:31:00"/>
    <x v="1"/>
    <x v="2"/>
    <x v="0"/>
    <x v="0"/>
    <x v="0"/>
    <x v="0"/>
    <x v="1"/>
    <n v="9"/>
    <n v="9"/>
    <n v="9"/>
    <n v="9"/>
    <n v="7"/>
    <n v="10"/>
    <n v="5"/>
    <n v="5"/>
    <n v="9"/>
  </r>
  <r>
    <d v="2025-12-29T14:32:00"/>
    <x v="1"/>
    <x v="0"/>
    <x v="0"/>
    <x v="2"/>
    <x v="0"/>
    <x v="5"/>
    <x v="1"/>
    <n v="5"/>
    <n v="5"/>
    <n v="5"/>
    <n v="5"/>
    <n v="5"/>
    <n v="5"/>
    <n v="5"/>
    <n v="5"/>
    <n v="5"/>
  </r>
  <r>
    <d v="2025-12-29T14:33:00"/>
    <x v="0"/>
    <x v="2"/>
    <x v="0"/>
    <x v="0"/>
    <x v="0"/>
    <x v="4"/>
    <x v="1"/>
    <n v="9"/>
    <n v="9"/>
    <n v="5"/>
    <n v="9"/>
    <n v="8"/>
    <n v="10"/>
    <n v="5"/>
    <n v="5"/>
    <n v="7"/>
  </r>
  <r>
    <d v="2025-12-29T14:37:00"/>
    <x v="1"/>
    <x v="2"/>
    <x v="0"/>
    <x v="0"/>
    <x v="0"/>
    <x v="0"/>
    <x v="1"/>
    <n v="5"/>
    <n v="5"/>
    <n v="5"/>
    <n v="6"/>
    <n v="6"/>
    <n v="6"/>
    <n v="6"/>
    <n v="6"/>
    <n v="6"/>
  </r>
  <r>
    <d v="2025-12-29T14:43:00"/>
    <x v="0"/>
    <x v="5"/>
    <x v="0"/>
    <x v="0"/>
    <x v="2"/>
    <x v="2"/>
    <x v="1"/>
    <n v="8"/>
    <n v="8"/>
    <n v="8"/>
    <n v="8"/>
    <n v="10"/>
    <n v="10"/>
    <n v="10"/>
    <n v="10"/>
    <n v="10"/>
  </r>
  <r>
    <d v="2025-12-29T15:18:00"/>
    <x v="1"/>
    <x v="4"/>
    <x v="0"/>
    <x v="0"/>
    <x v="0"/>
    <x v="6"/>
    <x v="3"/>
    <n v="8"/>
    <n v="8"/>
    <n v="8"/>
    <n v="8"/>
    <n v="8"/>
    <n v="8"/>
    <n v="5"/>
    <n v="7"/>
    <n v="8"/>
  </r>
  <r>
    <d v="2025-12-29T15:23:00"/>
    <x v="0"/>
    <x v="0"/>
    <x v="0"/>
    <x v="1"/>
    <x v="0"/>
    <x v="0"/>
    <x v="1"/>
    <n v="8"/>
    <n v="9"/>
    <n v="7"/>
    <n v="7"/>
    <n v="6"/>
    <n v="6"/>
    <n v="2"/>
    <n v="5"/>
    <n v="6"/>
  </r>
  <r>
    <d v="2025-12-29T20:27:00"/>
    <x v="0"/>
    <x v="1"/>
    <x v="0"/>
    <x v="1"/>
    <x v="0"/>
    <x v="6"/>
    <x v="4"/>
    <n v="5"/>
    <n v="4"/>
    <n v="7"/>
    <n v="6"/>
    <n v="3"/>
    <n v="4"/>
    <n v="4"/>
    <n v="5"/>
    <n v="5"/>
  </r>
  <r>
    <d v="2025-12-29T21:20:00"/>
    <x v="0"/>
    <x v="3"/>
    <x v="0"/>
    <x v="0"/>
    <x v="0"/>
    <x v="7"/>
    <x v="0"/>
    <n v="10"/>
    <n v="9"/>
    <n v="9"/>
    <n v="9"/>
    <n v="8"/>
    <n v="8"/>
    <n v="8"/>
    <n v="8"/>
    <n v="10"/>
  </r>
  <r>
    <d v="2025-12-29T21:21:00"/>
    <x v="1"/>
    <x v="3"/>
    <x v="0"/>
    <x v="0"/>
    <x v="0"/>
    <x v="7"/>
    <x v="0"/>
    <n v="8"/>
    <n v="7"/>
    <n v="6"/>
    <n v="6"/>
    <n v="5"/>
    <n v="5"/>
    <n v="3"/>
    <n v="3"/>
    <n v="5"/>
  </r>
  <r>
    <d v="2025-12-30T08:12:00"/>
    <x v="1"/>
    <x v="1"/>
    <x v="0"/>
    <x v="1"/>
    <x v="0"/>
    <x v="2"/>
    <x v="0"/>
    <n v="5"/>
    <n v="6"/>
    <n v="5"/>
    <n v="7"/>
    <n v="6"/>
    <n v="6"/>
    <n v="6"/>
    <n v="7"/>
    <n v="7"/>
  </r>
  <r>
    <d v="2025-12-30T10:46:00"/>
    <x v="1"/>
    <x v="3"/>
    <x v="0"/>
    <x v="1"/>
    <x v="0"/>
    <x v="6"/>
    <x v="1"/>
    <n v="1"/>
    <n v="1"/>
    <n v="8"/>
    <n v="8"/>
    <n v="8"/>
    <n v="8"/>
    <n v="8"/>
    <n v="8"/>
    <n v="8"/>
  </r>
  <r>
    <d v="2025-12-30T10:47:00"/>
    <x v="0"/>
    <x v="4"/>
    <x v="0"/>
    <x v="0"/>
    <x v="0"/>
    <x v="1"/>
    <x v="4"/>
    <n v="9"/>
    <n v="9"/>
    <n v="9"/>
    <n v="9"/>
    <n v="10"/>
    <n v="5"/>
    <n v="9"/>
    <n v="9"/>
    <n v="10"/>
  </r>
  <r>
    <d v="2025-12-30T10:50:00"/>
    <x v="0"/>
    <x v="1"/>
    <x v="0"/>
    <x v="0"/>
    <x v="0"/>
    <x v="1"/>
    <x v="4"/>
    <n v="10"/>
    <n v="10"/>
    <n v="9"/>
    <n v="6"/>
    <n v="6"/>
    <n v="3"/>
    <n v="5"/>
    <n v="5"/>
    <n v="1"/>
  </r>
  <r>
    <d v="2025-12-30T10:54:00"/>
    <x v="0"/>
    <x v="1"/>
    <x v="0"/>
    <x v="0"/>
    <x v="0"/>
    <x v="3"/>
    <x v="2"/>
    <n v="8"/>
    <n v="8"/>
    <n v="5"/>
    <n v="5"/>
    <n v="5"/>
    <n v="3"/>
    <n v="5"/>
    <n v="5"/>
    <n v="5"/>
  </r>
  <r>
    <d v="2025-12-30T10:59:00"/>
    <x v="0"/>
    <x v="5"/>
    <x v="0"/>
    <x v="1"/>
    <x v="0"/>
    <x v="6"/>
    <x v="1"/>
    <n v="7"/>
    <n v="7"/>
    <n v="1"/>
    <n v="6"/>
    <n v="3"/>
    <n v="5"/>
    <n v="1"/>
    <n v="4"/>
    <n v="5"/>
  </r>
  <r>
    <d v="2025-12-30T11:05:00"/>
    <x v="1"/>
    <x v="0"/>
    <x v="0"/>
    <x v="0"/>
    <x v="0"/>
    <x v="4"/>
    <x v="1"/>
    <n v="6"/>
    <n v="6"/>
    <n v="5"/>
    <n v="7"/>
    <n v="5"/>
    <n v="7"/>
    <n v="5"/>
    <n v="6"/>
    <n v="7"/>
  </r>
  <r>
    <d v="2025-12-30T11:09:00"/>
    <x v="0"/>
    <x v="1"/>
    <x v="0"/>
    <x v="0"/>
    <x v="0"/>
    <x v="6"/>
    <x v="2"/>
    <n v="10"/>
    <n v="10"/>
    <n v="7"/>
    <n v="8"/>
    <n v="8"/>
    <n v="4"/>
    <n v="1"/>
    <n v="3"/>
    <n v="6"/>
  </r>
  <r>
    <d v="2025-12-30T11:24:00"/>
    <x v="0"/>
    <x v="1"/>
    <x v="0"/>
    <x v="0"/>
    <x v="0"/>
    <x v="1"/>
    <x v="4"/>
    <n v="7"/>
    <n v="10"/>
    <n v="5"/>
    <n v="7"/>
    <n v="7"/>
    <n v="7"/>
    <n v="7"/>
    <n v="7"/>
    <n v="10"/>
  </r>
  <r>
    <d v="2025-12-30T11:42:00"/>
    <x v="0"/>
    <x v="3"/>
    <x v="0"/>
    <x v="0"/>
    <x v="0"/>
    <x v="3"/>
    <x v="4"/>
    <n v="8"/>
    <n v="8"/>
    <n v="8"/>
    <n v="8"/>
    <n v="8"/>
    <n v="8"/>
    <n v="8"/>
    <n v="8"/>
    <n v="8"/>
  </r>
  <r>
    <d v="2025-12-30T12:10:00"/>
    <x v="0"/>
    <x v="1"/>
    <x v="0"/>
    <x v="1"/>
    <x v="0"/>
    <x v="3"/>
    <x v="4"/>
    <n v="10"/>
    <n v="10"/>
    <n v="10"/>
    <n v="10"/>
    <n v="10"/>
    <n v="10"/>
    <n v="10"/>
    <n v="10"/>
    <n v="10"/>
  </r>
  <r>
    <d v="2025-12-30T12:21:00"/>
    <x v="1"/>
    <x v="3"/>
    <x v="0"/>
    <x v="0"/>
    <x v="0"/>
    <x v="2"/>
    <x v="0"/>
    <n v="7"/>
    <n v="7"/>
    <n v="5"/>
    <n v="7"/>
    <n v="7"/>
    <n v="7"/>
    <n v="7"/>
    <n v="7"/>
    <n v="7"/>
  </r>
  <r>
    <d v="2025-12-30T14:44:00"/>
    <x v="0"/>
    <x v="0"/>
    <x v="0"/>
    <x v="0"/>
    <x v="0"/>
    <x v="2"/>
    <x v="4"/>
    <n v="7"/>
    <n v="8"/>
    <n v="8"/>
    <n v="8"/>
    <n v="6"/>
    <n v="8"/>
    <n v="5"/>
    <n v="8"/>
    <n v="8"/>
  </r>
  <r>
    <d v="2025-12-30T18:51:00"/>
    <x v="0"/>
    <x v="3"/>
    <x v="0"/>
    <x v="1"/>
    <x v="0"/>
    <x v="1"/>
    <x v="0"/>
    <n v="10"/>
    <n v="10"/>
    <n v="10"/>
    <n v="10"/>
    <n v="10"/>
    <n v="10"/>
    <n v="10"/>
    <n v="10"/>
    <n v="10"/>
  </r>
  <r>
    <d v="2025-12-30T18:59:00"/>
    <x v="0"/>
    <x v="3"/>
    <x v="0"/>
    <x v="1"/>
    <x v="0"/>
    <x v="7"/>
    <x v="0"/>
    <n v="10"/>
    <n v="10"/>
    <n v="10"/>
    <n v="10"/>
    <n v="10"/>
    <n v="10"/>
    <n v="10"/>
    <n v="10"/>
    <n v="10"/>
  </r>
  <r>
    <d v="2025-12-30T19:26:00"/>
    <x v="1"/>
    <x v="3"/>
    <x v="0"/>
    <x v="0"/>
    <x v="0"/>
    <x v="3"/>
    <x v="3"/>
    <n v="10"/>
    <n v="10"/>
    <n v="1"/>
    <n v="10"/>
    <n v="1"/>
    <n v="1"/>
    <n v="1"/>
    <n v="1"/>
    <n v="6"/>
  </r>
  <r>
    <d v="2025-12-30T19:51:00"/>
    <x v="0"/>
    <x v="3"/>
    <x v="0"/>
    <x v="0"/>
    <x v="0"/>
    <x v="3"/>
    <x v="4"/>
    <n v="7"/>
    <n v="8"/>
    <n v="6"/>
    <n v="6"/>
    <n v="7"/>
    <n v="5"/>
    <n v="6"/>
    <n v="7"/>
    <n v="7"/>
  </r>
  <r>
    <d v="2026-01-01T10:33:00"/>
    <x v="1"/>
    <x v="1"/>
    <x v="0"/>
    <x v="0"/>
    <x v="0"/>
    <x v="5"/>
    <x v="1"/>
    <n v="2"/>
    <n v="7"/>
    <n v="10"/>
    <n v="2"/>
    <n v="10"/>
    <n v="5"/>
    <n v="10"/>
    <n v="3"/>
    <n v="3"/>
  </r>
  <r>
    <d v="2026-01-01T15:13:00"/>
    <x v="0"/>
    <x v="3"/>
    <x v="0"/>
    <x v="1"/>
    <x v="0"/>
    <x v="5"/>
    <x v="1"/>
    <n v="9"/>
    <n v="9"/>
    <n v="10"/>
    <n v="2"/>
    <n v="9"/>
    <n v="9"/>
    <n v="6"/>
    <n v="8"/>
    <n v="10"/>
  </r>
  <r>
    <d v="2026-01-01T15:17:00"/>
    <x v="0"/>
    <x v="3"/>
    <x v="0"/>
    <x v="0"/>
    <x v="0"/>
    <x v="0"/>
    <x v="1"/>
    <n v="7"/>
    <n v="5"/>
    <n v="7"/>
    <n v="5"/>
    <n v="3"/>
    <n v="4"/>
    <n v="1"/>
    <n v="5"/>
    <n v="5"/>
  </r>
  <r>
    <d v="2026-01-01T15:31:00"/>
    <x v="0"/>
    <x v="0"/>
    <x v="0"/>
    <x v="0"/>
    <x v="0"/>
    <x v="2"/>
    <x v="1"/>
    <n v="3"/>
    <n v="8"/>
    <n v="4"/>
    <n v="5"/>
    <n v="5"/>
    <n v="5"/>
    <n v="5"/>
    <n v="5"/>
    <n v="5"/>
  </r>
  <r>
    <d v="2026-01-02T07:31:00"/>
    <x v="0"/>
    <x v="0"/>
    <x v="0"/>
    <x v="0"/>
    <x v="0"/>
    <x v="0"/>
    <x v="1"/>
    <n v="10"/>
    <n v="10"/>
    <n v="10"/>
    <n v="10"/>
    <n v="10"/>
    <n v="10"/>
    <n v="10"/>
    <n v="10"/>
    <n v="10"/>
  </r>
  <r>
    <d v="2026-01-02T09:17:00"/>
    <x v="0"/>
    <x v="1"/>
    <x v="0"/>
    <x v="0"/>
    <x v="0"/>
    <x v="5"/>
    <x v="4"/>
    <n v="8"/>
    <n v="9"/>
    <n v="9"/>
    <n v="9"/>
    <n v="5"/>
    <n v="7"/>
    <n v="5"/>
    <n v="7"/>
    <n v="7"/>
  </r>
  <r>
    <d v="2026-01-02T14:22:00"/>
    <x v="0"/>
    <x v="3"/>
    <x v="0"/>
    <x v="1"/>
    <x v="0"/>
    <x v="5"/>
    <x v="1"/>
    <n v="5"/>
    <n v="5"/>
    <n v="6"/>
    <n v="6"/>
    <n v="6"/>
    <n v="6"/>
    <n v="5"/>
    <n v="7"/>
    <n v="8"/>
  </r>
  <r>
    <d v="2026-01-02T16:52:00"/>
    <x v="0"/>
    <x v="3"/>
    <x v="0"/>
    <x v="1"/>
    <x v="0"/>
    <x v="5"/>
    <x v="0"/>
    <n v="10"/>
    <n v="8"/>
    <n v="10"/>
    <n v="10"/>
    <n v="10"/>
    <n v="10"/>
    <n v="10"/>
    <n v="10"/>
    <n v="8"/>
  </r>
  <r>
    <d v="2026-01-02T18:20:00"/>
    <x v="1"/>
    <x v="3"/>
    <x v="0"/>
    <x v="1"/>
    <x v="0"/>
    <x v="3"/>
    <x v="1"/>
    <n v="5"/>
    <n v="8"/>
    <n v="5"/>
    <n v="8"/>
    <n v="4"/>
    <n v="5"/>
    <n v="1"/>
    <n v="5"/>
    <n v="5"/>
  </r>
  <r>
    <d v="2026-01-03T08:11:00"/>
    <x v="0"/>
    <x v="0"/>
    <x v="0"/>
    <x v="0"/>
    <x v="0"/>
    <x v="4"/>
    <x v="1"/>
    <n v="7"/>
    <n v="7"/>
    <n v="8"/>
    <n v="8"/>
    <n v="7"/>
    <n v="8"/>
    <n v="8"/>
    <n v="8"/>
    <n v="9"/>
  </r>
  <r>
    <d v="2026-01-03T08:59:00"/>
    <x v="1"/>
    <x v="1"/>
    <x v="0"/>
    <x v="0"/>
    <x v="0"/>
    <x v="5"/>
    <x v="1"/>
    <n v="8"/>
    <n v="8"/>
    <n v="7"/>
    <n v="8"/>
    <n v="7"/>
    <n v="7"/>
    <n v="7"/>
    <n v="8"/>
    <n v="8"/>
  </r>
  <r>
    <d v="2026-01-04T13:48:00"/>
    <x v="1"/>
    <x v="0"/>
    <x v="0"/>
    <x v="0"/>
    <x v="1"/>
    <x v="0"/>
    <x v="1"/>
    <n v="5"/>
    <n v="8"/>
    <n v="7"/>
    <n v="8"/>
    <n v="1"/>
    <n v="2"/>
    <n v="3"/>
    <n v="3"/>
    <n v="7"/>
  </r>
  <r>
    <d v="2026-01-04T13:50:00"/>
    <x v="1"/>
    <x v="2"/>
    <x v="0"/>
    <x v="0"/>
    <x v="0"/>
    <x v="2"/>
    <x v="1"/>
    <n v="6"/>
    <n v="7"/>
    <n v="5"/>
    <n v="7"/>
    <n v="7"/>
    <n v="7"/>
    <n v="5"/>
    <n v="7"/>
    <n v="7"/>
  </r>
  <r>
    <d v="2026-01-04T13:51:00"/>
    <x v="1"/>
    <x v="4"/>
    <x v="0"/>
    <x v="1"/>
    <x v="0"/>
    <x v="6"/>
    <x v="3"/>
    <n v="8"/>
    <n v="8"/>
    <n v="8"/>
    <n v="9"/>
    <n v="9"/>
    <n v="5"/>
    <n v="5"/>
    <n v="8"/>
    <n v="6"/>
  </r>
  <r>
    <d v="2026-01-04T13:52:00"/>
    <x v="0"/>
    <x v="1"/>
    <x v="0"/>
    <x v="0"/>
    <x v="0"/>
    <x v="3"/>
    <x v="2"/>
    <n v="5"/>
    <n v="5"/>
    <n v="4"/>
    <n v="6"/>
    <n v="5"/>
    <n v="4"/>
    <n v="4"/>
    <n v="5"/>
    <n v="5"/>
  </r>
  <r>
    <d v="2026-01-04T13:53:00"/>
    <x v="0"/>
    <x v="0"/>
    <x v="0"/>
    <x v="0"/>
    <x v="0"/>
    <x v="5"/>
    <x v="0"/>
    <n v="6"/>
    <n v="6"/>
    <n v="6"/>
    <n v="6"/>
    <n v="7"/>
    <n v="7"/>
    <n v="5"/>
    <n v="7"/>
    <n v="6"/>
  </r>
  <r>
    <d v="2026-01-04T13:54:00"/>
    <x v="0"/>
    <x v="4"/>
    <x v="0"/>
    <x v="1"/>
    <x v="0"/>
    <x v="6"/>
    <x v="2"/>
    <n v="4"/>
    <n v="5"/>
    <n v="4"/>
    <n v="6"/>
    <n v="4"/>
    <n v="4"/>
    <n v="4"/>
    <n v="5"/>
    <n v="4"/>
  </r>
  <r>
    <d v="2026-01-04T13:54:00"/>
    <x v="0"/>
    <x v="5"/>
    <x v="1"/>
    <x v="1"/>
    <x v="0"/>
    <x v="6"/>
    <x v="1"/>
    <n v="2"/>
    <n v="4"/>
    <n v="3"/>
    <n v="5"/>
    <n v="4"/>
    <n v="1"/>
    <n v="1"/>
    <n v="4"/>
    <n v="4"/>
  </r>
  <r>
    <d v="2026-01-04T13:56:00"/>
    <x v="0"/>
    <x v="4"/>
    <x v="0"/>
    <x v="1"/>
    <x v="0"/>
    <x v="3"/>
    <x v="4"/>
    <n v="4"/>
    <n v="4"/>
    <n v="3"/>
    <n v="5"/>
    <n v="3"/>
    <n v="2"/>
    <n v="1"/>
    <n v="1"/>
    <n v="1"/>
  </r>
  <r>
    <d v="2026-01-04T13:56:00"/>
    <x v="0"/>
    <x v="5"/>
    <x v="0"/>
    <x v="0"/>
    <x v="0"/>
    <x v="5"/>
    <x v="3"/>
    <n v="6"/>
    <n v="7"/>
    <n v="6"/>
    <n v="6"/>
    <n v="6"/>
    <n v="7"/>
    <n v="5"/>
    <n v="6"/>
    <n v="7"/>
  </r>
  <r>
    <d v="2026-01-04T13:58:00"/>
    <x v="0"/>
    <x v="3"/>
    <x v="0"/>
    <x v="1"/>
    <x v="0"/>
    <x v="7"/>
    <x v="0"/>
    <n v="7"/>
    <n v="7"/>
    <n v="7"/>
    <n v="8"/>
    <n v="7"/>
    <n v="8"/>
    <n v="7"/>
    <n v="7"/>
    <n v="8"/>
  </r>
  <r>
    <d v="2026-01-04T13:59:00"/>
    <x v="0"/>
    <x v="1"/>
    <x v="0"/>
    <x v="0"/>
    <x v="0"/>
    <x v="1"/>
    <x v="0"/>
    <n v="5"/>
    <n v="5"/>
    <n v="5"/>
    <n v="7"/>
    <n v="5"/>
    <n v="6"/>
    <n v="5"/>
    <n v="7"/>
    <n v="7"/>
  </r>
  <r>
    <d v="2026-01-04T16:48:00"/>
    <x v="0"/>
    <x v="3"/>
    <x v="0"/>
    <x v="1"/>
    <x v="0"/>
    <x v="1"/>
    <x v="4"/>
    <n v="6"/>
    <n v="7"/>
    <n v="7"/>
    <n v="8"/>
    <n v="8"/>
    <n v="7"/>
    <n v="5"/>
    <n v="7"/>
    <n v="7"/>
  </r>
  <r>
    <d v="2026-01-04T16:49:00"/>
    <x v="0"/>
    <x v="0"/>
    <x v="0"/>
    <x v="0"/>
    <x v="0"/>
    <x v="7"/>
    <x v="1"/>
    <n v="8"/>
    <n v="8"/>
    <n v="5"/>
    <n v="8"/>
    <n v="6"/>
    <n v="8"/>
    <n v="6"/>
    <n v="7"/>
    <n v="7"/>
  </r>
  <r>
    <d v="2026-01-04T16:50:00"/>
    <x v="1"/>
    <x v="5"/>
    <x v="0"/>
    <x v="1"/>
    <x v="0"/>
    <x v="6"/>
    <x v="2"/>
    <n v="2"/>
    <n v="5"/>
    <n v="3"/>
    <n v="5"/>
    <n v="3"/>
    <n v="2"/>
    <n v="1"/>
    <n v="5"/>
    <n v="5"/>
  </r>
  <r>
    <d v="2026-01-04T16:51:00"/>
    <x v="1"/>
    <x v="2"/>
    <x v="0"/>
    <x v="0"/>
    <x v="0"/>
    <x v="0"/>
    <x v="1"/>
    <n v="6"/>
    <n v="6"/>
    <n v="5"/>
    <n v="9"/>
    <n v="7"/>
    <n v="8"/>
    <n v="5"/>
    <n v="7"/>
    <n v="7"/>
  </r>
  <r>
    <d v="2026-01-04T16:52:00"/>
    <x v="0"/>
    <x v="1"/>
    <x v="1"/>
    <x v="0"/>
    <x v="1"/>
    <x v="5"/>
    <x v="2"/>
    <n v="7"/>
    <n v="7"/>
    <n v="6"/>
    <n v="8"/>
    <n v="5"/>
    <n v="5"/>
    <n v="5"/>
    <n v="6"/>
    <n v="5"/>
  </r>
  <r>
    <d v="2026-01-04T16:54:00"/>
    <x v="0"/>
    <x v="5"/>
    <x v="0"/>
    <x v="0"/>
    <x v="2"/>
    <x v="0"/>
    <x v="1"/>
    <n v="7"/>
    <n v="7"/>
    <n v="5"/>
    <n v="7"/>
    <n v="5"/>
    <n v="5"/>
    <n v="5"/>
    <n v="5"/>
    <n v="6"/>
  </r>
  <r>
    <d v="2026-01-04T17:01:00"/>
    <x v="1"/>
    <x v="1"/>
    <x v="0"/>
    <x v="1"/>
    <x v="0"/>
    <x v="5"/>
    <x v="4"/>
    <n v="6"/>
    <n v="7"/>
    <n v="6"/>
    <n v="7"/>
    <n v="6"/>
    <n v="6"/>
    <n v="5"/>
    <n v="5"/>
    <n v="6"/>
  </r>
  <r>
    <d v="2026-01-04T17:31:00"/>
    <x v="1"/>
    <x v="0"/>
    <x v="0"/>
    <x v="0"/>
    <x v="0"/>
    <x v="7"/>
    <x v="0"/>
    <n v="5"/>
    <n v="5"/>
    <n v="4"/>
    <n v="6"/>
    <n v="5"/>
    <n v="5"/>
    <n v="5"/>
    <n v="5"/>
    <n v="5"/>
  </r>
  <r>
    <d v="2026-01-04T22:56:00"/>
    <x v="1"/>
    <x v="1"/>
    <x v="0"/>
    <x v="0"/>
    <x v="0"/>
    <x v="1"/>
    <x v="4"/>
    <n v="8"/>
    <n v="8"/>
    <n v="5"/>
    <n v="7"/>
    <n v="6"/>
    <n v="8"/>
    <n v="5"/>
    <n v="7"/>
    <n v="8"/>
  </r>
  <r>
    <d v="2026-01-05T13:53:00"/>
    <x v="1"/>
    <x v="0"/>
    <x v="0"/>
    <x v="1"/>
    <x v="0"/>
    <x v="7"/>
    <x v="1"/>
    <n v="7"/>
    <n v="7"/>
    <n v="7"/>
    <n v="8"/>
    <n v="3"/>
    <n v="3"/>
    <n v="2"/>
    <n v="3"/>
    <n v="8"/>
  </r>
  <r>
    <d v="2026-01-07T16:26:00"/>
    <x v="1"/>
    <x v="3"/>
    <x v="0"/>
    <x v="1"/>
    <x v="0"/>
    <x v="1"/>
    <x v="2"/>
    <n v="7"/>
    <n v="7"/>
    <n v="6"/>
    <n v="8"/>
    <n v="7"/>
    <n v="8"/>
    <n v="7"/>
    <n v="7"/>
    <n v="7"/>
  </r>
  <r>
    <d v="2026-01-07T16:27:00"/>
    <x v="0"/>
    <x v="2"/>
    <x v="0"/>
    <x v="0"/>
    <x v="0"/>
    <x v="4"/>
    <x v="1"/>
    <n v="8"/>
    <n v="8"/>
    <n v="9"/>
    <n v="9"/>
    <n v="9"/>
    <n v="9"/>
    <n v="8"/>
    <n v="8"/>
    <n v="9"/>
  </r>
  <r>
    <d v="2026-01-08T09:52:00"/>
    <x v="0"/>
    <x v="1"/>
    <x v="0"/>
    <x v="0"/>
    <x v="0"/>
    <x v="7"/>
    <x v="4"/>
    <n v="1"/>
    <n v="1"/>
    <n v="7"/>
    <n v="5"/>
    <n v="5"/>
    <n v="7"/>
    <n v="2"/>
    <n v="5"/>
    <n v="5"/>
  </r>
  <r>
    <d v="2026-01-08T13:47:00"/>
    <x v="0"/>
    <x v="3"/>
    <x v="0"/>
    <x v="0"/>
    <x v="0"/>
    <x v="4"/>
    <x v="0"/>
    <n v="10"/>
    <n v="10"/>
    <n v="6"/>
    <n v="4"/>
    <n v="8"/>
    <n v="3"/>
    <n v="10"/>
    <n v="10"/>
    <n v="10"/>
  </r>
  <r>
    <d v="2026-01-08T15:17:00"/>
    <x v="0"/>
    <x v="0"/>
    <x v="0"/>
    <x v="0"/>
    <x v="0"/>
    <x v="0"/>
    <x v="0"/>
    <n v="9"/>
    <n v="9"/>
    <n v="5"/>
    <n v="5"/>
    <n v="7"/>
    <n v="7"/>
    <n v="8"/>
    <n v="8"/>
    <n v="8"/>
  </r>
  <r>
    <d v="2026-01-08T15:22:00"/>
    <x v="1"/>
    <x v="1"/>
    <x v="0"/>
    <x v="0"/>
    <x v="0"/>
    <x v="0"/>
    <x v="4"/>
    <n v="9"/>
    <n v="9"/>
    <n v="9"/>
    <n v="9"/>
    <n v="9"/>
    <n v="9"/>
    <n v="9"/>
    <n v="9"/>
    <n v="9"/>
  </r>
  <r>
    <d v="2026-01-08T15:23:00"/>
    <x v="0"/>
    <x v="1"/>
    <x v="0"/>
    <x v="1"/>
    <x v="0"/>
    <x v="0"/>
    <x v="2"/>
    <n v="9"/>
    <n v="10"/>
    <n v="10"/>
    <n v="9"/>
    <n v="10"/>
    <n v="10"/>
    <n v="10"/>
    <n v="9"/>
    <n v="10"/>
  </r>
  <r>
    <d v="2026-01-08T16:21:00"/>
    <x v="0"/>
    <x v="1"/>
    <x v="0"/>
    <x v="1"/>
    <x v="0"/>
    <x v="0"/>
    <x v="4"/>
    <n v="5"/>
    <n v="5"/>
    <n v="5"/>
    <n v="5"/>
    <n v="5"/>
    <n v="5"/>
    <n v="5"/>
    <n v="4"/>
    <n v="5"/>
  </r>
  <r>
    <d v="2026-01-09T08:59:00"/>
    <x v="0"/>
    <x v="5"/>
    <x v="0"/>
    <x v="1"/>
    <x v="2"/>
    <x v="2"/>
    <x v="0"/>
    <n v="9"/>
    <n v="8"/>
    <n v="9"/>
    <n v="9"/>
    <n v="8"/>
    <n v="9"/>
    <n v="10"/>
    <n v="9"/>
    <n v="10"/>
  </r>
  <r>
    <d v="2026-01-09T09:22:00"/>
    <x v="1"/>
    <x v="4"/>
    <x v="0"/>
    <x v="0"/>
    <x v="0"/>
    <x v="3"/>
    <x v="2"/>
    <n v="4"/>
    <n v="4"/>
    <n v="3"/>
    <n v="5"/>
    <n v="4"/>
    <n v="5"/>
    <n v="1"/>
    <n v="5"/>
    <n v="5"/>
  </r>
  <r>
    <d v="2026-01-09T09:23:00"/>
    <x v="0"/>
    <x v="5"/>
    <x v="0"/>
    <x v="1"/>
    <x v="0"/>
    <x v="1"/>
    <x v="0"/>
    <n v="5"/>
    <n v="5"/>
    <n v="1"/>
    <n v="5"/>
    <n v="4"/>
    <n v="2"/>
    <n v="2"/>
    <n v="5"/>
    <n v="4"/>
  </r>
  <r>
    <d v="2026-01-09T09:24:00"/>
    <x v="0"/>
    <x v="1"/>
    <x v="0"/>
    <x v="0"/>
    <x v="0"/>
    <x v="3"/>
    <x v="3"/>
    <n v="6"/>
    <n v="8"/>
    <n v="8"/>
    <n v="9"/>
    <n v="7"/>
    <n v="7"/>
    <n v="7"/>
    <n v="8"/>
    <n v="8"/>
  </r>
  <r>
    <d v="2026-01-09T09:24:00"/>
    <x v="0"/>
    <x v="4"/>
    <x v="0"/>
    <x v="1"/>
    <x v="0"/>
    <x v="6"/>
    <x v="2"/>
    <n v="5"/>
    <n v="5"/>
    <n v="5"/>
    <n v="5"/>
    <n v="5"/>
    <n v="5"/>
    <n v="5"/>
    <n v="5"/>
    <n v="5"/>
  </r>
  <r>
    <d v="2026-01-09T09:25:00"/>
    <x v="0"/>
    <x v="3"/>
    <x v="0"/>
    <x v="0"/>
    <x v="0"/>
    <x v="5"/>
    <x v="0"/>
    <n v="7"/>
    <n v="7"/>
    <n v="7"/>
    <n v="8"/>
    <n v="7"/>
    <n v="7"/>
    <n v="7"/>
    <n v="7"/>
    <n v="7"/>
  </r>
  <r>
    <d v="2026-01-09T09:26:00"/>
    <x v="0"/>
    <x v="3"/>
    <x v="0"/>
    <x v="1"/>
    <x v="0"/>
    <x v="7"/>
    <x v="1"/>
    <n v="3"/>
    <n v="1"/>
    <n v="1"/>
    <n v="5"/>
    <n v="1"/>
    <n v="1"/>
    <n v="1"/>
    <n v="4"/>
    <n v="5"/>
  </r>
  <r>
    <d v="2026-01-09T09:30:00"/>
    <x v="0"/>
    <x v="1"/>
    <x v="0"/>
    <x v="0"/>
    <x v="0"/>
    <x v="1"/>
    <x v="0"/>
    <n v="8"/>
    <n v="8"/>
    <n v="5"/>
    <n v="7"/>
    <n v="7"/>
    <n v="6"/>
    <n v="6"/>
    <n v="7"/>
    <n v="7"/>
  </r>
  <r>
    <d v="2026-01-09T09:32:00"/>
    <x v="1"/>
    <x v="3"/>
    <x v="0"/>
    <x v="0"/>
    <x v="0"/>
    <x v="1"/>
    <x v="4"/>
    <n v="4"/>
    <n v="3"/>
    <n v="1"/>
    <n v="2"/>
    <n v="1"/>
    <n v="1"/>
    <n v="1"/>
    <n v="4"/>
    <n v="2"/>
  </r>
  <r>
    <d v="2026-01-09T09:32:00"/>
    <x v="0"/>
    <x v="3"/>
    <x v="0"/>
    <x v="1"/>
    <x v="0"/>
    <x v="5"/>
    <x v="0"/>
    <n v="7"/>
    <n v="8"/>
    <n v="6"/>
    <n v="7"/>
    <n v="6"/>
    <n v="7"/>
    <n v="6"/>
    <n v="6"/>
    <n v="6"/>
  </r>
  <r>
    <d v="2026-01-09T09:33:00"/>
    <x v="0"/>
    <x v="3"/>
    <x v="0"/>
    <x v="0"/>
    <x v="0"/>
    <x v="5"/>
    <x v="1"/>
    <n v="6"/>
    <n v="6"/>
    <n v="6"/>
    <n v="6"/>
    <n v="6"/>
    <n v="5"/>
    <n v="6"/>
    <n v="6"/>
    <n v="6"/>
  </r>
  <r>
    <d v="2026-01-09T09:34:00"/>
    <x v="1"/>
    <x v="3"/>
    <x v="0"/>
    <x v="0"/>
    <x v="0"/>
    <x v="7"/>
    <x v="1"/>
    <n v="7"/>
    <n v="7"/>
    <n v="8"/>
    <n v="8"/>
    <n v="8"/>
    <n v="9"/>
    <n v="8"/>
    <n v="8"/>
    <n v="8"/>
  </r>
  <r>
    <d v="2026-01-09T09:35:00"/>
    <x v="0"/>
    <x v="3"/>
    <x v="0"/>
    <x v="0"/>
    <x v="0"/>
    <x v="1"/>
    <x v="0"/>
    <n v="7"/>
    <n v="7"/>
    <n v="7"/>
    <n v="7"/>
    <n v="7"/>
    <n v="7"/>
    <n v="7"/>
    <n v="7"/>
    <n v="7"/>
  </r>
  <r>
    <d v="2026-01-09T09:35:00"/>
    <x v="0"/>
    <x v="3"/>
    <x v="0"/>
    <x v="0"/>
    <x v="0"/>
    <x v="1"/>
    <x v="1"/>
    <n v="5"/>
    <n v="5"/>
    <n v="1"/>
    <n v="5"/>
    <n v="5"/>
    <n v="5"/>
    <n v="4"/>
    <n v="5"/>
    <n v="5"/>
  </r>
  <r>
    <d v="2026-01-09T09:36:00"/>
    <x v="0"/>
    <x v="3"/>
    <x v="0"/>
    <x v="0"/>
    <x v="0"/>
    <x v="1"/>
    <x v="3"/>
    <n v="7"/>
    <n v="8"/>
    <n v="8"/>
    <n v="8"/>
    <n v="8"/>
    <n v="8"/>
    <n v="8"/>
    <n v="8"/>
    <n v="8"/>
  </r>
  <r>
    <d v="2026-01-09T09:37:00"/>
    <x v="0"/>
    <x v="3"/>
    <x v="0"/>
    <x v="1"/>
    <x v="0"/>
    <x v="1"/>
    <x v="3"/>
    <n v="9"/>
    <n v="9"/>
    <n v="9"/>
    <n v="9"/>
    <n v="9"/>
    <n v="9"/>
    <n v="9"/>
    <n v="9"/>
    <n v="9"/>
  </r>
  <r>
    <d v="2026-01-09T09:37:00"/>
    <x v="0"/>
    <x v="3"/>
    <x v="0"/>
    <x v="1"/>
    <x v="0"/>
    <x v="4"/>
    <x v="4"/>
    <n v="5"/>
    <n v="5"/>
    <n v="5"/>
    <n v="5"/>
    <n v="5"/>
    <n v="5"/>
    <n v="5"/>
    <n v="5"/>
    <n v="5"/>
  </r>
  <r>
    <d v="2026-01-09T09:37:00"/>
    <x v="0"/>
    <x v="3"/>
    <x v="0"/>
    <x v="1"/>
    <x v="0"/>
    <x v="5"/>
    <x v="0"/>
    <n v="6"/>
    <n v="7"/>
    <n v="7"/>
    <n v="7"/>
    <n v="6"/>
    <n v="7"/>
    <n v="7"/>
    <n v="7"/>
    <n v="7"/>
  </r>
  <r>
    <d v="2026-01-09T09:38:00"/>
    <x v="1"/>
    <x v="3"/>
    <x v="0"/>
    <x v="0"/>
    <x v="0"/>
    <x v="5"/>
    <x v="1"/>
    <n v="5"/>
    <n v="5"/>
    <n v="5"/>
    <n v="6"/>
    <n v="5"/>
    <n v="5"/>
    <n v="5"/>
    <n v="5"/>
    <n v="5"/>
  </r>
  <r>
    <d v="2026-01-09T09:39:00"/>
    <x v="0"/>
    <x v="3"/>
    <x v="0"/>
    <x v="0"/>
    <x v="0"/>
    <x v="1"/>
    <x v="2"/>
    <n v="6"/>
    <n v="7"/>
    <n v="7"/>
    <n v="7"/>
    <n v="7"/>
    <n v="7"/>
    <n v="7"/>
    <n v="7"/>
    <n v="7"/>
  </r>
  <r>
    <d v="2026-01-09T09:40:00"/>
    <x v="1"/>
    <x v="5"/>
    <x v="0"/>
    <x v="1"/>
    <x v="0"/>
    <x v="6"/>
    <x v="4"/>
    <n v="7"/>
    <n v="8"/>
    <n v="8"/>
    <n v="8"/>
    <n v="8"/>
    <n v="5"/>
    <n v="5"/>
    <n v="7"/>
    <n v="6"/>
  </r>
  <r>
    <d v="2026-01-09T09:40:00"/>
    <x v="0"/>
    <x v="4"/>
    <x v="0"/>
    <x v="1"/>
    <x v="0"/>
    <x v="6"/>
    <x v="0"/>
    <n v="10"/>
    <n v="10"/>
    <n v="6"/>
    <n v="9"/>
    <n v="9"/>
    <n v="9"/>
    <n v="9"/>
    <n v="8"/>
    <n v="8"/>
  </r>
  <r>
    <d v="2026-01-09T09:41:00"/>
    <x v="0"/>
    <x v="1"/>
    <x v="0"/>
    <x v="0"/>
    <x v="0"/>
    <x v="1"/>
    <x v="0"/>
    <n v="4"/>
    <n v="4"/>
    <n v="4"/>
    <n v="6"/>
    <n v="5"/>
    <n v="6"/>
    <n v="5"/>
    <n v="6"/>
    <n v="5"/>
  </r>
  <r>
    <d v="2026-01-09T09:43:00"/>
    <x v="0"/>
    <x v="4"/>
    <x v="0"/>
    <x v="0"/>
    <x v="0"/>
    <x v="1"/>
    <x v="4"/>
    <n v="4"/>
    <n v="5"/>
    <n v="4"/>
    <n v="5"/>
    <n v="5"/>
    <n v="5"/>
    <n v="5"/>
    <n v="5"/>
    <n v="5"/>
  </r>
  <r>
    <d v="2026-01-09T09:44:00"/>
    <x v="1"/>
    <x v="3"/>
    <x v="0"/>
    <x v="0"/>
    <x v="0"/>
    <x v="1"/>
    <x v="4"/>
    <n v="6"/>
    <n v="6"/>
    <n v="7"/>
    <n v="7"/>
    <n v="6"/>
    <n v="6"/>
    <n v="8"/>
    <n v="8"/>
    <n v="7"/>
  </r>
  <r>
    <d v="2026-01-09T09:44:00"/>
    <x v="0"/>
    <x v="3"/>
    <x v="0"/>
    <x v="1"/>
    <x v="0"/>
    <x v="1"/>
    <x v="1"/>
    <n v="7"/>
    <n v="7"/>
    <n v="7"/>
    <n v="7"/>
    <n v="7"/>
    <n v="7"/>
    <n v="7"/>
    <n v="7"/>
    <n v="7"/>
  </r>
  <r>
    <d v="2026-01-09T09:45:00"/>
    <x v="0"/>
    <x v="3"/>
    <x v="0"/>
    <x v="0"/>
    <x v="0"/>
    <x v="5"/>
    <x v="0"/>
    <n v="6"/>
    <n v="6"/>
    <n v="7"/>
    <n v="7"/>
    <n v="5"/>
    <n v="6"/>
    <n v="6"/>
    <n v="6"/>
    <n v="7"/>
  </r>
  <r>
    <d v="2026-01-09T09:46:00"/>
    <x v="0"/>
    <x v="5"/>
    <x v="0"/>
    <x v="1"/>
    <x v="0"/>
    <x v="3"/>
    <x v="4"/>
    <n v="7"/>
    <n v="7"/>
    <n v="6"/>
    <n v="7"/>
    <n v="7"/>
    <n v="7"/>
    <n v="7"/>
    <n v="7"/>
    <n v="7"/>
  </r>
  <r>
    <d v="2026-01-09T09:47:00"/>
    <x v="0"/>
    <x v="0"/>
    <x v="0"/>
    <x v="0"/>
    <x v="0"/>
    <x v="7"/>
    <x v="1"/>
    <n v="6"/>
    <n v="6"/>
    <n v="6"/>
    <n v="6"/>
    <n v="6"/>
    <n v="6"/>
    <n v="6"/>
    <n v="6"/>
    <n v="6"/>
  </r>
  <r>
    <d v="2026-01-09T09:47:00"/>
    <x v="0"/>
    <x v="0"/>
    <x v="0"/>
    <x v="0"/>
    <x v="0"/>
    <x v="4"/>
    <x v="4"/>
    <n v="8"/>
    <n v="9"/>
    <n v="7"/>
    <n v="8"/>
    <n v="9"/>
    <n v="8"/>
    <n v="8"/>
    <n v="8"/>
    <n v="8"/>
  </r>
  <r>
    <d v="2026-01-09T09:48:00"/>
    <x v="0"/>
    <x v="3"/>
    <x v="0"/>
    <x v="0"/>
    <x v="0"/>
    <x v="1"/>
    <x v="4"/>
    <n v="6"/>
    <n v="6"/>
    <n v="6"/>
    <n v="6"/>
    <n v="6"/>
    <n v="7"/>
    <n v="6"/>
    <n v="6"/>
    <n v="7"/>
  </r>
  <r>
    <d v="2026-01-09T09:49:00"/>
    <x v="0"/>
    <x v="1"/>
    <x v="0"/>
    <x v="1"/>
    <x v="0"/>
    <x v="3"/>
    <x v="3"/>
    <n v="4"/>
    <n v="5"/>
    <n v="1"/>
    <n v="6"/>
    <n v="4"/>
    <n v="4"/>
    <n v="5"/>
    <n v="5"/>
    <n v="5"/>
  </r>
  <r>
    <d v="2026-01-09T09:49:00"/>
    <x v="1"/>
    <x v="5"/>
    <x v="0"/>
    <x v="1"/>
    <x v="0"/>
    <x v="6"/>
    <x v="3"/>
    <n v="8"/>
    <n v="8"/>
    <n v="8"/>
    <n v="8"/>
    <n v="7"/>
    <n v="7"/>
    <n v="8"/>
    <n v="7"/>
    <n v="8"/>
  </r>
  <r>
    <d v="2026-01-09T09:50:00"/>
    <x v="1"/>
    <x v="3"/>
    <x v="0"/>
    <x v="0"/>
    <x v="0"/>
    <x v="1"/>
    <x v="4"/>
    <n v="6"/>
    <n v="6"/>
    <n v="6"/>
    <n v="6"/>
    <n v="6"/>
    <n v="6"/>
    <n v="6"/>
    <n v="6"/>
    <n v="6"/>
  </r>
  <r>
    <d v="2026-01-09T09:50:00"/>
    <x v="0"/>
    <x v="1"/>
    <x v="0"/>
    <x v="0"/>
    <x v="0"/>
    <x v="0"/>
    <x v="0"/>
    <n v="8"/>
    <n v="8"/>
    <n v="8"/>
    <n v="8"/>
    <n v="9"/>
    <n v="8"/>
    <n v="8"/>
    <n v="8"/>
    <n v="10"/>
  </r>
  <r>
    <d v="2026-01-09T09:50:00"/>
    <x v="0"/>
    <x v="4"/>
    <x v="0"/>
    <x v="1"/>
    <x v="0"/>
    <x v="3"/>
    <x v="2"/>
    <n v="4"/>
    <n v="4"/>
    <n v="4"/>
    <n v="4"/>
    <n v="1"/>
    <n v="3"/>
    <n v="1"/>
    <n v="1"/>
    <n v="1"/>
  </r>
  <r>
    <d v="2026-01-09T09:51:00"/>
    <x v="0"/>
    <x v="3"/>
    <x v="0"/>
    <x v="0"/>
    <x v="0"/>
    <x v="5"/>
    <x v="1"/>
    <n v="6"/>
    <n v="6"/>
    <n v="1"/>
    <n v="6"/>
    <n v="5"/>
    <n v="6"/>
    <n v="5"/>
    <n v="6"/>
    <n v="6"/>
  </r>
  <r>
    <d v="2026-01-09T09:52:00"/>
    <x v="0"/>
    <x v="3"/>
    <x v="0"/>
    <x v="1"/>
    <x v="0"/>
    <x v="1"/>
    <x v="2"/>
    <n v="7"/>
    <n v="7"/>
    <n v="7"/>
    <n v="7"/>
    <n v="7"/>
    <n v="7"/>
    <n v="7"/>
    <n v="7"/>
    <n v="7"/>
  </r>
  <r>
    <d v="2026-01-09T10:03:00"/>
    <x v="1"/>
    <x v="3"/>
    <x v="0"/>
    <x v="1"/>
    <x v="1"/>
    <x v="0"/>
    <x v="2"/>
    <n v="10"/>
    <n v="10"/>
    <n v="4"/>
    <n v="6"/>
    <n v="3"/>
    <n v="1"/>
    <n v="1"/>
    <n v="3"/>
    <n v="1"/>
  </r>
  <r>
    <d v="2026-01-09T10:15:00"/>
    <x v="0"/>
    <x v="3"/>
    <x v="0"/>
    <x v="1"/>
    <x v="0"/>
    <x v="7"/>
    <x v="0"/>
    <n v="8"/>
    <n v="10"/>
    <n v="8"/>
    <n v="10"/>
    <n v="9"/>
    <n v="8"/>
    <n v="7"/>
    <n v="9"/>
    <n v="9"/>
  </r>
  <r>
    <d v="2026-01-09T10:35:00"/>
    <x v="1"/>
    <x v="5"/>
    <x v="0"/>
    <x v="1"/>
    <x v="0"/>
    <x v="3"/>
    <x v="3"/>
    <n v="6"/>
    <n v="6"/>
    <n v="6"/>
    <n v="6"/>
    <n v="6"/>
    <n v="6"/>
    <n v="6"/>
    <n v="7"/>
    <n v="6"/>
  </r>
  <r>
    <d v="2026-01-09T10:36:00"/>
    <x v="0"/>
    <x v="3"/>
    <x v="0"/>
    <x v="0"/>
    <x v="0"/>
    <x v="1"/>
    <x v="2"/>
    <n v="8"/>
    <n v="8"/>
    <n v="8"/>
    <n v="8"/>
    <n v="8"/>
    <n v="8"/>
    <n v="8"/>
    <n v="8"/>
    <n v="8"/>
  </r>
  <r>
    <d v="2026-01-09T10:36:00"/>
    <x v="0"/>
    <x v="3"/>
    <x v="0"/>
    <x v="1"/>
    <x v="0"/>
    <x v="1"/>
    <x v="0"/>
    <n v="7"/>
    <n v="6"/>
    <n v="7"/>
    <n v="7"/>
    <n v="8"/>
    <n v="8"/>
    <n v="8"/>
    <n v="8"/>
    <n v="8"/>
  </r>
  <r>
    <d v="2026-01-09T10:36:00"/>
    <x v="1"/>
    <x v="3"/>
    <x v="0"/>
    <x v="0"/>
    <x v="0"/>
    <x v="1"/>
    <x v="4"/>
    <n v="6"/>
    <n v="5"/>
    <n v="5"/>
    <n v="7"/>
    <n v="7"/>
    <n v="7"/>
    <n v="7"/>
    <n v="8"/>
    <n v="8"/>
  </r>
  <r>
    <d v="2026-01-09T10:37:00"/>
    <x v="1"/>
    <x v="4"/>
    <x v="0"/>
    <x v="0"/>
    <x v="0"/>
    <x v="3"/>
    <x v="4"/>
    <n v="6"/>
    <n v="6"/>
    <n v="6"/>
    <n v="6"/>
    <n v="6"/>
    <n v="6"/>
    <n v="6"/>
    <n v="6"/>
    <n v="6"/>
  </r>
  <r>
    <d v="2026-01-09T10:37:00"/>
    <x v="0"/>
    <x v="1"/>
    <x v="0"/>
    <x v="1"/>
    <x v="0"/>
    <x v="1"/>
    <x v="2"/>
    <n v="7"/>
    <n v="6"/>
    <n v="6"/>
    <n v="8"/>
    <n v="6"/>
    <n v="6"/>
    <n v="6"/>
    <n v="6"/>
    <n v="6"/>
  </r>
  <r>
    <d v="2026-01-09T10:38:00"/>
    <x v="1"/>
    <x v="1"/>
    <x v="0"/>
    <x v="1"/>
    <x v="0"/>
    <x v="6"/>
    <x v="1"/>
    <n v="4"/>
    <n v="4"/>
    <n v="1"/>
    <n v="4"/>
    <n v="4"/>
    <n v="4"/>
    <n v="5"/>
    <n v="5"/>
    <n v="5"/>
  </r>
  <r>
    <d v="2026-01-09T10:39:00"/>
    <x v="1"/>
    <x v="3"/>
    <x v="0"/>
    <x v="0"/>
    <x v="0"/>
    <x v="7"/>
    <x v="1"/>
    <n v="6"/>
    <n v="7"/>
    <n v="7"/>
    <n v="7"/>
    <n v="7"/>
    <n v="7"/>
    <n v="7"/>
    <n v="7"/>
    <n v="7"/>
  </r>
  <r>
    <d v="2026-01-09T10:40:00"/>
    <x v="0"/>
    <x v="4"/>
    <x v="0"/>
    <x v="1"/>
    <x v="0"/>
    <x v="1"/>
    <x v="3"/>
    <n v="8"/>
    <n v="8"/>
    <n v="8"/>
    <n v="8"/>
    <n v="8"/>
    <n v="8"/>
    <n v="8"/>
    <n v="8"/>
    <n v="8"/>
  </r>
  <r>
    <d v="2026-01-09T11:09:00"/>
    <x v="0"/>
    <x v="1"/>
    <x v="0"/>
    <x v="0"/>
    <x v="0"/>
    <x v="5"/>
    <x v="0"/>
    <n v="7"/>
    <n v="7"/>
    <n v="7"/>
    <n v="7"/>
    <n v="7"/>
    <n v="7"/>
    <n v="7"/>
    <n v="7"/>
    <n v="7"/>
  </r>
  <r>
    <d v="2026-01-09T11:09:00"/>
    <x v="1"/>
    <x v="5"/>
    <x v="0"/>
    <x v="1"/>
    <x v="0"/>
    <x v="3"/>
    <x v="2"/>
    <n v="9"/>
    <n v="9"/>
    <n v="9"/>
    <n v="9"/>
    <n v="9"/>
    <n v="9"/>
    <n v="9"/>
    <n v="9"/>
    <n v="9"/>
  </r>
  <r>
    <d v="2026-01-09T11:10:00"/>
    <x v="0"/>
    <x v="3"/>
    <x v="0"/>
    <x v="0"/>
    <x v="0"/>
    <x v="1"/>
    <x v="2"/>
    <n v="7"/>
    <n v="6"/>
    <n v="5"/>
    <n v="6"/>
    <n v="6"/>
    <n v="6"/>
    <n v="6"/>
    <n v="6"/>
    <n v="7"/>
  </r>
  <r>
    <d v="2026-01-09T11:10:00"/>
    <x v="0"/>
    <x v="3"/>
    <x v="0"/>
    <x v="0"/>
    <x v="0"/>
    <x v="5"/>
    <x v="3"/>
    <n v="8"/>
    <n v="8"/>
    <n v="8"/>
    <n v="9"/>
    <n v="8"/>
    <n v="10"/>
    <n v="7"/>
    <n v="7"/>
    <n v="10"/>
  </r>
  <r>
    <d v="2026-01-09T11:11:00"/>
    <x v="0"/>
    <x v="4"/>
    <x v="0"/>
    <x v="0"/>
    <x v="0"/>
    <x v="1"/>
    <x v="2"/>
    <n v="6"/>
    <n v="6"/>
    <n v="1"/>
    <n v="6"/>
    <n v="5"/>
    <n v="6"/>
    <n v="6"/>
    <n v="6"/>
    <n v="6"/>
  </r>
  <r>
    <d v="2026-01-09T11:12:00"/>
    <x v="1"/>
    <x v="1"/>
    <x v="0"/>
    <x v="1"/>
    <x v="0"/>
    <x v="3"/>
    <x v="3"/>
    <n v="8"/>
    <n v="8"/>
    <n v="3"/>
    <n v="9"/>
    <n v="8"/>
    <n v="8"/>
    <n v="8"/>
    <n v="8"/>
    <n v="8"/>
  </r>
  <r>
    <d v="2026-01-09T11:12:00"/>
    <x v="1"/>
    <x v="1"/>
    <x v="0"/>
    <x v="1"/>
    <x v="0"/>
    <x v="3"/>
    <x v="0"/>
    <n v="4"/>
    <n v="3"/>
    <n v="1"/>
    <n v="7"/>
    <n v="3"/>
    <n v="6"/>
    <n v="5"/>
    <n v="6"/>
    <n v="6"/>
  </r>
  <r>
    <d v="2026-01-09T11:13:00"/>
    <x v="0"/>
    <x v="3"/>
    <x v="0"/>
    <x v="1"/>
    <x v="0"/>
    <x v="1"/>
    <x v="0"/>
    <n v="6"/>
    <n v="6"/>
    <n v="1"/>
    <n v="7"/>
    <n v="5"/>
    <n v="6"/>
    <n v="6"/>
    <n v="6"/>
    <n v="6"/>
  </r>
  <r>
    <d v="2026-01-09T11:14:00"/>
    <x v="0"/>
    <x v="4"/>
    <x v="0"/>
    <x v="0"/>
    <x v="0"/>
    <x v="6"/>
    <x v="3"/>
    <n v="8"/>
    <n v="8"/>
    <n v="5"/>
    <n v="8"/>
    <n v="8"/>
    <n v="7"/>
    <n v="7"/>
    <n v="7"/>
    <n v="7"/>
  </r>
  <r>
    <d v="2026-01-09T11:15:00"/>
    <x v="0"/>
    <x v="0"/>
    <x v="0"/>
    <x v="0"/>
    <x v="0"/>
    <x v="5"/>
    <x v="0"/>
    <n v="7"/>
    <n v="8"/>
    <n v="4"/>
    <n v="8"/>
    <n v="5"/>
    <n v="7"/>
    <n v="5"/>
    <n v="6"/>
    <n v="6"/>
  </r>
  <r>
    <d v="2026-01-09T11:15:00"/>
    <x v="1"/>
    <x v="1"/>
    <x v="0"/>
    <x v="0"/>
    <x v="0"/>
    <x v="1"/>
    <x v="4"/>
    <n v="6"/>
    <n v="7"/>
    <n v="2"/>
    <n v="7"/>
    <n v="5"/>
    <n v="5"/>
    <n v="5"/>
    <n v="6"/>
    <n v="5"/>
  </r>
  <r>
    <d v="2026-01-09T11:16:00"/>
    <x v="1"/>
    <x v="4"/>
    <x v="0"/>
    <x v="1"/>
    <x v="0"/>
    <x v="6"/>
    <x v="3"/>
    <n v="2"/>
    <n v="1"/>
    <n v="1"/>
    <n v="6"/>
    <n v="2"/>
    <n v="3"/>
    <n v="1"/>
    <n v="5"/>
    <n v="4"/>
  </r>
  <r>
    <d v="2026-01-09T11:17:00"/>
    <x v="0"/>
    <x v="3"/>
    <x v="1"/>
    <x v="0"/>
    <x v="0"/>
    <x v="5"/>
    <x v="4"/>
    <n v="6"/>
    <n v="6"/>
    <n v="7"/>
    <n v="6"/>
    <n v="5"/>
    <n v="6"/>
    <n v="5"/>
    <n v="6"/>
    <n v="6"/>
  </r>
  <r>
    <d v="2026-01-09T11:18:00"/>
    <x v="1"/>
    <x v="3"/>
    <x v="0"/>
    <x v="0"/>
    <x v="0"/>
    <x v="5"/>
    <x v="0"/>
    <n v="6"/>
    <n v="7"/>
    <n v="1"/>
    <n v="9"/>
    <n v="5"/>
    <n v="4"/>
    <n v="4"/>
    <n v="5"/>
    <n v="5"/>
  </r>
  <r>
    <d v="2026-01-09T11:19:00"/>
    <x v="1"/>
    <x v="3"/>
    <x v="0"/>
    <x v="0"/>
    <x v="0"/>
    <x v="1"/>
    <x v="3"/>
    <n v="9"/>
    <n v="9"/>
    <n v="8"/>
    <n v="9"/>
    <n v="8"/>
    <n v="9"/>
    <n v="9"/>
    <n v="8"/>
    <n v="8"/>
  </r>
  <r>
    <d v="2026-01-09T11:20:00"/>
    <x v="1"/>
    <x v="3"/>
    <x v="0"/>
    <x v="1"/>
    <x v="0"/>
    <x v="3"/>
    <x v="2"/>
    <n v="8"/>
    <n v="8"/>
    <n v="5"/>
    <n v="7"/>
    <n v="7"/>
    <n v="5"/>
    <n v="5"/>
    <n v="6"/>
    <n v="6"/>
  </r>
  <r>
    <d v="2026-01-09T11:20:00"/>
    <x v="1"/>
    <x v="1"/>
    <x v="0"/>
    <x v="1"/>
    <x v="0"/>
    <x v="6"/>
    <x v="2"/>
    <n v="7"/>
    <n v="7"/>
    <n v="7"/>
    <n v="8"/>
    <n v="7"/>
    <n v="7"/>
    <n v="7"/>
    <n v="7"/>
    <n v="7"/>
  </r>
  <r>
    <d v="2026-01-09T11:21:00"/>
    <x v="0"/>
    <x v="3"/>
    <x v="0"/>
    <x v="0"/>
    <x v="0"/>
    <x v="7"/>
    <x v="1"/>
    <n v="6"/>
    <n v="5"/>
    <n v="5"/>
    <n v="7"/>
    <n v="6"/>
    <n v="7"/>
    <n v="5"/>
    <n v="6"/>
    <n v="6"/>
  </r>
  <r>
    <d v="2026-01-09T11:22:00"/>
    <x v="0"/>
    <x v="4"/>
    <x v="0"/>
    <x v="0"/>
    <x v="0"/>
    <x v="1"/>
    <x v="2"/>
    <n v="7"/>
    <n v="6"/>
    <n v="6"/>
    <n v="6"/>
    <n v="7"/>
    <n v="7"/>
    <n v="7"/>
    <n v="7"/>
    <n v="7"/>
  </r>
  <r>
    <d v="2026-01-09T11:22:00"/>
    <x v="1"/>
    <x v="1"/>
    <x v="0"/>
    <x v="1"/>
    <x v="0"/>
    <x v="1"/>
    <x v="4"/>
    <n v="6"/>
    <n v="7"/>
    <n v="7"/>
    <n v="6"/>
    <n v="6"/>
    <n v="6"/>
    <n v="6"/>
    <n v="7"/>
    <n v="7"/>
  </r>
  <r>
    <d v="2026-01-09T11:23:00"/>
    <x v="0"/>
    <x v="0"/>
    <x v="0"/>
    <x v="0"/>
    <x v="0"/>
    <x v="7"/>
    <x v="4"/>
    <n v="7"/>
    <n v="7"/>
    <n v="2"/>
    <n v="7"/>
    <n v="7"/>
    <n v="7"/>
    <n v="7"/>
    <n v="7"/>
    <n v="7"/>
  </r>
  <r>
    <d v="2026-01-09T11:24:00"/>
    <x v="1"/>
    <x v="1"/>
    <x v="0"/>
    <x v="1"/>
    <x v="0"/>
    <x v="3"/>
    <x v="3"/>
    <n v="4"/>
    <n v="5"/>
    <n v="2"/>
    <n v="6"/>
    <n v="3"/>
    <n v="3"/>
    <n v="1"/>
    <n v="3"/>
    <n v="1"/>
  </r>
  <r>
    <d v="2026-01-09T12:36:00"/>
    <x v="0"/>
    <x v="3"/>
    <x v="0"/>
    <x v="1"/>
    <x v="1"/>
    <x v="1"/>
    <x v="1"/>
    <n v="8"/>
    <n v="8"/>
    <n v="3"/>
    <n v="8"/>
    <n v="3"/>
    <n v="1"/>
    <n v="8"/>
    <n v="6"/>
    <n v="7"/>
  </r>
  <r>
    <d v="2026-01-09T14:35:00"/>
    <x v="0"/>
    <x v="3"/>
    <x v="0"/>
    <x v="1"/>
    <x v="0"/>
    <x v="1"/>
    <x v="4"/>
    <n v="7"/>
    <n v="7"/>
    <n v="4"/>
    <n v="7"/>
    <n v="7"/>
    <n v="6"/>
    <n v="5"/>
    <n v="7"/>
    <n v="6"/>
  </r>
  <r>
    <d v="2026-01-09T14:35:00"/>
    <x v="1"/>
    <x v="3"/>
    <x v="0"/>
    <x v="0"/>
    <x v="0"/>
    <x v="5"/>
    <x v="0"/>
    <n v="7"/>
    <n v="8"/>
    <n v="2"/>
    <n v="6"/>
    <n v="6"/>
    <n v="6"/>
    <n v="5"/>
    <n v="5"/>
    <n v="6"/>
  </r>
  <r>
    <d v="2026-01-09T14:36:00"/>
    <x v="0"/>
    <x v="4"/>
    <x v="0"/>
    <x v="1"/>
    <x v="0"/>
    <x v="3"/>
    <x v="3"/>
    <n v="3"/>
    <n v="3"/>
    <n v="1"/>
    <n v="6"/>
    <n v="1"/>
    <n v="1"/>
    <n v="1"/>
    <n v="1"/>
    <n v="1"/>
  </r>
  <r>
    <d v="2026-01-09T14:37:00"/>
    <x v="0"/>
    <x v="3"/>
    <x v="0"/>
    <x v="0"/>
    <x v="0"/>
    <x v="1"/>
    <x v="4"/>
    <n v="6"/>
    <n v="6"/>
    <n v="5"/>
    <n v="6"/>
    <n v="6"/>
    <n v="6"/>
    <n v="6"/>
    <n v="6"/>
    <n v="6"/>
  </r>
  <r>
    <d v="2026-01-09T14:37:00"/>
    <x v="0"/>
    <x v="1"/>
    <x v="0"/>
    <x v="1"/>
    <x v="0"/>
    <x v="1"/>
    <x v="4"/>
    <n v="8"/>
    <n v="9"/>
    <n v="5"/>
    <n v="7"/>
    <n v="6"/>
    <n v="7"/>
    <n v="7"/>
    <n v="7"/>
    <n v="7"/>
  </r>
  <r>
    <d v="2026-01-09T14:38:00"/>
    <x v="1"/>
    <x v="3"/>
    <x v="0"/>
    <x v="0"/>
    <x v="0"/>
    <x v="5"/>
    <x v="0"/>
    <n v="6"/>
    <n v="6"/>
    <n v="3"/>
    <n v="7"/>
    <n v="7"/>
    <n v="7"/>
    <n v="5"/>
    <n v="7"/>
    <n v="7"/>
  </r>
  <r>
    <d v="2026-01-09T14:39:00"/>
    <x v="0"/>
    <x v="1"/>
    <x v="0"/>
    <x v="0"/>
    <x v="0"/>
    <x v="3"/>
    <x v="3"/>
    <n v="8"/>
    <n v="8"/>
    <n v="6"/>
    <n v="7"/>
    <n v="7"/>
    <n v="4"/>
    <n v="5"/>
    <n v="5"/>
    <n v="5"/>
  </r>
  <r>
    <d v="2026-01-09T14:39:00"/>
    <x v="0"/>
    <x v="3"/>
    <x v="0"/>
    <x v="0"/>
    <x v="0"/>
    <x v="1"/>
    <x v="2"/>
    <n v="6"/>
    <n v="7"/>
    <n v="5"/>
    <n v="7"/>
    <n v="6"/>
    <n v="6"/>
    <n v="6"/>
    <n v="6"/>
    <n v="6"/>
  </r>
  <r>
    <d v="2026-01-09T14:51:00"/>
    <x v="1"/>
    <x v="3"/>
    <x v="0"/>
    <x v="1"/>
    <x v="1"/>
    <x v="3"/>
    <x v="1"/>
    <n v="6"/>
    <n v="7"/>
    <n v="5"/>
    <n v="8"/>
    <n v="6"/>
    <n v="3"/>
    <n v="6"/>
    <n v="8"/>
    <n v="6"/>
  </r>
  <r>
    <d v="2026-01-09T15:15:00"/>
    <x v="0"/>
    <x v="3"/>
    <x v="0"/>
    <x v="1"/>
    <x v="0"/>
    <x v="3"/>
    <x v="4"/>
    <n v="4"/>
    <n v="4"/>
    <n v="1"/>
    <n v="6"/>
    <n v="3"/>
    <n v="2"/>
    <n v="1"/>
    <n v="5"/>
    <n v="4"/>
  </r>
  <r>
    <d v="2026-01-09T15:16:00"/>
    <x v="0"/>
    <x v="1"/>
    <x v="0"/>
    <x v="1"/>
    <x v="0"/>
    <x v="3"/>
    <x v="2"/>
    <n v="6"/>
    <n v="7"/>
    <n v="4"/>
    <n v="8"/>
    <n v="6"/>
    <n v="6"/>
    <n v="5"/>
    <n v="7"/>
    <n v="6"/>
  </r>
  <r>
    <d v="2026-01-09T15:16:00"/>
    <x v="0"/>
    <x v="5"/>
    <x v="0"/>
    <x v="1"/>
    <x v="0"/>
    <x v="6"/>
    <x v="3"/>
    <n v="8"/>
    <n v="8"/>
    <n v="9"/>
    <n v="9"/>
    <n v="7"/>
    <n v="8"/>
    <n v="8"/>
    <n v="8"/>
    <n v="7"/>
  </r>
  <r>
    <d v="2026-01-09T15:17:00"/>
    <x v="0"/>
    <x v="1"/>
    <x v="0"/>
    <x v="0"/>
    <x v="0"/>
    <x v="1"/>
    <x v="4"/>
    <n v="5"/>
    <n v="5"/>
    <n v="2"/>
    <n v="6"/>
    <n v="5"/>
    <n v="4"/>
    <n v="5"/>
    <n v="5"/>
    <n v="4"/>
  </r>
  <r>
    <d v="2026-01-09T15:18:00"/>
    <x v="1"/>
    <x v="3"/>
    <x v="0"/>
    <x v="0"/>
    <x v="0"/>
    <x v="1"/>
    <x v="4"/>
    <n v="7"/>
    <n v="7"/>
    <n v="5"/>
    <n v="7"/>
    <n v="5"/>
    <n v="6"/>
    <n v="5"/>
    <n v="7"/>
    <n v="6"/>
  </r>
  <r>
    <d v="2026-01-09T15:22:00"/>
    <x v="1"/>
    <x v="4"/>
    <x v="0"/>
    <x v="0"/>
    <x v="0"/>
    <x v="3"/>
    <x v="2"/>
    <n v="7"/>
    <n v="7"/>
    <n v="5"/>
    <n v="8"/>
    <n v="6"/>
    <n v="6"/>
    <n v="6"/>
    <n v="7"/>
    <n v="7"/>
  </r>
  <r>
    <d v="2026-01-09T15:23:00"/>
    <x v="0"/>
    <x v="3"/>
    <x v="0"/>
    <x v="0"/>
    <x v="0"/>
    <x v="5"/>
    <x v="1"/>
    <n v="4"/>
    <n v="4"/>
    <n v="2"/>
    <n v="8"/>
    <n v="5"/>
    <n v="5"/>
    <n v="4"/>
    <n v="6"/>
    <n v="5"/>
  </r>
  <r>
    <d v="2026-01-09T15:24:00"/>
    <x v="0"/>
    <x v="4"/>
    <x v="0"/>
    <x v="0"/>
    <x v="0"/>
    <x v="1"/>
    <x v="3"/>
    <n v="10"/>
    <n v="10"/>
    <n v="7"/>
    <n v="7"/>
    <n v="8"/>
    <n v="7"/>
    <n v="8"/>
    <n v="8"/>
    <n v="8"/>
  </r>
  <r>
    <d v="2026-01-09T15:25:00"/>
    <x v="1"/>
    <x v="0"/>
    <x v="0"/>
    <x v="0"/>
    <x v="0"/>
    <x v="7"/>
    <x v="1"/>
    <n v="8"/>
    <n v="8"/>
    <n v="5"/>
    <n v="9"/>
    <n v="10"/>
    <n v="10"/>
    <n v="9"/>
    <n v="9"/>
    <n v="10"/>
  </r>
  <r>
    <d v="2026-01-09T15:25:00"/>
    <x v="0"/>
    <x v="3"/>
    <x v="0"/>
    <x v="2"/>
    <x v="0"/>
    <x v="7"/>
    <x v="0"/>
    <n v="7"/>
    <n v="7"/>
    <n v="5"/>
    <n v="6"/>
    <n v="5"/>
    <n v="5"/>
    <n v="5"/>
    <n v="5"/>
    <n v="6"/>
  </r>
  <r>
    <d v="2026-01-09T15:26:00"/>
    <x v="1"/>
    <x v="3"/>
    <x v="0"/>
    <x v="0"/>
    <x v="0"/>
    <x v="5"/>
    <x v="4"/>
    <n v="8"/>
    <n v="8"/>
    <n v="8"/>
    <n v="8"/>
    <n v="8"/>
    <n v="8"/>
    <n v="8"/>
    <n v="8"/>
    <n v="8"/>
  </r>
  <r>
    <d v="2026-01-09T15:26:00"/>
    <x v="1"/>
    <x v="0"/>
    <x v="0"/>
    <x v="0"/>
    <x v="0"/>
    <x v="1"/>
    <x v="4"/>
    <n v="9"/>
    <n v="9"/>
    <n v="3"/>
    <n v="10"/>
    <n v="8"/>
    <n v="8"/>
    <n v="6"/>
    <n v="8"/>
    <n v="8"/>
  </r>
  <r>
    <d v="2026-01-09T15:27:00"/>
    <x v="0"/>
    <x v="5"/>
    <x v="0"/>
    <x v="1"/>
    <x v="2"/>
    <x v="1"/>
    <x v="4"/>
    <n v="6"/>
    <n v="6"/>
    <n v="1"/>
    <n v="6"/>
    <n v="5"/>
    <n v="6"/>
    <n v="5"/>
    <n v="6"/>
    <n v="6"/>
  </r>
  <r>
    <d v="2026-01-09T15:30:00"/>
    <x v="0"/>
    <x v="0"/>
    <x v="0"/>
    <x v="0"/>
    <x v="0"/>
    <x v="5"/>
    <x v="0"/>
    <n v="8"/>
    <n v="8"/>
    <n v="5"/>
    <n v="8"/>
    <n v="5"/>
    <n v="6"/>
    <n v="5"/>
    <n v="6"/>
    <n v="6"/>
  </r>
  <r>
    <d v="2026-01-09T15:31:00"/>
    <x v="0"/>
    <x v="0"/>
    <x v="0"/>
    <x v="0"/>
    <x v="0"/>
    <x v="1"/>
    <x v="2"/>
    <n v="6"/>
    <n v="6"/>
    <n v="3"/>
    <n v="7"/>
    <n v="5"/>
    <n v="6"/>
    <n v="5"/>
    <n v="5"/>
    <n v="6"/>
  </r>
  <r>
    <d v="2026-01-09T15:32:00"/>
    <x v="1"/>
    <x v="2"/>
    <x v="0"/>
    <x v="0"/>
    <x v="0"/>
    <x v="7"/>
    <x v="1"/>
    <n v="8"/>
    <n v="9"/>
    <n v="9"/>
    <n v="10"/>
    <n v="8"/>
    <n v="8"/>
    <n v="9"/>
    <n v="10"/>
    <n v="10"/>
  </r>
  <r>
    <d v="2026-01-09T16:25:00"/>
    <x v="1"/>
    <x v="5"/>
    <x v="0"/>
    <x v="0"/>
    <x v="0"/>
    <x v="2"/>
    <x v="1"/>
    <n v="7"/>
    <n v="7"/>
    <n v="6"/>
    <n v="7"/>
    <n v="7"/>
    <n v="1"/>
    <n v="5"/>
    <n v="7"/>
    <n v="7"/>
  </r>
  <r>
    <d v="2026-01-09T16:50:00"/>
    <x v="0"/>
    <x v="3"/>
    <x v="0"/>
    <x v="0"/>
    <x v="0"/>
    <x v="1"/>
    <x v="4"/>
    <n v="5"/>
    <n v="10"/>
    <n v="5"/>
    <n v="5"/>
    <n v="2"/>
    <n v="3"/>
    <n v="2"/>
    <n v="5"/>
    <n v="5"/>
  </r>
  <r>
    <d v="2026-01-09T16:56:00"/>
    <x v="1"/>
    <x v="3"/>
    <x v="0"/>
    <x v="0"/>
    <x v="2"/>
    <x v="2"/>
    <x v="1"/>
    <n v="5"/>
    <n v="5"/>
    <n v="5"/>
    <n v="10"/>
    <n v="10"/>
    <n v="5"/>
    <n v="5"/>
    <n v="5"/>
    <n v="5"/>
  </r>
  <r>
    <d v="2026-01-09T17:12:00"/>
    <x v="1"/>
    <x v="3"/>
    <x v="0"/>
    <x v="1"/>
    <x v="0"/>
    <x v="5"/>
    <x v="1"/>
    <n v="10"/>
    <n v="10"/>
    <n v="10"/>
    <n v="10"/>
    <n v="10"/>
    <n v="10"/>
    <n v="10"/>
    <n v="10"/>
    <n v="10"/>
  </r>
  <r>
    <d v="2026-01-09T17:12:00"/>
    <x v="1"/>
    <x v="3"/>
    <x v="0"/>
    <x v="0"/>
    <x v="0"/>
    <x v="7"/>
    <x v="0"/>
    <n v="9"/>
    <n v="9"/>
    <n v="8"/>
    <n v="10"/>
    <n v="8"/>
    <n v="8"/>
    <n v="10"/>
    <n v="9"/>
    <n v="9"/>
  </r>
  <r>
    <d v="2026-01-09T18:35:00"/>
    <x v="1"/>
    <x v="0"/>
    <x v="0"/>
    <x v="0"/>
    <x v="0"/>
    <x v="2"/>
    <x v="1"/>
    <n v="8"/>
    <n v="7"/>
    <n v="9"/>
    <n v="5"/>
    <n v="7"/>
    <n v="7"/>
    <n v="7"/>
    <n v="6"/>
    <n v="7"/>
  </r>
  <r>
    <d v="2026-01-09T18:52:00"/>
    <x v="0"/>
    <x v="3"/>
    <x v="0"/>
    <x v="0"/>
    <x v="0"/>
    <x v="7"/>
    <x v="1"/>
    <n v="7"/>
    <n v="7"/>
    <n v="4"/>
    <n v="8"/>
    <n v="7"/>
    <n v="7"/>
    <n v="5"/>
    <n v="5"/>
    <n v="7"/>
  </r>
  <r>
    <d v="2026-01-09T18:57:00"/>
    <x v="1"/>
    <x v="3"/>
    <x v="0"/>
    <x v="0"/>
    <x v="0"/>
    <x v="7"/>
    <x v="4"/>
    <n v="6"/>
    <n v="10"/>
    <n v="5"/>
    <n v="4"/>
    <n v="3"/>
    <n v="7"/>
    <n v="4"/>
    <n v="4"/>
    <n v="5"/>
  </r>
  <r>
    <d v="2026-01-09T18:58:00"/>
    <x v="1"/>
    <x v="0"/>
    <x v="0"/>
    <x v="1"/>
    <x v="0"/>
    <x v="2"/>
    <x v="1"/>
    <n v="10"/>
    <n v="10"/>
    <n v="10"/>
    <n v="10"/>
    <n v="10"/>
    <n v="10"/>
    <n v="10"/>
    <n v="10"/>
    <n v="10"/>
  </r>
  <r>
    <d v="2026-01-09T19:09:00"/>
    <x v="1"/>
    <x v="3"/>
    <x v="0"/>
    <x v="0"/>
    <x v="0"/>
    <x v="5"/>
    <x v="1"/>
    <n v="7"/>
    <n v="9"/>
    <n v="8"/>
    <n v="6"/>
    <n v="5"/>
    <n v="3"/>
    <n v="9"/>
    <n v="3"/>
    <n v="4"/>
  </r>
  <r>
    <d v="2026-01-09T19:12:00"/>
    <x v="0"/>
    <x v="1"/>
    <x v="0"/>
    <x v="0"/>
    <x v="0"/>
    <x v="1"/>
    <x v="2"/>
    <n v="3"/>
    <n v="8"/>
    <n v="8"/>
    <n v="4"/>
    <n v="4"/>
    <n v="3"/>
    <n v="7"/>
    <n v="5"/>
    <n v="5"/>
  </r>
  <r>
    <d v="2026-01-09T19:19:00"/>
    <x v="0"/>
    <x v="5"/>
    <x v="0"/>
    <x v="1"/>
    <x v="2"/>
    <x v="0"/>
    <x v="4"/>
    <n v="2"/>
    <n v="2"/>
    <n v="2"/>
    <n v="1"/>
    <n v="2"/>
    <n v="2"/>
    <n v="2"/>
    <n v="2"/>
    <n v="2"/>
  </r>
  <r>
    <d v="2026-01-10T07:22:00"/>
    <x v="0"/>
    <x v="1"/>
    <x v="0"/>
    <x v="1"/>
    <x v="0"/>
    <x v="6"/>
    <x v="4"/>
    <n v="10"/>
    <n v="8"/>
    <n v="8"/>
    <n v="8"/>
    <n v="10"/>
    <n v="10"/>
    <n v="6"/>
    <n v="8"/>
    <n v="8"/>
  </r>
  <r>
    <d v="2026-01-10T09:06:00"/>
    <x v="1"/>
    <x v="3"/>
    <x v="0"/>
    <x v="0"/>
    <x v="0"/>
    <x v="1"/>
    <x v="0"/>
    <n v="10"/>
    <n v="10"/>
    <n v="10"/>
    <n v="10"/>
    <n v="10"/>
    <n v="9"/>
    <n v="9"/>
    <n v="10"/>
    <n v="10"/>
  </r>
  <r>
    <d v="2026-01-10T13:52:00"/>
    <x v="0"/>
    <x v="2"/>
    <x v="0"/>
    <x v="0"/>
    <x v="0"/>
    <x v="4"/>
    <x v="1"/>
    <n v="7"/>
    <n v="7"/>
    <n v="5"/>
    <n v="8"/>
    <n v="8"/>
    <n v="9"/>
    <n v="9"/>
    <n v="9"/>
    <n v="10"/>
  </r>
  <r>
    <d v="2026-01-10T13:52:00"/>
    <x v="0"/>
    <x v="2"/>
    <x v="0"/>
    <x v="0"/>
    <x v="0"/>
    <x v="0"/>
    <x v="1"/>
    <n v="6"/>
    <n v="5"/>
    <n v="4"/>
    <n v="7"/>
    <n v="5"/>
    <n v="6"/>
    <n v="6"/>
    <n v="7"/>
    <n v="7"/>
  </r>
  <r>
    <d v="2026-01-10T13:57:00"/>
    <x v="1"/>
    <x v="0"/>
    <x v="0"/>
    <x v="0"/>
    <x v="0"/>
    <x v="4"/>
    <x v="1"/>
    <n v="8"/>
    <n v="9"/>
    <n v="10"/>
    <n v="10"/>
    <n v="8"/>
    <n v="9"/>
    <n v="8"/>
    <n v="8"/>
    <n v="10"/>
  </r>
  <r>
    <d v="2026-01-11T09:35:00"/>
    <x v="1"/>
    <x v="2"/>
    <x v="0"/>
    <x v="0"/>
    <x v="0"/>
    <x v="0"/>
    <x v="1"/>
    <n v="6"/>
    <n v="6"/>
    <n v="7"/>
    <n v="7"/>
    <n v="7"/>
    <n v="8"/>
    <n v="5"/>
    <n v="5"/>
    <n v="8"/>
  </r>
  <r>
    <d v="2026-01-11T10:21:00"/>
    <x v="0"/>
    <x v="2"/>
    <x v="0"/>
    <x v="0"/>
    <x v="0"/>
    <x v="0"/>
    <x v="1"/>
    <n v="7"/>
    <n v="8"/>
    <n v="8"/>
    <n v="8"/>
    <n v="5"/>
    <n v="8"/>
    <n v="6"/>
    <n v="6"/>
    <n v="8"/>
  </r>
  <r>
    <d v="2026-01-11T21:19:00"/>
    <x v="1"/>
    <x v="2"/>
    <x v="0"/>
    <x v="0"/>
    <x v="0"/>
    <x v="4"/>
    <x v="1"/>
    <n v="4"/>
    <n v="5"/>
    <n v="5"/>
    <n v="7"/>
    <n v="5"/>
    <n v="8"/>
    <n v="5"/>
    <n v="6"/>
    <n v="8"/>
  </r>
  <r>
    <d v="2026-01-11T21:20:00"/>
    <x v="0"/>
    <x v="0"/>
    <x v="0"/>
    <x v="0"/>
    <x v="0"/>
    <x v="7"/>
    <x v="1"/>
    <n v="6"/>
    <n v="8"/>
    <n v="5"/>
    <n v="6"/>
    <n v="6"/>
    <n v="7"/>
    <n v="6"/>
    <n v="7"/>
    <n v="7"/>
  </r>
  <r>
    <d v="2026-01-12T11:29:00"/>
    <x v="0"/>
    <x v="2"/>
    <x v="0"/>
    <x v="0"/>
    <x v="0"/>
    <x v="0"/>
    <x v="1"/>
    <n v="7"/>
    <n v="7"/>
    <n v="5"/>
    <n v="8"/>
    <n v="5"/>
    <n v="8"/>
    <n v="5"/>
    <n v="7"/>
    <n v="8"/>
  </r>
  <r>
    <d v="2026-01-12T11:30:00"/>
    <x v="0"/>
    <x v="0"/>
    <x v="0"/>
    <x v="1"/>
    <x v="0"/>
    <x v="4"/>
    <x v="1"/>
    <n v="4"/>
    <n v="4"/>
    <n v="6"/>
    <n v="7"/>
    <n v="5"/>
    <n v="8"/>
    <n v="5"/>
    <n v="5"/>
    <n v="8"/>
  </r>
  <r>
    <d v="2026-01-12T11:31:00"/>
    <x v="0"/>
    <x v="2"/>
    <x v="0"/>
    <x v="0"/>
    <x v="0"/>
    <x v="0"/>
    <x v="1"/>
    <n v="8"/>
    <n v="8"/>
    <n v="10"/>
    <n v="10"/>
    <n v="9"/>
    <n v="10"/>
    <n v="8"/>
    <n v="8"/>
    <n v="10"/>
  </r>
  <r>
    <d v="2026-01-12T11:32:00"/>
    <x v="1"/>
    <x v="3"/>
    <x v="0"/>
    <x v="1"/>
    <x v="0"/>
    <x v="7"/>
    <x v="1"/>
    <n v="5"/>
    <n v="7"/>
    <n v="7"/>
    <n v="9"/>
    <n v="5"/>
    <n v="6"/>
    <n v="5"/>
    <n v="7"/>
    <n v="7"/>
  </r>
  <r>
    <d v="2026-01-12T11:33:00"/>
    <x v="0"/>
    <x v="2"/>
    <x v="0"/>
    <x v="0"/>
    <x v="0"/>
    <x v="0"/>
    <x v="1"/>
    <n v="8"/>
    <n v="8"/>
    <n v="7"/>
    <n v="9"/>
    <n v="9"/>
    <n v="9"/>
    <n v="7"/>
    <n v="9"/>
    <n v="9"/>
  </r>
  <r>
    <d v="2026-01-12T11:34:00"/>
    <x v="1"/>
    <x v="0"/>
    <x v="0"/>
    <x v="0"/>
    <x v="0"/>
    <x v="7"/>
    <x v="1"/>
    <n v="5"/>
    <n v="5"/>
    <n v="5"/>
    <n v="7"/>
    <n v="5"/>
    <n v="7"/>
    <n v="5"/>
    <n v="5"/>
    <n v="7"/>
  </r>
  <r>
    <d v="2026-01-12T11:37:00"/>
    <x v="1"/>
    <x v="0"/>
    <x v="0"/>
    <x v="1"/>
    <x v="0"/>
    <x v="7"/>
    <x v="1"/>
    <n v="7"/>
    <n v="7"/>
    <n v="8"/>
    <n v="8"/>
    <n v="6"/>
    <n v="7"/>
    <n v="6"/>
    <n v="7"/>
    <n v="7"/>
  </r>
  <r>
    <d v="2026-01-12T11:38:00"/>
    <x v="0"/>
    <x v="2"/>
    <x v="0"/>
    <x v="0"/>
    <x v="0"/>
    <x v="2"/>
    <x v="1"/>
    <n v="7"/>
    <n v="7"/>
    <n v="5"/>
    <n v="7"/>
    <n v="7"/>
    <n v="7"/>
    <n v="5"/>
    <n v="5"/>
    <n v="8"/>
  </r>
  <r>
    <d v="2026-01-12T11:39:00"/>
    <x v="1"/>
    <x v="3"/>
    <x v="0"/>
    <x v="0"/>
    <x v="0"/>
    <x v="5"/>
    <x v="0"/>
    <n v="2"/>
    <n v="2"/>
    <n v="6"/>
    <n v="7"/>
    <n v="2"/>
    <n v="5"/>
    <n v="5"/>
    <n v="6"/>
    <n v="5"/>
  </r>
  <r>
    <d v="2026-01-12T11:40:00"/>
    <x v="0"/>
    <x v="1"/>
    <x v="0"/>
    <x v="0"/>
    <x v="0"/>
    <x v="1"/>
    <x v="4"/>
    <n v="8"/>
    <n v="9"/>
    <n v="9"/>
    <n v="10"/>
    <n v="8"/>
    <n v="10"/>
    <n v="9"/>
    <n v="9"/>
    <n v="10"/>
  </r>
  <r>
    <d v="2026-01-12T11:41:00"/>
    <x v="0"/>
    <x v="0"/>
    <x v="0"/>
    <x v="0"/>
    <x v="0"/>
    <x v="4"/>
    <x v="1"/>
    <n v="7"/>
    <n v="7"/>
    <n v="7"/>
    <n v="9"/>
    <n v="7"/>
    <n v="8"/>
    <n v="5"/>
    <n v="7"/>
    <n v="8"/>
  </r>
  <r>
    <d v="2026-01-12T11:44:00"/>
    <x v="1"/>
    <x v="1"/>
    <x v="0"/>
    <x v="1"/>
    <x v="0"/>
    <x v="3"/>
    <x v="2"/>
    <n v="7"/>
    <n v="8"/>
    <n v="9"/>
    <n v="9"/>
    <n v="9"/>
    <n v="8"/>
    <n v="7"/>
    <n v="7"/>
    <n v="9"/>
  </r>
  <r>
    <d v="2026-01-12T11:47:00"/>
    <x v="0"/>
    <x v="0"/>
    <x v="0"/>
    <x v="0"/>
    <x v="0"/>
    <x v="0"/>
    <x v="1"/>
    <n v="7"/>
    <n v="7"/>
    <n v="9"/>
    <n v="9"/>
    <n v="9"/>
    <n v="9"/>
    <n v="5"/>
    <n v="6"/>
    <n v="9"/>
  </r>
  <r>
    <d v="2026-01-12T11:47:00"/>
    <x v="1"/>
    <x v="2"/>
    <x v="0"/>
    <x v="0"/>
    <x v="0"/>
    <x v="0"/>
    <x v="1"/>
    <n v="3"/>
    <n v="3"/>
    <n v="5"/>
    <n v="6"/>
    <n v="4"/>
    <n v="5"/>
    <n v="5"/>
    <n v="5"/>
    <n v="5"/>
  </r>
  <r>
    <d v="2026-01-12T12:11:00"/>
    <x v="1"/>
    <x v="3"/>
    <x v="0"/>
    <x v="0"/>
    <x v="0"/>
    <x v="7"/>
    <x v="0"/>
    <n v="4"/>
    <n v="4"/>
    <n v="5"/>
    <n v="6"/>
    <n v="4"/>
    <n v="5"/>
    <n v="3"/>
    <n v="4"/>
    <n v="5"/>
  </r>
  <r>
    <d v="2026-01-12T12:12:00"/>
    <x v="0"/>
    <x v="2"/>
    <x v="0"/>
    <x v="0"/>
    <x v="0"/>
    <x v="4"/>
    <x v="1"/>
    <n v="7"/>
    <n v="7"/>
    <n v="9"/>
    <n v="9"/>
    <n v="8"/>
    <n v="9"/>
    <n v="7"/>
    <n v="9"/>
    <n v="9"/>
  </r>
  <r>
    <d v="2026-01-12T12:13:00"/>
    <x v="1"/>
    <x v="1"/>
    <x v="0"/>
    <x v="1"/>
    <x v="0"/>
    <x v="3"/>
    <x v="0"/>
    <n v="6"/>
    <n v="6"/>
    <n v="8"/>
    <n v="8"/>
    <n v="6"/>
    <n v="7"/>
    <n v="6"/>
    <n v="7"/>
    <n v="7"/>
  </r>
  <r>
    <d v="2026-01-12T12:14:00"/>
    <x v="0"/>
    <x v="4"/>
    <x v="0"/>
    <x v="1"/>
    <x v="1"/>
    <x v="6"/>
    <x v="2"/>
    <n v="2"/>
    <n v="2"/>
    <n v="3"/>
    <n v="5"/>
    <n v="1"/>
    <n v="1"/>
    <n v="1"/>
    <n v="3"/>
    <n v="1"/>
  </r>
  <r>
    <d v="2026-01-12T12:20:00"/>
    <x v="1"/>
    <x v="2"/>
    <x v="0"/>
    <x v="0"/>
    <x v="0"/>
    <x v="0"/>
    <x v="1"/>
    <n v="7"/>
    <n v="7"/>
    <n v="8"/>
    <n v="10"/>
    <n v="9"/>
    <n v="10"/>
    <n v="8"/>
    <n v="8"/>
    <n v="10"/>
  </r>
  <r>
    <d v="2026-01-12T12:21:00"/>
    <x v="0"/>
    <x v="0"/>
    <x v="0"/>
    <x v="0"/>
    <x v="0"/>
    <x v="4"/>
    <x v="1"/>
    <n v="4"/>
    <n v="5"/>
    <n v="5"/>
    <n v="6"/>
    <n v="5"/>
    <n v="6"/>
    <n v="5"/>
    <n v="5"/>
    <n v="6"/>
  </r>
  <r>
    <d v="2026-01-12T12:22:00"/>
    <x v="1"/>
    <x v="3"/>
    <x v="0"/>
    <x v="0"/>
    <x v="0"/>
    <x v="7"/>
    <x v="1"/>
    <n v="7"/>
    <n v="8"/>
    <n v="7"/>
    <n v="7"/>
    <n v="6"/>
    <n v="8"/>
    <n v="6"/>
    <n v="8"/>
    <n v="8"/>
  </r>
  <r>
    <d v="2026-01-12T12:23:00"/>
    <x v="1"/>
    <x v="2"/>
    <x v="0"/>
    <x v="0"/>
    <x v="0"/>
    <x v="0"/>
    <x v="1"/>
    <n v="8"/>
    <n v="8"/>
    <n v="9"/>
    <n v="9"/>
    <n v="8"/>
    <n v="9"/>
    <n v="10"/>
    <n v="9"/>
    <n v="10"/>
  </r>
  <r>
    <d v="2026-01-12T12:23:00"/>
    <x v="0"/>
    <x v="2"/>
    <x v="0"/>
    <x v="0"/>
    <x v="0"/>
    <x v="0"/>
    <x v="1"/>
    <n v="7"/>
    <n v="7"/>
    <n v="8"/>
    <n v="8"/>
    <n v="6"/>
    <n v="7"/>
    <n v="6"/>
    <n v="6"/>
    <n v="7"/>
  </r>
  <r>
    <d v="2026-01-12T14:12:00"/>
    <x v="1"/>
    <x v="0"/>
    <x v="0"/>
    <x v="0"/>
    <x v="0"/>
    <x v="0"/>
    <x v="1"/>
    <n v="7"/>
    <n v="8"/>
    <n v="8"/>
    <n v="8"/>
    <n v="5"/>
    <n v="8"/>
    <n v="5"/>
    <n v="8"/>
    <n v="8"/>
  </r>
  <r>
    <d v="2026-01-12T14:13:00"/>
    <x v="0"/>
    <x v="2"/>
    <x v="0"/>
    <x v="0"/>
    <x v="0"/>
    <x v="2"/>
    <x v="1"/>
    <n v="8"/>
    <n v="8"/>
    <n v="8"/>
    <n v="9"/>
    <n v="8"/>
    <n v="8"/>
    <n v="7"/>
    <n v="7"/>
    <n v="8"/>
  </r>
  <r>
    <d v="2026-01-12T14:14:00"/>
    <x v="1"/>
    <x v="2"/>
    <x v="0"/>
    <x v="0"/>
    <x v="0"/>
    <x v="2"/>
    <x v="1"/>
    <n v="5"/>
    <n v="5"/>
    <n v="6"/>
    <n v="7"/>
    <n v="5"/>
    <n v="8"/>
    <n v="6"/>
    <n v="6"/>
    <n v="7"/>
  </r>
  <r>
    <d v="2026-01-12T14:15:00"/>
    <x v="1"/>
    <x v="0"/>
    <x v="0"/>
    <x v="0"/>
    <x v="0"/>
    <x v="0"/>
    <x v="1"/>
    <n v="7"/>
    <n v="7"/>
    <n v="8"/>
    <n v="7"/>
    <n v="8"/>
    <n v="8"/>
    <n v="8"/>
    <n v="7"/>
    <n v="8"/>
  </r>
  <r>
    <d v="2026-01-12T14:16:00"/>
    <x v="1"/>
    <x v="3"/>
    <x v="0"/>
    <x v="1"/>
    <x v="0"/>
    <x v="1"/>
    <x v="4"/>
    <n v="7"/>
    <n v="7"/>
    <n v="5"/>
    <n v="8"/>
    <n v="6"/>
    <n v="5"/>
    <n v="5"/>
    <n v="6"/>
    <n v="5"/>
  </r>
  <r>
    <d v="2026-01-12T14:28:00"/>
    <x v="0"/>
    <x v="0"/>
    <x v="0"/>
    <x v="0"/>
    <x v="0"/>
    <x v="0"/>
    <x v="1"/>
    <n v="7"/>
    <n v="7"/>
    <n v="5"/>
    <n v="8"/>
    <n v="7"/>
    <n v="7"/>
    <n v="6"/>
    <n v="7"/>
    <n v="7"/>
  </r>
  <r>
    <d v="2026-01-12T14:29:00"/>
    <x v="0"/>
    <x v="3"/>
    <x v="0"/>
    <x v="0"/>
    <x v="0"/>
    <x v="7"/>
    <x v="0"/>
    <n v="9"/>
    <n v="8"/>
    <n v="8"/>
    <n v="9"/>
    <n v="7"/>
    <n v="8"/>
    <n v="7"/>
    <n v="7"/>
    <n v="8"/>
  </r>
  <r>
    <d v="2026-01-12T14:33:00"/>
    <x v="0"/>
    <x v="0"/>
    <x v="0"/>
    <x v="0"/>
    <x v="0"/>
    <x v="4"/>
    <x v="1"/>
    <n v="8"/>
    <n v="8"/>
    <n v="7"/>
    <n v="8"/>
    <n v="6"/>
    <n v="8"/>
    <n v="6"/>
    <n v="6"/>
    <n v="8"/>
  </r>
  <r>
    <d v="2026-01-12T15:39:00"/>
    <x v="0"/>
    <x v="0"/>
    <x v="0"/>
    <x v="0"/>
    <x v="0"/>
    <x v="4"/>
    <x v="1"/>
    <n v="8"/>
    <n v="8"/>
    <n v="7"/>
    <n v="7"/>
    <n v="6"/>
    <n v="7"/>
    <n v="6"/>
    <n v="6"/>
    <n v="7"/>
  </r>
  <r>
    <d v="2026-01-12T15:42:00"/>
    <x v="0"/>
    <x v="0"/>
    <x v="0"/>
    <x v="0"/>
    <x v="0"/>
    <x v="4"/>
    <x v="1"/>
    <n v="4"/>
    <n v="4"/>
    <n v="5"/>
    <n v="7"/>
    <n v="5"/>
    <n v="6"/>
    <n v="6"/>
    <n v="6"/>
    <n v="6"/>
  </r>
  <r>
    <d v="2026-01-12T15:42:00"/>
    <x v="0"/>
    <x v="0"/>
    <x v="0"/>
    <x v="0"/>
    <x v="0"/>
    <x v="7"/>
    <x v="1"/>
    <n v="7"/>
    <n v="7"/>
    <n v="8"/>
    <n v="8"/>
    <n v="7"/>
    <n v="7"/>
    <n v="8"/>
    <n v="7"/>
    <n v="8"/>
  </r>
  <r>
    <d v="2026-01-12T15:43:00"/>
    <x v="0"/>
    <x v="3"/>
    <x v="0"/>
    <x v="0"/>
    <x v="0"/>
    <x v="5"/>
    <x v="4"/>
    <n v="8"/>
    <n v="8"/>
    <n v="6"/>
    <n v="7"/>
    <n v="6"/>
    <n v="7"/>
    <n v="5"/>
    <n v="7"/>
    <n v="7"/>
  </r>
  <r>
    <d v="2026-01-12T16:48:00"/>
    <x v="0"/>
    <x v="3"/>
    <x v="0"/>
    <x v="0"/>
    <x v="0"/>
    <x v="7"/>
    <x v="0"/>
    <n v="6"/>
    <n v="6"/>
    <n v="8"/>
    <n v="7"/>
    <n v="7"/>
    <n v="7"/>
    <n v="5"/>
    <n v="6"/>
    <n v="7"/>
  </r>
  <r>
    <d v="2026-01-12T16:49:00"/>
    <x v="1"/>
    <x v="1"/>
    <x v="0"/>
    <x v="0"/>
    <x v="0"/>
    <x v="3"/>
    <x v="3"/>
    <n v="7"/>
    <n v="7"/>
    <n v="8"/>
    <n v="8"/>
    <n v="6"/>
    <n v="7"/>
    <n v="5"/>
    <n v="7"/>
    <n v="7"/>
  </r>
  <r>
    <d v="2026-01-12T16:50:00"/>
    <x v="0"/>
    <x v="2"/>
    <x v="0"/>
    <x v="0"/>
    <x v="0"/>
    <x v="0"/>
    <x v="1"/>
    <n v="9"/>
    <n v="9"/>
    <n v="10"/>
    <n v="10"/>
    <n v="9"/>
    <n v="10"/>
    <n v="8"/>
    <n v="8"/>
    <n v="9"/>
  </r>
  <r>
    <d v="2026-01-12T17:17:00"/>
    <x v="1"/>
    <x v="2"/>
    <x v="0"/>
    <x v="0"/>
    <x v="0"/>
    <x v="0"/>
    <x v="1"/>
    <n v="7"/>
    <n v="8"/>
    <n v="8"/>
    <n v="9"/>
    <n v="8"/>
    <n v="10"/>
    <n v="8"/>
    <n v="8"/>
    <n v="9"/>
  </r>
  <r>
    <d v="2026-01-12T18:05:00"/>
    <x v="1"/>
    <x v="2"/>
    <x v="0"/>
    <x v="0"/>
    <x v="0"/>
    <x v="0"/>
    <x v="1"/>
    <n v="7"/>
    <n v="7"/>
    <n v="8"/>
    <n v="10"/>
    <n v="9"/>
    <n v="10"/>
    <n v="8"/>
    <n v="8"/>
    <n v="10"/>
  </r>
  <r>
    <d v="2026-01-12T18:28:00"/>
    <x v="1"/>
    <x v="0"/>
    <x v="0"/>
    <x v="0"/>
    <x v="0"/>
    <x v="7"/>
    <x v="1"/>
    <n v="9"/>
    <n v="9"/>
    <n v="8"/>
    <n v="9"/>
    <n v="8"/>
    <n v="8"/>
    <n v="7"/>
    <n v="7"/>
    <n v="8"/>
  </r>
  <r>
    <d v="2026-01-12T18:29:00"/>
    <x v="0"/>
    <x v="2"/>
    <x v="0"/>
    <x v="0"/>
    <x v="0"/>
    <x v="0"/>
    <x v="1"/>
    <n v="7"/>
    <n v="7"/>
    <n v="7"/>
    <n v="8"/>
    <n v="7"/>
    <n v="9"/>
    <n v="8"/>
    <n v="8"/>
    <n v="8"/>
  </r>
  <r>
    <d v="2026-01-12T18:30:00"/>
    <x v="0"/>
    <x v="0"/>
    <x v="0"/>
    <x v="0"/>
    <x v="0"/>
    <x v="4"/>
    <x v="0"/>
    <n v="4"/>
    <n v="5"/>
    <n v="6"/>
    <n v="7"/>
    <n v="7"/>
    <n v="6"/>
    <n v="4"/>
    <n v="6"/>
    <n v="7"/>
  </r>
  <r>
    <d v="2026-01-12T21:27:00"/>
    <x v="1"/>
    <x v="0"/>
    <x v="0"/>
    <x v="0"/>
    <x v="0"/>
    <x v="4"/>
    <x v="1"/>
    <n v="9"/>
    <n v="8"/>
    <n v="8"/>
    <n v="8"/>
    <n v="7"/>
    <n v="7"/>
    <n v="6"/>
    <n v="7"/>
    <n v="8"/>
  </r>
  <r>
    <d v="2026-01-12T21:28:00"/>
    <x v="0"/>
    <x v="2"/>
    <x v="0"/>
    <x v="0"/>
    <x v="0"/>
    <x v="2"/>
    <x v="1"/>
    <n v="7"/>
    <n v="7"/>
    <n v="8"/>
    <n v="9"/>
    <n v="7"/>
    <n v="10"/>
    <n v="8"/>
    <n v="8"/>
    <n v="10"/>
  </r>
  <r>
    <d v="2026-01-12T21:29:00"/>
    <x v="0"/>
    <x v="2"/>
    <x v="0"/>
    <x v="0"/>
    <x v="0"/>
    <x v="0"/>
    <x v="1"/>
    <n v="3"/>
    <n v="3"/>
    <n v="5"/>
    <n v="6"/>
    <n v="5"/>
    <n v="6"/>
    <n v="4"/>
    <n v="6"/>
    <n v="6"/>
  </r>
  <r>
    <d v="2026-01-12T21:36:00"/>
    <x v="1"/>
    <x v="0"/>
    <x v="0"/>
    <x v="0"/>
    <x v="0"/>
    <x v="7"/>
    <x v="0"/>
    <n v="8"/>
    <n v="8"/>
    <n v="5"/>
    <n v="7"/>
    <n v="5"/>
    <n v="8"/>
    <n v="5"/>
    <n v="7"/>
    <n v="8"/>
  </r>
  <r>
    <d v="2026-01-12T21:37:00"/>
    <x v="1"/>
    <x v="3"/>
    <x v="0"/>
    <x v="0"/>
    <x v="0"/>
    <x v="4"/>
    <x v="0"/>
    <n v="4"/>
    <n v="5"/>
    <n v="5"/>
    <n v="7"/>
    <n v="5"/>
    <n v="7"/>
    <n v="5"/>
    <n v="6"/>
    <n v="7"/>
  </r>
  <r>
    <d v="2026-01-12T21:38:00"/>
    <x v="0"/>
    <x v="0"/>
    <x v="0"/>
    <x v="0"/>
    <x v="0"/>
    <x v="5"/>
    <x v="1"/>
    <n v="9"/>
    <n v="9"/>
    <n v="8"/>
    <n v="9"/>
    <n v="9"/>
    <n v="7"/>
    <n v="7"/>
    <n v="7"/>
    <n v="7"/>
  </r>
  <r>
    <d v="2026-01-12T21:41:00"/>
    <x v="1"/>
    <x v="3"/>
    <x v="0"/>
    <x v="1"/>
    <x v="0"/>
    <x v="1"/>
    <x v="0"/>
    <n v="7"/>
    <n v="8"/>
    <n v="8"/>
    <n v="8"/>
    <n v="5"/>
    <n v="6"/>
    <n v="5"/>
    <n v="6"/>
    <n v="6"/>
  </r>
  <r>
    <d v="2026-01-12T21:43:00"/>
    <x v="0"/>
    <x v="2"/>
    <x v="0"/>
    <x v="0"/>
    <x v="0"/>
    <x v="0"/>
    <x v="1"/>
    <n v="8"/>
    <n v="9"/>
    <n v="8"/>
    <n v="8"/>
    <n v="9"/>
    <n v="10"/>
    <n v="10"/>
    <n v="9"/>
    <n v="10"/>
  </r>
  <r>
    <d v="2026-01-12T21:43:00"/>
    <x v="0"/>
    <x v="0"/>
    <x v="0"/>
    <x v="1"/>
    <x v="0"/>
    <x v="7"/>
    <x v="4"/>
    <n v="7"/>
    <n v="7"/>
    <n v="8"/>
    <n v="8"/>
    <n v="6"/>
    <n v="8"/>
    <n v="6"/>
    <n v="7"/>
    <n v="8"/>
  </r>
  <r>
    <d v="2026-01-12T21:47:00"/>
    <x v="1"/>
    <x v="0"/>
    <x v="0"/>
    <x v="0"/>
    <x v="0"/>
    <x v="0"/>
    <x v="1"/>
    <n v="6"/>
    <n v="6"/>
    <n v="8"/>
    <n v="9"/>
    <n v="8"/>
    <n v="8"/>
    <n v="5"/>
    <n v="7"/>
    <n v="8"/>
  </r>
  <r>
    <d v="2026-01-12T21:48:00"/>
    <x v="1"/>
    <x v="2"/>
    <x v="0"/>
    <x v="0"/>
    <x v="0"/>
    <x v="4"/>
    <x v="1"/>
    <n v="6"/>
    <n v="7"/>
    <n v="7"/>
    <n v="9"/>
    <n v="7"/>
    <n v="9"/>
    <n v="9"/>
    <n v="9"/>
    <n v="9"/>
  </r>
  <r>
    <d v="2026-01-12T21:49:00"/>
    <x v="1"/>
    <x v="1"/>
    <x v="0"/>
    <x v="1"/>
    <x v="0"/>
    <x v="1"/>
    <x v="2"/>
    <n v="4"/>
    <n v="4"/>
    <n v="5"/>
    <n v="5"/>
    <n v="5"/>
    <n v="4"/>
    <n v="5"/>
    <n v="6"/>
    <n v="5"/>
  </r>
  <r>
    <d v="2026-01-12T21:50:00"/>
    <x v="0"/>
    <x v="3"/>
    <x v="0"/>
    <x v="0"/>
    <x v="0"/>
    <x v="5"/>
    <x v="4"/>
    <n v="6"/>
    <n v="6"/>
    <n v="8"/>
    <n v="8"/>
    <n v="6"/>
    <n v="7"/>
    <n v="5"/>
    <n v="6"/>
    <n v="6"/>
  </r>
  <r>
    <d v="2026-01-12T21:51:00"/>
    <x v="0"/>
    <x v="3"/>
    <x v="0"/>
    <x v="0"/>
    <x v="0"/>
    <x v="3"/>
    <x v="4"/>
    <n v="8"/>
    <n v="8"/>
    <n v="9"/>
    <n v="9"/>
    <n v="5"/>
    <n v="5"/>
    <n v="5"/>
    <n v="6"/>
    <n v="5"/>
  </r>
  <r>
    <d v="2026-01-12T22:35:00"/>
    <x v="0"/>
    <x v="3"/>
    <x v="0"/>
    <x v="0"/>
    <x v="0"/>
    <x v="5"/>
    <x v="0"/>
    <n v="6"/>
    <n v="6"/>
    <n v="7"/>
    <n v="7"/>
    <n v="6"/>
    <n v="6"/>
    <n v="6"/>
    <n v="6"/>
    <n v="6"/>
  </r>
  <r>
    <d v="2026-01-12T23:15:00"/>
    <x v="0"/>
    <x v="3"/>
    <x v="0"/>
    <x v="0"/>
    <x v="0"/>
    <x v="1"/>
    <x v="0"/>
    <n v="8"/>
    <n v="8"/>
    <n v="8"/>
    <n v="8"/>
    <n v="7"/>
    <n v="6"/>
    <n v="6"/>
    <n v="5"/>
    <n v="7"/>
  </r>
  <r>
    <d v="2026-01-13T06:45:00"/>
    <x v="0"/>
    <x v="0"/>
    <x v="0"/>
    <x v="0"/>
    <x v="0"/>
    <x v="4"/>
    <x v="1"/>
    <n v="6"/>
    <n v="6"/>
    <n v="5"/>
    <n v="7"/>
    <n v="6"/>
    <n v="7"/>
    <n v="5"/>
    <n v="6"/>
    <n v="7"/>
  </r>
  <r>
    <d v="2026-01-13T08:14:00"/>
    <x v="1"/>
    <x v="0"/>
    <x v="0"/>
    <x v="0"/>
    <x v="0"/>
    <x v="0"/>
    <x v="1"/>
    <n v="7"/>
    <n v="8"/>
    <n v="7"/>
    <n v="7"/>
    <n v="8"/>
    <n v="9"/>
    <n v="7"/>
    <n v="7"/>
    <n v="8"/>
  </r>
  <r>
    <d v="2026-01-13T08:15:00"/>
    <x v="0"/>
    <x v="2"/>
    <x v="0"/>
    <x v="0"/>
    <x v="0"/>
    <x v="4"/>
    <x v="1"/>
    <n v="6"/>
    <n v="7"/>
    <n v="5"/>
    <n v="8"/>
    <n v="7"/>
    <n v="7"/>
    <n v="7"/>
    <n v="7"/>
    <n v="8"/>
  </r>
  <r>
    <d v="2026-01-13T08:17:00"/>
    <x v="0"/>
    <x v="2"/>
    <x v="0"/>
    <x v="0"/>
    <x v="0"/>
    <x v="0"/>
    <x v="1"/>
    <n v="8"/>
    <n v="8"/>
    <n v="9"/>
    <n v="9"/>
    <n v="7"/>
    <n v="9"/>
    <n v="7"/>
    <n v="7"/>
    <n v="9"/>
  </r>
  <r>
    <d v="2026-01-13T08:31:00"/>
    <x v="1"/>
    <x v="2"/>
    <x v="0"/>
    <x v="0"/>
    <x v="0"/>
    <x v="4"/>
    <x v="1"/>
    <n v="8"/>
    <n v="8"/>
    <n v="5"/>
    <n v="8"/>
    <n v="6"/>
    <n v="9"/>
    <n v="5"/>
    <n v="7"/>
    <n v="8"/>
  </r>
  <r>
    <d v="2026-01-13T08:53:00"/>
    <x v="1"/>
    <x v="2"/>
    <x v="0"/>
    <x v="2"/>
    <x v="0"/>
    <x v="0"/>
    <x v="1"/>
    <n v="9"/>
    <n v="9"/>
    <n v="8"/>
    <n v="9"/>
    <n v="8"/>
    <n v="10"/>
    <n v="8"/>
    <n v="8"/>
    <n v="10"/>
  </r>
  <r>
    <d v="2026-01-13T08:54:00"/>
    <x v="0"/>
    <x v="2"/>
    <x v="0"/>
    <x v="0"/>
    <x v="0"/>
    <x v="4"/>
    <x v="0"/>
    <n v="5"/>
    <n v="5"/>
    <n v="4"/>
    <n v="8"/>
    <n v="4"/>
    <n v="8"/>
    <n v="4"/>
    <n v="5"/>
    <n v="7"/>
  </r>
  <r>
    <d v="2026-01-13T08:55:00"/>
    <x v="1"/>
    <x v="4"/>
    <x v="0"/>
    <x v="1"/>
    <x v="0"/>
    <x v="3"/>
    <x v="4"/>
    <n v="1"/>
    <n v="1"/>
    <n v="4"/>
    <n v="5"/>
    <n v="5"/>
    <n v="4"/>
    <n v="4"/>
    <n v="5"/>
    <n v="3"/>
  </r>
  <r>
    <d v="2026-01-13T09:20:00"/>
    <x v="1"/>
    <x v="2"/>
    <x v="0"/>
    <x v="0"/>
    <x v="0"/>
    <x v="2"/>
    <x v="1"/>
    <n v="7"/>
    <n v="7"/>
    <n v="7"/>
    <n v="9"/>
    <n v="8"/>
    <n v="10"/>
    <n v="8"/>
    <n v="7"/>
    <n v="10"/>
  </r>
  <r>
    <d v="2026-01-13T09:45:00"/>
    <x v="1"/>
    <x v="1"/>
    <x v="0"/>
    <x v="0"/>
    <x v="0"/>
    <x v="5"/>
    <x v="4"/>
    <n v="3"/>
    <n v="3"/>
    <n v="4"/>
    <n v="6"/>
    <n v="4"/>
    <n v="5"/>
    <n v="4"/>
    <n v="5"/>
    <n v="5"/>
  </r>
  <r>
    <d v="2026-01-13T09:46:00"/>
    <x v="0"/>
    <x v="0"/>
    <x v="0"/>
    <x v="1"/>
    <x v="0"/>
    <x v="7"/>
    <x v="1"/>
    <n v="8"/>
    <n v="8"/>
    <n v="9"/>
    <n v="8"/>
    <n v="7"/>
    <n v="8"/>
    <n v="7"/>
    <n v="7"/>
    <n v="8"/>
  </r>
  <r>
    <d v="2026-01-13T10:21:00"/>
    <x v="1"/>
    <x v="3"/>
    <x v="0"/>
    <x v="0"/>
    <x v="0"/>
    <x v="1"/>
    <x v="4"/>
    <n v="5"/>
    <n v="5"/>
    <n v="5"/>
    <n v="5"/>
    <n v="5"/>
    <n v="5"/>
    <n v="5"/>
    <n v="5"/>
    <n v="5"/>
  </r>
  <r>
    <d v="2026-01-13T11:02:00"/>
    <x v="1"/>
    <x v="2"/>
    <x v="0"/>
    <x v="0"/>
    <x v="0"/>
    <x v="0"/>
    <x v="1"/>
    <n v="7"/>
    <n v="7"/>
    <n v="5"/>
    <n v="8"/>
    <n v="6"/>
    <n v="8"/>
    <n v="5"/>
    <n v="5"/>
    <n v="8"/>
  </r>
  <r>
    <d v="2026-01-13T11:10:00"/>
    <x v="1"/>
    <x v="0"/>
    <x v="0"/>
    <x v="0"/>
    <x v="0"/>
    <x v="4"/>
    <x v="1"/>
    <n v="6"/>
    <n v="8"/>
    <n v="7"/>
    <n v="8"/>
    <n v="6"/>
    <n v="8"/>
    <n v="5"/>
    <n v="5"/>
    <n v="8"/>
  </r>
  <r>
    <d v="2026-01-13T11:11:00"/>
    <x v="0"/>
    <x v="1"/>
    <x v="0"/>
    <x v="1"/>
    <x v="0"/>
    <x v="5"/>
    <x v="2"/>
    <n v="10"/>
    <n v="10"/>
    <n v="5"/>
    <n v="9"/>
    <n v="7"/>
    <n v="8"/>
    <n v="5"/>
    <n v="5"/>
    <n v="8"/>
  </r>
  <r>
    <d v="2026-01-13T11:12:00"/>
    <x v="1"/>
    <x v="0"/>
    <x v="0"/>
    <x v="0"/>
    <x v="0"/>
    <x v="0"/>
    <x v="1"/>
    <n v="4"/>
    <n v="5"/>
    <n v="7"/>
    <n v="7"/>
    <n v="5"/>
    <n v="7"/>
    <n v="5"/>
    <n v="5"/>
    <n v="7"/>
  </r>
  <r>
    <d v="2026-01-13T11:13:00"/>
    <x v="0"/>
    <x v="5"/>
    <x v="0"/>
    <x v="1"/>
    <x v="0"/>
    <x v="6"/>
    <x v="3"/>
    <n v="2"/>
    <n v="3"/>
    <n v="3"/>
    <n v="6"/>
    <n v="5"/>
    <n v="5"/>
    <n v="5"/>
    <n v="5"/>
    <n v="5"/>
  </r>
  <r>
    <d v="2026-01-13T11:14:00"/>
    <x v="0"/>
    <x v="3"/>
    <x v="0"/>
    <x v="0"/>
    <x v="0"/>
    <x v="7"/>
    <x v="4"/>
    <n v="7"/>
    <n v="7"/>
    <n v="5"/>
    <n v="8"/>
    <n v="7"/>
    <n v="7"/>
    <n v="5"/>
    <n v="6"/>
    <n v="7"/>
  </r>
  <r>
    <d v="2026-01-13T11:26:00"/>
    <x v="1"/>
    <x v="0"/>
    <x v="0"/>
    <x v="0"/>
    <x v="0"/>
    <x v="2"/>
    <x v="0"/>
    <n v="9"/>
    <n v="9"/>
    <n v="9"/>
    <n v="7"/>
    <n v="8"/>
    <n v="6"/>
    <n v="8"/>
    <n v="10"/>
    <n v="10"/>
  </r>
  <r>
    <d v="2026-01-13T12:38:00"/>
    <x v="1"/>
    <x v="4"/>
    <x v="0"/>
    <x v="0"/>
    <x v="0"/>
    <x v="5"/>
    <x v="0"/>
    <n v="7"/>
    <n v="7"/>
    <n v="5"/>
    <n v="7"/>
    <n v="5"/>
    <n v="6"/>
    <n v="5"/>
    <n v="6"/>
    <n v="6"/>
  </r>
  <r>
    <d v="2026-01-13T12:39:00"/>
    <x v="0"/>
    <x v="3"/>
    <x v="0"/>
    <x v="2"/>
    <x v="0"/>
    <x v="7"/>
    <x v="0"/>
    <n v="2"/>
    <n v="2"/>
    <n v="4"/>
    <n v="5"/>
    <n v="5"/>
    <n v="3"/>
    <n v="5"/>
    <n v="5"/>
    <n v="5"/>
  </r>
  <r>
    <d v="2026-01-13T12:40:00"/>
    <x v="0"/>
    <x v="0"/>
    <x v="0"/>
    <x v="0"/>
    <x v="0"/>
    <x v="7"/>
    <x v="1"/>
    <n v="8"/>
    <n v="8"/>
    <n v="7"/>
    <n v="7"/>
    <n v="7"/>
    <n v="8"/>
    <n v="7"/>
    <n v="8"/>
    <n v="8"/>
  </r>
  <r>
    <d v="2026-01-13T12:40:00"/>
    <x v="0"/>
    <x v="2"/>
    <x v="0"/>
    <x v="0"/>
    <x v="0"/>
    <x v="2"/>
    <x v="1"/>
    <n v="9"/>
    <n v="9"/>
    <n v="8"/>
    <n v="9"/>
    <n v="7"/>
    <n v="9"/>
    <n v="8"/>
    <n v="8"/>
    <n v="8"/>
  </r>
  <r>
    <d v="2026-01-13T12:41:00"/>
    <x v="0"/>
    <x v="0"/>
    <x v="0"/>
    <x v="1"/>
    <x v="0"/>
    <x v="7"/>
    <x v="1"/>
    <n v="7"/>
    <n v="7"/>
    <n v="5"/>
    <n v="8"/>
    <n v="7"/>
    <n v="8"/>
    <n v="6"/>
    <n v="6"/>
    <n v="8"/>
  </r>
  <r>
    <d v="2026-01-13T12:42:00"/>
    <x v="0"/>
    <x v="1"/>
    <x v="0"/>
    <x v="0"/>
    <x v="0"/>
    <x v="5"/>
    <x v="2"/>
    <n v="8"/>
    <n v="9"/>
    <n v="8"/>
    <n v="8"/>
    <n v="7"/>
    <n v="7"/>
    <n v="7"/>
    <n v="7"/>
    <n v="8"/>
  </r>
  <r>
    <d v="2026-01-13T12:42:00"/>
    <x v="0"/>
    <x v="0"/>
    <x v="1"/>
    <x v="0"/>
    <x v="0"/>
    <x v="0"/>
    <x v="1"/>
    <n v="4"/>
    <n v="4"/>
    <n v="3"/>
    <n v="5"/>
    <n v="5"/>
    <n v="2"/>
    <n v="2"/>
    <n v="5"/>
    <n v="2"/>
  </r>
  <r>
    <d v="2026-01-13T12:47:00"/>
    <x v="1"/>
    <x v="5"/>
    <x v="0"/>
    <x v="1"/>
    <x v="0"/>
    <x v="6"/>
    <x v="3"/>
    <n v="7"/>
    <n v="7"/>
    <n v="4"/>
    <n v="6"/>
    <n v="5"/>
    <n v="4"/>
    <n v="5"/>
    <n v="5"/>
    <n v="5"/>
  </r>
  <r>
    <d v="2026-01-13T12:49:00"/>
    <x v="0"/>
    <x v="0"/>
    <x v="0"/>
    <x v="0"/>
    <x v="0"/>
    <x v="7"/>
    <x v="1"/>
    <n v="7"/>
    <n v="7"/>
    <n v="7"/>
    <n v="7"/>
    <n v="7"/>
    <n v="7"/>
    <n v="7"/>
    <n v="7"/>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83461E-472F-43B8-8D13-C1279CB5C86C}" name="PivotTable1" cacheId="25"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Age">
  <location ref="E19:F26" firstHeaderRow="1" firstDataRow="1" firstDataCol="1"/>
  <pivotFields count="17">
    <pivotField numFmtId="22" showAll="0"/>
    <pivotField showAll="0">
      <items count="3">
        <item n="Male" x="1"/>
        <item n="Female" x="0"/>
        <item t="default"/>
      </items>
    </pivotField>
    <pivotField axis="axisRow" dataField="1" showAll="0">
      <items count="7">
        <item x="2"/>
        <item x="0"/>
        <item x="3"/>
        <item x="1"/>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Count of Độ tuổi của bạn:"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E1CBA6-78F3-4540-9169-600D9C7488DB}" name="PivotTable22" cacheId="25"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Gender">
  <location ref="E13:F16" firstHeaderRow="1" firstDataRow="1" firstDataCol="1"/>
  <pivotFields count="17">
    <pivotField numFmtId="22" showAll="0"/>
    <pivotField axis="axisRow" dataField="1" showAll="0">
      <items count="3">
        <item n="Male" x="1"/>
        <item n="Female"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Number of participant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D2D31A-578B-4B33-8D72-5456E5725942}" name="PivotTable3" cacheId="25"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Education">
  <location ref="E35:F40" firstHeaderRow="1" firstDataRow="1" firstDataCol="1"/>
  <pivotFields count="17">
    <pivotField numFmtId="22" showAll="0"/>
    <pivotField showAll="0">
      <items count="3">
        <item n="Male" x="1"/>
        <item n="Female" x="0"/>
        <item t="default"/>
      </items>
    </pivotField>
    <pivotField showAll="0"/>
    <pivotField showAll="0"/>
    <pivotField axis="axisRow" dataField="1" showAll="0">
      <items count="5">
        <item x="2"/>
        <item x="0"/>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Count of Trình độ học vấn cao nhất:"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D6106A-FD0D-41C0-AF89-0E652424E3AE}" name="PivotTable6" cacheId="25"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Employment">
  <location ref="E62:F68" firstHeaderRow="1" firstDataRow="1" firstDataCol="1"/>
  <pivotFields count="17">
    <pivotField numFmtId="22" showAll="0"/>
    <pivotField showAll="0">
      <items count="3">
        <item n="Male" x="1"/>
        <item n="Female" x="0"/>
        <item t="default"/>
      </items>
    </pivotField>
    <pivotField showAll="0"/>
    <pivotField showAll="0">
      <items count="3">
        <item x="1"/>
        <item x="0"/>
        <item t="default"/>
      </items>
    </pivotField>
    <pivotField showAll="0"/>
    <pivotField showAll="0">
      <items count="4">
        <item x="2"/>
        <item x="0"/>
        <item x="1"/>
        <item t="default"/>
      </items>
    </pivotField>
    <pivotField showAll="0"/>
    <pivotField axis="axisRow" dataField="1" showAll="0">
      <items count="6">
        <item x="1"/>
        <item x="0"/>
        <item x="4"/>
        <item x="2"/>
        <item x="3"/>
        <item t="default"/>
      </items>
    </pivotField>
    <pivotField showAll="0"/>
    <pivotField showAll="0"/>
    <pivotField showAll="0"/>
    <pivotField showAll="0"/>
    <pivotField showAll="0"/>
    <pivotField showAll="0"/>
    <pivotField showAll="0"/>
    <pivotField showAll="0"/>
    <pivotField showAll="0"/>
  </pivotFields>
  <rowFields count="1">
    <field x="7"/>
  </rowFields>
  <rowItems count="6">
    <i>
      <x/>
    </i>
    <i>
      <x v="1"/>
    </i>
    <i>
      <x v="2"/>
    </i>
    <i>
      <x v="3"/>
    </i>
    <i>
      <x v="4"/>
    </i>
    <i t="grand">
      <x/>
    </i>
  </rowItems>
  <colItems count="1">
    <i/>
  </colItems>
  <dataFields count="1">
    <dataField name="Count of Số người phụ thuộc (con nhỏ, cha mẹ già...) đủ điều kiện giảm trừ gia cảnh:"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81148C-B28B-422A-BC57-6EC5F37C1202}" name="PivotTable2" cacheId="25"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Region">
  <location ref="E29:F32" firstHeaderRow="1" firstDataRow="1" firstDataCol="1"/>
  <pivotFields count="17">
    <pivotField numFmtId="22" showAll="0"/>
    <pivotField showAll="0">
      <items count="3">
        <item n="Male" x="1"/>
        <item n="Female" x="0"/>
        <item t="default"/>
      </items>
    </pivotField>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Khu vực bạn đang sinh sống:"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B8394B-9564-4159-93E1-514FDC0C4D6C}" name="PivotTable4" cacheId="25"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Employment">
  <location ref="E43:F47" firstHeaderRow="1" firstDataRow="1" firstDataCol="1"/>
  <pivotFields count="17">
    <pivotField numFmtId="22" showAll="0"/>
    <pivotField showAll="0">
      <items count="3">
        <item n="Male" x="1"/>
        <item n="Female" x="0"/>
        <item t="default"/>
      </items>
    </pivotField>
    <pivotField showAll="0"/>
    <pivotField showAll="0">
      <items count="3">
        <item x="1"/>
        <item x="0"/>
        <item t="default"/>
      </items>
    </pivotField>
    <pivotField showAll="0"/>
    <pivotField axis="axisRow" dataField="1"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Count of Tình trạng việc làm chính:"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9F2649-C0F1-4050-8DAD-815F1F4344BC}" name="PivotTable5" cacheId="25"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Income">
  <location ref="E50:F59" firstHeaderRow="1" firstDataRow="1" firstDataCol="1"/>
  <pivotFields count="17">
    <pivotField numFmtId="22" showAll="0"/>
    <pivotField showAll="0">
      <items count="3">
        <item n="Male" x="1"/>
        <item n="Female" x="0"/>
        <item t="default"/>
      </items>
    </pivotField>
    <pivotField showAll="0"/>
    <pivotField showAll="0">
      <items count="3">
        <item x="1"/>
        <item x="0"/>
        <item t="default"/>
      </items>
    </pivotField>
    <pivotField showAll="0"/>
    <pivotField showAll="0">
      <items count="4">
        <item x="2"/>
        <item x="0"/>
        <item x="1"/>
        <item t="default"/>
      </items>
    </pivotField>
    <pivotField axis="axisRow" dataField="1" showAll="0">
      <items count="9">
        <item x="2"/>
        <item x="6"/>
        <item x="0"/>
        <item x="4"/>
        <item x="7"/>
        <item x="5"/>
        <item x="1"/>
        <item x="3"/>
        <item t="default"/>
      </items>
    </pivotField>
    <pivotField showAll="0"/>
    <pivotField showAll="0"/>
    <pivotField showAll="0"/>
    <pivotField showAll="0"/>
    <pivotField showAll="0"/>
    <pivotField showAll="0"/>
    <pivotField showAll="0"/>
    <pivotField showAll="0"/>
    <pivotField showAll="0"/>
    <pivotField showAll="0"/>
  </pivotFields>
  <rowFields count="1">
    <field x="6"/>
  </rowFields>
  <rowItems count="9">
    <i>
      <x/>
    </i>
    <i>
      <x v="1"/>
    </i>
    <i>
      <x v="2"/>
    </i>
    <i>
      <x v="3"/>
    </i>
    <i>
      <x v="4"/>
    </i>
    <i>
      <x v="5"/>
    </i>
    <i>
      <x v="6"/>
    </i>
    <i>
      <x v="7"/>
    </i>
    <i t="grand">
      <x/>
    </i>
  </rowItems>
  <colItems count="1">
    <i/>
  </colItems>
  <dataFields count="1">
    <dataField name="Count of Thu nhập bình quân tháng theo Hợp đồng lao động của bạn là bao nhiêu? (Vui lòng điền tổng thu nhập trước khi khấu trừ các loại Bảo hiểm (BHXH, BHYT, BHTN) và Thuế TNCN)"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5" xr16:uid="{8C288689-D8A0-4580-BE45-7D71BEC1B7E4}" autoFormatId="16" applyNumberFormats="0" applyBorderFormats="0" applyFontFormats="0" applyPatternFormats="0" applyAlignmentFormats="0" applyWidthHeightFormats="0">
  <queryTableRefresh nextId="46">
    <queryTableFields count="45">
      <queryTableField id="1" name="Persona_ID" tableColumnId="1"/>
      <queryTableField id="2" name="Used_Seed" tableColumnId="2"/>
      <queryTableField id="3" name="Gender" tableColumnId="3"/>
      <queryTableField id="4" name="Age_Group" tableColumnId="4"/>
      <queryTableField id="5" name="Region" tableColumnId="5"/>
      <queryTableField id="6" name="Education" tableColumnId="6"/>
      <queryTableField id="7" name="Employment" tableColumnId="7"/>
      <queryTableField id="8" name="Income_Mil" tableColumnId="8"/>
      <queryTableField id="9" name="Dependents" tableColumnId="9"/>
      <queryTableField id="10" name="AI_ENF1" tableColumnId="10"/>
      <queryTableField id="11" name="Human_ENF1" tableColumnId="11"/>
      <queryTableField id="12" name="d_ENF1" tableColumnId="12"/>
      <queryTableField id="13" name="AI_ENF2" tableColumnId="13"/>
      <queryTableField id="14" name="Human_ENF2" tableColumnId="14"/>
      <queryTableField id="15" name="d_ENF2" tableColumnId="15"/>
      <queryTableField id="16" name="AI_FAC1" tableColumnId="16"/>
      <queryTableField id="17" name="Human_FAC1" tableColumnId="17"/>
      <queryTableField id="18" name="d_FAC1" tableColumnId="18"/>
      <queryTableField id="19" name="AI_FAC2" tableColumnId="19"/>
      <queryTableField id="20" name="Human_FAC2" tableColumnId="20"/>
      <queryTableField id="21" name="d_FAC2" tableColumnId="21"/>
      <queryTableField id="22" name="AI_TRU1" tableColumnId="22"/>
      <queryTableField id="23" name="Human_TRU1" tableColumnId="23"/>
      <queryTableField id="24" name="d_TRU1" tableColumnId="24"/>
      <queryTableField id="25" name="AI_TRU2" tableColumnId="25"/>
      <queryTableField id="26" name="Human_TRU2" tableColumnId="26"/>
      <queryTableField id="27" name="d_TRU2" tableColumnId="27"/>
      <queryTableField id="28" name="AI_TRU3" tableColumnId="28"/>
      <queryTableField id="29" name="Human_TRU3" tableColumnId="29"/>
      <queryTableField id="30" name="d_TRU3" tableColumnId="30"/>
      <queryTableField id="31" name="AI_TRU4" tableColumnId="31"/>
      <queryTableField id="32" name="Human_TRU4" tableColumnId="32"/>
      <queryTableField id="33" name="d_TRU4" tableColumnId="33"/>
      <queryTableField id="34" name="AI_OUT1" tableColumnId="34"/>
      <queryTableField id="35" name="Human_OUT1" tableColumnId="35"/>
      <queryTableField id="36" name="d_OUT1" tableColumnId="36"/>
      <queryTableField id="37" name="AI_ENF1_Reason" tableColumnId="37"/>
      <queryTableField id="38" name="AI_ENF2_Reason" tableColumnId="38"/>
      <queryTableField id="39" name="AI_FAC1_Reason" tableColumnId="39"/>
      <queryTableField id="40" name="AI_FAC2_Reason" tableColumnId="40"/>
      <queryTableField id="41" name="AI_TRU1_Reason" tableColumnId="41"/>
      <queryTableField id="42" name="AI_TRU2_Reason" tableColumnId="42"/>
      <queryTableField id="43" name="AI_TRU3_Reason" tableColumnId="43"/>
      <queryTableField id="44" name="AI_TRU4_Reason" tableColumnId="44"/>
      <queryTableField id="45" name="AI_OUT1_Reason" tableColumnId="4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4" xr16:uid="{0D6B1F0C-5774-475A-AC4B-AF4E6A8A1A5E}" autoFormatId="16" applyNumberFormats="0" applyBorderFormats="0" applyFontFormats="0" applyPatternFormats="0" applyAlignmentFormats="0" applyWidthHeightFormats="0">
  <queryTableRefresh nextId="18">
    <queryTableFields count="17">
      <queryTableField id="1" name="Timestamp" tableColumnId="1"/>
      <queryTableField id="2" name="Giới tính của bạn:" tableColumnId="2"/>
      <queryTableField id="3" name="Độ tuổi của bạn:" tableColumnId="3"/>
      <queryTableField id="4" name="Khu vực bạn đang sinh sống:" tableColumnId="4"/>
      <queryTableField id="5" name="Trình độ học vấn cao nhất:" tableColumnId="5"/>
      <queryTableField id="6" name="Tình trạng việc làm chính:" tableColumnId="6"/>
      <queryTableField id="7" name="Thu nhập bình quân tháng theo Hợp đồng lao động của bạn là bao nhiêu? (Vui lòng điền tổng thu nhập trước khi khấu trừ các loại Bảo hiểm (BHXH, BHYT, BHTN) và Thuế TNCN)" tableColumnId="7"/>
      <queryTableField id="8" name="Số người phụ thuộc (con nhỏ, cha mẹ già...) đủ điều kiện giảm trừ gia cảnh:" tableColumnId="8"/>
      <queryTableField id="9" name="Tôi tin rằng với các quy định quản lý thuế hiện nay, hành vi gian lận hoặc trốn thuế sẽ dễ dàng bị phát hiện và xử lý nghiêm. - HUMAN-ENF1" tableColumnId="9"/>
      <queryTableField id="10" name="Tôi tin rằng Nhà nước, cơ quan thuế có đủ khả năng và công nghệ để phát hiện, xử lý nghiêm các hành vi trốn thuế. - HUMAN-ENF2" tableColumnId="10"/>
      <queryTableField id="11" name="Các thủ tục khai báo thuế VÀ/HOẶC quy trình làm việc với cơ quan thuế đơn giản, tiện lợi, nhanh chóng hơn so với trước đây. - HUMAN-FAC1" tableColumnId="11"/>
      <queryTableField id="12" name="So với trước đây, tôi thấy cách tính thuế và các bậc thuế trong phương án mới đơn giản, dễ hiểu và dễ thực hiện hơn. - HUMAN-FAC2" tableColumnId="12"/>
      <queryTableField id="13" name="Tôi tin rằng Nhà nước, cơ quan thuế sẽ thực thi chính sách mới một cách khách quan, công tâm và đối xử bình đẳng với mọi người nộp thuế.  - HUMAN-TRU1" tableColumnId="13"/>
      <queryTableField id="14" name="Tôi thấy mức thuế tôi phải đóng theo phương án mới là công bằng (người thu nhập như tôi đóng mức này là hợp lý). - HUMAN-TRU2" tableColumnId="14"/>
      <queryTableField id="15" name="Tôi tin tưởng số tiền thuế tôi đóng sẽ được Nhà nước sử dụng hiệu quả để cải thiện dịch vụ công (y tế, đường xá...). - HUMAN-TRU3" tableColumnId="15"/>
      <queryTableField id="16" name="Tôi thấy Nhà nước đã giải thích rõ ràng, minh bạch về lý do và mục tiêu của việc sửa đổi thuế lần này. - HUMAN-TRU4" tableColumnId="16"/>
      <queryTableField id="17" name="Sau khi xem xét các quyền lợi và nghĩa vụ, bạn có ủng hộ và tuân thủ chính sách mới hiện nay? - HUMAN-OUT1"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5B07BC-6C12-4475-AC8C-783D6521EFE7}" name="step3_validation" displayName="step3_validation" ref="A1:AS404" tableType="queryTable" totalsRowShown="0">
  <autoFilter ref="A1:AS404" xr:uid="{0F5B07BC-6C12-4475-AC8C-783D6521EFE7}"/>
  <tableColumns count="45">
    <tableColumn id="1" xr3:uid="{53279836-9FF8-48DE-9590-81540231404C}" uniqueName="1" name="Persona_ID" queryTableFieldId="1"/>
    <tableColumn id="2" xr3:uid="{27B7A919-DF60-469E-910F-C979C929737F}" uniqueName="2" name="Used_Seed" queryTableFieldId="2"/>
    <tableColumn id="3" xr3:uid="{082D90CF-9682-47E0-BB78-3AF5C177F921}" uniqueName="3" name="Gender" queryTableFieldId="3" dataDxfId="21"/>
    <tableColumn id="4" xr3:uid="{017C12BD-CD74-49C6-9D27-807B2BDC9362}" uniqueName="4" name="Age_Group" queryTableFieldId="4" dataDxfId="20"/>
    <tableColumn id="5" xr3:uid="{C2713242-B0FE-431E-B737-5C0CD2717C43}" uniqueName="5" name="Region" queryTableFieldId="5" dataDxfId="19"/>
    <tableColumn id="6" xr3:uid="{E5F27353-47D0-4ADE-9327-26504714A55E}" uniqueName="6" name="Education" queryTableFieldId="6" dataDxfId="18"/>
    <tableColumn id="7" xr3:uid="{E6A982F0-981B-494A-8DCF-355A55AA0B25}" uniqueName="7" name="Employment" queryTableFieldId="7" dataDxfId="17"/>
    <tableColumn id="8" xr3:uid="{B148918C-0ADD-4C65-B814-A9B2E9EEB193}" uniqueName="8" name="Income_Mil" queryTableFieldId="8"/>
    <tableColumn id="9" xr3:uid="{0EA60FEE-F5A5-42D7-8BAC-9EF596AF1ADC}" uniqueName="9" name="Dependents" queryTableFieldId="9"/>
    <tableColumn id="10" xr3:uid="{1A2C1A90-066F-40EB-98B9-13349DE4F0D3}" uniqueName="10" name="AI_ENF1" queryTableFieldId="10"/>
    <tableColumn id="11" xr3:uid="{B3460B37-8A0E-43CF-91C9-39AE8C2CCA22}" uniqueName="11" name="Human_ENF1" queryTableFieldId="11"/>
    <tableColumn id="12" xr3:uid="{E30EADBA-1828-4014-BD2A-DF69C3CA0662}" uniqueName="12" name="d_ENF1" queryTableFieldId="12"/>
    <tableColumn id="13" xr3:uid="{1E206847-FEB6-45BF-B161-AE5A499FC5FD}" uniqueName="13" name="AI_ENF2" queryTableFieldId="13"/>
    <tableColumn id="14" xr3:uid="{10E8DED4-5C91-455D-BADB-81176A6622B9}" uniqueName="14" name="Human_ENF2" queryTableFieldId="14"/>
    <tableColumn id="15" xr3:uid="{7D5C0B3D-6E82-437A-A1AE-29363477A508}" uniqueName="15" name="d_ENF2" queryTableFieldId="15"/>
    <tableColumn id="16" xr3:uid="{6926FC19-316C-4D11-9430-D81D6D2F22EC}" uniqueName="16" name="AI_FAC1" queryTableFieldId="16"/>
    <tableColumn id="17" xr3:uid="{01761D5B-A7FA-4D80-AEF9-75D5FA700327}" uniqueName="17" name="Human_FAC1" queryTableFieldId="17"/>
    <tableColumn id="18" xr3:uid="{02B7C340-518C-431F-9AF1-2A19A5868F74}" uniqueName="18" name="d_FAC1" queryTableFieldId="18"/>
    <tableColumn id="19" xr3:uid="{AB10F9F3-064C-43BA-BA8F-AD223A8CFE0C}" uniqueName="19" name="AI_FAC2" queryTableFieldId="19"/>
    <tableColumn id="20" xr3:uid="{CEB09EC3-FDCA-4050-B150-1C1B6F11105B}" uniqueName="20" name="Human_FAC2" queryTableFieldId="20"/>
    <tableColumn id="21" xr3:uid="{464A3B57-F6F4-43CD-A960-AC2CC3E8ED89}" uniqueName="21" name="d_FAC2" queryTableFieldId="21"/>
    <tableColumn id="22" xr3:uid="{1279FF14-69ED-4B44-8C91-944FD1783B0D}" uniqueName="22" name="AI_TRU1" queryTableFieldId="22"/>
    <tableColumn id="23" xr3:uid="{E9F3B0E7-1180-4C34-99DC-2F99518B7B3F}" uniqueName="23" name="Human_TRU1" queryTableFieldId="23"/>
    <tableColumn id="24" xr3:uid="{B192DE74-A90D-433A-B70F-051EAF9A0E79}" uniqueName="24" name="d_TRU1" queryTableFieldId="24"/>
    <tableColumn id="25" xr3:uid="{3976816D-35C3-451B-9F05-AD7B74C2E8B2}" uniqueName="25" name="AI_TRU2" queryTableFieldId="25"/>
    <tableColumn id="26" xr3:uid="{04A7EAE2-4A81-4808-8893-F4D1BA6FB322}" uniqueName="26" name="Human_TRU2" queryTableFieldId="26"/>
    <tableColumn id="27" xr3:uid="{0E3D25EB-942C-4B84-B9BB-43E127D3051C}" uniqueName="27" name="d_TRU2" queryTableFieldId="27"/>
    <tableColumn id="28" xr3:uid="{1D8A56DF-7B3F-457D-A244-7E9780DD019B}" uniqueName="28" name="AI_TRU3" queryTableFieldId="28"/>
    <tableColumn id="29" xr3:uid="{C5CF3B27-33E7-497E-B63F-FA4469E69F86}" uniqueName="29" name="Human_TRU3" queryTableFieldId="29"/>
    <tableColumn id="30" xr3:uid="{9FD010C6-E64B-45BA-ACCB-3597FB3DC382}" uniqueName="30" name="d_TRU3" queryTableFieldId="30"/>
    <tableColumn id="31" xr3:uid="{3E3CAC0A-F2AE-4B78-B926-D8D8AE561E1C}" uniqueName="31" name="AI_TRU4" queryTableFieldId="31"/>
    <tableColumn id="32" xr3:uid="{FC6A2DF6-EDB7-452A-AAEE-24F5B3AE420A}" uniqueName="32" name="Human_TRU4" queryTableFieldId="32"/>
    <tableColumn id="33" xr3:uid="{64B00BE8-4370-4F93-91D7-8EA7BB14D39A}" uniqueName="33" name="d_TRU4" queryTableFieldId="33"/>
    <tableColumn id="34" xr3:uid="{7AA7B9F2-BB87-404D-BD47-1DCE3D06DB6A}" uniqueName="34" name="AI_OUT1" queryTableFieldId="34"/>
    <tableColumn id="35" xr3:uid="{CA4F69F8-B5BF-4FA1-A762-A7D9231F8AD4}" uniqueName="35" name="Human_OUT1" queryTableFieldId="35"/>
    <tableColumn id="36" xr3:uid="{6294FC09-F8EC-42D6-A6FE-749BF2A136AA}" uniqueName="36" name="d_OUT1" queryTableFieldId="36"/>
    <tableColumn id="37" xr3:uid="{3347022C-DB80-490F-AC25-9CF81086D339}" uniqueName="37" name="AI_ENF1_Reason" queryTableFieldId="37" dataDxfId="16"/>
    <tableColumn id="38" xr3:uid="{59E06D61-5446-4036-9E8A-6431D69E2262}" uniqueName="38" name="AI_ENF2_Reason" queryTableFieldId="38" dataDxfId="15"/>
    <tableColumn id="39" xr3:uid="{9D1C1D03-694B-4325-8F99-68F56F072770}" uniqueName="39" name="AI_FAC1_Reason" queryTableFieldId="39" dataDxfId="14"/>
    <tableColumn id="40" xr3:uid="{8FEF3FC1-2AF9-42B5-8A87-85B0ADC12867}" uniqueName="40" name="AI_FAC2_Reason" queryTableFieldId="40" dataDxfId="13"/>
    <tableColumn id="41" xr3:uid="{AB3E1509-A716-4A8D-9E39-4E0B0AE2B00D}" uniqueName="41" name="AI_TRU1_Reason" queryTableFieldId="41" dataDxfId="12"/>
    <tableColumn id="42" xr3:uid="{0D0A5242-E2E8-48E5-A7D9-B642CD19DAA7}" uniqueName="42" name="AI_TRU2_Reason" queryTableFieldId="42" dataDxfId="11"/>
    <tableColumn id="43" xr3:uid="{F4E6D1B8-17F4-4F8C-8ACA-9736CA19FECE}" uniqueName="43" name="AI_TRU3_Reason" queryTableFieldId="43" dataDxfId="10"/>
    <tableColumn id="44" xr3:uid="{EE2B5768-EBF5-41BD-BEE7-30229A31065E}" uniqueName="44" name="AI_TRU4_Reason" queryTableFieldId="44" dataDxfId="9"/>
    <tableColumn id="45" xr3:uid="{DB2E6CA3-26A2-4ACC-9570-BF64E63CE544}" uniqueName="45" name="AI_OUT1_Reason" queryTableFieldId="45" dataDxf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9A15079-4DF6-4B9E-BAFA-08970D3D4855}" name="survey_responses" displayName="survey_responses" ref="A1:Q404" tableType="queryTable" totalsRowShown="0">
  <autoFilter ref="A1:Q404" xr:uid="{09A15079-4DF6-4B9E-BAFA-08970D3D4855}"/>
  <tableColumns count="17">
    <tableColumn id="1" xr3:uid="{49BC4699-8DD6-4E9E-BC8F-8E0F7764D36D}" uniqueName="1" name="Timestamp" queryTableFieldId="1" dataDxfId="7"/>
    <tableColumn id="2" xr3:uid="{70DF3C2A-4006-456B-B8C3-F96B58C2A548}" uniqueName="2" name="Giới tính của bạn:" queryTableFieldId="2" dataDxfId="6"/>
    <tableColumn id="3" xr3:uid="{0D396F6A-7119-4DC5-929F-B9AA4716EA07}" uniqueName="3" name="Độ tuổi của bạn:" queryTableFieldId="3" dataDxfId="5"/>
    <tableColumn id="4" xr3:uid="{ED653D15-E907-45B2-87AB-56E1BDF8551E}" uniqueName="4" name="Khu vực bạn đang sinh sống:" queryTableFieldId="4" dataDxfId="4"/>
    <tableColumn id="5" xr3:uid="{FE3B4B68-6D22-4F02-9BCA-E0A8406F84CD}" uniqueName="5" name="Trình độ học vấn cao nhất:" queryTableFieldId="5" dataDxfId="3"/>
    <tableColumn id="6" xr3:uid="{226E0D0D-66B8-4BB7-9AB8-878A6AA53121}" uniqueName="6" name="Tình trạng việc làm chính:" queryTableFieldId="6" dataDxfId="2"/>
    <tableColumn id="7" xr3:uid="{4F05F01F-9707-4A40-B1C2-7F98802FF5B6}" uniqueName="7" name="Thu nhập bình quân tháng theo Hợp đồng lao động của bạn là bao nhiêu? (Vui lòng điền tổng thu nhập trước khi khấu trừ các loại Bảo hiểm (BHXH, BHYT, BHTN) và Thuế TNCN)" queryTableFieldId="7" dataDxfId="1"/>
    <tableColumn id="8" xr3:uid="{8122D652-5704-4626-BD56-0363FEA77FC6}" uniqueName="8" name="Số người phụ thuộc (con nhỏ, cha mẹ già...) đủ điều kiện giảm trừ gia cảnh:" queryTableFieldId="8" dataDxfId="0"/>
    <tableColumn id="9" xr3:uid="{82F99BEE-6733-4E22-973E-5A79D8BA419C}" uniqueName="9" name="Tôi tin rằng với các quy định quản lý thuế hiện nay, hành vi gian lận hoặc trốn thuế sẽ dễ dàng bị phát hiện và xử lý nghiêm. - HUMAN-ENF1" queryTableFieldId="9"/>
    <tableColumn id="10" xr3:uid="{CBC01827-5A2B-4CD5-AF3D-824684649587}" uniqueName="10" name="Tôi tin rằng Nhà nước, cơ quan thuế có đủ khả năng và công nghệ để phát hiện, xử lý nghiêm các hành vi trốn thuế. - HUMAN-ENF2" queryTableFieldId="10"/>
    <tableColumn id="11" xr3:uid="{8D391F88-C6B8-4999-B248-CC968F547211}" uniqueName="11" name="Các thủ tục khai báo thuế VÀ/HOẶC quy trình làm việc với cơ quan thuế đơn giản, tiện lợi, nhanh chóng hơn so với trước đây. - HUMAN-FAC1" queryTableFieldId="11"/>
    <tableColumn id="12" xr3:uid="{EC0B86F9-B7B3-4A61-A289-524B7ED8E8ED}" uniqueName="12" name="So với trước đây, tôi thấy cách tính thuế và các bậc thuế trong phương án mới đơn giản, dễ hiểu và dễ thực hiện hơn. - HUMAN-FAC2" queryTableFieldId="12"/>
    <tableColumn id="13" xr3:uid="{B06DCAF6-F123-4C41-B2A8-98140B89FF14}" uniqueName="13" name="Tôi tin rằng Nhà nước, cơ quan thuế sẽ thực thi chính sách mới một cách khách quan, công tâm và đối xử bình đẳng với mọi người nộp thuế.  - HUMAN-TRU1" queryTableFieldId="13"/>
    <tableColumn id="14" xr3:uid="{3F217AC2-836E-47DD-B754-307F1FFBB715}" uniqueName="14" name="Tôi thấy mức thuế tôi phải đóng theo phương án mới là công bằng (người thu nhập như tôi đóng mức này là hợp lý). - HUMAN-TRU2" queryTableFieldId="14"/>
    <tableColumn id="15" xr3:uid="{A91D1D07-CD80-4594-AB95-F9BC7DE8118F}" uniqueName="15" name="Tôi tin tưởng số tiền thuế tôi đóng sẽ được Nhà nước sử dụng hiệu quả để cải thiện dịch vụ công (y tế, đường xá...). - HUMAN-TRU3" queryTableFieldId="15"/>
    <tableColumn id="16" xr3:uid="{4B7DABDD-95AB-4F0C-9DE5-CAFF11E135EF}" uniqueName="16" name="Tôi thấy Nhà nước đã giải thích rõ ràng, minh bạch về lý do và mục tiêu của việc sửa đổi thuế lần này. - HUMAN-TRU4" queryTableFieldId="16"/>
    <tableColumn id="17" xr3:uid="{625FCBAF-A8E4-467D-802E-924E6F392BE8}" uniqueName="17" name="Sau khi xem xét các quyền lợi và nghĩa vụ, bạn có ủng hộ và tuân thủ chính sách mới hiện nay? - HUMAN-OUT1"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1A3B3-C5DC-4E82-8CC1-48F4CED08087}">
  <dimension ref="A1:AS404"/>
  <sheetViews>
    <sheetView workbookViewId="0">
      <selection activeCell="D24" sqref="D24"/>
    </sheetView>
  </sheetViews>
  <sheetFormatPr defaultRowHeight="14.25" x14ac:dyDescent="0.45"/>
  <cols>
    <col min="1" max="1" width="12.1328125" bestFit="1" customWidth="1"/>
    <col min="2" max="2" width="12" bestFit="1" customWidth="1"/>
    <col min="3" max="3" width="8.9296875" bestFit="1" customWidth="1"/>
    <col min="4" max="4" width="12.06640625" bestFit="1" customWidth="1"/>
    <col min="5" max="5" width="0" hidden="1" customWidth="1"/>
    <col min="6" max="6" width="17.19921875" bestFit="1" customWidth="1"/>
    <col min="7" max="7" width="13.33203125" bestFit="1" customWidth="1"/>
    <col min="8" max="8" width="12.53125" bestFit="1" customWidth="1"/>
    <col min="9" max="9" width="12.86328125" bestFit="1" customWidth="1"/>
    <col min="10" max="10" width="9.6640625" bestFit="1" customWidth="1"/>
    <col min="11" max="11" width="13.796875" bestFit="1" customWidth="1"/>
    <col min="12" max="12" width="9" bestFit="1" customWidth="1"/>
    <col min="13" max="13" width="9.6640625" bestFit="1" customWidth="1"/>
    <col min="14" max="14" width="13.796875" bestFit="1" customWidth="1"/>
    <col min="15" max="15" width="9" bestFit="1" customWidth="1"/>
    <col min="16" max="16" width="9.6640625" bestFit="1" customWidth="1"/>
    <col min="17" max="17" width="13.796875" bestFit="1" customWidth="1"/>
    <col min="18" max="18" width="9" bestFit="1" customWidth="1"/>
    <col min="19" max="19" width="9.6640625" bestFit="1" customWidth="1"/>
    <col min="20" max="20" width="13.796875" bestFit="1" customWidth="1"/>
    <col min="21" max="21" width="9" bestFit="1" customWidth="1"/>
    <col min="22" max="22" width="9.86328125" bestFit="1" customWidth="1"/>
    <col min="23" max="23" width="14" bestFit="1" customWidth="1"/>
    <col min="24" max="24" width="9.19921875" bestFit="1" customWidth="1"/>
    <col min="25" max="25" width="9.86328125" bestFit="1" customWidth="1"/>
    <col min="26" max="26" width="14" bestFit="1" customWidth="1"/>
    <col min="27" max="27" width="9.19921875" bestFit="1" customWidth="1"/>
    <col min="28" max="28" width="9.86328125" bestFit="1" customWidth="1"/>
    <col min="29" max="29" width="14" bestFit="1" customWidth="1"/>
    <col min="30" max="30" width="9.19921875" bestFit="1" customWidth="1"/>
    <col min="31" max="31" width="9.86328125" bestFit="1" customWidth="1"/>
    <col min="32" max="32" width="14" bestFit="1" customWidth="1"/>
    <col min="33" max="33" width="9.19921875" bestFit="1" customWidth="1"/>
    <col min="34" max="34" width="10.1328125" bestFit="1" customWidth="1"/>
    <col min="35" max="35" width="14.265625" bestFit="1" customWidth="1"/>
    <col min="36" max="36" width="9.46484375" bestFit="1" customWidth="1"/>
    <col min="37" max="45" width="80.53125" bestFit="1" customWidth="1"/>
  </cols>
  <sheetData>
    <row r="1" spans="1:45" x14ac:dyDescent="0.45">
      <c r="A1" t="s">
        <v>37</v>
      </c>
      <c r="B1" t="s">
        <v>198</v>
      </c>
      <c r="C1" t="s">
        <v>38</v>
      </c>
      <c r="D1" t="s">
        <v>170</v>
      </c>
      <c r="E1" t="s">
        <v>40</v>
      </c>
      <c r="F1" t="s">
        <v>41</v>
      </c>
      <c r="G1" t="s">
        <v>42</v>
      </c>
      <c r="H1" t="s">
        <v>43</v>
      </c>
      <c r="I1" t="s">
        <v>44</v>
      </c>
      <c r="J1" t="s">
        <v>171</v>
      </c>
      <c r="K1" t="s">
        <v>46</v>
      </c>
      <c r="L1" t="s">
        <v>172</v>
      </c>
      <c r="M1" t="s">
        <v>173</v>
      </c>
      <c r="N1" t="s">
        <v>49</v>
      </c>
      <c r="O1" t="s">
        <v>174</v>
      </c>
      <c r="P1" t="s">
        <v>175</v>
      </c>
      <c r="Q1" t="s">
        <v>52</v>
      </c>
      <c r="R1" t="s">
        <v>176</v>
      </c>
      <c r="S1" t="s">
        <v>177</v>
      </c>
      <c r="T1" t="s">
        <v>55</v>
      </c>
      <c r="U1" t="s">
        <v>178</v>
      </c>
      <c r="V1" t="s">
        <v>179</v>
      </c>
      <c r="W1" t="s">
        <v>58</v>
      </c>
      <c r="X1" t="s">
        <v>180</v>
      </c>
      <c r="Y1" t="s">
        <v>181</v>
      </c>
      <c r="Z1" t="s">
        <v>61</v>
      </c>
      <c r="AA1" t="s">
        <v>182</v>
      </c>
      <c r="AB1" t="s">
        <v>183</v>
      </c>
      <c r="AC1" t="s">
        <v>64</v>
      </c>
      <c r="AD1" t="s">
        <v>184</v>
      </c>
      <c r="AE1" t="s">
        <v>185</v>
      </c>
      <c r="AF1" t="s">
        <v>67</v>
      </c>
      <c r="AG1" t="s">
        <v>186</v>
      </c>
      <c r="AH1" t="s">
        <v>187</v>
      </c>
      <c r="AI1" t="s">
        <v>70</v>
      </c>
      <c r="AJ1" t="s">
        <v>188</v>
      </c>
      <c r="AK1" t="s">
        <v>47</v>
      </c>
      <c r="AL1" t="s">
        <v>50</v>
      </c>
      <c r="AM1" t="s">
        <v>53</v>
      </c>
      <c r="AN1" t="s">
        <v>56</v>
      </c>
      <c r="AO1" t="s">
        <v>59</v>
      </c>
      <c r="AP1" t="s">
        <v>62</v>
      </c>
      <c r="AQ1" t="s">
        <v>65</v>
      </c>
      <c r="AR1" t="s">
        <v>68</v>
      </c>
      <c r="AS1" t="s">
        <v>71</v>
      </c>
    </row>
    <row r="2" spans="1:45" x14ac:dyDescent="0.45">
      <c r="A2">
        <v>1</v>
      </c>
      <c r="B2">
        <v>1</v>
      </c>
      <c r="C2" t="s">
        <v>72</v>
      </c>
      <c r="D2" t="s">
        <v>81</v>
      </c>
      <c r="E2" t="s">
        <v>74</v>
      </c>
      <c r="F2" t="s">
        <v>77</v>
      </c>
      <c r="G2" t="s">
        <v>76</v>
      </c>
      <c r="H2">
        <v>14.559108123501284</v>
      </c>
      <c r="I2">
        <v>1</v>
      </c>
      <c r="J2">
        <v>6</v>
      </c>
      <c r="K2">
        <v>10</v>
      </c>
      <c r="L2">
        <v>-4</v>
      </c>
      <c r="M2">
        <v>7</v>
      </c>
      <c r="N2">
        <v>8</v>
      </c>
      <c r="O2">
        <v>-1</v>
      </c>
      <c r="P2">
        <v>8</v>
      </c>
      <c r="Q2">
        <v>5</v>
      </c>
      <c r="R2">
        <v>3</v>
      </c>
      <c r="S2">
        <v>9</v>
      </c>
      <c r="T2">
        <v>5</v>
      </c>
      <c r="U2">
        <v>4</v>
      </c>
      <c r="W2">
        <v>10</v>
      </c>
      <c r="Z2">
        <v>10</v>
      </c>
      <c r="AC2">
        <v>10</v>
      </c>
      <c r="AF2">
        <v>10</v>
      </c>
      <c r="AI2">
        <v>10</v>
      </c>
      <c r="AK2" t="s">
        <v>201</v>
      </c>
      <c r="AL2" t="s">
        <v>201</v>
      </c>
      <c r="AM2" t="s">
        <v>201</v>
      </c>
      <c r="AN2" t="s">
        <v>201</v>
      </c>
      <c r="AO2" t="s">
        <v>201</v>
      </c>
      <c r="AP2" t="s">
        <v>201</v>
      </c>
      <c r="AQ2" t="s">
        <v>201</v>
      </c>
      <c r="AR2" t="s">
        <v>201</v>
      </c>
      <c r="AS2" t="s">
        <v>201</v>
      </c>
    </row>
    <row r="3" spans="1:45" x14ac:dyDescent="0.45">
      <c r="A3">
        <v>2</v>
      </c>
      <c r="B3">
        <v>2</v>
      </c>
      <c r="C3" t="s">
        <v>72</v>
      </c>
      <c r="D3" t="s">
        <v>81</v>
      </c>
      <c r="E3" t="s">
        <v>74</v>
      </c>
      <c r="F3" t="s">
        <v>77</v>
      </c>
      <c r="G3" t="s">
        <v>76</v>
      </c>
      <c r="H3">
        <v>13.308060671246581</v>
      </c>
      <c r="I3">
        <v>0</v>
      </c>
      <c r="J3">
        <v>7</v>
      </c>
      <c r="K3">
        <v>8</v>
      </c>
      <c r="L3">
        <v>-1</v>
      </c>
      <c r="M3">
        <v>8</v>
      </c>
      <c r="N3">
        <v>8</v>
      </c>
      <c r="O3">
        <v>0</v>
      </c>
      <c r="P3">
        <v>9</v>
      </c>
      <c r="Q3">
        <v>6</v>
      </c>
      <c r="R3">
        <v>3</v>
      </c>
      <c r="S3">
        <v>10</v>
      </c>
      <c r="T3">
        <v>9</v>
      </c>
      <c r="U3">
        <v>1</v>
      </c>
      <c r="V3">
        <v>9</v>
      </c>
      <c r="W3">
        <v>10</v>
      </c>
      <c r="X3">
        <v>-1</v>
      </c>
      <c r="Y3">
        <v>8</v>
      </c>
      <c r="Z3">
        <v>9</v>
      </c>
      <c r="AA3">
        <v>-1</v>
      </c>
      <c r="AB3">
        <v>9</v>
      </c>
      <c r="AC3">
        <v>8</v>
      </c>
      <c r="AD3">
        <v>1</v>
      </c>
      <c r="AE3">
        <v>8</v>
      </c>
      <c r="AF3">
        <v>9</v>
      </c>
      <c r="AG3">
        <v>-1</v>
      </c>
      <c r="AH3">
        <v>9</v>
      </c>
      <c r="AI3">
        <v>10</v>
      </c>
      <c r="AJ3">
        <v>-1</v>
      </c>
      <c r="AK3" t="s">
        <v>295</v>
      </c>
      <c r="AL3" t="s">
        <v>296</v>
      </c>
      <c r="AM3" t="s">
        <v>297</v>
      </c>
      <c r="AN3" t="s">
        <v>298</v>
      </c>
      <c r="AO3" t="s">
        <v>299</v>
      </c>
      <c r="AP3" t="s">
        <v>300</v>
      </c>
      <c r="AQ3" t="s">
        <v>301</v>
      </c>
      <c r="AR3" t="s">
        <v>302</v>
      </c>
      <c r="AS3" t="s">
        <v>303</v>
      </c>
    </row>
    <row r="4" spans="1:45" x14ac:dyDescent="0.45">
      <c r="A4">
        <v>3</v>
      </c>
      <c r="B4">
        <v>3</v>
      </c>
      <c r="C4" t="s">
        <v>78</v>
      </c>
      <c r="D4" t="s">
        <v>79</v>
      </c>
      <c r="E4" t="s">
        <v>74</v>
      </c>
      <c r="F4" t="s">
        <v>75</v>
      </c>
      <c r="G4" t="s">
        <v>76</v>
      </c>
      <c r="H4">
        <v>49.798632510016112</v>
      </c>
      <c r="I4">
        <v>3</v>
      </c>
      <c r="J4">
        <v>8</v>
      </c>
      <c r="K4">
        <v>6</v>
      </c>
      <c r="L4">
        <v>2</v>
      </c>
      <c r="M4">
        <v>9</v>
      </c>
      <c r="N4">
        <v>5</v>
      </c>
      <c r="O4">
        <v>4</v>
      </c>
      <c r="P4">
        <v>7</v>
      </c>
      <c r="Q4">
        <v>4</v>
      </c>
      <c r="R4">
        <v>3</v>
      </c>
      <c r="S4">
        <v>8</v>
      </c>
      <c r="T4">
        <v>5</v>
      </c>
      <c r="U4">
        <v>3</v>
      </c>
      <c r="V4">
        <v>9</v>
      </c>
      <c r="W4">
        <v>4</v>
      </c>
      <c r="X4">
        <v>5</v>
      </c>
      <c r="Y4">
        <v>9</v>
      </c>
      <c r="Z4">
        <v>4</v>
      </c>
      <c r="AA4">
        <v>5</v>
      </c>
      <c r="AB4">
        <v>8</v>
      </c>
      <c r="AC4">
        <v>4</v>
      </c>
      <c r="AD4">
        <v>4</v>
      </c>
      <c r="AE4">
        <v>7</v>
      </c>
      <c r="AF4">
        <v>10</v>
      </c>
      <c r="AG4">
        <v>-3</v>
      </c>
      <c r="AH4">
        <v>9</v>
      </c>
      <c r="AI4">
        <v>4</v>
      </c>
      <c r="AJ4">
        <v>5</v>
      </c>
      <c r="AK4" t="s">
        <v>304</v>
      </c>
      <c r="AL4" t="s">
        <v>305</v>
      </c>
      <c r="AM4" t="s">
        <v>306</v>
      </c>
      <c r="AN4" t="s">
        <v>307</v>
      </c>
      <c r="AO4" t="s">
        <v>308</v>
      </c>
      <c r="AP4" t="s">
        <v>309</v>
      </c>
      <c r="AQ4" t="s">
        <v>310</v>
      </c>
      <c r="AR4" t="s">
        <v>311</v>
      </c>
      <c r="AS4" t="s">
        <v>312</v>
      </c>
    </row>
    <row r="5" spans="1:45" x14ac:dyDescent="0.45">
      <c r="A5">
        <v>4</v>
      </c>
      <c r="B5">
        <v>4</v>
      </c>
      <c r="C5" t="s">
        <v>72</v>
      </c>
      <c r="D5" t="s">
        <v>189</v>
      </c>
      <c r="E5" t="s">
        <v>74</v>
      </c>
      <c r="F5" t="s">
        <v>77</v>
      </c>
      <c r="G5" t="s">
        <v>76</v>
      </c>
      <c r="H5">
        <v>12</v>
      </c>
      <c r="I5">
        <v>0</v>
      </c>
      <c r="J5">
        <v>7</v>
      </c>
      <c r="K5">
        <v>10</v>
      </c>
      <c r="L5">
        <v>-3</v>
      </c>
      <c r="M5">
        <v>8</v>
      </c>
      <c r="N5">
        <v>10</v>
      </c>
      <c r="O5">
        <v>-2</v>
      </c>
      <c r="P5">
        <v>6</v>
      </c>
      <c r="Q5">
        <v>8</v>
      </c>
      <c r="R5">
        <v>-2</v>
      </c>
      <c r="S5">
        <v>9</v>
      </c>
      <c r="T5">
        <v>9</v>
      </c>
      <c r="U5">
        <v>0</v>
      </c>
      <c r="V5">
        <v>7</v>
      </c>
      <c r="W5">
        <v>9</v>
      </c>
      <c r="X5">
        <v>-2</v>
      </c>
      <c r="Y5">
        <v>9</v>
      </c>
      <c r="Z5">
        <v>7</v>
      </c>
      <c r="AA5">
        <v>2</v>
      </c>
      <c r="AB5">
        <v>7</v>
      </c>
      <c r="AC5">
        <v>10</v>
      </c>
      <c r="AD5">
        <v>-3</v>
      </c>
      <c r="AE5">
        <v>8</v>
      </c>
      <c r="AF5">
        <v>7</v>
      </c>
      <c r="AG5">
        <v>1</v>
      </c>
      <c r="AH5">
        <v>9</v>
      </c>
      <c r="AI5">
        <v>10</v>
      </c>
      <c r="AJ5">
        <v>-1</v>
      </c>
      <c r="AK5" t="s">
        <v>313</v>
      </c>
      <c r="AL5" t="s">
        <v>314</v>
      </c>
      <c r="AM5" t="s">
        <v>315</v>
      </c>
      <c r="AN5" t="s">
        <v>316</v>
      </c>
      <c r="AO5" t="s">
        <v>317</v>
      </c>
      <c r="AP5" t="s">
        <v>318</v>
      </c>
      <c r="AQ5" t="s">
        <v>319</v>
      </c>
      <c r="AR5" t="s">
        <v>320</v>
      </c>
      <c r="AS5" t="s">
        <v>321</v>
      </c>
    </row>
    <row r="6" spans="1:45" x14ac:dyDescent="0.45">
      <c r="A6">
        <v>5</v>
      </c>
      <c r="B6">
        <v>5</v>
      </c>
      <c r="C6" t="s">
        <v>72</v>
      </c>
      <c r="D6" t="s">
        <v>81</v>
      </c>
      <c r="E6" t="s">
        <v>74</v>
      </c>
      <c r="F6" t="s">
        <v>77</v>
      </c>
      <c r="G6" t="s">
        <v>76</v>
      </c>
      <c r="H6">
        <v>12</v>
      </c>
      <c r="I6">
        <v>0</v>
      </c>
      <c r="J6">
        <v>8</v>
      </c>
      <c r="K6">
        <v>9</v>
      </c>
      <c r="L6">
        <v>-1</v>
      </c>
      <c r="M6">
        <v>9</v>
      </c>
      <c r="N6">
        <v>9</v>
      </c>
      <c r="O6">
        <v>0</v>
      </c>
      <c r="P6">
        <v>8</v>
      </c>
      <c r="Q6">
        <v>10</v>
      </c>
      <c r="R6">
        <v>-2</v>
      </c>
      <c r="S6">
        <v>9</v>
      </c>
      <c r="T6">
        <v>9</v>
      </c>
      <c r="U6">
        <v>0</v>
      </c>
      <c r="V6">
        <v>8</v>
      </c>
      <c r="W6">
        <v>9</v>
      </c>
      <c r="X6">
        <v>-1</v>
      </c>
      <c r="Y6">
        <v>9</v>
      </c>
      <c r="Z6">
        <v>9</v>
      </c>
      <c r="AA6">
        <v>0</v>
      </c>
      <c r="AB6">
        <v>8</v>
      </c>
      <c r="AC6">
        <v>9</v>
      </c>
      <c r="AD6">
        <v>-1</v>
      </c>
      <c r="AE6">
        <v>9</v>
      </c>
      <c r="AF6">
        <v>9</v>
      </c>
      <c r="AG6">
        <v>0</v>
      </c>
      <c r="AH6">
        <v>8</v>
      </c>
      <c r="AI6">
        <v>9</v>
      </c>
      <c r="AJ6">
        <v>-1</v>
      </c>
      <c r="AK6" t="s">
        <v>322</v>
      </c>
      <c r="AL6" t="s">
        <v>323</v>
      </c>
      <c r="AM6" t="s">
        <v>324</v>
      </c>
      <c r="AN6" t="s">
        <v>325</v>
      </c>
      <c r="AO6" t="s">
        <v>326</v>
      </c>
      <c r="AP6" t="s">
        <v>327</v>
      </c>
      <c r="AQ6" t="s">
        <v>328</v>
      </c>
      <c r="AR6" t="s">
        <v>329</v>
      </c>
      <c r="AS6" t="s">
        <v>330</v>
      </c>
    </row>
    <row r="7" spans="1:45" x14ac:dyDescent="0.45">
      <c r="A7">
        <v>6</v>
      </c>
      <c r="B7">
        <v>6</v>
      </c>
      <c r="C7" t="s">
        <v>72</v>
      </c>
      <c r="D7" t="s">
        <v>73</v>
      </c>
      <c r="E7" t="s">
        <v>74</v>
      </c>
      <c r="F7" t="s">
        <v>75</v>
      </c>
      <c r="G7" t="s">
        <v>76</v>
      </c>
      <c r="H7">
        <v>86.683094895630234</v>
      </c>
      <c r="I7">
        <v>4</v>
      </c>
      <c r="J7">
        <v>6</v>
      </c>
      <c r="K7">
        <v>8</v>
      </c>
      <c r="L7">
        <v>-2</v>
      </c>
      <c r="M7">
        <v>7</v>
      </c>
      <c r="N7">
        <v>8</v>
      </c>
      <c r="O7">
        <v>-1</v>
      </c>
      <c r="P7">
        <v>9</v>
      </c>
      <c r="Q7">
        <v>5</v>
      </c>
      <c r="R7">
        <v>4</v>
      </c>
      <c r="S7">
        <v>9</v>
      </c>
      <c r="T7">
        <v>8</v>
      </c>
      <c r="U7">
        <v>1</v>
      </c>
      <c r="V7">
        <v>8</v>
      </c>
      <c r="W7">
        <v>6</v>
      </c>
      <c r="X7">
        <v>2</v>
      </c>
      <c r="Y7">
        <v>7</v>
      </c>
      <c r="Z7">
        <v>6</v>
      </c>
      <c r="AA7">
        <v>1</v>
      </c>
      <c r="AB7">
        <v>8</v>
      </c>
      <c r="AC7">
        <v>4</v>
      </c>
      <c r="AD7">
        <v>4</v>
      </c>
      <c r="AE7">
        <v>7</v>
      </c>
      <c r="AF7">
        <v>5</v>
      </c>
      <c r="AG7">
        <v>2</v>
      </c>
      <c r="AH7">
        <v>8</v>
      </c>
      <c r="AI7">
        <v>6</v>
      </c>
      <c r="AJ7">
        <v>2</v>
      </c>
      <c r="AK7" t="s">
        <v>331</v>
      </c>
      <c r="AL7" t="s">
        <v>332</v>
      </c>
      <c r="AM7" t="s">
        <v>333</v>
      </c>
      <c r="AN7" t="s">
        <v>334</v>
      </c>
      <c r="AO7" t="s">
        <v>335</v>
      </c>
      <c r="AP7" t="s">
        <v>336</v>
      </c>
      <c r="AQ7" t="s">
        <v>337</v>
      </c>
      <c r="AR7" t="s">
        <v>338</v>
      </c>
      <c r="AS7" t="s">
        <v>339</v>
      </c>
    </row>
    <row r="8" spans="1:45" x14ac:dyDescent="0.45">
      <c r="A8">
        <v>7</v>
      </c>
      <c r="B8">
        <v>7</v>
      </c>
      <c r="C8" t="s">
        <v>72</v>
      </c>
      <c r="D8" t="s">
        <v>73</v>
      </c>
      <c r="E8" t="s">
        <v>74</v>
      </c>
      <c r="F8" t="s">
        <v>77</v>
      </c>
      <c r="G8" t="s">
        <v>76</v>
      </c>
      <c r="H8">
        <v>20.500381866418667</v>
      </c>
      <c r="I8">
        <v>2</v>
      </c>
      <c r="J8">
        <v>6</v>
      </c>
      <c r="K8">
        <v>5</v>
      </c>
      <c r="L8">
        <v>1</v>
      </c>
      <c r="M8">
        <v>7</v>
      </c>
      <c r="N8">
        <v>4</v>
      </c>
      <c r="O8">
        <v>3</v>
      </c>
      <c r="P8">
        <v>8</v>
      </c>
      <c r="Q8">
        <v>4</v>
      </c>
      <c r="R8">
        <v>4</v>
      </c>
      <c r="S8">
        <v>9</v>
      </c>
      <c r="T8">
        <v>6</v>
      </c>
      <c r="U8">
        <v>3</v>
      </c>
      <c r="V8">
        <v>8</v>
      </c>
      <c r="W8">
        <v>6</v>
      </c>
      <c r="X8">
        <v>2</v>
      </c>
      <c r="Y8">
        <v>9</v>
      </c>
      <c r="Z8">
        <v>7</v>
      </c>
      <c r="AA8">
        <v>2</v>
      </c>
      <c r="AB8">
        <v>8</v>
      </c>
      <c r="AC8">
        <v>2</v>
      </c>
      <c r="AD8">
        <v>6</v>
      </c>
      <c r="AE8">
        <v>9</v>
      </c>
      <c r="AF8">
        <v>4</v>
      </c>
      <c r="AG8">
        <v>5</v>
      </c>
      <c r="AH8">
        <v>8</v>
      </c>
      <c r="AI8">
        <v>4</v>
      </c>
      <c r="AJ8">
        <v>4</v>
      </c>
      <c r="AK8" t="s">
        <v>340</v>
      </c>
      <c r="AL8" t="s">
        <v>341</v>
      </c>
      <c r="AM8" t="s">
        <v>342</v>
      </c>
      <c r="AN8" t="s">
        <v>343</v>
      </c>
      <c r="AO8" t="s">
        <v>344</v>
      </c>
      <c r="AP8" t="s">
        <v>345</v>
      </c>
      <c r="AQ8" t="s">
        <v>346</v>
      </c>
      <c r="AR8" t="s">
        <v>347</v>
      </c>
      <c r="AS8" t="s">
        <v>348</v>
      </c>
    </row>
    <row r="9" spans="1:45" x14ac:dyDescent="0.45">
      <c r="A9">
        <v>8</v>
      </c>
      <c r="B9">
        <v>8</v>
      </c>
      <c r="C9" t="s">
        <v>78</v>
      </c>
      <c r="D9" t="s">
        <v>79</v>
      </c>
      <c r="E9" t="s">
        <v>74</v>
      </c>
      <c r="F9" t="s">
        <v>75</v>
      </c>
      <c r="G9" t="s">
        <v>76</v>
      </c>
      <c r="H9">
        <v>12</v>
      </c>
      <c r="I9">
        <v>2</v>
      </c>
      <c r="J9">
        <v>6</v>
      </c>
      <c r="K9">
        <v>1</v>
      </c>
      <c r="L9">
        <v>5</v>
      </c>
      <c r="M9">
        <v>7</v>
      </c>
      <c r="N9">
        <v>1</v>
      </c>
      <c r="O9">
        <v>6</v>
      </c>
      <c r="P9">
        <v>8</v>
      </c>
      <c r="Q9">
        <v>2</v>
      </c>
      <c r="R9">
        <v>6</v>
      </c>
      <c r="S9">
        <v>9</v>
      </c>
      <c r="T9">
        <v>3</v>
      </c>
      <c r="U9">
        <v>6</v>
      </c>
      <c r="V9">
        <v>7</v>
      </c>
      <c r="W9">
        <v>6</v>
      </c>
      <c r="X9">
        <v>1</v>
      </c>
      <c r="Y9">
        <v>9</v>
      </c>
      <c r="Z9">
        <v>2</v>
      </c>
      <c r="AA9">
        <v>7</v>
      </c>
      <c r="AB9">
        <v>8</v>
      </c>
      <c r="AC9">
        <v>7</v>
      </c>
      <c r="AD9">
        <v>1</v>
      </c>
      <c r="AE9">
        <v>7</v>
      </c>
      <c r="AF9">
        <v>3</v>
      </c>
      <c r="AG9">
        <v>4</v>
      </c>
      <c r="AH9">
        <v>8</v>
      </c>
      <c r="AI9">
        <v>3</v>
      </c>
      <c r="AJ9">
        <v>5</v>
      </c>
      <c r="AK9" t="s">
        <v>349</v>
      </c>
      <c r="AL9" t="s">
        <v>350</v>
      </c>
      <c r="AM9" t="s">
        <v>351</v>
      </c>
      <c r="AN9" t="s">
        <v>352</v>
      </c>
      <c r="AO9" t="s">
        <v>353</v>
      </c>
      <c r="AP9" t="s">
        <v>354</v>
      </c>
      <c r="AQ9" t="s">
        <v>355</v>
      </c>
      <c r="AR9" t="s">
        <v>356</v>
      </c>
      <c r="AS9" t="s">
        <v>357</v>
      </c>
    </row>
    <row r="10" spans="1:45" x14ac:dyDescent="0.45">
      <c r="A10">
        <v>9</v>
      </c>
      <c r="B10">
        <v>9</v>
      </c>
      <c r="C10" t="s">
        <v>72</v>
      </c>
      <c r="D10" t="s">
        <v>81</v>
      </c>
      <c r="E10" t="s">
        <v>80</v>
      </c>
      <c r="F10" t="s">
        <v>77</v>
      </c>
      <c r="G10" t="s">
        <v>162</v>
      </c>
      <c r="H10">
        <v>16.351246019850421</v>
      </c>
      <c r="I10">
        <v>1</v>
      </c>
      <c r="J10">
        <v>3</v>
      </c>
      <c r="K10">
        <v>10</v>
      </c>
      <c r="L10">
        <v>-7</v>
      </c>
      <c r="M10">
        <v>5</v>
      </c>
      <c r="N10">
        <v>10</v>
      </c>
      <c r="O10">
        <v>-5</v>
      </c>
      <c r="P10">
        <v>7</v>
      </c>
      <c r="Q10">
        <v>8</v>
      </c>
      <c r="R10">
        <v>-1</v>
      </c>
      <c r="S10">
        <v>9</v>
      </c>
      <c r="T10">
        <v>7</v>
      </c>
      <c r="U10">
        <v>2</v>
      </c>
      <c r="V10">
        <v>6</v>
      </c>
      <c r="W10">
        <v>7</v>
      </c>
      <c r="X10">
        <v>-1</v>
      </c>
      <c r="Y10">
        <v>8</v>
      </c>
      <c r="Z10">
        <v>5</v>
      </c>
      <c r="AA10">
        <v>3</v>
      </c>
      <c r="AB10">
        <v>7</v>
      </c>
      <c r="AC10">
        <v>5</v>
      </c>
      <c r="AD10">
        <v>2</v>
      </c>
      <c r="AE10">
        <v>6</v>
      </c>
      <c r="AF10">
        <v>9</v>
      </c>
      <c r="AG10">
        <v>-3</v>
      </c>
      <c r="AH10">
        <v>8</v>
      </c>
      <c r="AI10">
        <v>8</v>
      </c>
      <c r="AJ10">
        <v>0</v>
      </c>
      <c r="AK10" t="s">
        <v>358</v>
      </c>
      <c r="AL10" t="s">
        <v>359</v>
      </c>
      <c r="AM10" t="s">
        <v>360</v>
      </c>
      <c r="AN10" t="s">
        <v>361</v>
      </c>
      <c r="AO10" t="s">
        <v>362</v>
      </c>
      <c r="AP10" t="s">
        <v>363</v>
      </c>
      <c r="AQ10" t="s">
        <v>364</v>
      </c>
      <c r="AR10" t="s">
        <v>365</v>
      </c>
      <c r="AS10" t="s">
        <v>366</v>
      </c>
    </row>
    <row r="11" spans="1:45" x14ac:dyDescent="0.45">
      <c r="A11">
        <v>10</v>
      </c>
      <c r="B11">
        <v>10</v>
      </c>
      <c r="C11" t="s">
        <v>72</v>
      </c>
      <c r="D11" t="s">
        <v>81</v>
      </c>
      <c r="E11" t="s">
        <v>74</v>
      </c>
      <c r="F11" t="s">
        <v>77</v>
      </c>
      <c r="G11" t="s">
        <v>76</v>
      </c>
      <c r="H11">
        <v>21.824006838515903</v>
      </c>
      <c r="I11">
        <v>0</v>
      </c>
      <c r="J11">
        <v>9</v>
      </c>
      <c r="K11">
        <v>7</v>
      </c>
      <c r="L11">
        <v>2</v>
      </c>
      <c r="M11">
        <v>8</v>
      </c>
      <c r="N11">
        <v>10</v>
      </c>
      <c r="O11">
        <v>-2</v>
      </c>
      <c r="P11">
        <v>9</v>
      </c>
      <c r="Q11">
        <v>1</v>
      </c>
      <c r="R11">
        <v>8</v>
      </c>
      <c r="S11">
        <v>10</v>
      </c>
      <c r="T11">
        <v>5</v>
      </c>
      <c r="U11">
        <v>5</v>
      </c>
      <c r="V11">
        <v>9</v>
      </c>
      <c r="W11">
        <v>8</v>
      </c>
      <c r="X11">
        <v>1</v>
      </c>
      <c r="Y11">
        <v>10</v>
      </c>
      <c r="Z11">
        <v>5</v>
      </c>
      <c r="AA11">
        <v>5</v>
      </c>
      <c r="AB11">
        <v>9</v>
      </c>
      <c r="AC11">
        <v>5</v>
      </c>
      <c r="AD11">
        <v>4</v>
      </c>
      <c r="AE11">
        <v>8</v>
      </c>
      <c r="AF11">
        <v>5</v>
      </c>
      <c r="AG11">
        <v>3</v>
      </c>
      <c r="AH11">
        <v>9</v>
      </c>
      <c r="AI11">
        <v>10</v>
      </c>
      <c r="AJ11">
        <v>-1</v>
      </c>
      <c r="AK11" t="s">
        <v>367</v>
      </c>
      <c r="AL11" t="s">
        <v>368</v>
      </c>
      <c r="AM11" t="s">
        <v>369</v>
      </c>
      <c r="AN11" t="s">
        <v>370</v>
      </c>
      <c r="AO11" t="s">
        <v>371</v>
      </c>
      <c r="AP11" t="s">
        <v>372</v>
      </c>
      <c r="AQ11" t="s">
        <v>373</v>
      </c>
      <c r="AR11" t="s">
        <v>374</v>
      </c>
      <c r="AS11" t="s">
        <v>375</v>
      </c>
    </row>
    <row r="12" spans="1:45" x14ac:dyDescent="0.45">
      <c r="A12">
        <v>11</v>
      </c>
      <c r="B12">
        <v>11</v>
      </c>
      <c r="C12" t="s">
        <v>78</v>
      </c>
      <c r="D12" t="s">
        <v>73</v>
      </c>
      <c r="E12" t="s">
        <v>74</v>
      </c>
      <c r="F12" t="s">
        <v>75</v>
      </c>
      <c r="G12" t="s">
        <v>162</v>
      </c>
      <c r="H12">
        <v>33.928553041537995</v>
      </c>
      <c r="I12">
        <v>4</v>
      </c>
      <c r="J12">
        <v>3</v>
      </c>
      <c r="K12">
        <v>10</v>
      </c>
      <c r="L12">
        <v>-7</v>
      </c>
      <c r="M12">
        <v>5</v>
      </c>
      <c r="N12">
        <v>3</v>
      </c>
      <c r="O12">
        <v>2</v>
      </c>
      <c r="P12">
        <v>8</v>
      </c>
      <c r="Q12">
        <v>1</v>
      </c>
      <c r="R12">
        <v>7</v>
      </c>
      <c r="S12">
        <v>7</v>
      </c>
      <c r="T12">
        <v>7</v>
      </c>
      <c r="U12">
        <v>0</v>
      </c>
      <c r="V12">
        <v>9</v>
      </c>
      <c r="W12">
        <v>1</v>
      </c>
      <c r="X12">
        <v>8</v>
      </c>
      <c r="Y12">
        <v>8</v>
      </c>
      <c r="Z12">
        <v>5</v>
      </c>
      <c r="AA12">
        <v>3</v>
      </c>
      <c r="AB12">
        <v>9</v>
      </c>
      <c r="AC12">
        <v>1</v>
      </c>
      <c r="AD12">
        <v>8</v>
      </c>
      <c r="AE12">
        <v>7</v>
      </c>
      <c r="AF12">
        <v>8</v>
      </c>
      <c r="AG12">
        <v>-1</v>
      </c>
      <c r="AH12">
        <v>9</v>
      </c>
      <c r="AI12">
        <v>6</v>
      </c>
      <c r="AJ12">
        <v>3</v>
      </c>
      <c r="AK12" t="s">
        <v>376</v>
      </c>
      <c r="AL12" t="s">
        <v>377</v>
      </c>
      <c r="AM12" t="s">
        <v>378</v>
      </c>
      <c r="AN12" t="s">
        <v>379</v>
      </c>
      <c r="AO12" t="s">
        <v>380</v>
      </c>
      <c r="AP12" t="s">
        <v>381</v>
      </c>
      <c r="AQ12" t="s">
        <v>382</v>
      </c>
      <c r="AR12" t="s">
        <v>383</v>
      </c>
      <c r="AS12" t="s">
        <v>384</v>
      </c>
    </row>
    <row r="13" spans="1:45" x14ac:dyDescent="0.45">
      <c r="A13">
        <v>12</v>
      </c>
      <c r="B13">
        <v>12</v>
      </c>
      <c r="C13" t="s">
        <v>72</v>
      </c>
      <c r="D13" t="s">
        <v>189</v>
      </c>
      <c r="E13" t="s">
        <v>74</v>
      </c>
      <c r="F13" t="s">
        <v>77</v>
      </c>
      <c r="G13" t="s">
        <v>76</v>
      </c>
      <c r="H13">
        <v>12</v>
      </c>
      <c r="I13">
        <v>0</v>
      </c>
      <c r="J13">
        <v>6</v>
      </c>
      <c r="K13">
        <v>5</v>
      </c>
      <c r="L13">
        <v>1</v>
      </c>
      <c r="M13">
        <v>7</v>
      </c>
      <c r="N13">
        <v>8</v>
      </c>
      <c r="O13">
        <v>-1</v>
      </c>
      <c r="P13">
        <v>8</v>
      </c>
      <c r="Q13">
        <v>5</v>
      </c>
      <c r="R13">
        <v>3</v>
      </c>
      <c r="S13">
        <v>9</v>
      </c>
      <c r="T13">
        <v>5</v>
      </c>
      <c r="U13">
        <v>4</v>
      </c>
      <c r="V13">
        <v>7</v>
      </c>
      <c r="W13">
        <v>6</v>
      </c>
      <c r="X13">
        <v>1</v>
      </c>
      <c r="Y13">
        <v>9</v>
      </c>
      <c r="Z13">
        <v>5</v>
      </c>
      <c r="AA13">
        <v>4</v>
      </c>
      <c r="AB13">
        <v>8</v>
      </c>
      <c r="AC13">
        <v>5</v>
      </c>
      <c r="AD13">
        <v>3</v>
      </c>
      <c r="AE13">
        <v>7</v>
      </c>
      <c r="AF13">
        <v>5</v>
      </c>
      <c r="AG13">
        <v>2</v>
      </c>
      <c r="AH13">
        <v>9</v>
      </c>
      <c r="AI13">
        <v>5</v>
      </c>
      <c r="AJ13">
        <v>4</v>
      </c>
      <c r="AK13" t="s">
        <v>385</v>
      </c>
      <c r="AL13" t="s">
        <v>386</v>
      </c>
      <c r="AM13" t="s">
        <v>387</v>
      </c>
      <c r="AN13" t="s">
        <v>388</v>
      </c>
      <c r="AO13" t="s">
        <v>389</v>
      </c>
      <c r="AP13" t="s">
        <v>390</v>
      </c>
      <c r="AQ13" t="s">
        <v>391</v>
      </c>
      <c r="AR13" t="s">
        <v>392</v>
      </c>
      <c r="AS13" t="s">
        <v>393</v>
      </c>
    </row>
    <row r="14" spans="1:45" x14ac:dyDescent="0.45">
      <c r="A14">
        <v>13</v>
      </c>
      <c r="B14">
        <v>13</v>
      </c>
      <c r="C14" t="s">
        <v>72</v>
      </c>
      <c r="D14" t="s">
        <v>189</v>
      </c>
      <c r="E14" t="s">
        <v>74</v>
      </c>
      <c r="F14" t="s">
        <v>77</v>
      </c>
      <c r="G14" t="s">
        <v>76</v>
      </c>
      <c r="H14">
        <v>12</v>
      </c>
      <c r="I14">
        <v>0</v>
      </c>
      <c r="J14">
        <v>6</v>
      </c>
      <c r="K14">
        <v>8</v>
      </c>
      <c r="L14">
        <v>-2</v>
      </c>
      <c r="M14">
        <v>7</v>
      </c>
      <c r="N14">
        <v>7</v>
      </c>
      <c r="O14">
        <v>0</v>
      </c>
      <c r="P14">
        <v>8</v>
      </c>
      <c r="Q14">
        <v>7</v>
      </c>
      <c r="R14">
        <v>1</v>
      </c>
      <c r="S14">
        <v>9</v>
      </c>
      <c r="T14">
        <v>7</v>
      </c>
      <c r="U14">
        <v>2</v>
      </c>
      <c r="V14">
        <v>8</v>
      </c>
      <c r="W14">
        <v>7</v>
      </c>
      <c r="X14">
        <v>1</v>
      </c>
      <c r="Y14">
        <v>9</v>
      </c>
      <c r="Z14">
        <v>8</v>
      </c>
      <c r="AA14">
        <v>1</v>
      </c>
      <c r="AB14">
        <v>7</v>
      </c>
      <c r="AC14">
        <v>7</v>
      </c>
      <c r="AD14">
        <v>0</v>
      </c>
      <c r="AE14">
        <v>6</v>
      </c>
      <c r="AF14">
        <v>7</v>
      </c>
      <c r="AG14">
        <v>-1</v>
      </c>
      <c r="AH14">
        <v>9</v>
      </c>
      <c r="AI14">
        <v>7</v>
      </c>
      <c r="AJ14">
        <v>2</v>
      </c>
      <c r="AK14" t="s">
        <v>394</v>
      </c>
      <c r="AL14" t="s">
        <v>395</v>
      </c>
      <c r="AM14" t="s">
        <v>396</v>
      </c>
      <c r="AN14" t="s">
        <v>397</v>
      </c>
      <c r="AO14" t="s">
        <v>398</v>
      </c>
      <c r="AP14" t="s">
        <v>399</v>
      </c>
      <c r="AQ14" t="s">
        <v>400</v>
      </c>
      <c r="AR14" t="s">
        <v>401</v>
      </c>
      <c r="AS14" t="s">
        <v>402</v>
      </c>
    </row>
    <row r="15" spans="1:45" x14ac:dyDescent="0.45">
      <c r="A15">
        <v>14</v>
      </c>
      <c r="B15">
        <v>14</v>
      </c>
      <c r="C15" t="s">
        <v>72</v>
      </c>
      <c r="D15" t="s">
        <v>73</v>
      </c>
      <c r="E15" t="s">
        <v>74</v>
      </c>
      <c r="F15" t="s">
        <v>75</v>
      </c>
      <c r="G15" t="s">
        <v>76</v>
      </c>
      <c r="H15">
        <v>21.323933275556445</v>
      </c>
      <c r="I15">
        <v>0</v>
      </c>
      <c r="J15">
        <v>9</v>
      </c>
      <c r="K15">
        <v>10</v>
      </c>
      <c r="L15">
        <v>-1</v>
      </c>
      <c r="M15">
        <v>8</v>
      </c>
      <c r="N15">
        <v>10</v>
      </c>
      <c r="O15">
        <v>-2</v>
      </c>
      <c r="P15">
        <v>9</v>
      </c>
      <c r="Q15">
        <v>8</v>
      </c>
      <c r="R15">
        <v>1</v>
      </c>
      <c r="S15">
        <v>8</v>
      </c>
      <c r="T15">
        <v>8</v>
      </c>
      <c r="U15">
        <v>0</v>
      </c>
      <c r="V15">
        <v>9</v>
      </c>
      <c r="W15">
        <v>8</v>
      </c>
      <c r="X15">
        <v>1</v>
      </c>
      <c r="Y15">
        <v>8</v>
      </c>
      <c r="Z15">
        <v>6</v>
      </c>
      <c r="AA15">
        <v>2</v>
      </c>
      <c r="AB15">
        <v>9</v>
      </c>
      <c r="AC15">
        <v>6</v>
      </c>
      <c r="AD15">
        <v>3</v>
      </c>
      <c r="AE15">
        <v>8</v>
      </c>
      <c r="AF15">
        <v>5</v>
      </c>
      <c r="AG15">
        <v>3</v>
      </c>
      <c r="AH15">
        <v>9</v>
      </c>
      <c r="AI15">
        <v>5</v>
      </c>
      <c r="AJ15">
        <v>4</v>
      </c>
      <c r="AK15" t="s">
        <v>403</v>
      </c>
      <c r="AL15" t="s">
        <v>404</v>
      </c>
      <c r="AM15" t="s">
        <v>405</v>
      </c>
      <c r="AN15" t="s">
        <v>406</v>
      </c>
      <c r="AO15" t="s">
        <v>407</v>
      </c>
      <c r="AP15" t="s">
        <v>408</v>
      </c>
      <c r="AQ15" t="s">
        <v>409</v>
      </c>
      <c r="AR15" t="s">
        <v>410</v>
      </c>
      <c r="AS15" t="s">
        <v>411</v>
      </c>
    </row>
    <row r="16" spans="1:45" x14ac:dyDescent="0.45">
      <c r="A16">
        <v>15</v>
      </c>
      <c r="B16">
        <v>15</v>
      </c>
      <c r="C16" t="s">
        <v>78</v>
      </c>
      <c r="D16" t="s">
        <v>73</v>
      </c>
      <c r="E16" t="s">
        <v>74</v>
      </c>
      <c r="F16" t="s">
        <v>75</v>
      </c>
      <c r="G16" t="s">
        <v>76</v>
      </c>
      <c r="H16">
        <v>42.391150519477286</v>
      </c>
      <c r="I16">
        <v>2</v>
      </c>
      <c r="J16">
        <v>8</v>
      </c>
      <c r="K16">
        <v>7</v>
      </c>
      <c r="L16">
        <v>1</v>
      </c>
      <c r="M16">
        <v>7</v>
      </c>
      <c r="N16">
        <v>9</v>
      </c>
      <c r="O16">
        <v>-2</v>
      </c>
      <c r="P16">
        <v>9</v>
      </c>
      <c r="Q16">
        <v>3</v>
      </c>
      <c r="R16">
        <v>6</v>
      </c>
      <c r="S16">
        <v>9</v>
      </c>
      <c r="T16">
        <v>6</v>
      </c>
      <c r="U16">
        <v>3</v>
      </c>
      <c r="V16">
        <v>8</v>
      </c>
      <c r="W16">
        <v>1</v>
      </c>
      <c r="X16">
        <v>7</v>
      </c>
      <c r="Y16">
        <v>9</v>
      </c>
      <c r="Z16">
        <v>1</v>
      </c>
      <c r="AA16">
        <v>8</v>
      </c>
      <c r="AB16">
        <v>8</v>
      </c>
      <c r="AC16">
        <v>1</v>
      </c>
      <c r="AD16">
        <v>7</v>
      </c>
      <c r="AE16">
        <v>9</v>
      </c>
      <c r="AF16">
        <v>1</v>
      </c>
      <c r="AG16">
        <v>8</v>
      </c>
      <c r="AH16">
        <v>10</v>
      </c>
      <c r="AI16">
        <v>1</v>
      </c>
      <c r="AJ16">
        <v>9</v>
      </c>
      <c r="AK16" t="s">
        <v>412</v>
      </c>
      <c r="AL16" t="s">
        <v>413</v>
      </c>
      <c r="AM16" t="s">
        <v>414</v>
      </c>
      <c r="AN16" t="s">
        <v>415</v>
      </c>
      <c r="AO16" t="s">
        <v>416</v>
      </c>
      <c r="AP16" t="s">
        <v>417</v>
      </c>
      <c r="AQ16" t="s">
        <v>418</v>
      </c>
      <c r="AR16" t="s">
        <v>419</v>
      </c>
      <c r="AS16" t="s">
        <v>420</v>
      </c>
    </row>
    <row r="17" spans="1:45" x14ac:dyDescent="0.45">
      <c r="A17">
        <v>16</v>
      </c>
      <c r="B17">
        <v>16</v>
      </c>
      <c r="C17" t="s">
        <v>78</v>
      </c>
      <c r="D17" t="s">
        <v>79</v>
      </c>
      <c r="E17" t="s">
        <v>74</v>
      </c>
      <c r="F17" t="s">
        <v>75</v>
      </c>
      <c r="G17" t="s">
        <v>76</v>
      </c>
      <c r="H17">
        <v>87.574422005260317</v>
      </c>
      <c r="I17">
        <v>4</v>
      </c>
      <c r="J17">
        <v>9</v>
      </c>
      <c r="K17">
        <v>8</v>
      </c>
      <c r="L17">
        <v>1</v>
      </c>
      <c r="M17">
        <v>8</v>
      </c>
      <c r="N17">
        <v>8</v>
      </c>
      <c r="O17">
        <v>0</v>
      </c>
      <c r="P17">
        <v>9</v>
      </c>
      <c r="Q17">
        <v>8</v>
      </c>
      <c r="R17">
        <v>1</v>
      </c>
      <c r="S17">
        <v>9</v>
      </c>
      <c r="T17">
        <v>9</v>
      </c>
      <c r="U17">
        <v>0</v>
      </c>
      <c r="V17">
        <v>8</v>
      </c>
      <c r="W17">
        <v>7</v>
      </c>
      <c r="X17">
        <v>1</v>
      </c>
      <c r="Y17">
        <v>9</v>
      </c>
      <c r="Z17">
        <v>7</v>
      </c>
      <c r="AA17">
        <v>2</v>
      </c>
      <c r="AB17">
        <v>8</v>
      </c>
      <c r="AC17">
        <v>9</v>
      </c>
      <c r="AD17">
        <v>-1</v>
      </c>
      <c r="AE17">
        <v>9</v>
      </c>
      <c r="AF17">
        <v>8</v>
      </c>
      <c r="AG17">
        <v>1</v>
      </c>
      <c r="AH17">
        <v>8</v>
      </c>
      <c r="AI17">
        <v>7</v>
      </c>
      <c r="AJ17">
        <v>1</v>
      </c>
      <c r="AK17" t="s">
        <v>421</v>
      </c>
      <c r="AL17" t="s">
        <v>422</v>
      </c>
      <c r="AM17" t="s">
        <v>423</v>
      </c>
      <c r="AN17" t="s">
        <v>424</v>
      </c>
      <c r="AO17" t="s">
        <v>425</v>
      </c>
      <c r="AP17" t="s">
        <v>426</v>
      </c>
      <c r="AQ17" t="s">
        <v>427</v>
      </c>
      <c r="AR17" t="s">
        <v>428</v>
      </c>
      <c r="AS17" t="s">
        <v>429</v>
      </c>
    </row>
    <row r="18" spans="1:45" x14ac:dyDescent="0.45">
      <c r="A18">
        <v>17</v>
      </c>
      <c r="B18">
        <v>17</v>
      </c>
      <c r="C18" t="s">
        <v>72</v>
      </c>
      <c r="D18" t="s">
        <v>81</v>
      </c>
      <c r="E18" t="s">
        <v>74</v>
      </c>
      <c r="F18" t="s">
        <v>77</v>
      </c>
      <c r="G18" t="s">
        <v>76</v>
      </c>
      <c r="H18">
        <v>21.380299171191606</v>
      </c>
      <c r="I18">
        <v>2</v>
      </c>
      <c r="J18">
        <v>8</v>
      </c>
      <c r="K18">
        <v>6</v>
      </c>
      <c r="L18">
        <v>2</v>
      </c>
      <c r="M18">
        <v>9</v>
      </c>
      <c r="N18">
        <v>7</v>
      </c>
      <c r="O18">
        <v>2</v>
      </c>
      <c r="P18">
        <v>10</v>
      </c>
      <c r="Q18">
        <v>5</v>
      </c>
      <c r="R18">
        <v>5</v>
      </c>
      <c r="S18">
        <v>10</v>
      </c>
      <c r="T18">
        <v>5</v>
      </c>
      <c r="U18">
        <v>5</v>
      </c>
      <c r="V18">
        <v>7</v>
      </c>
      <c r="W18">
        <v>6</v>
      </c>
      <c r="X18">
        <v>1</v>
      </c>
      <c r="Y18">
        <v>9</v>
      </c>
      <c r="Z18">
        <v>7</v>
      </c>
      <c r="AA18">
        <v>2</v>
      </c>
      <c r="AB18">
        <v>8</v>
      </c>
      <c r="AC18">
        <v>3</v>
      </c>
      <c r="AD18">
        <v>5</v>
      </c>
      <c r="AE18">
        <v>7</v>
      </c>
      <c r="AF18">
        <v>4</v>
      </c>
      <c r="AG18">
        <v>3</v>
      </c>
      <c r="AH18">
        <v>9</v>
      </c>
      <c r="AI18">
        <v>5</v>
      </c>
      <c r="AJ18">
        <v>4</v>
      </c>
      <c r="AK18" t="s">
        <v>430</v>
      </c>
      <c r="AL18" t="s">
        <v>431</v>
      </c>
      <c r="AM18" t="s">
        <v>432</v>
      </c>
      <c r="AN18" t="s">
        <v>433</v>
      </c>
      <c r="AO18" t="s">
        <v>434</v>
      </c>
      <c r="AP18" t="s">
        <v>435</v>
      </c>
      <c r="AQ18" t="s">
        <v>436</v>
      </c>
      <c r="AR18" t="s">
        <v>437</v>
      </c>
      <c r="AS18" t="s">
        <v>438</v>
      </c>
    </row>
    <row r="19" spans="1:45" x14ac:dyDescent="0.45">
      <c r="A19">
        <v>18</v>
      </c>
      <c r="B19">
        <v>18</v>
      </c>
      <c r="C19" t="s">
        <v>78</v>
      </c>
      <c r="D19" t="s">
        <v>79</v>
      </c>
      <c r="E19" t="s">
        <v>74</v>
      </c>
      <c r="F19" t="s">
        <v>77</v>
      </c>
      <c r="G19" t="s">
        <v>162</v>
      </c>
      <c r="H19">
        <v>13.996528846087864</v>
      </c>
      <c r="I19">
        <v>0</v>
      </c>
      <c r="J19">
        <v>8</v>
      </c>
      <c r="K19">
        <v>6</v>
      </c>
      <c r="L19">
        <v>2</v>
      </c>
      <c r="M19">
        <v>7</v>
      </c>
      <c r="N19">
        <v>8</v>
      </c>
      <c r="O19">
        <v>-1</v>
      </c>
      <c r="P19">
        <v>9</v>
      </c>
      <c r="Q19">
        <v>7</v>
      </c>
      <c r="R19">
        <v>2</v>
      </c>
      <c r="S19">
        <v>8</v>
      </c>
      <c r="T19">
        <v>8</v>
      </c>
      <c r="U19">
        <v>0</v>
      </c>
      <c r="V19">
        <v>9</v>
      </c>
      <c r="W19">
        <v>8</v>
      </c>
      <c r="X19">
        <v>1</v>
      </c>
      <c r="Y19">
        <v>9</v>
      </c>
      <c r="Z19">
        <v>7</v>
      </c>
      <c r="AA19">
        <v>2</v>
      </c>
      <c r="AB19">
        <v>9</v>
      </c>
      <c r="AC19">
        <v>7</v>
      </c>
      <c r="AD19">
        <v>2</v>
      </c>
      <c r="AE19">
        <v>7</v>
      </c>
      <c r="AF19">
        <v>6</v>
      </c>
      <c r="AG19">
        <v>1</v>
      </c>
      <c r="AH19">
        <v>9</v>
      </c>
      <c r="AI19">
        <v>8</v>
      </c>
      <c r="AJ19">
        <v>1</v>
      </c>
      <c r="AK19" t="s">
        <v>439</v>
      </c>
      <c r="AL19" t="s">
        <v>440</v>
      </c>
      <c r="AM19" t="s">
        <v>441</v>
      </c>
      <c r="AN19" t="s">
        <v>442</v>
      </c>
      <c r="AO19" t="s">
        <v>443</v>
      </c>
      <c r="AP19" t="s">
        <v>444</v>
      </c>
      <c r="AQ19" t="s">
        <v>445</v>
      </c>
      <c r="AR19" t="s">
        <v>446</v>
      </c>
      <c r="AS19" t="s">
        <v>447</v>
      </c>
    </row>
    <row r="20" spans="1:45" x14ac:dyDescent="0.45">
      <c r="A20">
        <v>19</v>
      </c>
      <c r="B20">
        <v>19</v>
      </c>
      <c r="C20" t="s">
        <v>78</v>
      </c>
      <c r="D20" t="s">
        <v>79</v>
      </c>
      <c r="E20" t="s">
        <v>74</v>
      </c>
      <c r="F20" t="s">
        <v>77</v>
      </c>
      <c r="G20" t="s">
        <v>76</v>
      </c>
      <c r="H20">
        <v>164.2160617679306</v>
      </c>
      <c r="I20">
        <v>4</v>
      </c>
      <c r="J20">
        <v>6</v>
      </c>
      <c r="K20">
        <v>10</v>
      </c>
      <c r="L20">
        <v>-4</v>
      </c>
      <c r="M20">
        <v>7</v>
      </c>
      <c r="N20">
        <v>10</v>
      </c>
      <c r="O20">
        <v>-3</v>
      </c>
      <c r="P20">
        <v>9</v>
      </c>
      <c r="Q20">
        <v>5</v>
      </c>
      <c r="R20">
        <v>4</v>
      </c>
      <c r="S20">
        <v>8</v>
      </c>
      <c r="T20">
        <v>5</v>
      </c>
      <c r="U20">
        <v>3</v>
      </c>
      <c r="V20">
        <v>7</v>
      </c>
      <c r="W20">
        <v>5</v>
      </c>
      <c r="X20">
        <v>2</v>
      </c>
      <c r="Y20">
        <v>9</v>
      </c>
      <c r="Z20">
        <v>3</v>
      </c>
      <c r="AA20">
        <v>6</v>
      </c>
      <c r="AB20">
        <v>6</v>
      </c>
      <c r="AC20">
        <v>2</v>
      </c>
      <c r="AD20">
        <v>4</v>
      </c>
      <c r="AE20">
        <v>8</v>
      </c>
      <c r="AF20">
        <v>5</v>
      </c>
      <c r="AG20">
        <v>3</v>
      </c>
      <c r="AH20">
        <v>9</v>
      </c>
      <c r="AI20">
        <v>8</v>
      </c>
      <c r="AJ20">
        <v>1</v>
      </c>
      <c r="AK20" t="s">
        <v>448</v>
      </c>
      <c r="AL20" t="s">
        <v>449</v>
      </c>
      <c r="AM20" t="s">
        <v>450</v>
      </c>
      <c r="AN20" t="s">
        <v>451</v>
      </c>
      <c r="AO20" t="s">
        <v>452</v>
      </c>
      <c r="AP20" t="s">
        <v>453</v>
      </c>
      <c r="AQ20" t="s">
        <v>454</v>
      </c>
      <c r="AR20" t="s">
        <v>455</v>
      </c>
      <c r="AS20" t="s">
        <v>456</v>
      </c>
    </row>
    <row r="21" spans="1:45" x14ac:dyDescent="0.45">
      <c r="A21">
        <v>20</v>
      </c>
      <c r="B21">
        <v>20</v>
      </c>
      <c r="C21" t="s">
        <v>78</v>
      </c>
      <c r="D21" t="s">
        <v>73</v>
      </c>
      <c r="E21" t="s">
        <v>74</v>
      </c>
      <c r="F21" t="s">
        <v>75</v>
      </c>
      <c r="G21" t="s">
        <v>76</v>
      </c>
      <c r="H21">
        <v>53.881595215233347</v>
      </c>
      <c r="I21">
        <v>2</v>
      </c>
      <c r="J21">
        <v>9</v>
      </c>
      <c r="K21">
        <v>9</v>
      </c>
      <c r="L21">
        <v>0</v>
      </c>
      <c r="M21">
        <v>8</v>
      </c>
      <c r="N21">
        <v>9</v>
      </c>
      <c r="O21">
        <v>-1</v>
      </c>
      <c r="P21">
        <v>9</v>
      </c>
      <c r="Q21">
        <v>7</v>
      </c>
      <c r="R21">
        <v>2</v>
      </c>
      <c r="S21">
        <v>8</v>
      </c>
      <c r="T21">
        <v>9</v>
      </c>
      <c r="U21">
        <v>-1</v>
      </c>
      <c r="V21">
        <v>9</v>
      </c>
      <c r="W21">
        <v>7</v>
      </c>
      <c r="X21">
        <v>2</v>
      </c>
      <c r="Y21">
        <v>8</v>
      </c>
      <c r="Z21">
        <v>8</v>
      </c>
      <c r="AA21">
        <v>0</v>
      </c>
      <c r="AB21">
        <v>9</v>
      </c>
      <c r="AC21">
        <v>5</v>
      </c>
      <c r="AD21">
        <v>4</v>
      </c>
      <c r="AE21">
        <v>8</v>
      </c>
      <c r="AF21">
        <v>5</v>
      </c>
      <c r="AG21">
        <v>3</v>
      </c>
      <c r="AH21">
        <v>9</v>
      </c>
      <c r="AI21">
        <v>6</v>
      </c>
      <c r="AJ21">
        <v>3</v>
      </c>
      <c r="AK21" t="s">
        <v>457</v>
      </c>
      <c r="AL21" t="s">
        <v>458</v>
      </c>
      <c r="AM21" t="s">
        <v>459</v>
      </c>
      <c r="AN21" t="s">
        <v>460</v>
      </c>
      <c r="AO21" t="s">
        <v>461</v>
      </c>
      <c r="AP21" t="s">
        <v>462</v>
      </c>
      <c r="AQ21" t="s">
        <v>463</v>
      </c>
      <c r="AR21" t="s">
        <v>464</v>
      </c>
      <c r="AS21" t="s">
        <v>465</v>
      </c>
    </row>
    <row r="22" spans="1:45" x14ac:dyDescent="0.45">
      <c r="A22">
        <v>21</v>
      </c>
      <c r="B22">
        <v>21</v>
      </c>
      <c r="C22" t="s">
        <v>72</v>
      </c>
      <c r="D22" t="s">
        <v>79</v>
      </c>
      <c r="E22" t="s">
        <v>74</v>
      </c>
      <c r="F22" t="s">
        <v>77</v>
      </c>
      <c r="G22" t="s">
        <v>76</v>
      </c>
      <c r="H22">
        <v>217.6054031449857</v>
      </c>
      <c r="I22">
        <v>3</v>
      </c>
      <c r="J22">
        <v>7</v>
      </c>
      <c r="K22">
        <v>10</v>
      </c>
      <c r="L22">
        <v>-3</v>
      </c>
      <c r="M22">
        <v>8</v>
      </c>
      <c r="N22">
        <v>10</v>
      </c>
      <c r="O22">
        <v>-2</v>
      </c>
      <c r="P22">
        <v>9</v>
      </c>
      <c r="Q22">
        <v>8</v>
      </c>
      <c r="R22">
        <v>1</v>
      </c>
      <c r="S22">
        <v>8</v>
      </c>
      <c r="T22">
        <v>7</v>
      </c>
      <c r="U22">
        <v>1</v>
      </c>
      <c r="V22">
        <v>7</v>
      </c>
      <c r="W22">
        <v>7</v>
      </c>
      <c r="X22">
        <v>0</v>
      </c>
      <c r="Y22">
        <v>9</v>
      </c>
      <c r="Z22">
        <v>7</v>
      </c>
      <c r="AA22">
        <v>2</v>
      </c>
      <c r="AB22">
        <v>8</v>
      </c>
      <c r="AC22">
        <v>2</v>
      </c>
      <c r="AD22">
        <v>6</v>
      </c>
      <c r="AE22">
        <v>9</v>
      </c>
      <c r="AF22">
        <v>3</v>
      </c>
      <c r="AG22">
        <v>6</v>
      </c>
      <c r="AH22">
        <v>9</v>
      </c>
      <c r="AI22">
        <v>3</v>
      </c>
      <c r="AJ22">
        <v>6</v>
      </c>
      <c r="AK22" t="s">
        <v>466</v>
      </c>
      <c r="AL22" t="s">
        <v>467</v>
      </c>
      <c r="AM22" t="s">
        <v>468</v>
      </c>
      <c r="AN22" t="s">
        <v>469</v>
      </c>
      <c r="AO22" t="s">
        <v>470</v>
      </c>
      <c r="AP22" t="s">
        <v>471</v>
      </c>
      <c r="AQ22" t="s">
        <v>472</v>
      </c>
      <c r="AR22" t="s">
        <v>473</v>
      </c>
      <c r="AS22" t="s">
        <v>474</v>
      </c>
    </row>
    <row r="23" spans="1:45" x14ac:dyDescent="0.45">
      <c r="A23">
        <v>22</v>
      </c>
      <c r="B23">
        <v>22</v>
      </c>
      <c r="C23" t="s">
        <v>72</v>
      </c>
      <c r="D23" t="s">
        <v>189</v>
      </c>
      <c r="E23" t="s">
        <v>74</v>
      </c>
      <c r="F23" t="s">
        <v>77</v>
      </c>
      <c r="G23" t="s">
        <v>76</v>
      </c>
      <c r="H23">
        <v>13.831734577160381</v>
      </c>
      <c r="I23">
        <v>0</v>
      </c>
      <c r="J23">
        <v>6</v>
      </c>
      <c r="K23">
        <v>8</v>
      </c>
      <c r="L23">
        <v>-2</v>
      </c>
      <c r="M23">
        <v>5</v>
      </c>
      <c r="N23">
        <v>8</v>
      </c>
      <c r="O23">
        <v>-3</v>
      </c>
      <c r="P23">
        <v>8</v>
      </c>
      <c r="Q23">
        <v>5</v>
      </c>
      <c r="R23">
        <v>3</v>
      </c>
      <c r="S23">
        <v>9</v>
      </c>
      <c r="T23">
        <v>8</v>
      </c>
      <c r="U23">
        <v>1</v>
      </c>
      <c r="V23">
        <v>8</v>
      </c>
      <c r="W23">
        <v>8</v>
      </c>
      <c r="X23">
        <v>0</v>
      </c>
      <c r="Y23">
        <v>9</v>
      </c>
      <c r="Z23">
        <v>8</v>
      </c>
      <c r="AA23">
        <v>1</v>
      </c>
      <c r="AB23">
        <v>7</v>
      </c>
      <c r="AC23">
        <v>8</v>
      </c>
      <c r="AD23">
        <v>-1</v>
      </c>
      <c r="AE23">
        <v>6</v>
      </c>
      <c r="AF23">
        <v>8</v>
      </c>
      <c r="AG23">
        <v>-2</v>
      </c>
      <c r="AH23">
        <v>9</v>
      </c>
      <c r="AI23">
        <v>8</v>
      </c>
      <c r="AJ23">
        <v>1</v>
      </c>
      <c r="AK23" t="s">
        <v>475</v>
      </c>
      <c r="AL23" t="s">
        <v>476</v>
      </c>
      <c r="AM23" t="s">
        <v>477</v>
      </c>
      <c r="AN23" t="s">
        <v>478</v>
      </c>
      <c r="AO23" t="s">
        <v>479</v>
      </c>
      <c r="AP23" t="s">
        <v>480</v>
      </c>
      <c r="AQ23" t="s">
        <v>481</v>
      </c>
      <c r="AR23" t="s">
        <v>482</v>
      </c>
      <c r="AS23" t="s">
        <v>483</v>
      </c>
    </row>
    <row r="24" spans="1:45" x14ac:dyDescent="0.45">
      <c r="A24">
        <v>23</v>
      </c>
      <c r="B24">
        <v>23</v>
      </c>
      <c r="C24" t="s">
        <v>72</v>
      </c>
      <c r="D24" t="s">
        <v>79</v>
      </c>
      <c r="E24" t="s">
        <v>74</v>
      </c>
      <c r="F24" t="s">
        <v>75</v>
      </c>
      <c r="G24" t="s">
        <v>76</v>
      </c>
      <c r="H24">
        <v>91.511925500378297</v>
      </c>
      <c r="I24">
        <v>3</v>
      </c>
      <c r="J24">
        <v>7</v>
      </c>
      <c r="K24">
        <v>5</v>
      </c>
      <c r="L24">
        <v>2</v>
      </c>
      <c r="M24">
        <v>6</v>
      </c>
      <c r="N24">
        <v>5</v>
      </c>
      <c r="O24">
        <v>1</v>
      </c>
      <c r="P24">
        <v>9</v>
      </c>
      <c r="Q24">
        <v>5</v>
      </c>
      <c r="R24">
        <v>4</v>
      </c>
      <c r="S24">
        <v>8</v>
      </c>
      <c r="T24">
        <v>5</v>
      </c>
      <c r="U24">
        <v>3</v>
      </c>
      <c r="V24">
        <v>9</v>
      </c>
      <c r="W24">
        <v>5</v>
      </c>
      <c r="X24">
        <v>4</v>
      </c>
      <c r="Y24">
        <v>8</v>
      </c>
      <c r="Z24">
        <v>5</v>
      </c>
      <c r="AA24">
        <v>3</v>
      </c>
      <c r="AB24">
        <v>9</v>
      </c>
      <c r="AC24">
        <v>5</v>
      </c>
      <c r="AD24">
        <v>4</v>
      </c>
      <c r="AE24">
        <v>7</v>
      </c>
      <c r="AF24">
        <v>5</v>
      </c>
      <c r="AG24">
        <v>2</v>
      </c>
      <c r="AH24">
        <v>9</v>
      </c>
      <c r="AI24">
        <v>5</v>
      </c>
      <c r="AJ24">
        <v>4</v>
      </c>
      <c r="AK24" t="s">
        <v>484</v>
      </c>
      <c r="AL24" t="s">
        <v>485</v>
      </c>
      <c r="AM24" t="s">
        <v>486</v>
      </c>
      <c r="AN24" t="s">
        <v>487</v>
      </c>
      <c r="AO24" t="s">
        <v>488</v>
      </c>
      <c r="AP24" t="s">
        <v>489</v>
      </c>
      <c r="AQ24" t="s">
        <v>490</v>
      </c>
      <c r="AR24" t="s">
        <v>491</v>
      </c>
      <c r="AS24" t="s">
        <v>492</v>
      </c>
    </row>
    <row r="25" spans="1:45" x14ac:dyDescent="0.45">
      <c r="A25">
        <v>24</v>
      </c>
      <c r="B25">
        <v>24</v>
      </c>
      <c r="C25" t="s">
        <v>72</v>
      </c>
      <c r="D25" t="s">
        <v>73</v>
      </c>
      <c r="E25" t="s">
        <v>80</v>
      </c>
      <c r="F25" t="s">
        <v>77</v>
      </c>
      <c r="G25" t="s">
        <v>76</v>
      </c>
      <c r="H25">
        <v>25.642150693354523</v>
      </c>
      <c r="I25">
        <v>2</v>
      </c>
      <c r="J25">
        <v>7</v>
      </c>
      <c r="K25">
        <v>9</v>
      </c>
      <c r="L25">
        <v>-2</v>
      </c>
      <c r="M25">
        <v>8</v>
      </c>
      <c r="N25">
        <v>8</v>
      </c>
      <c r="O25">
        <v>0</v>
      </c>
      <c r="P25">
        <v>9</v>
      </c>
      <c r="Q25">
        <v>6</v>
      </c>
      <c r="R25">
        <v>3</v>
      </c>
      <c r="S25">
        <v>9</v>
      </c>
      <c r="T25">
        <v>9</v>
      </c>
      <c r="U25">
        <v>0</v>
      </c>
      <c r="V25">
        <v>8</v>
      </c>
      <c r="W25">
        <v>8</v>
      </c>
      <c r="X25">
        <v>0</v>
      </c>
      <c r="Y25">
        <v>8</v>
      </c>
      <c r="Z25">
        <v>10</v>
      </c>
      <c r="AA25">
        <v>-2</v>
      </c>
      <c r="AB25">
        <v>8</v>
      </c>
      <c r="AC25">
        <v>6</v>
      </c>
      <c r="AD25">
        <v>2</v>
      </c>
      <c r="AE25">
        <v>9</v>
      </c>
      <c r="AF25">
        <v>6</v>
      </c>
      <c r="AG25">
        <v>3</v>
      </c>
      <c r="AH25">
        <v>9</v>
      </c>
      <c r="AI25">
        <v>8</v>
      </c>
      <c r="AJ25">
        <v>1</v>
      </c>
      <c r="AK25" t="s">
        <v>493</v>
      </c>
      <c r="AL25" t="s">
        <v>494</v>
      </c>
      <c r="AM25" t="s">
        <v>495</v>
      </c>
      <c r="AN25" t="s">
        <v>496</v>
      </c>
      <c r="AO25" t="s">
        <v>497</v>
      </c>
      <c r="AP25" t="s">
        <v>498</v>
      </c>
      <c r="AQ25" t="s">
        <v>499</v>
      </c>
      <c r="AR25" t="s">
        <v>500</v>
      </c>
      <c r="AS25" t="s">
        <v>501</v>
      </c>
    </row>
    <row r="26" spans="1:45" x14ac:dyDescent="0.45">
      <c r="A26">
        <v>25</v>
      </c>
      <c r="B26">
        <v>25</v>
      </c>
      <c r="C26" t="s">
        <v>78</v>
      </c>
      <c r="D26" t="s">
        <v>73</v>
      </c>
      <c r="E26" t="s">
        <v>74</v>
      </c>
      <c r="F26" t="s">
        <v>75</v>
      </c>
      <c r="G26" t="s">
        <v>76</v>
      </c>
      <c r="H26">
        <v>34.410818498480118</v>
      </c>
      <c r="I26">
        <v>1</v>
      </c>
      <c r="J26">
        <v>7</v>
      </c>
      <c r="K26">
        <v>6</v>
      </c>
      <c r="L26">
        <v>1</v>
      </c>
      <c r="M26">
        <v>6</v>
      </c>
      <c r="N26">
        <v>7</v>
      </c>
      <c r="O26">
        <v>-1</v>
      </c>
      <c r="P26">
        <v>9</v>
      </c>
      <c r="Q26">
        <v>5</v>
      </c>
      <c r="R26">
        <v>4</v>
      </c>
      <c r="S26">
        <v>8</v>
      </c>
      <c r="T26">
        <v>6</v>
      </c>
      <c r="U26">
        <v>2</v>
      </c>
      <c r="V26">
        <v>9</v>
      </c>
      <c r="W26">
        <v>7</v>
      </c>
      <c r="X26">
        <v>2</v>
      </c>
      <c r="Y26">
        <v>9</v>
      </c>
      <c r="Z26">
        <v>7</v>
      </c>
      <c r="AA26">
        <v>2</v>
      </c>
      <c r="AB26">
        <v>7</v>
      </c>
      <c r="AC26">
        <v>3</v>
      </c>
      <c r="AD26">
        <v>4</v>
      </c>
      <c r="AE26">
        <v>8</v>
      </c>
      <c r="AF26">
        <v>3</v>
      </c>
      <c r="AG26">
        <v>5</v>
      </c>
      <c r="AH26">
        <v>9</v>
      </c>
      <c r="AI26">
        <v>5</v>
      </c>
      <c r="AJ26">
        <v>4</v>
      </c>
      <c r="AK26" t="s">
        <v>502</v>
      </c>
      <c r="AL26" t="s">
        <v>503</v>
      </c>
      <c r="AM26" t="s">
        <v>504</v>
      </c>
      <c r="AN26" t="s">
        <v>505</v>
      </c>
      <c r="AO26" t="s">
        <v>506</v>
      </c>
      <c r="AP26" t="s">
        <v>507</v>
      </c>
      <c r="AQ26" t="s">
        <v>508</v>
      </c>
      <c r="AR26" t="s">
        <v>509</v>
      </c>
      <c r="AS26" t="s">
        <v>510</v>
      </c>
    </row>
    <row r="27" spans="1:45" x14ac:dyDescent="0.45">
      <c r="A27">
        <v>26</v>
      </c>
      <c r="B27">
        <v>26</v>
      </c>
      <c r="C27" t="s">
        <v>78</v>
      </c>
      <c r="D27" t="s">
        <v>73</v>
      </c>
      <c r="E27" t="s">
        <v>74</v>
      </c>
      <c r="F27" t="s">
        <v>75</v>
      </c>
      <c r="G27" t="s">
        <v>76</v>
      </c>
      <c r="H27">
        <v>12</v>
      </c>
      <c r="I27">
        <v>4</v>
      </c>
      <c r="J27">
        <v>9</v>
      </c>
      <c r="K27">
        <v>10</v>
      </c>
      <c r="L27">
        <v>-1</v>
      </c>
      <c r="M27">
        <v>8</v>
      </c>
      <c r="N27">
        <v>10</v>
      </c>
      <c r="O27">
        <v>-2</v>
      </c>
      <c r="P27">
        <v>7</v>
      </c>
      <c r="Q27">
        <v>10</v>
      </c>
      <c r="R27">
        <v>-3</v>
      </c>
      <c r="S27">
        <v>8</v>
      </c>
      <c r="T27">
        <v>6</v>
      </c>
      <c r="U27">
        <v>2</v>
      </c>
      <c r="V27">
        <v>9</v>
      </c>
      <c r="W27">
        <v>6</v>
      </c>
      <c r="X27">
        <v>3</v>
      </c>
      <c r="Y27">
        <v>8</v>
      </c>
      <c r="Z27">
        <v>10</v>
      </c>
      <c r="AA27">
        <v>-2</v>
      </c>
      <c r="AB27">
        <v>9</v>
      </c>
      <c r="AC27">
        <v>1</v>
      </c>
      <c r="AD27">
        <v>8</v>
      </c>
      <c r="AE27">
        <v>8</v>
      </c>
      <c r="AF27">
        <v>4</v>
      </c>
      <c r="AG27">
        <v>4</v>
      </c>
      <c r="AH27">
        <v>9</v>
      </c>
      <c r="AI27">
        <v>10</v>
      </c>
      <c r="AJ27">
        <v>-1</v>
      </c>
      <c r="AK27" t="s">
        <v>511</v>
      </c>
      <c r="AL27" t="s">
        <v>512</v>
      </c>
      <c r="AM27" t="s">
        <v>513</v>
      </c>
      <c r="AN27" t="s">
        <v>514</v>
      </c>
      <c r="AO27" t="s">
        <v>515</v>
      </c>
      <c r="AP27" t="s">
        <v>516</v>
      </c>
      <c r="AQ27" t="s">
        <v>517</v>
      </c>
      <c r="AR27" t="s">
        <v>518</v>
      </c>
      <c r="AS27" t="s">
        <v>519</v>
      </c>
    </row>
    <row r="28" spans="1:45" x14ac:dyDescent="0.45">
      <c r="A28">
        <v>27</v>
      </c>
      <c r="B28">
        <v>27</v>
      </c>
      <c r="C28" t="s">
        <v>78</v>
      </c>
      <c r="D28" t="s">
        <v>189</v>
      </c>
      <c r="E28" t="s">
        <v>74</v>
      </c>
      <c r="F28" t="s">
        <v>77</v>
      </c>
      <c r="G28" t="s">
        <v>76</v>
      </c>
      <c r="H28">
        <v>12</v>
      </c>
      <c r="I28">
        <v>0</v>
      </c>
      <c r="J28">
        <v>7</v>
      </c>
      <c r="K28">
        <v>1</v>
      </c>
      <c r="L28">
        <v>6</v>
      </c>
      <c r="M28">
        <v>8</v>
      </c>
      <c r="N28">
        <v>1</v>
      </c>
      <c r="O28">
        <v>7</v>
      </c>
      <c r="P28">
        <v>9</v>
      </c>
      <c r="Q28">
        <v>1</v>
      </c>
      <c r="R28">
        <v>8</v>
      </c>
      <c r="S28">
        <v>10</v>
      </c>
      <c r="T28">
        <v>1</v>
      </c>
      <c r="U28">
        <v>9</v>
      </c>
      <c r="V28">
        <v>6</v>
      </c>
      <c r="W28">
        <v>1</v>
      </c>
      <c r="X28">
        <v>5</v>
      </c>
      <c r="Y28">
        <v>9</v>
      </c>
      <c r="Z28">
        <v>1</v>
      </c>
      <c r="AA28">
        <v>8</v>
      </c>
      <c r="AB28">
        <v>7</v>
      </c>
      <c r="AC28">
        <v>1</v>
      </c>
      <c r="AD28">
        <v>6</v>
      </c>
      <c r="AE28">
        <v>6</v>
      </c>
      <c r="AF28">
        <v>1</v>
      </c>
      <c r="AG28">
        <v>5</v>
      </c>
      <c r="AH28">
        <v>9</v>
      </c>
      <c r="AI28">
        <v>1</v>
      </c>
      <c r="AJ28">
        <v>8</v>
      </c>
      <c r="AK28" t="s">
        <v>520</v>
      </c>
      <c r="AL28" t="s">
        <v>521</v>
      </c>
      <c r="AM28" t="s">
        <v>522</v>
      </c>
      <c r="AN28" t="s">
        <v>523</v>
      </c>
      <c r="AO28" t="s">
        <v>524</v>
      </c>
      <c r="AP28" t="s">
        <v>525</v>
      </c>
      <c r="AQ28" t="s">
        <v>526</v>
      </c>
      <c r="AR28" t="s">
        <v>527</v>
      </c>
      <c r="AS28" t="s">
        <v>528</v>
      </c>
    </row>
    <row r="29" spans="1:45" x14ac:dyDescent="0.45">
      <c r="A29">
        <v>28</v>
      </c>
      <c r="B29">
        <v>28</v>
      </c>
      <c r="C29" t="s">
        <v>78</v>
      </c>
      <c r="D29" t="s">
        <v>81</v>
      </c>
      <c r="E29" t="s">
        <v>74</v>
      </c>
      <c r="F29" t="s">
        <v>77</v>
      </c>
      <c r="G29" t="s">
        <v>76</v>
      </c>
      <c r="H29">
        <v>16.259169679910787</v>
      </c>
      <c r="I29">
        <v>0</v>
      </c>
      <c r="J29">
        <v>6</v>
      </c>
      <c r="K29">
        <v>1</v>
      </c>
      <c r="L29">
        <v>5</v>
      </c>
      <c r="M29">
        <v>6</v>
      </c>
      <c r="N29">
        <v>1</v>
      </c>
      <c r="O29">
        <v>5</v>
      </c>
      <c r="P29">
        <v>9</v>
      </c>
      <c r="Q29">
        <v>1</v>
      </c>
      <c r="R29">
        <v>8</v>
      </c>
      <c r="S29">
        <v>8</v>
      </c>
      <c r="T29">
        <v>1</v>
      </c>
      <c r="U29">
        <v>7</v>
      </c>
      <c r="V29">
        <v>7</v>
      </c>
      <c r="W29">
        <v>1</v>
      </c>
      <c r="X29">
        <v>6</v>
      </c>
      <c r="Y29">
        <v>8</v>
      </c>
      <c r="Z29">
        <v>1</v>
      </c>
      <c r="AA29">
        <v>7</v>
      </c>
      <c r="AB29">
        <v>7</v>
      </c>
      <c r="AC29">
        <v>1</v>
      </c>
      <c r="AD29">
        <v>6</v>
      </c>
      <c r="AE29">
        <v>6</v>
      </c>
      <c r="AF29">
        <v>1</v>
      </c>
      <c r="AG29">
        <v>5</v>
      </c>
      <c r="AH29">
        <v>7</v>
      </c>
      <c r="AI29">
        <v>1</v>
      </c>
      <c r="AJ29">
        <v>6</v>
      </c>
      <c r="AK29" t="s">
        <v>529</v>
      </c>
      <c r="AL29" t="s">
        <v>530</v>
      </c>
      <c r="AM29" t="s">
        <v>531</v>
      </c>
      <c r="AN29" t="s">
        <v>532</v>
      </c>
      <c r="AO29" t="s">
        <v>533</v>
      </c>
      <c r="AP29" t="s">
        <v>534</v>
      </c>
      <c r="AQ29" t="s">
        <v>535</v>
      </c>
      <c r="AR29" t="s">
        <v>536</v>
      </c>
      <c r="AS29" t="s">
        <v>537</v>
      </c>
    </row>
    <row r="30" spans="1:45" x14ac:dyDescent="0.45">
      <c r="A30">
        <v>29</v>
      </c>
      <c r="B30">
        <v>29</v>
      </c>
      <c r="C30" t="s">
        <v>72</v>
      </c>
      <c r="D30" t="s">
        <v>189</v>
      </c>
      <c r="E30" t="s">
        <v>74</v>
      </c>
      <c r="F30" t="s">
        <v>77</v>
      </c>
      <c r="G30" t="s">
        <v>76</v>
      </c>
      <c r="H30">
        <v>12.250234851770344</v>
      </c>
      <c r="I30">
        <v>0</v>
      </c>
      <c r="J30">
        <v>7</v>
      </c>
      <c r="K30">
        <v>10</v>
      </c>
      <c r="L30">
        <v>-3</v>
      </c>
      <c r="M30">
        <v>7</v>
      </c>
      <c r="N30">
        <v>10</v>
      </c>
      <c r="O30">
        <v>-3</v>
      </c>
      <c r="P30">
        <v>9</v>
      </c>
      <c r="Q30">
        <v>9</v>
      </c>
      <c r="R30">
        <v>0</v>
      </c>
      <c r="S30">
        <v>9</v>
      </c>
      <c r="T30">
        <v>10</v>
      </c>
      <c r="U30">
        <v>-1</v>
      </c>
      <c r="V30">
        <v>6</v>
      </c>
      <c r="W30">
        <v>10</v>
      </c>
      <c r="X30">
        <v>-4</v>
      </c>
      <c r="Y30">
        <v>7</v>
      </c>
      <c r="Z30">
        <v>9</v>
      </c>
      <c r="AA30">
        <v>-2</v>
      </c>
      <c r="AB30">
        <v>6</v>
      </c>
      <c r="AC30">
        <v>10</v>
      </c>
      <c r="AD30">
        <v>-4</v>
      </c>
      <c r="AE30">
        <v>7</v>
      </c>
      <c r="AF30">
        <v>10</v>
      </c>
      <c r="AG30">
        <v>-3</v>
      </c>
      <c r="AH30">
        <v>8</v>
      </c>
      <c r="AI30">
        <v>10</v>
      </c>
      <c r="AJ30">
        <v>-2</v>
      </c>
      <c r="AK30" t="s">
        <v>538</v>
      </c>
      <c r="AL30" t="s">
        <v>539</v>
      </c>
      <c r="AM30" t="s">
        <v>540</v>
      </c>
      <c r="AN30" t="s">
        <v>541</v>
      </c>
      <c r="AO30" t="s">
        <v>542</v>
      </c>
      <c r="AP30" t="s">
        <v>543</v>
      </c>
      <c r="AQ30" t="s">
        <v>544</v>
      </c>
      <c r="AR30" t="s">
        <v>545</v>
      </c>
      <c r="AS30" t="s">
        <v>546</v>
      </c>
    </row>
    <row r="31" spans="1:45" x14ac:dyDescent="0.45">
      <c r="A31">
        <v>30</v>
      </c>
      <c r="B31">
        <v>30</v>
      </c>
      <c r="C31" t="s">
        <v>72</v>
      </c>
      <c r="D31" t="s">
        <v>189</v>
      </c>
      <c r="E31" t="s">
        <v>74</v>
      </c>
      <c r="F31" t="s">
        <v>77</v>
      </c>
      <c r="G31" t="s">
        <v>76</v>
      </c>
      <c r="H31">
        <v>13.178994024062664</v>
      </c>
      <c r="I31">
        <v>0</v>
      </c>
      <c r="J31">
        <v>7</v>
      </c>
      <c r="K31">
        <v>10</v>
      </c>
      <c r="L31">
        <v>-3</v>
      </c>
      <c r="M31">
        <v>9</v>
      </c>
      <c r="N31">
        <v>10</v>
      </c>
      <c r="O31">
        <v>-1</v>
      </c>
      <c r="P31">
        <v>8</v>
      </c>
      <c r="Q31">
        <v>9</v>
      </c>
      <c r="R31">
        <v>-1</v>
      </c>
      <c r="S31">
        <v>9</v>
      </c>
      <c r="T31">
        <v>10</v>
      </c>
      <c r="U31">
        <v>-1</v>
      </c>
      <c r="V31">
        <v>8</v>
      </c>
      <c r="W31">
        <v>10</v>
      </c>
      <c r="X31">
        <v>-2</v>
      </c>
      <c r="Y31">
        <v>9</v>
      </c>
      <c r="Z31">
        <v>10</v>
      </c>
      <c r="AA31">
        <v>-1</v>
      </c>
      <c r="AB31">
        <v>8</v>
      </c>
      <c r="AC31">
        <v>10</v>
      </c>
      <c r="AD31">
        <v>-2</v>
      </c>
      <c r="AE31">
        <v>9</v>
      </c>
      <c r="AF31">
        <v>10</v>
      </c>
      <c r="AG31">
        <v>-1</v>
      </c>
      <c r="AH31">
        <v>8</v>
      </c>
      <c r="AI31">
        <v>10</v>
      </c>
      <c r="AJ31">
        <v>-2</v>
      </c>
      <c r="AK31" t="s">
        <v>547</v>
      </c>
      <c r="AL31" t="s">
        <v>548</v>
      </c>
      <c r="AM31" t="s">
        <v>549</v>
      </c>
      <c r="AN31" t="s">
        <v>550</v>
      </c>
      <c r="AO31" t="s">
        <v>551</v>
      </c>
      <c r="AP31" t="s">
        <v>552</v>
      </c>
      <c r="AQ31" t="s">
        <v>553</v>
      </c>
      <c r="AR31" t="s">
        <v>554</v>
      </c>
      <c r="AS31" t="s">
        <v>555</v>
      </c>
    </row>
    <row r="32" spans="1:45" x14ac:dyDescent="0.45">
      <c r="A32">
        <v>31</v>
      </c>
      <c r="B32">
        <v>31</v>
      </c>
      <c r="C32" t="s">
        <v>72</v>
      </c>
      <c r="D32" t="s">
        <v>81</v>
      </c>
      <c r="E32" t="s">
        <v>74</v>
      </c>
      <c r="F32" t="s">
        <v>77</v>
      </c>
      <c r="G32" t="s">
        <v>76</v>
      </c>
      <c r="H32">
        <v>30.225374487318884</v>
      </c>
      <c r="I32">
        <v>0</v>
      </c>
      <c r="J32">
        <v>6</v>
      </c>
      <c r="K32">
        <v>10</v>
      </c>
      <c r="L32">
        <v>-4</v>
      </c>
      <c r="M32">
        <v>7</v>
      </c>
      <c r="N32">
        <v>7</v>
      </c>
      <c r="O32">
        <v>0</v>
      </c>
      <c r="P32">
        <v>8</v>
      </c>
      <c r="Q32">
        <v>10</v>
      </c>
      <c r="R32">
        <v>-2</v>
      </c>
      <c r="S32">
        <v>9</v>
      </c>
      <c r="T32">
        <v>7</v>
      </c>
      <c r="U32">
        <v>2</v>
      </c>
      <c r="V32">
        <v>7</v>
      </c>
      <c r="W32">
        <v>10</v>
      </c>
      <c r="X32">
        <v>-3</v>
      </c>
      <c r="Y32">
        <v>9</v>
      </c>
      <c r="Z32">
        <v>10</v>
      </c>
      <c r="AA32">
        <v>-1</v>
      </c>
      <c r="AB32">
        <v>8</v>
      </c>
      <c r="AC32">
        <v>3</v>
      </c>
      <c r="AD32">
        <v>5</v>
      </c>
      <c r="AE32">
        <v>9</v>
      </c>
      <c r="AF32">
        <v>5</v>
      </c>
      <c r="AG32">
        <v>4</v>
      </c>
      <c r="AH32">
        <v>8</v>
      </c>
      <c r="AI32">
        <v>8</v>
      </c>
      <c r="AJ32">
        <v>0</v>
      </c>
      <c r="AK32" t="s">
        <v>556</v>
      </c>
      <c r="AL32" t="s">
        <v>557</v>
      </c>
      <c r="AM32" t="s">
        <v>558</v>
      </c>
      <c r="AN32" t="s">
        <v>559</v>
      </c>
      <c r="AO32" t="s">
        <v>560</v>
      </c>
      <c r="AP32" t="s">
        <v>561</v>
      </c>
      <c r="AQ32" t="s">
        <v>562</v>
      </c>
      <c r="AR32" t="s">
        <v>563</v>
      </c>
      <c r="AS32" t="s">
        <v>564</v>
      </c>
    </row>
    <row r="33" spans="1:45" x14ac:dyDescent="0.45">
      <c r="A33">
        <v>32</v>
      </c>
      <c r="B33">
        <v>32</v>
      </c>
      <c r="C33" t="s">
        <v>72</v>
      </c>
      <c r="D33" t="s">
        <v>189</v>
      </c>
      <c r="E33" t="s">
        <v>74</v>
      </c>
      <c r="F33" t="s">
        <v>77</v>
      </c>
      <c r="G33" t="s">
        <v>76</v>
      </c>
      <c r="H33">
        <v>24.281942642998146</v>
      </c>
      <c r="I33">
        <v>0</v>
      </c>
      <c r="J33">
        <v>6</v>
      </c>
      <c r="K33">
        <v>5</v>
      </c>
      <c r="L33">
        <v>1</v>
      </c>
      <c r="M33">
        <v>7</v>
      </c>
      <c r="N33">
        <v>5</v>
      </c>
      <c r="O33">
        <v>2</v>
      </c>
      <c r="P33">
        <v>8</v>
      </c>
      <c r="Q33">
        <v>5</v>
      </c>
      <c r="R33">
        <v>3</v>
      </c>
      <c r="S33">
        <v>9</v>
      </c>
      <c r="T33">
        <v>5</v>
      </c>
      <c r="U33">
        <v>4</v>
      </c>
      <c r="V33">
        <v>7</v>
      </c>
      <c r="W33">
        <v>5</v>
      </c>
      <c r="X33">
        <v>2</v>
      </c>
      <c r="Y33">
        <v>9</v>
      </c>
      <c r="Z33">
        <v>5</v>
      </c>
      <c r="AA33">
        <v>4</v>
      </c>
      <c r="AB33">
        <v>7</v>
      </c>
      <c r="AC33">
        <v>5</v>
      </c>
      <c r="AD33">
        <v>2</v>
      </c>
      <c r="AE33">
        <v>8</v>
      </c>
      <c r="AF33">
        <v>5</v>
      </c>
      <c r="AG33">
        <v>3</v>
      </c>
      <c r="AH33">
        <v>9</v>
      </c>
      <c r="AI33">
        <v>5</v>
      </c>
      <c r="AJ33">
        <v>4</v>
      </c>
      <c r="AK33" t="s">
        <v>565</v>
      </c>
      <c r="AL33" t="s">
        <v>566</v>
      </c>
      <c r="AM33" t="s">
        <v>567</v>
      </c>
      <c r="AN33" t="s">
        <v>568</v>
      </c>
      <c r="AO33" t="s">
        <v>569</v>
      </c>
      <c r="AP33" t="s">
        <v>570</v>
      </c>
      <c r="AQ33" t="s">
        <v>571</v>
      </c>
      <c r="AR33" t="s">
        <v>572</v>
      </c>
      <c r="AS33" t="s">
        <v>573</v>
      </c>
    </row>
    <row r="34" spans="1:45" x14ac:dyDescent="0.45">
      <c r="A34">
        <v>33</v>
      </c>
      <c r="B34">
        <v>33</v>
      </c>
      <c r="C34" t="s">
        <v>72</v>
      </c>
      <c r="D34" t="s">
        <v>81</v>
      </c>
      <c r="E34" t="s">
        <v>74</v>
      </c>
      <c r="F34" t="s">
        <v>77</v>
      </c>
      <c r="G34" t="s">
        <v>76</v>
      </c>
      <c r="H34">
        <v>26.549137895701335</v>
      </c>
      <c r="I34">
        <v>0</v>
      </c>
      <c r="J34">
        <v>9</v>
      </c>
      <c r="K34">
        <v>8</v>
      </c>
      <c r="L34">
        <v>1</v>
      </c>
      <c r="M34">
        <v>8</v>
      </c>
      <c r="N34">
        <v>9</v>
      </c>
      <c r="O34">
        <v>-1</v>
      </c>
      <c r="P34">
        <v>7</v>
      </c>
      <c r="Q34">
        <v>7</v>
      </c>
      <c r="R34">
        <v>0</v>
      </c>
      <c r="S34">
        <v>8</v>
      </c>
      <c r="T34">
        <v>8</v>
      </c>
      <c r="U34">
        <v>0</v>
      </c>
      <c r="V34">
        <v>7</v>
      </c>
      <c r="W34">
        <v>8</v>
      </c>
      <c r="X34">
        <v>-1</v>
      </c>
      <c r="Y34">
        <v>6</v>
      </c>
      <c r="Z34">
        <v>8</v>
      </c>
      <c r="AA34">
        <v>-2</v>
      </c>
      <c r="AB34">
        <v>5</v>
      </c>
      <c r="AC34">
        <v>3</v>
      </c>
      <c r="AD34">
        <v>2</v>
      </c>
      <c r="AE34">
        <v>6</v>
      </c>
      <c r="AF34">
        <v>6</v>
      </c>
      <c r="AG34">
        <v>0</v>
      </c>
      <c r="AH34">
        <v>7</v>
      </c>
      <c r="AI34">
        <v>7</v>
      </c>
      <c r="AJ34">
        <v>0</v>
      </c>
      <c r="AK34" t="s">
        <v>574</v>
      </c>
      <c r="AL34" t="s">
        <v>575</v>
      </c>
      <c r="AM34" t="s">
        <v>576</v>
      </c>
      <c r="AN34" t="s">
        <v>577</v>
      </c>
      <c r="AO34" t="s">
        <v>578</v>
      </c>
      <c r="AP34" t="s">
        <v>579</v>
      </c>
      <c r="AQ34" t="s">
        <v>580</v>
      </c>
      <c r="AR34" t="s">
        <v>581</v>
      </c>
      <c r="AS34" t="s">
        <v>582</v>
      </c>
    </row>
    <row r="35" spans="1:45" x14ac:dyDescent="0.45">
      <c r="A35">
        <v>34</v>
      </c>
      <c r="B35">
        <v>34</v>
      </c>
      <c r="C35" t="s">
        <v>78</v>
      </c>
      <c r="D35" t="s">
        <v>81</v>
      </c>
      <c r="E35" t="s">
        <v>74</v>
      </c>
      <c r="F35" t="s">
        <v>77</v>
      </c>
      <c r="G35" t="s">
        <v>76</v>
      </c>
      <c r="H35">
        <v>12.020141217465218</v>
      </c>
      <c r="I35">
        <v>1</v>
      </c>
      <c r="J35">
        <v>8</v>
      </c>
      <c r="K35">
        <v>10</v>
      </c>
      <c r="L35">
        <v>-2</v>
      </c>
      <c r="M35">
        <v>9</v>
      </c>
      <c r="N35">
        <v>10</v>
      </c>
      <c r="O35">
        <v>-1</v>
      </c>
      <c r="P35">
        <v>7</v>
      </c>
      <c r="Q35">
        <v>10</v>
      </c>
      <c r="R35">
        <v>-3</v>
      </c>
      <c r="S35">
        <v>9</v>
      </c>
      <c r="T35">
        <v>10</v>
      </c>
      <c r="U35">
        <v>-1</v>
      </c>
      <c r="V35">
        <v>6</v>
      </c>
      <c r="W35">
        <v>10</v>
      </c>
      <c r="X35">
        <v>-4</v>
      </c>
      <c r="Y35">
        <v>8</v>
      </c>
      <c r="Z35">
        <v>10</v>
      </c>
      <c r="AA35">
        <v>-2</v>
      </c>
      <c r="AB35">
        <v>5</v>
      </c>
      <c r="AC35">
        <v>10</v>
      </c>
      <c r="AD35">
        <v>-5</v>
      </c>
      <c r="AE35">
        <v>6</v>
      </c>
      <c r="AF35">
        <v>10</v>
      </c>
      <c r="AG35">
        <v>-4</v>
      </c>
      <c r="AH35">
        <v>7</v>
      </c>
      <c r="AI35">
        <v>10</v>
      </c>
      <c r="AJ35">
        <v>-3</v>
      </c>
      <c r="AK35" t="s">
        <v>583</v>
      </c>
      <c r="AL35" t="s">
        <v>584</v>
      </c>
      <c r="AM35" t="s">
        <v>585</v>
      </c>
      <c r="AN35" t="s">
        <v>586</v>
      </c>
      <c r="AO35" t="s">
        <v>587</v>
      </c>
      <c r="AP35" t="s">
        <v>588</v>
      </c>
      <c r="AQ35" t="s">
        <v>589</v>
      </c>
      <c r="AR35" t="s">
        <v>590</v>
      </c>
      <c r="AS35" t="s">
        <v>591</v>
      </c>
    </row>
    <row r="36" spans="1:45" x14ac:dyDescent="0.45">
      <c r="A36">
        <v>35</v>
      </c>
      <c r="B36">
        <v>35</v>
      </c>
      <c r="C36" t="s">
        <v>72</v>
      </c>
      <c r="D36" t="s">
        <v>73</v>
      </c>
      <c r="E36" t="s">
        <v>74</v>
      </c>
      <c r="F36" t="s">
        <v>190</v>
      </c>
      <c r="G36" t="s">
        <v>76</v>
      </c>
      <c r="H36">
        <v>13.689747794418622</v>
      </c>
      <c r="I36">
        <v>3</v>
      </c>
      <c r="J36">
        <v>8</v>
      </c>
      <c r="K36">
        <v>10</v>
      </c>
      <c r="L36">
        <v>-2</v>
      </c>
      <c r="M36">
        <v>7</v>
      </c>
      <c r="N36">
        <v>10</v>
      </c>
      <c r="O36">
        <v>-3</v>
      </c>
      <c r="P36">
        <v>9</v>
      </c>
      <c r="Q36">
        <v>10</v>
      </c>
      <c r="R36">
        <v>-1</v>
      </c>
      <c r="S36">
        <v>8</v>
      </c>
      <c r="T36">
        <v>10</v>
      </c>
      <c r="U36">
        <v>-2</v>
      </c>
      <c r="V36">
        <v>9</v>
      </c>
      <c r="W36">
        <v>10</v>
      </c>
      <c r="X36">
        <v>-1</v>
      </c>
      <c r="Y36">
        <v>8</v>
      </c>
      <c r="Z36">
        <v>10</v>
      </c>
      <c r="AA36">
        <v>-2</v>
      </c>
      <c r="AB36">
        <v>9</v>
      </c>
      <c r="AC36">
        <v>10</v>
      </c>
      <c r="AD36">
        <v>-1</v>
      </c>
      <c r="AE36">
        <v>7</v>
      </c>
      <c r="AF36">
        <v>10</v>
      </c>
      <c r="AG36">
        <v>-3</v>
      </c>
      <c r="AH36">
        <v>8</v>
      </c>
      <c r="AI36">
        <v>10</v>
      </c>
      <c r="AJ36">
        <v>-2</v>
      </c>
      <c r="AK36" t="s">
        <v>592</v>
      </c>
      <c r="AL36" t="s">
        <v>593</v>
      </c>
      <c r="AM36" t="s">
        <v>594</v>
      </c>
      <c r="AN36" t="s">
        <v>595</v>
      </c>
      <c r="AO36" t="s">
        <v>596</v>
      </c>
      <c r="AP36" t="s">
        <v>597</v>
      </c>
      <c r="AQ36" t="s">
        <v>598</v>
      </c>
      <c r="AR36" t="s">
        <v>599</v>
      </c>
      <c r="AS36" t="s">
        <v>600</v>
      </c>
    </row>
    <row r="37" spans="1:45" x14ac:dyDescent="0.45">
      <c r="A37">
        <v>36</v>
      </c>
      <c r="B37">
        <v>36</v>
      </c>
      <c r="C37" t="s">
        <v>72</v>
      </c>
      <c r="D37" t="s">
        <v>189</v>
      </c>
      <c r="E37" t="s">
        <v>74</v>
      </c>
      <c r="F37" t="s">
        <v>77</v>
      </c>
      <c r="G37" t="s">
        <v>76</v>
      </c>
      <c r="H37">
        <v>12.903165456120847</v>
      </c>
      <c r="I37">
        <v>0</v>
      </c>
      <c r="J37">
        <v>7</v>
      </c>
      <c r="K37">
        <v>10</v>
      </c>
      <c r="L37">
        <v>-3</v>
      </c>
      <c r="M37">
        <v>6</v>
      </c>
      <c r="N37">
        <v>9</v>
      </c>
      <c r="O37">
        <v>-3</v>
      </c>
      <c r="P37">
        <v>8</v>
      </c>
      <c r="Q37">
        <v>10</v>
      </c>
      <c r="R37">
        <v>-2</v>
      </c>
      <c r="S37">
        <v>9</v>
      </c>
      <c r="T37">
        <v>8</v>
      </c>
      <c r="U37">
        <v>1</v>
      </c>
      <c r="V37">
        <v>8</v>
      </c>
      <c r="W37">
        <v>10</v>
      </c>
      <c r="X37">
        <v>-2</v>
      </c>
      <c r="Y37">
        <v>9</v>
      </c>
      <c r="Z37">
        <v>9</v>
      </c>
      <c r="AA37">
        <v>0</v>
      </c>
      <c r="AB37">
        <v>8</v>
      </c>
      <c r="AC37">
        <v>10</v>
      </c>
      <c r="AD37">
        <v>-2</v>
      </c>
      <c r="AE37">
        <v>9</v>
      </c>
      <c r="AF37">
        <v>10</v>
      </c>
      <c r="AG37">
        <v>-1</v>
      </c>
      <c r="AH37">
        <v>10</v>
      </c>
      <c r="AI37">
        <v>10</v>
      </c>
      <c r="AJ37">
        <v>0</v>
      </c>
      <c r="AK37" t="s">
        <v>601</v>
      </c>
      <c r="AL37" t="s">
        <v>602</v>
      </c>
      <c r="AM37" t="s">
        <v>603</v>
      </c>
      <c r="AN37" t="s">
        <v>604</v>
      </c>
      <c r="AO37" t="s">
        <v>605</v>
      </c>
      <c r="AP37" t="s">
        <v>606</v>
      </c>
      <c r="AQ37" t="s">
        <v>607</v>
      </c>
      <c r="AR37" t="s">
        <v>608</v>
      </c>
      <c r="AS37" t="s">
        <v>609</v>
      </c>
    </row>
    <row r="38" spans="1:45" x14ac:dyDescent="0.45">
      <c r="A38">
        <v>37</v>
      </c>
      <c r="B38">
        <v>37</v>
      </c>
      <c r="C38" t="s">
        <v>78</v>
      </c>
      <c r="D38" t="s">
        <v>189</v>
      </c>
      <c r="E38" t="s">
        <v>74</v>
      </c>
      <c r="F38" t="s">
        <v>77</v>
      </c>
      <c r="G38" t="s">
        <v>76</v>
      </c>
      <c r="H38">
        <v>15.520765158067848</v>
      </c>
      <c r="I38">
        <v>0</v>
      </c>
      <c r="J38">
        <v>7</v>
      </c>
      <c r="K38">
        <v>10</v>
      </c>
      <c r="L38">
        <v>-3</v>
      </c>
      <c r="M38">
        <v>6</v>
      </c>
      <c r="N38">
        <v>10</v>
      </c>
      <c r="O38">
        <v>-4</v>
      </c>
      <c r="P38">
        <v>9</v>
      </c>
      <c r="Q38">
        <v>10</v>
      </c>
      <c r="R38">
        <v>-1</v>
      </c>
      <c r="S38">
        <v>8</v>
      </c>
      <c r="T38">
        <v>10</v>
      </c>
      <c r="U38">
        <v>-2</v>
      </c>
      <c r="V38">
        <v>7</v>
      </c>
      <c r="W38">
        <v>9</v>
      </c>
      <c r="X38">
        <v>-2</v>
      </c>
      <c r="Y38">
        <v>9</v>
      </c>
      <c r="Z38">
        <v>9</v>
      </c>
      <c r="AA38">
        <v>0</v>
      </c>
      <c r="AB38">
        <v>8</v>
      </c>
      <c r="AC38">
        <v>9</v>
      </c>
      <c r="AD38">
        <v>-1</v>
      </c>
      <c r="AE38">
        <v>7</v>
      </c>
      <c r="AF38">
        <v>9</v>
      </c>
      <c r="AG38">
        <v>-2</v>
      </c>
      <c r="AH38">
        <v>8</v>
      </c>
      <c r="AI38">
        <v>8</v>
      </c>
      <c r="AJ38">
        <v>0</v>
      </c>
      <c r="AK38" t="s">
        <v>610</v>
      </c>
      <c r="AL38" t="s">
        <v>611</v>
      </c>
      <c r="AM38" t="s">
        <v>612</v>
      </c>
      <c r="AN38" t="s">
        <v>613</v>
      </c>
      <c r="AO38" t="s">
        <v>614</v>
      </c>
      <c r="AP38" t="s">
        <v>615</v>
      </c>
      <c r="AQ38" t="s">
        <v>616</v>
      </c>
      <c r="AR38" t="s">
        <v>617</v>
      </c>
      <c r="AS38" t="s">
        <v>618</v>
      </c>
    </row>
    <row r="39" spans="1:45" x14ac:dyDescent="0.45">
      <c r="A39">
        <v>38</v>
      </c>
      <c r="B39">
        <v>38</v>
      </c>
      <c r="C39" t="s">
        <v>72</v>
      </c>
      <c r="D39" t="s">
        <v>73</v>
      </c>
      <c r="E39" t="s">
        <v>74</v>
      </c>
      <c r="F39" t="s">
        <v>77</v>
      </c>
      <c r="G39" t="s">
        <v>76</v>
      </c>
      <c r="H39">
        <v>39.286415672568012</v>
      </c>
      <c r="I39">
        <v>1</v>
      </c>
      <c r="J39">
        <v>7</v>
      </c>
      <c r="K39">
        <v>8</v>
      </c>
      <c r="L39">
        <v>-1</v>
      </c>
      <c r="M39">
        <v>6</v>
      </c>
      <c r="N39">
        <v>8</v>
      </c>
      <c r="O39">
        <v>-2</v>
      </c>
      <c r="P39">
        <v>8</v>
      </c>
      <c r="Q39">
        <v>8</v>
      </c>
      <c r="R39">
        <v>0</v>
      </c>
      <c r="S39">
        <v>9</v>
      </c>
      <c r="T39">
        <v>8</v>
      </c>
      <c r="U39">
        <v>1</v>
      </c>
      <c r="V39">
        <v>7</v>
      </c>
      <c r="W39">
        <v>8</v>
      </c>
      <c r="X39">
        <v>-1</v>
      </c>
      <c r="Y39">
        <v>8</v>
      </c>
      <c r="Z39">
        <v>8</v>
      </c>
      <c r="AA39">
        <v>0</v>
      </c>
      <c r="AB39">
        <v>7</v>
      </c>
      <c r="AC39">
        <v>8</v>
      </c>
      <c r="AD39">
        <v>-1</v>
      </c>
      <c r="AE39">
        <v>8</v>
      </c>
      <c r="AF39">
        <v>8</v>
      </c>
      <c r="AG39">
        <v>0</v>
      </c>
      <c r="AH39">
        <v>9</v>
      </c>
      <c r="AI39">
        <v>8</v>
      </c>
      <c r="AJ39">
        <v>1</v>
      </c>
      <c r="AK39" t="s">
        <v>619</v>
      </c>
      <c r="AL39" t="s">
        <v>620</v>
      </c>
      <c r="AM39" t="s">
        <v>621</v>
      </c>
      <c r="AN39" t="s">
        <v>622</v>
      </c>
      <c r="AO39" t="s">
        <v>623</v>
      </c>
      <c r="AP39" t="s">
        <v>624</v>
      </c>
      <c r="AQ39" t="s">
        <v>625</v>
      </c>
      <c r="AR39" t="s">
        <v>626</v>
      </c>
      <c r="AS39" t="s">
        <v>627</v>
      </c>
    </row>
    <row r="40" spans="1:45" x14ac:dyDescent="0.45">
      <c r="A40">
        <v>39</v>
      </c>
      <c r="B40">
        <v>39</v>
      </c>
      <c r="C40" t="s">
        <v>78</v>
      </c>
      <c r="D40" t="s">
        <v>81</v>
      </c>
      <c r="E40" t="s">
        <v>74</v>
      </c>
      <c r="F40" t="s">
        <v>77</v>
      </c>
      <c r="G40" t="s">
        <v>76</v>
      </c>
      <c r="H40">
        <v>14.50855978575704</v>
      </c>
      <c r="I40">
        <v>0</v>
      </c>
      <c r="J40">
        <v>5</v>
      </c>
      <c r="K40">
        <v>10</v>
      </c>
      <c r="L40">
        <v>-5</v>
      </c>
      <c r="M40">
        <v>6</v>
      </c>
      <c r="N40">
        <v>10</v>
      </c>
      <c r="O40">
        <v>-4</v>
      </c>
      <c r="P40">
        <v>7</v>
      </c>
      <c r="Q40">
        <v>10</v>
      </c>
      <c r="R40">
        <v>-3</v>
      </c>
      <c r="S40">
        <v>8</v>
      </c>
      <c r="T40">
        <v>10</v>
      </c>
      <c r="U40">
        <v>-2</v>
      </c>
      <c r="V40">
        <v>7</v>
      </c>
      <c r="W40">
        <v>10</v>
      </c>
      <c r="X40">
        <v>-3</v>
      </c>
      <c r="Y40">
        <v>9</v>
      </c>
      <c r="Z40">
        <v>10</v>
      </c>
      <c r="AA40">
        <v>-1</v>
      </c>
      <c r="AB40">
        <v>7</v>
      </c>
      <c r="AC40">
        <v>10</v>
      </c>
      <c r="AD40">
        <v>-3</v>
      </c>
      <c r="AE40">
        <v>6</v>
      </c>
      <c r="AF40">
        <v>10</v>
      </c>
      <c r="AG40">
        <v>-4</v>
      </c>
      <c r="AH40">
        <v>9</v>
      </c>
      <c r="AI40">
        <v>10</v>
      </c>
      <c r="AJ40">
        <v>-1</v>
      </c>
      <c r="AK40" t="s">
        <v>628</v>
      </c>
      <c r="AL40" t="s">
        <v>629</v>
      </c>
      <c r="AM40" t="s">
        <v>630</v>
      </c>
      <c r="AN40" t="s">
        <v>631</v>
      </c>
      <c r="AO40" t="s">
        <v>632</v>
      </c>
      <c r="AP40" t="s">
        <v>633</v>
      </c>
      <c r="AQ40" t="s">
        <v>634</v>
      </c>
      <c r="AR40" t="s">
        <v>635</v>
      </c>
      <c r="AS40" t="s">
        <v>636</v>
      </c>
    </row>
    <row r="41" spans="1:45" x14ac:dyDescent="0.45">
      <c r="A41">
        <v>40</v>
      </c>
      <c r="B41">
        <v>40</v>
      </c>
      <c r="C41" t="s">
        <v>78</v>
      </c>
      <c r="D41" t="s">
        <v>73</v>
      </c>
      <c r="E41" t="s">
        <v>74</v>
      </c>
      <c r="F41" t="s">
        <v>77</v>
      </c>
      <c r="G41" t="s">
        <v>76</v>
      </c>
      <c r="H41">
        <v>210.0249772991782</v>
      </c>
      <c r="I41">
        <v>1</v>
      </c>
      <c r="J41">
        <v>7</v>
      </c>
      <c r="K41">
        <v>8</v>
      </c>
      <c r="L41">
        <v>-1</v>
      </c>
      <c r="M41">
        <v>8</v>
      </c>
      <c r="N41">
        <v>8</v>
      </c>
      <c r="O41">
        <v>0</v>
      </c>
      <c r="P41">
        <v>6</v>
      </c>
      <c r="Q41">
        <v>6</v>
      </c>
      <c r="R41">
        <v>0</v>
      </c>
      <c r="S41">
        <v>9</v>
      </c>
      <c r="T41">
        <v>8</v>
      </c>
      <c r="U41">
        <v>1</v>
      </c>
      <c r="V41">
        <v>7</v>
      </c>
      <c r="W41">
        <v>7</v>
      </c>
      <c r="X41">
        <v>0</v>
      </c>
      <c r="Y41">
        <v>8</v>
      </c>
      <c r="Z41">
        <v>8</v>
      </c>
      <c r="AA41">
        <v>0</v>
      </c>
      <c r="AB41">
        <v>7</v>
      </c>
      <c r="AC41">
        <v>5</v>
      </c>
      <c r="AD41">
        <v>2</v>
      </c>
      <c r="AE41">
        <v>8</v>
      </c>
      <c r="AF41">
        <v>6</v>
      </c>
      <c r="AG41">
        <v>2</v>
      </c>
      <c r="AH41">
        <v>9</v>
      </c>
      <c r="AI41">
        <v>7</v>
      </c>
      <c r="AJ41">
        <v>2</v>
      </c>
      <c r="AK41" t="s">
        <v>637</v>
      </c>
      <c r="AL41" t="s">
        <v>638</v>
      </c>
      <c r="AM41" t="s">
        <v>639</v>
      </c>
      <c r="AN41" t="s">
        <v>640</v>
      </c>
      <c r="AO41" t="s">
        <v>641</v>
      </c>
      <c r="AP41" t="s">
        <v>642</v>
      </c>
      <c r="AQ41" t="s">
        <v>643</v>
      </c>
      <c r="AR41" t="s">
        <v>644</v>
      </c>
      <c r="AS41" t="s">
        <v>645</v>
      </c>
    </row>
    <row r="42" spans="1:45" x14ac:dyDescent="0.45">
      <c r="A42">
        <v>41</v>
      </c>
      <c r="B42">
        <v>41</v>
      </c>
      <c r="C42" t="s">
        <v>78</v>
      </c>
      <c r="D42" t="s">
        <v>73</v>
      </c>
      <c r="E42" t="s">
        <v>74</v>
      </c>
      <c r="F42" t="s">
        <v>77</v>
      </c>
      <c r="G42" t="s">
        <v>76</v>
      </c>
      <c r="H42">
        <v>99.578684191822148</v>
      </c>
      <c r="I42">
        <v>2</v>
      </c>
      <c r="J42">
        <v>7</v>
      </c>
      <c r="K42">
        <v>9</v>
      </c>
      <c r="L42">
        <v>-2</v>
      </c>
      <c r="M42">
        <v>8</v>
      </c>
      <c r="N42">
        <v>8</v>
      </c>
      <c r="O42">
        <v>0</v>
      </c>
      <c r="P42">
        <v>9</v>
      </c>
      <c r="Q42">
        <v>7</v>
      </c>
      <c r="R42">
        <v>2</v>
      </c>
      <c r="S42">
        <v>9</v>
      </c>
      <c r="T42">
        <v>8</v>
      </c>
      <c r="U42">
        <v>1</v>
      </c>
      <c r="V42">
        <v>7</v>
      </c>
      <c r="W42">
        <v>7</v>
      </c>
      <c r="X42">
        <v>0</v>
      </c>
      <c r="Y42">
        <v>9</v>
      </c>
      <c r="Z42">
        <v>4</v>
      </c>
      <c r="AA42">
        <v>5</v>
      </c>
      <c r="AB42">
        <v>8</v>
      </c>
      <c r="AC42">
        <v>2</v>
      </c>
      <c r="AD42">
        <v>6</v>
      </c>
      <c r="AE42">
        <v>7</v>
      </c>
      <c r="AF42">
        <v>8</v>
      </c>
      <c r="AG42">
        <v>-1</v>
      </c>
      <c r="AH42">
        <v>9</v>
      </c>
      <c r="AI42">
        <v>8</v>
      </c>
      <c r="AJ42">
        <v>1</v>
      </c>
      <c r="AK42" t="s">
        <v>646</v>
      </c>
      <c r="AL42" t="s">
        <v>647</v>
      </c>
      <c r="AM42" t="s">
        <v>648</v>
      </c>
      <c r="AN42" t="s">
        <v>649</v>
      </c>
      <c r="AO42" t="s">
        <v>650</v>
      </c>
      <c r="AP42" t="s">
        <v>651</v>
      </c>
      <c r="AQ42" t="s">
        <v>652</v>
      </c>
      <c r="AR42" t="s">
        <v>653</v>
      </c>
      <c r="AS42" t="s">
        <v>654</v>
      </c>
    </row>
    <row r="43" spans="1:45" x14ac:dyDescent="0.45">
      <c r="A43">
        <v>42</v>
      </c>
      <c r="B43">
        <v>42</v>
      </c>
      <c r="C43" t="s">
        <v>72</v>
      </c>
      <c r="D43" t="s">
        <v>73</v>
      </c>
      <c r="E43" t="s">
        <v>74</v>
      </c>
      <c r="F43" t="s">
        <v>77</v>
      </c>
      <c r="G43" t="s">
        <v>76</v>
      </c>
      <c r="H43">
        <v>43.609340728339447</v>
      </c>
      <c r="I43">
        <v>3</v>
      </c>
      <c r="J43">
        <v>7</v>
      </c>
      <c r="K43">
        <v>10</v>
      </c>
      <c r="L43">
        <v>-3</v>
      </c>
      <c r="M43">
        <v>6</v>
      </c>
      <c r="N43">
        <v>10</v>
      </c>
      <c r="O43">
        <v>-4</v>
      </c>
      <c r="P43">
        <v>9</v>
      </c>
      <c r="Q43">
        <v>9</v>
      </c>
      <c r="R43">
        <v>0</v>
      </c>
      <c r="S43">
        <v>8</v>
      </c>
      <c r="T43">
        <v>8</v>
      </c>
      <c r="U43">
        <v>0</v>
      </c>
      <c r="V43">
        <v>7</v>
      </c>
      <c r="W43">
        <v>7</v>
      </c>
      <c r="X43">
        <v>0</v>
      </c>
      <c r="Y43">
        <v>9</v>
      </c>
      <c r="Z43">
        <v>9</v>
      </c>
      <c r="AA43">
        <v>0</v>
      </c>
      <c r="AB43">
        <v>6</v>
      </c>
      <c r="AC43">
        <v>9</v>
      </c>
      <c r="AD43">
        <v>-3</v>
      </c>
      <c r="AE43">
        <v>7</v>
      </c>
      <c r="AF43">
        <v>8</v>
      </c>
      <c r="AG43">
        <v>-1</v>
      </c>
      <c r="AH43">
        <v>8</v>
      </c>
      <c r="AI43">
        <v>8</v>
      </c>
      <c r="AJ43">
        <v>0</v>
      </c>
      <c r="AK43" t="s">
        <v>655</v>
      </c>
      <c r="AL43" t="s">
        <v>656</v>
      </c>
      <c r="AM43" t="s">
        <v>657</v>
      </c>
      <c r="AN43" t="s">
        <v>658</v>
      </c>
      <c r="AO43" t="s">
        <v>659</v>
      </c>
      <c r="AP43" t="s">
        <v>660</v>
      </c>
      <c r="AQ43" t="s">
        <v>661</v>
      </c>
      <c r="AR43" t="s">
        <v>662</v>
      </c>
      <c r="AS43" t="s">
        <v>663</v>
      </c>
    </row>
    <row r="44" spans="1:45" x14ac:dyDescent="0.45">
      <c r="A44">
        <v>43</v>
      </c>
      <c r="B44">
        <v>43</v>
      </c>
      <c r="C44" t="s">
        <v>72</v>
      </c>
      <c r="D44" t="s">
        <v>73</v>
      </c>
      <c r="E44" t="s">
        <v>74</v>
      </c>
      <c r="F44" t="s">
        <v>77</v>
      </c>
      <c r="G44" t="s">
        <v>76</v>
      </c>
      <c r="H44">
        <v>198.54029087973478</v>
      </c>
      <c r="I44">
        <v>2</v>
      </c>
      <c r="J44">
        <v>8</v>
      </c>
      <c r="K44">
        <v>6</v>
      </c>
      <c r="L44">
        <v>2</v>
      </c>
      <c r="M44">
        <v>7</v>
      </c>
      <c r="N44">
        <v>6</v>
      </c>
      <c r="O44">
        <v>1</v>
      </c>
      <c r="P44">
        <v>8</v>
      </c>
      <c r="Q44">
        <v>8</v>
      </c>
      <c r="R44">
        <v>0</v>
      </c>
      <c r="S44">
        <v>9</v>
      </c>
      <c r="T44">
        <v>10</v>
      </c>
      <c r="U44">
        <v>-1</v>
      </c>
      <c r="V44">
        <v>8</v>
      </c>
      <c r="W44">
        <v>9</v>
      </c>
      <c r="X44">
        <v>-1</v>
      </c>
      <c r="Y44">
        <v>9</v>
      </c>
      <c r="Z44">
        <v>1</v>
      </c>
      <c r="AA44">
        <v>8</v>
      </c>
      <c r="AB44">
        <v>8</v>
      </c>
      <c r="AC44">
        <v>7</v>
      </c>
      <c r="AD44">
        <v>1</v>
      </c>
      <c r="AE44">
        <v>7</v>
      </c>
      <c r="AF44">
        <v>7</v>
      </c>
      <c r="AG44">
        <v>0</v>
      </c>
      <c r="AH44">
        <v>9</v>
      </c>
      <c r="AI44">
        <v>8</v>
      </c>
      <c r="AJ44">
        <v>1</v>
      </c>
      <c r="AK44" t="s">
        <v>664</v>
      </c>
      <c r="AL44" t="s">
        <v>665</v>
      </c>
      <c r="AM44" t="s">
        <v>666</v>
      </c>
      <c r="AN44" t="s">
        <v>667</v>
      </c>
      <c r="AO44" t="s">
        <v>668</v>
      </c>
      <c r="AP44" t="s">
        <v>669</v>
      </c>
      <c r="AQ44" t="s">
        <v>670</v>
      </c>
      <c r="AR44" t="s">
        <v>671</v>
      </c>
      <c r="AS44" t="s">
        <v>672</v>
      </c>
    </row>
    <row r="45" spans="1:45" x14ac:dyDescent="0.45">
      <c r="A45">
        <v>44</v>
      </c>
      <c r="B45">
        <v>44</v>
      </c>
      <c r="C45" t="s">
        <v>78</v>
      </c>
      <c r="D45" t="s">
        <v>73</v>
      </c>
      <c r="E45" t="s">
        <v>74</v>
      </c>
      <c r="F45" t="s">
        <v>77</v>
      </c>
      <c r="G45" t="s">
        <v>76</v>
      </c>
      <c r="H45">
        <v>23.980524077390974</v>
      </c>
      <c r="I45">
        <v>1</v>
      </c>
      <c r="J45">
        <v>7</v>
      </c>
      <c r="K45">
        <v>8</v>
      </c>
      <c r="L45">
        <v>-1</v>
      </c>
      <c r="M45">
        <v>8</v>
      </c>
      <c r="N45">
        <v>8</v>
      </c>
      <c r="O45">
        <v>0</v>
      </c>
      <c r="P45">
        <v>7</v>
      </c>
      <c r="Q45">
        <v>8</v>
      </c>
      <c r="R45">
        <v>-1</v>
      </c>
      <c r="S45">
        <v>9</v>
      </c>
      <c r="T45">
        <v>8</v>
      </c>
      <c r="U45">
        <v>1</v>
      </c>
      <c r="V45">
        <v>8</v>
      </c>
      <c r="W45">
        <v>8</v>
      </c>
      <c r="X45">
        <v>0</v>
      </c>
      <c r="Y45">
        <v>9</v>
      </c>
      <c r="Z45">
        <v>8</v>
      </c>
      <c r="AA45">
        <v>1</v>
      </c>
      <c r="AB45">
        <v>8</v>
      </c>
      <c r="AC45">
        <v>9</v>
      </c>
      <c r="AD45">
        <v>-1</v>
      </c>
      <c r="AE45">
        <v>9</v>
      </c>
      <c r="AF45">
        <v>5</v>
      </c>
      <c r="AG45">
        <v>4</v>
      </c>
      <c r="AH45">
        <v>10</v>
      </c>
      <c r="AI45">
        <v>9</v>
      </c>
      <c r="AJ45">
        <v>1</v>
      </c>
      <c r="AK45" t="s">
        <v>673</v>
      </c>
      <c r="AL45" t="s">
        <v>674</v>
      </c>
      <c r="AM45" t="s">
        <v>675</v>
      </c>
      <c r="AN45" t="s">
        <v>676</v>
      </c>
      <c r="AO45" t="s">
        <v>677</v>
      </c>
      <c r="AP45" t="s">
        <v>678</v>
      </c>
      <c r="AQ45" t="s">
        <v>679</v>
      </c>
      <c r="AR45" t="s">
        <v>680</v>
      </c>
      <c r="AS45" t="s">
        <v>681</v>
      </c>
    </row>
    <row r="46" spans="1:45" x14ac:dyDescent="0.45">
      <c r="A46">
        <v>45</v>
      </c>
      <c r="B46">
        <v>45</v>
      </c>
      <c r="C46" t="s">
        <v>72</v>
      </c>
      <c r="D46" t="s">
        <v>79</v>
      </c>
      <c r="E46" t="s">
        <v>74</v>
      </c>
      <c r="F46" t="s">
        <v>77</v>
      </c>
      <c r="G46" t="s">
        <v>76</v>
      </c>
      <c r="H46">
        <v>27.585045255580045</v>
      </c>
      <c r="I46">
        <v>2</v>
      </c>
      <c r="J46">
        <v>9</v>
      </c>
      <c r="K46">
        <v>10</v>
      </c>
      <c r="L46">
        <v>-1</v>
      </c>
      <c r="M46">
        <v>8</v>
      </c>
      <c r="N46">
        <v>10</v>
      </c>
      <c r="O46">
        <v>-2</v>
      </c>
      <c r="P46">
        <v>9</v>
      </c>
      <c r="Q46">
        <v>10</v>
      </c>
      <c r="R46">
        <v>-1</v>
      </c>
      <c r="S46">
        <v>8</v>
      </c>
      <c r="T46">
        <v>9</v>
      </c>
      <c r="U46">
        <v>-1</v>
      </c>
      <c r="V46">
        <v>9</v>
      </c>
      <c r="W46">
        <v>10</v>
      </c>
      <c r="X46">
        <v>-1</v>
      </c>
      <c r="Y46">
        <v>8</v>
      </c>
      <c r="Z46">
        <v>10</v>
      </c>
      <c r="AA46">
        <v>-2</v>
      </c>
      <c r="AB46">
        <v>9</v>
      </c>
      <c r="AC46">
        <v>10</v>
      </c>
      <c r="AD46">
        <v>-1</v>
      </c>
      <c r="AE46">
        <v>8</v>
      </c>
      <c r="AF46">
        <v>10</v>
      </c>
      <c r="AG46">
        <v>-2</v>
      </c>
      <c r="AH46">
        <v>9</v>
      </c>
      <c r="AI46">
        <v>10</v>
      </c>
      <c r="AJ46">
        <v>-1</v>
      </c>
      <c r="AK46" t="s">
        <v>682</v>
      </c>
      <c r="AL46" t="s">
        <v>683</v>
      </c>
      <c r="AM46" t="s">
        <v>684</v>
      </c>
      <c r="AN46" t="s">
        <v>685</v>
      </c>
      <c r="AO46" t="s">
        <v>686</v>
      </c>
      <c r="AP46" t="s">
        <v>687</v>
      </c>
      <c r="AQ46" t="s">
        <v>688</v>
      </c>
      <c r="AR46" t="s">
        <v>689</v>
      </c>
      <c r="AS46" t="s">
        <v>690</v>
      </c>
    </row>
    <row r="47" spans="1:45" x14ac:dyDescent="0.45">
      <c r="A47">
        <v>46</v>
      </c>
      <c r="B47">
        <v>46</v>
      </c>
      <c r="C47" t="s">
        <v>72</v>
      </c>
      <c r="D47" t="s">
        <v>191</v>
      </c>
      <c r="E47" t="s">
        <v>80</v>
      </c>
      <c r="F47" t="s">
        <v>77</v>
      </c>
      <c r="G47" t="s">
        <v>76</v>
      </c>
      <c r="H47">
        <v>12</v>
      </c>
      <c r="I47">
        <v>2</v>
      </c>
      <c r="J47">
        <v>6</v>
      </c>
      <c r="K47">
        <v>1</v>
      </c>
      <c r="L47">
        <v>5</v>
      </c>
      <c r="M47">
        <v>7</v>
      </c>
      <c r="N47">
        <v>1</v>
      </c>
      <c r="O47">
        <v>6</v>
      </c>
      <c r="P47">
        <v>8</v>
      </c>
      <c r="Q47">
        <v>2</v>
      </c>
      <c r="R47">
        <v>6</v>
      </c>
      <c r="S47">
        <v>9</v>
      </c>
      <c r="T47">
        <v>1</v>
      </c>
      <c r="U47">
        <v>8</v>
      </c>
      <c r="V47">
        <v>8</v>
      </c>
      <c r="W47">
        <v>1</v>
      </c>
      <c r="X47">
        <v>7</v>
      </c>
      <c r="Y47">
        <v>9</v>
      </c>
      <c r="Z47">
        <v>1</v>
      </c>
      <c r="AA47">
        <v>8</v>
      </c>
      <c r="AB47">
        <v>8</v>
      </c>
      <c r="AC47">
        <v>1</v>
      </c>
      <c r="AD47">
        <v>7</v>
      </c>
      <c r="AE47">
        <v>9</v>
      </c>
      <c r="AF47">
        <v>1</v>
      </c>
      <c r="AG47">
        <v>8</v>
      </c>
      <c r="AH47">
        <v>10</v>
      </c>
      <c r="AI47">
        <v>1</v>
      </c>
      <c r="AJ47">
        <v>9</v>
      </c>
      <c r="AK47" t="s">
        <v>691</v>
      </c>
      <c r="AL47" t="s">
        <v>692</v>
      </c>
      <c r="AM47" t="s">
        <v>693</v>
      </c>
      <c r="AN47" t="s">
        <v>694</v>
      </c>
      <c r="AO47" t="s">
        <v>695</v>
      </c>
      <c r="AP47" t="s">
        <v>696</v>
      </c>
      <c r="AQ47" t="s">
        <v>697</v>
      </c>
      <c r="AR47" t="s">
        <v>698</v>
      </c>
      <c r="AS47" t="s">
        <v>699</v>
      </c>
    </row>
    <row r="48" spans="1:45" x14ac:dyDescent="0.45">
      <c r="A48">
        <v>47</v>
      </c>
      <c r="B48">
        <v>47</v>
      </c>
      <c r="C48" t="s">
        <v>78</v>
      </c>
      <c r="D48" t="s">
        <v>73</v>
      </c>
      <c r="E48" t="s">
        <v>74</v>
      </c>
      <c r="F48" t="s">
        <v>77</v>
      </c>
      <c r="G48" t="s">
        <v>76</v>
      </c>
      <c r="H48">
        <v>12</v>
      </c>
      <c r="I48">
        <v>0</v>
      </c>
      <c r="J48">
        <v>7</v>
      </c>
      <c r="K48">
        <v>8</v>
      </c>
      <c r="L48">
        <v>-1</v>
      </c>
      <c r="M48">
        <v>8</v>
      </c>
      <c r="N48">
        <v>8</v>
      </c>
      <c r="O48">
        <v>0</v>
      </c>
      <c r="P48">
        <v>9</v>
      </c>
      <c r="Q48">
        <v>8</v>
      </c>
      <c r="R48">
        <v>1</v>
      </c>
      <c r="S48">
        <v>9</v>
      </c>
      <c r="T48">
        <v>7</v>
      </c>
      <c r="U48">
        <v>2</v>
      </c>
      <c r="V48">
        <v>8</v>
      </c>
      <c r="W48">
        <v>6</v>
      </c>
      <c r="X48">
        <v>2</v>
      </c>
      <c r="Y48">
        <v>9</v>
      </c>
      <c r="Z48">
        <v>8</v>
      </c>
      <c r="AA48">
        <v>1</v>
      </c>
      <c r="AB48">
        <v>7</v>
      </c>
      <c r="AC48">
        <v>8</v>
      </c>
      <c r="AD48">
        <v>-1</v>
      </c>
      <c r="AE48">
        <v>6</v>
      </c>
      <c r="AF48">
        <v>9</v>
      </c>
      <c r="AG48">
        <v>-3</v>
      </c>
      <c r="AH48">
        <v>8</v>
      </c>
      <c r="AI48">
        <v>8</v>
      </c>
      <c r="AJ48">
        <v>0</v>
      </c>
      <c r="AK48" t="s">
        <v>700</v>
      </c>
      <c r="AL48" t="s">
        <v>701</v>
      </c>
      <c r="AM48" t="s">
        <v>702</v>
      </c>
      <c r="AN48" t="s">
        <v>703</v>
      </c>
      <c r="AO48" t="s">
        <v>704</v>
      </c>
      <c r="AP48" t="s">
        <v>705</v>
      </c>
      <c r="AQ48" t="s">
        <v>706</v>
      </c>
      <c r="AR48" t="s">
        <v>707</v>
      </c>
      <c r="AS48" t="s">
        <v>708</v>
      </c>
    </row>
    <row r="49" spans="1:45" x14ac:dyDescent="0.45">
      <c r="A49">
        <v>48</v>
      </c>
      <c r="B49">
        <v>48</v>
      </c>
      <c r="C49" t="s">
        <v>72</v>
      </c>
      <c r="D49" t="s">
        <v>73</v>
      </c>
      <c r="E49" t="s">
        <v>74</v>
      </c>
      <c r="F49" t="s">
        <v>77</v>
      </c>
      <c r="G49" t="s">
        <v>76</v>
      </c>
      <c r="H49">
        <v>37.815498084283917</v>
      </c>
      <c r="I49">
        <v>3</v>
      </c>
      <c r="J49">
        <v>7</v>
      </c>
      <c r="K49">
        <v>10</v>
      </c>
      <c r="L49">
        <v>-3</v>
      </c>
      <c r="M49">
        <v>8</v>
      </c>
      <c r="N49">
        <v>10</v>
      </c>
      <c r="O49">
        <v>-2</v>
      </c>
      <c r="P49">
        <v>9</v>
      </c>
      <c r="Q49">
        <v>10</v>
      </c>
      <c r="R49">
        <v>-1</v>
      </c>
      <c r="S49">
        <v>8</v>
      </c>
      <c r="T49">
        <v>10</v>
      </c>
      <c r="U49">
        <v>-2</v>
      </c>
      <c r="V49">
        <v>9</v>
      </c>
      <c r="W49">
        <v>10</v>
      </c>
      <c r="X49">
        <v>-1</v>
      </c>
      <c r="Y49">
        <v>9</v>
      </c>
      <c r="Z49">
        <v>10</v>
      </c>
      <c r="AA49">
        <v>-1</v>
      </c>
      <c r="AB49">
        <v>8</v>
      </c>
      <c r="AC49">
        <v>10</v>
      </c>
      <c r="AD49">
        <v>-2</v>
      </c>
      <c r="AE49">
        <v>9</v>
      </c>
      <c r="AF49">
        <v>10</v>
      </c>
      <c r="AG49">
        <v>-1</v>
      </c>
      <c r="AH49">
        <v>8</v>
      </c>
      <c r="AI49">
        <v>10</v>
      </c>
      <c r="AJ49">
        <v>-2</v>
      </c>
      <c r="AK49" t="s">
        <v>709</v>
      </c>
      <c r="AL49" t="s">
        <v>710</v>
      </c>
      <c r="AM49" t="s">
        <v>711</v>
      </c>
      <c r="AN49" t="s">
        <v>712</v>
      </c>
      <c r="AO49" t="s">
        <v>713</v>
      </c>
      <c r="AP49" t="s">
        <v>714</v>
      </c>
      <c r="AQ49" t="s">
        <v>715</v>
      </c>
      <c r="AR49" t="s">
        <v>716</v>
      </c>
      <c r="AS49" t="s">
        <v>717</v>
      </c>
    </row>
    <row r="50" spans="1:45" x14ac:dyDescent="0.45">
      <c r="A50">
        <v>49</v>
      </c>
      <c r="B50">
        <v>49</v>
      </c>
      <c r="C50" t="s">
        <v>78</v>
      </c>
      <c r="D50" t="s">
        <v>73</v>
      </c>
      <c r="E50" t="s">
        <v>74</v>
      </c>
      <c r="F50" t="s">
        <v>77</v>
      </c>
      <c r="G50" t="s">
        <v>76</v>
      </c>
      <c r="H50">
        <v>155.70242045686817</v>
      </c>
      <c r="I50">
        <v>2</v>
      </c>
      <c r="J50">
        <v>7</v>
      </c>
      <c r="K50">
        <v>8</v>
      </c>
      <c r="L50">
        <v>-1</v>
      </c>
      <c r="M50">
        <v>6</v>
      </c>
      <c r="N50">
        <v>8</v>
      </c>
      <c r="O50">
        <v>-2</v>
      </c>
      <c r="P50">
        <v>7</v>
      </c>
      <c r="Q50">
        <v>7</v>
      </c>
      <c r="R50">
        <v>0</v>
      </c>
      <c r="S50">
        <v>9</v>
      </c>
      <c r="T50">
        <v>8</v>
      </c>
      <c r="U50">
        <v>1</v>
      </c>
      <c r="V50">
        <v>8</v>
      </c>
      <c r="W50">
        <v>6</v>
      </c>
      <c r="X50">
        <v>2</v>
      </c>
      <c r="Y50">
        <v>9</v>
      </c>
      <c r="Z50">
        <v>8</v>
      </c>
      <c r="AA50">
        <v>1</v>
      </c>
      <c r="AB50">
        <v>7</v>
      </c>
      <c r="AC50">
        <v>6</v>
      </c>
      <c r="AD50">
        <v>1</v>
      </c>
      <c r="AE50">
        <v>6</v>
      </c>
      <c r="AF50">
        <v>5</v>
      </c>
      <c r="AG50">
        <v>1</v>
      </c>
      <c r="AH50">
        <v>8</v>
      </c>
      <c r="AI50">
        <v>8</v>
      </c>
      <c r="AJ50">
        <v>0</v>
      </c>
      <c r="AK50" t="s">
        <v>718</v>
      </c>
      <c r="AL50" t="s">
        <v>719</v>
      </c>
      <c r="AM50" t="s">
        <v>720</v>
      </c>
      <c r="AN50" t="s">
        <v>721</v>
      </c>
      <c r="AO50" t="s">
        <v>722</v>
      </c>
      <c r="AP50" t="s">
        <v>723</v>
      </c>
      <c r="AQ50" t="s">
        <v>724</v>
      </c>
      <c r="AR50" t="s">
        <v>725</v>
      </c>
      <c r="AS50" t="s">
        <v>726</v>
      </c>
    </row>
    <row r="51" spans="1:45" x14ac:dyDescent="0.45">
      <c r="A51">
        <v>50</v>
      </c>
      <c r="B51">
        <v>50</v>
      </c>
      <c r="C51" t="s">
        <v>72</v>
      </c>
      <c r="D51" t="s">
        <v>73</v>
      </c>
      <c r="E51" t="s">
        <v>74</v>
      </c>
      <c r="F51" t="s">
        <v>77</v>
      </c>
      <c r="G51" t="s">
        <v>76</v>
      </c>
      <c r="H51">
        <v>21.149690767546495</v>
      </c>
      <c r="I51">
        <v>3</v>
      </c>
      <c r="J51">
        <v>8</v>
      </c>
      <c r="K51">
        <v>10</v>
      </c>
      <c r="L51">
        <v>-2</v>
      </c>
      <c r="M51">
        <v>7</v>
      </c>
      <c r="N51">
        <v>10</v>
      </c>
      <c r="O51">
        <v>-3</v>
      </c>
      <c r="P51">
        <v>9</v>
      </c>
      <c r="Q51">
        <v>10</v>
      </c>
      <c r="R51">
        <v>-1</v>
      </c>
      <c r="S51">
        <v>8</v>
      </c>
      <c r="T51">
        <v>8</v>
      </c>
      <c r="U51">
        <v>0</v>
      </c>
      <c r="V51">
        <v>9</v>
      </c>
      <c r="W51">
        <v>8</v>
      </c>
      <c r="X51">
        <v>1</v>
      </c>
      <c r="Y51">
        <v>8</v>
      </c>
      <c r="Z51">
        <v>8</v>
      </c>
      <c r="AA51">
        <v>0</v>
      </c>
      <c r="AB51">
        <v>9</v>
      </c>
      <c r="AC51">
        <v>8</v>
      </c>
      <c r="AD51">
        <v>1</v>
      </c>
      <c r="AE51">
        <v>8</v>
      </c>
      <c r="AF51">
        <v>8</v>
      </c>
      <c r="AG51">
        <v>0</v>
      </c>
      <c r="AH51">
        <v>9</v>
      </c>
      <c r="AI51">
        <v>8</v>
      </c>
      <c r="AJ51">
        <v>1</v>
      </c>
      <c r="AK51" t="s">
        <v>727</v>
      </c>
      <c r="AL51" t="s">
        <v>728</v>
      </c>
      <c r="AM51" t="s">
        <v>729</v>
      </c>
      <c r="AN51" t="s">
        <v>730</v>
      </c>
      <c r="AO51" t="s">
        <v>731</v>
      </c>
      <c r="AP51" t="s">
        <v>732</v>
      </c>
      <c r="AQ51" t="s">
        <v>733</v>
      </c>
      <c r="AR51" t="s">
        <v>734</v>
      </c>
      <c r="AS51" t="s">
        <v>735</v>
      </c>
    </row>
    <row r="52" spans="1:45" x14ac:dyDescent="0.45">
      <c r="A52">
        <v>51</v>
      </c>
      <c r="B52">
        <v>51</v>
      </c>
      <c r="C52" t="s">
        <v>78</v>
      </c>
      <c r="D52" t="s">
        <v>81</v>
      </c>
      <c r="E52" t="s">
        <v>74</v>
      </c>
      <c r="F52" t="s">
        <v>77</v>
      </c>
      <c r="G52" t="s">
        <v>76</v>
      </c>
      <c r="H52">
        <v>16.712205981352085</v>
      </c>
      <c r="I52">
        <v>0</v>
      </c>
      <c r="J52">
        <v>7</v>
      </c>
      <c r="K52">
        <v>10</v>
      </c>
      <c r="L52">
        <v>-3</v>
      </c>
      <c r="M52">
        <v>8</v>
      </c>
      <c r="N52">
        <v>10</v>
      </c>
      <c r="O52">
        <v>-2</v>
      </c>
      <c r="P52">
        <v>7</v>
      </c>
      <c r="Q52">
        <v>10</v>
      </c>
      <c r="R52">
        <v>-3</v>
      </c>
      <c r="S52">
        <v>9</v>
      </c>
      <c r="T52">
        <v>10</v>
      </c>
      <c r="U52">
        <v>-1</v>
      </c>
      <c r="V52">
        <v>8</v>
      </c>
      <c r="W52">
        <v>10</v>
      </c>
      <c r="X52">
        <v>-2</v>
      </c>
      <c r="Y52">
        <v>9</v>
      </c>
      <c r="Z52">
        <v>10</v>
      </c>
      <c r="AA52">
        <v>-1</v>
      </c>
      <c r="AB52">
        <v>8</v>
      </c>
      <c r="AC52">
        <v>10</v>
      </c>
      <c r="AD52">
        <v>-2</v>
      </c>
      <c r="AE52">
        <v>9</v>
      </c>
      <c r="AF52">
        <v>10</v>
      </c>
      <c r="AG52">
        <v>-1</v>
      </c>
      <c r="AH52">
        <v>9</v>
      </c>
      <c r="AI52">
        <v>10</v>
      </c>
      <c r="AJ52">
        <v>-1</v>
      </c>
      <c r="AK52" t="s">
        <v>736</v>
      </c>
      <c r="AL52" t="s">
        <v>737</v>
      </c>
      <c r="AM52" t="s">
        <v>738</v>
      </c>
      <c r="AN52" t="s">
        <v>739</v>
      </c>
      <c r="AO52" t="s">
        <v>740</v>
      </c>
      <c r="AP52" t="s">
        <v>741</v>
      </c>
      <c r="AQ52" t="s">
        <v>742</v>
      </c>
      <c r="AR52" t="s">
        <v>743</v>
      </c>
      <c r="AS52" t="s">
        <v>744</v>
      </c>
    </row>
    <row r="53" spans="1:45" x14ac:dyDescent="0.45">
      <c r="A53">
        <v>52</v>
      </c>
      <c r="B53">
        <v>52</v>
      </c>
      <c r="C53" t="s">
        <v>72</v>
      </c>
      <c r="D53" t="s">
        <v>81</v>
      </c>
      <c r="E53" t="s">
        <v>74</v>
      </c>
      <c r="F53" t="s">
        <v>77</v>
      </c>
      <c r="G53" t="s">
        <v>76</v>
      </c>
      <c r="H53">
        <v>20.463051819209731</v>
      </c>
      <c r="I53">
        <v>1</v>
      </c>
      <c r="J53">
        <v>6</v>
      </c>
      <c r="K53">
        <v>10</v>
      </c>
      <c r="L53">
        <v>-4</v>
      </c>
      <c r="M53">
        <v>6</v>
      </c>
      <c r="N53">
        <v>10</v>
      </c>
      <c r="O53">
        <v>-4</v>
      </c>
      <c r="P53">
        <v>8</v>
      </c>
      <c r="Q53">
        <v>10</v>
      </c>
      <c r="R53">
        <v>-2</v>
      </c>
      <c r="S53">
        <v>9</v>
      </c>
      <c r="T53">
        <v>10</v>
      </c>
      <c r="U53">
        <v>-1</v>
      </c>
      <c r="V53">
        <v>8</v>
      </c>
      <c r="W53">
        <v>10</v>
      </c>
      <c r="X53">
        <v>-2</v>
      </c>
      <c r="Y53">
        <v>9</v>
      </c>
      <c r="Z53">
        <v>10</v>
      </c>
      <c r="AA53">
        <v>-1</v>
      </c>
      <c r="AB53">
        <v>8</v>
      </c>
      <c r="AC53">
        <v>10</v>
      </c>
      <c r="AD53">
        <v>-2</v>
      </c>
      <c r="AE53">
        <v>7</v>
      </c>
      <c r="AF53">
        <v>10</v>
      </c>
      <c r="AG53">
        <v>-3</v>
      </c>
      <c r="AH53">
        <v>8</v>
      </c>
      <c r="AI53">
        <v>8</v>
      </c>
      <c r="AJ53">
        <v>0</v>
      </c>
      <c r="AK53" t="s">
        <v>745</v>
      </c>
      <c r="AL53" t="s">
        <v>746</v>
      </c>
      <c r="AM53" t="s">
        <v>747</v>
      </c>
      <c r="AN53" t="s">
        <v>748</v>
      </c>
      <c r="AO53" t="s">
        <v>749</v>
      </c>
      <c r="AP53" t="s">
        <v>750</v>
      </c>
      <c r="AQ53" t="s">
        <v>751</v>
      </c>
      <c r="AR53" t="s">
        <v>752</v>
      </c>
      <c r="AS53" t="s">
        <v>753</v>
      </c>
    </row>
    <row r="54" spans="1:45" x14ac:dyDescent="0.45">
      <c r="A54">
        <v>53</v>
      </c>
      <c r="B54">
        <v>53</v>
      </c>
      <c r="C54" t="s">
        <v>78</v>
      </c>
      <c r="D54" t="s">
        <v>81</v>
      </c>
      <c r="E54" t="s">
        <v>74</v>
      </c>
      <c r="F54" t="s">
        <v>75</v>
      </c>
      <c r="G54" t="s">
        <v>76</v>
      </c>
      <c r="H54">
        <v>12.055634972821331</v>
      </c>
      <c r="I54">
        <v>2</v>
      </c>
      <c r="J54">
        <v>8</v>
      </c>
      <c r="K54">
        <v>10</v>
      </c>
      <c r="L54">
        <v>-2</v>
      </c>
      <c r="M54">
        <v>9</v>
      </c>
      <c r="N54">
        <v>10</v>
      </c>
      <c r="O54">
        <v>-1</v>
      </c>
      <c r="P54">
        <v>7</v>
      </c>
      <c r="Q54">
        <v>10</v>
      </c>
      <c r="R54">
        <v>-3</v>
      </c>
      <c r="S54">
        <v>9</v>
      </c>
      <c r="T54">
        <v>10</v>
      </c>
      <c r="U54">
        <v>-1</v>
      </c>
      <c r="V54">
        <v>8</v>
      </c>
      <c r="W54">
        <v>10</v>
      </c>
      <c r="X54">
        <v>-2</v>
      </c>
      <c r="Y54">
        <v>9</v>
      </c>
      <c r="Z54">
        <v>10</v>
      </c>
      <c r="AA54">
        <v>-1</v>
      </c>
      <c r="AB54">
        <v>8</v>
      </c>
      <c r="AC54">
        <v>10</v>
      </c>
      <c r="AD54">
        <v>-2</v>
      </c>
      <c r="AE54">
        <v>7</v>
      </c>
      <c r="AF54">
        <v>10</v>
      </c>
      <c r="AG54">
        <v>-3</v>
      </c>
      <c r="AH54">
        <v>9</v>
      </c>
      <c r="AI54">
        <v>10</v>
      </c>
      <c r="AJ54">
        <v>-1</v>
      </c>
      <c r="AK54" t="s">
        <v>754</v>
      </c>
      <c r="AL54" t="s">
        <v>755</v>
      </c>
      <c r="AM54" t="s">
        <v>756</v>
      </c>
      <c r="AN54" t="s">
        <v>757</v>
      </c>
      <c r="AO54" t="s">
        <v>758</v>
      </c>
      <c r="AP54" t="s">
        <v>759</v>
      </c>
      <c r="AQ54" t="s">
        <v>760</v>
      </c>
      <c r="AR54" t="s">
        <v>761</v>
      </c>
      <c r="AS54" t="s">
        <v>762</v>
      </c>
    </row>
    <row r="55" spans="1:45" x14ac:dyDescent="0.45">
      <c r="A55">
        <v>54</v>
      </c>
      <c r="B55">
        <v>54</v>
      </c>
      <c r="C55" t="s">
        <v>72</v>
      </c>
      <c r="D55" t="s">
        <v>79</v>
      </c>
      <c r="E55" t="s">
        <v>74</v>
      </c>
      <c r="F55" t="s">
        <v>77</v>
      </c>
      <c r="G55" t="s">
        <v>76</v>
      </c>
      <c r="H55">
        <v>35.336773170078423</v>
      </c>
      <c r="I55">
        <v>2</v>
      </c>
      <c r="J55">
        <v>5</v>
      </c>
      <c r="K55">
        <v>8</v>
      </c>
      <c r="L55">
        <v>-3</v>
      </c>
      <c r="M55">
        <v>6</v>
      </c>
      <c r="N55">
        <v>7</v>
      </c>
      <c r="O55">
        <v>-1</v>
      </c>
      <c r="P55">
        <v>8</v>
      </c>
      <c r="Q55">
        <v>7</v>
      </c>
      <c r="R55">
        <v>1</v>
      </c>
      <c r="S55">
        <v>9</v>
      </c>
      <c r="T55">
        <v>8</v>
      </c>
      <c r="U55">
        <v>1</v>
      </c>
      <c r="V55">
        <v>7</v>
      </c>
      <c r="W55">
        <v>7</v>
      </c>
      <c r="X55">
        <v>0</v>
      </c>
      <c r="Y55">
        <v>8</v>
      </c>
      <c r="Z55">
        <v>8</v>
      </c>
      <c r="AA55">
        <v>0</v>
      </c>
      <c r="AB55">
        <v>6</v>
      </c>
      <c r="AC55">
        <v>7</v>
      </c>
      <c r="AD55">
        <v>-1</v>
      </c>
      <c r="AE55">
        <v>7</v>
      </c>
      <c r="AF55">
        <v>7</v>
      </c>
      <c r="AG55">
        <v>0</v>
      </c>
      <c r="AH55">
        <v>8</v>
      </c>
      <c r="AI55">
        <v>8</v>
      </c>
      <c r="AJ55">
        <v>0</v>
      </c>
      <c r="AK55" t="s">
        <v>763</v>
      </c>
      <c r="AL55" t="s">
        <v>764</v>
      </c>
      <c r="AM55" t="s">
        <v>765</v>
      </c>
      <c r="AN55" t="s">
        <v>766</v>
      </c>
      <c r="AO55" t="s">
        <v>767</v>
      </c>
      <c r="AP55" t="s">
        <v>768</v>
      </c>
      <c r="AQ55" t="s">
        <v>769</v>
      </c>
      <c r="AR55" t="s">
        <v>770</v>
      </c>
      <c r="AS55" t="s">
        <v>771</v>
      </c>
    </row>
    <row r="56" spans="1:45" x14ac:dyDescent="0.45">
      <c r="A56">
        <v>55</v>
      </c>
      <c r="B56">
        <v>55</v>
      </c>
      <c r="C56" t="s">
        <v>72</v>
      </c>
      <c r="D56" t="s">
        <v>73</v>
      </c>
      <c r="E56" t="s">
        <v>74</v>
      </c>
      <c r="F56" t="s">
        <v>77</v>
      </c>
      <c r="G56" t="s">
        <v>76</v>
      </c>
      <c r="H56">
        <v>44.483782751824258</v>
      </c>
      <c r="I56">
        <v>1</v>
      </c>
      <c r="J56">
        <v>6</v>
      </c>
      <c r="K56">
        <v>10</v>
      </c>
      <c r="L56">
        <v>-4</v>
      </c>
      <c r="M56">
        <v>7</v>
      </c>
      <c r="N56">
        <v>9</v>
      </c>
      <c r="O56">
        <v>-2</v>
      </c>
      <c r="P56">
        <v>8</v>
      </c>
      <c r="Q56">
        <v>3</v>
      </c>
      <c r="R56">
        <v>5</v>
      </c>
      <c r="S56">
        <v>9</v>
      </c>
      <c r="T56">
        <v>4</v>
      </c>
      <c r="U56">
        <v>5</v>
      </c>
      <c r="V56">
        <v>8</v>
      </c>
      <c r="W56">
        <v>3</v>
      </c>
      <c r="X56">
        <v>5</v>
      </c>
      <c r="Y56">
        <v>9</v>
      </c>
      <c r="Z56">
        <v>3</v>
      </c>
      <c r="AA56">
        <v>6</v>
      </c>
      <c r="AB56">
        <v>8</v>
      </c>
      <c r="AC56">
        <v>1</v>
      </c>
      <c r="AD56">
        <v>7</v>
      </c>
      <c r="AE56">
        <v>7</v>
      </c>
      <c r="AF56">
        <v>1</v>
      </c>
      <c r="AG56">
        <v>6</v>
      </c>
      <c r="AH56">
        <v>8</v>
      </c>
      <c r="AI56">
        <v>3</v>
      </c>
      <c r="AJ56">
        <v>5</v>
      </c>
      <c r="AK56" t="s">
        <v>229</v>
      </c>
      <c r="AL56" t="s">
        <v>772</v>
      </c>
      <c r="AM56" t="s">
        <v>773</v>
      </c>
      <c r="AN56" t="s">
        <v>774</v>
      </c>
      <c r="AO56" t="s">
        <v>775</v>
      </c>
      <c r="AP56" t="s">
        <v>776</v>
      </c>
      <c r="AQ56" t="s">
        <v>777</v>
      </c>
      <c r="AR56" t="s">
        <v>778</v>
      </c>
      <c r="AS56" t="s">
        <v>779</v>
      </c>
    </row>
    <row r="57" spans="1:45" x14ac:dyDescent="0.45">
      <c r="A57">
        <v>56</v>
      </c>
      <c r="B57">
        <v>56</v>
      </c>
      <c r="C57" t="s">
        <v>78</v>
      </c>
      <c r="D57" t="s">
        <v>81</v>
      </c>
      <c r="E57" t="s">
        <v>74</v>
      </c>
      <c r="F57" t="s">
        <v>77</v>
      </c>
      <c r="G57" t="s">
        <v>76</v>
      </c>
      <c r="H57">
        <v>12</v>
      </c>
      <c r="I57">
        <v>0</v>
      </c>
      <c r="J57">
        <v>7</v>
      </c>
      <c r="K57">
        <v>10</v>
      </c>
      <c r="L57">
        <v>-3</v>
      </c>
      <c r="M57">
        <v>8</v>
      </c>
      <c r="N57">
        <v>10</v>
      </c>
      <c r="O57">
        <v>-2</v>
      </c>
      <c r="P57">
        <v>9</v>
      </c>
      <c r="Q57">
        <v>9</v>
      </c>
      <c r="R57">
        <v>0</v>
      </c>
      <c r="S57">
        <v>10</v>
      </c>
      <c r="T57">
        <v>10</v>
      </c>
      <c r="U57">
        <v>0</v>
      </c>
      <c r="V57">
        <v>8</v>
      </c>
      <c r="W57">
        <v>9</v>
      </c>
      <c r="X57">
        <v>-1</v>
      </c>
      <c r="Y57">
        <v>9</v>
      </c>
      <c r="Z57">
        <v>10</v>
      </c>
      <c r="AA57">
        <v>-1</v>
      </c>
      <c r="AB57">
        <v>8</v>
      </c>
      <c r="AC57">
        <v>9</v>
      </c>
      <c r="AD57">
        <v>-1</v>
      </c>
      <c r="AE57">
        <v>7</v>
      </c>
      <c r="AF57">
        <v>10</v>
      </c>
      <c r="AG57">
        <v>-3</v>
      </c>
      <c r="AH57">
        <v>9</v>
      </c>
      <c r="AI57">
        <v>9</v>
      </c>
      <c r="AJ57">
        <v>0</v>
      </c>
      <c r="AK57" t="s">
        <v>780</v>
      </c>
      <c r="AL57" t="s">
        <v>781</v>
      </c>
      <c r="AM57" t="s">
        <v>782</v>
      </c>
      <c r="AN57" t="s">
        <v>783</v>
      </c>
      <c r="AO57" t="s">
        <v>784</v>
      </c>
      <c r="AP57" t="s">
        <v>785</v>
      </c>
      <c r="AQ57" t="s">
        <v>786</v>
      </c>
      <c r="AR57" t="s">
        <v>787</v>
      </c>
      <c r="AS57" t="s">
        <v>788</v>
      </c>
    </row>
    <row r="58" spans="1:45" x14ac:dyDescent="0.45">
      <c r="A58">
        <v>57</v>
      </c>
      <c r="B58">
        <v>57</v>
      </c>
      <c r="C58" t="s">
        <v>72</v>
      </c>
      <c r="D58" t="s">
        <v>73</v>
      </c>
      <c r="E58" t="s">
        <v>74</v>
      </c>
      <c r="F58" t="s">
        <v>77</v>
      </c>
      <c r="G58" t="s">
        <v>76</v>
      </c>
      <c r="H58">
        <v>15.420833515777709</v>
      </c>
      <c r="I58">
        <v>2</v>
      </c>
      <c r="J58">
        <v>7</v>
      </c>
      <c r="K58">
        <v>10</v>
      </c>
      <c r="L58">
        <v>-3</v>
      </c>
      <c r="M58">
        <v>8</v>
      </c>
      <c r="N58">
        <v>10</v>
      </c>
      <c r="O58">
        <v>-2</v>
      </c>
      <c r="P58">
        <v>7</v>
      </c>
      <c r="Q58">
        <v>1</v>
      </c>
      <c r="R58">
        <v>6</v>
      </c>
      <c r="S58">
        <v>9</v>
      </c>
      <c r="T58">
        <v>5</v>
      </c>
      <c r="U58">
        <v>4</v>
      </c>
      <c r="V58">
        <v>8</v>
      </c>
      <c r="W58">
        <v>7</v>
      </c>
      <c r="X58">
        <v>1</v>
      </c>
      <c r="Y58">
        <v>9</v>
      </c>
      <c r="Z58">
        <v>10</v>
      </c>
      <c r="AA58">
        <v>-1</v>
      </c>
      <c r="AB58">
        <v>8</v>
      </c>
      <c r="AC58">
        <v>9</v>
      </c>
      <c r="AD58">
        <v>-1</v>
      </c>
      <c r="AE58">
        <v>7</v>
      </c>
      <c r="AF58">
        <v>9</v>
      </c>
      <c r="AG58">
        <v>-2</v>
      </c>
      <c r="AH58">
        <v>9</v>
      </c>
      <c r="AI58">
        <v>10</v>
      </c>
      <c r="AJ58">
        <v>-1</v>
      </c>
      <c r="AK58" t="s">
        <v>789</v>
      </c>
      <c r="AL58" t="s">
        <v>790</v>
      </c>
      <c r="AM58" t="s">
        <v>791</v>
      </c>
      <c r="AN58" t="s">
        <v>792</v>
      </c>
      <c r="AO58" t="s">
        <v>793</v>
      </c>
      <c r="AP58" t="s">
        <v>794</v>
      </c>
      <c r="AQ58" t="s">
        <v>795</v>
      </c>
      <c r="AR58" t="s">
        <v>796</v>
      </c>
      <c r="AS58" t="s">
        <v>797</v>
      </c>
    </row>
    <row r="59" spans="1:45" x14ac:dyDescent="0.45">
      <c r="A59">
        <v>58</v>
      </c>
      <c r="B59">
        <v>58</v>
      </c>
      <c r="C59" t="s">
        <v>72</v>
      </c>
      <c r="D59" t="s">
        <v>79</v>
      </c>
      <c r="E59" t="s">
        <v>74</v>
      </c>
      <c r="F59" t="s">
        <v>75</v>
      </c>
      <c r="G59" t="s">
        <v>76</v>
      </c>
      <c r="H59">
        <v>25.472094404529958</v>
      </c>
      <c r="I59">
        <v>1</v>
      </c>
      <c r="J59">
        <v>7</v>
      </c>
      <c r="K59">
        <v>5</v>
      </c>
      <c r="L59">
        <v>2</v>
      </c>
      <c r="M59">
        <v>8</v>
      </c>
      <c r="N59">
        <v>5</v>
      </c>
      <c r="O59">
        <v>3</v>
      </c>
      <c r="P59">
        <v>9</v>
      </c>
      <c r="Q59">
        <v>4</v>
      </c>
      <c r="R59">
        <v>5</v>
      </c>
      <c r="S59">
        <v>9</v>
      </c>
      <c r="T59">
        <v>8</v>
      </c>
      <c r="U59">
        <v>1</v>
      </c>
      <c r="V59">
        <v>8</v>
      </c>
      <c r="W59">
        <v>5</v>
      </c>
      <c r="X59">
        <v>3</v>
      </c>
      <c r="Y59">
        <v>9</v>
      </c>
      <c r="Z59">
        <v>7</v>
      </c>
      <c r="AA59">
        <v>2</v>
      </c>
      <c r="AB59">
        <v>8</v>
      </c>
      <c r="AC59">
        <v>7</v>
      </c>
      <c r="AD59">
        <v>1</v>
      </c>
      <c r="AE59">
        <v>7</v>
      </c>
      <c r="AF59">
        <v>7</v>
      </c>
      <c r="AG59">
        <v>0</v>
      </c>
      <c r="AH59">
        <v>9</v>
      </c>
      <c r="AI59">
        <v>7</v>
      </c>
      <c r="AJ59">
        <v>2</v>
      </c>
      <c r="AK59" t="s">
        <v>798</v>
      </c>
      <c r="AL59" t="s">
        <v>799</v>
      </c>
      <c r="AM59" t="s">
        <v>800</v>
      </c>
      <c r="AN59" t="s">
        <v>801</v>
      </c>
      <c r="AO59" t="s">
        <v>802</v>
      </c>
      <c r="AP59" t="s">
        <v>803</v>
      </c>
      <c r="AQ59" t="s">
        <v>82</v>
      </c>
      <c r="AR59" t="s">
        <v>804</v>
      </c>
      <c r="AS59" t="s">
        <v>805</v>
      </c>
    </row>
    <row r="60" spans="1:45" x14ac:dyDescent="0.45">
      <c r="A60">
        <v>59</v>
      </c>
      <c r="B60">
        <v>59</v>
      </c>
      <c r="C60" t="s">
        <v>72</v>
      </c>
      <c r="D60" t="s">
        <v>189</v>
      </c>
      <c r="E60" t="s">
        <v>74</v>
      </c>
      <c r="F60" t="s">
        <v>77</v>
      </c>
      <c r="G60" t="s">
        <v>162</v>
      </c>
      <c r="H60">
        <v>12</v>
      </c>
      <c r="I60">
        <v>0</v>
      </c>
      <c r="J60">
        <v>9</v>
      </c>
      <c r="K60">
        <v>9</v>
      </c>
      <c r="L60">
        <v>0</v>
      </c>
      <c r="M60">
        <v>8</v>
      </c>
      <c r="N60">
        <v>9</v>
      </c>
      <c r="O60">
        <v>-1</v>
      </c>
      <c r="P60">
        <v>9</v>
      </c>
      <c r="Q60">
        <v>9</v>
      </c>
      <c r="R60">
        <v>0</v>
      </c>
      <c r="S60">
        <v>8</v>
      </c>
      <c r="T60">
        <v>7</v>
      </c>
      <c r="U60">
        <v>1</v>
      </c>
      <c r="V60">
        <v>9</v>
      </c>
      <c r="W60">
        <v>7</v>
      </c>
      <c r="X60">
        <v>2</v>
      </c>
      <c r="Y60">
        <v>9</v>
      </c>
      <c r="Z60">
        <v>8</v>
      </c>
      <c r="AA60">
        <v>1</v>
      </c>
      <c r="AB60">
        <v>8</v>
      </c>
      <c r="AC60">
        <v>8</v>
      </c>
      <c r="AD60">
        <v>0</v>
      </c>
      <c r="AE60">
        <v>7</v>
      </c>
      <c r="AF60">
        <v>6</v>
      </c>
      <c r="AG60">
        <v>1</v>
      </c>
      <c r="AH60">
        <v>9</v>
      </c>
      <c r="AI60">
        <v>5</v>
      </c>
      <c r="AJ60">
        <v>4</v>
      </c>
      <c r="AK60" t="s">
        <v>806</v>
      </c>
      <c r="AL60" t="s">
        <v>807</v>
      </c>
      <c r="AM60" t="s">
        <v>808</v>
      </c>
      <c r="AN60" t="s">
        <v>809</v>
      </c>
      <c r="AO60" t="s">
        <v>810</v>
      </c>
      <c r="AP60" t="s">
        <v>811</v>
      </c>
      <c r="AQ60" t="s">
        <v>812</v>
      </c>
      <c r="AR60" t="s">
        <v>813</v>
      </c>
      <c r="AS60" t="s">
        <v>814</v>
      </c>
    </row>
    <row r="61" spans="1:45" x14ac:dyDescent="0.45">
      <c r="A61">
        <v>60</v>
      </c>
      <c r="B61">
        <v>60</v>
      </c>
      <c r="C61" t="s">
        <v>78</v>
      </c>
      <c r="D61" t="s">
        <v>81</v>
      </c>
      <c r="E61" t="s">
        <v>74</v>
      </c>
      <c r="F61" t="s">
        <v>77</v>
      </c>
      <c r="G61" t="s">
        <v>76</v>
      </c>
      <c r="H61">
        <v>13.621419063506382</v>
      </c>
      <c r="I61">
        <v>0</v>
      </c>
      <c r="J61">
        <v>7</v>
      </c>
      <c r="K61">
        <v>5</v>
      </c>
      <c r="L61">
        <v>2</v>
      </c>
      <c r="M61">
        <v>8</v>
      </c>
      <c r="N61">
        <v>5</v>
      </c>
      <c r="O61">
        <v>3</v>
      </c>
      <c r="P61">
        <v>9</v>
      </c>
      <c r="Q61">
        <v>5</v>
      </c>
      <c r="R61">
        <v>4</v>
      </c>
      <c r="S61">
        <v>9</v>
      </c>
      <c r="T61">
        <v>5</v>
      </c>
      <c r="U61">
        <v>4</v>
      </c>
      <c r="V61">
        <v>8</v>
      </c>
      <c r="W61">
        <v>5</v>
      </c>
      <c r="X61">
        <v>3</v>
      </c>
      <c r="Y61">
        <v>9</v>
      </c>
      <c r="Z61">
        <v>8</v>
      </c>
      <c r="AA61">
        <v>1</v>
      </c>
      <c r="AB61">
        <v>8</v>
      </c>
      <c r="AC61">
        <v>4</v>
      </c>
      <c r="AD61">
        <v>4</v>
      </c>
      <c r="AE61">
        <v>9</v>
      </c>
      <c r="AF61">
        <v>5</v>
      </c>
      <c r="AG61">
        <v>4</v>
      </c>
      <c r="AH61">
        <v>10</v>
      </c>
      <c r="AI61">
        <v>5</v>
      </c>
      <c r="AJ61">
        <v>5</v>
      </c>
      <c r="AK61" t="s">
        <v>815</v>
      </c>
      <c r="AL61" t="s">
        <v>816</v>
      </c>
      <c r="AM61" t="s">
        <v>817</v>
      </c>
      <c r="AN61" t="s">
        <v>818</v>
      </c>
      <c r="AO61" t="s">
        <v>819</v>
      </c>
      <c r="AP61" t="s">
        <v>820</v>
      </c>
      <c r="AQ61" t="s">
        <v>821</v>
      </c>
      <c r="AR61" t="s">
        <v>822</v>
      </c>
      <c r="AS61" t="s">
        <v>823</v>
      </c>
    </row>
    <row r="62" spans="1:45" x14ac:dyDescent="0.45">
      <c r="A62">
        <v>61</v>
      </c>
      <c r="B62">
        <v>61</v>
      </c>
      <c r="C62" t="s">
        <v>72</v>
      </c>
      <c r="D62" t="s">
        <v>73</v>
      </c>
      <c r="E62" t="s">
        <v>74</v>
      </c>
      <c r="F62" t="s">
        <v>75</v>
      </c>
      <c r="G62" t="s">
        <v>76</v>
      </c>
      <c r="H62">
        <v>19.497497131510563</v>
      </c>
      <c r="I62">
        <v>1</v>
      </c>
      <c r="J62">
        <v>7</v>
      </c>
      <c r="K62">
        <v>8</v>
      </c>
      <c r="L62">
        <v>-1</v>
      </c>
      <c r="M62">
        <v>8</v>
      </c>
      <c r="N62">
        <v>9</v>
      </c>
      <c r="O62">
        <v>-1</v>
      </c>
      <c r="P62">
        <v>9</v>
      </c>
      <c r="Q62">
        <v>9</v>
      </c>
      <c r="R62">
        <v>0</v>
      </c>
      <c r="S62">
        <v>9</v>
      </c>
      <c r="T62">
        <v>9</v>
      </c>
      <c r="U62">
        <v>0</v>
      </c>
      <c r="V62">
        <v>7</v>
      </c>
      <c r="W62">
        <v>9</v>
      </c>
      <c r="X62">
        <v>-2</v>
      </c>
      <c r="Y62">
        <v>8</v>
      </c>
      <c r="Z62">
        <v>8</v>
      </c>
      <c r="AA62">
        <v>0</v>
      </c>
      <c r="AB62">
        <v>7</v>
      </c>
      <c r="AC62">
        <v>8</v>
      </c>
      <c r="AD62">
        <v>-1</v>
      </c>
      <c r="AE62">
        <v>6</v>
      </c>
      <c r="AF62">
        <v>8</v>
      </c>
      <c r="AG62">
        <v>-2</v>
      </c>
      <c r="AH62">
        <v>9</v>
      </c>
      <c r="AI62">
        <v>9</v>
      </c>
      <c r="AJ62">
        <v>0</v>
      </c>
      <c r="AK62" t="s">
        <v>824</v>
      </c>
      <c r="AL62" t="s">
        <v>825</v>
      </c>
      <c r="AM62" t="s">
        <v>826</v>
      </c>
      <c r="AN62" t="s">
        <v>827</v>
      </c>
      <c r="AO62" t="s">
        <v>828</v>
      </c>
      <c r="AP62" t="s">
        <v>829</v>
      </c>
      <c r="AQ62" t="s">
        <v>830</v>
      </c>
      <c r="AR62" t="s">
        <v>831</v>
      </c>
      <c r="AS62" t="s">
        <v>832</v>
      </c>
    </row>
    <row r="63" spans="1:45" x14ac:dyDescent="0.45">
      <c r="A63">
        <v>62</v>
      </c>
      <c r="B63">
        <v>62</v>
      </c>
      <c r="C63" t="s">
        <v>72</v>
      </c>
      <c r="D63" t="s">
        <v>81</v>
      </c>
      <c r="E63" t="s">
        <v>74</v>
      </c>
      <c r="F63" t="s">
        <v>75</v>
      </c>
      <c r="G63" t="s">
        <v>76</v>
      </c>
      <c r="H63">
        <v>27.874561334862651</v>
      </c>
      <c r="I63">
        <v>0</v>
      </c>
      <c r="J63">
        <v>7</v>
      </c>
      <c r="K63">
        <v>9</v>
      </c>
      <c r="L63">
        <v>-2</v>
      </c>
      <c r="M63">
        <v>8</v>
      </c>
      <c r="N63">
        <v>9</v>
      </c>
      <c r="O63">
        <v>-1</v>
      </c>
      <c r="P63">
        <v>6</v>
      </c>
      <c r="Q63">
        <v>7</v>
      </c>
      <c r="R63">
        <v>-1</v>
      </c>
      <c r="S63">
        <v>9</v>
      </c>
      <c r="T63">
        <v>6</v>
      </c>
      <c r="U63">
        <v>3</v>
      </c>
      <c r="V63">
        <v>7</v>
      </c>
      <c r="W63">
        <v>7</v>
      </c>
      <c r="X63">
        <v>0</v>
      </c>
      <c r="Y63">
        <v>9</v>
      </c>
      <c r="Z63">
        <v>5</v>
      </c>
      <c r="AA63">
        <v>4</v>
      </c>
      <c r="AB63">
        <v>8</v>
      </c>
      <c r="AC63">
        <v>6</v>
      </c>
      <c r="AD63">
        <v>2</v>
      </c>
      <c r="AE63">
        <v>6</v>
      </c>
      <c r="AF63">
        <v>8</v>
      </c>
      <c r="AG63">
        <v>-2</v>
      </c>
      <c r="AH63">
        <v>8</v>
      </c>
      <c r="AI63">
        <v>5</v>
      </c>
      <c r="AJ63">
        <v>3</v>
      </c>
      <c r="AK63" t="s">
        <v>833</v>
      </c>
      <c r="AL63" t="s">
        <v>834</v>
      </c>
      <c r="AM63" t="s">
        <v>835</v>
      </c>
      <c r="AN63" t="s">
        <v>836</v>
      </c>
      <c r="AO63" t="s">
        <v>837</v>
      </c>
      <c r="AP63" t="s">
        <v>838</v>
      </c>
      <c r="AQ63" t="s">
        <v>839</v>
      </c>
      <c r="AR63" t="s">
        <v>840</v>
      </c>
      <c r="AS63" t="s">
        <v>841</v>
      </c>
    </row>
    <row r="64" spans="1:45" x14ac:dyDescent="0.45">
      <c r="A64">
        <v>63</v>
      </c>
      <c r="B64">
        <v>63</v>
      </c>
      <c r="C64" t="s">
        <v>72</v>
      </c>
      <c r="D64" t="s">
        <v>191</v>
      </c>
      <c r="E64" t="s">
        <v>80</v>
      </c>
      <c r="F64" t="s">
        <v>77</v>
      </c>
      <c r="G64" t="s">
        <v>76</v>
      </c>
      <c r="H64">
        <v>20.240317487582271</v>
      </c>
      <c r="I64">
        <v>1</v>
      </c>
      <c r="J64">
        <v>7</v>
      </c>
      <c r="K64">
        <v>9</v>
      </c>
      <c r="L64">
        <v>-2</v>
      </c>
      <c r="M64">
        <v>8</v>
      </c>
      <c r="N64">
        <v>9</v>
      </c>
      <c r="O64">
        <v>-1</v>
      </c>
      <c r="P64">
        <v>9</v>
      </c>
      <c r="Q64">
        <v>9</v>
      </c>
      <c r="R64">
        <v>0</v>
      </c>
      <c r="S64">
        <v>10</v>
      </c>
      <c r="T64">
        <v>9</v>
      </c>
      <c r="U64">
        <v>1</v>
      </c>
      <c r="V64">
        <v>9</v>
      </c>
      <c r="W64">
        <v>8</v>
      </c>
      <c r="X64">
        <v>1</v>
      </c>
      <c r="Y64">
        <v>8</v>
      </c>
      <c r="Z64">
        <v>9</v>
      </c>
      <c r="AA64">
        <v>-1</v>
      </c>
      <c r="AB64">
        <v>9</v>
      </c>
      <c r="AC64">
        <v>9</v>
      </c>
      <c r="AD64">
        <v>0</v>
      </c>
      <c r="AE64">
        <v>8</v>
      </c>
      <c r="AF64">
        <v>8</v>
      </c>
      <c r="AG64">
        <v>0</v>
      </c>
      <c r="AH64">
        <v>9</v>
      </c>
      <c r="AI64">
        <v>7</v>
      </c>
      <c r="AJ64">
        <v>2</v>
      </c>
      <c r="AK64" t="s">
        <v>842</v>
      </c>
      <c r="AL64" t="s">
        <v>843</v>
      </c>
      <c r="AM64" t="s">
        <v>844</v>
      </c>
      <c r="AN64" t="s">
        <v>845</v>
      </c>
      <c r="AO64" t="s">
        <v>846</v>
      </c>
      <c r="AP64" t="s">
        <v>847</v>
      </c>
      <c r="AQ64" t="s">
        <v>848</v>
      </c>
      <c r="AR64" t="s">
        <v>264</v>
      </c>
      <c r="AS64" t="s">
        <v>849</v>
      </c>
    </row>
    <row r="65" spans="1:45" x14ac:dyDescent="0.45">
      <c r="A65">
        <v>64</v>
      </c>
      <c r="B65">
        <v>64</v>
      </c>
      <c r="C65" t="s">
        <v>72</v>
      </c>
      <c r="D65" t="s">
        <v>73</v>
      </c>
      <c r="E65" t="s">
        <v>74</v>
      </c>
      <c r="F65" t="s">
        <v>77</v>
      </c>
      <c r="G65" t="s">
        <v>162</v>
      </c>
      <c r="H65">
        <v>241.63703100557973</v>
      </c>
      <c r="I65">
        <v>2</v>
      </c>
      <c r="J65">
        <v>9</v>
      </c>
      <c r="K65">
        <v>9</v>
      </c>
      <c r="L65">
        <v>0</v>
      </c>
      <c r="M65">
        <v>8</v>
      </c>
      <c r="N65">
        <v>10</v>
      </c>
      <c r="O65">
        <v>-2</v>
      </c>
      <c r="P65">
        <v>9</v>
      </c>
      <c r="Q65">
        <v>9</v>
      </c>
      <c r="R65">
        <v>0</v>
      </c>
      <c r="S65">
        <v>8</v>
      </c>
      <c r="T65">
        <v>10</v>
      </c>
      <c r="U65">
        <v>-2</v>
      </c>
      <c r="V65">
        <v>9</v>
      </c>
      <c r="W65">
        <v>10</v>
      </c>
      <c r="X65">
        <v>-1</v>
      </c>
      <c r="Y65">
        <v>8</v>
      </c>
      <c r="Z65">
        <v>5</v>
      </c>
      <c r="AA65">
        <v>3</v>
      </c>
      <c r="AB65">
        <v>9</v>
      </c>
      <c r="AC65">
        <v>10</v>
      </c>
      <c r="AD65">
        <v>-1</v>
      </c>
      <c r="AE65">
        <v>8</v>
      </c>
      <c r="AF65">
        <v>7</v>
      </c>
      <c r="AG65">
        <v>1</v>
      </c>
      <c r="AH65">
        <v>9</v>
      </c>
      <c r="AI65">
        <v>9</v>
      </c>
      <c r="AJ65">
        <v>0</v>
      </c>
      <c r="AK65" t="s">
        <v>850</v>
      </c>
      <c r="AL65" t="s">
        <v>851</v>
      </c>
      <c r="AM65" t="s">
        <v>852</v>
      </c>
      <c r="AN65" t="s">
        <v>853</v>
      </c>
      <c r="AO65" t="s">
        <v>854</v>
      </c>
      <c r="AP65" t="s">
        <v>855</v>
      </c>
      <c r="AQ65" t="s">
        <v>856</v>
      </c>
      <c r="AR65" t="s">
        <v>857</v>
      </c>
      <c r="AS65" t="s">
        <v>858</v>
      </c>
    </row>
    <row r="66" spans="1:45" x14ac:dyDescent="0.45">
      <c r="A66">
        <v>65</v>
      </c>
      <c r="B66">
        <v>65</v>
      </c>
      <c r="C66" t="s">
        <v>72</v>
      </c>
      <c r="D66" t="s">
        <v>79</v>
      </c>
      <c r="E66" t="s">
        <v>80</v>
      </c>
      <c r="F66" t="s">
        <v>77</v>
      </c>
      <c r="G66" t="s">
        <v>76</v>
      </c>
      <c r="H66">
        <v>12</v>
      </c>
      <c r="I66">
        <v>2</v>
      </c>
      <c r="J66">
        <v>6</v>
      </c>
      <c r="K66">
        <v>10</v>
      </c>
      <c r="L66">
        <v>-4</v>
      </c>
      <c r="M66">
        <v>7</v>
      </c>
      <c r="N66">
        <v>10</v>
      </c>
      <c r="O66">
        <v>-3</v>
      </c>
      <c r="P66">
        <v>8</v>
      </c>
      <c r="Q66">
        <v>10</v>
      </c>
      <c r="R66">
        <v>-2</v>
      </c>
      <c r="S66">
        <v>9</v>
      </c>
      <c r="T66">
        <v>10</v>
      </c>
      <c r="U66">
        <v>-1</v>
      </c>
      <c r="V66">
        <v>7</v>
      </c>
      <c r="W66">
        <v>10</v>
      </c>
      <c r="X66">
        <v>-3</v>
      </c>
      <c r="Y66">
        <v>8</v>
      </c>
      <c r="Z66">
        <v>10</v>
      </c>
      <c r="AA66">
        <v>-2</v>
      </c>
      <c r="AB66">
        <v>7</v>
      </c>
      <c r="AC66">
        <v>10</v>
      </c>
      <c r="AD66">
        <v>-3</v>
      </c>
      <c r="AE66">
        <v>8</v>
      </c>
      <c r="AF66">
        <v>10</v>
      </c>
      <c r="AG66">
        <v>-2</v>
      </c>
      <c r="AH66">
        <v>9</v>
      </c>
      <c r="AI66">
        <v>10</v>
      </c>
      <c r="AJ66">
        <v>-1</v>
      </c>
      <c r="AK66" t="s">
        <v>859</v>
      </c>
      <c r="AL66" t="s">
        <v>860</v>
      </c>
      <c r="AM66" t="s">
        <v>861</v>
      </c>
      <c r="AN66" t="s">
        <v>862</v>
      </c>
      <c r="AO66" t="s">
        <v>863</v>
      </c>
      <c r="AP66" t="s">
        <v>864</v>
      </c>
      <c r="AQ66" t="s">
        <v>865</v>
      </c>
      <c r="AR66" t="s">
        <v>866</v>
      </c>
      <c r="AS66" t="s">
        <v>867</v>
      </c>
    </row>
    <row r="67" spans="1:45" x14ac:dyDescent="0.45">
      <c r="A67">
        <v>66</v>
      </c>
      <c r="B67">
        <v>66</v>
      </c>
      <c r="C67" t="s">
        <v>72</v>
      </c>
      <c r="D67" t="s">
        <v>81</v>
      </c>
      <c r="E67" t="s">
        <v>74</v>
      </c>
      <c r="F67" t="s">
        <v>190</v>
      </c>
      <c r="G67" t="s">
        <v>76</v>
      </c>
      <c r="H67">
        <v>16.618669389679656</v>
      </c>
      <c r="I67">
        <v>0</v>
      </c>
      <c r="J67">
        <v>6</v>
      </c>
      <c r="K67">
        <v>7</v>
      </c>
      <c r="L67">
        <v>-1</v>
      </c>
      <c r="M67">
        <v>7</v>
      </c>
      <c r="N67">
        <v>5</v>
      </c>
      <c r="O67">
        <v>2</v>
      </c>
      <c r="P67">
        <v>9</v>
      </c>
      <c r="Q67">
        <v>3</v>
      </c>
      <c r="R67">
        <v>6</v>
      </c>
      <c r="S67">
        <v>8</v>
      </c>
      <c r="T67">
        <v>5</v>
      </c>
      <c r="U67">
        <v>3</v>
      </c>
      <c r="V67">
        <v>7</v>
      </c>
      <c r="W67">
        <v>4</v>
      </c>
      <c r="X67">
        <v>3</v>
      </c>
      <c r="Y67">
        <v>9</v>
      </c>
      <c r="Z67">
        <v>3</v>
      </c>
      <c r="AA67">
        <v>6</v>
      </c>
      <c r="AB67">
        <v>7</v>
      </c>
      <c r="AC67">
        <v>5</v>
      </c>
      <c r="AD67">
        <v>2</v>
      </c>
      <c r="AE67">
        <v>8</v>
      </c>
      <c r="AF67">
        <v>6</v>
      </c>
      <c r="AG67">
        <v>2</v>
      </c>
      <c r="AH67">
        <v>9</v>
      </c>
      <c r="AI67">
        <v>6</v>
      </c>
      <c r="AJ67">
        <v>3</v>
      </c>
      <c r="AK67" t="s">
        <v>868</v>
      </c>
      <c r="AL67" t="s">
        <v>869</v>
      </c>
      <c r="AM67" t="s">
        <v>870</v>
      </c>
      <c r="AN67" t="s">
        <v>871</v>
      </c>
      <c r="AO67" t="s">
        <v>872</v>
      </c>
      <c r="AP67" t="s">
        <v>873</v>
      </c>
      <c r="AQ67" t="s">
        <v>874</v>
      </c>
      <c r="AR67" t="s">
        <v>875</v>
      </c>
      <c r="AS67" t="s">
        <v>876</v>
      </c>
    </row>
    <row r="68" spans="1:45" x14ac:dyDescent="0.45">
      <c r="A68">
        <v>67</v>
      </c>
      <c r="B68">
        <v>67</v>
      </c>
      <c r="C68" t="s">
        <v>78</v>
      </c>
      <c r="D68" t="s">
        <v>79</v>
      </c>
      <c r="E68" t="s">
        <v>74</v>
      </c>
      <c r="F68" t="s">
        <v>75</v>
      </c>
      <c r="G68" t="s">
        <v>76</v>
      </c>
      <c r="H68">
        <v>82.844276496969826</v>
      </c>
      <c r="I68">
        <v>2</v>
      </c>
      <c r="J68">
        <v>6</v>
      </c>
      <c r="K68">
        <v>5</v>
      </c>
      <c r="L68">
        <v>1</v>
      </c>
      <c r="M68">
        <v>8</v>
      </c>
      <c r="N68">
        <v>5</v>
      </c>
      <c r="O68">
        <v>3</v>
      </c>
      <c r="P68">
        <v>9</v>
      </c>
      <c r="Q68">
        <v>4</v>
      </c>
      <c r="R68">
        <v>5</v>
      </c>
      <c r="S68">
        <v>9</v>
      </c>
      <c r="T68">
        <v>4</v>
      </c>
      <c r="U68">
        <v>5</v>
      </c>
      <c r="V68">
        <v>7</v>
      </c>
      <c r="W68">
        <v>2</v>
      </c>
      <c r="X68">
        <v>5</v>
      </c>
      <c r="Y68">
        <v>8</v>
      </c>
      <c r="Z68">
        <v>3</v>
      </c>
      <c r="AA68">
        <v>5</v>
      </c>
      <c r="AB68">
        <v>7</v>
      </c>
      <c r="AC68">
        <v>2</v>
      </c>
      <c r="AD68">
        <v>5</v>
      </c>
      <c r="AE68">
        <v>6</v>
      </c>
      <c r="AF68">
        <v>3</v>
      </c>
      <c r="AG68">
        <v>3</v>
      </c>
      <c r="AH68">
        <v>9</v>
      </c>
      <c r="AI68">
        <v>3</v>
      </c>
      <c r="AJ68">
        <v>6</v>
      </c>
      <c r="AK68" t="s">
        <v>877</v>
      </c>
      <c r="AL68" t="s">
        <v>878</v>
      </c>
      <c r="AM68" t="s">
        <v>879</v>
      </c>
      <c r="AN68" t="s">
        <v>880</v>
      </c>
      <c r="AO68" t="s">
        <v>881</v>
      </c>
      <c r="AP68" t="s">
        <v>882</v>
      </c>
      <c r="AQ68" t="s">
        <v>883</v>
      </c>
      <c r="AR68" t="s">
        <v>884</v>
      </c>
      <c r="AS68" t="s">
        <v>885</v>
      </c>
    </row>
    <row r="69" spans="1:45" x14ac:dyDescent="0.45">
      <c r="A69">
        <v>68</v>
      </c>
      <c r="B69">
        <v>68</v>
      </c>
      <c r="C69" t="s">
        <v>72</v>
      </c>
      <c r="D69" t="s">
        <v>79</v>
      </c>
      <c r="E69" t="s">
        <v>74</v>
      </c>
      <c r="F69" t="s">
        <v>77</v>
      </c>
      <c r="G69" t="s">
        <v>76</v>
      </c>
      <c r="H69">
        <v>58.171701221777894</v>
      </c>
      <c r="I69">
        <v>2</v>
      </c>
      <c r="J69">
        <v>9</v>
      </c>
      <c r="K69">
        <v>4</v>
      </c>
      <c r="L69">
        <v>5</v>
      </c>
      <c r="M69">
        <v>8</v>
      </c>
      <c r="N69">
        <v>3</v>
      </c>
      <c r="O69">
        <v>5</v>
      </c>
      <c r="P69">
        <v>9</v>
      </c>
      <c r="Q69">
        <v>1</v>
      </c>
      <c r="R69">
        <v>8</v>
      </c>
      <c r="S69">
        <v>8</v>
      </c>
      <c r="T69">
        <v>5</v>
      </c>
      <c r="U69">
        <v>3</v>
      </c>
      <c r="V69">
        <v>9</v>
      </c>
      <c r="W69">
        <v>4</v>
      </c>
      <c r="X69">
        <v>5</v>
      </c>
      <c r="Y69">
        <v>8</v>
      </c>
      <c r="Z69">
        <v>3</v>
      </c>
      <c r="AA69">
        <v>5</v>
      </c>
      <c r="AB69">
        <v>9</v>
      </c>
      <c r="AC69">
        <v>1</v>
      </c>
      <c r="AD69">
        <v>8</v>
      </c>
      <c r="AE69">
        <v>8</v>
      </c>
      <c r="AF69">
        <v>3</v>
      </c>
      <c r="AG69">
        <v>5</v>
      </c>
      <c r="AH69">
        <v>9</v>
      </c>
      <c r="AI69">
        <v>5</v>
      </c>
      <c r="AJ69">
        <v>4</v>
      </c>
      <c r="AK69" t="s">
        <v>886</v>
      </c>
      <c r="AL69" t="s">
        <v>887</v>
      </c>
      <c r="AM69" t="s">
        <v>888</v>
      </c>
      <c r="AN69" t="s">
        <v>889</v>
      </c>
      <c r="AO69" t="s">
        <v>890</v>
      </c>
      <c r="AP69" t="s">
        <v>891</v>
      </c>
      <c r="AQ69" t="s">
        <v>892</v>
      </c>
      <c r="AR69" t="s">
        <v>893</v>
      </c>
      <c r="AS69" t="s">
        <v>894</v>
      </c>
    </row>
    <row r="70" spans="1:45" x14ac:dyDescent="0.45">
      <c r="A70">
        <v>69</v>
      </c>
      <c r="B70">
        <v>69</v>
      </c>
      <c r="C70" t="s">
        <v>78</v>
      </c>
      <c r="D70" t="s">
        <v>81</v>
      </c>
      <c r="E70" t="s">
        <v>74</v>
      </c>
      <c r="F70" t="s">
        <v>77</v>
      </c>
      <c r="G70" t="s">
        <v>76</v>
      </c>
      <c r="H70">
        <v>20.3214895008627</v>
      </c>
      <c r="I70">
        <v>0</v>
      </c>
      <c r="J70">
        <v>8</v>
      </c>
      <c r="K70">
        <v>7</v>
      </c>
      <c r="L70">
        <v>1</v>
      </c>
      <c r="M70">
        <v>9</v>
      </c>
      <c r="N70">
        <v>7</v>
      </c>
      <c r="O70">
        <v>2</v>
      </c>
      <c r="P70">
        <v>7</v>
      </c>
      <c r="Q70">
        <v>8</v>
      </c>
      <c r="R70">
        <v>-1</v>
      </c>
      <c r="S70">
        <v>9</v>
      </c>
      <c r="T70">
        <v>9</v>
      </c>
      <c r="U70">
        <v>0</v>
      </c>
      <c r="V70">
        <v>8</v>
      </c>
      <c r="W70">
        <v>8</v>
      </c>
      <c r="X70">
        <v>0</v>
      </c>
      <c r="Y70">
        <v>9</v>
      </c>
      <c r="Z70">
        <v>10</v>
      </c>
      <c r="AA70">
        <v>-1</v>
      </c>
      <c r="AB70">
        <v>8</v>
      </c>
      <c r="AC70">
        <v>9</v>
      </c>
      <c r="AD70">
        <v>-1</v>
      </c>
      <c r="AE70">
        <v>9</v>
      </c>
      <c r="AF70">
        <v>9</v>
      </c>
      <c r="AG70">
        <v>0</v>
      </c>
      <c r="AH70">
        <v>8</v>
      </c>
      <c r="AI70">
        <v>9</v>
      </c>
      <c r="AJ70">
        <v>-1</v>
      </c>
      <c r="AK70" t="s">
        <v>895</v>
      </c>
      <c r="AL70" t="s">
        <v>896</v>
      </c>
      <c r="AM70" t="s">
        <v>897</v>
      </c>
      <c r="AN70" t="s">
        <v>221</v>
      </c>
      <c r="AO70" t="s">
        <v>898</v>
      </c>
      <c r="AP70" t="s">
        <v>899</v>
      </c>
      <c r="AQ70" t="s">
        <v>900</v>
      </c>
      <c r="AR70" t="s">
        <v>901</v>
      </c>
      <c r="AS70" t="s">
        <v>902</v>
      </c>
    </row>
    <row r="71" spans="1:45" x14ac:dyDescent="0.45">
      <c r="A71">
        <v>70</v>
      </c>
      <c r="B71">
        <v>70</v>
      </c>
      <c r="C71" t="s">
        <v>78</v>
      </c>
      <c r="D71" t="s">
        <v>79</v>
      </c>
      <c r="E71" t="s">
        <v>74</v>
      </c>
      <c r="F71" t="s">
        <v>75</v>
      </c>
      <c r="G71" t="s">
        <v>162</v>
      </c>
      <c r="H71">
        <v>158.34875709184115</v>
      </c>
      <c r="I71">
        <v>1</v>
      </c>
      <c r="J71">
        <v>7</v>
      </c>
      <c r="K71">
        <v>6</v>
      </c>
      <c r="L71">
        <v>1</v>
      </c>
      <c r="M71">
        <v>8</v>
      </c>
      <c r="N71">
        <v>6</v>
      </c>
      <c r="O71">
        <v>2</v>
      </c>
      <c r="P71">
        <v>6</v>
      </c>
      <c r="Q71">
        <v>5</v>
      </c>
      <c r="R71">
        <v>1</v>
      </c>
      <c r="S71">
        <v>9</v>
      </c>
      <c r="T71">
        <v>5</v>
      </c>
      <c r="U71">
        <v>4</v>
      </c>
      <c r="V71">
        <v>7</v>
      </c>
      <c r="W71">
        <v>5</v>
      </c>
      <c r="X71">
        <v>2</v>
      </c>
      <c r="Y71">
        <v>8</v>
      </c>
      <c r="Z71">
        <v>1</v>
      </c>
      <c r="AA71">
        <v>7</v>
      </c>
      <c r="AB71">
        <v>7</v>
      </c>
      <c r="AC71">
        <v>5</v>
      </c>
      <c r="AD71">
        <v>2</v>
      </c>
      <c r="AE71">
        <v>6</v>
      </c>
      <c r="AF71">
        <v>5</v>
      </c>
      <c r="AG71">
        <v>1</v>
      </c>
      <c r="AH71">
        <v>8</v>
      </c>
      <c r="AI71">
        <v>5</v>
      </c>
      <c r="AJ71">
        <v>3</v>
      </c>
      <c r="AK71" t="s">
        <v>903</v>
      </c>
      <c r="AL71" t="s">
        <v>904</v>
      </c>
      <c r="AM71" t="s">
        <v>905</v>
      </c>
      <c r="AN71" t="s">
        <v>906</v>
      </c>
      <c r="AO71" t="s">
        <v>907</v>
      </c>
      <c r="AP71" t="s">
        <v>908</v>
      </c>
      <c r="AQ71" t="s">
        <v>909</v>
      </c>
      <c r="AR71" t="s">
        <v>910</v>
      </c>
      <c r="AS71" t="s">
        <v>911</v>
      </c>
    </row>
    <row r="72" spans="1:45" x14ac:dyDescent="0.45">
      <c r="A72">
        <v>71</v>
      </c>
      <c r="B72">
        <v>71</v>
      </c>
      <c r="C72" t="s">
        <v>72</v>
      </c>
      <c r="D72" t="s">
        <v>73</v>
      </c>
      <c r="E72" t="s">
        <v>74</v>
      </c>
      <c r="F72" t="s">
        <v>75</v>
      </c>
      <c r="G72" t="s">
        <v>76</v>
      </c>
      <c r="H72">
        <v>25.027309419498422</v>
      </c>
      <c r="I72">
        <v>2</v>
      </c>
      <c r="J72">
        <v>7</v>
      </c>
      <c r="K72">
        <v>3</v>
      </c>
      <c r="L72">
        <v>4</v>
      </c>
      <c r="M72">
        <v>6</v>
      </c>
      <c r="N72">
        <v>3</v>
      </c>
      <c r="O72">
        <v>3</v>
      </c>
      <c r="P72">
        <v>8</v>
      </c>
      <c r="Q72">
        <v>3</v>
      </c>
      <c r="R72">
        <v>5</v>
      </c>
      <c r="S72">
        <v>9</v>
      </c>
      <c r="T72">
        <v>5</v>
      </c>
      <c r="U72">
        <v>4</v>
      </c>
      <c r="V72">
        <v>7</v>
      </c>
      <c r="W72">
        <v>3</v>
      </c>
      <c r="X72">
        <v>4</v>
      </c>
      <c r="Y72">
        <v>9</v>
      </c>
      <c r="Z72">
        <v>3</v>
      </c>
      <c r="AA72">
        <v>6</v>
      </c>
      <c r="AB72">
        <v>8</v>
      </c>
      <c r="AC72">
        <v>3</v>
      </c>
      <c r="AD72">
        <v>5</v>
      </c>
      <c r="AE72">
        <v>7</v>
      </c>
      <c r="AF72">
        <v>3</v>
      </c>
      <c r="AG72">
        <v>4</v>
      </c>
      <c r="AH72">
        <v>9</v>
      </c>
      <c r="AI72">
        <v>4</v>
      </c>
      <c r="AJ72">
        <v>5</v>
      </c>
      <c r="AK72" t="s">
        <v>912</v>
      </c>
      <c r="AL72" t="s">
        <v>913</v>
      </c>
      <c r="AM72" t="s">
        <v>914</v>
      </c>
      <c r="AN72" t="s">
        <v>915</v>
      </c>
      <c r="AO72" t="s">
        <v>916</v>
      </c>
      <c r="AP72" t="s">
        <v>917</v>
      </c>
      <c r="AQ72" t="s">
        <v>918</v>
      </c>
      <c r="AR72" t="s">
        <v>919</v>
      </c>
      <c r="AS72" t="s">
        <v>920</v>
      </c>
    </row>
    <row r="73" spans="1:45" x14ac:dyDescent="0.45">
      <c r="A73">
        <v>72</v>
      </c>
      <c r="B73">
        <v>72</v>
      </c>
      <c r="C73" t="s">
        <v>78</v>
      </c>
      <c r="D73" t="s">
        <v>73</v>
      </c>
      <c r="E73" t="s">
        <v>74</v>
      </c>
      <c r="F73" t="s">
        <v>77</v>
      </c>
      <c r="G73" t="s">
        <v>162</v>
      </c>
      <c r="H73">
        <v>21.351346937895201</v>
      </c>
      <c r="I73">
        <v>3</v>
      </c>
      <c r="J73">
        <v>5</v>
      </c>
      <c r="K73">
        <v>8</v>
      </c>
      <c r="L73">
        <v>-3</v>
      </c>
      <c r="M73">
        <v>7</v>
      </c>
      <c r="N73">
        <v>8</v>
      </c>
      <c r="O73">
        <v>-1</v>
      </c>
      <c r="P73">
        <v>9</v>
      </c>
      <c r="Q73">
        <v>4</v>
      </c>
      <c r="R73">
        <v>5</v>
      </c>
      <c r="S73">
        <v>6</v>
      </c>
      <c r="T73">
        <v>2</v>
      </c>
      <c r="U73">
        <v>4</v>
      </c>
      <c r="V73">
        <v>8</v>
      </c>
      <c r="W73">
        <v>6</v>
      </c>
      <c r="X73">
        <v>2</v>
      </c>
      <c r="Y73">
        <v>9</v>
      </c>
      <c r="Z73">
        <v>3</v>
      </c>
      <c r="AA73">
        <v>6</v>
      </c>
      <c r="AB73">
        <v>7</v>
      </c>
      <c r="AC73">
        <v>8</v>
      </c>
      <c r="AD73">
        <v>-1</v>
      </c>
      <c r="AE73">
        <v>8</v>
      </c>
      <c r="AF73">
        <v>4</v>
      </c>
      <c r="AG73">
        <v>4</v>
      </c>
      <c r="AH73">
        <v>9</v>
      </c>
      <c r="AI73">
        <v>8</v>
      </c>
      <c r="AJ73">
        <v>1</v>
      </c>
      <c r="AK73" t="s">
        <v>921</v>
      </c>
      <c r="AL73" t="s">
        <v>922</v>
      </c>
      <c r="AM73" t="s">
        <v>923</v>
      </c>
      <c r="AN73" t="s">
        <v>924</v>
      </c>
      <c r="AO73" t="s">
        <v>925</v>
      </c>
      <c r="AP73" t="s">
        <v>926</v>
      </c>
      <c r="AQ73" t="s">
        <v>927</v>
      </c>
      <c r="AR73" t="s">
        <v>928</v>
      </c>
      <c r="AS73" t="s">
        <v>929</v>
      </c>
    </row>
    <row r="74" spans="1:45" x14ac:dyDescent="0.45">
      <c r="A74">
        <v>73</v>
      </c>
      <c r="B74">
        <v>73</v>
      </c>
      <c r="C74" t="s">
        <v>78</v>
      </c>
      <c r="D74" t="s">
        <v>189</v>
      </c>
      <c r="E74" t="s">
        <v>74</v>
      </c>
      <c r="F74" t="s">
        <v>192</v>
      </c>
      <c r="G74" t="s">
        <v>76</v>
      </c>
      <c r="H74">
        <v>14.463180946440964</v>
      </c>
      <c r="I74">
        <v>0</v>
      </c>
      <c r="J74">
        <v>7</v>
      </c>
      <c r="K74">
        <v>5</v>
      </c>
      <c r="L74">
        <v>2</v>
      </c>
      <c r="M74">
        <v>6</v>
      </c>
      <c r="N74">
        <v>5</v>
      </c>
      <c r="O74">
        <v>1</v>
      </c>
      <c r="P74">
        <v>9</v>
      </c>
      <c r="Q74">
        <v>5</v>
      </c>
      <c r="R74">
        <v>4</v>
      </c>
      <c r="S74">
        <v>8</v>
      </c>
      <c r="T74">
        <v>5</v>
      </c>
      <c r="U74">
        <v>3</v>
      </c>
      <c r="V74">
        <v>7</v>
      </c>
      <c r="W74">
        <v>5</v>
      </c>
      <c r="X74">
        <v>2</v>
      </c>
      <c r="Y74">
        <v>9</v>
      </c>
      <c r="Z74">
        <v>10</v>
      </c>
      <c r="AA74">
        <v>-1</v>
      </c>
      <c r="AB74">
        <v>7</v>
      </c>
      <c r="AC74">
        <v>5</v>
      </c>
      <c r="AD74">
        <v>2</v>
      </c>
      <c r="AE74">
        <v>6</v>
      </c>
      <c r="AF74">
        <v>5</v>
      </c>
      <c r="AG74">
        <v>1</v>
      </c>
      <c r="AH74">
        <v>9</v>
      </c>
      <c r="AI74">
        <v>10</v>
      </c>
      <c r="AJ74">
        <v>-1</v>
      </c>
      <c r="AK74" t="s">
        <v>930</v>
      </c>
      <c r="AL74" t="s">
        <v>931</v>
      </c>
      <c r="AM74" t="s">
        <v>932</v>
      </c>
      <c r="AN74" t="s">
        <v>933</v>
      </c>
      <c r="AO74" t="s">
        <v>934</v>
      </c>
      <c r="AP74" t="s">
        <v>935</v>
      </c>
      <c r="AQ74" t="s">
        <v>936</v>
      </c>
      <c r="AR74" t="s">
        <v>937</v>
      </c>
      <c r="AS74" t="s">
        <v>938</v>
      </c>
    </row>
    <row r="75" spans="1:45" x14ac:dyDescent="0.45">
      <c r="A75">
        <v>74</v>
      </c>
      <c r="B75">
        <v>74</v>
      </c>
      <c r="C75" t="s">
        <v>72</v>
      </c>
      <c r="D75" t="s">
        <v>73</v>
      </c>
      <c r="E75" t="s">
        <v>74</v>
      </c>
      <c r="F75" t="s">
        <v>77</v>
      </c>
      <c r="G75" t="s">
        <v>162</v>
      </c>
      <c r="H75">
        <v>21.577513073755629</v>
      </c>
      <c r="I75">
        <v>1</v>
      </c>
      <c r="J75">
        <v>7</v>
      </c>
      <c r="K75">
        <v>5</v>
      </c>
      <c r="L75">
        <v>2</v>
      </c>
      <c r="M75">
        <v>8</v>
      </c>
      <c r="N75">
        <v>10</v>
      </c>
      <c r="O75">
        <v>-2</v>
      </c>
      <c r="P75">
        <v>9</v>
      </c>
      <c r="Q75">
        <v>2</v>
      </c>
      <c r="R75">
        <v>7</v>
      </c>
      <c r="S75">
        <v>8</v>
      </c>
      <c r="T75">
        <v>8</v>
      </c>
      <c r="U75">
        <v>0</v>
      </c>
      <c r="V75">
        <v>6</v>
      </c>
      <c r="W75">
        <v>5</v>
      </c>
      <c r="X75">
        <v>1</v>
      </c>
      <c r="Y75">
        <v>8</v>
      </c>
      <c r="Z75">
        <v>5</v>
      </c>
      <c r="AA75">
        <v>3</v>
      </c>
      <c r="AB75">
        <v>7</v>
      </c>
      <c r="AC75">
        <v>1</v>
      </c>
      <c r="AD75">
        <v>6</v>
      </c>
      <c r="AE75">
        <v>6</v>
      </c>
      <c r="AF75">
        <v>4</v>
      </c>
      <c r="AG75">
        <v>2</v>
      </c>
      <c r="AH75">
        <v>7</v>
      </c>
      <c r="AI75">
        <v>5</v>
      </c>
      <c r="AJ75">
        <v>2</v>
      </c>
      <c r="AK75" t="s">
        <v>939</v>
      </c>
      <c r="AL75" t="s">
        <v>940</v>
      </c>
      <c r="AM75" t="s">
        <v>941</v>
      </c>
      <c r="AN75" t="s">
        <v>942</v>
      </c>
      <c r="AO75" t="s">
        <v>943</v>
      </c>
      <c r="AP75" t="s">
        <v>944</v>
      </c>
      <c r="AQ75" t="s">
        <v>945</v>
      </c>
      <c r="AR75" t="s">
        <v>946</v>
      </c>
      <c r="AS75" t="s">
        <v>947</v>
      </c>
    </row>
    <row r="76" spans="1:45" x14ac:dyDescent="0.45">
      <c r="A76">
        <v>75</v>
      </c>
      <c r="B76">
        <v>75</v>
      </c>
      <c r="C76" t="s">
        <v>78</v>
      </c>
      <c r="D76" t="s">
        <v>79</v>
      </c>
      <c r="E76" t="s">
        <v>74</v>
      </c>
      <c r="F76" t="s">
        <v>75</v>
      </c>
      <c r="G76" t="s">
        <v>76</v>
      </c>
      <c r="H76">
        <v>52.479125312050151</v>
      </c>
      <c r="I76">
        <v>2</v>
      </c>
      <c r="J76">
        <v>8</v>
      </c>
      <c r="K76">
        <v>8</v>
      </c>
      <c r="L76">
        <v>0</v>
      </c>
      <c r="M76">
        <v>8</v>
      </c>
      <c r="N76">
        <v>9</v>
      </c>
      <c r="O76">
        <v>-1</v>
      </c>
      <c r="P76">
        <v>7</v>
      </c>
      <c r="Q76">
        <v>9</v>
      </c>
      <c r="R76">
        <v>-2</v>
      </c>
      <c r="S76">
        <v>9</v>
      </c>
      <c r="T76">
        <v>9</v>
      </c>
      <c r="U76">
        <v>0</v>
      </c>
      <c r="V76">
        <v>7</v>
      </c>
      <c r="W76">
        <v>3</v>
      </c>
      <c r="X76">
        <v>4</v>
      </c>
      <c r="Y76">
        <v>8</v>
      </c>
      <c r="Z76">
        <v>3</v>
      </c>
      <c r="AA76">
        <v>5</v>
      </c>
      <c r="AB76">
        <v>7</v>
      </c>
      <c r="AC76">
        <v>2</v>
      </c>
      <c r="AD76">
        <v>5</v>
      </c>
      <c r="AE76">
        <v>6</v>
      </c>
      <c r="AF76">
        <v>2</v>
      </c>
      <c r="AG76">
        <v>4</v>
      </c>
      <c r="AH76">
        <v>8</v>
      </c>
      <c r="AI76">
        <v>6</v>
      </c>
      <c r="AJ76">
        <v>2</v>
      </c>
      <c r="AK76" t="s">
        <v>948</v>
      </c>
      <c r="AL76" t="s">
        <v>949</v>
      </c>
      <c r="AM76" t="s">
        <v>950</v>
      </c>
      <c r="AN76" t="s">
        <v>951</v>
      </c>
      <c r="AO76" t="s">
        <v>952</v>
      </c>
      <c r="AP76" t="s">
        <v>953</v>
      </c>
      <c r="AQ76" t="s">
        <v>954</v>
      </c>
      <c r="AR76" t="s">
        <v>955</v>
      </c>
      <c r="AS76" t="s">
        <v>956</v>
      </c>
    </row>
    <row r="77" spans="1:45" x14ac:dyDescent="0.45">
      <c r="A77">
        <v>76</v>
      </c>
      <c r="B77">
        <v>76</v>
      </c>
      <c r="C77" t="s">
        <v>78</v>
      </c>
      <c r="D77" t="s">
        <v>79</v>
      </c>
      <c r="E77" t="s">
        <v>80</v>
      </c>
      <c r="F77" t="s">
        <v>192</v>
      </c>
      <c r="G77" t="s">
        <v>162</v>
      </c>
      <c r="H77">
        <v>16.031657545787478</v>
      </c>
      <c r="I77">
        <v>3</v>
      </c>
      <c r="J77">
        <v>9</v>
      </c>
      <c r="K77">
        <v>5</v>
      </c>
      <c r="L77">
        <v>4</v>
      </c>
      <c r="M77">
        <v>8</v>
      </c>
      <c r="N77">
        <v>5</v>
      </c>
      <c r="O77">
        <v>3</v>
      </c>
      <c r="P77">
        <v>9</v>
      </c>
      <c r="Q77">
        <v>5</v>
      </c>
      <c r="R77">
        <v>4</v>
      </c>
      <c r="S77">
        <v>8</v>
      </c>
      <c r="T77">
        <v>5</v>
      </c>
      <c r="U77">
        <v>3</v>
      </c>
      <c r="V77">
        <v>9</v>
      </c>
      <c r="W77">
        <v>5</v>
      </c>
      <c r="X77">
        <v>4</v>
      </c>
      <c r="Y77">
        <v>9</v>
      </c>
      <c r="Z77">
        <v>5</v>
      </c>
      <c r="AA77">
        <v>4</v>
      </c>
      <c r="AB77">
        <v>8</v>
      </c>
      <c r="AC77">
        <v>5</v>
      </c>
      <c r="AD77">
        <v>3</v>
      </c>
      <c r="AE77">
        <v>9</v>
      </c>
      <c r="AF77">
        <v>5</v>
      </c>
      <c r="AG77">
        <v>4</v>
      </c>
      <c r="AH77">
        <v>10</v>
      </c>
      <c r="AI77">
        <v>5</v>
      </c>
      <c r="AJ77">
        <v>5</v>
      </c>
      <c r="AK77" t="s">
        <v>957</v>
      </c>
      <c r="AL77" t="s">
        <v>958</v>
      </c>
      <c r="AM77" t="s">
        <v>959</v>
      </c>
      <c r="AN77" t="s">
        <v>960</v>
      </c>
      <c r="AO77" t="s">
        <v>961</v>
      </c>
      <c r="AP77" t="s">
        <v>962</v>
      </c>
      <c r="AQ77" t="s">
        <v>963</v>
      </c>
      <c r="AR77" t="s">
        <v>964</v>
      </c>
      <c r="AS77" t="s">
        <v>965</v>
      </c>
    </row>
    <row r="78" spans="1:45" x14ac:dyDescent="0.45">
      <c r="A78">
        <v>77</v>
      </c>
      <c r="B78">
        <v>77</v>
      </c>
      <c r="C78" t="s">
        <v>72</v>
      </c>
      <c r="D78" t="s">
        <v>191</v>
      </c>
      <c r="E78" t="s">
        <v>74</v>
      </c>
      <c r="F78" t="s">
        <v>77</v>
      </c>
      <c r="G78" t="s">
        <v>76</v>
      </c>
      <c r="H78">
        <v>15.929661542712465</v>
      </c>
      <c r="I78">
        <v>2</v>
      </c>
      <c r="J78">
        <v>9</v>
      </c>
      <c r="K78">
        <v>8</v>
      </c>
      <c r="L78">
        <v>1</v>
      </c>
      <c r="M78">
        <v>7</v>
      </c>
      <c r="N78">
        <v>8</v>
      </c>
      <c r="O78">
        <v>-1</v>
      </c>
      <c r="P78">
        <v>9</v>
      </c>
      <c r="Q78">
        <v>8</v>
      </c>
      <c r="R78">
        <v>1</v>
      </c>
      <c r="S78">
        <v>8</v>
      </c>
      <c r="T78">
        <v>8</v>
      </c>
      <c r="U78">
        <v>0</v>
      </c>
      <c r="V78">
        <v>9</v>
      </c>
      <c r="W78">
        <v>9</v>
      </c>
      <c r="X78">
        <v>0</v>
      </c>
      <c r="Y78">
        <v>8</v>
      </c>
      <c r="Z78">
        <v>7</v>
      </c>
      <c r="AA78">
        <v>1</v>
      </c>
      <c r="AB78">
        <v>9</v>
      </c>
      <c r="AC78">
        <v>9</v>
      </c>
      <c r="AD78">
        <v>0</v>
      </c>
      <c r="AE78">
        <v>7</v>
      </c>
      <c r="AF78">
        <v>10</v>
      </c>
      <c r="AG78">
        <v>-3</v>
      </c>
      <c r="AH78">
        <v>9</v>
      </c>
      <c r="AI78">
        <v>8</v>
      </c>
      <c r="AJ78">
        <v>1</v>
      </c>
      <c r="AK78" t="s">
        <v>966</v>
      </c>
      <c r="AL78" t="s">
        <v>967</v>
      </c>
      <c r="AM78" t="s">
        <v>968</v>
      </c>
      <c r="AN78" t="s">
        <v>969</v>
      </c>
      <c r="AO78" t="s">
        <v>970</v>
      </c>
      <c r="AP78" t="s">
        <v>971</v>
      </c>
      <c r="AQ78" t="s">
        <v>972</v>
      </c>
      <c r="AR78" t="s">
        <v>973</v>
      </c>
      <c r="AS78" t="s">
        <v>974</v>
      </c>
    </row>
    <row r="79" spans="1:45" x14ac:dyDescent="0.45">
      <c r="A79">
        <v>78</v>
      </c>
      <c r="B79">
        <v>78</v>
      </c>
      <c r="C79" t="s">
        <v>72</v>
      </c>
      <c r="D79" t="s">
        <v>73</v>
      </c>
      <c r="E79" t="s">
        <v>74</v>
      </c>
      <c r="F79" t="s">
        <v>75</v>
      </c>
      <c r="G79" t="s">
        <v>76</v>
      </c>
      <c r="H79">
        <v>38.282946317454829</v>
      </c>
      <c r="I79">
        <v>2</v>
      </c>
      <c r="J79">
        <v>7</v>
      </c>
      <c r="K79">
        <v>8</v>
      </c>
      <c r="L79">
        <v>-1</v>
      </c>
      <c r="M79">
        <v>6</v>
      </c>
      <c r="N79">
        <v>7</v>
      </c>
      <c r="O79">
        <v>-1</v>
      </c>
      <c r="P79">
        <v>7</v>
      </c>
      <c r="Q79">
        <v>9</v>
      </c>
      <c r="R79">
        <v>-2</v>
      </c>
      <c r="S79">
        <v>9</v>
      </c>
      <c r="T79">
        <v>8</v>
      </c>
      <c r="U79">
        <v>1</v>
      </c>
      <c r="V79">
        <v>8</v>
      </c>
      <c r="W79">
        <v>8</v>
      </c>
      <c r="X79">
        <v>0</v>
      </c>
      <c r="Y79">
        <v>9</v>
      </c>
      <c r="Z79">
        <v>8</v>
      </c>
      <c r="AA79">
        <v>1</v>
      </c>
      <c r="AB79">
        <v>8</v>
      </c>
      <c r="AC79">
        <v>6</v>
      </c>
      <c r="AD79">
        <v>2</v>
      </c>
      <c r="AE79">
        <v>9</v>
      </c>
      <c r="AF79">
        <v>6</v>
      </c>
      <c r="AG79">
        <v>3</v>
      </c>
      <c r="AH79">
        <v>8</v>
      </c>
      <c r="AI79">
        <v>7</v>
      </c>
      <c r="AJ79">
        <v>1</v>
      </c>
      <c r="AK79" t="s">
        <v>975</v>
      </c>
      <c r="AL79" t="s">
        <v>976</v>
      </c>
      <c r="AM79" t="s">
        <v>977</v>
      </c>
      <c r="AN79" t="s">
        <v>978</v>
      </c>
      <c r="AO79" t="s">
        <v>979</v>
      </c>
      <c r="AP79" t="s">
        <v>980</v>
      </c>
      <c r="AQ79" t="s">
        <v>981</v>
      </c>
      <c r="AR79" t="s">
        <v>982</v>
      </c>
      <c r="AS79" t="s">
        <v>983</v>
      </c>
    </row>
    <row r="80" spans="1:45" x14ac:dyDescent="0.45">
      <c r="A80">
        <v>79</v>
      </c>
      <c r="B80">
        <v>79</v>
      </c>
      <c r="C80" t="s">
        <v>72</v>
      </c>
      <c r="D80" t="s">
        <v>193</v>
      </c>
      <c r="E80" t="s">
        <v>74</v>
      </c>
      <c r="F80" t="s">
        <v>192</v>
      </c>
      <c r="G80" t="s">
        <v>162</v>
      </c>
      <c r="H80">
        <v>16.598011936884276</v>
      </c>
      <c r="I80">
        <v>0</v>
      </c>
      <c r="J80">
        <v>6</v>
      </c>
      <c r="K80">
        <v>6</v>
      </c>
      <c r="L80">
        <v>0</v>
      </c>
      <c r="M80">
        <v>5</v>
      </c>
      <c r="N80">
        <v>2</v>
      </c>
      <c r="O80">
        <v>3</v>
      </c>
      <c r="P80">
        <v>8</v>
      </c>
      <c r="Q80">
        <v>3</v>
      </c>
      <c r="R80">
        <v>5</v>
      </c>
      <c r="S80">
        <v>9</v>
      </c>
      <c r="T80">
        <v>2</v>
      </c>
      <c r="U80">
        <v>7</v>
      </c>
      <c r="V80">
        <v>7</v>
      </c>
      <c r="W80">
        <v>3</v>
      </c>
      <c r="X80">
        <v>4</v>
      </c>
      <c r="Y80">
        <v>8</v>
      </c>
      <c r="Z80">
        <v>7</v>
      </c>
      <c r="AA80">
        <v>1</v>
      </c>
      <c r="AB80">
        <v>7</v>
      </c>
      <c r="AC80">
        <v>5</v>
      </c>
      <c r="AD80">
        <v>2</v>
      </c>
      <c r="AE80">
        <v>6</v>
      </c>
      <c r="AF80">
        <v>5</v>
      </c>
      <c r="AG80">
        <v>1</v>
      </c>
      <c r="AH80">
        <v>9</v>
      </c>
      <c r="AI80">
        <v>7</v>
      </c>
      <c r="AJ80">
        <v>2</v>
      </c>
      <c r="AK80" t="s">
        <v>984</v>
      </c>
      <c r="AL80" t="s">
        <v>985</v>
      </c>
      <c r="AM80" t="s">
        <v>986</v>
      </c>
      <c r="AN80" t="s">
        <v>987</v>
      </c>
      <c r="AO80" t="s">
        <v>988</v>
      </c>
      <c r="AP80" t="s">
        <v>989</v>
      </c>
      <c r="AQ80" t="s">
        <v>990</v>
      </c>
      <c r="AR80" t="s">
        <v>991</v>
      </c>
      <c r="AS80" t="s">
        <v>992</v>
      </c>
    </row>
    <row r="81" spans="1:45" x14ac:dyDescent="0.45">
      <c r="A81">
        <v>80</v>
      </c>
      <c r="B81">
        <v>80</v>
      </c>
      <c r="C81" t="s">
        <v>78</v>
      </c>
      <c r="D81" t="s">
        <v>81</v>
      </c>
      <c r="E81" t="s">
        <v>74</v>
      </c>
      <c r="F81" t="s">
        <v>77</v>
      </c>
      <c r="G81" t="s">
        <v>76</v>
      </c>
      <c r="H81">
        <v>15.682456656717269</v>
      </c>
      <c r="I81">
        <v>0</v>
      </c>
      <c r="J81">
        <v>7</v>
      </c>
      <c r="K81">
        <v>8</v>
      </c>
      <c r="L81">
        <v>-1</v>
      </c>
      <c r="M81">
        <v>6</v>
      </c>
      <c r="N81">
        <v>8</v>
      </c>
      <c r="O81">
        <v>-2</v>
      </c>
      <c r="P81">
        <v>9</v>
      </c>
      <c r="Q81">
        <v>8</v>
      </c>
      <c r="R81">
        <v>1</v>
      </c>
      <c r="S81">
        <v>9</v>
      </c>
      <c r="T81">
        <v>8</v>
      </c>
      <c r="U81">
        <v>1</v>
      </c>
      <c r="V81">
        <v>7</v>
      </c>
      <c r="W81">
        <v>8</v>
      </c>
      <c r="X81">
        <v>-1</v>
      </c>
      <c r="Y81">
        <v>8</v>
      </c>
      <c r="Z81">
        <v>8</v>
      </c>
      <c r="AA81">
        <v>0</v>
      </c>
      <c r="AB81">
        <v>7</v>
      </c>
      <c r="AC81">
        <v>8</v>
      </c>
      <c r="AD81">
        <v>-1</v>
      </c>
      <c r="AE81">
        <v>6</v>
      </c>
      <c r="AF81">
        <v>8</v>
      </c>
      <c r="AG81">
        <v>-2</v>
      </c>
      <c r="AH81">
        <v>8</v>
      </c>
      <c r="AI81">
        <v>8</v>
      </c>
      <c r="AJ81">
        <v>0</v>
      </c>
      <c r="AK81" t="s">
        <v>993</v>
      </c>
      <c r="AL81" t="s">
        <v>994</v>
      </c>
      <c r="AM81" t="s">
        <v>995</v>
      </c>
      <c r="AN81" t="s">
        <v>996</v>
      </c>
      <c r="AO81" t="s">
        <v>997</v>
      </c>
      <c r="AP81" t="s">
        <v>998</v>
      </c>
      <c r="AQ81" t="s">
        <v>999</v>
      </c>
      <c r="AR81" t="s">
        <v>1000</v>
      </c>
      <c r="AS81" t="s">
        <v>1001</v>
      </c>
    </row>
    <row r="82" spans="1:45" x14ac:dyDescent="0.45">
      <c r="A82">
        <v>81</v>
      </c>
      <c r="B82">
        <v>81</v>
      </c>
      <c r="C82" t="s">
        <v>78</v>
      </c>
      <c r="D82" t="s">
        <v>193</v>
      </c>
      <c r="E82" t="s">
        <v>74</v>
      </c>
      <c r="F82" t="s">
        <v>75</v>
      </c>
      <c r="G82" t="s">
        <v>162</v>
      </c>
      <c r="H82">
        <v>12</v>
      </c>
      <c r="I82">
        <v>0</v>
      </c>
      <c r="J82">
        <v>6</v>
      </c>
      <c r="K82">
        <v>7</v>
      </c>
      <c r="L82">
        <v>-1</v>
      </c>
      <c r="M82">
        <v>7</v>
      </c>
      <c r="N82">
        <v>7</v>
      </c>
      <c r="O82">
        <v>0</v>
      </c>
      <c r="P82">
        <v>9</v>
      </c>
      <c r="Q82">
        <v>5</v>
      </c>
      <c r="R82">
        <v>4</v>
      </c>
      <c r="S82">
        <v>8</v>
      </c>
      <c r="T82">
        <v>5</v>
      </c>
      <c r="U82">
        <v>3</v>
      </c>
      <c r="V82">
        <v>9</v>
      </c>
      <c r="W82">
        <v>6</v>
      </c>
      <c r="X82">
        <v>3</v>
      </c>
      <c r="Y82">
        <v>8</v>
      </c>
      <c r="Z82">
        <v>5</v>
      </c>
      <c r="AA82">
        <v>3</v>
      </c>
      <c r="AB82">
        <v>9</v>
      </c>
      <c r="AC82">
        <v>8</v>
      </c>
      <c r="AD82">
        <v>1</v>
      </c>
      <c r="AE82">
        <v>8</v>
      </c>
      <c r="AF82">
        <v>6</v>
      </c>
      <c r="AG82">
        <v>2</v>
      </c>
      <c r="AH82">
        <v>9</v>
      </c>
      <c r="AI82">
        <v>8</v>
      </c>
      <c r="AJ82">
        <v>1</v>
      </c>
      <c r="AK82" t="s">
        <v>1002</v>
      </c>
      <c r="AL82" t="s">
        <v>1003</v>
      </c>
      <c r="AM82" t="s">
        <v>1004</v>
      </c>
      <c r="AN82" t="s">
        <v>1005</v>
      </c>
      <c r="AO82" t="s">
        <v>1006</v>
      </c>
      <c r="AP82" t="s">
        <v>1007</v>
      </c>
      <c r="AQ82" t="s">
        <v>1008</v>
      </c>
      <c r="AR82" t="s">
        <v>1009</v>
      </c>
      <c r="AS82" t="s">
        <v>1010</v>
      </c>
    </row>
    <row r="83" spans="1:45" x14ac:dyDescent="0.45">
      <c r="A83">
        <v>82</v>
      </c>
      <c r="B83">
        <v>82</v>
      </c>
      <c r="C83" t="s">
        <v>72</v>
      </c>
      <c r="D83" t="s">
        <v>193</v>
      </c>
      <c r="E83" t="s">
        <v>74</v>
      </c>
      <c r="F83" t="s">
        <v>77</v>
      </c>
      <c r="G83" t="s">
        <v>162</v>
      </c>
      <c r="H83">
        <v>16.988193761926325</v>
      </c>
      <c r="I83">
        <v>1</v>
      </c>
      <c r="J83">
        <v>5</v>
      </c>
      <c r="K83">
        <v>8</v>
      </c>
      <c r="L83">
        <v>-3</v>
      </c>
      <c r="M83">
        <v>6</v>
      </c>
      <c r="N83">
        <v>9</v>
      </c>
      <c r="O83">
        <v>-3</v>
      </c>
      <c r="P83">
        <v>7</v>
      </c>
      <c r="Q83">
        <v>5</v>
      </c>
      <c r="R83">
        <v>2</v>
      </c>
      <c r="S83">
        <v>9</v>
      </c>
      <c r="T83">
        <v>5</v>
      </c>
      <c r="U83">
        <v>4</v>
      </c>
      <c r="V83">
        <v>6</v>
      </c>
      <c r="W83">
        <v>5</v>
      </c>
      <c r="X83">
        <v>1</v>
      </c>
      <c r="Y83">
        <v>9</v>
      </c>
      <c r="Z83">
        <v>5</v>
      </c>
      <c r="AA83">
        <v>4</v>
      </c>
      <c r="AB83">
        <v>7</v>
      </c>
      <c r="AC83">
        <v>1</v>
      </c>
      <c r="AD83">
        <v>6</v>
      </c>
      <c r="AE83">
        <v>8</v>
      </c>
      <c r="AF83">
        <v>5</v>
      </c>
      <c r="AG83">
        <v>3</v>
      </c>
      <c r="AH83">
        <v>7</v>
      </c>
      <c r="AI83">
        <v>5</v>
      </c>
      <c r="AJ83">
        <v>2</v>
      </c>
      <c r="AK83" t="s">
        <v>1011</v>
      </c>
      <c r="AL83" t="s">
        <v>1012</v>
      </c>
      <c r="AM83" t="s">
        <v>1013</v>
      </c>
      <c r="AN83" t="s">
        <v>1014</v>
      </c>
      <c r="AO83" t="s">
        <v>1015</v>
      </c>
      <c r="AP83" t="s">
        <v>1016</v>
      </c>
      <c r="AQ83" t="s">
        <v>1017</v>
      </c>
      <c r="AR83" t="s">
        <v>1018</v>
      </c>
      <c r="AS83" t="s">
        <v>1019</v>
      </c>
    </row>
    <row r="84" spans="1:45" x14ac:dyDescent="0.45">
      <c r="A84">
        <v>83</v>
      </c>
      <c r="B84">
        <v>83</v>
      </c>
      <c r="C84" t="s">
        <v>72</v>
      </c>
      <c r="D84" t="s">
        <v>79</v>
      </c>
      <c r="E84" t="s">
        <v>74</v>
      </c>
      <c r="F84" t="s">
        <v>75</v>
      </c>
      <c r="G84" t="s">
        <v>76</v>
      </c>
      <c r="H84">
        <v>13.582071599255009</v>
      </c>
      <c r="I84">
        <v>2</v>
      </c>
      <c r="J84">
        <v>7</v>
      </c>
      <c r="K84">
        <v>10</v>
      </c>
      <c r="L84">
        <v>-3</v>
      </c>
      <c r="M84">
        <v>8</v>
      </c>
      <c r="N84">
        <v>8</v>
      </c>
      <c r="O84">
        <v>0</v>
      </c>
      <c r="P84">
        <v>6</v>
      </c>
      <c r="Q84">
        <v>8</v>
      </c>
      <c r="R84">
        <v>-2</v>
      </c>
      <c r="S84">
        <v>9</v>
      </c>
      <c r="T84">
        <v>7</v>
      </c>
      <c r="U84">
        <v>2</v>
      </c>
      <c r="V84">
        <v>8</v>
      </c>
      <c r="W84">
        <v>7</v>
      </c>
      <c r="X84">
        <v>1</v>
      </c>
      <c r="Y84">
        <v>9</v>
      </c>
      <c r="Z84">
        <v>6</v>
      </c>
      <c r="AA84">
        <v>3</v>
      </c>
      <c r="AB84">
        <v>8</v>
      </c>
      <c r="AC84">
        <v>7</v>
      </c>
      <c r="AD84">
        <v>1</v>
      </c>
      <c r="AE84">
        <v>7</v>
      </c>
      <c r="AF84">
        <v>6</v>
      </c>
      <c r="AG84">
        <v>1</v>
      </c>
      <c r="AH84">
        <v>9</v>
      </c>
      <c r="AI84">
        <v>8</v>
      </c>
      <c r="AJ84">
        <v>1</v>
      </c>
      <c r="AK84" t="s">
        <v>1020</v>
      </c>
      <c r="AL84" t="s">
        <v>1021</v>
      </c>
      <c r="AM84" t="s">
        <v>1022</v>
      </c>
      <c r="AN84" t="s">
        <v>1023</v>
      </c>
      <c r="AO84" t="s">
        <v>1024</v>
      </c>
      <c r="AP84" t="s">
        <v>1025</v>
      </c>
      <c r="AQ84" t="s">
        <v>1026</v>
      </c>
      <c r="AR84" t="s">
        <v>1027</v>
      </c>
      <c r="AS84" t="s">
        <v>1028</v>
      </c>
    </row>
    <row r="85" spans="1:45" x14ac:dyDescent="0.45">
      <c r="A85">
        <v>84</v>
      </c>
      <c r="B85">
        <v>84</v>
      </c>
      <c r="C85" t="s">
        <v>72</v>
      </c>
      <c r="D85" t="s">
        <v>73</v>
      </c>
      <c r="E85" t="s">
        <v>74</v>
      </c>
      <c r="F85" t="s">
        <v>190</v>
      </c>
      <c r="G85" t="s">
        <v>76</v>
      </c>
      <c r="H85">
        <v>15.660491194639578</v>
      </c>
      <c r="I85">
        <v>1</v>
      </c>
      <c r="J85">
        <v>8</v>
      </c>
      <c r="K85">
        <v>6</v>
      </c>
      <c r="L85">
        <v>2</v>
      </c>
      <c r="M85">
        <v>7</v>
      </c>
      <c r="N85">
        <v>7</v>
      </c>
      <c r="O85">
        <v>0</v>
      </c>
      <c r="P85">
        <v>9</v>
      </c>
      <c r="Q85">
        <v>5</v>
      </c>
      <c r="R85">
        <v>4</v>
      </c>
      <c r="S85">
        <v>9</v>
      </c>
      <c r="T85">
        <v>5</v>
      </c>
      <c r="U85">
        <v>4</v>
      </c>
      <c r="V85">
        <v>8</v>
      </c>
      <c r="W85">
        <v>5</v>
      </c>
      <c r="X85">
        <v>3</v>
      </c>
      <c r="Y85">
        <v>9</v>
      </c>
      <c r="Z85">
        <v>5</v>
      </c>
      <c r="AA85">
        <v>4</v>
      </c>
      <c r="AB85">
        <v>8</v>
      </c>
      <c r="AC85">
        <v>5</v>
      </c>
      <c r="AD85">
        <v>3</v>
      </c>
      <c r="AE85">
        <v>7</v>
      </c>
      <c r="AF85">
        <v>5</v>
      </c>
      <c r="AG85">
        <v>2</v>
      </c>
      <c r="AH85">
        <v>9</v>
      </c>
      <c r="AI85">
        <v>5</v>
      </c>
      <c r="AJ85">
        <v>4</v>
      </c>
      <c r="AK85" t="s">
        <v>1029</v>
      </c>
      <c r="AL85" t="s">
        <v>1030</v>
      </c>
      <c r="AM85" t="s">
        <v>1031</v>
      </c>
      <c r="AN85" t="s">
        <v>1032</v>
      </c>
      <c r="AO85" t="s">
        <v>1033</v>
      </c>
      <c r="AP85" t="s">
        <v>1034</v>
      </c>
      <c r="AQ85" t="s">
        <v>1035</v>
      </c>
      <c r="AR85" t="s">
        <v>1036</v>
      </c>
      <c r="AS85" t="s">
        <v>1037</v>
      </c>
    </row>
    <row r="86" spans="1:45" x14ac:dyDescent="0.45">
      <c r="A86">
        <v>85</v>
      </c>
      <c r="B86">
        <v>85</v>
      </c>
      <c r="C86" t="s">
        <v>72</v>
      </c>
      <c r="D86" t="s">
        <v>79</v>
      </c>
      <c r="E86" t="s">
        <v>74</v>
      </c>
      <c r="F86" t="s">
        <v>77</v>
      </c>
      <c r="G86" t="s">
        <v>76</v>
      </c>
      <c r="H86">
        <v>12.221614956054998</v>
      </c>
      <c r="I86">
        <v>2</v>
      </c>
      <c r="J86">
        <v>7</v>
      </c>
      <c r="K86">
        <v>9</v>
      </c>
      <c r="L86">
        <v>-2</v>
      </c>
      <c r="M86">
        <v>6</v>
      </c>
      <c r="N86">
        <v>9</v>
      </c>
      <c r="O86">
        <v>-3</v>
      </c>
      <c r="P86">
        <v>9</v>
      </c>
      <c r="Q86">
        <v>8</v>
      </c>
      <c r="R86">
        <v>1</v>
      </c>
      <c r="S86">
        <v>9</v>
      </c>
      <c r="T86">
        <v>9</v>
      </c>
      <c r="U86">
        <v>0</v>
      </c>
      <c r="V86">
        <v>7</v>
      </c>
      <c r="W86">
        <v>9</v>
      </c>
      <c r="X86">
        <v>-2</v>
      </c>
      <c r="Y86">
        <v>8</v>
      </c>
      <c r="Z86">
        <v>9</v>
      </c>
      <c r="AA86">
        <v>-1</v>
      </c>
      <c r="AB86">
        <v>7</v>
      </c>
      <c r="AC86">
        <v>7</v>
      </c>
      <c r="AD86">
        <v>0</v>
      </c>
      <c r="AE86">
        <v>6</v>
      </c>
      <c r="AF86">
        <v>8</v>
      </c>
      <c r="AG86">
        <v>-2</v>
      </c>
      <c r="AH86">
        <v>9</v>
      </c>
      <c r="AI86">
        <v>8</v>
      </c>
      <c r="AJ86">
        <v>1</v>
      </c>
      <c r="AK86" t="s">
        <v>1038</v>
      </c>
      <c r="AL86" t="s">
        <v>1039</v>
      </c>
      <c r="AM86" t="s">
        <v>1040</v>
      </c>
      <c r="AN86" t="s">
        <v>1041</v>
      </c>
      <c r="AO86" t="s">
        <v>1042</v>
      </c>
      <c r="AP86" t="s">
        <v>1043</v>
      </c>
      <c r="AQ86" t="s">
        <v>1044</v>
      </c>
      <c r="AR86" t="s">
        <v>1045</v>
      </c>
      <c r="AS86" t="s">
        <v>1046</v>
      </c>
    </row>
    <row r="87" spans="1:45" x14ac:dyDescent="0.45">
      <c r="A87">
        <v>86</v>
      </c>
      <c r="B87">
        <v>86</v>
      </c>
      <c r="C87" t="s">
        <v>78</v>
      </c>
      <c r="D87" t="s">
        <v>73</v>
      </c>
      <c r="E87" t="s">
        <v>80</v>
      </c>
      <c r="F87" t="s">
        <v>77</v>
      </c>
      <c r="G87" t="s">
        <v>76</v>
      </c>
      <c r="H87">
        <v>15.077311591428918</v>
      </c>
      <c r="I87">
        <v>0</v>
      </c>
      <c r="J87">
        <v>6</v>
      </c>
      <c r="K87">
        <v>5</v>
      </c>
      <c r="L87">
        <v>1</v>
      </c>
      <c r="M87">
        <v>6</v>
      </c>
      <c r="N87">
        <v>5</v>
      </c>
      <c r="O87">
        <v>1</v>
      </c>
      <c r="P87">
        <v>9</v>
      </c>
      <c r="Q87">
        <v>10</v>
      </c>
      <c r="R87">
        <v>-1</v>
      </c>
      <c r="S87">
        <v>9</v>
      </c>
      <c r="T87">
        <v>4</v>
      </c>
      <c r="U87">
        <v>5</v>
      </c>
      <c r="V87">
        <v>8</v>
      </c>
      <c r="W87">
        <v>4</v>
      </c>
      <c r="X87">
        <v>4</v>
      </c>
      <c r="Y87">
        <v>7</v>
      </c>
      <c r="Z87">
        <v>5</v>
      </c>
      <c r="AA87">
        <v>2</v>
      </c>
      <c r="AB87">
        <v>8</v>
      </c>
      <c r="AC87">
        <v>5</v>
      </c>
      <c r="AD87">
        <v>3</v>
      </c>
      <c r="AE87">
        <v>7</v>
      </c>
      <c r="AF87">
        <v>8</v>
      </c>
      <c r="AG87">
        <v>-1</v>
      </c>
      <c r="AH87">
        <v>9</v>
      </c>
      <c r="AI87">
        <v>8</v>
      </c>
      <c r="AJ87">
        <v>1</v>
      </c>
      <c r="AK87" t="s">
        <v>1047</v>
      </c>
      <c r="AL87" t="s">
        <v>1048</v>
      </c>
      <c r="AM87" t="s">
        <v>1049</v>
      </c>
      <c r="AN87" t="s">
        <v>1050</v>
      </c>
      <c r="AO87" t="s">
        <v>1051</v>
      </c>
      <c r="AP87" t="s">
        <v>1052</v>
      </c>
      <c r="AQ87" t="s">
        <v>1053</v>
      </c>
      <c r="AR87" t="s">
        <v>1054</v>
      </c>
      <c r="AS87" t="s">
        <v>1055</v>
      </c>
    </row>
    <row r="88" spans="1:45" x14ac:dyDescent="0.45">
      <c r="A88">
        <v>87</v>
      </c>
      <c r="B88">
        <v>87</v>
      </c>
      <c r="C88" t="s">
        <v>78</v>
      </c>
      <c r="D88" t="s">
        <v>79</v>
      </c>
      <c r="E88" t="s">
        <v>74</v>
      </c>
      <c r="F88" t="s">
        <v>77</v>
      </c>
      <c r="G88" t="s">
        <v>76</v>
      </c>
      <c r="H88">
        <v>14.853782152076599</v>
      </c>
      <c r="I88">
        <v>2</v>
      </c>
      <c r="J88">
        <v>7</v>
      </c>
      <c r="K88">
        <v>10</v>
      </c>
      <c r="L88">
        <v>-3</v>
      </c>
      <c r="M88">
        <v>6</v>
      </c>
      <c r="N88">
        <v>9</v>
      </c>
      <c r="O88">
        <v>-3</v>
      </c>
      <c r="P88">
        <v>8</v>
      </c>
      <c r="Q88">
        <v>9</v>
      </c>
      <c r="R88">
        <v>-1</v>
      </c>
      <c r="S88">
        <v>9</v>
      </c>
      <c r="T88">
        <v>9</v>
      </c>
      <c r="U88">
        <v>0</v>
      </c>
      <c r="V88">
        <v>7</v>
      </c>
      <c r="W88">
        <v>9</v>
      </c>
      <c r="X88">
        <v>-2</v>
      </c>
      <c r="Y88">
        <v>8</v>
      </c>
      <c r="Z88">
        <v>9</v>
      </c>
      <c r="AA88">
        <v>-1</v>
      </c>
      <c r="AB88">
        <v>7</v>
      </c>
      <c r="AC88">
        <v>10</v>
      </c>
      <c r="AD88">
        <v>-3</v>
      </c>
      <c r="AE88">
        <v>8</v>
      </c>
      <c r="AF88">
        <v>9</v>
      </c>
      <c r="AG88">
        <v>-1</v>
      </c>
      <c r="AH88">
        <v>7</v>
      </c>
      <c r="AI88">
        <v>10</v>
      </c>
      <c r="AJ88">
        <v>-3</v>
      </c>
      <c r="AK88" t="s">
        <v>1056</v>
      </c>
      <c r="AL88" t="s">
        <v>1057</v>
      </c>
      <c r="AM88" t="s">
        <v>1058</v>
      </c>
      <c r="AN88" t="s">
        <v>1059</v>
      </c>
      <c r="AO88" t="s">
        <v>1060</v>
      </c>
      <c r="AP88" t="s">
        <v>1061</v>
      </c>
      <c r="AQ88" t="s">
        <v>1062</v>
      </c>
      <c r="AR88" t="s">
        <v>1063</v>
      </c>
      <c r="AS88" t="s">
        <v>1064</v>
      </c>
    </row>
    <row r="89" spans="1:45" x14ac:dyDescent="0.45">
      <c r="A89">
        <v>88</v>
      </c>
      <c r="B89">
        <v>88</v>
      </c>
      <c r="C89" t="s">
        <v>72</v>
      </c>
      <c r="D89" t="s">
        <v>79</v>
      </c>
      <c r="E89" t="s">
        <v>74</v>
      </c>
      <c r="F89" t="s">
        <v>192</v>
      </c>
      <c r="G89" t="s">
        <v>76</v>
      </c>
      <c r="H89">
        <v>12</v>
      </c>
      <c r="I89">
        <v>2</v>
      </c>
      <c r="J89">
        <v>8</v>
      </c>
      <c r="K89">
        <v>10</v>
      </c>
      <c r="L89">
        <v>-2</v>
      </c>
      <c r="M89">
        <v>9</v>
      </c>
      <c r="N89">
        <v>10</v>
      </c>
      <c r="O89">
        <v>-1</v>
      </c>
      <c r="P89">
        <v>8</v>
      </c>
      <c r="Q89">
        <v>10</v>
      </c>
      <c r="R89">
        <v>-2</v>
      </c>
      <c r="S89">
        <v>9</v>
      </c>
      <c r="T89">
        <v>10</v>
      </c>
      <c r="U89">
        <v>-1</v>
      </c>
      <c r="V89">
        <v>8</v>
      </c>
      <c r="W89">
        <v>10</v>
      </c>
      <c r="X89">
        <v>-2</v>
      </c>
      <c r="Y89">
        <v>9</v>
      </c>
      <c r="Z89">
        <v>10</v>
      </c>
      <c r="AA89">
        <v>-1</v>
      </c>
      <c r="AB89">
        <v>8</v>
      </c>
      <c r="AC89">
        <v>10</v>
      </c>
      <c r="AD89">
        <v>-2</v>
      </c>
      <c r="AE89">
        <v>9</v>
      </c>
      <c r="AF89">
        <v>10</v>
      </c>
      <c r="AG89">
        <v>-1</v>
      </c>
      <c r="AH89">
        <v>9</v>
      </c>
      <c r="AI89">
        <v>10</v>
      </c>
      <c r="AJ89">
        <v>-1</v>
      </c>
      <c r="AK89" t="s">
        <v>1065</v>
      </c>
      <c r="AL89" t="s">
        <v>1066</v>
      </c>
      <c r="AM89" t="s">
        <v>1067</v>
      </c>
      <c r="AN89" t="s">
        <v>1068</v>
      </c>
      <c r="AO89" t="s">
        <v>1069</v>
      </c>
      <c r="AP89" t="s">
        <v>1070</v>
      </c>
      <c r="AQ89" t="s">
        <v>1071</v>
      </c>
      <c r="AR89" t="s">
        <v>1072</v>
      </c>
      <c r="AS89" t="s">
        <v>1073</v>
      </c>
    </row>
    <row r="90" spans="1:45" x14ac:dyDescent="0.45">
      <c r="A90">
        <v>89</v>
      </c>
      <c r="B90">
        <v>89</v>
      </c>
      <c r="C90" t="s">
        <v>72</v>
      </c>
      <c r="D90" t="s">
        <v>73</v>
      </c>
      <c r="E90" t="s">
        <v>74</v>
      </c>
      <c r="F90" t="s">
        <v>190</v>
      </c>
      <c r="G90" t="s">
        <v>76</v>
      </c>
      <c r="H90">
        <v>12</v>
      </c>
      <c r="I90">
        <v>1</v>
      </c>
      <c r="J90">
        <v>7</v>
      </c>
      <c r="K90">
        <v>10</v>
      </c>
      <c r="L90">
        <v>-3</v>
      </c>
      <c r="M90">
        <v>6</v>
      </c>
      <c r="N90">
        <v>9</v>
      </c>
      <c r="O90">
        <v>-3</v>
      </c>
      <c r="P90">
        <v>8</v>
      </c>
      <c r="Q90">
        <v>9</v>
      </c>
      <c r="R90">
        <v>-1</v>
      </c>
      <c r="S90">
        <v>9</v>
      </c>
      <c r="T90">
        <v>9</v>
      </c>
      <c r="U90">
        <v>0</v>
      </c>
      <c r="V90">
        <v>8</v>
      </c>
      <c r="W90">
        <v>10</v>
      </c>
      <c r="X90">
        <v>-2</v>
      </c>
      <c r="Y90">
        <v>9</v>
      </c>
      <c r="Z90">
        <v>9</v>
      </c>
      <c r="AA90">
        <v>0</v>
      </c>
      <c r="AB90">
        <v>8</v>
      </c>
      <c r="AC90">
        <v>9</v>
      </c>
      <c r="AD90">
        <v>-1</v>
      </c>
      <c r="AE90">
        <v>7</v>
      </c>
      <c r="AF90">
        <v>8</v>
      </c>
      <c r="AG90">
        <v>-1</v>
      </c>
      <c r="AH90">
        <v>9</v>
      </c>
      <c r="AI90">
        <v>9</v>
      </c>
      <c r="AJ90">
        <v>0</v>
      </c>
      <c r="AK90" t="s">
        <v>1074</v>
      </c>
      <c r="AL90" t="s">
        <v>1075</v>
      </c>
      <c r="AM90" t="s">
        <v>1076</v>
      </c>
      <c r="AN90" t="s">
        <v>1077</v>
      </c>
      <c r="AO90" t="s">
        <v>1078</v>
      </c>
      <c r="AP90" t="s">
        <v>1079</v>
      </c>
      <c r="AQ90" t="s">
        <v>1080</v>
      </c>
      <c r="AR90" t="s">
        <v>1081</v>
      </c>
      <c r="AS90" t="s">
        <v>1082</v>
      </c>
    </row>
    <row r="91" spans="1:45" x14ac:dyDescent="0.45">
      <c r="A91">
        <v>90</v>
      </c>
      <c r="B91">
        <v>90</v>
      </c>
      <c r="C91" t="s">
        <v>72</v>
      </c>
      <c r="D91" t="s">
        <v>73</v>
      </c>
      <c r="E91" t="s">
        <v>80</v>
      </c>
      <c r="F91" t="s">
        <v>77</v>
      </c>
      <c r="G91" t="s">
        <v>76</v>
      </c>
      <c r="H91">
        <v>12</v>
      </c>
      <c r="I91">
        <v>4</v>
      </c>
      <c r="J91">
        <v>7</v>
      </c>
      <c r="K91">
        <v>6</v>
      </c>
      <c r="L91">
        <v>1</v>
      </c>
      <c r="M91">
        <v>8</v>
      </c>
      <c r="N91">
        <v>10</v>
      </c>
      <c r="O91">
        <v>-2</v>
      </c>
      <c r="P91">
        <v>9</v>
      </c>
      <c r="Q91">
        <v>8</v>
      </c>
      <c r="R91">
        <v>1</v>
      </c>
      <c r="S91">
        <v>9</v>
      </c>
      <c r="T91">
        <v>9</v>
      </c>
      <c r="U91">
        <v>0</v>
      </c>
      <c r="V91">
        <v>8</v>
      </c>
      <c r="W91">
        <v>9</v>
      </c>
      <c r="X91">
        <v>-1</v>
      </c>
      <c r="Y91">
        <v>9</v>
      </c>
      <c r="Z91">
        <v>9</v>
      </c>
      <c r="AA91">
        <v>0</v>
      </c>
      <c r="AB91">
        <v>8</v>
      </c>
      <c r="AC91">
        <v>8</v>
      </c>
      <c r="AD91">
        <v>0</v>
      </c>
      <c r="AE91">
        <v>9</v>
      </c>
      <c r="AF91">
        <v>8</v>
      </c>
      <c r="AG91">
        <v>1</v>
      </c>
      <c r="AH91">
        <v>10</v>
      </c>
      <c r="AI91">
        <v>9</v>
      </c>
      <c r="AJ91">
        <v>1</v>
      </c>
      <c r="AK91" t="s">
        <v>1083</v>
      </c>
      <c r="AL91" t="s">
        <v>1084</v>
      </c>
      <c r="AM91" t="s">
        <v>1085</v>
      </c>
      <c r="AN91" t="s">
        <v>1086</v>
      </c>
      <c r="AO91" t="s">
        <v>1087</v>
      </c>
      <c r="AP91" t="s">
        <v>1088</v>
      </c>
      <c r="AQ91" t="s">
        <v>1089</v>
      </c>
      <c r="AR91" t="s">
        <v>1090</v>
      </c>
      <c r="AS91" t="s">
        <v>1091</v>
      </c>
    </row>
    <row r="92" spans="1:45" x14ac:dyDescent="0.45">
      <c r="A92">
        <v>91</v>
      </c>
      <c r="B92">
        <v>91</v>
      </c>
      <c r="C92" t="s">
        <v>72</v>
      </c>
      <c r="D92" t="s">
        <v>73</v>
      </c>
      <c r="E92" t="s">
        <v>74</v>
      </c>
      <c r="F92" t="s">
        <v>77</v>
      </c>
      <c r="G92" t="s">
        <v>76</v>
      </c>
      <c r="H92">
        <v>12</v>
      </c>
      <c r="I92">
        <v>2</v>
      </c>
      <c r="J92">
        <v>4</v>
      </c>
      <c r="K92">
        <v>10</v>
      </c>
      <c r="L92">
        <v>-6</v>
      </c>
      <c r="M92">
        <v>5</v>
      </c>
      <c r="N92">
        <v>9</v>
      </c>
      <c r="O92">
        <v>-4</v>
      </c>
      <c r="P92">
        <v>7</v>
      </c>
      <c r="Q92">
        <v>9</v>
      </c>
      <c r="R92">
        <v>-2</v>
      </c>
      <c r="S92">
        <v>8</v>
      </c>
      <c r="T92">
        <v>9</v>
      </c>
      <c r="U92">
        <v>-1</v>
      </c>
      <c r="V92">
        <v>9</v>
      </c>
      <c r="W92">
        <v>10</v>
      </c>
      <c r="X92">
        <v>-1</v>
      </c>
      <c r="Y92">
        <v>8</v>
      </c>
      <c r="Z92">
        <v>9</v>
      </c>
      <c r="AA92">
        <v>-1</v>
      </c>
      <c r="AB92">
        <v>9</v>
      </c>
      <c r="AC92">
        <v>8</v>
      </c>
      <c r="AD92">
        <v>1</v>
      </c>
      <c r="AE92">
        <v>7</v>
      </c>
      <c r="AF92">
        <v>8</v>
      </c>
      <c r="AG92">
        <v>-1</v>
      </c>
      <c r="AH92">
        <v>9</v>
      </c>
      <c r="AI92">
        <v>10</v>
      </c>
      <c r="AJ92">
        <v>-1</v>
      </c>
      <c r="AK92" t="s">
        <v>1092</v>
      </c>
      <c r="AL92" t="s">
        <v>1093</v>
      </c>
      <c r="AM92" t="s">
        <v>1094</v>
      </c>
      <c r="AN92" t="s">
        <v>1095</v>
      </c>
      <c r="AO92" t="s">
        <v>1096</v>
      </c>
      <c r="AP92" t="s">
        <v>1097</v>
      </c>
      <c r="AQ92" t="s">
        <v>1098</v>
      </c>
      <c r="AR92" t="s">
        <v>1099</v>
      </c>
      <c r="AS92" t="s">
        <v>1100</v>
      </c>
    </row>
    <row r="93" spans="1:45" x14ac:dyDescent="0.45">
      <c r="A93">
        <v>92</v>
      </c>
      <c r="B93">
        <v>92</v>
      </c>
      <c r="C93" t="s">
        <v>78</v>
      </c>
      <c r="D93" t="s">
        <v>73</v>
      </c>
      <c r="E93" t="s">
        <v>74</v>
      </c>
      <c r="F93" t="s">
        <v>77</v>
      </c>
      <c r="G93" t="s">
        <v>76</v>
      </c>
      <c r="H93">
        <v>12</v>
      </c>
      <c r="I93">
        <v>2</v>
      </c>
      <c r="J93">
        <v>6</v>
      </c>
      <c r="K93">
        <v>10</v>
      </c>
      <c r="L93">
        <v>-4</v>
      </c>
      <c r="M93">
        <v>7</v>
      </c>
      <c r="N93">
        <v>10</v>
      </c>
      <c r="O93">
        <v>-3</v>
      </c>
      <c r="P93">
        <v>5</v>
      </c>
      <c r="Q93">
        <v>10</v>
      </c>
      <c r="R93">
        <v>-5</v>
      </c>
      <c r="S93">
        <v>8</v>
      </c>
      <c r="T93">
        <v>10</v>
      </c>
      <c r="U93">
        <v>-2</v>
      </c>
      <c r="V93">
        <v>9</v>
      </c>
      <c r="W93">
        <v>10</v>
      </c>
      <c r="X93">
        <v>-1</v>
      </c>
      <c r="Y93">
        <v>8</v>
      </c>
      <c r="Z93">
        <v>1</v>
      </c>
      <c r="AA93">
        <v>7</v>
      </c>
      <c r="AB93">
        <v>9</v>
      </c>
      <c r="AC93">
        <v>10</v>
      </c>
      <c r="AD93">
        <v>-1</v>
      </c>
      <c r="AE93">
        <v>8</v>
      </c>
      <c r="AF93">
        <v>10</v>
      </c>
      <c r="AG93">
        <v>-2</v>
      </c>
      <c r="AH93">
        <v>9</v>
      </c>
      <c r="AI93">
        <v>10</v>
      </c>
      <c r="AJ93">
        <v>-1</v>
      </c>
      <c r="AK93" t="s">
        <v>1101</v>
      </c>
      <c r="AL93" t="s">
        <v>1102</v>
      </c>
      <c r="AM93" t="s">
        <v>1103</v>
      </c>
      <c r="AN93" t="s">
        <v>1104</v>
      </c>
      <c r="AO93" t="s">
        <v>1105</v>
      </c>
      <c r="AP93" t="s">
        <v>1106</v>
      </c>
      <c r="AQ93" t="s">
        <v>1107</v>
      </c>
      <c r="AR93" t="s">
        <v>262</v>
      </c>
      <c r="AS93" t="s">
        <v>1108</v>
      </c>
    </row>
    <row r="94" spans="1:45" x14ac:dyDescent="0.45">
      <c r="A94">
        <v>93</v>
      </c>
      <c r="B94">
        <v>93</v>
      </c>
      <c r="C94" t="s">
        <v>78</v>
      </c>
      <c r="D94" t="s">
        <v>73</v>
      </c>
      <c r="E94" t="s">
        <v>74</v>
      </c>
      <c r="F94" t="s">
        <v>77</v>
      </c>
      <c r="G94" t="s">
        <v>76</v>
      </c>
      <c r="H94">
        <v>46.782355645283822</v>
      </c>
      <c r="I94">
        <v>2</v>
      </c>
      <c r="J94">
        <v>7</v>
      </c>
      <c r="K94">
        <v>5</v>
      </c>
      <c r="L94">
        <v>2</v>
      </c>
      <c r="M94">
        <v>7</v>
      </c>
      <c r="N94">
        <v>8</v>
      </c>
      <c r="O94">
        <v>-1</v>
      </c>
      <c r="P94">
        <v>8</v>
      </c>
      <c r="Q94">
        <v>4</v>
      </c>
      <c r="R94">
        <v>4</v>
      </c>
      <c r="S94">
        <v>9</v>
      </c>
      <c r="T94">
        <v>9</v>
      </c>
      <c r="U94">
        <v>0</v>
      </c>
      <c r="V94">
        <v>7</v>
      </c>
      <c r="W94">
        <v>7</v>
      </c>
      <c r="X94">
        <v>0</v>
      </c>
      <c r="Y94">
        <v>9</v>
      </c>
      <c r="Z94">
        <v>5</v>
      </c>
      <c r="AA94">
        <v>4</v>
      </c>
      <c r="AB94">
        <v>7</v>
      </c>
      <c r="AC94">
        <v>7</v>
      </c>
      <c r="AD94">
        <v>0</v>
      </c>
      <c r="AE94">
        <v>8</v>
      </c>
      <c r="AF94">
        <v>8</v>
      </c>
      <c r="AG94">
        <v>0</v>
      </c>
      <c r="AH94">
        <v>9</v>
      </c>
      <c r="AI94">
        <v>10</v>
      </c>
      <c r="AJ94">
        <v>-1</v>
      </c>
      <c r="AK94" t="s">
        <v>1109</v>
      </c>
      <c r="AL94" t="s">
        <v>1110</v>
      </c>
      <c r="AM94" t="s">
        <v>1111</v>
      </c>
      <c r="AN94" t="s">
        <v>1112</v>
      </c>
      <c r="AO94" t="s">
        <v>1113</v>
      </c>
      <c r="AP94" t="s">
        <v>1114</v>
      </c>
      <c r="AQ94" t="s">
        <v>1115</v>
      </c>
      <c r="AR94" t="s">
        <v>1116</v>
      </c>
      <c r="AS94" t="s">
        <v>1117</v>
      </c>
    </row>
    <row r="95" spans="1:45" x14ac:dyDescent="0.45">
      <c r="A95">
        <v>94</v>
      </c>
      <c r="B95">
        <v>94</v>
      </c>
      <c r="C95" t="s">
        <v>72</v>
      </c>
      <c r="D95" t="s">
        <v>73</v>
      </c>
      <c r="E95" t="s">
        <v>74</v>
      </c>
      <c r="F95" t="s">
        <v>75</v>
      </c>
      <c r="G95" t="s">
        <v>76</v>
      </c>
      <c r="H95">
        <v>12</v>
      </c>
      <c r="I95">
        <v>0</v>
      </c>
      <c r="J95">
        <v>7</v>
      </c>
      <c r="K95">
        <v>9</v>
      </c>
      <c r="L95">
        <v>-2</v>
      </c>
      <c r="M95">
        <v>8</v>
      </c>
      <c r="N95">
        <v>7</v>
      </c>
      <c r="O95">
        <v>1</v>
      </c>
      <c r="P95">
        <v>9</v>
      </c>
      <c r="Q95">
        <v>5</v>
      </c>
      <c r="R95">
        <v>4</v>
      </c>
      <c r="S95">
        <v>10</v>
      </c>
      <c r="T95">
        <v>7</v>
      </c>
      <c r="U95">
        <v>3</v>
      </c>
      <c r="V95">
        <v>9</v>
      </c>
      <c r="W95">
        <v>5</v>
      </c>
      <c r="X95">
        <v>4</v>
      </c>
      <c r="Y95">
        <v>8</v>
      </c>
      <c r="Z95">
        <v>8</v>
      </c>
      <c r="AA95">
        <v>0</v>
      </c>
      <c r="AB95">
        <v>9</v>
      </c>
      <c r="AC95">
        <v>5</v>
      </c>
      <c r="AD95">
        <v>4</v>
      </c>
      <c r="AE95">
        <v>8</v>
      </c>
      <c r="AF95">
        <v>5</v>
      </c>
      <c r="AG95">
        <v>3</v>
      </c>
      <c r="AH95">
        <v>9</v>
      </c>
      <c r="AI95">
        <v>7</v>
      </c>
      <c r="AJ95">
        <v>2</v>
      </c>
      <c r="AK95" t="s">
        <v>1118</v>
      </c>
      <c r="AL95" t="s">
        <v>1119</v>
      </c>
      <c r="AM95" t="s">
        <v>1120</v>
      </c>
      <c r="AN95" t="s">
        <v>1121</v>
      </c>
      <c r="AO95" t="s">
        <v>1122</v>
      </c>
      <c r="AP95" t="s">
        <v>1123</v>
      </c>
      <c r="AQ95" t="s">
        <v>1124</v>
      </c>
      <c r="AR95" t="s">
        <v>1125</v>
      </c>
      <c r="AS95" t="s">
        <v>1126</v>
      </c>
    </row>
    <row r="96" spans="1:45" x14ac:dyDescent="0.45">
      <c r="A96">
        <v>95</v>
      </c>
      <c r="B96">
        <v>95</v>
      </c>
      <c r="C96" t="s">
        <v>72</v>
      </c>
      <c r="D96" t="s">
        <v>79</v>
      </c>
      <c r="E96" t="s">
        <v>74</v>
      </c>
      <c r="F96" t="s">
        <v>77</v>
      </c>
      <c r="G96" t="s">
        <v>76</v>
      </c>
      <c r="H96">
        <v>40.121847610861892</v>
      </c>
      <c r="I96">
        <v>3</v>
      </c>
      <c r="J96">
        <v>7</v>
      </c>
      <c r="K96">
        <v>4</v>
      </c>
      <c r="L96">
        <v>3</v>
      </c>
      <c r="M96">
        <v>8</v>
      </c>
      <c r="N96">
        <v>6</v>
      </c>
      <c r="O96">
        <v>2</v>
      </c>
      <c r="P96">
        <v>6</v>
      </c>
      <c r="Q96">
        <v>5</v>
      </c>
      <c r="R96">
        <v>1</v>
      </c>
      <c r="S96">
        <v>9</v>
      </c>
      <c r="T96">
        <v>5</v>
      </c>
      <c r="U96">
        <v>4</v>
      </c>
      <c r="V96">
        <v>7</v>
      </c>
      <c r="W96">
        <v>4</v>
      </c>
      <c r="X96">
        <v>3</v>
      </c>
      <c r="Y96">
        <v>9</v>
      </c>
      <c r="Z96">
        <v>4</v>
      </c>
      <c r="AA96">
        <v>5</v>
      </c>
      <c r="AB96">
        <v>7</v>
      </c>
      <c r="AC96">
        <v>3</v>
      </c>
      <c r="AD96">
        <v>4</v>
      </c>
      <c r="AE96">
        <v>6</v>
      </c>
      <c r="AF96">
        <v>4</v>
      </c>
      <c r="AG96">
        <v>2</v>
      </c>
      <c r="AH96">
        <v>8</v>
      </c>
      <c r="AI96">
        <v>3</v>
      </c>
      <c r="AJ96">
        <v>5</v>
      </c>
      <c r="AK96" t="s">
        <v>1127</v>
      </c>
      <c r="AL96" t="s">
        <v>1128</v>
      </c>
      <c r="AM96" t="s">
        <v>1129</v>
      </c>
      <c r="AN96" t="s">
        <v>1130</v>
      </c>
      <c r="AO96" t="s">
        <v>1131</v>
      </c>
      <c r="AP96" t="s">
        <v>1132</v>
      </c>
      <c r="AQ96" t="s">
        <v>1133</v>
      </c>
      <c r="AR96" t="s">
        <v>1134</v>
      </c>
      <c r="AS96" t="s">
        <v>1135</v>
      </c>
    </row>
    <row r="97" spans="1:45" x14ac:dyDescent="0.45">
      <c r="A97">
        <v>96</v>
      </c>
      <c r="B97">
        <v>96</v>
      </c>
      <c r="C97" t="s">
        <v>78</v>
      </c>
      <c r="D97" t="s">
        <v>189</v>
      </c>
      <c r="E97" t="s">
        <v>74</v>
      </c>
      <c r="F97" t="s">
        <v>77</v>
      </c>
      <c r="G97" t="s">
        <v>76</v>
      </c>
      <c r="H97">
        <v>12</v>
      </c>
      <c r="I97">
        <v>0</v>
      </c>
      <c r="J97">
        <v>7</v>
      </c>
      <c r="K97">
        <v>8</v>
      </c>
      <c r="L97">
        <v>-1</v>
      </c>
      <c r="M97">
        <v>8</v>
      </c>
      <c r="N97">
        <v>7</v>
      </c>
      <c r="O97">
        <v>1</v>
      </c>
      <c r="P97">
        <v>9</v>
      </c>
      <c r="Q97">
        <v>5</v>
      </c>
      <c r="R97">
        <v>4</v>
      </c>
      <c r="S97">
        <v>10</v>
      </c>
      <c r="T97">
        <v>7</v>
      </c>
      <c r="U97">
        <v>3</v>
      </c>
      <c r="V97">
        <v>7</v>
      </c>
      <c r="W97">
        <v>7</v>
      </c>
      <c r="X97">
        <v>0</v>
      </c>
      <c r="Y97">
        <v>9</v>
      </c>
      <c r="Z97">
        <v>5</v>
      </c>
      <c r="AA97">
        <v>4</v>
      </c>
      <c r="AB97">
        <v>7</v>
      </c>
      <c r="AC97">
        <v>5</v>
      </c>
      <c r="AD97">
        <v>2</v>
      </c>
      <c r="AE97">
        <v>8</v>
      </c>
      <c r="AF97">
        <v>7</v>
      </c>
      <c r="AG97">
        <v>1</v>
      </c>
      <c r="AH97">
        <v>9</v>
      </c>
      <c r="AI97">
        <v>7</v>
      </c>
      <c r="AJ97">
        <v>2</v>
      </c>
      <c r="AK97" t="s">
        <v>1136</v>
      </c>
      <c r="AL97" t="s">
        <v>1137</v>
      </c>
      <c r="AM97" t="s">
        <v>1138</v>
      </c>
      <c r="AN97" t="s">
        <v>1139</v>
      </c>
      <c r="AO97" t="s">
        <v>1140</v>
      </c>
      <c r="AP97" t="s">
        <v>1141</v>
      </c>
      <c r="AQ97" t="s">
        <v>1142</v>
      </c>
      <c r="AR97" t="s">
        <v>1143</v>
      </c>
      <c r="AS97" t="s">
        <v>1144</v>
      </c>
    </row>
    <row r="98" spans="1:45" x14ac:dyDescent="0.45">
      <c r="A98">
        <v>97</v>
      </c>
      <c r="B98">
        <v>97</v>
      </c>
      <c r="C98" t="s">
        <v>72</v>
      </c>
      <c r="D98" t="s">
        <v>193</v>
      </c>
      <c r="E98" t="s">
        <v>74</v>
      </c>
      <c r="F98" t="s">
        <v>77</v>
      </c>
      <c r="G98" t="s">
        <v>162</v>
      </c>
      <c r="H98">
        <v>201.79246404683141</v>
      </c>
      <c r="I98">
        <v>4</v>
      </c>
      <c r="J98">
        <v>8</v>
      </c>
      <c r="K98">
        <v>6</v>
      </c>
      <c r="L98">
        <v>2</v>
      </c>
      <c r="M98">
        <v>7</v>
      </c>
      <c r="N98">
        <v>6</v>
      </c>
      <c r="O98">
        <v>1</v>
      </c>
      <c r="P98">
        <v>9</v>
      </c>
      <c r="Q98">
        <v>5</v>
      </c>
      <c r="R98">
        <v>4</v>
      </c>
      <c r="S98">
        <v>8</v>
      </c>
      <c r="T98">
        <v>5</v>
      </c>
      <c r="U98">
        <v>3</v>
      </c>
      <c r="V98">
        <v>9</v>
      </c>
      <c r="W98">
        <v>5</v>
      </c>
      <c r="X98">
        <v>4</v>
      </c>
      <c r="Y98">
        <v>8</v>
      </c>
      <c r="Z98">
        <v>5</v>
      </c>
      <c r="AA98">
        <v>3</v>
      </c>
      <c r="AB98">
        <v>9</v>
      </c>
      <c r="AC98">
        <v>5</v>
      </c>
      <c r="AD98">
        <v>4</v>
      </c>
      <c r="AE98">
        <v>8</v>
      </c>
      <c r="AF98">
        <v>5</v>
      </c>
      <c r="AG98">
        <v>3</v>
      </c>
      <c r="AH98">
        <v>9</v>
      </c>
      <c r="AI98">
        <v>5</v>
      </c>
      <c r="AJ98">
        <v>4</v>
      </c>
      <c r="AK98" t="s">
        <v>1145</v>
      </c>
      <c r="AL98" t="s">
        <v>1146</v>
      </c>
      <c r="AM98" t="s">
        <v>1147</v>
      </c>
      <c r="AN98" t="s">
        <v>1148</v>
      </c>
      <c r="AO98" t="s">
        <v>1149</v>
      </c>
      <c r="AP98" t="s">
        <v>1150</v>
      </c>
      <c r="AQ98" t="s">
        <v>1151</v>
      </c>
      <c r="AR98" t="s">
        <v>273</v>
      </c>
      <c r="AS98" t="s">
        <v>1152</v>
      </c>
    </row>
    <row r="99" spans="1:45" x14ac:dyDescent="0.45">
      <c r="A99">
        <v>98</v>
      </c>
      <c r="B99">
        <v>98</v>
      </c>
      <c r="C99" t="s">
        <v>72</v>
      </c>
      <c r="D99" t="s">
        <v>73</v>
      </c>
      <c r="E99" t="s">
        <v>80</v>
      </c>
      <c r="F99" t="s">
        <v>77</v>
      </c>
      <c r="G99" t="s">
        <v>76</v>
      </c>
      <c r="H99">
        <v>21.77462216404718</v>
      </c>
      <c r="I99">
        <v>0</v>
      </c>
      <c r="J99">
        <v>9</v>
      </c>
      <c r="K99">
        <v>8</v>
      </c>
      <c r="L99">
        <v>1</v>
      </c>
      <c r="M99">
        <v>8</v>
      </c>
      <c r="N99">
        <v>8</v>
      </c>
      <c r="O99">
        <v>0</v>
      </c>
      <c r="P99">
        <v>7</v>
      </c>
      <c r="Q99">
        <v>5</v>
      </c>
      <c r="R99">
        <v>2</v>
      </c>
      <c r="S99">
        <v>6</v>
      </c>
      <c r="T99">
        <v>8</v>
      </c>
      <c r="U99">
        <v>-2</v>
      </c>
      <c r="V99">
        <v>9</v>
      </c>
      <c r="W99">
        <v>6</v>
      </c>
      <c r="X99">
        <v>3</v>
      </c>
      <c r="Y99">
        <v>8</v>
      </c>
      <c r="Z99">
        <v>9</v>
      </c>
      <c r="AA99">
        <v>-1</v>
      </c>
      <c r="AB99">
        <v>7</v>
      </c>
      <c r="AC99">
        <v>5</v>
      </c>
      <c r="AD99">
        <v>2</v>
      </c>
      <c r="AE99">
        <v>8</v>
      </c>
      <c r="AF99">
        <v>7</v>
      </c>
      <c r="AG99">
        <v>1</v>
      </c>
      <c r="AH99">
        <v>9</v>
      </c>
      <c r="AI99">
        <v>8</v>
      </c>
      <c r="AJ99">
        <v>1</v>
      </c>
      <c r="AK99" t="s">
        <v>1153</v>
      </c>
      <c r="AL99" t="s">
        <v>1154</v>
      </c>
      <c r="AM99" t="s">
        <v>1155</v>
      </c>
      <c r="AN99" t="s">
        <v>1156</v>
      </c>
      <c r="AO99" t="s">
        <v>1157</v>
      </c>
      <c r="AP99" t="s">
        <v>1158</v>
      </c>
      <c r="AQ99" t="s">
        <v>1159</v>
      </c>
      <c r="AR99" t="s">
        <v>1160</v>
      </c>
      <c r="AS99" t="s">
        <v>1161</v>
      </c>
    </row>
    <row r="100" spans="1:45" x14ac:dyDescent="0.45">
      <c r="A100">
        <v>99</v>
      </c>
      <c r="B100">
        <v>99</v>
      </c>
      <c r="C100" t="s">
        <v>78</v>
      </c>
      <c r="D100" t="s">
        <v>81</v>
      </c>
      <c r="E100" t="s">
        <v>74</v>
      </c>
      <c r="F100" t="s">
        <v>77</v>
      </c>
      <c r="G100" t="s">
        <v>76</v>
      </c>
      <c r="H100">
        <v>27.048245396387156</v>
      </c>
      <c r="I100">
        <v>1</v>
      </c>
      <c r="J100">
        <v>7</v>
      </c>
      <c r="K100">
        <v>6</v>
      </c>
      <c r="L100">
        <v>1</v>
      </c>
      <c r="M100">
        <v>8</v>
      </c>
      <c r="N100">
        <v>6</v>
      </c>
      <c r="O100">
        <v>2</v>
      </c>
      <c r="P100">
        <v>9</v>
      </c>
      <c r="Q100">
        <v>3</v>
      </c>
      <c r="R100">
        <v>6</v>
      </c>
      <c r="S100">
        <v>9</v>
      </c>
      <c r="T100">
        <v>6</v>
      </c>
      <c r="U100">
        <v>3</v>
      </c>
      <c r="V100">
        <v>6</v>
      </c>
      <c r="W100">
        <v>5</v>
      </c>
      <c r="X100">
        <v>1</v>
      </c>
      <c r="Y100">
        <v>9</v>
      </c>
      <c r="Z100">
        <v>6</v>
      </c>
      <c r="AA100">
        <v>3</v>
      </c>
      <c r="AB100">
        <v>5</v>
      </c>
      <c r="AC100">
        <v>5</v>
      </c>
      <c r="AD100">
        <v>0</v>
      </c>
      <c r="AE100">
        <v>7</v>
      </c>
      <c r="AF100">
        <v>6</v>
      </c>
      <c r="AG100">
        <v>1</v>
      </c>
      <c r="AH100">
        <v>9</v>
      </c>
      <c r="AI100">
        <v>6</v>
      </c>
      <c r="AJ100">
        <v>3</v>
      </c>
      <c r="AK100" t="s">
        <v>1162</v>
      </c>
      <c r="AL100" t="s">
        <v>1163</v>
      </c>
      <c r="AM100" t="s">
        <v>1164</v>
      </c>
      <c r="AN100" t="s">
        <v>1165</v>
      </c>
      <c r="AO100" t="s">
        <v>1166</v>
      </c>
      <c r="AP100" t="s">
        <v>1167</v>
      </c>
      <c r="AQ100" t="s">
        <v>1168</v>
      </c>
      <c r="AR100" t="s">
        <v>1169</v>
      </c>
      <c r="AS100" t="s">
        <v>1170</v>
      </c>
    </row>
    <row r="101" spans="1:45" x14ac:dyDescent="0.45">
      <c r="A101">
        <v>100</v>
      </c>
      <c r="B101">
        <v>100</v>
      </c>
      <c r="C101" t="s">
        <v>72</v>
      </c>
      <c r="D101" t="s">
        <v>193</v>
      </c>
      <c r="E101" t="s">
        <v>74</v>
      </c>
      <c r="F101" t="s">
        <v>77</v>
      </c>
      <c r="G101" t="s">
        <v>76</v>
      </c>
      <c r="H101">
        <v>16.174908152510046</v>
      </c>
      <c r="I101">
        <v>1</v>
      </c>
      <c r="J101">
        <v>7</v>
      </c>
      <c r="K101">
        <v>8</v>
      </c>
      <c r="L101">
        <v>-1</v>
      </c>
      <c r="M101">
        <v>6</v>
      </c>
      <c r="N101">
        <v>8</v>
      </c>
      <c r="O101">
        <v>-2</v>
      </c>
      <c r="P101">
        <v>5</v>
      </c>
      <c r="Q101">
        <v>8</v>
      </c>
      <c r="R101">
        <v>-3</v>
      </c>
      <c r="S101">
        <v>8</v>
      </c>
      <c r="T101">
        <v>10</v>
      </c>
      <c r="U101">
        <v>-2</v>
      </c>
      <c r="V101">
        <v>6</v>
      </c>
      <c r="W101">
        <v>10</v>
      </c>
      <c r="X101">
        <v>-4</v>
      </c>
      <c r="Y101">
        <v>9</v>
      </c>
      <c r="Z101">
        <v>10</v>
      </c>
      <c r="AA101">
        <v>-1</v>
      </c>
      <c r="AB101">
        <v>6</v>
      </c>
      <c r="AC101">
        <v>10</v>
      </c>
      <c r="AD101">
        <v>-4</v>
      </c>
      <c r="AE101">
        <v>7</v>
      </c>
      <c r="AF101">
        <v>10</v>
      </c>
      <c r="AG101">
        <v>-3</v>
      </c>
      <c r="AH101">
        <v>8</v>
      </c>
      <c r="AI101">
        <v>10</v>
      </c>
      <c r="AJ101">
        <v>-2</v>
      </c>
      <c r="AK101" t="s">
        <v>1171</v>
      </c>
      <c r="AL101" t="s">
        <v>1172</v>
      </c>
      <c r="AM101" t="s">
        <v>1173</v>
      </c>
      <c r="AN101" t="s">
        <v>1174</v>
      </c>
      <c r="AO101" t="s">
        <v>1175</v>
      </c>
      <c r="AP101" t="s">
        <v>1176</v>
      </c>
      <c r="AQ101" t="s">
        <v>1177</v>
      </c>
      <c r="AR101" t="s">
        <v>1178</v>
      </c>
      <c r="AS101" t="s">
        <v>1179</v>
      </c>
    </row>
    <row r="102" spans="1:45" x14ac:dyDescent="0.45">
      <c r="A102">
        <v>101</v>
      </c>
      <c r="B102">
        <v>101</v>
      </c>
      <c r="C102" t="s">
        <v>72</v>
      </c>
      <c r="D102" t="s">
        <v>191</v>
      </c>
      <c r="E102" t="s">
        <v>74</v>
      </c>
      <c r="F102" t="s">
        <v>75</v>
      </c>
      <c r="G102" t="s">
        <v>76</v>
      </c>
      <c r="H102">
        <v>99.24950767392717</v>
      </c>
      <c r="I102">
        <v>4</v>
      </c>
      <c r="J102">
        <v>8</v>
      </c>
      <c r="K102">
        <v>8</v>
      </c>
      <c r="L102">
        <v>0</v>
      </c>
      <c r="M102">
        <v>9</v>
      </c>
      <c r="N102">
        <v>8</v>
      </c>
      <c r="O102">
        <v>1</v>
      </c>
      <c r="P102">
        <v>9</v>
      </c>
      <c r="Q102">
        <v>7</v>
      </c>
      <c r="R102">
        <v>2</v>
      </c>
      <c r="S102">
        <v>8</v>
      </c>
      <c r="T102">
        <v>8</v>
      </c>
      <c r="U102">
        <v>0</v>
      </c>
      <c r="V102">
        <v>9</v>
      </c>
      <c r="W102">
        <v>8</v>
      </c>
      <c r="X102">
        <v>1</v>
      </c>
      <c r="Y102">
        <v>8</v>
      </c>
      <c r="Z102">
        <v>7</v>
      </c>
      <c r="AA102">
        <v>1</v>
      </c>
      <c r="AB102">
        <v>9</v>
      </c>
      <c r="AC102">
        <v>7</v>
      </c>
      <c r="AD102">
        <v>2</v>
      </c>
      <c r="AE102">
        <v>7</v>
      </c>
      <c r="AF102">
        <v>7</v>
      </c>
      <c r="AG102">
        <v>0</v>
      </c>
      <c r="AH102">
        <v>8</v>
      </c>
      <c r="AI102">
        <v>8</v>
      </c>
      <c r="AJ102">
        <v>0</v>
      </c>
      <c r="AK102" t="s">
        <v>1180</v>
      </c>
      <c r="AL102" t="s">
        <v>1181</v>
      </c>
      <c r="AM102" t="s">
        <v>1182</v>
      </c>
      <c r="AN102" t="s">
        <v>1183</v>
      </c>
      <c r="AO102" t="s">
        <v>1184</v>
      </c>
      <c r="AP102" t="s">
        <v>1185</v>
      </c>
      <c r="AQ102" t="s">
        <v>1186</v>
      </c>
      <c r="AR102" t="s">
        <v>1187</v>
      </c>
      <c r="AS102" t="s">
        <v>1188</v>
      </c>
    </row>
    <row r="103" spans="1:45" x14ac:dyDescent="0.45">
      <c r="A103">
        <v>102</v>
      </c>
      <c r="B103">
        <v>102</v>
      </c>
      <c r="C103" t="s">
        <v>78</v>
      </c>
      <c r="D103" t="s">
        <v>189</v>
      </c>
      <c r="E103" t="s">
        <v>74</v>
      </c>
      <c r="F103" t="s">
        <v>77</v>
      </c>
      <c r="G103" t="s">
        <v>76</v>
      </c>
      <c r="H103">
        <v>12.799955725021519</v>
      </c>
      <c r="I103">
        <v>0</v>
      </c>
      <c r="J103">
        <v>7</v>
      </c>
      <c r="K103">
        <v>5</v>
      </c>
      <c r="L103">
        <v>2</v>
      </c>
      <c r="M103">
        <v>7</v>
      </c>
      <c r="N103">
        <v>5</v>
      </c>
      <c r="O103">
        <v>2</v>
      </c>
      <c r="P103">
        <v>9</v>
      </c>
      <c r="Q103">
        <v>5</v>
      </c>
      <c r="R103">
        <v>4</v>
      </c>
      <c r="S103">
        <v>9</v>
      </c>
      <c r="T103">
        <v>5</v>
      </c>
      <c r="U103">
        <v>4</v>
      </c>
      <c r="V103">
        <v>7</v>
      </c>
      <c r="W103">
        <v>5</v>
      </c>
      <c r="X103">
        <v>2</v>
      </c>
      <c r="Y103">
        <v>8</v>
      </c>
      <c r="Z103">
        <v>5</v>
      </c>
      <c r="AA103">
        <v>3</v>
      </c>
      <c r="AB103">
        <v>6</v>
      </c>
      <c r="AC103">
        <v>5</v>
      </c>
      <c r="AD103">
        <v>1</v>
      </c>
      <c r="AE103">
        <v>7</v>
      </c>
      <c r="AF103">
        <v>5</v>
      </c>
      <c r="AG103">
        <v>2</v>
      </c>
      <c r="AH103">
        <v>8</v>
      </c>
      <c r="AI103">
        <v>5</v>
      </c>
      <c r="AJ103">
        <v>3</v>
      </c>
      <c r="AK103" t="s">
        <v>1189</v>
      </c>
      <c r="AL103" t="s">
        <v>1190</v>
      </c>
      <c r="AM103" t="s">
        <v>1191</v>
      </c>
      <c r="AN103" t="s">
        <v>1192</v>
      </c>
      <c r="AO103" t="s">
        <v>1193</v>
      </c>
      <c r="AP103" t="s">
        <v>1194</v>
      </c>
      <c r="AQ103" t="s">
        <v>1195</v>
      </c>
      <c r="AR103" t="s">
        <v>1196</v>
      </c>
      <c r="AS103" t="s">
        <v>1197</v>
      </c>
    </row>
    <row r="104" spans="1:45" x14ac:dyDescent="0.45">
      <c r="A104">
        <v>103</v>
      </c>
      <c r="B104">
        <v>103</v>
      </c>
      <c r="C104" t="s">
        <v>72</v>
      </c>
      <c r="D104" t="s">
        <v>193</v>
      </c>
      <c r="E104" t="s">
        <v>74</v>
      </c>
      <c r="F104" t="s">
        <v>77</v>
      </c>
      <c r="G104" t="s">
        <v>76</v>
      </c>
      <c r="H104">
        <v>36.690248490844212</v>
      </c>
      <c r="I104">
        <v>2</v>
      </c>
      <c r="J104">
        <v>9</v>
      </c>
      <c r="K104">
        <v>8</v>
      </c>
      <c r="L104">
        <v>1</v>
      </c>
      <c r="M104">
        <v>8</v>
      </c>
      <c r="N104">
        <v>8</v>
      </c>
      <c r="O104">
        <v>0</v>
      </c>
      <c r="P104">
        <v>9</v>
      </c>
      <c r="Q104">
        <v>5</v>
      </c>
      <c r="R104">
        <v>4</v>
      </c>
      <c r="S104">
        <v>10</v>
      </c>
      <c r="T104">
        <v>8</v>
      </c>
      <c r="U104">
        <v>2</v>
      </c>
      <c r="V104">
        <v>9</v>
      </c>
      <c r="W104">
        <v>5</v>
      </c>
      <c r="X104">
        <v>4</v>
      </c>
      <c r="Y104">
        <v>8</v>
      </c>
      <c r="Z104">
        <v>5</v>
      </c>
      <c r="AA104">
        <v>3</v>
      </c>
      <c r="AB104">
        <v>9</v>
      </c>
      <c r="AC104">
        <v>6</v>
      </c>
      <c r="AD104">
        <v>3</v>
      </c>
      <c r="AE104">
        <v>7</v>
      </c>
      <c r="AF104">
        <v>6</v>
      </c>
      <c r="AG104">
        <v>1</v>
      </c>
      <c r="AH104">
        <v>9</v>
      </c>
      <c r="AI104">
        <v>5</v>
      </c>
      <c r="AJ104">
        <v>4</v>
      </c>
      <c r="AK104" t="s">
        <v>1198</v>
      </c>
      <c r="AL104" t="s">
        <v>1199</v>
      </c>
      <c r="AM104" t="s">
        <v>1200</v>
      </c>
      <c r="AN104" t="s">
        <v>1201</v>
      </c>
      <c r="AO104" t="s">
        <v>1202</v>
      </c>
      <c r="AP104" t="s">
        <v>1203</v>
      </c>
      <c r="AQ104" t="s">
        <v>1204</v>
      </c>
      <c r="AR104" t="s">
        <v>1205</v>
      </c>
      <c r="AS104" t="s">
        <v>1206</v>
      </c>
    </row>
    <row r="105" spans="1:45" x14ac:dyDescent="0.45">
      <c r="A105">
        <v>104</v>
      </c>
      <c r="B105">
        <v>104</v>
      </c>
      <c r="C105" t="s">
        <v>78</v>
      </c>
      <c r="D105" t="s">
        <v>73</v>
      </c>
      <c r="E105" t="s">
        <v>74</v>
      </c>
      <c r="F105" t="s">
        <v>77</v>
      </c>
      <c r="G105" t="s">
        <v>76</v>
      </c>
      <c r="H105">
        <v>21.354259249478144</v>
      </c>
      <c r="I105">
        <v>0</v>
      </c>
      <c r="J105">
        <v>8</v>
      </c>
      <c r="K105">
        <v>6</v>
      </c>
      <c r="L105">
        <v>2</v>
      </c>
      <c r="M105">
        <v>9</v>
      </c>
      <c r="N105">
        <v>7</v>
      </c>
      <c r="O105">
        <v>2</v>
      </c>
      <c r="P105">
        <v>8</v>
      </c>
      <c r="Q105">
        <v>6</v>
      </c>
      <c r="R105">
        <v>2</v>
      </c>
      <c r="S105">
        <v>9</v>
      </c>
      <c r="T105">
        <v>8</v>
      </c>
      <c r="U105">
        <v>1</v>
      </c>
      <c r="V105">
        <v>8</v>
      </c>
      <c r="W105">
        <v>6</v>
      </c>
      <c r="X105">
        <v>2</v>
      </c>
      <c r="Y105">
        <v>8</v>
      </c>
      <c r="Z105">
        <v>7</v>
      </c>
      <c r="AA105">
        <v>1</v>
      </c>
      <c r="AB105">
        <v>9</v>
      </c>
      <c r="AC105">
        <v>6</v>
      </c>
      <c r="AD105">
        <v>3</v>
      </c>
      <c r="AE105">
        <v>8</v>
      </c>
      <c r="AF105">
        <v>6</v>
      </c>
      <c r="AG105">
        <v>2</v>
      </c>
      <c r="AH105">
        <v>9</v>
      </c>
      <c r="AI105">
        <v>7</v>
      </c>
      <c r="AJ105">
        <v>2</v>
      </c>
      <c r="AK105" t="s">
        <v>1207</v>
      </c>
      <c r="AL105" t="s">
        <v>1208</v>
      </c>
      <c r="AM105" t="s">
        <v>1209</v>
      </c>
      <c r="AN105" t="s">
        <v>1210</v>
      </c>
      <c r="AO105" t="s">
        <v>1211</v>
      </c>
      <c r="AP105" t="s">
        <v>1212</v>
      </c>
      <c r="AQ105" t="s">
        <v>1213</v>
      </c>
      <c r="AR105" t="s">
        <v>1214</v>
      </c>
      <c r="AS105" t="s">
        <v>1215</v>
      </c>
    </row>
    <row r="106" spans="1:45" x14ac:dyDescent="0.45">
      <c r="A106">
        <v>105</v>
      </c>
      <c r="B106">
        <v>105</v>
      </c>
      <c r="C106" t="s">
        <v>78</v>
      </c>
      <c r="D106" t="s">
        <v>81</v>
      </c>
      <c r="E106" t="s">
        <v>74</v>
      </c>
      <c r="F106" t="s">
        <v>77</v>
      </c>
      <c r="G106" t="s">
        <v>76</v>
      </c>
      <c r="H106">
        <v>15.190976668007723</v>
      </c>
      <c r="I106">
        <v>1</v>
      </c>
      <c r="J106">
        <v>8</v>
      </c>
      <c r="K106">
        <v>9</v>
      </c>
      <c r="L106">
        <v>-1</v>
      </c>
      <c r="M106">
        <v>8</v>
      </c>
      <c r="N106">
        <v>10</v>
      </c>
      <c r="O106">
        <v>-2</v>
      </c>
      <c r="P106">
        <v>7</v>
      </c>
      <c r="Q106">
        <v>8</v>
      </c>
      <c r="R106">
        <v>-1</v>
      </c>
      <c r="S106">
        <v>7</v>
      </c>
      <c r="T106">
        <v>8</v>
      </c>
      <c r="U106">
        <v>-1</v>
      </c>
      <c r="V106">
        <v>6</v>
      </c>
      <c r="W106">
        <v>9</v>
      </c>
      <c r="X106">
        <v>-3</v>
      </c>
      <c r="Y106">
        <v>6</v>
      </c>
      <c r="Z106">
        <v>9</v>
      </c>
      <c r="AA106">
        <v>-3</v>
      </c>
      <c r="AB106">
        <v>6</v>
      </c>
      <c r="AC106">
        <v>8</v>
      </c>
      <c r="AD106">
        <v>-2</v>
      </c>
      <c r="AE106">
        <v>6</v>
      </c>
      <c r="AF106">
        <v>6</v>
      </c>
      <c r="AG106">
        <v>0</v>
      </c>
      <c r="AH106">
        <v>7</v>
      </c>
      <c r="AI106">
        <v>9</v>
      </c>
      <c r="AJ106">
        <v>-2</v>
      </c>
      <c r="AK106" t="s">
        <v>1216</v>
      </c>
      <c r="AL106" t="s">
        <v>1217</v>
      </c>
      <c r="AM106" t="s">
        <v>1218</v>
      </c>
      <c r="AN106" t="s">
        <v>1219</v>
      </c>
      <c r="AO106" t="s">
        <v>1220</v>
      </c>
      <c r="AP106" t="s">
        <v>1221</v>
      </c>
      <c r="AQ106" t="s">
        <v>1222</v>
      </c>
      <c r="AR106" t="s">
        <v>1223</v>
      </c>
      <c r="AS106" t="s">
        <v>1224</v>
      </c>
    </row>
    <row r="107" spans="1:45" x14ac:dyDescent="0.45">
      <c r="A107">
        <v>106</v>
      </c>
      <c r="B107">
        <v>106</v>
      </c>
      <c r="C107" t="s">
        <v>72</v>
      </c>
      <c r="D107" t="s">
        <v>81</v>
      </c>
      <c r="E107" t="s">
        <v>74</v>
      </c>
      <c r="F107" t="s">
        <v>77</v>
      </c>
      <c r="G107" t="s">
        <v>76</v>
      </c>
      <c r="H107">
        <v>12</v>
      </c>
      <c r="I107">
        <v>0</v>
      </c>
      <c r="J107">
        <v>7</v>
      </c>
      <c r="K107">
        <v>10</v>
      </c>
      <c r="L107">
        <v>-3</v>
      </c>
      <c r="M107">
        <v>8</v>
      </c>
      <c r="N107">
        <v>5</v>
      </c>
      <c r="O107">
        <v>3</v>
      </c>
      <c r="P107">
        <v>7</v>
      </c>
      <c r="Q107">
        <v>8</v>
      </c>
      <c r="R107">
        <v>-1</v>
      </c>
      <c r="S107">
        <v>9</v>
      </c>
      <c r="T107">
        <v>8</v>
      </c>
      <c r="U107">
        <v>1</v>
      </c>
      <c r="V107">
        <v>6</v>
      </c>
      <c r="W107">
        <v>10</v>
      </c>
      <c r="X107">
        <v>-4</v>
      </c>
      <c r="Y107">
        <v>8</v>
      </c>
      <c r="Z107">
        <v>10</v>
      </c>
      <c r="AA107">
        <v>-2</v>
      </c>
      <c r="AB107">
        <v>7</v>
      </c>
      <c r="AC107">
        <v>10</v>
      </c>
      <c r="AD107">
        <v>-3</v>
      </c>
      <c r="AE107">
        <v>8</v>
      </c>
      <c r="AF107">
        <v>10</v>
      </c>
      <c r="AG107">
        <v>-2</v>
      </c>
      <c r="AH107">
        <v>9</v>
      </c>
      <c r="AI107">
        <v>10</v>
      </c>
      <c r="AJ107">
        <v>-1</v>
      </c>
      <c r="AK107" t="s">
        <v>1225</v>
      </c>
      <c r="AL107" t="s">
        <v>1226</v>
      </c>
      <c r="AM107" t="s">
        <v>1227</v>
      </c>
      <c r="AN107" t="s">
        <v>1228</v>
      </c>
      <c r="AO107" t="s">
        <v>1229</v>
      </c>
      <c r="AP107" t="s">
        <v>1230</v>
      </c>
      <c r="AQ107" t="s">
        <v>1231</v>
      </c>
      <c r="AR107" t="s">
        <v>1232</v>
      </c>
      <c r="AS107" t="s">
        <v>1233</v>
      </c>
    </row>
    <row r="108" spans="1:45" x14ac:dyDescent="0.45">
      <c r="A108">
        <v>107</v>
      </c>
      <c r="B108">
        <v>107</v>
      </c>
      <c r="C108" t="s">
        <v>72</v>
      </c>
      <c r="D108" t="s">
        <v>79</v>
      </c>
      <c r="E108" t="s">
        <v>74</v>
      </c>
      <c r="F108" t="s">
        <v>77</v>
      </c>
      <c r="G108" t="s">
        <v>76</v>
      </c>
      <c r="H108">
        <v>28.188287355202064</v>
      </c>
      <c r="I108">
        <v>1</v>
      </c>
      <c r="J108">
        <v>7</v>
      </c>
      <c r="K108">
        <v>7</v>
      </c>
      <c r="L108">
        <v>0</v>
      </c>
      <c r="M108">
        <v>8</v>
      </c>
      <c r="N108">
        <v>7</v>
      </c>
      <c r="O108">
        <v>1</v>
      </c>
      <c r="P108">
        <v>9</v>
      </c>
      <c r="Q108">
        <v>7</v>
      </c>
      <c r="R108">
        <v>2</v>
      </c>
      <c r="S108">
        <v>10</v>
      </c>
      <c r="T108">
        <v>7</v>
      </c>
      <c r="U108">
        <v>3</v>
      </c>
      <c r="V108">
        <v>6</v>
      </c>
      <c r="W108">
        <v>7</v>
      </c>
      <c r="X108">
        <v>-1</v>
      </c>
      <c r="Y108">
        <v>9</v>
      </c>
      <c r="Z108">
        <v>7</v>
      </c>
      <c r="AA108">
        <v>2</v>
      </c>
      <c r="AB108">
        <v>8</v>
      </c>
      <c r="AC108">
        <v>7</v>
      </c>
      <c r="AD108">
        <v>1</v>
      </c>
      <c r="AE108">
        <v>7</v>
      </c>
      <c r="AF108">
        <v>7</v>
      </c>
      <c r="AG108">
        <v>0</v>
      </c>
      <c r="AH108">
        <v>9</v>
      </c>
      <c r="AI108">
        <v>8</v>
      </c>
      <c r="AJ108">
        <v>1</v>
      </c>
      <c r="AK108" t="s">
        <v>1234</v>
      </c>
      <c r="AL108" t="s">
        <v>1235</v>
      </c>
      <c r="AM108" t="s">
        <v>1236</v>
      </c>
      <c r="AN108" t="s">
        <v>1237</v>
      </c>
      <c r="AO108" t="s">
        <v>1238</v>
      </c>
      <c r="AP108" t="s">
        <v>1239</v>
      </c>
      <c r="AQ108" t="s">
        <v>1240</v>
      </c>
      <c r="AR108" t="s">
        <v>1241</v>
      </c>
      <c r="AS108" t="s">
        <v>1242</v>
      </c>
    </row>
    <row r="109" spans="1:45" x14ac:dyDescent="0.45">
      <c r="A109">
        <v>108</v>
      </c>
      <c r="B109">
        <v>108</v>
      </c>
      <c r="C109" t="s">
        <v>72</v>
      </c>
      <c r="D109" t="s">
        <v>79</v>
      </c>
      <c r="E109" t="s">
        <v>74</v>
      </c>
      <c r="F109" t="s">
        <v>77</v>
      </c>
      <c r="G109" t="s">
        <v>76</v>
      </c>
      <c r="H109">
        <v>16.279969086642975</v>
      </c>
      <c r="I109">
        <v>1</v>
      </c>
      <c r="J109">
        <v>9</v>
      </c>
      <c r="K109">
        <v>5</v>
      </c>
      <c r="L109">
        <v>4</v>
      </c>
      <c r="M109">
        <v>8</v>
      </c>
      <c r="N109">
        <v>10</v>
      </c>
      <c r="O109">
        <v>-2</v>
      </c>
      <c r="P109">
        <v>9</v>
      </c>
      <c r="Q109">
        <v>5</v>
      </c>
      <c r="R109">
        <v>4</v>
      </c>
      <c r="S109">
        <v>8</v>
      </c>
      <c r="T109">
        <v>5</v>
      </c>
      <c r="U109">
        <v>3</v>
      </c>
      <c r="V109">
        <v>9</v>
      </c>
      <c r="W109">
        <v>5</v>
      </c>
      <c r="X109">
        <v>4</v>
      </c>
      <c r="Y109">
        <v>8</v>
      </c>
      <c r="Z109">
        <v>5</v>
      </c>
      <c r="AA109">
        <v>3</v>
      </c>
      <c r="AB109">
        <v>9</v>
      </c>
      <c r="AC109">
        <v>8</v>
      </c>
      <c r="AD109">
        <v>1</v>
      </c>
      <c r="AE109">
        <v>8</v>
      </c>
      <c r="AF109">
        <v>5</v>
      </c>
      <c r="AG109">
        <v>3</v>
      </c>
      <c r="AH109">
        <v>9</v>
      </c>
      <c r="AI109">
        <v>6</v>
      </c>
      <c r="AJ109">
        <v>3</v>
      </c>
      <c r="AK109" t="s">
        <v>1243</v>
      </c>
      <c r="AL109" t="s">
        <v>1244</v>
      </c>
      <c r="AM109" t="s">
        <v>1245</v>
      </c>
      <c r="AN109" t="s">
        <v>1246</v>
      </c>
      <c r="AO109" t="s">
        <v>1247</v>
      </c>
      <c r="AP109" t="s">
        <v>1248</v>
      </c>
      <c r="AQ109" t="s">
        <v>1249</v>
      </c>
      <c r="AR109" t="s">
        <v>1250</v>
      </c>
      <c r="AS109" t="s">
        <v>1251</v>
      </c>
    </row>
    <row r="110" spans="1:45" x14ac:dyDescent="0.45">
      <c r="A110">
        <v>109</v>
      </c>
      <c r="B110">
        <v>109</v>
      </c>
      <c r="C110" t="s">
        <v>72</v>
      </c>
      <c r="D110" t="s">
        <v>79</v>
      </c>
      <c r="E110" t="s">
        <v>74</v>
      </c>
      <c r="F110" t="s">
        <v>77</v>
      </c>
      <c r="G110" t="s">
        <v>76</v>
      </c>
      <c r="H110">
        <v>14.718711244588896</v>
      </c>
      <c r="I110">
        <v>1</v>
      </c>
      <c r="J110">
        <v>7</v>
      </c>
      <c r="K110">
        <v>10</v>
      </c>
      <c r="L110">
        <v>-3</v>
      </c>
      <c r="M110">
        <v>8</v>
      </c>
      <c r="N110">
        <v>10</v>
      </c>
      <c r="O110">
        <v>-2</v>
      </c>
      <c r="P110">
        <v>9</v>
      </c>
      <c r="Q110">
        <v>10</v>
      </c>
      <c r="R110">
        <v>-1</v>
      </c>
      <c r="S110">
        <v>10</v>
      </c>
      <c r="T110">
        <v>10</v>
      </c>
      <c r="U110">
        <v>0</v>
      </c>
      <c r="V110">
        <v>9</v>
      </c>
      <c r="W110">
        <v>10</v>
      </c>
      <c r="X110">
        <v>-1</v>
      </c>
      <c r="Y110">
        <v>9</v>
      </c>
      <c r="Z110">
        <v>10</v>
      </c>
      <c r="AA110">
        <v>-1</v>
      </c>
      <c r="AB110">
        <v>8</v>
      </c>
      <c r="AC110">
        <v>10</v>
      </c>
      <c r="AD110">
        <v>-2</v>
      </c>
      <c r="AE110">
        <v>9</v>
      </c>
      <c r="AF110">
        <v>10</v>
      </c>
      <c r="AG110">
        <v>-1</v>
      </c>
      <c r="AH110">
        <v>9</v>
      </c>
      <c r="AI110">
        <v>10</v>
      </c>
      <c r="AJ110">
        <v>-1</v>
      </c>
      <c r="AK110" t="s">
        <v>1252</v>
      </c>
      <c r="AL110" t="s">
        <v>1253</v>
      </c>
      <c r="AM110" t="s">
        <v>1254</v>
      </c>
      <c r="AN110" t="s">
        <v>1255</v>
      </c>
      <c r="AO110" t="s">
        <v>1256</v>
      </c>
      <c r="AP110" t="s">
        <v>1257</v>
      </c>
      <c r="AQ110" t="s">
        <v>1258</v>
      </c>
      <c r="AR110" t="s">
        <v>1259</v>
      </c>
      <c r="AS110" t="s">
        <v>1260</v>
      </c>
    </row>
    <row r="111" spans="1:45" x14ac:dyDescent="0.45">
      <c r="A111">
        <v>110</v>
      </c>
      <c r="B111">
        <v>110</v>
      </c>
      <c r="C111" t="s">
        <v>78</v>
      </c>
      <c r="D111" t="s">
        <v>73</v>
      </c>
      <c r="E111" t="s">
        <v>74</v>
      </c>
      <c r="F111" t="s">
        <v>77</v>
      </c>
      <c r="G111" t="s">
        <v>76</v>
      </c>
      <c r="H111">
        <v>67.540349041716297</v>
      </c>
      <c r="I111">
        <v>2</v>
      </c>
      <c r="J111">
        <v>9</v>
      </c>
      <c r="K111">
        <v>7</v>
      </c>
      <c r="L111">
        <v>2</v>
      </c>
      <c r="M111">
        <v>8</v>
      </c>
      <c r="N111">
        <v>6</v>
      </c>
      <c r="O111">
        <v>2</v>
      </c>
      <c r="P111">
        <v>9</v>
      </c>
      <c r="Q111">
        <v>8</v>
      </c>
      <c r="R111">
        <v>1</v>
      </c>
      <c r="S111">
        <v>8</v>
      </c>
      <c r="T111">
        <v>8</v>
      </c>
      <c r="U111">
        <v>0</v>
      </c>
      <c r="V111">
        <v>9</v>
      </c>
      <c r="W111">
        <v>7</v>
      </c>
      <c r="X111">
        <v>2</v>
      </c>
      <c r="Y111">
        <v>8</v>
      </c>
      <c r="Z111">
        <v>6</v>
      </c>
      <c r="AA111">
        <v>2</v>
      </c>
      <c r="AB111">
        <v>9</v>
      </c>
      <c r="AC111">
        <v>5</v>
      </c>
      <c r="AD111">
        <v>4</v>
      </c>
      <c r="AE111">
        <v>8</v>
      </c>
      <c r="AF111">
        <v>5</v>
      </c>
      <c r="AG111">
        <v>3</v>
      </c>
      <c r="AH111">
        <v>9</v>
      </c>
      <c r="AI111">
        <v>8</v>
      </c>
      <c r="AJ111">
        <v>1</v>
      </c>
      <c r="AK111" t="s">
        <v>1261</v>
      </c>
      <c r="AL111" t="s">
        <v>1262</v>
      </c>
      <c r="AM111" t="s">
        <v>1263</v>
      </c>
      <c r="AN111" t="s">
        <v>1264</v>
      </c>
      <c r="AO111" t="s">
        <v>1265</v>
      </c>
      <c r="AP111" t="s">
        <v>1266</v>
      </c>
      <c r="AQ111" t="s">
        <v>1267</v>
      </c>
      <c r="AR111" t="s">
        <v>1268</v>
      </c>
      <c r="AS111" t="s">
        <v>1269</v>
      </c>
    </row>
    <row r="112" spans="1:45" x14ac:dyDescent="0.45">
      <c r="A112">
        <v>111</v>
      </c>
      <c r="B112">
        <v>111</v>
      </c>
      <c r="C112" t="s">
        <v>78</v>
      </c>
      <c r="D112" t="s">
        <v>191</v>
      </c>
      <c r="E112" t="s">
        <v>74</v>
      </c>
      <c r="F112" t="s">
        <v>77</v>
      </c>
      <c r="G112" t="s">
        <v>76</v>
      </c>
      <c r="H112">
        <v>24.229290847618664</v>
      </c>
      <c r="I112">
        <v>1</v>
      </c>
      <c r="J112">
        <v>5</v>
      </c>
      <c r="K112">
        <v>8</v>
      </c>
      <c r="L112">
        <v>-3</v>
      </c>
      <c r="M112">
        <v>6</v>
      </c>
      <c r="N112">
        <v>8</v>
      </c>
      <c r="O112">
        <v>-2</v>
      </c>
      <c r="P112">
        <v>9</v>
      </c>
      <c r="Q112">
        <v>6</v>
      </c>
      <c r="R112">
        <v>3</v>
      </c>
      <c r="S112">
        <v>8</v>
      </c>
      <c r="T112">
        <v>7</v>
      </c>
      <c r="U112">
        <v>1</v>
      </c>
      <c r="V112">
        <v>7</v>
      </c>
      <c r="W112">
        <v>6</v>
      </c>
      <c r="X112">
        <v>1</v>
      </c>
      <c r="Y112">
        <v>8</v>
      </c>
      <c r="Z112">
        <v>7</v>
      </c>
      <c r="AA112">
        <v>1</v>
      </c>
      <c r="AB112">
        <v>6</v>
      </c>
      <c r="AC112">
        <v>5</v>
      </c>
      <c r="AD112">
        <v>1</v>
      </c>
      <c r="AE112">
        <v>8</v>
      </c>
      <c r="AF112">
        <v>5</v>
      </c>
      <c r="AG112">
        <v>3</v>
      </c>
      <c r="AH112">
        <v>9</v>
      </c>
      <c r="AI112">
        <v>5</v>
      </c>
      <c r="AJ112">
        <v>4</v>
      </c>
      <c r="AK112" t="s">
        <v>1270</v>
      </c>
      <c r="AL112" t="s">
        <v>1271</v>
      </c>
      <c r="AM112" t="s">
        <v>1272</v>
      </c>
      <c r="AN112" t="s">
        <v>1273</v>
      </c>
      <c r="AO112" t="s">
        <v>1274</v>
      </c>
      <c r="AP112" t="s">
        <v>1275</v>
      </c>
      <c r="AQ112" t="s">
        <v>1276</v>
      </c>
      <c r="AR112" t="s">
        <v>1277</v>
      </c>
      <c r="AS112" t="s">
        <v>1278</v>
      </c>
    </row>
    <row r="113" spans="1:45" x14ac:dyDescent="0.45">
      <c r="A113">
        <v>112</v>
      </c>
      <c r="B113">
        <v>112</v>
      </c>
      <c r="C113" t="s">
        <v>72</v>
      </c>
      <c r="D113" t="s">
        <v>79</v>
      </c>
      <c r="E113" t="s">
        <v>74</v>
      </c>
      <c r="F113" t="s">
        <v>77</v>
      </c>
      <c r="G113" t="s">
        <v>76</v>
      </c>
      <c r="H113">
        <v>18.465836052030621</v>
      </c>
      <c r="I113">
        <v>2</v>
      </c>
      <c r="J113">
        <v>8</v>
      </c>
      <c r="K113">
        <v>7</v>
      </c>
      <c r="L113">
        <v>1</v>
      </c>
      <c r="M113">
        <v>7</v>
      </c>
      <c r="N113">
        <v>8</v>
      </c>
      <c r="O113">
        <v>-1</v>
      </c>
      <c r="P113">
        <v>9</v>
      </c>
      <c r="Q113">
        <v>8</v>
      </c>
      <c r="R113">
        <v>1</v>
      </c>
      <c r="S113">
        <v>8</v>
      </c>
      <c r="T113">
        <v>8</v>
      </c>
      <c r="U113">
        <v>0</v>
      </c>
      <c r="V113">
        <v>9</v>
      </c>
      <c r="W113">
        <v>8</v>
      </c>
      <c r="X113">
        <v>1</v>
      </c>
      <c r="Y113">
        <v>8</v>
      </c>
      <c r="Z113">
        <v>8</v>
      </c>
      <c r="AA113">
        <v>0</v>
      </c>
      <c r="AB113">
        <v>9</v>
      </c>
      <c r="AC113">
        <v>8</v>
      </c>
      <c r="AD113">
        <v>1</v>
      </c>
      <c r="AE113">
        <v>7</v>
      </c>
      <c r="AF113">
        <v>8</v>
      </c>
      <c r="AG113">
        <v>-1</v>
      </c>
      <c r="AH113">
        <v>9</v>
      </c>
      <c r="AI113">
        <v>8</v>
      </c>
      <c r="AJ113">
        <v>1</v>
      </c>
      <c r="AK113" t="s">
        <v>1279</v>
      </c>
      <c r="AL113" t="s">
        <v>1280</v>
      </c>
      <c r="AM113" t="s">
        <v>1281</v>
      </c>
      <c r="AN113" t="s">
        <v>1282</v>
      </c>
      <c r="AO113" t="s">
        <v>1283</v>
      </c>
      <c r="AP113" t="s">
        <v>1284</v>
      </c>
      <c r="AQ113" t="s">
        <v>1285</v>
      </c>
      <c r="AR113" t="s">
        <v>1286</v>
      </c>
      <c r="AS113" t="s">
        <v>1287</v>
      </c>
    </row>
    <row r="114" spans="1:45" x14ac:dyDescent="0.45">
      <c r="A114">
        <v>113</v>
      </c>
      <c r="B114">
        <v>113</v>
      </c>
      <c r="C114" t="s">
        <v>72</v>
      </c>
      <c r="D114" t="s">
        <v>73</v>
      </c>
      <c r="E114" t="s">
        <v>74</v>
      </c>
      <c r="F114" t="s">
        <v>77</v>
      </c>
      <c r="G114" t="s">
        <v>76</v>
      </c>
      <c r="H114">
        <v>12</v>
      </c>
      <c r="I114">
        <v>3</v>
      </c>
      <c r="J114">
        <v>6</v>
      </c>
      <c r="K114">
        <v>1</v>
      </c>
      <c r="L114">
        <v>5</v>
      </c>
      <c r="M114">
        <v>8</v>
      </c>
      <c r="N114">
        <v>1</v>
      </c>
      <c r="O114">
        <v>7</v>
      </c>
      <c r="P114">
        <v>9</v>
      </c>
      <c r="Q114">
        <v>1</v>
      </c>
      <c r="R114">
        <v>8</v>
      </c>
      <c r="S114">
        <v>10</v>
      </c>
      <c r="T114">
        <v>1</v>
      </c>
      <c r="U114">
        <v>9</v>
      </c>
      <c r="V114">
        <v>8</v>
      </c>
      <c r="W114">
        <v>1</v>
      </c>
      <c r="X114">
        <v>7</v>
      </c>
      <c r="Y114">
        <v>9</v>
      </c>
      <c r="Z114">
        <v>1</v>
      </c>
      <c r="AA114">
        <v>8</v>
      </c>
      <c r="AB114">
        <v>8</v>
      </c>
      <c r="AC114">
        <v>1</v>
      </c>
      <c r="AD114">
        <v>7</v>
      </c>
      <c r="AE114">
        <v>9</v>
      </c>
      <c r="AF114">
        <v>1</v>
      </c>
      <c r="AG114">
        <v>8</v>
      </c>
      <c r="AH114">
        <v>9</v>
      </c>
      <c r="AI114">
        <v>1</v>
      </c>
      <c r="AJ114">
        <v>8</v>
      </c>
      <c r="AK114" t="s">
        <v>1288</v>
      </c>
      <c r="AL114" t="s">
        <v>1289</v>
      </c>
      <c r="AM114" t="s">
        <v>1290</v>
      </c>
      <c r="AN114" t="s">
        <v>1291</v>
      </c>
      <c r="AO114" t="s">
        <v>1292</v>
      </c>
      <c r="AP114" t="s">
        <v>1293</v>
      </c>
      <c r="AQ114" t="s">
        <v>1294</v>
      </c>
      <c r="AR114" t="s">
        <v>262</v>
      </c>
      <c r="AS114" t="s">
        <v>1295</v>
      </c>
    </row>
    <row r="115" spans="1:45" x14ac:dyDescent="0.45">
      <c r="A115">
        <v>114</v>
      </c>
      <c r="B115">
        <v>114</v>
      </c>
      <c r="C115" t="s">
        <v>72</v>
      </c>
      <c r="D115" t="s">
        <v>79</v>
      </c>
      <c r="E115" t="s">
        <v>74</v>
      </c>
      <c r="F115" t="s">
        <v>77</v>
      </c>
      <c r="G115" t="s">
        <v>76</v>
      </c>
      <c r="H115">
        <v>20.911553098038741</v>
      </c>
      <c r="I115">
        <v>4</v>
      </c>
      <c r="J115">
        <v>8</v>
      </c>
      <c r="K115">
        <v>10</v>
      </c>
      <c r="L115">
        <v>-2</v>
      </c>
      <c r="M115">
        <v>9</v>
      </c>
      <c r="N115">
        <v>10</v>
      </c>
      <c r="O115">
        <v>-1</v>
      </c>
      <c r="P115">
        <v>6</v>
      </c>
      <c r="Q115">
        <v>10</v>
      </c>
      <c r="R115">
        <v>-4</v>
      </c>
      <c r="S115">
        <v>8</v>
      </c>
      <c r="T115">
        <v>10</v>
      </c>
      <c r="U115">
        <v>-2</v>
      </c>
      <c r="V115">
        <v>7</v>
      </c>
      <c r="W115">
        <v>10</v>
      </c>
      <c r="X115">
        <v>-3</v>
      </c>
      <c r="Y115">
        <v>8</v>
      </c>
      <c r="Z115">
        <v>10</v>
      </c>
      <c r="AA115">
        <v>-2</v>
      </c>
      <c r="AB115">
        <v>7</v>
      </c>
      <c r="AC115">
        <v>10</v>
      </c>
      <c r="AD115">
        <v>-3</v>
      </c>
      <c r="AE115">
        <v>6</v>
      </c>
      <c r="AF115">
        <v>10</v>
      </c>
      <c r="AG115">
        <v>-4</v>
      </c>
      <c r="AH115">
        <v>9</v>
      </c>
      <c r="AI115">
        <v>10</v>
      </c>
      <c r="AJ115">
        <v>-1</v>
      </c>
      <c r="AK115" t="s">
        <v>1296</v>
      </c>
      <c r="AL115" t="s">
        <v>1297</v>
      </c>
      <c r="AM115" t="s">
        <v>1298</v>
      </c>
      <c r="AN115" t="s">
        <v>1299</v>
      </c>
      <c r="AO115" t="s">
        <v>1300</v>
      </c>
      <c r="AP115" t="s">
        <v>1301</v>
      </c>
      <c r="AQ115" t="s">
        <v>1302</v>
      </c>
      <c r="AR115" t="s">
        <v>1303</v>
      </c>
      <c r="AS115" t="s">
        <v>1304</v>
      </c>
    </row>
    <row r="116" spans="1:45" x14ac:dyDescent="0.45">
      <c r="A116">
        <v>115</v>
      </c>
      <c r="B116">
        <v>115</v>
      </c>
      <c r="C116" t="s">
        <v>72</v>
      </c>
      <c r="D116" t="s">
        <v>79</v>
      </c>
      <c r="E116" t="s">
        <v>74</v>
      </c>
      <c r="F116" t="s">
        <v>75</v>
      </c>
      <c r="G116" t="s">
        <v>76</v>
      </c>
      <c r="H116">
        <v>15.511690120943902</v>
      </c>
      <c r="I116">
        <v>4</v>
      </c>
      <c r="J116">
        <v>5</v>
      </c>
      <c r="K116">
        <v>1</v>
      </c>
      <c r="L116">
        <v>4</v>
      </c>
      <c r="M116">
        <v>6</v>
      </c>
      <c r="N116">
        <v>1</v>
      </c>
      <c r="O116">
        <v>5</v>
      </c>
      <c r="P116">
        <v>8</v>
      </c>
      <c r="Q116">
        <v>1</v>
      </c>
      <c r="R116">
        <v>7</v>
      </c>
      <c r="S116">
        <v>7</v>
      </c>
      <c r="T116">
        <v>1</v>
      </c>
      <c r="U116">
        <v>6</v>
      </c>
      <c r="V116">
        <v>8</v>
      </c>
      <c r="W116">
        <v>1</v>
      </c>
      <c r="X116">
        <v>7</v>
      </c>
      <c r="Y116">
        <v>9</v>
      </c>
      <c r="Z116">
        <v>1</v>
      </c>
      <c r="AA116">
        <v>8</v>
      </c>
      <c r="AB116">
        <v>8</v>
      </c>
      <c r="AC116">
        <v>1</v>
      </c>
      <c r="AD116">
        <v>7</v>
      </c>
      <c r="AE116">
        <v>9</v>
      </c>
      <c r="AF116">
        <v>1</v>
      </c>
      <c r="AG116">
        <v>8</v>
      </c>
      <c r="AH116">
        <v>9</v>
      </c>
      <c r="AI116">
        <v>1</v>
      </c>
      <c r="AJ116">
        <v>8</v>
      </c>
      <c r="AK116" t="s">
        <v>1305</v>
      </c>
      <c r="AL116" t="s">
        <v>1306</v>
      </c>
      <c r="AM116" t="s">
        <v>1307</v>
      </c>
      <c r="AN116" t="s">
        <v>1308</v>
      </c>
      <c r="AO116" t="s">
        <v>1309</v>
      </c>
      <c r="AP116" t="s">
        <v>1310</v>
      </c>
      <c r="AQ116" t="s">
        <v>1311</v>
      </c>
      <c r="AR116" t="s">
        <v>1312</v>
      </c>
      <c r="AS116" t="s">
        <v>1313</v>
      </c>
    </row>
    <row r="117" spans="1:45" x14ac:dyDescent="0.45">
      <c r="A117">
        <v>116</v>
      </c>
      <c r="B117">
        <v>116</v>
      </c>
      <c r="C117" t="s">
        <v>72</v>
      </c>
      <c r="D117" t="s">
        <v>79</v>
      </c>
      <c r="E117" t="s">
        <v>74</v>
      </c>
      <c r="F117" t="s">
        <v>75</v>
      </c>
      <c r="G117" t="s">
        <v>76</v>
      </c>
      <c r="H117">
        <v>12.861848829356802</v>
      </c>
      <c r="I117">
        <v>0</v>
      </c>
      <c r="J117">
        <v>7</v>
      </c>
      <c r="K117">
        <v>9</v>
      </c>
      <c r="L117">
        <v>-2</v>
      </c>
      <c r="M117">
        <v>7</v>
      </c>
      <c r="N117">
        <v>9</v>
      </c>
      <c r="O117">
        <v>-2</v>
      </c>
      <c r="P117">
        <v>8</v>
      </c>
      <c r="Q117">
        <v>9</v>
      </c>
      <c r="R117">
        <v>-1</v>
      </c>
      <c r="S117">
        <v>9</v>
      </c>
      <c r="T117">
        <v>9</v>
      </c>
      <c r="U117">
        <v>0</v>
      </c>
      <c r="V117">
        <v>8</v>
      </c>
      <c r="W117">
        <v>9</v>
      </c>
      <c r="X117">
        <v>-1</v>
      </c>
      <c r="Y117">
        <v>7</v>
      </c>
      <c r="Z117">
        <v>9</v>
      </c>
      <c r="AA117">
        <v>-2</v>
      </c>
      <c r="AB117">
        <v>8</v>
      </c>
      <c r="AC117">
        <v>9</v>
      </c>
      <c r="AD117">
        <v>-1</v>
      </c>
      <c r="AE117">
        <v>9</v>
      </c>
      <c r="AF117">
        <v>8</v>
      </c>
      <c r="AG117">
        <v>1</v>
      </c>
      <c r="AH117">
        <v>9</v>
      </c>
      <c r="AI117">
        <v>9</v>
      </c>
      <c r="AJ117">
        <v>0</v>
      </c>
      <c r="AK117" t="s">
        <v>1314</v>
      </c>
      <c r="AL117" t="s">
        <v>1315</v>
      </c>
      <c r="AM117" t="s">
        <v>1316</v>
      </c>
      <c r="AN117" t="s">
        <v>1317</v>
      </c>
      <c r="AO117" t="s">
        <v>1318</v>
      </c>
      <c r="AP117" t="s">
        <v>1319</v>
      </c>
      <c r="AQ117" t="s">
        <v>1320</v>
      </c>
      <c r="AR117" t="s">
        <v>1321</v>
      </c>
      <c r="AS117" t="s">
        <v>1322</v>
      </c>
    </row>
    <row r="118" spans="1:45" x14ac:dyDescent="0.45">
      <c r="A118">
        <v>117</v>
      </c>
      <c r="B118">
        <v>117</v>
      </c>
      <c r="C118" t="s">
        <v>72</v>
      </c>
      <c r="D118" t="s">
        <v>79</v>
      </c>
      <c r="E118" t="s">
        <v>74</v>
      </c>
      <c r="F118" t="s">
        <v>77</v>
      </c>
      <c r="G118" t="s">
        <v>76</v>
      </c>
      <c r="H118">
        <v>66.375246961551071</v>
      </c>
      <c r="I118">
        <v>0</v>
      </c>
      <c r="J118">
        <v>6</v>
      </c>
      <c r="K118">
        <v>8</v>
      </c>
      <c r="L118">
        <v>-2</v>
      </c>
      <c r="M118">
        <v>7</v>
      </c>
      <c r="N118">
        <v>9</v>
      </c>
      <c r="O118">
        <v>-2</v>
      </c>
      <c r="P118">
        <v>8</v>
      </c>
      <c r="Q118">
        <v>8</v>
      </c>
      <c r="R118">
        <v>0</v>
      </c>
      <c r="S118">
        <v>9</v>
      </c>
      <c r="T118">
        <v>6</v>
      </c>
      <c r="U118">
        <v>3</v>
      </c>
      <c r="V118">
        <v>8</v>
      </c>
      <c r="W118">
        <v>8</v>
      </c>
      <c r="X118">
        <v>0</v>
      </c>
      <c r="Y118">
        <v>9</v>
      </c>
      <c r="Z118">
        <v>8</v>
      </c>
      <c r="AA118">
        <v>1</v>
      </c>
      <c r="AB118">
        <v>8</v>
      </c>
      <c r="AC118">
        <v>8</v>
      </c>
      <c r="AD118">
        <v>0</v>
      </c>
      <c r="AE118">
        <v>9</v>
      </c>
      <c r="AF118">
        <v>8</v>
      </c>
      <c r="AG118">
        <v>1</v>
      </c>
      <c r="AH118">
        <v>8</v>
      </c>
      <c r="AI118">
        <v>6</v>
      </c>
      <c r="AJ118">
        <v>2</v>
      </c>
      <c r="AK118" t="s">
        <v>1323</v>
      </c>
      <c r="AL118" t="s">
        <v>1324</v>
      </c>
      <c r="AM118" t="s">
        <v>1325</v>
      </c>
      <c r="AN118" t="s">
        <v>1326</v>
      </c>
      <c r="AO118" t="s">
        <v>1327</v>
      </c>
      <c r="AP118" t="s">
        <v>1328</v>
      </c>
      <c r="AQ118" t="s">
        <v>1329</v>
      </c>
      <c r="AR118" t="s">
        <v>1330</v>
      </c>
      <c r="AS118" t="s">
        <v>1331</v>
      </c>
    </row>
    <row r="119" spans="1:45" x14ac:dyDescent="0.45">
      <c r="A119">
        <v>118</v>
      </c>
      <c r="B119">
        <v>118</v>
      </c>
      <c r="C119" t="s">
        <v>78</v>
      </c>
      <c r="D119" t="s">
        <v>73</v>
      </c>
      <c r="E119" t="s">
        <v>74</v>
      </c>
      <c r="F119" t="s">
        <v>75</v>
      </c>
      <c r="G119" t="s">
        <v>76</v>
      </c>
      <c r="H119">
        <v>45.960344669377534</v>
      </c>
      <c r="I119">
        <v>1</v>
      </c>
      <c r="J119">
        <v>6</v>
      </c>
      <c r="K119">
        <v>4</v>
      </c>
      <c r="L119">
        <v>2</v>
      </c>
      <c r="M119">
        <v>7</v>
      </c>
      <c r="N119">
        <v>1</v>
      </c>
      <c r="O119">
        <v>6</v>
      </c>
      <c r="P119">
        <v>9</v>
      </c>
      <c r="Q119">
        <v>1</v>
      </c>
      <c r="R119">
        <v>8</v>
      </c>
      <c r="S119">
        <v>8</v>
      </c>
      <c r="T119">
        <v>5</v>
      </c>
      <c r="U119">
        <v>3</v>
      </c>
      <c r="V119">
        <v>9</v>
      </c>
      <c r="W119">
        <v>1</v>
      </c>
      <c r="X119">
        <v>8</v>
      </c>
      <c r="Y119">
        <v>8</v>
      </c>
      <c r="Z119">
        <v>3</v>
      </c>
      <c r="AA119">
        <v>5</v>
      </c>
      <c r="AB119">
        <v>9</v>
      </c>
      <c r="AC119">
        <v>1</v>
      </c>
      <c r="AD119">
        <v>8</v>
      </c>
      <c r="AE119">
        <v>7</v>
      </c>
      <c r="AF119">
        <v>1</v>
      </c>
      <c r="AG119">
        <v>6</v>
      </c>
      <c r="AH119">
        <v>9</v>
      </c>
      <c r="AI119">
        <v>5</v>
      </c>
      <c r="AJ119">
        <v>4</v>
      </c>
      <c r="AK119" t="s">
        <v>1332</v>
      </c>
      <c r="AL119" t="s">
        <v>1333</v>
      </c>
      <c r="AM119" t="s">
        <v>1334</v>
      </c>
      <c r="AN119" t="s">
        <v>1335</v>
      </c>
      <c r="AO119" t="s">
        <v>1336</v>
      </c>
      <c r="AP119" t="s">
        <v>1337</v>
      </c>
      <c r="AQ119" t="s">
        <v>1338</v>
      </c>
      <c r="AR119" t="s">
        <v>1339</v>
      </c>
      <c r="AS119" t="s">
        <v>1340</v>
      </c>
    </row>
    <row r="120" spans="1:45" x14ac:dyDescent="0.45">
      <c r="A120">
        <v>119</v>
      </c>
      <c r="B120">
        <v>119</v>
      </c>
      <c r="C120" t="s">
        <v>72</v>
      </c>
      <c r="D120" t="s">
        <v>193</v>
      </c>
      <c r="E120" t="s">
        <v>74</v>
      </c>
      <c r="F120" t="s">
        <v>77</v>
      </c>
      <c r="G120" t="s">
        <v>76</v>
      </c>
      <c r="H120">
        <v>68.081048386866811</v>
      </c>
      <c r="I120">
        <v>4</v>
      </c>
      <c r="J120">
        <v>8</v>
      </c>
      <c r="K120">
        <v>8</v>
      </c>
      <c r="L120">
        <v>0</v>
      </c>
      <c r="M120">
        <v>8</v>
      </c>
      <c r="N120">
        <v>8</v>
      </c>
      <c r="O120">
        <v>0</v>
      </c>
      <c r="P120">
        <v>9</v>
      </c>
      <c r="Q120">
        <v>6</v>
      </c>
      <c r="R120">
        <v>3</v>
      </c>
      <c r="S120">
        <v>9</v>
      </c>
      <c r="T120">
        <v>9</v>
      </c>
      <c r="U120">
        <v>0</v>
      </c>
      <c r="V120">
        <v>8</v>
      </c>
      <c r="W120">
        <v>8</v>
      </c>
      <c r="X120">
        <v>0</v>
      </c>
      <c r="Y120">
        <v>9</v>
      </c>
      <c r="Z120">
        <v>7</v>
      </c>
      <c r="AA120">
        <v>2</v>
      </c>
      <c r="AB120">
        <v>8</v>
      </c>
      <c r="AC120">
        <v>7</v>
      </c>
      <c r="AD120">
        <v>1</v>
      </c>
      <c r="AE120">
        <v>9</v>
      </c>
      <c r="AF120">
        <v>7</v>
      </c>
      <c r="AG120">
        <v>2</v>
      </c>
      <c r="AH120">
        <v>10</v>
      </c>
      <c r="AI120">
        <v>7</v>
      </c>
      <c r="AJ120">
        <v>3</v>
      </c>
      <c r="AK120" t="s">
        <v>1341</v>
      </c>
      <c r="AL120" t="s">
        <v>1342</v>
      </c>
      <c r="AM120" t="s">
        <v>1343</v>
      </c>
      <c r="AN120" t="s">
        <v>1344</v>
      </c>
      <c r="AO120" t="s">
        <v>1345</v>
      </c>
      <c r="AP120" t="s">
        <v>1346</v>
      </c>
      <c r="AQ120" t="s">
        <v>1347</v>
      </c>
      <c r="AR120" t="s">
        <v>1348</v>
      </c>
      <c r="AS120" t="s">
        <v>1349</v>
      </c>
    </row>
    <row r="121" spans="1:45" x14ac:dyDescent="0.45">
      <c r="A121">
        <v>120</v>
      </c>
      <c r="B121">
        <v>120</v>
      </c>
      <c r="C121" t="s">
        <v>72</v>
      </c>
      <c r="D121" t="s">
        <v>79</v>
      </c>
      <c r="E121" t="s">
        <v>80</v>
      </c>
      <c r="F121" t="s">
        <v>77</v>
      </c>
      <c r="G121" t="s">
        <v>76</v>
      </c>
      <c r="H121">
        <v>29.829932474204675</v>
      </c>
      <c r="I121">
        <v>3</v>
      </c>
      <c r="J121">
        <v>5</v>
      </c>
      <c r="K121">
        <v>6</v>
      </c>
      <c r="L121">
        <v>-1</v>
      </c>
      <c r="M121">
        <v>5</v>
      </c>
      <c r="N121">
        <v>6</v>
      </c>
      <c r="O121">
        <v>-1</v>
      </c>
      <c r="P121">
        <v>7</v>
      </c>
      <c r="Q121">
        <v>6</v>
      </c>
      <c r="R121">
        <v>1</v>
      </c>
      <c r="S121">
        <v>9</v>
      </c>
      <c r="T121">
        <v>6</v>
      </c>
      <c r="U121">
        <v>3</v>
      </c>
      <c r="V121">
        <v>7</v>
      </c>
      <c r="W121">
        <v>6</v>
      </c>
      <c r="X121">
        <v>1</v>
      </c>
      <c r="Y121">
        <v>8</v>
      </c>
      <c r="Z121">
        <v>6</v>
      </c>
      <c r="AA121">
        <v>2</v>
      </c>
      <c r="AB121">
        <v>7</v>
      </c>
      <c r="AC121">
        <v>6</v>
      </c>
      <c r="AD121">
        <v>1</v>
      </c>
      <c r="AE121">
        <v>6</v>
      </c>
      <c r="AF121">
        <v>6</v>
      </c>
      <c r="AG121">
        <v>0</v>
      </c>
      <c r="AH121">
        <v>9</v>
      </c>
      <c r="AI121">
        <v>6</v>
      </c>
      <c r="AJ121">
        <v>3</v>
      </c>
      <c r="AK121" t="s">
        <v>1350</v>
      </c>
      <c r="AL121" t="s">
        <v>1351</v>
      </c>
      <c r="AM121" t="s">
        <v>1352</v>
      </c>
      <c r="AN121" t="s">
        <v>1353</v>
      </c>
      <c r="AO121" t="s">
        <v>1354</v>
      </c>
      <c r="AP121" t="s">
        <v>1355</v>
      </c>
      <c r="AQ121" t="s">
        <v>1356</v>
      </c>
      <c r="AR121" t="s">
        <v>1357</v>
      </c>
      <c r="AS121" t="s">
        <v>1358</v>
      </c>
    </row>
    <row r="122" spans="1:45" x14ac:dyDescent="0.45">
      <c r="A122">
        <v>121</v>
      </c>
      <c r="B122">
        <v>121</v>
      </c>
      <c r="C122" t="s">
        <v>78</v>
      </c>
      <c r="D122" t="s">
        <v>191</v>
      </c>
      <c r="E122" t="s">
        <v>74</v>
      </c>
      <c r="F122" t="s">
        <v>75</v>
      </c>
      <c r="G122" t="s">
        <v>162</v>
      </c>
      <c r="H122">
        <v>195.65673970529014</v>
      </c>
      <c r="I122">
        <v>4</v>
      </c>
      <c r="J122">
        <v>7</v>
      </c>
      <c r="K122">
        <v>1</v>
      </c>
      <c r="L122">
        <v>6</v>
      </c>
      <c r="M122">
        <v>6</v>
      </c>
      <c r="N122">
        <v>1</v>
      </c>
      <c r="O122">
        <v>5</v>
      </c>
      <c r="P122">
        <v>5</v>
      </c>
      <c r="Q122">
        <v>1</v>
      </c>
      <c r="R122">
        <v>4</v>
      </c>
      <c r="S122">
        <v>6</v>
      </c>
      <c r="T122">
        <v>5</v>
      </c>
      <c r="U122">
        <v>1</v>
      </c>
      <c r="V122">
        <v>7</v>
      </c>
      <c r="W122">
        <v>1</v>
      </c>
      <c r="X122">
        <v>6</v>
      </c>
      <c r="Y122">
        <v>8</v>
      </c>
      <c r="Z122">
        <v>1</v>
      </c>
      <c r="AA122">
        <v>7</v>
      </c>
      <c r="AB122">
        <v>6</v>
      </c>
      <c r="AC122">
        <v>1</v>
      </c>
      <c r="AD122">
        <v>5</v>
      </c>
      <c r="AE122">
        <v>7</v>
      </c>
      <c r="AF122">
        <v>1</v>
      </c>
      <c r="AG122">
        <v>6</v>
      </c>
      <c r="AH122">
        <v>9</v>
      </c>
      <c r="AI122">
        <v>5</v>
      </c>
      <c r="AJ122">
        <v>4</v>
      </c>
      <c r="AK122" t="s">
        <v>1359</v>
      </c>
      <c r="AL122" t="s">
        <v>1360</v>
      </c>
      <c r="AM122" t="s">
        <v>1361</v>
      </c>
      <c r="AN122" t="s">
        <v>1362</v>
      </c>
      <c r="AO122" t="s">
        <v>1363</v>
      </c>
      <c r="AP122" t="s">
        <v>1364</v>
      </c>
      <c r="AQ122" t="s">
        <v>1365</v>
      </c>
      <c r="AR122" t="s">
        <v>1366</v>
      </c>
      <c r="AS122" t="s">
        <v>1367</v>
      </c>
    </row>
    <row r="123" spans="1:45" x14ac:dyDescent="0.45">
      <c r="A123">
        <v>122</v>
      </c>
      <c r="B123">
        <v>122</v>
      </c>
      <c r="C123" t="s">
        <v>78</v>
      </c>
      <c r="D123" t="s">
        <v>79</v>
      </c>
      <c r="E123" t="s">
        <v>74</v>
      </c>
      <c r="F123" t="s">
        <v>77</v>
      </c>
      <c r="G123" t="s">
        <v>76</v>
      </c>
      <c r="H123">
        <v>224.15218139527786</v>
      </c>
      <c r="I123">
        <v>0</v>
      </c>
      <c r="J123">
        <v>9</v>
      </c>
      <c r="K123">
        <v>4</v>
      </c>
      <c r="L123">
        <v>5</v>
      </c>
      <c r="M123">
        <v>8</v>
      </c>
      <c r="N123">
        <v>4</v>
      </c>
      <c r="O123">
        <v>4</v>
      </c>
      <c r="P123">
        <v>9</v>
      </c>
      <c r="Q123">
        <v>2</v>
      </c>
      <c r="R123">
        <v>7</v>
      </c>
      <c r="S123">
        <v>10</v>
      </c>
      <c r="T123">
        <v>5</v>
      </c>
      <c r="U123">
        <v>5</v>
      </c>
      <c r="V123">
        <v>9</v>
      </c>
      <c r="W123">
        <v>1</v>
      </c>
      <c r="X123">
        <v>8</v>
      </c>
      <c r="Y123">
        <v>9</v>
      </c>
      <c r="Z123">
        <v>1</v>
      </c>
      <c r="AA123">
        <v>8</v>
      </c>
      <c r="AB123">
        <v>9</v>
      </c>
      <c r="AC123">
        <v>1</v>
      </c>
      <c r="AD123">
        <v>8</v>
      </c>
      <c r="AE123">
        <v>8</v>
      </c>
      <c r="AF123">
        <v>4</v>
      </c>
      <c r="AG123">
        <v>4</v>
      </c>
      <c r="AH123">
        <v>9</v>
      </c>
      <c r="AI123">
        <v>4</v>
      </c>
      <c r="AJ123">
        <v>5</v>
      </c>
      <c r="AK123" t="s">
        <v>1368</v>
      </c>
      <c r="AL123" t="s">
        <v>1369</v>
      </c>
      <c r="AM123" t="s">
        <v>1370</v>
      </c>
      <c r="AN123" t="s">
        <v>1371</v>
      </c>
      <c r="AO123" t="s">
        <v>1372</v>
      </c>
      <c r="AP123" t="s">
        <v>1373</v>
      </c>
      <c r="AQ123" t="s">
        <v>1374</v>
      </c>
      <c r="AR123" t="s">
        <v>1375</v>
      </c>
      <c r="AS123" t="s">
        <v>1376</v>
      </c>
    </row>
    <row r="124" spans="1:45" x14ac:dyDescent="0.45">
      <c r="A124">
        <v>123</v>
      </c>
      <c r="B124">
        <v>123</v>
      </c>
      <c r="C124" t="s">
        <v>72</v>
      </c>
      <c r="D124" t="s">
        <v>189</v>
      </c>
      <c r="E124" t="s">
        <v>74</v>
      </c>
      <c r="F124" t="s">
        <v>77</v>
      </c>
      <c r="G124" t="s">
        <v>76</v>
      </c>
      <c r="H124">
        <v>12</v>
      </c>
      <c r="I124">
        <v>0</v>
      </c>
      <c r="J124">
        <v>7</v>
      </c>
      <c r="K124">
        <v>7</v>
      </c>
      <c r="L124">
        <v>0</v>
      </c>
      <c r="M124">
        <v>8</v>
      </c>
      <c r="N124">
        <v>7</v>
      </c>
      <c r="O124">
        <v>1</v>
      </c>
      <c r="P124">
        <v>9</v>
      </c>
      <c r="Q124">
        <v>7</v>
      </c>
      <c r="R124">
        <v>2</v>
      </c>
      <c r="S124">
        <v>10</v>
      </c>
      <c r="T124">
        <v>7</v>
      </c>
      <c r="U124">
        <v>3</v>
      </c>
      <c r="V124">
        <v>9</v>
      </c>
      <c r="W124">
        <v>7</v>
      </c>
      <c r="X124">
        <v>2</v>
      </c>
      <c r="Y124">
        <v>8</v>
      </c>
      <c r="Z124">
        <v>7</v>
      </c>
      <c r="AA124">
        <v>1</v>
      </c>
      <c r="AB124">
        <v>9</v>
      </c>
      <c r="AC124">
        <v>7</v>
      </c>
      <c r="AD124">
        <v>2</v>
      </c>
      <c r="AE124">
        <v>8</v>
      </c>
      <c r="AF124">
        <v>7</v>
      </c>
      <c r="AG124">
        <v>1</v>
      </c>
      <c r="AH124">
        <v>9</v>
      </c>
      <c r="AI124">
        <v>8</v>
      </c>
      <c r="AJ124">
        <v>1</v>
      </c>
      <c r="AK124" t="s">
        <v>1377</v>
      </c>
      <c r="AL124" t="s">
        <v>1378</v>
      </c>
      <c r="AM124" t="s">
        <v>1379</v>
      </c>
      <c r="AN124" t="s">
        <v>1380</v>
      </c>
      <c r="AO124" t="s">
        <v>1381</v>
      </c>
      <c r="AP124" t="s">
        <v>1382</v>
      </c>
      <c r="AQ124" t="s">
        <v>1383</v>
      </c>
      <c r="AR124" t="s">
        <v>1384</v>
      </c>
      <c r="AS124" t="s">
        <v>1385</v>
      </c>
    </row>
    <row r="125" spans="1:45" x14ac:dyDescent="0.45">
      <c r="A125">
        <v>124</v>
      </c>
      <c r="B125">
        <v>124</v>
      </c>
      <c r="C125" t="s">
        <v>72</v>
      </c>
      <c r="D125" t="s">
        <v>191</v>
      </c>
      <c r="E125" t="s">
        <v>74</v>
      </c>
      <c r="F125" t="s">
        <v>75</v>
      </c>
      <c r="G125" t="s">
        <v>76</v>
      </c>
      <c r="H125">
        <v>43.778796710583769</v>
      </c>
      <c r="I125">
        <v>1</v>
      </c>
      <c r="J125">
        <v>9</v>
      </c>
      <c r="K125">
        <v>10</v>
      </c>
      <c r="L125">
        <v>-1</v>
      </c>
      <c r="M125">
        <v>8</v>
      </c>
      <c r="N125">
        <v>9</v>
      </c>
      <c r="O125">
        <v>-1</v>
      </c>
      <c r="P125">
        <v>9</v>
      </c>
      <c r="Q125">
        <v>10</v>
      </c>
      <c r="R125">
        <v>-1</v>
      </c>
      <c r="S125">
        <v>9</v>
      </c>
      <c r="T125">
        <v>10</v>
      </c>
      <c r="U125">
        <v>-1</v>
      </c>
      <c r="V125">
        <v>9</v>
      </c>
      <c r="W125">
        <v>10</v>
      </c>
      <c r="X125">
        <v>-1</v>
      </c>
      <c r="Y125">
        <v>8</v>
      </c>
      <c r="Z125">
        <v>8</v>
      </c>
      <c r="AA125">
        <v>0</v>
      </c>
      <c r="AB125">
        <v>9</v>
      </c>
      <c r="AC125">
        <v>9</v>
      </c>
      <c r="AD125">
        <v>0</v>
      </c>
      <c r="AE125">
        <v>8</v>
      </c>
      <c r="AF125">
        <v>9</v>
      </c>
      <c r="AG125">
        <v>-1</v>
      </c>
      <c r="AH125">
        <v>10</v>
      </c>
      <c r="AI125">
        <v>9</v>
      </c>
      <c r="AJ125">
        <v>1</v>
      </c>
      <c r="AK125" t="s">
        <v>1386</v>
      </c>
      <c r="AL125" t="s">
        <v>1387</v>
      </c>
      <c r="AM125" t="s">
        <v>1388</v>
      </c>
      <c r="AN125" t="s">
        <v>1389</v>
      </c>
      <c r="AO125" t="s">
        <v>1390</v>
      </c>
      <c r="AP125" t="s">
        <v>1391</v>
      </c>
      <c r="AQ125" t="s">
        <v>1392</v>
      </c>
      <c r="AR125" t="s">
        <v>1393</v>
      </c>
      <c r="AS125" t="s">
        <v>1394</v>
      </c>
    </row>
    <row r="126" spans="1:45" x14ac:dyDescent="0.45">
      <c r="A126">
        <v>125</v>
      </c>
      <c r="B126">
        <v>125</v>
      </c>
      <c r="C126" t="s">
        <v>72</v>
      </c>
      <c r="D126" t="s">
        <v>189</v>
      </c>
      <c r="E126" t="s">
        <v>74</v>
      </c>
      <c r="F126" t="s">
        <v>77</v>
      </c>
      <c r="G126" t="s">
        <v>76</v>
      </c>
      <c r="H126">
        <v>16.258747418004365</v>
      </c>
      <c r="I126">
        <v>2</v>
      </c>
      <c r="J126">
        <v>6</v>
      </c>
      <c r="K126">
        <v>10</v>
      </c>
      <c r="L126">
        <v>-4</v>
      </c>
      <c r="M126">
        <v>5</v>
      </c>
      <c r="N126">
        <v>10</v>
      </c>
      <c r="O126">
        <v>-5</v>
      </c>
      <c r="P126">
        <v>9</v>
      </c>
      <c r="Q126">
        <v>10</v>
      </c>
      <c r="R126">
        <v>-1</v>
      </c>
      <c r="S126">
        <v>8</v>
      </c>
      <c r="T126">
        <v>10</v>
      </c>
      <c r="U126">
        <v>-2</v>
      </c>
      <c r="V126">
        <v>9</v>
      </c>
      <c r="W126">
        <v>10</v>
      </c>
      <c r="X126">
        <v>-1</v>
      </c>
      <c r="Y126">
        <v>8</v>
      </c>
      <c r="Z126">
        <v>10</v>
      </c>
      <c r="AA126">
        <v>-2</v>
      </c>
      <c r="AB126">
        <v>9</v>
      </c>
      <c r="AC126">
        <v>10</v>
      </c>
      <c r="AD126">
        <v>-1</v>
      </c>
      <c r="AE126">
        <v>8</v>
      </c>
      <c r="AF126">
        <v>10</v>
      </c>
      <c r="AG126">
        <v>-2</v>
      </c>
      <c r="AH126">
        <v>9</v>
      </c>
      <c r="AI126">
        <v>10</v>
      </c>
      <c r="AJ126">
        <v>-1</v>
      </c>
      <c r="AK126" t="s">
        <v>1395</v>
      </c>
      <c r="AL126" t="s">
        <v>1396</v>
      </c>
      <c r="AM126" t="s">
        <v>1397</v>
      </c>
      <c r="AN126" t="s">
        <v>1398</v>
      </c>
      <c r="AO126" t="s">
        <v>1399</v>
      </c>
      <c r="AP126" t="s">
        <v>1400</v>
      </c>
      <c r="AQ126" t="s">
        <v>1401</v>
      </c>
      <c r="AR126" t="s">
        <v>1402</v>
      </c>
      <c r="AS126" t="s">
        <v>1403</v>
      </c>
    </row>
    <row r="127" spans="1:45" x14ac:dyDescent="0.45">
      <c r="A127">
        <v>126</v>
      </c>
      <c r="B127">
        <v>126</v>
      </c>
      <c r="C127" t="s">
        <v>78</v>
      </c>
      <c r="D127" t="s">
        <v>81</v>
      </c>
      <c r="E127" t="s">
        <v>74</v>
      </c>
      <c r="F127" t="s">
        <v>77</v>
      </c>
      <c r="G127" t="s">
        <v>76</v>
      </c>
      <c r="H127">
        <v>23.049408607749275</v>
      </c>
      <c r="I127">
        <v>0</v>
      </c>
      <c r="J127">
        <v>8</v>
      </c>
      <c r="K127">
        <v>8</v>
      </c>
      <c r="L127">
        <v>0</v>
      </c>
      <c r="M127">
        <v>9</v>
      </c>
      <c r="N127">
        <v>8</v>
      </c>
      <c r="O127">
        <v>1</v>
      </c>
      <c r="P127">
        <v>7</v>
      </c>
      <c r="Q127">
        <v>5</v>
      </c>
      <c r="R127">
        <v>2</v>
      </c>
      <c r="S127">
        <v>9</v>
      </c>
      <c r="T127">
        <v>8</v>
      </c>
      <c r="U127">
        <v>1</v>
      </c>
      <c r="V127">
        <v>7</v>
      </c>
      <c r="W127">
        <v>8</v>
      </c>
      <c r="X127">
        <v>-1</v>
      </c>
      <c r="Y127">
        <v>8</v>
      </c>
      <c r="Z127">
        <v>8</v>
      </c>
      <c r="AA127">
        <v>0</v>
      </c>
      <c r="AB127">
        <v>7</v>
      </c>
      <c r="AC127">
        <v>7</v>
      </c>
      <c r="AD127">
        <v>0</v>
      </c>
      <c r="AE127">
        <v>8</v>
      </c>
      <c r="AF127">
        <v>7</v>
      </c>
      <c r="AG127">
        <v>1</v>
      </c>
      <c r="AH127">
        <v>9</v>
      </c>
      <c r="AI127">
        <v>8</v>
      </c>
      <c r="AJ127">
        <v>1</v>
      </c>
      <c r="AK127" t="s">
        <v>1404</v>
      </c>
      <c r="AL127" t="s">
        <v>1405</v>
      </c>
      <c r="AM127" t="s">
        <v>1406</v>
      </c>
      <c r="AN127" t="s">
        <v>1407</v>
      </c>
      <c r="AO127" t="s">
        <v>1408</v>
      </c>
      <c r="AP127" t="s">
        <v>1409</v>
      </c>
      <c r="AQ127" t="s">
        <v>1410</v>
      </c>
      <c r="AR127" t="s">
        <v>1411</v>
      </c>
      <c r="AS127" t="s">
        <v>1412</v>
      </c>
    </row>
    <row r="128" spans="1:45" x14ac:dyDescent="0.45">
      <c r="A128">
        <v>127</v>
      </c>
      <c r="B128">
        <v>127</v>
      </c>
      <c r="C128" t="s">
        <v>72</v>
      </c>
      <c r="D128" t="s">
        <v>79</v>
      </c>
      <c r="E128" t="s">
        <v>74</v>
      </c>
      <c r="F128" t="s">
        <v>77</v>
      </c>
      <c r="G128" t="s">
        <v>76</v>
      </c>
      <c r="H128">
        <v>111.24505202453923</v>
      </c>
      <c r="I128">
        <v>4</v>
      </c>
      <c r="J128">
        <v>6</v>
      </c>
      <c r="K128">
        <v>1</v>
      </c>
      <c r="L128">
        <v>5</v>
      </c>
      <c r="M128">
        <v>7</v>
      </c>
      <c r="N128">
        <v>1</v>
      </c>
      <c r="O128">
        <v>6</v>
      </c>
      <c r="P128">
        <v>8</v>
      </c>
      <c r="Q128">
        <v>1</v>
      </c>
      <c r="R128">
        <v>7</v>
      </c>
      <c r="S128">
        <v>9</v>
      </c>
      <c r="T128">
        <v>5</v>
      </c>
      <c r="U128">
        <v>4</v>
      </c>
      <c r="V128">
        <v>8</v>
      </c>
      <c r="W128">
        <v>1</v>
      </c>
      <c r="X128">
        <v>7</v>
      </c>
      <c r="Y128">
        <v>9</v>
      </c>
      <c r="Z128">
        <v>1</v>
      </c>
      <c r="AA128">
        <v>8</v>
      </c>
      <c r="AB128">
        <v>8</v>
      </c>
      <c r="AC128">
        <v>1</v>
      </c>
      <c r="AD128">
        <v>7</v>
      </c>
      <c r="AE128">
        <v>7</v>
      </c>
      <c r="AF128">
        <v>5</v>
      </c>
      <c r="AG128">
        <v>2</v>
      </c>
      <c r="AH128">
        <v>9</v>
      </c>
      <c r="AI128">
        <v>5</v>
      </c>
      <c r="AJ128">
        <v>4</v>
      </c>
      <c r="AK128" t="s">
        <v>1413</v>
      </c>
      <c r="AL128" t="s">
        <v>1414</v>
      </c>
      <c r="AM128" t="s">
        <v>1415</v>
      </c>
      <c r="AN128" t="s">
        <v>1416</v>
      </c>
      <c r="AO128" t="s">
        <v>1417</v>
      </c>
      <c r="AP128" t="s">
        <v>1418</v>
      </c>
      <c r="AQ128" t="s">
        <v>1419</v>
      </c>
      <c r="AR128" t="s">
        <v>1420</v>
      </c>
      <c r="AS128" t="s">
        <v>1421</v>
      </c>
    </row>
    <row r="129" spans="1:45" x14ac:dyDescent="0.45">
      <c r="A129">
        <v>128</v>
      </c>
      <c r="B129">
        <v>128</v>
      </c>
      <c r="C129" t="s">
        <v>78</v>
      </c>
      <c r="D129" t="s">
        <v>191</v>
      </c>
      <c r="E129" t="s">
        <v>74</v>
      </c>
      <c r="F129" t="s">
        <v>77</v>
      </c>
      <c r="G129" t="s">
        <v>76</v>
      </c>
      <c r="H129">
        <v>199.55853653816797</v>
      </c>
      <c r="I129">
        <v>4</v>
      </c>
      <c r="J129">
        <v>8</v>
      </c>
      <c r="K129">
        <v>6</v>
      </c>
      <c r="L129">
        <v>2</v>
      </c>
      <c r="M129">
        <v>9</v>
      </c>
      <c r="N129">
        <v>6</v>
      </c>
      <c r="O129">
        <v>3</v>
      </c>
      <c r="P129">
        <v>8</v>
      </c>
      <c r="Q129">
        <v>6</v>
      </c>
      <c r="R129">
        <v>2</v>
      </c>
      <c r="S129">
        <v>9</v>
      </c>
      <c r="T129">
        <v>8</v>
      </c>
      <c r="U129">
        <v>1</v>
      </c>
      <c r="V129">
        <v>8</v>
      </c>
      <c r="W129">
        <v>6</v>
      </c>
      <c r="X129">
        <v>2</v>
      </c>
      <c r="Y129">
        <v>9</v>
      </c>
      <c r="Z129">
        <v>3</v>
      </c>
      <c r="AA129">
        <v>6</v>
      </c>
      <c r="AB129">
        <v>8</v>
      </c>
      <c r="AC129">
        <v>5</v>
      </c>
      <c r="AD129">
        <v>3</v>
      </c>
      <c r="AE129">
        <v>9</v>
      </c>
      <c r="AF129">
        <v>5</v>
      </c>
      <c r="AG129">
        <v>4</v>
      </c>
      <c r="AH129">
        <v>8</v>
      </c>
      <c r="AI129">
        <v>4</v>
      </c>
      <c r="AJ129">
        <v>4</v>
      </c>
      <c r="AK129" t="s">
        <v>1422</v>
      </c>
      <c r="AL129" t="s">
        <v>1423</v>
      </c>
      <c r="AM129" t="s">
        <v>1424</v>
      </c>
      <c r="AN129" t="s">
        <v>1425</v>
      </c>
      <c r="AO129" t="s">
        <v>1426</v>
      </c>
      <c r="AP129" t="s">
        <v>1427</v>
      </c>
      <c r="AQ129" t="s">
        <v>1428</v>
      </c>
      <c r="AR129" t="s">
        <v>1429</v>
      </c>
      <c r="AS129" t="s">
        <v>1430</v>
      </c>
    </row>
    <row r="130" spans="1:45" x14ac:dyDescent="0.45">
      <c r="A130">
        <v>129</v>
      </c>
      <c r="B130">
        <v>129</v>
      </c>
      <c r="C130" t="s">
        <v>78</v>
      </c>
      <c r="D130" t="s">
        <v>191</v>
      </c>
      <c r="E130" t="s">
        <v>74</v>
      </c>
      <c r="F130" t="s">
        <v>75</v>
      </c>
      <c r="G130" t="s">
        <v>76</v>
      </c>
      <c r="H130">
        <v>158.8788230386815</v>
      </c>
      <c r="I130">
        <v>3</v>
      </c>
      <c r="J130">
        <v>6</v>
      </c>
      <c r="K130">
        <v>6</v>
      </c>
      <c r="L130">
        <v>0</v>
      </c>
      <c r="M130">
        <v>7</v>
      </c>
      <c r="N130">
        <v>6</v>
      </c>
      <c r="O130">
        <v>1</v>
      </c>
      <c r="P130">
        <v>8</v>
      </c>
      <c r="Q130">
        <v>4</v>
      </c>
      <c r="R130">
        <v>4</v>
      </c>
      <c r="S130">
        <v>9</v>
      </c>
      <c r="T130">
        <v>5</v>
      </c>
      <c r="U130">
        <v>4</v>
      </c>
      <c r="V130">
        <v>7</v>
      </c>
      <c r="W130">
        <v>5</v>
      </c>
      <c r="X130">
        <v>2</v>
      </c>
      <c r="Y130">
        <v>9</v>
      </c>
      <c r="Z130">
        <v>1</v>
      </c>
      <c r="AA130">
        <v>8</v>
      </c>
      <c r="AB130">
        <v>8</v>
      </c>
      <c r="AC130">
        <v>5</v>
      </c>
      <c r="AD130">
        <v>3</v>
      </c>
      <c r="AE130">
        <v>6</v>
      </c>
      <c r="AF130">
        <v>4</v>
      </c>
      <c r="AG130">
        <v>2</v>
      </c>
      <c r="AH130">
        <v>9</v>
      </c>
      <c r="AI130">
        <v>5</v>
      </c>
      <c r="AJ130">
        <v>4</v>
      </c>
      <c r="AK130" t="s">
        <v>222</v>
      </c>
      <c r="AL130" t="s">
        <v>1431</v>
      </c>
      <c r="AM130" t="s">
        <v>1432</v>
      </c>
      <c r="AN130" t="s">
        <v>282</v>
      </c>
      <c r="AO130" t="s">
        <v>1433</v>
      </c>
      <c r="AP130" t="s">
        <v>1434</v>
      </c>
      <c r="AQ130" t="s">
        <v>1435</v>
      </c>
      <c r="AR130" t="s">
        <v>1436</v>
      </c>
      <c r="AS130" t="s">
        <v>1437</v>
      </c>
    </row>
    <row r="131" spans="1:45" x14ac:dyDescent="0.45">
      <c r="A131">
        <v>130</v>
      </c>
      <c r="B131">
        <v>130</v>
      </c>
      <c r="C131" t="s">
        <v>72</v>
      </c>
      <c r="D131" t="s">
        <v>193</v>
      </c>
      <c r="E131" t="s">
        <v>74</v>
      </c>
      <c r="F131" t="s">
        <v>75</v>
      </c>
      <c r="G131" t="s">
        <v>76</v>
      </c>
      <c r="H131">
        <v>84.05169228312495</v>
      </c>
      <c r="I131">
        <v>2</v>
      </c>
      <c r="J131">
        <v>9</v>
      </c>
      <c r="K131">
        <v>5</v>
      </c>
      <c r="L131">
        <v>4</v>
      </c>
      <c r="M131">
        <v>8</v>
      </c>
      <c r="N131">
        <v>5</v>
      </c>
      <c r="O131">
        <v>3</v>
      </c>
      <c r="P131">
        <v>9</v>
      </c>
      <c r="Q131">
        <v>1</v>
      </c>
      <c r="R131">
        <v>8</v>
      </c>
      <c r="S131">
        <v>10</v>
      </c>
      <c r="T131">
        <v>4</v>
      </c>
      <c r="U131">
        <v>6</v>
      </c>
      <c r="V131">
        <v>8</v>
      </c>
      <c r="W131">
        <v>2</v>
      </c>
      <c r="X131">
        <v>6</v>
      </c>
      <c r="Y131">
        <v>9</v>
      </c>
      <c r="Z131">
        <v>1</v>
      </c>
      <c r="AA131">
        <v>8</v>
      </c>
      <c r="AB131">
        <v>8</v>
      </c>
      <c r="AC131">
        <v>1</v>
      </c>
      <c r="AD131">
        <v>7</v>
      </c>
      <c r="AE131">
        <v>9</v>
      </c>
      <c r="AF131">
        <v>1</v>
      </c>
      <c r="AG131">
        <v>8</v>
      </c>
      <c r="AH131">
        <v>8</v>
      </c>
      <c r="AI131">
        <v>5</v>
      </c>
      <c r="AJ131">
        <v>3</v>
      </c>
      <c r="AK131" t="s">
        <v>1438</v>
      </c>
      <c r="AL131" t="s">
        <v>1439</v>
      </c>
      <c r="AM131" t="s">
        <v>1440</v>
      </c>
      <c r="AN131" t="s">
        <v>1441</v>
      </c>
      <c r="AO131" t="s">
        <v>1442</v>
      </c>
      <c r="AP131" t="s">
        <v>1443</v>
      </c>
      <c r="AQ131" t="s">
        <v>1444</v>
      </c>
      <c r="AR131" t="s">
        <v>1445</v>
      </c>
      <c r="AS131" t="s">
        <v>1446</v>
      </c>
    </row>
    <row r="132" spans="1:45" x14ac:dyDescent="0.45">
      <c r="A132">
        <v>131</v>
      </c>
      <c r="B132">
        <v>131</v>
      </c>
      <c r="C132" t="s">
        <v>72</v>
      </c>
      <c r="D132" t="s">
        <v>73</v>
      </c>
      <c r="E132" t="s">
        <v>74</v>
      </c>
      <c r="F132" t="s">
        <v>75</v>
      </c>
      <c r="G132" t="s">
        <v>76</v>
      </c>
      <c r="H132">
        <v>90.040369437642539</v>
      </c>
      <c r="I132">
        <v>1</v>
      </c>
      <c r="J132">
        <v>7</v>
      </c>
      <c r="K132">
        <v>8</v>
      </c>
      <c r="L132">
        <v>-1</v>
      </c>
      <c r="M132">
        <v>7</v>
      </c>
      <c r="N132">
        <v>9</v>
      </c>
      <c r="O132">
        <v>-2</v>
      </c>
      <c r="P132">
        <v>9</v>
      </c>
      <c r="Q132">
        <v>5</v>
      </c>
      <c r="R132">
        <v>4</v>
      </c>
      <c r="S132">
        <v>8</v>
      </c>
      <c r="T132">
        <v>5</v>
      </c>
      <c r="U132">
        <v>3</v>
      </c>
      <c r="V132">
        <v>9</v>
      </c>
      <c r="W132">
        <v>5</v>
      </c>
      <c r="X132">
        <v>4</v>
      </c>
      <c r="Y132">
        <v>8</v>
      </c>
      <c r="Z132">
        <v>4</v>
      </c>
      <c r="AA132">
        <v>4</v>
      </c>
      <c r="AB132">
        <v>9</v>
      </c>
      <c r="AC132">
        <v>5</v>
      </c>
      <c r="AD132">
        <v>4</v>
      </c>
      <c r="AE132">
        <v>7</v>
      </c>
      <c r="AF132">
        <v>5</v>
      </c>
      <c r="AG132">
        <v>2</v>
      </c>
      <c r="AH132">
        <v>9</v>
      </c>
      <c r="AI132">
        <v>5</v>
      </c>
      <c r="AJ132">
        <v>4</v>
      </c>
      <c r="AK132" t="s">
        <v>1447</v>
      </c>
      <c r="AL132" t="s">
        <v>1448</v>
      </c>
      <c r="AM132" t="s">
        <v>1449</v>
      </c>
      <c r="AN132" t="s">
        <v>1450</v>
      </c>
      <c r="AO132" t="s">
        <v>1451</v>
      </c>
      <c r="AP132" t="s">
        <v>1452</v>
      </c>
      <c r="AQ132" t="s">
        <v>1453</v>
      </c>
      <c r="AR132" t="s">
        <v>1454</v>
      </c>
      <c r="AS132" t="s">
        <v>1455</v>
      </c>
    </row>
    <row r="133" spans="1:45" x14ac:dyDescent="0.45">
      <c r="A133">
        <v>132</v>
      </c>
      <c r="B133">
        <v>132</v>
      </c>
      <c r="C133" t="s">
        <v>78</v>
      </c>
      <c r="D133" t="s">
        <v>189</v>
      </c>
      <c r="E133" t="s">
        <v>74</v>
      </c>
      <c r="F133" t="s">
        <v>77</v>
      </c>
      <c r="G133" t="s">
        <v>76</v>
      </c>
      <c r="H133">
        <v>12.713006622222693</v>
      </c>
      <c r="I133">
        <v>0</v>
      </c>
      <c r="J133">
        <v>6</v>
      </c>
      <c r="K133">
        <v>9</v>
      </c>
      <c r="L133">
        <v>-3</v>
      </c>
      <c r="M133">
        <v>6</v>
      </c>
      <c r="N133">
        <v>9</v>
      </c>
      <c r="O133">
        <v>-3</v>
      </c>
      <c r="P133">
        <v>8</v>
      </c>
      <c r="Q133">
        <v>9</v>
      </c>
      <c r="R133">
        <v>-1</v>
      </c>
      <c r="S133">
        <v>7</v>
      </c>
      <c r="T133">
        <v>9</v>
      </c>
      <c r="U133">
        <v>-2</v>
      </c>
      <c r="V133">
        <v>8</v>
      </c>
      <c r="W133">
        <v>7</v>
      </c>
      <c r="X133">
        <v>1</v>
      </c>
      <c r="Y133">
        <v>9</v>
      </c>
      <c r="Z133">
        <v>10</v>
      </c>
      <c r="AA133">
        <v>-1</v>
      </c>
      <c r="AB133">
        <v>8</v>
      </c>
      <c r="AC133">
        <v>5</v>
      </c>
      <c r="AD133">
        <v>3</v>
      </c>
      <c r="AE133">
        <v>7</v>
      </c>
      <c r="AF133">
        <v>5</v>
      </c>
      <c r="AG133">
        <v>2</v>
      </c>
      <c r="AH133">
        <v>9</v>
      </c>
      <c r="AI133">
        <v>9</v>
      </c>
      <c r="AJ133">
        <v>0</v>
      </c>
      <c r="AK133" t="s">
        <v>1456</v>
      </c>
      <c r="AL133" t="s">
        <v>1457</v>
      </c>
      <c r="AM133" t="s">
        <v>1458</v>
      </c>
      <c r="AN133" t="s">
        <v>1459</v>
      </c>
      <c r="AO133" t="s">
        <v>1460</v>
      </c>
      <c r="AP133" t="s">
        <v>1461</v>
      </c>
      <c r="AQ133" t="s">
        <v>1462</v>
      </c>
      <c r="AR133" t="s">
        <v>1463</v>
      </c>
      <c r="AS133" t="s">
        <v>1464</v>
      </c>
    </row>
    <row r="134" spans="1:45" x14ac:dyDescent="0.45">
      <c r="A134">
        <v>133</v>
      </c>
      <c r="B134">
        <v>133</v>
      </c>
      <c r="C134" t="s">
        <v>78</v>
      </c>
      <c r="D134" t="s">
        <v>81</v>
      </c>
      <c r="E134" t="s">
        <v>74</v>
      </c>
      <c r="F134" t="s">
        <v>190</v>
      </c>
      <c r="G134" t="s">
        <v>76</v>
      </c>
      <c r="H134">
        <v>46.62726902282985</v>
      </c>
      <c r="I134">
        <v>0</v>
      </c>
      <c r="J134">
        <v>7</v>
      </c>
      <c r="K134">
        <v>5</v>
      </c>
      <c r="L134">
        <v>2</v>
      </c>
      <c r="M134">
        <v>8</v>
      </c>
      <c r="N134">
        <v>5</v>
      </c>
      <c r="O134">
        <v>3</v>
      </c>
      <c r="P134">
        <v>6</v>
      </c>
      <c r="Q134">
        <v>5</v>
      </c>
      <c r="R134">
        <v>1</v>
      </c>
      <c r="S134">
        <v>8</v>
      </c>
      <c r="T134">
        <v>5</v>
      </c>
      <c r="U134">
        <v>3</v>
      </c>
      <c r="V134">
        <v>7</v>
      </c>
      <c r="W134">
        <v>5</v>
      </c>
      <c r="X134">
        <v>2</v>
      </c>
      <c r="Y134">
        <v>9</v>
      </c>
      <c r="Z134">
        <v>5</v>
      </c>
      <c r="AA134">
        <v>4</v>
      </c>
      <c r="AB134">
        <v>6</v>
      </c>
      <c r="AC134">
        <v>5</v>
      </c>
      <c r="AD134">
        <v>1</v>
      </c>
      <c r="AE134">
        <v>7</v>
      </c>
      <c r="AF134">
        <v>5</v>
      </c>
      <c r="AG134">
        <v>2</v>
      </c>
      <c r="AH134">
        <v>8</v>
      </c>
      <c r="AI134">
        <v>5</v>
      </c>
      <c r="AJ134">
        <v>3</v>
      </c>
      <c r="AK134" t="s">
        <v>1465</v>
      </c>
      <c r="AL134" t="s">
        <v>1466</v>
      </c>
      <c r="AM134" t="s">
        <v>1467</v>
      </c>
      <c r="AN134" t="s">
        <v>1468</v>
      </c>
      <c r="AO134" t="s">
        <v>1469</v>
      </c>
      <c r="AP134" t="s">
        <v>1470</v>
      </c>
      <c r="AQ134" t="s">
        <v>1471</v>
      </c>
      <c r="AR134" t="s">
        <v>1472</v>
      </c>
      <c r="AS134" t="s">
        <v>1473</v>
      </c>
    </row>
    <row r="135" spans="1:45" x14ac:dyDescent="0.45">
      <c r="A135">
        <v>134</v>
      </c>
      <c r="B135">
        <v>134</v>
      </c>
      <c r="C135" t="s">
        <v>72</v>
      </c>
      <c r="D135" t="s">
        <v>189</v>
      </c>
      <c r="E135" t="s">
        <v>74</v>
      </c>
      <c r="F135" t="s">
        <v>77</v>
      </c>
      <c r="G135" t="s">
        <v>76</v>
      </c>
      <c r="H135">
        <v>21.873889935932151</v>
      </c>
      <c r="I135">
        <v>0</v>
      </c>
      <c r="J135">
        <v>7</v>
      </c>
      <c r="K135">
        <v>9</v>
      </c>
      <c r="L135">
        <v>-2</v>
      </c>
      <c r="M135">
        <v>6</v>
      </c>
      <c r="N135">
        <v>9</v>
      </c>
      <c r="O135">
        <v>-3</v>
      </c>
      <c r="P135">
        <v>8</v>
      </c>
      <c r="Q135">
        <v>5</v>
      </c>
      <c r="R135">
        <v>3</v>
      </c>
      <c r="S135">
        <v>9</v>
      </c>
      <c r="T135">
        <v>9</v>
      </c>
      <c r="U135">
        <v>0</v>
      </c>
      <c r="V135">
        <v>8</v>
      </c>
      <c r="W135">
        <v>8</v>
      </c>
      <c r="X135">
        <v>0</v>
      </c>
      <c r="Y135">
        <v>9</v>
      </c>
      <c r="Z135">
        <v>10</v>
      </c>
      <c r="AA135">
        <v>-1</v>
      </c>
      <c r="AB135">
        <v>7</v>
      </c>
      <c r="AC135">
        <v>5</v>
      </c>
      <c r="AD135">
        <v>2</v>
      </c>
      <c r="AE135">
        <v>8</v>
      </c>
      <c r="AF135">
        <v>5</v>
      </c>
      <c r="AG135">
        <v>3</v>
      </c>
      <c r="AH135">
        <v>9</v>
      </c>
      <c r="AI135">
        <v>7</v>
      </c>
      <c r="AJ135">
        <v>2</v>
      </c>
      <c r="AK135" t="s">
        <v>1474</v>
      </c>
      <c r="AL135" t="s">
        <v>1475</v>
      </c>
      <c r="AM135" t="s">
        <v>1476</v>
      </c>
      <c r="AN135" t="s">
        <v>1477</v>
      </c>
      <c r="AO135" t="s">
        <v>1478</v>
      </c>
      <c r="AP135" t="s">
        <v>1479</v>
      </c>
      <c r="AQ135" t="s">
        <v>1480</v>
      </c>
      <c r="AR135" t="s">
        <v>1481</v>
      </c>
      <c r="AS135" t="s">
        <v>1482</v>
      </c>
    </row>
    <row r="136" spans="1:45" x14ac:dyDescent="0.45">
      <c r="A136">
        <v>135</v>
      </c>
      <c r="B136">
        <v>135</v>
      </c>
      <c r="C136" t="s">
        <v>78</v>
      </c>
      <c r="D136" t="s">
        <v>189</v>
      </c>
      <c r="E136" t="s">
        <v>74</v>
      </c>
      <c r="F136" t="s">
        <v>77</v>
      </c>
      <c r="G136" t="s">
        <v>76</v>
      </c>
      <c r="H136">
        <v>14.741162032444352</v>
      </c>
      <c r="I136">
        <v>0</v>
      </c>
      <c r="J136">
        <v>6</v>
      </c>
      <c r="K136">
        <v>5</v>
      </c>
      <c r="L136">
        <v>1</v>
      </c>
      <c r="M136">
        <v>7</v>
      </c>
      <c r="N136">
        <v>5</v>
      </c>
      <c r="O136">
        <v>2</v>
      </c>
      <c r="P136">
        <v>9</v>
      </c>
      <c r="Q136">
        <v>5</v>
      </c>
      <c r="R136">
        <v>4</v>
      </c>
      <c r="S136">
        <v>8</v>
      </c>
      <c r="T136">
        <v>6</v>
      </c>
      <c r="U136">
        <v>2</v>
      </c>
      <c r="V136">
        <v>9</v>
      </c>
      <c r="W136">
        <v>6</v>
      </c>
      <c r="X136">
        <v>3</v>
      </c>
      <c r="Y136">
        <v>8</v>
      </c>
      <c r="Z136">
        <v>6</v>
      </c>
      <c r="AA136">
        <v>2</v>
      </c>
      <c r="AB136">
        <v>9</v>
      </c>
      <c r="AC136">
        <v>6</v>
      </c>
      <c r="AD136">
        <v>3</v>
      </c>
      <c r="AE136">
        <v>7</v>
      </c>
      <c r="AF136">
        <v>6</v>
      </c>
      <c r="AG136">
        <v>1</v>
      </c>
      <c r="AH136">
        <v>9</v>
      </c>
      <c r="AI136">
        <v>6</v>
      </c>
      <c r="AJ136">
        <v>3</v>
      </c>
      <c r="AK136" t="s">
        <v>1483</v>
      </c>
      <c r="AL136" t="s">
        <v>1484</v>
      </c>
      <c r="AM136" t="s">
        <v>1485</v>
      </c>
      <c r="AN136" t="s">
        <v>1486</v>
      </c>
      <c r="AO136" t="s">
        <v>1487</v>
      </c>
      <c r="AP136" t="s">
        <v>1488</v>
      </c>
      <c r="AQ136" t="s">
        <v>1489</v>
      </c>
      <c r="AR136" t="s">
        <v>1490</v>
      </c>
      <c r="AS136" t="s">
        <v>1491</v>
      </c>
    </row>
    <row r="137" spans="1:45" x14ac:dyDescent="0.45">
      <c r="A137">
        <v>136</v>
      </c>
      <c r="B137">
        <v>136</v>
      </c>
      <c r="C137" t="s">
        <v>72</v>
      </c>
      <c r="D137" t="s">
        <v>193</v>
      </c>
      <c r="E137" t="s">
        <v>74</v>
      </c>
      <c r="F137" t="s">
        <v>77</v>
      </c>
      <c r="G137" t="s">
        <v>162</v>
      </c>
      <c r="H137">
        <v>12</v>
      </c>
      <c r="I137">
        <v>0</v>
      </c>
      <c r="J137">
        <v>6</v>
      </c>
      <c r="K137">
        <v>8</v>
      </c>
      <c r="L137">
        <v>-2</v>
      </c>
      <c r="M137">
        <v>5</v>
      </c>
      <c r="N137">
        <v>8</v>
      </c>
      <c r="O137">
        <v>-3</v>
      </c>
      <c r="P137">
        <v>8</v>
      </c>
      <c r="Q137">
        <v>8</v>
      </c>
      <c r="R137">
        <v>0</v>
      </c>
      <c r="S137">
        <v>9</v>
      </c>
      <c r="T137">
        <v>8</v>
      </c>
      <c r="U137">
        <v>1</v>
      </c>
      <c r="V137">
        <v>8</v>
      </c>
      <c r="W137">
        <v>10</v>
      </c>
      <c r="X137">
        <v>-2</v>
      </c>
      <c r="Y137">
        <v>9</v>
      </c>
      <c r="Z137">
        <v>10</v>
      </c>
      <c r="AA137">
        <v>-1</v>
      </c>
      <c r="AB137">
        <v>8</v>
      </c>
      <c r="AC137">
        <v>10</v>
      </c>
      <c r="AD137">
        <v>-2</v>
      </c>
      <c r="AE137">
        <v>7</v>
      </c>
      <c r="AF137">
        <v>10</v>
      </c>
      <c r="AG137">
        <v>-3</v>
      </c>
      <c r="AH137">
        <v>8</v>
      </c>
      <c r="AI137">
        <v>10</v>
      </c>
      <c r="AJ137">
        <v>-2</v>
      </c>
      <c r="AK137" t="s">
        <v>1492</v>
      </c>
      <c r="AL137" t="s">
        <v>1493</v>
      </c>
      <c r="AM137" t="s">
        <v>1494</v>
      </c>
      <c r="AN137" t="s">
        <v>1495</v>
      </c>
      <c r="AO137" t="s">
        <v>1496</v>
      </c>
      <c r="AP137" t="s">
        <v>1497</v>
      </c>
      <c r="AQ137" t="s">
        <v>1498</v>
      </c>
      <c r="AR137" t="s">
        <v>1499</v>
      </c>
      <c r="AS137" t="s">
        <v>1500</v>
      </c>
    </row>
    <row r="138" spans="1:45" x14ac:dyDescent="0.45">
      <c r="A138">
        <v>137</v>
      </c>
      <c r="B138">
        <v>137</v>
      </c>
      <c r="C138" t="s">
        <v>78</v>
      </c>
      <c r="D138" t="s">
        <v>191</v>
      </c>
      <c r="E138" t="s">
        <v>74</v>
      </c>
      <c r="F138" t="s">
        <v>77</v>
      </c>
      <c r="G138" t="s">
        <v>76</v>
      </c>
      <c r="H138">
        <v>229.01094363180181</v>
      </c>
      <c r="I138">
        <v>4</v>
      </c>
      <c r="J138">
        <v>7</v>
      </c>
      <c r="K138">
        <v>8</v>
      </c>
      <c r="L138">
        <v>-1</v>
      </c>
      <c r="M138">
        <v>8</v>
      </c>
      <c r="N138">
        <v>8</v>
      </c>
      <c r="O138">
        <v>0</v>
      </c>
      <c r="P138">
        <v>7</v>
      </c>
      <c r="Q138">
        <v>8</v>
      </c>
      <c r="R138">
        <v>-1</v>
      </c>
      <c r="S138">
        <v>9</v>
      </c>
      <c r="T138">
        <v>8</v>
      </c>
      <c r="U138">
        <v>1</v>
      </c>
      <c r="V138">
        <v>7</v>
      </c>
      <c r="W138">
        <v>8</v>
      </c>
      <c r="X138">
        <v>-1</v>
      </c>
      <c r="Y138">
        <v>9</v>
      </c>
      <c r="Z138">
        <v>8</v>
      </c>
      <c r="AA138">
        <v>1</v>
      </c>
      <c r="AB138">
        <v>8</v>
      </c>
      <c r="AC138">
        <v>5</v>
      </c>
      <c r="AD138">
        <v>3</v>
      </c>
      <c r="AE138">
        <v>9</v>
      </c>
      <c r="AF138">
        <v>7</v>
      </c>
      <c r="AG138">
        <v>2</v>
      </c>
      <c r="AH138">
        <v>10</v>
      </c>
      <c r="AI138">
        <v>8</v>
      </c>
      <c r="AJ138">
        <v>2</v>
      </c>
      <c r="AK138" t="s">
        <v>1501</v>
      </c>
      <c r="AL138" t="s">
        <v>1502</v>
      </c>
      <c r="AM138" t="s">
        <v>1503</v>
      </c>
      <c r="AN138" t="s">
        <v>1504</v>
      </c>
      <c r="AO138" t="s">
        <v>1505</v>
      </c>
      <c r="AP138" t="s">
        <v>1506</v>
      </c>
      <c r="AQ138" t="s">
        <v>82</v>
      </c>
      <c r="AR138" t="s">
        <v>1507</v>
      </c>
      <c r="AS138" t="s">
        <v>1508</v>
      </c>
    </row>
    <row r="139" spans="1:45" x14ac:dyDescent="0.45">
      <c r="A139">
        <v>138</v>
      </c>
      <c r="B139">
        <v>138</v>
      </c>
      <c r="C139" t="s">
        <v>72</v>
      </c>
      <c r="D139" t="s">
        <v>81</v>
      </c>
      <c r="E139" t="s">
        <v>74</v>
      </c>
      <c r="F139" t="s">
        <v>75</v>
      </c>
      <c r="G139" t="s">
        <v>76</v>
      </c>
      <c r="H139">
        <v>14.865600921963605</v>
      </c>
      <c r="I139">
        <v>0</v>
      </c>
      <c r="J139">
        <v>7</v>
      </c>
      <c r="K139">
        <v>8</v>
      </c>
      <c r="L139">
        <v>-1</v>
      </c>
      <c r="M139">
        <v>8</v>
      </c>
      <c r="N139">
        <v>9</v>
      </c>
      <c r="O139">
        <v>-1</v>
      </c>
      <c r="P139">
        <v>9</v>
      </c>
      <c r="Q139">
        <v>7</v>
      </c>
      <c r="R139">
        <v>2</v>
      </c>
      <c r="S139">
        <v>9</v>
      </c>
      <c r="T139">
        <v>7</v>
      </c>
      <c r="U139">
        <v>2</v>
      </c>
      <c r="V139">
        <v>6</v>
      </c>
      <c r="W139">
        <v>6</v>
      </c>
      <c r="X139">
        <v>0</v>
      </c>
      <c r="Y139">
        <v>9</v>
      </c>
      <c r="Z139">
        <v>6</v>
      </c>
      <c r="AA139">
        <v>3</v>
      </c>
      <c r="AB139">
        <v>8</v>
      </c>
      <c r="AC139">
        <v>2</v>
      </c>
      <c r="AD139">
        <v>6</v>
      </c>
      <c r="AE139">
        <v>7</v>
      </c>
      <c r="AF139">
        <v>5</v>
      </c>
      <c r="AG139">
        <v>2</v>
      </c>
      <c r="AH139">
        <v>9</v>
      </c>
      <c r="AI139">
        <v>6</v>
      </c>
      <c r="AJ139">
        <v>3</v>
      </c>
      <c r="AK139" t="s">
        <v>1509</v>
      </c>
      <c r="AL139" t="s">
        <v>1510</v>
      </c>
      <c r="AM139" t="s">
        <v>1511</v>
      </c>
      <c r="AN139" t="s">
        <v>1512</v>
      </c>
      <c r="AO139" t="s">
        <v>1513</v>
      </c>
      <c r="AP139" t="s">
        <v>1514</v>
      </c>
      <c r="AQ139" t="s">
        <v>1515</v>
      </c>
      <c r="AR139" t="s">
        <v>1516</v>
      </c>
      <c r="AS139" t="s">
        <v>1517</v>
      </c>
    </row>
    <row r="140" spans="1:45" x14ac:dyDescent="0.45">
      <c r="A140">
        <v>139</v>
      </c>
      <c r="B140">
        <v>139</v>
      </c>
      <c r="C140" t="s">
        <v>72</v>
      </c>
      <c r="D140" t="s">
        <v>79</v>
      </c>
      <c r="E140" t="s">
        <v>74</v>
      </c>
      <c r="F140" t="s">
        <v>75</v>
      </c>
      <c r="G140" t="s">
        <v>76</v>
      </c>
      <c r="H140">
        <v>163.68085030130771</v>
      </c>
      <c r="I140">
        <v>2</v>
      </c>
      <c r="J140">
        <v>6</v>
      </c>
      <c r="K140">
        <v>5</v>
      </c>
      <c r="L140">
        <v>1</v>
      </c>
      <c r="M140">
        <v>6</v>
      </c>
      <c r="N140">
        <v>4</v>
      </c>
      <c r="O140">
        <v>2</v>
      </c>
      <c r="P140">
        <v>8</v>
      </c>
      <c r="Q140">
        <v>7</v>
      </c>
      <c r="R140">
        <v>1</v>
      </c>
      <c r="S140">
        <v>7</v>
      </c>
      <c r="T140">
        <v>6</v>
      </c>
      <c r="U140">
        <v>1</v>
      </c>
      <c r="V140">
        <v>8</v>
      </c>
      <c r="W140">
        <v>3</v>
      </c>
      <c r="X140">
        <v>5</v>
      </c>
      <c r="Y140">
        <v>9</v>
      </c>
      <c r="Z140">
        <v>4</v>
      </c>
      <c r="AA140">
        <v>5</v>
      </c>
      <c r="AB140">
        <v>8</v>
      </c>
      <c r="AC140">
        <v>4</v>
      </c>
      <c r="AD140">
        <v>4</v>
      </c>
      <c r="AE140">
        <v>7</v>
      </c>
      <c r="AF140">
        <v>5</v>
      </c>
      <c r="AG140">
        <v>2</v>
      </c>
      <c r="AH140">
        <v>9</v>
      </c>
      <c r="AI140">
        <v>5</v>
      </c>
      <c r="AJ140">
        <v>4</v>
      </c>
      <c r="AK140" t="s">
        <v>1518</v>
      </c>
      <c r="AL140" t="s">
        <v>1519</v>
      </c>
      <c r="AM140" t="s">
        <v>1520</v>
      </c>
      <c r="AN140" t="s">
        <v>1521</v>
      </c>
      <c r="AO140" t="s">
        <v>1522</v>
      </c>
      <c r="AP140" t="s">
        <v>1523</v>
      </c>
      <c r="AQ140" t="s">
        <v>1524</v>
      </c>
      <c r="AR140" t="s">
        <v>1525</v>
      </c>
      <c r="AS140" t="s">
        <v>1526</v>
      </c>
    </row>
    <row r="141" spans="1:45" x14ac:dyDescent="0.45">
      <c r="A141">
        <v>140</v>
      </c>
      <c r="B141">
        <v>140</v>
      </c>
      <c r="C141" t="s">
        <v>72</v>
      </c>
      <c r="D141" t="s">
        <v>73</v>
      </c>
      <c r="E141" t="s">
        <v>74</v>
      </c>
      <c r="F141" t="s">
        <v>77</v>
      </c>
      <c r="G141" t="s">
        <v>76</v>
      </c>
      <c r="H141">
        <v>28.340960399484587</v>
      </c>
      <c r="I141">
        <v>1</v>
      </c>
      <c r="J141">
        <v>6</v>
      </c>
      <c r="K141">
        <v>10</v>
      </c>
      <c r="L141">
        <v>-4</v>
      </c>
      <c r="M141">
        <v>5</v>
      </c>
      <c r="N141">
        <v>9</v>
      </c>
      <c r="O141">
        <v>-4</v>
      </c>
      <c r="P141">
        <v>8</v>
      </c>
      <c r="Q141">
        <v>9</v>
      </c>
      <c r="R141">
        <v>-1</v>
      </c>
      <c r="S141">
        <v>9</v>
      </c>
      <c r="T141">
        <v>9</v>
      </c>
      <c r="U141">
        <v>0</v>
      </c>
      <c r="V141">
        <v>8</v>
      </c>
      <c r="W141">
        <v>8</v>
      </c>
      <c r="X141">
        <v>0</v>
      </c>
      <c r="Y141">
        <v>9</v>
      </c>
      <c r="Z141">
        <v>8</v>
      </c>
      <c r="AA141">
        <v>1</v>
      </c>
      <c r="AB141">
        <v>7</v>
      </c>
      <c r="AC141">
        <v>8</v>
      </c>
      <c r="AD141">
        <v>-1</v>
      </c>
      <c r="AE141">
        <v>6</v>
      </c>
      <c r="AF141">
        <v>8</v>
      </c>
      <c r="AG141">
        <v>-2</v>
      </c>
      <c r="AH141">
        <v>8</v>
      </c>
      <c r="AI141">
        <v>10</v>
      </c>
      <c r="AJ141">
        <v>-2</v>
      </c>
      <c r="AK141" t="s">
        <v>1527</v>
      </c>
      <c r="AL141" t="s">
        <v>1528</v>
      </c>
      <c r="AM141" t="s">
        <v>1529</v>
      </c>
      <c r="AN141" t="s">
        <v>1530</v>
      </c>
      <c r="AO141" t="s">
        <v>1531</v>
      </c>
      <c r="AP141" t="s">
        <v>1532</v>
      </c>
      <c r="AQ141" t="s">
        <v>1533</v>
      </c>
      <c r="AR141" t="s">
        <v>1534</v>
      </c>
      <c r="AS141" t="s">
        <v>1535</v>
      </c>
    </row>
    <row r="142" spans="1:45" x14ac:dyDescent="0.45">
      <c r="A142">
        <v>141</v>
      </c>
      <c r="B142">
        <v>141</v>
      </c>
      <c r="C142" t="s">
        <v>78</v>
      </c>
      <c r="D142" t="s">
        <v>73</v>
      </c>
      <c r="E142" t="s">
        <v>74</v>
      </c>
      <c r="F142" t="s">
        <v>77</v>
      </c>
      <c r="G142" t="s">
        <v>76</v>
      </c>
      <c r="H142">
        <v>28.890372059104706</v>
      </c>
      <c r="I142">
        <v>1</v>
      </c>
      <c r="J142">
        <v>7</v>
      </c>
      <c r="K142">
        <v>8</v>
      </c>
      <c r="L142">
        <v>-1</v>
      </c>
      <c r="M142">
        <v>6</v>
      </c>
      <c r="N142">
        <v>7</v>
      </c>
      <c r="O142">
        <v>-1</v>
      </c>
      <c r="P142">
        <v>9</v>
      </c>
      <c r="Q142">
        <v>6</v>
      </c>
      <c r="R142">
        <v>3</v>
      </c>
      <c r="S142">
        <v>8</v>
      </c>
      <c r="T142">
        <v>6</v>
      </c>
      <c r="U142">
        <v>2</v>
      </c>
      <c r="V142">
        <v>7</v>
      </c>
      <c r="W142">
        <v>5</v>
      </c>
      <c r="X142">
        <v>2</v>
      </c>
      <c r="Y142">
        <v>8</v>
      </c>
      <c r="Z142">
        <v>5</v>
      </c>
      <c r="AA142">
        <v>3</v>
      </c>
      <c r="AB142">
        <v>7</v>
      </c>
      <c r="AC142">
        <v>3</v>
      </c>
      <c r="AD142">
        <v>4</v>
      </c>
      <c r="AE142">
        <v>6</v>
      </c>
      <c r="AF142">
        <v>3</v>
      </c>
      <c r="AG142">
        <v>3</v>
      </c>
      <c r="AH142">
        <v>9</v>
      </c>
      <c r="AI142">
        <v>5</v>
      </c>
      <c r="AJ142">
        <v>4</v>
      </c>
      <c r="AK142" t="s">
        <v>1536</v>
      </c>
      <c r="AL142" t="s">
        <v>1537</v>
      </c>
      <c r="AM142" t="s">
        <v>1538</v>
      </c>
      <c r="AN142" t="s">
        <v>1539</v>
      </c>
      <c r="AO142" t="s">
        <v>1540</v>
      </c>
      <c r="AP142" t="s">
        <v>1541</v>
      </c>
      <c r="AQ142" t="s">
        <v>1542</v>
      </c>
      <c r="AR142" t="s">
        <v>1543</v>
      </c>
      <c r="AS142" t="s">
        <v>1544</v>
      </c>
    </row>
    <row r="143" spans="1:45" x14ac:dyDescent="0.45">
      <c r="A143">
        <v>142</v>
      </c>
      <c r="B143">
        <v>142</v>
      </c>
      <c r="C143" t="s">
        <v>78</v>
      </c>
      <c r="D143" t="s">
        <v>79</v>
      </c>
      <c r="E143" t="s">
        <v>74</v>
      </c>
      <c r="F143" t="s">
        <v>75</v>
      </c>
      <c r="G143" t="s">
        <v>76</v>
      </c>
      <c r="H143">
        <v>12</v>
      </c>
      <c r="I143">
        <v>1</v>
      </c>
      <c r="J143">
        <v>6</v>
      </c>
      <c r="K143">
        <v>5</v>
      </c>
      <c r="L143">
        <v>1</v>
      </c>
      <c r="M143">
        <v>5</v>
      </c>
      <c r="N143">
        <v>6</v>
      </c>
      <c r="O143">
        <v>-1</v>
      </c>
      <c r="P143">
        <v>7</v>
      </c>
      <c r="Q143">
        <v>5</v>
      </c>
      <c r="R143">
        <v>2</v>
      </c>
      <c r="S143">
        <v>8</v>
      </c>
      <c r="T143">
        <v>7</v>
      </c>
      <c r="U143">
        <v>1</v>
      </c>
      <c r="V143">
        <v>9</v>
      </c>
      <c r="W143">
        <v>6</v>
      </c>
      <c r="X143">
        <v>3</v>
      </c>
      <c r="Y143">
        <v>8</v>
      </c>
      <c r="Z143">
        <v>6</v>
      </c>
      <c r="AA143">
        <v>2</v>
      </c>
      <c r="AB143">
        <v>7</v>
      </c>
      <c r="AC143">
        <v>6</v>
      </c>
      <c r="AD143">
        <v>1</v>
      </c>
      <c r="AE143">
        <v>6</v>
      </c>
      <c r="AF143">
        <v>7</v>
      </c>
      <c r="AG143">
        <v>-1</v>
      </c>
      <c r="AH143">
        <v>9</v>
      </c>
      <c r="AI143">
        <v>7</v>
      </c>
      <c r="AJ143">
        <v>2</v>
      </c>
      <c r="AK143" t="s">
        <v>1545</v>
      </c>
      <c r="AL143" t="s">
        <v>1546</v>
      </c>
      <c r="AM143" t="s">
        <v>1547</v>
      </c>
      <c r="AN143" t="s">
        <v>1548</v>
      </c>
      <c r="AO143" t="s">
        <v>1549</v>
      </c>
      <c r="AP143" t="s">
        <v>1550</v>
      </c>
      <c r="AQ143" t="s">
        <v>1551</v>
      </c>
      <c r="AR143" t="s">
        <v>1552</v>
      </c>
      <c r="AS143" t="s">
        <v>1553</v>
      </c>
    </row>
    <row r="144" spans="1:45" x14ac:dyDescent="0.45">
      <c r="A144">
        <v>143</v>
      </c>
      <c r="B144">
        <v>143</v>
      </c>
      <c r="C144" t="s">
        <v>78</v>
      </c>
      <c r="D144" t="s">
        <v>73</v>
      </c>
      <c r="E144" t="s">
        <v>74</v>
      </c>
      <c r="F144" t="s">
        <v>75</v>
      </c>
      <c r="G144" t="s">
        <v>76</v>
      </c>
      <c r="H144">
        <v>163.17138364369816</v>
      </c>
      <c r="I144">
        <v>0</v>
      </c>
      <c r="J144">
        <v>7</v>
      </c>
      <c r="K144">
        <v>1</v>
      </c>
      <c r="L144">
        <v>6</v>
      </c>
      <c r="M144">
        <v>8</v>
      </c>
      <c r="N144">
        <v>1</v>
      </c>
      <c r="O144">
        <v>7</v>
      </c>
      <c r="P144">
        <v>7</v>
      </c>
      <c r="Q144">
        <v>8</v>
      </c>
      <c r="R144">
        <v>-1</v>
      </c>
      <c r="S144">
        <v>9</v>
      </c>
      <c r="T144">
        <v>8</v>
      </c>
      <c r="U144">
        <v>1</v>
      </c>
      <c r="V144">
        <v>7</v>
      </c>
      <c r="W144">
        <v>8</v>
      </c>
      <c r="X144">
        <v>-1</v>
      </c>
      <c r="Y144">
        <v>8</v>
      </c>
      <c r="Z144">
        <v>8</v>
      </c>
      <c r="AA144">
        <v>0</v>
      </c>
      <c r="AB144">
        <v>7</v>
      </c>
      <c r="AC144">
        <v>8</v>
      </c>
      <c r="AD144">
        <v>-1</v>
      </c>
      <c r="AE144">
        <v>8</v>
      </c>
      <c r="AF144">
        <v>8</v>
      </c>
      <c r="AG144">
        <v>0</v>
      </c>
      <c r="AH144">
        <v>9</v>
      </c>
      <c r="AI144">
        <v>8</v>
      </c>
      <c r="AJ144">
        <v>1</v>
      </c>
      <c r="AK144" t="s">
        <v>1554</v>
      </c>
      <c r="AL144" t="s">
        <v>1555</v>
      </c>
      <c r="AM144" t="s">
        <v>1556</v>
      </c>
      <c r="AN144" t="s">
        <v>1557</v>
      </c>
      <c r="AO144" t="s">
        <v>1558</v>
      </c>
      <c r="AP144" t="s">
        <v>1559</v>
      </c>
      <c r="AQ144" t="s">
        <v>1560</v>
      </c>
      <c r="AR144" t="s">
        <v>1561</v>
      </c>
      <c r="AS144" t="s">
        <v>1562</v>
      </c>
    </row>
    <row r="145" spans="1:45" x14ac:dyDescent="0.45">
      <c r="A145">
        <v>144</v>
      </c>
      <c r="B145">
        <v>144</v>
      </c>
      <c r="C145" t="s">
        <v>72</v>
      </c>
      <c r="D145" t="s">
        <v>191</v>
      </c>
      <c r="E145" t="s">
        <v>74</v>
      </c>
      <c r="F145" t="s">
        <v>77</v>
      </c>
      <c r="G145" t="s">
        <v>76</v>
      </c>
      <c r="H145">
        <v>64.647998639983996</v>
      </c>
      <c r="I145">
        <v>2</v>
      </c>
      <c r="J145">
        <v>7</v>
      </c>
      <c r="K145">
        <v>9</v>
      </c>
      <c r="L145">
        <v>-2</v>
      </c>
      <c r="M145">
        <v>8</v>
      </c>
      <c r="N145">
        <v>9</v>
      </c>
      <c r="O145">
        <v>-1</v>
      </c>
      <c r="P145">
        <v>9</v>
      </c>
      <c r="Q145">
        <v>9</v>
      </c>
      <c r="R145">
        <v>0</v>
      </c>
      <c r="S145">
        <v>8</v>
      </c>
      <c r="T145">
        <v>9</v>
      </c>
      <c r="U145">
        <v>-1</v>
      </c>
      <c r="V145">
        <v>9</v>
      </c>
      <c r="W145">
        <v>10</v>
      </c>
      <c r="X145">
        <v>-1</v>
      </c>
      <c r="Y145">
        <v>9</v>
      </c>
      <c r="Z145">
        <v>5</v>
      </c>
      <c r="AA145">
        <v>4</v>
      </c>
      <c r="AB145">
        <v>8</v>
      </c>
      <c r="AC145">
        <v>9</v>
      </c>
      <c r="AD145">
        <v>-1</v>
      </c>
      <c r="AE145">
        <v>7</v>
      </c>
      <c r="AF145">
        <v>9</v>
      </c>
      <c r="AG145">
        <v>-2</v>
      </c>
      <c r="AH145">
        <v>9</v>
      </c>
      <c r="AI145">
        <v>10</v>
      </c>
      <c r="AJ145">
        <v>-1</v>
      </c>
      <c r="AK145" t="s">
        <v>256</v>
      </c>
      <c r="AL145" t="s">
        <v>257</v>
      </c>
      <c r="AM145" t="s">
        <v>1563</v>
      </c>
      <c r="AN145" t="s">
        <v>1564</v>
      </c>
      <c r="AO145" t="s">
        <v>1565</v>
      </c>
      <c r="AP145" t="s">
        <v>1566</v>
      </c>
      <c r="AQ145" t="s">
        <v>1567</v>
      </c>
      <c r="AR145" t="s">
        <v>1568</v>
      </c>
      <c r="AS145" t="s">
        <v>1569</v>
      </c>
    </row>
    <row r="146" spans="1:45" x14ac:dyDescent="0.45">
      <c r="A146">
        <v>145</v>
      </c>
      <c r="B146">
        <v>145</v>
      </c>
      <c r="C146" t="s">
        <v>72</v>
      </c>
      <c r="D146" t="s">
        <v>79</v>
      </c>
      <c r="E146" t="s">
        <v>74</v>
      </c>
      <c r="F146" t="s">
        <v>77</v>
      </c>
      <c r="G146" t="s">
        <v>76</v>
      </c>
      <c r="H146">
        <v>60.613241688350683</v>
      </c>
      <c r="I146">
        <v>2</v>
      </c>
      <c r="J146">
        <v>7</v>
      </c>
      <c r="K146">
        <v>10</v>
      </c>
      <c r="L146">
        <v>-3</v>
      </c>
      <c r="M146">
        <v>6</v>
      </c>
      <c r="N146">
        <v>10</v>
      </c>
      <c r="O146">
        <v>-4</v>
      </c>
      <c r="P146">
        <v>9</v>
      </c>
      <c r="Q146">
        <v>9</v>
      </c>
      <c r="R146">
        <v>0</v>
      </c>
      <c r="S146">
        <v>8</v>
      </c>
      <c r="T146">
        <v>6</v>
      </c>
      <c r="U146">
        <v>2</v>
      </c>
      <c r="V146">
        <v>9</v>
      </c>
      <c r="W146">
        <v>6</v>
      </c>
      <c r="X146">
        <v>3</v>
      </c>
      <c r="Y146">
        <v>8</v>
      </c>
      <c r="Z146">
        <v>3</v>
      </c>
      <c r="AA146">
        <v>5</v>
      </c>
      <c r="AB146">
        <v>9</v>
      </c>
      <c r="AC146">
        <v>5</v>
      </c>
      <c r="AD146">
        <v>4</v>
      </c>
      <c r="AE146">
        <v>8</v>
      </c>
      <c r="AF146">
        <v>5</v>
      </c>
      <c r="AG146">
        <v>3</v>
      </c>
      <c r="AH146">
        <v>9</v>
      </c>
      <c r="AI146">
        <v>1</v>
      </c>
      <c r="AJ146">
        <v>8</v>
      </c>
      <c r="AK146" t="s">
        <v>1570</v>
      </c>
      <c r="AL146" t="s">
        <v>1571</v>
      </c>
      <c r="AM146" t="s">
        <v>1572</v>
      </c>
      <c r="AN146" t="s">
        <v>1573</v>
      </c>
      <c r="AO146" t="s">
        <v>1574</v>
      </c>
      <c r="AP146" t="s">
        <v>1575</v>
      </c>
      <c r="AQ146" t="s">
        <v>1576</v>
      </c>
      <c r="AR146" t="s">
        <v>1577</v>
      </c>
      <c r="AS146" t="s">
        <v>1578</v>
      </c>
    </row>
    <row r="147" spans="1:45" x14ac:dyDescent="0.45">
      <c r="A147">
        <v>146</v>
      </c>
      <c r="B147">
        <v>146</v>
      </c>
      <c r="C147" t="s">
        <v>72</v>
      </c>
      <c r="D147" t="s">
        <v>79</v>
      </c>
      <c r="E147" t="s">
        <v>74</v>
      </c>
      <c r="F147" t="s">
        <v>77</v>
      </c>
      <c r="G147" t="s">
        <v>76</v>
      </c>
      <c r="H147">
        <v>94.815625324874532</v>
      </c>
      <c r="I147">
        <v>3</v>
      </c>
      <c r="J147">
        <v>8</v>
      </c>
      <c r="K147">
        <v>8</v>
      </c>
      <c r="L147">
        <v>0</v>
      </c>
      <c r="M147">
        <v>9</v>
      </c>
      <c r="N147">
        <v>8</v>
      </c>
      <c r="O147">
        <v>1</v>
      </c>
      <c r="P147">
        <v>8</v>
      </c>
      <c r="Q147">
        <v>5</v>
      </c>
      <c r="R147">
        <v>3</v>
      </c>
      <c r="S147">
        <v>9</v>
      </c>
      <c r="T147">
        <v>5</v>
      </c>
      <c r="U147">
        <v>4</v>
      </c>
      <c r="V147">
        <v>8</v>
      </c>
      <c r="W147">
        <v>5</v>
      </c>
      <c r="X147">
        <v>3</v>
      </c>
      <c r="Y147">
        <v>9</v>
      </c>
      <c r="Z147">
        <v>3</v>
      </c>
      <c r="AA147">
        <v>6</v>
      </c>
      <c r="AB147">
        <v>8</v>
      </c>
      <c r="AC147">
        <v>5</v>
      </c>
      <c r="AD147">
        <v>3</v>
      </c>
      <c r="AE147">
        <v>9</v>
      </c>
      <c r="AF147">
        <v>5</v>
      </c>
      <c r="AG147">
        <v>4</v>
      </c>
      <c r="AH147">
        <v>9</v>
      </c>
      <c r="AI147">
        <v>5</v>
      </c>
      <c r="AJ147">
        <v>4</v>
      </c>
      <c r="AK147" t="s">
        <v>1579</v>
      </c>
      <c r="AL147" t="s">
        <v>1580</v>
      </c>
      <c r="AM147" t="s">
        <v>1581</v>
      </c>
      <c r="AN147" t="s">
        <v>1582</v>
      </c>
      <c r="AO147" t="s">
        <v>1583</v>
      </c>
      <c r="AP147" t="s">
        <v>1584</v>
      </c>
      <c r="AQ147" t="s">
        <v>1585</v>
      </c>
      <c r="AR147" t="s">
        <v>1586</v>
      </c>
      <c r="AS147" t="s">
        <v>1587</v>
      </c>
    </row>
    <row r="148" spans="1:45" x14ac:dyDescent="0.45">
      <c r="A148">
        <v>147</v>
      </c>
      <c r="B148">
        <v>147</v>
      </c>
      <c r="C148" t="s">
        <v>72</v>
      </c>
      <c r="D148" t="s">
        <v>193</v>
      </c>
      <c r="E148" t="s">
        <v>74</v>
      </c>
      <c r="F148" t="s">
        <v>75</v>
      </c>
      <c r="G148" t="s">
        <v>76</v>
      </c>
      <c r="H148">
        <v>248.44402883398766</v>
      </c>
      <c r="I148">
        <v>0</v>
      </c>
      <c r="J148">
        <v>8</v>
      </c>
      <c r="K148">
        <v>7</v>
      </c>
      <c r="L148">
        <v>1</v>
      </c>
      <c r="M148">
        <v>9</v>
      </c>
      <c r="N148">
        <v>7</v>
      </c>
      <c r="O148">
        <v>2</v>
      </c>
      <c r="P148">
        <v>9</v>
      </c>
      <c r="Q148">
        <v>1</v>
      </c>
      <c r="R148">
        <v>8</v>
      </c>
      <c r="S148">
        <v>8</v>
      </c>
      <c r="T148">
        <v>6</v>
      </c>
      <c r="U148">
        <v>2</v>
      </c>
      <c r="V148">
        <v>9</v>
      </c>
      <c r="W148">
        <v>3</v>
      </c>
      <c r="X148">
        <v>6</v>
      </c>
      <c r="Y148">
        <v>8</v>
      </c>
      <c r="Z148">
        <v>5</v>
      </c>
      <c r="AA148">
        <v>3</v>
      </c>
      <c r="AB148">
        <v>9</v>
      </c>
      <c r="AC148">
        <v>1</v>
      </c>
      <c r="AD148">
        <v>8</v>
      </c>
      <c r="AE148">
        <v>8</v>
      </c>
      <c r="AF148">
        <v>4</v>
      </c>
      <c r="AG148">
        <v>4</v>
      </c>
      <c r="AH148">
        <v>9</v>
      </c>
      <c r="AI148">
        <v>5</v>
      </c>
      <c r="AJ148">
        <v>4</v>
      </c>
      <c r="AK148" t="s">
        <v>1588</v>
      </c>
      <c r="AL148" t="s">
        <v>1589</v>
      </c>
      <c r="AM148" t="s">
        <v>1590</v>
      </c>
      <c r="AN148" t="s">
        <v>1591</v>
      </c>
      <c r="AO148" t="s">
        <v>1592</v>
      </c>
      <c r="AP148" t="s">
        <v>1593</v>
      </c>
      <c r="AQ148" t="s">
        <v>1594</v>
      </c>
      <c r="AR148" t="s">
        <v>1595</v>
      </c>
      <c r="AS148" t="s">
        <v>1596</v>
      </c>
    </row>
    <row r="149" spans="1:45" x14ac:dyDescent="0.45">
      <c r="A149">
        <v>148</v>
      </c>
      <c r="B149">
        <v>148</v>
      </c>
      <c r="C149" t="s">
        <v>78</v>
      </c>
      <c r="D149" t="s">
        <v>81</v>
      </c>
      <c r="E149" t="s">
        <v>74</v>
      </c>
      <c r="F149" t="s">
        <v>77</v>
      </c>
      <c r="G149" t="s">
        <v>76</v>
      </c>
      <c r="H149">
        <v>20.549796990208112</v>
      </c>
      <c r="I149">
        <v>0</v>
      </c>
      <c r="J149">
        <v>5</v>
      </c>
      <c r="K149">
        <v>6</v>
      </c>
      <c r="L149">
        <v>-1</v>
      </c>
      <c r="M149">
        <v>6</v>
      </c>
      <c r="N149">
        <v>6</v>
      </c>
      <c r="O149">
        <v>0</v>
      </c>
      <c r="P149">
        <v>8</v>
      </c>
      <c r="Q149">
        <v>5</v>
      </c>
      <c r="R149">
        <v>3</v>
      </c>
      <c r="S149">
        <v>9</v>
      </c>
      <c r="T149">
        <v>7</v>
      </c>
      <c r="U149">
        <v>2</v>
      </c>
      <c r="V149">
        <v>7</v>
      </c>
      <c r="W149">
        <v>5</v>
      </c>
      <c r="X149">
        <v>2</v>
      </c>
      <c r="Y149">
        <v>8</v>
      </c>
      <c r="Z149">
        <v>7</v>
      </c>
      <c r="AA149">
        <v>1</v>
      </c>
      <c r="AB149">
        <v>6</v>
      </c>
      <c r="AC149">
        <v>5</v>
      </c>
      <c r="AD149">
        <v>1</v>
      </c>
      <c r="AE149">
        <v>7</v>
      </c>
      <c r="AF149">
        <v>6</v>
      </c>
      <c r="AG149">
        <v>1</v>
      </c>
      <c r="AH149">
        <v>8</v>
      </c>
      <c r="AI149">
        <v>7</v>
      </c>
      <c r="AJ149">
        <v>1</v>
      </c>
      <c r="AK149" t="s">
        <v>1597</v>
      </c>
      <c r="AL149" t="s">
        <v>1598</v>
      </c>
      <c r="AM149" t="s">
        <v>1599</v>
      </c>
      <c r="AN149" t="s">
        <v>1600</v>
      </c>
      <c r="AO149" t="s">
        <v>1601</v>
      </c>
      <c r="AP149" t="s">
        <v>1602</v>
      </c>
      <c r="AQ149" t="s">
        <v>1603</v>
      </c>
      <c r="AR149" t="s">
        <v>1604</v>
      </c>
      <c r="AS149" t="s">
        <v>1605</v>
      </c>
    </row>
    <row r="150" spans="1:45" x14ac:dyDescent="0.45">
      <c r="A150">
        <v>149</v>
      </c>
      <c r="B150">
        <v>149</v>
      </c>
      <c r="C150" t="s">
        <v>72</v>
      </c>
      <c r="D150" t="s">
        <v>79</v>
      </c>
      <c r="E150" t="s">
        <v>74</v>
      </c>
      <c r="F150" t="s">
        <v>77</v>
      </c>
      <c r="G150" t="s">
        <v>76</v>
      </c>
      <c r="H150">
        <v>114.13980357854491</v>
      </c>
      <c r="I150">
        <v>3</v>
      </c>
      <c r="J150">
        <v>8</v>
      </c>
      <c r="K150">
        <v>10</v>
      </c>
      <c r="L150">
        <v>-2</v>
      </c>
      <c r="M150">
        <v>7</v>
      </c>
      <c r="N150">
        <v>10</v>
      </c>
      <c r="O150">
        <v>-3</v>
      </c>
      <c r="P150">
        <v>9</v>
      </c>
      <c r="Q150">
        <v>7</v>
      </c>
      <c r="R150">
        <v>2</v>
      </c>
      <c r="S150">
        <v>8</v>
      </c>
      <c r="T150">
        <v>8</v>
      </c>
      <c r="U150">
        <v>0</v>
      </c>
      <c r="V150">
        <v>9</v>
      </c>
      <c r="W150">
        <v>8</v>
      </c>
      <c r="X150">
        <v>1</v>
      </c>
      <c r="Y150">
        <v>8</v>
      </c>
      <c r="Z150">
        <v>4</v>
      </c>
      <c r="AA150">
        <v>4</v>
      </c>
      <c r="AB150">
        <v>7</v>
      </c>
      <c r="AC150">
        <v>1</v>
      </c>
      <c r="AD150">
        <v>6</v>
      </c>
      <c r="AE150">
        <v>6</v>
      </c>
      <c r="AF150">
        <v>3</v>
      </c>
      <c r="AG150">
        <v>3</v>
      </c>
      <c r="AH150">
        <v>9</v>
      </c>
      <c r="AI150">
        <v>6</v>
      </c>
      <c r="AJ150">
        <v>3</v>
      </c>
      <c r="AK150" t="s">
        <v>1606</v>
      </c>
      <c r="AL150" t="s">
        <v>1607</v>
      </c>
      <c r="AM150" t="s">
        <v>1608</v>
      </c>
      <c r="AN150" t="s">
        <v>1609</v>
      </c>
      <c r="AO150" t="s">
        <v>1610</v>
      </c>
      <c r="AP150" t="s">
        <v>1611</v>
      </c>
      <c r="AQ150" t="s">
        <v>1612</v>
      </c>
      <c r="AR150" t="s">
        <v>1613</v>
      </c>
      <c r="AS150" t="s">
        <v>1614</v>
      </c>
    </row>
    <row r="151" spans="1:45" x14ac:dyDescent="0.45">
      <c r="A151">
        <v>150</v>
      </c>
      <c r="B151">
        <v>150</v>
      </c>
      <c r="C151" t="s">
        <v>72</v>
      </c>
      <c r="D151" t="s">
        <v>79</v>
      </c>
      <c r="E151" t="s">
        <v>74</v>
      </c>
      <c r="F151" t="s">
        <v>77</v>
      </c>
      <c r="G151" t="s">
        <v>76</v>
      </c>
      <c r="H151">
        <v>48.101262925188834</v>
      </c>
      <c r="I151">
        <v>2</v>
      </c>
      <c r="J151">
        <v>9</v>
      </c>
      <c r="K151">
        <v>7</v>
      </c>
      <c r="L151">
        <v>2</v>
      </c>
      <c r="M151">
        <v>8</v>
      </c>
      <c r="N151">
        <v>10</v>
      </c>
      <c r="O151">
        <v>-2</v>
      </c>
      <c r="P151">
        <v>9</v>
      </c>
      <c r="Q151">
        <v>5</v>
      </c>
      <c r="R151">
        <v>4</v>
      </c>
      <c r="S151">
        <v>9</v>
      </c>
      <c r="T151">
        <v>7</v>
      </c>
      <c r="U151">
        <v>2</v>
      </c>
      <c r="V151">
        <v>8</v>
      </c>
      <c r="W151">
        <v>7</v>
      </c>
      <c r="X151">
        <v>1</v>
      </c>
      <c r="Y151">
        <v>9</v>
      </c>
      <c r="Z151">
        <v>7</v>
      </c>
      <c r="AA151">
        <v>2</v>
      </c>
      <c r="AB151">
        <v>8</v>
      </c>
      <c r="AC151">
        <v>7</v>
      </c>
      <c r="AD151">
        <v>1</v>
      </c>
      <c r="AE151">
        <v>7</v>
      </c>
      <c r="AF151">
        <v>7</v>
      </c>
      <c r="AG151">
        <v>0</v>
      </c>
      <c r="AH151">
        <v>9</v>
      </c>
      <c r="AI151">
        <v>10</v>
      </c>
      <c r="AJ151">
        <v>-1</v>
      </c>
      <c r="AK151" t="s">
        <v>1615</v>
      </c>
      <c r="AL151" t="s">
        <v>1616</v>
      </c>
      <c r="AM151" t="s">
        <v>1617</v>
      </c>
      <c r="AN151" t="s">
        <v>1618</v>
      </c>
      <c r="AO151" t="s">
        <v>1619</v>
      </c>
      <c r="AP151" t="s">
        <v>1620</v>
      </c>
      <c r="AQ151" t="s">
        <v>1621</v>
      </c>
      <c r="AR151" t="s">
        <v>1622</v>
      </c>
      <c r="AS151" t="s">
        <v>1623</v>
      </c>
    </row>
    <row r="152" spans="1:45" x14ac:dyDescent="0.45">
      <c r="A152">
        <v>151</v>
      </c>
      <c r="B152">
        <v>151</v>
      </c>
      <c r="C152" t="s">
        <v>72</v>
      </c>
      <c r="D152" t="s">
        <v>73</v>
      </c>
      <c r="E152" t="s">
        <v>74</v>
      </c>
      <c r="F152" t="s">
        <v>77</v>
      </c>
      <c r="G152" t="s">
        <v>76</v>
      </c>
      <c r="H152">
        <v>85.245609116171011</v>
      </c>
      <c r="I152">
        <v>2</v>
      </c>
      <c r="J152">
        <v>9</v>
      </c>
      <c r="K152">
        <v>8</v>
      </c>
      <c r="L152">
        <v>1</v>
      </c>
      <c r="M152">
        <v>8</v>
      </c>
      <c r="N152">
        <v>8</v>
      </c>
      <c r="O152">
        <v>0</v>
      </c>
      <c r="P152">
        <v>8</v>
      </c>
      <c r="Q152">
        <v>8</v>
      </c>
      <c r="R152">
        <v>0</v>
      </c>
      <c r="S152">
        <v>9</v>
      </c>
      <c r="T152">
        <v>8</v>
      </c>
      <c r="U152">
        <v>1</v>
      </c>
      <c r="V152">
        <v>8</v>
      </c>
      <c r="W152">
        <v>8</v>
      </c>
      <c r="X152">
        <v>0</v>
      </c>
      <c r="Y152">
        <v>9</v>
      </c>
      <c r="Z152">
        <v>8</v>
      </c>
      <c r="AA152">
        <v>1</v>
      </c>
      <c r="AB152">
        <v>8</v>
      </c>
      <c r="AC152">
        <v>8</v>
      </c>
      <c r="AD152">
        <v>0</v>
      </c>
      <c r="AE152">
        <v>9</v>
      </c>
      <c r="AF152">
        <v>8</v>
      </c>
      <c r="AG152">
        <v>1</v>
      </c>
      <c r="AH152">
        <v>8</v>
      </c>
      <c r="AI152">
        <v>8</v>
      </c>
      <c r="AJ152">
        <v>0</v>
      </c>
      <c r="AK152" t="s">
        <v>266</v>
      </c>
      <c r="AL152" t="s">
        <v>267</v>
      </c>
      <c r="AM152" t="s">
        <v>268</v>
      </c>
      <c r="AN152" t="s">
        <v>269</v>
      </c>
      <c r="AO152" t="s">
        <v>270</v>
      </c>
      <c r="AP152" t="s">
        <v>271</v>
      </c>
      <c r="AQ152" t="s">
        <v>1624</v>
      </c>
      <c r="AR152" t="s">
        <v>1625</v>
      </c>
      <c r="AS152" t="s">
        <v>1626</v>
      </c>
    </row>
    <row r="153" spans="1:45" x14ac:dyDescent="0.45">
      <c r="A153">
        <v>152</v>
      </c>
      <c r="B153">
        <v>152</v>
      </c>
      <c r="C153" t="s">
        <v>72</v>
      </c>
      <c r="D153" t="s">
        <v>79</v>
      </c>
      <c r="E153" t="s">
        <v>74</v>
      </c>
      <c r="F153" t="s">
        <v>75</v>
      </c>
      <c r="G153" t="s">
        <v>76</v>
      </c>
      <c r="H153">
        <v>76.77451375109446</v>
      </c>
      <c r="I153">
        <v>2</v>
      </c>
      <c r="J153">
        <v>7</v>
      </c>
      <c r="K153">
        <v>10</v>
      </c>
      <c r="L153">
        <v>-3</v>
      </c>
      <c r="M153">
        <v>7</v>
      </c>
      <c r="N153">
        <v>10</v>
      </c>
      <c r="O153">
        <v>-3</v>
      </c>
      <c r="P153">
        <v>8</v>
      </c>
      <c r="Q153">
        <v>10</v>
      </c>
      <c r="R153">
        <v>-2</v>
      </c>
      <c r="S153">
        <v>9</v>
      </c>
      <c r="T153">
        <v>10</v>
      </c>
      <c r="U153">
        <v>-1</v>
      </c>
      <c r="V153">
        <v>7</v>
      </c>
      <c r="W153">
        <v>10</v>
      </c>
      <c r="X153">
        <v>-3</v>
      </c>
      <c r="Y153">
        <v>9</v>
      </c>
      <c r="Z153">
        <v>10</v>
      </c>
      <c r="AA153">
        <v>-1</v>
      </c>
      <c r="AB153">
        <v>7</v>
      </c>
      <c r="AC153">
        <v>10</v>
      </c>
      <c r="AD153">
        <v>-3</v>
      </c>
      <c r="AE153">
        <v>8</v>
      </c>
      <c r="AF153">
        <v>10</v>
      </c>
      <c r="AG153">
        <v>-2</v>
      </c>
      <c r="AH153">
        <v>9</v>
      </c>
      <c r="AI153">
        <v>10</v>
      </c>
      <c r="AJ153">
        <v>-1</v>
      </c>
      <c r="AK153" t="s">
        <v>1627</v>
      </c>
      <c r="AL153" t="s">
        <v>1628</v>
      </c>
      <c r="AM153" t="s">
        <v>1629</v>
      </c>
      <c r="AN153" t="s">
        <v>1630</v>
      </c>
      <c r="AO153" t="s">
        <v>1631</v>
      </c>
      <c r="AP153" t="s">
        <v>1632</v>
      </c>
      <c r="AQ153" t="s">
        <v>1633</v>
      </c>
      <c r="AR153" t="s">
        <v>1634</v>
      </c>
      <c r="AS153" t="s">
        <v>1635</v>
      </c>
    </row>
    <row r="154" spans="1:45" x14ac:dyDescent="0.45">
      <c r="A154">
        <v>153</v>
      </c>
      <c r="B154">
        <v>153</v>
      </c>
      <c r="C154" t="s">
        <v>78</v>
      </c>
      <c r="D154" t="s">
        <v>73</v>
      </c>
      <c r="E154" t="s">
        <v>74</v>
      </c>
      <c r="F154" t="s">
        <v>77</v>
      </c>
      <c r="G154" t="s">
        <v>76</v>
      </c>
      <c r="H154">
        <v>12</v>
      </c>
      <c r="I154">
        <v>1</v>
      </c>
      <c r="J154">
        <v>5</v>
      </c>
      <c r="K154">
        <v>7</v>
      </c>
      <c r="L154">
        <v>-2</v>
      </c>
      <c r="M154">
        <v>6</v>
      </c>
      <c r="N154">
        <v>7</v>
      </c>
      <c r="O154">
        <v>-1</v>
      </c>
      <c r="P154">
        <v>7</v>
      </c>
      <c r="Q154">
        <v>5</v>
      </c>
      <c r="R154">
        <v>2</v>
      </c>
      <c r="S154">
        <v>8</v>
      </c>
      <c r="T154">
        <v>7</v>
      </c>
      <c r="U154">
        <v>1</v>
      </c>
      <c r="V154">
        <v>7</v>
      </c>
      <c r="W154">
        <v>7</v>
      </c>
      <c r="X154">
        <v>0</v>
      </c>
      <c r="Y154">
        <v>9</v>
      </c>
      <c r="Z154">
        <v>7</v>
      </c>
      <c r="AA154">
        <v>2</v>
      </c>
      <c r="AB154">
        <v>8</v>
      </c>
      <c r="AC154">
        <v>7</v>
      </c>
      <c r="AD154">
        <v>1</v>
      </c>
      <c r="AE154">
        <v>7</v>
      </c>
      <c r="AF154">
        <v>7</v>
      </c>
      <c r="AG154">
        <v>0</v>
      </c>
      <c r="AH154">
        <v>8</v>
      </c>
      <c r="AI154">
        <v>7</v>
      </c>
      <c r="AJ154">
        <v>1</v>
      </c>
      <c r="AK154" t="s">
        <v>1636</v>
      </c>
      <c r="AL154" t="s">
        <v>1637</v>
      </c>
      <c r="AM154" t="s">
        <v>1638</v>
      </c>
      <c r="AN154" t="s">
        <v>1639</v>
      </c>
      <c r="AO154" t="s">
        <v>1640</v>
      </c>
      <c r="AP154" t="s">
        <v>1641</v>
      </c>
      <c r="AQ154" t="s">
        <v>1642</v>
      </c>
      <c r="AR154" t="s">
        <v>1643</v>
      </c>
      <c r="AS154" t="s">
        <v>1644</v>
      </c>
    </row>
    <row r="155" spans="1:45" x14ac:dyDescent="0.45">
      <c r="A155">
        <v>154</v>
      </c>
      <c r="B155">
        <v>154</v>
      </c>
      <c r="C155" t="s">
        <v>72</v>
      </c>
      <c r="D155" t="s">
        <v>81</v>
      </c>
      <c r="E155" t="s">
        <v>74</v>
      </c>
      <c r="F155" t="s">
        <v>77</v>
      </c>
      <c r="G155" t="s">
        <v>76</v>
      </c>
      <c r="H155">
        <v>12</v>
      </c>
      <c r="I155">
        <v>2</v>
      </c>
      <c r="J155">
        <v>9</v>
      </c>
      <c r="K155">
        <v>7</v>
      </c>
      <c r="L155">
        <v>2</v>
      </c>
      <c r="M155">
        <v>8</v>
      </c>
      <c r="N155">
        <v>8</v>
      </c>
      <c r="O155">
        <v>0</v>
      </c>
      <c r="P155">
        <v>9</v>
      </c>
      <c r="Q155">
        <v>8</v>
      </c>
      <c r="R155">
        <v>1</v>
      </c>
      <c r="S155">
        <v>8</v>
      </c>
      <c r="T155">
        <v>8</v>
      </c>
      <c r="U155">
        <v>0</v>
      </c>
      <c r="V155">
        <v>9</v>
      </c>
      <c r="W155">
        <v>6</v>
      </c>
      <c r="X155">
        <v>3</v>
      </c>
      <c r="Y155">
        <v>8</v>
      </c>
      <c r="Z155">
        <v>8</v>
      </c>
      <c r="AA155">
        <v>0</v>
      </c>
      <c r="AB155">
        <v>7</v>
      </c>
      <c r="AC155">
        <v>5</v>
      </c>
      <c r="AD155">
        <v>2</v>
      </c>
      <c r="AE155">
        <v>8</v>
      </c>
      <c r="AF155">
        <v>8</v>
      </c>
      <c r="AG155">
        <v>0</v>
      </c>
      <c r="AH155">
        <v>9</v>
      </c>
      <c r="AI155">
        <v>8</v>
      </c>
      <c r="AJ155">
        <v>1</v>
      </c>
      <c r="AK155" t="s">
        <v>1645</v>
      </c>
      <c r="AL155" t="s">
        <v>1646</v>
      </c>
      <c r="AM155" t="s">
        <v>1647</v>
      </c>
      <c r="AN155" t="s">
        <v>1648</v>
      </c>
      <c r="AO155" t="s">
        <v>1649</v>
      </c>
      <c r="AP155" t="s">
        <v>1650</v>
      </c>
      <c r="AQ155" t="s">
        <v>1651</v>
      </c>
      <c r="AR155" t="s">
        <v>1652</v>
      </c>
      <c r="AS155" t="s">
        <v>1653</v>
      </c>
    </row>
    <row r="156" spans="1:45" x14ac:dyDescent="0.45">
      <c r="A156">
        <v>155</v>
      </c>
      <c r="B156">
        <v>155</v>
      </c>
      <c r="C156" t="s">
        <v>72</v>
      </c>
      <c r="D156" t="s">
        <v>73</v>
      </c>
      <c r="E156" t="s">
        <v>74</v>
      </c>
      <c r="F156" t="s">
        <v>75</v>
      </c>
      <c r="G156" t="s">
        <v>76</v>
      </c>
      <c r="H156">
        <v>54.541076385514671</v>
      </c>
      <c r="I156">
        <v>1</v>
      </c>
      <c r="J156">
        <v>7</v>
      </c>
      <c r="K156">
        <v>10</v>
      </c>
      <c r="L156">
        <v>-3</v>
      </c>
      <c r="M156">
        <v>8</v>
      </c>
      <c r="N156">
        <v>10</v>
      </c>
      <c r="O156">
        <v>-2</v>
      </c>
      <c r="P156">
        <v>9</v>
      </c>
      <c r="Q156">
        <v>10</v>
      </c>
      <c r="R156">
        <v>-1</v>
      </c>
      <c r="S156">
        <v>9</v>
      </c>
      <c r="T156">
        <v>10</v>
      </c>
      <c r="U156">
        <v>-1</v>
      </c>
      <c r="V156">
        <v>6</v>
      </c>
      <c r="W156">
        <v>10</v>
      </c>
      <c r="X156">
        <v>-4</v>
      </c>
      <c r="Y156">
        <v>9</v>
      </c>
      <c r="Z156">
        <v>10</v>
      </c>
      <c r="AA156">
        <v>-1</v>
      </c>
      <c r="AB156">
        <v>8</v>
      </c>
      <c r="AC156">
        <v>10</v>
      </c>
      <c r="AD156">
        <v>-2</v>
      </c>
      <c r="AE156">
        <v>7</v>
      </c>
      <c r="AF156">
        <v>10</v>
      </c>
      <c r="AG156">
        <v>-3</v>
      </c>
      <c r="AH156">
        <v>9</v>
      </c>
      <c r="AI156">
        <v>10</v>
      </c>
      <c r="AJ156">
        <v>-1</v>
      </c>
      <c r="AK156" t="s">
        <v>1654</v>
      </c>
      <c r="AL156" t="s">
        <v>1655</v>
      </c>
      <c r="AM156" t="s">
        <v>1656</v>
      </c>
      <c r="AN156" t="s">
        <v>1657</v>
      </c>
      <c r="AO156" t="s">
        <v>1658</v>
      </c>
      <c r="AP156" t="s">
        <v>1659</v>
      </c>
      <c r="AQ156" t="s">
        <v>260</v>
      </c>
      <c r="AR156" t="s">
        <v>1660</v>
      </c>
      <c r="AS156" t="s">
        <v>1661</v>
      </c>
    </row>
    <row r="157" spans="1:45" x14ac:dyDescent="0.45">
      <c r="A157">
        <v>156</v>
      </c>
      <c r="B157">
        <v>156</v>
      </c>
      <c r="C157" t="s">
        <v>72</v>
      </c>
      <c r="D157" t="s">
        <v>73</v>
      </c>
      <c r="E157" t="s">
        <v>74</v>
      </c>
      <c r="F157" t="s">
        <v>75</v>
      </c>
      <c r="G157" t="s">
        <v>76</v>
      </c>
      <c r="H157">
        <v>24.109760833859287</v>
      </c>
      <c r="I157">
        <v>1</v>
      </c>
      <c r="J157">
        <v>7</v>
      </c>
      <c r="K157">
        <v>10</v>
      </c>
      <c r="L157">
        <v>-3</v>
      </c>
      <c r="M157">
        <v>8</v>
      </c>
      <c r="N157">
        <v>10</v>
      </c>
      <c r="O157">
        <v>-2</v>
      </c>
      <c r="P157">
        <v>9</v>
      </c>
      <c r="Q157">
        <v>10</v>
      </c>
      <c r="R157">
        <v>-1</v>
      </c>
      <c r="S157">
        <v>9</v>
      </c>
      <c r="T157">
        <v>10</v>
      </c>
      <c r="U157">
        <v>-1</v>
      </c>
      <c r="V157">
        <v>8</v>
      </c>
      <c r="W157">
        <v>10</v>
      </c>
      <c r="X157">
        <v>-2</v>
      </c>
      <c r="Y157">
        <v>9</v>
      </c>
      <c r="Z157">
        <v>10</v>
      </c>
      <c r="AA157">
        <v>-1</v>
      </c>
      <c r="AB157">
        <v>8</v>
      </c>
      <c r="AC157">
        <v>10</v>
      </c>
      <c r="AD157">
        <v>-2</v>
      </c>
      <c r="AE157">
        <v>7</v>
      </c>
      <c r="AF157">
        <v>10</v>
      </c>
      <c r="AG157">
        <v>-3</v>
      </c>
      <c r="AH157">
        <v>9</v>
      </c>
      <c r="AI157">
        <v>10</v>
      </c>
      <c r="AJ157">
        <v>-1</v>
      </c>
      <c r="AK157" t="s">
        <v>1662</v>
      </c>
      <c r="AL157" t="s">
        <v>1663</v>
      </c>
      <c r="AM157" t="s">
        <v>1664</v>
      </c>
      <c r="AN157" t="s">
        <v>1665</v>
      </c>
      <c r="AO157" t="s">
        <v>1666</v>
      </c>
      <c r="AP157" t="s">
        <v>1667</v>
      </c>
      <c r="AQ157" t="s">
        <v>1668</v>
      </c>
      <c r="AR157" t="s">
        <v>1669</v>
      </c>
      <c r="AS157" t="s">
        <v>1670</v>
      </c>
    </row>
    <row r="158" spans="1:45" x14ac:dyDescent="0.45">
      <c r="A158">
        <v>157</v>
      </c>
      <c r="B158">
        <v>157</v>
      </c>
      <c r="C158" t="s">
        <v>78</v>
      </c>
      <c r="D158" t="s">
        <v>73</v>
      </c>
      <c r="E158" t="s">
        <v>74</v>
      </c>
      <c r="F158" t="s">
        <v>77</v>
      </c>
      <c r="G158" t="s">
        <v>76</v>
      </c>
      <c r="H158">
        <v>78.155843210214599</v>
      </c>
      <c r="I158">
        <v>4</v>
      </c>
      <c r="J158">
        <v>6</v>
      </c>
      <c r="K158">
        <v>10</v>
      </c>
      <c r="L158">
        <v>-4</v>
      </c>
      <c r="M158">
        <v>7</v>
      </c>
      <c r="N158">
        <v>10</v>
      </c>
      <c r="O158">
        <v>-3</v>
      </c>
      <c r="P158">
        <v>9</v>
      </c>
      <c r="Q158">
        <v>1</v>
      </c>
      <c r="R158">
        <v>8</v>
      </c>
      <c r="S158">
        <v>8</v>
      </c>
      <c r="T158">
        <v>10</v>
      </c>
      <c r="U158">
        <v>-2</v>
      </c>
      <c r="V158">
        <v>9</v>
      </c>
      <c r="W158">
        <v>1</v>
      </c>
      <c r="X158">
        <v>8</v>
      </c>
      <c r="Y158">
        <v>8</v>
      </c>
      <c r="Z158">
        <v>1</v>
      </c>
      <c r="AA158">
        <v>7</v>
      </c>
      <c r="AB158">
        <v>7</v>
      </c>
      <c r="AC158">
        <v>1</v>
      </c>
      <c r="AD158">
        <v>6</v>
      </c>
      <c r="AE158">
        <v>6</v>
      </c>
      <c r="AF158">
        <v>1</v>
      </c>
      <c r="AG158">
        <v>5</v>
      </c>
      <c r="AH158">
        <v>9</v>
      </c>
      <c r="AI158">
        <v>6</v>
      </c>
      <c r="AJ158">
        <v>3</v>
      </c>
      <c r="AK158" t="s">
        <v>1671</v>
      </c>
      <c r="AL158" t="s">
        <v>1672</v>
      </c>
      <c r="AM158" t="s">
        <v>1673</v>
      </c>
      <c r="AN158" t="s">
        <v>1674</v>
      </c>
      <c r="AO158" t="s">
        <v>1675</v>
      </c>
      <c r="AP158" t="s">
        <v>1676</v>
      </c>
      <c r="AQ158" t="s">
        <v>1677</v>
      </c>
      <c r="AR158" t="s">
        <v>1678</v>
      </c>
      <c r="AS158" t="s">
        <v>1679</v>
      </c>
    </row>
    <row r="159" spans="1:45" x14ac:dyDescent="0.45">
      <c r="A159">
        <v>158</v>
      </c>
      <c r="B159">
        <v>158</v>
      </c>
      <c r="C159" t="s">
        <v>72</v>
      </c>
      <c r="D159" t="s">
        <v>73</v>
      </c>
      <c r="E159" t="s">
        <v>74</v>
      </c>
      <c r="F159" t="s">
        <v>77</v>
      </c>
      <c r="G159" t="s">
        <v>76</v>
      </c>
      <c r="H159">
        <v>100.04307549236735</v>
      </c>
      <c r="I159">
        <v>2</v>
      </c>
      <c r="J159">
        <v>9</v>
      </c>
      <c r="K159">
        <v>7</v>
      </c>
      <c r="L159">
        <v>2</v>
      </c>
      <c r="M159">
        <v>8</v>
      </c>
      <c r="N159">
        <v>8</v>
      </c>
      <c r="O159">
        <v>0</v>
      </c>
      <c r="P159">
        <v>8</v>
      </c>
      <c r="Q159">
        <v>6</v>
      </c>
      <c r="R159">
        <v>2</v>
      </c>
      <c r="S159">
        <v>9</v>
      </c>
      <c r="T159">
        <v>6</v>
      </c>
      <c r="U159">
        <v>3</v>
      </c>
      <c r="V159">
        <v>8</v>
      </c>
      <c r="W159">
        <v>7</v>
      </c>
      <c r="X159">
        <v>1</v>
      </c>
      <c r="Y159">
        <v>8</v>
      </c>
      <c r="Z159">
        <v>5</v>
      </c>
      <c r="AA159">
        <v>3</v>
      </c>
      <c r="AB159">
        <v>9</v>
      </c>
      <c r="AC159">
        <v>6</v>
      </c>
      <c r="AD159">
        <v>3</v>
      </c>
      <c r="AE159">
        <v>8</v>
      </c>
      <c r="AF159">
        <v>7</v>
      </c>
      <c r="AG159">
        <v>1</v>
      </c>
      <c r="AH159">
        <v>9</v>
      </c>
      <c r="AI159">
        <v>7</v>
      </c>
      <c r="AJ159">
        <v>2</v>
      </c>
      <c r="AK159" t="s">
        <v>272</v>
      </c>
      <c r="AL159" t="s">
        <v>1680</v>
      </c>
      <c r="AM159" t="s">
        <v>1681</v>
      </c>
      <c r="AN159" t="s">
        <v>1682</v>
      </c>
      <c r="AO159" t="s">
        <v>1683</v>
      </c>
      <c r="AP159" t="s">
        <v>1684</v>
      </c>
      <c r="AQ159" t="s">
        <v>1685</v>
      </c>
      <c r="AR159" t="s">
        <v>1686</v>
      </c>
      <c r="AS159" t="s">
        <v>1687</v>
      </c>
    </row>
    <row r="160" spans="1:45" x14ac:dyDescent="0.45">
      <c r="A160">
        <v>159</v>
      </c>
      <c r="B160">
        <v>159</v>
      </c>
      <c r="C160" t="s">
        <v>78</v>
      </c>
      <c r="D160" t="s">
        <v>79</v>
      </c>
      <c r="E160" t="s">
        <v>74</v>
      </c>
      <c r="F160" t="s">
        <v>77</v>
      </c>
      <c r="G160" t="s">
        <v>76</v>
      </c>
      <c r="H160">
        <v>44.14911621603617</v>
      </c>
      <c r="I160">
        <v>0</v>
      </c>
      <c r="J160">
        <v>5</v>
      </c>
      <c r="K160">
        <v>2</v>
      </c>
      <c r="L160">
        <v>3</v>
      </c>
      <c r="M160">
        <v>6</v>
      </c>
      <c r="N160">
        <v>7</v>
      </c>
      <c r="O160">
        <v>-1</v>
      </c>
      <c r="P160">
        <v>9</v>
      </c>
      <c r="Q160">
        <v>10</v>
      </c>
      <c r="R160">
        <v>-1</v>
      </c>
      <c r="S160">
        <v>8</v>
      </c>
      <c r="T160">
        <v>2</v>
      </c>
      <c r="U160">
        <v>6</v>
      </c>
      <c r="V160">
        <v>7</v>
      </c>
      <c r="W160">
        <v>10</v>
      </c>
      <c r="X160">
        <v>-3</v>
      </c>
      <c r="Y160">
        <v>9</v>
      </c>
      <c r="Z160">
        <v>5</v>
      </c>
      <c r="AA160">
        <v>4</v>
      </c>
      <c r="AB160">
        <v>7</v>
      </c>
      <c r="AC160">
        <v>10</v>
      </c>
      <c r="AD160">
        <v>-3</v>
      </c>
      <c r="AE160">
        <v>8</v>
      </c>
      <c r="AF160">
        <v>3</v>
      </c>
      <c r="AG160">
        <v>5</v>
      </c>
      <c r="AH160">
        <v>9</v>
      </c>
      <c r="AI160">
        <v>3</v>
      </c>
      <c r="AJ160">
        <v>6</v>
      </c>
      <c r="AK160" t="s">
        <v>1688</v>
      </c>
      <c r="AL160" t="s">
        <v>1689</v>
      </c>
      <c r="AM160" t="s">
        <v>1690</v>
      </c>
      <c r="AN160" t="s">
        <v>1691</v>
      </c>
      <c r="AO160" t="s">
        <v>1692</v>
      </c>
      <c r="AP160" t="s">
        <v>1693</v>
      </c>
      <c r="AQ160" t="s">
        <v>1694</v>
      </c>
      <c r="AR160" t="s">
        <v>1695</v>
      </c>
      <c r="AS160" t="s">
        <v>1696</v>
      </c>
    </row>
    <row r="161" spans="1:45" x14ac:dyDescent="0.45">
      <c r="A161">
        <v>160</v>
      </c>
      <c r="B161">
        <v>160</v>
      </c>
      <c r="C161" t="s">
        <v>72</v>
      </c>
      <c r="D161" t="s">
        <v>73</v>
      </c>
      <c r="E161" t="s">
        <v>74</v>
      </c>
      <c r="F161" t="s">
        <v>75</v>
      </c>
      <c r="G161" t="s">
        <v>76</v>
      </c>
      <c r="H161">
        <v>40.318998811515655</v>
      </c>
      <c r="I161">
        <v>0</v>
      </c>
      <c r="J161">
        <v>6</v>
      </c>
      <c r="K161">
        <v>9</v>
      </c>
      <c r="L161">
        <v>-3</v>
      </c>
      <c r="M161">
        <v>7</v>
      </c>
      <c r="N161">
        <v>9</v>
      </c>
      <c r="O161">
        <v>-2</v>
      </c>
      <c r="P161">
        <v>8</v>
      </c>
      <c r="Q161">
        <v>10</v>
      </c>
      <c r="R161">
        <v>-2</v>
      </c>
      <c r="S161">
        <v>9</v>
      </c>
      <c r="T161">
        <v>2</v>
      </c>
      <c r="U161">
        <v>7</v>
      </c>
      <c r="V161">
        <v>7</v>
      </c>
      <c r="W161">
        <v>9</v>
      </c>
      <c r="X161">
        <v>-2</v>
      </c>
      <c r="Y161">
        <v>9</v>
      </c>
      <c r="Z161">
        <v>9</v>
      </c>
      <c r="AA161">
        <v>0</v>
      </c>
      <c r="AB161">
        <v>8</v>
      </c>
      <c r="AC161">
        <v>6</v>
      </c>
      <c r="AD161">
        <v>2</v>
      </c>
      <c r="AE161">
        <v>6</v>
      </c>
      <c r="AF161">
        <v>8</v>
      </c>
      <c r="AG161">
        <v>-2</v>
      </c>
      <c r="AH161">
        <v>9</v>
      </c>
      <c r="AI161">
        <v>10</v>
      </c>
      <c r="AJ161">
        <v>-1</v>
      </c>
      <c r="AK161" t="s">
        <v>1697</v>
      </c>
      <c r="AL161" t="s">
        <v>1698</v>
      </c>
      <c r="AM161" t="s">
        <v>1699</v>
      </c>
      <c r="AN161" t="s">
        <v>1700</v>
      </c>
      <c r="AO161" t="s">
        <v>1701</v>
      </c>
      <c r="AP161" t="s">
        <v>1702</v>
      </c>
      <c r="AQ161" t="s">
        <v>1703</v>
      </c>
      <c r="AR161" t="s">
        <v>1704</v>
      </c>
      <c r="AS161" t="s">
        <v>1705</v>
      </c>
    </row>
    <row r="162" spans="1:45" x14ac:dyDescent="0.45">
      <c r="A162">
        <v>161</v>
      </c>
      <c r="B162">
        <v>161</v>
      </c>
      <c r="C162" t="s">
        <v>72</v>
      </c>
      <c r="D162" t="s">
        <v>73</v>
      </c>
      <c r="E162" t="s">
        <v>74</v>
      </c>
      <c r="F162" t="s">
        <v>77</v>
      </c>
      <c r="G162" t="s">
        <v>76</v>
      </c>
      <c r="H162">
        <v>14.343048030730964</v>
      </c>
      <c r="I162">
        <v>0</v>
      </c>
      <c r="J162">
        <v>7</v>
      </c>
      <c r="K162">
        <v>7</v>
      </c>
      <c r="L162">
        <v>0</v>
      </c>
      <c r="M162">
        <v>8</v>
      </c>
      <c r="N162">
        <v>5</v>
      </c>
      <c r="O162">
        <v>3</v>
      </c>
      <c r="P162">
        <v>9</v>
      </c>
      <c r="Q162">
        <v>7</v>
      </c>
      <c r="R162">
        <v>2</v>
      </c>
      <c r="S162">
        <v>10</v>
      </c>
      <c r="T162">
        <v>5</v>
      </c>
      <c r="U162">
        <v>5</v>
      </c>
      <c r="V162">
        <v>9</v>
      </c>
      <c r="W162">
        <v>3</v>
      </c>
      <c r="X162">
        <v>6</v>
      </c>
      <c r="Y162">
        <v>8</v>
      </c>
      <c r="Z162">
        <v>4</v>
      </c>
      <c r="AA162">
        <v>4</v>
      </c>
      <c r="AB162">
        <v>9</v>
      </c>
      <c r="AC162">
        <v>1</v>
      </c>
      <c r="AD162">
        <v>8</v>
      </c>
      <c r="AE162">
        <v>8</v>
      </c>
      <c r="AF162">
        <v>5</v>
      </c>
      <c r="AG162">
        <v>3</v>
      </c>
      <c r="AH162">
        <v>9</v>
      </c>
      <c r="AI162">
        <v>5</v>
      </c>
      <c r="AJ162">
        <v>4</v>
      </c>
      <c r="AK162" t="s">
        <v>1706</v>
      </c>
      <c r="AL162" t="s">
        <v>1707</v>
      </c>
      <c r="AM162" t="s">
        <v>1708</v>
      </c>
      <c r="AN162" t="s">
        <v>1709</v>
      </c>
      <c r="AO162" t="s">
        <v>1710</v>
      </c>
      <c r="AP162" t="s">
        <v>1711</v>
      </c>
      <c r="AQ162" t="s">
        <v>1712</v>
      </c>
      <c r="AR162" t="s">
        <v>1713</v>
      </c>
      <c r="AS162" t="s">
        <v>1714</v>
      </c>
    </row>
    <row r="163" spans="1:45" x14ac:dyDescent="0.45">
      <c r="A163">
        <v>162</v>
      </c>
      <c r="B163">
        <v>162</v>
      </c>
      <c r="C163" t="s">
        <v>72</v>
      </c>
      <c r="D163" t="s">
        <v>81</v>
      </c>
      <c r="E163" t="s">
        <v>74</v>
      </c>
      <c r="F163" t="s">
        <v>77</v>
      </c>
      <c r="G163" t="s">
        <v>76</v>
      </c>
      <c r="H163">
        <v>12</v>
      </c>
      <c r="I163">
        <v>0</v>
      </c>
      <c r="J163">
        <v>8</v>
      </c>
      <c r="K163">
        <v>3</v>
      </c>
      <c r="L163">
        <v>5</v>
      </c>
      <c r="M163">
        <v>9</v>
      </c>
      <c r="N163">
        <v>8</v>
      </c>
      <c r="O163">
        <v>1</v>
      </c>
      <c r="P163">
        <v>8</v>
      </c>
      <c r="Q163">
        <v>4</v>
      </c>
      <c r="R163">
        <v>4</v>
      </c>
      <c r="S163">
        <v>9</v>
      </c>
      <c r="T163">
        <v>5</v>
      </c>
      <c r="U163">
        <v>4</v>
      </c>
      <c r="V163">
        <v>8</v>
      </c>
      <c r="W163">
        <v>5</v>
      </c>
      <c r="X163">
        <v>3</v>
      </c>
      <c r="Y163">
        <v>9</v>
      </c>
      <c r="Z163">
        <v>5</v>
      </c>
      <c r="AA163">
        <v>4</v>
      </c>
      <c r="AB163">
        <v>8</v>
      </c>
      <c r="AC163">
        <v>5</v>
      </c>
      <c r="AD163">
        <v>3</v>
      </c>
      <c r="AE163">
        <v>9</v>
      </c>
      <c r="AF163">
        <v>5</v>
      </c>
      <c r="AG163">
        <v>4</v>
      </c>
      <c r="AH163">
        <v>8</v>
      </c>
      <c r="AI163">
        <v>5</v>
      </c>
      <c r="AJ163">
        <v>3</v>
      </c>
      <c r="AK163" t="s">
        <v>1715</v>
      </c>
      <c r="AL163" t="s">
        <v>1716</v>
      </c>
      <c r="AM163" t="s">
        <v>1717</v>
      </c>
      <c r="AN163" t="s">
        <v>1718</v>
      </c>
      <c r="AO163" t="s">
        <v>1719</v>
      </c>
      <c r="AP163" t="s">
        <v>1720</v>
      </c>
      <c r="AQ163" t="s">
        <v>1721</v>
      </c>
      <c r="AR163" t="s">
        <v>1722</v>
      </c>
      <c r="AS163" t="s">
        <v>1723</v>
      </c>
    </row>
    <row r="164" spans="1:45" x14ac:dyDescent="0.45">
      <c r="A164">
        <v>163</v>
      </c>
      <c r="B164">
        <v>163</v>
      </c>
      <c r="C164" t="s">
        <v>72</v>
      </c>
      <c r="D164" t="s">
        <v>81</v>
      </c>
      <c r="E164" t="s">
        <v>74</v>
      </c>
      <c r="F164" t="s">
        <v>77</v>
      </c>
      <c r="G164" t="s">
        <v>76</v>
      </c>
      <c r="H164">
        <v>16.033205565585785</v>
      </c>
      <c r="I164">
        <v>0</v>
      </c>
      <c r="J164">
        <v>8</v>
      </c>
      <c r="K164">
        <v>10</v>
      </c>
      <c r="L164">
        <v>-2</v>
      </c>
      <c r="M164">
        <v>9</v>
      </c>
      <c r="N164">
        <v>10</v>
      </c>
      <c r="O164">
        <v>-1</v>
      </c>
      <c r="P164">
        <v>8</v>
      </c>
      <c r="Q164">
        <v>10</v>
      </c>
      <c r="R164">
        <v>-2</v>
      </c>
      <c r="S164">
        <v>9</v>
      </c>
      <c r="T164">
        <v>10</v>
      </c>
      <c r="U164">
        <v>-1</v>
      </c>
      <c r="V164">
        <v>8</v>
      </c>
      <c r="W164">
        <v>10</v>
      </c>
      <c r="X164">
        <v>-2</v>
      </c>
      <c r="Y164">
        <v>9</v>
      </c>
      <c r="Z164">
        <v>10</v>
      </c>
      <c r="AA164">
        <v>-1</v>
      </c>
      <c r="AB164">
        <v>8</v>
      </c>
      <c r="AC164">
        <v>10</v>
      </c>
      <c r="AD164">
        <v>-2</v>
      </c>
      <c r="AE164">
        <v>9</v>
      </c>
      <c r="AF164">
        <v>10</v>
      </c>
      <c r="AG164">
        <v>-1</v>
      </c>
      <c r="AH164">
        <v>8</v>
      </c>
      <c r="AI164">
        <v>10</v>
      </c>
      <c r="AJ164">
        <v>-2</v>
      </c>
      <c r="AK164" t="s">
        <v>1724</v>
      </c>
      <c r="AL164" t="s">
        <v>1725</v>
      </c>
      <c r="AM164" t="s">
        <v>1726</v>
      </c>
      <c r="AN164" t="s">
        <v>1727</v>
      </c>
      <c r="AO164" t="s">
        <v>1728</v>
      </c>
      <c r="AP164" t="s">
        <v>1729</v>
      </c>
      <c r="AQ164" t="s">
        <v>1730</v>
      </c>
      <c r="AR164" t="s">
        <v>1731</v>
      </c>
      <c r="AS164" t="s">
        <v>1732</v>
      </c>
    </row>
    <row r="165" spans="1:45" x14ac:dyDescent="0.45">
      <c r="A165">
        <v>164</v>
      </c>
      <c r="B165">
        <v>164</v>
      </c>
      <c r="C165" t="s">
        <v>72</v>
      </c>
      <c r="D165" t="s">
        <v>79</v>
      </c>
      <c r="E165" t="s">
        <v>74</v>
      </c>
      <c r="F165" t="s">
        <v>77</v>
      </c>
      <c r="G165" t="s">
        <v>76</v>
      </c>
      <c r="H165">
        <v>33.095604191859664</v>
      </c>
      <c r="I165">
        <v>2</v>
      </c>
      <c r="J165">
        <v>8</v>
      </c>
      <c r="K165">
        <v>8</v>
      </c>
      <c r="L165">
        <v>0</v>
      </c>
      <c r="M165">
        <v>9</v>
      </c>
      <c r="N165">
        <v>9</v>
      </c>
      <c r="O165">
        <v>0</v>
      </c>
      <c r="P165">
        <v>8</v>
      </c>
      <c r="Q165">
        <v>9</v>
      </c>
      <c r="R165">
        <v>-1</v>
      </c>
      <c r="S165">
        <v>9</v>
      </c>
      <c r="T165">
        <v>9</v>
      </c>
      <c r="U165">
        <v>0</v>
      </c>
      <c r="V165">
        <v>7</v>
      </c>
      <c r="W165">
        <v>5</v>
      </c>
      <c r="X165">
        <v>2</v>
      </c>
      <c r="Y165">
        <v>9</v>
      </c>
      <c r="Z165">
        <v>7</v>
      </c>
      <c r="AA165">
        <v>2</v>
      </c>
      <c r="AB165">
        <v>7</v>
      </c>
      <c r="AC165">
        <v>5</v>
      </c>
      <c r="AD165">
        <v>2</v>
      </c>
      <c r="AE165">
        <v>8</v>
      </c>
      <c r="AF165">
        <v>7</v>
      </c>
      <c r="AG165">
        <v>1</v>
      </c>
      <c r="AH165">
        <v>7</v>
      </c>
      <c r="AI165">
        <v>7</v>
      </c>
      <c r="AJ165">
        <v>0</v>
      </c>
      <c r="AK165" t="s">
        <v>1733</v>
      </c>
      <c r="AL165" t="s">
        <v>1734</v>
      </c>
      <c r="AM165" t="s">
        <v>1735</v>
      </c>
      <c r="AN165" t="s">
        <v>1736</v>
      </c>
      <c r="AO165" t="s">
        <v>1737</v>
      </c>
      <c r="AP165" t="s">
        <v>1738</v>
      </c>
      <c r="AQ165" t="s">
        <v>1739</v>
      </c>
      <c r="AR165" t="s">
        <v>1740</v>
      </c>
      <c r="AS165" t="s">
        <v>1741</v>
      </c>
    </row>
    <row r="166" spans="1:45" x14ac:dyDescent="0.45">
      <c r="A166">
        <v>165</v>
      </c>
      <c r="B166">
        <v>165</v>
      </c>
      <c r="C166" t="s">
        <v>72</v>
      </c>
      <c r="D166" t="s">
        <v>73</v>
      </c>
      <c r="E166" t="s">
        <v>74</v>
      </c>
      <c r="F166" t="s">
        <v>75</v>
      </c>
      <c r="G166" t="s">
        <v>76</v>
      </c>
      <c r="H166">
        <v>38.94022557203845</v>
      </c>
      <c r="I166">
        <v>0</v>
      </c>
      <c r="J166">
        <v>6</v>
      </c>
      <c r="K166">
        <v>5</v>
      </c>
      <c r="L166">
        <v>1</v>
      </c>
      <c r="M166">
        <v>6</v>
      </c>
      <c r="N166">
        <v>5</v>
      </c>
      <c r="O166">
        <v>1</v>
      </c>
      <c r="P166">
        <v>8</v>
      </c>
      <c r="Q166">
        <v>6</v>
      </c>
      <c r="R166">
        <v>2</v>
      </c>
      <c r="S166">
        <v>8</v>
      </c>
      <c r="T166">
        <v>6</v>
      </c>
      <c r="U166">
        <v>2</v>
      </c>
      <c r="V166">
        <v>9</v>
      </c>
      <c r="W166">
        <v>6</v>
      </c>
      <c r="X166">
        <v>3</v>
      </c>
      <c r="Y166">
        <v>8</v>
      </c>
      <c r="Z166">
        <v>6</v>
      </c>
      <c r="AA166">
        <v>2</v>
      </c>
      <c r="AB166">
        <v>9</v>
      </c>
      <c r="AC166">
        <v>5</v>
      </c>
      <c r="AD166">
        <v>4</v>
      </c>
      <c r="AE166">
        <v>7</v>
      </c>
      <c r="AF166">
        <v>7</v>
      </c>
      <c r="AG166">
        <v>0</v>
      </c>
      <c r="AH166">
        <v>9</v>
      </c>
      <c r="AI166">
        <v>8</v>
      </c>
      <c r="AJ166">
        <v>1</v>
      </c>
      <c r="AK166" t="s">
        <v>1742</v>
      </c>
      <c r="AL166" t="s">
        <v>1743</v>
      </c>
      <c r="AM166" t="s">
        <v>1744</v>
      </c>
      <c r="AN166" t="s">
        <v>1745</v>
      </c>
      <c r="AO166" t="s">
        <v>1746</v>
      </c>
      <c r="AP166" t="s">
        <v>1747</v>
      </c>
      <c r="AQ166" t="s">
        <v>1748</v>
      </c>
      <c r="AR166" t="s">
        <v>1749</v>
      </c>
      <c r="AS166" t="s">
        <v>1750</v>
      </c>
    </row>
    <row r="167" spans="1:45" x14ac:dyDescent="0.45">
      <c r="A167">
        <v>166</v>
      </c>
      <c r="B167">
        <v>166</v>
      </c>
      <c r="C167" t="s">
        <v>72</v>
      </c>
      <c r="D167" t="s">
        <v>73</v>
      </c>
      <c r="E167" t="s">
        <v>74</v>
      </c>
      <c r="F167" t="s">
        <v>75</v>
      </c>
      <c r="G167" t="s">
        <v>76</v>
      </c>
      <c r="H167">
        <v>42.743619026359475</v>
      </c>
      <c r="I167">
        <v>1</v>
      </c>
      <c r="J167">
        <v>6</v>
      </c>
      <c r="K167">
        <v>10</v>
      </c>
      <c r="L167">
        <v>-4</v>
      </c>
      <c r="M167">
        <v>7</v>
      </c>
      <c r="N167">
        <v>8</v>
      </c>
      <c r="O167">
        <v>-1</v>
      </c>
      <c r="P167">
        <v>9</v>
      </c>
      <c r="Q167">
        <v>10</v>
      </c>
      <c r="R167">
        <v>-1</v>
      </c>
      <c r="S167">
        <v>8</v>
      </c>
      <c r="T167">
        <v>10</v>
      </c>
      <c r="U167">
        <v>-2</v>
      </c>
      <c r="V167">
        <v>7</v>
      </c>
      <c r="W167">
        <v>10</v>
      </c>
      <c r="X167">
        <v>-3</v>
      </c>
      <c r="Y167">
        <v>9</v>
      </c>
      <c r="Z167">
        <v>10</v>
      </c>
      <c r="AA167">
        <v>-1</v>
      </c>
      <c r="AB167">
        <v>8</v>
      </c>
      <c r="AC167">
        <v>10</v>
      </c>
      <c r="AD167">
        <v>-2</v>
      </c>
      <c r="AE167">
        <v>7</v>
      </c>
      <c r="AF167">
        <v>10</v>
      </c>
      <c r="AG167">
        <v>-3</v>
      </c>
      <c r="AH167">
        <v>8</v>
      </c>
      <c r="AI167">
        <v>8</v>
      </c>
      <c r="AJ167">
        <v>0</v>
      </c>
      <c r="AK167" t="s">
        <v>1751</v>
      </c>
      <c r="AL167" t="s">
        <v>1752</v>
      </c>
      <c r="AM167" t="s">
        <v>1753</v>
      </c>
      <c r="AN167" t="s">
        <v>1754</v>
      </c>
      <c r="AO167" t="s">
        <v>1755</v>
      </c>
      <c r="AP167" t="s">
        <v>1756</v>
      </c>
      <c r="AQ167" t="s">
        <v>1757</v>
      </c>
      <c r="AR167" t="s">
        <v>1758</v>
      </c>
      <c r="AS167" t="s">
        <v>1759</v>
      </c>
    </row>
    <row r="168" spans="1:45" x14ac:dyDescent="0.45">
      <c r="A168">
        <v>167</v>
      </c>
      <c r="B168">
        <v>167</v>
      </c>
      <c r="C168" t="s">
        <v>78</v>
      </c>
      <c r="D168" t="s">
        <v>73</v>
      </c>
      <c r="E168" t="s">
        <v>74</v>
      </c>
      <c r="F168" t="s">
        <v>75</v>
      </c>
      <c r="G168" t="s">
        <v>76</v>
      </c>
      <c r="H168">
        <v>73.585283968546051</v>
      </c>
      <c r="I168">
        <v>0</v>
      </c>
      <c r="J168">
        <v>6</v>
      </c>
      <c r="K168">
        <v>5</v>
      </c>
      <c r="L168">
        <v>1</v>
      </c>
      <c r="M168">
        <v>8</v>
      </c>
      <c r="N168">
        <v>8</v>
      </c>
      <c r="O168">
        <v>0</v>
      </c>
      <c r="P168">
        <v>9</v>
      </c>
      <c r="Q168">
        <v>5</v>
      </c>
      <c r="R168">
        <v>4</v>
      </c>
      <c r="S168">
        <v>9</v>
      </c>
      <c r="T168">
        <v>8</v>
      </c>
      <c r="U168">
        <v>1</v>
      </c>
      <c r="V168">
        <v>7</v>
      </c>
      <c r="W168">
        <v>4</v>
      </c>
      <c r="X168">
        <v>3</v>
      </c>
      <c r="Y168">
        <v>8</v>
      </c>
      <c r="Z168">
        <v>5</v>
      </c>
      <c r="AA168">
        <v>3</v>
      </c>
      <c r="AB168">
        <v>7</v>
      </c>
      <c r="AC168">
        <v>1</v>
      </c>
      <c r="AD168">
        <v>6</v>
      </c>
      <c r="AE168">
        <v>6</v>
      </c>
      <c r="AF168">
        <v>5</v>
      </c>
      <c r="AG168">
        <v>1</v>
      </c>
      <c r="AH168">
        <v>9</v>
      </c>
      <c r="AI168">
        <v>5</v>
      </c>
      <c r="AJ168">
        <v>4</v>
      </c>
      <c r="AK168" t="s">
        <v>1760</v>
      </c>
      <c r="AL168" t="s">
        <v>1761</v>
      </c>
      <c r="AM168" t="s">
        <v>1762</v>
      </c>
      <c r="AN168" t="s">
        <v>1763</v>
      </c>
      <c r="AO168" t="s">
        <v>1764</v>
      </c>
      <c r="AP168" t="s">
        <v>1765</v>
      </c>
      <c r="AQ168" t="s">
        <v>1766</v>
      </c>
      <c r="AR168" t="s">
        <v>1767</v>
      </c>
      <c r="AS168" t="s">
        <v>1768</v>
      </c>
    </row>
    <row r="169" spans="1:45" x14ac:dyDescent="0.45">
      <c r="A169">
        <v>168</v>
      </c>
      <c r="B169">
        <v>168</v>
      </c>
      <c r="C169" t="s">
        <v>72</v>
      </c>
      <c r="D169" t="s">
        <v>81</v>
      </c>
      <c r="E169" t="s">
        <v>74</v>
      </c>
      <c r="F169" t="s">
        <v>77</v>
      </c>
      <c r="G169" t="s">
        <v>76</v>
      </c>
      <c r="H169">
        <v>19.080898315075295</v>
      </c>
      <c r="I169">
        <v>0</v>
      </c>
      <c r="J169">
        <v>6</v>
      </c>
      <c r="K169">
        <v>7</v>
      </c>
      <c r="L169">
        <v>-1</v>
      </c>
      <c r="M169">
        <v>7</v>
      </c>
      <c r="N169">
        <v>7</v>
      </c>
      <c r="O169">
        <v>0</v>
      </c>
      <c r="P169">
        <v>9</v>
      </c>
      <c r="Q169">
        <v>8</v>
      </c>
      <c r="R169">
        <v>1</v>
      </c>
      <c r="S169">
        <v>10</v>
      </c>
      <c r="T169">
        <v>8</v>
      </c>
      <c r="U169">
        <v>2</v>
      </c>
      <c r="V169">
        <v>7</v>
      </c>
      <c r="W169">
        <v>7</v>
      </c>
      <c r="X169">
        <v>0</v>
      </c>
      <c r="Y169">
        <v>9</v>
      </c>
      <c r="Z169">
        <v>8</v>
      </c>
      <c r="AA169">
        <v>1</v>
      </c>
      <c r="AB169">
        <v>8</v>
      </c>
      <c r="AC169">
        <v>8</v>
      </c>
      <c r="AD169">
        <v>0</v>
      </c>
      <c r="AE169">
        <v>7</v>
      </c>
      <c r="AF169">
        <v>8</v>
      </c>
      <c r="AG169">
        <v>-1</v>
      </c>
      <c r="AH169">
        <v>9</v>
      </c>
      <c r="AI169">
        <v>9</v>
      </c>
      <c r="AJ169">
        <v>0</v>
      </c>
      <c r="AK169" t="s">
        <v>1769</v>
      </c>
      <c r="AL169" t="s">
        <v>1770</v>
      </c>
      <c r="AM169" t="s">
        <v>1771</v>
      </c>
      <c r="AN169" t="s">
        <v>1772</v>
      </c>
      <c r="AO169" t="s">
        <v>1773</v>
      </c>
      <c r="AP169" t="s">
        <v>1774</v>
      </c>
      <c r="AQ169" t="s">
        <v>1775</v>
      </c>
      <c r="AR169" t="s">
        <v>1776</v>
      </c>
      <c r="AS169" t="s">
        <v>1777</v>
      </c>
    </row>
    <row r="170" spans="1:45" x14ac:dyDescent="0.45">
      <c r="A170">
        <v>169</v>
      </c>
      <c r="B170">
        <v>169</v>
      </c>
      <c r="C170" t="s">
        <v>78</v>
      </c>
      <c r="D170" t="s">
        <v>79</v>
      </c>
      <c r="E170" t="s">
        <v>74</v>
      </c>
      <c r="F170" t="s">
        <v>77</v>
      </c>
      <c r="G170" t="s">
        <v>76</v>
      </c>
      <c r="H170">
        <v>39.147503326078819</v>
      </c>
      <c r="I170">
        <v>0</v>
      </c>
      <c r="J170">
        <v>7</v>
      </c>
      <c r="K170">
        <v>8</v>
      </c>
      <c r="L170">
        <v>-1</v>
      </c>
      <c r="M170">
        <v>8</v>
      </c>
      <c r="N170">
        <v>8</v>
      </c>
      <c r="O170">
        <v>0</v>
      </c>
      <c r="P170">
        <v>6</v>
      </c>
      <c r="Q170">
        <v>7</v>
      </c>
      <c r="R170">
        <v>-1</v>
      </c>
      <c r="S170">
        <v>8</v>
      </c>
      <c r="T170">
        <v>8</v>
      </c>
      <c r="U170">
        <v>0</v>
      </c>
      <c r="V170">
        <v>7</v>
      </c>
      <c r="W170">
        <v>7</v>
      </c>
      <c r="X170">
        <v>0</v>
      </c>
      <c r="Y170">
        <v>9</v>
      </c>
      <c r="Z170">
        <v>7</v>
      </c>
      <c r="AA170">
        <v>2</v>
      </c>
      <c r="AB170">
        <v>8</v>
      </c>
      <c r="AC170">
        <v>7</v>
      </c>
      <c r="AD170">
        <v>1</v>
      </c>
      <c r="AE170">
        <v>7</v>
      </c>
      <c r="AF170">
        <v>8</v>
      </c>
      <c r="AG170">
        <v>-1</v>
      </c>
      <c r="AH170">
        <v>9</v>
      </c>
      <c r="AI170">
        <v>8</v>
      </c>
      <c r="AJ170">
        <v>1</v>
      </c>
      <c r="AK170" t="s">
        <v>1778</v>
      </c>
      <c r="AL170" t="s">
        <v>1779</v>
      </c>
      <c r="AM170" t="s">
        <v>1780</v>
      </c>
      <c r="AN170" t="s">
        <v>1781</v>
      </c>
      <c r="AO170" t="s">
        <v>1782</v>
      </c>
      <c r="AP170" t="s">
        <v>1783</v>
      </c>
      <c r="AQ170" t="s">
        <v>1784</v>
      </c>
      <c r="AR170" t="s">
        <v>1785</v>
      </c>
      <c r="AS170" t="s">
        <v>1786</v>
      </c>
    </row>
    <row r="171" spans="1:45" x14ac:dyDescent="0.45">
      <c r="A171">
        <v>170</v>
      </c>
      <c r="B171">
        <v>170</v>
      </c>
      <c r="C171" t="s">
        <v>78</v>
      </c>
      <c r="D171" t="s">
        <v>81</v>
      </c>
      <c r="E171" t="s">
        <v>74</v>
      </c>
      <c r="F171" t="s">
        <v>77</v>
      </c>
      <c r="G171" t="s">
        <v>162</v>
      </c>
      <c r="H171">
        <v>15.937092510514027</v>
      </c>
      <c r="I171">
        <v>0</v>
      </c>
      <c r="J171">
        <v>7</v>
      </c>
      <c r="K171">
        <v>5</v>
      </c>
      <c r="L171">
        <v>2</v>
      </c>
      <c r="M171">
        <v>6</v>
      </c>
      <c r="N171">
        <v>8</v>
      </c>
      <c r="O171">
        <v>-2</v>
      </c>
      <c r="P171">
        <v>8</v>
      </c>
      <c r="Q171">
        <v>7</v>
      </c>
      <c r="R171">
        <v>1</v>
      </c>
      <c r="S171">
        <v>9</v>
      </c>
      <c r="T171">
        <v>8</v>
      </c>
      <c r="U171">
        <v>1</v>
      </c>
      <c r="V171">
        <v>6</v>
      </c>
      <c r="W171">
        <v>1</v>
      </c>
      <c r="X171">
        <v>5</v>
      </c>
      <c r="Y171">
        <v>9</v>
      </c>
      <c r="Z171">
        <v>2</v>
      </c>
      <c r="AA171">
        <v>7</v>
      </c>
      <c r="AB171">
        <v>5</v>
      </c>
      <c r="AC171">
        <v>3</v>
      </c>
      <c r="AD171">
        <v>2</v>
      </c>
      <c r="AE171">
        <v>7</v>
      </c>
      <c r="AF171">
        <v>3</v>
      </c>
      <c r="AG171">
        <v>4</v>
      </c>
      <c r="AH171">
        <v>8</v>
      </c>
      <c r="AI171">
        <v>7</v>
      </c>
      <c r="AJ171">
        <v>1</v>
      </c>
      <c r="AK171" t="s">
        <v>1787</v>
      </c>
      <c r="AL171" t="s">
        <v>1788</v>
      </c>
      <c r="AM171" t="s">
        <v>1789</v>
      </c>
      <c r="AN171" t="s">
        <v>1790</v>
      </c>
      <c r="AO171" t="s">
        <v>1791</v>
      </c>
      <c r="AP171" t="s">
        <v>1792</v>
      </c>
      <c r="AQ171" t="s">
        <v>1793</v>
      </c>
      <c r="AR171" t="s">
        <v>1794</v>
      </c>
      <c r="AS171" t="s">
        <v>1795</v>
      </c>
    </row>
    <row r="172" spans="1:45" x14ac:dyDescent="0.45">
      <c r="A172">
        <v>171</v>
      </c>
      <c r="B172">
        <v>171</v>
      </c>
      <c r="C172" t="s">
        <v>78</v>
      </c>
      <c r="D172" t="s">
        <v>189</v>
      </c>
      <c r="E172" t="s">
        <v>74</v>
      </c>
      <c r="F172" t="s">
        <v>77</v>
      </c>
      <c r="G172" t="s">
        <v>76</v>
      </c>
      <c r="H172">
        <v>12</v>
      </c>
      <c r="I172">
        <v>0</v>
      </c>
      <c r="J172">
        <v>7</v>
      </c>
      <c r="K172">
        <v>6</v>
      </c>
      <c r="L172">
        <v>1</v>
      </c>
      <c r="M172">
        <v>8</v>
      </c>
      <c r="N172">
        <v>7</v>
      </c>
      <c r="O172">
        <v>1</v>
      </c>
      <c r="P172">
        <v>9</v>
      </c>
      <c r="Q172">
        <v>5</v>
      </c>
      <c r="R172">
        <v>4</v>
      </c>
      <c r="S172">
        <v>9</v>
      </c>
      <c r="T172">
        <v>7</v>
      </c>
      <c r="U172">
        <v>2</v>
      </c>
      <c r="V172">
        <v>7</v>
      </c>
      <c r="W172">
        <v>7</v>
      </c>
      <c r="X172">
        <v>0</v>
      </c>
      <c r="Y172">
        <v>9</v>
      </c>
      <c r="Z172">
        <v>7</v>
      </c>
      <c r="AA172">
        <v>2</v>
      </c>
      <c r="AB172">
        <v>8</v>
      </c>
      <c r="AC172">
        <v>5</v>
      </c>
      <c r="AD172">
        <v>3</v>
      </c>
      <c r="AE172">
        <v>7</v>
      </c>
      <c r="AF172">
        <v>7</v>
      </c>
      <c r="AG172">
        <v>0</v>
      </c>
      <c r="AH172">
        <v>9</v>
      </c>
      <c r="AI172">
        <v>7</v>
      </c>
      <c r="AJ172">
        <v>2</v>
      </c>
      <c r="AK172" t="s">
        <v>1796</v>
      </c>
      <c r="AL172" t="s">
        <v>1797</v>
      </c>
      <c r="AM172" t="s">
        <v>1798</v>
      </c>
      <c r="AN172" t="s">
        <v>1799</v>
      </c>
      <c r="AO172" t="s">
        <v>1800</v>
      </c>
      <c r="AP172" t="s">
        <v>1801</v>
      </c>
      <c r="AQ172" t="s">
        <v>1802</v>
      </c>
      <c r="AR172" t="s">
        <v>1803</v>
      </c>
      <c r="AS172" t="s">
        <v>1804</v>
      </c>
    </row>
    <row r="173" spans="1:45" x14ac:dyDescent="0.45">
      <c r="A173">
        <v>172</v>
      </c>
      <c r="B173">
        <v>172</v>
      </c>
      <c r="C173" t="s">
        <v>78</v>
      </c>
      <c r="D173" t="s">
        <v>191</v>
      </c>
      <c r="E173" t="s">
        <v>74</v>
      </c>
      <c r="F173" t="s">
        <v>75</v>
      </c>
      <c r="G173" t="s">
        <v>76</v>
      </c>
      <c r="H173">
        <v>127.19394880567462</v>
      </c>
      <c r="I173">
        <v>4</v>
      </c>
      <c r="J173">
        <v>5</v>
      </c>
      <c r="K173">
        <v>8</v>
      </c>
      <c r="L173">
        <v>-3</v>
      </c>
      <c r="M173">
        <v>4</v>
      </c>
      <c r="N173">
        <v>8</v>
      </c>
      <c r="O173">
        <v>-4</v>
      </c>
      <c r="P173">
        <v>9</v>
      </c>
      <c r="Q173">
        <v>8</v>
      </c>
      <c r="R173">
        <v>1</v>
      </c>
      <c r="S173">
        <v>8</v>
      </c>
      <c r="T173">
        <v>9</v>
      </c>
      <c r="U173">
        <v>-1</v>
      </c>
      <c r="V173">
        <v>6</v>
      </c>
      <c r="W173">
        <v>9</v>
      </c>
      <c r="X173">
        <v>-3</v>
      </c>
      <c r="Y173">
        <v>7</v>
      </c>
      <c r="Z173">
        <v>5</v>
      </c>
      <c r="AA173">
        <v>2</v>
      </c>
      <c r="AB173">
        <v>6</v>
      </c>
      <c r="AC173">
        <v>5</v>
      </c>
      <c r="AD173">
        <v>1</v>
      </c>
      <c r="AE173">
        <v>7</v>
      </c>
      <c r="AF173">
        <v>8</v>
      </c>
      <c r="AG173">
        <v>-1</v>
      </c>
      <c r="AH173">
        <v>8</v>
      </c>
      <c r="AI173">
        <v>6</v>
      </c>
      <c r="AJ173">
        <v>2</v>
      </c>
      <c r="AK173" t="s">
        <v>1805</v>
      </c>
      <c r="AL173" t="s">
        <v>1806</v>
      </c>
      <c r="AM173" t="s">
        <v>1807</v>
      </c>
      <c r="AN173" t="s">
        <v>1808</v>
      </c>
      <c r="AO173" t="s">
        <v>1809</v>
      </c>
      <c r="AP173" t="s">
        <v>1810</v>
      </c>
      <c r="AQ173" t="s">
        <v>1811</v>
      </c>
      <c r="AR173" t="s">
        <v>1812</v>
      </c>
      <c r="AS173" t="s">
        <v>1813</v>
      </c>
    </row>
    <row r="174" spans="1:45" x14ac:dyDescent="0.45">
      <c r="A174">
        <v>173</v>
      </c>
      <c r="B174">
        <v>173</v>
      </c>
      <c r="C174" t="s">
        <v>72</v>
      </c>
      <c r="D174" t="s">
        <v>79</v>
      </c>
      <c r="E174" t="s">
        <v>74</v>
      </c>
      <c r="F174" t="s">
        <v>77</v>
      </c>
      <c r="G174" t="s">
        <v>76</v>
      </c>
      <c r="H174">
        <v>72.117498715596824</v>
      </c>
      <c r="I174">
        <v>3</v>
      </c>
      <c r="J174">
        <v>7</v>
      </c>
      <c r="K174">
        <v>5</v>
      </c>
      <c r="L174">
        <v>2</v>
      </c>
      <c r="M174">
        <v>6</v>
      </c>
      <c r="N174">
        <v>5</v>
      </c>
      <c r="O174">
        <v>1</v>
      </c>
      <c r="P174">
        <v>8</v>
      </c>
      <c r="Q174">
        <v>4</v>
      </c>
      <c r="R174">
        <v>4</v>
      </c>
      <c r="S174">
        <v>9</v>
      </c>
      <c r="T174">
        <v>6</v>
      </c>
      <c r="U174">
        <v>3</v>
      </c>
      <c r="V174">
        <v>8</v>
      </c>
      <c r="W174">
        <v>5</v>
      </c>
      <c r="X174">
        <v>3</v>
      </c>
      <c r="Y174">
        <v>9</v>
      </c>
      <c r="Z174">
        <v>4</v>
      </c>
      <c r="AA174">
        <v>5</v>
      </c>
      <c r="AB174">
        <v>8</v>
      </c>
      <c r="AC174">
        <v>4</v>
      </c>
      <c r="AD174">
        <v>4</v>
      </c>
      <c r="AE174">
        <v>7</v>
      </c>
      <c r="AF174">
        <v>5</v>
      </c>
      <c r="AG174">
        <v>2</v>
      </c>
      <c r="AH174">
        <v>9</v>
      </c>
      <c r="AI174">
        <v>5</v>
      </c>
      <c r="AJ174">
        <v>4</v>
      </c>
      <c r="AK174" t="s">
        <v>1814</v>
      </c>
      <c r="AL174" t="s">
        <v>1815</v>
      </c>
      <c r="AM174" t="s">
        <v>1816</v>
      </c>
      <c r="AN174" t="s">
        <v>1817</v>
      </c>
      <c r="AO174" t="s">
        <v>1818</v>
      </c>
      <c r="AP174" t="s">
        <v>1819</v>
      </c>
      <c r="AQ174" t="s">
        <v>1820</v>
      </c>
      <c r="AR174" t="s">
        <v>1821</v>
      </c>
      <c r="AS174" t="s">
        <v>1822</v>
      </c>
    </row>
    <row r="175" spans="1:45" x14ac:dyDescent="0.45">
      <c r="A175">
        <v>174</v>
      </c>
      <c r="B175">
        <v>174</v>
      </c>
      <c r="C175" t="s">
        <v>72</v>
      </c>
      <c r="D175" t="s">
        <v>81</v>
      </c>
      <c r="E175" t="s">
        <v>74</v>
      </c>
      <c r="F175" t="s">
        <v>77</v>
      </c>
      <c r="G175" t="s">
        <v>76</v>
      </c>
      <c r="H175">
        <v>45.811267624915253</v>
      </c>
      <c r="I175">
        <v>1</v>
      </c>
      <c r="J175">
        <v>7</v>
      </c>
      <c r="K175">
        <v>6</v>
      </c>
      <c r="L175">
        <v>1</v>
      </c>
      <c r="M175">
        <v>6</v>
      </c>
      <c r="N175">
        <v>6</v>
      </c>
      <c r="O175">
        <v>0</v>
      </c>
      <c r="P175">
        <v>9</v>
      </c>
      <c r="Q175">
        <v>6</v>
      </c>
      <c r="R175">
        <v>3</v>
      </c>
      <c r="S175">
        <v>8</v>
      </c>
      <c r="T175">
        <v>6</v>
      </c>
      <c r="U175">
        <v>2</v>
      </c>
      <c r="V175">
        <v>7</v>
      </c>
      <c r="W175">
        <v>7</v>
      </c>
      <c r="X175">
        <v>0</v>
      </c>
      <c r="Y175">
        <v>8</v>
      </c>
      <c r="Z175">
        <v>7</v>
      </c>
      <c r="AA175">
        <v>1</v>
      </c>
      <c r="AB175">
        <v>7</v>
      </c>
      <c r="AC175">
        <v>5</v>
      </c>
      <c r="AD175">
        <v>2</v>
      </c>
      <c r="AE175">
        <v>6</v>
      </c>
      <c r="AF175">
        <v>7</v>
      </c>
      <c r="AG175">
        <v>-1</v>
      </c>
      <c r="AH175">
        <v>9</v>
      </c>
      <c r="AI175">
        <v>6</v>
      </c>
      <c r="AJ175">
        <v>3</v>
      </c>
      <c r="AK175" t="s">
        <v>222</v>
      </c>
      <c r="AL175" t="s">
        <v>1823</v>
      </c>
      <c r="AM175" t="s">
        <v>1824</v>
      </c>
      <c r="AN175" t="s">
        <v>1825</v>
      </c>
      <c r="AO175" t="s">
        <v>1826</v>
      </c>
      <c r="AP175" t="s">
        <v>1827</v>
      </c>
      <c r="AQ175" t="s">
        <v>1828</v>
      </c>
      <c r="AR175" t="s">
        <v>1829</v>
      </c>
      <c r="AS175" t="s">
        <v>1830</v>
      </c>
    </row>
    <row r="176" spans="1:45" x14ac:dyDescent="0.45">
      <c r="A176">
        <v>175</v>
      </c>
      <c r="B176">
        <v>175</v>
      </c>
      <c r="C176" t="s">
        <v>72</v>
      </c>
      <c r="D176" t="s">
        <v>191</v>
      </c>
      <c r="E176" t="s">
        <v>74</v>
      </c>
      <c r="F176" t="s">
        <v>75</v>
      </c>
      <c r="G176" t="s">
        <v>76</v>
      </c>
      <c r="H176">
        <v>185.36544145619655</v>
      </c>
      <c r="I176">
        <v>3</v>
      </c>
      <c r="J176">
        <v>9</v>
      </c>
      <c r="K176">
        <v>4</v>
      </c>
      <c r="L176">
        <v>5</v>
      </c>
      <c r="M176">
        <v>8</v>
      </c>
      <c r="N176">
        <v>5</v>
      </c>
      <c r="O176">
        <v>3</v>
      </c>
      <c r="P176">
        <v>9</v>
      </c>
      <c r="Q176">
        <v>4</v>
      </c>
      <c r="R176">
        <v>5</v>
      </c>
      <c r="S176">
        <v>8</v>
      </c>
      <c r="T176">
        <v>6</v>
      </c>
      <c r="U176">
        <v>2</v>
      </c>
      <c r="V176">
        <v>9</v>
      </c>
      <c r="W176">
        <v>4</v>
      </c>
      <c r="X176">
        <v>5</v>
      </c>
      <c r="Y176">
        <v>8</v>
      </c>
      <c r="Z176">
        <v>4</v>
      </c>
      <c r="AA176">
        <v>4</v>
      </c>
      <c r="AB176">
        <v>9</v>
      </c>
      <c r="AC176">
        <v>4</v>
      </c>
      <c r="AD176">
        <v>5</v>
      </c>
      <c r="AE176">
        <v>8</v>
      </c>
      <c r="AF176">
        <v>5</v>
      </c>
      <c r="AG176">
        <v>3</v>
      </c>
      <c r="AH176">
        <v>9</v>
      </c>
      <c r="AI176">
        <v>4</v>
      </c>
      <c r="AJ176">
        <v>5</v>
      </c>
      <c r="AK176" t="s">
        <v>1831</v>
      </c>
      <c r="AL176" t="s">
        <v>1832</v>
      </c>
      <c r="AM176" t="s">
        <v>1833</v>
      </c>
      <c r="AN176" t="s">
        <v>1834</v>
      </c>
      <c r="AO176" t="s">
        <v>1835</v>
      </c>
      <c r="AP176" t="s">
        <v>1836</v>
      </c>
      <c r="AQ176" t="s">
        <v>1837</v>
      </c>
      <c r="AR176" t="s">
        <v>1838</v>
      </c>
      <c r="AS176" t="s">
        <v>1839</v>
      </c>
    </row>
    <row r="177" spans="1:45" x14ac:dyDescent="0.45">
      <c r="A177">
        <v>176</v>
      </c>
      <c r="B177">
        <v>176</v>
      </c>
      <c r="C177" t="s">
        <v>72</v>
      </c>
      <c r="D177" t="s">
        <v>193</v>
      </c>
      <c r="E177" t="s">
        <v>80</v>
      </c>
      <c r="F177" t="s">
        <v>75</v>
      </c>
      <c r="G177" t="s">
        <v>76</v>
      </c>
      <c r="H177">
        <v>236.50189251008163</v>
      </c>
      <c r="I177">
        <v>0</v>
      </c>
      <c r="J177">
        <v>8</v>
      </c>
      <c r="K177">
        <v>2</v>
      </c>
      <c r="L177">
        <v>6</v>
      </c>
      <c r="M177">
        <v>9</v>
      </c>
      <c r="N177">
        <v>4</v>
      </c>
      <c r="O177">
        <v>5</v>
      </c>
      <c r="P177">
        <v>7</v>
      </c>
      <c r="Q177">
        <v>3</v>
      </c>
      <c r="R177">
        <v>4</v>
      </c>
      <c r="S177">
        <v>9</v>
      </c>
      <c r="T177">
        <v>5</v>
      </c>
      <c r="U177">
        <v>4</v>
      </c>
      <c r="V177">
        <v>7</v>
      </c>
      <c r="W177">
        <v>4</v>
      </c>
      <c r="X177">
        <v>3</v>
      </c>
      <c r="Y177">
        <v>9</v>
      </c>
      <c r="Z177">
        <v>1</v>
      </c>
      <c r="AA177">
        <v>8</v>
      </c>
      <c r="AB177">
        <v>8</v>
      </c>
      <c r="AC177">
        <v>1</v>
      </c>
      <c r="AD177">
        <v>7</v>
      </c>
      <c r="AE177">
        <v>9</v>
      </c>
      <c r="AF177">
        <v>4</v>
      </c>
      <c r="AG177">
        <v>5</v>
      </c>
      <c r="AH177">
        <v>8</v>
      </c>
      <c r="AI177">
        <v>4</v>
      </c>
      <c r="AJ177">
        <v>4</v>
      </c>
      <c r="AK177" t="s">
        <v>1840</v>
      </c>
      <c r="AL177" t="s">
        <v>1841</v>
      </c>
      <c r="AM177" t="s">
        <v>1842</v>
      </c>
      <c r="AN177" t="s">
        <v>1843</v>
      </c>
      <c r="AO177" t="s">
        <v>1844</v>
      </c>
      <c r="AP177" t="s">
        <v>1845</v>
      </c>
      <c r="AQ177" t="s">
        <v>1846</v>
      </c>
      <c r="AR177" t="s">
        <v>1847</v>
      </c>
      <c r="AS177" t="s">
        <v>1848</v>
      </c>
    </row>
    <row r="178" spans="1:45" x14ac:dyDescent="0.45">
      <c r="A178">
        <v>177</v>
      </c>
      <c r="B178">
        <v>177</v>
      </c>
      <c r="C178" t="s">
        <v>72</v>
      </c>
      <c r="D178" t="s">
        <v>191</v>
      </c>
      <c r="E178" t="s">
        <v>74</v>
      </c>
      <c r="F178" t="s">
        <v>75</v>
      </c>
      <c r="G178" t="s">
        <v>76</v>
      </c>
      <c r="H178">
        <v>85.065936424859103</v>
      </c>
      <c r="I178">
        <v>2</v>
      </c>
      <c r="J178">
        <v>7</v>
      </c>
      <c r="K178">
        <v>4</v>
      </c>
      <c r="L178">
        <v>3</v>
      </c>
      <c r="M178">
        <v>6</v>
      </c>
      <c r="N178">
        <v>4</v>
      </c>
      <c r="O178">
        <v>2</v>
      </c>
      <c r="P178">
        <v>8</v>
      </c>
      <c r="Q178">
        <v>3</v>
      </c>
      <c r="R178">
        <v>5</v>
      </c>
      <c r="S178">
        <v>9</v>
      </c>
      <c r="T178">
        <v>5</v>
      </c>
      <c r="U178">
        <v>4</v>
      </c>
      <c r="V178">
        <v>7</v>
      </c>
      <c r="W178">
        <v>3</v>
      </c>
      <c r="X178">
        <v>4</v>
      </c>
      <c r="Y178">
        <v>9</v>
      </c>
      <c r="Z178">
        <v>2</v>
      </c>
      <c r="AA178">
        <v>7</v>
      </c>
      <c r="AB178">
        <v>7</v>
      </c>
      <c r="AC178">
        <v>1</v>
      </c>
      <c r="AD178">
        <v>6</v>
      </c>
      <c r="AE178">
        <v>8</v>
      </c>
      <c r="AF178">
        <v>1</v>
      </c>
      <c r="AG178">
        <v>7</v>
      </c>
      <c r="AH178">
        <v>9</v>
      </c>
      <c r="AI178">
        <v>1</v>
      </c>
      <c r="AJ178">
        <v>8</v>
      </c>
      <c r="AK178" t="s">
        <v>1849</v>
      </c>
      <c r="AL178" t="s">
        <v>1850</v>
      </c>
      <c r="AM178" t="s">
        <v>1851</v>
      </c>
      <c r="AN178" t="s">
        <v>1852</v>
      </c>
      <c r="AO178" t="s">
        <v>1853</v>
      </c>
      <c r="AP178" t="s">
        <v>1854</v>
      </c>
      <c r="AQ178" t="s">
        <v>1855</v>
      </c>
      <c r="AR178" t="s">
        <v>1856</v>
      </c>
      <c r="AS178" t="s">
        <v>1857</v>
      </c>
    </row>
    <row r="179" spans="1:45" x14ac:dyDescent="0.45">
      <c r="A179">
        <v>178</v>
      </c>
      <c r="B179">
        <v>178</v>
      </c>
      <c r="C179" t="s">
        <v>72</v>
      </c>
      <c r="D179" t="s">
        <v>193</v>
      </c>
      <c r="E179" t="s">
        <v>74</v>
      </c>
      <c r="F179" t="s">
        <v>77</v>
      </c>
      <c r="G179" t="s">
        <v>76</v>
      </c>
      <c r="H179">
        <v>43.412413537834013</v>
      </c>
      <c r="I179">
        <v>4</v>
      </c>
      <c r="J179">
        <v>8</v>
      </c>
      <c r="K179">
        <v>6</v>
      </c>
      <c r="L179">
        <v>2</v>
      </c>
      <c r="M179">
        <v>9</v>
      </c>
      <c r="N179">
        <v>7</v>
      </c>
      <c r="O179">
        <v>2</v>
      </c>
      <c r="P179">
        <v>8</v>
      </c>
      <c r="Q179">
        <v>6</v>
      </c>
      <c r="R179">
        <v>2</v>
      </c>
      <c r="S179">
        <v>9</v>
      </c>
      <c r="T179">
        <v>6</v>
      </c>
      <c r="U179">
        <v>3</v>
      </c>
      <c r="V179">
        <v>8</v>
      </c>
      <c r="W179">
        <v>6</v>
      </c>
      <c r="X179">
        <v>2</v>
      </c>
      <c r="Y179">
        <v>9</v>
      </c>
      <c r="Z179">
        <v>7</v>
      </c>
      <c r="AA179">
        <v>2</v>
      </c>
      <c r="AB179">
        <v>8</v>
      </c>
      <c r="AC179">
        <v>5</v>
      </c>
      <c r="AD179">
        <v>3</v>
      </c>
      <c r="AE179">
        <v>9</v>
      </c>
      <c r="AF179">
        <v>6</v>
      </c>
      <c r="AG179">
        <v>3</v>
      </c>
      <c r="AH179">
        <v>8</v>
      </c>
      <c r="AI179">
        <v>7</v>
      </c>
      <c r="AJ179">
        <v>1</v>
      </c>
      <c r="AK179" t="s">
        <v>1858</v>
      </c>
      <c r="AL179" t="s">
        <v>1859</v>
      </c>
      <c r="AM179" t="s">
        <v>1860</v>
      </c>
      <c r="AN179" t="s">
        <v>1861</v>
      </c>
      <c r="AO179" t="s">
        <v>1862</v>
      </c>
      <c r="AP179" t="s">
        <v>1863</v>
      </c>
      <c r="AQ179" t="s">
        <v>1864</v>
      </c>
      <c r="AR179" t="s">
        <v>1865</v>
      </c>
      <c r="AS179" t="s">
        <v>1866</v>
      </c>
    </row>
    <row r="180" spans="1:45" x14ac:dyDescent="0.45">
      <c r="A180">
        <v>179</v>
      </c>
      <c r="B180">
        <v>179</v>
      </c>
      <c r="C180" t="s">
        <v>72</v>
      </c>
      <c r="D180" t="s">
        <v>73</v>
      </c>
      <c r="E180" t="s">
        <v>74</v>
      </c>
      <c r="F180" t="s">
        <v>75</v>
      </c>
      <c r="G180" t="s">
        <v>76</v>
      </c>
      <c r="H180">
        <v>30.344556229156154</v>
      </c>
      <c r="I180">
        <v>1</v>
      </c>
      <c r="J180">
        <v>6</v>
      </c>
      <c r="K180">
        <v>7</v>
      </c>
      <c r="L180">
        <v>-1</v>
      </c>
      <c r="M180">
        <v>7</v>
      </c>
      <c r="N180">
        <v>7</v>
      </c>
      <c r="O180">
        <v>0</v>
      </c>
      <c r="P180">
        <v>5</v>
      </c>
      <c r="Q180">
        <v>7</v>
      </c>
      <c r="R180">
        <v>-2</v>
      </c>
      <c r="S180">
        <v>8</v>
      </c>
      <c r="T180">
        <v>8</v>
      </c>
      <c r="U180">
        <v>0</v>
      </c>
      <c r="V180">
        <v>7</v>
      </c>
      <c r="W180">
        <v>7</v>
      </c>
      <c r="X180">
        <v>0</v>
      </c>
      <c r="Y180">
        <v>8</v>
      </c>
      <c r="Z180">
        <v>8</v>
      </c>
      <c r="AA180">
        <v>0</v>
      </c>
      <c r="AB180">
        <v>6</v>
      </c>
      <c r="AC180">
        <v>7</v>
      </c>
      <c r="AD180">
        <v>-1</v>
      </c>
      <c r="AE180">
        <v>7</v>
      </c>
      <c r="AF180">
        <v>7</v>
      </c>
      <c r="AG180">
        <v>0</v>
      </c>
      <c r="AH180">
        <v>9</v>
      </c>
      <c r="AI180">
        <v>8</v>
      </c>
      <c r="AJ180">
        <v>1</v>
      </c>
      <c r="AK180" t="s">
        <v>1867</v>
      </c>
      <c r="AL180" t="s">
        <v>1868</v>
      </c>
      <c r="AM180" t="s">
        <v>1869</v>
      </c>
      <c r="AN180" t="s">
        <v>1870</v>
      </c>
      <c r="AO180" t="s">
        <v>1871</v>
      </c>
      <c r="AP180" t="s">
        <v>1872</v>
      </c>
      <c r="AQ180" t="s">
        <v>1873</v>
      </c>
      <c r="AR180" t="s">
        <v>1874</v>
      </c>
      <c r="AS180" t="s">
        <v>1875</v>
      </c>
    </row>
    <row r="181" spans="1:45" x14ac:dyDescent="0.45">
      <c r="A181">
        <v>180</v>
      </c>
      <c r="B181">
        <v>180</v>
      </c>
      <c r="C181" t="s">
        <v>72</v>
      </c>
      <c r="D181" t="s">
        <v>79</v>
      </c>
      <c r="E181" t="s">
        <v>74</v>
      </c>
      <c r="F181" t="s">
        <v>77</v>
      </c>
      <c r="G181" t="s">
        <v>76</v>
      </c>
      <c r="H181">
        <v>60.097183385871624</v>
      </c>
      <c r="I181">
        <v>1</v>
      </c>
      <c r="J181">
        <v>7</v>
      </c>
      <c r="K181">
        <v>5</v>
      </c>
      <c r="L181">
        <v>2</v>
      </c>
      <c r="M181">
        <v>8</v>
      </c>
      <c r="N181">
        <v>5</v>
      </c>
      <c r="O181">
        <v>3</v>
      </c>
      <c r="P181">
        <v>9</v>
      </c>
      <c r="Q181">
        <v>5</v>
      </c>
      <c r="R181">
        <v>4</v>
      </c>
      <c r="S181">
        <v>9</v>
      </c>
      <c r="T181">
        <v>7</v>
      </c>
      <c r="U181">
        <v>2</v>
      </c>
      <c r="V181">
        <v>8</v>
      </c>
      <c r="W181">
        <v>5</v>
      </c>
      <c r="X181">
        <v>3</v>
      </c>
      <c r="Y181">
        <v>9</v>
      </c>
      <c r="Z181">
        <v>6</v>
      </c>
      <c r="AA181">
        <v>3</v>
      </c>
      <c r="AB181">
        <v>8</v>
      </c>
      <c r="AC181">
        <v>5</v>
      </c>
      <c r="AD181">
        <v>3</v>
      </c>
      <c r="AE181">
        <v>7</v>
      </c>
      <c r="AF181">
        <v>7</v>
      </c>
      <c r="AG181">
        <v>0</v>
      </c>
      <c r="AH181">
        <v>9</v>
      </c>
      <c r="AI181">
        <v>7</v>
      </c>
      <c r="AJ181">
        <v>2</v>
      </c>
      <c r="AK181" t="s">
        <v>1876</v>
      </c>
      <c r="AL181" t="s">
        <v>1877</v>
      </c>
      <c r="AM181" t="s">
        <v>1878</v>
      </c>
      <c r="AN181" t="s">
        <v>1879</v>
      </c>
      <c r="AO181" t="s">
        <v>1880</v>
      </c>
      <c r="AP181" t="s">
        <v>1881</v>
      </c>
      <c r="AQ181" t="s">
        <v>1882</v>
      </c>
      <c r="AR181" t="s">
        <v>1883</v>
      </c>
      <c r="AS181" t="s">
        <v>1884</v>
      </c>
    </row>
    <row r="182" spans="1:45" x14ac:dyDescent="0.45">
      <c r="A182">
        <v>181</v>
      </c>
      <c r="B182">
        <v>181</v>
      </c>
      <c r="C182" t="s">
        <v>72</v>
      </c>
      <c r="D182" t="s">
        <v>73</v>
      </c>
      <c r="E182" t="s">
        <v>74</v>
      </c>
      <c r="F182" t="s">
        <v>75</v>
      </c>
      <c r="G182" t="s">
        <v>76</v>
      </c>
      <c r="H182">
        <v>64.510814561887784</v>
      </c>
      <c r="I182">
        <v>2</v>
      </c>
      <c r="J182">
        <v>6</v>
      </c>
      <c r="K182">
        <v>6</v>
      </c>
      <c r="L182">
        <v>0</v>
      </c>
      <c r="M182">
        <v>7</v>
      </c>
      <c r="N182">
        <v>7</v>
      </c>
      <c r="O182">
        <v>0</v>
      </c>
      <c r="P182">
        <v>9</v>
      </c>
      <c r="Q182">
        <v>7</v>
      </c>
      <c r="R182">
        <v>2</v>
      </c>
      <c r="S182">
        <v>10</v>
      </c>
      <c r="T182">
        <v>8</v>
      </c>
      <c r="U182">
        <v>2</v>
      </c>
      <c r="V182">
        <v>8</v>
      </c>
      <c r="W182">
        <v>8</v>
      </c>
      <c r="X182">
        <v>0</v>
      </c>
      <c r="Y182">
        <v>9</v>
      </c>
      <c r="Z182">
        <v>7</v>
      </c>
      <c r="AA182">
        <v>2</v>
      </c>
      <c r="AB182">
        <v>7</v>
      </c>
      <c r="AC182">
        <v>5</v>
      </c>
      <c r="AD182">
        <v>2</v>
      </c>
      <c r="AE182">
        <v>6</v>
      </c>
      <c r="AF182">
        <v>7</v>
      </c>
      <c r="AG182">
        <v>-1</v>
      </c>
      <c r="AH182">
        <v>8</v>
      </c>
      <c r="AI182">
        <v>7</v>
      </c>
      <c r="AJ182">
        <v>1</v>
      </c>
      <c r="AK182" t="s">
        <v>274</v>
      </c>
      <c r="AL182" t="s">
        <v>1885</v>
      </c>
      <c r="AM182" t="s">
        <v>1886</v>
      </c>
      <c r="AN182" t="s">
        <v>1887</v>
      </c>
      <c r="AO182" t="s">
        <v>1888</v>
      </c>
      <c r="AP182" t="s">
        <v>1889</v>
      </c>
      <c r="AQ182" t="s">
        <v>1890</v>
      </c>
      <c r="AR182" t="s">
        <v>1891</v>
      </c>
      <c r="AS182" t="s">
        <v>1892</v>
      </c>
    </row>
    <row r="183" spans="1:45" x14ac:dyDescent="0.45">
      <c r="A183">
        <v>182</v>
      </c>
      <c r="B183">
        <v>182</v>
      </c>
      <c r="C183" t="s">
        <v>72</v>
      </c>
      <c r="D183" t="s">
        <v>81</v>
      </c>
      <c r="E183" t="s">
        <v>74</v>
      </c>
      <c r="F183" t="s">
        <v>77</v>
      </c>
      <c r="G183" t="s">
        <v>76</v>
      </c>
      <c r="H183">
        <v>24.327818242433288</v>
      </c>
      <c r="I183">
        <v>0</v>
      </c>
      <c r="J183">
        <v>9</v>
      </c>
      <c r="K183">
        <v>8</v>
      </c>
      <c r="L183">
        <v>1</v>
      </c>
      <c r="M183">
        <v>8</v>
      </c>
      <c r="N183">
        <v>8</v>
      </c>
      <c r="O183">
        <v>0</v>
      </c>
      <c r="P183">
        <v>9</v>
      </c>
      <c r="Q183">
        <v>5</v>
      </c>
      <c r="R183">
        <v>4</v>
      </c>
      <c r="S183">
        <v>9</v>
      </c>
      <c r="T183">
        <v>8</v>
      </c>
      <c r="U183">
        <v>1</v>
      </c>
      <c r="V183">
        <v>9</v>
      </c>
      <c r="W183">
        <v>6</v>
      </c>
      <c r="X183">
        <v>3</v>
      </c>
      <c r="Y183">
        <v>8</v>
      </c>
      <c r="Z183">
        <v>8</v>
      </c>
      <c r="AA183">
        <v>0</v>
      </c>
      <c r="AB183">
        <v>9</v>
      </c>
      <c r="AC183">
        <v>6</v>
      </c>
      <c r="AD183">
        <v>3</v>
      </c>
      <c r="AE183">
        <v>9</v>
      </c>
      <c r="AF183">
        <v>7</v>
      </c>
      <c r="AG183">
        <v>2</v>
      </c>
      <c r="AH183">
        <v>9</v>
      </c>
      <c r="AI183">
        <v>7</v>
      </c>
      <c r="AJ183">
        <v>2</v>
      </c>
      <c r="AK183" t="s">
        <v>1893</v>
      </c>
      <c r="AL183" t="s">
        <v>1894</v>
      </c>
      <c r="AM183" t="s">
        <v>1895</v>
      </c>
      <c r="AN183" t="s">
        <v>1896</v>
      </c>
      <c r="AO183" t="s">
        <v>1897</v>
      </c>
      <c r="AP183" t="s">
        <v>1898</v>
      </c>
      <c r="AQ183" t="s">
        <v>1899</v>
      </c>
      <c r="AR183" t="s">
        <v>1900</v>
      </c>
      <c r="AS183" t="s">
        <v>1901</v>
      </c>
    </row>
    <row r="184" spans="1:45" x14ac:dyDescent="0.45">
      <c r="A184">
        <v>183</v>
      </c>
      <c r="B184">
        <v>183</v>
      </c>
      <c r="C184" t="s">
        <v>78</v>
      </c>
      <c r="D184" t="s">
        <v>193</v>
      </c>
      <c r="E184" t="s">
        <v>74</v>
      </c>
      <c r="F184" t="s">
        <v>75</v>
      </c>
      <c r="G184" t="s">
        <v>76</v>
      </c>
      <c r="H184">
        <v>242.81408680964296</v>
      </c>
      <c r="I184">
        <v>3</v>
      </c>
      <c r="J184">
        <v>8</v>
      </c>
      <c r="K184">
        <v>2</v>
      </c>
      <c r="L184">
        <v>6</v>
      </c>
      <c r="M184">
        <v>8</v>
      </c>
      <c r="N184">
        <v>5</v>
      </c>
      <c r="O184">
        <v>3</v>
      </c>
      <c r="P184">
        <v>7</v>
      </c>
      <c r="Q184">
        <v>3</v>
      </c>
      <c r="R184">
        <v>4</v>
      </c>
      <c r="S184">
        <v>9</v>
      </c>
      <c r="T184">
        <v>5</v>
      </c>
      <c r="U184">
        <v>4</v>
      </c>
      <c r="V184">
        <v>8</v>
      </c>
      <c r="W184">
        <v>3</v>
      </c>
      <c r="X184">
        <v>5</v>
      </c>
      <c r="Y184">
        <v>9</v>
      </c>
      <c r="Z184">
        <v>2</v>
      </c>
      <c r="AA184">
        <v>7</v>
      </c>
      <c r="AB184">
        <v>8</v>
      </c>
      <c r="AC184">
        <v>1</v>
      </c>
      <c r="AD184">
        <v>7</v>
      </c>
      <c r="AE184">
        <v>7</v>
      </c>
      <c r="AF184">
        <v>5</v>
      </c>
      <c r="AG184">
        <v>2</v>
      </c>
      <c r="AH184">
        <v>9</v>
      </c>
      <c r="AI184">
        <v>5</v>
      </c>
      <c r="AJ184">
        <v>4</v>
      </c>
      <c r="AK184" t="s">
        <v>1902</v>
      </c>
      <c r="AL184" t="s">
        <v>1903</v>
      </c>
      <c r="AM184" t="s">
        <v>1904</v>
      </c>
      <c r="AN184" t="s">
        <v>1905</v>
      </c>
      <c r="AO184" t="s">
        <v>1906</v>
      </c>
      <c r="AP184" t="s">
        <v>1907</v>
      </c>
      <c r="AQ184" t="s">
        <v>1908</v>
      </c>
      <c r="AR184" t="s">
        <v>1909</v>
      </c>
      <c r="AS184" t="s">
        <v>1910</v>
      </c>
    </row>
    <row r="185" spans="1:45" x14ac:dyDescent="0.45">
      <c r="A185">
        <v>184</v>
      </c>
      <c r="B185">
        <v>184</v>
      </c>
      <c r="C185" t="s">
        <v>78</v>
      </c>
      <c r="D185" t="s">
        <v>189</v>
      </c>
      <c r="E185" t="s">
        <v>74</v>
      </c>
      <c r="F185" t="s">
        <v>77</v>
      </c>
      <c r="G185" t="s">
        <v>76</v>
      </c>
      <c r="H185">
        <v>12.088908296731857</v>
      </c>
      <c r="I185">
        <v>0</v>
      </c>
      <c r="J185">
        <v>9</v>
      </c>
      <c r="K185">
        <v>6</v>
      </c>
      <c r="L185">
        <v>3</v>
      </c>
      <c r="M185">
        <v>8</v>
      </c>
      <c r="N185">
        <v>6</v>
      </c>
      <c r="O185">
        <v>2</v>
      </c>
      <c r="P185">
        <v>9</v>
      </c>
      <c r="Q185">
        <v>5</v>
      </c>
      <c r="R185">
        <v>4</v>
      </c>
      <c r="S185">
        <v>8</v>
      </c>
      <c r="T185">
        <v>9</v>
      </c>
      <c r="U185">
        <v>-1</v>
      </c>
      <c r="V185">
        <v>9</v>
      </c>
      <c r="W185">
        <v>7</v>
      </c>
      <c r="X185">
        <v>2</v>
      </c>
      <c r="Y185">
        <v>9</v>
      </c>
      <c r="Z185">
        <v>8</v>
      </c>
      <c r="AA185">
        <v>1</v>
      </c>
      <c r="AB185">
        <v>8</v>
      </c>
      <c r="AC185">
        <v>5</v>
      </c>
      <c r="AD185">
        <v>3</v>
      </c>
      <c r="AE185">
        <v>9</v>
      </c>
      <c r="AF185">
        <v>7</v>
      </c>
      <c r="AG185">
        <v>2</v>
      </c>
      <c r="AH185">
        <v>8</v>
      </c>
      <c r="AI185">
        <v>7</v>
      </c>
      <c r="AJ185">
        <v>1</v>
      </c>
      <c r="AK185" t="s">
        <v>1911</v>
      </c>
      <c r="AL185" t="s">
        <v>1912</v>
      </c>
      <c r="AM185" t="s">
        <v>1913</v>
      </c>
      <c r="AN185" t="s">
        <v>1914</v>
      </c>
      <c r="AO185" t="s">
        <v>1915</v>
      </c>
      <c r="AP185" t="s">
        <v>1916</v>
      </c>
      <c r="AQ185" t="s">
        <v>1917</v>
      </c>
      <c r="AR185" t="s">
        <v>1918</v>
      </c>
      <c r="AS185" t="s">
        <v>1919</v>
      </c>
    </row>
    <row r="186" spans="1:45" x14ac:dyDescent="0.45">
      <c r="A186">
        <v>185</v>
      </c>
      <c r="B186">
        <v>185</v>
      </c>
      <c r="C186" t="s">
        <v>72</v>
      </c>
      <c r="D186" t="s">
        <v>79</v>
      </c>
      <c r="E186" t="s">
        <v>80</v>
      </c>
      <c r="F186" t="s">
        <v>77</v>
      </c>
      <c r="G186" t="s">
        <v>162</v>
      </c>
      <c r="H186">
        <v>35.293671475084075</v>
      </c>
      <c r="I186">
        <v>3</v>
      </c>
      <c r="J186">
        <v>6</v>
      </c>
      <c r="K186">
        <v>7</v>
      </c>
      <c r="L186">
        <v>-1</v>
      </c>
      <c r="M186">
        <v>8</v>
      </c>
      <c r="N186">
        <v>7</v>
      </c>
      <c r="O186">
        <v>1</v>
      </c>
      <c r="P186">
        <v>9</v>
      </c>
      <c r="Q186">
        <v>6</v>
      </c>
      <c r="R186">
        <v>3</v>
      </c>
      <c r="S186">
        <v>8</v>
      </c>
      <c r="T186">
        <v>8</v>
      </c>
      <c r="U186">
        <v>0</v>
      </c>
      <c r="V186">
        <v>9</v>
      </c>
      <c r="W186">
        <v>5</v>
      </c>
      <c r="X186">
        <v>4</v>
      </c>
      <c r="Y186">
        <v>8</v>
      </c>
      <c r="Z186">
        <v>5</v>
      </c>
      <c r="AA186">
        <v>3</v>
      </c>
      <c r="AB186">
        <v>9</v>
      </c>
      <c r="AC186">
        <v>5</v>
      </c>
      <c r="AD186">
        <v>4</v>
      </c>
      <c r="AE186">
        <v>10</v>
      </c>
      <c r="AF186">
        <v>6</v>
      </c>
      <c r="AG186">
        <v>4</v>
      </c>
      <c r="AH186">
        <v>9</v>
      </c>
      <c r="AI186">
        <v>5</v>
      </c>
      <c r="AJ186">
        <v>4</v>
      </c>
      <c r="AK186" t="s">
        <v>1920</v>
      </c>
      <c r="AL186" t="s">
        <v>1921</v>
      </c>
      <c r="AM186" t="s">
        <v>1922</v>
      </c>
      <c r="AN186" t="s">
        <v>1923</v>
      </c>
      <c r="AO186" t="s">
        <v>1924</v>
      </c>
      <c r="AP186" t="s">
        <v>1925</v>
      </c>
      <c r="AQ186" t="s">
        <v>1926</v>
      </c>
      <c r="AR186" t="s">
        <v>1927</v>
      </c>
      <c r="AS186" t="s">
        <v>1928</v>
      </c>
    </row>
    <row r="187" spans="1:45" x14ac:dyDescent="0.45">
      <c r="A187">
        <v>186</v>
      </c>
      <c r="B187">
        <v>186</v>
      </c>
      <c r="C187" t="s">
        <v>72</v>
      </c>
      <c r="D187" t="s">
        <v>193</v>
      </c>
      <c r="E187" t="s">
        <v>74</v>
      </c>
      <c r="F187" t="s">
        <v>77</v>
      </c>
      <c r="G187" t="s">
        <v>162</v>
      </c>
      <c r="H187">
        <v>14.73627216463114</v>
      </c>
      <c r="I187">
        <v>0</v>
      </c>
      <c r="J187">
        <v>5</v>
      </c>
      <c r="K187">
        <v>7</v>
      </c>
      <c r="L187">
        <v>-2</v>
      </c>
      <c r="M187">
        <v>6</v>
      </c>
      <c r="N187">
        <v>7</v>
      </c>
      <c r="O187">
        <v>-1</v>
      </c>
      <c r="P187">
        <v>8</v>
      </c>
      <c r="Q187">
        <v>5</v>
      </c>
      <c r="R187">
        <v>3</v>
      </c>
      <c r="S187">
        <v>7</v>
      </c>
      <c r="T187">
        <v>7</v>
      </c>
      <c r="U187">
        <v>0</v>
      </c>
      <c r="V187">
        <v>6</v>
      </c>
      <c r="W187">
        <v>5</v>
      </c>
      <c r="X187">
        <v>1</v>
      </c>
      <c r="Y187">
        <v>9</v>
      </c>
      <c r="Z187">
        <v>5</v>
      </c>
      <c r="AA187">
        <v>4</v>
      </c>
      <c r="AB187">
        <v>8</v>
      </c>
      <c r="AC187">
        <v>5</v>
      </c>
      <c r="AD187">
        <v>3</v>
      </c>
      <c r="AE187">
        <v>7</v>
      </c>
      <c r="AF187">
        <v>5</v>
      </c>
      <c r="AG187">
        <v>2</v>
      </c>
      <c r="AH187">
        <v>9</v>
      </c>
      <c r="AI187">
        <v>6</v>
      </c>
      <c r="AJ187">
        <v>3</v>
      </c>
      <c r="AK187" t="s">
        <v>1929</v>
      </c>
      <c r="AL187" t="s">
        <v>1930</v>
      </c>
      <c r="AM187" t="s">
        <v>1931</v>
      </c>
      <c r="AN187" t="s">
        <v>1932</v>
      </c>
      <c r="AO187" t="s">
        <v>1933</v>
      </c>
      <c r="AP187" t="s">
        <v>1934</v>
      </c>
      <c r="AQ187" t="s">
        <v>1935</v>
      </c>
      <c r="AR187" t="s">
        <v>1936</v>
      </c>
      <c r="AS187" t="s">
        <v>1937</v>
      </c>
    </row>
    <row r="188" spans="1:45" x14ac:dyDescent="0.45">
      <c r="A188">
        <v>187</v>
      </c>
      <c r="B188">
        <v>187</v>
      </c>
      <c r="C188" t="s">
        <v>78</v>
      </c>
      <c r="D188" t="s">
        <v>79</v>
      </c>
      <c r="E188" t="s">
        <v>74</v>
      </c>
      <c r="F188" t="s">
        <v>75</v>
      </c>
      <c r="G188" t="s">
        <v>76</v>
      </c>
      <c r="H188">
        <v>35.813089483558045</v>
      </c>
      <c r="I188">
        <v>2</v>
      </c>
      <c r="J188">
        <v>7</v>
      </c>
      <c r="K188">
        <v>6</v>
      </c>
      <c r="L188">
        <v>1</v>
      </c>
      <c r="M188">
        <v>8</v>
      </c>
      <c r="N188">
        <v>7</v>
      </c>
      <c r="O188">
        <v>1</v>
      </c>
      <c r="P188">
        <v>6</v>
      </c>
      <c r="Q188">
        <v>6</v>
      </c>
      <c r="R188">
        <v>0</v>
      </c>
      <c r="S188">
        <v>9</v>
      </c>
      <c r="T188">
        <v>7</v>
      </c>
      <c r="U188">
        <v>2</v>
      </c>
      <c r="V188">
        <v>8</v>
      </c>
      <c r="W188">
        <v>6</v>
      </c>
      <c r="X188">
        <v>2</v>
      </c>
      <c r="Y188">
        <v>9</v>
      </c>
      <c r="Z188">
        <v>6</v>
      </c>
      <c r="AA188">
        <v>3</v>
      </c>
      <c r="AB188">
        <v>8</v>
      </c>
      <c r="AC188">
        <v>5</v>
      </c>
      <c r="AD188">
        <v>3</v>
      </c>
      <c r="AE188">
        <v>7</v>
      </c>
      <c r="AF188">
        <v>5</v>
      </c>
      <c r="AG188">
        <v>2</v>
      </c>
      <c r="AH188">
        <v>9</v>
      </c>
      <c r="AI188">
        <v>6</v>
      </c>
      <c r="AJ188">
        <v>3</v>
      </c>
      <c r="AK188" t="s">
        <v>1938</v>
      </c>
      <c r="AL188" t="s">
        <v>1939</v>
      </c>
      <c r="AM188" t="s">
        <v>1940</v>
      </c>
      <c r="AN188" t="s">
        <v>1941</v>
      </c>
      <c r="AO188" t="s">
        <v>1942</v>
      </c>
      <c r="AP188" t="s">
        <v>1943</v>
      </c>
      <c r="AQ188" t="s">
        <v>1944</v>
      </c>
      <c r="AR188" t="s">
        <v>283</v>
      </c>
      <c r="AS188" t="s">
        <v>1945</v>
      </c>
    </row>
    <row r="189" spans="1:45" x14ac:dyDescent="0.45">
      <c r="A189">
        <v>188</v>
      </c>
      <c r="B189">
        <v>188</v>
      </c>
      <c r="C189" t="s">
        <v>78</v>
      </c>
      <c r="D189" t="s">
        <v>81</v>
      </c>
      <c r="E189" t="s">
        <v>74</v>
      </c>
      <c r="F189" t="s">
        <v>77</v>
      </c>
      <c r="G189" t="s">
        <v>76</v>
      </c>
      <c r="H189">
        <v>23.768887801891765</v>
      </c>
      <c r="I189">
        <v>1</v>
      </c>
      <c r="J189">
        <v>7</v>
      </c>
      <c r="K189">
        <v>5</v>
      </c>
      <c r="L189">
        <v>2</v>
      </c>
      <c r="M189">
        <v>6</v>
      </c>
      <c r="N189">
        <v>5</v>
      </c>
      <c r="O189">
        <v>1</v>
      </c>
      <c r="P189">
        <v>8</v>
      </c>
      <c r="Q189">
        <v>4</v>
      </c>
      <c r="R189">
        <v>4</v>
      </c>
      <c r="S189">
        <v>9</v>
      </c>
      <c r="T189">
        <v>6</v>
      </c>
      <c r="U189">
        <v>3</v>
      </c>
      <c r="V189">
        <v>5</v>
      </c>
      <c r="W189">
        <v>5</v>
      </c>
      <c r="X189">
        <v>0</v>
      </c>
      <c r="Y189">
        <v>9</v>
      </c>
      <c r="Z189">
        <v>5</v>
      </c>
      <c r="AA189">
        <v>4</v>
      </c>
      <c r="AB189">
        <v>6</v>
      </c>
      <c r="AC189">
        <v>5</v>
      </c>
      <c r="AD189">
        <v>1</v>
      </c>
      <c r="AE189">
        <v>7</v>
      </c>
      <c r="AF189">
        <v>5</v>
      </c>
      <c r="AG189">
        <v>2</v>
      </c>
      <c r="AH189">
        <v>8</v>
      </c>
      <c r="AI189">
        <v>5</v>
      </c>
      <c r="AJ189">
        <v>3</v>
      </c>
      <c r="AK189" t="s">
        <v>1946</v>
      </c>
      <c r="AL189" t="s">
        <v>1947</v>
      </c>
      <c r="AM189" t="s">
        <v>1948</v>
      </c>
      <c r="AN189" t="s">
        <v>1949</v>
      </c>
      <c r="AO189" t="s">
        <v>1950</v>
      </c>
      <c r="AP189" t="s">
        <v>1951</v>
      </c>
      <c r="AQ189" t="s">
        <v>1952</v>
      </c>
      <c r="AR189" t="s">
        <v>1953</v>
      </c>
      <c r="AS189" t="s">
        <v>1954</v>
      </c>
    </row>
    <row r="190" spans="1:45" x14ac:dyDescent="0.45">
      <c r="A190">
        <v>189</v>
      </c>
      <c r="B190">
        <v>189</v>
      </c>
      <c r="C190" t="s">
        <v>78</v>
      </c>
      <c r="D190" t="s">
        <v>79</v>
      </c>
      <c r="E190" t="s">
        <v>74</v>
      </c>
      <c r="F190" t="s">
        <v>77</v>
      </c>
      <c r="G190" t="s">
        <v>76</v>
      </c>
      <c r="H190">
        <v>58.224129325799318</v>
      </c>
      <c r="I190">
        <v>2</v>
      </c>
      <c r="J190">
        <v>8</v>
      </c>
      <c r="K190">
        <v>8</v>
      </c>
      <c r="L190">
        <v>0</v>
      </c>
      <c r="M190">
        <v>7</v>
      </c>
      <c r="N190">
        <v>8</v>
      </c>
      <c r="O190">
        <v>-1</v>
      </c>
      <c r="P190">
        <v>6</v>
      </c>
      <c r="Q190">
        <v>5</v>
      </c>
      <c r="R190">
        <v>1</v>
      </c>
      <c r="S190">
        <v>7</v>
      </c>
      <c r="T190">
        <v>7</v>
      </c>
      <c r="U190">
        <v>0</v>
      </c>
      <c r="V190">
        <v>8</v>
      </c>
      <c r="W190">
        <v>6</v>
      </c>
      <c r="X190">
        <v>2</v>
      </c>
      <c r="Y190">
        <v>9</v>
      </c>
      <c r="Z190">
        <v>8</v>
      </c>
      <c r="AA190">
        <v>1</v>
      </c>
      <c r="AB190">
        <v>8</v>
      </c>
      <c r="AC190">
        <v>5</v>
      </c>
      <c r="AD190">
        <v>3</v>
      </c>
      <c r="AE190">
        <v>6</v>
      </c>
      <c r="AF190">
        <v>7</v>
      </c>
      <c r="AG190">
        <v>-1</v>
      </c>
      <c r="AH190">
        <v>8</v>
      </c>
      <c r="AI190">
        <v>8</v>
      </c>
      <c r="AJ190">
        <v>0</v>
      </c>
      <c r="AK190" t="s">
        <v>1955</v>
      </c>
      <c r="AL190" t="s">
        <v>1956</v>
      </c>
      <c r="AM190" t="s">
        <v>1957</v>
      </c>
      <c r="AN190" t="s">
        <v>1958</v>
      </c>
      <c r="AO190" t="s">
        <v>1959</v>
      </c>
      <c r="AP190" t="s">
        <v>1960</v>
      </c>
      <c r="AQ190" t="s">
        <v>1961</v>
      </c>
      <c r="AR190" t="s">
        <v>1962</v>
      </c>
      <c r="AS190" t="s">
        <v>1963</v>
      </c>
    </row>
    <row r="191" spans="1:45" x14ac:dyDescent="0.45">
      <c r="A191">
        <v>190</v>
      </c>
      <c r="B191">
        <v>190</v>
      </c>
      <c r="C191" t="s">
        <v>78</v>
      </c>
      <c r="D191" t="s">
        <v>81</v>
      </c>
      <c r="E191" t="s">
        <v>74</v>
      </c>
      <c r="F191" t="s">
        <v>75</v>
      </c>
      <c r="G191" t="s">
        <v>76</v>
      </c>
      <c r="H191">
        <v>27.253152914906629</v>
      </c>
      <c r="I191">
        <v>0</v>
      </c>
      <c r="J191">
        <v>8</v>
      </c>
      <c r="K191">
        <v>7</v>
      </c>
      <c r="L191">
        <v>1</v>
      </c>
      <c r="M191">
        <v>9</v>
      </c>
      <c r="N191">
        <v>7</v>
      </c>
      <c r="O191">
        <v>2</v>
      </c>
      <c r="P191">
        <v>8</v>
      </c>
      <c r="Q191">
        <v>7</v>
      </c>
      <c r="R191">
        <v>1</v>
      </c>
      <c r="S191">
        <v>9</v>
      </c>
      <c r="T191">
        <v>8</v>
      </c>
      <c r="U191">
        <v>1</v>
      </c>
      <c r="V191">
        <v>8</v>
      </c>
      <c r="W191">
        <v>3</v>
      </c>
      <c r="X191">
        <v>5</v>
      </c>
      <c r="Y191">
        <v>9</v>
      </c>
      <c r="Z191">
        <v>3</v>
      </c>
      <c r="AA191">
        <v>6</v>
      </c>
      <c r="AB191">
        <v>8</v>
      </c>
      <c r="AC191">
        <v>2</v>
      </c>
      <c r="AD191">
        <v>6</v>
      </c>
      <c r="AE191">
        <v>9</v>
      </c>
      <c r="AF191">
        <v>3</v>
      </c>
      <c r="AG191">
        <v>6</v>
      </c>
      <c r="AH191">
        <v>9</v>
      </c>
      <c r="AI191">
        <v>8</v>
      </c>
      <c r="AJ191">
        <v>1</v>
      </c>
      <c r="AK191" t="s">
        <v>1964</v>
      </c>
      <c r="AL191" t="s">
        <v>1965</v>
      </c>
      <c r="AM191" t="s">
        <v>1966</v>
      </c>
      <c r="AN191" t="s">
        <v>1967</v>
      </c>
      <c r="AO191" t="s">
        <v>1968</v>
      </c>
      <c r="AP191" t="s">
        <v>1969</v>
      </c>
      <c r="AQ191" t="s">
        <v>1970</v>
      </c>
      <c r="AR191" t="s">
        <v>1971</v>
      </c>
      <c r="AS191" t="s">
        <v>1972</v>
      </c>
    </row>
    <row r="192" spans="1:45" x14ac:dyDescent="0.45">
      <c r="A192">
        <v>191</v>
      </c>
      <c r="B192">
        <v>191</v>
      </c>
      <c r="C192" t="s">
        <v>78</v>
      </c>
      <c r="D192" t="s">
        <v>73</v>
      </c>
      <c r="E192" t="s">
        <v>74</v>
      </c>
      <c r="F192" t="s">
        <v>75</v>
      </c>
      <c r="G192" t="s">
        <v>76</v>
      </c>
      <c r="H192">
        <v>68.424416201008498</v>
      </c>
      <c r="I192">
        <v>3</v>
      </c>
      <c r="J192">
        <v>7</v>
      </c>
      <c r="K192">
        <v>7</v>
      </c>
      <c r="L192">
        <v>0</v>
      </c>
      <c r="M192">
        <v>8</v>
      </c>
      <c r="N192">
        <v>7</v>
      </c>
      <c r="O192">
        <v>1</v>
      </c>
      <c r="P192">
        <v>9</v>
      </c>
      <c r="Q192">
        <v>6</v>
      </c>
      <c r="R192">
        <v>3</v>
      </c>
      <c r="S192">
        <v>10</v>
      </c>
      <c r="T192">
        <v>8</v>
      </c>
      <c r="U192">
        <v>2</v>
      </c>
      <c r="V192">
        <v>6</v>
      </c>
      <c r="W192">
        <v>7</v>
      </c>
      <c r="X192">
        <v>-1</v>
      </c>
      <c r="Y192">
        <v>7</v>
      </c>
      <c r="Z192">
        <v>8</v>
      </c>
      <c r="AA192">
        <v>-1</v>
      </c>
      <c r="AB192">
        <v>6</v>
      </c>
      <c r="AC192">
        <v>7</v>
      </c>
      <c r="AD192">
        <v>-1</v>
      </c>
      <c r="AE192">
        <v>6</v>
      </c>
      <c r="AF192">
        <v>7</v>
      </c>
      <c r="AG192">
        <v>-1</v>
      </c>
      <c r="AH192">
        <v>8</v>
      </c>
      <c r="AI192">
        <v>7</v>
      </c>
      <c r="AJ192">
        <v>1</v>
      </c>
      <c r="AK192" t="s">
        <v>1973</v>
      </c>
      <c r="AL192" t="s">
        <v>1974</v>
      </c>
      <c r="AM192" t="s">
        <v>1975</v>
      </c>
      <c r="AN192" t="s">
        <v>1976</v>
      </c>
      <c r="AO192" t="s">
        <v>1977</v>
      </c>
      <c r="AP192" t="s">
        <v>1978</v>
      </c>
      <c r="AQ192" t="s">
        <v>1979</v>
      </c>
      <c r="AR192" t="s">
        <v>1980</v>
      </c>
      <c r="AS192" t="s">
        <v>1981</v>
      </c>
    </row>
    <row r="193" spans="1:45" x14ac:dyDescent="0.45">
      <c r="A193">
        <v>192</v>
      </c>
      <c r="B193">
        <v>192</v>
      </c>
      <c r="C193" t="s">
        <v>72</v>
      </c>
      <c r="D193" t="s">
        <v>189</v>
      </c>
      <c r="E193" t="s">
        <v>74</v>
      </c>
      <c r="F193" t="s">
        <v>77</v>
      </c>
      <c r="G193" t="s">
        <v>76</v>
      </c>
      <c r="H193">
        <v>20.636174683295685</v>
      </c>
      <c r="I193">
        <v>0</v>
      </c>
      <c r="J193">
        <v>6</v>
      </c>
      <c r="K193">
        <v>8</v>
      </c>
      <c r="L193">
        <v>-2</v>
      </c>
      <c r="M193">
        <v>6</v>
      </c>
      <c r="N193">
        <v>8</v>
      </c>
      <c r="O193">
        <v>-2</v>
      </c>
      <c r="P193">
        <v>8</v>
      </c>
      <c r="Q193">
        <v>9</v>
      </c>
      <c r="R193">
        <v>-1</v>
      </c>
      <c r="S193">
        <v>9</v>
      </c>
      <c r="T193">
        <v>9</v>
      </c>
      <c r="U193">
        <v>0</v>
      </c>
      <c r="V193">
        <v>7</v>
      </c>
      <c r="W193">
        <v>9</v>
      </c>
      <c r="X193">
        <v>-2</v>
      </c>
      <c r="Y193">
        <v>9</v>
      </c>
      <c r="Z193">
        <v>9</v>
      </c>
      <c r="AA193">
        <v>0</v>
      </c>
      <c r="AB193">
        <v>8</v>
      </c>
      <c r="AC193">
        <v>8</v>
      </c>
      <c r="AD193">
        <v>0</v>
      </c>
      <c r="AE193">
        <v>7</v>
      </c>
      <c r="AF193">
        <v>8</v>
      </c>
      <c r="AG193">
        <v>-1</v>
      </c>
      <c r="AH193">
        <v>8</v>
      </c>
      <c r="AI193">
        <v>9</v>
      </c>
      <c r="AJ193">
        <v>-1</v>
      </c>
      <c r="AK193" t="s">
        <v>1982</v>
      </c>
      <c r="AL193" t="s">
        <v>1983</v>
      </c>
      <c r="AM193" t="s">
        <v>1984</v>
      </c>
      <c r="AN193" t="s">
        <v>1985</v>
      </c>
      <c r="AO193" t="s">
        <v>1986</v>
      </c>
      <c r="AP193" t="s">
        <v>1987</v>
      </c>
      <c r="AQ193" t="s">
        <v>1988</v>
      </c>
      <c r="AR193" t="s">
        <v>1989</v>
      </c>
      <c r="AS193" t="s">
        <v>1990</v>
      </c>
    </row>
    <row r="194" spans="1:45" x14ac:dyDescent="0.45">
      <c r="A194">
        <v>193</v>
      </c>
      <c r="B194">
        <v>193</v>
      </c>
      <c r="C194" t="s">
        <v>72</v>
      </c>
      <c r="D194" t="s">
        <v>79</v>
      </c>
      <c r="E194" t="s">
        <v>74</v>
      </c>
      <c r="F194" t="s">
        <v>77</v>
      </c>
      <c r="G194" t="s">
        <v>76</v>
      </c>
      <c r="H194">
        <v>27.048079160288843</v>
      </c>
      <c r="I194">
        <v>2</v>
      </c>
      <c r="J194">
        <v>6</v>
      </c>
      <c r="K194">
        <v>1</v>
      </c>
      <c r="L194">
        <v>5</v>
      </c>
      <c r="M194">
        <v>7</v>
      </c>
      <c r="N194">
        <v>1</v>
      </c>
      <c r="O194">
        <v>6</v>
      </c>
      <c r="P194">
        <v>9</v>
      </c>
      <c r="Q194">
        <v>7</v>
      </c>
      <c r="R194">
        <v>2</v>
      </c>
      <c r="S194">
        <v>8</v>
      </c>
      <c r="T194">
        <v>5</v>
      </c>
      <c r="U194">
        <v>3</v>
      </c>
      <c r="V194">
        <v>7</v>
      </c>
      <c r="W194">
        <v>5</v>
      </c>
      <c r="X194">
        <v>2</v>
      </c>
      <c r="Y194">
        <v>8</v>
      </c>
      <c r="Z194">
        <v>7</v>
      </c>
      <c r="AA194">
        <v>1</v>
      </c>
      <c r="AB194">
        <v>7</v>
      </c>
      <c r="AC194">
        <v>2</v>
      </c>
      <c r="AD194">
        <v>5</v>
      </c>
      <c r="AE194">
        <v>8</v>
      </c>
      <c r="AF194">
        <v>5</v>
      </c>
      <c r="AG194">
        <v>3</v>
      </c>
      <c r="AH194">
        <v>9</v>
      </c>
      <c r="AI194">
        <v>5</v>
      </c>
      <c r="AJ194">
        <v>4</v>
      </c>
      <c r="AK194" t="s">
        <v>1991</v>
      </c>
      <c r="AL194" t="s">
        <v>1992</v>
      </c>
      <c r="AM194" t="s">
        <v>1993</v>
      </c>
      <c r="AN194" t="s">
        <v>1994</v>
      </c>
      <c r="AO194" t="s">
        <v>1995</v>
      </c>
      <c r="AP194" t="s">
        <v>1996</v>
      </c>
      <c r="AQ194" t="s">
        <v>1997</v>
      </c>
      <c r="AR194" t="s">
        <v>1998</v>
      </c>
      <c r="AS194" t="s">
        <v>1999</v>
      </c>
    </row>
    <row r="195" spans="1:45" x14ac:dyDescent="0.45">
      <c r="A195">
        <v>194</v>
      </c>
      <c r="B195">
        <v>194</v>
      </c>
      <c r="C195" t="s">
        <v>72</v>
      </c>
      <c r="D195" t="s">
        <v>73</v>
      </c>
      <c r="E195" t="s">
        <v>74</v>
      </c>
      <c r="F195" t="s">
        <v>77</v>
      </c>
      <c r="G195" t="s">
        <v>76</v>
      </c>
      <c r="H195">
        <v>21.458917256386954</v>
      </c>
      <c r="I195">
        <v>1</v>
      </c>
      <c r="J195">
        <v>7</v>
      </c>
      <c r="K195">
        <v>10</v>
      </c>
      <c r="L195">
        <v>-3</v>
      </c>
      <c r="M195">
        <v>8</v>
      </c>
      <c r="N195">
        <v>10</v>
      </c>
      <c r="O195">
        <v>-2</v>
      </c>
      <c r="P195">
        <v>6</v>
      </c>
      <c r="Q195">
        <v>6</v>
      </c>
      <c r="R195">
        <v>0</v>
      </c>
      <c r="S195">
        <v>9</v>
      </c>
      <c r="T195">
        <v>4</v>
      </c>
      <c r="U195">
        <v>5</v>
      </c>
      <c r="V195">
        <v>8</v>
      </c>
      <c r="W195">
        <v>8</v>
      </c>
      <c r="X195">
        <v>0</v>
      </c>
      <c r="Y195">
        <v>9</v>
      </c>
      <c r="Z195">
        <v>3</v>
      </c>
      <c r="AA195">
        <v>6</v>
      </c>
      <c r="AB195">
        <v>7</v>
      </c>
      <c r="AC195">
        <v>10</v>
      </c>
      <c r="AD195">
        <v>-3</v>
      </c>
      <c r="AE195">
        <v>8</v>
      </c>
      <c r="AF195">
        <v>10</v>
      </c>
      <c r="AG195">
        <v>-2</v>
      </c>
      <c r="AH195">
        <v>9</v>
      </c>
      <c r="AI195">
        <v>10</v>
      </c>
      <c r="AJ195">
        <v>-1</v>
      </c>
      <c r="AK195" t="s">
        <v>2000</v>
      </c>
      <c r="AL195" t="s">
        <v>2001</v>
      </c>
      <c r="AM195" t="s">
        <v>2002</v>
      </c>
      <c r="AN195" t="s">
        <v>2003</v>
      </c>
      <c r="AO195" t="s">
        <v>2004</v>
      </c>
      <c r="AP195" t="s">
        <v>2005</v>
      </c>
      <c r="AQ195" t="s">
        <v>2006</v>
      </c>
      <c r="AR195" t="s">
        <v>2007</v>
      </c>
      <c r="AS195" t="s">
        <v>2008</v>
      </c>
    </row>
    <row r="196" spans="1:45" x14ac:dyDescent="0.45">
      <c r="A196">
        <v>195</v>
      </c>
      <c r="B196">
        <v>195</v>
      </c>
      <c r="C196" t="s">
        <v>72</v>
      </c>
      <c r="D196" t="s">
        <v>81</v>
      </c>
      <c r="E196" t="s">
        <v>74</v>
      </c>
      <c r="F196" t="s">
        <v>77</v>
      </c>
      <c r="G196" t="s">
        <v>76</v>
      </c>
      <c r="H196">
        <v>12.171751942560043</v>
      </c>
      <c r="I196">
        <v>1</v>
      </c>
      <c r="J196">
        <v>8</v>
      </c>
      <c r="K196">
        <v>9</v>
      </c>
      <c r="L196">
        <v>-1</v>
      </c>
      <c r="M196">
        <v>7</v>
      </c>
      <c r="N196">
        <v>9</v>
      </c>
      <c r="O196">
        <v>-2</v>
      </c>
      <c r="P196">
        <v>9</v>
      </c>
      <c r="Q196">
        <v>5</v>
      </c>
      <c r="R196">
        <v>4</v>
      </c>
      <c r="S196">
        <v>8</v>
      </c>
      <c r="T196">
        <v>5</v>
      </c>
      <c r="U196">
        <v>3</v>
      </c>
      <c r="V196">
        <v>9</v>
      </c>
      <c r="W196">
        <v>7</v>
      </c>
      <c r="X196">
        <v>2</v>
      </c>
      <c r="Y196">
        <v>9</v>
      </c>
      <c r="Z196">
        <v>7</v>
      </c>
      <c r="AA196">
        <v>2</v>
      </c>
      <c r="AB196">
        <v>8</v>
      </c>
      <c r="AC196">
        <v>8</v>
      </c>
      <c r="AD196">
        <v>0</v>
      </c>
      <c r="AE196">
        <v>9</v>
      </c>
      <c r="AF196">
        <v>8</v>
      </c>
      <c r="AG196">
        <v>1</v>
      </c>
      <c r="AH196">
        <v>9</v>
      </c>
      <c r="AI196">
        <v>8</v>
      </c>
      <c r="AJ196">
        <v>1</v>
      </c>
      <c r="AK196" t="s">
        <v>2009</v>
      </c>
      <c r="AL196" t="s">
        <v>2010</v>
      </c>
      <c r="AM196" t="s">
        <v>2011</v>
      </c>
      <c r="AN196" t="s">
        <v>2012</v>
      </c>
      <c r="AO196" t="s">
        <v>2013</v>
      </c>
      <c r="AP196" t="s">
        <v>2014</v>
      </c>
      <c r="AQ196" t="s">
        <v>2015</v>
      </c>
      <c r="AR196" t="s">
        <v>2016</v>
      </c>
      <c r="AS196" t="s">
        <v>2017</v>
      </c>
    </row>
    <row r="197" spans="1:45" x14ac:dyDescent="0.45">
      <c r="A197">
        <v>196</v>
      </c>
      <c r="B197">
        <v>196</v>
      </c>
      <c r="C197" t="s">
        <v>78</v>
      </c>
      <c r="D197" t="s">
        <v>79</v>
      </c>
      <c r="E197" t="s">
        <v>74</v>
      </c>
      <c r="F197" t="s">
        <v>77</v>
      </c>
      <c r="G197" t="s">
        <v>76</v>
      </c>
      <c r="H197">
        <v>16.410210423237253</v>
      </c>
      <c r="I197">
        <v>2</v>
      </c>
      <c r="J197">
        <v>5</v>
      </c>
      <c r="K197">
        <v>9</v>
      </c>
      <c r="L197">
        <v>-4</v>
      </c>
      <c r="M197">
        <v>6</v>
      </c>
      <c r="N197">
        <v>9</v>
      </c>
      <c r="O197">
        <v>-3</v>
      </c>
      <c r="P197">
        <v>7</v>
      </c>
      <c r="Q197">
        <v>9</v>
      </c>
      <c r="R197">
        <v>-2</v>
      </c>
      <c r="S197">
        <v>8</v>
      </c>
      <c r="T197">
        <v>9</v>
      </c>
      <c r="U197">
        <v>-1</v>
      </c>
      <c r="V197">
        <v>9</v>
      </c>
      <c r="W197">
        <v>9</v>
      </c>
      <c r="X197">
        <v>0</v>
      </c>
      <c r="Y197">
        <v>9</v>
      </c>
      <c r="Z197">
        <v>9</v>
      </c>
      <c r="AA197">
        <v>0</v>
      </c>
      <c r="AB197">
        <v>8</v>
      </c>
      <c r="AC197">
        <v>9</v>
      </c>
      <c r="AD197">
        <v>-1</v>
      </c>
      <c r="AE197">
        <v>9</v>
      </c>
      <c r="AF197">
        <v>9</v>
      </c>
      <c r="AG197">
        <v>0</v>
      </c>
      <c r="AH197">
        <v>7</v>
      </c>
      <c r="AI197">
        <v>9</v>
      </c>
      <c r="AJ197">
        <v>-2</v>
      </c>
      <c r="AK197" t="s">
        <v>2018</v>
      </c>
      <c r="AL197" t="s">
        <v>2019</v>
      </c>
      <c r="AM197" t="s">
        <v>2020</v>
      </c>
      <c r="AN197" t="s">
        <v>2021</v>
      </c>
      <c r="AO197" t="s">
        <v>2022</v>
      </c>
      <c r="AP197" t="s">
        <v>2023</v>
      </c>
      <c r="AQ197" t="s">
        <v>2024</v>
      </c>
      <c r="AR197" t="s">
        <v>2025</v>
      </c>
      <c r="AS197" t="s">
        <v>2026</v>
      </c>
    </row>
    <row r="198" spans="1:45" x14ac:dyDescent="0.45">
      <c r="A198">
        <v>197</v>
      </c>
      <c r="B198">
        <v>197</v>
      </c>
      <c r="C198" t="s">
        <v>72</v>
      </c>
      <c r="D198" t="s">
        <v>79</v>
      </c>
      <c r="E198" t="s">
        <v>74</v>
      </c>
      <c r="F198" t="s">
        <v>75</v>
      </c>
      <c r="G198" t="s">
        <v>76</v>
      </c>
      <c r="H198">
        <v>16.67283069148586</v>
      </c>
      <c r="I198">
        <v>3</v>
      </c>
      <c r="J198">
        <v>8</v>
      </c>
      <c r="K198">
        <v>9</v>
      </c>
      <c r="L198">
        <v>-1</v>
      </c>
      <c r="M198">
        <v>7</v>
      </c>
      <c r="N198">
        <v>10</v>
      </c>
      <c r="O198">
        <v>-3</v>
      </c>
      <c r="P198">
        <v>9</v>
      </c>
      <c r="Q198">
        <v>10</v>
      </c>
      <c r="R198">
        <v>-1</v>
      </c>
      <c r="S198">
        <v>9</v>
      </c>
      <c r="T198">
        <v>9</v>
      </c>
      <c r="U198">
        <v>0</v>
      </c>
      <c r="V198">
        <v>9</v>
      </c>
      <c r="W198">
        <v>10</v>
      </c>
      <c r="X198">
        <v>-1</v>
      </c>
      <c r="Y198">
        <v>9</v>
      </c>
      <c r="Z198">
        <v>10</v>
      </c>
      <c r="AA198">
        <v>-1</v>
      </c>
      <c r="AB198">
        <v>8</v>
      </c>
      <c r="AC198">
        <v>10</v>
      </c>
      <c r="AD198">
        <v>-2</v>
      </c>
      <c r="AE198">
        <v>7</v>
      </c>
      <c r="AF198">
        <v>9</v>
      </c>
      <c r="AG198">
        <v>-2</v>
      </c>
      <c r="AH198">
        <v>9</v>
      </c>
      <c r="AI198">
        <v>10</v>
      </c>
      <c r="AJ198">
        <v>-1</v>
      </c>
      <c r="AK198" t="s">
        <v>2027</v>
      </c>
      <c r="AL198" t="s">
        <v>2028</v>
      </c>
      <c r="AM198" t="s">
        <v>2029</v>
      </c>
      <c r="AN198" t="s">
        <v>2030</v>
      </c>
      <c r="AO198" t="s">
        <v>2031</v>
      </c>
      <c r="AP198" t="s">
        <v>2032</v>
      </c>
      <c r="AQ198" t="s">
        <v>2033</v>
      </c>
      <c r="AR198" t="s">
        <v>2034</v>
      </c>
      <c r="AS198" t="s">
        <v>2035</v>
      </c>
    </row>
    <row r="199" spans="1:45" x14ac:dyDescent="0.45">
      <c r="A199">
        <v>198</v>
      </c>
      <c r="B199">
        <v>198</v>
      </c>
      <c r="C199" t="s">
        <v>72</v>
      </c>
      <c r="D199" t="s">
        <v>79</v>
      </c>
      <c r="E199" t="s">
        <v>74</v>
      </c>
      <c r="F199" t="s">
        <v>75</v>
      </c>
      <c r="G199" t="s">
        <v>76</v>
      </c>
      <c r="H199">
        <v>15.992929684930616</v>
      </c>
      <c r="I199">
        <v>2</v>
      </c>
      <c r="J199">
        <v>9</v>
      </c>
      <c r="K199">
        <v>5</v>
      </c>
      <c r="L199">
        <v>4</v>
      </c>
      <c r="M199">
        <v>8</v>
      </c>
      <c r="N199">
        <v>5</v>
      </c>
      <c r="O199">
        <v>3</v>
      </c>
      <c r="P199">
        <v>9</v>
      </c>
      <c r="Q199">
        <v>5</v>
      </c>
      <c r="R199">
        <v>4</v>
      </c>
      <c r="S199">
        <v>8</v>
      </c>
      <c r="T199">
        <v>5</v>
      </c>
      <c r="U199">
        <v>3</v>
      </c>
      <c r="V199">
        <v>9</v>
      </c>
      <c r="W199">
        <v>5</v>
      </c>
      <c r="X199">
        <v>4</v>
      </c>
      <c r="Y199">
        <v>8</v>
      </c>
      <c r="Z199">
        <v>5</v>
      </c>
      <c r="AA199">
        <v>3</v>
      </c>
      <c r="AB199">
        <v>9</v>
      </c>
      <c r="AC199">
        <v>5</v>
      </c>
      <c r="AD199">
        <v>4</v>
      </c>
      <c r="AE199">
        <v>8</v>
      </c>
      <c r="AF199">
        <v>4</v>
      </c>
      <c r="AG199">
        <v>4</v>
      </c>
      <c r="AH199">
        <v>9</v>
      </c>
      <c r="AI199">
        <v>5</v>
      </c>
      <c r="AJ199">
        <v>4</v>
      </c>
      <c r="AK199" t="s">
        <v>2036</v>
      </c>
      <c r="AL199" t="s">
        <v>2037</v>
      </c>
      <c r="AM199" t="s">
        <v>2038</v>
      </c>
      <c r="AN199" t="s">
        <v>2039</v>
      </c>
      <c r="AO199" t="s">
        <v>2040</v>
      </c>
      <c r="AP199" t="s">
        <v>2041</v>
      </c>
      <c r="AQ199" t="s">
        <v>2042</v>
      </c>
      <c r="AR199" t="s">
        <v>2043</v>
      </c>
      <c r="AS199" t="s">
        <v>2044</v>
      </c>
    </row>
    <row r="200" spans="1:45" x14ac:dyDescent="0.45">
      <c r="A200">
        <v>199</v>
      </c>
      <c r="B200">
        <v>199</v>
      </c>
      <c r="C200" t="s">
        <v>72</v>
      </c>
      <c r="D200" t="s">
        <v>193</v>
      </c>
      <c r="E200" t="s">
        <v>74</v>
      </c>
      <c r="F200" t="s">
        <v>75</v>
      </c>
      <c r="G200" t="s">
        <v>162</v>
      </c>
      <c r="H200">
        <v>12</v>
      </c>
      <c r="I200">
        <v>1</v>
      </c>
      <c r="J200">
        <v>8</v>
      </c>
      <c r="K200">
        <v>9</v>
      </c>
      <c r="L200">
        <v>-1</v>
      </c>
      <c r="M200">
        <v>7</v>
      </c>
      <c r="N200">
        <v>8</v>
      </c>
      <c r="O200">
        <v>-1</v>
      </c>
      <c r="P200">
        <v>9</v>
      </c>
      <c r="Q200">
        <v>9</v>
      </c>
      <c r="R200">
        <v>0</v>
      </c>
      <c r="S200">
        <v>9</v>
      </c>
      <c r="T200">
        <v>9</v>
      </c>
      <c r="U200">
        <v>0</v>
      </c>
      <c r="V200">
        <v>8</v>
      </c>
      <c r="W200">
        <v>8</v>
      </c>
      <c r="X200">
        <v>0</v>
      </c>
      <c r="Y200">
        <v>9</v>
      </c>
      <c r="Z200">
        <v>9</v>
      </c>
      <c r="AA200">
        <v>0</v>
      </c>
      <c r="AB200">
        <v>8</v>
      </c>
      <c r="AC200">
        <v>10</v>
      </c>
      <c r="AD200">
        <v>-2</v>
      </c>
      <c r="AE200">
        <v>6</v>
      </c>
      <c r="AF200">
        <v>9</v>
      </c>
      <c r="AG200">
        <v>-3</v>
      </c>
      <c r="AH200">
        <v>9</v>
      </c>
      <c r="AI200">
        <v>10</v>
      </c>
      <c r="AJ200">
        <v>-1</v>
      </c>
      <c r="AK200" t="s">
        <v>2045</v>
      </c>
      <c r="AL200" t="s">
        <v>2046</v>
      </c>
      <c r="AM200" t="s">
        <v>2047</v>
      </c>
      <c r="AN200" t="s">
        <v>2048</v>
      </c>
      <c r="AO200" t="s">
        <v>2049</v>
      </c>
      <c r="AP200" t="s">
        <v>2050</v>
      </c>
      <c r="AQ200" t="s">
        <v>2051</v>
      </c>
      <c r="AR200" t="s">
        <v>2052</v>
      </c>
      <c r="AS200" t="s">
        <v>2053</v>
      </c>
    </row>
    <row r="201" spans="1:45" x14ac:dyDescent="0.45">
      <c r="A201">
        <v>200</v>
      </c>
      <c r="B201">
        <v>200</v>
      </c>
      <c r="C201" t="s">
        <v>78</v>
      </c>
      <c r="D201" t="s">
        <v>191</v>
      </c>
      <c r="E201" t="s">
        <v>74</v>
      </c>
      <c r="F201" t="s">
        <v>77</v>
      </c>
      <c r="G201" t="s">
        <v>76</v>
      </c>
      <c r="H201">
        <v>90.051858454053274</v>
      </c>
      <c r="I201">
        <v>3</v>
      </c>
      <c r="J201">
        <v>8</v>
      </c>
      <c r="K201">
        <v>4</v>
      </c>
      <c r="L201">
        <v>4</v>
      </c>
      <c r="M201">
        <v>7</v>
      </c>
      <c r="N201">
        <v>4</v>
      </c>
      <c r="O201">
        <v>3</v>
      </c>
      <c r="P201">
        <v>9</v>
      </c>
      <c r="Q201">
        <v>3</v>
      </c>
      <c r="R201">
        <v>6</v>
      </c>
      <c r="S201">
        <v>8</v>
      </c>
      <c r="T201">
        <v>5</v>
      </c>
      <c r="U201">
        <v>3</v>
      </c>
      <c r="V201">
        <v>9</v>
      </c>
      <c r="W201">
        <v>4</v>
      </c>
      <c r="X201">
        <v>5</v>
      </c>
      <c r="Y201">
        <v>9</v>
      </c>
      <c r="Z201">
        <v>5</v>
      </c>
      <c r="AA201">
        <v>4</v>
      </c>
      <c r="AB201">
        <v>8</v>
      </c>
      <c r="AC201">
        <v>1</v>
      </c>
      <c r="AD201">
        <v>7</v>
      </c>
      <c r="AE201">
        <v>7</v>
      </c>
      <c r="AF201">
        <v>5</v>
      </c>
      <c r="AG201">
        <v>2</v>
      </c>
      <c r="AH201">
        <v>9</v>
      </c>
      <c r="AI201">
        <v>5</v>
      </c>
      <c r="AJ201">
        <v>4</v>
      </c>
      <c r="AK201" t="s">
        <v>2054</v>
      </c>
      <c r="AL201" t="s">
        <v>2055</v>
      </c>
      <c r="AM201" t="s">
        <v>2056</v>
      </c>
      <c r="AN201" t="s">
        <v>2057</v>
      </c>
      <c r="AO201" t="s">
        <v>2058</v>
      </c>
      <c r="AP201" t="s">
        <v>2059</v>
      </c>
      <c r="AQ201" t="s">
        <v>2060</v>
      </c>
      <c r="AR201" t="s">
        <v>2061</v>
      </c>
      <c r="AS201" t="s">
        <v>2062</v>
      </c>
    </row>
    <row r="202" spans="1:45" x14ac:dyDescent="0.45">
      <c r="A202">
        <v>201</v>
      </c>
      <c r="B202">
        <v>201</v>
      </c>
      <c r="C202" t="s">
        <v>72</v>
      </c>
      <c r="D202" t="s">
        <v>193</v>
      </c>
      <c r="E202" t="s">
        <v>74</v>
      </c>
      <c r="F202" t="s">
        <v>75</v>
      </c>
      <c r="G202" t="s">
        <v>76</v>
      </c>
      <c r="H202">
        <v>68.805408642462183</v>
      </c>
      <c r="I202">
        <v>1</v>
      </c>
      <c r="J202">
        <v>9</v>
      </c>
      <c r="K202">
        <v>5</v>
      </c>
      <c r="L202">
        <v>4</v>
      </c>
      <c r="M202">
        <v>8</v>
      </c>
      <c r="N202">
        <v>5</v>
      </c>
      <c r="O202">
        <v>3</v>
      </c>
      <c r="P202">
        <v>9</v>
      </c>
      <c r="Q202">
        <v>1</v>
      </c>
      <c r="R202">
        <v>8</v>
      </c>
      <c r="S202">
        <v>7</v>
      </c>
      <c r="T202">
        <v>5</v>
      </c>
      <c r="U202">
        <v>2</v>
      </c>
      <c r="V202">
        <v>9</v>
      </c>
      <c r="W202">
        <v>4</v>
      </c>
      <c r="X202">
        <v>5</v>
      </c>
      <c r="Y202">
        <v>9</v>
      </c>
      <c r="Z202">
        <v>2</v>
      </c>
      <c r="AA202">
        <v>7</v>
      </c>
      <c r="AB202">
        <v>8</v>
      </c>
      <c r="AC202">
        <v>2</v>
      </c>
      <c r="AD202">
        <v>6</v>
      </c>
      <c r="AE202">
        <v>7</v>
      </c>
      <c r="AF202">
        <v>5</v>
      </c>
      <c r="AG202">
        <v>2</v>
      </c>
      <c r="AH202">
        <v>9</v>
      </c>
      <c r="AI202">
        <v>4</v>
      </c>
      <c r="AJ202">
        <v>5</v>
      </c>
      <c r="AK202" t="s">
        <v>2063</v>
      </c>
      <c r="AL202" t="s">
        <v>2064</v>
      </c>
      <c r="AM202" t="s">
        <v>2065</v>
      </c>
      <c r="AN202" t="s">
        <v>2066</v>
      </c>
      <c r="AO202" t="s">
        <v>2067</v>
      </c>
      <c r="AP202" t="s">
        <v>2068</v>
      </c>
      <c r="AQ202" t="s">
        <v>2069</v>
      </c>
      <c r="AR202" t="s">
        <v>2070</v>
      </c>
      <c r="AS202" t="s">
        <v>2071</v>
      </c>
    </row>
    <row r="203" spans="1:45" x14ac:dyDescent="0.45">
      <c r="A203">
        <v>202</v>
      </c>
      <c r="B203">
        <v>202</v>
      </c>
      <c r="C203" t="s">
        <v>72</v>
      </c>
      <c r="D203" t="s">
        <v>79</v>
      </c>
      <c r="E203" t="s">
        <v>74</v>
      </c>
      <c r="F203" t="s">
        <v>77</v>
      </c>
      <c r="G203" t="s">
        <v>76</v>
      </c>
      <c r="H203">
        <v>80.734912497636017</v>
      </c>
      <c r="I203">
        <v>4</v>
      </c>
      <c r="J203">
        <v>5</v>
      </c>
      <c r="K203">
        <v>6</v>
      </c>
      <c r="L203">
        <v>-1</v>
      </c>
      <c r="M203">
        <v>6</v>
      </c>
      <c r="N203">
        <v>8</v>
      </c>
      <c r="O203">
        <v>-2</v>
      </c>
      <c r="P203">
        <v>9</v>
      </c>
      <c r="Q203">
        <v>8</v>
      </c>
      <c r="R203">
        <v>1</v>
      </c>
      <c r="S203">
        <v>8</v>
      </c>
      <c r="T203">
        <v>9</v>
      </c>
      <c r="U203">
        <v>-1</v>
      </c>
      <c r="V203">
        <v>9</v>
      </c>
      <c r="W203">
        <v>7</v>
      </c>
      <c r="X203">
        <v>2</v>
      </c>
      <c r="Y203">
        <v>8</v>
      </c>
      <c r="Z203">
        <v>7</v>
      </c>
      <c r="AA203">
        <v>1</v>
      </c>
      <c r="AB203">
        <v>9</v>
      </c>
      <c r="AC203">
        <v>7</v>
      </c>
      <c r="AD203">
        <v>2</v>
      </c>
      <c r="AE203">
        <v>8</v>
      </c>
      <c r="AF203">
        <v>8</v>
      </c>
      <c r="AG203">
        <v>0</v>
      </c>
      <c r="AH203">
        <v>9</v>
      </c>
      <c r="AI203">
        <v>8</v>
      </c>
      <c r="AJ203">
        <v>1</v>
      </c>
      <c r="AK203" t="s">
        <v>2072</v>
      </c>
      <c r="AL203" t="s">
        <v>2073</v>
      </c>
      <c r="AM203" t="s">
        <v>2074</v>
      </c>
      <c r="AN203" t="s">
        <v>2075</v>
      </c>
      <c r="AO203" t="s">
        <v>2076</v>
      </c>
      <c r="AP203" t="s">
        <v>2077</v>
      </c>
      <c r="AQ203" t="s">
        <v>2078</v>
      </c>
      <c r="AR203" t="s">
        <v>2079</v>
      </c>
      <c r="AS203" t="s">
        <v>2080</v>
      </c>
    </row>
    <row r="204" spans="1:45" x14ac:dyDescent="0.45">
      <c r="A204">
        <v>203</v>
      </c>
      <c r="B204">
        <v>203</v>
      </c>
      <c r="C204" t="s">
        <v>72</v>
      </c>
      <c r="D204" t="s">
        <v>191</v>
      </c>
      <c r="E204" t="s">
        <v>74</v>
      </c>
      <c r="F204" t="s">
        <v>75</v>
      </c>
      <c r="G204" t="s">
        <v>76</v>
      </c>
      <c r="H204">
        <v>217.57957131486538</v>
      </c>
      <c r="I204">
        <v>3</v>
      </c>
      <c r="J204">
        <v>7</v>
      </c>
      <c r="K204">
        <v>5</v>
      </c>
      <c r="L204">
        <v>2</v>
      </c>
      <c r="M204">
        <v>6</v>
      </c>
      <c r="N204">
        <v>5</v>
      </c>
      <c r="O204">
        <v>1</v>
      </c>
      <c r="P204">
        <v>8</v>
      </c>
      <c r="Q204">
        <v>5</v>
      </c>
      <c r="R204">
        <v>3</v>
      </c>
      <c r="S204">
        <v>9</v>
      </c>
      <c r="T204">
        <v>5</v>
      </c>
      <c r="U204">
        <v>4</v>
      </c>
      <c r="V204">
        <v>7</v>
      </c>
      <c r="W204">
        <v>5</v>
      </c>
      <c r="X204">
        <v>2</v>
      </c>
      <c r="Y204">
        <v>8</v>
      </c>
      <c r="Z204">
        <v>5</v>
      </c>
      <c r="AA204">
        <v>3</v>
      </c>
      <c r="AB204">
        <v>7</v>
      </c>
      <c r="AC204">
        <v>5</v>
      </c>
      <c r="AD204">
        <v>2</v>
      </c>
      <c r="AE204">
        <v>6</v>
      </c>
      <c r="AF204">
        <v>5</v>
      </c>
      <c r="AG204">
        <v>1</v>
      </c>
      <c r="AH204">
        <v>9</v>
      </c>
      <c r="AI204">
        <v>5</v>
      </c>
      <c r="AJ204">
        <v>4</v>
      </c>
      <c r="AK204" t="s">
        <v>2081</v>
      </c>
      <c r="AL204" t="s">
        <v>2082</v>
      </c>
      <c r="AM204" t="s">
        <v>2083</v>
      </c>
      <c r="AN204" t="s">
        <v>2084</v>
      </c>
      <c r="AO204" t="s">
        <v>2085</v>
      </c>
      <c r="AP204" t="s">
        <v>2086</v>
      </c>
      <c r="AQ204" t="s">
        <v>2087</v>
      </c>
      <c r="AR204" t="s">
        <v>2088</v>
      </c>
      <c r="AS204" t="s">
        <v>2089</v>
      </c>
    </row>
    <row r="205" spans="1:45" x14ac:dyDescent="0.45">
      <c r="A205">
        <v>204</v>
      </c>
      <c r="B205">
        <v>204</v>
      </c>
      <c r="C205" t="s">
        <v>72</v>
      </c>
      <c r="D205" t="s">
        <v>73</v>
      </c>
      <c r="E205" t="s">
        <v>74</v>
      </c>
      <c r="F205" t="s">
        <v>77</v>
      </c>
      <c r="G205" t="s">
        <v>76</v>
      </c>
      <c r="H205">
        <v>40.046526391087738</v>
      </c>
      <c r="I205">
        <v>1</v>
      </c>
      <c r="J205">
        <v>9</v>
      </c>
      <c r="K205">
        <v>7</v>
      </c>
      <c r="L205">
        <v>2</v>
      </c>
      <c r="M205">
        <v>8</v>
      </c>
      <c r="N205">
        <v>7</v>
      </c>
      <c r="O205">
        <v>1</v>
      </c>
      <c r="P205">
        <v>9</v>
      </c>
      <c r="Q205">
        <v>7</v>
      </c>
      <c r="R205">
        <v>2</v>
      </c>
      <c r="S205">
        <v>8</v>
      </c>
      <c r="T205">
        <v>8</v>
      </c>
      <c r="U205">
        <v>0</v>
      </c>
      <c r="V205">
        <v>9</v>
      </c>
      <c r="W205">
        <v>7</v>
      </c>
      <c r="X205">
        <v>2</v>
      </c>
      <c r="Y205">
        <v>8</v>
      </c>
      <c r="Z205">
        <v>7</v>
      </c>
      <c r="AA205">
        <v>1</v>
      </c>
      <c r="AB205">
        <v>9</v>
      </c>
      <c r="AC205">
        <v>7</v>
      </c>
      <c r="AD205">
        <v>2</v>
      </c>
      <c r="AE205">
        <v>8</v>
      </c>
      <c r="AF205">
        <v>7</v>
      </c>
      <c r="AG205">
        <v>1</v>
      </c>
      <c r="AH205">
        <v>9</v>
      </c>
      <c r="AI205">
        <v>7</v>
      </c>
      <c r="AJ205">
        <v>2</v>
      </c>
      <c r="AK205" t="s">
        <v>2090</v>
      </c>
      <c r="AL205" t="s">
        <v>2091</v>
      </c>
      <c r="AM205" t="s">
        <v>2092</v>
      </c>
      <c r="AN205" t="s">
        <v>2093</v>
      </c>
      <c r="AO205" t="s">
        <v>2094</v>
      </c>
      <c r="AP205" t="s">
        <v>2095</v>
      </c>
      <c r="AQ205" t="s">
        <v>2096</v>
      </c>
      <c r="AR205" t="s">
        <v>2097</v>
      </c>
      <c r="AS205" t="s">
        <v>2098</v>
      </c>
    </row>
    <row r="206" spans="1:45" x14ac:dyDescent="0.45">
      <c r="A206">
        <v>205</v>
      </c>
      <c r="B206">
        <v>205</v>
      </c>
      <c r="C206" t="s">
        <v>72</v>
      </c>
      <c r="D206" t="s">
        <v>73</v>
      </c>
      <c r="E206" t="s">
        <v>74</v>
      </c>
      <c r="F206" t="s">
        <v>75</v>
      </c>
      <c r="G206" t="s">
        <v>76</v>
      </c>
      <c r="H206">
        <v>30.265484920775709</v>
      </c>
      <c r="I206">
        <v>0</v>
      </c>
      <c r="J206">
        <v>4</v>
      </c>
      <c r="K206">
        <v>3</v>
      </c>
      <c r="L206">
        <v>1</v>
      </c>
      <c r="M206">
        <v>5</v>
      </c>
      <c r="N206">
        <v>1</v>
      </c>
      <c r="O206">
        <v>4</v>
      </c>
      <c r="P206">
        <v>6</v>
      </c>
      <c r="Q206">
        <v>1</v>
      </c>
      <c r="R206">
        <v>5</v>
      </c>
      <c r="S206">
        <v>8</v>
      </c>
      <c r="T206">
        <v>5</v>
      </c>
      <c r="U206">
        <v>3</v>
      </c>
      <c r="V206">
        <v>7</v>
      </c>
      <c r="W206">
        <v>1</v>
      </c>
      <c r="X206">
        <v>6</v>
      </c>
      <c r="Y206">
        <v>6</v>
      </c>
      <c r="Z206">
        <v>1</v>
      </c>
      <c r="AA206">
        <v>5</v>
      </c>
      <c r="AB206">
        <v>8</v>
      </c>
      <c r="AC206">
        <v>1</v>
      </c>
      <c r="AD206">
        <v>7</v>
      </c>
      <c r="AE206">
        <v>6</v>
      </c>
      <c r="AF206">
        <v>4</v>
      </c>
      <c r="AG206">
        <v>2</v>
      </c>
      <c r="AH206">
        <v>7</v>
      </c>
      <c r="AI206">
        <v>5</v>
      </c>
      <c r="AJ206">
        <v>2</v>
      </c>
      <c r="AK206" t="s">
        <v>2099</v>
      </c>
      <c r="AL206" t="s">
        <v>2100</v>
      </c>
      <c r="AM206" t="s">
        <v>2101</v>
      </c>
      <c r="AN206" t="s">
        <v>2102</v>
      </c>
      <c r="AO206" t="s">
        <v>2103</v>
      </c>
      <c r="AP206" t="s">
        <v>2104</v>
      </c>
      <c r="AQ206" t="s">
        <v>2105</v>
      </c>
      <c r="AR206" t="s">
        <v>2106</v>
      </c>
      <c r="AS206" t="s">
        <v>2107</v>
      </c>
    </row>
    <row r="207" spans="1:45" x14ac:dyDescent="0.45">
      <c r="A207">
        <v>206</v>
      </c>
      <c r="B207">
        <v>206</v>
      </c>
      <c r="C207" t="s">
        <v>72</v>
      </c>
      <c r="D207" t="s">
        <v>79</v>
      </c>
      <c r="E207" t="s">
        <v>74</v>
      </c>
      <c r="F207" t="s">
        <v>77</v>
      </c>
      <c r="G207" t="s">
        <v>76</v>
      </c>
      <c r="H207">
        <v>66.102197589177678</v>
      </c>
      <c r="I207">
        <v>1</v>
      </c>
      <c r="J207">
        <v>2</v>
      </c>
      <c r="K207">
        <v>8</v>
      </c>
      <c r="L207">
        <v>-6</v>
      </c>
      <c r="M207">
        <v>3</v>
      </c>
      <c r="N207">
        <v>8</v>
      </c>
      <c r="O207">
        <v>-5</v>
      </c>
      <c r="P207">
        <v>9</v>
      </c>
      <c r="Q207">
        <v>5</v>
      </c>
      <c r="R207">
        <v>4</v>
      </c>
      <c r="S207">
        <v>9</v>
      </c>
      <c r="T207">
        <v>7</v>
      </c>
      <c r="U207">
        <v>2</v>
      </c>
      <c r="V207">
        <v>7</v>
      </c>
      <c r="W207">
        <v>7</v>
      </c>
      <c r="X207">
        <v>0</v>
      </c>
      <c r="Y207">
        <v>8</v>
      </c>
      <c r="Z207">
        <v>6</v>
      </c>
      <c r="AA207">
        <v>2</v>
      </c>
      <c r="AB207">
        <v>6</v>
      </c>
      <c r="AC207">
        <v>6</v>
      </c>
      <c r="AD207">
        <v>0</v>
      </c>
      <c r="AE207">
        <v>7</v>
      </c>
      <c r="AF207">
        <v>7</v>
      </c>
      <c r="AG207">
        <v>0</v>
      </c>
      <c r="AH207">
        <v>9</v>
      </c>
      <c r="AI207">
        <v>7</v>
      </c>
      <c r="AJ207">
        <v>2</v>
      </c>
      <c r="AK207" t="s">
        <v>223</v>
      </c>
      <c r="AL207" t="s">
        <v>224</v>
      </c>
      <c r="AM207" t="s">
        <v>2108</v>
      </c>
      <c r="AN207" t="s">
        <v>2109</v>
      </c>
      <c r="AO207" t="s">
        <v>2110</v>
      </c>
      <c r="AP207" t="s">
        <v>2111</v>
      </c>
      <c r="AQ207" t="s">
        <v>2112</v>
      </c>
      <c r="AR207" t="s">
        <v>2113</v>
      </c>
      <c r="AS207" t="s">
        <v>2114</v>
      </c>
    </row>
    <row r="208" spans="1:45" x14ac:dyDescent="0.45">
      <c r="A208">
        <v>207</v>
      </c>
      <c r="B208">
        <v>207</v>
      </c>
      <c r="C208" t="s">
        <v>78</v>
      </c>
      <c r="D208" t="s">
        <v>73</v>
      </c>
      <c r="E208" t="s">
        <v>74</v>
      </c>
      <c r="F208" t="s">
        <v>77</v>
      </c>
      <c r="G208" t="s">
        <v>76</v>
      </c>
      <c r="H208">
        <v>53.801388608812857</v>
      </c>
      <c r="I208">
        <v>2</v>
      </c>
      <c r="J208">
        <v>9</v>
      </c>
      <c r="K208">
        <v>4</v>
      </c>
      <c r="L208">
        <v>5</v>
      </c>
      <c r="M208">
        <v>8</v>
      </c>
      <c r="N208">
        <v>3</v>
      </c>
      <c r="O208">
        <v>5</v>
      </c>
      <c r="P208">
        <v>9</v>
      </c>
      <c r="Q208">
        <v>1</v>
      </c>
      <c r="R208">
        <v>8</v>
      </c>
      <c r="S208">
        <v>8</v>
      </c>
      <c r="T208">
        <v>2</v>
      </c>
      <c r="U208">
        <v>6</v>
      </c>
      <c r="V208">
        <v>9</v>
      </c>
      <c r="W208">
        <v>1</v>
      </c>
      <c r="X208">
        <v>8</v>
      </c>
      <c r="Y208">
        <v>8</v>
      </c>
      <c r="Z208">
        <v>1</v>
      </c>
      <c r="AA208">
        <v>7</v>
      </c>
      <c r="AB208">
        <v>9</v>
      </c>
      <c r="AC208">
        <v>1</v>
      </c>
      <c r="AD208">
        <v>8</v>
      </c>
      <c r="AE208">
        <v>8</v>
      </c>
      <c r="AF208">
        <v>4</v>
      </c>
      <c r="AG208">
        <v>4</v>
      </c>
      <c r="AH208">
        <v>9</v>
      </c>
      <c r="AI208">
        <v>2</v>
      </c>
      <c r="AJ208">
        <v>7</v>
      </c>
      <c r="AK208" t="s">
        <v>2115</v>
      </c>
      <c r="AL208" t="s">
        <v>2116</v>
      </c>
      <c r="AM208" t="s">
        <v>2117</v>
      </c>
      <c r="AN208" t="s">
        <v>2118</v>
      </c>
      <c r="AO208" t="s">
        <v>2119</v>
      </c>
      <c r="AP208" t="s">
        <v>2120</v>
      </c>
      <c r="AQ208" t="s">
        <v>2121</v>
      </c>
      <c r="AR208" t="s">
        <v>2122</v>
      </c>
      <c r="AS208" t="s">
        <v>2123</v>
      </c>
    </row>
    <row r="209" spans="1:45" x14ac:dyDescent="0.45">
      <c r="A209">
        <v>208</v>
      </c>
      <c r="B209">
        <v>208</v>
      </c>
      <c r="C209" t="s">
        <v>72</v>
      </c>
      <c r="D209" t="s">
        <v>73</v>
      </c>
      <c r="E209" t="s">
        <v>74</v>
      </c>
      <c r="F209" t="s">
        <v>75</v>
      </c>
      <c r="G209" t="s">
        <v>76</v>
      </c>
      <c r="H209">
        <v>46.313332496295828</v>
      </c>
      <c r="I209">
        <v>1</v>
      </c>
      <c r="J209">
        <v>7</v>
      </c>
      <c r="K209">
        <v>7</v>
      </c>
      <c r="L209">
        <v>0</v>
      </c>
      <c r="M209">
        <v>6</v>
      </c>
      <c r="N209">
        <v>8</v>
      </c>
      <c r="O209">
        <v>-2</v>
      </c>
      <c r="P209">
        <v>8</v>
      </c>
      <c r="Q209">
        <v>6</v>
      </c>
      <c r="R209">
        <v>2</v>
      </c>
      <c r="S209">
        <v>9</v>
      </c>
      <c r="T209">
        <v>7</v>
      </c>
      <c r="U209">
        <v>2</v>
      </c>
      <c r="V209">
        <v>7</v>
      </c>
      <c r="W209">
        <v>6</v>
      </c>
      <c r="X209">
        <v>1</v>
      </c>
      <c r="Y209">
        <v>9</v>
      </c>
      <c r="Z209">
        <v>7</v>
      </c>
      <c r="AA209">
        <v>2</v>
      </c>
      <c r="AB209">
        <v>6</v>
      </c>
      <c r="AC209">
        <v>6</v>
      </c>
      <c r="AD209">
        <v>0</v>
      </c>
      <c r="AE209">
        <v>7</v>
      </c>
      <c r="AF209">
        <v>6</v>
      </c>
      <c r="AG209">
        <v>1</v>
      </c>
      <c r="AH209">
        <v>9</v>
      </c>
      <c r="AI209">
        <v>6</v>
      </c>
      <c r="AJ209">
        <v>3</v>
      </c>
      <c r="AK209" t="s">
        <v>2124</v>
      </c>
      <c r="AL209" t="s">
        <v>2125</v>
      </c>
      <c r="AM209" t="s">
        <v>2126</v>
      </c>
      <c r="AN209" t="s">
        <v>2127</v>
      </c>
      <c r="AO209" t="s">
        <v>2128</v>
      </c>
      <c r="AP209" t="s">
        <v>2129</v>
      </c>
      <c r="AQ209" t="s">
        <v>2130</v>
      </c>
      <c r="AR209" t="s">
        <v>2131</v>
      </c>
      <c r="AS209" t="s">
        <v>2132</v>
      </c>
    </row>
    <row r="210" spans="1:45" x14ac:dyDescent="0.45">
      <c r="A210">
        <v>209</v>
      </c>
      <c r="B210">
        <v>209</v>
      </c>
      <c r="C210" t="s">
        <v>72</v>
      </c>
      <c r="D210" t="s">
        <v>73</v>
      </c>
      <c r="E210" t="s">
        <v>74</v>
      </c>
      <c r="F210" t="s">
        <v>77</v>
      </c>
      <c r="G210" t="s">
        <v>76</v>
      </c>
      <c r="H210">
        <v>36.275674974900241</v>
      </c>
      <c r="I210">
        <v>0</v>
      </c>
      <c r="J210">
        <v>7</v>
      </c>
      <c r="K210">
        <v>6</v>
      </c>
      <c r="L210">
        <v>1</v>
      </c>
      <c r="M210">
        <v>8</v>
      </c>
      <c r="N210">
        <v>6</v>
      </c>
      <c r="O210">
        <v>2</v>
      </c>
      <c r="P210">
        <v>9</v>
      </c>
      <c r="Q210">
        <v>6</v>
      </c>
      <c r="R210">
        <v>3</v>
      </c>
      <c r="S210">
        <v>9</v>
      </c>
      <c r="T210">
        <v>6</v>
      </c>
      <c r="U210">
        <v>3</v>
      </c>
      <c r="V210">
        <v>6</v>
      </c>
      <c r="W210">
        <v>6</v>
      </c>
      <c r="X210">
        <v>0</v>
      </c>
      <c r="Y210">
        <v>8</v>
      </c>
      <c r="Z210">
        <v>5</v>
      </c>
      <c r="AA210">
        <v>3</v>
      </c>
      <c r="AB210">
        <v>6</v>
      </c>
      <c r="AC210">
        <v>6</v>
      </c>
      <c r="AD210">
        <v>0</v>
      </c>
      <c r="AE210">
        <v>7</v>
      </c>
      <c r="AF210">
        <v>6</v>
      </c>
      <c r="AG210">
        <v>1</v>
      </c>
      <c r="AH210">
        <v>9</v>
      </c>
      <c r="AI210">
        <v>6</v>
      </c>
      <c r="AJ210">
        <v>3</v>
      </c>
      <c r="AK210" t="s">
        <v>2133</v>
      </c>
      <c r="AL210" t="s">
        <v>2134</v>
      </c>
      <c r="AM210" t="s">
        <v>2135</v>
      </c>
      <c r="AN210" t="s">
        <v>2136</v>
      </c>
      <c r="AO210" t="s">
        <v>2137</v>
      </c>
      <c r="AP210" t="s">
        <v>2138</v>
      </c>
      <c r="AQ210" t="s">
        <v>2139</v>
      </c>
      <c r="AR210" t="s">
        <v>2140</v>
      </c>
      <c r="AS210" t="s">
        <v>2141</v>
      </c>
    </row>
    <row r="211" spans="1:45" x14ac:dyDescent="0.45">
      <c r="A211">
        <v>210</v>
      </c>
      <c r="B211">
        <v>210</v>
      </c>
      <c r="C211" t="s">
        <v>78</v>
      </c>
      <c r="D211" t="s">
        <v>73</v>
      </c>
      <c r="E211" t="s">
        <v>74</v>
      </c>
      <c r="F211" t="s">
        <v>77</v>
      </c>
      <c r="G211" t="s">
        <v>76</v>
      </c>
      <c r="H211">
        <v>28.775032436976822</v>
      </c>
      <c r="I211">
        <v>0</v>
      </c>
      <c r="J211">
        <v>7</v>
      </c>
      <c r="K211">
        <v>7</v>
      </c>
      <c r="L211">
        <v>0</v>
      </c>
      <c r="M211">
        <v>8</v>
      </c>
      <c r="N211">
        <v>7</v>
      </c>
      <c r="O211">
        <v>1</v>
      </c>
      <c r="P211">
        <v>9</v>
      </c>
      <c r="Q211">
        <v>8</v>
      </c>
      <c r="R211">
        <v>1</v>
      </c>
      <c r="S211">
        <v>9</v>
      </c>
      <c r="T211">
        <v>8</v>
      </c>
      <c r="U211">
        <v>1</v>
      </c>
      <c r="V211">
        <v>8</v>
      </c>
      <c r="W211">
        <v>8</v>
      </c>
      <c r="X211">
        <v>0</v>
      </c>
      <c r="Y211">
        <v>9</v>
      </c>
      <c r="Z211">
        <v>9</v>
      </c>
      <c r="AA211">
        <v>0</v>
      </c>
      <c r="AB211">
        <v>8</v>
      </c>
      <c r="AC211">
        <v>8</v>
      </c>
      <c r="AD211">
        <v>0</v>
      </c>
      <c r="AE211">
        <v>9</v>
      </c>
      <c r="AF211">
        <v>8</v>
      </c>
      <c r="AG211">
        <v>1</v>
      </c>
      <c r="AH211">
        <v>9</v>
      </c>
      <c r="AI211">
        <v>8</v>
      </c>
      <c r="AJ211">
        <v>1</v>
      </c>
      <c r="AK211" t="s">
        <v>2142</v>
      </c>
      <c r="AL211" t="s">
        <v>2143</v>
      </c>
      <c r="AM211" t="s">
        <v>2144</v>
      </c>
      <c r="AN211" t="s">
        <v>2145</v>
      </c>
      <c r="AO211" t="s">
        <v>2146</v>
      </c>
      <c r="AP211" t="s">
        <v>2147</v>
      </c>
      <c r="AQ211" t="s">
        <v>2148</v>
      </c>
      <c r="AR211" t="s">
        <v>2149</v>
      </c>
      <c r="AS211" t="s">
        <v>2150</v>
      </c>
    </row>
    <row r="212" spans="1:45" x14ac:dyDescent="0.45">
      <c r="A212">
        <v>211</v>
      </c>
      <c r="B212">
        <v>211</v>
      </c>
      <c r="C212" t="s">
        <v>72</v>
      </c>
      <c r="D212" t="s">
        <v>73</v>
      </c>
      <c r="E212" t="s">
        <v>74</v>
      </c>
      <c r="F212" t="s">
        <v>77</v>
      </c>
      <c r="G212" t="s">
        <v>76</v>
      </c>
      <c r="H212">
        <v>57.380927955810328</v>
      </c>
      <c r="I212">
        <v>1</v>
      </c>
      <c r="J212">
        <v>6</v>
      </c>
      <c r="K212">
        <v>7</v>
      </c>
      <c r="L212">
        <v>-1</v>
      </c>
      <c r="M212">
        <v>7</v>
      </c>
      <c r="N212">
        <v>7</v>
      </c>
      <c r="O212">
        <v>0</v>
      </c>
      <c r="P212">
        <v>9</v>
      </c>
      <c r="Q212">
        <v>7</v>
      </c>
      <c r="R212">
        <v>2</v>
      </c>
      <c r="S212">
        <v>8</v>
      </c>
      <c r="T212">
        <v>7</v>
      </c>
      <c r="U212">
        <v>1</v>
      </c>
      <c r="V212">
        <v>7</v>
      </c>
      <c r="W212">
        <v>7</v>
      </c>
      <c r="X212">
        <v>0</v>
      </c>
      <c r="Y212">
        <v>8</v>
      </c>
      <c r="Z212">
        <v>7</v>
      </c>
      <c r="AA212">
        <v>1</v>
      </c>
      <c r="AB212">
        <v>7</v>
      </c>
      <c r="AC212">
        <v>7</v>
      </c>
      <c r="AD212">
        <v>0</v>
      </c>
      <c r="AE212">
        <v>6</v>
      </c>
      <c r="AF212">
        <v>7</v>
      </c>
      <c r="AG212">
        <v>-1</v>
      </c>
      <c r="AH212">
        <v>9</v>
      </c>
      <c r="AI212">
        <v>7</v>
      </c>
      <c r="AJ212">
        <v>2</v>
      </c>
      <c r="AK212" t="s">
        <v>2151</v>
      </c>
      <c r="AL212" t="s">
        <v>2152</v>
      </c>
      <c r="AM212" t="s">
        <v>2153</v>
      </c>
      <c r="AN212" t="s">
        <v>2154</v>
      </c>
      <c r="AO212" t="s">
        <v>2155</v>
      </c>
      <c r="AP212" t="s">
        <v>2156</v>
      </c>
      <c r="AQ212" t="s">
        <v>2157</v>
      </c>
      <c r="AR212" t="s">
        <v>2158</v>
      </c>
      <c r="AS212" t="s">
        <v>2159</v>
      </c>
    </row>
    <row r="213" spans="1:45" x14ac:dyDescent="0.45">
      <c r="A213">
        <v>212</v>
      </c>
      <c r="B213">
        <v>212</v>
      </c>
      <c r="C213" t="s">
        <v>72</v>
      </c>
      <c r="D213" t="s">
        <v>73</v>
      </c>
      <c r="E213" t="s">
        <v>74</v>
      </c>
      <c r="F213" t="s">
        <v>77</v>
      </c>
      <c r="G213" t="s">
        <v>76</v>
      </c>
      <c r="H213">
        <v>60.023674058288861</v>
      </c>
      <c r="I213">
        <v>0</v>
      </c>
      <c r="J213">
        <v>6</v>
      </c>
      <c r="K213">
        <v>5</v>
      </c>
      <c r="L213">
        <v>1</v>
      </c>
      <c r="M213">
        <v>7</v>
      </c>
      <c r="N213">
        <v>5</v>
      </c>
      <c r="O213">
        <v>2</v>
      </c>
      <c r="P213">
        <v>8</v>
      </c>
      <c r="Q213">
        <v>1</v>
      </c>
      <c r="R213">
        <v>7</v>
      </c>
      <c r="S213">
        <v>9</v>
      </c>
      <c r="T213">
        <v>5</v>
      </c>
      <c r="U213">
        <v>4</v>
      </c>
      <c r="V213">
        <v>8</v>
      </c>
      <c r="W213">
        <v>5</v>
      </c>
      <c r="X213">
        <v>3</v>
      </c>
      <c r="Y213">
        <v>9</v>
      </c>
      <c r="Z213">
        <v>5</v>
      </c>
      <c r="AA213">
        <v>4</v>
      </c>
      <c r="AB213">
        <v>8</v>
      </c>
      <c r="AC213">
        <v>4</v>
      </c>
      <c r="AD213">
        <v>4</v>
      </c>
      <c r="AE213">
        <v>9</v>
      </c>
      <c r="AF213">
        <v>5</v>
      </c>
      <c r="AG213">
        <v>4</v>
      </c>
      <c r="AH213">
        <v>8</v>
      </c>
      <c r="AI213">
        <v>5</v>
      </c>
      <c r="AJ213">
        <v>3</v>
      </c>
      <c r="AK213" t="s">
        <v>2160</v>
      </c>
      <c r="AL213" t="s">
        <v>2161</v>
      </c>
      <c r="AM213" t="s">
        <v>2162</v>
      </c>
      <c r="AN213" t="s">
        <v>2163</v>
      </c>
      <c r="AO213" t="s">
        <v>199</v>
      </c>
      <c r="AP213" t="s">
        <v>2164</v>
      </c>
      <c r="AQ213" t="s">
        <v>2165</v>
      </c>
      <c r="AR213" t="s">
        <v>2166</v>
      </c>
      <c r="AS213" t="s">
        <v>2167</v>
      </c>
    </row>
    <row r="214" spans="1:45" x14ac:dyDescent="0.45">
      <c r="A214">
        <v>213</v>
      </c>
      <c r="B214">
        <v>213</v>
      </c>
      <c r="C214" t="s">
        <v>72</v>
      </c>
      <c r="D214" t="s">
        <v>73</v>
      </c>
      <c r="E214" t="s">
        <v>74</v>
      </c>
      <c r="F214" t="s">
        <v>77</v>
      </c>
      <c r="G214" t="s">
        <v>76</v>
      </c>
      <c r="H214">
        <v>61.668074252236785</v>
      </c>
      <c r="I214">
        <v>4</v>
      </c>
      <c r="J214">
        <v>8</v>
      </c>
      <c r="K214">
        <v>7</v>
      </c>
      <c r="L214">
        <v>1</v>
      </c>
      <c r="M214">
        <v>9</v>
      </c>
      <c r="N214">
        <v>8</v>
      </c>
      <c r="O214">
        <v>1</v>
      </c>
      <c r="P214">
        <v>7</v>
      </c>
      <c r="Q214">
        <v>8</v>
      </c>
      <c r="R214">
        <v>-1</v>
      </c>
      <c r="S214">
        <v>9</v>
      </c>
      <c r="T214">
        <v>8</v>
      </c>
      <c r="U214">
        <v>1</v>
      </c>
      <c r="V214">
        <v>7</v>
      </c>
      <c r="W214">
        <v>8</v>
      </c>
      <c r="X214">
        <v>-1</v>
      </c>
      <c r="Y214">
        <v>8</v>
      </c>
      <c r="Z214">
        <v>8</v>
      </c>
      <c r="AA214">
        <v>0</v>
      </c>
      <c r="AB214">
        <v>6</v>
      </c>
      <c r="AC214">
        <v>8</v>
      </c>
      <c r="AD214">
        <v>-2</v>
      </c>
      <c r="AE214">
        <v>7</v>
      </c>
      <c r="AF214">
        <v>8</v>
      </c>
      <c r="AG214">
        <v>-1</v>
      </c>
      <c r="AH214">
        <v>8</v>
      </c>
      <c r="AI214">
        <v>8</v>
      </c>
      <c r="AJ214">
        <v>0</v>
      </c>
      <c r="AK214" t="s">
        <v>2168</v>
      </c>
      <c r="AL214" t="s">
        <v>2169</v>
      </c>
      <c r="AM214" t="s">
        <v>2170</v>
      </c>
      <c r="AN214" t="s">
        <v>2171</v>
      </c>
      <c r="AO214" t="s">
        <v>2172</v>
      </c>
      <c r="AP214" t="s">
        <v>2173</v>
      </c>
      <c r="AQ214" t="s">
        <v>2174</v>
      </c>
      <c r="AR214" t="s">
        <v>2175</v>
      </c>
      <c r="AS214" t="s">
        <v>2176</v>
      </c>
    </row>
    <row r="215" spans="1:45" x14ac:dyDescent="0.45">
      <c r="A215">
        <v>214</v>
      </c>
      <c r="B215">
        <v>214</v>
      </c>
      <c r="C215" t="s">
        <v>72</v>
      </c>
      <c r="D215" t="s">
        <v>73</v>
      </c>
      <c r="E215" t="s">
        <v>74</v>
      </c>
      <c r="F215" t="s">
        <v>75</v>
      </c>
      <c r="G215" t="s">
        <v>76</v>
      </c>
      <c r="H215">
        <v>49.984617050979359</v>
      </c>
      <c r="I215">
        <v>4</v>
      </c>
      <c r="J215">
        <v>9</v>
      </c>
      <c r="K215">
        <v>9</v>
      </c>
      <c r="L215">
        <v>0</v>
      </c>
      <c r="M215">
        <v>8</v>
      </c>
      <c r="N215">
        <v>9</v>
      </c>
      <c r="O215">
        <v>-1</v>
      </c>
      <c r="P215">
        <v>9</v>
      </c>
      <c r="Q215">
        <v>9</v>
      </c>
      <c r="R215">
        <v>0</v>
      </c>
      <c r="S215">
        <v>8</v>
      </c>
      <c r="T215">
        <v>9</v>
      </c>
      <c r="U215">
        <v>-1</v>
      </c>
      <c r="V215">
        <v>9</v>
      </c>
      <c r="W215">
        <v>9</v>
      </c>
      <c r="X215">
        <v>0</v>
      </c>
      <c r="Y215">
        <v>8</v>
      </c>
      <c r="Z215">
        <v>9</v>
      </c>
      <c r="AA215">
        <v>-1</v>
      </c>
      <c r="AB215">
        <v>9</v>
      </c>
      <c r="AC215">
        <v>9</v>
      </c>
      <c r="AD215">
        <v>0</v>
      </c>
      <c r="AE215">
        <v>8</v>
      </c>
      <c r="AF215">
        <v>9</v>
      </c>
      <c r="AG215">
        <v>-1</v>
      </c>
      <c r="AH215">
        <v>9</v>
      </c>
      <c r="AI215">
        <v>9</v>
      </c>
      <c r="AJ215">
        <v>0</v>
      </c>
      <c r="AK215" t="s">
        <v>2177</v>
      </c>
      <c r="AL215" t="s">
        <v>2178</v>
      </c>
      <c r="AM215" t="s">
        <v>2179</v>
      </c>
      <c r="AN215" t="s">
        <v>2180</v>
      </c>
      <c r="AO215" t="s">
        <v>2181</v>
      </c>
      <c r="AP215" t="s">
        <v>2182</v>
      </c>
      <c r="AQ215" t="s">
        <v>2183</v>
      </c>
      <c r="AR215" t="s">
        <v>283</v>
      </c>
      <c r="AS215" t="s">
        <v>2184</v>
      </c>
    </row>
    <row r="216" spans="1:45" x14ac:dyDescent="0.45">
      <c r="A216">
        <v>215</v>
      </c>
      <c r="B216">
        <v>215</v>
      </c>
      <c r="C216" t="s">
        <v>72</v>
      </c>
      <c r="D216" t="s">
        <v>73</v>
      </c>
      <c r="E216" t="s">
        <v>74</v>
      </c>
      <c r="F216" t="s">
        <v>75</v>
      </c>
      <c r="G216" t="s">
        <v>76</v>
      </c>
      <c r="H216">
        <v>21.643834659705703</v>
      </c>
      <c r="I216">
        <v>2</v>
      </c>
      <c r="J216">
        <v>7</v>
      </c>
      <c r="K216">
        <v>5</v>
      </c>
      <c r="L216">
        <v>2</v>
      </c>
      <c r="M216">
        <v>7</v>
      </c>
      <c r="N216">
        <v>5</v>
      </c>
      <c r="O216">
        <v>2</v>
      </c>
      <c r="P216">
        <v>9</v>
      </c>
      <c r="Q216">
        <v>5</v>
      </c>
      <c r="R216">
        <v>4</v>
      </c>
      <c r="S216">
        <v>8</v>
      </c>
      <c r="T216">
        <v>5</v>
      </c>
      <c r="U216">
        <v>3</v>
      </c>
      <c r="V216">
        <v>7</v>
      </c>
      <c r="W216">
        <v>5</v>
      </c>
      <c r="X216">
        <v>2</v>
      </c>
      <c r="Y216">
        <v>9</v>
      </c>
      <c r="Z216">
        <v>5</v>
      </c>
      <c r="AA216">
        <v>4</v>
      </c>
      <c r="AB216">
        <v>6</v>
      </c>
      <c r="AC216">
        <v>5</v>
      </c>
      <c r="AD216">
        <v>1</v>
      </c>
      <c r="AE216">
        <v>8</v>
      </c>
      <c r="AF216">
        <v>5</v>
      </c>
      <c r="AG216">
        <v>3</v>
      </c>
      <c r="AI216">
        <v>5</v>
      </c>
      <c r="AK216" t="s">
        <v>2185</v>
      </c>
      <c r="AL216" t="s">
        <v>2186</v>
      </c>
      <c r="AM216" t="s">
        <v>2187</v>
      </c>
      <c r="AN216" t="s">
        <v>2188</v>
      </c>
      <c r="AO216" t="s">
        <v>2189</v>
      </c>
      <c r="AP216" t="s">
        <v>2190</v>
      </c>
      <c r="AQ216" t="s">
        <v>2191</v>
      </c>
      <c r="AR216" t="s">
        <v>2192</v>
      </c>
      <c r="AS216" t="s">
        <v>201</v>
      </c>
    </row>
    <row r="217" spans="1:45" x14ac:dyDescent="0.45">
      <c r="A217">
        <v>216</v>
      </c>
      <c r="B217">
        <v>216</v>
      </c>
      <c r="C217" t="s">
        <v>72</v>
      </c>
      <c r="D217" t="s">
        <v>73</v>
      </c>
      <c r="E217" t="s">
        <v>74</v>
      </c>
      <c r="F217" t="s">
        <v>75</v>
      </c>
      <c r="G217" t="s">
        <v>76</v>
      </c>
      <c r="H217">
        <v>45.796058094524604</v>
      </c>
      <c r="I217">
        <v>1</v>
      </c>
      <c r="J217">
        <v>7</v>
      </c>
      <c r="K217">
        <v>6</v>
      </c>
      <c r="L217">
        <v>1</v>
      </c>
      <c r="M217">
        <v>8</v>
      </c>
      <c r="N217">
        <v>7</v>
      </c>
      <c r="O217">
        <v>1</v>
      </c>
      <c r="P217">
        <v>9</v>
      </c>
      <c r="Q217">
        <v>7</v>
      </c>
      <c r="R217">
        <v>2</v>
      </c>
      <c r="S217">
        <v>8</v>
      </c>
      <c r="T217">
        <v>7</v>
      </c>
      <c r="U217">
        <v>1</v>
      </c>
      <c r="V217">
        <v>6</v>
      </c>
      <c r="W217">
        <v>6</v>
      </c>
      <c r="X217">
        <v>0</v>
      </c>
      <c r="Y217">
        <v>9</v>
      </c>
      <c r="Z217">
        <v>7</v>
      </c>
      <c r="AA217">
        <v>2</v>
      </c>
      <c r="AB217">
        <v>7</v>
      </c>
      <c r="AC217">
        <v>7</v>
      </c>
      <c r="AD217">
        <v>0</v>
      </c>
      <c r="AE217">
        <v>6</v>
      </c>
      <c r="AF217">
        <v>7</v>
      </c>
      <c r="AG217">
        <v>-1</v>
      </c>
      <c r="AH217">
        <v>8</v>
      </c>
      <c r="AI217">
        <v>7</v>
      </c>
      <c r="AJ217">
        <v>1</v>
      </c>
      <c r="AK217" t="s">
        <v>2193</v>
      </c>
      <c r="AL217" t="s">
        <v>2194</v>
      </c>
      <c r="AM217" t="s">
        <v>263</v>
      </c>
      <c r="AN217" t="s">
        <v>2195</v>
      </c>
      <c r="AO217" t="s">
        <v>2196</v>
      </c>
      <c r="AP217" t="s">
        <v>2197</v>
      </c>
      <c r="AQ217" t="s">
        <v>2198</v>
      </c>
      <c r="AR217" t="s">
        <v>2199</v>
      </c>
      <c r="AS217" t="s">
        <v>2200</v>
      </c>
    </row>
    <row r="218" spans="1:45" x14ac:dyDescent="0.45">
      <c r="A218">
        <v>217</v>
      </c>
      <c r="B218">
        <v>217</v>
      </c>
      <c r="C218" t="s">
        <v>78</v>
      </c>
      <c r="D218" t="s">
        <v>73</v>
      </c>
      <c r="E218" t="s">
        <v>74</v>
      </c>
      <c r="F218" t="s">
        <v>77</v>
      </c>
      <c r="G218" t="s">
        <v>76</v>
      </c>
      <c r="H218">
        <v>44.87867531438576</v>
      </c>
      <c r="I218">
        <v>0</v>
      </c>
      <c r="J218">
        <v>7</v>
      </c>
      <c r="K218">
        <v>5</v>
      </c>
      <c r="L218">
        <v>2</v>
      </c>
      <c r="M218">
        <v>8</v>
      </c>
      <c r="N218">
        <v>5</v>
      </c>
      <c r="O218">
        <v>3</v>
      </c>
      <c r="P218">
        <v>9</v>
      </c>
      <c r="Q218">
        <v>5</v>
      </c>
      <c r="R218">
        <v>4</v>
      </c>
      <c r="S218">
        <v>10</v>
      </c>
      <c r="T218">
        <v>6</v>
      </c>
      <c r="U218">
        <v>4</v>
      </c>
      <c r="V218">
        <v>7</v>
      </c>
      <c r="W218">
        <v>5</v>
      </c>
      <c r="X218">
        <v>2</v>
      </c>
      <c r="Y218">
        <v>9</v>
      </c>
      <c r="Z218">
        <v>5</v>
      </c>
      <c r="AA218">
        <v>4</v>
      </c>
      <c r="AB218">
        <v>7</v>
      </c>
      <c r="AC218">
        <v>5</v>
      </c>
      <c r="AD218">
        <v>2</v>
      </c>
      <c r="AE218">
        <v>9</v>
      </c>
      <c r="AF218">
        <v>5</v>
      </c>
      <c r="AG218">
        <v>4</v>
      </c>
      <c r="AH218">
        <v>8</v>
      </c>
      <c r="AI218">
        <v>5</v>
      </c>
      <c r="AJ218">
        <v>3</v>
      </c>
      <c r="AK218" t="s">
        <v>2201</v>
      </c>
      <c r="AL218" t="s">
        <v>2202</v>
      </c>
      <c r="AM218" t="s">
        <v>2203</v>
      </c>
      <c r="AN218" t="s">
        <v>2204</v>
      </c>
      <c r="AO218" t="s">
        <v>2205</v>
      </c>
      <c r="AP218" t="s">
        <v>2206</v>
      </c>
      <c r="AQ218" t="s">
        <v>2207</v>
      </c>
      <c r="AR218" t="s">
        <v>2208</v>
      </c>
      <c r="AS218" t="s">
        <v>2209</v>
      </c>
    </row>
    <row r="219" spans="1:45" x14ac:dyDescent="0.45">
      <c r="A219">
        <v>218</v>
      </c>
      <c r="B219">
        <v>218</v>
      </c>
      <c r="C219" t="s">
        <v>72</v>
      </c>
      <c r="D219" t="s">
        <v>73</v>
      </c>
      <c r="E219" t="s">
        <v>74</v>
      </c>
      <c r="F219" t="s">
        <v>77</v>
      </c>
      <c r="G219" t="s">
        <v>76</v>
      </c>
      <c r="H219">
        <v>68.590372311478617</v>
      </c>
      <c r="I219">
        <v>3</v>
      </c>
      <c r="J219">
        <v>9</v>
      </c>
      <c r="K219">
        <v>6</v>
      </c>
      <c r="L219">
        <v>3</v>
      </c>
      <c r="M219">
        <v>8</v>
      </c>
      <c r="N219">
        <v>7</v>
      </c>
      <c r="O219">
        <v>1</v>
      </c>
      <c r="P219">
        <v>9</v>
      </c>
      <c r="Q219">
        <v>7</v>
      </c>
      <c r="R219">
        <v>2</v>
      </c>
      <c r="S219">
        <v>8</v>
      </c>
      <c r="T219">
        <v>7</v>
      </c>
      <c r="U219">
        <v>1</v>
      </c>
      <c r="V219">
        <v>9</v>
      </c>
      <c r="W219">
        <v>7</v>
      </c>
      <c r="X219">
        <v>2</v>
      </c>
      <c r="Y219">
        <v>8</v>
      </c>
      <c r="Z219">
        <v>7</v>
      </c>
      <c r="AA219">
        <v>1</v>
      </c>
      <c r="AB219">
        <v>9</v>
      </c>
      <c r="AC219">
        <v>7</v>
      </c>
      <c r="AD219">
        <v>2</v>
      </c>
      <c r="AE219">
        <v>8</v>
      </c>
      <c r="AF219">
        <v>7</v>
      </c>
      <c r="AG219">
        <v>1</v>
      </c>
      <c r="AH219">
        <v>9</v>
      </c>
      <c r="AI219">
        <v>7</v>
      </c>
      <c r="AJ219">
        <v>2</v>
      </c>
      <c r="AK219" t="s">
        <v>2210</v>
      </c>
      <c r="AL219" t="s">
        <v>2211</v>
      </c>
      <c r="AM219" t="s">
        <v>2212</v>
      </c>
      <c r="AN219" t="s">
        <v>2213</v>
      </c>
      <c r="AO219" t="s">
        <v>2214</v>
      </c>
      <c r="AP219" t="s">
        <v>2215</v>
      </c>
      <c r="AQ219" t="s">
        <v>2216</v>
      </c>
      <c r="AR219" t="s">
        <v>2217</v>
      </c>
      <c r="AS219" t="s">
        <v>2218</v>
      </c>
    </row>
    <row r="220" spans="1:45" x14ac:dyDescent="0.45">
      <c r="A220">
        <v>219</v>
      </c>
      <c r="B220">
        <v>219</v>
      </c>
      <c r="C220" t="s">
        <v>78</v>
      </c>
      <c r="D220" t="s">
        <v>193</v>
      </c>
      <c r="E220" t="s">
        <v>74</v>
      </c>
      <c r="F220" t="s">
        <v>75</v>
      </c>
      <c r="G220" t="s">
        <v>76</v>
      </c>
      <c r="H220">
        <v>203.83778934601204</v>
      </c>
      <c r="I220">
        <v>2</v>
      </c>
      <c r="J220">
        <v>6</v>
      </c>
      <c r="K220">
        <v>7</v>
      </c>
      <c r="L220">
        <v>-1</v>
      </c>
      <c r="M220">
        <v>7</v>
      </c>
      <c r="N220">
        <v>8</v>
      </c>
      <c r="O220">
        <v>-1</v>
      </c>
      <c r="P220">
        <v>8</v>
      </c>
      <c r="Q220">
        <v>8</v>
      </c>
      <c r="R220">
        <v>0</v>
      </c>
      <c r="S220">
        <v>9</v>
      </c>
      <c r="T220">
        <v>8</v>
      </c>
      <c r="U220">
        <v>1</v>
      </c>
      <c r="V220">
        <v>7</v>
      </c>
      <c r="W220">
        <v>8</v>
      </c>
      <c r="X220">
        <v>-1</v>
      </c>
      <c r="Y220">
        <v>9</v>
      </c>
      <c r="Z220">
        <v>5</v>
      </c>
      <c r="AA220">
        <v>4</v>
      </c>
      <c r="AB220">
        <v>7</v>
      </c>
      <c r="AC220">
        <v>5</v>
      </c>
      <c r="AD220">
        <v>2</v>
      </c>
      <c r="AE220">
        <v>8</v>
      </c>
      <c r="AF220">
        <v>7</v>
      </c>
      <c r="AG220">
        <v>1</v>
      </c>
      <c r="AH220">
        <v>9</v>
      </c>
      <c r="AI220">
        <v>6</v>
      </c>
      <c r="AJ220">
        <v>3</v>
      </c>
      <c r="AK220" t="s">
        <v>2219</v>
      </c>
      <c r="AL220" t="s">
        <v>2220</v>
      </c>
      <c r="AM220" t="s">
        <v>2221</v>
      </c>
      <c r="AN220" t="s">
        <v>2222</v>
      </c>
      <c r="AO220" t="s">
        <v>2223</v>
      </c>
      <c r="AP220" t="s">
        <v>2224</v>
      </c>
      <c r="AQ220" t="s">
        <v>2225</v>
      </c>
      <c r="AR220" t="s">
        <v>2226</v>
      </c>
      <c r="AS220" t="s">
        <v>2227</v>
      </c>
    </row>
    <row r="221" spans="1:45" x14ac:dyDescent="0.45">
      <c r="A221">
        <v>220</v>
      </c>
      <c r="B221">
        <v>220</v>
      </c>
      <c r="C221" t="s">
        <v>72</v>
      </c>
      <c r="D221" t="s">
        <v>191</v>
      </c>
      <c r="E221" t="s">
        <v>74</v>
      </c>
      <c r="F221" t="s">
        <v>75</v>
      </c>
      <c r="G221" t="s">
        <v>76</v>
      </c>
      <c r="H221">
        <v>233.81504568104771</v>
      </c>
      <c r="I221">
        <v>1</v>
      </c>
      <c r="J221">
        <v>7</v>
      </c>
      <c r="K221">
        <v>10</v>
      </c>
      <c r="L221">
        <v>-3</v>
      </c>
      <c r="M221">
        <v>7</v>
      </c>
      <c r="N221">
        <v>10</v>
      </c>
      <c r="O221">
        <v>-3</v>
      </c>
      <c r="P221">
        <v>8</v>
      </c>
      <c r="Q221">
        <v>6</v>
      </c>
      <c r="R221">
        <v>2</v>
      </c>
      <c r="S221">
        <v>9</v>
      </c>
      <c r="T221">
        <v>9</v>
      </c>
      <c r="U221">
        <v>0</v>
      </c>
      <c r="V221">
        <v>8</v>
      </c>
      <c r="W221">
        <v>9</v>
      </c>
      <c r="X221">
        <v>-1</v>
      </c>
      <c r="Y221">
        <v>9</v>
      </c>
      <c r="Z221">
        <v>9</v>
      </c>
      <c r="AA221">
        <v>0</v>
      </c>
      <c r="AB221">
        <v>8</v>
      </c>
      <c r="AC221">
        <v>9</v>
      </c>
      <c r="AD221">
        <v>-1</v>
      </c>
      <c r="AE221">
        <v>7</v>
      </c>
      <c r="AF221">
        <v>8</v>
      </c>
      <c r="AG221">
        <v>-1</v>
      </c>
      <c r="AH221">
        <v>9</v>
      </c>
      <c r="AI221">
        <v>8</v>
      </c>
      <c r="AJ221">
        <v>1</v>
      </c>
      <c r="AK221" t="s">
        <v>2228</v>
      </c>
      <c r="AL221" t="s">
        <v>2229</v>
      </c>
      <c r="AM221" t="s">
        <v>2230</v>
      </c>
      <c r="AN221" t="s">
        <v>2231</v>
      </c>
      <c r="AO221" t="s">
        <v>2232</v>
      </c>
      <c r="AP221" t="s">
        <v>2233</v>
      </c>
      <c r="AQ221" t="s">
        <v>2234</v>
      </c>
      <c r="AR221" t="s">
        <v>2235</v>
      </c>
      <c r="AS221" t="s">
        <v>2236</v>
      </c>
    </row>
    <row r="222" spans="1:45" x14ac:dyDescent="0.45">
      <c r="A222">
        <v>221</v>
      </c>
      <c r="B222">
        <v>221</v>
      </c>
      <c r="C222" t="s">
        <v>72</v>
      </c>
      <c r="D222" t="s">
        <v>79</v>
      </c>
      <c r="E222" t="s">
        <v>74</v>
      </c>
      <c r="F222" t="s">
        <v>77</v>
      </c>
      <c r="G222" t="s">
        <v>76</v>
      </c>
      <c r="H222">
        <v>57.553725956128737</v>
      </c>
      <c r="I222">
        <v>1</v>
      </c>
      <c r="J222">
        <v>6</v>
      </c>
      <c r="K222">
        <v>4</v>
      </c>
      <c r="L222">
        <v>2</v>
      </c>
      <c r="M222">
        <v>7</v>
      </c>
      <c r="N222">
        <v>4</v>
      </c>
      <c r="O222">
        <v>3</v>
      </c>
      <c r="P222">
        <v>9</v>
      </c>
      <c r="Q222">
        <v>4</v>
      </c>
      <c r="R222">
        <v>5</v>
      </c>
      <c r="S222">
        <v>8</v>
      </c>
      <c r="T222">
        <v>6</v>
      </c>
      <c r="U222">
        <v>2</v>
      </c>
      <c r="V222">
        <v>7</v>
      </c>
      <c r="W222">
        <v>5</v>
      </c>
      <c r="X222">
        <v>2</v>
      </c>
      <c r="Y222">
        <v>9</v>
      </c>
      <c r="Z222">
        <v>6</v>
      </c>
      <c r="AA222">
        <v>3</v>
      </c>
      <c r="AB222">
        <v>8</v>
      </c>
      <c r="AC222">
        <v>5</v>
      </c>
      <c r="AD222">
        <v>3</v>
      </c>
      <c r="AE222">
        <v>7</v>
      </c>
      <c r="AF222">
        <v>6</v>
      </c>
      <c r="AG222">
        <v>1</v>
      </c>
      <c r="AH222">
        <v>8</v>
      </c>
      <c r="AI222">
        <v>5</v>
      </c>
      <c r="AJ222">
        <v>3</v>
      </c>
      <c r="AK222" t="s">
        <v>2237</v>
      </c>
      <c r="AL222" t="s">
        <v>2238</v>
      </c>
      <c r="AM222" t="s">
        <v>2239</v>
      </c>
      <c r="AN222" t="s">
        <v>2240</v>
      </c>
      <c r="AO222" t="s">
        <v>2241</v>
      </c>
      <c r="AP222" t="s">
        <v>2242</v>
      </c>
      <c r="AQ222" t="s">
        <v>2243</v>
      </c>
      <c r="AR222" t="s">
        <v>2244</v>
      </c>
      <c r="AS222" t="s">
        <v>2245</v>
      </c>
    </row>
    <row r="223" spans="1:45" x14ac:dyDescent="0.45">
      <c r="A223">
        <v>222</v>
      </c>
      <c r="B223">
        <v>222</v>
      </c>
      <c r="C223" t="s">
        <v>72</v>
      </c>
      <c r="D223" t="s">
        <v>191</v>
      </c>
      <c r="E223" t="s">
        <v>74</v>
      </c>
      <c r="F223" t="s">
        <v>77</v>
      </c>
      <c r="G223" t="s">
        <v>76</v>
      </c>
      <c r="H223">
        <v>55.921388157311412</v>
      </c>
      <c r="I223">
        <v>2</v>
      </c>
      <c r="J223">
        <v>8</v>
      </c>
      <c r="K223">
        <v>4</v>
      </c>
      <c r="L223">
        <v>4</v>
      </c>
      <c r="M223">
        <v>9</v>
      </c>
      <c r="N223">
        <v>5</v>
      </c>
      <c r="O223">
        <v>4</v>
      </c>
      <c r="P223">
        <v>8</v>
      </c>
      <c r="Q223">
        <v>4</v>
      </c>
      <c r="R223">
        <v>4</v>
      </c>
      <c r="S223">
        <v>9</v>
      </c>
      <c r="T223">
        <v>5</v>
      </c>
      <c r="U223">
        <v>4</v>
      </c>
      <c r="V223">
        <v>8</v>
      </c>
      <c r="W223">
        <v>5</v>
      </c>
      <c r="X223">
        <v>3</v>
      </c>
      <c r="Y223">
        <v>9</v>
      </c>
      <c r="Z223">
        <v>5</v>
      </c>
      <c r="AA223">
        <v>4</v>
      </c>
      <c r="AB223">
        <v>8</v>
      </c>
      <c r="AC223">
        <v>5</v>
      </c>
      <c r="AD223">
        <v>3</v>
      </c>
      <c r="AE223">
        <v>9</v>
      </c>
      <c r="AF223">
        <v>5</v>
      </c>
      <c r="AG223">
        <v>4</v>
      </c>
      <c r="AH223">
        <v>9</v>
      </c>
      <c r="AI223">
        <v>5</v>
      </c>
      <c r="AJ223">
        <v>4</v>
      </c>
      <c r="AK223" t="s">
        <v>2246</v>
      </c>
      <c r="AL223" t="s">
        <v>2247</v>
      </c>
      <c r="AM223" t="s">
        <v>2248</v>
      </c>
      <c r="AN223" t="s">
        <v>2249</v>
      </c>
      <c r="AO223" t="s">
        <v>2250</v>
      </c>
      <c r="AP223" t="s">
        <v>2251</v>
      </c>
      <c r="AQ223" t="s">
        <v>2252</v>
      </c>
      <c r="AR223" t="s">
        <v>2253</v>
      </c>
      <c r="AS223" t="s">
        <v>2254</v>
      </c>
    </row>
    <row r="224" spans="1:45" x14ac:dyDescent="0.45">
      <c r="A224">
        <v>223</v>
      </c>
      <c r="B224">
        <v>223</v>
      </c>
      <c r="C224" t="s">
        <v>78</v>
      </c>
      <c r="D224" t="s">
        <v>73</v>
      </c>
      <c r="E224" t="s">
        <v>74</v>
      </c>
      <c r="F224" t="s">
        <v>77</v>
      </c>
      <c r="G224" t="s">
        <v>76</v>
      </c>
      <c r="H224">
        <v>66.621487048726294</v>
      </c>
      <c r="I224">
        <v>2</v>
      </c>
      <c r="J224">
        <v>7</v>
      </c>
      <c r="K224">
        <v>6</v>
      </c>
      <c r="L224">
        <v>1</v>
      </c>
      <c r="M224">
        <v>8</v>
      </c>
      <c r="N224">
        <v>6</v>
      </c>
      <c r="O224">
        <v>2</v>
      </c>
      <c r="P224">
        <v>9</v>
      </c>
      <c r="Q224">
        <v>7</v>
      </c>
      <c r="R224">
        <v>2</v>
      </c>
      <c r="S224">
        <v>10</v>
      </c>
      <c r="T224">
        <v>7</v>
      </c>
      <c r="U224">
        <v>3</v>
      </c>
      <c r="V224">
        <v>9</v>
      </c>
      <c r="W224">
        <v>6</v>
      </c>
      <c r="X224">
        <v>3</v>
      </c>
      <c r="Y224">
        <v>8</v>
      </c>
      <c r="Z224">
        <v>6</v>
      </c>
      <c r="AA224">
        <v>2</v>
      </c>
      <c r="AB224">
        <v>9</v>
      </c>
      <c r="AC224">
        <v>8</v>
      </c>
      <c r="AD224">
        <v>1</v>
      </c>
      <c r="AE224">
        <v>8</v>
      </c>
      <c r="AF224">
        <v>8</v>
      </c>
      <c r="AG224">
        <v>0</v>
      </c>
      <c r="AH224">
        <v>9</v>
      </c>
      <c r="AI224">
        <v>7</v>
      </c>
      <c r="AJ224">
        <v>2</v>
      </c>
      <c r="AK224" t="s">
        <v>2255</v>
      </c>
      <c r="AL224" t="s">
        <v>2256</v>
      </c>
      <c r="AM224" t="s">
        <v>2257</v>
      </c>
      <c r="AN224" t="s">
        <v>2258</v>
      </c>
      <c r="AO224" t="s">
        <v>2259</v>
      </c>
      <c r="AP224" t="s">
        <v>2260</v>
      </c>
      <c r="AQ224" t="s">
        <v>2261</v>
      </c>
      <c r="AR224" t="s">
        <v>2262</v>
      </c>
      <c r="AS224" t="s">
        <v>2263</v>
      </c>
    </row>
    <row r="225" spans="1:45" x14ac:dyDescent="0.45">
      <c r="A225">
        <v>224</v>
      </c>
      <c r="B225">
        <v>224</v>
      </c>
      <c r="C225" t="s">
        <v>72</v>
      </c>
      <c r="D225" t="s">
        <v>73</v>
      </c>
      <c r="E225" t="s">
        <v>74</v>
      </c>
      <c r="F225" t="s">
        <v>75</v>
      </c>
      <c r="G225" t="s">
        <v>76</v>
      </c>
      <c r="H225">
        <v>59.358022038913234</v>
      </c>
      <c r="I225">
        <v>0</v>
      </c>
      <c r="J225">
        <v>7</v>
      </c>
      <c r="K225">
        <v>7</v>
      </c>
      <c r="L225">
        <v>0</v>
      </c>
      <c r="M225">
        <v>6</v>
      </c>
      <c r="N225">
        <v>7</v>
      </c>
      <c r="O225">
        <v>-1</v>
      </c>
      <c r="P225">
        <v>9</v>
      </c>
      <c r="Q225">
        <v>7</v>
      </c>
      <c r="R225">
        <v>2</v>
      </c>
      <c r="S225">
        <v>8</v>
      </c>
      <c r="T225">
        <v>7</v>
      </c>
      <c r="U225">
        <v>1</v>
      </c>
      <c r="V225">
        <v>9</v>
      </c>
      <c r="W225">
        <v>7</v>
      </c>
      <c r="X225">
        <v>2</v>
      </c>
      <c r="Y225">
        <v>8</v>
      </c>
      <c r="Z225">
        <v>7</v>
      </c>
      <c r="AA225">
        <v>1</v>
      </c>
      <c r="AB225">
        <v>9</v>
      </c>
      <c r="AC225">
        <v>7</v>
      </c>
      <c r="AD225">
        <v>2</v>
      </c>
      <c r="AE225">
        <v>8</v>
      </c>
      <c r="AF225">
        <v>7</v>
      </c>
      <c r="AG225">
        <v>1</v>
      </c>
      <c r="AH225">
        <v>9</v>
      </c>
      <c r="AI225">
        <v>7</v>
      </c>
      <c r="AJ225">
        <v>2</v>
      </c>
      <c r="AK225" t="s">
        <v>2264</v>
      </c>
      <c r="AL225" t="s">
        <v>2265</v>
      </c>
      <c r="AM225" t="s">
        <v>2266</v>
      </c>
      <c r="AN225" t="s">
        <v>2267</v>
      </c>
      <c r="AO225" t="s">
        <v>2268</v>
      </c>
      <c r="AP225" t="s">
        <v>2269</v>
      </c>
      <c r="AQ225" t="s">
        <v>2270</v>
      </c>
      <c r="AR225" t="s">
        <v>2271</v>
      </c>
      <c r="AS225" t="s">
        <v>2272</v>
      </c>
    </row>
    <row r="226" spans="1:45" x14ac:dyDescent="0.45">
      <c r="A226">
        <v>225</v>
      </c>
      <c r="B226">
        <v>225</v>
      </c>
      <c r="C226" t="s">
        <v>72</v>
      </c>
      <c r="D226" t="s">
        <v>73</v>
      </c>
      <c r="E226" t="s">
        <v>74</v>
      </c>
      <c r="F226" t="s">
        <v>77</v>
      </c>
      <c r="G226" t="s">
        <v>76</v>
      </c>
      <c r="H226">
        <v>41.037929170978728</v>
      </c>
      <c r="I226">
        <v>1</v>
      </c>
      <c r="J226">
        <v>7</v>
      </c>
      <c r="K226">
        <v>6</v>
      </c>
      <c r="L226">
        <v>1</v>
      </c>
      <c r="M226">
        <v>6</v>
      </c>
      <c r="N226">
        <v>6</v>
      </c>
      <c r="O226">
        <v>0</v>
      </c>
      <c r="P226">
        <v>8</v>
      </c>
      <c r="Q226">
        <v>7</v>
      </c>
      <c r="R226">
        <v>1</v>
      </c>
      <c r="S226">
        <v>7</v>
      </c>
      <c r="T226">
        <v>7</v>
      </c>
      <c r="U226">
        <v>0</v>
      </c>
      <c r="V226">
        <v>8</v>
      </c>
      <c r="W226">
        <v>5</v>
      </c>
      <c r="X226">
        <v>3</v>
      </c>
      <c r="Y226">
        <v>9</v>
      </c>
      <c r="Z226">
        <v>6</v>
      </c>
      <c r="AA226">
        <v>3</v>
      </c>
      <c r="AB226">
        <v>7</v>
      </c>
      <c r="AC226">
        <v>6</v>
      </c>
      <c r="AD226">
        <v>1</v>
      </c>
      <c r="AE226">
        <v>6</v>
      </c>
      <c r="AF226">
        <v>6</v>
      </c>
      <c r="AG226">
        <v>0</v>
      </c>
      <c r="AH226">
        <v>8</v>
      </c>
      <c r="AI226">
        <v>7</v>
      </c>
      <c r="AJ226">
        <v>1</v>
      </c>
      <c r="AK226" t="s">
        <v>2273</v>
      </c>
      <c r="AL226" t="s">
        <v>2274</v>
      </c>
      <c r="AM226" t="s">
        <v>2275</v>
      </c>
      <c r="AN226" t="s">
        <v>2276</v>
      </c>
      <c r="AO226" t="s">
        <v>2277</v>
      </c>
      <c r="AP226" t="s">
        <v>2278</v>
      </c>
      <c r="AQ226" t="s">
        <v>2279</v>
      </c>
      <c r="AR226" t="s">
        <v>2280</v>
      </c>
      <c r="AS226" t="s">
        <v>2281</v>
      </c>
    </row>
    <row r="227" spans="1:45" x14ac:dyDescent="0.45">
      <c r="A227">
        <v>226</v>
      </c>
      <c r="B227">
        <v>226</v>
      </c>
      <c r="C227" t="s">
        <v>72</v>
      </c>
      <c r="D227" t="s">
        <v>193</v>
      </c>
      <c r="E227" t="s">
        <v>74</v>
      </c>
      <c r="F227" t="s">
        <v>75</v>
      </c>
      <c r="G227" t="s">
        <v>76</v>
      </c>
      <c r="H227">
        <v>90.832829853445816</v>
      </c>
      <c r="I227">
        <v>2</v>
      </c>
      <c r="J227">
        <v>8</v>
      </c>
      <c r="K227">
        <v>7</v>
      </c>
      <c r="L227">
        <v>1</v>
      </c>
      <c r="M227">
        <v>7</v>
      </c>
      <c r="N227">
        <v>7</v>
      </c>
      <c r="O227">
        <v>0</v>
      </c>
      <c r="P227">
        <v>6</v>
      </c>
      <c r="Q227">
        <v>6</v>
      </c>
      <c r="R227">
        <v>0</v>
      </c>
      <c r="S227">
        <v>8</v>
      </c>
      <c r="T227">
        <v>7</v>
      </c>
      <c r="U227">
        <v>1</v>
      </c>
      <c r="V227">
        <v>7</v>
      </c>
      <c r="W227">
        <v>7</v>
      </c>
      <c r="X227">
        <v>0</v>
      </c>
      <c r="Y227">
        <v>9</v>
      </c>
      <c r="Z227">
        <v>7</v>
      </c>
      <c r="AA227">
        <v>2</v>
      </c>
      <c r="AB227">
        <v>8</v>
      </c>
      <c r="AC227">
        <v>7</v>
      </c>
      <c r="AD227">
        <v>1</v>
      </c>
      <c r="AE227">
        <v>7</v>
      </c>
      <c r="AF227">
        <v>7</v>
      </c>
      <c r="AG227">
        <v>0</v>
      </c>
      <c r="AH227">
        <v>9</v>
      </c>
      <c r="AI227">
        <v>7</v>
      </c>
      <c r="AJ227">
        <v>2</v>
      </c>
      <c r="AK227" t="s">
        <v>2282</v>
      </c>
      <c r="AL227" t="s">
        <v>2283</v>
      </c>
      <c r="AM227" t="s">
        <v>2284</v>
      </c>
      <c r="AN227" t="s">
        <v>2285</v>
      </c>
      <c r="AO227" t="s">
        <v>2286</v>
      </c>
      <c r="AP227" t="s">
        <v>2287</v>
      </c>
      <c r="AQ227" t="s">
        <v>82</v>
      </c>
      <c r="AR227" t="s">
        <v>2288</v>
      </c>
      <c r="AS227" t="s">
        <v>2289</v>
      </c>
    </row>
    <row r="228" spans="1:45" x14ac:dyDescent="0.45">
      <c r="A228">
        <v>227</v>
      </c>
      <c r="B228">
        <v>227</v>
      </c>
      <c r="C228" t="s">
        <v>72</v>
      </c>
      <c r="D228" t="s">
        <v>81</v>
      </c>
      <c r="E228" t="s">
        <v>74</v>
      </c>
      <c r="F228" t="s">
        <v>77</v>
      </c>
      <c r="G228" t="s">
        <v>76</v>
      </c>
      <c r="H228">
        <v>26.974894647314343</v>
      </c>
      <c r="I228">
        <v>0</v>
      </c>
      <c r="J228">
        <v>6</v>
      </c>
      <c r="K228">
        <v>6</v>
      </c>
      <c r="L228">
        <v>0</v>
      </c>
      <c r="M228">
        <v>7</v>
      </c>
      <c r="N228">
        <v>6</v>
      </c>
      <c r="O228">
        <v>1</v>
      </c>
      <c r="P228">
        <v>9</v>
      </c>
      <c r="Q228">
        <v>6</v>
      </c>
      <c r="R228">
        <v>3</v>
      </c>
      <c r="S228">
        <v>8</v>
      </c>
      <c r="T228">
        <v>6</v>
      </c>
      <c r="U228">
        <v>2</v>
      </c>
      <c r="V228">
        <v>7</v>
      </c>
      <c r="W228">
        <v>6</v>
      </c>
      <c r="X228">
        <v>1</v>
      </c>
      <c r="Y228">
        <v>8</v>
      </c>
      <c r="Z228">
        <v>6</v>
      </c>
      <c r="AA228">
        <v>2</v>
      </c>
      <c r="AB228">
        <v>7</v>
      </c>
      <c r="AC228">
        <v>6</v>
      </c>
      <c r="AD228">
        <v>1</v>
      </c>
      <c r="AE228">
        <v>8</v>
      </c>
      <c r="AF228">
        <v>6</v>
      </c>
      <c r="AG228">
        <v>2</v>
      </c>
      <c r="AH228">
        <v>9</v>
      </c>
      <c r="AI228">
        <v>6</v>
      </c>
      <c r="AJ228">
        <v>3</v>
      </c>
      <c r="AK228" t="s">
        <v>2290</v>
      </c>
      <c r="AL228" t="s">
        <v>2291</v>
      </c>
      <c r="AM228" t="s">
        <v>2292</v>
      </c>
      <c r="AN228" t="s">
        <v>2293</v>
      </c>
      <c r="AO228" t="s">
        <v>2294</v>
      </c>
      <c r="AP228" t="s">
        <v>2295</v>
      </c>
      <c r="AQ228" t="s">
        <v>2296</v>
      </c>
      <c r="AR228" t="s">
        <v>2297</v>
      </c>
      <c r="AS228" t="s">
        <v>2298</v>
      </c>
    </row>
    <row r="229" spans="1:45" x14ac:dyDescent="0.45">
      <c r="A229">
        <v>228</v>
      </c>
      <c r="B229">
        <v>228</v>
      </c>
      <c r="C229" t="s">
        <v>72</v>
      </c>
      <c r="D229" t="s">
        <v>81</v>
      </c>
      <c r="E229" t="s">
        <v>74</v>
      </c>
      <c r="F229" t="s">
        <v>77</v>
      </c>
      <c r="G229" t="s">
        <v>76</v>
      </c>
      <c r="H229">
        <v>20.6456373833669</v>
      </c>
      <c r="I229">
        <v>2</v>
      </c>
      <c r="J229">
        <v>8</v>
      </c>
      <c r="K229">
        <v>8</v>
      </c>
      <c r="L229">
        <v>0</v>
      </c>
      <c r="M229">
        <v>7</v>
      </c>
      <c r="N229">
        <v>9</v>
      </c>
      <c r="O229">
        <v>-2</v>
      </c>
      <c r="P229">
        <v>9</v>
      </c>
      <c r="Q229">
        <v>7</v>
      </c>
      <c r="R229">
        <v>2</v>
      </c>
      <c r="S229">
        <v>10</v>
      </c>
      <c r="T229">
        <v>8</v>
      </c>
      <c r="U229">
        <v>2</v>
      </c>
      <c r="V229">
        <v>9</v>
      </c>
      <c r="W229">
        <v>9</v>
      </c>
      <c r="X229">
        <v>0</v>
      </c>
      <c r="Y229">
        <v>10</v>
      </c>
      <c r="Z229">
        <v>8</v>
      </c>
      <c r="AA229">
        <v>2</v>
      </c>
      <c r="AB229">
        <v>9</v>
      </c>
      <c r="AC229">
        <v>8</v>
      </c>
      <c r="AD229">
        <v>1</v>
      </c>
      <c r="AE229">
        <v>8</v>
      </c>
      <c r="AF229">
        <v>8</v>
      </c>
      <c r="AG229">
        <v>0</v>
      </c>
      <c r="AH229">
        <v>9</v>
      </c>
      <c r="AI229">
        <v>8</v>
      </c>
      <c r="AJ229">
        <v>1</v>
      </c>
      <c r="AK229" t="s">
        <v>2299</v>
      </c>
      <c r="AL229" t="s">
        <v>2300</v>
      </c>
      <c r="AM229" t="s">
        <v>2301</v>
      </c>
      <c r="AN229" t="s">
        <v>2302</v>
      </c>
      <c r="AO229" t="s">
        <v>2303</v>
      </c>
      <c r="AP229" t="s">
        <v>2304</v>
      </c>
      <c r="AQ229" t="s">
        <v>2305</v>
      </c>
      <c r="AR229" t="s">
        <v>2306</v>
      </c>
      <c r="AS229" t="s">
        <v>2307</v>
      </c>
    </row>
    <row r="230" spans="1:45" x14ac:dyDescent="0.45">
      <c r="A230">
        <v>229</v>
      </c>
      <c r="B230">
        <v>229</v>
      </c>
      <c r="C230" t="s">
        <v>72</v>
      </c>
      <c r="D230" t="s">
        <v>73</v>
      </c>
      <c r="E230" t="s">
        <v>74</v>
      </c>
      <c r="F230" t="s">
        <v>77</v>
      </c>
      <c r="G230" t="s">
        <v>76</v>
      </c>
      <c r="H230">
        <v>66.507290492829924</v>
      </c>
      <c r="I230">
        <v>2</v>
      </c>
      <c r="J230">
        <v>9</v>
      </c>
      <c r="K230">
        <v>6</v>
      </c>
      <c r="L230">
        <v>3</v>
      </c>
      <c r="M230">
        <v>8</v>
      </c>
      <c r="N230">
        <v>6</v>
      </c>
      <c r="O230">
        <v>2</v>
      </c>
      <c r="P230">
        <v>9</v>
      </c>
      <c r="Q230">
        <v>6</v>
      </c>
      <c r="R230">
        <v>3</v>
      </c>
      <c r="S230">
        <v>8</v>
      </c>
      <c r="T230">
        <v>6</v>
      </c>
      <c r="U230">
        <v>2</v>
      </c>
      <c r="V230">
        <v>9</v>
      </c>
      <c r="W230">
        <v>6</v>
      </c>
      <c r="X230">
        <v>3</v>
      </c>
      <c r="Y230">
        <v>8</v>
      </c>
      <c r="Z230">
        <v>7</v>
      </c>
      <c r="AA230">
        <v>1</v>
      </c>
      <c r="AB230">
        <v>9</v>
      </c>
      <c r="AC230">
        <v>6</v>
      </c>
      <c r="AD230">
        <v>3</v>
      </c>
      <c r="AE230">
        <v>8</v>
      </c>
      <c r="AF230">
        <v>6</v>
      </c>
      <c r="AG230">
        <v>2</v>
      </c>
      <c r="AH230">
        <v>9</v>
      </c>
      <c r="AI230">
        <v>7</v>
      </c>
      <c r="AJ230">
        <v>2</v>
      </c>
      <c r="AK230" t="s">
        <v>2308</v>
      </c>
      <c r="AL230" t="s">
        <v>2309</v>
      </c>
      <c r="AM230" t="s">
        <v>2310</v>
      </c>
      <c r="AN230" t="s">
        <v>2311</v>
      </c>
      <c r="AO230" t="s">
        <v>2312</v>
      </c>
      <c r="AP230" t="s">
        <v>2313</v>
      </c>
      <c r="AQ230" t="s">
        <v>2314</v>
      </c>
      <c r="AR230" t="s">
        <v>2315</v>
      </c>
      <c r="AS230" t="s">
        <v>2316</v>
      </c>
    </row>
    <row r="231" spans="1:45" x14ac:dyDescent="0.45">
      <c r="A231">
        <v>230</v>
      </c>
      <c r="B231">
        <v>230</v>
      </c>
      <c r="C231" t="s">
        <v>72</v>
      </c>
      <c r="D231" t="s">
        <v>79</v>
      </c>
      <c r="E231" t="s">
        <v>74</v>
      </c>
      <c r="F231" t="s">
        <v>75</v>
      </c>
      <c r="G231" t="s">
        <v>76</v>
      </c>
      <c r="H231">
        <v>70.256058518416509</v>
      </c>
      <c r="I231">
        <v>4</v>
      </c>
      <c r="J231">
        <v>7</v>
      </c>
      <c r="K231">
        <v>4</v>
      </c>
      <c r="L231">
        <v>3</v>
      </c>
      <c r="M231">
        <v>8</v>
      </c>
      <c r="N231">
        <v>5</v>
      </c>
      <c r="O231">
        <v>3</v>
      </c>
      <c r="P231">
        <v>9</v>
      </c>
      <c r="Q231">
        <v>1</v>
      </c>
      <c r="R231">
        <v>8</v>
      </c>
      <c r="S231">
        <v>8</v>
      </c>
      <c r="T231">
        <v>6</v>
      </c>
      <c r="U231">
        <v>2</v>
      </c>
      <c r="V231">
        <v>7</v>
      </c>
      <c r="W231">
        <v>4</v>
      </c>
      <c r="X231">
        <v>3</v>
      </c>
      <c r="Y231">
        <v>9</v>
      </c>
      <c r="Z231">
        <v>4</v>
      </c>
      <c r="AA231">
        <v>5</v>
      </c>
      <c r="AB231">
        <v>8</v>
      </c>
      <c r="AC231">
        <v>5</v>
      </c>
      <c r="AD231">
        <v>3</v>
      </c>
      <c r="AE231">
        <v>6</v>
      </c>
      <c r="AF231">
        <v>5</v>
      </c>
      <c r="AG231">
        <v>1</v>
      </c>
      <c r="AH231">
        <v>9</v>
      </c>
      <c r="AI231">
        <v>5</v>
      </c>
      <c r="AJ231">
        <v>4</v>
      </c>
      <c r="AK231" t="s">
        <v>2317</v>
      </c>
      <c r="AL231" t="s">
        <v>2318</v>
      </c>
      <c r="AM231" t="s">
        <v>2319</v>
      </c>
      <c r="AN231" t="s">
        <v>2320</v>
      </c>
      <c r="AO231" t="s">
        <v>2321</v>
      </c>
      <c r="AP231" t="s">
        <v>2322</v>
      </c>
      <c r="AQ231" t="s">
        <v>2323</v>
      </c>
      <c r="AR231" t="s">
        <v>2324</v>
      </c>
      <c r="AS231" t="s">
        <v>2325</v>
      </c>
    </row>
    <row r="232" spans="1:45" x14ac:dyDescent="0.45">
      <c r="A232">
        <v>231</v>
      </c>
      <c r="B232">
        <v>231</v>
      </c>
      <c r="C232" t="s">
        <v>78</v>
      </c>
      <c r="D232" t="s">
        <v>193</v>
      </c>
      <c r="E232" t="s">
        <v>74</v>
      </c>
      <c r="F232" t="s">
        <v>75</v>
      </c>
      <c r="G232" t="s">
        <v>76</v>
      </c>
      <c r="H232">
        <v>183.06966084391595</v>
      </c>
      <c r="I232">
        <v>4</v>
      </c>
      <c r="J232">
        <v>7</v>
      </c>
      <c r="K232">
        <v>8</v>
      </c>
      <c r="L232">
        <v>-1</v>
      </c>
      <c r="M232">
        <v>7</v>
      </c>
      <c r="N232">
        <v>8</v>
      </c>
      <c r="O232">
        <v>-1</v>
      </c>
      <c r="P232">
        <v>9</v>
      </c>
      <c r="Q232">
        <v>8</v>
      </c>
      <c r="R232">
        <v>1</v>
      </c>
      <c r="S232">
        <v>9</v>
      </c>
      <c r="T232">
        <v>8</v>
      </c>
      <c r="U232">
        <v>1</v>
      </c>
      <c r="V232">
        <v>8</v>
      </c>
      <c r="W232">
        <v>7</v>
      </c>
      <c r="X232">
        <v>1</v>
      </c>
      <c r="Y232">
        <v>9</v>
      </c>
      <c r="Z232">
        <v>7</v>
      </c>
      <c r="AA232">
        <v>2</v>
      </c>
      <c r="AB232">
        <v>8</v>
      </c>
      <c r="AC232">
        <v>8</v>
      </c>
      <c r="AD232">
        <v>0</v>
      </c>
      <c r="AE232">
        <v>7</v>
      </c>
      <c r="AF232">
        <v>7</v>
      </c>
      <c r="AG232">
        <v>0</v>
      </c>
      <c r="AH232">
        <v>9</v>
      </c>
      <c r="AI232">
        <v>8</v>
      </c>
      <c r="AJ232">
        <v>1</v>
      </c>
      <c r="AK232" t="s">
        <v>2326</v>
      </c>
      <c r="AL232" t="s">
        <v>2327</v>
      </c>
      <c r="AM232" t="s">
        <v>2328</v>
      </c>
      <c r="AN232" t="s">
        <v>2329</v>
      </c>
      <c r="AO232" t="s">
        <v>2330</v>
      </c>
      <c r="AP232" t="s">
        <v>2331</v>
      </c>
      <c r="AQ232" t="s">
        <v>2332</v>
      </c>
      <c r="AR232" t="s">
        <v>2333</v>
      </c>
      <c r="AS232" t="s">
        <v>2334</v>
      </c>
    </row>
    <row r="233" spans="1:45" x14ac:dyDescent="0.45">
      <c r="A233">
        <v>232</v>
      </c>
      <c r="B233">
        <v>232</v>
      </c>
      <c r="C233" t="s">
        <v>78</v>
      </c>
      <c r="D233" t="s">
        <v>73</v>
      </c>
      <c r="E233" t="s">
        <v>74</v>
      </c>
      <c r="F233" t="s">
        <v>77</v>
      </c>
      <c r="G233" t="s">
        <v>76</v>
      </c>
      <c r="H233">
        <v>60.170666301539462</v>
      </c>
      <c r="I233">
        <v>2</v>
      </c>
      <c r="J233">
        <v>7</v>
      </c>
      <c r="K233">
        <v>6</v>
      </c>
      <c r="L233">
        <v>1</v>
      </c>
      <c r="M233">
        <v>6</v>
      </c>
      <c r="N233">
        <v>6</v>
      </c>
      <c r="O233">
        <v>0</v>
      </c>
      <c r="P233">
        <v>9</v>
      </c>
      <c r="Q233">
        <v>6</v>
      </c>
      <c r="R233">
        <v>3</v>
      </c>
      <c r="S233">
        <v>8</v>
      </c>
      <c r="T233">
        <v>6</v>
      </c>
      <c r="U233">
        <v>2</v>
      </c>
      <c r="V233">
        <v>7</v>
      </c>
      <c r="W233">
        <v>6</v>
      </c>
      <c r="X233">
        <v>1</v>
      </c>
      <c r="Y233">
        <v>9</v>
      </c>
      <c r="Z233">
        <v>6</v>
      </c>
      <c r="AA233">
        <v>3</v>
      </c>
      <c r="AB233">
        <v>7</v>
      </c>
      <c r="AC233">
        <v>6</v>
      </c>
      <c r="AD233">
        <v>1</v>
      </c>
      <c r="AE233">
        <v>8</v>
      </c>
      <c r="AF233">
        <v>6</v>
      </c>
      <c r="AG233">
        <v>2</v>
      </c>
      <c r="AH233">
        <v>9</v>
      </c>
      <c r="AI233">
        <v>6</v>
      </c>
      <c r="AJ233">
        <v>3</v>
      </c>
      <c r="AK233" t="s">
        <v>2335</v>
      </c>
      <c r="AL233" t="s">
        <v>2336</v>
      </c>
      <c r="AM233" t="s">
        <v>2337</v>
      </c>
      <c r="AN233" t="s">
        <v>2338</v>
      </c>
      <c r="AO233" t="s">
        <v>2339</v>
      </c>
      <c r="AP233" t="s">
        <v>2340</v>
      </c>
      <c r="AQ233" t="s">
        <v>2341</v>
      </c>
      <c r="AR233" t="s">
        <v>2342</v>
      </c>
      <c r="AS233" t="s">
        <v>2343</v>
      </c>
    </row>
    <row r="234" spans="1:45" x14ac:dyDescent="0.45">
      <c r="A234">
        <v>233</v>
      </c>
      <c r="B234">
        <v>233</v>
      </c>
      <c r="C234" t="s">
        <v>72</v>
      </c>
      <c r="D234" t="s">
        <v>79</v>
      </c>
      <c r="E234" t="s">
        <v>74</v>
      </c>
      <c r="F234" t="s">
        <v>77</v>
      </c>
      <c r="G234" t="s">
        <v>76</v>
      </c>
      <c r="H234">
        <v>12.472569462260202</v>
      </c>
      <c r="I234">
        <v>1</v>
      </c>
      <c r="J234">
        <v>6</v>
      </c>
      <c r="K234">
        <v>8</v>
      </c>
      <c r="L234">
        <v>-2</v>
      </c>
      <c r="M234">
        <v>7</v>
      </c>
      <c r="N234">
        <v>8</v>
      </c>
      <c r="O234">
        <v>-1</v>
      </c>
      <c r="P234">
        <v>9</v>
      </c>
      <c r="Q234">
        <v>8</v>
      </c>
      <c r="R234">
        <v>1</v>
      </c>
      <c r="S234">
        <v>8</v>
      </c>
      <c r="T234">
        <v>8</v>
      </c>
      <c r="U234">
        <v>0</v>
      </c>
      <c r="V234">
        <v>9</v>
      </c>
      <c r="W234">
        <v>9</v>
      </c>
      <c r="X234">
        <v>0</v>
      </c>
      <c r="Y234">
        <v>8</v>
      </c>
      <c r="Z234">
        <v>8</v>
      </c>
      <c r="AA234">
        <v>0</v>
      </c>
      <c r="AB234">
        <v>9</v>
      </c>
      <c r="AC234">
        <v>8</v>
      </c>
      <c r="AD234">
        <v>1</v>
      </c>
      <c r="AE234">
        <v>7</v>
      </c>
      <c r="AF234">
        <v>8</v>
      </c>
      <c r="AG234">
        <v>-1</v>
      </c>
      <c r="AH234">
        <v>9</v>
      </c>
      <c r="AI234">
        <v>10</v>
      </c>
      <c r="AJ234">
        <v>-1</v>
      </c>
      <c r="AK234" t="s">
        <v>2344</v>
      </c>
      <c r="AL234" t="s">
        <v>2345</v>
      </c>
      <c r="AM234" t="s">
        <v>2346</v>
      </c>
      <c r="AN234" t="s">
        <v>2347</v>
      </c>
      <c r="AO234" t="s">
        <v>2348</v>
      </c>
      <c r="AP234" t="s">
        <v>2349</v>
      </c>
      <c r="AQ234" t="s">
        <v>2350</v>
      </c>
      <c r="AR234" t="s">
        <v>2351</v>
      </c>
      <c r="AS234" t="s">
        <v>2352</v>
      </c>
    </row>
    <row r="235" spans="1:45" x14ac:dyDescent="0.45">
      <c r="A235">
        <v>234</v>
      </c>
      <c r="B235">
        <v>234</v>
      </c>
      <c r="C235" t="s">
        <v>72</v>
      </c>
      <c r="D235" t="s">
        <v>191</v>
      </c>
      <c r="E235" t="s">
        <v>74</v>
      </c>
      <c r="F235" t="s">
        <v>75</v>
      </c>
      <c r="G235" t="s">
        <v>76</v>
      </c>
      <c r="H235">
        <v>94.813030735606816</v>
      </c>
      <c r="I235">
        <v>3</v>
      </c>
      <c r="J235">
        <v>9</v>
      </c>
      <c r="K235">
        <v>4</v>
      </c>
      <c r="L235">
        <v>5</v>
      </c>
      <c r="M235">
        <v>8</v>
      </c>
      <c r="N235">
        <v>4</v>
      </c>
      <c r="O235">
        <v>4</v>
      </c>
      <c r="P235">
        <v>9</v>
      </c>
      <c r="Q235">
        <v>4</v>
      </c>
      <c r="R235">
        <v>5</v>
      </c>
      <c r="S235">
        <v>8</v>
      </c>
      <c r="T235">
        <v>4</v>
      </c>
      <c r="U235">
        <v>4</v>
      </c>
      <c r="V235">
        <v>9</v>
      </c>
      <c r="W235">
        <v>1</v>
      </c>
      <c r="X235">
        <v>8</v>
      </c>
      <c r="Y235">
        <v>9</v>
      </c>
      <c r="Z235">
        <v>3</v>
      </c>
      <c r="AA235">
        <v>6</v>
      </c>
      <c r="AB235">
        <v>8</v>
      </c>
      <c r="AC235">
        <v>1</v>
      </c>
      <c r="AD235">
        <v>7</v>
      </c>
      <c r="AE235">
        <v>9</v>
      </c>
      <c r="AF235">
        <v>1</v>
      </c>
      <c r="AG235">
        <v>8</v>
      </c>
      <c r="AH235">
        <v>8</v>
      </c>
      <c r="AI235">
        <v>1</v>
      </c>
      <c r="AJ235">
        <v>7</v>
      </c>
      <c r="AK235" t="s">
        <v>2353</v>
      </c>
      <c r="AL235" t="s">
        <v>2354</v>
      </c>
      <c r="AM235" t="s">
        <v>2355</v>
      </c>
      <c r="AN235" t="s">
        <v>2356</v>
      </c>
      <c r="AO235" t="s">
        <v>2357</v>
      </c>
      <c r="AP235" t="s">
        <v>2358</v>
      </c>
      <c r="AQ235" t="s">
        <v>2359</v>
      </c>
      <c r="AR235" t="s">
        <v>2360</v>
      </c>
      <c r="AS235" t="s">
        <v>2361</v>
      </c>
    </row>
    <row r="236" spans="1:45" x14ac:dyDescent="0.45">
      <c r="A236">
        <v>235</v>
      </c>
      <c r="B236">
        <v>235</v>
      </c>
      <c r="C236" t="s">
        <v>72</v>
      </c>
      <c r="D236" t="s">
        <v>73</v>
      </c>
      <c r="E236" t="s">
        <v>74</v>
      </c>
      <c r="F236" t="s">
        <v>77</v>
      </c>
      <c r="G236" t="s">
        <v>76</v>
      </c>
      <c r="H236">
        <v>39.483836675556802</v>
      </c>
      <c r="I236">
        <v>0</v>
      </c>
      <c r="J236">
        <v>6</v>
      </c>
      <c r="K236">
        <v>6</v>
      </c>
      <c r="L236">
        <v>0</v>
      </c>
      <c r="M236">
        <v>7</v>
      </c>
      <c r="N236">
        <v>6</v>
      </c>
      <c r="O236">
        <v>1</v>
      </c>
      <c r="P236">
        <v>9</v>
      </c>
      <c r="Q236">
        <v>1</v>
      </c>
      <c r="R236">
        <v>8</v>
      </c>
      <c r="S236">
        <v>10</v>
      </c>
      <c r="T236">
        <v>6</v>
      </c>
      <c r="U236">
        <v>4</v>
      </c>
      <c r="V236">
        <v>9</v>
      </c>
      <c r="W236">
        <v>5</v>
      </c>
      <c r="X236">
        <v>4</v>
      </c>
      <c r="Y236">
        <v>8</v>
      </c>
      <c r="Z236">
        <v>6</v>
      </c>
      <c r="AA236">
        <v>2</v>
      </c>
      <c r="AB236">
        <v>9</v>
      </c>
      <c r="AC236">
        <v>5</v>
      </c>
      <c r="AD236">
        <v>4</v>
      </c>
      <c r="AE236">
        <v>8</v>
      </c>
      <c r="AF236">
        <v>6</v>
      </c>
      <c r="AG236">
        <v>2</v>
      </c>
      <c r="AH236">
        <v>9</v>
      </c>
      <c r="AI236">
        <v>6</v>
      </c>
      <c r="AJ236">
        <v>3</v>
      </c>
      <c r="AK236" t="s">
        <v>2362</v>
      </c>
      <c r="AL236" t="s">
        <v>2363</v>
      </c>
      <c r="AM236" t="s">
        <v>2364</v>
      </c>
      <c r="AN236" t="s">
        <v>2365</v>
      </c>
      <c r="AO236" t="s">
        <v>2366</v>
      </c>
      <c r="AP236" t="s">
        <v>2367</v>
      </c>
      <c r="AQ236" t="s">
        <v>2368</v>
      </c>
      <c r="AR236" t="s">
        <v>2369</v>
      </c>
      <c r="AS236" t="s">
        <v>2370</v>
      </c>
    </row>
    <row r="237" spans="1:45" x14ac:dyDescent="0.45">
      <c r="A237">
        <v>236</v>
      </c>
      <c r="B237">
        <v>236</v>
      </c>
      <c r="C237" t="s">
        <v>72</v>
      </c>
      <c r="D237" t="s">
        <v>73</v>
      </c>
      <c r="E237" t="s">
        <v>74</v>
      </c>
      <c r="F237" t="s">
        <v>75</v>
      </c>
      <c r="G237" t="s">
        <v>76</v>
      </c>
      <c r="H237">
        <v>65.380288499002674</v>
      </c>
      <c r="I237">
        <v>3</v>
      </c>
      <c r="J237">
        <v>7</v>
      </c>
      <c r="K237">
        <v>7</v>
      </c>
      <c r="L237">
        <v>0</v>
      </c>
      <c r="M237">
        <v>7</v>
      </c>
      <c r="N237">
        <v>7</v>
      </c>
      <c r="O237">
        <v>0</v>
      </c>
      <c r="P237">
        <v>6</v>
      </c>
      <c r="Q237">
        <v>7</v>
      </c>
      <c r="R237">
        <v>-1</v>
      </c>
      <c r="S237">
        <v>8</v>
      </c>
      <c r="T237">
        <v>7</v>
      </c>
      <c r="U237">
        <v>1</v>
      </c>
      <c r="V237">
        <v>7</v>
      </c>
      <c r="W237">
        <v>7</v>
      </c>
      <c r="X237">
        <v>0</v>
      </c>
      <c r="Y237">
        <v>8</v>
      </c>
      <c r="Z237">
        <v>7</v>
      </c>
      <c r="AA237">
        <v>1</v>
      </c>
      <c r="AB237">
        <v>7</v>
      </c>
      <c r="AC237">
        <v>7</v>
      </c>
      <c r="AD237">
        <v>0</v>
      </c>
      <c r="AE237">
        <v>6</v>
      </c>
      <c r="AF237">
        <v>7</v>
      </c>
      <c r="AG237">
        <v>-1</v>
      </c>
      <c r="AH237">
        <v>9</v>
      </c>
      <c r="AI237">
        <v>7</v>
      </c>
      <c r="AJ237">
        <v>2</v>
      </c>
      <c r="AK237" t="s">
        <v>2371</v>
      </c>
      <c r="AL237" t="s">
        <v>2372</v>
      </c>
      <c r="AM237" t="s">
        <v>2373</v>
      </c>
      <c r="AN237" t="s">
        <v>2374</v>
      </c>
      <c r="AO237" t="s">
        <v>2375</v>
      </c>
      <c r="AP237" t="s">
        <v>2376</v>
      </c>
      <c r="AQ237" t="s">
        <v>2377</v>
      </c>
      <c r="AR237" t="s">
        <v>2378</v>
      </c>
      <c r="AS237" t="s">
        <v>2379</v>
      </c>
    </row>
    <row r="238" spans="1:45" x14ac:dyDescent="0.45">
      <c r="A238">
        <v>237</v>
      </c>
      <c r="B238">
        <v>237</v>
      </c>
      <c r="C238" t="s">
        <v>78</v>
      </c>
      <c r="D238" t="s">
        <v>73</v>
      </c>
      <c r="E238" t="s">
        <v>74</v>
      </c>
      <c r="F238" t="s">
        <v>75</v>
      </c>
      <c r="G238" t="s">
        <v>162</v>
      </c>
      <c r="H238">
        <v>14.388269521510457</v>
      </c>
      <c r="I238">
        <v>3</v>
      </c>
      <c r="J238">
        <v>7</v>
      </c>
      <c r="K238">
        <v>10</v>
      </c>
      <c r="L238">
        <v>-3</v>
      </c>
      <c r="M238">
        <v>6</v>
      </c>
      <c r="N238">
        <v>10</v>
      </c>
      <c r="O238">
        <v>-4</v>
      </c>
      <c r="P238">
        <v>8</v>
      </c>
      <c r="Q238">
        <v>4</v>
      </c>
      <c r="R238">
        <v>4</v>
      </c>
      <c r="S238">
        <v>9</v>
      </c>
      <c r="T238">
        <v>6</v>
      </c>
      <c r="U238">
        <v>3</v>
      </c>
      <c r="V238">
        <v>8</v>
      </c>
      <c r="W238">
        <v>3</v>
      </c>
      <c r="X238">
        <v>5</v>
      </c>
      <c r="Y238">
        <v>9</v>
      </c>
      <c r="Z238">
        <v>1</v>
      </c>
      <c r="AA238">
        <v>8</v>
      </c>
      <c r="AB238">
        <v>7</v>
      </c>
      <c r="AC238">
        <v>1</v>
      </c>
      <c r="AD238">
        <v>6</v>
      </c>
      <c r="AE238">
        <v>8</v>
      </c>
      <c r="AF238">
        <v>3</v>
      </c>
      <c r="AG238">
        <v>5</v>
      </c>
      <c r="AH238">
        <v>9</v>
      </c>
      <c r="AI238">
        <v>1</v>
      </c>
      <c r="AJ238">
        <v>8</v>
      </c>
      <c r="AK238" t="s">
        <v>2380</v>
      </c>
      <c r="AL238" t="s">
        <v>2381</v>
      </c>
      <c r="AM238" t="s">
        <v>2382</v>
      </c>
      <c r="AN238" t="s">
        <v>2383</v>
      </c>
      <c r="AO238" t="s">
        <v>2384</v>
      </c>
      <c r="AP238" t="s">
        <v>2385</v>
      </c>
      <c r="AQ238" t="s">
        <v>2386</v>
      </c>
      <c r="AR238" t="s">
        <v>2387</v>
      </c>
      <c r="AS238" t="s">
        <v>2388</v>
      </c>
    </row>
    <row r="239" spans="1:45" x14ac:dyDescent="0.45">
      <c r="A239">
        <v>238</v>
      </c>
      <c r="B239">
        <v>238</v>
      </c>
      <c r="C239" t="s">
        <v>72</v>
      </c>
      <c r="D239" t="s">
        <v>73</v>
      </c>
      <c r="E239" t="s">
        <v>74</v>
      </c>
      <c r="F239" t="s">
        <v>75</v>
      </c>
      <c r="G239" t="s">
        <v>76</v>
      </c>
      <c r="H239">
        <v>26.295136099030909</v>
      </c>
      <c r="I239">
        <v>1</v>
      </c>
      <c r="J239">
        <v>6</v>
      </c>
      <c r="K239">
        <v>8</v>
      </c>
      <c r="L239">
        <v>-2</v>
      </c>
      <c r="M239">
        <v>5</v>
      </c>
      <c r="N239">
        <v>10</v>
      </c>
      <c r="O239">
        <v>-5</v>
      </c>
      <c r="P239">
        <v>8</v>
      </c>
      <c r="Q239">
        <v>8</v>
      </c>
      <c r="R239">
        <v>0</v>
      </c>
      <c r="S239">
        <v>9</v>
      </c>
      <c r="T239">
        <v>10</v>
      </c>
      <c r="U239">
        <v>-1</v>
      </c>
      <c r="V239">
        <v>4</v>
      </c>
      <c r="W239">
        <v>9</v>
      </c>
      <c r="X239">
        <v>-5</v>
      </c>
      <c r="Y239">
        <v>7</v>
      </c>
      <c r="Z239">
        <v>8</v>
      </c>
      <c r="AA239">
        <v>-1</v>
      </c>
      <c r="AB239">
        <v>6</v>
      </c>
      <c r="AC239">
        <v>7</v>
      </c>
      <c r="AD239">
        <v>-1</v>
      </c>
      <c r="AE239">
        <v>8</v>
      </c>
      <c r="AF239">
        <v>9</v>
      </c>
      <c r="AG239">
        <v>-1</v>
      </c>
      <c r="AH239">
        <v>9</v>
      </c>
      <c r="AI239">
        <v>9</v>
      </c>
      <c r="AJ239">
        <v>0</v>
      </c>
      <c r="AK239" t="s">
        <v>222</v>
      </c>
      <c r="AL239" t="s">
        <v>2389</v>
      </c>
      <c r="AM239" t="s">
        <v>2390</v>
      </c>
      <c r="AN239" t="s">
        <v>2391</v>
      </c>
      <c r="AO239" t="s">
        <v>2392</v>
      </c>
      <c r="AP239" t="s">
        <v>2393</v>
      </c>
      <c r="AQ239" t="s">
        <v>2394</v>
      </c>
      <c r="AR239" t="s">
        <v>2395</v>
      </c>
      <c r="AS239" t="s">
        <v>2396</v>
      </c>
    </row>
    <row r="240" spans="1:45" x14ac:dyDescent="0.45">
      <c r="A240">
        <v>239</v>
      </c>
      <c r="B240">
        <v>239</v>
      </c>
      <c r="C240" t="s">
        <v>78</v>
      </c>
      <c r="D240" t="s">
        <v>193</v>
      </c>
      <c r="E240" t="s">
        <v>74</v>
      </c>
      <c r="F240" t="s">
        <v>75</v>
      </c>
      <c r="G240" t="s">
        <v>76</v>
      </c>
      <c r="H240">
        <v>70.470156933587049</v>
      </c>
      <c r="I240">
        <v>4</v>
      </c>
      <c r="J240">
        <v>7</v>
      </c>
      <c r="K240">
        <v>6</v>
      </c>
      <c r="L240">
        <v>1</v>
      </c>
      <c r="M240">
        <v>6</v>
      </c>
      <c r="N240">
        <v>6</v>
      </c>
      <c r="O240">
        <v>0</v>
      </c>
      <c r="P240">
        <v>8</v>
      </c>
      <c r="Q240">
        <v>6</v>
      </c>
      <c r="R240">
        <v>2</v>
      </c>
      <c r="S240">
        <v>9</v>
      </c>
      <c r="T240">
        <v>6</v>
      </c>
      <c r="U240">
        <v>3</v>
      </c>
      <c r="V240">
        <v>6</v>
      </c>
      <c r="W240">
        <v>6</v>
      </c>
      <c r="X240">
        <v>0</v>
      </c>
      <c r="Y240">
        <v>9</v>
      </c>
      <c r="Z240">
        <v>6</v>
      </c>
      <c r="AA240">
        <v>3</v>
      </c>
      <c r="AB240">
        <v>7</v>
      </c>
      <c r="AC240">
        <v>6</v>
      </c>
      <c r="AD240">
        <v>1</v>
      </c>
      <c r="AE240">
        <v>8</v>
      </c>
      <c r="AF240">
        <v>7</v>
      </c>
      <c r="AG240">
        <v>1</v>
      </c>
      <c r="AH240">
        <v>9</v>
      </c>
      <c r="AI240">
        <v>6</v>
      </c>
      <c r="AJ240">
        <v>3</v>
      </c>
      <c r="AK240" t="s">
        <v>2397</v>
      </c>
      <c r="AL240" t="s">
        <v>2398</v>
      </c>
      <c r="AM240" t="s">
        <v>2399</v>
      </c>
      <c r="AN240" t="s">
        <v>2400</v>
      </c>
      <c r="AO240" t="s">
        <v>2401</v>
      </c>
      <c r="AP240" t="s">
        <v>2402</v>
      </c>
      <c r="AQ240" t="s">
        <v>2403</v>
      </c>
      <c r="AR240" t="s">
        <v>2404</v>
      </c>
      <c r="AS240" t="s">
        <v>2405</v>
      </c>
    </row>
    <row r="241" spans="1:45" x14ac:dyDescent="0.45">
      <c r="A241">
        <v>240</v>
      </c>
      <c r="B241">
        <v>240</v>
      </c>
      <c r="C241" t="s">
        <v>72</v>
      </c>
      <c r="D241" t="s">
        <v>73</v>
      </c>
      <c r="E241" t="s">
        <v>74</v>
      </c>
      <c r="F241" t="s">
        <v>77</v>
      </c>
      <c r="G241" t="s">
        <v>76</v>
      </c>
      <c r="H241">
        <v>61.841398241850868</v>
      </c>
      <c r="I241">
        <v>3</v>
      </c>
      <c r="J241">
        <v>8</v>
      </c>
      <c r="K241">
        <v>8</v>
      </c>
      <c r="L241">
        <v>0</v>
      </c>
      <c r="M241">
        <v>7</v>
      </c>
      <c r="N241">
        <v>8</v>
      </c>
      <c r="O241">
        <v>-1</v>
      </c>
      <c r="P241">
        <v>8</v>
      </c>
      <c r="Q241">
        <v>8</v>
      </c>
      <c r="R241">
        <v>0</v>
      </c>
      <c r="S241">
        <v>9</v>
      </c>
      <c r="T241">
        <v>8</v>
      </c>
      <c r="U241">
        <v>1</v>
      </c>
      <c r="V241">
        <v>7</v>
      </c>
      <c r="W241">
        <v>8</v>
      </c>
      <c r="X241">
        <v>-1</v>
      </c>
      <c r="Y241">
        <v>9</v>
      </c>
      <c r="Z241">
        <v>8</v>
      </c>
      <c r="AA241">
        <v>1</v>
      </c>
      <c r="AB241">
        <v>6</v>
      </c>
      <c r="AC241">
        <v>8</v>
      </c>
      <c r="AD241">
        <v>-2</v>
      </c>
      <c r="AE241">
        <v>7</v>
      </c>
      <c r="AF241">
        <v>8</v>
      </c>
      <c r="AG241">
        <v>-1</v>
      </c>
      <c r="AH241">
        <v>9</v>
      </c>
      <c r="AI241">
        <v>8</v>
      </c>
      <c r="AJ241">
        <v>1</v>
      </c>
      <c r="AK241" t="s">
        <v>2406</v>
      </c>
      <c r="AL241" t="s">
        <v>2407</v>
      </c>
      <c r="AM241" t="s">
        <v>2408</v>
      </c>
      <c r="AN241" t="s">
        <v>2409</v>
      </c>
      <c r="AO241" t="s">
        <v>2410</v>
      </c>
      <c r="AP241" t="s">
        <v>2411</v>
      </c>
      <c r="AQ241" t="s">
        <v>2412</v>
      </c>
      <c r="AR241" t="s">
        <v>2413</v>
      </c>
      <c r="AS241" t="s">
        <v>2414</v>
      </c>
    </row>
    <row r="242" spans="1:45" x14ac:dyDescent="0.45">
      <c r="A242">
        <v>241</v>
      </c>
      <c r="B242">
        <v>241</v>
      </c>
      <c r="C242" t="s">
        <v>72</v>
      </c>
      <c r="D242" t="s">
        <v>73</v>
      </c>
      <c r="E242" t="s">
        <v>74</v>
      </c>
      <c r="F242" t="s">
        <v>75</v>
      </c>
      <c r="G242" t="s">
        <v>76</v>
      </c>
      <c r="H242">
        <v>52.63148829676858</v>
      </c>
      <c r="I242">
        <v>1</v>
      </c>
      <c r="J242">
        <v>7</v>
      </c>
      <c r="K242">
        <v>7</v>
      </c>
      <c r="L242">
        <v>0</v>
      </c>
      <c r="M242">
        <v>6</v>
      </c>
      <c r="N242">
        <v>6</v>
      </c>
      <c r="O242">
        <v>0</v>
      </c>
      <c r="P242">
        <v>8</v>
      </c>
      <c r="Q242">
        <v>7</v>
      </c>
      <c r="R242">
        <v>1</v>
      </c>
      <c r="S242">
        <v>9</v>
      </c>
      <c r="T242">
        <v>7</v>
      </c>
      <c r="U242">
        <v>2</v>
      </c>
      <c r="V242">
        <v>7</v>
      </c>
      <c r="W242">
        <v>8</v>
      </c>
      <c r="X242">
        <v>-1</v>
      </c>
      <c r="Y242">
        <v>8</v>
      </c>
      <c r="Z242">
        <v>8</v>
      </c>
      <c r="AA242">
        <v>0</v>
      </c>
      <c r="AB242">
        <v>6</v>
      </c>
      <c r="AC242">
        <v>8</v>
      </c>
      <c r="AD242">
        <v>-2</v>
      </c>
      <c r="AE242">
        <v>8</v>
      </c>
      <c r="AF242">
        <v>8</v>
      </c>
      <c r="AG242">
        <v>0</v>
      </c>
      <c r="AH242">
        <v>9</v>
      </c>
      <c r="AI242">
        <v>8</v>
      </c>
      <c r="AJ242">
        <v>1</v>
      </c>
      <c r="AK242" t="s">
        <v>2415</v>
      </c>
      <c r="AL242" t="s">
        <v>2416</v>
      </c>
      <c r="AM242" t="s">
        <v>2417</v>
      </c>
      <c r="AN242" t="s">
        <v>2418</v>
      </c>
      <c r="AO242" t="s">
        <v>2419</v>
      </c>
      <c r="AP242" t="s">
        <v>2420</v>
      </c>
      <c r="AQ242" t="s">
        <v>2421</v>
      </c>
      <c r="AR242" t="s">
        <v>2422</v>
      </c>
      <c r="AS242" t="s">
        <v>2423</v>
      </c>
    </row>
    <row r="243" spans="1:45" x14ac:dyDescent="0.45">
      <c r="A243">
        <v>242</v>
      </c>
      <c r="B243">
        <v>242</v>
      </c>
      <c r="C243" t="s">
        <v>78</v>
      </c>
      <c r="D243" t="s">
        <v>73</v>
      </c>
      <c r="E243" t="s">
        <v>74</v>
      </c>
      <c r="F243" t="s">
        <v>77</v>
      </c>
      <c r="G243" t="s">
        <v>76</v>
      </c>
      <c r="H243">
        <v>49.814620100080369</v>
      </c>
      <c r="I243">
        <v>2</v>
      </c>
      <c r="J243">
        <v>7</v>
      </c>
      <c r="K243">
        <v>6</v>
      </c>
      <c r="L243">
        <v>1</v>
      </c>
      <c r="M243">
        <v>8</v>
      </c>
      <c r="N243">
        <v>5</v>
      </c>
      <c r="O243">
        <v>3</v>
      </c>
      <c r="P243">
        <v>9</v>
      </c>
      <c r="Q243">
        <v>5</v>
      </c>
      <c r="R243">
        <v>4</v>
      </c>
      <c r="S243">
        <v>10</v>
      </c>
      <c r="T243">
        <v>7</v>
      </c>
      <c r="U243">
        <v>3</v>
      </c>
      <c r="V243">
        <v>9</v>
      </c>
      <c r="W243">
        <v>7</v>
      </c>
      <c r="X243">
        <v>2</v>
      </c>
      <c r="Y243">
        <v>8</v>
      </c>
      <c r="Z243">
        <v>7</v>
      </c>
      <c r="AA243">
        <v>1</v>
      </c>
      <c r="AB243">
        <v>9</v>
      </c>
      <c r="AC243">
        <v>7</v>
      </c>
      <c r="AD243">
        <v>2</v>
      </c>
      <c r="AE243">
        <v>7</v>
      </c>
      <c r="AF243">
        <v>8</v>
      </c>
      <c r="AG243">
        <v>-1</v>
      </c>
      <c r="AH243">
        <v>9</v>
      </c>
      <c r="AI243">
        <v>8</v>
      </c>
      <c r="AJ243">
        <v>1</v>
      </c>
      <c r="AK243" t="s">
        <v>2424</v>
      </c>
      <c r="AL243" t="s">
        <v>2425</v>
      </c>
      <c r="AM243" t="s">
        <v>2426</v>
      </c>
      <c r="AN243" t="s">
        <v>2427</v>
      </c>
      <c r="AO243" t="s">
        <v>2428</v>
      </c>
      <c r="AP243" t="s">
        <v>2429</v>
      </c>
      <c r="AQ243" t="s">
        <v>2430</v>
      </c>
      <c r="AR243" t="s">
        <v>2431</v>
      </c>
      <c r="AS243" t="s">
        <v>2432</v>
      </c>
    </row>
    <row r="244" spans="1:45" x14ac:dyDescent="0.45">
      <c r="A244">
        <v>243</v>
      </c>
      <c r="B244">
        <v>243</v>
      </c>
      <c r="C244" t="s">
        <v>78</v>
      </c>
      <c r="D244" t="s">
        <v>191</v>
      </c>
      <c r="E244" t="s">
        <v>74</v>
      </c>
      <c r="F244" t="s">
        <v>77</v>
      </c>
      <c r="G244" t="s">
        <v>76</v>
      </c>
      <c r="H244">
        <v>84.584914020711025</v>
      </c>
      <c r="I244">
        <v>2</v>
      </c>
      <c r="J244">
        <v>7</v>
      </c>
      <c r="K244">
        <v>6</v>
      </c>
      <c r="L244">
        <v>1</v>
      </c>
      <c r="M244">
        <v>8</v>
      </c>
      <c r="N244">
        <v>6</v>
      </c>
      <c r="O244">
        <v>2</v>
      </c>
      <c r="P244">
        <v>9</v>
      </c>
      <c r="Q244">
        <v>6</v>
      </c>
      <c r="R244">
        <v>3</v>
      </c>
      <c r="S244">
        <v>10</v>
      </c>
      <c r="T244">
        <v>6</v>
      </c>
      <c r="U244">
        <v>4</v>
      </c>
      <c r="V244">
        <v>6</v>
      </c>
      <c r="W244">
        <v>6</v>
      </c>
      <c r="X244">
        <v>0</v>
      </c>
      <c r="Y244">
        <v>8</v>
      </c>
      <c r="Z244">
        <v>6</v>
      </c>
      <c r="AA244">
        <v>2</v>
      </c>
      <c r="AB244">
        <v>7</v>
      </c>
      <c r="AC244">
        <v>6</v>
      </c>
      <c r="AD244">
        <v>1</v>
      </c>
      <c r="AE244">
        <v>5</v>
      </c>
      <c r="AF244">
        <v>6</v>
      </c>
      <c r="AG244">
        <v>-1</v>
      </c>
      <c r="AH244">
        <v>8</v>
      </c>
      <c r="AI244">
        <v>6</v>
      </c>
      <c r="AJ244">
        <v>2</v>
      </c>
      <c r="AK244" t="s">
        <v>225</v>
      </c>
      <c r="AL244" t="s">
        <v>2433</v>
      </c>
      <c r="AM244" t="s">
        <v>2434</v>
      </c>
      <c r="AN244" t="s">
        <v>2435</v>
      </c>
      <c r="AO244" t="s">
        <v>2436</v>
      </c>
      <c r="AP244" t="s">
        <v>2437</v>
      </c>
      <c r="AQ244" t="s">
        <v>2438</v>
      </c>
      <c r="AR244" t="s">
        <v>2439</v>
      </c>
      <c r="AS244" t="s">
        <v>2440</v>
      </c>
    </row>
    <row r="245" spans="1:45" x14ac:dyDescent="0.45">
      <c r="A245">
        <v>244</v>
      </c>
      <c r="B245">
        <v>244</v>
      </c>
      <c r="C245" t="s">
        <v>72</v>
      </c>
      <c r="D245" t="s">
        <v>79</v>
      </c>
      <c r="E245" t="s">
        <v>74</v>
      </c>
      <c r="F245" t="s">
        <v>75</v>
      </c>
      <c r="G245" t="s">
        <v>76</v>
      </c>
      <c r="H245">
        <v>49.935272439762663</v>
      </c>
      <c r="I245">
        <v>3</v>
      </c>
      <c r="J245">
        <v>7</v>
      </c>
      <c r="K245">
        <v>7</v>
      </c>
      <c r="L245">
        <v>0</v>
      </c>
      <c r="M245">
        <v>6</v>
      </c>
      <c r="N245">
        <v>6</v>
      </c>
      <c r="O245">
        <v>0</v>
      </c>
      <c r="P245">
        <v>9</v>
      </c>
      <c r="Q245">
        <v>6</v>
      </c>
      <c r="R245">
        <v>3</v>
      </c>
      <c r="S245">
        <v>10</v>
      </c>
      <c r="T245">
        <v>8</v>
      </c>
      <c r="U245">
        <v>2</v>
      </c>
      <c r="V245">
        <v>9</v>
      </c>
      <c r="W245">
        <v>6</v>
      </c>
      <c r="X245">
        <v>3</v>
      </c>
      <c r="Y245">
        <v>8</v>
      </c>
      <c r="Z245">
        <v>6</v>
      </c>
      <c r="AA245">
        <v>2</v>
      </c>
      <c r="AB245">
        <v>9</v>
      </c>
      <c r="AC245">
        <v>6</v>
      </c>
      <c r="AD245">
        <v>3</v>
      </c>
      <c r="AE245">
        <v>8</v>
      </c>
      <c r="AF245">
        <v>6</v>
      </c>
      <c r="AG245">
        <v>2</v>
      </c>
      <c r="AH245">
        <v>9</v>
      </c>
      <c r="AI245">
        <v>6</v>
      </c>
      <c r="AJ245">
        <v>3</v>
      </c>
      <c r="AK245" t="s">
        <v>2441</v>
      </c>
      <c r="AL245" t="s">
        <v>2442</v>
      </c>
      <c r="AM245" t="s">
        <v>2443</v>
      </c>
      <c r="AN245" t="s">
        <v>2444</v>
      </c>
      <c r="AO245" t="s">
        <v>2445</v>
      </c>
      <c r="AP245" t="s">
        <v>2446</v>
      </c>
      <c r="AQ245" t="s">
        <v>2447</v>
      </c>
      <c r="AR245" t="s">
        <v>2448</v>
      </c>
      <c r="AS245" t="s">
        <v>2449</v>
      </c>
    </row>
    <row r="246" spans="1:45" x14ac:dyDescent="0.45">
      <c r="A246">
        <v>245</v>
      </c>
      <c r="B246">
        <v>245</v>
      </c>
      <c r="C246" t="s">
        <v>78</v>
      </c>
      <c r="D246" t="s">
        <v>79</v>
      </c>
      <c r="E246" t="s">
        <v>74</v>
      </c>
      <c r="F246" t="s">
        <v>75</v>
      </c>
      <c r="G246" t="s">
        <v>76</v>
      </c>
      <c r="H246">
        <v>162.31476821611571</v>
      </c>
      <c r="I246">
        <v>0</v>
      </c>
      <c r="J246">
        <v>6</v>
      </c>
      <c r="K246">
        <v>4</v>
      </c>
      <c r="L246">
        <v>2</v>
      </c>
      <c r="M246">
        <v>8</v>
      </c>
      <c r="N246">
        <v>4</v>
      </c>
      <c r="O246">
        <v>4</v>
      </c>
      <c r="P246">
        <v>7</v>
      </c>
      <c r="Q246">
        <v>1</v>
      </c>
      <c r="R246">
        <v>6</v>
      </c>
      <c r="S246">
        <v>8</v>
      </c>
      <c r="T246">
        <v>4</v>
      </c>
      <c r="U246">
        <v>4</v>
      </c>
      <c r="V246">
        <v>7</v>
      </c>
      <c r="W246">
        <v>4</v>
      </c>
      <c r="X246">
        <v>3</v>
      </c>
      <c r="Y246">
        <v>8</v>
      </c>
      <c r="Z246">
        <v>4</v>
      </c>
      <c r="AA246">
        <v>4</v>
      </c>
      <c r="AB246">
        <v>7</v>
      </c>
      <c r="AC246">
        <v>5</v>
      </c>
      <c r="AD246">
        <v>2</v>
      </c>
      <c r="AE246">
        <v>6</v>
      </c>
      <c r="AF246">
        <v>5</v>
      </c>
      <c r="AG246">
        <v>1</v>
      </c>
      <c r="AH246">
        <v>9</v>
      </c>
      <c r="AI246">
        <v>5</v>
      </c>
      <c r="AJ246">
        <v>4</v>
      </c>
      <c r="AK246" t="s">
        <v>2450</v>
      </c>
      <c r="AL246" t="s">
        <v>2451</v>
      </c>
      <c r="AM246" t="s">
        <v>2452</v>
      </c>
      <c r="AN246" t="s">
        <v>2453</v>
      </c>
      <c r="AO246" t="s">
        <v>2454</v>
      </c>
      <c r="AP246" t="s">
        <v>2455</v>
      </c>
      <c r="AQ246" t="s">
        <v>2456</v>
      </c>
      <c r="AR246" t="s">
        <v>2457</v>
      </c>
      <c r="AS246" t="s">
        <v>2458</v>
      </c>
    </row>
    <row r="247" spans="1:45" x14ac:dyDescent="0.45">
      <c r="A247">
        <v>246</v>
      </c>
      <c r="B247">
        <v>246</v>
      </c>
      <c r="C247" t="s">
        <v>78</v>
      </c>
      <c r="D247" t="s">
        <v>73</v>
      </c>
      <c r="E247" t="s">
        <v>74</v>
      </c>
      <c r="F247" t="s">
        <v>77</v>
      </c>
      <c r="G247" t="s">
        <v>76</v>
      </c>
      <c r="H247">
        <v>25.019283739312534</v>
      </c>
      <c r="I247">
        <v>0</v>
      </c>
      <c r="J247">
        <v>7</v>
      </c>
      <c r="K247">
        <v>6</v>
      </c>
      <c r="L247">
        <v>1</v>
      </c>
      <c r="M247">
        <v>8</v>
      </c>
      <c r="N247">
        <v>7</v>
      </c>
      <c r="O247">
        <v>1</v>
      </c>
      <c r="P247">
        <v>9</v>
      </c>
      <c r="Q247">
        <v>7</v>
      </c>
      <c r="R247">
        <v>2</v>
      </c>
      <c r="S247">
        <v>10</v>
      </c>
      <c r="T247">
        <v>7</v>
      </c>
      <c r="U247">
        <v>3</v>
      </c>
      <c r="V247">
        <v>9</v>
      </c>
      <c r="W247">
        <v>7</v>
      </c>
      <c r="X247">
        <v>2</v>
      </c>
      <c r="Y247">
        <v>9</v>
      </c>
      <c r="Z247">
        <v>7</v>
      </c>
      <c r="AA247">
        <v>2</v>
      </c>
      <c r="AB247">
        <v>7</v>
      </c>
      <c r="AC247">
        <v>7</v>
      </c>
      <c r="AD247">
        <v>0</v>
      </c>
      <c r="AE247">
        <v>8</v>
      </c>
      <c r="AF247">
        <v>7</v>
      </c>
      <c r="AG247">
        <v>1</v>
      </c>
      <c r="AH247">
        <v>9</v>
      </c>
      <c r="AI247">
        <v>7</v>
      </c>
      <c r="AJ247">
        <v>2</v>
      </c>
      <c r="AK247" t="s">
        <v>2459</v>
      </c>
      <c r="AL247" t="s">
        <v>2460</v>
      </c>
      <c r="AM247" t="s">
        <v>2461</v>
      </c>
      <c r="AN247" t="s">
        <v>2462</v>
      </c>
      <c r="AO247" t="s">
        <v>2463</v>
      </c>
      <c r="AP247" t="s">
        <v>2464</v>
      </c>
      <c r="AQ247" t="s">
        <v>2465</v>
      </c>
      <c r="AR247" t="s">
        <v>2466</v>
      </c>
      <c r="AS247" t="s">
        <v>2467</v>
      </c>
    </row>
    <row r="248" spans="1:45" x14ac:dyDescent="0.45">
      <c r="A248">
        <v>247</v>
      </c>
      <c r="B248">
        <v>247</v>
      </c>
      <c r="C248" t="s">
        <v>72</v>
      </c>
      <c r="D248" t="s">
        <v>191</v>
      </c>
      <c r="E248" t="s">
        <v>74</v>
      </c>
      <c r="F248" t="s">
        <v>75</v>
      </c>
      <c r="G248" t="s">
        <v>76</v>
      </c>
      <c r="H248">
        <v>63.930872936395865</v>
      </c>
      <c r="I248">
        <v>4</v>
      </c>
      <c r="J248">
        <v>7</v>
      </c>
      <c r="K248">
        <v>8</v>
      </c>
      <c r="L248">
        <v>-1</v>
      </c>
      <c r="M248">
        <v>6</v>
      </c>
      <c r="N248">
        <v>8</v>
      </c>
      <c r="O248">
        <v>-2</v>
      </c>
      <c r="P248">
        <v>8</v>
      </c>
      <c r="Q248">
        <v>8</v>
      </c>
      <c r="R248">
        <v>0</v>
      </c>
      <c r="S248">
        <v>9</v>
      </c>
      <c r="T248">
        <v>8</v>
      </c>
      <c r="U248">
        <v>1</v>
      </c>
      <c r="V248">
        <v>7</v>
      </c>
      <c r="W248">
        <v>8</v>
      </c>
      <c r="X248">
        <v>-1</v>
      </c>
      <c r="Y248">
        <v>9</v>
      </c>
      <c r="Z248">
        <v>8</v>
      </c>
      <c r="AA248">
        <v>1</v>
      </c>
      <c r="AB248">
        <v>7</v>
      </c>
      <c r="AC248">
        <v>8</v>
      </c>
      <c r="AD248">
        <v>-1</v>
      </c>
      <c r="AE248">
        <v>8</v>
      </c>
      <c r="AF248">
        <v>8</v>
      </c>
      <c r="AG248">
        <v>0</v>
      </c>
      <c r="AH248">
        <v>7</v>
      </c>
      <c r="AI248">
        <v>8</v>
      </c>
      <c r="AJ248">
        <v>-1</v>
      </c>
      <c r="AK248" t="s">
        <v>2468</v>
      </c>
      <c r="AL248" t="s">
        <v>2469</v>
      </c>
      <c r="AM248" t="s">
        <v>2470</v>
      </c>
      <c r="AN248" t="s">
        <v>2471</v>
      </c>
      <c r="AO248" t="s">
        <v>2472</v>
      </c>
      <c r="AP248" t="s">
        <v>2473</v>
      </c>
      <c r="AQ248" t="s">
        <v>2474</v>
      </c>
      <c r="AR248" t="s">
        <v>2475</v>
      </c>
      <c r="AS248" t="s">
        <v>2476</v>
      </c>
    </row>
    <row r="249" spans="1:45" x14ac:dyDescent="0.45">
      <c r="A249">
        <v>248</v>
      </c>
      <c r="B249">
        <v>248</v>
      </c>
      <c r="C249" t="s">
        <v>72</v>
      </c>
      <c r="D249" t="s">
        <v>79</v>
      </c>
      <c r="E249" t="s">
        <v>74</v>
      </c>
      <c r="F249" t="s">
        <v>77</v>
      </c>
      <c r="G249" t="s">
        <v>76</v>
      </c>
      <c r="H249">
        <v>41.805944185442748</v>
      </c>
      <c r="I249">
        <v>1</v>
      </c>
      <c r="J249">
        <v>7</v>
      </c>
      <c r="K249">
        <v>7</v>
      </c>
      <c r="L249">
        <v>0</v>
      </c>
      <c r="M249">
        <v>8</v>
      </c>
      <c r="N249">
        <v>7</v>
      </c>
      <c r="O249">
        <v>1</v>
      </c>
      <c r="P249">
        <v>9</v>
      </c>
      <c r="Q249">
        <v>7</v>
      </c>
      <c r="R249">
        <v>2</v>
      </c>
      <c r="S249">
        <v>8</v>
      </c>
      <c r="T249">
        <v>7</v>
      </c>
      <c r="U249">
        <v>1</v>
      </c>
      <c r="V249">
        <v>7</v>
      </c>
      <c r="W249">
        <v>7</v>
      </c>
      <c r="X249">
        <v>0</v>
      </c>
      <c r="Y249">
        <v>9</v>
      </c>
      <c r="Z249">
        <v>7</v>
      </c>
      <c r="AA249">
        <v>2</v>
      </c>
      <c r="AB249">
        <v>6</v>
      </c>
      <c r="AC249">
        <v>7</v>
      </c>
      <c r="AD249">
        <v>-1</v>
      </c>
      <c r="AE249">
        <v>7</v>
      </c>
      <c r="AF249">
        <v>7</v>
      </c>
      <c r="AG249">
        <v>0</v>
      </c>
      <c r="AH249">
        <v>9</v>
      </c>
      <c r="AI249">
        <v>7</v>
      </c>
      <c r="AJ249">
        <v>2</v>
      </c>
      <c r="AK249" t="s">
        <v>2477</v>
      </c>
      <c r="AL249" t="s">
        <v>2478</v>
      </c>
      <c r="AM249" t="s">
        <v>2479</v>
      </c>
      <c r="AN249" t="s">
        <v>2480</v>
      </c>
      <c r="AO249" t="s">
        <v>2481</v>
      </c>
      <c r="AP249" t="s">
        <v>2482</v>
      </c>
      <c r="AQ249" t="s">
        <v>2483</v>
      </c>
      <c r="AR249" t="s">
        <v>2484</v>
      </c>
      <c r="AS249" t="s">
        <v>2485</v>
      </c>
    </row>
    <row r="250" spans="1:45" x14ac:dyDescent="0.45">
      <c r="A250">
        <v>249</v>
      </c>
      <c r="B250">
        <v>249</v>
      </c>
      <c r="C250" t="s">
        <v>78</v>
      </c>
      <c r="D250" t="s">
        <v>193</v>
      </c>
      <c r="E250" t="s">
        <v>74</v>
      </c>
      <c r="F250" t="s">
        <v>75</v>
      </c>
      <c r="G250" t="s">
        <v>76</v>
      </c>
      <c r="H250">
        <v>99.422613853804336</v>
      </c>
      <c r="I250">
        <v>3</v>
      </c>
      <c r="J250">
        <v>7</v>
      </c>
      <c r="K250">
        <v>9</v>
      </c>
      <c r="L250">
        <v>-2</v>
      </c>
      <c r="M250">
        <v>6</v>
      </c>
      <c r="N250">
        <v>9</v>
      </c>
      <c r="O250">
        <v>-3</v>
      </c>
      <c r="P250">
        <v>8</v>
      </c>
      <c r="Q250">
        <v>9</v>
      </c>
      <c r="R250">
        <v>-1</v>
      </c>
      <c r="S250">
        <v>9</v>
      </c>
      <c r="T250">
        <v>9</v>
      </c>
      <c r="U250">
        <v>0</v>
      </c>
      <c r="V250">
        <v>9</v>
      </c>
      <c r="W250">
        <v>9</v>
      </c>
      <c r="X250">
        <v>0</v>
      </c>
      <c r="Y250">
        <v>8</v>
      </c>
      <c r="Z250">
        <v>9</v>
      </c>
      <c r="AA250">
        <v>-1</v>
      </c>
      <c r="AB250">
        <v>9</v>
      </c>
      <c r="AC250">
        <v>9</v>
      </c>
      <c r="AD250">
        <v>0</v>
      </c>
      <c r="AE250">
        <v>7</v>
      </c>
      <c r="AF250">
        <v>9</v>
      </c>
      <c r="AG250">
        <v>-2</v>
      </c>
      <c r="AH250">
        <v>9</v>
      </c>
      <c r="AI250">
        <v>9</v>
      </c>
      <c r="AJ250">
        <v>0</v>
      </c>
      <c r="AK250" t="s">
        <v>2486</v>
      </c>
      <c r="AL250" t="s">
        <v>2487</v>
      </c>
      <c r="AM250" t="s">
        <v>2488</v>
      </c>
      <c r="AN250" t="s">
        <v>2489</v>
      </c>
      <c r="AO250" t="s">
        <v>2490</v>
      </c>
      <c r="AP250" t="s">
        <v>2491</v>
      </c>
      <c r="AQ250" t="s">
        <v>2492</v>
      </c>
      <c r="AR250" t="s">
        <v>2493</v>
      </c>
      <c r="AS250" t="s">
        <v>2494</v>
      </c>
    </row>
    <row r="251" spans="1:45" x14ac:dyDescent="0.45">
      <c r="A251">
        <v>250</v>
      </c>
      <c r="B251">
        <v>250</v>
      </c>
      <c r="C251" t="s">
        <v>72</v>
      </c>
      <c r="D251" t="s">
        <v>73</v>
      </c>
      <c r="E251" t="s">
        <v>74</v>
      </c>
      <c r="F251" t="s">
        <v>77</v>
      </c>
      <c r="G251" t="s">
        <v>76</v>
      </c>
      <c r="H251">
        <v>52.283106028882841</v>
      </c>
      <c r="I251">
        <v>3</v>
      </c>
      <c r="J251">
        <v>7</v>
      </c>
      <c r="K251">
        <v>7</v>
      </c>
      <c r="L251">
        <v>0</v>
      </c>
      <c r="M251">
        <v>6</v>
      </c>
      <c r="N251">
        <v>6</v>
      </c>
      <c r="O251">
        <v>0</v>
      </c>
      <c r="P251">
        <v>8</v>
      </c>
      <c r="Q251">
        <v>5</v>
      </c>
      <c r="R251">
        <v>3</v>
      </c>
      <c r="S251">
        <v>9</v>
      </c>
      <c r="T251">
        <v>6</v>
      </c>
      <c r="U251">
        <v>3</v>
      </c>
      <c r="V251">
        <v>8</v>
      </c>
      <c r="W251">
        <v>6</v>
      </c>
      <c r="X251">
        <v>2</v>
      </c>
      <c r="Y251">
        <v>9</v>
      </c>
      <c r="Z251">
        <v>6</v>
      </c>
      <c r="AA251">
        <v>3</v>
      </c>
      <c r="AB251">
        <v>8</v>
      </c>
      <c r="AC251">
        <v>6</v>
      </c>
      <c r="AD251">
        <v>2</v>
      </c>
      <c r="AE251">
        <v>9</v>
      </c>
      <c r="AF251">
        <v>6</v>
      </c>
      <c r="AG251">
        <v>3</v>
      </c>
      <c r="AH251">
        <v>9</v>
      </c>
      <c r="AI251">
        <v>7</v>
      </c>
      <c r="AJ251">
        <v>2</v>
      </c>
      <c r="AK251" t="s">
        <v>2495</v>
      </c>
      <c r="AL251" t="s">
        <v>2496</v>
      </c>
      <c r="AM251" t="s">
        <v>2497</v>
      </c>
      <c r="AN251" t="s">
        <v>2498</v>
      </c>
      <c r="AO251" t="s">
        <v>2499</v>
      </c>
      <c r="AP251" t="s">
        <v>2500</v>
      </c>
      <c r="AQ251" t="s">
        <v>2501</v>
      </c>
      <c r="AR251" t="s">
        <v>2502</v>
      </c>
      <c r="AS251" t="s">
        <v>2503</v>
      </c>
    </row>
    <row r="252" spans="1:45" x14ac:dyDescent="0.45">
      <c r="A252">
        <v>251</v>
      </c>
      <c r="B252">
        <v>251</v>
      </c>
      <c r="C252" t="s">
        <v>72</v>
      </c>
      <c r="D252" t="s">
        <v>73</v>
      </c>
      <c r="E252" t="s">
        <v>74</v>
      </c>
      <c r="F252" t="s">
        <v>77</v>
      </c>
      <c r="G252" t="s">
        <v>76</v>
      </c>
      <c r="H252">
        <v>40.265534018039197</v>
      </c>
      <c r="I252">
        <v>4</v>
      </c>
      <c r="J252">
        <v>7</v>
      </c>
      <c r="K252">
        <v>8</v>
      </c>
      <c r="L252">
        <v>-1</v>
      </c>
      <c r="M252">
        <v>6</v>
      </c>
      <c r="N252">
        <v>8</v>
      </c>
      <c r="O252">
        <v>-2</v>
      </c>
      <c r="P252">
        <v>9</v>
      </c>
      <c r="Q252">
        <v>8</v>
      </c>
      <c r="R252">
        <v>1</v>
      </c>
      <c r="S252">
        <v>8</v>
      </c>
      <c r="T252">
        <v>9</v>
      </c>
      <c r="U252">
        <v>-1</v>
      </c>
      <c r="V252">
        <v>9</v>
      </c>
      <c r="W252">
        <v>8</v>
      </c>
      <c r="X252">
        <v>1</v>
      </c>
      <c r="Y252">
        <v>8</v>
      </c>
      <c r="Z252">
        <v>10</v>
      </c>
      <c r="AA252">
        <v>-2</v>
      </c>
      <c r="AB252">
        <v>9</v>
      </c>
      <c r="AC252">
        <v>7</v>
      </c>
      <c r="AD252">
        <v>2</v>
      </c>
      <c r="AE252">
        <v>7</v>
      </c>
      <c r="AF252">
        <v>7</v>
      </c>
      <c r="AG252">
        <v>0</v>
      </c>
      <c r="AH252">
        <v>9</v>
      </c>
      <c r="AI252">
        <v>10</v>
      </c>
      <c r="AJ252">
        <v>-1</v>
      </c>
      <c r="AK252" t="s">
        <v>2504</v>
      </c>
      <c r="AL252" t="s">
        <v>2505</v>
      </c>
      <c r="AM252" t="s">
        <v>2506</v>
      </c>
      <c r="AN252" t="s">
        <v>2507</v>
      </c>
      <c r="AO252" t="s">
        <v>2508</v>
      </c>
      <c r="AP252" t="s">
        <v>2509</v>
      </c>
      <c r="AQ252" t="s">
        <v>2510</v>
      </c>
      <c r="AR252" t="s">
        <v>2511</v>
      </c>
      <c r="AS252" t="s">
        <v>2512</v>
      </c>
    </row>
    <row r="253" spans="1:45" x14ac:dyDescent="0.45">
      <c r="A253">
        <v>252</v>
      </c>
      <c r="B253">
        <v>252</v>
      </c>
      <c r="C253" t="s">
        <v>72</v>
      </c>
      <c r="D253" t="s">
        <v>191</v>
      </c>
      <c r="E253" t="s">
        <v>74</v>
      </c>
      <c r="F253" t="s">
        <v>77</v>
      </c>
      <c r="G253" t="s">
        <v>76</v>
      </c>
      <c r="H253">
        <v>59.815604243370466</v>
      </c>
      <c r="I253">
        <v>3</v>
      </c>
      <c r="J253">
        <v>6</v>
      </c>
      <c r="K253">
        <v>6</v>
      </c>
      <c r="L253">
        <v>0</v>
      </c>
      <c r="M253">
        <v>7</v>
      </c>
      <c r="N253">
        <v>6</v>
      </c>
      <c r="O253">
        <v>1</v>
      </c>
      <c r="P253">
        <v>8</v>
      </c>
      <c r="Q253">
        <v>1</v>
      </c>
      <c r="R253">
        <v>7</v>
      </c>
      <c r="S253">
        <v>9</v>
      </c>
      <c r="T253">
        <v>6</v>
      </c>
      <c r="U253">
        <v>3</v>
      </c>
      <c r="V253">
        <v>7</v>
      </c>
      <c r="W253">
        <v>5</v>
      </c>
      <c r="X253">
        <v>2</v>
      </c>
      <c r="Y253">
        <v>8</v>
      </c>
      <c r="Z253">
        <v>6</v>
      </c>
      <c r="AA253">
        <v>2</v>
      </c>
      <c r="AB253">
        <v>7</v>
      </c>
      <c r="AC253">
        <v>6</v>
      </c>
      <c r="AD253">
        <v>1</v>
      </c>
      <c r="AE253">
        <v>8</v>
      </c>
      <c r="AF253">
        <v>6</v>
      </c>
      <c r="AG253">
        <v>2</v>
      </c>
      <c r="AH253">
        <v>9</v>
      </c>
      <c r="AI253">
        <v>6</v>
      </c>
      <c r="AJ253">
        <v>3</v>
      </c>
      <c r="AK253" t="s">
        <v>2513</v>
      </c>
      <c r="AL253" t="s">
        <v>2514</v>
      </c>
      <c r="AM253" t="s">
        <v>2515</v>
      </c>
      <c r="AN253" t="s">
        <v>2516</v>
      </c>
      <c r="AO253" t="s">
        <v>2517</v>
      </c>
      <c r="AP253" t="s">
        <v>2518</v>
      </c>
      <c r="AQ253" t="s">
        <v>2519</v>
      </c>
      <c r="AR253" t="s">
        <v>2520</v>
      </c>
      <c r="AS253" t="s">
        <v>2521</v>
      </c>
    </row>
    <row r="254" spans="1:45" x14ac:dyDescent="0.45">
      <c r="A254">
        <v>253</v>
      </c>
      <c r="B254">
        <v>253</v>
      </c>
      <c r="C254" t="s">
        <v>78</v>
      </c>
      <c r="D254" t="s">
        <v>79</v>
      </c>
      <c r="E254" t="s">
        <v>74</v>
      </c>
      <c r="F254" t="s">
        <v>75</v>
      </c>
      <c r="G254" t="s">
        <v>76</v>
      </c>
      <c r="H254">
        <v>77.907329175891746</v>
      </c>
      <c r="I254">
        <v>4</v>
      </c>
      <c r="J254">
        <v>7</v>
      </c>
      <c r="K254">
        <v>8</v>
      </c>
      <c r="L254">
        <v>-1</v>
      </c>
      <c r="M254">
        <v>6</v>
      </c>
      <c r="N254">
        <v>8</v>
      </c>
      <c r="O254">
        <v>-2</v>
      </c>
      <c r="P254">
        <v>9</v>
      </c>
      <c r="Q254">
        <v>3</v>
      </c>
      <c r="R254">
        <v>6</v>
      </c>
      <c r="S254">
        <v>8</v>
      </c>
      <c r="T254">
        <v>9</v>
      </c>
      <c r="U254">
        <v>-1</v>
      </c>
      <c r="V254">
        <v>9</v>
      </c>
      <c r="W254">
        <v>8</v>
      </c>
      <c r="X254">
        <v>1</v>
      </c>
      <c r="Y254">
        <v>8</v>
      </c>
      <c r="Z254">
        <v>8</v>
      </c>
      <c r="AA254">
        <v>0</v>
      </c>
      <c r="AB254">
        <v>7</v>
      </c>
      <c r="AC254">
        <v>8</v>
      </c>
      <c r="AD254">
        <v>-1</v>
      </c>
      <c r="AE254">
        <v>8</v>
      </c>
      <c r="AF254">
        <v>8</v>
      </c>
      <c r="AG254">
        <v>0</v>
      </c>
      <c r="AH254">
        <v>9</v>
      </c>
      <c r="AI254">
        <v>8</v>
      </c>
      <c r="AJ254">
        <v>1</v>
      </c>
      <c r="AK254" t="s">
        <v>2522</v>
      </c>
      <c r="AL254" t="s">
        <v>2523</v>
      </c>
      <c r="AM254" t="s">
        <v>2524</v>
      </c>
      <c r="AN254" t="s">
        <v>2525</v>
      </c>
      <c r="AO254" t="s">
        <v>2526</v>
      </c>
      <c r="AP254" t="s">
        <v>2527</v>
      </c>
      <c r="AQ254" t="s">
        <v>2528</v>
      </c>
      <c r="AR254" t="s">
        <v>2529</v>
      </c>
      <c r="AS254" t="s">
        <v>2530</v>
      </c>
    </row>
    <row r="255" spans="1:45" x14ac:dyDescent="0.45">
      <c r="A255">
        <v>254</v>
      </c>
      <c r="B255">
        <v>254</v>
      </c>
      <c r="C255" t="s">
        <v>78</v>
      </c>
      <c r="D255" t="s">
        <v>79</v>
      </c>
      <c r="E255" t="s">
        <v>74</v>
      </c>
      <c r="F255" t="s">
        <v>75</v>
      </c>
      <c r="G255" t="s">
        <v>76</v>
      </c>
      <c r="H255">
        <v>83.778642121472771</v>
      </c>
      <c r="I255">
        <v>1</v>
      </c>
      <c r="J255">
        <v>9</v>
      </c>
      <c r="K255">
        <v>4</v>
      </c>
      <c r="L255">
        <v>5</v>
      </c>
      <c r="M255">
        <v>9</v>
      </c>
      <c r="N255">
        <v>3</v>
      </c>
      <c r="O255">
        <v>6</v>
      </c>
      <c r="P255">
        <v>8</v>
      </c>
      <c r="Q255">
        <v>1</v>
      </c>
      <c r="R255">
        <v>7</v>
      </c>
      <c r="S255">
        <v>8</v>
      </c>
      <c r="T255">
        <v>7</v>
      </c>
      <c r="U255">
        <v>1</v>
      </c>
      <c r="V255">
        <v>9</v>
      </c>
      <c r="W255">
        <v>3</v>
      </c>
      <c r="X255">
        <v>6</v>
      </c>
      <c r="Y255">
        <v>9</v>
      </c>
      <c r="Z255">
        <v>6</v>
      </c>
      <c r="AA255">
        <v>3</v>
      </c>
      <c r="AB255">
        <v>9</v>
      </c>
      <c r="AC255">
        <v>5</v>
      </c>
      <c r="AD255">
        <v>4</v>
      </c>
      <c r="AE255">
        <v>8</v>
      </c>
      <c r="AF255">
        <v>6</v>
      </c>
      <c r="AG255">
        <v>2</v>
      </c>
      <c r="AH255">
        <v>9</v>
      </c>
      <c r="AI255">
        <v>6</v>
      </c>
      <c r="AJ255">
        <v>3</v>
      </c>
      <c r="AK255" t="s">
        <v>2531</v>
      </c>
      <c r="AL255" t="s">
        <v>2532</v>
      </c>
      <c r="AM255" t="s">
        <v>2533</v>
      </c>
      <c r="AN255" t="s">
        <v>2534</v>
      </c>
      <c r="AO255" t="s">
        <v>2535</v>
      </c>
      <c r="AP255" t="s">
        <v>2536</v>
      </c>
      <c r="AQ255" t="s">
        <v>2537</v>
      </c>
      <c r="AR255" t="s">
        <v>2538</v>
      </c>
      <c r="AS255" t="s">
        <v>2539</v>
      </c>
    </row>
    <row r="256" spans="1:45" x14ac:dyDescent="0.45">
      <c r="A256">
        <v>255</v>
      </c>
      <c r="B256">
        <v>255</v>
      </c>
      <c r="C256" t="s">
        <v>72</v>
      </c>
      <c r="D256" t="s">
        <v>73</v>
      </c>
      <c r="E256" t="s">
        <v>74</v>
      </c>
      <c r="F256" t="s">
        <v>75</v>
      </c>
      <c r="G256" t="s">
        <v>76</v>
      </c>
      <c r="H256">
        <v>64.979775667352939</v>
      </c>
      <c r="I256">
        <v>1</v>
      </c>
      <c r="J256">
        <v>7</v>
      </c>
      <c r="K256">
        <v>6</v>
      </c>
      <c r="L256">
        <v>1</v>
      </c>
      <c r="M256">
        <v>8</v>
      </c>
      <c r="N256">
        <v>6</v>
      </c>
      <c r="O256">
        <v>2</v>
      </c>
      <c r="P256">
        <v>9</v>
      </c>
      <c r="Q256">
        <v>1</v>
      </c>
      <c r="R256">
        <v>8</v>
      </c>
      <c r="S256">
        <v>10</v>
      </c>
      <c r="T256">
        <v>7</v>
      </c>
      <c r="U256">
        <v>3</v>
      </c>
      <c r="V256">
        <v>9</v>
      </c>
      <c r="W256">
        <v>5</v>
      </c>
      <c r="X256">
        <v>4</v>
      </c>
      <c r="Y256">
        <v>8</v>
      </c>
      <c r="Z256">
        <v>6</v>
      </c>
      <c r="AA256">
        <v>2</v>
      </c>
      <c r="AB256">
        <v>9</v>
      </c>
      <c r="AC256">
        <v>6</v>
      </c>
      <c r="AD256">
        <v>3</v>
      </c>
      <c r="AE256">
        <v>7</v>
      </c>
      <c r="AF256">
        <v>6</v>
      </c>
      <c r="AG256">
        <v>1</v>
      </c>
      <c r="AH256">
        <v>9</v>
      </c>
      <c r="AI256">
        <v>6</v>
      </c>
      <c r="AJ256">
        <v>3</v>
      </c>
      <c r="AK256" t="s">
        <v>230</v>
      </c>
      <c r="AL256" t="s">
        <v>2540</v>
      </c>
      <c r="AM256" t="s">
        <v>2541</v>
      </c>
      <c r="AN256" t="s">
        <v>2542</v>
      </c>
      <c r="AO256" t="s">
        <v>2543</v>
      </c>
      <c r="AP256" t="s">
        <v>2544</v>
      </c>
      <c r="AQ256" t="s">
        <v>2545</v>
      </c>
      <c r="AR256" t="s">
        <v>2546</v>
      </c>
      <c r="AS256" t="s">
        <v>2547</v>
      </c>
    </row>
    <row r="257" spans="1:45" x14ac:dyDescent="0.45">
      <c r="A257">
        <v>256</v>
      </c>
      <c r="B257">
        <v>256</v>
      </c>
      <c r="C257" t="s">
        <v>72</v>
      </c>
      <c r="D257" t="s">
        <v>191</v>
      </c>
      <c r="E257" t="s">
        <v>74</v>
      </c>
      <c r="F257" t="s">
        <v>77</v>
      </c>
      <c r="G257" t="s">
        <v>76</v>
      </c>
      <c r="H257">
        <v>207.96539685166721</v>
      </c>
      <c r="I257">
        <v>4</v>
      </c>
      <c r="J257">
        <v>7</v>
      </c>
      <c r="K257">
        <v>8</v>
      </c>
      <c r="L257">
        <v>-1</v>
      </c>
      <c r="M257">
        <v>6</v>
      </c>
      <c r="N257">
        <v>8</v>
      </c>
      <c r="O257">
        <v>-2</v>
      </c>
      <c r="P257">
        <v>5</v>
      </c>
      <c r="Q257">
        <v>5</v>
      </c>
      <c r="R257">
        <v>0</v>
      </c>
      <c r="S257">
        <v>7</v>
      </c>
      <c r="T257">
        <v>8</v>
      </c>
      <c r="U257">
        <v>-1</v>
      </c>
      <c r="V257">
        <v>6</v>
      </c>
      <c r="W257">
        <v>8</v>
      </c>
      <c r="X257">
        <v>-2</v>
      </c>
      <c r="Y257">
        <v>5</v>
      </c>
      <c r="Z257">
        <v>7</v>
      </c>
      <c r="AA257">
        <v>-2</v>
      </c>
      <c r="AB257">
        <v>6</v>
      </c>
      <c r="AC257">
        <v>7</v>
      </c>
      <c r="AD257">
        <v>-1</v>
      </c>
      <c r="AE257">
        <v>5</v>
      </c>
      <c r="AF257">
        <v>7</v>
      </c>
      <c r="AG257">
        <v>-2</v>
      </c>
      <c r="AH257">
        <v>7</v>
      </c>
      <c r="AI257">
        <v>7</v>
      </c>
      <c r="AJ257">
        <v>0</v>
      </c>
      <c r="AK257" t="s">
        <v>2548</v>
      </c>
      <c r="AL257" t="s">
        <v>2549</v>
      </c>
      <c r="AM257" t="s">
        <v>2550</v>
      </c>
      <c r="AN257" t="s">
        <v>2551</v>
      </c>
      <c r="AO257" t="s">
        <v>2552</v>
      </c>
      <c r="AP257" t="s">
        <v>2553</v>
      </c>
      <c r="AQ257" t="s">
        <v>2554</v>
      </c>
      <c r="AR257" t="s">
        <v>2555</v>
      </c>
      <c r="AS257" t="s">
        <v>2556</v>
      </c>
    </row>
    <row r="258" spans="1:45" x14ac:dyDescent="0.45">
      <c r="A258">
        <v>257</v>
      </c>
      <c r="B258">
        <v>257</v>
      </c>
      <c r="C258" t="s">
        <v>72</v>
      </c>
      <c r="D258" t="s">
        <v>81</v>
      </c>
      <c r="E258" t="s">
        <v>74</v>
      </c>
      <c r="F258" t="s">
        <v>77</v>
      </c>
      <c r="G258" t="s">
        <v>76</v>
      </c>
      <c r="H258">
        <v>43.203266373214916</v>
      </c>
      <c r="I258">
        <v>1</v>
      </c>
      <c r="J258">
        <v>7</v>
      </c>
      <c r="K258">
        <v>7</v>
      </c>
      <c r="L258">
        <v>0</v>
      </c>
      <c r="M258">
        <v>6</v>
      </c>
      <c r="N258">
        <v>8</v>
      </c>
      <c r="O258">
        <v>-2</v>
      </c>
      <c r="P258">
        <v>8</v>
      </c>
      <c r="Q258">
        <v>4</v>
      </c>
      <c r="R258">
        <v>4</v>
      </c>
      <c r="S258">
        <v>9</v>
      </c>
      <c r="T258">
        <v>8</v>
      </c>
      <c r="U258">
        <v>1</v>
      </c>
      <c r="V258">
        <v>7</v>
      </c>
      <c r="W258">
        <v>5</v>
      </c>
      <c r="X258">
        <v>2</v>
      </c>
      <c r="Y258">
        <v>8</v>
      </c>
      <c r="Z258">
        <v>7</v>
      </c>
      <c r="AA258">
        <v>1</v>
      </c>
      <c r="AB258">
        <v>7</v>
      </c>
      <c r="AC258">
        <v>5</v>
      </c>
      <c r="AD258">
        <v>2</v>
      </c>
      <c r="AE258">
        <v>6</v>
      </c>
      <c r="AF258">
        <v>6</v>
      </c>
      <c r="AG258">
        <v>0</v>
      </c>
      <c r="AH258">
        <v>9</v>
      </c>
      <c r="AI258">
        <v>6</v>
      </c>
      <c r="AJ258">
        <v>3</v>
      </c>
      <c r="AK258" t="s">
        <v>2557</v>
      </c>
      <c r="AL258" t="s">
        <v>2558</v>
      </c>
      <c r="AM258" t="s">
        <v>2559</v>
      </c>
      <c r="AN258" t="s">
        <v>2560</v>
      </c>
      <c r="AO258" t="s">
        <v>2561</v>
      </c>
      <c r="AP258" t="s">
        <v>2562</v>
      </c>
      <c r="AQ258" t="s">
        <v>2563</v>
      </c>
      <c r="AR258" t="s">
        <v>2564</v>
      </c>
      <c r="AS258" t="s">
        <v>2565</v>
      </c>
    </row>
    <row r="259" spans="1:45" x14ac:dyDescent="0.45">
      <c r="A259">
        <v>258</v>
      </c>
      <c r="B259">
        <v>258</v>
      </c>
      <c r="C259" t="s">
        <v>78</v>
      </c>
      <c r="D259" t="s">
        <v>79</v>
      </c>
      <c r="E259" t="s">
        <v>74</v>
      </c>
      <c r="F259" t="s">
        <v>77</v>
      </c>
      <c r="G259" t="s">
        <v>76</v>
      </c>
      <c r="H259">
        <v>55.376590294432937</v>
      </c>
      <c r="I259">
        <v>2</v>
      </c>
      <c r="J259">
        <v>8</v>
      </c>
      <c r="K259">
        <v>6</v>
      </c>
      <c r="L259">
        <v>2</v>
      </c>
      <c r="M259">
        <v>9</v>
      </c>
      <c r="N259">
        <v>7</v>
      </c>
      <c r="O259">
        <v>2</v>
      </c>
      <c r="P259">
        <v>8</v>
      </c>
      <c r="Q259">
        <v>2</v>
      </c>
      <c r="R259">
        <v>6</v>
      </c>
      <c r="S259">
        <v>9</v>
      </c>
      <c r="T259">
        <v>7</v>
      </c>
      <c r="U259">
        <v>2</v>
      </c>
      <c r="V259">
        <v>8</v>
      </c>
      <c r="W259">
        <v>5</v>
      </c>
      <c r="X259">
        <v>3</v>
      </c>
      <c r="Y259">
        <v>9</v>
      </c>
      <c r="Z259">
        <v>5</v>
      </c>
      <c r="AA259">
        <v>4</v>
      </c>
      <c r="AB259">
        <v>8</v>
      </c>
      <c r="AC259">
        <v>5</v>
      </c>
      <c r="AD259">
        <v>3</v>
      </c>
      <c r="AE259">
        <v>9</v>
      </c>
      <c r="AF259">
        <v>6</v>
      </c>
      <c r="AG259">
        <v>3</v>
      </c>
      <c r="AH259">
        <v>8</v>
      </c>
      <c r="AI259">
        <v>5</v>
      </c>
      <c r="AJ259">
        <v>3</v>
      </c>
      <c r="AK259" t="s">
        <v>2566</v>
      </c>
      <c r="AL259" t="s">
        <v>2567</v>
      </c>
      <c r="AM259" t="s">
        <v>2568</v>
      </c>
      <c r="AN259" t="s">
        <v>2569</v>
      </c>
      <c r="AO259" t="s">
        <v>2570</v>
      </c>
      <c r="AP259" t="s">
        <v>2571</v>
      </c>
      <c r="AQ259" t="s">
        <v>2572</v>
      </c>
      <c r="AR259" t="s">
        <v>2573</v>
      </c>
      <c r="AS259" t="s">
        <v>2574</v>
      </c>
    </row>
    <row r="260" spans="1:45" x14ac:dyDescent="0.45">
      <c r="A260">
        <v>259</v>
      </c>
      <c r="B260">
        <v>259</v>
      </c>
      <c r="C260" t="s">
        <v>78</v>
      </c>
      <c r="D260" t="s">
        <v>191</v>
      </c>
      <c r="E260" t="s">
        <v>74</v>
      </c>
      <c r="F260" t="s">
        <v>75</v>
      </c>
      <c r="G260" t="s">
        <v>76</v>
      </c>
      <c r="H260">
        <v>190.76012117741774</v>
      </c>
      <c r="I260">
        <v>4</v>
      </c>
      <c r="J260">
        <v>7</v>
      </c>
      <c r="K260">
        <v>2</v>
      </c>
      <c r="L260">
        <v>5</v>
      </c>
      <c r="M260">
        <v>8</v>
      </c>
      <c r="N260">
        <v>1</v>
      </c>
      <c r="O260">
        <v>7</v>
      </c>
      <c r="P260">
        <v>9</v>
      </c>
      <c r="Q260">
        <v>1</v>
      </c>
      <c r="R260">
        <v>8</v>
      </c>
      <c r="S260">
        <v>8</v>
      </c>
      <c r="T260">
        <v>6</v>
      </c>
      <c r="U260">
        <v>2</v>
      </c>
      <c r="V260">
        <v>9</v>
      </c>
      <c r="W260">
        <v>2</v>
      </c>
      <c r="X260">
        <v>7</v>
      </c>
      <c r="Y260">
        <v>8</v>
      </c>
      <c r="Z260">
        <v>3</v>
      </c>
      <c r="AA260">
        <v>5</v>
      </c>
      <c r="AB260">
        <v>9</v>
      </c>
      <c r="AC260">
        <v>1</v>
      </c>
      <c r="AD260">
        <v>8</v>
      </c>
      <c r="AE260">
        <v>8</v>
      </c>
      <c r="AF260">
        <v>5</v>
      </c>
      <c r="AG260">
        <v>3</v>
      </c>
      <c r="AH260">
        <v>9</v>
      </c>
      <c r="AI260">
        <v>4</v>
      </c>
      <c r="AJ260">
        <v>5</v>
      </c>
      <c r="AK260" t="s">
        <v>2575</v>
      </c>
      <c r="AL260" t="s">
        <v>2576</v>
      </c>
      <c r="AM260" t="s">
        <v>2577</v>
      </c>
      <c r="AN260" t="s">
        <v>2578</v>
      </c>
      <c r="AO260" t="s">
        <v>2579</v>
      </c>
      <c r="AP260" t="s">
        <v>2580</v>
      </c>
      <c r="AQ260" t="s">
        <v>2581</v>
      </c>
      <c r="AR260" t="s">
        <v>2582</v>
      </c>
      <c r="AS260" t="s">
        <v>2583</v>
      </c>
    </row>
    <row r="261" spans="1:45" x14ac:dyDescent="0.45">
      <c r="A261">
        <v>260</v>
      </c>
      <c r="B261">
        <v>260</v>
      </c>
      <c r="C261" t="s">
        <v>72</v>
      </c>
      <c r="D261" t="s">
        <v>73</v>
      </c>
      <c r="E261" t="s">
        <v>80</v>
      </c>
      <c r="F261" t="s">
        <v>77</v>
      </c>
      <c r="G261" t="s">
        <v>76</v>
      </c>
      <c r="H261">
        <v>45.973154475493331</v>
      </c>
      <c r="I261">
        <v>2</v>
      </c>
      <c r="J261">
        <v>5</v>
      </c>
      <c r="K261">
        <v>6</v>
      </c>
      <c r="L261">
        <v>-1</v>
      </c>
      <c r="M261">
        <v>5</v>
      </c>
      <c r="N261">
        <v>6</v>
      </c>
      <c r="O261">
        <v>-1</v>
      </c>
      <c r="P261">
        <v>8</v>
      </c>
      <c r="Q261">
        <v>7</v>
      </c>
      <c r="R261">
        <v>1</v>
      </c>
      <c r="S261">
        <v>7</v>
      </c>
      <c r="T261">
        <v>6</v>
      </c>
      <c r="U261">
        <v>1</v>
      </c>
      <c r="V261">
        <v>9</v>
      </c>
      <c r="W261">
        <v>5</v>
      </c>
      <c r="X261">
        <v>4</v>
      </c>
      <c r="Y261">
        <v>8</v>
      </c>
      <c r="Z261">
        <v>6</v>
      </c>
      <c r="AA261">
        <v>2</v>
      </c>
      <c r="AB261">
        <v>9</v>
      </c>
      <c r="AC261">
        <v>5</v>
      </c>
      <c r="AD261">
        <v>4</v>
      </c>
      <c r="AE261">
        <v>7</v>
      </c>
      <c r="AF261">
        <v>6</v>
      </c>
      <c r="AG261">
        <v>1</v>
      </c>
      <c r="AH261">
        <v>9</v>
      </c>
      <c r="AI261">
        <v>6</v>
      </c>
      <c r="AJ261">
        <v>3</v>
      </c>
      <c r="AK261" t="s">
        <v>2584</v>
      </c>
      <c r="AL261" t="s">
        <v>2585</v>
      </c>
      <c r="AM261" t="s">
        <v>2586</v>
      </c>
      <c r="AN261" t="s">
        <v>2587</v>
      </c>
      <c r="AO261" t="s">
        <v>2588</v>
      </c>
      <c r="AP261" t="s">
        <v>2589</v>
      </c>
      <c r="AQ261" t="s">
        <v>2590</v>
      </c>
      <c r="AR261" t="s">
        <v>2591</v>
      </c>
      <c r="AS261" t="s">
        <v>2592</v>
      </c>
    </row>
    <row r="262" spans="1:45" x14ac:dyDescent="0.45">
      <c r="A262">
        <v>261</v>
      </c>
      <c r="B262">
        <v>261</v>
      </c>
      <c r="C262" t="s">
        <v>78</v>
      </c>
      <c r="D262" t="s">
        <v>73</v>
      </c>
      <c r="E262" t="s">
        <v>74</v>
      </c>
      <c r="F262" t="s">
        <v>77</v>
      </c>
      <c r="G262" t="s">
        <v>76</v>
      </c>
      <c r="H262">
        <v>37.152700796536251</v>
      </c>
      <c r="I262">
        <v>1</v>
      </c>
      <c r="J262">
        <v>4</v>
      </c>
      <c r="K262">
        <v>6</v>
      </c>
      <c r="L262">
        <v>-2</v>
      </c>
      <c r="M262">
        <v>5</v>
      </c>
      <c r="N262">
        <v>7</v>
      </c>
      <c r="O262">
        <v>-2</v>
      </c>
      <c r="P262">
        <v>7</v>
      </c>
      <c r="Q262">
        <v>1</v>
      </c>
      <c r="R262">
        <v>6</v>
      </c>
      <c r="S262">
        <v>9</v>
      </c>
      <c r="T262">
        <v>9</v>
      </c>
      <c r="U262">
        <v>0</v>
      </c>
      <c r="V262">
        <v>6</v>
      </c>
      <c r="W262">
        <v>5</v>
      </c>
      <c r="X262">
        <v>1</v>
      </c>
      <c r="Y262">
        <v>8</v>
      </c>
      <c r="Z262">
        <v>4</v>
      </c>
      <c r="AA262">
        <v>4</v>
      </c>
      <c r="AB262">
        <v>7</v>
      </c>
      <c r="AC262">
        <v>4</v>
      </c>
      <c r="AD262">
        <v>3</v>
      </c>
      <c r="AE262">
        <v>6</v>
      </c>
      <c r="AF262">
        <v>5</v>
      </c>
      <c r="AG262">
        <v>1</v>
      </c>
      <c r="AH262">
        <v>8</v>
      </c>
      <c r="AI262">
        <v>5</v>
      </c>
      <c r="AJ262">
        <v>3</v>
      </c>
      <c r="AK262" t="s">
        <v>2593</v>
      </c>
      <c r="AL262" t="s">
        <v>2594</v>
      </c>
      <c r="AM262" t="s">
        <v>2595</v>
      </c>
      <c r="AN262" t="s">
        <v>2596</v>
      </c>
      <c r="AO262" t="s">
        <v>2597</v>
      </c>
      <c r="AP262" t="s">
        <v>2598</v>
      </c>
      <c r="AQ262" t="s">
        <v>2599</v>
      </c>
      <c r="AR262" t="s">
        <v>2600</v>
      </c>
      <c r="AS262" t="s">
        <v>2601</v>
      </c>
    </row>
    <row r="263" spans="1:45" x14ac:dyDescent="0.45">
      <c r="A263">
        <v>262</v>
      </c>
      <c r="B263">
        <v>262</v>
      </c>
      <c r="C263" t="s">
        <v>78</v>
      </c>
      <c r="D263" t="s">
        <v>73</v>
      </c>
      <c r="E263" t="s">
        <v>74</v>
      </c>
      <c r="F263" t="s">
        <v>77</v>
      </c>
      <c r="G263" t="s">
        <v>76</v>
      </c>
      <c r="H263">
        <v>65.651705954147928</v>
      </c>
      <c r="I263">
        <v>4</v>
      </c>
      <c r="J263">
        <v>7</v>
      </c>
      <c r="K263">
        <v>9</v>
      </c>
      <c r="L263">
        <v>-2</v>
      </c>
      <c r="M263">
        <v>6</v>
      </c>
      <c r="N263">
        <v>9</v>
      </c>
      <c r="O263">
        <v>-3</v>
      </c>
      <c r="P263">
        <v>5</v>
      </c>
      <c r="Q263">
        <v>8</v>
      </c>
      <c r="R263">
        <v>-3</v>
      </c>
      <c r="S263">
        <v>7</v>
      </c>
      <c r="T263">
        <v>9</v>
      </c>
      <c r="U263">
        <v>-2</v>
      </c>
      <c r="V263">
        <v>6</v>
      </c>
      <c r="W263">
        <v>8</v>
      </c>
      <c r="X263">
        <v>-2</v>
      </c>
      <c r="Y263">
        <v>7</v>
      </c>
      <c r="Z263">
        <v>9</v>
      </c>
      <c r="AA263">
        <v>-2</v>
      </c>
      <c r="AB263">
        <v>6</v>
      </c>
      <c r="AC263">
        <v>9</v>
      </c>
      <c r="AD263">
        <v>-3</v>
      </c>
      <c r="AE263">
        <v>7</v>
      </c>
      <c r="AF263">
        <v>8</v>
      </c>
      <c r="AG263">
        <v>-1</v>
      </c>
      <c r="AH263">
        <v>8</v>
      </c>
      <c r="AI263">
        <v>8</v>
      </c>
      <c r="AJ263">
        <v>0</v>
      </c>
      <c r="AK263" t="s">
        <v>2602</v>
      </c>
      <c r="AL263" t="s">
        <v>2603</v>
      </c>
      <c r="AM263" t="s">
        <v>2604</v>
      </c>
      <c r="AN263" t="s">
        <v>2605</v>
      </c>
      <c r="AO263" t="s">
        <v>2606</v>
      </c>
      <c r="AP263" t="s">
        <v>2607</v>
      </c>
      <c r="AQ263" t="s">
        <v>2608</v>
      </c>
      <c r="AR263" t="s">
        <v>2609</v>
      </c>
      <c r="AS263" t="s">
        <v>2610</v>
      </c>
    </row>
    <row r="264" spans="1:45" x14ac:dyDescent="0.45">
      <c r="A264">
        <v>263</v>
      </c>
      <c r="B264">
        <v>263</v>
      </c>
      <c r="C264" t="s">
        <v>78</v>
      </c>
      <c r="D264" t="s">
        <v>73</v>
      </c>
      <c r="E264" t="s">
        <v>74</v>
      </c>
      <c r="F264" t="s">
        <v>75</v>
      </c>
      <c r="G264" t="s">
        <v>76</v>
      </c>
      <c r="H264">
        <v>80.455584186141479</v>
      </c>
      <c r="I264">
        <v>3</v>
      </c>
      <c r="J264">
        <v>8</v>
      </c>
      <c r="K264">
        <v>8</v>
      </c>
      <c r="L264">
        <v>0</v>
      </c>
      <c r="M264">
        <v>9</v>
      </c>
      <c r="N264">
        <v>8</v>
      </c>
      <c r="O264">
        <v>1</v>
      </c>
      <c r="P264">
        <v>9</v>
      </c>
      <c r="Q264">
        <v>5</v>
      </c>
      <c r="R264">
        <v>4</v>
      </c>
      <c r="S264">
        <v>9</v>
      </c>
      <c r="T264">
        <v>7</v>
      </c>
      <c r="U264">
        <v>2</v>
      </c>
      <c r="V264">
        <v>8</v>
      </c>
      <c r="W264">
        <v>7</v>
      </c>
      <c r="X264">
        <v>1</v>
      </c>
      <c r="Y264">
        <v>9</v>
      </c>
      <c r="Z264">
        <v>5</v>
      </c>
      <c r="AA264">
        <v>4</v>
      </c>
      <c r="AB264">
        <v>7</v>
      </c>
      <c r="AC264">
        <v>5</v>
      </c>
      <c r="AD264">
        <v>2</v>
      </c>
      <c r="AE264">
        <v>8</v>
      </c>
      <c r="AF264">
        <v>6</v>
      </c>
      <c r="AG264">
        <v>2</v>
      </c>
      <c r="AH264">
        <v>9</v>
      </c>
      <c r="AI264">
        <v>6</v>
      </c>
      <c r="AJ264">
        <v>3</v>
      </c>
      <c r="AK264" t="s">
        <v>2611</v>
      </c>
      <c r="AL264" t="s">
        <v>2612</v>
      </c>
      <c r="AM264" t="s">
        <v>2613</v>
      </c>
      <c r="AN264" t="s">
        <v>2614</v>
      </c>
      <c r="AO264" t="s">
        <v>2615</v>
      </c>
      <c r="AP264" t="s">
        <v>2616</v>
      </c>
      <c r="AQ264" t="s">
        <v>2617</v>
      </c>
      <c r="AR264" t="s">
        <v>2618</v>
      </c>
      <c r="AS264" t="s">
        <v>2619</v>
      </c>
    </row>
    <row r="265" spans="1:45" x14ac:dyDescent="0.45">
      <c r="A265">
        <v>264</v>
      </c>
      <c r="B265">
        <v>264</v>
      </c>
      <c r="C265" t="s">
        <v>78</v>
      </c>
      <c r="D265" t="s">
        <v>79</v>
      </c>
      <c r="E265" t="s">
        <v>74</v>
      </c>
      <c r="F265" t="s">
        <v>75</v>
      </c>
      <c r="G265" t="s">
        <v>76</v>
      </c>
      <c r="H265">
        <v>158.11475674745648</v>
      </c>
      <c r="I265">
        <v>3</v>
      </c>
      <c r="J265">
        <v>7</v>
      </c>
      <c r="K265">
        <v>7</v>
      </c>
      <c r="L265">
        <v>0</v>
      </c>
      <c r="M265">
        <v>8</v>
      </c>
      <c r="N265">
        <v>7</v>
      </c>
      <c r="O265">
        <v>1</v>
      </c>
      <c r="P265">
        <v>9</v>
      </c>
      <c r="Q265">
        <v>7</v>
      </c>
      <c r="R265">
        <v>2</v>
      </c>
      <c r="S265">
        <v>9</v>
      </c>
      <c r="T265">
        <v>8</v>
      </c>
      <c r="U265">
        <v>1</v>
      </c>
      <c r="V265">
        <v>8</v>
      </c>
      <c r="W265">
        <v>7</v>
      </c>
      <c r="X265">
        <v>1</v>
      </c>
      <c r="Y265">
        <v>9</v>
      </c>
      <c r="Z265">
        <v>7</v>
      </c>
      <c r="AA265">
        <v>2</v>
      </c>
      <c r="AB265">
        <v>8</v>
      </c>
      <c r="AC265">
        <v>7</v>
      </c>
      <c r="AD265">
        <v>1</v>
      </c>
      <c r="AE265">
        <v>7</v>
      </c>
      <c r="AF265">
        <v>7</v>
      </c>
      <c r="AG265">
        <v>0</v>
      </c>
      <c r="AH265">
        <v>9</v>
      </c>
      <c r="AI265">
        <v>7</v>
      </c>
      <c r="AJ265">
        <v>2</v>
      </c>
      <c r="AK265" t="s">
        <v>2620</v>
      </c>
      <c r="AL265" t="s">
        <v>2621</v>
      </c>
      <c r="AM265" t="s">
        <v>2622</v>
      </c>
      <c r="AN265" t="s">
        <v>2623</v>
      </c>
      <c r="AO265" t="s">
        <v>2624</v>
      </c>
      <c r="AP265" t="s">
        <v>2625</v>
      </c>
      <c r="AQ265" t="s">
        <v>2626</v>
      </c>
      <c r="AR265" t="s">
        <v>2627</v>
      </c>
      <c r="AS265" t="s">
        <v>2628</v>
      </c>
    </row>
    <row r="266" spans="1:45" x14ac:dyDescent="0.45">
      <c r="A266">
        <v>265</v>
      </c>
      <c r="B266">
        <v>265</v>
      </c>
      <c r="C266" t="s">
        <v>72</v>
      </c>
      <c r="D266" t="s">
        <v>73</v>
      </c>
      <c r="E266" t="s">
        <v>74</v>
      </c>
      <c r="F266" t="s">
        <v>77</v>
      </c>
      <c r="G266" t="s">
        <v>76</v>
      </c>
      <c r="H266">
        <v>25.524431595110439</v>
      </c>
      <c r="I266">
        <v>0</v>
      </c>
      <c r="J266">
        <v>8</v>
      </c>
      <c r="K266">
        <v>6</v>
      </c>
      <c r="L266">
        <v>2</v>
      </c>
      <c r="M266">
        <v>8</v>
      </c>
      <c r="N266">
        <v>5</v>
      </c>
      <c r="O266">
        <v>3</v>
      </c>
      <c r="P266">
        <v>9</v>
      </c>
      <c r="Q266">
        <v>5</v>
      </c>
      <c r="R266">
        <v>4</v>
      </c>
      <c r="S266">
        <v>9</v>
      </c>
      <c r="T266">
        <v>7</v>
      </c>
      <c r="U266">
        <v>2</v>
      </c>
      <c r="V266">
        <v>7</v>
      </c>
      <c r="W266">
        <v>6</v>
      </c>
      <c r="X266">
        <v>1</v>
      </c>
      <c r="Y266">
        <v>8</v>
      </c>
      <c r="Z266">
        <v>7</v>
      </c>
      <c r="AA266">
        <v>1</v>
      </c>
      <c r="AB266">
        <v>7</v>
      </c>
      <c r="AC266">
        <v>5</v>
      </c>
      <c r="AD266">
        <v>2</v>
      </c>
      <c r="AE266">
        <v>8</v>
      </c>
      <c r="AF266">
        <v>6</v>
      </c>
      <c r="AG266">
        <v>2</v>
      </c>
      <c r="AH266">
        <v>9</v>
      </c>
      <c r="AI266">
        <v>6</v>
      </c>
      <c r="AJ266">
        <v>3</v>
      </c>
      <c r="AK266" t="s">
        <v>2629</v>
      </c>
      <c r="AL266" t="s">
        <v>2630</v>
      </c>
      <c r="AM266" t="s">
        <v>2631</v>
      </c>
      <c r="AN266" t="s">
        <v>2632</v>
      </c>
      <c r="AO266" t="s">
        <v>2633</v>
      </c>
      <c r="AP266" t="s">
        <v>2634</v>
      </c>
      <c r="AQ266" t="s">
        <v>2635</v>
      </c>
      <c r="AR266" t="s">
        <v>2636</v>
      </c>
      <c r="AS266" t="s">
        <v>2637</v>
      </c>
    </row>
    <row r="267" spans="1:45" x14ac:dyDescent="0.45">
      <c r="A267">
        <v>266</v>
      </c>
      <c r="B267">
        <v>266</v>
      </c>
      <c r="C267" t="s">
        <v>72</v>
      </c>
      <c r="D267" t="s">
        <v>191</v>
      </c>
      <c r="E267" t="s">
        <v>74</v>
      </c>
      <c r="F267" t="s">
        <v>77</v>
      </c>
      <c r="G267" t="s">
        <v>76</v>
      </c>
      <c r="H267">
        <v>52.313587113142795</v>
      </c>
      <c r="I267">
        <v>3</v>
      </c>
      <c r="J267">
        <v>7</v>
      </c>
      <c r="K267">
        <v>7</v>
      </c>
      <c r="L267">
        <v>0</v>
      </c>
      <c r="M267">
        <v>8</v>
      </c>
      <c r="N267">
        <v>6</v>
      </c>
      <c r="O267">
        <v>2</v>
      </c>
      <c r="P267">
        <v>6</v>
      </c>
      <c r="Q267">
        <v>6</v>
      </c>
      <c r="R267">
        <v>0</v>
      </c>
      <c r="S267">
        <v>9</v>
      </c>
      <c r="T267">
        <v>6</v>
      </c>
      <c r="U267">
        <v>3</v>
      </c>
      <c r="V267">
        <v>7</v>
      </c>
      <c r="W267">
        <v>7</v>
      </c>
      <c r="X267">
        <v>0</v>
      </c>
      <c r="Y267">
        <v>9</v>
      </c>
      <c r="Z267">
        <v>7</v>
      </c>
      <c r="AA267">
        <v>2</v>
      </c>
      <c r="AB267">
        <v>8</v>
      </c>
      <c r="AC267">
        <v>7</v>
      </c>
      <c r="AD267">
        <v>1</v>
      </c>
      <c r="AE267">
        <v>7</v>
      </c>
      <c r="AF267">
        <v>7</v>
      </c>
      <c r="AG267">
        <v>0</v>
      </c>
      <c r="AH267">
        <v>9</v>
      </c>
      <c r="AI267">
        <v>7</v>
      </c>
      <c r="AJ267">
        <v>2</v>
      </c>
      <c r="AK267" t="s">
        <v>2638</v>
      </c>
      <c r="AL267" t="s">
        <v>2639</v>
      </c>
      <c r="AM267" t="s">
        <v>2640</v>
      </c>
      <c r="AN267" t="s">
        <v>2641</v>
      </c>
      <c r="AO267" t="s">
        <v>2642</v>
      </c>
      <c r="AP267" t="s">
        <v>2643</v>
      </c>
      <c r="AQ267" t="s">
        <v>2644</v>
      </c>
      <c r="AR267" t="s">
        <v>2645</v>
      </c>
      <c r="AS267" t="s">
        <v>2646</v>
      </c>
    </row>
    <row r="268" spans="1:45" x14ac:dyDescent="0.45">
      <c r="A268">
        <v>267</v>
      </c>
      <c r="B268">
        <v>267</v>
      </c>
      <c r="C268" t="s">
        <v>78</v>
      </c>
      <c r="D268" t="s">
        <v>79</v>
      </c>
      <c r="E268" t="s">
        <v>74</v>
      </c>
      <c r="F268" t="s">
        <v>75</v>
      </c>
      <c r="G268" t="s">
        <v>76</v>
      </c>
      <c r="H268">
        <v>60.141322354788841</v>
      </c>
      <c r="I268">
        <v>2</v>
      </c>
      <c r="J268">
        <v>6</v>
      </c>
      <c r="K268">
        <v>6</v>
      </c>
      <c r="L268">
        <v>0</v>
      </c>
      <c r="M268">
        <v>6</v>
      </c>
      <c r="N268">
        <v>7</v>
      </c>
      <c r="O268">
        <v>-1</v>
      </c>
      <c r="P268">
        <v>9</v>
      </c>
      <c r="Q268">
        <v>7</v>
      </c>
      <c r="R268">
        <v>2</v>
      </c>
      <c r="S268">
        <v>8</v>
      </c>
      <c r="T268">
        <v>6</v>
      </c>
      <c r="U268">
        <v>2</v>
      </c>
      <c r="W268">
        <v>6</v>
      </c>
      <c r="Z268">
        <v>6</v>
      </c>
      <c r="AC268">
        <v>6</v>
      </c>
      <c r="AF268">
        <v>7</v>
      </c>
      <c r="AI268">
        <v>7</v>
      </c>
      <c r="AK268" t="s">
        <v>201</v>
      </c>
      <c r="AL268" t="s">
        <v>201</v>
      </c>
      <c r="AM268" t="s">
        <v>201</v>
      </c>
      <c r="AN268" t="s">
        <v>201</v>
      </c>
      <c r="AO268" t="s">
        <v>201</v>
      </c>
      <c r="AP268" t="s">
        <v>201</v>
      </c>
      <c r="AQ268" t="s">
        <v>201</v>
      </c>
      <c r="AR268" t="s">
        <v>201</v>
      </c>
      <c r="AS268" t="s">
        <v>201</v>
      </c>
    </row>
    <row r="269" spans="1:45" x14ac:dyDescent="0.45">
      <c r="A269">
        <v>268</v>
      </c>
      <c r="B269">
        <v>268</v>
      </c>
      <c r="C269" t="s">
        <v>72</v>
      </c>
      <c r="D269" t="s">
        <v>81</v>
      </c>
      <c r="E269" t="s">
        <v>74</v>
      </c>
      <c r="F269" t="s">
        <v>77</v>
      </c>
      <c r="G269" t="s">
        <v>76</v>
      </c>
      <c r="H269">
        <v>30.701534518360898</v>
      </c>
      <c r="I269">
        <v>2</v>
      </c>
      <c r="J269">
        <v>7</v>
      </c>
      <c r="K269">
        <v>7</v>
      </c>
      <c r="L269">
        <v>0</v>
      </c>
      <c r="M269">
        <v>8</v>
      </c>
      <c r="N269">
        <v>7</v>
      </c>
      <c r="O269">
        <v>1</v>
      </c>
      <c r="P269">
        <v>9</v>
      </c>
      <c r="Q269">
        <v>2</v>
      </c>
      <c r="R269">
        <v>7</v>
      </c>
      <c r="S269">
        <v>10</v>
      </c>
      <c r="T269">
        <v>7</v>
      </c>
      <c r="U269">
        <v>3</v>
      </c>
      <c r="V269">
        <v>8</v>
      </c>
      <c r="W269">
        <v>7</v>
      </c>
      <c r="X269">
        <v>1</v>
      </c>
      <c r="Y269">
        <v>9</v>
      </c>
      <c r="Z269">
        <v>7</v>
      </c>
      <c r="AA269">
        <v>2</v>
      </c>
      <c r="AB269">
        <v>8</v>
      </c>
      <c r="AC269">
        <v>7</v>
      </c>
      <c r="AD269">
        <v>1</v>
      </c>
      <c r="AE269">
        <v>9</v>
      </c>
      <c r="AF269">
        <v>7</v>
      </c>
      <c r="AG269">
        <v>2</v>
      </c>
      <c r="AH269">
        <v>10</v>
      </c>
      <c r="AI269">
        <v>7</v>
      </c>
      <c r="AJ269">
        <v>3</v>
      </c>
      <c r="AK269" t="s">
        <v>2647</v>
      </c>
      <c r="AL269" t="s">
        <v>2648</v>
      </c>
      <c r="AM269" t="s">
        <v>2649</v>
      </c>
      <c r="AN269" t="s">
        <v>2650</v>
      </c>
      <c r="AO269" t="s">
        <v>2651</v>
      </c>
      <c r="AP269" t="s">
        <v>2652</v>
      </c>
      <c r="AQ269" t="s">
        <v>2653</v>
      </c>
      <c r="AR269" t="s">
        <v>2654</v>
      </c>
      <c r="AS269" t="s">
        <v>2655</v>
      </c>
    </row>
    <row r="270" spans="1:45" x14ac:dyDescent="0.45">
      <c r="A270">
        <v>269</v>
      </c>
      <c r="B270">
        <v>269</v>
      </c>
      <c r="C270" t="s">
        <v>78</v>
      </c>
      <c r="D270" t="s">
        <v>79</v>
      </c>
      <c r="E270" t="s">
        <v>74</v>
      </c>
      <c r="F270" t="s">
        <v>75</v>
      </c>
      <c r="G270" t="s">
        <v>76</v>
      </c>
      <c r="H270">
        <v>79.630551540935556</v>
      </c>
      <c r="I270">
        <v>4</v>
      </c>
      <c r="J270">
        <v>8</v>
      </c>
      <c r="K270">
        <v>4</v>
      </c>
      <c r="L270">
        <v>4</v>
      </c>
      <c r="M270">
        <v>7</v>
      </c>
      <c r="N270">
        <v>5</v>
      </c>
      <c r="O270">
        <v>2</v>
      </c>
      <c r="P270">
        <v>9</v>
      </c>
      <c r="Q270">
        <v>2</v>
      </c>
      <c r="R270">
        <v>7</v>
      </c>
      <c r="S270">
        <v>8</v>
      </c>
      <c r="T270">
        <v>6</v>
      </c>
      <c r="U270">
        <v>2</v>
      </c>
      <c r="V270">
        <v>9</v>
      </c>
      <c r="W270">
        <v>3</v>
      </c>
      <c r="X270">
        <v>6</v>
      </c>
      <c r="Y270">
        <v>8</v>
      </c>
      <c r="Z270">
        <v>3</v>
      </c>
      <c r="AA270">
        <v>5</v>
      </c>
      <c r="AB270">
        <v>7</v>
      </c>
      <c r="AC270">
        <v>1</v>
      </c>
      <c r="AD270">
        <v>6</v>
      </c>
      <c r="AE270">
        <v>6</v>
      </c>
      <c r="AF270">
        <v>3</v>
      </c>
      <c r="AG270">
        <v>3</v>
      </c>
      <c r="AH270">
        <v>8</v>
      </c>
      <c r="AI270">
        <v>1</v>
      </c>
      <c r="AJ270">
        <v>7</v>
      </c>
      <c r="AK270" t="s">
        <v>2656</v>
      </c>
      <c r="AL270" t="s">
        <v>2657</v>
      </c>
      <c r="AM270" t="s">
        <v>2658</v>
      </c>
      <c r="AN270" t="s">
        <v>2659</v>
      </c>
      <c r="AO270" t="s">
        <v>2660</v>
      </c>
      <c r="AP270" t="s">
        <v>2661</v>
      </c>
      <c r="AQ270" t="s">
        <v>2662</v>
      </c>
      <c r="AR270" t="s">
        <v>2663</v>
      </c>
      <c r="AS270" t="s">
        <v>2664</v>
      </c>
    </row>
    <row r="271" spans="1:45" x14ac:dyDescent="0.45">
      <c r="A271">
        <v>270</v>
      </c>
      <c r="B271">
        <v>270</v>
      </c>
      <c r="C271" t="s">
        <v>72</v>
      </c>
      <c r="D271" t="s">
        <v>73</v>
      </c>
      <c r="E271" t="s">
        <v>74</v>
      </c>
      <c r="F271" t="s">
        <v>75</v>
      </c>
      <c r="G271" t="s">
        <v>162</v>
      </c>
      <c r="H271">
        <v>56.160676013012015</v>
      </c>
      <c r="I271">
        <v>0</v>
      </c>
      <c r="J271">
        <v>7</v>
      </c>
      <c r="K271">
        <v>8</v>
      </c>
      <c r="L271">
        <v>-1</v>
      </c>
      <c r="M271">
        <v>8</v>
      </c>
      <c r="N271">
        <v>8</v>
      </c>
      <c r="O271">
        <v>0</v>
      </c>
      <c r="P271">
        <v>9</v>
      </c>
      <c r="Q271">
        <v>3</v>
      </c>
      <c r="R271">
        <v>6</v>
      </c>
      <c r="S271">
        <v>9</v>
      </c>
      <c r="T271">
        <v>8</v>
      </c>
      <c r="U271">
        <v>1</v>
      </c>
      <c r="V271">
        <v>6</v>
      </c>
      <c r="W271">
        <v>3</v>
      </c>
      <c r="X271">
        <v>3</v>
      </c>
      <c r="Y271">
        <v>9</v>
      </c>
      <c r="Z271">
        <v>1</v>
      </c>
      <c r="AA271">
        <v>8</v>
      </c>
      <c r="AB271">
        <v>7</v>
      </c>
      <c r="AC271">
        <v>8</v>
      </c>
      <c r="AD271">
        <v>-1</v>
      </c>
      <c r="AE271">
        <v>6</v>
      </c>
      <c r="AF271">
        <v>6</v>
      </c>
      <c r="AG271">
        <v>0</v>
      </c>
      <c r="AH271">
        <v>8</v>
      </c>
      <c r="AI271">
        <v>7</v>
      </c>
      <c r="AJ271">
        <v>1</v>
      </c>
      <c r="AK271" t="s">
        <v>2665</v>
      </c>
      <c r="AL271" t="s">
        <v>2666</v>
      </c>
      <c r="AM271" t="s">
        <v>2667</v>
      </c>
      <c r="AN271" t="s">
        <v>2668</v>
      </c>
      <c r="AO271" t="s">
        <v>2669</v>
      </c>
      <c r="AP271" t="s">
        <v>2670</v>
      </c>
      <c r="AQ271" t="s">
        <v>2671</v>
      </c>
      <c r="AR271" t="s">
        <v>2672</v>
      </c>
      <c r="AS271" t="s">
        <v>2673</v>
      </c>
    </row>
    <row r="272" spans="1:45" x14ac:dyDescent="0.45">
      <c r="A272">
        <v>271</v>
      </c>
      <c r="B272">
        <v>271</v>
      </c>
      <c r="C272" t="s">
        <v>72</v>
      </c>
      <c r="D272" t="s">
        <v>73</v>
      </c>
      <c r="E272" t="s">
        <v>74</v>
      </c>
      <c r="F272" t="s">
        <v>75</v>
      </c>
      <c r="G272" t="s">
        <v>76</v>
      </c>
      <c r="H272">
        <v>64.42156962880361</v>
      </c>
      <c r="I272">
        <v>2</v>
      </c>
      <c r="J272">
        <v>8</v>
      </c>
      <c r="K272">
        <v>7</v>
      </c>
      <c r="L272">
        <v>1</v>
      </c>
      <c r="M272">
        <v>8</v>
      </c>
      <c r="N272">
        <v>7</v>
      </c>
      <c r="O272">
        <v>1</v>
      </c>
      <c r="P272">
        <v>9</v>
      </c>
      <c r="Q272">
        <v>4</v>
      </c>
      <c r="R272">
        <v>5</v>
      </c>
      <c r="S272">
        <v>10</v>
      </c>
      <c r="T272">
        <v>7</v>
      </c>
      <c r="U272">
        <v>3</v>
      </c>
      <c r="V272">
        <v>9</v>
      </c>
      <c r="W272">
        <v>7</v>
      </c>
      <c r="X272">
        <v>2</v>
      </c>
      <c r="Y272">
        <v>10</v>
      </c>
      <c r="Z272">
        <v>6</v>
      </c>
      <c r="AA272">
        <v>4</v>
      </c>
      <c r="AB272">
        <v>9</v>
      </c>
      <c r="AC272">
        <v>5</v>
      </c>
      <c r="AD272">
        <v>4</v>
      </c>
      <c r="AE272">
        <v>8</v>
      </c>
      <c r="AF272">
        <v>7</v>
      </c>
      <c r="AG272">
        <v>1</v>
      </c>
      <c r="AH272">
        <v>9</v>
      </c>
      <c r="AI272">
        <v>6</v>
      </c>
      <c r="AJ272">
        <v>3</v>
      </c>
      <c r="AK272" t="s">
        <v>226</v>
      </c>
      <c r="AL272" t="s">
        <v>277</v>
      </c>
      <c r="AM272" t="s">
        <v>278</v>
      </c>
      <c r="AN272" t="s">
        <v>279</v>
      </c>
      <c r="AO272" t="s">
        <v>280</v>
      </c>
      <c r="AP272" t="s">
        <v>2674</v>
      </c>
      <c r="AQ272" t="s">
        <v>2675</v>
      </c>
      <c r="AR272" t="s">
        <v>2676</v>
      </c>
      <c r="AS272" t="s">
        <v>2677</v>
      </c>
    </row>
    <row r="273" spans="1:45" x14ac:dyDescent="0.45">
      <c r="A273">
        <v>272</v>
      </c>
      <c r="B273">
        <v>272</v>
      </c>
      <c r="C273" t="s">
        <v>78</v>
      </c>
      <c r="D273" t="s">
        <v>73</v>
      </c>
      <c r="E273" t="s">
        <v>74</v>
      </c>
      <c r="F273" t="s">
        <v>77</v>
      </c>
      <c r="G273" t="s">
        <v>76</v>
      </c>
      <c r="H273">
        <v>38.512080893520256</v>
      </c>
      <c r="I273">
        <v>1</v>
      </c>
      <c r="J273">
        <v>9</v>
      </c>
      <c r="K273">
        <v>7</v>
      </c>
      <c r="L273">
        <v>2</v>
      </c>
      <c r="M273">
        <v>8</v>
      </c>
      <c r="N273">
        <v>8</v>
      </c>
      <c r="O273">
        <v>0</v>
      </c>
      <c r="P273">
        <v>9</v>
      </c>
      <c r="Q273">
        <v>2</v>
      </c>
      <c r="R273">
        <v>7</v>
      </c>
      <c r="S273">
        <v>8</v>
      </c>
      <c r="T273">
        <v>6</v>
      </c>
      <c r="U273">
        <v>2</v>
      </c>
      <c r="V273">
        <v>9</v>
      </c>
      <c r="W273">
        <v>6</v>
      </c>
      <c r="X273">
        <v>3</v>
      </c>
      <c r="Y273">
        <v>8</v>
      </c>
      <c r="Z273">
        <v>6</v>
      </c>
      <c r="AA273">
        <v>2</v>
      </c>
      <c r="AB273">
        <v>9</v>
      </c>
      <c r="AC273">
        <v>5</v>
      </c>
      <c r="AD273">
        <v>4</v>
      </c>
      <c r="AE273">
        <v>8</v>
      </c>
      <c r="AF273">
        <v>5</v>
      </c>
      <c r="AG273">
        <v>3</v>
      </c>
      <c r="AH273">
        <v>9</v>
      </c>
      <c r="AI273">
        <v>6</v>
      </c>
      <c r="AJ273">
        <v>3</v>
      </c>
      <c r="AK273" t="s">
        <v>2678</v>
      </c>
      <c r="AL273" t="s">
        <v>2679</v>
      </c>
      <c r="AM273" t="s">
        <v>2680</v>
      </c>
      <c r="AN273" t="s">
        <v>2681</v>
      </c>
      <c r="AO273" t="s">
        <v>2682</v>
      </c>
      <c r="AP273" t="s">
        <v>2683</v>
      </c>
      <c r="AQ273" t="s">
        <v>2684</v>
      </c>
      <c r="AR273" t="s">
        <v>2685</v>
      </c>
      <c r="AS273" t="s">
        <v>2686</v>
      </c>
    </row>
    <row r="274" spans="1:45" x14ac:dyDescent="0.45">
      <c r="A274">
        <v>273</v>
      </c>
      <c r="B274">
        <v>273</v>
      </c>
      <c r="C274" t="s">
        <v>72</v>
      </c>
      <c r="D274" t="s">
        <v>191</v>
      </c>
      <c r="E274" t="s">
        <v>74</v>
      </c>
      <c r="F274" t="s">
        <v>75</v>
      </c>
      <c r="G274" t="s">
        <v>76</v>
      </c>
      <c r="H274">
        <v>75.957681973763229</v>
      </c>
      <c r="I274">
        <v>4</v>
      </c>
      <c r="J274">
        <v>7</v>
      </c>
      <c r="K274">
        <v>3</v>
      </c>
      <c r="L274">
        <v>4</v>
      </c>
      <c r="M274">
        <v>6</v>
      </c>
      <c r="N274">
        <v>3</v>
      </c>
      <c r="O274">
        <v>3</v>
      </c>
      <c r="P274">
        <v>8</v>
      </c>
      <c r="Q274">
        <v>1</v>
      </c>
      <c r="R274">
        <v>7</v>
      </c>
      <c r="S274">
        <v>9</v>
      </c>
      <c r="T274">
        <v>6</v>
      </c>
      <c r="U274">
        <v>3</v>
      </c>
      <c r="V274">
        <v>7</v>
      </c>
      <c r="W274">
        <v>1</v>
      </c>
      <c r="X274">
        <v>6</v>
      </c>
      <c r="Y274">
        <v>8</v>
      </c>
      <c r="Z274">
        <v>1</v>
      </c>
      <c r="AA274">
        <v>7</v>
      </c>
      <c r="AB274">
        <v>6</v>
      </c>
      <c r="AC274">
        <v>1</v>
      </c>
      <c r="AD274">
        <v>5</v>
      </c>
      <c r="AE274">
        <v>5</v>
      </c>
      <c r="AF274">
        <v>1</v>
      </c>
      <c r="AG274">
        <v>4</v>
      </c>
      <c r="AH274">
        <v>7</v>
      </c>
      <c r="AI274">
        <v>1</v>
      </c>
      <c r="AJ274">
        <v>6</v>
      </c>
      <c r="AK274" t="s">
        <v>2687</v>
      </c>
      <c r="AL274" t="s">
        <v>2688</v>
      </c>
      <c r="AM274" t="s">
        <v>2689</v>
      </c>
      <c r="AN274" t="s">
        <v>2690</v>
      </c>
      <c r="AO274" t="s">
        <v>2691</v>
      </c>
      <c r="AP274" t="s">
        <v>2692</v>
      </c>
      <c r="AQ274" t="s">
        <v>2693</v>
      </c>
      <c r="AR274" t="s">
        <v>2694</v>
      </c>
      <c r="AS274" t="s">
        <v>2695</v>
      </c>
    </row>
    <row r="275" spans="1:45" x14ac:dyDescent="0.45">
      <c r="A275">
        <v>274</v>
      </c>
      <c r="B275">
        <v>274</v>
      </c>
      <c r="C275" t="s">
        <v>72</v>
      </c>
      <c r="D275" t="s">
        <v>73</v>
      </c>
      <c r="E275" t="s">
        <v>74</v>
      </c>
      <c r="F275" t="s">
        <v>77</v>
      </c>
      <c r="G275" t="s">
        <v>76</v>
      </c>
      <c r="H275">
        <v>68.498095344756464</v>
      </c>
      <c r="I275">
        <v>2</v>
      </c>
      <c r="J275">
        <v>5</v>
      </c>
      <c r="K275">
        <v>6</v>
      </c>
      <c r="L275">
        <v>-1</v>
      </c>
      <c r="M275">
        <v>6</v>
      </c>
      <c r="N275">
        <v>6</v>
      </c>
      <c r="O275">
        <v>0</v>
      </c>
      <c r="P275">
        <v>8</v>
      </c>
      <c r="Q275">
        <v>5</v>
      </c>
      <c r="R275">
        <v>3</v>
      </c>
      <c r="S275">
        <v>9</v>
      </c>
      <c r="T275">
        <v>6</v>
      </c>
      <c r="U275">
        <v>3</v>
      </c>
      <c r="V275">
        <v>7</v>
      </c>
      <c r="W275">
        <v>6</v>
      </c>
      <c r="X275">
        <v>1</v>
      </c>
      <c r="Y275">
        <v>9</v>
      </c>
      <c r="Z275">
        <v>6</v>
      </c>
      <c r="AA275">
        <v>3</v>
      </c>
      <c r="AB275">
        <v>7</v>
      </c>
      <c r="AC275">
        <v>6</v>
      </c>
      <c r="AD275">
        <v>1</v>
      </c>
      <c r="AE275">
        <v>8</v>
      </c>
      <c r="AF275">
        <v>6</v>
      </c>
      <c r="AG275">
        <v>2</v>
      </c>
      <c r="AH275">
        <v>9</v>
      </c>
      <c r="AI275">
        <v>6</v>
      </c>
      <c r="AJ275">
        <v>3</v>
      </c>
      <c r="AK275" t="s">
        <v>2696</v>
      </c>
      <c r="AL275" t="s">
        <v>2697</v>
      </c>
      <c r="AM275" t="s">
        <v>2698</v>
      </c>
      <c r="AN275" t="s">
        <v>2699</v>
      </c>
      <c r="AO275" t="s">
        <v>2700</v>
      </c>
      <c r="AP275" t="s">
        <v>2701</v>
      </c>
      <c r="AQ275" t="s">
        <v>2702</v>
      </c>
      <c r="AR275" t="s">
        <v>2703</v>
      </c>
      <c r="AS275" t="s">
        <v>2704</v>
      </c>
    </row>
    <row r="276" spans="1:45" x14ac:dyDescent="0.45">
      <c r="A276">
        <v>275</v>
      </c>
      <c r="B276">
        <v>275</v>
      </c>
      <c r="C276" t="s">
        <v>72</v>
      </c>
      <c r="D276" t="s">
        <v>79</v>
      </c>
      <c r="E276" t="s">
        <v>74</v>
      </c>
      <c r="F276" t="s">
        <v>75</v>
      </c>
      <c r="G276" t="s">
        <v>76</v>
      </c>
      <c r="H276">
        <v>67.423306240152883</v>
      </c>
      <c r="I276">
        <v>2</v>
      </c>
      <c r="J276">
        <v>7</v>
      </c>
      <c r="K276">
        <v>8</v>
      </c>
      <c r="L276">
        <v>-1</v>
      </c>
      <c r="M276">
        <v>6</v>
      </c>
      <c r="N276">
        <v>9</v>
      </c>
      <c r="O276">
        <v>-3</v>
      </c>
      <c r="P276">
        <v>7</v>
      </c>
      <c r="Q276">
        <v>5</v>
      </c>
      <c r="R276">
        <v>2</v>
      </c>
      <c r="S276">
        <v>8</v>
      </c>
      <c r="T276">
        <v>7</v>
      </c>
      <c r="U276">
        <v>1</v>
      </c>
      <c r="V276">
        <v>7</v>
      </c>
      <c r="W276">
        <v>6</v>
      </c>
      <c r="X276">
        <v>1</v>
      </c>
      <c r="Y276">
        <v>9</v>
      </c>
      <c r="Z276">
        <v>7</v>
      </c>
      <c r="AA276">
        <v>2</v>
      </c>
      <c r="AB276">
        <v>8</v>
      </c>
      <c r="AC276">
        <v>7</v>
      </c>
      <c r="AD276">
        <v>1</v>
      </c>
      <c r="AE276">
        <v>7</v>
      </c>
      <c r="AF276">
        <v>7</v>
      </c>
      <c r="AG276">
        <v>0</v>
      </c>
      <c r="AH276">
        <v>9</v>
      </c>
      <c r="AI276">
        <v>7</v>
      </c>
      <c r="AJ276">
        <v>2</v>
      </c>
      <c r="AK276" t="s">
        <v>2705</v>
      </c>
      <c r="AL276" t="s">
        <v>2706</v>
      </c>
      <c r="AM276" t="s">
        <v>2707</v>
      </c>
      <c r="AN276" t="s">
        <v>2708</v>
      </c>
      <c r="AO276" t="s">
        <v>2709</v>
      </c>
      <c r="AP276" t="s">
        <v>2710</v>
      </c>
      <c r="AQ276" t="s">
        <v>2711</v>
      </c>
      <c r="AR276" t="s">
        <v>2712</v>
      </c>
      <c r="AS276" t="s">
        <v>2713</v>
      </c>
    </row>
    <row r="277" spans="1:45" x14ac:dyDescent="0.45">
      <c r="A277">
        <v>276</v>
      </c>
      <c r="B277">
        <v>276</v>
      </c>
      <c r="C277" t="s">
        <v>78</v>
      </c>
      <c r="D277" t="s">
        <v>73</v>
      </c>
      <c r="E277" t="s">
        <v>74</v>
      </c>
      <c r="F277" t="s">
        <v>77</v>
      </c>
      <c r="G277" t="s">
        <v>76</v>
      </c>
      <c r="H277">
        <v>44.331175625937327</v>
      </c>
      <c r="I277">
        <v>1</v>
      </c>
      <c r="J277">
        <v>7</v>
      </c>
      <c r="K277">
        <v>6</v>
      </c>
      <c r="L277">
        <v>1</v>
      </c>
      <c r="M277">
        <v>8</v>
      </c>
      <c r="N277">
        <v>6</v>
      </c>
      <c r="O277">
        <v>2</v>
      </c>
      <c r="P277">
        <v>9</v>
      </c>
      <c r="Q277">
        <v>3</v>
      </c>
      <c r="R277">
        <v>6</v>
      </c>
      <c r="S277">
        <v>9</v>
      </c>
      <c r="T277">
        <v>7</v>
      </c>
      <c r="U277">
        <v>2</v>
      </c>
      <c r="V277">
        <v>7</v>
      </c>
      <c r="W277">
        <v>7</v>
      </c>
      <c r="X277">
        <v>0</v>
      </c>
      <c r="Y277">
        <v>8</v>
      </c>
      <c r="Z277">
        <v>7</v>
      </c>
      <c r="AA277">
        <v>1</v>
      </c>
      <c r="AB277">
        <v>6</v>
      </c>
      <c r="AC277">
        <v>5</v>
      </c>
      <c r="AD277">
        <v>1</v>
      </c>
      <c r="AE277">
        <v>7</v>
      </c>
      <c r="AF277">
        <v>7</v>
      </c>
      <c r="AG277">
        <v>0</v>
      </c>
      <c r="AH277">
        <v>8</v>
      </c>
      <c r="AI277">
        <v>7</v>
      </c>
      <c r="AJ277">
        <v>1</v>
      </c>
      <c r="AK277" t="s">
        <v>2714</v>
      </c>
      <c r="AL277" t="s">
        <v>2715</v>
      </c>
      <c r="AM277" t="s">
        <v>2716</v>
      </c>
      <c r="AN277" t="s">
        <v>2717</v>
      </c>
      <c r="AO277" t="s">
        <v>2718</v>
      </c>
      <c r="AP277" t="s">
        <v>2719</v>
      </c>
      <c r="AQ277" t="s">
        <v>2720</v>
      </c>
      <c r="AR277" t="s">
        <v>2721</v>
      </c>
      <c r="AS277" t="s">
        <v>2722</v>
      </c>
    </row>
    <row r="278" spans="1:45" x14ac:dyDescent="0.45">
      <c r="A278">
        <v>277</v>
      </c>
      <c r="B278">
        <v>277</v>
      </c>
      <c r="C278" t="s">
        <v>72</v>
      </c>
      <c r="D278" t="s">
        <v>79</v>
      </c>
      <c r="E278" t="s">
        <v>74</v>
      </c>
      <c r="F278" t="s">
        <v>77</v>
      </c>
      <c r="G278" t="s">
        <v>76</v>
      </c>
      <c r="H278">
        <v>85.91440479024341</v>
      </c>
      <c r="I278">
        <v>4</v>
      </c>
      <c r="J278">
        <v>6</v>
      </c>
      <c r="K278">
        <v>8</v>
      </c>
      <c r="L278">
        <v>-2</v>
      </c>
      <c r="M278">
        <v>8</v>
      </c>
      <c r="N278">
        <v>8</v>
      </c>
      <c r="O278">
        <v>0</v>
      </c>
      <c r="P278">
        <v>9</v>
      </c>
      <c r="Q278">
        <v>6</v>
      </c>
      <c r="R278">
        <v>3</v>
      </c>
      <c r="S278">
        <v>8</v>
      </c>
      <c r="T278">
        <v>7</v>
      </c>
      <c r="U278">
        <v>1</v>
      </c>
      <c r="V278">
        <v>7</v>
      </c>
      <c r="W278">
        <v>7</v>
      </c>
      <c r="X278">
        <v>0</v>
      </c>
      <c r="Y278">
        <v>9</v>
      </c>
      <c r="Z278">
        <v>4</v>
      </c>
      <c r="AA278">
        <v>5</v>
      </c>
      <c r="AB278">
        <v>7</v>
      </c>
      <c r="AC278">
        <v>5</v>
      </c>
      <c r="AD278">
        <v>2</v>
      </c>
      <c r="AE278">
        <v>8</v>
      </c>
      <c r="AF278">
        <v>5</v>
      </c>
      <c r="AG278">
        <v>3</v>
      </c>
      <c r="AH278">
        <v>9</v>
      </c>
      <c r="AI278">
        <v>5</v>
      </c>
      <c r="AJ278">
        <v>4</v>
      </c>
      <c r="AK278" t="s">
        <v>2723</v>
      </c>
      <c r="AL278" t="s">
        <v>2724</v>
      </c>
      <c r="AM278" t="s">
        <v>2725</v>
      </c>
      <c r="AN278" t="s">
        <v>2726</v>
      </c>
      <c r="AO278" t="s">
        <v>2727</v>
      </c>
      <c r="AP278" t="s">
        <v>2728</v>
      </c>
      <c r="AQ278" t="s">
        <v>2729</v>
      </c>
      <c r="AR278" t="s">
        <v>2730</v>
      </c>
      <c r="AS278" t="s">
        <v>2731</v>
      </c>
    </row>
    <row r="279" spans="1:45" x14ac:dyDescent="0.45">
      <c r="A279">
        <v>278</v>
      </c>
      <c r="B279">
        <v>278</v>
      </c>
      <c r="C279" t="s">
        <v>72</v>
      </c>
      <c r="D279" t="s">
        <v>73</v>
      </c>
      <c r="E279" t="s">
        <v>74</v>
      </c>
      <c r="F279" t="s">
        <v>77</v>
      </c>
      <c r="G279" t="s">
        <v>76</v>
      </c>
      <c r="H279">
        <v>62.681749190444862</v>
      </c>
      <c r="I279">
        <v>3</v>
      </c>
      <c r="J279">
        <v>8</v>
      </c>
      <c r="K279">
        <v>6</v>
      </c>
      <c r="L279">
        <v>2</v>
      </c>
      <c r="M279">
        <v>9</v>
      </c>
      <c r="N279">
        <v>7</v>
      </c>
      <c r="O279">
        <v>2</v>
      </c>
      <c r="P279">
        <v>7</v>
      </c>
      <c r="Q279">
        <v>5</v>
      </c>
      <c r="R279">
        <v>2</v>
      </c>
      <c r="S279">
        <v>9</v>
      </c>
      <c r="T279">
        <v>7</v>
      </c>
      <c r="U279">
        <v>2</v>
      </c>
      <c r="V279">
        <v>8</v>
      </c>
      <c r="W279">
        <v>6</v>
      </c>
      <c r="X279">
        <v>2</v>
      </c>
      <c r="Y279">
        <v>9</v>
      </c>
      <c r="Z279">
        <v>6</v>
      </c>
      <c r="AA279">
        <v>3</v>
      </c>
      <c r="AB279">
        <v>8</v>
      </c>
      <c r="AC279">
        <v>6</v>
      </c>
      <c r="AD279">
        <v>2</v>
      </c>
      <c r="AE279">
        <v>7</v>
      </c>
      <c r="AF279">
        <v>6</v>
      </c>
      <c r="AG279">
        <v>1</v>
      </c>
      <c r="AH279">
        <v>9</v>
      </c>
      <c r="AI279">
        <v>6</v>
      </c>
      <c r="AJ279">
        <v>3</v>
      </c>
      <c r="AK279" t="s">
        <v>2732</v>
      </c>
      <c r="AL279" t="s">
        <v>2733</v>
      </c>
      <c r="AM279" t="s">
        <v>2734</v>
      </c>
      <c r="AN279" t="s">
        <v>2735</v>
      </c>
      <c r="AO279" t="s">
        <v>2736</v>
      </c>
      <c r="AP279" t="s">
        <v>2737</v>
      </c>
      <c r="AQ279" t="s">
        <v>2738</v>
      </c>
      <c r="AR279" t="s">
        <v>2739</v>
      </c>
      <c r="AS279" t="s">
        <v>2740</v>
      </c>
    </row>
    <row r="280" spans="1:45" x14ac:dyDescent="0.45">
      <c r="A280">
        <v>279</v>
      </c>
      <c r="B280">
        <v>279</v>
      </c>
      <c r="C280" t="s">
        <v>78</v>
      </c>
      <c r="D280" t="s">
        <v>73</v>
      </c>
      <c r="E280" t="s">
        <v>74</v>
      </c>
      <c r="F280" t="s">
        <v>75</v>
      </c>
      <c r="G280" t="s">
        <v>162</v>
      </c>
      <c r="H280">
        <v>71.565827852767939</v>
      </c>
      <c r="I280">
        <v>0</v>
      </c>
      <c r="J280">
        <v>7</v>
      </c>
      <c r="K280">
        <v>6</v>
      </c>
      <c r="L280">
        <v>1</v>
      </c>
      <c r="M280">
        <v>6</v>
      </c>
      <c r="N280">
        <v>7</v>
      </c>
      <c r="O280">
        <v>-1</v>
      </c>
      <c r="P280">
        <v>8</v>
      </c>
      <c r="Q280">
        <v>5</v>
      </c>
      <c r="R280">
        <v>3</v>
      </c>
      <c r="S280">
        <v>9</v>
      </c>
      <c r="T280">
        <v>8</v>
      </c>
      <c r="U280">
        <v>1</v>
      </c>
      <c r="V280">
        <v>7</v>
      </c>
      <c r="W280">
        <v>6</v>
      </c>
      <c r="X280">
        <v>1</v>
      </c>
      <c r="Y280">
        <v>8</v>
      </c>
      <c r="Z280">
        <v>3</v>
      </c>
      <c r="AA280">
        <v>5</v>
      </c>
      <c r="AB280">
        <v>7</v>
      </c>
      <c r="AC280">
        <v>6</v>
      </c>
      <c r="AD280">
        <v>1</v>
      </c>
      <c r="AE280">
        <v>8</v>
      </c>
      <c r="AF280">
        <v>8</v>
      </c>
      <c r="AG280">
        <v>0</v>
      </c>
      <c r="AH280">
        <v>9</v>
      </c>
      <c r="AI280">
        <v>6</v>
      </c>
      <c r="AJ280">
        <v>3</v>
      </c>
      <c r="AK280" t="s">
        <v>2741</v>
      </c>
      <c r="AL280" t="s">
        <v>2742</v>
      </c>
      <c r="AM280" t="s">
        <v>2743</v>
      </c>
      <c r="AN280" t="s">
        <v>2744</v>
      </c>
      <c r="AO280" t="s">
        <v>2745</v>
      </c>
      <c r="AP280" t="s">
        <v>2746</v>
      </c>
      <c r="AQ280" t="s">
        <v>2747</v>
      </c>
      <c r="AR280" t="s">
        <v>2748</v>
      </c>
      <c r="AS280" t="s">
        <v>2749</v>
      </c>
    </row>
    <row r="281" spans="1:45" x14ac:dyDescent="0.45">
      <c r="A281">
        <v>280</v>
      </c>
      <c r="B281">
        <v>280</v>
      </c>
      <c r="C281" t="s">
        <v>72</v>
      </c>
      <c r="D281" t="s">
        <v>73</v>
      </c>
      <c r="E281" t="s">
        <v>74</v>
      </c>
      <c r="F281" t="s">
        <v>75</v>
      </c>
      <c r="G281" t="s">
        <v>76</v>
      </c>
      <c r="H281">
        <v>100.92429770064602</v>
      </c>
      <c r="I281">
        <v>2</v>
      </c>
      <c r="J281">
        <v>8</v>
      </c>
      <c r="K281">
        <v>4</v>
      </c>
      <c r="L281">
        <v>4</v>
      </c>
      <c r="M281">
        <v>9</v>
      </c>
      <c r="N281">
        <v>4</v>
      </c>
      <c r="O281">
        <v>5</v>
      </c>
      <c r="P281">
        <v>7</v>
      </c>
      <c r="Q281">
        <v>1</v>
      </c>
      <c r="R281">
        <v>6</v>
      </c>
      <c r="S281">
        <v>9</v>
      </c>
      <c r="T281">
        <v>6</v>
      </c>
      <c r="U281">
        <v>3</v>
      </c>
      <c r="V281">
        <v>7</v>
      </c>
      <c r="W281">
        <v>3</v>
      </c>
      <c r="X281">
        <v>4</v>
      </c>
      <c r="Y281">
        <v>8</v>
      </c>
      <c r="Z281">
        <v>2</v>
      </c>
      <c r="AA281">
        <v>6</v>
      </c>
      <c r="AB281">
        <v>7</v>
      </c>
      <c r="AC281">
        <v>1</v>
      </c>
      <c r="AD281">
        <v>6</v>
      </c>
      <c r="AE281">
        <v>6</v>
      </c>
      <c r="AF281">
        <v>5</v>
      </c>
      <c r="AG281">
        <v>1</v>
      </c>
      <c r="AH281">
        <v>8</v>
      </c>
      <c r="AI281">
        <v>4</v>
      </c>
      <c r="AJ281">
        <v>4</v>
      </c>
      <c r="AK281" t="s">
        <v>2750</v>
      </c>
      <c r="AL281" t="s">
        <v>2751</v>
      </c>
      <c r="AM281" t="s">
        <v>2752</v>
      </c>
      <c r="AN281" t="s">
        <v>2753</v>
      </c>
      <c r="AO281" t="s">
        <v>2754</v>
      </c>
      <c r="AP281" t="s">
        <v>2755</v>
      </c>
      <c r="AQ281" t="s">
        <v>2756</v>
      </c>
      <c r="AR281" t="s">
        <v>2757</v>
      </c>
      <c r="AS281" t="s">
        <v>2758</v>
      </c>
    </row>
    <row r="282" spans="1:45" x14ac:dyDescent="0.45">
      <c r="A282">
        <v>281</v>
      </c>
      <c r="B282">
        <v>281</v>
      </c>
      <c r="C282" t="s">
        <v>72</v>
      </c>
      <c r="D282" t="s">
        <v>79</v>
      </c>
      <c r="E282" t="s">
        <v>74</v>
      </c>
      <c r="F282" t="s">
        <v>75</v>
      </c>
      <c r="G282" t="s">
        <v>76</v>
      </c>
      <c r="H282">
        <v>83.770364150577592</v>
      </c>
      <c r="I282">
        <v>3</v>
      </c>
      <c r="J282">
        <v>7</v>
      </c>
      <c r="K282">
        <v>6</v>
      </c>
      <c r="L282">
        <v>1</v>
      </c>
      <c r="M282">
        <v>9</v>
      </c>
      <c r="N282">
        <v>7</v>
      </c>
      <c r="O282">
        <v>2</v>
      </c>
      <c r="P282">
        <v>8</v>
      </c>
      <c r="Q282">
        <v>4</v>
      </c>
      <c r="R282">
        <v>4</v>
      </c>
      <c r="S282">
        <v>9</v>
      </c>
      <c r="T282">
        <v>8</v>
      </c>
      <c r="U282">
        <v>1</v>
      </c>
      <c r="V282">
        <v>8</v>
      </c>
      <c r="W282">
        <v>6</v>
      </c>
      <c r="X282">
        <v>2</v>
      </c>
      <c r="Y282">
        <v>9</v>
      </c>
      <c r="Z282">
        <v>6</v>
      </c>
      <c r="AA282">
        <v>3</v>
      </c>
      <c r="AB282">
        <v>8</v>
      </c>
      <c r="AC282">
        <v>5</v>
      </c>
      <c r="AD282">
        <v>3</v>
      </c>
      <c r="AE282">
        <v>9</v>
      </c>
      <c r="AF282">
        <v>7</v>
      </c>
      <c r="AG282">
        <v>2</v>
      </c>
      <c r="AH282">
        <v>9</v>
      </c>
      <c r="AI282">
        <v>6</v>
      </c>
      <c r="AJ282">
        <v>3</v>
      </c>
      <c r="AK282" t="s">
        <v>2759</v>
      </c>
      <c r="AL282" t="s">
        <v>2760</v>
      </c>
      <c r="AM282" t="s">
        <v>2761</v>
      </c>
      <c r="AN282" t="s">
        <v>2762</v>
      </c>
      <c r="AO282" t="s">
        <v>2763</v>
      </c>
      <c r="AP282" t="s">
        <v>2764</v>
      </c>
      <c r="AQ282" t="s">
        <v>2765</v>
      </c>
      <c r="AR282" t="s">
        <v>410</v>
      </c>
      <c r="AS282" t="s">
        <v>2766</v>
      </c>
    </row>
    <row r="283" spans="1:45" x14ac:dyDescent="0.45">
      <c r="A283">
        <v>282</v>
      </c>
      <c r="B283">
        <v>282</v>
      </c>
      <c r="C283" t="s">
        <v>72</v>
      </c>
      <c r="D283" t="s">
        <v>193</v>
      </c>
      <c r="E283" t="s">
        <v>74</v>
      </c>
      <c r="F283" t="s">
        <v>75</v>
      </c>
      <c r="G283" t="s">
        <v>76</v>
      </c>
      <c r="H283">
        <v>194.43030062739999</v>
      </c>
      <c r="I283">
        <v>4</v>
      </c>
      <c r="J283">
        <v>6</v>
      </c>
      <c r="K283">
        <v>8</v>
      </c>
      <c r="L283">
        <v>-2</v>
      </c>
      <c r="M283">
        <v>5</v>
      </c>
      <c r="N283">
        <v>8</v>
      </c>
      <c r="O283">
        <v>-3</v>
      </c>
      <c r="P283">
        <v>8</v>
      </c>
      <c r="Q283">
        <v>9</v>
      </c>
      <c r="R283">
        <v>-1</v>
      </c>
      <c r="S283">
        <v>9</v>
      </c>
      <c r="T283">
        <v>9</v>
      </c>
      <c r="U283">
        <v>0</v>
      </c>
      <c r="V283">
        <v>7</v>
      </c>
      <c r="W283">
        <v>7</v>
      </c>
      <c r="X283">
        <v>0</v>
      </c>
      <c r="Y283">
        <v>8</v>
      </c>
      <c r="Z283">
        <v>8</v>
      </c>
      <c r="AA283">
        <v>0</v>
      </c>
      <c r="AB283">
        <v>7</v>
      </c>
      <c r="AC283">
        <v>8</v>
      </c>
      <c r="AD283">
        <v>-1</v>
      </c>
      <c r="AE283">
        <v>8</v>
      </c>
      <c r="AF283">
        <v>8</v>
      </c>
      <c r="AG283">
        <v>0</v>
      </c>
      <c r="AH283">
        <v>9</v>
      </c>
      <c r="AI283">
        <v>7</v>
      </c>
      <c r="AJ283">
        <v>2</v>
      </c>
      <c r="AK283" t="s">
        <v>2767</v>
      </c>
      <c r="AL283" t="s">
        <v>2768</v>
      </c>
      <c r="AM283" t="s">
        <v>2769</v>
      </c>
      <c r="AN283" t="s">
        <v>2770</v>
      </c>
      <c r="AO283" t="s">
        <v>2771</v>
      </c>
      <c r="AP283" t="s">
        <v>2772</v>
      </c>
      <c r="AQ283" t="s">
        <v>2773</v>
      </c>
      <c r="AR283" t="s">
        <v>2774</v>
      </c>
      <c r="AS283" t="s">
        <v>2775</v>
      </c>
    </row>
    <row r="284" spans="1:45" x14ac:dyDescent="0.45">
      <c r="A284">
        <v>283</v>
      </c>
      <c r="B284">
        <v>283</v>
      </c>
      <c r="C284" t="s">
        <v>72</v>
      </c>
      <c r="D284" t="s">
        <v>79</v>
      </c>
      <c r="E284" t="s">
        <v>74</v>
      </c>
      <c r="F284" t="s">
        <v>77</v>
      </c>
      <c r="G284" t="s">
        <v>76</v>
      </c>
      <c r="H284">
        <v>63.658553002604641</v>
      </c>
      <c r="I284">
        <v>2</v>
      </c>
      <c r="J284">
        <v>7</v>
      </c>
      <c r="K284">
        <v>5</v>
      </c>
      <c r="L284">
        <v>2</v>
      </c>
      <c r="M284">
        <v>8</v>
      </c>
      <c r="N284">
        <v>5</v>
      </c>
      <c r="O284">
        <v>3</v>
      </c>
      <c r="P284">
        <v>9</v>
      </c>
      <c r="Q284">
        <v>2</v>
      </c>
      <c r="R284">
        <v>7</v>
      </c>
      <c r="S284">
        <v>8</v>
      </c>
      <c r="T284">
        <v>6</v>
      </c>
      <c r="U284">
        <v>2</v>
      </c>
      <c r="V284">
        <v>9</v>
      </c>
      <c r="W284">
        <v>5</v>
      </c>
      <c r="X284">
        <v>4</v>
      </c>
      <c r="Y284">
        <v>9</v>
      </c>
      <c r="Z284">
        <v>4</v>
      </c>
      <c r="AA284">
        <v>5</v>
      </c>
      <c r="AB284">
        <v>8</v>
      </c>
      <c r="AC284">
        <v>5</v>
      </c>
      <c r="AD284">
        <v>3</v>
      </c>
      <c r="AE284">
        <v>9</v>
      </c>
      <c r="AF284">
        <v>5</v>
      </c>
      <c r="AG284">
        <v>4</v>
      </c>
      <c r="AH284">
        <v>9</v>
      </c>
      <c r="AI284">
        <v>4</v>
      </c>
      <c r="AJ284">
        <v>5</v>
      </c>
      <c r="AK284" t="s">
        <v>2776</v>
      </c>
      <c r="AL284" t="s">
        <v>2777</v>
      </c>
      <c r="AM284" t="s">
        <v>2778</v>
      </c>
      <c r="AN284" t="s">
        <v>2779</v>
      </c>
      <c r="AO284" t="s">
        <v>2780</v>
      </c>
      <c r="AP284" t="s">
        <v>2781</v>
      </c>
      <c r="AQ284" t="s">
        <v>2782</v>
      </c>
      <c r="AR284" t="s">
        <v>2783</v>
      </c>
      <c r="AS284" t="s">
        <v>2784</v>
      </c>
    </row>
    <row r="285" spans="1:45" x14ac:dyDescent="0.45">
      <c r="A285">
        <v>284</v>
      </c>
      <c r="B285">
        <v>284</v>
      </c>
      <c r="C285" t="s">
        <v>78</v>
      </c>
      <c r="D285" t="s">
        <v>73</v>
      </c>
      <c r="E285" t="s">
        <v>74</v>
      </c>
      <c r="F285" t="s">
        <v>77</v>
      </c>
      <c r="G285" t="s">
        <v>76</v>
      </c>
      <c r="H285">
        <v>61.233136034132372</v>
      </c>
      <c r="I285">
        <v>2</v>
      </c>
      <c r="J285">
        <v>6</v>
      </c>
      <c r="K285">
        <v>7</v>
      </c>
      <c r="L285">
        <v>-1</v>
      </c>
      <c r="M285">
        <v>7</v>
      </c>
      <c r="N285">
        <v>7</v>
      </c>
      <c r="O285">
        <v>0</v>
      </c>
      <c r="P285">
        <v>9</v>
      </c>
      <c r="Q285">
        <v>5</v>
      </c>
      <c r="R285">
        <v>4</v>
      </c>
      <c r="S285">
        <v>8</v>
      </c>
      <c r="T285">
        <v>7</v>
      </c>
      <c r="U285">
        <v>1</v>
      </c>
      <c r="V285">
        <v>9</v>
      </c>
      <c r="W285">
        <v>5</v>
      </c>
      <c r="X285">
        <v>4</v>
      </c>
      <c r="Y285">
        <v>8</v>
      </c>
      <c r="Z285">
        <v>6</v>
      </c>
      <c r="AA285">
        <v>2</v>
      </c>
      <c r="AB285">
        <v>7</v>
      </c>
      <c r="AC285">
        <v>5</v>
      </c>
      <c r="AD285">
        <v>2</v>
      </c>
      <c r="AE285">
        <v>6</v>
      </c>
      <c r="AF285">
        <v>7</v>
      </c>
      <c r="AG285">
        <v>-1</v>
      </c>
      <c r="AH285">
        <v>8</v>
      </c>
      <c r="AI285">
        <v>6</v>
      </c>
      <c r="AJ285">
        <v>2</v>
      </c>
      <c r="AK285" t="s">
        <v>2785</v>
      </c>
      <c r="AL285" t="s">
        <v>2786</v>
      </c>
      <c r="AM285" t="s">
        <v>2787</v>
      </c>
      <c r="AN285" t="s">
        <v>2788</v>
      </c>
      <c r="AO285" t="s">
        <v>2789</v>
      </c>
      <c r="AP285" t="s">
        <v>2790</v>
      </c>
      <c r="AQ285" t="s">
        <v>2791</v>
      </c>
      <c r="AR285" t="s">
        <v>2792</v>
      </c>
      <c r="AS285" t="s">
        <v>2793</v>
      </c>
    </row>
    <row r="286" spans="1:45" x14ac:dyDescent="0.45">
      <c r="A286">
        <v>285</v>
      </c>
      <c r="B286">
        <v>285</v>
      </c>
      <c r="C286" t="s">
        <v>78</v>
      </c>
      <c r="D286" t="s">
        <v>191</v>
      </c>
      <c r="E286" t="s">
        <v>74</v>
      </c>
      <c r="F286" t="s">
        <v>77</v>
      </c>
      <c r="G286" t="s">
        <v>76</v>
      </c>
      <c r="H286">
        <v>71.295028341445573</v>
      </c>
      <c r="I286">
        <v>3</v>
      </c>
      <c r="J286">
        <v>9</v>
      </c>
      <c r="K286">
        <v>7</v>
      </c>
      <c r="L286">
        <v>2</v>
      </c>
      <c r="M286">
        <v>8</v>
      </c>
      <c r="N286">
        <v>7</v>
      </c>
      <c r="O286">
        <v>1</v>
      </c>
      <c r="P286">
        <v>7</v>
      </c>
      <c r="Q286">
        <v>5</v>
      </c>
      <c r="R286">
        <v>2</v>
      </c>
      <c r="S286">
        <v>8</v>
      </c>
      <c r="T286">
        <v>8</v>
      </c>
      <c r="U286">
        <v>0</v>
      </c>
      <c r="V286">
        <v>9</v>
      </c>
      <c r="W286">
        <v>6</v>
      </c>
      <c r="X286">
        <v>3</v>
      </c>
      <c r="Y286">
        <v>8</v>
      </c>
      <c r="Z286">
        <v>6</v>
      </c>
      <c r="AA286">
        <v>2</v>
      </c>
      <c r="AB286">
        <v>9</v>
      </c>
      <c r="AC286">
        <v>6</v>
      </c>
      <c r="AD286">
        <v>3</v>
      </c>
      <c r="AE286">
        <v>8</v>
      </c>
      <c r="AF286">
        <v>7</v>
      </c>
      <c r="AG286">
        <v>1</v>
      </c>
      <c r="AH286">
        <v>9</v>
      </c>
      <c r="AI286">
        <v>7</v>
      </c>
      <c r="AJ286">
        <v>2</v>
      </c>
      <c r="AK286" t="s">
        <v>2794</v>
      </c>
      <c r="AL286" t="s">
        <v>2795</v>
      </c>
      <c r="AM286" t="s">
        <v>2796</v>
      </c>
      <c r="AN286" t="s">
        <v>2797</v>
      </c>
      <c r="AO286" t="s">
        <v>1728</v>
      </c>
      <c r="AP286" t="s">
        <v>2798</v>
      </c>
      <c r="AQ286" t="s">
        <v>2799</v>
      </c>
      <c r="AR286" t="s">
        <v>2800</v>
      </c>
      <c r="AS286" t="s">
        <v>2801</v>
      </c>
    </row>
    <row r="287" spans="1:45" x14ac:dyDescent="0.45">
      <c r="A287">
        <v>286</v>
      </c>
      <c r="B287">
        <v>286</v>
      </c>
      <c r="C287" t="s">
        <v>72</v>
      </c>
      <c r="D287" t="s">
        <v>73</v>
      </c>
      <c r="E287" t="s">
        <v>74</v>
      </c>
      <c r="F287" t="s">
        <v>77</v>
      </c>
      <c r="G287" t="s">
        <v>76</v>
      </c>
      <c r="H287">
        <v>38.411929580978878</v>
      </c>
      <c r="I287">
        <v>0</v>
      </c>
      <c r="J287">
        <v>9</v>
      </c>
      <c r="K287">
        <v>4</v>
      </c>
      <c r="L287">
        <v>5</v>
      </c>
      <c r="M287">
        <v>8</v>
      </c>
      <c r="N287">
        <v>4</v>
      </c>
      <c r="O287">
        <v>4</v>
      </c>
      <c r="P287">
        <v>9</v>
      </c>
      <c r="Q287">
        <v>2</v>
      </c>
      <c r="R287">
        <v>7</v>
      </c>
      <c r="S287">
        <v>8</v>
      </c>
      <c r="T287">
        <v>8</v>
      </c>
      <c r="U287">
        <v>0</v>
      </c>
      <c r="V287">
        <v>7</v>
      </c>
      <c r="W287">
        <v>5</v>
      </c>
      <c r="X287">
        <v>2</v>
      </c>
      <c r="Y287">
        <v>9</v>
      </c>
      <c r="Z287">
        <v>5</v>
      </c>
      <c r="AA287">
        <v>4</v>
      </c>
      <c r="AB287">
        <v>7</v>
      </c>
      <c r="AC287">
        <v>4</v>
      </c>
      <c r="AD287">
        <v>3</v>
      </c>
      <c r="AE287">
        <v>6</v>
      </c>
      <c r="AF287">
        <v>6</v>
      </c>
      <c r="AG287">
        <v>0</v>
      </c>
      <c r="AH287">
        <v>8</v>
      </c>
      <c r="AI287">
        <v>5</v>
      </c>
      <c r="AJ287">
        <v>3</v>
      </c>
      <c r="AK287" t="s">
        <v>2802</v>
      </c>
      <c r="AL287" t="s">
        <v>2803</v>
      </c>
      <c r="AM287" t="s">
        <v>2804</v>
      </c>
      <c r="AN287" t="s">
        <v>2805</v>
      </c>
      <c r="AO287" t="s">
        <v>2806</v>
      </c>
      <c r="AP287" t="s">
        <v>2807</v>
      </c>
      <c r="AQ287" t="s">
        <v>2808</v>
      </c>
      <c r="AR287" t="s">
        <v>2809</v>
      </c>
      <c r="AS287" t="s">
        <v>2810</v>
      </c>
    </row>
    <row r="288" spans="1:45" x14ac:dyDescent="0.45">
      <c r="A288">
        <v>287</v>
      </c>
      <c r="B288">
        <v>287</v>
      </c>
      <c r="C288" t="s">
        <v>72</v>
      </c>
      <c r="D288" t="s">
        <v>191</v>
      </c>
      <c r="E288" t="s">
        <v>74</v>
      </c>
      <c r="F288" t="s">
        <v>77</v>
      </c>
      <c r="G288" t="s">
        <v>76</v>
      </c>
      <c r="H288">
        <v>65.877277380656821</v>
      </c>
      <c r="I288">
        <v>4</v>
      </c>
      <c r="J288">
        <v>8</v>
      </c>
      <c r="K288">
        <v>10</v>
      </c>
      <c r="L288">
        <v>-2</v>
      </c>
      <c r="M288">
        <v>9</v>
      </c>
      <c r="N288">
        <v>10</v>
      </c>
      <c r="O288">
        <v>-1</v>
      </c>
      <c r="P288">
        <v>7</v>
      </c>
      <c r="Q288">
        <v>7</v>
      </c>
      <c r="R288">
        <v>0</v>
      </c>
      <c r="S288">
        <v>9</v>
      </c>
      <c r="T288">
        <v>7</v>
      </c>
      <c r="U288">
        <v>2</v>
      </c>
      <c r="V288">
        <v>7</v>
      </c>
      <c r="W288">
        <v>8</v>
      </c>
      <c r="X288">
        <v>-1</v>
      </c>
      <c r="Y288">
        <v>9</v>
      </c>
      <c r="Z288">
        <v>7</v>
      </c>
      <c r="AA288">
        <v>2</v>
      </c>
      <c r="AB288">
        <v>7</v>
      </c>
      <c r="AC288">
        <v>8</v>
      </c>
      <c r="AD288">
        <v>-1</v>
      </c>
      <c r="AE288">
        <v>6</v>
      </c>
      <c r="AF288">
        <v>8</v>
      </c>
      <c r="AG288">
        <v>-2</v>
      </c>
      <c r="AH288">
        <v>8</v>
      </c>
      <c r="AI288">
        <v>8</v>
      </c>
      <c r="AJ288">
        <v>0</v>
      </c>
      <c r="AK288" t="s">
        <v>2811</v>
      </c>
      <c r="AL288" t="s">
        <v>2812</v>
      </c>
      <c r="AM288" t="s">
        <v>2813</v>
      </c>
      <c r="AN288" t="s">
        <v>2814</v>
      </c>
      <c r="AO288" t="s">
        <v>2815</v>
      </c>
      <c r="AP288" t="s">
        <v>2816</v>
      </c>
      <c r="AQ288" t="s">
        <v>2817</v>
      </c>
      <c r="AR288" t="s">
        <v>2818</v>
      </c>
      <c r="AS288" t="s">
        <v>2819</v>
      </c>
    </row>
    <row r="289" spans="1:45" x14ac:dyDescent="0.45">
      <c r="A289">
        <v>288</v>
      </c>
      <c r="B289">
        <v>288</v>
      </c>
      <c r="C289" t="s">
        <v>78</v>
      </c>
      <c r="D289" t="s">
        <v>81</v>
      </c>
      <c r="E289" t="s">
        <v>74</v>
      </c>
      <c r="F289" t="s">
        <v>77</v>
      </c>
      <c r="G289" t="s">
        <v>76</v>
      </c>
      <c r="H289">
        <v>28.867180053564908</v>
      </c>
      <c r="I289">
        <v>0</v>
      </c>
      <c r="J289">
        <v>7</v>
      </c>
      <c r="K289">
        <v>8</v>
      </c>
      <c r="L289">
        <v>-1</v>
      </c>
      <c r="M289">
        <v>8</v>
      </c>
      <c r="N289">
        <v>8</v>
      </c>
      <c r="O289">
        <v>0</v>
      </c>
      <c r="P289">
        <v>7</v>
      </c>
      <c r="Q289">
        <v>5</v>
      </c>
      <c r="R289">
        <v>2</v>
      </c>
      <c r="S289">
        <v>9</v>
      </c>
      <c r="T289">
        <v>9</v>
      </c>
      <c r="U289">
        <v>0</v>
      </c>
      <c r="V289">
        <v>7</v>
      </c>
      <c r="W289">
        <v>10</v>
      </c>
      <c r="X289">
        <v>-3</v>
      </c>
      <c r="Y289">
        <v>9</v>
      </c>
      <c r="Z289">
        <v>10</v>
      </c>
      <c r="AA289">
        <v>-1</v>
      </c>
      <c r="AB289">
        <v>7</v>
      </c>
      <c r="AC289">
        <v>9</v>
      </c>
      <c r="AD289">
        <v>-2</v>
      </c>
      <c r="AE289">
        <v>9</v>
      </c>
      <c r="AF289">
        <v>9</v>
      </c>
      <c r="AG289">
        <v>0</v>
      </c>
      <c r="AH289">
        <v>8</v>
      </c>
      <c r="AI289">
        <v>10</v>
      </c>
      <c r="AJ289">
        <v>-2</v>
      </c>
      <c r="AK289" t="s">
        <v>2820</v>
      </c>
      <c r="AL289" t="s">
        <v>2821</v>
      </c>
      <c r="AM289" t="s">
        <v>2822</v>
      </c>
      <c r="AN289" t="s">
        <v>2823</v>
      </c>
      <c r="AO289" t="s">
        <v>2824</v>
      </c>
      <c r="AP289" t="s">
        <v>2825</v>
      </c>
      <c r="AQ289" t="s">
        <v>2826</v>
      </c>
      <c r="AR289" t="s">
        <v>2827</v>
      </c>
      <c r="AS289" t="s">
        <v>2828</v>
      </c>
    </row>
    <row r="290" spans="1:45" x14ac:dyDescent="0.45">
      <c r="A290">
        <v>289</v>
      </c>
      <c r="B290">
        <v>289</v>
      </c>
      <c r="C290" t="s">
        <v>72</v>
      </c>
      <c r="D290" t="s">
        <v>73</v>
      </c>
      <c r="E290" t="s">
        <v>74</v>
      </c>
      <c r="F290" t="s">
        <v>190</v>
      </c>
      <c r="G290" t="s">
        <v>76</v>
      </c>
      <c r="H290">
        <v>29.742602209868721</v>
      </c>
      <c r="I290">
        <v>1</v>
      </c>
      <c r="J290">
        <v>5</v>
      </c>
      <c r="K290">
        <v>7</v>
      </c>
      <c r="L290">
        <v>-2</v>
      </c>
      <c r="M290">
        <v>6</v>
      </c>
      <c r="N290">
        <v>7</v>
      </c>
      <c r="O290">
        <v>-1</v>
      </c>
      <c r="P290">
        <v>8</v>
      </c>
      <c r="Q290">
        <v>5</v>
      </c>
      <c r="R290">
        <v>3</v>
      </c>
      <c r="S290">
        <v>9</v>
      </c>
      <c r="T290">
        <v>6</v>
      </c>
      <c r="U290">
        <v>3</v>
      </c>
      <c r="V290">
        <v>7</v>
      </c>
      <c r="W290">
        <v>5</v>
      </c>
      <c r="X290">
        <v>2</v>
      </c>
      <c r="Y290">
        <v>9</v>
      </c>
      <c r="Z290">
        <v>5</v>
      </c>
      <c r="AA290">
        <v>4</v>
      </c>
      <c r="AB290">
        <v>7</v>
      </c>
      <c r="AC290">
        <v>5</v>
      </c>
      <c r="AD290">
        <v>2</v>
      </c>
      <c r="AE290">
        <v>8</v>
      </c>
      <c r="AF290">
        <v>5</v>
      </c>
      <c r="AG290">
        <v>3</v>
      </c>
      <c r="AH290">
        <v>7</v>
      </c>
      <c r="AI290">
        <v>6</v>
      </c>
      <c r="AJ290">
        <v>1</v>
      </c>
      <c r="AK290" t="s">
        <v>2829</v>
      </c>
      <c r="AL290" t="s">
        <v>2830</v>
      </c>
      <c r="AM290" t="s">
        <v>2831</v>
      </c>
      <c r="AN290" t="s">
        <v>2832</v>
      </c>
      <c r="AO290" t="s">
        <v>2833</v>
      </c>
      <c r="AP290" t="s">
        <v>2834</v>
      </c>
      <c r="AQ290" t="s">
        <v>2835</v>
      </c>
      <c r="AR290" t="s">
        <v>2836</v>
      </c>
      <c r="AS290" t="s">
        <v>2837</v>
      </c>
    </row>
    <row r="291" spans="1:45" x14ac:dyDescent="0.45">
      <c r="A291">
        <v>290</v>
      </c>
      <c r="B291">
        <v>290</v>
      </c>
      <c r="C291" t="s">
        <v>78</v>
      </c>
      <c r="D291" t="s">
        <v>73</v>
      </c>
      <c r="E291" t="s">
        <v>74</v>
      </c>
      <c r="F291" t="s">
        <v>77</v>
      </c>
      <c r="G291" t="s">
        <v>76</v>
      </c>
      <c r="H291">
        <v>37.891430492980653</v>
      </c>
      <c r="I291">
        <v>2</v>
      </c>
      <c r="J291">
        <v>6</v>
      </c>
      <c r="K291">
        <v>8</v>
      </c>
      <c r="L291">
        <v>-2</v>
      </c>
      <c r="M291">
        <v>6</v>
      </c>
      <c r="N291">
        <v>8</v>
      </c>
      <c r="O291">
        <v>-2</v>
      </c>
      <c r="P291">
        <v>8</v>
      </c>
      <c r="Q291">
        <v>8</v>
      </c>
      <c r="R291">
        <v>0</v>
      </c>
      <c r="S291">
        <v>7</v>
      </c>
      <c r="T291">
        <v>8</v>
      </c>
      <c r="U291">
        <v>-1</v>
      </c>
      <c r="V291">
        <v>6</v>
      </c>
      <c r="W291">
        <v>8</v>
      </c>
      <c r="X291">
        <v>-2</v>
      </c>
      <c r="Y291">
        <v>8</v>
      </c>
      <c r="Z291">
        <v>8</v>
      </c>
      <c r="AA291">
        <v>0</v>
      </c>
      <c r="AB291">
        <v>6</v>
      </c>
      <c r="AC291">
        <v>8</v>
      </c>
      <c r="AD291">
        <v>-2</v>
      </c>
      <c r="AE291">
        <v>7</v>
      </c>
      <c r="AF291">
        <v>8</v>
      </c>
      <c r="AG291">
        <v>-1</v>
      </c>
      <c r="AH291">
        <v>8</v>
      </c>
      <c r="AI291">
        <v>8</v>
      </c>
      <c r="AJ291">
        <v>0</v>
      </c>
      <c r="AK291" t="s">
        <v>227</v>
      </c>
      <c r="AL291" t="s">
        <v>2838</v>
      </c>
      <c r="AM291" t="s">
        <v>2839</v>
      </c>
      <c r="AN291" t="s">
        <v>2840</v>
      </c>
      <c r="AO291" t="s">
        <v>2841</v>
      </c>
      <c r="AP291" t="s">
        <v>2842</v>
      </c>
      <c r="AQ291" t="s">
        <v>2843</v>
      </c>
      <c r="AR291" t="s">
        <v>2844</v>
      </c>
      <c r="AS291" t="s">
        <v>2845</v>
      </c>
    </row>
    <row r="292" spans="1:45" x14ac:dyDescent="0.45">
      <c r="A292">
        <v>291</v>
      </c>
      <c r="B292">
        <v>291</v>
      </c>
      <c r="C292" t="s">
        <v>78</v>
      </c>
      <c r="D292" t="s">
        <v>81</v>
      </c>
      <c r="E292" t="s">
        <v>74</v>
      </c>
      <c r="F292" t="s">
        <v>77</v>
      </c>
      <c r="G292" t="s">
        <v>76</v>
      </c>
      <c r="H292">
        <v>52.054939407172547</v>
      </c>
      <c r="I292">
        <v>2</v>
      </c>
      <c r="J292">
        <v>7</v>
      </c>
      <c r="K292">
        <v>9</v>
      </c>
      <c r="L292">
        <v>-2</v>
      </c>
      <c r="M292">
        <v>6</v>
      </c>
      <c r="N292">
        <v>9</v>
      </c>
      <c r="O292">
        <v>-3</v>
      </c>
      <c r="P292">
        <v>8</v>
      </c>
      <c r="Q292">
        <v>3</v>
      </c>
      <c r="R292">
        <v>5</v>
      </c>
      <c r="S292">
        <v>9</v>
      </c>
      <c r="T292">
        <v>10</v>
      </c>
      <c r="U292">
        <v>-1</v>
      </c>
      <c r="V292">
        <v>7</v>
      </c>
      <c r="W292">
        <v>8</v>
      </c>
      <c r="X292">
        <v>-1</v>
      </c>
      <c r="Y292">
        <v>9</v>
      </c>
      <c r="Z292">
        <v>8</v>
      </c>
      <c r="AA292">
        <v>1</v>
      </c>
      <c r="AB292">
        <v>8</v>
      </c>
      <c r="AC292">
        <v>6</v>
      </c>
      <c r="AD292">
        <v>2</v>
      </c>
      <c r="AE292">
        <v>6</v>
      </c>
      <c r="AF292">
        <v>8</v>
      </c>
      <c r="AG292">
        <v>-2</v>
      </c>
      <c r="AH292">
        <v>9</v>
      </c>
      <c r="AI292">
        <v>8</v>
      </c>
      <c r="AJ292">
        <v>1</v>
      </c>
      <c r="AK292" t="s">
        <v>2846</v>
      </c>
      <c r="AL292" t="s">
        <v>2847</v>
      </c>
      <c r="AM292" t="s">
        <v>2848</v>
      </c>
      <c r="AN292" t="s">
        <v>2849</v>
      </c>
      <c r="AO292" t="s">
        <v>2850</v>
      </c>
      <c r="AP292" t="s">
        <v>2851</v>
      </c>
      <c r="AQ292" t="s">
        <v>2852</v>
      </c>
      <c r="AR292" t="s">
        <v>2853</v>
      </c>
      <c r="AS292" t="s">
        <v>2854</v>
      </c>
    </row>
    <row r="293" spans="1:45" x14ac:dyDescent="0.45">
      <c r="A293">
        <v>292</v>
      </c>
      <c r="B293">
        <v>292</v>
      </c>
      <c r="C293" t="s">
        <v>72</v>
      </c>
      <c r="D293" t="s">
        <v>193</v>
      </c>
      <c r="E293" t="s">
        <v>74</v>
      </c>
      <c r="F293" t="s">
        <v>75</v>
      </c>
      <c r="G293" t="s">
        <v>162</v>
      </c>
      <c r="H293">
        <v>63.37037289255899</v>
      </c>
      <c r="I293">
        <v>2</v>
      </c>
      <c r="J293">
        <v>7</v>
      </c>
      <c r="K293">
        <v>6</v>
      </c>
      <c r="L293">
        <v>1</v>
      </c>
      <c r="M293">
        <v>8</v>
      </c>
      <c r="N293">
        <v>6</v>
      </c>
      <c r="O293">
        <v>2</v>
      </c>
      <c r="P293">
        <v>9</v>
      </c>
      <c r="Q293">
        <v>1</v>
      </c>
      <c r="R293">
        <v>8</v>
      </c>
      <c r="S293">
        <v>9</v>
      </c>
      <c r="T293">
        <v>6</v>
      </c>
      <c r="U293">
        <v>3</v>
      </c>
      <c r="V293">
        <v>6</v>
      </c>
      <c r="W293">
        <v>5</v>
      </c>
      <c r="X293">
        <v>1</v>
      </c>
      <c r="Y293">
        <v>8</v>
      </c>
      <c r="Z293">
        <v>6</v>
      </c>
      <c r="AA293">
        <v>2</v>
      </c>
      <c r="AB293">
        <v>7</v>
      </c>
      <c r="AC293">
        <v>5</v>
      </c>
      <c r="AD293">
        <v>2</v>
      </c>
      <c r="AE293">
        <v>8</v>
      </c>
      <c r="AF293">
        <v>6</v>
      </c>
      <c r="AG293">
        <v>2</v>
      </c>
      <c r="AH293">
        <v>7</v>
      </c>
      <c r="AI293">
        <v>6</v>
      </c>
      <c r="AJ293">
        <v>1</v>
      </c>
      <c r="AK293" t="s">
        <v>2855</v>
      </c>
      <c r="AL293" t="s">
        <v>2856</v>
      </c>
      <c r="AM293" t="s">
        <v>2857</v>
      </c>
      <c r="AN293" t="s">
        <v>2858</v>
      </c>
      <c r="AO293" t="s">
        <v>2859</v>
      </c>
      <c r="AP293" t="s">
        <v>2860</v>
      </c>
      <c r="AQ293" t="s">
        <v>2861</v>
      </c>
      <c r="AR293" t="s">
        <v>2862</v>
      </c>
      <c r="AS293" t="s">
        <v>2863</v>
      </c>
    </row>
    <row r="294" spans="1:45" x14ac:dyDescent="0.45">
      <c r="A294">
        <v>293</v>
      </c>
      <c r="B294">
        <v>293</v>
      </c>
      <c r="C294" t="s">
        <v>72</v>
      </c>
      <c r="D294" t="s">
        <v>81</v>
      </c>
      <c r="E294" t="s">
        <v>74</v>
      </c>
      <c r="F294" t="s">
        <v>77</v>
      </c>
      <c r="G294" t="s">
        <v>76</v>
      </c>
      <c r="H294">
        <v>42.383862759103813</v>
      </c>
      <c r="I294">
        <v>1</v>
      </c>
      <c r="J294">
        <v>7</v>
      </c>
      <c r="K294">
        <v>8</v>
      </c>
      <c r="L294">
        <v>-1</v>
      </c>
      <c r="M294">
        <v>7</v>
      </c>
      <c r="N294">
        <v>8</v>
      </c>
      <c r="O294">
        <v>-1</v>
      </c>
      <c r="P294">
        <v>8</v>
      </c>
      <c r="Q294">
        <v>5</v>
      </c>
      <c r="R294">
        <v>3</v>
      </c>
      <c r="S294">
        <v>8</v>
      </c>
      <c r="T294">
        <v>8</v>
      </c>
      <c r="U294">
        <v>0</v>
      </c>
      <c r="V294">
        <v>9</v>
      </c>
      <c r="W294">
        <v>5</v>
      </c>
      <c r="X294">
        <v>4</v>
      </c>
      <c r="Y294">
        <v>9</v>
      </c>
      <c r="Z294">
        <v>6</v>
      </c>
      <c r="AA294">
        <v>3</v>
      </c>
      <c r="AB294">
        <v>8</v>
      </c>
      <c r="AC294">
        <v>5</v>
      </c>
      <c r="AD294">
        <v>3</v>
      </c>
      <c r="AE294">
        <v>9</v>
      </c>
      <c r="AF294">
        <v>6</v>
      </c>
      <c r="AG294">
        <v>3</v>
      </c>
      <c r="AH294">
        <v>9</v>
      </c>
      <c r="AI294">
        <v>6</v>
      </c>
      <c r="AJ294">
        <v>3</v>
      </c>
      <c r="AK294" t="s">
        <v>2864</v>
      </c>
      <c r="AL294" t="s">
        <v>2865</v>
      </c>
      <c r="AM294" t="s">
        <v>2866</v>
      </c>
      <c r="AN294" t="s">
        <v>2867</v>
      </c>
      <c r="AO294" t="s">
        <v>2868</v>
      </c>
      <c r="AP294" t="s">
        <v>2869</v>
      </c>
      <c r="AQ294" t="s">
        <v>2870</v>
      </c>
      <c r="AR294" t="s">
        <v>2871</v>
      </c>
      <c r="AS294" t="s">
        <v>2872</v>
      </c>
    </row>
    <row r="295" spans="1:45" x14ac:dyDescent="0.45">
      <c r="A295">
        <v>294</v>
      </c>
      <c r="B295">
        <v>294</v>
      </c>
      <c r="C295" t="s">
        <v>72</v>
      </c>
      <c r="D295" t="s">
        <v>81</v>
      </c>
      <c r="E295" t="s">
        <v>74</v>
      </c>
      <c r="F295" t="s">
        <v>77</v>
      </c>
      <c r="G295" t="s">
        <v>76</v>
      </c>
      <c r="H295">
        <v>61.581465715174531</v>
      </c>
      <c r="I295">
        <v>3</v>
      </c>
      <c r="J295">
        <v>8</v>
      </c>
      <c r="K295">
        <v>6</v>
      </c>
      <c r="L295">
        <v>2</v>
      </c>
      <c r="M295">
        <v>9</v>
      </c>
      <c r="N295">
        <v>6</v>
      </c>
      <c r="O295">
        <v>3</v>
      </c>
      <c r="P295">
        <v>8</v>
      </c>
      <c r="Q295">
        <v>3</v>
      </c>
      <c r="R295">
        <v>5</v>
      </c>
      <c r="S295">
        <v>9</v>
      </c>
      <c r="T295">
        <v>7</v>
      </c>
      <c r="U295">
        <v>2</v>
      </c>
      <c r="V295">
        <v>8</v>
      </c>
      <c r="W295">
        <v>5</v>
      </c>
      <c r="X295">
        <v>3</v>
      </c>
      <c r="Y295">
        <v>9</v>
      </c>
      <c r="Z295">
        <v>6</v>
      </c>
      <c r="AA295">
        <v>3</v>
      </c>
      <c r="AB295">
        <v>8</v>
      </c>
      <c r="AC295">
        <v>5</v>
      </c>
      <c r="AD295">
        <v>3</v>
      </c>
      <c r="AE295">
        <v>7</v>
      </c>
      <c r="AF295">
        <v>5</v>
      </c>
      <c r="AG295">
        <v>2</v>
      </c>
      <c r="AH295">
        <v>8</v>
      </c>
      <c r="AI295">
        <v>6</v>
      </c>
      <c r="AJ295">
        <v>2</v>
      </c>
      <c r="AK295" t="s">
        <v>2873</v>
      </c>
      <c r="AL295" t="s">
        <v>2874</v>
      </c>
      <c r="AM295" t="s">
        <v>2875</v>
      </c>
      <c r="AN295" t="s">
        <v>2876</v>
      </c>
      <c r="AO295" t="s">
        <v>2877</v>
      </c>
      <c r="AP295" t="s">
        <v>2878</v>
      </c>
      <c r="AQ295" t="s">
        <v>2879</v>
      </c>
      <c r="AR295" t="s">
        <v>2880</v>
      </c>
      <c r="AS295" t="s">
        <v>2881</v>
      </c>
    </row>
    <row r="296" spans="1:45" x14ac:dyDescent="0.45">
      <c r="A296">
        <v>295</v>
      </c>
      <c r="B296">
        <v>295</v>
      </c>
      <c r="C296" t="s">
        <v>78</v>
      </c>
      <c r="D296" t="s">
        <v>189</v>
      </c>
      <c r="E296" t="s">
        <v>74</v>
      </c>
      <c r="F296" t="s">
        <v>77</v>
      </c>
      <c r="G296" t="s">
        <v>76</v>
      </c>
      <c r="H296">
        <v>24.130267283277423</v>
      </c>
      <c r="I296">
        <v>0</v>
      </c>
      <c r="J296">
        <v>9</v>
      </c>
      <c r="K296">
        <v>8</v>
      </c>
      <c r="L296">
        <v>1</v>
      </c>
      <c r="M296">
        <v>9</v>
      </c>
      <c r="N296">
        <v>9</v>
      </c>
      <c r="O296">
        <v>0</v>
      </c>
      <c r="P296">
        <v>8</v>
      </c>
      <c r="Q296">
        <v>9</v>
      </c>
      <c r="R296">
        <v>-1</v>
      </c>
      <c r="S296">
        <v>9</v>
      </c>
      <c r="T296">
        <v>10</v>
      </c>
      <c r="U296">
        <v>-1</v>
      </c>
      <c r="V296">
        <v>8</v>
      </c>
      <c r="W296">
        <v>8</v>
      </c>
      <c r="X296">
        <v>0</v>
      </c>
      <c r="Y296">
        <v>9</v>
      </c>
      <c r="Z296">
        <v>8</v>
      </c>
      <c r="AA296">
        <v>1</v>
      </c>
      <c r="AB296">
        <v>8</v>
      </c>
      <c r="AC296">
        <v>9</v>
      </c>
      <c r="AD296">
        <v>-1</v>
      </c>
      <c r="AE296">
        <v>9</v>
      </c>
      <c r="AF296">
        <v>10</v>
      </c>
      <c r="AG296">
        <v>-1</v>
      </c>
      <c r="AH296">
        <v>9</v>
      </c>
      <c r="AI296">
        <v>10</v>
      </c>
      <c r="AJ296">
        <v>-1</v>
      </c>
      <c r="AK296" t="s">
        <v>2882</v>
      </c>
      <c r="AL296" t="s">
        <v>2883</v>
      </c>
      <c r="AM296" t="s">
        <v>2884</v>
      </c>
      <c r="AN296" t="s">
        <v>2885</v>
      </c>
      <c r="AO296" t="s">
        <v>2886</v>
      </c>
      <c r="AP296" t="s">
        <v>2887</v>
      </c>
      <c r="AQ296" t="s">
        <v>2888</v>
      </c>
      <c r="AR296" t="s">
        <v>2889</v>
      </c>
      <c r="AS296" t="s">
        <v>2890</v>
      </c>
    </row>
    <row r="297" spans="1:45" x14ac:dyDescent="0.45">
      <c r="A297">
        <v>296</v>
      </c>
      <c r="B297">
        <v>296</v>
      </c>
      <c r="C297" t="s">
        <v>78</v>
      </c>
      <c r="D297" t="s">
        <v>193</v>
      </c>
      <c r="E297" t="s">
        <v>74</v>
      </c>
      <c r="F297" t="s">
        <v>77</v>
      </c>
      <c r="G297" t="s">
        <v>76</v>
      </c>
      <c r="H297">
        <v>12</v>
      </c>
      <c r="I297">
        <v>0</v>
      </c>
      <c r="J297">
        <v>9</v>
      </c>
      <c r="K297">
        <v>7</v>
      </c>
      <c r="L297">
        <v>2</v>
      </c>
      <c r="M297">
        <v>8</v>
      </c>
      <c r="N297">
        <v>7</v>
      </c>
      <c r="O297">
        <v>1</v>
      </c>
      <c r="P297">
        <v>9</v>
      </c>
      <c r="Q297">
        <v>6</v>
      </c>
      <c r="R297">
        <v>3</v>
      </c>
      <c r="S297">
        <v>8</v>
      </c>
      <c r="T297">
        <v>7</v>
      </c>
      <c r="U297">
        <v>1</v>
      </c>
      <c r="V297">
        <v>9</v>
      </c>
      <c r="W297">
        <v>7</v>
      </c>
      <c r="X297">
        <v>2</v>
      </c>
      <c r="Y297">
        <v>8</v>
      </c>
      <c r="Z297">
        <v>1</v>
      </c>
      <c r="AA297">
        <v>7</v>
      </c>
      <c r="AB297">
        <v>9</v>
      </c>
      <c r="AC297">
        <v>5</v>
      </c>
      <c r="AD297">
        <v>4</v>
      </c>
      <c r="AE297">
        <v>8</v>
      </c>
      <c r="AF297">
        <v>7</v>
      </c>
      <c r="AG297">
        <v>1</v>
      </c>
      <c r="AH297">
        <v>9</v>
      </c>
      <c r="AI297">
        <v>7</v>
      </c>
      <c r="AJ297">
        <v>2</v>
      </c>
      <c r="AK297" t="s">
        <v>2891</v>
      </c>
      <c r="AL297" t="s">
        <v>2892</v>
      </c>
      <c r="AM297" t="s">
        <v>2893</v>
      </c>
      <c r="AN297" t="s">
        <v>2894</v>
      </c>
      <c r="AO297" t="s">
        <v>2895</v>
      </c>
      <c r="AP297" t="s">
        <v>2896</v>
      </c>
      <c r="AQ297" t="s">
        <v>2897</v>
      </c>
      <c r="AR297" t="s">
        <v>2898</v>
      </c>
      <c r="AS297" t="s">
        <v>2899</v>
      </c>
    </row>
    <row r="298" spans="1:45" x14ac:dyDescent="0.45">
      <c r="A298">
        <v>297</v>
      </c>
      <c r="B298">
        <v>297</v>
      </c>
      <c r="C298" t="s">
        <v>72</v>
      </c>
      <c r="D298" t="s">
        <v>73</v>
      </c>
      <c r="E298" t="s">
        <v>74</v>
      </c>
      <c r="F298" t="s">
        <v>77</v>
      </c>
      <c r="G298" t="s">
        <v>76</v>
      </c>
      <c r="H298">
        <v>49.565552314063524</v>
      </c>
      <c r="I298">
        <v>2</v>
      </c>
      <c r="J298">
        <v>8</v>
      </c>
      <c r="K298">
        <v>5</v>
      </c>
      <c r="L298">
        <v>3</v>
      </c>
      <c r="M298">
        <v>9</v>
      </c>
      <c r="N298">
        <v>10</v>
      </c>
      <c r="O298">
        <v>-1</v>
      </c>
      <c r="P298">
        <v>9</v>
      </c>
      <c r="Q298">
        <v>5</v>
      </c>
      <c r="R298">
        <v>4</v>
      </c>
      <c r="S298">
        <v>8</v>
      </c>
      <c r="T298">
        <v>5</v>
      </c>
      <c r="U298">
        <v>3</v>
      </c>
      <c r="V298">
        <v>8</v>
      </c>
      <c r="W298">
        <v>2</v>
      </c>
      <c r="X298">
        <v>6</v>
      </c>
      <c r="Y298">
        <v>9</v>
      </c>
      <c r="Z298">
        <v>3</v>
      </c>
      <c r="AA298">
        <v>6</v>
      </c>
      <c r="AB298">
        <v>8</v>
      </c>
      <c r="AC298">
        <v>2</v>
      </c>
      <c r="AD298">
        <v>6</v>
      </c>
      <c r="AE298">
        <v>7</v>
      </c>
      <c r="AF298">
        <v>5</v>
      </c>
      <c r="AG298">
        <v>2</v>
      </c>
      <c r="AH298">
        <v>9</v>
      </c>
      <c r="AI298">
        <v>5</v>
      </c>
      <c r="AJ298">
        <v>4</v>
      </c>
      <c r="AK298" t="s">
        <v>2900</v>
      </c>
      <c r="AL298" t="s">
        <v>2901</v>
      </c>
      <c r="AM298" t="s">
        <v>2902</v>
      </c>
      <c r="AN298" t="s">
        <v>2903</v>
      </c>
      <c r="AO298" t="s">
        <v>2904</v>
      </c>
      <c r="AP298" t="s">
        <v>2905</v>
      </c>
      <c r="AQ298" t="s">
        <v>2906</v>
      </c>
      <c r="AR298" t="s">
        <v>2907</v>
      </c>
      <c r="AS298" t="s">
        <v>2908</v>
      </c>
    </row>
    <row r="299" spans="1:45" x14ac:dyDescent="0.45">
      <c r="A299">
        <v>298</v>
      </c>
      <c r="B299">
        <v>298</v>
      </c>
      <c r="C299" t="s">
        <v>78</v>
      </c>
      <c r="D299" t="s">
        <v>73</v>
      </c>
      <c r="E299" t="s">
        <v>74</v>
      </c>
      <c r="F299" t="s">
        <v>77</v>
      </c>
      <c r="G299" t="s">
        <v>162</v>
      </c>
      <c r="H299">
        <v>12</v>
      </c>
      <c r="I299">
        <v>0</v>
      </c>
      <c r="J299">
        <v>6</v>
      </c>
      <c r="K299">
        <v>5</v>
      </c>
      <c r="L299">
        <v>1</v>
      </c>
      <c r="M299">
        <v>7</v>
      </c>
      <c r="N299">
        <v>5</v>
      </c>
      <c r="O299">
        <v>2</v>
      </c>
      <c r="P299">
        <v>9</v>
      </c>
      <c r="Q299">
        <v>5</v>
      </c>
      <c r="R299">
        <v>4</v>
      </c>
      <c r="S299">
        <v>8</v>
      </c>
      <c r="T299">
        <v>10</v>
      </c>
      <c r="U299">
        <v>-2</v>
      </c>
      <c r="V299">
        <v>7</v>
      </c>
      <c r="W299">
        <v>10</v>
      </c>
      <c r="X299">
        <v>-3</v>
      </c>
      <c r="Y299">
        <v>9</v>
      </c>
      <c r="Z299">
        <v>5</v>
      </c>
      <c r="AA299">
        <v>4</v>
      </c>
      <c r="AB299">
        <v>8</v>
      </c>
      <c r="AC299">
        <v>5</v>
      </c>
      <c r="AD299">
        <v>3</v>
      </c>
      <c r="AE299">
        <v>7</v>
      </c>
      <c r="AF299">
        <v>5</v>
      </c>
      <c r="AG299">
        <v>2</v>
      </c>
      <c r="AH299">
        <v>9</v>
      </c>
      <c r="AI299">
        <v>5</v>
      </c>
      <c r="AJ299">
        <v>4</v>
      </c>
      <c r="AK299" t="s">
        <v>2909</v>
      </c>
      <c r="AL299" t="s">
        <v>2910</v>
      </c>
      <c r="AM299" t="s">
        <v>2911</v>
      </c>
      <c r="AN299" t="s">
        <v>2912</v>
      </c>
      <c r="AO299" t="s">
        <v>2913</v>
      </c>
      <c r="AP299" t="s">
        <v>2914</v>
      </c>
      <c r="AQ299" t="s">
        <v>2915</v>
      </c>
      <c r="AR299" t="s">
        <v>2916</v>
      </c>
      <c r="AS299" t="s">
        <v>2917</v>
      </c>
    </row>
    <row r="300" spans="1:45" x14ac:dyDescent="0.45">
      <c r="A300">
        <v>299</v>
      </c>
      <c r="B300">
        <v>299</v>
      </c>
      <c r="C300" t="s">
        <v>78</v>
      </c>
      <c r="D300" t="s">
        <v>73</v>
      </c>
      <c r="E300" t="s">
        <v>74</v>
      </c>
      <c r="F300" t="s">
        <v>75</v>
      </c>
      <c r="G300" t="s">
        <v>76</v>
      </c>
      <c r="H300">
        <v>42.67982978471175</v>
      </c>
      <c r="I300">
        <v>0</v>
      </c>
      <c r="J300">
        <v>6</v>
      </c>
      <c r="K300">
        <v>10</v>
      </c>
      <c r="L300">
        <v>-4</v>
      </c>
      <c r="M300">
        <v>6</v>
      </c>
      <c r="N300">
        <v>10</v>
      </c>
      <c r="O300">
        <v>-4</v>
      </c>
      <c r="P300">
        <v>9</v>
      </c>
      <c r="Q300">
        <v>10</v>
      </c>
      <c r="R300">
        <v>-1</v>
      </c>
      <c r="S300">
        <v>8</v>
      </c>
      <c r="T300">
        <v>10</v>
      </c>
      <c r="U300">
        <v>-2</v>
      </c>
      <c r="V300">
        <v>7</v>
      </c>
      <c r="W300">
        <v>10</v>
      </c>
      <c r="X300">
        <v>-3</v>
      </c>
      <c r="Y300">
        <v>8</v>
      </c>
      <c r="Z300">
        <v>10</v>
      </c>
      <c r="AA300">
        <v>-2</v>
      </c>
      <c r="AB300">
        <v>7</v>
      </c>
      <c r="AC300">
        <v>10</v>
      </c>
      <c r="AD300">
        <v>-3</v>
      </c>
      <c r="AE300">
        <v>6</v>
      </c>
      <c r="AF300">
        <v>10</v>
      </c>
      <c r="AG300">
        <v>-4</v>
      </c>
      <c r="AH300">
        <v>8</v>
      </c>
      <c r="AI300">
        <v>10</v>
      </c>
      <c r="AJ300">
        <v>-2</v>
      </c>
      <c r="AK300" t="s">
        <v>2918</v>
      </c>
      <c r="AL300" t="s">
        <v>2919</v>
      </c>
      <c r="AM300" t="s">
        <v>2920</v>
      </c>
      <c r="AN300" t="s">
        <v>2921</v>
      </c>
      <c r="AO300" t="s">
        <v>2922</v>
      </c>
      <c r="AP300" t="s">
        <v>2923</v>
      </c>
      <c r="AQ300" t="s">
        <v>2924</v>
      </c>
      <c r="AR300" t="s">
        <v>2925</v>
      </c>
      <c r="AS300" t="s">
        <v>2926</v>
      </c>
    </row>
    <row r="301" spans="1:45" x14ac:dyDescent="0.45">
      <c r="A301">
        <v>300</v>
      </c>
      <c r="B301">
        <v>300</v>
      </c>
      <c r="C301" t="s">
        <v>78</v>
      </c>
      <c r="D301" t="s">
        <v>73</v>
      </c>
      <c r="E301" t="s">
        <v>74</v>
      </c>
      <c r="F301" t="s">
        <v>77</v>
      </c>
      <c r="G301" t="s">
        <v>76</v>
      </c>
      <c r="H301">
        <v>28.362960709350027</v>
      </c>
      <c r="I301">
        <v>1</v>
      </c>
      <c r="J301">
        <v>6</v>
      </c>
      <c r="K301">
        <v>9</v>
      </c>
      <c r="L301">
        <v>-3</v>
      </c>
      <c r="M301">
        <v>7</v>
      </c>
      <c r="N301">
        <v>9</v>
      </c>
      <c r="O301">
        <v>-2</v>
      </c>
      <c r="P301">
        <v>9</v>
      </c>
      <c r="Q301">
        <v>8</v>
      </c>
      <c r="R301">
        <v>1</v>
      </c>
      <c r="S301">
        <v>8</v>
      </c>
      <c r="T301">
        <v>10</v>
      </c>
      <c r="U301">
        <v>-2</v>
      </c>
      <c r="V301">
        <v>7</v>
      </c>
      <c r="W301">
        <v>8</v>
      </c>
      <c r="X301">
        <v>-1</v>
      </c>
      <c r="Y301">
        <v>8</v>
      </c>
      <c r="Z301">
        <v>8</v>
      </c>
      <c r="AA301">
        <v>0</v>
      </c>
      <c r="AB301">
        <v>7</v>
      </c>
      <c r="AC301">
        <v>10</v>
      </c>
      <c r="AD301">
        <v>-3</v>
      </c>
      <c r="AE301">
        <v>6</v>
      </c>
      <c r="AF301">
        <v>9</v>
      </c>
      <c r="AG301">
        <v>-3</v>
      </c>
      <c r="AH301">
        <v>9</v>
      </c>
      <c r="AI301">
        <v>9</v>
      </c>
      <c r="AJ301">
        <v>0</v>
      </c>
      <c r="AK301" t="s">
        <v>2927</v>
      </c>
      <c r="AL301" t="s">
        <v>2928</v>
      </c>
      <c r="AM301" t="s">
        <v>2929</v>
      </c>
      <c r="AN301" t="s">
        <v>282</v>
      </c>
      <c r="AO301" t="s">
        <v>2930</v>
      </c>
      <c r="AP301" t="s">
        <v>2931</v>
      </c>
      <c r="AQ301" t="s">
        <v>2932</v>
      </c>
      <c r="AR301" t="s">
        <v>2933</v>
      </c>
      <c r="AS301" t="s">
        <v>2934</v>
      </c>
    </row>
    <row r="302" spans="1:45" x14ac:dyDescent="0.45">
      <c r="A302">
        <v>301</v>
      </c>
      <c r="B302">
        <v>301</v>
      </c>
      <c r="C302" t="s">
        <v>78</v>
      </c>
      <c r="D302" t="s">
        <v>81</v>
      </c>
      <c r="E302" t="s">
        <v>74</v>
      </c>
      <c r="F302" t="s">
        <v>77</v>
      </c>
      <c r="G302" t="s">
        <v>76</v>
      </c>
      <c r="H302">
        <v>12</v>
      </c>
      <c r="I302">
        <v>0</v>
      </c>
      <c r="J302">
        <v>7</v>
      </c>
      <c r="K302">
        <v>8</v>
      </c>
      <c r="L302">
        <v>-1</v>
      </c>
      <c r="M302">
        <v>8</v>
      </c>
      <c r="N302">
        <v>7</v>
      </c>
      <c r="O302">
        <v>1</v>
      </c>
      <c r="P302">
        <v>9</v>
      </c>
      <c r="Q302">
        <v>9</v>
      </c>
      <c r="R302">
        <v>0</v>
      </c>
      <c r="S302">
        <v>9</v>
      </c>
      <c r="T302">
        <v>5</v>
      </c>
      <c r="U302">
        <v>4</v>
      </c>
      <c r="V302">
        <v>8</v>
      </c>
      <c r="W302">
        <v>7</v>
      </c>
      <c r="X302">
        <v>1</v>
      </c>
      <c r="Y302">
        <v>9</v>
      </c>
      <c r="Z302">
        <v>7</v>
      </c>
      <c r="AA302">
        <v>2</v>
      </c>
      <c r="AB302">
        <v>8</v>
      </c>
      <c r="AC302">
        <v>7</v>
      </c>
      <c r="AD302">
        <v>1</v>
      </c>
      <c r="AE302">
        <v>7</v>
      </c>
      <c r="AF302">
        <v>6</v>
      </c>
      <c r="AG302">
        <v>1</v>
      </c>
      <c r="AH302">
        <v>9</v>
      </c>
      <c r="AI302">
        <v>7</v>
      </c>
      <c r="AJ302">
        <v>2</v>
      </c>
      <c r="AK302" t="s">
        <v>2935</v>
      </c>
      <c r="AL302" t="s">
        <v>2936</v>
      </c>
      <c r="AM302" t="s">
        <v>2937</v>
      </c>
      <c r="AN302" t="s">
        <v>2938</v>
      </c>
      <c r="AO302" t="s">
        <v>2939</v>
      </c>
      <c r="AP302" t="s">
        <v>2940</v>
      </c>
      <c r="AQ302" t="s">
        <v>2941</v>
      </c>
      <c r="AR302" t="s">
        <v>2942</v>
      </c>
      <c r="AS302" t="s">
        <v>2943</v>
      </c>
    </row>
    <row r="303" spans="1:45" x14ac:dyDescent="0.45">
      <c r="A303">
        <v>302</v>
      </c>
      <c r="B303">
        <v>302</v>
      </c>
      <c r="C303" t="s">
        <v>72</v>
      </c>
      <c r="D303" t="s">
        <v>73</v>
      </c>
      <c r="E303" t="s">
        <v>74</v>
      </c>
      <c r="F303" t="s">
        <v>77</v>
      </c>
      <c r="G303" t="s">
        <v>76</v>
      </c>
      <c r="H303">
        <v>29.07797034792781</v>
      </c>
      <c r="I303">
        <v>0</v>
      </c>
      <c r="J303">
        <v>7</v>
      </c>
      <c r="K303">
        <v>7</v>
      </c>
      <c r="L303">
        <v>0</v>
      </c>
      <c r="M303">
        <v>6</v>
      </c>
      <c r="N303">
        <v>7</v>
      </c>
      <c r="O303">
        <v>-1</v>
      </c>
      <c r="P303">
        <v>5</v>
      </c>
      <c r="Q303">
        <v>4</v>
      </c>
      <c r="R303">
        <v>1</v>
      </c>
      <c r="S303">
        <v>9</v>
      </c>
      <c r="T303">
        <v>8</v>
      </c>
      <c r="U303">
        <v>1</v>
      </c>
      <c r="V303">
        <v>7</v>
      </c>
      <c r="W303">
        <v>7</v>
      </c>
      <c r="X303">
        <v>0</v>
      </c>
      <c r="Y303">
        <v>8</v>
      </c>
      <c r="Z303">
        <v>7</v>
      </c>
      <c r="AA303">
        <v>1</v>
      </c>
      <c r="AB303">
        <v>7</v>
      </c>
      <c r="AC303">
        <v>5</v>
      </c>
      <c r="AD303">
        <v>2</v>
      </c>
      <c r="AE303">
        <v>6</v>
      </c>
      <c r="AF303">
        <v>5</v>
      </c>
      <c r="AG303">
        <v>1</v>
      </c>
      <c r="AH303">
        <v>8</v>
      </c>
      <c r="AI303">
        <v>7</v>
      </c>
      <c r="AJ303">
        <v>1</v>
      </c>
      <c r="AK303" t="s">
        <v>2944</v>
      </c>
      <c r="AL303" t="s">
        <v>2945</v>
      </c>
      <c r="AM303" t="s">
        <v>2946</v>
      </c>
      <c r="AN303" t="s">
        <v>2947</v>
      </c>
      <c r="AO303" t="s">
        <v>2948</v>
      </c>
      <c r="AP303" t="s">
        <v>2949</v>
      </c>
      <c r="AQ303" t="s">
        <v>2950</v>
      </c>
      <c r="AR303" t="s">
        <v>2951</v>
      </c>
      <c r="AS303" t="s">
        <v>2952</v>
      </c>
    </row>
    <row r="304" spans="1:45" x14ac:dyDescent="0.45">
      <c r="A304">
        <v>303</v>
      </c>
      <c r="B304">
        <v>303</v>
      </c>
      <c r="C304" t="s">
        <v>78</v>
      </c>
      <c r="D304" t="s">
        <v>73</v>
      </c>
      <c r="E304" t="s">
        <v>74</v>
      </c>
      <c r="F304" t="s">
        <v>77</v>
      </c>
      <c r="G304" t="s">
        <v>76</v>
      </c>
      <c r="H304">
        <v>24.715459353125222</v>
      </c>
      <c r="I304">
        <v>2</v>
      </c>
      <c r="J304">
        <v>7</v>
      </c>
      <c r="K304">
        <v>6</v>
      </c>
      <c r="L304">
        <v>1</v>
      </c>
      <c r="M304">
        <v>8</v>
      </c>
      <c r="N304">
        <v>10</v>
      </c>
      <c r="O304">
        <v>-2</v>
      </c>
      <c r="P304">
        <v>9</v>
      </c>
      <c r="Q304">
        <v>5</v>
      </c>
      <c r="R304">
        <v>4</v>
      </c>
      <c r="S304">
        <v>10</v>
      </c>
      <c r="T304">
        <v>4</v>
      </c>
      <c r="U304">
        <v>6</v>
      </c>
      <c r="V304">
        <v>9</v>
      </c>
      <c r="W304">
        <v>3</v>
      </c>
      <c r="X304">
        <v>6</v>
      </c>
      <c r="Y304">
        <v>9</v>
      </c>
      <c r="Z304">
        <v>7</v>
      </c>
      <c r="AA304">
        <v>2</v>
      </c>
      <c r="AB304">
        <v>8</v>
      </c>
      <c r="AC304">
        <v>4</v>
      </c>
      <c r="AD304">
        <v>4</v>
      </c>
      <c r="AE304">
        <v>9</v>
      </c>
      <c r="AF304">
        <v>4</v>
      </c>
      <c r="AG304">
        <v>5</v>
      </c>
      <c r="AH304">
        <v>10</v>
      </c>
      <c r="AI304">
        <v>5</v>
      </c>
      <c r="AJ304">
        <v>5</v>
      </c>
      <c r="AK304" t="s">
        <v>2953</v>
      </c>
      <c r="AL304" t="s">
        <v>2954</v>
      </c>
      <c r="AM304" t="s">
        <v>2955</v>
      </c>
      <c r="AN304" t="s">
        <v>2956</v>
      </c>
      <c r="AO304" t="s">
        <v>2957</v>
      </c>
      <c r="AP304" t="s">
        <v>2958</v>
      </c>
      <c r="AQ304" t="s">
        <v>2959</v>
      </c>
      <c r="AR304" t="s">
        <v>2960</v>
      </c>
      <c r="AS304" t="s">
        <v>2961</v>
      </c>
    </row>
    <row r="305" spans="1:45" x14ac:dyDescent="0.45">
      <c r="A305">
        <v>304</v>
      </c>
      <c r="B305">
        <v>304</v>
      </c>
      <c r="C305" t="s">
        <v>78</v>
      </c>
      <c r="D305" t="s">
        <v>81</v>
      </c>
      <c r="E305" t="s">
        <v>74</v>
      </c>
      <c r="F305" t="s">
        <v>75</v>
      </c>
      <c r="G305" t="s">
        <v>76</v>
      </c>
      <c r="H305">
        <v>12</v>
      </c>
      <c r="I305">
        <v>0</v>
      </c>
      <c r="J305">
        <v>6</v>
      </c>
      <c r="K305">
        <v>10</v>
      </c>
      <c r="L305">
        <v>-4</v>
      </c>
      <c r="M305">
        <v>7</v>
      </c>
      <c r="N305">
        <v>10</v>
      </c>
      <c r="O305">
        <v>-3</v>
      </c>
      <c r="P305">
        <v>9</v>
      </c>
      <c r="Q305">
        <v>10</v>
      </c>
      <c r="R305">
        <v>-1</v>
      </c>
      <c r="S305">
        <v>8</v>
      </c>
      <c r="T305">
        <v>10</v>
      </c>
      <c r="U305">
        <v>-2</v>
      </c>
      <c r="V305">
        <v>7</v>
      </c>
      <c r="W305">
        <v>10</v>
      </c>
      <c r="X305">
        <v>-3</v>
      </c>
      <c r="Y305">
        <v>8</v>
      </c>
      <c r="Z305">
        <v>10</v>
      </c>
      <c r="AA305">
        <v>-2</v>
      </c>
      <c r="AB305">
        <v>6</v>
      </c>
      <c r="AC305">
        <v>10</v>
      </c>
      <c r="AD305">
        <v>-4</v>
      </c>
      <c r="AE305">
        <v>7</v>
      </c>
      <c r="AF305">
        <v>10</v>
      </c>
      <c r="AG305">
        <v>-3</v>
      </c>
      <c r="AH305">
        <v>8</v>
      </c>
      <c r="AI305">
        <v>10</v>
      </c>
      <c r="AJ305">
        <v>-2</v>
      </c>
      <c r="AK305" t="s">
        <v>2962</v>
      </c>
      <c r="AL305" t="s">
        <v>2963</v>
      </c>
      <c r="AM305" t="s">
        <v>2964</v>
      </c>
      <c r="AN305" t="s">
        <v>2965</v>
      </c>
      <c r="AO305" t="s">
        <v>2966</v>
      </c>
      <c r="AP305" t="s">
        <v>2967</v>
      </c>
      <c r="AQ305" t="s">
        <v>2968</v>
      </c>
      <c r="AR305" t="s">
        <v>2969</v>
      </c>
      <c r="AS305" t="s">
        <v>2970</v>
      </c>
    </row>
    <row r="306" spans="1:45" x14ac:dyDescent="0.45">
      <c r="A306">
        <v>305</v>
      </c>
      <c r="B306">
        <v>305</v>
      </c>
      <c r="C306" t="s">
        <v>78</v>
      </c>
      <c r="D306" t="s">
        <v>73</v>
      </c>
      <c r="E306" t="s">
        <v>74</v>
      </c>
      <c r="F306" t="s">
        <v>77</v>
      </c>
      <c r="G306" t="s">
        <v>76</v>
      </c>
      <c r="H306">
        <v>42.728402126060701</v>
      </c>
      <c r="I306">
        <v>0</v>
      </c>
      <c r="J306">
        <v>9</v>
      </c>
      <c r="K306">
        <v>7</v>
      </c>
      <c r="L306">
        <v>2</v>
      </c>
      <c r="M306">
        <v>8</v>
      </c>
      <c r="N306">
        <v>9</v>
      </c>
      <c r="O306">
        <v>-1</v>
      </c>
      <c r="P306">
        <v>9</v>
      </c>
      <c r="Q306">
        <v>8</v>
      </c>
      <c r="R306">
        <v>1</v>
      </c>
      <c r="S306">
        <v>8</v>
      </c>
      <c r="T306">
        <v>6</v>
      </c>
      <c r="U306">
        <v>2</v>
      </c>
      <c r="V306">
        <v>9</v>
      </c>
      <c r="W306">
        <v>5</v>
      </c>
      <c r="X306">
        <v>4</v>
      </c>
      <c r="Y306">
        <v>8</v>
      </c>
      <c r="Z306">
        <v>3</v>
      </c>
      <c r="AA306">
        <v>5</v>
      </c>
      <c r="AB306">
        <v>9</v>
      </c>
      <c r="AC306">
        <v>9</v>
      </c>
      <c r="AD306">
        <v>0</v>
      </c>
      <c r="AE306">
        <v>8</v>
      </c>
      <c r="AF306">
        <v>3</v>
      </c>
      <c r="AG306">
        <v>5</v>
      </c>
      <c r="AH306">
        <v>9</v>
      </c>
      <c r="AI306">
        <v>4</v>
      </c>
      <c r="AJ306">
        <v>5</v>
      </c>
      <c r="AK306" t="s">
        <v>2971</v>
      </c>
      <c r="AL306" t="s">
        <v>2972</v>
      </c>
      <c r="AM306" t="s">
        <v>2973</v>
      </c>
      <c r="AN306" t="s">
        <v>2974</v>
      </c>
      <c r="AO306" t="s">
        <v>2975</v>
      </c>
      <c r="AP306" t="s">
        <v>2976</v>
      </c>
      <c r="AQ306" t="s">
        <v>2977</v>
      </c>
      <c r="AR306" t="s">
        <v>2978</v>
      </c>
      <c r="AS306" t="s">
        <v>2979</v>
      </c>
    </row>
    <row r="307" spans="1:45" x14ac:dyDescent="0.45">
      <c r="A307">
        <v>306</v>
      </c>
      <c r="B307">
        <v>306</v>
      </c>
      <c r="C307" t="s">
        <v>72</v>
      </c>
      <c r="D307" t="s">
        <v>79</v>
      </c>
      <c r="E307" t="s">
        <v>74</v>
      </c>
      <c r="F307" t="s">
        <v>77</v>
      </c>
      <c r="G307" t="s">
        <v>76</v>
      </c>
      <c r="H307">
        <v>49.219903849791024</v>
      </c>
      <c r="I307">
        <v>3</v>
      </c>
      <c r="J307">
        <v>6</v>
      </c>
      <c r="K307">
        <v>3</v>
      </c>
      <c r="L307">
        <v>3</v>
      </c>
      <c r="M307">
        <v>7</v>
      </c>
      <c r="N307">
        <v>8</v>
      </c>
      <c r="O307">
        <v>-1</v>
      </c>
      <c r="P307">
        <v>8</v>
      </c>
      <c r="Q307">
        <v>8</v>
      </c>
      <c r="R307">
        <v>0</v>
      </c>
      <c r="S307">
        <v>9</v>
      </c>
      <c r="T307">
        <v>4</v>
      </c>
      <c r="U307">
        <v>5</v>
      </c>
      <c r="V307">
        <v>7</v>
      </c>
      <c r="W307">
        <v>4</v>
      </c>
      <c r="X307">
        <v>3</v>
      </c>
      <c r="Y307">
        <v>9</v>
      </c>
      <c r="Z307">
        <v>3</v>
      </c>
      <c r="AA307">
        <v>6</v>
      </c>
      <c r="AB307">
        <v>8</v>
      </c>
      <c r="AC307">
        <v>7</v>
      </c>
      <c r="AD307">
        <v>1</v>
      </c>
      <c r="AE307">
        <v>7</v>
      </c>
      <c r="AF307">
        <v>5</v>
      </c>
      <c r="AG307">
        <v>2</v>
      </c>
      <c r="AH307">
        <v>9</v>
      </c>
      <c r="AI307">
        <v>5</v>
      </c>
      <c r="AJ307">
        <v>4</v>
      </c>
      <c r="AK307" t="s">
        <v>2980</v>
      </c>
      <c r="AL307" t="s">
        <v>2981</v>
      </c>
      <c r="AM307" t="s">
        <v>2982</v>
      </c>
      <c r="AN307" t="s">
        <v>2983</v>
      </c>
      <c r="AO307" t="s">
        <v>2984</v>
      </c>
      <c r="AP307" t="s">
        <v>2985</v>
      </c>
      <c r="AQ307" t="s">
        <v>2986</v>
      </c>
      <c r="AR307" t="s">
        <v>2987</v>
      </c>
      <c r="AS307" t="s">
        <v>2988</v>
      </c>
    </row>
    <row r="308" spans="1:45" x14ac:dyDescent="0.45">
      <c r="A308">
        <v>307</v>
      </c>
      <c r="B308">
        <v>307</v>
      </c>
      <c r="C308" t="s">
        <v>72</v>
      </c>
      <c r="D308" t="s">
        <v>193</v>
      </c>
      <c r="E308" t="s">
        <v>74</v>
      </c>
      <c r="F308" t="s">
        <v>75</v>
      </c>
      <c r="G308" t="s">
        <v>162</v>
      </c>
      <c r="H308">
        <v>15.164601648423663</v>
      </c>
      <c r="I308">
        <v>2</v>
      </c>
      <c r="J308">
        <v>6</v>
      </c>
      <c r="K308">
        <v>2</v>
      </c>
      <c r="L308">
        <v>4</v>
      </c>
      <c r="M308">
        <v>8</v>
      </c>
      <c r="N308">
        <v>2</v>
      </c>
      <c r="O308">
        <v>6</v>
      </c>
      <c r="P308">
        <v>7</v>
      </c>
      <c r="Q308">
        <v>2</v>
      </c>
      <c r="R308">
        <v>5</v>
      </c>
      <c r="S308">
        <v>9</v>
      </c>
      <c r="T308">
        <v>1</v>
      </c>
      <c r="U308">
        <v>8</v>
      </c>
      <c r="V308">
        <v>8</v>
      </c>
      <c r="W308">
        <v>2</v>
      </c>
      <c r="X308">
        <v>6</v>
      </c>
      <c r="Y308">
        <v>9</v>
      </c>
      <c r="Z308">
        <v>2</v>
      </c>
      <c r="AA308">
        <v>7</v>
      </c>
      <c r="AB308">
        <v>8</v>
      </c>
      <c r="AC308">
        <v>2</v>
      </c>
      <c r="AD308">
        <v>6</v>
      </c>
      <c r="AE308">
        <v>7</v>
      </c>
      <c r="AF308">
        <v>2</v>
      </c>
      <c r="AG308">
        <v>5</v>
      </c>
      <c r="AH308">
        <v>9</v>
      </c>
      <c r="AI308">
        <v>2</v>
      </c>
      <c r="AJ308">
        <v>7</v>
      </c>
      <c r="AK308" t="s">
        <v>2989</v>
      </c>
      <c r="AL308" t="s">
        <v>2990</v>
      </c>
      <c r="AM308" t="s">
        <v>2991</v>
      </c>
      <c r="AN308" t="s">
        <v>2992</v>
      </c>
      <c r="AO308" t="s">
        <v>2993</v>
      </c>
      <c r="AP308" t="s">
        <v>2994</v>
      </c>
      <c r="AQ308" t="s">
        <v>2995</v>
      </c>
      <c r="AR308" t="s">
        <v>2996</v>
      </c>
      <c r="AS308" t="s">
        <v>2997</v>
      </c>
    </row>
    <row r="309" spans="1:45" x14ac:dyDescent="0.45">
      <c r="A309">
        <v>308</v>
      </c>
      <c r="B309">
        <v>308</v>
      </c>
      <c r="C309" t="s">
        <v>72</v>
      </c>
      <c r="D309" t="s">
        <v>79</v>
      </c>
      <c r="E309" t="s">
        <v>74</v>
      </c>
      <c r="F309" t="s">
        <v>75</v>
      </c>
      <c r="G309" t="s">
        <v>76</v>
      </c>
      <c r="H309">
        <v>203.57795655092536</v>
      </c>
      <c r="I309">
        <v>2</v>
      </c>
      <c r="J309">
        <v>7</v>
      </c>
      <c r="K309">
        <v>10</v>
      </c>
      <c r="L309">
        <v>-3</v>
      </c>
      <c r="M309">
        <v>6</v>
      </c>
      <c r="N309">
        <v>8</v>
      </c>
      <c r="O309">
        <v>-2</v>
      </c>
      <c r="P309">
        <v>9</v>
      </c>
      <c r="Q309">
        <v>8</v>
      </c>
      <c r="R309">
        <v>1</v>
      </c>
      <c r="S309">
        <v>8</v>
      </c>
      <c r="T309">
        <v>8</v>
      </c>
      <c r="U309">
        <v>0</v>
      </c>
      <c r="V309">
        <v>7</v>
      </c>
      <c r="W309">
        <v>10</v>
      </c>
      <c r="X309">
        <v>-3</v>
      </c>
      <c r="Y309">
        <v>8</v>
      </c>
      <c r="Z309">
        <v>10</v>
      </c>
      <c r="AA309">
        <v>-2</v>
      </c>
      <c r="AB309">
        <v>7</v>
      </c>
      <c r="AC309">
        <v>6</v>
      </c>
      <c r="AD309">
        <v>1</v>
      </c>
      <c r="AE309">
        <v>6</v>
      </c>
      <c r="AF309">
        <v>8</v>
      </c>
      <c r="AG309">
        <v>-2</v>
      </c>
      <c r="AH309">
        <v>8</v>
      </c>
      <c r="AI309">
        <v>8</v>
      </c>
      <c r="AJ309">
        <v>0</v>
      </c>
      <c r="AK309" t="s">
        <v>2998</v>
      </c>
      <c r="AL309" t="s">
        <v>2999</v>
      </c>
      <c r="AM309" t="s">
        <v>3000</v>
      </c>
      <c r="AN309" t="s">
        <v>3001</v>
      </c>
      <c r="AO309" t="s">
        <v>3002</v>
      </c>
      <c r="AP309" t="s">
        <v>3003</v>
      </c>
      <c r="AQ309" t="s">
        <v>3004</v>
      </c>
      <c r="AR309" t="s">
        <v>3005</v>
      </c>
      <c r="AS309" t="s">
        <v>3006</v>
      </c>
    </row>
    <row r="310" spans="1:45" x14ac:dyDescent="0.45">
      <c r="A310">
        <v>309</v>
      </c>
      <c r="B310">
        <v>309</v>
      </c>
      <c r="C310" t="s">
        <v>78</v>
      </c>
      <c r="D310" t="s">
        <v>73</v>
      </c>
      <c r="E310" t="s">
        <v>74</v>
      </c>
      <c r="F310" t="s">
        <v>77</v>
      </c>
      <c r="G310" t="s">
        <v>76</v>
      </c>
      <c r="H310">
        <v>52.904460482162236</v>
      </c>
      <c r="I310">
        <v>1</v>
      </c>
      <c r="J310">
        <v>7</v>
      </c>
      <c r="K310">
        <v>10</v>
      </c>
      <c r="L310">
        <v>-3</v>
      </c>
      <c r="M310">
        <v>8</v>
      </c>
      <c r="N310">
        <v>10</v>
      </c>
      <c r="O310">
        <v>-2</v>
      </c>
      <c r="P310">
        <v>6</v>
      </c>
      <c r="Q310">
        <v>10</v>
      </c>
      <c r="R310">
        <v>-4</v>
      </c>
      <c r="S310">
        <v>9</v>
      </c>
      <c r="T310">
        <v>10</v>
      </c>
      <c r="U310">
        <v>-1</v>
      </c>
      <c r="V310">
        <v>6</v>
      </c>
      <c r="W310">
        <v>10</v>
      </c>
      <c r="X310">
        <v>-4</v>
      </c>
      <c r="Y310">
        <v>8</v>
      </c>
      <c r="Z310">
        <v>9</v>
      </c>
      <c r="AA310">
        <v>-1</v>
      </c>
      <c r="AB310">
        <v>6</v>
      </c>
      <c r="AC310">
        <v>9</v>
      </c>
      <c r="AD310">
        <v>-3</v>
      </c>
      <c r="AE310">
        <v>6</v>
      </c>
      <c r="AF310">
        <v>10</v>
      </c>
      <c r="AG310">
        <v>-4</v>
      </c>
      <c r="AH310">
        <v>7</v>
      </c>
      <c r="AI310">
        <v>10</v>
      </c>
      <c r="AJ310">
        <v>-3</v>
      </c>
      <c r="AK310" t="s">
        <v>3007</v>
      </c>
      <c r="AL310" t="s">
        <v>3008</v>
      </c>
      <c r="AM310" t="s">
        <v>3009</v>
      </c>
      <c r="AN310" t="s">
        <v>3010</v>
      </c>
      <c r="AO310" t="s">
        <v>3011</v>
      </c>
      <c r="AP310" t="s">
        <v>3012</v>
      </c>
      <c r="AQ310" t="s">
        <v>3013</v>
      </c>
      <c r="AR310" t="s">
        <v>3014</v>
      </c>
      <c r="AS310" t="s">
        <v>3015</v>
      </c>
    </row>
    <row r="311" spans="1:45" x14ac:dyDescent="0.45">
      <c r="A311">
        <v>310</v>
      </c>
      <c r="B311">
        <v>310</v>
      </c>
      <c r="C311" t="s">
        <v>72</v>
      </c>
      <c r="D311" t="s">
        <v>189</v>
      </c>
      <c r="E311" t="s">
        <v>74</v>
      </c>
      <c r="F311" t="s">
        <v>77</v>
      </c>
      <c r="G311" t="s">
        <v>76</v>
      </c>
      <c r="H311">
        <v>20.074371497271354</v>
      </c>
      <c r="I311">
        <v>0</v>
      </c>
      <c r="J311">
        <v>8</v>
      </c>
      <c r="K311">
        <v>7</v>
      </c>
      <c r="L311">
        <v>1</v>
      </c>
      <c r="M311">
        <v>9</v>
      </c>
      <c r="N311">
        <v>7</v>
      </c>
      <c r="O311">
        <v>2</v>
      </c>
      <c r="P311">
        <v>8</v>
      </c>
      <c r="Q311">
        <v>5</v>
      </c>
      <c r="R311">
        <v>3</v>
      </c>
      <c r="S311">
        <v>9</v>
      </c>
      <c r="T311">
        <v>8</v>
      </c>
      <c r="U311">
        <v>1</v>
      </c>
      <c r="V311">
        <v>7</v>
      </c>
      <c r="W311">
        <v>8</v>
      </c>
      <c r="X311">
        <v>-1</v>
      </c>
      <c r="Y311">
        <v>9</v>
      </c>
      <c r="Z311">
        <v>9</v>
      </c>
      <c r="AA311">
        <v>0</v>
      </c>
      <c r="AB311">
        <v>8</v>
      </c>
      <c r="AC311">
        <v>9</v>
      </c>
      <c r="AD311">
        <v>-1</v>
      </c>
      <c r="AE311">
        <v>7</v>
      </c>
      <c r="AF311">
        <v>9</v>
      </c>
      <c r="AG311">
        <v>-2</v>
      </c>
      <c r="AH311">
        <v>9</v>
      </c>
      <c r="AI311">
        <v>10</v>
      </c>
      <c r="AJ311">
        <v>-1</v>
      </c>
      <c r="AK311" t="s">
        <v>3016</v>
      </c>
      <c r="AL311" t="s">
        <v>3017</v>
      </c>
      <c r="AM311" t="s">
        <v>3018</v>
      </c>
      <c r="AN311" t="s">
        <v>3019</v>
      </c>
      <c r="AO311" t="s">
        <v>3020</v>
      </c>
      <c r="AP311" t="s">
        <v>3021</v>
      </c>
      <c r="AQ311" t="s">
        <v>3022</v>
      </c>
      <c r="AR311" t="s">
        <v>3023</v>
      </c>
      <c r="AS311" t="s">
        <v>3024</v>
      </c>
    </row>
    <row r="312" spans="1:45" x14ac:dyDescent="0.45">
      <c r="A312">
        <v>311</v>
      </c>
      <c r="B312">
        <v>311</v>
      </c>
      <c r="C312" t="s">
        <v>72</v>
      </c>
      <c r="D312" t="s">
        <v>189</v>
      </c>
      <c r="E312" t="s">
        <v>74</v>
      </c>
      <c r="F312" t="s">
        <v>77</v>
      </c>
      <c r="G312" t="s">
        <v>76</v>
      </c>
      <c r="H312">
        <v>12.753292211271582</v>
      </c>
      <c r="I312">
        <v>0</v>
      </c>
      <c r="J312">
        <v>8</v>
      </c>
      <c r="K312">
        <v>6</v>
      </c>
      <c r="L312">
        <v>2</v>
      </c>
      <c r="M312">
        <v>9</v>
      </c>
      <c r="N312">
        <v>5</v>
      </c>
      <c r="O312">
        <v>4</v>
      </c>
      <c r="P312">
        <v>7</v>
      </c>
      <c r="Q312">
        <v>4</v>
      </c>
      <c r="R312">
        <v>3</v>
      </c>
      <c r="S312">
        <v>9</v>
      </c>
      <c r="T312">
        <v>7</v>
      </c>
      <c r="U312">
        <v>2</v>
      </c>
      <c r="V312">
        <v>7</v>
      </c>
      <c r="W312">
        <v>5</v>
      </c>
      <c r="X312">
        <v>2</v>
      </c>
      <c r="Y312">
        <v>9</v>
      </c>
      <c r="Z312">
        <v>6</v>
      </c>
      <c r="AA312">
        <v>3</v>
      </c>
      <c r="AB312">
        <v>8</v>
      </c>
      <c r="AC312">
        <v>6</v>
      </c>
      <c r="AD312">
        <v>2</v>
      </c>
      <c r="AE312">
        <v>6</v>
      </c>
      <c r="AF312">
        <v>7</v>
      </c>
      <c r="AG312">
        <v>-1</v>
      </c>
      <c r="AH312">
        <v>7</v>
      </c>
      <c r="AI312">
        <v>7</v>
      </c>
      <c r="AJ312">
        <v>0</v>
      </c>
      <c r="AK312" t="s">
        <v>3025</v>
      </c>
      <c r="AL312" t="s">
        <v>3026</v>
      </c>
      <c r="AM312" t="s">
        <v>3027</v>
      </c>
      <c r="AN312" t="s">
        <v>3028</v>
      </c>
      <c r="AO312" t="s">
        <v>3029</v>
      </c>
      <c r="AP312" t="s">
        <v>3030</v>
      </c>
      <c r="AQ312" t="s">
        <v>3031</v>
      </c>
      <c r="AR312" t="s">
        <v>3032</v>
      </c>
      <c r="AS312" t="s">
        <v>3033</v>
      </c>
    </row>
    <row r="313" spans="1:45" x14ac:dyDescent="0.45">
      <c r="A313">
        <v>312</v>
      </c>
      <c r="B313">
        <v>312</v>
      </c>
      <c r="C313" t="s">
        <v>78</v>
      </c>
      <c r="D313" t="s">
        <v>81</v>
      </c>
      <c r="E313" t="s">
        <v>74</v>
      </c>
      <c r="F313" t="s">
        <v>77</v>
      </c>
      <c r="G313" t="s">
        <v>76</v>
      </c>
      <c r="H313">
        <v>20.197435196503189</v>
      </c>
      <c r="I313">
        <v>0</v>
      </c>
      <c r="J313">
        <v>8</v>
      </c>
      <c r="K313">
        <v>8</v>
      </c>
      <c r="L313">
        <v>0</v>
      </c>
      <c r="M313">
        <v>9</v>
      </c>
      <c r="N313">
        <v>9</v>
      </c>
      <c r="O313">
        <v>0</v>
      </c>
      <c r="P313">
        <v>7</v>
      </c>
      <c r="Q313">
        <v>10</v>
      </c>
      <c r="R313">
        <v>-3</v>
      </c>
      <c r="S313">
        <v>8</v>
      </c>
      <c r="T313">
        <v>10</v>
      </c>
      <c r="U313">
        <v>-2</v>
      </c>
      <c r="V313">
        <v>6</v>
      </c>
      <c r="W313">
        <v>8</v>
      </c>
      <c r="X313">
        <v>-2</v>
      </c>
      <c r="Y313">
        <v>8</v>
      </c>
      <c r="Z313">
        <v>9</v>
      </c>
      <c r="AA313">
        <v>-1</v>
      </c>
      <c r="AB313">
        <v>6</v>
      </c>
      <c r="AC313">
        <v>8</v>
      </c>
      <c r="AD313">
        <v>-2</v>
      </c>
      <c r="AE313">
        <v>7</v>
      </c>
      <c r="AF313">
        <v>8</v>
      </c>
      <c r="AG313">
        <v>-1</v>
      </c>
      <c r="AH313">
        <v>9</v>
      </c>
      <c r="AI313">
        <v>10</v>
      </c>
      <c r="AJ313">
        <v>-1</v>
      </c>
      <c r="AK313" t="s">
        <v>3034</v>
      </c>
      <c r="AL313" t="s">
        <v>3035</v>
      </c>
      <c r="AM313" t="s">
        <v>3036</v>
      </c>
      <c r="AN313" t="s">
        <v>3037</v>
      </c>
      <c r="AO313" t="s">
        <v>3038</v>
      </c>
      <c r="AP313" t="s">
        <v>3039</v>
      </c>
      <c r="AQ313" t="s">
        <v>3040</v>
      </c>
      <c r="AR313" t="s">
        <v>3041</v>
      </c>
      <c r="AS313" t="s">
        <v>3042</v>
      </c>
    </row>
    <row r="314" spans="1:45" x14ac:dyDescent="0.45">
      <c r="A314">
        <v>313</v>
      </c>
      <c r="B314">
        <v>313</v>
      </c>
      <c r="C314" t="s">
        <v>78</v>
      </c>
      <c r="D314" t="s">
        <v>189</v>
      </c>
      <c r="E314" t="s">
        <v>74</v>
      </c>
      <c r="F314" t="s">
        <v>77</v>
      </c>
      <c r="G314" t="s">
        <v>76</v>
      </c>
      <c r="H314">
        <v>15.159112113428503</v>
      </c>
      <c r="I314">
        <v>0</v>
      </c>
      <c r="J314">
        <v>8</v>
      </c>
      <c r="K314">
        <v>6</v>
      </c>
      <c r="L314">
        <v>2</v>
      </c>
      <c r="M314">
        <v>9</v>
      </c>
      <c r="N314">
        <v>6</v>
      </c>
      <c r="O314">
        <v>3</v>
      </c>
      <c r="P314">
        <v>8</v>
      </c>
      <c r="Q314">
        <v>7</v>
      </c>
      <c r="R314">
        <v>1</v>
      </c>
      <c r="S314">
        <v>9</v>
      </c>
      <c r="T314">
        <v>7</v>
      </c>
      <c r="U314">
        <v>2</v>
      </c>
      <c r="V314">
        <v>8</v>
      </c>
      <c r="W314">
        <v>7</v>
      </c>
      <c r="X314">
        <v>1</v>
      </c>
      <c r="Y314">
        <v>9</v>
      </c>
      <c r="Z314">
        <v>8</v>
      </c>
      <c r="AA314">
        <v>1</v>
      </c>
      <c r="AB314">
        <v>8</v>
      </c>
      <c r="AC314">
        <v>5</v>
      </c>
      <c r="AD314">
        <v>3</v>
      </c>
      <c r="AE314">
        <v>9</v>
      </c>
      <c r="AF314">
        <v>5</v>
      </c>
      <c r="AG314">
        <v>4</v>
      </c>
      <c r="AH314">
        <v>8</v>
      </c>
      <c r="AI314">
        <v>8</v>
      </c>
      <c r="AJ314">
        <v>0</v>
      </c>
      <c r="AK314" t="s">
        <v>3043</v>
      </c>
      <c r="AL314" t="s">
        <v>3044</v>
      </c>
      <c r="AM314" t="s">
        <v>3045</v>
      </c>
      <c r="AN314" t="s">
        <v>3046</v>
      </c>
      <c r="AO314" t="s">
        <v>3047</v>
      </c>
      <c r="AP314" t="s">
        <v>3048</v>
      </c>
      <c r="AQ314" t="s">
        <v>3049</v>
      </c>
      <c r="AR314" t="s">
        <v>3050</v>
      </c>
      <c r="AS314" t="s">
        <v>3051</v>
      </c>
    </row>
    <row r="315" spans="1:45" x14ac:dyDescent="0.45">
      <c r="A315">
        <v>314</v>
      </c>
      <c r="B315">
        <v>314</v>
      </c>
      <c r="C315" t="s">
        <v>72</v>
      </c>
      <c r="D315" t="s">
        <v>189</v>
      </c>
      <c r="E315" t="s">
        <v>74</v>
      </c>
      <c r="F315" t="s">
        <v>77</v>
      </c>
      <c r="G315" t="s">
        <v>76</v>
      </c>
      <c r="H315">
        <v>16.612710869942756</v>
      </c>
      <c r="I315">
        <v>0</v>
      </c>
      <c r="J315">
        <v>8</v>
      </c>
      <c r="K315">
        <v>7</v>
      </c>
      <c r="L315">
        <v>1</v>
      </c>
      <c r="M315">
        <v>9</v>
      </c>
      <c r="N315">
        <v>8</v>
      </c>
      <c r="O315">
        <v>1</v>
      </c>
      <c r="P315">
        <v>7</v>
      </c>
      <c r="Q315">
        <v>8</v>
      </c>
      <c r="R315">
        <v>-1</v>
      </c>
      <c r="S315">
        <v>9</v>
      </c>
      <c r="T315">
        <v>8</v>
      </c>
      <c r="U315">
        <v>1</v>
      </c>
      <c r="V315">
        <v>8</v>
      </c>
      <c r="W315">
        <v>5</v>
      </c>
      <c r="X315">
        <v>3</v>
      </c>
      <c r="Y315">
        <v>9</v>
      </c>
      <c r="Z315">
        <v>8</v>
      </c>
      <c r="AA315">
        <v>1</v>
      </c>
      <c r="AB315">
        <v>7</v>
      </c>
      <c r="AC315">
        <v>6</v>
      </c>
      <c r="AD315">
        <v>1</v>
      </c>
      <c r="AE315">
        <v>8</v>
      </c>
      <c r="AF315">
        <v>6</v>
      </c>
      <c r="AG315">
        <v>2</v>
      </c>
      <c r="AH315">
        <v>9</v>
      </c>
      <c r="AI315">
        <v>8</v>
      </c>
      <c r="AJ315">
        <v>1</v>
      </c>
      <c r="AK315" t="s">
        <v>3052</v>
      </c>
      <c r="AL315" t="s">
        <v>3053</v>
      </c>
      <c r="AM315" t="s">
        <v>3054</v>
      </c>
      <c r="AN315" t="s">
        <v>3055</v>
      </c>
      <c r="AO315" t="s">
        <v>3056</v>
      </c>
      <c r="AP315" t="s">
        <v>3057</v>
      </c>
      <c r="AQ315" t="s">
        <v>3058</v>
      </c>
      <c r="AR315" t="s">
        <v>3059</v>
      </c>
      <c r="AS315" t="s">
        <v>3060</v>
      </c>
    </row>
    <row r="316" spans="1:45" x14ac:dyDescent="0.45">
      <c r="A316">
        <v>315</v>
      </c>
      <c r="B316">
        <v>315</v>
      </c>
      <c r="C316" t="s">
        <v>78</v>
      </c>
      <c r="D316" t="s">
        <v>189</v>
      </c>
      <c r="E316" t="s">
        <v>74</v>
      </c>
      <c r="F316" t="s">
        <v>77</v>
      </c>
      <c r="G316" t="s">
        <v>76</v>
      </c>
      <c r="H316">
        <v>21.141950445844426</v>
      </c>
      <c r="I316">
        <v>0</v>
      </c>
      <c r="J316">
        <v>7</v>
      </c>
      <c r="K316">
        <v>4</v>
      </c>
      <c r="L316">
        <v>3</v>
      </c>
      <c r="M316">
        <v>6</v>
      </c>
      <c r="N316">
        <v>5</v>
      </c>
      <c r="O316">
        <v>1</v>
      </c>
      <c r="P316">
        <v>9</v>
      </c>
      <c r="Q316">
        <v>5</v>
      </c>
      <c r="R316">
        <v>4</v>
      </c>
      <c r="S316">
        <v>8</v>
      </c>
      <c r="T316">
        <v>7</v>
      </c>
      <c r="U316">
        <v>1</v>
      </c>
      <c r="V316">
        <v>7</v>
      </c>
      <c r="W316">
        <v>5</v>
      </c>
      <c r="X316">
        <v>2</v>
      </c>
      <c r="Y316">
        <v>8</v>
      </c>
      <c r="Z316">
        <v>8</v>
      </c>
      <c r="AA316">
        <v>0</v>
      </c>
      <c r="AB316">
        <v>7</v>
      </c>
      <c r="AC316">
        <v>5</v>
      </c>
      <c r="AD316">
        <v>2</v>
      </c>
      <c r="AE316">
        <v>8</v>
      </c>
      <c r="AF316">
        <v>6</v>
      </c>
      <c r="AG316">
        <v>2</v>
      </c>
      <c r="AH316">
        <v>9</v>
      </c>
      <c r="AI316">
        <v>8</v>
      </c>
      <c r="AJ316">
        <v>1</v>
      </c>
      <c r="AK316" t="s">
        <v>3061</v>
      </c>
      <c r="AL316" t="s">
        <v>3062</v>
      </c>
      <c r="AM316" t="s">
        <v>3063</v>
      </c>
      <c r="AN316" t="s">
        <v>3064</v>
      </c>
      <c r="AO316" t="s">
        <v>3065</v>
      </c>
      <c r="AP316" t="s">
        <v>3066</v>
      </c>
      <c r="AQ316" t="s">
        <v>3067</v>
      </c>
      <c r="AR316" t="s">
        <v>3068</v>
      </c>
      <c r="AS316" t="s">
        <v>3069</v>
      </c>
    </row>
    <row r="317" spans="1:45" x14ac:dyDescent="0.45">
      <c r="A317">
        <v>316</v>
      </c>
      <c r="B317">
        <v>316</v>
      </c>
      <c r="C317" t="s">
        <v>72</v>
      </c>
      <c r="D317" t="s">
        <v>81</v>
      </c>
      <c r="E317" t="s">
        <v>74</v>
      </c>
      <c r="F317" t="s">
        <v>77</v>
      </c>
      <c r="G317" t="s">
        <v>76</v>
      </c>
      <c r="H317">
        <v>30.972212370503371</v>
      </c>
      <c r="I317">
        <v>0</v>
      </c>
      <c r="J317">
        <v>6</v>
      </c>
      <c r="K317">
        <v>6</v>
      </c>
      <c r="L317">
        <v>0</v>
      </c>
      <c r="M317">
        <v>7</v>
      </c>
      <c r="N317">
        <v>8</v>
      </c>
      <c r="O317">
        <v>-1</v>
      </c>
      <c r="P317">
        <v>8</v>
      </c>
      <c r="Q317">
        <v>5</v>
      </c>
      <c r="R317">
        <v>3</v>
      </c>
      <c r="S317">
        <v>9</v>
      </c>
      <c r="T317">
        <v>6</v>
      </c>
      <c r="U317">
        <v>3</v>
      </c>
      <c r="V317">
        <v>7</v>
      </c>
      <c r="W317">
        <v>6</v>
      </c>
      <c r="X317">
        <v>1</v>
      </c>
      <c r="Y317">
        <v>9</v>
      </c>
      <c r="Z317">
        <v>7</v>
      </c>
      <c r="AA317">
        <v>2</v>
      </c>
      <c r="AB317">
        <v>7</v>
      </c>
      <c r="AC317">
        <v>6</v>
      </c>
      <c r="AD317">
        <v>1</v>
      </c>
      <c r="AE317">
        <v>8</v>
      </c>
      <c r="AF317">
        <v>7</v>
      </c>
      <c r="AG317">
        <v>1</v>
      </c>
      <c r="AH317">
        <v>9</v>
      </c>
      <c r="AI317">
        <v>7</v>
      </c>
      <c r="AJ317">
        <v>2</v>
      </c>
      <c r="AK317" t="s">
        <v>3070</v>
      </c>
      <c r="AL317" t="s">
        <v>3071</v>
      </c>
      <c r="AM317" t="s">
        <v>3072</v>
      </c>
      <c r="AN317" t="s">
        <v>3073</v>
      </c>
      <c r="AO317" t="s">
        <v>3074</v>
      </c>
      <c r="AP317" t="s">
        <v>3075</v>
      </c>
      <c r="AQ317" t="s">
        <v>3076</v>
      </c>
      <c r="AR317" t="s">
        <v>3077</v>
      </c>
      <c r="AS317" t="s">
        <v>3078</v>
      </c>
    </row>
    <row r="318" spans="1:45" x14ac:dyDescent="0.45">
      <c r="A318">
        <v>317</v>
      </c>
      <c r="B318">
        <v>317</v>
      </c>
      <c r="C318" t="s">
        <v>72</v>
      </c>
      <c r="D318" t="s">
        <v>189</v>
      </c>
      <c r="E318" t="s">
        <v>74</v>
      </c>
      <c r="F318" t="s">
        <v>77</v>
      </c>
      <c r="G318" t="s">
        <v>76</v>
      </c>
      <c r="H318">
        <v>16.671452398413898</v>
      </c>
      <c r="I318">
        <v>0</v>
      </c>
      <c r="J318">
        <v>7</v>
      </c>
      <c r="K318">
        <v>7</v>
      </c>
      <c r="L318">
        <v>0</v>
      </c>
      <c r="M318">
        <v>8</v>
      </c>
      <c r="N318">
        <v>7</v>
      </c>
      <c r="O318">
        <v>1</v>
      </c>
      <c r="P318">
        <v>9</v>
      </c>
      <c r="Q318">
        <v>5</v>
      </c>
      <c r="R318">
        <v>4</v>
      </c>
      <c r="S318">
        <v>8</v>
      </c>
      <c r="T318">
        <v>8</v>
      </c>
      <c r="U318">
        <v>0</v>
      </c>
      <c r="V318">
        <v>6</v>
      </c>
      <c r="W318">
        <v>5</v>
      </c>
      <c r="X318">
        <v>1</v>
      </c>
      <c r="Y318">
        <v>9</v>
      </c>
      <c r="Z318">
        <v>8</v>
      </c>
      <c r="AA318">
        <v>1</v>
      </c>
      <c r="AB318">
        <v>7</v>
      </c>
      <c r="AC318">
        <v>5</v>
      </c>
      <c r="AD318">
        <v>2</v>
      </c>
      <c r="AE318">
        <v>8</v>
      </c>
      <c r="AF318">
        <v>7</v>
      </c>
      <c r="AG318">
        <v>1</v>
      </c>
      <c r="AH318">
        <v>9</v>
      </c>
      <c r="AI318">
        <v>8</v>
      </c>
      <c r="AJ318">
        <v>1</v>
      </c>
      <c r="AK318" t="s">
        <v>3079</v>
      </c>
      <c r="AL318" t="s">
        <v>3080</v>
      </c>
      <c r="AM318" t="s">
        <v>3081</v>
      </c>
      <c r="AN318" t="s">
        <v>3082</v>
      </c>
      <c r="AO318" t="s">
        <v>3083</v>
      </c>
      <c r="AP318" t="s">
        <v>3084</v>
      </c>
      <c r="AQ318" t="s">
        <v>3085</v>
      </c>
      <c r="AR318" t="s">
        <v>3086</v>
      </c>
      <c r="AS318" t="s">
        <v>3087</v>
      </c>
    </row>
    <row r="319" spans="1:45" x14ac:dyDescent="0.45">
      <c r="A319">
        <v>318</v>
      </c>
      <c r="B319">
        <v>318</v>
      </c>
      <c r="C319" t="s">
        <v>72</v>
      </c>
      <c r="D319" t="s">
        <v>81</v>
      </c>
      <c r="E319" t="s">
        <v>74</v>
      </c>
      <c r="F319" t="s">
        <v>75</v>
      </c>
      <c r="G319" t="s">
        <v>76</v>
      </c>
      <c r="H319">
        <v>21.835617624332528</v>
      </c>
      <c r="I319">
        <v>0</v>
      </c>
      <c r="J319">
        <v>9</v>
      </c>
      <c r="K319">
        <v>4</v>
      </c>
      <c r="L319">
        <v>5</v>
      </c>
      <c r="M319">
        <v>8</v>
      </c>
      <c r="N319">
        <v>4</v>
      </c>
      <c r="O319">
        <v>4</v>
      </c>
      <c r="P319">
        <v>8</v>
      </c>
      <c r="Q319">
        <v>6</v>
      </c>
      <c r="R319">
        <v>2</v>
      </c>
      <c r="S319">
        <v>9</v>
      </c>
      <c r="T319">
        <v>7</v>
      </c>
      <c r="U319">
        <v>2</v>
      </c>
      <c r="V319">
        <v>8</v>
      </c>
      <c r="W319">
        <v>5</v>
      </c>
      <c r="X319">
        <v>3</v>
      </c>
      <c r="Y319">
        <v>9</v>
      </c>
      <c r="Z319">
        <v>8</v>
      </c>
      <c r="AA319">
        <v>1</v>
      </c>
      <c r="AB319">
        <v>8</v>
      </c>
      <c r="AC319">
        <v>5</v>
      </c>
      <c r="AD319">
        <v>3</v>
      </c>
      <c r="AE319">
        <v>8</v>
      </c>
      <c r="AF319">
        <v>5</v>
      </c>
      <c r="AG319">
        <v>3</v>
      </c>
      <c r="AH319">
        <v>9</v>
      </c>
      <c r="AI319">
        <v>8</v>
      </c>
      <c r="AJ319">
        <v>1</v>
      </c>
      <c r="AK319" t="s">
        <v>3088</v>
      </c>
      <c r="AL319" t="s">
        <v>3089</v>
      </c>
      <c r="AM319" t="s">
        <v>3090</v>
      </c>
      <c r="AN319" t="s">
        <v>3091</v>
      </c>
      <c r="AO319" t="s">
        <v>3092</v>
      </c>
      <c r="AP319" t="s">
        <v>3093</v>
      </c>
      <c r="AQ319" t="s">
        <v>3094</v>
      </c>
      <c r="AR319" t="s">
        <v>3095</v>
      </c>
      <c r="AS319" t="s">
        <v>3096</v>
      </c>
    </row>
    <row r="320" spans="1:45" x14ac:dyDescent="0.45">
      <c r="A320">
        <v>319</v>
      </c>
      <c r="B320">
        <v>319</v>
      </c>
      <c r="C320" t="s">
        <v>72</v>
      </c>
      <c r="D320" t="s">
        <v>189</v>
      </c>
      <c r="E320" t="s">
        <v>74</v>
      </c>
      <c r="F320" t="s">
        <v>77</v>
      </c>
      <c r="G320" t="s">
        <v>76</v>
      </c>
      <c r="H320">
        <v>13.058809425338124</v>
      </c>
      <c r="I320">
        <v>0</v>
      </c>
      <c r="J320">
        <v>9</v>
      </c>
      <c r="K320">
        <v>8</v>
      </c>
      <c r="L320">
        <v>1</v>
      </c>
      <c r="M320">
        <v>8</v>
      </c>
      <c r="N320">
        <v>8</v>
      </c>
      <c r="O320">
        <v>0</v>
      </c>
      <c r="P320">
        <v>9</v>
      </c>
      <c r="Q320">
        <v>10</v>
      </c>
      <c r="R320">
        <v>-1</v>
      </c>
      <c r="S320">
        <v>8</v>
      </c>
      <c r="T320">
        <v>10</v>
      </c>
      <c r="U320">
        <v>-2</v>
      </c>
      <c r="V320">
        <v>9</v>
      </c>
      <c r="W320">
        <v>9</v>
      </c>
      <c r="X320">
        <v>0</v>
      </c>
      <c r="Y320">
        <v>8</v>
      </c>
      <c r="Z320">
        <v>10</v>
      </c>
      <c r="AA320">
        <v>-2</v>
      </c>
      <c r="AB320">
        <v>9</v>
      </c>
      <c r="AC320">
        <v>8</v>
      </c>
      <c r="AD320">
        <v>1</v>
      </c>
      <c r="AE320">
        <v>8</v>
      </c>
      <c r="AF320">
        <v>8</v>
      </c>
      <c r="AG320">
        <v>0</v>
      </c>
      <c r="AH320">
        <v>9</v>
      </c>
      <c r="AI320">
        <v>10</v>
      </c>
      <c r="AJ320">
        <v>-1</v>
      </c>
      <c r="AK320" t="s">
        <v>3097</v>
      </c>
      <c r="AL320" t="s">
        <v>3098</v>
      </c>
      <c r="AM320" t="s">
        <v>3099</v>
      </c>
      <c r="AN320" t="s">
        <v>3100</v>
      </c>
      <c r="AO320" t="s">
        <v>3101</v>
      </c>
      <c r="AP320" t="s">
        <v>3102</v>
      </c>
      <c r="AQ320" t="s">
        <v>3103</v>
      </c>
      <c r="AR320" t="s">
        <v>3104</v>
      </c>
      <c r="AS320" t="s">
        <v>3105</v>
      </c>
    </row>
    <row r="321" spans="1:45" x14ac:dyDescent="0.45">
      <c r="A321">
        <v>320</v>
      </c>
      <c r="B321">
        <v>320</v>
      </c>
      <c r="C321" t="s">
        <v>78</v>
      </c>
      <c r="D321" t="s">
        <v>73</v>
      </c>
      <c r="E321" t="s">
        <v>74</v>
      </c>
      <c r="F321" t="s">
        <v>75</v>
      </c>
      <c r="G321" t="s">
        <v>76</v>
      </c>
      <c r="H321">
        <v>29.511085792070379</v>
      </c>
      <c r="I321">
        <v>0</v>
      </c>
      <c r="J321">
        <v>9</v>
      </c>
      <c r="K321">
        <v>5</v>
      </c>
      <c r="L321">
        <v>4</v>
      </c>
      <c r="M321">
        <v>8</v>
      </c>
      <c r="N321">
        <v>7</v>
      </c>
      <c r="O321">
        <v>1</v>
      </c>
      <c r="P321">
        <v>9</v>
      </c>
      <c r="Q321">
        <v>7</v>
      </c>
      <c r="R321">
        <v>2</v>
      </c>
      <c r="S321">
        <v>8</v>
      </c>
      <c r="T321">
        <v>9</v>
      </c>
      <c r="U321">
        <v>-1</v>
      </c>
      <c r="V321">
        <v>9</v>
      </c>
      <c r="W321">
        <v>5</v>
      </c>
      <c r="X321">
        <v>4</v>
      </c>
      <c r="Y321">
        <v>8</v>
      </c>
      <c r="Z321">
        <v>6</v>
      </c>
      <c r="AA321">
        <v>2</v>
      </c>
      <c r="AB321">
        <v>9</v>
      </c>
      <c r="AC321">
        <v>5</v>
      </c>
      <c r="AD321">
        <v>4</v>
      </c>
      <c r="AE321">
        <v>8</v>
      </c>
      <c r="AF321">
        <v>7</v>
      </c>
      <c r="AG321">
        <v>1</v>
      </c>
      <c r="AH321">
        <v>9</v>
      </c>
      <c r="AI321">
        <v>7</v>
      </c>
      <c r="AJ321">
        <v>2</v>
      </c>
      <c r="AK321" t="s">
        <v>3106</v>
      </c>
      <c r="AL321" t="s">
        <v>3107</v>
      </c>
      <c r="AM321" t="s">
        <v>3108</v>
      </c>
      <c r="AN321" t="s">
        <v>3109</v>
      </c>
      <c r="AO321" t="s">
        <v>3110</v>
      </c>
      <c r="AP321" t="s">
        <v>3111</v>
      </c>
      <c r="AQ321" t="s">
        <v>3112</v>
      </c>
      <c r="AR321" t="s">
        <v>3113</v>
      </c>
      <c r="AS321" t="s">
        <v>3114</v>
      </c>
    </row>
    <row r="322" spans="1:45" x14ac:dyDescent="0.45">
      <c r="A322">
        <v>321</v>
      </c>
      <c r="B322">
        <v>321</v>
      </c>
      <c r="C322" t="s">
        <v>72</v>
      </c>
      <c r="D322" t="s">
        <v>189</v>
      </c>
      <c r="E322" t="s">
        <v>74</v>
      </c>
      <c r="F322" t="s">
        <v>77</v>
      </c>
      <c r="G322" t="s">
        <v>76</v>
      </c>
      <c r="H322">
        <v>15.293833476933116</v>
      </c>
      <c r="I322">
        <v>0</v>
      </c>
      <c r="J322">
        <v>6</v>
      </c>
      <c r="K322">
        <v>8</v>
      </c>
      <c r="L322">
        <v>-2</v>
      </c>
      <c r="M322">
        <v>7</v>
      </c>
      <c r="N322">
        <v>8</v>
      </c>
      <c r="O322">
        <v>-1</v>
      </c>
      <c r="P322">
        <v>9</v>
      </c>
      <c r="Q322">
        <v>7</v>
      </c>
      <c r="R322">
        <v>2</v>
      </c>
      <c r="S322">
        <v>8</v>
      </c>
      <c r="T322">
        <v>9</v>
      </c>
      <c r="U322">
        <v>-1</v>
      </c>
      <c r="V322">
        <v>7</v>
      </c>
      <c r="W322">
        <v>9</v>
      </c>
      <c r="X322">
        <v>-2</v>
      </c>
      <c r="Y322">
        <v>9</v>
      </c>
      <c r="Z322">
        <v>9</v>
      </c>
      <c r="AA322">
        <v>0</v>
      </c>
      <c r="AB322">
        <v>8</v>
      </c>
      <c r="AC322">
        <v>7</v>
      </c>
      <c r="AD322">
        <v>1</v>
      </c>
      <c r="AE322">
        <v>7</v>
      </c>
      <c r="AF322">
        <v>9</v>
      </c>
      <c r="AG322">
        <v>-2</v>
      </c>
      <c r="AH322">
        <v>9</v>
      </c>
      <c r="AI322">
        <v>9</v>
      </c>
      <c r="AJ322">
        <v>0</v>
      </c>
      <c r="AK322" t="s">
        <v>3115</v>
      </c>
      <c r="AL322" t="s">
        <v>3116</v>
      </c>
      <c r="AM322" t="s">
        <v>3117</v>
      </c>
      <c r="AN322" t="s">
        <v>3118</v>
      </c>
      <c r="AO322" t="s">
        <v>3119</v>
      </c>
      <c r="AP322" t="s">
        <v>3120</v>
      </c>
      <c r="AQ322" t="s">
        <v>3121</v>
      </c>
      <c r="AR322" t="s">
        <v>3122</v>
      </c>
      <c r="AS322" t="s">
        <v>3123</v>
      </c>
    </row>
    <row r="323" spans="1:45" x14ac:dyDescent="0.45">
      <c r="A323">
        <v>322</v>
      </c>
      <c r="B323">
        <v>322</v>
      </c>
      <c r="C323" t="s">
        <v>78</v>
      </c>
      <c r="D323" t="s">
        <v>81</v>
      </c>
      <c r="E323" t="s">
        <v>74</v>
      </c>
      <c r="F323" t="s">
        <v>77</v>
      </c>
      <c r="G323" t="s">
        <v>76</v>
      </c>
      <c r="H323">
        <v>25.469267344285235</v>
      </c>
      <c r="I323">
        <v>0</v>
      </c>
      <c r="J323">
        <v>9</v>
      </c>
      <c r="K323">
        <v>5</v>
      </c>
      <c r="L323">
        <v>4</v>
      </c>
      <c r="M323">
        <v>8</v>
      </c>
      <c r="N323">
        <v>5</v>
      </c>
      <c r="O323">
        <v>3</v>
      </c>
      <c r="P323">
        <v>9</v>
      </c>
      <c r="Q323">
        <v>5</v>
      </c>
      <c r="R323">
        <v>4</v>
      </c>
      <c r="S323">
        <v>8</v>
      </c>
      <c r="T323">
        <v>7</v>
      </c>
      <c r="U323">
        <v>1</v>
      </c>
      <c r="V323">
        <v>9</v>
      </c>
      <c r="W323">
        <v>5</v>
      </c>
      <c r="X323">
        <v>4</v>
      </c>
      <c r="Y323">
        <v>8</v>
      </c>
      <c r="Z323">
        <v>7</v>
      </c>
      <c r="AA323">
        <v>1</v>
      </c>
      <c r="AB323">
        <v>9</v>
      </c>
      <c r="AC323">
        <v>5</v>
      </c>
      <c r="AD323">
        <v>4</v>
      </c>
      <c r="AE323">
        <v>8</v>
      </c>
      <c r="AF323">
        <v>5</v>
      </c>
      <c r="AG323">
        <v>3</v>
      </c>
      <c r="AH323">
        <v>9</v>
      </c>
      <c r="AI323">
        <v>7</v>
      </c>
      <c r="AJ323">
        <v>2</v>
      </c>
      <c r="AK323" t="s">
        <v>3124</v>
      </c>
      <c r="AL323" t="s">
        <v>3125</v>
      </c>
      <c r="AM323" t="s">
        <v>3126</v>
      </c>
      <c r="AN323" t="s">
        <v>3127</v>
      </c>
      <c r="AO323" t="s">
        <v>3128</v>
      </c>
      <c r="AP323" t="s">
        <v>3129</v>
      </c>
      <c r="AQ323" t="s">
        <v>3130</v>
      </c>
      <c r="AR323" t="s">
        <v>3131</v>
      </c>
      <c r="AS323" t="s">
        <v>3132</v>
      </c>
    </row>
    <row r="324" spans="1:45" x14ac:dyDescent="0.45">
      <c r="A324">
        <v>323</v>
      </c>
      <c r="B324">
        <v>323</v>
      </c>
      <c r="C324" t="s">
        <v>78</v>
      </c>
      <c r="D324" t="s">
        <v>81</v>
      </c>
      <c r="E324" t="s">
        <v>74</v>
      </c>
      <c r="F324" t="s">
        <v>75</v>
      </c>
      <c r="G324" t="s">
        <v>76</v>
      </c>
      <c r="H324">
        <v>25.230501772508106</v>
      </c>
      <c r="I324">
        <v>0</v>
      </c>
      <c r="J324">
        <v>8</v>
      </c>
      <c r="K324">
        <v>7</v>
      </c>
      <c r="L324">
        <v>1</v>
      </c>
      <c r="M324">
        <v>9</v>
      </c>
      <c r="N324">
        <v>7</v>
      </c>
      <c r="O324">
        <v>2</v>
      </c>
      <c r="P324">
        <v>8</v>
      </c>
      <c r="Q324">
        <v>8</v>
      </c>
      <c r="R324">
        <v>0</v>
      </c>
      <c r="S324">
        <v>9</v>
      </c>
      <c r="T324">
        <v>8</v>
      </c>
      <c r="U324">
        <v>1</v>
      </c>
      <c r="V324">
        <v>7</v>
      </c>
      <c r="W324">
        <v>6</v>
      </c>
      <c r="X324">
        <v>1</v>
      </c>
      <c r="Y324">
        <v>9</v>
      </c>
      <c r="Z324">
        <v>7</v>
      </c>
      <c r="AA324">
        <v>2</v>
      </c>
      <c r="AB324">
        <v>6</v>
      </c>
      <c r="AC324">
        <v>6</v>
      </c>
      <c r="AD324">
        <v>0</v>
      </c>
      <c r="AE324">
        <v>8</v>
      </c>
      <c r="AF324">
        <v>7</v>
      </c>
      <c r="AG324">
        <v>1</v>
      </c>
      <c r="AH324">
        <v>7</v>
      </c>
      <c r="AI324">
        <v>7</v>
      </c>
      <c r="AJ324">
        <v>0</v>
      </c>
      <c r="AK324" t="s">
        <v>3133</v>
      </c>
      <c r="AL324" t="s">
        <v>3134</v>
      </c>
      <c r="AM324" t="s">
        <v>3135</v>
      </c>
      <c r="AN324" t="s">
        <v>3136</v>
      </c>
      <c r="AO324" t="s">
        <v>3137</v>
      </c>
      <c r="AP324" t="s">
        <v>3138</v>
      </c>
      <c r="AQ324" t="s">
        <v>3139</v>
      </c>
      <c r="AR324" t="s">
        <v>3140</v>
      </c>
      <c r="AS324" t="s">
        <v>3141</v>
      </c>
    </row>
    <row r="325" spans="1:45" x14ac:dyDescent="0.45">
      <c r="A325">
        <v>324</v>
      </c>
      <c r="B325">
        <v>324</v>
      </c>
      <c r="C325" t="s">
        <v>72</v>
      </c>
      <c r="D325" t="s">
        <v>189</v>
      </c>
      <c r="E325" t="s">
        <v>74</v>
      </c>
      <c r="F325" t="s">
        <v>77</v>
      </c>
      <c r="G325" t="s">
        <v>76</v>
      </c>
      <c r="H325">
        <v>12</v>
      </c>
      <c r="I325">
        <v>0</v>
      </c>
      <c r="J325">
        <v>7</v>
      </c>
      <c r="K325">
        <v>7</v>
      </c>
      <c r="L325">
        <v>0</v>
      </c>
      <c r="M325">
        <v>8</v>
      </c>
      <c r="N325">
        <v>7</v>
      </c>
      <c r="O325">
        <v>1</v>
      </c>
      <c r="P325">
        <v>9</v>
      </c>
      <c r="Q325">
        <v>5</v>
      </c>
      <c r="R325">
        <v>4</v>
      </c>
      <c r="S325">
        <v>8</v>
      </c>
      <c r="T325">
        <v>7</v>
      </c>
      <c r="U325">
        <v>1</v>
      </c>
      <c r="V325">
        <v>9</v>
      </c>
      <c r="W325">
        <v>7</v>
      </c>
      <c r="X325">
        <v>2</v>
      </c>
      <c r="Y325">
        <v>8</v>
      </c>
      <c r="Z325">
        <v>7</v>
      </c>
      <c r="AA325">
        <v>1</v>
      </c>
      <c r="AB325">
        <v>9</v>
      </c>
      <c r="AC325">
        <v>5</v>
      </c>
      <c r="AD325">
        <v>4</v>
      </c>
      <c r="AE325">
        <v>7</v>
      </c>
      <c r="AF325">
        <v>5</v>
      </c>
      <c r="AG325">
        <v>2</v>
      </c>
      <c r="AH325">
        <v>8</v>
      </c>
      <c r="AI325">
        <v>8</v>
      </c>
      <c r="AJ325">
        <v>0</v>
      </c>
      <c r="AK325" t="s">
        <v>3142</v>
      </c>
      <c r="AL325" t="s">
        <v>3143</v>
      </c>
      <c r="AM325" t="s">
        <v>3144</v>
      </c>
      <c r="AN325" t="s">
        <v>3145</v>
      </c>
      <c r="AO325" t="s">
        <v>3146</v>
      </c>
      <c r="AP325" t="s">
        <v>3147</v>
      </c>
      <c r="AQ325" t="s">
        <v>3148</v>
      </c>
      <c r="AR325" t="s">
        <v>3149</v>
      </c>
      <c r="AS325" t="s">
        <v>3150</v>
      </c>
    </row>
    <row r="326" spans="1:45" x14ac:dyDescent="0.45">
      <c r="A326">
        <v>325</v>
      </c>
      <c r="B326">
        <v>325</v>
      </c>
      <c r="C326" t="s">
        <v>78</v>
      </c>
      <c r="D326" t="s">
        <v>73</v>
      </c>
      <c r="E326" t="s">
        <v>74</v>
      </c>
      <c r="F326" t="s">
        <v>77</v>
      </c>
      <c r="G326" t="s">
        <v>76</v>
      </c>
      <c r="H326">
        <v>39.02837314926937</v>
      </c>
      <c r="I326">
        <v>1</v>
      </c>
      <c r="J326">
        <v>8</v>
      </c>
      <c r="K326">
        <v>2</v>
      </c>
      <c r="L326">
        <v>6</v>
      </c>
      <c r="M326">
        <v>9</v>
      </c>
      <c r="N326">
        <v>2</v>
      </c>
      <c r="O326">
        <v>7</v>
      </c>
      <c r="P326">
        <v>7</v>
      </c>
      <c r="Q326">
        <v>6</v>
      </c>
      <c r="R326">
        <v>1</v>
      </c>
      <c r="S326">
        <v>9</v>
      </c>
      <c r="T326">
        <v>7</v>
      </c>
      <c r="U326">
        <v>2</v>
      </c>
      <c r="V326">
        <v>8</v>
      </c>
      <c r="W326">
        <v>2</v>
      </c>
      <c r="X326">
        <v>6</v>
      </c>
      <c r="Y326">
        <v>9</v>
      </c>
      <c r="Z326">
        <v>5</v>
      </c>
      <c r="AA326">
        <v>4</v>
      </c>
      <c r="AB326">
        <v>8</v>
      </c>
      <c r="AC326">
        <v>5</v>
      </c>
      <c r="AD326">
        <v>3</v>
      </c>
      <c r="AE326">
        <v>9</v>
      </c>
      <c r="AF326">
        <v>6</v>
      </c>
      <c r="AG326">
        <v>3</v>
      </c>
      <c r="AH326">
        <v>10</v>
      </c>
      <c r="AI326">
        <v>5</v>
      </c>
      <c r="AJ326">
        <v>5</v>
      </c>
      <c r="AK326" t="s">
        <v>3151</v>
      </c>
      <c r="AL326" t="s">
        <v>3152</v>
      </c>
      <c r="AM326" t="s">
        <v>3153</v>
      </c>
      <c r="AN326" t="s">
        <v>3154</v>
      </c>
      <c r="AO326" t="s">
        <v>3155</v>
      </c>
      <c r="AP326" t="s">
        <v>3156</v>
      </c>
      <c r="AQ326" t="s">
        <v>258</v>
      </c>
      <c r="AR326" t="s">
        <v>3157</v>
      </c>
      <c r="AS326" t="s">
        <v>3158</v>
      </c>
    </row>
    <row r="327" spans="1:45" x14ac:dyDescent="0.45">
      <c r="A327">
        <v>326</v>
      </c>
      <c r="B327">
        <v>326</v>
      </c>
      <c r="C327" t="s">
        <v>72</v>
      </c>
      <c r="D327" t="s">
        <v>79</v>
      </c>
      <c r="E327" t="s">
        <v>74</v>
      </c>
      <c r="F327" t="s">
        <v>77</v>
      </c>
      <c r="G327" t="s">
        <v>76</v>
      </c>
      <c r="H327">
        <v>49.001467292806382</v>
      </c>
      <c r="I327">
        <v>2</v>
      </c>
      <c r="J327">
        <v>6</v>
      </c>
      <c r="K327">
        <v>8</v>
      </c>
      <c r="L327">
        <v>-2</v>
      </c>
      <c r="M327">
        <v>7</v>
      </c>
      <c r="N327">
        <v>9</v>
      </c>
      <c r="O327">
        <v>-2</v>
      </c>
      <c r="P327">
        <v>8</v>
      </c>
      <c r="Q327">
        <v>9</v>
      </c>
      <c r="R327">
        <v>-1</v>
      </c>
      <c r="S327">
        <v>7</v>
      </c>
      <c r="T327">
        <v>10</v>
      </c>
      <c r="U327">
        <v>-3</v>
      </c>
      <c r="V327">
        <v>8</v>
      </c>
      <c r="W327">
        <v>8</v>
      </c>
      <c r="X327">
        <v>0</v>
      </c>
      <c r="Y327">
        <v>9</v>
      </c>
      <c r="Z327">
        <v>10</v>
      </c>
      <c r="AA327">
        <v>-1</v>
      </c>
      <c r="AB327">
        <v>8</v>
      </c>
      <c r="AC327">
        <v>9</v>
      </c>
      <c r="AD327">
        <v>-1</v>
      </c>
      <c r="AE327">
        <v>7</v>
      </c>
      <c r="AF327">
        <v>9</v>
      </c>
      <c r="AG327">
        <v>-2</v>
      </c>
      <c r="AH327">
        <v>9</v>
      </c>
      <c r="AI327">
        <v>10</v>
      </c>
      <c r="AJ327">
        <v>-1</v>
      </c>
      <c r="AK327" t="s">
        <v>3159</v>
      </c>
      <c r="AL327" t="s">
        <v>3160</v>
      </c>
      <c r="AM327" t="s">
        <v>3161</v>
      </c>
      <c r="AN327" t="s">
        <v>3162</v>
      </c>
      <c r="AO327" t="s">
        <v>3163</v>
      </c>
      <c r="AP327" t="s">
        <v>3164</v>
      </c>
      <c r="AQ327" t="s">
        <v>3165</v>
      </c>
      <c r="AR327" t="s">
        <v>3166</v>
      </c>
      <c r="AS327" t="s">
        <v>3167</v>
      </c>
    </row>
    <row r="328" spans="1:45" x14ac:dyDescent="0.45">
      <c r="A328">
        <v>327</v>
      </c>
      <c r="B328">
        <v>327</v>
      </c>
      <c r="C328" t="s">
        <v>72</v>
      </c>
      <c r="D328" t="s">
        <v>81</v>
      </c>
      <c r="E328" t="s">
        <v>74</v>
      </c>
      <c r="F328" t="s">
        <v>77</v>
      </c>
      <c r="G328" t="s">
        <v>76</v>
      </c>
      <c r="H328">
        <v>20.548640143487589</v>
      </c>
      <c r="I328">
        <v>0</v>
      </c>
      <c r="J328">
        <v>6</v>
      </c>
      <c r="K328">
        <v>7</v>
      </c>
      <c r="L328">
        <v>-1</v>
      </c>
      <c r="M328">
        <v>7</v>
      </c>
      <c r="N328">
        <v>7</v>
      </c>
      <c r="O328">
        <v>0</v>
      </c>
      <c r="P328">
        <v>9</v>
      </c>
      <c r="Q328">
        <v>7</v>
      </c>
      <c r="R328">
        <v>2</v>
      </c>
      <c r="S328">
        <v>8</v>
      </c>
      <c r="T328">
        <v>9</v>
      </c>
      <c r="U328">
        <v>-1</v>
      </c>
      <c r="V328">
        <v>7</v>
      </c>
      <c r="W328">
        <v>7</v>
      </c>
      <c r="X328">
        <v>0</v>
      </c>
      <c r="Y328">
        <v>9</v>
      </c>
      <c r="Z328">
        <v>8</v>
      </c>
      <c r="AA328">
        <v>1</v>
      </c>
      <c r="AB328">
        <v>7</v>
      </c>
      <c r="AC328">
        <v>5</v>
      </c>
      <c r="AD328">
        <v>2</v>
      </c>
      <c r="AE328">
        <v>6</v>
      </c>
      <c r="AF328">
        <v>7</v>
      </c>
      <c r="AG328">
        <v>-1</v>
      </c>
      <c r="AH328">
        <v>9</v>
      </c>
      <c r="AI328">
        <v>8</v>
      </c>
      <c r="AJ328">
        <v>1</v>
      </c>
      <c r="AK328" t="s">
        <v>3168</v>
      </c>
      <c r="AL328" t="s">
        <v>3169</v>
      </c>
      <c r="AM328" t="s">
        <v>1458</v>
      </c>
      <c r="AN328" t="s">
        <v>3170</v>
      </c>
      <c r="AO328" t="s">
        <v>3171</v>
      </c>
      <c r="AP328" t="s">
        <v>3172</v>
      </c>
      <c r="AQ328" t="s">
        <v>3173</v>
      </c>
      <c r="AR328" t="s">
        <v>3174</v>
      </c>
      <c r="AS328" t="s">
        <v>3175</v>
      </c>
    </row>
    <row r="329" spans="1:45" x14ac:dyDescent="0.45">
      <c r="A329">
        <v>328</v>
      </c>
      <c r="B329">
        <v>328</v>
      </c>
      <c r="C329" t="s">
        <v>78</v>
      </c>
      <c r="D329" t="s">
        <v>79</v>
      </c>
      <c r="E329" t="s">
        <v>74</v>
      </c>
      <c r="F329" t="s">
        <v>75</v>
      </c>
      <c r="G329" t="s">
        <v>76</v>
      </c>
      <c r="H329">
        <v>98.760086419882256</v>
      </c>
      <c r="I329">
        <v>3</v>
      </c>
      <c r="J329">
        <v>8</v>
      </c>
      <c r="K329">
        <v>7</v>
      </c>
      <c r="L329">
        <v>1</v>
      </c>
      <c r="M329">
        <v>8</v>
      </c>
      <c r="N329">
        <v>8</v>
      </c>
      <c r="O329">
        <v>0</v>
      </c>
      <c r="P329">
        <v>6</v>
      </c>
      <c r="Q329">
        <v>9</v>
      </c>
      <c r="R329">
        <v>-3</v>
      </c>
      <c r="S329">
        <v>8</v>
      </c>
      <c r="T329">
        <v>9</v>
      </c>
      <c r="U329">
        <v>-1</v>
      </c>
      <c r="V329">
        <v>9</v>
      </c>
      <c r="W329">
        <v>9</v>
      </c>
      <c r="X329">
        <v>0</v>
      </c>
      <c r="Y329">
        <v>9</v>
      </c>
      <c r="Z329">
        <v>8</v>
      </c>
      <c r="AA329">
        <v>1</v>
      </c>
      <c r="AB329">
        <v>8</v>
      </c>
      <c r="AC329">
        <v>7</v>
      </c>
      <c r="AD329">
        <v>1</v>
      </c>
      <c r="AE329">
        <v>9</v>
      </c>
      <c r="AF329">
        <v>7</v>
      </c>
      <c r="AG329">
        <v>2</v>
      </c>
      <c r="AH329">
        <v>8</v>
      </c>
      <c r="AI329">
        <v>9</v>
      </c>
      <c r="AJ329">
        <v>-1</v>
      </c>
      <c r="AK329" t="s">
        <v>3176</v>
      </c>
      <c r="AL329" t="s">
        <v>3177</v>
      </c>
      <c r="AM329" t="s">
        <v>3178</v>
      </c>
      <c r="AN329" t="s">
        <v>3179</v>
      </c>
      <c r="AO329" t="s">
        <v>3180</v>
      </c>
      <c r="AP329" t="s">
        <v>3181</v>
      </c>
      <c r="AQ329" t="s">
        <v>3182</v>
      </c>
      <c r="AR329" t="s">
        <v>3183</v>
      </c>
      <c r="AS329" t="s">
        <v>3184</v>
      </c>
    </row>
    <row r="330" spans="1:45" x14ac:dyDescent="0.45">
      <c r="A330">
        <v>329</v>
      </c>
      <c r="B330">
        <v>329</v>
      </c>
      <c r="C330" t="s">
        <v>72</v>
      </c>
      <c r="D330" t="s">
        <v>81</v>
      </c>
      <c r="E330" t="s">
        <v>74</v>
      </c>
      <c r="F330" t="s">
        <v>77</v>
      </c>
      <c r="G330" t="s">
        <v>76</v>
      </c>
      <c r="H330">
        <v>13.191345338799664</v>
      </c>
      <c r="I330">
        <v>0</v>
      </c>
      <c r="J330">
        <v>9</v>
      </c>
      <c r="K330">
        <v>7</v>
      </c>
      <c r="L330">
        <v>2</v>
      </c>
      <c r="M330">
        <v>8</v>
      </c>
      <c r="N330">
        <v>7</v>
      </c>
      <c r="O330">
        <v>1</v>
      </c>
      <c r="P330">
        <v>9</v>
      </c>
      <c r="Q330">
        <v>9</v>
      </c>
      <c r="R330">
        <v>0</v>
      </c>
      <c r="S330">
        <v>8</v>
      </c>
      <c r="T330">
        <v>9</v>
      </c>
      <c r="U330">
        <v>-1</v>
      </c>
      <c r="V330">
        <v>9</v>
      </c>
      <c r="W330">
        <v>9</v>
      </c>
      <c r="X330">
        <v>0</v>
      </c>
      <c r="Y330">
        <v>9</v>
      </c>
      <c r="Z330">
        <v>9</v>
      </c>
      <c r="AA330">
        <v>0</v>
      </c>
      <c r="AB330">
        <v>8</v>
      </c>
      <c r="AC330">
        <v>5</v>
      </c>
      <c r="AD330">
        <v>3</v>
      </c>
      <c r="AE330">
        <v>9</v>
      </c>
      <c r="AF330">
        <v>6</v>
      </c>
      <c r="AG330">
        <v>3</v>
      </c>
      <c r="AH330">
        <v>8</v>
      </c>
      <c r="AI330">
        <v>9</v>
      </c>
      <c r="AJ330">
        <v>-1</v>
      </c>
      <c r="AK330" t="s">
        <v>3185</v>
      </c>
      <c r="AL330" t="s">
        <v>3186</v>
      </c>
      <c r="AM330" t="s">
        <v>3187</v>
      </c>
      <c r="AN330" t="s">
        <v>3188</v>
      </c>
      <c r="AO330" t="s">
        <v>3189</v>
      </c>
      <c r="AP330" t="s">
        <v>3190</v>
      </c>
      <c r="AQ330" t="s">
        <v>3191</v>
      </c>
      <c r="AR330" t="s">
        <v>3192</v>
      </c>
      <c r="AS330" t="s">
        <v>3193</v>
      </c>
    </row>
    <row r="331" spans="1:45" x14ac:dyDescent="0.45">
      <c r="A331">
        <v>330</v>
      </c>
      <c r="B331">
        <v>330</v>
      </c>
      <c r="C331" t="s">
        <v>78</v>
      </c>
      <c r="D331" t="s">
        <v>189</v>
      </c>
      <c r="E331" t="s">
        <v>74</v>
      </c>
      <c r="F331" t="s">
        <v>77</v>
      </c>
      <c r="G331" t="s">
        <v>76</v>
      </c>
      <c r="H331">
        <v>16.92035462580569</v>
      </c>
      <c r="I331">
        <v>0</v>
      </c>
      <c r="J331">
        <v>7</v>
      </c>
      <c r="K331">
        <v>3</v>
      </c>
      <c r="L331">
        <v>4</v>
      </c>
      <c r="M331">
        <v>6</v>
      </c>
      <c r="N331">
        <v>3</v>
      </c>
      <c r="O331">
        <v>3</v>
      </c>
      <c r="P331">
        <v>9</v>
      </c>
      <c r="Q331">
        <v>5</v>
      </c>
      <c r="R331">
        <v>4</v>
      </c>
      <c r="S331">
        <v>10</v>
      </c>
      <c r="T331">
        <v>6</v>
      </c>
      <c r="U331">
        <v>4</v>
      </c>
      <c r="V331">
        <v>9</v>
      </c>
      <c r="W331">
        <v>4</v>
      </c>
      <c r="X331">
        <v>5</v>
      </c>
      <c r="Y331">
        <v>10</v>
      </c>
      <c r="Z331">
        <v>5</v>
      </c>
      <c r="AA331">
        <v>5</v>
      </c>
      <c r="AB331">
        <v>9</v>
      </c>
      <c r="AC331">
        <v>5</v>
      </c>
      <c r="AD331">
        <v>4</v>
      </c>
      <c r="AE331">
        <v>8</v>
      </c>
      <c r="AF331">
        <v>5</v>
      </c>
      <c r="AG331">
        <v>3</v>
      </c>
      <c r="AH331">
        <v>9</v>
      </c>
      <c r="AI331">
        <v>5</v>
      </c>
      <c r="AJ331">
        <v>4</v>
      </c>
      <c r="AK331" t="s">
        <v>3194</v>
      </c>
      <c r="AL331" t="s">
        <v>3195</v>
      </c>
      <c r="AM331" t="s">
        <v>3196</v>
      </c>
      <c r="AN331" t="s">
        <v>3197</v>
      </c>
      <c r="AO331" t="s">
        <v>3198</v>
      </c>
      <c r="AP331" t="s">
        <v>3199</v>
      </c>
      <c r="AQ331" t="s">
        <v>3200</v>
      </c>
      <c r="AR331" t="s">
        <v>3201</v>
      </c>
      <c r="AS331" t="s">
        <v>3202</v>
      </c>
    </row>
    <row r="332" spans="1:45" x14ac:dyDescent="0.45">
      <c r="A332">
        <v>331</v>
      </c>
      <c r="B332">
        <v>331</v>
      </c>
      <c r="C332" t="s">
        <v>78</v>
      </c>
      <c r="D332" t="s">
        <v>73</v>
      </c>
      <c r="E332" t="s">
        <v>74</v>
      </c>
      <c r="F332" t="s">
        <v>77</v>
      </c>
      <c r="G332" t="s">
        <v>76</v>
      </c>
      <c r="H332">
        <v>25.719913153168079</v>
      </c>
      <c r="I332">
        <v>1</v>
      </c>
      <c r="J332">
        <v>6</v>
      </c>
      <c r="K332">
        <v>4</v>
      </c>
      <c r="L332">
        <v>2</v>
      </c>
      <c r="M332">
        <v>6</v>
      </c>
      <c r="N332">
        <v>4</v>
      </c>
      <c r="O332">
        <v>2</v>
      </c>
      <c r="P332">
        <v>8</v>
      </c>
      <c r="Q332">
        <v>5</v>
      </c>
      <c r="R332">
        <v>3</v>
      </c>
      <c r="S332">
        <v>9</v>
      </c>
      <c r="T332">
        <v>6</v>
      </c>
      <c r="U332">
        <v>3</v>
      </c>
      <c r="V332">
        <v>7</v>
      </c>
      <c r="W332">
        <v>4</v>
      </c>
      <c r="X332">
        <v>3</v>
      </c>
      <c r="Y332">
        <v>8</v>
      </c>
      <c r="Z332">
        <v>5</v>
      </c>
      <c r="AA332">
        <v>3</v>
      </c>
      <c r="AB332">
        <v>7</v>
      </c>
      <c r="AC332">
        <v>3</v>
      </c>
      <c r="AD332">
        <v>4</v>
      </c>
      <c r="AE332">
        <v>8</v>
      </c>
      <c r="AF332">
        <v>4</v>
      </c>
      <c r="AG332">
        <v>4</v>
      </c>
      <c r="AH332">
        <v>9</v>
      </c>
      <c r="AI332">
        <v>5</v>
      </c>
      <c r="AJ332">
        <v>4</v>
      </c>
      <c r="AK332" t="s">
        <v>3203</v>
      </c>
      <c r="AL332" t="s">
        <v>3204</v>
      </c>
      <c r="AM332" t="s">
        <v>3205</v>
      </c>
      <c r="AN332" t="s">
        <v>3206</v>
      </c>
      <c r="AO332" t="s">
        <v>3207</v>
      </c>
      <c r="AP332" t="s">
        <v>3208</v>
      </c>
      <c r="AQ332" t="s">
        <v>3209</v>
      </c>
      <c r="AR332" t="s">
        <v>3210</v>
      </c>
      <c r="AS332" t="s">
        <v>3211</v>
      </c>
    </row>
    <row r="333" spans="1:45" x14ac:dyDescent="0.45">
      <c r="A333">
        <v>332</v>
      </c>
      <c r="B333">
        <v>332</v>
      </c>
      <c r="C333" t="s">
        <v>72</v>
      </c>
      <c r="D333" t="s">
        <v>189</v>
      </c>
      <c r="E333" t="s">
        <v>74</v>
      </c>
      <c r="F333" t="s">
        <v>77</v>
      </c>
      <c r="G333" t="s">
        <v>76</v>
      </c>
      <c r="H333">
        <v>18.520405270554065</v>
      </c>
      <c r="I333">
        <v>0</v>
      </c>
      <c r="J333">
        <v>6</v>
      </c>
      <c r="K333">
        <v>7</v>
      </c>
      <c r="L333">
        <v>-1</v>
      </c>
      <c r="M333">
        <v>7</v>
      </c>
      <c r="N333">
        <v>7</v>
      </c>
      <c r="O333">
        <v>0</v>
      </c>
      <c r="P333">
        <v>8</v>
      </c>
      <c r="Q333">
        <v>9</v>
      </c>
      <c r="R333">
        <v>-1</v>
      </c>
      <c r="S333">
        <v>9</v>
      </c>
      <c r="T333">
        <v>9</v>
      </c>
      <c r="U333">
        <v>0</v>
      </c>
      <c r="V333">
        <v>7</v>
      </c>
      <c r="W333">
        <v>8</v>
      </c>
      <c r="X333">
        <v>-1</v>
      </c>
      <c r="Y333">
        <v>9</v>
      </c>
      <c r="Z333">
        <v>9</v>
      </c>
      <c r="AA333">
        <v>0</v>
      </c>
      <c r="AB333">
        <v>8</v>
      </c>
      <c r="AC333">
        <v>7</v>
      </c>
      <c r="AD333">
        <v>1</v>
      </c>
      <c r="AE333">
        <v>7</v>
      </c>
      <c r="AF333">
        <v>9</v>
      </c>
      <c r="AG333">
        <v>-2</v>
      </c>
      <c r="AH333">
        <v>9</v>
      </c>
      <c r="AI333">
        <v>9</v>
      </c>
      <c r="AJ333">
        <v>0</v>
      </c>
      <c r="AK333" t="s">
        <v>3212</v>
      </c>
      <c r="AL333" t="s">
        <v>3213</v>
      </c>
      <c r="AM333" t="s">
        <v>3214</v>
      </c>
      <c r="AN333" t="s">
        <v>3215</v>
      </c>
      <c r="AO333" t="s">
        <v>3216</v>
      </c>
      <c r="AP333" t="s">
        <v>3217</v>
      </c>
      <c r="AQ333" t="s">
        <v>3218</v>
      </c>
      <c r="AR333" t="s">
        <v>3219</v>
      </c>
      <c r="AS333" t="s">
        <v>3220</v>
      </c>
    </row>
    <row r="334" spans="1:45" x14ac:dyDescent="0.45">
      <c r="A334">
        <v>333</v>
      </c>
      <c r="B334">
        <v>333</v>
      </c>
      <c r="C334" t="s">
        <v>78</v>
      </c>
      <c r="D334" t="s">
        <v>79</v>
      </c>
      <c r="E334" t="s">
        <v>74</v>
      </c>
      <c r="F334" t="s">
        <v>75</v>
      </c>
      <c r="G334" t="s">
        <v>76</v>
      </c>
      <c r="H334">
        <v>98.489056668550887</v>
      </c>
      <c r="I334">
        <v>1</v>
      </c>
      <c r="J334">
        <v>7</v>
      </c>
      <c r="K334">
        <v>6</v>
      </c>
      <c r="L334">
        <v>1</v>
      </c>
      <c r="M334">
        <v>8</v>
      </c>
      <c r="N334">
        <v>6</v>
      </c>
      <c r="O334">
        <v>2</v>
      </c>
      <c r="P334">
        <v>9</v>
      </c>
      <c r="Q334">
        <v>8</v>
      </c>
      <c r="R334">
        <v>1</v>
      </c>
      <c r="S334">
        <v>9</v>
      </c>
      <c r="T334">
        <v>8</v>
      </c>
      <c r="U334">
        <v>1</v>
      </c>
      <c r="V334">
        <v>8</v>
      </c>
      <c r="W334">
        <v>6</v>
      </c>
      <c r="X334">
        <v>2</v>
      </c>
      <c r="Y334">
        <v>9</v>
      </c>
      <c r="Z334">
        <v>7</v>
      </c>
      <c r="AA334">
        <v>2</v>
      </c>
      <c r="AB334">
        <v>8</v>
      </c>
      <c r="AC334">
        <v>6</v>
      </c>
      <c r="AD334">
        <v>2</v>
      </c>
      <c r="AE334">
        <v>7</v>
      </c>
      <c r="AF334">
        <v>7</v>
      </c>
      <c r="AG334">
        <v>0</v>
      </c>
      <c r="AH334">
        <v>9</v>
      </c>
      <c r="AI334">
        <v>7</v>
      </c>
      <c r="AJ334">
        <v>2</v>
      </c>
      <c r="AK334" t="s">
        <v>3221</v>
      </c>
      <c r="AL334" t="s">
        <v>3222</v>
      </c>
      <c r="AM334" t="s">
        <v>3223</v>
      </c>
      <c r="AN334" t="s">
        <v>3224</v>
      </c>
      <c r="AO334" t="s">
        <v>3225</v>
      </c>
      <c r="AP334" t="s">
        <v>3226</v>
      </c>
      <c r="AQ334" t="s">
        <v>3227</v>
      </c>
      <c r="AR334" t="s">
        <v>3228</v>
      </c>
      <c r="AS334" t="s">
        <v>3229</v>
      </c>
    </row>
    <row r="335" spans="1:45" x14ac:dyDescent="0.45">
      <c r="A335">
        <v>334</v>
      </c>
      <c r="B335">
        <v>334</v>
      </c>
      <c r="C335" t="s">
        <v>72</v>
      </c>
      <c r="D335" t="s">
        <v>191</v>
      </c>
      <c r="E335" t="s">
        <v>74</v>
      </c>
      <c r="F335" t="s">
        <v>75</v>
      </c>
      <c r="G335" t="s">
        <v>162</v>
      </c>
      <c r="H335">
        <v>167.8991392480718</v>
      </c>
      <c r="I335">
        <v>3</v>
      </c>
      <c r="J335">
        <v>6</v>
      </c>
      <c r="K335">
        <v>2</v>
      </c>
      <c r="L335">
        <v>4</v>
      </c>
      <c r="M335">
        <v>6</v>
      </c>
      <c r="N335">
        <v>2</v>
      </c>
      <c r="O335">
        <v>4</v>
      </c>
      <c r="P335">
        <v>8</v>
      </c>
      <c r="Q335">
        <v>3</v>
      </c>
      <c r="R335">
        <v>5</v>
      </c>
      <c r="S335">
        <v>9</v>
      </c>
      <c r="T335">
        <v>5</v>
      </c>
      <c r="U335">
        <v>4</v>
      </c>
      <c r="V335">
        <v>7</v>
      </c>
      <c r="W335">
        <v>1</v>
      </c>
      <c r="X335">
        <v>6</v>
      </c>
      <c r="Y335">
        <v>8</v>
      </c>
      <c r="Z335">
        <v>1</v>
      </c>
      <c r="AA335">
        <v>7</v>
      </c>
      <c r="AB335">
        <v>7</v>
      </c>
      <c r="AC335">
        <v>1</v>
      </c>
      <c r="AD335">
        <v>6</v>
      </c>
      <c r="AE335">
        <v>6</v>
      </c>
      <c r="AF335">
        <v>3</v>
      </c>
      <c r="AG335">
        <v>3</v>
      </c>
      <c r="AH335">
        <v>8</v>
      </c>
      <c r="AI335">
        <v>1</v>
      </c>
      <c r="AJ335">
        <v>7</v>
      </c>
      <c r="AK335" t="s">
        <v>3230</v>
      </c>
      <c r="AL335" t="s">
        <v>3231</v>
      </c>
      <c r="AM335" t="s">
        <v>3232</v>
      </c>
      <c r="AN335" t="s">
        <v>3233</v>
      </c>
      <c r="AO335" t="s">
        <v>3234</v>
      </c>
      <c r="AP335" t="s">
        <v>3235</v>
      </c>
      <c r="AQ335" t="s">
        <v>3236</v>
      </c>
      <c r="AR335" t="s">
        <v>3237</v>
      </c>
      <c r="AS335" t="s">
        <v>3238</v>
      </c>
    </row>
    <row r="336" spans="1:45" x14ac:dyDescent="0.45">
      <c r="A336">
        <v>335</v>
      </c>
      <c r="B336">
        <v>335</v>
      </c>
      <c r="C336" t="s">
        <v>78</v>
      </c>
      <c r="D336" t="s">
        <v>189</v>
      </c>
      <c r="E336" t="s">
        <v>74</v>
      </c>
      <c r="F336" t="s">
        <v>77</v>
      </c>
      <c r="G336" t="s">
        <v>76</v>
      </c>
      <c r="H336">
        <v>13.638316438911778</v>
      </c>
      <c r="I336">
        <v>0</v>
      </c>
      <c r="J336">
        <v>8</v>
      </c>
      <c r="K336">
        <v>7</v>
      </c>
      <c r="L336">
        <v>1</v>
      </c>
      <c r="M336">
        <v>9</v>
      </c>
      <c r="N336">
        <v>7</v>
      </c>
      <c r="O336">
        <v>2</v>
      </c>
      <c r="P336">
        <v>8</v>
      </c>
      <c r="Q336">
        <v>8</v>
      </c>
      <c r="R336">
        <v>0</v>
      </c>
      <c r="S336">
        <v>9</v>
      </c>
      <c r="T336">
        <v>10</v>
      </c>
      <c r="U336">
        <v>-1</v>
      </c>
      <c r="V336">
        <v>8</v>
      </c>
      <c r="W336">
        <v>9</v>
      </c>
      <c r="X336">
        <v>-1</v>
      </c>
      <c r="Y336">
        <v>9</v>
      </c>
      <c r="Z336">
        <v>10</v>
      </c>
      <c r="AA336">
        <v>-1</v>
      </c>
      <c r="AB336">
        <v>8</v>
      </c>
      <c r="AC336">
        <v>8</v>
      </c>
      <c r="AD336">
        <v>0</v>
      </c>
      <c r="AE336">
        <v>9</v>
      </c>
      <c r="AF336">
        <v>8</v>
      </c>
      <c r="AG336">
        <v>1</v>
      </c>
      <c r="AH336">
        <v>8</v>
      </c>
      <c r="AI336">
        <v>10</v>
      </c>
      <c r="AJ336">
        <v>-2</v>
      </c>
      <c r="AK336" t="s">
        <v>3239</v>
      </c>
      <c r="AL336" t="s">
        <v>3240</v>
      </c>
      <c r="AM336" t="s">
        <v>3241</v>
      </c>
      <c r="AN336" t="s">
        <v>3242</v>
      </c>
      <c r="AO336" t="s">
        <v>3243</v>
      </c>
      <c r="AP336" t="s">
        <v>3244</v>
      </c>
      <c r="AQ336" t="s">
        <v>3245</v>
      </c>
      <c r="AR336" t="s">
        <v>3246</v>
      </c>
      <c r="AS336" t="s">
        <v>3247</v>
      </c>
    </row>
    <row r="337" spans="1:45" x14ac:dyDescent="0.45">
      <c r="A337">
        <v>336</v>
      </c>
      <c r="B337">
        <v>336</v>
      </c>
      <c r="C337" t="s">
        <v>72</v>
      </c>
      <c r="D337" t="s">
        <v>81</v>
      </c>
      <c r="E337" t="s">
        <v>74</v>
      </c>
      <c r="F337" t="s">
        <v>77</v>
      </c>
      <c r="G337" t="s">
        <v>76</v>
      </c>
      <c r="H337">
        <v>21.777965169755465</v>
      </c>
      <c r="I337">
        <v>0</v>
      </c>
      <c r="J337">
        <v>7</v>
      </c>
      <c r="K337">
        <v>4</v>
      </c>
      <c r="L337">
        <v>3</v>
      </c>
      <c r="M337">
        <v>6</v>
      </c>
      <c r="N337">
        <v>5</v>
      </c>
      <c r="O337">
        <v>1</v>
      </c>
      <c r="P337">
        <v>8</v>
      </c>
      <c r="Q337">
        <v>5</v>
      </c>
      <c r="R337">
        <v>3</v>
      </c>
      <c r="S337">
        <v>9</v>
      </c>
      <c r="T337">
        <v>6</v>
      </c>
      <c r="U337">
        <v>3</v>
      </c>
      <c r="V337">
        <v>7</v>
      </c>
      <c r="W337">
        <v>5</v>
      </c>
      <c r="X337">
        <v>2</v>
      </c>
      <c r="Y337">
        <v>9</v>
      </c>
      <c r="Z337">
        <v>6</v>
      </c>
      <c r="AA337">
        <v>3</v>
      </c>
      <c r="AB337">
        <v>8</v>
      </c>
      <c r="AC337">
        <v>5</v>
      </c>
      <c r="AD337">
        <v>3</v>
      </c>
      <c r="AE337">
        <v>9</v>
      </c>
      <c r="AF337">
        <v>5</v>
      </c>
      <c r="AG337">
        <v>4</v>
      </c>
      <c r="AH337">
        <v>8</v>
      </c>
      <c r="AI337">
        <v>6</v>
      </c>
      <c r="AJ337">
        <v>2</v>
      </c>
      <c r="AK337" t="s">
        <v>3248</v>
      </c>
      <c r="AL337" t="s">
        <v>3249</v>
      </c>
      <c r="AM337" t="s">
        <v>3250</v>
      </c>
      <c r="AN337" t="s">
        <v>3251</v>
      </c>
      <c r="AO337" t="s">
        <v>3252</v>
      </c>
      <c r="AP337" t="s">
        <v>3253</v>
      </c>
      <c r="AQ337" t="s">
        <v>3254</v>
      </c>
      <c r="AR337" t="s">
        <v>220</v>
      </c>
      <c r="AS337" t="s">
        <v>3255</v>
      </c>
    </row>
    <row r="338" spans="1:45" x14ac:dyDescent="0.45">
      <c r="A338">
        <v>337</v>
      </c>
      <c r="B338">
        <v>337</v>
      </c>
      <c r="C338" t="s">
        <v>78</v>
      </c>
      <c r="D338" t="s">
        <v>73</v>
      </c>
      <c r="E338" t="s">
        <v>74</v>
      </c>
      <c r="F338" t="s">
        <v>77</v>
      </c>
      <c r="G338" t="s">
        <v>76</v>
      </c>
      <c r="H338">
        <v>23.229901331150877</v>
      </c>
      <c r="I338">
        <v>0</v>
      </c>
      <c r="J338">
        <v>8</v>
      </c>
      <c r="K338">
        <v>7</v>
      </c>
      <c r="L338">
        <v>1</v>
      </c>
      <c r="M338">
        <v>8</v>
      </c>
      <c r="N338">
        <v>8</v>
      </c>
      <c r="O338">
        <v>0</v>
      </c>
      <c r="P338">
        <v>9</v>
      </c>
      <c r="Q338">
        <v>7</v>
      </c>
      <c r="R338">
        <v>2</v>
      </c>
      <c r="S338">
        <v>9</v>
      </c>
      <c r="T338">
        <v>7</v>
      </c>
      <c r="U338">
        <v>2</v>
      </c>
      <c r="V338">
        <v>8</v>
      </c>
      <c r="W338">
        <v>6</v>
      </c>
      <c r="X338">
        <v>2</v>
      </c>
      <c r="Y338">
        <v>8</v>
      </c>
      <c r="Z338">
        <v>8</v>
      </c>
      <c r="AA338">
        <v>0</v>
      </c>
      <c r="AB338">
        <v>7</v>
      </c>
      <c r="AC338">
        <v>6</v>
      </c>
      <c r="AD338">
        <v>1</v>
      </c>
      <c r="AE338">
        <v>8</v>
      </c>
      <c r="AF338">
        <v>8</v>
      </c>
      <c r="AG338">
        <v>0</v>
      </c>
      <c r="AH338">
        <v>9</v>
      </c>
      <c r="AI338">
        <v>8</v>
      </c>
      <c r="AJ338">
        <v>1</v>
      </c>
      <c r="AK338" t="s">
        <v>228</v>
      </c>
      <c r="AL338" t="s">
        <v>3256</v>
      </c>
      <c r="AM338" t="s">
        <v>3257</v>
      </c>
      <c r="AN338" t="s">
        <v>3258</v>
      </c>
      <c r="AO338" t="s">
        <v>3259</v>
      </c>
      <c r="AP338" t="s">
        <v>3260</v>
      </c>
      <c r="AQ338" t="s">
        <v>3261</v>
      </c>
      <c r="AR338" t="s">
        <v>3262</v>
      </c>
      <c r="AS338" t="s">
        <v>3263</v>
      </c>
    </row>
    <row r="339" spans="1:45" x14ac:dyDescent="0.45">
      <c r="A339">
        <v>338</v>
      </c>
      <c r="B339">
        <v>338</v>
      </c>
      <c r="C339" t="s">
        <v>78</v>
      </c>
      <c r="D339" t="s">
        <v>189</v>
      </c>
      <c r="E339" t="s">
        <v>74</v>
      </c>
      <c r="F339" t="s">
        <v>77</v>
      </c>
      <c r="G339" t="s">
        <v>76</v>
      </c>
      <c r="H339">
        <v>15.759082668153212</v>
      </c>
      <c r="I339">
        <v>0</v>
      </c>
      <c r="J339">
        <v>5</v>
      </c>
      <c r="K339">
        <v>8</v>
      </c>
      <c r="L339">
        <v>-3</v>
      </c>
      <c r="M339">
        <v>6</v>
      </c>
      <c r="N339">
        <v>8</v>
      </c>
      <c r="O339">
        <v>-2</v>
      </c>
      <c r="P339">
        <v>8</v>
      </c>
      <c r="Q339">
        <v>9</v>
      </c>
      <c r="R339">
        <v>-1</v>
      </c>
      <c r="S339">
        <v>9</v>
      </c>
      <c r="T339">
        <v>9</v>
      </c>
      <c r="U339">
        <v>0</v>
      </c>
      <c r="V339">
        <v>7</v>
      </c>
      <c r="W339">
        <v>8</v>
      </c>
      <c r="X339">
        <v>-1</v>
      </c>
      <c r="Y339">
        <v>9</v>
      </c>
      <c r="Z339">
        <v>9</v>
      </c>
      <c r="AA339">
        <v>0</v>
      </c>
      <c r="AB339">
        <v>7</v>
      </c>
      <c r="AC339">
        <v>10</v>
      </c>
      <c r="AD339">
        <v>-3</v>
      </c>
      <c r="AE339">
        <v>6</v>
      </c>
      <c r="AF339">
        <v>9</v>
      </c>
      <c r="AG339">
        <v>-3</v>
      </c>
      <c r="AH339">
        <v>9</v>
      </c>
      <c r="AI339">
        <v>10</v>
      </c>
      <c r="AJ339">
        <v>-1</v>
      </c>
      <c r="AK339" t="s">
        <v>3264</v>
      </c>
      <c r="AL339" t="s">
        <v>3265</v>
      </c>
      <c r="AM339" t="s">
        <v>3266</v>
      </c>
      <c r="AN339" t="s">
        <v>3267</v>
      </c>
      <c r="AO339" t="s">
        <v>3268</v>
      </c>
      <c r="AP339" t="s">
        <v>3269</v>
      </c>
      <c r="AQ339" t="s">
        <v>3270</v>
      </c>
      <c r="AR339" t="s">
        <v>3271</v>
      </c>
      <c r="AS339" t="s">
        <v>3272</v>
      </c>
    </row>
    <row r="340" spans="1:45" x14ac:dyDescent="0.45">
      <c r="A340">
        <v>339</v>
      </c>
      <c r="B340">
        <v>339</v>
      </c>
      <c r="C340" t="s">
        <v>72</v>
      </c>
      <c r="D340" t="s">
        <v>189</v>
      </c>
      <c r="E340" t="s">
        <v>74</v>
      </c>
      <c r="F340" t="s">
        <v>77</v>
      </c>
      <c r="G340" t="s">
        <v>76</v>
      </c>
      <c r="H340">
        <v>13.462811798582948</v>
      </c>
      <c r="I340">
        <v>0</v>
      </c>
      <c r="J340">
        <v>8</v>
      </c>
      <c r="K340">
        <v>7</v>
      </c>
      <c r="L340">
        <v>1</v>
      </c>
      <c r="M340">
        <v>9</v>
      </c>
      <c r="N340">
        <v>7</v>
      </c>
      <c r="O340">
        <v>2</v>
      </c>
      <c r="P340">
        <v>7</v>
      </c>
      <c r="Q340">
        <v>8</v>
      </c>
      <c r="R340">
        <v>-1</v>
      </c>
      <c r="S340">
        <v>9</v>
      </c>
      <c r="T340">
        <v>8</v>
      </c>
      <c r="U340">
        <v>1</v>
      </c>
      <c r="V340">
        <v>8</v>
      </c>
      <c r="W340">
        <v>6</v>
      </c>
      <c r="X340">
        <v>2</v>
      </c>
      <c r="Y340">
        <v>9</v>
      </c>
      <c r="Z340">
        <v>7</v>
      </c>
      <c r="AA340">
        <v>2</v>
      </c>
      <c r="AB340">
        <v>8</v>
      </c>
      <c r="AC340">
        <v>6</v>
      </c>
      <c r="AD340">
        <v>2</v>
      </c>
      <c r="AE340">
        <v>9</v>
      </c>
      <c r="AF340">
        <v>6</v>
      </c>
      <c r="AG340">
        <v>3</v>
      </c>
      <c r="AH340">
        <v>9</v>
      </c>
      <c r="AI340">
        <v>7</v>
      </c>
      <c r="AJ340">
        <v>2</v>
      </c>
      <c r="AK340" t="s">
        <v>3273</v>
      </c>
      <c r="AL340" t="s">
        <v>3274</v>
      </c>
      <c r="AM340" t="s">
        <v>3275</v>
      </c>
      <c r="AN340" t="s">
        <v>3276</v>
      </c>
      <c r="AO340" t="s">
        <v>3277</v>
      </c>
      <c r="AP340" t="s">
        <v>3278</v>
      </c>
      <c r="AQ340" t="s">
        <v>3279</v>
      </c>
      <c r="AR340" t="s">
        <v>3280</v>
      </c>
      <c r="AS340" t="s">
        <v>3281</v>
      </c>
    </row>
    <row r="341" spans="1:45" x14ac:dyDescent="0.45">
      <c r="A341">
        <v>340</v>
      </c>
      <c r="B341">
        <v>340</v>
      </c>
      <c r="C341" t="s">
        <v>78</v>
      </c>
      <c r="D341" t="s">
        <v>81</v>
      </c>
      <c r="E341" t="s">
        <v>74</v>
      </c>
      <c r="F341" t="s">
        <v>77</v>
      </c>
      <c r="G341" t="s">
        <v>76</v>
      </c>
      <c r="H341">
        <v>16.141931199763956</v>
      </c>
      <c r="I341">
        <v>0</v>
      </c>
      <c r="J341">
        <v>7</v>
      </c>
      <c r="K341">
        <v>7</v>
      </c>
      <c r="L341">
        <v>0</v>
      </c>
      <c r="M341">
        <v>8</v>
      </c>
      <c r="N341">
        <v>8</v>
      </c>
      <c r="O341">
        <v>0</v>
      </c>
      <c r="P341">
        <v>9</v>
      </c>
      <c r="Q341">
        <v>8</v>
      </c>
      <c r="R341">
        <v>1</v>
      </c>
      <c r="S341">
        <v>10</v>
      </c>
      <c r="T341">
        <v>8</v>
      </c>
      <c r="U341">
        <v>2</v>
      </c>
      <c r="V341">
        <v>9</v>
      </c>
      <c r="W341">
        <v>5</v>
      </c>
      <c r="X341">
        <v>4</v>
      </c>
      <c r="Y341">
        <v>8</v>
      </c>
      <c r="Z341">
        <v>8</v>
      </c>
      <c r="AA341">
        <v>0</v>
      </c>
      <c r="AB341">
        <v>9</v>
      </c>
      <c r="AC341">
        <v>5</v>
      </c>
      <c r="AD341">
        <v>4</v>
      </c>
      <c r="AE341">
        <v>8</v>
      </c>
      <c r="AF341">
        <v>8</v>
      </c>
      <c r="AG341">
        <v>0</v>
      </c>
      <c r="AH341">
        <v>9</v>
      </c>
      <c r="AI341">
        <v>8</v>
      </c>
      <c r="AJ341">
        <v>1</v>
      </c>
      <c r="AK341" t="s">
        <v>3282</v>
      </c>
      <c r="AL341" t="s">
        <v>3283</v>
      </c>
      <c r="AM341" t="s">
        <v>3284</v>
      </c>
      <c r="AN341" t="s">
        <v>3285</v>
      </c>
      <c r="AO341" t="s">
        <v>3286</v>
      </c>
      <c r="AP341" t="s">
        <v>3287</v>
      </c>
      <c r="AQ341" t="s">
        <v>3288</v>
      </c>
      <c r="AR341" t="s">
        <v>3289</v>
      </c>
      <c r="AS341" t="s">
        <v>3290</v>
      </c>
    </row>
    <row r="342" spans="1:45" x14ac:dyDescent="0.45">
      <c r="A342">
        <v>341</v>
      </c>
      <c r="B342">
        <v>341</v>
      </c>
      <c r="C342" t="s">
        <v>72</v>
      </c>
      <c r="D342" t="s">
        <v>189</v>
      </c>
      <c r="E342" t="s">
        <v>74</v>
      </c>
      <c r="F342" t="s">
        <v>77</v>
      </c>
      <c r="G342" t="s">
        <v>76</v>
      </c>
      <c r="H342">
        <v>12</v>
      </c>
      <c r="I342">
        <v>0</v>
      </c>
      <c r="J342">
        <v>9</v>
      </c>
      <c r="K342">
        <v>8</v>
      </c>
      <c r="L342">
        <v>1</v>
      </c>
      <c r="M342">
        <v>8</v>
      </c>
      <c r="N342">
        <v>8</v>
      </c>
      <c r="O342">
        <v>0</v>
      </c>
      <c r="P342">
        <v>9</v>
      </c>
      <c r="Q342">
        <v>8</v>
      </c>
      <c r="R342">
        <v>1</v>
      </c>
      <c r="S342">
        <v>8</v>
      </c>
      <c r="T342">
        <v>9</v>
      </c>
      <c r="U342">
        <v>-1</v>
      </c>
      <c r="V342">
        <v>7</v>
      </c>
      <c r="W342">
        <v>8</v>
      </c>
      <c r="X342">
        <v>-1</v>
      </c>
      <c r="Y342">
        <v>8</v>
      </c>
      <c r="Z342">
        <v>8</v>
      </c>
      <c r="AA342">
        <v>0</v>
      </c>
      <c r="AB342">
        <v>7</v>
      </c>
      <c r="AC342">
        <v>7</v>
      </c>
      <c r="AD342">
        <v>0</v>
      </c>
      <c r="AE342">
        <v>8</v>
      </c>
      <c r="AF342">
        <v>7</v>
      </c>
      <c r="AG342">
        <v>1</v>
      </c>
      <c r="AH342">
        <v>9</v>
      </c>
      <c r="AI342">
        <v>8</v>
      </c>
      <c r="AJ342">
        <v>1</v>
      </c>
      <c r="AK342" t="s">
        <v>3291</v>
      </c>
      <c r="AL342" t="s">
        <v>3292</v>
      </c>
      <c r="AM342" t="s">
        <v>3293</v>
      </c>
      <c r="AN342" t="s">
        <v>3294</v>
      </c>
      <c r="AO342" t="s">
        <v>199</v>
      </c>
      <c r="AP342" t="s">
        <v>3295</v>
      </c>
      <c r="AQ342" t="s">
        <v>3296</v>
      </c>
      <c r="AR342" t="s">
        <v>220</v>
      </c>
      <c r="AS342" t="s">
        <v>3297</v>
      </c>
    </row>
    <row r="343" spans="1:45" x14ac:dyDescent="0.45">
      <c r="A343">
        <v>342</v>
      </c>
      <c r="B343">
        <v>342</v>
      </c>
      <c r="C343" t="s">
        <v>78</v>
      </c>
      <c r="D343" t="s">
        <v>189</v>
      </c>
      <c r="E343" t="s">
        <v>74</v>
      </c>
      <c r="F343" t="s">
        <v>77</v>
      </c>
      <c r="G343" t="s">
        <v>76</v>
      </c>
      <c r="H343">
        <v>12</v>
      </c>
      <c r="I343">
        <v>0</v>
      </c>
      <c r="J343">
        <v>7</v>
      </c>
      <c r="K343">
        <v>5</v>
      </c>
      <c r="L343">
        <v>2</v>
      </c>
      <c r="M343">
        <v>8</v>
      </c>
      <c r="N343">
        <v>5</v>
      </c>
      <c r="O343">
        <v>3</v>
      </c>
      <c r="P343">
        <v>6</v>
      </c>
      <c r="Q343">
        <v>6</v>
      </c>
      <c r="R343">
        <v>0</v>
      </c>
      <c r="S343">
        <v>9</v>
      </c>
      <c r="T343">
        <v>7</v>
      </c>
      <c r="U343">
        <v>2</v>
      </c>
      <c r="V343">
        <v>7</v>
      </c>
      <c r="W343">
        <v>5</v>
      </c>
      <c r="X343">
        <v>2</v>
      </c>
      <c r="Y343">
        <v>8</v>
      </c>
      <c r="Z343">
        <v>8</v>
      </c>
      <c r="AA343">
        <v>0</v>
      </c>
      <c r="AB343">
        <v>7</v>
      </c>
      <c r="AC343">
        <v>6</v>
      </c>
      <c r="AD343">
        <v>1</v>
      </c>
      <c r="AE343">
        <v>8</v>
      </c>
      <c r="AF343">
        <v>6</v>
      </c>
      <c r="AG343">
        <v>2</v>
      </c>
      <c r="AH343">
        <v>9</v>
      </c>
      <c r="AI343">
        <v>7</v>
      </c>
      <c r="AJ343">
        <v>2</v>
      </c>
      <c r="AK343" t="s">
        <v>3298</v>
      </c>
      <c r="AL343" t="s">
        <v>3299</v>
      </c>
      <c r="AM343" t="s">
        <v>3300</v>
      </c>
      <c r="AN343" t="s">
        <v>3301</v>
      </c>
      <c r="AO343" t="s">
        <v>3302</v>
      </c>
      <c r="AP343" t="s">
        <v>3303</v>
      </c>
      <c r="AQ343" t="s">
        <v>3304</v>
      </c>
      <c r="AR343" t="s">
        <v>3305</v>
      </c>
      <c r="AS343" t="s">
        <v>3306</v>
      </c>
    </row>
    <row r="344" spans="1:45" x14ac:dyDescent="0.45">
      <c r="A344">
        <v>343</v>
      </c>
      <c r="B344">
        <v>343</v>
      </c>
      <c r="C344" t="s">
        <v>78</v>
      </c>
      <c r="D344" t="s">
        <v>81</v>
      </c>
      <c r="E344" t="s">
        <v>74</v>
      </c>
      <c r="F344" t="s">
        <v>77</v>
      </c>
      <c r="G344" t="s">
        <v>76</v>
      </c>
      <c r="H344">
        <v>15.935346764068866</v>
      </c>
      <c r="I344">
        <v>0</v>
      </c>
      <c r="J344">
        <v>6</v>
      </c>
      <c r="K344">
        <v>7</v>
      </c>
      <c r="L344">
        <v>-1</v>
      </c>
      <c r="M344">
        <v>7</v>
      </c>
      <c r="N344">
        <v>7</v>
      </c>
      <c r="O344">
        <v>0</v>
      </c>
      <c r="P344">
        <v>9</v>
      </c>
      <c r="Q344">
        <v>8</v>
      </c>
      <c r="R344">
        <v>1</v>
      </c>
      <c r="S344">
        <v>10</v>
      </c>
      <c r="T344">
        <v>7</v>
      </c>
      <c r="U344">
        <v>3</v>
      </c>
      <c r="V344">
        <v>8</v>
      </c>
      <c r="W344">
        <v>8</v>
      </c>
      <c r="X344">
        <v>0</v>
      </c>
      <c r="Y344">
        <v>9</v>
      </c>
      <c r="Z344">
        <v>8</v>
      </c>
      <c r="AA344">
        <v>1</v>
      </c>
      <c r="AB344">
        <v>8</v>
      </c>
      <c r="AC344">
        <v>8</v>
      </c>
      <c r="AD344">
        <v>0</v>
      </c>
      <c r="AE344">
        <v>9</v>
      </c>
      <c r="AF344">
        <v>7</v>
      </c>
      <c r="AG344">
        <v>2</v>
      </c>
      <c r="AH344">
        <v>10</v>
      </c>
      <c r="AI344">
        <v>8</v>
      </c>
      <c r="AJ344">
        <v>2</v>
      </c>
      <c r="AK344" t="s">
        <v>3307</v>
      </c>
      <c r="AL344" t="s">
        <v>3308</v>
      </c>
      <c r="AM344" t="s">
        <v>3309</v>
      </c>
      <c r="AN344" t="s">
        <v>3310</v>
      </c>
      <c r="AO344" t="s">
        <v>3311</v>
      </c>
      <c r="AP344" t="s">
        <v>3312</v>
      </c>
      <c r="AQ344" t="s">
        <v>3313</v>
      </c>
      <c r="AR344" t="s">
        <v>259</v>
      </c>
      <c r="AS344" t="s">
        <v>3314</v>
      </c>
    </row>
    <row r="345" spans="1:45" x14ac:dyDescent="0.45">
      <c r="A345">
        <v>344</v>
      </c>
      <c r="B345">
        <v>344</v>
      </c>
      <c r="C345" t="s">
        <v>78</v>
      </c>
      <c r="D345" t="s">
        <v>73</v>
      </c>
      <c r="E345" t="s">
        <v>74</v>
      </c>
      <c r="F345" t="s">
        <v>75</v>
      </c>
      <c r="G345" t="s">
        <v>76</v>
      </c>
      <c r="H345">
        <v>62.675274093811289</v>
      </c>
      <c r="I345">
        <v>2</v>
      </c>
      <c r="J345">
        <v>8</v>
      </c>
      <c r="K345">
        <v>7</v>
      </c>
      <c r="L345">
        <v>1</v>
      </c>
      <c r="M345">
        <v>7</v>
      </c>
      <c r="N345">
        <v>7</v>
      </c>
      <c r="O345">
        <v>0</v>
      </c>
      <c r="P345">
        <v>9</v>
      </c>
      <c r="Q345">
        <v>5</v>
      </c>
      <c r="R345">
        <v>4</v>
      </c>
      <c r="S345">
        <v>9</v>
      </c>
      <c r="T345">
        <v>8</v>
      </c>
      <c r="U345">
        <v>1</v>
      </c>
      <c r="V345">
        <v>7</v>
      </c>
      <c r="W345">
        <v>6</v>
      </c>
      <c r="X345">
        <v>1</v>
      </c>
      <c r="Y345">
        <v>9</v>
      </c>
      <c r="Z345">
        <v>5</v>
      </c>
      <c r="AA345">
        <v>4</v>
      </c>
      <c r="AB345">
        <v>8</v>
      </c>
      <c r="AC345">
        <v>5</v>
      </c>
      <c r="AD345">
        <v>3</v>
      </c>
      <c r="AE345">
        <v>7</v>
      </c>
      <c r="AF345">
        <v>6</v>
      </c>
      <c r="AG345">
        <v>1</v>
      </c>
      <c r="AH345">
        <v>9</v>
      </c>
      <c r="AI345">
        <v>5</v>
      </c>
      <c r="AJ345">
        <v>4</v>
      </c>
      <c r="AK345" t="s">
        <v>3315</v>
      </c>
      <c r="AL345" t="s">
        <v>3316</v>
      </c>
      <c r="AM345" t="s">
        <v>3317</v>
      </c>
      <c r="AN345" t="s">
        <v>3318</v>
      </c>
      <c r="AO345" t="s">
        <v>3319</v>
      </c>
      <c r="AP345" t="s">
        <v>3320</v>
      </c>
      <c r="AQ345" t="s">
        <v>3321</v>
      </c>
      <c r="AR345" t="s">
        <v>3322</v>
      </c>
      <c r="AS345" t="s">
        <v>3323</v>
      </c>
    </row>
    <row r="346" spans="1:45" x14ac:dyDescent="0.45">
      <c r="A346">
        <v>345</v>
      </c>
      <c r="B346">
        <v>345</v>
      </c>
      <c r="C346" t="s">
        <v>72</v>
      </c>
      <c r="D346" t="s">
        <v>81</v>
      </c>
      <c r="E346" t="s">
        <v>74</v>
      </c>
      <c r="F346" t="s">
        <v>77</v>
      </c>
      <c r="G346" t="s">
        <v>76</v>
      </c>
      <c r="H346">
        <v>15.243973711850904</v>
      </c>
      <c r="I346">
        <v>0</v>
      </c>
      <c r="J346">
        <v>7</v>
      </c>
      <c r="K346">
        <v>7</v>
      </c>
      <c r="L346">
        <v>0</v>
      </c>
      <c r="M346">
        <v>6</v>
      </c>
      <c r="N346">
        <v>7</v>
      </c>
      <c r="O346">
        <v>-1</v>
      </c>
      <c r="P346">
        <v>9</v>
      </c>
      <c r="Q346">
        <v>5</v>
      </c>
      <c r="R346">
        <v>4</v>
      </c>
      <c r="S346">
        <v>8</v>
      </c>
      <c r="T346">
        <v>8</v>
      </c>
      <c r="U346">
        <v>0</v>
      </c>
      <c r="V346">
        <v>9</v>
      </c>
      <c r="W346">
        <v>7</v>
      </c>
      <c r="X346">
        <v>2</v>
      </c>
      <c r="Y346">
        <v>8</v>
      </c>
      <c r="Z346">
        <v>7</v>
      </c>
      <c r="AA346">
        <v>1</v>
      </c>
      <c r="AB346">
        <v>9</v>
      </c>
      <c r="AC346">
        <v>6</v>
      </c>
      <c r="AD346">
        <v>3</v>
      </c>
      <c r="AE346">
        <v>7</v>
      </c>
      <c r="AF346">
        <v>7</v>
      </c>
      <c r="AG346">
        <v>0</v>
      </c>
      <c r="AH346">
        <v>9</v>
      </c>
      <c r="AI346">
        <v>7</v>
      </c>
      <c r="AJ346">
        <v>2</v>
      </c>
      <c r="AK346" t="s">
        <v>3324</v>
      </c>
      <c r="AL346" t="s">
        <v>3325</v>
      </c>
      <c r="AM346" t="s">
        <v>3326</v>
      </c>
      <c r="AN346" t="s">
        <v>3327</v>
      </c>
      <c r="AO346" t="s">
        <v>3328</v>
      </c>
      <c r="AP346" t="s">
        <v>3329</v>
      </c>
      <c r="AQ346" t="s">
        <v>3330</v>
      </c>
      <c r="AR346" t="s">
        <v>3331</v>
      </c>
      <c r="AS346" t="s">
        <v>3332</v>
      </c>
    </row>
    <row r="347" spans="1:45" x14ac:dyDescent="0.45">
      <c r="A347">
        <v>346</v>
      </c>
      <c r="B347">
        <v>346</v>
      </c>
      <c r="C347" t="s">
        <v>72</v>
      </c>
      <c r="D347" t="s">
        <v>73</v>
      </c>
      <c r="E347" t="s">
        <v>74</v>
      </c>
      <c r="F347" t="s">
        <v>77</v>
      </c>
      <c r="G347" t="s">
        <v>76</v>
      </c>
      <c r="H347">
        <v>24.89927253229185</v>
      </c>
      <c r="I347">
        <v>1</v>
      </c>
      <c r="J347">
        <v>5</v>
      </c>
      <c r="K347">
        <v>9</v>
      </c>
      <c r="L347">
        <v>-4</v>
      </c>
      <c r="M347">
        <v>6</v>
      </c>
      <c r="N347">
        <v>8</v>
      </c>
      <c r="O347">
        <v>-2</v>
      </c>
      <c r="P347">
        <v>8</v>
      </c>
      <c r="Q347">
        <v>8</v>
      </c>
      <c r="R347">
        <v>0</v>
      </c>
      <c r="S347">
        <v>9</v>
      </c>
      <c r="T347">
        <v>9</v>
      </c>
      <c r="U347">
        <v>0</v>
      </c>
      <c r="V347">
        <v>7</v>
      </c>
      <c r="W347">
        <v>7</v>
      </c>
      <c r="X347">
        <v>0</v>
      </c>
      <c r="Y347">
        <v>8</v>
      </c>
      <c r="Z347">
        <v>8</v>
      </c>
      <c r="AA347">
        <v>0</v>
      </c>
      <c r="AB347">
        <v>7</v>
      </c>
      <c r="AC347">
        <v>7</v>
      </c>
      <c r="AD347">
        <v>0</v>
      </c>
      <c r="AE347">
        <v>6</v>
      </c>
      <c r="AF347">
        <v>7</v>
      </c>
      <c r="AG347">
        <v>-1</v>
      </c>
      <c r="AH347">
        <v>7</v>
      </c>
      <c r="AI347">
        <v>8</v>
      </c>
      <c r="AJ347">
        <v>-1</v>
      </c>
      <c r="AK347" t="s">
        <v>3333</v>
      </c>
      <c r="AL347" t="s">
        <v>3334</v>
      </c>
      <c r="AM347" t="s">
        <v>3335</v>
      </c>
      <c r="AN347" t="s">
        <v>3336</v>
      </c>
      <c r="AO347" t="s">
        <v>3337</v>
      </c>
      <c r="AP347" t="s">
        <v>3338</v>
      </c>
      <c r="AQ347" t="s">
        <v>3339</v>
      </c>
      <c r="AR347" t="s">
        <v>3340</v>
      </c>
      <c r="AS347" t="s">
        <v>3341</v>
      </c>
    </row>
    <row r="348" spans="1:45" x14ac:dyDescent="0.45">
      <c r="A348">
        <v>347</v>
      </c>
      <c r="B348">
        <v>347</v>
      </c>
      <c r="C348" t="s">
        <v>72</v>
      </c>
      <c r="D348" t="s">
        <v>81</v>
      </c>
      <c r="E348" t="s">
        <v>74</v>
      </c>
      <c r="F348" t="s">
        <v>77</v>
      </c>
      <c r="G348" t="s">
        <v>76</v>
      </c>
      <c r="H348">
        <v>19.121911982713407</v>
      </c>
      <c r="I348">
        <v>0</v>
      </c>
      <c r="J348">
        <v>6</v>
      </c>
      <c r="K348">
        <v>8</v>
      </c>
      <c r="L348">
        <v>-2</v>
      </c>
      <c r="M348">
        <v>7</v>
      </c>
      <c r="N348">
        <v>8</v>
      </c>
      <c r="O348">
        <v>-1</v>
      </c>
      <c r="P348">
        <v>8</v>
      </c>
      <c r="Q348">
        <v>7</v>
      </c>
      <c r="R348">
        <v>1</v>
      </c>
      <c r="S348">
        <v>9</v>
      </c>
      <c r="T348">
        <v>8</v>
      </c>
      <c r="U348">
        <v>1</v>
      </c>
      <c r="V348">
        <v>8</v>
      </c>
      <c r="W348">
        <v>6</v>
      </c>
      <c r="X348">
        <v>2</v>
      </c>
      <c r="Y348">
        <v>9</v>
      </c>
      <c r="Z348">
        <v>8</v>
      </c>
      <c r="AA348">
        <v>1</v>
      </c>
      <c r="AB348">
        <v>7</v>
      </c>
      <c r="AC348">
        <v>6</v>
      </c>
      <c r="AD348">
        <v>1</v>
      </c>
      <c r="AE348">
        <v>6</v>
      </c>
      <c r="AF348">
        <v>6</v>
      </c>
      <c r="AG348">
        <v>0</v>
      </c>
      <c r="AH348">
        <v>9</v>
      </c>
      <c r="AI348">
        <v>8</v>
      </c>
      <c r="AJ348">
        <v>1</v>
      </c>
      <c r="AK348" t="s">
        <v>3342</v>
      </c>
      <c r="AL348" t="s">
        <v>3343</v>
      </c>
      <c r="AM348" t="s">
        <v>3344</v>
      </c>
      <c r="AN348" t="s">
        <v>3345</v>
      </c>
      <c r="AO348" t="s">
        <v>3346</v>
      </c>
      <c r="AP348" t="s">
        <v>3347</v>
      </c>
      <c r="AQ348" t="s">
        <v>3348</v>
      </c>
      <c r="AR348" t="s">
        <v>3349</v>
      </c>
      <c r="AS348" t="s">
        <v>3350</v>
      </c>
    </row>
    <row r="349" spans="1:45" x14ac:dyDescent="0.45">
      <c r="A349">
        <v>348</v>
      </c>
      <c r="B349">
        <v>348</v>
      </c>
      <c r="C349" t="s">
        <v>72</v>
      </c>
      <c r="D349" t="s">
        <v>81</v>
      </c>
      <c r="E349" t="s">
        <v>74</v>
      </c>
      <c r="F349" t="s">
        <v>77</v>
      </c>
      <c r="G349" t="s">
        <v>76</v>
      </c>
      <c r="H349">
        <v>18.848836365386781</v>
      </c>
      <c r="I349">
        <v>0</v>
      </c>
      <c r="J349">
        <v>9</v>
      </c>
      <c r="K349">
        <v>8</v>
      </c>
      <c r="L349">
        <v>1</v>
      </c>
      <c r="M349">
        <v>8</v>
      </c>
      <c r="N349">
        <v>8</v>
      </c>
      <c r="O349">
        <v>0</v>
      </c>
      <c r="P349">
        <v>9</v>
      </c>
      <c r="Q349">
        <v>7</v>
      </c>
      <c r="R349">
        <v>2</v>
      </c>
      <c r="S349">
        <v>8</v>
      </c>
      <c r="T349">
        <v>7</v>
      </c>
      <c r="U349">
        <v>1</v>
      </c>
      <c r="V349">
        <v>9</v>
      </c>
      <c r="W349">
        <v>6</v>
      </c>
      <c r="X349">
        <v>3</v>
      </c>
      <c r="Y349">
        <v>8</v>
      </c>
      <c r="Z349">
        <v>7</v>
      </c>
      <c r="AA349">
        <v>1</v>
      </c>
      <c r="AB349">
        <v>9</v>
      </c>
      <c r="AC349">
        <v>6</v>
      </c>
      <c r="AD349">
        <v>3</v>
      </c>
      <c r="AE349">
        <v>8</v>
      </c>
      <c r="AF349">
        <v>6</v>
      </c>
      <c r="AG349">
        <v>2</v>
      </c>
      <c r="AH349">
        <v>9</v>
      </c>
      <c r="AI349">
        <v>7</v>
      </c>
      <c r="AJ349">
        <v>2</v>
      </c>
      <c r="AK349" t="s">
        <v>3351</v>
      </c>
      <c r="AL349" t="s">
        <v>3352</v>
      </c>
      <c r="AM349" t="s">
        <v>3353</v>
      </c>
      <c r="AN349" t="s">
        <v>3354</v>
      </c>
      <c r="AO349" t="s">
        <v>275</v>
      </c>
      <c r="AP349" t="s">
        <v>3355</v>
      </c>
      <c r="AQ349" t="s">
        <v>3356</v>
      </c>
      <c r="AR349" t="s">
        <v>265</v>
      </c>
      <c r="AS349" t="s">
        <v>3357</v>
      </c>
    </row>
    <row r="350" spans="1:45" x14ac:dyDescent="0.45">
      <c r="A350">
        <v>349</v>
      </c>
      <c r="B350">
        <v>349</v>
      </c>
      <c r="C350" t="s">
        <v>72</v>
      </c>
      <c r="D350" t="s">
        <v>81</v>
      </c>
      <c r="E350" t="s">
        <v>74</v>
      </c>
      <c r="F350" t="s">
        <v>77</v>
      </c>
      <c r="G350" t="s">
        <v>76</v>
      </c>
      <c r="H350">
        <v>19.433405004233556</v>
      </c>
      <c r="I350">
        <v>0</v>
      </c>
      <c r="J350">
        <v>7</v>
      </c>
      <c r="K350">
        <v>4</v>
      </c>
      <c r="L350">
        <v>3</v>
      </c>
      <c r="M350">
        <v>8</v>
      </c>
      <c r="N350">
        <v>4</v>
      </c>
      <c r="O350">
        <v>4</v>
      </c>
      <c r="P350">
        <v>7</v>
      </c>
      <c r="Q350">
        <v>5</v>
      </c>
      <c r="R350">
        <v>2</v>
      </c>
      <c r="S350">
        <v>9</v>
      </c>
      <c r="T350">
        <v>7</v>
      </c>
      <c r="U350">
        <v>2</v>
      </c>
      <c r="V350">
        <v>6</v>
      </c>
      <c r="W350">
        <v>5</v>
      </c>
      <c r="X350">
        <v>1</v>
      </c>
      <c r="Y350">
        <v>8</v>
      </c>
      <c r="Z350">
        <v>6</v>
      </c>
      <c r="AA350">
        <v>2</v>
      </c>
      <c r="AB350">
        <v>7</v>
      </c>
      <c r="AC350">
        <v>6</v>
      </c>
      <c r="AD350">
        <v>1</v>
      </c>
      <c r="AE350">
        <v>8</v>
      </c>
      <c r="AF350">
        <v>6</v>
      </c>
      <c r="AG350">
        <v>2</v>
      </c>
      <c r="AH350">
        <v>9</v>
      </c>
      <c r="AI350">
        <v>6</v>
      </c>
      <c r="AJ350">
        <v>3</v>
      </c>
      <c r="AK350" t="s">
        <v>3358</v>
      </c>
      <c r="AL350" t="s">
        <v>3359</v>
      </c>
      <c r="AM350" t="s">
        <v>3360</v>
      </c>
      <c r="AN350" t="s">
        <v>3361</v>
      </c>
      <c r="AO350" t="s">
        <v>3362</v>
      </c>
      <c r="AP350" t="s">
        <v>3363</v>
      </c>
      <c r="AQ350" t="s">
        <v>3364</v>
      </c>
      <c r="AR350" t="s">
        <v>3365</v>
      </c>
      <c r="AS350" t="s">
        <v>3366</v>
      </c>
    </row>
    <row r="351" spans="1:45" x14ac:dyDescent="0.45">
      <c r="A351">
        <v>350</v>
      </c>
      <c r="B351">
        <v>350</v>
      </c>
      <c r="C351" t="s">
        <v>72</v>
      </c>
      <c r="D351" t="s">
        <v>81</v>
      </c>
      <c r="E351" t="s">
        <v>74</v>
      </c>
      <c r="F351" t="s">
        <v>77</v>
      </c>
      <c r="G351" t="s">
        <v>76</v>
      </c>
      <c r="H351">
        <v>30.175848559176604</v>
      </c>
      <c r="I351">
        <v>0</v>
      </c>
      <c r="J351">
        <v>8</v>
      </c>
      <c r="K351">
        <v>7</v>
      </c>
      <c r="L351">
        <v>1</v>
      </c>
      <c r="M351">
        <v>7</v>
      </c>
      <c r="N351">
        <v>7</v>
      </c>
      <c r="O351">
        <v>0</v>
      </c>
      <c r="P351">
        <v>9</v>
      </c>
      <c r="Q351">
        <v>8</v>
      </c>
      <c r="R351">
        <v>1</v>
      </c>
      <c r="S351">
        <v>8</v>
      </c>
      <c r="T351">
        <v>8</v>
      </c>
      <c r="U351">
        <v>0</v>
      </c>
      <c r="V351">
        <v>9</v>
      </c>
      <c r="W351">
        <v>7</v>
      </c>
      <c r="X351">
        <v>2</v>
      </c>
      <c r="Y351">
        <v>8</v>
      </c>
      <c r="Z351">
        <v>7</v>
      </c>
      <c r="AA351">
        <v>1</v>
      </c>
      <c r="AB351">
        <v>9</v>
      </c>
      <c r="AC351">
        <v>8</v>
      </c>
      <c r="AD351">
        <v>1</v>
      </c>
      <c r="AE351">
        <v>8</v>
      </c>
      <c r="AF351">
        <v>7</v>
      </c>
      <c r="AG351">
        <v>1</v>
      </c>
      <c r="AH351">
        <v>9</v>
      </c>
      <c r="AI351">
        <v>8</v>
      </c>
      <c r="AJ351">
        <v>1</v>
      </c>
      <c r="AK351" t="s">
        <v>3367</v>
      </c>
      <c r="AL351" t="s">
        <v>3368</v>
      </c>
      <c r="AM351" t="s">
        <v>3369</v>
      </c>
      <c r="AN351" t="s">
        <v>3370</v>
      </c>
      <c r="AO351" t="s">
        <v>3371</v>
      </c>
      <c r="AP351" t="s">
        <v>3372</v>
      </c>
      <c r="AQ351" t="s">
        <v>293</v>
      </c>
      <c r="AR351" t="s">
        <v>3373</v>
      </c>
      <c r="AS351" t="s">
        <v>3374</v>
      </c>
    </row>
    <row r="352" spans="1:45" x14ac:dyDescent="0.45">
      <c r="A352">
        <v>351</v>
      </c>
      <c r="B352">
        <v>351</v>
      </c>
      <c r="C352" t="s">
        <v>72</v>
      </c>
      <c r="D352" t="s">
        <v>73</v>
      </c>
      <c r="E352" t="s">
        <v>74</v>
      </c>
      <c r="F352" t="s">
        <v>77</v>
      </c>
      <c r="G352" t="s">
        <v>76</v>
      </c>
      <c r="H352">
        <v>41.687752201905596</v>
      </c>
      <c r="I352">
        <v>2</v>
      </c>
      <c r="J352">
        <v>7</v>
      </c>
      <c r="K352">
        <v>8</v>
      </c>
      <c r="L352">
        <v>-1</v>
      </c>
      <c r="M352">
        <v>6</v>
      </c>
      <c r="N352">
        <v>8</v>
      </c>
      <c r="O352">
        <v>-2</v>
      </c>
      <c r="P352">
        <v>8</v>
      </c>
      <c r="Q352">
        <v>6</v>
      </c>
      <c r="R352">
        <v>2</v>
      </c>
      <c r="S352">
        <v>9</v>
      </c>
      <c r="T352">
        <v>7</v>
      </c>
      <c r="U352">
        <v>2</v>
      </c>
      <c r="V352">
        <v>7</v>
      </c>
      <c r="W352">
        <v>6</v>
      </c>
      <c r="X352">
        <v>1</v>
      </c>
      <c r="Y352">
        <v>8</v>
      </c>
      <c r="Z352">
        <v>7</v>
      </c>
      <c r="AA352">
        <v>1</v>
      </c>
      <c r="AB352">
        <v>6</v>
      </c>
      <c r="AC352">
        <v>5</v>
      </c>
      <c r="AD352">
        <v>1</v>
      </c>
      <c r="AE352">
        <v>8</v>
      </c>
      <c r="AF352">
        <v>7</v>
      </c>
      <c r="AG352">
        <v>1</v>
      </c>
      <c r="AH352">
        <v>9</v>
      </c>
      <c r="AI352">
        <v>7</v>
      </c>
      <c r="AJ352">
        <v>2</v>
      </c>
      <c r="AK352" t="s">
        <v>3375</v>
      </c>
      <c r="AL352" t="s">
        <v>3376</v>
      </c>
      <c r="AM352" t="s">
        <v>3377</v>
      </c>
      <c r="AN352" t="s">
        <v>3378</v>
      </c>
      <c r="AO352" t="s">
        <v>3379</v>
      </c>
      <c r="AP352" t="s">
        <v>3380</v>
      </c>
      <c r="AQ352" t="s">
        <v>3381</v>
      </c>
      <c r="AR352" t="s">
        <v>3382</v>
      </c>
      <c r="AS352" t="s">
        <v>3383</v>
      </c>
    </row>
    <row r="353" spans="1:45" x14ac:dyDescent="0.45">
      <c r="A353">
        <v>352</v>
      </c>
      <c r="B353">
        <v>352</v>
      </c>
      <c r="C353" t="s">
        <v>72</v>
      </c>
      <c r="D353" t="s">
        <v>73</v>
      </c>
      <c r="E353" t="s">
        <v>74</v>
      </c>
      <c r="F353" t="s">
        <v>77</v>
      </c>
      <c r="G353" t="s">
        <v>76</v>
      </c>
      <c r="H353">
        <v>25.238713197909998</v>
      </c>
      <c r="I353">
        <v>1</v>
      </c>
      <c r="J353">
        <v>6</v>
      </c>
      <c r="K353">
        <v>6</v>
      </c>
      <c r="L353">
        <v>0</v>
      </c>
      <c r="M353">
        <v>8</v>
      </c>
      <c r="N353">
        <v>6</v>
      </c>
      <c r="O353">
        <v>2</v>
      </c>
      <c r="P353">
        <v>9</v>
      </c>
      <c r="Q353">
        <v>8</v>
      </c>
      <c r="R353">
        <v>1</v>
      </c>
      <c r="S353">
        <v>8</v>
      </c>
      <c r="T353">
        <v>7</v>
      </c>
      <c r="U353">
        <v>1</v>
      </c>
      <c r="V353">
        <v>9</v>
      </c>
      <c r="W353">
        <v>7</v>
      </c>
      <c r="X353">
        <v>2</v>
      </c>
      <c r="Y353">
        <v>8</v>
      </c>
      <c r="Z353">
        <v>7</v>
      </c>
      <c r="AA353">
        <v>1</v>
      </c>
      <c r="AB353">
        <v>9</v>
      </c>
      <c r="AC353">
        <v>5</v>
      </c>
      <c r="AD353">
        <v>4</v>
      </c>
      <c r="AE353">
        <v>8</v>
      </c>
      <c r="AF353">
        <v>6</v>
      </c>
      <c r="AG353">
        <v>2</v>
      </c>
      <c r="AH353">
        <v>9</v>
      </c>
      <c r="AI353">
        <v>7</v>
      </c>
      <c r="AJ353">
        <v>2</v>
      </c>
      <c r="AK353" t="s">
        <v>3384</v>
      </c>
      <c r="AL353" t="s">
        <v>3385</v>
      </c>
      <c r="AM353" t="s">
        <v>3386</v>
      </c>
      <c r="AN353" t="s">
        <v>3387</v>
      </c>
      <c r="AO353" t="s">
        <v>3388</v>
      </c>
      <c r="AP353" t="s">
        <v>3389</v>
      </c>
      <c r="AQ353" t="s">
        <v>3390</v>
      </c>
      <c r="AR353" t="s">
        <v>3391</v>
      </c>
      <c r="AS353" t="s">
        <v>3392</v>
      </c>
    </row>
    <row r="354" spans="1:45" x14ac:dyDescent="0.45">
      <c r="A354">
        <v>353</v>
      </c>
      <c r="B354">
        <v>353</v>
      </c>
      <c r="C354" t="s">
        <v>78</v>
      </c>
      <c r="D354" t="s">
        <v>79</v>
      </c>
      <c r="E354" t="s">
        <v>74</v>
      </c>
      <c r="F354" t="s">
        <v>77</v>
      </c>
      <c r="G354" t="s">
        <v>76</v>
      </c>
      <c r="H354">
        <v>94.443659947212794</v>
      </c>
      <c r="I354">
        <v>4</v>
      </c>
      <c r="J354">
        <v>6</v>
      </c>
      <c r="K354">
        <v>7</v>
      </c>
      <c r="L354">
        <v>-1</v>
      </c>
      <c r="M354">
        <v>7</v>
      </c>
      <c r="N354">
        <v>7</v>
      </c>
      <c r="O354">
        <v>0</v>
      </c>
      <c r="P354">
        <v>8</v>
      </c>
      <c r="Q354">
        <v>8</v>
      </c>
      <c r="R354">
        <v>0</v>
      </c>
      <c r="S354">
        <v>9</v>
      </c>
      <c r="T354">
        <v>8</v>
      </c>
      <c r="U354">
        <v>1</v>
      </c>
      <c r="V354">
        <v>7</v>
      </c>
      <c r="W354">
        <v>6</v>
      </c>
      <c r="X354">
        <v>1</v>
      </c>
      <c r="Y354">
        <v>8</v>
      </c>
      <c r="Z354">
        <v>7</v>
      </c>
      <c r="AA354">
        <v>1</v>
      </c>
      <c r="AB354">
        <v>9</v>
      </c>
      <c r="AC354">
        <v>5</v>
      </c>
      <c r="AD354">
        <v>4</v>
      </c>
      <c r="AE354">
        <v>7</v>
      </c>
      <c r="AF354">
        <v>7</v>
      </c>
      <c r="AG354">
        <v>0</v>
      </c>
      <c r="AH354">
        <v>9</v>
      </c>
      <c r="AI354">
        <v>7</v>
      </c>
      <c r="AJ354">
        <v>2</v>
      </c>
      <c r="AK354" t="s">
        <v>3393</v>
      </c>
      <c r="AL354" t="s">
        <v>3394</v>
      </c>
      <c r="AM354" t="s">
        <v>3395</v>
      </c>
      <c r="AN354" t="s">
        <v>3396</v>
      </c>
      <c r="AO354" t="s">
        <v>3397</v>
      </c>
      <c r="AP354" t="s">
        <v>3398</v>
      </c>
      <c r="AQ354" t="s">
        <v>3399</v>
      </c>
      <c r="AR354" t="s">
        <v>3400</v>
      </c>
      <c r="AS354" t="s">
        <v>3401</v>
      </c>
    </row>
    <row r="355" spans="1:45" x14ac:dyDescent="0.45">
      <c r="A355">
        <v>354</v>
      </c>
      <c r="B355">
        <v>354</v>
      </c>
      <c r="C355" t="s">
        <v>72</v>
      </c>
      <c r="D355" t="s">
        <v>189</v>
      </c>
      <c r="E355" t="s">
        <v>74</v>
      </c>
      <c r="F355" t="s">
        <v>77</v>
      </c>
      <c r="G355" t="s">
        <v>76</v>
      </c>
      <c r="H355">
        <v>15.09854392394401</v>
      </c>
      <c r="I355">
        <v>0</v>
      </c>
      <c r="J355">
        <v>8</v>
      </c>
      <c r="K355">
        <v>9</v>
      </c>
      <c r="L355">
        <v>-1</v>
      </c>
      <c r="M355">
        <v>9</v>
      </c>
      <c r="N355">
        <v>9</v>
      </c>
      <c r="O355">
        <v>0</v>
      </c>
      <c r="P355">
        <v>9</v>
      </c>
      <c r="Q355">
        <v>10</v>
      </c>
      <c r="R355">
        <v>-1</v>
      </c>
      <c r="S355">
        <v>9</v>
      </c>
      <c r="T355">
        <v>10</v>
      </c>
      <c r="U355">
        <v>-1</v>
      </c>
      <c r="V355">
        <v>8</v>
      </c>
      <c r="W355">
        <v>9</v>
      </c>
      <c r="X355">
        <v>-1</v>
      </c>
      <c r="Y355">
        <v>9</v>
      </c>
      <c r="Z355">
        <v>10</v>
      </c>
      <c r="AA355">
        <v>-1</v>
      </c>
      <c r="AB355">
        <v>9</v>
      </c>
      <c r="AC355">
        <v>8</v>
      </c>
      <c r="AD355">
        <v>1</v>
      </c>
      <c r="AE355">
        <v>8</v>
      </c>
      <c r="AF355">
        <v>8</v>
      </c>
      <c r="AG355">
        <v>0</v>
      </c>
      <c r="AH355">
        <v>9</v>
      </c>
      <c r="AI355">
        <v>9</v>
      </c>
      <c r="AJ355">
        <v>0</v>
      </c>
      <c r="AK355" t="s">
        <v>3402</v>
      </c>
      <c r="AL355" t="s">
        <v>3403</v>
      </c>
      <c r="AM355" t="s">
        <v>3404</v>
      </c>
      <c r="AN355" t="s">
        <v>3405</v>
      </c>
      <c r="AO355" t="s">
        <v>3406</v>
      </c>
      <c r="AP355" t="s">
        <v>3407</v>
      </c>
      <c r="AQ355" t="s">
        <v>3408</v>
      </c>
      <c r="AR355" t="s">
        <v>3409</v>
      </c>
      <c r="AS355" t="s">
        <v>3410</v>
      </c>
    </row>
    <row r="356" spans="1:45" x14ac:dyDescent="0.45">
      <c r="A356">
        <v>355</v>
      </c>
      <c r="B356">
        <v>355</v>
      </c>
      <c r="C356" t="s">
        <v>78</v>
      </c>
      <c r="D356" t="s">
        <v>189</v>
      </c>
      <c r="E356" t="s">
        <v>74</v>
      </c>
      <c r="F356" t="s">
        <v>77</v>
      </c>
      <c r="G356" t="s">
        <v>76</v>
      </c>
      <c r="H356">
        <v>13.048571564590558</v>
      </c>
      <c r="I356">
        <v>0</v>
      </c>
      <c r="J356">
        <v>9</v>
      </c>
      <c r="K356">
        <v>7</v>
      </c>
      <c r="L356">
        <v>2</v>
      </c>
      <c r="M356">
        <v>8</v>
      </c>
      <c r="N356">
        <v>8</v>
      </c>
      <c r="O356">
        <v>0</v>
      </c>
      <c r="P356">
        <v>9</v>
      </c>
      <c r="Q356">
        <v>8</v>
      </c>
      <c r="R356">
        <v>1</v>
      </c>
      <c r="S356">
        <v>8</v>
      </c>
      <c r="T356">
        <v>9</v>
      </c>
      <c r="U356">
        <v>-1</v>
      </c>
      <c r="V356">
        <v>9</v>
      </c>
      <c r="W356">
        <v>8</v>
      </c>
      <c r="X356">
        <v>1</v>
      </c>
      <c r="Y356">
        <v>8</v>
      </c>
      <c r="Z356">
        <v>10</v>
      </c>
      <c r="AA356">
        <v>-2</v>
      </c>
      <c r="AB356">
        <v>9</v>
      </c>
      <c r="AC356">
        <v>8</v>
      </c>
      <c r="AD356">
        <v>1</v>
      </c>
      <c r="AE356">
        <v>8</v>
      </c>
      <c r="AF356">
        <v>8</v>
      </c>
      <c r="AG356">
        <v>0</v>
      </c>
      <c r="AH356">
        <v>9</v>
      </c>
      <c r="AI356">
        <v>9</v>
      </c>
      <c r="AJ356">
        <v>0</v>
      </c>
      <c r="AK356" t="s">
        <v>3411</v>
      </c>
      <c r="AL356" t="s">
        <v>3412</v>
      </c>
      <c r="AM356" t="s">
        <v>3413</v>
      </c>
      <c r="AN356" t="s">
        <v>3414</v>
      </c>
      <c r="AO356" t="s">
        <v>3415</v>
      </c>
      <c r="AP356" t="s">
        <v>3416</v>
      </c>
      <c r="AQ356" t="s">
        <v>3417</v>
      </c>
      <c r="AR356" t="s">
        <v>3418</v>
      </c>
      <c r="AS356" t="s">
        <v>3419</v>
      </c>
    </row>
    <row r="357" spans="1:45" x14ac:dyDescent="0.45">
      <c r="A357">
        <v>356</v>
      </c>
      <c r="B357">
        <v>356</v>
      </c>
      <c r="C357" t="s">
        <v>78</v>
      </c>
      <c r="D357" t="s">
        <v>189</v>
      </c>
      <c r="E357" t="s">
        <v>74</v>
      </c>
      <c r="F357" t="s">
        <v>77</v>
      </c>
      <c r="G357" t="s">
        <v>76</v>
      </c>
      <c r="H357">
        <v>13.395097941884634</v>
      </c>
      <c r="I357">
        <v>0</v>
      </c>
      <c r="J357">
        <v>8</v>
      </c>
      <c r="K357">
        <v>7</v>
      </c>
      <c r="L357">
        <v>1</v>
      </c>
      <c r="M357">
        <v>9</v>
      </c>
      <c r="N357">
        <v>7</v>
      </c>
      <c r="O357">
        <v>2</v>
      </c>
      <c r="P357">
        <v>8</v>
      </c>
      <c r="Q357">
        <v>8</v>
      </c>
      <c r="R357">
        <v>0</v>
      </c>
      <c r="S357">
        <v>9</v>
      </c>
      <c r="T357">
        <v>10</v>
      </c>
      <c r="U357">
        <v>-1</v>
      </c>
      <c r="V357">
        <v>8</v>
      </c>
      <c r="W357">
        <v>9</v>
      </c>
      <c r="X357">
        <v>-1</v>
      </c>
      <c r="Y357">
        <v>9</v>
      </c>
      <c r="Z357">
        <v>10</v>
      </c>
      <c r="AA357">
        <v>-1</v>
      </c>
      <c r="AB357">
        <v>8</v>
      </c>
      <c r="AC357">
        <v>8</v>
      </c>
      <c r="AD357">
        <v>0</v>
      </c>
      <c r="AE357">
        <v>9</v>
      </c>
      <c r="AF357">
        <v>8</v>
      </c>
      <c r="AG357">
        <v>1</v>
      </c>
      <c r="AH357">
        <v>10</v>
      </c>
      <c r="AI357">
        <v>10</v>
      </c>
      <c r="AJ357">
        <v>0</v>
      </c>
      <c r="AK357" t="s">
        <v>3420</v>
      </c>
      <c r="AL357" t="s">
        <v>3421</v>
      </c>
      <c r="AM357" t="s">
        <v>3422</v>
      </c>
      <c r="AN357" t="s">
        <v>3423</v>
      </c>
      <c r="AO357" t="s">
        <v>3424</v>
      </c>
      <c r="AP357" t="s">
        <v>3425</v>
      </c>
      <c r="AQ357" t="s">
        <v>3426</v>
      </c>
      <c r="AR357" t="s">
        <v>3427</v>
      </c>
      <c r="AS357" t="s">
        <v>3428</v>
      </c>
    </row>
    <row r="358" spans="1:45" x14ac:dyDescent="0.45">
      <c r="A358">
        <v>357</v>
      </c>
      <c r="B358">
        <v>357</v>
      </c>
      <c r="C358" t="s">
        <v>78</v>
      </c>
      <c r="D358" t="s">
        <v>81</v>
      </c>
      <c r="E358" t="s">
        <v>74</v>
      </c>
      <c r="F358" t="s">
        <v>77</v>
      </c>
      <c r="G358" t="s">
        <v>76</v>
      </c>
      <c r="H358">
        <v>25.247410838725333</v>
      </c>
      <c r="I358">
        <v>0</v>
      </c>
      <c r="J358">
        <v>7</v>
      </c>
      <c r="K358">
        <v>9</v>
      </c>
      <c r="L358">
        <v>-2</v>
      </c>
      <c r="M358">
        <v>8</v>
      </c>
      <c r="N358">
        <v>9</v>
      </c>
      <c r="O358">
        <v>-1</v>
      </c>
      <c r="P358">
        <v>9</v>
      </c>
      <c r="Q358">
        <v>8</v>
      </c>
      <c r="R358">
        <v>1</v>
      </c>
      <c r="S358">
        <v>8</v>
      </c>
      <c r="T358">
        <v>9</v>
      </c>
      <c r="U358">
        <v>-1</v>
      </c>
      <c r="V358">
        <v>9</v>
      </c>
      <c r="W358">
        <v>8</v>
      </c>
      <c r="X358">
        <v>1</v>
      </c>
      <c r="Y358">
        <v>8</v>
      </c>
      <c r="Z358">
        <v>8</v>
      </c>
      <c r="AA358">
        <v>0</v>
      </c>
      <c r="AB358">
        <v>9</v>
      </c>
      <c r="AC358">
        <v>7</v>
      </c>
      <c r="AD358">
        <v>2</v>
      </c>
      <c r="AE358">
        <v>8</v>
      </c>
      <c r="AF358">
        <v>7</v>
      </c>
      <c r="AG358">
        <v>1</v>
      </c>
      <c r="AH358">
        <v>9</v>
      </c>
      <c r="AI358">
        <v>8</v>
      </c>
      <c r="AJ358">
        <v>1</v>
      </c>
      <c r="AK358" t="s">
        <v>3429</v>
      </c>
      <c r="AL358" t="s">
        <v>3430</v>
      </c>
      <c r="AM358" t="s">
        <v>3431</v>
      </c>
      <c r="AN358" t="s">
        <v>3432</v>
      </c>
      <c r="AO358" t="s">
        <v>3433</v>
      </c>
      <c r="AP358" t="s">
        <v>3434</v>
      </c>
      <c r="AQ358" t="s">
        <v>3435</v>
      </c>
      <c r="AR358" t="s">
        <v>3436</v>
      </c>
      <c r="AS358" t="s">
        <v>3437</v>
      </c>
    </row>
    <row r="359" spans="1:45" x14ac:dyDescent="0.45">
      <c r="A359">
        <v>358</v>
      </c>
      <c r="B359">
        <v>358</v>
      </c>
      <c r="C359" t="s">
        <v>72</v>
      </c>
      <c r="D359" t="s">
        <v>189</v>
      </c>
      <c r="E359" t="s">
        <v>74</v>
      </c>
      <c r="F359" t="s">
        <v>77</v>
      </c>
      <c r="G359" t="s">
        <v>76</v>
      </c>
      <c r="H359">
        <v>15.035346755924781</v>
      </c>
      <c r="I359">
        <v>0</v>
      </c>
      <c r="J359">
        <v>8</v>
      </c>
      <c r="K359">
        <v>7</v>
      </c>
      <c r="L359">
        <v>1</v>
      </c>
      <c r="M359">
        <v>9</v>
      </c>
      <c r="N359">
        <v>7</v>
      </c>
      <c r="O359">
        <v>2</v>
      </c>
      <c r="P359">
        <v>8</v>
      </c>
      <c r="Q359">
        <v>7</v>
      </c>
      <c r="R359">
        <v>1</v>
      </c>
      <c r="S359">
        <v>9</v>
      </c>
      <c r="T359">
        <v>8</v>
      </c>
      <c r="U359">
        <v>1</v>
      </c>
      <c r="V359">
        <v>8</v>
      </c>
      <c r="W359">
        <v>7</v>
      </c>
      <c r="X359">
        <v>1</v>
      </c>
      <c r="Y359">
        <v>9</v>
      </c>
      <c r="Z359">
        <v>9</v>
      </c>
      <c r="AA359">
        <v>0</v>
      </c>
      <c r="AB359">
        <v>8</v>
      </c>
      <c r="AC359">
        <v>8</v>
      </c>
      <c r="AD359">
        <v>0</v>
      </c>
      <c r="AE359">
        <v>9</v>
      </c>
      <c r="AF359">
        <v>8</v>
      </c>
      <c r="AG359">
        <v>1</v>
      </c>
      <c r="AH359">
        <v>8</v>
      </c>
      <c r="AI359">
        <v>8</v>
      </c>
      <c r="AJ359">
        <v>0</v>
      </c>
      <c r="AK359" t="s">
        <v>3438</v>
      </c>
      <c r="AL359" t="s">
        <v>3439</v>
      </c>
      <c r="AM359" t="s">
        <v>3440</v>
      </c>
      <c r="AN359" t="s">
        <v>3441</v>
      </c>
      <c r="AO359" t="s">
        <v>3442</v>
      </c>
      <c r="AP359" t="s">
        <v>3443</v>
      </c>
      <c r="AQ359" t="s">
        <v>3444</v>
      </c>
      <c r="AR359" t="s">
        <v>410</v>
      </c>
      <c r="AS359" t="s">
        <v>3445</v>
      </c>
    </row>
    <row r="360" spans="1:45" x14ac:dyDescent="0.45">
      <c r="A360">
        <v>359</v>
      </c>
      <c r="B360">
        <v>359</v>
      </c>
      <c r="C360" t="s">
        <v>72</v>
      </c>
      <c r="D360" t="s">
        <v>81</v>
      </c>
      <c r="E360" t="s">
        <v>74</v>
      </c>
      <c r="F360" t="s">
        <v>77</v>
      </c>
      <c r="G360" t="s">
        <v>76</v>
      </c>
      <c r="H360">
        <v>19.779826782176841</v>
      </c>
      <c r="I360">
        <v>1</v>
      </c>
      <c r="J360">
        <v>6</v>
      </c>
      <c r="K360">
        <v>4</v>
      </c>
      <c r="L360">
        <v>2</v>
      </c>
      <c r="M360">
        <v>6</v>
      </c>
      <c r="N360">
        <v>5</v>
      </c>
      <c r="O360">
        <v>1</v>
      </c>
      <c r="P360">
        <v>9</v>
      </c>
      <c r="Q360">
        <v>6</v>
      </c>
      <c r="R360">
        <v>3</v>
      </c>
      <c r="S360">
        <v>8</v>
      </c>
      <c r="T360">
        <v>7</v>
      </c>
      <c r="U360">
        <v>1</v>
      </c>
      <c r="V360">
        <v>7</v>
      </c>
      <c r="W360">
        <v>7</v>
      </c>
      <c r="X360">
        <v>0</v>
      </c>
      <c r="Y360">
        <v>8</v>
      </c>
      <c r="Z360">
        <v>6</v>
      </c>
      <c r="AA360">
        <v>2</v>
      </c>
      <c r="AB360">
        <v>7</v>
      </c>
      <c r="AC360">
        <v>4</v>
      </c>
      <c r="AD360">
        <v>3</v>
      </c>
      <c r="AE360">
        <v>6</v>
      </c>
      <c r="AF360">
        <v>6</v>
      </c>
      <c r="AG360">
        <v>0</v>
      </c>
      <c r="AH360">
        <v>8</v>
      </c>
      <c r="AI360">
        <v>7</v>
      </c>
      <c r="AJ360">
        <v>1</v>
      </c>
      <c r="AK360" t="s">
        <v>3446</v>
      </c>
      <c r="AL360" t="s">
        <v>3447</v>
      </c>
      <c r="AM360" t="s">
        <v>281</v>
      </c>
      <c r="AN360" t="s">
        <v>3448</v>
      </c>
      <c r="AO360" t="s">
        <v>3449</v>
      </c>
      <c r="AP360" t="s">
        <v>3450</v>
      </c>
      <c r="AQ360" t="s">
        <v>3451</v>
      </c>
      <c r="AR360" t="s">
        <v>3452</v>
      </c>
      <c r="AS360" t="s">
        <v>3453</v>
      </c>
    </row>
    <row r="361" spans="1:45" x14ac:dyDescent="0.45">
      <c r="A361">
        <v>360</v>
      </c>
      <c r="B361">
        <v>360</v>
      </c>
      <c r="C361" t="s">
        <v>78</v>
      </c>
      <c r="D361" t="s">
        <v>81</v>
      </c>
      <c r="E361" t="s">
        <v>74</v>
      </c>
      <c r="F361" t="s">
        <v>77</v>
      </c>
      <c r="G361" t="s">
        <v>76</v>
      </c>
      <c r="H361">
        <v>21.703133300773874</v>
      </c>
      <c r="I361">
        <v>0</v>
      </c>
      <c r="J361">
        <v>7</v>
      </c>
      <c r="K361">
        <v>9</v>
      </c>
      <c r="L361">
        <v>-2</v>
      </c>
      <c r="M361">
        <v>8</v>
      </c>
      <c r="N361">
        <v>8</v>
      </c>
      <c r="O361">
        <v>0</v>
      </c>
      <c r="P361">
        <v>9</v>
      </c>
      <c r="Q361">
        <v>8</v>
      </c>
      <c r="R361">
        <v>1</v>
      </c>
      <c r="S361">
        <v>8</v>
      </c>
      <c r="T361">
        <v>8</v>
      </c>
      <c r="U361">
        <v>0</v>
      </c>
      <c r="V361">
        <v>9</v>
      </c>
      <c r="W361">
        <v>7</v>
      </c>
      <c r="X361">
        <v>2</v>
      </c>
      <c r="Y361">
        <v>8</v>
      </c>
      <c r="Z361">
        <v>7</v>
      </c>
      <c r="AA361">
        <v>1</v>
      </c>
      <c r="AB361">
        <v>9</v>
      </c>
      <c r="AC361">
        <v>6</v>
      </c>
      <c r="AD361">
        <v>3</v>
      </c>
      <c r="AE361">
        <v>8</v>
      </c>
      <c r="AF361">
        <v>7</v>
      </c>
      <c r="AG361">
        <v>1</v>
      </c>
      <c r="AH361">
        <v>9</v>
      </c>
      <c r="AI361">
        <v>8</v>
      </c>
      <c r="AJ361">
        <v>1</v>
      </c>
      <c r="AK361" t="s">
        <v>3454</v>
      </c>
      <c r="AL361" t="s">
        <v>3455</v>
      </c>
      <c r="AM361" t="s">
        <v>3456</v>
      </c>
      <c r="AN361" t="s">
        <v>3457</v>
      </c>
      <c r="AO361" t="s">
        <v>3458</v>
      </c>
      <c r="AP361" t="s">
        <v>3459</v>
      </c>
      <c r="AQ361" t="s">
        <v>848</v>
      </c>
      <c r="AR361" t="s">
        <v>200</v>
      </c>
      <c r="AS361" t="s">
        <v>3460</v>
      </c>
    </row>
    <row r="362" spans="1:45" x14ac:dyDescent="0.45">
      <c r="A362">
        <v>361</v>
      </c>
      <c r="B362">
        <v>361</v>
      </c>
      <c r="C362" t="s">
        <v>72</v>
      </c>
      <c r="D362" t="s">
        <v>189</v>
      </c>
      <c r="E362" t="s">
        <v>74</v>
      </c>
      <c r="F362" t="s">
        <v>77</v>
      </c>
      <c r="G362" t="s">
        <v>76</v>
      </c>
      <c r="H362">
        <v>12</v>
      </c>
      <c r="I362">
        <v>0</v>
      </c>
      <c r="J362">
        <v>8</v>
      </c>
      <c r="K362">
        <v>7</v>
      </c>
      <c r="L362">
        <v>1</v>
      </c>
      <c r="M362">
        <v>8</v>
      </c>
      <c r="N362">
        <v>7</v>
      </c>
      <c r="O362">
        <v>1</v>
      </c>
      <c r="P362">
        <v>9</v>
      </c>
      <c r="Q362">
        <v>8</v>
      </c>
      <c r="R362">
        <v>1</v>
      </c>
      <c r="S362">
        <v>9</v>
      </c>
      <c r="T362">
        <v>9</v>
      </c>
      <c r="U362">
        <v>0</v>
      </c>
      <c r="V362">
        <v>8</v>
      </c>
      <c r="W362">
        <v>7</v>
      </c>
      <c r="X362">
        <v>1</v>
      </c>
      <c r="Y362">
        <v>9</v>
      </c>
      <c r="Z362">
        <v>10</v>
      </c>
      <c r="AA362">
        <v>-1</v>
      </c>
      <c r="AB362">
        <v>8</v>
      </c>
      <c r="AC362">
        <v>8</v>
      </c>
      <c r="AD362">
        <v>0</v>
      </c>
      <c r="AE362">
        <v>7</v>
      </c>
      <c r="AF362">
        <v>8</v>
      </c>
      <c r="AG362">
        <v>-1</v>
      </c>
      <c r="AH362">
        <v>9</v>
      </c>
      <c r="AI362">
        <v>10</v>
      </c>
      <c r="AJ362">
        <v>-1</v>
      </c>
      <c r="AK362" t="s">
        <v>3461</v>
      </c>
      <c r="AL362" t="s">
        <v>3462</v>
      </c>
      <c r="AM362" t="s">
        <v>3463</v>
      </c>
      <c r="AN362" t="s">
        <v>3464</v>
      </c>
      <c r="AO362" t="s">
        <v>3465</v>
      </c>
      <c r="AP362" t="s">
        <v>3466</v>
      </c>
      <c r="AQ362" t="s">
        <v>3467</v>
      </c>
      <c r="AR362" t="s">
        <v>3468</v>
      </c>
      <c r="AS362" t="s">
        <v>3469</v>
      </c>
    </row>
    <row r="363" spans="1:45" x14ac:dyDescent="0.45">
      <c r="A363">
        <v>362</v>
      </c>
      <c r="B363">
        <v>362</v>
      </c>
      <c r="C363" t="s">
        <v>72</v>
      </c>
      <c r="D363" t="s">
        <v>189</v>
      </c>
      <c r="E363" t="s">
        <v>74</v>
      </c>
      <c r="F363" t="s">
        <v>77</v>
      </c>
      <c r="G363" t="s">
        <v>76</v>
      </c>
      <c r="H363">
        <v>12.704507617919734</v>
      </c>
      <c r="I363">
        <v>0</v>
      </c>
      <c r="J363">
        <v>6</v>
      </c>
      <c r="K363">
        <v>3</v>
      </c>
      <c r="L363">
        <v>3</v>
      </c>
      <c r="M363">
        <v>6</v>
      </c>
      <c r="N363">
        <v>3</v>
      </c>
      <c r="O363">
        <v>3</v>
      </c>
      <c r="P363">
        <v>8</v>
      </c>
      <c r="Q363">
        <v>5</v>
      </c>
      <c r="R363">
        <v>3</v>
      </c>
      <c r="S363">
        <v>9</v>
      </c>
      <c r="T363">
        <v>6</v>
      </c>
      <c r="U363">
        <v>3</v>
      </c>
      <c r="V363">
        <v>7</v>
      </c>
      <c r="W363">
        <v>5</v>
      </c>
      <c r="X363">
        <v>2</v>
      </c>
      <c r="Y363">
        <v>9</v>
      </c>
      <c r="Z363">
        <v>6</v>
      </c>
      <c r="AA363">
        <v>3</v>
      </c>
      <c r="AB363">
        <v>8</v>
      </c>
      <c r="AC363">
        <v>4</v>
      </c>
      <c r="AD363">
        <v>4</v>
      </c>
      <c r="AE363">
        <v>7</v>
      </c>
      <c r="AF363">
        <v>6</v>
      </c>
      <c r="AG363">
        <v>1</v>
      </c>
      <c r="AH363">
        <v>9</v>
      </c>
      <c r="AI363">
        <v>6</v>
      </c>
      <c r="AJ363">
        <v>3</v>
      </c>
      <c r="AK363" t="s">
        <v>286</v>
      </c>
      <c r="AL363" t="s">
        <v>287</v>
      </c>
      <c r="AM363" t="s">
        <v>288</v>
      </c>
      <c r="AN363" t="s">
        <v>3470</v>
      </c>
      <c r="AO363" t="s">
        <v>3471</v>
      </c>
      <c r="AP363" t="s">
        <v>3472</v>
      </c>
      <c r="AQ363" t="s">
        <v>3473</v>
      </c>
      <c r="AR363" t="s">
        <v>3474</v>
      </c>
      <c r="AS363" t="s">
        <v>3475</v>
      </c>
    </row>
    <row r="364" spans="1:45" x14ac:dyDescent="0.45">
      <c r="A364">
        <v>363</v>
      </c>
      <c r="B364">
        <v>363</v>
      </c>
      <c r="C364" t="s">
        <v>78</v>
      </c>
      <c r="D364" t="s">
        <v>81</v>
      </c>
      <c r="E364" t="s">
        <v>74</v>
      </c>
      <c r="F364" t="s">
        <v>77</v>
      </c>
      <c r="G364" t="s">
        <v>76</v>
      </c>
      <c r="H364">
        <v>30.604448029933732</v>
      </c>
      <c r="I364">
        <v>1</v>
      </c>
      <c r="J364">
        <v>7</v>
      </c>
      <c r="K364">
        <v>8</v>
      </c>
      <c r="L364">
        <v>-1</v>
      </c>
      <c r="M364">
        <v>8</v>
      </c>
      <c r="N364">
        <v>8</v>
      </c>
      <c r="O364">
        <v>0</v>
      </c>
      <c r="P364">
        <v>6</v>
      </c>
      <c r="Q364">
        <v>5</v>
      </c>
      <c r="R364">
        <v>1</v>
      </c>
      <c r="S364">
        <v>9</v>
      </c>
      <c r="T364">
        <v>7</v>
      </c>
      <c r="U364">
        <v>2</v>
      </c>
      <c r="V364">
        <v>8</v>
      </c>
      <c r="W364">
        <v>5</v>
      </c>
      <c r="X364">
        <v>3</v>
      </c>
      <c r="Y364">
        <v>9</v>
      </c>
      <c r="Z364">
        <v>8</v>
      </c>
      <c r="AA364">
        <v>1</v>
      </c>
      <c r="AB364">
        <v>7</v>
      </c>
      <c r="AC364">
        <v>5</v>
      </c>
      <c r="AD364">
        <v>2</v>
      </c>
      <c r="AE364">
        <v>8</v>
      </c>
      <c r="AF364">
        <v>7</v>
      </c>
      <c r="AG364">
        <v>1</v>
      </c>
      <c r="AH364">
        <v>9</v>
      </c>
      <c r="AI364">
        <v>8</v>
      </c>
      <c r="AJ364">
        <v>1</v>
      </c>
      <c r="AK364" t="s">
        <v>289</v>
      </c>
      <c r="AL364" t="s">
        <v>3476</v>
      </c>
      <c r="AM364" t="s">
        <v>3477</v>
      </c>
      <c r="AN364" t="s">
        <v>3478</v>
      </c>
      <c r="AO364" t="s">
        <v>3479</v>
      </c>
      <c r="AP364" t="s">
        <v>3480</v>
      </c>
      <c r="AQ364" t="s">
        <v>3481</v>
      </c>
      <c r="AR364" t="s">
        <v>3482</v>
      </c>
      <c r="AS364" t="s">
        <v>3483</v>
      </c>
    </row>
    <row r="365" spans="1:45" x14ac:dyDescent="0.45">
      <c r="A365">
        <v>364</v>
      </c>
      <c r="B365">
        <v>364</v>
      </c>
      <c r="C365" t="s">
        <v>78</v>
      </c>
      <c r="D365" t="s">
        <v>73</v>
      </c>
      <c r="E365" t="s">
        <v>74</v>
      </c>
      <c r="F365" t="s">
        <v>77</v>
      </c>
      <c r="G365" t="s">
        <v>76</v>
      </c>
      <c r="H365">
        <v>18.218581622984775</v>
      </c>
      <c r="I365">
        <v>1</v>
      </c>
      <c r="J365">
        <v>6</v>
      </c>
      <c r="K365">
        <v>4</v>
      </c>
      <c r="L365">
        <v>2</v>
      </c>
      <c r="M365">
        <v>7</v>
      </c>
      <c r="N365">
        <v>5</v>
      </c>
      <c r="O365">
        <v>2</v>
      </c>
      <c r="P365">
        <v>8</v>
      </c>
      <c r="Q365">
        <v>5</v>
      </c>
      <c r="R365">
        <v>3</v>
      </c>
      <c r="S365">
        <v>9</v>
      </c>
      <c r="T365">
        <v>7</v>
      </c>
      <c r="U365">
        <v>2</v>
      </c>
      <c r="V365">
        <v>7</v>
      </c>
      <c r="W365">
        <v>5</v>
      </c>
      <c r="X365">
        <v>2</v>
      </c>
      <c r="Y365">
        <v>9</v>
      </c>
      <c r="Z365">
        <v>7</v>
      </c>
      <c r="AA365">
        <v>2</v>
      </c>
      <c r="AB365">
        <v>7</v>
      </c>
      <c r="AC365">
        <v>5</v>
      </c>
      <c r="AD365">
        <v>2</v>
      </c>
      <c r="AE365">
        <v>8</v>
      </c>
      <c r="AF365">
        <v>6</v>
      </c>
      <c r="AG365">
        <v>2</v>
      </c>
      <c r="AH365">
        <v>9</v>
      </c>
      <c r="AI365">
        <v>7</v>
      </c>
      <c r="AJ365">
        <v>2</v>
      </c>
      <c r="AK365" t="s">
        <v>3484</v>
      </c>
      <c r="AL365" t="s">
        <v>3485</v>
      </c>
      <c r="AM365" t="s">
        <v>3486</v>
      </c>
      <c r="AN365" t="s">
        <v>3487</v>
      </c>
      <c r="AO365" t="s">
        <v>3488</v>
      </c>
      <c r="AP365" t="s">
        <v>3489</v>
      </c>
      <c r="AQ365" t="s">
        <v>3490</v>
      </c>
      <c r="AR365" t="s">
        <v>3491</v>
      </c>
      <c r="AS365" t="s">
        <v>3492</v>
      </c>
    </row>
    <row r="366" spans="1:45" x14ac:dyDescent="0.45">
      <c r="A366">
        <v>365</v>
      </c>
      <c r="B366">
        <v>365</v>
      </c>
      <c r="C366" t="s">
        <v>72</v>
      </c>
      <c r="D366" t="s">
        <v>81</v>
      </c>
      <c r="E366" t="s">
        <v>74</v>
      </c>
      <c r="F366" t="s">
        <v>77</v>
      </c>
      <c r="G366" t="s">
        <v>76</v>
      </c>
      <c r="H366">
        <v>43.387360062552752</v>
      </c>
      <c r="I366">
        <v>0</v>
      </c>
      <c r="J366">
        <v>7</v>
      </c>
      <c r="K366">
        <v>9</v>
      </c>
      <c r="L366">
        <v>-2</v>
      </c>
      <c r="M366">
        <v>8</v>
      </c>
      <c r="N366">
        <v>9</v>
      </c>
      <c r="O366">
        <v>-1</v>
      </c>
      <c r="P366">
        <v>6</v>
      </c>
      <c r="Q366">
        <v>8</v>
      </c>
      <c r="R366">
        <v>-2</v>
      </c>
      <c r="S366">
        <v>9</v>
      </c>
      <c r="T366">
        <v>9</v>
      </c>
      <c r="U366">
        <v>0</v>
      </c>
      <c r="V366">
        <v>6</v>
      </c>
      <c r="W366">
        <v>9</v>
      </c>
      <c r="X366">
        <v>-3</v>
      </c>
      <c r="Y366">
        <v>9</v>
      </c>
      <c r="Z366">
        <v>7</v>
      </c>
      <c r="AA366">
        <v>2</v>
      </c>
      <c r="AB366">
        <v>7</v>
      </c>
      <c r="AC366">
        <v>7</v>
      </c>
      <c r="AD366">
        <v>0</v>
      </c>
      <c r="AE366">
        <v>6</v>
      </c>
      <c r="AF366">
        <v>7</v>
      </c>
      <c r="AG366">
        <v>-1</v>
      </c>
      <c r="AH366">
        <v>8</v>
      </c>
      <c r="AI366">
        <v>7</v>
      </c>
      <c r="AJ366">
        <v>1</v>
      </c>
      <c r="AK366" t="s">
        <v>3493</v>
      </c>
      <c r="AL366" t="s">
        <v>3494</v>
      </c>
      <c r="AM366" t="s">
        <v>3495</v>
      </c>
      <c r="AN366" t="s">
        <v>3496</v>
      </c>
      <c r="AO366" t="s">
        <v>3497</v>
      </c>
      <c r="AP366" t="s">
        <v>3498</v>
      </c>
      <c r="AQ366" t="s">
        <v>3499</v>
      </c>
      <c r="AR366" t="s">
        <v>3500</v>
      </c>
      <c r="AS366" t="s">
        <v>3501</v>
      </c>
    </row>
    <row r="367" spans="1:45" x14ac:dyDescent="0.45">
      <c r="A367">
        <v>366</v>
      </c>
      <c r="B367">
        <v>366</v>
      </c>
      <c r="C367" t="s">
        <v>78</v>
      </c>
      <c r="D367" t="s">
        <v>73</v>
      </c>
      <c r="E367" t="s">
        <v>74</v>
      </c>
      <c r="F367" t="s">
        <v>75</v>
      </c>
      <c r="G367" t="s">
        <v>76</v>
      </c>
      <c r="H367">
        <v>51.00939189960431</v>
      </c>
      <c r="I367">
        <v>1</v>
      </c>
      <c r="J367">
        <v>7</v>
      </c>
      <c r="K367">
        <v>7</v>
      </c>
      <c r="L367">
        <v>0</v>
      </c>
      <c r="M367">
        <v>6</v>
      </c>
      <c r="N367">
        <v>8</v>
      </c>
      <c r="O367">
        <v>-2</v>
      </c>
      <c r="P367">
        <v>8</v>
      </c>
      <c r="Q367">
        <v>8</v>
      </c>
      <c r="R367">
        <v>0</v>
      </c>
      <c r="S367">
        <v>9</v>
      </c>
      <c r="T367">
        <v>8</v>
      </c>
      <c r="U367">
        <v>1</v>
      </c>
      <c r="V367">
        <v>7</v>
      </c>
      <c r="W367">
        <v>5</v>
      </c>
      <c r="X367">
        <v>2</v>
      </c>
      <c r="Y367">
        <v>9</v>
      </c>
      <c r="Z367">
        <v>6</v>
      </c>
      <c r="AA367">
        <v>3</v>
      </c>
      <c r="AB367">
        <v>7</v>
      </c>
      <c r="AC367">
        <v>5</v>
      </c>
      <c r="AD367">
        <v>2</v>
      </c>
      <c r="AE367">
        <v>8</v>
      </c>
      <c r="AF367">
        <v>6</v>
      </c>
      <c r="AG367">
        <v>2</v>
      </c>
      <c r="AH367">
        <v>9</v>
      </c>
      <c r="AI367">
        <v>6</v>
      </c>
      <c r="AJ367">
        <v>3</v>
      </c>
      <c r="AK367" t="s">
        <v>3502</v>
      </c>
      <c r="AL367" t="s">
        <v>3503</v>
      </c>
      <c r="AM367" t="s">
        <v>3504</v>
      </c>
      <c r="AN367" t="s">
        <v>3505</v>
      </c>
      <c r="AO367" t="s">
        <v>3506</v>
      </c>
      <c r="AP367" t="s">
        <v>3507</v>
      </c>
      <c r="AQ367" t="s">
        <v>3508</v>
      </c>
      <c r="AR367" t="s">
        <v>3509</v>
      </c>
      <c r="AS367" t="s">
        <v>3510</v>
      </c>
    </row>
    <row r="368" spans="1:45" x14ac:dyDescent="0.45">
      <c r="A368">
        <v>367</v>
      </c>
      <c r="B368">
        <v>367</v>
      </c>
      <c r="C368" t="s">
        <v>72</v>
      </c>
      <c r="D368" t="s">
        <v>189</v>
      </c>
      <c r="E368" t="s">
        <v>74</v>
      </c>
      <c r="F368" t="s">
        <v>77</v>
      </c>
      <c r="G368" t="s">
        <v>76</v>
      </c>
      <c r="H368">
        <v>13.869246781267227</v>
      </c>
      <c r="I368">
        <v>0</v>
      </c>
      <c r="J368">
        <v>8</v>
      </c>
      <c r="K368">
        <v>8</v>
      </c>
      <c r="L368">
        <v>0</v>
      </c>
      <c r="M368">
        <v>7</v>
      </c>
      <c r="N368">
        <v>9</v>
      </c>
      <c r="O368">
        <v>-2</v>
      </c>
      <c r="P368">
        <v>6</v>
      </c>
      <c r="Q368">
        <v>8</v>
      </c>
      <c r="R368">
        <v>-2</v>
      </c>
      <c r="S368">
        <v>9</v>
      </c>
      <c r="T368">
        <v>8</v>
      </c>
      <c r="U368">
        <v>1</v>
      </c>
      <c r="V368">
        <v>8</v>
      </c>
      <c r="W368">
        <v>9</v>
      </c>
      <c r="X368">
        <v>-1</v>
      </c>
      <c r="Y368">
        <v>9</v>
      </c>
      <c r="Z368">
        <v>10</v>
      </c>
      <c r="AA368">
        <v>-1</v>
      </c>
      <c r="AB368">
        <v>8</v>
      </c>
      <c r="AC368">
        <v>10</v>
      </c>
      <c r="AD368">
        <v>-2</v>
      </c>
      <c r="AE368">
        <v>7</v>
      </c>
      <c r="AF368">
        <v>9</v>
      </c>
      <c r="AG368">
        <v>-2</v>
      </c>
      <c r="AH368">
        <v>9</v>
      </c>
      <c r="AI368">
        <v>10</v>
      </c>
      <c r="AJ368">
        <v>-1</v>
      </c>
      <c r="AK368" t="s">
        <v>3511</v>
      </c>
      <c r="AL368" t="s">
        <v>3512</v>
      </c>
      <c r="AM368" t="s">
        <v>3513</v>
      </c>
      <c r="AN368" t="s">
        <v>3514</v>
      </c>
      <c r="AO368" t="s">
        <v>3515</v>
      </c>
      <c r="AP368" t="s">
        <v>3516</v>
      </c>
      <c r="AQ368" t="s">
        <v>3517</v>
      </c>
      <c r="AR368" t="s">
        <v>3518</v>
      </c>
      <c r="AS368" t="s">
        <v>3519</v>
      </c>
    </row>
    <row r="369" spans="1:45" x14ac:dyDescent="0.45">
      <c r="A369">
        <v>368</v>
      </c>
      <c r="B369">
        <v>368</v>
      </c>
      <c r="C369" t="s">
        <v>72</v>
      </c>
      <c r="D369" t="s">
        <v>81</v>
      </c>
      <c r="E369" t="s">
        <v>74</v>
      </c>
      <c r="F369" t="s">
        <v>75</v>
      </c>
      <c r="G369" t="s">
        <v>76</v>
      </c>
      <c r="H369">
        <v>25.600859286249054</v>
      </c>
      <c r="I369">
        <v>2</v>
      </c>
      <c r="J369">
        <v>6</v>
      </c>
      <c r="K369">
        <v>7</v>
      </c>
      <c r="L369">
        <v>-1</v>
      </c>
      <c r="M369">
        <v>7</v>
      </c>
      <c r="N369">
        <v>7</v>
      </c>
      <c r="O369">
        <v>0</v>
      </c>
      <c r="P369">
        <v>8</v>
      </c>
      <c r="Q369">
        <v>8</v>
      </c>
      <c r="R369">
        <v>0</v>
      </c>
      <c r="S369">
        <v>9</v>
      </c>
      <c r="T369">
        <v>8</v>
      </c>
      <c r="U369">
        <v>1</v>
      </c>
      <c r="V369">
        <v>8</v>
      </c>
      <c r="W369">
        <v>6</v>
      </c>
      <c r="X369">
        <v>2</v>
      </c>
      <c r="Y369">
        <v>9</v>
      </c>
      <c r="Z369">
        <v>8</v>
      </c>
      <c r="AA369">
        <v>1</v>
      </c>
      <c r="AB369">
        <v>7</v>
      </c>
      <c r="AC369">
        <v>6</v>
      </c>
      <c r="AD369">
        <v>1</v>
      </c>
      <c r="AE369">
        <v>6</v>
      </c>
      <c r="AF369">
        <v>7</v>
      </c>
      <c r="AG369">
        <v>-1</v>
      </c>
      <c r="AH369">
        <v>9</v>
      </c>
      <c r="AI369">
        <v>8</v>
      </c>
      <c r="AJ369">
        <v>1</v>
      </c>
      <c r="AK369" t="s">
        <v>3520</v>
      </c>
      <c r="AL369" t="s">
        <v>3521</v>
      </c>
      <c r="AM369" t="s">
        <v>3522</v>
      </c>
      <c r="AN369" t="s">
        <v>3523</v>
      </c>
      <c r="AO369" t="s">
        <v>3524</v>
      </c>
      <c r="AP369" t="s">
        <v>3525</v>
      </c>
      <c r="AQ369" t="s">
        <v>3526</v>
      </c>
      <c r="AR369" t="s">
        <v>3527</v>
      </c>
      <c r="AS369" t="s">
        <v>3528</v>
      </c>
    </row>
    <row r="370" spans="1:45" x14ac:dyDescent="0.45">
      <c r="A370">
        <v>369</v>
      </c>
      <c r="B370">
        <v>369</v>
      </c>
      <c r="C370" t="s">
        <v>78</v>
      </c>
      <c r="D370" t="s">
        <v>81</v>
      </c>
      <c r="E370" t="s">
        <v>74</v>
      </c>
      <c r="F370" t="s">
        <v>77</v>
      </c>
      <c r="G370" t="s">
        <v>76</v>
      </c>
      <c r="H370">
        <v>15.991197944581327</v>
      </c>
      <c r="I370">
        <v>0</v>
      </c>
      <c r="J370">
        <v>7</v>
      </c>
      <c r="K370">
        <v>6</v>
      </c>
      <c r="L370">
        <v>1</v>
      </c>
      <c r="M370">
        <v>8</v>
      </c>
      <c r="N370">
        <v>6</v>
      </c>
      <c r="O370">
        <v>2</v>
      </c>
      <c r="P370">
        <v>7</v>
      </c>
      <c r="Q370">
        <v>8</v>
      </c>
      <c r="R370">
        <v>-1</v>
      </c>
      <c r="S370">
        <v>9</v>
      </c>
      <c r="T370">
        <v>9</v>
      </c>
      <c r="U370">
        <v>0</v>
      </c>
      <c r="V370">
        <v>6</v>
      </c>
      <c r="W370">
        <v>8</v>
      </c>
      <c r="X370">
        <v>-2</v>
      </c>
      <c r="Y370">
        <v>8</v>
      </c>
      <c r="Z370">
        <v>8</v>
      </c>
      <c r="AA370">
        <v>0</v>
      </c>
      <c r="AB370">
        <v>7</v>
      </c>
      <c r="AC370">
        <v>5</v>
      </c>
      <c r="AD370">
        <v>2</v>
      </c>
      <c r="AE370">
        <v>8</v>
      </c>
      <c r="AF370">
        <v>7</v>
      </c>
      <c r="AG370">
        <v>1</v>
      </c>
      <c r="AH370">
        <v>9</v>
      </c>
      <c r="AI370">
        <v>8</v>
      </c>
      <c r="AJ370">
        <v>1</v>
      </c>
      <c r="AK370" t="s">
        <v>3529</v>
      </c>
      <c r="AL370" t="s">
        <v>3530</v>
      </c>
      <c r="AM370" t="s">
        <v>3531</v>
      </c>
      <c r="AN370" t="s">
        <v>3532</v>
      </c>
      <c r="AO370" t="s">
        <v>3533</v>
      </c>
      <c r="AP370" t="s">
        <v>3534</v>
      </c>
      <c r="AQ370" t="s">
        <v>3535</v>
      </c>
      <c r="AR370" t="s">
        <v>3536</v>
      </c>
      <c r="AS370" t="s">
        <v>3537</v>
      </c>
    </row>
    <row r="371" spans="1:45" x14ac:dyDescent="0.45">
      <c r="A371">
        <v>370</v>
      </c>
      <c r="B371">
        <v>370</v>
      </c>
      <c r="C371" t="s">
        <v>78</v>
      </c>
      <c r="D371" t="s">
        <v>189</v>
      </c>
      <c r="E371" t="s">
        <v>74</v>
      </c>
      <c r="F371" t="s">
        <v>77</v>
      </c>
      <c r="G371" t="s">
        <v>76</v>
      </c>
      <c r="H371">
        <v>21.322424191372704</v>
      </c>
      <c r="I371">
        <v>0</v>
      </c>
      <c r="J371">
        <v>8</v>
      </c>
      <c r="K371">
        <v>6</v>
      </c>
      <c r="L371">
        <v>2</v>
      </c>
      <c r="M371">
        <v>7</v>
      </c>
      <c r="N371">
        <v>7</v>
      </c>
      <c r="O371">
        <v>0</v>
      </c>
      <c r="P371">
        <v>9</v>
      </c>
      <c r="Q371">
        <v>7</v>
      </c>
      <c r="R371">
        <v>2</v>
      </c>
      <c r="S371">
        <v>9</v>
      </c>
      <c r="T371">
        <v>9</v>
      </c>
      <c r="U371">
        <v>0</v>
      </c>
      <c r="V371">
        <v>8</v>
      </c>
      <c r="W371">
        <v>7</v>
      </c>
      <c r="X371">
        <v>1</v>
      </c>
      <c r="Y371">
        <v>9</v>
      </c>
      <c r="Z371">
        <v>9</v>
      </c>
      <c r="AA371">
        <v>0</v>
      </c>
      <c r="AB371">
        <v>8</v>
      </c>
      <c r="AC371">
        <v>9</v>
      </c>
      <c r="AD371">
        <v>-1</v>
      </c>
      <c r="AE371">
        <v>9</v>
      </c>
      <c r="AF371">
        <v>9</v>
      </c>
      <c r="AG371">
        <v>0</v>
      </c>
      <c r="AH371">
        <v>9</v>
      </c>
      <c r="AI371">
        <v>9</v>
      </c>
      <c r="AJ371">
        <v>0</v>
      </c>
      <c r="AK371" t="s">
        <v>3538</v>
      </c>
      <c r="AL371" t="s">
        <v>3539</v>
      </c>
      <c r="AM371" t="s">
        <v>3540</v>
      </c>
      <c r="AN371" t="s">
        <v>3541</v>
      </c>
      <c r="AO371" t="s">
        <v>3542</v>
      </c>
      <c r="AP371" t="s">
        <v>3543</v>
      </c>
      <c r="AQ371" t="s">
        <v>3544</v>
      </c>
      <c r="AR371" t="s">
        <v>3545</v>
      </c>
      <c r="AS371" t="s">
        <v>3546</v>
      </c>
    </row>
    <row r="372" spans="1:45" x14ac:dyDescent="0.45">
      <c r="A372">
        <v>371</v>
      </c>
      <c r="B372">
        <v>371</v>
      </c>
      <c r="C372" t="s">
        <v>78</v>
      </c>
      <c r="D372" t="s">
        <v>79</v>
      </c>
      <c r="E372" t="s">
        <v>74</v>
      </c>
      <c r="F372" t="s">
        <v>75</v>
      </c>
      <c r="G372" t="s">
        <v>76</v>
      </c>
      <c r="H372">
        <v>54.859757913458523</v>
      </c>
      <c r="I372">
        <v>3</v>
      </c>
      <c r="J372">
        <v>8</v>
      </c>
      <c r="K372">
        <v>4</v>
      </c>
      <c r="L372">
        <v>4</v>
      </c>
      <c r="M372">
        <v>8</v>
      </c>
      <c r="N372">
        <v>4</v>
      </c>
      <c r="O372">
        <v>4</v>
      </c>
      <c r="P372">
        <v>9</v>
      </c>
      <c r="Q372">
        <v>5</v>
      </c>
      <c r="R372">
        <v>4</v>
      </c>
      <c r="S372">
        <v>9</v>
      </c>
      <c r="T372">
        <v>5</v>
      </c>
      <c r="U372">
        <v>4</v>
      </c>
      <c r="V372">
        <v>8</v>
      </c>
      <c r="W372">
        <v>5</v>
      </c>
      <c r="X372">
        <v>3</v>
      </c>
      <c r="Y372">
        <v>9</v>
      </c>
      <c r="Z372">
        <v>4</v>
      </c>
      <c r="AA372">
        <v>5</v>
      </c>
      <c r="AB372">
        <v>8</v>
      </c>
      <c r="AC372">
        <v>5</v>
      </c>
      <c r="AD372">
        <v>3</v>
      </c>
      <c r="AE372">
        <v>9</v>
      </c>
      <c r="AF372">
        <v>6</v>
      </c>
      <c r="AG372">
        <v>3</v>
      </c>
      <c r="AH372">
        <v>8</v>
      </c>
      <c r="AI372">
        <v>5</v>
      </c>
      <c r="AJ372">
        <v>3</v>
      </c>
      <c r="AK372" t="s">
        <v>3547</v>
      </c>
      <c r="AL372" t="s">
        <v>3548</v>
      </c>
      <c r="AM372" t="s">
        <v>3549</v>
      </c>
      <c r="AN372" t="s">
        <v>3550</v>
      </c>
      <c r="AO372" t="s">
        <v>3551</v>
      </c>
      <c r="AP372" t="s">
        <v>3552</v>
      </c>
      <c r="AQ372" t="s">
        <v>3553</v>
      </c>
      <c r="AR372" t="s">
        <v>3554</v>
      </c>
      <c r="AS372" t="s">
        <v>3555</v>
      </c>
    </row>
    <row r="373" spans="1:45" x14ac:dyDescent="0.45">
      <c r="A373">
        <v>372</v>
      </c>
      <c r="B373">
        <v>372</v>
      </c>
      <c r="C373" t="s">
        <v>72</v>
      </c>
      <c r="D373" t="s">
        <v>73</v>
      </c>
      <c r="E373" t="s">
        <v>74</v>
      </c>
      <c r="F373" t="s">
        <v>77</v>
      </c>
      <c r="G373" t="s">
        <v>76</v>
      </c>
      <c r="H373">
        <v>42.511195664059166</v>
      </c>
      <c r="I373">
        <v>2</v>
      </c>
      <c r="J373">
        <v>7</v>
      </c>
      <c r="K373">
        <v>6</v>
      </c>
      <c r="L373">
        <v>1</v>
      </c>
      <c r="M373">
        <v>7</v>
      </c>
      <c r="N373">
        <v>6</v>
      </c>
      <c r="O373">
        <v>1</v>
      </c>
      <c r="P373">
        <v>8</v>
      </c>
      <c r="Q373">
        <v>8</v>
      </c>
      <c r="R373">
        <v>0</v>
      </c>
      <c r="S373">
        <v>9</v>
      </c>
      <c r="T373">
        <v>8</v>
      </c>
      <c r="U373">
        <v>1</v>
      </c>
      <c r="V373">
        <v>7</v>
      </c>
      <c r="W373">
        <v>6</v>
      </c>
      <c r="X373">
        <v>1</v>
      </c>
      <c r="Y373">
        <v>8</v>
      </c>
      <c r="Z373">
        <v>7</v>
      </c>
      <c r="AA373">
        <v>1</v>
      </c>
      <c r="AB373">
        <v>7</v>
      </c>
      <c r="AC373">
        <v>5</v>
      </c>
      <c r="AD373">
        <v>2</v>
      </c>
      <c r="AE373">
        <v>8</v>
      </c>
      <c r="AF373">
        <v>6</v>
      </c>
      <c r="AG373">
        <v>2</v>
      </c>
      <c r="AH373">
        <v>9</v>
      </c>
      <c r="AI373">
        <v>6</v>
      </c>
      <c r="AJ373">
        <v>3</v>
      </c>
      <c r="AK373" t="s">
        <v>3556</v>
      </c>
      <c r="AL373" t="s">
        <v>3557</v>
      </c>
      <c r="AM373" t="s">
        <v>3558</v>
      </c>
      <c r="AN373" t="s">
        <v>3559</v>
      </c>
      <c r="AO373" t="s">
        <v>3560</v>
      </c>
      <c r="AP373" t="s">
        <v>3561</v>
      </c>
      <c r="AQ373" t="s">
        <v>3562</v>
      </c>
      <c r="AR373" t="s">
        <v>3563</v>
      </c>
      <c r="AS373" t="s">
        <v>3564</v>
      </c>
    </row>
    <row r="374" spans="1:45" x14ac:dyDescent="0.45">
      <c r="A374">
        <v>373</v>
      </c>
      <c r="B374">
        <v>373</v>
      </c>
      <c r="C374" t="s">
        <v>72</v>
      </c>
      <c r="D374" t="s">
        <v>73</v>
      </c>
      <c r="E374" t="s">
        <v>74</v>
      </c>
      <c r="F374" t="s">
        <v>77</v>
      </c>
      <c r="G374" t="s">
        <v>76</v>
      </c>
      <c r="H374">
        <v>99.171194641377014</v>
      </c>
      <c r="I374">
        <v>2</v>
      </c>
      <c r="J374">
        <v>7</v>
      </c>
      <c r="K374">
        <v>8</v>
      </c>
      <c r="L374">
        <v>-1</v>
      </c>
      <c r="M374">
        <v>7</v>
      </c>
      <c r="N374">
        <v>8</v>
      </c>
      <c r="O374">
        <v>-1</v>
      </c>
      <c r="P374">
        <v>6</v>
      </c>
      <c r="Q374">
        <v>9</v>
      </c>
      <c r="R374">
        <v>-3</v>
      </c>
      <c r="S374">
        <v>8</v>
      </c>
      <c r="T374">
        <v>9</v>
      </c>
      <c r="U374">
        <v>-1</v>
      </c>
      <c r="V374">
        <v>9</v>
      </c>
      <c r="W374">
        <v>5</v>
      </c>
      <c r="X374">
        <v>4</v>
      </c>
      <c r="Y374">
        <v>8</v>
      </c>
      <c r="Z374">
        <v>5</v>
      </c>
      <c r="AA374">
        <v>3</v>
      </c>
      <c r="AB374">
        <v>9</v>
      </c>
      <c r="AC374">
        <v>5</v>
      </c>
      <c r="AD374">
        <v>4</v>
      </c>
      <c r="AE374">
        <v>7</v>
      </c>
      <c r="AF374">
        <v>6</v>
      </c>
      <c r="AG374">
        <v>1</v>
      </c>
      <c r="AH374">
        <v>9</v>
      </c>
      <c r="AI374">
        <v>5</v>
      </c>
      <c r="AJ374">
        <v>4</v>
      </c>
      <c r="AK374" t="s">
        <v>3565</v>
      </c>
      <c r="AL374" t="s">
        <v>3566</v>
      </c>
      <c r="AM374" t="s">
        <v>3567</v>
      </c>
      <c r="AN374" t="s">
        <v>3568</v>
      </c>
      <c r="AO374" t="s">
        <v>3569</v>
      </c>
      <c r="AP374" t="s">
        <v>3570</v>
      </c>
      <c r="AQ374" t="s">
        <v>3571</v>
      </c>
      <c r="AR374" t="s">
        <v>3572</v>
      </c>
      <c r="AS374" t="s">
        <v>3573</v>
      </c>
    </row>
    <row r="375" spans="1:45" x14ac:dyDescent="0.45">
      <c r="A375">
        <v>374</v>
      </c>
      <c r="B375">
        <v>374</v>
      </c>
      <c r="C375" t="s">
        <v>72</v>
      </c>
      <c r="D375" t="s">
        <v>73</v>
      </c>
      <c r="E375" t="s">
        <v>74</v>
      </c>
      <c r="F375" t="s">
        <v>77</v>
      </c>
      <c r="G375" t="s">
        <v>76</v>
      </c>
      <c r="H375">
        <v>33.809997672990541</v>
      </c>
      <c r="I375">
        <v>1</v>
      </c>
      <c r="J375">
        <v>7</v>
      </c>
      <c r="K375">
        <v>6</v>
      </c>
      <c r="L375">
        <v>1</v>
      </c>
      <c r="M375">
        <v>8</v>
      </c>
      <c r="N375">
        <v>6</v>
      </c>
      <c r="O375">
        <v>2</v>
      </c>
      <c r="P375">
        <v>9</v>
      </c>
      <c r="Q375">
        <v>7</v>
      </c>
      <c r="R375">
        <v>2</v>
      </c>
      <c r="S375">
        <v>10</v>
      </c>
      <c r="T375">
        <v>7</v>
      </c>
      <c r="U375">
        <v>3</v>
      </c>
      <c r="V375">
        <v>8</v>
      </c>
      <c r="W375">
        <v>6</v>
      </c>
      <c r="X375">
        <v>2</v>
      </c>
      <c r="Y375">
        <v>9</v>
      </c>
      <c r="Z375">
        <v>6</v>
      </c>
      <c r="AA375">
        <v>3</v>
      </c>
      <c r="AB375">
        <v>8</v>
      </c>
      <c r="AC375">
        <v>6</v>
      </c>
      <c r="AD375">
        <v>2</v>
      </c>
      <c r="AE375">
        <v>7</v>
      </c>
      <c r="AF375">
        <v>6</v>
      </c>
      <c r="AG375">
        <v>1</v>
      </c>
      <c r="AH375">
        <v>9</v>
      </c>
      <c r="AI375">
        <v>6</v>
      </c>
      <c r="AJ375">
        <v>3</v>
      </c>
      <c r="AK375" t="s">
        <v>3574</v>
      </c>
      <c r="AL375" t="s">
        <v>3575</v>
      </c>
      <c r="AM375" t="s">
        <v>3576</v>
      </c>
      <c r="AN375" t="s">
        <v>3577</v>
      </c>
      <c r="AO375" t="s">
        <v>3578</v>
      </c>
      <c r="AP375" t="s">
        <v>3579</v>
      </c>
      <c r="AQ375" t="s">
        <v>3580</v>
      </c>
      <c r="AR375" t="s">
        <v>294</v>
      </c>
      <c r="AS375" t="s">
        <v>3581</v>
      </c>
    </row>
    <row r="376" spans="1:45" x14ac:dyDescent="0.45">
      <c r="A376">
        <v>375</v>
      </c>
      <c r="B376">
        <v>375</v>
      </c>
      <c r="C376" t="s">
        <v>72</v>
      </c>
      <c r="D376" t="s">
        <v>73</v>
      </c>
      <c r="E376" t="s">
        <v>74</v>
      </c>
      <c r="F376" t="s">
        <v>77</v>
      </c>
      <c r="G376" t="s">
        <v>76</v>
      </c>
      <c r="H376">
        <v>67.530610569280057</v>
      </c>
      <c r="I376">
        <v>1</v>
      </c>
      <c r="J376">
        <v>7</v>
      </c>
      <c r="K376">
        <v>8</v>
      </c>
      <c r="L376">
        <v>-1</v>
      </c>
      <c r="M376">
        <v>6</v>
      </c>
      <c r="N376">
        <v>8</v>
      </c>
      <c r="O376">
        <v>-2</v>
      </c>
      <c r="P376">
        <v>8</v>
      </c>
      <c r="Q376">
        <v>8</v>
      </c>
      <c r="R376">
        <v>0</v>
      </c>
      <c r="S376">
        <v>9</v>
      </c>
      <c r="T376">
        <v>8</v>
      </c>
      <c r="U376">
        <v>1</v>
      </c>
      <c r="V376">
        <v>7</v>
      </c>
      <c r="W376">
        <v>7</v>
      </c>
      <c r="X376">
        <v>0</v>
      </c>
      <c r="Y376">
        <v>8</v>
      </c>
      <c r="Z376">
        <v>6</v>
      </c>
      <c r="AA376">
        <v>2</v>
      </c>
      <c r="AB376">
        <v>6</v>
      </c>
      <c r="AC376">
        <v>6</v>
      </c>
      <c r="AD376">
        <v>0</v>
      </c>
      <c r="AE376">
        <v>7</v>
      </c>
      <c r="AF376">
        <v>5</v>
      </c>
      <c r="AG376">
        <v>2</v>
      </c>
      <c r="AH376">
        <v>8</v>
      </c>
      <c r="AI376">
        <v>7</v>
      </c>
      <c r="AJ376">
        <v>1</v>
      </c>
      <c r="AK376" t="s">
        <v>3582</v>
      </c>
      <c r="AL376" t="s">
        <v>3583</v>
      </c>
      <c r="AM376" t="s">
        <v>3584</v>
      </c>
      <c r="AN376" t="s">
        <v>3585</v>
      </c>
      <c r="AO376" t="s">
        <v>3586</v>
      </c>
      <c r="AP376" t="s">
        <v>3587</v>
      </c>
      <c r="AQ376" t="s">
        <v>3588</v>
      </c>
      <c r="AR376" t="s">
        <v>3589</v>
      </c>
      <c r="AS376" t="s">
        <v>3590</v>
      </c>
    </row>
    <row r="377" spans="1:45" x14ac:dyDescent="0.45">
      <c r="A377">
        <v>376</v>
      </c>
      <c r="B377">
        <v>376</v>
      </c>
      <c r="C377" t="s">
        <v>72</v>
      </c>
      <c r="D377" t="s">
        <v>81</v>
      </c>
      <c r="E377" t="s">
        <v>74</v>
      </c>
      <c r="F377" t="s">
        <v>77</v>
      </c>
      <c r="G377" t="s">
        <v>76</v>
      </c>
      <c r="H377">
        <v>19.894674786707629</v>
      </c>
      <c r="I377">
        <v>0</v>
      </c>
      <c r="J377">
        <v>9</v>
      </c>
      <c r="K377">
        <v>6</v>
      </c>
      <c r="L377">
        <v>3</v>
      </c>
      <c r="M377">
        <v>8</v>
      </c>
      <c r="N377">
        <v>6</v>
      </c>
      <c r="O377">
        <v>2</v>
      </c>
      <c r="P377">
        <v>9</v>
      </c>
      <c r="Q377">
        <v>5</v>
      </c>
      <c r="R377">
        <v>4</v>
      </c>
      <c r="S377">
        <v>8</v>
      </c>
      <c r="T377">
        <v>7</v>
      </c>
      <c r="U377">
        <v>1</v>
      </c>
      <c r="V377">
        <v>9</v>
      </c>
      <c r="W377">
        <v>6</v>
      </c>
      <c r="X377">
        <v>3</v>
      </c>
      <c r="Y377">
        <v>8</v>
      </c>
      <c r="Z377">
        <v>7</v>
      </c>
      <c r="AA377">
        <v>1</v>
      </c>
      <c r="AB377">
        <v>9</v>
      </c>
      <c r="AC377">
        <v>5</v>
      </c>
      <c r="AD377">
        <v>4</v>
      </c>
      <c r="AE377">
        <v>8</v>
      </c>
      <c r="AF377">
        <v>6</v>
      </c>
      <c r="AG377">
        <v>2</v>
      </c>
      <c r="AH377">
        <v>9</v>
      </c>
      <c r="AI377">
        <v>7</v>
      </c>
      <c r="AJ377">
        <v>2</v>
      </c>
      <c r="AK377" t="s">
        <v>290</v>
      </c>
      <c r="AL377" t="s">
        <v>291</v>
      </c>
      <c r="AM377" t="s">
        <v>3591</v>
      </c>
      <c r="AN377" t="s">
        <v>3592</v>
      </c>
      <c r="AO377" t="s">
        <v>3593</v>
      </c>
      <c r="AP377" t="s">
        <v>3594</v>
      </c>
      <c r="AQ377" t="s">
        <v>3595</v>
      </c>
      <c r="AR377" t="s">
        <v>3596</v>
      </c>
      <c r="AS377" t="s">
        <v>3597</v>
      </c>
    </row>
    <row r="378" spans="1:45" x14ac:dyDescent="0.45">
      <c r="A378">
        <v>377</v>
      </c>
      <c r="B378">
        <v>377</v>
      </c>
      <c r="C378" t="s">
        <v>78</v>
      </c>
      <c r="D378" t="s">
        <v>81</v>
      </c>
      <c r="E378" t="s">
        <v>74</v>
      </c>
      <c r="F378" t="s">
        <v>77</v>
      </c>
      <c r="G378" t="s">
        <v>76</v>
      </c>
      <c r="H378">
        <v>13.577587217096811</v>
      </c>
      <c r="I378">
        <v>0</v>
      </c>
      <c r="J378">
        <v>6</v>
      </c>
      <c r="K378">
        <v>7</v>
      </c>
      <c r="L378">
        <v>-1</v>
      </c>
      <c r="M378">
        <v>7</v>
      </c>
      <c r="N378">
        <v>8</v>
      </c>
      <c r="O378">
        <v>-1</v>
      </c>
      <c r="P378">
        <v>8</v>
      </c>
      <c r="Q378">
        <v>7</v>
      </c>
      <c r="R378">
        <v>1</v>
      </c>
      <c r="S378">
        <v>9</v>
      </c>
      <c r="T378">
        <v>7</v>
      </c>
      <c r="U378">
        <v>2</v>
      </c>
      <c r="V378">
        <v>8</v>
      </c>
      <c r="W378">
        <v>8</v>
      </c>
      <c r="X378">
        <v>0</v>
      </c>
      <c r="Y378">
        <v>9</v>
      </c>
      <c r="Z378">
        <v>9</v>
      </c>
      <c r="AA378">
        <v>0</v>
      </c>
      <c r="AB378">
        <v>8</v>
      </c>
      <c r="AC378">
        <v>7</v>
      </c>
      <c r="AD378">
        <v>1</v>
      </c>
      <c r="AE378">
        <v>7</v>
      </c>
      <c r="AF378">
        <v>7</v>
      </c>
      <c r="AG378">
        <v>0</v>
      </c>
      <c r="AH378">
        <v>8</v>
      </c>
      <c r="AI378">
        <v>8</v>
      </c>
      <c r="AJ378">
        <v>0</v>
      </c>
      <c r="AK378" t="s">
        <v>3598</v>
      </c>
      <c r="AL378" t="s">
        <v>3599</v>
      </c>
      <c r="AM378" t="s">
        <v>3600</v>
      </c>
      <c r="AN378" t="s">
        <v>3601</v>
      </c>
      <c r="AO378" t="s">
        <v>3602</v>
      </c>
      <c r="AP378" t="s">
        <v>3603</v>
      </c>
      <c r="AQ378" t="s">
        <v>3604</v>
      </c>
      <c r="AR378" t="s">
        <v>3605</v>
      </c>
      <c r="AS378" t="s">
        <v>3606</v>
      </c>
    </row>
    <row r="379" spans="1:45" x14ac:dyDescent="0.45">
      <c r="A379">
        <v>378</v>
      </c>
      <c r="B379">
        <v>378</v>
      </c>
      <c r="C379" t="s">
        <v>72</v>
      </c>
      <c r="D379" t="s">
        <v>189</v>
      </c>
      <c r="E379" t="s">
        <v>74</v>
      </c>
      <c r="F379" t="s">
        <v>77</v>
      </c>
      <c r="G379" t="s">
        <v>76</v>
      </c>
      <c r="H379">
        <v>20.257503988832447</v>
      </c>
      <c r="I379">
        <v>0</v>
      </c>
      <c r="J379">
        <v>7</v>
      </c>
      <c r="K379">
        <v>6</v>
      </c>
      <c r="L379">
        <v>1</v>
      </c>
      <c r="M379">
        <v>6</v>
      </c>
      <c r="N379">
        <v>7</v>
      </c>
      <c r="O379">
        <v>-1</v>
      </c>
      <c r="P379">
        <v>8</v>
      </c>
      <c r="Q379">
        <v>5</v>
      </c>
      <c r="R379">
        <v>3</v>
      </c>
      <c r="S379">
        <v>9</v>
      </c>
      <c r="T379">
        <v>8</v>
      </c>
      <c r="U379">
        <v>1</v>
      </c>
      <c r="V379">
        <v>8</v>
      </c>
      <c r="W379">
        <v>7</v>
      </c>
      <c r="X379">
        <v>1</v>
      </c>
      <c r="Y379">
        <v>9</v>
      </c>
      <c r="Z379">
        <v>7</v>
      </c>
      <c r="AA379">
        <v>2</v>
      </c>
      <c r="AB379">
        <v>8</v>
      </c>
      <c r="AC379">
        <v>7</v>
      </c>
      <c r="AD379">
        <v>1</v>
      </c>
      <c r="AE379">
        <v>9</v>
      </c>
      <c r="AF379">
        <v>7</v>
      </c>
      <c r="AG379">
        <v>2</v>
      </c>
      <c r="AH379">
        <v>9</v>
      </c>
      <c r="AI379">
        <v>8</v>
      </c>
      <c r="AJ379">
        <v>1</v>
      </c>
      <c r="AK379" t="s">
        <v>3607</v>
      </c>
      <c r="AL379" t="s">
        <v>3608</v>
      </c>
      <c r="AM379" t="s">
        <v>3609</v>
      </c>
      <c r="AN379" t="s">
        <v>3610</v>
      </c>
      <c r="AO379" t="s">
        <v>3611</v>
      </c>
      <c r="AP379" t="s">
        <v>3612</v>
      </c>
      <c r="AQ379" t="s">
        <v>3613</v>
      </c>
      <c r="AR379" t="s">
        <v>3614</v>
      </c>
      <c r="AS379" t="s">
        <v>3615</v>
      </c>
    </row>
    <row r="380" spans="1:45" x14ac:dyDescent="0.45">
      <c r="A380">
        <v>379</v>
      </c>
      <c r="B380">
        <v>379</v>
      </c>
      <c r="C380" t="s">
        <v>72</v>
      </c>
      <c r="D380" t="s">
        <v>189</v>
      </c>
      <c r="E380" t="s">
        <v>74</v>
      </c>
      <c r="F380" t="s">
        <v>77</v>
      </c>
      <c r="G380" t="s">
        <v>76</v>
      </c>
      <c r="H380">
        <v>15.090531433336762</v>
      </c>
      <c r="I380">
        <v>0</v>
      </c>
      <c r="J380">
        <v>5</v>
      </c>
      <c r="K380">
        <v>8</v>
      </c>
      <c r="L380">
        <v>-3</v>
      </c>
      <c r="M380">
        <v>6</v>
      </c>
      <c r="N380">
        <v>8</v>
      </c>
      <c r="O380">
        <v>-2</v>
      </c>
      <c r="P380">
        <v>8</v>
      </c>
      <c r="Q380">
        <v>9</v>
      </c>
      <c r="R380">
        <v>-1</v>
      </c>
      <c r="S380">
        <v>6</v>
      </c>
      <c r="T380">
        <v>9</v>
      </c>
      <c r="U380">
        <v>-3</v>
      </c>
      <c r="V380">
        <v>7</v>
      </c>
      <c r="W380">
        <v>7</v>
      </c>
      <c r="X380">
        <v>0</v>
      </c>
      <c r="Y380">
        <v>9</v>
      </c>
      <c r="Z380">
        <v>9</v>
      </c>
      <c r="AA380">
        <v>0</v>
      </c>
      <c r="AB380">
        <v>8</v>
      </c>
      <c r="AC380">
        <v>7</v>
      </c>
      <c r="AD380">
        <v>1</v>
      </c>
      <c r="AE380">
        <v>7</v>
      </c>
      <c r="AF380">
        <v>7</v>
      </c>
      <c r="AG380">
        <v>0</v>
      </c>
      <c r="AH380">
        <v>9</v>
      </c>
      <c r="AI380">
        <v>9</v>
      </c>
      <c r="AJ380">
        <v>0</v>
      </c>
      <c r="AK380" t="s">
        <v>3616</v>
      </c>
      <c r="AL380" t="s">
        <v>3617</v>
      </c>
      <c r="AM380" t="s">
        <v>3618</v>
      </c>
      <c r="AN380" t="s">
        <v>3619</v>
      </c>
      <c r="AO380" t="s">
        <v>3620</v>
      </c>
      <c r="AP380" t="s">
        <v>3621</v>
      </c>
      <c r="AQ380" t="s">
        <v>3622</v>
      </c>
      <c r="AR380" t="s">
        <v>261</v>
      </c>
      <c r="AS380" t="s">
        <v>3623</v>
      </c>
    </row>
    <row r="381" spans="1:45" x14ac:dyDescent="0.45">
      <c r="A381">
        <v>380</v>
      </c>
      <c r="B381">
        <v>380</v>
      </c>
      <c r="C381" t="s">
        <v>78</v>
      </c>
      <c r="D381" t="s">
        <v>189</v>
      </c>
      <c r="E381" t="s">
        <v>74</v>
      </c>
      <c r="F381" t="s">
        <v>77</v>
      </c>
      <c r="G381" t="s">
        <v>76</v>
      </c>
      <c r="H381">
        <v>18.87005309998602</v>
      </c>
      <c r="I381">
        <v>0</v>
      </c>
      <c r="J381">
        <v>7</v>
      </c>
      <c r="K381">
        <v>8</v>
      </c>
      <c r="L381">
        <v>-1</v>
      </c>
      <c r="M381">
        <v>7</v>
      </c>
      <c r="N381">
        <v>8</v>
      </c>
      <c r="O381">
        <v>-1</v>
      </c>
      <c r="P381">
        <v>8</v>
      </c>
      <c r="Q381">
        <v>5</v>
      </c>
      <c r="R381">
        <v>3</v>
      </c>
      <c r="S381">
        <v>8</v>
      </c>
      <c r="T381">
        <v>8</v>
      </c>
      <c r="U381">
        <v>0</v>
      </c>
      <c r="V381">
        <v>8</v>
      </c>
      <c r="W381">
        <v>6</v>
      </c>
      <c r="X381">
        <v>2</v>
      </c>
      <c r="Y381">
        <v>9</v>
      </c>
      <c r="Z381">
        <v>9</v>
      </c>
      <c r="AA381">
        <v>0</v>
      </c>
      <c r="AB381">
        <v>8</v>
      </c>
      <c r="AC381">
        <v>5</v>
      </c>
      <c r="AD381">
        <v>3</v>
      </c>
      <c r="AE381">
        <v>7</v>
      </c>
      <c r="AF381">
        <v>7</v>
      </c>
      <c r="AG381">
        <v>0</v>
      </c>
      <c r="AH381">
        <v>9</v>
      </c>
      <c r="AI381">
        <v>8</v>
      </c>
      <c r="AJ381">
        <v>1</v>
      </c>
      <c r="AK381" t="s">
        <v>3624</v>
      </c>
      <c r="AL381" t="s">
        <v>3625</v>
      </c>
      <c r="AM381" t="s">
        <v>3626</v>
      </c>
      <c r="AN381" t="s">
        <v>3627</v>
      </c>
      <c r="AO381" t="s">
        <v>3628</v>
      </c>
      <c r="AP381" t="s">
        <v>3629</v>
      </c>
      <c r="AQ381" t="s">
        <v>3630</v>
      </c>
      <c r="AR381" t="s">
        <v>3631</v>
      </c>
      <c r="AS381" t="s">
        <v>3632</v>
      </c>
    </row>
    <row r="382" spans="1:45" x14ac:dyDescent="0.45">
      <c r="A382">
        <v>381</v>
      </c>
      <c r="B382">
        <v>381</v>
      </c>
      <c r="C382" t="s">
        <v>78</v>
      </c>
      <c r="D382" t="s">
        <v>189</v>
      </c>
      <c r="E382" t="s">
        <v>74</v>
      </c>
      <c r="F382" t="s">
        <v>190</v>
      </c>
      <c r="G382" t="s">
        <v>76</v>
      </c>
      <c r="H382">
        <v>16.038094068857898</v>
      </c>
      <c r="I382">
        <v>0</v>
      </c>
      <c r="J382">
        <v>7</v>
      </c>
      <c r="K382">
        <v>9</v>
      </c>
      <c r="L382">
        <v>-2</v>
      </c>
      <c r="M382">
        <v>7</v>
      </c>
      <c r="N382">
        <v>9</v>
      </c>
      <c r="O382">
        <v>-2</v>
      </c>
      <c r="P382">
        <v>6</v>
      </c>
      <c r="Q382">
        <v>8</v>
      </c>
      <c r="R382">
        <v>-2</v>
      </c>
      <c r="S382">
        <v>8</v>
      </c>
      <c r="T382">
        <v>9</v>
      </c>
      <c r="U382">
        <v>-1</v>
      </c>
      <c r="V382">
        <v>7</v>
      </c>
      <c r="W382">
        <v>8</v>
      </c>
      <c r="X382">
        <v>-1</v>
      </c>
      <c r="Y382">
        <v>8</v>
      </c>
      <c r="Z382">
        <v>10</v>
      </c>
      <c r="AA382">
        <v>-2</v>
      </c>
      <c r="AB382">
        <v>7</v>
      </c>
      <c r="AC382">
        <v>8</v>
      </c>
      <c r="AD382">
        <v>-1</v>
      </c>
      <c r="AE382">
        <v>6</v>
      </c>
      <c r="AF382">
        <v>8</v>
      </c>
      <c r="AG382">
        <v>-2</v>
      </c>
      <c r="AH382">
        <v>8</v>
      </c>
      <c r="AI382">
        <v>10</v>
      </c>
      <c r="AJ382">
        <v>-2</v>
      </c>
      <c r="AK382" t="s">
        <v>3633</v>
      </c>
      <c r="AL382" t="s">
        <v>3634</v>
      </c>
      <c r="AM382" t="s">
        <v>3635</v>
      </c>
      <c r="AN382" t="s">
        <v>3636</v>
      </c>
      <c r="AO382" t="s">
        <v>3637</v>
      </c>
      <c r="AP382" t="s">
        <v>3638</v>
      </c>
      <c r="AQ382" t="s">
        <v>3639</v>
      </c>
      <c r="AR382" t="s">
        <v>3640</v>
      </c>
      <c r="AS382" t="s">
        <v>3641</v>
      </c>
    </row>
    <row r="383" spans="1:45" x14ac:dyDescent="0.45">
      <c r="A383">
        <v>382</v>
      </c>
      <c r="B383">
        <v>382</v>
      </c>
      <c r="C383" t="s">
        <v>72</v>
      </c>
      <c r="D383" t="s">
        <v>189</v>
      </c>
      <c r="E383" t="s">
        <v>74</v>
      </c>
      <c r="F383" t="s">
        <v>77</v>
      </c>
      <c r="G383" t="s">
        <v>76</v>
      </c>
      <c r="H383">
        <v>19.06541365759762</v>
      </c>
      <c r="I383">
        <v>1</v>
      </c>
      <c r="J383">
        <v>7</v>
      </c>
      <c r="K383">
        <v>5</v>
      </c>
      <c r="L383">
        <v>2</v>
      </c>
      <c r="M383">
        <v>9</v>
      </c>
      <c r="N383">
        <v>5</v>
      </c>
      <c r="O383">
        <v>4</v>
      </c>
      <c r="P383">
        <v>8</v>
      </c>
      <c r="Q383">
        <v>4</v>
      </c>
      <c r="R383">
        <v>4</v>
      </c>
      <c r="S383">
        <v>9</v>
      </c>
      <c r="T383">
        <v>8</v>
      </c>
      <c r="U383">
        <v>1</v>
      </c>
      <c r="V383">
        <v>7</v>
      </c>
      <c r="W383">
        <v>4</v>
      </c>
      <c r="X383">
        <v>3</v>
      </c>
      <c r="Y383">
        <v>9</v>
      </c>
      <c r="Z383">
        <v>8</v>
      </c>
      <c r="AA383">
        <v>1</v>
      </c>
      <c r="AB383">
        <v>8</v>
      </c>
      <c r="AC383">
        <v>4</v>
      </c>
      <c r="AD383">
        <v>4</v>
      </c>
      <c r="AE383">
        <v>9</v>
      </c>
      <c r="AF383">
        <v>5</v>
      </c>
      <c r="AG383">
        <v>4</v>
      </c>
      <c r="AH383">
        <v>8</v>
      </c>
      <c r="AI383">
        <v>7</v>
      </c>
      <c r="AJ383">
        <v>1</v>
      </c>
      <c r="AK383" t="s">
        <v>3642</v>
      </c>
      <c r="AL383" t="s">
        <v>3643</v>
      </c>
      <c r="AM383" t="s">
        <v>3644</v>
      </c>
      <c r="AN383" t="s">
        <v>3645</v>
      </c>
      <c r="AO383" t="s">
        <v>3646</v>
      </c>
      <c r="AP383" t="s">
        <v>3647</v>
      </c>
      <c r="AQ383" t="s">
        <v>3648</v>
      </c>
      <c r="AR383" t="s">
        <v>3649</v>
      </c>
      <c r="AS383" t="s">
        <v>3650</v>
      </c>
    </row>
    <row r="384" spans="1:45" x14ac:dyDescent="0.45">
      <c r="A384">
        <v>383</v>
      </c>
      <c r="B384">
        <v>383</v>
      </c>
      <c r="C384" t="s">
        <v>78</v>
      </c>
      <c r="D384" t="s">
        <v>191</v>
      </c>
      <c r="E384" t="s">
        <v>74</v>
      </c>
      <c r="F384" t="s">
        <v>75</v>
      </c>
      <c r="G384" t="s">
        <v>76</v>
      </c>
      <c r="H384">
        <v>71.204995879058245</v>
      </c>
      <c r="I384">
        <v>2</v>
      </c>
      <c r="J384">
        <v>9</v>
      </c>
      <c r="K384">
        <v>1</v>
      </c>
      <c r="L384">
        <v>8</v>
      </c>
      <c r="M384">
        <v>8</v>
      </c>
      <c r="N384">
        <v>1</v>
      </c>
      <c r="O384">
        <v>7</v>
      </c>
      <c r="P384">
        <v>9</v>
      </c>
      <c r="Q384">
        <v>4</v>
      </c>
      <c r="R384">
        <v>5</v>
      </c>
      <c r="S384">
        <v>8</v>
      </c>
      <c r="T384">
        <v>5</v>
      </c>
      <c r="U384">
        <v>3</v>
      </c>
      <c r="V384">
        <v>9</v>
      </c>
      <c r="W384">
        <v>5</v>
      </c>
      <c r="X384">
        <v>4</v>
      </c>
      <c r="Y384">
        <v>8</v>
      </c>
      <c r="Z384">
        <v>4</v>
      </c>
      <c r="AA384">
        <v>4</v>
      </c>
      <c r="AB384">
        <v>9</v>
      </c>
      <c r="AC384">
        <v>4</v>
      </c>
      <c r="AD384">
        <v>5</v>
      </c>
      <c r="AE384">
        <v>8</v>
      </c>
      <c r="AF384">
        <v>5</v>
      </c>
      <c r="AG384">
        <v>3</v>
      </c>
      <c r="AH384">
        <v>9</v>
      </c>
      <c r="AI384">
        <v>3</v>
      </c>
      <c r="AJ384">
        <v>6</v>
      </c>
      <c r="AK384" t="s">
        <v>3651</v>
      </c>
      <c r="AL384" t="s">
        <v>3652</v>
      </c>
      <c r="AM384" t="s">
        <v>3653</v>
      </c>
      <c r="AN384" t="s">
        <v>3654</v>
      </c>
      <c r="AO384" t="s">
        <v>3655</v>
      </c>
      <c r="AP384" t="s">
        <v>3656</v>
      </c>
      <c r="AQ384" t="s">
        <v>3657</v>
      </c>
      <c r="AR384" t="s">
        <v>3658</v>
      </c>
      <c r="AS384" t="s">
        <v>3659</v>
      </c>
    </row>
    <row r="385" spans="1:45" x14ac:dyDescent="0.45">
      <c r="A385">
        <v>384</v>
      </c>
      <c r="B385">
        <v>384</v>
      </c>
      <c r="C385" t="s">
        <v>78</v>
      </c>
      <c r="D385" t="s">
        <v>189</v>
      </c>
      <c r="E385" t="s">
        <v>74</v>
      </c>
      <c r="F385" t="s">
        <v>77</v>
      </c>
      <c r="G385" t="s">
        <v>76</v>
      </c>
      <c r="H385">
        <v>12</v>
      </c>
      <c r="I385">
        <v>0</v>
      </c>
      <c r="J385">
        <v>6</v>
      </c>
      <c r="K385">
        <v>7</v>
      </c>
      <c r="L385">
        <v>-1</v>
      </c>
      <c r="M385">
        <v>5</v>
      </c>
      <c r="N385">
        <v>7</v>
      </c>
      <c r="O385">
        <v>-2</v>
      </c>
      <c r="P385">
        <v>7</v>
      </c>
      <c r="Q385">
        <v>7</v>
      </c>
      <c r="R385">
        <v>0</v>
      </c>
      <c r="S385">
        <v>9</v>
      </c>
      <c r="T385">
        <v>9</v>
      </c>
      <c r="U385">
        <v>0</v>
      </c>
      <c r="V385">
        <v>7</v>
      </c>
      <c r="W385">
        <v>8</v>
      </c>
      <c r="X385">
        <v>-1</v>
      </c>
      <c r="Y385">
        <v>6</v>
      </c>
      <c r="Z385">
        <v>10</v>
      </c>
      <c r="AA385">
        <v>-4</v>
      </c>
      <c r="AB385">
        <v>7</v>
      </c>
      <c r="AC385">
        <v>8</v>
      </c>
      <c r="AD385">
        <v>-1</v>
      </c>
      <c r="AE385">
        <v>6</v>
      </c>
      <c r="AF385">
        <v>7</v>
      </c>
      <c r="AG385">
        <v>-1</v>
      </c>
      <c r="AH385">
        <v>8</v>
      </c>
      <c r="AI385">
        <v>10</v>
      </c>
      <c r="AJ385">
        <v>-2</v>
      </c>
      <c r="AK385" t="s">
        <v>3660</v>
      </c>
      <c r="AL385" t="s">
        <v>3661</v>
      </c>
      <c r="AM385" t="s">
        <v>3662</v>
      </c>
      <c r="AN385" t="s">
        <v>3663</v>
      </c>
      <c r="AO385" t="s">
        <v>3664</v>
      </c>
      <c r="AP385" t="s">
        <v>3665</v>
      </c>
      <c r="AQ385" t="s">
        <v>3666</v>
      </c>
      <c r="AR385" t="s">
        <v>3667</v>
      </c>
      <c r="AS385" t="s">
        <v>3668</v>
      </c>
    </row>
    <row r="386" spans="1:45" x14ac:dyDescent="0.45">
      <c r="A386">
        <v>385</v>
      </c>
      <c r="B386">
        <v>385</v>
      </c>
      <c r="C386" t="s">
        <v>78</v>
      </c>
      <c r="D386" t="s">
        <v>79</v>
      </c>
      <c r="E386" t="s">
        <v>74</v>
      </c>
      <c r="F386" t="s">
        <v>77</v>
      </c>
      <c r="G386" t="s">
        <v>76</v>
      </c>
      <c r="H386">
        <v>36.848120433506317</v>
      </c>
      <c r="I386">
        <v>2</v>
      </c>
      <c r="J386">
        <v>8</v>
      </c>
      <c r="K386">
        <v>3</v>
      </c>
      <c r="L386">
        <v>5</v>
      </c>
      <c r="M386">
        <v>9</v>
      </c>
      <c r="N386">
        <v>3</v>
      </c>
      <c r="O386">
        <v>6</v>
      </c>
      <c r="P386">
        <v>8</v>
      </c>
      <c r="Q386">
        <v>4</v>
      </c>
      <c r="R386">
        <v>4</v>
      </c>
      <c r="S386">
        <v>9</v>
      </c>
      <c r="T386">
        <v>6</v>
      </c>
      <c r="U386">
        <v>3</v>
      </c>
      <c r="V386">
        <v>8</v>
      </c>
      <c r="W386">
        <v>4</v>
      </c>
      <c r="X386">
        <v>4</v>
      </c>
      <c r="Y386">
        <v>9</v>
      </c>
      <c r="Z386">
        <v>5</v>
      </c>
      <c r="AA386">
        <v>4</v>
      </c>
      <c r="AB386">
        <v>8</v>
      </c>
      <c r="AC386">
        <v>4</v>
      </c>
      <c r="AD386">
        <v>4</v>
      </c>
      <c r="AE386">
        <v>9</v>
      </c>
      <c r="AF386">
        <v>5</v>
      </c>
      <c r="AG386">
        <v>4</v>
      </c>
      <c r="AH386">
        <v>9</v>
      </c>
      <c r="AI386">
        <v>5</v>
      </c>
      <c r="AJ386">
        <v>4</v>
      </c>
      <c r="AK386" t="s">
        <v>3669</v>
      </c>
      <c r="AL386" t="s">
        <v>3670</v>
      </c>
      <c r="AM386" t="s">
        <v>3671</v>
      </c>
      <c r="AN386" t="s">
        <v>3672</v>
      </c>
      <c r="AO386" t="s">
        <v>3673</v>
      </c>
      <c r="AP386" t="s">
        <v>3674</v>
      </c>
      <c r="AQ386" t="s">
        <v>3675</v>
      </c>
      <c r="AR386" t="s">
        <v>285</v>
      </c>
      <c r="AS386" t="s">
        <v>3676</v>
      </c>
    </row>
    <row r="387" spans="1:45" x14ac:dyDescent="0.45">
      <c r="A387">
        <v>386</v>
      </c>
      <c r="B387">
        <v>386</v>
      </c>
      <c r="C387" t="s">
        <v>72</v>
      </c>
      <c r="D387" t="s">
        <v>81</v>
      </c>
      <c r="E387" t="s">
        <v>74</v>
      </c>
      <c r="F387" t="s">
        <v>75</v>
      </c>
      <c r="G387" t="s">
        <v>76</v>
      </c>
      <c r="H387">
        <v>24.860533737275635</v>
      </c>
      <c r="I387">
        <v>0</v>
      </c>
      <c r="J387">
        <v>8</v>
      </c>
      <c r="K387">
        <v>8</v>
      </c>
      <c r="L387">
        <v>0</v>
      </c>
      <c r="M387">
        <v>9</v>
      </c>
      <c r="N387">
        <v>8</v>
      </c>
      <c r="O387">
        <v>1</v>
      </c>
      <c r="P387">
        <v>9</v>
      </c>
      <c r="Q387">
        <v>9</v>
      </c>
      <c r="R387">
        <v>0</v>
      </c>
      <c r="S387">
        <v>9</v>
      </c>
      <c r="T387">
        <v>8</v>
      </c>
      <c r="U387">
        <v>1</v>
      </c>
      <c r="V387">
        <v>7</v>
      </c>
      <c r="W387">
        <v>7</v>
      </c>
      <c r="X387">
        <v>0</v>
      </c>
      <c r="Y387">
        <v>9</v>
      </c>
      <c r="Z387">
        <v>8</v>
      </c>
      <c r="AA387">
        <v>1</v>
      </c>
      <c r="AB387">
        <v>7</v>
      </c>
      <c r="AC387">
        <v>7</v>
      </c>
      <c r="AD387">
        <v>0</v>
      </c>
      <c r="AE387">
        <v>8</v>
      </c>
      <c r="AF387">
        <v>7</v>
      </c>
      <c r="AG387">
        <v>1</v>
      </c>
      <c r="AH387">
        <v>9</v>
      </c>
      <c r="AI387">
        <v>8</v>
      </c>
      <c r="AJ387">
        <v>1</v>
      </c>
      <c r="AK387" t="s">
        <v>3677</v>
      </c>
      <c r="AL387" t="s">
        <v>3678</v>
      </c>
      <c r="AM387" t="s">
        <v>3679</v>
      </c>
      <c r="AN387" t="s">
        <v>3680</v>
      </c>
      <c r="AO387" t="s">
        <v>3681</v>
      </c>
      <c r="AP387" t="s">
        <v>3682</v>
      </c>
      <c r="AQ387" t="s">
        <v>3683</v>
      </c>
      <c r="AR387" t="s">
        <v>3684</v>
      </c>
      <c r="AS387" t="s">
        <v>3685</v>
      </c>
    </row>
    <row r="388" spans="1:45" x14ac:dyDescent="0.45">
      <c r="A388">
        <v>387</v>
      </c>
      <c r="B388">
        <v>387</v>
      </c>
      <c r="C388" t="s">
        <v>78</v>
      </c>
      <c r="D388" t="s">
        <v>73</v>
      </c>
      <c r="E388" t="s">
        <v>74</v>
      </c>
      <c r="F388" t="s">
        <v>77</v>
      </c>
      <c r="G388" t="s">
        <v>76</v>
      </c>
      <c r="H388">
        <v>55.457350263983017</v>
      </c>
      <c r="I388">
        <v>2</v>
      </c>
      <c r="J388">
        <v>6</v>
      </c>
      <c r="K388">
        <v>5</v>
      </c>
      <c r="L388">
        <v>1</v>
      </c>
      <c r="M388">
        <v>8</v>
      </c>
      <c r="N388">
        <v>5</v>
      </c>
      <c r="O388">
        <v>3</v>
      </c>
      <c r="P388">
        <v>9</v>
      </c>
      <c r="Q388">
        <v>5</v>
      </c>
      <c r="R388">
        <v>4</v>
      </c>
      <c r="S388">
        <v>9</v>
      </c>
      <c r="T388">
        <v>5</v>
      </c>
      <c r="U388">
        <v>4</v>
      </c>
      <c r="V388">
        <v>8</v>
      </c>
      <c r="W388">
        <v>5</v>
      </c>
      <c r="X388">
        <v>3</v>
      </c>
      <c r="Y388">
        <v>9</v>
      </c>
      <c r="Z388">
        <v>5</v>
      </c>
      <c r="AA388">
        <v>4</v>
      </c>
      <c r="AB388">
        <v>8</v>
      </c>
      <c r="AC388">
        <v>5</v>
      </c>
      <c r="AD388">
        <v>3</v>
      </c>
      <c r="AE388">
        <v>7</v>
      </c>
      <c r="AF388">
        <v>5</v>
      </c>
      <c r="AG388">
        <v>2</v>
      </c>
      <c r="AH388">
        <v>9</v>
      </c>
      <c r="AI388">
        <v>5</v>
      </c>
      <c r="AJ388">
        <v>4</v>
      </c>
      <c r="AK388" t="s">
        <v>292</v>
      </c>
      <c r="AL388" t="s">
        <v>3686</v>
      </c>
      <c r="AM388" t="s">
        <v>3687</v>
      </c>
      <c r="AN388" t="s">
        <v>3688</v>
      </c>
      <c r="AO388" t="s">
        <v>3689</v>
      </c>
      <c r="AP388" t="s">
        <v>3690</v>
      </c>
      <c r="AQ388" t="s">
        <v>3691</v>
      </c>
      <c r="AR388" t="s">
        <v>3491</v>
      </c>
      <c r="AS388" t="s">
        <v>3692</v>
      </c>
    </row>
    <row r="389" spans="1:45" x14ac:dyDescent="0.45">
      <c r="A389">
        <v>388</v>
      </c>
      <c r="B389">
        <v>388</v>
      </c>
      <c r="C389" t="s">
        <v>78</v>
      </c>
      <c r="D389" t="s">
        <v>189</v>
      </c>
      <c r="E389" t="s">
        <v>74</v>
      </c>
      <c r="F389" t="s">
        <v>77</v>
      </c>
      <c r="G389" t="s">
        <v>76</v>
      </c>
      <c r="H389">
        <v>12.961606277266092</v>
      </c>
      <c r="I389">
        <v>0</v>
      </c>
      <c r="J389">
        <v>8</v>
      </c>
      <c r="K389">
        <v>7</v>
      </c>
      <c r="L389">
        <v>1</v>
      </c>
      <c r="M389">
        <v>7</v>
      </c>
      <c r="N389">
        <v>7</v>
      </c>
      <c r="O389">
        <v>0</v>
      </c>
      <c r="P389">
        <v>9</v>
      </c>
      <c r="Q389">
        <v>5</v>
      </c>
      <c r="R389">
        <v>4</v>
      </c>
      <c r="S389">
        <v>8</v>
      </c>
      <c r="T389">
        <v>8</v>
      </c>
      <c r="U389">
        <v>0</v>
      </c>
      <c r="V389">
        <v>9</v>
      </c>
      <c r="W389">
        <v>6</v>
      </c>
      <c r="X389">
        <v>3</v>
      </c>
      <c r="Y389">
        <v>8</v>
      </c>
      <c r="Z389">
        <v>8</v>
      </c>
      <c r="AA389">
        <v>0</v>
      </c>
      <c r="AB389">
        <v>7</v>
      </c>
      <c r="AC389">
        <v>5</v>
      </c>
      <c r="AD389">
        <v>2</v>
      </c>
      <c r="AE389">
        <v>8</v>
      </c>
      <c r="AF389">
        <v>5</v>
      </c>
      <c r="AG389">
        <v>3</v>
      </c>
      <c r="AH389">
        <v>9</v>
      </c>
      <c r="AI389">
        <v>8</v>
      </c>
      <c r="AJ389">
        <v>1</v>
      </c>
      <c r="AK389" t="s">
        <v>3693</v>
      </c>
      <c r="AL389" t="s">
        <v>3694</v>
      </c>
      <c r="AM389" t="s">
        <v>3695</v>
      </c>
      <c r="AN389" t="s">
        <v>3696</v>
      </c>
      <c r="AO389" t="s">
        <v>3697</v>
      </c>
      <c r="AP389" t="s">
        <v>3698</v>
      </c>
      <c r="AQ389" t="s">
        <v>3699</v>
      </c>
      <c r="AR389" t="s">
        <v>3700</v>
      </c>
      <c r="AS389" t="s">
        <v>3701</v>
      </c>
    </row>
    <row r="390" spans="1:45" x14ac:dyDescent="0.45">
      <c r="A390">
        <v>389</v>
      </c>
      <c r="B390">
        <v>389</v>
      </c>
      <c r="C390" t="s">
        <v>78</v>
      </c>
      <c r="D390" t="s">
        <v>81</v>
      </c>
      <c r="E390" t="s">
        <v>74</v>
      </c>
      <c r="F390" t="s">
        <v>77</v>
      </c>
      <c r="G390" t="s">
        <v>76</v>
      </c>
      <c r="H390">
        <v>18.038767281149184</v>
      </c>
      <c r="I390">
        <v>0</v>
      </c>
      <c r="J390">
        <v>7</v>
      </c>
      <c r="K390">
        <v>6</v>
      </c>
      <c r="L390">
        <v>1</v>
      </c>
      <c r="M390">
        <v>6</v>
      </c>
      <c r="N390">
        <v>8</v>
      </c>
      <c r="O390">
        <v>-2</v>
      </c>
      <c r="P390">
        <v>8</v>
      </c>
      <c r="Q390">
        <v>7</v>
      </c>
      <c r="R390">
        <v>1</v>
      </c>
      <c r="S390">
        <v>9</v>
      </c>
      <c r="T390">
        <v>8</v>
      </c>
      <c r="U390">
        <v>1</v>
      </c>
      <c r="V390">
        <v>8</v>
      </c>
      <c r="W390">
        <v>6</v>
      </c>
      <c r="X390">
        <v>2</v>
      </c>
      <c r="Y390">
        <v>9</v>
      </c>
      <c r="Z390">
        <v>8</v>
      </c>
      <c r="AA390">
        <v>1</v>
      </c>
      <c r="AB390">
        <v>8</v>
      </c>
      <c r="AC390">
        <v>5</v>
      </c>
      <c r="AD390">
        <v>3</v>
      </c>
      <c r="AE390">
        <v>7</v>
      </c>
      <c r="AF390">
        <v>5</v>
      </c>
      <c r="AG390">
        <v>2</v>
      </c>
      <c r="AH390">
        <v>9</v>
      </c>
      <c r="AI390">
        <v>8</v>
      </c>
      <c r="AJ390">
        <v>1</v>
      </c>
      <c r="AK390" t="s">
        <v>3702</v>
      </c>
      <c r="AL390" t="s">
        <v>3703</v>
      </c>
      <c r="AM390" t="s">
        <v>3704</v>
      </c>
      <c r="AN390" t="s">
        <v>3705</v>
      </c>
      <c r="AO390" t="s">
        <v>3706</v>
      </c>
      <c r="AP390" t="s">
        <v>3707</v>
      </c>
      <c r="AQ390" t="s">
        <v>3708</v>
      </c>
      <c r="AR390" t="s">
        <v>3709</v>
      </c>
      <c r="AS390" t="s">
        <v>3710</v>
      </c>
    </row>
    <row r="391" spans="1:45" x14ac:dyDescent="0.45">
      <c r="A391">
        <v>390</v>
      </c>
      <c r="B391">
        <v>390</v>
      </c>
      <c r="C391" t="s">
        <v>72</v>
      </c>
      <c r="D391" t="s">
        <v>79</v>
      </c>
      <c r="E391" t="s">
        <v>74</v>
      </c>
      <c r="F391" t="s">
        <v>75</v>
      </c>
      <c r="G391" t="s">
        <v>76</v>
      </c>
      <c r="H391">
        <v>41.51685399739646</v>
      </c>
      <c r="I391">
        <v>3</v>
      </c>
      <c r="J391">
        <v>8</v>
      </c>
      <c r="K391">
        <v>10</v>
      </c>
      <c r="L391">
        <v>-2</v>
      </c>
      <c r="M391">
        <v>7</v>
      </c>
      <c r="N391">
        <v>10</v>
      </c>
      <c r="O391">
        <v>-3</v>
      </c>
      <c r="P391">
        <v>7</v>
      </c>
      <c r="Q391">
        <v>5</v>
      </c>
      <c r="R391">
        <v>2</v>
      </c>
      <c r="S391">
        <v>9</v>
      </c>
      <c r="T391">
        <v>9</v>
      </c>
      <c r="U391">
        <v>0</v>
      </c>
      <c r="V391">
        <v>7</v>
      </c>
      <c r="W391">
        <v>7</v>
      </c>
      <c r="X391">
        <v>0</v>
      </c>
      <c r="Y391">
        <v>8</v>
      </c>
      <c r="Z391">
        <v>8</v>
      </c>
      <c r="AA391">
        <v>0</v>
      </c>
      <c r="AB391">
        <v>7</v>
      </c>
      <c r="AC391">
        <v>5</v>
      </c>
      <c r="AD391">
        <v>2</v>
      </c>
      <c r="AE391">
        <v>6</v>
      </c>
      <c r="AF391">
        <v>5</v>
      </c>
      <c r="AG391">
        <v>1</v>
      </c>
      <c r="AH391">
        <v>9</v>
      </c>
      <c r="AI391">
        <v>8</v>
      </c>
      <c r="AJ391">
        <v>1</v>
      </c>
      <c r="AK391" t="s">
        <v>3711</v>
      </c>
      <c r="AL391" t="s">
        <v>3712</v>
      </c>
      <c r="AM391" t="s">
        <v>3713</v>
      </c>
      <c r="AN391" t="s">
        <v>3714</v>
      </c>
      <c r="AO391" t="s">
        <v>3715</v>
      </c>
      <c r="AP391" t="s">
        <v>3716</v>
      </c>
      <c r="AQ391" t="s">
        <v>3717</v>
      </c>
      <c r="AR391" t="s">
        <v>3718</v>
      </c>
      <c r="AS391" t="s">
        <v>3719</v>
      </c>
    </row>
    <row r="392" spans="1:45" x14ac:dyDescent="0.45">
      <c r="A392">
        <v>391</v>
      </c>
      <c r="B392">
        <v>391</v>
      </c>
      <c r="C392" t="s">
        <v>78</v>
      </c>
      <c r="D392" t="s">
        <v>81</v>
      </c>
      <c r="E392" t="s">
        <v>74</v>
      </c>
      <c r="F392" t="s">
        <v>77</v>
      </c>
      <c r="G392" t="s">
        <v>76</v>
      </c>
      <c r="H392">
        <v>12.02461964633963</v>
      </c>
      <c r="I392">
        <v>0</v>
      </c>
      <c r="J392">
        <v>6</v>
      </c>
      <c r="K392">
        <v>4</v>
      </c>
      <c r="L392">
        <v>2</v>
      </c>
      <c r="M392">
        <v>5</v>
      </c>
      <c r="N392">
        <v>5</v>
      </c>
      <c r="O392">
        <v>0</v>
      </c>
      <c r="P392">
        <v>8</v>
      </c>
      <c r="Q392">
        <v>7</v>
      </c>
      <c r="R392">
        <v>1</v>
      </c>
      <c r="S392">
        <v>9</v>
      </c>
      <c r="T392">
        <v>7</v>
      </c>
      <c r="U392">
        <v>2</v>
      </c>
      <c r="V392">
        <v>7</v>
      </c>
      <c r="W392">
        <v>5</v>
      </c>
      <c r="X392">
        <v>2</v>
      </c>
      <c r="Y392">
        <v>8</v>
      </c>
      <c r="Z392">
        <v>7</v>
      </c>
      <c r="AA392">
        <v>1</v>
      </c>
      <c r="AB392">
        <v>7</v>
      </c>
      <c r="AC392">
        <v>5</v>
      </c>
      <c r="AD392">
        <v>2</v>
      </c>
      <c r="AE392">
        <v>6</v>
      </c>
      <c r="AF392">
        <v>5</v>
      </c>
      <c r="AG392">
        <v>1</v>
      </c>
      <c r="AH392">
        <v>9</v>
      </c>
      <c r="AI392">
        <v>7</v>
      </c>
      <c r="AJ392">
        <v>2</v>
      </c>
      <c r="AK392" t="s">
        <v>3720</v>
      </c>
      <c r="AL392" t="s">
        <v>3721</v>
      </c>
      <c r="AM392" t="s">
        <v>3722</v>
      </c>
      <c r="AN392" t="s">
        <v>3723</v>
      </c>
      <c r="AO392" t="s">
        <v>3724</v>
      </c>
      <c r="AP392" t="s">
        <v>3725</v>
      </c>
      <c r="AQ392" t="s">
        <v>3726</v>
      </c>
      <c r="AR392" t="s">
        <v>3727</v>
      </c>
      <c r="AS392" t="s">
        <v>3728</v>
      </c>
    </row>
    <row r="393" spans="1:45" x14ac:dyDescent="0.45">
      <c r="A393">
        <v>392</v>
      </c>
      <c r="B393">
        <v>392</v>
      </c>
      <c r="C393" t="s">
        <v>72</v>
      </c>
      <c r="D393" t="s">
        <v>193</v>
      </c>
      <c r="E393" t="s">
        <v>74</v>
      </c>
      <c r="F393" t="s">
        <v>75</v>
      </c>
      <c r="G393" t="s">
        <v>76</v>
      </c>
      <c r="H393">
        <v>139.23942274695739</v>
      </c>
      <c r="I393">
        <v>4</v>
      </c>
      <c r="J393">
        <v>6</v>
      </c>
      <c r="K393">
        <v>2</v>
      </c>
      <c r="L393">
        <v>4</v>
      </c>
      <c r="M393">
        <v>6</v>
      </c>
      <c r="N393">
        <v>3</v>
      </c>
      <c r="O393">
        <v>3</v>
      </c>
      <c r="P393">
        <v>8</v>
      </c>
      <c r="Q393">
        <v>3</v>
      </c>
      <c r="R393">
        <v>5</v>
      </c>
      <c r="S393">
        <v>7</v>
      </c>
      <c r="T393">
        <v>6</v>
      </c>
      <c r="U393">
        <v>1</v>
      </c>
      <c r="V393">
        <v>6</v>
      </c>
      <c r="W393">
        <v>5</v>
      </c>
      <c r="X393">
        <v>1</v>
      </c>
      <c r="Y393">
        <v>7</v>
      </c>
      <c r="Z393">
        <v>5</v>
      </c>
      <c r="AA393">
        <v>2</v>
      </c>
      <c r="AB393">
        <v>6</v>
      </c>
      <c r="AC393">
        <v>5</v>
      </c>
      <c r="AD393">
        <v>1</v>
      </c>
      <c r="AE393">
        <v>7</v>
      </c>
      <c r="AF393">
        <v>5</v>
      </c>
      <c r="AG393">
        <v>2</v>
      </c>
      <c r="AH393">
        <v>8</v>
      </c>
      <c r="AI393">
        <v>5</v>
      </c>
      <c r="AJ393">
        <v>3</v>
      </c>
      <c r="AK393" t="s">
        <v>3729</v>
      </c>
      <c r="AL393" t="s">
        <v>3730</v>
      </c>
      <c r="AM393" t="s">
        <v>3731</v>
      </c>
      <c r="AN393" t="s">
        <v>3732</v>
      </c>
      <c r="AO393" t="s">
        <v>3733</v>
      </c>
      <c r="AP393" t="s">
        <v>3734</v>
      </c>
      <c r="AQ393" t="s">
        <v>3735</v>
      </c>
      <c r="AR393" t="s">
        <v>3736</v>
      </c>
      <c r="AS393" t="s">
        <v>3737</v>
      </c>
    </row>
    <row r="394" spans="1:45" x14ac:dyDescent="0.45">
      <c r="A394">
        <v>393</v>
      </c>
      <c r="B394">
        <v>393</v>
      </c>
      <c r="C394" t="s">
        <v>72</v>
      </c>
      <c r="D394" t="s">
        <v>73</v>
      </c>
      <c r="E394" t="s">
        <v>74</v>
      </c>
      <c r="F394" t="s">
        <v>77</v>
      </c>
      <c r="G394" t="s">
        <v>76</v>
      </c>
      <c r="H394">
        <v>26.043387963779836</v>
      </c>
      <c r="I394">
        <v>2</v>
      </c>
      <c r="J394">
        <v>5</v>
      </c>
      <c r="K394">
        <v>7</v>
      </c>
      <c r="L394">
        <v>-2</v>
      </c>
      <c r="M394">
        <v>7</v>
      </c>
      <c r="N394">
        <v>7</v>
      </c>
      <c r="O394">
        <v>0</v>
      </c>
      <c r="P394">
        <v>9</v>
      </c>
      <c r="Q394">
        <v>5</v>
      </c>
      <c r="R394">
        <v>4</v>
      </c>
      <c r="S394">
        <v>8</v>
      </c>
      <c r="T394">
        <v>8</v>
      </c>
      <c r="U394">
        <v>0</v>
      </c>
      <c r="V394">
        <v>6</v>
      </c>
      <c r="W394">
        <v>7</v>
      </c>
      <c r="X394">
        <v>-1</v>
      </c>
      <c r="Y394">
        <v>9</v>
      </c>
      <c r="Z394">
        <v>7</v>
      </c>
      <c r="AA394">
        <v>2</v>
      </c>
      <c r="AB394">
        <v>7</v>
      </c>
      <c r="AC394">
        <v>5</v>
      </c>
      <c r="AD394">
        <v>2</v>
      </c>
      <c r="AE394">
        <v>8</v>
      </c>
      <c r="AF394">
        <v>6</v>
      </c>
      <c r="AG394">
        <v>2</v>
      </c>
      <c r="AH394">
        <v>9</v>
      </c>
      <c r="AI394">
        <v>7</v>
      </c>
      <c r="AJ394">
        <v>2</v>
      </c>
      <c r="AK394" t="s">
        <v>3738</v>
      </c>
      <c r="AL394" t="s">
        <v>3739</v>
      </c>
      <c r="AM394" t="s">
        <v>3740</v>
      </c>
      <c r="AN394" t="s">
        <v>3741</v>
      </c>
      <c r="AO394" t="s">
        <v>3742</v>
      </c>
      <c r="AP394" t="s">
        <v>3743</v>
      </c>
      <c r="AQ394" t="s">
        <v>3744</v>
      </c>
      <c r="AR394" t="s">
        <v>276</v>
      </c>
      <c r="AS394" t="s">
        <v>3745</v>
      </c>
    </row>
    <row r="395" spans="1:45" x14ac:dyDescent="0.45">
      <c r="A395">
        <v>394</v>
      </c>
      <c r="B395">
        <v>394</v>
      </c>
      <c r="C395" t="s">
        <v>78</v>
      </c>
      <c r="D395" t="s">
        <v>81</v>
      </c>
      <c r="E395" t="s">
        <v>74</v>
      </c>
      <c r="F395" t="s">
        <v>77</v>
      </c>
      <c r="G395" t="s">
        <v>76</v>
      </c>
      <c r="H395">
        <v>12</v>
      </c>
      <c r="I395">
        <v>1</v>
      </c>
      <c r="J395">
        <v>7</v>
      </c>
      <c r="K395">
        <v>9</v>
      </c>
      <c r="L395">
        <v>-2</v>
      </c>
      <c r="M395">
        <v>6</v>
      </c>
      <c r="N395">
        <v>9</v>
      </c>
      <c r="O395">
        <v>-3</v>
      </c>
      <c r="P395">
        <v>8</v>
      </c>
      <c r="Q395">
        <v>9</v>
      </c>
      <c r="R395">
        <v>-1</v>
      </c>
      <c r="S395">
        <v>9</v>
      </c>
      <c r="T395">
        <v>7</v>
      </c>
      <c r="U395">
        <v>2</v>
      </c>
      <c r="V395">
        <v>8</v>
      </c>
      <c r="W395">
        <v>8</v>
      </c>
      <c r="X395">
        <v>0</v>
      </c>
      <c r="Y395">
        <v>9</v>
      </c>
      <c r="Z395">
        <v>6</v>
      </c>
      <c r="AA395">
        <v>3</v>
      </c>
      <c r="AB395">
        <v>7</v>
      </c>
      <c r="AC395">
        <v>8</v>
      </c>
      <c r="AD395">
        <v>-1</v>
      </c>
      <c r="AE395">
        <v>8</v>
      </c>
      <c r="AF395">
        <v>10</v>
      </c>
      <c r="AG395">
        <v>-2</v>
      </c>
      <c r="AH395">
        <v>9</v>
      </c>
      <c r="AI395">
        <v>10</v>
      </c>
      <c r="AJ395">
        <v>-1</v>
      </c>
      <c r="AK395" t="s">
        <v>3746</v>
      </c>
      <c r="AL395" t="s">
        <v>3747</v>
      </c>
      <c r="AM395" t="s">
        <v>3748</v>
      </c>
      <c r="AN395" t="s">
        <v>3749</v>
      </c>
      <c r="AO395" t="s">
        <v>3750</v>
      </c>
      <c r="AP395" t="s">
        <v>3751</v>
      </c>
      <c r="AQ395" t="s">
        <v>3752</v>
      </c>
      <c r="AR395" t="s">
        <v>3753</v>
      </c>
      <c r="AS395" t="s">
        <v>3754</v>
      </c>
    </row>
    <row r="396" spans="1:45" x14ac:dyDescent="0.45">
      <c r="A396">
        <v>395</v>
      </c>
      <c r="B396">
        <v>395</v>
      </c>
      <c r="C396" t="s">
        <v>78</v>
      </c>
      <c r="D396" t="s">
        <v>191</v>
      </c>
      <c r="E396" t="s">
        <v>74</v>
      </c>
      <c r="F396" t="s">
        <v>77</v>
      </c>
      <c r="G396" t="s">
        <v>76</v>
      </c>
      <c r="H396">
        <v>33.088162908985687</v>
      </c>
      <c r="I396">
        <v>1</v>
      </c>
      <c r="J396">
        <v>5</v>
      </c>
      <c r="K396">
        <v>7</v>
      </c>
      <c r="L396">
        <v>-2</v>
      </c>
      <c r="M396">
        <v>6</v>
      </c>
      <c r="N396">
        <v>7</v>
      </c>
      <c r="O396">
        <v>-1</v>
      </c>
      <c r="P396">
        <v>7</v>
      </c>
      <c r="Q396">
        <v>5</v>
      </c>
      <c r="R396">
        <v>2</v>
      </c>
      <c r="S396">
        <v>8</v>
      </c>
      <c r="T396">
        <v>7</v>
      </c>
      <c r="U396">
        <v>1</v>
      </c>
      <c r="V396">
        <v>9</v>
      </c>
      <c r="W396">
        <v>5</v>
      </c>
      <c r="X396">
        <v>4</v>
      </c>
      <c r="Y396">
        <v>7</v>
      </c>
      <c r="Z396">
        <v>6</v>
      </c>
      <c r="AA396">
        <v>1</v>
      </c>
      <c r="AB396">
        <v>6</v>
      </c>
      <c r="AC396">
        <v>5</v>
      </c>
      <c r="AD396">
        <v>1</v>
      </c>
      <c r="AE396">
        <v>8</v>
      </c>
      <c r="AF396">
        <v>6</v>
      </c>
      <c r="AG396">
        <v>2</v>
      </c>
      <c r="AH396">
        <v>9</v>
      </c>
      <c r="AI396">
        <v>6</v>
      </c>
      <c r="AJ396">
        <v>3</v>
      </c>
      <c r="AK396" t="s">
        <v>3755</v>
      </c>
      <c r="AL396" t="s">
        <v>3756</v>
      </c>
      <c r="AM396" t="s">
        <v>3757</v>
      </c>
      <c r="AN396" t="s">
        <v>3758</v>
      </c>
      <c r="AO396" t="s">
        <v>3759</v>
      </c>
      <c r="AP396" t="s">
        <v>3760</v>
      </c>
      <c r="AQ396" t="s">
        <v>3761</v>
      </c>
      <c r="AR396" t="s">
        <v>3762</v>
      </c>
      <c r="AS396" t="s">
        <v>3763</v>
      </c>
    </row>
    <row r="397" spans="1:45" x14ac:dyDescent="0.45">
      <c r="A397">
        <v>396</v>
      </c>
      <c r="B397">
        <v>396</v>
      </c>
      <c r="C397" t="s">
        <v>72</v>
      </c>
      <c r="D397" t="s">
        <v>73</v>
      </c>
      <c r="E397" t="s">
        <v>74</v>
      </c>
      <c r="F397" t="s">
        <v>190</v>
      </c>
      <c r="G397" t="s">
        <v>76</v>
      </c>
      <c r="H397">
        <v>26.058606905184021</v>
      </c>
      <c r="I397">
        <v>1</v>
      </c>
      <c r="J397">
        <v>7</v>
      </c>
      <c r="K397">
        <v>2</v>
      </c>
      <c r="L397">
        <v>5</v>
      </c>
      <c r="M397">
        <v>8</v>
      </c>
      <c r="N397">
        <v>2</v>
      </c>
      <c r="O397">
        <v>6</v>
      </c>
      <c r="P397">
        <v>9</v>
      </c>
      <c r="Q397">
        <v>4</v>
      </c>
      <c r="R397">
        <v>5</v>
      </c>
      <c r="S397">
        <v>10</v>
      </c>
      <c r="T397">
        <v>5</v>
      </c>
      <c r="U397">
        <v>5</v>
      </c>
      <c r="V397">
        <v>9</v>
      </c>
      <c r="W397">
        <v>5</v>
      </c>
      <c r="X397">
        <v>4</v>
      </c>
      <c r="Y397">
        <v>9</v>
      </c>
      <c r="Z397">
        <v>3</v>
      </c>
      <c r="AA397">
        <v>6</v>
      </c>
      <c r="AB397">
        <v>8</v>
      </c>
      <c r="AC397">
        <v>5</v>
      </c>
      <c r="AD397">
        <v>3</v>
      </c>
      <c r="AE397">
        <v>9</v>
      </c>
      <c r="AF397">
        <v>5</v>
      </c>
      <c r="AG397">
        <v>4</v>
      </c>
      <c r="AH397">
        <v>9</v>
      </c>
      <c r="AI397">
        <v>5</v>
      </c>
      <c r="AJ397">
        <v>4</v>
      </c>
      <c r="AK397" t="s">
        <v>3764</v>
      </c>
      <c r="AL397" t="s">
        <v>3765</v>
      </c>
      <c r="AM397" t="s">
        <v>3766</v>
      </c>
      <c r="AN397" t="s">
        <v>3767</v>
      </c>
      <c r="AO397" t="s">
        <v>3768</v>
      </c>
      <c r="AP397" t="s">
        <v>3769</v>
      </c>
      <c r="AQ397" t="s">
        <v>3770</v>
      </c>
      <c r="AR397" t="s">
        <v>3771</v>
      </c>
      <c r="AS397" t="s">
        <v>3772</v>
      </c>
    </row>
    <row r="398" spans="1:45" x14ac:dyDescent="0.45">
      <c r="A398">
        <v>397</v>
      </c>
      <c r="B398">
        <v>397</v>
      </c>
      <c r="C398" t="s">
        <v>72</v>
      </c>
      <c r="D398" t="s">
        <v>81</v>
      </c>
      <c r="E398" t="s">
        <v>74</v>
      </c>
      <c r="F398" t="s">
        <v>77</v>
      </c>
      <c r="G398" t="s">
        <v>76</v>
      </c>
      <c r="H398">
        <v>26.430522829138759</v>
      </c>
      <c r="I398">
        <v>0</v>
      </c>
      <c r="J398">
        <v>7</v>
      </c>
      <c r="K398">
        <v>8</v>
      </c>
      <c r="L398">
        <v>-1</v>
      </c>
      <c r="M398">
        <v>8</v>
      </c>
      <c r="N398">
        <v>8</v>
      </c>
      <c r="O398">
        <v>0</v>
      </c>
      <c r="P398">
        <v>9</v>
      </c>
      <c r="Q398">
        <v>7</v>
      </c>
      <c r="R398">
        <v>2</v>
      </c>
      <c r="S398">
        <v>10</v>
      </c>
      <c r="T398">
        <v>7</v>
      </c>
      <c r="U398">
        <v>3</v>
      </c>
      <c r="V398">
        <v>8</v>
      </c>
      <c r="W398">
        <v>7</v>
      </c>
      <c r="X398">
        <v>1</v>
      </c>
      <c r="Y398">
        <v>9</v>
      </c>
      <c r="Z398">
        <v>8</v>
      </c>
      <c r="AA398">
        <v>1</v>
      </c>
      <c r="AB398">
        <v>8</v>
      </c>
      <c r="AC398">
        <v>7</v>
      </c>
      <c r="AD398">
        <v>1</v>
      </c>
      <c r="AE398">
        <v>7</v>
      </c>
      <c r="AF398">
        <v>8</v>
      </c>
      <c r="AG398">
        <v>-1</v>
      </c>
      <c r="AH398">
        <v>9</v>
      </c>
      <c r="AI398">
        <v>8</v>
      </c>
      <c r="AJ398">
        <v>1</v>
      </c>
      <c r="AK398" t="s">
        <v>3773</v>
      </c>
      <c r="AL398" t="s">
        <v>3774</v>
      </c>
      <c r="AM398" t="s">
        <v>3775</v>
      </c>
      <c r="AN398" t="s">
        <v>3776</v>
      </c>
      <c r="AO398" t="s">
        <v>3777</v>
      </c>
      <c r="AP398" t="s">
        <v>3778</v>
      </c>
      <c r="AQ398" t="s">
        <v>3779</v>
      </c>
      <c r="AR398" t="s">
        <v>3780</v>
      </c>
      <c r="AS398" t="s">
        <v>3781</v>
      </c>
    </row>
    <row r="399" spans="1:45" x14ac:dyDescent="0.45">
      <c r="A399">
        <v>398</v>
      </c>
      <c r="B399">
        <v>398</v>
      </c>
      <c r="C399" t="s">
        <v>72</v>
      </c>
      <c r="D399" t="s">
        <v>189</v>
      </c>
      <c r="E399" t="s">
        <v>74</v>
      </c>
      <c r="F399" t="s">
        <v>77</v>
      </c>
      <c r="G399" t="s">
        <v>76</v>
      </c>
      <c r="H399">
        <v>12</v>
      </c>
      <c r="I399">
        <v>0</v>
      </c>
      <c r="J399">
        <v>7</v>
      </c>
      <c r="K399">
        <v>9</v>
      </c>
      <c r="L399">
        <v>-2</v>
      </c>
      <c r="M399">
        <v>8</v>
      </c>
      <c r="N399">
        <v>9</v>
      </c>
      <c r="O399">
        <v>-1</v>
      </c>
      <c r="P399">
        <v>9</v>
      </c>
      <c r="Q399">
        <v>8</v>
      </c>
      <c r="R399">
        <v>1</v>
      </c>
      <c r="S399">
        <v>10</v>
      </c>
      <c r="T399">
        <v>9</v>
      </c>
      <c r="U399">
        <v>1</v>
      </c>
      <c r="V399">
        <v>8</v>
      </c>
      <c r="W399">
        <v>7</v>
      </c>
      <c r="X399">
        <v>1</v>
      </c>
      <c r="Y399">
        <v>9</v>
      </c>
      <c r="Z399">
        <v>9</v>
      </c>
      <c r="AA399">
        <v>0</v>
      </c>
      <c r="AB399">
        <v>8</v>
      </c>
      <c r="AC399">
        <v>8</v>
      </c>
      <c r="AD399">
        <v>0</v>
      </c>
      <c r="AE399">
        <v>9</v>
      </c>
      <c r="AF399">
        <v>8</v>
      </c>
      <c r="AG399">
        <v>1</v>
      </c>
      <c r="AH399">
        <v>8</v>
      </c>
      <c r="AI399">
        <v>8</v>
      </c>
      <c r="AJ399">
        <v>0</v>
      </c>
      <c r="AK399" t="s">
        <v>3782</v>
      </c>
      <c r="AL399" t="s">
        <v>3783</v>
      </c>
      <c r="AM399" t="s">
        <v>3784</v>
      </c>
      <c r="AN399" t="s">
        <v>3785</v>
      </c>
      <c r="AO399" t="s">
        <v>3786</v>
      </c>
      <c r="AP399" t="s">
        <v>3787</v>
      </c>
      <c r="AQ399" t="s">
        <v>3788</v>
      </c>
      <c r="AR399" t="s">
        <v>3789</v>
      </c>
      <c r="AS399" t="s">
        <v>3790</v>
      </c>
    </row>
    <row r="400" spans="1:45" x14ac:dyDescent="0.45">
      <c r="A400">
        <v>399</v>
      </c>
      <c r="B400">
        <v>399</v>
      </c>
      <c r="C400" t="s">
        <v>72</v>
      </c>
      <c r="D400" t="s">
        <v>81</v>
      </c>
      <c r="E400" t="s">
        <v>74</v>
      </c>
      <c r="F400" t="s">
        <v>75</v>
      </c>
      <c r="G400" t="s">
        <v>76</v>
      </c>
      <c r="H400">
        <v>28.450488243180487</v>
      </c>
      <c r="I400">
        <v>0</v>
      </c>
      <c r="J400">
        <v>6</v>
      </c>
      <c r="K400">
        <v>7</v>
      </c>
      <c r="L400">
        <v>-1</v>
      </c>
      <c r="M400">
        <v>7</v>
      </c>
      <c r="N400">
        <v>7</v>
      </c>
      <c r="O400">
        <v>0</v>
      </c>
      <c r="P400">
        <v>9</v>
      </c>
      <c r="Q400">
        <v>5</v>
      </c>
      <c r="R400">
        <v>4</v>
      </c>
      <c r="S400">
        <v>9</v>
      </c>
      <c r="T400">
        <v>8</v>
      </c>
      <c r="U400">
        <v>1</v>
      </c>
      <c r="V400">
        <v>8</v>
      </c>
      <c r="W400">
        <v>7</v>
      </c>
      <c r="X400">
        <v>1</v>
      </c>
      <c r="Y400">
        <v>9</v>
      </c>
      <c r="Z400">
        <v>8</v>
      </c>
      <c r="AA400">
        <v>1</v>
      </c>
      <c r="AB400">
        <v>8</v>
      </c>
      <c r="AC400">
        <v>6</v>
      </c>
      <c r="AD400">
        <v>2</v>
      </c>
      <c r="AE400">
        <v>9</v>
      </c>
      <c r="AF400">
        <v>6</v>
      </c>
      <c r="AG400">
        <v>3</v>
      </c>
      <c r="AH400">
        <v>7</v>
      </c>
      <c r="AI400">
        <v>8</v>
      </c>
      <c r="AJ400">
        <v>-1</v>
      </c>
      <c r="AK400" t="s">
        <v>3791</v>
      </c>
      <c r="AL400" t="s">
        <v>3792</v>
      </c>
      <c r="AM400" t="s">
        <v>3793</v>
      </c>
      <c r="AN400" t="s">
        <v>3794</v>
      </c>
      <c r="AO400" t="s">
        <v>3795</v>
      </c>
      <c r="AP400" t="s">
        <v>3796</v>
      </c>
      <c r="AQ400" t="s">
        <v>3797</v>
      </c>
      <c r="AR400" t="s">
        <v>284</v>
      </c>
      <c r="AS400" t="s">
        <v>3798</v>
      </c>
    </row>
    <row r="401" spans="1:45" x14ac:dyDescent="0.45">
      <c r="A401">
        <v>400</v>
      </c>
      <c r="B401">
        <v>400</v>
      </c>
      <c r="C401" t="s">
        <v>72</v>
      </c>
      <c r="D401" t="s">
        <v>79</v>
      </c>
      <c r="E401" t="s">
        <v>74</v>
      </c>
      <c r="F401" t="s">
        <v>77</v>
      </c>
      <c r="G401" t="s">
        <v>76</v>
      </c>
      <c r="H401">
        <v>34.986482164558986</v>
      </c>
      <c r="I401">
        <v>3</v>
      </c>
      <c r="J401">
        <v>7</v>
      </c>
      <c r="K401">
        <v>8</v>
      </c>
      <c r="L401">
        <v>-1</v>
      </c>
      <c r="M401">
        <v>7</v>
      </c>
      <c r="N401">
        <v>9</v>
      </c>
      <c r="O401">
        <v>-2</v>
      </c>
      <c r="P401">
        <v>9</v>
      </c>
      <c r="Q401">
        <v>8</v>
      </c>
      <c r="R401">
        <v>1</v>
      </c>
      <c r="S401">
        <v>10</v>
      </c>
      <c r="T401">
        <v>8</v>
      </c>
      <c r="U401">
        <v>2</v>
      </c>
      <c r="V401">
        <v>8</v>
      </c>
      <c r="W401">
        <v>7</v>
      </c>
      <c r="X401">
        <v>1</v>
      </c>
      <c r="Y401">
        <v>7</v>
      </c>
      <c r="Z401">
        <v>7</v>
      </c>
      <c r="AA401">
        <v>0</v>
      </c>
      <c r="AB401">
        <v>8</v>
      </c>
      <c r="AC401">
        <v>7</v>
      </c>
      <c r="AD401">
        <v>1</v>
      </c>
      <c r="AE401">
        <v>7</v>
      </c>
      <c r="AF401">
        <v>7</v>
      </c>
      <c r="AG401">
        <v>0</v>
      </c>
      <c r="AH401">
        <v>8</v>
      </c>
      <c r="AI401">
        <v>8</v>
      </c>
      <c r="AJ401">
        <v>0</v>
      </c>
      <c r="AK401" t="s">
        <v>3799</v>
      </c>
      <c r="AL401" t="s">
        <v>3800</v>
      </c>
      <c r="AM401" t="s">
        <v>3801</v>
      </c>
      <c r="AN401" t="s">
        <v>3802</v>
      </c>
      <c r="AO401" t="s">
        <v>3803</v>
      </c>
      <c r="AP401" t="s">
        <v>3804</v>
      </c>
      <c r="AQ401" t="s">
        <v>3805</v>
      </c>
      <c r="AR401" t="s">
        <v>3806</v>
      </c>
      <c r="AS401" t="s">
        <v>3807</v>
      </c>
    </row>
    <row r="402" spans="1:45" x14ac:dyDescent="0.45">
      <c r="A402">
        <v>401</v>
      </c>
      <c r="B402">
        <v>401</v>
      </c>
      <c r="C402" t="s">
        <v>72</v>
      </c>
      <c r="D402" t="s">
        <v>81</v>
      </c>
      <c r="E402" t="s">
        <v>80</v>
      </c>
      <c r="F402" t="s">
        <v>77</v>
      </c>
      <c r="G402" t="s">
        <v>76</v>
      </c>
      <c r="H402">
        <v>15.466904501465335</v>
      </c>
      <c r="I402">
        <v>0</v>
      </c>
      <c r="J402">
        <v>6</v>
      </c>
      <c r="K402">
        <v>4</v>
      </c>
      <c r="L402">
        <v>2</v>
      </c>
      <c r="M402">
        <v>6</v>
      </c>
      <c r="N402">
        <v>4</v>
      </c>
      <c r="O402">
        <v>2</v>
      </c>
      <c r="P402">
        <v>9</v>
      </c>
      <c r="Q402">
        <v>3</v>
      </c>
      <c r="R402">
        <v>6</v>
      </c>
      <c r="S402">
        <v>9</v>
      </c>
      <c r="T402">
        <v>5</v>
      </c>
      <c r="U402">
        <v>4</v>
      </c>
      <c r="V402">
        <v>7</v>
      </c>
      <c r="W402">
        <v>5</v>
      </c>
      <c r="X402">
        <v>2</v>
      </c>
      <c r="Y402">
        <v>8</v>
      </c>
      <c r="Z402">
        <v>2</v>
      </c>
      <c r="AA402">
        <v>6</v>
      </c>
      <c r="AB402">
        <v>7</v>
      </c>
      <c r="AC402">
        <v>2</v>
      </c>
      <c r="AD402">
        <v>5</v>
      </c>
      <c r="AE402">
        <v>6</v>
      </c>
      <c r="AF402">
        <v>5</v>
      </c>
      <c r="AG402">
        <v>1</v>
      </c>
      <c r="AH402">
        <v>8</v>
      </c>
      <c r="AI402">
        <v>2</v>
      </c>
      <c r="AJ402">
        <v>6</v>
      </c>
      <c r="AK402" t="s">
        <v>3808</v>
      </c>
      <c r="AL402" t="s">
        <v>3809</v>
      </c>
      <c r="AM402" t="s">
        <v>3810</v>
      </c>
      <c r="AN402" t="s">
        <v>3811</v>
      </c>
      <c r="AO402" t="s">
        <v>3812</v>
      </c>
      <c r="AP402" t="s">
        <v>3813</v>
      </c>
      <c r="AQ402" t="s">
        <v>3814</v>
      </c>
      <c r="AR402" t="s">
        <v>3815</v>
      </c>
      <c r="AS402" t="s">
        <v>3816</v>
      </c>
    </row>
    <row r="403" spans="1:45" x14ac:dyDescent="0.45">
      <c r="A403">
        <v>402</v>
      </c>
      <c r="B403">
        <v>402</v>
      </c>
      <c r="C403" t="s">
        <v>78</v>
      </c>
      <c r="D403" t="s">
        <v>193</v>
      </c>
      <c r="E403" t="s">
        <v>74</v>
      </c>
      <c r="F403" t="s">
        <v>75</v>
      </c>
      <c r="G403" t="s">
        <v>76</v>
      </c>
      <c r="H403">
        <v>141.19069464946287</v>
      </c>
      <c r="I403">
        <v>4</v>
      </c>
      <c r="J403">
        <v>7</v>
      </c>
      <c r="K403">
        <v>7</v>
      </c>
      <c r="L403">
        <v>0</v>
      </c>
      <c r="M403">
        <v>7</v>
      </c>
      <c r="N403">
        <v>7</v>
      </c>
      <c r="O403">
        <v>0</v>
      </c>
      <c r="P403">
        <v>9</v>
      </c>
      <c r="Q403">
        <v>4</v>
      </c>
      <c r="R403">
        <v>5</v>
      </c>
      <c r="S403">
        <v>8</v>
      </c>
      <c r="T403">
        <v>6</v>
      </c>
      <c r="U403">
        <v>2</v>
      </c>
      <c r="V403">
        <v>9</v>
      </c>
      <c r="W403">
        <v>5</v>
      </c>
      <c r="X403">
        <v>4</v>
      </c>
      <c r="Y403">
        <v>8</v>
      </c>
      <c r="Z403">
        <v>4</v>
      </c>
      <c r="AA403">
        <v>4</v>
      </c>
      <c r="AB403">
        <v>7</v>
      </c>
      <c r="AC403">
        <v>5</v>
      </c>
      <c r="AD403">
        <v>2</v>
      </c>
      <c r="AE403">
        <v>8</v>
      </c>
      <c r="AF403">
        <v>5</v>
      </c>
      <c r="AG403">
        <v>3</v>
      </c>
      <c r="AH403">
        <v>9</v>
      </c>
      <c r="AI403">
        <v>5</v>
      </c>
      <c r="AJ403">
        <v>4</v>
      </c>
      <c r="AK403" t="s">
        <v>3817</v>
      </c>
      <c r="AL403" t="s">
        <v>3818</v>
      </c>
      <c r="AM403" t="s">
        <v>3819</v>
      </c>
      <c r="AN403" t="s">
        <v>3820</v>
      </c>
      <c r="AO403" t="s">
        <v>3821</v>
      </c>
      <c r="AP403" t="s">
        <v>3822</v>
      </c>
      <c r="AQ403" t="s">
        <v>3823</v>
      </c>
      <c r="AR403" t="s">
        <v>3824</v>
      </c>
      <c r="AS403" t="s">
        <v>3825</v>
      </c>
    </row>
    <row r="404" spans="1:45" x14ac:dyDescent="0.45">
      <c r="A404">
        <v>403</v>
      </c>
      <c r="B404">
        <v>403</v>
      </c>
      <c r="C404" t="s">
        <v>72</v>
      </c>
      <c r="D404" t="s">
        <v>81</v>
      </c>
      <c r="E404" t="s">
        <v>74</v>
      </c>
      <c r="F404" t="s">
        <v>77</v>
      </c>
      <c r="G404" t="s">
        <v>76</v>
      </c>
      <c r="H404">
        <v>24.420858224223796</v>
      </c>
      <c r="I404">
        <v>0</v>
      </c>
      <c r="J404">
        <v>7</v>
      </c>
      <c r="K404">
        <v>7</v>
      </c>
      <c r="L404">
        <v>0</v>
      </c>
      <c r="M404">
        <v>6</v>
      </c>
      <c r="N404">
        <v>7</v>
      </c>
      <c r="O404">
        <v>-1</v>
      </c>
      <c r="P404">
        <v>8</v>
      </c>
      <c r="Q404">
        <v>7</v>
      </c>
      <c r="R404">
        <v>1</v>
      </c>
      <c r="S404">
        <v>9</v>
      </c>
      <c r="T404">
        <v>7</v>
      </c>
      <c r="U404">
        <v>2</v>
      </c>
      <c r="V404">
        <v>8</v>
      </c>
      <c r="W404">
        <v>7</v>
      </c>
      <c r="X404">
        <v>1</v>
      </c>
      <c r="Y404">
        <v>9</v>
      </c>
      <c r="Z404">
        <v>7</v>
      </c>
      <c r="AA404">
        <v>2</v>
      </c>
      <c r="AB404">
        <v>8</v>
      </c>
      <c r="AC404">
        <v>7</v>
      </c>
      <c r="AD404">
        <v>1</v>
      </c>
      <c r="AE404">
        <v>7</v>
      </c>
      <c r="AF404">
        <v>7</v>
      </c>
      <c r="AG404">
        <v>0</v>
      </c>
      <c r="AH404">
        <v>9</v>
      </c>
      <c r="AI404">
        <v>7</v>
      </c>
      <c r="AJ404">
        <v>2</v>
      </c>
      <c r="AK404" t="s">
        <v>3826</v>
      </c>
      <c r="AL404" t="s">
        <v>3827</v>
      </c>
      <c r="AM404" t="s">
        <v>3828</v>
      </c>
      <c r="AN404" t="s">
        <v>3829</v>
      </c>
      <c r="AO404" t="s">
        <v>3830</v>
      </c>
      <c r="AP404" t="s">
        <v>3831</v>
      </c>
      <c r="AQ404" t="s">
        <v>3832</v>
      </c>
      <c r="AR404" t="s">
        <v>3833</v>
      </c>
      <c r="AS404" t="s">
        <v>3834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0A1E5-5B85-4FCC-8D5E-A7011AE70633}">
  <dimension ref="A1:Q404"/>
  <sheetViews>
    <sheetView topLeftCell="O1" workbookViewId="0">
      <selection activeCell="O1" sqref="O1"/>
    </sheetView>
  </sheetViews>
  <sheetFormatPr defaultRowHeight="14.25" x14ac:dyDescent="0.45"/>
  <cols>
    <col min="1" max="1" width="15.265625" bestFit="1" customWidth="1"/>
    <col min="2" max="2" width="17.3984375" bestFit="1" customWidth="1"/>
    <col min="3" max="3" width="16.3984375" bestFit="1" customWidth="1"/>
    <col min="4" max="4" width="26.59765625" hidden="1" customWidth="1"/>
    <col min="5" max="5" width="24.796875" bestFit="1" customWidth="1"/>
    <col min="6" max="6" width="45.796875" bestFit="1" customWidth="1"/>
    <col min="7" max="7" width="80.53125" bestFit="1" customWidth="1"/>
    <col min="8" max="8" width="65.33203125" bestFit="1" customWidth="1"/>
    <col min="9" max="17" width="80.53125" bestFit="1" customWidth="1"/>
  </cols>
  <sheetData>
    <row r="1" spans="1:17" x14ac:dyDescent="0.45">
      <c r="A1" t="s">
        <v>83</v>
      </c>
      <c r="B1" t="s">
        <v>84</v>
      </c>
      <c r="C1" t="s">
        <v>85</v>
      </c>
      <c r="D1" t="s">
        <v>86</v>
      </c>
      <c r="E1" t="s">
        <v>87</v>
      </c>
      <c r="F1" t="s">
        <v>88</v>
      </c>
      <c r="G1" t="s">
        <v>89</v>
      </c>
      <c r="H1" t="s">
        <v>90</v>
      </c>
      <c r="I1" t="s">
        <v>91</v>
      </c>
      <c r="J1" t="s">
        <v>92</v>
      </c>
      <c r="K1" t="s">
        <v>93</v>
      </c>
      <c r="L1" t="s">
        <v>94</v>
      </c>
      <c r="M1" t="s">
        <v>95</v>
      </c>
      <c r="N1" t="s">
        <v>96</v>
      </c>
      <c r="O1" t="s">
        <v>97</v>
      </c>
      <c r="P1" t="s">
        <v>98</v>
      </c>
      <c r="Q1" t="s">
        <v>99</v>
      </c>
    </row>
    <row r="2" spans="1:17" x14ac:dyDescent="0.45">
      <c r="A2" s="19">
        <v>46016.586805555555</v>
      </c>
      <c r="B2" t="s">
        <v>72</v>
      </c>
      <c r="C2" t="s">
        <v>81</v>
      </c>
      <c r="D2" t="s">
        <v>74</v>
      </c>
      <c r="E2" t="s">
        <v>77</v>
      </c>
      <c r="F2" t="s">
        <v>100</v>
      </c>
      <c r="G2" t="s">
        <v>104</v>
      </c>
      <c r="H2" t="s">
        <v>102</v>
      </c>
      <c r="I2">
        <v>10</v>
      </c>
      <c r="J2">
        <v>8</v>
      </c>
      <c r="K2">
        <v>5</v>
      </c>
      <c r="L2">
        <v>5</v>
      </c>
      <c r="M2">
        <v>10</v>
      </c>
      <c r="N2">
        <v>10</v>
      </c>
      <c r="O2">
        <v>10</v>
      </c>
      <c r="P2">
        <v>10</v>
      </c>
      <c r="Q2">
        <v>10</v>
      </c>
    </row>
    <row r="3" spans="1:17" x14ac:dyDescent="0.45">
      <c r="A3" s="19">
        <v>46016.586805555555</v>
      </c>
      <c r="B3" t="s">
        <v>72</v>
      </c>
      <c r="C3" t="s">
        <v>81</v>
      </c>
      <c r="D3" t="s">
        <v>74</v>
      </c>
      <c r="E3" t="s">
        <v>77</v>
      </c>
      <c r="F3" t="s">
        <v>100</v>
      </c>
      <c r="G3" t="s">
        <v>104</v>
      </c>
      <c r="H3" t="s">
        <v>110</v>
      </c>
      <c r="I3">
        <v>8</v>
      </c>
      <c r="J3">
        <v>8</v>
      </c>
      <c r="K3">
        <v>6</v>
      </c>
      <c r="L3">
        <v>9</v>
      </c>
      <c r="M3">
        <v>10</v>
      </c>
      <c r="N3">
        <v>9</v>
      </c>
      <c r="O3">
        <v>8</v>
      </c>
      <c r="P3">
        <v>9</v>
      </c>
      <c r="Q3">
        <v>10</v>
      </c>
    </row>
    <row r="4" spans="1:17" x14ac:dyDescent="0.45">
      <c r="A4" s="19">
        <v>46016.588194444441</v>
      </c>
      <c r="B4" t="s">
        <v>78</v>
      </c>
      <c r="C4" t="s">
        <v>79</v>
      </c>
      <c r="D4" t="s">
        <v>74</v>
      </c>
      <c r="E4" t="s">
        <v>75</v>
      </c>
      <c r="F4" t="s">
        <v>100</v>
      </c>
      <c r="G4" t="s">
        <v>111</v>
      </c>
      <c r="H4" t="s">
        <v>106</v>
      </c>
      <c r="I4">
        <v>6</v>
      </c>
      <c r="J4">
        <v>5</v>
      </c>
      <c r="K4">
        <v>4</v>
      </c>
      <c r="L4">
        <v>5</v>
      </c>
      <c r="M4">
        <v>4</v>
      </c>
      <c r="N4">
        <v>4</v>
      </c>
      <c r="O4">
        <v>4</v>
      </c>
      <c r="P4">
        <v>10</v>
      </c>
      <c r="Q4">
        <v>4</v>
      </c>
    </row>
    <row r="5" spans="1:17" x14ac:dyDescent="0.45">
      <c r="A5" s="19">
        <v>46016.588194444441</v>
      </c>
      <c r="B5" t="s">
        <v>72</v>
      </c>
      <c r="C5" t="s">
        <v>189</v>
      </c>
      <c r="D5" t="s">
        <v>74</v>
      </c>
      <c r="E5" t="s">
        <v>77</v>
      </c>
      <c r="F5" t="s">
        <v>100</v>
      </c>
      <c r="G5" t="s">
        <v>194</v>
      </c>
      <c r="H5" t="s">
        <v>110</v>
      </c>
      <c r="I5">
        <v>10</v>
      </c>
      <c r="J5">
        <v>10</v>
      </c>
      <c r="K5">
        <v>8</v>
      </c>
      <c r="L5">
        <v>9</v>
      </c>
      <c r="M5">
        <v>9</v>
      </c>
      <c r="N5">
        <v>7</v>
      </c>
      <c r="O5">
        <v>10</v>
      </c>
      <c r="P5">
        <v>7</v>
      </c>
      <c r="Q5">
        <v>10</v>
      </c>
    </row>
    <row r="6" spans="1:17" x14ac:dyDescent="0.45">
      <c r="A6" s="19">
        <v>46016.588888888888</v>
      </c>
      <c r="B6" t="s">
        <v>72</v>
      </c>
      <c r="C6" t="s">
        <v>81</v>
      </c>
      <c r="D6" t="s">
        <v>74</v>
      </c>
      <c r="E6" t="s">
        <v>77</v>
      </c>
      <c r="F6" t="s">
        <v>100</v>
      </c>
      <c r="G6" t="s">
        <v>194</v>
      </c>
      <c r="H6" t="s">
        <v>110</v>
      </c>
      <c r="I6">
        <v>9</v>
      </c>
      <c r="J6">
        <v>9</v>
      </c>
      <c r="K6">
        <v>10</v>
      </c>
      <c r="L6">
        <v>9</v>
      </c>
      <c r="M6">
        <v>9</v>
      </c>
      <c r="N6">
        <v>9</v>
      </c>
      <c r="O6">
        <v>9</v>
      </c>
      <c r="P6">
        <v>9</v>
      </c>
      <c r="Q6">
        <v>9</v>
      </c>
    </row>
    <row r="7" spans="1:17" x14ac:dyDescent="0.45">
      <c r="A7" s="19">
        <v>46016.595138888886</v>
      </c>
      <c r="B7" t="s">
        <v>72</v>
      </c>
      <c r="C7" t="s">
        <v>73</v>
      </c>
      <c r="D7" t="s">
        <v>74</v>
      </c>
      <c r="E7" t="s">
        <v>75</v>
      </c>
      <c r="F7" t="s">
        <v>100</v>
      </c>
      <c r="G7" t="s">
        <v>107</v>
      </c>
      <c r="H7" t="s">
        <v>195</v>
      </c>
      <c r="I7">
        <v>8</v>
      </c>
      <c r="J7">
        <v>8</v>
      </c>
      <c r="K7">
        <v>5</v>
      </c>
      <c r="L7">
        <v>8</v>
      </c>
      <c r="M7">
        <v>6</v>
      </c>
      <c r="N7">
        <v>6</v>
      </c>
      <c r="O7">
        <v>4</v>
      </c>
      <c r="P7">
        <v>5</v>
      </c>
      <c r="Q7">
        <v>6</v>
      </c>
    </row>
    <row r="8" spans="1:17" x14ac:dyDescent="0.45">
      <c r="A8" s="19">
        <v>46016.59652777778</v>
      </c>
      <c r="B8" t="s">
        <v>72</v>
      </c>
      <c r="C8" t="s">
        <v>73</v>
      </c>
      <c r="D8" t="s">
        <v>74</v>
      </c>
      <c r="E8" t="s">
        <v>77</v>
      </c>
      <c r="F8" t="s">
        <v>100</v>
      </c>
      <c r="G8" t="s">
        <v>196</v>
      </c>
      <c r="H8" t="s">
        <v>105</v>
      </c>
      <c r="I8">
        <v>5</v>
      </c>
      <c r="J8">
        <v>4</v>
      </c>
      <c r="K8">
        <v>4</v>
      </c>
      <c r="L8">
        <v>6</v>
      </c>
      <c r="M8">
        <v>6</v>
      </c>
      <c r="N8">
        <v>7</v>
      </c>
      <c r="O8">
        <v>2</v>
      </c>
      <c r="P8">
        <v>4</v>
      </c>
      <c r="Q8">
        <v>4</v>
      </c>
    </row>
    <row r="9" spans="1:17" x14ac:dyDescent="0.45">
      <c r="A9" s="19">
        <v>46016.602777777778</v>
      </c>
      <c r="B9" t="s">
        <v>78</v>
      </c>
      <c r="C9" t="s">
        <v>79</v>
      </c>
      <c r="D9" t="s">
        <v>74</v>
      </c>
      <c r="E9" t="s">
        <v>75</v>
      </c>
      <c r="F9" t="s">
        <v>100</v>
      </c>
      <c r="G9" t="s">
        <v>194</v>
      </c>
      <c r="H9" t="s">
        <v>105</v>
      </c>
      <c r="I9">
        <v>1</v>
      </c>
      <c r="J9">
        <v>1</v>
      </c>
      <c r="K9">
        <v>2</v>
      </c>
      <c r="L9">
        <v>3</v>
      </c>
      <c r="M9">
        <v>6</v>
      </c>
      <c r="N9">
        <v>2</v>
      </c>
      <c r="O9">
        <v>7</v>
      </c>
      <c r="P9">
        <v>3</v>
      </c>
      <c r="Q9">
        <v>3</v>
      </c>
    </row>
    <row r="10" spans="1:17" x14ac:dyDescent="0.45">
      <c r="A10" s="19">
        <v>46016.649305555555</v>
      </c>
      <c r="B10" t="s">
        <v>72</v>
      </c>
      <c r="C10" t="s">
        <v>81</v>
      </c>
      <c r="D10" t="s">
        <v>80</v>
      </c>
      <c r="E10" t="s">
        <v>77</v>
      </c>
      <c r="F10" t="s">
        <v>103</v>
      </c>
      <c r="G10" t="s">
        <v>104</v>
      </c>
      <c r="H10" t="s">
        <v>102</v>
      </c>
      <c r="I10">
        <v>10</v>
      </c>
      <c r="J10">
        <v>10</v>
      </c>
      <c r="K10">
        <v>8</v>
      </c>
      <c r="L10">
        <v>7</v>
      </c>
      <c r="M10">
        <v>7</v>
      </c>
      <c r="N10">
        <v>5</v>
      </c>
      <c r="O10">
        <v>5</v>
      </c>
      <c r="P10">
        <v>9</v>
      </c>
      <c r="Q10">
        <v>8</v>
      </c>
    </row>
    <row r="11" spans="1:17" x14ac:dyDescent="0.45">
      <c r="A11" s="19">
        <v>46016.660416666666</v>
      </c>
      <c r="B11" t="s">
        <v>72</v>
      </c>
      <c r="C11" t="s">
        <v>81</v>
      </c>
      <c r="D11" t="s">
        <v>74</v>
      </c>
      <c r="E11" t="s">
        <v>77</v>
      </c>
      <c r="F11" t="s">
        <v>100</v>
      </c>
      <c r="G11" t="s">
        <v>196</v>
      </c>
      <c r="H11" t="s">
        <v>110</v>
      </c>
      <c r="I11">
        <v>7</v>
      </c>
      <c r="J11">
        <v>10</v>
      </c>
      <c r="K11">
        <v>1</v>
      </c>
      <c r="L11">
        <v>5</v>
      </c>
      <c r="M11">
        <v>8</v>
      </c>
      <c r="N11">
        <v>5</v>
      </c>
      <c r="O11">
        <v>5</v>
      </c>
      <c r="P11">
        <v>5</v>
      </c>
      <c r="Q11">
        <v>10</v>
      </c>
    </row>
    <row r="12" spans="1:17" x14ac:dyDescent="0.45">
      <c r="A12" s="19">
        <v>46016.661111111112</v>
      </c>
      <c r="B12" t="s">
        <v>78</v>
      </c>
      <c r="C12" t="s">
        <v>73</v>
      </c>
      <c r="D12" t="s">
        <v>74</v>
      </c>
      <c r="E12" t="s">
        <v>75</v>
      </c>
      <c r="F12" t="s">
        <v>103</v>
      </c>
      <c r="G12" t="s">
        <v>109</v>
      </c>
      <c r="H12" t="s">
        <v>195</v>
      </c>
      <c r="I12">
        <v>10</v>
      </c>
      <c r="J12">
        <v>3</v>
      </c>
      <c r="K12">
        <v>1</v>
      </c>
      <c r="L12">
        <v>7</v>
      </c>
      <c r="M12">
        <v>1</v>
      </c>
      <c r="N12">
        <v>5</v>
      </c>
      <c r="O12">
        <v>1</v>
      </c>
      <c r="P12">
        <v>8</v>
      </c>
      <c r="Q12">
        <v>6</v>
      </c>
    </row>
    <row r="13" spans="1:17" x14ac:dyDescent="0.45">
      <c r="A13" s="19">
        <v>46016.709027777775</v>
      </c>
      <c r="B13" t="s">
        <v>72</v>
      </c>
      <c r="C13" t="s">
        <v>189</v>
      </c>
      <c r="D13" t="s">
        <v>74</v>
      </c>
      <c r="E13" t="s">
        <v>77</v>
      </c>
      <c r="F13" t="s">
        <v>100</v>
      </c>
      <c r="G13" t="s">
        <v>194</v>
      </c>
      <c r="H13" t="s">
        <v>110</v>
      </c>
      <c r="I13">
        <v>5</v>
      </c>
      <c r="J13">
        <v>8</v>
      </c>
      <c r="K13">
        <v>5</v>
      </c>
      <c r="L13">
        <v>5</v>
      </c>
      <c r="M13">
        <v>6</v>
      </c>
      <c r="N13">
        <v>5</v>
      </c>
      <c r="O13">
        <v>5</v>
      </c>
      <c r="P13">
        <v>5</v>
      </c>
      <c r="Q13">
        <v>5</v>
      </c>
    </row>
    <row r="14" spans="1:17" x14ac:dyDescent="0.45">
      <c r="A14" s="19">
        <v>46016.745833333334</v>
      </c>
      <c r="B14" t="s">
        <v>72</v>
      </c>
      <c r="C14" t="s">
        <v>189</v>
      </c>
      <c r="D14" t="s">
        <v>74</v>
      </c>
      <c r="E14" t="s">
        <v>77</v>
      </c>
      <c r="F14" t="s">
        <v>100</v>
      </c>
      <c r="G14" t="s">
        <v>194</v>
      </c>
      <c r="H14" t="s">
        <v>110</v>
      </c>
      <c r="I14">
        <v>8</v>
      </c>
      <c r="J14">
        <v>7</v>
      </c>
      <c r="K14">
        <v>7</v>
      </c>
      <c r="L14">
        <v>7</v>
      </c>
      <c r="M14">
        <v>7</v>
      </c>
      <c r="N14">
        <v>8</v>
      </c>
      <c r="O14">
        <v>7</v>
      </c>
      <c r="P14">
        <v>7</v>
      </c>
      <c r="Q14">
        <v>7</v>
      </c>
    </row>
    <row r="15" spans="1:17" x14ac:dyDescent="0.45">
      <c r="A15" s="19">
        <v>46016.844444444447</v>
      </c>
      <c r="B15" t="s">
        <v>72</v>
      </c>
      <c r="C15" t="s">
        <v>73</v>
      </c>
      <c r="D15" t="s">
        <v>74</v>
      </c>
      <c r="E15" t="s">
        <v>75</v>
      </c>
      <c r="F15" t="s">
        <v>100</v>
      </c>
      <c r="G15" t="s">
        <v>196</v>
      </c>
      <c r="H15" t="s">
        <v>110</v>
      </c>
      <c r="I15">
        <v>10</v>
      </c>
      <c r="J15">
        <v>10</v>
      </c>
      <c r="K15">
        <v>8</v>
      </c>
      <c r="L15">
        <v>8</v>
      </c>
      <c r="M15">
        <v>8</v>
      </c>
      <c r="N15">
        <v>6</v>
      </c>
      <c r="O15">
        <v>6</v>
      </c>
      <c r="P15">
        <v>5</v>
      </c>
      <c r="Q15">
        <v>5</v>
      </c>
    </row>
    <row r="16" spans="1:17" x14ac:dyDescent="0.45">
      <c r="A16" s="19">
        <v>46016.84652777778</v>
      </c>
      <c r="B16" t="s">
        <v>78</v>
      </c>
      <c r="C16" t="s">
        <v>73</v>
      </c>
      <c r="D16" t="s">
        <v>74</v>
      </c>
      <c r="E16" t="s">
        <v>75</v>
      </c>
      <c r="F16" t="s">
        <v>100</v>
      </c>
      <c r="G16" t="s">
        <v>109</v>
      </c>
      <c r="H16" t="s">
        <v>105</v>
      </c>
      <c r="I16">
        <v>7</v>
      </c>
      <c r="J16">
        <v>9</v>
      </c>
      <c r="K16">
        <v>3</v>
      </c>
      <c r="L16">
        <v>6</v>
      </c>
      <c r="M16">
        <v>1</v>
      </c>
      <c r="N16">
        <v>1</v>
      </c>
      <c r="O16">
        <v>1</v>
      </c>
      <c r="P16">
        <v>1</v>
      </c>
      <c r="Q16">
        <v>1</v>
      </c>
    </row>
    <row r="17" spans="1:17" x14ac:dyDescent="0.45">
      <c r="A17" s="19">
        <v>46016.881249999999</v>
      </c>
      <c r="B17" t="s">
        <v>78</v>
      </c>
      <c r="C17" t="s">
        <v>79</v>
      </c>
      <c r="D17" t="s">
        <v>74</v>
      </c>
      <c r="E17" t="s">
        <v>75</v>
      </c>
      <c r="F17" t="s">
        <v>100</v>
      </c>
      <c r="G17" t="s">
        <v>107</v>
      </c>
      <c r="H17" t="s">
        <v>195</v>
      </c>
      <c r="I17">
        <v>8</v>
      </c>
      <c r="J17">
        <v>8</v>
      </c>
      <c r="K17">
        <v>8</v>
      </c>
      <c r="L17">
        <v>9</v>
      </c>
      <c r="M17">
        <v>7</v>
      </c>
      <c r="N17">
        <v>7</v>
      </c>
      <c r="O17">
        <v>9</v>
      </c>
      <c r="P17">
        <v>8</v>
      </c>
      <c r="Q17">
        <v>7</v>
      </c>
    </row>
    <row r="18" spans="1:17" x14ac:dyDescent="0.45">
      <c r="A18" s="19">
        <v>46016.885416666664</v>
      </c>
      <c r="B18" t="s">
        <v>72</v>
      </c>
      <c r="C18" t="s">
        <v>81</v>
      </c>
      <c r="D18" t="s">
        <v>74</v>
      </c>
      <c r="E18" t="s">
        <v>77</v>
      </c>
      <c r="F18" t="s">
        <v>100</v>
      </c>
      <c r="G18" t="s">
        <v>196</v>
      </c>
      <c r="H18" t="s">
        <v>105</v>
      </c>
      <c r="I18">
        <v>6</v>
      </c>
      <c r="J18">
        <v>7</v>
      </c>
      <c r="K18">
        <v>5</v>
      </c>
      <c r="L18">
        <v>5</v>
      </c>
      <c r="M18">
        <v>6</v>
      </c>
      <c r="N18">
        <v>7</v>
      </c>
      <c r="O18">
        <v>3</v>
      </c>
      <c r="P18">
        <v>4</v>
      </c>
      <c r="Q18">
        <v>5</v>
      </c>
    </row>
    <row r="19" spans="1:17" x14ac:dyDescent="0.45">
      <c r="A19" s="19">
        <v>46016.907638888886</v>
      </c>
      <c r="B19" t="s">
        <v>78</v>
      </c>
      <c r="C19" t="s">
        <v>79</v>
      </c>
      <c r="D19" t="s">
        <v>74</v>
      </c>
      <c r="E19" t="s">
        <v>77</v>
      </c>
      <c r="F19" t="s">
        <v>103</v>
      </c>
      <c r="G19" t="s">
        <v>104</v>
      </c>
      <c r="H19" t="s">
        <v>110</v>
      </c>
      <c r="I19">
        <v>6</v>
      </c>
      <c r="J19">
        <v>8</v>
      </c>
      <c r="K19">
        <v>7</v>
      </c>
      <c r="L19">
        <v>8</v>
      </c>
      <c r="M19">
        <v>8</v>
      </c>
      <c r="N19">
        <v>7</v>
      </c>
      <c r="O19">
        <v>7</v>
      </c>
      <c r="P19">
        <v>6</v>
      </c>
      <c r="Q19">
        <v>8</v>
      </c>
    </row>
    <row r="20" spans="1:17" x14ac:dyDescent="0.45">
      <c r="A20" s="19">
        <v>46016.910416666666</v>
      </c>
      <c r="B20" t="s">
        <v>78</v>
      </c>
      <c r="C20" t="s">
        <v>79</v>
      </c>
      <c r="D20" t="s">
        <v>74</v>
      </c>
      <c r="E20" t="s">
        <v>77</v>
      </c>
      <c r="F20" t="s">
        <v>100</v>
      </c>
      <c r="G20" t="s">
        <v>108</v>
      </c>
      <c r="H20" t="s">
        <v>195</v>
      </c>
      <c r="I20">
        <v>10</v>
      </c>
      <c r="J20">
        <v>10</v>
      </c>
      <c r="K20">
        <v>5</v>
      </c>
      <c r="L20">
        <v>5</v>
      </c>
      <c r="M20">
        <v>5</v>
      </c>
      <c r="N20">
        <v>3</v>
      </c>
      <c r="O20">
        <v>2</v>
      </c>
      <c r="P20">
        <v>5</v>
      </c>
      <c r="Q20">
        <v>8</v>
      </c>
    </row>
    <row r="21" spans="1:17" x14ac:dyDescent="0.45">
      <c r="A21" s="19">
        <v>46017.081250000003</v>
      </c>
      <c r="B21" t="s">
        <v>78</v>
      </c>
      <c r="C21" t="s">
        <v>73</v>
      </c>
      <c r="D21" t="s">
        <v>74</v>
      </c>
      <c r="E21" t="s">
        <v>75</v>
      </c>
      <c r="F21" t="s">
        <v>100</v>
      </c>
      <c r="G21" t="s">
        <v>111</v>
      </c>
      <c r="H21" t="s">
        <v>105</v>
      </c>
      <c r="I21">
        <v>9</v>
      </c>
      <c r="J21">
        <v>9</v>
      </c>
      <c r="K21">
        <v>7</v>
      </c>
      <c r="L21">
        <v>9</v>
      </c>
      <c r="M21">
        <v>7</v>
      </c>
      <c r="N21">
        <v>8</v>
      </c>
      <c r="O21">
        <v>5</v>
      </c>
      <c r="P21">
        <v>5</v>
      </c>
      <c r="Q21">
        <v>6</v>
      </c>
    </row>
    <row r="22" spans="1:17" x14ac:dyDescent="0.45">
      <c r="A22" s="19">
        <v>46017.3125</v>
      </c>
      <c r="B22" t="s">
        <v>72</v>
      </c>
      <c r="C22" t="s">
        <v>79</v>
      </c>
      <c r="D22" t="s">
        <v>74</v>
      </c>
      <c r="E22" t="s">
        <v>77</v>
      </c>
      <c r="F22" t="s">
        <v>100</v>
      </c>
      <c r="G22" t="s">
        <v>108</v>
      </c>
      <c r="H22" t="s">
        <v>106</v>
      </c>
      <c r="I22">
        <v>10</v>
      </c>
      <c r="J22">
        <v>10</v>
      </c>
      <c r="K22">
        <v>8</v>
      </c>
      <c r="L22">
        <v>7</v>
      </c>
      <c r="M22">
        <v>7</v>
      </c>
      <c r="N22">
        <v>7</v>
      </c>
      <c r="O22">
        <v>2</v>
      </c>
      <c r="P22">
        <v>3</v>
      </c>
      <c r="Q22">
        <v>3</v>
      </c>
    </row>
    <row r="23" spans="1:17" x14ac:dyDescent="0.45">
      <c r="A23" s="19">
        <v>46017.362500000003</v>
      </c>
      <c r="B23" t="s">
        <v>72</v>
      </c>
      <c r="C23" t="s">
        <v>189</v>
      </c>
      <c r="D23" t="s">
        <v>74</v>
      </c>
      <c r="E23" t="s">
        <v>77</v>
      </c>
      <c r="F23" t="s">
        <v>100</v>
      </c>
      <c r="G23" t="s">
        <v>104</v>
      </c>
      <c r="H23" t="s">
        <v>110</v>
      </c>
      <c r="I23">
        <v>8</v>
      </c>
      <c r="J23">
        <v>8</v>
      </c>
      <c r="K23">
        <v>5</v>
      </c>
      <c r="L23">
        <v>8</v>
      </c>
      <c r="M23">
        <v>8</v>
      </c>
      <c r="N23">
        <v>8</v>
      </c>
      <c r="O23">
        <v>8</v>
      </c>
      <c r="P23">
        <v>8</v>
      </c>
      <c r="Q23">
        <v>8</v>
      </c>
    </row>
    <row r="24" spans="1:17" x14ac:dyDescent="0.45">
      <c r="A24" s="19">
        <v>46017.4</v>
      </c>
      <c r="B24" t="s">
        <v>72</v>
      </c>
      <c r="C24" t="s">
        <v>79</v>
      </c>
      <c r="D24" t="s">
        <v>74</v>
      </c>
      <c r="E24" t="s">
        <v>75</v>
      </c>
      <c r="F24" t="s">
        <v>100</v>
      </c>
      <c r="G24" t="s">
        <v>107</v>
      </c>
      <c r="H24" t="s">
        <v>106</v>
      </c>
      <c r="I24">
        <v>5</v>
      </c>
      <c r="J24">
        <v>5</v>
      </c>
      <c r="K24">
        <v>5</v>
      </c>
      <c r="L24">
        <v>5</v>
      </c>
      <c r="M24">
        <v>5</v>
      </c>
      <c r="N24">
        <v>5</v>
      </c>
      <c r="O24">
        <v>5</v>
      </c>
      <c r="P24">
        <v>5</v>
      </c>
      <c r="Q24">
        <v>5</v>
      </c>
    </row>
    <row r="25" spans="1:17" x14ac:dyDescent="0.45">
      <c r="A25" s="19">
        <v>46017.484027777777</v>
      </c>
      <c r="B25" t="s">
        <v>72</v>
      </c>
      <c r="C25" t="s">
        <v>73</v>
      </c>
      <c r="D25" t="s">
        <v>80</v>
      </c>
      <c r="E25" t="s">
        <v>77</v>
      </c>
      <c r="F25" t="s">
        <v>100</v>
      </c>
      <c r="G25" t="s">
        <v>101</v>
      </c>
      <c r="H25" t="s">
        <v>105</v>
      </c>
      <c r="I25">
        <v>9</v>
      </c>
      <c r="J25">
        <v>8</v>
      </c>
      <c r="K25">
        <v>6</v>
      </c>
      <c r="L25">
        <v>9</v>
      </c>
      <c r="M25">
        <v>8</v>
      </c>
      <c r="N25">
        <v>10</v>
      </c>
      <c r="O25">
        <v>6</v>
      </c>
      <c r="P25">
        <v>6</v>
      </c>
      <c r="Q25">
        <v>8</v>
      </c>
    </row>
    <row r="26" spans="1:17" x14ac:dyDescent="0.45">
      <c r="A26" s="19">
        <v>46017.486111111109</v>
      </c>
      <c r="B26" t="s">
        <v>78</v>
      </c>
      <c r="C26" t="s">
        <v>73</v>
      </c>
      <c r="D26" t="s">
        <v>74</v>
      </c>
      <c r="E26" t="s">
        <v>75</v>
      </c>
      <c r="F26" t="s">
        <v>100</v>
      </c>
      <c r="G26" t="s">
        <v>109</v>
      </c>
      <c r="H26" t="s">
        <v>102</v>
      </c>
      <c r="I26">
        <v>6</v>
      </c>
      <c r="J26">
        <v>7</v>
      </c>
      <c r="K26">
        <v>5</v>
      </c>
      <c r="L26">
        <v>6</v>
      </c>
      <c r="M26">
        <v>7</v>
      </c>
      <c r="N26">
        <v>7</v>
      </c>
      <c r="O26">
        <v>3</v>
      </c>
      <c r="P26">
        <v>3</v>
      </c>
      <c r="Q26">
        <v>5</v>
      </c>
    </row>
    <row r="27" spans="1:17" x14ac:dyDescent="0.45">
      <c r="A27" s="19">
        <v>46017.489583333336</v>
      </c>
      <c r="B27" t="s">
        <v>78</v>
      </c>
      <c r="C27" t="s">
        <v>73</v>
      </c>
      <c r="D27" t="s">
        <v>74</v>
      </c>
      <c r="E27" t="s">
        <v>75</v>
      </c>
      <c r="F27" t="s">
        <v>100</v>
      </c>
      <c r="G27" t="s">
        <v>194</v>
      </c>
      <c r="H27" t="s">
        <v>195</v>
      </c>
      <c r="I27">
        <v>10</v>
      </c>
      <c r="J27">
        <v>10</v>
      </c>
      <c r="K27">
        <v>10</v>
      </c>
      <c r="L27">
        <v>6</v>
      </c>
      <c r="M27">
        <v>6</v>
      </c>
      <c r="N27">
        <v>10</v>
      </c>
      <c r="O27">
        <v>1</v>
      </c>
      <c r="P27">
        <v>4</v>
      </c>
      <c r="Q27">
        <v>10</v>
      </c>
    </row>
    <row r="28" spans="1:17" x14ac:dyDescent="0.45">
      <c r="A28" s="19">
        <v>46017.504166666666</v>
      </c>
      <c r="B28" t="s">
        <v>78</v>
      </c>
      <c r="C28" t="s">
        <v>189</v>
      </c>
      <c r="D28" t="s">
        <v>74</v>
      </c>
      <c r="E28" t="s">
        <v>77</v>
      </c>
      <c r="F28" t="s">
        <v>100</v>
      </c>
      <c r="G28" t="s">
        <v>194</v>
      </c>
      <c r="H28" t="s">
        <v>110</v>
      </c>
      <c r="I28">
        <v>1</v>
      </c>
      <c r="J28">
        <v>1</v>
      </c>
      <c r="K28">
        <v>1</v>
      </c>
      <c r="L28">
        <v>1</v>
      </c>
      <c r="M28">
        <v>1</v>
      </c>
      <c r="N28">
        <v>1</v>
      </c>
      <c r="O28">
        <v>1</v>
      </c>
      <c r="P28">
        <v>1</v>
      </c>
      <c r="Q28">
        <v>1</v>
      </c>
    </row>
    <row r="29" spans="1:17" x14ac:dyDescent="0.45">
      <c r="A29" s="19">
        <v>46017.504166666666</v>
      </c>
      <c r="B29" t="s">
        <v>78</v>
      </c>
      <c r="C29" t="s">
        <v>81</v>
      </c>
      <c r="D29" t="s">
        <v>74</v>
      </c>
      <c r="E29" t="s">
        <v>77</v>
      </c>
      <c r="F29" t="s">
        <v>100</v>
      </c>
      <c r="G29" t="s">
        <v>104</v>
      </c>
      <c r="H29" t="s">
        <v>110</v>
      </c>
      <c r="I29">
        <v>1</v>
      </c>
      <c r="J29">
        <v>1</v>
      </c>
      <c r="K29">
        <v>1</v>
      </c>
      <c r="L29">
        <v>1</v>
      </c>
      <c r="M29">
        <v>1</v>
      </c>
      <c r="N29">
        <v>1</v>
      </c>
      <c r="O29">
        <v>1</v>
      </c>
      <c r="P29">
        <v>1</v>
      </c>
      <c r="Q29">
        <v>1</v>
      </c>
    </row>
    <row r="30" spans="1:17" x14ac:dyDescent="0.45">
      <c r="A30" s="19">
        <v>46017.504861111112</v>
      </c>
      <c r="B30" t="s">
        <v>72</v>
      </c>
      <c r="C30" t="s">
        <v>189</v>
      </c>
      <c r="D30" t="s">
        <v>74</v>
      </c>
      <c r="E30" t="s">
        <v>77</v>
      </c>
      <c r="F30" t="s">
        <v>100</v>
      </c>
      <c r="G30" t="s">
        <v>104</v>
      </c>
      <c r="H30" t="s">
        <v>110</v>
      </c>
      <c r="I30">
        <v>10</v>
      </c>
      <c r="J30">
        <v>10</v>
      </c>
      <c r="K30">
        <v>9</v>
      </c>
      <c r="L30">
        <v>10</v>
      </c>
      <c r="M30">
        <v>10</v>
      </c>
      <c r="N30">
        <v>9</v>
      </c>
      <c r="O30">
        <v>10</v>
      </c>
      <c r="P30">
        <v>10</v>
      </c>
      <c r="Q30">
        <v>10</v>
      </c>
    </row>
    <row r="31" spans="1:17" x14ac:dyDescent="0.45">
      <c r="A31" s="19">
        <v>46017.504861111112</v>
      </c>
      <c r="B31" t="s">
        <v>72</v>
      </c>
      <c r="C31" t="s">
        <v>189</v>
      </c>
      <c r="D31" t="s">
        <v>74</v>
      </c>
      <c r="E31" t="s">
        <v>77</v>
      </c>
      <c r="F31" t="s">
        <v>100</v>
      </c>
      <c r="G31" t="s">
        <v>104</v>
      </c>
      <c r="H31" t="s">
        <v>110</v>
      </c>
      <c r="I31">
        <v>10</v>
      </c>
      <c r="J31">
        <v>10</v>
      </c>
      <c r="K31">
        <v>9</v>
      </c>
      <c r="L31">
        <v>10</v>
      </c>
      <c r="M31">
        <v>10</v>
      </c>
      <c r="N31">
        <v>10</v>
      </c>
      <c r="O31">
        <v>10</v>
      </c>
      <c r="P31">
        <v>10</v>
      </c>
      <c r="Q31">
        <v>10</v>
      </c>
    </row>
    <row r="32" spans="1:17" x14ac:dyDescent="0.45">
      <c r="A32" s="19">
        <v>46017.504861111112</v>
      </c>
      <c r="B32" t="s">
        <v>72</v>
      </c>
      <c r="C32" t="s">
        <v>81</v>
      </c>
      <c r="D32" t="s">
        <v>74</v>
      </c>
      <c r="E32" t="s">
        <v>77</v>
      </c>
      <c r="F32" t="s">
        <v>100</v>
      </c>
      <c r="G32" t="s">
        <v>101</v>
      </c>
      <c r="H32" t="s">
        <v>110</v>
      </c>
      <c r="I32">
        <v>10</v>
      </c>
      <c r="J32">
        <v>7</v>
      </c>
      <c r="K32">
        <v>10</v>
      </c>
      <c r="L32">
        <v>7</v>
      </c>
      <c r="M32">
        <v>10</v>
      </c>
      <c r="N32">
        <v>10</v>
      </c>
      <c r="O32">
        <v>3</v>
      </c>
      <c r="P32">
        <v>5</v>
      </c>
      <c r="Q32">
        <v>8</v>
      </c>
    </row>
    <row r="33" spans="1:17" x14ac:dyDescent="0.45">
      <c r="A33" s="19">
        <v>46017.505555555559</v>
      </c>
      <c r="B33" t="s">
        <v>72</v>
      </c>
      <c r="C33" t="s">
        <v>189</v>
      </c>
      <c r="D33" t="s">
        <v>74</v>
      </c>
      <c r="E33" t="s">
        <v>77</v>
      </c>
      <c r="F33" t="s">
        <v>100</v>
      </c>
      <c r="G33" t="s">
        <v>101</v>
      </c>
      <c r="H33" t="s">
        <v>110</v>
      </c>
      <c r="I33">
        <v>5</v>
      </c>
      <c r="J33">
        <v>5</v>
      </c>
      <c r="K33">
        <v>5</v>
      </c>
      <c r="L33">
        <v>5</v>
      </c>
      <c r="M33">
        <v>5</v>
      </c>
      <c r="N33">
        <v>5</v>
      </c>
      <c r="O33">
        <v>5</v>
      </c>
      <c r="P33">
        <v>5</v>
      </c>
      <c r="Q33">
        <v>5</v>
      </c>
    </row>
    <row r="34" spans="1:17" x14ac:dyDescent="0.45">
      <c r="A34" s="19">
        <v>46017.505555555559</v>
      </c>
      <c r="B34" t="s">
        <v>72</v>
      </c>
      <c r="C34" t="s">
        <v>81</v>
      </c>
      <c r="D34" t="s">
        <v>74</v>
      </c>
      <c r="E34" t="s">
        <v>77</v>
      </c>
      <c r="F34" t="s">
        <v>100</v>
      </c>
      <c r="G34" t="s">
        <v>101</v>
      </c>
      <c r="H34" t="s">
        <v>110</v>
      </c>
      <c r="I34">
        <v>8</v>
      </c>
      <c r="J34">
        <v>9</v>
      </c>
      <c r="K34">
        <v>7</v>
      </c>
      <c r="L34">
        <v>8</v>
      </c>
      <c r="M34">
        <v>8</v>
      </c>
      <c r="N34">
        <v>8</v>
      </c>
      <c r="O34">
        <v>3</v>
      </c>
      <c r="P34">
        <v>6</v>
      </c>
      <c r="Q34">
        <v>7</v>
      </c>
    </row>
    <row r="35" spans="1:17" x14ac:dyDescent="0.45">
      <c r="A35" s="19">
        <v>46017.505555555559</v>
      </c>
      <c r="B35" t="s">
        <v>78</v>
      </c>
      <c r="C35" t="s">
        <v>81</v>
      </c>
      <c r="D35" t="s">
        <v>74</v>
      </c>
      <c r="E35" t="s">
        <v>77</v>
      </c>
      <c r="F35" t="s">
        <v>100</v>
      </c>
      <c r="G35" t="s">
        <v>104</v>
      </c>
      <c r="H35" t="s">
        <v>102</v>
      </c>
      <c r="I35">
        <v>10</v>
      </c>
      <c r="J35">
        <v>10</v>
      </c>
      <c r="K35">
        <v>10</v>
      </c>
      <c r="L35">
        <v>10</v>
      </c>
      <c r="M35">
        <v>10</v>
      </c>
      <c r="N35">
        <v>10</v>
      </c>
      <c r="O35">
        <v>10</v>
      </c>
      <c r="P35">
        <v>10</v>
      </c>
      <c r="Q35">
        <v>10</v>
      </c>
    </row>
    <row r="36" spans="1:17" x14ac:dyDescent="0.45">
      <c r="A36" s="19">
        <v>46017.509722222225</v>
      </c>
      <c r="B36" t="s">
        <v>72</v>
      </c>
      <c r="C36" t="s">
        <v>73</v>
      </c>
      <c r="D36" t="s">
        <v>74</v>
      </c>
      <c r="E36" t="s">
        <v>190</v>
      </c>
      <c r="F36" t="s">
        <v>100</v>
      </c>
      <c r="G36" t="s">
        <v>104</v>
      </c>
      <c r="H36" t="s">
        <v>106</v>
      </c>
      <c r="I36">
        <v>10</v>
      </c>
      <c r="J36">
        <v>10</v>
      </c>
      <c r="K36">
        <v>10</v>
      </c>
      <c r="L36">
        <v>10</v>
      </c>
      <c r="M36">
        <v>10</v>
      </c>
      <c r="N36">
        <v>10</v>
      </c>
      <c r="O36">
        <v>10</v>
      </c>
      <c r="P36">
        <v>10</v>
      </c>
      <c r="Q36">
        <v>10</v>
      </c>
    </row>
    <row r="37" spans="1:17" x14ac:dyDescent="0.45">
      <c r="A37" s="19">
        <v>46017.510416666664</v>
      </c>
      <c r="B37" t="s">
        <v>72</v>
      </c>
      <c r="C37" t="s">
        <v>189</v>
      </c>
      <c r="D37" t="s">
        <v>74</v>
      </c>
      <c r="E37" t="s">
        <v>77</v>
      </c>
      <c r="F37" t="s">
        <v>100</v>
      </c>
      <c r="G37" t="s">
        <v>104</v>
      </c>
      <c r="H37" t="s">
        <v>110</v>
      </c>
      <c r="I37">
        <v>10</v>
      </c>
      <c r="J37">
        <v>9</v>
      </c>
      <c r="K37">
        <v>10</v>
      </c>
      <c r="L37">
        <v>8</v>
      </c>
      <c r="M37">
        <v>10</v>
      </c>
      <c r="N37">
        <v>9</v>
      </c>
      <c r="O37">
        <v>10</v>
      </c>
      <c r="P37">
        <v>10</v>
      </c>
      <c r="Q37">
        <v>10</v>
      </c>
    </row>
    <row r="38" spans="1:17" x14ac:dyDescent="0.45">
      <c r="A38" s="19">
        <v>46017.511111111111</v>
      </c>
      <c r="B38" t="s">
        <v>78</v>
      </c>
      <c r="C38" t="s">
        <v>189</v>
      </c>
      <c r="D38" t="s">
        <v>74</v>
      </c>
      <c r="E38" t="s">
        <v>77</v>
      </c>
      <c r="F38" t="s">
        <v>100</v>
      </c>
      <c r="G38" t="s">
        <v>104</v>
      </c>
      <c r="H38" t="s">
        <v>110</v>
      </c>
      <c r="I38">
        <v>10</v>
      </c>
      <c r="J38">
        <v>10</v>
      </c>
      <c r="K38">
        <v>10</v>
      </c>
      <c r="L38">
        <v>10</v>
      </c>
      <c r="M38">
        <v>9</v>
      </c>
      <c r="N38">
        <v>9</v>
      </c>
      <c r="O38">
        <v>9</v>
      </c>
      <c r="P38">
        <v>9</v>
      </c>
      <c r="Q38">
        <v>8</v>
      </c>
    </row>
    <row r="39" spans="1:17" x14ac:dyDescent="0.45">
      <c r="A39" s="19">
        <v>46017.511111111111</v>
      </c>
      <c r="B39" t="s">
        <v>72</v>
      </c>
      <c r="C39" t="s">
        <v>73</v>
      </c>
      <c r="D39" t="s">
        <v>74</v>
      </c>
      <c r="E39" t="s">
        <v>77</v>
      </c>
      <c r="F39" t="s">
        <v>100</v>
      </c>
      <c r="G39" t="s">
        <v>109</v>
      </c>
      <c r="H39" t="s">
        <v>102</v>
      </c>
      <c r="I39">
        <v>8</v>
      </c>
      <c r="J39">
        <v>8</v>
      </c>
      <c r="K39">
        <v>8</v>
      </c>
      <c r="L39">
        <v>8</v>
      </c>
      <c r="M39">
        <v>8</v>
      </c>
      <c r="N39">
        <v>8</v>
      </c>
      <c r="O39">
        <v>8</v>
      </c>
      <c r="P39">
        <v>8</v>
      </c>
      <c r="Q39">
        <v>8</v>
      </c>
    </row>
    <row r="40" spans="1:17" x14ac:dyDescent="0.45">
      <c r="A40" s="19">
        <v>46017.511111111111</v>
      </c>
      <c r="B40" t="s">
        <v>78</v>
      </c>
      <c r="C40" t="s">
        <v>81</v>
      </c>
      <c r="D40" t="s">
        <v>74</v>
      </c>
      <c r="E40" t="s">
        <v>77</v>
      </c>
      <c r="F40" t="s">
        <v>100</v>
      </c>
      <c r="G40" t="s">
        <v>104</v>
      </c>
      <c r="H40" t="s">
        <v>110</v>
      </c>
      <c r="I40">
        <v>10</v>
      </c>
      <c r="J40">
        <v>10</v>
      </c>
      <c r="K40">
        <v>10</v>
      </c>
      <c r="L40">
        <v>10</v>
      </c>
      <c r="M40">
        <v>10</v>
      </c>
      <c r="N40">
        <v>10</v>
      </c>
      <c r="O40">
        <v>10</v>
      </c>
      <c r="P40">
        <v>10</v>
      </c>
      <c r="Q40">
        <v>10</v>
      </c>
    </row>
    <row r="41" spans="1:17" x14ac:dyDescent="0.45">
      <c r="A41" s="19">
        <v>46017.511111111111</v>
      </c>
      <c r="B41" t="s">
        <v>78</v>
      </c>
      <c r="C41" t="s">
        <v>73</v>
      </c>
      <c r="D41" t="s">
        <v>74</v>
      </c>
      <c r="E41" t="s">
        <v>77</v>
      </c>
      <c r="F41" t="s">
        <v>100</v>
      </c>
      <c r="G41" t="s">
        <v>108</v>
      </c>
      <c r="H41" t="s">
        <v>102</v>
      </c>
      <c r="I41">
        <v>8</v>
      </c>
      <c r="J41">
        <v>8</v>
      </c>
      <c r="K41">
        <v>6</v>
      </c>
      <c r="L41">
        <v>8</v>
      </c>
      <c r="M41">
        <v>7</v>
      </c>
      <c r="N41">
        <v>8</v>
      </c>
      <c r="O41">
        <v>5</v>
      </c>
      <c r="P41">
        <v>6</v>
      </c>
      <c r="Q41">
        <v>7</v>
      </c>
    </row>
    <row r="42" spans="1:17" x14ac:dyDescent="0.45">
      <c r="A42" s="19">
        <v>46017.511805555558</v>
      </c>
      <c r="B42" t="s">
        <v>78</v>
      </c>
      <c r="C42" t="s">
        <v>73</v>
      </c>
      <c r="D42" t="s">
        <v>74</v>
      </c>
      <c r="E42" t="s">
        <v>77</v>
      </c>
      <c r="F42" t="s">
        <v>100</v>
      </c>
      <c r="G42" t="s">
        <v>107</v>
      </c>
      <c r="H42" t="s">
        <v>105</v>
      </c>
      <c r="I42">
        <v>9</v>
      </c>
      <c r="J42">
        <v>8</v>
      </c>
      <c r="K42">
        <v>7</v>
      </c>
      <c r="L42">
        <v>8</v>
      </c>
      <c r="M42">
        <v>7</v>
      </c>
      <c r="N42">
        <v>4</v>
      </c>
      <c r="O42">
        <v>2</v>
      </c>
      <c r="P42">
        <v>8</v>
      </c>
      <c r="Q42">
        <v>8</v>
      </c>
    </row>
    <row r="43" spans="1:17" x14ac:dyDescent="0.45">
      <c r="A43" s="19">
        <v>46017.513194444444</v>
      </c>
      <c r="B43" t="s">
        <v>72</v>
      </c>
      <c r="C43" t="s">
        <v>73</v>
      </c>
      <c r="D43" t="s">
        <v>74</v>
      </c>
      <c r="E43" t="s">
        <v>77</v>
      </c>
      <c r="F43" t="s">
        <v>100</v>
      </c>
      <c r="G43" t="s">
        <v>109</v>
      </c>
      <c r="H43" t="s">
        <v>106</v>
      </c>
      <c r="I43">
        <v>10</v>
      </c>
      <c r="J43">
        <v>10</v>
      </c>
      <c r="K43">
        <v>9</v>
      </c>
      <c r="L43">
        <v>8</v>
      </c>
      <c r="M43">
        <v>7</v>
      </c>
      <c r="N43">
        <v>9</v>
      </c>
      <c r="O43">
        <v>9</v>
      </c>
      <c r="P43">
        <v>8</v>
      </c>
      <c r="Q43">
        <v>8</v>
      </c>
    </row>
    <row r="44" spans="1:17" x14ac:dyDescent="0.45">
      <c r="A44" s="19">
        <v>46017.515277777777</v>
      </c>
      <c r="B44" t="s">
        <v>72</v>
      </c>
      <c r="C44" t="s">
        <v>73</v>
      </c>
      <c r="D44" t="s">
        <v>74</v>
      </c>
      <c r="E44" t="s">
        <v>77</v>
      </c>
      <c r="F44" t="s">
        <v>100</v>
      </c>
      <c r="G44" t="s">
        <v>108</v>
      </c>
      <c r="H44" t="s">
        <v>105</v>
      </c>
      <c r="I44">
        <v>6</v>
      </c>
      <c r="J44">
        <v>6</v>
      </c>
      <c r="K44">
        <v>8</v>
      </c>
      <c r="L44">
        <v>10</v>
      </c>
      <c r="M44">
        <v>9</v>
      </c>
      <c r="N44">
        <v>1</v>
      </c>
      <c r="O44">
        <v>7</v>
      </c>
      <c r="P44">
        <v>7</v>
      </c>
      <c r="Q44">
        <v>8</v>
      </c>
    </row>
    <row r="45" spans="1:17" x14ac:dyDescent="0.45">
      <c r="A45" s="19">
        <v>46017.515972222223</v>
      </c>
      <c r="B45" t="s">
        <v>78</v>
      </c>
      <c r="C45" t="s">
        <v>73</v>
      </c>
      <c r="D45" t="s">
        <v>74</v>
      </c>
      <c r="E45" t="s">
        <v>77</v>
      </c>
      <c r="F45" t="s">
        <v>100</v>
      </c>
      <c r="G45" t="s">
        <v>101</v>
      </c>
      <c r="H45" t="s">
        <v>102</v>
      </c>
      <c r="I45">
        <v>8</v>
      </c>
      <c r="J45">
        <v>8</v>
      </c>
      <c r="K45">
        <v>8</v>
      </c>
      <c r="L45">
        <v>8</v>
      </c>
      <c r="M45">
        <v>8</v>
      </c>
      <c r="N45">
        <v>8</v>
      </c>
      <c r="O45">
        <v>9</v>
      </c>
      <c r="P45">
        <v>5</v>
      </c>
      <c r="Q45">
        <v>9</v>
      </c>
    </row>
    <row r="46" spans="1:17" x14ac:dyDescent="0.45">
      <c r="A46" s="19">
        <v>46017.518750000003</v>
      </c>
      <c r="B46" t="s">
        <v>72</v>
      </c>
      <c r="C46" t="s">
        <v>79</v>
      </c>
      <c r="D46" t="s">
        <v>74</v>
      </c>
      <c r="E46" t="s">
        <v>77</v>
      </c>
      <c r="F46" t="s">
        <v>100</v>
      </c>
      <c r="G46" t="s">
        <v>101</v>
      </c>
      <c r="H46" t="s">
        <v>105</v>
      </c>
      <c r="I46">
        <v>10</v>
      </c>
      <c r="J46">
        <v>10</v>
      </c>
      <c r="K46">
        <v>10</v>
      </c>
      <c r="L46">
        <v>9</v>
      </c>
      <c r="M46">
        <v>10</v>
      </c>
      <c r="N46">
        <v>10</v>
      </c>
      <c r="O46">
        <v>10</v>
      </c>
      <c r="P46">
        <v>10</v>
      </c>
      <c r="Q46">
        <v>10</v>
      </c>
    </row>
    <row r="47" spans="1:17" x14ac:dyDescent="0.45">
      <c r="A47" s="19">
        <v>46017.519444444442</v>
      </c>
      <c r="B47" t="s">
        <v>72</v>
      </c>
      <c r="C47" t="s">
        <v>191</v>
      </c>
      <c r="D47" t="s">
        <v>80</v>
      </c>
      <c r="E47" t="s">
        <v>77</v>
      </c>
      <c r="F47" t="s">
        <v>100</v>
      </c>
      <c r="G47" t="s">
        <v>194</v>
      </c>
      <c r="H47" t="s">
        <v>105</v>
      </c>
      <c r="I47">
        <v>1</v>
      </c>
      <c r="J47">
        <v>1</v>
      </c>
      <c r="K47">
        <v>2</v>
      </c>
      <c r="L47">
        <v>1</v>
      </c>
      <c r="M47">
        <v>1</v>
      </c>
      <c r="N47">
        <v>1</v>
      </c>
      <c r="O47">
        <v>1</v>
      </c>
      <c r="P47">
        <v>1</v>
      </c>
      <c r="Q47">
        <v>1</v>
      </c>
    </row>
    <row r="48" spans="1:17" x14ac:dyDescent="0.45">
      <c r="A48" s="19">
        <v>46017.519444444442</v>
      </c>
      <c r="B48" t="s">
        <v>78</v>
      </c>
      <c r="C48" t="s">
        <v>73</v>
      </c>
      <c r="D48" t="s">
        <v>74</v>
      </c>
      <c r="E48" t="s">
        <v>77</v>
      </c>
      <c r="F48" t="s">
        <v>100</v>
      </c>
      <c r="G48" t="s">
        <v>194</v>
      </c>
      <c r="H48" t="s">
        <v>110</v>
      </c>
      <c r="I48">
        <v>8</v>
      </c>
      <c r="J48">
        <v>8</v>
      </c>
      <c r="K48">
        <v>8</v>
      </c>
      <c r="L48">
        <v>7</v>
      </c>
      <c r="M48">
        <v>6</v>
      </c>
      <c r="N48">
        <v>8</v>
      </c>
      <c r="O48">
        <v>8</v>
      </c>
      <c r="P48">
        <v>9</v>
      </c>
      <c r="Q48">
        <v>8</v>
      </c>
    </row>
    <row r="49" spans="1:17" x14ac:dyDescent="0.45">
      <c r="A49" s="19">
        <v>46017.520138888889</v>
      </c>
      <c r="B49" t="s">
        <v>72</v>
      </c>
      <c r="C49" t="s">
        <v>73</v>
      </c>
      <c r="D49" t="s">
        <v>74</v>
      </c>
      <c r="E49" t="s">
        <v>77</v>
      </c>
      <c r="F49" t="s">
        <v>100</v>
      </c>
      <c r="G49" t="s">
        <v>109</v>
      </c>
      <c r="H49" t="s">
        <v>106</v>
      </c>
      <c r="I49">
        <v>10</v>
      </c>
      <c r="J49">
        <v>10</v>
      </c>
      <c r="K49">
        <v>10</v>
      </c>
      <c r="L49">
        <v>10</v>
      </c>
      <c r="M49">
        <v>10</v>
      </c>
      <c r="N49">
        <v>10</v>
      </c>
      <c r="O49">
        <v>10</v>
      </c>
      <c r="P49">
        <v>10</v>
      </c>
      <c r="Q49">
        <v>10</v>
      </c>
    </row>
    <row r="50" spans="1:17" x14ac:dyDescent="0.45">
      <c r="A50" s="19">
        <v>46017.520138888889</v>
      </c>
      <c r="B50" t="s">
        <v>78</v>
      </c>
      <c r="C50" t="s">
        <v>73</v>
      </c>
      <c r="D50" t="s">
        <v>74</v>
      </c>
      <c r="E50" t="s">
        <v>77</v>
      </c>
      <c r="F50" t="s">
        <v>100</v>
      </c>
      <c r="G50" t="s">
        <v>108</v>
      </c>
      <c r="H50" t="s">
        <v>105</v>
      </c>
      <c r="I50">
        <v>8</v>
      </c>
      <c r="J50">
        <v>8</v>
      </c>
      <c r="K50">
        <v>7</v>
      </c>
      <c r="L50">
        <v>8</v>
      </c>
      <c r="M50">
        <v>6</v>
      </c>
      <c r="N50">
        <v>8</v>
      </c>
      <c r="O50">
        <v>6</v>
      </c>
      <c r="P50">
        <v>5</v>
      </c>
      <c r="Q50">
        <v>8</v>
      </c>
    </row>
    <row r="51" spans="1:17" x14ac:dyDescent="0.45">
      <c r="A51" s="19">
        <v>46017.521527777775</v>
      </c>
      <c r="B51" t="s">
        <v>72</v>
      </c>
      <c r="C51" t="s">
        <v>73</v>
      </c>
      <c r="D51" t="s">
        <v>74</v>
      </c>
      <c r="E51" t="s">
        <v>77</v>
      </c>
      <c r="F51" t="s">
        <v>100</v>
      </c>
      <c r="G51" t="s">
        <v>196</v>
      </c>
      <c r="H51" t="s">
        <v>106</v>
      </c>
      <c r="I51">
        <v>10</v>
      </c>
      <c r="J51">
        <v>10</v>
      </c>
      <c r="K51">
        <v>10</v>
      </c>
      <c r="L51">
        <v>8</v>
      </c>
      <c r="M51">
        <v>8</v>
      </c>
      <c r="N51">
        <v>8</v>
      </c>
      <c r="O51">
        <v>8</v>
      </c>
      <c r="P51">
        <v>8</v>
      </c>
      <c r="Q51">
        <v>8</v>
      </c>
    </row>
    <row r="52" spans="1:17" x14ac:dyDescent="0.45">
      <c r="A52" s="19">
        <v>46017.526388888888</v>
      </c>
      <c r="B52" t="s">
        <v>78</v>
      </c>
      <c r="C52" t="s">
        <v>81</v>
      </c>
      <c r="D52" t="s">
        <v>74</v>
      </c>
      <c r="E52" t="s">
        <v>77</v>
      </c>
      <c r="F52" t="s">
        <v>100</v>
      </c>
      <c r="G52" t="s">
        <v>104</v>
      </c>
      <c r="H52" t="s">
        <v>110</v>
      </c>
      <c r="I52">
        <v>10</v>
      </c>
      <c r="J52">
        <v>10</v>
      </c>
      <c r="K52">
        <v>10</v>
      </c>
      <c r="L52">
        <v>10</v>
      </c>
      <c r="M52">
        <v>10</v>
      </c>
      <c r="N52">
        <v>10</v>
      </c>
      <c r="O52">
        <v>10</v>
      </c>
      <c r="P52">
        <v>10</v>
      </c>
      <c r="Q52">
        <v>10</v>
      </c>
    </row>
    <row r="53" spans="1:17" x14ac:dyDescent="0.45">
      <c r="A53" s="19">
        <v>46017.52847222222</v>
      </c>
      <c r="B53" t="s">
        <v>72</v>
      </c>
      <c r="C53" t="s">
        <v>81</v>
      </c>
      <c r="D53" t="s">
        <v>74</v>
      </c>
      <c r="E53" t="s">
        <v>77</v>
      </c>
      <c r="F53" t="s">
        <v>100</v>
      </c>
      <c r="G53" t="s">
        <v>196</v>
      </c>
      <c r="H53" t="s">
        <v>102</v>
      </c>
      <c r="I53">
        <v>10</v>
      </c>
      <c r="J53">
        <v>10</v>
      </c>
      <c r="K53">
        <v>10</v>
      </c>
      <c r="L53">
        <v>10</v>
      </c>
      <c r="M53">
        <v>10</v>
      </c>
      <c r="N53">
        <v>10</v>
      </c>
      <c r="O53">
        <v>10</v>
      </c>
      <c r="P53">
        <v>10</v>
      </c>
      <c r="Q53">
        <v>8</v>
      </c>
    </row>
    <row r="54" spans="1:17" x14ac:dyDescent="0.45">
      <c r="A54" s="19">
        <v>46017.53125</v>
      </c>
      <c r="B54" t="s">
        <v>78</v>
      </c>
      <c r="C54" t="s">
        <v>81</v>
      </c>
      <c r="D54" t="s">
        <v>74</v>
      </c>
      <c r="E54" t="s">
        <v>75</v>
      </c>
      <c r="F54" t="s">
        <v>100</v>
      </c>
      <c r="G54" t="s">
        <v>104</v>
      </c>
      <c r="H54" t="s">
        <v>105</v>
      </c>
      <c r="I54">
        <v>10</v>
      </c>
      <c r="J54">
        <v>10</v>
      </c>
      <c r="K54">
        <v>10</v>
      </c>
      <c r="L54">
        <v>10</v>
      </c>
      <c r="M54">
        <v>10</v>
      </c>
      <c r="N54">
        <v>10</v>
      </c>
      <c r="O54">
        <v>10</v>
      </c>
      <c r="P54">
        <v>10</v>
      </c>
      <c r="Q54">
        <v>10</v>
      </c>
    </row>
    <row r="55" spans="1:17" x14ac:dyDescent="0.45">
      <c r="A55" s="19">
        <v>46017.53125</v>
      </c>
      <c r="B55" t="s">
        <v>72</v>
      </c>
      <c r="C55" t="s">
        <v>79</v>
      </c>
      <c r="D55" t="s">
        <v>74</v>
      </c>
      <c r="E55" t="s">
        <v>77</v>
      </c>
      <c r="F55" t="s">
        <v>100</v>
      </c>
      <c r="G55" t="s">
        <v>109</v>
      </c>
      <c r="H55" t="s">
        <v>105</v>
      </c>
      <c r="I55">
        <v>8</v>
      </c>
      <c r="J55">
        <v>7</v>
      </c>
      <c r="K55">
        <v>7</v>
      </c>
      <c r="L55">
        <v>8</v>
      </c>
      <c r="M55">
        <v>7</v>
      </c>
      <c r="N55">
        <v>8</v>
      </c>
      <c r="O55">
        <v>7</v>
      </c>
      <c r="P55">
        <v>7</v>
      </c>
      <c r="Q55">
        <v>8</v>
      </c>
    </row>
    <row r="56" spans="1:17" x14ac:dyDescent="0.45">
      <c r="A56" s="19">
        <v>46017.533333333333</v>
      </c>
      <c r="B56" t="s">
        <v>72</v>
      </c>
      <c r="C56" t="s">
        <v>73</v>
      </c>
      <c r="D56" t="s">
        <v>74</v>
      </c>
      <c r="E56" t="s">
        <v>77</v>
      </c>
      <c r="F56" t="s">
        <v>100</v>
      </c>
      <c r="G56" t="s">
        <v>109</v>
      </c>
      <c r="H56" t="s">
        <v>102</v>
      </c>
      <c r="I56">
        <v>10</v>
      </c>
      <c r="J56">
        <v>9</v>
      </c>
      <c r="K56">
        <v>3</v>
      </c>
      <c r="L56">
        <v>4</v>
      </c>
      <c r="M56">
        <v>3</v>
      </c>
      <c r="N56">
        <v>3</v>
      </c>
      <c r="O56">
        <v>1</v>
      </c>
      <c r="P56">
        <v>1</v>
      </c>
      <c r="Q56">
        <v>3</v>
      </c>
    </row>
    <row r="57" spans="1:17" x14ac:dyDescent="0.45">
      <c r="A57" s="19">
        <v>46017.537499999999</v>
      </c>
      <c r="B57" t="s">
        <v>78</v>
      </c>
      <c r="C57" t="s">
        <v>81</v>
      </c>
      <c r="D57" t="s">
        <v>74</v>
      </c>
      <c r="E57" t="s">
        <v>77</v>
      </c>
      <c r="F57" t="s">
        <v>100</v>
      </c>
      <c r="G57" t="s">
        <v>194</v>
      </c>
      <c r="H57" t="s">
        <v>110</v>
      </c>
      <c r="I57">
        <v>10</v>
      </c>
      <c r="J57">
        <v>10</v>
      </c>
      <c r="K57">
        <v>9</v>
      </c>
      <c r="L57">
        <v>10</v>
      </c>
      <c r="M57">
        <v>9</v>
      </c>
      <c r="N57">
        <v>10</v>
      </c>
      <c r="O57">
        <v>9</v>
      </c>
      <c r="P57">
        <v>10</v>
      </c>
      <c r="Q57">
        <v>9</v>
      </c>
    </row>
    <row r="58" spans="1:17" x14ac:dyDescent="0.45">
      <c r="A58" s="19">
        <v>46017.55972222222</v>
      </c>
      <c r="B58" t="s">
        <v>72</v>
      </c>
      <c r="C58" t="s">
        <v>73</v>
      </c>
      <c r="D58" t="s">
        <v>74</v>
      </c>
      <c r="E58" t="s">
        <v>77</v>
      </c>
      <c r="F58" t="s">
        <v>100</v>
      </c>
      <c r="G58" t="s">
        <v>104</v>
      </c>
      <c r="H58" t="s">
        <v>105</v>
      </c>
      <c r="I58">
        <v>10</v>
      </c>
      <c r="J58">
        <v>10</v>
      </c>
      <c r="K58">
        <v>1</v>
      </c>
      <c r="L58">
        <v>5</v>
      </c>
      <c r="M58">
        <v>7</v>
      </c>
      <c r="N58">
        <v>10</v>
      </c>
      <c r="O58">
        <v>9</v>
      </c>
      <c r="P58">
        <v>9</v>
      </c>
      <c r="Q58">
        <v>10</v>
      </c>
    </row>
    <row r="59" spans="1:17" x14ac:dyDescent="0.45">
      <c r="A59" s="19">
        <v>46017.580555555556</v>
      </c>
      <c r="B59" t="s">
        <v>72</v>
      </c>
      <c r="C59" t="s">
        <v>79</v>
      </c>
      <c r="D59" t="s">
        <v>74</v>
      </c>
      <c r="E59" t="s">
        <v>75</v>
      </c>
      <c r="F59" t="s">
        <v>100</v>
      </c>
      <c r="G59" t="s">
        <v>101</v>
      </c>
      <c r="H59" t="s">
        <v>102</v>
      </c>
      <c r="I59">
        <v>5</v>
      </c>
      <c r="J59">
        <v>5</v>
      </c>
      <c r="K59">
        <v>4</v>
      </c>
      <c r="L59">
        <v>8</v>
      </c>
      <c r="M59">
        <v>5</v>
      </c>
      <c r="N59">
        <v>7</v>
      </c>
      <c r="O59">
        <v>7</v>
      </c>
      <c r="P59">
        <v>7</v>
      </c>
      <c r="Q59">
        <v>7</v>
      </c>
    </row>
    <row r="60" spans="1:17" x14ac:dyDescent="0.45">
      <c r="A60" s="19">
        <v>46017.626388888886</v>
      </c>
      <c r="B60" t="s">
        <v>72</v>
      </c>
      <c r="C60" t="s">
        <v>189</v>
      </c>
      <c r="D60" t="s">
        <v>74</v>
      </c>
      <c r="E60" t="s">
        <v>77</v>
      </c>
      <c r="F60" t="s">
        <v>103</v>
      </c>
      <c r="G60" t="s">
        <v>194</v>
      </c>
      <c r="H60" t="s">
        <v>110</v>
      </c>
      <c r="I60">
        <v>9</v>
      </c>
      <c r="J60">
        <v>9</v>
      </c>
      <c r="K60">
        <v>9</v>
      </c>
      <c r="L60">
        <v>7</v>
      </c>
      <c r="M60">
        <v>7</v>
      </c>
      <c r="N60">
        <v>8</v>
      </c>
      <c r="O60">
        <v>8</v>
      </c>
      <c r="P60">
        <v>6</v>
      </c>
      <c r="Q60">
        <v>5</v>
      </c>
    </row>
    <row r="61" spans="1:17" x14ac:dyDescent="0.45">
      <c r="A61" s="19">
        <v>46017.688194444447</v>
      </c>
      <c r="B61" t="s">
        <v>78</v>
      </c>
      <c r="C61" t="s">
        <v>81</v>
      </c>
      <c r="D61" t="s">
        <v>74</v>
      </c>
      <c r="E61" t="s">
        <v>77</v>
      </c>
      <c r="F61" t="s">
        <v>100</v>
      </c>
      <c r="G61" t="s">
        <v>104</v>
      </c>
      <c r="H61" t="s">
        <v>110</v>
      </c>
      <c r="I61">
        <v>5</v>
      </c>
      <c r="J61">
        <v>5</v>
      </c>
      <c r="K61">
        <v>5</v>
      </c>
      <c r="L61">
        <v>5</v>
      </c>
      <c r="M61">
        <v>5</v>
      </c>
      <c r="N61">
        <v>8</v>
      </c>
      <c r="O61">
        <v>4</v>
      </c>
      <c r="P61">
        <v>5</v>
      </c>
      <c r="Q61">
        <v>5</v>
      </c>
    </row>
    <row r="62" spans="1:17" x14ac:dyDescent="0.45">
      <c r="A62" s="19">
        <v>46017.698611111111</v>
      </c>
      <c r="B62" t="s">
        <v>72</v>
      </c>
      <c r="C62" t="s">
        <v>73</v>
      </c>
      <c r="D62" t="s">
        <v>74</v>
      </c>
      <c r="E62" t="s">
        <v>75</v>
      </c>
      <c r="F62" t="s">
        <v>100</v>
      </c>
      <c r="G62" t="s">
        <v>196</v>
      </c>
      <c r="H62" t="s">
        <v>102</v>
      </c>
      <c r="I62">
        <v>8</v>
      </c>
      <c r="J62">
        <v>9</v>
      </c>
      <c r="K62">
        <v>9</v>
      </c>
      <c r="L62">
        <v>9</v>
      </c>
      <c r="M62">
        <v>9</v>
      </c>
      <c r="N62">
        <v>8</v>
      </c>
      <c r="O62">
        <v>8</v>
      </c>
      <c r="P62">
        <v>8</v>
      </c>
      <c r="Q62">
        <v>9</v>
      </c>
    </row>
    <row r="63" spans="1:17" x14ac:dyDescent="0.45">
      <c r="A63" s="19">
        <v>46017.711111111108</v>
      </c>
      <c r="B63" t="s">
        <v>72</v>
      </c>
      <c r="C63" t="s">
        <v>81</v>
      </c>
      <c r="D63" t="s">
        <v>74</v>
      </c>
      <c r="E63" t="s">
        <v>75</v>
      </c>
      <c r="F63" t="s">
        <v>100</v>
      </c>
      <c r="G63" t="s">
        <v>101</v>
      </c>
      <c r="H63" t="s">
        <v>110</v>
      </c>
      <c r="I63">
        <v>9</v>
      </c>
      <c r="J63">
        <v>9</v>
      </c>
      <c r="K63">
        <v>7</v>
      </c>
      <c r="L63">
        <v>6</v>
      </c>
      <c r="M63">
        <v>7</v>
      </c>
      <c r="N63">
        <v>5</v>
      </c>
      <c r="O63">
        <v>6</v>
      </c>
      <c r="P63">
        <v>8</v>
      </c>
      <c r="Q63">
        <v>5</v>
      </c>
    </row>
    <row r="64" spans="1:17" x14ac:dyDescent="0.45">
      <c r="A64" s="19">
        <v>46017.80972222222</v>
      </c>
      <c r="B64" t="s">
        <v>72</v>
      </c>
      <c r="C64" t="s">
        <v>191</v>
      </c>
      <c r="D64" t="s">
        <v>80</v>
      </c>
      <c r="E64" t="s">
        <v>77</v>
      </c>
      <c r="F64" t="s">
        <v>100</v>
      </c>
      <c r="G64" t="s">
        <v>196</v>
      </c>
      <c r="H64" t="s">
        <v>102</v>
      </c>
      <c r="I64">
        <v>9</v>
      </c>
      <c r="J64">
        <v>9</v>
      </c>
      <c r="K64">
        <v>9</v>
      </c>
      <c r="L64">
        <v>9</v>
      </c>
      <c r="M64">
        <v>8</v>
      </c>
      <c r="N64">
        <v>9</v>
      </c>
      <c r="O64">
        <v>9</v>
      </c>
      <c r="P64">
        <v>8</v>
      </c>
      <c r="Q64">
        <v>7</v>
      </c>
    </row>
    <row r="65" spans="1:17" x14ac:dyDescent="0.45">
      <c r="A65" s="19">
        <v>46018.36041666667</v>
      </c>
      <c r="B65" t="s">
        <v>72</v>
      </c>
      <c r="C65" t="s">
        <v>73</v>
      </c>
      <c r="D65" t="s">
        <v>74</v>
      </c>
      <c r="E65" t="s">
        <v>77</v>
      </c>
      <c r="F65" t="s">
        <v>103</v>
      </c>
      <c r="G65" t="s">
        <v>108</v>
      </c>
      <c r="H65" t="s">
        <v>105</v>
      </c>
      <c r="I65">
        <v>9</v>
      </c>
      <c r="J65">
        <v>10</v>
      </c>
      <c r="K65">
        <v>9</v>
      </c>
      <c r="L65">
        <v>10</v>
      </c>
      <c r="M65">
        <v>10</v>
      </c>
      <c r="N65">
        <v>5</v>
      </c>
      <c r="O65">
        <v>10</v>
      </c>
      <c r="P65">
        <v>7</v>
      </c>
      <c r="Q65">
        <v>9</v>
      </c>
    </row>
    <row r="66" spans="1:17" x14ac:dyDescent="0.45">
      <c r="A66" s="19">
        <v>46019.6</v>
      </c>
      <c r="B66" t="s">
        <v>72</v>
      </c>
      <c r="C66" t="s">
        <v>79</v>
      </c>
      <c r="D66" t="s">
        <v>80</v>
      </c>
      <c r="E66" t="s">
        <v>77</v>
      </c>
      <c r="F66" t="s">
        <v>100</v>
      </c>
      <c r="G66" t="s">
        <v>194</v>
      </c>
      <c r="H66" t="s">
        <v>105</v>
      </c>
      <c r="I66">
        <v>10</v>
      </c>
      <c r="J66">
        <v>10</v>
      </c>
      <c r="K66">
        <v>10</v>
      </c>
      <c r="L66">
        <v>10</v>
      </c>
      <c r="M66">
        <v>10</v>
      </c>
      <c r="N66">
        <v>10</v>
      </c>
      <c r="O66">
        <v>10</v>
      </c>
      <c r="P66">
        <v>10</v>
      </c>
      <c r="Q66">
        <v>10</v>
      </c>
    </row>
    <row r="67" spans="1:17" x14ac:dyDescent="0.45">
      <c r="A67" s="19">
        <v>46019.604166666664</v>
      </c>
      <c r="B67" t="s">
        <v>72</v>
      </c>
      <c r="C67" t="s">
        <v>81</v>
      </c>
      <c r="D67" t="s">
        <v>74</v>
      </c>
      <c r="E67" t="s">
        <v>190</v>
      </c>
      <c r="F67" t="s">
        <v>100</v>
      </c>
      <c r="G67" t="s">
        <v>104</v>
      </c>
      <c r="H67" t="s">
        <v>110</v>
      </c>
      <c r="I67">
        <v>7</v>
      </c>
      <c r="J67">
        <v>5</v>
      </c>
      <c r="K67">
        <v>3</v>
      </c>
      <c r="L67">
        <v>5</v>
      </c>
      <c r="M67">
        <v>4</v>
      </c>
      <c r="N67">
        <v>3</v>
      </c>
      <c r="O67">
        <v>5</v>
      </c>
      <c r="P67">
        <v>6</v>
      </c>
      <c r="Q67">
        <v>6</v>
      </c>
    </row>
    <row r="68" spans="1:17" x14ac:dyDescent="0.45">
      <c r="A68" s="19">
        <v>46019.626388888886</v>
      </c>
      <c r="B68" t="s">
        <v>78</v>
      </c>
      <c r="C68" t="s">
        <v>79</v>
      </c>
      <c r="D68" t="s">
        <v>74</v>
      </c>
      <c r="E68" t="s">
        <v>75</v>
      </c>
      <c r="F68" t="s">
        <v>100</v>
      </c>
      <c r="G68" t="s">
        <v>107</v>
      </c>
      <c r="H68" t="s">
        <v>105</v>
      </c>
      <c r="I68">
        <v>5</v>
      </c>
      <c r="J68">
        <v>5</v>
      </c>
      <c r="K68">
        <v>4</v>
      </c>
      <c r="L68">
        <v>4</v>
      </c>
      <c r="M68">
        <v>2</v>
      </c>
      <c r="N68">
        <v>3</v>
      </c>
      <c r="O68">
        <v>2</v>
      </c>
      <c r="P68">
        <v>3</v>
      </c>
      <c r="Q68">
        <v>3</v>
      </c>
    </row>
    <row r="69" spans="1:17" x14ac:dyDescent="0.45">
      <c r="A69" s="19">
        <v>46019.645833333336</v>
      </c>
      <c r="B69" t="s">
        <v>72</v>
      </c>
      <c r="C69" t="s">
        <v>79</v>
      </c>
      <c r="D69" t="s">
        <v>74</v>
      </c>
      <c r="E69" t="s">
        <v>77</v>
      </c>
      <c r="F69" t="s">
        <v>100</v>
      </c>
      <c r="G69" t="s">
        <v>111</v>
      </c>
      <c r="H69" t="s">
        <v>105</v>
      </c>
      <c r="I69">
        <v>4</v>
      </c>
      <c r="J69">
        <v>3</v>
      </c>
      <c r="K69">
        <v>1</v>
      </c>
      <c r="L69">
        <v>5</v>
      </c>
      <c r="M69">
        <v>4</v>
      </c>
      <c r="N69">
        <v>3</v>
      </c>
      <c r="O69">
        <v>1</v>
      </c>
      <c r="P69">
        <v>3</v>
      </c>
      <c r="Q69">
        <v>5</v>
      </c>
    </row>
    <row r="70" spans="1:17" x14ac:dyDescent="0.45">
      <c r="A70" s="19">
        <v>46019.647916666669</v>
      </c>
      <c r="B70" t="s">
        <v>78</v>
      </c>
      <c r="C70" t="s">
        <v>81</v>
      </c>
      <c r="D70" t="s">
        <v>74</v>
      </c>
      <c r="E70" t="s">
        <v>77</v>
      </c>
      <c r="F70" t="s">
        <v>100</v>
      </c>
      <c r="G70" t="s">
        <v>196</v>
      </c>
      <c r="H70" t="s">
        <v>110</v>
      </c>
      <c r="I70">
        <v>7</v>
      </c>
      <c r="J70">
        <v>7</v>
      </c>
      <c r="K70">
        <v>8</v>
      </c>
      <c r="L70">
        <v>9</v>
      </c>
      <c r="M70">
        <v>8</v>
      </c>
      <c r="N70">
        <v>10</v>
      </c>
      <c r="O70">
        <v>9</v>
      </c>
      <c r="P70">
        <v>9</v>
      </c>
      <c r="Q70">
        <v>9</v>
      </c>
    </row>
    <row r="71" spans="1:17" x14ac:dyDescent="0.45">
      <c r="A71" s="19">
        <v>46019.648611111108</v>
      </c>
      <c r="B71" t="s">
        <v>78</v>
      </c>
      <c r="C71" t="s">
        <v>79</v>
      </c>
      <c r="D71" t="s">
        <v>74</v>
      </c>
      <c r="E71" t="s">
        <v>75</v>
      </c>
      <c r="F71" t="s">
        <v>103</v>
      </c>
      <c r="G71" t="s">
        <v>108</v>
      </c>
      <c r="H71" t="s">
        <v>102</v>
      </c>
      <c r="I71">
        <v>6</v>
      </c>
      <c r="J71">
        <v>6</v>
      </c>
      <c r="K71">
        <v>5</v>
      </c>
      <c r="L71">
        <v>5</v>
      </c>
      <c r="M71">
        <v>5</v>
      </c>
      <c r="N71">
        <v>1</v>
      </c>
      <c r="O71">
        <v>5</v>
      </c>
      <c r="P71">
        <v>5</v>
      </c>
      <c r="Q71">
        <v>5</v>
      </c>
    </row>
    <row r="72" spans="1:17" x14ac:dyDescent="0.45">
      <c r="A72" s="19">
        <v>46019.650694444441</v>
      </c>
      <c r="B72" t="s">
        <v>72</v>
      </c>
      <c r="C72" t="s">
        <v>73</v>
      </c>
      <c r="D72" t="s">
        <v>74</v>
      </c>
      <c r="E72" t="s">
        <v>75</v>
      </c>
      <c r="F72" t="s">
        <v>100</v>
      </c>
      <c r="G72" t="s">
        <v>101</v>
      </c>
      <c r="H72" t="s">
        <v>105</v>
      </c>
      <c r="I72">
        <v>3</v>
      </c>
      <c r="J72">
        <v>3</v>
      </c>
      <c r="K72">
        <v>3</v>
      </c>
      <c r="L72">
        <v>5</v>
      </c>
      <c r="M72">
        <v>3</v>
      </c>
      <c r="N72">
        <v>3</v>
      </c>
      <c r="O72">
        <v>3</v>
      </c>
      <c r="P72">
        <v>3</v>
      </c>
      <c r="Q72">
        <v>4</v>
      </c>
    </row>
    <row r="73" spans="1:17" x14ac:dyDescent="0.45">
      <c r="A73" s="19">
        <v>46019.652083333334</v>
      </c>
      <c r="B73" t="s">
        <v>78</v>
      </c>
      <c r="C73" t="s">
        <v>73</v>
      </c>
      <c r="D73" t="s">
        <v>74</v>
      </c>
      <c r="E73" t="s">
        <v>77</v>
      </c>
      <c r="F73" t="s">
        <v>103</v>
      </c>
      <c r="G73" t="s">
        <v>196</v>
      </c>
      <c r="H73" t="s">
        <v>106</v>
      </c>
      <c r="I73">
        <v>8</v>
      </c>
      <c r="J73">
        <v>8</v>
      </c>
      <c r="K73">
        <v>4</v>
      </c>
      <c r="L73">
        <v>2</v>
      </c>
      <c r="M73">
        <v>6</v>
      </c>
      <c r="N73">
        <v>3</v>
      </c>
      <c r="O73">
        <v>8</v>
      </c>
      <c r="P73">
        <v>4</v>
      </c>
      <c r="Q73">
        <v>8</v>
      </c>
    </row>
    <row r="74" spans="1:17" x14ac:dyDescent="0.45">
      <c r="A74" s="19">
        <v>46019.658333333333</v>
      </c>
      <c r="B74" t="s">
        <v>78</v>
      </c>
      <c r="C74" t="s">
        <v>189</v>
      </c>
      <c r="D74" t="s">
        <v>74</v>
      </c>
      <c r="E74" t="s">
        <v>192</v>
      </c>
      <c r="F74" t="s">
        <v>100</v>
      </c>
      <c r="G74" t="s">
        <v>104</v>
      </c>
      <c r="H74" t="s">
        <v>110</v>
      </c>
      <c r="I74">
        <v>5</v>
      </c>
      <c r="J74">
        <v>5</v>
      </c>
      <c r="K74">
        <v>5</v>
      </c>
      <c r="L74">
        <v>5</v>
      </c>
      <c r="M74">
        <v>5</v>
      </c>
      <c r="N74">
        <v>10</v>
      </c>
      <c r="O74">
        <v>5</v>
      </c>
      <c r="P74">
        <v>5</v>
      </c>
      <c r="Q74">
        <v>10</v>
      </c>
    </row>
    <row r="75" spans="1:17" x14ac:dyDescent="0.45">
      <c r="A75" s="19">
        <v>46019.685416666667</v>
      </c>
      <c r="B75" t="s">
        <v>72</v>
      </c>
      <c r="C75" t="s">
        <v>73</v>
      </c>
      <c r="D75" t="s">
        <v>74</v>
      </c>
      <c r="E75" t="s">
        <v>77</v>
      </c>
      <c r="F75" t="s">
        <v>103</v>
      </c>
      <c r="G75" t="s">
        <v>196</v>
      </c>
      <c r="H75" t="s">
        <v>102</v>
      </c>
      <c r="I75">
        <v>5</v>
      </c>
      <c r="J75">
        <v>10</v>
      </c>
      <c r="K75">
        <v>2</v>
      </c>
      <c r="L75">
        <v>8</v>
      </c>
      <c r="M75">
        <v>5</v>
      </c>
      <c r="N75">
        <v>5</v>
      </c>
      <c r="O75">
        <v>1</v>
      </c>
      <c r="P75">
        <v>4</v>
      </c>
      <c r="Q75">
        <v>5</v>
      </c>
    </row>
    <row r="76" spans="1:17" x14ac:dyDescent="0.45">
      <c r="A76" s="19">
        <v>46019.6875</v>
      </c>
      <c r="B76" t="s">
        <v>78</v>
      </c>
      <c r="C76" t="s">
        <v>79</v>
      </c>
      <c r="D76" t="s">
        <v>74</v>
      </c>
      <c r="E76" t="s">
        <v>75</v>
      </c>
      <c r="F76" t="s">
        <v>100</v>
      </c>
      <c r="G76" t="s">
        <v>111</v>
      </c>
      <c r="H76" t="s">
        <v>105</v>
      </c>
      <c r="I76">
        <v>8</v>
      </c>
      <c r="J76">
        <v>9</v>
      </c>
      <c r="K76">
        <v>9</v>
      </c>
      <c r="L76">
        <v>9</v>
      </c>
      <c r="M76">
        <v>3</v>
      </c>
      <c r="N76">
        <v>3</v>
      </c>
      <c r="O76">
        <v>2</v>
      </c>
      <c r="P76">
        <v>2</v>
      </c>
      <c r="Q76">
        <v>6</v>
      </c>
    </row>
    <row r="77" spans="1:17" x14ac:dyDescent="0.45">
      <c r="A77" s="19">
        <v>46019.693749999999</v>
      </c>
      <c r="B77" t="s">
        <v>78</v>
      </c>
      <c r="C77" t="s">
        <v>79</v>
      </c>
      <c r="D77" t="s">
        <v>80</v>
      </c>
      <c r="E77" t="s">
        <v>192</v>
      </c>
      <c r="F77" t="s">
        <v>103</v>
      </c>
      <c r="G77" t="s">
        <v>104</v>
      </c>
      <c r="H77" t="s">
        <v>106</v>
      </c>
      <c r="I77">
        <v>5</v>
      </c>
      <c r="J77">
        <v>5</v>
      </c>
      <c r="K77">
        <v>5</v>
      </c>
      <c r="L77">
        <v>5</v>
      </c>
      <c r="M77">
        <v>5</v>
      </c>
      <c r="N77">
        <v>5</v>
      </c>
      <c r="O77">
        <v>5</v>
      </c>
      <c r="P77">
        <v>5</v>
      </c>
      <c r="Q77">
        <v>5</v>
      </c>
    </row>
    <row r="78" spans="1:17" x14ac:dyDescent="0.45">
      <c r="A78" s="19">
        <v>46019.697222222225</v>
      </c>
      <c r="B78" t="s">
        <v>72</v>
      </c>
      <c r="C78" t="s">
        <v>191</v>
      </c>
      <c r="D78" t="s">
        <v>74</v>
      </c>
      <c r="E78" t="s">
        <v>77</v>
      </c>
      <c r="F78" t="s">
        <v>100</v>
      </c>
      <c r="G78" t="s">
        <v>104</v>
      </c>
      <c r="H78" t="s">
        <v>105</v>
      </c>
      <c r="I78">
        <v>8</v>
      </c>
      <c r="J78">
        <v>8</v>
      </c>
      <c r="K78">
        <v>8</v>
      </c>
      <c r="L78">
        <v>8</v>
      </c>
      <c r="M78">
        <v>9</v>
      </c>
      <c r="N78">
        <v>7</v>
      </c>
      <c r="O78">
        <v>9</v>
      </c>
      <c r="P78">
        <v>10</v>
      </c>
      <c r="Q78">
        <v>8</v>
      </c>
    </row>
    <row r="79" spans="1:17" x14ac:dyDescent="0.45">
      <c r="A79" s="19">
        <v>46019.699305555558</v>
      </c>
      <c r="B79" t="s">
        <v>72</v>
      </c>
      <c r="C79" t="s">
        <v>73</v>
      </c>
      <c r="D79" t="s">
        <v>74</v>
      </c>
      <c r="E79" t="s">
        <v>75</v>
      </c>
      <c r="F79" t="s">
        <v>100</v>
      </c>
      <c r="G79" t="s">
        <v>109</v>
      </c>
      <c r="H79" t="s">
        <v>105</v>
      </c>
      <c r="I79">
        <v>8</v>
      </c>
      <c r="J79">
        <v>7</v>
      </c>
      <c r="K79">
        <v>9</v>
      </c>
      <c r="L79">
        <v>8</v>
      </c>
      <c r="M79">
        <v>8</v>
      </c>
      <c r="N79">
        <v>8</v>
      </c>
      <c r="O79">
        <v>6</v>
      </c>
      <c r="P79">
        <v>6</v>
      </c>
      <c r="Q79">
        <v>7</v>
      </c>
    </row>
    <row r="80" spans="1:17" x14ac:dyDescent="0.45">
      <c r="A80" s="19">
        <v>46019.737500000003</v>
      </c>
      <c r="B80" t="s">
        <v>72</v>
      </c>
      <c r="C80" t="s">
        <v>193</v>
      </c>
      <c r="D80" t="s">
        <v>74</v>
      </c>
      <c r="E80" t="s">
        <v>192</v>
      </c>
      <c r="F80" t="s">
        <v>197</v>
      </c>
      <c r="G80" t="s">
        <v>104</v>
      </c>
      <c r="H80" t="s">
        <v>110</v>
      </c>
      <c r="I80">
        <v>6</v>
      </c>
      <c r="J80">
        <v>2</v>
      </c>
      <c r="K80">
        <v>3</v>
      </c>
      <c r="L80">
        <v>2</v>
      </c>
      <c r="M80">
        <v>3</v>
      </c>
      <c r="N80">
        <v>7</v>
      </c>
      <c r="O80">
        <v>5</v>
      </c>
      <c r="P80">
        <v>5</v>
      </c>
      <c r="Q80">
        <v>7</v>
      </c>
    </row>
    <row r="81" spans="1:17" x14ac:dyDescent="0.45">
      <c r="A81" s="19">
        <v>46019.746527777781</v>
      </c>
      <c r="B81" t="s">
        <v>78</v>
      </c>
      <c r="C81" t="s">
        <v>81</v>
      </c>
      <c r="D81" t="s">
        <v>74</v>
      </c>
      <c r="E81" t="s">
        <v>77</v>
      </c>
      <c r="F81" t="s">
        <v>100</v>
      </c>
      <c r="G81" t="s">
        <v>104</v>
      </c>
      <c r="H81" t="s">
        <v>110</v>
      </c>
      <c r="I81">
        <v>8</v>
      </c>
      <c r="J81">
        <v>8</v>
      </c>
      <c r="K81">
        <v>8</v>
      </c>
      <c r="L81">
        <v>8</v>
      </c>
      <c r="M81">
        <v>8</v>
      </c>
      <c r="N81">
        <v>8</v>
      </c>
      <c r="O81">
        <v>8</v>
      </c>
      <c r="P81">
        <v>8</v>
      </c>
      <c r="Q81">
        <v>8</v>
      </c>
    </row>
    <row r="82" spans="1:17" x14ac:dyDescent="0.45">
      <c r="A82" s="19">
        <v>46019.775694444441</v>
      </c>
      <c r="B82" t="s">
        <v>78</v>
      </c>
      <c r="C82" t="s">
        <v>193</v>
      </c>
      <c r="D82" t="s">
        <v>74</v>
      </c>
      <c r="E82" t="s">
        <v>75</v>
      </c>
      <c r="F82" t="s">
        <v>197</v>
      </c>
      <c r="G82" t="s">
        <v>194</v>
      </c>
      <c r="H82" t="s">
        <v>110</v>
      </c>
      <c r="I82">
        <v>7</v>
      </c>
      <c r="J82">
        <v>7</v>
      </c>
      <c r="K82">
        <v>5</v>
      </c>
      <c r="L82">
        <v>5</v>
      </c>
      <c r="M82">
        <v>6</v>
      </c>
      <c r="N82">
        <v>5</v>
      </c>
      <c r="O82">
        <v>8</v>
      </c>
      <c r="P82">
        <v>6</v>
      </c>
      <c r="Q82">
        <v>8</v>
      </c>
    </row>
    <row r="83" spans="1:17" x14ac:dyDescent="0.45">
      <c r="A83" s="19">
        <v>46019.807638888888</v>
      </c>
      <c r="B83" t="s">
        <v>72</v>
      </c>
      <c r="C83" t="s">
        <v>193</v>
      </c>
      <c r="D83" t="s">
        <v>74</v>
      </c>
      <c r="E83" t="s">
        <v>77</v>
      </c>
      <c r="F83" t="s">
        <v>197</v>
      </c>
      <c r="G83" t="s">
        <v>104</v>
      </c>
      <c r="H83" t="s">
        <v>102</v>
      </c>
      <c r="I83">
        <v>8</v>
      </c>
      <c r="J83">
        <v>9</v>
      </c>
      <c r="K83">
        <v>5</v>
      </c>
      <c r="L83">
        <v>5</v>
      </c>
      <c r="M83">
        <v>5</v>
      </c>
      <c r="N83">
        <v>5</v>
      </c>
      <c r="O83">
        <v>1</v>
      </c>
      <c r="P83">
        <v>5</v>
      </c>
      <c r="Q83">
        <v>5</v>
      </c>
    </row>
    <row r="84" spans="1:17" x14ac:dyDescent="0.45">
      <c r="A84" s="19">
        <v>46019.814583333333</v>
      </c>
      <c r="B84" t="s">
        <v>72</v>
      </c>
      <c r="C84" t="s">
        <v>79</v>
      </c>
      <c r="D84" t="s">
        <v>74</v>
      </c>
      <c r="E84" t="s">
        <v>75</v>
      </c>
      <c r="F84" t="s">
        <v>100</v>
      </c>
      <c r="G84" t="s">
        <v>104</v>
      </c>
      <c r="H84" t="s">
        <v>105</v>
      </c>
      <c r="I84">
        <v>10</v>
      </c>
      <c r="J84">
        <v>8</v>
      </c>
      <c r="K84">
        <v>8</v>
      </c>
      <c r="L84">
        <v>7</v>
      </c>
      <c r="M84">
        <v>7</v>
      </c>
      <c r="N84">
        <v>6</v>
      </c>
      <c r="O84">
        <v>7</v>
      </c>
      <c r="P84">
        <v>6</v>
      </c>
      <c r="Q84">
        <v>8</v>
      </c>
    </row>
    <row r="85" spans="1:17" x14ac:dyDescent="0.45">
      <c r="A85" s="19">
        <v>46019.818055555559</v>
      </c>
      <c r="B85" t="s">
        <v>72</v>
      </c>
      <c r="C85" t="s">
        <v>73</v>
      </c>
      <c r="D85" t="s">
        <v>74</v>
      </c>
      <c r="E85" t="s">
        <v>190</v>
      </c>
      <c r="F85" t="s">
        <v>100</v>
      </c>
      <c r="G85" t="s">
        <v>104</v>
      </c>
      <c r="H85" t="s">
        <v>102</v>
      </c>
      <c r="I85">
        <v>6</v>
      </c>
      <c r="J85">
        <v>7</v>
      </c>
      <c r="K85">
        <v>5</v>
      </c>
      <c r="L85">
        <v>5</v>
      </c>
      <c r="M85">
        <v>5</v>
      </c>
      <c r="N85">
        <v>5</v>
      </c>
      <c r="O85">
        <v>5</v>
      </c>
      <c r="P85">
        <v>5</v>
      </c>
      <c r="Q85">
        <v>5</v>
      </c>
    </row>
    <row r="86" spans="1:17" x14ac:dyDescent="0.45">
      <c r="A86" s="19">
        <v>46019.819444444445</v>
      </c>
      <c r="B86" t="s">
        <v>72</v>
      </c>
      <c r="C86" t="s">
        <v>79</v>
      </c>
      <c r="D86" t="s">
        <v>74</v>
      </c>
      <c r="E86" t="s">
        <v>77</v>
      </c>
      <c r="F86" t="s">
        <v>100</v>
      </c>
      <c r="G86" t="s">
        <v>104</v>
      </c>
      <c r="H86" t="s">
        <v>105</v>
      </c>
      <c r="I86">
        <v>9</v>
      </c>
      <c r="J86">
        <v>9</v>
      </c>
      <c r="K86">
        <v>8</v>
      </c>
      <c r="L86">
        <v>9</v>
      </c>
      <c r="M86">
        <v>9</v>
      </c>
      <c r="N86">
        <v>9</v>
      </c>
      <c r="O86">
        <v>7</v>
      </c>
      <c r="P86">
        <v>8</v>
      </c>
      <c r="Q86">
        <v>8</v>
      </c>
    </row>
    <row r="87" spans="1:17" x14ac:dyDescent="0.45">
      <c r="A87" s="19">
        <v>46019.820138888892</v>
      </c>
      <c r="B87" t="s">
        <v>78</v>
      </c>
      <c r="C87" t="s">
        <v>73</v>
      </c>
      <c r="D87" t="s">
        <v>80</v>
      </c>
      <c r="E87" t="s">
        <v>77</v>
      </c>
      <c r="F87" t="s">
        <v>100</v>
      </c>
      <c r="G87" t="s">
        <v>104</v>
      </c>
      <c r="H87" t="s">
        <v>110</v>
      </c>
      <c r="I87">
        <v>5</v>
      </c>
      <c r="J87">
        <v>5</v>
      </c>
      <c r="K87">
        <v>10</v>
      </c>
      <c r="L87">
        <v>4</v>
      </c>
      <c r="M87">
        <v>4</v>
      </c>
      <c r="N87">
        <v>5</v>
      </c>
      <c r="O87">
        <v>5</v>
      </c>
      <c r="P87">
        <v>8</v>
      </c>
      <c r="Q87">
        <v>8</v>
      </c>
    </row>
    <row r="88" spans="1:17" x14ac:dyDescent="0.45">
      <c r="A88" s="19">
        <v>46019.824999999997</v>
      </c>
      <c r="B88" t="s">
        <v>78</v>
      </c>
      <c r="C88" t="s">
        <v>79</v>
      </c>
      <c r="D88" t="s">
        <v>74</v>
      </c>
      <c r="E88" t="s">
        <v>77</v>
      </c>
      <c r="F88" t="s">
        <v>100</v>
      </c>
      <c r="G88" t="s">
        <v>104</v>
      </c>
      <c r="H88" t="s">
        <v>105</v>
      </c>
      <c r="I88">
        <v>10</v>
      </c>
      <c r="J88">
        <v>9</v>
      </c>
      <c r="K88">
        <v>9</v>
      </c>
      <c r="L88">
        <v>9</v>
      </c>
      <c r="M88">
        <v>9</v>
      </c>
      <c r="N88">
        <v>9</v>
      </c>
      <c r="O88">
        <v>10</v>
      </c>
      <c r="P88">
        <v>9</v>
      </c>
      <c r="Q88">
        <v>10</v>
      </c>
    </row>
    <row r="89" spans="1:17" x14ac:dyDescent="0.45">
      <c r="A89" s="19">
        <v>46019.836805555555</v>
      </c>
      <c r="B89" t="s">
        <v>72</v>
      </c>
      <c r="C89" t="s">
        <v>79</v>
      </c>
      <c r="D89" t="s">
        <v>74</v>
      </c>
      <c r="E89" t="s">
        <v>192</v>
      </c>
      <c r="F89" t="s">
        <v>100</v>
      </c>
      <c r="G89" t="s">
        <v>194</v>
      </c>
      <c r="H89" t="s">
        <v>105</v>
      </c>
      <c r="I89">
        <v>10</v>
      </c>
      <c r="J89">
        <v>10</v>
      </c>
      <c r="K89">
        <v>10</v>
      </c>
      <c r="L89">
        <v>10</v>
      </c>
      <c r="M89">
        <v>10</v>
      </c>
      <c r="N89">
        <v>10</v>
      </c>
      <c r="O89">
        <v>10</v>
      </c>
      <c r="P89">
        <v>10</v>
      </c>
      <c r="Q89">
        <v>10</v>
      </c>
    </row>
    <row r="90" spans="1:17" x14ac:dyDescent="0.45">
      <c r="A90" s="19">
        <v>46019.838888888888</v>
      </c>
      <c r="B90" t="s">
        <v>72</v>
      </c>
      <c r="C90" t="s">
        <v>73</v>
      </c>
      <c r="D90" t="s">
        <v>74</v>
      </c>
      <c r="E90" t="s">
        <v>190</v>
      </c>
      <c r="F90" t="s">
        <v>100</v>
      </c>
      <c r="G90" t="s">
        <v>194</v>
      </c>
      <c r="H90" t="s">
        <v>102</v>
      </c>
      <c r="I90">
        <v>10</v>
      </c>
      <c r="J90">
        <v>9</v>
      </c>
      <c r="K90">
        <v>9</v>
      </c>
      <c r="L90">
        <v>9</v>
      </c>
      <c r="M90">
        <v>10</v>
      </c>
      <c r="N90">
        <v>9</v>
      </c>
      <c r="O90">
        <v>9</v>
      </c>
      <c r="P90">
        <v>8</v>
      </c>
      <c r="Q90">
        <v>9</v>
      </c>
    </row>
    <row r="91" spans="1:17" x14ac:dyDescent="0.45">
      <c r="A91" s="19">
        <v>46019.84097222222</v>
      </c>
      <c r="B91" t="s">
        <v>72</v>
      </c>
      <c r="C91" t="s">
        <v>73</v>
      </c>
      <c r="D91" t="s">
        <v>80</v>
      </c>
      <c r="E91" t="s">
        <v>77</v>
      </c>
      <c r="F91" t="s">
        <v>100</v>
      </c>
      <c r="G91" t="s">
        <v>194</v>
      </c>
      <c r="H91" t="s">
        <v>195</v>
      </c>
      <c r="I91">
        <v>6</v>
      </c>
      <c r="J91">
        <v>10</v>
      </c>
      <c r="K91">
        <v>8</v>
      </c>
      <c r="L91">
        <v>9</v>
      </c>
      <c r="M91">
        <v>9</v>
      </c>
      <c r="N91">
        <v>9</v>
      </c>
      <c r="O91">
        <v>8</v>
      </c>
      <c r="P91">
        <v>8</v>
      </c>
      <c r="Q91">
        <v>9</v>
      </c>
    </row>
    <row r="92" spans="1:17" x14ac:dyDescent="0.45">
      <c r="A92" s="19">
        <v>46019.848611111112</v>
      </c>
      <c r="B92" t="s">
        <v>72</v>
      </c>
      <c r="C92" t="s">
        <v>73</v>
      </c>
      <c r="D92" t="s">
        <v>74</v>
      </c>
      <c r="E92" t="s">
        <v>77</v>
      </c>
      <c r="F92" t="s">
        <v>100</v>
      </c>
      <c r="G92" t="s">
        <v>194</v>
      </c>
      <c r="H92" t="s">
        <v>105</v>
      </c>
      <c r="I92">
        <v>10</v>
      </c>
      <c r="J92">
        <v>9</v>
      </c>
      <c r="K92">
        <v>9</v>
      </c>
      <c r="L92">
        <v>9</v>
      </c>
      <c r="M92">
        <v>10</v>
      </c>
      <c r="N92">
        <v>9</v>
      </c>
      <c r="O92">
        <v>8</v>
      </c>
      <c r="P92">
        <v>8</v>
      </c>
      <c r="Q92">
        <v>10</v>
      </c>
    </row>
    <row r="93" spans="1:17" x14ac:dyDescent="0.45">
      <c r="A93" s="19">
        <v>46019.859722222223</v>
      </c>
      <c r="B93" t="s">
        <v>78</v>
      </c>
      <c r="C93" t="s">
        <v>73</v>
      </c>
      <c r="D93" t="s">
        <v>74</v>
      </c>
      <c r="E93" t="s">
        <v>77</v>
      </c>
      <c r="F93" t="s">
        <v>100</v>
      </c>
      <c r="G93" t="s">
        <v>194</v>
      </c>
      <c r="H93" t="s">
        <v>105</v>
      </c>
      <c r="I93">
        <v>10</v>
      </c>
      <c r="J93">
        <v>10</v>
      </c>
      <c r="K93">
        <v>10</v>
      </c>
      <c r="L93">
        <v>10</v>
      </c>
      <c r="M93">
        <v>10</v>
      </c>
      <c r="N93">
        <v>1</v>
      </c>
      <c r="O93">
        <v>10</v>
      </c>
      <c r="P93">
        <v>10</v>
      </c>
      <c r="Q93">
        <v>10</v>
      </c>
    </row>
    <row r="94" spans="1:17" x14ac:dyDescent="0.45">
      <c r="A94" s="19">
        <v>46019.859722222223</v>
      </c>
      <c r="B94" t="s">
        <v>78</v>
      </c>
      <c r="C94" t="s">
        <v>73</v>
      </c>
      <c r="D94" t="s">
        <v>74</v>
      </c>
      <c r="E94" t="s">
        <v>77</v>
      </c>
      <c r="F94" t="s">
        <v>100</v>
      </c>
      <c r="G94" t="s">
        <v>109</v>
      </c>
      <c r="H94" t="s">
        <v>105</v>
      </c>
      <c r="I94">
        <v>5</v>
      </c>
      <c r="J94">
        <v>8</v>
      </c>
      <c r="K94">
        <v>4</v>
      </c>
      <c r="L94">
        <v>9</v>
      </c>
      <c r="M94">
        <v>7</v>
      </c>
      <c r="N94">
        <v>5</v>
      </c>
      <c r="O94">
        <v>7</v>
      </c>
      <c r="P94">
        <v>8</v>
      </c>
      <c r="Q94">
        <v>10</v>
      </c>
    </row>
    <row r="95" spans="1:17" x14ac:dyDescent="0.45">
      <c r="A95" s="19">
        <v>46019.88958333333</v>
      </c>
      <c r="B95" t="s">
        <v>72</v>
      </c>
      <c r="C95" t="s">
        <v>73</v>
      </c>
      <c r="D95" t="s">
        <v>74</v>
      </c>
      <c r="E95" t="s">
        <v>75</v>
      </c>
      <c r="F95" t="s">
        <v>100</v>
      </c>
      <c r="G95" t="s">
        <v>194</v>
      </c>
      <c r="H95" t="s">
        <v>110</v>
      </c>
      <c r="I95">
        <v>9</v>
      </c>
      <c r="J95">
        <v>7</v>
      </c>
      <c r="K95">
        <v>5</v>
      </c>
      <c r="L95">
        <v>7</v>
      </c>
      <c r="M95">
        <v>5</v>
      </c>
      <c r="N95">
        <v>8</v>
      </c>
      <c r="O95">
        <v>5</v>
      </c>
      <c r="P95">
        <v>5</v>
      </c>
      <c r="Q95">
        <v>7</v>
      </c>
    </row>
    <row r="96" spans="1:17" x14ac:dyDescent="0.45">
      <c r="A96" s="19">
        <v>46019.900694444441</v>
      </c>
      <c r="B96" t="s">
        <v>72</v>
      </c>
      <c r="C96" t="s">
        <v>79</v>
      </c>
      <c r="D96" t="s">
        <v>74</v>
      </c>
      <c r="E96" t="s">
        <v>77</v>
      </c>
      <c r="F96" t="s">
        <v>100</v>
      </c>
      <c r="G96" t="s">
        <v>109</v>
      </c>
      <c r="H96" t="s">
        <v>106</v>
      </c>
      <c r="I96">
        <v>4</v>
      </c>
      <c r="J96">
        <v>6</v>
      </c>
      <c r="K96">
        <v>5</v>
      </c>
      <c r="L96">
        <v>5</v>
      </c>
      <c r="M96">
        <v>4</v>
      </c>
      <c r="N96">
        <v>4</v>
      </c>
      <c r="O96">
        <v>3</v>
      </c>
      <c r="P96">
        <v>4</v>
      </c>
      <c r="Q96">
        <v>3</v>
      </c>
    </row>
    <row r="97" spans="1:17" x14ac:dyDescent="0.45">
      <c r="A97" s="19">
        <v>46019.902083333334</v>
      </c>
      <c r="B97" t="s">
        <v>78</v>
      </c>
      <c r="C97" t="s">
        <v>189</v>
      </c>
      <c r="D97" t="s">
        <v>74</v>
      </c>
      <c r="E97" t="s">
        <v>77</v>
      </c>
      <c r="F97" t="s">
        <v>100</v>
      </c>
      <c r="G97" t="s">
        <v>194</v>
      </c>
      <c r="H97" t="s">
        <v>110</v>
      </c>
      <c r="I97">
        <v>8</v>
      </c>
      <c r="J97">
        <v>7</v>
      </c>
      <c r="K97">
        <v>5</v>
      </c>
      <c r="L97">
        <v>7</v>
      </c>
      <c r="M97">
        <v>7</v>
      </c>
      <c r="N97">
        <v>5</v>
      </c>
      <c r="O97">
        <v>5</v>
      </c>
      <c r="P97">
        <v>7</v>
      </c>
      <c r="Q97">
        <v>7</v>
      </c>
    </row>
    <row r="98" spans="1:17" x14ac:dyDescent="0.45">
      <c r="A98" s="19">
        <v>46019.902777777781</v>
      </c>
      <c r="B98" t="s">
        <v>72</v>
      </c>
      <c r="C98" t="s">
        <v>193</v>
      </c>
      <c r="D98" t="s">
        <v>74</v>
      </c>
      <c r="E98" t="s">
        <v>77</v>
      </c>
      <c r="F98" t="s">
        <v>103</v>
      </c>
      <c r="G98" t="s">
        <v>108</v>
      </c>
      <c r="H98" t="s">
        <v>195</v>
      </c>
      <c r="I98">
        <v>6</v>
      </c>
      <c r="J98">
        <v>6</v>
      </c>
      <c r="K98">
        <v>5</v>
      </c>
      <c r="L98">
        <v>5</v>
      </c>
      <c r="M98">
        <v>5</v>
      </c>
      <c r="N98">
        <v>5</v>
      </c>
      <c r="O98">
        <v>5</v>
      </c>
      <c r="P98">
        <v>5</v>
      </c>
      <c r="Q98">
        <v>5</v>
      </c>
    </row>
    <row r="99" spans="1:17" x14ac:dyDescent="0.45">
      <c r="A99" s="19">
        <v>46019.90347222222</v>
      </c>
      <c r="B99" t="s">
        <v>72</v>
      </c>
      <c r="C99" t="s">
        <v>73</v>
      </c>
      <c r="D99" t="s">
        <v>80</v>
      </c>
      <c r="E99" t="s">
        <v>77</v>
      </c>
      <c r="F99" t="s">
        <v>100</v>
      </c>
      <c r="G99" t="s">
        <v>196</v>
      </c>
      <c r="H99" t="s">
        <v>110</v>
      </c>
      <c r="I99">
        <v>8</v>
      </c>
      <c r="J99">
        <v>8</v>
      </c>
      <c r="K99">
        <v>5</v>
      </c>
      <c r="L99">
        <v>8</v>
      </c>
      <c r="M99">
        <v>6</v>
      </c>
      <c r="N99">
        <v>9</v>
      </c>
      <c r="O99">
        <v>5</v>
      </c>
      <c r="P99">
        <v>7</v>
      </c>
      <c r="Q99">
        <v>8</v>
      </c>
    </row>
    <row r="100" spans="1:17" x14ac:dyDescent="0.45">
      <c r="A100" s="19">
        <v>46019.904861111114</v>
      </c>
      <c r="B100" t="s">
        <v>78</v>
      </c>
      <c r="C100" t="s">
        <v>81</v>
      </c>
      <c r="D100" t="s">
        <v>74</v>
      </c>
      <c r="E100" t="s">
        <v>77</v>
      </c>
      <c r="F100" t="s">
        <v>100</v>
      </c>
      <c r="G100" t="s">
        <v>101</v>
      </c>
      <c r="H100" t="s">
        <v>102</v>
      </c>
      <c r="I100">
        <v>6</v>
      </c>
      <c r="J100">
        <v>6</v>
      </c>
      <c r="K100">
        <v>3</v>
      </c>
      <c r="L100">
        <v>6</v>
      </c>
      <c r="M100">
        <v>5</v>
      </c>
      <c r="N100">
        <v>6</v>
      </c>
      <c r="O100">
        <v>5</v>
      </c>
      <c r="P100">
        <v>6</v>
      </c>
      <c r="Q100">
        <v>6</v>
      </c>
    </row>
    <row r="101" spans="1:17" x14ac:dyDescent="0.45">
      <c r="A101" s="19">
        <v>46020.206944444442</v>
      </c>
      <c r="B101" t="s">
        <v>72</v>
      </c>
      <c r="C101" t="s">
        <v>193</v>
      </c>
      <c r="D101" t="s">
        <v>74</v>
      </c>
      <c r="E101" t="s">
        <v>77</v>
      </c>
      <c r="F101" t="s">
        <v>100</v>
      </c>
      <c r="G101" t="s">
        <v>104</v>
      </c>
      <c r="H101" t="s">
        <v>102</v>
      </c>
      <c r="I101">
        <v>8</v>
      </c>
      <c r="J101">
        <v>8</v>
      </c>
      <c r="K101">
        <v>8</v>
      </c>
      <c r="L101">
        <v>10</v>
      </c>
      <c r="M101">
        <v>10</v>
      </c>
      <c r="N101">
        <v>10</v>
      </c>
      <c r="O101">
        <v>10</v>
      </c>
      <c r="P101">
        <v>10</v>
      </c>
      <c r="Q101">
        <v>10</v>
      </c>
    </row>
    <row r="102" spans="1:17" x14ac:dyDescent="0.45">
      <c r="A102" s="19">
        <v>46020.280555555553</v>
      </c>
      <c r="B102" t="s">
        <v>72</v>
      </c>
      <c r="C102" t="s">
        <v>191</v>
      </c>
      <c r="D102" t="s">
        <v>74</v>
      </c>
      <c r="E102" t="s">
        <v>75</v>
      </c>
      <c r="F102" t="s">
        <v>100</v>
      </c>
      <c r="G102" t="s">
        <v>107</v>
      </c>
      <c r="H102" t="s">
        <v>195</v>
      </c>
      <c r="I102">
        <v>8</v>
      </c>
      <c r="J102">
        <v>8</v>
      </c>
      <c r="K102">
        <v>7</v>
      </c>
      <c r="L102">
        <v>8</v>
      </c>
      <c r="M102">
        <v>8</v>
      </c>
      <c r="N102">
        <v>7</v>
      </c>
      <c r="O102">
        <v>7</v>
      </c>
      <c r="P102">
        <v>7</v>
      </c>
      <c r="Q102">
        <v>8</v>
      </c>
    </row>
    <row r="103" spans="1:17" x14ac:dyDescent="0.45">
      <c r="A103" s="19">
        <v>46020.28125</v>
      </c>
      <c r="B103" t="s">
        <v>78</v>
      </c>
      <c r="C103" t="s">
        <v>189</v>
      </c>
      <c r="D103" t="s">
        <v>74</v>
      </c>
      <c r="E103" t="s">
        <v>77</v>
      </c>
      <c r="F103" t="s">
        <v>100</v>
      </c>
      <c r="G103" t="s">
        <v>104</v>
      </c>
      <c r="H103" t="s">
        <v>110</v>
      </c>
      <c r="I103">
        <v>5</v>
      </c>
      <c r="J103">
        <v>5</v>
      </c>
      <c r="K103">
        <v>5</v>
      </c>
      <c r="L103">
        <v>5</v>
      </c>
      <c r="M103">
        <v>5</v>
      </c>
      <c r="N103">
        <v>5</v>
      </c>
      <c r="O103">
        <v>5</v>
      </c>
      <c r="P103">
        <v>5</v>
      </c>
      <c r="Q103">
        <v>5</v>
      </c>
    </row>
    <row r="104" spans="1:17" x14ac:dyDescent="0.45">
      <c r="A104" s="19">
        <v>46020.282638888886</v>
      </c>
      <c r="B104" t="s">
        <v>72</v>
      </c>
      <c r="C104" t="s">
        <v>193</v>
      </c>
      <c r="D104" t="s">
        <v>74</v>
      </c>
      <c r="E104" t="s">
        <v>77</v>
      </c>
      <c r="F104" t="s">
        <v>100</v>
      </c>
      <c r="G104" t="s">
        <v>109</v>
      </c>
      <c r="H104" t="s">
        <v>105</v>
      </c>
      <c r="I104">
        <v>8</v>
      </c>
      <c r="J104">
        <v>8</v>
      </c>
      <c r="K104">
        <v>5</v>
      </c>
      <c r="L104">
        <v>8</v>
      </c>
      <c r="M104">
        <v>5</v>
      </c>
      <c r="N104">
        <v>5</v>
      </c>
      <c r="O104">
        <v>6</v>
      </c>
      <c r="P104">
        <v>6</v>
      </c>
      <c r="Q104">
        <v>5</v>
      </c>
    </row>
    <row r="105" spans="1:17" x14ac:dyDescent="0.45">
      <c r="A105" s="19">
        <v>46020.282638888886</v>
      </c>
      <c r="B105" t="s">
        <v>78</v>
      </c>
      <c r="C105" t="s">
        <v>73</v>
      </c>
      <c r="D105" t="s">
        <v>74</v>
      </c>
      <c r="E105" t="s">
        <v>77</v>
      </c>
      <c r="F105" t="s">
        <v>100</v>
      </c>
      <c r="G105" t="s">
        <v>196</v>
      </c>
      <c r="H105" t="s">
        <v>110</v>
      </c>
      <c r="I105">
        <v>6</v>
      </c>
      <c r="J105">
        <v>7</v>
      </c>
      <c r="K105">
        <v>6</v>
      </c>
      <c r="L105">
        <v>8</v>
      </c>
      <c r="M105">
        <v>6</v>
      </c>
      <c r="N105">
        <v>7</v>
      </c>
      <c r="O105">
        <v>6</v>
      </c>
      <c r="P105">
        <v>6</v>
      </c>
      <c r="Q105">
        <v>7</v>
      </c>
    </row>
    <row r="106" spans="1:17" x14ac:dyDescent="0.45">
      <c r="A106" s="19">
        <v>46020.347916666666</v>
      </c>
      <c r="B106" t="s">
        <v>78</v>
      </c>
      <c r="C106" t="s">
        <v>81</v>
      </c>
      <c r="D106" t="s">
        <v>74</v>
      </c>
      <c r="E106" t="s">
        <v>77</v>
      </c>
      <c r="F106" t="s">
        <v>100</v>
      </c>
      <c r="G106" t="s">
        <v>104</v>
      </c>
      <c r="H106" t="s">
        <v>102</v>
      </c>
      <c r="I106">
        <v>9</v>
      </c>
      <c r="J106">
        <v>10</v>
      </c>
      <c r="K106">
        <v>8</v>
      </c>
      <c r="L106">
        <v>8</v>
      </c>
      <c r="M106">
        <v>9</v>
      </c>
      <c r="N106">
        <v>9</v>
      </c>
      <c r="O106">
        <v>8</v>
      </c>
      <c r="P106">
        <v>6</v>
      </c>
      <c r="Q106">
        <v>9</v>
      </c>
    </row>
    <row r="107" spans="1:17" x14ac:dyDescent="0.45">
      <c r="A107" s="19">
        <v>46020.356249999997</v>
      </c>
      <c r="B107" t="s">
        <v>72</v>
      </c>
      <c r="C107" t="s">
        <v>81</v>
      </c>
      <c r="D107" t="s">
        <v>74</v>
      </c>
      <c r="E107" t="s">
        <v>77</v>
      </c>
      <c r="F107" t="s">
        <v>100</v>
      </c>
      <c r="G107" t="s">
        <v>194</v>
      </c>
      <c r="H107" t="s">
        <v>110</v>
      </c>
      <c r="I107">
        <v>10</v>
      </c>
      <c r="J107">
        <v>5</v>
      </c>
      <c r="K107">
        <v>8</v>
      </c>
      <c r="L107">
        <v>8</v>
      </c>
      <c r="M107">
        <v>10</v>
      </c>
      <c r="N107">
        <v>10</v>
      </c>
      <c r="O107">
        <v>10</v>
      </c>
      <c r="P107">
        <v>10</v>
      </c>
      <c r="Q107">
        <v>10</v>
      </c>
    </row>
    <row r="108" spans="1:17" x14ac:dyDescent="0.45">
      <c r="A108" s="19">
        <v>46020.36041666667</v>
      </c>
      <c r="B108" t="s">
        <v>72</v>
      </c>
      <c r="C108" t="s">
        <v>79</v>
      </c>
      <c r="D108" t="s">
        <v>74</v>
      </c>
      <c r="E108" t="s">
        <v>77</v>
      </c>
      <c r="F108" t="s">
        <v>100</v>
      </c>
      <c r="G108" t="s">
        <v>101</v>
      </c>
      <c r="H108" t="s">
        <v>102</v>
      </c>
      <c r="I108">
        <v>7</v>
      </c>
      <c r="J108">
        <v>7</v>
      </c>
      <c r="K108">
        <v>7</v>
      </c>
      <c r="L108">
        <v>7</v>
      </c>
      <c r="M108">
        <v>7</v>
      </c>
      <c r="N108">
        <v>7</v>
      </c>
      <c r="O108">
        <v>7</v>
      </c>
      <c r="P108">
        <v>7</v>
      </c>
      <c r="Q108">
        <v>8</v>
      </c>
    </row>
    <row r="109" spans="1:17" x14ac:dyDescent="0.45">
      <c r="A109" s="19">
        <v>46020.369444444441</v>
      </c>
      <c r="B109" t="s">
        <v>72</v>
      </c>
      <c r="C109" t="s">
        <v>79</v>
      </c>
      <c r="D109" t="s">
        <v>74</v>
      </c>
      <c r="E109" t="s">
        <v>77</v>
      </c>
      <c r="F109" t="s">
        <v>100</v>
      </c>
      <c r="G109" t="s">
        <v>104</v>
      </c>
      <c r="H109" t="s">
        <v>102</v>
      </c>
      <c r="I109">
        <v>5</v>
      </c>
      <c r="J109">
        <v>10</v>
      </c>
      <c r="K109">
        <v>5</v>
      </c>
      <c r="L109">
        <v>5</v>
      </c>
      <c r="M109">
        <v>5</v>
      </c>
      <c r="N109">
        <v>5</v>
      </c>
      <c r="O109">
        <v>8</v>
      </c>
      <c r="P109">
        <v>5</v>
      </c>
      <c r="Q109">
        <v>6</v>
      </c>
    </row>
    <row r="110" spans="1:17" x14ac:dyDescent="0.45">
      <c r="A110" s="19">
        <v>46020.377083333333</v>
      </c>
      <c r="B110" t="s">
        <v>72</v>
      </c>
      <c r="C110" t="s">
        <v>79</v>
      </c>
      <c r="D110" t="s">
        <v>74</v>
      </c>
      <c r="E110" t="s">
        <v>77</v>
      </c>
      <c r="F110" t="s">
        <v>100</v>
      </c>
      <c r="G110" t="s">
        <v>104</v>
      </c>
      <c r="H110" t="s">
        <v>102</v>
      </c>
      <c r="I110">
        <v>10</v>
      </c>
      <c r="J110">
        <v>10</v>
      </c>
      <c r="K110">
        <v>10</v>
      </c>
      <c r="L110">
        <v>10</v>
      </c>
      <c r="M110">
        <v>10</v>
      </c>
      <c r="N110">
        <v>10</v>
      </c>
      <c r="O110">
        <v>10</v>
      </c>
      <c r="P110">
        <v>10</v>
      </c>
      <c r="Q110">
        <v>10</v>
      </c>
    </row>
    <row r="111" spans="1:17" x14ac:dyDescent="0.45">
      <c r="A111" s="19">
        <v>46020.381944444445</v>
      </c>
      <c r="B111" t="s">
        <v>78</v>
      </c>
      <c r="C111" t="s">
        <v>73</v>
      </c>
      <c r="D111" t="s">
        <v>74</v>
      </c>
      <c r="E111" t="s">
        <v>77</v>
      </c>
      <c r="F111" t="s">
        <v>100</v>
      </c>
      <c r="G111" t="s">
        <v>111</v>
      </c>
      <c r="H111" t="s">
        <v>105</v>
      </c>
      <c r="I111">
        <v>7</v>
      </c>
      <c r="J111">
        <v>6</v>
      </c>
      <c r="K111">
        <v>8</v>
      </c>
      <c r="L111">
        <v>8</v>
      </c>
      <c r="M111">
        <v>7</v>
      </c>
      <c r="N111">
        <v>6</v>
      </c>
      <c r="O111">
        <v>5</v>
      </c>
      <c r="P111">
        <v>5</v>
      </c>
      <c r="Q111">
        <v>8</v>
      </c>
    </row>
    <row r="112" spans="1:17" x14ac:dyDescent="0.45">
      <c r="A112" s="19">
        <v>46020.398611111108</v>
      </c>
      <c r="B112" t="s">
        <v>78</v>
      </c>
      <c r="C112" t="s">
        <v>191</v>
      </c>
      <c r="D112" t="s">
        <v>74</v>
      </c>
      <c r="E112" t="s">
        <v>77</v>
      </c>
      <c r="F112" t="s">
        <v>100</v>
      </c>
      <c r="G112" t="s">
        <v>101</v>
      </c>
      <c r="H112" t="s">
        <v>102</v>
      </c>
      <c r="I112">
        <v>8</v>
      </c>
      <c r="J112">
        <v>8</v>
      </c>
      <c r="K112">
        <v>6</v>
      </c>
      <c r="L112">
        <v>7</v>
      </c>
      <c r="M112">
        <v>6</v>
      </c>
      <c r="N112">
        <v>7</v>
      </c>
      <c r="O112">
        <v>5</v>
      </c>
      <c r="P112">
        <v>5</v>
      </c>
      <c r="Q112">
        <v>5</v>
      </c>
    </row>
    <row r="113" spans="1:17" x14ac:dyDescent="0.45">
      <c r="A113" s="19">
        <v>46020.4</v>
      </c>
      <c r="B113" t="s">
        <v>72</v>
      </c>
      <c r="C113" t="s">
        <v>79</v>
      </c>
      <c r="D113" t="s">
        <v>74</v>
      </c>
      <c r="E113" t="s">
        <v>77</v>
      </c>
      <c r="F113" t="s">
        <v>100</v>
      </c>
      <c r="G113" t="s">
        <v>196</v>
      </c>
      <c r="H113" t="s">
        <v>105</v>
      </c>
      <c r="I113">
        <v>7</v>
      </c>
      <c r="J113">
        <v>8</v>
      </c>
      <c r="K113">
        <v>8</v>
      </c>
      <c r="L113">
        <v>8</v>
      </c>
      <c r="M113">
        <v>8</v>
      </c>
      <c r="N113">
        <v>8</v>
      </c>
      <c r="O113">
        <v>8</v>
      </c>
      <c r="P113">
        <v>8</v>
      </c>
      <c r="Q113">
        <v>8</v>
      </c>
    </row>
    <row r="114" spans="1:17" x14ac:dyDescent="0.45">
      <c r="A114" s="19">
        <v>46020.409722222219</v>
      </c>
      <c r="B114" t="s">
        <v>72</v>
      </c>
      <c r="C114" t="s">
        <v>73</v>
      </c>
      <c r="D114" t="s">
        <v>74</v>
      </c>
      <c r="E114" t="s">
        <v>77</v>
      </c>
      <c r="F114" t="s">
        <v>100</v>
      </c>
      <c r="G114" t="s">
        <v>194</v>
      </c>
      <c r="H114" t="s">
        <v>106</v>
      </c>
      <c r="I114">
        <v>1</v>
      </c>
      <c r="J114">
        <v>1</v>
      </c>
      <c r="K114">
        <v>1</v>
      </c>
      <c r="L114">
        <v>1</v>
      </c>
      <c r="M114">
        <v>1</v>
      </c>
      <c r="N114">
        <v>1</v>
      </c>
      <c r="O114">
        <v>1</v>
      </c>
      <c r="P114">
        <v>1</v>
      </c>
      <c r="Q114">
        <v>1</v>
      </c>
    </row>
    <row r="115" spans="1:17" x14ac:dyDescent="0.45">
      <c r="A115" s="19">
        <v>46020.418749999997</v>
      </c>
      <c r="B115" t="s">
        <v>72</v>
      </c>
      <c r="C115" t="s">
        <v>79</v>
      </c>
      <c r="D115" t="s">
        <v>74</v>
      </c>
      <c r="E115" t="s">
        <v>77</v>
      </c>
      <c r="F115" t="s">
        <v>100</v>
      </c>
      <c r="G115" t="s">
        <v>196</v>
      </c>
      <c r="H115" t="s">
        <v>195</v>
      </c>
      <c r="I115">
        <v>10</v>
      </c>
      <c r="J115">
        <v>10</v>
      </c>
      <c r="K115">
        <v>10</v>
      </c>
      <c r="L115">
        <v>10</v>
      </c>
      <c r="M115">
        <v>10</v>
      </c>
      <c r="N115">
        <v>10</v>
      </c>
      <c r="O115">
        <v>10</v>
      </c>
      <c r="P115">
        <v>10</v>
      </c>
      <c r="Q115">
        <v>10</v>
      </c>
    </row>
    <row r="116" spans="1:17" x14ac:dyDescent="0.45">
      <c r="A116" s="19">
        <v>46020.420138888891</v>
      </c>
      <c r="B116" t="s">
        <v>72</v>
      </c>
      <c r="C116" t="s">
        <v>79</v>
      </c>
      <c r="D116" t="s">
        <v>74</v>
      </c>
      <c r="E116" t="s">
        <v>75</v>
      </c>
      <c r="F116" t="s">
        <v>100</v>
      </c>
      <c r="G116" t="s">
        <v>104</v>
      </c>
      <c r="H116" t="s">
        <v>195</v>
      </c>
      <c r="I116">
        <v>1</v>
      </c>
      <c r="J116">
        <v>1</v>
      </c>
      <c r="K116">
        <v>1</v>
      </c>
      <c r="L116">
        <v>1</v>
      </c>
      <c r="M116">
        <v>1</v>
      </c>
      <c r="N116">
        <v>1</v>
      </c>
      <c r="O116">
        <v>1</v>
      </c>
      <c r="P116">
        <v>1</v>
      </c>
      <c r="Q116">
        <v>1</v>
      </c>
    </row>
    <row r="117" spans="1:17" x14ac:dyDescent="0.45">
      <c r="A117" s="19">
        <v>46020.493055555555</v>
      </c>
      <c r="B117" t="s">
        <v>72</v>
      </c>
      <c r="C117" t="s">
        <v>79</v>
      </c>
      <c r="D117" t="s">
        <v>74</v>
      </c>
      <c r="E117" t="s">
        <v>75</v>
      </c>
      <c r="F117" t="s">
        <v>100</v>
      </c>
      <c r="G117" t="s">
        <v>104</v>
      </c>
      <c r="H117" t="s">
        <v>110</v>
      </c>
      <c r="I117">
        <v>9</v>
      </c>
      <c r="J117">
        <v>9</v>
      </c>
      <c r="K117">
        <v>9</v>
      </c>
      <c r="L117">
        <v>9</v>
      </c>
      <c r="M117">
        <v>9</v>
      </c>
      <c r="N117">
        <v>9</v>
      </c>
      <c r="O117">
        <v>9</v>
      </c>
      <c r="P117">
        <v>8</v>
      </c>
      <c r="Q117">
        <v>9</v>
      </c>
    </row>
    <row r="118" spans="1:17" x14ac:dyDescent="0.45">
      <c r="A118" s="19">
        <v>46020.506944444445</v>
      </c>
      <c r="B118" t="s">
        <v>72</v>
      </c>
      <c r="C118" t="s">
        <v>79</v>
      </c>
      <c r="D118" t="s">
        <v>74</v>
      </c>
      <c r="E118" t="s">
        <v>77</v>
      </c>
      <c r="F118" t="s">
        <v>100</v>
      </c>
      <c r="G118" t="s">
        <v>111</v>
      </c>
      <c r="H118" t="s">
        <v>110</v>
      </c>
      <c r="I118">
        <v>8</v>
      </c>
      <c r="J118">
        <v>9</v>
      </c>
      <c r="K118">
        <v>8</v>
      </c>
      <c r="L118">
        <v>6</v>
      </c>
      <c r="M118">
        <v>8</v>
      </c>
      <c r="N118">
        <v>8</v>
      </c>
      <c r="O118">
        <v>8</v>
      </c>
      <c r="P118">
        <v>8</v>
      </c>
      <c r="Q118">
        <v>6</v>
      </c>
    </row>
    <row r="119" spans="1:17" x14ac:dyDescent="0.45">
      <c r="A119" s="19">
        <v>46020.542361111111</v>
      </c>
      <c r="B119" t="s">
        <v>78</v>
      </c>
      <c r="C119" t="s">
        <v>73</v>
      </c>
      <c r="D119" t="s">
        <v>74</v>
      </c>
      <c r="E119" t="s">
        <v>75</v>
      </c>
      <c r="F119" t="s">
        <v>100</v>
      </c>
      <c r="G119" t="s">
        <v>109</v>
      </c>
      <c r="H119" t="s">
        <v>102</v>
      </c>
      <c r="I119">
        <v>4</v>
      </c>
      <c r="J119">
        <v>1</v>
      </c>
      <c r="K119">
        <v>1</v>
      </c>
      <c r="L119">
        <v>5</v>
      </c>
      <c r="M119">
        <v>1</v>
      </c>
      <c r="N119">
        <v>3</v>
      </c>
      <c r="O119">
        <v>1</v>
      </c>
      <c r="P119">
        <v>1</v>
      </c>
      <c r="Q119">
        <v>5</v>
      </c>
    </row>
    <row r="120" spans="1:17" x14ac:dyDescent="0.45">
      <c r="A120" s="19">
        <v>46020.543055555558</v>
      </c>
      <c r="B120" t="s">
        <v>72</v>
      </c>
      <c r="C120" t="s">
        <v>193</v>
      </c>
      <c r="D120" t="s">
        <v>74</v>
      </c>
      <c r="E120" t="s">
        <v>77</v>
      </c>
      <c r="F120" t="s">
        <v>100</v>
      </c>
      <c r="G120" t="s">
        <v>111</v>
      </c>
      <c r="H120" t="s">
        <v>195</v>
      </c>
      <c r="I120">
        <v>8</v>
      </c>
      <c r="J120">
        <v>8</v>
      </c>
      <c r="K120">
        <v>6</v>
      </c>
      <c r="L120">
        <v>9</v>
      </c>
      <c r="M120">
        <v>8</v>
      </c>
      <c r="N120">
        <v>7</v>
      </c>
      <c r="O120">
        <v>7</v>
      </c>
      <c r="P120">
        <v>7</v>
      </c>
      <c r="Q120">
        <v>7</v>
      </c>
    </row>
    <row r="121" spans="1:17" x14ac:dyDescent="0.45">
      <c r="A121" s="19">
        <v>46020.543749999997</v>
      </c>
      <c r="B121" t="s">
        <v>72</v>
      </c>
      <c r="C121" t="s">
        <v>79</v>
      </c>
      <c r="D121" t="s">
        <v>80</v>
      </c>
      <c r="E121" t="s">
        <v>77</v>
      </c>
      <c r="F121" t="s">
        <v>100</v>
      </c>
      <c r="G121" t="s">
        <v>101</v>
      </c>
      <c r="H121" t="s">
        <v>106</v>
      </c>
      <c r="I121">
        <v>6</v>
      </c>
      <c r="J121">
        <v>6</v>
      </c>
      <c r="K121">
        <v>6</v>
      </c>
      <c r="L121">
        <v>6</v>
      </c>
      <c r="M121">
        <v>6</v>
      </c>
      <c r="N121">
        <v>6</v>
      </c>
      <c r="O121">
        <v>6</v>
      </c>
      <c r="P121">
        <v>6</v>
      </c>
      <c r="Q121">
        <v>6</v>
      </c>
    </row>
    <row r="122" spans="1:17" x14ac:dyDescent="0.45">
      <c r="A122" s="19">
        <v>46020.544444444444</v>
      </c>
      <c r="B122" t="s">
        <v>78</v>
      </c>
      <c r="C122" t="s">
        <v>191</v>
      </c>
      <c r="D122" t="s">
        <v>74</v>
      </c>
      <c r="E122" t="s">
        <v>75</v>
      </c>
      <c r="F122" t="s">
        <v>103</v>
      </c>
      <c r="G122" t="s">
        <v>108</v>
      </c>
      <c r="H122" t="s">
        <v>195</v>
      </c>
      <c r="I122">
        <v>1</v>
      </c>
      <c r="J122">
        <v>1</v>
      </c>
      <c r="K122">
        <v>1</v>
      </c>
      <c r="L122">
        <v>5</v>
      </c>
      <c r="M122">
        <v>1</v>
      </c>
      <c r="N122">
        <v>1</v>
      </c>
      <c r="O122">
        <v>1</v>
      </c>
      <c r="P122">
        <v>1</v>
      </c>
      <c r="Q122">
        <v>5</v>
      </c>
    </row>
    <row r="123" spans="1:17" x14ac:dyDescent="0.45">
      <c r="A123" s="19">
        <v>46020.545138888891</v>
      </c>
      <c r="B123" t="s">
        <v>78</v>
      </c>
      <c r="C123" t="s">
        <v>79</v>
      </c>
      <c r="D123" t="s">
        <v>74</v>
      </c>
      <c r="E123" t="s">
        <v>77</v>
      </c>
      <c r="F123" t="s">
        <v>100</v>
      </c>
      <c r="G123" t="s">
        <v>108</v>
      </c>
      <c r="H123" t="s">
        <v>110</v>
      </c>
      <c r="I123">
        <v>4</v>
      </c>
      <c r="J123">
        <v>4</v>
      </c>
      <c r="K123">
        <v>2</v>
      </c>
      <c r="L123">
        <v>5</v>
      </c>
      <c r="M123">
        <v>1</v>
      </c>
      <c r="N123">
        <v>1</v>
      </c>
      <c r="O123">
        <v>1</v>
      </c>
      <c r="P123">
        <v>4</v>
      </c>
      <c r="Q123">
        <v>4</v>
      </c>
    </row>
    <row r="124" spans="1:17" x14ac:dyDescent="0.45">
      <c r="A124" s="19">
        <v>46020.54583333333</v>
      </c>
      <c r="B124" t="s">
        <v>72</v>
      </c>
      <c r="C124" t="s">
        <v>189</v>
      </c>
      <c r="D124" t="s">
        <v>74</v>
      </c>
      <c r="E124" t="s">
        <v>77</v>
      </c>
      <c r="F124" t="s">
        <v>100</v>
      </c>
      <c r="G124" t="s">
        <v>194</v>
      </c>
      <c r="H124" t="s">
        <v>110</v>
      </c>
      <c r="I124">
        <v>7</v>
      </c>
      <c r="J124">
        <v>7</v>
      </c>
      <c r="K124">
        <v>7</v>
      </c>
      <c r="L124">
        <v>7</v>
      </c>
      <c r="M124">
        <v>7</v>
      </c>
      <c r="N124">
        <v>7</v>
      </c>
      <c r="O124">
        <v>7</v>
      </c>
      <c r="P124">
        <v>7</v>
      </c>
      <c r="Q124">
        <v>8</v>
      </c>
    </row>
    <row r="125" spans="1:17" x14ac:dyDescent="0.45">
      <c r="A125" s="19">
        <v>46020.589583333334</v>
      </c>
      <c r="B125" t="s">
        <v>72</v>
      </c>
      <c r="C125" t="s">
        <v>191</v>
      </c>
      <c r="D125" t="s">
        <v>74</v>
      </c>
      <c r="E125" t="s">
        <v>75</v>
      </c>
      <c r="F125" t="s">
        <v>100</v>
      </c>
      <c r="G125" t="s">
        <v>109</v>
      </c>
      <c r="H125" t="s">
        <v>102</v>
      </c>
      <c r="I125">
        <v>10</v>
      </c>
      <c r="J125">
        <v>9</v>
      </c>
      <c r="K125">
        <v>10</v>
      </c>
      <c r="L125">
        <v>10</v>
      </c>
      <c r="M125">
        <v>10</v>
      </c>
      <c r="N125">
        <v>8</v>
      </c>
      <c r="O125">
        <v>9</v>
      </c>
      <c r="P125">
        <v>9</v>
      </c>
      <c r="Q125">
        <v>9</v>
      </c>
    </row>
    <row r="126" spans="1:17" x14ac:dyDescent="0.45">
      <c r="A126" s="19">
        <v>46020.590277777781</v>
      </c>
      <c r="B126" t="s">
        <v>72</v>
      </c>
      <c r="C126" t="s">
        <v>189</v>
      </c>
      <c r="D126" t="s">
        <v>74</v>
      </c>
      <c r="E126" t="s">
        <v>77</v>
      </c>
      <c r="F126" t="s">
        <v>100</v>
      </c>
      <c r="G126" t="s">
        <v>104</v>
      </c>
      <c r="H126" t="s">
        <v>105</v>
      </c>
      <c r="I126">
        <v>10</v>
      </c>
      <c r="J126">
        <v>10</v>
      </c>
      <c r="K126">
        <v>10</v>
      </c>
      <c r="L126">
        <v>10</v>
      </c>
      <c r="M126">
        <v>10</v>
      </c>
      <c r="N126">
        <v>10</v>
      </c>
      <c r="O126">
        <v>10</v>
      </c>
      <c r="P126">
        <v>10</v>
      </c>
      <c r="Q126">
        <v>10</v>
      </c>
    </row>
    <row r="127" spans="1:17" x14ac:dyDescent="0.45">
      <c r="A127" s="19">
        <v>46020.601388888892</v>
      </c>
      <c r="B127" t="s">
        <v>78</v>
      </c>
      <c r="C127" t="s">
        <v>81</v>
      </c>
      <c r="D127" t="s">
        <v>74</v>
      </c>
      <c r="E127" t="s">
        <v>77</v>
      </c>
      <c r="F127" t="s">
        <v>100</v>
      </c>
      <c r="G127" t="s">
        <v>101</v>
      </c>
      <c r="H127" t="s">
        <v>110</v>
      </c>
      <c r="I127">
        <v>8</v>
      </c>
      <c r="J127">
        <v>8</v>
      </c>
      <c r="K127">
        <v>5</v>
      </c>
      <c r="L127">
        <v>8</v>
      </c>
      <c r="M127">
        <v>8</v>
      </c>
      <c r="N127">
        <v>8</v>
      </c>
      <c r="O127">
        <v>7</v>
      </c>
      <c r="P127">
        <v>7</v>
      </c>
      <c r="Q127">
        <v>8</v>
      </c>
    </row>
    <row r="128" spans="1:17" x14ac:dyDescent="0.45">
      <c r="A128" s="19">
        <v>46020.602083333331</v>
      </c>
      <c r="B128" t="s">
        <v>72</v>
      </c>
      <c r="C128" t="s">
        <v>79</v>
      </c>
      <c r="D128" t="s">
        <v>74</v>
      </c>
      <c r="E128" t="s">
        <v>77</v>
      </c>
      <c r="F128" t="s">
        <v>100</v>
      </c>
      <c r="G128" t="s">
        <v>108</v>
      </c>
      <c r="H128" t="s">
        <v>195</v>
      </c>
      <c r="I128">
        <v>1</v>
      </c>
      <c r="J128">
        <v>1</v>
      </c>
      <c r="K128">
        <v>1</v>
      </c>
      <c r="L128">
        <v>5</v>
      </c>
      <c r="M128">
        <v>1</v>
      </c>
      <c r="N128">
        <v>1</v>
      </c>
      <c r="O128">
        <v>1</v>
      </c>
      <c r="P128">
        <v>5</v>
      </c>
      <c r="Q128">
        <v>5</v>
      </c>
    </row>
    <row r="129" spans="1:17" x14ac:dyDescent="0.45">
      <c r="A129" s="19">
        <v>46020.602777777778</v>
      </c>
      <c r="B129" t="s">
        <v>78</v>
      </c>
      <c r="C129" t="s">
        <v>191</v>
      </c>
      <c r="D129" t="s">
        <v>74</v>
      </c>
      <c r="E129" t="s">
        <v>77</v>
      </c>
      <c r="F129" t="s">
        <v>100</v>
      </c>
      <c r="G129" t="s">
        <v>108</v>
      </c>
      <c r="H129" t="s">
        <v>195</v>
      </c>
      <c r="I129">
        <v>6</v>
      </c>
      <c r="J129">
        <v>6</v>
      </c>
      <c r="K129">
        <v>6</v>
      </c>
      <c r="L129">
        <v>8</v>
      </c>
      <c r="M129">
        <v>6</v>
      </c>
      <c r="N129">
        <v>3</v>
      </c>
      <c r="O129">
        <v>5</v>
      </c>
      <c r="P129">
        <v>5</v>
      </c>
      <c r="Q129">
        <v>4</v>
      </c>
    </row>
    <row r="130" spans="1:17" x14ac:dyDescent="0.45">
      <c r="A130" s="19">
        <v>46020.603472222225</v>
      </c>
      <c r="B130" t="s">
        <v>78</v>
      </c>
      <c r="C130" t="s">
        <v>191</v>
      </c>
      <c r="D130" t="s">
        <v>74</v>
      </c>
      <c r="E130" t="s">
        <v>75</v>
      </c>
      <c r="F130" t="s">
        <v>100</v>
      </c>
      <c r="G130" t="s">
        <v>108</v>
      </c>
      <c r="H130" t="s">
        <v>106</v>
      </c>
      <c r="I130">
        <v>6</v>
      </c>
      <c r="J130">
        <v>6</v>
      </c>
      <c r="K130">
        <v>4</v>
      </c>
      <c r="L130">
        <v>5</v>
      </c>
      <c r="M130">
        <v>5</v>
      </c>
      <c r="N130">
        <v>1</v>
      </c>
      <c r="O130">
        <v>5</v>
      </c>
      <c r="P130">
        <v>4</v>
      </c>
      <c r="Q130">
        <v>5</v>
      </c>
    </row>
    <row r="131" spans="1:17" x14ac:dyDescent="0.45">
      <c r="A131" s="19">
        <v>46020.603472222225</v>
      </c>
      <c r="B131" t="s">
        <v>72</v>
      </c>
      <c r="C131" t="s">
        <v>193</v>
      </c>
      <c r="D131" t="s">
        <v>74</v>
      </c>
      <c r="E131" t="s">
        <v>75</v>
      </c>
      <c r="F131" t="s">
        <v>100</v>
      </c>
      <c r="G131" t="s">
        <v>107</v>
      </c>
      <c r="H131" t="s">
        <v>105</v>
      </c>
      <c r="I131">
        <v>5</v>
      </c>
      <c r="J131">
        <v>5</v>
      </c>
      <c r="K131">
        <v>1</v>
      </c>
      <c r="L131">
        <v>4</v>
      </c>
      <c r="M131">
        <v>2</v>
      </c>
      <c r="N131">
        <v>1</v>
      </c>
      <c r="O131">
        <v>1</v>
      </c>
      <c r="P131">
        <v>1</v>
      </c>
      <c r="Q131">
        <v>5</v>
      </c>
    </row>
    <row r="132" spans="1:17" x14ac:dyDescent="0.45">
      <c r="A132" s="19">
        <v>46020.604861111111</v>
      </c>
      <c r="B132" t="s">
        <v>72</v>
      </c>
      <c r="C132" t="s">
        <v>73</v>
      </c>
      <c r="D132" t="s">
        <v>74</v>
      </c>
      <c r="E132" t="s">
        <v>75</v>
      </c>
      <c r="F132" t="s">
        <v>100</v>
      </c>
      <c r="G132" t="s">
        <v>107</v>
      </c>
      <c r="H132" t="s">
        <v>102</v>
      </c>
      <c r="I132">
        <v>8</v>
      </c>
      <c r="J132">
        <v>9</v>
      </c>
      <c r="K132">
        <v>5</v>
      </c>
      <c r="L132">
        <v>5</v>
      </c>
      <c r="M132">
        <v>5</v>
      </c>
      <c r="N132">
        <v>4</v>
      </c>
      <c r="O132">
        <v>5</v>
      </c>
      <c r="P132">
        <v>5</v>
      </c>
      <c r="Q132">
        <v>5</v>
      </c>
    </row>
    <row r="133" spans="1:17" x14ac:dyDescent="0.45">
      <c r="A133" s="19">
        <v>46020.604861111111</v>
      </c>
      <c r="B133" t="s">
        <v>78</v>
      </c>
      <c r="C133" t="s">
        <v>189</v>
      </c>
      <c r="D133" t="s">
        <v>74</v>
      </c>
      <c r="E133" t="s">
        <v>77</v>
      </c>
      <c r="F133" t="s">
        <v>100</v>
      </c>
      <c r="G133" t="s">
        <v>104</v>
      </c>
      <c r="H133" t="s">
        <v>110</v>
      </c>
      <c r="I133">
        <v>9</v>
      </c>
      <c r="J133">
        <v>9</v>
      </c>
      <c r="K133">
        <v>9</v>
      </c>
      <c r="L133">
        <v>9</v>
      </c>
      <c r="M133">
        <v>7</v>
      </c>
      <c r="N133">
        <v>10</v>
      </c>
      <c r="O133">
        <v>5</v>
      </c>
      <c r="P133">
        <v>5</v>
      </c>
      <c r="Q133">
        <v>9</v>
      </c>
    </row>
    <row r="134" spans="1:17" x14ac:dyDescent="0.45">
      <c r="A134" s="19">
        <v>46020.605555555558</v>
      </c>
      <c r="B134" t="s">
        <v>78</v>
      </c>
      <c r="C134" t="s">
        <v>81</v>
      </c>
      <c r="D134" t="s">
        <v>74</v>
      </c>
      <c r="E134" t="s">
        <v>190</v>
      </c>
      <c r="F134" t="s">
        <v>100</v>
      </c>
      <c r="G134" t="s">
        <v>109</v>
      </c>
      <c r="H134" t="s">
        <v>110</v>
      </c>
      <c r="I134">
        <v>5</v>
      </c>
      <c r="J134">
        <v>5</v>
      </c>
      <c r="K134">
        <v>5</v>
      </c>
      <c r="L134">
        <v>5</v>
      </c>
      <c r="M134">
        <v>5</v>
      </c>
      <c r="N134">
        <v>5</v>
      </c>
      <c r="O134">
        <v>5</v>
      </c>
      <c r="P134">
        <v>5</v>
      </c>
      <c r="Q134">
        <v>5</v>
      </c>
    </row>
    <row r="135" spans="1:17" x14ac:dyDescent="0.45">
      <c r="A135" s="19">
        <v>46020.606249999997</v>
      </c>
      <c r="B135" t="s">
        <v>72</v>
      </c>
      <c r="C135" t="s">
        <v>189</v>
      </c>
      <c r="D135" t="s">
        <v>74</v>
      </c>
      <c r="E135" t="s">
        <v>77</v>
      </c>
      <c r="F135" t="s">
        <v>100</v>
      </c>
      <c r="G135" t="s">
        <v>196</v>
      </c>
      <c r="H135" t="s">
        <v>110</v>
      </c>
      <c r="I135">
        <v>9</v>
      </c>
      <c r="J135">
        <v>9</v>
      </c>
      <c r="K135">
        <v>5</v>
      </c>
      <c r="L135">
        <v>9</v>
      </c>
      <c r="M135">
        <v>8</v>
      </c>
      <c r="N135">
        <v>10</v>
      </c>
      <c r="O135">
        <v>5</v>
      </c>
      <c r="P135">
        <v>5</v>
      </c>
      <c r="Q135">
        <v>7</v>
      </c>
    </row>
    <row r="136" spans="1:17" x14ac:dyDescent="0.45">
      <c r="A136" s="19">
        <v>46020.609027777777</v>
      </c>
      <c r="B136" t="s">
        <v>78</v>
      </c>
      <c r="C136" t="s">
        <v>189</v>
      </c>
      <c r="D136" t="s">
        <v>74</v>
      </c>
      <c r="E136" t="s">
        <v>77</v>
      </c>
      <c r="F136" t="s">
        <v>100</v>
      </c>
      <c r="G136" t="s">
        <v>104</v>
      </c>
      <c r="H136" t="s">
        <v>110</v>
      </c>
      <c r="I136">
        <v>5</v>
      </c>
      <c r="J136">
        <v>5</v>
      </c>
      <c r="K136">
        <v>5</v>
      </c>
      <c r="L136">
        <v>6</v>
      </c>
      <c r="M136">
        <v>6</v>
      </c>
      <c r="N136">
        <v>6</v>
      </c>
      <c r="O136">
        <v>6</v>
      </c>
      <c r="P136">
        <v>6</v>
      </c>
      <c r="Q136">
        <v>6</v>
      </c>
    </row>
    <row r="137" spans="1:17" x14ac:dyDescent="0.45">
      <c r="A137" s="19">
        <v>46020.613194444442</v>
      </c>
      <c r="B137" t="s">
        <v>72</v>
      </c>
      <c r="C137" t="s">
        <v>193</v>
      </c>
      <c r="D137" t="s">
        <v>74</v>
      </c>
      <c r="E137" t="s">
        <v>77</v>
      </c>
      <c r="F137" t="s">
        <v>197</v>
      </c>
      <c r="G137" t="s">
        <v>194</v>
      </c>
      <c r="H137" t="s">
        <v>110</v>
      </c>
      <c r="I137">
        <v>8</v>
      </c>
      <c r="J137">
        <v>8</v>
      </c>
      <c r="K137">
        <v>8</v>
      </c>
      <c r="L137">
        <v>8</v>
      </c>
      <c r="M137">
        <v>10</v>
      </c>
      <c r="N137">
        <v>10</v>
      </c>
      <c r="O137">
        <v>10</v>
      </c>
      <c r="P137">
        <v>10</v>
      </c>
      <c r="Q137">
        <v>10</v>
      </c>
    </row>
    <row r="138" spans="1:17" x14ac:dyDescent="0.45">
      <c r="A138" s="19">
        <v>46020.637499999997</v>
      </c>
      <c r="B138" t="s">
        <v>78</v>
      </c>
      <c r="C138" t="s">
        <v>191</v>
      </c>
      <c r="D138" t="s">
        <v>74</v>
      </c>
      <c r="E138" t="s">
        <v>77</v>
      </c>
      <c r="F138" t="s">
        <v>100</v>
      </c>
      <c r="G138" t="s">
        <v>108</v>
      </c>
      <c r="H138" t="s">
        <v>195</v>
      </c>
      <c r="I138">
        <v>8</v>
      </c>
      <c r="J138">
        <v>8</v>
      </c>
      <c r="K138">
        <v>8</v>
      </c>
      <c r="L138">
        <v>8</v>
      </c>
      <c r="M138">
        <v>8</v>
      </c>
      <c r="N138">
        <v>8</v>
      </c>
      <c r="O138">
        <v>5</v>
      </c>
      <c r="P138">
        <v>7</v>
      </c>
      <c r="Q138">
        <v>8</v>
      </c>
    </row>
    <row r="139" spans="1:17" x14ac:dyDescent="0.45">
      <c r="A139" s="19">
        <v>46020.640972222223</v>
      </c>
      <c r="B139" t="s">
        <v>72</v>
      </c>
      <c r="C139" t="s">
        <v>81</v>
      </c>
      <c r="D139" t="s">
        <v>74</v>
      </c>
      <c r="E139" t="s">
        <v>75</v>
      </c>
      <c r="F139" t="s">
        <v>100</v>
      </c>
      <c r="G139" t="s">
        <v>104</v>
      </c>
      <c r="H139" t="s">
        <v>110</v>
      </c>
      <c r="I139">
        <v>8</v>
      </c>
      <c r="J139">
        <v>9</v>
      </c>
      <c r="K139">
        <v>7</v>
      </c>
      <c r="L139">
        <v>7</v>
      </c>
      <c r="M139">
        <v>6</v>
      </c>
      <c r="N139">
        <v>6</v>
      </c>
      <c r="O139">
        <v>2</v>
      </c>
      <c r="P139">
        <v>5</v>
      </c>
      <c r="Q139">
        <v>6</v>
      </c>
    </row>
    <row r="140" spans="1:17" x14ac:dyDescent="0.45">
      <c r="A140" s="19">
        <v>46020.852083333331</v>
      </c>
      <c r="B140" t="s">
        <v>72</v>
      </c>
      <c r="C140" t="s">
        <v>79</v>
      </c>
      <c r="D140" t="s">
        <v>74</v>
      </c>
      <c r="E140" t="s">
        <v>75</v>
      </c>
      <c r="F140" t="s">
        <v>100</v>
      </c>
      <c r="G140" t="s">
        <v>108</v>
      </c>
      <c r="H140" t="s">
        <v>105</v>
      </c>
      <c r="I140">
        <v>5</v>
      </c>
      <c r="J140">
        <v>4</v>
      </c>
      <c r="K140">
        <v>7</v>
      </c>
      <c r="L140">
        <v>6</v>
      </c>
      <c r="M140">
        <v>3</v>
      </c>
      <c r="N140">
        <v>4</v>
      </c>
      <c r="O140">
        <v>4</v>
      </c>
      <c r="P140">
        <v>5</v>
      </c>
      <c r="Q140">
        <v>5</v>
      </c>
    </row>
    <row r="141" spans="1:17" x14ac:dyDescent="0.45">
      <c r="A141" s="19">
        <v>46020.888888888891</v>
      </c>
      <c r="B141" t="s">
        <v>72</v>
      </c>
      <c r="C141" t="s">
        <v>73</v>
      </c>
      <c r="D141" t="s">
        <v>74</v>
      </c>
      <c r="E141" t="s">
        <v>77</v>
      </c>
      <c r="F141" t="s">
        <v>100</v>
      </c>
      <c r="G141" t="s">
        <v>101</v>
      </c>
      <c r="H141" t="s">
        <v>102</v>
      </c>
      <c r="I141">
        <v>10</v>
      </c>
      <c r="J141">
        <v>9</v>
      </c>
      <c r="K141">
        <v>9</v>
      </c>
      <c r="L141">
        <v>9</v>
      </c>
      <c r="M141">
        <v>8</v>
      </c>
      <c r="N141">
        <v>8</v>
      </c>
      <c r="O141">
        <v>8</v>
      </c>
      <c r="P141">
        <v>8</v>
      </c>
      <c r="Q141">
        <v>10</v>
      </c>
    </row>
    <row r="142" spans="1:17" x14ac:dyDescent="0.45">
      <c r="A142" s="19">
        <v>46020.88958333333</v>
      </c>
      <c r="B142" t="s">
        <v>78</v>
      </c>
      <c r="C142" t="s">
        <v>73</v>
      </c>
      <c r="D142" t="s">
        <v>74</v>
      </c>
      <c r="E142" t="s">
        <v>77</v>
      </c>
      <c r="F142" t="s">
        <v>100</v>
      </c>
      <c r="G142" t="s">
        <v>101</v>
      </c>
      <c r="H142" t="s">
        <v>102</v>
      </c>
      <c r="I142">
        <v>8</v>
      </c>
      <c r="J142">
        <v>7</v>
      </c>
      <c r="K142">
        <v>6</v>
      </c>
      <c r="L142">
        <v>6</v>
      </c>
      <c r="M142">
        <v>5</v>
      </c>
      <c r="N142">
        <v>5</v>
      </c>
      <c r="O142">
        <v>3</v>
      </c>
      <c r="P142">
        <v>3</v>
      </c>
      <c r="Q142">
        <v>5</v>
      </c>
    </row>
    <row r="143" spans="1:17" x14ac:dyDescent="0.45">
      <c r="A143" s="19">
        <v>46021.341666666667</v>
      </c>
      <c r="B143" t="s">
        <v>78</v>
      </c>
      <c r="C143" t="s">
        <v>79</v>
      </c>
      <c r="D143" t="s">
        <v>74</v>
      </c>
      <c r="E143" t="s">
        <v>75</v>
      </c>
      <c r="F143" t="s">
        <v>100</v>
      </c>
      <c r="G143" t="s">
        <v>194</v>
      </c>
      <c r="H143" t="s">
        <v>102</v>
      </c>
      <c r="I143">
        <v>5</v>
      </c>
      <c r="J143">
        <v>6</v>
      </c>
      <c r="K143">
        <v>5</v>
      </c>
      <c r="L143">
        <v>7</v>
      </c>
      <c r="M143">
        <v>6</v>
      </c>
      <c r="N143">
        <v>6</v>
      </c>
      <c r="O143">
        <v>6</v>
      </c>
      <c r="P143">
        <v>7</v>
      </c>
      <c r="Q143">
        <v>7</v>
      </c>
    </row>
    <row r="144" spans="1:17" x14ac:dyDescent="0.45">
      <c r="A144" s="19">
        <v>46021.448611111111</v>
      </c>
      <c r="B144" t="s">
        <v>78</v>
      </c>
      <c r="C144" t="s">
        <v>73</v>
      </c>
      <c r="D144" t="s">
        <v>74</v>
      </c>
      <c r="E144" t="s">
        <v>75</v>
      </c>
      <c r="F144" t="s">
        <v>100</v>
      </c>
      <c r="G144" t="s">
        <v>108</v>
      </c>
      <c r="H144" t="s">
        <v>110</v>
      </c>
      <c r="I144">
        <v>1</v>
      </c>
      <c r="J144">
        <v>1</v>
      </c>
      <c r="K144">
        <v>8</v>
      </c>
      <c r="L144">
        <v>8</v>
      </c>
      <c r="M144">
        <v>8</v>
      </c>
      <c r="N144">
        <v>8</v>
      </c>
      <c r="O144">
        <v>8</v>
      </c>
      <c r="P144">
        <v>8</v>
      </c>
      <c r="Q144">
        <v>8</v>
      </c>
    </row>
    <row r="145" spans="1:17" x14ac:dyDescent="0.45">
      <c r="A145" s="19">
        <v>46021.449305555558</v>
      </c>
      <c r="B145" t="s">
        <v>72</v>
      </c>
      <c r="C145" t="s">
        <v>191</v>
      </c>
      <c r="D145" t="s">
        <v>74</v>
      </c>
      <c r="E145" t="s">
        <v>77</v>
      </c>
      <c r="F145" t="s">
        <v>100</v>
      </c>
      <c r="G145" t="s">
        <v>111</v>
      </c>
      <c r="H145" t="s">
        <v>105</v>
      </c>
      <c r="I145">
        <v>9</v>
      </c>
      <c r="J145">
        <v>9</v>
      </c>
      <c r="K145">
        <v>9</v>
      </c>
      <c r="L145">
        <v>9</v>
      </c>
      <c r="M145">
        <v>10</v>
      </c>
      <c r="N145">
        <v>5</v>
      </c>
      <c r="O145">
        <v>9</v>
      </c>
      <c r="P145">
        <v>9</v>
      </c>
      <c r="Q145">
        <v>10</v>
      </c>
    </row>
    <row r="146" spans="1:17" x14ac:dyDescent="0.45">
      <c r="A146" s="19">
        <v>46021.451388888891</v>
      </c>
      <c r="B146" t="s">
        <v>72</v>
      </c>
      <c r="C146" t="s">
        <v>79</v>
      </c>
      <c r="D146" t="s">
        <v>74</v>
      </c>
      <c r="E146" t="s">
        <v>77</v>
      </c>
      <c r="F146" t="s">
        <v>100</v>
      </c>
      <c r="G146" t="s">
        <v>111</v>
      </c>
      <c r="H146" t="s">
        <v>105</v>
      </c>
      <c r="I146">
        <v>10</v>
      </c>
      <c r="J146">
        <v>10</v>
      </c>
      <c r="K146">
        <v>9</v>
      </c>
      <c r="L146">
        <v>6</v>
      </c>
      <c r="M146">
        <v>6</v>
      </c>
      <c r="N146">
        <v>3</v>
      </c>
      <c r="O146">
        <v>5</v>
      </c>
      <c r="P146">
        <v>5</v>
      </c>
      <c r="Q146">
        <v>1</v>
      </c>
    </row>
    <row r="147" spans="1:17" x14ac:dyDescent="0.45">
      <c r="A147" s="19">
        <v>46021.45416666667</v>
      </c>
      <c r="B147" t="s">
        <v>72</v>
      </c>
      <c r="C147" t="s">
        <v>79</v>
      </c>
      <c r="D147" t="s">
        <v>74</v>
      </c>
      <c r="E147" t="s">
        <v>77</v>
      </c>
      <c r="F147" t="s">
        <v>100</v>
      </c>
      <c r="G147" t="s">
        <v>107</v>
      </c>
      <c r="H147" t="s">
        <v>106</v>
      </c>
      <c r="I147">
        <v>8</v>
      </c>
      <c r="J147">
        <v>8</v>
      </c>
      <c r="K147">
        <v>5</v>
      </c>
      <c r="L147">
        <v>5</v>
      </c>
      <c r="M147">
        <v>5</v>
      </c>
      <c r="N147">
        <v>3</v>
      </c>
      <c r="O147">
        <v>5</v>
      </c>
      <c r="P147">
        <v>5</v>
      </c>
      <c r="Q147">
        <v>5</v>
      </c>
    </row>
    <row r="148" spans="1:17" x14ac:dyDescent="0.45">
      <c r="A148" s="19">
        <v>46021.457638888889</v>
      </c>
      <c r="B148" t="s">
        <v>72</v>
      </c>
      <c r="C148" t="s">
        <v>193</v>
      </c>
      <c r="D148" t="s">
        <v>74</v>
      </c>
      <c r="E148" t="s">
        <v>75</v>
      </c>
      <c r="F148" t="s">
        <v>100</v>
      </c>
      <c r="G148" t="s">
        <v>108</v>
      </c>
      <c r="H148" t="s">
        <v>110</v>
      </c>
      <c r="I148">
        <v>7</v>
      </c>
      <c r="J148">
        <v>7</v>
      </c>
      <c r="K148">
        <v>1</v>
      </c>
      <c r="L148">
        <v>6</v>
      </c>
      <c r="M148">
        <v>3</v>
      </c>
      <c r="N148">
        <v>5</v>
      </c>
      <c r="O148">
        <v>1</v>
      </c>
      <c r="P148">
        <v>4</v>
      </c>
      <c r="Q148">
        <v>5</v>
      </c>
    </row>
    <row r="149" spans="1:17" x14ac:dyDescent="0.45">
      <c r="A149" s="19">
        <v>46021.461805555555</v>
      </c>
      <c r="B149" t="s">
        <v>78</v>
      </c>
      <c r="C149" t="s">
        <v>81</v>
      </c>
      <c r="D149" t="s">
        <v>74</v>
      </c>
      <c r="E149" t="s">
        <v>77</v>
      </c>
      <c r="F149" t="s">
        <v>100</v>
      </c>
      <c r="G149" t="s">
        <v>196</v>
      </c>
      <c r="H149" t="s">
        <v>110</v>
      </c>
      <c r="I149">
        <v>6</v>
      </c>
      <c r="J149">
        <v>6</v>
      </c>
      <c r="K149">
        <v>5</v>
      </c>
      <c r="L149">
        <v>7</v>
      </c>
      <c r="M149">
        <v>5</v>
      </c>
      <c r="N149">
        <v>7</v>
      </c>
      <c r="O149">
        <v>5</v>
      </c>
      <c r="P149">
        <v>6</v>
      </c>
      <c r="Q149">
        <v>7</v>
      </c>
    </row>
    <row r="150" spans="1:17" x14ac:dyDescent="0.45">
      <c r="A150" s="19">
        <v>46021.464583333334</v>
      </c>
      <c r="B150" t="s">
        <v>72</v>
      </c>
      <c r="C150" t="s">
        <v>79</v>
      </c>
      <c r="D150" t="s">
        <v>74</v>
      </c>
      <c r="E150" t="s">
        <v>77</v>
      </c>
      <c r="F150" t="s">
        <v>100</v>
      </c>
      <c r="G150" t="s">
        <v>108</v>
      </c>
      <c r="H150" t="s">
        <v>106</v>
      </c>
      <c r="I150">
        <v>10</v>
      </c>
      <c r="J150">
        <v>10</v>
      </c>
      <c r="K150">
        <v>7</v>
      </c>
      <c r="L150">
        <v>8</v>
      </c>
      <c r="M150">
        <v>8</v>
      </c>
      <c r="N150">
        <v>4</v>
      </c>
      <c r="O150">
        <v>1</v>
      </c>
      <c r="P150">
        <v>3</v>
      </c>
      <c r="Q150">
        <v>6</v>
      </c>
    </row>
    <row r="151" spans="1:17" x14ac:dyDescent="0.45">
      <c r="A151" s="19">
        <v>46021.474999999999</v>
      </c>
      <c r="B151" t="s">
        <v>72</v>
      </c>
      <c r="C151" t="s">
        <v>79</v>
      </c>
      <c r="D151" t="s">
        <v>74</v>
      </c>
      <c r="E151" t="s">
        <v>77</v>
      </c>
      <c r="F151" t="s">
        <v>100</v>
      </c>
      <c r="G151" t="s">
        <v>111</v>
      </c>
      <c r="H151" t="s">
        <v>105</v>
      </c>
      <c r="I151">
        <v>7</v>
      </c>
      <c r="J151">
        <v>10</v>
      </c>
      <c r="K151">
        <v>5</v>
      </c>
      <c r="L151">
        <v>7</v>
      </c>
      <c r="M151">
        <v>7</v>
      </c>
      <c r="N151">
        <v>7</v>
      </c>
      <c r="O151">
        <v>7</v>
      </c>
      <c r="P151">
        <v>7</v>
      </c>
      <c r="Q151">
        <v>10</v>
      </c>
    </row>
    <row r="152" spans="1:17" x14ac:dyDescent="0.45">
      <c r="A152" s="19">
        <v>46021.487500000003</v>
      </c>
      <c r="B152" t="s">
        <v>72</v>
      </c>
      <c r="C152" t="s">
        <v>73</v>
      </c>
      <c r="D152" t="s">
        <v>74</v>
      </c>
      <c r="E152" t="s">
        <v>77</v>
      </c>
      <c r="F152" t="s">
        <v>100</v>
      </c>
      <c r="G152" t="s">
        <v>107</v>
      </c>
      <c r="H152" t="s">
        <v>105</v>
      </c>
      <c r="I152">
        <v>8</v>
      </c>
      <c r="J152">
        <v>8</v>
      </c>
      <c r="K152">
        <v>8</v>
      </c>
      <c r="L152">
        <v>8</v>
      </c>
      <c r="M152">
        <v>8</v>
      </c>
      <c r="N152">
        <v>8</v>
      </c>
      <c r="O152">
        <v>8</v>
      </c>
      <c r="P152">
        <v>8</v>
      </c>
      <c r="Q152">
        <v>8</v>
      </c>
    </row>
    <row r="153" spans="1:17" x14ac:dyDescent="0.45">
      <c r="A153" s="19">
        <v>46021.506944444445</v>
      </c>
      <c r="B153" t="s">
        <v>72</v>
      </c>
      <c r="C153" t="s">
        <v>79</v>
      </c>
      <c r="D153" t="s">
        <v>74</v>
      </c>
      <c r="E153" t="s">
        <v>75</v>
      </c>
      <c r="F153" t="s">
        <v>100</v>
      </c>
      <c r="G153" t="s">
        <v>107</v>
      </c>
      <c r="H153" t="s">
        <v>105</v>
      </c>
      <c r="I153">
        <v>10</v>
      </c>
      <c r="J153">
        <v>10</v>
      </c>
      <c r="K153">
        <v>10</v>
      </c>
      <c r="L153">
        <v>10</v>
      </c>
      <c r="M153">
        <v>10</v>
      </c>
      <c r="N153">
        <v>10</v>
      </c>
      <c r="O153">
        <v>10</v>
      </c>
      <c r="P153">
        <v>10</v>
      </c>
      <c r="Q153">
        <v>10</v>
      </c>
    </row>
    <row r="154" spans="1:17" x14ac:dyDescent="0.45">
      <c r="A154" s="19">
        <v>46021.51458333333</v>
      </c>
      <c r="B154" t="s">
        <v>78</v>
      </c>
      <c r="C154" t="s">
        <v>73</v>
      </c>
      <c r="D154" t="s">
        <v>74</v>
      </c>
      <c r="E154" t="s">
        <v>77</v>
      </c>
      <c r="F154" t="s">
        <v>100</v>
      </c>
      <c r="G154" t="s">
        <v>194</v>
      </c>
      <c r="H154" t="s">
        <v>102</v>
      </c>
      <c r="I154">
        <v>7</v>
      </c>
      <c r="J154">
        <v>7</v>
      </c>
      <c r="K154">
        <v>5</v>
      </c>
      <c r="L154">
        <v>7</v>
      </c>
      <c r="M154">
        <v>7</v>
      </c>
      <c r="N154">
        <v>7</v>
      </c>
      <c r="O154">
        <v>7</v>
      </c>
      <c r="P154">
        <v>7</v>
      </c>
      <c r="Q154">
        <v>7</v>
      </c>
    </row>
    <row r="155" spans="1:17" x14ac:dyDescent="0.45">
      <c r="A155" s="19">
        <v>46021.613888888889</v>
      </c>
      <c r="B155" t="s">
        <v>72</v>
      </c>
      <c r="C155" t="s">
        <v>81</v>
      </c>
      <c r="D155" t="s">
        <v>74</v>
      </c>
      <c r="E155" t="s">
        <v>77</v>
      </c>
      <c r="F155" t="s">
        <v>100</v>
      </c>
      <c r="G155" t="s">
        <v>194</v>
      </c>
      <c r="H155" t="s">
        <v>105</v>
      </c>
      <c r="I155">
        <v>7</v>
      </c>
      <c r="J155">
        <v>8</v>
      </c>
      <c r="K155">
        <v>8</v>
      </c>
      <c r="L155">
        <v>8</v>
      </c>
      <c r="M155">
        <v>6</v>
      </c>
      <c r="N155">
        <v>8</v>
      </c>
      <c r="O155">
        <v>5</v>
      </c>
      <c r="P155">
        <v>8</v>
      </c>
      <c r="Q155">
        <v>8</v>
      </c>
    </row>
    <row r="156" spans="1:17" x14ac:dyDescent="0.45">
      <c r="A156" s="19">
        <v>46021.785416666666</v>
      </c>
      <c r="B156" t="s">
        <v>72</v>
      </c>
      <c r="C156" t="s">
        <v>73</v>
      </c>
      <c r="D156" t="s">
        <v>74</v>
      </c>
      <c r="E156" t="s">
        <v>75</v>
      </c>
      <c r="F156" t="s">
        <v>100</v>
      </c>
      <c r="G156" t="s">
        <v>111</v>
      </c>
      <c r="H156" t="s">
        <v>102</v>
      </c>
      <c r="I156">
        <v>10</v>
      </c>
      <c r="J156">
        <v>10</v>
      </c>
      <c r="K156">
        <v>10</v>
      </c>
      <c r="L156">
        <v>10</v>
      </c>
      <c r="M156">
        <v>10</v>
      </c>
      <c r="N156">
        <v>10</v>
      </c>
      <c r="O156">
        <v>10</v>
      </c>
      <c r="P156">
        <v>10</v>
      </c>
      <c r="Q156">
        <v>10</v>
      </c>
    </row>
    <row r="157" spans="1:17" x14ac:dyDescent="0.45">
      <c r="A157" s="19">
        <v>46021.790972222225</v>
      </c>
      <c r="B157" t="s">
        <v>72</v>
      </c>
      <c r="C157" t="s">
        <v>73</v>
      </c>
      <c r="D157" t="s">
        <v>74</v>
      </c>
      <c r="E157" t="s">
        <v>75</v>
      </c>
      <c r="F157" t="s">
        <v>100</v>
      </c>
      <c r="G157" t="s">
        <v>101</v>
      </c>
      <c r="H157" t="s">
        <v>102</v>
      </c>
      <c r="I157">
        <v>10</v>
      </c>
      <c r="J157">
        <v>10</v>
      </c>
      <c r="K157">
        <v>10</v>
      </c>
      <c r="L157">
        <v>10</v>
      </c>
      <c r="M157">
        <v>10</v>
      </c>
      <c r="N157">
        <v>10</v>
      </c>
      <c r="O157">
        <v>10</v>
      </c>
      <c r="P157">
        <v>10</v>
      </c>
      <c r="Q157">
        <v>10</v>
      </c>
    </row>
    <row r="158" spans="1:17" x14ac:dyDescent="0.45">
      <c r="A158" s="19">
        <v>46021.80972222222</v>
      </c>
      <c r="B158" t="s">
        <v>78</v>
      </c>
      <c r="C158" t="s">
        <v>73</v>
      </c>
      <c r="D158" t="s">
        <v>74</v>
      </c>
      <c r="E158" t="s">
        <v>77</v>
      </c>
      <c r="F158" t="s">
        <v>100</v>
      </c>
      <c r="G158" t="s">
        <v>107</v>
      </c>
      <c r="H158" t="s">
        <v>195</v>
      </c>
      <c r="I158">
        <v>10</v>
      </c>
      <c r="J158">
        <v>10</v>
      </c>
      <c r="K158">
        <v>1</v>
      </c>
      <c r="L158">
        <v>10</v>
      </c>
      <c r="M158">
        <v>1</v>
      </c>
      <c r="N158">
        <v>1</v>
      </c>
      <c r="O158">
        <v>1</v>
      </c>
      <c r="P158">
        <v>1</v>
      </c>
      <c r="Q158">
        <v>6</v>
      </c>
    </row>
    <row r="159" spans="1:17" x14ac:dyDescent="0.45">
      <c r="A159" s="19">
        <v>46021.82708333333</v>
      </c>
      <c r="B159" t="s">
        <v>72</v>
      </c>
      <c r="C159" t="s">
        <v>73</v>
      </c>
      <c r="D159" t="s">
        <v>74</v>
      </c>
      <c r="E159" t="s">
        <v>77</v>
      </c>
      <c r="F159" t="s">
        <v>100</v>
      </c>
      <c r="G159" t="s">
        <v>107</v>
      </c>
      <c r="H159" t="s">
        <v>105</v>
      </c>
      <c r="I159">
        <v>7</v>
      </c>
      <c r="J159">
        <v>8</v>
      </c>
      <c r="K159">
        <v>6</v>
      </c>
      <c r="L159">
        <v>6</v>
      </c>
      <c r="M159">
        <v>7</v>
      </c>
      <c r="N159">
        <v>5</v>
      </c>
      <c r="O159">
        <v>6</v>
      </c>
      <c r="P159">
        <v>7</v>
      </c>
      <c r="Q159">
        <v>7</v>
      </c>
    </row>
    <row r="160" spans="1:17" x14ac:dyDescent="0.45">
      <c r="A160" s="19">
        <v>46023.439583333333</v>
      </c>
      <c r="B160" t="s">
        <v>78</v>
      </c>
      <c r="C160" t="s">
        <v>79</v>
      </c>
      <c r="D160" t="s">
        <v>74</v>
      </c>
      <c r="E160" t="s">
        <v>77</v>
      </c>
      <c r="F160" t="s">
        <v>100</v>
      </c>
      <c r="G160" t="s">
        <v>109</v>
      </c>
      <c r="H160" t="s">
        <v>110</v>
      </c>
      <c r="I160">
        <v>2</v>
      </c>
      <c r="J160">
        <v>7</v>
      </c>
      <c r="K160">
        <v>10</v>
      </c>
      <c r="L160">
        <v>2</v>
      </c>
      <c r="M160">
        <v>10</v>
      </c>
      <c r="N160">
        <v>5</v>
      </c>
      <c r="O160">
        <v>10</v>
      </c>
      <c r="P160">
        <v>3</v>
      </c>
      <c r="Q160">
        <v>3</v>
      </c>
    </row>
    <row r="161" spans="1:17" x14ac:dyDescent="0.45">
      <c r="A161" s="19">
        <v>46023.634027777778</v>
      </c>
      <c r="B161" t="s">
        <v>72</v>
      </c>
      <c r="C161" t="s">
        <v>73</v>
      </c>
      <c r="D161" t="s">
        <v>74</v>
      </c>
      <c r="E161" t="s">
        <v>75</v>
      </c>
      <c r="F161" t="s">
        <v>100</v>
      </c>
      <c r="G161" t="s">
        <v>109</v>
      </c>
      <c r="H161" t="s">
        <v>110</v>
      </c>
      <c r="I161">
        <v>9</v>
      </c>
      <c r="J161">
        <v>9</v>
      </c>
      <c r="K161">
        <v>10</v>
      </c>
      <c r="L161">
        <v>2</v>
      </c>
      <c r="M161">
        <v>9</v>
      </c>
      <c r="N161">
        <v>9</v>
      </c>
      <c r="O161">
        <v>6</v>
      </c>
      <c r="P161">
        <v>8</v>
      </c>
      <c r="Q161">
        <v>10</v>
      </c>
    </row>
    <row r="162" spans="1:17" x14ac:dyDescent="0.45">
      <c r="A162" s="19">
        <v>46023.636805555558</v>
      </c>
      <c r="B162" t="s">
        <v>72</v>
      </c>
      <c r="C162" t="s">
        <v>73</v>
      </c>
      <c r="D162" t="s">
        <v>74</v>
      </c>
      <c r="E162" t="s">
        <v>77</v>
      </c>
      <c r="F162" t="s">
        <v>100</v>
      </c>
      <c r="G162" t="s">
        <v>104</v>
      </c>
      <c r="H162" t="s">
        <v>110</v>
      </c>
      <c r="I162">
        <v>7</v>
      </c>
      <c r="J162">
        <v>5</v>
      </c>
      <c r="K162">
        <v>7</v>
      </c>
      <c r="L162">
        <v>5</v>
      </c>
      <c r="M162">
        <v>3</v>
      </c>
      <c r="N162">
        <v>4</v>
      </c>
      <c r="O162">
        <v>1</v>
      </c>
      <c r="P162">
        <v>5</v>
      </c>
      <c r="Q162">
        <v>5</v>
      </c>
    </row>
    <row r="163" spans="1:17" x14ac:dyDescent="0.45">
      <c r="A163" s="19">
        <v>46023.646527777775</v>
      </c>
      <c r="B163" t="s">
        <v>72</v>
      </c>
      <c r="C163" t="s">
        <v>81</v>
      </c>
      <c r="D163" t="s">
        <v>74</v>
      </c>
      <c r="E163" t="s">
        <v>77</v>
      </c>
      <c r="F163" t="s">
        <v>100</v>
      </c>
      <c r="G163" t="s">
        <v>194</v>
      </c>
      <c r="H163" t="s">
        <v>110</v>
      </c>
      <c r="I163">
        <v>3</v>
      </c>
      <c r="J163">
        <v>8</v>
      </c>
      <c r="K163">
        <v>4</v>
      </c>
      <c r="L163">
        <v>5</v>
      </c>
      <c r="M163">
        <v>5</v>
      </c>
      <c r="N163">
        <v>5</v>
      </c>
      <c r="O163">
        <v>5</v>
      </c>
      <c r="P163">
        <v>5</v>
      </c>
      <c r="Q163">
        <v>5</v>
      </c>
    </row>
    <row r="164" spans="1:17" x14ac:dyDescent="0.45">
      <c r="A164" s="19">
        <v>46024.313194444447</v>
      </c>
      <c r="B164" t="s">
        <v>72</v>
      </c>
      <c r="C164" t="s">
        <v>81</v>
      </c>
      <c r="D164" t="s">
        <v>74</v>
      </c>
      <c r="E164" t="s">
        <v>77</v>
      </c>
      <c r="F164" t="s">
        <v>100</v>
      </c>
      <c r="G164" t="s">
        <v>104</v>
      </c>
      <c r="H164" t="s">
        <v>110</v>
      </c>
      <c r="I164">
        <v>10</v>
      </c>
      <c r="J164">
        <v>10</v>
      </c>
      <c r="K164">
        <v>10</v>
      </c>
      <c r="L164">
        <v>10</v>
      </c>
      <c r="M164">
        <v>10</v>
      </c>
      <c r="N164">
        <v>10</v>
      </c>
      <c r="O164">
        <v>10</v>
      </c>
      <c r="P164">
        <v>10</v>
      </c>
      <c r="Q164">
        <v>10</v>
      </c>
    </row>
    <row r="165" spans="1:17" x14ac:dyDescent="0.45">
      <c r="A165" s="19">
        <v>46024.386805555558</v>
      </c>
      <c r="B165" t="s">
        <v>72</v>
      </c>
      <c r="C165" t="s">
        <v>79</v>
      </c>
      <c r="D165" t="s">
        <v>74</v>
      </c>
      <c r="E165" t="s">
        <v>77</v>
      </c>
      <c r="F165" t="s">
        <v>100</v>
      </c>
      <c r="G165" t="s">
        <v>109</v>
      </c>
      <c r="H165" t="s">
        <v>105</v>
      </c>
      <c r="I165">
        <v>8</v>
      </c>
      <c r="J165">
        <v>9</v>
      </c>
      <c r="K165">
        <v>9</v>
      </c>
      <c r="L165">
        <v>9</v>
      </c>
      <c r="M165">
        <v>5</v>
      </c>
      <c r="N165">
        <v>7</v>
      </c>
      <c r="O165">
        <v>5</v>
      </c>
      <c r="P165">
        <v>7</v>
      </c>
      <c r="Q165">
        <v>7</v>
      </c>
    </row>
    <row r="166" spans="1:17" x14ac:dyDescent="0.45">
      <c r="A166" s="19">
        <v>46024.598611111112</v>
      </c>
      <c r="B166" t="s">
        <v>72</v>
      </c>
      <c r="C166" t="s">
        <v>73</v>
      </c>
      <c r="D166" t="s">
        <v>74</v>
      </c>
      <c r="E166" t="s">
        <v>75</v>
      </c>
      <c r="F166" t="s">
        <v>100</v>
      </c>
      <c r="G166" t="s">
        <v>109</v>
      </c>
      <c r="H166" t="s">
        <v>110</v>
      </c>
      <c r="I166">
        <v>5</v>
      </c>
      <c r="J166">
        <v>5</v>
      </c>
      <c r="K166">
        <v>6</v>
      </c>
      <c r="L166">
        <v>6</v>
      </c>
      <c r="M166">
        <v>6</v>
      </c>
      <c r="N166">
        <v>6</v>
      </c>
      <c r="O166">
        <v>5</v>
      </c>
      <c r="P166">
        <v>7</v>
      </c>
      <c r="Q166">
        <v>8</v>
      </c>
    </row>
    <row r="167" spans="1:17" x14ac:dyDescent="0.45">
      <c r="A167" s="19">
        <v>46024.702777777777</v>
      </c>
      <c r="B167" t="s">
        <v>72</v>
      </c>
      <c r="C167" t="s">
        <v>73</v>
      </c>
      <c r="D167" t="s">
        <v>74</v>
      </c>
      <c r="E167" t="s">
        <v>75</v>
      </c>
      <c r="F167" t="s">
        <v>100</v>
      </c>
      <c r="G167" t="s">
        <v>109</v>
      </c>
      <c r="H167" t="s">
        <v>102</v>
      </c>
      <c r="I167">
        <v>10</v>
      </c>
      <c r="J167">
        <v>8</v>
      </c>
      <c r="K167">
        <v>10</v>
      </c>
      <c r="L167">
        <v>10</v>
      </c>
      <c r="M167">
        <v>10</v>
      </c>
      <c r="N167">
        <v>10</v>
      </c>
      <c r="O167">
        <v>10</v>
      </c>
      <c r="P167">
        <v>10</v>
      </c>
      <c r="Q167">
        <v>8</v>
      </c>
    </row>
    <row r="168" spans="1:17" x14ac:dyDescent="0.45">
      <c r="A168" s="19">
        <v>46024.763888888891</v>
      </c>
      <c r="B168" t="s">
        <v>78</v>
      </c>
      <c r="C168" t="s">
        <v>73</v>
      </c>
      <c r="D168" t="s">
        <v>74</v>
      </c>
      <c r="E168" t="s">
        <v>75</v>
      </c>
      <c r="F168" t="s">
        <v>100</v>
      </c>
      <c r="G168" t="s">
        <v>107</v>
      </c>
      <c r="H168" t="s">
        <v>110</v>
      </c>
      <c r="I168">
        <v>5</v>
      </c>
      <c r="J168">
        <v>8</v>
      </c>
      <c r="K168">
        <v>5</v>
      </c>
      <c r="L168">
        <v>8</v>
      </c>
      <c r="M168">
        <v>4</v>
      </c>
      <c r="N168">
        <v>5</v>
      </c>
      <c r="O168">
        <v>1</v>
      </c>
      <c r="P168">
        <v>5</v>
      </c>
      <c r="Q168">
        <v>5</v>
      </c>
    </row>
    <row r="169" spans="1:17" x14ac:dyDescent="0.45">
      <c r="A169" s="19">
        <v>46025.34097222222</v>
      </c>
      <c r="B169" t="s">
        <v>72</v>
      </c>
      <c r="C169" t="s">
        <v>81</v>
      </c>
      <c r="D169" t="s">
        <v>74</v>
      </c>
      <c r="E169" t="s">
        <v>77</v>
      </c>
      <c r="F169" t="s">
        <v>100</v>
      </c>
      <c r="G169" t="s">
        <v>196</v>
      </c>
      <c r="H169" t="s">
        <v>110</v>
      </c>
      <c r="I169">
        <v>7</v>
      </c>
      <c r="J169">
        <v>7</v>
      </c>
      <c r="K169">
        <v>8</v>
      </c>
      <c r="L169">
        <v>8</v>
      </c>
      <c r="M169">
        <v>7</v>
      </c>
      <c r="N169">
        <v>8</v>
      </c>
      <c r="O169">
        <v>8</v>
      </c>
      <c r="P169">
        <v>8</v>
      </c>
      <c r="Q169">
        <v>9</v>
      </c>
    </row>
    <row r="170" spans="1:17" x14ac:dyDescent="0.45">
      <c r="A170" s="19">
        <v>46025.374305555553</v>
      </c>
      <c r="B170" t="s">
        <v>78</v>
      </c>
      <c r="C170" t="s">
        <v>79</v>
      </c>
      <c r="D170" t="s">
        <v>74</v>
      </c>
      <c r="E170" t="s">
        <v>77</v>
      </c>
      <c r="F170" t="s">
        <v>100</v>
      </c>
      <c r="G170" t="s">
        <v>109</v>
      </c>
      <c r="H170" t="s">
        <v>110</v>
      </c>
      <c r="I170">
        <v>8</v>
      </c>
      <c r="J170">
        <v>8</v>
      </c>
      <c r="K170">
        <v>7</v>
      </c>
      <c r="L170">
        <v>8</v>
      </c>
      <c r="M170">
        <v>7</v>
      </c>
      <c r="N170">
        <v>7</v>
      </c>
      <c r="O170">
        <v>7</v>
      </c>
      <c r="P170">
        <v>8</v>
      </c>
      <c r="Q170">
        <v>8</v>
      </c>
    </row>
    <row r="171" spans="1:17" x14ac:dyDescent="0.45">
      <c r="A171" s="19">
        <v>46026.574999999997</v>
      </c>
      <c r="B171" t="s">
        <v>78</v>
      </c>
      <c r="C171" t="s">
        <v>81</v>
      </c>
      <c r="D171" t="s">
        <v>74</v>
      </c>
      <c r="E171" t="s">
        <v>77</v>
      </c>
      <c r="F171" t="s">
        <v>103</v>
      </c>
      <c r="G171" t="s">
        <v>104</v>
      </c>
      <c r="H171" t="s">
        <v>110</v>
      </c>
      <c r="I171">
        <v>5</v>
      </c>
      <c r="J171">
        <v>8</v>
      </c>
      <c r="K171">
        <v>7</v>
      </c>
      <c r="L171">
        <v>8</v>
      </c>
      <c r="M171">
        <v>1</v>
      </c>
      <c r="N171">
        <v>2</v>
      </c>
      <c r="O171">
        <v>3</v>
      </c>
      <c r="P171">
        <v>3</v>
      </c>
      <c r="Q171">
        <v>7</v>
      </c>
    </row>
    <row r="172" spans="1:17" x14ac:dyDescent="0.45">
      <c r="A172" s="19">
        <v>46026.576388888891</v>
      </c>
      <c r="B172" t="s">
        <v>78</v>
      </c>
      <c r="C172" t="s">
        <v>189</v>
      </c>
      <c r="D172" t="s">
        <v>74</v>
      </c>
      <c r="E172" t="s">
        <v>77</v>
      </c>
      <c r="F172" t="s">
        <v>100</v>
      </c>
      <c r="G172" t="s">
        <v>194</v>
      </c>
      <c r="H172" t="s">
        <v>110</v>
      </c>
      <c r="I172">
        <v>6</v>
      </c>
      <c r="J172">
        <v>7</v>
      </c>
      <c r="K172">
        <v>5</v>
      </c>
      <c r="L172">
        <v>7</v>
      </c>
      <c r="M172">
        <v>7</v>
      </c>
      <c r="N172">
        <v>7</v>
      </c>
      <c r="O172">
        <v>5</v>
      </c>
      <c r="P172">
        <v>7</v>
      </c>
      <c r="Q172">
        <v>7</v>
      </c>
    </row>
    <row r="173" spans="1:17" x14ac:dyDescent="0.45">
      <c r="A173" s="19">
        <v>46026.57708333333</v>
      </c>
      <c r="B173" t="s">
        <v>78</v>
      </c>
      <c r="C173" t="s">
        <v>191</v>
      </c>
      <c r="D173" t="s">
        <v>74</v>
      </c>
      <c r="E173" t="s">
        <v>75</v>
      </c>
      <c r="F173" t="s">
        <v>100</v>
      </c>
      <c r="G173" t="s">
        <v>108</v>
      </c>
      <c r="H173" t="s">
        <v>195</v>
      </c>
      <c r="I173">
        <v>8</v>
      </c>
      <c r="J173">
        <v>8</v>
      </c>
      <c r="K173">
        <v>8</v>
      </c>
      <c r="L173">
        <v>9</v>
      </c>
      <c r="M173">
        <v>9</v>
      </c>
      <c r="N173">
        <v>5</v>
      </c>
      <c r="O173">
        <v>5</v>
      </c>
      <c r="P173">
        <v>8</v>
      </c>
      <c r="Q173">
        <v>6</v>
      </c>
    </row>
    <row r="174" spans="1:17" x14ac:dyDescent="0.45">
      <c r="A174" s="19">
        <v>46026.577777777777</v>
      </c>
      <c r="B174" t="s">
        <v>72</v>
      </c>
      <c r="C174" t="s">
        <v>79</v>
      </c>
      <c r="D174" t="s">
        <v>74</v>
      </c>
      <c r="E174" t="s">
        <v>77</v>
      </c>
      <c r="F174" t="s">
        <v>100</v>
      </c>
      <c r="G174" t="s">
        <v>107</v>
      </c>
      <c r="H174" t="s">
        <v>106</v>
      </c>
      <c r="I174">
        <v>5</v>
      </c>
      <c r="J174">
        <v>5</v>
      </c>
      <c r="K174">
        <v>4</v>
      </c>
      <c r="L174">
        <v>6</v>
      </c>
      <c r="M174">
        <v>5</v>
      </c>
      <c r="N174">
        <v>4</v>
      </c>
      <c r="O174">
        <v>4</v>
      </c>
      <c r="P174">
        <v>5</v>
      </c>
      <c r="Q174">
        <v>5</v>
      </c>
    </row>
    <row r="175" spans="1:17" x14ac:dyDescent="0.45">
      <c r="A175" s="19">
        <v>46026.578472222223</v>
      </c>
      <c r="B175" t="s">
        <v>72</v>
      </c>
      <c r="C175" t="s">
        <v>81</v>
      </c>
      <c r="D175" t="s">
        <v>74</v>
      </c>
      <c r="E175" t="s">
        <v>77</v>
      </c>
      <c r="F175" t="s">
        <v>100</v>
      </c>
      <c r="G175" t="s">
        <v>109</v>
      </c>
      <c r="H175" t="s">
        <v>102</v>
      </c>
      <c r="I175">
        <v>6</v>
      </c>
      <c r="J175">
        <v>6</v>
      </c>
      <c r="K175">
        <v>6</v>
      </c>
      <c r="L175">
        <v>6</v>
      </c>
      <c r="M175">
        <v>7</v>
      </c>
      <c r="N175">
        <v>7</v>
      </c>
      <c r="O175">
        <v>5</v>
      </c>
      <c r="P175">
        <v>7</v>
      </c>
      <c r="Q175">
        <v>6</v>
      </c>
    </row>
    <row r="176" spans="1:17" x14ac:dyDescent="0.45">
      <c r="A176" s="19">
        <v>46026.57916666667</v>
      </c>
      <c r="B176" t="s">
        <v>72</v>
      </c>
      <c r="C176" t="s">
        <v>191</v>
      </c>
      <c r="D176" t="s">
        <v>74</v>
      </c>
      <c r="E176" t="s">
        <v>75</v>
      </c>
      <c r="F176" t="s">
        <v>100</v>
      </c>
      <c r="G176" t="s">
        <v>108</v>
      </c>
      <c r="H176" t="s">
        <v>106</v>
      </c>
      <c r="I176">
        <v>4</v>
      </c>
      <c r="J176">
        <v>5</v>
      </c>
      <c r="K176">
        <v>4</v>
      </c>
      <c r="L176">
        <v>6</v>
      </c>
      <c r="M176">
        <v>4</v>
      </c>
      <c r="N176">
        <v>4</v>
      </c>
      <c r="O176">
        <v>4</v>
      </c>
      <c r="P176">
        <v>5</v>
      </c>
      <c r="Q176">
        <v>4</v>
      </c>
    </row>
    <row r="177" spans="1:17" x14ac:dyDescent="0.45">
      <c r="A177" s="19">
        <v>46026.57916666667</v>
      </c>
      <c r="B177" t="s">
        <v>72</v>
      </c>
      <c r="C177" t="s">
        <v>193</v>
      </c>
      <c r="D177" t="s">
        <v>80</v>
      </c>
      <c r="E177" t="s">
        <v>75</v>
      </c>
      <c r="F177" t="s">
        <v>100</v>
      </c>
      <c r="G177" t="s">
        <v>108</v>
      </c>
      <c r="H177" t="s">
        <v>110</v>
      </c>
      <c r="I177">
        <v>2</v>
      </c>
      <c r="J177">
        <v>4</v>
      </c>
      <c r="K177">
        <v>3</v>
      </c>
      <c r="L177">
        <v>5</v>
      </c>
      <c r="M177">
        <v>4</v>
      </c>
      <c r="N177">
        <v>1</v>
      </c>
      <c r="O177">
        <v>1</v>
      </c>
      <c r="P177">
        <v>4</v>
      </c>
      <c r="Q177">
        <v>4</v>
      </c>
    </row>
    <row r="178" spans="1:17" x14ac:dyDescent="0.45">
      <c r="A178" s="19">
        <v>46026.580555555556</v>
      </c>
      <c r="B178" t="s">
        <v>72</v>
      </c>
      <c r="C178" t="s">
        <v>191</v>
      </c>
      <c r="D178" t="s">
        <v>74</v>
      </c>
      <c r="E178" t="s">
        <v>75</v>
      </c>
      <c r="F178" t="s">
        <v>100</v>
      </c>
      <c r="G178" t="s">
        <v>107</v>
      </c>
      <c r="H178" t="s">
        <v>105</v>
      </c>
      <c r="I178">
        <v>4</v>
      </c>
      <c r="J178">
        <v>4</v>
      </c>
      <c r="K178">
        <v>3</v>
      </c>
      <c r="L178">
        <v>5</v>
      </c>
      <c r="M178">
        <v>3</v>
      </c>
      <c r="N178">
        <v>2</v>
      </c>
      <c r="O178">
        <v>1</v>
      </c>
      <c r="P178">
        <v>1</v>
      </c>
      <c r="Q178">
        <v>1</v>
      </c>
    </row>
    <row r="179" spans="1:17" x14ac:dyDescent="0.45">
      <c r="A179" s="19">
        <v>46026.580555555556</v>
      </c>
      <c r="B179" t="s">
        <v>72</v>
      </c>
      <c r="C179" t="s">
        <v>193</v>
      </c>
      <c r="D179" t="s">
        <v>74</v>
      </c>
      <c r="E179" t="s">
        <v>77</v>
      </c>
      <c r="F179" t="s">
        <v>100</v>
      </c>
      <c r="G179" t="s">
        <v>109</v>
      </c>
      <c r="H179" t="s">
        <v>195</v>
      </c>
      <c r="I179">
        <v>6</v>
      </c>
      <c r="J179">
        <v>7</v>
      </c>
      <c r="K179">
        <v>6</v>
      </c>
      <c r="L179">
        <v>6</v>
      </c>
      <c r="M179">
        <v>6</v>
      </c>
      <c r="N179">
        <v>7</v>
      </c>
      <c r="O179">
        <v>5</v>
      </c>
      <c r="P179">
        <v>6</v>
      </c>
      <c r="Q179">
        <v>7</v>
      </c>
    </row>
    <row r="180" spans="1:17" x14ac:dyDescent="0.45">
      <c r="A180" s="19">
        <v>46026.581944444442</v>
      </c>
      <c r="B180" t="s">
        <v>72</v>
      </c>
      <c r="C180" t="s">
        <v>73</v>
      </c>
      <c r="D180" t="s">
        <v>74</v>
      </c>
      <c r="E180" t="s">
        <v>75</v>
      </c>
      <c r="F180" t="s">
        <v>100</v>
      </c>
      <c r="G180" t="s">
        <v>101</v>
      </c>
      <c r="H180" t="s">
        <v>102</v>
      </c>
      <c r="I180">
        <v>7</v>
      </c>
      <c r="J180">
        <v>7</v>
      </c>
      <c r="K180">
        <v>7</v>
      </c>
      <c r="L180">
        <v>8</v>
      </c>
      <c r="M180">
        <v>7</v>
      </c>
      <c r="N180">
        <v>8</v>
      </c>
      <c r="O180">
        <v>7</v>
      </c>
      <c r="P180">
        <v>7</v>
      </c>
      <c r="Q180">
        <v>8</v>
      </c>
    </row>
    <row r="181" spans="1:17" x14ac:dyDescent="0.45">
      <c r="A181" s="19">
        <v>46026.582638888889</v>
      </c>
      <c r="B181" t="s">
        <v>72</v>
      </c>
      <c r="C181" t="s">
        <v>79</v>
      </c>
      <c r="D181" t="s">
        <v>74</v>
      </c>
      <c r="E181" t="s">
        <v>77</v>
      </c>
      <c r="F181" t="s">
        <v>100</v>
      </c>
      <c r="G181" t="s">
        <v>111</v>
      </c>
      <c r="H181" t="s">
        <v>102</v>
      </c>
      <c r="I181">
        <v>5</v>
      </c>
      <c r="J181">
        <v>5</v>
      </c>
      <c r="K181">
        <v>5</v>
      </c>
      <c r="L181">
        <v>7</v>
      </c>
      <c r="M181">
        <v>5</v>
      </c>
      <c r="N181">
        <v>6</v>
      </c>
      <c r="O181">
        <v>5</v>
      </c>
      <c r="P181">
        <v>7</v>
      </c>
      <c r="Q181">
        <v>7</v>
      </c>
    </row>
    <row r="182" spans="1:17" x14ac:dyDescent="0.45">
      <c r="A182" s="19">
        <v>46026.7</v>
      </c>
      <c r="B182" t="s">
        <v>72</v>
      </c>
      <c r="C182" t="s">
        <v>73</v>
      </c>
      <c r="D182" t="s">
        <v>74</v>
      </c>
      <c r="E182" t="s">
        <v>75</v>
      </c>
      <c r="F182" t="s">
        <v>100</v>
      </c>
      <c r="G182" t="s">
        <v>111</v>
      </c>
      <c r="H182" t="s">
        <v>105</v>
      </c>
      <c r="I182">
        <v>6</v>
      </c>
      <c r="J182">
        <v>7</v>
      </c>
      <c r="K182">
        <v>7</v>
      </c>
      <c r="L182">
        <v>8</v>
      </c>
      <c r="M182">
        <v>8</v>
      </c>
      <c r="N182">
        <v>7</v>
      </c>
      <c r="O182">
        <v>5</v>
      </c>
      <c r="P182">
        <v>7</v>
      </c>
      <c r="Q182">
        <v>7</v>
      </c>
    </row>
    <row r="183" spans="1:17" x14ac:dyDescent="0.45">
      <c r="A183" s="19">
        <v>46026.700694444444</v>
      </c>
      <c r="B183" t="s">
        <v>72</v>
      </c>
      <c r="C183" t="s">
        <v>81</v>
      </c>
      <c r="D183" t="s">
        <v>74</v>
      </c>
      <c r="E183" t="s">
        <v>77</v>
      </c>
      <c r="F183" t="s">
        <v>100</v>
      </c>
      <c r="G183" t="s">
        <v>101</v>
      </c>
      <c r="H183" t="s">
        <v>110</v>
      </c>
      <c r="I183">
        <v>8</v>
      </c>
      <c r="J183">
        <v>8</v>
      </c>
      <c r="K183">
        <v>5</v>
      </c>
      <c r="L183">
        <v>8</v>
      </c>
      <c r="M183">
        <v>6</v>
      </c>
      <c r="N183">
        <v>8</v>
      </c>
      <c r="O183">
        <v>6</v>
      </c>
      <c r="P183">
        <v>7</v>
      </c>
      <c r="Q183">
        <v>7</v>
      </c>
    </row>
    <row r="184" spans="1:17" x14ac:dyDescent="0.45">
      <c r="A184" s="19">
        <v>46026.701388888891</v>
      </c>
      <c r="B184" t="s">
        <v>78</v>
      </c>
      <c r="C184" t="s">
        <v>193</v>
      </c>
      <c r="D184" t="s">
        <v>74</v>
      </c>
      <c r="E184" t="s">
        <v>75</v>
      </c>
      <c r="F184" t="s">
        <v>100</v>
      </c>
      <c r="G184" t="s">
        <v>108</v>
      </c>
      <c r="H184" t="s">
        <v>106</v>
      </c>
      <c r="I184">
        <v>2</v>
      </c>
      <c r="J184">
        <v>5</v>
      </c>
      <c r="K184">
        <v>3</v>
      </c>
      <c r="L184">
        <v>5</v>
      </c>
      <c r="M184">
        <v>3</v>
      </c>
      <c r="N184">
        <v>2</v>
      </c>
      <c r="O184">
        <v>1</v>
      </c>
      <c r="P184">
        <v>5</v>
      </c>
      <c r="Q184">
        <v>5</v>
      </c>
    </row>
    <row r="185" spans="1:17" x14ac:dyDescent="0.45">
      <c r="A185" s="19">
        <v>46026.70208333333</v>
      </c>
      <c r="B185" t="s">
        <v>78</v>
      </c>
      <c r="C185" t="s">
        <v>189</v>
      </c>
      <c r="D185" t="s">
        <v>74</v>
      </c>
      <c r="E185" t="s">
        <v>77</v>
      </c>
      <c r="F185" t="s">
        <v>100</v>
      </c>
      <c r="G185" t="s">
        <v>104</v>
      </c>
      <c r="H185" t="s">
        <v>110</v>
      </c>
      <c r="I185">
        <v>6</v>
      </c>
      <c r="J185">
        <v>6</v>
      </c>
      <c r="K185">
        <v>5</v>
      </c>
      <c r="L185">
        <v>9</v>
      </c>
      <c r="M185">
        <v>7</v>
      </c>
      <c r="N185">
        <v>8</v>
      </c>
      <c r="O185">
        <v>5</v>
      </c>
      <c r="P185">
        <v>7</v>
      </c>
      <c r="Q185">
        <v>7</v>
      </c>
    </row>
    <row r="186" spans="1:17" x14ac:dyDescent="0.45">
      <c r="A186" s="19">
        <v>46026.702777777777</v>
      </c>
      <c r="B186" t="s">
        <v>72</v>
      </c>
      <c r="C186" t="s">
        <v>79</v>
      </c>
      <c r="D186" t="s">
        <v>80</v>
      </c>
      <c r="E186" t="s">
        <v>77</v>
      </c>
      <c r="F186" t="s">
        <v>103</v>
      </c>
      <c r="G186" t="s">
        <v>109</v>
      </c>
      <c r="H186" t="s">
        <v>106</v>
      </c>
      <c r="I186">
        <v>7</v>
      </c>
      <c r="J186">
        <v>7</v>
      </c>
      <c r="K186">
        <v>6</v>
      </c>
      <c r="L186">
        <v>8</v>
      </c>
      <c r="M186">
        <v>5</v>
      </c>
      <c r="N186">
        <v>5</v>
      </c>
      <c r="O186">
        <v>5</v>
      </c>
      <c r="P186">
        <v>6</v>
      </c>
      <c r="Q186">
        <v>5</v>
      </c>
    </row>
    <row r="187" spans="1:17" x14ac:dyDescent="0.45">
      <c r="A187" s="19">
        <v>46026.70416666667</v>
      </c>
      <c r="B187" t="s">
        <v>72</v>
      </c>
      <c r="C187" t="s">
        <v>193</v>
      </c>
      <c r="D187" t="s">
        <v>74</v>
      </c>
      <c r="E187" t="s">
        <v>77</v>
      </c>
      <c r="F187" t="s">
        <v>197</v>
      </c>
      <c r="G187" t="s">
        <v>104</v>
      </c>
      <c r="H187" t="s">
        <v>110</v>
      </c>
      <c r="I187">
        <v>7</v>
      </c>
      <c r="J187">
        <v>7</v>
      </c>
      <c r="K187">
        <v>5</v>
      </c>
      <c r="L187">
        <v>7</v>
      </c>
      <c r="M187">
        <v>5</v>
      </c>
      <c r="N187">
        <v>5</v>
      </c>
      <c r="O187">
        <v>5</v>
      </c>
      <c r="P187">
        <v>5</v>
      </c>
      <c r="Q187">
        <v>6</v>
      </c>
    </row>
    <row r="188" spans="1:17" x14ac:dyDescent="0.45">
      <c r="A188" s="19">
        <v>46026.709027777775</v>
      </c>
      <c r="B188" t="s">
        <v>78</v>
      </c>
      <c r="C188" t="s">
        <v>79</v>
      </c>
      <c r="D188" t="s">
        <v>74</v>
      </c>
      <c r="E188" t="s">
        <v>75</v>
      </c>
      <c r="F188" t="s">
        <v>100</v>
      </c>
      <c r="G188" t="s">
        <v>109</v>
      </c>
      <c r="H188" t="s">
        <v>105</v>
      </c>
      <c r="I188">
        <v>6</v>
      </c>
      <c r="J188">
        <v>7</v>
      </c>
      <c r="K188">
        <v>6</v>
      </c>
      <c r="L188">
        <v>7</v>
      </c>
      <c r="M188">
        <v>6</v>
      </c>
      <c r="N188">
        <v>6</v>
      </c>
      <c r="O188">
        <v>5</v>
      </c>
      <c r="P188">
        <v>5</v>
      </c>
      <c r="Q188">
        <v>6</v>
      </c>
    </row>
    <row r="189" spans="1:17" x14ac:dyDescent="0.45">
      <c r="A189" s="19">
        <v>46026.729861111111</v>
      </c>
      <c r="B189" t="s">
        <v>78</v>
      </c>
      <c r="C189" t="s">
        <v>81</v>
      </c>
      <c r="D189" t="s">
        <v>74</v>
      </c>
      <c r="E189" t="s">
        <v>77</v>
      </c>
      <c r="F189" t="s">
        <v>100</v>
      </c>
      <c r="G189" t="s">
        <v>101</v>
      </c>
      <c r="H189" t="s">
        <v>102</v>
      </c>
      <c r="I189">
        <v>5</v>
      </c>
      <c r="J189">
        <v>5</v>
      </c>
      <c r="K189">
        <v>4</v>
      </c>
      <c r="L189">
        <v>6</v>
      </c>
      <c r="M189">
        <v>5</v>
      </c>
      <c r="N189">
        <v>5</v>
      </c>
      <c r="O189">
        <v>5</v>
      </c>
      <c r="P189">
        <v>5</v>
      </c>
      <c r="Q189">
        <v>5</v>
      </c>
    </row>
    <row r="190" spans="1:17" x14ac:dyDescent="0.45">
      <c r="A190" s="19">
        <v>46026.955555555556</v>
      </c>
      <c r="B190" t="s">
        <v>78</v>
      </c>
      <c r="C190" t="s">
        <v>79</v>
      </c>
      <c r="D190" t="s">
        <v>74</v>
      </c>
      <c r="E190" t="s">
        <v>77</v>
      </c>
      <c r="F190" t="s">
        <v>100</v>
      </c>
      <c r="G190" t="s">
        <v>111</v>
      </c>
      <c r="H190" t="s">
        <v>105</v>
      </c>
      <c r="I190">
        <v>8</v>
      </c>
      <c r="J190">
        <v>8</v>
      </c>
      <c r="K190">
        <v>5</v>
      </c>
      <c r="L190">
        <v>7</v>
      </c>
      <c r="M190">
        <v>6</v>
      </c>
      <c r="N190">
        <v>8</v>
      </c>
      <c r="O190">
        <v>5</v>
      </c>
      <c r="P190">
        <v>7</v>
      </c>
      <c r="Q190">
        <v>8</v>
      </c>
    </row>
    <row r="191" spans="1:17" x14ac:dyDescent="0.45">
      <c r="A191" s="19">
        <v>46027.578472222223</v>
      </c>
      <c r="B191" t="s">
        <v>78</v>
      </c>
      <c r="C191" t="s">
        <v>81</v>
      </c>
      <c r="D191" t="s">
        <v>74</v>
      </c>
      <c r="E191" t="s">
        <v>75</v>
      </c>
      <c r="F191" t="s">
        <v>100</v>
      </c>
      <c r="G191" t="s">
        <v>101</v>
      </c>
      <c r="H191" t="s">
        <v>110</v>
      </c>
      <c r="I191">
        <v>7</v>
      </c>
      <c r="J191">
        <v>7</v>
      </c>
      <c r="K191">
        <v>7</v>
      </c>
      <c r="L191">
        <v>8</v>
      </c>
      <c r="M191">
        <v>3</v>
      </c>
      <c r="N191">
        <v>3</v>
      </c>
      <c r="O191">
        <v>2</v>
      </c>
      <c r="P191">
        <v>3</v>
      </c>
      <c r="Q191">
        <v>8</v>
      </c>
    </row>
    <row r="192" spans="1:17" x14ac:dyDescent="0.45">
      <c r="A192" s="19">
        <v>46029.68472222222</v>
      </c>
      <c r="B192" t="s">
        <v>78</v>
      </c>
      <c r="C192" t="s">
        <v>73</v>
      </c>
      <c r="D192" t="s">
        <v>74</v>
      </c>
      <c r="E192" t="s">
        <v>75</v>
      </c>
      <c r="F192" t="s">
        <v>100</v>
      </c>
      <c r="G192" t="s">
        <v>111</v>
      </c>
      <c r="H192" t="s">
        <v>106</v>
      </c>
      <c r="I192">
        <v>7</v>
      </c>
      <c r="J192">
        <v>7</v>
      </c>
      <c r="K192">
        <v>6</v>
      </c>
      <c r="L192">
        <v>8</v>
      </c>
      <c r="M192">
        <v>7</v>
      </c>
      <c r="N192">
        <v>8</v>
      </c>
      <c r="O192">
        <v>7</v>
      </c>
      <c r="P192">
        <v>7</v>
      </c>
      <c r="Q192">
        <v>7</v>
      </c>
    </row>
    <row r="193" spans="1:17" x14ac:dyDescent="0.45">
      <c r="A193" s="19">
        <v>46029.685416666667</v>
      </c>
      <c r="B193" t="s">
        <v>72</v>
      </c>
      <c r="C193" t="s">
        <v>189</v>
      </c>
      <c r="D193" t="s">
        <v>74</v>
      </c>
      <c r="E193" t="s">
        <v>77</v>
      </c>
      <c r="F193" t="s">
        <v>100</v>
      </c>
      <c r="G193" t="s">
        <v>196</v>
      </c>
      <c r="H193" t="s">
        <v>110</v>
      </c>
      <c r="I193">
        <v>8</v>
      </c>
      <c r="J193">
        <v>8</v>
      </c>
      <c r="K193">
        <v>9</v>
      </c>
      <c r="L193">
        <v>9</v>
      </c>
      <c r="M193">
        <v>9</v>
      </c>
      <c r="N193">
        <v>9</v>
      </c>
      <c r="O193">
        <v>8</v>
      </c>
      <c r="P193">
        <v>8</v>
      </c>
      <c r="Q193">
        <v>9</v>
      </c>
    </row>
    <row r="194" spans="1:17" x14ac:dyDescent="0.45">
      <c r="A194" s="19">
        <v>46030.411111111112</v>
      </c>
      <c r="B194" t="s">
        <v>72</v>
      </c>
      <c r="C194" t="s">
        <v>79</v>
      </c>
      <c r="D194" t="s">
        <v>74</v>
      </c>
      <c r="E194" t="s">
        <v>77</v>
      </c>
      <c r="F194" t="s">
        <v>100</v>
      </c>
      <c r="G194" t="s">
        <v>101</v>
      </c>
      <c r="H194" t="s">
        <v>105</v>
      </c>
      <c r="I194">
        <v>1</v>
      </c>
      <c r="J194">
        <v>1</v>
      </c>
      <c r="K194">
        <v>7</v>
      </c>
      <c r="L194">
        <v>5</v>
      </c>
      <c r="M194">
        <v>5</v>
      </c>
      <c r="N194">
        <v>7</v>
      </c>
      <c r="O194">
        <v>2</v>
      </c>
      <c r="P194">
        <v>5</v>
      </c>
      <c r="Q194">
        <v>5</v>
      </c>
    </row>
    <row r="195" spans="1:17" x14ac:dyDescent="0.45">
      <c r="A195" s="19">
        <v>46030.574305555558</v>
      </c>
      <c r="B195" t="s">
        <v>72</v>
      </c>
      <c r="C195" t="s">
        <v>73</v>
      </c>
      <c r="D195" t="s">
        <v>74</v>
      </c>
      <c r="E195" t="s">
        <v>77</v>
      </c>
      <c r="F195" t="s">
        <v>100</v>
      </c>
      <c r="G195" t="s">
        <v>196</v>
      </c>
      <c r="H195" t="s">
        <v>102</v>
      </c>
      <c r="I195">
        <v>10</v>
      </c>
      <c r="J195">
        <v>10</v>
      </c>
      <c r="K195">
        <v>6</v>
      </c>
      <c r="L195">
        <v>4</v>
      </c>
      <c r="M195">
        <v>8</v>
      </c>
      <c r="N195">
        <v>3</v>
      </c>
      <c r="O195">
        <v>10</v>
      </c>
      <c r="P195">
        <v>10</v>
      </c>
      <c r="Q195">
        <v>10</v>
      </c>
    </row>
    <row r="196" spans="1:17" x14ac:dyDescent="0.45">
      <c r="A196" s="19">
        <v>46030.636805555558</v>
      </c>
      <c r="B196" t="s">
        <v>72</v>
      </c>
      <c r="C196" t="s">
        <v>81</v>
      </c>
      <c r="D196" t="s">
        <v>74</v>
      </c>
      <c r="E196" t="s">
        <v>77</v>
      </c>
      <c r="F196" t="s">
        <v>100</v>
      </c>
      <c r="G196" t="s">
        <v>104</v>
      </c>
      <c r="H196" t="s">
        <v>102</v>
      </c>
      <c r="I196">
        <v>9</v>
      </c>
      <c r="J196">
        <v>9</v>
      </c>
      <c r="K196">
        <v>5</v>
      </c>
      <c r="L196">
        <v>5</v>
      </c>
      <c r="M196">
        <v>7</v>
      </c>
      <c r="N196">
        <v>7</v>
      </c>
      <c r="O196">
        <v>8</v>
      </c>
      <c r="P196">
        <v>8</v>
      </c>
      <c r="Q196">
        <v>8</v>
      </c>
    </row>
    <row r="197" spans="1:17" x14ac:dyDescent="0.45">
      <c r="A197" s="19">
        <v>46030.640277777777</v>
      </c>
      <c r="B197" t="s">
        <v>78</v>
      </c>
      <c r="C197" t="s">
        <v>79</v>
      </c>
      <c r="D197" t="s">
        <v>74</v>
      </c>
      <c r="E197" t="s">
        <v>77</v>
      </c>
      <c r="F197" t="s">
        <v>100</v>
      </c>
      <c r="G197" t="s">
        <v>104</v>
      </c>
      <c r="H197" t="s">
        <v>105</v>
      </c>
      <c r="I197">
        <v>9</v>
      </c>
      <c r="J197">
        <v>9</v>
      </c>
      <c r="K197">
        <v>9</v>
      </c>
      <c r="L197">
        <v>9</v>
      </c>
      <c r="M197">
        <v>9</v>
      </c>
      <c r="N197">
        <v>9</v>
      </c>
      <c r="O197">
        <v>9</v>
      </c>
      <c r="P197">
        <v>9</v>
      </c>
      <c r="Q197">
        <v>9</v>
      </c>
    </row>
    <row r="198" spans="1:17" x14ac:dyDescent="0.45">
      <c r="A198" s="19">
        <v>46030.640972222223</v>
      </c>
      <c r="B198" t="s">
        <v>72</v>
      </c>
      <c r="C198" t="s">
        <v>79</v>
      </c>
      <c r="D198" t="s">
        <v>74</v>
      </c>
      <c r="E198" t="s">
        <v>75</v>
      </c>
      <c r="F198" t="s">
        <v>100</v>
      </c>
      <c r="G198" t="s">
        <v>104</v>
      </c>
      <c r="H198" t="s">
        <v>106</v>
      </c>
      <c r="I198">
        <v>9</v>
      </c>
      <c r="J198">
        <v>10</v>
      </c>
      <c r="K198">
        <v>10</v>
      </c>
      <c r="L198">
        <v>9</v>
      </c>
      <c r="M198">
        <v>10</v>
      </c>
      <c r="N198">
        <v>10</v>
      </c>
      <c r="O198">
        <v>10</v>
      </c>
      <c r="P198">
        <v>9</v>
      </c>
      <c r="Q198">
        <v>10</v>
      </c>
    </row>
    <row r="199" spans="1:17" x14ac:dyDescent="0.45">
      <c r="A199" s="19">
        <v>46030.681250000001</v>
      </c>
      <c r="B199" t="s">
        <v>72</v>
      </c>
      <c r="C199" t="s">
        <v>79</v>
      </c>
      <c r="D199" t="s">
        <v>74</v>
      </c>
      <c r="E199" t="s">
        <v>75</v>
      </c>
      <c r="F199" t="s">
        <v>100</v>
      </c>
      <c r="G199" t="s">
        <v>104</v>
      </c>
      <c r="H199" t="s">
        <v>105</v>
      </c>
      <c r="I199">
        <v>5</v>
      </c>
      <c r="J199">
        <v>5</v>
      </c>
      <c r="K199">
        <v>5</v>
      </c>
      <c r="L199">
        <v>5</v>
      </c>
      <c r="M199">
        <v>5</v>
      </c>
      <c r="N199">
        <v>5</v>
      </c>
      <c r="O199">
        <v>5</v>
      </c>
      <c r="P199">
        <v>4</v>
      </c>
      <c r="Q199">
        <v>5</v>
      </c>
    </row>
    <row r="200" spans="1:17" x14ac:dyDescent="0.45">
      <c r="A200" s="19">
        <v>46031.374305555553</v>
      </c>
      <c r="B200" t="s">
        <v>72</v>
      </c>
      <c r="C200" t="s">
        <v>193</v>
      </c>
      <c r="D200" t="s">
        <v>74</v>
      </c>
      <c r="E200" t="s">
        <v>75</v>
      </c>
      <c r="F200" t="s">
        <v>197</v>
      </c>
      <c r="G200" t="s">
        <v>194</v>
      </c>
      <c r="H200" t="s">
        <v>102</v>
      </c>
      <c r="I200">
        <v>9</v>
      </c>
      <c r="J200">
        <v>8</v>
      </c>
      <c r="K200">
        <v>9</v>
      </c>
      <c r="L200">
        <v>9</v>
      </c>
      <c r="M200">
        <v>8</v>
      </c>
      <c r="N200">
        <v>9</v>
      </c>
      <c r="O200">
        <v>10</v>
      </c>
      <c r="P200">
        <v>9</v>
      </c>
      <c r="Q200">
        <v>10</v>
      </c>
    </row>
    <row r="201" spans="1:17" x14ac:dyDescent="0.45">
      <c r="A201" s="19">
        <v>46031.390277777777</v>
      </c>
      <c r="B201" t="s">
        <v>78</v>
      </c>
      <c r="C201" t="s">
        <v>191</v>
      </c>
      <c r="D201" t="s">
        <v>74</v>
      </c>
      <c r="E201" t="s">
        <v>77</v>
      </c>
      <c r="F201" t="s">
        <v>100</v>
      </c>
      <c r="G201" t="s">
        <v>107</v>
      </c>
      <c r="H201" t="s">
        <v>106</v>
      </c>
      <c r="I201">
        <v>4</v>
      </c>
      <c r="J201">
        <v>4</v>
      </c>
      <c r="K201">
        <v>3</v>
      </c>
      <c r="L201">
        <v>5</v>
      </c>
      <c r="M201">
        <v>4</v>
      </c>
      <c r="N201">
        <v>5</v>
      </c>
      <c r="O201">
        <v>1</v>
      </c>
      <c r="P201">
        <v>5</v>
      </c>
      <c r="Q201">
        <v>5</v>
      </c>
    </row>
    <row r="202" spans="1:17" x14ac:dyDescent="0.45">
      <c r="A202" s="19">
        <v>46031.390972222223</v>
      </c>
      <c r="B202" t="s">
        <v>72</v>
      </c>
      <c r="C202" t="s">
        <v>193</v>
      </c>
      <c r="D202" t="s">
        <v>74</v>
      </c>
      <c r="E202" t="s">
        <v>75</v>
      </c>
      <c r="F202" t="s">
        <v>100</v>
      </c>
      <c r="G202" t="s">
        <v>111</v>
      </c>
      <c r="H202" t="s">
        <v>102</v>
      </c>
      <c r="I202">
        <v>5</v>
      </c>
      <c r="J202">
        <v>5</v>
      </c>
      <c r="K202">
        <v>1</v>
      </c>
      <c r="L202">
        <v>5</v>
      </c>
      <c r="M202">
        <v>4</v>
      </c>
      <c r="N202">
        <v>2</v>
      </c>
      <c r="O202">
        <v>2</v>
      </c>
      <c r="P202">
        <v>5</v>
      </c>
      <c r="Q202">
        <v>4</v>
      </c>
    </row>
    <row r="203" spans="1:17" x14ac:dyDescent="0.45">
      <c r="A203" s="19">
        <v>46031.39166666667</v>
      </c>
      <c r="B203" t="s">
        <v>72</v>
      </c>
      <c r="C203" t="s">
        <v>79</v>
      </c>
      <c r="D203" t="s">
        <v>74</v>
      </c>
      <c r="E203" t="s">
        <v>77</v>
      </c>
      <c r="F203" t="s">
        <v>100</v>
      </c>
      <c r="G203" t="s">
        <v>107</v>
      </c>
      <c r="H203" t="s">
        <v>195</v>
      </c>
      <c r="I203">
        <v>6</v>
      </c>
      <c r="J203">
        <v>8</v>
      </c>
      <c r="K203">
        <v>8</v>
      </c>
      <c r="L203">
        <v>9</v>
      </c>
      <c r="M203">
        <v>7</v>
      </c>
      <c r="N203">
        <v>7</v>
      </c>
      <c r="O203">
        <v>7</v>
      </c>
      <c r="P203">
        <v>8</v>
      </c>
      <c r="Q203">
        <v>8</v>
      </c>
    </row>
    <row r="204" spans="1:17" x14ac:dyDescent="0.45">
      <c r="A204" s="19">
        <v>46031.39166666667</v>
      </c>
      <c r="B204" t="s">
        <v>72</v>
      </c>
      <c r="C204" t="s">
        <v>191</v>
      </c>
      <c r="D204" t="s">
        <v>74</v>
      </c>
      <c r="E204" t="s">
        <v>75</v>
      </c>
      <c r="F204" t="s">
        <v>100</v>
      </c>
      <c r="G204" t="s">
        <v>108</v>
      </c>
      <c r="H204" t="s">
        <v>106</v>
      </c>
      <c r="I204">
        <v>5</v>
      </c>
      <c r="J204">
        <v>5</v>
      </c>
      <c r="K204">
        <v>5</v>
      </c>
      <c r="L204">
        <v>5</v>
      </c>
      <c r="M204">
        <v>5</v>
      </c>
      <c r="N204">
        <v>5</v>
      </c>
      <c r="O204">
        <v>5</v>
      </c>
      <c r="P204">
        <v>5</v>
      </c>
      <c r="Q204">
        <v>5</v>
      </c>
    </row>
    <row r="205" spans="1:17" x14ac:dyDescent="0.45">
      <c r="A205" s="19">
        <v>46031.392361111109</v>
      </c>
      <c r="B205" t="s">
        <v>72</v>
      </c>
      <c r="C205" t="s">
        <v>73</v>
      </c>
      <c r="D205" t="s">
        <v>74</v>
      </c>
      <c r="E205" t="s">
        <v>77</v>
      </c>
      <c r="F205" t="s">
        <v>100</v>
      </c>
      <c r="G205" t="s">
        <v>109</v>
      </c>
      <c r="H205" t="s">
        <v>102</v>
      </c>
      <c r="I205">
        <v>7</v>
      </c>
      <c r="J205">
        <v>7</v>
      </c>
      <c r="K205">
        <v>7</v>
      </c>
      <c r="L205">
        <v>8</v>
      </c>
      <c r="M205">
        <v>7</v>
      </c>
      <c r="N205">
        <v>7</v>
      </c>
      <c r="O205">
        <v>7</v>
      </c>
      <c r="P205">
        <v>7</v>
      </c>
      <c r="Q205">
        <v>7</v>
      </c>
    </row>
    <row r="206" spans="1:17" x14ac:dyDescent="0.45">
      <c r="A206" s="19">
        <v>46031.393055555556</v>
      </c>
      <c r="B206" t="s">
        <v>72</v>
      </c>
      <c r="C206" t="s">
        <v>73</v>
      </c>
      <c r="D206" t="s">
        <v>74</v>
      </c>
      <c r="E206" t="s">
        <v>75</v>
      </c>
      <c r="F206" t="s">
        <v>100</v>
      </c>
      <c r="G206" t="s">
        <v>101</v>
      </c>
      <c r="H206" t="s">
        <v>110</v>
      </c>
      <c r="I206">
        <v>3</v>
      </c>
      <c r="J206">
        <v>1</v>
      </c>
      <c r="K206">
        <v>1</v>
      </c>
      <c r="L206">
        <v>5</v>
      </c>
      <c r="M206">
        <v>1</v>
      </c>
      <c r="N206">
        <v>1</v>
      </c>
      <c r="O206">
        <v>1</v>
      </c>
      <c r="P206">
        <v>4</v>
      </c>
      <c r="Q206">
        <v>5</v>
      </c>
    </row>
    <row r="207" spans="1:17" x14ac:dyDescent="0.45">
      <c r="A207" s="19">
        <v>46031.395833333336</v>
      </c>
      <c r="B207" t="s">
        <v>72</v>
      </c>
      <c r="C207" t="s">
        <v>79</v>
      </c>
      <c r="D207" t="s">
        <v>74</v>
      </c>
      <c r="E207" t="s">
        <v>77</v>
      </c>
      <c r="F207" t="s">
        <v>100</v>
      </c>
      <c r="G207" t="s">
        <v>111</v>
      </c>
      <c r="H207" t="s">
        <v>102</v>
      </c>
      <c r="I207">
        <v>8</v>
      </c>
      <c r="J207">
        <v>8</v>
      </c>
      <c r="K207">
        <v>5</v>
      </c>
      <c r="L207">
        <v>7</v>
      </c>
      <c r="M207">
        <v>7</v>
      </c>
      <c r="N207">
        <v>6</v>
      </c>
      <c r="O207">
        <v>6</v>
      </c>
      <c r="P207">
        <v>7</v>
      </c>
      <c r="Q207">
        <v>7</v>
      </c>
    </row>
    <row r="208" spans="1:17" x14ac:dyDescent="0.45">
      <c r="A208" s="19">
        <v>46031.397222222222</v>
      </c>
      <c r="B208" t="s">
        <v>78</v>
      </c>
      <c r="C208" t="s">
        <v>73</v>
      </c>
      <c r="D208" t="s">
        <v>74</v>
      </c>
      <c r="E208" t="s">
        <v>77</v>
      </c>
      <c r="F208" t="s">
        <v>100</v>
      </c>
      <c r="G208" t="s">
        <v>111</v>
      </c>
      <c r="H208" t="s">
        <v>105</v>
      </c>
      <c r="I208">
        <v>4</v>
      </c>
      <c r="J208">
        <v>3</v>
      </c>
      <c r="K208">
        <v>1</v>
      </c>
      <c r="L208">
        <v>2</v>
      </c>
      <c r="M208">
        <v>1</v>
      </c>
      <c r="N208">
        <v>1</v>
      </c>
      <c r="O208">
        <v>1</v>
      </c>
      <c r="P208">
        <v>4</v>
      </c>
      <c r="Q208">
        <v>2</v>
      </c>
    </row>
    <row r="209" spans="1:17" x14ac:dyDescent="0.45">
      <c r="A209" s="19">
        <v>46031.397222222222</v>
      </c>
      <c r="B209" t="s">
        <v>72</v>
      </c>
      <c r="C209" t="s">
        <v>73</v>
      </c>
      <c r="D209" t="s">
        <v>74</v>
      </c>
      <c r="E209" t="s">
        <v>75</v>
      </c>
      <c r="F209" t="s">
        <v>100</v>
      </c>
      <c r="G209" t="s">
        <v>109</v>
      </c>
      <c r="H209" t="s">
        <v>102</v>
      </c>
      <c r="I209">
        <v>7</v>
      </c>
      <c r="J209">
        <v>8</v>
      </c>
      <c r="K209">
        <v>6</v>
      </c>
      <c r="L209">
        <v>7</v>
      </c>
      <c r="M209">
        <v>6</v>
      </c>
      <c r="N209">
        <v>7</v>
      </c>
      <c r="O209">
        <v>6</v>
      </c>
      <c r="P209">
        <v>6</v>
      </c>
      <c r="Q209">
        <v>6</v>
      </c>
    </row>
    <row r="210" spans="1:17" x14ac:dyDescent="0.45">
      <c r="A210" s="19">
        <v>46031.397916666669</v>
      </c>
      <c r="B210" t="s">
        <v>72</v>
      </c>
      <c r="C210" t="s">
        <v>73</v>
      </c>
      <c r="D210" t="s">
        <v>74</v>
      </c>
      <c r="E210" t="s">
        <v>77</v>
      </c>
      <c r="F210" t="s">
        <v>100</v>
      </c>
      <c r="G210" t="s">
        <v>109</v>
      </c>
      <c r="H210" t="s">
        <v>110</v>
      </c>
      <c r="I210">
        <v>6</v>
      </c>
      <c r="J210">
        <v>6</v>
      </c>
      <c r="K210">
        <v>6</v>
      </c>
      <c r="L210">
        <v>6</v>
      </c>
      <c r="M210">
        <v>6</v>
      </c>
      <c r="N210">
        <v>5</v>
      </c>
      <c r="O210">
        <v>6</v>
      </c>
      <c r="P210">
        <v>6</v>
      </c>
      <c r="Q210">
        <v>6</v>
      </c>
    </row>
    <row r="211" spans="1:17" x14ac:dyDescent="0.45">
      <c r="A211" s="19">
        <v>46031.398611111108</v>
      </c>
      <c r="B211" t="s">
        <v>78</v>
      </c>
      <c r="C211" t="s">
        <v>73</v>
      </c>
      <c r="D211" t="s">
        <v>74</v>
      </c>
      <c r="E211" t="s">
        <v>77</v>
      </c>
      <c r="F211" t="s">
        <v>100</v>
      </c>
      <c r="G211" t="s">
        <v>101</v>
      </c>
      <c r="H211" t="s">
        <v>110</v>
      </c>
      <c r="I211">
        <v>7</v>
      </c>
      <c r="J211">
        <v>7</v>
      </c>
      <c r="K211">
        <v>8</v>
      </c>
      <c r="L211">
        <v>8</v>
      </c>
      <c r="M211">
        <v>8</v>
      </c>
      <c r="N211">
        <v>9</v>
      </c>
      <c r="O211">
        <v>8</v>
      </c>
      <c r="P211">
        <v>8</v>
      </c>
      <c r="Q211">
        <v>8</v>
      </c>
    </row>
    <row r="212" spans="1:17" x14ac:dyDescent="0.45">
      <c r="A212" s="19">
        <v>46031.399305555555</v>
      </c>
      <c r="B212" t="s">
        <v>72</v>
      </c>
      <c r="C212" t="s">
        <v>73</v>
      </c>
      <c r="D212" t="s">
        <v>74</v>
      </c>
      <c r="E212" t="s">
        <v>77</v>
      </c>
      <c r="F212" t="s">
        <v>100</v>
      </c>
      <c r="G212" t="s">
        <v>111</v>
      </c>
      <c r="H212" t="s">
        <v>102</v>
      </c>
      <c r="I212">
        <v>7</v>
      </c>
      <c r="J212">
        <v>7</v>
      </c>
      <c r="K212">
        <v>7</v>
      </c>
      <c r="L212">
        <v>7</v>
      </c>
      <c r="M212">
        <v>7</v>
      </c>
      <c r="N212">
        <v>7</v>
      </c>
      <c r="O212">
        <v>7</v>
      </c>
      <c r="P212">
        <v>7</v>
      </c>
      <c r="Q212">
        <v>7</v>
      </c>
    </row>
    <row r="213" spans="1:17" x14ac:dyDescent="0.45">
      <c r="A213" s="19">
        <v>46031.399305555555</v>
      </c>
      <c r="B213" t="s">
        <v>72</v>
      </c>
      <c r="C213" t="s">
        <v>73</v>
      </c>
      <c r="D213" t="s">
        <v>74</v>
      </c>
      <c r="E213" t="s">
        <v>77</v>
      </c>
      <c r="F213" t="s">
        <v>100</v>
      </c>
      <c r="G213" t="s">
        <v>111</v>
      </c>
      <c r="H213" t="s">
        <v>110</v>
      </c>
      <c r="I213">
        <v>5</v>
      </c>
      <c r="J213">
        <v>5</v>
      </c>
      <c r="K213">
        <v>1</v>
      </c>
      <c r="L213">
        <v>5</v>
      </c>
      <c r="M213">
        <v>5</v>
      </c>
      <c r="N213">
        <v>5</v>
      </c>
      <c r="O213">
        <v>4</v>
      </c>
      <c r="P213">
        <v>5</v>
      </c>
      <c r="Q213">
        <v>5</v>
      </c>
    </row>
    <row r="214" spans="1:17" x14ac:dyDescent="0.45">
      <c r="A214" s="19">
        <v>46031.4</v>
      </c>
      <c r="B214" t="s">
        <v>72</v>
      </c>
      <c r="C214" t="s">
        <v>73</v>
      </c>
      <c r="D214" t="s">
        <v>74</v>
      </c>
      <c r="E214" t="s">
        <v>77</v>
      </c>
      <c r="F214" t="s">
        <v>100</v>
      </c>
      <c r="G214" t="s">
        <v>111</v>
      </c>
      <c r="H214" t="s">
        <v>195</v>
      </c>
      <c r="I214">
        <v>7</v>
      </c>
      <c r="J214">
        <v>8</v>
      </c>
      <c r="K214">
        <v>8</v>
      </c>
      <c r="L214">
        <v>8</v>
      </c>
      <c r="M214">
        <v>8</v>
      </c>
      <c r="N214">
        <v>8</v>
      </c>
      <c r="O214">
        <v>8</v>
      </c>
      <c r="P214">
        <v>8</v>
      </c>
      <c r="Q214">
        <v>8</v>
      </c>
    </row>
    <row r="215" spans="1:17" x14ac:dyDescent="0.45">
      <c r="A215" s="19">
        <v>46031.400694444441</v>
      </c>
      <c r="B215" t="s">
        <v>72</v>
      </c>
      <c r="C215" t="s">
        <v>73</v>
      </c>
      <c r="D215" t="s">
        <v>74</v>
      </c>
      <c r="E215" t="s">
        <v>75</v>
      </c>
      <c r="F215" t="s">
        <v>100</v>
      </c>
      <c r="G215" t="s">
        <v>111</v>
      </c>
      <c r="H215" t="s">
        <v>195</v>
      </c>
      <c r="I215">
        <v>9</v>
      </c>
      <c r="J215">
        <v>9</v>
      </c>
      <c r="K215">
        <v>9</v>
      </c>
      <c r="L215">
        <v>9</v>
      </c>
      <c r="M215">
        <v>9</v>
      </c>
      <c r="N215">
        <v>9</v>
      </c>
      <c r="O215">
        <v>9</v>
      </c>
      <c r="P215">
        <v>9</v>
      </c>
      <c r="Q215">
        <v>9</v>
      </c>
    </row>
    <row r="216" spans="1:17" x14ac:dyDescent="0.45">
      <c r="A216" s="19">
        <v>46031.400694444441</v>
      </c>
      <c r="B216" t="s">
        <v>72</v>
      </c>
      <c r="C216" t="s">
        <v>73</v>
      </c>
      <c r="D216" t="s">
        <v>74</v>
      </c>
      <c r="E216" t="s">
        <v>75</v>
      </c>
      <c r="F216" t="s">
        <v>100</v>
      </c>
      <c r="G216" t="s">
        <v>196</v>
      </c>
      <c r="H216" t="s">
        <v>105</v>
      </c>
      <c r="I216">
        <v>5</v>
      </c>
      <c r="J216">
        <v>5</v>
      </c>
      <c r="K216">
        <v>5</v>
      </c>
      <c r="L216">
        <v>5</v>
      </c>
      <c r="M216">
        <v>5</v>
      </c>
      <c r="N216">
        <v>5</v>
      </c>
      <c r="O216">
        <v>5</v>
      </c>
      <c r="P216">
        <v>5</v>
      </c>
      <c r="Q216">
        <v>5</v>
      </c>
    </row>
    <row r="217" spans="1:17" x14ac:dyDescent="0.45">
      <c r="A217" s="19">
        <v>46031.400694444441</v>
      </c>
      <c r="B217" t="s">
        <v>72</v>
      </c>
      <c r="C217" t="s">
        <v>73</v>
      </c>
      <c r="D217" t="s">
        <v>74</v>
      </c>
      <c r="E217" t="s">
        <v>75</v>
      </c>
      <c r="F217" t="s">
        <v>100</v>
      </c>
      <c r="G217" t="s">
        <v>109</v>
      </c>
      <c r="H217" t="s">
        <v>102</v>
      </c>
      <c r="I217">
        <v>6</v>
      </c>
      <c r="J217">
        <v>7</v>
      </c>
      <c r="K217">
        <v>7</v>
      </c>
      <c r="L217">
        <v>7</v>
      </c>
      <c r="M217">
        <v>6</v>
      </c>
      <c r="N217">
        <v>7</v>
      </c>
      <c r="O217">
        <v>7</v>
      </c>
      <c r="P217">
        <v>7</v>
      </c>
      <c r="Q217">
        <v>7</v>
      </c>
    </row>
    <row r="218" spans="1:17" x14ac:dyDescent="0.45">
      <c r="A218" s="19">
        <v>46031.401388888888</v>
      </c>
      <c r="B218" t="s">
        <v>78</v>
      </c>
      <c r="C218" t="s">
        <v>73</v>
      </c>
      <c r="D218" t="s">
        <v>74</v>
      </c>
      <c r="E218" t="s">
        <v>77</v>
      </c>
      <c r="F218" t="s">
        <v>100</v>
      </c>
      <c r="G218" t="s">
        <v>109</v>
      </c>
      <c r="H218" t="s">
        <v>110</v>
      </c>
      <c r="I218">
        <v>5</v>
      </c>
      <c r="J218">
        <v>5</v>
      </c>
      <c r="K218">
        <v>5</v>
      </c>
      <c r="L218">
        <v>6</v>
      </c>
      <c r="M218">
        <v>5</v>
      </c>
      <c r="N218">
        <v>5</v>
      </c>
      <c r="O218">
        <v>5</v>
      </c>
      <c r="P218">
        <v>5</v>
      </c>
      <c r="Q218">
        <v>5</v>
      </c>
    </row>
    <row r="219" spans="1:17" x14ac:dyDescent="0.45">
      <c r="A219" s="19">
        <v>46031.402083333334</v>
      </c>
      <c r="B219" t="s">
        <v>72</v>
      </c>
      <c r="C219" t="s">
        <v>73</v>
      </c>
      <c r="D219" t="s">
        <v>74</v>
      </c>
      <c r="E219" t="s">
        <v>77</v>
      </c>
      <c r="F219" t="s">
        <v>100</v>
      </c>
      <c r="G219" t="s">
        <v>111</v>
      </c>
      <c r="H219" t="s">
        <v>106</v>
      </c>
      <c r="I219">
        <v>6</v>
      </c>
      <c r="J219">
        <v>7</v>
      </c>
      <c r="K219">
        <v>7</v>
      </c>
      <c r="L219">
        <v>7</v>
      </c>
      <c r="M219">
        <v>7</v>
      </c>
      <c r="N219">
        <v>7</v>
      </c>
      <c r="O219">
        <v>7</v>
      </c>
      <c r="P219">
        <v>7</v>
      </c>
      <c r="Q219">
        <v>7</v>
      </c>
    </row>
    <row r="220" spans="1:17" x14ac:dyDescent="0.45">
      <c r="A220" s="19">
        <v>46031.402777777781</v>
      </c>
      <c r="B220" t="s">
        <v>78</v>
      </c>
      <c r="C220" t="s">
        <v>193</v>
      </c>
      <c r="D220" t="s">
        <v>74</v>
      </c>
      <c r="E220" t="s">
        <v>75</v>
      </c>
      <c r="F220" t="s">
        <v>100</v>
      </c>
      <c r="G220" t="s">
        <v>108</v>
      </c>
      <c r="H220" t="s">
        <v>105</v>
      </c>
      <c r="I220">
        <v>7</v>
      </c>
      <c r="J220">
        <v>8</v>
      </c>
      <c r="K220">
        <v>8</v>
      </c>
      <c r="L220">
        <v>8</v>
      </c>
      <c r="M220">
        <v>8</v>
      </c>
      <c r="N220">
        <v>5</v>
      </c>
      <c r="O220">
        <v>5</v>
      </c>
      <c r="P220">
        <v>7</v>
      </c>
      <c r="Q220">
        <v>6</v>
      </c>
    </row>
    <row r="221" spans="1:17" x14ac:dyDescent="0.45">
      <c r="A221" s="19">
        <v>46031.402777777781</v>
      </c>
      <c r="B221" t="s">
        <v>72</v>
      </c>
      <c r="C221" t="s">
        <v>191</v>
      </c>
      <c r="D221" t="s">
        <v>74</v>
      </c>
      <c r="E221" t="s">
        <v>75</v>
      </c>
      <c r="F221" t="s">
        <v>100</v>
      </c>
      <c r="G221" t="s">
        <v>108</v>
      </c>
      <c r="H221" t="s">
        <v>102</v>
      </c>
      <c r="I221">
        <v>10</v>
      </c>
      <c r="J221">
        <v>10</v>
      </c>
      <c r="K221">
        <v>6</v>
      </c>
      <c r="L221">
        <v>9</v>
      </c>
      <c r="M221">
        <v>9</v>
      </c>
      <c r="N221">
        <v>9</v>
      </c>
      <c r="O221">
        <v>9</v>
      </c>
      <c r="P221">
        <v>8</v>
      </c>
      <c r="Q221">
        <v>8</v>
      </c>
    </row>
    <row r="222" spans="1:17" x14ac:dyDescent="0.45">
      <c r="A222" s="19">
        <v>46031.40347222222</v>
      </c>
      <c r="B222" t="s">
        <v>72</v>
      </c>
      <c r="C222" t="s">
        <v>79</v>
      </c>
      <c r="D222" t="s">
        <v>74</v>
      </c>
      <c r="E222" t="s">
        <v>77</v>
      </c>
      <c r="F222" t="s">
        <v>100</v>
      </c>
      <c r="G222" t="s">
        <v>111</v>
      </c>
      <c r="H222" t="s">
        <v>102</v>
      </c>
      <c r="I222">
        <v>4</v>
      </c>
      <c r="J222">
        <v>4</v>
      </c>
      <c r="K222">
        <v>4</v>
      </c>
      <c r="L222">
        <v>6</v>
      </c>
      <c r="M222">
        <v>5</v>
      </c>
      <c r="N222">
        <v>6</v>
      </c>
      <c r="O222">
        <v>5</v>
      </c>
      <c r="P222">
        <v>6</v>
      </c>
      <c r="Q222">
        <v>5</v>
      </c>
    </row>
    <row r="223" spans="1:17" x14ac:dyDescent="0.45">
      <c r="A223" s="19">
        <v>46031.404861111114</v>
      </c>
      <c r="B223" t="s">
        <v>72</v>
      </c>
      <c r="C223" t="s">
        <v>191</v>
      </c>
      <c r="D223" t="s">
        <v>74</v>
      </c>
      <c r="E223" t="s">
        <v>77</v>
      </c>
      <c r="F223" t="s">
        <v>100</v>
      </c>
      <c r="G223" t="s">
        <v>111</v>
      </c>
      <c r="H223" t="s">
        <v>105</v>
      </c>
      <c r="I223">
        <v>4</v>
      </c>
      <c r="J223">
        <v>5</v>
      </c>
      <c r="K223">
        <v>4</v>
      </c>
      <c r="L223">
        <v>5</v>
      </c>
      <c r="M223">
        <v>5</v>
      </c>
      <c r="N223">
        <v>5</v>
      </c>
      <c r="O223">
        <v>5</v>
      </c>
      <c r="P223">
        <v>5</v>
      </c>
      <c r="Q223">
        <v>5</v>
      </c>
    </row>
    <row r="224" spans="1:17" x14ac:dyDescent="0.45">
      <c r="A224" s="19">
        <v>46031.405555555553</v>
      </c>
      <c r="B224" t="s">
        <v>78</v>
      </c>
      <c r="C224" t="s">
        <v>73</v>
      </c>
      <c r="D224" t="s">
        <v>74</v>
      </c>
      <c r="E224" t="s">
        <v>77</v>
      </c>
      <c r="F224" t="s">
        <v>100</v>
      </c>
      <c r="G224" t="s">
        <v>111</v>
      </c>
      <c r="H224" t="s">
        <v>105</v>
      </c>
      <c r="I224">
        <v>6</v>
      </c>
      <c r="J224">
        <v>6</v>
      </c>
      <c r="K224">
        <v>7</v>
      </c>
      <c r="L224">
        <v>7</v>
      </c>
      <c r="M224">
        <v>6</v>
      </c>
      <c r="N224">
        <v>6</v>
      </c>
      <c r="O224">
        <v>8</v>
      </c>
      <c r="P224">
        <v>8</v>
      </c>
      <c r="Q224">
        <v>7</v>
      </c>
    </row>
    <row r="225" spans="1:17" x14ac:dyDescent="0.45">
      <c r="A225" s="19">
        <v>46031.405555555553</v>
      </c>
      <c r="B225" t="s">
        <v>72</v>
      </c>
      <c r="C225" t="s">
        <v>73</v>
      </c>
      <c r="D225" t="s">
        <v>74</v>
      </c>
      <c r="E225" t="s">
        <v>75</v>
      </c>
      <c r="F225" t="s">
        <v>100</v>
      </c>
      <c r="G225" t="s">
        <v>111</v>
      </c>
      <c r="H225" t="s">
        <v>110</v>
      </c>
      <c r="I225">
        <v>7</v>
      </c>
      <c r="J225">
        <v>7</v>
      </c>
      <c r="K225">
        <v>7</v>
      </c>
      <c r="L225">
        <v>7</v>
      </c>
      <c r="M225">
        <v>7</v>
      </c>
      <c r="N225">
        <v>7</v>
      </c>
      <c r="O225">
        <v>7</v>
      </c>
      <c r="P225">
        <v>7</v>
      </c>
      <c r="Q225">
        <v>7</v>
      </c>
    </row>
    <row r="226" spans="1:17" x14ac:dyDescent="0.45">
      <c r="A226" s="19">
        <v>46031.40625</v>
      </c>
      <c r="B226" t="s">
        <v>72</v>
      </c>
      <c r="C226" t="s">
        <v>73</v>
      </c>
      <c r="D226" t="s">
        <v>74</v>
      </c>
      <c r="E226" t="s">
        <v>77</v>
      </c>
      <c r="F226" t="s">
        <v>100</v>
      </c>
      <c r="G226" t="s">
        <v>109</v>
      </c>
      <c r="H226" t="s">
        <v>102</v>
      </c>
      <c r="I226">
        <v>6</v>
      </c>
      <c r="J226">
        <v>6</v>
      </c>
      <c r="K226">
        <v>7</v>
      </c>
      <c r="L226">
        <v>7</v>
      </c>
      <c r="M226">
        <v>5</v>
      </c>
      <c r="N226">
        <v>6</v>
      </c>
      <c r="O226">
        <v>6</v>
      </c>
      <c r="P226">
        <v>6</v>
      </c>
      <c r="Q226">
        <v>7</v>
      </c>
    </row>
    <row r="227" spans="1:17" x14ac:dyDescent="0.45">
      <c r="A227" s="19">
        <v>46031.406944444447</v>
      </c>
      <c r="B227" t="s">
        <v>72</v>
      </c>
      <c r="C227" t="s">
        <v>193</v>
      </c>
      <c r="D227" t="s">
        <v>74</v>
      </c>
      <c r="E227" t="s">
        <v>75</v>
      </c>
      <c r="F227" t="s">
        <v>100</v>
      </c>
      <c r="G227" t="s">
        <v>107</v>
      </c>
      <c r="H227" t="s">
        <v>105</v>
      </c>
      <c r="I227">
        <v>7</v>
      </c>
      <c r="J227">
        <v>7</v>
      </c>
      <c r="K227">
        <v>6</v>
      </c>
      <c r="L227">
        <v>7</v>
      </c>
      <c r="M227">
        <v>7</v>
      </c>
      <c r="N227">
        <v>7</v>
      </c>
      <c r="O227">
        <v>7</v>
      </c>
      <c r="P227">
        <v>7</v>
      </c>
      <c r="Q227">
        <v>7</v>
      </c>
    </row>
    <row r="228" spans="1:17" x14ac:dyDescent="0.45">
      <c r="A228" s="19">
        <v>46031.407638888886</v>
      </c>
      <c r="B228" t="s">
        <v>72</v>
      </c>
      <c r="C228" t="s">
        <v>81</v>
      </c>
      <c r="D228" t="s">
        <v>74</v>
      </c>
      <c r="E228" t="s">
        <v>77</v>
      </c>
      <c r="F228" t="s">
        <v>100</v>
      </c>
      <c r="G228" t="s">
        <v>101</v>
      </c>
      <c r="H228" t="s">
        <v>110</v>
      </c>
      <c r="I228">
        <v>6</v>
      </c>
      <c r="J228">
        <v>6</v>
      </c>
      <c r="K228">
        <v>6</v>
      </c>
      <c r="L228">
        <v>6</v>
      </c>
      <c r="M228">
        <v>6</v>
      </c>
      <c r="N228">
        <v>6</v>
      </c>
      <c r="O228">
        <v>6</v>
      </c>
      <c r="P228">
        <v>6</v>
      </c>
      <c r="Q228">
        <v>6</v>
      </c>
    </row>
    <row r="229" spans="1:17" x14ac:dyDescent="0.45">
      <c r="A229" s="19">
        <v>46031.407638888886</v>
      </c>
      <c r="B229" t="s">
        <v>72</v>
      </c>
      <c r="C229" t="s">
        <v>81</v>
      </c>
      <c r="D229" t="s">
        <v>74</v>
      </c>
      <c r="E229" t="s">
        <v>77</v>
      </c>
      <c r="F229" t="s">
        <v>100</v>
      </c>
      <c r="G229" t="s">
        <v>196</v>
      </c>
      <c r="H229" t="s">
        <v>105</v>
      </c>
      <c r="I229">
        <v>8</v>
      </c>
      <c r="J229">
        <v>9</v>
      </c>
      <c r="K229">
        <v>7</v>
      </c>
      <c r="L229">
        <v>8</v>
      </c>
      <c r="M229">
        <v>9</v>
      </c>
      <c r="N229">
        <v>8</v>
      </c>
      <c r="O229">
        <v>8</v>
      </c>
      <c r="P229">
        <v>8</v>
      </c>
      <c r="Q229">
        <v>8</v>
      </c>
    </row>
    <row r="230" spans="1:17" x14ac:dyDescent="0.45">
      <c r="A230" s="19">
        <v>46031.408333333333</v>
      </c>
      <c r="B230" t="s">
        <v>72</v>
      </c>
      <c r="C230" t="s">
        <v>73</v>
      </c>
      <c r="D230" t="s">
        <v>74</v>
      </c>
      <c r="E230" t="s">
        <v>77</v>
      </c>
      <c r="F230" t="s">
        <v>100</v>
      </c>
      <c r="G230" t="s">
        <v>111</v>
      </c>
      <c r="H230" t="s">
        <v>105</v>
      </c>
      <c r="I230">
        <v>6</v>
      </c>
      <c r="J230">
        <v>6</v>
      </c>
      <c r="K230">
        <v>6</v>
      </c>
      <c r="L230">
        <v>6</v>
      </c>
      <c r="M230">
        <v>6</v>
      </c>
      <c r="N230">
        <v>7</v>
      </c>
      <c r="O230">
        <v>6</v>
      </c>
      <c r="P230">
        <v>6</v>
      </c>
      <c r="Q230">
        <v>7</v>
      </c>
    </row>
    <row r="231" spans="1:17" x14ac:dyDescent="0.45">
      <c r="A231" s="19">
        <v>46031.40902777778</v>
      </c>
      <c r="B231" t="s">
        <v>72</v>
      </c>
      <c r="C231" t="s">
        <v>79</v>
      </c>
      <c r="D231" t="s">
        <v>74</v>
      </c>
      <c r="E231" t="s">
        <v>75</v>
      </c>
      <c r="F231" t="s">
        <v>100</v>
      </c>
      <c r="G231" t="s">
        <v>107</v>
      </c>
      <c r="H231" t="s">
        <v>195</v>
      </c>
      <c r="I231">
        <v>4</v>
      </c>
      <c r="J231">
        <v>5</v>
      </c>
      <c r="K231">
        <v>1</v>
      </c>
      <c r="L231">
        <v>6</v>
      </c>
      <c r="M231">
        <v>4</v>
      </c>
      <c r="N231">
        <v>4</v>
      </c>
      <c r="O231">
        <v>5</v>
      </c>
      <c r="P231">
        <v>5</v>
      </c>
      <c r="Q231">
        <v>5</v>
      </c>
    </row>
    <row r="232" spans="1:17" x14ac:dyDescent="0.45">
      <c r="A232" s="19">
        <v>46031.40902777778</v>
      </c>
      <c r="B232" t="s">
        <v>78</v>
      </c>
      <c r="C232" t="s">
        <v>193</v>
      </c>
      <c r="D232" t="s">
        <v>74</v>
      </c>
      <c r="E232" t="s">
        <v>75</v>
      </c>
      <c r="F232" t="s">
        <v>100</v>
      </c>
      <c r="G232" t="s">
        <v>108</v>
      </c>
      <c r="H232" t="s">
        <v>195</v>
      </c>
      <c r="I232">
        <v>8</v>
      </c>
      <c r="J232">
        <v>8</v>
      </c>
      <c r="K232">
        <v>8</v>
      </c>
      <c r="L232">
        <v>8</v>
      </c>
      <c r="M232">
        <v>7</v>
      </c>
      <c r="N232">
        <v>7</v>
      </c>
      <c r="O232">
        <v>8</v>
      </c>
      <c r="P232">
        <v>7</v>
      </c>
      <c r="Q232">
        <v>8</v>
      </c>
    </row>
    <row r="233" spans="1:17" x14ac:dyDescent="0.45">
      <c r="A233" s="19">
        <v>46031.409722222219</v>
      </c>
      <c r="B233" t="s">
        <v>78</v>
      </c>
      <c r="C233" t="s">
        <v>73</v>
      </c>
      <c r="D233" t="s">
        <v>74</v>
      </c>
      <c r="E233" t="s">
        <v>77</v>
      </c>
      <c r="F233" t="s">
        <v>100</v>
      </c>
      <c r="G233" t="s">
        <v>111</v>
      </c>
      <c r="H233" t="s">
        <v>105</v>
      </c>
      <c r="I233">
        <v>6</v>
      </c>
      <c r="J233">
        <v>6</v>
      </c>
      <c r="K233">
        <v>6</v>
      </c>
      <c r="L233">
        <v>6</v>
      </c>
      <c r="M233">
        <v>6</v>
      </c>
      <c r="N233">
        <v>6</v>
      </c>
      <c r="O233">
        <v>6</v>
      </c>
      <c r="P233">
        <v>6</v>
      </c>
      <c r="Q233">
        <v>6</v>
      </c>
    </row>
    <row r="234" spans="1:17" x14ac:dyDescent="0.45">
      <c r="A234" s="19">
        <v>46031.409722222219</v>
      </c>
      <c r="B234" t="s">
        <v>72</v>
      </c>
      <c r="C234" t="s">
        <v>79</v>
      </c>
      <c r="D234" t="s">
        <v>74</v>
      </c>
      <c r="E234" t="s">
        <v>77</v>
      </c>
      <c r="F234" t="s">
        <v>100</v>
      </c>
      <c r="G234" t="s">
        <v>104</v>
      </c>
      <c r="H234" t="s">
        <v>102</v>
      </c>
      <c r="I234">
        <v>8</v>
      </c>
      <c r="J234">
        <v>8</v>
      </c>
      <c r="K234">
        <v>8</v>
      </c>
      <c r="L234">
        <v>8</v>
      </c>
      <c r="M234">
        <v>9</v>
      </c>
      <c r="N234">
        <v>8</v>
      </c>
      <c r="O234">
        <v>8</v>
      </c>
      <c r="P234">
        <v>8</v>
      </c>
      <c r="Q234">
        <v>10</v>
      </c>
    </row>
    <row r="235" spans="1:17" x14ac:dyDescent="0.45">
      <c r="A235" s="19">
        <v>46031.409722222219</v>
      </c>
      <c r="B235" t="s">
        <v>72</v>
      </c>
      <c r="C235" t="s">
        <v>191</v>
      </c>
      <c r="D235" t="s">
        <v>74</v>
      </c>
      <c r="E235" t="s">
        <v>75</v>
      </c>
      <c r="F235" t="s">
        <v>100</v>
      </c>
      <c r="G235" t="s">
        <v>107</v>
      </c>
      <c r="H235" t="s">
        <v>106</v>
      </c>
      <c r="I235">
        <v>4</v>
      </c>
      <c r="J235">
        <v>4</v>
      </c>
      <c r="K235">
        <v>4</v>
      </c>
      <c r="L235">
        <v>4</v>
      </c>
      <c r="M235">
        <v>1</v>
      </c>
      <c r="N235">
        <v>3</v>
      </c>
      <c r="O235">
        <v>1</v>
      </c>
      <c r="P235">
        <v>1</v>
      </c>
      <c r="Q235">
        <v>1</v>
      </c>
    </row>
    <row r="236" spans="1:17" x14ac:dyDescent="0.45">
      <c r="A236" s="19">
        <v>46031.410416666666</v>
      </c>
      <c r="B236" t="s">
        <v>72</v>
      </c>
      <c r="C236" t="s">
        <v>73</v>
      </c>
      <c r="D236" t="s">
        <v>74</v>
      </c>
      <c r="E236" t="s">
        <v>77</v>
      </c>
      <c r="F236" t="s">
        <v>100</v>
      </c>
      <c r="G236" t="s">
        <v>109</v>
      </c>
      <c r="H236" t="s">
        <v>110</v>
      </c>
      <c r="I236">
        <v>6</v>
      </c>
      <c r="J236">
        <v>6</v>
      </c>
      <c r="K236">
        <v>1</v>
      </c>
      <c r="L236">
        <v>6</v>
      </c>
      <c r="M236">
        <v>5</v>
      </c>
      <c r="N236">
        <v>6</v>
      </c>
      <c r="O236">
        <v>5</v>
      </c>
      <c r="P236">
        <v>6</v>
      </c>
      <c r="Q236">
        <v>6</v>
      </c>
    </row>
    <row r="237" spans="1:17" x14ac:dyDescent="0.45">
      <c r="A237" s="19">
        <v>46031.411111111112</v>
      </c>
      <c r="B237" t="s">
        <v>72</v>
      </c>
      <c r="C237" t="s">
        <v>73</v>
      </c>
      <c r="D237" t="s">
        <v>74</v>
      </c>
      <c r="E237" t="s">
        <v>75</v>
      </c>
      <c r="F237" t="s">
        <v>100</v>
      </c>
      <c r="G237" t="s">
        <v>111</v>
      </c>
      <c r="H237" t="s">
        <v>106</v>
      </c>
      <c r="I237">
        <v>7</v>
      </c>
      <c r="J237">
        <v>7</v>
      </c>
      <c r="K237">
        <v>7</v>
      </c>
      <c r="L237">
        <v>7</v>
      </c>
      <c r="M237">
        <v>7</v>
      </c>
      <c r="N237">
        <v>7</v>
      </c>
      <c r="O237">
        <v>7</v>
      </c>
      <c r="P237">
        <v>7</v>
      </c>
      <c r="Q237">
        <v>7</v>
      </c>
    </row>
    <row r="238" spans="1:17" x14ac:dyDescent="0.45">
      <c r="A238" s="19">
        <v>46031.418749999997</v>
      </c>
      <c r="B238" t="s">
        <v>78</v>
      </c>
      <c r="C238" t="s">
        <v>73</v>
      </c>
      <c r="D238" t="s">
        <v>74</v>
      </c>
      <c r="E238" t="s">
        <v>75</v>
      </c>
      <c r="F238" t="s">
        <v>103</v>
      </c>
      <c r="G238" t="s">
        <v>104</v>
      </c>
      <c r="H238" t="s">
        <v>106</v>
      </c>
      <c r="I238">
        <v>10</v>
      </c>
      <c r="J238">
        <v>10</v>
      </c>
      <c r="K238">
        <v>4</v>
      </c>
      <c r="L238">
        <v>6</v>
      </c>
      <c r="M238">
        <v>3</v>
      </c>
      <c r="N238">
        <v>1</v>
      </c>
      <c r="O238">
        <v>1</v>
      </c>
      <c r="P238">
        <v>3</v>
      </c>
      <c r="Q238">
        <v>1</v>
      </c>
    </row>
    <row r="239" spans="1:17" x14ac:dyDescent="0.45">
      <c r="A239" s="19">
        <v>46031.427083333336</v>
      </c>
      <c r="B239" t="s">
        <v>72</v>
      </c>
      <c r="C239" t="s">
        <v>73</v>
      </c>
      <c r="D239" t="s">
        <v>74</v>
      </c>
      <c r="E239" t="s">
        <v>75</v>
      </c>
      <c r="F239" t="s">
        <v>100</v>
      </c>
      <c r="G239" t="s">
        <v>101</v>
      </c>
      <c r="H239" t="s">
        <v>102</v>
      </c>
      <c r="I239">
        <v>8</v>
      </c>
      <c r="J239">
        <v>10</v>
      </c>
      <c r="K239">
        <v>8</v>
      </c>
      <c r="L239">
        <v>10</v>
      </c>
      <c r="M239">
        <v>9</v>
      </c>
      <c r="N239">
        <v>8</v>
      </c>
      <c r="O239">
        <v>7</v>
      </c>
      <c r="P239">
        <v>9</v>
      </c>
      <c r="Q239">
        <v>9</v>
      </c>
    </row>
    <row r="240" spans="1:17" x14ac:dyDescent="0.45">
      <c r="A240" s="19">
        <v>46031.440972222219</v>
      </c>
      <c r="B240" t="s">
        <v>78</v>
      </c>
      <c r="C240" t="s">
        <v>193</v>
      </c>
      <c r="D240" t="s">
        <v>74</v>
      </c>
      <c r="E240" t="s">
        <v>75</v>
      </c>
      <c r="F240" t="s">
        <v>100</v>
      </c>
      <c r="G240" t="s">
        <v>107</v>
      </c>
      <c r="H240" t="s">
        <v>195</v>
      </c>
      <c r="I240">
        <v>6</v>
      </c>
      <c r="J240">
        <v>6</v>
      </c>
      <c r="K240">
        <v>6</v>
      </c>
      <c r="L240">
        <v>6</v>
      </c>
      <c r="M240">
        <v>6</v>
      </c>
      <c r="N240">
        <v>6</v>
      </c>
      <c r="O240">
        <v>6</v>
      </c>
      <c r="P240">
        <v>7</v>
      </c>
      <c r="Q240">
        <v>6</v>
      </c>
    </row>
    <row r="241" spans="1:17" x14ac:dyDescent="0.45">
      <c r="A241" s="19">
        <v>46031.441666666666</v>
      </c>
      <c r="B241" t="s">
        <v>72</v>
      </c>
      <c r="C241" t="s">
        <v>73</v>
      </c>
      <c r="D241" t="s">
        <v>74</v>
      </c>
      <c r="E241" t="s">
        <v>77</v>
      </c>
      <c r="F241" t="s">
        <v>100</v>
      </c>
      <c r="G241" t="s">
        <v>111</v>
      </c>
      <c r="H241" t="s">
        <v>106</v>
      </c>
      <c r="I241">
        <v>8</v>
      </c>
      <c r="J241">
        <v>8</v>
      </c>
      <c r="K241">
        <v>8</v>
      </c>
      <c r="L241">
        <v>8</v>
      </c>
      <c r="M241">
        <v>8</v>
      </c>
      <c r="N241">
        <v>8</v>
      </c>
      <c r="O241">
        <v>8</v>
      </c>
      <c r="P241">
        <v>8</v>
      </c>
      <c r="Q241">
        <v>8</v>
      </c>
    </row>
    <row r="242" spans="1:17" x14ac:dyDescent="0.45">
      <c r="A242" s="19">
        <v>46031.441666666666</v>
      </c>
      <c r="B242" t="s">
        <v>72</v>
      </c>
      <c r="C242" t="s">
        <v>73</v>
      </c>
      <c r="D242" t="s">
        <v>74</v>
      </c>
      <c r="E242" t="s">
        <v>75</v>
      </c>
      <c r="F242" t="s">
        <v>100</v>
      </c>
      <c r="G242" t="s">
        <v>111</v>
      </c>
      <c r="H242" t="s">
        <v>102</v>
      </c>
      <c r="I242">
        <v>7</v>
      </c>
      <c r="J242">
        <v>6</v>
      </c>
      <c r="K242">
        <v>7</v>
      </c>
      <c r="L242">
        <v>7</v>
      </c>
      <c r="M242">
        <v>8</v>
      </c>
      <c r="N242">
        <v>8</v>
      </c>
      <c r="O242">
        <v>8</v>
      </c>
      <c r="P242">
        <v>8</v>
      </c>
      <c r="Q242">
        <v>8</v>
      </c>
    </row>
    <row r="243" spans="1:17" x14ac:dyDescent="0.45">
      <c r="A243" s="19">
        <v>46031.441666666666</v>
      </c>
      <c r="B243" t="s">
        <v>78</v>
      </c>
      <c r="C243" t="s">
        <v>73</v>
      </c>
      <c r="D243" t="s">
        <v>74</v>
      </c>
      <c r="E243" t="s">
        <v>77</v>
      </c>
      <c r="F243" t="s">
        <v>100</v>
      </c>
      <c r="G243" t="s">
        <v>111</v>
      </c>
      <c r="H243" t="s">
        <v>105</v>
      </c>
      <c r="I243">
        <v>6</v>
      </c>
      <c r="J243">
        <v>5</v>
      </c>
      <c r="K243">
        <v>5</v>
      </c>
      <c r="L243">
        <v>7</v>
      </c>
      <c r="M243">
        <v>7</v>
      </c>
      <c r="N243">
        <v>7</v>
      </c>
      <c r="O243">
        <v>7</v>
      </c>
      <c r="P243">
        <v>8</v>
      </c>
      <c r="Q243">
        <v>8</v>
      </c>
    </row>
    <row r="244" spans="1:17" x14ac:dyDescent="0.45">
      <c r="A244" s="19">
        <v>46031.442361111112</v>
      </c>
      <c r="B244" t="s">
        <v>78</v>
      </c>
      <c r="C244" t="s">
        <v>191</v>
      </c>
      <c r="D244" t="s">
        <v>74</v>
      </c>
      <c r="E244" t="s">
        <v>77</v>
      </c>
      <c r="F244" t="s">
        <v>100</v>
      </c>
      <c r="G244" t="s">
        <v>107</v>
      </c>
      <c r="H244" t="s">
        <v>105</v>
      </c>
      <c r="I244">
        <v>6</v>
      </c>
      <c r="J244">
        <v>6</v>
      </c>
      <c r="K244">
        <v>6</v>
      </c>
      <c r="L244">
        <v>6</v>
      </c>
      <c r="M244">
        <v>6</v>
      </c>
      <c r="N244">
        <v>6</v>
      </c>
      <c r="O244">
        <v>6</v>
      </c>
      <c r="P244">
        <v>6</v>
      </c>
      <c r="Q244">
        <v>6</v>
      </c>
    </row>
    <row r="245" spans="1:17" x14ac:dyDescent="0.45">
      <c r="A245" s="19">
        <v>46031.442361111112</v>
      </c>
      <c r="B245" t="s">
        <v>72</v>
      </c>
      <c r="C245" t="s">
        <v>79</v>
      </c>
      <c r="D245" t="s">
        <v>74</v>
      </c>
      <c r="E245" t="s">
        <v>75</v>
      </c>
      <c r="F245" t="s">
        <v>100</v>
      </c>
      <c r="G245" t="s">
        <v>111</v>
      </c>
      <c r="H245" t="s">
        <v>106</v>
      </c>
      <c r="I245">
        <v>7</v>
      </c>
      <c r="J245">
        <v>6</v>
      </c>
      <c r="K245">
        <v>6</v>
      </c>
      <c r="L245">
        <v>8</v>
      </c>
      <c r="M245">
        <v>6</v>
      </c>
      <c r="N245">
        <v>6</v>
      </c>
      <c r="O245">
        <v>6</v>
      </c>
      <c r="P245">
        <v>6</v>
      </c>
      <c r="Q245">
        <v>6</v>
      </c>
    </row>
    <row r="246" spans="1:17" x14ac:dyDescent="0.45">
      <c r="A246" s="19">
        <v>46031.443055555559</v>
      </c>
      <c r="B246" t="s">
        <v>78</v>
      </c>
      <c r="C246" t="s">
        <v>79</v>
      </c>
      <c r="D246" t="s">
        <v>74</v>
      </c>
      <c r="E246" t="s">
        <v>75</v>
      </c>
      <c r="F246" t="s">
        <v>100</v>
      </c>
      <c r="G246" t="s">
        <v>108</v>
      </c>
      <c r="H246" t="s">
        <v>110</v>
      </c>
      <c r="I246">
        <v>4</v>
      </c>
      <c r="J246">
        <v>4</v>
      </c>
      <c r="K246">
        <v>1</v>
      </c>
      <c r="L246">
        <v>4</v>
      </c>
      <c r="M246">
        <v>4</v>
      </c>
      <c r="N246">
        <v>4</v>
      </c>
      <c r="O246">
        <v>5</v>
      </c>
      <c r="P246">
        <v>5</v>
      </c>
      <c r="Q246">
        <v>5</v>
      </c>
    </row>
    <row r="247" spans="1:17" x14ac:dyDescent="0.45">
      <c r="A247" s="19">
        <v>46031.443749999999</v>
      </c>
      <c r="B247" t="s">
        <v>78</v>
      </c>
      <c r="C247" t="s">
        <v>73</v>
      </c>
      <c r="D247" t="s">
        <v>74</v>
      </c>
      <c r="E247" t="s">
        <v>77</v>
      </c>
      <c r="F247" t="s">
        <v>100</v>
      </c>
      <c r="G247" t="s">
        <v>101</v>
      </c>
      <c r="H247" t="s">
        <v>110</v>
      </c>
      <c r="I247">
        <v>6</v>
      </c>
      <c r="J247">
        <v>7</v>
      </c>
      <c r="K247">
        <v>7</v>
      </c>
      <c r="L247">
        <v>7</v>
      </c>
      <c r="M247">
        <v>7</v>
      </c>
      <c r="N247">
        <v>7</v>
      </c>
      <c r="O247">
        <v>7</v>
      </c>
      <c r="P247">
        <v>7</v>
      </c>
      <c r="Q247">
        <v>7</v>
      </c>
    </row>
    <row r="248" spans="1:17" x14ac:dyDescent="0.45">
      <c r="A248" s="19">
        <v>46031.444444444445</v>
      </c>
      <c r="B248" t="s">
        <v>72</v>
      </c>
      <c r="C248" t="s">
        <v>191</v>
      </c>
      <c r="D248" t="s">
        <v>74</v>
      </c>
      <c r="E248" t="s">
        <v>75</v>
      </c>
      <c r="F248" t="s">
        <v>100</v>
      </c>
      <c r="G248" t="s">
        <v>111</v>
      </c>
      <c r="H248" t="s">
        <v>195</v>
      </c>
      <c r="I248">
        <v>8</v>
      </c>
      <c r="J248">
        <v>8</v>
      </c>
      <c r="K248">
        <v>8</v>
      </c>
      <c r="L248">
        <v>8</v>
      </c>
      <c r="M248">
        <v>8</v>
      </c>
      <c r="N248">
        <v>8</v>
      </c>
      <c r="O248">
        <v>8</v>
      </c>
      <c r="P248">
        <v>8</v>
      </c>
      <c r="Q248">
        <v>8</v>
      </c>
    </row>
    <row r="249" spans="1:17" x14ac:dyDescent="0.45">
      <c r="A249" s="19">
        <v>46031.464583333334</v>
      </c>
      <c r="B249" t="s">
        <v>72</v>
      </c>
      <c r="C249" t="s">
        <v>79</v>
      </c>
      <c r="D249" t="s">
        <v>74</v>
      </c>
      <c r="E249" t="s">
        <v>77</v>
      </c>
      <c r="F249" t="s">
        <v>100</v>
      </c>
      <c r="G249" t="s">
        <v>109</v>
      </c>
      <c r="H249" t="s">
        <v>102</v>
      </c>
      <c r="I249">
        <v>7</v>
      </c>
      <c r="J249">
        <v>7</v>
      </c>
      <c r="K249">
        <v>7</v>
      </c>
      <c r="L249">
        <v>7</v>
      </c>
      <c r="M249">
        <v>7</v>
      </c>
      <c r="N249">
        <v>7</v>
      </c>
      <c r="O249">
        <v>7</v>
      </c>
      <c r="P249">
        <v>7</v>
      </c>
      <c r="Q249">
        <v>7</v>
      </c>
    </row>
    <row r="250" spans="1:17" x14ac:dyDescent="0.45">
      <c r="A250" s="19">
        <v>46031.464583333334</v>
      </c>
      <c r="B250" t="s">
        <v>78</v>
      </c>
      <c r="C250" t="s">
        <v>193</v>
      </c>
      <c r="D250" t="s">
        <v>74</v>
      </c>
      <c r="E250" t="s">
        <v>75</v>
      </c>
      <c r="F250" t="s">
        <v>100</v>
      </c>
      <c r="G250" t="s">
        <v>107</v>
      </c>
      <c r="H250" t="s">
        <v>106</v>
      </c>
      <c r="I250">
        <v>9</v>
      </c>
      <c r="J250">
        <v>9</v>
      </c>
      <c r="K250">
        <v>9</v>
      </c>
      <c r="L250">
        <v>9</v>
      </c>
      <c r="M250">
        <v>9</v>
      </c>
      <c r="N250">
        <v>9</v>
      </c>
      <c r="O250">
        <v>9</v>
      </c>
      <c r="P250">
        <v>9</v>
      </c>
      <c r="Q250">
        <v>9</v>
      </c>
    </row>
    <row r="251" spans="1:17" x14ac:dyDescent="0.45">
      <c r="A251" s="19">
        <v>46031.465277777781</v>
      </c>
      <c r="B251" t="s">
        <v>72</v>
      </c>
      <c r="C251" t="s">
        <v>73</v>
      </c>
      <c r="D251" t="s">
        <v>74</v>
      </c>
      <c r="E251" t="s">
        <v>77</v>
      </c>
      <c r="F251" t="s">
        <v>100</v>
      </c>
      <c r="G251" t="s">
        <v>111</v>
      </c>
      <c r="H251" t="s">
        <v>106</v>
      </c>
      <c r="I251">
        <v>7</v>
      </c>
      <c r="J251">
        <v>6</v>
      </c>
      <c r="K251">
        <v>5</v>
      </c>
      <c r="L251">
        <v>6</v>
      </c>
      <c r="M251">
        <v>6</v>
      </c>
      <c r="N251">
        <v>6</v>
      </c>
      <c r="O251">
        <v>6</v>
      </c>
      <c r="P251">
        <v>6</v>
      </c>
      <c r="Q251">
        <v>7</v>
      </c>
    </row>
    <row r="252" spans="1:17" x14ac:dyDescent="0.45">
      <c r="A252" s="19">
        <v>46031.465277777781</v>
      </c>
      <c r="B252" t="s">
        <v>72</v>
      </c>
      <c r="C252" t="s">
        <v>73</v>
      </c>
      <c r="D252" t="s">
        <v>74</v>
      </c>
      <c r="E252" t="s">
        <v>77</v>
      </c>
      <c r="F252" t="s">
        <v>100</v>
      </c>
      <c r="G252" t="s">
        <v>109</v>
      </c>
      <c r="H252" t="s">
        <v>195</v>
      </c>
      <c r="I252">
        <v>8</v>
      </c>
      <c r="J252">
        <v>8</v>
      </c>
      <c r="K252">
        <v>8</v>
      </c>
      <c r="L252">
        <v>9</v>
      </c>
      <c r="M252">
        <v>8</v>
      </c>
      <c r="N252">
        <v>10</v>
      </c>
      <c r="O252">
        <v>7</v>
      </c>
      <c r="P252">
        <v>7</v>
      </c>
      <c r="Q252">
        <v>10</v>
      </c>
    </row>
    <row r="253" spans="1:17" x14ac:dyDescent="0.45">
      <c r="A253" s="19">
        <v>46031.46597222222</v>
      </c>
      <c r="B253" t="s">
        <v>72</v>
      </c>
      <c r="C253" t="s">
        <v>191</v>
      </c>
      <c r="D253" t="s">
        <v>74</v>
      </c>
      <c r="E253" t="s">
        <v>77</v>
      </c>
      <c r="F253" t="s">
        <v>100</v>
      </c>
      <c r="G253" t="s">
        <v>111</v>
      </c>
      <c r="H253" t="s">
        <v>106</v>
      </c>
      <c r="I253">
        <v>6</v>
      </c>
      <c r="J253">
        <v>6</v>
      </c>
      <c r="K253">
        <v>1</v>
      </c>
      <c r="L253">
        <v>6</v>
      </c>
      <c r="M253">
        <v>5</v>
      </c>
      <c r="N253">
        <v>6</v>
      </c>
      <c r="O253">
        <v>6</v>
      </c>
      <c r="P253">
        <v>6</v>
      </c>
      <c r="Q253">
        <v>6</v>
      </c>
    </row>
    <row r="254" spans="1:17" x14ac:dyDescent="0.45">
      <c r="A254" s="19">
        <v>46031.466666666667</v>
      </c>
      <c r="B254" t="s">
        <v>78</v>
      </c>
      <c r="C254" t="s">
        <v>79</v>
      </c>
      <c r="D254" t="s">
        <v>74</v>
      </c>
      <c r="E254" t="s">
        <v>75</v>
      </c>
      <c r="F254" t="s">
        <v>100</v>
      </c>
      <c r="G254" t="s">
        <v>107</v>
      </c>
      <c r="H254" t="s">
        <v>195</v>
      </c>
      <c r="I254">
        <v>8</v>
      </c>
      <c r="J254">
        <v>8</v>
      </c>
      <c r="K254">
        <v>3</v>
      </c>
      <c r="L254">
        <v>9</v>
      </c>
      <c r="M254">
        <v>8</v>
      </c>
      <c r="N254">
        <v>8</v>
      </c>
      <c r="O254">
        <v>8</v>
      </c>
      <c r="P254">
        <v>8</v>
      </c>
      <c r="Q254">
        <v>8</v>
      </c>
    </row>
    <row r="255" spans="1:17" x14ac:dyDescent="0.45">
      <c r="A255" s="19">
        <v>46031.466666666667</v>
      </c>
      <c r="B255" t="s">
        <v>78</v>
      </c>
      <c r="C255" t="s">
        <v>79</v>
      </c>
      <c r="D255" t="s">
        <v>74</v>
      </c>
      <c r="E255" t="s">
        <v>75</v>
      </c>
      <c r="F255" t="s">
        <v>100</v>
      </c>
      <c r="G255" t="s">
        <v>107</v>
      </c>
      <c r="H255" t="s">
        <v>102</v>
      </c>
      <c r="I255">
        <v>4</v>
      </c>
      <c r="J255">
        <v>3</v>
      </c>
      <c r="K255">
        <v>1</v>
      </c>
      <c r="L255">
        <v>7</v>
      </c>
      <c r="M255">
        <v>3</v>
      </c>
      <c r="N255">
        <v>6</v>
      </c>
      <c r="O255">
        <v>5</v>
      </c>
      <c r="P255">
        <v>6</v>
      </c>
      <c r="Q255">
        <v>6</v>
      </c>
    </row>
    <row r="256" spans="1:17" x14ac:dyDescent="0.45">
      <c r="A256" s="19">
        <v>46031.467361111114</v>
      </c>
      <c r="B256" t="s">
        <v>72</v>
      </c>
      <c r="C256" t="s">
        <v>73</v>
      </c>
      <c r="D256" t="s">
        <v>74</v>
      </c>
      <c r="E256" t="s">
        <v>75</v>
      </c>
      <c r="F256" t="s">
        <v>100</v>
      </c>
      <c r="G256" t="s">
        <v>111</v>
      </c>
      <c r="H256" t="s">
        <v>102</v>
      </c>
      <c r="I256">
        <v>6</v>
      </c>
      <c r="J256">
        <v>6</v>
      </c>
      <c r="K256">
        <v>1</v>
      </c>
      <c r="L256">
        <v>7</v>
      </c>
      <c r="M256">
        <v>5</v>
      </c>
      <c r="N256">
        <v>6</v>
      </c>
      <c r="O256">
        <v>6</v>
      </c>
      <c r="P256">
        <v>6</v>
      </c>
      <c r="Q256">
        <v>6</v>
      </c>
    </row>
    <row r="257" spans="1:17" x14ac:dyDescent="0.45">
      <c r="A257" s="19">
        <v>46031.468055555553</v>
      </c>
      <c r="B257" t="s">
        <v>72</v>
      </c>
      <c r="C257" t="s">
        <v>191</v>
      </c>
      <c r="D257" t="s">
        <v>74</v>
      </c>
      <c r="E257" t="s">
        <v>77</v>
      </c>
      <c r="F257" t="s">
        <v>100</v>
      </c>
      <c r="G257" t="s">
        <v>108</v>
      </c>
      <c r="H257" t="s">
        <v>195</v>
      </c>
      <c r="I257">
        <v>8</v>
      </c>
      <c r="J257">
        <v>8</v>
      </c>
      <c r="K257">
        <v>5</v>
      </c>
      <c r="L257">
        <v>8</v>
      </c>
      <c r="M257">
        <v>8</v>
      </c>
      <c r="N257">
        <v>7</v>
      </c>
      <c r="O257">
        <v>7</v>
      </c>
      <c r="P257">
        <v>7</v>
      </c>
      <c r="Q257">
        <v>7</v>
      </c>
    </row>
    <row r="258" spans="1:17" x14ac:dyDescent="0.45">
      <c r="A258" s="19">
        <v>46031.46875</v>
      </c>
      <c r="B258" t="s">
        <v>72</v>
      </c>
      <c r="C258" t="s">
        <v>81</v>
      </c>
      <c r="D258" t="s">
        <v>74</v>
      </c>
      <c r="E258" t="s">
        <v>77</v>
      </c>
      <c r="F258" t="s">
        <v>100</v>
      </c>
      <c r="G258" t="s">
        <v>109</v>
      </c>
      <c r="H258" t="s">
        <v>102</v>
      </c>
      <c r="I258">
        <v>7</v>
      </c>
      <c r="J258">
        <v>8</v>
      </c>
      <c r="K258">
        <v>4</v>
      </c>
      <c r="L258">
        <v>8</v>
      </c>
      <c r="M258">
        <v>5</v>
      </c>
      <c r="N258">
        <v>7</v>
      </c>
      <c r="O258">
        <v>5</v>
      </c>
      <c r="P258">
        <v>6</v>
      </c>
      <c r="Q258">
        <v>6</v>
      </c>
    </row>
    <row r="259" spans="1:17" x14ac:dyDescent="0.45">
      <c r="A259" s="19">
        <v>46031.46875</v>
      </c>
      <c r="B259" t="s">
        <v>78</v>
      </c>
      <c r="C259" t="s">
        <v>79</v>
      </c>
      <c r="D259" t="s">
        <v>74</v>
      </c>
      <c r="E259" t="s">
        <v>77</v>
      </c>
      <c r="F259" t="s">
        <v>100</v>
      </c>
      <c r="G259" t="s">
        <v>111</v>
      </c>
      <c r="H259" t="s">
        <v>105</v>
      </c>
      <c r="I259">
        <v>6</v>
      </c>
      <c r="J259">
        <v>7</v>
      </c>
      <c r="K259">
        <v>2</v>
      </c>
      <c r="L259">
        <v>7</v>
      </c>
      <c r="M259">
        <v>5</v>
      </c>
      <c r="N259">
        <v>5</v>
      </c>
      <c r="O259">
        <v>5</v>
      </c>
      <c r="P259">
        <v>6</v>
      </c>
      <c r="Q259">
        <v>5</v>
      </c>
    </row>
    <row r="260" spans="1:17" x14ac:dyDescent="0.45">
      <c r="A260" s="19">
        <v>46031.469444444447</v>
      </c>
      <c r="B260" t="s">
        <v>78</v>
      </c>
      <c r="C260" t="s">
        <v>191</v>
      </c>
      <c r="D260" t="s">
        <v>74</v>
      </c>
      <c r="E260" t="s">
        <v>75</v>
      </c>
      <c r="F260" t="s">
        <v>100</v>
      </c>
      <c r="G260" t="s">
        <v>108</v>
      </c>
      <c r="H260" t="s">
        <v>195</v>
      </c>
      <c r="I260">
        <v>2</v>
      </c>
      <c r="J260">
        <v>1</v>
      </c>
      <c r="K260">
        <v>1</v>
      </c>
      <c r="L260">
        <v>6</v>
      </c>
      <c r="M260">
        <v>2</v>
      </c>
      <c r="N260">
        <v>3</v>
      </c>
      <c r="O260">
        <v>1</v>
      </c>
      <c r="P260">
        <v>5</v>
      </c>
      <c r="Q260">
        <v>4</v>
      </c>
    </row>
    <row r="261" spans="1:17" x14ac:dyDescent="0.45">
      <c r="A261" s="19">
        <v>46031.470138888886</v>
      </c>
      <c r="B261" t="s">
        <v>72</v>
      </c>
      <c r="C261" t="s">
        <v>73</v>
      </c>
      <c r="D261" t="s">
        <v>80</v>
      </c>
      <c r="E261" t="s">
        <v>77</v>
      </c>
      <c r="F261" t="s">
        <v>100</v>
      </c>
      <c r="G261" t="s">
        <v>109</v>
      </c>
      <c r="H261" t="s">
        <v>105</v>
      </c>
      <c r="I261">
        <v>6</v>
      </c>
      <c r="J261">
        <v>6</v>
      </c>
      <c r="K261">
        <v>7</v>
      </c>
      <c r="L261">
        <v>6</v>
      </c>
      <c r="M261">
        <v>5</v>
      </c>
      <c r="N261">
        <v>6</v>
      </c>
      <c r="O261">
        <v>5</v>
      </c>
      <c r="P261">
        <v>6</v>
      </c>
      <c r="Q261">
        <v>6</v>
      </c>
    </row>
    <row r="262" spans="1:17" x14ac:dyDescent="0.45">
      <c r="A262" s="19">
        <v>46031.470833333333</v>
      </c>
      <c r="B262" t="s">
        <v>78</v>
      </c>
      <c r="C262" t="s">
        <v>73</v>
      </c>
      <c r="D262" t="s">
        <v>74</v>
      </c>
      <c r="E262" t="s">
        <v>77</v>
      </c>
      <c r="F262" t="s">
        <v>100</v>
      </c>
      <c r="G262" t="s">
        <v>109</v>
      </c>
      <c r="H262" t="s">
        <v>102</v>
      </c>
      <c r="I262">
        <v>6</v>
      </c>
      <c r="J262">
        <v>7</v>
      </c>
      <c r="K262">
        <v>1</v>
      </c>
      <c r="L262">
        <v>9</v>
      </c>
      <c r="M262">
        <v>5</v>
      </c>
      <c r="N262">
        <v>4</v>
      </c>
      <c r="O262">
        <v>4</v>
      </c>
      <c r="P262">
        <v>5</v>
      </c>
      <c r="Q262">
        <v>5</v>
      </c>
    </row>
    <row r="263" spans="1:17" x14ac:dyDescent="0.45">
      <c r="A263" s="19">
        <v>46031.47152777778</v>
      </c>
      <c r="B263" t="s">
        <v>78</v>
      </c>
      <c r="C263" t="s">
        <v>73</v>
      </c>
      <c r="D263" t="s">
        <v>74</v>
      </c>
      <c r="E263" t="s">
        <v>77</v>
      </c>
      <c r="F263" t="s">
        <v>100</v>
      </c>
      <c r="G263" t="s">
        <v>111</v>
      </c>
      <c r="H263" t="s">
        <v>195</v>
      </c>
      <c r="I263">
        <v>9</v>
      </c>
      <c r="J263">
        <v>9</v>
      </c>
      <c r="K263">
        <v>8</v>
      </c>
      <c r="L263">
        <v>9</v>
      </c>
      <c r="M263">
        <v>8</v>
      </c>
      <c r="N263">
        <v>9</v>
      </c>
      <c r="O263">
        <v>9</v>
      </c>
      <c r="P263">
        <v>8</v>
      </c>
      <c r="Q263">
        <v>8</v>
      </c>
    </row>
    <row r="264" spans="1:17" x14ac:dyDescent="0.45">
      <c r="A264" s="19">
        <v>46031.472222222219</v>
      </c>
      <c r="B264" t="s">
        <v>78</v>
      </c>
      <c r="C264" t="s">
        <v>73</v>
      </c>
      <c r="D264" t="s">
        <v>74</v>
      </c>
      <c r="E264" t="s">
        <v>75</v>
      </c>
      <c r="F264" t="s">
        <v>100</v>
      </c>
      <c r="G264" t="s">
        <v>107</v>
      </c>
      <c r="H264" t="s">
        <v>106</v>
      </c>
      <c r="I264">
        <v>8</v>
      </c>
      <c r="J264">
        <v>8</v>
      </c>
      <c r="K264">
        <v>5</v>
      </c>
      <c r="L264">
        <v>7</v>
      </c>
      <c r="M264">
        <v>7</v>
      </c>
      <c r="N264">
        <v>5</v>
      </c>
      <c r="O264">
        <v>5</v>
      </c>
      <c r="P264">
        <v>6</v>
      </c>
      <c r="Q264">
        <v>6</v>
      </c>
    </row>
    <row r="265" spans="1:17" x14ac:dyDescent="0.45">
      <c r="A265" s="19">
        <v>46031.472222222219</v>
      </c>
      <c r="B265" t="s">
        <v>78</v>
      </c>
      <c r="C265" t="s">
        <v>79</v>
      </c>
      <c r="D265" t="s">
        <v>74</v>
      </c>
      <c r="E265" t="s">
        <v>75</v>
      </c>
      <c r="F265" t="s">
        <v>100</v>
      </c>
      <c r="G265" t="s">
        <v>108</v>
      </c>
      <c r="H265" t="s">
        <v>106</v>
      </c>
      <c r="I265">
        <v>7</v>
      </c>
      <c r="J265">
        <v>7</v>
      </c>
      <c r="K265">
        <v>7</v>
      </c>
      <c r="L265">
        <v>8</v>
      </c>
      <c r="M265">
        <v>7</v>
      </c>
      <c r="N265">
        <v>7</v>
      </c>
      <c r="O265">
        <v>7</v>
      </c>
      <c r="P265">
        <v>7</v>
      </c>
      <c r="Q265">
        <v>7</v>
      </c>
    </row>
    <row r="266" spans="1:17" x14ac:dyDescent="0.45">
      <c r="A266" s="19">
        <v>46031.472916666666</v>
      </c>
      <c r="B266" t="s">
        <v>72</v>
      </c>
      <c r="C266" t="s">
        <v>73</v>
      </c>
      <c r="D266" t="s">
        <v>74</v>
      </c>
      <c r="E266" t="s">
        <v>77</v>
      </c>
      <c r="F266" t="s">
        <v>100</v>
      </c>
      <c r="G266" t="s">
        <v>101</v>
      </c>
      <c r="H266" t="s">
        <v>110</v>
      </c>
      <c r="I266">
        <v>6</v>
      </c>
      <c r="J266">
        <v>5</v>
      </c>
      <c r="K266">
        <v>5</v>
      </c>
      <c r="L266">
        <v>7</v>
      </c>
      <c r="M266">
        <v>6</v>
      </c>
      <c r="N266">
        <v>7</v>
      </c>
      <c r="O266">
        <v>5</v>
      </c>
      <c r="P266">
        <v>6</v>
      </c>
      <c r="Q266">
        <v>6</v>
      </c>
    </row>
    <row r="267" spans="1:17" x14ac:dyDescent="0.45">
      <c r="A267" s="19">
        <v>46031.473611111112</v>
      </c>
      <c r="B267" t="s">
        <v>72</v>
      </c>
      <c r="C267" t="s">
        <v>191</v>
      </c>
      <c r="D267" t="s">
        <v>74</v>
      </c>
      <c r="E267" t="s">
        <v>77</v>
      </c>
      <c r="F267" t="s">
        <v>100</v>
      </c>
      <c r="G267" t="s">
        <v>111</v>
      </c>
      <c r="H267" t="s">
        <v>106</v>
      </c>
      <c r="I267">
        <v>7</v>
      </c>
      <c r="J267">
        <v>6</v>
      </c>
      <c r="K267">
        <v>6</v>
      </c>
      <c r="L267">
        <v>6</v>
      </c>
      <c r="M267">
        <v>7</v>
      </c>
      <c r="N267">
        <v>7</v>
      </c>
      <c r="O267">
        <v>7</v>
      </c>
      <c r="P267">
        <v>7</v>
      </c>
      <c r="Q267">
        <v>7</v>
      </c>
    </row>
    <row r="268" spans="1:17" x14ac:dyDescent="0.45">
      <c r="A268" s="19">
        <v>46031.473611111112</v>
      </c>
      <c r="B268" t="s">
        <v>78</v>
      </c>
      <c r="C268" t="s">
        <v>79</v>
      </c>
      <c r="D268" t="s">
        <v>74</v>
      </c>
      <c r="E268" t="s">
        <v>75</v>
      </c>
      <c r="F268" t="s">
        <v>100</v>
      </c>
      <c r="G268" t="s">
        <v>111</v>
      </c>
      <c r="H268" t="s">
        <v>105</v>
      </c>
      <c r="I268">
        <v>6</v>
      </c>
      <c r="J268">
        <v>7</v>
      </c>
      <c r="K268">
        <v>7</v>
      </c>
      <c r="L268">
        <v>6</v>
      </c>
      <c r="M268">
        <v>6</v>
      </c>
      <c r="N268">
        <v>6</v>
      </c>
      <c r="O268">
        <v>6</v>
      </c>
      <c r="P268">
        <v>7</v>
      </c>
      <c r="Q268">
        <v>7</v>
      </c>
    </row>
    <row r="269" spans="1:17" x14ac:dyDescent="0.45">
      <c r="A269" s="19">
        <v>46031.474305555559</v>
      </c>
      <c r="B269" t="s">
        <v>72</v>
      </c>
      <c r="C269" t="s">
        <v>81</v>
      </c>
      <c r="D269" t="s">
        <v>74</v>
      </c>
      <c r="E269" t="s">
        <v>77</v>
      </c>
      <c r="F269" t="s">
        <v>100</v>
      </c>
      <c r="G269" t="s">
        <v>101</v>
      </c>
      <c r="H269" t="s">
        <v>105</v>
      </c>
      <c r="I269">
        <v>7</v>
      </c>
      <c r="J269">
        <v>7</v>
      </c>
      <c r="K269">
        <v>2</v>
      </c>
      <c r="L269">
        <v>7</v>
      </c>
      <c r="M269">
        <v>7</v>
      </c>
      <c r="N269">
        <v>7</v>
      </c>
      <c r="O269">
        <v>7</v>
      </c>
      <c r="P269">
        <v>7</v>
      </c>
      <c r="Q269">
        <v>7</v>
      </c>
    </row>
    <row r="270" spans="1:17" x14ac:dyDescent="0.45">
      <c r="A270" s="19">
        <v>46031.474999999999</v>
      </c>
      <c r="B270" t="s">
        <v>78</v>
      </c>
      <c r="C270" t="s">
        <v>79</v>
      </c>
      <c r="D270" t="s">
        <v>74</v>
      </c>
      <c r="E270" t="s">
        <v>75</v>
      </c>
      <c r="F270" t="s">
        <v>100</v>
      </c>
      <c r="G270" t="s">
        <v>107</v>
      </c>
      <c r="H270" t="s">
        <v>195</v>
      </c>
      <c r="I270">
        <v>4</v>
      </c>
      <c r="J270">
        <v>5</v>
      </c>
      <c r="K270">
        <v>2</v>
      </c>
      <c r="L270">
        <v>6</v>
      </c>
      <c r="M270">
        <v>3</v>
      </c>
      <c r="N270">
        <v>3</v>
      </c>
      <c r="O270">
        <v>1</v>
      </c>
      <c r="P270">
        <v>3</v>
      </c>
      <c r="Q270">
        <v>1</v>
      </c>
    </row>
    <row r="271" spans="1:17" x14ac:dyDescent="0.45">
      <c r="A271" s="19">
        <v>46031.525000000001</v>
      </c>
      <c r="B271" t="s">
        <v>72</v>
      </c>
      <c r="C271" t="s">
        <v>73</v>
      </c>
      <c r="D271" t="s">
        <v>74</v>
      </c>
      <c r="E271" t="s">
        <v>75</v>
      </c>
      <c r="F271" t="s">
        <v>103</v>
      </c>
      <c r="G271" t="s">
        <v>111</v>
      </c>
      <c r="H271" t="s">
        <v>110</v>
      </c>
      <c r="I271">
        <v>8</v>
      </c>
      <c r="J271">
        <v>8</v>
      </c>
      <c r="K271">
        <v>3</v>
      </c>
      <c r="L271">
        <v>8</v>
      </c>
      <c r="M271">
        <v>3</v>
      </c>
      <c r="N271">
        <v>1</v>
      </c>
      <c r="O271">
        <v>8</v>
      </c>
      <c r="P271">
        <v>6</v>
      </c>
      <c r="Q271">
        <v>7</v>
      </c>
    </row>
    <row r="272" spans="1:17" x14ac:dyDescent="0.45">
      <c r="A272" s="19">
        <v>46031.607638888891</v>
      </c>
      <c r="B272" t="s">
        <v>72</v>
      </c>
      <c r="C272" t="s">
        <v>73</v>
      </c>
      <c r="D272" t="s">
        <v>74</v>
      </c>
      <c r="E272" t="s">
        <v>75</v>
      </c>
      <c r="F272" t="s">
        <v>100</v>
      </c>
      <c r="G272" t="s">
        <v>111</v>
      </c>
      <c r="H272" t="s">
        <v>105</v>
      </c>
      <c r="I272">
        <v>7</v>
      </c>
      <c r="J272">
        <v>7</v>
      </c>
      <c r="K272">
        <v>4</v>
      </c>
      <c r="L272">
        <v>7</v>
      </c>
      <c r="M272">
        <v>7</v>
      </c>
      <c r="N272">
        <v>6</v>
      </c>
      <c r="O272">
        <v>5</v>
      </c>
      <c r="P272">
        <v>7</v>
      </c>
      <c r="Q272">
        <v>6</v>
      </c>
    </row>
    <row r="273" spans="1:17" x14ac:dyDescent="0.45">
      <c r="A273" s="19">
        <v>46031.607638888891</v>
      </c>
      <c r="B273" t="s">
        <v>78</v>
      </c>
      <c r="C273" t="s">
        <v>73</v>
      </c>
      <c r="D273" t="s">
        <v>74</v>
      </c>
      <c r="E273" t="s">
        <v>77</v>
      </c>
      <c r="F273" t="s">
        <v>100</v>
      </c>
      <c r="G273" t="s">
        <v>109</v>
      </c>
      <c r="H273" t="s">
        <v>102</v>
      </c>
      <c r="I273">
        <v>7</v>
      </c>
      <c r="J273">
        <v>8</v>
      </c>
      <c r="K273">
        <v>2</v>
      </c>
      <c r="L273">
        <v>6</v>
      </c>
      <c r="M273">
        <v>6</v>
      </c>
      <c r="N273">
        <v>6</v>
      </c>
      <c r="O273">
        <v>5</v>
      </c>
      <c r="P273">
        <v>5</v>
      </c>
      <c r="Q273">
        <v>6</v>
      </c>
    </row>
    <row r="274" spans="1:17" x14ac:dyDescent="0.45">
      <c r="A274" s="19">
        <v>46031.60833333333</v>
      </c>
      <c r="B274" t="s">
        <v>72</v>
      </c>
      <c r="C274" t="s">
        <v>191</v>
      </c>
      <c r="D274" t="s">
        <v>74</v>
      </c>
      <c r="E274" t="s">
        <v>75</v>
      </c>
      <c r="F274" t="s">
        <v>100</v>
      </c>
      <c r="G274" t="s">
        <v>107</v>
      </c>
      <c r="H274" t="s">
        <v>195</v>
      </c>
      <c r="I274">
        <v>3</v>
      </c>
      <c r="J274">
        <v>3</v>
      </c>
      <c r="K274">
        <v>1</v>
      </c>
      <c r="L274">
        <v>6</v>
      </c>
      <c r="M274">
        <v>1</v>
      </c>
      <c r="N274">
        <v>1</v>
      </c>
      <c r="O274">
        <v>1</v>
      </c>
      <c r="P274">
        <v>1</v>
      </c>
      <c r="Q274">
        <v>1</v>
      </c>
    </row>
    <row r="275" spans="1:17" x14ac:dyDescent="0.45">
      <c r="A275" s="19">
        <v>46031.609027777777</v>
      </c>
      <c r="B275" t="s">
        <v>72</v>
      </c>
      <c r="C275" t="s">
        <v>73</v>
      </c>
      <c r="D275" t="s">
        <v>74</v>
      </c>
      <c r="E275" t="s">
        <v>77</v>
      </c>
      <c r="F275" t="s">
        <v>100</v>
      </c>
      <c r="G275" t="s">
        <v>111</v>
      </c>
      <c r="H275" t="s">
        <v>105</v>
      </c>
      <c r="I275">
        <v>6</v>
      </c>
      <c r="J275">
        <v>6</v>
      </c>
      <c r="K275">
        <v>5</v>
      </c>
      <c r="L275">
        <v>6</v>
      </c>
      <c r="M275">
        <v>6</v>
      </c>
      <c r="N275">
        <v>6</v>
      </c>
      <c r="O275">
        <v>6</v>
      </c>
      <c r="P275">
        <v>6</v>
      </c>
      <c r="Q275">
        <v>6</v>
      </c>
    </row>
    <row r="276" spans="1:17" x14ac:dyDescent="0.45">
      <c r="A276" s="19">
        <v>46031.609027777777</v>
      </c>
      <c r="B276" t="s">
        <v>72</v>
      </c>
      <c r="C276" t="s">
        <v>79</v>
      </c>
      <c r="D276" t="s">
        <v>74</v>
      </c>
      <c r="E276" t="s">
        <v>75</v>
      </c>
      <c r="F276" t="s">
        <v>100</v>
      </c>
      <c r="G276" t="s">
        <v>111</v>
      </c>
      <c r="H276" t="s">
        <v>105</v>
      </c>
      <c r="I276">
        <v>8</v>
      </c>
      <c r="J276">
        <v>9</v>
      </c>
      <c r="K276">
        <v>5</v>
      </c>
      <c r="L276">
        <v>7</v>
      </c>
      <c r="M276">
        <v>6</v>
      </c>
      <c r="N276">
        <v>7</v>
      </c>
      <c r="O276">
        <v>7</v>
      </c>
      <c r="P276">
        <v>7</v>
      </c>
      <c r="Q276">
        <v>7</v>
      </c>
    </row>
    <row r="277" spans="1:17" x14ac:dyDescent="0.45">
      <c r="A277" s="19">
        <v>46031.609722222223</v>
      </c>
      <c r="B277" t="s">
        <v>78</v>
      </c>
      <c r="C277" t="s">
        <v>73</v>
      </c>
      <c r="D277" t="s">
        <v>74</v>
      </c>
      <c r="E277" t="s">
        <v>77</v>
      </c>
      <c r="F277" t="s">
        <v>100</v>
      </c>
      <c r="G277" t="s">
        <v>109</v>
      </c>
      <c r="H277" t="s">
        <v>102</v>
      </c>
      <c r="I277">
        <v>6</v>
      </c>
      <c r="J277">
        <v>6</v>
      </c>
      <c r="K277">
        <v>3</v>
      </c>
      <c r="L277">
        <v>7</v>
      </c>
      <c r="M277">
        <v>7</v>
      </c>
      <c r="N277">
        <v>7</v>
      </c>
      <c r="O277">
        <v>5</v>
      </c>
      <c r="P277">
        <v>7</v>
      </c>
      <c r="Q277">
        <v>7</v>
      </c>
    </row>
    <row r="278" spans="1:17" x14ac:dyDescent="0.45">
      <c r="A278" s="19">
        <v>46031.61041666667</v>
      </c>
      <c r="B278" t="s">
        <v>72</v>
      </c>
      <c r="C278" t="s">
        <v>79</v>
      </c>
      <c r="D278" t="s">
        <v>74</v>
      </c>
      <c r="E278" t="s">
        <v>77</v>
      </c>
      <c r="F278" t="s">
        <v>100</v>
      </c>
      <c r="G278" t="s">
        <v>107</v>
      </c>
      <c r="H278" t="s">
        <v>195</v>
      </c>
      <c r="I278">
        <v>8</v>
      </c>
      <c r="J278">
        <v>8</v>
      </c>
      <c r="K278">
        <v>6</v>
      </c>
      <c r="L278">
        <v>7</v>
      </c>
      <c r="M278">
        <v>7</v>
      </c>
      <c r="N278">
        <v>4</v>
      </c>
      <c r="O278">
        <v>5</v>
      </c>
      <c r="P278">
        <v>5</v>
      </c>
      <c r="Q278">
        <v>5</v>
      </c>
    </row>
    <row r="279" spans="1:17" x14ac:dyDescent="0.45">
      <c r="A279" s="19">
        <v>46031.61041666667</v>
      </c>
      <c r="B279" t="s">
        <v>72</v>
      </c>
      <c r="C279" t="s">
        <v>73</v>
      </c>
      <c r="D279" t="s">
        <v>74</v>
      </c>
      <c r="E279" t="s">
        <v>77</v>
      </c>
      <c r="F279" t="s">
        <v>100</v>
      </c>
      <c r="G279" t="s">
        <v>111</v>
      </c>
      <c r="H279" t="s">
        <v>106</v>
      </c>
      <c r="I279">
        <v>6</v>
      </c>
      <c r="J279">
        <v>7</v>
      </c>
      <c r="K279">
        <v>5</v>
      </c>
      <c r="L279">
        <v>7</v>
      </c>
      <c r="M279">
        <v>6</v>
      </c>
      <c r="N279">
        <v>6</v>
      </c>
      <c r="O279">
        <v>6</v>
      </c>
      <c r="P279">
        <v>6</v>
      </c>
      <c r="Q279">
        <v>6</v>
      </c>
    </row>
    <row r="280" spans="1:17" x14ac:dyDescent="0.45">
      <c r="A280" s="19">
        <v>46031.618750000001</v>
      </c>
      <c r="B280" t="s">
        <v>78</v>
      </c>
      <c r="C280" t="s">
        <v>73</v>
      </c>
      <c r="D280" t="s">
        <v>74</v>
      </c>
      <c r="E280" t="s">
        <v>75</v>
      </c>
      <c r="F280" t="s">
        <v>103</v>
      </c>
      <c r="G280" t="s">
        <v>107</v>
      </c>
      <c r="H280" t="s">
        <v>110</v>
      </c>
      <c r="I280">
        <v>6</v>
      </c>
      <c r="J280">
        <v>7</v>
      </c>
      <c r="K280">
        <v>5</v>
      </c>
      <c r="L280">
        <v>8</v>
      </c>
      <c r="M280">
        <v>6</v>
      </c>
      <c r="N280">
        <v>3</v>
      </c>
      <c r="O280">
        <v>6</v>
      </c>
      <c r="P280">
        <v>8</v>
      </c>
      <c r="Q280">
        <v>6</v>
      </c>
    </row>
    <row r="281" spans="1:17" x14ac:dyDescent="0.45">
      <c r="A281" s="19">
        <v>46031.635416666664</v>
      </c>
      <c r="B281" t="s">
        <v>72</v>
      </c>
      <c r="C281" t="s">
        <v>73</v>
      </c>
      <c r="D281" t="s">
        <v>74</v>
      </c>
      <c r="E281" t="s">
        <v>75</v>
      </c>
      <c r="F281" t="s">
        <v>100</v>
      </c>
      <c r="G281" t="s">
        <v>107</v>
      </c>
      <c r="H281" t="s">
        <v>105</v>
      </c>
      <c r="I281">
        <v>4</v>
      </c>
      <c r="J281">
        <v>4</v>
      </c>
      <c r="K281">
        <v>1</v>
      </c>
      <c r="L281">
        <v>6</v>
      </c>
      <c r="M281">
        <v>3</v>
      </c>
      <c r="N281">
        <v>2</v>
      </c>
      <c r="O281">
        <v>1</v>
      </c>
      <c r="P281">
        <v>5</v>
      </c>
      <c r="Q281">
        <v>4</v>
      </c>
    </row>
    <row r="282" spans="1:17" x14ac:dyDescent="0.45">
      <c r="A282" s="19">
        <v>46031.636111111111</v>
      </c>
      <c r="B282" t="s">
        <v>72</v>
      </c>
      <c r="C282" t="s">
        <v>79</v>
      </c>
      <c r="D282" t="s">
        <v>74</v>
      </c>
      <c r="E282" t="s">
        <v>75</v>
      </c>
      <c r="F282" t="s">
        <v>100</v>
      </c>
      <c r="G282" t="s">
        <v>107</v>
      </c>
      <c r="H282" t="s">
        <v>106</v>
      </c>
      <c r="I282">
        <v>6</v>
      </c>
      <c r="J282">
        <v>7</v>
      </c>
      <c r="K282">
        <v>4</v>
      </c>
      <c r="L282">
        <v>8</v>
      </c>
      <c r="M282">
        <v>6</v>
      </c>
      <c r="N282">
        <v>6</v>
      </c>
      <c r="O282">
        <v>5</v>
      </c>
      <c r="P282">
        <v>7</v>
      </c>
      <c r="Q282">
        <v>6</v>
      </c>
    </row>
    <row r="283" spans="1:17" x14ac:dyDescent="0.45">
      <c r="A283" s="19">
        <v>46031.636111111111</v>
      </c>
      <c r="B283" t="s">
        <v>72</v>
      </c>
      <c r="C283" t="s">
        <v>193</v>
      </c>
      <c r="D283" t="s">
        <v>74</v>
      </c>
      <c r="E283" t="s">
        <v>75</v>
      </c>
      <c r="F283" t="s">
        <v>100</v>
      </c>
      <c r="G283" t="s">
        <v>108</v>
      </c>
      <c r="H283" t="s">
        <v>195</v>
      </c>
      <c r="I283">
        <v>8</v>
      </c>
      <c r="J283">
        <v>8</v>
      </c>
      <c r="K283">
        <v>9</v>
      </c>
      <c r="L283">
        <v>9</v>
      </c>
      <c r="M283">
        <v>7</v>
      </c>
      <c r="N283">
        <v>8</v>
      </c>
      <c r="O283">
        <v>8</v>
      </c>
      <c r="P283">
        <v>8</v>
      </c>
      <c r="Q283">
        <v>7</v>
      </c>
    </row>
    <row r="284" spans="1:17" x14ac:dyDescent="0.45">
      <c r="A284" s="19">
        <v>46031.636805555558</v>
      </c>
      <c r="B284" t="s">
        <v>72</v>
      </c>
      <c r="C284" t="s">
        <v>79</v>
      </c>
      <c r="D284" t="s">
        <v>74</v>
      </c>
      <c r="E284" t="s">
        <v>77</v>
      </c>
      <c r="F284" t="s">
        <v>100</v>
      </c>
      <c r="G284" t="s">
        <v>111</v>
      </c>
      <c r="H284" t="s">
        <v>105</v>
      </c>
      <c r="I284">
        <v>5</v>
      </c>
      <c r="J284">
        <v>5</v>
      </c>
      <c r="K284">
        <v>2</v>
      </c>
      <c r="L284">
        <v>6</v>
      </c>
      <c r="M284">
        <v>5</v>
      </c>
      <c r="N284">
        <v>4</v>
      </c>
      <c r="O284">
        <v>5</v>
      </c>
      <c r="P284">
        <v>5</v>
      </c>
      <c r="Q284">
        <v>4</v>
      </c>
    </row>
    <row r="285" spans="1:17" x14ac:dyDescent="0.45">
      <c r="A285" s="19">
        <v>46031.637499999997</v>
      </c>
      <c r="B285" t="s">
        <v>78</v>
      </c>
      <c r="C285" t="s">
        <v>73</v>
      </c>
      <c r="D285" t="s">
        <v>74</v>
      </c>
      <c r="E285" t="s">
        <v>77</v>
      </c>
      <c r="F285" t="s">
        <v>100</v>
      </c>
      <c r="G285" t="s">
        <v>111</v>
      </c>
      <c r="H285" t="s">
        <v>105</v>
      </c>
      <c r="I285">
        <v>7</v>
      </c>
      <c r="J285">
        <v>7</v>
      </c>
      <c r="K285">
        <v>5</v>
      </c>
      <c r="L285">
        <v>7</v>
      </c>
      <c r="M285">
        <v>5</v>
      </c>
      <c r="N285">
        <v>6</v>
      </c>
      <c r="O285">
        <v>5</v>
      </c>
      <c r="P285">
        <v>7</v>
      </c>
      <c r="Q285">
        <v>6</v>
      </c>
    </row>
    <row r="286" spans="1:17" x14ac:dyDescent="0.45">
      <c r="A286" s="19">
        <v>46031.640277777777</v>
      </c>
      <c r="B286" t="s">
        <v>78</v>
      </c>
      <c r="C286" t="s">
        <v>191</v>
      </c>
      <c r="D286" t="s">
        <v>74</v>
      </c>
      <c r="E286" t="s">
        <v>77</v>
      </c>
      <c r="F286" t="s">
        <v>100</v>
      </c>
      <c r="G286" t="s">
        <v>107</v>
      </c>
      <c r="H286" t="s">
        <v>106</v>
      </c>
      <c r="I286">
        <v>7</v>
      </c>
      <c r="J286">
        <v>7</v>
      </c>
      <c r="K286">
        <v>5</v>
      </c>
      <c r="L286">
        <v>8</v>
      </c>
      <c r="M286">
        <v>6</v>
      </c>
      <c r="N286">
        <v>6</v>
      </c>
      <c r="O286">
        <v>6</v>
      </c>
      <c r="P286">
        <v>7</v>
      </c>
      <c r="Q286">
        <v>7</v>
      </c>
    </row>
    <row r="287" spans="1:17" x14ac:dyDescent="0.45">
      <c r="A287" s="19">
        <v>46031.640972222223</v>
      </c>
      <c r="B287" t="s">
        <v>72</v>
      </c>
      <c r="C287" t="s">
        <v>73</v>
      </c>
      <c r="D287" t="s">
        <v>74</v>
      </c>
      <c r="E287" t="s">
        <v>77</v>
      </c>
      <c r="F287" t="s">
        <v>100</v>
      </c>
      <c r="G287" t="s">
        <v>109</v>
      </c>
      <c r="H287" t="s">
        <v>110</v>
      </c>
      <c r="I287">
        <v>4</v>
      </c>
      <c r="J287">
        <v>4</v>
      </c>
      <c r="K287">
        <v>2</v>
      </c>
      <c r="L287">
        <v>8</v>
      </c>
      <c r="M287">
        <v>5</v>
      </c>
      <c r="N287">
        <v>5</v>
      </c>
      <c r="O287">
        <v>4</v>
      </c>
      <c r="P287">
        <v>6</v>
      </c>
      <c r="Q287">
        <v>5</v>
      </c>
    </row>
    <row r="288" spans="1:17" x14ac:dyDescent="0.45">
      <c r="A288" s="19">
        <v>46031.64166666667</v>
      </c>
      <c r="B288" t="s">
        <v>72</v>
      </c>
      <c r="C288" t="s">
        <v>191</v>
      </c>
      <c r="D288" t="s">
        <v>74</v>
      </c>
      <c r="E288" t="s">
        <v>77</v>
      </c>
      <c r="F288" t="s">
        <v>100</v>
      </c>
      <c r="G288" t="s">
        <v>111</v>
      </c>
      <c r="H288" t="s">
        <v>195</v>
      </c>
      <c r="I288">
        <v>10</v>
      </c>
      <c r="J288">
        <v>10</v>
      </c>
      <c r="K288">
        <v>7</v>
      </c>
      <c r="L288">
        <v>7</v>
      </c>
      <c r="M288">
        <v>8</v>
      </c>
      <c r="N288">
        <v>7</v>
      </c>
      <c r="O288">
        <v>8</v>
      </c>
      <c r="P288">
        <v>8</v>
      </c>
      <c r="Q288">
        <v>8</v>
      </c>
    </row>
    <row r="289" spans="1:17" x14ac:dyDescent="0.45">
      <c r="A289" s="19">
        <v>46031.642361111109</v>
      </c>
      <c r="B289" t="s">
        <v>78</v>
      </c>
      <c r="C289" t="s">
        <v>81</v>
      </c>
      <c r="D289" t="s">
        <v>74</v>
      </c>
      <c r="E289" t="s">
        <v>77</v>
      </c>
      <c r="F289" t="s">
        <v>100</v>
      </c>
      <c r="G289" t="s">
        <v>101</v>
      </c>
      <c r="H289" t="s">
        <v>110</v>
      </c>
      <c r="I289">
        <v>8</v>
      </c>
      <c r="J289">
        <v>8</v>
      </c>
      <c r="K289">
        <v>5</v>
      </c>
      <c r="L289">
        <v>9</v>
      </c>
      <c r="M289">
        <v>10</v>
      </c>
      <c r="N289">
        <v>10</v>
      </c>
      <c r="O289">
        <v>9</v>
      </c>
      <c r="P289">
        <v>9</v>
      </c>
      <c r="Q289">
        <v>10</v>
      </c>
    </row>
    <row r="290" spans="1:17" x14ac:dyDescent="0.45">
      <c r="A290" s="19">
        <v>46031.642361111109</v>
      </c>
      <c r="B290" t="s">
        <v>72</v>
      </c>
      <c r="C290" t="s">
        <v>73</v>
      </c>
      <c r="D290" t="s">
        <v>74</v>
      </c>
      <c r="E290" t="s">
        <v>190</v>
      </c>
      <c r="F290" t="s">
        <v>100</v>
      </c>
      <c r="G290" t="s">
        <v>101</v>
      </c>
      <c r="H290" t="s">
        <v>102</v>
      </c>
      <c r="I290">
        <v>7</v>
      </c>
      <c r="J290">
        <v>7</v>
      </c>
      <c r="K290">
        <v>5</v>
      </c>
      <c r="L290">
        <v>6</v>
      </c>
      <c r="M290">
        <v>5</v>
      </c>
      <c r="N290">
        <v>5</v>
      </c>
      <c r="O290">
        <v>5</v>
      </c>
      <c r="P290">
        <v>5</v>
      </c>
      <c r="Q290">
        <v>6</v>
      </c>
    </row>
    <row r="291" spans="1:17" x14ac:dyDescent="0.45">
      <c r="A291" s="19">
        <v>46031.643055555556</v>
      </c>
      <c r="B291" t="s">
        <v>78</v>
      </c>
      <c r="C291" t="s">
        <v>73</v>
      </c>
      <c r="D291" t="s">
        <v>74</v>
      </c>
      <c r="E291" t="s">
        <v>77</v>
      </c>
      <c r="F291" t="s">
        <v>100</v>
      </c>
      <c r="G291" t="s">
        <v>109</v>
      </c>
      <c r="H291" t="s">
        <v>105</v>
      </c>
      <c r="I291">
        <v>8</v>
      </c>
      <c r="J291">
        <v>8</v>
      </c>
      <c r="K291">
        <v>8</v>
      </c>
      <c r="L291">
        <v>8</v>
      </c>
      <c r="M291">
        <v>8</v>
      </c>
      <c r="N291">
        <v>8</v>
      </c>
      <c r="O291">
        <v>8</v>
      </c>
      <c r="P291">
        <v>8</v>
      </c>
      <c r="Q291">
        <v>8</v>
      </c>
    </row>
    <row r="292" spans="1:17" x14ac:dyDescent="0.45">
      <c r="A292" s="19">
        <v>46031.643055555556</v>
      </c>
      <c r="B292" t="s">
        <v>78</v>
      </c>
      <c r="C292" t="s">
        <v>81</v>
      </c>
      <c r="D292" t="s">
        <v>74</v>
      </c>
      <c r="E292" t="s">
        <v>77</v>
      </c>
      <c r="F292" t="s">
        <v>100</v>
      </c>
      <c r="G292" t="s">
        <v>111</v>
      </c>
      <c r="H292" t="s">
        <v>105</v>
      </c>
      <c r="I292">
        <v>9</v>
      </c>
      <c r="J292">
        <v>9</v>
      </c>
      <c r="K292">
        <v>3</v>
      </c>
      <c r="L292">
        <v>10</v>
      </c>
      <c r="M292">
        <v>8</v>
      </c>
      <c r="N292">
        <v>8</v>
      </c>
      <c r="O292">
        <v>6</v>
      </c>
      <c r="P292">
        <v>8</v>
      </c>
      <c r="Q292">
        <v>8</v>
      </c>
    </row>
    <row r="293" spans="1:17" x14ac:dyDescent="0.45">
      <c r="A293" s="19">
        <v>46031.643750000003</v>
      </c>
      <c r="B293" t="s">
        <v>72</v>
      </c>
      <c r="C293" t="s">
        <v>193</v>
      </c>
      <c r="D293" t="s">
        <v>74</v>
      </c>
      <c r="E293" t="s">
        <v>75</v>
      </c>
      <c r="F293" t="s">
        <v>197</v>
      </c>
      <c r="G293" t="s">
        <v>111</v>
      </c>
      <c r="H293" t="s">
        <v>105</v>
      </c>
      <c r="I293">
        <v>6</v>
      </c>
      <c r="J293">
        <v>6</v>
      </c>
      <c r="K293">
        <v>1</v>
      </c>
      <c r="L293">
        <v>6</v>
      </c>
      <c r="M293">
        <v>5</v>
      </c>
      <c r="N293">
        <v>6</v>
      </c>
      <c r="O293">
        <v>5</v>
      </c>
      <c r="P293">
        <v>6</v>
      </c>
      <c r="Q293">
        <v>6</v>
      </c>
    </row>
    <row r="294" spans="1:17" x14ac:dyDescent="0.45">
      <c r="A294" s="19">
        <v>46031.645833333336</v>
      </c>
      <c r="B294" t="s">
        <v>72</v>
      </c>
      <c r="C294" t="s">
        <v>81</v>
      </c>
      <c r="D294" t="s">
        <v>74</v>
      </c>
      <c r="E294" t="s">
        <v>77</v>
      </c>
      <c r="F294" t="s">
        <v>100</v>
      </c>
      <c r="G294" t="s">
        <v>109</v>
      </c>
      <c r="H294" t="s">
        <v>102</v>
      </c>
      <c r="I294">
        <v>8</v>
      </c>
      <c r="J294">
        <v>8</v>
      </c>
      <c r="K294">
        <v>5</v>
      </c>
      <c r="L294">
        <v>8</v>
      </c>
      <c r="M294">
        <v>5</v>
      </c>
      <c r="N294">
        <v>6</v>
      </c>
      <c r="O294">
        <v>5</v>
      </c>
      <c r="P294">
        <v>6</v>
      </c>
      <c r="Q294">
        <v>6</v>
      </c>
    </row>
    <row r="295" spans="1:17" x14ac:dyDescent="0.45">
      <c r="A295" s="19">
        <v>46031.646527777775</v>
      </c>
      <c r="B295" t="s">
        <v>72</v>
      </c>
      <c r="C295" t="s">
        <v>81</v>
      </c>
      <c r="D295" t="s">
        <v>74</v>
      </c>
      <c r="E295" t="s">
        <v>77</v>
      </c>
      <c r="F295" t="s">
        <v>100</v>
      </c>
      <c r="G295" t="s">
        <v>111</v>
      </c>
      <c r="H295" t="s">
        <v>106</v>
      </c>
      <c r="I295">
        <v>6</v>
      </c>
      <c r="J295">
        <v>6</v>
      </c>
      <c r="K295">
        <v>3</v>
      </c>
      <c r="L295">
        <v>7</v>
      </c>
      <c r="M295">
        <v>5</v>
      </c>
      <c r="N295">
        <v>6</v>
      </c>
      <c r="O295">
        <v>5</v>
      </c>
      <c r="P295">
        <v>5</v>
      </c>
      <c r="Q295">
        <v>6</v>
      </c>
    </row>
    <row r="296" spans="1:17" x14ac:dyDescent="0.45">
      <c r="A296" s="19">
        <v>46031.647222222222</v>
      </c>
      <c r="B296" t="s">
        <v>78</v>
      </c>
      <c r="C296" t="s">
        <v>189</v>
      </c>
      <c r="D296" t="s">
        <v>74</v>
      </c>
      <c r="E296" t="s">
        <v>77</v>
      </c>
      <c r="F296" t="s">
        <v>100</v>
      </c>
      <c r="G296" t="s">
        <v>101</v>
      </c>
      <c r="H296" t="s">
        <v>110</v>
      </c>
      <c r="I296">
        <v>8</v>
      </c>
      <c r="J296">
        <v>9</v>
      </c>
      <c r="K296">
        <v>9</v>
      </c>
      <c r="L296">
        <v>10</v>
      </c>
      <c r="M296">
        <v>8</v>
      </c>
      <c r="N296">
        <v>8</v>
      </c>
      <c r="O296">
        <v>9</v>
      </c>
      <c r="P296">
        <v>10</v>
      </c>
      <c r="Q296">
        <v>10</v>
      </c>
    </row>
    <row r="297" spans="1:17" x14ac:dyDescent="0.45">
      <c r="A297" s="19">
        <v>46031.684027777781</v>
      </c>
      <c r="B297" t="s">
        <v>78</v>
      </c>
      <c r="C297" t="s">
        <v>193</v>
      </c>
      <c r="D297" t="s">
        <v>74</v>
      </c>
      <c r="E297" t="s">
        <v>77</v>
      </c>
      <c r="F297" t="s">
        <v>100</v>
      </c>
      <c r="G297" t="s">
        <v>194</v>
      </c>
      <c r="H297" t="s">
        <v>110</v>
      </c>
      <c r="I297">
        <v>7</v>
      </c>
      <c r="J297">
        <v>7</v>
      </c>
      <c r="K297">
        <v>6</v>
      </c>
      <c r="L297">
        <v>7</v>
      </c>
      <c r="M297">
        <v>7</v>
      </c>
      <c r="N297">
        <v>1</v>
      </c>
      <c r="O297">
        <v>5</v>
      </c>
      <c r="P297">
        <v>7</v>
      </c>
      <c r="Q297">
        <v>7</v>
      </c>
    </row>
    <row r="298" spans="1:17" x14ac:dyDescent="0.45">
      <c r="A298" s="19">
        <v>46031.701388888891</v>
      </c>
      <c r="B298" t="s">
        <v>72</v>
      </c>
      <c r="C298" t="s">
        <v>73</v>
      </c>
      <c r="D298" t="s">
        <v>74</v>
      </c>
      <c r="E298" t="s">
        <v>77</v>
      </c>
      <c r="F298" t="s">
        <v>100</v>
      </c>
      <c r="G298" t="s">
        <v>111</v>
      </c>
      <c r="H298" t="s">
        <v>105</v>
      </c>
      <c r="I298">
        <v>5</v>
      </c>
      <c r="J298">
        <v>10</v>
      </c>
      <c r="K298">
        <v>5</v>
      </c>
      <c r="L298">
        <v>5</v>
      </c>
      <c r="M298">
        <v>2</v>
      </c>
      <c r="N298">
        <v>3</v>
      </c>
      <c r="O298">
        <v>2</v>
      </c>
      <c r="P298">
        <v>5</v>
      </c>
      <c r="Q298">
        <v>5</v>
      </c>
    </row>
    <row r="299" spans="1:17" x14ac:dyDescent="0.45">
      <c r="A299" s="19">
        <v>46031.705555555556</v>
      </c>
      <c r="B299" t="s">
        <v>78</v>
      </c>
      <c r="C299" t="s">
        <v>73</v>
      </c>
      <c r="D299" t="s">
        <v>74</v>
      </c>
      <c r="E299" t="s">
        <v>77</v>
      </c>
      <c r="F299" t="s">
        <v>197</v>
      </c>
      <c r="G299" t="s">
        <v>194</v>
      </c>
      <c r="H299" t="s">
        <v>110</v>
      </c>
      <c r="I299">
        <v>5</v>
      </c>
      <c r="J299">
        <v>5</v>
      </c>
      <c r="K299">
        <v>5</v>
      </c>
      <c r="L299">
        <v>10</v>
      </c>
      <c r="M299">
        <v>10</v>
      </c>
      <c r="N299">
        <v>5</v>
      </c>
      <c r="O299">
        <v>5</v>
      </c>
      <c r="P299">
        <v>5</v>
      </c>
      <c r="Q299">
        <v>5</v>
      </c>
    </row>
    <row r="300" spans="1:17" x14ac:dyDescent="0.45">
      <c r="A300" s="19">
        <v>46031.716666666667</v>
      </c>
      <c r="B300" t="s">
        <v>78</v>
      </c>
      <c r="C300" t="s">
        <v>73</v>
      </c>
      <c r="D300" t="s">
        <v>74</v>
      </c>
      <c r="E300" t="s">
        <v>75</v>
      </c>
      <c r="F300" t="s">
        <v>100</v>
      </c>
      <c r="G300" t="s">
        <v>109</v>
      </c>
      <c r="H300" t="s">
        <v>110</v>
      </c>
      <c r="I300">
        <v>10</v>
      </c>
      <c r="J300">
        <v>10</v>
      </c>
      <c r="K300">
        <v>10</v>
      </c>
      <c r="L300">
        <v>10</v>
      </c>
      <c r="M300">
        <v>10</v>
      </c>
      <c r="N300">
        <v>10</v>
      </c>
      <c r="O300">
        <v>10</v>
      </c>
      <c r="P300">
        <v>10</v>
      </c>
      <c r="Q300">
        <v>10</v>
      </c>
    </row>
    <row r="301" spans="1:17" x14ac:dyDescent="0.45">
      <c r="A301" s="19">
        <v>46031.716666666667</v>
      </c>
      <c r="B301" t="s">
        <v>78</v>
      </c>
      <c r="C301" t="s">
        <v>73</v>
      </c>
      <c r="D301" t="s">
        <v>74</v>
      </c>
      <c r="E301" t="s">
        <v>77</v>
      </c>
      <c r="F301" t="s">
        <v>100</v>
      </c>
      <c r="G301" t="s">
        <v>101</v>
      </c>
      <c r="H301" t="s">
        <v>102</v>
      </c>
      <c r="I301">
        <v>9</v>
      </c>
      <c r="J301">
        <v>9</v>
      </c>
      <c r="K301">
        <v>8</v>
      </c>
      <c r="L301">
        <v>10</v>
      </c>
      <c r="M301">
        <v>8</v>
      </c>
      <c r="N301">
        <v>8</v>
      </c>
      <c r="O301">
        <v>10</v>
      </c>
      <c r="P301">
        <v>9</v>
      </c>
      <c r="Q301">
        <v>9</v>
      </c>
    </row>
    <row r="302" spans="1:17" x14ac:dyDescent="0.45">
      <c r="A302" s="19">
        <v>46031.774305555555</v>
      </c>
      <c r="B302" t="s">
        <v>78</v>
      </c>
      <c r="C302" t="s">
        <v>81</v>
      </c>
      <c r="D302" t="s">
        <v>74</v>
      </c>
      <c r="E302" t="s">
        <v>77</v>
      </c>
      <c r="F302" t="s">
        <v>100</v>
      </c>
      <c r="G302" t="s">
        <v>194</v>
      </c>
      <c r="H302" t="s">
        <v>110</v>
      </c>
      <c r="I302">
        <v>8</v>
      </c>
      <c r="J302">
        <v>7</v>
      </c>
      <c r="K302">
        <v>9</v>
      </c>
      <c r="L302">
        <v>5</v>
      </c>
      <c r="M302">
        <v>7</v>
      </c>
      <c r="N302">
        <v>7</v>
      </c>
      <c r="O302">
        <v>7</v>
      </c>
      <c r="P302">
        <v>6</v>
      </c>
      <c r="Q302">
        <v>7</v>
      </c>
    </row>
    <row r="303" spans="1:17" x14ac:dyDescent="0.45">
      <c r="A303" s="19">
        <v>46031.786111111112</v>
      </c>
      <c r="B303" t="s">
        <v>72</v>
      </c>
      <c r="C303" t="s">
        <v>73</v>
      </c>
      <c r="D303" t="s">
        <v>74</v>
      </c>
      <c r="E303" t="s">
        <v>77</v>
      </c>
      <c r="F303" t="s">
        <v>100</v>
      </c>
      <c r="G303" t="s">
        <v>101</v>
      </c>
      <c r="H303" t="s">
        <v>110</v>
      </c>
      <c r="I303">
        <v>7</v>
      </c>
      <c r="J303">
        <v>7</v>
      </c>
      <c r="K303">
        <v>4</v>
      </c>
      <c r="L303">
        <v>8</v>
      </c>
      <c r="M303">
        <v>7</v>
      </c>
      <c r="N303">
        <v>7</v>
      </c>
      <c r="O303">
        <v>5</v>
      </c>
      <c r="P303">
        <v>5</v>
      </c>
      <c r="Q303">
        <v>7</v>
      </c>
    </row>
    <row r="304" spans="1:17" x14ac:dyDescent="0.45">
      <c r="A304" s="19">
        <v>46031.789583333331</v>
      </c>
      <c r="B304" t="s">
        <v>78</v>
      </c>
      <c r="C304" t="s">
        <v>73</v>
      </c>
      <c r="D304" t="s">
        <v>74</v>
      </c>
      <c r="E304" t="s">
        <v>77</v>
      </c>
      <c r="F304" t="s">
        <v>100</v>
      </c>
      <c r="G304" t="s">
        <v>101</v>
      </c>
      <c r="H304" t="s">
        <v>105</v>
      </c>
      <c r="I304">
        <v>6</v>
      </c>
      <c r="J304">
        <v>10</v>
      </c>
      <c r="K304">
        <v>5</v>
      </c>
      <c r="L304">
        <v>4</v>
      </c>
      <c r="M304">
        <v>3</v>
      </c>
      <c r="N304">
        <v>7</v>
      </c>
      <c r="O304">
        <v>4</v>
      </c>
      <c r="P304">
        <v>4</v>
      </c>
      <c r="Q304">
        <v>5</v>
      </c>
    </row>
    <row r="305" spans="1:17" x14ac:dyDescent="0.45">
      <c r="A305" s="19">
        <v>46031.790277777778</v>
      </c>
      <c r="B305" t="s">
        <v>78</v>
      </c>
      <c r="C305" t="s">
        <v>81</v>
      </c>
      <c r="D305" t="s">
        <v>74</v>
      </c>
      <c r="E305" t="s">
        <v>75</v>
      </c>
      <c r="F305" t="s">
        <v>100</v>
      </c>
      <c r="G305" t="s">
        <v>194</v>
      </c>
      <c r="H305" t="s">
        <v>110</v>
      </c>
      <c r="I305">
        <v>10</v>
      </c>
      <c r="J305">
        <v>10</v>
      </c>
      <c r="K305">
        <v>10</v>
      </c>
      <c r="L305">
        <v>10</v>
      </c>
      <c r="M305">
        <v>10</v>
      </c>
      <c r="N305">
        <v>10</v>
      </c>
      <c r="O305">
        <v>10</v>
      </c>
      <c r="P305">
        <v>10</v>
      </c>
      <c r="Q305">
        <v>10</v>
      </c>
    </row>
    <row r="306" spans="1:17" x14ac:dyDescent="0.45">
      <c r="A306" s="19">
        <v>46031.79791666667</v>
      </c>
      <c r="B306" t="s">
        <v>78</v>
      </c>
      <c r="C306" t="s">
        <v>73</v>
      </c>
      <c r="D306" t="s">
        <v>74</v>
      </c>
      <c r="E306" t="s">
        <v>77</v>
      </c>
      <c r="F306" t="s">
        <v>100</v>
      </c>
      <c r="G306" t="s">
        <v>109</v>
      </c>
      <c r="H306" t="s">
        <v>110</v>
      </c>
      <c r="I306">
        <v>7</v>
      </c>
      <c r="J306">
        <v>9</v>
      </c>
      <c r="K306">
        <v>8</v>
      </c>
      <c r="L306">
        <v>6</v>
      </c>
      <c r="M306">
        <v>5</v>
      </c>
      <c r="N306">
        <v>3</v>
      </c>
      <c r="O306">
        <v>9</v>
      </c>
      <c r="P306">
        <v>3</v>
      </c>
      <c r="Q306">
        <v>4</v>
      </c>
    </row>
    <row r="307" spans="1:17" x14ac:dyDescent="0.45">
      <c r="A307" s="19">
        <v>46031.8</v>
      </c>
      <c r="B307" t="s">
        <v>72</v>
      </c>
      <c r="C307" t="s">
        <v>79</v>
      </c>
      <c r="D307" t="s">
        <v>74</v>
      </c>
      <c r="E307" t="s">
        <v>77</v>
      </c>
      <c r="F307" t="s">
        <v>100</v>
      </c>
      <c r="G307" t="s">
        <v>111</v>
      </c>
      <c r="H307" t="s">
        <v>106</v>
      </c>
      <c r="I307">
        <v>3</v>
      </c>
      <c r="J307">
        <v>8</v>
      </c>
      <c r="K307">
        <v>8</v>
      </c>
      <c r="L307">
        <v>4</v>
      </c>
      <c r="M307">
        <v>4</v>
      </c>
      <c r="N307">
        <v>3</v>
      </c>
      <c r="O307">
        <v>7</v>
      </c>
      <c r="P307">
        <v>5</v>
      </c>
      <c r="Q307">
        <v>5</v>
      </c>
    </row>
    <row r="308" spans="1:17" x14ac:dyDescent="0.45">
      <c r="A308" s="19">
        <v>46031.804861111108</v>
      </c>
      <c r="B308" t="s">
        <v>72</v>
      </c>
      <c r="C308" t="s">
        <v>193</v>
      </c>
      <c r="D308" t="s">
        <v>74</v>
      </c>
      <c r="E308" t="s">
        <v>75</v>
      </c>
      <c r="F308" t="s">
        <v>197</v>
      </c>
      <c r="G308" t="s">
        <v>104</v>
      </c>
      <c r="H308" t="s">
        <v>105</v>
      </c>
      <c r="I308">
        <v>2</v>
      </c>
      <c r="J308">
        <v>2</v>
      </c>
      <c r="K308">
        <v>2</v>
      </c>
      <c r="L308">
        <v>1</v>
      </c>
      <c r="M308">
        <v>2</v>
      </c>
      <c r="N308">
        <v>2</v>
      </c>
      <c r="O308">
        <v>2</v>
      </c>
      <c r="P308">
        <v>2</v>
      </c>
      <c r="Q308">
        <v>2</v>
      </c>
    </row>
    <row r="309" spans="1:17" x14ac:dyDescent="0.45">
      <c r="A309" s="19">
        <v>46032.306944444441</v>
      </c>
      <c r="B309" t="s">
        <v>72</v>
      </c>
      <c r="C309" t="s">
        <v>79</v>
      </c>
      <c r="D309" t="s">
        <v>74</v>
      </c>
      <c r="E309" t="s">
        <v>75</v>
      </c>
      <c r="F309" t="s">
        <v>100</v>
      </c>
      <c r="G309" t="s">
        <v>108</v>
      </c>
      <c r="H309" t="s">
        <v>105</v>
      </c>
      <c r="I309">
        <v>10</v>
      </c>
      <c r="J309">
        <v>8</v>
      </c>
      <c r="K309">
        <v>8</v>
      </c>
      <c r="L309">
        <v>8</v>
      </c>
      <c r="M309">
        <v>10</v>
      </c>
      <c r="N309">
        <v>10</v>
      </c>
      <c r="O309">
        <v>6</v>
      </c>
      <c r="P309">
        <v>8</v>
      </c>
      <c r="Q309">
        <v>8</v>
      </c>
    </row>
    <row r="310" spans="1:17" x14ac:dyDescent="0.45">
      <c r="A310" s="19">
        <v>46032.379166666666</v>
      </c>
      <c r="B310" t="s">
        <v>78</v>
      </c>
      <c r="C310" t="s">
        <v>73</v>
      </c>
      <c r="D310" t="s">
        <v>74</v>
      </c>
      <c r="E310" t="s">
        <v>77</v>
      </c>
      <c r="F310" t="s">
        <v>100</v>
      </c>
      <c r="G310" t="s">
        <v>111</v>
      </c>
      <c r="H310" t="s">
        <v>102</v>
      </c>
      <c r="I310">
        <v>10</v>
      </c>
      <c r="J310">
        <v>10</v>
      </c>
      <c r="K310">
        <v>10</v>
      </c>
      <c r="L310">
        <v>10</v>
      </c>
      <c r="M310">
        <v>10</v>
      </c>
      <c r="N310">
        <v>9</v>
      </c>
      <c r="O310">
        <v>9</v>
      </c>
      <c r="P310">
        <v>10</v>
      </c>
      <c r="Q310">
        <v>10</v>
      </c>
    </row>
    <row r="311" spans="1:17" x14ac:dyDescent="0.45">
      <c r="A311" s="19">
        <v>46032.577777777777</v>
      </c>
      <c r="B311" t="s">
        <v>72</v>
      </c>
      <c r="C311" t="s">
        <v>189</v>
      </c>
      <c r="D311" t="s">
        <v>74</v>
      </c>
      <c r="E311" t="s">
        <v>77</v>
      </c>
      <c r="F311" t="s">
        <v>100</v>
      </c>
      <c r="G311" t="s">
        <v>196</v>
      </c>
      <c r="H311" t="s">
        <v>110</v>
      </c>
      <c r="I311">
        <v>7</v>
      </c>
      <c r="J311">
        <v>7</v>
      </c>
      <c r="K311">
        <v>5</v>
      </c>
      <c r="L311">
        <v>8</v>
      </c>
      <c r="M311">
        <v>8</v>
      </c>
      <c r="N311">
        <v>9</v>
      </c>
      <c r="O311">
        <v>9</v>
      </c>
      <c r="P311">
        <v>9</v>
      </c>
      <c r="Q311">
        <v>10</v>
      </c>
    </row>
    <row r="312" spans="1:17" x14ac:dyDescent="0.45">
      <c r="A312" s="19">
        <v>46032.577777777777</v>
      </c>
      <c r="B312" t="s">
        <v>72</v>
      </c>
      <c r="C312" t="s">
        <v>189</v>
      </c>
      <c r="D312" t="s">
        <v>74</v>
      </c>
      <c r="E312" t="s">
        <v>77</v>
      </c>
      <c r="F312" t="s">
        <v>100</v>
      </c>
      <c r="G312" t="s">
        <v>104</v>
      </c>
      <c r="H312" t="s">
        <v>110</v>
      </c>
      <c r="I312">
        <v>6</v>
      </c>
      <c r="J312">
        <v>5</v>
      </c>
      <c r="K312">
        <v>4</v>
      </c>
      <c r="L312">
        <v>7</v>
      </c>
      <c r="M312">
        <v>5</v>
      </c>
      <c r="N312">
        <v>6</v>
      </c>
      <c r="O312">
        <v>6</v>
      </c>
      <c r="P312">
        <v>7</v>
      </c>
      <c r="Q312">
        <v>7</v>
      </c>
    </row>
    <row r="313" spans="1:17" x14ac:dyDescent="0.45">
      <c r="A313" s="19">
        <v>46032.581250000003</v>
      </c>
      <c r="B313" t="s">
        <v>78</v>
      </c>
      <c r="C313" t="s">
        <v>81</v>
      </c>
      <c r="D313" t="s">
        <v>74</v>
      </c>
      <c r="E313" t="s">
        <v>77</v>
      </c>
      <c r="F313" t="s">
        <v>100</v>
      </c>
      <c r="G313" t="s">
        <v>196</v>
      </c>
      <c r="H313" t="s">
        <v>110</v>
      </c>
      <c r="I313">
        <v>8</v>
      </c>
      <c r="J313">
        <v>9</v>
      </c>
      <c r="K313">
        <v>10</v>
      </c>
      <c r="L313">
        <v>10</v>
      </c>
      <c r="M313">
        <v>8</v>
      </c>
      <c r="N313">
        <v>9</v>
      </c>
      <c r="O313">
        <v>8</v>
      </c>
      <c r="P313">
        <v>8</v>
      </c>
      <c r="Q313">
        <v>10</v>
      </c>
    </row>
    <row r="314" spans="1:17" x14ac:dyDescent="0.45">
      <c r="A314" s="19">
        <v>46033.399305555555</v>
      </c>
      <c r="B314" t="s">
        <v>78</v>
      </c>
      <c r="C314" t="s">
        <v>189</v>
      </c>
      <c r="D314" t="s">
        <v>74</v>
      </c>
      <c r="E314" t="s">
        <v>77</v>
      </c>
      <c r="F314" t="s">
        <v>100</v>
      </c>
      <c r="G314" t="s">
        <v>104</v>
      </c>
      <c r="H314" t="s">
        <v>110</v>
      </c>
      <c r="I314">
        <v>6</v>
      </c>
      <c r="J314">
        <v>6</v>
      </c>
      <c r="K314">
        <v>7</v>
      </c>
      <c r="L314">
        <v>7</v>
      </c>
      <c r="M314">
        <v>7</v>
      </c>
      <c r="N314">
        <v>8</v>
      </c>
      <c r="O314">
        <v>5</v>
      </c>
      <c r="P314">
        <v>5</v>
      </c>
      <c r="Q314">
        <v>8</v>
      </c>
    </row>
    <row r="315" spans="1:17" x14ac:dyDescent="0.45">
      <c r="A315" s="19">
        <v>46033.431250000001</v>
      </c>
      <c r="B315" t="s">
        <v>72</v>
      </c>
      <c r="C315" t="s">
        <v>189</v>
      </c>
      <c r="D315" t="s">
        <v>74</v>
      </c>
      <c r="E315" t="s">
        <v>77</v>
      </c>
      <c r="F315" t="s">
        <v>100</v>
      </c>
      <c r="G315" t="s">
        <v>104</v>
      </c>
      <c r="H315" t="s">
        <v>110</v>
      </c>
      <c r="I315">
        <v>7</v>
      </c>
      <c r="J315">
        <v>8</v>
      </c>
      <c r="K315">
        <v>8</v>
      </c>
      <c r="L315">
        <v>8</v>
      </c>
      <c r="M315">
        <v>5</v>
      </c>
      <c r="N315">
        <v>8</v>
      </c>
      <c r="O315">
        <v>6</v>
      </c>
      <c r="P315">
        <v>6</v>
      </c>
      <c r="Q315">
        <v>8</v>
      </c>
    </row>
    <row r="316" spans="1:17" x14ac:dyDescent="0.45">
      <c r="A316" s="19">
        <v>46033.888194444444</v>
      </c>
      <c r="B316" t="s">
        <v>78</v>
      </c>
      <c r="C316" t="s">
        <v>189</v>
      </c>
      <c r="D316" t="s">
        <v>74</v>
      </c>
      <c r="E316" t="s">
        <v>77</v>
      </c>
      <c r="F316" t="s">
        <v>100</v>
      </c>
      <c r="G316" t="s">
        <v>196</v>
      </c>
      <c r="H316" t="s">
        <v>110</v>
      </c>
      <c r="I316">
        <v>4</v>
      </c>
      <c r="J316">
        <v>5</v>
      </c>
      <c r="K316">
        <v>5</v>
      </c>
      <c r="L316">
        <v>7</v>
      </c>
      <c r="M316">
        <v>5</v>
      </c>
      <c r="N316">
        <v>8</v>
      </c>
      <c r="O316">
        <v>5</v>
      </c>
      <c r="P316">
        <v>6</v>
      </c>
      <c r="Q316">
        <v>8</v>
      </c>
    </row>
    <row r="317" spans="1:17" x14ac:dyDescent="0.45">
      <c r="A317" s="19">
        <v>46033.888888888891</v>
      </c>
      <c r="B317" t="s">
        <v>72</v>
      </c>
      <c r="C317" t="s">
        <v>81</v>
      </c>
      <c r="D317" t="s">
        <v>74</v>
      </c>
      <c r="E317" t="s">
        <v>77</v>
      </c>
      <c r="F317" t="s">
        <v>100</v>
      </c>
      <c r="G317" t="s">
        <v>101</v>
      </c>
      <c r="H317" t="s">
        <v>110</v>
      </c>
      <c r="I317">
        <v>6</v>
      </c>
      <c r="J317">
        <v>8</v>
      </c>
      <c r="K317">
        <v>5</v>
      </c>
      <c r="L317">
        <v>6</v>
      </c>
      <c r="M317">
        <v>6</v>
      </c>
      <c r="N317">
        <v>7</v>
      </c>
      <c r="O317">
        <v>6</v>
      </c>
      <c r="P317">
        <v>7</v>
      </c>
      <c r="Q317">
        <v>7</v>
      </c>
    </row>
    <row r="318" spans="1:17" x14ac:dyDescent="0.45">
      <c r="A318" s="19">
        <v>46034.478472222225</v>
      </c>
      <c r="B318" t="s">
        <v>72</v>
      </c>
      <c r="C318" t="s">
        <v>189</v>
      </c>
      <c r="D318" t="s">
        <v>74</v>
      </c>
      <c r="E318" t="s">
        <v>77</v>
      </c>
      <c r="F318" t="s">
        <v>100</v>
      </c>
      <c r="G318" t="s">
        <v>104</v>
      </c>
      <c r="H318" t="s">
        <v>110</v>
      </c>
      <c r="I318">
        <v>7</v>
      </c>
      <c r="J318">
        <v>7</v>
      </c>
      <c r="K318">
        <v>5</v>
      </c>
      <c r="L318">
        <v>8</v>
      </c>
      <c r="M318">
        <v>5</v>
      </c>
      <c r="N318">
        <v>8</v>
      </c>
      <c r="O318">
        <v>5</v>
      </c>
      <c r="P318">
        <v>7</v>
      </c>
      <c r="Q318">
        <v>8</v>
      </c>
    </row>
    <row r="319" spans="1:17" x14ac:dyDescent="0.45">
      <c r="A319" s="19">
        <v>46034.479166666664</v>
      </c>
      <c r="B319" t="s">
        <v>72</v>
      </c>
      <c r="C319" t="s">
        <v>81</v>
      </c>
      <c r="D319" t="s">
        <v>74</v>
      </c>
      <c r="E319" t="s">
        <v>75</v>
      </c>
      <c r="F319" t="s">
        <v>100</v>
      </c>
      <c r="G319" t="s">
        <v>196</v>
      </c>
      <c r="H319" t="s">
        <v>110</v>
      </c>
      <c r="I319">
        <v>4</v>
      </c>
      <c r="J319">
        <v>4</v>
      </c>
      <c r="K319">
        <v>6</v>
      </c>
      <c r="L319">
        <v>7</v>
      </c>
      <c r="M319">
        <v>5</v>
      </c>
      <c r="N319">
        <v>8</v>
      </c>
      <c r="O319">
        <v>5</v>
      </c>
      <c r="P319">
        <v>5</v>
      </c>
      <c r="Q319">
        <v>8</v>
      </c>
    </row>
    <row r="320" spans="1:17" x14ac:dyDescent="0.45">
      <c r="A320" s="19">
        <v>46034.479861111111</v>
      </c>
      <c r="B320" t="s">
        <v>72</v>
      </c>
      <c r="C320" t="s">
        <v>189</v>
      </c>
      <c r="D320" t="s">
        <v>74</v>
      </c>
      <c r="E320" t="s">
        <v>77</v>
      </c>
      <c r="F320" t="s">
        <v>100</v>
      </c>
      <c r="G320" t="s">
        <v>104</v>
      </c>
      <c r="H320" t="s">
        <v>110</v>
      </c>
      <c r="I320">
        <v>8</v>
      </c>
      <c r="J320">
        <v>8</v>
      </c>
      <c r="K320">
        <v>10</v>
      </c>
      <c r="L320">
        <v>10</v>
      </c>
      <c r="M320">
        <v>9</v>
      </c>
      <c r="N320">
        <v>10</v>
      </c>
      <c r="O320">
        <v>8</v>
      </c>
      <c r="P320">
        <v>8</v>
      </c>
      <c r="Q320">
        <v>10</v>
      </c>
    </row>
    <row r="321" spans="1:17" x14ac:dyDescent="0.45">
      <c r="A321" s="19">
        <v>46034.480555555558</v>
      </c>
      <c r="B321" t="s">
        <v>78</v>
      </c>
      <c r="C321" t="s">
        <v>73</v>
      </c>
      <c r="D321" t="s">
        <v>74</v>
      </c>
      <c r="E321" t="s">
        <v>75</v>
      </c>
      <c r="F321" t="s">
        <v>100</v>
      </c>
      <c r="G321" t="s">
        <v>101</v>
      </c>
      <c r="H321" t="s">
        <v>110</v>
      </c>
      <c r="I321">
        <v>5</v>
      </c>
      <c r="J321">
        <v>7</v>
      </c>
      <c r="K321">
        <v>7</v>
      </c>
      <c r="L321">
        <v>9</v>
      </c>
      <c r="M321">
        <v>5</v>
      </c>
      <c r="N321">
        <v>6</v>
      </c>
      <c r="O321">
        <v>5</v>
      </c>
      <c r="P321">
        <v>7</v>
      </c>
      <c r="Q321">
        <v>7</v>
      </c>
    </row>
    <row r="322" spans="1:17" x14ac:dyDescent="0.45">
      <c r="A322" s="19">
        <v>46034.481249999997</v>
      </c>
      <c r="B322" t="s">
        <v>72</v>
      </c>
      <c r="C322" t="s">
        <v>189</v>
      </c>
      <c r="D322" t="s">
        <v>74</v>
      </c>
      <c r="E322" t="s">
        <v>77</v>
      </c>
      <c r="F322" t="s">
        <v>100</v>
      </c>
      <c r="G322" t="s">
        <v>104</v>
      </c>
      <c r="H322" t="s">
        <v>110</v>
      </c>
      <c r="I322">
        <v>8</v>
      </c>
      <c r="J322">
        <v>8</v>
      </c>
      <c r="K322">
        <v>7</v>
      </c>
      <c r="L322">
        <v>9</v>
      </c>
      <c r="M322">
        <v>9</v>
      </c>
      <c r="N322">
        <v>9</v>
      </c>
      <c r="O322">
        <v>7</v>
      </c>
      <c r="P322">
        <v>9</v>
      </c>
      <c r="Q322">
        <v>9</v>
      </c>
    </row>
    <row r="323" spans="1:17" x14ac:dyDescent="0.45">
      <c r="A323" s="19">
        <v>46034.481944444444</v>
      </c>
      <c r="B323" t="s">
        <v>78</v>
      </c>
      <c r="C323" t="s">
        <v>81</v>
      </c>
      <c r="D323" t="s">
        <v>74</v>
      </c>
      <c r="E323" t="s">
        <v>77</v>
      </c>
      <c r="F323" t="s">
        <v>100</v>
      </c>
      <c r="G323" t="s">
        <v>101</v>
      </c>
      <c r="H323" t="s">
        <v>110</v>
      </c>
      <c r="I323">
        <v>5</v>
      </c>
      <c r="J323">
        <v>5</v>
      </c>
      <c r="K323">
        <v>5</v>
      </c>
      <c r="L323">
        <v>7</v>
      </c>
      <c r="M323">
        <v>5</v>
      </c>
      <c r="N323">
        <v>7</v>
      </c>
      <c r="O323">
        <v>5</v>
      </c>
      <c r="P323">
        <v>5</v>
      </c>
      <c r="Q323">
        <v>7</v>
      </c>
    </row>
    <row r="324" spans="1:17" x14ac:dyDescent="0.45">
      <c r="A324" s="19">
        <v>46034.484027777777</v>
      </c>
      <c r="B324" t="s">
        <v>78</v>
      </c>
      <c r="C324" t="s">
        <v>81</v>
      </c>
      <c r="D324" t="s">
        <v>74</v>
      </c>
      <c r="E324" t="s">
        <v>75</v>
      </c>
      <c r="F324" t="s">
        <v>100</v>
      </c>
      <c r="G324" t="s">
        <v>101</v>
      </c>
      <c r="H324" t="s">
        <v>110</v>
      </c>
      <c r="I324">
        <v>7</v>
      </c>
      <c r="J324">
        <v>7</v>
      </c>
      <c r="K324">
        <v>8</v>
      </c>
      <c r="L324">
        <v>8</v>
      </c>
      <c r="M324">
        <v>6</v>
      </c>
      <c r="N324">
        <v>7</v>
      </c>
      <c r="O324">
        <v>6</v>
      </c>
      <c r="P324">
        <v>7</v>
      </c>
      <c r="Q324">
        <v>7</v>
      </c>
    </row>
    <row r="325" spans="1:17" x14ac:dyDescent="0.45">
      <c r="A325" s="19">
        <v>46034.484722222223</v>
      </c>
      <c r="B325" t="s">
        <v>72</v>
      </c>
      <c r="C325" t="s">
        <v>189</v>
      </c>
      <c r="D325" t="s">
        <v>74</v>
      </c>
      <c r="E325" t="s">
        <v>77</v>
      </c>
      <c r="F325" t="s">
        <v>100</v>
      </c>
      <c r="G325" t="s">
        <v>194</v>
      </c>
      <c r="H325" t="s">
        <v>110</v>
      </c>
      <c r="I325">
        <v>7</v>
      </c>
      <c r="J325">
        <v>7</v>
      </c>
      <c r="K325">
        <v>5</v>
      </c>
      <c r="L325">
        <v>7</v>
      </c>
      <c r="M325">
        <v>7</v>
      </c>
      <c r="N325">
        <v>7</v>
      </c>
      <c r="O325">
        <v>5</v>
      </c>
      <c r="P325">
        <v>5</v>
      </c>
      <c r="Q325">
        <v>8</v>
      </c>
    </row>
    <row r="326" spans="1:17" x14ac:dyDescent="0.45">
      <c r="A326" s="19">
        <v>46034.48541666667</v>
      </c>
      <c r="B326" t="s">
        <v>78</v>
      </c>
      <c r="C326" t="s">
        <v>73</v>
      </c>
      <c r="D326" t="s">
        <v>74</v>
      </c>
      <c r="E326" t="s">
        <v>77</v>
      </c>
      <c r="F326" t="s">
        <v>100</v>
      </c>
      <c r="G326" t="s">
        <v>109</v>
      </c>
      <c r="H326" t="s">
        <v>102</v>
      </c>
      <c r="I326">
        <v>2</v>
      </c>
      <c r="J326">
        <v>2</v>
      </c>
      <c r="K326">
        <v>6</v>
      </c>
      <c r="L326">
        <v>7</v>
      </c>
      <c r="M326">
        <v>2</v>
      </c>
      <c r="N326">
        <v>5</v>
      </c>
      <c r="O326">
        <v>5</v>
      </c>
      <c r="P326">
        <v>6</v>
      </c>
      <c r="Q326">
        <v>5</v>
      </c>
    </row>
    <row r="327" spans="1:17" x14ac:dyDescent="0.45">
      <c r="A327" s="19">
        <v>46034.486111111109</v>
      </c>
      <c r="B327" t="s">
        <v>72</v>
      </c>
      <c r="C327" t="s">
        <v>79</v>
      </c>
      <c r="D327" t="s">
        <v>74</v>
      </c>
      <c r="E327" t="s">
        <v>77</v>
      </c>
      <c r="F327" t="s">
        <v>100</v>
      </c>
      <c r="G327" t="s">
        <v>111</v>
      </c>
      <c r="H327" t="s">
        <v>105</v>
      </c>
      <c r="I327">
        <v>8</v>
      </c>
      <c r="J327">
        <v>9</v>
      </c>
      <c r="K327">
        <v>9</v>
      </c>
      <c r="L327">
        <v>10</v>
      </c>
      <c r="M327">
        <v>8</v>
      </c>
      <c r="N327">
        <v>10</v>
      </c>
      <c r="O327">
        <v>9</v>
      </c>
      <c r="P327">
        <v>9</v>
      </c>
      <c r="Q327">
        <v>10</v>
      </c>
    </row>
    <row r="328" spans="1:17" x14ac:dyDescent="0.45">
      <c r="A328" s="19">
        <v>46034.486805555556</v>
      </c>
      <c r="B328" t="s">
        <v>72</v>
      </c>
      <c r="C328" t="s">
        <v>81</v>
      </c>
      <c r="D328" t="s">
        <v>74</v>
      </c>
      <c r="E328" t="s">
        <v>77</v>
      </c>
      <c r="F328" t="s">
        <v>100</v>
      </c>
      <c r="G328" t="s">
        <v>196</v>
      </c>
      <c r="H328" t="s">
        <v>110</v>
      </c>
      <c r="I328">
        <v>7</v>
      </c>
      <c r="J328">
        <v>7</v>
      </c>
      <c r="K328">
        <v>7</v>
      </c>
      <c r="L328">
        <v>9</v>
      </c>
      <c r="M328">
        <v>7</v>
      </c>
      <c r="N328">
        <v>8</v>
      </c>
      <c r="O328">
        <v>5</v>
      </c>
      <c r="P328">
        <v>7</v>
      </c>
      <c r="Q328">
        <v>8</v>
      </c>
    </row>
    <row r="329" spans="1:17" x14ac:dyDescent="0.45">
      <c r="A329" s="19">
        <v>46034.488888888889</v>
      </c>
      <c r="B329" t="s">
        <v>78</v>
      </c>
      <c r="C329" t="s">
        <v>79</v>
      </c>
      <c r="D329" t="s">
        <v>74</v>
      </c>
      <c r="E329" t="s">
        <v>75</v>
      </c>
      <c r="F329" t="s">
        <v>100</v>
      </c>
      <c r="G329" t="s">
        <v>107</v>
      </c>
      <c r="H329" t="s">
        <v>106</v>
      </c>
      <c r="I329">
        <v>7</v>
      </c>
      <c r="J329">
        <v>8</v>
      </c>
      <c r="K329">
        <v>9</v>
      </c>
      <c r="L329">
        <v>9</v>
      </c>
      <c r="M329">
        <v>9</v>
      </c>
      <c r="N329">
        <v>8</v>
      </c>
      <c r="O329">
        <v>7</v>
      </c>
      <c r="P329">
        <v>7</v>
      </c>
      <c r="Q329">
        <v>9</v>
      </c>
    </row>
    <row r="330" spans="1:17" x14ac:dyDescent="0.45">
      <c r="A330" s="19">
        <v>46034.490972222222</v>
      </c>
      <c r="B330" t="s">
        <v>72</v>
      </c>
      <c r="C330" t="s">
        <v>81</v>
      </c>
      <c r="D330" t="s">
        <v>74</v>
      </c>
      <c r="E330" t="s">
        <v>77</v>
      </c>
      <c r="F330" t="s">
        <v>100</v>
      </c>
      <c r="G330" t="s">
        <v>104</v>
      </c>
      <c r="H330" t="s">
        <v>110</v>
      </c>
      <c r="I330">
        <v>7</v>
      </c>
      <c r="J330">
        <v>7</v>
      </c>
      <c r="K330">
        <v>9</v>
      </c>
      <c r="L330">
        <v>9</v>
      </c>
      <c r="M330">
        <v>9</v>
      </c>
      <c r="N330">
        <v>9</v>
      </c>
      <c r="O330">
        <v>5</v>
      </c>
      <c r="P330">
        <v>6</v>
      </c>
      <c r="Q330">
        <v>9</v>
      </c>
    </row>
    <row r="331" spans="1:17" x14ac:dyDescent="0.45">
      <c r="A331" s="19">
        <v>46034.490972222222</v>
      </c>
      <c r="B331" t="s">
        <v>78</v>
      </c>
      <c r="C331" t="s">
        <v>189</v>
      </c>
      <c r="D331" t="s">
        <v>74</v>
      </c>
      <c r="E331" t="s">
        <v>77</v>
      </c>
      <c r="F331" t="s">
        <v>100</v>
      </c>
      <c r="G331" t="s">
        <v>104</v>
      </c>
      <c r="H331" t="s">
        <v>110</v>
      </c>
      <c r="I331">
        <v>3</v>
      </c>
      <c r="J331">
        <v>3</v>
      </c>
      <c r="K331">
        <v>5</v>
      </c>
      <c r="L331">
        <v>6</v>
      </c>
      <c r="M331">
        <v>4</v>
      </c>
      <c r="N331">
        <v>5</v>
      </c>
      <c r="O331">
        <v>5</v>
      </c>
      <c r="P331">
        <v>5</v>
      </c>
      <c r="Q331">
        <v>5</v>
      </c>
    </row>
    <row r="332" spans="1:17" x14ac:dyDescent="0.45">
      <c r="A332" s="19">
        <v>46034.507638888892</v>
      </c>
      <c r="B332" t="s">
        <v>78</v>
      </c>
      <c r="C332" t="s">
        <v>73</v>
      </c>
      <c r="D332" t="s">
        <v>74</v>
      </c>
      <c r="E332" t="s">
        <v>77</v>
      </c>
      <c r="F332" t="s">
        <v>100</v>
      </c>
      <c r="G332" t="s">
        <v>101</v>
      </c>
      <c r="H332" t="s">
        <v>102</v>
      </c>
      <c r="I332">
        <v>4</v>
      </c>
      <c r="J332">
        <v>4</v>
      </c>
      <c r="K332">
        <v>5</v>
      </c>
      <c r="L332">
        <v>6</v>
      </c>
      <c r="M332">
        <v>4</v>
      </c>
      <c r="N332">
        <v>5</v>
      </c>
      <c r="O332">
        <v>3</v>
      </c>
      <c r="P332">
        <v>4</v>
      </c>
      <c r="Q332">
        <v>5</v>
      </c>
    </row>
    <row r="333" spans="1:17" x14ac:dyDescent="0.45">
      <c r="A333" s="19">
        <v>46034.508333333331</v>
      </c>
      <c r="B333" t="s">
        <v>72</v>
      </c>
      <c r="C333" t="s">
        <v>189</v>
      </c>
      <c r="D333" t="s">
        <v>74</v>
      </c>
      <c r="E333" t="s">
        <v>77</v>
      </c>
      <c r="F333" t="s">
        <v>100</v>
      </c>
      <c r="G333" t="s">
        <v>196</v>
      </c>
      <c r="H333" t="s">
        <v>110</v>
      </c>
      <c r="I333">
        <v>7</v>
      </c>
      <c r="J333">
        <v>7</v>
      </c>
      <c r="K333">
        <v>9</v>
      </c>
      <c r="L333">
        <v>9</v>
      </c>
      <c r="M333">
        <v>8</v>
      </c>
      <c r="N333">
        <v>9</v>
      </c>
      <c r="O333">
        <v>7</v>
      </c>
      <c r="P333">
        <v>9</v>
      </c>
      <c r="Q333">
        <v>9</v>
      </c>
    </row>
    <row r="334" spans="1:17" x14ac:dyDescent="0.45">
      <c r="A334" s="19">
        <v>46034.509027777778</v>
      </c>
      <c r="B334" t="s">
        <v>78</v>
      </c>
      <c r="C334" t="s">
        <v>79</v>
      </c>
      <c r="D334" t="s">
        <v>74</v>
      </c>
      <c r="E334" t="s">
        <v>75</v>
      </c>
      <c r="F334" t="s">
        <v>100</v>
      </c>
      <c r="G334" t="s">
        <v>107</v>
      </c>
      <c r="H334" t="s">
        <v>102</v>
      </c>
      <c r="I334">
        <v>6</v>
      </c>
      <c r="J334">
        <v>6</v>
      </c>
      <c r="K334">
        <v>8</v>
      </c>
      <c r="L334">
        <v>8</v>
      </c>
      <c r="M334">
        <v>6</v>
      </c>
      <c r="N334">
        <v>7</v>
      </c>
      <c r="O334">
        <v>6</v>
      </c>
      <c r="P334">
        <v>7</v>
      </c>
      <c r="Q334">
        <v>7</v>
      </c>
    </row>
    <row r="335" spans="1:17" x14ac:dyDescent="0.45">
      <c r="A335" s="19">
        <v>46034.509722222225</v>
      </c>
      <c r="B335" t="s">
        <v>72</v>
      </c>
      <c r="C335" t="s">
        <v>191</v>
      </c>
      <c r="D335" t="s">
        <v>74</v>
      </c>
      <c r="E335" t="s">
        <v>75</v>
      </c>
      <c r="F335" t="s">
        <v>103</v>
      </c>
      <c r="G335" t="s">
        <v>108</v>
      </c>
      <c r="H335" t="s">
        <v>106</v>
      </c>
      <c r="I335">
        <v>2</v>
      </c>
      <c r="J335">
        <v>2</v>
      </c>
      <c r="K335">
        <v>3</v>
      </c>
      <c r="L335">
        <v>5</v>
      </c>
      <c r="M335">
        <v>1</v>
      </c>
      <c r="N335">
        <v>1</v>
      </c>
      <c r="O335">
        <v>1</v>
      </c>
      <c r="P335">
        <v>3</v>
      </c>
      <c r="Q335">
        <v>1</v>
      </c>
    </row>
    <row r="336" spans="1:17" x14ac:dyDescent="0.45">
      <c r="A336" s="19">
        <v>46034.513888888891</v>
      </c>
      <c r="B336" t="s">
        <v>78</v>
      </c>
      <c r="C336" t="s">
        <v>189</v>
      </c>
      <c r="D336" t="s">
        <v>74</v>
      </c>
      <c r="E336" t="s">
        <v>77</v>
      </c>
      <c r="F336" t="s">
        <v>100</v>
      </c>
      <c r="G336" t="s">
        <v>104</v>
      </c>
      <c r="H336" t="s">
        <v>110</v>
      </c>
      <c r="I336">
        <v>7</v>
      </c>
      <c r="J336">
        <v>7</v>
      </c>
      <c r="K336">
        <v>8</v>
      </c>
      <c r="L336">
        <v>10</v>
      </c>
      <c r="M336">
        <v>9</v>
      </c>
      <c r="N336">
        <v>10</v>
      </c>
      <c r="O336">
        <v>8</v>
      </c>
      <c r="P336">
        <v>8</v>
      </c>
      <c r="Q336">
        <v>10</v>
      </c>
    </row>
    <row r="337" spans="1:17" x14ac:dyDescent="0.45">
      <c r="A337" s="19">
        <v>46034.51458333333</v>
      </c>
      <c r="B337" t="s">
        <v>72</v>
      </c>
      <c r="C337" t="s">
        <v>81</v>
      </c>
      <c r="D337" t="s">
        <v>74</v>
      </c>
      <c r="E337" t="s">
        <v>77</v>
      </c>
      <c r="F337" t="s">
        <v>100</v>
      </c>
      <c r="G337" t="s">
        <v>196</v>
      </c>
      <c r="H337" t="s">
        <v>110</v>
      </c>
      <c r="I337">
        <v>4</v>
      </c>
      <c r="J337">
        <v>5</v>
      </c>
      <c r="K337">
        <v>5</v>
      </c>
      <c r="L337">
        <v>6</v>
      </c>
      <c r="M337">
        <v>5</v>
      </c>
      <c r="N337">
        <v>6</v>
      </c>
      <c r="O337">
        <v>5</v>
      </c>
      <c r="P337">
        <v>5</v>
      </c>
      <c r="Q337">
        <v>6</v>
      </c>
    </row>
    <row r="338" spans="1:17" x14ac:dyDescent="0.45">
      <c r="A338" s="19">
        <v>46034.515277777777</v>
      </c>
      <c r="B338" t="s">
        <v>78</v>
      </c>
      <c r="C338" t="s">
        <v>73</v>
      </c>
      <c r="D338" t="s">
        <v>74</v>
      </c>
      <c r="E338" t="s">
        <v>77</v>
      </c>
      <c r="F338" t="s">
        <v>100</v>
      </c>
      <c r="G338" t="s">
        <v>101</v>
      </c>
      <c r="H338" t="s">
        <v>110</v>
      </c>
      <c r="I338">
        <v>7</v>
      </c>
      <c r="J338">
        <v>8</v>
      </c>
      <c r="K338">
        <v>7</v>
      </c>
      <c r="L338">
        <v>7</v>
      </c>
      <c r="M338">
        <v>6</v>
      </c>
      <c r="N338">
        <v>8</v>
      </c>
      <c r="O338">
        <v>6</v>
      </c>
      <c r="P338">
        <v>8</v>
      </c>
      <c r="Q338">
        <v>8</v>
      </c>
    </row>
    <row r="339" spans="1:17" x14ac:dyDescent="0.45">
      <c r="A339" s="19">
        <v>46034.515972222223</v>
      </c>
      <c r="B339" t="s">
        <v>78</v>
      </c>
      <c r="C339" t="s">
        <v>189</v>
      </c>
      <c r="D339" t="s">
        <v>74</v>
      </c>
      <c r="E339" t="s">
        <v>77</v>
      </c>
      <c r="F339" t="s">
        <v>100</v>
      </c>
      <c r="G339" t="s">
        <v>104</v>
      </c>
      <c r="H339" t="s">
        <v>110</v>
      </c>
      <c r="I339">
        <v>8</v>
      </c>
      <c r="J339">
        <v>8</v>
      </c>
      <c r="K339">
        <v>9</v>
      </c>
      <c r="L339">
        <v>9</v>
      </c>
      <c r="M339">
        <v>8</v>
      </c>
      <c r="N339">
        <v>9</v>
      </c>
      <c r="O339">
        <v>10</v>
      </c>
      <c r="P339">
        <v>9</v>
      </c>
      <c r="Q339">
        <v>10</v>
      </c>
    </row>
    <row r="340" spans="1:17" x14ac:dyDescent="0.45">
      <c r="A340" s="19">
        <v>46034.515972222223</v>
      </c>
      <c r="B340" t="s">
        <v>72</v>
      </c>
      <c r="C340" t="s">
        <v>189</v>
      </c>
      <c r="D340" t="s">
        <v>74</v>
      </c>
      <c r="E340" t="s">
        <v>77</v>
      </c>
      <c r="F340" t="s">
        <v>100</v>
      </c>
      <c r="G340" t="s">
        <v>104</v>
      </c>
      <c r="H340" t="s">
        <v>110</v>
      </c>
      <c r="I340">
        <v>7</v>
      </c>
      <c r="J340">
        <v>7</v>
      </c>
      <c r="K340">
        <v>8</v>
      </c>
      <c r="L340">
        <v>8</v>
      </c>
      <c r="M340">
        <v>6</v>
      </c>
      <c r="N340">
        <v>7</v>
      </c>
      <c r="O340">
        <v>6</v>
      </c>
      <c r="P340">
        <v>6</v>
      </c>
      <c r="Q340">
        <v>7</v>
      </c>
    </row>
    <row r="341" spans="1:17" x14ac:dyDescent="0.45">
      <c r="A341" s="19">
        <v>46034.591666666667</v>
      </c>
      <c r="B341" t="s">
        <v>78</v>
      </c>
      <c r="C341" t="s">
        <v>81</v>
      </c>
      <c r="D341" t="s">
        <v>74</v>
      </c>
      <c r="E341" t="s">
        <v>77</v>
      </c>
      <c r="F341" t="s">
        <v>100</v>
      </c>
      <c r="G341" t="s">
        <v>104</v>
      </c>
      <c r="H341" t="s">
        <v>110</v>
      </c>
      <c r="I341">
        <v>7</v>
      </c>
      <c r="J341">
        <v>8</v>
      </c>
      <c r="K341">
        <v>8</v>
      </c>
      <c r="L341">
        <v>8</v>
      </c>
      <c r="M341">
        <v>5</v>
      </c>
      <c r="N341">
        <v>8</v>
      </c>
      <c r="O341">
        <v>5</v>
      </c>
      <c r="P341">
        <v>8</v>
      </c>
      <c r="Q341">
        <v>8</v>
      </c>
    </row>
    <row r="342" spans="1:17" x14ac:dyDescent="0.45">
      <c r="A342" s="19">
        <v>46034.592361111114</v>
      </c>
      <c r="B342" t="s">
        <v>72</v>
      </c>
      <c r="C342" t="s">
        <v>189</v>
      </c>
      <c r="D342" t="s">
        <v>74</v>
      </c>
      <c r="E342" t="s">
        <v>77</v>
      </c>
      <c r="F342" t="s">
        <v>100</v>
      </c>
      <c r="G342" t="s">
        <v>194</v>
      </c>
      <c r="H342" t="s">
        <v>110</v>
      </c>
      <c r="I342">
        <v>8</v>
      </c>
      <c r="J342">
        <v>8</v>
      </c>
      <c r="K342">
        <v>8</v>
      </c>
      <c r="L342">
        <v>9</v>
      </c>
      <c r="M342">
        <v>8</v>
      </c>
      <c r="N342">
        <v>8</v>
      </c>
      <c r="O342">
        <v>7</v>
      </c>
      <c r="P342">
        <v>7</v>
      </c>
      <c r="Q342">
        <v>8</v>
      </c>
    </row>
    <row r="343" spans="1:17" x14ac:dyDescent="0.45">
      <c r="A343" s="19">
        <v>46034.593055555553</v>
      </c>
      <c r="B343" t="s">
        <v>78</v>
      </c>
      <c r="C343" t="s">
        <v>189</v>
      </c>
      <c r="D343" t="s">
        <v>74</v>
      </c>
      <c r="E343" t="s">
        <v>77</v>
      </c>
      <c r="F343" t="s">
        <v>100</v>
      </c>
      <c r="G343" t="s">
        <v>194</v>
      </c>
      <c r="H343" t="s">
        <v>110</v>
      </c>
      <c r="I343">
        <v>5</v>
      </c>
      <c r="J343">
        <v>5</v>
      </c>
      <c r="K343">
        <v>6</v>
      </c>
      <c r="L343">
        <v>7</v>
      </c>
      <c r="M343">
        <v>5</v>
      </c>
      <c r="N343">
        <v>8</v>
      </c>
      <c r="O343">
        <v>6</v>
      </c>
      <c r="P343">
        <v>6</v>
      </c>
      <c r="Q343">
        <v>7</v>
      </c>
    </row>
    <row r="344" spans="1:17" x14ac:dyDescent="0.45">
      <c r="A344" s="19">
        <v>46034.59375</v>
      </c>
      <c r="B344" t="s">
        <v>78</v>
      </c>
      <c r="C344" t="s">
        <v>81</v>
      </c>
      <c r="D344" t="s">
        <v>74</v>
      </c>
      <c r="E344" t="s">
        <v>77</v>
      </c>
      <c r="F344" t="s">
        <v>100</v>
      </c>
      <c r="G344" t="s">
        <v>104</v>
      </c>
      <c r="H344" t="s">
        <v>110</v>
      </c>
      <c r="I344">
        <v>7</v>
      </c>
      <c r="J344">
        <v>7</v>
      </c>
      <c r="K344">
        <v>8</v>
      </c>
      <c r="L344">
        <v>7</v>
      </c>
      <c r="M344">
        <v>8</v>
      </c>
      <c r="N344">
        <v>8</v>
      </c>
      <c r="O344">
        <v>8</v>
      </c>
      <c r="P344">
        <v>7</v>
      </c>
      <c r="Q344">
        <v>8</v>
      </c>
    </row>
    <row r="345" spans="1:17" x14ac:dyDescent="0.45">
      <c r="A345" s="19">
        <v>46034.594444444447</v>
      </c>
      <c r="B345" t="s">
        <v>78</v>
      </c>
      <c r="C345" t="s">
        <v>73</v>
      </c>
      <c r="D345" t="s">
        <v>74</v>
      </c>
      <c r="E345" t="s">
        <v>75</v>
      </c>
      <c r="F345" t="s">
        <v>100</v>
      </c>
      <c r="G345" t="s">
        <v>111</v>
      </c>
      <c r="H345" t="s">
        <v>105</v>
      </c>
      <c r="I345">
        <v>7</v>
      </c>
      <c r="J345">
        <v>7</v>
      </c>
      <c r="K345">
        <v>5</v>
      </c>
      <c r="L345">
        <v>8</v>
      </c>
      <c r="M345">
        <v>6</v>
      </c>
      <c r="N345">
        <v>5</v>
      </c>
      <c r="O345">
        <v>5</v>
      </c>
      <c r="P345">
        <v>6</v>
      </c>
      <c r="Q345">
        <v>5</v>
      </c>
    </row>
    <row r="346" spans="1:17" x14ac:dyDescent="0.45">
      <c r="A346" s="19">
        <v>46034.602777777778</v>
      </c>
      <c r="B346" t="s">
        <v>72</v>
      </c>
      <c r="C346" t="s">
        <v>81</v>
      </c>
      <c r="D346" t="s">
        <v>74</v>
      </c>
      <c r="E346" t="s">
        <v>77</v>
      </c>
      <c r="F346" t="s">
        <v>100</v>
      </c>
      <c r="G346" t="s">
        <v>104</v>
      </c>
      <c r="H346" t="s">
        <v>110</v>
      </c>
      <c r="I346">
        <v>7</v>
      </c>
      <c r="J346">
        <v>7</v>
      </c>
      <c r="K346">
        <v>5</v>
      </c>
      <c r="L346">
        <v>8</v>
      </c>
      <c r="M346">
        <v>7</v>
      </c>
      <c r="N346">
        <v>7</v>
      </c>
      <c r="O346">
        <v>6</v>
      </c>
      <c r="P346">
        <v>7</v>
      </c>
      <c r="Q346">
        <v>7</v>
      </c>
    </row>
    <row r="347" spans="1:17" x14ac:dyDescent="0.45">
      <c r="A347" s="19">
        <v>46034.603472222225</v>
      </c>
      <c r="B347" t="s">
        <v>72</v>
      </c>
      <c r="C347" t="s">
        <v>73</v>
      </c>
      <c r="D347" t="s">
        <v>74</v>
      </c>
      <c r="E347" t="s">
        <v>77</v>
      </c>
      <c r="F347" t="s">
        <v>100</v>
      </c>
      <c r="G347" t="s">
        <v>101</v>
      </c>
      <c r="H347" t="s">
        <v>102</v>
      </c>
      <c r="I347">
        <v>9</v>
      </c>
      <c r="J347">
        <v>8</v>
      </c>
      <c r="K347">
        <v>8</v>
      </c>
      <c r="L347">
        <v>9</v>
      </c>
      <c r="M347">
        <v>7</v>
      </c>
      <c r="N347">
        <v>8</v>
      </c>
      <c r="O347">
        <v>7</v>
      </c>
      <c r="P347">
        <v>7</v>
      </c>
      <c r="Q347">
        <v>8</v>
      </c>
    </row>
    <row r="348" spans="1:17" x14ac:dyDescent="0.45">
      <c r="A348" s="19">
        <v>46034.606249999997</v>
      </c>
      <c r="B348" t="s">
        <v>72</v>
      </c>
      <c r="C348" t="s">
        <v>81</v>
      </c>
      <c r="D348" t="s">
        <v>74</v>
      </c>
      <c r="E348" t="s">
        <v>77</v>
      </c>
      <c r="F348" t="s">
        <v>100</v>
      </c>
      <c r="G348" t="s">
        <v>196</v>
      </c>
      <c r="H348" t="s">
        <v>110</v>
      </c>
      <c r="I348">
        <v>8</v>
      </c>
      <c r="J348">
        <v>8</v>
      </c>
      <c r="K348">
        <v>7</v>
      </c>
      <c r="L348">
        <v>8</v>
      </c>
      <c r="M348">
        <v>6</v>
      </c>
      <c r="N348">
        <v>8</v>
      </c>
      <c r="O348">
        <v>6</v>
      </c>
      <c r="P348">
        <v>6</v>
      </c>
      <c r="Q348">
        <v>8</v>
      </c>
    </row>
    <row r="349" spans="1:17" x14ac:dyDescent="0.45">
      <c r="A349" s="19">
        <v>46034.652083333334</v>
      </c>
      <c r="B349" t="s">
        <v>72</v>
      </c>
      <c r="C349" t="s">
        <v>81</v>
      </c>
      <c r="D349" t="s">
        <v>74</v>
      </c>
      <c r="E349" t="s">
        <v>77</v>
      </c>
      <c r="F349" t="s">
        <v>100</v>
      </c>
      <c r="G349" t="s">
        <v>196</v>
      </c>
      <c r="H349" t="s">
        <v>110</v>
      </c>
      <c r="I349">
        <v>8</v>
      </c>
      <c r="J349">
        <v>8</v>
      </c>
      <c r="K349">
        <v>7</v>
      </c>
      <c r="L349">
        <v>7</v>
      </c>
      <c r="M349">
        <v>6</v>
      </c>
      <c r="N349">
        <v>7</v>
      </c>
      <c r="O349">
        <v>6</v>
      </c>
      <c r="P349">
        <v>6</v>
      </c>
      <c r="Q349">
        <v>7</v>
      </c>
    </row>
    <row r="350" spans="1:17" x14ac:dyDescent="0.45">
      <c r="A350" s="19">
        <v>46034.654166666667</v>
      </c>
      <c r="B350" t="s">
        <v>72</v>
      </c>
      <c r="C350" t="s">
        <v>81</v>
      </c>
      <c r="D350" t="s">
        <v>74</v>
      </c>
      <c r="E350" t="s">
        <v>77</v>
      </c>
      <c r="F350" t="s">
        <v>100</v>
      </c>
      <c r="G350" t="s">
        <v>196</v>
      </c>
      <c r="H350" t="s">
        <v>110</v>
      </c>
      <c r="I350">
        <v>4</v>
      </c>
      <c r="J350">
        <v>4</v>
      </c>
      <c r="K350">
        <v>5</v>
      </c>
      <c r="L350">
        <v>7</v>
      </c>
      <c r="M350">
        <v>5</v>
      </c>
      <c r="N350">
        <v>6</v>
      </c>
      <c r="O350">
        <v>6</v>
      </c>
      <c r="P350">
        <v>6</v>
      </c>
      <c r="Q350">
        <v>6</v>
      </c>
    </row>
    <row r="351" spans="1:17" x14ac:dyDescent="0.45">
      <c r="A351" s="19">
        <v>46034.654166666667</v>
      </c>
      <c r="B351" t="s">
        <v>72</v>
      </c>
      <c r="C351" t="s">
        <v>81</v>
      </c>
      <c r="D351" t="s">
        <v>74</v>
      </c>
      <c r="E351" t="s">
        <v>77</v>
      </c>
      <c r="F351" t="s">
        <v>100</v>
      </c>
      <c r="G351" t="s">
        <v>101</v>
      </c>
      <c r="H351" t="s">
        <v>110</v>
      </c>
      <c r="I351">
        <v>7</v>
      </c>
      <c r="J351">
        <v>7</v>
      </c>
      <c r="K351">
        <v>8</v>
      </c>
      <c r="L351">
        <v>8</v>
      </c>
      <c r="M351">
        <v>7</v>
      </c>
      <c r="N351">
        <v>7</v>
      </c>
      <c r="O351">
        <v>8</v>
      </c>
      <c r="P351">
        <v>7</v>
      </c>
      <c r="Q351">
        <v>8</v>
      </c>
    </row>
    <row r="352" spans="1:17" x14ac:dyDescent="0.45">
      <c r="A352" s="19">
        <v>46034.654861111114</v>
      </c>
      <c r="B352" t="s">
        <v>72</v>
      </c>
      <c r="C352" t="s">
        <v>73</v>
      </c>
      <c r="D352" t="s">
        <v>74</v>
      </c>
      <c r="E352" t="s">
        <v>77</v>
      </c>
      <c r="F352" t="s">
        <v>100</v>
      </c>
      <c r="G352" t="s">
        <v>109</v>
      </c>
      <c r="H352" t="s">
        <v>105</v>
      </c>
      <c r="I352">
        <v>8</v>
      </c>
      <c r="J352">
        <v>8</v>
      </c>
      <c r="K352">
        <v>6</v>
      </c>
      <c r="L352">
        <v>7</v>
      </c>
      <c r="M352">
        <v>6</v>
      </c>
      <c r="N352">
        <v>7</v>
      </c>
      <c r="O352">
        <v>5</v>
      </c>
      <c r="P352">
        <v>7</v>
      </c>
      <c r="Q352">
        <v>7</v>
      </c>
    </row>
    <row r="353" spans="1:17" x14ac:dyDescent="0.45">
      <c r="A353" s="19">
        <v>46034.7</v>
      </c>
      <c r="B353" t="s">
        <v>72</v>
      </c>
      <c r="C353" t="s">
        <v>73</v>
      </c>
      <c r="D353" t="s">
        <v>74</v>
      </c>
      <c r="E353" t="s">
        <v>77</v>
      </c>
      <c r="F353" t="s">
        <v>100</v>
      </c>
      <c r="G353" t="s">
        <v>101</v>
      </c>
      <c r="H353" t="s">
        <v>102</v>
      </c>
      <c r="I353">
        <v>6</v>
      </c>
      <c r="J353">
        <v>6</v>
      </c>
      <c r="K353">
        <v>8</v>
      </c>
      <c r="L353">
        <v>7</v>
      </c>
      <c r="M353">
        <v>7</v>
      </c>
      <c r="N353">
        <v>7</v>
      </c>
      <c r="O353">
        <v>5</v>
      </c>
      <c r="P353">
        <v>6</v>
      </c>
      <c r="Q353">
        <v>7</v>
      </c>
    </row>
    <row r="354" spans="1:17" x14ac:dyDescent="0.45">
      <c r="A354" s="19">
        <v>46034.700694444444</v>
      </c>
      <c r="B354" t="s">
        <v>78</v>
      </c>
      <c r="C354" t="s">
        <v>79</v>
      </c>
      <c r="D354" t="s">
        <v>74</v>
      </c>
      <c r="E354" t="s">
        <v>77</v>
      </c>
      <c r="F354" t="s">
        <v>100</v>
      </c>
      <c r="G354" t="s">
        <v>107</v>
      </c>
      <c r="H354" t="s">
        <v>195</v>
      </c>
      <c r="I354">
        <v>7</v>
      </c>
      <c r="J354">
        <v>7</v>
      </c>
      <c r="K354">
        <v>8</v>
      </c>
      <c r="L354">
        <v>8</v>
      </c>
      <c r="M354">
        <v>6</v>
      </c>
      <c r="N354">
        <v>7</v>
      </c>
      <c r="O354">
        <v>5</v>
      </c>
      <c r="P354">
        <v>7</v>
      </c>
      <c r="Q354">
        <v>7</v>
      </c>
    </row>
    <row r="355" spans="1:17" x14ac:dyDescent="0.45">
      <c r="A355" s="19">
        <v>46034.701388888891</v>
      </c>
      <c r="B355" t="s">
        <v>72</v>
      </c>
      <c r="C355" t="s">
        <v>189</v>
      </c>
      <c r="D355" t="s">
        <v>74</v>
      </c>
      <c r="E355" t="s">
        <v>77</v>
      </c>
      <c r="F355" t="s">
        <v>100</v>
      </c>
      <c r="G355" t="s">
        <v>104</v>
      </c>
      <c r="H355" t="s">
        <v>110</v>
      </c>
      <c r="I355">
        <v>9</v>
      </c>
      <c r="J355">
        <v>9</v>
      </c>
      <c r="K355">
        <v>10</v>
      </c>
      <c r="L355">
        <v>10</v>
      </c>
      <c r="M355">
        <v>9</v>
      </c>
      <c r="N355">
        <v>10</v>
      </c>
      <c r="O355">
        <v>8</v>
      </c>
      <c r="P355">
        <v>8</v>
      </c>
      <c r="Q355">
        <v>9</v>
      </c>
    </row>
    <row r="356" spans="1:17" x14ac:dyDescent="0.45">
      <c r="A356" s="19">
        <v>46034.720138888886</v>
      </c>
      <c r="B356" t="s">
        <v>78</v>
      </c>
      <c r="C356" t="s">
        <v>189</v>
      </c>
      <c r="D356" t="s">
        <v>74</v>
      </c>
      <c r="E356" t="s">
        <v>77</v>
      </c>
      <c r="F356" t="s">
        <v>100</v>
      </c>
      <c r="G356" t="s">
        <v>104</v>
      </c>
      <c r="H356" t="s">
        <v>110</v>
      </c>
      <c r="I356">
        <v>7</v>
      </c>
      <c r="J356">
        <v>8</v>
      </c>
      <c r="K356">
        <v>8</v>
      </c>
      <c r="L356">
        <v>9</v>
      </c>
      <c r="M356">
        <v>8</v>
      </c>
      <c r="N356">
        <v>10</v>
      </c>
      <c r="O356">
        <v>8</v>
      </c>
      <c r="P356">
        <v>8</v>
      </c>
      <c r="Q356">
        <v>9</v>
      </c>
    </row>
    <row r="357" spans="1:17" x14ac:dyDescent="0.45">
      <c r="A357" s="19">
        <v>46034.753472222219</v>
      </c>
      <c r="B357" t="s">
        <v>78</v>
      </c>
      <c r="C357" t="s">
        <v>189</v>
      </c>
      <c r="D357" t="s">
        <v>74</v>
      </c>
      <c r="E357" t="s">
        <v>77</v>
      </c>
      <c r="F357" t="s">
        <v>100</v>
      </c>
      <c r="G357" t="s">
        <v>104</v>
      </c>
      <c r="H357" t="s">
        <v>110</v>
      </c>
      <c r="I357">
        <v>7</v>
      </c>
      <c r="J357">
        <v>7</v>
      </c>
      <c r="K357">
        <v>8</v>
      </c>
      <c r="L357">
        <v>10</v>
      </c>
      <c r="M357">
        <v>9</v>
      </c>
      <c r="N357">
        <v>10</v>
      </c>
      <c r="O357">
        <v>8</v>
      </c>
      <c r="P357">
        <v>8</v>
      </c>
      <c r="Q357">
        <v>10</v>
      </c>
    </row>
    <row r="358" spans="1:17" x14ac:dyDescent="0.45">
      <c r="A358" s="19">
        <v>46034.769444444442</v>
      </c>
      <c r="B358" t="s">
        <v>78</v>
      </c>
      <c r="C358" t="s">
        <v>81</v>
      </c>
      <c r="D358" t="s">
        <v>74</v>
      </c>
      <c r="E358" t="s">
        <v>77</v>
      </c>
      <c r="F358" t="s">
        <v>100</v>
      </c>
      <c r="G358" t="s">
        <v>101</v>
      </c>
      <c r="H358" t="s">
        <v>110</v>
      </c>
      <c r="I358">
        <v>9</v>
      </c>
      <c r="J358">
        <v>9</v>
      </c>
      <c r="K358">
        <v>8</v>
      </c>
      <c r="L358">
        <v>9</v>
      </c>
      <c r="M358">
        <v>8</v>
      </c>
      <c r="N358">
        <v>8</v>
      </c>
      <c r="O358">
        <v>7</v>
      </c>
      <c r="P358">
        <v>7</v>
      </c>
      <c r="Q358">
        <v>8</v>
      </c>
    </row>
    <row r="359" spans="1:17" x14ac:dyDescent="0.45">
      <c r="A359" s="19">
        <v>46034.770138888889</v>
      </c>
      <c r="B359" t="s">
        <v>72</v>
      </c>
      <c r="C359" t="s">
        <v>189</v>
      </c>
      <c r="D359" t="s">
        <v>74</v>
      </c>
      <c r="E359" t="s">
        <v>77</v>
      </c>
      <c r="F359" t="s">
        <v>100</v>
      </c>
      <c r="G359" t="s">
        <v>104</v>
      </c>
      <c r="H359" t="s">
        <v>110</v>
      </c>
      <c r="I359">
        <v>7</v>
      </c>
      <c r="J359">
        <v>7</v>
      </c>
      <c r="K359">
        <v>7</v>
      </c>
      <c r="L359">
        <v>8</v>
      </c>
      <c r="M359">
        <v>7</v>
      </c>
      <c r="N359">
        <v>9</v>
      </c>
      <c r="O359">
        <v>8</v>
      </c>
      <c r="P359">
        <v>8</v>
      </c>
      <c r="Q359">
        <v>8</v>
      </c>
    </row>
    <row r="360" spans="1:17" x14ac:dyDescent="0.45">
      <c r="A360" s="19">
        <v>46034.770833333336</v>
      </c>
      <c r="B360" t="s">
        <v>72</v>
      </c>
      <c r="C360" t="s">
        <v>81</v>
      </c>
      <c r="D360" t="s">
        <v>74</v>
      </c>
      <c r="E360" t="s">
        <v>77</v>
      </c>
      <c r="F360" t="s">
        <v>100</v>
      </c>
      <c r="G360" t="s">
        <v>196</v>
      </c>
      <c r="H360" t="s">
        <v>102</v>
      </c>
      <c r="I360">
        <v>4</v>
      </c>
      <c r="J360">
        <v>5</v>
      </c>
      <c r="K360">
        <v>6</v>
      </c>
      <c r="L360">
        <v>7</v>
      </c>
      <c r="M360">
        <v>7</v>
      </c>
      <c r="N360">
        <v>6</v>
      </c>
      <c r="O360">
        <v>4</v>
      </c>
      <c r="P360">
        <v>6</v>
      </c>
      <c r="Q360">
        <v>7</v>
      </c>
    </row>
    <row r="361" spans="1:17" x14ac:dyDescent="0.45">
      <c r="A361" s="19">
        <v>46034.893750000003</v>
      </c>
      <c r="B361" t="s">
        <v>78</v>
      </c>
      <c r="C361" t="s">
        <v>81</v>
      </c>
      <c r="D361" t="s">
        <v>74</v>
      </c>
      <c r="E361" t="s">
        <v>77</v>
      </c>
      <c r="F361" t="s">
        <v>100</v>
      </c>
      <c r="G361" t="s">
        <v>196</v>
      </c>
      <c r="H361" t="s">
        <v>110</v>
      </c>
      <c r="I361">
        <v>9</v>
      </c>
      <c r="J361">
        <v>8</v>
      </c>
      <c r="K361">
        <v>8</v>
      </c>
      <c r="L361">
        <v>8</v>
      </c>
      <c r="M361">
        <v>7</v>
      </c>
      <c r="N361">
        <v>7</v>
      </c>
      <c r="O361">
        <v>6</v>
      </c>
      <c r="P361">
        <v>7</v>
      </c>
      <c r="Q361">
        <v>8</v>
      </c>
    </row>
    <row r="362" spans="1:17" x14ac:dyDescent="0.45">
      <c r="A362" s="19">
        <v>46034.894444444442</v>
      </c>
      <c r="B362" t="s">
        <v>72</v>
      </c>
      <c r="C362" t="s">
        <v>189</v>
      </c>
      <c r="D362" t="s">
        <v>74</v>
      </c>
      <c r="E362" t="s">
        <v>77</v>
      </c>
      <c r="F362" t="s">
        <v>100</v>
      </c>
      <c r="G362" t="s">
        <v>194</v>
      </c>
      <c r="H362" t="s">
        <v>110</v>
      </c>
      <c r="I362">
        <v>7</v>
      </c>
      <c r="J362">
        <v>7</v>
      </c>
      <c r="K362">
        <v>8</v>
      </c>
      <c r="L362">
        <v>9</v>
      </c>
      <c r="M362">
        <v>7</v>
      </c>
      <c r="N362">
        <v>10</v>
      </c>
      <c r="O362">
        <v>8</v>
      </c>
      <c r="P362">
        <v>8</v>
      </c>
      <c r="Q362">
        <v>10</v>
      </c>
    </row>
    <row r="363" spans="1:17" x14ac:dyDescent="0.45">
      <c r="A363" s="19">
        <v>46034.895138888889</v>
      </c>
      <c r="B363" t="s">
        <v>72</v>
      </c>
      <c r="C363" t="s">
        <v>189</v>
      </c>
      <c r="D363" t="s">
        <v>74</v>
      </c>
      <c r="E363" t="s">
        <v>77</v>
      </c>
      <c r="F363" t="s">
        <v>100</v>
      </c>
      <c r="G363" t="s">
        <v>104</v>
      </c>
      <c r="H363" t="s">
        <v>110</v>
      </c>
      <c r="I363">
        <v>3</v>
      </c>
      <c r="J363">
        <v>3</v>
      </c>
      <c r="K363">
        <v>5</v>
      </c>
      <c r="L363">
        <v>6</v>
      </c>
      <c r="M363">
        <v>5</v>
      </c>
      <c r="N363">
        <v>6</v>
      </c>
      <c r="O363">
        <v>4</v>
      </c>
      <c r="P363">
        <v>6</v>
      </c>
      <c r="Q363">
        <v>6</v>
      </c>
    </row>
    <row r="364" spans="1:17" x14ac:dyDescent="0.45">
      <c r="A364" s="19">
        <v>46034.9</v>
      </c>
      <c r="B364" t="s">
        <v>78</v>
      </c>
      <c r="C364" t="s">
        <v>81</v>
      </c>
      <c r="D364" t="s">
        <v>74</v>
      </c>
      <c r="E364" t="s">
        <v>77</v>
      </c>
      <c r="F364" t="s">
        <v>100</v>
      </c>
      <c r="G364" t="s">
        <v>101</v>
      </c>
      <c r="H364" t="s">
        <v>102</v>
      </c>
      <c r="I364">
        <v>8</v>
      </c>
      <c r="J364">
        <v>8</v>
      </c>
      <c r="K364">
        <v>5</v>
      </c>
      <c r="L364">
        <v>7</v>
      </c>
      <c r="M364">
        <v>5</v>
      </c>
      <c r="N364">
        <v>8</v>
      </c>
      <c r="O364">
        <v>5</v>
      </c>
      <c r="P364">
        <v>7</v>
      </c>
      <c r="Q364">
        <v>8</v>
      </c>
    </row>
    <row r="365" spans="1:17" x14ac:dyDescent="0.45">
      <c r="A365" s="19">
        <v>46034.900694444441</v>
      </c>
      <c r="B365" t="s">
        <v>78</v>
      </c>
      <c r="C365" t="s">
        <v>73</v>
      </c>
      <c r="D365" t="s">
        <v>74</v>
      </c>
      <c r="E365" t="s">
        <v>77</v>
      </c>
      <c r="F365" t="s">
        <v>100</v>
      </c>
      <c r="G365" t="s">
        <v>196</v>
      </c>
      <c r="H365" t="s">
        <v>102</v>
      </c>
      <c r="I365">
        <v>4</v>
      </c>
      <c r="J365">
        <v>5</v>
      </c>
      <c r="K365">
        <v>5</v>
      </c>
      <c r="L365">
        <v>7</v>
      </c>
      <c r="M365">
        <v>5</v>
      </c>
      <c r="N365">
        <v>7</v>
      </c>
      <c r="O365">
        <v>5</v>
      </c>
      <c r="P365">
        <v>6</v>
      </c>
      <c r="Q365">
        <v>7</v>
      </c>
    </row>
    <row r="366" spans="1:17" x14ac:dyDescent="0.45">
      <c r="A366" s="19">
        <v>46034.901388888888</v>
      </c>
      <c r="B366" t="s">
        <v>72</v>
      </c>
      <c r="C366" t="s">
        <v>81</v>
      </c>
      <c r="D366" t="s">
        <v>74</v>
      </c>
      <c r="E366" t="s">
        <v>77</v>
      </c>
      <c r="F366" t="s">
        <v>100</v>
      </c>
      <c r="G366" t="s">
        <v>109</v>
      </c>
      <c r="H366" t="s">
        <v>110</v>
      </c>
      <c r="I366">
        <v>9</v>
      </c>
      <c r="J366">
        <v>9</v>
      </c>
      <c r="K366">
        <v>8</v>
      </c>
      <c r="L366">
        <v>9</v>
      </c>
      <c r="M366">
        <v>9</v>
      </c>
      <c r="N366">
        <v>7</v>
      </c>
      <c r="O366">
        <v>7</v>
      </c>
      <c r="P366">
        <v>7</v>
      </c>
      <c r="Q366">
        <v>7</v>
      </c>
    </row>
    <row r="367" spans="1:17" x14ac:dyDescent="0.45">
      <c r="A367" s="19">
        <v>46034.90347222222</v>
      </c>
      <c r="B367" t="s">
        <v>78</v>
      </c>
      <c r="C367" t="s">
        <v>73</v>
      </c>
      <c r="D367" t="s">
        <v>74</v>
      </c>
      <c r="E367" t="s">
        <v>75</v>
      </c>
      <c r="F367" t="s">
        <v>100</v>
      </c>
      <c r="G367" t="s">
        <v>111</v>
      </c>
      <c r="H367" t="s">
        <v>102</v>
      </c>
      <c r="I367">
        <v>7</v>
      </c>
      <c r="J367">
        <v>8</v>
      </c>
      <c r="K367">
        <v>8</v>
      </c>
      <c r="L367">
        <v>8</v>
      </c>
      <c r="M367">
        <v>5</v>
      </c>
      <c r="N367">
        <v>6</v>
      </c>
      <c r="O367">
        <v>5</v>
      </c>
      <c r="P367">
        <v>6</v>
      </c>
      <c r="Q367">
        <v>6</v>
      </c>
    </row>
    <row r="368" spans="1:17" x14ac:dyDescent="0.45">
      <c r="A368" s="19">
        <v>46034.904861111114</v>
      </c>
      <c r="B368" t="s">
        <v>72</v>
      </c>
      <c r="C368" t="s">
        <v>189</v>
      </c>
      <c r="D368" t="s">
        <v>74</v>
      </c>
      <c r="E368" t="s">
        <v>77</v>
      </c>
      <c r="F368" t="s">
        <v>100</v>
      </c>
      <c r="G368" t="s">
        <v>104</v>
      </c>
      <c r="H368" t="s">
        <v>110</v>
      </c>
      <c r="I368">
        <v>8</v>
      </c>
      <c r="J368">
        <v>9</v>
      </c>
      <c r="K368">
        <v>8</v>
      </c>
      <c r="L368">
        <v>8</v>
      </c>
      <c r="M368">
        <v>9</v>
      </c>
      <c r="N368">
        <v>10</v>
      </c>
      <c r="O368">
        <v>10</v>
      </c>
      <c r="P368">
        <v>9</v>
      </c>
      <c r="Q368">
        <v>10</v>
      </c>
    </row>
    <row r="369" spans="1:17" x14ac:dyDescent="0.45">
      <c r="A369" s="19">
        <v>46034.904861111114</v>
      </c>
      <c r="B369" t="s">
        <v>72</v>
      </c>
      <c r="C369" t="s">
        <v>81</v>
      </c>
      <c r="D369" t="s">
        <v>74</v>
      </c>
      <c r="E369" t="s">
        <v>75</v>
      </c>
      <c r="F369" t="s">
        <v>100</v>
      </c>
      <c r="G369" t="s">
        <v>101</v>
      </c>
      <c r="H369" t="s">
        <v>105</v>
      </c>
      <c r="I369">
        <v>7</v>
      </c>
      <c r="J369">
        <v>7</v>
      </c>
      <c r="K369">
        <v>8</v>
      </c>
      <c r="L369">
        <v>8</v>
      </c>
      <c r="M369">
        <v>6</v>
      </c>
      <c r="N369">
        <v>8</v>
      </c>
      <c r="O369">
        <v>6</v>
      </c>
      <c r="P369">
        <v>7</v>
      </c>
      <c r="Q369">
        <v>8</v>
      </c>
    </row>
    <row r="370" spans="1:17" x14ac:dyDescent="0.45">
      <c r="A370" s="19">
        <v>46034.907638888886</v>
      </c>
      <c r="B370" t="s">
        <v>78</v>
      </c>
      <c r="C370" t="s">
        <v>81</v>
      </c>
      <c r="D370" t="s">
        <v>74</v>
      </c>
      <c r="E370" t="s">
        <v>77</v>
      </c>
      <c r="F370" t="s">
        <v>100</v>
      </c>
      <c r="G370" t="s">
        <v>104</v>
      </c>
      <c r="H370" t="s">
        <v>110</v>
      </c>
      <c r="I370">
        <v>6</v>
      </c>
      <c r="J370">
        <v>6</v>
      </c>
      <c r="K370">
        <v>8</v>
      </c>
      <c r="L370">
        <v>9</v>
      </c>
      <c r="M370">
        <v>8</v>
      </c>
      <c r="N370">
        <v>8</v>
      </c>
      <c r="O370">
        <v>5</v>
      </c>
      <c r="P370">
        <v>7</v>
      </c>
      <c r="Q370">
        <v>8</v>
      </c>
    </row>
    <row r="371" spans="1:17" x14ac:dyDescent="0.45">
      <c r="A371" s="19">
        <v>46034.908333333333</v>
      </c>
      <c r="B371" t="s">
        <v>78</v>
      </c>
      <c r="C371" t="s">
        <v>189</v>
      </c>
      <c r="D371" t="s">
        <v>74</v>
      </c>
      <c r="E371" t="s">
        <v>77</v>
      </c>
      <c r="F371" t="s">
        <v>100</v>
      </c>
      <c r="G371" t="s">
        <v>196</v>
      </c>
      <c r="H371" t="s">
        <v>110</v>
      </c>
      <c r="I371">
        <v>6</v>
      </c>
      <c r="J371">
        <v>7</v>
      </c>
      <c r="K371">
        <v>7</v>
      </c>
      <c r="L371">
        <v>9</v>
      </c>
      <c r="M371">
        <v>7</v>
      </c>
      <c r="N371">
        <v>9</v>
      </c>
      <c r="O371">
        <v>9</v>
      </c>
      <c r="P371">
        <v>9</v>
      </c>
      <c r="Q371">
        <v>9</v>
      </c>
    </row>
    <row r="372" spans="1:17" x14ac:dyDescent="0.45">
      <c r="A372" s="19">
        <v>46034.90902777778</v>
      </c>
      <c r="B372" t="s">
        <v>78</v>
      </c>
      <c r="C372" t="s">
        <v>79</v>
      </c>
      <c r="D372" t="s">
        <v>74</v>
      </c>
      <c r="E372" t="s">
        <v>75</v>
      </c>
      <c r="F372" t="s">
        <v>100</v>
      </c>
      <c r="G372" t="s">
        <v>111</v>
      </c>
      <c r="H372" t="s">
        <v>106</v>
      </c>
      <c r="I372">
        <v>4</v>
      </c>
      <c r="J372">
        <v>4</v>
      </c>
      <c r="K372">
        <v>5</v>
      </c>
      <c r="L372">
        <v>5</v>
      </c>
      <c r="M372">
        <v>5</v>
      </c>
      <c r="N372">
        <v>4</v>
      </c>
      <c r="O372">
        <v>5</v>
      </c>
      <c r="P372">
        <v>6</v>
      </c>
      <c r="Q372">
        <v>5</v>
      </c>
    </row>
    <row r="373" spans="1:17" x14ac:dyDescent="0.45">
      <c r="A373" s="19">
        <v>46034.909722222219</v>
      </c>
      <c r="B373" t="s">
        <v>72</v>
      </c>
      <c r="C373" t="s">
        <v>73</v>
      </c>
      <c r="D373" t="s">
        <v>74</v>
      </c>
      <c r="E373" t="s">
        <v>77</v>
      </c>
      <c r="F373" t="s">
        <v>100</v>
      </c>
      <c r="G373" t="s">
        <v>109</v>
      </c>
      <c r="H373" t="s">
        <v>105</v>
      </c>
      <c r="I373">
        <v>6</v>
      </c>
      <c r="J373">
        <v>6</v>
      </c>
      <c r="K373">
        <v>8</v>
      </c>
      <c r="L373">
        <v>8</v>
      </c>
      <c r="M373">
        <v>6</v>
      </c>
      <c r="N373">
        <v>7</v>
      </c>
      <c r="O373">
        <v>5</v>
      </c>
      <c r="P373">
        <v>6</v>
      </c>
      <c r="Q373">
        <v>6</v>
      </c>
    </row>
    <row r="374" spans="1:17" x14ac:dyDescent="0.45">
      <c r="A374" s="19">
        <v>46034.910416666666</v>
      </c>
      <c r="B374" t="s">
        <v>72</v>
      </c>
      <c r="C374" t="s">
        <v>73</v>
      </c>
      <c r="D374" t="s">
        <v>74</v>
      </c>
      <c r="E374" t="s">
        <v>77</v>
      </c>
      <c r="F374" t="s">
        <v>100</v>
      </c>
      <c r="G374" t="s">
        <v>107</v>
      </c>
      <c r="H374" t="s">
        <v>105</v>
      </c>
      <c r="I374">
        <v>8</v>
      </c>
      <c r="J374">
        <v>8</v>
      </c>
      <c r="K374">
        <v>9</v>
      </c>
      <c r="L374">
        <v>9</v>
      </c>
      <c r="M374">
        <v>5</v>
      </c>
      <c r="N374">
        <v>5</v>
      </c>
      <c r="O374">
        <v>5</v>
      </c>
      <c r="P374">
        <v>6</v>
      </c>
      <c r="Q374">
        <v>5</v>
      </c>
    </row>
    <row r="375" spans="1:17" x14ac:dyDescent="0.45">
      <c r="A375" s="19">
        <v>46034.940972222219</v>
      </c>
      <c r="B375" t="s">
        <v>72</v>
      </c>
      <c r="C375" t="s">
        <v>73</v>
      </c>
      <c r="D375" t="s">
        <v>74</v>
      </c>
      <c r="E375" t="s">
        <v>77</v>
      </c>
      <c r="F375" t="s">
        <v>100</v>
      </c>
      <c r="G375" t="s">
        <v>109</v>
      </c>
      <c r="H375" t="s">
        <v>102</v>
      </c>
      <c r="I375">
        <v>6</v>
      </c>
      <c r="J375">
        <v>6</v>
      </c>
      <c r="K375">
        <v>7</v>
      </c>
      <c r="L375">
        <v>7</v>
      </c>
      <c r="M375">
        <v>6</v>
      </c>
      <c r="N375">
        <v>6</v>
      </c>
      <c r="O375">
        <v>6</v>
      </c>
      <c r="P375">
        <v>6</v>
      </c>
      <c r="Q375">
        <v>6</v>
      </c>
    </row>
    <row r="376" spans="1:17" x14ac:dyDescent="0.45">
      <c r="A376" s="19">
        <v>46034.96875</v>
      </c>
      <c r="B376" t="s">
        <v>72</v>
      </c>
      <c r="C376" t="s">
        <v>73</v>
      </c>
      <c r="D376" t="s">
        <v>74</v>
      </c>
      <c r="E376" t="s">
        <v>77</v>
      </c>
      <c r="F376" t="s">
        <v>100</v>
      </c>
      <c r="G376" t="s">
        <v>111</v>
      </c>
      <c r="H376" t="s">
        <v>102</v>
      </c>
      <c r="I376">
        <v>8</v>
      </c>
      <c r="J376">
        <v>8</v>
      </c>
      <c r="K376">
        <v>8</v>
      </c>
      <c r="L376">
        <v>8</v>
      </c>
      <c r="M376">
        <v>7</v>
      </c>
      <c r="N376">
        <v>6</v>
      </c>
      <c r="O376">
        <v>6</v>
      </c>
      <c r="P376">
        <v>5</v>
      </c>
      <c r="Q376">
        <v>7</v>
      </c>
    </row>
    <row r="377" spans="1:17" x14ac:dyDescent="0.45">
      <c r="A377" s="19">
        <v>46035.28125</v>
      </c>
      <c r="B377" t="s">
        <v>72</v>
      </c>
      <c r="C377" t="s">
        <v>81</v>
      </c>
      <c r="D377" t="s">
        <v>74</v>
      </c>
      <c r="E377" t="s">
        <v>77</v>
      </c>
      <c r="F377" t="s">
        <v>100</v>
      </c>
      <c r="G377" t="s">
        <v>196</v>
      </c>
      <c r="H377" t="s">
        <v>110</v>
      </c>
      <c r="I377">
        <v>6</v>
      </c>
      <c r="J377">
        <v>6</v>
      </c>
      <c r="K377">
        <v>5</v>
      </c>
      <c r="L377">
        <v>7</v>
      </c>
      <c r="M377">
        <v>6</v>
      </c>
      <c r="N377">
        <v>7</v>
      </c>
      <c r="O377">
        <v>5</v>
      </c>
      <c r="P377">
        <v>6</v>
      </c>
      <c r="Q377">
        <v>7</v>
      </c>
    </row>
    <row r="378" spans="1:17" x14ac:dyDescent="0.45">
      <c r="A378" s="19">
        <v>46035.343055555553</v>
      </c>
      <c r="B378" t="s">
        <v>78</v>
      </c>
      <c r="C378" t="s">
        <v>81</v>
      </c>
      <c r="D378" t="s">
        <v>74</v>
      </c>
      <c r="E378" t="s">
        <v>77</v>
      </c>
      <c r="F378" t="s">
        <v>100</v>
      </c>
      <c r="G378" t="s">
        <v>104</v>
      </c>
      <c r="H378" t="s">
        <v>110</v>
      </c>
      <c r="I378">
        <v>7</v>
      </c>
      <c r="J378">
        <v>8</v>
      </c>
      <c r="K378">
        <v>7</v>
      </c>
      <c r="L378">
        <v>7</v>
      </c>
      <c r="M378">
        <v>8</v>
      </c>
      <c r="N378">
        <v>9</v>
      </c>
      <c r="O378">
        <v>7</v>
      </c>
      <c r="P378">
        <v>7</v>
      </c>
      <c r="Q378">
        <v>8</v>
      </c>
    </row>
    <row r="379" spans="1:17" x14ac:dyDescent="0.45">
      <c r="A379" s="19">
        <v>46035.34375</v>
      </c>
      <c r="B379" t="s">
        <v>72</v>
      </c>
      <c r="C379" t="s">
        <v>189</v>
      </c>
      <c r="D379" t="s">
        <v>74</v>
      </c>
      <c r="E379" t="s">
        <v>77</v>
      </c>
      <c r="F379" t="s">
        <v>100</v>
      </c>
      <c r="G379" t="s">
        <v>196</v>
      </c>
      <c r="H379" t="s">
        <v>110</v>
      </c>
      <c r="I379">
        <v>6</v>
      </c>
      <c r="J379">
        <v>7</v>
      </c>
      <c r="K379">
        <v>5</v>
      </c>
      <c r="L379">
        <v>8</v>
      </c>
      <c r="M379">
        <v>7</v>
      </c>
      <c r="N379">
        <v>7</v>
      </c>
      <c r="O379">
        <v>7</v>
      </c>
      <c r="P379">
        <v>7</v>
      </c>
      <c r="Q379">
        <v>8</v>
      </c>
    </row>
    <row r="380" spans="1:17" x14ac:dyDescent="0.45">
      <c r="A380" s="19">
        <v>46035.345138888886</v>
      </c>
      <c r="B380" t="s">
        <v>72</v>
      </c>
      <c r="C380" t="s">
        <v>189</v>
      </c>
      <c r="D380" t="s">
        <v>74</v>
      </c>
      <c r="E380" t="s">
        <v>77</v>
      </c>
      <c r="F380" t="s">
        <v>100</v>
      </c>
      <c r="G380" t="s">
        <v>104</v>
      </c>
      <c r="H380" t="s">
        <v>110</v>
      </c>
      <c r="I380">
        <v>8</v>
      </c>
      <c r="J380">
        <v>8</v>
      </c>
      <c r="K380">
        <v>9</v>
      </c>
      <c r="L380">
        <v>9</v>
      </c>
      <c r="M380">
        <v>7</v>
      </c>
      <c r="N380">
        <v>9</v>
      </c>
      <c r="O380">
        <v>7</v>
      </c>
      <c r="P380">
        <v>7</v>
      </c>
      <c r="Q380">
        <v>9</v>
      </c>
    </row>
    <row r="381" spans="1:17" x14ac:dyDescent="0.45">
      <c r="A381" s="19">
        <v>46035.354861111111</v>
      </c>
      <c r="B381" t="s">
        <v>78</v>
      </c>
      <c r="C381" t="s">
        <v>189</v>
      </c>
      <c r="D381" t="s">
        <v>74</v>
      </c>
      <c r="E381" t="s">
        <v>77</v>
      </c>
      <c r="F381" t="s">
        <v>100</v>
      </c>
      <c r="G381" t="s">
        <v>196</v>
      </c>
      <c r="H381" t="s">
        <v>110</v>
      </c>
      <c r="I381">
        <v>8</v>
      </c>
      <c r="J381">
        <v>8</v>
      </c>
      <c r="K381">
        <v>5</v>
      </c>
      <c r="L381">
        <v>8</v>
      </c>
      <c r="M381">
        <v>6</v>
      </c>
      <c r="N381">
        <v>9</v>
      </c>
      <c r="O381">
        <v>5</v>
      </c>
      <c r="P381">
        <v>7</v>
      </c>
      <c r="Q381">
        <v>8</v>
      </c>
    </row>
    <row r="382" spans="1:17" x14ac:dyDescent="0.45">
      <c r="A382" s="19">
        <v>46035.370138888888</v>
      </c>
      <c r="B382" t="s">
        <v>78</v>
      </c>
      <c r="C382" t="s">
        <v>189</v>
      </c>
      <c r="D382" t="s">
        <v>74</v>
      </c>
      <c r="E382" t="s">
        <v>190</v>
      </c>
      <c r="F382" t="s">
        <v>100</v>
      </c>
      <c r="G382" t="s">
        <v>104</v>
      </c>
      <c r="H382" t="s">
        <v>110</v>
      </c>
      <c r="I382">
        <v>9</v>
      </c>
      <c r="J382">
        <v>9</v>
      </c>
      <c r="K382">
        <v>8</v>
      </c>
      <c r="L382">
        <v>9</v>
      </c>
      <c r="M382">
        <v>8</v>
      </c>
      <c r="N382">
        <v>10</v>
      </c>
      <c r="O382">
        <v>8</v>
      </c>
      <c r="P382">
        <v>8</v>
      </c>
      <c r="Q382">
        <v>10</v>
      </c>
    </row>
    <row r="383" spans="1:17" x14ac:dyDescent="0.45">
      <c r="A383" s="19">
        <v>46035.370833333334</v>
      </c>
      <c r="B383" t="s">
        <v>72</v>
      </c>
      <c r="C383" t="s">
        <v>189</v>
      </c>
      <c r="D383" t="s">
        <v>74</v>
      </c>
      <c r="E383" t="s">
        <v>77</v>
      </c>
      <c r="F383" t="s">
        <v>100</v>
      </c>
      <c r="G383" t="s">
        <v>196</v>
      </c>
      <c r="H383" t="s">
        <v>102</v>
      </c>
      <c r="I383">
        <v>5</v>
      </c>
      <c r="J383">
        <v>5</v>
      </c>
      <c r="K383">
        <v>4</v>
      </c>
      <c r="L383">
        <v>8</v>
      </c>
      <c r="M383">
        <v>4</v>
      </c>
      <c r="N383">
        <v>8</v>
      </c>
      <c r="O383">
        <v>4</v>
      </c>
      <c r="P383">
        <v>5</v>
      </c>
      <c r="Q383">
        <v>7</v>
      </c>
    </row>
    <row r="384" spans="1:17" x14ac:dyDescent="0.45">
      <c r="A384" s="19">
        <v>46035.371527777781</v>
      </c>
      <c r="B384" t="s">
        <v>78</v>
      </c>
      <c r="C384" t="s">
        <v>191</v>
      </c>
      <c r="D384" t="s">
        <v>74</v>
      </c>
      <c r="E384" t="s">
        <v>75</v>
      </c>
      <c r="F384" t="s">
        <v>100</v>
      </c>
      <c r="G384" t="s">
        <v>107</v>
      </c>
      <c r="H384" t="s">
        <v>105</v>
      </c>
      <c r="I384">
        <v>1</v>
      </c>
      <c r="J384">
        <v>1</v>
      </c>
      <c r="K384">
        <v>4</v>
      </c>
      <c r="L384">
        <v>5</v>
      </c>
      <c r="M384">
        <v>5</v>
      </c>
      <c r="N384">
        <v>4</v>
      </c>
      <c r="O384">
        <v>4</v>
      </c>
      <c r="P384">
        <v>5</v>
      </c>
      <c r="Q384">
        <v>3</v>
      </c>
    </row>
    <row r="385" spans="1:17" x14ac:dyDescent="0.45">
      <c r="A385" s="19">
        <v>46035.388888888891</v>
      </c>
      <c r="B385" t="s">
        <v>78</v>
      </c>
      <c r="C385" t="s">
        <v>189</v>
      </c>
      <c r="D385" t="s">
        <v>74</v>
      </c>
      <c r="E385" t="s">
        <v>77</v>
      </c>
      <c r="F385" t="s">
        <v>100</v>
      </c>
      <c r="G385" t="s">
        <v>194</v>
      </c>
      <c r="H385" t="s">
        <v>110</v>
      </c>
      <c r="I385">
        <v>7</v>
      </c>
      <c r="J385">
        <v>7</v>
      </c>
      <c r="K385">
        <v>7</v>
      </c>
      <c r="L385">
        <v>9</v>
      </c>
      <c r="M385">
        <v>8</v>
      </c>
      <c r="N385">
        <v>10</v>
      </c>
      <c r="O385">
        <v>8</v>
      </c>
      <c r="P385">
        <v>7</v>
      </c>
      <c r="Q385">
        <v>10</v>
      </c>
    </row>
    <row r="386" spans="1:17" x14ac:dyDescent="0.45">
      <c r="A386" s="19">
        <v>46035.40625</v>
      </c>
      <c r="B386" t="s">
        <v>78</v>
      </c>
      <c r="C386" t="s">
        <v>79</v>
      </c>
      <c r="D386" t="s">
        <v>74</v>
      </c>
      <c r="E386" t="s">
        <v>77</v>
      </c>
      <c r="F386" t="s">
        <v>100</v>
      </c>
      <c r="G386" t="s">
        <v>109</v>
      </c>
      <c r="H386" t="s">
        <v>105</v>
      </c>
      <c r="I386">
        <v>3</v>
      </c>
      <c r="J386">
        <v>3</v>
      </c>
      <c r="K386">
        <v>4</v>
      </c>
      <c r="L386">
        <v>6</v>
      </c>
      <c r="M386">
        <v>4</v>
      </c>
      <c r="N386">
        <v>5</v>
      </c>
      <c r="O386">
        <v>4</v>
      </c>
      <c r="P386">
        <v>5</v>
      </c>
      <c r="Q386">
        <v>5</v>
      </c>
    </row>
    <row r="387" spans="1:17" x14ac:dyDescent="0.45">
      <c r="A387" s="19">
        <v>46035.406944444447</v>
      </c>
      <c r="B387" t="s">
        <v>72</v>
      </c>
      <c r="C387" t="s">
        <v>81</v>
      </c>
      <c r="D387" t="s">
        <v>74</v>
      </c>
      <c r="E387" t="s">
        <v>75</v>
      </c>
      <c r="F387" t="s">
        <v>100</v>
      </c>
      <c r="G387" t="s">
        <v>101</v>
      </c>
      <c r="H387" t="s">
        <v>110</v>
      </c>
      <c r="I387">
        <v>8</v>
      </c>
      <c r="J387">
        <v>8</v>
      </c>
      <c r="K387">
        <v>9</v>
      </c>
      <c r="L387">
        <v>8</v>
      </c>
      <c r="M387">
        <v>7</v>
      </c>
      <c r="N387">
        <v>8</v>
      </c>
      <c r="O387">
        <v>7</v>
      </c>
      <c r="P387">
        <v>7</v>
      </c>
      <c r="Q387">
        <v>8</v>
      </c>
    </row>
    <row r="388" spans="1:17" x14ac:dyDescent="0.45">
      <c r="A388" s="19">
        <v>46035.431250000001</v>
      </c>
      <c r="B388" t="s">
        <v>78</v>
      </c>
      <c r="C388" t="s">
        <v>73</v>
      </c>
      <c r="D388" t="s">
        <v>74</v>
      </c>
      <c r="E388" t="s">
        <v>77</v>
      </c>
      <c r="F388" t="s">
        <v>100</v>
      </c>
      <c r="G388" t="s">
        <v>111</v>
      </c>
      <c r="H388" t="s">
        <v>105</v>
      </c>
      <c r="I388">
        <v>5</v>
      </c>
      <c r="J388">
        <v>5</v>
      </c>
      <c r="K388">
        <v>5</v>
      </c>
      <c r="L388">
        <v>5</v>
      </c>
      <c r="M388">
        <v>5</v>
      </c>
      <c r="N388">
        <v>5</v>
      </c>
      <c r="O388">
        <v>5</v>
      </c>
      <c r="P388">
        <v>5</v>
      </c>
      <c r="Q388">
        <v>5</v>
      </c>
    </row>
    <row r="389" spans="1:17" x14ac:dyDescent="0.45">
      <c r="A389" s="19">
        <v>46035.459722222222</v>
      </c>
      <c r="B389" t="s">
        <v>78</v>
      </c>
      <c r="C389" t="s">
        <v>189</v>
      </c>
      <c r="D389" t="s">
        <v>74</v>
      </c>
      <c r="E389" t="s">
        <v>77</v>
      </c>
      <c r="F389" t="s">
        <v>100</v>
      </c>
      <c r="G389" t="s">
        <v>104</v>
      </c>
      <c r="H389" t="s">
        <v>110</v>
      </c>
      <c r="I389">
        <v>7</v>
      </c>
      <c r="J389">
        <v>7</v>
      </c>
      <c r="K389">
        <v>5</v>
      </c>
      <c r="L389">
        <v>8</v>
      </c>
      <c r="M389">
        <v>6</v>
      </c>
      <c r="N389">
        <v>8</v>
      </c>
      <c r="O389">
        <v>5</v>
      </c>
      <c r="P389">
        <v>5</v>
      </c>
      <c r="Q389">
        <v>8</v>
      </c>
    </row>
    <row r="390" spans="1:17" x14ac:dyDescent="0.45">
      <c r="A390" s="19">
        <v>46035.465277777781</v>
      </c>
      <c r="B390" t="s">
        <v>78</v>
      </c>
      <c r="C390" t="s">
        <v>81</v>
      </c>
      <c r="D390" t="s">
        <v>74</v>
      </c>
      <c r="E390" t="s">
        <v>77</v>
      </c>
      <c r="F390" t="s">
        <v>100</v>
      </c>
      <c r="G390" t="s">
        <v>196</v>
      </c>
      <c r="H390" t="s">
        <v>110</v>
      </c>
      <c r="I390">
        <v>6</v>
      </c>
      <c r="J390">
        <v>8</v>
      </c>
      <c r="K390">
        <v>7</v>
      </c>
      <c r="L390">
        <v>8</v>
      </c>
      <c r="M390">
        <v>6</v>
      </c>
      <c r="N390">
        <v>8</v>
      </c>
      <c r="O390">
        <v>5</v>
      </c>
      <c r="P390">
        <v>5</v>
      </c>
      <c r="Q390">
        <v>8</v>
      </c>
    </row>
    <row r="391" spans="1:17" x14ac:dyDescent="0.45">
      <c r="A391" s="19">
        <v>46035.46597222222</v>
      </c>
      <c r="B391" t="s">
        <v>72</v>
      </c>
      <c r="C391" t="s">
        <v>79</v>
      </c>
      <c r="D391" t="s">
        <v>74</v>
      </c>
      <c r="E391" t="s">
        <v>75</v>
      </c>
      <c r="F391" t="s">
        <v>100</v>
      </c>
      <c r="G391" t="s">
        <v>109</v>
      </c>
      <c r="H391" t="s">
        <v>106</v>
      </c>
      <c r="I391">
        <v>10</v>
      </c>
      <c r="J391">
        <v>10</v>
      </c>
      <c r="K391">
        <v>5</v>
      </c>
      <c r="L391">
        <v>9</v>
      </c>
      <c r="M391">
        <v>7</v>
      </c>
      <c r="N391">
        <v>8</v>
      </c>
      <c r="O391">
        <v>5</v>
      </c>
      <c r="P391">
        <v>5</v>
      </c>
      <c r="Q391">
        <v>8</v>
      </c>
    </row>
    <row r="392" spans="1:17" x14ac:dyDescent="0.45">
      <c r="A392" s="19">
        <v>46035.466666666667</v>
      </c>
      <c r="B392" t="s">
        <v>78</v>
      </c>
      <c r="C392" t="s">
        <v>81</v>
      </c>
      <c r="D392" t="s">
        <v>74</v>
      </c>
      <c r="E392" t="s">
        <v>77</v>
      </c>
      <c r="F392" t="s">
        <v>100</v>
      </c>
      <c r="G392" t="s">
        <v>104</v>
      </c>
      <c r="H392" t="s">
        <v>110</v>
      </c>
      <c r="I392">
        <v>4</v>
      </c>
      <c r="J392">
        <v>5</v>
      </c>
      <c r="K392">
        <v>7</v>
      </c>
      <c r="L392">
        <v>7</v>
      </c>
      <c r="M392">
        <v>5</v>
      </c>
      <c r="N392">
        <v>7</v>
      </c>
      <c r="O392">
        <v>5</v>
      </c>
      <c r="P392">
        <v>5</v>
      </c>
      <c r="Q392">
        <v>7</v>
      </c>
    </row>
    <row r="393" spans="1:17" x14ac:dyDescent="0.45">
      <c r="A393" s="19">
        <v>46035.467361111114</v>
      </c>
      <c r="B393" t="s">
        <v>72</v>
      </c>
      <c r="C393" t="s">
        <v>193</v>
      </c>
      <c r="D393" t="s">
        <v>74</v>
      </c>
      <c r="E393" t="s">
        <v>75</v>
      </c>
      <c r="F393" t="s">
        <v>100</v>
      </c>
      <c r="G393" t="s">
        <v>108</v>
      </c>
      <c r="H393" t="s">
        <v>195</v>
      </c>
      <c r="I393">
        <v>2</v>
      </c>
      <c r="J393">
        <v>3</v>
      </c>
      <c r="K393">
        <v>3</v>
      </c>
      <c r="L393">
        <v>6</v>
      </c>
      <c r="M393">
        <v>5</v>
      </c>
      <c r="N393">
        <v>5</v>
      </c>
      <c r="O393">
        <v>5</v>
      </c>
      <c r="P393">
        <v>5</v>
      </c>
      <c r="Q393">
        <v>5</v>
      </c>
    </row>
    <row r="394" spans="1:17" x14ac:dyDescent="0.45">
      <c r="A394" s="19">
        <v>46035.468055555553</v>
      </c>
      <c r="B394" t="s">
        <v>72</v>
      </c>
      <c r="C394" t="s">
        <v>73</v>
      </c>
      <c r="D394" t="s">
        <v>74</v>
      </c>
      <c r="E394" t="s">
        <v>77</v>
      </c>
      <c r="F394" t="s">
        <v>100</v>
      </c>
      <c r="G394" t="s">
        <v>101</v>
      </c>
      <c r="H394" t="s">
        <v>105</v>
      </c>
      <c r="I394">
        <v>7</v>
      </c>
      <c r="J394">
        <v>7</v>
      </c>
      <c r="K394">
        <v>5</v>
      </c>
      <c r="L394">
        <v>8</v>
      </c>
      <c r="M394">
        <v>7</v>
      </c>
      <c r="N394">
        <v>7</v>
      </c>
      <c r="O394">
        <v>5</v>
      </c>
      <c r="P394">
        <v>6</v>
      </c>
      <c r="Q394">
        <v>7</v>
      </c>
    </row>
    <row r="395" spans="1:17" x14ac:dyDescent="0.45">
      <c r="A395" s="19">
        <v>46035.476388888892</v>
      </c>
      <c r="B395" t="s">
        <v>78</v>
      </c>
      <c r="C395" t="s">
        <v>81</v>
      </c>
      <c r="D395" t="s">
        <v>74</v>
      </c>
      <c r="E395" t="s">
        <v>77</v>
      </c>
      <c r="F395" t="s">
        <v>100</v>
      </c>
      <c r="G395" t="s">
        <v>194</v>
      </c>
      <c r="H395" t="s">
        <v>102</v>
      </c>
      <c r="I395">
        <v>9</v>
      </c>
      <c r="J395">
        <v>9</v>
      </c>
      <c r="K395">
        <v>9</v>
      </c>
      <c r="L395">
        <v>7</v>
      </c>
      <c r="M395">
        <v>8</v>
      </c>
      <c r="N395">
        <v>6</v>
      </c>
      <c r="O395">
        <v>8</v>
      </c>
      <c r="P395">
        <v>10</v>
      </c>
      <c r="Q395">
        <v>10</v>
      </c>
    </row>
    <row r="396" spans="1:17" x14ac:dyDescent="0.45">
      <c r="A396" s="19">
        <v>46035.526388888888</v>
      </c>
      <c r="B396" t="s">
        <v>78</v>
      </c>
      <c r="C396" t="s">
        <v>191</v>
      </c>
      <c r="D396" t="s">
        <v>74</v>
      </c>
      <c r="E396" t="s">
        <v>77</v>
      </c>
      <c r="F396" t="s">
        <v>100</v>
      </c>
      <c r="G396" t="s">
        <v>109</v>
      </c>
      <c r="H396" t="s">
        <v>102</v>
      </c>
      <c r="I396">
        <v>7</v>
      </c>
      <c r="J396">
        <v>7</v>
      </c>
      <c r="K396">
        <v>5</v>
      </c>
      <c r="L396">
        <v>7</v>
      </c>
      <c r="M396">
        <v>5</v>
      </c>
      <c r="N396">
        <v>6</v>
      </c>
      <c r="O396">
        <v>5</v>
      </c>
      <c r="P396">
        <v>6</v>
      </c>
      <c r="Q396">
        <v>6</v>
      </c>
    </row>
    <row r="397" spans="1:17" x14ac:dyDescent="0.45">
      <c r="A397" s="19">
        <v>46035.527083333334</v>
      </c>
      <c r="B397" t="s">
        <v>72</v>
      </c>
      <c r="C397" t="s">
        <v>73</v>
      </c>
      <c r="D397" t="s">
        <v>74</v>
      </c>
      <c r="E397" t="s">
        <v>190</v>
      </c>
      <c r="F397" t="s">
        <v>100</v>
      </c>
      <c r="G397" t="s">
        <v>101</v>
      </c>
      <c r="H397" t="s">
        <v>102</v>
      </c>
      <c r="I397">
        <v>2</v>
      </c>
      <c r="J397">
        <v>2</v>
      </c>
      <c r="K397">
        <v>4</v>
      </c>
      <c r="L397">
        <v>5</v>
      </c>
      <c r="M397">
        <v>5</v>
      </c>
      <c r="N397">
        <v>3</v>
      </c>
      <c r="O397">
        <v>5</v>
      </c>
      <c r="P397">
        <v>5</v>
      </c>
      <c r="Q397">
        <v>5</v>
      </c>
    </row>
    <row r="398" spans="1:17" x14ac:dyDescent="0.45">
      <c r="A398" s="19">
        <v>46035.527777777781</v>
      </c>
      <c r="B398" t="s">
        <v>72</v>
      </c>
      <c r="C398" t="s">
        <v>81</v>
      </c>
      <c r="D398" t="s">
        <v>74</v>
      </c>
      <c r="E398" t="s">
        <v>77</v>
      </c>
      <c r="F398" t="s">
        <v>100</v>
      </c>
      <c r="G398" t="s">
        <v>101</v>
      </c>
      <c r="H398" t="s">
        <v>110</v>
      </c>
      <c r="I398">
        <v>8</v>
      </c>
      <c r="J398">
        <v>8</v>
      </c>
      <c r="K398">
        <v>7</v>
      </c>
      <c r="L398">
        <v>7</v>
      </c>
      <c r="M398">
        <v>7</v>
      </c>
      <c r="N398">
        <v>8</v>
      </c>
      <c r="O398">
        <v>7</v>
      </c>
      <c r="P398">
        <v>8</v>
      </c>
      <c r="Q398">
        <v>8</v>
      </c>
    </row>
    <row r="399" spans="1:17" x14ac:dyDescent="0.45">
      <c r="A399" s="19">
        <v>46035.527777777781</v>
      </c>
      <c r="B399" t="s">
        <v>72</v>
      </c>
      <c r="C399" t="s">
        <v>189</v>
      </c>
      <c r="D399" t="s">
        <v>74</v>
      </c>
      <c r="E399" t="s">
        <v>77</v>
      </c>
      <c r="F399" t="s">
        <v>100</v>
      </c>
      <c r="G399" t="s">
        <v>194</v>
      </c>
      <c r="H399" t="s">
        <v>110</v>
      </c>
      <c r="I399">
        <v>9</v>
      </c>
      <c r="J399">
        <v>9</v>
      </c>
      <c r="K399">
        <v>8</v>
      </c>
      <c r="L399">
        <v>9</v>
      </c>
      <c r="M399">
        <v>7</v>
      </c>
      <c r="N399">
        <v>9</v>
      </c>
      <c r="O399">
        <v>8</v>
      </c>
      <c r="P399">
        <v>8</v>
      </c>
      <c r="Q399">
        <v>8</v>
      </c>
    </row>
    <row r="400" spans="1:17" x14ac:dyDescent="0.45">
      <c r="A400" s="19">
        <v>46035.52847222222</v>
      </c>
      <c r="B400" t="s">
        <v>72</v>
      </c>
      <c r="C400" t="s">
        <v>81</v>
      </c>
      <c r="D400" t="s">
        <v>74</v>
      </c>
      <c r="E400" t="s">
        <v>75</v>
      </c>
      <c r="F400" t="s">
        <v>100</v>
      </c>
      <c r="G400" t="s">
        <v>101</v>
      </c>
      <c r="H400" t="s">
        <v>110</v>
      </c>
      <c r="I400">
        <v>7</v>
      </c>
      <c r="J400">
        <v>7</v>
      </c>
      <c r="K400">
        <v>5</v>
      </c>
      <c r="L400">
        <v>8</v>
      </c>
      <c r="M400">
        <v>7</v>
      </c>
      <c r="N400">
        <v>8</v>
      </c>
      <c r="O400">
        <v>6</v>
      </c>
      <c r="P400">
        <v>6</v>
      </c>
      <c r="Q400">
        <v>8</v>
      </c>
    </row>
    <row r="401" spans="1:17" x14ac:dyDescent="0.45">
      <c r="A401" s="19">
        <v>46035.529166666667</v>
      </c>
      <c r="B401" t="s">
        <v>72</v>
      </c>
      <c r="C401" t="s">
        <v>79</v>
      </c>
      <c r="D401" t="s">
        <v>74</v>
      </c>
      <c r="E401" t="s">
        <v>77</v>
      </c>
      <c r="F401" t="s">
        <v>100</v>
      </c>
      <c r="G401" t="s">
        <v>109</v>
      </c>
      <c r="H401" t="s">
        <v>106</v>
      </c>
      <c r="I401">
        <v>8</v>
      </c>
      <c r="J401">
        <v>9</v>
      </c>
      <c r="K401">
        <v>8</v>
      </c>
      <c r="L401">
        <v>8</v>
      </c>
      <c r="M401">
        <v>7</v>
      </c>
      <c r="N401">
        <v>7</v>
      </c>
      <c r="O401">
        <v>7</v>
      </c>
      <c r="P401">
        <v>7</v>
      </c>
      <c r="Q401">
        <v>8</v>
      </c>
    </row>
    <row r="402" spans="1:17" x14ac:dyDescent="0.45">
      <c r="A402" s="19">
        <v>46035.529166666667</v>
      </c>
      <c r="B402" t="s">
        <v>72</v>
      </c>
      <c r="C402" t="s">
        <v>81</v>
      </c>
      <c r="D402" t="s">
        <v>80</v>
      </c>
      <c r="E402" t="s">
        <v>77</v>
      </c>
      <c r="F402" t="s">
        <v>100</v>
      </c>
      <c r="G402" t="s">
        <v>104</v>
      </c>
      <c r="H402" t="s">
        <v>110</v>
      </c>
      <c r="I402">
        <v>4</v>
      </c>
      <c r="J402">
        <v>4</v>
      </c>
      <c r="K402">
        <v>3</v>
      </c>
      <c r="L402">
        <v>5</v>
      </c>
      <c r="M402">
        <v>5</v>
      </c>
      <c r="N402">
        <v>2</v>
      </c>
      <c r="O402">
        <v>2</v>
      </c>
      <c r="P402">
        <v>5</v>
      </c>
      <c r="Q402">
        <v>2</v>
      </c>
    </row>
    <row r="403" spans="1:17" x14ac:dyDescent="0.45">
      <c r="A403" s="19">
        <v>46035.532638888886</v>
      </c>
      <c r="B403" t="s">
        <v>78</v>
      </c>
      <c r="C403" t="s">
        <v>193</v>
      </c>
      <c r="D403" t="s">
        <v>74</v>
      </c>
      <c r="E403" t="s">
        <v>75</v>
      </c>
      <c r="F403" t="s">
        <v>100</v>
      </c>
      <c r="G403" t="s">
        <v>108</v>
      </c>
      <c r="H403" t="s">
        <v>195</v>
      </c>
      <c r="I403">
        <v>7</v>
      </c>
      <c r="J403">
        <v>7</v>
      </c>
      <c r="K403">
        <v>4</v>
      </c>
      <c r="L403">
        <v>6</v>
      </c>
      <c r="M403">
        <v>5</v>
      </c>
      <c r="N403">
        <v>4</v>
      </c>
      <c r="O403">
        <v>5</v>
      </c>
      <c r="P403">
        <v>5</v>
      </c>
      <c r="Q403">
        <v>5</v>
      </c>
    </row>
    <row r="404" spans="1:17" x14ac:dyDescent="0.45">
      <c r="A404" s="19">
        <v>46035.53402777778</v>
      </c>
      <c r="B404" t="s">
        <v>72</v>
      </c>
      <c r="C404" t="s">
        <v>81</v>
      </c>
      <c r="D404" t="s">
        <v>74</v>
      </c>
      <c r="E404" t="s">
        <v>77</v>
      </c>
      <c r="F404" t="s">
        <v>100</v>
      </c>
      <c r="G404" t="s">
        <v>101</v>
      </c>
      <c r="H404" t="s">
        <v>110</v>
      </c>
      <c r="I404">
        <v>7</v>
      </c>
      <c r="J404">
        <v>7</v>
      </c>
      <c r="K404">
        <v>7</v>
      </c>
      <c r="L404">
        <v>7</v>
      </c>
      <c r="M404">
        <v>7</v>
      </c>
      <c r="N404">
        <v>7</v>
      </c>
      <c r="O404">
        <v>7</v>
      </c>
      <c r="P404">
        <v>7</v>
      </c>
      <c r="Q404">
        <v>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E10F7-2B84-40C6-9388-EA08AD4F398E}">
  <dimension ref="A1:BI409"/>
  <sheetViews>
    <sheetView workbookViewId="0">
      <selection activeCell="BE2" sqref="BE2:BE404"/>
    </sheetView>
  </sheetViews>
  <sheetFormatPr defaultRowHeight="14.25" x14ac:dyDescent="0.45"/>
  <cols>
    <col min="7" max="8" width="0" hidden="1" customWidth="1"/>
  </cols>
  <sheetData>
    <row r="1" spans="1:61" s="23" customFormat="1" x14ac:dyDescent="0.45">
      <c r="A1" s="17" t="s">
        <v>37</v>
      </c>
      <c r="B1" s="18" t="s">
        <v>198</v>
      </c>
      <c r="C1" s="18" t="s">
        <v>112</v>
      </c>
      <c r="D1" s="18" t="s">
        <v>113</v>
      </c>
      <c r="E1" s="18" t="s">
        <v>114</v>
      </c>
      <c r="F1" s="18" t="s">
        <v>115</v>
      </c>
      <c r="G1" s="18" t="s">
        <v>116</v>
      </c>
      <c r="H1" s="18" t="s">
        <v>117</v>
      </c>
      <c r="I1" s="18" t="s">
        <v>118</v>
      </c>
      <c r="J1" s="18" t="s">
        <v>119</v>
      </c>
      <c r="K1" s="18" t="s">
        <v>120</v>
      </c>
      <c r="L1" s="18" t="s">
        <v>121</v>
      </c>
      <c r="M1" s="18" t="s">
        <v>122</v>
      </c>
      <c r="N1" s="18" t="s">
        <v>123</v>
      </c>
      <c r="O1" s="18" t="s">
        <v>124</v>
      </c>
      <c r="P1" s="18" t="s">
        <v>125</v>
      </c>
      <c r="Q1" s="21" t="s">
        <v>45</v>
      </c>
      <c r="R1" s="21" t="s">
        <v>127</v>
      </c>
      <c r="S1" s="21" t="s">
        <v>126</v>
      </c>
      <c r="T1" s="21" t="s">
        <v>128</v>
      </c>
      <c r="U1" s="18" t="s">
        <v>129</v>
      </c>
      <c r="V1" s="22" t="s">
        <v>48</v>
      </c>
      <c r="W1" s="22" t="s">
        <v>130</v>
      </c>
      <c r="X1" s="22" t="s">
        <v>131</v>
      </c>
      <c r="Y1" s="22" t="s">
        <v>132</v>
      </c>
      <c r="Z1" s="20" t="s">
        <v>133</v>
      </c>
      <c r="AA1" s="21" t="s">
        <v>51</v>
      </c>
      <c r="AB1" s="21" t="s">
        <v>134</v>
      </c>
      <c r="AC1" s="21" t="s">
        <v>135</v>
      </c>
      <c r="AD1" s="21" t="s">
        <v>136</v>
      </c>
      <c r="AE1" s="18" t="s">
        <v>137</v>
      </c>
      <c r="AF1" s="22" t="s">
        <v>54</v>
      </c>
      <c r="AG1" s="22" t="s">
        <v>138</v>
      </c>
      <c r="AH1" s="22" t="s">
        <v>139</v>
      </c>
      <c r="AI1" s="22" t="s">
        <v>140</v>
      </c>
      <c r="AJ1" s="22" t="s">
        <v>141</v>
      </c>
      <c r="AK1" s="21" t="s">
        <v>57</v>
      </c>
      <c r="AL1" s="21" t="s">
        <v>142</v>
      </c>
      <c r="AM1" s="21" t="s">
        <v>143</v>
      </c>
      <c r="AN1" s="21" t="s">
        <v>144</v>
      </c>
      <c r="AO1" s="21" t="s">
        <v>145</v>
      </c>
      <c r="AP1" s="22" t="s">
        <v>60</v>
      </c>
      <c r="AQ1" s="22" t="s">
        <v>146</v>
      </c>
      <c r="AR1" s="22" t="s">
        <v>147</v>
      </c>
      <c r="AS1" s="22" t="s">
        <v>148</v>
      </c>
      <c r="AT1" s="22" t="s">
        <v>149</v>
      </c>
      <c r="AU1" s="21" t="s">
        <v>63</v>
      </c>
      <c r="AV1" s="21" t="s">
        <v>150</v>
      </c>
      <c r="AW1" s="21" t="s">
        <v>151</v>
      </c>
      <c r="AX1" s="21" t="s">
        <v>152</v>
      </c>
      <c r="AY1" s="21" t="s">
        <v>153</v>
      </c>
      <c r="AZ1" s="22" t="s">
        <v>66</v>
      </c>
      <c r="BA1" s="22" t="s">
        <v>154</v>
      </c>
      <c r="BB1" s="22" t="s">
        <v>155</v>
      </c>
      <c r="BC1" s="22" t="s">
        <v>156</v>
      </c>
      <c r="BD1" s="22" t="s">
        <v>157</v>
      </c>
      <c r="BE1" s="21" t="s">
        <v>69</v>
      </c>
      <c r="BF1" s="21" t="s">
        <v>158</v>
      </c>
      <c r="BG1" s="21" t="s">
        <v>159</v>
      </c>
      <c r="BH1" s="21" t="s">
        <v>160</v>
      </c>
      <c r="BI1" s="21" t="s">
        <v>161</v>
      </c>
    </row>
    <row r="2" spans="1:61" x14ac:dyDescent="0.45">
      <c r="A2" s="30">
        <f>step3_validation[[#This Row],[Persona_ID]]</f>
        <v>1</v>
      </c>
      <c r="B2" s="31">
        <f>step3_validation[[#This Row],[Used_Seed]]</f>
        <v>1</v>
      </c>
      <c r="C2" t="str">
        <f>step3_validation[[#This Row],[Gender]]</f>
        <v>Nữ</v>
      </c>
      <c r="D2" t="str">
        <f>survey_responses[[#This Row],[Giới tính của bạn:]]</f>
        <v>Nữ</v>
      </c>
      <c r="E2" t="str">
        <f>step3_validation[[#This Row],[Age_Group]]</f>
        <v>25 - 29</v>
      </c>
      <c r="F2" t="str">
        <f>survey_responses[[#This Row],[Độ tuổi của bạn:]]</f>
        <v>25 - 29</v>
      </c>
      <c r="G2" t="str">
        <f>step3_validation[[#This Row],[Region]]</f>
        <v>Thành thị</v>
      </c>
      <c r="H2" t="str">
        <f>survey_responses[[#This Row],[Khu vực bạn đang sinh sống:]]</f>
        <v>Thành thị</v>
      </c>
      <c r="I2" t="str">
        <f>step3_validation[[#This Row],[Education]]</f>
        <v>Đại học</v>
      </c>
      <c r="J2" t="str">
        <f>survey_responses[[#This Row],[Trình độ học vấn cao nhất:]]</f>
        <v>Đại học</v>
      </c>
      <c r="K2" t="str">
        <f>step3_validation[[#This Row],[Employment]]</f>
        <v>Chính thức</v>
      </c>
      <c r="L2" t="str">
        <f>survey_responses[[#This Row],[Tình trạng việc làm chính:]]</f>
        <v>Khu vực chính thức (Có Hợp đồng lao động, đóng BHXH)</v>
      </c>
      <c r="M2">
        <f>step3_validation[[#This Row],[Income_Mil]]</f>
        <v>14.559108123501284</v>
      </c>
      <c r="N2" t="str">
        <f>survey_responses[[#This Row],[Thu nhập bình quân tháng theo Hợp đồng lao động của bạn là bao nhiêu? (Vui lòng điền tổng thu nhập trước khi khấu trừ các loại Bảo hiểm (BHXH, BHYT, BHTN) và Thuế TNCN)]]</f>
        <v>Từ 12 - 18 triệu VNĐ</v>
      </c>
      <c r="O2">
        <f>step3_validation[[#This Row],[Dependents]]</f>
        <v>1</v>
      </c>
      <c r="P2" t="str">
        <f>survey_responses[[#This Row],[Số người phụ thuộc (con nhỏ, cha mẹ già...) đủ điều kiện giảm trừ gia cảnh:]]</f>
        <v>1 người</v>
      </c>
      <c r="Q2">
        <f>step3_validation[[#This Row],[AI_ENF1]]</f>
        <v>6</v>
      </c>
      <c r="R2" t="str">
        <f>IF(AND(Q2&gt;=1,Q2&lt;5),"Oppose",IF(AND(Q2&gt;=5,Q2&lt;8),"Neutral",IF(AND(Q2&gt;=8,Q2&lt;=10),"Support","")))</f>
        <v>Neutral</v>
      </c>
      <c r="S2">
        <f>survey_responses[[#This Row],[Tôi tin rằng với các quy định quản lý thuế hiện nay, hành vi gian lận hoặc trốn thuế sẽ dễ dàng bị phát hiện và xử lý nghiêm. - HUMAN-ENF1]]</f>
        <v>10</v>
      </c>
      <c r="T2" t="str">
        <f>IF(AND(S2&gt;=1,S2&lt;5),"Oppose",IF(AND(S2&gt;=5,S2&lt;8),"Neutral",IF(AND(S2&gt;=8,S2&lt;=10),"Support","")))</f>
        <v>Support</v>
      </c>
      <c r="U2" s="32">
        <f>ABS(S2-Q2)</f>
        <v>4</v>
      </c>
      <c r="V2">
        <f>step3_validation[[#This Row],[AI_ENF2]]</f>
        <v>7</v>
      </c>
      <c r="W2" t="str">
        <f>IF(AND(V2&gt;=1,V2&lt;5),"Oppose",IF(AND(V2&gt;=5,V2&lt;8),"Neutral",IF(AND(V2&gt;=8,V2&lt;=10),"Support","")))</f>
        <v>Neutral</v>
      </c>
      <c r="X2">
        <f>survey_responses[[#This Row],[Tôi tin rằng Nhà nước, cơ quan thuế có đủ khả năng và công nghệ để phát hiện, xử lý nghiêm các hành vi trốn thuế. - HUMAN-ENF2]]</f>
        <v>8</v>
      </c>
      <c r="Y2" t="str">
        <f>IF(AND(X2&gt;=1,X2&lt;5),"Oppose",IF(AND(X2&gt;=5,X2&lt;8),"Neutral",IF(AND(X2&gt;=8,X2&lt;=10),"Support","")))</f>
        <v>Support</v>
      </c>
      <c r="Z2" s="32">
        <f>ABS(X2-V2)</f>
        <v>1</v>
      </c>
      <c r="AA2">
        <f>step3_validation[[#This Row],[AI_FAC1]]</f>
        <v>8</v>
      </c>
      <c r="AB2" t="str">
        <f>IF(AND(AA2&gt;=1,AA2&lt;5),"Oppose",IF(AND(AA2&gt;=5,AA2&lt;8),"Neutral",IF(AND(AA2&gt;=8,AA2&lt;=10),"Support","")))</f>
        <v>Support</v>
      </c>
      <c r="AC2">
        <f>survey_responses[[#This Row],[Các thủ tục khai báo thuế VÀ/HOẶC quy trình làm việc với cơ quan thuế đơn giản, tiện lợi, nhanh chóng hơn so với trước đây. - HUMAN-FAC1]]</f>
        <v>5</v>
      </c>
      <c r="AD2" t="str">
        <f>IF(AND(AC2&gt;=1,AC2&lt;5),"Oppose",IF(AND(AC2&gt;=5,AC2&lt;8),"Neutral",IF(AND(AC2&gt;=8,AC2&lt;=10),"Support","")))</f>
        <v>Neutral</v>
      </c>
      <c r="AE2" s="32">
        <f>ABS(AC2-AA2)</f>
        <v>3</v>
      </c>
      <c r="AF2">
        <f>step3_validation[[#This Row],[AI_FAC2]]</f>
        <v>9</v>
      </c>
      <c r="AG2" t="str">
        <f>IF(AND(AF2&gt;=1,AF2&lt;5),"Oppose",IF(AND(AF2&gt;=5,AF2&lt;8),"Neutral",IF(AND(AF2&gt;=8,AF2&lt;=10),"Support","")))</f>
        <v>Support</v>
      </c>
      <c r="AH2">
        <f>survey_responses[[#This Row],[So với trước đây, tôi thấy cách tính thuế và các bậc thuế trong phương án mới đơn giản, dễ hiểu và dễ thực hiện hơn. - HUMAN-FAC2]]</f>
        <v>5</v>
      </c>
      <c r="AI2" t="str">
        <f>IF(AND(AH2&gt;=1,AH2&lt;5),"Oppose",IF(AND(AH2&gt;=5,AH2&lt;8),"Neutral",IF(AND(AH2&gt;=8,AH2&lt;=10),"Support","")))</f>
        <v>Neutral</v>
      </c>
      <c r="AJ2" s="32">
        <f>ABS(AH2-AF2)</f>
        <v>4</v>
      </c>
      <c r="AK2">
        <f>step3_validation[[#This Row],[AI_TRU1]]</f>
        <v>0</v>
      </c>
      <c r="AL2" t="str">
        <f>IF(AND(AK2&gt;=1,AK2&lt;5),"Oppose",IF(AND(AK2&gt;=5,AK2&lt;8),"Neutral",IF(AND(AK2&gt;=8,AK2&lt;=10),"Support","")))</f>
        <v/>
      </c>
      <c r="AM2">
        <f>survey_responses[[#This Row],[Tôi tin rằng Nhà nước, cơ quan thuế sẽ thực thi chính sách mới một cách khách quan, công tâm và đối xử bình đẳng với mọi người nộp thuế.  - HUMAN-TRU1]]</f>
        <v>10</v>
      </c>
      <c r="AN2" t="str">
        <f>IF(AND(AM2&gt;=1,AM2&lt;5),"Oppose",IF(AND(AM2&gt;=5,AM2&lt;8),"Neutral",IF(AND(AM2&gt;=8,AM2&lt;=10),"Support","")))</f>
        <v>Support</v>
      </c>
      <c r="AO2" s="32">
        <f>ABS(AM2-AK2)</f>
        <v>10</v>
      </c>
      <c r="AP2">
        <f>step3_validation[[#This Row],[AI_TRU2]]</f>
        <v>0</v>
      </c>
      <c r="AQ2" t="str">
        <f>IF(AND(AP2&gt;=1,AP2&lt;5),"Oppose",IF(AND(AP2&gt;=5,AP2&lt;8),"Neutral",IF(AND(AP2&gt;=8,AP2&lt;=10),"Support","")))</f>
        <v/>
      </c>
      <c r="AR2">
        <f>survey_responses[[#This Row],[Tôi thấy mức thuế tôi phải đóng theo phương án mới là công bằng (người thu nhập như tôi đóng mức này là hợp lý). - HUMAN-TRU2]]</f>
        <v>10</v>
      </c>
      <c r="AS2" t="str">
        <f>IF(AND(AR2&gt;=1,AR2&lt;5),"Oppose",IF(AND(AR2&gt;=5,AR2&lt;8),"Neutral",IF(AND(AR2&gt;=8,AR2&lt;=10),"Support","")))</f>
        <v>Support</v>
      </c>
      <c r="AT2" s="32">
        <f>ABS(AR2-AP2)</f>
        <v>10</v>
      </c>
      <c r="AU2">
        <f>step3_validation[[#This Row],[AI_TRU3]]</f>
        <v>0</v>
      </c>
      <c r="AV2" t="str">
        <f>IF(AND(AU2&gt;=1,AU2&lt;5),"Oppose",IF(AND(AU2&gt;=5,AU2&lt;8),"Neutral",IF(AND(AU2&gt;=8,AU2&lt;=10),"Support","")))</f>
        <v/>
      </c>
      <c r="AW2">
        <f>survey_responses[[#This Row],[Tôi tin tưởng số tiền thuế tôi đóng sẽ được Nhà nước sử dụng hiệu quả để cải thiện dịch vụ công (y tế, đường xá...). - HUMAN-TRU3]]</f>
        <v>10</v>
      </c>
      <c r="AX2" t="str">
        <f>IF(AND(AW2&gt;=1,AW2&lt;5),"Oppose",IF(AND(AW2&gt;=5,AW2&lt;8),"Neutral",IF(AND(AW2&gt;=8,AW2&lt;=10),"Support","")))</f>
        <v>Support</v>
      </c>
      <c r="AY2" s="32">
        <f>ABS(AW2-AU2)</f>
        <v>10</v>
      </c>
      <c r="AZ2">
        <f>step3_validation[[#This Row],[AI_TRU4]]</f>
        <v>0</v>
      </c>
      <c r="BA2" t="str">
        <f>IF(AND(AZ2&gt;=1,AZ2&lt;5),"Oppose",IF(AND(AZ2&gt;=5,AZ2&lt;8),"Neutral",IF(AND(AZ2&gt;=8,AZ2&lt;=10),"Support","")))</f>
        <v/>
      </c>
      <c r="BB2">
        <f>survey_responses[[#This Row],[Tôi thấy Nhà nước đã giải thích rõ ràng, minh bạch về lý do và mục tiêu của việc sửa đổi thuế lần này. - HUMAN-TRU4]]</f>
        <v>10</v>
      </c>
      <c r="BC2" t="str">
        <f>IF(AND(BB2&gt;=1,BB2&lt;5),"Oppose",IF(AND(BB2&gt;=5,BB2&lt;8),"Neutral",IF(AND(BB2&gt;=8,BB2&lt;=10),"Support","")))</f>
        <v>Support</v>
      </c>
      <c r="BD2" s="32">
        <f>ABS(BB2-AZ2)</f>
        <v>10</v>
      </c>
      <c r="BE2">
        <f>step3_validation[[#This Row],[AI_OUT1]]</f>
        <v>0</v>
      </c>
      <c r="BF2" t="str">
        <f>IF(AND(BE2&gt;=1,BE2&lt;5),"Oppose",IF(AND(BE2&gt;=5,BE2&lt;8),"Neutral",IF(AND(BE2&gt;=8,BE2&lt;=10),"Support","")))</f>
        <v/>
      </c>
      <c r="BG2">
        <f>survey_responses[[#This Row],[Sau khi xem xét các quyền lợi và nghĩa vụ, bạn có ủng hộ và tuân thủ chính sách mới hiện nay? - HUMAN-OUT1]]</f>
        <v>10</v>
      </c>
      <c r="BH2" t="str">
        <f>IF(AND(BG2&gt;=1,BG2&lt;5),"Oppose",IF(AND(BG2&gt;=5,BG2&lt;8),"Neutral",IF(AND(BG2&gt;=8,BG2&lt;=10),"Support","")))</f>
        <v>Support</v>
      </c>
      <c r="BI2" s="32">
        <f>ABS(BG2-BE2)</f>
        <v>10</v>
      </c>
    </row>
    <row r="3" spans="1:61" x14ac:dyDescent="0.45">
      <c r="A3" s="30">
        <f>step3_validation[[#This Row],[Persona_ID]]</f>
        <v>2</v>
      </c>
      <c r="B3" s="31">
        <f>step3_validation[[#This Row],[Used_Seed]]</f>
        <v>2</v>
      </c>
      <c r="C3" t="str">
        <f>step3_validation[[#This Row],[Gender]]</f>
        <v>Nữ</v>
      </c>
      <c r="D3" t="str">
        <f>survey_responses[[#This Row],[Giới tính của bạn:]]</f>
        <v>Nữ</v>
      </c>
      <c r="E3" t="str">
        <f>step3_validation[[#This Row],[Age_Group]]</f>
        <v>25 - 29</v>
      </c>
      <c r="F3" t="str">
        <f>survey_responses[[#This Row],[Độ tuổi của bạn:]]</f>
        <v>25 - 29</v>
      </c>
      <c r="G3" t="str">
        <f>step3_validation[[#This Row],[Region]]</f>
        <v>Thành thị</v>
      </c>
      <c r="H3" t="str">
        <f>survey_responses[[#This Row],[Khu vực bạn đang sinh sống:]]</f>
        <v>Thành thị</v>
      </c>
      <c r="I3" t="str">
        <f>step3_validation[[#This Row],[Education]]</f>
        <v>Đại học</v>
      </c>
      <c r="J3" t="str">
        <f>survey_responses[[#This Row],[Trình độ học vấn cao nhất:]]</f>
        <v>Đại học</v>
      </c>
      <c r="K3" t="str">
        <f>step3_validation[[#This Row],[Employment]]</f>
        <v>Chính thức</v>
      </c>
      <c r="L3" t="str">
        <f>survey_responses[[#This Row],[Tình trạng việc làm chính:]]</f>
        <v>Khu vực chính thức (Có Hợp đồng lao động, đóng BHXH)</v>
      </c>
      <c r="M3">
        <f>step3_validation[[#This Row],[Income_Mil]]</f>
        <v>13.308060671246581</v>
      </c>
      <c r="N3" t="str">
        <f>survey_responses[[#This Row],[Thu nhập bình quân tháng theo Hợp đồng lao động của bạn là bao nhiêu? (Vui lòng điền tổng thu nhập trước khi khấu trừ các loại Bảo hiểm (BHXH, BHYT, BHTN) và Thuế TNCN)]]</f>
        <v>Từ 12 - 18 triệu VNĐ</v>
      </c>
      <c r="O3">
        <f>step3_validation[[#This Row],[Dependents]]</f>
        <v>0</v>
      </c>
      <c r="P3" t="str">
        <f>survey_responses[[#This Row],[Số người phụ thuộc (con nhỏ, cha mẹ già...) đủ điều kiện giảm trừ gia cảnh:]]</f>
        <v>0 người</v>
      </c>
      <c r="Q3">
        <f>step3_validation[[#This Row],[AI_ENF1]]</f>
        <v>7</v>
      </c>
      <c r="R3" t="str">
        <f t="shared" ref="R3:R66" si="0">IF(AND(Q3&gt;=1,Q3&lt;5),"Oppose",IF(AND(Q3&gt;=5,Q3&lt;8),"Neutral",IF(AND(Q3&gt;=8,Q3&lt;=10),"Support","")))</f>
        <v>Neutral</v>
      </c>
      <c r="S3">
        <f>survey_responses[[#This Row],[Tôi tin rằng với các quy định quản lý thuế hiện nay, hành vi gian lận hoặc trốn thuế sẽ dễ dàng bị phát hiện và xử lý nghiêm. - HUMAN-ENF1]]</f>
        <v>8</v>
      </c>
      <c r="T3" t="str">
        <f t="shared" ref="T3:T66" si="1">IF(AND(S3&gt;=1,S3&lt;5),"Oppose",IF(AND(S3&gt;=5,S3&lt;8),"Neutral",IF(AND(S3&gt;=8,S3&lt;=10),"Support","")))</f>
        <v>Support</v>
      </c>
      <c r="U3" s="32">
        <f t="shared" ref="U3:U66" si="2">ABS(S3-Q3)</f>
        <v>1</v>
      </c>
      <c r="V3">
        <f>step3_validation[[#This Row],[AI_ENF2]]</f>
        <v>8</v>
      </c>
      <c r="W3" t="str">
        <f t="shared" ref="W3:W66" si="3">IF(AND(V3&gt;=1,V3&lt;5),"Oppose",IF(AND(V3&gt;=5,V3&lt;8),"Neutral",IF(AND(V3&gt;=8,V3&lt;=10),"Support","")))</f>
        <v>Support</v>
      </c>
      <c r="X3">
        <f>survey_responses[[#This Row],[Tôi tin rằng Nhà nước, cơ quan thuế có đủ khả năng và công nghệ để phát hiện, xử lý nghiêm các hành vi trốn thuế. - HUMAN-ENF2]]</f>
        <v>8</v>
      </c>
      <c r="Y3" t="str">
        <f t="shared" ref="Y3:Y66" si="4">IF(AND(X3&gt;=1,X3&lt;5),"Oppose",IF(AND(X3&gt;=5,X3&lt;8),"Neutral",IF(AND(X3&gt;=8,X3&lt;=10),"Support","")))</f>
        <v>Support</v>
      </c>
      <c r="Z3" s="32">
        <f t="shared" ref="Z3:Z66" si="5">ABS(X3-V3)</f>
        <v>0</v>
      </c>
      <c r="AA3">
        <f>step3_validation[[#This Row],[AI_FAC1]]</f>
        <v>9</v>
      </c>
      <c r="AB3" t="str">
        <f t="shared" ref="AB3:AB66" si="6">IF(AND(AA3&gt;=1,AA3&lt;5),"Oppose",IF(AND(AA3&gt;=5,AA3&lt;8),"Neutral",IF(AND(AA3&gt;=8,AA3&lt;=10),"Support","")))</f>
        <v>Support</v>
      </c>
      <c r="AC3">
        <f>survey_responses[[#This Row],[Các thủ tục khai báo thuế VÀ/HOẶC quy trình làm việc với cơ quan thuế đơn giản, tiện lợi, nhanh chóng hơn so với trước đây. - HUMAN-FAC1]]</f>
        <v>6</v>
      </c>
      <c r="AD3" t="str">
        <f t="shared" ref="AD3:AD66" si="7">IF(AND(AC3&gt;=1,AC3&lt;5),"Oppose",IF(AND(AC3&gt;=5,AC3&lt;8),"Neutral",IF(AND(AC3&gt;=8,AC3&lt;=10),"Support","")))</f>
        <v>Neutral</v>
      </c>
      <c r="AE3" s="32">
        <f t="shared" ref="AE3:AE66" si="8">ABS(AC3-AA3)</f>
        <v>3</v>
      </c>
      <c r="AF3">
        <f>step3_validation[[#This Row],[AI_FAC2]]</f>
        <v>10</v>
      </c>
      <c r="AG3" t="str">
        <f t="shared" ref="AG3:AG66" si="9">IF(AND(AF3&gt;=1,AF3&lt;5),"Oppose",IF(AND(AF3&gt;=5,AF3&lt;8),"Neutral",IF(AND(AF3&gt;=8,AF3&lt;=10),"Support","")))</f>
        <v>Support</v>
      </c>
      <c r="AH3">
        <f>survey_responses[[#This Row],[So với trước đây, tôi thấy cách tính thuế và các bậc thuế trong phương án mới đơn giản, dễ hiểu và dễ thực hiện hơn. - HUMAN-FAC2]]</f>
        <v>9</v>
      </c>
      <c r="AI3" t="str">
        <f t="shared" ref="AI3:AI66" si="10">IF(AND(AH3&gt;=1,AH3&lt;5),"Oppose",IF(AND(AH3&gt;=5,AH3&lt;8),"Neutral",IF(AND(AH3&gt;=8,AH3&lt;=10),"Support","")))</f>
        <v>Support</v>
      </c>
      <c r="AJ3" s="32">
        <f t="shared" ref="AJ3:AJ66" si="11">ABS(AH3-AF3)</f>
        <v>1</v>
      </c>
      <c r="AK3">
        <f>step3_validation[[#This Row],[AI_TRU1]]</f>
        <v>9</v>
      </c>
      <c r="AL3" t="str">
        <f t="shared" ref="AL3:AL66" si="12">IF(AND(AK3&gt;=1,AK3&lt;5),"Oppose",IF(AND(AK3&gt;=5,AK3&lt;8),"Neutral",IF(AND(AK3&gt;=8,AK3&lt;=10),"Support","")))</f>
        <v>Support</v>
      </c>
      <c r="AM3">
        <f>survey_responses[[#This Row],[Tôi tin rằng Nhà nước, cơ quan thuế sẽ thực thi chính sách mới một cách khách quan, công tâm và đối xử bình đẳng với mọi người nộp thuế.  - HUMAN-TRU1]]</f>
        <v>10</v>
      </c>
      <c r="AN3" t="str">
        <f t="shared" ref="AN3:AN66" si="13">IF(AND(AM3&gt;=1,AM3&lt;5),"Oppose",IF(AND(AM3&gt;=5,AM3&lt;8),"Neutral",IF(AND(AM3&gt;=8,AM3&lt;=10),"Support","")))</f>
        <v>Support</v>
      </c>
      <c r="AO3" s="32">
        <f t="shared" ref="AO3:AO66" si="14">ABS(AM3-AK3)</f>
        <v>1</v>
      </c>
      <c r="AP3">
        <f>step3_validation[[#This Row],[AI_TRU2]]</f>
        <v>8</v>
      </c>
      <c r="AQ3" t="str">
        <f t="shared" ref="AQ3:AQ66" si="15">IF(AND(AP3&gt;=1,AP3&lt;5),"Oppose",IF(AND(AP3&gt;=5,AP3&lt;8),"Neutral",IF(AND(AP3&gt;=8,AP3&lt;=10),"Support","")))</f>
        <v>Support</v>
      </c>
      <c r="AR3">
        <f>survey_responses[[#This Row],[Tôi thấy mức thuế tôi phải đóng theo phương án mới là công bằng (người thu nhập như tôi đóng mức này là hợp lý). - HUMAN-TRU2]]</f>
        <v>9</v>
      </c>
      <c r="AS3" t="str">
        <f t="shared" ref="AS3:AS66" si="16">IF(AND(AR3&gt;=1,AR3&lt;5),"Oppose",IF(AND(AR3&gt;=5,AR3&lt;8),"Neutral",IF(AND(AR3&gt;=8,AR3&lt;=10),"Support","")))</f>
        <v>Support</v>
      </c>
      <c r="AT3" s="32">
        <f t="shared" ref="AT3:AT66" si="17">ABS(AR3-AP3)</f>
        <v>1</v>
      </c>
      <c r="AU3">
        <f>step3_validation[[#This Row],[AI_TRU3]]</f>
        <v>9</v>
      </c>
      <c r="AV3" t="str">
        <f t="shared" ref="AV3:AV66" si="18">IF(AND(AU3&gt;=1,AU3&lt;5),"Oppose",IF(AND(AU3&gt;=5,AU3&lt;8),"Neutral",IF(AND(AU3&gt;=8,AU3&lt;=10),"Support","")))</f>
        <v>Support</v>
      </c>
      <c r="AW3">
        <f>survey_responses[[#This Row],[Tôi tin tưởng số tiền thuế tôi đóng sẽ được Nhà nước sử dụng hiệu quả để cải thiện dịch vụ công (y tế, đường xá...). - HUMAN-TRU3]]</f>
        <v>8</v>
      </c>
      <c r="AX3" t="str">
        <f t="shared" ref="AX3:AX66" si="19">IF(AND(AW3&gt;=1,AW3&lt;5),"Oppose",IF(AND(AW3&gt;=5,AW3&lt;8),"Neutral",IF(AND(AW3&gt;=8,AW3&lt;=10),"Support","")))</f>
        <v>Support</v>
      </c>
      <c r="AY3" s="32">
        <f t="shared" ref="AY3:AY66" si="20">ABS(AW3-AU3)</f>
        <v>1</v>
      </c>
      <c r="AZ3">
        <f>step3_validation[[#This Row],[AI_TRU4]]</f>
        <v>8</v>
      </c>
      <c r="BA3" t="str">
        <f t="shared" ref="BA3:BA66" si="21">IF(AND(AZ3&gt;=1,AZ3&lt;5),"Oppose",IF(AND(AZ3&gt;=5,AZ3&lt;8),"Neutral",IF(AND(AZ3&gt;=8,AZ3&lt;=10),"Support","")))</f>
        <v>Support</v>
      </c>
      <c r="BB3">
        <f>survey_responses[[#This Row],[Tôi thấy Nhà nước đã giải thích rõ ràng, minh bạch về lý do và mục tiêu của việc sửa đổi thuế lần này. - HUMAN-TRU4]]</f>
        <v>9</v>
      </c>
      <c r="BC3" t="str">
        <f t="shared" ref="BC3:BC66" si="22">IF(AND(BB3&gt;=1,BB3&lt;5),"Oppose",IF(AND(BB3&gt;=5,BB3&lt;8),"Neutral",IF(AND(BB3&gt;=8,BB3&lt;=10),"Support","")))</f>
        <v>Support</v>
      </c>
      <c r="BD3" s="32">
        <f t="shared" ref="BD3:BD66" si="23">ABS(BB3-AZ3)</f>
        <v>1</v>
      </c>
      <c r="BE3">
        <f>step3_validation[[#This Row],[AI_OUT1]]</f>
        <v>9</v>
      </c>
      <c r="BF3" t="str">
        <f t="shared" ref="BF3:BF66" si="24">IF(AND(BE3&gt;=1,BE3&lt;5),"Oppose",IF(AND(BE3&gt;=5,BE3&lt;8),"Neutral",IF(AND(BE3&gt;=8,BE3&lt;=10),"Support","")))</f>
        <v>Support</v>
      </c>
      <c r="BG3">
        <f>survey_responses[[#This Row],[Sau khi xem xét các quyền lợi và nghĩa vụ, bạn có ủng hộ và tuân thủ chính sách mới hiện nay? - HUMAN-OUT1]]</f>
        <v>10</v>
      </c>
      <c r="BH3" t="str">
        <f t="shared" ref="BH3:BH66" si="25">IF(AND(BG3&gt;=1,BG3&lt;5),"Oppose",IF(AND(BG3&gt;=5,BG3&lt;8),"Neutral",IF(AND(BG3&gt;=8,BG3&lt;=10),"Support","")))</f>
        <v>Support</v>
      </c>
      <c r="BI3" s="32">
        <f t="shared" ref="BI3:BI66" si="26">ABS(BG3-BE3)</f>
        <v>1</v>
      </c>
    </row>
    <row r="4" spans="1:61" x14ac:dyDescent="0.45">
      <c r="A4" s="30">
        <f>step3_validation[[#This Row],[Persona_ID]]</f>
        <v>3</v>
      </c>
      <c r="B4" s="31">
        <f>step3_validation[[#This Row],[Used_Seed]]</f>
        <v>3</v>
      </c>
      <c r="C4" t="str">
        <f>step3_validation[[#This Row],[Gender]]</f>
        <v>Nam</v>
      </c>
      <c r="D4" t="str">
        <f>survey_responses[[#This Row],[Giới tính của bạn:]]</f>
        <v>Nam</v>
      </c>
      <c r="E4" t="str">
        <f>step3_validation[[#This Row],[Age_Group]]</f>
        <v>40 - 49</v>
      </c>
      <c r="F4" t="str">
        <f>survey_responses[[#This Row],[Độ tuổi của bạn:]]</f>
        <v>40 - 49</v>
      </c>
      <c r="G4" t="str">
        <f>step3_validation[[#This Row],[Region]]</f>
        <v>Thành thị</v>
      </c>
      <c r="H4" t="str">
        <f>survey_responses[[#This Row],[Khu vực bạn đang sinh sống:]]</f>
        <v>Thành thị</v>
      </c>
      <c r="I4" t="str">
        <f>step3_validation[[#This Row],[Education]]</f>
        <v>Sau Đại học</v>
      </c>
      <c r="J4" t="str">
        <f>survey_responses[[#This Row],[Trình độ học vấn cao nhất:]]</f>
        <v>Sau Đại học</v>
      </c>
      <c r="K4" t="str">
        <f>step3_validation[[#This Row],[Employment]]</f>
        <v>Chính thức</v>
      </c>
      <c r="L4" t="str">
        <f>survey_responses[[#This Row],[Tình trạng việc làm chính:]]</f>
        <v>Khu vực chính thức (Có Hợp đồng lao động, đóng BHXH)</v>
      </c>
      <c r="M4">
        <f>step3_validation[[#This Row],[Income_Mil]]</f>
        <v>49.798632510016112</v>
      </c>
      <c r="N4" t="str">
        <f>survey_responses[[#This Row],[Thu nhập bình quân tháng theo Hợp đồng lao động của bạn là bao nhiêu? (Vui lòng điền tổng thu nhập trước khi khấu trừ các loại Bảo hiểm (BHXH, BHYT, BHTN) và Thuế TNCN)]]</f>
        <v>Từ 48 - 70 triệu VNĐ</v>
      </c>
      <c r="O4">
        <f>step3_validation[[#This Row],[Dependents]]</f>
        <v>3</v>
      </c>
      <c r="P4" t="str">
        <f>survey_responses[[#This Row],[Số người phụ thuộc (con nhỏ, cha mẹ già...) đủ điều kiện giảm trừ gia cảnh:]]</f>
        <v>3 người</v>
      </c>
      <c r="Q4">
        <f>step3_validation[[#This Row],[AI_ENF1]]</f>
        <v>8</v>
      </c>
      <c r="R4" t="str">
        <f t="shared" si="0"/>
        <v>Support</v>
      </c>
      <c r="S4">
        <f>survey_responses[[#This Row],[Tôi tin rằng với các quy định quản lý thuế hiện nay, hành vi gian lận hoặc trốn thuế sẽ dễ dàng bị phát hiện và xử lý nghiêm. - HUMAN-ENF1]]</f>
        <v>6</v>
      </c>
      <c r="T4" t="str">
        <f t="shared" si="1"/>
        <v>Neutral</v>
      </c>
      <c r="U4" s="32">
        <f t="shared" si="2"/>
        <v>2</v>
      </c>
      <c r="V4">
        <f>step3_validation[[#This Row],[AI_ENF2]]</f>
        <v>9</v>
      </c>
      <c r="W4" t="str">
        <f t="shared" si="3"/>
        <v>Support</v>
      </c>
      <c r="X4">
        <f>survey_responses[[#This Row],[Tôi tin rằng Nhà nước, cơ quan thuế có đủ khả năng và công nghệ để phát hiện, xử lý nghiêm các hành vi trốn thuế. - HUMAN-ENF2]]</f>
        <v>5</v>
      </c>
      <c r="Y4" t="str">
        <f t="shared" si="4"/>
        <v>Neutral</v>
      </c>
      <c r="Z4" s="32">
        <f t="shared" si="5"/>
        <v>4</v>
      </c>
      <c r="AA4">
        <f>step3_validation[[#This Row],[AI_FAC1]]</f>
        <v>7</v>
      </c>
      <c r="AB4" t="str">
        <f t="shared" si="6"/>
        <v>Neutral</v>
      </c>
      <c r="AC4">
        <f>survey_responses[[#This Row],[Các thủ tục khai báo thuế VÀ/HOẶC quy trình làm việc với cơ quan thuế đơn giản, tiện lợi, nhanh chóng hơn so với trước đây. - HUMAN-FAC1]]</f>
        <v>4</v>
      </c>
      <c r="AD4" t="str">
        <f t="shared" si="7"/>
        <v>Oppose</v>
      </c>
      <c r="AE4" s="32">
        <f t="shared" si="8"/>
        <v>3</v>
      </c>
      <c r="AF4">
        <f>step3_validation[[#This Row],[AI_FAC2]]</f>
        <v>8</v>
      </c>
      <c r="AG4" t="str">
        <f t="shared" si="9"/>
        <v>Support</v>
      </c>
      <c r="AH4">
        <f>survey_responses[[#This Row],[So với trước đây, tôi thấy cách tính thuế và các bậc thuế trong phương án mới đơn giản, dễ hiểu và dễ thực hiện hơn. - HUMAN-FAC2]]</f>
        <v>5</v>
      </c>
      <c r="AI4" t="str">
        <f t="shared" si="10"/>
        <v>Neutral</v>
      </c>
      <c r="AJ4" s="32">
        <f t="shared" si="11"/>
        <v>3</v>
      </c>
      <c r="AK4">
        <f>step3_validation[[#This Row],[AI_TRU1]]</f>
        <v>9</v>
      </c>
      <c r="AL4" t="str">
        <f t="shared" si="12"/>
        <v>Support</v>
      </c>
      <c r="AM4">
        <f>survey_responses[[#This Row],[Tôi tin rằng Nhà nước, cơ quan thuế sẽ thực thi chính sách mới một cách khách quan, công tâm và đối xử bình đẳng với mọi người nộp thuế.  - HUMAN-TRU1]]</f>
        <v>4</v>
      </c>
      <c r="AN4" t="str">
        <f t="shared" si="13"/>
        <v>Oppose</v>
      </c>
      <c r="AO4" s="32">
        <f t="shared" si="14"/>
        <v>5</v>
      </c>
      <c r="AP4">
        <f>step3_validation[[#This Row],[AI_TRU2]]</f>
        <v>9</v>
      </c>
      <c r="AQ4" t="str">
        <f t="shared" si="15"/>
        <v>Support</v>
      </c>
      <c r="AR4">
        <f>survey_responses[[#This Row],[Tôi thấy mức thuế tôi phải đóng theo phương án mới là công bằng (người thu nhập như tôi đóng mức này là hợp lý). - HUMAN-TRU2]]</f>
        <v>4</v>
      </c>
      <c r="AS4" t="str">
        <f t="shared" si="16"/>
        <v>Oppose</v>
      </c>
      <c r="AT4" s="32">
        <f t="shared" si="17"/>
        <v>5</v>
      </c>
      <c r="AU4">
        <f>step3_validation[[#This Row],[AI_TRU3]]</f>
        <v>8</v>
      </c>
      <c r="AV4" t="str">
        <f t="shared" si="18"/>
        <v>Support</v>
      </c>
      <c r="AW4">
        <f>survey_responses[[#This Row],[Tôi tin tưởng số tiền thuế tôi đóng sẽ được Nhà nước sử dụng hiệu quả để cải thiện dịch vụ công (y tế, đường xá...). - HUMAN-TRU3]]</f>
        <v>4</v>
      </c>
      <c r="AX4" t="str">
        <f t="shared" si="19"/>
        <v>Oppose</v>
      </c>
      <c r="AY4" s="32">
        <f t="shared" si="20"/>
        <v>4</v>
      </c>
      <c r="AZ4">
        <f>step3_validation[[#This Row],[AI_TRU4]]</f>
        <v>7</v>
      </c>
      <c r="BA4" t="str">
        <f t="shared" si="21"/>
        <v>Neutral</v>
      </c>
      <c r="BB4">
        <f>survey_responses[[#This Row],[Tôi thấy Nhà nước đã giải thích rõ ràng, minh bạch về lý do và mục tiêu của việc sửa đổi thuế lần này. - HUMAN-TRU4]]</f>
        <v>10</v>
      </c>
      <c r="BC4" t="str">
        <f t="shared" si="22"/>
        <v>Support</v>
      </c>
      <c r="BD4" s="32">
        <f t="shared" si="23"/>
        <v>3</v>
      </c>
      <c r="BE4">
        <f>step3_validation[[#This Row],[AI_OUT1]]</f>
        <v>9</v>
      </c>
      <c r="BF4" t="str">
        <f t="shared" si="24"/>
        <v>Support</v>
      </c>
      <c r="BG4">
        <f>survey_responses[[#This Row],[Sau khi xem xét các quyền lợi và nghĩa vụ, bạn có ủng hộ và tuân thủ chính sách mới hiện nay? - HUMAN-OUT1]]</f>
        <v>4</v>
      </c>
      <c r="BH4" t="str">
        <f t="shared" si="25"/>
        <v>Oppose</v>
      </c>
      <c r="BI4" s="32">
        <f t="shared" si="26"/>
        <v>5</v>
      </c>
    </row>
    <row r="5" spans="1:61" x14ac:dyDescent="0.45">
      <c r="A5" s="30">
        <f>step3_validation[[#This Row],[Persona_ID]]</f>
        <v>4</v>
      </c>
      <c r="B5" s="31">
        <f>step3_validation[[#This Row],[Used_Seed]]</f>
        <v>4</v>
      </c>
      <c r="C5" t="str">
        <f>step3_validation[[#This Row],[Gender]]</f>
        <v>Nữ</v>
      </c>
      <c r="D5" t="str">
        <f>survey_responses[[#This Row],[Giới tính của bạn:]]</f>
        <v>Nữ</v>
      </c>
      <c r="E5" t="str">
        <f>step3_validation[[#This Row],[Age_Group]]</f>
        <v>18 - 24</v>
      </c>
      <c r="F5" t="str">
        <f>survey_responses[[#This Row],[Độ tuổi của bạn:]]</f>
        <v>18 - 24</v>
      </c>
      <c r="G5" t="str">
        <f>step3_validation[[#This Row],[Region]]</f>
        <v>Thành thị</v>
      </c>
      <c r="H5" t="str">
        <f>survey_responses[[#This Row],[Khu vực bạn đang sinh sống:]]</f>
        <v>Thành thị</v>
      </c>
      <c r="I5" t="str">
        <f>step3_validation[[#This Row],[Education]]</f>
        <v>Đại học</v>
      </c>
      <c r="J5" t="str">
        <f>survey_responses[[#This Row],[Trình độ học vấn cao nhất:]]</f>
        <v>Đại học</v>
      </c>
      <c r="K5" t="str">
        <f>step3_validation[[#This Row],[Employment]]</f>
        <v>Chính thức</v>
      </c>
      <c r="L5" t="str">
        <f>survey_responses[[#This Row],[Tình trạng việc làm chính:]]</f>
        <v>Khu vực chính thức (Có Hợp đồng lao động, đóng BHXH)</v>
      </c>
      <c r="M5">
        <f>step3_validation[[#This Row],[Income_Mil]]</f>
        <v>12</v>
      </c>
      <c r="N5" t="str">
        <f>survey_responses[[#This Row],[Thu nhập bình quân tháng theo Hợp đồng lao động của bạn là bao nhiêu? (Vui lòng điền tổng thu nhập trước khi khấu trừ các loại Bảo hiểm (BHXH, BHYT, BHTN) và Thuế TNCN)]]</f>
        <v>Dưới 12 triệu VNĐ</v>
      </c>
      <c r="O5">
        <f>step3_validation[[#This Row],[Dependents]]</f>
        <v>0</v>
      </c>
      <c r="P5" t="str">
        <f>survey_responses[[#This Row],[Số người phụ thuộc (con nhỏ, cha mẹ già...) đủ điều kiện giảm trừ gia cảnh:]]</f>
        <v>0 người</v>
      </c>
      <c r="Q5">
        <f>step3_validation[[#This Row],[AI_ENF1]]</f>
        <v>7</v>
      </c>
      <c r="R5" t="str">
        <f t="shared" si="0"/>
        <v>Neutral</v>
      </c>
      <c r="S5">
        <f>survey_responses[[#This Row],[Tôi tin rằng với các quy định quản lý thuế hiện nay, hành vi gian lận hoặc trốn thuế sẽ dễ dàng bị phát hiện và xử lý nghiêm. - HUMAN-ENF1]]</f>
        <v>10</v>
      </c>
      <c r="T5" t="str">
        <f t="shared" si="1"/>
        <v>Support</v>
      </c>
      <c r="U5" s="32">
        <f t="shared" si="2"/>
        <v>3</v>
      </c>
      <c r="V5">
        <f>step3_validation[[#This Row],[AI_ENF2]]</f>
        <v>8</v>
      </c>
      <c r="W5" t="str">
        <f t="shared" si="3"/>
        <v>Support</v>
      </c>
      <c r="X5">
        <f>survey_responses[[#This Row],[Tôi tin rằng Nhà nước, cơ quan thuế có đủ khả năng và công nghệ để phát hiện, xử lý nghiêm các hành vi trốn thuế. - HUMAN-ENF2]]</f>
        <v>10</v>
      </c>
      <c r="Y5" t="str">
        <f t="shared" si="4"/>
        <v>Support</v>
      </c>
      <c r="Z5" s="32">
        <f t="shared" si="5"/>
        <v>2</v>
      </c>
      <c r="AA5">
        <f>step3_validation[[#This Row],[AI_FAC1]]</f>
        <v>6</v>
      </c>
      <c r="AB5" t="str">
        <f t="shared" si="6"/>
        <v>Neutral</v>
      </c>
      <c r="AC5">
        <f>survey_responses[[#This Row],[Các thủ tục khai báo thuế VÀ/HOẶC quy trình làm việc với cơ quan thuế đơn giản, tiện lợi, nhanh chóng hơn so với trước đây. - HUMAN-FAC1]]</f>
        <v>8</v>
      </c>
      <c r="AD5" t="str">
        <f t="shared" si="7"/>
        <v>Support</v>
      </c>
      <c r="AE5" s="32">
        <f t="shared" si="8"/>
        <v>2</v>
      </c>
      <c r="AF5">
        <f>step3_validation[[#This Row],[AI_FAC2]]</f>
        <v>9</v>
      </c>
      <c r="AG5" t="str">
        <f t="shared" si="9"/>
        <v>Support</v>
      </c>
      <c r="AH5">
        <f>survey_responses[[#This Row],[So với trước đây, tôi thấy cách tính thuế và các bậc thuế trong phương án mới đơn giản, dễ hiểu và dễ thực hiện hơn. - HUMAN-FAC2]]</f>
        <v>9</v>
      </c>
      <c r="AI5" t="str">
        <f t="shared" si="10"/>
        <v>Support</v>
      </c>
      <c r="AJ5" s="32">
        <f t="shared" si="11"/>
        <v>0</v>
      </c>
      <c r="AK5">
        <f>step3_validation[[#This Row],[AI_TRU1]]</f>
        <v>7</v>
      </c>
      <c r="AL5" t="str">
        <f t="shared" si="12"/>
        <v>Neutral</v>
      </c>
      <c r="AM5">
        <f>survey_responses[[#This Row],[Tôi tin rằng Nhà nước, cơ quan thuế sẽ thực thi chính sách mới một cách khách quan, công tâm và đối xử bình đẳng với mọi người nộp thuế.  - HUMAN-TRU1]]</f>
        <v>9</v>
      </c>
      <c r="AN5" t="str">
        <f t="shared" si="13"/>
        <v>Support</v>
      </c>
      <c r="AO5" s="32">
        <f t="shared" si="14"/>
        <v>2</v>
      </c>
      <c r="AP5">
        <f>step3_validation[[#This Row],[AI_TRU2]]</f>
        <v>9</v>
      </c>
      <c r="AQ5" t="str">
        <f t="shared" si="15"/>
        <v>Support</v>
      </c>
      <c r="AR5">
        <f>survey_responses[[#This Row],[Tôi thấy mức thuế tôi phải đóng theo phương án mới là công bằng (người thu nhập như tôi đóng mức này là hợp lý). - HUMAN-TRU2]]</f>
        <v>7</v>
      </c>
      <c r="AS5" t="str">
        <f t="shared" si="16"/>
        <v>Neutral</v>
      </c>
      <c r="AT5" s="32">
        <f t="shared" si="17"/>
        <v>2</v>
      </c>
      <c r="AU5">
        <f>step3_validation[[#This Row],[AI_TRU3]]</f>
        <v>7</v>
      </c>
      <c r="AV5" t="str">
        <f t="shared" si="18"/>
        <v>Neutral</v>
      </c>
      <c r="AW5">
        <f>survey_responses[[#This Row],[Tôi tin tưởng số tiền thuế tôi đóng sẽ được Nhà nước sử dụng hiệu quả để cải thiện dịch vụ công (y tế, đường xá...). - HUMAN-TRU3]]</f>
        <v>10</v>
      </c>
      <c r="AX5" t="str">
        <f t="shared" si="19"/>
        <v>Support</v>
      </c>
      <c r="AY5" s="32">
        <f t="shared" si="20"/>
        <v>3</v>
      </c>
      <c r="AZ5">
        <f>step3_validation[[#This Row],[AI_TRU4]]</f>
        <v>8</v>
      </c>
      <c r="BA5" t="str">
        <f t="shared" si="21"/>
        <v>Support</v>
      </c>
      <c r="BB5">
        <f>survey_responses[[#This Row],[Tôi thấy Nhà nước đã giải thích rõ ràng, minh bạch về lý do và mục tiêu của việc sửa đổi thuế lần này. - HUMAN-TRU4]]</f>
        <v>7</v>
      </c>
      <c r="BC5" t="str">
        <f t="shared" si="22"/>
        <v>Neutral</v>
      </c>
      <c r="BD5" s="32">
        <f t="shared" si="23"/>
        <v>1</v>
      </c>
      <c r="BE5">
        <f>step3_validation[[#This Row],[AI_OUT1]]</f>
        <v>9</v>
      </c>
      <c r="BF5" t="str">
        <f t="shared" si="24"/>
        <v>Support</v>
      </c>
      <c r="BG5">
        <f>survey_responses[[#This Row],[Sau khi xem xét các quyền lợi và nghĩa vụ, bạn có ủng hộ và tuân thủ chính sách mới hiện nay? - HUMAN-OUT1]]</f>
        <v>10</v>
      </c>
      <c r="BH5" t="str">
        <f t="shared" si="25"/>
        <v>Support</v>
      </c>
      <c r="BI5" s="32">
        <f t="shared" si="26"/>
        <v>1</v>
      </c>
    </row>
    <row r="6" spans="1:61" x14ac:dyDescent="0.45">
      <c r="A6" s="30">
        <f>step3_validation[[#This Row],[Persona_ID]]</f>
        <v>5</v>
      </c>
      <c r="B6" s="31">
        <f>step3_validation[[#This Row],[Used_Seed]]</f>
        <v>5</v>
      </c>
      <c r="C6" t="str">
        <f>step3_validation[[#This Row],[Gender]]</f>
        <v>Nữ</v>
      </c>
      <c r="D6" t="str">
        <f>survey_responses[[#This Row],[Giới tính của bạn:]]</f>
        <v>Nữ</v>
      </c>
      <c r="E6" t="str">
        <f>step3_validation[[#This Row],[Age_Group]]</f>
        <v>25 - 29</v>
      </c>
      <c r="F6" t="str">
        <f>survey_responses[[#This Row],[Độ tuổi của bạn:]]</f>
        <v>25 - 29</v>
      </c>
      <c r="G6" t="str">
        <f>step3_validation[[#This Row],[Region]]</f>
        <v>Thành thị</v>
      </c>
      <c r="H6" t="str">
        <f>survey_responses[[#This Row],[Khu vực bạn đang sinh sống:]]</f>
        <v>Thành thị</v>
      </c>
      <c r="I6" t="str">
        <f>step3_validation[[#This Row],[Education]]</f>
        <v>Đại học</v>
      </c>
      <c r="J6" t="str">
        <f>survey_responses[[#This Row],[Trình độ học vấn cao nhất:]]</f>
        <v>Đại học</v>
      </c>
      <c r="K6" t="str">
        <f>step3_validation[[#This Row],[Employment]]</f>
        <v>Chính thức</v>
      </c>
      <c r="L6" t="str">
        <f>survey_responses[[#This Row],[Tình trạng việc làm chính:]]</f>
        <v>Khu vực chính thức (Có Hợp đồng lao động, đóng BHXH)</v>
      </c>
      <c r="M6">
        <f>step3_validation[[#This Row],[Income_Mil]]</f>
        <v>12</v>
      </c>
      <c r="N6" t="str">
        <f>survey_responses[[#This Row],[Thu nhập bình quân tháng theo Hợp đồng lao động của bạn là bao nhiêu? (Vui lòng điền tổng thu nhập trước khi khấu trừ các loại Bảo hiểm (BHXH, BHYT, BHTN) và Thuế TNCN)]]</f>
        <v>Dưới 12 triệu VNĐ</v>
      </c>
      <c r="O6">
        <f>step3_validation[[#This Row],[Dependents]]</f>
        <v>0</v>
      </c>
      <c r="P6" t="str">
        <f>survey_responses[[#This Row],[Số người phụ thuộc (con nhỏ, cha mẹ già...) đủ điều kiện giảm trừ gia cảnh:]]</f>
        <v>0 người</v>
      </c>
      <c r="Q6">
        <f>step3_validation[[#This Row],[AI_ENF1]]</f>
        <v>8</v>
      </c>
      <c r="R6" t="str">
        <f t="shared" si="0"/>
        <v>Support</v>
      </c>
      <c r="S6">
        <f>survey_responses[[#This Row],[Tôi tin rằng với các quy định quản lý thuế hiện nay, hành vi gian lận hoặc trốn thuế sẽ dễ dàng bị phát hiện và xử lý nghiêm. - HUMAN-ENF1]]</f>
        <v>9</v>
      </c>
      <c r="T6" t="str">
        <f t="shared" si="1"/>
        <v>Support</v>
      </c>
      <c r="U6" s="32">
        <f t="shared" si="2"/>
        <v>1</v>
      </c>
      <c r="V6">
        <f>step3_validation[[#This Row],[AI_ENF2]]</f>
        <v>9</v>
      </c>
      <c r="W6" t="str">
        <f t="shared" si="3"/>
        <v>Support</v>
      </c>
      <c r="X6">
        <f>survey_responses[[#This Row],[Tôi tin rằng Nhà nước, cơ quan thuế có đủ khả năng và công nghệ để phát hiện, xử lý nghiêm các hành vi trốn thuế. - HUMAN-ENF2]]</f>
        <v>9</v>
      </c>
      <c r="Y6" t="str">
        <f t="shared" si="4"/>
        <v>Support</v>
      </c>
      <c r="Z6" s="32">
        <f t="shared" si="5"/>
        <v>0</v>
      </c>
      <c r="AA6">
        <f>step3_validation[[#This Row],[AI_FAC1]]</f>
        <v>8</v>
      </c>
      <c r="AB6" t="str">
        <f t="shared" si="6"/>
        <v>Support</v>
      </c>
      <c r="AC6">
        <f>survey_responses[[#This Row],[Các thủ tục khai báo thuế VÀ/HOẶC quy trình làm việc với cơ quan thuế đơn giản, tiện lợi, nhanh chóng hơn so với trước đây. - HUMAN-FAC1]]</f>
        <v>10</v>
      </c>
      <c r="AD6" t="str">
        <f t="shared" si="7"/>
        <v>Support</v>
      </c>
      <c r="AE6" s="32">
        <f t="shared" si="8"/>
        <v>2</v>
      </c>
      <c r="AF6">
        <f>step3_validation[[#This Row],[AI_FAC2]]</f>
        <v>9</v>
      </c>
      <c r="AG6" t="str">
        <f t="shared" si="9"/>
        <v>Support</v>
      </c>
      <c r="AH6">
        <f>survey_responses[[#This Row],[So với trước đây, tôi thấy cách tính thuế và các bậc thuế trong phương án mới đơn giản, dễ hiểu và dễ thực hiện hơn. - HUMAN-FAC2]]</f>
        <v>9</v>
      </c>
      <c r="AI6" t="str">
        <f t="shared" si="10"/>
        <v>Support</v>
      </c>
      <c r="AJ6" s="32">
        <f t="shared" si="11"/>
        <v>0</v>
      </c>
      <c r="AK6">
        <f>step3_validation[[#This Row],[AI_TRU1]]</f>
        <v>8</v>
      </c>
      <c r="AL6" t="str">
        <f t="shared" si="12"/>
        <v>Support</v>
      </c>
      <c r="AM6">
        <f>survey_responses[[#This Row],[Tôi tin rằng Nhà nước, cơ quan thuế sẽ thực thi chính sách mới một cách khách quan, công tâm và đối xử bình đẳng với mọi người nộp thuế.  - HUMAN-TRU1]]</f>
        <v>9</v>
      </c>
      <c r="AN6" t="str">
        <f t="shared" si="13"/>
        <v>Support</v>
      </c>
      <c r="AO6" s="32">
        <f t="shared" si="14"/>
        <v>1</v>
      </c>
      <c r="AP6">
        <f>step3_validation[[#This Row],[AI_TRU2]]</f>
        <v>9</v>
      </c>
      <c r="AQ6" t="str">
        <f t="shared" si="15"/>
        <v>Support</v>
      </c>
      <c r="AR6">
        <f>survey_responses[[#This Row],[Tôi thấy mức thuế tôi phải đóng theo phương án mới là công bằng (người thu nhập như tôi đóng mức này là hợp lý). - HUMAN-TRU2]]</f>
        <v>9</v>
      </c>
      <c r="AS6" t="str">
        <f t="shared" si="16"/>
        <v>Support</v>
      </c>
      <c r="AT6" s="32">
        <f t="shared" si="17"/>
        <v>0</v>
      </c>
      <c r="AU6">
        <f>step3_validation[[#This Row],[AI_TRU3]]</f>
        <v>8</v>
      </c>
      <c r="AV6" t="str">
        <f t="shared" si="18"/>
        <v>Support</v>
      </c>
      <c r="AW6">
        <f>survey_responses[[#This Row],[Tôi tin tưởng số tiền thuế tôi đóng sẽ được Nhà nước sử dụng hiệu quả để cải thiện dịch vụ công (y tế, đường xá...). - HUMAN-TRU3]]</f>
        <v>9</v>
      </c>
      <c r="AX6" t="str">
        <f t="shared" si="19"/>
        <v>Support</v>
      </c>
      <c r="AY6" s="32">
        <f t="shared" si="20"/>
        <v>1</v>
      </c>
      <c r="AZ6">
        <f>step3_validation[[#This Row],[AI_TRU4]]</f>
        <v>9</v>
      </c>
      <c r="BA6" t="str">
        <f t="shared" si="21"/>
        <v>Support</v>
      </c>
      <c r="BB6">
        <f>survey_responses[[#This Row],[Tôi thấy Nhà nước đã giải thích rõ ràng, minh bạch về lý do và mục tiêu của việc sửa đổi thuế lần này. - HUMAN-TRU4]]</f>
        <v>9</v>
      </c>
      <c r="BC6" t="str">
        <f t="shared" si="22"/>
        <v>Support</v>
      </c>
      <c r="BD6" s="32">
        <f t="shared" si="23"/>
        <v>0</v>
      </c>
      <c r="BE6">
        <f>step3_validation[[#This Row],[AI_OUT1]]</f>
        <v>8</v>
      </c>
      <c r="BF6" t="str">
        <f t="shared" si="24"/>
        <v>Support</v>
      </c>
      <c r="BG6">
        <f>survey_responses[[#This Row],[Sau khi xem xét các quyền lợi và nghĩa vụ, bạn có ủng hộ và tuân thủ chính sách mới hiện nay? - HUMAN-OUT1]]</f>
        <v>9</v>
      </c>
      <c r="BH6" t="str">
        <f t="shared" si="25"/>
        <v>Support</v>
      </c>
      <c r="BI6" s="32">
        <f t="shared" si="26"/>
        <v>1</v>
      </c>
    </row>
    <row r="7" spans="1:61" x14ac:dyDescent="0.45">
      <c r="A7" s="30">
        <f>step3_validation[[#This Row],[Persona_ID]]</f>
        <v>6</v>
      </c>
      <c r="B7" s="31">
        <f>step3_validation[[#This Row],[Used_Seed]]</f>
        <v>6</v>
      </c>
      <c r="C7" t="str">
        <f>step3_validation[[#This Row],[Gender]]</f>
        <v>Nữ</v>
      </c>
      <c r="D7" t="str">
        <f>survey_responses[[#This Row],[Giới tính của bạn:]]</f>
        <v>Nữ</v>
      </c>
      <c r="E7" t="str">
        <f>step3_validation[[#This Row],[Age_Group]]</f>
        <v>30 - 39</v>
      </c>
      <c r="F7" t="str">
        <f>survey_responses[[#This Row],[Độ tuổi của bạn:]]</f>
        <v>30 - 39</v>
      </c>
      <c r="G7" t="str">
        <f>step3_validation[[#This Row],[Region]]</f>
        <v>Thành thị</v>
      </c>
      <c r="H7" t="str">
        <f>survey_responses[[#This Row],[Khu vực bạn đang sinh sống:]]</f>
        <v>Thành thị</v>
      </c>
      <c r="I7" t="str">
        <f>step3_validation[[#This Row],[Education]]</f>
        <v>Sau Đại học</v>
      </c>
      <c r="J7" t="str">
        <f>survey_responses[[#This Row],[Trình độ học vấn cao nhất:]]</f>
        <v>Sau Đại học</v>
      </c>
      <c r="K7" t="str">
        <f>step3_validation[[#This Row],[Employment]]</f>
        <v>Chính thức</v>
      </c>
      <c r="L7" t="str">
        <f>survey_responses[[#This Row],[Tình trạng việc làm chính:]]</f>
        <v>Khu vực chính thức (Có Hợp đồng lao động, đóng BHXH)</v>
      </c>
      <c r="M7">
        <f>step3_validation[[#This Row],[Income_Mil]]</f>
        <v>86.683094895630234</v>
      </c>
      <c r="N7" t="str">
        <f>survey_responses[[#This Row],[Thu nhập bình quân tháng theo Hợp đồng lao động của bạn là bao nhiêu? (Vui lòng điền tổng thu nhập trước khi khấu trừ các loại Bảo hiểm (BHXH, BHYT, BHTN) và Thuế TNCN)]]</f>
        <v>Từ 70 - 102 triệu VNĐ</v>
      </c>
      <c r="O7">
        <f>step3_validation[[#This Row],[Dependents]]</f>
        <v>4</v>
      </c>
      <c r="P7" t="str">
        <f>survey_responses[[#This Row],[Số người phụ thuộc (con nhỏ, cha mẹ già...) đủ điều kiện giảm trừ gia cảnh:]]</f>
        <v>4 người trở lên</v>
      </c>
      <c r="Q7">
        <f>step3_validation[[#This Row],[AI_ENF1]]</f>
        <v>6</v>
      </c>
      <c r="R7" t="str">
        <f t="shared" si="0"/>
        <v>Neutral</v>
      </c>
      <c r="S7">
        <f>survey_responses[[#This Row],[Tôi tin rằng với các quy định quản lý thuế hiện nay, hành vi gian lận hoặc trốn thuế sẽ dễ dàng bị phát hiện và xử lý nghiêm. - HUMAN-ENF1]]</f>
        <v>8</v>
      </c>
      <c r="T7" t="str">
        <f t="shared" si="1"/>
        <v>Support</v>
      </c>
      <c r="U7" s="32">
        <f t="shared" si="2"/>
        <v>2</v>
      </c>
      <c r="V7">
        <f>step3_validation[[#This Row],[AI_ENF2]]</f>
        <v>7</v>
      </c>
      <c r="W7" t="str">
        <f t="shared" si="3"/>
        <v>Neutral</v>
      </c>
      <c r="X7">
        <f>survey_responses[[#This Row],[Tôi tin rằng Nhà nước, cơ quan thuế có đủ khả năng và công nghệ để phát hiện, xử lý nghiêm các hành vi trốn thuế. - HUMAN-ENF2]]</f>
        <v>8</v>
      </c>
      <c r="Y7" t="str">
        <f t="shared" si="4"/>
        <v>Support</v>
      </c>
      <c r="Z7" s="32">
        <f t="shared" si="5"/>
        <v>1</v>
      </c>
      <c r="AA7">
        <f>step3_validation[[#This Row],[AI_FAC1]]</f>
        <v>9</v>
      </c>
      <c r="AB7" t="str">
        <f t="shared" si="6"/>
        <v>Support</v>
      </c>
      <c r="AC7">
        <f>survey_responses[[#This Row],[Các thủ tục khai báo thuế VÀ/HOẶC quy trình làm việc với cơ quan thuế đơn giản, tiện lợi, nhanh chóng hơn so với trước đây. - HUMAN-FAC1]]</f>
        <v>5</v>
      </c>
      <c r="AD7" t="str">
        <f t="shared" si="7"/>
        <v>Neutral</v>
      </c>
      <c r="AE7" s="32">
        <f t="shared" si="8"/>
        <v>4</v>
      </c>
      <c r="AF7">
        <f>step3_validation[[#This Row],[AI_FAC2]]</f>
        <v>9</v>
      </c>
      <c r="AG7" t="str">
        <f t="shared" si="9"/>
        <v>Support</v>
      </c>
      <c r="AH7">
        <f>survey_responses[[#This Row],[So với trước đây, tôi thấy cách tính thuế và các bậc thuế trong phương án mới đơn giản, dễ hiểu và dễ thực hiện hơn. - HUMAN-FAC2]]</f>
        <v>8</v>
      </c>
      <c r="AI7" t="str">
        <f t="shared" si="10"/>
        <v>Support</v>
      </c>
      <c r="AJ7" s="32">
        <f t="shared" si="11"/>
        <v>1</v>
      </c>
      <c r="AK7">
        <f>step3_validation[[#This Row],[AI_TRU1]]</f>
        <v>8</v>
      </c>
      <c r="AL7" t="str">
        <f t="shared" si="12"/>
        <v>Support</v>
      </c>
      <c r="AM7">
        <f>survey_responses[[#This Row],[Tôi tin rằng Nhà nước, cơ quan thuế sẽ thực thi chính sách mới một cách khách quan, công tâm và đối xử bình đẳng với mọi người nộp thuế.  - HUMAN-TRU1]]</f>
        <v>6</v>
      </c>
      <c r="AN7" t="str">
        <f t="shared" si="13"/>
        <v>Neutral</v>
      </c>
      <c r="AO7" s="32">
        <f t="shared" si="14"/>
        <v>2</v>
      </c>
      <c r="AP7">
        <f>step3_validation[[#This Row],[AI_TRU2]]</f>
        <v>7</v>
      </c>
      <c r="AQ7" t="str">
        <f t="shared" si="15"/>
        <v>Neutral</v>
      </c>
      <c r="AR7">
        <f>survey_responses[[#This Row],[Tôi thấy mức thuế tôi phải đóng theo phương án mới là công bằng (người thu nhập như tôi đóng mức này là hợp lý). - HUMAN-TRU2]]</f>
        <v>6</v>
      </c>
      <c r="AS7" t="str">
        <f t="shared" si="16"/>
        <v>Neutral</v>
      </c>
      <c r="AT7" s="32">
        <f t="shared" si="17"/>
        <v>1</v>
      </c>
      <c r="AU7">
        <f>step3_validation[[#This Row],[AI_TRU3]]</f>
        <v>8</v>
      </c>
      <c r="AV7" t="str">
        <f t="shared" si="18"/>
        <v>Support</v>
      </c>
      <c r="AW7">
        <f>survey_responses[[#This Row],[Tôi tin tưởng số tiền thuế tôi đóng sẽ được Nhà nước sử dụng hiệu quả để cải thiện dịch vụ công (y tế, đường xá...). - HUMAN-TRU3]]</f>
        <v>4</v>
      </c>
      <c r="AX7" t="str">
        <f t="shared" si="19"/>
        <v>Oppose</v>
      </c>
      <c r="AY7" s="32">
        <f t="shared" si="20"/>
        <v>4</v>
      </c>
      <c r="AZ7">
        <f>step3_validation[[#This Row],[AI_TRU4]]</f>
        <v>7</v>
      </c>
      <c r="BA7" t="str">
        <f t="shared" si="21"/>
        <v>Neutral</v>
      </c>
      <c r="BB7">
        <f>survey_responses[[#This Row],[Tôi thấy Nhà nước đã giải thích rõ ràng, minh bạch về lý do và mục tiêu của việc sửa đổi thuế lần này. - HUMAN-TRU4]]</f>
        <v>5</v>
      </c>
      <c r="BC7" t="str">
        <f t="shared" si="22"/>
        <v>Neutral</v>
      </c>
      <c r="BD7" s="32">
        <f t="shared" si="23"/>
        <v>2</v>
      </c>
      <c r="BE7">
        <f>step3_validation[[#This Row],[AI_OUT1]]</f>
        <v>8</v>
      </c>
      <c r="BF7" t="str">
        <f t="shared" si="24"/>
        <v>Support</v>
      </c>
      <c r="BG7">
        <f>survey_responses[[#This Row],[Sau khi xem xét các quyền lợi và nghĩa vụ, bạn có ủng hộ và tuân thủ chính sách mới hiện nay? - HUMAN-OUT1]]</f>
        <v>6</v>
      </c>
      <c r="BH7" t="str">
        <f t="shared" si="25"/>
        <v>Neutral</v>
      </c>
      <c r="BI7" s="32">
        <f t="shared" si="26"/>
        <v>2</v>
      </c>
    </row>
    <row r="8" spans="1:61" x14ac:dyDescent="0.45">
      <c r="A8" s="30">
        <f>step3_validation[[#This Row],[Persona_ID]]</f>
        <v>7</v>
      </c>
      <c r="B8" s="31">
        <f>step3_validation[[#This Row],[Used_Seed]]</f>
        <v>7</v>
      </c>
      <c r="C8" t="str">
        <f>step3_validation[[#This Row],[Gender]]</f>
        <v>Nữ</v>
      </c>
      <c r="D8" t="str">
        <f>survey_responses[[#This Row],[Giới tính của bạn:]]</f>
        <v>Nữ</v>
      </c>
      <c r="E8" t="str">
        <f>step3_validation[[#This Row],[Age_Group]]</f>
        <v>30 - 39</v>
      </c>
      <c r="F8" t="str">
        <f>survey_responses[[#This Row],[Độ tuổi của bạn:]]</f>
        <v>30 - 39</v>
      </c>
      <c r="G8" t="str">
        <f>step3_validation[[#This Row],[Region]]</f>
        <v>Thành thị</v>
      </c>
      <c r="H8" t="str">
        <f>survey_responses[[#This Row],[Khu vực bạn đang sinh sống:]]</f>
        <v>Thành thị</v>
      </c>
      <c r="I8" t="str">
        <f>step3_validation[[#This Row],[Education]]</f>
        <v>Đại học</v>
      </c>
      <c r="J8" t="str">
        <f>survey_responses[[#This Row],[Trình độ học vấn cao nhất:]]</f>
        <v>Đại học</v>
      </c>
      <c r="K8" t="str">
        <f>step3_validation[[#This Row],[Employment]]</f>
        <v>Chính thức</v>
      </c>
      <c r="L8" t="str">
        <f>survey_responses[[#This Row],[Tình trạng việc làm chính:]]</f>
        <v>Khu vực chính thức (Có Hợp đồng lao động, đóng BHXH)</v>
      </c>
      <c r="M8">
        <f>step3_validation[[#This Row],[Income_Mil]]</f>
        <v>20.500381866418667</v>
      </c>
      <c r="N8" t="str">
        <f>survey_responses[[#This Row],[Thu nhập bình quân tháng theo Hợp đồng lao động của bạn là bao nhiêu? (Vui lòng điền tổng thu nhập trước khi khấu trừ các loại Bảo hiểm (BHXH, BHYT, BHTN) và Thuế TNCN)]]</f>
        <v>Từ 18 - 23 triệu VNĐ</v>
      </c>
      <c r="O8">
        <f>step3_validation[[#This Row],[Dependents]]</f>
        <v>2</v>
      </c>
      <c r="P8" t="str">
        <f>survey_responses[[#This Row],[Số người phụ thuộc (con nhỏ, cha mẹ già...) đủ điều kiện giảm trừ gia cảnh:]]</f>
        <v>2 người</v>
      </c>
      <c r="Q8">
        <f>step3_validation[[#This Row],[AI_ENF1]]</f>
        <v>6</v>
      </c>
      <c r="R8" t="str">
        <f t="shared" si="0"/>
        <v>Neutral</v>
      </c>
      <c r="S8">
        <f>survey_responses[[#This Row],[Tôi tin rằng với các quy định quản lý thuế hiện nay, hành vi gian lận hoặc trốn thuế sẽ dễ dàng bị phát hiện và xử lý nghiêm. - HUMAN-ENF1]]</f>
        <v>5</v>
      </c>
      <c r="T8" t="str">
        <f t="shared" si="1"/>
        <v>Neutral</v>
      </c>
      <c r="U8" s="32">
        <f t="shared" si="2"/>
        <v>1</v>
      </c>
      <c r="V8">
        <f>step3_validation[[#This Row],[AI_ENF2]]</f>
        <v>7</v>
      </c>
      <c r="W8" t="str">
        <f t="shared" si="3"/>
        <v>Neutral</v>
      </c>
      <c r="X8">
        <f>survey_responses[[#This Row],[Tôi tin rằng Nhà nước, cơ quan thuế có đủ khả năng và công nghệ để phát hiện, xử lý nghiêm các hành vi trốn thuế. - HUMAN-ENF2]]</f>
        <v>4</v>
      </c>
      <c r="Y8" t="str">
        <f t="shared" si="4"/>
        <v>Oppose</v>
      </c>
      <c r="Z8" s="32">
        <f t="shared" si="5"/>
        <v>3</v>
      </c>
      <c r="AA8">
        <f>step3_validation[[#This Row],[AI_FAC1]]</f>
        <v>8</v>
      </c>
      <c r="AB8" t="str">
        <f t="shared" si="6"/>
        <v>Support</v>
      </c>
      <c r="AC8">
        <f>survey_responses[[#This Row],[Các thủ tục khai báo thuế VÀ/HOẶC quy trình làm việc với cơ quan thuế đơn giản, tiện lợi, nhanh chóng hơn so với trước đây. - HUMAN-FAC1]]</f>
        <v>4</v>
      </c>
      <c r="AD8" t="str">
        <f t="shared" si="7"/>
        <v>Oppose</v>
      </c>
      <c r="AE8" s="32">
        <f t="shared" si="8"/>
        <v>4</v>
      </c>
      <c r="AF8">
        <f>step3_validation[[#This Row],[AI_FAC2]]</f>
        <v>9</v>
      </c>
      <c r="AG8" t="str">
        <f t="shared" si="9"/>
        <v>Support</v>
      </c>
      <c r="AH8">
        <f>survey_responses[[#This Row],[So với trước đây, tôi thấy cách tính thuế và các bậc thuế trong phương án mới đơn giản, dễ hiểu và dễ thực hiện hơn. - HUMAN-FAC2]]</f>
        <v>6</v>
      </c>
      <c r="AI8" t="str">
        <f t="shared" si="10"/>
        <v>Neutral</v>
      </c>
      <c r="AJ8" s="32">
        <f t="shared" si="11"/>
        <v>3</v>
      </c>
      <c r="AK8">
        <f>step3_validation[[#This Row],[AI_TRU1]]</f>
        <v>8</v>
      </c>
      <c r="AL8" t="str">
        <f t="shared" si="12"/>
        <v>Support</v>
      </c>
      <c r="AM8">
        <f>survey_responses[[#This Row],[Tôi tin rằng Nhà nước, cơ quan thuế sẽ thực thi chính sách mới một cách khách quan, công tâm và đối xử bình đẳng với mọi người nộp thuế.  - HUMAN-TRU1]]</f>
        <v>6</v>
      </c>
      <c r="AN8" t="str">
        <f t="shared" si="13"/>
        <v>Neutral</v>
      </c>
      <c r="AO8" s="32">
        <f t="shared" si="14"/>
        <v>2</v>
      </c>
      <c r="AP8">
        <f>step3_validation[[#This Row],[AI_TRU2]]</f>
        <v>9</v>
      </c>
      <c r="AQ8" t="str">
        <f t="shared" si="15"/>
        <v>Support</v>
      </c>
      <c r="AR8">
        <f>survey_responses[[#This Row],[Tôi thấy mức thuế tôi phải đóng theo phương án mới là công bằng (người thu nhập như tôi đóng mức này là hợp lý). - HUMAN-TRU2]]</f>
        <v>7</v>
      </c>
      <c r="AS8" t="str">
        <f t="shared" si="16"/>
        <v>Neutral</v>
      </c>
      <c r="AT8" s="32">
        <f t="shared" si="17"/>
        <v>2</v>
      </c>
      <c r="AU8">
        <f>step3_validation[[#This Row],[AI_TRU3]]</f>
        <v>8</v>
      </c>
      <c r="AV8" t="str">
        <f t="shared" si="18"/>
        <v>Support</v>
      </c>
      <c r="AW8">
        <f>survey_responses[[#This Row],[Tôi tin tưởng số tiền thuế tôi đóng sẽ được Nhà nước sử dụng hiệu quả để cải thiện dịch vụ công (y tế, đường xá...). - HUMAN-TRU3]]</f>
        <v>2</v>
      </c>
      <c r="AX8" t="str">
        <f t="shared" si="19"/>
        <v>Oppose</v>
      </c>
      <c r="AY8" s="32">
        <f t="shared" si="20"/>
        <v>6</v>
      </c>
      <c r="AZ8">
        <f>step3_validation[[#This Row],[AI_TRU4]]</f>
        <v>9</v>
      </c>
      <c r="BA8" t="str">
        <f t="shared" si="21"/>
        <v>Support</v>
      </c>
      <c r="BB8">
        <f>survey_responses[[#This Row],[Tôi thấy Nhà nước đã giải thích rõ ràng, minh bạch về lý do và mục tiêu của việc sửa đổi thuế lần này. - HUMAN-TRU4]]</f>
        <v>4</v>
      </c>
      <c r="BC8" t="str">
        <f t="shared" si="22"/>
        <v>Oppose</v>
      </c>
      <c r="BD8" s="32">
        <f t="shared" si="23"/>
        <v>5</v>
      </c>
      <c r="BE8">
        <f>step3_validation[[#This Row],[AI_OUT1]]</f>
        <v>8</v>
      </c>
      <c r="BF8" t="str">
        <f t="shared" si="24"/>
        <v>Support</v>
      </c>
      <c r="BG8">
        <f>survey_responses[[#This Row],[Sau khi xem xét các quyền lợi và nghĩa vụ, bạn có ủng hộ và tuân thủ chính sách mới hiện nay? - HUMAN-OUT1]]</f>
        <v>4</v>
      </c>
      <c r="BH8" t="str">
        <f t="shared" si="25"/>
        <v>Oppose</v>
      </c>
      <c r="BI8" s="32">
        <f t="shared" si="26"/>
        <v>4</v>
      </c>
    </row>
    <row r="9" spans="1:61" x14ac:dyDescent="0.45">
      <c r="A9" s="30">
        <f>step3_validation[[#This Row],[Persona_ID]]</f>
        <v>8</v>
      </c>
      <c r="B9" s="31">
        <f>step3_validation[[#This Row],[Used_Seed]]</f>
        <v>8</v>
      </c>
      <c r="C9" t="str">
        <f>step3_validation[[#This Row],[Gender]]</f>
        <v>Nam</v>
      </c>
      <c r="D9" t="str">
        <f>survey_responses[[#This Row],[Giới tính của bạn:]]</f>
        <v>Nam</v>
      </c>
      <c r="E9" t="str">
        <f>step3_validation[[#This Row],[Age_Group]]</f>
        <v>40 - 49</v>
      </c>
      <c r="F9" t="str">
        <f>survey_responses[[#This Row],[Độ tuổi của bạn:]]</f>
        <v>40 - 49</v>
      </c>
      <c r="G9" t="str">
        <f>step3_validation[[#This Row],[Region]]</f>
        <v>Thành thị</v>
      </c>
      <c r="H9" t="str">
        <f>survey_responses[[#This Row],[Khu vực bạn đang sinh sống:]]</f>
        <v>Thành thị</v>
      </c>
      <c r="I9" t="str">
        <f>step3_validation[[#This Row],[Education]]</f>
        <v>Sau Đại học</v>
      </c>
      <c r="J9" t="str">
        <f>survey_responses[[#This Row],[Trình độ học vấn cao nhất:]]</f>
        <v>Sau Đại học</v>
      </c>
      <c r="K9" t="str">
        <f>step3_validation[[#This Row],[Employment]]</f>
        <v>Chính thức</v>
      </c>
      <c r="L9" t="str">
        <f>survey_responses[[#This Row],[Tình trạng việc làm chính:]]</f>
        <v>Khu vực chính thức (Có Hợp đồng lao động, đóng BHXH)</v>
      </c>
      <c r="M9">
        <f>step3_validation[[#This Row],[Income_Mil]]</f>
        <v>12</v>
      </c>
      <c r="N9" t="str">
        <f>survey_responses[[#This Row],[Thu nhập bình quân tháng theo Hợp đồng lao động của bạn là bao nhiêu? (Vui lòng điền tổng thu nhập trước khi khấu trừ các loại Bảo hiểm (BHXH, BHYT, BHTN) và Thuế TNCN)]]</f>
        <v>Dưới 12 triệu VNĐ</v>
      </c>
      <c r="O9">
        <f>step3_validation[[#This Row],[Dependents]]</f>
        <v>2</v>
      </c>
      <c r="P9" t="str">
        <f>survey_responses[[#This Row],[Số người phụ thuộc (con nhỏ, cha mẹ già...) đủ điều kiện giảm trừ gia cảnh:]]</f>
        <v>2 người</v>
      </c>
      <c r="Q9">
        <f>step3_validation[[#This Row],[AI_ENF1]]</f>
        <v>6</v>
      </c>
      <c r="R9" t="str">
        <f t="shared" si="0"/>
        <v>Neutral</v>
      </c>
      <c r="S9">
        <f>survey_responses[[#This Row],[Tôi tin rằng với các quy định quản lý thuế hiện nay, hành vi gian lận hoặc trốn thuế sẽ dễ dàng bị phát hiện và xử lý nghiêm. - HUMAN-ENF1]]</f>
        <v>1</v>
      </c>
      <c r="T9" t="str">
        <f t="shared" si="1"/>
        <v>Oppose</v>
      </c>
      <c r="U9" s="32">
        <f t="shared" si="2"/>
        <v>5</v>
      </c>
      <c r="V9">
        <f>step3_validation[[#This Row],[AI_ENF2]]</f>
        <v>7</v>
      </c>
      <c r="W9" t="str">
        <f t="shared" si="3"/>
        <v>Neutral</v>
      </c>
      <c r="X9">
        <f>survey_responses[[#This Row],[Tôi tin rằng Nhà nước, cơ quan thuế có đủ khả năng và công nghệ để phát hiện, xử lý nghiêm các hành vi trốn thuế. - HUMAN-ENF2]]</f>
        <v>1</v>
      </c>
      <c r="Y9" t="str">
        <f t="shared" si="4"/>
        <v>Oppose</v>
      </c>
      <c r="Z9" s="32">
        <f t="shared" si="5"/>
        <v>6</v>
      </c>
      <c r="AA9">
        <f>step3_validation[[#This Row],[AI_FAC1]]</f>
        <v>8</v>
      </c>
      <c r="AB9" t="str">
        <f t="shared" si="6"/>
        <v>Support</v>
      </c>
      <c r="AC9">
        <f>survey_responses[[#This Row],[Các thủ tục khai báo thuế VÀ/HOẶC quy trình làm việc với cơ quan thuế đơn giản, tiện lợi, nhanh chóng hơn so với trước đây. - HUMAN-FAC1]]</f>
        <v>2</v>
      </c>
      <c r="AD9" t="str">
        <f t="shared" si="7"/>
        <v>Oppose</v>
      </c>
      <c r="AE9" s="32">
        <f t="shared" si="8"/>
        <v>6</v>
      </c>
      <c r="AF9">
        <f>step3_validation[[#This Row],[AI_FAC2]]</f>
        <v>9</v>
      </c>
      <c r="AG9" t="str">
        <f t="shared" si="9"/>
        <v>Support</v>
      </c>
      <c r="AH9">
        <f>survey_responses[[#This Row],[So với trước đây, tôi thấy cách tính thuế và các bậc thuế trong phương án mới đơn giản, dễ hiểu và dễ thực hiện hơn. - HUMAN-FAC2]]</f>
        <v>3</v>
      </c>
      <c r="AI9" t="str">
        <f t="shared" si="10"/>
        <v>Oppose</v>
      </c>
      <c r="AJ9" s="32">
        <f t="shared" si="11"/>
        <v>6</v>
      </c>
      <c r="AK9">
        <f>step3_validation[[#This Row],[AI_TRU1]]</f>
        <v>7</v>
      </c>
      <c r="AL9" t="str">
        <f t="shared" si="12"/>
        <v>Neutral</v>
      </c>
      <c r="AM9">
        <f>survey_responses[[#This Row],[Tôi tin rằng Nhà nước, cơ quan thuế sẽ thực thi chính sách mới một cách khách quan, công tâm và đối xử bình đẳng với mọi người nộp thuế.  - HUMAN-TRU1]]</f>
        <v>6</v>
      </c>
      <c r="AN9" t="str">
        <f t="shared" si="13"/>
        <v>Neutral</v>
      </c>
      <c r="AO9" s="32">
        <f t="shared" si="14"/>
        <v>1</v>
      </c>
      <c r="AP9">
        <f>step3_validation[[#This Row],[AI_TRU2]]</f>
        <v>9</v>
      </c>
      <c r="AQ9" t="str">
        <f t="shared" si="15"/>
        <v>Support</v>
      </c>
      <c r="AR9">
        <f>survey_responses[[#This Row],[Tôi thấy mức thuế tôi phải đóng theo phương án mới là công bằng (người thu nhập như tôi đóng mức này là hợp lý). - HUMAN-TRU2]]</f>
        <v>2</v>
      </c>
      <c r="AS9" t="str">
        <f t="shared" si="16"/>
        <v>Oppose</v>
      </c>
      <c r="AT9" s="32">
        <f t="shared" si="17"/>
        <v>7</v>
      </c>
      <c r="AU9">
        <f>step3_validation[[#This Row],[AI_TRU3]]</f>
        <v>8</v>
      </c>
      <c r="AV9" t="str">
        <f t="shared" si="18"/>
        <v>Support</v>
      </c>
      <c r="AW9">
        <f>survey_responses[[#This Row],[Tôi tin tưởng số tiền thuế tôi đóng sẽ được Nhà nước sử dụng hiệu quả để cải thiện dịch vụ công (y tế, đường xá...). - HUMAN-TRU3]]</f>
        <v>7</v>
      </c>
      <c r="AX9" t="str">
        <f t="shared" si="19"/>
        <v>Neutral</v>
      </c>
      <c r="AY9" s="32">
        <f t="shared" si="20"/>
        <v>1</v>
      </c>
      <c r="AZ9">
        <f>step3_validation[[#This Row],[AI_TRU4]]</f>
        <v>7</v>
      </c>
      <c r="BA9" t="str">
        <f t="shared" si="21"/>
        <v>Neutral</v>
      </c>
      <c r="BB9">
        <f>survey_responses[[#This Row],[Tôi thấy Nhà nước đã giải thích rõ ràng, minh bạch về lý do và mục tiêu của việc sửa đổi thuế lần này. - HUMAN-TRU4]]</f>
        <v>3</v>
      </c>
      <c r="BC9" t="str">
        <f t="shared" si="22"/>
        <v>Oppose</v>
      </c>
      <c r="BD9" s="32">
        <f t="shared" si="23"/>
        <v>4</v>
      </c>
      <c r="BE9">
        <f>step3_validation[[#This Row],[AI_OUT1]]</f>
        <v>8</v>
      </c>
      <c r="BF9" t="str">
        <f t="shared" si="24"/>
        <v>Support</v>
      </c>
      <c r="BG9">
        <f>survey_responses[[#This Row],[Sau khi xem xét các quyền lợi và nghĩa vụ, bạn có ủng hộ và tuân thủ chính sách mới hiện nay? - HUMAN-OUT1]]</f>
        <v>3</v>
      </c>
      <c r="BH9" t="str">
        <f t="shared" si="25"/>
        <v>Oppose</v>
      </c>
      <c r="BI9" s="32">
        <f t="shared" si="26"/>
        <v>5</v>
      </c>
    </row>
    <row r="10" spans="1:61" x14ac:dyDescent="0.45">
      <c r="A10" s="30">
        <f>step3_validation[[#This Row],[Persona_ID]]</f>
        <v>9</v>
      </c>
      <c r="B10" s="31">
        <f>step3_validation[[#This Row],[Used_Seed]]</f>
        <v>9</v>
      </c>
      <c r="C10" t="str">
        <f>step3_validation[[#This Row],[Gender]]</f>
        <v>Nữ</v>
      </c>
      <c r="D10" t="str">
        <f>survey_responses[[#This Row],[Giới tính của bạn:]]</f>
        <v>Nữ</v>
      </c>
      <c r="E10" t="str">
        <f>step3_validation[[#This Row],[Age_Group]]</f>
        <v>25 - 29</v>
      </c>
      <c r="F10" t="str">
        <f>survey_responses[[#This Row],[Độ tuổi của bạn:]]</f>
        <v>25 - 29</v>
      </c>
      <c r="G10" t="str">
        <f>step3_validation[[#This Row],[Region]]</f>
        <v>Nông thôn</v>
      </c>
      <c r="H10" t="str">
        <f>survey_responses[[#This Row],[Khu vực bạn đang sinh sống:]]</f>
        <v>Nông thôn</v>
      </c>
      <c r="I10" t="str">
        <f>step3_validation[[#This Row],[Education]]</f>
        <v>Đại học</v>
      </c>
      <c r="J10" t="str">
        <f>survey_responses[[#This Row],[Trình độ học vấn cao nhất:]]</f>
        <v>Đại học</v>
      </c>
      <c r="K10" t="str">
        <f>step3_validation[[#This Row],[Employment]]</f>
        <v>Phi chính thức</v>
      </c>
      <c r="L10" t="str">
        <f>survey_responses[[#This Row],[Tình trạng việc làm chính:]]</f>
        <v>Khu vực phi chính thức (Lao động tự do, không có HĐLĐ)</v>
      </c>
      <c r="M10">
        <f>step3_validation[[#This Row],[Income_Mil]]</f>
        <v>16.351246019850421</v>
      </c>
      <c r="N10" t="str">
        <f>survey_responses[[#This Row],[Thu nhập bình quân tháng theo Hợp đồng lao động của bạn là bao nhiêu? (Vui lòng điền tổng thu nhập trước khi khấu trừ các loại Bảo hiểm (BHXH, BHYT, BHTN) và Thuế TNCN)]]</f>
        <v>Từ 12 - 18 triệu VNĐ</v>
      </c>
      <c r="O10">
        <f>step3_validation[[#This Row],[Dependents]]</f>
        <v>1</v>
      </c>
      <c r="P10" t="str">
        <f>survey_responses[[#This Row],[Số người phụ thuộc (con nhỏ, cha mẹ già...) đủ điều kiện giảm trừ gia cảnh:]]</f>
        <v>1 người</v>
      </c>
      <c r="Q10">
        <f>step3_validation[[#This Row],[AI_ENF1]]</f>
        <v>3</v>
      </c>
      <c r="R10" t="str">
        <f t="shared" si="0"/>
        <v>Oppose</v>
      </c>
      <c r="S10">
        <f>survey_responses[[#This Row],[Tôi tin rằng với các quy định quản lý thuế hiện nay, hành vi gian lận hoặc trốn thuế sẽ dễ dàng bị phát hiện và xử lý nghiêm. - HUMAN-ENF1]]</f>
        <v>10</v>
      </c>
      <c r="T10" t="str">
        <f t="shared" si="1"/>
        <v>Support</v>
      </c>
      <c r="U10" s="32">
        <f t="shared" si="2"/>
        <v>7</v>
      </c>
      <c r="V10">
        <f>step3_validation[[#This Row],[AI_ENF2]]</f>
        <v>5</v>
      </c>
      <c r="W10" t="str">
        <f t="shared" si="3"/>
        <v>Neutral</v>
      </c>
      <c r="X10">
        <f>survey_responses[[#This Row],[Tôi tin rằng Nhà nước, cơ quan thuế có đủ khả năng và công nghệ để phát hiện, xử lý nghiêm các hành vi trốn thuế. - HUMAN-ENF2]]</f>
        <v>10</v>
      </c>
      <c r="Y10" t="str">
        <f t="shared" si="4"/>
        <v>Support</v>
      </c>
      <c r="Z10" s="32">
        <f t="shared" si="5"/>
        <v>5</v>
      </c>
      <c r="AA10">
        <f>step3_validation[[#This Row],[AI_FAC1]]</f>
        <v>7</v>
      </c>
      <c r="AB10" t="str">
        <f t="shared" si="6"/>
        <v>Neutral</v>
      </c>
      <c r="AC10">
        <f>survey_responses[[#This Row],[Các thủ tục khai báo thuế VÀ/HOẶC quy trình làm việc với cơ quan thuế đơn giản, tiện lợi, nhanh chóng hơn so với trước đây. - HUMAN-FAC1]]</f>
        <v>8</v>
      </c>
      <c r="AD10" t="str">
        <f t="shared" si="7"/>
        <v>Support</v>
      </c>
      <c r="AE10" s="32">
        <f t="shared" si="8"/>
        <v>1</v>
      </c>
      <c r="AF10">
        <f>step3_validation[[#This Row],[AI_FAC2]]</f>
        <v>9</v>
      </c>
      <c r="AG10" t="str">
        <f t="shared" si="9"/>
        <v>Support</v>
      </c>
      <c r="AH10">
        <f>survey_responses[[#This Row],[So với trước đây, tôi thấy cách tính thuế và các bậc thuế trong phương án mới đơn giản, dễ hiểu và dễ thực hiện hơn. - HUMAN-FAC2]]</f>
        <v>7</v>
      </c>
      <c r="AI10" t="str">
        <f t="shared" si="10"/>
        <v>Neutral</v>
      </c>
      <c r="AJ10" s="32">
        <f t="shared" si="11"/>
        <v>2</v>
      </c>
      <c r="AK10">
        <f>step3_validation[[#This Row],[AI_TRU1]]</f>
        <v>6</v>
      </c>
      <c r="AL10" t="str">
        <f t="shared" si="12"/>
        <v>Neutral</v>
      </c>
      <c r="AM10">
        <f>survey_responses[[#This Row],[Tôi tin rằng Nhà nước, cơ quan thuế sẽ thực thi chính sách mới một cách khách quan, công tâm và đối xử bình đẳng với mọi người nộp thuế.  - HUMAN-TRU1]]</f>
        <v>7</v>
      </c>
      <c r="AN10" t="str">
        <f t="shared" si="13"/>
        <v>Neutral</v>
      </c>
      <c r="AO10" s="32">
        <f t="shared" si="14"/>
        <v>1</v>
      </c>
      <c r="AP10">
        <f>step3_validation[[#This Row],[AI_TRU2]]</f>
        <v>8</v>
      </c>
      <c r="AQ10" t="str">
        <f t="shared" si="15"/>
        <v>Support</v>
      </c>
      <c r="AR10">
        <f>survey_responses[[#This Row],[Tôi thấy mức thuế tôi phải đóng theo phương án mới là công bằng (người thu nhập như tôi đóng mức này là hợp lý). - HUMAN-TRU2]]</f>
        <v>5</v>
      </c>
      <c r="AS10" t="str">
        <f t="shared" si="16"/>
        <v>Neutral</v>
      </c>
      <c r="AT10" s="32">
        <f t="shared" si="17"/>
        <v>3</v>
      </c>
      <c r="AU10">
        <f>step3_validation[[#This Row],[AI_TRU3]]</f>
        <v>7</v>
      </c>
      <c r="AV10" t="str">
        <f t="shared" si="18"/>
        <v>Neutral</v>
      </c>
      <c r="AW10">
        <f>survey_responses[[#This Row],[Tôi tin tưởng số tiền thuế tôi đóng sẽ được Nhà nước sử dụng hiệu quả để cải thiện dịch vụ công (y tế, đường xá...). - HUMAN-TRU3]]</f>
        <v>5</v>
      </c>
      <c r="AX10" t="str">
        <f t="shared" si="19"/>
        <v>Neutral</v>
      </c>
      <c r="AY10" s="32">
        <f t="shared" si="20"/>
        <v>2</v>
      </c>
      <c r="AZ10">
        <f>step3_validation[[#This Row],[AI_TRU4]]</f>
        <v>6</v>
      </c>
      <c r="BA10" t="str">
        <f t="shared" si="21"/>
        <v>Neutral</v>
      </c>
      <c r="BB10">
        <f>survey_responses[[#This Row],[Tôi thấy Nhà nước đã giải thích rõ ràng, minh bạch về lý do và mục tiêu của việc sửa đổi thuế lần này. - HUMAN-TRU4]]</f>
        <v>9</v>
      </c>
      <c r="BC10" t="str">
        <f t="shared" si="22"/>
        <v>Support</v>
      </c>
      <c r="BD10" s="32">
        <f t="shared" si="23"/>
        <v>3</v>
      </c>
      <c r="BE10">
        <f>step3_validation[[#This Row],[AI_OUT1]]</f>
        <v>8</v>
      </c>
      <c r="BF10" t="str">
        <f t="shared" si="24"/>
        <v>Support</v>
      </c>
      <c r="BG10">
        <f>survey_responses[[#This Row],[Sau khi xem xét các quyền lợi và nghĩa vụ, bạn có ủng hộ và tuân thủ chính sách mới hiện nay? - HUMAN-OUT1]]</f>
        <v>8</v>
      </c>
      <c r="BH10" t="str">
        <f t="shared" si="25"/>
        <v>Support</v>
      </c>
      <c r="BI10" s="32">
        <f t="shared" si="26"/>
        <v>0</v>
      </c>
    </row>
    <row r="11" spans="1:61" x14ac:dyDescent="0.45">
      <c r="A11" s="30">
        <f>step3_validation[[#This Row],[Persona_ID]]</f>
        <v>10</v>
      </c>
      <c r="B11" s="31">
        <f>step3_validation[[#This Row],[Used_Seed]]</f>
        <v>10</v>
      </c>
      <c r="C11" t="str">
        <f>step3_validation[[#This Row],[Gender]]</f>
        <v>Nữ</v>
      </c>
      <c r="D11" t="str">
        <f>survey_responses[[#This Row],[Giới tính của bạn:]]</f>
        <v>Nữ</v>
      </c>
      <c r="E11" t="str">
        <f>step3_validation[[#This Row],[Age_Group]]</f>
        <v>25 - 29</v>
      </c>
      <c r="F11" t="str">
        <f>survey_responses[[#This Row],[Độ tuổi của bạn:]]</f>
        <v>25 - 29</v>
      </c>
      <c r="G11" t="str">
        <f>step3_validation[[#This Row],[Region]]</f>
        <v>Thành thị</v>
      </c>
      <c r="H11" t="str">
        <f>survey_responses[[#This Row],[Khu vực bạn đang sinh sống:]]</f>
        <v>Thành thị</v>
      </c>
      <c r="I11" t="str">
        <f>step3_validation[[#This Row],[Education]]</f>
        <v>Đại học</v>
      </c>
      <c r="J11" t="str">
        <f>survey_responses[[#This Row],[Trình độ học vấn cao nhất:]]</f>
        <v>Đại học</v>
      </c>
      <c r="K11" t="str">
        <f>step3_validation[[#This Row],[Employment]]</f>
        <v>Chính thức</v>
      </c>
      <c r="L11" t="str">
        <f>survey_responses[[#This Row],[Tình trạng việc làm chính:]]</f>
        <v>Khu vực chính thức (Có Hợp đồng lao động, đóng BHXH)</v>
      </c>
      <c r="M11">
        <f>step3_validation[[#This Row],[Income_Mil]]</f>
        <v>21.824006838515903</v>
      </c>
      <c r="N11" t="str">
        <f>survey_responses[[#This Row],[Thu nhập bình quân tháng theo Hợp đồng lao động của bạn là bao nhiêu? (Vui lòng điền tổng thu nhập trước khi khấu trừ các loại Bảo hiểm (BHXH, BHYT, BHTN) và Thuế TNCN)]]</f>
        <v>Từ 18 - 23 triệu VNĐ</v>
      </c>
      <c r="O11">
        <f>step3_validation[[#This Row],[Dependents]]</f>
        <v>0</v>
      </c>
      <c r="P11" t="str">
        <f>survey_responses[[#This Row],[Số người phụ thuộc (con nhỏ, cha mẹ già...) đủ điều kiện giảm trừ gia cảnh:]]</f>
        <v>0 người</v>
      </c>
      <c r="Q11">
        <f>step3_validation[[#This Row],[AI_ENF1]]</f>
        <v>9</v>
      </c>
      <c r="R11" t="str">
        <f t="shared" si="0"/>
        <v>Support</v>
      </c>
      <c r="S11">
        <f>survey_responses[[#This Row],[Tôi tin rằng với các quy định quản lý thuế hiện nay, hành vi gian lận hoặc trốn thuế sẽ dễ dàng bị phát hiện và xử lý nghiêm. - HUMAN-ENF1]]</f>
        <v>7</v>
      </c>
      <c r="T11" t="str">
        <f t="shared" si="1"/>
        <v>Neutral</v>
      </c>
      <c r="U11" s="32">
        <f t="shared" si="2"/>
        <v>2</v>
      </c>
      <c r="V11">
        <f>step3_validation[[#This Row],[AI_ENF2]]</f>
        <v>8</v>
      </c>
      <c r="W11" t="str">
        <f t="shared" si="3"/>
        <v>Support</v>
      </c>
      <c r="X11">
        <f>survey_responses[[#This Row],[Tôi tin rằng Nhà nước, cơ quan thuế có đủ khả năng và công nghệ để phát hiện, xử lý nghiêm các hành vi trốn thuế. - HUMAN-ENF2]]</f>
        <v>10</v>
      </c>
      <c r="Y11" t="str">
        <f t="shared" si="4"/>
        <v>Support</v>
      </c>
      <c r="Z11" s="32">
        <f t="shared" si="5"/>
        <v>2</v>
      </c>
      <c r="AA11">
        <f>step3_validation[[#This Row],[AI_FAC1]]</f>
        <v>9</v>
      </c>
      <c r="AB11" t="str">
        <f t="shared" si="6"/>
        <v>Support</v>
      </c>
      <c r="AC11">
        <f>survey_responses[[#This Row],[Các thủ tục khai báo thuế VÀ/HOẶC quy trình làm việc với cơ quan thuế đơn giản, tiện lợi, nhanh chóng hơn so với trước đây. - HUMAN-FAC1]]</f>
        <v>1</v>
      </c>
      <c r="AD11" t="str">
        <f t="shared" si="7"/>
        <v>Oppose</v>
      </c>
      <c r="AE11" s="32">
        <f t="shared" si="8"/>
        <v>8</v>
      </c>
      <c r="AF11">
        <f>step3_validation[[#This Row],[AI_FAC2]]</f>
        <v>10</v>
      </c>
      <c r="AG11" t="str">
        <f t="shared" si="9"/>
        <v>Support</v>
      </c>
      <c r="AH11">
        <f>survey_responses[[#This Row],[So với trước đây, tôi thấy cách tính thuế và các bậc thuế trong phương án mới đơn giản, dễ hiểu và dễ thực hiện hơn. - HUMAN-FAC2]]</f>
        <v>5</v>
      </c>
      <c r="AI11" t="str">
        <f t="shared" si="10"/>
        <v>Neutral</v>
      </c>
      <c r="AJ11" s="32">
        <f t="shared" si="11"/>
        <v>5</v>
      </c>
      <c r="AK11">
        <f>step3_validation[[#This Row],[AI_TRU1]]</f>
        <v>9</v>
      </c>
      <c r="AL11" t="str">
        <f t="shared" si="12"/>
        <v>Support</v>
      </c>
      <c r="AM11">
        <f>survey_responses[[#This Row],[Tôi tin rằng Nhà nước, cơ quan thuế sẽ thực thi chính sách mới một cách khách quan, công tâm và đối xử bình đẳng với mọi người nộp thuế.  - HUMAN-TRU1]]</f>
        <v>8</v>
      </c>
      <c r="AN11" t="str">
        <f t="shared" si="13"/>
        <v>Support</v>
      </c>
      <c r="AO11" s="32">
        <f t="shared" si="14"/>
        <v>1</v>
      </c>
      <c r="AP11">
        <f>step3_validation[[#This Row],[AI_TRU2]]</f>
        <v>10</v>
      </c>
      <c r="AQ11" t="str">
        <f t="shared" si="15"/>
        <v>Support</v>
      </c>
      <c r="AR11">
        <f>survey_responses[[#This Row],[Tôi thấy mức thuế tôi phải đóng theo phương án mới là công bằng (người thu nhập như tôi đóng mức này là hợp lý). - HUMAN-TRU2]]</f>
        <v>5</v>
      </c>
      <c r="AS11" t="str">
        <f t="shared" si="16"/>
        <v>Neutral</v>
      </c>
      <c r="AT11" s="32">
        <f t="shared" si="17"/>
        <v>5</v>
      </c>
      <c r="AU11">
        <f>step3_validation[[#This Row],[AI_TRU3]]</f>
        <v>9</v>
      </c>
      <c r="AV11" t="str">
        <f t="shared" si="18"/>
        <v>Support</v>
      </c>
      <c r="AW11">
        <f>survey_responses[[#This Row],[Tôi tin tưởng số tiền thuế tôi đóng sẽ được Nhà nước sử dụng hiệu quả để cải thiện dịch vụ công (y tế, đường xá...). - HUMAN-TRU3]]</f>
        <v>5</v>
      </c>
      <c r="AX11" t="str">
        <f t="shared" si="19"/>
        <v>Neutral</v>
      </c>
      <c r="AY11" s="32">
        <f t="shared" si="20"/>
        <v>4</v>
      </c>
      <c r="AZ11">
        <f>step3_validation[[#This Row],[AI_TRU4]]</f>
        <v>8</v>
      </c>
      <c r="BA11" t="str">
        <f t="shared" si="21"/>
        <v>Support</v>
      </c>
      <c r="BB11">
        <f>survey_responses[[#This Row],[Tôi thấy Nhà nước đã giải thích rõ ràng, minh bạch về lý do và mục tiêu của việc sửa đổi thuế lần này. - HUMAN-TRU4]]</f>
        <v>5</v>
      </c>
      <c r="BC11" t="str">
        <f t="shared" si="22"/>
        <v>Neutral</v>
      </c>
      <c r="BD11" s="32">
        <f t="shared" si="23"/>
        <v>3</v>
      </c>
      <c r="BE11">
        <f>step3_validation[[#This Row],[AI_OUT1]]</f>
        <v>9</v>
      </c>
      <c r="BF11" t="str">
        <f t="shared" si="24"/>
        <v>Support</v>
      </c>
      <c r="BG11">
        <f>survey_responses[[#This Row],[Sau khi xem xét các quyền lợi và nghĩa vụ, bạn có ủng hộ và tuân thủ chính sách mới hiện nay? - HUMAN-OUT1]]</f>
        <v>10</v>
      </c>
      <c r="BH11" t="str">
        <f t="shared" si="25"/>
        <v>Support</v>
      </c>
      <c r="BI11" s="32">
        <f t="shared" si="26"/>
        <v>1</v>
      </c>
    </row>
    <row r="12" spans="1:61" x14ac:dyDescent="0.45">
      <c r="A12" s="30">
        <f>step3_validation[[#This Row],[Persona_ID]]</f>
        <v>11</v>
      </c>
      <c r="B12" s="31">
        <f>step3_validation[[#This Row],[Used_Seed]]</f>
        <v>11</v>
      </c>
      <c r="C12" t="str">
        <f>step3_validation[[#This Row],[Gender]]</f>
        <v>Nam</v>
      </c>
      <c r="D12" t="str">
        <f>survey_responses[[#This Row],[Giới tính của bạn:]]</f>
        <v>Nam</v>
      </c>
      <c r="E12" t="str">
        <f>step3_validation[[#This Row],[Age_Group]]</f>
        <v>30 - 39</v>
      </c>
      <c r="F12" t="str">
        <f>survey_responses[[#This Row],[Độ tuổi của bạn:]]</f>
        <v>30 - 39</v>
      </c>
      <c r="G12" t="str">
        <f>step3_validation[[#This Row],[Region]]</f>
        <v>Thành thị</v>
      </c>
      <c r="H12" t="str">
        <f>survey_responses[[#This Row],[Khu vực bạn đang sinh sống:]]</f>
        <v>Thành thị</v>
      </c>
      <c r="I12" t="str">
        <f>step3_validation[[#This Row],[Education]]</f>
        <v>Sau Đại học</v>
      </c>
      <c r="J12" t="str">
        <f>survey_responses[[#This Row],[Trình độ học vấn cao nhất:]]</f>
        <v>Sau Đại học</v>
      </c>
      <c r="K12" t="str">
        <f>step3_validation[[#This Row],[Employment]]</f>
        <v>Phi chính thức</v>
      </c>
      <c r="L12" t="str">
        <f>survey_responses[[#This Row],[Tình trạng việc làm chính:]]</f>
        <v>Khu vực phi chính thức (Lao động tự do, không có HĐLĐ)</v>
      </c>
      <c r="M12">
        <f>step3_validation[[#This Row],[Income_Mil]]</f>
        <v>33.928553041537995</v>
      </c>
      <c r="N12" t="str">
        <f>survey_responses[[#This Row],[Thu nhập bình quân tháng theo Hợp đồng lao động của bạn là bao nhiêu? (Vui lòng điền tổng thu nhập trước khi khấu trừ các loại Bảo hiểm (BHXH, BHYT, BHTN) và Thuế TNCN)]]</f>
        <v>Từ 32 - 48 triệu VNĐ</v>
      </c>
      <c r="O12">
        <f>step3_validation[[#This Row],[Dependents]]</f>
        <v>4</v>
      </c>
      <c r="P12" t="str">
        <f>survey_responses[[#This Row],[Số người phụ thuộc (con nhỏ, cha mẹ già...) đủ điều kiện giảm trừ gia cảnh:]]</f>
        <v>4 người trở lên</v>
      </c>
      <c r="Q12">
        <f>step3_validation[[#This Row],[AI_ENF1]]</f>
        <v>3</v>
      </c>
      <c r="R12" t="str">
        <f t="shared" si="0"/>
        <v>Oppose</v>
      </c>
      <c r="S12">
        <f>survey_responses[[#This Row],[Tôi tin rằng với các quy định quản lý thuế hiện nay, hành vi gian lận hoặc trốn thuế sẽ dễ dàng bị phát hiện và xử lý nghiêm. - HUMAN-ENF1]]</f>
        <v>10</v>
      </c>
      <c r="T12" t="str">
        <f t="shared" si="1"/>
        <v>Support</v>
      </c>
      <c r="U12" s="32">
        <f t="shared" si="2"/>
        <v>7</v>
      </c>
      <c r="V12">
        <f>step3_validation[[#This Row],[AI_ENF2]]</f>
        <v>5</v>
      </c>
      <c r="W12" t="str">
        <f t="shared" si="3"/>
        <v>Neutral</v>
      </c>
      <c r="X12">
        <f>survey_responses[[#This Row],[Tôi tin rằng Nhà nước, cơ quan thuế có đủ khả năng và công nghệ để phát hiện, xử lý nghiêm các hành vi trốn thuế. - HUMAN-ENF2]]</f>
        <v>3</v>
      </c>
      <c r="Y12" t="str">
        <f t="shared" si="4"/>
        <v>Oppose</v>
      </c>
      <c r="Z12" s="32">
        <f t="shared" si="5"/>
        <v>2</v>
      </c>
      <c r="AA12">
        <f>step3_validation[[#This Row],[AI_FAC1]]</f>
        <v>8</v>
      </c>
      <c r="AB12" t="str">
        <f t="shared" si="6"/>
        <v>Support</v>
      </c>
      <c r="AC12">
        <f>survey_responses[[#This Row],[Các thủ tục khai báo thuế VÀ/HOẶC quy trình làm việc với cơ quan thuế đơn giản, tiện lợi, nhanh chóng hơn so với trước đây. - HUMAN-FAC1]]</f>
        <v>1</v>
      </c>
      <c r="AD12" t="str">
        <f t="shared" si="7"/>
        <v>Oppose</v>
      </c>
      <c r="AE12" s="32">
        <f t="shared" si="8"/>
        <v>7</v>
      </c>
      <c r="AF12">
        <f>step3_validation[[#This Row],[AI_FAC2]]</f>
        <v>7</v>
      </c>
      <c r="AG12" t="str">
        <f t="shared" si="9"/>
        <v>Neutral</v>
      </c>
      <c r="AH12">
        <f>survey_responses[[#This Row],[So với trước đây, tôi thấy cách tính thuế và các bậc thuế trong phương án mới đơn giản, dễ hiểu và dễ thực hiện hơn. - HUMAN-FAC2]]</f>
        <v>7</v>
      </c>
      <c r="AI12" t="str">
        <f t="shared" si="10"/>
        <v>Neutral</v>
      </c>
      <c r="AJ12" s="32">
        <f t="shared" si="11"/>
        <v>0</v>
      </c>
      <c r="AK12">
        <f>step3_validation[[#This Row],[AI_TRU1]]</f>
        <v>9</v>
      </c>
      <c r="AL12" t="str">
        <f t="shared" si="12"/>
        <v>Support</v>
      </c>
      <c r="AM12">
        <f>survey_responses[[#This Row],[Tôi tin rằng Nhà nước, cơ quan thuế sẽ thực thi chính sách mới một cách khách quan, công tâm và đối xử bình đẳng với mọi người nộp thuế.  - HUMAN-TRU1]]</f>
        <v>1</v>
      </c>
      <c r="AN12" t="str">
        <f t="shared" si="13"/>
        <v>Oppose</v>
      </c>
      <c r="AO12" s="32">
        <f t="shared" si="14"/>
        <v>8</v>
      </c>
      <c r="AP12">
        <f>step3_validation[[#This Row],[AI_TRU2]]</f>
        <v>8</v>
      </c>
      <c r="AQ12" t="str">
        <f t="shared" si="15"/>
        <v>Support</v>
      </c>
      <c r="AR12">
        <f>survey_responses[[#This Row],[Tôi thấy mức thuế tôi phải đóng theo phương án mới là công bằng (người thu nhập như tôi đóng mức này là hợp lý). - HUMAN-TRU2]]</f>
        <v>5</v>
      </c>
      <c r="AS12" t="str">
        <f t="shared" si="16"/>
        <v>Neutral</v>
      </c>
      <c r="AT12" s="32">
        <f t="shared" si="17"/>
        <v>3</v>
      </c>
      <c r="AU12">
        <f>step3_validation[[#This Row],[AI_TRU3]]</f>
        <v>9</v>
      </c>
      <c r="AV12" t="str">
        <f t="shared" si="18"/>
        <v>Support</v>
      </c>
      <c r="AW12">
        <f>survey_responses[[#This Row],[Tôi tin tưởng số tiền thuế tôi đóng sẽ được Nhà nước sử dụng hiệu quả để cải thiện dịch vụ công (y tế, đường xá...). - HUMAN-TRU3]]</f>
        <v>1</v>
      </c>
      <c r="AX12" t="str">
        <f t="shared" si="19"/>
        <v>Oppose</v>
      </c>
      <c r="AY12" s="32">
        <f t="shared" si="20"/>
        <v>8</v>
      </c>
      <c r="AZ12">
        <f>step3_validation[[#This Row],[AI_TRU4]]</f>
        <v>7</v>
      </c>
      <c r="BA12" t="str">
        <f t="shared" si="21"/>
        <v>Neutral</v>
      </c>
      <c r="BB12">
        <f>survey_responses[[#This Row],[Tôi thấy Nhà nước đã giải thích rõ ràng, minh bạch về lý do và mục tiêu của việc sửa đổi thuế lần này. - HUMAN-TRU4]]</f>
        <v>8</v>
      </c>
      <c r="BC12" t="str">
        <f t="shared" si="22"/>
        <v>Support</v>
      </c>
      <c r="BD12" s="32">
        <f t="shared" si="23"/>
        <v>1</v>
      </c>
      <c r="BE12">
        <f>step3_validation[[#This Row],[AI_OUT1]]</f>
        <v>9</v>
      </c>
      <c r="BF12" t="str">
        <f t="shared" si="24"/>
        <v>Support</v>
      </c>
      <c r="BG12">
        <f>survey_responses[[#This Row],[Sau khi xem xét các quyền lợi và nghĩa vụ, bạn có ủng hộ và tuân thủ chính sách mới hiện nay? - HUMAN-OUT1]]</f>
        <v>6</v>
      </c>
      <c r="BH12" t="str">
        <f t="shared" si="25"/>
        <v>Neutral</v>
      </c>
      <c r="BI12" s="32">
        <f t="shared" si="26"/>
        <v>3</v>
      </c>
    </row>
    <row r="13" spans="1:61" x14ac:dyDescent="0.45">
      <c r="A13" s="30">
        <f>step3_validation[[#This Row],[Persona_ID]]</f>
        <v>12</v>
      </c>
      <c r="B13" s="31">
        <f>step3_validation[[#This Row],[Used_Seed]]</f>
        <v>12</v>
      </c>
      <c r="C13" t="str">
        <f>step3_validation[[#This Row],[Gender]]</f>
        <v>Nữ</v>
      </c>
      <c r="D13" t="str">
        <f>survey_responses[[#This Row],[Giới tính của bạn:]]</f>
        <v>Nữ</v>
      </c>
      <c r="E13" t="str">
        <f>step3_validation[[#This Row],[Age_Group]]</f>
        <v>18 - 24</v>
      </c>
      <c r="F13" t="str">
        <f>survey_responses[[#This Row],[Độ tuổi của bạn:]]</f>
        <v>18 - 24</v>
      </c>
      <c r="G13" t="str">
        <f>step3_validation[[#This Row],[Region]]</f>
        <v>Thành thị</v>
      </c>
      <c r="H13" t="str">
        <f>survey_responses[[#This Row],[Khu vực bạn đang sinh sống:]]</f>
        <v>Thành thị</v>
      </c>
      <c r="I13" t="str">
        <f>step3_validation[[#This Row],[Education]]</f>
        <v>Đại học</v>
      </c>
      <c r="J13" t="str">
        <f>survey_responses[[#This Row],[Trình độ học vấn cao nhất:]]</f>
        <v>Đại học</v>
      </c>
      <c r="K13" t="str">
        <f>step3_validation[[#This Row],[Employment]]</f>
        <v>Chính thức</v>
      </c>
      <c r="L13" t="str">
        <f>survey_responses[[#This Row],[Tình trạng việc làm chính:]]</f>
        <v>Khu vực chính thức (Có Hợp đồng lao động, đóng BHXH)</v>
      </c>
      <c r="M13">
        <f>step3_validation[[#This Row],[Income_Mil]]</f>
        <v>12</v>
      </c>
      <c r="N13" t="str">
        <f>survey_responses[[#This Row],[Thu nhập bình quân tháng theo Hợp đồng lao động của bạn là bao nhiêu? (Vui lòng điền tổng thu nhập trước khi khấu trừ các loại Bảo hiểm (BHXH, BHYT, BHTN) và Thuế TNCN)]]</f>
        <v>Dưới 12 triệu VNĐ</v>
      </c>
      <c r="O13">
        <f>step3_validation[[#This Row],[Dependents]]</f>
        <v>0</v>
      </c>
      <c r="P13" t="str">
        <f>survey_responses[[#This Row],[Số người phụ thuộc (con nhỏ, cha mẹ già...) đủ điều kiện giảm trừ gia cảnh:]]</f>
        <v>0 người</v>
      </c>
      <c r="Q13">
        <f>step3_validation[[#This Row],[AI_ENF1]]</f>
        <v>6</v>
      </c>
      <c r="R13" t="str">
        <f t="shared" si="0"/>
        <v>Neutral</v>
      </c>
      <c r="S13">
        <f>survey_responses[[#This Row],[Tôi tin rằng với các quy định quản lý thuế hiện nay, hành vi gian lận hoặc trốn thuế sẽ dễ dàng bị phát hiện và xử lý nghiêm. - HUMAN-ENF1]]</f>
        <v>5</v>
      </c>
      <c r="T13" t="str">
        <f t="shared" si="1"/>
        <v>Neutral</v>
      </c>
      <c r="U13" s="32">
        <f t="shared" si="2"/>
        <v>1</v>
      </c>
      <c r="V13">
        <f>step3_validation[[#This Row],[AI_ENF2]]</f>
        <v>7</v>
      </c>
      <c r="W13" t="str">
        <f t="shared" si="3"/>
        <v>Neutral</v>
      </c>
      <c r="X13">
        <f>survey_responses[[#This Row],[Tôi tin rằng Nhà nước, cơ quan thuế có đủ khả năng và công nghệ để phát hiện, xử lý nghiêm các hành vi trốn thuế. - HUMAN-ENF2]]</f>
        <v>8</v>
      </c>
      <c r="Y13" t="str">
        <f t="shared" si="4"/>
        <v>Support</v>
      </c>
      <c r="Z13" s="32">
        <f t="shared" si="5"/>
        <v>1</v>
      </c>
      <c r="AA13">
        <f>step3_validation[[#This Row],[AI_FAC1]]</f>
        <v>8</v>
      </c>
      <c r="AB13" t="str">
        <f t="shared" si="6"/>
        <v>Support</v>
      </c>
      <c r="AC13">
        <f>survey_responses[[#This Row],[Các thủ tục khai báo thuế VÀ/HOẶC quy trình làm việc với cơ quan thuế đơn giản, tiện lợi, nhanh chóng hơn so với trước đây. - HUMAN-FAC1]]</f>
        <v>5</v>
      </c>
      <c r="AD13" t="str">
        <f t="shared" si="7"/>
        <v>Neutral</v>
      </c>
      <c r="AE13" s="32">
        <f t="shared" si="8"/>
        <v>3</v>
      </c>
      <c r="AF13">
        <f>step3_validation[[#This Row],[AI_FAC2]]</f>
        <v>9</v>
      </c>
      <c r="AG13" t="str">
        <f t="shared" si="9"/>
        <v>Support</v>
      </c>
      <c r="AH13">
        <f>survey_responses[[#This Row],[So với trước đây, tôi thấy cách tính thuế và các bậc thuế trong phương án mới đơn giản, dễ hiểu và dễ thực hiện hơn. - HUMAN-FAC2]]</f>
        <v>5</v>
      </c>
      <c r="AI13" t="str">
        <f t="shared" si="10"/>
        <v>Neutral</v>
      </c>
      <c r="AJ13" s="32">
        <f t="shared" si="11"/>
        <v>4</v>
      </c>
      <c r="AK13">
        <f>step3_validation[[#This Row],[AI_TRU1]]</f>
        <v>7</v>
      </c>
      <c r="AL13" t="str">
        <f t="shared" si="12"/>
        <v>Neutral</v>
      </c>
      <c r="AM13">
        <f>survey_responses[[#This Row],[Tôi tin rằng Nhà nước, cơ quan thuế sẽ thực thi chính sách mới một cách khách quan, công tâm và đối xử bình đẳng với mọi người nộp thuế.  - HUMAN-TRU1]]</f>
        <v>6</v>
      </c>
      <c r="AN13" t="str">
        <f t="shared" si="13"/>
        <v>Neutral</v>
      </c>
      <c r="AO13" s="32">
        <f t="shared" si="14"/>
        <v>1</v>
      </c>
      <c r="AP13">
        <f>step3_validation[[#This Row],[AI_TRU2]]</f>
        <v>9</v>
      </c>
      <c r="AQ13" t="str">
        <f t="shared" si="15"/>
        <v>Support</v>
      </c>
      <c r="AR13">
        <f>survey_responses[[#This Row],[Tôi thấy mức thuế tôi phải đóng theo phương án mới là công bằng (người thu nhập như tôi đóng mức này là hợp lý). - HUMAN-TRU2]]</f>
        <v>5</v>
      </c>
      <c r="AS13" t="str">
        <f t="shared" si="16"/>
        <v>Neutral</v>
      </c>
      <c r="AT13" s="32">
        <f t="shared" si="17"/>
        <v>4</v>
      </c>
      <c r="AU13">
        <f>step3_validation[[#This Row],[AI_TRU3]]</f>
        <v>8</v>
      </c>
      <c r="AV13" t="str">
        <f t="shared" si="18"/>
        <v>Support</v>
      </c>
      <c r="AW13">
        <f>survey_responses[[#This Row],[Tôi tin tưởng số tiền thuế tôi đóng sẽ được Nhà nước sử dụng hiệu quả để cải thiện dịch vụ công (y tế, đường xá...). - HUMAN-TRU3]]</f>
        <v>5</v>
      </c>
      <c r="AX13" t="str">
        <f t="shared" si="19"/>
        <v>Neutral</v>
      </c>
      <c r="AY13" s="32">
        <f t="shared" si="20"/>
        <v>3</v>
      </c>
      <c r="AZ13">
        <f>step3_validation[[#This Row],[AI_TRU4]]</f>
        <v>7</v>
      </c>
      <c r="BA13" t="str">
        <f t="shared" si="21"/>
        <v>Neutral</v>
      </c>
      <c r="BB13">
        <f>survey_responses[[#This Row],[Tôi thấy Nhà nước đã giải thích rõ ràng, minh bạch về lý do và mục tiêu của việc sửa đổi thuế lần này. - HUMAN-TRU4]]</f>
        <v>5</v>
      </c>
      <c r="BC13" t="str">
        <f t="shared" si="22"/>
        <v>Neutral</v>
      </c>
      <c r="BD13" s="32">
        <f t="shared" si="23"/>
        <v>2</v>
      </c>
      <c r="BE13">
        <f>step3_validation[[#This Row],[AI_OUT1]]</f>
        <v>9</v>
      </c>
      <c r="BF13" t="str">
        <f t="shared" si="24"/>
        <v>Support</v>
      </c>
      <c r="BG13">
        <f>survey_responses[[#This Row],[Sau khi xem xét các quyền lợi và nghĩa vụ, bạn có ủng hộ và tuân thủ chính sách mới hiện nay? - HUMAN-OUT1]]</f>
        <v>5</v>
      </c>
      <c r="BH13" t="str">
        <f t="shared" si="25"/>
        <v>Neutral</v>
      </c>
      <c r="BI13" s="32">
        <f t="shared" si="26"/>
        <v>4</v>
      </c>
    </row>
    <row r="14" spans="1:61" x14ac:dyDescent="0.45">
      <c r="A14" s="30">
        <f>step3_validation[[#This Row],[Persona_ID]]</f>
        <v>13</v>
      </c>
      <c r="B14" s="31">
        <f>step3_validation[[#This Row],[Used_Seed]]</f>
        <v>13</v>
      </c>
      <c r="C14" t="str">
        <f>step3_validation[[#This Row],[Gender]]</f>
        <v>Nữ</v>
      </c>
      <c r="D14" t="str">
        <f>survey_responses[[#This Row],[Giới tính của bạn:]]</f>
        <v>Nữ</v>
      </c>
      <c r="E14" t="str">
        <f>step3_validation[[#This Row],[Age_Group]]</f>
        <v>18 - 24</v>
      </c>
      <c r="F14" t="str">
        <f>survey_responses[[#This Row],[Độ tuổi của bạn:]]</f>
        <v>18 - 24</v>
      </c>
      <c r="G14" t="str">
        <f>step3_validation[[#This Row],[Region]]</f>
        <v>Thành thị</v>
      </c>
      <c r="H14" t="str">
        <f>survey_responses[[#This Row],[Khu vực bạn đang sinh sống:]]</f>
        <v>Thành thị</v>
      </c>
      <c r="I14" t="str">
        <f>step3_validation[[#This Row],[Education]]</f>
        <v>Đại học</v>
      </c>
      <c r="J14" t="str">
        <f>survey_responses[[#This Row],[Trình độ học vấn cao nhất:]]</f>
        <v>Đại học</v>
      </c>
      <c r="K14" t="str">
        <f>step3_validation[[#This Row],[Employment]]</f>
        <v>Chính thức</v>
      </c>
      <c r="L14" t="str">
        <f>survey_responses[[#This Row],[Tình trạng việc làm chính:]]</f>
        <v>Khu vực chính thức (Có Hợp đồng lao động, đóng BHXH)</v>
      </c>
      <c r="M14">
        <f>step3_validation[[#This Row],[Income_Mil]]</f>
        <v>12</v>
      </c>
      <c r="N14" t="str">
        <f>survey_responses[[#This Row],[Thu nhập bình quân tháng theo Hợp đồng lao động của bạn là bao nhiêu? (Vui lòng điền tổng thu nhập trước khi khấu trừ các loại Bảo hiểm (BHXH, BHYT, BHTN) và Thuế TNCN)]]</f>
        <v>Dưới 12 triệu VNĐ</v>
      </c>
      <c r="O14">
        <f>step3_validation[[#This Row],[Dependents]]</f>
        <v>0</v>
      </c>
      <c r="P14" t="str">
        <f>survey_responses[[#This Row],[Số người phụ thuộc (con nhỏ, cha mẹ già...) đủ điều kiện giảm trừ gia cảnh:]]</f>
        <v>0 người</v>
      </c>
      <c r="Q14">
        <f>step3_validation[[#This Row],[AI_ENF1]]</f>
        <v>6</v>
      </c>
      <c r="R14" t="str">
        <f t="shared" si="0"/>
        <v>Neutral</v>
      </c>
      <c r="S14">
        <f>survey_responses[[#This Row],[Tôi tin rằng với các quy định quản lý thuế hiện nay, hành vi gian lận hoặc trốn thuế sẽ dễ dàng bị phát hiện và xử lý nghiêm. - HUMAN-ENF1]]</f>
        <v>8</v>
      </c>
      <c r="T14" t="str">
        <f t="shared" si="1"/>
        <v>Support</v>
      </c>
      <c r="U14" s="32">
        <f t="shared" si="2"/>
        <v>2</v>
      </c>
      <c r="V14">
        <f>step3_validation[[#This Row],[AI_ENF2]]</f>
        <v>7</v>
      </c>
      <c r="W14" t="str">
        <f t="shared" si="3"/>
        <v>Neutral</v>
      </c>
      <c r="X14">
        <f>survey_responses[[#This Row],[Tôi tin rằng Nhà nước, cơ quan thuế có đủ khả năng và công nghệ để phát hiện, xử lý nghiêm các hành vi trốn thuế. - HUMAN-ENF2]]</f>
        <v>7</v>
      </c>
      <c r="Y14" t="str">
        <f t="shared" si="4"/>
        <v>Neutral</v>
      </c>
      <c r="Z14" s="32">
        <f t="shared" si="5"/>
        <v>0</v>
      </c>
      <c r="AA14">
        <f>step3_validation[[#This Row],[AI_FAC1]]</f>
        <v>8</v>
      </c>
      <c r="AB14" t="str">
        <f t="shared" si="6"/>
        <v>Support</v>
      </c>
      <c r="AC14">
        <f>survey_responses[[#This Row],[Các thủ tục khai báo thuế VÀ/HOẶC quy trình làm việc với cơ quan thuế đơn giản, tiện lợi, nhanh chóng hơn so với trước đây. - HUMAN-FAC1]]</f>
        <v>7</v>
      </c>
      <c r="AD14" t="str">
        <f t="shared" si="7"/>
        <v>Neutral</v>
      </c>
      <c r="AE14" s="32">
        <f t="shared" si="8"/>
        <v>1</v>
      </c>
      <c r="AF14">
        <f>step3_validation[[#This Row],[AI_FAC2]]</f>
        <v>9</v>
      </c>
      <c r="AG14" t="str">
        <f t="shared" si="9"/>
        <v>Support</v>
      </c>
      <c r="AH14">
        <f>survey_responses[[#This Row],[So với trước đây, tôi thấy cách tính thuế và các bậc thuế trong phương án mới đơn giản, dễ hiểu và dễ thực hiện hơn. - HUMAN-FAC2]]</f>
        <v>7</v>
      </c>
      <c r="AI14" t="str">
        <f t="shared" si="10"/>
        <v>Neutral</v>
      </c>
      <c r="AJ14" s="32">
        <f t="shared" si="11"/>
        <v>2</v>
      </c>
      <c r="AK14">
        <f>step3_validation[[#This Row],[AI_TRU1]]</f>
        <v>8</v>
      </c>
      <c r="AL14" t="str">
        <f t="shared" si="12"/>
        <v>Support</v>
      </c>
      <c r="AM14">
        <f>survey_responses[[#This Row],[Tôi tin rằng Nhà nước, cơ quan thuế sẽ thực thi chính sách mới một cách khách quan, công tâm và đối xử bình đẳng với mọi người nộp thuế.  - HUMAN-TRU1]]</f>
        <v>7</v>
      </c>
      <c r="AN14" t="str">
        <f t="shared" si="13"/>
        <v>Neutral</v>
      </c>
      <c r="AO14" s="32">
        <f t="shared" si="14"/>
        <v>1</v>
      </c>
      <c r="AP14">
        <f>step3_validation[[#This Row],[AI_TRU2]]</f>
        <v>9</v>
      </c>
      <c r="AQ14" t="str">
        <f t="shared" si="15"/>
        <v>Support</v>
      </c>
      <c r="AR14">
        <f>survey_responses[[#This Row],[Tôi thấy mức thuế tôi phải đóng theo phương án mới là công bằng (người thu nhập như tôi đóng mức này là hợp lý). - HUMAN-TRU2]]</f>
        <v>8</v>
      </c>
      <c r="AS14" t="str">
        <f t="shared" si="16"/>
        <v>Support</v>
      </c>
      <c r="AT14" s="32">
        <f t="shared" si="17"/>
        <v>1</v>
      </c>
      <c r="AU14">
        <f>step3_validation[[#This Row],[AI_TRU3]]</f>
        <v>7</v>
      </c>
      <c r="AV14" t="str">
        <f t="shared" si="18"/>
        <v>Neutral</v>
      </c>
      <c r="AW14">
        <f>survey_responses[[#This Row],[Tôi tin tưởng số tiền thuế tôi đóng sẽ được Nhà nước sử dụng hiệu quả để cải thiện dịch vụ công (y tế, đường xá...). - HUMAN-TRU3]]</f>
        <v>7</v>
      </c>
      <c r="AX14" t="str">
        <f t="shared" si="19"/>
        <v>Neutral</v>
      </c>
      <c r="AY14" s="32">
        <f t="shared" si="20"/>
        <v>0</v>
      </c>
      <c r="AZ14">
        <f>step3_validation[[#This Row],[AI_TRU4]]</f>
        <v>6</v>
      </c>
      <c r="BA14" t="str">
        <f t="shared" si="21"/>
        <v>Neutral</v>
      </c>
      <c r="BB14">
        <f>survey_responses[[#This Row],[Tôi thấy Nhà nước đã giải thích rõ ràng, minh bạch về lý do và mục tiêu của việc sửa đổi thuế lần này. - HUMAN-TRU4]]</f>
        <v>7</v>
      </c>
      <c r="BC14" t="str">
        <f t="shared" si="22"/>
        <v>Neutral</v>
      </c>
      <c r="BD14" s="32">
        <f t="shared" si="23"/>
        <v>1</v>
      </c>
      <c r="BE14">
        <f>step3_validation[[#This Row],[AI_OUT1]]</f>
        <v>9</v>
      </c>
      <c r="BF14" t="str">
        <f t="shared" si="24"/>
        <v>Support</v>
      </c>
      <c r="BG14">
        <f>survey_responses[[#This Row],[Sau khi xem xét các quyền lợi và nghĩa vụ, bạn có ủng hộ và tuân thủ chính sách mới hiện nay? - HUMAN-OUT1]]</f>
        <v>7</v>
      </c>
      <c r="BH14" t="str">
        <f t="shared" si="25"/>
        <v>Neutral</v>
      </c>
      <c r="BI14" s="32">
        <f t="shared" si="26"/>
        <v>2</v>
      </c>
    </row>
    <row r="15" spans="1:61" x14ac:dyDescent="0.45">
      <c r="A15" s="30">
        <f>step3_validation[[#This Row],[Persona_ID]]</f>
        <v>14</v>
      </c>
      <c r="B15" s="31">
        <f>step3_validation[[#This Row],[Used_Seed]]</f>
        <v>14</v>
      </c>
      <c r="C15" t="str">
        <f>step3_validation[[#This Row],[Gender]]</f>
        <v>Nữ</v>
      </c>
      <c r="D15" t="str">
        <f>survey_responses[[#This Row],[Giới tính của bạn:]]</f>
        <v>Nữ</v>
      </c>
      <c r="E15" t="str">
        <f>step3_validation[[#This Row],[Age_Group]]</f>
        <v>30 - 39</v>
      </c>
      <c r="F15" t="str">
        <f>survey_responses[[#This Row],[Độ tuổi của bạn:]]</f>
        <v>30 - 39</v>
      </c>
      <c r="G15" t="str">
        <f>step3_validation[[#This Row],[Region]]</f>
        <v>Thành thị</v>
      </c>
      <c r="H15" t="str">
        <f>survey_responses[[#This Row],[Khu vực bạn đang sinh sống:]]</f>
        <v>Thành thị</v>
      </c>
      <c r="I15" t="str">
        <f>step3_validation[[#This Row],[Education]]</f>
        <v>Sau Đại học</v>
      </c>
      <c r="J15" t="str">
        <f>survey_responses[[#This Row],[Trình độ học vấn cao nhất:]]</f>
        <v>Sau Đại học</v>
      </c>
      <c r="K15" t="str">
        <f>step3_validation[[#This Row],[Employment]]</f>
        <v>Chính thức</v>
      </c>
      <c r="L15" t="str">
        <f>survey_responses[[#This Row],[Tình trạng việc làm chính:]]</f>
        <v>Khu vực chính thức (Có Hợp đồng lao động, đóng BHXH)</v>
      </c>
      <c r="M15">
        <f>step3_validation[[#This Row],[Income_Mil]]</f>
        <v>21.323933275556445</v>
      </c>
      <c r="N15" t="str">
        <f>survey_responses[[#This Row],[Thu nhập bình quân tháng theo Hợp đồng lao động của bạn là bao nhiêu? (Vui lòng điền tổng thu nhập trước khi khấu trừ các loại Bảo hiểm (BHXH, BHYT, BHTN) và Thuế TNCN)]]</f>
        <v>Từ 18 - 23 triệu VNĐ</v>
      </c>
      <c r="O15">
        <f>step3_validation[[#This Row],[Dependents]]</f>
        <v>0</v>
      </c>
      <c r="P15" t="str">
        <f>survey_responses[[#This Row],[Số người phụ thuộc (con nhỏ, cha mẹ già...) đủ điều kiện giảm trừ gia cảnh:]]</f>
        <v>0 người</v>
      </c>
      <c r="Q15">
        <f>step3_validation[[#This Row],[AI_ENF1]]</f>
        <v>9</v>
      </c>
      <c r="R15" t="str">
        <f t="shared" si="0"/>
        <v>Support</v>
      </c>
      <c r="S15">
        <f>survey_responses[[#This Row],[Tôi tin rằng với các quy định quản lý thuế hiện nay, hành vi gian lận hoặc trốn thuế sẽ dễ dàng bị phát hiện và xử lý nghiêm. - HUMAN-ENF1]]</f>
        <v>10</v>
      </c>
      <c r="T15" t="str">
        <f t="shared" si="1"/>
        <v>Support</v>
      </c>
      <c r="U15" s="32">
        <f t="shared" si="2"/>
        <v>1</v>
      </c>
      <c r="V15">
        <f>step3_validation[[#This Row],[AI_ENF2]]</f>
        <v>8</v>
      </c>
      <c r="W15" t="str">
        <f t="shared" si="3"/>
        <v>Support</v>
      </c>
      <c r="X15">
        <f>survey_responses[[#This Row],[Tôi tin rằng Nhà nước, cơ quan thuế có đủ khả năng và công nghệ để phát hiện, xử lý nghiêm các hành vi trốn thuế. - HUMAN-ENF2]]</f>
        <v>10</v>
      </c>
      <c r="Y15" t="str">
        <f t="shared" si="4"/>
        <v>Support</v>
      </c>
      <c r="Z15" s="32">
        <f t="shared" si="5"/>
        <v>2</v>
      </c>
      <c r="AA15">
        <f>step3_validation[[#This Row],[AI_FAC1]]</f>
        <v>9</v>
      </c>
      <c r="AB15" t="str">
        <f t="shared" si="6"/>
        <v>Support</v>
      </c>
      <c r="AC15">
        <f>survey_responses[[#This Row],[Các thủ tục khai báo thuế VÀ/HOẶC quy trình làm việc với cơ quan thuế đơn giản, tiện lợi, nhanh chóng hơn so với trước đây. - HUMAN-FAC1]]</f>
        <v>8</v>
      </c>
      <c r="AD15" t="str">
        <f t="shared" si="7"/>
        <v>Support</v>
      </c>
      <c r="AE15" s="32">
        <f t="shared" si="8"/>
        <v>1</v>
      </c>
      <c r="AF15">
        <f>step3_validation[[#This Row],[AI_FAC2]]</f>
        <v>8</v>
      </c>
      <c r="AG15" t="str">
        <f t="shared" si="9"/>
        <v>Support</v>
      </c>
      <c r="AH15">
        <f>survey_responses[[#This Row],[So với trước đây, tôi thấy cách tính thuế và các bậc thuế trong phương án mới đơn giản, dễ hiểu và dễ thực hiện hơn. - HUMAN-FAC2]]</f>
        <v>8</v>
      </c>
      <c r="AI15" t="str">
        <f t="shared" si="10"/>
        <v>Support</v>
      </c>
      <c r="AJ15" s="32">
        <f t="shared" si="11"/>
        <v>0</v>
      </c>
      <c r="AK15">
        <f>step3_validation[[#This Row],[AI_TRU1]]</f>
        <v>9</v>
      </c>
      <c r="AL15" t="str">
        <f t="shared" si="12"/>
        <v>Support</v>
      </c>
      <c r="AM15">
        <f>survey_responses[[#This Row],[Tôi tin rằng Nhà nước, cơ quan thuế sẽ thực thi chính sách mới một cách khách quan, công tâm và đối xử bình đẳng với mọi người nộp thuế.  - HUMAN-TRU1]]</f>
        <v>8</v>
      </c>
      <c r="AN15" t="str">
        <f t="shared" si="13"/>
        <v>Support</v>
      </c>
      <c r="AO15" s="32">
        <f t="shared" si="14"/>
        <v>1</v>
      </c>
      <c r="AP15">
        <f>step3_validation[[#This Row],[AI_TRU2]]</f>
        <v>8</v>
      </c>
      <c r="AQ15" t="str">
        <f t="shared" si="15"/>
        <v>Support</v>
      </c>
      <c r="AR15">
        <f>survey_responses[[#This Row],[Tôi thấy mức thuế tôi phải đóng theo phương án mới là công bằng (người thu nhập như tôi đóng mức này là hợp lý). - HUMAN-TRU2]]</f>
        <v>6</v>
      </c>
      <c r="AS15" t="str">
        <f t="shared" si="16"/>
        <v>Neutral</v>
      </c>
      <c r="AT15" s="32">
        <f t="shared" si="17"/>
        <v>2</v>
      </c>
      <c r="AU15">
        <f>step3_validation[[#This Row],[AI_TRU3]]</f>
        <v>9</v>
      </c>
      <c r="AV15" t="str">
        <f t="shared" si="18"/>
        <v>Support</v>
      </c>
      <c r="AW15">
        <f>survey_responses[[#This Row],[Tôi tin tưởng số tiền thuế tôi đóng sẽ được Nhà nước sử dụng hiệu quả để cải thiện dịch vụ công (y tế, đường xá...). - HUMAN-TRU3]]</f>
        <v>6</v>
      </c>
      <c r="AX15" t="str">
        <f t="shared" si="19"/>
        <v>Neutral</v>
      </c>
      <c r="AY15" s="32">
        <f t="shared" si="20"/>
        <v>3</v>
      </c>
      <c r="AZ15">
        <f>step3_validation[[#This Row],[AI_TRU4]]</f>
        <v>8</v>
      </c>
      <c r="BA15" t="str">
        <f t="shared" si="21"/>
        <v>Support</v>
      </c>
      <c r="BB15">
        <f>survey_responses[[#This Row],[Tôi thấy Nhà nước đã giải thích rõ ràng, minh bạch về lý do và mục tiêu của việc sửa đổi thuế lần này. - HUMAN-TRU4]]</f>
        <v>5</v>
      </c>
      <c r="BC15" t="str">
        <f t="shared" si="22"/>
        <v>Neutral</v>
      </c>
      <c r="BD15" s="32">
        <f t="shared" si="23"/>
        <v>3</v>
      </c>
      <c r="BE15">
        <f>step3_validation[[#This Row],[AI_OUT1]]</f>
        <v>9</v>
      </c>
      <c r="BF15" t="str">
        <f t="shared" si="24"/>
        <v>Support</v>
      </c>
      <c r="BG15">
        <f>survey_responses[[#This Row],[Sau khi xem xét các quyền lợi và nghĩa vụ, bạn có ủng hộ và tuân thủ chính sách mới hiện nay? - HUMAN-OUT1]]</f>
        <v>5</v>
      </c>
      <c r="BH15" t="str">
        <f t="shared" si="25"/>
        <v>Neutral</v>
      </c>
      <c r="BI15" s="32">
        <f t="shared" si="26"/>
        <v>4</v>
      </c>
    </row>
    <row r="16" spans="1:61" x14ac:dyDescent="0.45">
      <c r="A16" s="30">
        <f>step3_validation[[#This Row],[Persona_ID]]</f>
        <v>15</v>
      </c>
      <c r="B16" s="31">
        <f>step3_validation[[#This Row],[Used_Seed]]</f>
        <v>15</v>
      </c>
      <c r="C16" t="str">
        <f>step3_validation[[#This Row],[Gender]]</f>
        <v>Nam</v>
      </c>
      <c r="D16" t="str">
        <f>survey_responses[[#This Row],[Giới tính của bạn:]]</f>
        <v>Nam</v>
      </c>
      <c r="E16" t="str">
        <f>step3_validation[[#This Row],[Age_Group]]</f>
        <v>30 - 39</v>
      </c>
      <c r="F16" t="str">
        <f>survey_responses[[#This Row],[Độ tuổi của bạn:]]</f>
        <v>30 - 39</v>
      </c>
      <c r="G16" t="str">
        <f>step3_validation[[#This Row],[Region]]</f>
        <v>Thành thị</v>
      </c>
      <c r="H16" t="str">
        <f>survey_responses[[#This Row],[Khu vực bạn đang sinh sống:]]</f>
        <v>Thành thị</v>
      </c>
      <c r="I16" t="str">
        <f>step3_validation[[#This Row],[Education]]</f>
        <v>Sau Đại học</v>
      </c>
      <c r="J16" t="str">
        <f>survey_responses[[#This Row],[Trình độ học vấn cao nhất:]]</f>
        <v>Sau Đại học</v>
      </c>
      <c r="K16" t="str">
        <f>step3_validation[[#This Row],[Employment]]</f>
        <v>Chính thức</v>
      </c>
      <c r="L16" t="str">
        <f>survey_responses[[#This Row],[Tình trạng việc làm chính:]]</f>
        <v>Khu vực chính thức (Có Hợp đồng lao động, đóng BHXH)</v>
      </c>
      <c r="M16">
        <f>step3_validation[[#This Row],[Income_Mil]]</f>
        <v>42.391150519477286</v>
      </c>
      <c r="N16" t="str">
        <f>survey_responses[[#This Row],[Thu nhập bình quân tháng theo Hợp đồng lao động của bạn là bao nhiêu? (Vui lòng điền tổng thu nhập trước khi khấu trừ các loại Bảo hiểm (BHXH, BHYT, BHTN) và Thuế TNCN)]]</f>
        <v>Từ 32 - 48 triệu VNĐ</v>
      </c>
      <c r="O16">
        <f>step3_validation[[#This Row],[Dependents]]</f>
        <v>2</v>
      </c>
      <c r="P16" t="str">
        <f>survey_responses[[#This Row],[Số người phụ thuộc (con nhỏ, cha mẹ già...) đủ điều kiện giảm trừ gia cảnh:]]</f>
        <v>2 người</v>
      </c>
      <c r="Q16">
        <f>step3_validation[[#This Row],[AI_ENF1]]</f>
        <v>8</v>
      </c>
      <c r="R16" t="str">
        <f t="shared" si="0"/>
        <v>Support</v>
      </c>
      <c r="S16">
        <f>survey_responses[[#This Row],[Tôi tin rằng với các quy định quản lý thuế hiện nay, hành vi gian lận hoặc trốn thuế sẽ dễ dàng bị phát hiện và xử lý nghiêm. - HUMAN-ENF1]]</f>
        <v>7</v>
      </c>
      <c r="T16" t="str">
        <f t="shared" si="1"/>
        <v>Neutral</v>
      </c>
      <c r="U16" s="32">
        <f t="shared" si="2"/>
        <v>1</v>
      </c>
      <c r="V16">
        <f>step3_validation[[#This Row],[AI_ENF2]]</f>
        <v>7</v>
      </c>
      <c r="W16" t="str">
        <f t="shared" si="3"/>
        <v>Neutral</v>
      </c>
      <c r="X16">
        <f>survey_responses[[#This Row],[Tôi tin rằng Nhà nước, cơ quan thuế có đủ khả năng và công nghệ để phát hiện, xử lý nghiêm các hành vi trốn thuế. - HUMAN-ENF2]]</f>
        <v>9</v>
      </c>
      <c r="Y16" t="str">
        <f t="shared" si="4"/>
        <v>Support</v>
      </c>
      <c r="Z16" s="32">
        <f t="shared" si="5"/>
        <v>2</v>
      </c>
      <c r="AA16">
        <f>step3_validation[[#This Row],[AI_FAC1]]</f>
        <v>9</v>
      </c>
      <c r="AB16" t="str">
        <f t="shared" si="6"/>
        <v>Support</v>
      </c>
      <c r="AC16">
        <f>survey_responses[[#This Row],[Các thủ tục khai báo thuế VÀ/HOẶC quy trình làm việc với cơ quan thuế đơn giản, tiện lợi, nhanh chóng hơn so với trước đây. - HUMAN-FAC1]]</f>
        <v>3</v>
      </c>
      <c r="AD16" t="str">
        <f t="shared" si="7"/>
        <v>Oppose</v>
      </c>
      <c r="AE16" s="32">
        <f t="shared" si="8"/>
        <v>6</v>
      </c>
      <c r="AF16">
        <f>step3_validation[[#This Row],[AI_FAC2]]</f>
        <v>9</v>
      </c>
      <c r="AG16" t="str">
        <f t="shared" si="9"/>
        <v>Support</v>
      </c>
      <c r="AH16">
        <f>survey_responses[[#This Row],[So với trước đây, tôi thấy cách tính thuế và các bậc thuế trong phương án mới đơn giản, dễ hiểu và dễ thực hiện hơn. - HUMAN-FAC2]]</f>
        <v>6</v>
      </c>
      <c r="AI16" t="str">
        <f t="shared" si="10"/>
        <v>Neutral</v>
      </c>
      <c r="AJ16" s="32">
        <f t="shared" si="11"/>
        <v>3</v>
      </c>
      <c r="AK16">
        <f>step3_validation[[#This Row],[AI_TRU1]]</f>
        <v>8</v>
      </c>
      <c r="AL16" t="str">
        <f t="shared" si="12"/>
        <v>Support</v>
      </c>
      <c r="AM16">
        <f>survey_responses[[#This Row],[Tôi tin rằng Nhà nước, cơ quan thuế sẽ thực thi chính sách mới một cách khách quan, công tâm và đối xử bình đẳng với mọi người nộp thuế.  - HUMAN-TRU1]]</f>
        <v>1</v>
      </c>
      <c r="AN16" t="str">
        <f t="shared" si="13"/>
        <v>Oppose</v>
      </c>
      <c r="AO16" s="32">
        <f t="shared" si="14"/>
        <v>7</v>
      </c>
      <c r="AP16">
        <f>step3_validation[[#This Row],[AI_TRU2]]</f>
        <v>9</v>
      </c>
      <c r="AQ16" t="str">
        <f t="shared" si="15"/>
        <v>Support</v>
      </c>
      <c r="AR16">
        <f>survey_responses[[#This Row],[Tôi thấy mức thuế tôi phải đóng theo phương án mới là công bằng (người thu nhập như tôi đóng mức này là hợp lý). - HUMAN-TRU2]]</f>
        <v>1</v>
      </c>
      <c r="AS16" t="str">
        <f t="shared" si="16"/>
        <v>Oppose</v>
      </c>
      <c r="AT16" s="32">
        <f t="shared" si="17"/>
        <v>8</v>
      </c>
      <c r="AU16">
        <f>step3_validation[[#This Row],[AI_TRU3]]</f>
        <v>8</v>
      </c>
      <c r="AV16" t="str">
        <f t="shared" si="18"/>
        <v>Support</v>
      </c>
      <c r="AW16">
        <f>survey_responses[[#This Row],[Tôi tin tưởng số tiền thuế tôi đóng sẽ được Nhà nước sử dụng hiệu quả để cải thiện dịch vụ công (y tế, đường xá...). - HUMAN-TRU3]]</f>
        <v>1</v>
      </c>
      <c r="AX16" t="str">
        <f t="shared" si="19"/>
        <v>Oppose</v>
      </c>
      <c r="AY16" s="32">
        <f t="shared" si="20"/>
        <v>7</v>
      </c>
      <c r="AZ16">
        <f>step3_validation[[#This Row],[AI_TRU4]]</f>
        <v>9</v>
      </c>
      <c r="BA16" t="str">
        <f t="shared" si="21"/>
        <v>Support</v>
      </c>
      <c r="BB16">
        <f>survey_responses[[#This Row],[Tôi thấy Nhà nước đã giải thích rõ ràng, minh bạch về lý do và mục tiêu của việc sửa đổi thuế lần này. - HUMAN-TRU4]]</f>
        <v>1</v>
      </c>
      <c r="BC16" t="str">
        <f t="shared" si="22"/>
        <v>Oppose</v>
      </c>
      <c r="BD16" s="32">
        <f t="shared" si="23"/>
        <v>8</v>
      </c>
      <c r="BE16">
        <f>step3_validation[[#This Row],[AI_OUT1]]</f>
        <v>10</v>
      </c>
      <c r="BF16" t="str">
        <f t="shared" si="24"/>
        <v>Support</v>
      </c>
      <c r="BG16">
        <f>survey_responses[[#This Row],[Sau khi xem xét các quyền lợi và nghĩa vụ, bạn có ủng hộ và tuân thủ chính sách mới hiện nay? - HUMAN-OUT1]]</f>
        <v>1</v>
      </c>
      <c r="BH16" t="str">
        <f t="shared" si="25"/>
        <v>Oppose</v>
      </c>
      <c r="BI16" s="32">
        <f t="shared" si="26"/>
        <v>9</v>
      </c>
    </row>
    <row r="17" spans="1:61" x14ac:dyDescent="0.45">
      <c r="A17" s="30">
        <f>step3_validation[[#This Row],[Persona_ID]]</f>
        <v>16</v>
      </c>
      <c r="B17" s="31">
        <f>step3_validation[[#This Row],[Used_Seed]]</f>
        <v>16</v>
      </c>
      <c r="C17" t="str">
        <f>step3_validation[[#This Row],[Gender]]</f>
        <v>Nam</v>
      </c>
      <c r="D17" t="str">
        <f>survey_responses[[#This Row],[Giới tính của bạn:]]</f>
        <v>Nam</v>
      </c>
      <c r="E17" t="str">
        <f>step3_validation[[#This Row],[Age_Group]]</f>
        <v>40 - 49</v>
      </c>
      <c r="F17" t="str">
        <f>survey_responses[[#This Row],[Độ tuổi của bạn:]]</f>
        <v>40 - 49</v>
      </c>
      <c r="G17" t="str">
        <f>step3_validation[[#This Row],[Region]]</f>
        <v>Thành thị</v>
      </c>
      <c r="H17" t="str">
        <f>survey_responses[[#This Row],[Khu vực bạn đang sinh sống:]]</f>
        <v>Thành thị</v>
      </c>
      <c r="I17" t="str">
        <f>step3_validation[[#This Row],[Education]]</f>
        <v>Sau Đại học</v>
      </c>
      <c r="J17" t="str">
        <f>survey_responses[[#This Row],[Trình độ học vấn cao nhất:]]</f>
        <v>Sau Đại học</v>
      </c>
      <c r="K17" t="str">
        <f>step3_validation[[#This Row],[Employment]]</f>
        <v>Chính thức</v>
      </c>
      <c r="L17" t="str">
        <f>survey_responses[[#This Row],[Tình trạng việc làm chính:]]</f>
        <v>Khu vực chính thức (Có Hợp đồng lao động, đóng BHXH)</v>
      </c>
      <c r="M17">
        <f>step3_validation[[#This Row],[Income_Mil]]</f>
        <v>87.574422005260317</v>
      </c>
      <c r="N17" t="str">
        <f>survey_responses[[#This Row],[Thu nhập bình quân tháng theo Hợp đồng lao động của bạn là bao nhiêu? (Vui lòng điền tổng thu nhập trước khi khấu trừ các loại Bảo hiểm (BHXH, BHYT, BHTN) và Thuế TNCN)]]</f>
        <v>Từ 70 - 102 triệu VNĐ</v>
      </c>
      <c r="O17">
        <f>step3_validation[[#This Row],[Dependents]]</f>
        <v>4</v>
      </c>
      <c r="P17" t="str">
        <f>survey_responses[[#This Row],[Số người phụ thuộc (con nhỏ, cha mẹ già...) đủ điều kiện giảm trừ gia cảnh:]]</f>
        <v>4 người trở lên</v>
      </c>
      <c r="Q17">
        <f>step3_validation[[#This Row],[AI_ENF1]]</f>
        <v>9</v>
      </c>
      <c r="R17" t="str">
        <f t="shared" si="0"/>
        <v>Support</v>
      </c>
      <c r="S17">
        <f>survey_responses[[#This Row],[Tôi tin rằng với các quy định quản lý thuế hiện nay, hành vi gian lận hoặc trốn thuế sẽ dễ dàng bị phát hiện và xử lý nghiêm. - HUMAN-ENF1]]</f>
        <v>8</v>
      </c>
      <c r="T17" t="str">
        <f t="shared" si="1"/>
        <v>Support</v>
      </c>
      <c r="U17" s="32">
        <f t="shared" si="2"/>
        <v>1</v>
      </c>
      <c r="V17">
        <f>step3_validation[[#This Row],[AI_ENF2]]</f>
        <v>8</v>
      </c>
      <c r="W17" t="str">
        <f t="shared" si="3"/>
        <v>Support</v>
      </c>
      <c r="X17">
        <f>survey_responses[[#This Row],[Tôi tin rằng Nhà nước, cơ quan thuế có đủ khả năng và công nghệ để phát hiện, xử lý nghiêm các hành vi trốn thuế. - HUMAN-ENF2]]</f>
        <v>8</v>
      </c>
      <c r="Y17" t="str">
        <f t="shared" si="4"/>
        <v>Support</v>
      </c>
      <c r="Z17" s="32">
        <f t="shared" si="5"/>
        <v>0</v>
      </c>
      <c r="AA17">
        <f>step3_validation[[#This Row],[AI_FAC1]]</f>
        <v>9</v>
      </c>
      <c r="AB17" t="str">
        <f t="shared" si="6"/>
        <v>Support</v>
      </c>
      <c r="AC17">
        <f>survey_responses[[#This Row],[Các thủ tục khai báo thuế VÀ/HOẶC quy trình làm việc với cơ quan thuế đơn giản, tiện lợi, nhanh chóng hơn so với trước đây. - HUMAN-FAC1]]</f>
        <v>8</v>
      </c>
      <c r="AD17" t="str">
        <f t="shared" si="7"/>
        <v>Support</v>
      </c>
      <c r="AE17" s="32">
        <f t="shared" si="8"/>
        <v>1</v>
      </c>
      <c r="AF17">
        <f>step3_validation[[#This Row],[AI_FAC2]]</f>
        <v>9</v>
      </c>
      <c r="AG17" t="str">
        <f t="shared" si="9"/>
        <v>Support</v>
      </c>
      <c r="AH17">
        <f>survey_responses[[#This Row],[So với trước đây, tôi thấy cách tính thuế và các bậc thuế trong phương án mới đơn giản, dễ hiểu và dễ thực hiện hơn. - HUMAN-FAC2]]</f>
        <v>9</v>
      </c>
      <c r="AI17" t="str">
        <f t="shared" si="10"/>
        <v>Support</v>
      </c>
      <c r="AJ17" s="32">
        <f t="shared" si="11"/>
        <v>0</v>
      </c>
      <c r="AK17">
        <f>step3_validation[[#This Row],[AI_TRU1]]</f>
        <v>8</v>
      </c>
      <c r="AL17" t="str">
        <f t="shared" si="12"/>
        <v>Support</v>
      </c>
      <c r="AM17">
        <f>survey_responses[[#This Row],[Tôi tin rằng Nhà nước, cơ quan thuế sẽ thực thi chính sách mới một cách khách quan, công tâm và đối xử bình đẳng với mọi người nộp thuế.  - HUMAN-TRU1]]</f>
        <v>7</v>
      </c>
      <c r="AN17" t="str">
        <f t="shared" si="13"/>
        <v>Neutral</v>
      </c>
      <c r="AO17" s="32">
        <f t="shared" si="14"/>
        <v>1</v>
      </c>
      <c r="AP17">
        <f>step3_validation[[#This Row],[AI_TRU2]]</f>
        <v>9</v>
      </c>
      <c r="AQ17" t="str">
        <f t="shared" si="15"/>
        <v>Support</v>
      </c>
      <c r="AR17">
        <f>survey_responses[[#This Row],[Tôi thấy mức thuế tôi phải đóng theo phương án mới là công bằng (người thu nhập như tôi đóng mức này là hợp lý). - HUMAN-TRU2]]</f>
        <v>7</v>
      </c>
      <c r="AS17" t="str">
        <f t="shared" si="16"/>
        <v>Neutral</v>
      </c>
      <c r="AT17" s="32">
        <f t="shared" si="17"/>
        <v>2</v>
      </c>
      <c r="AU17">
        <f>step3_validation[[#This Row],[AI_TRU3]]</f>
        <v>8</v>
      </c>
      <c r="AV17" t="str">
        <f t="shared" si="18"/>
        <v>Support</v>
      </c>
      <c r="AW17">
        <f>survey_responses[[#This Row],[Tôi tin tưởng số tiền thuế tôi đóng sẽ được Nhà nước sử dụng hiệu quả để cải thiện dịch vụ công (y tế, đường xá...). - HUMAN-TRU3]]</f>
        <v>9</v>
      </c>
      <c r="AX17" t="str">
        <f t="shared" si="19"/>
        <v>Support</v>
      </c>
      <c r="AY17" s="32">
        <f t="shared" si="20"/>
        <v>1</v>
      </c>
      <c r="AZ17">
        <f>step3_validation[[#This Row],[AI_TRU4]]</f>
        <v>9</v>
      </c>
      <c r="BA17" t="str">
        <f t="shared" si="21"/>
        <v>Support</v>
      </c>
      <c r="BB17">
        <f>survey_responses[[#This Row],[Tôi thấy Nhà nước đã giải thích rõ ràng, minh bạch về lý do và mục tiêu của việc sửa đổi thuế lần này. - HUMAN-TRU4]]</f>
        <v>8</v>
      </c>
      <c r="BC17" t="str">
        <f t="shared" si="22"/>
        <v>Support</v>
      </c>
      <c r="BD17" s="32">
        <f t="shared" si="23"/>
        <v>1</v>
      </c>
      <c r="BE17">
        <f>step3_validation[[#This Row],[AI_OUT1]]</f>
        <v>8</v>
      </c>
      <c r="BF17" t="str">
        <f t="shared" si="24"/>
        <v>Support</v>
      </c>
      <c r="BG17">
        <f>survey_responses[[#This Row],[Sau khi xem xét các quyền lợi và nghĩa vụ, bạn có ủng hộ và tuân thủ chính sách mới hiện nay? - HUMAN-OUT1]]</f>
        <v>7</v>
      </c>
      <c r="BH17" t="str">
        <f t="shared" si="25"/>
        <v>Neutral</v>
      </c>
      <c r="BI17" s="32">
        <f t="shared" si="26"/>
        <v>1</v>
      </c>
    </row>
    <row r="18" spans="1:61" x14ac:dyDescent="0.45">
      <c r="A18" s="30">
        <f>step3_validation[[#This Row],[Persona_ID]]</f>
        <v>17</v>
      </c>
      <c r="B18" s="31">
        <f>step3_validation[[#This Row],[Used_Seed]]</f>
        <v>17</v>
      </c>
      <c r="C18" t="str">
        <f>step3_validation[[#This Row],[Gender]]</f>
        <v>Nữ</v>
      </c>
      <c r="D18" t="str">
        <f>survey_responses[[#This Row],[Giới tính của bạn:]]</f>
        <v>Nữ</v>
      </c>
      <c r="E18" t="str">
        <f>step3_validation[[#This Row],[Age_Group]]</f>
        <v>25 - 29</v>
      </c>
      <c r="F18" t="str">
        <f>survey_responses[[#This Row],[Độ tuổi của bạn:]]</f>
        <v>25 - 29</v>
      </c>
      <c r="G18" t="str">
        <f>step3_validation[[#This Row],[Region]]</f>
        <v>Thành thị</v>
      </c>
      <c r="H18" t="str">
        <f>survey_responses[[#This Row],[Khu vực bạn đang sinh sống:]]</f>
        <v>Thành thị</v>
      </c>
      <c r="I18" t="str">
        <f>step3_validation[[#This Row],[Education]]</f>
        <v>Đại học</v>
      </c>
      <c r="J18" t="str">
        <f>survey_responses[[#This Row],[Trình độ học vấn cao nhất:]]</f>
        <v>Đại học</v>
      </c>
      <c r="K18" t="str">
        <f>step3_validation[[#This Row],[Employment]]</f>
        <v>Chính thức</v>
      </c>
      <c r="L18" t="str">
        <f>survey_responses[[#This Row],[Tình trạng việc làm chính:]]</f>
        <v>Khu vực chính thức (Có Hợp đồng lao động, đóng BHXH)</v>
      </c>
      <c r="M18">
        <f>step3_validation[[#This Row],[Income_Mil]]</f>
        <v>21.380299171191606</v>
      </c>
      <c r="N18" t="str">
        <f>survey_responses[[#This Row],[Thu nhập bình quân tháng theo Hợp đồng lao động của bạn là bao nhiêu? (Vui lòng điền tổng thu nhập trước khi khấu trừ các loại Bảo hiểm (BHXH, BHYT, BHTN) và Thuế TNCN)]]</f>
        <v>Từ 18 - 23 triệu VNĐ</v>
      </c>
      <c r="O18">
        <f>step3_validation[[#This Row],[Dependents]]</f>
        <v>2</v>
      </c>
      <c r="P18" t="str">
        <f>survey_responses[[#This Row],[Số người phụ thuộc (con nhỏ, cha mẹ già...) đủ điều kiện giảm trừ gia cảnh:]]</f>
        <v>2 người</v>
      </c>
      <c r="Q18">
        <f>step3_validation[[#This Row],[AI_ENF1]]</f>
        <v>8</v>
      </c>
      <c r="R18" t="str">
        <f t="shared" si="0"/>
        <v>Support</v>
      </c>
      <c r="S18">
        <f>survey_responses[[#This Row],[Tôi tin rằng với các quy định quản lý thuế hiện nay, hành vi gian lận hoặc trốn thuế sẽ dễ dàng bị phát hiện và xử lý nghiêm. - HUMAN-ENF1]]</f>
        <v>6</v>
      </c>
      <c r="T18" t="str">
        <f t="shared" si="1"/>
        <v>Neutral</v>
      </c>
      <c r="U18" s="32">
        <f t="shared" si="2"/>
        <v>2</v>
      </c>
      <c r="V18">
        <f>step3_validation[[#This Row],[AI_ENF2]]</f>
        <v>9</v>
      </c>
      <c r="W18" t="str">
        <f t="shared" si="3"/>
        <v>Support</v>
      </c>
      <c r="X18">
        <f>survey_responses[[#This Row],[Tôi tin rằng Nhà nước, cơ quan thuế có đủ khả năng và công nghệ để phát hiện, xử lý nghiêm các hành vi trốn thuế. - HUMAN-ENF2]]</f>
        <v>7</v>
      </c>
      <c r="Y18" t="str">
        <f t="shared" si="4"/>
        <v>Neutral</v>
      </c>
      <c r="Z18" s="32">
        <f t="shared" si="5"/>
        <v>2</v>
      </c>
      <c r="AA18">
        <f>step3_validation[[#This Row],[AI_FAC1]]</f>
        <v>10</v>
      </c>
      <c r="AB18" t="str">
        <f t="shared" si="6"/>
        <v>Support</v>
      </c>
      <c r="AC18">
        <f>survey_responses[[#This Row],[Các thủ tục khai báo thuế VÀ/HOẶC quy trình làm việc với cơ quan thuế đơn giản, tiện lợi, nhanh chóng hơn so với trước đây. - HUMAN-FAC1]]</f>
        <v>5</v>
      </c>
      <c r="AD18" t="str">
        <f t="shared" si="7"/>
        <v>Neutral</v>
      </c>
      <c r="AE18" s="32">
        <f t="shared" si="8"/>
        <v>5</v>
      </c>
      <c r="AF18">
        <f>step3_validation[[#This Row],[AI_FAC2]]</f>
        <v>10</v>
      </c>
      <c r="AG18" t="str">
        <f t="shared" si="9"/>
        <v>Support</v>
      </c>
      <c r="AH18">
        <f>survey_responses[[#This Row],[So với trước đây, tôi thấy cách tính thuế và các bậc thuế trong phương án mới đơn giản, dễ hiểu và dễ thực hiện hơn. - HUMAN-FAC2]]</f>
        <v>5</v>
      </c>
      <c r="AI18" t="str">
        <f t="shared" si="10"/>
        <v>Neutral</v>
      </c>
      <c r="AJ18" s="32">
        <f t="shared" si="11"/>
        <v>5</v>
      </c>
      <c r="AK18">
        <f>step3_validation[[#This Row],[AI_TRU1]]</f>
        <v>7</v>
      </c>
      <c r="AL18" t="str">
        <f t="shared" si="12"/>
        <v>Neutral</v>
      </c>
      <c r="AM18">
        <f>survey_responses[[#This Row],[Tôi tin rằng Nhà nước, cơ quan thuế sẽ thực thi chính sách mới một cách khách quan, công tâm và đối xử bình đẳng với mọi người nộp thuế.  - HUMAN-TRU1]]</f>
        <v>6</v>
      </c>
      <c r="AN18" t="str">
        <f t="shared" si="13"/>
        <v>Neutral</v>
      </c>
      <c r="AO18" s="32">
        <f t="shared" si="14"/>
        <v>1</v>
      </c>
      <c r="AP18">
        <f>step3_validation[[#This Row],[AI_TRU2]]</f>
        <v>9</v>
      </c>
      <c r="AQ18" t="str">
        <f t="shared" si="15"/>
        <v>Support</v>
      </c>
      <c r="AR18">
        <f>survey_responses[[#This Row],[Tôi thấy mức thuế tôi phải đóng theo phương án mới là công bằng (người thu nhập như tôi đóng mức này là hợp lý). - HUMAN-TRU2]]</f>
        <v>7</v>
      </c>
      <c r="AS18" t="str">
        <f t="shared" si="16"/>
        <v>Neutral</v>
      </c>
      <c r="AT18" s="32">
        <f t="shared" si="17"/>
        <v>2</v>
      </c>
      <c r="AU18">
        <f>step3_validation[[#This Row],[AI_TRU3]]</f>
        <v>8</v>
      </c>
      <c r="AV18" t="str">
        <f t="shared" si="18"/>
        <v>Support</v>
      </c>
      <c r="AW18">
        <f>survey_responses[[#This Row],[Tôi tin tưởng số tiền thuế tôi đóng sẽ được Nhà nước sử dụng hiệu quả để cải thiện dịch vụ công (y tế, đường xá...). - HUMAN-TRU3]]</f>
        <v>3</v>
      </c>
      <c r="AX18" t="str">
        <f t="shared" si="19"/>
        <v>Oppose</v>
      </c>
      <c r="AY18" s="32">
        <f t="shared" si="20"/>
        <v>5</v>
      </c>
      <c r="AZ18">
        <f>step3_validation[[#This Row],[AI_TRU4]]</f>
        <v>7</v>
      </c>
      <c r="BA18" t="str">
        <f t="shared" si="21"/>
        <v>Neutral</v>
      </c>
      <c r="BB18">
        <f>survey_responses[[#This Row],[Tôi thấy Nhà nước đã giải thích rõ ràng, minh bạch về lý do và mục tiêu của việc sửa đổi thuế lần này. - HUMAN-TRU4]]</f>
        <v>4</v>
      </c>
      <c r="BC18" t="str">
        <f t="shared" si="22"/>
        <v>Oppose</v>
      </c>
      <c r="BD18" s="32">
        <f t="shared" si="23"/>
        <v>3</v>
      </c>
      <c r="BE18">
        <f>step3_validation[[#This Row],[AI_OUT1]]</f>
        <v>9</v>
      </c>
      <c r="BF18" t="str">
        <f t="shared" si="24"/>
        <v>Support</v>
      </c>
      <c r="BG18">
        <f>survey_responses[[#This Row],[Sau khi xem xét các quyền lợi và nghĩa vụ, bạn có ủng hộ và tuân thủ chính sách mới hiện nay? - HUMAN-OUT1]]</f>
        <v>5</v>
      </c>
      <c r="BH18" t="str">
        <f t="shared" si="25"/>
        <v>Neutral</v>
      </c>
      <c r="BI18" s="32">
        <f t="shared" si="26"/>
        <v>4</v>
      </c>
    </row>
    <row r="19" spans="1:61" x14ac:dyDescent="0.45">
      <c r="A19" s="30">
        <f>step3_validation[[#This Row],[Persona_ID]]</f>
        <v>18</v>
      </c>
      <c r="B19" s="31">
        <f>step3_validation[[#This Row],[Used_Seed]]</f>
        <v>18</v>
      </c>
      <c r="C19" t="str">
        <f>step3_validation[[#This Row],[Gender]]</f>
        <v>Nam</v>
      </c>
      <c r="D19" t="str">
        <f>survey_responses[[#This Row],[Giới tính của bạn:]]</f>
        <v>Nam</v>
      </c>
      <c r="E19" t="str">
        <f>step3_validation[[#This Row],[Age_Group]]</f>
        <v>40 - 49</v>
      </c>
      <c r="F19" t="str">
        <f>survey_responses[[#This Row],[Độ tuổi của bạn:]]</f>
        <v>40 - 49</v>
      </c>
      <c r="G19" t="str">
        <f>step3_validation[[#This Row],[Region]]</f>
        <v>Thành thị</v>
      </c>
      <c r="H19" t="str">
        <f>survey_responses[[#This Row],[Khu vực bạn đang sinh sống:]]</f>
        <v>Thành thị</v>
      </c>
      <c r="I19" t="str">
        <f>step3_validation[[#This Row],[Education]]</f>
        <v>Đại học</v>
      </c>
      <c r="J19" t="str">
        <f>survey_responses[[#This Row],[Trình độ học vấn cao nhất:]]</f>
        <v>Đại học</v>
      </c>
      <c r="K19" t="str">
        <f>step3_validation[[#This Row],[Employment]]</f>
        <v>Phi chính thức</v>
      </c>
      <c r="L19" t="str">
        <f>survey_responses[[#This Row],[Tình trạng việc làm chính:]]</f>
        <v>Khu vực phi chính thức (Lao động tự do, không có HĐLĐ)</v>
      </c>
      <c r="M19">
        <f>step3_validation[[#This Row],[Income_Mil]]</f>
        <v>13.996528846087864</v>
      </c>
      <c r="N19" t="str">
        <f>survey_responses[[#This Row],[Thu nhập bình quân tháng theo Hợp đồng lao động của bạn là bao nhiêu? (Vui lòng điền tổng thu nhập trước khi khấu trừ các loại Bảo hiểm (BHXH, BHYT, BHTN) và Thuế TNCN)]]</f>
        <v>Từ 12 - 18 triệu VNĐ</v>
      </c>
      <c r="O19">
        <f>step3_validation[[#This Row],[Dependents]]</f>
        <v>0</v>
      </c>
      <c r="P19" t="str">
        <f>survey_responses[[#This Row],[Số người phụ thuộc (con nhỏ, cha mẹ già...) đủ điều kiện giảm trừ gia cảnh:]]</f>
        <v>0 người</v>
      </c>
      <c r="Q19">
        <f>step3_validation[[#This Row],[AI_ENF1]]</f>
        <v>8</v>
      </c>
      <c r="R19" t="str">
        <f t="shared" si="0"/>
        <v>Support</v>
      </c>
      <c r="S19">
        <f>survey_responses[[#This Row],[Tôi tin rằng với các quy định quản lý thuế hiện nay, hành vi gian lận hoặc trốn thuế sẽ dễ dàng bị phát hiện và xử lý nghiêm. - HUMAN-ENF1]]</f>
        <v>6</v>
      </c>
      <c r="T19" t="str">
        <f t="shared" si="1"/>
        <v>Neutral</v>
      </c>
      <c r="U19" s="32">
        <f t="shared" si="2"/>
        <v>2</v>
      </c>
      <c r="V19">
        <f>step3_validation[[#This Row],[AI_ENF2]]</f>
        <v>7</v>
      </c>
      <c r="W19" t="str">
        <f t="shared" si="3"/>
        <v>Neutral</v>
      </c>
      <c r="X19">
        <f>survey_responses[[#This Row],[Tôi tin rằng Nhà nước, cơ quan thuế có đủ khả năng và công nghệ để phát hiện, xử lý nghiêm các hành vi trốn thuế. - HUMAN-ENF2]]</f>
        <v>8</v>
      </c>
      <c r="Y19" t="str">
        <f t="shared" si="4"/>
        <v>Support</v>
      </c>
      <c r="Z19" s="32">
        <f t="shared" si="5"/>
        <v>1</v>
      </c>
      <c r="AA19">
        <f>step3_validation[[#This Row],[AI_FAC1]]</f>
        <v>9</v>
      </c>
      <c r="AB19" t="str">
        <f t="shared" si="6"/>
        <v>Support</v>
      </c>
      <c r="AC19">
        <f>survey_responses[[#This Row],[Các thủ tục khai báo thuế VÀ/HOẶC quy trình làm việc với cơ quan thuế đơn giản, tiện lợi, nhanh chóng hơn so với trước đây. - HUMAN-FAC1]]</f>
        <v>7</v>
      </c>
      <c r="AD19" t="str">
        <f t="shared" si="7"/>
        <v>Neutral</v>
      </c>
      <c r="AE19" s="32">
        <f t="shared" si="8"/>
        <v>2</v>
      </c>
      <c r="AF19">
        <f>step3_validation[[#This Row],[AI_FAC2]]</f>
        <v>8</v>
      </c>
      <c r="AG19" t="str">
        <f t="shared" si="9"/>
        <v>Support</v>
      </c>
      <c r="AH19">
        <f>survey_responses[[#This Row],[So với trước đây, tôi thấy cách tính thuế và các bậc thuế trong phương án mới đơn giản, dễ hiểu và dễ thực hiện hơn. - HUMAN-FAC2]]</f>
        <v>8</v>
      </c>
      <c r="AI19" t="str">
        <f t="shared" si="10"/>
        <v>Support</v>
      </c>
      <c r="AJ19" s="32">
        <f t="shared" si="11"/>
        <v>0</v>
      </c>
      <c r="AK19">
        <f>step3_validation[[#This Row],[AI_TRU1]]</f>
        <v>9</v>
      </c>
      <c r="AL19" t="str">
        <f t="shared" si="12"/>
        <v>Support</v>
      </c>
      <c r="AM19">
        <f>survey_responses[[#This Row],[Tôi tin rằng Nhà nước, cơ quan thuế sẽ thực thi chính sách mới một cách khách quan, công tâm và đối xử bình đẳng với mọi người nộp thuế.  - HUMAN-TRU1]]</f>
        <v>8</v>
      </c>
      <c r="AN19" t="str">
        <f t="shared" si="13"/>
        <v>Support</v>
      </c>
      <c r="AO19" s="32">
        <f t="shared" si="14"/>
        <v>1</v>
      </c>
      <c r="AP19">
        <f>step3_validation[[#This Row],[AI_TRU2]]</f>
        <v>9</v>
      </c>
      <c r="AQ19" t="str">
        <f t="shared" si="15"/>
        <v>Support</v>
      </c>
      <c r="AR19">
        <f>survey_responses[[#This Row],[Tôi thấy mức thuế tôi phải đóng theo phương án mới là công bằng (người thu nhập như tôi đóng mức này là hợp lý). - HUMAN-TRU2]]</f>
        <v>7</v>
      </c>
      <c r="AS19" t="str">
        <f t="shared" si="16"/>
        <v>Neutral</v>
      </c>
      <c r="AT19" s="32">
        <f t="shared" si="17"/>
        <v>2</v>
      </c>
      <c r="AU19">
        <f>step3_validation[[#This Row],[AI_TRU3]]</f>
        <v>9</v>
      </c>
      <c r="AV19" t="str">
        <f t="shared" si="18"/>
        <v>Support</v>
      </c>
      <c r="AW19">
        <f>survey_responses[[#This Row],[Tôi tin tưởng số tiền thuế tôi đóng sẽ được Nhà nước sử dụng hiệu quả để cải thiện dịch vụ công (y tế, đường xá...). - HUMAN-TRU3]]</f>
        <v>7</v>
      </c>
      <c r="AX19" t="str">
        <f t="shared" si="19"/>
        <v>Neutral</v>
      </c>
      <c r="AY19" s="32">
        <f t="shared" si="20"/>
        <v>2</v>
      </c>
      <c r="AZ19">
        <f>step3_validation[[#This Row],[AI_TRU4]]</f>
        <v>7</v>
      </c>
      <c r="BA19" t="str">
        <f t="shared" si="21"/>
        <v>Neutral</v>
      </c>
      <c r="BB19">
        <f>survey_responses[[#This Row],[Tôi thấy Nhà nước đã giải thích rõ ràng, minh bạch về lý do và mục tiêu của việc sửa đổi thuế lần này. - HUMAN-TRU4]]</f>
        <v>6</v>
      </c>
      <c r="BC19" t="str">
        <f t="shared" si="22"/>
        <v>Neutral</v>
      </c>
      <c r="BD19" s="32">
        <f t="shared" si="23"/>
        <v>1</v>
      </c>
      <c r="BE19">
        <f>step3_validation[[#This Row],[AI_OUT1]]</f>
        <v>9</v>
      </c>
      <c r="BF19" t="str">
        <f t="shared" si="24"/>
        <v>Support</v>
      </c>
      <c r="BG19">
        <f>survey_responses[[#This Row],[Sau khi xem xét các quyền lợi và nghĩa vụ, bạn có ủng hộ và tuân thủ chính sách mới hiện nay? - HUMAN-OUT1]]</f>
        <v>8</v>
      </c>
      <c r="BH19" t="str">
        <f t="shared" si="25"/>
        <v>Support</v>
      </c>
      <c r="BI19" s="32">
        <f t="shared" si="26"/>
        <v>1</v>
      </c>
    </row>
    <row r="20" spans="1:61" x14ac:dyDescent="0.45">
      <c r="A20" s="30">
        <f>step3_validation[[#This Row],[Persona_ID]]</f>
        <v>19</v>
      </c>
      <c r="B20" s="31">
        <f>step3_validation[[#This Row],[Used_Seed]]</f>
        <v>19</v>
      </c>
      <c r="C20" t="str">
        <f>step3_validation[[#This Row],[Gender]]</f>
        <v>Nam</v>
      </c>
      <c r="D20" t="str">
        <f>survey_responses[[#This Row],[Giới tính của bạn:]]</f>
        <v>Nam</v>
      </c>
      <c r="E20" t="str">
        <f>step3_validation[[#This Row],[Age_Group]]</f>
        <v>40 - 49</v>
      </c>
      <c r="F20" t="str">
        <f>survey_responses[[#This Row],[Độ tuổi của bạn:]]</f>
        <v>40 - 49</v>
      </c>
      <c r="G20" t="str">
        <f>step3_validation[[#This Row],[Region]]</f>
        <v>Thành thị</v>
      </c>
      <c r="H20" t="str">
        <f>survey_responses[[#This Row],[Khu vực bạn đang sinh sống:]]</f>
        <v>Thành thị</v>
      </c>
      <c r="I20" t="str">
        <f>step3_validation[[#This Row],[Education]]</f>
        <v>Đại học</v>
      </c>
      <c r="J20" t="str">
        <f>survey_responses[[#This Row],[Trình độ học vấn cao nhất:]]</f>
        <v>Đại học</v>
      </c>
      <c r="K20" t="str">
        <f>step3_validation[[#This Row],[Employment]]</f>
        <v>Chính thức</v>
      </c>
      <c r="L20" t="str">
        <f>survey_responses[[#This Row],[Tình trạng việc làm chính:]]</f>
        <v>Khu vực chính thức (Có Hợp đồng lao động, đóng BHXH)</v>
      </c>
      <c r="M20">
        <f>step3_validation[[#This Row],[Income_Mil]]</f>
        <v>164.2160617679306</v>
      </c>
      <c r="N20" t="str">
        <f>survey_responses[[#This Row],[Thu nhập bình quân tháng theo Hợp đồng lao động của bạn là bao nhiêu? (Vui lòng điền tổng thu nhập trước khi khấu trừ các loại Bảo hiểm (BHXH, BHYT, BHTN) và Thuế TNCN)]]</f>
        <v>Trên 102 triệu VNĐ</v>
      </c>
      <c r="O20">
        <f>step3_validation[[#This Row],[Dependents]]</f>
        <v>4</v>
      </c>
      <c r="P20" t="str">
        <f>survey_responses[[#This Row],[Số người phụ thuộc (con nhỏ, cha mẹ già...) đủ điều kiện giảm trừ gia cảnh:]]</f>
        <v>4 người trở lên</v>
      </c>
      <c r="Q20">
        <f>step3_validation[[#This Row],[AI_ENF1]]</f>
        <v>6</v>
      </c>
      <c r="R20" t="str">
        <f t="shared" si="0"/>
        <v>Neutral</v>
      </c>
      <c r="S20">
        <f>survey_responses[[#This Row],[Tôi tin rằng với các quy định quản lý thuế hiện nay, hành vi gian lận hoặc trốn thuế sẽ dễ dàng bị phát hiện và xử lý nghiêm. - HUMAN-ENF1]]</f>
        <v>10</v>
      </c>
      <c r="T20" t="str">
        <f t="shared" si="1"/>
        <v>Support</v>
      </c>
      <c r="U20" s="32">
        <f t="shared" si="2"/>
        <v>4</v>
      </c>
      <c r="V20">
        <f>step3_validation[[#This Row],[AI_ENF2]]</f>
        <v>7</v>
      </c>
      <c r="W20" t="str">
        <f t="shared" si="3"/>
        <v>Neutral</v>
      </c>
      <c r="X20">
        <f>survey_responses[[#This Row],[Tôi tin rằng Nhà nước, cơ quan thuế có đủ khả năng và công nghệ để phát hiện, xử lý nghiêm các hành vi trốn thuế. - HUMAN-ENF2]]</f>
        <v>10</v>
      </c>
      <c r="Y20" t="str">
        <f t="shared" si="4"/>
        <v>Support</v>
      </c>
      <c r="Z20" s="32">
        <f t="shared" si="5"/>
        <v>3</v>
      </c>
      <c r="AA20">
        <f>step3_validation[[#This Row],[AI_FAC1]]</f>
        <v>9</v>
      </c>
      <c r="AB20" t="str">
        <f t="shared" si="6"/>
        <v>Support</v>
      </c>
      <c r="AC20">
        <f>survey_responses[[#This Row],[Các thủ tục khai báo thuế VÀ/HOẶC quy trình làm việc với cơ quan thuế đơn giản, tiện lợi, nhanh chóng hơn so với trước đây. - HUMAN-FAC1]]</f>
        <v>5</v>
      </c>
      <c r="AD20" t="str">
        <f t="shared" si="7"/>
        <v>Neutral</v>
      </c>
      <c r="AE20" s="32">
        <f t="shared" si="8"/>
        <v>4</v>
      </c>
      <c r="AF20">
        <f>step3_validation[[#This Row],[AI_FAC2]]</f>
        <v>8</v>
      </c>
      <c r="AG20" t="str">
        <f t="shared" si="9"/>
        <v>Support</v>
      </c>
      <c r="AH20">
        <f>survey_responses[[#This Row],[So với trước đây, tôi thấy cách tính thuế và các bậc thuế trong phương án mới đơn giản, dễ hiểu và dễ thực hiện hơn. - HUMAN-FAC2]]</f>
        <v>5</v>
      </c>
      <c r="AI20" t="str">
        <f t="shared" si="10"/>
        <v>Neutral</v>
      </c>
      <c r="AJ20" s="32">
        <f t="shared" si="11"/>
        <v>3</v>
      </c>
      <c r="AK20">
        <f>step3_validation[[#This Row],[AI_TRU1]]</f>
        <v>7</v>
      </c>
      <c r="AL20" t="str">
        <f t="shared" si="12"/>
        <v>Neutral</v>
      </c>
      <c r="AM20">
        <f>survey_responses[[#This Row],[Tôi tin rằng Nhà nước, cơ quan thuế sẽ thực thi chính sách mới một cách khách quan, công tâm và đối xử bình đẳng với mọi người nộp thuế.  - HUMAN-TRU1]]</f>
        <v>5</v>
      </c>
      <c r="AN20" t="str">
        <f t="shared" si="13"/>
        <v>Neutral</v>
      </c>
      <c r="AO20" s="32">
        <f t="shared" si="14"/>
        <v>2</v>
      </c>
      <c r="AP20">
        <f>step3_validation[[#This Row],[AI_TRU2]]</f>
        <v>9</v>
      </c>
      <c r="AQ20" t="str">
        <f t="shared" si="15"/>
        <v>Support</v>
      </c>
      <c r="AR20">
        <f>survey_responses[[#This Row],[Tôi thấy mức thuế tôi phải đóng theo phương án mới là công bằng (người thu nhập như tôi đóng mức này là hợp lý). - HUMAN-TRU2]]</f>
        <v>3</v>
      </c>
      <c r="AS20" t="str">
        <f t="shared" si="16"/>
        <v>Oppose</v>
      </c>
      <c r="AT20" s="32">
        <f t="shared" si="17"/>
        <v>6</v>
      </c>
      <c r="AU20">
        <f>step3_validation[[#This Row],[AI_TRU3]]</f>
        <v>6</v>
      </c>
      <c r="AV20" t="str">
        <f t="shared" si="18"/>
        <v>Neutral</v>
      </c>
      <c r="AW20">
        <f>survey_responses[[#This Row],[Tôi tin tưởng số tiền thuế tôi đóng sẽ được Nhà nước sử dụng hiệu quả để cải thiện dịch vụ công (y tế, đường xá...). - HUMAN-TRU3]]</f>
        <v>2</v>
      </c>
      <c r="AX20" t="str">
        <f t="shared" si="19"/>
        <v>Oppose</v>
      </c>
      <c r="AY20" s="32">
        <f t="shared" si="20"/>
        <v>4</v>
      </c>
      <c r="AZ20">
        <f>step3_validation[[#This Row],[AI_TRU4]]</f>
        <v>8</v>
      </c>
      <c r="BA20" t="str">
        <f t="shared" si="21"/>
        <v>Support</v>
      </c>
      <c r="BB20">
        <f>survey_responses[[#This Row],[Tôi thấy Nhà nước đã giải thích rõ ràng, minh bạch về lý do và mục tiêu của việc sửa đổi thuế lần này. - HUMAN-TRU4]]</f>
        <v>5</v>
      </c>
      <c r="BC20" t="str">
        <f t="shared" si="22"/>
        <v>Neutral</v>
      </c>
      <c r="BD20" s="32">
        <f t="shared" si="23"/>
        <v>3</v>
      </c>
      <c r="BE20">
        <f>step3_validation[[#This Row],[AI_OUT1]]</f>
        <v>9</v>
      </c>
      <c r="BF20" t="str">
        <f t="shared" si="24"/>
        <v>Support</v>
      </c>
      <c r="BG20">
        <f>survey_responses[[#This Row],[Sau khi xem xét các quyền lợi và nghĩa vụ, bạn có ủng hộ và tuân thủ chính sách mới hiện nay? - HUMAN-OUT1]]</f>
        <v>8</v>
      </c>
      <c r="BH20" t="str">
        <f t="shared" si="25"/>
        <v>Support</v>
      </c>
      <c r="BI20" s="32">
        <f t="shared" si="26"/>
        <v>1</v>
      </c>
    </row>
    <row r="21" spans="1:61" x14ac:dyDescent="0.45">
      <c r="A21" s="30">
        <f>step3_validation[[#This Row],[Persona_ID]]</f>
        <v>20</v>
      </c>
      <c r="B21" s="31">
        <f>step3_validation[[#This Row],[Used_Seed]]</f>
        <v>20</v>
      </c>
      <c r="C21" t="str">
        <f>step3_validation[[#This Row],[Gender]]</f>
        <v>Nam</v>
      </c>
      <c r="D21" t="str">
        <f>survey_responses[[#This Row],[Giới tính của bạn:]]</f>
        <v>Nam</v>
      </c>
      <c r="E21" t="str">
        <f>step3_validation[[#This Row],[Age_Group]]</f>
        <v>30 - 39</v>
      </c>
      <c r="F21" t="str">
        <f>survey_responses[[#This Row],[Độ tuổi của bạn:]]</f>
        <v>30 - 39</v>
      </c>
      <c r="G21" t="str">
        <f>step3_validation[[#This Row],[Region]]</f>
        <v>Thành thị</v>
      </c>
      <c r="H21" t="str">
        <f>survey_responses[[#This Row],[Khu vực bạn đang sinh sống:]]</f>
        <v>Thành thị</v>
      </c>
      <c r="I21" t="str">
        <f>step3_validation[[#This Row],[Education]]</f>
        <v>Sau Đại học</v>
      </c>
      <c r="J21" t="str">
        <f>survey_responses[[#This Row],[Trình độ học vấn cao nhất:]]</f>
        <v>Sau Đại học</v>
      </c>
      <c r="K21" t="str">
        <f>step3_validation[[#This Row],[Employment]]</f>
        <v>Chính thức</v>
      </c>
      <c r="L21" t="str">
        <f>survey_responses[[#This Row],[Tình trạng việc làm chính:]]</f>
        <v>Khu vực chính thức (Có Hợp đồng lao động, đóng BHXH)</v>
      </c>
      <c r="M21">
        <f>step3_validation[[#This Row],[Income_Mil]]</f>
        <v>53.881595215233347</v>
      </c>
      <c r="N21" t="str">
        <f>survey_responses[[#This Row],[Thu nhập bình quân tháng theo Hợp đồng lao động của bạn là bao nhiêu? (Vui lòng điền tổng thu nhập trước khi khấu trừ các loại Bảo hiểm (BHXH, BHYT, BHTN) và Thuế TNCN)]]</f>
        <v>Từ 48 - 70 triệu VNĐ</v>
      </c>
      <c r="O21">
        <f>step3_validation[[#This Row],[Dependents]]</f>
        <v>2</v>
      </c>
      <c r="P21" t="str">
        <f>survey_responses[[#This Row],[Số người phụ thuộc (con nhỏ, cha mẹ già...) đủ điều kiện giảm trừ gia cảnh:]]</f>
        <v>2 người</v>
      </c>
      <c r="Q21">
        <f>step3_validation[[#This Row],[AI_ENF1]]</f>
        <v>9</v>
      </c>
      <c r="R21" t="str">
        <f t="shared" si="0"/>
        <v>Support</v>
      </c>
      <c r="S21">
        <f>survey_responses[[#This Row],[Tôi tin rằng với các quy định quản lý thuế hiện nay, hành vi gian lận hoặc trốn thuế sẽ dễ dàng bị phát hiện và xử lý nghiêm. - HUMAN-ENF1]]</f>
        <v>9</v>
      </c>
      <c r="T21" t="str">
        <f t="shared" si="1"/>
        <v>Support</v>
      </c>
      <c r="U21" s="32">
        <f t="shared" si="2"/>
        <v>0</v>
      </c>
      <c r="V21">
        <f>step3_validation[[#This Row],[AI_ENF2]]</f>
        <v>8</v>
      </c>
      <c r="W21" t="str">
        <f t="shared" si="3"/>
        <v>Support</v>
      </c>
      <c r="X21">
        <f>survey_responses[[#This Row],[Tôi tin rằng Nhà nước, cơ quan thuế có đủ khả năng và công nghệ để phát hiện, xử lý nghiêm các hành vi trốn thuế. - HUMAN-ENF2]]</f>
        <v>9</v>
      </c>
      <c r="Y21" t="str">
        <f t="shared" si="4"/>
        <v>Support</v>
      </c>
      <c r="Z21" s="32">
        <f t="shared" si="5"/>
        <v>1</v>
      </c>
      <c r="AA21">
        <f>step3_validation[[#This Row],[AI_FAC1]]</f>
        <v>9</v>
      </c>
      <c r="AB21" t="str">
        <f t="shared" si="6"/>
        <v>Support</v>
      </c>
      <c r="AC21">
        <f>survey_responses[[#This Row],[Các thủ tục khai báo thuế VÀ/HOẶC quy trình làm việc với cơ quan thuế đơn giản, tiện lợi, nhanh chóng hơn so với trước đây. - HUMAN-FAC1]]</f>
        <v>7</v>
      </c>
      <c r="AD21" t="str">
        <f t="shared" si="7"/>
        <v>Neutral</v>
      </c>
      <c r="AE21" s="32">
        <f t="shared" si="8"/>
        <v>2</v>
      </c>
      <c r="AF21">
        <f>step3_validation[[#This Row],[AI_FAC2]]</f>
        <v>8</v>
      </c>
      <c r="AG21" t="str">
        <f t="shared" si="9"/>
        <v>Support</v>
      </c>
      <c r="AH21">
        <f>survey_responses[[#This Row],[So với trước đây, tôi thấy cách tính thuế và các bậc thuế trong phương án mới đơn giản, dễ hiểu và dễ thực hiện hơn. - HUMAN-FAC2]]</f>
        <v>9</v>
      </c>
      <c r="AI21" t="str">
        <f t="shared" si="10"/>
        <v>Support</v>
      </c>
      <c r="AJ21" s="32">
        <f t="shared" si="11"/>
        <v>1</v>
      </c>
      <c r="AK21">
        <f>step3_validation[[#This Row],[AI_TRU1]]</f>
        <v>9</v>
      </c>
      <c r="AL21" t="str">
        <f t="shared" si="12"/>
        <v>Support</v>
      </c>
      <c r="AM21">
        <f>survey_responses[[#This Row],[Tôi tin rằng Nhà nước, cơ quan thuế sẽ thực thi chính sách mới một cách khách quan, công tâm và đối xử bình đẳng với mọi người nộp thuế.  - HUMAN-TRU1]]</f>
        <v>7</v>
      </c>
      <c r="AN21" t="str">
        <f t="shared" si="13"/>
        <v>Neutral</v>
      </c>
      <c r="AO21" s="32">
        <f t="shared" si="14"/>
        <v>2</v>
      </c>
      <c r="AP21">
        <f>step3_validation[[#This Row],[AI_TRU2]]</f>
        <v>8</v>
      </c>
      <c r="AQ21" t="str">
        <f t="shared" si="15"/>
        <v>Support</v>
      </c>
      <c r="AR21">
        <f>survey_responses[[#This Row],[Tôi thấy mức thuế tôi phải đóng theo phương án mới là công bằng (người thu nhập như tôi đóng mức này là hợp lý). - HUMAN-TRU2]]</f>
        <v>8</v>
      </c>
      <c r="AS21" t="str">
        <f t="shared" si="16"/>
        <v>Support</v>
      </c>
      <c r="AT21" s="32">
        <f t="shared" si="17"/>
        <v>0</v>
      </c>
      <c r="AU21">
        <f>step3_validation[[#This Row],[AI_TRU3]]</f>
        <v>9</v>
      </c>
      <c r="AV21" t="str">
        <f t="shared" si="18"/>
        <v>Support</v>
      </c>
      <c r="AW21">
        <f>survey_responses[[#This Row],[Tôi tin tưởng số tiền thuế tôi đóng sẽ được Nhà nước sử dụng hiệu quả để cải thiện dịch vụ công (y tế, đường xá...). - HUMAN-TRU3]]</f>
        <v>5</v>
      </c>
      <c r="AX21" t="str">
        <f t="shared" si="19"/>
        <v>Neutral</v>
      </c>
      <c r="AY21" s="32">
        <f t="shared" si="20"/>
        <v>4</v>
      </c>
      <c r="AZ21">
        <f>step3_validation[[#This Row],[AI_TRU4]]</f>
        <v>8</v>
      </c>
      <c r="BA21" t="str">
        <f t="shared" si="21"/>
        <v>Support</v>
      </c>
      <c r="BB21">
        <f>survey_responses[[#This Row],[Tôi thấy Nhà nước đã giải thích rõ ràng, minh bạch về lý do và mục tiêu của việc sửa đổi thuế lần này. - HUMAN-TRU4]]</f>
        <v>5</v>
      </c>
      <c r="BC21" t="str">
        <f t="shared" si="22"/>
        <v>Neutral</v>
      </c>
      <c r="BD21" s="32">
        <f t="shared" si="23"/>
        <v>3</v>
      </c>
      <c r="BE21">
        <f>step3_validation[[#This Row],[AI_OUT1]]</f>
        <v>9</v>
      </c>
      <c r="BF21" t="str">
        <f t="shared" si="24"/>
        <v>Support</v>
      </c>
      <c r="BG21">
        <f>survey_responses[[#This Row],[Sau khi xem xét các quyền lợi và nghĩa vụ, bạn có ủng hộ và tuân thủ chính sách mới hiện nay? - HUMAN-OUT1]]</f>
        <v>6</v>
      </c>
      <c r="BH21" t="str">
        <f t="shared" si="25"/>
        <v>Neutral</v>
      </c>
      <c r="BI21" s="32">
        <f t="shared" si="26"/>
        <v>3</v>
      </c>
    </row>
    <row r="22" spans="1:61" x14ac:dyDescent="0.45">
      <c r="A22" s="30">
        <f>step3_validation[[#This Row],[Persona_ID]]</f>
        <v>21</v>
      </c>
      <c r="B22" s="31">
        <f>step3_validation[[#This Row],[Used_Seed]]</f>
        <v>21</v>
      </c>
      <c r="C22" t="str">
        <f>step3_validation[[#This Row],[Gender]]</f>
        <v>Nữ</v>
      </c>
      <c r="D22" t="str">
        <f>survey_responses[[#This Row],[Giới tính của bạn:]]</f>
        <v>Nữ</v>
      </c>
      <c r="E22" t="str">
        <f>step3_validation[[#This Row],[Age_Group]]</f>
        <v>40 - 49</v>
      </c>
      <c r="F22" t="str">
        <f>survey_responses[[#This Row],[Độ tuổi của bạn:]]</f>
        <v>40 - 49</v>
      </c>
      <c r="G22" t="str">
        <f>step3_validation[[#This Row],[Region]]</f>
        <v>Thành thị</v>
      </c>
      <c r="H22" t="str">
        <f>survey_responses[[#This Row],[Khu vực bạn đang sinh sống:]]</f>
        <v>Thành thị</v>
      </c>
      <c r="I22" t="str">
        <f>step3_validation[[#This Row],[Education]]</f>
        <v>Đại học</v>
      </c>
      <c r="J22" t="str">
        <f>survey_responses[[#This Row],[Trình độ học vấn cao nhất:]]</f>
        <v>Đại học</v>
      </c>
      <c r="K22" t="str">
        <f>step3_validation[[#This Row],[Employment]]</f>
        <v>Chính thức</v>
      </c>
      <c r="L22" t="str">
        <f>survey_responses[[#This Row],[Tình trạng việc làm chính:]]</f>
        <v>Khu vực chính thức (Có Hợp đồng lao động, đóng BHXH)</v>
      </c>
      <c r="M22">
        <f>step3_validation[[#This Row],[Income_Mil]]</f>
        <v>217.6054031449857</v>
      </c>
      <c r="N22" t="str">
        <f>survey_responses[[#This Row],[Thu nhập bình quân tháng theo Hợp đồng lao động của bạn là bao nhiêu? (Vui lòng điền tổng thu nhập trước khi khấu trừ các loại Bảo hiểm (BHXH, BHYT, BHTN) và Thuế TNCN)]]</f>
        <v>Trên 102 triệu VNĐ</v>
      </c>
      <c r="O22">
        <f>step3_validation[[#This Row],[Dependents]]</f>
        <v>3</v>
      </c>
      <c r="P22" t="str">
        <f>survey_responses[[#This Row],[Số người phụ thuộc (con nhỏ, cha mẹ già...) đủ điều kiện giảm trừ gia cảnh:]]</f>
        <v>3 người</v>
      </c>
      <c r="Q22">
        <f>step3_validation[[#This Row],[AI_ENF1]]</f>
        <v>7</v>
      </c>
      <c r="R22" t="str">
        <f t="shared" si="0"/>
        <v>Neutral</v>
      </c>
      <c r="S22">
        <f>survey_responses[[#This Row],[Tôi tin rằng với các quy định quản lý thuế hiện nay, hành vi gian lận hoặc trốn thuế sẽ dễ dàng bị phát hiện và xử lý nghiêm. - HUMAN-ENF1]]</f>
        <v>10</v>
      </c>
      <c r="T22" t="str">
        <f t="shared" si="1"/>
        <v>Support</v>
      </c>
      <c r="U22" s="32">
        <f t="shared" si="2"/>
        <v>3</v>
      </c>
      <c r="V22">
        <f>step3_validation[[#This Row],[AI_ENF2]]</f>
        <v>8</v>
      </c>
      <c r="W22" t="str">
        <f t="shared" si="3"/>
        <v>Support</v>
      </c>
      <c r="X22">
        <f>survey_responses[[#This Row],[Tôi tin rằng Nhà nước, cơ quan thuế có đủ khả năng và công nghệ để phát hiện, xử lý nghiêm các hành vi trốn thuế. - HUMAN-ENF2]]</f>
        <v>10</v>
      </c>
      <c r="Y22" t="str">
        <f t="shared" si="4"/>
        <v>Support</v>
      </c>
      <c r="Z22" s="32">
        <f t="shared" si="5"/>
        <v>2</v>
      </c>
      <c r="AA22">
        <f>step3_validation[[#This Row],[AI_FAC1]]</f>
        <v>9</v>
      </c>
      <c r="AB22" t="str">
        <f t="shared" si="6"/>
        <v>Support</v>
      </c>
      <c r="AC22">
        <f>survey_responses[[#This Row],[Các thủ tục khai báo thuế VÀ/HOẶC quy trình làm việc với cơ quan thuế đơn giản, tiện lợi, nhanh chóng hơn so với trước đây. - HUMAN-FAC1]]</f>
        <v>8</v>
      </c>
      <c r="AD22" t="str">
        <f t="shared" si="7"/>
        <v>Support</v>
      </c>
      <c r="AE22" s="32">
        <f t="shared" si="8"/>
        <v>1</v>
      </c>
      <c r="AF22">
        <f>step3_validation[[#This Row],[AI_FAC2]]</f>
        <v>8</v>
      </c>
      <c r="AG22" t="str">
        <f t="shared" si="9"/>
        <v>Support</v>
      </c>
      <c r="AH22">
        <f>survey_responses[[#This Row],[So với trước đây, tôi thấy cách tính thuế và các bậc thuế trong phương án mới đơn giản, dễ hiểu và dễ thực hiện hơn. - HUMAN-FAC2]]</f>
        <v>7</v>
      </c>
      <c r="AI22" t="str">
        <f t="shared" si="10"/>
        <v>Neutral</v>
      </c>
      <c r="AJ22" s="32">
        <f t="shared" si="11"/>
        <v>1</v>
      </c>
      <c r="AK22">
        <f>step3_validation[[#This Row],[AI_TRU1]]</f>
        <v>7</v>
      </c>
      <c r="AL22" t="str">
        <f t="shared" si="12"/>
        <v>Neutral</v>
      </c>
      <c r="AM22">
        <f>survey_responses[[#This Row],[Tôi tin rằng Nhà nước, cơ quan thuế sẽ thực thi chính sách mới một cách khách quan, công tâm và đối xử bình đẳng với mọi người nộp thuế.  - HUMAN-TRU1]]</f>
        <v>7</v>
      </c>
      <c r="AN22" t="str">
        <f t="shared" si="13"/>
        <v>Neutral</v>
      </c>
      <c r="AO22" s="32">
        <f t="shared" si="14"/>
        <v>0</v>
      </c>
      <c r="AP22">
        <f>step3_validation[[#This Row],[AI_TRU2]]</f>
        <v>9</v>
      </c>
      <c r="AQ22" t="str">
        <f t="shared" si="15"/>
        <v>Support</v>
      </c>
      <c r="AR22">
        <f>survey_responses[[#This Row],[Tôi thấy mức thuế tôi phải đóng theo phương án mới là công bằng (người thu nhập như tôi đóng mức này là hợp lý). - HUMAN-TRU2]]</f>
        <v>7</v>
      </c>
      <c r="AS22" t="str">
        <f t="shared" si="16"/>
        <v>Neutral</v>
      </c>
      <c r="AT22" s="32">
        <f t="shared" si="17"/>
        <v>2</v>
      </c>
      <c r="AU22">
        <f>step3_validation[[#This Row],[AI_TRU3]]</f>
        <v>8</v>
      </c>
      <c r="AV22" t="str">
        <f t="shared" si="18"/>
        <v>Support</v>
      </c>
      <c r="AW22">
        <f>survey_responses[[#This Row],[Tôi tin tưởng số tiền thuế tôi đóng sẽ được Nhà nước sử dụng hiệu quả để cải thiện dịch vụ công (y tế, đường xá...). - HUMAN-TRU3]]</f>
        <v>2</v>
      </c>
      <c r="AX22" t="str">
        <f t="shared" si="19"/>
        <v>Oppose</v>
      </c>
      <c r="AY22" s="32">
        <f t="shared" si="20"/>
        <v>6</v>
      </c>
      <c r="AZ22">
        <f>step3_validation[[#This Row],[AI_TRU4]]</f>
        <v>9</v>
      </c>
      <c r="BA22" t="str">
        <f t="shared" si="21"/>
        <v>Support</v>
      </c>
      <c r="BB22">
        <f>survey_responses[[#This Row],[Tôi thấy Nhà nước đã giải thích rõ ràng, minh bạch về lý do và mục tiêu của việc sửa đổi thuế lần này. - HUMAN-TRU4]]</f>
        <v>3</v>
      </c>
      <c r="BC22" t="str">
        <f t="shared" si="22"/>
        <v>Oppose</v>
      </c>
      <c r="BD22" s="32">
        <f t="shared" si="23"/>
        <v>6</v>
      </c>
      <c r="BE22">
        <f>step3_validation[[#This Row],[AI_OUT1]]</f>
        <v>9</v>
      </c>
      <c r="BF22" t="str">
        <f t="shared" si="24"/>
        <v>Support</v>
      </c>
      <c r="BG22">
        <f>survey_responses[[#This Row],[Sau khi xem xét các quyền lợi và nghĩa vụ, bạn có ủng hộ và tuân thủ chính sách mới hiện nay? - HUMAN-OUT1]]</f>
        <v>3</v>
      </c>
      <c r="BH22" t="str">
        <f t="shared" si="25"/>
        <v>Oppose</v>
      </c>
      <c r="BI22" s="32">
        <f t="shared" si="26"/>
        <v>6</v>
      </c>
    </row>
    <row r="23" spans="1:61" x14ac:dyDescent="0.45">
      <c r="A23" s="30">
        <f>step3_validation[[#This Row],[Persona_ID]]</f>
        <v>22</v>
      </c>
      <c r="B23" s="31">
        <f>step3_validation[[#This Row],[Used_Seed]]</f>
        <v>22</v>
      </c>
      <c r="C23" t="str">
        <f>step3_validation[[#This Row],[Gender]]</f>
        <v>Nữ</v>
      </c>
      <c r="D23" t="str">
        <f>survey_responses[[#This Row],[Giới tính của bạn:]]</f>
        <v>Nữ</v>
      </c>
      <c r="E23" t="str">
        <f>step3_validation[[#This Row],[Age_Group]]</f>
        <v>18 - 24</v>
      </c>
      <c r="F23" t="str">
        <f>survey_responses[[#This Row],[Độ tuổi của bạn:]]</f>
        <v>18 - 24</v>
      </c>
      <c r="G23" t="str">
        <f>step3_validation[[#This Row],[Region]]</f>
        <v>Thành thị</v>
      </c>
      <c r="H23" t="str">
        <f>survey_responses[[#This Row],[Khu vực bạn đang sinh sống:]]</f>
        <v>Thành thị</v>
      </c>
      <c r="I23" t="str">
        <f>step3_validation[[#This Row],[Education]]</f>
        <v>Đại học</v>
      </c>
      <c r="J23" t="str">
        <f>survey_responses[[#This Row],[Trình độ học vấn cao nhất:]]</f>
        <v>Đại học</v>
      </c>
      <c r="K23" t="str">
        <f>step3_validation[[#This Row],[Employment]]</f>
        <v>Chính thức</v>
      </c>
      <c r="L23" t="str">
        <f>survey_responses[[#This Row],[Tình trạng việc làm chính:]]</f>
        <v>Khu vực chính thức (Có Hợp đồng lao động, đóng BHXH)</v>
      </c>
      <c r="M23">
        <f>step3_validation[[#This Row],[Income_Mil]]</f>
        <v>13.831734577160381</v>
      </c>
      <c r="N23" t="str">
        <f>survey_responses[[#This Row],[Thu nhập bình quân tháng theo Hợp đồng lao động của bạn là bao nhiêu? (Vui lòng điền tổng thu nhập trước khi khấu trừ các loại Bảo hiểm (BHXH, BHYT, BHTN) và Thuế TNCN)]]</f>
        <v>Từ 12 - 18 triệu VNĐ</v>
      </c>
      <c r="O23">
        <f>step3_validation[[#This Row],[Dependents]]</f>
        <v>0</v>
      </c>
      <c r="P23" t="str">
        <f>survey_responses[[#This Row],[Số người phụ thuộc (con nhỏ, cha mẹ già...) đủ điều kiện giảm trừ gia cảnh:]]</f>
        <v>0 người</v>
      </c>
      <c r="Q23">
        <f>step3_validation[[#This Row],[AI_ENF1]]</f>
        <v>6</v>
      </c>
      <c r="R23" t="str">
        <f t="shared" si="0"/>
        <v>Neutral</v>
      </c>
      <c r="S23">
        <f>survey_responses[[#This Row],[Tôi tin rằng với các quy định quản lý thuế hiện nay, hành vi gian lận hoặc trốn thuế sẽ dễ dàng bị phát hiện và xử lý nghiêm. - HUMAN-ENF1]]</f>
        <v>8</v>
      </c>
      <c r="T23" t="str">
        <f t="shared" si="1"/>
        <v>Support</v>
      </c>
      <c r="U23" s="32">
        <f t="shared" si="2"/>
        <v>2</v>
      </c>
      <c r="V23">
        <f>step3_validation[[#This Row],[AI_ENF2]]</f>
        <v>5</v>
      </c>
      <c r="W23" t="str">
        <f t="shared" si="3"/>
        <v>Neutral</v>
      </c>
      <c r="X23">
        <f>survey_responses[[#This Row],[Tôi tin rằng Nhà nước, cơ quan thuế có đủ khả năng và công nghệ để phát hiện, xử lý nghiêm các hành vi trốn thuế. - HUMAN-ENF2]]</f>
        <v>8</v>
      </c>
      <c r="Y23" t="str">
        <f t="shared" si="4"/>
        <v>Support</v>
      </c>
      <c r="Z23" s="32">
        <f t="shared" si="5"/>
        <v>3</v>
      </c>
      <c r="AA23">
        <f>step3_validation[[#This Row],[AI_FAC1]]</f>
        <v>8</v>
      </c>
      <c r="AB23" t="str">
        <f t="shared" si="6"/>
        <v>Support</v>
      </c>
      <c r="AC23">
        <f>survey_responses[[#This Row],[Các thủ tục khai báo thuế VÀ/HOẶC quy trình làm việc với cơ quan thuế đơn giản, tiện lợi, nhanh chóng hơn so với trước đây. - HUMAN-FAC1]]</f>
        <v>5</v>
      </c>
      <c r="AD23" t="str">
        <f t="shared" si="7"/>
        <v>Neutral</v>
      </c>
      <c r="AE23" s="32">
        <f t="shared" si="8"/>
        <v>3</v>
      </c>
      <c r="AF23">
        <f>step3_validation[[#This Row],[AI_FAC2]]</f>
        <v>9</v>
      </c>
      <c r="AG23" t="str">
        <f t="shared" si="9"/>
        <v>Support</v>
      </c>
      <c r="AH23">
        <f>survey_responses[[#This Row],[So với trước đây, tôi thấy cách tính thuế và các bậc thuế trong phương án mới đơn giản, dễ hiểu và dễ thực hiện hơn. - HUMAN-FAC2]]</f>
        <v>8</v>
      </c>
      <c r="AI23" t="str">
        <f t="shared" si="10"/>
        <v>Support</v>
      </c>
      <c r="AJ23" s="32">
        <f t="shared" si="11"/>
        <v>1</v>
      </c>
      <c r="AK23">
        <f>step3_validation[[#This Row],[AI_TRU1]]</f>
        <v>8</v>
      </c>
      <c r="AL23" t="str">
        <f t="shared" si="12"/>
        <v>Support</v>
      </c>
      <c r="AM23">
        <f>survey_responses[[#This Row],[Tôi tin rằng Nhà nước, cơ quan thuế sẽ thực thi chính sách mới một cách khách quan, công tâm và đối xử bình đẳng với mọi người nộp thuế.  - HUMAN-TRU1]]</f>
        <v>8</v>
      </c>
      <c r="AN23" t="str">
        <f t="shared" si="13"/>
        <v>Support</v>
      </c>
      <c r="AO23" s="32">
        <f t="shared" si="14"/>
        <v>0</v>
      </c>
      <c r="AP23">
        <f>step3_validation[[#This Row],[AI_TRU2]]</f>
        <v>9</v>
      </c>
      <c r="AQ23" t="str">
        <f t="shared" si="15"/>
        <v>Support</v>
      </c>
      <c r="AR23">
        <f>survey_responses[[#This Row],[Tôi thấy mức thuế tôi phải đóng theo phương án mới là công bằng (người thu nhập như tôi đóng mức này là hợp lý). - HUMAN-TRU2]]</f>
        <v>8</v>
      </c>
      <c r="AS23" t="str">
        <f t="shared" si="16"/>
        <v>Support</v>
      </c>
      <c r="AT23" s="32">
        <f t="shared" si="17"/>
        <v>1</v>
      </c>
      <c r="AU23">
        <f>step3_validation[[#This Row],[AI_TRU3]]</f>
        <v>7</v>
      </c>
      <c r="AV23" t="str">
        <f t="shared" si="18"/>
        <v>Neutral</v>
      </c>
      <c r="AW23">
        <f>survey_responses[[#This Row],[Tôi tin tưởng số tiền thuế tôi đóng sẽ được Nhà nước sử dụng hiệu quả để cải thiện dịch vụ công (y tế, đường xá...). - HUMAN-TRU3]]</f>
        <v>8</v>
      </c>
      <c r="AX23" t="str">
        <f t="shared" si="19"/>
        <v>Support</v>
      </c>
      <c r="AY23" s="32">
        <f t="shared" si="20"/>
        <v>1</v>
      </c>
      <c r="AZ23">
        <f>step3_validation[[#This Row],[AI_TRU4]]</f>
        <v>6</v>
      </c>
      <c r="BA23" t="str">
        <f t="shared" si="21"/>
        <v>Neutral</v>
      </c>
      <c r="BB23">
        <f>survey_responses[[#This Row],[Tôi thấy Nhà nước đã giải thích rõ ràng, minh bạch về lý do và mục tiêu của việc sửa đổi thuế lần này. - HUMAN-TRU4]]</f>
        <v>8</v>
      </c>
      <c r="BC23" t="str">
        <f t="shared" si="22"/>
        <v>Support</v>
      </c>
      <c r="BD23" s="32">
        <f t="shared" si="23"/>
        <v>2</v>
      </c>
      <c r="BE23">
        <f>step3_validation[[#This Row],[AI_OUT1]]</f>
        <v>9</v>
      </c>
      <c r="BF23" t="str">
        <f t="shared" si="24"/>
        <v>Support</v>
      </c>
      <c r="BG23">
        <f>survey_responses[[#This Row],[Sau khi xem xét các quyền lợi và nghĩa vụ, bạn có ủng hộ và tuân thủ chính sách mới hiện nay? - HUMAN-OUT1]]</f>
        <v>8</v>
      </c>
      <c r="BH23" t="str">
        <f t="shared" si="25"/>
        <v>Support</v>
      </c>
      <c r="BI23" s="32">
        <f t="shared" si="26"/>
        <v>1</v>
      </c>
    </row>
    <row r="24" spans="1:61" x14ac:dyDescent="0.45">
      <c r="A24" s="30">
        <f>step3_validation[[#This Row],[Persona_ID]]</f>
        <v>23</v>
      </c>
      <c r="B24" s="31">
        <f>step3_validation[[#This Row],[Used_Seed]]</f>
        <v>23</v>
      </c>
      <c r="C24" t="str">
        <f>step3_validation[[#This Row],[Gender]]</f>
        <v>Nữ</v>
      </c>
      <c r="D24" t="str">
        <f>survey_responses[[#This Row],[Giới tính của bạn:]]</f>
        <v>Nữ</v>
      </c>
      <c r="E24" t="str">
        <f>step3_validation[[#This Row],[Age_Group]]</f>
        <v>40 - 49</v>
      </c>
      <c r="F24" t="str">
        <f>survey_responses[[#This Row],[Độ tuổi của bạn:]]</f>
        <v>40 - 49</v>
      </c>
      <c r="G24" t="str">
        <f>step3_validation[[#This Row],[Region]]</f>
        <v>Thành thị</v>
      </c>
      <c r="H24" t="str">
        <f>survey_responses[[#This Row],[Khu vực bạn đang sinh sống:]]</f>
        <v>Thành thị</v>
      </c>
      <c r="I24" t="str">
        <f>step3_validation[[#This Row],[Education]]</f>
        <v>Sau Đại học</v>
      </c>
      <c r="J24" t="str">
        <f>survey_responses[[#This Row],[Trình độ học vấn cao nhất:]]</f>
        <v>Sau Đại học</v>
      </c>
      <c r="K24" t="str">
        <f>step3_validation[[#This Row],[Employment]]</f>
        <v>Chính thức</v>
      </c>
      <c r="L24" t="str">
        <f>survey_responses[[#This Row],[Tình trạng việc làm chính:]]</f>
        <v>Khu vực chính thức (Có Hợp đồng lao động, đóng BHXH)</v>
      </c>
      <c r="M24">
        <f>step3_validation[[#This Row],[Income_Mil]]</f>
        <v>91.511925500378297</v>
      </c>
      <c r="N24" t="str">
        <f>survey_responses[[#This Row],[Thu nhập bình quân tháng theo Hợp đồng lao động của bạn là bao nhiêu? (Vui lòng điền tổng thu nhập trước khi khấu trừ các loại Bảo hiểm (BHXH, BHYT, BHTN) và Thuế TNCN)]]</f>
        <v>Từ 70 - 102 triệu VNĐ</v>
      </c>
      <c r="O24">
        <f>step3_validation[[#This Row],[Dependents]]</f>
        <v>3</v>
      </c>
      <c r="P24" t="str">
        <f>survey_responses[[#This Row],[Số người phụ thuộc (con nhỏ, cha mẹ già...) đủ điều kiện giảm trừ gia cảnh:]]</f>
        <v>3 người</v>
      </c>
      <c r="Q24">
        <f>step3_validation[[#This Row],[AI_ENF1]]</f>
        <v>7</v>
      </c>
      <c r="R24" t="str">
        <f t="shared" si="0"/>
        <v>Neutral</v>
      </c>
      <c r="S24">
        <f>survey_responses[[#This Row],[Tôi tin rằng với các quy định quản lý thuế hiện nay, hành vi gian lận hoặc trốn thuế sẽ dễ dàng bị phát hiện và xử lý nghiêm. - HUMAN-ENF1]]</f>
        <v>5</v>
      </c>
      <c r="T24" t="str">
        <f t="shared" si="1"/>
        <v>Neutral</v>
      </c>
      <c r="U24" s="32">
        <f t="shared" si="2"/>
        <v>2</v>
      </c>
      <c r="V24">
        <f>step3_validation[[#This Row],[AI_ENF2]]</f>
        <v>6</v>
      </c>
      <c r="W24" t="str">
        <f t="shared" si="3"/>
        <v>Neutral</v>
      </c>
      <c r="X24">
        <f>survey_responses[[#This Row],[Tôi tin rằng Nhà nước, cơ quan thuế có đủ khả năng và công nghệ để phát hiện, xử lý nghiêm các hành vi trốn thuế. - HUMAN-ENF2]]</f>
        <v>5</v>
      </c>
      <c r="Y24" t="str">
        <f t="shared" si="4"/>
        <v>Neutral</v>
      </c>
      <c r="Z24" s="32">
        <f t="shared" si="5"/>
        <v>1</v>
      </c>
      <c r="AA24">
        <f>step3_validation[[#This Row],[AI_FAC1]]</f>
        <v>9</v>
      </c>
      <c r="AB24" t="str">
        <f t="shared" si="6"/>
        <v>Support</v>
      </c>
      <c r="AC24">
        <f>survey_responses[[#This Row],[Các thủ tục khai báo thuế VÀ/HOẶC quy trình làm việc với cơ quan thuế đơn giản, tiện lợi, nhanh chóng hơn so với trước đây. - HUMAN-FAC1]]</f>
        <v>5</v>
      </c>
      <c r="AD24" t="str">
        <f t="shared" si="7"/>
        <v>Neutral</v>
      </c>
      <c r="AE24" s="32">
        <f t="shared" si="8"/>
        <v>4</v>
      </c>
      <c r="AF24">
        <f>step3_validation[[#This Row],[AI_FAC2]]</f>
        <v>8</v>
      </c>
      <c r="AG24" t="str">
        <f t="shared" si="9"/>
        <v>Support</v>
      </c>
      <c r="AH24">
        <f>survey_responses[[#This Row],[So với trước đây, tôi thấy cách tính thuế và các bậc thuế trong phương án mới đơn giản, dễ hiểu và dễ thực hiện hơn. - HUMAN-FAC2]]</f>
        <v>5</v>
      </c>
      <c r="AI24" t="str">
        <f t="shared" si="10"/>
        <v>Neutral</v>
      </c>
      <c r="AJ24" s="32">
        <f t="shared" si="11"/>
        <v>3</v>
      </c>
      <c r="AK24">
        <f>step3_validation[[#This Row],[AI_TRU1]]</f>
        <v>9</v>
      </c>
      <c r="AL24" t="str">
        <f t="shared" si="12"/>
        <v>Support</v>
      </c>
      <c r="AM24">
        <f>survey_responses[[#This Row],[Tôi tin rằng Nhà nước, cơ quan thuế sẽ thực thi chính sách mới một cách khách quan, công tâm và đối xử bình đẳng với mọi người nộp thuế.  - HUMAN-TRU1]]</f>
        <v>5</v>
      </c>
      <c r="AN24" t="str">
        <f t="shared" si="13"/>
        <v>Neutral</v>
      </c>
      <c r="AO24" s="32">
        <f t="shared" si="14"/>
        <v>4</v>
      </c>
      <c r="AP24">
        <f>step3_validation[[#This Row],[AI_TRU2]]</f>
        <v>8</v>
      </c>
      <c r="AQ24" t="str">
        <f t="shared" si="15"/>
        <v>Support</v>
      </c>
      <c r="AR24">
        <f>survey_responses[[#This Row],[Tôi thấy mức thuế tôi phải đóng theo phương án mới là công bằng (người thu nhập như tôi đóng mức này là hợp lý). - HUMAN-TRU2]]</f>
        <v>5</v>
      </c>
      <c r="AS24" t="str">
        <f t="shared" si="16"/>
        <v>Neutral</v>
      </c>
      <c r="AT24" s="32">
        <f t="shared" si="17"/>
        <v>3</v>
      </c>
      <c r="AU24">
        <f>step3_validation[[#This Row],[AI_TRU3]]</f>
        <v>9</v>
      </c>
      <c r="AV24" t="str">
        <f t="shared" si="18"/>
        <v>Support</v>
      </c>
      <c r="AW24">
        <f>survey_responses[[#This Row],[Tôi tin tưởng số tiền thuế tôi đóng sẽ được Nhà nước sử dụng hiệu quả để cải thiện dịch vụ công (y tế, đường xá...). - HUMAN-TRU3]]</f>
        <v>5</v>
      </c>
      <c r="AX24" t="str">
        <f t="shared" si="19"/>
        <v>Neutral</v>
      </c>
      <c r="AY24" s="32">
        <f t="shared" si="20"/>
        <v>4</v>
      </c>
      <c r="AZ24">
        <f>step3_validation[[#This Row],[AI_TRU4]]</f>
        <v>7</v>
      </c>
      <c r="BA24" t="str">
        <f t="shared" si="21"/>
        <v>Neutral</v>
      </c>
      <c r="BB24">
        <f>survey_responses[[#This Row],[Tôi thấy Nhà nước đã giải thích rõ ràng, minh bạch về lý do và mục tiêu của việc sửa đổi thuế lần này. - HUMAN-TRU4]]</f>
        <v>5</v>
      </c>
      <c r="BC24" t="str">
        <f t="shared" si="22"/>
        <v>Neutral</v>
      </c>
      <c r="BD24" s="32">
        <f t="shared" si="23"/>
        <v>2</v>
      </c>
      <c r="BE24">
        <f>step3_validation[[#This Row],[AI_OUT1]]</f>
        <v>9</v>
      </c>
      <c r="BF24" t="str">
        <f t="shared" si="24"/>
        <v>Support</v>
      </c>
      <c r="BG24">
        <f>survey_responses[[#This Row],[Sau khi xem xét các quyền lợi và nghĩa vụ, bạn có ủng hộ và tuân thủ chính sách mới hiện nay? - HUMAN-OUT1]]</f>
        <v>5</v>
      </c>
      <c r="BH24" t="str">
        <f t="shared" si="25"/>
        <v>Neutral</v>
      </c>
      <c r="BI24" s="32">
        <f t="shared" si="26"/>
        <v>4</v>
      </c>
    </row>
    <row r="25" spans="1:61" x14ac:dyDescent="0.45">
      <c r="A25" s="30">
        <f>step3_validation[[#This Row],[Persona_ID]]</f>
        <v>24</v>
      </c>
      <c r="B25" s="31">
        <f>step3_validation[[#This Row],[Used_Seed]]</f>
        <v>24</v>
      </c>
      <c r="C25" t="str">
        <f>step3_validation[[#This Row],[Gender]]</f>
        <v>Nữ</v>
      </c>
      <c r="D25" t="str">
        <f>survey_responses[[#This Row],[Giới tính của bạn:]]</f>
        <v>Nữ</v>
      </c>
      <c r="E25" t="str">
        <f>step3_validation[[#This Row],[Age_Group]]</f>
        <v>30 - 39</v>
      </c>
      <c r="F25" t="str">
        <f>survey_responses[[#This Row],[Độ tuổi của bạn:]]</f>
        <v>30 - 39</v>
      </c>
      <c r="G25" t="str">
        <f>step3_validation[[#This Row],[Region]]</f>
        <v>Nông thôn</v>
      </c>
      <c r="H25" t="str">
        <f>survey_responses[[#This Row],[Khu vực bạn đang sinh sống:]]</f>
        <v>Nông thôn</v>
      </c>
      <c r="I25" t="str">
        <f>step3_validation[[#This Row],[Education]]</f>
        <v>Đại học</v>
      </c>
      <c r="J25" t="str">
        <f>survey_responses[[#This Row],[Trình độ học vấn cao nhất:]]</f>
        <v>Đại học</v>
      </c>
      <c r="K25" t="str">
        <f>step3_validation[[#This Row],[Employment]]</f>
        <v>Chính thức</v>
      </c>
      <c r="L25" t="str">
        <f>survey_responses[[#This Row],[Tình trạng việc làm chính:]]</f>
        <v>Khu vực chính thức (Có Hợp đồng lao động, đóng BHXH)</v>
      </c>
      <c r="M25">
        <f>step3_validation[[#This Row],[Income_Mil]]</f>
        <v>25.642150693354523</v>
      </c>
      <c r="N25" t="str">
        <f>survey_responses[[#This Row],[Thu nhập bình quân tháng theo Hợp đồng lao động của bạn là bao nhiêu? (Vui lòng điền tổng thu nhập trước khi khấu trừ các loại Bảo hiểm (BHXH, BHYT, BHTN) và Thuế TNCN)]]</f>
        <v>Từ 23 - 32 triệu VNĐ</v>
      </c>
      <c r="O25">
        <f>step3_validation[[#This Row],[Dependents]]</f>
        <v>2</v>
      </c>
      <c r="P25" t="str">
        <f>survey_responses[[#This Row],[Số người phụ thuộc (con nhỏ, cha mẹ già...) đủ điều kiện giảm trừ gia cảnh:]]</f>
        <v>2 người</v>
      </c>
      <c r="Q25">
        <f>step3_validation[[#This Row],[AI_ENF1]]</f>
        <v>7</v>
      </c>
      <c r="R25" t="str">
        <f t="shared" si="0"/>
        <v>Neutral</v>
      </c>
      <c r="S25">
        <f>survey_responses[[#This Row],[Tôi tin rằng với các quy định quản lý thuế hiện nay, hành vi gian lận hoặc trốn thuế sẽ dễ dàng bị phát hiện và xử lý nghiêm. - HUMAN-ENF1]]</f>
        <v>9</v>
      </c>
      <c r="T25" t="str">
        <f t="shared" si="1"/>
        <v>Support</v>
      </c>
      <c r="U25" s="32">
        <f t="shared" si="2"/>
        <v>2</v>
      </c>
      <c r="V25">
        <f>step3_validation[[#This Row],[AI_ENF2]]</f>
        <v>8</v>
      </c>
      <c r="W25" t="str">
        <f t="shared" si="3"/>
        <v>Support</v>
      </c>
      <c r="X25">
        <f>survey_responses[[#This Row],[Tôi tin rằng Nhà nước, cơ quan thuế có đủ khả năng và công nghệ để phát hiện, xử lý nghiêm các hành vi trốn thuế. - HUMAN-ENF2]]</f>
        <v>8</v>
      </c>
      <c r="Y25" t="str">
        <f t="shared" si="4"/>
        <v>Support</v>
      </c>
      <c r="Z25" s="32">
        <f t="shared" si="5"/>
        <v>0</v>
      </c>
      <c r="AA25">
        <f>step3_validation[[#This Row],[AI_FAC1]]</f>
        <v>9</v>
      </c>
      <c r="AB25" t="str">
        <f t="shared" si="6"/>
        <v>Support</v>
      </c>
      <c r="AC25">
        <f>survey_responses[[#This Row],[Các thủ tục khai báo thuế VÀ/HOẶC quy trình làm việc với cơ quan thuế đơn giản, tiện lợi, nhanh chóng hơn so với trước đây. - HUMAN-FAC1]]</f>
        <v>6</v>
      </c>
      <c r="AD25" t="str">
        <f t="shared" si="7"/>
        <v>Neutral</v>
      </c>
      <c r="AE25" s="32">
        <f t="shared" si="8"/>
        <v>3</v>
      </c>
      <c r="AF25">
        <f>step3_validation[[#This Row],[AI_FAC2]]</f>
        <v>9</v>
      </c>
      <c r="AG25" t="str">
        <f t="shared" si="9"/>
        <v>Support</v>
      </c>
      <c r="AH25">
        <f>survey_responses[[#This Row],[So với trước đây, tôi thấy cách tính thuế và các bậc thuế trong phương án mới đơn giản, dễ hiểu và dễ thực hiện hơn. - HUMAN-FAC2]]</f>
        <v>9</v>
      </c>
      <c r="AI25" t="str">
        <f t="shared" si="10"/>
        <v>Support</v>
      </c>
      <c r="AJ25" s="32">
        <f t="shared" si="11"/>
        <v>0</v>
      </c>
      <c r="AK25">
        <f>step3_validation[[#This Row],[AI_TRU1]]</f>
        <v>8</v>
      </c>
      <c r="AL25" t="str">
        <f t="shared" si="12"/>
        <v>Support</v>
      </c>
      <c r="AM25">
        <f>survey_responses[[#This Row],[Tôi tin rằng Nhà nước, cơ quan thuế sẽ thực thi chính sách mới một cách khách quan, công tâm và đối xử bình đẳng với mọi người nộp thuế.  - HUMAN-TRU1]]</f>
        <v>8</v>
      </c>
      <c r="AN25" t="str">
        <f t="shared" si="13"/>
        <v>Support</v>
      </c>
      <c r="AO25" s="32">
        <f t="shared" si="14"/>
        <v>0</v>
      </c>
      <c r="AP25">
        <f>step3_validation[[#This Row],[AI_TRU2]]</f>
        <v>8</v>
      </c>
      <c r="AQ25" t="str">
        <f t="shared" si="15"/>
        <v>Support</v>
      </c>
      <c r="AR25">
        <f>survey_responses[[#This Row],[Tôi thấy mức thuế tôi phải đóng theo phương án mới là công bằng (người thu nhập như tôi đóng mức này là hợp lý). - HUMAN-TRU2]]</f>
        <v>10</v>
      </c>
      <c r="AS25" t="str">
        <f t="shared" si="16"/>
        <v>Support</v>
      </c>
      <c r="AT25" s="32">
        <f t="shared" si="17"/>
        <v>2</v>
      </c>
      <c r="AU25">
        <f>step3_validation[[#This Row],[AI_TRU3]]</f>
        <v>8</v>
      </c>
      <c r="AV25" t="str">
        <f t="shared" si="18"/>
        <v>Support</v>
      </c>
      <c r="AW25">
        <f>survey_responses[[#This Row],[Tôi tin tưởng số tiền thuế tôi đóng sẽ được Nhà nước sử dụng hiệu quả để cải thiện dịch vụ công (y tế, đường xá...). - HUMAN-TRU3]]</f>
        <v>6</v>
      </c>
      <c r="AX25" t="str">
        <f t="shared" si="19"/>
        <v>Neutral</v>
      </c>
      <c r="AY25" s="32">
        <f t="shared" si="20"/>
        <v>2</v>
      </c>
      <c r="AZ25">
        <f>step3_validation[[#This Row],[AI_TRU4]]</f>
        <v>9</v>
      </c>
      <c r="BA25" t="str">
        <f t="shared" si="21"/>
        <v>Support</v>
      </c>
      <c r="BB25">
        <f>survey_responses[[#This Row],[Tôi thấy Nhà nước đã giải thích rõ ràng, minh bạch về lý do và mục tiêu của việc sửa đổi thuế lần này. - HUMAN-TRU4]]</f>
        <v>6</v>
      </c>
      <c r="BC25" t="str">
        <f t="shared" si="22"/>
        <v>Neutral</v>
      </c>
      <c r="BD25" s="32">
        <f t="shared" si="23"/>
        <v>3</v>
      </c>
      <c r="BE25">
        <f>step3_validation[[#This Row],[AI_OUT1]]</f>
        <v>9</v>
      </c>
      <c r="BF25" t="str">
        <f t="shared" si="24"/>
        <v>Support</v>
      </c>
      <c r="BG25">
        <f>survey_responses[[#This Row],[Sau khi xem xét các quyền lợi và nghĩa vụ, bạn có ủng hộ và tuân thủ chính sách mới hiện nay? - HUMAN-OUT1]]</f>
        <v>8</v>
      </c>
      <c r="BH25" t="str">
        <f t="shared" si="25"/>
        <v>Support</v>
      </c>
      <c r="BI25" s="32">
        <f t="shared" si="26"/>
        <v>1</v>
      </c>
    </row>
    <row r="26" spans="1:61" x14ac:dyDescent="0.45">
      <c r="A26" s="30">
        <f>step3_validation[[#This Row],[Persona_ID]]</f>
        <v>25</v>
      </c>
      <c r="B26" s="31">
        <f>step3_validation[[#This Row],[Used_Seed]]</f>
        <v>25</v>
      </c>
      <c r="C26" t="str">
        <f>step3_validation[[#This Row],[Gender]]</f>
        <v>Nam</v>
      </c>
      <c r="D26" t="str">
        <f>survey_responses[[#This Row],[Giới tính của bạn:]]</f>
        <v>Nam</v>
      </c>
      <c r="E26" t="str">
        <f>step3_validation[[#This Row],[Age_Group]]</f>
        <v>30 - 39</v>
      </c>
      <c r="F26" t="str">
        <f>survey_responses[[#This Row],[Độ tuổi của bạn:]]</f>
        <v>30 - 39</v>
      </c>
      <c r="G26" t="str">
        <f>step3_validation[[#This Row],[Region]]</f>
        <v>Thành thị</v>
      </c>
      <c r="H26" t="str">
        <f>survey_responses[[#This Row],[Khu vực bạn đang sinh sống:]]</f>
        <v>Thành thị</v>
      </c>
      <c r="I26" t="str">
        <f>step3_validation[[#This Row],[Education]]</f>
        <v>Sau Đại học</v>
      </c>
      <c r="J26" t="str">
        <f>survey_responses[[#This Row],[Trình độ học vấn cao nhất:]]</f>
        <v>Sau Đại học</v>
      </c>
      <c r="K26" t="str">
        <f>step3_validation[[#This Row],[Employment]]</f>
        <v>Chính thức</v>
      </c>
      <c r="L26" t="str">
        <f>survey_responses[[#This Row],[Tình trạng việc làm chính:]]</f>
        <v>Khu vực chính thức (Có Hợp đồng lao động, đóng BHXH)</v>
      </c>
      <c r="M26">
        <f>step3_validation[[#This Row],[Income_Mil]]</f>
        <v>34.410818498480118</v>
      </c>
      <c r="N26" t="str">
        <f>survey_responses[[#This Row],[Thu nhập bình quân tháng theo Hợp đồng lao động của bạn là bao nhiêu? (Vui lòng điền tổng thu nhập trước khi khấu trừ các loại Bảo hiểm (BHXH, BHYT, BHTN) và Thuế TNCN)]]</f>
        <v>Từ 32 - 48 triệu VNĐ</v>
      </c>
      <c r="O26">
        <f>step3_validation[[#This Row],[Dependents]]</f>
        <v>1</v>
      </c>
      <c r="P26" t="str">
        <f>survey_responses[[#This Row],[Số người phụ thuộc (con nhỏ, cha mẹ già...) đủ điều kiện giảm trừ gia cảnh:]]</f>
        <v>1 người</v>
      </c>
      <c r="Q26">
        <f>step3_validation[[#This Row],[AI_ENF1]]</f>
        <v>7</v>
      </c>
      <c r="R26" t="str">
        <f t="shared" si="0"/>
        <v>Neutral</v>
      </c>
      <c r="S26">
        <f>survey_responses[[#This Row],[Tôi tin rằng với các quy định quản lý thuế hiện nay, hành vi gian lận hoặc trốn thuế sẽ dễ dàng bị phát hiện và xử lý nghiêm. - HUMAN-ENF1]]</f>
        <v>6</v>
      </c>
      <c r="T26" t="str">
        <f t="shared" si="1"/>
        <v>Neutral</v>
      </c>
      <c r="U26" s="32">
        <f t="shared" si="2"/>
        <v>1</v>
      </c>
      <c r="V26">
        <f>step3_validation[[#This Row],[AI_ENF2]]</f>
        <v>6</v>
      </c>
      <c r="W26" t="str">
        <f t="shared" si="3"/>
        <v>Neutral</v>
      </c>
      <c r="X26">
        <f>survey_responses[[#This Row],[Tôi tin rằng Nhà nước, cơ quan thuế có đủ khả năng và công nghệ để phát hiện, xử lý nghiêm các hành vi trốn thuế. - HUMAN-ENF2]]</f>
        <v>7</v>
      </c>
      <c r="Y26" t="str">
        <f t="shared" si="4"/>
        <v>Neutral</v>
      </c>
      <c r="Z26" s="32">
        <f t="shared" si="5"/>
        <v>1</v>
      </c>
      <c r="AA26">
        <f>step3_validation[[#This Row],[AI_FAC1]]</f>
        <v>9</v>
      </c>
      <c r="AB26" t="str">
        <f t="shared" si="6"/>
        <v>Support</v>
      </c>
      <c r="AC26">
        <f>survey_responses[[#This Row],[Các thủ tục khai báo thuế VÀ/HOẶC quy trình làm việc với cơ quan thuế đơn giản, tiện lợi, nhanh chóng hơn so với trước đây. - HUMAN-FAC1]]</f>
        <v>5</v>
      </c>
      <c r="AD26" t="str">
        <f t="shared" si="7"/>
        <v>Neutral</v>
      </c>
      <c r="AE26" s="32">
        <f t="shared" si="8"/>
        <v>4</v>
      </c>
      <c r="AF26">
        <f>step3_validation[[#This Row],[AI_FAC2]]</f>
        <v>8</v>
      </c>
      <c r="AG26" t="str">
        <f t="shared" si="9"/>
        <v>Support</v>
      </c>
      <c r="AH26">
        <f>survey_responses[[#This Row],[So với trước đây, tôi thấy cách tính thuế và các bậc thuế trong phương án mới đơn giản, dễ hiểu và dễ thực hiện hơn. - HUMAN-FAC2]]</f>
        <v>6</v>
      </c>
      <c r="AI26" t="str">
        <f t="shared" si="10"/>
        <v>Neutral</v>
      </c>
      <c r="AJ26" s="32">
        <f t="shared" si="11"/>
        <v>2</v>
      </c>
      <c r="AK26">
        <f>step3_validation[[#This Row],[AI_TRU1]]</f>
        <v>9</v>
      </c>
      <c r="AL26" t="str">
        <f t="shared" si="12"/>
        <v>Support</v>
      </c>
      <c r="AM26">
        <f>survey_responses[[#This Row],[Tôi tin rằng Nhà nước, cơ quan thuế sẽ thực thi chính sách mới một cách khách quan, công tâm và đối xử bình đẳng với mọi người nộp thuế.  - HUMAN-TRU1]]</f>
        <v>7</v>
      </c>
      <c r="AN26" t="str">
        <f t="shared" si="13"/>
        <v>Neutral</v>
      </c>
      <c r="AO26" s="32">
        <f t="shared" si="14"/>
        <v>2</v>
      </c>
      <c r="AP26">
        <f>step3_validation[[#This Row],[AI_TRU2]]</f>
        <v>9</v>
      </c>
      <c r="AQ26" t="str">
        <f t="shared" si="15"/>
        <v>Support</v>
      </c>
      <c r="AR26">
        <f>survey_responses[[#This Row],[Tôi thấy mức thuế tôi phải đóng theo phương án mới là công bằng (người thu nhập như tôi đóng mức này là hợp lý). - HUMAN-TRU2]]</f>
        <v>7</v>
      </c>
      <c r="AS26" t="str">
        <f t="shared" si="16"/>
        <v>Neutral</v>
      </c>
      <c r="AT26" s="32">
        <f t="shared" si="17"/>
        <v>2</v>
      </c>
      <c r="AU26">
        <f>step3_validation[[#This Row],[AI_TRU3]]</f>
        <v>7</v>
      </c>
      <c r="AV26" t="str">
        <f t="shared" si="18"/>
        <v>Neutral</v>
      </c>
      <c r="AW26">
        <f>survey_responses[[#This Row],[Tôi tin tưởng số tiền thuế tôi đóng sẽ được Nhà nước sử dụng hiệu quả để cải thiện dịch vụ công (y tế, đường xá...). - HUMAN-TRU3]]</f>
        <v>3</v>
      </c>
      <c r="AX26" t="str">
        <f t="shared" si="19"/>
        <v>Oppose</v>
      </c>
      <c r="AY26" s="32">
        <f t="shared" si="20"/>
        <v>4</v>
      </c>
      <c r="AZ26">
        <f>step3_validation[[#This Row],[AI_TRU4]]</f>
        <v>8</v>
      </c>
      <c r="BA26" t="str">
        <f t="shared" si="21"/>
        <v>Support</v>
      </c>
      <c r="BB26">
        <f>survey_responses[[#This Row],[Tôi thấy Nhà nước đã giải thích rõ ràng, minh bạch về lý do và mục tiêu của việc sửa đổi thuế lần này. - HUMAN-TRU4]]</f>
        <v>3</v>
      </c>
      <c r="BC26" t="str">
        <f t="shared" si="22"/>
        <v>Oppose</v>
      </c>
      <c r="BD26" s="32">
        <f t="shared" si="23"/>
        <v>5</v>
      </c>
      <c r="BE26">
        <f>step3_validation[[#This Row],[AI_OUT1]]</f>
        <v>9</v>
      </c>
      <c r="BF26" t="str">
        <f t="shared" si="24"/>
        <v>Support</v>
      </c>
      <c r="BG26">
        <f>survey_responses[[#This Row],[Sau khi xem xét các quyền lợi và nghĩa vụ, bạn có ủng hộ và tuân thủ chính sách mới hiện nay? - HUMAN-OUT1]]</f>
        <v>5</v>
      </c>
      <c r="BH26" t="str">
        <f t="shared" si="25"/>
        <v>Neutral</v>
      </c>
      <c r="BI26" s="32">
        <f t="shared" si="26"/>
        <v>4</v>
      </c>
    </row>
    <row r="27" spans="1:61" x14ac:dyDescent="0.45">
      <c r="A27" s="30">
        <f>step3_validation[[#This Row],[Persona_ID]]</f>
        <v>26</v>
      </c>
      <c r="B27" s="31">
        <f>step3_validation[[#This Row],[Used_Seed]]</f>
        <v>26</v>
      </c>
      <c r="C27" t="str">
        <f>step3_validation[[#This Row],[Gender]]</f>
        <v>Nam</v>
      </c>
      <c r="D27" t="str">
        <f>survey_responses[[#This Row],[Giới tính của bạn:]]</f>
        <v>Nam</v>
      </c>
      <c r="E27" t="str">
        <f>step3_validation[[#This Row],[Age_Group]]</f>
        <v>30 - 39</v>
      </c>
      <c r="F27" t="str">
        <f>survey_responses[[#This Row],[Độ tuổi của bạn:]]</f>
        <v>30 - 39</v>
      </c>
      <c r="G27" t="str">
        <f>step3_validation[[#This Row],[Region]]</f>
        <v>Thành thị</v>
      </c>
      <c r="H27" t="str">
        <f>survey_responses[[#This Row],[Khu vực bạn đang sinh sống:]]</f>
        <v>Thành thị</v>
      </c>
      <c r="I27" t="str">
        <f>step3_validation[[#This Row],[Education]]</f>
        <v>Sau Đại học</v>
      </c>
      <c r="J27" t="str">
        <f>survey_responses[[#This Row],[Trình độ học vấn cao nhất:]]</f>
        <v>Sau Đại học</v>
      </c>
      <c r="K27" t="str">
        <f>step3_validation[[#This Row],[Employment]]</f>
        <v>Chính thức</v>
      </c>
      <c r="L27" t="str">
        <f>survey_responses[[#This Row],[Tình trạng việc làm chính:]]</f>
        <v>Khu vực chính thức (Có Hợp đồng lao động, đóng BHXH)</v>
      </c>
      <c r="M27">
        <f>step3_validation[[#This Row],[Income_Mil]]</f>
        <v>12</v>
      </c>
      <c r="N27" t="str">
        <f>survey_responses[[#This Row],[Thu nhập bình quân tháng theo Hợp đồng lao động của bạn là bao nhiêu? (Vui lòng điền tổng thu nhập trước khi khấu trừ các loại Bảo hiểm (BHXH, BHYT, BHTN) và Thuế TNCN)]]</f>
        <v>Dưới 12 triệu VNĐ</v>
      </c>
      <c r="O27">
        <f>step3_validation[[#This Row],[Dependents]]</f>
        <v>4</v>
      </c>
      <c r="P27" t="str">
        <f>survey_responses[[#This Row],[Số người phụ thuộc (con nhỏ, cha mẹ già...) đủ điều kiện giảm trừ gia cảnh:]]</f>
        <v>4 người trở lên</v>
      </c>
      <c r="Q27">
        <f>step3_validation[[#This Row],[AI_ENF1]]</f>
        <v>9</v>
      </c>
      <c r="R27" t="str">
        <f t="shared" si="0"/>
        <v>Support</v>
      </c>
      <c r="S27">
        <f>survey_responses[[#This Row],[Tôi tin rằng với các quy định quản lý thuế hiện nay, hành vi gian lận hoặc trốn thuế sẽ dễ dàng bị phát hiện và xử lý nghiêm. - HUMAN-ENF1]]</f>
        <v>10</v>
      </c>
      <c r="T27" t="str">
        <f t="shared" si="1"/>
        <v>Support</v>
      </c>
      <c r="U27" s="32">
        <f t="shared" si="2"/>
        <v>1</v>
      </c>
      <c r="V27">
        <f>step3_validation[[#This Row],[AI_ENF2]]</f>
        <v>8</v>
      </c>
      <c r="W27" t="str">
        <f t="shared" si="3"/>
        <v>Support</v>
      </c>
      <c r="X27">
        <f>survey_responses[[#This Row],[Tôi tin rằng Nhà nước, cơ quan thuế có đủ khả năng và công nghệ để phát hiện, xử lý nghiêm các hành vi trốn thuế. - HUMAN-ENF2]]</f>
        <v>10</v>
      </c>
      <c r="Y27" t="str">
        <f t="shared" si="4"/>
        <v>Support</v>
      </c>
      <c r="Z27" s="32">
        <f t="shared" si="5"/>
        <v>2</v>
      </c>
      <c r="AA27">
        <f>step3_validation[[#This Row],[AI_FAC1]]</f>
        <v>7</v>
      </c>
      <c r="AB27" t="str">
        <f t="shared" si="6"/>
        <v>Neutral</v>
      </c>
      <c r="AC27">
        <f>survey_responses[[#This Row],[Các thủ tục khai báo thuế VÀ/HOẶC quy trình làm việc với cơ quan thuế đơn giản, tiện lợi, nhanh chóng hơn so với trước đây. - HUMAN-FAC1]]</f>
        <v>10</v>
      </c>
      <c r="AD27" t="str">
        <f t="shared" si="7"/>
        <v>Support</v>
      </c>
      <c r="AE27" s="32">
        <f t="shared" si="8"/>
        <v>3</v>
      </c>
      <c r="AF27">
        <f>step3_validation[[#This Row],[AI_FAC2]]</f>
        <v>8</v>
      </c>
      <c r="AG27" t="str">
        <f t="shared" si="9"/>
        <v>Support</v>
      </c>
      <c r="AH27">
        <f>survey_responses[[#This Row],[So với trước đây, tôi thấy cách tính thuế và các bậc thuế trong phương án mới đơn giản, dễ hiểu và dễ thực hiện hơn. - HUMAN-FAC2]]</f>
        <v>6</v>
      </c>
      <c r="AI27" t="str">
        <f t="shared" si="10"/>
        <v>Neutral</v>
      </c>
      <c r="AJ27" s="32">
        <f t="shared" si="11"/>
        <v>2</v>
      </c>
      <c r="AK27">
        <f>step3_validation[[#This Row],[AI_TRU1]]</f>
        <v>9</v>
      </c>
      <c r="AL27" t="str">
        <f t="shared" si="12"/>
        <v>Support</v>
      </c>
      <c r="AM27">
        <f>survey_responses[[#This Row],[Tôi tin rằng Nhà nước, cơ quan thuế sẽ thực thi chính sách mới một cách khách quan, công tâm và đối xử bình đẳng với mọi người nộp thuế.  - HUMAN-TRU1]]</f>
        <v>6</v>
      </c>
      <c r="AN27" t="str">
        <f t="shared" si="13"/>
        <v>Neutral</v>
      </c>
      <c r="AO27" s="32">
        <f t="shared" si="14"/>
        <v>3</v>
      </c>
      <c r="AP27">
        <f>step3_validation[[#This Row],[AI_TRU2]]</f>
        <v>8</v>
      </c>
      <c r="AQ27" t="str">
        <f t="shared" si="15"/>
        <v>Support</v>
      </c>
      <c r="AR27">
        <f>survey_responses[[#This Row],[Tôi thấy mức thuế tôi phải đóng theo phương án mới là công bằng (người thu nhập như tôi đóng mức này là hợp lý). - HUMAN-TRU2]]</f>
        <v>10</v>
      </c>
      <c r="AS27" t="str">
        <f t="shared" si="16"/>
        <v>Support</v>
      </c>
      <c r="AT27" s="32">
        <f t="shared" si="17"/>
        <v>2</v>
      </c>
      <c r="AU27">
        <f>step3_validation[[#This Row],[AI_TRU3]]</f>
        <v>9</v>
      </c>
      <c r="AV27" t="str">
        <f t="shared" si="18"/>
        <v>Support</v>
      </c>
      <c r="AW27">
        <f>survey_responses[[#This Row],[Tôi tin tưởng số tiền thuế tôi đóng sẽ được Nhà nước sử dụng hiệu quả để cải thiện dịch vụ công (y tế, đường xá...). - HUMAN-TRU3]]</f>
        <v>1</v>
      </c>
      <c r="AX27" t="str">
        <f t="shared" si="19"/>
        <v>Oppose</v>
      </c>
      <c r="AY27" s="32">
        <f t="shared" si="20"/>
        <v>8</v>
      </c>
      <c r="AZ27">
        <f>step3_validation[[#This Row],[AI_TRU4]]</f>
        <v>8</v>
      </c>
      <c r="BA27" t="str">
        <f t="shared" si="21"/>
        <v>Support</v>
      </c>
      <c r="BB27">
        <f>survey_responses[[#This Row],[Tôi thấy Nhà nước đã giải thích rõ ràng, minh bạch về lý do và mục tiêu của việc sửa đổi thuế lần này. - HUMAN-TRU4]]</f>
        <v>4</v>
      </c>
      <c r="BC27" t="str">
        <f t="shared" si="22"/>
        <v>Oppose</v>
      </c>
      <c r="BD27" s="32">
        <f t="shared" si="23"/>
        <v>4</v>
      </c>
      <c r="BE27">
        <f>step3_validation[[#This Row],[AI_OUT1]]</f>
        <v>9</v>
      </c>
      <c r="BF27" t="str">
        <f t="shared" si="24"/>
        <v>Support</v>
      </c>
      <c r="BG27">
        <f>survey_responses[[#This Row],[Sau khi xem xét các quyền lợi và nghĩa vụ, bạn có ủng hộ và tuân thủ chính sách mới hiện nay? - HUMAN-OUT1]]</f>
        <v>10</v>
      </c>
      <c r="BH27" t="str">
        <f t="shared" si="25"/>
        <v>Support</v>
      </c>
      <c r="BI27" s="32">
        <f t="shared" si="26"/>
        <v>1</v>
      </c>
    </row>
    <row r="28" spans="1:61" x14ac:dyDescent="0.45">
      <c r="A28" s="30">
        <f>step3_validation[[#This Row],[Persona_ID]]</f>
        <v>27</v>
      </c>
      <c r="B28" s="31">
        <f>step3_validation[[#This Row],[Used_Seed]]</f>
        <v>27</v>
      </c>
      <c r="C28" t="str">
        <f>step3_validation[[#This Row],[Gender]]</f>
        <v>Nam</v>
      </c>
      <c r="D28" t="str">
        <f>survey_responses[[#This Row],[Giới tính của bạn:]]</f>
        <v>Nam</v>
      </c>
      <c r="E28" t="str">
        <f>step3_validation[[#This Row],[Age_Group]]</f>
        <v>18 - 24</v>
      </c>
      <c r="F28" t="str">
        <f>survey_responses[[#This Row],[Độ tuổi của bạn:]]</f>
        <v>18 - 24</v>
      </c>
      <c r="G28" t="str">
        <f>step3_validation[[#This Row],[Region]]</f>
        <v>Thành thị</v>
      </c>
      <c r="H28" t="str">
        <f>survey_responses[[#This Row],[Khu vực bạn đang sinh sống:]]</f>
        <v>Thành thị</v>
      </c>
      <c r="I28" t="str">
        <f>step3_validation[[#This Row],[Education]]</f>
        <v>Đại học</v>
      </c>
      <c r="J28" t="str">
        <f>survey_responses[[#This Row],[Trình độ học vấn cao nhất:]]</f>
        <v>Đại học</v>
      </c>
      <c r="K28" t="str">
        <f>step3_validation[[#This Row],[Employment]]</f>
        <v>Chính thức</v>
      </c>
      <c r="L28" t="str">
        <f>survey_responses[[#This Row],[Tình trạng việc làm chính:]]</f>
        <v>Khu vực chính thức (Có Hợp đồng lao động, đóng BHXH)</v>
      </c>
      <c r="M28">
        <f>step3_validation[[#This Row],[Income_Mil]]</f>
        <v>12</v>
      </c>
      <c r="N28" t="str">
        <f>survey_responses[[#This Row],[Thu nhập bình quân tháng theo Hợp đồng lao động của bạn là bao nhiêu? (Vui lòng điền tổng thu nhập trước khi khấu trừ các loại Bảo hiểm (BHXH, BHYT, BHTN) và Thuế TNCN)]]</f>
        <v>Dưới 12 triệu VNĐ</v>
      </c>
      <c r="O28">
        <f>step3_validation[[#This Row],[Dependents]]</f>
        <v>0</v>
      </c>
      <c r="P28" t="str">
        <f>survey_responses[[#This Row],[Số người phụ thuộc (con nhỏ, cha mẹ già...) đủ điều kiện giảm trừ gia cảnh:]]</f>
        <v>0 người</v>
      </c>
      <c r="Q28">
        <f>step3_validation[[#This Row],[AI_ENF1]]</f>
        <v>7</v>
      </c>
      <c r="R28" t="str">
        <f t="shared" si="0"/>
        <v>Neutral</v>
      </c>
      <c r="S28">
        <f>survey_responses[[#This Row],[Tôi tin rằng với các quy định quản lý thuế hiện nay, hành vi gian lận hoặc trốn thuế sẽ dễ dàng bị phát hiện và xử lý nghiêm. - HUMAN-ENF1]]</f>
        <v>1</v>
      </c>
      <c r="T28" t="str">
        <f t="shared" si="1"/>
        <v>Oppose</v>
      </c>
      <c r="U28" s="32">
        <f t="shared" si="2"/>
        <v>6</v>
      </c>
      <c r="V28">
        <f>step3_validation[[#This Row],[AI_ENF2]]</f>
        <v>8</v>
      </c>
      <c r="W28" t="str">
        <f t="shared" si="3"/>
        <v>Support</v>
      </c>
      <c r="X28">
        <f>survey_responses[[#This Row],[Tôi tin rằng Nhà nước, cơ quan thuế có đủ khả năng và công nghệ để phát hiện, xử lý nghiêm các hành vi trốn thuế. - HUMAN-ENF2]]</f>
        <v>1</v>
      </c>
      <c r="Y28" t="str">
        <f t="shared" si="4"/>
        <v>Oppose</v>
      </c>
      <c r="Z28" s="32">
        <f t="shared" si="5"/>
        <v>7</v>
      </c>
      <c r="AA28">
        <f>step3_validation[[#This Row],[AI_FAC1]]</f>
        <v>9</v>
      </c>
      <c r="AB28" t="str">
        <f t="shared" si="6"/>
        <v>Support</v>
      </c>
      <c r="AC28">
        <f>survey_responses[[#This Row],[Các thủ tục khai báo thuế VÀ/HOẶC quy trình làm việc với cơ quan thuế đơn giản, tiện lợi, nhanh chóng hơn so với trước đây. - HUMAN-FAC1]]</f>
        <v>1</v>
      </c>
      <c r="AD28" t="str">
        <f t="shared" si="7"/>
        <v>Oppose</v>
      </c>
      <c r="AE28" s="32">
        <f t="shared" si="8"/>
        <v>8</v>
      </c>
      <c r="AF28">
        <f>step3_validation[[#This Row],[AI_FAC2]]</f>
        <v>10</v>
      </c>
      <c r="AG28" t="str">
        <f t="shared" si="9"/>
        <v>Support</v>
      </c>
      <c r="AH28">
        <f>survey_responses[[#This Row],[So với trước đây, tôi thấy cách tính thuế và các bậc thuế trong phương án mới đơn giản, dễ hiểu và dễ thực hiện hơn. - HUMAN-FAC2]]</f>
        <v>1</v>
      </c>
      <c r="AI28" t="str">
        <f t="shared" si="10"/>
        <v>Oppose</v>
      </c>
      <c r="AJ28" s="32">
        <f t="shared" si="11"/>
        <v>9</v>
      </c>
      <c r="AK28">
        <f>step3_validation[[#This Row],[AI_TRU1]]</f>
        <v>6</v>
      </c>
      <c r="AL28" t="str">
        <f t="shared" si="12"/>
        <v>Neutral</v>
      </c>
      <c r="AM28">
        <f>survey_responses[[#This Row],[Tôi tin rằng Nhà nước, cơ quan thuế sẽ thực thi chính sách mới một cách khách quan, công tâm và đối xử bình đẳng với mọi người nộp thuế.  - HUMAN-TRU1]]</f>
        <v>1</v>
      </c>
      <c r="AN28" t="str">
        <f t="shared" si="13"/>
        <v>Oppose</v>
      </c>
      <c r="AO28" s="32">
        <f t="shared" si="14"/>
        <v>5</v>
      </c>
      <c r="AP28">
        <f>step3_validation[[#This Row],[AI_TRU2]]</f>
        <v>9</v>
      </c>
      <c r="AQ28" t="str">
        <f t="shared" si="15"/>
        <v>Support</v>
      </c>
      <c r="AR28">
        <f>survey_responses[[#This Row],[Tôi thấy mức thuế tôi phải đóng theo phương án mới là công bằng (người thu nhập như tôi đóng mức này là hợp lý). - HUMAN-TRU2]]</f>
        <v>1</v>
      </c>
      <c r="AS28" t="str">
        <f t="shared" si="16"/>
        <v>Oppose</v>
      </c>
      <c r="AT28" s="32">
        <f t="shared" si="17"/>
        <v>8</v>
      </c>
      <c r="AU28">
        <f>step3_validation[[#This Row],[AI_TRU3]]</f>
        <v>7</v>
      </c>
      <c r="AV28" t="str">
        <f t="shared" si="18"/>
        <v>Neutral</v>
      </c>
      <c r="AW28">
        <f>survey_responses[[#This Row],[Tôi tin tưởng số tiền thuế tôi đóng sẽ được Nhà nước sử dụng hiệu quả để cải thiện dịch vụ công (y tế, đường xá...). - HUMAN-TRU3]]</f>
        <v>1</v>
      </c>
      <c r="AX28" t="str">
        <f t="shared" si="19"/>
        <v>Oppose</v>
      </c>
      <c r="AY28" s="32">
        <f t="shared" si="20"/>
        <v>6</v>
      </c>
      <c r="AZ28">
        <f>step3_validation[[#This Row],[AI_TRU4]]</f>
        <v>6</v>
      </c>
      <c r="BA28" t="str">
        <f t="shared" si="21"/>
        <v>Neutral</v>
      </c>
      <c r="BB28">
        <f>survey_responses[[#This Row],[Tôi thấy Nhà nước đã giải thích rõ ràng, minh bạch về lý do và mục tiêu của việc sửa đổi thuế lần này. - HUMAN-TRU4]]</f>
        <v>1</v>
      </c>
      <c r="BC28" t="str">
        <f t="shared" si="22"/>
        <v>Oppose</v>
      </c>
      <c r="BD28" s="32">
        <f t="shared" si="23"/>
        <v>5</v>
      </c>
      <c r="BE28">
        <f>step3_validation[[#This Row],[AI_OUT1]]</f>
        <v>9</v>
      </c>
      <c r="BF28" t="str">
        <f t="shared" si="24"/>
        <v>Support</v>
      </c>
      <c r="BG28">
        <f>survey_responses[[#This Row],[Sau khi xem xét các quyền lợi và nghĩa vụ, bạn có ủng hộ và tuân thủ chính sách mới hiện nay? - HUMAN-OUT1]]</f>
        <v>1</v>
      </c>
      <c r="BH28" t="str">
        <f t="shared" si="25"/>
        <v>Oppose</v>
      </c>
      <c r="BI28" s="32">
        <f t="shared" si="26"/>
        <v>8</v>
      </c>
    </row>
    <row r="29" spans="1:61" x14ac:dyDescent="0.45">
      <c r="A29" s="30">
        <f>step3_validation[[#This Row],[Persona_ID]]</f>
        <v>28</v>
      </c>
      <c r="B29" s="31">
        <f>step3_validation[[#This Row],[Used_Seed]]</f>
        <v>28</v>
      </c>
      <c r="C29" t="str">
        <f>step3_validation[[#This Row],[Gender]]</f>
        <v>Nam</v>
      </c>
      <c r="D29" t="str">
        <f>survey_responses[[#This Row],[Giới tính của bạn:]]</f>
        <v>Nam</v>
      </c>
      <c r="E29" t="str">
        <f>step3_validation[[#This Row],[Age_Group]]</f>
        <v>25 - 29</v>
      </c>
      <c r="F29" t="str">
        <f>survey_responses[[#This Row],[Độ tuổi của bạn:]]</f>
        <v>25 - 29</v>
      </c>
      <c r="G29" t="str">
        <f>step3_validation[[#This Row],[Region]]</f>
        <v>Thành thị</v>
      </c>
      <c r="H29" t="str">
        <f>survey_responses[[#This Row],[Khu vực bạn đang sinh sống:]]</f>
        <v>Thành thị</v>
      </c>
      <c r="I29" t="str">
        <f>step3_validation[[#This Row],[Education]]</f>
        <v>Đại học</v>
      </c>
      <c r="J29" t="str">
        <f>survey_responses[[#This Row],[Trình độ học vấn cao nhất:]]</f>
        <v>Đại học</v>
      </c>
      <c r="K29" t="str">
        <f>step3_validation[[#This Row],[Employment]]</f>
        <v>Chính thức</v>
      </c>
      <c r="L29" t="str">
        <f>survey_responses[[#This Row],[Tình trạng việc làm chính:]]</f>
        <v>Khu vực chính thức (Có Hợp đồng lao động, đóng BHXH)</v>
      </c>
      <c r="M29">
        <f>step3_validation[[#This Row],[Income_Mil]]</f>
        <v>16.259169679910787</v>
      </c>
      <c r="N29" t="str">
        <f>survey_responses[[#This Row],[Thu nhập bình quân tháng theo Hợp đồng lao động của bạn là bao nhiêu? (Vui lòng điền tổng thu nhập trước khi khấu trừ các loại Bảo hiểm (BHXH, BHYT, BHTN) và Thuế TNCN)]]</f>
        <v>Từ 12 - 18 triệu VNĐ</v>
      </c>
      <c r="O29">
        <f>step3_validation[[#This Row],[Dependents]]</f>
        <v>0</v>
      </c>
      <c r="P29" t="str">
        <f>survey_responses[[#This Row],[Số người phụ thuộc (con nhỏ, cha mẹ già...) đủ điều kiện giảm trừ gia cảnh:]]</f>
        <v>0 người</v>
      </c>
      <c r="Q29">
        <f>step3_validation[[#This Row],[AI_ENF1]]</f>
        <v>6</v>
      </c>
      <c r="R29" t="str">
        <f t="shared" si="0"/>
        <v>Neutral</v>
      </c>
      <c r="S29">
        <f>survey_responses[[#This Row],[Tôi tin rằng với các quy định quản lý thuế hiện nay, hành vi gian lận hoặc trốn thuế sẽ dễ dàng bị phát hiện và xử lý nghiêm. - HUMAN-ENF1]]</f>
        <v>1</v>
      </c>
      <c r="T29" t="str">
        <f t="shared" si="1"/>
        <v>Oppose</v>
      </c>
      <c r="U29" s="32">
        <f t="shared" si="2"/>
        <v>5</v>
      </c>
      <c r="V29">
        <f>step3_validation[[#This Row],[AI_ENF2]]</f>
        <v>6</v>
      </c>
      <c r="W29" t="str">
        <f t="shared" si="3"/>
        <v>Neutral</v>
      </c>
      <c r="X29">
        <f>survey_responses[[#This Row],[Tôi tin rằng Nhà nước, cơ quan thuế có đủ khả năng và công nghệ để phát hiện, xử lý nghiêm các hành vi trốn thuế. - HUMAN-ENF2]]</f>
        <v>1</v>
      </c>
      <c r="Y29" t="str">
        <f t="shared" si="4"/>
        <v>Oppose</v>
      </c>
      <c r="Z29" s="32">
        <f t="shared" si="5"/>
        <v>5</v>
      </c>
      <c r="AA29">
        <f>step3_validation[[#This Row],[AI_FAC1]]</f>
        <v>9</v>
      </c>
      <c r="AB29" t="str">
        <f t="shared" si="6"/>
        <v>Support</v>
      </c>
      <c r="AC29">
        <f>survey_responses[[#This Row],[Các thủ tục khai báo thuế VÀ/HOẶC quy trình làm việc với cơ quan thuế đơn giản, tiện lợi, nhanh chóng hơn so với trước đây. - HUMAN-FAC1]]</f>
        <v>1</v>
      </c>
      <c r="AD29" t="str">
        <f t="shared" si="7"/>
        <v>Oppose</v>
      </c>
      <c r="AE29" s="32">
        <f t="shared" si="8"/>
        <v>8</v>
      </c>
      <c r="AF29">
        <f>step3_validation[[#This Row],[AI_FAC2]]</f>
        <v>8</v>
      </c>
      <c r="AG29" t="str">
        <f t="shared" si="9"/>
        <v>Support</v>
      </c>
      <c r="AH29">
        <f>survey_responses[[#This Row],[So với trước đây, tôi thấy cách tính thuế và các bậc thuế trong phương án mới đơn giản, dễ hiểu và dễ thực hiện hơn. - HUMAN-FAC2]]</f>
        <v>1</v>
      </c>
      <c r="AI29" t="str">
        <f t="shared" si="10"/>
        <v>Oppose</v>
      </c>
      <c r="AJ29" s="32">
        <f t="shared" si="11"/>
        <v>7</v>
      </c>
      <c r="AK29">
        <f>step3_validation[[#This Row],[AI_TRU1]]</f>
        <v>7</v>
      </c>
      <c r="AL29" t="str">
        <f t="shared" si="12"/>
        <v>Neutral</v>
      </c>
      <c r="AM29">
        <f>survey_responses[[#This Row],[Tôi tin rằng Nhà nước, cơ quan thuế sẽ thực thi chính sách mới một cách khách quan, công tâm và đối xử bình đẳng với mọi người nộp thuế.  - HUMAN-TRU1]]</f>
        <v>1</v>
      </c>
      <c r="AN29" t="str">
        <f t="shared" si="13"/>
        <v>Oppose</v>
      </c>
      <c r="AO29" s="32">
        <f t="shared" si="14"/>
        <v>6</v>
      </c>
      <c r="AP29">
        <f>step3_validation[[#This Row],[AI_TRU2]]</f>
        <v>8</v>
      </c>
      <c r="AQ29" t="str">
        <f t="shared" si="15"/>
        <v>Support</v>
      </c>
      <c r="AR29">
        <f>survey_responses[[#This Row],[Tôi thấy mức thuế tôi phải đóng theo phương án mới là công bằng (người thu nhập như tôi đóng mức này là hợp lý). - HUMAN-TRU2]]</f>
        <v>1</v>
      </c>
      <c r="AS29" t="str">
        <f t="shared" si="16"/>
        <v>Oppose</v>
      </c>
      <c r="AT29" s="32">
        <f t="shared" si="17"/>
        <v>7</v>
      </c>
      <c r="AU29">
        <f>step3_validation[[#This Row],[AI_TRU3]]</f>
        <v>7</v>
      </c>
      <c r="AV29" t="str">
        <f t="shared" si="18"/>
        <v>Neutral</v>
      </c>
      <c r="AW29">
        <f>survey_responses[[#This Row],[Tôi tin tưởng số tiền thuế tôi đóng sẽ được Nhà nước sử dụng hiệu quả để cải thiện dịch vụ công (y tế, đường xá...). - HUMAN-TRU3]]</f>
        <v>1</v>
      </c>
      <c r="AX29" t="str">
        <f t="shared" si="19"/>
        <v>Oppose</v>
      </c>
      <c r="AY29" s="32">
        <f t="shared" si="20"/>
        <v>6</v>
      </c>
      <c r="AZ29">
        <f>step3_validation[[#This Row],[AI_TRU4]]</f>
        <v>6</v>
      </c>
      <c r="BA29" t="str">
        <f t="shared" si="21"/>
        <v>Neutral</v>
      </c>
      <c r="BB29">
        <f>survey_responses[[#This Row],[Tôi thấy Nhà nước đã giải thích rõ ràng, minh bạch về lý do và mục tiêu của việc sửa đổi thuế lần này. - HUMAN-TRU4]]</f>
        <v>1</v>
      </c>
      <c r="BC29" t="str">
        <f t="shared" si="22"/>
        <v>Oppose</v>
      </c>
      <c r="BD29" s="32">
        <f t="shared" si="23"/>
        <v>5</v>
      </c>
      <c r="BE29">
        <f>step3_validation[[#This Row],[AI_OUT1]]</f>
        <v>7</v>
      </c>
      <c r="BF29" t="str">
        <f t="shared" si="24"/>
        <v>Neutral</v>
      </c>
      <c r="BG29">
        <f>survey_responses[[#This Row],[Sau khi xem xét các quyền lợi và nghĩa vụ, bạn có ủng hộ và tuân thủ chính sách mới hiện nay? - HUMAN-OUT1]]</f>
        <v>1</v>
      </c>
      <c r="BH29" t="str">
        <f t="shared" si="25"/>
        <v>Oppose</v>
      </c>
      <c r="BI29" s="32">
        <f t="shared" si="26"/>
        <v>6</v>
      </c>
    </row>
    <row r="30" spans="1:61" x14ac:dyDescent="0.45">
      <c r="A30" s="30">
        <f>step3_validation[[#This Row],[Persona_ID]]</f>
        <v>29</v>
      </c>
      <c r="B30" s="31">
        <f>step3_validation[[#This Row],[Used_Seed]]</f>
        <v>29</v>
      </c>
      <c r="C30" t="str">
        <f>step3_validation[[#This Row],[Gender]]</f>
        <v>Nữ</v>
      </c>
      <c r="D30" t="str">
        <f>survey_responses[[#This Row],[Giới tính của bạn:]]</f>
        <v>Nữ</v>
      </c>
      <c r="E30" t="str">
        <f>step3_validation[[#This Row],[Age_Group]]</f>
        <v>18 - 24</v>
      </c>
      <c r="F30" t="str">
        <f>survey_responses[[#This Row],[Độ tuổi của bạn:]]</f>
        <v>18 - 24</v>
      </c>
      <c r="G30" t="str">
        <f>step3_validation[[#This Row],[Region]]</f>
        <v>Thành thị</v>
      </c>
      <c r="H30" t="str">
        <f>survey_responses[[#This Row],[Khu vực bạn đang sinh sống:]]</f>
        <v>Thành thị</v>
      </c>
      <c r="I30" t="str">
        <f>step3_validation[[#This Row],[Education]]</f>
        <v>Đại học</v>
      </c>
      <c r="J30" t="str">
        <f>survey_responses[[#This Row],[Trình độ học vấn cao nhất:]]</f>
        <v>Đại học</v>
      </c>
      <c r="K30" t="str">
        <f>step3_validation[[#This Row],[Employment]]</f>
        <v>Chính thức</v>
      </c>
      <c r="L30" t="str">
        <f>survey_responses[[#This Row],[Tình trạng việc làm chính:]]</f>
        <v>Khu vực chính thức (Có Hợp đồng lao động, đóng BHXH)</v>
      </c>
      <c r="M30">
        <f>step3_validation[[#This Row],[Income_Mil]]</f>
        <v>12.250234851770344</v>
      </c>
      <c r="N30" t="str">
        <f>survey_responses[[#This Row],[Thu nhập bình quân tháng theo Hợp đồng lao động của bạn là bao nhiêu? (Vui lòng điền tổng thu nhập trước khi khấu trừ các loại Bảo hiểm (BHXH, BHYT, BHTN) và Thuế TNCN)]]</f>
        <v>Từ 12 - 18 triệu VNĐ</v>
      </c>
      <c r="O30">
        <f>step3_validation[[#This Row],[Dependents]]</f>
        <v>0</v>
      </c>
      <c r="P30" t="str">
        <f>survey_responses[[#This Row],[Số người phụ thuộc (con nhỏ, cha mẹ già...) đủ điều kiện giảm trừ gia cảnh:]]</f>
        <v>0 người</v>
      </c>
      <c r="Q30">
        <f>step3_validation[[#This Row],[AI_ENF1]]</f>
        <v>7</v>
      </c>
      <c r="R30" t="str">
        <f t="shared" si="0"/>
        <v>Neutral</v>
      </c>
      <c r="S30">
        <f>survey_responses[[#This Row],[Tôi tin rằng với các quy định quản lý thuế hiện nay, hành vi gian lận hoặc trốn thuế sẽ dễ dàng bị phát hiện và xử lý nghiêm. - HUMAN-ENF1]]</f>
        <v>10</v>
      </c>
      <c r="T30" t="str">
        <f t="shared" si="1"/>
        <v>Support</v>
      </c>
      <c r="U30" s="32">
        <f t="shared" si="2"/>
        <v>3</v>
      </c>
      <c r="V30">
        <f>step3_validation[[#This Row],[AI_ENF2]]</f>
        <v>7</v>
      </c>
      <c r="W30" t="str">
        <f t="shared" si="3"/>
        <v>Neutral</v>
      </c>
      <c r="X30">
        <f>survey_responses[[#This Row],[Tôi tin rằng Nhà nước, cơ quan thuế có đủ khả năng và công nghệ để phát hiện, xử lý nghiêm các hành vi trốn thuế. - HUMAN-ENF2]]</f>
        <v>10</v>
      </c>
      <c r="Y30" t="str">
        <f t="shared" si="4"/>
        <v>Support</v>
      </c>
      <c r="Z30" s="32">
        <f t="shared" si="5"/>
        <v>3</v>
      </c>
      <c r="AA30">
        <f>step3_validation[[#This Row],[AI_FAC1]]</f>
        <v>9</v>
      </c>
      <c r="AB30" t="str">
        <f t="shared" si="6"/>
        <v>Support</v>
      </c>
      <c r="AC30">
        <f>survey_responses[[#This Row],[Các thủ tục khai báo thuế VÀ/HOẶC quy trình làm việc với cơ quan thuế đơn giản, tiện lợi, nhanh chóng hơn so với trước đây. - HUMAN-FAC1]]</f>
        <v>9</v>
      </c>
      <c r="AD30" t="str">
        <f t="shared" si="7"/>
        <v>Support</v>
      </c>
      <c r="AE30" s="32">
        <f t="shared" si="8"/>
        <v>0</v>
      </c>
      <c r="AF30">
        <f>step3_validation[[#This Row],[AI_FAC2]]</f>
        <v>9</v>
      </c>
      <c r="AG30" t="str">
        <f t="shared" si="9"/>
        <v>Support</v>
      </c>
      <c r="AH30">
        <f>survey_responses[[#This Row],[So với trước đây, tôi thấy cách tính thuế và các bậc thuế trong phương án mới đơn giản, dễ hiểu và dễ thực hiện hơn. - HUMAN-FAC2]]</f>
        <v>10</v>
      </c>
      <c r="AI30" t="str">
        <f t="shared" si="10"/>
        <v>Support</v>
      </c>
      <c r="AJ30" s="32">
        <f t="shared" si="11"/>
        <v>1</v>
      </c>
      <c r="AK30">
        <f>step3_validation[[#This Row],[AI_TRU1]]</f>
        <v>6</v>
      </c>
      <c r="AL30" t="str">
        <f t="shared" si="12"/>
        <v>Neutral</v>
      </c>
      <c r="AM30">
        <f>survey_responses[[#This Row],[Tôi tin rằng Nhà nước, cơ quan thuế sẽ thực thi chính sách mới một cách khách quan, công tâm và đối xử bình đẳng với mọi người nộp thuế.  - HUMAN-TRU1]]</f>
        <v>10</v>
      </c>
      <c r="AN30" t="str">
        <f t="shared" si="13"/>
        <v>Support</v>
      </c>
      <c r="AO30" s="32">
        <f t="shared" si="14"/>
        <v>4</v>
      </c>
      <c r="AP30">
        <f>step3_validation[[#This Row],[AI_TRU2]]</f>
        <v>7</v>
      </c>
      <c r="AQ30" t="str">
        <f t="shared" si="15"/>
        <v>Neutral</v>
      </c>
      <c r="AR30">
        <f>survey_responses[[#This Row],[Tôi thấy mức thuế tôi phải đóng theo phương án mới là công bằng (người thu nhập như tôi đóng mức này là hợp lý). - HUMAN-TRU2]]</f>
        <v>9</v>
      </c>
      <c r="AS30" t="str">
        <f t="shared" si="16"/>
        <v>Support</v>
      </c>
      <c r="AT30" s="32">
        <f t="shared" si="17"/>
        <v>2</v>
      </c>
      <c r="AU30">
        <f>step3_validation[[#This Row],[AI_TRU3]]</f>
        <v>6</v>
      </c>
      <c r="AV30" t="str">
        <f t="shared" si="18"/>
        <v>Neutral</v>
      </c>
      <c r="AW30">
        <f>survey_responses[[#This Row],[Tôi tin tưởng số tiền thuế tôi đóng sẽ được Nhà nước sử dụng hiệu quả để cải thiện dịch vụ công (y tế, đường xá...). - HUMAN-TRU3]]</f>
        <v>10</v>
      </c>
      <c r="AX30" t="str">
        <f t="shared" si="19"/>
        <v>Support</v>
      </c>
      <c r="AY30" s="32">
        <f t="shared" si="20"/>
        <v>4</v>
      </c>
      <c r="AZ30">
        <f>step3_validation[[#This Row],[AI_TRU4]]</f>
        <v>7</v>
      </c>
      <c r="BA30" t="str">
        <f t="shared" si="21"/>
        <v>Neutral</v>
      </c>
      <c r="BB30">
        <f>survey_responses[[#This Row],[Tôi thấy Nhà nước đã giải thích rõ ràng, minh bạch về lý do và mục tiêu của việc sửa đổi thuế lần này. - HUMAN-TRU4]]</f>
        <v>10</v>
      </c>
      <c r="BC30" t="str">
        <f t="shared" si="22"/>
        <v>Support</v>
      </c>
      <c r="BD30" s="32">
        <f t="shared" si="23"/>
        <v>3</v>
      </c>
      <c r="BE30">
        <f>step3_validation[[#This Row],[AI_OUT1]]</f>
        <v>8</v>
      </c>
      <c r="BF30" t="str">
        <f t="shared" si="24"/>
        <v>Support</v>
      </c>
      <c r="BG30">
        <f>survey_responses[[#This Row],[Sau khi xem xét các quyền lợi và nghĩa vụ, bạn có ủng hộ và tuân thủ chính sách mới hiện nay? - HUMAN-OUT1]]</f>
        <v>10</v>
      </c>
      <c r="BH30" t="str">
        <f t="shared" si="25"/>
        <v>Support</v>
      </c>
      <c r="BI30" s="32">
        <f t="shared" si="26"/>
        <v>2</v>
      </c>
    </row>
    <row r="31" spans="1:61" x14ac:dyDescent="0.45">
      <c r="A31" s="30">
        <f>step3_validation[[#This Row],[Persona_ID]]</f>
        <v>30</v>
      </c>
      <c r="B31" s="31">
        <f>step3_validation[[#This Row],[Used_Seed]]</f>
        <v>30</v>
      </c>
      <c r="C31" t="str">
        <f>step3_validation[[#This Row],[Gender]]</f>
        <v>Nữ</v>
      </c>
      <c r="D31" t="str">
        <f>survey_responses[[#This Row],[Giới tính của bạn:]]</f>
        <v>Nữ</v>
      </c>
      <c r="E31" t="str">
        <f>step3_validation[[#This Row],[Age_Group]]</f>
        <v>18 - 24</v>
      </c>
      <c r="F31" t="str">
        <f>survey_responses[[#This Row],[Độ tuổi của bạn:]]</f>
        <v>18 - 24</v>
      </c>
      <c r="G31" t="str">
        <f>step3_validation[[#This Row],[Region]]</f>
        <v>Thành thị</v>
      </c>
      <c r="H31" t="str">
        <f>survey_responses[[#This Row],[Khu vực bạn đang sinh sống:]]</f>
        <v>Thành thị</v>
      </c>
      <c r="I31" t="str">
        <f>step3_validation[[#This Row],[Education]]</f>
        <v>Đại học</v>
      </c>
      <c r="J31" t="str">
        <f>survey_responses[[#This Row],[Trình độ học vấn cao nhất:]]</f>
        <v>Đại học</v>
      </c>
      <c r="K31" t="str">
        <f>step3_validation[[#This Row],[Employment]]</f>
        <v>Chính thức</v>
      </c>
      <c r="L31" t="str">
        <f>survey_responses[[#This Row],[Tình trạng việc làm chính:]]</f>
        <v>Khu vực chính thức (Có Hợp đồng lao động, đóng BHXH)</v>
      </c>
      <c r="M31">
        <f>step3_validation[[#This Row],[Income_Mil]]</f>
        <v>13.178994024062664</v>
      </c>
      <c r="N31" t="str">
        <f>survey_responses[[#This Row],[Thu nhập bình quân tháng theo Hợp đồng lao động của bạn là bao nhiêu? (Vui lòng điền tổng thu nhập trước khi khấu trừ các loại Bảo hiểm (BHXH, BHYT, BHTN) và Thuế TNCN)]]</f>
        <v>Từ 12 - 18 triệu VNĐ</v>
      </c>
      <c r="O31">
        <f>step3_validation[[#This Row],[Dependents]]</f>
        <v>0</v>
      </c>
      <c r="P31" t="str">
        <f>survey_responses[[#This Row],[Số người phụ thuộc (con nhỏ, cha mẹ già...) đủ điều kiện giảm trừ gia cảnh:]]</f>
        <v>0 người</v>
      </c>
      <c r="Q31">
        <f>step3_validation[[#This Row],[AI_ENF1]]</f>
        <v>7</v>
      </c>
      <c r="R31" t="str">
        <f t="shared" si="0"/>
        <v>Neutral</v>
      </c>
      <c r="S31">
        <f>survey_responses[[#This Row],[Tôi tin rằng với các quy định quản lý thuế hiện nay, hành vi gian lận hoặc trốn thuế sẽ dễ dàng bị phát hiện và xử lý nghiêm. - HUMAN-ENF1]]</f>
        <v>10</v>
      </c>
      <c r="T31" t="str">
        <f t="shared" si="1"/>
        <v>Support</v>
      </c>
      <c r="U31" s="32">
        <f t="shared" si="2"/>
        <v>3</v>
      </c>
      <c r="V31">
        <f>step3_validation[[#This Row],[AI_ENF2]]</f>
        <v>9</v>
      </c>
      <c r="W31" t="str">
        <f t="shared" si="3"/>
        <v>Support</v>
      </c>
      <c r="X31">
        <f>survey_responses[[#This Row],[Tôi tin rằng Nhà nước, cơ quan thuế có đủ khả năng và công nghệ để phát hiện, xử lý nghiêm các hành vi trốn thuế. - HUMAN-ENF2]]</f>
        <v>10</v>
      </c>
      <c r="Y31" t="str">
        <f t="shared" si="4"/>
        <v>Support</v>
      </c>
      <c r="Z31" s="32">
        <f t="shared" si="5"/>
        <v>1</v>
      </c>
      <c r="AA31">
        <f>step3_validation[[#This Row],[AI_FAC1]]</f>
        <v>8</v>
      </c>
      <c r="AB31" t="str">
        <f t="shared" si="6"/>
        <v>Support</v>
      </c>
      <c r="AC31">
        <f>survey_responses[[#This Row],[Các thủ tục khai báo thuế VÀ/HOẶC quy trình làm việc với cơ quan thuế đơn giản, tiện lợi, nhanh chóng hơn so với trước đây. - HUMAN-FAC1]]</f>
        <v>9</v>
      </c>
      <c r="AD31" t="str">
        <f t="shared" si="7"/>
        <v>Support</v>
      </c>
      <c r="AE31" s="32">
        <f t="shared" si="8"/>
        <v>1</v>
      </c>
      <c r="AF31">
        <f>step3_validation[[#This Row],[AI_FAC2]]</f>
        <v>9</v>
      </c>
      <c r="AG31" t="str">
        <f t="shared" si="9"/>
        <v>Support</v>
      </c>
      <c r="AH31">
        <f>survey_responses[[#This Row],[So với trước đây, tôi thấy cách tính thuế và các bậc thuế trong phương án mới đơn giản, dễ hiểu và dễ thực hiện hơn. - HUMAN-FAC2]]</f>
        <v>10</v>
      </c>
      <c r="AI31" t="str">
        <f t="shared" si="10"/>
        <v>Support</v>
      </c>
      <c r="AJ31" s="32">
        <f t="shared" si="11"/>
        <v>1</v>
      </c>
      <c r="AK31">
        <f>step3_validation[[#This Row],[AI_TRU1]]</f>
        <v>8</v>
      </c>
      <c r="AL31" t="str">
        <f t="shared" si="12"/>
        <v>Support</v>
      </c>
      <c r="AM31">
        <f>survey_responses[[#This Row],[Tôi tin rằng Nhà nước, cơ quan thuế sẽ thực thi chính sách mới một cách khách quan, công tâm và đối xử bình đẳng với mọi người nộp thuế.  - HUMAN-TRU1]]</f>
        <v>10</v>
      </c>
      <c r="AN31" t="str">
        <f t="shared" si="13"/>
        <v>Support</v>
      </c>
      <c r="AO31" s="32">
        <f t="shared" si="14"/>
        <v>2</v>
      </c>
      <c r="AP31">
        <f>step3_validation[[#This Row],[AI_TRU2]]</f>
        <v>9</v>
      </c>
      <c r="AQ31" t="str">
        <f t="shared" si="15"/>
        <v>Support</v>
      </c>
      <c r="AR31">
        <f>survey_responses[[#This Row],[Tôi thấy mức thuế tôi phải đóng theo phương án mới là công bằng (người thu nhập như tôi đóng mức này là hợp lý). - HUMAN-TRU2]]</f>
        <v>10</v>
      </c>
      <c r="AS31" t="str">
        <f t="shared" si="16"/>
        <v>Support</v>
      </c>
      <c r="AT31" s="32">
        <f t="shared" si="17"/>
        <v>1</v>
      </c>
      <c r="AU31">
        <f>step3_validation[[#This Row],[AI_TRU3]]</f>
        <v>8</v>
      </c>
      <c r="AV31" t="str">
        <f t="shared" si="18"/>
        <v>Support</v>
      </c>
      <c r="AW31">
        <f>survey_responses[[#This Row],[Tôi tin tưởng số tiền thuế tôi đóng sẽ được Nhà nước sử dụng hiệu quả để cải thiện dịch vụ công (y tế, đường xá...). - HUMAN-TRU3]]</f>
        <v>10</v>
      </c>
      <c r="AX31" t="str">
        <f t="shared" si="19"/>
        <v>Support</v>
      </c>
      <c r="AY31" s="32">
        <f t="shared" si="20"/>
        <v>2</v>
      </c>
      <c r="AZ31">
        <f>step3_validation[[#This Row],[AI_TRU4]]</f>
        <v>9</v>
      </c>
      <c r="BA31" t="str">
        <f t="shared" si="21"/>
        <v>Support</v>
      </c>
      <c r="BB31">
        <f>survey_responses[[#This Row],[Tôi thấy Nhà nước đã giải thích rõ ràng, minh bạch về lý do và mục tiêu của việc sửa đổi thuế lần này. - HUMAN-TRU4]]</f>
        <v>10</v>
      </c>
      <c r="BC31" t="str">
        <f t="shared" si="22"/>
        <v>Support</v>
      </c>
      <c r="BD31" s="32">
        <f t="shared" si="23"/>
        <v>1</v>
      </c>
      <c r="BE31">
        <f>step3_validation[[#This Row],[AI_OUT1]]</f>
        <v>8</v>
      </c>
      <c r="BF31" t="str">
        <f t="shared" si="24"/>
        <v>Support</v>
      </c>
      <c r="BG31">
        <f>survey_responses[[#This Row],[Sau khi xem xét các quyền lợi và nghĩa vụ, bạn có ủng hộ và tuân thủ chính sách mới hiện nay? - HUMAN-OUT1]]</f>
        <v>10</v>
      </c>
      <c r="BH31" t="str">
        <f t="shared" si="25"/>
        <v>Support</v>
      </c>
      <c r="BI31" s="32">
        <f t="shared" si="26"/>
        <v>2</v>
      </c>
    </row>
    <row r="32" spans="1:61" x14ac:dyDescent="0.45">
      <c r="A32" s="30">
        <f>step3_validation[[#This Row],[Persona_ID]]</f>
        <v>31</v>
      </c>
      <c r="B32" s="31">
        <f>step3_validation[[#This Row],[Used_Seed]]</f>
        <v>31</v>
      </c>
      <c r="C32" t="str">
        <f>step3_validation[[#This Row],[Gender]]</f>
        <v>Nữ</v>
      </c>
      <c r="D32" t="str">
        <f>survey_responses[[#This Row],[Giới tính của bạn:]]</f>
        <v>Nữ</v>
      </c>
      <c r="E32" t="str">
        <f>step3_validation[[#This Row],[Age_Group]]</f>
        <v>25 - 29</v>
      </c>
      <c r="F32" t="str">
        <f>survey_responses[[#This Row],[Độ tuổi của bạn:]]</f>
        <v>25 - 29</v>
      </c>
      <c r="G32" t="str">
        <f>step3_validation[[#This Row],[Region]]</f>
        <v>Thành thị</v>
      </c>
      <c r="H32" t="str">
        <f>survey_responses[[#This Row],[Khu vực bạn đang sinh sống:]]</f>
        <v>Thành thị</v>
      </c>
      <c r="I32" t="str">
        <f>step3_validation[[#This Row],[Education]]</f>
        <v>Đại học</v>
      </c>
      <c r="J32" t="str">
        <f>survey_responses[[#This Row],[Trình độ học vấn cao nhất:]]</f>
        <v>Đại học</v>
      </c>
      <c r="K32" t="str">
        <f>step3_validation[[#This Row],[Employment]]</f>
        <v>Chính thức</v>
      </c>
      <c r="L32" t="str">
        <f>survey_responses[[#This Row],[Tình trạng việc làm chính:]]</f>
        <v>Khu vực chính thức (Có Hợp đồng lao động, đóng BHXH)</v>
      </c>
      <c r="M32">
        <f>step3_validation[[#This Row],[Income_Mil]]</f>
        <v>30.225374487318884</v>
      </c>
      <c r="N32" t="str">
        <f>survey_responses[[#This Row],[Thu nhập bình quân tháng theo Hợp đồng lao động của bạn là bao nhiêu? (Vui lòng điền tổng thu nhập trước khi khấu trừ các loại Bảo hiểm (BHXH, BHYT, BHTN) và Thuế TNCN)]]</f>
        <v>Từ 23 - 32 triệu VNĐ</v>
      </c>
      <c r="O32">
        <f>step3_validation[[#This Row],[Dependents]]</f>
        <v>0</v>
      </c>
      <c r="P32" t="str">
        <f>survey_responses[[#This Row],[Số người phụ thuộc (con nhỏ, cha mẹ già...) đủ điều kiện giảm trừ gia cảnh:]]</f>
        <v>0 người</v>
      </c>
      <c r="Q32">
        <f>step3_validation[[#This Row],[AI_ENF1]]</f>
        <v>6</v>
      </c>
      <c r="R32" t="str">
        <f t="shared" si="0"/>
        <v>Neutral</v>
      </c>
      <c r="S32">
        <f>survey_responses[[#This Row],[Tôi tin rằng với các quy định quản lý thuế hiện nay, hành vi gian lận hoặc trốn thuế sẽ dễ dàng bị phát hiện và xử lý nghiêm. - HUMAN-ENF1]]</f>
        <v>10</v>
      </c>
      <c r="T32" t="str">
        <f t="shared" si="1"/>
        <v>Support</v>
      </c>
      <c r="U32" s="32">
        <f t="shared" si="2"/>
        <v>4</v>
      </c>
      <c r="V32">
        <f>step3_validation[[#This Row],[AI_ENF2]]</f>
        <v>7</v>
      </c>
      <c r="W32" t="str">
        <f t="shared" si="3"/>
        <v>Neutral</v>
      </c>
      <c r="X32">
        <f>survey_responses[[#This Row],[Tôi tin rằng Nhà nước, cơ quan thuế có đủ khả năng và công nghệ để phát hiện, xử lý nghiêm các hành vi trốn thuế. - HUMAN-ENF2]]</f>
        <v>7</v>
      </c>
      <c r="Y32" t="str">
        <f t="shared" si="4"/>
        <v>Neutral</v>
      </c>
      <c r="Z32" s="32">
        <f t="shared" si="5"/>
        <v>0</v>
      </c>
      <c r="AA32">
        <f>step3_validation[[#This Row],[AI_FAC1]]</f>
        <v>8</v>
      </c>
      <c r="AB32" t="str">
        <f t="shared" si="6"/>
        <v>Support</v>
      </c>
      <c r="AC32">
        <f>survey_responses[[#This Row],[Các thủ tục khai báo thuế VÀ/HOẶC quy trình làm việc với cơ quan thuế đơn giản, tiện lợi, nhanh chóng hơn so với trước đây. - HUMAN-FAC1]]</f>
        <v>10</v>
      </c>
      <c r="AD32" t="str">
        <f t="shared" si="7"/>
        <v>Support</v>
      </c>
      <c r="AE32" s="32">
        <f t="shared" si="8"/>
        <v>2</v>
      </c>
      <c r="AF32">
        <f>step3_validation[[#This Row],[AI_FAC2]]</f>
        <v>9</v>
      </c>
      <c r="AG32" t="str">
        <f t="shared" si="9"/>
        <v>Support</v>
      </c>
      <c r="AH32">
        <f>survey_responses[[#This Row],[So với trước đây, tôi thấy cách tính thuế và các bậc thuế trong phương án mới đơn giản, dễ hiểu và dễ thực hiện hơn. - HUMAN-FAC2]]</f>
        <v>7</v>
      </c>
      <c r="AI32" t="str">
        <f t="shared" si="10"/>
        <v>Neutral</v>
      </c>
      <c r="AJ32" s="32">
        <f t="shared" si="11"/>
        <v>2</v>
      </c>
      <c r="AK32">
        <f>step3_validation[[#This Row],[AI_TRU1]]</f>
        <v>7</v>
      </c>
      <c r="AL32" t="str">
        <f t="shared" si="12"/>
        <v>Neutral</v>
      </c>
      <c r="AM32">
        <f>survey_responses[[#This Row],[Tôi tin rằng Nhà nước, cơ quan thuế sẽ thực thi chính sách mới một cách khách quan, công tâm và đối xử bình đẳng với mọi người nộp thuế.  - HUMAN-TRU1]]</f>
        <v>10</v>
      </c>
      <c r="AN32" t="str">
        <f t="shared" si="13"/>
        <v>Support</v>
      </c>
      <c r="AO32" s="32">
        <f t="shared" si="14"/>
        <v>3</v>
      </c>
      <c r="AP32">
        <f>step3_validation[[#This Row],[AI_TRU2]]</f>
        <v>9</v>
      </c>
      <c r="AQ32" t="str">
        <f t="shared" si="15"/>
        <v>Support</v>
      </c>
      <c r="AR32">
        <f>survey_responses[[#This Row],[Tôi thấy mức thuế tôi phải đóng theo phương án mới là công bằng (người thu nhập như tôi đóng mức này là hợp lý). - HUMAN-TRU2]]</f>
        <v>10</v>
      </c>
      <c r="AS32" t="str">
        <f t="shared" si="16"/>
        <v>Support</v>
      </c>
      <c r="AT32" s="32">
        <f t="shared" si="17"/>
        <v>1</v>
      </c>
      <c r="AU32">
        <f>step3_validation[[#This Row],[AI_TRU3]]</f>
        <v>8</v>
      </c>
      <c r="AV32" t="str">
        <f t="shared" si="18"/>
        <v>Support</v>
      </c>
      <c r="AW32">
        <f>survey_responses[[#This Row],[Tôi tin tưởng số tiền thuế tôi đóng sẽ được Nhà nước sử dụng hiệu quả để cải thiện dịch vụ công (y tế, đường xá...). - HUMAN-TRU3]]</f>
        <v>3</v>
      </c>
      <c r="AX32" t="str">
        <f t="shared" si="19"/>
        <v>Oppose</v>
      </c>
      <c r="AY32" s="32">
        <f t="shared" si="20"/>
        <v>5</v>
      </c>
      <c r="AZ32">
        <f>step3_validation[[#This Row],[AI_TRU4]]</f>
        <v>9</v>
      </c>
      <c r="BA32" t="str">
        <f t="shared" si="21"/>
        <v>Support</v>
      </c>
      <c r="BB32">
        <f>survey_responses[[#This Row],[Tôi thấy Nhà nước đã giải thích rõ ràng, minh bạch về lý do và mục tiêu của việc sửa đổi thuế lần này. - HUMAN-TRU4]]</f>
        <v>5</v>
      </c>
      <c r="BC32" t="str">
        <f t="shared" si="22"/>
        <v>Neutral</v>
      </c>
      <c r="BD32" s="32">
        <f t="shared" si="23"/>
        <v>4</v>
      </c>
      <c r="BE32">
        <f>step3_validation[[#This Row],[AI_OUT1]]</f>
        <v>8</v>
      </c>
      <c r="BF32" t="str">
        <f t="shared" si="24"/>
        <v>Support</v>
      </c>
      <c r="BG32">
        <f>survey_responses[[#This Row],[Sau khi xem xét các quyền lợi và nghĩa vụ, bạn có ủng hộ và tuân thủ chính sách mới hiện nay? - HUMAN-OUT1]]</f>
        <v>8</v>
      </c>
      <c r="BH32" t="str">
        <f t="shared" si="25"/>
        <v>Support</v>
      </c>
      <c r="BI32" s="32">
        <f t="shared" si="26"/>
        <v>0</v>
      </c>
    </row>
    <row r="33" spans="1:61" x14ac:dyDescent="0.45">
      <c r="A33" s="30">
        <f>step3_validation[[#This Row],[Persona_ID]]</f>
        <v>32</v>
      </c>
      <c r="B33" s="31">
        <f>step3_validation[[#This Row],[Used_Seed]]</f>
        <v>32</v>
      </c>
      <c r="C33" t="str">
        <f>step3_validation[[#This Row],[Gender]]</f>
        <v>Nữ</v>
      </c>
      <c r="D33" t="str">
        <f>survey_responses[[#This Row],[Giới tính của bạn:]]</f>
        <v>Nữ</v>
      </c>
      <c r="E33" t="str">
        <f>step3_validation[[#This Row],[Age_Group]]</f>
        <v>18 - 24</v>
      </c>
      <c r="F33" t="str">
        <f>survey_responses[[#This Row],[Độ tuổi của bạn:]]</f>
        <v>18 - 24</v>
      </c>
      <c r="G33" t="str">
        <f>step3_validation[[#This Row],[Region]]</f>
        <v>Thành thị</v>
      </c>
      <c r="H33" t="str">
        <f>survey_responses[[#This Row],[Khu vực bạn đang sinh sống:]]</f>
        <v>Thành thị</v>
      </c>
      <c r="I33" t="str">
        <f>step3_validation[[#This Row],[Education]]</f>
        <v>Đại học</v>
      </c>
      <c r="J33" t="str">
        <f>survey_responses[[#This Row],[Trình độ học vấn cao nhất:]]</f>
        <v>Đại học</v>
      </c>
      <c r="K33" t="str">
        <f>step3_validation[[#This Row],[Employment]]</f>
        <v>Chính thức</v>
      </c>
      <c r="L33" t="str">
        <f>survey_responses[[#This Row],[Tình trạng việc làm chính:]]</f>
        <v>Khu vực chính thức (Có Hợp đồng lao động, đóng BHXH)</v>
      </c>
      <c r="M33">
        <f>step3_validation[[#This Row],[Income_Mil]]</f>
        <v>24.281942642998146</v>
      </c>
      <c r="N33" t="str">
        <f>survey_responses[[#This Row],[Thu nhập bình quân tháng theo Hợp đồng lao động của bạn là bao nhiêu? (Vui lòng điền tổng thu nhập trước khi khấu trừ các loại Bảo hiểm (BHXH, BHYT, BHTN) và Thuế TNCN)]]</f>
        <v>Từ 23 - 32 triệu VNĐ</v>
      </c>
      <c r="O33">
        <f>step3_validation[[#This Row],[Dependents]]</f>
        <v>0</v>
      </c>
      <c r="P33" t="str">
        <f>survey_responses[[#This Row],[Số người phụ thuộc (con nhỏ, cha mẹ già...) đủ điều kiện giảm trừ gia cảnh:]]</f>
        <v>0 người</v>
      </c>
      <c r="Q33">
        <f>step3_validation[[#This Row],[AI_ENF1]]</f>
        <v>6</v>
      </c>
      <c r="R33" t="str">
        <f t="shared" si="0"/>
        <v>Neutral</v>
      </c>
      <c r="S33">
        <f>survey_responses[[#This Row],[Tôi tin rằng với các quy định quản lý thuế hiện nay, hành vi gian lận hoặc trốn thuế sẽ dễ dàng bị phát hiện và xử lý nghiêm. - HUMAN-ENF1]]</f>
        <v>5</v>
      </c>
      <c r="T33" t="str">
        <f t="shared" si="1"/>
        <v>Neutral</v>
      </c>
      <c r="U33" s="32">
        <f t="shared" si="2"/>
        <v>1</v>
      </c>
      <c r="V33">
        <f>step3_validation[[#This Row],[AI_ENF2]]</f>
        <v>7</v>
      </c>
      <c r="W33" t="str">
        <f t="shared" si="3"/>
        <v>Neutral</v>
      </c>
      <c r="X33">
        <f>survey_responses[[#This Row],[Tôi tin rằng Nhà nước, cơ quan thuế có đủ khả năng và công nghệ để phát hiện, xử lý nghiêm các hành vi trốn thuế. - HUMAN-ENF2]]</f>
        <v>5</v>
      </c>
      <c r="Y33" t="str">
        <f t="shared" si="4"/>
        <v>Neutral</v>
      </c>
      <c r="Z33" s="32">
        <f t="shared" si="5"/>
        <v>2</v>
      </c>
      <c r="AA33">
        <f>step3_validation[[#This Row],[AI_FAC1]]</f>
        <v>8</v>
      </c>
      <c r="AB33" t="str">
        <f t="shared" si="6"/>
        <v>Support</v>
      </c>
      <c r="AC33">
        <f>survey_responses[[#This Row],[Các thủ tục khai báo thuế VÀ/HOẶC quy trình làm việc với cơ quan thuế đơn giản, tiện lợi, nhanh chóng hơn so với trước đây. - HUMAN-FAC1]]</f>
        <v>5</v>
      </c>
      <c r="AD33" t="str">
        <f t="shared" si="7"/>
        <v>Neutral</v>
      </c>
      <c r="AE33" s="32">
        <f t="shared" si="8"/>
        <v>3</v>
      </c>
      <c r="AF33">
        <f>step3_validation[[#This Row],[AI_FAC2]]</f>
        <v>9</v>
      </c>
      <c r="AG33" t="str">
        <f t="shared" si="9"/>
        <v>Support</v>
      </c>
      <c r="AH33">
        <f>survey_responses[[#This Row],[So với trước đây, tôi thấy cách tính thuế và các bậc thuế trong phương án mới đơn giản, dễ hiểu và dễ thực hiện hơn. - HUMAN-FAC2]]</f>
        <v>5</v>
      </c>
      <c r="AI33" t="str">
        <f t="shared" si="10"/>
        <v>Neutral</v>
      </c>
      <c r="AJ33" s="32">
        <f t="shared" si="11"/>
        <v>4</v>
      </c>
      <c r="AK33">
        <f>step3_validation[[#This Row],[AI_TRU1]]</f>
        <v>7</v>
      </c>
      <c r="AL33" t="str">
        <f t="shared" si="12"/>
        <v>Neutral</v>
      </c>
      <c r="AM33">
        <f>survey_responses[[#This Row],[Tôi tin rằng Nhà nước, cơ quan thuế sẽ thực thi chính sách mới một cách khách quan, công tâm và đối xử bình đẳng với mọi người nộp thuế.  - HUMAN-TRU1]]</f>
        <v>5</v>
      </c>
      <c r="AN33" t="str">
        <f t="shared" si="13"/>
        <v>Neutral</v>
      </c>
      <c r="AO33" s="32">
        <f t="shared" si="14"/>
        <v>2</v>
      </c>
      <c r="AP33">
        <f>step3_validation[[#This Row],[AI_TRU2]]</f>
        <v>9</v>
      </c>
      <c r="AQ33" t="str">
        <f t="shared" si="15"/>
        <v>Support</v>
      </c>
      <c r="AR33">
        <f>survey_responses[[#This Row],[Tôi thấy mức thuế tôi phải đóng theo phương án mới là công bằng (người thu nhập như tôi đóng mức này là hợp lý). - HUMAN-TRU2]]</f>
        <v>5</v>
      </c>
      <c r="AS33" t="str">
        <f t="shared" si="16"/>
        <v>Neutral</v>
      </c>
      <c r="AT33" s="32">
        <f t="shared" si="17"/>
        <v>4</v>
      </c>
      <c r="AU33">
        <f>step3_validation[[#This Row],[AI_TRU3]]</f>
        <v>7</v>
      </c>
      <c r="AV33" t="str">
        <f t="shared" si="18"/>
        <v>Neutral</v>
      </c>
      <c r="AW33">
        <f>survey_responses[[#This Row],[Tôi tin tưởng số tiền thuế tôi đóng sẽ được Nhà nước sử dụng hiệu quả để cải thiện dịch vụ công (y tế, đường xá...). - HUMAN-TRU3]]</f>
        <v>5</v>
      </c>
      <c r="AX33" t="str">
        <f t="shared" si="19"/>
        <v>Neutral</v>
      </c>
      <c r="AY33" s="32">
        <f t="shared" si="20"/>
        <v>2</v>
      </c>
      <c r="AZ33">
        <f>step3_validation[[#This Row],[AI_TRU4]]</f>
        <v>8</v>
      </c>
      <c r="BA33" t="str">
        <f t="shared" si="21"/>
        <v>Support</v>
      </c>
      <c r="BB33">
        <f>survey_responses[[#This Row],[Tôi thấy Nhà nước đã giải thích rõ ràng, minh bạch về lý do và mục tiêu của việc sửa đổi thuế lần này. - HUMAN-TRU4]]</f>
        <v>5</v>
      </c>
      <c r="BC33" t="str">
        <f t="shared" si="22"/>
        <v>Neutral</v>
      </c>
      <c r="BD33" s="32">
        <f t="shared" si="23"/>
        <v>3</v>
      </c>
      <c r="BE33">
        <f>step3_validation[[#This Row],[AI_OUT1]]</f>
        <v>9</v>
      </c>
      <c r="BF33" t="str">
        <f t="shared" si="24"/>
        <v>Support</v>
      </c>
      <c r="BG33">
        <f>survey_responses[[#This Row],[Sau khi xem xét các quyền lợi và nghĩa vụ, bạn có ủng hộ và tuân thủ chính sách mới hiện nay? - HUMAN-OUT1]]</f>
        <v>5</v>
      </c>
      <c r="BH33" t="str">
        <f t="shared" si="25"/>
        <v>Neutral</v>
      </c>
      <c r="BI33" s="32">
        <f t="shared" si="26"/>
        <v>4</v>
      </c>
    </row>
    <row r="34" spans="1:61" x14ac:dyDescent="0.45">
      <c r="A34" s="30">
        <f>step3_validation[[#This Row],[Persona_ID]]</f>
        <v>33</v>
      </c>
      <c r="B34" s="31">
        <f>step3_validation[[#This Row],[Used_Seed]]</f>
        <v>33</v>
      </c>
      <c r="C34" t="str">
        <f>step3_validation[[#This Row],[Gender]]</f>
        <v>Nữ</v>
      </c>
      <c r="D34" t="str">
        <f>survey_responses[[#This Row],[Giới tính của bạn:]]</f>
        <v>Nữ</v>
      </c>
      <c r="E34" t="str">
        <f>step3_validation[[#This Row],[Age_Group]]</f>
        <v>25 - 29</v>
      </c>
      <c r="F34" t="str">
        <f>survey_responses[[#This Row],[Độ tuổi của bạn:]]</f>
        <v>25 - 29</v>
      </c>
      <c r="G34" t="str">
        <f>step3_validation[[#This Row],[Region]]</f>
        <v>Thành thị</v>
      </c>
      <c r="H34" t="str">
        <f>survey_responses[[#This Row],[Khu vực bạn đang sinh sống:]]</f>
        <v>Thành thị</v>
      </c>
      <c r="I34" t="str">
        <f>step3_validation[[#This Row],[Education]]</f>
        <v>Đại học</v>
      </c>
      <c r="J34" t="str">
        <f>survey_responses[[#This Row],[Trình độ học vấn cao nhất:]]</f>
        <v>Đại học</v>
      </c>
      <c r="K34" t="str">
        <f>step3_validation[[#This Row],[Employment]]</f>
        <v>Chính thức</v>
      </c>
      <c r="L34" t="str">
        <f>survey_responses[[#This Row],[Tình trạng việc làm chính:]]</f>
        <v>Khu vực chính thức (Có Hợp đồng lao động, đóng BHXH)</v>
      </c>
      <c r="M34">
        <f>step3_validation[[#This Row],[Income_Mil]]</f>
        <v>26.549137895701335</v>
      </c>
      <c r="N34" t="str">
        <f>survey_responses[[#This Row],[Thu nhập bình quân tháng theo Hợp đồng lao động của bạn là bao nhiêu? (Vui lòng điền tổng thu nhập trước khi khấu trừ các loại Bảo hiểm (BHXH, BHYT, BHTN) và Thuế TNCN)]]</f>
        <v>Từ 23 - 32 triệu VNĐ</v>
      </c>
      <c r="O34">
        <f>step3_validation[[#This Row],[Dependents]]</f>
        <v>0</v>
      </c>
      <c r="P34" t="str">
        <f>survey_responses[[#This Row],[Số người phụ thuộc (con nhỏ, cha mẹ già...) đủ điều kiện giảm trừ gia cảnh:]]</f>
        <v>0 người</v>
      </c>
      <c r="Q34">
        <f>step3_validation[[#This Row],[AI_ENF1]]</f>
        <v>9</v>
      </c>
      <c r="R34" t="str">
        <f t="shared" si="0"/>
        <v>Support</v>
      </c>
      <c r="S34">
        <f>survey_responses[[#This Row],[Tôi tin rằng với các quy định quản lý thuế hiện nay, hành vi gian lận hoặc trốn thuế sẽ dễ dàng bị phát hiện và xử lý nghiêm. - HUMAN-ENF1]]</f>
        <v>8</v>
      </c>
      <c r="T34" t="str">
        <f t="shared" si="1"/>
        <v>Support</v>
      </c>
      <c r="U34" s="32">
        <f t="shared" si="2"/>
        <v>1</v>
      </c>
      <c r="V34">
        <f>step3_validation[[#This Row],[AI_ENF2]]</f>
        <v>8</v>
      </c>
      <c r="W34" t="str">
        <f t="shared" si="3"/>
        <v>Support</v>
      </c>
      <c r="X34">
        <f>survey_responses[[#This Row],[Tôi tin rằng Nhà nước, cơ quan thuế có đủ khả năng và công nghệ để phát hiện, xử lý nghiêm các hành vi trốn thuế. - HUMAN-ENF2]]</f>
        <v>9</v>
      </c>
      <c r="Y34" t="str">
        <f t="shared" si="4"/>
        <v>Support</v>
      </c>
      <c r="Z34" s="32">
        <f t="shared" si="5"/>
        <v>1</v>
      </c>
      <c r="AA34">
        <f>step3_validation[[#This Row],[AI_FAC1]]</f>
        <v>7</v>
      </c>
      <c r="AB34" t="str">
        <f t="shared" si="6"/>
        <v>Neutral</v>
      </c>
      <c r="AC34">
        <f>survey_responses[[#This Row],[Các thủ tục khai báo thuế VÀ/HOẶC quy trình làm việc với cơ quan thuế đơn giản, tiện lợi, nhanh chóng hơn so với trước đây. - HUMAN-FAC1]]</f>
        <v>7</v>
      </c>
      <c r="AD34" t="str">
        <f t="shared" si="7"/>
        <v>Neutral</v>
      </c>
      <c r="AE34" s="32">
        <f t="shared" si="8"/>
        <v>0</v>
      </c>
      <c r="AF34">
        <f>step3_validation[[#This Row],[AI_FAC2]]</f>
        <v>8</v>
      </c>
      <c r="AG34" t="str">
        <f t="shared" si="9"/>
        <v>Support</v>
      </c>
      <c r="AH34">
        <f>survey_responses[[#This Row],[So với trước đây, tôi thấy cách tính thuế và các bậc thuế trong phương án mới đơn giản, dễ hiểu và dễ thực hiện hơn. - HUMAN-FAC2]]</f>
        <v>8</v>
      </c>
      <c r="AI34" t="str">
        <f t="shared" si="10"/>
        <v>Support</v>
      </c>
      <c r="AJ34" s="32">
        <f t="shared" si="11"/>
        <v>0</v>
      </c>
      <c r="AK34">
        <f>step3_validation[[#This Row],[AI_TRU1]]</f>
        <v>7</v>
      </c>
      <c r="AL34" t="str">
        <f t="shared" si="12"/>
        <v>Neutral</v>
      </c>
      <c r="AM34">
        <f>survey_responses[[#This Row],[Tôi tin rằng Nhà nước, cơ quan thuế sẽ thực thi chính sách mới một cách khách quan, công tâm và đối xử bình đẳng với mọi người nộp thuế.  - HUMAN-TRU1]]</f>
        <v>8</v>
      </c>
      <c r="AN34" t="str">
        <f t="shared" si="13"/>
        <v>Support</v>
      </c>
      <c r="AO34" s="32">
        <f t="shared" si="14"/>
        <v>1</v>
      </c>
      <c r="AP34">
        <f>step3_validation[[#This Row],[AI_TRU2]]</f>
        <v>6</v>
      </c>
      <c r="AQ34" t="str">
        <f t="shared" si="15"/>
        <v>Neutral</v>
      </c>
      <c r="AR34">
        <f>survey_responses[[#This Row],[Tôi thấy mức thuế tôi phải đóng theo phương án mới là công bằng (người thu nhập như tôi đóng mức này là hợp lý). - HUMAN-TRU2]]</f>
        <v>8</v>
      </c>
      <c r="AS34" t="str">
        <f t="shared" si="16"/>
        <v>Support</v>
      </c>
      <c r="AT34" s="32">
        <f t="shared" si="17"/>
        <v>2</v>
      </c>
      <c r="AU34">
        <f>step3_validation[[#This Row],[AI_TRU3]]</f>
        <v>5</v>
      </c>
      <c r="AV34" t="str">
        <f t="shared" si="18"/>
        <v>Neutral</v>
      </c>
      <c r="AW34">
        <f>survey_responses[[#This Row],[Tôi tin tưởng số tiền thuế tôi đóng sẽ được Nhà nước sử dụng hiệu quả để cải thiện dịch vụ công (y tế, đường xá...). - HUMAN-TRU3]]</f>
        <v>3</v>
      </c>
      <c r="AX34" t="str">
        <f t="shared" si="19"/>
        <v>Oppose</v>
      </c>
      <c r="AY34" s="32">
        <f t="shared" si="20"/>
        <v>2</v>
      </c>
      <c r="AZ34">
        <f>step3_validation[[#This Row],[AI_TRU4]]</f>
        <v>6</v>
      </c>
      <c r="BA34" t="str">
        <f t="shared" si="21"/>
        <v>Neutral</v>
      </c>
      <c r="BB34">
        <f>survey_responses[[#This Row],[Tôi thấy Nhà nước đã giải thích rõ ràng, minh bạch về lý do và mục tiêu của việc sửa đổi thuế lần này. - HUMAN-TRU4]]</f>
        <v>6</v>
      </c>
      <c r="BC34" t="str">
        <f t="shared" si="22"/>
        <v>Neutral</v>
      </c>
      <c r="BD34" s="32">
        <f t="shared" si="23"/>
        <v>0</v>
      </c>
      <c r="BE34">
        <f>step3_validation[[#This Row],[AI_OUT1]]</f>
        <v>7</v>
      </c>
      <c r="BF34" t="str">
        <f t="shared" si="24"/>
        <v>Neutral</v>
      </c>
      <c r="BG34">
        <f>survey_responses[[#This Row],[Sau khi xem xét các quyền lợi và nghĩa vụ, bạn có ủng hộ và tuân thủ chính sách mới hiện nay? - HUMAN-OUT1]]</f>
        <v>7</v>
      </c>
      <c r="BH34" t="str">
        <f t="shared" si="25"/>
        <v>Neutral</v>
      </c>
      <c r="BI34" s="32">
        <f t="shared" si="26"/>
        <v>0</v>
      </c>
    </row>
    <row r="35" spans="1:61" x14ac:dyDescent="0.45">
      <c r="A35" s="30">
        <f>step3_validation[[#This Row],[Persona_ID]]</f>
        <v>34</v>
      </c>
      <c r="B35" s="31">
        <f>step3_validation[[#This Row],[Used_Seed]]</f>
        <v>34</v>
      </c>
      <c r="C35" t="str">
        <f>step3_validation[[#This Row],[Gender]]</f>
        <v>Nam</v>
      </c>
      <c r="D35" t="str">
        <f>survey_responses[[#This Row],[Giới tính của bạn:]]</f>
        <v>Nam</v>
      </c>
      <c r="E35" t="str">
        <f>step3_validation[[#This Row],[Age_Group]]</f>
        <v>25 - 29</v>
      </c>
      <c r="F35" t="str">
        <f>survey_responses[[#This Row],[Độ tuổi của bạn:]]</f>
        <v>25 - 29</v>
      </c>
      <c r="G35" t="str">
        <f>step3_validation[[#This Row],[Region]]</f>
        <v>Thành thị</v>
      </c>
      <c r="H35" t="str">
        <f>survey_responses[[#This Row],[Khu vực bạn đang sinh sống:]]</f>
        <v>Thành thị</v>
      </c>
      <c r="I35" t="str">
        <f>step3_validation[[#This Row],[Education]]</f>
        <v>Đại học</v>
      </c>
      <c r="J35" t="str">
        <f>survey_responses[[#This Row],[Trình độ học vấn cao nhất:]]</f>
        <v>Đại học</v>
      </c>
      <c r="K35" t="str">
        <f>step3_validation[[#This Row],[Employment]]</f>
        <v>Chính thức</v>
      </c>
      <c r="L35" t="str">
        <f>survey_responses[[#This Row],[Tình trạng việc làm chính:]]</f>
        <v>Khu vực chính thức (Có Hợp đồng lao động, đóng BHXH)</v>
      </c>
      <c r="M35">
        <f>step3_validation[[#This Row],[Income_Mil]]</f>
        <v>12.020141217465218</v>
      </c>
      <c r="N35" t="str">
        <f>survey_responses[[#This Row],[Thu nhập bình quân tháng theo Hợp đồng lao động của bạn là bao nhiêu? (Vui lòng điền tổng thu nhập trước khi khấu trừ các loại Bảo hiểm (BHXH, BHYT, BHTN) và Thuế TNCN)]]</f>
        <v>Từ 12 - 18 triệu VNĐ</v>
      </c>
      <c r="O35">
        <f>step3_validation[[#This Row],[Dependents]]</f>
        <v>1</v>
      </c>
      <c r="P35" t="str">
        <f>survey_responses[[#This Row],[Số người phụ thuộc (con nhỏ, cha mẹ già...) đủ điều kiện giảm trừ gia cảnh:]]</f>
        <v>1 người</v>
      </c>
      <c r="Q35">
        <f>step3_validation[[#This Row],[AI_ENF1]]</f>
        <v>8</v>
      </c>
      <c r="R35" t="str">
        <f t="shared" si="0"/>
        <v>Support</v>
      </c>
      <c r="S35">
        <f>survey_responses[[#This Row],[Tôi tin rằng với các quy định quản lý thuế hiện nay, hành vi gian lận hoặc trốn thuế sẽ dễ dàng bị phát hiện và xử lý nghiêm. - HUMAN-ENF1]]</f>
        <v>10</v>
      </c>
      <c r="T35" t="str">
        <f t="shared" si="1"/>
        <v>Support</v>
      </c>
      <c r="U35" s="32">
        <f t="shared" si="2"/>
        <v>2</v>
      </c>
      <c r="V35">
        <f>step3_validation[[#This Row],[AI_ENF2]]</f>
        <v>9</v>
      </c>
      <c r="W35" t="str">
        <f t="shared" si="3"/>
        <v>Support</v>
      </c>
      <c r="X35">
        <f>survey_responses[[#This Row],[Tôi tin rằng Nhà nước, cơ quan thuế có đủ khả năng và công nghệ để phát hiện, xử lý nghiêm các hành vi trốn thuế. - HUMAN-ENF2]]</f>
        <v>10</v>
      </c>
      <c r="Y35" t="str">
        <f t="shared" si="4"/>
        <v>Support</v>
      </c>
      <c r="Z35" s="32">
        <f t="shared" si="5"/>
        <v>1</v>
      </c>
      <c r="AA35">
        <f>step3_validation[[#This Row],[AI_FAC1]]</f>
        <v>7</v>
      </c>
      <c r="AB35" t="str">
        <f t="shared" si="6"/>
        <v>Neutral</v>
      </c>
      <c r="AC35">
        <f>survey_responses[[#This Row],[Các thủ tục khai báo thuế VÀ/HOẶC quy trình làm việc với cơ quan thuế đơn giản, tiện lợi, nhanh chóng hơn so với trước đây. - HUMAN-FAC1]]</f>
        <v>10</v>
      </c>
      <c r="AD35" t="str">
        <f t="shared" si="7"/>
        <v>Support</v>
      </c>
      <c r="AE35" s="32">
        <f t="shared" si="8"/>
        <v>3</v>
      </c>
      <c r="AF35">
        <f>step3_validation[[#This Row],[AI_FAC2]]</f>
        <v>9</v>
      </c>
      <c r="AG35" t="str">
        <f t="shared" si="9"/>
        <v>Support</v>
      </c>
      <c r="AH35">
        <f>survey_responses[[#This Row],[So với trước đây, tôi thấy cách tính thuế và các bậc thuế trong phương án mới đơn giản, dễ hiểu và dễ thực hiện hơn. - HUMAN-FAC2]]</f>
        <v>10</v>
      </c>
      <c r="AI35" t="str">
        <f t="shared" si="10"/>
        <v>Support</v>
      </c>
      <c r="AJ35" s="32">
        <f t="shared" si="11"/>
        <v>1</v>
      </c>
      <c r="AK35">
        <f>step3_validation[[#This Row],[AI_TRU1]]</f>
        <v>6</v>
      </c>
      <c r="AL35" t="str">
        <f t="shared" si="12"/>
        <v>Neutral</v>
      </c>
      <c r="AM35">
        <f>survey_responses[[#This Row],[Tôi tin rằng Nhà nước, cơ quan thuế sẽ thực thi chính sách mới một cách khách quan, công tâm và đối xử bình đẳng với mọi người nộp thuế.  - HUMAN-TRU1]]</f>
        <v>10</v>
      </c>
      <c r="AN35" t="str">
        <f t="shared" si="13"/>
        <v>Support</v>
      </c>
      <c r="AO35" s="32">
        <f t="shared" si="14"/>
        <v>4</v>
      </c>
      <c r="AP35">
        <f>step3_validation[[#This Row],[AI_TRU2]]</f>
        <v>8</v>
      </c>
      <c r="AQ35" t="str">
        <f t="shared" si="15"/>
        <v>Support</v>
      </c>
      <c r="AR35">
        <f>survey_responses[[#This Row],[Tôi thấy mức thuế tôi phải đóng theo phương án mới là công bằng (người thu nhập như tôi đóng mức này là hợp lý). - HUMAN-TRU2]]</f>
        <v>10</v>
      </c>
      <c r="AS35" t="str">
        <f t="shared" si="16"/>
        <v>Support</v>
      </c>
      <c r="AT35" s="32">
        <f t="shared" si="17"/>
        <v>2</v>
      </c>
      <c r="AU35">
        <f>step3_validation[[#This Row],[AI_TRU3]]</f>
        <v>5</v>
      </c>
      <c r="AV35" t="str">
        <f t="shared" si="18"/>
        <v>Neutral</v>
      </c>
      <c r="AW35">
        <f>survey_responses[[#This Row],[Tôi tin tưởng số tiền thuế tôi đóng sẽ được Nhà nước sử dụng hiệu quả để cải thiện dịch vụ công (y tế, đường xá...). - HUMAN-TRU3]]</f>
        <v>10</v>
      </c>
      <c r="AX35" t="str">
        <f t="shared" si="19"/>
        <v>Support</v>
      </c>
      <c r="AY35" s="32">
        <f t="shared" si="20"/>
        <v>5</v>
      </c>
      <c r="AZ35">
        <f>step3_validation[[#This Row],[AI_TRU4]]</f>
        <v>6</v>
      </c>
      <c r="BA35" t="str">
        <f t="shared" si="21"/>
        <v>Neutral</v>
      </c>
      <c r="BB35">
        <f>survey_responses[[#This Row],[Tôi thấy Nhà nước đã giải thích rõ ràng, minh bạch về lý do và mục tiêu của việc sửa đổi thuế lần này. - HUMAN-TRU4]]</f>
        <v>10</v>
      </c>
      <c r="BC35" t="str">
        <f t="shared" si="22"/>
        <v>Support</v>
      </c>
      <c r="BD35" s="32">
        <f t="shared" si="23"/>
        <v>4</v>
      </c>
      <c r="BE35">
        <f>step3_validation[[#This Row],[AI_OUT1]]</f>
        <v>7</v>
      </c>
      <c r="BF35" t="str">
        <f t="shared" si="24"/>
        <v>Neutral</v>
      </c>
      <c r="BG35">
        <f>survey_responses[[#This Row],[Sau khi xem xét các quyền lợi và nghĩa vụ, bạn có ủng hộ và tuân thủ chính sách mới hiện nay? - HUMAN-OUT1]]</f>
        <v>10</v>
      </c>
      <c r="BH35" t="str">
        <f t="shared" si="25"/>
        <v>Support</v>
      </c>
      <c r="BI35" s="32">
        <f t="shared" si="26"/>
        <v>3</v>
      </c>
    </row>
    <row r="36" spans="1:61" x14ac:dyDescent="0.45">
      <c r="A36" s="30">
        <f>step3_validation[[#This Row],[Persona_ID]]</f>
        <v>35</v>
      </c>
      <c r="B36" s="31">
        <f>step3_validation[[#This Row],[Used_Seed]]</f>
        <v>35</v>
      </c>
      <c r="C36" t="str">
        <f>step3_validation[[#This Row],[Gender]]</f>
        <v>Nữ</v>
      </c>
      <c r="D36" t="str">
        <f>survey_responses[[#This Row],[Giới tính của bạn:]]</f>
        <v>Nữ</v>
      </c>
      <c r="E36" t="str">
        <f>step3_validation[[#This Row],[Age_Group]]</f>
        <v>30 - 39</v>
      </c>
      <c r="F36" t="str">
        <f>survey_responses[[#This Row],[Độ tuổi của bạn:]]</f>
        <v>30 - 39</v>
      </c>
      <c r="G36" t="str">
        <f>step3_validation[[#This Row],[Region]]</f>
        <v>Thành thị</v>
      </c>
      <c r="H36" t="str">
        <f>survey_responses[[#This Row],[Khu vực bạn đang sinh sống:]]</f>
        <v>Thành thị</v>
      </c>
      <c r="I36" t="str">
        <f>step3_validation[[#This Row],[Education]]</f>
        <v>Cao đẳng</v>
      </c>
      <c r="J36" t="str">
        <f>survey_responses[[#This Row],[Trình độ học vấn cao nhất:]]</f>
        <v>Cao đẳng</v>
      </c>
      <c r="K36" t="str">
        <f>step3_validation[[#This Row],[Employment]]</f>
        <v>Chính thức</v>
      </c>
      <c r="L36" t="str">
        <f>survey_responses[[#This Row],[Tình trạng việc làm chính:]]</f>
        <v>Khu vực chính thức (Có Hợp đồng lao động, đóng BHXH)</v>
      </c>
      <c r="M36">
        <f>step3_validation[[#This Row],[Income_Mil]]</f>
        <v>13.689747794418622</v>
      </c>
      <c r="N36" t="str">
        <f>survey_responses[[#This Row],[Thu nhập bình quân tháng theo Hợp đồng lao động của bạn là bao nhiêu? (Vui lòng điền tổng thu nhập trước khi khấu trừ các loại Bảo hiểm (BHXH, BHYT, BHTN) và Thuế TNCN)]]</f>
        <v>Từ 12 - 18 triệu VNĐ</v>
      </c>
      <c r="O36">
        <f>step3_validation[[#This Row],[Dependents]]</f>
        <v>3</v>
      </c>
      <c r="P36" t="str">
        <f>survey_responses[[#This Row],[Số người phụ thuộc (con nhỏ, cha mẹ già...) đủ điều kiện giảm trừ gia cảnh:]]</f>
        <v>3 người</v>
      </c>
      <c r="Q36">
        <f>step3_validation[[#This Row],[AI_ENF1]]</f>
        <v>8</v>
      </c>
      <c r="R36" t="str">
        <f t="shared" si="0"/>
        <v>Support</v>
      </c>
      <c r="S36">
        <f>survey_responses[[#This Row],[Tôi tin rằng với các quy định quản lý thuế hiện nay, hành vi gian lận hoặc trốn thuế sẽ dễ dàng bị phát hiện và xử lý nghiêm. - HUMAN-ENF1]]</f>
        <v>10</v>
      </c>
      <c r="T36" t="str">
        <f t="shared" si="1"/>
        <v>Support</v>
      </c>
      <c r="U36" s="32">
        <f t="shared" si="2"/>
        <v>2</v>
      </c>
      <c r="V36">
        <f>step3_validation[[#This Row],[AI_ENF2]]</f>
        <v>7</v>
      </c>
      <c r="W36" t="str">
        <f t="shared" si="3"/>
        <v>Neutral</v>
      </c>
      <c r="X36">
        <f>survey_responses[[#This Row],[Tôi tin rằng Nhà nước, cơ quan thuế có đủ khả năng và công nghệ để phát hiện, xử lý nghiêm các hành vi trốn thuế. - HUMAN-ENF2]]</f>
        <v>10</v>
      </c>
      <c r="Y36" t="str">
        <f t="shared" si="4"/>
        <v>Support</v>
      </c>
      <c r="Z36" s="32">
        <f t="shared" si="5"/>
        <v>3</v>
      </c>
      <c r="AA36">
        <f>step3_validation[[#This Row],[AI_FAC1]]</f>
        <v>9</v>
      </c>
      <c r="AB36" t="str">
        <f t="shared" si="6"/>
        <v>Support</v>
      </c>
      <c r="AC36">
        <f>survey_responses[[#This Row],[Các thủ tục khai báo thuế VÀ/HOẶC quy trình làm việc với cơ quan thuế đơn giản, tiện lợi, nhanh chóng hơn so với trước đây. - HUMAN-FAC1]]</f>
        <v>10</v>
      </c>
      <c r="AD36" t="str">
        <f t="shared" si="7"/>
        <v>Support</v>
      </c>
      <c r="AE36" s="32">
        <f t="shared" si="8"/>
        <v>1</v>
      </c>
      <c r="AF36">
        <f>step3_validation[[#This Row],[AI_FAC2]]</f>
        <v>8</v>
      </c>
      <c r="AG36" t="str">
        <f t="shared" si="9"/>
        <v>Support</v>
      </c>
      <c r="AH36">
        <f>survey_responses[[#This Row],[So với trước đây, tôi thấy cách tính thuế và các bậc thuế trong phương án mới đơn giản, dễ hiểu và dễ thực hiện hơn. - HUMAN-FAC2]]</f>
        <v>10</v>
      </c>
      <c r="AI36" t="str">
        <f t="shared" si="10"/>
        <v>Support</v>
      </c>
      <c r="AJ36" s="32">
        <f t="shared" si="11"/>
        <v>2</v>
      </c>
      <c r="AK36">
        <f>step3_validation[[#This Row],[AI_TRU1]]</f>
        <v>9</v>
      </c>
      <c r="AL36" t="str">
        <f t="shared" si="12"/>
        <v>Support</v>
      </c>
      <c r="AM36">
        <f>survey_responses[[#This Row],[Tôi tin rằng Nhà nước, cơ quan thuế sẽ thực thi chính sách mới một cách khách quan, công tâm và đối xử bình đẳng với mọi người nộp thuế.  - HUMAN-TRU1]]</f>
        <v>10</v>
      </c>
      <c r="AN36" t="str">
        <f t="shared" si="13"/>
        <v>Support</v>
      </c>
      <c r="AO36" s="32">
        <f t="shared" si="14"/>
        <v>1</v>
      </c>
      <c r="AP36">
        <f>step3_validation[[#This Row],[AI_TRU2]]</f>
        <v>8</v>
      </c>
      <c r="AQ36" t="str">
        <f t="shared" si="15"/>
        <v>Support</v>
      </c>
      <c r="AR36">
        <f>survey_responses[[#This Row],[Tôi thấy mức thuế tôi phải đóng theo phương án mới là công bằng (người thu nhập như tôi đóng mức này là hợp lý). - HUMAN-TRU2]]</f>
        <v>10</v>
      </c>
      <c r="AS36" t="str">
        <f t="shared" si="16"/>
        <v>Support</v>
      </c>
      <c r="AT36" s="32">
        <f t="shared" si="17"/>
        <v>2</v>
      </c>
      <c r="AU36">
        <f>step3_validation[[#This Row],[AI_TRU3]]</f>
        <v>9</v>
      </c>
      <c r="AV36" t="str">
        <f t="shared" si="18"/>
        <v>Support</v>
      </c>
      <c r="AW36">
        <f>survey_responses[[#This Row],[Tôi tin tưởng số tiền thuế tôi đóng sẽ được Nhà nước sử dụng hiệu quả để cải thiện dịch vụ công (y tế, đường xá...). - HUMAN-TRU3]]</f>
        <v>10</v>
      </c>
      <c r="AX36" t="str">
        <f t="shared" si="19"/>
        <v>Support</v>
      </c>
      <c r="AY36" s="32">
        <f t="shared" si="20"/>
        <v>1</v>
      </c>
      <c r="AZ36">
        <f>step3_validation[[#This Row],[AI_TRU4]]</f>
        <v>7</v>
      </c>
      <c r="BA36" t="str">
        <f t="shared" si="21"/>
        <v>Neutral</v>
      </c>
      <c r="BB36">
        <f>survey_responses[[#This Row],[Tôi thấy Nhà nước đã giải thích rõ ràng, minh bạch về lý do và mục tiêu của việc sửa đổi thuế lần này. - HUMAN-TRU4]]</f>
        <v>10</v>
      </c>
      <c r="BC36" t="str">
        <f t="shared" si="22"/>
        <v>Support</v>
      </c>
      <c r="BD36" s="32">
        <f t="shared" si="23"/>
        <v>3</v>
      </c>
      <c r="BE36">
        <f>step3_validation[[#This Row],[AI_OUT1]]</f>
        <v>8</v>
      </c>
      <c r="BF36" t="str">
        <f t="shared" si="24"/>
        <v>Support</v>
      </c>
      <c r="BG36">
        <f>survey_responses[[#This Row],[Sau khi xem xét các quyền lợi và nghĩa vụ, bạn có ủng hộ và tuân thủ chính sách mới hiện nay? - HUMAN-OUT1]]</f>
        <v>10</v>
      </c>
      <c r="BH36" t="str">
        <f t="shared" si="25"/>
        <v>Support</v>
      </c>
      <c r="BI36" s="32">
        <f t="shared" si="26"/>
        <v>2</v>
      </c>
    </row>
    <row r="37" spans="1:61" x14ac:dyDescent="0.45">
      <c r="A37" s="30">
        <f>step3_validation[[#This Row],[Persona_ID]]</f>
        <v>36</v>
      </c>
      <c r="B37" s="31">
        <f>step3_validation[[#This Row],[Used_Seed]]</f>
        <v>36</v>
      </c>
      <c r="C37" t="str">
        <f>step3_validation[[#This Row],[Gender]]</f>
        <v>Nữ</v>
      </c>
      <c r="D37" t="str">
        <f>survey_responses[[#This Row],[Giới tính của bạn:]]</f>
        <v>Nữ</v>
      </c>
      <c r="E37" t="str">
        <f>step3_validation[[#This Row],[Age_Group]]</f>
        <v>18 - 24</v>
      </c>
      <c r="F37" t="str">
        <f>survey_responses[[#This Row],[Độ tuổi của bạn:]]</f>
        <v>18 - 24</v>
      </c>
      <c r="G37" t="str">
        <f>step3_validation[[#This Row],[Region]]</f>
        <v>Thành thị</v>
      </c>
      <c r="H37" t="str">
        <f>survey_responses[[#This Row],[Khu vực bạn đang sinh sống:]]</f>
        <v>Thành thị</v>
      </c>
      <c r="I37" t="str">
        <f>step3_validation[[#This Row],[Education]]</f>
        <v>Đại học</v>
      </c>
      <c r="J37" t="str">
        <f>survey_responses[[#This Row],[Trình độ học vấn cao nhất:]]</f>
        <v>Đại học</v>
      </c>
      <c r="K37" t="str">
        <f>step3_validation[[#This Row],[Employment]]</f>
        <v>Chính thức</v>
      </c>
      <c r="L37" t="str">
        <f>survey_responses[[#This Row],[Tình trạng việc làm chính:]]</f>
        <v>Khu vực chính thức (Có Hợp đồng lao động, đóng BHXH)</v>
      </c>
      <c r="M37">
        <f>step3_validation[[#This Row],[Income_Mil]]</f>
        <v>12.903165456120847</v>
      </c>
      <c r="N37" t="str">
        <f>survey_responses[[#This Row],[Thu nhập bình quân tháng theo Hợp đồng lao động của bạn là bao nhiêu? (Vui lòng điền tổng thu nhập trước khi khấu trừ các loại Bảo hiểm (BHXH, BHYT, BHTN) và Thuế TNCN)]]</f>
        <v>Từ 12 - 18 triệu VNĐ</v>
      </c>
      <c r="O37">
        <f>step3_validation[[#This Row],[Dependents]]</f>
        <v>0</v>
      </c>
      <c r="P37" t="str">
        <f>survey_responses[[#This Row],[Số người phụ thuộc (con nhỏ, cha mẹ già...) đủ điều kiện giảm trừ gia cảnh:]]</f>
        <v>0 người</v>
      </c>
      <c r="Q37">
        <f>step3_validation[[#This Row],[AI_ENF1]]</f>
        <v>7</v>
      </c>
      <c r="R37" t="str">
        <f t="shared" si="0"/>
        <v>Neutral</v>
      </c>
      <c r="S37">
        <f>survey_responses[[#This Row],[Tôi tin rằng với các quy định quản lý thuế hiện nay, hành vi gian lận hoặc trốn thuế sẽ dễ dàng bị phát hiện và xử lý nghiêm. - HUMAN-ENF1]]</f>
        <v>10</v>
      </c>
      <c r="T37" t="str">
        <f t="shared" si="1"/>
        <v>Support</v>
      </c>
      <c r="U37" s="32">
        <f t="shared" si="2"/>
        <v>3</v>
      </c>
      <c r="V37">
        <f>step3_validation[[#This Row],[AI_ENF2]]</f>
        <v>6</v>
      </c>
      <c r="W37" t="str">
        <f t="shared" si="3"/>
        <v>Neutral</v>
      </c>
      <c r="X37">
        <f>survey_responses[[#This Row],[Tôi tin rằng Nhà nước, cơ quan thuế có đủ khả năng và công nghệ để phát hiện, xử lý nghiêm các hành vi trốn thuế. - HUMAN-ENF2]]</f>
        <v>9</v>
      </c>
      <c r="Y37" t="str">
        <f t="shared" si="4"/>
        <v>Support</v>
      </c>
      <c r="Z37" s="32">
        <f t="shared" si="5"/>
        <v>3</v>
      </c>
      <c r="AA37">
        <f>step3_validation[[#This Row],[AI_FAC1]]</f>
        <v>8</v>
      </c>
      <c r="AB37" t="str">
        <f t="shared" si="6"/>
        <v>Support</v>
      </c>
      <c r="AC37">
        <f>survey_responses[[#This Row],[Các thủ tục khai báo thuế VÀ/HOẶC quy trình làm việc với cơ quan thuế đơn giản, tiện lợi, nhanh chóng hơn so với trước đây. - HUMAN-FAC1]]</f>
        <v>10</v>
      </c>
      <c r="AD37" t="str">
        <f t="shared" si="7"/>
        <v>Support</v>
      </c>
      <c r="AE37" s="32">
        <f t="shared" si="8"/>
        <v>2</v>
      </c>
      <c r="AF37">
        <f>step3_validation[[#This Row],[AI_FAC2]]</f>
        <v>9</v>
      </c>
      <c r="AG37" t="str">
        <f t="shared" si="9"/>
        <v>Support</v>
      </c>
      <c r="AH37">
        <f>survey_responses[[#This Row],[So với trước đây, tôi thấy cách tính thuế và các bậc thuế trong phương án mới đơn giản, dễ hiểu và dễ thực hiện hơn. - HUMAN-FAC2]]</f>
        <v>8</v>
      </c>
      <c r="AI37" t="str">
        <f t="shared" si="10"/>
        <v>Support</v>
      </c>
      <c r="AJ37" s="32">
        <f t="shared" si="11"/>
        <v>1</v>
      </c>
      <c r="AK37">
        <f>step3_validation[[#This Row],[AI_TRU1]]</f>
        <v>8</v>
      </c>
      <c r="AL37" t="str">
        <f t="shared" si="12"/>
        <v>Support</v>
      </c>
      <c r="AM37">
        <f>survey_responses[[#This Row],[Tôi tin rằng Nhà nước, cơ quan thuế sẽ thực thi chính sách mới một cách khách quan, công tâm và đối xử bình đẳng với mọi người nộp thuế.  - HUMAN-TRU1]]</f>
        <v>10</v>
      </c>
      <c r="AN37" t="str">
        <f t="shared" si="13"/>
        <v>Support</v>
      </c>
      <c r="AO37" s="32">
        <f t="shared" si="14"/>
        <v>2</v>
      </c>
      <c r="AP37">
        <f>step3_validation[[#This Row],[AI_TRU2]]</f>
        <v>9</v>
      </c>
      <c r="AQ37" t="str">
        <f t="shared" si="15"/>
        <v>Support</v>
      </c>
      <c r="AR37">
        <f>survey_responses[[#This Row],[Tôi thấy mức thuế tôi phải đóng theo phương án mới là công bằng (người thu nhập như tôi đóng mức này là hợp lý). - HUMAN-TRU2]]</f>
        <v>9</v>
      </c>
      <c r="AS37" t="str">
        <f t="shared" si="16"/>
        <v>Support</v>
      </c>
      <c r="AT37" s="32">
        <f t="shared" si="17"/>
        <v>0</v>
      </c>
      <c r="AU37">
        <f>step3_validation[[#This Row],[AI_TRU3]]</f>
        <v>8</v>
      </c>
      <c r="AV37" t="str">
        <f t="shared" si="18"/>
        <v>Support</v>
      </c>
      <c r="AW37">
        <f>survey_responses[[#This Row],[Tôi tin tưởng số tiền thuế tôi đóng sẽ được Nhà nước sử dụng hiệu quả để cải thiện dịch vụ công (y tế, đường xá...). - HUMAN-TRU3]]</f>
        <v>10</v>
      </c>
      <c r="AX37" t="str">
        <f t="shared" si="19"/>
        <v>Support</v>
      </c>
      <c r="AY37" s="32">
        <f t="shared" si="20"/>
        <v>2</v>
      </c>
      <c r="AZ37">
        <f>step3_validation[[#This Row],[AI_TRU4]]</f>
        <v>9</v>
      </c>
      <c r="BA37" t="str">
        <f t="shared" si="21"/>
        <v>Support</v>
      </c>
      <c r="BB37">
        <f>survey_responses[[#This Row],[Tôi thấy Nhà nước đã giải thích rõ ràng, minh bạch về lý do và mục tiêu của việc sửa đổi thuế lần này. - HUMAN-TRU4]]</f>
        <v>10</v>
      </c>
      <c r="BC37" t="str">
        <f t="shared" si="22"/>
        <v>Support</v>
      </c>
      <c r="BD37" s="32">
        <f t="shared" si="23"/>
        <v>1</v>
      </c>
      <c r="BE37">
        <f>step3_validation[[#This Row],[AI_OUT1]]</f>
        <v>10</v>
      </c>
      <c r="BF37" t="str">
        <f t="shared" si="24"/>
        <v>Support</v>
      </c>
      <c r="BG37">
        <f>survey_responses[[#This Row],[Sau khi xem xét các quyền lợi và nghĩa vụ, bạn có ủng hộ và tuân thủ chính sách mới hiện nay? - HUMAN-OUT1]]</f>
        <v>10</v>
      </c>
      <c r="BH37" t="str">
        <f t="shared" si="25"/>
        <v>Support</v>
      </c>
      <c r="BI37" s="32">
        <f t="shared" si="26"/>
        <v>0</v>
      </c>
    </row>
    <row r="38" spans="1:61" x14ac:dyDescent="0.45">
      <c r="A38" s="30">
        <f>step3_validation[[#This Row],[Persona_ID]]</f>
        <v>37</v>
      </c>
      <c r="B38" s="31">
        <f>step3_validation[[#This Row],[Used_Seed]]</f>
        <v>37</v>
      </c>
      <c r="C38" t="str">
        <f>step3_validation[[#This Row],[Gender]]</f>
        <v>Nam</v>
      </c>
      <c r="D38" t="str">
        <f>survey_responses[[#This Row],[Giới tính của bạn:]]</f>
        <v>Nam</v>
      </c>
      <c r="E38" t="str">
        <f>step3_validation[[#This Row],[Age_Group]]</f>
        <v>18 - 24</v>
      </c>
      <c r="F38" t="str">
        <f>survey_responses[[#This Row],[Độ tuổi của bạn:]]</f>
        <v>18 - 24</v>
      </c>
      <c r="G38" t="str">
        <f>step3_validation[[#This Row],[Region]]</f>
        <v>Thành thị</v>
      </c>
      <c r="H38" t="str">
        <f>survey_responses[[#This Row],[Khu vực bạn đang sinh sống:]]</f>
        <v>Thành thị</v>
      </c>
      <c r="I38" t="str">
        <f>step3_validation[[#This Row],[Education]]</f>
        <v>Đại học</v>
      </c>
      <c r="J38" t="str">
        <f>survey_responses[[#This Row],[Trình độ học vấn cao nhất:]]</f>
        <v>Đại học</v>
      </c>
      <c r="K38" t="str">
        <f>step3_validation[[#This Row],[Employment]]</f>
        <v>Chính thức</v>
      </c>
      <c r="L38" t="str">
        <f>survey_responses[[#This Row],[Tình trạng việc làm chính:]]</f>
        <v>Khu vực chính thức (Có Hợp đồng lao động, đóng BHXH)</v>
      </c>
      <c r="M38">
        <f>step3_validation[[#This Row],[Income_Mil]]</f>
        <v>15.520765158067848</v>
      </c>
      <c r="N38" t="str">
        <f>survey_responses[[#This Row],[Thu nhập bình quân tháng theo Hợp đồng lao động của bạn là bao nhiêu? (Vui lòng điền tổng thu nhập trước khi khấu trừ các loại Bảo hiểm (BHXH, BHYT, BHTN) và Thuế TNCN)]]</f>
        <v>Từ 12 - 18 triệu VNĐ</v>
      </c>
      <c r="O38">
        <f>step3_validation[[#This Row],[Dependents]]</f>
        <v>0</v>
      </c>
      <c r="P38" t="str">
        <f>survey_responses[[#This Row],[Số người phụ thuộc (con nhỏ, cha mẹ già...) đủ điều kiện giảm trừ gia cảnh:]]</f>
        <v>0 người</v>
      </c>
      <c r="Q38">
        <f>step3_validation[[#This Row],[AI_ENF1]]</f>
        <v>7</v>
      </c>
      <c r="R38" t="str">
        <f t="shared" si="0"/>
        <v>Neutral</v>
      </c>
      <c r="S38">
        <f>survey_responses[[#This Row],[Tôi tin rằng với các quy định quản lý thuế hiện nay, hành vi gian lận hoặc trốn thuế sẽ dễ dàng bị phát hiện và xử lý nghiêm. - HUMAN-ENF1]]</f>
        <v>10</v>
      </c>
      <c r="T38" t="str">
        <f t="shared" si="1"/>
        <v>Support</v>
      </c>
      <c r="U38" s="32">
        <f t="shared" si="2"/>
        <v>3</v>
      </c>
      <c r="V38">
        <f>step3_validation[[#This Row],[AI_ENF2]]</f>
        <v>6</v>
      </c>
      <c r="W38" t="str">
        <f t="shared" si="3"/>
        <v>Neutral</v>
      </c>
      <c r="X38">
        <f>survey_responses[[#This Row],[Tôi tin rằng Nhà nước, cơ quan thuế có đủ khả năng và công nghệ để phát hiện, xử lý nghiêm các hành vi trốn thuế. - HUMAN-ENF2]]</f>
        <v>10</v>
      </c>
      <c r="Y38" t="str">
        <f t="shared" si="4"/>
        <v>Support</v>
      </c>
      <c r="Z38" s="32">
        <f t="shared" si="5"/>
        <v>4</v>
      </c>
      <c r="AA38">
        <f>step3_validation[[#This Row],[AI_FAC1]]</f>
        <v>9</v>
      </c>
      <c r="AB38" t="str">
        <f t="shared" si="6"/>
        <v>Support</v>
      </c>
      <c r="AC38">
        <f>survey_responses[[#This Row],[Các thủ tục khai báo thuế VÀ/HOẶC quy trình làm việc với cơ quan thuế đơn giản, tiện lợi, nhanh chóng hơn so với trước đây. - HUMAN-FAC1]]</f>
        <v>10</v>
      </c>
      <c r="AD38" t="str">
        <f t="shared" si="7"/>
        <v>Support</v>
      </c>
      <c r="AE38" s="32">
        <f t="shared" si="8"/>
        <v>1</v>
      </c>
      <c r="AF38">
        <f>step3_validation[[#This Row],[AI_FAC2]]</f>
        <v>8</v>
      </c>
      <c r="AG38" t="str">
        <f t="shared" si="9"/>
        <v>Support</v>
      </c>
      <c r="AH38">
        <f>survey_responses[[#This Row],[So với trước đây, tôi thấy cách tính thuế và các bậc thuế trong phương án mới đơn giản, dễ hiểu và dễ thực hiện hơn. - HUMAN-FAC2]]</f>
        <v>10</v>
      </c>
      <c r="AI38" t="str">
        <f t="shared" si="10"/>
        <v>Support</v>
      </c>
      <c r="AJ38" s="32">
        <f t="shared" si="11"/>
        <v>2</v>
      </c>
      <c r="AK38">
        <f>step3_validation[[#This Row],[AI_TRU1]]</f>
        <v>7</v>
      </c>
      <c r="AL38" t="str">
        <f t="shared" si="12"/>
        <v>Neutral</v>
      </c>
      <c r="AM38">
        <f>survey_responses[[#This Row],[Tôi tin rằng Nhà nước, cơ quan thuế sẽ thực thi chính sách mới một cách khách quan, công tâm và đối xử bình đẳng với mọi người nộp thuế.  - HUMAN-TRU1]]</f>
        <v>9</v>
      </c>
      <c r="AN38" t="str">
        <f t="shared" si="13"/>
        <v>Support</v>
      </c>
      <c r="AO38" s="32">
        <f t="shared" si="14"/>
        <v>2</v>
      </c>
      <c r="AP38">
        <f>step3_validation[[#This Row],[AI_TRU2]]</f>
        <v>9</v>
      </c>
      <c r="AQ38" t="str">
        <f t="shared" si="15"/>
        <v>Support</v>
      </c>
      <c r="AR38">
        <f>survey_responses[[#This Row],[Tôi thấy mức thuế tôi phải đóng theo phương án mới là công bằng (người thu nhập như tôi đóng mức này là hợp lý). - HUMAN-TRU2]]</f>
        <v>9</v>
      </c>
      <c r="AS38" t="str">
        <f t="shared" si="16"/>
        <v>Support</v>
      </c>
      <c r="AT38" s="32">
        <f t="shared" si="17"/>
        <v>0</v>
      </c>
      <c r="AU38">
        <f>step3_validation[[#This Row],[AI_TRU3]]</f>
        <v>8</v>
      </c>
      <c r="AV38" t="str">
        <f t="shared" si="18"/>
        <v>Support</v>
      </c>
      <c r="AW38">
        <f>survey_responses[[#This Row],[Tôi tin tưởng số tiền thuế tôi đóng sẽ được Nhà nước sử dụng hiệu quả để cải thiện dịch vụ công (y tế, đường xá...). - HUMAN-TRU3]]</f>
        <v>9</v>
      </c>
      <c r="AX38" t="str">
        <f t="shared" si="19"/>
        <v>Support</v>
      </c>
      <c r="AY38" s="32">
        <f t="shared" si="20"/>
        <v>1</v>
      </c>
      <c r="AZ38">
        <f>step3_validation[[#This Row],[AI_TRU4]]</f>
        <v>7</v>
      </c>
      <c r="BA38" t="str">
        <f t="shared" si="21"/>
        <v>Neutral</v>
      </c>
      <c r="BB38">
        <f>survey_responses[[#This Row],[Tôi thấy Nhà nước đã giải thích rõ ràng, minh bạch về lý do và mục tiêu của việc sửa đổi thuế lần này. - HUMAN-TRU4]]</f>
        <v>9</v>
      </c>
      <c r="BC38" t="str">
        <f t="shared" si="22"/>
        <v>Support</v>
      </c>
      <c r="BD38" s="32">
        <f t="shared" si="23"/>
        <v>2</v>
      </c>
      <c r="BE38">
        <f>step3_validation[[#This Row],[AI_OUT1]]</f>
        <v>8</v>
      </c>
      <c r="BF38" t="str">
        <f t="shared" si="24"/>
        <v>Support</v>
      </c>
      <c r="BG38">
        <f>survey_responses[[#This Row],[Sau khi xem xét các quyền lợi và nghĩa vụ, bạn có ủng hộ và tuân thủ chính sách mới hiện nay? - HUMAN-OUT1]]</f>
        <v>8</v>
      </c>
      <c r="BH38" t="str">
        <f t="shared" si="25"/>
        <v>Support</v>
      </c>
      <c r="BI38" s="32">
        <f t="shared" si="26"/>
        <v>0</v>
      </c>
    </row>
    <row r="39" spans="1:61" x14ac:dyDescent="0.45">
      <c r="A39" s="30">
        <f>step3_validation[[#This Row],[Persona_ID]]</f>
        <v>38</v>
      </c>
      <c r="B39" s="31">
        <f>step3_validation[[#This Row],[Used_Seed]]</f>
        <v>38</v>
      </c>
      <c r="C39" t="str">
        <f>step3_validation[[#This Row],[Gender]]</f>
        <v>Nữ</v>
      </c>
      <c r="D39" t="str">
        <f>survey_responses[[#This Row],[Giới tính của bạn:]]</f>
        <v>Nữ</v>
      </c>
      <c r="E39" t="str">
        <f>step3_validation[[#This Row],[Age_Group]]</f>
        <v>30 - 39</v>
      </c>
      <c r="F39" t="str">
        <f>survey_responses[[#This Row],[Độ tuổi của bạn:]]</f>
        <v>30 - 39</v>
      </c>
      <c r="G39" t="str">
        <f>step3_validation[[#This Row],[Region]]</f>
        <v>Thành thị</v>
      </c>
      <c r="H39" t="str">
        <f>survey_responses[[#This Row],[Khu vực bạn đang sinh sống:]]</f>
        <v>Thành thị</v>
      </c>
      <c r="I39" t="str">
        <f>step3_validation[[#This Row],[Education]]</f>
        <v>Đại học</v>
      </c>
      <c r="J39" t="str">
        <f>survey_responses[[#This Row],[Trình độ học vấn cao nhất:]]</f>
        <v>Đại học</v>
      </c>
      <c r="K39" t="str">
        <f>step3_validation[[#This Row],[Employment]]</f>
        <v>Chính thức</v>
      </c>
      <c r="L39" t="str">
        <f>survey_responses[[#This Row],[Tình trạng việc làm chính:]]</f>
        <v>Khu vực chính thức (Có Hợp đồng lao động, đóng BHXH)</v>
      </c>
      <c r="M39">
        <f>step3_validation[[#This Row],[Income_Mil]]</f>
        <v>39.286415672568012</v>
      </c>
      <c r="N39" t="str">
        <f>survey_responses[[#This Row],[Thu nhập bình quân tháng theo Hợp đồng lao động của bạn là bao nhiêu? (Vui lòng điền tổng thu nhập trước khi khấu trừ các loại Bảo hiểm (BHXH, BHYT, BHTN) và Thuế TNCN)]]</f>
        <v>Từ 32 - 48 triệu VNĐ</v>
      </c>
      <c r="O39">
        <f>step3_validation[[#This Row],[Dependents]]</f>
        <v>1</v>
      </c>
      <c r="P39" t="str">
        <f>survey_responses[[#This Row],[Số người phụ thuộc (con nhỏ, cha mẹ già...) đủ điều kiện giảm trừ gia cảnh:]]</f>
        <v>1 người</v>
      </c>
      <c r="Q39">
        <f>step3_validation[[#This Row],[AI_ENF1]]</f>
        <v>7</v>
      </c>
      <c r="R39" t="str">
        <f t="shared" si="0"/>
        <v>Neutral</v>
      </c>
      <c r="S39">
        <f>survey_responses[[#This Row],[Tôi tin rằng với các quy định quản lý thuế hiện nay, hành vi gian lận hoặc trốn thuế sẽ dễ dàng bị phát hiện và xử lý nghiêm. - HUMAN-ENF1]]</f>
        <v>8</v>
      </c>
      <c r="T39" t="str">
        <f t="shared" si="1"/>
        <v>Support</v>
      </c>
      <c r="U39" s="32">
        <f t="shared" si="2"/>
        <v>1</v>
      </c>
      <c r="V39">
        <f>step3_validation[[#This Row],[AI_ENF2]]</f>
        <v>6</v>
      </c>
      <c r="W39" t="str">
        <f t="shared" si="3"/>
        <v>Neutral</v>
      </c>
      <c r="X39">
        <f>survey_responses[[#This Row],[Tôi tin rằng Nhà nước, cơ quan thuế có đủ khả năng và công nghệ để phát hiện, xử lý nghiêm các hành vi trốn thuế. - HUMAN-ENF2]]</f>
        <v>8</v>
      </c>
      <c r="Y39" t="str">
        <f t="shared" si="4"/>
        <v>Support</v>
      </c>
      <c r="Z39" s="32">
        <f t="shared" si="5"/>
        <v>2</v>
      </c>
      <c r="AA39">
        <f>step3_validation[[#This Row],[AI_FAC1]]</f>
        <v>8</v>
      </c>
      <c r="AB39" t="str">
        <f t="shared" si="6"/>
        <v>Support</v>
      </c>
      <c r="AC39">
        <f>survey_responses[[#This Row],[Các thủ tục khai báo thuế VÀ/HOẶC quy trình làm việc với cơ quan thuế đơn giản, tiện lợi, nhanh chóng hơn so với trước đây. - HUMAN-FAC1]]</f>
        <v>8</v>
      </c>
      <c r="AD39" t="str">
        <f t="shared" si="7"/>
        <v>Support</v>
      </c>
      <c r="AE39" s="32">
        <f t="shared" si="8"/>
        <v>0</v>
      </c>
      <c r="AF39">
        <f>step3_validation[[#This Row],[AI_FAC2]]</f>
        <v>9</v>
      </c>
      <c r="AG39" t="str">
        <f t="shared" si="9"/>
        <v>Support</v>
      </c>
      <c r="AH39">
        <f>survey_responses[[#This Row],[So với trước đây, tôi thấy cách tính thuế và các bậc thuế trong phương án mới đơn giản, dễ hiểu và dễ thực hiện hơn. - HUMAN-FAC2]]</f>
        <v>8</v>
      </c>
      <c r="AI39" t="str">
        <f t="shared" si="10"/>
        <v>Support</v>
      </c>
      <c r="AJ39" s="32">
        <f t="shared" si="11"/>
        <v>1</v>
      </c>
      <c r="AK39">
        <f>step3_validation[[#This Row],[AI_TRU1]]</f>
        <v>7</v>
      </c>
      <c r="AL39" t="str">
        <f t="shared" si="12"/>
        <v>Neutral</v>
      </c>
      <c r="AM39">
        <f>survey_responses[[#This Row],[Tôi tin rằng Nhà nước, cơ quan thuế sẽ thực thi chính sách mới một cách khách quan, công tâm và đối xử bình đẳng với mọi người nộp thuế.  - HUMAN-TRU1]]</f>
        <v>8</v>
      </c>
      <c r="AN39" t="str">
        <f t="shared" si="13"/>
        <v>Support</v>
      </c>
      <c r="AO39" s="32">
        <f t="shared" si="14"/>
        <v>1</v>
      </c>
      <c r="AP39">
        <f>step3_validation[[#This Row],[AI_TRU2]]</f>
        <v>8</v>
      </c>
      <c r="AQ39" t="str">
        <f t="shared" si="15"/>
        <v>Support</v>
      </c>
      <c r="AR39">
        <f>survey_responses[[#This Row],[Tôi thấy mức thuế tôi phải đóng theo phương án mới là công bằng (người thu nhập như tôi đóng mức này là hợp lý). - HUMAN-TRU2]]</f>
        <v>8</v>
      </c>
      <c r="AS39" t="str">
        <f t="shared" si="16"/>
        <v>Support</v>
      </c>
      <c r="AT39" s="32">
        <f t="shared" si="17"/>
        <v>0</v>
      </c>
      <c r="AU39">
        <f>step3_validation[[#This Row],[AI_TRU3]]</f>
        <v>7</v>
      </c>
      <c r="AV39" t="str">
        <f t="shared" si="18"/>
        <v>Neutral</v>
      </c>
      <c r="AW39">
        <f>survey_responses[[#This Row],[Tôi tin tưởng số tiền thuế tôi đóng sẽ được Nhà nước sử dụng hiệu quả để cải thiện dịch vụ công (y tế, đường xá...). - HUMAN-TRU3]]</f>
        <v>8</v>
      </c>
      <c r="AX39" t="str">
        <f t="shared" si="19"/>
        <v>Support</v>
      </c>
      <c r="AY39" s="32">
        <f t="shared" si="20"/>
        <v>1</v>
      </c>
      <c r="AZ39">
        <f>step3_validation[[#This Row],[AI_TRU4]]</f>
        <v>8</v>
      </c>
      <c r="BA39" t="str">
        <f t="shared" si="21"/>
        <v>Support</v>
      </c>
      <c r="BB39">
        <f>survey_responses[[#This Row],[Tôi thấy Nhà nước đã giải thích rõ ràng, minh bạch về lý do và mục tiêu của việc sửa đổi thuế lần này. - HUMAN-TRU4]]</f>
        <v>8</v>
      </c>
      <c r="BC39" t="str">
        <f t="shared" si="22"/>
        <v>Support</v>
      </c>
      <c r="BD39" s="32">
        <f t="shared" si="23"/>
        <v>0</v>
      </c>
      <c r="BE39">
        <f>step3_validation[[#This Row],[AI_OUT1]]</f>
        <v>9</v>
      </c>
      <c r="BF39" t="str">
        <f t="shared" si="24"/>
        <v>Support</v>
      </c>
      <c r="BG39">
        <f>survey_responses[[#This Row],[Sau khi xem xét các quyền lợi và nghĩa vụ, bạn có ủng hộ và tuân thủ chính sách mới hiện nay? - HUMAN-OUT1]]</f>
        <v>8</v>
      </c>
      <c r="BH39" t="str">
        <f t="shared" si="25"/>
        <v>Support</v>
      </c>
      <c r="BI39" s="32">
        <f t="shared" si="26"/>
        <v>1</v>
      </c>
    </row>
    <row r="40" spans="1:61" x14ac:dyDescent="0.45">
      <c r="A40" s="30">
        <f>step3_validation[[#This Row],[Persona_ID]]</f>
        <v>39</v>
      </c>
      <c r="B40" s="31">
        <f>step3_validation[[#This Row],[Used_Seed]]</f>
        <v>39</v>
      </c>
      <c r="C40" t="str">
        <f>step3_validation[[#This Row],[Gender]]</f>
        <v>Nam</v>
      </c>
      <c r="D40" t="str">
        <f>survey_responses[[#This Row],[Giới tính của bạn:]]</f>
        <v>Nam</v>
      </c>
      <c r="E40" t="str">
        <f>step3_validation[[#This Row],[Age_Group]]</f>
        <v>25 - 29</v>
      </c>
      <c r="F40" t="str">
        <f>survey_responses[[#This Row],[Độ tuổi của bạn:]]</f>
        <v>25 - 29</v>
      </c>
      <c r="G40" t="str">
        <f>step3_validation[[#This Row],[Region]]</f>
        <v>Thành thị</v>
      </c>
      <c r="H40" t="str">
        <f>survey_responses[[#This Row],[Khu vực bạn đang sinh sống:]]</f>
        <v>Thành thị</v>
      </c>
      <c r="I40" t="str">
        <f>step3_validation[[#This Row],[Education]]</f>
        <v>Đại học</v>
      </c>
      <c r="J40" t="str">
        <f>survey_responses[[#This Row],[Trình độ học vấn cao nhất:]]</f>
        <v>Đại học</v>
      </c>
      <c r="K40" t="str">
        <f>step3_validation[[#This Row],[Employment]]</f>
        <v>Chính thức</v>
      </c>
      <c r="L40" t="str">
        <f>survey_responses[[#This Row],[Tình trạng việc làm chính:]]</f>
        <v>Khu vực chính thức (Có Hợp đồng lao động, đóng BHXH)</v>
      </c>
      <c r="M40">
        <f>step3_validation[[#This Row],[Income_Mil]]</f>
        <v>14.50855978575704</v>
      </c>
      <c r="N40" t="str">
        <f>survey_responses[[#This Row],[Thu nhập bình quân tháng theo Hợp đồng lao động của bạn là bao nhiêu? (Vui lòng điền tổng thu nhập trước khi khấu trừ các loại Bảo hiểm (BHXH, BHYT, BHTN) và Thuế TNCN)]]</f>
        <v>Từ 12 - 18 triệu VNĐ</v>
      </c>
      <c r="O40">
        <f>step3_validation[[#This Row],[Dependents]]</f>
        <v>0</v>
      </c>
      <c r="P40" t="str">
        <f>survey_responses[[#This Row],[Số người phụ thuộc (con nhỏ, cha mẹ già...) đủ điều kiện giảm trừ gia cảnh:]]</f>
        <v>0 người</v>
      </c>
      <c r="Q40">
        <f>step3_validation[[#This Row],[AI_ENF1]]</f>
        <v>5</v>
      </c>
      <c r="R40" t="str">
        <f t="shared" si="0"/>
        <v>Neutral</v>
      </c>
      <c r="S40">
        <f>survey_responses[[#This Row],[Tôi tin rằng với các quy định quản lý thuế hiện nay, hành vi gian lận hoặc trốn thuế sẽ dễ dàng bị phát hiện và xử lý nghiêm. - HUMAN-ENF1]]</f>
        <v>10</v>
      </c>
      <c r="T40" t="str">
        <f t="shared" si="1"/>
        <v>Support</v>
      </c>
      <c r="U40" s="32">
        <f t="shared" si="2"/>
        <v>5</v>
      </c>
      <c r="V40">
        <f>step3_validation[[#This Row],[AI_ENF2]]</f>
        <v>6</v>
      </c>
      <c r="W40" t="str">
        <f t="shared" si="3"/>
        <v>Neutral</v>
      </c>
      <c r="X40">
        <f>survey_responses[[#This Row],[Tôi tin rằng Nhà nước, cơ quan thuế có đủ khả năng và công nghệ để phát hiện, xử lý nghiêm các hành vi trốn thuế. - HUMAN-ENF2]]</f>
        <v>10</v>
      </c>
      <c r="Y40" t="str">
        <f t="shared" si="4"/>
        <v>Support</v>
      </c>
      <c r="Z40" s="32">
        <f t="shared" si="5"/>
        <v>4</v>
      </c>
      <c r="AA40">
        <f>step3_validation[[#This Row],[AI_FAC1]]</f>
        <v>7</v>
      </c>
      <c r="AB40" t="str">
        <f t="shared" si="6"/>
        <v>Neutral</v>
      </c>
      <c r="AC40">
        <f>survey_responses[[#This Row],[Các thủ tục khai báo thuế VÀ/HOẶC quy trình làm việc với cơ quan thuế đơn giản, tiện lợi, nhanh chóng hơn so với trước đây. - HUMAN-FAC1]]</f>
        <v>10</v>
      </c>
      <c r="AD40" t="str">
        <f t="shared" si="7"/>
        <v>Support</v>
      </c>
      <c r="AE40" s="32">
        <f t="shared" si="8"/>
        <v>3</v>
      </c>
      <c r="AF40">
        <f>step3_validation[[#This Row],[AI_FAC2]]</f>
        <v>8</v>
      </c>
      <c r="AG40" t="str">
        <f t="shared" si="9"/>
        <v>Support</v>
      </c>
      <c r="AH40">
        <f>survey_responses[[#This Row],[So với trước đây, tôi thấy cách tính thuế và các bậc thuế trong phương án mới đơn giản, dễ hiểu và dễ thực hiện hơn. - HUMAN-FAC2]]</f>
        <v>10</v>
      </c>
      <c r="AI40" t="str">
        <f t="shared" si="10"/>
        <v>Support</v>
      </c>
      <c r="AJ40" s="32">
        <f t="shared" si="11"/>
        <v>2</v>
      </c>
      <c r="AK40">
        <f>step3_validation[[#This Row],[AI_TRU1]]</f>
        <v>7</v>
      </c>
      <c r="AL40" t="str">
        <f t="shared" si="12"/>
        <v>Neutral</v>
      </c>
      <c r="AM40">
        <f>survey_responses[[#This Row],[Tôi tin rằng Nhà nước, cơ quan thuế sẽ thực thi chính sách mới một cách khách quan, công tâm và đối xử bình đẳng với mọi người nộp thuế.  - HUMAN-TRU1]]</f>
        <v>10</v>
      </c>
      <c r="AN40" t="str">
        <f t="shared" si="13"/>
        <v>Support</v>
      </c>
      <c r="AO40" s="32">
        <f t="shared" si="14"/>
        <v>3</v>
      </c>
      <c r="AP40">
        <f>step3_validation[[#This Row],[AI_TRU2]]</f>
        <v>9</v>
      </c>
      <c r="AQ40" t="str">
        <f t="shared" si="15"/>
        <v>Support</v>
      </c>
      <c r="AR40">
        <f>survey_responses[[#This Row],[Tôi thấy mức thuế tôi phải đóng theo phương án mới là công bằng (người thu nhập như tôi đóng mức này là hợp lý). - HUMAN-TRU2]]</f>
        <v>10</v>
      </c>
      <c r="AS40" t="str">
        <f t="shared" si="16"/>
        <v>Support</v>
      </c>
      <c r="AT40" s="32">
        <f t="shared" si="17"/>
        <v>1</v>
      </c>
      <c r="AU40">
        <f>step3_validation[[#This Row],[AI_TRU3]]</f>
        <v>7</v>
      </c>
      <c r="AV40" t="str">
        <f t="shared" si="18"/>
        <v>Neutral</v>
      </c>
      <c r="AW40">
        <f>survey_responses[[#This Row],[Tôi tin tưởng số tiền thuế tôi đóng sẽ được Nhà nước sử dụng hiệu quả để cải thiện dịch vụ công (y tế, đường xá...). - HUMAN-TRU3]]</f>
        <v>10</v>
      </c>
      <c r="AX40" t="str">
        <f t="shared" si="19"/>
        <v>Support</v>
      </c>
      <c r="AY40" s="32">
        <f t="shared" si="20"/>
        <v>3</v>
      </c>
      <c r="AZ40">
        <f>step3_validation[[#This Row],[AI_TRU4]]</f>
        <v>6</v>
      </c>
      <c r="BA40" t="str">
        <f t="shared" si="21"/>
        <v>Neutral</v>
      </c>
      <c r="BB40">
        <f>survey_responses[[#This Row],[Tôi thấy Nhà nước đã giải thích rõ ràng, minh bạch về lý do và mục tiêu của việc sửa đổi thuế lần này. - HUMAN-TRU4]]</f>
        <v>10</v>
      </c>
      <c r="BC40" t="str">
        <f t="shared" si="22"/>
        <v>Support</v>
      </c>
      <c r="BD40" s="32">
        <f t="shared" si="23"/>
        <v>4</v>
      </c>
      <c r="BE40">
        <f>step3_validation[[#This Row],[AI_OUT1]]</f>
        <v>9</v>
      </c>
      <c r="BF40" t="str">
        <f t="shared" si="24"/>
        <v>Support</v>
      </c>
      <c r="BG40">
        <f>survey_responses[[#This Row],[Sau khi xem xét các quyền lợi và nghĩa vụ, bạn có ủng hộ và tuân thủ chính sách mới hiện nay? - HUMAN-OUT1]]</f>
        <v>10</v>
      </c>
      <c r="BH40" t="str">
        <f t="shared" si="25"/>
        <v>Support</v>
      </c>
      <c r="BI40" s="32">
        <f t="shared" si="26"/>
        <v>1</v>
      </c>
    </row>
    <row r="41" spans="1:61" x14ac:dyDescent="0.45">
      <c r="A41" s="30">
        <f>step3_validation[[#This Row],[Persona_ID]]</f>
        <v>40</v>
      </c>
      <c r="B41" s="31">
        <f>step3_validation[[#This Row],[Used_Seed]]</f>
        <v>40</v>
      </c>
      <c r="C41" t="str">
        <f>step3_validation[[#This Row],[Gender]]</f>
        <v>Nam</v>
      </c>
      <c r="D41" t="str">
        <f>survey_responses[[#This Row],[Giới tính của bạn:]]</f>
        <v>Nam</v>
      </c>
      <c r="E41" t="str">
        <f>step3_validation[[#This Row],[Age_Group]]</f>
        <v>30 - 39</v>
      </c>
      <c r="F41" t="str">
        <f>survey_responses[[#This Row],[Độ tuổi của bạn:]]</f>
        <v>30 - 39</v>
      </c>
      <c r="G41" t="str">
        <f>step3_validation[[#This Row],[Region]]</f>
        <v>Thành thị</v>
      </c>
      <c r="H41" t="str">
        <f>survey_responses[[#This Row],[Khu vực bạn đang sinh sống:]]</f>
        <v>Thành thị</v>
      </c>
      <c r="I41" t="str">
        <f>step3_validation[[#This Row],[Education]]</f>
        <v>Đại học</v>
      </c>
      <c r="J41" t="str">
        <f>survey_responses[[#This Row],[Trình độ học vấn cao nhất:]]</f>
        <v>Đại học</v>
      </c>
      <c r="K41" t="str">
        <f>step3_validation[[#This Row],[Employment]]</f>
        <v>Chính thức</v>
      </c>
      <c r="L41" t="str">
        <f>survey_responses[[#This Row],[Tình trạng việc làm chính:]]</f>
        <v>Khu vực chính thức (Có Hợp đồng lao động, đóng BHXH)</v>
      </c>
      <c r="M41">
        <f>step3_validation[[#This Row],[Income_Mil]]</f>
        <v>210.0249772991782</v>
      </c>
      <c r="N41" t="str">
        <f>survey_responses[[#This Row],[Thu nhập bình quân tháng theo Hợp đồng lao động của bạn là bao nhiêu? (Vui lòng điền tổng thu nhập trước khi khấu trừ các loại Bảo hiểm (BHXH, BHYT, BHTN) và Thuế TNCN)]]</f>
        <v>Trên 102 triệu VNĐ</v>
      </c>
      <c r="O41">
        <f>step3_validation[[#This Row],[Dependents]]</f>
        <v>1</v>
      </c>
      <c r="P41" t="str">
        <f>survey_responses[[#This Row],[Số người phụ thuộc (con nhỏ, cha mẹ già...) đủ điều kiện giảm trừ gia cảnh:]]</f>
        <v>1 người</v>
      </c>
      <c r="Q41">
        <f>step3_validation[[#This Row],[AI_ENF1]]</f>
        <v>7</v>
      </c>
      <c r="R41" t="str">
        <f t="shared" si="0"/>
        <v>Neutral</v>
      </c>
      <c r="S41">
        <f>survey_responses[[#This Row],[Tôi tin rằng với các quy định quản lý thuế hiện nay, hành vi gian lận hoặc trốn thuế sẽ dễ dàng bị phát hiện và xử lý nghiêm. - HUMAN-ENF1]]</f>
        <v>8</v>
      </c>
      <c r="T41" t="str">
        <f t="shared" si="1"/>
        <v>Support</v>
      </c>
      <c r="U41" s="32">
        <f t="shared" si="2"/>
        <v>1</v>
      </c>
      <c r="V41">
        <f>step3_validation[[#This Row],[AI_ENF2]]</f>
        <v>8</v>
      </c>
      <c r="W41" t="str">
        <f t="shared" si="3"/>
        <v>Support</v>
      </c>
      <c r="X41">
        <f>survey_responses[[#This Row],[Tôi tin rằng Nhà nước, cơ quan thuế có đủ khả năng và công nghệ để phát hiện, xử lý nghiêm các hành vi trốn thuế. - HUMAN-ENF2]]</f>
        <v>8</v>
      </c>
      <c r="Y41" t="str">
        <f t="shared" si="4"/>
        <v>Support</v>
      </c>
      <c r="Z41" s="32">
        <f t="shared" si="5"/>
        <v>0</v>
      </c>
      <c r="AA41">
        <f>step3_validation[[#This Row],[AI_FAC1]]</f>
        <v>6</v>
      </c>
      <c r="AB41" t="str">
        <f t="shared" si="6"/>
        <v>Neutral</v>
      </c>
      <c r="AC41">
        <f>survey_responses[[#This Row],[Các thủ tục khai báo thuế VÀ/HOẶC quy trình làm việc với cơ quan thuế đơn giản, tiện lợi, nhanh chóng hơn so với trước đây. - HUMAN-FAC1]]</f>
        <v>6</v>
      </c>
      <c r="AD41" t="str">
        <f t="shared" si="7"/>
        <v>Neutral</v>
      </c>
      <c r="AE41" s="32">
        <f t="shared" si="8"/>
        <v>0</v>
      </c>
      <c r="AF41">
        <f>step3_validation[[#This Row],[AI_FAC2]]</f>
        <v>9</v>
      </c>
      <c r="AG41" t="str">
        <f t="shared" si="9"/>
        <v>Support</v>
      </c>
      <c r="AH41">
        <f>survey_responses[[#This Row],[So với trước đây, tôi thấy cách tính thuế và các bậc thuế trong phương án mới đơn giản, dễ hiểu và dễ thực hiện hơn. - HUMAN-FAC2]]</f>
        <v>8</v>
      </c>
      <c r="AI41" t="str">
        <f t="shared" si="10"/>
        <v>Support</v>
      </c>
      <c r="AJ41" s="32">
        <f t="shared" si="11"/>
        <v>1</v>
      </c>
      <c r="AK41">
        <f>step3_validation[[#This Row],[AI_TRU1]]</f>
        <v>7</v>
      </c>
      <c r="AL41" t="str">
        <f t="shared" si="12"/>
        <v>Neutral</v>
      </c>
      <c r="AM41">
        <f>survey_responses[[#This Row],[Tôi tin rằng Nhà nước, cơ quan thuế sẽ thực thi chính sách mới một cách khách quan, công tâm và đối xử bình đẳng với mọi người nộp thuế.  - HUMAN-TRU1]]</f>
        <v>7</v>
      </c>
      <c r="AN41" t="str">
        <f t="shared" si="13"/>
        <v>Neutral</v>
      </c>
      <c r="AO41" s="32">
        <f t="shared" si="14"/>
        <v>0</v>
      </c>
      <c r="AP41">
        <f>step3_validation[[#This Row],[AI_TRU2]]</f>
        <v>8</v>
      </c>
      <c r="AQ41" t="str">
        <f t="shared" si="15"/>
        <v>Support</v>
      </c>
      <c r="AR41">
        <f>survey_responses[[#This Row],[Tôi thấy mức thuế tôi phải đóng theo phương án mới là công bằng (người thu nhập như tôi đóng mức này là hợp lý). - HUMAN-TRU2]]</f>
        <v>8</v>
      </c>
      <c r="AS41" t="str">
        <f t="shared" si="16"/>
        <v>Support</v>
      </c>
      <c r="AT41" s="32">
        <f t="shared" si="17"/>
        <v>0</v>
      </c>
      <c r="AU41">
        <f>step3_validation[[#This Row],[AI_TRU3]]</f>
        <v>7</v>
      </c>
      <c r="AV41" t="str">
        <f t="shared" si="18"/>
        <v>Neutral</v>
      </c>
      <c r="AW41">
        <f>survey_responses[[#This Row],[Tôi tin tưởng số tiền thuế tôi đóng sẽ được Nhà nước sử dụng hiệu quả để cải thiện dịch vụ công (y tế, đường xá...). - HUMAN-TRU3]]</f>
        <v>5</v>
      </c>
      <c r="AX41" t="str">
        <f t="shared" si="19"/>
        <v>Neutral</v>
      </c>
      <c r="AY41" s="32">
        <f t="shared" si="20"/>
        <v>2</v>
      </c>
      <c r="AZ41">
        <f>step3_validation[[#This Row],[AI_TRU4]]</f>
        <v>8</v>
      </c>
      <c r="BA41" t="str">
        <f t="shared" si="21"/>
        <v>Support</v>
      </c>
      <c r="BB41">
        <f>survey_responses[[#This Row],[Tôi thấy Nhà nước đã giải thích rõ ràng, minh bạch về lý do và mục tiêu của việc sửa đổi thuế lần này. - HUMAN-TRU4]]</f>
        <v>6</v>
      </c>
      <c r="BC41" t="str">
        <f t="shared" si="22"/>
        <v>Neutral</v>
      </c>
      <c r="BD41" s="32">
        <f t="shared" si="23"/>
        <v>2</v>
      </c>
      <c r="BE41">
        <f>step3_validation[[#This Row],[AI_OUT1]]</f>
        <v>9</v>
      </c>
      <c r="BF41" t="str">
        <f t="shared" si="24"/>
        <v>Support</v>
      </c>
      <c r="BG41">
        <f>survey_responses[[#This Row],[Sau khi xem xét các quyền lợi và nghĩa vụ, bạn có ủng hộ và tuân thủ chính sách mới hiện nay? - HUMAN-OUT1]]</f>
        <v>7</v>
      </c>
      <c r="BH41" t="str">
        <f t="shared" si="25"/>
        <v>Neutral</v>
      </c>
      <c r="BI41" s="32">
        <f t="shared" si="26"/>
        <v>2</v>
      </c>
    </row>
    <row r="42" spans="1:61" x14ac:dyDescent="0.45">
      <c r="A42" s="30">
        <f>step3_validation[[#This Row],[Persona_ID]]</f>
        <v>41</v>
      </c>
      <c r="B42" s="31">
        <f>step3_validation[[#This Row],[Used_Seed]]</f>
        <v>41</v>
      </c>
      <c r="C42" t="str">
        <f>step3_validation[[#This Row],[Gender]]</f>
        <v>Nam</v>
      </c>
      <c r="D42" t="str">
        <f>survey_responses[[#This Row],[Giới tính của bạn:]]</f>
        <v>Nam</v>
      </c>
      <c r="E42" t="str">
        <f>step3_validation[[#This Row],[Age_Group]]</f>
        <v>30 - 39</v>
      </c>
      <c r="F42" t="str">
        <f>survey_responses[[#This Row],[Độ tuổi của bạn:]]</f>
        <v>30 - 39</v>
      </c>
      <c r="G42" t="str">
        <f>step3_validation[[#This Row],[Region]]</f>
        <v>Thành thị</v>
      </c>
      <c r="H42" t="str">
        <f>survey_responses[[#This Row],[Khu vực bạn đang sinh sống:]]</f>
        <v>Thành thị</v>
      </c>
      <c r="I42" t="str">
        <f>step3_validation[[#This Row],[Education]]</f>
        <v>Đại học</v>
      </c>
      <c r="J42" t="str">
        <f>survey_responses[[#This Row],[Trình độ học vấn cao nhất:]]</f>
        <v>Đại học</v>
      </c>
      <c r="K42" t="str">
        <f>step3_validation[[#This Row],[Employment]]</f>
        <v>Chính thức</v>
      </c>
      <c r="L42" t="str">
        <f>survey_responses[[#This Row],[Tình trạng việc làm chính:]]</f>
        <v>Khu vực chính thức (Có Hợp đồng lao động, đóng BHXH)</v>
      </c>
      <c r="M42">
        <f>step3_validation[[#This Row],[Income_Mil]]</f>
        <v>99.578684191822148</v>
      </c>
      <c r="N42" t="str">
        <f>survey_responses[[#This Row],[Thu nhập bình quân tháng theo Hợp đồng lao động của bạn là bao nhiêu? (Vui lòng điền tổng thu nhập trước khi khấu trừ các loại Bảo hiểm (BHXH, BHYT, BHTN) và Thuế TNCN)]]</f>
        <v>Từ 70 - 102 triệu VNĐ</v>
      </c>
      <c r="O42">
        <f>step3_validation[[#This Row],[Dependents]]</f>
        <v>2</v>
      </c>
      <c r="P42" t="str">
        <f>survey_responses[[#This Row],[Số người phụ thuộc (con nhỏ, cha mẹ già...) đủ điều kiện giảm trừ gia cảnh:]]</f>
        <v>2 người</v>
      </c>
      <c r="Q42">
        <f>step3_validation[[#This Row],[AI_ENF1]]</f>
        <v>7</v>
      </c>
      <c r="R42" t="str">
        <f t="shared" si="0"/>
        <v>Neutral</v>
      </c>
      <c r="S42">
        <f>survey_responses[[#This Row],[Tôi tin rằng với các quy định quản lý thuế hiện nay, hành vi gian lận hoặc trốn thuế sẽ dễ dàng bị phát hiện và xử lý nghiêm. - HUMAN-ENF1]]</f>
        <v>9</v>
      </c>
      <c r="T42" t="str">
        <f t="shared" si="1"/>
        <v>Support</v>
      </c>
      <c r="U42" s="32">
        <f t="shared" si="2"/>
        <v>2</v>
      </c>
      <c r="V42">
        <f>step3_validation[[#This Row],[AI_ENF2]]</f>
        <v>8</v>
      </c>
      <c r="W42" t="str">
        <f t="shared" si="3"/>
        <v>Support</v>
      </c>
      <c r="X42">
        <f>survey_responses[[#This Row],[Tôi tin rằng Nhà nước, cơ quan thuế có đủ khả năng và công nghệ để phát hiện, xử lý nghiêm các hành vi trốn thuế. - HUMAN-ENF2]]</f>
        <v>8</v>
      </c>
      <c r="Y42" t="str">
        <f t="shared" si="4"/>
        <v>Support</v>
      </c>
      <c r="Z42" s="32">
        <f t="shared" si="5"/>
        <v>0</v>
      </c>
      <c r="AA42">
        <f>step3_validation[[#This Row],[AI_FAC1]]</f>
        <v>9</v>
      </c>
      <c r="AB42" t="str">
        <f t="shared" si="6"/>
        <v>Support</v>
      </c>
      <c r="AC42">
        <f>survey_responses[[#This Row],[Các thủ tục khai báo thuế VÀ/HOẶC quy trình làm việc với cơ quan thuế đơn giản, tiện lợi, nhanh chóng hơn so với trước đây. - HUMAN-FAC1]]</f>
        <v>7</v>
      </c>
      <c r="AD42" t="str">
        <f t="shared" si="7"/>
        <v>Neutral</v>
      </c>
      <c r="AE42" s="32">
        <f t="shared" si="8"/>
        <v>2</v>
      </c>
      <c r="AF42">
        <f>step3_validation[[#This Row],[AI_FAC2]]</f>
        <v>9</v>
      </c>
      <c r="AG42" t="str">
        <f t="shared" si="9"/>
        <v>Support</v>
      </c>
      <c r="AH42">
        <f>survey_responses[[#This Row],[So với trước đây, tôi thấy cách tính thuế và các bậc thuế trong phương án mới đơn giản, dễ hiểu và dễ thực hiện hơn. - HUMAN-FAC2]]</f>
        <v>8</v>
      </c>
      <c r="AI42" t="str">
        <f t="shared" si="10"/>
        <v>Support</v>
      </c>
      <c r="AJ42" s="32">
        <f t="shared" si="11"/>
        <v>1</v>
      </c>
      <c r="AK42">
        <f>step3_validation[[#This Row],[AI_TRU1]]</f>
        <v>7</v>
      </c>
      <c r="AL42" t="str">
        <f t="shared" si="12"/>
        <v>Neutral</v>
      </c>
      <c r="AM42">
        <f>survey_responses[[#This Row],[Tôi tin rằng Nhà nước, cơ quan thuế sẽ thực thi chính sách mới một cách khách quan, công tâm và đối xử bình đẳng với mọi người nộp thuế.  - HUMAN-TRU1]]</f>
        <v>7</v>
      </c>
      <c r="AN42" t="str">
        <f t="shared" si="13"/>
        <v>Neutral</v>
      </c>
      <c r="AO42" s="32">
        <f t="shared" si="14"/>
        <v>0</v>
      </c>
      <c r="AP42">
        <f>step3_validation[[#This Row],[AI_TRU2]]</f>
        <v>9</v>
      </c>
      <c r="AQ42" t="str">
        <f t="shared" si="15"/>
        <v>Support</v>
      </c>
      <c r="AR42">
        <f>survey_responses[[#This Row],[Tôi thấy mức thuế tôi phải đóng theo phương án mới là công bằng (người thu nhập như tôi đóng mức này là hợp lý). - HUMAN-TRU2]]</f>
        <v>4</v>
      </c>
      <c r="AS42" t="str">
        <f t="shared" si="16"/>
        <v>Oppose</v>
      </c>
      <c r="AT42" s="32">
        <f t="shared" si="17"/>
        <v>5</v>
      </c>
      <c r="AU42">
        <f>step3_validation[[#This Row],[AI_TRU3]]</f>
        <v>8</v>
      </c>
      <c r="AV42" t="str">
        <f t="shared" si="18"/>
        <v>Support</v>
      </c>
      <c r="AW42">
        <f>survey_responses[[#This Row],[Tôi tin tưởng số tiền thuế tôi đóng sẽ được Nhà nước sử dụng hiệu quả để cải thiện dịch vụ công (y tế, đường xá...). - HUMAN-TRU3]]</f>
        <v>2</v>
      </c>
      <c r="AX42" t="str">
        <f t="shared" si="19"/>
        <v>Oppose</v>
      </c>
      <c r="AY42" s="32">
        <f t="shared" si="20"/>
        <v>6</v>
      </c>
      <c r="AZ42">
        <f>step3_validation[[#This Row],[AI_TRU4]]</f>
        <v>7</v>
      </c>
      <c r="BA42" t="str">
        <f t="shared" si="21"/>
        <v>Neutral</v>
      </c>
      <c r="BB42">
        <f>survey_responses[[#This Row],[Tôi thấy Nhà nước đã giải thích rõ ràng, minh bạch về lý do và mục tiêu của việc sửa đổi thuế lần này. - HUMAN-TRU4]]</f>
        <v>8</v>
      </c>
      <c r="BC42" t="str">
        <f t="shared" si="22"/>
        <v>Support</v>
      </c>
      <c r="BD42" s="32">
        <f t="shared" si="23"/>
        <v>1</v>
      </c>
      <c r="BE42">
        <f>step3_validation[[#This Row],[AI_OUT1]]</f>
        <v>9</v>
      </c>
      <c r="BF42" t="str">
        <f t="shared" si="24"/>
        <v>Support</v>
      </c>
      <c r="BG42">
        <f>survey_responses[[#This Row],[Sau khi xem xét các quyền lợi và nghĩa vụ, bạn có ủng hộ và tuân thủ chính sách mới hiện nay? - HUMAN-OUT1]]</f>
        <v>8</v>
      </c>
      <c r="BH42" t="str">
        <f t="shared" si="25"/>
        <v>Support</v>
      </c>
      <c r="BI42" s="32">
        <f t="shared" si="26"/>
        <v>1</v>
      </c>
    </row>
    <row r="43" spans="1:61" x14ac:dyDescent="0.45">
      <c r="A43" s="30">
        <f>step3_validation[[#This Row],[Persona_ID]]</f>
        <v>42</v>
      </c>
      <c r="B43" s="31">
        <f>step3_validation[[#This Row],[Used_Seed]]</f>
        <v>42</v>
      </c>
      <c r="C43" t="str">
        <f>step3_validation[[#This Row],[Gender]]</f>
        <v>Nữ</v>
      </c>
      <c r="D43" t="str">
        <f>survey_responses[[#This Row],[Giới tính của bạn:]]</f>
        <v>Nữ</v>
      </c>
      <c r="E43" t="str">
        <f>step3_validation[[#This Row],[Age_Group]]</f>
        <v>30 - 39</v>
      </c>
      <c r="F43" t="str">
        <f>survey_responses[[#This Row],[Độ tuổi của bạn:]]</f>
        <v>30 - 39</v>
      </c>
      <c r="G43" t="str">
        <f>step3_validation[[#This Row],[Region]]</f>
        <v>Thành thị</v>
      </c>
      <c r="H43" t="str">
        <f>survey_responses[[#This Row],[Khu vực bạn đang sinh sống:]]</f>
        <v>Thành thị</v>
      </c>
      <c r="I43" t="str">
        <f>step3_validation[[#This Row],[Education]]</f>
        <v>Đại học</v>
      </c>
      <c r="J43" t="str">
        <f>survey_responses[[#This Row],[Trình độ học vấn cao nhất:]]</f>
        <v>Đại học</v>
      </c>
      <c r="K43" t="str">
        <f>step3_validation[[#This Row],[Employment]]</f>
        <v>Chính thức</v>
      </c>
      <c r="L43" t="str">
        <f>survey_responses[[#This Row],[Tình trạng việc làm chính:]]</f>
        <v>Khu vực chính thức (Có Hợp đồng lao động, đóng BHXH)</v>
      </c>
      <c r="M43">
        <f>step3_validation[[#This Row],[Income_Mil]]</f>
        <v>43.609340728339447</v>
      </c>
      <c r="N43" t="str">
        <f>survey_responses[[#This Row],[Thu nhập bình quân tháng theo Hợp đồng lao động của bạn là bao nhiêu? (Vui lòng điền tổng thu nhập trước khi khấu trừ các loại Bảo hiểm (BHXH, BHYT, BHTN) và Thuế TNCN)]]</f>
        <v>Từ 32 - 48 triệu VNĐ</v>
      </c>
      <c r="O43">
        <f>step3_validation[[#This Row],[Dependents]]</f>
        <v>3</v>
      </c>
      <c r="P43" t="str">
        <f>survey_responses[[#This Row],[Số người phụ thuộc (con nhỏ, cha mẹ già...) đủ điều kiện giảm trừ gia cảnh:]]</f>
        <v>3 người</v>
      </c>
      <c r="Q43">
        <f>step3_validation[[#This Row],[AI_ENF1]]</f>
        <v>7</v>
      </c>
      <c r="R43" t="str">
        <f t="shared" si="0"/>
        <v>Neutral</v>
      </c>
      <c r="S43">
        <f>survey_responses[[#This Row],[Tôi tin rằng với các quy định quản lý thuế hiện nay, hành vi gian lận hoặc trốn thuế sẽ dễ dàng bị phát hiện và xử lý nghiêm. - HUMAN-ENF1]]</f>
        <v>10</v>
      </c>
      <c r="T43" t="str">
        <f t="shared" si="1"/>
        <v>Support</v>
      </c>
      <c r="U43" s="32">
        <f t="shared" si="2"/>
        <v>3</v>
      </c>
      <c r="V43">
        <f>step3_validation[[#This Row],[AI_ENF2]]</f>
        <v>6</v>
      </c>
      <c r="W43" t="str">
        <f t="shared" si="3"/>
        <v>Neutral</v>
      </c>
      <c r="X43">
        <f>survey_responses[[#This Row],[Tôi tin rằng Nhà nước, cơ quan thuế có đủ khả năng và công nghệ để phát hiện, xử lý nghiêm các hành vi trốn thuế. - HUMAN-ENF2]]</f>
        <v>10</v>
      </c>
      <c r="Y43" t="str">
        <f t="shared" si="4"/>
        <v>Support</v>
      </c>
      <c r="Z43" s="32">
        <f t="shared" si="5"/>
        <v>4</v>
      </c>
      <c r="AA43">
        <f>step3_validation[[#This Row],[AI_FAC1]]</f>
        <v>9</v>
      </c>
      <c r="AB43" t="str">
        <f t="shared" si="6"/>
        <v>Support</v>
      </c>
      <c r="AC43">
        <f>survey_responses[[#This Row],[Các thủ tục khai báo thuế VÀ/HOẶC quy trình làm việc với cơ quan thuế đơn giản, tiện lợi, nhanh chóng hơn so với trước đây. - HUMAN-FAC1]]</f>
        <v>9</v>
      </c>
      <c r="AD43" t="str">
        <f t="shared" si="7"/>
        <v>Support</v>
      </c>
      <c r="AE43" s="32">
        <f t="shared" si="8"/>
        <v>0</v>
      </c>
      <c r="AF43">
        <f>step3_validation[[#This Row],[AI_FAC2]]</f>
        <v>8</v>
      </c>
      <c r="AG43" t="str">
        <f t="shared" si="9"/>
        <v>Support</v>
      </c>
      <c r="AH43">
        <f>survey_responses[[#This Row],[So với trước đây, tôi thấy cách tính thuế và các bậc thuế trong phương án mới đơn giản, dễ hiểu và dễ thực hiện hơn. - HUMAN-FAC2]]</f>
        <v>8</v>
      </c>
      <c r="AI43" t="str">
        <f t="shared" si="10"/>
        <v>Support</v>
      </c>
      <c r="AJ43" s="32">
        <f t="shared" si="11"/>
        <v>0</v>
      </c>
      <c r="AK43">
        <f>step3_validation[[#This Row],[AI_TRU1]]</f>
        <v>7</v>
      </c>
      <c r="AL43" t="str">
        <f t="shared" si="12"/>
        <v>Neutral</v>
      </c>
      <c r="AM43">
        <f>survey_responses[[#This Row],[Tôi tin rằng Nhà nước, cơ quan thuế sẽ thực thi chính sách mới một cách khách quan, công tâm và đối xử bình đẳng với mọi người nộp thuế.  - HUMAN-TRU1]]</f>
        <v>7</v>
      </c>
      <c r="AN43" t="str">
        <f t="shared" si="13"/>
        <v>Neutral</v>
      </c>
      <c r="AO43" s="32">
        <f t="shared" si="14"/>
        <v>0</v>
      </c>
      <c r="AP43">
        <f>step3_validation[[#This Row],[AI_TRU2]]</f>
        <v>9</v>
      </c>
      <c r="AQ43" t="str">
        <f t="shared" si="15"/>
        <v>Support</v>
      </c>
      <c r="AR43">
        <f>survey_responses[[#This Row],[Tôi thấy mức thuế tôi phải đóng theo phương án mới là công bằng (người thu nhập như tôi đóng mức này là hợp lý). - HUMAN-TRU2]]</f>
        <v>9</v>
      </c>
      <c r="AS43" t="str">
        <f t="shared" si="16"/>
        <v>Support</v>
      </c>
      <c r="AT43" s="32">
        <f t="shared" si="17"/>
        <v>0</v>
      </c>
      <c r="AU43">
        <f>step3_validation[[#This Row],[AI_TRU3]]</f>
        <v>6</v>
      </c>
      <c r="AV43" t="str">
        <f t="shared" si="18"/>
        <v>Neutral</v>
      </c>
      <c r="AW43">
        <f>survey_responses[[#This Row],[Tôi tin tưởng số tiền thuế tôi đóng sẽ được Nhà nước sử dụng hiệu quả để cải thiện dịch vụ công (y tế, đường xá...). - HUMAN-TRU3]]</f>
        <v>9</v>
      </c>
      <c r="AX43" t="str">
        <f t="shared" si="19"/>
        <v>Support</v>
      </c>
      <c r="AY43" s="32">
        <f t="shared" si="20"/>
        <v>3</v>
      </c>
      <c r="AZ43">
        <f>step3_validation[[#This Row],[AI_TRU4]]</f>
        <v>7</v>
      </c>
      <c r="BA43" t="str">
        <f t="shared" si="21"/>
        <v>Neutral</v>
      </c>
      <c r="BB43">
        <f>survey_responses[[#This Row],[Tôi thấy Nhà nước đã giải thích rõ ràng, minh bạch về lý do và mục tiêu của việc sửa đổi thuế lần này. - HUMAN-TRU4]]</f>
        <v>8</v>
      </c>
      <c r="BC43" t="str">
        <f t="shared" si="22"/>
        <v>Support</v>
      </c>
      <c r="BD43" s="32">
        <f t="shared" si="23"/>
        <v>1</v>
      </c>
      <c r="BE43">
        <f>step3_validation[[#This Row],[AI_OUT1]]</f>
        <v>8</v>
      </c>
      <c r="BF43" t="str">
        <f t="shared" si="24"/>
        <v>Support</v>
      </c>
      <c r="BG43">
        <f>survey_responses[[#This Row],[Sau khi xem xét các quyền lợi và nghĩa vụ, bạn có ủng hộ và tuân thủ chính sách mới hiện nay? - HUMAN-OUT1]]</f>
        <v>8</v>
      </c>
      <c r="BH43" t="str">
        <f t="shared" si="25"/>
        <v>Support</v>
      </c>
      <c r="BI43" s="32">
        <f t="shared" si="26"/>
        <v>0</v>
      </c>
    </row>
    <row r="44" spans="1:61" x14ac:dyDescent="0.45">
      <c r="A44" s="30">
        <f>step3_validation[[#This Row],[Persona_ID]]</f>
        <v>43</v>
      </c>
      <c r="B44" s="31">
        <f>step3_validation[[#This Row],[Used_Seed]]</f>
        <v>43</v>
      </c>
      <c r="C44" t="str">
        <f>step3_validation[[#This Row],[Gender]]</f>
        <v>Nữ</v>
      </c>
      <c r="D44" t="str">
        <f>survey_responses[[#This Row],[Giới tính của bạn:]]</f>
        <v>Nữ</v>
      </c>
      <c r="E44" t="str">
        <f>step3_validation[[#This Row],[Age_Group]]</f>
        <v>30 - 39</v>
      </c>
      <c r="F44" t="str">
        <f>survey_responses[[#This Row],[Độ tuổi của bạn:]]</f>
        <v>30 - 39</v>
      </c>
      <c r="G44" t="str">
        <f>step3_validation[[#This Row],[Region]]</f>
        <v>Thành thị</v>
      </c>
      <c r="H44" t="str">
        <f>survey_responses[[#This Row],[Khu vực bạn đang sinh sống:]]</f>
        <v>Thành thị</v>
      </c>
      <c r="I44" t="str">
        <f>step3_validation[[#This Row],[Education]]</f>
        <v>Đại học</v>
      </c>
      <c r="J44" t="str">
        <f>survey_responses[[#This Row],[Trình độ học vấn cao nhất:]]</f>
        <v>Đại học</v>
      </c>
      <c r="K44" t="str">
        <f>step3_validation[[#This Row],[Employment]]</f>
        <v>Chính thức</v>
      </c>
      <c r="L44" t="str">
        <f>survey_responses[[#This Row],[Tình trạng việc làm chính:]]</f>
        <v>Khu vực chính thức (Có Hợp đồng lao động, đóng BHXH)</v>
      </c>
      <c r="M44">
        <f>step3_validation[[#This Row],[Income_Mil]]</f>
        <v>198.54029087973478</v>
      </c>
      <c r="N44" t="str">
        <f>survey_responses[[#This Row],[Thu nhập bình quân tháng theo Hợp đồng lao động của bạn là bao nhiêu? (Vui lòng điền tổng thu nhập trước khi khấu trừ các loại Bảo hiểm (BHXH, BHYT, BHTN) và Thuế TNCN)]]</f>
        <v>Trên 102 triệu VNĐ</v>
      </c>
      <c r="O44">
        <f>step3_validation[[#This Row],[Dependents]]</f>
        <v>2</v>
      </c>
      <c r="P44" t="str">
        <f>survey_responses[[#This Row],[Số người phụ thuộc (con nhỏ, cha mẹ già...) đủ điều kiện giảm trừ gia cảnh:]]</f>
        <v>2 người</v>
      </c>
      <c r="Q44">
        <f>step3_validation[[#This Row],[AI_ENF1]]</f>
        <v>8</v>
      </c>
      <c r="R44" t="str">
        <f t="shared" si="0"/>
        <v>Support</v>
      </c>
      <c r="S44">
        <f>survey_responses[[#This Row],[Tôi tin rằng với các quy định quản lý thuế hiện nay, hành vi gian lận hoặc trốn thuế sẽ dễ dàng bị phát hiện và xử lý nghiêm. - HUMAN-ENF1]]</f>
        <v>6</v>
      </c>
      <c r="T44" t="str">
        <f t="shared" si="1"/>
        <v>Neutral</v>
      </c>
      <c r="U44" s="32">
        <f t="shared" si="2"/>
        <v>2</v>
      </c>
      <c r="V44">
        <f>step3_validation[[#This Row],[AI_ENF2]]</f>
        <v>7</v>
      </c>
      <c r="W44" t="str">
        <f t="shared" si="3"/>
        <v>Neutral</v>
      </c>
      <c r="X44">
        <f>survey_responses[[#This Row],[Tôi tin rằng Nhà nước, cơ quan thuế có đủ khả năng và công nghệ để phát hiện, xử lý nghiêm các hành vi trốn thuế. - HUMAN-ENF2]]</f>
        <v>6</v>
      </c>
      <c r="Y44" t="str">
        <f t="shared" si="4"/>
        <v>Neutral</v>
      </c>
      <c r="Z44" s="32">
        <f t="shared" si="5"/>
        <v>1</v>
      </c>
      <c r="AA44">
        <f>step3_validation[[#This Row],[AI_FAC1]]</f>
        <v>8</v>
      </c>
      <c r="AB44" t="str">
        <f t="shared" si="6"/>
        <v>Support</v>
      </c>
      <c r="AC44">
        <f>survey_responses[[#This Row],[Các thủ tục khai báo thuế VÀ/HOẶC quy trình làm việc với cơ quan thuế đơn giản, tiện lợi, nhanh chóng hơn so với trước đây. - HUMAN-FAC1]]</f>
        <v>8</v>
      </c>
      <c r="AD44" t="str">
        <f t="shared" si="7"/>
        <v>Support</v>
      </c>
      <c r="AE44" s="32">
        <f t="shared" si="8"/>
        <v>0</v>
      </c>
      <c r="AF44">
        <f>step3_validation[[#This Row],[AI_FAC2]]</f>
        <v>9</v>
      </c>
      <c r="AG44" t="str">
        <f t="shared" si="9"/>
        <v>Support</v>
      </c>
      <c r="AH44">
        <f>survey_responses[[#This Row],[So với trước đây, tôi thấy cách tính thuế và các bậc thuế trong phương án mới đơn giản, dễ hiểu và dễ thực hiện hơn. - HUMAN-FAC2]]</f>
        <v>10</v>
      </c>
      <c r="AI44" t="str">
        <f t="shared" si="10"/>
        <v>Support</v>
      </c>
      <c r="AJ44" s="32">
        <f t="shared" si="11"/>
        <v>1</v>
      </c>
      <c r="AK44">
        <f>step3_validation[[#This Row],[AI_TRU1]]</f>
        <v>8</v>
      </c>
      <c r="AL44" t="str">
        <f t="shared" si="12"/>
        <v>Support</v>
      </c>
      <c r="AM44">
        <f>survey_responses[[#This Row],[Tôi tin rằng Nhà nước, cơ quan thuế sẽ thực thi chính sách mới một cách khách quan, công tâm và đối xử bình đẳng với mọi người nộp thuế.  - HUMAN-TRU1]]</f>
        <v>9</v>
      </c>
      <c r="AN44" t="str">
        <f t="shared" si="13"/>
        <v>Support</v>
      </c>
      <c r="AO44" s="32">
        <f t="shared" si="14"/>
        <v>1</v>
      </c>
      <c r="AP44">
        <f>step3_validation[[#This Row],[AI_TRU2]]</f>
        <v>9</v>
      </c>
      <c r="AQ44" t="str">
        <f t="shared" si="15"/>
        <v>Support</v>
      </c>
      <c r="AR44">
        <f>survey_responses[[#This Row],[Tôi thấy mức thuế tôi phải đóng theo phương án mới là công bằng (người thu nhập như tôi đóng mức này là hợp lý). - HUMAN-TRU2]]</f>
        <v>1</v>
      </c>
      <c r="AS44" t="str">
        <f t="shared" si="16"/>
        <v>Oppose</v>
      </c>
      <c r="AT44" s="32">
        <f t="shared" si="17"/>
        <v>8</v>
      </c>
      <c r="AU44">
        <f>step3_validation[[#This Row],[AI_TRU3]]</f>
        <v>8</v>
      </c>
      <c r="AV44" t="str">
        <f t="shared" si="18"/>
        <v>Support</v>
      </c>
      <c r="AW44">
        <f>survey_responses[[#This Row],[Tôi tin tưởng số tiền thuế tôi đóng sẽ được Nhà nước sử dụng hiệu quả để cải thiện dịch vụ công (y tế, đường xá...). - HUMAN-TRU3]]</f>
        <v>7</v>
      </c>
      <c r="AX44" t="str">
        <f t="shared" si="19"/>
        <v>Neutral</v>
      </c>
      <c r="AY44" s="32">
        <f t="shared" si="20"/>
        <v>1</v>
      </c>
      <c r="AZ44">
        <f>step3_validation[[#This Row],[AI_TRU4]]</f>
        <v>7</v>
      </c>
      <c r="BA44" t="str">
        <f t="shared" si="21"/>
        <v>Neutral</v>
      </c>
      <c r="BB44">
        <f>survey_responses[[#This Row],[Tôi thấy Nhà nước đã giải thích rõ ràng, minh bạch về lý do và mục tiêu của việc sửa đổi thuế lần này. - HUMAN-TRU4]]</f>
        <v>7</v>
      </c>
      <c r="BC44" t="str">
        <f t="shared" si="22"/>
        <v>Neutral</v>
      </c>
      <c r="BD44" s="32">
        <f t="shared" si="23"/>
        <v>0</v>
      </c>
      <c r="BE44">
        <f>step3_validation[[#This Row],[AI_OUT1]]</f>
        <v>9</v>
      </c>
      <c r="BF44" t="str">
        <f t="shared" si="24"/>
        <v>Support</v>
      </c>
      <c r="BG44">
        <f>survey_responses[[#This Row],[Sau khi xem xét các quyền lợi và nghĩa vụ, bạn có ủng hộ và tuân thủ chính sách mới hiện nay? - HUMAN-OUT1]]</f>
        <v>8</v>
      </c>
      <c r="BH44" t="str">
        <f t="shared" si="25"/>
        <v>Support</v>
      </c>
      <c r="BI44" s="32">
        <f t="shared" si="26"/>
        <v>1</v>
      </c>
    </row>
    <row r="45" spans="1:61" x14ac:dyDescent="0.45">
      <c r="A45" s="30">
        <f>step3_validation[[#This Row],[Persona_ID]]</f>
        <v>44</v>
      </c>
      <c r="B45" s="31">
        <f>step3_validation[[#This Row],[Used_Seed]]</f>
        <v>44</v>
      </c>
      <c r="C45" t="str">
        <f>step3_validation[[#This Row],[Gender]]</f>
        <v>Nam</v>
      </c>
      <c r="D45" t="str">
        <f>survey_responses[[#This Row],[Giới tính của bạn:]]</f>
        <v>Nam</v>
      </c>
      <c r="E45" t="str">
        <f>step3_validation[[#This Row],[Age_Group]]</f>
        <v>30 - 39</v>
      </c>
      <c r="F45" t="str">
        <f>survey_responses[[#This Row],[Độ tuổi của bạn:]]</f>
        <v>30 - 39</v>
      </c>
      <c r="G45" t="str">
        <f>step3_validation[[#This Row],[Region]]</f>
        <v>Thành thị</v>
      </c>
      <c r="H45" t="str">
        <f>survey_responses[[#This Row],[Khu vực bạn đang sinh sống:]]</f>
        <v>Thành thị</v>
      </c>
      <c r="I45" t="str">
        <f>step3_validation[[#This Row],[Education]]</f>
        <v>Đại học</v>
      </c>
      <c r="J45" t="str">
        <f>survey_responses[[#This Row],[Trình độ học vấn cao nhất:]]</f>
        <v>Đại học</v>
      </c>
      <c r="K45" t="str">
        <f>step3_validation[[#This Row],[Employment]]</f>
        <v>Chính thức</v>
      </c>
      <c r="L45" t="str">
        <f>survey_responses[[#This Row],[Tình trạng việc làm chính:]]</f>
        <v>Khu vực chính thức (Có Hợp đồng lao động, đóng BHXH)</v>
      </c>
      <c r="M45">
        <f>step3_validation[[#This Row],[Income_Mil]]</f>
        <v>23.980524077390974</v>
      </c>
      <c r="N45" t="str">
        <f>survey_responses[[#This Row],[Thu nhập bình quân tháng theo Hợp đồng lao động của bạn là bao nhiêu? (Vui lòng điền tổng thu nhập trước khi khấu trừ các loại Bảo hiểm (BHXH, BHYT, BHTN) và Thuế TNCN)]]</f>
        <v>Từ 23 - 32 triệu VNĐ</v>
      </c>
      <c r="O45">
        <f>step3_validation[[#This Row],[Dependents]]</f>
        <v>1</v>
      </c>
      <c r="P45" t="str">
        <f>survey_responses[[#This Row],[Số người phụ thuộc (con nhỏ, cha mẹ già...) đủ điều kiện giảm trừ gia cảnh:]]</f>
        <v>1 người</v>
      </c>
      <c r="Q45">
        <f>step3_validation[[#This Row],[AI_ENF1]]</f>
        <v>7</v>
      </c>
      <c r="R45" t="str">
        <f t="shared" si="0"/>
        <v>Neutral</v>
      </c>
      <c r="S45">
        <f>survey_responses[[#This Row],[Tôi tin rằng với các quy định quản lý thuế hiện nay, hành vi gian lận hoặc trốn thuế sẽ dễ dàng bị phát hiện và xử lý nghiêm. - HUMAN-ENF1]]</f>
        <v>8</v>
      </c>
      <c r="T45" t="str">
        <f t="shared" si="1"/>
        <v>Support</v>
      </c>
      <c r="U45" s="32">
        <f t="shared" si="2"/>
        <v>1</v>
      </c>
      <c r="V45">
        <f>step3_validation[[#This Row],[AI_ENF2]]</f>
        <v>8</v>
      </c>
      <c r="W45" t="str">
        <f t="shared" si="3"/>
        <v>Support</v>
      </c>
      <c r="X45">
        <f>survey_responses[[#This Row],[Tôi tin rằng Nhà nước, cơ quan thuế có đủ khả năng và công nghệ để phát hiện, xử lý nghiêm các hành vi trốn thuế. - HUMAN-ENF2]]</f>
        <v>8</v>
      </c>
      <c r="Y45" t="str">
        <f t="shared" si="4"/>
        <v>Support</v>
      </c>
      <c r="Z45" s="32">
        <f t="shared" si="5"/>
        <v>0</v>
      </c>
      <c r="AA45">
        <f>step3_validation[[#This Row],[AI_FAC1]]</f>
        <v>7</v>
      </c>
      <c r="AB45" t="str">
        <f t="shared" si="6"/>
        <v>Neutral</v>
      </c>
      <c r="AC45">
        <f>survey_responses[[#This Row],[Các thủ tục khai báo thuế VÀ/HOẶC quy trình làm việc với cơ quan thuế đơn giản, tiện lợi, nhanh chóng hơn so với trước đây. - HUMAN-FAC1]]</f>
        <v>8</v>
      </c>
      <c r="AD45" t="str">
        <f t="shared" si="7"/>
        <v>Support</v>
      </c>
      <c r="AE45" s="32">
        <f t="shared" si="8"/>
        <v>1</v>
      </c>
      <c r="AF45">
        <f>step3_validation[[#This Row],[AI_FAC2]]</f>
        <v>9</v>
      </c>
      <c r="AG45" t="str">
        <f t="shared" si="9"/>
        <v>Support</v>
      </c>
      <c r="AH45">
        <f>survey_responses[[#This Row],[So với trước đây, tôi thấy cách tính thuế và các bậc thuế trong phương án mới đơn giản, dễ hiểu và dễ thực hiện hơn. - HUMAN-FAC2]]</f>
        <v>8</v>
      </c>
      <c r="AI45" t="str">
        <f t="shared" si="10"/>
        <v>Support</v>
      </c>
      <c r="AJ45" s="32">
        <f t="shared" si="11"/>
        <v>1</v>
      </c>
      <c r="AK45">
        <f>step3_validation[[#This Row],[AI_TRU1]]</f>
        <v>8</v>
      </c>
      <c r="AL45" t="str">
        <f t="shared" si="12"/>
        <v>Support</v>
      </c>
      <c r="AM45">
        <f>survey_responses[[#This Row],[Tôi tin rằng Nhà nước, cơ quan thuế sẽ thực thi chính sách mới một cách khách quan, công tâm và đối xử bình đẳng với mọi người nộp thuế.  - HUMAN-TRU1]]</f>
        <v>8</v>
      </c>
      <c r="AN45" t="str">
        <f t="shared" si="13"/>
        <v>Support</v>
      </c>
      <c r="AO45" s="32">
        <f t="shared" si="14"/>
        <v>0</v>
      </c>
      <c r="AP45">
        <f>step3_validation[[#This Row],[AI_TRU2]]</f>
        <v>9</v>
      </c>
      <c r="AQ45" t="str">
        <f t="shared" si="15"/>
        <v>Support</v>
      </c>
      <c r="AR45">
        <f>survey_responses[[#This Row],[Tôi thấy mức thuế tôi phải đóng theo phương án mới là công bằng (người thu nhập như tôi đóng mức này là hợp lý). - HUMAN-TRU2]]</f>
        <v>8</v>
      </c>
      <c r="AS45" t="str">
        <f t="shared" si="16"/>
        <v>Support</v>
      </c>
      <c r="AT45" s="32">
        <f t="shared" si="17"/>
        <v>1</v>
      </c>
      <c r="AU45">
        <f>step3_validation[[#This Row],[AI_TRU3]]</f>
        <v>8</v>
      </c>
      <c r="AV45" t="str">
        <f t="shared" si="18"/>
        <v>Support</v>
      </c>
      <c r="AW45">
        <f>survey_responses[[#This Row],[Tôi tin tưởng số tiền thuế tôi đóng sẽ được Nhà nước sử dụng hiệu quả để cải thiện dịch vụ công (y tế, đường xá...). - HUMAN-TRU3]]</f>
        <v>9</v>
      </c>
      <c r="AX45" t="str">
        <f t="shared" si="19"/>
        <v>Support</v>
      </c>
      <c r="AY45" s="32">
        <f t="shared" si="20"/>
        <v>1</v>
      </c>
      <c r="AZ45">
        <f>step3_validation[[#This Row],[AI_TRU4]]</f>
        <v>9</v>
      </c>
      <c r="BA45" t="str">
        <f t="shared" si="21"/>
        <v>Support</v>
      </c>
      <c r="BB45">
        <f>survey_responses[[#This Row],[Tôi thấy Nhà nước đã giải thích rõ ràng, minh bạch về lý do và mục tiêu của việc sửa đổi thuế lần này. - HUMAN-TRU4]]</f>
        <v>5</v>
      </c>
      <c r="BC45" t="str">
        <f t="shared" si="22"/>
        <v>Neutral</v>
      </c>
      <c r="BD45" s="32">
        <f t="shared" si="23"/>
        <v>4</v>
      </c>
      <c r="BE45">
        <f>step3_validation[[#This Row],[AI_OUT1]]</f>
        <v>10</v>
      </c>
      <c r="BF45" t="str">
        <f t="shared" si="24"/>
        <v>Support</v>
      </c>
      <c r="BG45">
        <f>survey_responses[[#This Row],[Sau khi xem xét các quyền lợi và nghĩa vụ, bạn có ủng hộ và tuân thủ chính sách mới hiện nay? - HUMAN-OUT1]]</f>
        <v>9</v>
      </c>
      <c r="BH45" t="str">
        <f t="shared" si="25"/>
        <v>Support</v>
      </c>
      <c r="BI45" s="32">
        <f t="shared" si="26"/>
        <v>1</v>
      </c>
    </row>
    <row r="46" spans="1:61" x14ac:dyDescent="0.45">
      <c r="A46" s="30">
        <f>step3_validation[[#This Row],[Persona_ID]]</f>
        <v>45</v>
      </c>
      <c r="B46" s="31">
        <f>step3_validation[[#This Row],[Used_Seed]]</f>
        <v>45</v>
      </c>
      <c r="C46" t="str">
        <f>step3_validation[[#This Row],[Gender]]</f>
        <v>Nữ</v>
      </c>
      <c r="D46" t="str">
        <f>survey_responses[[#This Row],[Giới tính của bạn:]]</f>
        <v>Nữ</v>
      </c>
      <c r="E46" t="str">
        <f>step3_validation[[#This Row],[Age_Group]]</f>
        <v>40 - 49</v>
      </c>
      <c r="F46" t="str">
        <f>survey_responses[[#This Row],[Độ tuổi của bạn:]]</f>
        <v>40 - 49</v>
      </c>
      <c r="G46" t="str">
        <f>step3_validation[[#This Row],[Region]]</f>
        <v>Thành thị</v>
      </c>
      <c r="H46" t="str">
        <f>survey_responses[[#This Row],[Khu vực bạn đang sinh sống:]]</f>
        <v>Thành thị</v>
      </c>
      <c r="I46" t="str">
        <f>step3_validation[[#This Row],[Education]]</f>
        <v>Đại học</v>
      </c>
      <c r="J46" t="str">
        <f>survey_responses[[#This Row],[Trình độ học vấn cao nhất:]]</f>
        <v>Đại học</v>
      </c>
      <c r="K46" t="str">
        <f>step3_validation[[#This Row],[Employment]]</f>
        <v>Chính thức</v>
      </c>
      <c r="L46" t="str">
        <f>survey_responses[[#This Row],[Tình trạng việc làm chính:]]</f>
        <v>Khu vực chính thức (Có Hợp đồng lao động, đóng BHXH)</v>
      </c>
      <c r="M46">
        <f>step3_validation[[#This Row],[Income_Mil]]</f>
        <v>27.585045255580045</v>
      </c>
      <c r="N46" t="str">
        <f>survey_responses[[#This Row],[Thu nhập bình quân tháng theo Hợp đồng lao động của bạn là bao nhiêu? (Vui lòng điền tổng thu nhập trước khi khấu trừ các loại Bảo hiểm (BHXH, BHYT, BHTN) và Thuế TNCN)]]</f>
        <v>Từ 23 - 32 triệu VNĐ</v>
      </c>
      <c r="O46">
        <f>step3_validation[[#This Row],[Dependents]]</f>
        <v>2</v>
      </c>
      <c r="P46" t="str">
        <f>survey_responses[[#This Row],[Số người phụ thuộc (con nhỏ, cha mẹ già...) đủ điều kiện giảm trừ gia cảnh:]]</f>
        <v>2 người</v>
      </c>
      <c r="Q46">
        <f>step3_validation[[#This Row],[AI_ENF1]]</f>
        <v>9</v>
      </c>
      <c r="R46" t="str">
        <f t="shared" si="0"/>
        <v>Support</v>
      </c>
      <c r="S46">
        <f>survey_responses[[#This Row],[Tôi tin rằng với các quy định quản lý thuế hiện nay, hành vi gian lận hoặc trốn thuế sẽ dễ dàng bị phát hiện và xử lý nghiêm. - HUMAN-ENF1]]</f>
        <v>10</v>
      </c>
      <c r="T46" t="str">
        <f t="shared" si="1"/>
        <v>Support</v>
      </c>
      <c r="U46" s="32">
        <f t="shared" si="2"/>
        <v>1</v>
      </c>
      <c r="V46">
        <f>step3_validation[[#This Row],[AI_ENF2]]</f>
        <v>8</v>
      </c>
      <c r="W46" t="str">
        <f t="shared" si="3"/>
        <v>Support</v>
      </c>
      <c r="X46">
        <f>survey_responses[[#This Row],[Tôi tin rằng Nhà nước, cơ quan thuế có đủ khả năng và công nghệ để phát hiện, xử lý nghiêm các hành vi trốn thuế. - HUMAN-ENF2]]</f>
        <v>10</v>
      </c>
      <c r="Y46" t="str">
        <f t="shared" si="4"/>
        <v>Support</v>
      </c>
      <c r="Z46" s="32">
        <f t="shared" si="5"/>
        <v>2</v>
      </c>
      <c r="AA46">
        <f>step3_validation[[#This Row],[AI_FAC1]]</f>
        <v>9</v>
      </c>
      <c r="AB46" t="str">
        <f t="shared" si="6"/>
        <v>Support</v>
      </c>
      <c r="AC46">
        <f>survey_responses[[#This Row],[Các thủ tục khai báo thuế VÀ/HOẶC quy trình làm việc với cơ quan thuế đơn giản, tiện lợi, nhanh chóng hơn so với trước đây. - HUMAN-FAC1]]</f>
        <v>10</v>
      </c>
      <c r="AD46" t="str">
        <f t="shared" si="7"/>
        <v>Support</v>
      </c>
      <c r="AE46" s="32">
        <f t="shared" si="8"/>
        <v>1</v>
      </c>
      <c r="AF46">
        <f>step3_validation[[#This Row],[AI_FAC2]]</f>
        <v>8</v>
      </c>
      <c r="AG46" t="str">
        <f t="shared" si="9"/>
        <v>Support</v>
      </c>
      <c r="AH46">
        <f>survey_responses[[#This Row],[So với trước đây, tôi thấy cách tính thuế và các bậc thuế trong phương án mới đơn giản, dễ hiểu và dễ thực hiện hơn. - HUMAN-FAC2]]</f>
        <v>9</v>
      </c>
      <c r="AI46" t="str">
        <f t="shared" si="10"/>
        <v>Support</v>
      </c>
      <c r="AJ46" s="32">
        <f t="shared" si="11"/>
        <v>1</v>
      </c>
      <c r="AK46">
        <f>step3_validation[[#This Row],[AI_TRU1]]</f>
        <v>9</v>
      </c>
      <c r="AL46" t="str">
        <f t="shared" si="12"/>
        <v>Support</v>
      </c>
      <c r="AM46">
        <f>survey_responses[[#This Row],[Tôi tin rằng Nhà nước, cơ quan thuế sẽ thực thi chính sách mới một cách khách quan, công tâm và đối xử bình đẳng với mọi người nộp thuế.  - HUMAN-TRU1]]</f>
        <v>10</v>
      </c>
      <c r="AN46" t="str">
        <f t="shared" si="13"/>
        <v>Support</v>
      </c>
      <c r="AO46" s="32">
        <f t="shared" si="14"/>
        <v>1</v>
      </c>
      <c r="AP46">
        <f>step3_validation[[#This Row],[AI_TRU2]]</f>
        <v>8</v>
      </c>
      <c r="AQ46" t="str">
        <f t="shared" si="15"/>
        <v>Support</v>
      </c>
      <c r="AR46">
        <f>survey_responses[[#This Row],[Tôi thấy mức thuế tôi phải đóng theo phương án mới là công bằng (người thu nhập như tôi đóng mức này là hợp lý). - HUMAN-TRU2]]</f>
        <v>10</v>
      </c>
      <c r="AS46" t="str">
        <f t="shared" si="16"/>
        <v>Support</v>
      </c>
      <c r="AT46" s="32">
        <f t="shared" si="17"/>
        <v>2</v>
      </c>
      <c r="AU46">
        <f>step3_validation[[#This Row],[AI_TRU3]]</f>
        <v>9</v>
      </c>
      <c r="AV46" t="str">
        <f t="shared" si="18"/>
        <v>Support</v>
      </c>
      <c r="AW46">
        <f>survey_responses[[#This Row],[Tôi tin tưởng số tiền thuế tôi đóng sẽ được Nhà nước sử dụng hiệu quả để cải thiện dịch vụ công (y tế, đường xá...). - HUMAN-TRU3]]</f>
        <v>10</v>
      </c>
      <c r="AX46" t="str">
        <f t="shared" si="19"/>
        <v>Support</v>
      </c>
      <c r="AY46" s="32">
        <f t="shared" si="20"/>
        <v>1</v>
      </c>
      <c r="AZ46">
        <f>step3_validation[[#This Row],[AI_TRU4]]</f>
        <v>8</v>
      </c>
      <c r="BA46" t="str">
        <f t="shared" si="21"/>
        <v>Support</v>
      </c>
      <c r="BB46">
        <f>survey_responses[[#This Row],[Tôi thấy Nhà nước đã giải thích rõ ràng, minh bạch về lý do và mục tiêu của việc sửa đổi thuế lần này. - HUMAN-TRU4]]</f>
        <v>10</v>
      </c>
      <c r="BC46" t="str">
        <f t="shared" si="22"/>
        <v>Support</v>
      </c>
      <c r="BD46" s="32">
        <f t="shared" si="23"/>
        <v>2</v>
      </c>
      <c r="BE46">
        <f>step3_validation[[#This Row],[AI_OUT1]]</f>
        <v>9</v>
      </c>
      <c r="BF46" t="str">
        <f t="shared" si="24"/>
        <v>Support</v>
      </c>
      <c r="BG46">
        <f>survey_responses[[#This Row],[Sau khi xem xét các quyền lợi và nghĩa vụ, bạn có ủng hộ và tuân thủ chính sách mới hiện nay? - HUMAN-OUT1]]</f>
        <v>10</v>
      </c>
      <c r="BH46" t="str">
        <f t="shared" si="25"/>
        <v>Support</v>
      </c>
      <c r="BI46" s="32">
        <f t="shared" si="26"/>
        <v>1</v>
      </c>
    </row>
    <row r="47" spans="1:61" x14ac:dyDescent="0.45">
      <c r="A47" s="30">
        <f>step3_validation[[#This Row],[Persona_ID]]</f>
        <v>46</v>
      </c>
      <c r="B47" s="31">
        <f>step3_validation[[#This Row],[Used_Seed]]</f>
        <v>46</v>
      </c>
      <c r="C47" t="str">
        <f>step3_validation[[#This Row],[Gender]]</f>
        <v>Nữ</v>
      </c>
      <c r="D47" t="str">
        <f>survey_responses[[#This Row],[Giới tính của bạn:]]</f>
        <v>Nữ</v>
      </c>
      <c r="E47" t="str">
        <f>step3_validation[[#This Row],[Age_Group]]</f>
        <v>50 - 54</v>
      </c>
      <c r="F47" t="str">
        <f>survey_responses[[#This Row],[Độ tuổi của bạn:]]</f>
        <v>50 - 54</v>
      </c>
      <c r="G47" t="str">
        <f>step3_validation[[#This Row],[Region]]</f>
        <v>Nông thôn</v>
      </c>
      <c r="H47" t="str">
        <f>survey_responses[[#This Row],[Khu vực bạn đang sinh sống:]]</f>
        <v>Nông thôn</v>
      </c>
      <c r="I47" t="str">
        <f>step3_validation[[#This Row],[Education]]</f>
        <v>Đại học</v>
      </c>
      <c r="J47" t="str">
        <f>survey_responses[[#This Row],[Trình độ học vấn cao nhất:]]</f>
        <v>Đại học</v>
      </c>
      <c r="K47" t="str">
        <f>step3_validation[[#This Row],[Employment]]</f>
        <v>Chính thức</v>
      </c>
      <c r="L47" t="str">
        <f>survey_responses[[#This Row],[Tình trạng việc làm chính:]]</f>
        <v>Khu vực chính thức (Có Hợp đồng lao động, đóng BHXH)</v>
      </c>
      <c r="M47">
        <f>step3_validation[[#This Row],[Income_Mil]]</f>
        <v>12</v>
      </c>
      <c r="N47" t="str">
        <f>survey_responses[[#This Row],[Thu nhập bình quân tháng theo Hợp đồng lao động của bạn là bao nhiêu? (Vui lòng điền tổng thu nhập trước khi khấu trừ các loại Bảo hiểm (BHXH, BHYT, BHTN) và Thuế TNCN)]]</f>
        <v>Dưới 12 triệu VNĐ</v>
      </c>
      <c r="O47">
        <f>step3_validation[[#This Row],[Dependents]]</f>
        <v>2</v>
      </c>
      <c r="P47" t="str">
        <f>survey_responses[[#This Row],[Số người phụ thuộc (con nhỏ, cha mẹ già...) đủ điều kiện giảm trừ gia cảnh:]]</f>
        <v>2 người</v>
      </c>
      <c r="Q47">
        <f>step3_validation[[#This Row],[AI_ENF1]]</f>
        <v>6</v>
      </c>
      <c r="R47" t="str">
        <f t="shared" si="0"/>
        <v>Neutral</v>
      </c>
      <c r="S47">
        <f>survey_responses[[#This Row],[Tôi tin rằng với các quy định quản lý thuế hiện nay, hành vi gian lận hoặc trốn thuế sẽ dễ dàng bị phát hiện và xử lý nghiêm. - HUMAN-ENF1]]</f>
        <v>1</v>
      </c>
      <c r="T47" t="str">
        <f t="shared" si="1"/>
        <v>Oppose</v>
      </c>
      <c r="U47" s="32">
        <f t="shared" si="2"/>
        <v>5</v>
      </c>
      <c r="V47">
        <f>step3_validation[[#This Row],[AI_ENF2]]</f>
        <v>7</v>
      </c>
      <c r="W47" t="str">
        <f t="shared" si="3"/>
        <v>Neutral</v>
      </c>
      <c r="X47">
        <f>survey_responses[[#This Row],[Tôi tin rằng Nhà nước, cơ quan thuế có đủ khả năng và công nghệ để phát hiện, xử lý nghiêm các hành vi trốn thuế. - HUMAN-ENF2]]</f>
        <v>1</v>
      </c>
      <c r="Y47" t="str">
        <f t="shared" si="4"/>
        <v>Oppose</v>
      </c>
      <c r="Z47" s="32">
        <f t="shared" si="5"/>
        <v>6</v>
      </c>
      <c r="AA47">
        <f>step3_validation[[#This Row],[AI_FAC1]]</f>
        <v>8</v>
      </c>
      <c r="AB47" t="str">
        <f t="shared" si="6"/>
        <v>Support</v>
      </c>
      <c r="AC47">
        <f>survey_responses[[#This Row],[Các thủ tục khai báo thuế VÀ/HOẶC quy trình làm việc với cơ quan thuế đơn giản, tiện lợi, nhanh chóng hơn so với trước đây. - HUMAN-FAC1]]</f>
        <v>2</v>
      </c>
      <c r="AD47" t="str">
        <f t="shared" si="7"/>
        <v>Oppose</v>
      </c>
      <c r="AE47" s="32">
        <f t="shared" si="8"/>
        <v>6</v>
      </c>
      <c r="AF47">
        <f>step3_validation[[#This Row],[AI_FAC2]]</f>
        <v>9</v>
      </c>
      <c r="AG47" t="str">
        <f t="shared" si="9"/>
        <v>Support</v>
      </c>
      <c r="AH47">
        <f>survey_responses[[#This Row],[So với trước đây, tôi thấy cách tính thuế và các bậc thuế trong phương án mới đơn giản, dễ hiểu và dễ thực hiện hơn. - HUMAN-FAC2]]</f>
        <v>1</v>
      </c>
      <c r="AI47" t="str">
        <f t="shared" si="10"/>
        <v>Oppose</v>
      </c>
      <c r="AJ47" s="32">
        <f t="shared" si="11"/>
        <v>8</v>
      </c>
      <c r="AK47">
        <f>step3_validation[[#This Row],[AI_TRU1]]</f>
        <v>8</v>
      </c>
      <c r="AL47" t="str">
        <f t="shared" si="12"/>
        <v>Support</v>
      </c>
      <c r="AM47">
        <f>survey_responses[[#This Row],[Tôi tin rằng Nhà nước, cơ quan thuế sẽ thực thi chính sách mới một cách khách quan, công tâm và đối xử bình đẳng với mọi người nộp thuế.  - HUMAN-TRU1]]</f>
        <v>1</v>
      </c>
      <c r="AN47" t="str">
        <f t="shared" si="13"/>
        <v>Oppose</v>
      </c>
      <c r="AO47" s="32">
        <f t="shared" si="14"/>
        <v>7</v>
      </c>
      <c r="AP47">
        <f>step3_validation[[#This Row],[AI_TRU2]]</f>
        <v>9</v>
      </c>
      <c r="AQ47" t="str">
        <f t="shared" si="15"/>
        <v>Support</v>
      </c>
      <c r="AR47">
        <f>survey_responses[[#This Row],[Tôi thấy mức thuế tôi phải đóng theo phương án mới là công bằng (người thu nhập như tôi đóng mức này là hợp lý). - HUMAN-TRU2]]</f>
        <v>1</v>
      </c>
      <c r="AS47" t="str">
        <f t="shared" si="16"/>
        <v>Oppose</v>
      </c>
      <c r="AT47" s="32">
        <f t="shared" si="17"/>
        <v>8</v>
      </c>
      <c r="AU47">
        <f>step3_validation[[#This Row],[AI_TRU3]]</f>
        <v>8</v>
      </c>
      <c r="AV47" t="str">
        <f t="shared" si="18"/>
        <v>Support</v>
      </c>
      <c r="AW47">
        <f>survey_responses[[#This Row],[Tôi tin tưởng số tiền thuế tôi đóng sẽ được Nhà nước sử dụng hiệu quả để cải thiện dịch vụ công (y tế, đường xá...). - HUMAN-TRU3]]</f>
        <v>1</v>
      </c>
      <c r="AX47" t="str">
        <f t="shared" si="19"/>
        <v>Oppose</v>
      </c>
      <c r="AY47" s="32">
        <f t="shared" si="20"/>
        <v>7</v>
      </c>
      <c r="AZ47">
        <f>step3_validation[[#This Row],[AI_TRU4]]</f>
        <v>9</v>
      </c>
      <c r="BA47" t="str">
        <f t="shared" si="21"/>
        <v>Support</v>
      </c>
      <c r="BB47">
        <f>survey_responses[[#This Row],[Tôi thấy Nhà nước đã giải thích rõ ràng, minh bạch về lý do và mục tiêu của việc sửa đổi thuế lần này. - HUMAN-TRU4]]</f>
        <v>1</v>
      </c>
      <c r="BC47" t="str">
        <f t="shared" si="22"/>
        <v>Oppose</v>
      </c>
      <c r="BD47" s="32">
        <f t="shared" si="23"/>
        <v>8</v>
      </c>
      <c r="BE47">
        <f>step3_validation[[#This Row],[AI_OUT1]]</f>
        <v>10</v>
      </c>
      <c r="BF47" t="str">
        <f t="shared" si="24"/>
        <v>Support</v>
      </c>
      <c r="BG47">
        <f>survey_responses[[#This Row],[Sau khi xem xét các quyền lợi và nghĩa vụ, bạn có ủng hộ và tuân thủ chính sách mới hiện nay? - HUMAN-OUT1]]</f>
        <v>1</v>
      </c>
      <c r="BH47" t="str">
        <f t="shared" si="25"/>
        <v>Oppose</v>
      </c>
      <c r="BI47" s="32">
        <f t="shared" si="26"/>
        <v>9</v>
      </c>
    </row>
    <row r="48" spans="1:61" x14ac:dyDescent="0.45">
      <c r="A48" s="30">
        <f>step3_validation[[#This Row],[Persona_ID]]</f>
        <v>47</v>
      </c>
      <c r="B48" s="31">
        <f>step3_validation[[#This Row],[Used_Seed]]</f>
        <v>47</v>
      </c>
      <c r="C48" t="str">
        <f>step3_validation[[#This Row],[Gender]]</f>
        <v>Nam</v>
      </c>
      <c r="D48" t="str">
        <f>survey_responses[[#This Row],[Giới tính của bạn:]]</f>
        <v>Nam</v>
      </c>
      <c r="E48" t="str">
        <f>step3_validation[[#This Row],[Age_Group]]</f>
        <v>30 - 39</v>
      </c>
      <c r="F48" t="str">
        <f>survey_responses[[#This Row],[Độ tuổi của bạn:]]</f>
        <v>30 - 39</v>
      </c>
      <c r="G48" t="str">
        <f>step3_validation[[#This Row],[Region]]</f>
        <v>Thành thị</v>
      </c>
      <c r="H48" t="str">
        <f>survey_responses[[#This Row],[Khu vực bạn đang sinh sống:]]</f>
        <v>Thành thị</v>
      </c>
      <c r="I48" t="str">
        <f>step3_validation[[#This Row],[Education]]</f>
        <v>Đại học</v>
      </c>
      <c r="J48" t="str">
        <f>survey_responses[[#This Row],[Trình độ học vấn cao nhất:]]</f>
        <v>Đại học</v>
      </c>
      <c r="K48" t="str">
        <f>step3_validation[[#This Row],[Employment]]</f>
        <v>Chính thức</v>
      </c>
      <c r="L48" t="str">
        <f>survey_responses[[#This Row],[Tình trạng việc làm chính:]]</f>
        <v>Khu vực chính thức (Có Hợp đồng lao động, đóng BHXH)</v>
      </c>
      <c r="M48">
        <f>step3_validation[[#This Row],[Income_Mil]]</f>
        <v>12</v>
      </c>
      <c r="N48" t="str">
        <f>survey_responses[[#This Row],[Thu nhập bình quân tháng theo Hợp đồng lao động của bạn là bao nhiêu? (Vui lòng điền tổng thu nhập trước khi khấu trừ các loại Bảo hiểm (BHXH, BHYT, BHTN) và Thuế TNCN)]]</f>
        <v>Dưới 12 triệu VNĐ</v>
      </c>
      <c r="O48">
        <f>step3_validation[[#This Row],[Dependents]]</f>
        <v>0</v>
      </c>
      <c r="P48" t="str">
        <f>survey_responses[[#This Row],[Số người phụ thuộc (con nhỏ, cha mẹ già...) đủ điều kiện giảm trừ gia cảnh:]]</f>
        <v>0 người</v>
      </c>
      <c r="Q48">
        <f>step3_validation[[#This Row],[AI_ENF1]]</f>
        <v>7</v>
      </c>
      <c r="R48" t="str">
        <f t="shared" si="0"/>
        <v>Neutral</v>
      </c>
      <c r="S48">
        <f>survey_responses[[#This Row],[Tôi tin rằng với các quy định quản lý thuế hiện nay, hành vi gian lận hoặc trốn thuế sẽ dễ dàng bị phát hiện và xử lý nghiêm. - HUMAN-ENF1]]</f>
        <v>8</v>
      </c>
      <c r="T48" t="str">
        <f t="shared" si="1"/>
        <v>Support</v>
      </c>
      <c r="U48" s="32">
        <f t="shared" si="2"/>
        <v>1</v>
      </c>
      <c r="V48">
        <f>step3_validation[[#This Row],[AI_ENF2]]</f>
        <v>8</v>
      </c>
      <c r="W48" t="str">
        <f t="shared" si="3"/>
        <v>Support</v>
      </c>
      <c r="X48">
        <f>survey_responses[[#This Row],[Tôi tin rằng Nhà nước, cơ quan thuế có đủ khả năng và công nghệ để phát hiện, xử lý nghiêm các hành vi trốn thuế. - HUMAN-ENF2]]</f>
        <v>8</v>
      </c>
      <c r="Y48" t="str">
        <f t="shared" si="4"/>
        <v>Support</v>
      </c>
      <c r="Z48" s="32">
        <f t="shared" si="5"/>
        <v>0</v>
      </c>
      <c r="AA48">
        <f>step3_validation[[#This Row],[AI_FAC1]]</f>
        <v>9</v>
      </c>
      <c r="AB48" t="str">
        <f t="shared" si="6"/>
        <v>Support</v>
      </c>
      <c r="AC48">
        <f>survey_responses[[#This Row],[Các thủ tục khai báo thuế VÀ/HOẶC quy trình làm việc với cơ quan thuế đơn giản, tiện lợi, nhanh chóng hơn so với trước đây. - HUMAN-FAC1]]</f>
        <v>8</v>
      </c>
      <c r="AD48" t="str">
        <f t="shared" si="7"/>
        <v>Support</v>
      </c>
      <c r="AE48" s="32">
        <f t="shared" si="8"/>
        <v>1</v>
      </c>
      <c r="AF48">
        <f>step3_validation[[#This Row],[AI_FAC2]]</f>
        <v>9</v>
      </c>
      <c r="AG48" t="str">
        <f t="shared" si="9"/>
        <v>Support</v>
      </c>
      <c r="AH48">
        <f>survey_responses[[#This Row],[So với trước đây, tôi thấy cách tính thuế và các bậc thuế trong phương án mới đơn giản, dễ hiểu và dễ thực hiện hơn. - HUMAN-FAC2]]</f>
        <v>7</v>
      </c>
      <c r="AI48" t="str">
        <f t="shared" si="10"/>
        <v>Neutral</v>
      </c>
      <c r="AJ48" s="32">
        <f t="shared" si="11"/>
        <v>2</v>
      </c>
      <c r="AK48">
        <f>step3_validation[[#This Row],[AI_TRU1]]</f>
        <v>8</v>
      </c>
      <c r="AL48" t="str">
        <f t="shared" si="12"/>
        <v>Support</v>
      </c>
      <c r="AM48">
        <f>survey_responses[[#This Row],[Tôi tin rằng Nhà nước, cơ quan thuế sẽ thực thi chính sách mới một cách khách quan, công tâm và đối xử bình đẳng với mọi người nộp thuế.  - HUMAN-TRU1]]</f>
        <v>6</v>
      </c>
      <c r="AN48" t="str">
        <f t="shared" si="13"/>
        <v>Neutral</v>
      </c>
      <c r="AO48" s="32">
        <f t="shared" si="14"/>
        <v>2</v>
      </c>
      <c r="AP48">
        <f>step3_validation[[#This Row],[AI_TRU2]]</f>
        <v>9</v>
      </c>
      <c r="AQ48" t="str">
        <f t="shared" si="15"/>
        <v>Support</v>
      </c>
      <c r="AR48">
        <f>survey_responses[[#This Row],[Tôi thấy mức thuế tôi phải đóng theo phương án mới là công bằng (người thu nhập như tôi đóng mức này là hợp lý). - HUMAN-TRU2]]</f>
        <v>8</v>
      </c>
      <c r="AS48" t="str">
        <f t="shared" si="16"/>
        <v>Support</v>
      </c>
      <c r="AT48" s="32">
        <f t="shared" si="17"/>
        <v>1</v>
      </c>
      <c r="AU48">
        <f>step3_validation[[#This Row],[AI_TRU3]]</f>
        <v>7</v>
      </c>
      <c r="AV48" t="str">
        <f t="shared" si="18"/>
        <v>Neutral</v>
      </c>
      <c r="AW48">
        <f>survey_responses[[#This Row],[Tôi tin tưởng số tiền thuế tôi đóng sẽ được Nhà nước sử dụng hiệu quả để cải thiện dịch vụ công (y tế, đường xá...). - HUMAN-TRU3]]</f>
        <v>8</v>
      </c>
      <c r="AX48" t="str">
        <f t="shared" si="19"/>
        <v>Support</v>
      </c>
      <c r="AY48" s="32">
        <f t="shared" si="20"/>
        <v>1</v>
      </c>
      <c r="AZ48">
        <f>step3_validation[[#This Row],[AI_TRU4]]</f>
        <v>6</v>
      </c>
      <c r="BA48" t="str">
        <f t="shared" si="21"/>
        <v>Neutral</v>
      </c>
      <c r="BB48">
        <f>survey_responses[[#This Row],[Tôi thấy Nhà nước đã giải thích rõ ràng, minh bạch về lý do và mục tiêu của việc sửa đổi thuế lần này. - HUMAN-TRU4]]</f>
        <v>9</v>
      </c>
      <c r="BC48" t="str">
        <f t="shared" si="22"/>
        <v>Support</v>
      </c>
      <c r="BD48" s="32">
        <f t="shared" si="23"/>
        <v>3</v>
      </c>
      <c r="BE48">
        <f>step3_validation[[#This Row],[AI_OUT1]]</f>
        <v>8</v>
      </c>
      <c r="BF48" t="str">
        <f t="shared" si="24"/>
        <v>Support</v>
      </c>
      <c r="BG48">
        <f>survey_responses[[#This Row],[Sau khi xem xét các quyền lợi và nghĩa vụ, bạn có ủng hộ và tuân thủ chính sách mới hiện nay? - HUMAN-OUT1]]</f>
        <v>8</v>
      </c>
      <c r="BH48" t="str">
        <f t="shared" si="25"/>
        <v>Support</v>
      </c>
      <c r="BI48" s="32">
        <f t="shared" si="26"/>
        <v>0</v>
      </c>
    </row>
    <row r="49" spans="1:61" x14ac:dyDescent="0.45">
      <c r="A49" s="30">
        <f>step3_validation[[#This Row],[Persona_ID]]</f>
        <v>48</v>
      </c>
      <c r="B49" s="31">
        <f>step3_validation[[#This Row],[Used_Seed]]</f>
        <v>48</v>
      </c>
      <c r="C49" t="str">
        <f>step3_validation[[#This Row],[Gender]]</f>
        <v>Nữ</v>
      </c>
      <c r="D49" t="str">
        <f>survey_responses[[#This Row],[Giới tính của bạn:]]</f>
        <v>Nữ</v>
      </c>
      <c r="E49" t="str">
        <f>step3_validation[[#This Row],[Age_Group]]</f>
        <v>30 - 39</v>
      </c>
      <c r="F49" t="str">
        <f>survey_responses[[#This Row],[Độ tuổi của bạn:]]</f>
        <v>30 - 39</v>
      </c>
      <c r="G49" t="str">
        <f>step3_validation[[#This Row],[Region]]</f>
        <v>Thành thị</v>
      </c>
      <c r="H49" t="str">
        <f>survey_responses[[#This Row],[Khu vực bạn đang sinh sống:]]</f>
        <v>Thành thị</v>
      </c>
      <c r="I49" t="str">
        <f>step3_validation[[#This Row],[Education]]</f>
        <v>Đại học</v>
      </c>
      <c r="J49" t="str">
        <f>survey_responses[[#This Row],[Trình độ học vấn cao nhất:]]</f>
        <v>Đại học</v>
      </c>
      <c r="K49" t="str">
        <f>step3_validation[[#This Row],[Employment]]</f>
        <v>Chính thức</v>
      </c>
      <c r="L49" t="str">
        <f>survey_responses[[#This Row],[Tình trạng việc làm chính:]]</f>
        <v>Khu vực chính thức (Có Hợp đồng lao động, đóng BHXH)</v>
      </c>
      <c r="M49">
        <f>step3_validation[[#This Row],[Income_Mil]]</f>
        <v>37.815498084283917</v>
      </c>
      <c r="N49" t="str">
        <f>survey_responses[[#This Row],[Thu nhập bình quân tháng theo Hợp đồng lao động của bạn là bao nhiêu? (Vui lòng điền tổng thu nhập trước khi khấu trừ các loại Bảo hiểm (BHXH, BHYT, BHTN) và Thuế TNCN)]]</f>
        <v>Từ 32 - 48 triệu VNĐ</v>
      </c>
      <c r="O49">
        <f>step3_validation[[#This Row],[Dependents]]</f>
        <v>3</v>
      </c>
      <c r="P49" t="str">
        <f>survey_responses[[#This Row],[Số người phụ thuộc (con nhỏ, cha mẹ già...) đủ điều kiện giảm trừ gia cảnh:]]</f>
        <v>3 người</v>
      </c>
      <c r="Q49">
        <f>step3_validation[[#This Row],[AI_ENF1]]</f>
        <v>7</v>
      </c>
      <c r="R49" t="str">
        <f t="shared" si="0"/>
        <v>Neutral</v>
      </c>
      <c r="S49">
        <f>survey_responses[[#This Row],[Tôi tin rằng với các quy định quản lý thuế hiện nay, hành vi gian lận hoặc trốn thuế sẽ dễ dàng bị phát hiện và xử lý nghiêm. - HUMAN-ENF1]]</f>
        <v>10</v>
      </c>
      <c r="T49" t="str">
        <f t="shared" si="1"/>
        <v>Support</v>
      </c>
      <c r="U49" s="32">
        <f t="shared" si="2"/>
        <v>3</v>
      </c>
      <c r="V49">
        <f>step3_validation[[#This Row],[AI_ENF2]]</f>
        <v>8</v>
      </c>
      <c r="W49" t="str">
        <f t="shared" si="3"/>
        <v>Support</v>
      </c>
      <c r="X49">
        <f>survey_responses[[#This Row],[Tôi tin rằng Nhà nước, cơ quan thuế có đủ khả năng và công nghệ để phát hiện, xử lý nghiêm các hành vi trốn thuế. - HUMAN-ENF2]]</f>
        <v>10</v>
      </c>
      <c r="Y49" t="str">
        <f t="shared" si="4"/>
        <v>Support</v>
      </c>
      <c r="Z49" s="32">
        <f t="shared" si="5"/>
        <v>2</v>
      </c>
      <c r="AA49">
        <f>step3_validation[[#This Row],[AI_FAC1]]</f>
        <v>9</v>
      </c>
      <c r="AB49" t="str">
        <f t="shared" si="6"/>
        <v>Support</v>
      </c>
      <c r="AC49">
        <f>survey_responses[[#This Row],[Các thủ tục khai báo thuế VÀ/HOẶC quy trình làm việc với cơ quan thuế đơn giản, tiện lợi, nhanh chóng hơn so với trước đây. - HUMAN-FAC1]]</f>
        <v>10</v>
      </c>
      <c r="AD49" t="str">
        <f t="shared" si="7"/>
        <v>Support</v>
      </c>
      <c r="AE49" s="32">
        <f t="shared" si="8"/>
        <v>1</v>
      </c>
      <c r="AF49">
        <f>step3_validation[[#This Row],[AI_FAC2]]</f>
        <v>8</v>
      </c>
      <c r="AG49" t="str">
        <f t="shared" si="9"/>
        <v>Support</v>
      </c>
      <c r="AH49">
        <f>survey_responses[[#This Row],[So với trước đây, tôi thấy cách tính thuế và các bậc thuế trong phương án mới đơn giản, dễ hiểu và dễ thực hiện hơn. - HUMAN-FAC2]]</f>
        <v>10</v>
      </c>
      <c r="AI49" t="str">
        <f t="shared" si="10"/>
        <v>Support</v>
      </c>
      <c r="AJ49" s="32">
        <f t="shared" si="11"/>
        <v>2</v>
      </c>
      <c r="AK49">
        <f>step3_validation[[#This Row],[AI_TRU1]]</f>
        <v>9</v>
      </c>
      <c r="AL49" t="str">
        <f t="shared" si="12"/>
        <v>Support</v>
      </c>
      <c r="AM49">
        <f>survey_responses[[#This Row],[Tôi tin rằng Nhà nước, cơ quan thuế sẽ thực thi chính sách mới một cách khách quan, công tâm và đối xử bình đẳng với mọi người nộp thuế.  - HUMAN-TRU1]]</f>
        <v>10</v>
      </c>
      <c r="AN49" t="str">
        <f t="shared" si="13"/>
        <v>Support</v>
      </c>
      <c r="AO49" s="32">
        <f t="shared" si="14"/>
        <v>1</v>
      </c>
      <c r="AP49">
        <f>step3_validation[[#This Row],[AI_TRU2]]</f>
        <v>9</v>
      </c>
      <c r="AQ49" t="str">
        <f t="shared" si="15"/>
        <v>Support</v>
      </c>
      <c r="AR49">
        <f>survey_responses[[#This Row],[Tôi thấy mức thuế tôi phải đóng theo phương án mới là công bằng (người thu nhập như tôi đóng mức này là hợp lý). - HUMAN-TRU2]]</f>
        <v>10</v>
      </c>
      <c r="AS49" t="str">
        <f t="shared" si="16"/>
        <v>Support</v>
      </c>
      <c r="AT49" s="32">
        <f t="shared" si="17"/>
        <v>1</v>
      </c>
      <c r="AU49">
        <f>step3_validation[[#This Row],[AI_TRU3]]</f>
        <v>8</v>
      </c>
      <c r="AV49" t="str">
        <f t="shared" si="18"/>
        <v>Support</v>
      </c>
      <c r="AW49">
        <f>survey_responses[[#This Row],[Tôi tin tưởng số tiền thuế tôi đóng sẽ được Nhà nước sử dụng hiệu quả để cải thiện dịch vụ công (y tế, đường xá...). - HUMAN-TRU3]]</f>
        <v>10</v>
      </c>
      <c r="AX49" t="str">
        <f t="shared" si="19"/>
        <v>Support</v>
      </c>
      <c r="AY49" s="32">
        <f t="shared" si="20"/>
        <v>2</v>
      </c>
      <c r="AZ49">
        <f>step3_validation[[#This Row],[AI_TRU4]]</f>
        <v>9</v>
      </c>
      <c r="BA49" t="str">
        <f t="shared" si="21"/>
        <v>Support</v>
      </c>
      <c r="BB49">
        <f>survey_responses[[#This Row],[Tôi thấy Nhà nước đã giải thích rõ ràng, minh bạch về lý do và mục tiêu của việc sửa đổi thuế lần này. - HUMAN-TRU4]]</f>
        <v>10</v>
      </c>
      <c r="BC49" t="str">
        <f t="shared" si="22"/>
        <v>Support</v>
      </c>
      <c r="BD49" s="32">
        <f t="shared" si="23"/>
        <v>1</v>
      </c>
      <c r="BE49">
        <f>step3_validation[[#This Row],[AI_OUT1]]</f>
        <v>8</v>
      </c>
      <c r="BF49" t="str">
        <f t="shared" si="24"/>
        <v>Support</v>
      </c>
      <c r="BG49">
        <f>survey_responses[[#This Row],[Sau khi xem xét các quyền lợi và nghĩa vụ, bạn có ủng hộ và tuân thủ chính sách mới hiện nay? - HUMAN-OUT1]]</f>
        <v>10</v>
      </c>
      <c r="BH49" t="str">
        <f t="shared" si="25"/>
        <v>Support</v>
      </c>
      <c r="BI49" s="32">
        <f t="shared" si="26"/>
        <v>2</v>
      </c>
    </row>
    <row r="50" spans="1:61" x14ac:dyDescent="0.45">
      <c r="A50" s="30">
        <f>step3_validation[[#This Row],[Persona_ID]]</f>
        <v>49</v>
      </c>
      <c r="B50" s="31">
        <f>step3_validation[[#This Row],[Used_Seed]]</f>
        <v>49</v>
      </c>
      <c r="C50" t="str">
        <f>step3_validation[[#This Row],[Gender]]</f>
        <v>Nam</v>
      </c>
      <c r="D50" t="str">
        <f>survey_responses[[#This Row],[Giới tính của bạn:]]</f>
        <v>Nam</v>
      </c>
      <c r="E50" t="str">
        <f>step3_validation[[#This Row],[Age_Group]]</f>
        <v>30 - 39</v>
      </c>
      <c r="F50" t="str">
        <f>survey_responses[[#This Row],[Độ tuổi của bạn:]]</f>
        <v>30 - 39</v>
      </c>
      <c r="G50" t="str">
        <f>step3_validation[[#This Row],[Region]]</f>
        <v>Thành thị</v>
      </c>
      <c r="H50" t="str">
        <f>survey_responses[[#This Row],[Khu vực bạn đang sinh sống:]]</f>
        <v>Thành thị</v>
      </c>
      <c r="I50" t="str">
        <f>step3_validation[[#This Row],[Education]]</f>
        <v>Đại học</v>
      </c>
      <c r="J50" t="str">
        <f>survey_responses[[#This Row],[Trình độ học vấn cao nhất:]]</f>
        <v>Đại học</v>
      </c>
      <c r="K50" t="str">
        <f>step3_validation[[#This Row],[Employment]]</f>
        <v>Chính thức</v>
      </c>
      <c r="L50" t="str">
        <f>survey_responses[[#This Row],[Tình trạng việc làm chính:]]</f>
        <v>Khu vực chính thức (Có Hợp đồng lao động, đóng BHXH)</v>
      </c>
      <c r="M50">
        <f>step3_validation[[#This Row],[Income_Mil]]</f>
        <v>155.70242045686817</v>
      </c>
      <c r="N50" t="str">
        <f>survey_responses[[#This Row],[Thu nhập bình quân tháng theo Hợp đồng lao động của bạn là bao nhiêu? (Vui lòng điền tổng thu nhập trước khi khấu trừ các loại Bảo hiểm (BHXH, BHYT, BHTN) và Thuế TNCN)]]</f>
        <v>Trên 102 triệu VNĐ</v>
      </c>
      <c r="O50">
        <f>step3_validation[[#This Row],[Dependents]]</f>
        <v>2</v>
      </c>
      <c r="P50" t="str">
        <f>survey_responses[[#This Row],[Số người phụ thuộc (con nhỏ, cha mẹ già...) đủ điều kiện giảm trừ gia cảnh:]]</f>
        <v>2 người</v>
      </c>
      <c r="Q50">
        <f>step3_validation[[#This Row],[AI_ENF1]]</f>
        <v>7</v>
      </c>
      <c r="R50" t="str">
        <f t="shared" si="0"/>
        <v>Neutral</v>
      </c>
      <c r="S50">
        <f>survey_responses[[#This Row],[Tôi tin rằng với các quy định quản lý thuế hiện nay, hành vi gian lận hoặc trốn thuế sẽ dễ dàng bị phát hiện và xử lý nghiêm. - HUMAN-ENF1]]</f>
        <v>8</v>
      </c>
      <c r="T50" t="str">
        <f t="shared" si="1"/>
        <v>Support</v>
      </c>
      <c r="U50" s="32">
        <f t="shared" si="2"/>
        <v>1</v>
      </c>
      <c r="V50">
        <f>step3_validation[[#This Row],[AI_ENF2]]</f>
        <v>6</v>
      </c>
      <c r="W50" t="str">
        <f t="shared" si="3"/>
        <v>Neutral</v>
      </c>
      <c r="X50">
        <f>survey_responses[[#This Row],[Tôi tin rằng Nhà nước, cơ quan thuế có đủ khả năng và công nghệ để phát hiện, xử lý nghiêm các hành vi trốn thuế. - HUMAN-ENF2]]</f>
        <v>8</v>
      </c>
      <c r="Y50" t="str">
        <f t="shared" si="4"/>
        <v>Support</v>
      </c>
      <c r="Z50" s="32">
        <f t="shared" si="5"/>
        <v>2</v>
      </c>
      <c r="AA50">
        <f>step3_validation[[#This Row],[AI_FAC1]]</f>
        <v>7</v>
      </c>
      <c r="AB50" t="str">
        <f t="shared" si="6"/>
        <v>Neutral</v>
      </c>
      <c r="AC50">
        <f>survey_responses[[#This Row],[Các thủ tục khai báo thuế VÀ/HOẶC quy trình làm việc với cơ quan thuế đơn giản, tiện lợi, nhanh chóng hơn so với trước đây. - HUMAN-FAC1]]</f>
        <v>7</v>
      </c>
      <c r="AD50" t="str">
        <f t="shared" si="7"/>
        <v>Neutral</v>
      </c>
      <c r="AE50" s="32">
        <f t="shared" si="8"/>
        <v>0</v>
      </c>
      <c r="AF50">
        <f>step3_validation[[#This Row],[AI_FAC2]]</f>
        <v>9</v>
      </c>
      <c r="AG50" t="str">
        <f t="shared" si="9"/>
        <v>Support</v>
      </c>
      <c r="AH50">
        <f>survey_responses[[#This Row],[So với trước đây, tôi thấy cách tính thuế và các bậc thuế trong phương án mới đơn giản, dễ hiểu và dễ thực hiện hơn. - HUMAN-FAC2]]</f>
        <v>8</v>
      </c>
      <c r="AI50" t="str">
        <f t="shared" si="10"/>
        <v>Support</v>
      </c>
      <c r="AJ50" s="32">
        <f t="shared" si="11"/>
        <v>1</v>
      </c>
      <c r="AK50">
        <f>step3_validation[[#This Row],[AI_TRU1]]</f>
        <v>8</v>
      </c>
      <c r="AL50" t="str">
        <f t="shared" si="12"/>
        <v>Support</v>
      </c>
      <c r="AM50">
        <f>survey_responses[[#This Row],[Tôi tin rằng Nhà nước, cơ quan thuế sẽ thực thi chính sách mới một cách khách quan, công tâm và đối xử bình đẳng với mọi người nộp thuế.  - HUMAN-TRU1]]</f>
        <v>6</v>
      </c>
      <c r="AN50" t="str">
        <f t="shared" si="13"/>
        <v>Neutral</v>
      </c>
      <c r="AO50" s="32">
        <f t="shared" si="14"/>
        <v>2</v>
      </c>
      <c r="AP50">
        <f>step3_validation[[#This Row],[AI_TRU2]]</f>
        <v>9</v>
      </c>
      <c r="AQ50" t="str">
        <f t="shared" si="15"/>
        <v>Support</v>
      </c>
      <c r="AR50">
        <f>survey_responses[[#This Row],[Tôi thấy mức thuế tôi phải đóng theo phương án mới là công bằng (người thu nhập như tôi đóng mức này là hợp lý). - HUMAN-TRU2]]</f>
        <v>8</v>
      </c>
      <c r="AS50" t="str">
        <f t="shared" si="16"/>
        <v>Support</v>
      </c>
      <c r="AT50" s="32">
        <f t="shared" si="17"/>
        <v>1</v>
      </c>
      <c r="AU50">
        <f>step3_validation[[#This Row],[AI_TRU3]]</f>
        <v>7</v>
      </c>
      <c r="AV50" t="str">
        <f t="shared" si="18"/>
        <v>Neutral</v>
      </c>
      <c r="AW50">
        <f>survey_responses[[#This Row],[Tôi tin tưởng số tiền thuế tôi đóng sẽ được Nhà nước sử dụng hiệu quả để cải thiện dịch vụ công (y tế, đường xá...). - HUMAN-TRU3]]</f>
        <v>6</v>
      </c>
      <c r="AX50" t="str">
        <f t="shared" si="19"/>
        <v>Neutral</v>
      </c>
      <c r="AY50" s="32">
        <f t="shared" si="20"/>
        <v>1</v>
      </c>
      <c r="AZ50">
        <f>step3_validation[[#This Row],[AI_TRU4]]</f>
        <v>6</v>
      </c>
      <c r="BA50" t="str">
        <f t="shared" si="21"/>
        <v>Neutral</v>
      </c>
      <c r="BB50">
        <f>survey_responses[[#This Row],[Tôi thấy Nhà nước đã giải thích rõ ràng, minh bạch về lý do và mục tiêu của việc sửa đổi thuế lần này. - HUMAN-TRU4]]</f>
        <v>5</v>
      </c>
      <c r="BC50" t="str">
        <f t="shared" si="22"/>
        <v>Neutral</v>
      </c>
      <c r="BD50" s="32">
        <f t="shared" si="23"/>
        <v>1</v>
      </c>
      <c r="BE50">
        <f>step3_validation[[#This Row],[AI_OUT1]]</f>
        <v>8</v>
      </c>
      <c r="BF50" t="str">
        <f t="shared" si="24"/>
        <v>Support</v>
      </c>
      <c r="BG50">
        <f>survey_responses[[#This Row],[Sau khi xem xét các quyền lợi và nghĩa vụ, bạn có ủng hộ và tuân thủ chính sách mới hiện nay? - HUMAN-OUT1]]</f>
        <v>8</v>
      </c>
      <c r="BH50" t="str">
        <f t="shared" si="25"/>
        <v>Support</v>
      </c>
      <c r="BI50" s="32">
        <f t="shared" si="26"/>
        <v>0</v>
      </c>
    </row>
    <row r="51" spans="1:61" x14ac:dyDescent="0.45">
      <c r="A51" s="30">
        <f>step3_validation[[#This Row],[Persona_ID]]</f>
        <v>50</v>
      </c>
      <c r="B51" s="31">
        <f>step3_validation[[#This Row],[Used_Seed]]</f>
        <v>50</v>
      </c>
      <c r="C51" t="str">
        <f>step3_validation[[#This Row],[Gender]]</f>
        <v>Nữ</v>
      </c>
      <c r="D51" t="str">
        <f>survey_responses[[#This Row],[Giới tính của bạn:]]</f>
        <v>Nữ</v>
      </c>
      <c r="E51" t="str">
        <f>step3_validation[[#This Row],[Age_Group]]</f>
        <v>30 - 39</v>
      </c>
      <c r="F51" t="str">
        <f>survey_responses[[#This Row],[Độ tuổi của bạn:]]</f>
        <v>30 - 39</v>
      </c>
      <c r="G51" t="str">
        <f>step3_validation[[#This Row],[Region]]</f>
        <v>Thành thị</v>
      </c>
      <c r="H51" t="str">
        <f>survey_responses[[#This Row],[Khu vực bạn đang sinh sống:]]</f>
        <v>Thành thị</v>
      </c>
      <c r="I51" t="str">
        <f>step3_validation[[#This Row],[Education]]</f>
        <v>Đại học</v>
      </c>
      <c r="J51" t="str">
        <f>survey_responses[[#This Row],[Trình độ học vấn cao nhất:]]</f>
        <v>Đại học</v>
      </c>
      <c r="K51" t="str">
        <f>step3_validation[[#This Row],[Employment]]</f>
        <v>Chính thức</v>
      </c>
      <c r="L51" t="str">
        <f>survey_responses[[#This Row],[Tình trạng việc làm chính:]]</f>
        <v>Khu vực chính thức (Có Hợp đồng lao động, đóng BHXH)</v>
      </c>
      <c r="M51">
        <f>step3_validation[[#This Row],[Income_Mil]]</f>
        <v>21.149690767546495</v>
      </c>
      <c r="N51" t="str">
        <f>survey_responses[[#This Row],[Thu nhập bình quân tháng theo Hợp đồng lao động của bạn là bao nhiêu? (Vui lòng điền tổng thu nhập trước khi khấu trừ các loại Bảo hiểm (BHXH, BHYT, BHTN) và Thuế TNCN)]]</f>
        <v>Từ 18 - 23 triệu VNĐ</v>
      </c>
      <c r="O51">
        <f>step3_validation[[#This Row],[Dependents]]</f>
        <v>3</v>
      </c>
      <c r="P51" t="str">
        <f>survey_responses[[#This Row],[Số người phụ thuộc (con nhỏ, cha mẹ già...) đủ điều kiện giảm trừ gia cảnh:]]</f>
        <v>3 người</v>
      </c>
      <c r="Q51">
        <f>step3_validation[[#This Row],[AI_ENF1]]</f>
        <v>8</v>
      </c>
      <c r="R51" t="str">
        <f t="shared" si="0"/>
        <v>Support</v>
      </c>
      <c r="S51">
        <f>survey_responses[[#This Row],[Tôi tin rằng với các quy định quản lý thuế hiện nay, hành vi gian lận hoặc trốn thuế sẽ dễ dàng bị phát hiện và xử lý nghiêm. - HUMAN-ENF1]]</f>
        <v>10</v>
      </c>
      <c r="T51" t="str">
        <f t="shared" si="1"/>
        <v>Support</v>
      </c>
      <c r="U51" s="32">
        <f t="shared" si="2"/>
        <v>2</v>
      </c>
      <c r="V51">
        <f>step3_validation[[#This Row],[AI_ENF2]]</f>
        <v>7</v>
      </c>
      <c r="W51" t="str">
        <f t="shared" si="3"/>
        <v>Neutral</v>
      </c>
      <c r="X51">
        <f>survey_responses[[#This Row],[Tôi tin rằng Nhà nước, cơ quan thuế có đủ khả năng và công nghệ để phát hiện, xử lý nghiêm các hành vi trốn thuế. - HUMAN-ENF2]]</f>
        <v>10</v>
      </c>
      <c r="Y51" t="str">
        <f t="shared" si="4"/>
        <v>Support</v>
      </c>
      <c r="Z51" s="32">
        <f t="shared" si="5"/>
        <v>3</v>
      </c>
      <c r="AA51">
        <f>step3_validation[[#This Row],[AI_FAC1]]</f>
        <v>9</v>
      </c>
      <c r="AB51" t="str">
        <f t="shared" si="6"/>
        <v>Support</v>
      </c>
      <c r="AC51">
        <f>survey_responses[[#This Row],[Các thủ tục khai báo thuế VÀ/HOẶC quy trình làm việc với cơ quan thuế đơn giản, tiện lợi, nhanh chóng hơn so với trước đây. - HUMAN-FAC1]]</f>
        <v>10</v>
      </c>
      <c r="AD51" t="str">
        <f t="shared" si="7"/>
        <v>Support</v>
      </c>
      <c r="AE51" s="32">
        <f t="shared" si="8"/>
        <v>1</v>
      </c>
      <c r="AF51">
        <f>step3_validation[[#This Row],[AI_FAC2]]</f>
        <v>8</v>
      </c>
      <c r="AG51" t="str">
        <f t="shared" si="9"/>
        <v>Support</v>
      </c>
      <c r="AH51">
        <f>survey_responses[[#This Row],[So với trước đây, tôi thấy cách tính thuế và các bậc thuế trong phương án mới đơn giản, dễ hiểu và dễ thực hiện hơn. - HUMAN-FAC2]]</f>
        <v>8</v>
      </c>
      <c r="AI51" t="str">
        <f t="shared" si="10"/>
        <v>Support</v>
      </c>
      <c r="AJ51" s="32">
        <f t="shared" si="11"/>
        <v>0</v>
      </c>
      <c r="AK51">
        <f>step3_validation[[#This Row],[AI_TRU1]]</f>
        <v>9</v>
      </c>
      <c r="AL51" t="str">
        <f t="shared" si="12"/>
        <v>Support</v>
      </c>
      <c r="AM51">
        <f>survey_responses[[#This Row],[Tôi tin rằng Nhà nước, cơ quan thuế sẽ thực thi chính sách mới một cách khách quan, công tâm và đối xử bình đẳng với mọi người nộp thuế.  - HUMAN-TRU1]]</f>
        <v>8</v>
      </c>
      <c r="AN51" t="str">
        <f t="shared" si="13"/>
        <v>Support</v>
      </c>
      <c r="AO51" s="32">
        <f t="shared" si="14"/>
        <v>1</v>
      </c>
      <c r="AP51">
        <f>step3_validation[[#This Row],[AI_TRU2]]</f>
        <v>8</v>
      </c>
      <c r="AQ51" t="str">
        <f t="shared" si="15"/>
        <v>Support</v>
      </c>
      <c r="AR51">
        <f>survey_responses[[#This Row],[Tôi thấy mức thuế tôi phải đóng theo phương án mới là công bằng (người thu nhập như tôi đóng mức này là hợp lý). - HUMAN-TRU2]]</f>
        <v>8</v>
      </c>
      <c r="AS51" t="str">
        <f t="shared" si="16"/>
        <v>Support</v>
      </c>
      <c r="AT51" s="32">
        <f t="shared" si="17"/>
        <v>0</v>
      </c>
      <c r="AU51">
        <f>step3_validation[[#This Row],[AI_TRU3]]</f>
        <v>9</v>
      </c>
      <c r="AV51" t="str">
        <f t="shared" si="18"/>
        <v>Support</v>
      </c>
      <c r="AW51">
        <f>survey_responses[[#This Row],[Tôi tin tưởng số tiền thuế tôi đóng sẽ được Nhà nước sử dụng hiệu quả để cải thiện dịch vụ công (y tế, đường xá...). - HUMAN-TRU3]]</f>
        <v>8</v>
      </c>
      <c r="AX51" t="str">
        <f t="shared" si="19"/>
        <v>Support</v>
      </c>
      <c r="AY51" s="32">
        <f t="shared" si="20"/>
        <v>1</v>
      </c>
      <c r="AZ51">
        <f>step3_validation[[#This Row],[AI_TRU4]]</f>
        <v>8</v>
      </c>
      <c r="BA51" t="str">
        <f t="shared" si="21"/>
        <v>Support</v>
      </c>
      <c r="BB51">
        <f>survey_responses[[#This Row],[Tôi thấy Nhà nước đã giải thích rõ ràng, minh bạch về lý do và mục tiêu của việc sửa đổi thuế lần này. - HUMAN-TRU4]]</f>
        <v>8</v>
      </c>
      <c r="BC51" t="str">
        <f t="shared" si="22"/>
        <v>Support</v>
      </c>
      <c r="BD51" s="32">
        <f t="shared" si="23"/>
        <v>0</v>
      </c>
      <c r="BE51">
        <f>step3_validation[[#This Row],[AI_OUT1]]</f>
        <v>9</v>
      </c>
      <c r="BF51" t="str">
        <f t="shared" si="24"/>
        <v>Support</v>
      </c>
      <c r="BG51">
        <f>survey_responses[[#This Row],[Sau khi xem xét các quyền lợi và nghĩa vụ, bạn có ủng hộ và tuân thủ chính sách mới hiện nay? - HUMAN-OUT1]]</f>
        <v>8</v>
      </c>
      <c r="BH51" t="str">
        <f t="shared" si="25"/>
        <v>Support</v>
      </c>
      <c r="BI51" s="32">
        <f t="shared" si="26"/>
        <v>1</v>
      </c>
    </row>
    <row r="52" spans="1:61" x14ac:dyDescent="0.45">
      <c r="A52" s="30">
        <f>step3_validation[[#This Row],[Persona_ID]]</f>
        <v>51</v>
      </c>
      <c r="B52" s="31">
        <f>step3_validation[[#This Row],[Used_Seed]]</f>
        <v>51</v>
      </c>
      <c r="C52" t="str">
        <f>step3_validation[[#This Row],[Gender]]</f>
        <v>Nam</v>
      </c>
      <c r="D52" t="str">
        <f>survey_responses[[#This Row],[Giới tính của bạn:]]</f>
        <v>Nam</v>
      </c>
      <c r="E52" t="str">
        <f>step3_validation[[#This Row],[Age_Group]]</f>
        <v>25 - 29</v>
      </c>
      <c r="F52" t="str">
        <f>survey_responses[[#This Row],[Độ tuổi của bạn:]]</f>
        <v>25 - 29</v>
      </c>
      <c r="G52" t="str">
        <f>step3_validation[[#This Row],[Region]]</f>
        <v>Thành thị</v>
      </c>
      <c r="H52" t="str">
        <f>survey_responses[[#This Row],[Khu vực bạn đang sinh sống:]]</f>
        <v>Thành thị</v>
      </c>
      <c r="I52" t="str">
        <f>step3_validation[[#This Row],[Education]]</f>
        <v>Đại học</v>
      </c>
      <c r="J52" t="str">
        <f>survey_responses[[#This Row],[Trình độ học vấn cao nhất:]]</f>
        <v>Đại học</v>
      </c>
      <c r="K52" t="str">
        <f>step3_validation[[#This Row],[Employment]]</f>
        <v>Chính thức</v>
      </c>
      <c r="L52" t="str">
        <f>survey_responses[[#This Row],[Tình trạng việc làm chính:]]</f>
        <v>Khu vực chính thức (Có Hợp đồng lao động, đóng BHXH)</v>
      </c>
      <c r="M52">
        <f>step3_validation[[#This Row],[Income_Mil]]</f>
        <v>16.712205981352085</v>
      </c>
      <c r="N52" t="str">
        <f>survey_responses[[#This Row],[Thu nhập bình quân tháng theo Hợp đồng lao động của bạn là bao nhiêu? (Vui lòng điền tổng thu nhập trước khi khấu trừ các loại Bảo hiểm (BHXH, BHYT, BHTN) và Thuế TNCN)]]</f>
        <v>Từ 12 - 18 triệu VNĐ</v>
      </c>
      <c r="O52">
        <f>step3_validation[[#This Row],[Dependents]]</f>
        <v>0</v>
      </c>
      <c r="P52" t="str">
        <f>survey_responses[[#This Row],[Số người phụ thuộc (con nhỏ, cha mẹ già...) đủ điều kiện giảm trừ gia cảnh:]]</f>
        <v>0 người</v>
      </c>
      <c r="Q52">
        <f>step3_validation[[#This Row],[AI_ENF1]]</f>
        <v>7</v>
      </c>
      <c r="R52" t="str">
        <f t="shared" si="0"/>
        <v>Neutral</v>
      </c>
      <c r="S52">
        <f>survey_responses[[#This Row],[Tôi tin rằng với các quy định quản lý thuế hiện nay, hành vi gian lận hoặc trốn thuế sẽ dễ dàng bị phát hiện và xử lý nghiêm. - HUMAN-ENF1]]</f>
        <v>10</v>
      </c>
      <c r="T52" t="str">
        <f t="shared" si="1"/>
        <v>Support</v>
      </c>
      <c r="U52" s="32">
        <f t="shared" si="2"/>
        <v>3</v>
      </c>
      <c r="V52">
        <f>step3_validation[[#This Row],[AI_ENF2]]</f>
        <v>8</v>
      </c>
      <c r="W52" t="str">
        <f t="shared" si="3"/>
        <v>Support</v>
      </c>
      <c r="X52">
        <f>survey_responses[[#This Row],[Tôi tin rằng Nhà nước, cơ quan thuế có đủ khả năng và công nghệ để phát hiện, xử lý nghiêm các hành vi trốn thuế. - HUMAN-ENF2]]</f>
        <v>10</v>
      </c>
      <c r="Y52" t="str">
        <f t="shared" si="4"/>
        <v>Support</v>
      </c>
      <c r="Z52" s="32">
        <f t="shared" si="5"/>
        <v>2</v>
      </c>
      <c r="AA52">
        <f>step3_validation[[#This Row],[AI_FAC1]]</f>
        <v>7</v>
      </c>
      <c r="AB52" t="str">
        <f t="shared" si="6"/>
        <v>Neutral</v>
      </c>
      <c r="AC52">
        <f>survey_responses[[#This Row],[Các thủ tục khai báo thuế VÀ/HOẶC quy trình làm việc với cơ quan thuế đơn giản, tiện lợi, nhanh chóng hơn so với trước đây. - HUMAN-FAC1]]</f>
        <v>10</v>
      </c>
      <c r="AD52" t="str">
        <f t="shared" si="7"/>
        <v>Support</v>
      </c>
      <c r="AE52" s="32">
        <f t="shared" si="8"/>
        <v>3</v>
      </c>
      <c r="AF52">
        <f>step3_validation[[#This Row],[AI_FAC2]]</f>
        <v>9</v>
      </c>
      <c r="AG52" t="str">
        <f t="shared" si="9"/>
        <v>Support</v>
      </c>
      <c r="AH52">
        <f>survey_responses[[#This Row],[So với trước đây, tôi thấy cách tính thuế và các bậc thuế trong phương án mới đơn giản, dễ hiểu và dễ thực hiện hơn. - HUMAN-FAC2]]</f>
        <v>10</v>
      </c>
      <c r="AI52" t="str">
        <f t="shared" si="10"/>
        <v>Support</v>
      </c>
      <c r="AJ52" s="32">
        <f t="shared" si="11"/>
        <v>1</v>
      </c>
      <c r="AK52">
        <f>step3_validation[[#This Row],[AI_TRU1]]</f>
        <v>8</v>
      </c>
      <c r="AL52" t="str">
        <f t="shared" si="12"/>
        <v>Support</v>
      </c>
      <c r="AM52">
        <f>survey_responses[[#This Row],[Tôi tin rằng Nhà nước, cơ quan thuế sẽ thực thi chính sách mới một cách khách quan, công tâm và đối xử bình đẳng với mọi người nộp thuế.  - HUMAN-TRU1]]</f>
        <v>10</v>
      </c>
      <c r="AN52" t="str">
        <f t="shared" si="13"/>
        <v>Support</v>
      </c>
      <c r="AO52" s="32">
        <f t="shared" si="14"/>
        <v>2</v>
      </c>
      <c r="AP52">
        <f>step3_validation[[#This Row],[AI_TRU2]]</f>
        <v>9</v>
      </c>
      <c r="AQ52" t="str">
        <f t="shared" si="15"/>
        <v>Support</v>
      </c>
      <c r="AR52">
        <f>survey_responses[[#This Row],[Tôi thấy mức thuế tôi phải đóng theo phương án mới là công bằng (người thu nhập như tôi đóng mức này là hợp lý). - HUMAN-TRU2]]</f>
        <v>10</v>
      </c>
      <c r="AS52" t="str">
        <f t="shared" si="16"/>
        <v>Support</v>
      </c>
      <c r="AT52" s="32">
        <f t="shared" si="17"/>
        <v>1</v>
      </c>
      <c r="AU52">
        <f>step3_validation[[#This Row],[AI_TRU3]]</f>
        <v>8</v>
      </c>
      <c r="AV52" t="str">
        <f t="shared" si="18"/>
        <v>Support</v>
      </c>
      <c r="AW52">
        <f>survey_responses[[#This Row],[Tôi tin tưởng số tiền thuế tôi đóng sẽ được Nhà nước sử dụng hiệu quả để cải thiện dịch vụ công (y tế, đường xá...). - HUMAN-TRU3]]</f>
        <v>10</v>
      </c>
      <c r="AX52" t="str">
        <f t="shared" si="19"/>
        <v>Support</v>
      </c>
      <c r="AY52" s="32">
        <f t="shared" si="20"/>
        <v>2</v>
      </c>
      <c r="AZ52">
        <f>step3_validation[[#This Row],[AI_TRU4]]</f>
        <v>9</v>
      </c>
      <c r="BA52" t="str">
        <f t="shared" si="21"/>
        <v>Support</v>
      </c>
      <c r="BB52">
        <f>survey_responses[[#This Row],[Tôi thấy Nhà nước đã giải thích rõ ràng, minh bạch về lý do và mục tiêu của việc sửa đổi thuế lần này. - HUMAN-TRU4]]</f>
        <v>10</v>
      </c>
      <c r="BC52" t="str">
        <f t="shared" si="22"/>
        <v>Support</v>
      </c>
      <c r="BD52" s="32">
        <f t="shared" si="23"/>
        <v>1</v>
      </c>
      <c r="BE52">
        <f>step3_validation[[#This Row],[AI_OUT1]]</f>
        <v>9</v>
      </c>
      <c r="BF52" t="str">
        <f t="shared" si="24"/>
        <v>Support</v>
      </c>
      <c r="BG52">
        <f>survey_responses[[#This Row],[Sau khi xem xét các quyền lợi và nghĩa vụ, bạn có ủng hộ và tuân thủ chính sách mới hiện nay? - HUMAN-OUT1]]</f>
        <v>10</v>
      </c>
      <c r="BH52" t="str">
        <f t="shared" si="25"/>
        <v>Support</v>
      </c>
      <c r="BI52" s="32">
        <f t="shared" si="26"/>
        <v>1</v>
      </c>
    </row>
    <row r="53" spans="1:61" x14ac:dyDescent="0.45">
      <c r="A53" s="30">
        <f>step3_validation[[#This Row],[Persona_ID]]</f>
        <v>52</v>
      </c>
      <c r="B53" s="31">
        <f>step3_validation[[#This Row],[Used_Seed]]</f>
        <v>52</v>
      </c>
      <c r="C53" t="str">
        <f>step3_validation[[#This Row],[Gender]]</f>
        <v>Nữ</v>
      </c>
      <c r="D53" t="str">
        <f>survey_responses[[#This Row],[Giới tính của bạn:]]</f>
        <v>Nữ</v>
      </c>
      <c r="E53" t="str">
        <f>step3_validation[[#This Row],[Age_Group]]</f>
        <v>25 - 29</v>
      </c>
      <c r="F53" t="str">
        <f>survey_responses[[#This Row],[Độ tuổi của bạn:]]</f>
        <v>25 - 29</v>
      </c>
      <c r="G53" t="str">
        <f>step3_validation[[#This Row],[Region]]</f>
        <v>Thành thị</v>
      </c>
      <c r="H53" t="str">
        <f>survey_responses[[#This Row],[Khu vực bạn đang sinh sống:]]</f>
        <v>Thành thị</v>
      </c>
      <c r="I53" t="str">
        <f>step3_validation[[#This Row],[Education]]</f>
        <v>Đại học</v>
      </c>
      <c r="J53" t="str">
        <f>survey_responses[[#This Row],[Trình độ học vấn cao nhất:]]</f>
        <v>Đại học</v>
      </c>
      <c r="K53" t="str">
        <f>step3_validation[[#This Row],[Employment]]</f>
        <v>Chính thức</v>
      </c>
      <c r="L53" t="str">
        <f>survey_responses[[#This Row],[Tình trạng việc làm chính:]]</f>
        <v>Khu vực chính thức (Có Hợp đồng lao động, đóng BHXH)</v>
      </c>
      <c r="M53">
        <f>step3_validation[[#This Row],[Income_Mil]]</f>
        <v>20.463051819209731</v>
      </c>
      <c r="N53" t="str">
        <f>survey_responses[[#This Row],[Thu nhập bình quân tháng theo Hợp đồng lao động của bạn là bao nhiêu? (Vui lòng điền tổng thu nhập trước khi khấu trừ các loại Bảo hiểm (BHXH, BHYT, BHTN) và Thuế TNCN)]]</f>
        <v>Từ 18 - 23 triệu VNĐ</v>
      </c>
      <c r="O53">
        <f>step3_validation[[#This Row],[Dependents]]</f>
        <v>1</v>
      </c>
      <c r="P53" t="str">
        <f>survey_responses[[#This Row],[Số người phụ thuộc (con nhỏ, cha mẹ già...) đủ điều kiện giảm trừ gia cảnh:]]</f>
        <v>1 người</v>
      </c>
      <c r="Q53">
        <f>step3_validation[[#This Row],[AI_ENF1]]</f>
        <v>6</v>
      </c>
      <c r="R53" t="str">
        <f t="shared" si="0"/>
        <v>Neutral</v>
      </c>
      <c r="S53">
        <f>survey_responses[[#This Row],[Tôi tin rằng với các quy định quản lý thuế hiện nay, hành vi gian lận hoặc trốn thuế sẽ dễ dàng bị phát hiện và xử lý nghiêm. - HUMAN-ENF1]]</f>
        <v>10</v>
      </c>
      <c r="T53" t="str">
        <f t="shared" si="1"/>
        <v>Support</v>
      </c>
      <c r="U53" s="32">
        <f t="shared" si="2"/>
        <v>4</v>
      </c>
      <c r="V53">
        <f>step3_validation[[#This Row],[AI_ENF2]]</f>
        <v>6</v>
      </c>
      <c r="W53" t="str">
        <f t="shared" si="3"/>
        <v>Neutral</v>
      </c>
      <c r="X53">
        <f>survey_responses[[#This Row],[Tôi tin rằng Nhà nước, cơ quan thuế có đủ khả năng và công nghệ để phát hiện, xử lý nghiêm các hành vi trốn thuế. - HUMAN-ENF2]]</f>
        <v>10</v>
      </c>
      <c r="Y53" t="str">
        <f t="shared" si="4"/>
        <v>Support</v>
      </c>
      <c r="Z53" s="32">
        <f t="shared" si="5"/>
        <v>4</v>
      </c>
      <c r="AA53">
        <f>step3_validation[[#This Row],[AI_FAC1]]</f>
        <v>8</v>
      </c>
      <c r="AB53" t="str">
        <f t="shared" si="6"/>
        <v>Support</v>
      </c>
      <c r="AC53">
        <f>survey_responses[[#This Row],[Các thủ tục khai báo thuế VÀ/HOẶC quy trình làm việc với cơ quan thuế đơn giản, tiện lợi, nhanh chóng hơn so với trước đây. - HUMAN-FAC1]]</f>
        <v>10</v>
      </c>
      <c r="AD53" t="str">
        <f t="shared" si="7"/>
        <v>Support</v>
      </c>
      <c r="AE53" s="32">
        <f t="shared" si="8"/>
        <v>2</v>
      </c>
      <c r="AF53">
        <f>step3_validation[[#This Row],[AI_FAC2]]</f>
        <v>9</v>
      </c>
      <c r="AG53" t="str">
        <f t="shared" si="9"/>
        <v>Support</v>
      </c>
      <c r="AH53">
        <f>survey_responses[[#This Row],[So với trước đây, tôi thấy cách tính thuế và các bậc thuế trong phương án mới đơn giản, dễ hiểu và dễ thực hiện hơn. - HUMAN-FAC2]]</f>
        <v>10</v>
      </c>
      <c r="AI53" t="str">
        <f t="shared" si="10"/>
        <v>Support</v>
      </c>
      <c r="AJ53" s="32">
        <f t="shared" si="11"/>
        <v>1</v>
      </c>
      <c r="AK53">
        <f>step3_validation[[#This Row],[AI_TRU1]]</f>
        <v>8</v>
      </c>
      <c r="AL53" t="str">
        <f t="shared" si="12"/>
        <v>Support</v>
      </c>
      <c r="AM53">
        <f>survey_responses[[#This Row],[Tôi tin rằng Nhà nước, cơ quan thuế sẽ thực thi chính sách mới một cách khách quan, công tâm và đối xử bình đẳng với mọi người nộp thuế.  - HUMAN-TRU1]]</f>
        <v>10</v>
      </c>
      <c r="AN53" t="str">
        <f t="shared" si="13"/>
        <v>Support</v>
      </c>
      <c r="AO53" s="32">
        <f t="shared" si="14"/>
        <v>2</v>
      </c>
      <c r="AP53">
        <f>step3_validation[[#This Row],[AI_TRU2]]</f>
        <v>9</v>
      </c>
      <c r="AQ53" t="str">
        <f t="shared" si="15"/>
        <v>Support</v>
      </c>
      <c r="AR53">
        <f>survey_responses[[#This Row],[Tôi thấy mức thuế tôi phải đóng theo phương án mới là công bằng (người thu nhập như tôi đóng mức này là hợp lý). - HUMAN-TRU2]]</f>
        <v>10</v>
      </c>
      <c r="AS53" t="str">
        <f t="shared" si="16"/>
        <v>Support</v>
      </c>
      <c r="AT53" s="32">
        <f t="shared" si="17"/>
        <v>1</v>
      </c>
      <c r="AU53">
        <f>step3_validation[[#This Row],[AI_TRU3]]</f>
        <v>8</v>
      </c>
      <c r="AV53" t="str">
        <f t="shared" si="18"/>
        <v>Support</v>
      </c>
      <c r="AW53">
        <f>survey_responses[[#This Row],[Tôi tin tưởng số tiền thuế tôi đóng sẽ được Nhà nước sử dụng hiệu quả để cải thiện dịch vụ công (y tế, đường xá...). - HUMAN-TRU3]]</f>
        <v>10</v>
      </c>
      <c r="AX53" t="str">
        <f t="shared" si="19"/>
        <v>Support</v>
      </c>
      <c r="AY53" s="32">
        <f t="shared" si="20"/>
        <v>2</v>
      </c>
      <c r="AZ53">
        <f>step3_validation[[#This Row],[AI_TRU4]]</f>
        <v>7</v>
      </c>
      <c r="BA53" t="str">
        <f t="shared" si="21"/>
        <v>Neutral</v>
      </c>
      <c r="BB53">
        <f>survey_responses[[#This Row],[Tôi thấy Nhà nước đã giải thích rõ ràng, minh bạch về lý do và mục tiêu của việc sửa đổi thuế lần này. - HUMAN-TRU4]]</f>
        <v>10</v>
      </c>
      <c r="BC53" t="str">
        <f t="shared" si="22"/>
        <v>Support</v>
      </c>
      <c r="BD53" s="32">
        <f t="shared" si="23"/>
        <v>3</v>
      </c>
      <c r="BE53">
        <f>step3_validation[[#This Row],[AI_OUT1]]</f>
        <v>8</v>
      </c>
      <c r="BF53" t="str">
        <f t="shared" si="24"/>
        <v>Support</v>
      </c>
      <c r="BG53">
        <f>survey_responses[[#This Row],[Sau khi xem xét các quyền lợi và nghĩa vụ, bạn có ủng hộ và tuân thủ chính sách mới hiện nay? - HUMAN-OUT1]]</f>
        <v>8</v>
      </c>
      <c r="BH53" t="str">
        <f t="shared" si="25"/>
        <v>Support</v>
      </c>
      <c r="BI53" s="32">
        <f t="shared" si="26"/>
        <v>0</v>
      </c>
    </row>
    <row r="54" spans="1:61" x14ac:dyDescent="0.45">
      <c r="A54" s="30">
        <f>step3_validation[[#This Row],[Persona_ID]]</f>
        <v>53</v>
      </c>
      <c r="B54" s="31">
        <f>step3_validation[[#This Row],[Used_Seed]]</f>
        <v>53</v>
      </c>
      <c r="C54" t="str">
        <f>step3_validation[[#This Row],[Gender]]</f>
        <v>Nam</v>
      </c>
      <c r="D54" t="str">
        <f>survey_responses[[#This Row],[Giới tính của bạn:]]</f>
        <v>Nam</v>
      </c>
      <c r="E54" t="str">
        <f>step3_validation[[#This Row],[Age_Group]]</f>
        <v>25 - 29</v>
      </c>
      <c r="F54" t="str">
        <f>survey_responses[[#This Row],[Độ tuổi của bạn:]]</f>
        <v>25 - 29</v>
      </c>
      <c r="G54" t="str">
        <f>step3_validation[[#This Row],[Region]]</f>
        <v>Thành thị</v>
      </c>
      <c r="H54" t="str">
        <f>survey_responses[[#This Row],[Khu vực bạn đang sinh sống:]]</f>
        <v>Thành thị</v>
      </c>
      <c r="I54" t="str">
        <f>step3_validation[[#This Row],[Education]]</f>
        <v>Sau Đại học</v>
      </c>
      <c r="J54" t="str">
        <f>survey_responses[[#This Row],[Trình độ học vấn cao nhất:]]</f>
        <v>Sau Đại học</v>
      </c>
      <c r="K54" t="str">
        <f>step3_validation[[#This Row],[Employment]]</f>
        <v>Chính thức</v>
      </c>
      <c r="L54" t="str">
        <f>survey_responses[[#This Row],[Tình trạng việc làm chính:]]</f>
        <v>Khu vực chính thức (Có Hợp đồng lao động, đóng BHXH)</v>
      </c>
      <c r="M54">
        <f>step3_validation[[#This Row],[Income_Mil]]</f>
        <v>12.055634972821331</v>
      </c>
      <c r="N54" t="str">
        <f>survey_responses[[#This Row],[Thu nhập bình quân tháng theo Hợp đồng lao động của bạn là bao nhiêu? (Vui lòng điền tổng thu nhập trước khi khấu trừ các loại Bảo hiểm (BHXH, BHYT, BHTN) và Thuế TNCN)]]</f>
        <v>Từ 12 - 18 triệu VNĐ</v>
      </c>
      <c r="O54">
        <f>step3_validation[[#This Row],[Dependents]]</f>
        <v>2</v>
      </c>
      <c r="P54" t="str">
        <f>survey_responses[[#This Row],[Số người phụ thuộc (con nhỏ, cha mẹ già...) đủ điều kiện giảm trừ gia cảnh:]]</f>
        <v>2 người</v>
      </c>
      <c r="Q54">
        <f>step3_validation[[#This Row],[AI_ENF1]]</f>
        <v>8</v>
      </c>
      <c r="R54" t="str">
        <f t="shared" si="0"/>
        <v>Support</v>
      </c>
      <c r="S54">
        <f>survey_responses[[#This Row],[Tôi tin rằng với các quy định quản lý thuế hiện nay, hành vi gian lận hoặc trốn thuế sẽ dễ dàng bị phát hiện và xử lý nghiêm. - HUMAN-ENF1]]</f>
        <v>10</v>
      </c>
      <c r="T54" t="str">
        <f t="shared" si="1"/>
        <v>Support</v>
      </c>
      <c r="U54" s="32">
        <f t="shared" si="2"/>
        <v>2</v>
      </c>
      <c r="V54">
        <f>step3_validation[[#This Row],[AI_ENF2]]</f>
        <v>9</v>
      </c>
      <c r="W54" t="str">
        <f t="shared" si="3"/>
        <v>Support</v>
      </c>
      <c r="X54">
        <f>survey_responses[[#This Row],[Tôi tin rằng Nhà nước, cơ quan thuế có đủ khả năng và công nghệ để phát hiện, xử lý nghiêm các hành vi trốn thuế. - HUMAN-ENF2]]</f>
        <v>10</v>
      </c>
      <c r="Y54" t="str">
        <f t="shared" si="4"/>
        <v>Support</v>
      </c>
      <c r="Z54" s="32">
        <f t="shared" si="5"/>
        <v>1</v>
      </c>
      <c r="AA54">
        <f>step3_validation[[#This Row],[AI_FAC1]]</f>
        <v>7</v>
      </c>
      <c r="AB54" t="str">
        <f t="shared" si="6"/>
        <v>Neutral</v>
      </c>
      <c r="AC54">
        <f>survey_responses[[#This Row],[Các thủ tục khai báo thuế VÀ/HOẶC quy trình làm việc với cơ quan thuế đơn giản, tiện lợi, nhanh chóng hơn so với trước đây. - HUMAN-FAC1]]</f>
        <v>10</v>
      </c>
      <c r="AD54" t="str">
        <f t="shared" si="7"/>
        <v>Support</v>
      </c>
      <c r="AE54" s="32">
        <f t="shared" si="8"/>
        <v>3</v>
      </c>
      <c r="AF54">
        <f>step3_validation[[#This Row],[AI_FAC2]]</f>
        <v>9</v>
      </c>
      <c r="AG54" t="str">
        <f t="shared" si="9"/>
        <v>Support</v>
      </c>
      <c r="AH54">
        <f>survey_responses[[#This Row],[So với trước đây, tôi thấy cách tính thuế và các bậc thuế trong phương án mới đơn giản, dễ hiểu và dễ thực hiện hơn. - HUMAN-FAC2]]</f>
        <v>10</v>
      </c>
      <c r="AI54" t="str">
        <f t="shared" si="10"/>
        <v>Support</v>
      </c>
      <c r="AJ54" s="32">
        <f t="shared" si="11"/>
        <v>1</v>
      </c>
      <c r="AK54">
        <f>step3_validation[[#This Row],[AI_TRU1]]</f>
        <v>8</v>
      </c>
      <c r="AL54" t="str">
        <f t="shared" si="12"/>
        <v>Support</v>
      </c>
      <c r="AM54">
        <f>survey_responses[[#This Row],[Tôi tin rằng Nhà nước, cơ quan thuế sẽ thực thi chính sách mới một cách khách quan, công tâm và đối xử bình đẳng với mọi người nộp thuế.  - HUMAN-TRU1]]</f>
        <v>10</v>
      </c>
      <c r="AN54" t="str">
        <f t="shared" si="13"/>
        <v>Support</v>
      </c>
      <c r="AO54" s="32">
        <f t="shared" si="14"/>
        <v>2</v>
      </c>
      <c r="AP54">
        <f>step3_validation[[#This Row],[AI_TRU2]]</f>
        <v>9</v>
      </c>
      <c r="AQ54" t="str">
        <f t="shared" si="15"/>
        <v>Support</v>
      </c>
      <c r="AR54">
        <f>survey_responses[[#This Row],[Tôi thấy mức thuế tôi phải đóng theo phương án mới là công bằng (người thu nhập như tôi đóng mức này là hợp lý). - HUMAN-TRU2]]</f>
        <v>10</v>
      </c>
      <c r="AS54" t="str">
        <f t="shared" si="16"/>
        <v>Support</v>
      </c>
      <c r="AT54" s="32">
        <f t="shared" si="17"/>
        <v>1</v>
      </c>
      <c r="AU54">
        <f>step3_validation[[#This Row],[AI_TRU3]]</f>
        <v>8</v>
      </c>
      <c r="AV54" t="str">
        <f t="shared" si="18"/>
        <v>Support</v>
      </c>
      <c r="AW54">
        <f>survey_responses[[#This Row],[Tôi tin tưởng số tiền thuế tôi đóng sẽ được Nhà nước sử dụng hiệu quả để cải thiện dịch vụ công (y tế, đường xá...). - HUMAN-TRU3]]</f>
        <v>10</v>
      </c>
      <c r="AX54" t="str">
        <f t="shared" si="19"/>
        <v>Support</v>
      </c>
      <c r="AY54" s="32">
        <f t="shared" si="20"/>
        <v>2</v>
      </c>
      <c r="AZ54">
        <f>step3_validation[[#This Row],[AI_TRU4]]</f>
        <v>7</v>
      </c>
      <c r="BA54" t="str">
        <f t="shared" si="21"/>
        <v>Neutral</v>
      </c>
      <c r="BB54">
        <f>survey_responses[[#This Row],[Tôi thấy Nhà nước đã giải thích rõ ràng, minh bạch về lý do và mục tiêu của việc sửa đổi thuế lần này. - HUMAN-TRU4]]</f>
        <v>10</v>
      </c>
      <c r="BC54" t="str">
        <f t="shared" si="22"/>
        <v>Support</v>
      </c>
      <c r="BD54" s="32">
        <f t="shared" si="23"/>
        <v>3</v>
      </c>
      <c r="BE54">
        <f>step3_validation[[#This Row],[AI_OUT1]]</f>
        <v>9</v>
      </c>
      <c r="BF54" t="str">
        <f t="shared" si="24"/>
        <v>Support</v>
      </c>
      <c r="BG54">
        <f>survey_responses[[#This Row],[Sau khi xem xét các quyền lợi và nghĩa vụ, bạn có ủng hộ và tuân thủ chính sách mới hiện nay? - HUMAN-OUT1]]</f>
        <v>10</v>
      </c>
      <c r="BH54" t="str">
        <f t="shared" si="25"/>
        <v>Support</v>
      </c>
      <c r="BI54" s="32">
        <f t="shared" si="26"/>
        <v>1</v>
      </c>
    </row>
    <row r="55" spans="1:61" x14ac:dyDescent="0.45">
      <c r="A55" s="30">
        <f>step3_validation[[#This Row],[Persona_ID]]</f>
        <v>54</v>
      </c>
      <c r="B55" s="31">
        <f>step3_validation[[#This Row],[Used_Seed]]</f>
        <v>54</v>
      </c>
      <c r="C55" t="str">
        <f>step3_validation[[#This Row],[Gender]]</f>
        <v>Nữ</v>
      </c>
      <c r="D55" t="str">
        <f>survey_responses[[#This Row],[Giới tính của bạn:]]</f>
        <v>Nữ</v>
      </c>
      <c r="E55" t="str">
        <f>step3_validation[[#This Row],[Age_Group]]</f>
        <v>40 - 49</v>
      </c>
      <c r="F55" t="str">
        <f>survey_responses[[#This Row],[Độ tuổi của bạn:]]</f>
        <v>40 - 49</v>
      </c>
      <c r="G55" t="str">
        <f>step3_validation[[#This Row],[Region]]</f>
        <v>Thành thị</v>
      </c>
      <c r="H55" t="str">
        <f>survey_responses[[#This Row],[Khu vực bạn đang sinh sống:]]</f>
        <v>Thành thị</v>
      </c>
      <c r="I55" t="str">
        <f>step3_validation[[#This Row],[Education]]</f>
        <v>Đại học</v>
      </c>
      <c r="J55" t="str">
        <f>survey_responses[[#This Row],[Trình độ học vấn cao nhất:]]</f>
        <v>Đại học</v>
      </c>
      <c r="K55" t="str">
        <f>step3_validation[[#This Row],[Employment]]</f>
        <v>Chính thức</v>
      </c>
      <c r="L55" t="str">
        <f>survey_responses[[#This Row],[Tình trạng việc làm chính:]]</f>
        <v>Khu vực chính thức (Có Hợp đồng lao động, đóng BHXH)</v>
      </c>
      <c r="M55">
        <f>step3_validation[[#This Row],[Income_Mil]]</f>
        <v>35.336773170078423</v>
      </c>
      <c r="N55" t="str">
        <f>survey_responses[[#This Row],[Thu nhập bình quân tháng theo Hợp đồng lao động của bạn là bao nhiêu? (Vui lòng điền tổng thu nhập trước khi khấu trừ các loại Bảo hiểm (BHXH, BHYT, BHTN) và Thuế TNCN)]]</f>
        <v>Từ 32 - 48 triệu VNĐ</v>
      </c>
      <c r="O55">
        <f>step3_validation[[#This Row],[Dependents]]</f>
        <v>2</v>
      </c>
      <c r="P55" t="str">
        <f>survey_responses[[#This Row],[Số người phụ thuộc (con nhỏ, cha mẹ già...) đủ điều kiện giảm trừ gia cảnh:]]</f>
        <v>2 người</v>
      </c>
      <c r="Q55">
        <f>step3_validation[[#This Row],[AI_ENF1]]</f>
        <v>5</v>
      </c>
      <c r="R55" t="str">
        <f t="shared" si="0"/>
        <v>Neutral</v>
      </c>
      <c r="S55">
        <f>survey_responses[[#This Row],[Tôi tin rằng với các quy định quản lý thuế hiện nay, hành vi gian lận hoặc trốn thuế sẽ dễ dàng bị phát hiện và xử lý nghiêm. - HUMAN-ENF1]]</f>
        <v>8</v>
      </c>
      <c r="T55" t="str">
        <f t="shared" si="1"/>
        <v>Support</v>
      </c>
      <c r="U55" s="32">
        <f t="shared" si="2"/>
        <v>3</v>
      </c>
      <c r="V55">
        <f>step3_validation[[#This Row],[AI_ENF2]]</f>
        <v>6</v>
      </c>
      <c r="W55" t="str">
        <f t="shared" si="3"/>
        <v>Neutral</v>
      </c>
      <c r="X55">
        <f>survey_responses[[#This Row],[Tôi tin rằng Nhà nước, cơ quan thuế có đủ khả năng và công nghệ để phát hiện, xử lý nghiêm các hành vi trốn thuế. - HUMAN-ENF2]]</f>
        <v>7</v>
      </c>
      <c r="Y55" t="str">
        <f t="shared" si="4"/>
        <v>Neutral</v>
      </c>
      <c r="Z55" s="32">
        <f t="shared" si="5"/>
        <v>1</v>
      </c>
      <c r="AA55">
        <f>step3_validation[[#This Row],[AI_FAC1]]</f>
        <v>8</v>
      </c>
      <c r="AB55" t="str">
        <f t="shared" si="6"/>
        <v>Support</v>
      </c>
      <c r="AC55">
        <f>survey_responses[[#This Row],[Các thủ tục khai báo thuế VÀ/HOẶC quy trình làm việc với cơ quan thuế đơn giản, tiện lợi, nhanh chóng hơn so với trước đây. - HUMAN-FAC1]]</f>
        <v>7</v>
      </c>
      <c r="AD55" t="str">
        <f t="shared" si="7"/>
        <v>Neutral</v>
      </c>
      <c r="AE55" s="32">
        <f t="shared" si="8"/>
        <v>1</v>
      </c>
      <c r="AF55">
        <f>step3_validation[[#This Row],[AI_FAC2]]</f>
        <v>9</v>
      </c>
      <c r="AG55" t="str">
        <f t="shared" si="9"/>
        <v>Support</v>
      </c>
      <c r="AH55">
        <f>survey_responses[[#This Row],[So với trước đây, tôi thấy cách tính thuế và các bậc thuế trong phương án mới đơn giản, dễ hiểu và dễ thực hiện hơn. - HUMAN-FAC2]]</f>
        <v>8</v>
      </c>
      <c r="AI55" t="str">
        <f t="shared" si="10"/>
        <v>Support</v>
      </c>
      <c r="AJ55" s="32">
        <f t="shared" si="11"/>
        <v>1</v>
      </c>
      <c r="AK55">
        <f>step3_validation[[#This Row],[AI_TRU1]]</f>
        <v>7</v>
      </c>
      <c r="AL55" t="str">
        <f t="shared" si="12"/>
        <v>Neutral</v>
      </c>
      <c r="AM55">
        <f>survey_responses[[#This Row],[Tôi tin rằng Nhà nước, cơ quan thuế sẽ thực thi chính sách mới một cách khách quan, công tâm và đối xử bình đẳng với mọi người nộp thuế.  - HUMAN-TRU1]]</f>
        <v>7</v>
      </c>
      <c r="AN55" t="str">
        <f t="shared" si="13"/>
        <v>Neutral</v>
      </c>
      <c r="AO55" s="32">
        <f t="shared" si="14"/>
        <v>0</v>
      </c>
      <c r="AP55">
        <f>step3_validation[[#This Row],[AI_TRU2]]</f>
        <v>8</v>
      </c>
      <c r="AQ55" t="str">
        <f t="shared" si="15"/>
        <v>Support</v>
      </c>
      <c r="AR55">
        <f>survey_responses[[#This Row],[Tôi thấy mức thuế tôi phải đóng theo phương án mới là công bằng (người thu nhập như tôi đóng mức này là hợp lý). - HUMAN-TRU2]]</f>
        <v>8</v>
      </c>
      <c r="AS55" t="str">
        <f t="shared" si="16"/>
        <v>Support</v>
      </c>
      <c r="AT55" s="32">
        <f t="shared" si="17"/>
        <v>0</v>
      </c>
      <c r="AU55">
        <f>step3_validation[[#This Row],[AI_TRU3]]</f>
        <v>6</v>
      </c>
      <c r="AV55" t="str">
        <f t="shared" si="18"/>
        <v>Neutral</v>
      </c>
      <c r="AW55">
        <f>survey_responses[[#This Row],[Tôi tin tưởng số tiền thuế tôi đóng sẽ được Nhà nước sử dụng hiệu quả để cải thiện dịch vụ công (y tế, đường xá...). - HUMAN-TRU3]]</f>
        <v>7</v>
      </c>
      <c r="AX55" t="str">
        <f t="shared" si="19"/>
        <v>Neutral</v>
      </c>
      <c r="AY55" s="32">
        <f t="shared" si="20"/>
        <v>1</v>
      </c>
      <c r="AZ55">
        <f>step3_validation[[#This Row],[AI_TRU4]]</f>
        <v>7</v>
      </c>
      <c r="BA55" t="str">
        <f t="shared" si="21"/>
        <v>Neutral</v>
      </c>
      <c r="BB55">
        <f>survey_responses[[#This Row],[Tôi thấy Nhà nước đã giải thích rõ ràng, minh bạch về lý do và mục tiêu của việc sửa đổi thuế lần này. - HUMAN-TRU4]]</f>
        <v>7</v>
      </c>
      <c r="BC55" t="str">
        <f t="shared" si="22"/>
        <v>Neutral</v>
      </c>
      <c r="BD55" s="32">
        <f t="shared" si="23"/>
        <v>0</v>
      </c>
      <c r="BE55">
        <f>step3_validation[[#This Row],[AI_OUT1]]</f>
        <v>8</v>
      </c>
      <c r="BF55" t="str">
        <f t="shared" si="24"/>
        <v>Support</v>
      </c>
      <c r="BG55">
        <f>survey_responses[[#This Row],[Sau khi xem xét các quyền lợi và nghĩa vụ, bạn có ủng hộ và tuân thủ chính sách mới hiện nay? - HUMAN-OUT1]]</f>
        <v>8</v>
      </c>
      <c r="BH55" t="str">
        <f t="shared" si="25"/>
        <v>Support</v>
      </c>
      <c r="BI55" s="32">
        <f t="shared" si="26"/>
        <v>0</v>
      </c>
    </row>
    <row r="56" spans="1:61" x14ac:dyDescent="0.45">
      <c r="A56" s="30">
        <f>step3_validation[[#This Row],[Persona_ID]]</f>
        <v>55</v>
      </c>
      <c r="B56" s="31">
        <f>step3_validation[[#This Row],[Used_Seed]]</f>
        <v>55</v>
      </c>
      <c r="C56" t="str">
        <f>step3_validation[[#This Row],[Gender]]</f>
        <v>Nữ</v>
      </c>
      <c r="D56" t="str">
        <f>survey_responses[[#This Row],[Giới tính của bạn:]]</f>
        <v>Nữ</v>
      </c>
      <c r="E56" t="str">
        <f>step3_validation[[#This Row],[Age_Group]]</f>
        <v>30 - 39</v>
      </c>
      <c r="F56" t="str">
        <f>survey_responses[[#This Row],[Độ tuổi của bạn:]]</f>
        <v>30 - 39</v>
      </c>
      <c r="G56" t="str">
        <f>step3_validation[[#This Row],[Region]]</f>
        <v>Thành thị</v>
      </c>
      <c r="H56" t="str">
        <f>survey_responses[[#This Row],[Khu vực bạn đang sinh sống:]]</f>
        <v>Thành thị</v>
      </c>
      <c r="I56" t="str">
        <f>step3_validation[[#This Row],[Education]]</f>
        <v>Đại học</v>
      </c>
      <c r="J56" t="str">
        <f>survey_responses[[#This Row],[Trình độ học vấn cao nhất:]]</f>
        <v>Đại học</v>
      </c>
      <c r="K56" t="str">
        <f>step3_validation[[#This Row],[Employment]]</f>
        <v>Chính thức</v>
      </c>
      <c r="L56" t="str">
        <f>survey_responses[[#This Row],[Tình trạng việc làm chính:]]</f>
        <v>Khu vực chính thức (Có Hợp đồng lao động, đóng BHXH)</v>
      </c>
      <c r="M56">
        <f>step3_validation[[#This Row],[Income_Mil]]</f>
        <v>44.483782751824258</v>
      </c>
      <c r="N56" t="str">
        <f>survey_responses[[#This Row],[Thu nhập bình quân tháng theo Hợp đồng lao động của bạn là bao nhiêu? (Vui lòng điền tổng thu nhập trước khi khấu trừ các loại Bảo hiểm (BHXH, BHYT, BHTN) và Thuế TNCN)]]</f>
        <v>Từ 32 - 48 triệu VNĐ</v>
      </c>
      <c r="O56">
        <f>step3_validation[[#This Row],[Dependents]]</f>
        <v>1</v>
      </c>
      <c r="P56" t="str">
        <f>survey_responses[[#This Row],[Số người phụ thuộc (con nhỏ, cha mẹ già...) đủ điều kiện giảm trừ gia cảnh:]]</f>
        <v>1 người</v>
      </c>
      <c r="Q56">
        <f>step3_validation[[#This Row],[AI_ENF1]]</f>
        <v>6</v>
      </c>
      <c r="R56" t="str">
        <f t="shared" si="0"/>
        <v>Neutral</v>
      </c>
      <c r="S56">
        <f>survey_responses[[#This Row],[Tôi tin rằng với các quy định quản lý thuế hiện nay, hành vi gian lận hoặc trốn thuế sẽ dễ dàng bị phát hiện và xử lý nghiêm. - HUMAN-ENF1]]</f>
        <v>10</v>
      </c>
      <c r="T56" t="str">
        <f t="shared" si="1"/>
        <v>Support</v>
      </c>
      <c r="U56" s="32">
        <f t="shared" si="2"/>
        <v>4</v>
      </c>
      <c r="V56">
        <f>step3_validation[[#This Row],[AI_ENF2]]</f>
        <v>7</v>
      </c>
      <c r="W56" t="str">
        <f t="shared" si="3"/>
        <v>Neutral</v>
      </c>
      <c r="X56">
        <f>survey_responses[[#This Row],[Tôi tin rằng Nhà nước, cơ quan thuế có đủ khả năng và công nghệ để phát hiện, xử lý nghiêm các hành vi trốn thuế. - HUMAN-ENF2]]</f>
        <v>9</v>
      </c>
      <c r="Y56" t="str">
        <f t="shared" si="4"/>
        <v>Support</v>
      </c>
      <c r="Z56" s="32">
        <f t="shared" si="5"/>
        <v>2</v>
      </c>
      <c r="AA56">
        <f>step3_validation[[#This Row],[AI_FAC1]]</f>
        <v>8</v>
      </c>
      <c r="AB56" t="str">
        <f t="shared" si="6"/>
        <v>Support</v>
      </c>
      <c r="AC56">
        <f>survey_responses[[#This Row],[Các thủ tục khai báo thuế VÀ/HOẶC quy trình làm việc với cơ quan thuế đơn giản, tiện lợi, nhanh chóng hơn so với trước đây. - HUMAN-FAC1]]</f>
        <v>3</v>
      </c>
      <c r="AD56" t="str">
        <f t="shared" si="7"/>
        <v>Oppose</v>
      </c>
      <c r="AE56" s="32">
        <f t="shared" si="8"/>
        <v>5</v>
      </c>
      <c r="AF56">
        <f>step3_validation[[#This Row],[AI_FAC2]]</f>
        <v>9</v>
      </c>
      <c r="AG56" t="str">
        <f t="shared" si="9"/>
        <v>Support</v>
      </c>
      <c r="AH56">
        <f>survey_responses[[#This Row],[So với trước đây, tôi thấy cách tính thuế và các bậc thuế trong phương án mới đơn giản, dễ hiểu và dễ thực hiện hơn. - HUMAN-FAC2]]</f>
        <v>4</v>
      </c>
      <c r="AI56" t="str">
        <f t="shared" si="10"/>
        <v>Oppose</v>
      </c>
      <c r="AJ56" s="32">
        <f t="shared" si="11"/>
        <v>5</v>
      </c>
      <c r="AK56">
        <f>step3_validation[[#This Row],[AI_TRU1]]</f>
        <v>8</v>
      </c>
      <c r="AL56" t="str">
        <f t="shared" si="12"/>
        <v>Support</v>
      </c>
      <c r="AM56">
        <f>survey_responses[[#This Row],[Tôi tin rằng Nhà nước, cơ quan thuế sẽ thực thi chính sách mới một cách khách quan, công tâm và đối xử bình đẳng với mọi người nộp thuế.  - HUMAN-TRU1]]</f>
        <v>3</v>
      </c>
      <c r="AN56" t="str">
        <f t="shared" si="13"/>
        <v>Oppose</v>
      </c>
      <c r="AO56" s="32">
        <f t="shared" si="14"/>
        <v>5</v>
      </c>
      <c r="AP56">
        <f>step3_validation[[#This Row],[AI_TRU2]]</f>
        <v>9</v>
      </c>
      <c r="AQ56" t="str">
        <f t="shared" si="15"/>
        <v>Support</v>
      </c>
      <c r="AR56">
        <f>survey_responses[[#This Row],[Tôi thấy mức thuế tôi phải đóng theo phương án mới là công bằng (người thu nhập như tôi đóng mức này là hợp lý). - HUMAN-TRU2]]</f>
        <v>3</v>
      </c>
      <c r="AS56" t="str">
        <f t="shared" si="16"/>
        <v>Oppose</v>
      </c>
      <c r="AT56" s="32">
        <f t="shared" si="17"/>
        <v>6</v>
      </c>
      <c r="AU56">
        <f>step3_validation[[#This Row],[AI_TRU3]]</f>
        <v>8</v>
      </c>
      <c r="AV56" t="str">
        <f t="shared" si="18"/>
        <v>Support</v>
      </c>
      <c r="AW56">
        <f>survey_responses[[#This Row],[Tôi tin tưởng số tiền thuế tôi đóng sẽ được Nhà nước sử dụng hiệu quả để cải thiện dịch vụ công (y tế, đường xá...). - HUMAN-TRU3]]</f>
        <v>1</v>
      </c>
      <c r="AX56" t="str">
        <f t="shared" si="19"/>
        <v>Oppose</v>
      </c>
      <c r="AY56" s="32">
        <f t="shared" si="20"/>
        <v>7</v>
      </c>
      <c r="AZ56">
        <f>step3_validation[[#This Row],[AI_TRU4]]</f>
        <v>7</v>
      </c>
      <c r="BA56" t="str">
        <f t="shared" si="21"/>
        <v>Neutral</v>
      </c>
      <c r="BB56">
        <f>survey_responses[[#This Row],[Tôi thấy Nhà nước đã giải thích rõ ràng, minh bạch về lý do và mục tiêu của việc sửa đổi thuế lần này. - HUMAN-TRU4]]</f>
        <v>1</v>
      </c>
      <c r="BC56" t="str">
        <f t="shared" si="22"/>
        <v>Oppose</v>
      </c>
      <c r="BD56" s="32">
        <f t="shared" si="23"/>
        <v>6</v>
      </c>
      <c r="BE56">
        <f>step3_validation[[#This Row],[AI_OUT1]]</f>
        <v>8</v>
      </c>
      <c r="BF56" t="str">
        <f t="shared" si="24"/>
        <v>Support</v>
      </c>
      <c r="BG56">
        <f>survey_responses[[#This Row],[Sau khi xem xét các quyền lợi và nghĩa vụ, bạn có ủng hộ và tuân thủ chính sách mới hiện nay? - HUMAN-OUT1]]</f>
        <v>3</v>
      </c>
      <c r="BH56" t="str">
        <f t="shared" si="25"/>
        <v>Oppose</v>
      </c>
      <c r="BI56" s="32">
        <f t="shared" si="26"/>
        <v>5</v>
      </c>
    </row>
    <row r="57" spans="1:61" x14ac:dyDescent="0.45">
      <c r="A57" s="30">
        <f>step3_validation[[#This Row],[Persona_ID]]</f>
        <v>56</v>
      </c>
      <c r="B57" s="31">
        <f>step3_validation[[#This Row],[Used_Seed]]</f>
        <v>56</v>
      </c>
      <c r="C57" t="str">
        <f>step3_validation[[#This Row],[Gender]]</f>
        <v>Nam</v>
      </c>
      <c r="D57" t="str">
        <f>survey_responses[[#This Row],[Giới tính của bạn:]]</f>
        <v>Nam</v>
      </c>
      <c r="E57" t="str">
        <f>step3_validation[[#This Row],[Age_Group]]</f>
        <v>25 - 29</v>
      </c>
      <c r="F57" t="str">
        <f>survey_responses[[#This Row],[Độ tuổi của bạn:]]</f>
        <v>25 - 29</v>
      </c>
      <c r="G57" t="str">
        <f>step3_validation[[#This Row],[Region]]</f>
        <v>Thành thị</v>
      </c>
      <c r="H57" t="str">
        <f>survey_responses[[#This Row],[Khu vực bạn đang sinh sống:]]</f>
        <v>Thành thị</v>
      </c>
      <c r="I57" t="str">
        <f>step3_validation[[#This Row],[Education]]</f>
        <v>Đại học</v>
      </c>
      <c r="J57" t="str">
        <f>survey_responses[[#This Row],[Trình độ học vấn cao nhất:]]</f>
        <v>Đại học</v>
      </c>
      <c r="K57" t="str">
        <f>step3_validation[[#This Row],[Employment]]</f>
        <v>Chính thức</v>
      </c>
      <c r="L57" t="str">
        <f>survey_responses[[#This Row],[Tình trạng việc làm chính:]]</f>
        <v>Khu vực chính thức (Có Hợp đồng lao động, đóng BHXH)</v>
      </c>
      <c r="M57">
        <f>step3_validation[[#This Row],[Income_Mil]]</f>
        <v>12</v>
      </c>
      <c r="N57" t="str">
        <f>survey_responses[[#This Row],[Thu nhập bình quân tháng theo Hợp đồng lao động của bạn là bao nhiêu? (Vui lòng điền tổng thu nhập trước khi khấu trừ các loại Bảo hiểm (BHXH, BHYT, BHTN) và Thuế TNCN)]]</f>
        <v>Dưới 12 triệu VNĐ</v>
      </c>
      <c r="O57">
        <f>step3_validation[[#This Row],[Dependents]]</f>
        <v>0</v>
      </c>
      <c r="P57" t="str">
        <f>survey_responses[[#This Row],[Số người phụ thuộc (con nhỏ, cha mẹ già...) đủ điều kiện giảm trừ gia cảnh:]]</f>
        <v>0 người</v>
      </c>
      <c r="Q57">
        <f>step3_validation[[#This Row],[AI_ENF1]]</f>
        <v>7</v>
      </c>
      <c r="R57" t="str">
        <f t="shared" si="0"/>
        <v>Neutral</v>
      </c>
      <c r="S57">
        <f>survey_responses[[#This Row],[Tôi tin rằng với các quy định quản lý thuế hiện nay, hành vi gian lận hoặc trốn thuế sẽ dễ dàng bị phát hiện và xử lý nghiêm. - HUMAN-ENF1]]</f>
        <v>10</v>
      </c>
      <c r="T57" t="str">
        <f t="shared" si="1"/>
        <v>Support</v>
      </c>
      <c r="U57" s="32">
        <f t="shared" si="2"/>
        <v>3</v>
      </c>
      <c r="V57">
        <f>step3_validation[[#This Row],[AI_ENF2]]</f>
        <v>8</v>
      </c>
      <c r="W57" t="str">
        <f t="shared" si="3"/>
        <v>Support</v>
      </c>
      <c r="X57">
        <f>survey_responses[[#This Row],[Tôi tin rằng Nhà nước, cơ quan thuế có đủ khả năng và công nghệ để phát hiện, xử lý nghiêm các hành vi trốn thuế. - HUMAN-ENF2]]</f>
        <v>10</v>
      </c>
      <c r="Y57" t="str">
        <f t="shared" si="4"/>
        <v>Support</v>
      </c>
      <c r="Z57" s="32">
        <f t="shared" si="5"/>
        <v>2</v>
      </c>
      <c r="AA57">
        <f>step3_validation[[#This Row],[AI_FAC1]]</f>
        <v>9</v>
      </c>
      <c r="AB57" t="str">
        <f t="shared" si="6"/>
        <v>Support</v>
      </c>
      <c r="AC57">
        <f>survey_responses[[#This Row],[Các thủ tục khai báo thuế VÀ/HOẶC quy trình làm việc với cơ quan thuế đơn giản, tiện lợi, nhanh chóng hơn so với trước đây. - HUMAN-FAC1]]</f>
        <v>9</v>
      </c>
      <c r="AD57" t="str">
        <f t="shared" si="7"/>
        <v>Support</v>
      </c>
      <c r="AE57" s="32">
        <f t="shared" si="8"/>
        <v>0</v>
      </c>
      <c r="AF57">
        <f>step3_validation[[#This Row],[AI_FAC2]]</f>
        <v>10</v>
      </c>
      <c r="AG57" t="str">
        <f t="shared" si="9"/>
        <v>Support</v>
      </c>
      <c r="AH57">
        <f>survey_responses[[#This Row],[So với trước đây, tôi thấy cách tính thuế và các bậc thuế trong phương án mới đơn giản, dễ hiểu và dễ thực hiện hơn. - HUMAN-FAC2]]</f>
        <v>10</v>
      </c>
      <c r="AI57" t="str">
        <f t="shared" si="10"/>
        <v>Support</v>
      </c>
      <c r="AJ57" s="32">
        <f t="shared" si="11"/>
        <v>0</v>
      </c>
      <c r="AK57">
        <f>step3_validation[[#This Row],[AI_TRU1]]</f>
        <v>8</v>
      </c>
      <c r="AL57" t="str">
        <f t="shared" si="12"/>
        <v>Support</v>
      </c>
      <c r="AM57">
        <f>survey_responses[[#This Row],[Tôi tin rằng Nhà nước, cơ quan thuế sẽ thực thi chính sách mới một cách khách quan, công tâm và đối xử bình đẳng với mọi người nộp thuế.  - HUMAN-TRU1]]</f>
        <v>9</v>
      </c>
      <c r="AN57" t="str">
        <f t="shared" si="13"/>
        <v>Support</v>
      </c>
      <c r="AO57" s="32">
        <f t="shared" si="14"/>
        <v>1</v>
      </c>
      <c r="AP57">
        <f>step3_validation[[#This Row],[AI_TRU2]]</f>
        <v>9</v>
      </c>
      <c r="AQ57" t="str">
        <f t="shared" si="15"/>
        <v>Support</v>
      </c>
      <c r="AR57">
        <f>survey_responses[[#This Row],[Tôi thấy mức thuế tôi phải đóng theo phương án mới là công bằng (người thu nhập như tôi đóng mức này là hợp lý). - HUMAN-TRU2]]</f>
        <v>10</v>
      </c>
      <c r="AS57" t="str">
        <f t="shared" si="16"/>
        <v>Support</v>
      </c>
      <c r="AT57" s="32">
        <f t="shared" si="17"/>
        <v>1</v>
      </c>
      <c r="AU57">
        <f>step3_validation[[#This Row],[AI_TRU3]]</f>
        <v>8</v>
      </c>
      <c r="AV57" t="str">
        <f t="shared" si="18"/>
        <v>Support</v>
      </c>
      <c r="AW57">
        <f>survey_responses[[#This Row],[Tôi tin tưởng số tiền thuế tôi đóng sẽ được Nhà nước sử dụng hiệu quả để cải thiện dịch vụ công (y tế, đường xá...). - HUMAN-TRU3]]</f>
        <v>9</v>
      </c>
      <c r="AX57" t="str">
        <f t="shared" si="19"/>
        <v>Support</v>
      </c>
      <c r="AY57" s="32">
        <f t="shared" si="20"/>
        <v>1</v>
      </c>
      <c r="AZ57">
        <f>step3_validation[[#This Row],[AI_TRU4]]</f>
        <v>7</v>
      </c>
      <c r="BA57" t="str">
        <f t="shared" si="21"/>
        <v>Neutral</v>
      </c>
      <c r="BB57">
        <f>survey_responses[[#This Row],[Tôi thấy Nhà nước đã giải thích rõ ràng, minh bạch về lý do và mục tiêu của việc sửa đổi thuế lần này. - HUMAN-TRU4]]</f>
        <v>10</v>
      </c>
      <c r="BC57" t="str">
        <f t="shared" si="22"/>
        <v>Support</v>
      </c>
      <c r="BD57" s="32">
        <f t="shared" si="23"/>
        <v>3</v>
      </c>
      <c r="BE57">
        <f>step3_validation[[#This Row],[AI_OUT1]]</f>
        <v>9</v>
      </c>
      <c r="BF57" t="str">
        <f t="shared" si="24"/>
        <v>Support</v>
      </c>
      <c r="BG57">
        <f>survey_responses[[#This Row],[Sau khi xem xét các quyền lợi và nghĩa vụ, bạn có ủng hộ và tuân thủ chính sách mới hiện nay? - HUMAN-OUT1]]</f>
        <v>9</v>
      </c>
      <c r="BH57" t="str">
        <f t="shared" si="25"/>
        <v>Support</v>
      </c>
      <c r="BI57" s="32">
        <f t="shared" si="26"/>
        <v>0</v>
      </c>
    </row>
    <row r="58" spans="1:61" x14ac:dyDescent="0.45">
      <c r="A58" s="30">
        <f>step3_validation[[#This Row],[Persona_ID]]</f>
        <v>57</v>
      </c>
      <c r="B58" s="31">
        <f>step3_validation[[#This Row],[Used_Seed]]</f>
        <v>57</v>
      </c>
      <c r="C58" t="str">
        <f>step3_validation[[#This Row],[Gender]]</f>
        <v>Nữ</v>
      </c>
      <c r="D58" t="str">
        <f>survey_responses[[#This Row],[Giới tính của bạn:]]</f>
        <v>Nữ</v>
      </c>
      <c r="E58" t="str">
        <f>step3_validation[[#This Row],[Age_Group]]</f>
        <v>30 - 39</v>
      </c>
      <c r="F58" t="str">
        <f>survey_responses[[#This Row],[Độ tuổi của bạn:]]</f>
        <v>30 - 39</v>
      </c>
      <c r="G58" t="str">
        <f>step3_validation[[#This Row],[Region]]</f>
        <v>Thành thị</v>
      </c>
      <c r="H58" t="str">
        <f>survey_responses[[#This Row],[Khu vực bạn đang sinh sống:]]</f>
        <v>Thành thị</v>
      </c>
      <c r="I58" t="str">
        <f>step3_validation[[#This Row],[Education]]</f>
        <v>Đại học</v>
      </c>
      <c r="J58" t="str">
        <f>survey_responses[[#This Row],[Trình độ học vấn cao nhất:]]</f>
        <v>Đại học</v>
      </c>
      <c r="K58" t="str">
        <f>step3_validation[[#This Row],[Employment]]</f>
        <v>Chính thức</v>
      </c>
      <c r="L58" t="str">
        <f>survey_responses[[#This Row],[Tình trạng việc làm chính:]]</f>
        <v>Khu vực chính thức (Có Hợp đồng lao động, đóng BHXH)</v>
      </c>
      <c r="M58">
        <f>step3_validation[[#This Row],[Income_Mil]]</f>
        <v>15.420833515777709</v>
      </c>
      <c r="N58" t="str">
        <f>survey_responses[[#This Row],[Thu nhập bình quân tháng theo Hợp đồng lao động của bạn là bao nhiêu? (Vui lòng điền tổng thu nhập trước khi khấu trừ các loại Bảo hiểm (BHXH, BHYT, BHTN) và Thuế TNCN)]]</f>
        <v>Từ 12 - 18 triệu VNĐ</v>
      </c>
      <c r="O58">
        <f>step3_validation[[#This Row],[Dependents]]</f>
        <v>2</v>
      </c>
      <c r="P58" t="str">
        <f>survey_responses[[#This Row],[Số người phụ thuộc (con nhỏ, cha mẹ già...) đủ điều kiện giảm trừ gia cảnh:]]</f>
        <v>2 người</v>
      </c>
      <c r="Q58">
        <f>step3_validation[[#This Row],[AI_ENF1]]</f>
        <v>7</v>
      </c>
      <c r="R58" t="str">
        <f t="shared" si="0"/>
        <v>Neutral</v>
      </c>
      <c r="S58">
        <f>survey_responses[[#This Row],[Tôi tin rằng với các quy định quản lý thuế hiện nay, hành vi gian lận hoặc trốn thuế sẽ dễ dàng bị phát hiện và xử lý nghiêm. - HUMAN-ENF1]]</f>
        <v>10</v>
      </c>
      <c r="T58" t="str">
        <f t="shared" si="1"/>
        <v>Support</v>
      </c>
      <c r="U58" s="32">
        <f t="shared" si="2"/>
        <v>3</v>
      </c>
      <c r="V58">
        <f>step3_validation[[#This Row],[AI_ENF2]]</f>
        <v>8</v>
      </c>
      <c r="W58" t="str">
        <f t="shared" si="3"/>
        <v>Support</v>
      </c>
      <c r="X58">
        <f>survey_responses[[#This Row],[Tôi tin rằng Nhà nước, cơ quan thuế có đủ khả năng và công nghệ để phát hiện, xử lý nghiêm các hành vi trốn thuế. - HUMAN-ENF2]]</f>
        <v>10</v>
      </c>
      <c r="Y58" t="str">
        <f t="shared" si="4"/>
        <v>Support</v>
      </c>
      <c r="Z58" s="32">
        <f t="shared" si="5"/>
        <v>2</v>
      </c>
      <c r="AA58">
        <f>step3_validation[[#This Row],[AI_FAC1]]</f>
        <v>7</v>
      </c>
      <c r="AB58" t="str">
        <f t="shared" si="6"/>
        <v>Neutral</v>
      </c>
      <c r="AC58">
        <f>survey_responses[[#This Row],[Các thủ tục khai báo thuế VÀ/HOẶC quy trình làm việc với cơ quan thuế đơn giản, tiện lợi, nhanh chóng hơn so với trước đây. - HUMAN-FAC1]]</f>
        <v>1</v>
      </c>
      <c r="AD58" t="str">
        <f t="shared" si="7"/>
        <v>Oppose</v>
      </c>
      <c r="AE58" s="32">
        <f t="shared" si="8"/>
        <v>6</v>
      </c>
      <c r="AF58">
        <f>step3_validation[[#This Row],[AI_FAC2]]</f>
        <v>9</v>
      </c>
      <c r="AG58" t="str">
        <f t="shared" si="9"/>
        <v>Support</v>
      </c>
      <c r="AH58">
        <f>survey_responses[[#This Row],[So với trước đây, tôi thấy cách tính thuế và các bậc thuế trong phương án mới đơn giản, dễ hiểu và dễ thực hiện hơn. - HUMAN-FAC2]]</f>
        <v>5</v>
      </c>
      <c r="AI58" t="str">
        <f t="shared" si="10"/>
        <v>Neutral</v>
      </c>
      <c r="AJ58" s="32">
        <f t="shared" si="11"/>
        <v>4</v>
      </c>
      <c r="AK58">
        <f>step3_validation[[#This Row],[AI_TRU1]]</f>
        <v>8</v>
      </c>
      <c r="AL58" t="str">
        <f t="shared" si="12"/>
        <v>Support</v>
      </c>
      <c r="AM58">
        <f>survey_responses[[#This Row],[Tôi tin rằng Nhà nước, cơ quan thuế sẽ thực thi chính sách mới một cách khách quan, công tâm và đối xử bình đẳng với mọi người nộp thuế.  - HUMAN-TRU1]]</f>
        <v>7</v>
      </c>
      <c r="AN58" t="str">
        <f t="shared" si="13"/>
        <v>Neutral</v>
      </c>
      <c r="AO58" s="32">
        <f t="shared" si="14"/>
        <v>1</v>
      </c>
      <c r="AP58">
        <f>step3_validation[[#This Row],[AI_TRU2]]</f>
        <v>9</v>
      </c>
      <c r="AQ58" t="str">
        <f t="shared" si="15"/>
        <v>Support</v>
      </c>
      <c r="AR58">
        <f>survey_responses[[#This Row],[Tôi thấy mức thuế tôi phải đóng theo phương án mới là công bằng (người thu nhập như tôi đóng mức này là hợp lý). - HUMAN-TRU2]]</f>
        <v>10</v>
      </c>
      <c r="AS58" t="str">
        <f t="shared" si="16"/>
        <v>Support</v>
      </c>
      <c r="AT58" s="32">
        <f t="shared" si="17"/>
        <v>1</v>
      </c>
      <c r="AU58">
        <f>step3_validation[[#This Row],[AI_TRU3]]</f>
        <v>8</v>
      </c>
      <c r="AV58" t="str">
        <f t="shared" si="18"/>
        <v>Support</v>
      </c>
      <c r="AW58">
        <f>survey_responses[[#This Row],[Tôi tin tưởng số tiền thuế tôi đóng sẽ được Nhà nước sử dụng hiệu quả để cải thiện dịch vụ công (y tế, đường xá...). - HUMAN-TRU3]]</f>
        <v>9</v>
      </c>
      <c r="AX58" t="str">
        <f t="shared" si="19"/>
        <v>Support</v>
      </c>
      <c r="AY58" s="32">
        <f t="shared" si="20"/>
        <v>1</v>
      </c>
      <c r="AZ58">
        <f>step3_validation[[#This Row],[AI_TRU4]]</f>
        <v>7</v>
      </c>
      <c r="BA58" t="str">
        <f t="shared" si="21"/>
        <v>Neutral</v>
      </c>
      <c r="BB58">
        <f>survey_responses[[#This Row],[Tôi thấy Nhà nước đã giải thích rõ ràng, minh bạch về lý do và mục tiêu của việc sửa đổi thuế lần này. - HUMAN-TRU4]]</f>
        <v>9</v>
      </c>
      <c r="BC58" t="str">
        <f t="shared" si="22"/>
        <v>Support</v>
      </c>
      <c r="BD58" s="32">
        <f t="shared" si="23"/>
        <v>2</v>
      </c>
      <c r="BE58">
        <f>step3_validation[[#This Row],[AI_OUT1]]</f>
        <v>9</v>
      </c>
      <c r="BF58" t="str">
        <f t="shared" si="24"/>
        <v>Support</v>
      </c>
      <c r="BG58">
        <f>survey_responses[[#This Row],[Sau khi xem xét các quyền lợi và nghĩa vụ, bạn có ủng hộ và tuân thủ chính sách mới hiện nay? - HUMAN-OUT1]]</f>
        <v>10</v>
      </c>
      <c r="BH58" t="str">
        <f t="shared" si="25"/>
        <v>Support</v>
      </c>
      <c r="BI58" s="32">
        <f t="shared" si="26"/>
        <v>1</v>
      </c>
    </row>
    <row r="59" spans="1:61" x14ac:dyDescent="0.45">
      <c r="A59" s="30">
        <f>step3_validation[[#This Row],[Persona_ID]]</f>
        <v>58</v>
      </c>
      <c r="B59" s="31">
        <f>step3_validation[[#This Row],[Used_Seed]]</f>
        <v>58</v>
      </c>
      <c r="C59" t="str">
        <f>step3_validation[[#This Row],[Gender]]</f>
        <v>Nữ</v>
      </c>
      <c r="D59" t="str">
        <f>survey_responses[[#This Row],[Giới tính của bạn:]]</f>
        <v>Nữ</v>
      </c>
      <c r="E59" t="str">
        <f>step3_validation[[#This Row],[Age_Group]]</f>
        <v>40 - 49</v>
      </c>
      <c r="F59" t="str">
        <f>survey_responses[[#This Row],[Độ tuổi của bạn:]]</f>
        <v>40 - 49</v>
      </c>
      <c r="G59" t="str">
        <f>step3_validation[[#This Row],[Region]]</f>
        <v>Thành thị</v>
      </c>
      <c r="H59" t="str">
        <f>survey_responses[[#This Row],[Khu vực bạn đang sinh sống:]]</f>
        <v>Thành thị</v>
      </c>
      <c r="I59" t="str">
        <f>step3_validation[[#This Row],[Education]]</f>
        <v>Sau Đại học</v>
      </c>
      <c r="J59" t="str">
        <f>survey_responses[[#This Row],[Trình độ học vấn cao nhất:]]</f>
        <v>Sau Đại học</v>
      </c>
      <c r="K59" t="str">
        <f>step3_validation[[#This Row],[Employment]]</f>
        <v>Chính thức</v>
      </c>
      <c r="L59" t="str">
        <f>survey_responses[[#This Row],[Tình trạng việc làm chính:]]</f>
        <v>Khu vực chính thức (Có Hợp đồng lao động, đóng BHXH)</v>
      </c>
      <c r="M59">
        <f>step3_validation[[#This Row],[Income_Mil]]</f>
        <v>25.472094404529958</v>
      </c>
      <c r="N59" t="str">
        <f>survey_responses[[#This Row],[Thu nhập bình quân tháng theo Hợp đồng lao động của bạn là bao nhiêu? (Vui lòng điền tổng thu nhập trước khi khấu trừ các loại Bảo hiểm (BHXH, BHYT, BHTN) và Thuế TNCN)]]</f>
        <v>Từ 23 - 32 triệu VNĐ</v>
      </c>
      <c r="O59">
        <f>step3_validation[[#This Row],[Dependents]]</f>
        <v>1</v>
      </c>
      <c r="P59" t="str">
        <f>survey_responses[[#This Row],[Số người phụ thuộc (con nhỏ, cha mẹ già...) đủ điều kiện giảm trừ gia cảnh:]]</f>
        <v>1 người</v>
      </c>
      <c r="Q59">
        <f>step3_validation[[#This Row],[AI_ENF1]]</f>
        <v>7</v>
      </c>
      <c r="R59" t="str">
        <f t="shared" si="0"/>
        <v>Neutral</v>
      </c>
      <c r="S59">
        <f>survey_responses[[#This Row],[Tôi tin rằng với các quy định quản lý thuế hiện nay, hành vi gian lận hoặc trốn thuế sẽ dễ dàng bị phát hiện và xử lý nghiêm. - HUMAN-ENF1]]</f>
        <v>5</v>
      </c>
      <c r="T59" t="str">
        <f t="shared" si="1"/>
        <v>Neutral</v>
      </c>
      <c r="U59" s="32">
        <f t="shared" si="2"/>
        <v>2</v>
      </c>
      <c r="V59">
        <f>step3_validation[[#This Row],[AI_ENF2]]</f>
        <v>8</v>
      </c>
      <c r="W59" t="str">
        <f t="shared" si="3"/>
        <v>Support</v>
      </c>
      <c r="X59">
        <f>survey_responses[[#This Row],[Tôi tin rằng Nhà nước, cơ quan thuế có đủ khả năng và công nghệ để phát hiện, xử lý nghiêm các hành vi trốn thuế. - HUMAN-ENF2]]</f>
        <v>5</v>
      </c>
      <c r="Y59" t="str">
        <f t="shared" si="4"/>
        <v>Neutral</v>
      </c>
      <c r="Z59" s="32">
        <f t="shared" si="5"/>
        <v>3</v>
      </c>
      <c r="AA59">
        <f>step3_validation[[#This Row],[AI_FAC1]]</f>
        <v>9</v>
      </c>
      <c r="AB59" t="str">
        <f t="shared" si="6"/>
        <v>Support</v>
      </c>
      <c r="AC59">
        <f>survey_responses[[#This Row],[Các thủ tục khai báo thuế VÀ/HOẶC quy trình làm việc với cơ quan thuế đơn giản, tiện lợi, nhanh chóng hơn so với trước đây. - HUMAN-FAC1]]</f>
        <v>4</v>
      </c>
      <c r="AD59" t="str">
        <f t="shared" si="7"/>
        <v>Oppose</v>
      </c>
      <c r="AE59" s="32">
        <f t="shared" si="8"/>
        <v>5</v>
      </c>
      <c r="AF59">
        <f>step3_validation[[#This Row],[AI_FAC2]]</f>
        <v>9</v>
      </c>
      <c r="AG59" t="str">
        <f t="shared" si="9"/>
        <v>Support</v>
      </c>
      <c r="AH59">
        <f>survey_responses[[#This Row],[So với trước đây, tôi thấy cách tính thuế và các bậc thuế trong phương án mới đơn giản, dễ hiểu và dễ thực hiện hơn. - HUMAN-FAC2]]</f>
        <v>8</v>
      </c>
      <c r="AI59" t="str">
        <f t="shared" si="10"/>
        <v>Support</v>
      </c>
      <c r="AJ59" s="32">
        <f t="shared" si="11"/>
        <v>1</v>
      </c>
      <c r="AK59">
        <f>step3_validation[[#This Row],[AI_TRU1]]</f>
        <v>8</v>
      </c>
      <c r="AL59" t="str">
        <f t="shared" si="12"/>
        <v>Support</v>
      </c>
      <c r="AM59">
        <f>survey_responses[[#This Row],[Tôi tin rằng Nhà nước, cơ quan thuế sẽ thực thi chính sách mới một cách khách quan, công tâm và đối xử bình đẳng với mọi người nộp thuế.  - HUMAN-TRU1]]</f>
        <v>5</v>
      </c>
      <c r="AN59" t="str">
        <f t="shared" si="13"/>
        <v>Neutral</v>
      </c>
      <c r="AO59" s="32">
        <f t="shared" si="14"/>
        <v>3</v>
      </c>
      <c r="AP59">
        <f>step3_validation[[#This Row],[AI_TRU2]]</f>
        <v>9</v>
      </c>
      <c r="AQ59" t="str">
        <f t="shared" si="15"/>
        <v>Support</v>
      </c>
      <c r="AR59">
        <f>survey_responses[[#This Row],[Tôi thấy mức thuế tôi phải đóng theo phương án mới là công bằng (người thu nhập như tôi đóng mức này là hợp lý). - HUMAN-TRU2]]</f>
        <v>7</v>
      </c>
      <c r="AS59" t="str">
        <f t="shared" si="16"/>
        <v>Neutral</v>
      </c>
      <c r="AT59" s="32">
        <f t="shared" si="17"/>
        <v>2</v>
      </c>
      <c r="AU59">
        <f>step3_validation[[#This Row],[AI_TRU3]]</f>
        <v>8</v>
      </c>
      <c r="AV59" t="str">
        <f t="shared" si="18"/>
        <v>Support</v>
      </c>
      <c r="AW59">
        <f>survey_responses[[#This Row],[Tôi tin tưởng số tiền thuế tôi đóng sẽ được Nhà nước sử dụng hiệu quả để cải thiện dịch vụ công (y tế, đường xá...). - HUMAN-TRU3]]</f>
        <v>7</v>
      </c>
      <c r="AX59" t="str">
        <f t="shared" si="19"/>
        <v>Neutral</v>
      </c>
      <c r="AY59" s="32">
        <f t="shared" si="20"/>
        <v>1</v>
      </c>
      <c r="AZ59">
        <f>step3_validation[[#This Row],[AI_TRU4]]</f>
        <v>7</v>
      </c>
      <c r="BA59" t="str">
        <f t="shared" si="21"/>
        <v>Neutral</v>
      </c>
      <c r="BB59">
        <f>survey_responses[[#This Row],[Tôi thấy Nhà nước đã giải thích rõ ràng, minh bạch về lý do và mục tiêu của việc sửa đổi thuế lần này. - HUMAN-TRU4]]</f>
        <v>7</v>
      </c>
      <c r="BC59" t="str">
        <f t="shared" si="22"/>
        <v>Neutral</v>
      </c>
      <c r="BD59" s="32">
        <f t="shared" si="23"/>
        <v>0</v>
      </c>
      <c r="BE59">
        <f>step3_validation[[#This Row],[AI_OUT1]]</f>
        <v>9</v>
      </c>
      <c r="BF59" t="str">
        <f t="shared" si="24"/>
        <v>Support</v>
      </c>
      <c r="BG59">
        <f>survey_responses[[#This Row],[Sau khi xem xét các quyền lợi và nghĩa vụ, bạn có ủng hộ và tuân thủ chính sách mới hiện nay? - HUMAN-OUT1]]</f>
        <v>7</v>
      </c>
      <c r="BH59" t="str">
        <f t="shared" si="25"/>
        <v>Neutral</v>
      </c>
      <c r="BI59" s="32">
        <f t="shared" si="26"/>
        <v>2</v>
      </c>
    </row>
    <row r="60" spans="1:61" x14ac:dyDescent="0.45">
      <c r="A60" s="30">
        <f>step3_validation[[#This Row],[Persona_ID]]</f>
        <v>59</v>
      </c>
      <c r="B60" s="31">
        <f>step3_validation[[#This Row],[Used_Seed]]</f>
        <v>59</v>
      </c>
      <c r="C60" t="str">
        <f>step3_validation[[#This Row],[Gender]]</f>
        <v>Nữ</v>
      </c>
      <c r="D60" t="str">
        <f>survey_responses[[#This Row],[Giới tính của bạn:]]</f>
        <v>Nữ</v>
      </c>
      <c r="E60" t="str">
        <f>step3_validation[[#This Row],[Age_Group]]</f>
        <v>18 - 24</v>
      </c>
      <c r="F60" t="str">
        <f>survey_responses[[#This Row],[Độ tuổi của bạn:]]</f>
        <v>18 - 24</v>
      </c>
      <c r="G60" t="str">
        <f>step3_validation[[#This Row],[Region]]</f>
        <v>Thành thị</v>
      </c>
      <c r="H60" t="str">
        <f>survey_responses[[#This Row],[Khu vực bạn đang sinh sống:]]</f>
        <v>Thành thị</v>
      </c>
      <c r="I60" t="str">
        <f>step3_validation[[#This Row],[Education]]</f>
        <v>Đại học</v>
      </c>
      <c r="J60" t="str">
        <f>survey_responses[[#This Row],[Trình độ học vấn cao nhất:]]</f>
        <v>Đại học</v>
      </c>
      <c r="K60" t="str">
        <f>step3_validation[[#This Row],[Employment]]</f>
        <v>Phi chính thức</v>
      </c>
      <c r="L60" t="str">
        <f>survey_responses[[#This Row],[Tình trạng việc làm chính:]]</f>
        <v>Khu vực phi chính thức (Lao động tự do, không có HĐLĐ)</v>
      </c>
      <c r="M60">
        <f>step3_validation[[#This Row],[Income_Mil]]</f>
        <v>12</v>
      </c>
      <c r="N60" t="str">
        <f>survey_responses[[#This Row],[Thu nhập bình quân tháng theo Hợp đồng lao động của bạn là bao nhiêu? (Vui lòng điền tổng thu nhập trước khi khấu trừ các loại Bảo hiểm (BHXH, BHYT, BHTN) và Thuế TNCN)]]</f>
        <v>Dưới 12 triệu VNĐ</v>
      </c>
      <c r="O60">
        <f>step3_validation[[#This Row],[Dependents]]</f>
        <v>0</v>
      </c>
      <c r="P60" t="str">
        <f>survey_responses[[#This Row],[Số người phụ thuộc (con nhỏ, cha mẹ già...) đủ điều kiện giảm trừ gia cảnh:]]</f>
        <v>0 người</v>
      </c>
      <c r="Q60">
        <f>step3_validation[[#This Row],[AI_ENF1]]</f>
        <v>9</v>
      </c>
      <c r="R60" t="str">
        <f t="shared" si="0"/>
        <v>Support</v>
      </c>
      <c r="S60">
        <f>survey_responses[[#This Row],[Tôi tin rằng với các quy định quản lý thuế hiện nay, hành vi gian lận hoặc trốn thuế sẽ dễ dàng bị phát hiện và xử lý nghiêm. - HUMAN-ENF1]]</f>
        <v>9</v>
      </c>
      <c r="T60" t="str">
        <f t="shared" si="1"/>
        <v>Support</v>
      </c>
      <c r="U60" s="32">
        <f t="shared" si="2"/>
        <v>0</v>
      </c>
      <c r="V60">
        <f>step3_validation[[#This Row],[AI_ENF2]]</f>
        <v>8</v>
      </c>
      <c r="W60" t="str">
        <f t="shared" si="3"/>
        <v>Support</v>
      </c>
      <c r="X60">
        <f>survey_responses[[#This Row],[Tôi tin rằng Nhà nước, cơ quan thuế có đủ khả năng và công nghệ để phát hiện, xử lý nghiêm các hành vi trốn thuế. - HUMAN-ENF2]]</f>
        <v>9</v>
      </c>
      <c r="Y60" t="str">
        <f t="shared" si="4"/>
        <v>Support</v>
      </c>
      <c r="Z60" s="32">
        <f t="shared" si="5"/>
        <v>1</v>
      </c>
      <c r="AA60">
        <f>step3_validation[[#This Row],[AI_FAC1]]</f>
        <v>9</v>
      </c>
      <c r="AB60" t="str">
        <f t="shared" si="6"/>
        <v>Support</v>
      </c>
      <c r="AC60">
        <f>survey_responses[[#This Row],[Các thủ tục khai báo thuế VÀ/HOẶC quy trình làm việc với cơ quan thuế đơn giản, tiện lợi, nhanh chóng hơn so với trước đây. - HUMAN-FAC1]]</f>
        <v>9</v>
      </c>
      <c r="AD60" t="str">
        <f t="shared" si="7"/>
        <v>Support</v>
      </c>
      <c r="AE60" s="32">
        <f t="shared" si="8"/>
        <v>0</v>
      </c>
      <c r="AF60">
        <f>step3_validation[[#This Row],[AI_FAC2]]</f>
        <v>8</v>
      </c>
      <c r="AG60" t="str">
        <f t="shared" si="9"/>
        <v>Support</v>
      </c>
      <c r="AH60">
        <f>survey_responses[[#This Row],[So với trước đây, tôi thấy cách tính thuế và các bậc thuế trong phương án mới đơn giản, dễ hiểu và dễ thực hiện hơn. - HUMAN-FAC2]]</f>
        <v>7</v>
      </c>
      <c r="AI60" t="str">
        <f t="shared" si="10"/>
        <v>Neutral</v>
      </c>
      <c r="AJ60" s="32">
        <f t="shared" si="11"/>
        <v>1</v>
      </c>
      <c r="AK60">
        <f>step3_validation[[#This Row],[AI_TRU1]]</f>
        <v>9</v>
      </c>
      <c r="AL60" t="str">
        <f t="shared" si="12"/>
        <v>Support</v>
      </c>
      <c r="AM60">
        <f>survey_responses[[#This Row],[Tôi tin rằng Nhà nước, cơ quan thuế sẽ thực thi chính sách mới một cách khách quan, công tâm và đối xử bình đẳng với mọi người nộp thuế.  - HUMAN-TRU1]]</f>
        <v>7</v>
      </c>
      <c r="AN60" t="str">
        <f t="shared" si="13"/>
        <v>Neutral</v>
      </c>
      <c r="AO60" s="32">
        <f t="shared" si="14"/>
        <v>2</v>
      </c>
      <c r="AP60">
        <f>step3_validation[[#This Row],[AI_TRU2]]</f>
        <v>9</v>
      </c>
      <c r="AQ60" t="str">
        <f t="shared" si="15"/>
        <v>Support</v>
      </c>
      <c r="AR60">
        <f>survey_responses[[#This Row],[Tôi thấy mức thuế tôi phải đóng theo phương án mới là công bằng (người thu nhập như tôi đóng mức này là hợp lý). - HUMAN-TRU2]]</f>
        <v>8</v>
      </c>
      <c r="AS60" t="str">
        <f t="shared" si="16"/>
        <v>Support</v>
      </c>
      <c r="AT60" s="32">
        <f t="shared" si="17"/>
        <v>1</v>
      </c>
      <c r="AU60">
        <f>step3_validation[[#This Row],[AI_TRU3]]</f>
        <v>8</v>
      </c>
      <c r="AV60" t="str">
        <f t="shared" si="18"/>
        <v>Support</v>
      </c>
      <c r="AW60">
        <f>survey_responses[[#This Row],[Tôi tin tưởng số tiền thuế tôi đóng sẽ được Nhà nước sử dụng hiệu quả để cải thiện dịch vụ công (y tế, đường xá...). - HUMAN-TRU3]]</f>
        <v>8</v>
      </c>
      <c r="AX60" t="str">
        <f t="shared" si="19"/>
        <v>Support</v>
      </c>
      <c r="AY60" s="32">
        <f t="shared" si="20"/>
        <v>0</v>
      </c>
      <c r="AZ60">
        <f>step3_validation[[#This Row],[AI_TRU4]]</f>
        <v>7</v>
      </c>
      <c r="BA60" t="str">
        <f t="shared" si="21"/>
        <v>Neutral</v>
      </c>
      <c r="BB60">
        <f>survey_responses[[#This Row],[Tôi thấy Nhà nước đã giải thích rõ ràng, minh bạch về lý do và mục tiêu của việc sửa đổi thuế lần này. - HUMAN-TRU4]]</f>
        <v>6</v>
      </c>
      <c r="BC60" t="str">
        <f t="shared" si="22"/>
        <v>Neutral</v>
      </c>
      <c r="BD60" s="32">
        <f t="shared" si="23"/>
        <v>1</v>
      </c>
      <c r="BE60">
        <f>step3_validation[[#This Row],[AI_OUT1]]</f>
        <v>9</v>
      </c>
      <c r="BF60" t="str">
        <f t="shared" si="24"/>
        <v>Support</v>
      </c>
      <c r="BG60">
        <f>survey_responses[[#This Row],[Sau khi xem xét các quyền lợi và nghĩa vụ, bạn có ủng hộ và tuân thủ chính sách mới hiện nay? - HUMAN-OUT1]]</f>
        <v>5</v>
      </c>
      <c r="BH60" t="str">
        <f t="shared" si="25"/>
        <v>Neutral</v>
      </c>
      <c r="BI60" s="32">
        <f t="shared" si="26"/>
        <v>4</v>
      </c>
    </row>
    <row r="61" spans="1:61" x14ac:dyDescent="0.45">
      <c r="A61" s="30">
        <f>step3_validation[[#This Row],[Persona_ID]]</f>
        <v>60</v>
      </c>
      <c r="B61" s="31">
        <f>step3_validation[[#This Row],[Used_Seed]]</f>
        <v>60</v>
      </c>
      <c r="C61" t="str">
        <f>step3_validation[[#This Row],[Gender]]</f>
        <v>Nam</v>
      </c>
      <c r="D61" t="str">
        <f>survey_responses[[#This Row],[Giới tính của bạn:]]</f>
        <v>Nam</v>
      </c>
      <c r="E61" t="str">
        <f>step3_validation[[#This Row],[Age_Group]]</f>
        <v>25 - 29</v>
      </c>
      <c r="F61" t="str">
        <f>survey_responses[[#This Row],[Độ tuổi của bạn:]]</f>
        <v>25 - 29</v>
      </c>
      <c r="G61" t="str">
        <f>step3_validation[[#This Row],[Region]]</f>
        <v>Thành thị</v>
      </c>
      <c r="H61" t="str">
        <f>survey_responses[[#This Row],[Khu vực bạn đang sinh sống:]]</f>
        <v>Thành thị</v>
      </c>
      <c r="I61" t="str">
        <f>step3_validation[[#This Row],[Education]]</f>
        <v>Đại học</v>
      </c>
      <c r="J61" t="str">
        <f>survey_responses[[#This Row],[Trình độ học vấn cao nhất:]]</f>
        <v>Đại học</v>
      </c>
      <c r="K61" t="str">
        <f>step3_validation[[#This Row],[Employment]]</f>
        <v>Chính thức</v>
      </c>
      <c r="L61" t="str">
        <f>survey_responses[[#This Row],[Tình trạng việc làm chính:]]</f>
        <v>Khu vực chính thức (Có Hợp đồng lao động, đóng BHXH)</v>
      </c>
      <c r="M61">
        <f>step3_validation[[#This Row],[Income_Mil]]</f>
        <v>13.621419063506382</v>
      </c>
      <c r="N61" t="str">
        <f>survey_responses[[#This Row],[Thu nhập bình quân tháng theo Hợp đồng lao động của bạn là bao nhiêu? (Vui lòng điền tổng thu nhập trước khi khấu trừ các loại Bảo hiểm (BHXH, BHYT, BHTN) và Thuế TNCN)]]</f>
        <v>Từ 12 - 18 triệu VNĐ</v>
      </c>
      <c r="O61">
        <f>step3_validation[[#This Row],[Dependents]]</f>
        <v>0</v>
      </c>
      <c r="P61" t="str">
        <f>survey_responses[[#This Row],[Số người phụ thuộc (con nhỏ, cha mẹ già...) đủ điều kiện giảm trừ gia cảnh:]]</f>
        <v>0 người</v>
      </c>
      <c r="Q61">
        <f>step3_validation[[#This Row],[AI_ENF1]]</f>
        <v>7</v>
      </c>
      <c r="R61" t="str">
        <f t="shared" si="0"/>
        <v>Neutral</v>
      </c>
      <c r="S61">
        <f>survey_responses[[#This Row],[Tôi tin rằng với các quy định quản lý thuế hiện nay, hành vi gian lận hoặc trốn thuế sẽ dễ dàng bị phát hiện và xử lý nghiêm. - HUMAN-ENF1]]</f>
        <v>5</v>
      </c>
      <c r="T61" t="str">
        <f t="shared" si="1"/>
        <v>Neutral</v>
      </c>
      <c r="U61" s="32">
        <f t="shared" si="2"/>
        <v>2</v>
      </c>
      <c r="V61">
        <f>step3_validation[[#This Row],[AI_ENF2]]</f>
        <v>8</v>
      </c>
      <c r="W61" t="str">
        <f t="shared" si="3"/>
        <v>Support</v>
      </c>
      <c r="X61">
        <f>survey_responses[[#This Row],[Tôi tin rằng Nhà nước, cơ quan thuế có đủ khả năng và công nghệ để phát hiện, xử lý nghiêm các hành vi trốn thuế. - HUMAN-ENF2]]</f>
        <v>5</v>
      </c>
      <c r="Y61" t="str">
        <f t="shared" si="4"/>
        <v>Neutral</v>
      </c>
      <c r="Z61" s="32">
        <f t="shared" si="5"/>
        <v>3</v>
      </c>
      <c r="AA61">
        <f>step3_validation[[#This Row],[AI_FAC1]]</f>
        <v>9</v>
      </c>
      <c r="AB61" t="str">
        <f t="shared" si="6"/>
        <v>Support</v>
      </c>
      <c r="AC61">
        <f>survey_responses[[#This Row],[Các thủ tục khai báo thuế VÀ/HOẶC quy trình làm việc với cơ quan thuế đơn giản, tiện lợi, nhanh chóng hơn so với trước đây. - HUMAN-FAC1]]</f>
        <v>5</v>
      </c>
      <c r="AD61" t="str">
        <f t="shared" si="7"/>
        <v>Neutral</v>
      </c>
      <c r="AE61" s="32">
        <f t="shared" si="8"/>
        <v>4</v>
      </c>
      <c r="AF61">
        <f>step3_validation[[#This Row],[AI_FAC2]]</f>
        <v>9</v>
      </c>
      <c r="AG61" t="str">
        <f t="shared" si="9"/>
        <v>Support</v>
      </c>
      <c r="AH61">
        <f>survey_responses[[#This Row],[So với trước đây, tôi thấy cách tính thuế và các bậc thuế trong phương án mới đơn giản, dễ hiểu và dễ thực hiện hơn. - HUMAN-FAC2]]</f>
        <v>5</v>
      </c>
      <c r="AI61" t="str">
        <f t="shared" si="10"/>
        <v>Neutral</v>
      </c>
      <c r="AJ61" s="32">
        <f t="shared" si="11"/>
        <v>4</v>
      </c>
      <c r="AK61">
        <f>step3_validation[[#This Row],[AI_TRU1]]</f>
        <v>8</v>
      </c>
      <c r="AL61" t="str">
        <f t="shared" si="12"/>
        <v>Support</v>
      </c>
      <c r="AM61">
        <f>survey_responses[[#This Row],[Tôi tin rằng Nhà nước, cơ quan thuế sẽ thực thi chính sách mới một cách khách quan, công tâm và đối xử bình đẳng với mọi người nộp thuế.  - HUMAN-TRU1]]</f>
        <v>5</v>
      </c>
      <c r="AN61" t="str">
        <f t="shared" si="13"/>
        <v>Neutral</v>
      </c>
      <c r="AO61" s="32">
        <f t="shared" si="14"/>
        <v>3</v>
      </c>
      <c r="AP61">
        <f>step3_validation[[#This Row],[AI_TRU2]]</f>
        <v>9</v>
      </c>
      <c r="AQ61" t="str">
        <f t="shared" si="15"/>
        <v>Support</v>
      </c>
      <c r="AR61">
        <f>survey_responses[[#This Row],[Tôi thấy mức thuế tôi phải đóng theo phương án mới là công bằng (người thu nhập như tôi đóng mức này là hợp lý). - HUMAN-TRU2]]</f>
        <v>8</v>
      </c>
      <c r="AS61" t="str">
        <f t="shared" si="16"/>
        <v>Support</v>
      </c>
      <c r="AT61" s="32">
        <f t="shared" si="17"/>
        <v>1</v>
      </c>
      <c r="AU61">
        <f>step3_validation[[#This Row],[AI_TRU3]]</f>
        <v>8</v>
      </c>
      <c r="AV61" t="str">
        <f t="shared" si="18"/>
        <v>Support</v>
      </c>
      <c r="AW61">
        <f>survey_responses[[#This Row],[Tôi tin tưởng số tiền thuế tôi đóng sẽ được Nhà nước sử dụng hiệu quả để cải thiện dịch vụ công (y tế, đường xá...). - HUMAN-TRU3]]</f>
        <v>4</v>
      </c>
      <c r="AX61" t="str">
        <f t="shared" si="19"/>
        <v>Oppose</v>
      </c>
      <c r="AY61" s="32">
        <f t="shared" si="20"/>
        <v>4</v>
      </c>
      <c r="AZ61">
        <f>step3_validation[[#This Row],[AI_TRU4]]</f>
        <v>9</v>
      </c>
      <c r="BA61" t="str">
        <f t="shared" si="21"/>
        <v>Support</v>
      </c>
      <c r="BB61">
        <f>survey_responses[[#This Row],[Tôi thấy Nhà nước đã giải thích rõ ràng, minh bạch về lý do và mục tiêu của việc sửa đổi thuế lần này. - HUMAN-TRU4]]</f>
        <v>5</v>
      </c>
      <c r="BC61" t="str">
        <f t="shared" si="22"/>
        <v>Neutral</v>
      </c>
      <c r="BD61" s="32">
        <f t="shared" si="23"/>
        <v>4</v>
      </c>
      <c r="BE61">
        <f>step3_validation[[#This Row],[AI_OUT1]]</f>
        <v>10</v>
      </c>
      <c r="BF61" t="str">
        <f t="shared" si="24"/>
        <v>Support</v>
      </c>
      <c r="BG61">
        <f>survey_responses[[#This Row],[Sau khi xem xét các quyền lợi và nghĩa vụ, bạn có ủng hộ và tuân thủ chính sách mới hiện nay? - HUMAN-OUT1]]</f>
        <v>5</v>
      </c>
      <c r="BH61" t="str">
        <f t="shared" si="25"/>
        <v>Neutral</v>
      </c>
      <c r="BI61" s="32">
        <f t="shared" si="26"/>
        <v>5</v>
      </c>
    </row>
    <row r="62" spans="1:61" x14ac:dyDescent="0.45">
      <c r="A62" s="30">
        <f>step3_validation[[#This Row],[Persona_ID]]</f>
        <v>61</v>
      </c>
      <c r="B62" s="31">
        <f>step3_validation[[#This Row],[Used_Seed]]</f>
        <v>61</v>
      </c>
      <c r="C62" t="str">
        <f>step3_validation[[#This Row],[Gender]]</f>
        <v>Nữ</v>
      </c>
      <c r="D62" t="str">
        <f>survey_responses[[#This Row],[Giới tính của bạn:]]</f>
        <v>Nữ</v>
      </c>
      <c r="E62" t="str">
        <f>step3_validation[[#This Row],[Age_Group]]</f>
        <v>30 - 39</v>
      </c>
      <c r="F62" t="str">
        <f>survey_responses[[#This Row],[Độ tuổi của bạn:]]</f>
        <v>30 - 39</v>
      </c>
      <c r="G62" t="str">
        <f>step3_validation[[#This Row],[Region]]</f>
        <v>Thành thị</v>
      </c>
      <c r="H62" t="str">
        <f>survey_responses[[#This Row],[Khu vực bạn đang sinh sống:]]</f>
        <v>Thành thị</v>
      </c>
      <c r="I62" t="str">
        <f>step3_validation[[#This Row],[Education]]</f>
        <v>Sau Đại học</v>
      </c>
      <c r="J62" t="str">
        <f>survey_responses[[#This Row],[Trình độ học vấn cao nhất:]]</f>
        <v>Sau Đại học</v>
      </c>
      <c r="K62" t="str">
        <f>step3_validation[[#This Row],[Employment]]</f>
        <v>Chính thức</v>
      </c>
      <c r="L62" t="str">
        <f>survey_responses[[#This Row],[Tình trạng việc làm chính:]]</f>
        <v>Khu vực chính thức (Có Hợp đồng lao động, đóng BHXH)</v>
      </c>
      <c r="M62">
        <f>step3_validation[[#This Row],[Income_Mil]]</f>
        <v>19.497497131510563</v>
      </c>
      <c r="N62" t="str">
        <f>survey_responses[[#This Row],[Thu nhập bình quân tháng theo Hợp đồng lao động của bạn là bao nhiêu? (Vui lòng điền tổng thu nhập trước khi khấu trừ các loại Bảo hiểm (BHXH, BHYT, BHTN) và Thuế TNCN)]]</f>
        <v>Từ 18 - 23 triệu VNĐ</v>
      </c>
      <c r="O62">
        <f>step3_validation[[#This Row],[Dependents]]</f>
        <v>1</v>
      </c>
      <c r="P62" t="str">
        <f>survey_responses[[#This Row],[Số người phụ thuộc (con nhỏ, cha mẹ già...) đủ điều kiện giảm trừ gia cảnh:]]</f>
        <v>1 người</v>
      </c>
      <c r="Q62">
        <f>step3_validation[[#This Row],[AI_ENF1]]</f>
        <v>7</v>
      </c>
      <c r="R62" t="str">
        <f t="shared" si="0"/>
        <v>Neutral</v>
      </c>
      <c r="S62">
        <f>survey_responses[[#This Row],[Tôi tin rằng với các quy định quản lý thuế hiện nay, hành vi gian lận hoặc trốn thuế sẽ dễ dàng bị phát hiện và xử lý nghiêm. - HUMAN-ENF1]]</f>
        <v>8</v>
      </c>
      <c r="T62" t="str">
        <f t="shared" si="1"/>
        <v>Support</v>
      </c>
      <c r="U62" s="32">
        <f t="shared" si="2"/>
        <v>1</v>
      </c>
      <c r="V62">
        <f>step3_validation[[#This Row],[AI_ENF2]]</f>
        <v>8</v>
      </c>
      <c r="W62" t="str">
        <f t="shared" si="3"/>
        <v>Support</v>
      </c>
      <c r="X62">
        <f>survey_responses[[#This Row],[Tôi tin rằng Nhà nước, cơ quan thuế có đủ khả năng và công nghệ để phát hiện, xử lý nghiêm các hành vi trốn thuế. - HUMAN-ENF2]]</f>
        <v>9</v>
      </c>
      <c r="Y62" t="str">
        <f t="shared" si="4"/>
        <v>Support</v>
      </c>
      <c r="Z62" s="32">
        <f t="shared" si="5"/>
        <v>1</v>
      </c>
      <c r="AA62">
        <f>step3_validation[[#This Row],[AI_FAC1]]</f>
        <v>9</v>
      </c>
      <c r="AB62" t="str">
        <f t="shared" si="6"/>
        <v>Support</v>
      </c>
      <c r="AC62">
        <f>survey_responses[[#This Row],[Các thủ tục khai báo thuế VÀ/HOẶC quy trình làm việc với cơ quan thuế đơn giản, tiện lợi, nhanh chóng hơn so với trước đây. - HUMAN-FAC1]]</f>
        <v>9</v>
      </c>
      <c r="AD62" t="str">
        <f t="shared" si="7"/>
        <v>Support</v>
      </c>
      <c r="AE62" s="32">
        <f t="shared" si="8"/>
        <v>0</v>
      </c>
      <c r="AF62">
        <f>step3_validation[[#This Row],[AI_FAC2]]</f>
        <v>9</v>
      </c>
      <c r="AG62" t="str">
        <f t="shared" si="9"/>
        <v>Support</v>
      </c>
      <c r="AH62">
        <f>survey_responses[[#This Row],[So với trước đây, tôi thấy cách tính thuế và các bậc thuế trong phương án mới đơn giản, dễ hiểu và dễ thực hiện hơn. - HUMAN-FAC2]]</f>
        <v>9</v>
      </c>
      <c r="AI62" t="str">
        <f t="shared" si="10"/>
        <v>Support</v>
      </c>
      <c r="AJ62" s="32">
        <f t="shared" si="11"/>
        <v>0</v>
      </c>
      <c r="AK62">
        <f>step3_validation[[#This Row],[AI_TRU1]]</f>
        <v>7</v>
      </c>
      <c r="AL62" t="str">
        <f t="shared" si="12"/>
        <v>Neutral</v>
      </c>
      <c r="AM62">
        <f>survey_responses[[#This Row],[Tôi tin rằng Nhà nước, cơ quan thuế sẽ thực thi chính sách mới một cách khách quan, công tâm và đối xử bình đẳng với mọi người nộp thuế.  - HUMAN-TRU1]]</f>
        <v>9</v>
      </c>
      <c r="AN62" t="str">
        <f t="shared" si="13"/>
        <v>Support</v>
      </c>
      <c r="AO62" s="32">
        <f t="shared" si="14"/>
        <v>2</v>
      </c>
      <c r="AP62">
        <f>step3_validation[[#This Row],[AI_TRU2]]</f>
        <v>8</v>
      </c>
      <c r="AQ62" t="str">
        <f t="shared" si="15"/>
        <v>Support</v>
      </c>
      <c r="AR62">
        <f>survey_responses[[#This Row],[Tôi thấy mức thuế tôi phải đóng theo phương án mới là công bằng (người thu nhập như tôi đóng mức này là hợp lý). - HUMAN-TRU2]]</f>
        <v>8</v>
      </c>
      <c r="AS62" t="str">
        <f t="shared" si="16"/>
        <v>Support</v>
      </c>
      <c r="AT62" s="32">
        <f t="shared" si="17"/>
        <v>0</v>
      </c>
      <c r="AU62">
        <f>step3_validation[[#This Row],[AI_TRU3]]</f>
        <v>7</v>
      </c>
      <c r="AV62" t="str">
        <f t="shared" si="18"/>
        <v>Neutral</v>
      </c>
      <c r="AW62">
        <f>survey_responses[[#This Row],[Tôi tin tưởng số tiền thuế tôi đóng sẽ được Nhà nước sử dụng hiệu quả để cải thiện dịch vụ công (y tế, đường xá...). - HUMAN-TRU3]]</f>
        <v>8</v>
      </c>
      <c r="AX62" t="str">
        <f t="shared" si="19"/>
        <v>Support</v>
      </c>
      <c r="AY62" s="32">
        <f t="shared" si="20"/>
        <v>1</v>
      </c>
      <c r="AZ62">
        <f>step3_validation[[#This Row],[AI_TRU4]]</f>
        <v>6</v>
      </c>
      <c r="BA62" t="str">
        <f t="shared" si="21"/>
        <v>Neutral</v>
      </c>
      <c r="BB62">
        <f>survey_responses[[#This Row],[Tôi thấy Nhà nước đã giải thích rõ ràng, minh bạch về lý do và mục tiêu của việc sửa đổi thuế lần này. - HUMAN-TRU4]]</f>
        <v>8</v>
      </c>
      <c r="BC62" t="str">
        <f t="shared" si="22"/>
        <v>Support</v>
      </c>
      <c r="BD62" s="32">
        <f t="shared" si="23"/>
        <v>2</v>
      </c>
      <c r="BE62">
        <f>step3_validation[[#This Row],[AI_OUT1]]</f>
        <v>9</v>
      </c>
      <c r="BF62" t="str">
        <f t="shared" si="24"/>
        <v>Support</v>
      </c>
      <c r="BG62">
        <f>survey_responses[[#This Row],[Sau khi xem xét các quyền lợi và nghĩa vụ, bạn có ủng hộ và tuân thủ chính sách mới hiện nay? - HUMAN-OUT1]]</f>
        <v>9</v>
      </c>
      <c r="BH62" t="str">
        <f t="shared" si="25"/>
        <v>Support</v>
      </c>
      <c r="BI62" s="32">
        <f t="shared" si="26"/>
        <v>0</v>
      </c>
    </row>
    <row r="63" spans="1:61" x14ac:dyDescent="0.45">
      <c r="A63" s="30">
        <f>step3_validation[[#This Row],[Persona_ID]]</f>
        <v>62</v>
      </c>
      <c r="B63" s="31">
        <f>step3_validation[[#This Row],[Used_Seed]]</f>
        <v>62</v>
      </c>
      <c r="C63" t="str">
        <f>step3_validation[[#This Row],[Gender]]</f>
        <v>Nữ</v>
      </c>
      <c r="D63" t="str">
        <f>survey_responses[[#This Row],[Giới tính của bạn:]]</f>
        <v>Nữ</v>
      </c>
      <c r="E63" t="str">
        <f>step3_validation[[#This Row],[Age_Group]]</f>
        <v>25 - 29</v>
      </c>
      <c r="F63" t="str">
        <f>survey_responses[[#This Row],[Độ tuổi của bạn:]]</f>
        <v>25 - 29</v>
      </c>
      <c r="G63" t="str">
        <f>step3_validation[[#This Row],[Region]]</f>
        <v>Thành thị</v>
      </c>
      <c r="H63" t="str">
        <f>survey_responses[[#This Row],[Khu vực bạn đang sinh sống:]]</f>
        <v>Thành thị</v>
      </c>
      <c r="I63" t="str">
        <f>step3_validation[[#This Row],[Education]]</f>
        <v>Sau Đại học</v>
      </c>
      <c r="J63" t="str">
        <f>survey_responses[[#This Row],[Trình độ học vấn cao nhất:]]</f>
        <v>Sau Đại học</v>
      </c>
      <c r="K63" t="str">
        <f>step3_validation[[#This Row],[Employment]]</f>
        <v>Chính thức</v>
      </c>
      <c r="L63" t="str">
        <f>survey_responses[[#This Row],[Tình trạng việc làm chính:]]</f>
        <v>Khu vực chính thức (Có Hợp đồng lao động, đóng BHXH)</v>
      </c>
      <c r="M63">
        <f>step3_validation[[#This Row],[Income_Mil]]</f>
        <v>27.874561334862651</v>
      </c>
      <c r="N63" t="str">
        <f>survey_responses[[#This Row],[Thu nhập bình quân tháng theo Hợp đồng lao động của bạn là bao nhiêu? (Vui lòng điền tổng thu nhập trước khi khấu trừ các loại Bảo hiểm (BHXH, BHYT, BHTN) và Thuế TNCN)]]</f>
        <v>Từ 23 - 32 triệu VNĐ</v>
      </c>
      <c r="O63">
        <f>step3_validation[[#This Row],[Dependents]]</f>
        <v>0</v>
      </c>
      <c r="P63" t="str">
        <f>survey_responses[[#This Row],[Số người phụ thuộc (con nhỏ, cha mẹ già...) đủ điều kiện giảm trừ gia cảnh:]]</f>
        <v>0 người</v>
      </c>
      <c r="Q63">
        <f>step3_validation[[#This Row],[AI_ENF1]]</f>
        <v>7</v>
      </c>
      <c r="R63" t="str">
        <f t="shared" si="0"/>
        <v>Neutral</v>
      </c>
      <c r="S63">
        <f>survey_responses[[#This Row],[Tôi tin rằng với các quy định quản lý thuế hiện nay, hành vi gian lận hoặc trốn thuế sẽ dễ dàng bị phát hiện và xử lý nghiêm. - HUMAN-ENF1]]</f>
        <v>9</v>
      </c>
      <c r="T63" t="str">
        <f t="shared" si="1"/>
        <v>Support</v>
      </c>
      <c r="U63" s="32">
        <f t="shared" si="2"/>
        <v>2</v>
      </c>
      <c r="V63">
        <f>step3_validation[[#This Row],[AI_ENF2]]</f>
        <v>8</v>
      </c>
      <c r="W63" t="str">
        <f t="shared" si="3"/>
        <v>Support</v>
      </c>
      <c r="X63">
        <f>survey_responses[[#This Row],[Tôi tin rằng Nhà nước, cơ quan thuế có đủ khả năng và công nghệ để phát hiện, xử lý nghiêm các hành vi trốn thuế. - HUMAN-ENF2]]</f>
        <v>9</v>
      </c>
      <c r="Y63" t="str">
        <f t="shared" si="4"/>
        <v>Support</v>
      </c>
      <c r="Z63" s="32">
        <f t="shared" si="5"/>
        <v>1</v>
      </c>
      <c r="AA63">
        <f>step3_validation[[#This Row],[AI_FAC1]]</f>
        <v>6</v>
      </c>
      <c r="AB63" t="str">
        <f t="shared" si="6"/>
        <v>Neutral</v>
      </c>
      <c r="AC63">
        <f>survey_responses[[#This Row],[Các thủ tục khai báo thuế VÀ/HOẶC quy trình làm việc với cơ quan thuế đơn giản, tiện lợi, nhanh chóng hơn so với trước đây. - HUMAN-FAC1]]</f>
        <v>7</v>
      </c>
      <c r="AD63" t="str">
        <f t="shared" si="7"/>
        <v>Neutral</v>
      </c>
      <c r="AE63" s="32">
        <f t="shared" si="8"/>
        <v>1</v>
      </c>
      <c r="AF63">
        <f>step3_validation[[#This Row],[AI_FAC2]]</f>
        <v>9</v>
      </c>
      <c r="AG63" t="str">
        <f t="shared" si="9"/>
        <v>Support</v>
      </c>
      <c r="AH63">
        <f>survey_responses[[#This Row],[So với trước đây, tôi thấy cách tính thuế và các bậc thuế trong phương án mới đơn giản, dễ hiểu và dễ thực hiện hơn. - HUMAN-FAC2]]</f>
        <v>6</v>
      </c>
      <c r="AI63" t="str">
        <f t="shared" si="10"/>
        <v>Neutral</v>
      </c>
      <c r="AJ63" s="32">
        <f t="shared" si="11"/>
        <v>3</v>
      </c>
      <c r="AK63">
        <f>step3_validation[[#This Row],[AI_TRU1]]</f>
        <v>7</v>
      </c>
      <c r="AL63" t="str">
        <f t="shared" si="12"/>
        <v>Neutral</v>
      </c>
      <c r="AM63">
        <f>survey_responses[[#This Row],[Tôi tin rằng Nhà nước, cơ quan thuế sẽ thực thi chính sách mới một cách khách quan, công tâm và đối xử bình đẳng với mọi người nộp thuế.  - HUMAN-TRU1]]</f>
        <v>7</v>
      </c>
      <c r="AN63" t="str">
        <f t="shared" si="13"/>
        <v>Neutral</v>
      </c>
      <c r="AO63" s="32">
        <f t="shared" si="14"/>
        <v>0</v>
      </c>
      <c r="AP63">
        <f>step3_validation[[#This Row],[AI_TRU2]]</f>
        <v>9</v>
      </c>
      <c r="AQ63" t="str">
        <f t="shared" si="15"/>
        <v>Support</v>
      </c>
      <c r="AR63">
        <f>survey_responses[[#This Row],[Tôi thấy mức thuế tôi phải đóng theo phương án mới là công bằng (người thu nhập như tôi đóng mức này là hợp lý). - HUMAN-TRU2]]</f>
        <v>5</v>
      </c>
      <c r="AS63" t="str">
        <f t="shared" si="16"/>
        <v>Neutral</v>
      </c>
      <c r="AT63" s="32">
        <f t="shared" si="17"/>
        <v>4</v>
      </c>
      <c r="AU63">
        <f>step3_validation[[#This Row],[AI_TRU3]]</f>
        <v>8</v>
      </c>
      <c r="AV63" t="str">
        <f t="shared" si="18"/>
        <v>Support</v>
      </c>
      <c r="AW63">
        <f>survey_responses[[#This Row],[Tôi tin tưởng số tiền thuế tôi đóng sẽ được Nhà nước sử dụng hiệu quả để cải thiện dịch vụ công (y tế, đường xá...). - HUMAN-TRU3]]</f>
        <v>6</v>
      </c>
      <c r="AX63" t="str">
        <f t="shared" si="19"/>
        <v>Neutral</v>
      </c>
      <c r="AY63" s="32">
        <f t="shared" si="20"/>
        <v>2</v>
      </c>
      <c r="AZ63">
        <f>step3_validation[[#This Row],[AI_TRU4]]</f>
        <v>6</v>
      </c>
      <c r="BA63" t="str">
        <f t="shared" si="21"/>
        <v>Neutral</v>
      </c>
      <c r="BB63">
        <f>survey_responses[[#This Row],[Tôi thấy Nhà nước đã giải thích rõ ràng, minh bạch về lý do và mục tiêu của việc sửa đổi thuế lần này. - HUMAN-TRU4]]</f>
        <v>8</v>
      </c>
      <c r="BC63" t="str">
        <f t="shared" si="22"/>
        <v>Support</v>
      </c>
      <c r="BD63" s="32">
        <f t="shared" si="23"/>
        <v>2</v>
      </c>
      <c r="BE63">
        <f>step3_validation[[#This Row],[AI_OUT1]]</f>
        <v>8</v>
      </c>
      <c r="BF63" t="str">
        <f t="shared" si="24"/>
        <v>Support</v>
      </c>
      <c r="BG63">
        <f>survey_responses[[#This Row],[Sau khi xem xét các quyền lợi và nghĩa vụ, bạn có ủng hộ và tuân thủ chính sách mới hiện nay? - HUMAN-OUT1]]</f>
        <v>5</v>
      </c>
      <c r="BH63" t="str">
        <f t="shared" si="25"/>
        <v>Neutral</v>
      </c>
      <c r="BI63" s="32">
        <f t="shared" si="26"/>
        <v>3</v>
      </c>
    </row>
    <row r="64" spans="1:61" x14ac:dyDescent="0.45">
      <c r="A64" s="30">
        <f>step3_validation[[#This Row],[Persona_ID]]</f>
        <v>63</v>
      </c>
      <c r="B64" s="31">
        <f>step3_validation[[#This Row],[Used_Seed]]</f>
        <v>63</v>
      </c>
      <c r="C64" t="str">
        <f>step3_validation[[#This Row],[Gender]]</f>
        <v>Nữ</v>
      </c>
      <c r="D64" t="str">
        <f>survey_responses[[#This Row],[Giới tính của bạn:]]</f>
        <v>Nữ</v>
      </c>
      <c r="E64" t="str">
        <f>step3_validation[[#This Row],[Age_Group]]</f>
        <v>50 - 54</v>
      </c>
      <c r="F64" t="str">
        <f>survey_responses[[#This Row],[Độ tuổi của bạn:]]</f>
        <v>50 - 54</v>
      </c>
      <c r="G64" t="str">
        <f>step3_validation[[#This Row],[Region]]</f>
        <v>Nông thôn</v>
      </c>
      <c r="H64" t="str">
        <f>survey_responses[[#This Row],[Khu vực bạn đang sinh sống:]]</f>
        <v>Nông thôn</v>
      </c>
      <c r="I64" t="str">
        <f>step3_validation[[#This Row],[Education]]</f>
        <v>Đại học</v>
      </c>
      <c r="J64" t="str">
        <f>survey_responses[[#This Row],[Trình độ học vấn cao nhất:]]</f>
        <v>Đại học</v>
      </c>
      <c r="K64" t="str">
        <f>step3_validation[[#This Row],[Employment]]</f>
        <v>Chính thức</v>
      </c>
      <c r="L64" t="str">
        <f>survey_responses[[#This Row],[Tình trạng việc làm chính:]]</f>
        <v>Khu vực chính thức (Có Hợp đồng lao động, đóng BHXH)</v>
      </c>
      <c r="M64">
        <f>step3_validation[[#This Row],[Income_Mil]]</f>
        <v>20.240317487582271</v>
      </c>
      <c r="N64" t="str">
        <f>survey_responses[[#This Row],[Thu nhập bình quân tháng theo Hợp đồng lao động của bạn là bao nhiêu? (Vui lòng điền tổng thu nhập trước khi khấu trừ các loại Bảo hiểm (BHXH, BHYT, BHTN) và Thuế TNCN)]]</f>
        <v>Từ 18 - 23 triệu VNĐ</v>
      </c>
      <c r="O64">
        <f>step3_validation[[#This Row],[Dependents]]</f>
        <v>1</v>
      </c>
      <c r="P64" t="str">
        <f>survey_responses[[#This Row],[Số người phụ thuộc (con nhỏ, cha mẹ già...) đủ điều kiện giảm trừ gia cảnh:]]</f>
        <v>1 người</v>
      </c>
      <c r="Q64">
        <f>step3_validation[[#This Row],[AI_ENF1]]</f>
        <v>7</v>
      </c>
      <c r="R64" t="str">
        <f t="shared" si="0"/>
        <v>Neutral</v>
      </c>
      <c r="S64">
        <f>survey_responses[[#This Row],[Tôi tin rằng với các quy định quản lý thuế hiện nay, hành vi gian lận hoặc trốn thuế sẽ dễ dàng bị phát hiện và xử lý nghiêm. - HUMAN-ENF1]]</f>
        <v>9</v>
      </c>
      <c r="T64" t="str">
        <f t="shared" si="1"/>
        <v>Support</v>
      </c>
      <c r="U64" s="32">
        <f t="shared" si="2"/>
        <v>2</v>
      </c>
      <c r="V64">
        <f>step3_validation[[#This Row],[AI_ENF2]]</f>
        <v>8</v>
      </c>
      <c r="W64" t="str">
        <f t="shared" si="3"/>
        <v>Support</v>
      </c>
      <c r="X64">
        <f>survey_responses[[#This Row],[Tôi tin rằng Nhà nước, cơ quan thuế có đủ khả năng và công nghệ để phát hiện, xử lý nghiêm các hành vi trốn thuế. - HUMAN-ENF2]]</f>
        <v>9</v>
      </c>
      <c r="Y64" t="str">
        <f t="shared" si="4"/>
        <v>Support</v>
      </c>
      <c r="Z64" s="32">
        <f t="shared" si="5"/>
        <v>1</v>
      </c>
      <c r="AA64">
        <f>step3_validation[[#This Row],[AI_FAC1]]</f>
        <v>9</v>
      </c>
      <c r="AB64" t="str">
        <f t="shared" si="6"/>
        <v>Support</v>
      </c>
      <c r="AC64">
        <f>survey_responses[[#This Row],[Các thủ tục khai báo thuế VÀ/HOẶC quy trình làm việc với cơ quan thuế đơn giản, tiện lợi, nhanh chóng hơn so với trước đây. - HUMAN-FAC1]]</f>
        <v>9</v>
      </c>
      <c r="AD64" t="str">
        <f t="shared" si="7"/>
        <v>Support</v>
      </c>
      <c r="AE64" s="32">
        <f t="shared" si="8"/>
        <v>0</v>
      </c>
      <c r="AF64">
        <f>step3_validation[[#This Row],[AI_FAC2]]</f>
        <v>10</v>
      </c>
      <c r="AG64" t="str">
        <f t="shared" si="9"/>
        <v>Support</v>
      </c>
      <c r="AH64">
        <f>survey_responses[[#This Row],[So với trước đây, tôi thấy cách tính thuế và các bậc thuế trong phương án mới đơn giản, dễ hiểu và dễ thực hiện hơn. - HUMAN-FAC2]]</f>
        <v>9</v>
      </c>
      <c r="AI64" t="str">
        <f t="shared" si="10"/>
        <v>Support</v>
      </c>
      <c r="AJ64" s="32">
        <f t="shared" si="11"/>
        <v>1</v>
      </c>
      <c r="AK64">
        <f>step3_validation[[#This Row],[AI_TRU1]]</f>
        <v>9</v>
      </c>
      <c r="AL64" t="str">
        <f t="shared" si="12"/>
        <v>Support</v>
      </c>
      <c r="AM64">
        <f>survey_responses[[#This Row],[Tôi tin rằng Nhà nước, cơ quan thuế sẽ thực thi chính sách mới một cách khách quan, công tâm và đối xử bình đẳng với mọi người nộp thuế.  - HUMAN-TRU1]]</f>
        <v>8</v>
      </c>
      <c r="AN64" t="str">
        <f t="shared" si="13"/>
        <v>Support</v>
      </c>
      <c r="AO64" s="32">
        <f t="shared" si="14"/>
        <v>1</v>
      </c>
      <c r="AP64">
        <f>step3_validation[[#This Row],[AI_TRU2]]</f>
        <v>8</v>
      </c>
      <c r="AQ64" t="str">
        <f t="shared" si="15"/>
        <v>Support</v>
      </c>
      <c r="AR64">
        <f>survey_responses[[#This Row],[Tôi thấy mức thuế tôi phải đóng theo phương án mới là công bằng (người thu nhập như tôi đóng mức này là hợp lý). - HUMAN-TRU2]]</f>
        <v>9</v>
      </c>
      <c r="AS64" t="str">
        <f t="shared" si="16"/>
        <v>Support</v>
      </c>
      <c r="AT64" s="32">
        <f t="shared" si="17"/>
        <v>1</v>
      </c>
      <c r="AU64">
        <f>step3_validation[[#This Row],[AI_TRU3]]</f>
        <v>9</v>
      </c>
      <c r="AV64" t="str">
        <f t="shared" si="18"/>
        <v>Support</v>
      </c>
      <c r="AW64">
        <f>survey_responses[[#This Row],[Tôi tin tưởng số tiền thuế tôi đóng sẽ được Nhà nước sử dụng hiệu quả để cải thiện dịch vụ công (y tế, đường xá...). - HUMAN-TRU3]]</f>
        <v>9</v>
      </c>
      <c r="AX64" t="str">
        <f t="shared" si="19"/>
        <v>Support</v>
      </c>
      <c r="AY64" s="32">
        <f t="shared" si="20"/>
        <v>0</v>
      </c>
      <c r="AZ64">
        <f>step3_validation[[#This Row],[AI_TRU4]]</f>
        <v>8</v>
      </c>
      <c r="BA64" t="str">
        <f t="shared" si="21"/>
        <v>Support</v>
      </c>
      <c r="BB64">
        <f>survey_responses[[#This Row],[Tôi thấy Nhà nước đã giải thích rõ ràng, minh bạch về lý do và mục tiêu của việc sửa đổi thuế lần này. - HUMAN-TRU4]]</f>
        <v>8</v>
      </c>
      <c r="BC64" t="str">
        <f t="shared" si="22"/>
        <v>Support</v>
      </c>
      <c r="BD64" s="32">
        <f t="shared" si="23"/>
        <v>0</v>
      </c>
      <c r="BE64">
        <f>step3_validation[[#This Row],[AI_OUT1]]</f>
        <v>9</v>
      </c>
      <c r="BF64" t="str">
        <f t="shared" si="24"/>
        <v>Support</v>
      </c>
      <c r="BG64">
        <f>survey_responses[[#This Row],[Sau khi xem xét các quyền lợi và nghĩa vụ, bạn có ủng hộ và tuân thủ chính sách mới hiện nay? - HUMAN-OUT1]]</f>
        <v>7</v>
      </c>
      <c r="BH64" t="str">
        <f t="shared" si="25"/>
        <v>Neutral</v>
      </c>
      <c r="BI64" s="32">
        <f t="shared" si="26"/>
        <v>2</v>
      </c>
    </row>
    <row r="65" spans="1:61" x14ac:dyDescent="0.45">
      <c r="A65" s="30">
        <f>step3_validation[[#This Row],[Persona_ID]]</f>
        <v>64</v>
      </c>
      <c r="B65" s="31">
        <f>step3_validation[[#This Row],[Used_Seed]]</f>
        <v>64</v>
      </c>
      <c r="C65" t="str">
        <f>step3_validation[[#This Row],[Gender]]</f>
        <v>Nữ</v>
      </c>
      <c r="D65" t="str">
        <f>survey_responses[[#This Row],[Giới tính của bạn:]]</f>
        <v>Nữ</v>
      </c>
      <c r="E65" t="str">
        <f>step3_validation[[#This Row],[Age_Group]]</f>
        <v>30 - 39</v>
      </c>
      <c r="F65" t="str">
        <f>survey_responses[[#This Row],[Độ tuổi của bạn:]]</f>
        <v>30 - 39</v>
      </c>
      <c r="G65" t="str">
        <f>step3_validation[[#This Row],[Region]]</f>
        <v>Thành thị</v>
      </c>
      <c r="H65" t="str">
        <f>survey_responses[[#This Row],[Khu vực bạn đang sinh sống:]]</f>
        <v>Thành thị</v>
      </c>
      <c r="I65" t="str">
        <f>step3_validation[[#This Row],[Education]]</f>
        <v>Đại học</v>
      </c>
      <c r="J65" t="str">
        <f>survey_responses[[#This Row],[Trình độ học vấn cao nhất:]]</f>
        <v>Đại học</v>
      </c>
      <c r="K65" t="str">
        <f>step3_validation[[#This Row],[Employment]]</f>
        <v>Phi chính thức</v>
      </c>
      <c r="L65" t="str">
        <f>survey_responses[[#This Row],[Tình trạng việc làm chính:]]</f>
        <v>Khu vực phi chính thức (Lao động tự do, không có HĐLĐ)</v>
      </c>
      <c r="M65">
        <f>step3_validation[[#This Row],[Income_Mil]]</f>
        <v>241.63703100557973</v>
      </c>
      <c r="N65" t="str">
        <f>survey_responses[[#This Row],[Thu nhập bình quân tháng theo Hợp đồng lao động của bạn là bao nhiêu? (Vui lòng điền tổng thu nhập trước khi khấu trừ các loại Bảo hiểm (BHXH, BHYT, BHTN) và Thuế TNCN)]]</f>
        <v>Trên 102 triệu VNĐ</v>
      </c>
      <c r="O65">
        <f>step3_validation[[#This Row],[Dependents]]</f>
        <v>2</v>
      </c>
      <c r="P65" t="str">
        <f>survey_responses[[#This Row],[Số người phụ thuộc (con nhỏ, cha mẹ già...) đủ điều kiện giảm trừ gia cảnh:]]</f>
        <v>2 người</v>
      </c>
      <c r="Q65">
        <f>step3_validation[[#This Row],[AI_ENF1]]</f>
        <v>9</v>
      </c>
      <c r="R65" t="str">
        <f t="shared" si="0"/>
        <v>Support</v>
      </c>
      <c r="S65">
        <f>survey_responses[[#This Row],[Tôi tin rằng với các quy định quản lý thuế hiện nay, hành vi gian lận hoặc trốn thuế sẽ dễ dàng bị phát hiện và xử lý nghiêm. - HUMAN-ENF1]]</f>
        <v>9</v>
      </c>
      <c r="T65" t="str">
        <f t="shared" si="1"/>
        <v>Support</v>
      </c>
      <c r="U65" s="32">
        <f t="shared" si="2"/>
        <v>0</v>
      </c>
      <c r="V65">
        <f>step3_validation[[#This Row],[AI_ENF2]]</f>
        <v>8</v>
      </c>
      <c r="W65" t="str">
        <f t="shared" si="3"/>
        <v>Support</v>
      </c>
      <c r="X65">
        <f>survey_responses[[#This Row],[Tôi tin rằng Nhà nước, cơ quan thuế có đủ khả năng và công nghệ để phát hiện, xử lý nghiêm các hành vi trốn thuế. - HUMAN-ENF2]]</f>
        <v>10</v>
      </c>
      <c r="Y65" t="str">
        <f t="shared" si="4"/>
        <v>Support</v>
      </c>
      <c r="Z65" s="32">
        <f t="shared" si="5"/>
        <v>2</v>
      </c>
      <c r="AA65">
        <f>step3_validation[[#This Row],[AI_FAC1]]</f>
        <v>9</v>
      </c>
      <c r="AB65" t="str">
        <f t="shared" si="6"/>
        <v>Support</v>
      </c>
      <c r="AC65">
        <f>survey_responses[[#This Row],[Các thủ tục khai báo thuế VÀ/HOẶC quy trình làm việc với cơ quan thuế đơn giản, tiện lợi, nhanh chóng hơn so với trước đây. - HUMAN-FAC1]]</f>
        <v>9</v>
      </c>
      <c r="AD65" t="str">
        <f t="shared" si="7"/>
        <v>Support</v>
      </c>
      <c r="AE65" s="32">
        <f t="shared" si="8"/>
        <v>0</v>
      </c>
      <c r="AF65">
        <f>step3_validation[[#This Row],[AI_FAC2]]</f>
        <v>8</v>
      </c>
      <c r="AG65" t="str">
        <f t="shared" si="9"/>
        <v>Support</v>
      </c>
      <c r="AH65">
        <f>survey_responses[[#This Row],[So với trước đây, tôi thấy cách tính thuế và các bậc thuế trong phương án mới đơn giản, dễ hiểu và dễ thực hiện hơn. - HUMAN-FAC2]]</f>
        <v>10</v>
      </c>
      <c r="AI65" t="str">
        <f t="shared" si="10"/>
        <v>Support</v>
      </c>
      <c r="AJ65" s="32">
        <f t="shared" si="11"/>
        <v>2</v>
      </c>
      <c r="AK65">
        <f>step3_validation[[#This Row],[AI_TRU1]]</f>
        <v>9</v>
      </c>
      <c r="AL65" t="str">
        <f t="shared" si="12"/>
        <v>Support</v>
      </c>
      <c r="AM65">
        <f>survey_responses[[#This Row],[Tôi tin rằng Nhà nước, cơ quan thuế sẽ thực thi chính sách mới một cách khách quan, công tâm và đối xử bình đẳng với mọi người nộp thuế.  - HUMAN-TRU1]]</f>
        <v>10</v>
      </c>
      <c r="AN65" t="str">
        <f t="shared" si="13"/>
        <v>Support</v>
      </c>
      <c r="AO65" s="32">
        <f t="shared" si="14"/>
        <v>1</v>
      </c>
      <c r="AP65">
        <f>step3_validation[[#This Row],[AI_TRU2]]</f>
        <v>8</v>
      </c>
      <c r="AQ65" t="str">
        <f t="shared" si="15"/>
        <v>Support</v>
      </c>
      <c r="AR65">
        <f>survey_responses[[#This Row],[Tôi thấy mức thuế tôi phải đóng theo phương án mới là công bằng (người thu nhập như tôi đóng mức này là hợp lý). - HUMAN-TRU2]]</f>
        <v>5</v>
      </c>
      <c r="AS65" t="str">
        <f t="shared" si="16"/>
        <v>Neutral</v>
      </c>
      <c r="AT65" s="32">
        <f t="shared" si="17"/>
        <v>3</v>
      </c>
      <c r="AU65">
        <f>step3_validation[[#This Row],[AI_TRU3]]</f>
        <v>9</v>
      </c>
      <c r="AV65" t="str">
        <f t="shared" si="18"/>
        <v>Support</v>
      </c>
      <c r="AW65">
        <f>survey_responses[[#This Row],[Tôi tin tưởng số tiền thuế tôi đóng sẽ được Nhà nước sử dụng hiệu quả để cải thiện dịch vụ công (y tế, đường xá...). - HUMAN-TRU3]]</f>
        <v>10</v>
      </c>
      <c r="AX65" t="str">
        <f t="shared" si="19"/>
        <v>Support</v>
      </c>
      <c r="AY65" s="32">
        <f t="shared" si="20"/>
        <v>1</v>
      </c>
      <c r="AZ65">
        <f>step3_validation[[#This Row],[AI_TRU4]]</f>
        <v>8</v>
      </c>
      <c r="BA65" t="str">
        <f t="shared" si="21"/>
        <v>Support</v>
      </c>
      <c r="BB65">
        <f>survey_responses[[#This Row],[Tôi thấy Nhà nước đã giải thích rõ ràng, minh bạch về lý do và mục tiêu của việc sửa đổi thuế lần này. - HUMAN-TRU4]]</f>
        <v>7</v>
      </c>
      <c r="BC65" t="str">
        <f t="shared" si="22"/>
        <v>Neutral</v>
      </c>
      <c r="BD65" s="32">
        <f t="shared" si="23"/>
        <v>1</v>
      </c>
      <c r="BE65">
        <f>step3_validation[[#This Row],[AI_OUT1]]</f>
        <v>9</v>
      </c>
      <c r="BF65" t="str">
        <f t="shared" si="24"/>
        <v>Support</v>
      </c>
      <c r="BG65">
        <f>survey_responses[[#This Row],[Sau khi xem xét các quyền lợi và nghĩa vụ, bạn có ủng hộ và tuân thủ chính sách mới hiện nay? - HUMAN-OUT1]]</f>
        <v>9</v>
      </c>
      <c r="BH65" t="str">
        <f t="shared" si="25"/>
        <v>Support</v>
      </c>
      <c r="BI65" s="32">
        <f t="shared" si="26"/>
        <v>0</v>
      </c>
    </row>
    <row r="66" spans="1:61" x14ac:dyDescent="0.45">
      <c r="A66" s="30">
        <f>step3_validation[[#This Row],[Persona_ID]]</f>
        <v>65</v>
      </c>
      <c r="B66" s="31">
        <f>step3_validation[[#This Row],[Used_Seed]]</f>
        <v>65</v>
      </c>
      <c r="C66" t="str">
        <f>step3_validation[[#This Row],[Gender]]</f>
        <v>Nữ</v>
      </c>
      <c r="D66" t="str">
        <f>survey_responses[[#This Row],[Giới tính của bạn:]]</f>
        <v>Nữ</v>
      </c>
      <c r="E66" t="str">
        <f>step3_validation[[#This Row],[Age_Group]]</f>
        <v>40 - 49</v>
      </c>
      <c r="F66" t="str">
        <f>survey_responses[[#This Row],[Độ tuổi của bạn:]]</f>
        <v>40 - 49</v>
      </c>
      <c r="G66" t="str">
        <f>step3_validation[[#This Row],[Region]]</f>
        <v>Nông thôn</v>
      </c>
      <c r="H66" t="str">
        <f>survey_responses[[#This Row],[Khu vực bạn đang sinh sống:]]</f>
        <v>Nông thôn</v>
      </c>
      <c r="I66" t="str">
        <f>step3_validation[[#This Row],[Education]]</f>
        <v>Đại học</v>
      </c>
      <c r="J66" t="str">
        <f>survey_responses[[#This Row],[Trình độ học vấn cao nhất:]]</f>
        <v>Đại học</v>
      </c>
      <c r="K66" t="str">
        <f>step3_validation[[#This Row],[Employment]]</f>
        <v>Chính thức</v>
      </c>
      <c r="L66" t="str">
        <f>survey_responses[[#This Row],[Tình trạng việc làm chính:]]</f>
        <v>Khu vực chính thức (Có Hợp đồng lao động, đóng BHXH)</v>
      </c>
      <c r="M66">
        <f>step3_validation[[#This Row],[Income_Mil]]</f>
        <v>12</v>
      </c>
      <c r="N66" t="str">
        <f>survey_responses[[#This Row],[Thu nhập bình quân tháng theo Hợp đồng lao động của bạn là bao nhiêu? (Vui lòng điền tổng thu nhập trước khi khấu trừ các loại Bảo hiểm (BHXH, BHYT, BHTN) và Thuế TNCN)]]</f>
        <v>Dưới 12 triệu VNĐ</v>
      </c>
      <c r="O66">
        <f>step3_validation[[#This Row],[Dependents]]</f>
        <v>2</v>
      </c>
      <c r="P66" t="str">
        <f>survey_responses[[#This Row],[Số người phụ thuộc (con nhỏ, cha mẹ già...) đủ điều kiện giảm trừ gia cảnh:]]</f>
        <v>2 người</v>
      </c>
      <c r="Q66">
        <f>step3_validation[[#This Row],[AI_ENF1]]</f>
        <v>6</v>
      </c>
      <c r="R66" t="str">
        <f t="shared" si="0"/>
        <v>Neutral</v>
      </c>
      <c r="S66">
        <f>survey_responses[[#This Row],[Tôi tin rằng với các quy định quản lý thuế hiện nay, hành vi gian lận hoặc trốn thuế sẽ dễ dàng bị phát hiện và xử lý nghiêm. - HUMAN-ENF1]]</f>
        <v>10</v>
      </c>
      <c r="T66" t="str">
        <f t="shared" si="1"/>
        <v>Support</v>
      </c>
      <c r="U66" s="32">
        <f t="shared" si="2"/>
        <v>4</v>
      </c>
      <c r="V66">
        <f>step3_validation[[#This Row],[AI_ENF2]]</f>
        <v>7</v>
      </c>
      <c r="W66" t="str">
        <f t="shared" si="3"/>
        <v>Neutral</v>
      </c>
      <c r="X66">
        <f>survey_responses[[#This Row],[Tôi tin rằng Nhà nước, cơ quan thuế có đủ khả năng và công nghệ để phát hiện, xử lý nghiêm các hành vi trốn thuế. - HUMAN-ENF2]]</f>
        <v>10</v>
      </c>
      <c r="Y66" t="str">
        <f t="shared" si="4"/>
        <v>Support</v>
      </c>
      <c r="Z66" s="32">
        <f t="shared" si="5"/>
        <v>3</v>
      </c>
      <c r="AA66">
        <f>step3_validation[[#This Row],[AI_FAC1]]</f>
        <v>8</v>
      </c>
      <c r="AB66" t="str">
        <f t="shared" si="6"/>
        <v>Support</v>
      </c>
      <c r="AC66">
        <f>survey_responses[[#This Row],[Các thủ tục khai báo thuế VÀ/HOẶC quy trình làm việc với cơ quan thuế đơn giản, tiện lợi, nhanh chóng hơn so với trước đây. - HUMAN-FAC1]]</f>
        <v>10</v>
      </c>
      <c r="AD66" t="str">
        <f t="shared" si="7"/>
        <v>Support</v>
      </c>
      <c r="AE66" s="32">
        <f t="shared" si="8"/>
        <v>2</v>
      </c>
      <c r="AF66">
        <f>step3_validation[[#This Row],[AI_FAC2]]</f>
        <v>9</v>
      </c>
      <c r="AG66" t="str">
        <f t="shared" si="9"/>
        <v>Support</v>
      </c>
      <c r="AH66">
        <f>survey_responses[[#This Row],[So với trước đây, tôi thấy cách tính thuế và các bậc thuế trong phương án mới đơn giản, dễ hiểu và dễ thực hiện hơn. - HUMAN-FAC2]]</f>
        <v>10</v>
      </c>
      <c r="AI66" t="str">
        <f t="shared" si="10"/>
        <v>Support</v>
      </c>
      <c r="AJ66" s="32">
        <f t="shared" si="11"/>
        <v>1</v>
      </c>
      <c r="AK66">
        <f>step3_validation[[#This Row],[AI_TRU1]]</f>
        <v>7</v>
      </c>
      <c r="AL66" t="str">
        <f t="shared" si="12"/>
        <v>Neutral</v>
      </c>
      <c r="AM66">
        <f>survey_responses[[#This Row],[Tôi tin rằng Nhà nước, cơ quan thuế sẽ thực thi chính sách mới một cách khách quan, công tâm và đối xử bình đẳng với mọi người nộp thuế.  - HUMAN-TRU1]]</f>
        <v>10</v>
      </c>
      <c r="AN66" t="str">
        <f t="shared" si="13"/>
        <v>Support</v>
      </c>
      <c r="AO66" s="32">
        <f t="shared" si="14"/>
        <v>3</v>
      </c>
      <c r="AP66">
        <f>step3_validation[[#This Row],[AI_TRU2]]</f>
        <v>8</v>
      </c>
      <c r="AQ66" t="str">
        <f t="shared" si="15"/>
        <v>Support</v>
      </c>
      <c r="AR66">
        <f>survey_responses[[#This Row],[Tôi thấy mức thuế tôi phải đóng theo phương án mới là công bằng (người thu nhập như tôi đóng mức này là hợp lý). - HUMAN-TRU2]]</f>
        <v>10</v>
      </c>
      <c r="AS66" t="str">
        <f t="shared" si="16"/>
        <v>Support</v>
      </c>
      <c r="AT66" s="32">
        <f t="shared" si="17"/>
        <v>2</v>
      </c>
      <c r="AU66">
        <f>step3_validation[[#This Row],[AI_TRU3]]</f>
        <v>7</v>
      </c>
      <c r="AV66" t="str">
        <f t="shared" si="18"/>
        <v>Neutral</v>
      </c>
      <c r="AW66">
        <f>survey_responses[[#This Row],[Tôi tin tưởng số tiền thuế tôi đóng sẽ được Nhà nước sử dụng hiệu quả để cải thiện dịch vụ công (y tế, đường xá...). - HUMAN-TRU3]]</f>
        <v>10</v>
      </c>
      <c r="AX66" t="str">
        <f t="shared" si="19"/>
        <v>Support</v>
      </c>
      <c r="AY66" s="32">
        <f t="shared" si="20"/>
        <v>3</v>
      </c>
      <c r="AZ66">
        <f>step3_validation[[#This Row],[AI_TRU4]]</f>
        <v>8</v>
      </c>
      <c r="BA66" t="str">
        <f t="shared" si="21"/>
        <v>Support</v>
      </c>
      <c r="BB66">
        <f>survey_responses[[#This Row],[Tôi thấy Nhà nước đã giải thích rõ ràng, minh bạch về lý do và mục tiêu của việc sửa đổi thuế lần này. - HUMAN-TRU4]]</f>
        <v>10</v>
      </c>
      <c r="BC66" t="str">
        <f t="shared" si="22"/>
        <v>Support</v>
      </c>
      <c r="BD66" s="32">
        <f t="shared" si="23"/>
        <v>2</v>
      </c>
      <c r="BE66">
        <f>step3_validation[[#This Row],[AI_OUT1]]</f>
        <v>9</v>
      </c>
      <c r="BF66" t="str">
        <f t="shared" si="24"/>
        <v>Support</v>
      </c>
      <c r="BG66">
        <f>survey_responses[[#This Row],[Sau khi xem xét các quyền lợi và nghĩa vụ, bạn có ủng hộ và tuân thủ chính sách mới hiện nay? - HUMAN-OUT1]]</f>
        <v>10</v>
      </c>
      <c r="BH66" t="str">
        <f t="shared" si="25"/>
        <v>Support</v>
      </c>
      <c r="BI66" s="32">
        <f t="shared" si="26"/>
        <v>1</v>
      </c>
    </row>
    <row r="67" spans="1:61" x14ac:dyDescent="0.45">
      <c r="A67" s="30">
        <f>step3_validation[[#This Row],[Persona_ID]]</f>
        <v>66</v>
      </c>
      <c r="B67" s="31">
        <f>step3_validation[[#This Row],[Used_Seed]]</f>
        <v>66</v>
      </c>
      <c r="C67" t="str">
        <f>step3_validation[[#This Row],[Gender]]</f>
        <v>Nữ</v>
      </c>
      <c r="D67" t="str">
        <f>survey_responses[[#This Row],[Giới tính của bạn:]]</f>
        <v>Nữ</v>
      </c>
      <c r="E67" t="str">
        <f>step3_validation[[#This Row],[Age_Group]]</f>
        <v>25 - 29</v>
      </c>
      <c r="F67" t="str">
        <f>survey_responses[[#This Row],[Độ tuổi của bạn:]]</f>
        <v>25 - 29</v>
      </c>
      <c r="G67" t="str">
        <f>step3_validation[[#This Row],[Region]]</f>
        <v>Thành thị</v>
      </c>
      <c r="H67" t="str">
        <f>survey_responses[[#This Row],[Khu vực bạn đang sinh sống:]]</f>
        <v>Thành thị</v>
      </c>
      <c r="I67" t="str">
        <f>step3_validation[[#This Row],[Education]]</f>
        <v>Cao đẳng</v>
      </c>
      <c r="J67" t="str">
        <f>survey_responses[[#This Row],[Trình độ học vấn cao nhất:]]</f>
        <v>Cao đẳng</v>
      </c>
      <c r="K67" t="str">
        <f>step3_validation[[#This Row],[Employment]]</f>
        <v>Chính thức</v>
      </c>
      <c r="L67" t="str">
        <f>survey_responses[[#This Row],[Tình trạng việc làm chính:]]</f>
        <v>Khu vực chính thức (Có Hợp đồng lao động, đóng BHXH)</v>
      </c>
      <c r="M67">
        <f>step3_validation[[#This Row],[Income_Mil]]</f>
        <v>16.618669389679656</v>
      </c>
      <c r="N67" t="str">
        <f>survey_responses[[#This Row],[Thu nhập bình quân tháng theo Hợp đồng lao động của bạn là bao nhiêu? (Vui lòng điền tổng thu nhập trước khi khấu trừ các loại Bảo hiểm (BHXH, BHYT, BHTN) và Thuế TNCN)]]</f>
        <v>Từ 12 - 18 triệu VNĐ</v>
      </c>
      <c r="O67">
        <f>step3_validation[[#This Row],[Dependents]]</f>
        <v>0</v>
      </c>
      <c r="P67" t="str">
        <f>survey_responses[[#This Row],[Số người phụ thuộc (con nhỏ, cha mẹ già...) đủ điều kiện giảm trừ gia cảnh:]]</f>
        <v>0 người</v>
      </c>
      <c r="Q67">
        <f>step3_validation[[#This Row],[AI_ENF1]]</f>
        <v>6</v>
      </c>
      <c r="R67" t="str">
        <f t="shared" ref="R67:R130" si="27">IF(AND(Q67&gt;=1,Q67&lt;5),"Oppose",IF(AND(Q67&gt;=5,Q67&lt;8),"Neutral",IF(AND(Q67&gt;=8,Q67&lt;=10),"Support","")))</f>
        <v>Neutral</v>
      </c>
      <c r="S67">
        <f>survey_responses[[#This Row],[Tôi tin rằng với các quy định quản lý thuế hiện nay, hành vi gian lận hoặc trốn thuế sẽ dễ dàng bị phát hiện và xử lý nghiêm. - HUMAN-ENF1]]</f>
        <v>7</v>
      </c>
      <c r="T67" t="str">
        <f t="shared" ref="T67:T130" si="28">IF(AND(S67&gt;=1,S67&lt;5),"Oppose",IF(AND(S67&gt;=5,S67&lt;8),"Neutral",IF(AND(S67&gt;=8,S67&lt;=10),"Support","")))</f>
        <v>Neutral</v>
      </c>
      <c r="U67" s="32">
        <f t="shared" ref="U67:U130" si="29">ABS(S67-Q67)</f>
        <v>1</v>
      </c>
      <c r="V67">
        <f>step3_validation[[#This Row],[AI_ENF2]]</f>
        <v>7</v>
      </c>
      <c r="W67" t="str">
        <f t="shared" ref="W67:W130" si="30">IF(AND(V67&gt;=1,V67&lt;5),"Oppose",IF(AND(V67&gt;=5,V67&lt;8),"Neutral",IF(AND(V67&gt;=8,V67&lt;=10),"Support","")))</f>
        <v>Neutral</v>
      </c>
      <c r="X67">
        <f>survey_responses[[#This Row],[Tôi tin rằng Nhà nước, cơ quan thuế có đủ khả năng và công nghệ để phát hiện, xử lý nghiêm các hành vi trốn thuế. - HUMAN-ENF2]]</f>
        <v>5</v>
      </c>
      <c r="Y67" t="str">
        <f t="shared" ref="Y67:Y130" si="31">IF(AND(X67&gt;=1,X67&lt;5),"Oppose",IF(AND(X67&gt;=5,X67&lt;8),"Neutral",IF(AND(X67&gt;=8,X67&lt;=10),"Support","")))</f>
        <v>Neutral</v>
      </c>
      <c r="Z67" s="32">
        <f t="shared" ref="Z67:Z130" si="32">ABS(X67-V67)</f>
        <v>2</v>
      </c>
      <c r="AA67">
        <f>step3_validation[[#This Row],[AI_FAC1]]</f>
        <v>9</v>
      </c>
      <c r="AB67" t="str">
        <f t="shared" ref="AB67:AB130" si="33">IF(AND(AA67&gt;=1,AA67&lt;5),"Oppose",IF(AND(AA67&gt;=5,AA67&lt;8),"Neutral",IF(AND(AA67&gt;=8,AA67&lt;=10),"Support","")))</f>
        <v>Support</v>
      </c>
      <c r="AC67">
        <f>survey_responses[[#This Row],[Các thủ tục khai báo thuế VÀ/HOẶC quy trình làm việc với cơ quan thuế đơn giản, tiện lợi, nhanh chóng hơn so với trước đây. - HUMAN-FAC1]]</f>
        <v>3</v>
      </c>
      <c r="AD67" t="str">
        <f t="shared" ref="AD67:AD130" si="34">IF(AND(AC67&gt;=1,AC67&lt;5),"Oppose",IF(AND(AC67&gt;=5,AC67&lt;8),"Neutral",IF(AND(AC67&gt;=8,AC67&lt;=10),"Support","")))</f>
        <v>Oppose</v>
      </c>
      <c r="AE67" s="32">
        <f t="shared" ref="AE67:AE130" si="35">ABS(AC67-AA67)</f>
        <v>6</v>
      </c>
      <c r="AF67">
        <f>step3_validation[[#This Row],[AI_FAC2]]</f>
        <v>8</v>
      </c>
      <c r="AG67" t="str">
        <f t="shared" ref="AG67:AG130" si="36">IF(AND(AF67&gt;=1,AF67&lt;5),"Oppose",IF(AND(AF67&gt;=5,AF67&lt;8),"Neutral",IF(AND(AF67&gt;=8,AF67&lt;=10),"Support","")))</f>
        <v>Support</v>
      </c>
      <c r="AH67">
        <f>survey_responses[[#This Row],[So với trước đây, tôi thấy cách tính thuế và các bậc thuế trong phương án mới đơn giản, dễ hiểu và dễ thực hiện hơn. - HUMAN-FAC2]]</f>
        <v>5</v>
      </c>
      <c r="AI67" t="str">
        <f t="shared" ref="AI67:AI130" si="37">IF(AND(AH67&gt;=1,AH67&lt;5),"Oppose",IF(AND(AH67&gt;=5,AH67&lt;8),"Neutral",IF(AND(AH67&gt;=8,AH67&lt;=10),"Support","")))</f>
        <v>Neutral</v>
      </c>
      <c r="AJ67" s="32">
        <f t="shared" ref="AJ67:AJ130" si="38">ABS(AH67-AF67)</f>
        <v>3</v>
      </c>
      <c r="AK67">
        <f>step3_validation[[#This Row],[AI_TRU1]]</f>
        <v>7</v>
      </c>
      <c r="AL67" t="str">
        <f t="shared" ref="AL67:AL130" si="39">IF(AND(AK67&gt;=1,AK67&lt;5),"Oppose",IF(AND(AK67&gt;=5,AK67&lt;8),"Neutral",IF(AND(AK67&gt;=8,AK67&lt;=10),"Support","")))</f>
        <v>Neutral</v>
      </c>
      <c r="AM67">
        <f>survey_responses[[#This Row],[Tôi tin rằng Nhà nước, cơ quan thuế sẽ thực thi chính sách mới một cách khách quan, công tâm và đối xử bình đẳng với mọi người nộp thuế.  - HUMAN-TRU1]]</f>
        <v>4</v>
      </c>
      <c r="AN67" t="str">
        <f t="shared" ref="AN67:AN130" si="40">IF(AND(AM67&gt;=1,AM67&lt;5),"Oppose",IF(AND(AM67&gt;=5,AM67&lt;8),"Neutral",IF(AND(AM67&gt;=8,AM67&lt;=10),"Support","")))</f>
        <v>Oppose</v>
      </c>
      <c r="AO67" s="32">
        <f t="shared" ref="AO67:AO130" si="41">ABS(AM67-AK67)</f>
        <v>3</v>
      </c>
      <c r="AP67">
        <f>step3_validation[[#This Row],[AI_TRU2]]</f>
        <v>9</v>
      </c>
      <c r="AQ67" t="str">
        <f t="shared" ref="AQ67:AQ130" si="42">IF(AND(AP67&gt;=1,AP67&lt;5),"Oppose",IF(AND(AP67&gt;=5,AP67&lt;8),"Neutral",IF(AND(AP67&gt;=8,AP67&lt;=10),"Support","")))</f>
        <v>Support</v>
      </c>
      <c r="AR67">
        <f>survey_responses[[#This Row],[Tôi thấy mức thuế tôi phải đóng theo phương án mới là công bằng (người thu nhập như tôi đóng mức này là hợp lý). - HUMAN-TRU2]]</f>
        <v>3</v>
      </c>
      <c r="AS67" t="str">
        <f t="shared" ref="AS67:AS130" si="43">IF(AND(AR67&gt;=1,AR67&lt;5),"Oppose",IF(AND(AR67&gt;=5,AR67&lt;8),"Neutral",IF(AND(AR67&gt;=8,AR67&lt;=10),"Support","")))</f>
        <v>Oppose</v>
      </c>
      <c r="AT67" s="32">
        <f t="shared" ref="AT67:AT130" si="44">ABS(AR67-AP67)</f>
        <v>6</v>
      </c>
      <c r="AU67">
        <f>step3_validation[[#This Row],[AI_TRU3]]</f>
        <v>7</v>
      </c>
      <c r="AV67" t="str">
        <f t="shared" ref="AV67:AV130" si="45">IF(AND(AU67&gt;=1,AU67&lt;5),"Oppose",IF(AND(AU67&gt;=5,AU67&lt;8),"Neutral",IF(AND(AU67&gt;=8,AU67&lt;=10),"Support","")))</f>
        <v>Neutral</v>
      </c>
      <c r="AW67">
        <f>survey_responses[[#This Row],[Tôi tin tưởng số tiền thuế tôi đóng sẽ được Nhà nước sử dụng hiệu quả để cải thiện dịch vụ công (y tế, đường xá...). - HUMAN-TRU3]]</f>
        <v>5</v>
      </c>
      <c r="AX67" t="str">
        <f t="shared" ref="AX67:AX130" si="46">IF(AND(AW67&gt;=1,AW67&lt;5),"Oppose",IF(AND(AW67&gt;=5,AW67&lt;8),"Neutral",IF(AND(AW67&gt;=8,AW67&lt;=10),"Support","")))</f>
        <v>Neutral</v>
      </c>
      <c r="AY67" s="32">
        <f t="shared" ref="AY67:AY130" si="47">ABS(AW67-AU67)</f>
        <v>2</v>
      </c>
      <c r="AZ67">
        <f>step3_validation[[#This Row],[AI_TRU4]]</f>
        <v>8</v>
      </c>
      <c r="BA67" t="str">
        <f t="shared" ref="BA67:BA130" si="48">IF(AND(AZ67&gt;=1,AZ67&lt;5),"Oppose",IF(AND(AZ67&gt;=5,AZ67&lt;8),"Neutral",IF(AND(AZ67&gt;=8,AZ67&lt;=10),"Support","")))</f>
        <v>Support</v>
      </c>
      <c r="BB67">
        <f>survey_responses[[#This Row],[Tôi thấy Nhà nước đã giải thích rõ ràng, minh bạch về lý do và mục tiêu của việc sửa đổi thuế lần này. - HUMAN-TRU4]]</f>
        <v>6</v>
      </c>
      <c r="BC67" t="str">
        <f t="shared" ref="BC67:BC130" si="49">IF(AND(BB67&gt;=1,BB67&lt;5),"Oppose",IF(AND(BB67&gt;=5,BB67&lt;8),"Neutral",IF(AND(BB67&gt;=8,BB67&lt;=10),"Support","")))</f>
        <v>Neutral</v>
      </c>
      <c r="BD67" s="32">
        <f t="shared" ref="BD67:BD130" si="50">ABS(BB67-AZ67)</f>
        <v>2</v>
      </c>
      <c r="BE67">
        <f>step3_validation[[#This Row],[AI_OUT1]]</f>
        <v>9</v>
      </c>
      <c r="BF67" t="str">
        <f t="shared" ref="BF67:BF130" si="51">IF(AND(BE67&gt;=1,BE67&lt;5),"Oppose",IF(AND(BE67&gt;=5,BE67&lt;8),"Neutral",IF(AND(BE67&gt;=8,BE67&lt;=10),"Support","")))</f>
        <v>Support</v>
      </c>
      <c r="BG67">
        <f>survey_responses[[#This Row],[Sau khi xem xét các quyền lợi và nghĩa vụ, bạn có ủng hộ và tuân thủ chính sách mới hiện nay? - HUMAN-OUT1]]</f>
        <v>6</v>
      </c>
      <c r="BH67" t="str">
        <f t="shared" ref="BH67:BH130" si="52">IF(AND(BG67&gt;=1,BG67&lt;5),"Oppose",IF(AND(BG67&gt;=5,BG67&lt;8),"Neutral",IF(AND(BG67&gt;=8,BG67&lt;=10),"Support","")))</f>
        <v>Neutral</v>
      </c>
      <c r="BI67" s="32">
        <f t="shared" ref="BI67:BI130" si="53">ABS(BG67-BE67)</f>
        <v>3</v>
      </c>
    </row>
    <row r="68" spans="1:61" x14ac:dyDescent="0.45">
      <c r="A68" s="30">
        <f>step3_validation[[#This Row],[Persona_ID]]</f>
        <v>67</v>
      </c>
      <c r="B68" s="31">
        <f>step3_validation[[#This Row],[Used_Seed]]</f>
        <v>67</v>
      </c>
      <c r="C68" t="str">
        <f>step3_validation[[#This Row],[Gender]]</f>
        <v>Nam</v>
      </c>
      <c r="D68" t="str">
        <f>survey_responses[[#This Row],[Giới tính của bạn:]]</f>
        <v>Nam</v>
      </c>
      <c r="E68" t="str">
        <f>step3_validation[[#This Row],[Age_Group]]</f>
        <v>40 - 49</v>
      </c>
      <c r="F68" t="str">
        <f>survey_responses[[#This Row],[Độ tuổi của bạn:]]</f>
        <v>40 - 49</v>
      </c>
      <c r="G68" t="str">
        <f>step3_validation[[#This Row],[Region]]</f>
        <v>Thành thị</v>
      </c>
      <c r="H68" t="str">
        <f>survey_responses[[#This Row],[Khu vực bạn đang sinh sống:]]</f>
        <v>Thành thị</v>
      </c>
      <c r="I68" t="str">
        <f>step3_validation[[#This Row],[Education]]</f>
        <v>Sau Đại học</v>
      </c>
      <c r="J68" t="str">
        <f>survey_responses[[#This Row],[Trình độ học vấn cao nhất:]]</f>
        <v>Sau Đại học</v>
      </c>
      <c r="K68" t="str">
        <f>step3_validation[[#This Row],[Employment]]</f>
        <v>Chính thức</v>
      </c>
      <c r="L68" t="str">
        <f>survey_responses[[#This Row],[Tình trạng việc làm chính:]]</f>
        <v>Khu vực chính thức (Có Hợp đồng lao động, đóng BHXH)</v>
      </c>
      <c r="M68">
        <f>step3_validation[[#This Row],[Income_Mil]]</f>
        <v>82.844276496969826</v>
      </c>
      <c r="N68" t="str">
        <f>survey_responses[[#This Row],[Thu nhập bình quân tháng theo Hợp đồng lao động của bạn là bao nhiêu? (Vui lòng điền tổng thu nhập trước khi khấu trừ các loại Bảo hiểm (BHXH, BHYT, BHTN) và Thuế TNCN)]]</f>
        <v>Từ 70 - 102 triệu VNĐ</v>
      </c>
      <c r="O68">
        <f>step3_validation[[#This Row],[Dependents]]</f>
        <v>2</v>
      </c>
      <c r="P68" t="str">
        <f>survey_responses[[#This Row],[Số người phụ thuộc (con nhỏ, cha mẹ già...) đủ điều kiện giảm trừ gia cảnh:]]</f>
        <v>2 người</v>
      </c>
      <c r="Q68">
        <f>step3_validation[[#This Row],[AI_ENF1]]</f>
        <v>6</v>
      </c>
      <c r="R68" t="str">
        <f t="shared" si="27"/>
        <v>Neutral</v>
      </c>
      <c r="S68">
        <f>survey_responses[[#This Row],[Tôi tin rằng với các quy định quản lý thuế hiện nay, hành vi gian lận hoặc trốn thuế sẽ dễ dàng bị phát hiện và xử lý nghiêm. - HUMAN-ENF1]]</f>
        <v>5</v>
      </c>
      <c r="T68" t="str">
        <f t="shared" si="28"/>
        <v>Neutral</v>
      </c>
      <c r="U68" s="32">
        <f t="shared" si="29"/>
        <v>1</v>
      </c>
      <c r="V68">
        <f>step3_validation[[#This Row],[AI_ENF2]]</f>
        <v>8</v>
      </c>
      <c r="W68" t="str">
        <f t="shared" si="30"/>
        <v>Support</v>
      </c>
      <c r="X68">
        <f>survey_responses[[#This Row],[Tôi tin rằng Nhà nước, cơ quan thuế có đủ khả năng và công nghệ để phát hiện, xử lý nghiêm các hành vi trốn thuế. - HUMAN-ENF2]]</f>
        <v>5</v>
      </c>
      <c r="Y68" t="str">
        <f t="shared" si="31"/>
        <v>Neutral</v>
      </c>
      <c r="Z68" s="32">
        <f t="shared" si="32"/>
        <v>3</v>
      </c>
      <c r="AA68">
        <f>step3_validation[[#This Row],[AI_FAC1]]</f>
        <v>9</v>
      </c>
      <c r="AB68" t="str">
        <f t="shared" si="33"/>
        <v>Support</v>
      </c>
      <c r="AC68">
        <f>survey_responses[[#This Row],[Các thủ tục khai báo thuế VÀ/HOẶC quy trình làm việc với cơ quan thuế đơn giản, tiện lợi, nhanh chóng hơn so với trước đây. - HUMAN-FAC1]]</f>
        <v>4</v>
      </c>
      <c r="AD68" t="str">
        <f t="shared" si="34"/>
        <v>Oppose</v>
      </c>
      <c r="AE68" s="32">
        <f t="shared" si="35"/>
        <v>5</v>
      </c>
      <c r="AF68">
        <f>step3_validation[[#This Row],[AI_FAC2]]</f>
        <v>9</v>
      </c>
      <c r="AG68" t="str">
        <f t="shared" si="36"/>
        <v>Support</v>
      </c>
      <c r="AH68">
        <f>survey_responses[[#This Row],[So với trước đây, tôi thấy cách tính thuế và các bậc thuế trong phương án mới đơn giản, dễ hiểu và dễ thực hiện hơn. - HUMAN-FAC2]]</f>
        <v>4</v>
      </c>
      <c r="AI68" t="str">
        <f t="shared" si="37"/>
        <v>Oppose</v>
      </c>
      <c r="AJ68" s="32">
        <f t="shared" si="38"/>
        <v>5</v>
      </c>
      <c r="AK68">
        <f>step3_validation[[#This Row],[AI_TRU1]]</f>
        <v>7</v>
      </c>
      <c r="AL68" t="str">
        <f t="shared" si="39"/>
        <v>Neutral</v>
      </c>
      <c r="AM68">
        <f>survey_responses[[#This Row],[Tôi tin rằng Nhà nước, cơ quan thuế sẽ thực thi chính sách mới một cách khách quan, công tâm và đối xử bình đẳng với mọi người nộp thuế.  - HUMAN-TRU1]]</f>
        <v>2</v>
      </c>
      <c r="AN68" t="str">
        <f t="shared" si="40"/>
        <v>Oppose</v>
      </c>
      <c r="AO68" s="32">
        <f t="shared" si="41"/>
        <v>5</v>
      </c>
      <c r="AP68">
        <f>step3_validation[[#This Row],[AI_TRU2]]</f>
        <v>8</v>
      </c>
      <c r="AQ68" t="str">
        <f t="shared" si="42"/>
        <v>Support</v>
      </c>
      <c r="AR68">
        <f>survey_responses[[#This Row],[Tôi thấy mức thuế tôi phải đóng theo phương án mới là công bằng (người thu nhập như tôi đóng mức này là hợp lý). - HUMAN-TRU2]]</f>
        <v>3</v>
      </c>
      <c r="AS68" t="str">
        <f t="shared" si="43"/>
        <v>Oppose</v>
      </c>
      <c r="AT68" s="32">
        <f t="shared" si="44"/>
        <v>5</v>
      </c>
      <c r="AU68">
        <f>step3_validation[[#This Row],[AI_TRU3]]</f>
        <v>7</v>
      </c>
      <c r="AV68" t="str">
        <f t="shared" si="45"/>
        <v>Neutral</v>
      </c>
      <c r="AW68">
        <f>survey_responses[[#This Row],[Tôi tin tưởng số tiền thuế tôi đóng sẽ được Nhà nước sử dụng hiệu quả để cải thiện dịch vụ công (y tế, đường xá...). - HUMAN-TRU3]]</f>
        <v>2</v>
      </c>
      <c r="AX68" t="str">
        <f t="shared" si="46"/>
        <v>Oppose</v>
      </c>
      <c r="AY68" s="32">
        <f t="shared" si="47"/>
        <v>5</v>
      </c>
      <c r="AZ68">
        <f>step3_validation[[#This Row],[AI_TRU4]]</f>
        <v>6</v>
      </c>
      <c r="BA68" t="str">
        <f t="shared" si="48"/>
        <v>Neutral</v>
      </c>
      <c r="BB68">
        <f>survey_responses[[#This Row],[Tôi thấy Nhà nước đã giải thích rõ ràng, minh bạch về lý do và mục tiêu của việc sửa đổi thuế lần này. - HUMAN-TRU4]]</f>
        <v>3</v>
      </c>
      <c r="BC68" t="str">
        <f t="shared" si="49"/>
        <v>Oppose</v>
      </c>
      <c r="BD68" s="32">
        <f t="shared" si="50"/>
        <v>3</v>
      </c>
      <c r="BE68">
        <f>step3_validation[[#This Row],[AI_OUT1]]</f>
        <v>9</v>
      </c>
      <c r="BF68" t="str">
        <f t="shared" si="51"/>
        <v>Support</v>
      </c>
      <c r="BG68">
        <f>survey_responses[[#This Row],[Sau khi xem xét các quyền lợi và nghĩa vụ, bạn có ủng hộ và tuân thủ chính sách mới hiện nay? - HUMAN-OUT1]]</f>
        <v>3</v>
      </c>
      <c r="BH68" t="str">
        <f t="shared" si="52"/>
        <v>Oppose</v>
      </c>
      <c r="BI68" s="32">
        <f t="shared" si="53"/>
        <v>6</v>
      </c>
    </row>
    <row r="69" spans="1:61" x14ac:dyDescent="0.45">
      <c r="A69" s="30">
        <f>step3_validation[[#This Row],[Persona_ID]]</f>
        <v>68</v>
      </c>
      <c r="B69" s="31">
        <f>step3_validation[[#This Row],[Used_Seed]]</f>
        <v>68</v>
      </c>
      <c r="C69" t="str">
        <f>step3_validation[[#This Row],[Gender]]</f>
        <v>Nữ</v>
      </c>
      <c r="D69" t="str">
        <f>survey_responses[[#This Row],[Giới tính của bạn:]]</f>
        <v>Nữ</v>
      </c>
      <c r="E69" t="str">
        <f>step3_validation[[#This Row],[Age_Group]]</f>
        <v>40 - 49</v>
      </c>
      <c r="F69" t="str">
        <f>survey_responses[[#This Row],[Độ tuổi của bạn:]]</f>
        <v>40 - 49</v>
      </c>
      <c r="G69" t="str">
        <f>step3_validation[[#This Row],[Region]]</f>
        <v>Thành thị</v>
      </c>
      <c r="H69" t="str">
        <f>survey_responses[[#This Row],[Khu vực bạn đang sinh sống:]]</f>
        <v>Thành thị</v>
      </c>
      <c r="I69" t="str">
        <f>step3_validation[[#This Row],[Education]]</f>
        <v>Đại học</v>
      </c>
      <c r="J69" t="str">
        <f>survey_responses[[#This Row],[Trình độ học vấn cao nhất:]]</f>
        <v>Đại học</v>
      </c>
      <c r="K69" t="str">
        <f>step3_validation[[#This Row],[Employment]]</f>
        <v>Chính thức</v>
      </c>
      <c r="L69" t="str">
        <f>survey_responses[[#This Row],[Tình trạng việc làm chính:]]</f>
        <v>Khu vực chính thức (Có Hợp đồng lao động, đóng BHXH)</v>
      </c>
      <c r="M69">
        <f>step3_validation[[#This Row],[Income_Mil]]</f>
        <v>58.171701221777894</v>
      </c>
      <c r="N69" t="str">
        <f>survey_responses[[#This Row],[Thu nhập bình quân tháng theo Hợp đồng lao động của bạn là bao nhiêu? (Vui lòng điền tổng thu nhập trước khi khấu trừ các loại Bảo hiểm (BHXH, BHYT, BHTN) và Thuế TNCN)]]</f>
        <v>Từ 48 - 70 triệu VNĐ</v>
      </c>
      <c r="O69">
        <f>step3_validation[[#This Row],[Dependents]]</f>
        <v>2</v>
      </c>
      <c r="P69" t="str">
        <f>survey_responses[[#This Row],[Số người phụ thuộc (con nhỏ, cha mẹ già...) đủ điều kiện giảm trừ gia cảnh:]]</f>
        <v>2 người</v>
      </c>
      <c r="Q69">
        <f>step3_validation[[#This Row],[AI_ENF1]]</f>
        <v>9</v>
      </c>
      <c r="R69" t="str">
        <f t="shared" si="27"/>
        <v>Support</v>
      </c>
      <c r="S69">
        <f>survey_responses[[#This Row],[Tôi tin rằng với các quy định quản lý thuế hiện nay, hành vi gian lận hoặc trốn thuế sẽ dễ dàng bị phát hiện và xử lý nghiêm. - HUMAN-ENF1]]</f>
        <v>4</v>
      </c>
      <c r="T69" t="str">
        <f t="shared" si="28"/>
        <v>Oppose</v>
      </c>
      <c r="U69" s="32">
        <f t="shared" si="29"/>
        <v>5</v>
      </c>
      <c r="V69">
        <f>step3_validation[[#This Row],[AI_ENF2]]</f>
        <v>8</v>
      </c>
      <c r="W69" t="str">
        <f t="shared" si="30"/>
        <v>Support</v>
      </c>
      <c r="X69">
        <f>survey_responses[[#This Row],[Tôi tin rằng Nhà nước, cơ quan thuế có đủ khả năng và công nghệ để phát hiện, xử lý nghiêm các hành vi trốn thuế. - HUMAN-ENF2]]</f>
        <v>3</v>
      </c>
      <c r="Y69" t="str">
        <f t="shared" si="31"/>
        <v>Oppose</v>
      </c>
      <c r="Z69" s="32">
        <f t="shared" si="32"/>
        <v>5</v>
      </c>
      <c r="AA69">
        <f>step3_validation[[#This Row],[AI_FAC1]]</f>
        <v>9</v>
      </c>
      <c r="AB69" t="str">
        <f t="shared" si="33"/>
        <v>Support</v>
      </c>
      <c r="AC69">
        <f>survey_responses[[#This Row],[Các thủ tục khai báo thuế VÀ/HOẶC quy trình làm việc với cơ quan thuế đơn giản, tiện lợi, nhanh chóng hơn so với trước đây. - HUMAN-FAC1]]</f>
        <v>1</v>
      </c>
      <c r="AD69" t="str">
        <f t="shared" si="34"/>
        <v>Oppose</v>
      </c>
      <c r="AE69" s="32">
        <f t="shared" si="35"/>
        <v>8</v>
      </c>
      <c r="AF69">
        <f>step3_validation[[#This Row],[AI_FAC2]]</f>
        <v>8</v>
      </c>
      <c r="AG69" t="str">
        <f t="shared" si="36"/>
        <v>Support</v>
      </c>
      <c r="AH69">
        <f>survey_responses[[#This Row],[So với trước đây, tôi thấy cách tính thuế và các bậc thuế trong phương án mới đơn giản, dễ hiểu và dễ thực hiện hơn. - HUMAN-FAC2]]</f>
        <v>5</v>
      </c>
      <c r="AI69" t="str">
        <f t="shared" si="37"/>
        <v>Neutral</v>
      </c>
      <c r="AJ69" s="32">
        <f t="shared" si="38"/>
        <v>3</v>
      </c>
      <c r="AK69">
        <f>step3_validation[[#This Row],[AI_TRU1]]</f>
        <v>9</v>
      </c>
      <c r="AL69" t="str">
        <f t="shared" si="39"/>
        <v>Support</v>
      </c>
      <c r="AM69">
        <f>survey_responses[[#This Row],[Tôi tin rằng Nhà nước, cơ quan thuế sẽ thực thi chính sách mới một cách khách quan, công tâm và đối xử bình đẳng với mọi người nộp thuế.  - HUMAN-TRU1]]</f>
        <v>4</v>
      </c>
      <c r="AN69" t="str">
        <f t="shared" si="40"/>
        <v>Oppose</v>
      </c>
      <c r="AO69" s="32">
        <f t="shared" si="41"/>
        <v>5</v>
      </c>
      <c r="AP69">
        <f>step3_validation[[#This Row],[AI_TRU2]]</f>
        <v>8</v>
      </c>
      <c r="AQ69" t="str">
        <f t="shared" si="42"/>
        <v>Support</v>
      </c>
      <c r="AR69">
        <f>survey_responses[[#This Row],[Tôi thấy mức thuế tôi phải đóng theo phương án mới là công bằng (người thu nhập như tôi đóng mức này là hợp lý). - HUMAN-TRU2]]</f>
        <v>3</v>
      </c>
      <c r="AS69" t="str">
        <f t="shared" si="43"/>
        <v>Oppose</v>
      </c>
      <c r="AT69" s="32">
        <f t="shared" si="44"/>
        <v>5</v>
      </c>
      <c r="AU69">
        <f>step3_validation[[#This Row],[AI_TRU3]]</f>
        <v>9</v>
      </c>
      <c r="AV69" t="str">
        <f t="shared" si="45"/>
        <v>Support</v>
      </c>
      <c r="AW69">
        <f>survey_responses[[#This Row],[Tôi tin tưởng số tiền thuế tôi đóng sẽ được Nhà nước sử dụng hiệu quả để cải thiện dịch vụ công (y tế, đường xá...). - HUMAN-TRU3]]</f>
        <v>1</v>
      </c>
      <c r="AX69" t="str">
        <f t="shared" si="46"/>
        <v>Oppose</v>
      </c>
      <c r="AY69" s="32">
        <f t="shared" si="47"/>
        <v>8</v>
      </c>
      <c r="AZ69">
        <f>step3_validation[[#This Row],[AI_TRU4]]</f>
        <v>8</v>
      </c>
      <c r="BA69" t="str">
        <f t="shared" si="48"/>
        <v>Support</v>
      </c>
      <c r="BB69">
        <f>survey_responses[[#This Row],[Tôi thấy Nhà nước đã giải thích rõ ràng, minh bạch về lý do và mục tiêu của việc sửa đổi thuế lần này. - HUMAN-TRU4]]</f>
        <v>3</v>
      </c>
      <c r="BC69" t="str">
        <f t="shared" si="49"/>
        <v>Oppose</v>
      </c>
      <c r="BD69" s="32">
        <f t="shared" si="50"/>
        <v>5</v>
      </c>
      <c r="BE69">
        <f>step3_validation[[#This Row],[AI_OUT1]]</f>
        <v>9</v>
      </c>
      <c r="BF69" t="str">
        <f t="shared" si="51"/>
        <v>Support</v>
      </c>
      <c r="BG69">
        <f>survey_responses[[#This Row],[Sau khi xem xét các quyền lợi và nghĩa vụ, bạn có ủng hộ và tuân thủ chính sách mới hiện nay? - HUMAN-OUT1]]</f>
        <v>5</v>
      </c>
      <c r="BH69" t="str">
        <f t="shared" si="52"/>
        <v>Neutral</v>
      </c>
      <c r="BI69" s="32">
        <f t="shared" si="53"/>
        <v>4</v>
      </c>
    </row>
    <row r="70" spans="1:61" x14ac:dyDescent="0.45">
      <c r="A70" s="30">
        <f>step3_validation[[#This Row],[Persona_ID]]</f>
        <v>69</v>
      </c>
      <c r="B70" s="31">
        <f>step3_validation[[#This Row],[Used_Seed]]</f>
        <v>69</v>
      </c>
      <c r="C70" t="str">
        <f>step3_validation[[#This Row],[Gender]]</f>
        <v>Nam</v>
      </c>
      <c r="D70" t="str">
        <f>survey_responses[[#This Row],[Giới tính của bạn:]]</f>
        <v>Nam</v>
      </c>
      <c r="E70" t="str">
        <f>step3_validation[[#This Row],[Age_Group]]</f>
        <v>25 - 29</v>
      </c>
      <c r="F70" t="str">
        <f>survey_responses[[#This Row],[Độ tuổi của bạn:]]</f>
        <v>25 - 29</v>
      </c>
      <c r="G70" t="str">
        <f>step3_validation[[#This Row],[Region]]</f>
        <v>Thành thị</v>
      </c>
      <c r="H70" t="str">
        <f>survey_responses[[#This Row],[Khu vực bạn đang sinh sống:]]</f>
        <v>Thành thị</v>
      </c>
      <c r="I70" t="str">
        <f>step3_validation[[#This Row],[Education]]</f>
        <v>Đại học</v>
      </c>
      <c r="J70" t="str">
        <f>survey_responses[[#This Row],[Trình độ học vấn cao nhất:]]</f>
        <v>Đại học</v>
      </c>
      <c r="K70" t="str">
        <f>step3_validation[[#This Row],[Employment]]</f>
        <v>Chính thức</v>
      </c>
      <c r="L70" t="str">
        <f>survey_responses[[#This Row],[Tình trạng việc làm chính:]]</f>
        <v>Khu vực chính thức (Có Hợp đồng lao động, đóng BHXH)</v>
      </c>
      <c r="M70">
        <f>step3_validation[[#This Row],[Income_Mil]]</f>
        <v>20.3214895008627</v>
      </c>
      <c r="N70" t="str">
        <f>survey_responses[[#This Row],[Thu nhập bình quân tháng theo Hợp đồng lao động của bạn là bao nhiêu? (Vui lòng điền tổng thu nhập trước khi khấu trừ các loại Bảo hiểm (BHXH, BHYT, BHTN) và Thuế TNCN)]]</f>
        <v>Từ 18 - 23 triệu VNĐ</v>
      </c>
      <c r="O70">
        <f>step3_validation[[#This Row],[Dependents]]</f>
        <v>0</v>
      </c>
      <c r="P70" t="str">
        <f>survey_responses[[#This Row],[Số người phụ thuộc (con nhỏ, cha mẹ già...) đủ điều kiện giảm trừ gia cảnh:]]</f>
        <v>0 người</v>
      </c>
      <c r="Q70">
        <f>step3_validation[[#This Row],[AI_ENF1]]</f>
        <v>8</v>
      </c>
      <c r="R70" t="str">
        <f t="shared" si="27"/>
        <v>Support</v>
      </c>
      <c r="S70">
        <f>survey_responses[[#This Row],[Tôi tin rằng với các quy định quản lý thuế hiện nay, hành vi gian lận hoặc trốn thuế sẽ dễ dàng bị phát hiện và xử lý nghiêm. - HUMAN-ENF1]]</f>
        <v>7</v>
      </c>
      <c r="T70" t="str">
        <f t="shared" si="28"/>
        <v>Neutral</v>
      </c>
      <c r="U70" s="32">
        <f t="shared" si="29"/>
        <v>1</v>
      </c>
      <c r="V70">
        <f>step3_validation[[#This Row],[AI_ENF2]]</f>
        <v>9</v>
      </c>
      <c r="W70" t="str">
        <f t="shared" si="30"/>
        <v>Support</v>
      </c>
      <c r="X70">
        <f>survey_responses[[#This Row],[Tôi tin rằng Nhà nước, cơ quan thuế có đủ khả năng và công nghệ để phát hiện, xử lý nghiêm các hành vi trốn thuế. - HUMAN-ENF2]]</f>
        <v>7</v>
      </c>
      <c r="Y70" t="str">
        <f t="shared" si="31"/>
        <v>Neutral</v>
      </c>
      <c r="Z70" s="32">
        <f t="shared" si="32"/>
        <v>2</v>
      </c>
      <c r="AA70">
        <f>step3_validation[[#This Row],[AI_FAC1]]</f>
        <v>7</v>
      </c>
      <c r="AB70" t="str">
        <f t="shared" si="33"/>
        <v>Neutral</v>
      </c>
      <c r="AC70">
        <f>survey_responses[[#This Row],[Các thủ tục khai báo thuế VÀ/HOẶC quy trình làm việc với cơ quan thuế đơn giản, tiện lợi, nhanh chóng hơn so với trước đây. - HUMAN-FAC1]]</f>
        <v>8</v>
      </c>
      <c r="AD70" t="str">
        <f t="shared" si="34"/>
        <v>Support</v>
      </c>
      <c r="AE70" s="32">
        <f t="shared" si="35"/>
        <v>1</v>
      </c>
      <c r="AF70">
        <f>step3_validation[[#This Row],[AI_FAC2]]</f>
        <v>9</v>
      </c>
      <c r="AG70" t="str">
        <f t="shared" si="36"/>
        <v>Support</v>
      </c>
      <c r="AH70">
        <f>survey_responses[[#This Row],[So với trước đây, tôi thấy cách tính thuế và các bậc thuế trong phương án mới đơn giản, dễ hiểu và dễ thực hiện hơn. - HUMAN-FAC2]]</f>
        <v>9</v>
      </c>
      <c r="AI70" t="str">
        <f t="shared" si="37"/>
        <v>Support</v>
      </c>
      <c r="AJ70" s="32">
        <f t="shared" si="38"/>
        <v>0</v>
      </c>
      <c r="AK70">
        <f>step3_validation[[#This Row],[AI_TRU1]]</f>
        <v>8</v>
      </c>
      <c r="AL70" t="str">
        <f t="shared" si="39"/>
        <v>Support</v>
      </c>
      <c r="AM70">
        <f>survey_responses[[#This Row],[Tôi tin rằng Nhà nước, cơ quan thuế sẽ thực thi chính sách mới một cách khách quan, công tâm và đối xử bình đẳng với mọi người nộp thuế.  - HUMAN-TRU1]]</f>
        <v>8</v>
      </c>
      <c r="AN70" t="str">
        <f t="shared" si="40"/>
        <v>Support</v>
      </c>
      <c r="AO70" s="32">
        <f t="shared" si="41"/>
        <v>0</v>
      </c>
      <c r="AP70">
        <f>step3_validation[[#This Row],[AI_TRU2]]</f>
        <v>9</v>
      </c>
      <c r="AQ70" t="str">
        <f t="shared" si="42"/>
        <v>Support</v>
      </c>
      <c r="AR70">
        <f>survey_responses[[#This Row],[Tôi thấy mức thuế tôi phải đóng theo phương án mới là công bằng (người thu nhập như tôi đóng mức này là hợp lý). - HUMAN-TRU2]]</f>
        <v>10</v>
      </c>
      <c r="AS70" t="str">
        <f t="shared" si="43"/>
        <v>Support</v>
      </c>
      <c r="AT70" s="32">
        <f t="shared" si="44"/>
        <v>1</v>
      </c>
      <c r="AU70">
        <f>step3_validation[[#This Row],[AI_TRU3]]</f>
        <v>8</v>
      </c>
      <c r="AV70" t="str">
        <f t="shared" si="45"/>
        <v>Support</v>
      </c>
      <c r="AW70">
        <f>survey_responses[[#This Row],[Tôi tin tưởng số tiền thuế tôi đóng sẽ được Nhà nước sử dụng hiệu quả để cải thiện dịch vụ công (y tế, đường xá...). - HUMAN-TRU3]]</f>
        <v>9</v>
      </c>
      <c r="AX70" t="str">
        <f t="shared" si="46"/>
        <v>Support</v>
      </c>
      <c r="AY70" s="32">
        <f t="shared" si="47"/>
        <v>1</v>
      </c>
      <c r="AZ70">
        <f>step3_validation[[#This Row],[AI_TRU4]]</f>
        <v>9</v>
      </c>
      <c r="BA70" t="str">
        <f t="shared" si="48"/>
        <v>Support</v>
      </c>
      <c r="BB70">
        <f>survey_responses[[#This Row],[Tôi thấy Nhà nước đã giải thích rõ ràng, minh bạch về lý do và mục tiêu của việc sửa đổi thuế lần này. - HUMAN-TRU4]]</f>
        <v>9</v>
      </c>
      <c r="BC70" t="str">
        <f t="shared" si="49"/>
        <v>Support</v>
      </c>
      <c r="BD70" s="32">
        <f t="shared" si="50"/>
        <v>0</v>
      </c>
      <c r="BE70">
        <f>step3_validation[[#This Row],[AI_OUT1]]</f>
        <v>8</v>
      </c>
      <c r="BF70" t="str">
        <f t="shared" si="51"/>
        <v>Support</v>
      </c>
      <c r="BG70">
        <f>survey_responses[[#This Row],[Sau khi xem xét các quyền lợi và nghĩa vụ, bạn có ủng hộ và tuân thủ chính sách mới hiện nay? - HUMAN-OUT1]]</f>
        <v>9</v>
      </c>
      <c r="BH70" t="str">
        <f t="shared" si="52"/>
        <v>Support</v>
      </c>
      <c r="BI70" s="32">
        <f t="shared" si="53"/>
        <v>1</v>
      </c>
    </row>
    <row r="71" spans="1:61" x14ac:dyDescent="0.45">
      <c r="A71" s="30">
        <f>step3_validation[[#This Row],[Persona_ID]]</f>
        <v>70</v>
      </c>
      <c r="B71" s="31">
        <f>step3_validation[[#This Row],[Used_Seed]]</f>
        <v>70</v>
      </c>
      <c r="C71" t="str">
        <f>step3_validation[[#This Row],[Gender]]</f>
        <v>Nam</v>
      </c>
      <c r="D71" t="str">
        <f>survey_responses[[#This Row],[Giới tính của bạn:]]</f>
        <v>Nam</v>
      </c>
      <c r="E71" t="str">
        <f>step3_validation[[#This Row],[Age_Group]]</f>
        <v>40 - 49</v>
      </c>
      <c r="F71" t="str">
        <f>survey_responses[[#This Row],[Độ tuổi của bạn:]]</f>
        <v>40 - 49</v>
      </c>
      <c r="G71" t="str">
        <f>step3_validation[[#This Row],[Region]]</f>
        <v>Thành thị</v>
      </c>
      <c r="H71" t="str">
        <f>survey_responses[[#This Row],[Khu vực bạn đang sinh sống:]]</f>
        <v>Thành thị</v>
      </c>
      <c r="I71" t="str">
        <f>step3_validation[[#This Row],[Education]]</f>
        <v>Sau Đại học</v>
      </c>
      <c r="J71" t="str">
        <f>survey_responses[[#This Row],[Trình độ học vấn cao nhất:]]</f>
        <v>Sau Đại học</v>
      </c>
      <c r="K71" t="str">
        <f>step3_validation[[#This Row],[Employment]]</f>
        <v>Phi chính thức</v>
      </c>
      <c r="L71" t="str">
        <f>survey_responses[[#This Row],[Tình trạng việc làm chính:]]</f>
        <v>Khu vực phi chính thức (Lao động tự do, không có HĐLĐ)</v>
      </c>
      <c r="M71">
        <f>step3_validation[[#This Row],[Income_Mil]]</f>
        <v>158.34875709184115</v>
      </c>
      <c r="N71" t="str">
        <f>survey_responses[[#This Row],[Thu nhập bình quân tháng theo Hợp đồng lao động của bạn là bao nhiêu? (Vui lòng điền tổng thu nhập trước khi khấu trừ các loại Bảo hiểm (BHXH, BHYT, BHTN) và Thuế TNCN)]]</f>
        <v>Trên 102 triệu VNĐ</v>
      </c>
      <c r="O71">
        <f>step3_validation[[#This Row],[Dependents]]</f>
        <v>1</v>
      </c>
      <c r="P71" t="str">
        <f>survey_responses[[#This Row],[Số người phụ thuộc (con nhỏ, cha mẹ già...) đủ điều kiện giảm trừ gia cảnh:]]</f>
        <v>1 người</v>
      </c>
      <c r="Q71">
        <f>step3_validation[[#This Row],[AI_ENF1]]</f>
        <v>7</v>
      </c>
      <c r="R71" t="str">
        <f t="shared" si="27"/>
        <v>Neutral</v>
      </c>
      <c r="S71">
        <f>survey_responses[[#This Row],[Tôi tin rằng với các quy định quản lý thuế hiện nay, hành vi gian lận hoặc trốn thuế sẽ dễ dàng bị phát hiện và xử lý nghiêm. - HUMAN-ENF1]]</f>
        <v>6</v>
      </c>
      <c r="T71" t="str">
        <f t="shared" si="28"/>
        <v>Neutral</v>
      </c>
      <c r="U71" s="32">
        <f t="shared" si="29"/>
        <v>1</v>
      </c>
      <c r="V71">
        <f>step3_validation[[#This Row],[AI_ENF2]]</f>
        <v>8</v>
      </c>
      <c r="W71" t="str">
        <f t="shared" si="30"/>
        <v>Support</v>
      </c>
      <c r="X71">
        <f>survey_responses[[#This Row],[Tôi tin rằng Nhà nước, cơ quan thuế có đủ khả năng và công nghệ để phát hiện, xử lý nghiêm các hành vi trốn thuế. - HUMAN-ENF2]]</f>
        <v>6</v>
      </c>
      <c r="Y71" t="str">
        <f t="shared" si="31"/>
        <v>Neutral</v>
      </c>
      <c r="Z71" s="32">
        <f t="shared" si="32"/>
        <v>2</v>
      </c>
      <c r="AA71">
        <f>step3_validation[[#This Row],[AI_FAC1]]</f>
        <v>6</v>
      </c>
      <c r="AB71" t="str">
        <f t="shared" si="33"/>
        <v>Neutral</v>
      </c>
      <c r="AC71">
        <f>survey_responses[[#This Row],[Các thủ tục khai báo thuế VÀ/HOẶC quy trình làm việc với cơ quan thuế đơn giản, tiện lợi, nhanh chóng hơn so với trước đây. - HUMAN-FAC1]]</f>
        <v>5</v>
      </c>
      <c r="AD71" t="str">
        <f t="shared" si="34"/>
        <v>Neutral</v>
      </c>
      <c r="AE71" s="32">
        <f t="shared" si="35"/>
        <v>1</v>
      </c>
      <c r="AF71">
        <f>step3_validation[[#This Row],[AI_FAC2]]</f>
        <v>9</v>
      </c>
      <c r="AG71" t="str">
        <f t="shared" si="36"/>
        <v>Support</v>
      </c>
      <c r="AH71">
        <f>survey_responses[[#This Row],[So với trước đây, tôi thấy cách tính thuế và các bậc thuế trong phương án mới đơn giản, dễ hiểu và dễ thực hiện hơn. - HUMAN-FAC2]]</f>
        <v>5</v>
      </c>
      <c r="AI71" t="str">
        <f t="shared" si="37"/>
        <v>Neutral</v>
      </c>
      <c r="AJ71" s="32">
        <f t="shared" si="38"/>
        <v>4</v>
      </c>
      <c r="AK71">
        <f>step3_validation[[#This Row],[AI_TRU1]]</f>
        <v>7</v>
      </c>
      <c r="AL71" t="str">
        <f t="shared" si="39"/>
        <v>Neutral</v>
      </c>
      <c r="AM71">
        <f>survey_responses[[#This Row],[Tôi tin rằng Nhà nước, cơ quan thuế sẽ thực thi chính sách mới một cách khách quan, công tâm và đối xử bình đẳng với mọi người nộp thuế.  - HUMAN-TRU1]]</f>
        <v>5</v>
      </c>
      <c r="AN71" t="str">
        <f t="shared" si="40"/>
        <v>Neutral</v>
      </c>
      <c r="AO71" s="32">
        <f t="shared" si="41"/>
        <v>2</v>
      </c>
      <c r="AP71">
        <f>step3_validation[[#This Row],[AI_TRU2]]</f>
        <v>8</v>
      </c>
      <c r="AQ71" t="str">
        <f t="shared" si="42"/>
        <v>Support</v>
      </c>
      <c r="AR71">
        <f>survey_responses[[#This Row],[Tôi thấy mức thuế tôi phải đóng theo phương án mới là công bằng (người thu nhập như tôi đóng mức này là hợp lý). - HUMAN-TRU2]]</f>
        <v>1</v>
      </c>
      <c r="AS71" t="str">
        <f t="shared" si="43"/>
        <v>Oppose</v>
      </c>
      <c r="AT71" s="32">
        <f t="shared" si="44"/>
        <v>7</v>
      </c>
      <c r="AU71">
        <f>step3_validation[[#This Row],[AI_TRU3]]</f>
        <v>7</v>
      </c>
      <c r="AV71" t="str">
        <f t="shared" si="45"/>
        <v>Neutral</v>
      </c>
      <c r="AW71">
        <f>survey_responses[[#This Row],[Tôi tin tưởng số tiền thuế tôi đóng sẽ được Nhà nước sử dụng hiệu quả để cải thiện dịch vụ công (y tế, đường xá...). - HUMAN-TRU3]]</f>
        <v>5</v>
      </c>
      <c r="AX71" t="str">
        <f t="shared" si="46"/>
        <v>Neutral</v>
      </c>
      <c r="AY71" s="32">
        <f t="shared" si="47"/>
        <v>2</v>
      </c>
      <c r="AZ71">
        <f>step3_validation[[#This Row],[AI_TRU4]]</f>
        <v>6</v>
      </c>
      <c r="BA71" t="str">
        <f t="shared" si="48"/>
        <v>Neutral</v>
      </c>
      <c r="BB71">
        <f>survey_responses[[#This Row],[Tôi thấy Nhà nước đã giải thích rõ ràng, minh bạch về lý do và mục tiêu của việc sửa đổi thuế lần này. - HUMAN-TRU4]]</f>
        <v>5</v>
      </c>
      <c r="BC71" t="str">
        <f t="shared" si="49"/>
        <v>Neutral</v>
      </c>
      <c r="BD71" s="32">
        <f t="shared" si="50"/>
        <v>1</v>
      </c>
      <c r="BE71">
        <f>step3_validation[[#This Row],[AI_OUT1]]</f>
        <v>8</v>
      </c>
      <c r="BF71" t="str">
        <f t="shared" si="51"/>
        <v>Support</v>
      </c>
      <c r="BG71">
        <f>survey_responses[[#This Row],[Sau khi xem xét các quyền lợi và nghĩa vụ, bạn có ủng hộ và tuân thủ chính sách mới hiện nay? - HUMAN-OUT1]]</f>
        <v>5</v>
      </c>
      <c r="BH71" t="str">
        <f t="shared" si="52"/>
        <v>Neutral</v>
      </c>
      <c r="BI71" s="32">
        <f t="shared" si="53"/>
        <v>3</v>
      </c>
    </row>
    <row r="72" spans="1:61" x14ac:dyDescent="0.45">
      <c r="A72" s="30">
        <f>step3_validation[[#This Row],[Persona_ID]]</f>
        <v>71</v>
      </c>
      <c r="B72" s="31">
        <f>step3_validation[[#This Row],[Used_Seed]]</f>
        <v>71</v>
      </c>
      <c r="C72" t="str">
        <f>step3_validation[[#This Row],[Gender]]</f>
        <v>Nữ</v>
      </c>
      <c r="D72" t="str">
        <f>survey_responses[[#This Row],[Giới tính của bạn:]]</f>
        <v>Nữ</v>
      </c>
      <c r="E72" t="str">
        <f>step3_validation[[#This Row],[Age_Group]]</f>
        <v>30 - 39</v>
      </c>
      <c r="F72" t="str">
        <f>survey_responses[[#This Row],[Độ tuổi của bạn:]]</f>
        <v>30 - 39</v>
      </c>
      <c r="G72" t="str">
        <f>step3_validation[[#This Row],[Region]]</f>
        <v>Thành thị</v>
      </c>
      <c r="H72" t="str">
        <f>survey_responses[[#This Row],[Khu vực bạn đang sinh sống:]]</f>
        <v>Thành thị</v>
      </c>
      <c r="I72" t="str">
        <f>step3_validation[[#This Row],[Education]]</f>
        <v>Sau Đại học</v>
      </c>
      <c r="J72" t="str">
        <f>survey_responses[[#This Row],[Trình độ học vấn cao nhất:]]</f>
        <v>Sau Đại học</v>
      </c>
      <c r="K72" t="str">
        <f>step3_validation[[#This Row],[Employment]]</f>
        <v>Chính thức</v>
      </c>
      <c r="L72" t="str">
        <f>survey_responses[[#This Row],[Tình trạng việc làm chính:]]</f>
        <v>Khu vực chính thức (Có Hợp đồng lao động, đóng BHXH)</v>
      </c>
      <c r="M72">
        <f>step3_validation[[#This Row],[Income_Mil]]</f>
        <v>25.027309419498422</v>
      </c>
      <c r="N72" t="str">
        <f>survey_responses[[#This Row],[Thu nhập bình quân tháng theo Hợp đồng lao động của bạn là bao nhiêu? (Vui lòng điền tổng thu nhập trước khi khấu trừ các loại Bảo hiểm (BHXH, BHYT, BHTN) và Thuế TNCN)]]</f>
        <v>Từ 23 - 32 triệu VNĐ</v>
      </c>
      <c r="O72">
        <f>step3_validation[[#This Row],[Dependents]]</f>
        <v>2</v>
      </c>
      <c r="P72" t="str">
        <f>survey_responses[[#This Row],[Số người phụ thuộc (con nhỏ, cha mẹ già...) đủ điều kiện giảm trừ gia cảnh:]]</f>
        <v>2 người</v>
      </c>
      <c r="Q72">
        <f>step3_validation[[#This Row],[AI_ENF1]]</f>
        <v>7</v>
      </c>
      <c r="R72" t="str">
        <f t="shared" si="27"/>
        <v>Neutral</v>
      </c>
      <c r="S72">
        <f>survey_responses[[#This Row],[Tôi tin rằng với các quy định quản lý thuế hiện nay, hành vi gian lận hoặc trốn thuế sẽ dễ dàng bị phát hiện và xử lý nghiêm. - HUMAN-ENF1]]</f>
        <v>3</v>
      </c>
      <c r="T72" t="str">
        <f t="shared" si="28"/>
        <v>Oppose</v>
      </c>
      <c r="U72" s="32">
        <f t="shared" si="29"/>
        <v>4</v>
      </c>
      <c r="V72">
        <f>step3_validation[[#This Row],[AI_ENF2]]</f>
        <v>6</v>
      </c>
      <c r="W72" t="str">
        <f t="shared" si="30"/>
        <v>Neutral</v>
      </c>
      <c r="X72">
        <f>survey_responses[[#This Row],[Tôi tin rằng Nhà nước, cơ quan thuế có đủ khả năng và công nghệ để phát hiện, xử lý nghiêm các hành vi trốn thuế. - HUMAN-ENF2]]</f>
        <v>3</v>
      </c>
      <c r="Y72" t="str">
        <f t="shared" si="31"/>
        <v>Oppose</v>
      </c>
      <c r="Z72" s="32">
        <f t="shared" si="32"/>
        <v>3</v>
      </c>
      <c r="AA72">
        <f>step3_validation[[#This Row],[AI_FAC1]]</f>
        <v>8</v>
      </c>
      <c r="AB72" t="str">
        <f t="shared" si="33"/>
        <v>Support</v>
      </c>
      <c r="AC72">
        <f>survey_responses[[#This Row],[Các thủ tục khai báo thuế VÀ/HOẶC quy trình làm việc với cơ quan thuế đơn giản, tiện lợi, nhanh chóng hơn so với trước đây. - HUMAN-FAC1]]</f>
        <v>3</v>
      </c>
      <c r="AD72" t="str">
        <f t="shared" si="34"/>
        <v>Oppose</v>
      </c>
      <c r="AE72" s="32">
        <f t="shared" si="35"/>
        <v>5</v>
      </c>
      <c r="AF72">
        <f>step3_validation[[#This Row],[AI_FAC2]]</f>
        <v>9</v>
      </c>
      <c r="AG72" t="str">
        <f t="shared" si="36"/>
        <v>Support</v>
      </c>
      <c r="AH72">
        <f>survey_responses[[#This Row],[So với trước đây, tôi thấy cách tính thuế và các bậc thuế trong phương án mới đơn giản, dễ hiểu và dễ thực hiện hơn. - HUMAN-FAC2]]</f>
        <v>5</v>
      </c>
      <c r="AI72" t="str">
        <f t="shared" si="37"/>
        <v>Neutral</v>
      </c>
      <c r="AJ72" s="32">
        <f t="shared" si="38"/>
        <v>4</v>
      </c>
      <c r="AK72">
        <f>step3_validation[[#This Row],[AI_TRU1]]</f>
        <v>7</v>
      </c>
      <c r="AL72" t="str">
        <f t="shared" si="39"/>
        <v>Neutral</v>
      </c>
      <c r="AM72">
        <f>survey_responses[[#This Row],[Tôi tin rằng Nhà nước, cơ quan thuế sẽ thực thi chính sách mới một cách khách quan, công tâm và đối xử bình đẳng với mọi người nộp thuế.  - HUMAN-TRU1]]</f>
        <v>3</v>
      </c>
      <c r="AN72" t="str">
        <f t="shared" si="40"/>
        <v>Oppose</v>
      </c>
      <c r="AO72" s="32">
        <f t="shared" si="41"/>
        <v>4</v>
      </c>
      <c r="AP72">
        <f>step3_validation[[#This Row],[AI_TRU2]]</f>
        <v>9</v>
      </c>
      <c r="AQ72" t="str">
        <f t="shared" si="42"/>
        <v>Support</v>
      </c>
      <c r="AR72">
        <f>survey_responses[[#This Row],[Tôi thấy mức thuế tôi phải đóng theo phương án mới là công bằng (người thu nhập như tôi đóng mức này là hợp lý). - HUMAN-TRU2]]</f>
        <v>3</v>
      </c>
      <c r="AS72" t="str">
        <f t="shared" si="43"/>
        <v>Oppose</v>
      </c>
      <c r="AT72" s="32">
        <f t="shared" si="44"/>
        <v>6</v>
      </c>
      <c r="AU72">
        <f>step3_validation[[#This Row],[AI_TRU3]]</f>
        <v>8</v>
      </c>
      <c r="AV72" t="str">
        <f t="shared" si="45"/>
        <v>Support</v>
      </c>
      <c r="AW72">
        <f>survey_responses[[#This Row],[Tôi tin tưởng số tiền thuế tôi đóng sẽ được Nhà nước sử dụng hiệu quả để cải thiện dịch vụ công (y tế, đường xá...). - HUMAN-TRU3]]</f>
        <v>3</v>
      </c>
      <c r="AX72" t="str">
        <f t="shared" si="46"/>
        <v>Oppose</v>
      </c>
      <c r="AY72" s="32">
        <f t="shared" si="47"/>
        <v>5</v>
      </c>
      <c r="AZ72">
        <f>step3_validation[[#This Row],[AI_TRU4]]</f>
        <v>7</v>
      </c>
      <c r="BA72" t="str">
        <f t="shared" si="48"/>
        <v>Neutral</v>
      </c>
      <c r="BB72">
        <f>survey_responses[[#This Row],[Tôi thấy Nhà nước đã giải thích rõ ràng, minh bạch về lý do và mục tiêu của việc sửa đổi thuế lần này. - HUMAN-TRU4]]</f>
        <v>3</v>
      </c>
      <c r="BC72" t="str">
        <f t="shared" si="49"/>
        <v>Oppose</v>
      </c>
      <c r="BD72" s="32">
        <f t="shared" si="50"/>
        <v>4</v>
      </c>
      <c r="BE72">
        <f>step3_validation[[#This Row],[AI_OUT1]]</f>
        <v>9</v>
      </c>
      <c r="BF72" t="str">
        <f t="shared" si="51"/>
        <v>Support</v>
      </c>
      <c r="BG72">
        <f>survey_responses[[#This Row],[Sau khi xem xét các quyền lợi và nghĩa vụ, bạn có ủng hộ và tuân thủ chính sách mới hiện nay? - HUMAN-OUT1]]</f>
        <v>4</v>
      </c>
      <c r="BH72" t="str">
        <f t="shared" si="52"/>
        <v>Oppose</v>
      </c>
      <c r="BI72" s="32">
        <f t="shared" si="53"/>
        <v>5</v>
      </c>
    </row>
    <row r="73" spans="1:61" x14ac:dyDescent="0.45">
      <c r="A73" s="30">
        <f>step3_validation[[#This Row],[Persona_ID]]</f>
        <v>72</v>
      </c>
      <c r="B73" s="31">
        <f>step3_validation[[#This Row],[Used_Seed]]</f>
        <v>72</v>
      </c>
      <c r="C73" t="str">
        <f>step3_validation[[#This Row],[Gender]]</f>
        <v>Nam</v>
      </c>
      <c r="D73" t="str">
        <f>survey_responses[[#This Row],[Giới tính của bạn:]]</f>
        <v>Nam</v>
      </c>
      <c r="E73" t="str">
        <f>step3_validation[[#This Row],[Age_Group]]</f>
        <v>30 - 39</v>
      </c>
      <c r="F73" t="str">
        <f>survey_responses[[#This Row],[Độ tuổi của bạn:]]</f>
        <v>30 - 39</v>
      </c>
      <c r="G73" t="str">
        <f>step3_validation[[#This Row],[Region]]</f>
        <v>Thành thị</v>
      </c>
      <c r="H73" t="str">
        <f>survey_responses[[#This Row],[Khu vực bạn đang sinh sống:]]</f>
        <v>Thành thị</v>
      </c>
      <c r="I73" t="str">
        <f>step3_validation[[#This Row],[Education]]</f>
        <v>Đại học</v>
      </c>
      <c r="J73" t="str">
        <f>survey_responses[[#This Row],[Trình độ học vấn cao nhất:]]</f>
        <v>Đại học</v>
      </c>
      <c r="K73" t="str">
        <f>step3_validation[[#This Row],[Employment]]</f>
        <v>Phi chính thức</v>
      </c>
      <c r="L73" t="str">
        <f>survey_responses[[#This Row],[Tình trạng việc làm chính:]]</f>
        <v>Khu vực phi chính thức (Lao động tự do, không có HĐLĐ)</v>
      </c>
      <c r="M73">
        <f>step3_validation[[#This Row],[Income_Mil]]</f>
        <v>21.351346937895201</v>
      </c>
      <c r="N73" t="str">
        <f>survey_responses[[#This Row],[Thu nhập bình quân tháng theo Hợp đồng lao động của bạn là bao nhiêu? (Vui lòng điền tổng thu nhập trước khi khấu trừ các loại Bảo hiểm (BHXH, BHYT, BHTN) và Thuế TNCN)]]</f>
        <v>Từ 18 - 23 triệu VNĐ</v>
      </c>
      <c r="O73">
        <f>step3_validation[[#This Row],[Dependents]]</f>
        <v>3</v>
      </c>
      <c r="P73" t="str">
        <f>survey_responses[[#This Row],[Số người phụ thuộc (con nhỏ, cha mẹ già...) đủ điều kiện giảm trừ gia cảnh:]]</f>
        <v>3 người</v>
      </c>
      <c r="Q73">
        <f>step3_validation[[#This Row],[AI_ENF1]]</f>
        <v>5</v>
      </c>
      <c r="R73" t="str">
        <f t="shared" si="27"/>
        <v>Neutral</v>
      </c>
      <c r="S73">
        <f>survey_responses[[#This Row],[Tôi tin rằng với các quy định quản lý thuế hiện nay, hành vi gian lận hoặc trốn thuế sẽ dễ dàng bị phát hiện và xử lý nghiêm. - HUMAN-ENF1]]</f>
        <v>8</v>
      </c>
      <c r="T73" t="str">
        <f t="shared" si="28"/>
        <v>Support</v>
      </c>
      <c r="U73" s="32">
        <f t="shared" si="29"/>
        <v>3</v>
      </c>
      <c r="V73">
        <f>step3_validation[[#This Row],[AI_ENF2]]</f>
        <v>7</v>
      </c>
      <c r="W73" t="str">
        <f t="shared" si="30"/>
        <v>Neutral</v>
      </c>
      <c r="X73">
        <f>survey_responses[[#This Row],[Tôi tin rằng Nhà nước, cơ quan thuế có đủ khả năng và công nghệ để phát hiện, xử lý nghiêm các hành vi trốn thuế. - HUMAN-ENF2]]</f>
        <v>8</v>
      </c>
      <c r="Y73" t="str">
        <f t="shared" si="31"/>
        <v>Support</v>
      </c>
      <c r="Z73" s="32">
        <f t="shared" si="32"/>
        <v>1</v>
      </c>
      <c r="AA73">
        <f>step3_validation[[#This Row],[AI_FAC1]]</f>
        <v>9</v>
      </c>
      <c r="AB73" t="str">
        <f t="shared" si="33"/>
        <v>Support</v>
      </c>
      <c r="AC73">
        <f>survey_responses[[#This Row],[Các thủ tục khai báo thuế VÀ/HOẶC quy trình làm việc với cơ quan thuế đơn giản, tiện lợi, nhanh chóng hơn so với trước đây. - HUMAN-FAC1]]</f>
        <v>4</v>
      </c>
      <c r="AD73" t="str">
        <f t="shared" si="34"/>
        <v>Oppose</v>
      </c>
      <c r="AE73" s="32">
        <f t="shared" si="35"/>
        <v>5</v>
      </c>
      <c r="AF73">
        <f>step3_validation[[#This Row],[AI_FAC2]]</f>
        <v>6</v>
      </c>
      <c r="AG73" t="str">
        <f t="shared" si="36"/>
        <v>Neutral</v>
      </c>
      <c r="AH73">
        <f>survey_responses[[#This Row],[So với trước đây, tôi thấy cách tính thuế và các bậc thuế trong phương án mới đơn giản, dễ hiểu và dễ thực hiện hơn. - HUMAN-FAC2]]</f>
        <v>2</v>
      </c>
      <c r="AI73" t="str">
        <f t="shared" si="37"/>
        <v>Oppose</v>
      </c>
      <c r="AJ73" s="32">
        <f t="shared" si="38"/>
        <v>4</v>
      </c>
      <c r="AK73">
        <f>step3_validation[[#This Row],[AI_TRU1]]</f>
        <v>8</v>
      </c>
      <c r="AL73" t="str">
        <f t="shared" si="39"/>
        <v>Support</v>
      </c>
      <c r="AM73">
        <f>survey_responses[[#This Row],[Tôi tin rằng Nhà nước, cơ quan thuế sẽ thực thi chính sách mới một cách khách quan, công tâm và đối xử bình đẳng với mọi người nộp thuế.  - HUMAN-TRU1]]</f>
        <v>6</v>
      </c>
      <c r="AN73" t="str">
        <f t="shared" si="40"/>
        <v>Neutral</v>
      </c>
      <c r="AO73" s="32">
        <f t="shared" si="41"/>
        <v>2</v>
      </c>
      <c r="AP73">
        <f>step3_validation[[#This Row],[AI_TRU2]]</f>
        <v>9</v>
      </c>
      <c r="AQ73" t="str">
        <f t="shared" si="42"/>
        <v>Support</v>
      </c>
      <c r="AR73">
        <f>survey_responses[[#This Row],[Tôi thấy mức thuế tôi phải đóng theo phương án mới là công bằng (người thu nhập như tôi đóng mức này là hợp lý). - HUMAN-TRU2]]</f>
        <v>3</v>
      </c>
      <c r="AS73" t="str">
        <f t="shared" si="43"/>
        <v>Oppose</v>
      </c>
      <c r="AT73" s="32">
        <f t="shared" si="44"/>
        <v>6</v>
      </c>
      <c r="AU73">
        <f>step3_validation[[#This Row],[AI_TRU3]]</f>
        <v>7</v>
      </c>
      <c r="AV73" t="str">
        <f t="shared" si="45"/>
        <v>Neutral</v>
      </c>
      <c r="AW73">
        <f>survey_responses[[#This Row],[Tôi tin tưởng số tiền thuế tôi đóng sẽ được Nhà nước sử dụng hiệu quả để cải thiện dịch vụ công (y tế, đường xá...). - HUMAN-TRU3]]</f>
        <v>8</v>
      </c>
      <c r="AX73" t="str">
        <f t="shared" si="46"/>
        <v>Support</v>
      </c>
      <c r="AY73" s="32">
        <f t="shared" si="47"/>
        <v>1</v>
      </c>
      <c r="AZ73">
        <f>step3_validation[[#This Row],[AI_TRU4]]</f>
        <v>8</v>
      </c>
      <c r="BA73" t="str">
        <f t="shared" si="48"/>
        <v>Support</v>
      </c>
      <c r="BB73">
        <f>survey_responses[[#This Row],[Tôi thấy Nhà nước đã giải thích rõ ràng, minh bạch về lý do và mục tiêu của việc sửa đổi thuế lần này. - HUMAN-TRU4]]</f>
        <v>4</v>
      </c>
      <c r="BC73" t="str">
        <f t="shared" si="49"/>
        <v>Oppose</v>
      </c>
      <c r="BD73" s="32">
        <f t="shared" si="50"/>
        <v>4</v>
      </c>
      <c r="BE73">
        <f>step3_validation[[#This Row],[AI_OUT1]]</f>
        <v>9</v>
      </c>
      <c r="BF73" t="str">
        <f t="shared" si="51"/>
        <v>Support</v>
      </c>
      <c r="BG73">
        <f>survey_responses[[#This Row],[Sau khi xem xét các quyền lợi và nghĩa vụ, bạn có ủng hộ và tuân thủ chính sách mới hiện nay? - HUMAN-OUT1]]</f>
        <v>8</v>
      </c>
      <c r="BH73" t="str">
        <f t="shared" si="52"/>
        <v>Support</v>
      </c>
      <c r="BI73" s="32">
        <f t="shared" si="53"/>
        <v>1</v>
      </c>
    </row>
    <row r="74" spans="1:61" x14ac:dyDescent="0.45">
      <c r="A74" s="30">
        <f>step3_validation[[#This Row],[Persona_ID]]</f>
        <v>73</v>
      </c>
      <c r="B74" s="31">
        <f>step3_validation[[#This Row],[Used_Seed]]</f>
        <v>73</v>
      </c>
      <c r="C74" t="str">
        <f>step3_validation[[#This Row],[Gender]]</f>
        <v>Nam</v>
      </c>
      <c r="D74" t="str">
        <f>survey_responses[[#This Row],[Giới tính của bạn:]]</f>
        <v>Nam</v>
      </c>
      <c r="E74" t="str">
        <f>step3_validation[[#This Row],[Age_Group]]</f>
        <v>18 - 24</v>
      </c>
      <c r="F74" t="str">
        <f>survey_responses[[#This Row],[Độ tuổi của bạn:]]</f>
        <v>18 - 24</v>
      </c>
      <c r="G74" t="str">
        <f>step3_validation[[#This Row],[Region]]</f>
        <v>Thành thị</v>
      </c>
      <c r="H74" t="str">
        <f>survey_responses[[#This Row],[Khu vực bạn đang sinh sống:]]</f>
        <v>Thành thị</v>
      </c>
      <c r="I74" t="str">
        <f>step3_validation[[#This Row],[Education]]</f>
        <v>Trung học phổ thông</v>
      </c>
      <c r="J74" t="str">
        <f>survey_responses[[#This Row],[Trình độ học vấn cao nhất:]]</f>
        <v>Trung học phổ thông</v>
      </c>
      <c r="K74" t="str">
        <f>step3_validation[[#This Row],[Employment]]</f>
        <v>Chính thức</v>
      </c>
      <c r="L74" t="str">
        <f>survey_responses[[#This Row],[Tình trạng việc làm chính:]]</f>
        <v>Khu vực chính thức (Có Hợp đồng lao động, đóng BHXH)</v>
      </c>
      <c r="M74">
        <f>step3_validation[[#This Row],[Income_Mil]]</f>
        <v>14.463180946440964</v>
      </c>
      <c r="N74" t="str">
        <f>survey_responses[[#This Row],[Thu nhập bình quân tháng theo Hợp đồng lao động của bạn là bao nhiêu? (Vui lòng điền tổng thu nhập trước khi khấu trừ các loại Bảo hiểm (BHXH, BHYT, BHTN) và Thuế TNCN)]]</f>
        <v>Từ 12 - 18 triệu VNĐ</v>
      </c>
      <c r="O74">
        <f>step3_validation[[#This Row],[Dependents]]</f>
        <v>0</v>
      </c>
      <c r="P74" t="str">
        <f>survey_responses[[#This Row],[Số người phụ thuộc (con nhỏ, cha mẹ già...) đủ điều kiện giảm trừ gia cảnh:]]</f>
        <v>0 người</v>
      </c>
      <c r="Q74">
        <f>step3_validation[[#This Row],[AI_ENF1]]</f>
        <v>7</v>
      </c>
      <c r="R74" t="str">
        <f t="shared" si="27"/>
        <v>Neutral</v>
      </c>
      <c r="S74">
        <f>survey_responses[[#This Row],[Tôi tin rằng với các quy định quản lý thuế hiện nay, hành vi gian lận hoặc trốn thuế sẽ dễ dàng bị phát hiện và xử lý nghiêm. - HUMAN-ENF1]]</f>
        <v>5</v>
      </c>
      <c r="T74" t="str">
        <f t="shared" si="28"/>
        <v>Neutral</v>
      </c>
      <c r="U74" s="32">
        <f t="shared" si="29"/>
        <v>2</v>
      </c>
      <c r="V74">
        <f>step3_validation[[#This Row],[AI_ENF2]]</f>
        <v>6</v>
      </c>
      <c r="W74" t="str">
        <f t="shared" si="30"/>
        <v>Neutral</v>
      </c>
      <c r="X74">
        <f>survey_responses[[#This Row],[Tôi tin rằng Nhà nước, cơ quan thuế có đủ khả năng và công nghệ để phát hiện, xử lý nghiêm các hành vi trốn thuế. - HUMAN-ENF2]]</f>
        <v>5</v>
      </c>
      <c r="Y74" t="str">
        <f t="shared" si="31"/>
        <v>Neutral</v>
      </c>
      <c r="Z74" s="32">
        <f t="shared" si="32"/>
        <v>1</v>
      </c>
      <c r="AA74">
        <f>step3_validation[[#This Row],[AI_FAC1]]</f>
        <v>9</v>
      </c>
      <c r="AB74" t="str">
        <f t="shared" si="33"/>
        <v>Support</v>
      </c>
      <c r="AC74">
        <f>survey_responses[[#This Row],[Các thủ tục khai báo thuế VÀ/HOẶC quy trình làm việc với cơ quan thuế đơn giản, tiện lợi, nhanh chóng hơn so với trước đây. - HUMAN-FAC1]]</f>
        <v>5</v>
      </c>
      <c r="AD74" t="str">
        <f t="shared" si="34"/>
        <v>Neutral</v>
      </c>
      <c r="AE74" s="32">
        <f t="shared" si="35"/>
        <v>4</v>
      </c>
      <c r="AF74">
        <f>step3_validation[[#This Row],[AI_FAC2]]</f>
        <v>8</v>
      </c>
      <c r="AG74" t="str">
        <f t="shared" si="36"/>
        <v>Support</v>
      </c>
      <c r="AH74">
        <f>survey_responses[[#This Row],[So với trước đây, tôi thấy cách tính thuế và các bậc thuế trong phương án mới đơn giản, dễ hiểu và dễ thực hiện hơn. - HUMAN-FAC2]]</f>
        <v>5</v>
      </c>
      <c r="AI74" t="str">
        <f t="shared" si="37"/>
        <v>Neutral</v>
      </c>
      <c r="AJ74" s="32">
        <f t="shared" si="38"/>
        <v>3</v>
      </c>
      <c r="AK74">
        <f>step3_validation[[#This Row],[AI_TRU1]]</f>
        <v>7</v>
      </c>
      <c r="AL74" t="str">
        <f t="shared" si="39"/>
        <v>Neutral</v>
      </c>
      <c r="AM74">
        <f>survey_responses[[#This Row],[Tôi tin rằng Nhà nước, cơ quan thuế sẽ thực thi chính sách mới một cách khách quan, công tâm và đối xử bình đẳng với mọi người nộp thuế.  - HUMAN-TRU1]]</f>
        <v>5</v>
      </c>
      <c r="AN74" t="str">
        <f t="shared" si="40"/>
        <v>Neutral</v>
      </c>
      <c r="AO74" s="32">
        <f t="shared" si="41"/>
        <v>2</v>
      </c>
      <c r="AP74">
        <f>step3_validation[[#This Row],[AI_TRU2]]</f>
        <v>9</v>
      </c>
      <c r="AQ74" t="str">
        <f t="shared" si="42"/>
        <v>Support</v>
      </c>
      <c r="AR74">
        <f>survey_responses[[#This Row],[Tôi thấy mức thuế tôi phải đóng theo phương án mới là công bằng (người thu nhập như tôi đóng mức này là hợp lý). - HUMAN-TRU2]]</f>
        <v>10</v>
      </c>
      <c r="AS74" t="str">
        <f t="shared" si="43"/>
        <v>Support</v>
      </c>
      <c r="AT74" s="32">
        <f t="shared" si="44"/>
        <v>1</v>
      </c>
      <c r="AU74">
        <f>step3_validation[[#This Row],[AI_TRU3]]</f>
        <v>7</v>
      </c>
      <c r="AV74" t="str">
        <f t="shared" si="45"/>
        <v>Neutral</v>
      </c>
      <c r="AW74">
        <f>survey_responses[[#This Row],[Tôi tin tưởng số tiền thuế tôi đóng sẽ được Nhà nước sử dụng hiệu quả để cải thiện dịch vụ công (y tế, đường xá...). - HUMAN-TRU3]]</f>
        <v>5</v>
      </c>
      <c r="AX74" t="str">
        <f t="shared" si="46"/>
        <v>Neutral</v>
      </c>
      <c r="AY74" s="32">
        <f t="shared" si="47"/>
        <v>2</v>
      </c>
      <c r="AZ74">
        <f>step3_validation[[#This Row],[AI_TRU4]]</f>
        <v>6</v>
      </c>
      <c r="BA74" t="str">
        <f t="shared" si="48"/>
        <v>Neutral</v>
      </c>
      <c r="BB74">
        <f>survey_responses[[#This Row],[Tôi thấy Nhà nước đã giải thích rõ ràng, minh bạch về lý do và mục tiêu của việc sửa đổi thuế lần này. - HUMAN-TRU4]]</f>
        <v>5</v>
      </c>
      <c r="BC74" t="str">
        <f t="shared" si="49"/>
        <v>Neutral</v>
      </c>
      <c r="BD74" s="32">
        <f t="shared" si="50"/>
        <v>1</v>
      </c>
      <c r="BE74">
        <f>step3_validation[[#This Row],[AI_OUT1]]</f>
        <v>9</v>
      </c>
      <c r="BF74" t="str">
        <f t="shared" si="51"/>
        <v>Support</v>
      </c>
      <c r="BG74">
        <f>survey_responses[[#This Row],[Sau khi xem xét các quyền lợi và nghĩa vụ, bạn có ủng hộ và tuân thủ chính sách mới hiện nay? - HUMAN-OUT1]]</f>
        <v>10</v>
      </c>
      <c r="BH74" t="str">
        <f t="shared" si="52"/>
        <v>Support</v>
      </c>
      <c r="BI74" s="32">
        <f t="shared" si="53"/>
        <v>1</v>
      </c>
    </row>
    <row r="75" spans="1:61" x14ac:dyDescent="0.45">
      <c r="A75" s="30">
        <f>step3_validation[[#This Row],[Persona_ID]]</f>
        <v>74</v>
      </c>
      <c r="B75" s="31">
        <f>step3_validation[[#This Row],[Used_Seed]]</f>
        <v>74</v>
      </c>
      <c r="C75" t="str">
        <f>step3_validation[[#This Row],[Gender]]</f>
        <v>Nữ</v>
      </c>
      <c r="D75" t="str">
        <f>survey_responses[[#This Row],[Giới tính của bạn:]]</f>
        <v>Nữ</v>
      </c>
      <c r="E75" t="str">
        <f>step3_validation[[#This Row],[Age_Group]]</f>
        <v>30 - 39</v>
      </c>
      <c r="F75" t="str">
        <f>survey_responses[[#This Row],[Độ tuổi của bạn:]]</f>
        <v>30 - 39</v>
      </c>
      <c r="G75" t="str">
        <f>step3_validation[[#This Row],[Region]]</f>
        <v>Thành thị</v>
      </c>
      <c r="H75" t="str">
        <f>survey_responses[[#This Row],[Khu vực bạn đang sinh sống:]]</f>
        <v>Thành thị</v>
      </c>
      <c r="I75" t="str">
        <f>step3_validation[[#This Row],[Education]]</f>
        <v>Đại học</v>
      </c>
      <c r="J75" t="str">
        <f>survey_responses[[#This Row],[Trình độ học vấn cao nhất:]]</f>
        <v>Đại học</v>
      </c>
      <c r="K75" t="str">
        <f>step3_validation[[#This Row],[Employment]]</f>
        <v>Phi chính thức</v>
      </c>
      <c r="L75" t="str">
        <f>survey_responses[[#This Row],[Tình trạng việc làm chính:]]</f>
        <v>Khu vực phi chính thức (Lao động tự do, không có HĐLĐ)</v>
      </c>
      <c r="M75">
        <f>step3_validation[[#This Row],[Income_Mil]]</f>
        <v>21.577513073755629</v>
      </c>
      <c r="N75" t="str">
        <f>survey_responses[[#This Row],[Thu nhập bình quân tháng theo Hợp đồng lao động của bạn là bao nhiêu? (Vui lòng điền tổng thu nhập trước khi khấu trừ các loại Bảo hiểm (BHXH, BHYT, BHTN) và Thuế TNCN)]]</f>
        <v>Từ 18 - 23 triệu VNĐ</v>
      </c>
      <c r="O75">
        <f>step3_validation[[#This Row],[Dependents]]</f>
        <v>1</v>
      </c>
      <c r="P75" t="str">
        <f>survey_responses[[#This Row],[Số người phụ thuộc (con nhỏ, cha mẹ già...) đủ điều kiện giảm trừ gia cảnh:]]</f>
        <v>1 người</v>
      </c>
      <c r="Q75">
        <f>step3_validation[[#This Row],[AI_ENF1]]</f>
        <v>7</v>
      </c>
      <c r="R75" t="str">
        <f t="shared" si="27"/>
        <v>Neutral</v>
      </c>
      <c r="S75">
        <f>survey_responses[[#This Row],[Tôi tin rằng với các quy định quản lý thuế hiện nay, hành vi gian lận hoặc trốn thuế sẽ dễ dàng bị phát hiện và xử lý nghiêm. - HUMAN-ENF1]]</f>
        <v>5</v>
      </c>
      <c r="T75" t="str">
        <f t="shared" si="28"/>
        <v>Neutral</v>
      </c>
      <c r="U75" s="32">
        <f t="shared" si="29"/>
        <v>2</v>
      </c>
      <c r="V75">
        <f>step3_validation[[#This Row],[AI_ENF2]]</f>
        <v>8</v>
      </c>
      <c r="W75" t="str">
        <f t="shared" si="30"/>
        <v>Support</v>
      </c>
      <c r="X75">
        <f>survey_responses[[#This Row],[Tôi tin rằng Nhà nước, cơ quan thuế có đủ khả năng và công nghệ để phát hiện, xử lý nghiêm các hành vi trốn thuế. - HUMAN-ENF2]]</f>
        <v>10</v>
      </c>
      <c r="Y75" t="str">
        <f t="shared" si="31"/>
        <v>Support</v>
      </c>
      <c r="Z75" s="32">
        <f t="shared" si="32"/>
        <v>2</v>
      </c>
      <c r="AA75">
        <f>step3_validation[[#This Row],[AI_FAC1]]</f>
        <v>9</v>
      </c>
      <c r="AB75" t="str">
        <f t="shared" si="33"/>
        <v>Support</v>
      </c>
      <c r="AC75">
        <f>survey_responses[[#This Row],[Các thủ tục khai báo thuế VÀ/HOẶC quy trình làm việc với cơ quan thuế đơn giản, tiện lợi, nhanh chóng hơn so với trước đây. - HUMAN-FAC1]]</f>
        <v>2</v>
      </c>
      <c r="AD75" t="str">
        <f t="shared" si="34"/>
        <v>Oppose</v>
      </c>
      <c r="AE75" s="32">
        <f t="shared" si="35"/>
        <v>7</v>
      </c>
      <c r="AF75">
        <f>step3_validation[[#This Row],[AI_FAC2]]</f>
        <v>8</v>
      </c>
      <c r="AG75" t="str">
        <f t="shared" si="36"/>
        <v>Support</v>
      </c>
      <c r="AH75">
        <f>survey_responses[[#This Row],[So với trước đây, tôi thấy cách tính thuế và các bậc thuế trong phương án mới đơn giản, dễ hiểu và dễ thực hiện hơn. - HUMAN-FAC2]]</f>
        <v>8</v>
      </c>
      <c r="AI75" t="str">
        <f t="shared" si="37"/>
        <v>Support</v>
      </c>
      <c r="AJ75" s="32">
        <f t="shared" si="38"/>
        <v>0</v>
      </c>
      <c r="AK75">
        <f>step3_validation[[#This Row],[AI_TRU1]]</f>
        <v>6</v>
      </c>
      <c r="AL75" t="str">
        <f t="shared" si="39"/>
        <v>Neutral</v>
      </c>
      <c r="AM75">
        <f>survey_responses[[#This Row],[Tôi tin rằng Nhà nước, cơ quan thuế sẽ thực thi chính sách mới một cách khách quan, công tâm và đối xử bình đẳng với mọi người nộp thuế.  - HUMAN-TRU1]]</f>
        <v>5</v>
      </c>
      <c r="AN75" t="str">
        <f t="shared" si="40"/>
        <v>Neutral</v>
      </c>
      <c r="AO75" s="32">
        <f t="shared" si="41"/>
        <v>1</v>
      </c>
      <c r="AP75">
        <f>step3_validation[[#This Row],[AI_TRU2]]</f>
        <v>8</v>
      </c>
      <c r="AQ75" t="str">
        <f t="shared" si="42"/>
        <v>Support</v>
      </c>
      <c r="AR75">
        <f>survey_responses[[#This Row],[Tôi thấy mức thuế tôi phải đóng theo phương án mới là công bằng (người thu nhập như tôi đóng mức này là hợp lý). - HUMAN-TRU2]]</f>
        <v>5</v>
      </c>
      <c r="AS75" t="str">
        <f t="shared" si="43"/>
        <v>Neutral</v>
      </c>
      <c r="AT75" s="32">
        <f t="shared" si="44"/>
        <v>3</v>
      </c>
      <c r="AU75">
        <f>step3_validation[[#This Row],[AI_TRU3]]</f>
        <v>7</v>
      </c>
      <c r="AV75" t="str">
        <f t="shared" si="45"/>
        <v>Neutral</v>
      </c>
      <c r="AW75">
        <f>survey_responses[[#This Row],[Tôi tin tưởng số tiền thuế tôi đóng sẽ được Nhà nước sử dụng hiệu quả để cải thiện dịch vụ công (y tế, đường xá...). - HUMAN-TRU3]]</f>
        <v>1</v>
      </c>
      <c r="AX75" t="str">
        <f t="shared" si="46"/>
        <v>Oppose</v>
      </c>
      <c r="AY75" s="32">
        <f t="shared" si="47"/>
        <v>6</v>
      </c>
      <c r="AZ75">
        <f>step3_validation[[#This Row],[AI_TRU4]]</f>
        <v>6</v>
      </c>
      <c r="BA75" t="str">
        <f t="shared" si="48"/>
        <v>Neutral</v>
      </c>
      <c r="BB75">
        <f>survey_responses[[#This Row],[Tôi thấy Nhà nước đã giải thích rõ ràng, minh bạch về lý do và mục tiêu của việc sửa đổi thuế lần này. - HUMAN-TRU4]]</f>
        <v>4</v>
      </c>
      <c r="BC75" t="str">
        <f t="shared" si="49"/>
        <v>Oppose</v>
      </c>
      <c r="BD75" s="32">
        <f t="shared" si="50"/>
        <v>2</v>
      </c>
      <c r="BE75">
        <f>step3_validation[[#This Row],[AI_OUT1]]</f>
        <v>7</v>
      </c>
      <c r="BF75" t="str">
        <f t="shared" si="51"/>
        <v>Neutral</v>
      </c>
      <c r="BG75">
        <f>survey_responses[[#This Row],[Sau khi xem xét các quyền lợi và nghĩa vụ, bạn có ủng hộ và tuân thủ chính sách mới hiện nay? - HUMAN-OUT1]]</f>
        <v>5</v>
      </c>
      <c r="BH75" t="str">
        <f t="shared" si="52"/>
        <v>Neutral</v>
      </c>
      <c r="BI75" s="32">
        <f t="shared" si="53"/>
        <v>2</v>
      </c>
    </row>
    <row r="76" spans="1:61" x14ac:dyDescent="0.45">
      <c r="A76" s="30">
        <f>step3_validation[[#This Row],[Persona_ID]]</f>
        <v>75</v>
      </c>
      <c r="B76" s="31">
        <f>step3_validation[[#This Row],[Used_Seed]]</f>
        <v>75</v>
      </c>
      <c r="C76" t="str">
        <f>step3_validation[[#This Row],[Gender]]</f>
        <v>Nam</v>
      </c>
      <c r="D76" t="str">
        <f>survey_responses[[#This Row],[Giới tính của bạn:]]</f>
        <v>Nam</v>
      </c>
      <c r="E76" t="str">
        <f>step3_validation[[#This Row],[Age_Group]]</f>
        <v>40 - 49</v>
      </c>
      <c r="F76" t="str">
        <f>survey_responses[[#This Row],[Độ tuổi của bạn:]]</f>
        <v>40 - 49</v>
      </c>
      <c r="G76" t="str">
        <f>step3_validation[[#This Row],[Region]]</f>
        <v>Thành thị</v>
      </c>
      <c r="H76" t="str">
        <f>survey_responses[[#This Row],[Khu vực bạn đang sinh sống:]]</f>
        <v>Thành thị</v>
      </c>
      <c r="I76" t="str">
        <f>step3_validation[[#This Row],[Education]]</f>
        <v>Sau Đại học</v>
      </c>
      <c r="J76" t="str">
        <f>survey_responses[[#This Row],[Trình độ học vấn cao nhất:]]</f>
        <v>Sau Đại học</v>
      </c>
      <c r="K76" t="str">
        <f>step3_validation[[#This Row],[Employment]]</f>
        <v>Chính thức</v>
      </c>
      <c r="L76" t="str">
        <f>survey_responses[[#This Row],[Tình trạng việc làm chính:]]</f>
        <v>Khu vực chính thức (Có Hợp đồng lao động, đóng BHXH)</v>
      </c>
      <c r="M76">
        <f>step3_validation[[#This Row],[Income_Mil]]</f>
        <v>52.479125312050151</v>
      </c>
      <c r="N76" t="str">
        <f>survey_responses[[#This Row],[Thu nhập bình quân tháng theo Hợp đồng lao động của bạn là bao nhiêu? (Vui lòng điền tổng thu nhập trước khi khấu trừ các loại Bảo hiểm (BHXH, BHYT, BHTN) và Thuế TNCN)]]</f>
        <v>Từ 48 - 70 triệu VNĐ</v>
      </c>
      <c r="O76">
        <f>step3_validation[[#This Row],[Dependents]]</f>
        <v>2</v>
      </c>
      <c r="P76" t="str">
        <f>survey_responses[[#This Row],[Số người phụ thuộc (con nhỏ, cha mẹ già...) đủ điều kiện giảm trừ gia cảnh:]]</f>
        <v>2 người</v>
      </c>
      <c r="Q76">
        <f>step3_validation[[#This Row],[AI_ENF1]]</f>
        <v>8</v>
      </c>
      <c r="R76" t="str">
        <f t="shared" si="27"/>
        <v>Support</v>
      </c>
      <c r="S76">
        <f>survey_responses[[#This Row],[Tôi tin rằng với các quy định quản lý thuế hiện nay, hành vi gian lận hoặc trốn thuế sẽ dễ dàng bị phát hiện và xử lý nghiêm. - HUMAN-ENF1]]</f>
        <v>8</v>
      </c>
      <c r="T76" t="str">
        <f t="shared" si="28"/>
        <v>Support</v>
      </c>
      <c r="U76" s="32">
        <f t="shared" si="29"/>
        <v>0</v>
      </c>
      <c r="V76">
        <f>step3_validation[[#This Row],[AI_ENF2]]</f>
        <v>8</v>
      </c>
      <c r="W76" t="str">
        <f t="shared" si="30"/>
        <v>Support</v>
      </c>
      <c r="X76">
        <f>survey_responses[[#This Row],[Tôi tin rằng Nhà nước, cơ quan thuế có đủ khả năng và công nghệ để phát hiện, xử lý nghiêm các hành vi trốn thuế. - HUMAN-ENF2]]</f>
        <v>9</v>
      </c>
      <c r="Y76" t="str">
        <f t="shared" si="31"/>
        <v>Support</v>
      </c>
      <c r="Z76" s="32">
        <f t="shared" si="32"/>
        <v>1</v>
      </c>
      <c r="AA76">
        <f>step3_validation[[#This Row],[AI_FAC1]]</f>
        <v>7</v>
      </c>
      <c r="AB76" t="str">
        <f t="shared" si="33"/>
        <v>Neutral</v>
      </c>
      <c r="AC76">
        <f>survey_responses[[#This Row],[Các thủ tục khai báo thuế VÀ/HOẶC quy trình làm việc với cơ quan thuế đơn giản, tiện lợi, nhanh chóng hơn so với trước đây. - HUMAN-FAC1]]</f>
        <v>9</v>
      </c>
      <c r="AD76" t="str">
        <f t="shared" si="34"/>
        <v>Support</v>
      </c>
      <c r="AE76" s="32">
        <f t="shared" si="35"/>
        <v>2</v>
      </c>
      <c r="AF76">
        <f>step3_validation[[#This Row],[AI_FAC2]]</f>
        <v>9</v>
      </c>
      <c r="AG76" t="str">
        <f t="shared" si="36"/>
        <v>Support</v>
      </c>
      <c r="AH76">
        <f>survey_responses[[#This Row],[So với trước đây, tôi thấy cách tính thuế và các bậc thuế trong phương án mới đơn giản, dễ hiểu và dễ thực hiện hơn. - HUMAN-FAC2]]</f>
        <v>9</v>
      </c>
      <c r="AI76" t="str">
        <f t="shared" si="37"/>
        <v>Support</v>
      </c>
      <c r="AJ76" s="32">
        <f t="shared" si="38"/>
        <v>0</v>
      </c>
      <c r="AK76">
        <f>step3_validation[[#This Row],[AI_TRU1]]</f>
        <v>7</v>
      </c>
      <c r="AL76" t="str">
        <f t="shared" si="39"/>
        <v>Neutral</v>
      </c>
      <c r="AM76">
        <f>survey_responses[[#This Row],[Tôi tin rằng Nhà nước, cơ quan thuế sẽ thực thi chính sách mới một cách khách quan, công tâm và đối xử bình đẳng với mọi người nộp thuế.  - HUMAN-TRU1]]</f>
        <v>3</v>
      </c>
      <c r="AN76" t="str">
        <f t="shared" si="40"/>
        <v>Oppose</v>
      </c>
      <c r="AO76" s="32">
        <f t="shared" si="41"/>
        <v>4</v>
      </c>
      <c r="AP76">
        <f>step3_validation[[#This Row],[AI_TRU2]]</f>
        <v>8</v>
      </c>
      <c r="AQ76" t="str">
        <f t="shared" si="42"/>
        <v>Support</v>
      </c>
      <c r="AR76">
        <f>survey_responses[[#This Row],[Tôi thấy mức thuế tôi phải đóng theo phương án mới là công bằng (người thu nhập như tôi đóng mức này là hợp lý). - HUMAN-TRU2]]</f>
        <v>3</v>
      </c>
      <c r="AS76" t="str">
        <f t="shared" si="43"/>
        <v>Oppose</v>
      </c>
      <c r="AT76" s="32">
        <f t="shared" si="44"/>
        <v>5</v>
      </c>
      <c r="AU76">
        <f>step3_validation[[#This Row],[AI_TRU3]]</f>
        <v>7</v>
      </c>
      <c r="AV76" t="str">
        <f t="shared" si="45"/>
        <v>Neutral</v>
      </c>
      <c r="AW76">
        <f>survey_responses[[#This Row],[Tôi tin tưởng số tiền thuế tôi đóng sẽ được Nhà nước sử dụng hiệu quả để cải thiện dịch vụ công (y tế, đường xá...). - HUMAN-TRU3]]</f>
        <v>2</v>
      </c>
      <c r="AX76" t="str">
        <f t="shared" si="46"/>
        <v>Oppose</v>
      </c>
      <c r="AY76" s="32">
        <f t="shared" si="47"/>
        <v>5</v>
      </c>
      <c r="AZ76">
        <f>step3_validation[[#This Row],[AI_TRU4]]</f>
        <v>6</v>
      </c>
      <c r="BA76" t="str">
        <f t="shared" si="48"/>
        <v>Neutral</v>
      </c>
      <c r="BB76">
        <f>survey_responses[[#This Row],[Tôi thấy Nhà nước đã giải thích rõ ràng, minh bạch về lý do và mục tiêu của việc sửa đổi thuế lần này. - HUMAN-TRU4]]</f>
        <v>2</v>
      </c>
      <c r="BC76" t="str">
        <f t="shared" si="49"/>
        <v>Oppose</v>
      </c>
      <c r="BD76" s="32">
        <f t="shared" si="50"/>
        <v>4</v>
      </c>
      <c r="BE76">
        <f>step3_validation[[#This Row],[AI_OUT1]]</f>
        <v>8</v>
      </c>
      <c r="BF76" t="str">
        <f t="shared" si="51"/>
        <v>Support</v>
      </c>
      <c r="BG76">
        <f>survey_responses[[#This Row],[Sau khi xem xét các quyền lợi và nghĩa vụ, bạn có ủng hộ và tuân thủ chính sách mới hiện nay? - HUMAN-OUT1]]</f>
        <v>6</v>
      </c>
      <c r="BH76" t="str">
        <f t="shared" si="52"/>
        <v>Neutral</v>
      </c>
      <c r="BI76" s="32">
        <f t="shared" si="53"/>
        <v>2</v>
      </c>
    </row>
    <row r="77" spans="1:61" x14ac:dyDescent="0.45">
      <c r="A77" s="30">
        <f>step3_validation[[#This Row],[Persona_ID]]</f>
        <v>76</v>
      </c>
      <c r="B77" s="31">
        <f>step3_validation[[#This Row],[Used_Seed]]</f>
        <v>76</v>
      </c>
      <c r="C77" t="str">
        <f>step3_validation[[#This Row],[Gender]]</f>
        <v>Nam</v>
      </c>
      <c r="D77" t="str">
        <f>survey_responses[[#This Row],[Giới tính của bạn:]]</f>
        <v>Nam</v>
      </c>
      <c r="E77" t="str">
        <f>step3_validation[[#This Row],[Age_Group]]</f>
        <v>40 - 49</v>
      </c>
      <c r="F77" t="str">
        <f>survey_responses[[#This Row],[Độ tuổi của bạn:]]</f>
        <v>40 - 49</v>
      </c>
      <c r="G77" t="str">
        <f>step3_validation[[#This Row],[Region]]</f>
        <v>Nông thôn</v>
      </c>
      <c r="H77" t="str">
        <f>survey_responses[[#This Row],[Khu vực bạn đang sinh sống:]]</f>
        <v>Nông thôn</v>
      </c>
      <c r="I77" t="str">
        <f>step3_validation[[#This Row],[Education]]</f>
        <v>Trung học phổ thông</v>
      </c>
      <c r="J77" t="str">
        <f>survey_responses[[#This Row],[Trình độ học vấn cao nhất:]]</f>
        <v>Trung học phổ thông</v>
      </c>
      <c r="K77" t="str">
        <f>step3_validation[[#This Row],[Employment]]</f>
        <v>Phi chính thức</v>
      </c>
      <c r="L77" t="str">
        <f>survey_responses[[#This Row],[Tình trạng việc làm chính:]]</f>
        <v>Khu vực phi chính thức (Lao động tự do, không có HĐLĐ)</v>
      </c>
      <c r="M77">
        <f>step3_validation[[#This Row],[Income_Mil]]</f>
        <v>16.031657545787478</v>
      </c>
      <c r="N77" t="str">
        <f>survey_responses[[#This Row],[Thu nhập bình quân tháng theo Hợp đồng lao động của bạn là bao nhiêu? (Vui lòng điền tổng thu nhập trước khi khấu trừ các loại Bảo hiểm (BHXH, BHYT, BHTN) và Thuế TNCN)]]</f>
        <v>Từ 12 - 18 triệu VNĐ</v>
      </c>
      <c r="O77">
        <f>step3_validation[[#This Row],[Dependents]]</f>
        <v>3</v>
      </c>
      <c r="P77" t="str">
        <f>survey_responses[[#This Row],[Số người phụ thuộc (con nhỏ, cha mẹ già...) đủ điều kiện giảm trừ gia cảnh:]]</f>
        <v>3 người</v>
      </c>
      <c r="Q77">
        <f>step3_validation[[#This Row],[AI_ENF1]]</f>
        <v>9</v>
      </c>
      <c r="R77" t="str">
        <f t="shared" si="27"/>
        <v>Support</v>
      </c>
      <c r="S77">
        <f>survey_responses[[#This Row],[Tôi tin rằng với các quy định quản lý thuế hiện nay, hành vi gian lận hoặc trốn thuế sẽ dễ dàng bị phát hiện và xử lý nghiêm. - HUMAN-ENF1]]</f>
        <v>5</v>
      </c>
      <c r="T77" t="str">
        <f t="shared" si="28"/>
        <v>Neutral</v>
      </c>
      <c r="U77" s="32">
        <f t="shared" si="29"/>
        <v>4</v>
      </c>
      <c r="V77">
        <f>step3_validation[[#This Row],[AI_ENF2]]</f>
        <v>8</v>
      </c>
      <c r="W77" t="str">
        <f t="shared" si="30"/>
        <v>Support</v>
      </c>
      <c r="X77">
        <f>survey_responses[[#This Row],[Tôi tin rằng Nhà nước, cơ quan thuế có đủ khả năng và công nghệ để phát hiện, xử lý nghiêm các hành vi trốn thuế. - HUMAN-ENF2]]</f>
        <v>5</v>
      </c>
      <c r="Y77" t="str">
        <f t="shared" si="31"/>
        <v>Neutral</v>
      </c>
      <c r="Z77" s="32">
        <f t="shared" si="32"/>
        <v>3</v>
      </c>
      <c r="AA77">
        <f>step3_validation[[#This Row],[AI_FAC1]]</f>
        <v>9</v>
      </c>
      <c r="AB77" t="str">
        <f t="shared" si="33"/>
        <v>Support</v>
      </c>
      <c r="AC77">
        <f>survey_responses[[#This Row],[Các thủ tục khai báo thuế VÀ/HOẶC quy trình làm việc với cơ quan thuế đơn giản, tiện lợi, nhanh chóng hơn so với trước đây. - HUMAN-FAC1]]</f>
        <v>5</v>
      </c>
      <c r="AD77" t="str">
        <f t="shared" si="34"/>
        <v>Neutral</v>
      </c>
      <c r="AE77" s="32">
        <f t="shared" si="35"/>
        <v>4</v>
      </c>
      <c r="AF77">
        <f>step3_validation[[#This Row],[AI_FAC2]]</f>
        <v>8</v>
      </c>
      <c r="AG77" t="str">
        <f t="shared" si="36"/>
        <v>Support</v>
      </c>
      <c r="AH77">
        <f>survey_responses[[#This Row],[So với trước đây, tôi thấy cách tính thuế và các bậc thuế trong phương án mới đơn giản, dễ hiểu và dễ thực hiện hơn. - HUMAN-FAC2]]</f>
        <v>5</v>
      </c>
      <c r="AI77" t="str">
        <f t="shared" si="37"/>
        <v>Neutral</v>
      </c>
      <c r="AJ77" s="32">
        <f t="shared" si="38"/>
        <v>3</v>
      </c>
      <c r="AK77">
        <f>step3_validation[[#This Row],[AI_TRU1]]</f>
        <v>9</v>
      </c>
      <c r="AL77" t="str">
        <f t="shared" si="39"/>
        <v>Support</v>
      </c>
      <c r="AM77">
        <f>survey_responses[[#This Row],[Tôi tin rằng Nhà nước, cơ quan thuế sẽ thực thi chính sách mới một cách khách quan, công tâm và đối xử bình đẳng với mọi người nộp thuế.  - HUMAN-TRU1]]</f>
        <v>5</v>
      </c>
      <c r="AN77" t="str">
        <f t="shared" si="40"/>
        <v>Neutral</v>
      </c>
      <c r="AO77" s="32">
        <f t="shared" si="41"/>
        <v>4</v>
      </c>
      <c r="AP77">
        <f>step3_validation[[#This Row],[AI_TRU2]]</f>
        <v>9</v>
      </c>
      <c r="AQ77" t="str">
        <f t="shared" si="42"/>
        <v>Support</v>
      </c>
      <c r="AR77">
        <f>survey_responses[[#This Row],[Tôi thấy mức thuế tôi phải đóng theo phương án mới là công bằng (người thu nhập như tôi đóng mức này là hợp lý). - HUMAN-TRU2]]</f>
        <v>5</v>
      </c>
      <c r="AS77" t="str">
        <f t="shared" si="43"/>
        <v>Neutral</v>
      </c>
      <c r="AT77" s="32">
        <f t="shared" si="44"/>
        <v>4</v>
      </c>
      <c r="AU77">
        <f>step3_validation[[#This Row],[AI_TRU3]]</f>
        <v>8</v>
      </c>
      <c r="AV77" t="str">
        <f t="shared" si="45"/>
        <v>Support</v>
      </c>
      <c r="AW77">
        <f>survey_responses[[#This Row],[Tôi tin tưởng số tiền thuế tôi đóng sẽ được Nhà nước sử dụng hiệu quả để cải thiện dịch vụ công (y tế, đường xá...). - HUMAN-TRU3]]</f>
        <v>5</v>
      </c>
      <c r="AX77" t="str">
        <f t="shared" si="46"/>
        <v>Neutral</v>
      </c>
      <c r="AY77" s="32">
        <f t="shared" si="47"/>
        <v>3</v>
      </c>
      <c r="AZ77">
        <f>step3_validation[[#This Row],[AI_TRU4]]</f>
        <v>9</v>
      </c>
      <c r="BA77" t="str">
        <f t="shared" si="48"/>
        <v>Support</v>
      </c>
      <c r="BB77">
        <f>survey_responses[[#This Row],[Tôi thấy Nhà nước đã giải thích rõ ràng, minh bạch về lý do và mục tiêu của việc sửa đổi thuế lần này. - HUMAN-TRU4]]</f>
        <v>5</v>
      </c>
      <c r="BC77" t="str">
        <f t="shared" si="49"/>
        <v>Neutral</v>
      </c>
      <c r="BD77" s="32">
        <f t="shared" si="50"/>
        <v>4</v>
      </c>
      <c r="BE77">
        <f>step3_validation[[#This Row],[AI_OUT1]]</f>
        <v>10</v>
      </c>
      <c r="BF77" t="str">
        <f t="shared" si="51"/>
        <v>Support</v>
      </c>
      <c r="BG77">
        <f>survey_responses[[#This Row],[Sau khi xem xét các quyền lợi và nghĩa vụ, bạn có ủng hộ và tuân thủ chính sách mới hiện nay? - HUMAN-OUT1]]</f>
        <v>5</v>
      </c>
      <c r="BH77" t="str">
        <f t="shared" si="52"/>
        <v>Neutral</v>
      </c>
      <c r="BI77" s="32">
        <f t="shared" si="53"/>
        <v>5</v>
      </c>
    </row>
    <row r="78" spans="1:61" x14ac:dyDescent="0.45">
      <c r="A78" s="30">
        <f>step3_validation[[#This Row],[Persona_ID]]</f>
        <v>77</v>
      </c>
      <c r="B78" s="31">
        <f>step3_validation[[#This Row],[Used_Seed]]</f>
        <v>77</v>
      </c>
      <c r="C78" t="str">
        <f>step3_validation[[#This Row],[Gender]]</f>
        <v>Nữ</v>
      </c>
      <c r="D78" t="str">
        <f>survey_responses[[#This Row],[Giới tính của bạn:]]</f>
        <v>Nữ</v>
      </c>
      <c r="E78" t="str">
        <f>step3_validation[[#This Row],[Age_Group]]</f>
        <v>50 - 54</v>
      </c>
      <c r="F78" t="str">
        <f>survey_responses[[#This Row],[Độ tuổi của bạn:]]</f>
        <v>50 - 54</v>
      </c>
      <c r="G78" t="str">
        <f>step3_validation[[#This Row],[Region]]</f>
        <v>Thành thị</v>
      </c>
      <c r="H78" t="str">
        <f>survey_responses[[#This Row],[Khu vực bạn đang sinh sống:]]</f>
        <v>Thành thị</v>
      </c>
      <c r="I78" t="str">
        <f>step3_validation[[#This Row],[Education]]</f>
        <v>Đại học</v>
      </c>
      <c r="J78" t="str">
        <f>survey_responses[[#This Row],[Trình độ học vấn cao nhất:]]</f>
        <v>Đại học</v>
      </c>
      <c r="K78" t="str">
        <f>step3_validation[[#This Row],[Employment]]</f>
        <v>Chính thức</v>
      </c>
      <c r="L78" t="str">
        <f>survey_responses[[#This Row],[Tình trạng việc làm chính:]]</f>
        <v>Khu vực chính thức (Có Hợp đồng lao động, đóng BHXH)</v>
      </c>
      <c r="M78">
        <f>step3_validation[[#This Row],[Income_Mil]]</f>
        <v>15.929661542712465</v>
      </c>
      <c r="N78" t="str">
        <f>survey_responses[[#This Row],[Thu nhập bình quân tháng theo Hợp đồng lao động của bạn là bao nhiêu? (Vui lòng điền tổng thu nhập trước khi khấu trừ các loại Bảo hiểm (BHXH, BHYT, BHTN) và Thuế TNCN)]]</f>
        <v>Từ 12 - 18 triệu VNĐ</v>
      </c>
      <c r="O78">
        <f>step3_validation[[#This Row],[Dependents]]</f>
        <v>2</v>
      </c>
      <c r="P78" t="str">
        <f>survey_responses[[#This Row],[Số người phụ thuộc (con nhỏ, cha mẹ già...) đủ điều kiện giảm trừ gia cảnh:]]</f>
        <v>2 người</v>
      </c>
      <c r="Q78">
        <f>step3_validation[[#This Row],[AI_ENF1]]</f>
        <v>9</v>
      </c>
      <c r="R78" t="str">
        <f t="shared" si="27"/>
        <v>Support</v>
      </c>
      <c r="S78">
        <f>survey_responses[[#This Row],[Tôi tin rằng với các quy định quản lý thuế hiện nay, hành vi gian lận hoặc trốn thuế sẽ dễ dàng bị phát hiện và xử lý nghiêm. - HUMAN-ENF1]]</f>
        <v>8</v>
      </c>
      <c r="T78" t="str">
        <f t="shared" si="28"/>
        <v>Support</v>
      </c>
      <c r="U78" s="32">
        <f t="shared" si="29"/>
        <v>1</v>
      </c>
      <c r="V78">
        <f>step3_validation[[#This Row],[AI_ENF2]]</f>
        <v>7</v>
      </c>
      <c r="W78" t="str">
        <f t="shared" si="30"/>
        <v>Neutral</v>
      </c>
      <c r="X78">
        <f>survey_responses[[#This Row],[Tôi tin rằng Nhà nước, cơ quan thuế có đủ khả năng và công nghệ để phát hiện, xử lý nghiêm các hành vi trốn thuế. - HUMAN-ENF2]]</f>
        <v>8</v>
      </c>
      <c r="Y78" t="str">
        <f t="shared" si="31"/>
        <v>Support</v>
      </c>
      <c r="Z78" s="32">
        <f t="shared" si="32"/>
        <v>1</v>
      </c>
      <c r="AA78">
        <f>step3_validation[[#This Row],[AI_FAC1]]</f>
        <v>9</v>
      </c>
      <c r="AB78" t="str">
        <f t="shared" si="33"/>
        <v>Support</v>
      </c>
      <c r="AC78">
        <f>survey_responses[[#This Row],[Các thủ tục khai báo thuế VÀ/HOẶC quy trình làm việc với cơ quan thuế đơn giản, tiện lợi, nhanh chóng hơn so với trước đây. - HUMAN-FAC1]]</f>
        <v>8</v>
      </c>
      <c r="AD78" t="str">
        <f t="shared" si="34"/>
        <v>Support</v>
      </c>
      <c r="AE78" s="32">
        <f t="shared" si="35"/>
        <v>1</v>
      </c>
      <c r="AF78">
        <f>step3_validation[[#This Row],[AI_FAC2]]</f>
        <v>8</v>
      </c>
      <c r="AG78" t="str">
        <f t="shared" si="36"/>
        <v>Support</v>
      </c>
      <c r="AH78">
        <f>survey_responses[[#This Row],[So với trước đây, tôi thấy cách tính thuế và các bậc thuế trong phương án mới đơn giản, dễ hiểu và dễ thực hiện hơn. - HUMAN-FAC2]]</f>
        <v>8</v>
      </c>
      <c r="AI78" t="str">
        <f t="shared" si="37"/>
        <v>Support</v>
      </c>
      <c r="AJ78" s="32">
        <f t="shared" si="38"/>
        <v>0</v>
      </c>
      <c r="AK78">
        <f>step3_validation[[#This Row],[AI_TRU1]]</f>
        <v>9</v>
      </c>
      <c r="AL78" t="str">
        <f t="shared" si="39"/>
        <v>Support</v>
      </c>
      <c r="AM78">
        <f>survey_responses[[#This Row],[Tôi tin rằng Nhà nước, cơ quan thuế sẽ thực thi chính sách mới một cách khách quan, công tâm và đối xử bình đẳng với mọi người nộp thuế.  - HUMAN-TRU1]]</f>
        <v>9</v>
      </c>
      <c r="AN78" t="str">
        <f t="shared" si="40"/>
        <v>Support</v>
      </c>
      <c r="AO78" s="32">
        <f t="shared" si="41"/>
        <v>0</v>
      </c>
      <c r="AP78">
        <f>step3_validation[[#This Row],[AI_TRU2]]</f>
        <v>8</v>
      </c>
      <c r="AQ78" t="str">
        <f t="shared" si="42"/>
        <v>Support</v>
      </c>
      <c r="AR78">
        <f>survey_responses[[#This Row],[Tôi thấy mức thuế tôi phải đóng theo phương án mới là công bằng (người thu nhập như tôi đóng mức này là hợp lý). - HUMAN-TRU2]]</f>
        <v>7</v>
      </c>
      <c r="AS78" t="str">
        <f t="shared" si="43"/>
        <v>Neutral</v>
      </c>
      <c r="AT78" s="32">
        <f t="shared" si="44"/>
        <v>1</v>
      </c>
      <c r="AU78">
        <f>step3_validation[[#This Row],[AI_TRU3]]</f>
        <v>9</v>
      </c>
      <c r="AV78" t="str">
        <f t="shared" si="45"/>
        <v>Support</v>
      </c>
      <c r="AW78">
        <f>survey_responses[[#This Row],[Tôi tin tưởng số tiền thuế tôi đóng sẽ được Nhà nước sử dụng hiệu quả để cải thiện dịch vụ công (y tế, đường xá...). - HUMAN-TRU3]]</f>
        <v>9</v>
      </c>
      <c r="AX78" t="str">
        <f t="shared" si="46"/>
        <v>Support</v>
      </c>
      <c r="AY78" s="32">
        <f t="shared" si="47"/>
        <v>0</v>
      </c>
      <c r="AZ78">
        <f>step3_validation[[#This Row],[AI_TRU4]]</f>
        <v>7</v>
      </c>
      <c r="BA78" t="str">
        <f t="shared" si="48"/>
        <v>Neutral</v>
      </c>
      <c r="BB78">
        <f>survey_responses[[#This Row],[Tôi thấy Nhà nước đã giải thích rõ ràng, minh bạch về lý do và mục tiêu của việc sửa đổi thuế lần này. - HUMAN-TRU4]]</f>
        <v>10</v>
      </c>
      <c r="BC78" t="str">
        <f t="shared" si="49"/>
        <v>Support</v>
      </c>
      <c r="BD78" s="32">
        <f t="shared" si="50"/>
        <v>3</v>
      </c>
      <c r="BE78">
        <f>step3_validation[[#This Row],[AI_OUT1]]</f>
        <v>9</v>
      </c>
      <c r="BF78" t="str">
        <f t="shared" si="51"/>
        <v>Support</v>
      </c>
      <c r="BG78">
        <f>survey_responses[[#This Row],[Sau khi xem xét các quyền lợi và nghĩa vụ, bạn có ủng hộ và tuân thủ chính sách mới hiện nay? - HUMAN-OUT1]]</f>
        <v>8</v>
      </c>
      <c r="BH78" t="str">
        <f t="shared" si="52"/>
        <v>Support</v>
      </c>
      <c r="BI78" s="32">
        <f t="shared" si="53"/>
        <v>1</v>
      </c>
    </row>
    <row r="79" spans="1:61" x14ac:dyDescent="0.45">
      <c r="A79" s="30">
        <f>step3_validation[[#This Row],[Persona_ID]]</f>
        <v>78</v>
      </c>
      <c r="B79" s="31">
        <f>step3_validation[[#This Row],[Used_Seed]]</f>
        <v>78</v>
      </c>
      <c r="C79" t="str">
        <f>step3_validation[[#This Row],[Gender]]</f>
        <v>Nữ</v>
      </c>
      <c r="D79" t="str">
        <f>survey_responses[[#This Row],[Giới tính của bạn:]]</f>
        <v>Nữ</v>
      </c>
      <c r="E79" t="str">
        <f>step3_validation[[#This Row],[Age_Group]]</f>
        <v>30 - 39</v>
      </c>
      <c r="F79" t="str">
        <f>survey_responses[[#This Row],[Độ tuổi của bạn:]]</f>
        <v>30 - 39</v>
      </c>
      <c r="G79" t="str">
        <f>step3_validation[[#This Row],[Region]]</f>
        <v>Thành thị</v>
      </c>
      <c r="H79" t="str">
        <f>survey_responses[[#This Row],[Khu vực bạn đang sinh sống:]]</f>
        <v>Thành thị</v>
      </c>
      <c r="I79" t="str">
        <f>step3_validation[[#This Row],[Education]]</f>
        <v>Sau Đại học</v>
      </c>
      <c r="J79" t="str">
        <f>survey_responses[[#This Row],[Trình độ học vấn cao nhất:]]</f>
        <v>Sau Đại học</v>
      </c>
      <c r="K79" t="str">
        <f>step3_validation[[#This Row],[Employment]]</f>
        <v>Chính thức</v>
      </c>
      <c r="L79" t="str">
        <f>survey_responses[[#This Row],[Tình trạng việc làm chính:]]</f>
        <v>Khu vực chính thức (Có Hợp đồng lao động, đóng BHXH)</v>
      </c>
      <c r="M79">
        <f>step3_validation[[#This Row],[Income_Mil]]</f>
        <v>38.282946317454829</v>
      </c>
      <c r="N79" t="str">
        <f>survey_responses[[#This Row],[Thu nhập bình quân tháng theo Hợp đồng lao động của bạn là bao nhiêu? (Vui lòng điền tổng thu nhập trước khi khấu trừ các loại Bảo hiểm (BHXH, BHYT, BHTN) và Thuế TNCN)]]</f>
        <v>Từ 32 - 48 triệu VNĐ</v>
      </c>
      <c r="O79">
        <f>step3_validation[[#This Row],[Dependents]]</f>
        <v>2</v>
      </c>
      <c r="P79" t="str">
        <f>survey_responses[[#This Row],[Số người phụ thuộc (con nhỏ, cha mẹ già...) đủ điều kiện giảm trừ gia cảnh:]]</f>
        <v>2 người</v>
      </c>
      <c r="Q79">
        <f>step3_validation[[#This Row],[AI_ENF1]]</f>
        <v>7</v>
      </c>
      <c r="R79" t="str">
        <f t="shared" si="27"/>
        <v>Neutral</v>
      </c>
      <c r="S79">
        <f>survey_responses[[#This Row],[Tôi tin rằng với các quy định quản lý thuế hiện nay, hành vi gian lận hoặc trốn thuế sẽ dễ dàng bị phát hiện và xử lý nghiêm. - HUMAN-ENF1]]</f>
        <v>8</v>
      </c>
      <c r="T79" t="str">
        <f t="shared" si="28"/>
        <v>Support</v>
      </c>
      <c r="U79" s="32">
        <f t="shared" si="29"/>
        <v>1</v>
      </c>
      <c r="V79">
        <f>step3_validation[[#This Row],[AI_ENF2]]</f>
        <v>6</v>
      </c>
      <c r="W79" t="str">
        <f t="shared" si="30"/>
        <v>Neutral</v>
      </c>
      <c r="X79">
        <f>survey_responses[[#This Row],[Tôi tin rằng Nhà nước, cơ quan thuế có đủ khả năng và công nghệ để phát hiện, xử lý nghiêm các hành vi trốn thuế. - HUMAN-ENF2]]</f>
        <v>7</v>
      </c>
      <c r="Y79" t="str">
        <f t="shared" si="31"/>
        <v>Neutral</v>
      </c>
      <c r="Z79" s="32">
        <f t="shared" si="32"/>
        <v>1</v>
      </c>
      <c r="AA79">
        <f>step3_validation[[#This Row],[AI_FAC1]]</f>
        <v>7</v>
      </c>
      <c r="AB79" t="str">
        <f t="shared" si="33"/>
        <v>Neutral</v>
      </c>
      <c r="AC79">
        <f>survey_responses[[#This Row],[Các thủ tục khai báo thuế VÀ/HOẶC quy trình làm việc với cơ quan thuế đơn giản, tiện lợi, nhanh chóng hơn so với trước đây. - HUMAN-FAC1]]</f>
        <v>9</v>
      </c>
      <c r="AD79" t="str">
        <f t="shared" si="34"/>
        <v>Support</v>
      </c>
      <c r="AE79" s="32">
        <f t="shared" si="35"/>
        <v>2</v>
      </c>
      <c r="AF79">
        <f>step3_validation[[#This Row],[AI_FAC2]]</f>
        <v>9</v>
      </c>
      <c r="AG79" t="str">
        <f t="shared" si="36"/>
        <v>Support</v>
      </c>
      <c r="AH79">
        <f>survey_responses[[#This Row],[So với trước đây, tôi thấy cách tính thuế và các bậc thuế trong phương án mới đơn giản, dễ hiểu và dễ thực hiện hơn. - HUMAN-FAC2]]</f>
        <v>8</v>
      </c>
      <c r="AI79" t="str">
        <f t="shared" si="37"/>
        <v>Support</v>
      </c>
      <c r="AJ79" s="32">
        <f t="shared" si="38"/>
        <v>1</v>
      </c>
      <c r="AK79">
        <f>step3_validation[[#This Row],[AI_TRU1]]</f>
        <v>8</v>
      </c>
      <c r="AL79" t="str">
        <f t="shared" si="39"/>
        <v>Support</v>
      </c>
      <c r="AM79">
        <f>survey_responses[[#This Row],[Tôi tin rằng Nhà nước, cơ quan thuế sẽ thực thi chính sách mới một cách khách quan, công tâm và đối xử bình đẳng với mọi người nộp thuế.  - HUMAN-TRU1]]</f>
        <v>8</v>
      </c>
      <c r="AN79" t="str">
        <f t="shared" si="40"/>
        <v>Support</v>
      </c>
      <c r="AO79" s="32">
        <f t="shared" si="41"/>
        <v>0</v>
      </c>
      <c r="AP79">
        <f>step3_validation[[#This Row],[AI_TRU2]]</f>
        <v>9</v>
      </c>
      <c r="AQ79" t="str">
        <f t="shared" si="42"/>
        <v>Support</v>
      </c>
      <c r="AR79">
        <f>survey_responses[[#This Row],[Tôi thấy mức thuế tôi phải đóng theo phương án mới là công bằng (người thu nhập như tôi đóng mức này là hợp lý). - HUMAN-TRU2]]</f>
        <v>8</v>
      </c>
      <c r="AS79" t="str">
        <f t="shared" si="43"/>
        <v>Support</v>
      </c>
      <c r="AT79" s="32">
        <f t="shared" si="44"/>
        <v>1</v>
      </c>
      <c r="AU79">
        <f>step3_validation[[#This Row],[AI_TRU3]]</f>
        <v>8</v>
      </c>
      <c r="AV79" t="str">
        <f t="shared" si="45"/>
        <v>Support</v>
      </c>
      <c r="AW79">
        <f>survey_responses[[#This Row],[Tôi tin tưởng số tiền thuế tôi đóng sẽ được Nhà nước sử dụng hiệu quả để cải thiện dịch vụ công (y tế, đường xá...). - HUMAN-TRU3]]</f>
        <v>6</v>
      </c>
      <c r="AX79" t="str">
        <f t="shared" si="46"/>
        <v>Neutral</v>
      </c>
      <c r="AY79" s="32">
        <f t="shared" si="47"/>
        <v>2</v>
      </c>
      <c r="AZ79">
        <f>step3_validation[[#This Row],[AI_TRU4]]</f>
        <v>9</v>
      </c>
      <c r="BA79" t="str">
        <f t="shared" si="48"/>
        <v>Support</v>
      </c>
      <c r="BB79">
        <f>survey_responses[[#This Row],[Tôi thấy Nhà nước đã giải thích rõ ràng, minh bạch về lý do và mục tiêu của việc sửa đổi thuế lần này. - HUMAN-TRU4]]</f>
        <v>6</v>
      </c>
      <c r="BC79" t="str">
        <f t="shared" si="49"/>
        <v>Neutral</v>
      </c>
      <c r="BD79" s="32">
        <f t="shared" si="50"/>
        <v>3</v>
      </c>
      <c r="BE79">
        <f>step3_validation[[#This Row],[AI_OUT1]]</f>
        <v>8</v>
      </c>
      <c r="BF79" t="str">
        <f t="shared" si="51"/>
        <v>Support</v>
      </c>
      <c r="BG79">
        <f>survey_responses[[#This Row],[Sau khi xem xét các quyền lợi và nghĩa vụ, bạn có ủng hộ và tuân thủ chính sách mới hiện nay? - HUMAN-OUT1]]</f>
        <v>7</v>
      </c>
      <c r="BH79" t="str">
        <f t="shared" si="52"/>
        <v>Neutral</v>
      </c>
      <c r="BI79" s="32">
        <f t="shared" si="53"/>
        <v>1</v>
      </c>
    </row>
    <row r="80" spans="1:61" x14ac:dyDescent="0.45">
      <c r="A80" s="30">
        <f>step3_validation[[#This Row],[Persona_ID]]</f>
        <v>79</v>
      </c>
      <c r="B80" s="31">
        <f>step3_validation[[#This Row],[Used_Seed]]</f>
        <v>79</v>
      </c>
      <c r="C80" t="str">
        <f>step3_validation[[#This Row],[Gender]]</f>
        <v>Nữ</v>
      </c>
      <c r="D80" t="str">
        <f>survey_responses[[#This Row],[Giới tính của bạn:]]</f>
        <v>Nữ</v>
      </c>
      <c r="E80" t="str">
        <f>step3_validation[[#This Row],[Age_Group]]</f>
        <v>55 - 64</v>
      </c>
      <c r="F80" t="str">
        <f>survey_responses[[#This Row],[Độ tuổi của bạn:]]</f>
        <v>55 - 64</v>
      </c>
      <c r="G80" t="str">
        <f>step3_validation[[#This Row],[Region]]</f>
        <v>Thành thị</v>
      </c>
      <c r="H80" t="str">
        <f>survey_responses[[#This Row],[Khu vực bạn đang sinh sống:]]</f>
        <v>Thành thị</v>
      </c>
      <c r="I80" t="str">
        <f>step3_validation[[#This Row],[Education]]</f>
        <v>Trung học phổ thông</v>
      </c>
      <c r="J80" t="str">
        <f>survey_responses[[#This Row],[Trình độ học vấn cao nhất:]]</f>
        <v>Trung học phổ thông</v>
      </c>
      <c r="K80" t="str">
        <f>step3_validation[[#This Row],[Employment]]</f>
        <v>Phi chính thức</v>
      </c>
      <c r="L80" t="str">
        <f>survey_responses[[#This Row],[Tình trạng việc làm chính:]]</f>
        <v>Khác (Về hưu, nội trợ, sinh viên)</v>
      </c>
      <c r="M80">
        <f>step3_validation[[#This Row],[Income_Mil]]</f>
        <v>16.598011936884276</v>
      </c>
      <c r="N80" t="str">
        <f>survey_responses[[#This Row],[Thu nhập bình quân tháng theo Hợp đồng lao động của bạn là bao nhiêu? (Vui lòng điền tổng thu nhập trước khi khấu trừ các loại Bảo hiểm (BHXH, BHYT, BHTN) và Thuế TNCN)]]</f>
        <v>Từ 12 - 18 triệu VNĐ</v>
      </c>
      <c r="O80">
        <f>step3_validation[[#This Row],[Dependents]]</f>
        <v>0</v>
      </c>
      <c r="P80" t="str">
        <f>survey_responses[[#This Row],[Số người phụ thuộc (con nhỏ, cha mẹ già...) đủ điều kiện giảm trừ gia cảnh:]]</f>
        <v>0 người</v>
      </c>
      <c r="Q80">
        <f>step3_validation[[#This Row],[AI_ENF1]]</f>
        <v>6</v>
      </c>
      <c r="R80" t="str">
        <f t="shared" si="27"/>
        <v>Neutral</v>
      </c>
      <c r="S80">
        <f>survey_responses[[#This Row],[Tôi tin rằng với các quy định quản lý thuế hiện nay, hành vi gian lận hoặc trốn thuế sẽ dễ dàng bị phát hiện và xử lý nghiêm. - HUMAN-ENF1]]</f>
        <v>6</v>
      </c>
      <c r="T80" t="str">
        <f t="shared" si="28"/>
        <v>Neutral</v>
      </c>
      <c r="U80" s="32">
        <f t="shared" si="29"/>
        <v>0</v>
      </c>
      <c r="V80">
        <f>step3_validation[[#This Row],[AI_ENF2]]</f>
        <v>5</v>
      </c>
      <c r="W80" t="str">
        <f t="shared" si="30"/>
        <v>Neutral</v>
      </c>
      <c r="X80">
        <f>survey_responses[[#This Row],[Tôi tin rằng Nhà nước, cơ quan thuế có đủ khả năng và công nghệ để phát hiện, xử lý nghiêm các hành vi trốn thuế. - HUMAN-ENF2]]</f>
        <v>2</v>
      </c>
      <c r="Y80" t="str">
        <f t="shared" si="31"/>
        <v>Oppose</v>
      </c>
      <c r="Z80" s="32">
        <f t="shared" si="32"/>
        <v>3</v>
      </c>
      <c r="AA80">
        <f>step3_validation[[#This Row],[AI_FAC1]]</f>
        <v>8</v>
      </c>
      <c r="AB80" t="str">
        <f t="shared" si="33"/>
        <v>Support</v>
      </c>
      <c r="AC80">
        <f>survey_responses[[#This Row],[Các thủ tục khai báo thuế VÀ/HOẶC quy trình làm việc với cơ quan thuế đơn giản, tiện lợi, nhanh chóng hơn so với trước đây. - HUMAN-FAC1]]</f>
        <v>3</v>
      </c>
      <c r="AD80" t="str">
        <f t="shared" si="34"/>
        <v>Oppose</v>
      </c>
      <c r="AE80" s="32">
        <f t="shared" si="35"/>
        <v>5</v>
      </c>
      <c r="AF80">
        <f>step3_validation[[#This Row],[AI_FAC2]]</f>
        <v>9</v>
      </c>
      <c r="AG80" t="str">
        <f t="shared" si="36"/>
        <v>Support</v>
      </c>
      <c r="AH80">
        <f>survey_responses[[#This Row],[So với trước đây, tôi thấy cách tính thuế và các bậc thuế trong phương án mới đơn giản, dễ hiểu và dễ thực hiện hơn. - HUMAN-FAC2]]</f>
        <v>2</v>
      </c>
      <c r="AI80" t="str">
        <f t="shared" si="37"/>
        <v>Oppose</v>
      </c>
      <c r="AJ80" s="32">
        <f t="shared" si="38"/>
        <v>7</v>
      </c>
      <c r="AK80">
        <f>step3_validation[[#This Row],[AI_TRU1]]</f>
        <v>7</v>
      </c>
      <c r="AL80" t="str">
        <f t="shared" si="39"/>
        <v>Neutral</v>
      </c>
      <c r="AM80">
        <f>survey_responses[[#This Row],[Tôi tin rằng Nhà nước, cơ quan thuế sẽ thực thi chính sách mới một cách khách quan, công tâm và đối xử bình đẳng với mọi người nộp thuế.  - HUMAN-TRU1]]</f>
        <v>3</v>
      </c>
      <c r="AN80" t="str">
        <f t="shared" si="40"/>
        <v>Oppose</v>
      </c>
      <c r="AO80" s="32">
        <f t="shared" si="41"/>
        <v>4</v>
      </c>
      <c r="AP80">
        <f>step3_validation[[#This Row],[AI_TRU2]]</f>
        <v>8</v>
      </c>
      <c r="AQ80" t="str">
        <f t="shared" si="42"/>
        <v>Support</v>
      </c>
      <c r="AR80">
        <f>survey_responses[[#This Row],[Tôi thấy mức thuế tôi phải đóng theo phương án mới là công bằng (người thu nhập như tôi đóng mức này là hợp lý). - HUMAN-TRU2]]</f>
        <v>7</v>
      </c>
      <c r="AS80" t="str">
        <f t="shared" si="43"/>
        <v>Neutral</v>
      </c>
      <c r="AT80" s="32">
        <f t="shared" si="44"/>
        <v>1</v>
      </c>
      <c r="AU80">
        <f>step3_validation[[#This Row],[AI_TRU3]]</f>
        <v>7</v>
      </c>
      <c r="AV80" t="str">
        <f t="shared" si="45"/>
        <v>Neutral</v>
      </c>
      <c r="AW80">
        <f>survey_responses[[#This Row],[Tôi tin tưởng số tiền thuế tôi đóng sẽ được Nhà nước sử dụng hiệu quả để cải thiện dịch vụ công (y tế, đường xá...). - HUMAN-TRU3]]</f>
        <v>5</v>
      </c>
      <c r="AX80" t="str">
        <f t="shared" si="46"/>
        <v>Neutral</v>
      </c>
      <c r="AY80" s="32">
        <f t="shared" si="47"/>
        <v>2</v>
      </c>
      <c r="AZ80">
        <f>step3_validation[[#This Row],[AI_TRU4]]</f>
        <v>6</v>
      </c>
      <c r="BA80" t="str">
        <f t="shared" si="48"/>
        <v>Neutral</v>
      </c>
      <c r="BB80">
        <f>survey_responses[[#This Row],[Tôi thấy Nhà nước đã giải thích rõ ràng, minh bạch về lý do và mục tiêu của việc sửa đổi thuế lần này. - HUMAN-TRU4]]</f>
        <v>5</v>
      </c>
      <c r="BC80" t="str">
        <f t="shared" si="49"/>
        <v>Neutral</v>
      </c>
      <c r="BD80" s="32">
        <f t="shared" si="50"/>
        <v>1</v>
      </c>
      <c r="BE80">
        <f>step3_validation[[#This Row],[AI_OUT1]]</f>
        <v>9</v>
      </c>
      <c r="BF80" t="str">
        <f t="shared" si="51"/>
        <v>Support</v>
      </c>
      <c r="BG80">
        <f>survey_responses[[#This Row],[Sau khi xem xét các quyền lợi và nghĩa vụ, bạn có ủng hộ và tuân thủ chính sách mới hiện nay? - HUMAN-OUT1]]</f>
        <v>7</v>
      </c>
      <c r="BH80" t="str">
        <f t="shared" si="52"/>
        <v>Neutral</v>
      </c>
      <c r="BI80" s="32">
        <f t="shared" si="53"/>
        <v>2</v>
      </c>
    </row>
    <row r="81" spans="1:61" x14ac:dyDescent="0.45">
      <c r="A81" s="30">
        <f>step3_validation[[#This Row],[Persona_ID]]</f>
        <v>80</v>
      </c>
      <c r="B81" s="31">
        <f>step3_validation[[#This Row],[Used_Seed]]</f>
        <v>80</v>
      </c>
      <c r="C81" t="str">
        <f>step3_validation[[#This Row],[Gender]]</f>
        <v>Nam</v>
      </c>
      <c r="D81" t="str">
        <f>survey_responses[[#This Row],[Giới tính của bạn:]]</f>
        <v>Nam</v>
      </c>
      <c r="E81" t="str">
        <f>step3_validation[[#This Row],[Age_Group]]</f>
        <v>25 - 29</v>
      </c>
      <c r="F81" t="str">
        <f>survey_responses[[#This Row],[Độ tuổi của bạn:]]</f>
        <v>25 - 29</v>
      </c>
      <c r="G81" t="str">
        <f>step3_validation[[#This Row],[Region]]</f>
        <v>Thành thị</v>
      </c>
      <c r="H81" t="str">
        <f>survey_responses[[#This Row],[Khu vực bạn đang sinh sống:]]</f>
        <v>Thành thị</v>
      </c>
      <c r="I81" t="str">
        <f>step3_validation[[#This Row],[Education]]</f>
        <v>Đại học</v>
      </c>
      <c r="J81" t="str">
        <f>survey_responses[[#This Row],[Trình độ học vấn cao nhất:]]</f>
        <v>Đại học</v>
      </c>
      <c r="K81" t="str">
        <f>step3_validation[[#This Row],[Employment]]</f>
        <v>Chính thức</v>
      </c>
      <c r="L81" t="str">
        <f>survey_responses[[#This Row],[Tình trạng việc làm chính:]]</f>
        <v>Khu vực chính thức (Có Hợp đồng lao động, đóng BHXH)</v>
      </c>
      <c r="M81">
        <f>step3_validation[[#This Row],[Income_Mil]]</f>
        <v>15.682456656717269</v>
      </c>
      <c r="N81" t="str">
        <f>survey_responses[[#This Row],[Thu nhập bình quân tháng theo Hợp đồng lao động của bạn là bao nhiêu? (Vui lòng điền tổng thu nhập trước khi khấu trừ các loại Bảo hiểm (BHXH, BHYT, BHTN) và Thuế TNCN)]]</f>
        <v>Từ 12 - 18 triệu VNĐ</v>
      </c>
      <c r="O81">
        <f>step3_validation[[#This Row],[Dependents]]</f>
        <v>0</v>
      </c>
      <c r="P81" t="str">
        <f>survey_responses[[#This Row],[Số người phụ thuộc (con nhỏ, cha mẹ già...) đủ điều kiện giảm trừ gia cảnh:]]</f>
        <v>0 người</v>
      </c>
      <c r="Q81">
        <f>step3_validation[[#This Row],[AI_ENF1]]</f>
        <v>7</v>
      </c>
      <c r="R81" t="str">
        <f t="shared" si="27"/>
        <v>Neutral</v>
      </c>
      <c r="S81">
        <f>survey_responses[[#This Row],[Tôi tin rằng với các quy định quản lý thuế hiện nay, hành vi gian lận hoặc trốn thuế sẽ dễ dàng bị phát hiện và xử lý nghiêm. - HUMAN-ENF1]]</f>
        <v>8</v>
      </c>
      <c r="T81" t="str">
        <f t="shared" si="28"/>
        <v>Support</v>
      </c>
      <c r="U81" s="32">
        <f t="shared" si="29"/>
        <v>1</v>
      </c>
      <c r="V81">
        <f>step3_validation[[#This Row],[AI_ENF2]]</f>
        <v>6</v>
      </c>
      <c r="W81" t="str">
        <f t="shared" si="30"/>
        <v>Neutral</v>
      </c>
      <c r="X81">
        <f>survey_responses[[#This Row],[Tôi tin rằng Nhà nước, cơ quan thuế có đủ khả năng và công nghệ để phát hiện, xử lý nghiêm các hành vi trốn thuế. - HUMAN-ENF2]]</f>
        <v>8</v>
      </c>
      <c r="Y81" t="str">
        <f t="shared" si="31"/>
        <v>Support</v>
      </c>
      <c r="Z81" s="32">
        <f t="shared" si="32"/>
        <v>2</v>
      </c>
      <c r="AA81">
        <f>step3_validation[[#This Row],[AI_FAC1]]</f>
        <v>9</v>
      </c>
      <c r="AB81" t="str">
        <f t="shared" si="33"/>
        <v>Support</v>
      </c>
      <c r="AC81">
        <f>survey_responses[[#This Row],[Các thủ tục khai báo thuế VÀ/HOẶC quy trình làm việc với cơ quan thuế đơn giản, tiện lợi, nhanh chóng hơn so với trước đây. - HUMAN-FAC1]]</f>
        <v>8</v>
      </c>
      <c r="AD81" t="str">
        <f t="shared" si="34"/>
        <v>Support</v>
      </c>
      <c r="AE81" s="32">
        <f t="shared" si="35"/>
        <v>1</v>
      </c>
      <c r="AF81">
        <f>step3_validation[[#This Row],[AI_FAC2]]</f>
        <v>9</v>
      </c>
      <c r="AG81" t="str">
        <f t="shared" si="36"/>
        <v>Support</v>
      </c>
      <c r="AH81">
        <f>survey_responses[[#This Row],[So với trước đây, tôi thấy cách tính thuế và các bậc thuế trong phương án mới đơn giản, dễ hiểu và dễ thực hiện hơn. - HUMAN-FAC2]]</f>
        <v>8</v>
      </c>
      <c r="AI81" t="str">
        <f t="shared" si="37"/>
        <v>Support</v>
      </c>
      <c r="AJ81" s="32">
        <f t="shared" si="38"/>
        <v>1</v>
      </c>
      <c r="AK81">
        <f>step3_validation[[#This Row],[AI_TRU1]]</f>
        <v>7</v>
      </c>
      <c r="AL81" t="str">
        <f t="shared" si="39"/>
        <v>Neutral</v>
      </c>
      <c r="AM81">
        <f>survey_responses[[#This Row],[Tôi tin rằng Nhà nước, cơ quan thuế sẽ thực thi chính sách mới một cách khách quan, công tâm và đối xử bình đẳng với mọi người nộp thuế.  - HUMAN-TRU1]]</f>
        <v>8</v>
      </c>
      <c r="AN81" t="str">
        <f t="shared" si="40"/>
        <v>Support</v>
      </c>
      <c r="AO81" s="32">
        <f t="shared" si="41"/>
        <v>1</v>
      </c>
      <c r="AP81">
        <f>step3_validation[[#This Row],[AI_TRU2]]</f>
        <v>8</v>
      </c>
      <c r="AQ81" t="str">
        <f t="shared" si="42"/>
        <v>Support</v>
      </c>
      <c r="AR81">
        <f>survey_responses[[#This Row],[Tôi thấy mức thuế tôi phải đóng theo phương án mới là công bằng (người thu nhập như tôi đóng mức này là hợp lý). - HUMAN-TRU2]]</f>
        <v>8</v>
      </c>
      <c r="AS81" t="str">
        <f t="shared" si="43"/>
        <v>Support</v>
      </c>
      <c r="AT81" s="32">
        <f t="shared" si="44"/>
        <v>0</v>
      </c>
      <c r="AU81">
        <f>step3_validation[[#This Row],[AI_TRU3]]</f>
        <v>7</v>
      </c>
      <c r="AV81" t="str">
        <f t="shared" si="45"/>
        <v>Neutral</v>
      </c>
      <c r="AW81">
        <f>survey_responses[[#This Row],[Tôi tin tưởng số tiền thuế tôi đóng sẽ được Nhà nước sử dụng hiệu quả để cải thiện dịch vụ công (y tế, đường xá...). - HUMAN-TRU3]]</f>
        <v>8</v>
      </c>
      <c r="AX81" t="str">
        <f t="shared" si="46"/>
        <v>Support</v>
      </c>
      <c r="AY81" s="32">
        <f t="shared" si="47"/>
        <v>1</v>
      </c>
      <c r="AZ81">
        <f>step3_validation[[#This Row],[AI_TRU4]]</f>
        <v>6</v>
      </c>
      <c r="BA81" t="str">
        <f t="shared" si="48"/>
        <v>Neutral</v>
      </c>
      <c r="BB81">
        <f>survey_responses[[#This Row],[Tôi thấy Nhà nước đã giải thích rõ ràng, minh bạch về lý do và mục tiêu của việc sửa đổi thuế lần này. - HUMAN-TRU4]]</f>
        <v>8</v>
      </c>
      <c r="BC81" t="str">
        <f t="shared" si="49"/>
        <v>Support</v>
      </c>
      <c r="BD81" s="32">
        <f t="shared" si="50"/>
        <v>2</v>
      </c>
      <c r="BE81">
        <f>step3_validation[[#This Row],[AI_OUT1]]</f>
        <v>8</v>
      </c>
      <c r="BF81" t="str">
        <f t="shared" si="51"/>
        <v>Support</v>
      </c>
      <c r="BG81">
        <f>survey_responses[[#This Row],[Sau khi xem xét các quyền lợi và nghĩa vụ, bạn có ủng hộ và tuân thủ chính sách mới hiện nay? - HUMAN-OUT1]]</f>
        <v>8</v>
      </c>
      <c r="BH81" t="str">
        <f t="shared" si="52"/>
        <v>Support</v>
      </c>
      <c r="BI81" s="32">
        <f t="shared" si="53"/>
        <v>0</v>
      </c>
    </row>
    <row r="82" spans="1:61" x14ac:dyDescent="0.45">
      <c r="A82" s="30">
        <f>step3_validation[[#This Row],[Persona_ID]]</f>
        <v>81</v>
      </c>
      <c r="B82" s="31">
        <f>step3_validation[[#This Row],[Used_Seed]]</f>
        <v>81</v>
      </c>
      <c r="C82" t="str">
        <f>step3_validation[[#This Row],[Gender]]</f>
        <v>Nam</v>
      </c>
      <c r="D82" t="str">
        <f>survey_responses[[#This Row],[Giới tính của bạn:]]</f>
        <v>Nam</v>
      </c>
      <c r="E82" t="str">
        <f>step3_validation[[#This Row],[Age_Group]]</f>
        <v>55 - 64</v>
      </c>
      <c r="F82" t="str">
        <f>survey_responses[[#This Row],[Độ tuổi của bạn:]]</f>
        <v>55 - 64</v>
      </c>
      <c r="G82" t="str">
        <f>step3_validation[[#This Row],[Region]]</f>
        <v>Thành thị</v>
      </c>
      <c r="H82" t="str">
        <f>survey_responses[[#This Row],[Khu vực bạn đang sinh sống:]]</f>
        <v>Thành thị</v>
      </c>
      <c r="I82" t="str">
        <f>step3_validation[[#This Row],[Education]]</f>
        <v>Sau Đại học</v>
      </c>
      <c r="J82" t="str">
        <f>survey_responses[[#This Row],[Trình độ học vấn cao nhất:]]</f>
        <v>Sau Đại học</v>
      </c>
      <c r="K82" t="str">
        <f>step3_validation[[#This Row],[Employment]]</f>
        <v>Phi chính thức</v>
      </c>
      <c r="L82" t="str">
        <f>survey_responses[[#This Row],[Tình trạng việc làm chính:]]</f>
        <v>Khác (Về hưu, nội trợ, sinh viên)</v>
      </c>
      <c r="M82">
        <f>step3_validation[[#This Row],[Income_Mil]]</f>
        <v>12</v>
      </c>
      <c r="N82" t="str">
        <f>survey_responses[[#This Row],[Thu nhập bình quân tháng theo Hợp đồng lao động của bạn là bao nhiêu? (Vui lòng điền tổng thu nhập trước khi khấu trừ các loại Bảo hiểm (BHXH, BHYT, BHTN) và Thuế TNCN)]]</f>
        <v>Dưới 12 triệu VNĐ</v>
      </c>
      <c r="O82">
        <f>step3_validation[[#This Row],[Dependents]]</f>
        <v>0</v>
      </c>
      <c r="P82" t="str">
        <f>survey_responses[[#This Row],[Số người phụ thuộc (con nhỏ, cha mẹ già...) đủ điều kiện giảm trừ gia cảnh:]]</f>
        <v>0 người</v>
      </c>
      <c r="Q82">
        <f>step3_validation[[#This Row],[AI_ENF1]]</f>
        <v>6</v>
      </c>
      <c r="R82" t="str">
        <f t="shared" si="27"/>
        <v>Neutral</v>
      </c>
      <c r="S82">
        <f>survey_responses[[#This Row],[Tôi tin rằng với các quy định quản lý thuế hiện nay, hành vi gian lận hoặc trốn thuế sẽ dễ dàng bị phát hiện và xử lý nghiêm. - HUMAN-ENF1]]</f>
        <v>7</v>
      </c>
      <c r="T82" t="str">
        <f t="shared" si="28"/>
        <v>Neutral</v>
      </c>
      <c r="U82" s="32">
        <f t="shared" si="29"/>
        <v>1</v>
      </c>
      <c r="V82">
        <f>step3_validation[[#This Row],[AI_ENF2]]</f>
        <v>7</v>
      </c>
      <c r="W82" t="str">
        <f t="shared" si="30"/>
        <v>Neutral</v>
      </c>
      <c r="X82">
        <f>survey_responses[[#This Row],[Tôi tin rằng Nhà nước, cơ quan thuế có đủ khả năng và công nghệ để phát hiện, xử lý nghiêm các hành vi trốn thuế. - HUMAN-ENF2]]</f>
        <v>7</v>
      </c>
      <c r="Y82" t="str">
        <f t="shared" si="31"/>
        <v>Neutral</v>
      </c>
      <c r="Z82" s="32">
        <f t="shared" si="32"/>
        <v>0</v>
      </c>
      <c r="AA82">
        <f>step3_validation[[#This Row],[AI_FAC1]]</f>
        <v>9</v>
      </c>
      <c r="AB82" t="str">
        <f t="shared" si="33"/>
        <v>Support</v>
      </c>
      <c r="AC82">
        <f>survey_responses[[#This Row],[Các thủ tục khai báo thuế VÀ/HOẶC quy trình làm việc với cơ quan thuế đơn giản, tiện lợi, nhanh chóng hơn so với trước đây. - HUMAN-FAC1]]</f>
        <v>5</v>
      </c>
      <c r="AD82" t="str">
        <f t="shared" si="34"/>
        <v>Neutral</v>
      </c>
      <c r="AE82" s="32">
        <f t="shared" si="35"/>
        <v>4</v>
      </c>
      <c r="AF82">
        <f>step3_validation[[#This Row],[AI_FAC2]]</f>
        <v>8</v>
      </c>
      <c r="AG82" t="str">
        <f t="shared" si="36"/>
        <v>Support</v>
      </c>
      <c r="AH82">
        <f>survey_responses[[#This Row],[So với trước đây, tôi thấy cách tính thuế và các bậc thuế trong phương án mới đơn giản, dễ hiểu và dễ thực hiện hơn. - HUMAN-FAC2]]</f>
        <v>5</v>
      </c>
      <c r="AI82" t="str">
        <f t="shared" si="37"/>
        <v>Neutral</v>
      </c>
      <c r="AJ82" s="32">
        <f t="shared" si="38"/>
        <v>3</v>
      </c>
      <c r="AK82">
        <f>step3_validation[[#This Row],[AI_TRU1]]</f>
        <v>9</v>
      </c>
      <c r="AL82" t="str">
        <f t="shared" si="39"/>
        <v>Support</v>
      </c>
      <c r="AM82">
        <f>survey_responses[[#This Row],[Tôi tin rằng Nhà nước, cơ quan thuế sẽ thực thi chính sách mới một cách khách quan, công tâm và đối xử bình đẳng với mọi người nộp thuế.  - HUMAN-TRU1]]</f>
        <v>6</v>
      </c>
      <c r="AN82" t="str">
        <f t="shared" si="40"/>
        <v>Neutral</v>
      </c>
      <c r="AO82" s="32">
        <f t="shared" si="41"/>
        <v>3</v>
      </c>
      <c r="AP82">
        <f>step3_validation[[#This Row],[AI_TRU2]]</f>
        <v>8</v>
      </c>
      <c r="AQ82" t="str">
        <f t="shared" si="42"/>
        <v>Support</v>
      </c>
      <c r="AR82">
        <f>survey_responses[[#This Row],[Tôi thấy mức thuế tôi phải đóng theo phương án mới là công bằng (người thu nhập như tôi đóng mức này là hợp lý). - HUMAN-TRU2]]</f>
        <v>5</v>
      </c>
      <c r="AS82" t="str">
        <f t="shared" si="43"/>
        <v>Neutral</v>
      </c>
      <c r="AT82" s="32">
        <f t="shared" si="44"/>
        <v>3</v>
      </c>
      <c r="AU82">
        <f>step3_validation[[#This Row],[AI_TRU3]]</f>
        <v>9</v>
      </c>
      <c r="AV82" t="str">
        <f t="shared" si="45"/>
        <v>Support</v>
      </c>
      <c r="AW82">
        <f>survey_responses[[#This Row],[Tôi tin tưởng số tiền thuế tôi đóng sẽ được Nhà nước sử dụng hiệu quả để cải thiện dịch vụ công (y tế, đường xá...). - HUMAN-TRU3]]</f>
        <v>8</v>
      </c>
      <c r="AX82" t="str">
        <f t="shared" si="46"/>
        <v>Support</v>
      </c>
      <c r="AY82" s="32">
        <f t="shared" si="47"/>
        <v>1</v>
      </c>
      <c r="AZ82">
        <f>step3_validation[[#This Row],[AI_TRU4]]</f>
        <v>8</v>
      </c>
      <c r="BA82" t="str">
        <f t="shared" si="48"/>
        <v>Support</v>
      </c>
      <c r="BB82">
        <f>survey_responses[[#This Row],[Tôi thấy Nhà nước đã giải thích rõ ràng, minh bạch về lý do và mục tiêu của việc sửa đổi thuế lần này. - HUMAN-TRU4]]</f>
        <v>6</v>
      </c>
      <c r="BC82" t="str">
        <f t="shared" si="49"/>
        <v>Neutral</v>
      </c>
      <c r="BD82" s="32">
        <f t="shared" si="50"/>
        <v>2</v>
      </c>
      <c r="BE82">
        <f>step3_validation[[#This Row],[AI_OUT1]]</f>
        <v>9</v>
      </c>
      <c r="BF82" t="str">
        <f t="shared" si="51"/>
        <v>Support</v>
      </c>
      <c r="BG82">
        <f>survey_responses[[#This Row],[Sau khi xem xét các quyền lợi và nghĩa vụ, bạn có ủng hộ và tuân thủ chính sách mới hiện nay? - HUMAN-OUT1]]</f>
        <v>8</v>
      </c>
      <c r="BH82" t="str">
        <f t="shared" si="52"/>
        <v>Support</v>
      </c>
      <c r="BI82" s="32">
        <f t="shared" si="53"/>
        <v>1</v>
      </c>
    </row>
    <row r="83" spans="1:61" x14ac:dyDescent="0.45">
      <c r="A83" s="30">
        <f>step3_validation[[#This Row],[Persona_ID]]</f>
        <v>82</v>
      </c>
      <c r="B83" s="31">
        <f>step3_validation[[#This Row],[Used_Seed]]</f>
        <v>82</v>
      </c>
      <c r="C83" t="str">
        <f>step3_validation[[#This Row],[Gender]]</f>
        <v>Nữ</v>
      </c>
      <c r="D83" t="str">
        <f>survey_responses[[#This Row],[Giới tính của bạn:]]</f>
        <v>Nữ</v>
      </c>
      <c r="E83" t="str">
        <f>step3_validation[[#This Row],[Age_Group]]</f>
        <v>55 - 64</v>
      </c>
      <c r="F83" t="str">
        <f>survey_responses[[#This Row],[Độ tuổi của bạn:]]</f>
        <v>55 - 64</v>
      </c>
      <c r="G83" t="str">
        <f>step3_validation[[#This Row],[Region]]</f>
        <v>Thành thị</v>
      </c>
      <c r="H83" t="str">
        <f>survey_responses[[#This Row],[Khu vực bạn đang sinh sống:]]</f>
        <v>Thành thị</v>
      </c>
      <c r="I83" t="str">
        <f>step3_validation[[#This Row],[Education]]</f>
        <v>Đại học</v>
      </c>
      <c r="J83" t="str">
        <f>survey_responses[[#This Row],[Trình độ học vấn cao nhất:]]</f>
        <v>Đại học</v>
      </c>
      <c r="K83" t="str">
        <f>step3_validation[[#This Row],[Employment]]</f>
        <v>Phi chính thức</v>
      </c>
      <c r="L83" t="str">
        <f>survey_responses[[#This Row],[Tình trạng việc làm chính:]]</f>
        <v>Khác (Về hưu, nội trợ, sinh viên)</v>
      </c>
      <c r="M83">
        <f>step3_validation[[#This Row],[Income_Mil]]</f>
        <v>16.988193761926325</v>
      </c>
      <c r="N83" t="str">
        <f>survey_responses[[#This Row],[Thu nhập bình quân tháng theo Hợp đồng lao động của bạn là bao nhiêu? (Vui lòng điền tổng thu nhập trước khi khấu trừ các loại Bảo hiểm (BHXH, BHYT, BHTN) và Thuế TNCN)]]</f>
        <v>Từ 12 - 18 triệu VNĐ</v>
      </c>
      <c r="O83">
        <f>step3_validation[[#This Row],[Dependents]]</f>
        <v>1</v>
      </c>
      <c r="P83" t="str">
        <f>survey_responses[[#This Row],[Số người phụ thuộc (con nhỏ, cha mẹ già...) đủ điều kiện giảm trừ gia cảnh:]]</f>
        <v>1 người</v>
      </c>
      <c r="Q83">
        <f>step3_validation[[#This Row],[AI_ENF1]]</f>
        <v>5</v>
      </c>
      <c r="R83" t="str">
        <f t="shared" si="27"/>
        <v>Neutral</v>
      </c>
      <c r="S83">
        <f>survey_responses[[#This Row],[Tôi tin rằng với các quy định quản lý thuế hiện nay, hành vi gian lận hoặc trốn thuế sẽ dễ dàng bị phát hiện và xử lý nghiêm. - HUMAN-ENF1]]</f>
        <v>8</v>
      </c>
      <c r="T83" t="str">
        <f t="shared" si="28"/>
        <v>Support</v>
      </c>
      <c r="U83" s="32">
        <f t="shared" si="29"/>
        <v>3</v>
      </c>
      <c r="V83">
        <f>step3_validation[[#This Row],[AI_ENF2]]</f>
        <v>6</v>
      </c>
      <c r="W83" t="str">
        <f t="shared" si="30"/>
        <v>Neutral</v>
      </c>
      <c r="X83">
        <f>survey_responses[[#This Row],[Tôi tin rằng Nhà nước, cơ quan thuế có đủ khả năng và công nghệ để phát hiện, xử lý nghiêm các hành vi trốn thuế. - HUMAN-ENF2]]</f>
        <v>9</v>
      </c>
      <c r="Y83" t="str">
        <f t="shared" si="31"/>
        <v>Support</v>
      </c>
      <c r="Z83" s="32">
        <f t="shared" si="32"/>
        <v>3</v>
      </c>
      <c r="AA83">
        <f>step3_validation[[#This Row],[AI_FAC1]]</f>
        <v>7</v>
      </c>
      <c r="AB83" t="str">
        <f t="shared" si="33"/>
        <v>Neutral</v>
      </c>
      <c r="AC83">
        <f>survey_responses[[#This Row],[Các thủ tục khai báo thuế VÀ/HOẶC quy trình làm việc với cơ quan thuế đơn giản, tiện lợi, nhanh chóng hơn so với trước đây. - HUMAN-FAC1]]</f>
        <v>5</v>
      </c>
      <c r="AD83" t="str">
        <f t="shared" si="34"/>
        <v>Neutral</v>
      </c>
      <c r="AE83" s="32">
        <f t="shared" si="35"/>
        <v>2</v>
      </c>
      <c r="AF83">
        <f>step3_validation[[#This Row],[AI_FAC2]]</f>
        <v>9</v>
      </c>
      <c r="AG83" t="str">
        <f t="shared" si="36"/>
        <v>Support</v>
      </c>
      <c r="AH83">
        <f>survey_responses[[#This Row],[So với trước đây, tôi thấy cách tính thuế và các bậc thuế trong phương án mới đơn giản, dễ hiểu và dễ thực hiện hơn. - HUMAN-FAC2]]</f>
        <v>5</v>
      </c>
      <c r="AI83" t="str">
        <f t="shared" si="37"/>
        <v>Neutral</v>
      </c>
      <c r="AJ83" s="32">
        <f t="shared" si="38"/>
        <v>4</v>
      </c>
      <c r="AK83">
        <f>step3_validation[[#This Row],[AI_TRU1]]</f>
        <v>6</v>
      </c>
      <c r="AL83" t="str">
        <f t="shared" si="39"/>
        <v>Neutral</v>
      </c>
      <c r="AM83">
        <f>survey_responses[[#This Row],[Tôi tin rằng Nhà nước, cơ quan thuế sẽ thực thi chính sách mới một cách khách quan, công tâm và đối xử bình đẳng với mọi người nộp thuế.  - HUMAN-TRU1]]</f>
        <v>5</v>
      </c>
      <c r="AN83" t="str">
        <f t="shared" si="40"/>
        <v>Neutral</v>
      </c>
      <c r="AO83" s="32">
        <f t="shared" si="41"/>
        <v>1</v>
      </c>
      <c r="AP83">
        <f>step3_validation[[#This Row],[AI_TRU2]]</f>
        <v>9</v>
      </c>
      <c r="AQ83" t="str">
        <f t="shared" si="42"/>
        <v>Support</v>
      </c>
      <c r="AR83">
        <f>survey_responses[[#This Row],[Tôi thấy mức thuế tôi phải đóng theo phương án mới là công bằng (người thu nhập như tôi đóng mức này là hợp lý). - HUMAN-TRU2]]</f>
        <v>5</v>
      </c>
      <c r="AS83" t="str">
        <f t="shared" si="43"/>
        <v>Neutral</v>
      </c>
      <c r="AT83" s="32">
        <f t="shared" si="44"/>
        <v>4</v>
      </c>
      <c r="AU83">
        <f>step3_validation[[#This Row],[AI_TRU3]]</f>
        <v>7</v>
      </c>
      <c r="AV83" t="str">
        <f t="shared" si="45"/>
        <v>Neutral</v>
      </c>
      <c r="AW83">
        <f>survey_responses[[#This Row],[Tôi tin tưởng số tiền thuế tôi đóng sẽ được Nhà nước sử dụng hiệu quả để cải thiện dịch vụ công (y tế, đường xá...). - HUMAN-TRU3]]</f>
        <v>1</v>
      </c>
      <c r="AX83" t="str">
        <f t="shared" si="46"/>
        <v>Oppose</v>
      </c>
      <c r="AY83" s="32">
        <f t="shared" si="47"/>
        <v>6</v>
      </c>
      <c r="AZ83">
        <f>step3_validation[[#This Row],[AI_TRU4]]</f>
        <v>8</v>
      </c>
      <c r="BA83" t="str">
        <f t="shared" si="48"/>
        <v>Support</v>
      </c>
      <c r="BB83">
        <f>survey_responses[[#This Row],[Tôi thấy Nhà nước đã giải thích rõ ràng, minh bạch về lý do và mục tiêu của việc sửa đổi thuế lần này. - HUMAN-TRU4]]</f>
        <v>5</v>
      </c>
      <c r="BC83" t="str">
        <f t="shared" si="49"/>
        <v>Neutral</v>
      </c>
      <c r="BD83" s="32">
        <f t="shared" si="50"/>
        <v>3</v>
      </c>
      <c r="BE83">
        <f>step3_validation[[#This Row],[AI_OUT1]]</f>
        <v>7</v>
      </c>
      <c r="BF83" t="str">
        <f t="shared" si="51"/>
        <v>Neutral</v>
      </c>
      <c r="BG83">
        <f>survey_responses[[#This Row],[Sau khi xem xét các quyền lợi và nghĩa vụ, bạn có ủng hộ và tuân thủ chính sách mới hiện nay? - HUMAN-OUT1]]</f>
        <v>5</v>
      </c>
      <c r="BH83" t="str">
        <f t="shared" si="52"/>
        <v>Neutral</v>
      </c>
      <c r="BI83" s="32">
        <f t="shared" si="53"/>
        <v>2</v>
      </c>
    </row>
    <row r="84" spans="1:61" x14ac:dyDescent="0.45">
      <c r="A84" s="30">
        <f>step3_validation[[#This Row],[Persona_ID]]</f>
        <v>83</v>
      </c>
      <c r="B84" s="31">
        <f>step3_validation[[#This Row],[Used_Seed]]</f>
        <v>83</v>
      </c>
      <c r="C84" t="str">
        <f>step3_validation[[#This Row],[Gender]]</f>
        <v>Nữ</v>
      </c>
      <c r="D84" t="str">
        <f>survey_responses[[#This Row],[Giới tính của bạn:]]</f>
        <v>Nữ</v>
      </c>
      <c r="E84" t="str">
        <f>step3_validation[[#This Row],[Age_Group]]</f>
        <v>40 - 49</v>
      </c>
      <c r="F84" t="str">
        <f>survey_responses[[#This Row],[Độ tuổi của bạn:]]</f>
        <v>40 - 49</v>
      </c>
      <c r="G84" t="str">
        <f>step3_validation[[#This Row],[Region]]</f>
        <v>Thành thị</v>
      </c>
      <c r="H84" t="str">
        <f>survey_responses[[#This Row],[Khu vực bạn đang sinh sống:]]</f>
        <v>Thành thị</v>
      </c>
      <c r="I84" t="str">
        <f>step3_validation[[#This Row],[Education]]</f>
        <v>Sau Đại học</v>
      </c>
      <c r="J84" t="str">
        <f>survey_responses[[#This Row],[Trình độ học vấn cao nhất:]]</f>
        <v>Sau Đại học</v>
      </c>
      <c r="K84" t="str">
        <f>step3_validation[[#This Row],[Employment]]</f>
        <v>Chính thức</v>
      </c>
      <c r="L84" t="str">
        <f>survey_responses[[#This Row],[Tình trạng việc làm chính:]]</f>
        <v>Khu vực chính thức (Có Hợp đồng lao động, đóng BHXH)</v>
      </c>
      <c r="M84">
        <f>step3_validation[[#This Row],[Income_Mil]]</f>
        <v>13.582071599255009</v>
      </c>
      <c r="N84" t="str">
        <f>survey_responses[[#This Row],[Thu nhập bình quân tháng theo Hợp đồng lao động của bạn là bao nhiêu? (Vui lòng điền tổng thu nhập trước khi khấu trừ các loại Bảo hiểm (BHXH, BHYT, BHTN) và Thuế TNCN)]]</f>
        <v>Từ 12 - 18 triệu VNĐ</v>
      </c>
      <c r="O84">
        <f>step3_validation[[#This Row],[Dependents]]</f>
        <v>2</v>
      </c>
      <c r="P84" t="str">
        <f>survey_responses[[#This Row],[Số người phụ thuộc (con nhỏ, cha mẹ già...) đủ điều kiện giảm trừ gia cảnh:]]</f>
        <v>2 người</v>
      </c>
      <c r="Q84">
        <f>step3_validation[[#This Row],[AI_ENF1]]</f>
        <v>7</v>
      </c>
      <c r="R84" t="str">
        <f t="shared" si="27"/>
        <v>Neutral</v>
      </c>
      <c r="S84">
        <f>survey_responses[[#This Row],[Tôi tin rằng với các quy định quản lý thuế hiện nay, hành vi gian lận hoặc trốn thuế sẽ dễ dàng bị phát hiện và xử lý nghiêm. - HUMAN-ENF1]]</f>
        <v>10</v>
      </c>
      <c r="T84" t="str">
        <f t="shared" si="28"/>
        <v>Support</v>
      </c>
      <c r="U84" s="32">
        <f t="shared" si="29"/>
        <v>3</v>
      </c>
      <c r="V84">
        <f>step3_validation[[#This Row],[AI_ENF2]]</f>
        <v>8</v>
      </c>
      <c r="W84" t="str">
        <f t="shared" si="30"/>
        <v>Support</v>
      </c>
      <c r="X84">
        <f>survey_responses[[#This Row],[Tôi tin rằng Nhà nước, cơ quan thuế có đủ khả năng và công nghệ để phát hiện, xử lý nghiêm các hành vi trốn thuế. - HUMAN-ENF2]]</f>
        <v>8</v>
      </c>
      <c r="Y84" t="str">
        <f t="shared" si="31"/>
        <v>Support</v>
      </c>
      <c r="Z84" s="32">
        <f t="shared" si="32"/>
        <v>0</v>
      </c>
      <c r="AA84">
        <f>step3_validation[[#This Row],[AI_FAC1]]</f>
        <v>6</v>
      </c>
      <c r="AB84" t="str">
        <f t="shared" si="33"/>
        <v>Neutral</v>
      </c>
      <c r="AC84">
        <f>survey_responses[[#This Row],[Các thủ tục khai báo thuế VÀ/HOẶC quy trình làm việc với cơ quan thuế đơn giản, tiện lợi, nhanh chóng hơn so với trước đây. - HUMAN-FAC1]]</f>
        <v>8</v>
      </c>
      <c r="AD84" t="str">
        <f t="shared" si="34"/>
        <v>Support</v>
      </c>
      <c r="AE84" s="32">
        <f t="shared" si="35"/>
        <v>2</v>
      </c>
      <c r="AF84">
        <f>step3_validation[[#This Row],[AI_FAC2]]</f>
        <v>9</v>
      </c>
      <c r="AG84" t="str">
        <f t="shared" si="36"/>
        <v>Support</v>
      </c>
      <c r="AH84">
        <f>survey_responses[[#This Row],[So với trước đây, tôi thấy cách tính thuế và các bậc thuế trong phương án mới đơn giản, dễ hiểu và dễ thực hiện hơn. - HUMAN-FAC2]]</f>
        <v>7</v>
      </c>
      <c r="AI84" t="str">
        <f t="shared" si="37"/>
        <v>Neutral</v>
      </c>
      <c r="AJ84" s="32">
        <f t="shared" si="38"/>
        <v>2</v>
      </c>
      <c r="AK84">
        <f>step3_validation[[#This Row],[AI_TRU1]]</f>
        <v>8</v>
      </c>
      <c r="AL84" t="str">
        <f t="shared" si="39"/>
        <v>Support</v>
      </c>
      <c r="AM84">
        <f>survey_responses[[#This Row],[Tôi tin rằng Nhà nước, cơ quan thuế sẽ thực thi chính sách mới một cách khách quan, công tâm và đối xử bình đẳng với mọi người nộp thuế.  - HUMAN-TRU1]]</f>
        <v>7</v>
      </c>
      <c r="AN84" t="str">
        <f t="shared" si="40"/>
        <v>Neutral</v>
      </c>
      <c r="AO84" s="32">
        <f t="shared" si="41"/>
        <v>1</v>
      </c>
      <c r="AP84">
        <f>step3_validation[[#This Row],[AI_TRU2]]</f>
        <v>9</v>
      </c>
      <c r="AQ84" t="str">
        <f t="shared" si="42"/>
        <v>Support</v>
      </c>
      <c r="AR84">
        <f>survey_responses[[#This Row],[Tôi thấy mức thuế tôi phải đóng theo phương án mới là công bằng (người thu nhập như tôi đóng mức này là hợp lý). - HUMAN-TRU2]]</f>
        <v>6</v>
      </c>
      <c r="AS84" t="str">
        <f t="shared" si="43"/>
        <v>Neutral</v>
      </c>
      <c r="AT84" s="32">
        <f t="shared" si="44"/>
        <v>3</v>
      </c>
      <c r="AU84">
        <f>step3_validation[[#This Row],[AI_TRU3]]</f>
        <v>8</v>
      </c>
      <c r="AV84" t="str">
        <f t="shared" si="45"/>
        <v>Support</v>
      </c>
      <c r="AW84">
        <f>survey_responses[[#This Row],[Tôi tin tưởng số tiền thuế tôi đóng sẽ được Nhà nước sử dụng hiệu quả để cải thiện dịch vụ công (y tế, đường xá...). - HUMAN-TRU3]]</f>
        <v>7</v>
      </c>
      <c r="AX84" t="str">
        <f t="shared" si="46"/>
        <v>Neutral</v>
      </c>
      <c r="AY84" s="32">
        <f t="shared" si="47"/>
        <v>1</v>
      </c>
      <c r="AZ84">
        <f>step3_validation[[#This Row],[AI_TRU4]]</f>
        <v>7</v>
      </c>
      <c r="BA84" t="str">
        <f t="shared" si="48"/>
        <v>Neutral</v>
      </c>
      <c r="BB84">
        <f>survey_responses[[#This Row],[Tôi thấy Nhà nước đã giải thích rõ ràng, minh bạch về lý do và mục tiêu của việc sửa đổi thuế lần này. - HUMAN-TRU4]]</f>
        <v>6</v>
      </c>
      <c r="BC84" t="str">
        <f t="shared" si="49"/>
        <v>Neutral</v>
      </c>
      <c r="BD84" s="32">
        <f t="shared" si="50"/>
        <v>1</v>
      </c>
      <c r="BE84">
        <f>step3_validation[[#This Row],[AI_OUT1]]</f>
        <v>9</v>
      </c>
      <c r="BF84" t="str">
        <f t="shared" si="51"/>
        <v>Support</v>
      </c>
      <c r="BG84">
        <f>survey_responses[[#This Row],[Sau khi xem xét các quyền lợi và nghĩa vụ, bạn có ủng hộ và tuân thủ chính sách mới hiện nay? - HUMAN-OUT1]]</f>
        <v>8</v>
      </c>
      <c r="BH84" t="str">
        <f t="shared" si="52"/>
        <v>Support</v>
      </c>
      <c r="BI84" s="32">
        <f t="shared" si="53"/>
        <v>1</v>
      </c>
    </row>
    <row r="85" spans="1:61" x14ac:dyDescent="0.45">
      <c r="A85" s="30">
        <f>step3_validation[[#This Row],[Persona_ID]]</f>
        <v>84</v>
      </c>
      <c r="B85" s="31">
        <f>step3_validation[[#This Row],[Used_Seed]]</f>
        <v>84</v>
      </c>
      <c r="C85" t="str">
        <f>step3_validation[[#This Row],[Gender]]</f>
        <v>Nữ</v>
      </c>
      <c r="D85" t="str">
        <f>survey_responses[[#This Row],[Giới tính của bạn:]]</f>
        <v>Nữ</v>
      </c>
      <c r="E85" t="str">
        <f>step3_validation[[#This Row],[Age_Group]]</f>
        <v>30 - 39</v>
      </c>
      <c r="F85" t="str">
        <f>survey_responses[[#This Row],[Độ tuổi của bạn:]]</f>
        <v>30 - 39</v>
      </c>
      <c r="G85" t="str">
        <f>step3_validation[[#This Row],[Region]]</f>
        <v>Thành thị</v>
      </c>
      <c r="H85" t="str">
        <f>survey_responses[[#This Row],[Khu vực bạn đang sinh sống:]]</f>
        <v>Thành thị</v>
      </c>
      <c r="I85" t="str">
        <f>step3_validation[[#This Row],[Education]]</f>
        <v>Cao đẳng</v>
      </c>
      <c r="J85" t="str">
        <f>survey_responses[[#This Row],[Trình độ học vấn cao nhất:]]</f>
        <v>Cao đẳng</v>
      </c>
      <c r="K85" t="str">
        <f>step3_validation[[#This Row],[Employment]]</f>
        <v>Chính thức</v>
      </c>
      <c r="L85" t="str">
        <f>survey_responses[[#This Row],[Tình trạng việc làm chính:]]</f>
        <v>Khu vực chính thức (Có Hợp đồng lao động, đóng BHXH)</v>
      </c>
      <c r="M85">
        <f>step3_validation[[#This Row],[Income_Mil]]</f>
        <v>15.660491194639578</v>
      </c>
      <c r="N85" t="str">
        <f>survey_responses[[#This Row],[Thu nhập bình quân tháng theo Hợp đồng lao động của bạn là bao nhiêu? (Vui lòng điền tổng thu nhập trước khi khấu trừ các loại Bảo hiểm (BHXH, BHYT, BHTN) và Thuế TNCN)]]</f>
        <v>Từ 12 - 18 triệu VNĐ</v>
      </c>
      <c r="O85">
        <f>step3_validation[[#This Row],[Dependents]]</f>
        <v>1</v>
      </c>
      <c r="P85" t="str">
        <f>survey_responses[[#This Row],[Số người phụ thuộc (con nhỏ, cha mẹ già...) đủ điều kiện giảm trừ gia cảnh:]]</f>
        <v>1 người</v>
      </c>
      <c r="Q85">
        <f>step3_validation[[#This Row],[AI_ENF1]]</f>
        <v>8</v>
      </c>
      <c r="R85" t="str">
        <f t="shared" si="27"/>
        <v>Support</v>
      </c>
      <c r="S85">
        <f>survey_responses[[#This Row],[Tôi tin rằng với các quy định quản lý thuế hiện nay, hành vi gian lận hoặc trốn thuế sẽ dễ dàng bị phát hiện và xử lý nghiêm. - HUMAN-ENF1]]</f>
        <v>6</v>
      </c>
      <c r="T85" t="str">
        <f t="shared" si="28"/>
        <v>Neutral</v>
      </c>
      <c r="U85" s="32">
        <f t="shared" si="29"/>
        <v>2</v>
      </c>
      <c r="V85">
        <f>step3_validation[[#This Row],[AI_ENF2]]</f>
        <v>7</v>
      </c>
      <c r="W85" t="str">
        <f t="shared" si="30"/>
        <v>Neutral</v>
      </c>
      <c r="X85">
        <f>survey_responses[[#This Row],[Tôi tin rằng Nhà nước, cơ quan thuế có đủ khả năng và công nghệ để phát hiện, xử lý nghiêm các hành vi trốn thuế. - HUMAN-ENF2]]</f>
        <v>7</v>
      </c>
      <c r="Y85" t="str">
        <f t="shared" si="31"/>
        <v>Neutral</v>
      </c>
      <c r="Z85" s="32">
        <f t="shared" si="32"/>
        <v>0</v>
      </c>
      <c r="AA85">
        <f>step3_validation[[#This Row],[AI_FAC1]]</f>
        <v>9</v>
      </c>
      <c r="AB85" t="str">
        <f t="shared" si="33"/>
        <v>Support</v>
      </c>
      <c r="AC85">
        <f>survey_responses[[#This Row],[Các thủ tục khai báo thuế VÀ/HOẶC quy trình làm việc với cơ quan thuế đơn giản, tiện lợi, nhanh chóng hơn so với trước đây. - HUMAN-FAC1]]</f>
        <v>5</v>
      </c>
      <c r="AD85" t="str">
        <f t="shared" si="34"/>
        <v>Neutral</v>
      </c>
      <c r="AE85" s="32">
        <f t="shared" si="35"/>
        <v>4</v>
      </c>
      <c r="AF85">
        <f>step3_validation[[#This Row],[AI_FAC2]]</f>
        <v>9</v>
      </c>
      <c r="AG85" t="str">
        <f t="shared" si="36"/>
        <v>Support</v>
      </c>
      <c r="AH85">
        <f>survey_responses[[#This Row],[So với trước đây, tôi thấy cách tính thuế và các bậc thuế trong phương án mới đơn giản, dễ hiểu và dễ thực hiện hơn. - HUMAN-FAC2]]</f>
        <v>5</v>
      </c>
      <c r="AI85" t="str">
        <f t="shared" si="37"/>
        <v>Neutral</v>
      </c>
      <c r="AJ85" s="32">
        <f t="shared" si="38"/>
        <v>4</v>
      </c>
      <c r="AK85">
        <f>step3_validation[[#This Row],[AI_TRU1]]</f>
        <v>8</v>
      </c>
      <c r="AL85" t="str">
        <f t="shared" si="39"/>
        <v>Support</v>
      </c>
      <c r="AM85">
        <f>survey_responses[[#This Row],[Tôi tin rằng Nhà nước, cơ quan thuế sẽ thực thi chính sách mới một cách khách quan, công tâm và đối xử bình đẳng với mọi người nộp thuế.  - HUMAN-TRU1]]</f>
        <v>5</v>
      </c>
      <c r="AN85" t="str">
        <f t="shared" si="40"/>
        <v>Neutral</v>
      </c>
      <c r="AO85" s="32">
        <f t="shared" si="41"/>
        <v>3</v>
      </c>
      <c r="AP85">
        <f>step3_validation[[#This Row],[AI_TRU2]]</f>
        <v>9</v>
      </c>
      <c r="AQ85" t="str">
        <f t="shared" si="42"/>
        <v>Support</v>
      </c>
      <c r="AR85">
        <f>survey_responses[[#This Row],[Tôi thấy mức thuế tôi phải đóng theo phương án mới là công bằng (người thu nhập như tôi đóng mức này là hợp lý). - HUMAN-TRU2]]</f>
        <v>5</v>
      </c>
      <c r="AS85" t="str">
        <f t="shared" si="43"/>
        <v>Neutral</v>
      </c>
      <c r="AT85" s="32">
        <f t="shared" si="44"/>
        <v>4</v>
      </c>
      <c r="AU85">
        <f>step3_validation[[#This Row],[AI_TRU3]]</f>
        <v>8</v>
      </c>
      <c r="AV85" t="str">
        <f t="shared" si="45"/>
        <v>Support</v>
      </c>
      <c r="AW85">
        <f>survey_responses[[#This Row],[Tôi tin tưởng số tiền thuế tôi đóng sẽ được Nhà nước sử dụng hiệu quả để cải thiện dịch vụ công (y tế, đường xá...). - HUMAN-TRU3]]</f>
        <v>5</v>
      </c>
      <c r="AX85" t="str">
        <f t="shared" si="46"/>
        <v>Neutral</v>
      </c>
      <c r="AY85" s="32">
        <f t="shared" si="47"/>
        <v>3</v>
      </c>
      <c r="AZ85">
        <f>step3_validation[[#This Row],[AI_TRU4]]</f>
        <v>7</v>
      </c>
      <c r="BA85" t="str">
        <f t="shared" si="48"/>
        <v>Neutral</v>
      </c>
      <c r="BB85">
        <f>survey_responses[[#This Row],[Tôi thấy Nhà nước đã giải thích rõ ràng, minh bạch về lý do và mục tiêu của việc sửa đổi thuế lần này. - HUMAN-TRU4]]</f>
        <v>5</v>
      </c>
      <c r="BC85" t="str">
        <f t="shared" si="49"/>
        <v>Neutral</v>
      </c>
      <c r="BD85" s="32">
        <f t="shared" si="50"/>
        <v>2</v>
      </c>
      <c r="BE85">
        <f>step3_validation[[#This Row],[AI_OUT1]]</f>
        <v>9</v>
      </c>
      <c r="BF85" t="str">
        <f t="shared" si="51"/>
        <v>Support</v>
      </c>
      <c r="BG85">
        <f>survey_responses[[#This Row],[Sau khi xem xét các quyền lợi và nghĩa vụ, bạn có ủng hộ và tuân thủ chính sách mới hiện nay? - HUMAN-OUT1]]</f>
        <v>5</v>
      </c>
      <c r="BH85" t="str">
        <f t="shared" si="52"/>
        <v>Neutral</v>
      </c>
      <c r="BI85" s="32">
        <f t="shared" si="53"/>
        <v>4</v>
      </c>
    </row>
    <row r="86" spans="1:61" x14ac:dyDescent="0.45">
      <c r="A86" s="30">
        <f>step3_validation[[#This Row],[Persona_ID]]</f>
        <v>85</v>
      </c>
      <c r="B86" s="31">
        <f>step3_validation[[#This Row],[Used_Seed]]</f>
        <v>85</v>
      </c>
      <c r="C86" t="str">
        <f>step3_validation[[#This Row],[Gender]]</f>
        <v>Nữ</v>
      </c>
      <c r="D86" t="str">
        <f>survey_responses[[#This Row],[Giới tính của bạn:]]</f>
        <v>Nữ</v>
      </c>
      <c r="E86" t="str">
        <f>step3_validation[[#This Row],[Age_Group]]</f>
        <v>40 - 49</v>
      </c>
      <c r="F86" t="str">
        <f>survey_responses[[#This Row],[Độ tuổi của bạn:]]</f>
        <v>40 - 49</v>
      </c>
      <c r="G86" t="str">
        <f>step3_validation[[#This Row],[Region]]</f>
        <v>Thành thị</v>
      </c>
      <c r="H86" t="str">
        <f>survey_responses[[#This Row],[Khu vực bạn đang sinh sống:]]</f>
        <v>Thành thị</v>
      </c>
      <c r="I86" t="str">
        <f>step3_validation[[#This Row],[Education]]</f>
        <v>Đại học</v>
      </c>
      <c r="J86" t="str">
        <f>survey_responses[[#This Row],[Trình độ học vấn cao nhất:]]</f>
        <v>Đại học</v>
      </c>
      <c r="K86" t="str">
        <f>step3_validation[[#This Row],[Employment]]</f>
        <v>Chính thức</v>
      </c>
      <c r="L86" t="str">
        <f>survey_responses[[#This Row],[Tình trạng việc làm chính:]]</f>
        <v>Khu vực chính thức (Có Hợp đồng lao động, đóng BHXH)</v>
      </c>
      <c r="M86">
        <f>step3_validation[[#This Row],[Income_Mil]]</f>
        <v>12.221614956054998</v>
      </c>
      <c r="N86" t="str">
        <f>survey_responses[[#This Row],[Thu nhập bình quân tháng theo Hợp đồng lao động của bạn là bao nhiêu? (Vui lòng điền tổng thu nhập trước khi khấu trừ các loại Bảo hiểm (BHXH, BHYT, BHTN) và Thuế TNCN)]]</f>
        <v>Từ 12 - 18 triệu VNĐ</v>
      </c>
      <c r="O86">
        <f>step3_validation[[#This Row],[Dependents]]</f>
        <v>2</v>
      </c>
      <c r="P86" t="str">
        <f>survey_responses[[#This Row],[Số người phụ thuộc (con nhỏ, cha mẹ già...) đủ điều kiện giảm trừ gia cảnh:]]</f>
        <v>2 người</v>
      </c>
      <c r="Q86">
        <f>step3_validation[[#This Row],[AI_ENF1]]</f>
        <v>7</v>
      </c>
      <c r="R86" t="str">
        <f t="shared" si="27"/>
        <v>Neutral</v>
      </c>
      <c r="S86">
        <f>survey_responses[[#This Row],[Tôi tin rằng với các quy định quản lý thuế hiện nay, hành vi gian lận hoặc trốn thuế sẽ dễ dàng bị phát hiện và xử lý nghiêm. - HUMAN-ENF1]]</f>
        <v>9</v>
      </c>
      <c r="T86" t="str">
        <f t="shared" si="28"/>
        <v>Support</v>
      </c>
      <c r="U86" s="32">
        <f t="shared" si="29"/>
        <v>2</v>
      </c>
      <c r="V86">
        <f>step3_validation[[#This Row],[AI_ENF2]]</f>
        <v>6</v>
      </c>
      <c r="W86" t="str">
        <f t="shared" si="30"/>
        <v>Neutral</v>
      </c>
      <c r="X86">
        <f>survey_responses[[#This Row],[Tôi tin rằng Nhà nước, cơ quan thuế có đủ khả năng và công nghệ để phát hiện, xử lý nghiêm các hành vi trốn thuế. - HUMAN-ENF2]]</f>
        <v>9</v>
      </c>
      <c r="Y86" t="str">
        <f t="shared" si="31"/>
        <v>Support</v>
      </c>
      <c r="Z86" s="32">
        <f t="shared" si="32"/>
        <v>3</v>
      </c>
      <c r="AA86">
        <f>step3_validation[[#This Row],[AI_FAC1]]</f>
        <v>9</v>
      </c>
      <c r="AB86" t="str">
        <f t="shared" si="33"/>
        <v>Support</v>
      </c>
      <c r="AC86">
        <f>survey_responses[[#This Row],[Các thủ tục khai báo thuế VÀ/HOẶC quy trình làm việc với cơ quan thuế đơn giản, tiện lợi, nhanh chóng hơn so với trước đây. - HUMAN-FAC1]]</f>
        <v>8</v>
      </c>
      <c r="AD86" t="str">
        <f t="shared" si="34"/>
        <v>Support</v>
      </c>
      <c r="AE86" s="32">
        <f t="shared" si="35"/>
        <v>1</v>
      </c>
      <c r="AF86">
        <f>step3_validation[[#This Row],[AI_FAC2]]</f>
        <v>9</v>
      </c>
      <c r="AG86" t="str">
        <f t="shared" si="36"/>
        <v>Support</v>
      </c>
      <c r="AH86">
        <f>survey_responses[[#This Row],[So với trước đây, tôi thấy cách tính thuế và các bậc thuế trong phương án mới đơn giản, dễ hiểu và dễ thực hiện hơn. - HUMAN-FAC2]]</f>
        <v>9</v>
      </c>
      <c r="AI86" t="str">
        <f t="shared" si="37"/>
        <v>Support</v>
      </c>
      <c r="AJ86" s="32">
        <f t="shared" si="38"/>
        <v>0</v>
      </c>
      <c r="AK86">
        <f>step3_validation[[#This Row],[AI_TRU1]]</f>
        <v>7</v>
      </c>
      <c r="AL86" t="str">
        <f t="shared" si="39"/>
        <v>Neutral</v>
      </c>
      <c r="AM86">
        <f>survey_responses[[#This Row],[Tôi tin rằng Nhà nước, cơ quan thuế sẽ thực thi chính sách mới một cách khách quan, công tâm và đối xử bình đẳng với mọi người nộp thuế.  - HUMAN-TRU1]]</f>
        <v>9</v>
      </c>
      <c r="AN86" t="str">
        <f t="shared" si="40"/>
        <v>Support</v>
      </c>
      <c r="AO86" s="32">
        <f t="shared" si="41"/>
        <v>2</v>
      </c>
      <c r="AP86">
        <f>step3_validation[[#This Row],[AI_TRU2]]</f>
        <v>8</v>
      </c>
      <c r="AQ86" t="str">
        <f t="shared" si="42"/>
        <v>Support</v>
      </c>
      <c r="AR86">
        <f>survey_responses[[#This Row],[Tôi thấy mức thuế tôi phải đóng theo phương án mới là công bằng (người thu nhập như tôi đóng mức này là hợp lý). - HUMAN-TRU2]]</f>
        <v>9</v>
      </c>
      <c r="AS86" t="str">
        <f t="shared" si="43"/>
        <v>Support</v>
      </c>
      <c r="AT86" s="32">
        <f t="shared" si="44"/>
        <v>1</v>
      </c>
      <c r="AU86">
        <f>step3_validation[[#This Row],[AI_TRU3]]</f>
        <v>7</v>
      </c>
      <c r="AV86" t="str">
        <f t="shared" si="45"/>
        <v>Neutral</v>
      </c>
      <c r="AW86">
        <f>survey_responses[[#This Row],[Tôi tin tưởng số tiền thuế tôi đóng sẽ được Nhà nước sử dụng hiệu quả để cải thiện dịch vụ công (y tế, đường xá...). - HUMAN-TRU3]]</f>
        <v>7</v>
      </c>
      <c r="AX86" t="str">
        <f t="shared" si="46"/>
        <v>Neutral</v>
      </c>
      <c r="AY86" s="32">
        <f t="shared" si="47"/>
        <v>0</v>
      </c>
      <c r="AZ86">
        <f>step3_validation[[#This Row],[AI_TRU4]]</f>
        <v>6</v>
      </c>
      <c r="BA86" t="str">
        <f t="shared" si="48"/>
        <v>Neutral</v>
      </c>
      <c r="BB86">
        <f>survey_responses[[#This Row],[Tôi thấy Nhà nước đã giải thích rõ ràng, minh bạch về lý do và mục tiêu của việc sửa đổi thuế lần này. - HUMAN-TRU4]]</f>
        <v>8</v>
      </c>
      <c r="BC86" t="str">
        <f t="shared" si="49"/>
        <v>Support</v>
      </c>
      <c r="BD86" s="32">
        <f t="shared" si="50"/>
        <v>2</v>
      </c>
      <c r="BE86">
        <f>step3_validation[[#This Row],[AI_OUT1]]</f>
        <v>9</v>
      </c>
      <c r="BF86" t="str">
        <f t="shared" si="51"/>
        <v>Support</v>
      </c>
      <c r="BG86">
        <f>survey_responses[[#This Row],[Sau khi xem xét các quyền lợi và nghĩa vụ, bạn có ủng hộ và tuân thủ chính sách mới hiện nay? - HUMAN-OUT1]]</f>
        <v>8</v>
      </c>
      <c r="BH86" t="str">
        <f t="shared" si="52"/>
        <v>Support</v>
      </c>
      <c r="BI86" s="32">
        <f t="shared" si="53"/>
        <v>1</v>
      </c>
    </row>
    <row r="87" spans="1:61" x14ac:dyDescent="0.45">
      <c r="A87" s="30">
        <f>step3_validation[[#This Row],[Persona_ID]]</f>
        <v>86</v>
      </c>
      <c r="B87" s="31">
        <f>step3_validation[[#This Row],[Used_Seed]]</f>
        <v>86</v>
      </c>
      <c r="C87" t="str">
        <f>step3_validation[[#This Row],[Gender]]</f>
        <v>Nam</v>
      </c>
      <c r="D87" t="str">
        <f>survey_responses[[#This Row],[Giới tính của bạn:]]</f>
        <v>Nam</v>
      </c>
      <c r="E87" t="str">
        <f>step3_validation[[#This Row],[Age_Group]]</f>
        <v>30 - 39</v>
      </c>
      <c r="F87" t="str">
        <f>survey_responses[[#This Row],[Độ tuổi của bạn:]]</f>
        <v>30 - 39</v>
      </c>
      <c r="G87" t="str">
        <f>step3_validation[[#This Row],[Region]]</f>
        <v>Nông thôn</v>
      </c>
      <c r="H87" t="str">
        <f>survey_responses[[#This Row],[Khu vực bạn đang sinh sống:]]</f>
        <v>Nông thôn</v>
      </c>
      <c r="I87" t="str">
        <f>step3_validation[[#This Row],[Education]]</f>
        <v>Đại học</v>
      </c>
      <c r="J87" t="str">
        <f>survey_responses[[#This Row],[Trình độ học vấn cao nhất:]]</f>
        <v>Đại học</v>
      </c>
      <c r="K87" t="str">
        <f>step3_validation[[#This Row],[Employment]]</f>
        <v>Chính thức</v>
      </c>
      <c r="L87" t="str">
        <f>survey_responses[[#This Row],[Tình trạng việc làm chính:]]</f>
        <v>Khu vực chính thức (Có Hợp đồng lao động, đóng BHXH)</v>
      </c>
      <c r="M87">
        <f>step3_validation[[#This Row],[Income_Mil]]</f>
        <v>15.077311591428918</v>
      </c>
      <c r="N87" t="str">
        <f>survey_responses[[#This Row],[Thu nhập bình quân tháng theo Hợp đồng lao động của bạn là bao nhiêu? (Vui lòng điền tổng thu nhập trước khi khấu trừ các loại Bảo hiểm (BHXH, BHYT, BHTN) và Thuế TNCN)]]</f>
        <v>Từ 12 - 18 triệu VNĐ</v>
      </c>
      <c r="O87">
        <f>step3_validation[[#This Row],[Dependents]]</f>
        <v>0</v>
      </c>
      <c r="P87" t="str">
        <f>survey_responses[[#This Row],[Số người phụ thuộc (con nhỏ, cha mẹ già...) đủ điều kiện giảm trừ gia cảnh:]]</f>
        <v>0 người</v>
      </c>
      <c r="Q87">
        <f>step3_validation[[#This Row],[AI_ENF1]]</f>
        <v>6</v>
      </c>
      <c r="R87" t="str">
        <f t="shared" si="27"/>
        <v>Neutral</v>
      </c>
      <c r="S87">
        <f>survey_responses[[#This Row],[Tôi tin rằng với các quy định quản lý thuế hiện nay, hành vi gian lận hoặc trốn thuế sẽ dễ dàng bị phát hiện và xử lý nghiêm. - HUMAN-ENF1]]</f>
        <v>5</v>
      </c>
      <c r="T87" t="str">
        <f t="shared" si="28"/>
        <v>Neutral</v>
      </c>
      <c r="U87" s="32">
        <f t="shared" si="29"/>
        <v>1</v>
      </c>
      <c r="V87">
        <f>step3_validation[[#This Row],[AI_ENF2]]</f>
        <v>6</v>
      </c>
      <c r="W87" t="str">
        <f t="shared" si="30"/>
        <v>Neutral</v>
      </c>
      <c r="X87">
        <f>survey_responses[[#This Row],[Tôi tin rằng Nhà nước, cơ quan thuế có đủ khả năng và công nghệ để phát hiện, xử lý nghiêm các hành vi trốn thuế. - HUMAN-ENF2]]</f>
        <v>5</v>
      </c>
      <c r="Y87" t="str">
        <f t="shared" si="31"/>
        <v>Neutral</v>
      </c>
      <c r="Z87" s="32">
        <f t="shared" si="32"/>
        <v>1</v>
      </c>
      <c r="AA87">
        <f>step3_validation[[#This Row],[AI_FAC1]]</f>
        <v>9</v>
      </c>
      <c r="AB87" t="str">
        <f t="shared" si="33"/>
        <v>Support</v>
      </c>
      <c r="AC87">
        <f>survey_responses[[#This Row],[Các thủ tục khai báo thuế VÀ/HOẶC quy trình làm việc với cơ quan thuế đơn giản, tiện lợi, nhanh chóng hơn so với trước đây. - HUMAN-FAC1]]</f>
        <v>10</v>
      </c>
      <c r="AD87" t="str">
        <f t="shared" si="34"/>
        <v>Support</v>
      </c>
      <c r="AE87" s="32">
        <f t="shared" si="35"/>
        <v>1</v>
      </c>
      <c r="AF87">
        <f>step3_validation[[#This Row],[AI_FAC2]]</f>
        <v>9</v>
      </c>
      <c r="AG87" t="str">
        <f t="shared" si="36"/>
        <v>Support</v>
      </c>
      <c r="AH87">
        <f>survey_responses[[#This Row],[So với trước đây, tôi thấy cách tính thuế và các bậc thuế trong phương án mới đơn giản, dễ hiểu và dễ thực hiện hơn. - HUMAN-FAC2]]</f>
        <v>4</v>
      </c>
      <c r="AI87" t="str">
        <f t="shared" si="37"/>
        <v>Oppose</v>
      </c>
      <c r="AJ87" s="32">
        <f t="shared" si="38"/>
        <v>5</v>
      </c>
      <c r="AK87">
        <f>step3_validation[[#This Row],[AI_TRU1]]</f>
        <v>8</v>
      </c>
      <c r="AL87" t="str">
        <f t="shared" si="39"/>
        <v>Support</v>
      </c>
      <c r="AM87">
        <f>survey_responses[[#This Row],[Tôi tin rằng Nhà nước, cơ quan thuế sẽ thực thi chính sách mới một cách khách quan, công tâm và đối xử bình đẳng với mọi người nộp thuế.  - HUMAN-TRU1]]</f>
        <v>4</v>
      </c>
      <c r="AN87" t="str">
        <f t="shared" si="40"/>
        <v>Oppose</v>
      </c>
      <c r="AO87" s="32">
        <f t="shared" si="41"/>
        <v>4</v>
      </c>
      <c r="AP87">
        <f>step3_validation[[#This Row],[AI_TRU2]]</f>
        <v>7</v>
      </c>
      <c r="AQ87" t="str">
        <f t="shared" si="42"/>
        <v>Neutral</v>
      </c>
      <c r="AR87">
        <f>survey_responses[[#This Row],[Tôi thấy mức thuế tôi phải đóng theo phương án mới là công bằng (người thu nhập như tôi đóng mức này là hợp lý). - HUMAN-TRU2]]</f>
        <v>5</v>
      </c>
      <c r="AS87" t="str">
        <f t="shared" si="43"/>
        <v>Neutral</v>
      </c>
      <c r="AT87" s="32">
        <f t="shared" si="44"/>
        <v>2</v>
      </c>
      <c r="AU87">
        <f>step3_validation[[#This Row],[AI_TRU3]]</f>
        <v>8</v>
      </c>
      <c r="AV87" t="str">
        <f t="shared" si="45"/>
        <v>Support</v>
      </c>
      <c r="AW87">
        <f>survey_responses[[#This Row],[Tôi tin tưởng số tiền thuế tôi đóng sẽ được Nhà nước sử dụng hiệu quả để cải thiện dịch vụ công (y tế, đường xá...). - HUMAN-TRU3]]</f>
        <v>5</v>
      </c>
      <c r="AX87" t="str">
        <f t="shared" si="46"/>
        <v>Neutral</v>
      </c>
      <c r="AY87" s="32">
        <f t="shared" si="47"/>
        <v>3</v>
      </c>
      <c r="AZ87">
        <f>step3_validation[[#This Row],[AI_TRU4]]</f>
        <v>7</v>
      </c>
      <c r="BA87" t="str">
        <f t="shared" si="48"/>
        <v>Neutral</v>
      </c>
      <c r="BB87">
        <f>survey_responses[[#This Row],[Tôi thấy Nhà nước đã giải thích rõ ràng, minh bạch về lý do và mục tiêu của việc sửa đổi thuế lần này. - HUMAN-TRU4]]</f>
        <v>8</v>
      </c>
      <c r="BC87" t="str">
        <f t="shared" si="49"/>
        <v>Support</v>
      </c>
      <c r="BD87" s="32">
        <f t="shared" si="50"/>
        <v>1</v>
      </c>
      <c r="BE87">
        <f>step3_validation[[#This Row],[AI_OUT1]]</f>
        <v>9</v>
      </c>
      <c r="BF87" t="str">
        <f t="shared" si="51"/>
        <v>Support</v>
      </c>
      <c r="BG87">
        <f>survey_responses[[#This Row],[Sau khi xem xét các quyền lợi và nghĩa vụ, bạn có ủng hộ và tuân thủ chính sách mới hiện nay? - HUMAN-OUT1]]</f>
        <v>8</v>
      </c>
      <c r="BH87" t="str">
        <f t="shared" si="52"/>
        <v>Support</v>
      </c>
      <c r="BI87" s="32">
        <f t="shared" si="53"/>
        <v>1</v>
      </c>
    </row>
    <row r="88" spans="1:61" x14ac:dyDescent="0.45">
      <c r="A88" s="30">
        <f>step3_validation[[#This Row],[Persona_ID]]</f>
        <v>87</v>
      </c>
      <c r="B88" s="31">
        <f>step3_validation[[#This Row],[Used_Seed]]</f>
        <v>87</v>
      </c>
      <c r="C88" t="str">
        <f>step3_validation[[#This Row],[Gender]]</f>
        <v>Nam</v>
      </c>
      <c r="D88" t="str">
        <f>survey_responses[[#This Row],[Giới tính của bạn:]]</f>
        <v>Nam</v>
      </c>
      <c r="E88" t="str">
        <f>step3_validation[[#This Row],[Age_Group]]</f>
        <v>40 - 49</v>
      </c>
      <c r="F88" t="str">
        <f>survey_responses[[#This Row],[Độ tuổi của bạn:]]</f>
        <v>40 - 49</v>
      </c>
      <c r="G88" t="str">
        <f>step3_validation[[#This Row],[Region]]</f>
        <v>Thành thị</v>
      </c>
      <c r="H88" t="str">
        <f>survey_responses[[#This Row],[Khu vực bạn đang sinh sống:]]</f>
        <v>Thành thị</v>
      </c>
      <c r="I88" t="str">
        <f>step3_validation[[#This Row],[Education]]</f>
        <v>Đại học</v>
      </c>
      <c r="J88" t="str">
        <f>survey_responses[[#This Row],[Trình độ học vấn cao nhất:]]</f>
        <v>Đại học</v>
      </c>
      <c r="K88" t="str">
        <f>step3_validation[[#This Row],[Employment]]</f>
        <v>Chính thức</v>
      </c>
      <c r="L88" t="str">
        <f>survey_responses[[#This Row],[Tình trạng việc làm chính:]]</f>
        <v>Khu vực chính thức (Có Hợp đồng lao động, đóng BHXH)</v>
      </c>
      <c r="M88">
        <f>step3_validation[[#This Row],[Income_Mil]]</f>
        <v>14.853782152076599</v>
      </c>
      <c r="N88" t="str">
        <f>survey_responses[[#This Row],[Thu nhập bình quân tháng theo Hợp đồng lao động của bạn là bao nhiêu? (Vui lòng điền tổng thu nhập trước khi khấu trừ các loại Bảo hiểm (BHXH, BHYT, BHTN) và Thuế TNCN)]]</f>
        <v>Từ 12 - 18 triệu VNĐ</v>
      </c>
      <c r="O88">
        <f>step3_validation[[#This Row],[Dependents]]</f>
        <v>2</v>
      </c>
      <c r="P88" t="str">
        <f>survey_responses[[#This Row],[Số người phụ thuộc (con nhỏ, cha mẹ già...) đủ điều kiện giảm trừ gia cảnh:]]</f>
        <v>2 người</v>
      </c>
      <c r="Q88">
        <f>step3_validation[[#This Row],[AI_ENF1]]</f>
        <v>7</v>
      </c>
      <c r="R88" t="str">
        <f t="shared" si="27"/>
        <v>Neutral</v>
      </c>
      <c r="S88">
        <f>survey_responses[[#This Row],[Tôi tin rằng với các quy định quản lý thuế hiện nay, hành vi gian lận hoặc trốn thuế sẽ dễ dàng bị phát hiện và xử lý nghiêm. - HUMAN-ENF1]]</f>
        <v>10</v>
      </c>
      <c r="T88" t="str">
        <f t="shared" si="28"/>
        <v>Support</v>
      </c>
      <c r="U88" s="32">
        <f t="shared" si="29"/>
        <v>3</v>
      </c>
      <c r="V88">
        <f>step3_validation[[#This Row],[AI_ENF2]]</f>
        <v>6</v>
      </c>
      <c r="W88" t="str">
        <f t="shared" si="30"/>
        <v>Neutral</v>
      </c>
      <c r="X88">
        <f>survey_responses[[#This Row],[Tôi tin rằng Nhà nước, cơ quan thuế có đủ khả năng và công nghệ để phát hiện, xử lý nghiêm các hành vi trốn thuế. - HUMAN-ENF2]]</f>
        <v>9</v>
      </c>
      <c r="Y88" t="str">
        <f t="shared" si="31"/>
        <v>Support</v>
      </c>
      <c r="Z88" s="32">
        <f t="shared" si="32"/>
        <v>3</v>
      </c>
      <c r="AA88">
        <f>step3_validation[[#This Row],[AI_FAC1]]</f>
        <v>8</v>
      </c>
      <c r="AB88" t="str">
        <f t="shared" si="33"/>
        <v>Support</v>
      </c>
      <c r="AC88">
        <f>survey_responses[[#This Row],[Các thủ tục khai báo thuế VÀ/HOẶC quy trình làm việc với cơ quan thuế đơn giản, tiện lợi, nhanh chóng hơn so với trước đây. - HUMAN-FAC1]]</f>
        <v>9</v>
      </c>
      <c r="AD88" t="str">
        <f t="shared" si="34"/>
        <v>Support</v>
      </c>
      <c r="AE88" s="32">
        <f t="shared" si="35"/>
        <v>1</v>
      </c>
      <c r="AF88">
        <f>step3_validation[[#This Row],[AI_FAC2]]</f>
        <v>9</v>
      </c>
      <c r="AG88" t="str">
        <f t="shared" si="36"/>
        <v>Support</v>
      </c>
      <c r="AH88">
        <f>survey_responses[[#This Row],[So với trước đây, tôi thấy cách tính thuế và các bậc thuế trong phương án mới đơn giản, dễ hiểu và dễ thực hiện hơn. - HUMAN-FAC2]]</f>
        <v>9</v>
      </c>
      <c r="AI88" t="str">
        <f t="shared" si="37"/>
        <v>Support</v>
      </c>
      <c r="AJ88" s="32">
        <f t="shared" si="38"/>
        <v>0</v>
      </c>
      <c r="AK88">
        <f>step3_validation[[#This Row],[AI_TRU1]]</f>
        <v>7</v>
      </c>
      <c r="AL88" t="str">
        <f t="shared" si="39"/>
        <v>Neutral</v>
      </c>
      <c r="AM88">
        <f>survey_responses[[#This Row],[Tôi tin rằng Nhà nước, cơ quan thuế sẽ thực thi chính sách mới một cách khách quan, công tâm và đối xử bình đẳng với mọi người nộp thuế.  - HUMAN-TRU1]]</f>
        <v>9</v>
      </c>
      <c r="AN88" t="str">
        <f t="shared" si="40"/>
        <v>Support</v>
      </c>
      <c r="AO88" s="32">
        <f t="shared" si="41"/>
        <v>2</v>
      </c>
      <c r="AP88">
        <f>step3_validation[[#This Row],[AI_TRU2]]</f>
        <v>8</v>
      </c>
      <c r="AQ88" t="str">
        <f t="shared" si="42"/>
        <v>Support</v>
      </c>
      <c r="AR88">
        <f>survey_responses[[#This Row],[Tôi thấy mức thuế tôi phải đóng theo phương án mới là công bằng (người thu nhập như tôi đóng mức này là hợp lý). - HUMAN-TRU2]]</f>
        <v>9</v>
      </c>
      <c r="AS88" t="str">
        <f t="shared" si="43"/>
        <v>Support</v>
      </c>
      <c r="AT88" s="32">
        <f t="shared" si="44"/>
        <v>1</v>
      </c>
      <c r="AU88">
        <f>step3_validation[[#This Row],[AI_TRU3]]</f>
        <v>7</v>
      </c>
      <c r="AV88" t="str">
        <f t="shared" si="45"/>
        <v>Neutral</v>
      </c>
      <c r="AW88">
        <f>survey_responses[[#This Row],[Tôi tin tưởng số tiền thuế tôi đóng sẽ được Nhà nước sử dụng hiệu quả để cải thiện dịch vụ công (y tế, đường xá...). - HUMAN-TRU3]]</f>
        <v>10</v>
      </c>
      <c r="AX88" t="str">
        <f t="shared" si="46"/>
        <v>Support</v>
      </c>
      <c r="AY88" s="32">
        <f t="shared" si="47"/>
        <v>3</v>
      </c>
      <c r="AZ88">
        <f>step3_validation[[#This Row],[AI_TRU4]]</f>
        <v>8</v>
      </c>
      <c r="BA88" t="str">
        <f t="shared" si="48"/>
        <v>Support</v>
      </c>
      <c r="BB88">
        <f>survey_responses[[#This Row],[Tôi thấy Nhà nước đã giải thích rõ ràng, minh bạch về lý do và mục tiêu của việc sửa đổi thuế lần này. - HUMAN-TRU4]]</f>
        <v>9</v>
      </c>
      <c r="BC88" t="str">
        <f t="shared" si="49"/>
        <v>Support</v>
      </c>
      <c r="BD88" s="32">
        <f t="shared" si="50"/>
        <v>1</v>
      </c>
      <c r="BE88">
        <f>step3_validation[[#This Row],[AI_OUT1]]</f>
        <v>7</v>
      </c>
      <c r="BF88" t="str">
        <f t="shared" si="51"/>
        <v>Neutral</v>
      </c>
      <c r="BG88">
        <f>survey_responses[[#This Row],[Sau khi xem xét các quyền lợi và nghĩa vụ, bạn có ủng hộ và tuân thủ chính sách mới hiện nay? - HUMAN-OUT1]]</f>
        <v>10</v>
      </c>
      <c r="BH88" t="str">
        <f t="shared" si="52"/>
        <v>Support</v>
      </c>
      <c r="BI88" s="32">
        <f t="shared" si="53"/>
        <v>3</v>
      </c>
    </row>
    <row r="89" spans="1:61" x14ac:dyDescent="0.45">
      <c r="A89" s="30">
        <f>step3_validation[[#This Row],[Persona_ID]]</f>
        <v>88</v>
      </c>
      <c r="B89" s="31">
        <f>step3_validation[[#This Row],[Used_Seed]]</f>
        <v>88</v>
      </c>
      <c r="C89" t="str">
        <f>step3_validation[[#This Row],[Gender]]</f>
        <v>Nữ</v>
      </c>
      <c r="D89" t="str">
        <f>survey_responses[[#This Row],[Giới tính của bạn:]]</f>
        <v>Nữ</v>
      </c>
      <c r="E89" t="str">
        <f>step3_validation[[#This Row],[Age_Group]]</f>
        <v>40 - 49</v>
      </c>
      <c r="F89" t="str">
        <f>survey_responses[[#This Row],[Độ tuổi của bạn:]]</f>
        <v>40 - 49</v>
      </c>
      <c r="G89" t="str">
        <f>step3_validation[[#This Row],[Region]]</f>
        <v>Thành thị</v>
      </c>
      <c r="H89" t="str">
        <f>survey_responses[[#This Row],[Khu vực bạn đang sinh sống:]]</f>
        <v>Thành thị</v>
      </c>
      <c r="I89" t="str">
        <f>step3_validation[[#This Row],[Education]]</f>
        <v>Trung học phổ thông</v>
      </c>
      <c r="J89" t="str">
        <f>survey_responses[[#This Row],[Trình độ học vấn cao nhất:]]</f>
        <v>Trung học phổ thông</v>
      </c>
      <c r="K89" t="str">
        <f>step3_validation[[#This Row],[Employment]]</f>
        <v>Chính thức</v>
      </c>
      <c r="L89" t="str">
        <f>survey_responses[[#This Row],[Tình trạng việc làm chính:]]</f>
        <v>Khu vực chính thức (Có Hợp đồng lao động, đóng BHXH)</v>
      </c>
      <c r="M89">
        <f>step3_validation[[#This Row],[Income_Mil]]</f>
        <v>12</v>
      </c>
      <c r="N89" t="str">
        <f>survey_responses[[#This Row],[Thu nhập bình quân tháng theo Hợp đồng lao động của bạn là bao nhiêu? (Vui lòng điền tổng thu nhập trước khi khấu trừ các loại Bảo hiểm (BHXH, BHYT, BHTN) và Thuế TNCN)]]</f>
        <v>Dưới 12 triệu VNĐ</v>
      </c>
      <c r="O89">
        <f>step3_validation[[#This Row],[Dependents]]</f>
        <v>2</v>
      </c>
      <c r="P89" t="str">
        <f>survey_responses[[#This Row],[Số người phụ thuộc (con nhỏ, cha mẹ già...) đủ điều kiện giảm trừ gia cảnh:]]</f>
        <v>2 người</v>
      </c>
      <c r="Q89">
        <f>step3_validation[[#This Row],[AI_ENF1]]</f>
        <v>8</v>
      </c>
      <c r="R89" t="str">
        <f t="shared" si="27"/>
        <v>Support</v>
      </c>
      <c r="S89">
        <f>survey_responses[[#This Row],[Tôi tin rằng với các quy định quản lý thuế hiện nay, hành vi gian lận hoặc trốn thuế sẽ dễ dàng bị phát hiện và xử lý nghiêm. - HUMAN-ENF1]]</f>
        <v>10</v>
      </c>
      <c r="T89" t="str">
        <f t="shared" si="28"/>
        <v>Support</v>
      </c>
      <c r="U89" s="32">
        <f t="shared" si="29"/>
        <v>2</v>
      </c>
      <c r="V89">
        <f>step3_validation[[#This Row],[AI_ENF2]]</f>
        <v>9</v>
      </c>
      <c r="W89" t="str">
        <f t="shared" si="30"/>
        <v>Support</v>
      </c>
      <c r="X89">
        <f>survey_responses[[#This Row],[Tôi tin rằng Nhà nước, cơ quan thuế có đủ khả năng và công nghệ để phát hiện, xử lý nghiêm các hành vi trốn thuế. - HUMAN-ENF2]]</f>
        <v>10</v>
      </c>
      <c r="Y89" t="str">
        <f t="shared" si="31"/>
        <v>Support</v>
      </c>
      <c r="Z89" s="32">
        <f t="shared" si="32"/>
        <v>1</v>
      </c>
      <c r="AA89">
        <f>step3_validation[[#This Row],[AI_FAC1]]</f>
        <v>8</v>
      </c>
      <c r="AB89" t="str">
        <f t="shared" si="33"/>
        <v>Support</v>
      </c>
      <c r="AC89">
        <f>survey_responses[[#This Row],[Các thủ tục khai báo thuế VÀ/HOẶC quy trình làm việc với cơ quan thuế đơn giản, tiện lợi, nhanh chóng hơn so với trước đây. - HUMAN-FAC1]]</f>
        <v>10</v>
      </c>
      <c r="AD89" t="str">
        <f t="shared" si="34"/>
        <v>Support</v>
      </c>
      <c r="AE89" s="32">
        <f t="shared" si="35"/>
        <v>2</v>
      </c>
      <c r="AF89">
        <f>step3_validation[[#This Row],[AI_FAC2]]</f>
        <v>9</v>
      </c>
      <c r="AG89" t="str">
        <f t="shared" si="36"/>
        <v>Support</v>
      </c>
      <c r="AH89">
        <f>survey_responses[[#This Row],[So với trước đây, tôi thấy cách tính thuế và các bậc thuế trong phương án mới đơn giản, dễ hiểu và dễ thực hiện hơn. - HUMAN-FAC2]]</f>
        <v>10</v>
      </c>
      <c r="AI89" t="str">
        <f t="shared" si="37"/>
        <v>Support</v>
      </c>
      <c r="AJ89" s="32">
        <f t="shared" si="38"/>
        <v>1</v>
      </c>
      <c r="AK89">
        <f>step3_validation[[#This Row],[AI_TRU1]]</f>
        <v>8</v>
      </c>
      <c r="AL89" t="str">
        <f t="shared" si="39"/>
        <v>Support</v>
      </c>
      <c r="AM89">
        <f>survey_responses[[#This Row],[Tôi tin rằng Nhà nước, cơ quan thuế sẽ thực thi chính sách mới một cách khách quan, công tâm và đối xử bình đẳng với mọi người nộp thuế.  - HUMAN-TRU1]]</f>
        <v>10</v>
      </c>
      <c r="AN89" t="str">
        <f t="shared" si="40"/>
        <v>Support</v>
      </c>
      <c r="AO89" s="32">
        <f t="shared" si="41"/>
        <v>2</v>
      </c>
      <c r="AP89">
        <f>step3_validation[[#This Row],[AI_TRU2]]</f>
        <v>9</v>
      </c>
      <c r="AQ89" t="str">
        <f t="shared" si="42"/>
        <v>Support</v>
      </c>
      <c r="AR89">
        <f>survey_responses[[#This Row],[Tôi thấy mức thuế tôi phải đóng theo phương án mới là công bằng (người thu nhập như tôi đóng mức này là hợp lý). - HUMAN-TRU2]]</f>
        <v>10</v>
      </c>
      <c r="AS89" t="str">
        <f t="shared" si="43"/>
        <v>Support</v>
      </c>
      <c r="AT89" s="32">
        <f t="shared" si="44"/>
        <v>1</v>
      </c>
      <c r="AU89">
        <f>step3_validation[[#This Row],[AI_TRU3]]</f>
        <v>8</v>
      </c>
      <c r="AV89" t="str">
        <f t="shared" si="45"/>
        <v>Support</v>
      </c>
      <c r="AW89">
        <f>survey_responses[[#This Row],[Tôi tin tưởng số tiền thuế tôi đóng sẽ được Nhà nước sử dụng hiệu quả để cải thiện dịch vụ công (y tế, đường xá...). - HUMAN-TRU3]]</f>
        <v>10</v>
      </c>
      <c r="AX89" t="str">
        <f t="shared" si="46"/>
        <v>Support</v>
      </c>
      <c r="AY89" s="32">
        <f t="shared" si="47"/>
        <v>2</v>
      </c>
      <c r="AZ89">
        <f>step3_validation[[#This Row],[AI_TRU4]]</f>
        <v>9</v>
      </c>
      <c r="BA89" t="str">
        <f t="shared" si="48"/>
        <v>Support</v>
      </c>
      <c r="BB89">
        <f>survey_responses[[#This Row],[Tôi thấy Nhà nước đã giải thích rõ ràng, minh bạch về lý do và mục tiêu của việc sửa đổi thuế lần này. - HUMAN-TRU4]]</f>
        <v>10</v>
      </c>
      <c r="BC89" t="str">
        <f t="shared" si="49"/>
        <v>Support</v>
      </c>
      <c r="BD89" s="32">
        <f t="shared" si="50"/>
        <v>1</v>
      </c>
      <c r="BE89">
        <f>step3_validation[[#This Row],[AI_OUT1]]</f>
        <v>9</v>
      </c>
      <c r="BF89" t="str">
        <f t="shared" si="51"/>
        <v>Support</v>
      </c>
      <c r="BG89">
        <f>survey_responses[[#This Row],[Sau khi xem xét các quyền lợi và nghĩa vụ, bạn có ủng hộ và tuân thủ chính sách mới hiện nay? - HUMAN-OUT1]]</f>
        <v>10</v>
      </c>
      <c r="BH89" t="str">
        <f t="shared" si="52"/>
        <v>Support</v>
      </c>
      <c r="BI89" s="32">
        <f t="shared" si="53"/>
        <v>1</v>
      </c>
    </row>
    <row r="90" spans="1:61" x14ac:dyDescent="0.45">
      <c r="A90" s="30">
        <f>step3_validation[[#This Row],[Persona_ID]]</f>
        <v>89</v>
      </c>
      <c r="B90" s="31">
        <f>step3_validation[[#This Row],[Used_Seed]]</f>
        <v>89</v>
      </c>
      <c r="C90" t="str">
        <f>step3_validation[[#This Row],[Gender]]</f>
        <v>Nữ</v>
      </c>
      <c r="D90" t="str">
        <f>survey_responses[[#This Row],[Giới tính của bạn:]]</f>
        <v>Nữ</v>
      </c>
      <c r="E90" t="str">
        <f>step3_validation[[#This Row],[Age_Group]]</f>
        <v>30 - 39</v>
      </c>
      <c r="F90" t="str">
        <f>survey_responses[[#This Row],[Độ tuổi của bạn:]]</f>
        <v>30 - 39</v>
      </c>
      <c r="G90" t="str">
        <f>step3_validation[[#This Row],[Region]]</f>
        <v>Thành thị</v>
      </c>
      <c r="H90" t="str">
        <f>survey_responses[[#This Row],[Khu vực bạn đang sinh sống:]]</f>
        <v>Thành thị</v>
      </c>
      <c r="I90" t="str">
        <f>step3_validation[[#This Row],[Education]]</f>
        <v>Cao đẳng</v>
      </c>
      <c r="J90" t="str">
        <f>survey_responses[[#This Row],[Trình độ học vấn cao nhất:]]</f>
        <v>Cao đẳng</v>
      </c>
      <c r="K90" t="str">
        <f>step3_validation[[#This Row],[Employment]]</f>
        <v>Chính thức</v>
      </c>
      <c r="L90" t="str">
        <f>survey_responses[[#This Row],[Tình trạng việc làm chính:]]</f>
        <v>Khu vực chính thức (Có Hợp đồng lao động, đóng BHXH)</v>
      </c>
      <c r="M90">
        <f>step3_validation[[#This Row],[Income_Mil]]</f>
        <v>12</v>
      </c>
      <c r="N90" t="str">
        <f>survey_responses[[#This Row],[Thu nhập bình quân tháng theo Hợp đồng lao động của bạn là bao nhiêu? (Vui lòng điền tổng thu nhập trước khi khấu trừ các loại Bảo hiểm (BHXH, BHYT, BHTN) và Thuế TNCN)]]</f>
        <v>Dưới 12 triệu VNĐ</v>
      </c>
      <c r="O90">
        <f>step3_validation[[#This Row],[Dependents]]</f>
        <v>1</v>
      </c>
      <c r="P90" t="str">
        <f>survey_responses[[#This Row],[Số người phụ thuộc (con nhỏ, cha mẹ già...) đủ điều kiện giảm trừ gia cảnh:]]</f>
        <v>1 người</v>
      </c>
      <c r="Q90">
        <f>step3_validation[[#This Row],[AI_ENF1]]</f>
        <v>7</v>
      </c>
      <c r="R90" t="str">
        <f t="shared" si="27"/>
        <v>Neutral</v>
      </c>
      <c r="S90">
        <f>survey_responses[[#This Row],[Tôi tin rằng với các quy định quản lý thuế hiện nay, hành vi gian lận hoặc trốn thuế sẽ dễ dàng bị phát hiện và xử lý nghiêm. - HUMAN-ENF1]]</f>
        <v>10</v>
      </c>
      <c r="T90" t="str">
        <f t="shared" si="28"/>
        <v>Support</v>
      </c>
      <c r="U90" s="32">
        <f t="shared" si="29"/>
        <v>3</v>
      </c>
      <c r="V90">
        <f>step3_validation[[#This Row],[AI_ENF2]]</f>
        <v>6</v>
      </c>
      <c r="W90" t="str">
        <f t="shared" si="30"/>
        <v>Neutral</v>
      </c>
      <c r="X90">
        <f>survey_responses[[#This Row],[Tôi tin rằng Nhà nước, cơ quan thuế có đủ khả năng và công nghệ để phát hiện, xử lý nghiêm các hành vi trốn thuế. - HUMAN-ENF2]]</f>
        <v>9</v>
      </c>
      <c r="Y90" t="str">
        <f t="shared" si="31"/>
        <v>Support</v>
      </c>
      <c r="Z90" s="32">
        <f t="shared" si="32"/>
        <v>3</v>
      </c>
      <c r="AA90">
        <f>step3_validation[[#This Row],[AI_FAC1]]</f>
        <v>8</v>
      </c>
      <c r="AB90" t="str">
        <f t="shared" si="33"/>
        <v>Support</v>
      </c>
      <c r="AC90">
        <f>survey_responses[[#This Row],[Các thủ tục khai báo thuế VÀ/HOẶC quy trình làm việc với cơ quan thuế đơn giản, tiện lợi, nhanh chóng hơn so với trước đây. - HUMAN-FAC1]]</f>
        <v>9</v>
      </c>
      <c r="AD90" t="str">
        <f t="shared" si="34"/>
        <v>Support</v>
      </c>
      <c r="AE90" s="32">
        <f t="shared" si="35"/>
        <v>1</v>
      </c>
      <c r="AF90">
        <f>step3_validation[[#This Row],[AI_FAC2]]</f>
        <v>9</v>
      </c>
      <c r="AG90" t="str">
        <f t="shared" si="36"/>
        <v>Support</v>
      </c>
      <c r="AH90">
        <f>survey_responses[[#This Row],[So với trước đây, tôi thấy cách tính thuế và các bậc thuế trong phương án mới đơn giản, dễ hiểu và dễ thực hiện hơn. - HUMAN-FAC2]]</f>
        <v>9</v>
      </c>
      <c r="AI90" t="str">
        <f t="shared" si="37"/>
        <v>Support</v>
      </c>
      <c r="AJ90" s="32">
        <f t="shared" si="38"/>
        <v>0</v>
      </c>
      <c r="AK90">
        <f>step3_validation[[#This Row],[AI_TRU1]]</f>
        <v>8</v>
      </c>
      <c r="AL90" t="str">
        <f t="shared" si="39"/>
        <v>Support</v>
      </c>
      <c r="AM90">
        <f>survey_responses[[#This Row],[Tôi tin rằng Nhà nước, cơ quan thuế sẽ thực thi chính sách mới một cách khách quan, công tâm và đối xử bình đẳng với mọi người nộp thuế.  - HUMAN-TRU1]]</f>
        <v>10</v>
      </c>
      <c r="AN90" t="str">
        <f t="shared" si="40"/>
        <v>Support</v>
      </c>
      <c r="AO90" s="32">
        <f t="shared" si="41"/>
        <v>2</v>
      </c>
      <c r="AP90">
        <f>step3_validation[[#This Row],[AI_TRU2]]</f>
        <v>9</v>
      </c>
      <c r="AQ90" t="str">
        <f t="shared" si="42"/>
        <v>Support</v>
      </c>
      <c r="AR90">
        <f>survey_responses[[#This Row],[Tôi thấy mức thuế tôi phải đóng theo phương án mới là công bằng (người thu nhập như tôi đóng mức này là hợp lý). - HUMAN-TRU2]]</f>
        <v>9</v>
      </c>
      <c r="AS90" t="str">
        <f t="shared" si="43"/>
        <v>Support</v>
      </c>
      <c r="AT90" s="32">
        <f t="shared" si="44"/>
        <v>0</v>
      </c>
      <c r="AU90">
        <f>step3_validation[[#This Row],[AI_TRU3]]</f>
        <v>8</v>
      </c>
      <c r="AV90" t="str">
        <f t="shared" si="45"/>
        <v>Support</v>
      </c>
      <c r="AW90">
        <f>survey_responses[[#This Row],[Tôi tin tưởng số tiền thuế tôi đóng sẽ được Nhà nước sử dụng hiệu quả để cải thiện dịch vụ công (y tế, đường xá...). - HUMAN-TRU3]]</f>
        <v>9</v>
      </c>
      <c r="AX90" t="str">
        <f t="shared" si="46"/>
        <v>Support</v>
      </c>
      <c r="AY90" s="32">
        <f t="shared" si="47"/>
        <v>1</v>
      </c>
      <c r="AZ90">
        <f>step3_validation[[#This Row],[AI_TRU4]]</f>
        <v>7</v>
      </c>
      <c r="BA90" t="str">
        <f t="shared" si="48"/>
        <v>Neutral</v>
      </c>
      <c r="BB90">
        <f>survey_responses[[#This Row],[Tôi thấy Nhà nước đã giải thích rõ ràng, minh bạch về lý do và mục tiêu của việc sửa đổi thuế lần này. - HUMAN-TRU4]]</f>
        <v>8</v>
      </c>
      <c r="BC90" t="str">
        <f t="shared" si="49"/>
        <v>Support</v>
      </c>
      <c r="BD90" s="32">
        <f t="shared" si="50"/>
        <v>1</v>
      </c>
      <c r="BE90">
        <f>step3_validation[[#This Row],[AI_OUT1]]</f>
        <v>9</v>
      </c>
      <c r="BF90" t="str">
        <f t="shared" si="51"/>
        <v>Support</v>
      </c>
      <c r="BG90">
        <f>survey_responses[[#This Row],[Sau khi xem xét các quyền lợi và nghĩa vụ, bạn có ủng hộ và tuân thủ chính sách mới hiện nay? - HUMAN-OUT1]]</f>
        <v>9</v>
      </c>
      <c r="BH90" t="str">
        <f t="shared" si="52"/>
        <v>Support</v>
      </c>
      <c r="BI90" s="32">
        <f t="shared" si="53"/>
        <v>0</v>
      </c>
    </row>
    <row r="91" spans="1:61" x14ac:dyDescent="0.45">
      <c r="A91" s="30">
        <f>step3_validation[[#This Row],[Persona_ID]]</f>
        <v>90</v>
      </c>
      <c r="B91" s="31">
        <f>step3_validation[[#This Row],[Used_Seed]]</f>
        <v>90</v>
      </c>
      <c r="C91" t="str">
        <f>step3_validation[[#This Row],[Gender]]</f>
        <v>Nữ</v>
      </c>
      <c r="D91" t="str">
        <f>survey_responses[[#This Row],[Giới tính của bạn:]]</f>
        <v>Nữ</v>
      </c>
      <c r="E91" t="str">
        <f>step3_validation[[#This Row],[Age_Group]]</f>
        <v>30 - 39</v>
      </c>
      <c r="F91" t="str">
        <f>survey_responses[[#This Row],[Độ tuổi của bạn:]]</f>
        <v>30 - 39</v>
      </c>
      <c r="G91" t="str">
        <f>step3_validation[[#This Row],[Region]]</f>
        <v>Nông thôn</v>
      </c>
      <c r="H91" t="str">
        <f>survey_responses[[#This Row],[Khu vực bạn đang sinh sống:]]</f>
        <v>Nông thôn</v>
      </c>
      <c r="I91" t="str">
        <f>step3_validation[[#This Row],[Education]]</f>
        <v>Đại học</v>
      </c>
      <c r="J91" t="str">
        <f>survey_responses[[#This Row],[Trình độ học vấn cao nhất:]]</f>
        <v>Đại học</v>
      </c>
      <c r="K91" t="str">
        <f>step3_validation[[#This Row],[Employment]]</f>
        <v>Chính thức</v>
      </c>
      <c r="L91" t="str">
        <f>survey_responses[[#This Row],[Tình trạng việc làm chính:]]</f>
        <v>Khu vực chính thức (Có Hợp đồng lao động, đóng BHXH)</v>
      </c>
      <c r="M91">
        <f>step3_validation[[#This Row],[Income_Mil]]</f>
        <v>12</v>
      </c>
      <c r="N91" t="str">
        <f>survey_responses[[#This Row],[Thu nhập bình quân tháng theo Hợp đồng lao động của bạn là bao nhiêu? (Vui lòng điền tổng thu nhập trước khi khấu trừ các loại Bảo hiểm (BHXH, BHYT, BHTN) và Thuế TNCN)]]</f>
        <v>Dưới 12 triệu VNĐ</v>
      </c>
      <c r="O91">
        <f>step3_validation[[#This Row],[Dependents]]</f>
        <v>4</v>
      </c>
      <c r="P91" t="str">
        <f>survey_responses[[#This Row],[Số người phụ thuộc (con nhỏ, cha mẹ già...) đủ điều kiện giảm trừ gia cảnh:]]</f>
        <v>4 người trở lên</v>
      </c>
      <c r="Q91">
        <f>step3_validation[[#This Row],[AI_ENF1]]</f>
        <v>7</v>
      </c>
      <c r="R91" t="str">
        <f t="shared" si="27"/>
        <v>Neutral</v>
      </c>
      <c r="S91">
        <f>survey_responses[[#This Row],[Tôi tin rằng với các quy định quản lý thuế hiện nay, hành vi gian lận hoặc trốn thuế sẽ dễ dàng bị phát hiện và xử lý nghiêm. - HUMAN-ENF1]]</f>
        <v>6</v>
      </c>
      <c r="T91" t="str">
        <f t="shared" si="28"/>
        <v>Neutral</v>
      </c>
      <c r="U91" s="32">
        <f t="shared" si="29"/>
        <v>1</v>
      </c>
      <c r="V91">
        <f>step3_validation[[#This Row],[AI_ENF2]]</f>
        <v>8</v>
      </c>
      <c r="W91" t="str">
        <f t="shared" si="30"/>
        <v>Support</v>
      </c>
      <c r="X91">
        <f>survey_responses[[#This Row],[Tôi tin rằng Nhà nước, cơ quan thuế có đủ khả năng và công nghệ để phát hiện, xử lý nghiêm các hành vi trốn thuế. - HUMAN-ENF2]]</f>
        <v>10</v>
      </c>
      <c r="Y91" t="str">
        <f t="shared" si="31"/>
        <v>Support</v>
      </c>
      <c r="Z91" s="32">
        <f t="shared" si="32"/>
        <v>2</v>
      </c>
      <c r="AA91">
        <f>step3_validation[[#This Row],[AI_FAC1]]</f>
        <v>9</v>
      </c>
      <c r="AB91" t="str">
        <f t="shared" si="33"/>
        <v>Support</v>
      </c>
      <c r="AC91">
        <f>survey_responses[[#This Row],[Các thủ tục khai báo thuế VÀ/HOẶC quy trình làm việc với cơ quan thuế đơn giản, tiện lợi, nhanh chóng hơn so với trước đây. - HUMAN-FAC1]]</f>
        <v>8</v>
      </c>
      <c r="AD91" t="str">
        <f t="shared" si="34"/>
        <v>Support</v>
      </c>
      <c r="AE91" s="32">
        <f t="shared" si="35"/>
        <v>1</v>
      </c>
      <c r="AF91">
        <f>step3_validation[[#This Row],[AI_FAC2]]</f>
        <v>9</v>
      </c>
      <c r="AG91" t="str">
        <f t="shared" si="36"/>
        <v>Support</v>
      </c>
      <c r="AH91">
        <f>survey_responses[[#This Row],[So với trước đây, tôi thấy cách tính thuế và các bậc thuế trong phương án mới đơn giản, dễ hiểu và dễ thực hiện hơn. - HUMAN-FAC2]]</f>
        <v>9</v>
      </c>
      <c r="AI91" t="str">
        <f t="shared" si="37"/>
        <v>Support</v>
      </c>
      <c r="AJ91" s="32">
        <f t="shared" si="38"/>
        <v>0</v>
      </c>
      <c r="AK91">
        <f>step3_validation[[#This Row],[AI_TRU1]]</f>
        <v>8</v>
      </c>
      <c r="AL91" t="str">
        <f t="shared" si="39"/>
        <v>Support</v>
      </c>
      <c r="AM91">
        <f>survey_responses[[#This Row],[Tôi tin rằng Nhà nước, cơ quan thuế sẽ thực thi chính sách mới một cách khách quan, công tâm và đối xử bình đẳng với mọi người nộp thuế.  - HUMAN-TRU1]]</f>
        <v>9</v>
      </c>
      <c r="AN91" t="str">
        <f t="shared" si="40"/>
        <v>Support</v>
      </c>
      <c r="AO91" s="32">
        <f t="shared" si="41"/>
        <v>1</v>
      </c>
      <c r="AP91">
        <f>step3_validation[[#This Row],[AI_TRU2]]</f>
        <v>9</v>
      </c>
      <c r="AQ91" t="str">
        <f t="shared" si="42"/>
        <v>Support</v>
      </c>
      <c r="AR91">
        <f>survey_responses[[#This Row],[Tôi thấy mức thuế tôi phải đóng theo phương án mới là công bằng (người thu nhập như tôi đóng mức này là hợp lý). - HUMAN-TRU2]]</f>
        <v>9</v>
      </c>
      <c r="AS91" t="str">
        <f t="shared" si="43"/>
        <v>Support</v>
      </c>
      <c r="AT91" s="32">
        <f t="shared" si="44"/>
        <v>0</v>
      </c>
      <c r="AU91">
        <f>step3_validation[[#This Row],[AI_TRU3]]</f>
        <v>8</v>
      </c>
      <c r="AV91" t="str">
        <f t="shared" si="45"/>
        <v>Support</v>
      </c>
      <c r="AW91">
        <f>survey_responses[[#This Row],[Tôi tin tưởng số tiền thuế tôi đóng sẽ được Nhà nước sử dụng hiệu quả để cải thiện dịch vụ công (y tế, đường xá...). - HUMAN-TRU3]]</f>
        <v>8</v>
      </c>
      <c r="AX91" t="str">
        <f t="shared" si="46"/>
        <v>Support</v>
      </c>
      <c r="AY91" s="32">
        <f t="shared" si="47"/>
        <v>0</v>
      </c>
      <c r="AZ91">
        <f>step3_validation[[#This Row],[AI_TRU4]]</f>
        <v>9</v>
      </c>
      <c r="BA91" t="str">
        <f t="shared" si="48"/>
        <v>Support</v>
      </c>
      <c r="BB91">
        <f>survey_responses[[#This Row],[Tôi thấy Nhà nước đã giải thích rõ ràng, minh bạch về lý do và mục tiêu của việc sửa đổi thuế lần này. - HUMAN-TRU4]]</f>
        <v>8</v>
      </c>
      <c r="BC91" t="str">
        <f t="shared" si="49"/>
        <v>Support</v>
      </c>
      <c r="BD91" s="32">
        <f t="shared" si="50"/>
        <v>1</v>
      </c>
      <c r="BE91">
        <f>step3_validation[[#This Row],[AI_OUT1]]</f>
        <v>10</v>
      </c>
      <c r="BF91" t="str">
        <f t="shared" si="51"/>
        <v>Support</v>
      </c>
      <c r="BG91">
        <f>survey_responses[[#This Row],[Sau khi xem xét các quyền lợi và nghĩa vụ, bạn có ủng hộ và tuân thủ chính sách mới hiện nay? - HUMAN-OUT1]]</f>
        <v>9</v>
      </c>
      <c r="BH91" t="str">
        <f t="shared" si="52"/>
        <v>Support</v>
      </c>
      <c r="BI91" s="32">
        <f t="shared" si="53"/>
        <v>1</v>
      </c>
    </row>
    <row r="92" spans="1:61" x14ac:dyDescent="0.45">
      <c r="A92" s="30">
        <f>step3_validation[[#This Row],[Persona_ID]]</f>
        <v>91</v>
      </c>
      <c r="B92" s="31">
        <f>step3_validation[[#This Row],[Used_Seed]]</f>
        <v>91</v>
      </c>
      <c r="C92" t="str">
        <f>step3_validation[[#This Row],[Gender]]</f>
        <v>Nữ</v>
      </c>
      <c r="D92" t="str">
        <f>survey_responses[[#This Row],[Giới tính của bạn:]]</f>
        <v>Nữ</v>
      </c>
      <c r="E92" t="str">
        <f>step3_validation[[#This Row],[Age_Group]]</f>
        <v>30 - 39</v>
      </c>
      <c r="F92" t="str">
        <f>survey_responses[[#This Row],[Độ tuổi của bạn:]]</f>
        <v>30 - 39</v>
      </c>
      <c r="G92" t="str">
        <f>step3_validation[[#This Row],[Region]]</f>
        <v>Thành thị</v>
      </c>
      <c r="H92" t="str">
        <f>survey_responses[[#This Row],[Khu vực bạn đang sinh sống:]]</f>
        <v>Thành thị</v>
      </c>
      <c r="I92" t="str">
        <f>step3_validation[[#This Row],[Education]]</f>
        <v>Đại học</v>
      </c>
      <c r="J92" t="str">
        <f>survey_responses[[#This Row],[Trình độ học vấn cao nhất:]]</f>
        <v>Đại học</v>
      </c>
      <c r="K92" t="str">
        <f>step3_validation[[#This Row],[Employment]]</f>
        <v>Chính thức</v>
      </c>
      <c r="L92" t="str">
        <f>survey_responses[[#This Row],[Tình trạng việc làm chính:]]</f>
        <v>Khu vực chính thức (Có Hợp đồng lao động, đóng BHXH)</v>
      </c>
      <c r="M92">
        <f>step3_validation[[#This Row],[Income_Mil]]</f>
        <v>12</v>
      </c>
      <c r="N92" t="str">
        <f>survey_responses[[#This Row],[Thu nhập bình quân tháng theo Hợp đồng lao động của bạn là bao nhiêu? (Vui lòng điền tổng thu nhập trước khi khấu trừ các loại Bảo hiểm (BHXH, BHYT, BHTN) và Thuế TNCN)]]</f>
        <v>Dưới 12 triệu VNĐ</v>
      </c>
      <c r="O92">
        <f>step3_validation[[#This Row],[Dependents]]</f>
        <v>2</v>
      </c>
      <c r="P92" t="str">
        <f>survey_responses[[#This Row],[Số người phụ thuộc (con nhỏ, cha mẹ già...) đủ điều kiện giảm trừ gia cảnh:]]</f>
        <v>2 người</v>
      </c>
      <c r="Q92">
        <f>step3_validation[[#This Row],[AI_ENF1]]</f>
        <v>4</v>
      </c>
      <c r="R92" t="str">
        <f t="shared" si="27"/>
        <v>Oppose</v>
      </c>
      <c r="S92">
        <f>survey_responses[[#This Row],[Tôi tin rằng với các quy định quản lý thuế hiện nay, hành vi gian lận hoặc trốn thuế sẽ dễ dàng bị phát hiện và xử lý nghiêm. - HUMAN-ENF1]]</f>
        <v>10</v>
      </c>
      <c r="T92" t="str">
        <f t="shared" si="28"/>
        <v>Support</v>
      </c>
      <c r="U92" s="32">
        <f t="shared" si="29"/>
        <v>6</v>
      </c>
      <c r="V92">
        <f>step3_validation[[#This Row],[AI_ENF2]]</f>
        <v>5</v>
      </c>
      <c r="W92" t="str">
        <f t="shared" si="30"/>
        <v>Neutral</v>
      </c>
      <c r="X92">
        <f>survey_responses[[#This Row],[Tôi tin rằng Nhà nước, cơ quan thuế có đủ khả năng và công nghệ để phát hiện, xử lý nghiêm các hành vi trốn thuế. - HUMAN-ENF2]]</f>
        <v>9</v>
      </c>
      <c r="Y92" t="str">
        <f t="shared" si="31"/>
        <v>Support</v>
      </c>
      <c r="Z92" s="32">
        <f t="shared" si="32"/>
        <v>4</v>
      </c>
      <c r="AA92">
        <f>step3_validation[[#This Row],[AI_FAC1]]</f>
        <v>7</v>
      </c>
      <c r="AB92" t="str">
        <f t="shared" si="33"/>
        <v>Neutral</v>
      </c>
      <c r="AC92">
        <f>survey_responses[[#This Row],[Các thủ tục khai báo thuế VÀ/HOẶC quy trình làm việc với cơ quan thuế đơn giản, tiện lợi, nhanh chóng hơn so với trước đây. - HUMAN-FAC1]]</f>
        <v>9</v>
      </c>
      <c r="AD92" t="str">
        <f t="shared" si="34"/>
        <v>Support</v>
      </c>
      <c r="AE92" s="32">
        <f t="shared" si="35"/>
        <v>2</v>
      </c>
      <c r="AF92">
        <f>step3_validation[[#This Row],[AI_FAC2]]</f>
        <v>8</v>
      </c>
      <c r="AG92" t="str">
        <f t="shared" si="36"/>
        <v>Support</v>
      </c>
      <c r="AH92">
        <f>survey_responses[[#This Row],[So với trước đây, tôi thấy cách tính thuế và các bậc thuế trong phương án mới đơn giản, dễ hiểu và dễ thực hiện hơn. - HUMAN-FAC2]]</f>
        <v>9</v>
      </c>
      <c r="AI92" t="str">
        <f t="shared" si="37"/>
        <v>Support</v>
      </c>
      <c r="AJ92" s="32">
        <f t="shared" si="38"/>
        <v>1</v>
      </c>
      <c r="AK92">
        <f>step3_validation[[#This Row],[AI_TRU1]]</f>
        <v>9</v>
      </c>
      <c r="AL92" t="str">
        <f t="shared" si="39"/>
        <v>Support</v>
      </c>
      <c r="AM92">
        <f>survey_responses[[#This Row],[Tôi tin rằng Nhà nước, cơ quan thuế sẽ thực thi chính sách mới một cách khách quan, công tâm và đối xử bình đẳng với mọi người nộp thuế.  - HUMAN-TRU1]]</f>
        <v>10</v>
      </c>
      <c r="AN92" t="str">
        <f t="shared" si="40"/>
        <v>Support</v>
      </c>
      <c r="AO92" s="32">
        <f t="shared" si="41"/>
        <v>1</v>
      </c>
      <c r="AP92">
        <f>step3_validation[[#This Row],[AI_TRU2]]</f>
        <v>8</v>
      </c>
      <c r="AQ92" t="str">
        <f t="shared" si="42"/>
        <v>Support</v>
      </c>
      <c r="AR92">
        <f>survey_responses[[#This Row],[Tôi thấy mức thuế tôi phải đóng theo phương án mới là công bằng (người thu nhập như tôi đóng mức này là hợp lý). - HUMAN-TRU2]]</f>
        <v>9</v>
      </c>
      <c r="AS92" t="str">
        <f t="shared" si="43"/>
        <v>Support</v>
      </c>
      <c r="AT92" s="32">
        <f t="shared" si="44"/>
        <v>1</v>
      </c>
      <c r="AU92">
        <f>step3_validation[[#This Row],[AI_TRU3]]</f>
        <v>9</v>
      </c>
      <c r="AV92" t="str">
        <f t="shared" si="45"/>
        <v>Support</v>
      </c>
      <c r="AW92">
        <f>survey_responses[[#This Row],[Tôi tin tưởng số tiền thuế tôi đóng sẽ được Nhà nước sử dụng hiệu quả để cải thiện dịch vụ công (y tế, đường xá...). - HUMAN-TRU3]]</f>
        <v>8</v>
      </c>
      <c r="AX92" t="str">
        <f t="shared" si="46"/>
        <v>Support</v>
      </c>
      <c r="AY92" s="32">
        <f t="shared" si="47"/>
        <v>1</v>
      </c>
      <c r="AZ92">
        <f>step3_validation[[#This Row],[AI_TRU4]]</f>
        <v>7</v>
      </c>
      <c r="BA92" t="str">
        <f t="shared" si="48"/>
        <v>Neutral</v>
      </c>
      <c r="BB92">
        <f>survey_responses[[#This Row],[Tôi thấy Nhà nước đã giải thích rõ ràng, minh bạch về lý do và mục tiêu của việc sửa đổi thuế lần này. - HUMAN-TRU4]]</f>
        <v>8</v>
      </c>
      <c r="BC92" t="str">
        <f t="shared" si="49"/>
        <v>Support</v>
      </c>
      <c r="BD92" s="32">
        <f t="shared" si="50"/>
        <v>1</v>
      </c>
      <c r="BE92">
        <f>step3_validation[[#This Row],[AI_OUT1]]</f>
        <v>9</v>
      </c>
      <c r="BF92" t="str">
        <f t="shared" si="51"/>
        <v>Support</v>
      </c>
      <c r="BG92">
        <f>survey_responses[[#This Row],[Sau khi xem xét các quyền lợi và nghĩa vụ, bạn có ủng hộ và tuân thủ chính sách mới hiện nay? - HUMAN-OUT1]]</f>
        <v>10</v>
      </c>
      <c r="BH92" t="str">
        <f t="shared" si="52"/>
        <v>Support</v>
      </c>
      <c r="BI92" s="32">
        <f t="shared" si="53"/>
        <v>1</v>
      </c>
    </row>
    <row r="93" spans="1:61" x14ac:dyDescent="0.45">
      <c r="A93" s="30">
        <f>step3_validation[[#This Row],[Persona_ID]]</f>
        <v>92</v>
      </c>
      <c r="B93" s="31">
        <f>step3_validation[[#This Row],[Used_Seed]]</f>
        <v>92</v>
      </c>
      <c r="C93" t="str">
        <f>step3_validation[[#This Row],[Gender]]</f>
        <v>Nam</v>
      </c>
      <c r="D93" t="str">
        <f>survey_responses[[#This Row],[Giới tính của bạn:]]</f>
        <v>Nam</v>
      </c>
      <c r="E93" t="str">
        <f>step3_validation[[#This Row],[Age_Group]]</f>
        <v>30 - 39</v>
      </c>
      <c r="F93" t="str">
        <f>survey_responses[[#This Row],[Độ tuổi của bạn:]]</f>
        <v>30 - 39</v>
      </c>
      <c r="G93" t="str">
        <f>step3_validation[[#This Row],[Region]]</f>
        <v>Thành thị</v>
      </c>
      <c r="H93" t="str">
        <f>survey_responses[[#This Row],[Khu vực bạn đang sinh sống:]]</f>
        <v>Thành thị</v>
      </c>
      <c r="I93" t="str">
        <f>step3_validation[[#This Row],[Education]]</f>
        <v>Đại học</v>
      </c>
      <c r="J93" t="str">
        <f>survey_responses[[#This Row],[Trình độ học vấn cao nhất:]]</f>
        <v>Đại học</v>
      </c>
      <c r="K93" t="str">
        <f>step3_validation[[#This Row],[Employment]]</f>
        <v>Chính thức</v>
      </c>
      <c r="L93" t="str">
        <f>survey_responses[[#This Row],[Tình trạng việc làm chính:]]</f>
        <v>Khu vực chính thức (Có Hợp đồng lao động, đóng BHXH)</v>
      </c>
      <c r="M93">
        <f>step3_validation[[#This Row],[Income_Mil]]</f>
        <v>12</v>
      </c>
      <c r="N93" t="str">
        <f>survey_responses[[#This Row],[Thu nhập bình quân tháng theo Hợp đồng lao động của bạn là bao nhiêu? (Vui lòng điền tổng thu nhập trước khi khấu trừ các loại Bảo hiểm (BHXH, BHYT, BHTN) và Thuế TNCN)]]</f>
        <v>Dưới 12 triệu VNĐ</v>
      </c>
      <c r="O93">
        <f>step3_validation[[#This Row],[Dependents]]</f>
        <v>2</v>
      </c>
      <c r="P93" t="str">
        <f>survey_responses[[#This Row],[Số người phụ thuộc (con nhỏ, cha mẹ già...) đủ điều kiện giảm trừ gia cảnh:]]</f>
        <v>2 người</v>
      </c>
      <c r="Q93">
        <f>step3_validation[[#This Row],[AI_ENF1]]</f>
        <v>6</v>
      </c>
      <c r="R93" t="str">
        <f t="shared" si="27"/>
        <v>Neutral</v>
      </c>
      <c r="S93">
        <f>survey_responses[[#This Row],[Tôi tin rằng với các quy định quản lý thuế hiện nay, hành vi gian lận hoặc trốn thuế sẽ dễ dàng bị phát hiện và xử lý nghiêm. - HUMAN-ENF1]]</f>
        <v>10</v>
      </c>
      <c r="T93" t="str">
        <f t="shared" si="28"/>
        <v>Support</v>
      </c>
      <c r="U93" s="32">
        <f t="shared" si="29"/>
        <v>4</v>
      </c>
      <c r="V93">
        <f>step3_validation[[#This Row],[AI_ENF2]]</f>
        <v>7</v>
      </c>
      <c r="W93" t="str">
        <f t="shared" si="30"/>
        <v>Neutral</v>
      </c>
      <c r="X93">
        <f>survey_responses[[#This Row],[Tôi tin rằng Nhà nước, cơ quan thuế có đủ khả năng và công nghệ để phát hiện, xử lý nghiêm các hành vi trốn thuế. - HUMAN-ENF2]]</f>
        <v>10</v>
      </c>
      <c r="Y93" t="str">
        <f t="shared" si="31"/>
        <v>Support</v>
      </c>
      <c r="Z93" s="32">
        <f t="shared" si="32"/>
        <v>3</v>
      </c>
      <c r="AA93">
        <f>step3_validation[[#This Row],[AI_FAC1]]</f>
        <v>5</v>
      </c>
      <c r="AB93" t="str">
        <f t="shared" si="33"/>
        <v>Neutral</v>
      </c>
      <c r="AC93">
        <f>survey_responses[[#This Row],[Các thủ tục khai báo thuế VÀ/HOẶC quy trình làm việc với cơ quan thuế đơn giản, tiện lợi, nhanh chóng hơn so với trước đây. - HUMAN-FAC1]]</f>
        <v>10</v>
      </c>
      <c r="AD93" t="str">
        <f t="shared" si="34"/>
        <v>Support</v>
      </c>
      <c r="AE93" s="32">
        <f t="shared" si="35"/>
        <v>5</v>
      </c>
      <c r="AF93">
        <f>step3_validation[[#This Row],[AI_FAC2]]</f>
        <v>8</v>
      </c>
      <c r="AG93" t="str">
        <f t="shared" si="36"/>
        <v>Support</v>
      </c>
      <c r="AH93">
        <f>survey_responses[[#This Row],[So với trước đây, tôi thấy cách tính thuế và các bậc thuế trong phương án mới đơn giản, dễ hiểu và dễ thực hiện hơn. - HUMAN-FAC2]]</f>
        <v>10</v>
      </c>
      <c r="AI93" t="str">
        <f t="shared" si="37"/>
        <v>Support</v>
      </c>
      <c r="AJ93" s="32">
        <f t="shared" si="38"/>
        <v>2</v>
      </c>
      <c r="AK93">
        <f>step3_validation[[#This Row],[AI_TRU1]]</f>
        <v>9</v>
      </c>
      <c r="AL93" t="str">
        <f t="shared" si="39"/>
        <v>Support</v>
      </c>
      <c r="AM93">
        <f>survey_responses[[#This Row],[Tôi tin rằng Nhà nước, cơ quan thuế sẽ thực thi chính sách mới một cách khách quan, công tâm và đối xử bình đẳng với mọi người nộp thuế.  - HUMAN-TRU1]]</f>
        <v>10</v>
      </c>
      <c r="AN93" t="str">
        <f t="shared" si="40"/>
        <v>Support</v>
      </c>
      <c r="AO93" s="32">
        <f t="shared" si="41"/>
        <v>1</v>
      </c>
      <c r="AP93">
        <f>step3_validation[[#This Row],[AI_TRU2]]</f>
        <v>8</v>
      </c>
      <c r="AQ93" t="str">
        <f t="shared" si="42"/>
        <v>Support</v>
      </c>
      <c r="AR93">
        <f>survey_responses[[#This Row],[Tôi thấy mức thuế tôi phải đóng theo phương án mới là công bằng (người thu nhập như tôi đóng mức này là hợp lý). - HUMAN-TRU2]]</f>
        <v>1</v>
      </c>
      <c r="AS93" t="str">
        <f t="shared" si="43"/>
        <v>Oppose</v>
      </c>
      <c r="AT93" s="32">
        <f t="shared" si="44"/>
        <v>7</v>
      </c>
      <c r="AU93">
        <f>step3_validation[[#This Row],[AI_TRU3]]</f>
        <v>9</v>
      </c>
      <c r="AV93" t="str">
        <f t="shared" si="45"/>
        <v>Support</v>
      </c>
      <c r="AW93">
        <f>survey_responses[[#This Row],[Tôi tin tưởng số tiền thuế tôi đóng sẽ được Nhà nước sử dụng hiệu quả để cải thiện dịch vụ công (y tế, đường xá...). - HUMAN-TRU3]]</f>
        <v>10</v>
      </c>
      <c r="AX93" t="str">
        <f t="shared" si="46"/>
        <v>Support</v>
      </c>
      <c r="AY93" s="32">
        <f t="shared" si="47"/>
        <v>1</v>
      </c>
      <c r="AZ93">
        <f>step3_validation[[#This Row],[AI_TRU4]]</f>
        <v>8</v>
      </c>
      <c r="BA93" t="str">
        <f t="shared" si="48"/>
        <v>Support</v>
      </c>
      <c r="BB93">
        <f>survey_responses[[#This Row],[Tôi thấy Nhà nước đã giải thích rõ ràng, minh bạch về lý do và mục tiêu của việc sửa đổi thuế lần này. - HUMAN-TRU4]]</f>
        <v>10</v>
      </c>
      <c r="BC93" t="str">
        <f t="shared" si="49"/>
        <v>Support</v>
      </c>
      <c r="BD93" s="32">
        <f t="shared" si="50"/>
        <v>2</v>
      </c>
      <c r="BE93">
        <f>step3_validation[[#This Row],[AI_OUT1]]</f>
        <v>9</v>
      </c>
      <c r="BF93" t="str">
        <f t="shared" si="51"/>
        <v>Support</v>
      </c>
      <c r="BG93">
        <f>survey_responses[[#This Row],[Sau khi xem xét các quyền lợi và nghĩa vụ, bạn có ủng hộ và tuân thủ chính sách mới hiện nay? - HUMAN-OUT1]]</f>
        <v>10</v>
      </c>
      <c r="BH93" t="str">
        <f t="shared" si="52"/>
        <v>Support</v>
      </c>
      <c r="BI93" s="32">
        <f t="shared" si="53"/>
        <v>1</v>
      </c>
    </row>
    <row r="94" spans="1:61" x14ac:dyDescent="0.45">
      <c r="A94" s="30">
        <f>step3_validation[[#This Row],[Persona_ID]]</f>
        <v>93</v>
      </c>
      <c r="B94" s="31">
        <f>step3_validation[[#This Row],[Used_Seed]]</f>
        <v>93</v>
      </c>
      <c r="C94" t="str">
        <f>step3_validation[[#This Row],[Gender]]</f>
        <v>Nam</v>
      </c>
      <c r="D94" t="str">
        <f>survey_responses[[#This Row],[Giới tính của bạn:]]</f>
        <v>Nam</v>
      </c>
      <c r="E94" t="str">
        <f>step3_validation[[#This Row],[Age_Group]]</f>
        <v>30 - 39</v>
      </c>
      <c r="F94" t="str">
        <f>survey_responses[[#This Row],[Độ tuổi của bạn:]]</f>
        <v>30 - 39</v>
      </c>
      <c r="G94" t="str">
        <f>step3_validation[[#This Row],[Region]]</f>
        <v>Thành thị</v>
      </c>
      <c r="H94" t="str">
        <f>survey_responses[[#This Row],[Khu vực bạn đang sinh sống:]]</f>
        <v>Thành thị</v>
      </c>
      <c r="I94" t="str">
        <f>step3_validation[[#This Row],[Education]]</f>
        <v>Đại học</v>
      </c>
      <c r="J94" t="str">
        <f>survey_responses[[#This Row],[Trình độ học vấn cao nhất:]]</f>
        <v>Đại học</v>
      </c>
      <c r="K94" t="str">
        <f>step3_validation[[#This Row],[Employment]]</f>
        <v>Chính thức</v>
      </c>
      <c r="L94" t="str">
        <f>survey_responses[[#This Row],[Tình trạng việc làm chính:]]</f>
        <v>Khu vực chính thức (Có Hợp đồng lao động, đóng BHXH)</v>
      </c>
      <c r="M94">
        <f>step3_validation[[#This Row],[Income_Mil]]</f>
        <v>46.782355645283822</v>
      </c>
      <c r="N94" t="str">
        <f>survey_responses[[#This Row],[Thu nhập bình quân tháng theo Hợp đồng lao động của bạn là bao nhiêu? (Vui lòng điền tổng thu nhập trước khi khấu trừ các loại Bảo hiểm (BHXH, BHYT, BHTN) và Thuế TNCN)]]</f>
        <v>Từ 32 - 48 triệu VNĐ</v>
      </c>
      <c r="O94">
        <f>step3_validation[[#This Row],[Dependents]]</f>
        <v>2</v>
      </c>
      <c r="P94" t="str">
        <f>survey_responses[[#This Row],[Số người phụ thuộc (con nhỏ, cha mẹ già...) đủ điều kiện giảm trừ gia cảnh:]]</f>
        <v>2 người</v>
      </c>
      <c r="Q94">
        <f>step3_validation[[#This Row],[AI_ENF1]]</f>
        <v>7</v>
      </c>
      <c r="R94" t="str">
        <f t="shared" si="27"/>
        <v>Neutral</v>
      </c>
      <c r="S94">
        <f>survey_responses[[#This Row],[Tôi tin rằng với các quy định quản lý thuế hiện nay, hành vi gian lận hoặc trốn thuế sẽ dễ dàng bị phát hiện và xử lý nghiêm. - HUMAN-ENF1]]</f>
        <v>5</v>
      </c>
      <c r="T94" t="str">
        <f t="shared" si="28"/>
        <v>Neutral</v>
      </c>
      <c r="U94" s="32">
        <f t="shared" si="29"/>
        <v>2</v>
      </c>
      <c r="V94">
        <f>step3_validation[[#This Row],[AI_ENF2]]</f>
        <v>7</v>
      </c>
      <c r="W94" t="str">
        <f t="shared" si="30"/>
        <v>Neutral</v>
      </c>
      <c r="X94">
        <f>survey_responses[[#This Row],[Tôi tin rằng Nhà nước, cơ quan thuế có đủ khả năng và công nghệ để phát hiện, xử lý nghiêm các hành vi trốn thuế. - HUMAN-ENF2]]</f>
        <v>8</v>
      </c>
      <c r="Y94" t="str">
        <f t="shared" si="31"/>
        <v>Support</v>
      </c>
      <c r="Z94" s="32">
        <f t="shared" si="32"/>
        <v>1</v>
      </c>
      <c r="AA94">
        <f>step3_validation[[#This Row],[AI_FAC1]]</f>
        <v>8</v>
      </c>
      <c r="AB94" t="str">
        <f t="shared" si="33"/>
        <v>Support</v>
      </c>
      <c r="AC94">
        <f>survey_responses[[#This Row],[Các thủ tục khai báo thuế VÀ/HOẶC quy trình làm việc với cơ quan thuế đơn giản, tiện lợi, nhanh chóng hơn so với trước đây. - HUMAN-FAC1]]</f>
        <v>4</v>
      </c>
      <c r="AD94" t="str">
        <f t="shared" si="34"/>
        <v>Oppose</v>
      </c>
      <c r="AE94" s="32">
        <f t="shared" si="35"/>
        <v>4</v>
      </c>
      <c r="AF94">
        <f>step3_validation[[#This Row],[AI_FAC2]]</f>
        <v>9</v>
      </c>
      <c r="AG94" t="str">
        <f t="shared" si="36"/>
        <v>Support</v>
      </c>
      <c r="AH94">
        <f>survey_responses[[#This Row],[So với trước đây, tôi thấy cách tính thuế và các bậc thuế trong phương án mới đơn giản, dễ hiểu và dễ thực hiện hơn. - HUMAN-FAC2]]</f>
        <v>9</v>
      </c>
      <c r="AI94" t="str">
        <f t="shared" si="37"/>
        <v>Support</v>
      </c>
      <c r="AJ94" s="32">
        <f t="shared" si="38"/>
        <v>0</v>
      </c>
      <c r="AK94">
        <f>step3_validation[[#This Row],[AI_TRU1]]</f>
        <v>7</v>
      </c>
      <c r="AL94" t="str">
        <f t="shared" si="39"/>
        <v>Neutral</v>
      </c>
      <c r="AM94">
        <f>survey_responses[[#This Row],[Tôi tin rằng Nhà nước, cơ quan thuế sẽ thực thi chính sách mới một cách khách quan, công tâm và đối xử bình đẳng với mọi người nộp thuế.  - HUMAN-TRU1]]</f>
        <v>7</v>
      </c>
      <c r="AN94" t="str">
        <f t="shared" si="40"/>
        <v>Neutral</v>
      </c>
      <c r="AO94" s="32">
        <f t="shared" si="41"/>
        <v>0</v>
      </c>
      <c r="AP94">
        <f>step3_validation[[#This Row],[AI_TRU2]]</f>
        <v>9</v>
      </c>
      <c r="AQ94" t="str">
        <f t="shared" si="42"/>
        <v>Support</v>
      </c>
      <c r="AR94">
        <f>survey_responses[[#This Row],[Tôi thấy mức thuế tôi phải đóng theo phương án mới là công bằng (người thu nhập như tôi đóng mức này là hợp lý). - HUMAN-TRU2]]</f>
        <v>5</v>
      </c>
      <c r="AS94" t="str">
        <f t="shared" si="43"/>
        <v>Neutral</v>
      </c>
      <c r="AT94" s="32">
        <f t="shared" si="44"/>
        <v>4</v>
      </c>
      <c r="AU94">
        <f>step3_validation[[#This Row],[AI_TRU3]]</f>
        <v>7</v>
      </c>
      <c r="AV94" t="str">
        <f t="shared" si="45"/>
        <v>Neutral</v>
      </c>
      <c r="AW94">
        <f>survey_responses[[#This Row],[Tôi tin tưởng số tiền thuế tôi đóng sẽ được Nhà nước sử dụng hiệu quả để cải thiện dịch vụ công (y tế, đường xá...). - HUMAN-TRU3]]</f>
        <v>7</v>
      </c>
      <c r="AX94" t="str">
        <f t="shared" si="46"/>
        <v>Neutral</v>
      </c>
      <c r="AY94" s="32">
        <f t="shared" si="47"/>
        <v>0</v>
      </c>
      <c r="AZ94">
        <f>step3_validation[[#This Row],[AI_TRU4]]</f>
        <v>8</v>
      </c>
      <c r="BA94" t="str">
        <f t="shared" si="48"/>
        <v>Support</v>
      </c>
      <c r="BB94">
        <f>survey_responses[[#This Row],[Tôi thấy Nhà nước đã giải thích rõ ràng, minh bạch về lý do và mục tiêu của việc sửa đổi thuế lần này. - HUMAN-TRU4]]</f>
        <v>8</v>
      </c>
      <c r="BC94" t="str">
        <f t="shared" si="49"/>
        <v>Support</v>
      </c>
      <c r="BD94" s="32">
        <f t="shared" si="50"/>
        <v>0</v>
      </c>
      <c r="BE94">
        <f>step3_validation[[#This Row],[AI_OUT1]]</f>
        <v>9</v>
      </c>
      <c r="BF94" t="str">
        <f t="shared" si="51"/>
        <v>Support</v>
      </c>
      <c r="BG94">
        <f>survey_responses[[#This Row],[Sau khi xem xét các quyền lợi và nghĩa vụ, bạn có ủng hộ và tuân thủ chính sách mới hiện nay? - HUMAN-OUT1]]</f>
        <v>10</v>
      </c>
      <c r="BH94" t="str">
        <f t="shared" si="52"/>
        <v>Support</v>
      </c>
      <c r="BI94" s="32">
        <f t="shared" si="53"/>
        <v>1</v>
      </c>
    </row>
    <row r="95" spans="1:61" x14ac:dyDescent="0.45">
      <c r="A95" s="30">
        <f>step3_validation[[#This Row],[Persona_ID]]</f>
        <v>94</v>
      </c>
      <c r="B95" s="31">
        <f>step3_validation[[#This Row],[Used_Seed]]</f>
        <v>94</v>
      </c>
      <c r="C95" t="str">
        <f>step3_validation[[#This Row],[Gender]]</f>
        <v>Nữ</v>
      </c>
      <c r="D95" t="str">
        <f>survey_responses[[#This Row],[Giới tính của bạn:]]</f>
        <v>Nữ</v>
      </c>
      <c r="E95" t="str">
        <f>step3_validation[[#This Row],[Age_Group]]</f>
        <v>30 - 39</v>
      </c>
      <c r="F95" t="str">
        <f>survey_responses[[#This Row],[Độ tuổi của bạn:]]</f>
        <v>30 - 39</v>
      </c>
      <c r="G95" t="str">
        <f>step3_validation[[#This Row],[Region]]</f>
        <v>Thành thị</v>
      </c>
      <c r="H95" t="str">
        <f>survey_responses[[#This Row],[Khu vực bạn đang sinh sống:]]</f>
        <v>Thành thị</v>
      </c>
      <c r="I95" t="str">
        <f>step3_validation[[#This Row],[Education]]</f>
        <v>Sau Đại học</v>
      </c>
      <c r="J95" t="str">
        <f>survey_responses[[#This Row],[Trình độ học vấn cao nhất:]]</f>
        <v>Sau Đại học</v>
      </c>
      <c r="K95" t="str">
        <f>step3_validation[[#This Row],[Employment]]</f>
        <v>Chính thức</v>
      </c>
      <c r="L95" t="str">
        <f>survey_responses[[#This Row],[Tình trạng việc làm chính:]]</f>
        <v>Khu vực chính thức (Có Hợp đồng lao động, đóng BHXH)</v>
      </c>
      <c r="M95">
        <f>step3_validation[[#This Row],[Income_Mil]]</f>
        <v>12</v>
      </c>
      <c r="N95" t="str">
        <f>survey_responses[[#This Row],[Thu nhập bình quân tháng theo Hợp đồng lao động của bạn là bao nhiêu? (Vui lòng điền tổng thu nhập trước khi khấu trừ các loại Bảo hiểm (BHXH, BHYT, BHTN) và Thuế TNCN)]]</f>
        <v>Dưới 12 triệu VNĐ</v>
      </c>
      <c r="O95">
        <f>step3_validation[[#This Row],[Dependents]]</f>
        <v>0</v>
      </c>
      <c r="P95" t="str">
        <f>survey_responses[[#This Row],[Số người phụ thuộc (con nhỏ, cha mẹ già...) đủ điều kiện giảm trừ gia cảnh:]]</f>
        <v>0 người</v>
      </c>
      <c r="Q95">
        <f>step3_validation[[#This Row],[AI_ENF1]]</f>
        <v>7</v>
      </c>
      <c r="R95" t="str">
        <f t="shared" si="27"/>
        <v>Neutral</v>
      </c>
      <c r="S95">
        <f>survey_responses[[#This Row],[Tôi tin rằng với các quy định quản lý thuế hiện nay, hành vi gian lận hoặc trốn thuế sẽ dễ dàng bị phát hiện và xử lý nghiêm. - HUMAN-ENF1]]</f>
        <v>9</v>
      </c>
      <c r="T95" t="str">
        <f t="shared" si="28"/>
        <v>Support</v>
      </c>
      <c r="U95" s="32">
        <f t="shared" si="29"/>
        <v>2</v>
      </c>
      <c r="V95">
        <f>step3_validation[[#This Row],[AI_ENF2]]</f>
        <v>8</v>
      </c>
      <c r="W95" t="str">
        <f t="shared" si="30"/>
        <v>Support</v>
      </c>
      <c r="X95">
        <f>survey_responses[[#This Row],[Tôi tin rằng Nhà nước, cơ quan thuế có đủ khả năng và công nghệ để phát hiện, xử lý nghiêm các hành vi trốn thuế. - HUMAN-ENF2]]</f>
        <v>7</v>
      </c>
      <c r="Y95" t="str">
        <f t="shared" si="31"/>
        <v>Neutral</v>
      </c>
      <c r="Z95" s="32">
        <f t="shared" si="32"/>
        <v>1</v>
      </c>
      <c r="AA95">
        <f>step3_validation[[#This Row],[AI_FAC1]]</f>
        <v>9</v>
      </c>
      <c r="AB95" t="str">
        <f t="shared" si="33"/>
        <v>Support</v>
      </c>
      <c r="AC95">
        <f>survey_responses[[#This Row],[Các thủ tục khai báo thuế VÀ/HOẶC quy trình làm việc với cơ quan thuế đơn giản, tiện lợi, nhanh chóng hơn so với trước đây. - HUMAN-FAC1]]</f>
        <v>5</v>
      </c>
      <c r="AD95" t="str">
        <f t="shared" si="34"/>
        <v>Neutral</v>
      </c>
      <c r="AE95" s="32">
        <f t="shared" si="35"/>
        <v>4</v>
      </c>
      <c r="AF95">
        <f>step3_validation[[#This Row],[AI_FAC2]]</f>
        <v>10</v>
      </c>
      <c r="AG95" t="str">
        <f t="shared" si="36"/>
        <v>Support</v>
      </c>
      <c r="AH95">
        <f>survey_responses[[#This Row],[So với trước đây, tôi thấy cách tính thuế và các bậc thuế trong phương án mới đơn giản, dễ hiểu và dễ thực hiện hơn. - HUMAN-FAC2]]</f>
        <v>7</v>
      </c>
      <c r="AI95" t="str">
        <f t="shared" si="37"/>
        <v>Neutral</v>
      </c>
      <c r="AJ95" s="32">
        <f t="shared" si="38"/>
        <v>3</v>
      </c>
      <c r="AK95">
        <f>step3_validation[[#This Row],[AI_TRU1]]</f>
        <v>9</v>
      </c>
      <c r="AL95" t="str">
        <f t="shared" si="39"/>
        <v>Support</v>
      </c>
      <c r="AM95">
        <f>survey_responses[[#This Row],[Tôi tin rằng Nhà nước, cơ quan thuế sẽ thực thi chính sách mới một cách khách quan, công tâm và đối xử bình đẳng với mọi người nộp thuế.  - HUMAN-TRU1]]</f>
        <v>5</v>
      </c>
      <c r="AN95" t="str">
        <f t="shared" si="40"/>
        <v>Neutral</v>
      </c>
      <c r="AO95" s="32">
        <f t="shared" si="41"/>
        <v>4</v>
      </c>
      <c r="AP95">
        <f>step3_validation[[#This Row],[AI_TRU2]]</f>
        <v>8</v>
      </c>
      <c r="AQ95" t="str">
        <f t="shared" si="42"/>
        <v>Support</v>
      </c>
      <c r="AR95">
        <f>survey_responses[[#This Row],[Tôi thấy mức thuế tôi phải đóng theo phương án mới là công bằng (người thu nhập như tôi đóng mức này là hợp lý). - HUMAN-TRU2]]</f>
        <v>8</v>
      </c>
      <c r="AS95" t="str">
        <f t="shared" si="43"/>
        <v>Support</v>
      </c>
      <c r="AT95" s="32">
        <f t="shared" si="44"/>
        <v>0</v>
      </c>
      <c r="AU95">
        <f>step3_validation[[#This Row],[AI_TRU3]]</f>
        <v>9</v>
      </c>
      <c r="AV95" t="str">
        <f t="shared" si="45"/>
        <v>Support</v>
      </c>
      <c r="AW95">
        <f>survey_responses[[#This Row],[Tôi tin tưởng số tiền thuế tôi đóng sẽ được Nhà nước sử dụng hiệu quả để cải thiện dịch vụ công (y tế, đường xá...). - HUMAN-TRU3]]</f>
        <v>5</v>
      </c>
      <c r="AX95" t="str">
        <f t="shared" si="46"/>
        <v>Neutral</v>
      </c>
      <c r="AY95" s="32">
        <f t="shared" si="47"/>
        <v>4</v>
      </c>
      <c r="AZ95">
        <f>step3_validation[[#This Row],[AI_TRU4]]</f>
        <v>8</v>
      </c>
      <c r="BA95" t="str">
        <f t="shared" si="48"/>
        <v>Support</v>
      </c>
      <c r="BB95">
        <f>survey_responses[[#This Row],[Tôi thấy Nhà nước đã giải thích rõ ràng, minh bạch về lý do và mục tiêu của việc sửa đổi thuế lần này. - HUMAN-TRU4]]</f>
        <v>5</v>
      </c>
      <c r="BC95" t="str">
        <f t="shared" si="49"/>
        <v>Neutral</v>
      </c>
      <c r="BD95" s="32">
        <f t="shared" si="50"/>
        <v>3</v>
      </c>
      <c r="BE95">
        <f>step3_validation[[#This Row],[AI_OUT1]]</f>
        <v>9</v>
      </c>
      <c r="BF95" t="str">
        <f t="shared" si="51"/>
        <v>Support</v>
      </c>
      <c r="BG95">
        <f>survey_responses[[#This Row],[Sau khi xem xét các quyền lợi và nghĩa vụ, bạn có ủng hộ và tuân thủ chính sách mới hiện nay? - HUMAN-OUT1]]</f>
        <v>7</v>
      </c>
      <c r="BH95" t="str">
        <f t="shared" si="52"/>
        <v>Neutral</v>
      </c>
      <c r="BI95" s="32">
        <f t="shared" si="53"/>
        <v>2</v>
      </c>
    </row>
    <row r="96" spans="1:61" x14ac:dyDescent="0.45">
      <c r="A96" s="30">
        <f>step3_validation[[#This Row],[Persona_ID]]</f>
        <v>95</v>
      </c>
      <c r="B96" s="31">
        <f>step3_validation[[#This Row],[Used_Seed]]</f>
        <v>95</v>
      </c>
      <c r="C96" t="str">
        <f>step3_validation[[#This Row],[Gender]]</f>
        <v>Nữ</v>
      </c>
      <c r="D96" t="str">
        <f>survey_responses[[#This Row],[Giới tính của bạn:]]</f>
        <v>Nữ</v>
      </c>
      <c r="E96" t="str">
        <f>step3_validation[[#This Row],[Age_Group]]</f>
        <v>40 - 49</v>
      </c>
      <c r="F96" t="str">
        <f>survey_responses[[#This Row],[Độ tuổi của bạn:]]</f>
        <v>40 - 49</v>
      </c>
      <c r="G96" t="str">
        <f>step3_validation[[#This Row],[Region]]</f>
        <v>Thành thị</v>
      </c>
      <c r="H96" t="str">
        <f>survey_responses[[#This Row],[Khu vực bạn đang sinh sống:]]</f>
        <v>Thành thị</v>
      </c>
      <c r="I96" t="str">
        <f>step3_validation[[#This Row],[Education]]</f>
        <v>Đại học</v>
      </c>
      <c r="J96" t="str">
        <f>survey_responses[[#This Row],[Trình độ học vấn cao nhất:]]</f>
        <v>Đại học</v>
      </c>
      <c r="K96" t="str">
        <f>step3_validation[[#This Row],[Employment]]</f>
        <v>Chính thức</v>
      </c>
      <c r="L96" t="str">
        <f>survey_responses[[#This Row],[Tình trạng việc làm chính:]]</f>
        <v>Khu vực chính thức (Có Hợp đồng lao động, đóng BHXH)</v>
      </c>
      <c r="M96">
        <f>step3_validation[[#This Row],[Income_Mil]]</f>
        <v>40.121847610861892</v>
      </c>
      <c r="N96" t="str">
        <f>survey_responses[[#This Row],[Thu nhập bình quân tháng theo Hợp đồng lao động của bạn là bao nhiêu? (Vui lòng điền tổng thu nhập trước khi khấu trừ các loại Bảo hiểm (BHXH, BHYT, BHTN) và Thuế TNCN)]]</f>
        <v>Từ 32 - 48 triệu VNĐ</v>
      </c>
      <c r="O96">
        <f>step3_validation[[#This Row],[Dependents]]</f>
        <v>3</v>
      </c>
      <c r="P96" t="str">
        <f>survey_responses[[#This Row],[Số người phụ thuộc (con nhỏ, cha mẹ già...) đủ điều kiện giảm trừ gia cảnh:]]</f>
        <v>3 người</v>
      </c>
      <c r="Q96">
        <f>step3_validation[[#This Row],[AI_ENF1]]</f>
        <v>7</v>
      </c>
      <c r="R96" t="str">
        <f t="shared" si="27"/>
        <v>Neutral</v>
      </c>
      <c r="S96">
        <f>survey_responses[[#This Row],[Tôi tin rằng với các quy định quản lý thuế hiện nay, hành vi gian lận hoặc trốn thuế sẽ dễ dàng bị phát hiện và xử lý nghiêm. - HUMAN-ENF1]]</f>
        <v>4</v>
      </c>
      <c r="T96" t="str">
        <f t="shared" si="28"/>
        <v>Oppose</v>
      </c>
      <c r="U96" s="32">
        <f t="shared" si="29"/>
        <v>3</v>
      </c>
      <c r="V96">
        <f>step3_validation[[#This Row],[AI_ENF2]]</f>
        <v>8</v>
      </c>
      <c r="W96" t="str">
        <f t="shared" si="30"/>
        <v>Support</v>
      </c>
      <c r="X96">
        <f>survey_responses[[#This Row],[Tôi tin rằng Nhà nước, cơ quan thuế có đủ khả năng và công nghệ để phát hiện, xử lý nghiêm các hành vi trốn thuế. - HUMAN-ENF2]]</f>
        <v>6</v>
      </c>
      <c r="Y96" t="str">
        <f t="shared" si="31"/>
        <v>Neutral</v>
      </c>
      <c r="Z96" s="32">
        <f t="shared" si="32"/>
        <v>2</v>
      </c>
      <c r="AA96">
        <f>step3_validation[[#This Row],[AI_FAC1]]</f>
        <v>6</v>
      </c>
      <c r="AB96" t="str">
        <f t="shared" si="33"/>
        <v>Neutral</v>
      </c>
      <c r="AC96">
        <f>survey_responses[[#This Row],[Các thủ tục khai báo thuế VÀ/HOẶC quy trình làm việc với cơ quan thuế đơn giản, tiện lợi, nhanh chóng hơn so với trước đây. - HUMAN-FAC1]]</f>
        <v>5</v>
      </c>
      <c r="AD96" t="str">
        <f t="shared" si="34"/>
        <v>Neutral</v>
      </c>
      <c r="AE96" s="32">
        <f t="shared" si="35"/>
        <v>1</v>
      </c>
      <c r="AF96">
        <f>step3_validation[[#This Row],[AI_FAC2]]</f>
        <v>9</v>
      </c>
      <c r="AG96" t="str">
        <f t="shared" si="36"/>
        <v>Support</v>
      </c>
      <c r="AH96">
        <f>survey_responses[[#This Row],[So với trước đây, tôi thấy cách tính thuế và các bậc thuế trong phương án mới đơn giản, dễ hiểu và dễ thực hiện hơn. - HUMAN-FAC2]]</f>
        <v>5</v>
      </c>
      <c r="AI96" t="str">
        <f t="shared" si="37"/>
        <v>Neutral</v>
      </c>
      <c r="AJ96" s="32">
        <f t="shared" si="38"/>
        <v>4</v>
      </c>
      <c r="AK96">
        <f>step3_validation[[#This Row],[AI_TRU1]]</f>
        <v>7</v>
      </c>
      <c r="AL96" t="str">
        <f t="shared" si="39"/>
        <v>Neutral</v>
      </c>
      <c r="AM96">
        <f>survey_responses[[#This Row],[Tôi tin rằng Nhà nước, cơ quan thuế sẽ thực thi chính sách mới một cách khách quan, công tâm và đối xử bình đẳng với mọi người nộp thuế.  - HUMAN-TRU1]]</f>
        <v>4</v>
      </c>
      <c r="AN96" t="str">
        <f t="shared" si="40"/>
        <v>Oppose</v>
      </c>
      <c r="AO96" s="32">
        <f t="shared" si="41"/>
        <v>3</v>
      </c>
      <c r="AP96">
        <f>step3_validation[[#This Row],[AI_TRU2]]</f>
        <v>9</v>
      </c>
      <c r="AQ96" t="str">
        <f t="shared" si="42"/>
        <v>Support</v>
      </c>
      <c r="AR96">
        <f>survey_responses[[#This Row],[Tôi thấy mức thuế tôi phải đóng theo phương án mới là công bằng (người thu nhập như tôi đóng mức này là hợp lý). - HUMAN-TRU2]]</f>
        <v>4</v>
      </c>
      <c r="AS96" t="str">
        <f t="shared" si="43"/>
        <v>Oppose</v>
      </c>
      <c r="AT96" s="32">
        <f t="shared" si="44"/>
        <v>5</v>
      </c>
      <c r="AU96">
        <f>step3_validation[[#This Row],[AI_TRU3]]</f>
        <v>7</v>
      </c>
      <c r="AV96" t="str">
        <f t="shared" si="45"/>
        <v>Neutral</v>
      </c>
      <c r="AW96">
        <f>survey_responses[[#This Row],[Tôi tin tưởng số tiền thuế tôi đóng sẽ được Nhà nước sử dụng hiệu quả để cải thiện dịch vụ công (y tế, đường xá...). - HUMAN-TRU3]]</f>
        <v>3</v>
      </c>
      <c r="AX96" t="str">
        <f t="shared" si="46"/>
        <v>Oppose</v>
      </c>
      <c r="AY96" s="32">
        <f t="shared" si="47"/>
        <v>4</v>
      </c>
      <c r="AZ96">
        <f>step3_validation[[#This Row],[AI_TRU4]]</f>
        <v>6</v>
      </c>
      <c r="BA96" t="str">
        <f t="shared" si="48"/>
        <v>Neutral</v>
      </c>
      <c r="BB96">
        <f>survey_responses[[#This Row],[Tôi thấy Nhà nước đã giải thích rõ ràng, minh bạch về lý do và mục tiêu của việc sửa đổi thuế lần này. - HUMAN-TRU4]]</f>
        <v>4</v>
      </c>
      <c r="BC96" t="str">
        <f t="shared" si="49"/>
        <v>Oppose</v>
      </c>
      <c r="BD96" s="32">
        <f t="shared" si="50"/>
        <v>2</v>
      </c>
      <c r="BE96">
        <f>step3_validation[[#This Row],[AI_OUT1]]</f>
        <v>8</v>
      </c>
      <c r="BF96" t="str">
        <f t="shared" si="51"/>
        <v>Support</v>
      </c>
      <c r="BG96">
        <f>survey_responses[[#This Row],[Sau khi xem xét các quyền lợi và nghĩa vụ, bạn có ủng hộ và tuân thủ chính sách mới hiện nay? - HUMAN-OUT1]]</f>
        <v>3</v>
      </c>
      <c r="BH96" t="str">
        <f t="shared" si="52"/>
        <v>Oppose</v>
      </c>
      <c r="BI96" s="32">
        <f t="shared" si="53"/>
        <v>5</v>
      </c>
    </row>
    <row r="97" spans="1:61" x14ac:dyDescent="0.45">
      <c r="A97" s="30">
        <f>step3_validation[[#This Row],[Persona_ID]]</f>
        <v>96</v>
      </c>
      <c r="B97" s="31">
        <f>step3_validation[[#This Row],[Used_Seed]]</f>
        <v>96</v>
      </c>
      <c r="C97" t="str">
        <f>step3_validation[[#This Row],[Gender]]</f>
        <v>Nam</v>
      </c>
      <c r="D97" t="str">
        <f>survey_responses[[#This Row],[Giới tính của bạn:]]</f>
        <v>Nam</v>
      </c>
      <c r="E97" t="str">
        <f>step3_validation[[#This Row],[Age_Group]]</f>
        <v>18 - 24</v>
      </c>
      <c r="F97" t="str">
        <f>survey_responses[[#This Row],[Độ tuổi của bạn:]]</f>
        <v>18 - 24</v>
      </c>
      <c r="G97" t="str">
        <f>step3_validation[[#This Row],[Region]]</f>
        <v>Thành thị</v>
      </c>
      <c r="H97" t="str">
        <f>survey_responses[[#This Row],[Khu vực bạn đang sinh sống:]]</f>
        <v>Thành thị</v>
      </c>
      <c r="I97" t="str">
        <f>step3_validation[[#This Row],[Education]]</f>
        <v>Đại học</v>
      </c>
      <c r="J97" t="str">
        <f>survey_responses[[#This Row],[Trình độ học vấn cao nhất:]]</f>
        <v>Đại học</v>
      </c>
      <c r="K97" t="str">
        <f>step3_validation[[#This Row],[Employment]]</f>
        <v>Chính thức</v>
      </c>
      <c r="L97" t="str">
        <f>survey_responses[[#This Row],[Tình trạng việc làm chính:]]</f>
        <v>Khu vực chính thức (Có Hợp đồng lao động, đóng BHXH)</v>
      </c>
      <c r="M97">
        <f>step3_validation[[#This Row],[Income_Mil]]</f>
        <v>12</v>
      </c>
      <c r="N97" t="str">
        <f>survey_responses[[#This Row],[Thu nhập bình quân tháng theo Hợp đồng lao động của bạn là bao nhiêu? (Vui lòng điền tổng thu nhập trước khi khấu trừ các loại Bảo hiểm (BHXH, BHYT, BHTN) và Thuế TNCN)]]</f>
        <v>Dưới 12 triệu VNĐ</v>
      </c>
      <c r="O97">
        <f>step3_validation[[#This Row],[Dependents]]</f>
        <v>0</v>
      </c>
      <c r="P97" t="str">
        <f>survey_responses[[#This Row],[Số người phụ thuộc (con nhỏ, cha mẹ già...) đủ điều kiện giảm trừ gia cảnh:]]</f>
        <v>0 người</v>
      </c>
      <c r="Q97">
        <f>step3_validation[[#This Row],[AI_ENF1]]</f>
        <v>7</v>
      </c>
      <c r="R97" t="str">
        <f t="shared" si="27"/>
        <v>Neutral</v>
      </c>
      <c r="S97">
        <f>survey_responses[[#This Row],[Tôi tin rằng với các quy định quản lý thuế hiện nay, hành vi gian lận hoặc trốn thuế sẽ dễ dàng bị phát hiện và xử lý nghiêm. - HUMAN-ENF1]]</f>
        <v>8</v>
      </c>
      <c r="T97" t="str">
        <f t="shared" si="28"/>
        <v>Support</v>
      </c>
      <c r="U97" s="32">
        <f t="shared" si="29"/>
        <v>1</v>
      </c>
      <c r="V97">
        <f>step3_validation[[#This Row],[AI_ENF2]]</f>
        <v>8</v>
      </c>
      <c r="W97" t="str">
        <f t="shared" si="30"/>
        <v>Support</v>
      </c>
      <c r="X97">
        <f>survey_responses[[#This Row],[Tôi tin rằng Nhà nước, cơ quan thuế có đủ khả năng và công nghệ để phát hiện, xử lý nghiêm các hành vi trốn thuế. - HUMAN-ENF2]]</f>
        <v>7</v>
      </c>
      <c r="Y97" t="str">
        <f t="shared" si="31"/>
        <v>Neutral</v>
      </c>
      <c r="Z97" s="32">
        <f t="shared" si="32"/>
        <v>1</v>
      </c>
      <c r="AA97">
        <f>step3_validation[[#This Row],[AI_FAC1]]</f>
        <v>9</v>
      </c>
      <c r="AB97" t="str">
        <f t="shared" si="33"/>
        <v>Support</v>
      </c>
      <c r="AC97">
        <f>survey_responses[[#This Row],[Các thủ tục khai báo thuế VÀ/HOẶC quy trình làm việc với cơ quan thuế đơn giản, tiện lợi, nhanh chóng hơn so với trước đây. - HUMAN-FAC1]]</f>
        <v>5</v>
      </c>
      <c r="AD97" t="str">
        <f t="shared" si="34"/>
        <v>Neutral</v>
      </c>
      <c r="AE97" s="32">
        <f t="shared" si="35"/>
        <v>4</v>
      </c>
      <c r="AF97">
        <f>step3_validation[[#This Row],[AI_FAC2]]</f>
        <v>10</v>
      </c>
      <c r="AG97" t="str">
        <f t="shared" si="36"/>
        <v>Support</v>
      </c>
      <c r="AH97">
        <f>survey_responses[[#This Row],[So với trước đây, tôi thấy cách tính thuế và các bậc thuế trong phương án mới đơn giản, dễ hiểu và dễ thực hiện hơn. - HUMAN-FAC2]]</f>
        <v>7</v>
      </c>
      <c r="AI97" t="str">
        <f t="shared" si="37"/>
        <v>Neutral</v>
      </c>
      <c r="AJ97" s="32">
        <f t="shared" si="38"/>
        <v>3</v>
      </c>
      <c r="AK97">
        <f>step3_validation[[#This Row],[AI_TRU1]]</f>
        <v>7</v>
      </c>
      <c r="AL97" t="str">
        <f t="shared" si="39"/>
        <v>Neutral</v>
      </c>
      <c r="AM97">
        <f>survey_responses[[#This Row],[Tôi tin rằng Nhà nước, cơ quan thuế sẽ thực thi chính sách mới một cách khách quan, công tâm và đối xử bình đẳng với mọi người nộp thuế.  - HUMAN-TRU1]]</f>
        <v>7</v>
      </c>
      <c r="AN97" t="str">
        <f t="shared" si="40"/>
        <v>Neutral</v>
      </c>
      <c r="AO97" s="32">
        <f t="shared" si="41"/>
        <v>0</v>
      </c>
      <c r="AP97">
        <f>step3_validation[[#This Row],[AI_TRU2]]</f>
        <v>9</v>
      </c>
      <c r="AQ97" t="str">
        <f t="shared" si="42"/>
        <v>Support</v>
      </c>
      <c r="AR97">
        <f>survey_responses[[#This Row],[Tôi thấy mức thuế tôi phải đóng theo phương án mới là công bằng (người thu nhập như tôi đóng mức này là hợp lý). - HUMAN-TRU2]]</f>
        <v>5</v>
      </c>
      <c r="AS97" t="str">
        <f t="shared" si="43"/>
        <v>Neutral</v>
      </c>
      <c r="AT97" s="32">
        <f t="shared" si="44"/>
        <v>4</v>
      </c>
      <c r="AU97">
        <f>step3_validation[[#This Row],[AI_TRU3]]</f>
        <v>7</v>
      </c>
      <c r="AV97" t="str">
        <f t="shared" si="45"/>
        <v>Neutral</v>
      </c>
      <c r="AW97">
        <f>survey_responses[[#This Row],[Tôi tin tưởng số tiền thuế tôi đóng sẽ được Nhà nước sử dụng hiệu quả để cải thiện dịch vụ công (y tế, đường xá...). - HUMAN-TRU3]]</f>
        <v>5</v>
      </c>
      <c r="AX97" t="str">
        <f t="shared" si="46"/>
        <v>Neutral</v>
      </c>
      <c r="AY97" s="32">
        <f t="shared" si="47"/>
        <v>2</v>
      </c>
      <c r="AZ97">
        <f>step3_validation[[#This Row],[AI_TRU4]]</f>
        <v>8</v>
      </c>
      <c r="BA97" t="str">
        <f t="shared" si="48"/>
        <v>Support</v>
      </c>
      <c r="BB97">
        <f>survey_responses[[#This Row],[Tôi thấy Nhà nước đã giải thích rõ ràng, minh bạch về lý do và mục tiêu của việc sửa đổi thuế lần này. - HUMAN-TRU4]]</f>
        <v>7</v>
      </c>
      <c r="BC97" t="str">
        <f t="shared" si="49"/>
        <v>Neutral</v>
      </c>
      <c r="BD97" s="32">
        <f t="shared" si="50"/>
        <v>1</v>
      </c>
      <c r="BE97">
        <f>step3_validation[[#This Row],[AI_OUT1]]</f>
        <v>9</v>
      </c>
      <c r="BF97" t="str">
        <f t="shared" si="51"/>
        <v>Support</v>
      </c>
      <c r="BG97">
        <f>survey_responses[[#This Row],[Sau khi xem xét các quyền lợi và nghĩa vụ, bạn có ủng hộ và tuân thủ chính sách mới hiện nay? - HUMAN-OUT1]]</f>
        <v>7</v>
      </c>
      <c r="BH97" t="str">
        <f t="shared" si="52"/>
        <v>Neutral</v>
      </c>
      <c r="BI97" s="32">
        <f t="shared" si="53"/>
        <v>2</v>
      </c>
    </row>
    <row r="98" spans="1:61" x14ac:dyDescent="0.45">
      <c r="A98" s="30">
        <f>step3_validation[[#This Row],[Persona_ID]]</f>
        <v>97</v>
      </c>
      <c r="B98" s="31">
        <f>step3_validation[[#This Row],[Used_Seed]]</f>
        <v>97</v>
      </c>
      <c r="C98" t="str">
        <f>step3_validation[[#This Row],[Gender]]</f>
        <v>Nữ</v>
      </c>
      <c r="D98" t="str">
        <f>survey_responses[[#This Row],[Giới tính của bạn:]]</f>
        <v>Nữ</v>
      </c>
      <c r="E98" t="str">
        <f>step3_validation[[#This Row],[Age_Group]]</f>
        <v>55 - 64</v>
      </c>
      <c r="F98" t="str">
        <f>survey_responses[[#This Row],[Độ tuổi của bạn:]]</f>
        <v>55 - 64</v>
      </c>
      <c r="G98" t="str">
        <f>step3_validation[[#This Row],[Region]]</f>
        <v>Thành thị</v>
      </c>
      <c r="H98" t="str">
        <f>survey_responses[[#This Row],[Khu vực bạn đang sinh sống:]]</f>
        <v>Thành thị</v>
      </c>
      <c r="I98" t="str">
        <f>step3_validation[[#This Row],[Education]]</f>
        <v>Đại học</v>
      </c>
      <c r="J98" t="str">
        <f>survey_responses[[#This Row],[Trình độ học vấn cao nhất:]]</f>
        <v>Đại học</v>
      </c>
      <c r="K98" t="str">
        <f>step3_validation[[#This Row],[Employment]]</f>
        <v>Phi chính thức</v>
      </c>
      <c r="L98" t="str">
        <f>survey_responses[[#This Row],[Tình trạng việc làm chính:]]</f>
        <v>Khu vực phi chính thức (Lao động tự do, không có HĐLĐ)</v>
      </c>
      <c r="M98">
        <f>step3_validation[[#This Row],[Income_Mil]]</f>
        <v>201.79246404683141</v>
      </c>
      <c r="N98" t="str">
        <f>survey_responses[[#This Row],[Thu nhập bình quân tháng theo Hợp đồng lao động của bạn là bao nhiêu? (Vui lòng điền tổng thu nhập trước khi khấu trừ các loại Bảo hiểm (BHXH, BHYT, BHTN) và Thuế TNCN)]]</f>
        <v>Trên 102 triệu VNĐ</v>
      </c>
      <c r="O98">
        <f>step3_validation[[#This Row],[Dependents]]</f>
        <v>4</v>
      </c>
      <c r="P98" t="str">
        <f>survey_responses[[#This Row],[Số người phụ thuộc (con nhỏ, cha mẹ già...) đủ điều kiện giảm trừ gia cảnh:]]</f>
        <v>4 người trở lên</v>
      </c>
      <c r="Q98">
        <f>step3_validation[[#This Row],[AI_ENF1]]</f>
        <v>8</v>
      </c>
      <c r="R98" t="str">
        <f t="shared" si="27"/>
        <v>Support</v>
      </c>
      <c r="S98">
        <f>survey_responses[[#This Row],[Tôi tin rằng với các quy định quản lý thuế hiện nay, hành vi gian lận hoặc trốn thuế sẽ dễ dàng bị phát hiện và xử lý nghiêm. - HUMAN-ENF1]]</f>
        <v>6</v>
      </c>
      <c r="T98" t="str">
        <f t="shared" si="28"/>
        <v>Neutral</v>
      </c>
      <c r="U98" s="32">
        <f t="shared" si="29"/>
        <v>2</v>
      </c>
      <c r="V98">
        <f>step3_validation[[#This Row],[AI_ENF2]]</f>
        <v>7</v>
      </c>
      <c r="W98" t="str">
        <f t="shared" si="30"/>
        <v>Neutral</v>
      </c>
      <c r="X98">
        <f>survey_responses[[#This Row],[Tôi tin rằng Nhà nước, cơ quan thuế có đủ khả năng và công nghệ để phát hiện, xử lý nghiêm các hành vi trốn thuế. - HUMAN-ENF2]]</f>
        <v>6</v>
      </c>
      <c r="Y98" t="str">
        <f t="shared" si="31"/>
        <v>Neutral</v>
      </c>
      <c r="Z98" s="32">
        <f t="shared" si="32"/>
        <v>1</v>
      </c>
      <c r="AA98">
        <f>step3_validation[[#This Row],[AI_FAC1]]</f>
        <v>9</v>
      </c>
      <c r="AB98" t="str">
        <f t="shared" si="33"/>
        <v>Support</v>
      </c>
      <c r="AC98">
        <f>survey_responses[[#This Row],[Các thủ tục khai báo thuế VÀ/HOẶC quy trình làm việc với cơ quan thuế đơn giản, tiện lợi, nhanh chóng hơn so với trước đây. - HUMAN-FAC1]]</f>
        <v>5</v>
      </c>
      <c r="AD98" t="str">
        <f t="shared" si="34"/>
        <v>Neutral</v>
      </c>
      <c r="AE98" s="32">
        <f t="shared" si="35"/>
        <v>4</v>
      </c>
      <c r="AF98">
        <f>step3_validation[[#This Row],[AI_FAC2]]</f>
        <v>8</v>
      </c>
      <c r="AG98" t="str">
        <f t="shared" si="36"/>
        <v>Support</v>
      </c>
      <c r="AH98">
        <f>survey_responses[[#This Row],[So với trước đây, tôi thấy cách tính thuế và các bậc thuế trong phương án mới đơn giản, dễ hiểu và dễ thực hiện hơn. - HUMAN-FAC2]]</f>
        <v>5</v>
      </c>
      <c r="AI98" t="str">
        <f t="shared" si="37"/>
        <v>Neutral</v>
      </c>
      <c r="AJ98" s="32">
        <f t="shared" si="38"/>
        <v>3</v>
      </c>
      <c r="AK98">
        <f>step3_validation[[#This Row],[AI_TRU1]]</f>
        <v>9</v>
      </c>
      <c r="AL98" t="str">
        <f t="shared" si="39"/>
        <v>Support</v>
      </c>
      <c r="AM98">
        <f>survey_responses[[#This Row],[Tôi tin rằng Nhà nước, cơ quan thuế sẽ thực thi chính sách mới một cách khách quan, công tâm và đối xử bình đẳng với mọi người nộp thuế.  - HUMAN-TRU1]]</f>
        <v>5</v>
      </c>
      <c r="AN98" t="str">
        <f t="shared" si="40"/>
        <v>Neutral</v>
      </c>
      <c r="AO98" s="32">
        <f t="shared" si="41"/>
        <v>4</v>
      </c>
      <c r="AP98">
        <f>step3_validation[[#This Row],[AI_TRU2]]</f>
        <v>8</v>
      </c>
      <c r="AQ98" t="str">
        <f t="shared" si="42"/>
        <v>Support</v>
      </c>
      <c r="AR98">
        <f>survey_responses[[#This Row],[Tôi thấy mức thuế tôi phải đóng theo phương án mới là công bằng (người thu nhập như tôi đóng mức này là hợp lý). - HUMAN-TRU2]]</f>
        <v>5</v>
      </c>
      <c r="AS98" t="str">
        <f t="shared" si="43"/>
        <v>Neutral</v>
      </c>
      <c r="AT98" s="32">
        <f t="shared" si="44"/>
        <v>3</v>
      </c>
      <c r="AU98">
        <f>step3_validation[[#This Row],[AI_TRU3]]</f>
        <v>9</v>
      </c>
      <c r="AV98" t="str">
        <f t="shared" si="45"/>
        <v>Support</v>
      </c>
      <c r="AW98">
        <f>survey_responses[[#This Row],[Tôi tin tưởng số tiền thuế tôi đóng sẽ được Nhà nước sử dụng hiệu quả để cải thiện dịch vụ công (y tế, đường xá...). - HUMAN-TRU3]]</f>
        <v>5</v>
      </c>
      <c r="AX98" t="str">
        <f t="shared" si="46"/>
        <v>Neutral</v>
      </c>
      <c r="AY98" s="32">
        <f t="shared" si="47"/>
        <v>4</v>
      </c>
      <c r="AZ98">
        <f>step3_validation[[#This Row],[AI_TRU4]]</f>
        <v>8</v>
      </c>
      <c r="BA98" t="str">
        <f t="shared" si="48"/>
        <v>Support</v>
      </c>
      <c r="BB98">
        <f>survey_responses[[#This Row],[Tôi thấy Nhà nước đã giải thích rõ ràng, minh bạch về lý do và mục tiêu của việc sửa đổi thuế lần này. - HUMAN-TRU4]]</f>
        <v>5</v>
      </c>
      <c r="BC98" t="str">
        <f t="shared" si="49"/>
        <v>Neutral</v>
      </c>
      <c r="BD98" s="32">
        <f t="shared" si="50"/>
        <v>3</v>
      </c>
      <c r="BE98">
        <f>step3_validation[[#This Row],[AI_OUT1]]</f>
        <v>9</v>
      </c>
      <c r="BF98" t="str">
        <f t="shared" si="51"/>
        <v>Support</v>
      </c>
      <c r="BG98">
        <f>survey_responses[[#This Row],[Sau khi xem xét các quyền lợi và nghĩa vụ, bạn có ủng hộ và tuân thủ chính sách mới hiện nay? - HUMAN-OUT1]]</f>
        <v>5</v>
      </c>
      <c r="BH98" t="str">
        <f t="shared" si="52"/>
        <v>Neutral</v>
      </c>
      <c r="BI98" s="32">
        <f t="shared" si="53"/>
        <v>4</v>
      </c>
    </row>
    <row r="99" spans="1:61" x14ac:dyDescent="0.45">
      <c r="A99" s="30">
        <f>step3_validation[[#This Row],[Persona_ID]]</f>
        <v>98</v>
      </c>
      <c r="B99" s="31">
        <f>step3_validation[[#This Row],[Used_Seed]]</f>
        <v>98</v>
      </c>
      <c r="C99" t="str">
        <f>step3_validation[[#This Row],[Gender]]</f>
        <v>Nữ</v>
      </c>
      <c r="D99" t="str">
        <f>survey_responses[[#This Row],[Giới tính của bạn:]]</f>
        <v>Nữ</v>
      </c>
      <c r="E99" t="str">
        <f>step3_validation[[#This Row],[Age_Group]]</f>
        <v>30 - 39</v>
      </c>
      <c r="F99" t="str">
        <f>survey_responses[[#This Row],[Độ tuổi của bạn:]]</f>
        <v>30 - 39</v>
      </c>
      <c r="G99" t="str">
        <f>step3_validation[[#This Row],[Region]]</f>
        <v>Nông thôn</v>
      </c>
      <c r="H99" t="str">
        <f>survey_responses[[#This Row],[Khu vực bạn đang sinh sống:]]</f>
        <v>Nông thôn</v>
      </c>
      <c r="I99" t="str">
        <f>step3_validation[[#This Row],[Education]]</f>
        <v>Đại học</v>
      </c>
      <c r="J99" t="str">
        <f>survey_responses[[#This Row],[Trình độ học vấn cao nhất:]]</f>
        <v>Đại học</v>
      </c>
      <c r="K99" t="str">
        <f>step3_validation[[#This Row],[Employment]]</f>
        <v>Chính thức</v>
      </c>
      <c r="L99" t="str">
        <f>survey_responses[[#This Row],[Tình trạng việc làm chính:]]</f>
        <v>Khu vực chính thức (Có Hợp đồng lao động, đóng BHXH)</v>
      </c>
      <c r="M99">
        <f>step3_validation[[#This Row],[Income_Mil]]</f>
        <v>21.77462216404718</v>
      </c>
      <c r="N99" t="str">
        <f>survey_responses[[#This Row],[Thu nhập bình quân tháng theo Hợp đồng lao động của bạn là bao nhiêu? (Vui lòng điền tổng thu nhập trước khi khấu trừ các loại Bảo hiểm (BHXH, BHYT, BHTN) và Thuế TNCN)]]</f>
        <v>Từ 18 - 23 triệu VNĐ</v>
      </c>
      <c r="O99">
        <f>step3_validation[[#This Row],[Dependents]]</f>
        <v>0</v>
      </c>
      <c r="P99" t="str">
        <f>survey_responses[[#This Row],[Số người phụ thuộc (con nhỏ, cha mẹ già...) đủ điều kiện giảm trừ gia cảnh:]]</f>
        <v>0 người</v>
      </c>
      <c r="Q99">
        <f>step3_validation[[#This Row],[AI_ENF1]]</f>
        <v>9</v>
      </c>
      <c r="R99" t="str">
        <f t="shared" si="27"/>
        <v>Support</v>
      </c>
      <c r="S99">
        <f>survey_responses[[#This Row],[Tôi tin rằng với các quy định quản lý thuế hiện nay, hành vi gian lận hoặc trốn thuế sẽ dễ dàng bị phát hiện và xử lý nghiêm. - HUMAN-ENF1]]</f>
        <v>8</v>
      </c>
      <c r="T99" t="str">
        <f t="shared" si="28"/>
        <v>Support</v>
      </c>
      <c r="U99" s="32">
        <f t="shared" si="29"/>
        <v>1</v>
      </c>
      <c r="V99">
        <f>step3_validation[[#This Row],[AI_ENF2]]</f>
        <v>8</v>
      </c>
      <c r="W99" t="str">
        <f t="shared" si="30"/>
        <v>Support</v>
      </c>
      <c r="X99">
        <f>survey_responses[[#This Row],[Tôi tin rằng Nhà nước, cơ quan thuế có đủ khả năng và công nghệ để phát hiện, xử lý nghiêm các hành vi trốn thuế. - HUMAN-ENF2]]</f>
        <v>8</v>
      </c>
      <c r="Y99" t="str">
        <f t="shared" si="31"/>
        <v>Support</v>
      </c>
      <c r="Z99" s="32">
        <f t="shared" si="32"/>
        <v>0</v>
      </c>
      <c r="AA99">
        <f>step3_validation[[#This Row],[AI_FAC1]]</f>
        <v>7</v>
      </c>
      <c r="AB99" t="str">
        <f t="shared" si="33"/>
        <v>Neutral</v>
      </c>
      <c r="AC99">
        <f>survey_responses[[#This Row],[Các thủ tục khai báo thuế VÀ/HOẶC quy trình làm việc với cơ quan thuế đơn giản, tiện lợi, nhanh chóng hơn so với trước đây. - HUMAN-FAC1]]</f>
        <v>5</v>
      </c>
      <c r="AD99" t="str">
        <f t="shared" si="34"/>
        <v>Neutral</v>
      </c>
      <c r="AE99" s="32">
        <f t="shared" si="35"/>
        <v>2</v>
      </c>
      <c r="AF99">
        <f>step3_validation[[#This Row],[AI_FAC2]]</f>
        <v>6</v>
      </c>
      <c r="AG99" t="str">
        <f t="shared" si="36"/>
        <v>Neutral</v>
      </c>
      <c r="AH99">
        <f>survey_responses[[#This Row],[So với trước đây, tôi thấy cách tính thuế và các bậc thuế trong phương án mới đơn giản, dễ hiểu và dễ thực hiện hơn. - HUMAN-FAC2]]</f>
        <v>8</v>
      </c>
      <c r="AI99" t="str">
        <f t="shared" si="37"/>
        <v>Support</v>
      </c>
      <c r="AJ99" s="32">
        <f t="shared" si="38"/>
        <v>2</v>
      </c>
      <c r="AK99">
        <f>step3_validation[[#This Row],[AI_TRU1]]</f>
        <v>9</v>
      </c>
      <c r="AL99" t="str">
        <f t="shared" si="39"/>
        <v>Support</v>
      </c>
      <c r="AM99">
        <f>survey_responses[[#This Row],[Tôi tin rằng Nhà nước, cơ quan thuế sẽ thực thi chính sách mới một cách khách quan, công tâm và đối xử bình đẳng với mọi người nộp thuế.  - HUMAN-TRU1]]</f>
        <v>6</v>
      </c>
      <c r="AN99" t="str">
        <f t="shared" si="40"/>
        <v>Neutral</v>
      </c>
      <c r="AO99" s="32">
        <f t="shared" si="41"/>
        <v>3</v>
      </c>
      <c r="AP99">
        <f>step3_validation[[#This Row],[AI_TRU2]]</f>
        <v>8</v>
      </c>
      <c r="AQ99" t="str">
        <f t="shared" si="42"/>
        <v>Support</v>
      </c>
      <c r="AR99">
        <f>survey_responses[[#This Row],[Tôi thấy mức thuế tôi phải đóng theo phương án mới là công bằng (người thu nhập như tôi đóng mức này là hợp lý). - HUMAN-TRU2]]</f>
        <v>9</v>
      </c>
      <c r="AS99" t="str">
        <f t="shared" si="43"/>
        <v>Support</v>
      </c>
      <c r="AT99" s="32">
        <f t="shared" si="44"/>
        <v>1</v>
      </c>
      <c r="AU99">
        <f>step3_validation[[#This Row],[AI_TRU3]]</f>
        <v>7</v>
      </c>
      <c r="AV99" t="str">
        <f t="shared" si="45"/>
        <v>Neutral</v>
      </c>
      <c r="AW99">
        <f>survey_responses[[#This Row],[Tôi tin tưởng số tiền thuế tôi đóng sẽ được Nhà nước sử dụng hiệu quả để cải thiện dịch vụ công (y tế, đường xá...). - HUMAN-TRU3]]</f>
        <v>5</v>
      </c>
      <c r="AX99" t="str">
        <f t="shared" si="46"/>
        <v>Neutral</v>
      </c>
      <c r="AY99" s="32">
        <f t="shared" si="47"/>
        <v>2</v>
      </c>
      <c r="AZ99">
        <f>step3_validation[[#This Row],[AI_TRU4]]</f>
        <v>8</v>
      </c>
      <c r="BA99" t="str">
        <f t="shared" si="48"/>
        <v>Support</v>
      </c>
      <c r="BB99">
        <f>survey_responses[[#This Row],[Tôi thấy Nhà nước đã giải thích rõ ràng, minh bạch về lý do và mục tiêu của việc sửa đổi thuế lần này. - HUMAN-TRU4]]</f>
        <v>7</v>
      </c>
      <c r="BC99" t="str">
        <f t="shared" si="49"/>
        <v>Neutral</v>
      </c>
      <c r="BD99" s="32">
        <f t="shared" si="50"/>
        <v>1</v>
      </c>
      <c r="BE99">
        <f>step3_validation[[#This Row],[AI_OUT1]]</f>
        <v>9</v>
      </c>
      <c r="BF99" t="str">
        <f t="shared" si="51"/>
        <v>Support</v>
      </c>
      <c r="BG99">
        <f>survey_responses[[#This Row],[Sau khi xem xét các quyền lợi và nghĩa vụ, bạn có ủng hộ và tuân thủ chính sách mới hiện nay? - HUMAN-OUT1]]</f>
        <v>8</v>
      </c>
      <c r="BH99" t="str">
        <f t="shared" si="52"/>
        <v>Support</v>
      </c>
      <c r="BI99" s="32">
        <f t="shared" si="53"/>
        <v>1</v>
      </c>
    </row>
    <row r="100" spans="1:61" x14ac:dyDescent="0.45">
      <c r="A100" s="30">
        <f>step3_validation[[#This Row],[Persona_ID]]</f>
        <v>99</v>
      </c>
      <c r="B100" s="31">
        <f>step3_validation[[#This Row],[Used_Seed]]</f>
        <v>99</v>
      </c>
      <c r="C100" t="str">
        <f>step3_validation[[#This Row],[Gender]]</f>
        <v>Nam</v>
      </c>
      <c r="D100" t="str">
        <f>survey_responses[[#This Row],[Giới tính của bạn:]]</f>
        <v>Nam</v>
      </c>
      <c r="E100" t="str">
        <f>step3_validation[[#This Row],[Age_Group]]</f>
        <v>25 - 29</v>
      </c>
      <c r="F100" t="str">
        <f>survey_responses[[#This Row],[Độ tuổi của bạn:]]</f>
        <v>25 - 29</v>
      </c>
      <c r="G100" t="str">
        <f>step3_validation[[#This Row],[Region]]</f>
        <v>Thành thị</v>
      </c>
      <c r="H100" t="str">
        <f>survey_responses[[#This Row],[Khu vực bạn đang sinh sống:]]</f>
        <v>Thành thị</v>
      </c>
      <c r="I100" t="str">
        <f>step3_validation[[#This Row],[Education]]</f>
        <v>Đại học</v>
      </c>
      <c r="J100" t="str">
        <f>survey_responses[[#This Row],[Trình độ học vấn cao nhất:]]</f>
        <v>Đại học</v>
      </c>
      <c r="K100" t="str">
        <f>step3_validation[[#This Row],[Employment]]</f>
        <v>Chính thức</v>
      </c>
      <c r="L100" t="str">
        <f>survey_responses[[#This Row],[Tình trạng việc làm chính:]]</f>
        <v>Khu vực chính thức (Có Hợp đồng lao động, đóng BHXH)</v>
      </c>
      <c r="M100">
        <f>step3_validation[[#This Row],[Income_Mil]]</f>
        <v>27.048245396387156</v>
      </c>
      <c r="N100" t="str">
        <f>survey_responses[[#This Row],[Thu nhập bình quân tháng theo Hợp đồng lao động của bạn là bao nhiêu? (Vui lòng điền tổng thu nhập trước khi khấu trừ các loại Bảo hiểm (BHXH, BHYT, BHTN) và Thuế TNCN)]]</f>
        <v>Từ 23 - 32 triệu VNĐ</v>
      </c>
      <c r="O100">
        <f>step3_validation[[#This Row],[Dependents]]</f>
        <v>1</v>
      </c>
      <c r="P100" t="str">
        <f>survey_responses[[#This Row],[Số người phụ thuộc (con nhỏ, cha mẹ già...) đủ điều kiện giảm trừ gia cảnh:]]</f>
        <v>1 người</v>
      </c>
      <c r="Q100">
        <f>step3_validation[[#This Row],[AI_ENF1]]</f>
        <v>7</v>
      </c>
      <c r="R100" t="str">
        <f t="shared" si="27"/>
        <v>Neutral</v>
      </c>
      <c r="S100">
        <f>survey_responses[[#This Row],[Tôi tin rằng với các quy định quản lý thuế hiện nay, hành vi gian lận hoặc trốn thuế sẽ dễ dàng bị phát hiện và xử lý nghiêm. - HUMAN-ENF1]]</f>
        <v>6</v>
      </c>
      <c r="T100" t="str">
        <f t="shared" si="28"/>
        <v>Neutral</v>
      </c>
      <c r="U100" s="32">
        <f t="shared" si="29"/>
        <v>1</v>
      </c>
      <c r="V100">
        <f>step3_validation[[#This Row],[AI_ENF2]]</f>
        <v>8</v>
      </c>
      <c r="W100" t="str">
        <f t="shared" si="30"/>
        <v>Support</v>
      </c>
      <c r="X100">
        <f>survey_responses[[#This Row],[Tôi tin rằng Nhà nước, cơ quan thuế có đủ khả năng và công nghệ để phát hiện, xử lý nghiêm các hành vi trốn thuế. - HUMAN-ENF2]]</f>
        <v>6</v>
      </c>
      <c r="Y100" t="str">
        <f t="shared" si="31"/>
        <v>Neutral</v>
      </c>
      <c r="Z100" s="32">
        <f t="shared" si="32"/>
        <v>2</v>
      </c>
      <c r="AA100">
        <f>step3_validation[[#This Row],[AI_FAC1]]</f>
        <v>9</v>
      </c>
      <c r="AB100" t="str">
        <f t="shared" si="33"/>
        <v>Support</v>
      </c>
      <c r="AC100">
        <f>survey_responses[[#This Row],[Các thủ tục khai báo thuế VÀ/HOẶC quy trình làm việc với cơ quan thuế đơn giản, tiện lợi, nhanh chóng hơn so với trước đây. - HUMAN-FAC1]]</f>
        <v>3</v>
      </c>
      <c r="AD100" t="str">
        <f t="shared" si="34"/>
        <v>Oppose</v>
      </c>
      <c r="AE100" s="32">
        <f t="shared" si="35"/>
        <v>6</v>
      </c>
      <c r="AF100">
        <f>step3_validation[[#This Row],[AI_FAC2]]</f>
        <v>9</v>
      </c>
      <c r="AG100" t="str">
        <f t="shared" si="36"/>
        <v>Support</v>
      </c>
      <c r="AH100">
        <f>survey_responses[[#This Row],[So với trước đây, tôi thấy cách tính thuế và các bậc thuế trong phương án mới đơn giản, dễ hiểu và dễ thực hiện hơn. - HUMAN-FAC2]]</f>
        <v>6</v>
      </c>
      <c r="AI100" t="str">
        <f t="shared" si="37"/>
        <v>Neutral</v>
      </c>
      <c r="AJ100" s="32">
        <f t="shared" si="38"/>
        <v>3</v>
      </c>
      <c r="AK100">
        <f>step3_validation[[#This Row],[AI_TRU1]]</f>
        <v>6</v>
      </c>
      <c r="AL100" t="str">
        <f t="shared" si="39"/>
        <v>Neutral</v>
      </c>
      <c r="AM100">
        <f>survey_responses[[#This Row],[Tôi tin rằng Nhà nước, cơ quan thuế sẽ thực thi chính sách mới một cách khách quan, công tâm và đối xử bình đẳng với mọi người nộp thuế.  - HUMAN-TRU1]]</f>
        <v>5</v>
      </c>
      <c r="AN100" t="str">
        <f t="shared" si="40"/>
        <v>Neutral</v>
      </c>
      <c r="AO100" s="32">
        <f t="shared" si="41"/>
        <v>1</v>
      </c>
      <c r="AP100">
        <f>step3_validation[[#This Row],[AI_TRU2]]</f>
        <v>9</v>
      </c>
      <c r="AQ100" t="str">
        <f t="shared" si="42"/>
        <v>Support</v>
      </c>
      <c r="AR100">
        <f>survey_responses[[#This Row],[Tôi thấy mức thuế tôi phải đóng theo phương án mới là công bằng (người thu nhập như tôi đóng mức này là hợp lý). - HUMAN-TRU2]]</f>
        <v>6</v>
      </c>
      <c r="AS100" t="str">
        <f t="shared" si="43"/>
        <v>Neutral</v>
      </c>
      <c r="AT100" s="32">
        <f t="shared" si="44"/>
        <v>3</v>
      </c>
      <c r="AU100">
        <f>step3_validation[[#This Row],[AI_TRU3]]</f>
        <v>5</v>
      </c>
      <c r="AV100" t="str">
        <f t="shared" si="45"/>
        <v>Neutral</v>
      </c>
      <c r="AW100">
        <f>survey_responses[[#This Row],[Tôi tin tưởng số tiền thuế tôi đóng sẽ được Nhà nước sử dụng hiệu quả để cải thiện dịch vụ công (y tế, đường xá...). - HUMAN-TRU3]]</f>
        <v>5</v>
      </c>
      <c r="AX100" t="str">
        <f t="shared" si="46"/>
        <v>Neutral</v>
      </c>
      <c r="AY100" s="32">
        <f t="shared" si="47"/>
        <v>0</v>
      </c>
      <c r="AZ100">
        <f>step3_validation[[#This Row],[AI_TRU4]]</f>
        <v>7</v>
      </c>
      <c r="BA100" t="str">
        <f t="shared" si="48"/>
        <v>Neutral</v>
      </c>
      <c r="BB100">
        <f>survey_responses[[#This Row],[Tôi thấy Nhà nước đã giải thích rõ ràng, minh bạch về lý do và mục tiêu của việc sửa đổi thuế lần này. - HUMAN-TRU4]]</f>
        <v>6</v>
      </c>
      <c r="BC100" t="str">
        <f t="shared" si="49"/>
        <v>Neutral</v>
      </c>
      <c r="BD100" s="32">
        <f t="shared" si="50"/>
        <v>1</v>
      </c>
      <c r="BE100">
        <f>step3_validation[[#This Row],[AI_OUT1]]</f>
        <v>9</v>
      </c>
      <c r="BF100" t="str">
        <f t="shared" si="51"/>
        <v>Support</v>
      </c>
      <c r="BG100">
        <f>survey_responses[[#This Row],[Sau khi xem xét các quyền lợi và nghĩa vụ, bạn có ủng hộ và tuân thủ chính sách mới hiện nay? - HUMAN-OUT1]]</f>
        <v>6</v>
      </c>
      <c r="BH100" t="str">
        <f t="shared" si="52"/>
        <v>Neutral</v>
      </c>
      <c r="BI100" s="32">
        <f t="shared" si="53"/>
        <v>3</v>
      </c>
    </row>
    <row r="101" spans="1:61" x14ac:dyDescent="0.45">
      <c r="A101" s="30">
        <f>step3_validation[[#This Row],[Persona_ID]]</f>
        <v>100</v>
      </c>
      <c r="B101" s="31">
        <f>step3_validation[[#This Row],[Used_Seed]]</f>
        <v>100</v>
      </c>
      <c r="C101" t="str">
        <f>step3_validation[[#This Row],[Gender]]</f>
        <v>Nữ</v>
      </c>
      <c r="D101" t="str">
        <f>survey_responses[[#This Row],[Giới tính của bạn:]]</f>
        <v>Nữ</v>
      </c>
      <c r="E101" t="str">
        <f>step3_validation[[#This Row],[Age_Group]]</f>
        <v>55 - 64</v>
      </c>
      <c r="F101" t="str">
        <f>survey_responses[[#This Row],[Độ tuổi của bạn:]]</f>
        <v>55 - 64</v>
      </c>
      <c r="G101" t="str">
        <f>step3_validation[[#This Row],[Region]]</f>
        <v>Thành thị</v>
      </c>
      <c r="H101" t="str">
        <f>survey_responses[[#This Row],[Khu vực bạn đang sinh sống:]]</f>
        <v>Thành thị</v>
      </c>
      <c r="I101" t="str">
        <f>step3_validation[[#This Row],[Education]]</f>
        <v>Đại học</v>
      </c>
      <c r="J101" t="str">
        <f>survey_responses[[#This Row],[Trình độ học vấn cao nhất:]]</f>
        <v>Đại học</v>
      </c>
      <c r="K101" t="str">
        <f>step3_validation[[#This Row],[Employment]]</f>
        <v>Chính thức</v>
      </c>
      <c r="L101" t="str">
        <f>survey_responses[[#This Row],[Tình trạng việc làm chính:]]</f>
        <v>Khu vực chính thức (Có Hợp đồng lao động, đóng BHXH)</v>
      </c>
      <c r="M101">
        <f>step3_validation[[#This Row],[Income_Mil]]</f>
        <v>16.174908152510046</v>
      </c>
      <c r="N101" t="str">
        <f>survey_responses[[#This Row],[Thu nhập bình quân tháng theo Hợp đồng lao động của bạn là bao nhiêu? (Vui lòng điền tổng thu nhập trước khi khấu trừ các loại Bảo hiểm (BHXH, BHYT, BHTN) và Thuế TNCN)]]</f>
        <v>Từ 12 - 18 triệu VNĐ</v>
      </c>
      <c r="O101">
        <f>step3_validation[[#This Row],[Dependents]]</f>
        <v>1</v>
      </c>
      <c r="P101" t="str">
        <f>survey_responses[[#This Row],[Số người phụ thuộc (con nhỏ, cha mẹ già...) đủ điều kiện giảm trừ gia cảnh:]]</f>
        <v>1 người</v>
      </c>
      <c r="Q101">
        <f>step3_validation[[#This Row],[AI_ENF1]]</f>
        <v>7</v>
      </c>
      <c r="R101" t="str">
        <f t="shared" si="27"/>
        <v>Neutral</v>
      </c>
      <c r="S101">
        <f>survey_responses[[#This Row],[Tôi tin rằng với các quy định quản lý thuế hiện nay, hành vi gian lận hoặc trốn thuế sẽ dễ dàng bị phát hiện và xử lý nghiêm. - HUMAN-ENF1]]</f>
        <v>8</v>
      </c>
      <c r="T101" t="str">
        <f t="shared" si="28"/>
        <v>Support</v>
      </c>
      <c r="U101" s="32">
        <f t="shared" si="29"/>
        <v>1</v>
      </c>
      <c r="V101">
        <f>step3_validation[[#This Row],[AI_ENF2]]</f>
        <v>6</v>
      </c>
      <c r="W101" t="str">
        <f t="shared" si="30"/>
        <v>Neutral</v>
      </c>
      <c r="X101">
        <f>survey_responses[[#This Row],[Tôi tin rằng Nhà nước, cơ quan thuế có đủ khả năng và công nghệ để phát hiện, xử lý nghiêm các hành vi trốn thuế. - HUMAN-ENF2]]</f>
        <v>8</v>
      </c>
      <c r="Y101" t="str">
        <f t="shared" si="31"/>
        <v>Support</v>
      </c>
      <c r="Z101" s="32">
        <f t="shared" si="32"/>
        <v>2</v>
      </c>
      <c r="AA101">
        <f>step3_validation[[#This Row],[AI_FAC1]]</f>
        <v>5</v>
      </c>
      <c r="AB101" t="str">
        <f t="shared" si="33"/>
        <v>Neutral</v>
      </c>
      <c r="AC101">
        <f>survey_responses[[#This Row],[Các thủ tục khai báo thuế VÀ/HOẶC quy trình làm việc với cơ quan thuế đơn giản, tiện lợi, nhanh chóng hơn so với trước đây. - HUMAN-FAC1]]</f>
        <v>8</v>
      </c>
      <c r="AD101" t="str">
        <f t="shared" si="34"/>
        <v>Support</v>
      </c>
      <c r="AE101" s="32">
        <f t="shared" si="35"/>
        <v>3</v>
      </c>
      <c r="AF101">
        <f>step3_validation[[#This Row],[AI_FAC2]]</f>
        <v>8</v>
      </c>
      <c r="AG101" t="str">
        <f t="shared" si="36"/>
        <v>Support</v>
      </c>
      <c r="AH101">
        <f>survey_responses[[#This Row],[So với trước đây, tôi thấy cách tính thuế và các bậc thuế trong phương án mới đơn giản, dễ hiểu và dễ thực hiện hơn. - HUMAN-FAC2]]</f>
        <v>10</v>
      </c>
      <c r="AI101" t="str">
        <f t="shared" si="37"/>
        <v>Support</v>
      </c>
      <c r="AJ101" s="32">
        <f t="shared" si="38"/>
        <v>2</v>
      </c>
      <c r="AK101">
        <f>step3_validation[[#This Row],[AI_TRU1]]</f>
        <v>6</v>
      </c>
      <c r="AL101" t="str">
        <f t="shared" si="39"/>
        <v>Neutral</v>
      </c>
      <c r="AM101">
        <f>survey_responses[[#This Row],[Tôi tin rằng Nhà nước, cơ quan thuế sẽ thực thi chính sách mới một cách khách quan, công tâm và đối xử bình đẳng với mọi người nộp thuế.  - HUMAN-TRU1]]</f>
        <v>10</v>
      </c>
      <c r="AN101" t="str">
        <f t="shared" si="40"/>
        <v>Support</v>
      </c>
      <c r="AO101" s="32">
        <f t="shared" si="41"/>
        <v>4</v>
      </c>
      <c r="AP101">
        <f>step3_validation[[#This Row],[AI_TRU2]]</f>
        <v>9</v>
      </c>
      <c r="AQ101" t="str">
        <f t="shared" si="42"/>
        <v>Support</v>
      </c>
      <c r="AR101">
        <f>survey_responses[[#This Row],[Tôi thấy mức thuế tôi phải đóng theo phương án mới là công bằng (người thu nhập như tôi đóng mức này là hợp lý). - HUMAN-TRU2]]</f>
        <v>10</v>
      </c>
      <c r="AS101" t="str">
        <f t="shared" si="43"/>
        <v>Support</v>
      </c>
      <c r="AT101" s="32">
        <f t="shared" si="44"/>
        <v>1</v>
      </c>
      <c r="AU101">
        <f>step3_validation[[#This Row],[AI_TRU3]]</f>
        <v>6</v>
      </c>
      <c r="AV101" t="str">
        <f t="shared" si="45"/>
        <v>Neutral</v>
      </c>
      <c r="AW101">
        <f>survey_responses[[#This Row],[Tôi tin tưởng số tiền thuế tôi đóng sẽ được Nhà nước sử dụng hiệu quả để cải thiện dịch vụ công (y tế, đường xá...). - HUMAN-TRU3]]</f>
        <v>10</v>
      </c>
      <c r="AX101" t="str">
        <f t="shared" si="46"/>
        <v>Support</v>
      </c>
      <c r="AY101" s="32">
        <f t="shared" si="47"/>
        <v>4</v>
      </c>
      <c r="AZ101">
        <f>step3_validation[[#This Row],[AI_TRU4]]</f>
        <v>7</v>
      </c>
      <c r="BA101" t="str">
        <f t="shared" si="48"/>
        <v>Neutral</v>
      </c>
      <c r="BB101">
        <f>survey_responses[[#This Row],[Tôi thấy Nhà nước đã giải thích rõ ràng, minh bạch về lý do và mục tiêu của việc sửa đổi thuế lần này. - HUMAN-TRU4]]</f>
        <v>10</v>
      </c>
      <c r="BC101" t="str">
        <f t="shared" si="49"/>
        <v>Support</v>
      </c>
      <c r="BD101" s="32">
        <f t="shared" si="50"/>
        <v>3</v>
      </c>
      <c r="BE101">
        <f>step3_validation[[#This Row],[AI_OUT1]]</f>
        <v>8</v>
      </c>
      <c r="BF101" t="str">
        <f t="shared" si="51"/>
        <v>Support</v>
      </c>
      <c r="BG101">
        <f>survey_responses[[#This Row],[Sau khi xem xét các quyền lợi và nghĩa vụ, bạn có ủng hộ và tuân thủ chính sách mới hiện nay? - HUMAN-OUT1]]</f>
        <v>10</v>
      </c>
      <c r="BH101" t="str">
        <f t="shared" si="52"/>
        <v>Support</v>
      </c>
      <c r="BI101" s="32">
        <f t="shared" si="53"/>
        <v>2</v>
      </c>
    </row>
    <row r="102" spans="1:61" x14ac:dyDescent="0.45">
      <c r="A102" s="30">
        <f>step3_validation[[#This Row],[Persona_ID]]</f>
        <v>101</v>
      </c>
      <c r="B102" s="31">
        <f>step3_validation[[#This Row],[Used_Seed]]</f>
        <v>101</v>
      </c>
      <c r="C102" t="str">
        <f>step3_validation[[#This Row],[Gender]]</f>
        <v>Nữ</v>
      </c>
      <c r="D102" t="str">
        <f>survey_responses[[#This Row],[Giới tính của bạn:]]</f>
        <v>Nữ</v>
      </c>
      <c r="E102" t="str">
        <f>step3_validation[[#This Row],[Age_Group]]</f>
        <v>50 - 54</v>
      </c>
      <c r="F102" t="str">
        <f>survey_responses[[#This Row],[Độ tuổi của bạn:]]</f>
        <v>50 - 54</v>
      </c>
      <c r="G102" t="str">
        <f>step3_validation[[#This Row],[Region]]</f>
        <v>Thành thị</v>
      </c>
      <c r="H102" t="str">
        <f>survey_responses[[#This Row],[Khu vực bạn đang sinh sống:]]</f>
        <v>Thành thị</v>
      </c>
      <c r="I102" t="str">
        <f>step3_validation[[#This Row],[Education]]</f>
        <v>Sau Đại học</v>
      </c>
      <c r="J102" t="str">
        <f>survey_responses[[#This Row],[Trình độ học vấn cao nhất:]]</f>
        <v>Sau Đại học</v>
      </c>
      <c r="K102" t="str">
        <f>step3_validation[[#This Row],[Employment]]</f>
        <v>Chính thức</v>
      </c>
      <c r="L102" t="str">
        <f>survey_responses[[#This Row],[Tình trạng việc làm chính:]]</f>
        <v>Khu vực chính thức (Có Hợp đồng lao động, đóng BHXH)</v>
      </c>
      <c r="M102">
        <f>step3_validation[[#This Row],[Income_Mil]]</f>
        <v>99.24950767392717</v>
      </c>
      <c r="N102" t="str">
        <f>survey_responses[[#This Row],[Thu nhập bình quân tháng theo Hợp đồng lao động của bạn là bao nhiêu? (Vui lòng điền tổng thu nhập trước khi khấu trừ các loại Bảo hiểm (BHXH, BHYT, BHTN) và Thuế TNCN)]]</f>
        <v>Từ 70 - 102 triệu VNĐ</v>
      </c>
      <c r="O102">
        <f>step3_validation[[#This Row],[Dependents]]</f>
        <v>4</v>
      </c>
      <c r="P102" t="str">
        <f>survey_responses[[#This Row],[Số người phụ thuộc (con nhỏ, cha mẹ già...) đủ điều kiện giảm trừ gia cảnh:]]</f>
        <v>4 người trở lên</v>
      </c>
      <c r="Q102">
        <f>step3_validation[[#This Row],[AI_ENF1]]</f>
        <v>8</v>
      </c>
      <c r="R102" t="str">
        <f t="shared" si="27"/>
        <v>Support</v>
      </c>
      <c r="S102">
        <f>survey_responses[[#This Row],[Tôi tin rằng với các quy định quản lý thuế hiện nay, hành vi gian lận hoặc trốn thuế sẽ dễ dàng bị phát hiện và xử lý nghiêm. - HUMAN-ENF1]]</f>
        <v>8</v>
      </c>
      <c r="T102" t="str">
        <f t="shared" si="28"/>
        <v>Support</v>
      </c>
      <c r="U102" s="32">
        <f t="shared" si="29"/>
        <v>0</v>
      </c>
      <c r="V102">
        <f>step3_validation[[#This Row],[AI_ENF2]]</f>
        <v>9</v>
      </c>
      <c r="W102" t="str">
        <f t="shared" si="30"/>
        <v>Support</v>
      </c>
      <c r="X102">
        <f>survey_responses[[#This Row],[Tôi tin rằng Nhà nước, cơ quan thuế có đủ khả năng và công nghệ để phát hiện, xử lý nghiêm các hành vi trốn thuế. - HUMAN-ENF2]]</f>
        <v>8</v>
      </c>
      <c r="Y102" t="str">
        <f t="shared" si="31"/>
        <v>Support</v>
      </c>
      <c r="Z102" s="32">
        <f t="shared" si="32"/>
        <v>1</v>
      </c>
      <c r="AA102">
        <f>step3_validation[[#This Row],[AI_FAC1]]</f>
        <v>9</v>
      </c>
      <c r="AB102" t="str">
        <f t="shared" si="33"/>
        <v>Support</v>
      </c>
      <c r="AC102">
        <f>survey_responses[[#This Row],[Các thủ tục khai báo thuế VÀ/HOẶC quy trình làm việc với cơ quan thuế đơn giản, tiện lợi, nhanh chóng hơn so với trước đây. - HUMAN-FAC1]]</f>
        <v>7</v>
      </c>
      <c r="AD102" t="str">
        <f t="shared" si="34"/>
        <v>Neutral</v>
      </c>
      <c r="AE102" s="32">
        <f t="shared" si="35"/>
        <v>2</v>
      </c>
      <c r="AF102">
        <f>step3_validation[[#This Row],[AI_FAC2]]</f>
        <v>8</v>
      </c>
      <c r="AG102" t="str">
        <f t="shared" si="36"/>
        <v>Support</v>
      </c>
      <c r="AH102">
        <f>survey_responses[[#This Row],[So với trước đây, tôi thấy cách tính thuế và các bậc thuế trong phương án mới đơn giản, dễ hiểu và dễ thực hiện hơn. - HUMAN-FAC2]]</f>
        <v>8</v>
      </c>
      <c r="AI102" t="str">
        <f t="shared" si="37"/>
        <v>Support</v>
      </c>
      <c r="AJ102" s="32">
        <f t="shared" si="38"/>
        <v>0</v>
      </c>
      <c r="AK102">
        <f>step3_validation[[#This Row],[AI_TRU1]]</f>
        <v>9</v>
      </c>
      <c r="AL102" t="str">
        <f t="shared" si="39"/>
        <v>Support</v>
      </c>
      <c r="AM102">
        <f>survey_responses[[#This Row],[Tôi tin rằng Nhà nước, cơ quan thuế sẽ thực thi chính sách mới một cách khách quan, công tâm và đối xử bình đẳng với mọi người nộp thuế.  - HUMAN-TRU1]]</f>
        <v>8</v>
      </c>
      <c r="AN102" t="str">
        <f t="shared" si="40"/>
        <v>Support</v>
      </c>
      <c r="AO102" s="32">
        <f t="shared" si="41"/>
        <v>1</v>
      </c>
      <c r="AP102">
        <f>step3_validation[[#This Row],[AI_TRU2]]</f>
        <v>8</v>
      </c>
      <c r="AQ102" t="str">
        <f t="shared" si="42"/>
        <v>Support</v>
      </c>
      <c r="AR102">
        <f>survey_responses[[#This Row],[Tôi thấy mức thuế tôi phải đóng theo phương án mới là công bằng (người thu nhập như tôi đóng mức này là hợp lý). - HUMAN-TRU2]]</f>
        <v>7</v>
      </c>
      <c r="AS102" t="str">
        <f t="shared" si="43"/>
        <v>Neutral</v>
      </c>
      <c r="AT102" s="32">
        <f t="shared" si="44"/>
        <v>1</v>
      </c>
      <c r="AU102">
        <f>step3_validation[[#This Row],[AI_TRU3]]</f>
        <v>9</v>
      </c>
      <c r="AV102" t="str">
        <f t="shared" si="45"/>
        <v>Support</v>
      </c>
      <c r="AW102">
        <f>survey_responses[[#This Row],[Tôi tin tưởng số tiền thuế tôi đóng sẽ được Nhà nước sử dụng hiệu quả để cải thiện dịch vụ công (y tế, đường xá...). - HUMAN-TRU3]]</f>
        <v>7</v>
      </c>
      <c r="AX102" t="str">
        <f t="shared" si="46"/>
        <v>Neutral</v>
      </c>
      <c r="AY102" s="32">
        <f t="shared" si="47"/>
        <v>2</v>
      </c>
      <c r="AZ102">
        <f>step3_validation[[#This Row],[AI_TRU4]]</f>
        <v>7</v>
      </c>
      <c r="BA102" t="str">
        <f t="shared" si="48"/>
        <v>Neutral</v>
      </c>
      <c r="BB102">
        <f>survey_responses[[#This Row],[Tôi thấy Nhà nước đã giải thích rõ ràng, minh bạch về lý do và mục tiêu của việc sửa đổi thuế lần này. - HUMAN-TRU4]]</f>
        <v>7</v>
      </c>
      <c r="BC102" t="str">
        <f t="shared" si="49"/>
        <v>Neutral</v>
      </c>
      <c r="BD102" s="32">
        <f t="shared" si="50"/>
        <v>0</v>
      </c>
      <c r="BE102">
        <f>step3_validation[[#This Row],[AI_OUT1]]</f>
        <v>8</v>
      </c>
      <c r="BF102" t="str">
        <f t="shared" si="51"/>
        <v>Support</v>
      </c>
      <c r="BG102">
        <f>survey_responses[[#This Row],[Sau khi xem xét các quyền lợi và nghĩa vụ, bạn có ủng hộ và tuân thủ chính sách mới hiện nay? - HUMAN-OUT1]]</f>
        <v>8</v>
      </c>
      <c r="BH102" t="str">
        <f t="shared" si="52"/>
        <v>Support</v>
      </c>
      <c r="BI102" s="32">
        <f t="shared" si="53"/>
        <v>0</v>
      </c>
    </row>
    <row r="103" spans="1:61" x14ac:dyDescent="0.45">
      <c r="A103" s="30">
        <f>step3_validation[[#This Row],[Persona_ID]]</f>
        <v>102</v>
      </c>
      <c r="B103" s="31">
        <f>step3_validation[[#This Row],[Used_Seed]]</f>
        <v>102</v>
      </c>
      <c r="C103" t="str">
        <f>step3_validation[[#This Row],[Gender]]</f>
        <v>Nam</v>
      </c>
      <c r="D103" t="str">
        <f>survey_responses[[#This Row],[Giới tính của bạn:]]</f>
        <v>Nam</v>
      </c>
      <c r="E103" t="str">
        <f>step3_validation[[#This Row],[Age_Group]]</f>
        <v>18 - 24</v>
      </c>
      <c r="F103" t="str">
        <f>survey_responses[[#This Row],[Độ tuổi của bạn:]]</f>
        <v>18 - 24</v>
      </c>
      <c r="G103" t="str">
        <f>step3_validation[[#This Row],[Region]]</f>
        <v>Thành thị</v>
      </c>
      <c r="H103" t="str">
        <f>survey_responses[[#This Row],[Khu vực bạn đang sinh sống:]]</f>
        <v>Thành thị</v>
      </c>
      <c r="I103" t="str">
        <f>step3_validation[[#This Row],[Education]]</f>
        <v>Đại học</v>
      </c>
      <c r="J103" t="str">
        <f>survey_responses[[#This Row],[Trình độ học vấn cao nhất:]]</f>
        <v>Đại học</v>
      </c>
      <c r="K103" t="str">
        <f>step3_validation[[#This Row],[Employment]]</f>
        <v>Chính thức</v>
      </c>
      <c r="L103" t="str">
        <f>survey_responses[[#This Row],[Tình trạng việc làm chính:]]</f>
        <v>Khu vực chính thức (Có Hợp đồng lao động, đóng BHXH)</v>
      </c>
      <c r="M103">
        <f>step3_validation[[#This Row],[Income_Mil]]</f>
        <v>12.799955725021519</v>
      </c>
      <c r="N103" t="str">
        <f>survey_responses[[#This Row],[Thu nhập bình quân tháng theo Hợp đồng lao động của bạn là bao nhiêu? (Vui lòng điền tổng thu nhập trước khi khấu trừ các loại Bảo hiểm (BHXH, BHYT, BHTN) và Thuế TNCN)]]</f>
        <v>Từ 12 - 18 triệu VNĐ</v>
      </c>
      <c r="O103">
        <f>step3_validation[[#This Row],[Dependents]]</f>
        <v>0</v>
      </c>
      <c r="P103" t="str">
        <f>survey_responses[[#This Row],[Số người phụ thuộc (con nhỏ, cha mẹ già...) đủ điều kiện giảm trừ gia cảnh:]]</f>
        <v>0 người</v>
      </c>
      <c r="Q103">
        <f>step3_validation[[#This Row],[AI_ENF1]]</f>
        <v>7</v>
      </c>
      <c r="R103" t="str">
        <f t="shared" si="27"/>
        <v>Neutral</v>
      </c>
      <c r="S103">
        <f>survey_responses[[#This Row],[Tôi tin rằng với các quy định quản lý thuế hiện nay, hành vi gian lận hoặc trốn thuế sẽ dễ dàng bị phát hiện và xử lý nghiêm. - HUMAN-ENF1]]</f>
        <v>5</v>
      </c>
      <c r="T103" t="str">
        <f t="shared" si="28"/>
        <v>Neutral</v>
      </c>
      <c r="U103" s="32">
        <f t="shared" si="29"/>
        <v>2</v>
      </c>
      <c r="V103">
        <f>step3_validation[[#This Row],[AI_ENF2]]</f>
        <v>7</v>
      </c>
      <c r="W103" t="str">
        <f t="shared" si="30"/>
        <v>Neutral</v>
      </c>
      <c r="X103">
        <f>survey_responses[[#This Row],[Tôi tin rằng Nhà nước, cơ quan thuế có đủ khả năng và công nghệ để phát hiện, xử lý nghiêm các hành vi trốn thuế. - HUMAN-ENF2]]</f>
        <v>5</v>
      </c>
      <c r="Y103" t="str">
        <f t="shared" si="31"/>
        <v>Neutral</v>
      </c>
      <c r="Z103" s="32">
        <f t="shared" si="32"/>
        <v>2</v>
      </c>
      <c r="AA103">
        <f>step3_validation[[#This Row],[AI_FAC1]]</f>
        <v>9</v>
      </c>
      <c r="AB103" t="str">
        <f t="shared" si="33"/>
        <v>Support</v>
      </c>
      <c r="AC103">
        <f>survey_responses[[#This Row],[Các thủ tục khai báo thuế VÀ/HOẶC quy trình làm việc với cơ quan thuế đơn giản, tiện lợi, nhanh chóng hơn so với trước đây. - HUMAN-FAC1]]</f>
        <v>5</v>
      </c>
      <c r="AD103" t="str">
        <f t="shared" si="34"/>
        <v>Neutral</v>
      </c>
      <c r="AE103" s="32">
        <f t="shared" si="35"/>
        <v>4</v>
      </c>
      <c r="AF103">
        <f>step3_validation[[#This Row],[AI_FAC2]]</f>
        <v>9</v>
      </c>
      <c r="AG103" t="str">
        <f t="shared" si="36"/>
        <v>Support</v>
      </c>
      <c r="AH103">
        <f>survey_responses[[#This Row],[So với trước đây, tôi thấy cách tính thuế và các bậc thuế trong phương án mới đơn giản, dễ hiểu và dễ thực hiện hơn. - HUMAN-FAC2]]</f>
        <v>5</v>
      </c>
      <c r="AI103" t="str">
        <f t="shared" si="37"/>
        <v>Neutral</v>
      </c>
      <c r="AJ103" s="32">
        <f t="shared" si="38"/>
        <v>4</v>
      </c>
      <c r="AK103">
        <f>step3_validation[[#This Row],[AI_TRU1]]</f>
        <v>7</v>
      </c>
      <c r="AL103" t="str">
        <f t="shared" si="39"/>
        <v>Neutral</v>
      </c>
      <c r="AM103">
        <f>survey_responses[[#This Row],[Tôi tin rằng Nhà nước, cơ quan thuế sẽ thực thi chính sách mới một cách khách quan, công tâm và đối xử bình đẳng với mọi người nộp thuế.  - HUMAN-TRU1]]</f>
        <v>5</v>
      </c>
      <c r="AN103" t="str">
        <f t="shared" si="40"/>
        <v>Neutral</v>
      </c>
      <c r="AO103" s="32">
        <f t="shared" si="41"/>
        <v>2</v>
      </c>
      <c r="AP103">
        <f>step3_validation[[#This Row],[AI_TRU2]]</f>
        <v>8</v>
      </c>
      <c r="AQ103" t="str">
        <f t="shared" si="42"/>
        <v>Support</v>
      </c>
      <c r="AR103">
        <f>survey_responses[[#This Row],[Tôi thấy mức thuế tôi phải đóng theo phương án mới là công bằng (người thu nhập như tôi đóng mức này là hợp lý). - HUMAN-TRU2]]</f>
        <v>5</v>
      </c>
      <c r="AS103" t="str">
        <f t="shared" si="43"/>
        <v>Neutral</v>
      </c>
      <c r="AT103" s="32">
        <f t="shared" si="44"/>
        <v>3</v>
      </c>
      <c r="AU103">
        <f>step3_validation[[#This Row],[AI_TRU3]]</f>
        <v>6</v>
      </c>
      <c r="AV103" t="str">
        <f t="shared" si="45"/>
        <v>Neutral</v>
      </c>
      <c r="AW103">
        <f>survey_responses[[#This Row],[Tôi tin tưởng số tiền thuế tôi đóng sẽ được Nhà nước sử dụng hiệu quả để cải thiện dịch vụ công (y tế, đường xá...). - HUMAN-TRU3]]</f>
        <v>5</v>
      </c>
      <c r="AX103" t="str">
        <f t="shared" si="46"/>
        <v>Neutral</v>
      </c>
      <c r="AY103" s="32">
        <f t="shared" si="47"/>
        <v>1</v>
      </c>
      <c r="AZ103">
        <f>step3_validation[[#This Row],[AI_TRU4]]</f>
        <v>7</v>
      </c>
      <c r="BA103" t="str">
        <f t="shared" si="48"/>
        <v>Neutral</v>
      </c>
      <c r="BB103">
        <f>survey_responses[[#This Row],[Tôi thấy Nhà nước đã giải thích rõ ràng, minh bạch về lý do và mục tiêu của việc sửa đổi thuế lần này. - HUMAN-TRU4]]</f>
        <v>5</v>
      </c>
      <c r="BC103" t="str">
        <f t="shared" si="49"/>
        <v>Neutral</v>
      </c>
      <c r="BD103" s="32">
        <f t="shared" si="50"/>
        <v>2</v>
      </c>
      <c r="BE103">
        <f>step3_validation[[#This Row],[AI_OUT1]]</f>
        <v>8</v>
      </c>
      <c r="BF103" t="str">
        <f t="shared" si="51"/>
        <v>Support</v>
      </c>
      <c r="BG103">
        <f>survey_responses[[#This Row],[Sau khi xem xét các quyền lợi và nghĩa vụ, bạn có ủng hộ và tuân thủ chính sách mới hiện nay? - HUMAN-OUT1]]</f>
        <v>5</v>
      </c>
      <c r="BH103" t="str">
        <f t="shared" si="52"/>
        <v>Neutral</v>
      </c>
      <c r="BI103" s="32">
        <f t="shared" si="53"/>
        <v>3</v>
      </c>
    </row>
    <row r="104" spans="1:61" x14ac:dyDescent="0.45">
      <c r="A104" s="30">
        <f>step3_validation[[#This Row],[Persona_ID]]</f>
        <v>103</v>
      </c>
      <c r="B104" s="31">
        <f>step3_validation[[#This Row],[Used_Seed]]</f>
        <v>103</v>
      </c>
      <c r="C104" t="str">
        <f>step3_validation[[#This Row],[Gender]]</f>
        <v>Nữ</v>
      </c>
      <c r="D104" t="str">
        <f>survey_responses[[#This Row],[Giới tính của bạn:]]</f>
        <v>Nữ</v>
      </c>
      <c r="E104" t="str">
        <f>step3_validation[[#This Row],[Age_Group]]</f>
        <v>55 - 64</v>
      </c>
      <c r="F104" t="str">
        <f>survey_responses[[#This Row],[Độ tuổi của bạn:]]</f>
        <v>55 - 64</v>
      </c>
      <c r="G104" t="str">
        <f>step3_validation[[#This Row],[Region]]</f>
        <v>Thành thị</v>
      </c>
      <c r="H104" t="str">
        <f>survey_responses[[#This Row],[Khu vực bạn đang sinh sống:]]</f>
        <v>Thành thị</v>
      </c>
      <c r="I104" t="str">
        <f>step3_validation[[#This Row],[Education]]</f>
        <v>Đại học</v>
      </c>
      <c r="J104" t="str">
        <f>survey_responses[[#This Row],[Trình độ học vấn cao nhất:]]</f>
        <v>Đại học</v>
      </c>
      <c r="K104" t="str">
        <f>step3_validation[[#This Row],[Employment]]</f>
        <v>Chính thức</v>
      </c>
      <c r="L104" t="str">
        <f>survey_responses[[#This Row],[Tình trạng việc làm chính:]]</f>
        <v>Khu vực chính thức (Có Hợp đồng lao động, đóng BHXH)</v>
      </c>
      <c r="M104">
        <f>step3_validation[[#This Row],[Income_Mil]]</f>
        <v>36.690248490844212</v>
      </c>
      <c r="N104" t="str">
        <f>survey_responses[[#This Row],[Thu nhập bình quân tháng theo Hợp đồng lao động của bạn là bao nhiêu? (Vui lòng điền tổng thu nhập trước khi khấu trừ các loại Bảo hiểm (BHXH, BHYT, BHTN) và Thuế TNCN)]]</f>
        <v>Từ 32 - 48 triệu VNĐ</v>
      </c>
      <c r="O104">
        <f>step3_validation[[#This Row],[Dependents]]</f>
        <v>2</v>
      </c>
      <c r="P104" t="str">
        <f>survey_responses[[#This Row],[Số người phụ thuộc (con nhỏ, cha mẹ già...) đủ điều kiện giảm trừ gia cảnh:]]</f>
        <v>2 người</v>
      </c>
      <c r="Q104">
        <f>step3_validation[[#This Row],[AI_ENF1]]</f>
        <v>9</v>
      </c>
      <c r="R104" t="str">
        <f t="shared" si="27"/>
        <v>Support</v>
      </c>
      <c r="S104">
        <f>survey_responses[[#This Row],[Tôi tin rằng với các quy định quản lý thuế hiện nay, hành vi gian lận hoặc trốn thuế sẽ dễ dàng bị phát hiện và xử lý nghiêm. - HUMAN-ENF1]]</f>
        <v>8</v>
      </c>
      <c r="T104" t="str">
        <f t="shared" si="28"/>
        <v>Support</v>
      </c>
      <c r="U104" s="32">
        <f t="shared" si="29"/>
        <v>1</v>
      </c>
      <c r="V104">
        <f>step3_validation[[#This Row],[AI_ENF2]]</f>
        <v>8</v>
      </c>
      <c r="W104" t="str">
        <f t="shared" si="30"/>
        <v>Support</v>
      </c>
      <c r="X104">
        <f>survey_responses[[#This Row],[Tôi tin rằng Nhà nước, cơ quan thuế có đủ khả năng và công nghệ để phát hiện, xử lý nghiêm các hành vi trốn thuế. - HUMAN-ENF2]]</f>
        <v>8</v>
      </c>
      <c r="Y104" t="str">
        <f t="shared" si="31"/>
        <v>Support</v>
      </c>
      <c r="Z104" s="32">
        <f t="shared" si="32"/>
        <v>0</v>
      </c>
      <c r="AA104">
        <f>step3_validation[[#This Row],[AI_FAC1]]</f>
        <v>9</v>
      </c>
      <c r="AB104" t="str">
        <f t="shared" si="33"/>
        <v>Support</v>
      </c>
      <c r="AC104">
        <f>survey_responses[[#This Row],[Các thủ tục khai báo thuế VÀ/HOẶC quy trình làm việc với cơ quan thuế đơn giản, tiện lợi, nhanh chóng hơn so với trước đây. - HUMAN-FAC1]]</f>
        <v>5</v>
      </c>
      <c r="AD104" t="str">
        <f t="shared" si="34"/>
        <v>Neutral</v>
      </c>
      <c r="AE104" s="32">
        <f t="shared" si="35"/>
        <v>4</v>
      </c>
      <c r="AF104">
        <f>step3_validation[[#This Row],[AI_FAC2]]</f>
        <v>10</v>
      </c>
      <c r="AG104" t="str">
        <f t="shared" si="36"/>
        <v>Support</v>
      </c>
      <c r="AH104">
        <f>survey_responses[[#This Row],[So với trước đây, tôi thấy cách tính thuế và các bậc thuế trong phương án mới đơn giản, dễ hiểu và dễ thực hiện hơn. - HUMAN-FAC2]]</f>
        <v>8</v>
      </c>
      <c r="AI104" t="str">
        <f t="shared" si="37"/>
        <v>Support</v>
      </c>
      <c r="AJ104" s="32">
        <f t="shared" si="38"/>
        <v>2</v>
      </c>
      <c r="AK104">
        <f>step3_validation[[#This Row],[AI_TRU1]]</f>
        <v>9</v>
      </c>
      <c r="AL104" t="str">
        <f t="shared" si="39"/>
        <v>Support</v>
      </c>
      <c r="AM104">
        <f>survey_responses[[#This Row],[Tôi tin rằng Nhà nước, cơ quan thuế sẽ thực thi chính sách mới một cách khách quan, công tâm và đối xử bình đẳng với mọi người nộp thuế.  - HUMAN-TRU1]]</f>
        <v>5</v>
      </c>
      <c r="AN104" t="str">
        <f t="shared" si="40"/>
        <v>Neutral</v>
      </c>
      <c r="AO104" s="32">
        <f t="shared" si="41"/>
        <v>4</v>
      </c>
      <c r="AP104">
        <f>step3_validation[[#This Row],[AI_TRU2]]</f>
        <v>8</v>
      </c>
      <c r="AQ104" t="str">
        <f t="shared" si="42"/>
        <v>Support</v>
      </c>
      <c r="AR104">
        <f>survey_responses[[#This Row],[Tôi thấy mức thuế tôi phải đóng theo phương án mới là công bằng (người thu nhập như tôi đóng mức này là hợp lý). - HUMAN-TRU2]]</f>
        <v>5</v>
      </c>
      <c r="AS104" t="str">
        <f t="shared" si="43"/>
        <v>Neutral</v>
      </c>
      <c r="AT104" s="32">
        <f t="shared" si="44"/>
        <v>3</v>
      </c>
      <c r="AU104">
        <f>step3_validation[[#This Row],[AI_TRU3]]</f>
        <v>9</v>
      </c>
      <c r="AV104" t="str">
        <f t="shared" si="45"/>
        <v>Support</v>
      </c>
      <c r="AW104">
        <f>survey_responses[[#This Row],[Tôi tin tưởng số tiền thuế tôi đóng sẽ được Nhà nước sử dụng hiệu quả để cải thiện dịch vụ công (y tế, đường xá...). - HUMAN-TRU3]]</f>
        <v>6</v>
      </c>
      <c r="AX104" t="str">
        <f t="shared" si="46"/>
        <v>Neutral</v>
      </c>
      <c r="AY104" s="32">
        <f t="shared" si="47"/>
        <v>3</v>
      </c>
      <c r="AZ104">
        <f>step3_validation[[#This Row],[AI_TRU4]]</f>
        <v>7</v>
      </c>
      <c r="BA104" t="str">
        <f t="shared" si="48"/>
        <v>Neutral</v>
      </c>
      <c r="BB104">
        <f>survey_responses[[#This Row],[Tôi thấy Nhà nước đã giải thích rõ ràng, minh bạch về lý do và mục tiêu của việc sửa đổi thuế lần này. - HUMAN-TRU4]]</f>
        <v>6</v>
      </c>
      <c r="BC104" t="str">
        <f t="shared" si="49"/>
        <v>Neutral</v>
      </c>
      <c r="BD104" s="32">
        <f t="shared" si="50"/>
        <v>1</v>
      </c>
      <c r="BE104">
        <f>step3_validation[[#This Row],[AI_OUT1]]</f>
        <v>9</v>
      </c>
      <c r="BF104" t="str">
        <f t="shared" si="51"/>
        <v>Support</v>
      </c>
      <c r="BG104">
        <f>survey_responses[[#This Row],[Sau khi xem xét các quyền lợi và nghĩa vụ, bạn có ủng hộ và tuân thủ chính sách mới hiện nay? - HUMAN-OUT1]]</f>
        <v>5</v>
      </c>
      <c r="BH104" t="str">
        <f t="shared" si="52"/>
        <v>Neutral</v>
      </c>
      <c r="BI104" s="32">
        <f t="shared" si="53"/>
        <v>4</v>
      </c>
    </row>
    <row r="105" spans="1:61" x14ac:dyDescent="0.45">
      <c r="A105" s="30">
        <f>step3_validation[[#This Row],[Persona_ID]]</f>
        <v>104</v>
      </c>
      <c r="B105" s="31">
        <f>step3_validation[[#This Row],[Used_Seed]]</f>
        <v>104</v>
      </c>
      <c r="C105" t="str">
        <f>step3_validation[[#This Row],[Gender]]</f>
        <v>Nam</v>
      </c>
      <c r="D105" t="str">
        <f>survey_responses[[#This Row],[Giới tính của bạn:]]</f>
        <v>Nam</v>
      </c>
      <c r="E105" t="str">
        <f>step3_validation[[#This Row],[Age_Group]]</f>
        <v>30 - 39</v>
      </c>
      <c r="F105" t="str">
        <f>survey_responses[[#This Row],[Độ tuổi của bạn:]]</f>
        <v>30 - 39</v>
      </c>
      <c r="G105" t="str">
        <f>step3_validation[[#This Row],[Region]]</f>
        <v>Thành thị</v>
      </c>
      <c r="H105" t="str">
        <f>survey_responses[[#This Row],[Khu vực bạn đang sinh sống:]]</f>
        <v>Thành thị</v>
      </c>
      <c r="I105" t="str">
        <f>step3_validation[[#This Row],[Education]]</f>
        <v>Đại học</v>
      </c>
      <c r="J105" t="str">
        <f>survey_responses[[#This Row],[Trình độ học vấn cao nhất:]]</f>
        <v>Đại học</v>
      </c>
      <c r="K105" t="str">
        <f>step3_validation[[#This Row],[Employment]]</f>
        <v>Chính thức</v>
      </c>
      <c r="L105" t="str">
        <f>survey_responses[[#This Row],[Tình trạng việc làm chính:]]</f>
        <v>Khu vực chính thức (Có Hợp đồng lao động, đóng BHXH)</v>
      </c>
      <c r="M105">
        <f>step3_validation[[#This Row],[Income_Mil]]</f>
        <v>21.354259249478144</v>
      </c>
      <c r="N105" t="str">
        <f>survey_responses[[#This Row],[Thu nhập bình quân tháng theo Hợp đồng lao động của bạn là bao nhiêu? (Vui lòng điền tổng thu nhập trước khi khấu trừ các loại Bảo hiểm (BHXH, BHYT, BHTN) và Thuế TNCN)]]</f>
        <v>Từ 18 - 23 triệu VNĐ</v>
      </c>
      <c r="O105">
        <f>step3_validation[[#This Row],[Dependents]]</f>
        <v>0</v>
      </c>
      <c r="P105" t="str">
        <f>survey_responses[[#This Row],[Số người phụ thuộc (con nhỏ, cha mẹ già...) đủ điều kiện giảm trừ gia cảnh:]]</f>
        <v>0 người</v>
      </c>
      <c r="Q105">
        <f>step3_validation[[#This Row],[AI_ENF1]]</f>
        <v>8</v>
      </c>
      <c r="R105" t="str">
        <f t="shared" si="27"/>
        <v>Support</v>
      </c>
      <c r="S105">
        <f>survey_responses[[#This Row],[Tôi tin rằng với các quy định quản lý thuế hiện nay, hành vi gian lận hoặc trốn thuế sẽ dễ dàng bị phát hiện và xử lý nghiêm. - HUMAN-ENF1]]</f>
        <v>6</v>
      </c>
      <c r="T105" t="str">
        <f t="shared" si="28"/>
        <v>Neutral</v>
      </c>
      <c r="U105" s="32">
        <f t="shared" si="29"/>
        <v>2</v>
      </c>
      <c r="V105">
        <f>step3_validation[[#This Row],[AI_ENF2]]</f>
        <v>9</v>
      </c>
      <c r="W105" t="str">
        <f t="shared" si="30"/>
        <v>Support</v>
      </c>
      <c r="X105">
        <f>survey_responses[[#This Row],[Tôi tin rằng Nhà nước, cơ quan thuế có đủ khả năng và công nghệ để phát hiện, xử lý nghiêm các hành vi trốn thuế. - HUMAN-ENF2]]</f>
        <v>7</v>
      </c>
      <c r="Y105" t="str">
        <f t="shared" si="31"/>
        <v>Neutral</v>
      </c>
      <c r="Z105" s="32">
        <f t="shared" si="32"/>
        <v>2</v>
      </c>
      <c r="AA105">
        <f>step3_validation[[#This Row],[AI_FAC1]]</f>
        <v>8</v>
      </c>
      <c r="AB105" t="str">
        <f t="shared" si="33"/>
        <v>Support</v>
      </c>
      <c r="AC105">
        <f>survey_responses[[#This Row],[Các thủ tục khai báo thuế VÀ/HOẶC quy trình làm việc với cơ quan thuế đơn giản, tiện lợi, nhanh chóng hơn so với trước đây. - HUMAN-FAC1]]</f>
        <v>6</v>
      </c>
      <c r="AD105" t="str">
        <f t="shared" si="34"/>
        <v>Neutral</v>
      </c>
      <c r="AE105" s="32">
        <f t="shared" si="35"/>
        <v>2</v>
      </c>
      <c r="AF105">
        <f>step3_validation[[#This Row],[AI_FAC2]]</f>
        <v>9</v>
      </c>
      <c r="AG105" t="str">
        <f t="shared" si="36"/>
        <v>Support</v>
      </c>
      <c r="AH105">
        <f>survey_responses[[#This Row],[So với trước đây, tôi thấy cách tính thuế và các bậc thuế trong phương án mới đơn giản, dễ hiểu và dễ thực hiện hơn. - HUMAN-FAC2]]</f>
        <v>8</v>
      </c>
      <c r="AI105" t="str">
        <f t="shared" si="37"/>
        <v>Support</v>
      </c>
      <c r="AJ105" s="32">
        <f t="shared" si="38"/>
        <v>1</v>
      </c>
      <c r="AK105">
        <f>step3_validation[[#This Row],[AI_TRU1]]</f>
        <v>8</v>
      </c>
      <c r="AL105" t="str">
        <f t="shared" si="39"/>
        <v>Support</v>
      </c>
      <c r="AM105">
        <f>survey_responses[[#This Row],[Tôi tin rằng Nhà nước, cơ quan thuế sẽ thực thi chính sách mới một cách khách quan, công tâm và đối xử bình đẳng với mọi người nộp thuế.  - HUMAN-TRU1]]</f>
        <v>6</v>
      </c>
      <c r="AN105" t="str">
        <f t="shared" si="40"/>
        <v>Neutral</v>
      </c>
      <c r="AO105" s="32">
        <f t="shared" si="41"/>
        <v>2</v>
      </c>
      <c r="AP105">
        <f>step3_validation[[#This Row],[AI_TRU2]]</f>
        <v>8</v>
      </c>
      <c r="AQ105" t="str">
        <f t="shared" si="42"/>
        <v>Support</v>
      </c>
      <c r="AR105">
        <f>survey_responses[[#This Row],[Tôi thấy mức thuế tôi phải đóng theo phương án mới là công bằng (người thu nhập như tôi đóng mức này là hợp lý). - HUMAN-TRU2]]</f>
        <v>7</v>
      </c>
      <c r="AS105" t="str">
        <f t="shared" si="43"/>
        <v>Neutral</v>
      </c>
      <c r="AT105" s="32">
        <f t="shared" si="44"/>
        <v>1</v>
      </c>
      <c r="AU105">
        <f>step3_validation[[#This Row],[AI_TRU3]]</f>
        <v>9</v>
      </c>
      <c r="AV105" t="str">
        <f t="shared" si="45"/>
        <v>Support</v>
      </c>
      <c r="AW105">
        <f>survey_responses[[#This Row],[Tôi tin tưởng số tiền thuế tôi đóng sẽ được Nhà nước sử dụng hiệu quả để cải thiện dịch vụ công (y tế, đường xá...). - HUMAN-TRU3]]</f>
        <v>6</v>
      </c>
      <c r="AX105" t="str">
        <f t="shared" si="46"/>
        <v>Neutral</v>
      </c>
      <c r="AY105" s="32">
        <f t="shared" si="47"/>
        <v>3</v>
      </c>
      <c r="AZ105">
        <f>step3_validation[[#This Row],[AI_TRU4]]</f>
        <v>8</v>
      </c>
      <c r="BA105" t="str">
        <f t="shared" si="48"/>
        <v>Support</v>
      </c>
      <c r="BB105">
        <f>survey_responses[[#This Row],[Tôi thấy Nhà nước đã giải thích rõ ràng, minh bạch về lý do và mục tiêu của việc sửa đổi thuế lần này. - HUMAN-TRU4]]</f>
        <v>6</v>
      </c>
      <c r="BC105" t="str">
        <f t="shared" si="49"/>
        <v>Neutral</v>
      </c>
      <c r="BD105" s="32">
        <f t="shared" si="50"/>
        <v>2</v>
      </c>
      <c r="BE105">
        <f>step3_validation[[#This Row],[AI_OUT1]]</f>
        <v>9</v>
      </c>
      <c r="BF105" t="str">
        <f t="shared" si="51"/>
        <v>Support</v>
      </c>
      <c r="BG105">
        <f>survey_responses[[#This Row],[Sau khi xem xét các quyền lợi và nghĩa vụ, bạn có ủng hộ và tuân thủ chính sách mới hiện nay? - HUMAN-OUT1]]</f>
        <v>7</v>
      </c>
      <c r="BH105" t="str">
        <f t="shared" si="52"/>
        <v>Neutral</v>
      </c>
      <c r="BI105" s="32">
        <f t="shared" si="53"/>
        <v>2</v>
      </c>
    </row>
    <row r="106" spans="1:61" x14ac:dyDescent="0.45">
      <c r="A106" s="30">
        <f>step3_validation[[#This Row],[Persona_ID]]</f>
        <v>105</v>
      </c>
      <c r="B106" s="31">
        <f>step3_validation[[#This Row],[Used_Seed]]</f>
        <v>105</v>
      </c>
      <c r="C106" t="str">
        <f>step3_validation[[#This Row],[Gender]]</f>
        <v>Nam</v>
      </c>
      <c r="D106" t="str">
        <f>survey_responses[[#This Row],[Giới tính của bạn:]]</f>
        <v>Nam</v>
      </c>
      <c r="E106" t="str">
        <f>step3_validation[[#This Row],[Age_Group]]</f>
        <v>25 - 29</v>
      </c>
      <c r="F106" t="str">
        <f>survey_responses[[#This Row],[Độ tuổi của bạn:]]</f>
        <v>25 - 29</v>
      </c>
      <c r="G106" t="str">
        <f>step3_validation[[#This Row],[Region]]</f>
        <v>Thành thị</v>
      </c>
      <c r="H106" t="str">
        <f>survey_responses[[#This Row],[Khu vực bạn đang sinh sống:]]</f>
        <v>Thành thị</v>
      </c>
      <c r="I106" t="str">
        <f>step3_validation[[#This Row],[Education]]</f>
        <v>Đại học</v>
      </c>
      <c r="J106" t="str">
        <f>survey_responses[[#This Row],[Trình độ học vấn cao nhất:]]</f>
        <v>Đại học</v>
      </c>
      <c r="K106" t="str">
        <f>step3_validation[[#This Row],[Employment]]</f>
        <v>Chính thức</v>
      </c>
      <c r="L106" t="str">
        <f>survey_responses[[#This Row],[Tình trạng việc làm chính:]]</f>
        <v>Khu vực chính thức (Có Hợp đồng lao động, đóng BHXH)</v>
      </c>
      <c r="M106">
        <f>step3_validation[[#This Row],[Income_Mil]]</f>
        <v>15.190976668007723</v>
      </c>
      <c r="N106" t="str">
        <f>survey_responses[[#This Row],[Thu nhập bình quân tháng theo Hợp đồng lao động của bạn là bao nhiêu? (Vui lòng điền tổng thu nhập trước khi khấu trừ các loại Bảo hiểm (BHXH, BHYT, BHTN) và Thuế TNCN)]]</f>
        <v>Từ 12 - 18 triệu VNĐ</v>
      </c>
      <c r="O106">
        <f>step3_validation[[#This Row],[Dependents]]</f>
        <v>1</v>
      </c>
      <c r="P106" t="str">
        <f>survey_responses[[#This Row],[Số người phụ thuộc (con nhỏ, cha mẹ già...) đủ điều kiện giảm trừ gia cảnh:]]</f>
        <v>1 người</v>
      </c>
      <c r="Q106">
        <f>step3_validation[[#This Row],[AI_ENF1]]</f>
        <v>8</v>
      </c>
      <c r="R106" t="str">
        <f t="shared" si="27"/>
        <v>Support</v>
      </c>
      <c r="S106">
        <f>survey_responses[[#This Row],[Tôi tin rằng với các quy định quản lý thuế hiện nay, hành vi gian lận hoặc trốn thuế sẽ dễ dàng bị phát hiện và xử lý nghiêm. - HUMAN-ENF1]]</f>
        <v>9</v>
      </c>
      <c r="T106" t="str">
        <f t="shared" si="28"/>
        <v>Support</v>
      </c>
      <c r="U106" s="32">
        <f t="shared" si="29"/>
        <v>1</v>
      </c>
      <c r="V106">
        <f>step3_validation[[#This Row],[AI_ENF2]]</f>
        <v>8</v>
      </c>
      <c r="W106" t="str">
        <f t="shared" si="30"/>
        <v>Support</v>
      </c>
      <c r="X106">
        <f>survey_responses[[#This Row],[Tôi tin rằng Nhà nước, cơ quan thuế có đủ khả năng và công nghệ để phát hiện, xử lý nghiêm các hành vi trốn thuế. - HUMAN-ENF2]]</f>
        <v>10</v>
      </c>
      <c r="Y106" t="str">
        <f t="shared" si="31"/>
        <v>Support</v>
      </c>
      <c r="Z106" s="32">
        <f t="shared" si="32"/>
        <v>2</v>
      </c>
      <c r="AA106">
        <f>step3_validation[[#This Row],[AI_FAC1]]</f>
        <v>7</v>
      </c>
      <c r="AB106" t="str">
        <f t="shared" si="33"/>
        <v>Neutral</v>
      </c>
      <c r="AC106">
        <f>survey_responses[[#This Row],[Các thủ tục khai báo thuế VÀ/HOẶC quy trình làm việc với cơ quan thuế đơn giản, tiện lợi, nhanh chóng hơn so với trước đây. - HUMAN-FAC1]]</f>
        <v>8</v>
      </c>
      <c r="AD106" t="str">
        <f t="shared" si="34"/>
        <v>Support</v>
      </c>
      <c r="AE106" s="32">
        <f t="shared" si="35"/>
        <v>1</v>
      </c>
      <c r="AF106">
        <f>step3_validation[[#This Row],[AI_FAC2]]</f>
        <v>7</v>
      </c>
      <c r="AG106" t="str">
        <f t="shared" si="36"/>
        <v>Neutral</v>
      </c>
      <c r="AH106">
        <f>survey_responses[[#This Row],[So với trước đây, tôi thấy cách tính thuế và các bậc thuế trong phương án mới đơn giản, dễ hiểu và dễ thực hiện hơn. - HUMAN-FAC2]]</f>
        <v>8</v>
      </c>
      <c r="AI106" t="str">
        <f t="shared" si="37"/>
        <v>Support</v>
      </c>
      <c r="AJ106" s="32">
        <f t="shared" si="38"/>
        <v>1</v>
      </c>
      <c r="AK106">
        <f>step3_validation[[#This Row],[AI_TRU1]]</f>
        <v>6</v>
      </c>
      <c r="AL106" t="str">
        <f t="shared" si="39"/>
        <v>Neutral</v>
      </c>
      <c r="AM106">
        <f>survey_responses[[#This Row],[Tôi tin rằng Nhà nước, cơ quan thuế sẽ thực thi chính sách mới một cách khách quan, công tâm và đối xử bình đẳng với mọi người nộp thuế.  - HUMAN-TRU1]]</f>
        <v>9</v>
      </c>
      <c r="AN106" t="str">
        <f t="shared" si="40"/>
        <v>Support</v>
      </c>
      <c r="AO106" s="32">
        <f t="shared" si="41"/>
        <v>3</v>
      </c>
      <c r="AP106">
        <f>step3_validation[[#This Row],[AI_TRU2]]</f>
        <v>6</v>
      </c>
      <c r="AQ106" t="str">
        <f t="shared" si="42"/>
        <v>Neutral</v>
      </c>
      <c r="AR106">
        <f>survey_responses[[#This Row],[Tôi thấy mức thuế tôi phải đóng theo phương án mới là công bằng (người thu nhập như tôi đóng mức này là hợp lý). - HUMAN-TRU2]]</f>
        <v>9</v>
      </c>
      <c r="AS106" t="str">
        <f t="shared" si="43"/>
        <v>Support</v>
      </c>
      <c r="AT106" s="32">
        <f t="shared" si="44"/>
        <v>3</v>
      </c>
      <c r="AU106">
        <f>step3_validation[[#This Row],[AI_TRU3]]</f>
        <v>6</v>
      </c>
      <c r="AV106" t="str">
        <f t="shared" si="45"/>
        <v>Neutral</v>
      </c>
      <c r="AW106">
        <f>survey_responses[[#This Row],[Tôi tin tưởng số tiền thuế tôi đóng sẽ được Nhà nước sử dụng hiệu quả để cải thiện dịch vụ công (y tế, đường xá...). - HUMAN-TRU3]]</f>
        <v>8</v>
      </c>
      <c r="AX106" t="str">
        <f t="shared" si="46"/>
        <v>Support</v>
      </c>
      <c r="AY106" s="32">
        <f t="shared" si="47"/>
        <v>2</v>
      </c>
      <c r="AZ106">
        <f>step3_validation[[#This Row],[AI_TRU4]]</f>
        <v>6</v>
      </c>
      <c r="BA106" t="str">
        <f t="shared" si="48"/>
        <v>Neutral</v>
      </c>
      <c r="BB106">
        <f>survey_responses[[#This Row],[Tôi thấy Nhà nước đã giải thích rõ ràng, minh bạch về lý do và mục tiêu của việc sửa đổi thuế lần này. - HUMAN-TRU4]]</f>
        <v>6</v>
      </c>
      <c r="BC106" t="str">
        <f t="shared" si="49"/>
        <v>Neutral</v>
      </c>
      <c r="BD106" s="32">
        <f t="shared" si="50"/>
        <v>0</v>
      </c>
      <c r="BE106">
        <f>step3_validation[[#This Row],[AI_OUT1]]</f>
        <v>7</v>
      </c>
      <c r="BF106" t="str">
        <f t="shared" si="51"/>
        <v>Neutral</v>
      </c>
      <c r="BG106">
        <f>survey_responses[[#This Row],[Sau khi xem xét các quyền lợi và nghĩa vụ, bạn có ủng hộ và tuân thủ chính sách mới hiện nay? - HUMAN-OUT1]]</f>
        <v>9</v>
      </c>
      <c r="BH106" t="str">
        <f t="shared" si="52"/>
        <v>Support</v>
      </c>
      <c r="BI106" s="32">
        <f t="shared" si="53"/>
        <v>2</v>
      </c>
    </row>
    <row r="107" spans="1:61" x14ac:dyDescent="0.45">
      <c r="A107" s="30">
        <f>step3_validation[[#This Row],[Persona_ID]]</f>
        <v>106</v>
      </c>
      <c r="B107" s="31">
        <f>step3_validation[[#This Row],[Used_Seed]]</f>
        <v>106</v>
      </c>
      <c r="C107" t="str">
        <f>step3_validation[[#This Row],[Gender]]</f>
        <v>Nữ</v>
      </c>
      <c r="D107" t="str">
        <f>survey_responses[[#This Row],[Giới tính của bạn:]]</f>
        <v>Nữ</v>
      </c>
      <c r="E107" t="str">
        <f>step3_validation[[#This Row],[Age_Group]]</f>
        <v>25 - 29</v>
      </c>
      <c r="F107" t="str">
        <f>survey_responses[[#This Row],[Độ tuổi của bạn:]]</f>
        <v>25 - 29</v>
      </c>
      <c r="G107" t="str">
        <f>step3_validation[[#This Row],[Region]]</f>
        <v>Thành thị</v>
      </c>
      <c r="H107" t="str">
        <f>survey_responses[[#This Row],[Khu vực bạn đang sinh sống:]]</f>
        <v>Thành thị</v>
      </c>
      <c r="I107" t="str">
        <f>step3_validation[[#This Row],[Education]]</f>
        <v>Đại học</v>
      </c>
      <c r="J107" t="str">
        <f>survey_responses[[#This Row],[Trình độ học vấn cao nhất:]]</f>
        <v>Đại học</v>
      </c>
      <c r="K107" t="str">
        <f>step3_validation[[#This Row],[Employment]]</f>
        <v>Chính thức</v>
      </c>
      <c r="L107" t="str">
        <f>survey_responses[[#This Row],[Tình trạng việc làm chính:]]</f>
        <v>Khu vực chính thức (Có Hợp đồng lao động, đóng BHXH)</v>
      </c>
      <c r="M107">
        <f>step3_validation[[#This Row],[Income_Mil]]</f>
        <v>12</v>
      </c>
      <c r="N107" t="str">
        <f>survey_responses[[#This Row],[Thu nhập bình quân tháng theo Hợp đồng lao động của bạn là bao nhiêu? (Vui lòng điền tổng thu nhập trước khi khấu trừ các loại Bảo hiểm (BHXH, BHYT, BHTN) và Thuế TNCN)]]</f>
        <v>Dưới 12 triệu VNĐ</v>
      </c>
      <c r="O107">
        <f>step3_validation[[#This Row],[Dependents]]</f>
        <v>0</v>
      </c>
      <c r="P107" t="str">
        <f>survey_responses[[#This Row],[Số người phụ thuộc (con nhỏ, cha mẹ già...) đủ điều kiện giảm trừ gia cảnh:]]</f>
        <v>0 người</v>
      </c>
      <c r="Q107">
        <f>step3_validation[[#This Row],[AI_ENF1]]</f>
        <v>7</v>
      </c>
      <c r="R107" t="str">
        <f t="shared" si="27"/>
        <v>Neutral</v>
      </c>
      <c r="S107">
        <f>survey_responses[[#This Row],[Tôi tin rằng với các quy định quản lý thuế hiện nay, hành vi gian lận hoặc trốn thuế sẽ dễ dàng bị phát hiện và xử lý nghiêm. - HUMAN-ENF1]]</f>
        <v>10</v>
      </c>
      <c r="T107" t="str">
        <f t="shared" si="28"/>
        <v>Support</v>
      </c>
      <c r="U107" s="32">
        <f t="shared" si="29"/>
        <v>3</v>
      </c>
      <c r="V107">
        <f>step3_validation[[#This Row],[AI_ENF2]]</f>
        <v>8</v>
      </c>
      <c r="W107" t="str">
        <f t="shared" si="30"/>
        <v>Support</v>
      </c>
      <c r="X107">
        <f>survey_responses[[#This Row],[Tôi tin rằng Nhà nước, cơ quan thuế có đủ khả năng và công nghệ để phát hiện, xử lý nghiêm các hành vi trốn thuế. - HUMAN-ENF2]]</f>
        <v>5</v>
      </c>
      <c r="Y107" t="str">
        <f t="shared" si="31"/>
        <v>Neutral</v>
      </c>
      <c r="Z107" s="32">
        <f t="shared" si="32"/>
        <v>3</v>
      </c>
      <c r="AA107">
        <f>step3_validation[[#This Row],[AI_FAC1]]</f>
        <v>7</v>
      </c>
      <c r="AB107" t="str">
        <f t="shared" si="33"/>
        <v>Neutral</v>
      </c>
      <c r="AC107">
        <f>survey_responses[[#This Row],[Các thủ tục khai báo thuế VÀ/HOẶC quy trình làm việc với cơ quan thuế đơn giản, tiện lợi, nhanh chóng hơn so với trước đây. - HUMAN-FAC1]]</f>
        <v>8</v>
      </c>
      <c r="AD107" t="str">
        <f t="shared" si="34"/>
        <v>Support</v>
      </c>
      <c r="AE107" s="32">
        <f t="shared" si="35"/>
        <v>1</v>
      </c>
      <c r="AF107">
        <f>step3_validation[[#This Row],[AI_FAC2]]</f>
        <v>9</v>
      </c>
      <c r="AG107" t="str">
        <f t="shared" si="36"/>
        <v>Support</v>
      </c>
      <c r="AH107">
        <f>survey_responses[[#This Row],[So với trước đây, tôi thấy cách tính thuế và các bậc thuế trong phương án mới đơn giản, dễ hiểu và dễ thực hiện hơn. - HUMAN-FAC2]]</f>
        <v>8</v>
      </c>
      <c r="AI107" t="str">
        <f t="shared" si="37"/>
        <v>Support</v>
      </c>
      <c r="AJ107" s="32">
        <f t="shared" si="38"/>
        <v>1</v>
      </c>
      <c r="AK107">
        <f>step3_validation[[#This Row],[AI_TRU1]]</f>
        <v>6</v>
      </c>
      <c r="AL107" t="str">
        <f t="shared" si="39"/>
        <v>Neutral</v>
      </c>
      <c r="AM107">
        <f>survey_responses[[#This Row],[Tôi tin rằng Nhà nước, cơ quan thuế sẽ thực thi chính sách mới một cách khách quan, công tâm và đối xử bình đẳng với mọi người nộp thuế.  - HUMAN-TRU1]]</f>
        <v>10</v>
      </c>
      <c r="AN107" t="str">
        <f t="shared" si="40"/>
        <v>Support</v>
      </c>
      <c r="AO107" s="32">
        <f t="shared" si="41"/>
        <v>4</v>
      </c>
      <c r="AP107">
        <f>step3_validation[[#This Row],[AI_TRU2]]</f>
        <v>8</v>
      </c>
      <c r="AQ107" t="str">
        <f t="shared" si="42"/>
        <v>Support</v>
      </c>
      <c r="AR107">
        <f>survey_responses[[#This Row],[Tôi thấy mức thuế tôi phải đóng theo phương án mới là công bằng (người thu nhập như tôi đóng mức này là hợp lý). - HUMAN-TRU2]]</f>
        <v>10</v>
      </c>
      <c r="AS107" t="str">
        <f t="shared" si="43"/>
        <v>Support</v>
      </c>
      <c r="AT107" s="32">
        <f t="shared" si="44"/>
        <v>2</v>
      </c>
      <c r="AU107">
        <f>step3_validation[[#This Row],[AI_TRU3]]</f>
        <v>7</v>
      </c>
      <c r="AV107" t="str">
        <f t="shared" si="45"/>
        <v>Neutral</v>
      </c>
      <c r="AW107">
        <f>survey_responses[[#This Row],[Tôi tin tưởng số tiền thuế tôi đóng sẽ được Nhà nước sử dụng hiệu quả để cải thiện dịch vụ công (y tế, đường xá...). - HUMAN-TRU3]]</f>
        <v>10</v>
      </c>
      <c r="AX107" t="str">
        <f t="shared" si="46"/>
        <v>Support</v>
      </c>
      <c r="AY107" s="32">
        <f t="shared" si="47"/>
        <v>3</v>
      </c>
      <c r="AZ107">
        <f>step3_validation[[#This Row],[AI_TRU4]]</f>
        <v>8</v>
      </c>
      <c r="BA107" t="str">
        <f t="shared" si="48"/>
        <v>Support</v>
      </c>
      <c r="BB107">
        <f>survey_responses[[#This Row],[Tôi thấy Nhà nước đã giải thích rõ ràng, minh bạch về lý do và mục tiêu của việc sửa đổi thuế lần này. - HUMAN-TRU4]]</f>
        <v>10</v>
      </c>
      <c r="BC107" t="str">
        <f t="shared" si="49"/>
        <v>Support</v>
      </c>
      <c r="BD107" s="32">
        <f t="shared" si="50"/>
        <v>2</v>
      </c>
      <c r="BE107">
        <f>step3_validation[[#This Row],[AI_OUT1]]</f>
        <v>9</v>
      </c>
      <c r="BF107" t="str">
        <f t="shared" si="51"/>
        <v>Support</v>
      </c>
      <c r="BG107">
        <f>survey_responses[[#This Row],[Sau khi xem xét các quyền lợi và nghĩa vụ, bạn có ủng hộ và tuân thủ chính sách mới hiện nay? - HUMAN-OUT1]]</f>
        <v>10</v>
      </c>
      <c r="BH107" t="str">
        <f t="shared" si="52"/>
        <v>Support</v>
      </c>
      <c r="BI107" s="32">
        <f t="shared" si="53"/>
        <v>1</v>
      </c>
    </row>
    <row r="108" spans="1:61" x14ac:dyDescent="0.45">
      <c r="A108" s="30">
        <f>step3_validation[[#This Row],[Persona_ID]]</f>
        <v>107</v>
      </c>
      <c r="B108" s="31">
        <f>step3_validation[[#This Row],[Used_Seed]]</f>
        <v>107</v>
      </c>
      <c r="C108" t="str">
        <f>step3_validation[[#This Row],[Gender]]</f>
        <v>Nữ</v>
      </c>
      <c r="D108" t="str">
        <f>survey_responses[[#This Row],[Giới tính của bạn:]]</f>
        <v>Nữ</v>
      </c>
      <c r="E108" t="str">
        <f>step3_validation[[#This Row],[Age_Group]]</f>
        <v>40 - 49</v>
      </c>
      <c r="F108" t="str">
        <f>survey_responses[[#This Row],[Độ tuổi của bạn:]]</f>
        <v>40 - 49</v>
      </c>
      <c r="G108" t="str">
        <f>step3_validation[[#This Row],[Region]]</f>
        <v>Thành thị</v>
      </c>
      <c r="H108" t="str">
        <f>survey_responses[[#This Row],[Khu vực bạn đang sinh sống:]]</f>
        <v>Thành thị</v>
      </c>
      <c r="I108" t="str">
        <f>step3_validation[[#This Row],[Education]]</f>
        <v>Đại học</v>
      </c>
      <c r="J108" t="str">
        <f>survey_responses[[#This Row],[Trình độ học vấn cao nhất:]]</f>
        <v>Đại học</v>
      </c>
      <c r="K108" t="str">
        <f>step3_validation[[#This Row],[Employment]]</f>
        <v>Chính thức</v>
      </c>
      <c r="L108" t="str">
        <f>survey_responses[[#This Row],[Tình trạng việc làm chính:]]</f>
        <v>Khu vực chính thức (Có Hợp đồng lao động, đóng BHXH)</v>
      </c>
      <c r="M108">
        <f>step3_validation[[#This Row],[Income_Mil]]</f>
        <v>28.188287355202064</v>
      </c>
      <c r="N108" t="str">
        <f>survey_responses[[#This Row],[Thu nhập bình quân tháng theo Hợp đồng lao động của bạn là bao nhiêu? (Vui lòng điền tổng thu nhập trước khi khấu trừ các loại Bảo hiểm (BHXH, BHYT, BHTN) và Thuế TNCN)]]</f>
        <v>Từ 23 - 32 triệu VNĐ</v>
      </c>
      <c r="O108">
        <f>step3_validation[[#This Row],[Dependents]]</f>
        <v>1</v>
      </c>
      <c r="P108" t="str">
        <f>survey_responses[[#This Row],[Số người phụ thuộc (con nhỏ, cha mẹ già...) đủ điều kiện giảm trừ gia cảnh:]]</f>
        <v>1 người</v>
      </c>
      <c r="Q108">
        <f>step3_validation[[#This Row],[AI_ENF1]]</f>
        <v>7</v>
      </c>
      <c r="R108" t="str">
        <f t="shared" si="27"/>
        <v>Neutral</v>
      </c>
      <c r="S108">
        <f>survey_responses[[#This Row],[Tôi tin rằng với các quy định quản lý thuế hiện nay, hành vi gian lận hoặc trốn thuế sẽ dễ dàng bị phát hiện và xử lý nghiêm. - HUMAN-ENF1]]</f>
        <v>7</v>
      </c>
      <c r="T108" t="str">
        <f t="shared" si="28"/>
        <v>Neutral</v>
      </c>
      <c r="U108" s="32">
        <f t="shared" si="29"/>
        <v>0</v>
      </c>
      <c r="V108">
        <f>step3_validation[[#This Row],[AI_ENF2]]</f>
        <v>8</v>
      </c>
      <c r="W108" t="str">
        <f t="shared" si="30"/>
        <v>Support</v>
      </c>
      <c r="X108">
        <f>survey_responses[[#This Row],[Tôi tin rằng Nhà nước, cơ quan thuế có đủ khả năng và công nghệ để phát hiện, xử lý nghiêm các hành vi trốn thuế. - HUMAN-ENF2]]</f>
        <v>7</v>
      </c>
      <c r="Y108" t="str">
        <f t="shared" si="31"/>
        <v>Neutral</v>
      </c>
      <c r="Z108" s="32">
        <f t="shared" si="32"/>
        <v>1</v>
      </c>
      <c r="AA108">
        <f>step3_validation[[#This Row],[AI_FAC1]]</f>
        <v>9</v>
      </c>
      <c r="AB108" t="str">
        <f t="shared" si="33"/>
        <v>Support</v>
      </c>
      <c r="AC108">
        <f>survey_responses[[#This Row],[Các thủ tục khai báo thuế VÀ/HOẶC quy trình làm việc với cơ quan thuế đơn giản, tiện lợi, nhanh chóng hơn so với trước đây. - HUMAN-FAC1]]</f>
        <v>7</v>
      </c>
      <c r="AD108" t="str">
        <f t="shared" si="34"/>
        <v>Neutral</v>
      </c>
      <c r="AE108" s="32">
        <f t="shared" si="35"/>
        <v>2</v>
      </c>
      <c r="AF108">
        <f>step3_validation[[#This Row],[AI_FAC2]]</f>
        <v>10</v>
      </c>
      <c r="AG108" t="str">
        <f t="shared" si="36"/>
        <v>Support</v>
      </c>
      <c r="AH108">
        <f>survey_responses[[#This Row],[So với trước đây, tôi thấy cách tính thuế và các bậc thuế trong phương án mới đơn giản, dễ hiểu và dễ thực hiện hơn. - HUMAN-FAC2]]</f>
        <v>7</v>
      </c>
      <c r="AI108" t="str">
        <f t="shared" si="37"/>
        <v>Neutral</v>
      </c>
      <c r="AJ108" s="32">
        <f t="shared" si="38"/>
        <v>3</v>
      </c>
      <c r="AK108">
        <f>step3_validation[[#This Row],[AI_TRU1]]</f>
        <v>6</v>
      </c>
      <c r="AL108" t="str">
        <f t="shared" si="39"/>
        <v>Neutral</v>
      </c>
      <c r="AM108">
        <f>survey_responses[[#This Row],[Tôi tin rằng Nhà nước, cơ quan thuế sẽ thực thi chính sách mới một cách khách quan, công tâm và đối xử bình đẳng với mọi người nộp thuế.  - HUMAN-TRU1]]</f>
        <v>7</v>
      </c>
      <c r="AN108" t="str">
        <f t="shared" si="40"/>
        <v>Neutral</v>
      </c>
      <c r="AO108" s="32">
        <f t="shared" si="41"/>
        <v>1</v>
      </c>
      <c r="AP108">
        <f>step3_validation[[#This Row],[AI_TRU2]]</f>
        <v>9</v>
      </c>
      <c r="AQ108" t="str">
        <f t="shared" si="42"/>
        <v>Support</v>
      </c>
      <c r="AR108">
        <f>survey_responses[[#This Row],[Tôi thấy mức thuế tôi phải đóng theo phương án mới là công bằng (người thu nhập như tôi đóng mức này là hợp lý). - HUMAN-TRU2]]</f>
        <v>7</v>
      </c>
      <c r="AS108" t="str">
        <f t="shared" si="43"/>
        <v>Neutral</v>
      </c>
      <c r="AT108" s="32">
        <f t="shared" si="44"/>
        <v>2</v>
      </c>
      <c r="AU108">
        <f>step3_validation[[#This Row],[AI_TRU3]]</f>
        <v>8</v>
      </c>
      <c r="AV108" t="str">
        <f t="shared" si="45"/>
        <v>Support</v>
      </c>
      <c r="AW108">
        <f>survey_responses[[#This Row],[Tôi tin tưởng số tiền thuế tôi đóng sẽ được Nhà nước sử dụng hiệu quả để cải thiện dịch vụ công (y tế, đường xá...). - HUMAN-TRU3]]</f>
        <v>7</v>
      </c>
      <c r="AX108" t="str">
        <f t="shared" si="46"/>
        <v>Neutral</v>
      </c>
      <c r="AY108" s="32">
        <f t="shared" si="47"/>
        <v>1</v>
      </c>
      <c r="AZ108">
        <f>step3_validation[[#This Row],[AI_TRU4]]</f>
        <v>7</v>
      </c>
      <c r="BA108" t="str">
        <f t="shared" si="48"/>
        <v>Neutral</v>
      </c>
      <c r="BB108">
        <f>survey_responses[[#This Row],[Tôi thấy Nhà nước đã giải thích rõ ràng, minh bạch về lý do và mục tiêu của việc sửa đổi thuế lần này. - HUMAN-TRU4]]</f>
        <v>7</v>
      </c>
      <c r="BC108" t="str">
        <f t="shared" si="49"/>
        <v>Neutral</v>
      </c>
      <c r="BD108" s="32">
        <f t="shared" si="50"/>
        <v>0</v>
      </c>
      <c r="BE108">
        <f>step3_validation[[#This Row],[AI_OUT1]]</f>
        <v>9</v>
      </c>
      <c r="BF108" t="str">
        <f t="shared" si="51"/>
        <v>Support</v>
      </c>
      <c r="BG108">
        <f>survey_responses[[#This Row],[Sau khi xem xét các quyền lợi và nghĩa vụ, bạn có ủng hộ và tuân thủ chính sách mới hiện nay? - HUMAN-OUT1]]</f>
        <v>8</v>
      </c>
      <c r="BH108" t="str">
        <f t="shared" si="52"/>
        <v>Support</v>
      </c>
      <c r="BI108" s="32">
        <f t="shared" si="53"/>
        <v>1</v>
      </c>
    </row>
    <row r="109" spans="1:61" x14ac:dyDescent="0.45">
      <c r="A109" s="30">
        <f>step3_validation[[#This Row],[Persona_ID]]</f>
        <v>108</v>
      </c>
      <c r="B109" s="31">
        <f>step3_validation[[#This Row],[Used_Seed]]</f>
        <v>108</v>
      </c>
      <c r="C109" t="str">
        <f>step3_validation[[#This Row],[Gender]]</f>
        <v>Nữ</v>
      </c>
      <c r="D109" t="str">
        <f>survey_responses[[#This Row],[Giới tính của bạn:]]</f>
        <v>Nữ</v>
      </c>
      <c r="E109" t="str">
        <f>step3_validation[[#This Row],[Age_Group]]</f>
        <v>40 - 49</v>
      </c>
      <c r="F109" t="str">
        <f>survey_responses[[#This Row],[Độ tuổi của bạn:]]</f>
        <v>40 - 49</v>
      </c>
      <c r="G109" t="str">
        <f>step3_validation[[#This Row],[Region]]</f>
        <v>Thành thị</v>
      </c>
      <c r="H109" t="str">
        <f>survey_responses[[#This Row],[Khu vực bạn đang sinh sống:]]</f>
        <v>Thành thị</v>
      </c>
      <c r="I109" t="str">
        <f>step3_validation[[#This Row],[Education]]</f>
        <v>Đại học</v>
      </c>
      <c r="J109" t="str">
        <f>survey_responses[[#This Row],[Trình độ học vấn cao nhất:]]</f>
        <v>Đại học</v>
      </c>
      <c r="K109" t="str">
        <f>step3_validation[[#This Row],[Employment]]</f>
        <v>Chính thức</v>
      </c>
      <c r="L109" t="str">
        <f>survey_responses[[#This Row],[Tình trạng việc làm chính:]]</f>
        <v>Khu vực chính thức (Có Hợp đồng lao động, đóng BHXH)</v>
      </c>
      <c r="M109">
        <f>step3_validation[[#This Row],[Income_Mil]]</f>
        <v>16.279969086642975</v>
      </c>
      <c r="N109" t="str">
        <f>survey_responses[[#This Row],[Thu nhập bình quân tháng theo Hợp đồng lao động của bạn là bao nhiêu? (Vui lòng điền tổng thu nhập trước khi khấu trừ các loại Bảo hiểm (BHXH, BHYT, BHTN) và Thuế TNCN)]]</f>
        <v>Từ 12 - 18 triệu VNĐ</v>
      </c>
      <c r="O109">
        <f>step3_validation[[#This Row],[Dependents]]</f>
        <v>1</v>
      </c>
      <c r="P109" t="str">
        <f>survey_responses[[#This Row],[Số người phụ thuộc (con nhỏ, cha mẹ già...) đủ điều kiện giảm trừ gia cảnh:]]</f>
        <v>1 người</v>
      </c>
      <c r="Q109">
        <f>step3_validation[[#This Row],[AI_ENF1]]</f>
        <v>9</v>
      </c>
      <c r="R109" t="str">
        <f t="shared" si="27"/>
        <v>Support</v>
      </c>
      <c r="S109">
        <f>survey_responses[[#This Row],[Tôi tin rằng với các quy định quản lý thuế hiện nay, hành vi gian lận hoặc trốn thuế sẽ dễ dàng bị phát hiện và xử lý nghiêm. - HUMAN-ENF1]]</f>
        <v>5</v>
      </c>
      <c r="T109" t="str">
        <f t="shared" si="28"/>
        <v>Neutral</v>
      </c>
      <c r="U109" s="32">
        <f t="shared" si="29"/>
        <v>4</v>
      </c>
      <c r="V109">
        <f>step3_validation[[#This Row],[AI_ENF2]]</f>
        <v>8</v>
      </c>
      <c r="W109" t="str">
        <f t="shared" si="30"/>
        <v>Support</v>
      </c>
      <c r="X109">
        <f>survey_responses[[#This Row],[Tôi tin rằng Nhà nước, cơ quan thuế có đủ khả năng và công nghệ để phát hiện, xử lý nghiêm các hành vi trốn thuế. - HUMAN-ENF2]]</f>
        <v>10</v>
      </c>
      <c r="Y109" t="str">
        <f t="shared" si="31"/>
        <v>Support</v>
      </c>
      <c r="Z109" s="32">
        <f t="shared" si="32"/>
        <v>2</v>
      </c>
      <c r="AA109">
        <f>step3_validation[[#This Row],[AI_FAC1]]</f>
        <v>9</v>
      </c>
      <c r="AB109" t="str">
        <f t="shared" si="33"/>
        <v>Support</v>
      </c>
      <c r="AC109">
        <f>survey_responses[[#This Row],[Các thủ tục khai báo thuế VÀ/HOẶC quy trình làm việc với cơ quan thuế đơn giản, tiện lợi, nhanh chóng hơn so với trước đây. - HUMAN-FAC1]]</f>
        <v>5</v>
      </c>
      <c r="AD109" t="str">
        <f t="shared" si="34"/>
        <v>Neutral</v>
      </c>
      <c r="AE109" s="32">
        <f t="shared" si="35"/>
        <v>4</v>
      </c>
      <c r="AF109">
        <f>step3_validation[[#This Row],[AI_FAC2]]</f>
        <v>8</v>
      </c>
      <c r="AG109" t="str">
        <f t="shared" si="36"/>
        <v>Support</v>
      </c>
      <c r="AH109">
        <f>survey_responses[[#This Row],[So với trước đây, tôi thấy cách tính thuế và các bậc thuế trong phương án mới đơn giản, dễ hiểu và dễ thực hiện hơn. - HUMAN-FAC2]]</f>
        <v>5</v>
      </c>
      <c r="AI109" t="str">
        <f t="shared" si="37"/>
        <v>Neutral</v>
      </c>
      <c r="AJ109" s="32">
        <f t="shared" si="38"/>
        <v>3</v>
      </c>
      <c r="AK109">
        <f>step3_validation[[#This Row],[AI_TRU1]]</f>
        <v>9</v>
      </c>
      <c r="AL109" t="str">
        <f t="shared" si="39"/>
        <v>Support</v>
      </c>
      <c r="AM109">
        <f>survey_responses[[#This Row],[Tôi tin rằng Nhà nước, cơ quan thuế sẽ thực thi chính sách mới một cách khách quan, công tâm và đối xử bình đẳng với mọi người nộp thuế.  - HUMAN-TRU1]]</f>
        <v>5</v>
      </c>
      <c r="AN109" t="str">
        <f t="shared" si="40"/>
        <v>Neutral</v>
      </c>
      <c r="AO109" s="32">
        <f t="shared" si="41"/>
        <v>4</v>
      </c>
      <c r="AP109">
        <f>step3_validation[[#This Row],[AI_TRU2]]</f>
        <v>8</v>
      </c>
      <c r="AQ109" t="str">
        <f t="shared" si="42"/>
        <v>Support</v>
      </c>
      <c r="AR109">
        <f>survey_responses[[#This Row],[Tôi thấy mức thuế tôi phải đóng theo phương án mới là công bằng (người thu nhập như tôi đóng mức này là hợp lý). - HUMAN-TRU2]]</f>
        <v>5</v>
      </c>
      <c r="AS109" t="str">
        <f t="shared" si="43"/>
        <v>Neutral</v>
      </c>
      <c r="AT109" s="32">
        <f t="shared" si="44"/>
        <v>3</v>
      </c>
      <c r="AU109">
        <f>step3_validation[[#This Row],[AI_TRU3]]</f>
        <v>9</v>
      </c>
      <c r="AV109" t="str">
        <f t="shared" si="45"/>
        <v>Support</v>
      </c>
      <c r="AW109">
        <f>survey_responses[[#This Row],[Tôi tin tưởng số tiền thuế tôi đóng sẽ được Nhà nước sử dụng hiệu quả để cải thiện dịch vụ công (y tế, đường xá...). - HUMAN-TRU3]]</f>
        <v>8</v>
      </c>
      <c r="AX109" t="str">
        <f t="shared" si="46"/>
        <v>Support</v>
      </c>
      <c r="AY109" s="32">
        <f t="shared" si="47"/>
        <v>1</v>
      </c>
      <c r="AZ109">
        <f>step3_validation[[#This Row],[AI_TRU4]]</f>
        <v>8</v>
      </c>
      <c r="BA109" t="str">
        <f t="shared" si="48"/>
        <v>Support</v>
      </c>
      <c r="BB109">
        <f>survey_responses[[#This Row],[Tôi thấy Nhà nước đã giải thích rõ ràng, minh bạch về lý do và mục tiêu của việc sửa đổi thuế lần này. - HUMAN-TRU4]]</f>
        <v>5</v>
      </c>
      <c r="BC109" t="str">
        <f t="shared" si="49"/>
        <v>Neutral</v>
      </c>
      <c r="BD109" s="32">
        <f t="shared" si="50"/>
        <v>3</v>
      </c>
      <c r="BE109">
        <f>step3_validation[[#This Row],[AI_OUT1]]</f>
        <v>9</v>
      </c>
      <c r="BF109" t="str">
        <f t="shared" si="51"/>
        <v>Support</v>
      </c>
      <c r="BG109">
        <f>survey_responses[[#This Row],[Sau khi xem xét các quyền lợi và nghĩa vụ, bạn có ủng hộ và tuân thủ chính sách mới hiện nay? - HUMAN-OUT1]]</f>
        <v>6</v>
      </c>
      <c r="BH109" t="str">
        <f t="shared" si="52"/>
        <v>Neutral</v>
      </c>
      <c r="BI109" s="32">
        <f t="shared" si="53"/>
        <v>3</v>
      </c>
    </row>
    <row r="110" spans="1:61" x14ac:dyDescent="0.45">
      <c r="A110" s="30">
        <f>step3_validation[[#This Row],[Persona_ID]]</f>
        <v>109</v>
      </c>
      <c r="B110" s="31">
        <f>step3_validation[[#This Row],[Used_Seed]]</f>
        <v>109</v>
      </c>
      <c r="C110" t="str">
        <f>step3_validation[[#This Row],[Gender]]</f>
        <v>Nữ</v>
      </c>
      <c r="D110" t="str">
        <f>survey_responses[[#This Row],[Giới tính của bạn:]]</f>
        <v>Nữ</v>
      </c>
      <c r="E110" t="str">
        <f>step3_validation[[#This Row],[Age_Group]]</f>
        <v>40 - 49</v>
      </c>
      <c r="F110" t="str">
        <f>survey_responses[[#This Row],[Độ tuổi của bạn:]]</f>
        <v>40 - 49</v>
      </c>
      <c r="G110" t="str">
        <f>step3_validation[[#This Row],[Region]]</f>
        <v>Thành thị</v>
      </c>
      <c r="H110" t="str">
        <f>survey_responses[[#This Row],[Khu vực bạn đang sinh sống:]]</f>
        <v>Thành thị</v>
      </c>
      <c r="I110" t="str">
        <f>step3_validation[[#This Row],[Education]]</f>
        <v>Đại học</v>
      </c>
      <c r="J110" t="str">
        <f>survey_responses[[#This Row],[Trình độ học vấn cao nhất:]]</f>
        <v>Đại học</v>
      </c>
      <c r="K110" t="str">
        <f>step3_validation[[#This Row],[Employment]]</f>
        <v>Chính thức</v>
      </c>
      <c r="L110" t="str">
        <f>survey_responses[[#This Row],[Tình trạng việc làm chính:]]</f>
        <v>Khu vực chính thức (Có Hợp đồng lao động, đóng BHXH)</v>
      </c>
      <c r="M110">
        <f>step3_validation[[#This Row],[Income_Mil]]</f>
        <v>14.718711244588896</v>
      </c>
      <c r="N110" t="str">
        <f>survey_responses[[#This Row],[Thu nhập bình quân tháng theo Hợp đồng lao động của bạn là bao nhiêu? (Vui lòng điền tổng thu nhập trước khi khấu trừ các loại Bảo hiểm (BHXH, BHYT, BHTN) và Thuế TNCN)]]</f>
        <v>Từ 12 - 18 triệu VNĐ</v>
      </c>
      <c r="O110">
        <f>step3_validation[[#This Row],[Dependents]]</f>
        <v>1</v>
      </c>
      <c r="P110" t="str">
        <f>survey_responses[[#This Row],[Số người phụ thuộc (con nhỏ, cha mẹ già...) đủ điều kiện giảm trừ gia cảnh:]]</f>
        <v>1 người</v>
      </c>
      <c r="Q110">
        <f>step3_validation[[#This Row],[AI_ENF1]]</f>
        <v>7</v>
      </c>
      <c r="R110" t="str">
        <f t="shared" si="27"/>
        <v>Neutral</v>
      </c>
      <c r="S110">
        <f>survey_responses[[#This Row],[Tôi tin rằng với các quy định quản lý thuế hiện nay, hành vi gian lận hoặc trốn thuế sẽ dễ dàng bị phát hiện và xử lý nghiêm. - HUMAN-ENF1]]</f>
        <v>10</v>
      </c>
      <c r="T110" t="str">
        <f t="shared" si="28"/>
        <v>Support</v>
      </c>
      <c r="U110" s="32">
        <f t="shared" si="29"/>
        <v>3</v>
      </c>
      <c r="V110">
        <f>step3_validation[[#This Row],[AI_ENF2]]</f>
        <v>8</v>
      </c>
      <c r="W110" t="str">
        <f t="shared" si="30"/>
        <v>Support</v>
      </c>
      <c r="X110">
        <f>survey_responses[[#This Row],[Tôi tin rằng Nhà nước, cơ quan thuế có đủ khả năng và công nghệ để phát hiện, xử lý nghiêm các hành vi trốn thuế. - HUMAN-ENF2]]</f>
        <v>10</v>
      </c>
      <c r="Y110" t="str">
        <f t="shared" si="31"/>
        <v>Support</v>
      </c>
      <c r="Z110" s="32">
        <f t="shared" si="32"/>
        <v>2</v>
      </c>
      <c r="AA110">
        <f>step3_validation[[#This Row],[AI_FAC1]]</f>
        <v>9</v>
      </c>
      <c r="AB110" t="str">
        <f t="shared" si="33"/>
        <v>Support</v>
      </c>
      <c r="AC110">
        <f>survey_responses[[#This Row],[Các thủ tục khai báo thuế VÀ/HOẶC quy trình làm việc với cơ quan thuế đơn giản, tiện lợi, nhanh chóng hơn so với trước đây. - HUMAN-FAC1]]</f>
        <v>10</v>
      </c>
      <c r="AD110" t="str">
        <f t="shared" si="34"/>
        <v>Support</v>
      </c>
      <c r="AE110" s="32">
        <f t="shared" si="35"/>
        <v>1</v>
      </c>
      <c r="AF110">
        <f>step3_validation[[#This Row],[AI_FAC2]]</f>
        <v>10</v>
      </c>
      <c r="AG110" t="str">
        <f t="shared" si="36"/>
        <v>Support</v>
      </c>
      <c r="AH110">
        <f>survey_responses[[#This Row],[So với trước đây, tôi thấy cách tính thuế và các bậc thuế trong phương án mới đơn giản, dễ hiểu và dễ thực hiện hơn. - HUMAN-FAC2]]</f>
        <v>10</v>
      </c>
      <c r="AI110" t="str">
        <f t="shared" si="37"/>
        <v>Support</v>
      </c>
      <c r="AJ110" s="32">
        <f t="shared" si="38"/>
        <v>0</v>
      </c>
      <c r="AK110">
        <f>step3_validation[[#This Row],[AI_TRU1]]</f>
        <v>9</v>
      </c>
      <c r="AL110" t="str">
        <f t="shared" si="39"/>
        <v>Support</v>
      </c>
      <c r="AM110">
        <f>survey_responses[[#This Row],[Tôi tin rằng Nhà nước, cơ quan thuế sẽ thực thi chính sách mới một cách khách quan, công tâm và đối xử bình đẳng với mọi người nộp thuế.  - HUMAN-TRU1]]</f>
        <v>10</v>
      </c>
      <c r="AN110" t="str">
        <f t="shared" si="40"/>
        <v>Support</v>
      </c>
      <c r="AO110" s="32">
        <f t="shared" si="41"/>
        <v>1</v>
      </c>
      <c r="AP110">
        <f>step3_validation[[#This Row],[AI_TRU2]]</f>
        <v>9</v>
      </c>
      <c r="AQ110" t="str">
        <f t="shared" si="42"/>
        <v>Support</v>
      </c>
      <c r="AR110">
        <f>survey_responses[[#This Row],[Tôi thấy mức thuế tôi phải đóng theo phương án mới là công bằng (người thu nhập như tôi đóng mức này là hợp lý). - HUMAN-TRU2]]</f>
        <v>10</v>
      </c>
      <c r="AS110" t="str">
        <f t="shared" si="43"/>
        <v>Support</v>
      </c>
      <c r="AT110" s="32">
        <f t="shared" si="44"/>
        <v>1</v>
      </c>
      <c r="AU110">
        <f>step3_validation[[#This Row],[AI_TRU3]]</f>
        <v>8</v>
      </c>
      <c r="AV110" t="str">
        <f t="shared" si="45"/>
        <v>Support</v>
      </c>
      <c r="AW110">
        <f>survey_responses[[#This Row],[Tôi tin tưởng số tiền thuế tôi đóng sẽ được Nhà nước sử dụng hiệu quả để cải thiện dịch vụ công (y tế, đường xá...). - HUMAN-TRU3]]</f>
        <v>10</v>
      </c>
      <c r="AX110" t="str">
        <f t="shared" si="46"/>
        <v>Support</v>
      </c>
      <c r="AY110" s="32">
        <f t="shared" si="47"/>
        <v>2</v>
      </c>
      <c r="AZ110">
        <f>step3_validation[[#This Row],[AI_TRU4]]</f>
        <v>9</v>
      </c>
      <c r="BA110" t="str">
        <f t="shared" si="48"/>
        <v>Support</v>
      </c>
      <c r="BB110">
        <f>survey_responses[[#This Row],[Tôi thấy Nhà nước đã giải thích rõ ràng, minh bạch về lý do và mục tiêu của việc sửa đổi thuế lần này. - HUMAN-TRU4]]</f>
        <v>10</v>
      </c>
      <c r="BC110" t="str">
        <f t="shared" si="49"/>
        <v>Support</v>
      </c>
      <c r="BD110" s="32">
        <f t="shared" si="50"/>
        <v>1</v>
      </c>
      <c r="BE110">
        <f>step3_validation[[#This Row],[AI_OUT1]]</f>
        <v>9</v>
      </c>
      <c r="BF110" t="str">
        <f t="shared" si="51"/>
        <v>Support</v>
      </c>
      <c r="BG110">
        <f>survey_responses[[#This Row],[Sau khi xem xét các quyền lợi và nghĩa vụ, bạn có ủng hộ và tuân thủ chính sách mới hiện nay? - HUMAN-OUT1]]</f>
        <v>10</v>
      </c>
      <c r="BH110" t="str">
        <f t="shared" si="52"/>
        <v>Support</v>
      </c>
      <c r="BI110" s="32">
        <f t="shared" si="53"/>
        <v>1</v>
      </c>
    </row>
    <row r="111" spans="1:61" x14ac:dyDescent="0.45">
      <c r="A111" s="30">
        <f>step3_validation[[#This Row],[Persona_ID]]</f>
        <v>110</v>
      </c>
      <c r="B111" s="31">
        <f>step3_validation[[#This Row],[Used_Seed]]</f>
        <v>110</v>
      </c>
      <c r="C111" t="str">
        <f>step3_validation[[#This Row],[Gender]]</f>
        <v>Nam</v>
      </c>
      <c r="D111" t="str">
        <f>survey_responses[[#This Row],[Giới tính của bạn:]]</f>
        <v>Nam</v>
      </c>
      <c r="E111" t="str">
        <f>step3_validation[[#This Row],[Age_Group]]</f>
        <v>30 - 39</v>
      </c>
      <c r="F111" t="str">
        <f>survey_responses[[#This Row],[Độ tuổi của bạn:]]</f>
        <v>30 - 39</v>
      </c>
      <c r="G111" t="str">
        <f>step3_validation[[#This Row],[Region]]</f>
        <v>Thành thị</v>
      </c>
      <c r="H111" t="str">
        <f>survey_responses[[#This Row],[Khu vực bạn đang sinh sống:]]</f>
        <v>Thành thị</v>
      </c>
      <c r="I111" t="str">
        <f>step3_validation[[#This Row],[Education]]</f>
        <v>Đại học</v>
      </c>
      <c r="J111" t="str">
        <f>survey_responses[[#This Row],[Trình độ học vấn cao nhất:]]</f>
        <v>Đại học</v>
      </c>
      <c r="K111" t="str">
        <f>step3_validation[[#This Row],[Employment]]</f>
        <v>Chính thức</v>
      </c>
      <c r="L111" t="str">
        <f>survey_responses[[#This Row],[Tình trạng việc làm chính:]]</f>
        <v>Khu vực chính thức (Có Hợp đồng lao động, đóng BHXH)</v>
      </c>
      <c r="M111">
        <f>step3_validation[[#This Row],[Income_Mil]]</f>
        <v>67.540349041716297</v>
      </c>
      <c r="N111" t="str">
        <f>survey_responses[[#This Row],[Thu nhập bình quân tháng theo Hợp đồng lao động của bạn là bao nhiêu? (Vui lòng điền tổng thu nhập trước khi khấu trừ các loại Bảo hiểm (BHXH, BHYT, BHTN) và Thuế TNCN)]]</f>
        <v>Từ 48 - 70 triệu VNĐ</v>
      </c>
      <c r="O111">
        <f>step3_validation[[#This Row],[Dependents]]</f>
        <v>2</v>
      </c>
      <c r="P111" t="str">
        <f>survey_responses[[#This Row],[Số người phụ thuộc (con nhỏ, cha mẹ già...) đủ điều kiện giảm trừ gia cảnh:]]</f>
        <v>2 người</v>
      </c>
      <c r="Q111">
        <f>step3_validation[[#This Row],[AI_ENF1]]</f>
        <v>9</v>
      </c>
      <c r="R111" t="str">
        <f t="shared" si="27"/>
        <v>Support</v>
      </c>
      <c r="S111">
        <f>survey_responses[[#This Row],[Tôi tin rằng với các quy định quản lý thuế hiện nay, hành vi gian lận hoặc trốn thuế sẽ dễ dàng bị phát hiện và xử lý nghiêm. - HUMAN-ENF1]]</f>
        <v>7</v>
      </c>
      <c r="T111" t="str">
        <f t="shared" si="28"/>
        <v>Neutral</v>
      </c>
      <c r="U111" s="32">
        <f t="shared" si="29"/>
        <v>2</v>
      </c>
      <c r="V111">
        <f>step3_validation[[#This Row],[AI_ENF2]]</f>
        <v>8</v>
      </c>
      <c r="W111" t="str">
        <f t="shared" si="30"/>
        <v>Support</v>
      </c>
      <c r="X111">
        <f>survey_responses[[#This Row],[Tôi tin rằng Nhà nước, cơ quan thuế có đủ khả năng và công nghệ để phát hiện, xử lý nghiêm các hành vi trốn thuế. - HUMAN-ENF2]]</f>
        <v>6</v>
      </c>
      <c r="Y111" t="str">
        <f t="shared" si="31"/>
        <v>Neutral</v>
      </c>
      <c r="Z111" s="32">
        <f t="shared" si="32"/>
        <v>2</v>
      </c>
      <c r="AA111">
        <f>step3_validation[[#This Row],[AI_FAC1]]</f>
        <v>9</v>
      </c>
      <c r="AB111" t="str">
        <f t="shared" si="33"/>
        <v>Support</v>
      </c>
      <c r="AC111">
        <f>survey_responses[[#This Row],[Các thủ tục khai báo thuế VÀ/HOẶC quy trình làm việc với cơ quan thuế đơn giản, tiện lợi, nhanh chóng hơn so với trước đây. - HUMAN-FAC1]]</f>
        <v>8</v>
      </c>
      <c r="AD111" t="str">
        <f t="shared" si="34"/>
        <v>Support</v>
      </c>
      <c r="AE111" s="32">
        <f t="shared" si="35"/>
        <v>1</v>
      </c>
      <c r="AF111">
        <f>step3_validation[[#This Row],[AI_FAC2]]</f>
        <v>8</v>
      </c>
      <c r="AG111" t="str">
        <f t="shared" si="36"/>
        <v>Support</v>
      </c>
      <c r="AH111">
        <f>survey_responses[[#This Row],[So với trước đây, tôi thấy cách tính thuế và các bậc thuế trong phương án mới đơn giản, dễ hiểu và dễ thực hiện hơn. - HUMAN-FAC2]]</f>
        <v>8</v>
      </c>
      <c r="AI111" t="str">
        <f t="shared" si="37"/>
        <v>Support</v>
      </c>
      <c r="AJ111" s="32">
        <f t="shared" si="38"/>
        <v>0</v>
      </c>
      <c r="AK111">
        <f>step3_validation[[#This Row],[AI_TRU1]]</f>
        <v>9</v>
      </c>
      <c r="AL111" t="str">
        <f t="shared" si="39"/>
        <v>Support</v>
      </c>
      <c r="AM111">
        <f>survey_responses[[#This Row],[Tôi tin rằng Nhà nước, cơ quan thuế sẽ thực thi chính sách mới một cách khách quan, công tâm và đối xử bình đẳng với mọi người nộp thuế.  - HUMAN-TRU1]]</f>
        <v>7</v>
      </c>
      <c r="AN111" t="str">
        <f t="shared" si="40"/>
        <v>Neutral</v>
      </c>
      <c r="AO111" s="32">
        <f t="shared" si="41"/>
        <v>2</v>
      </c>
      <c r="AP111">
        <f>step3_validation[[#This Row],[AI_TRU2]]</f>
        <v>8</v>
      </c>
      <c r="AQ111" t="str">
        <f t="shared" si="42"/>
        <v>Support</v>
      </c>
      <c r="AR111">
        <f>survey_responses[[#This Row],[Tôi thấy mức thuế tôi phải đóng theo phương án mới là công bằng (người thu nhập như tôi đóng mức này là hợp lý). - HUMAN-TRU2]]</f>
        <v>6</v>
      </c>
      <c r="AS111" t="str">
        <f t="shared" si="43"/>
        <v>Neutral</v>
      </c>
      <c r="AT111" s="32">
        <f t="shared" si="44"/>
        <v>2</v>
      </c>
      <c r="AU111">
        <f>step3_validation[[#This Row],[AI_TRU3]]</f>
        <v>9</v>
      </c>
      <c r="AV111" t="str">
        <f t="shared" si="45"/>
        <v>Support</v>
      </c>
      <c r="AW111">
        <f>survey_responses[[#This Row],[Tôi tin tưởng số tiền thuế tôi đóng sẽ được Nhà nước sử dụng hiệu quả để cải thiện dịch vụ công (y tế, đường xá...). - HUMAN-TRU3]]</f>
        <v>5</v>
      </c>
      <c r="AX111" t="str">
        <f t="shared" si="46"/>
        <v>Neutral</v>
      </c>
      <c r="AY111" s="32">
        <f t="shared" si="47"/>
        <v>4</v>
      </c>
      <c r="AZ111">
        <f>step3_validation[[#This Row],[AI_TRU4]]</f>
        <v>8</v>
      </c>
      <c r="BA111" t="str">
        <f t="shared" si="48"/>
        <v>Support</v>
      </c>
      <c r="BB111">
        <f>survey_responses[[#This Row],[Tôi thấy Nhà nước đã giải thích rõ ràng, minh bạch về lý do và mục tiêu của việc sửa đổi thuế lần này. - HUMAN-TRU4]]</f>
        <v>5</v>
      </c>
      <c r="BC111" t="str">
        <f t="shared" si="49"/>
        <v>Neutral</v>
      </c>
      <c r="BD111" s="32">
        <f t="shared" si="50"/>
        <v>3</v>
      </c>
      <c r="BE111">
        <f>step3_validation[[#This Row],[AI_OUT1]]</f>
        <v>9</v>
      </c>
      <c r="BF111" t="str">
        <f t="shared" si="51"/>
        <v>Support</v>
      </c>
      <c r="BG111">
        <f>survey_responses[[#This Row],[Sau khi xem xét các quyền lợi và nghĩa vụ, bạn có ủng hộ và tuân thủ chính sách mới hiện nay? - HUMAN-OUT1]]</f>
        <v>8</v>
      </c>
      <c r="BH111" t="str">
        <f t="shared" si="52"/>
        <v>Support</v>
      </c>
      <c r="BI111" s="32">
        <f t="shared" si="53"/>
        <v>1</v>
      </c>
    </row>
    <row r="112" spans="1:61" x14ac:dyDescent="0.45">
      <c r="A112" s="30">
        <f>step3_validation[[#This Row],[Persona_ID]]</f>
        <v>111</v>
      </c>
      <c r="B112" s="31">
        <f>step3_validation[[#This Row],[Used_Seed]]</f>
        <v>111</v>
      </c>
      <c r="C112" t="str">
        <f>step3_validation[[#This Row],[Gender]]</f>
        <v>Nam</v>
      </c>
      <c r="D112" t="str">
        <f>survey_responses[[#This Row],[Giới tính của bạn:]]</f>
        <v>Nam</v>
      </c>
      <c r="E112" t="str">
        <f>step3_validation[[#This Row],[Age_Group]]</f>
        <v>50 - 54</v>
      </c>
      <c r="F112" t="str">
        <f>survey_responses[[#This Row],[Độ tuổi của bạn:]]</f>
        <v>50 - 54</v>
      </c>
      <c r="G112" t="str">
        <f>step3_validation[[#This Row],[Region]]</f>
        <v>Thành thị</v>
      </c>
      <c r="H112" t="str">
        <f>survey_responses[[#This Row],[Khu vực bạn đang sinh sống:]]</f>
        <v>Thành thị</v>
      </c>
      <c r="I112" t="str">
        <f>step3_validation[[#This Row],[Education]]</f>
        <v>Đại học</v>
      </c>
      <c r="J112" t="str">
        <f>survey_responses[[#This Row],[Trình độ học vấn cao nhất:]]</f>
        <v>Đại học</v>
      </c>
      <c r="K112" t="str">
        <f>step3_validation[[#This Row],[Employment]]</f>
        <v>Chính thức</v>
      </c>
      <c r="L112" t="str">
        <f>survey_responses[[#This Row],[Tình trạng việc làm chính:]]</f>
        <v>Khu vực chính thức (Có Hợp đồng lao động, đóng BHXH)</v>
      </c>
      <c r="M112">
        <f>step3_validation[[#This Row],[Income_Mil]]</f>
        <v>24.229290847618664</v>
      </c>
      <c r="N112" t="str">
        <f>survey_responses[[#This Row],[Thu nhập bình quân tháng theo Hợp đồng lao động của bạn là bao nhiêu? (Vui lòng điền tổng thu nhập trước khi khấu trừ các loại Bảo hiểm (BHXH, BHYT, BHTN) và Thuế TNCN)]]</f>
        <v>Từ 23 - 32 triệu VNĐ</v>
      </c>
      <c r="O112">
        <f>step3_validation[[#This Row],[Dependents]]</f>
        <v>1</v>
      </c>
      <c r="P112" t="str">
        <f>survey_responses[[#This Row],[Số người phụ thuộc (con nhỏ, cha mẹ già...) đủ điều kiện giảm trừ gia cảnh:]]</f>
        <v>1 người</v>
      </c>
      <c r="Q112">
        <f>step3_validation[[#This Row],[AI_ENF1]]</f>
        <v>5</v>
      </c>
      <c r="R112" t="str">
        <f t="shared" si="27"/>
        <v>Neutral</v>
      </c>
      <c r="S112">
        <f>survey_responses[[#This Row],[Tôi tin rằng với các quy định quản lý thuế hiện nay, hành vi gian lận hoặc trốn thuế sẽ dễ dàng bị phát hiện và xử lý nghiêm. - HUMAN-ENF1]]</f>
        <v>8</v>
      </c>
      <c r="T112" t="str">
        <f t="shared" si="28"/>
        <v>Support</v>
      </c>
      <c r="U112" s="32">
        <f t="shared" si="29"/>
        <v>3</v>
      </c>
      <c r="V112">
        <f>step3_validation[[#This Row],[AI_ENF2]]</f>
        <v>6</v>
      </c>
      <c r="W112" t="str">
        <f t="shared" si="30"/>
        <v>Neutral</v>
      </c>
      <c r="X112">
        <f>survey_responses[[#This Row],[Tôi tin rằng Nhà nước, cơ quan thuế có đủ khả năng và công nghệ để phát hiện, xử lý nghiêm các hành vi trốn thuế. - HUMAN-ENF2]]</f>
        <v>8</v>
      </c>
      <c r="Y112" t="str">
        <f t="shared" si="31"/>
        <v>Support</v>
      </c>
      <c r="Z112" s="32">
        <f t="shared" si="32"/>
        <v>2</v>
      </c>
      <c r="AA112">
        <f>step3_validation[[#This Row],[AI_FAC1]]</f>
        <v>9</v>
      </c>
      <c r="AB112" t="str">
        <f t="shared" si="33"/>
        <v>Support</v>
      </c>
      <c r="AC112">
        <f>survey_responses[[#This Row],[Các thủ tục khai báo thuế VÀ/HOẶC quy trình làm việc với cơ quan thuế đơn giản, tiện lợi, nhanh chóng hơn so với trước đây. - HUMAN-FAC1]]</f>
        <v>6</v>
      </c>
      <c r="AD112" t="str">
        <f t="shared" si="34"/>
        <v>Neutral</v>
      </c>
      <c r="AE112" s="32">
        <f t="shared" si="35"/>
        <v>3</v>
      </c>
      <c r="AF112">
        <f>step3_validation[[#This Row],[AI_FAC2]]</f>
        <v>8</v>
      </c>
      <c r="AG112" t="str">
        <f t="shared" si="36"/>
        <v>Support</v>
      </c>
      <c r="AH112">
        <f>survey_responses[[#This Row],[So với trước đây, tôi thấy cách tính thuế và các bậc thuế trong phương án mới đơn giản, dễ hiểu và dễ thực hiện hơn. - HUMAN-FAC2]]</f>
        <v>7</v>
      </c>
      <c r="AI112" t="str">
        <f t="shared" si="37"/>
        <v>Neutral</v>
      </c>
      <c r="AJ112" s="32">
        <f t="shared" si="38"/>
        <v>1</v>
      </c>
      <c r="AK112">
        <f>step3_validation[[#This Row],[AI_TRU1]]</f>
        <v>7</v>
      </c>
      <c r="AL112" t="str">
        <f t="shared" si="39"/>
        <v>Neutral</v>
      </c>
      <c r="AM112">
        <f>survey_responses[[#This Row],[Tôi tin rằng Nhà nước, cơ quan thuế sẽ thực thi chính sách mới một cách khách quan, công tâm và đối xử bình đẳng với mọi người nộp thuế.  - HUMAN-TRU1]]</f>
        <v>6</v>
      </c>
      <c r="AN112" t="str">
        <f t="shared" si="40"/>
        <v>Neutral</v>
      </c>
      <c r="AO112" s="32">
        <f t="shared" si="41"/>
        <v>1</v>
      </c>
      <c r="AP112">
        <f>step3_validation[[#This Row],[AI_TRU2]]</f>
        <v>8</v>
      </c>
      <c r="AQ112" t="str">
        <f t="shared" si="42"/>
        <v>Support</v>
      </c>
      <c r="AR112">
        <f>survey_responses[[#This Row],[Tôi thấy mức thuế tôi phải đóng theo phương án mới là công bằng (người thu nhập như tôi đóng mức này là hợp lý). - HUMAN-TRU2]]</f>
        <v>7</v>
      </c>
      <c r="AS112" t="str">
        <f t="shared" si="43"/>
        <v>Neutral</v>
      </c>
      <c r="AT112" s="32">
        <f t="shared" si="44"/>
        <v>1</v>
      </c>
      <c r="AU112">
        <f>step3_validation[[#This Row],[AI_TRU3]]</f>
        <v>6</v>
      </c>
      <c r="AV112" t="str">
        <f t="shared" si="45"/>
        <v>Neutral</v>
      </c>
      <c r="AW112">
        <f>survey_responses[[#This Row],[Tôi tin tưởng số tiền thuế tôi đóng sẽ được Nhà nước sử dụng hiệu quả để cải thiện dịch vụ công (y tế, đường xá...). - HUMAN-TRU3]]</f>
        <v>5</v>
      </c>
      <c r="AX112" t="str">
        <f t="shared" si="46"/>
        <v>Neutral</v>
      </c>
      <c r="AY112" s="32">
        <f t="shared" si="47"/>
        <v>1</v>
      </c>
      <c r="AZ112">
        <f>step3_validation[[#This Row],[AI_TRU4]]</f>
        <v>8</v>
      </c>
      <c r="BA112" t="str">
        <f t="shared" si="48"/>
        <v>Support</v>
      </c>
      <c r="BB112">
        <f>survey_responses[[#This Row],[Tôi thấy Nhà nước đã giải thích rõ ràng, minh bạch về lý do và mục tiêu của việc sửa đổi thuế lần này. - HUMAN-TRU4]]</f>
        <v>5</v>
      </c>
      <c r="BC112" t="str">
        <f t="shared" si="49"/>
        <v>Neutral</v>
      </c>
      <c r="BD112" s="32">
        <f t="shared" si="50"/>
        <v>3</v>
      </c>
      <c r="BE112">
        <f>step3_validation[[#This Row],[AI_OUT1]]</f>
        <v>9</v>
      </c>
      <c r="BF112" t="str">
        <f t="shared" si="51"/>
        <v>Support</v>
      </c>
      <c r="BG112">
        <f>survey_responses[[#This Row],[Sau khi xem xét các quyền lợi và nghĩa vụ, bạn có ủng hộ và tuân thủ chính sách mới hiện nay? - HUMAN-OUT1]]</f>
        <v>5</v>
      </c>
      <c r="BH112" t="str">
        <f t="shared" si="52"/>
        <v>Neutral</v>
      </c>
      <c r="BI112" s="32">
        <f t="shared" si="53"/>
        <v>4</v>
      </c>
    </row>
    <row r="113" spans="1:61" x14ac:dyDescent="0.45">
      <c r="A113" s="30">
        <f>step3_validation[[#This Row],[Persona_ID]]</f>
        <v>112</v>
      </c>
      <c r="B113" s="31">
        <f>step3_validation[[#This Row],[Used_Seed]]</f>
        <v>112</v>
      </c>
      <c r="C113" t="str">
        <f>step3_validation[[#This Row],[Gender]]</f>
        <v>Nữ</v>
      </c>
      <c r="D113" t="str">
        <f>survey_responses[[#This Row],[Giới tính của bạn:]]</f>
        <v>Nữ</v>
      </c>
      <c r="E113" t="str">
        <f>step3_validation[[#This Row],[Age_Group]]</f>
        <v>40 - 49</v>
      </c>
      <c r="F113" t="str">
        <f>survey_responses[[#This Row],[Độ tuổi của bạn:]]</f>
        <v>40 - 49</v>
      </c>
      <c r="G113" t="str">
        <f>step3_validation[[#This Row],[Region]]</f>
        <v>Thành thị</v>
      </c>
      <c r="H113" t="str">
        <f>survey_responses[[#This Row],[Khu vực bạn đang sinh sống:]]</f>
        <v>Thành thị</v>
      </c>
      <c r="I113" t="str">
        <f>step3_validation[[#This Row],[Education]]</f>
        <v>Đại học</v>
      </c>
      <c r="J113" t="str">
        <f>survey_responses[[#This Row],[Trình độ học vấn cao nhất:]]</f>
        <v>Đại học</v>
      </c>
      <c r="K113" t="str">
        <f>step3_validation[[#This Row],[Employment]]</f>
        <v>Chính thức</v>
      </c>
      <c r="L113" t="str">
        <f>survey_responses[[#This Row],[Tình trạng việc làm chính:]]</f>
        <v>Khu vực chính thức (Có Hợp đồng lao động, đóng BHXH)</v>
      </c>
      <c r="M113">
        <f>step3_validation[[#This Row],[Income_Mil]]</f>
        <v>18.465836052030621</v>
      </c>
      <c r="N113" t="str">
        <f>survey_responses[[#This Row],[Thu nhập bình quân tháng theo Hợp đồng lao động của bạn là bao nhiêu? (Vui lòng điền tổng thu nhập trước khi khấu trừ các loại Bảo hiểm (BHXH, BHYT, BHTN) và Thuế TNCN)]]</f>
        <v>Từ 18 - 23 triệu VNĐ</v>
      </c>
      <c r="O113">
        <f>step3_validation[[#This Row],[Dependents]]</f>
        <v>2</v>
      </c>
      <c r="P113" t="str">
        <f>survey_responses[[#This Row],[Số người phụ thuộc (con nhỏ, cha mẹ già...) đủ điều kiện giảm trừ gia cảnh:]]</f>
        <v>2 người</v>
      </c>
      <c r="Q113">
        <f>step3_validation[[#This Row],[AI_ENF1]]</f>
        <v>8</v>
      </c>
      <c r="R113" t="str">
        <f t="shared" si="27"/>
        <v>Support</v>
      </c>
      <c r="S113">
        <f>survey_responses[[#This Row],[Tôi tin rằng với các quy định quản lý thuế hiện nay, hành vi gian lận hoặc trốn thuế sẽ dễ dàng bị phát hiện và xử lý nghiêm. - HUMAN-ENF1]]</f>
        <v>7</v>
      </c>
      <c r="T113" t="str">
        <f t="shared" si="28"/>
        <v>Neutral</v>
      </c>
      <c r="U113" s="32">
        <f t="shared" si="29"/>
        <v>1</v>
      </c>
      <c r="V113">
        <f>step3_validation[[#This Row],[AI_ENF2]]</f>
        <v>7</v>
      </c>
      <c r="W113" t="str">
        <f t="shared" si="30"/>
        <v>Neutral</v>
      </c>
      <c r="X113">
        <f>survey_responses[[#This Row],[Tôi tin rằng Nhà nước, cơ quan thuế có đủ khả năng và công nghệ để phát hiện, xử lý nghiêm các hành vi trốn thuế. - HUMAN-ENF2]]</f>
        <v>8</v>
      </c>
      <c r="Y113" t="str">
        <f t="shared" si="31"/>
        <v>Support</v>
      </c>
      <c r="Z113" s="32">
        <f t="shared" si="32"/>
        <v>1</v>
      </c>
      <c r="AA113">
        <f>step3_validation[[#This Row],[AI_FAC1]]</f>
        <v>9</v>
      </c>
      <c r="AB113" t="str">
        <f t="shared" si="33"/>
        <v>Support</v>
      </c>
      <c r="AC113">
        <f>survey_responses[[#This Row],[Các thủ tục khai báo thuế VÀ/HOẶC quy trình làm việc với cơ quan thuế đơn giản, tiện lợi, nhanh chóng hơn so với trước đây. - HUMAN-FAC1]]</f>
        <v>8</v>
      </c>
      <c r="AD113" t="str">
        <f t="shared" si="34"/>
        <v>Support</v>
      </c>
      <c r="AE113" s="32">
        <f t="shared" si="35"/>
        <v>1</v>
      </c>
      <c r="AF113">
        <f>step3_validation[[#This Row],[AI_FAC2]]</f>
        <v>8</v>
      </c>
      <c r="AG113" t="str">
        <f t="shared" si="36"/>
        <v>Support</v>
      </c>
      <c r="AH113">
        <f>survey_responses[[#This Row],[So với trước đây, tôi thấy cách tính thuế và các bậc thuế trong phương án mới đơn giản, dễ hiểu và dễ thực hiện hơn. - HUMAN-FAC2]]</f>
        <v>8</v>
      </c>
      <c r="AI113" t="str">
        <f t="shared" si="37"/>
        <v>Support</v>
      </c>
      <c r="AJ113" s="32">
        <f t="shared" si="38"/>
        <v>0</v>
      </c>
      <c r="AK113">
        <f>step3_validation[[#This Row],[AI_TRU1]]</f>
        <v>9</v>
      </c>
      <c r="AL113" t="str">
        <f t="shared" si="39"/>
        <v>Support</v>
      </c>
      <c r="AM113">
        <f>survey_responses[[#This Row],[Tôi tin rằng Nhà nước, cơ quan thuế sẽ thực thi chính sách mới một cách khách quan, công tâm và đối xử bình đẳng với mọi người nộp thuế.  - HUMAN-TRU1]]</f>
        <v>8</v>
      </c>
      <c r="AN113" t="str">
        <f t="shared" si="40"/>
        <v>Support</v>
      </c>
      <c r="AO113" s="32">
        <f t="shared" si="41"/>
        <v>1</v>
      </c>
      <c r="AP113">
        <f>step3_validation[[#This Row],[AI_TRU2]]</f>
        <v>8</v>
      </c>
      <c r="AQ113" t="str">
        <f t="shared" si="42"/>
        <v>Support</v>
      </c>
      <c r="AR113">
        <f>survey_responses[[#This Row],[Tôi thấy mức thuế tôi phải đóng theo phương án mới là công bằng (người thu nhập như tôi đóng mức này là hợp lý). - HUMAN-TRU2]]</f>
        <v>8</v>
      </c>
      <c r="AS113" t="str">
        <f t="shared" si="43"/>
        <v>Support</v>
      </c>
      <c r="AT113" s="32">
        <f t="shared" si="44"/>
        <v>0</v>
      </c>
      <c r="AU113">
        <f>step3_validation[[#This Row],[AI_TRU3]]</f>
        <v>9</v>
      </c>
      <c r="AV113" t="str">
        <f t="shared" si="45"/>
        <v>Support</v>
      </c>
      <c r="AW113">
        <f>survey_responses[[#This Row],[Tôi tin tưởng số tiền thuế tôi đóng sẽ được Nhà nước sử dụng hiệu quả để cải thiện dịch vụ công (y tế, đường xá...). - HUMAN-TRU3]]</f>
        <v>8</v>
      </c>
      <c r="AX113" t="str">
        <f t="shared" si="46"/>
        <v>Support</v>
      </c>
      <c r="AY113" s="32">
        <f t="shared" si="47"/>
        <v>1</v>
      </c>
      <c r="AZ113">
        <f>step3_validation[[#This Row],[AI_TRU4]]</f>
        <v>7</v>
      </c>
      <c r="BA113" t="str">
        <f t="shared" si="48"/>
        <v>Neutral</v>
      </c>
      <c r="BB113">
        <f>survey_responses[[#This Row],[Tôi thấy Nhà nước đã giải thích rõ ràng, minh bạch về lý do và mục tiêu của việc sửa đổi thuế lần này. - HUMAN-TRU4]]</f>
        <v>8</v>
      </c>
      <c r="BC113" t="str">
        <f t="shared" si="49"/>
        <v>Support</v>
      </c>
      <c r="BD113" s="32">
        <f t="shared" si="50"/>
        <v>1</v>
      </c>
      <c r="BE113">
        <f>step3_validation[[#This Row],[AI_OUT1]]</f>
        <v>9</v>
      </c>
      <c r="BF113" t="str">
        <f t="shared" si="51"/>
        <v>Support</v>
      </c>
      <c r="BG113">
        <f>survey_responses[[#This Row],[Sau khi xem xét các quyền lợi và nghĩa vụ, bạn có ủng hộ và tuân thủ chính sách mới hiện nay? - HUMAN-OUT1]]</f>
        <v>8</v>
      </c>
      <c r="BH113" t="str">
        <f t="shared" si="52"/>
        <v>Support</v>
      </c>
      <c r="BI113" s="32">
        <f t="shared" si="53"/>
        <v>1</v>
      </c>
    </row>
    <row r="114" spans="1:61" x14ac:dyDescent="0.45">
      <c r="A114" s="30">
        <f>step3_validation[[#This Row],[Persona_ID]]</f>
        <v>113</v>
      </c>
      <c r="B114" s="31">
        <f>step3_validation[[#This Row],[Used_Seed]]</f>
        <v>113</v>
      </c>
      <c r="C114" t="str">
        <f>step3_validation[[#This Row],[Gender]]</f>
        <v>Nữ</v>
      </c>
      <c r="D114" t="str">
        <f>survey_responses[[#This Row],[Giới tính của bạn:]]</f>
        <v>Nữ</v>
      </c>
      <c r="E114" t="str">
        <f>step3_validation[[#This Row],[Age_Group]]</f>
        <v>30 - 39</v>
      </c>
      <c r="F114" t="str">
        <f>survey_responses[[#This Row],[Độ tuổi của bạn:]]</f>
        <v>30 - 39</v>
      </c>
      <c r="G114" t="str">
        <f>step3_validation[[#This Row],[Region]]</f>
        <v>Thành thị</v>
      </c>
      <c r="H114" t="str">
        <f>survey_responses[[#This Row],[Khu vực bạn đang sinh sống:]]</f>
        <v>Thành thị</v>
      </c>
      <c r="I114" t="str">
        <f>step3_validation[[#This Row],[Education]]</f>
        <v>Đại học</v>
      </c>
      <c r="J114" t="str">
        <f>survey_responses[[#This Row],[Trình độ học vấn cao nhất:]]</f>
        <v>Đại học</v>
      </c>
      <c r="K114" t="str">
        <f>step3_validation[[#This Row],[Employment]]</f>
        <v>Chính thức</v>
      </c>
      <c r="L114" t="str">
        <f>survey_responses[[#This Row],[Tình trạng việc làm chính:]]</f>
        <v>Khu vực chính thức (Có Hợp đồng lao động, đóng BHXH)</v>
      </c>
      <c r="M114">
        <f>step3_validation[[#This Row],[Income_Mil]]</f>
        <v>12</v>
      </c>
      <c r="N114" t="str">
        <f>survey_responses[[#This Row],[Thu nhập bình quân tháng theo Hợp đồng lao động của bạn là bao nhiêu? (Vui lòng điền tổng thu nhập trước khi khấu trừ các loại Bảo hiểm (BHXH, BHYT, BHTN) và Thuế TNCN)]]</f>
        <v>Dưới 12 triệu VNĐ</v>
      </c>
      <c r="O114">
        <f>step3_validation[[#This Row],[Dependents]]</f>
        <v>3</v>
      </c>
      <c r="P114" t="str">
        <f>survey_responses[[#This Row],[Số người phụ thuộc (con nhỏ, cha mẹ già...) đủ điều kiện giảm trừ gia cảnh:]]</f>
        <v>3 người</v>
      </c>
      <c r="Q114">
        <f>step3_validation[[#This Row],[AI_ENF1]]</f>
        <v>6</v>
      </c>
      <c r="R114" t="str">
        <f t="shared" si="27"/>
        <v>Neutral</v>
      </c>
      <c r="S114">
        <f>survey_responses[[#This Row],[Tôi tin rằng với các quy định quản lý thuế hiện nay, hành vi gian lận hoặc trốn thuế sẽ dễ dàng bị phát hiện và xử lý nghiêm. - HUMAN-ENF1]]</f>
        <v>1</v>
      </c>
      <c r="T114" t="str">
        <f t="shared" si="28"/>
        <v>Oppose</v>
      </c>
      <c r="U114" s="32">
        <f t="shared" si="29"/>
        <v>5</v>
      </c>
      <c r="V114">
        <f>step3_validation[[#This Row],[AI_ENF2]]</f>
        <v>8</v>
      </c>
      <c r="W114" t="str">
        <f t="shared" si="30"/>
        <v>Support</v>
      </c>
      <c r="X114">
        <f>survey_responses[[#This Row],[Tôi tin rằng Nhà nước, cơ quan thuế có đủ khả năng và công nghệ để phát hiện, xử lý nghiêm các hành vi trốn thuế. - HUMAN-ENF2]]</f>
        <v>1</v>
      </c>
      <c r="Y114" t="str">
        <f t="shared" si="31"/>
        <v>Oppose</v>
      </c>
      <c r="Z114" s="32">
        <f t="shared" si="32"/>
        <v>7</v>
      </c>
      <c r="AA114">
        <f>step3_validation[[#This Row],[AI_FAC1]]</f>
        <v>9</v>
      </c>
      <c r="AB114" t="str">
        <f t="shared" si="33"/>
        <v>Support</v>
      </c>
      <c r="AC114">
        <f>survey_responses[[#This Row],[Các thủ tục khai báo thuế VÀ/HOẶC quy trình làm việc với cơ quan thuế đơn giản, tiện lợi, nhanh chóng hơn so với trước đây. - HUMAN-FAC1]]</f>
        <v>1</v>
      </c>
      <c r="AD114" t="str">
        <f t="shared" si="34"/>
        <v>Oppose</v>
      </c>
      <c r="AE114" s="32">
        <f t="shared" si="35"/>
        <v>8</v>
      </c>
      <c r="AF114">
        <f>step3_validation[[#This Row],[AI_FAC2]]</f>
        <v>10</v>
      </c>
      <c r="AG114" t="str">
        <f t="shared" si="36"/>
        <v>Support</v>
      </c>
      <c r="AH114">
        <f>survey_responses[[#This Row],[So với trước đây, tôi thấy cách tính thuế và các bậc thuế trong phương án mới đơn giản, dễ hiểu và dễ thực hiện hơn. - HUMAN-FAC2]]</f>
        <v>1</v>
      </c>
      <c r="AI114" t="str">
        <f t="shared" si="37"/>
        <v>Oppose</v>
      </c>
      <c r="AJ114" s="32">
        <f t="shared" si="38"/>
        <v>9</v>
      </c>
      <c r="AK114">
        <f>step3_validation[[#This Row],[AI_TRU1]]</f>
        <v>8</v>
      </c>
      <c r="AL114" t="str">
        <f t="shared" si="39"/>
        <v>Support</v>
      </c>
      <c r="AM114">
        <f>survey_responses[[#This Row],[Tôi tin rằng Nhà nước, cơ quan thuế sẽ thực thi chính sách mới một cách khách quan, công tâm và đối xử bình đẳng với mọi người nộp thuế.  - HUMAN-TRU1]]</f>
        <v>1</v>
      </c>
      <c r="AN114" t="str">
        <f t="shared" si="40"/>
        <v>Oppose</v>
      </c>
      <c r="AO114" s="32">
        <f t="shared" si="41"/>
        <v>7</v>
      </c>
      <c r="AP114">
        <f>step3_validation[[#This Row],[AI_TRU2]]</f>
        <v>9</v>
      </c>
      <c r="AQ114" t="str">
        <f t="shared" si="42"/>
        <v>Support</v>
      </c>
      <c r="AR114">
        <f>survey_responses[[#This Row],[Tôi thấy mức thuế tôi phải đóng theo phương án mới là công bằng (người thu nhập như tôi đóng mức này là hợp lý). - HUMAN-TRU2]]</f>
        <v>1</v>
      </c>
      <c r="AS114" t="str">
        <f t="shared" si="43"/>
        <v>Oppose</v>
      </c>
      <c r="AT114" s="32">
        <f t="shared" si="44"/>
        <v>8</v>
      </c>
      <c r="AU114">
        <f>step3_validation[[#This Row],[AI_TRU3]]</f>
        <v>8</v>
      </c>
      <c r="AV114" t="str">
        <f t="shared" si="45"/>
        <v>Support</v>
      </c>
      <c r="AW114">
        <f>survey_responses[[#This Row],[Tôi tin tưởng số tiền thuế tôi đóng sẽ được Nhà nước sử dụng hiệu quả để cải thiện dịch vụ công (y tế, đường xá...). - HUMAN-TRU3]]</f>
        <v>1</v>
      </c>
      <c r="AX114" t="str">
        <f t="shared" si="46"/>
        <v>Oppose</v>
      </c>
      <c r="AY114" s="32">
        <f t="shared" si="47"/>
        <v>7</v>
      </c>
      <c r="AZ114">
        <f>step3_validation[[#This Row],[AI_TRU4]]</f>
        <v>9</v>
      </c>
      <c r="BA114" t="str">
        <f t="shared" si="48"/>
        <v>Support</v>
      </c>
      <c r="BB114">
        <f>survey_responses[[#This Row],[Tôi thấy Nhà nước đã giải thích rõ ràng, minh bạch về lý do và mục tiêu của việc sửa đổi thuế lần này. - HUMAN-TRU4]]</f>
        <v>1</v>
      </c>
      <c r="BC114" t="str">
        <f t="shared" si="49"/>
        <v>Oppose</v>
      </c>
      <c r="BD114" s="32">
        <f t="shared" si="50"/>
        <v>8</v>
      </c>
      <c r="BE114">
        <f>step3_validation[[#This Row],[AI_OUT1]]</f>
        <v>9</v>
      </c>
      <c r="BF114" t="str">
        <f t="shared" si="51"/>
        <v>Support</v>
      </c>
      <c r="BG114">
        <f>survey_responses[[#This Row],[Sau khi xem xét các quyền lợi và nghĩa vụ, bạn có ủng hộ và tuân thủ chính sách mới hiện nay? - HUMAN-OUT1]]</f>
        <v>1</v>
      </c>
      <c r="BH114" t="str">
        <f t="shared" si="52"/>
        <v>Oppose</v>
      </c>
      <c r="BI114" s="32">
        <f t="shared" si="53"/>
        <v>8</v>
      </c>
    </row>
    <row r="115" spans="1:61" x14ac:dyDescent="0.45">
      <c r="A115" s="30">
        <f>step3_validation[[#This Row],[Persona_ID]]</f>
        <v>114</v>
      </c>
      <c r="B115" s="31">
        <f>step3_validation[[#This Row],[Used_Seed]]</f>
        <v>114</v>
      </c>
      <c r="C115" t="str">
        <f>step3_validation[[#This Row],[Gender]]</f>
        <v>Nữ</v>
      </c>
      <c r="D115" t="str">
        <f>survey_responses[[#This Row],[Giới tính của bạn:]]</f>
        <v>Nữ</v>
      </c>
      <c r="E115" t="str">
        <f>step3_validation[[#This Row],[Age_Group]]</f>
        <v>40 - 49</v>
      </c>
      <c r="F115" t="str">
        <f>survey_responses[[#This Row],[Độ tuổi của bạn:]]</f>
        <v>40 - 49</v>
      </c>
      <c r="G115" t="str">
        <f>step3_validation[[#This Row],[Region]]</f>
        <v>Thành thị</v>
      </c>
      <c r="H115" t="str">
        <f>survey_responses[[#This Row],[Khu vực bạn đang sinh sống:]]</f>
        <v>Thành thị</v>
      </c>
      <c r="I115" t="str">
        <f>step3_validation[[#This Row],[Education]]</f>
        <v>Đại học</v>
      </c>
      <c r="J115" t="str">
        <f>survey_responses[[#This Row],[Trình độ học vấn cao nhất:]]</f>
        <v>Đại học</v>
      </c>
      <c r="K115" t="str">
        <f>step3_validation[[#This Row],[Employment]]</f>
        <v>Chính thức</v>
      </c>
      <c r="L115" t="str">
        <f>survey_responses[[#This Row],[Tình trạng việc làm chính:]]</f>
        <v>Khu vực chính thức (Có Hợp đồng lao động, đóng BHXH)</v>
      </c>
      <c r="M115">
        <f>step3_validation[[#This Row],[Income_Mil]]</f>
        <v>20.911553098038741</v>
      </c>
      <c r="N115" t="str">
        <f>survey_responses[[#This Row],[Thu nhập bình quân tháng theo Hợp đồng lao động của bạn là bao nhiêu? (Vui lòng điền tổng thu nhập trước khi khấu trừ các loại Bảo hiểm (BHXH, BHYT, BHTN) và Thuế TNCN)]]</f>
        <v>Từ 18 - 23 triệu VNĐ</v>
      </c>
      <c r="O115">
        <f>step3_validation[[#This Row],[Dependents]]</f>
        <v>4</v>
      </c>
      <c r="P115" t="str">
        <f>survey_responses[[#This Row],[Số người phụ thuộc (con nhỏ, cha mẹ già...) đủ điều kiện giảm trừ gia cảnh:]]</f>
        <v>4 người trở lên</v>
      </c>
      <c r="Q115">
        <f>step3_validation[[#This Row],[AI_ENF1]]</f>
        <v>8</v>
      </c>
      <c r="R115" t="str">
        <f t="shared" si="27"/>
        <v>Support</v>
      </c>
      <c r="S115">
        <f>survey_responses[[#This Row],[Tôi tin rằng với các quy định quản lý thuế hiện nay, hành vi gian lận hoặc trốn thuế sẽ dễ dàng bị phát hiện và xử lý nghiêm. - HUMAN-ENF1]]</f>
        <v>10</v>
      </c>
      <c r="T115" t="str">
        <f t="shared" si="28"/>
        <v>Support</v>
      </c>
      <c r="U115" s="32">
        <f t="shared" si="29"/>
        <v>2</v>
      </c>
      <c r="V115">
        <f>step3_validation[[#This Row],[AI_ENF2]]</f>
        <v>9</v>
      </c>
      <c r="W115" t="str">
        <f t="shared" si="30"/>
        <v>Support</v>
      </c>
      <c r="X115">
        <f>survey_responses[[#This Row],[Tôi tin rằng Nhà nước, cơ quan thuế có đủ khả năng và công nghệ để phát hiện, xử lý nghiêm các hành vi trốn thuế. - HUMAN-ENF2]]</f>
        <v>10</v>
      </c>
      <c r="Y115" t="str">
        <f t="shared" si="31"/>
        <v>Support</v>
      </c>
      <c r="Z115" s="32">
        <f t="shared" si="32"/>
        <v>1</v>
      </c>
      <c r="AA115">
        <f>step3_validation[[#This Row],[AI_FAC1]]</f>
        <v>6</v>
      </c>
      <c r="AB115" t="str">
        <f t="shared" si="33"/>
        <v>Neutral</v>
      </c>
      <c r="AC115">
        <f>survey_responses[[#This Row],[Các thủ tục khai báo thuế VÀ/HOẶC quy trình làm việc với cơ quan thuế đơn giản, tiện lợi, nhanh chóng hơn so với trước đây. - HUMAN-FAC1]]</f>
        <v>10</v>
      </c>
      <c r="AD115" t="str">
        <f t="shared" si="34"/>
        <v>Support</v>
      </c>
      <c r="AE115" s="32">
        <f t="shared" si="35"/>
        <v>4</v>
      </c>
      <c r="AF115">
        <f>step3_validation[[#This Row],[AI_FAC2]]</f>
        <v>8</v>
      </c>
      <c r="AG115" t="str">
        <f t="shared" si="36"/>
        <v>Support</v>
      </c>
      <c r="AH115">
        <f>survey_responses[[#This Row],[So với trước đây, tôi thấy cách tính thuế và các bậc thuế trong phương án mới đơn giản, dễ hiểu và dễ thực hiện hơn. - HUMAN-FAC2]]</f>
        <v>10</v>
      </c>
      <c r="AI115" t="str">
        <f t="shared" si="37"/>
        <v>Support</v>
      </c>
      <c r="AJ115" s="32">
        <f t="shared" si="38"/>
        <v>2</v>
      </c>
      <c r="AK115">
        <f>step3_validation[[#This Row],[AI_TRU1]]</f>
        <v>7</v>
      </c>
      <c r="AL115" t="str">
        <f t="shared" si="39"/>
        <v>Neutral</v>
      </c>
      <c r="AM115">
        <f>survey_responses[[#This Row],[Tôi tin rằng Nhà nước, cơ quan thuế sẽ thực thi chính sách mới một cách khách quan, công tâm và đối xử bình đẳng với mọi người nộp thuế.  - HUMAN-TRU1]]</f>
        <v>10</v>
      </c>
      <c r="AN115" t="str">
        <f t="shared" si="40"/>
        <v>Support</v>
      </c>
      <c r="AO115" s="32">
        <f t="shared" si="41"/>
        <v>3</v>
      </c>
      <c r="AP115">
        <f>step3_validation[[#This Row],[AI_TRU2]]</f>
        <v>8</v>
      </c>
      <c r="AQ115" t="str">
        <f t="shared" si="42"/>
        <v>Support</v>
      </c>
      <c r="AR115">
        <f>survey_responses[[#This Row],[Tôi thấy mức thuế tôi phải đóng theo phương án mới là công bằng (người thu nhập như tôi đóng mức này là hợp lý). - HUMAN-TRU2]]</f>
        <v>10</v>
      </c>
      <c r="AS115" t="str">
        <f t="shared" si="43"/>
        <v>Support</v>
      </c>
      <c r="AT115" s="32">
        <f t="shared" si="44"/>
        <v>2</v>
      </c>
      <c r="AU115">
        <f>step3_validation[[#This Row],[AI_TRU3]]</f>
        <v>7</v>
      </c>
      <c r="AV115" t="str">
        <f t="shared" si="45"/>
        <v>Neutral</v>
      </c>
      <c r="AW115">
        <f>survey_responses[[#This Row],[Tôi tin tưởng số tiền thuế tôi đóng sẽ được Nhà nước sử dụng hiệu quả để cải thiện dịch vụ công (y tế, đường xá...). - HUMAN-TRU3]]</f>
        <v>10</v>
      </c>
      <c r="AX115" t="str">
        <f t="shared" si="46"/>
        <v>Support</v>
      </c>
      <c r="AY115" s="32">
        <f t="shared" si="47"/>
        <v>3</v>
      </c>
      <c r="AZ115">
        <f>step3_validation[[#This Row],[AI_TRU4]]</f>
        <v>6</v>
      </c>
      <c r="BA115" t="str">
        <f t="shared" si="48"/>
        <v>Neutral</v>
      </c>
      <c r="BB115">
        <f>survey_responses[[#This Row],[Tôi thấy Nhà nước đã giải thích rõ ràng, minh bạch về lý do và mục tiêu của việc sửa đổi thuế lần này. - HUMAN-TRU4]]</f>
        <v>10</v>
      </c>
      <c r="BC115" t="str">
        <f t="shared" si="49"/>
        <v>Support</v>
      </c>
      <c r="BD115" s="32">
        <f t="shared" si="50"/>
        <v>4</v>
      </c>
      <c r="BE115">
        <f>step3_validation[[#This Row],[AI_OUT1]]</f>
        <v>9</v>
      </c>
      <c r="BF115" t="str">
        <f t="shared" si="51"/>
        <v>Support</v>
      </c>
      <c r="BG115">
        <f>survey_responses[[#This Row],[Sau khi xem xét các quyền lợi và nghĩa vụ, bạn có ủng hộ và tuân thủ chính sách mới hiện nay? - HUMAN-OUT1]]</f>
        <v>10</v>
      </c>
      <c r="BH115" t="str">
        <f t="shared" si="52"/>
        <v>Support</v>
      </c>
      <c r="BI115" s="32">
        <f t="shared" si="53"/>
        <v>1</v>
      </c>
    </row>
    <row r="116" spans="1:61" x14ac:dyDescent="0.45">
      <c r="A116" s="30">
        <f>step3_validation[[#This Row],[Persona_ID]]</f>
        <v>115</v>
      </c>
      <c r="B116" s="31">
        <f>step3_validation[[#This Row],[Used_Seed]]</f>
        <v>115</v>
      </c>
      <c r="C116" t="str">
        <f>step3_validation[[#This Row],[Gender]]</f>
        <v>Nữ</v>
      </c>
      <c r="D116" t="str">
        <f>survey_responses[[#This Row],[Giới tính của bạn:]]</f>
        <v>Nữ</v>
      </c>
      <c r="E116" t="str">
        <f>step3_validation[[#This Row],[Age_Group]]</f>
        <v>40 - 49</v>
      </c>
      <c r="F116" t="str">
        <f>survey_responses[[#This Row],[Độ tuổi của bạn:]]</f>
        <v>40 - 49</v>
      </c>
      <c r="G116" t="str">
        <f>step3_validation[[#This Row],[Region]]</f>
        <v>Thành thị</v>
      </c>
      <c r="H116" t="str">
        <f>survey_responses[[#This Row],[Khu vực bạn đang sinh sống:]]</f>
        <v>Thành thị</v>
      </c>
      <c r="I116" t="str">
        <f>step3_validation[[#This Row],[Education]]</f>
        <v>Sau Đại học</v>
      </c>
      <c r="J116" t="str">
        <f>survey_responses[[#This Row],[Trình độ học vấn cao nhất:]]</f>
        <v>Sau Đại học</v>
      </c>
      <c r="K116" t="str">
        <f>step3_validation[[#This Row],[Employment]]</f>
        <v>Chính thức</v>
      </c>
      <c r="L116" t="str">
        <f>survey_responses[[#This Row],[Tình trạng việc làm chính:]]</f>
        <v>Khu vực chính thức (Có Hợp đồng lao động, đóng BHXH)</v>
      </c>
      <c r="M116">
        <f>step3_validation[[#This Row],[Income_Mil]]</f>
        <v>15.511690120943902</v>
      </c>
      <c r="N116" t="str">
        <f>survey_responses[[#This Row],[Thu nhập bình quân tháng theo Hợp đồng lao động của bạn là bao nhiêu? (Vui lòng điền tổng thu nhập trước khi khấu trừ các loại Bảo hiểm (BHXH, BHYT, BHTN) và Thuế TNCN)]]</f>
        <v>Từ 12 - 18 triệu VNĐ</v>
      </c>
      <c r="O116">
        <f>step3_validation[[#This Row],[Dependents]]</f>
        <v>4</v>
      </c>
      <c r="P116" t="str">
        <f>survey_responses[[#This Row],[Số người phụ thuộc (con nhỏ, cha mẹ già...) đủ điều kiện giảm trừ gia cảnh:]]</f>
        <v>4 người trở lên</v>
      </c>
      <c r="Q116">
        <f>step3_validation[[#This Row],[AI_ENF1]]</f>
        <v>5</v>
      </c>
      <c r="R116" t="str">
        <f t="shared" si="27"/>
        <v>Neutral</v>
      </c>
      <c r="S116">
        <f>survey_responses[[#This Row],[Tôi tin rằng với các quy định quản lý thuế hiện nay, hành vi gian lận hoặc trốn thuế sẽ dễ dàng bị phát hiện và xử lý nghiêm. - HUMAN-ENF1]]</f>
        <v>1</v>
      </c>
      <c r="T116" t="str">
        <f t="shared" si="28"/>
        <v>Oppose</v>
      </c>
      <c r="U116" s="32">
        <f t="shared" si="29"/>
        <v>4</v>
      </c>
      <c r="V116">
        <f>step3_validation[[#This Row],[AI_ENF2]]</f>
        <v>6</v>
      </c>
      <c r="W116" t="str">
        <f t="shared" si="30"/>
        <v>Neutral</v>
      </c>
      <c r="X116">
        <f>survey_responses[[#This Row],[Tôi tin rằng Nhà nước, cơ quan thuế có đủ khả năng và công nghệ để phát hiện, xử lý nghiêm các hành vi trốn thuế. - HUMAN-ENF2]]</f>
        <v>1</v>
      </c>
      <c r="Y116" t="str">
        <f t="shared" si="31"/>
        <v>Oppose</v>
      </c>
      <c r="Z116" s="32">
        <f t="shared" si="32"/>
        <v>5</v>
      </c>
      <c r="AA116">
        <f>step3_validation[[#This Row],[AI_FAC1]]</f>
        <v>8</v>
      </c>
      <c r="AB116" t="str">
        <f t="shared" si="33"/>
        <v>Support</v>
      </c>
      <c r="AC116">
        <f>survey_responses[[#This Row],[Các thủ tục khai báo thuế VÀ/HOẶC quy trình làm việc với cơ quan thuế đơn giản, tiện lợi, nhanh chóng hơn so với trước đây. - HUMAN-FAC1]]</f>
        <v>1</v>
      </c>
      <c r="AD116" t="str">
        <f t="shared" si="34"/>
        <v>Oppose</v>
      </c>
      <c r="AE116" s="32">
        <f t="shared" si="35"/>
        <v>7</v>
      </c>
      <c r="AF116">
        <f>step3_validation[[#This Row],[AI_FAC2]]</f>
        <v>7</v>
      </c>
      <c r="AG116" t="str">
        <f t="shared" si="36"/>
        <v>Neutral</v>
      </c>
      <c r="AH116">
        <f>survey_responses[[#This Row],[So với trước đây, tôi thấy cách tính thuế và các bậc thuế trong phương án mới đơn giản, dễ hiểu và dễ thực hiện hơn. - HUMAN-FAC2]]</f>
        <v>1</v>
      </c>
      <c r="AI116" t="str">
        <f t="shared" si="37"/>
        <v>Oppose</v>
      </c>
      <c r="AJ116" s="32">
        <f t="shared" si="38"/>
        <v>6</v>
      </c>
      <c r="AK116">
        <f>step3_validation[[#This Row],[AI_TRU1]]</f>
        <v>8</v>
      </c>
      <c r="AL116" t="str">
        <f t="shared" si="39"/>
        <v>Support</v>
      </c>
      <c r="AM116">
        <f>survey_responses[[#This Row],[Tôi tin rằng Nhà nước, cơ quan thuế sẽ thực thi chính sách mới một cách khách quan, công tâm và đối xử bình đẳng với mọi người nộp thuế.  - HUMAN-TRU1]]</f>
        <v>1</v>
      </c>
      <c r="AN116" t="str">
        <f t="shared" si="40"/>
        <v>Oppose</v>
      </c>
      <c r="AO116" s="32">
        <f t="shared" si="41"/>
        <v>7</v>
      </c>
      <c r="AP116">
        <f>step3_validation[[#This Row],[AI_TRU2]]</f>
        <v>9</v>
      </c>
      <c r="AQ116" t="str">
        <f t="shared" si="42"/>
        <v>Support</v>
      </c>
      <c r="AR116">
        <f>survey_responses[[#This Row],[Tôi thấy mức thuế tôi phải đóng theo phương án mới là công bằng (người thu nhập như tôi đóng mức này là hợp lý). - HUMAN-TRU2]]</f>
        <v>1</v>
      </c>
      <c r="AS116" t="str">
        <f t="shared" si="43"/>
        <v>Oppose</v>
      </c>
      <c r="AT116" s="32">
        <f t="shared" si="44"/>
        <v>8</v>
      </c>
      <c r="AU116">
        <f>step3_validation[[#This Row],[AI_TRU3]]</f>
        <v>8</v>
      </c>
      <c r="AV116" t="str">
        <f t="shared" si="45"/>
        <v>Support</v>
      </c>
      <c r="AW116">
        <f>survey_responses[[#This Row],[Tôi tin tưởng số tiền thuế tôi đóng sẽ được Nhà nước sử dụng hiệu quả để cải thiện dịch vụ công (y tế, đường xá...). - HUMAN-TRU3]]</f>
        <v>1</v>
      </c>
      <c r="AX116" t="str">
        <f t="shared" si="46"/>
        <v>Oppose</v>
      </c>
      <c r="AY116" s="32">
        <f t="shared" si="47"/>
        <v>7</v>
      </c>
      <c r="AZ116">
        <f>step3_validation[[#This Row],[AI_TRU4]]</f>
        <v>9</v>
      </c>
      <c r="BA116" t="str">
        <f t="shared" si="48"/>
        <v>Support</v>
      </c>
      <c r="BB116">
        <f>survey_responses[[#This Row],[Tôi thấy Nhà nước đã giải thích rõ ràng, minh bạch về lý do và mục tiêu của việc sửa đổi thuế lần này. - HUMAN-TRU4]]</f>
        <v>1</v>
      </c>
      <c r="BC116" t="str">
        <f t="shared" si="49"/>
        <v>Oppose</v>
      </c>
      <c r="BD116" s="32">
        <f t="shared" si="50"/>
        <v>8</v>
      </c>
      <c r="BE116">
        <f>step3_validation[[#This Row],[AI_OUT1]]</f>
        <v>9</v>
      </c>
      <c r="BF116" t="str">
        <f t="shared" si="51"/>
        <v>Support</v>
      </c>
      <c r="BG116">
        <f>survey_responses[[#This Row],[Sau khi xem xét các quyền lợi và nghĩa vụ, bạn có ủng hộ và tuân thủ chính sách mới hiện nay? - HUMAN-OUT1]]</f>
        <v>1</v>
      </c>
      <c r="BH116" t="str">
        <f t="shared" si="52"/>
        <v>Oppose</v>
      </c>
      <c r="BI116" s="32">
        <f t="shared" si="53"/>
        <v>8</v>
      </c>
    </row>
    <row r="117" spans="1:61" x14ac:dyDescent="0.45">
      <c r="A117" s="30">
        <f>step3_validation[[#This Row],[Persona_ID]]</f>
        <v>116</v>
      </c>
      <c r="B117" s="31">
        <f>step3_validation[[#This Row],[Used_Seed]]</f>
        <v>116</v>
      </c>
      <c r="C117" t="str">
        <f>step3_validation[[#This Row],[Gender]]</f>
        <v>Nữ</v>
      </c>
      <c r="D117" t="str">
        <f>survey_responses[[#This Row],[Giới tính của bạn:]]</f>
        <v>Nữ</v>
      </c>
      <c r="E117" t="str">
        <f>step3_validation[[#This Row],[Age_Group]]</f>
        <v>40 - 49</v>
      </c>
      <c r="F117" t="str">
        <f>survey_responses[[#This Row],[Độ tuổi của bạn:]]</f>
        <v>40 - 49</v>
      </c>
      <c r="G117" t="str">
        <f>step3_validation[[#This Row],[Region]]</f>
        <v>Thành thị</v>
      </c>
      <c r="H117" t="str">
        <f>survey_responses[[#This Row],[Khu vực bạn đang sinh sống:]]</f>
        <v>Thành thị</v>
      </c>
      <c r="I117" t="str">
        <f>step3_validation[[#This Row],[Education]]</f>
        <v>Sau Đại học</v>
      </c>
      <c r="J117" t="str">
        <f>survey_responses[[#This Row],[Trình độ học vấn cao nhất:]]</f>
        <v>Sau Đại học</v>
      </c>
      <c r="K117" t="str">
        <f>step3_validation[[#This Row],[Employment]]</f>
        <v>Chính thức</v>
      </c>
      <c r="L117" t="str">
        <f>survey_responses[[#This Row],[Tình trạng việc làm chính:]]</f>
        <v>Khu vực chính thức (Có Hợp đồng lao động, đóng BHXH)</v>
      </c>
      <c r="M117">
        <f>step3_validation[[#This Row],[Income_Mil]]</f>
        <v>12.861848829356802</v>
      </c>
      <c r="N117" t="str">
        <f>survey_responses[[#This Row],[Thu nhập bình quân tháng theo Hợp đồng lao động của bạn là bao nhiêu? (Vui lòng điền tổng thu nhập trước khi khấu trừ các loại Bảo hiểm (BHXH, BHYT, BHTN) và Thuế TNCN)]]</f>
        <v>Từ 12 - 18 triệu VNĐ</v>
      </c>
      <c r="O117">
        <f>step3_validation[[#This Row],[Dependents]]</f>
        <v>0</v>
      </c>
      <c r="P117" t="str">
        <f>survey_responses[[#This Row],[Số người phụ thuộc (con nhỏ, cha mẹ già...) đủ điều kiện giảm trừ gia cảnh:]]</f>
        <v>0 người</v>
      </c>
      <c r="Q117">
        <f>step3_validation[[#This Row],[AI_ENF1]]</f>
        <v>7</v>
      </c>
      <c r="R117" t="str">
        <f t="shared" si="27"/>
        <v>Neutral</v>
      </c>
      <c r="S117">
        <f>survey_responses[[#This Row],[Tôi tin rằng với các quy định quản lý thuế hiện nay, hành vi gian lận hoặc trốn thuế sẽ dễ dàng bị phát hiện và xử lý nghiêm. - HUMAN-ENF1]]</f>
        <v>9</v>
      </c>
      <c r="T117" t="str">
        <f t="shared" si="28"/>
        <v>Support</v>
      </c>
      <c r="U117" s="32">
        <f t="shared" si="29"/>
        <v>2</v>
      </c>
      <c r="V117">
        <f>step3_validation[[#This Row],[AI_ENF2]]</f>
        <v>7</v>
      </c>
      <c r="W117" t="str">
        <f t="shared" si="30"/>
        <v>Neutral</v>
      </c>
      <c r="X117">
        <f>survey_responses[[#This Row],[Tôi tin rằng Nhà nước, cơ quan thuế có đủ khả năng và công nghệ để phát hiện, xử lý nghiêm các hành vi trốn thuế. - HUMAN-ENF2]]</f>
        <v>9</v>
      </c>
      <c r="Y117" t="str">
        <f t="shared" si="31"/>
        <v>Support</v>
      </c>
      <c r="Z117" s="32">
        <f t="shared" si="32"/>
        <v>2</v>
      </c>
      <c r="AA117">
        <f>step3_validation[[#This Row],[AI_FAC1]]</f>
        <v>8</v>
      </c>
      <c r="AB117" t="str">
        <f t="shared" si="33"/>
        <v>Support</v>
      </c>
      <c r="AC117">
        <f>survey_responses[[#This Row],[Các thủ tục khai báo thuế VÀ/HOẶC quy trình làm việc với cơ quan thuế đơn giản, tiện lợi, nhanh chóng hơn so với trước đây. - HUMAN-FAC1]]</f>
        <v>9</v>
      </c>
      <c r="AD117" t="str">
        <f t="shared" si="34"/>
        <v>Support</v>
      </c>
      <c r="AE117" s="32">
        <f t="shared" si="35"/>
        <v>1</v>
      </c>
      <c r="AF117">
        <f>step3_validation[[#This Row],[AI_FAC2]]</f>
        <v>9</v>
      </c>
      <c r="AG117" t="str">
        <f t="shared" si="36"/>
        <v>Support</v>
      </c>
      <c r="AH117">
        <f>survey_responses[[#This Row],[So với trước đây, tôi thấy cách tính thuế và các bậc thuế trong phương án mới đơn giản, dễ hiểu và dễ thực hiện hơn. - HUMAN-FAC2]]</f>
        <v>9</v>
      </c>
      <c r="AI117" t="str">
        <f t="shared" si="37"/>
        <v>Support</v>
      </c>
      <c r="AJ117" s="32">
        <f t="shared" si="38"/>
        <v>0</v>
      </c>
      <c r="AK117">
        <f>step3_validation[[#This Row],[AI_TRU1]]</f>
        <v>8</v>
      </c>
      <c r="AL117" t="str">
        <f t="shared" si="39"/>
        <v>Support</v>
      </c>
      <c r="AM117">
        <f>survey_responses[[#This Row],[Tôi tin rằng Nhà nước, cơ quan thuế sẽ thực thi chính sách mới một cách khách quan, công tâm và đối xử bình đẳng với mọi người nộp thuế.  - HUMAN-TRU1]]</f>
        <v>9</v>
      </c>
      <c r="AN117" t="str">
        <f t="shared" si="40"/>
        <v>Support</v>
      </c>
      <c r="AO117" s="32">
        <f t="shared" si="41"/>
        <v>1</v>
      </c>
      <c r="AP117">
        <f>step3_validation[[#This Row],[AI_TRU2]]</f>
        <v>7</v>
      </c>
      <c r="AQ117" t="str">
        <f t="shared" si="42"/>
        <v>Neutral</v>
      </c>
      <c r="AR117">
        <f>survey_responses[[#This Row],[Tôi thấy mức thuế tôi phải đóng theo phương án mới là công bằng (người thu nhập như tôi đóng mức này là hợp lý). - HUMAN-TRU2]]</f>
        <v>9</v>
      </c>
      <c r="AS117" t="str">
        <f t="shared" si="43"/>
        <v>Support</v>
      </c>
      <c r="AT117" s="32">
        <f t="shared" si="44"/>
        <v>2</v>
      </c>
      <c r="AU117">
        <f>step3_validation[[#This Row],[AI_TRU3]]</f>
        <v>8</v>
      </c>
      <c r="AV117" t="str">
        <f t="shared" si="45"/>
        <v>Support</v>
      </c>
      <c r="AW117">
        <f>survey_responses[[#This Row],[Tôi tin tưởng số tiền thuế tôi đóng sẽ được Nhà nước sử dụng hiệu quả để cải thiện dịch vụ công (y tế, đường xá...). - HUMAN-TRU3]]</f>
        <v>9</v>
      </c>
      <c r="AX117" t="str">
        <f t="shared" si="46"/>
        <v>Support</v>
      </c>
      <c r="AY117" s="32">
        <f t="shared" si="47"/>
        <v>1</v>
      </c>
      <c r="AZ117">
        <f>step3_validation[[#This Row],[AI_TRU4]]</f>
        <v>9</v>
      </c>
      <c r="BA117" t="str">
        <f t="shared" si="48"/>
        <v>Support</v>
      </c>
      <c r="BB117">
        <f>survey_responses[[#This Row],[Tôi thấy Nhà nước đã giải thích rõ ràng, minh bạch về lý do và mục tiêu của việc sửa đổi thuế lần này. - HUMAN-TRU4]]</f>
        <v>8</v>
      </c>
      <c r="BC117" t="str">
        <f t="shared" si="49"/>
        <v>Support</v>
      </c>
      <c r="BD117" s="32">
        <f t="shared" si="50"/>
        <v>1</v>
      </c>
      <c r="BE117">
        <f>step3_validation[[#This Row],[AI_OUT1]]</f>
        <v>9</v>
      </c>
      <c r="BF117" t="str">
        <f t="shared" si="51"/>
        <v>Support</v>
      </c>
      <c r="BG117">
        <f>survey_responses[[#This Row],[Sau khi xem xét các quyền lợi và nghĩa vụ, bạn có ủng hộ và tuân thủ chính sách mới hiện nay? - HUMAN-OUT1]]</f>
        <v>9</v>
      </c>
      <c r="BH117" t="str">
        <f t="shared" si="52"/>
        <v>Support</v>
      </c>
      <c r="BI117" s="32">
        <f t="shared" si="53"/>
        <v>0</v>
      </c>
    </row>
    <row r="118" spans="1:61" x14ac:dyDescent="0.45">
      <c r="A118" s="30">
        <f>step3_validation[[#This Row],[Persona_ID]]</f>
        <v>117</v>
      </c>
      <c r="B118" s="31">
        <f>step3_validation[[#This Row],[Used_Seed]]</f>
        <v>117</v>
      </c>
      <c r="C118" t="str">
        <f>step3_validation[[#This Row],[Gender]]</f>
        <v>Nữ</v>
      </c>
      <c r="D118" t="str">
        <f>survey_responses[[#This Row],[Giới tính của bạn:]]</f>
        <v>Nữ</v>
      </c>
      <c r="E118" t="str">
        <f>step3_validation[[#This Row],[Age_Group]]</f>
        <v>40 - 49</v>
      </c>
      <c r="F118" t="str">
        <f>survey_responses[[#This Row],[Độ tuổi của bạn:]]</f>
        <v>40 - 49</v>
      </c>
      <c r="G118" t="str">
        <f>step3_validation[[#This Row],[Region]]</f>
        <v>Thành thị</v>
      </c>
      <c r="H118" t="str">
        <f>survey_responses[[#This Row],[Khu vực bạn đang sinh sống:]]</f>
        <v>Thành thị</v>
      </c>
      <c r="I118" t="str">
        <f>step3_validation[[#This Row],[Education]]</f>
        <v>Đại học</v>
      </c>
      <c r="J118" t="str">
        <f>survey_responses[[#This Row],[Trình độ học vấn cao nhất:]]</f>
        <v>Đại học</v>
      </c>
      <c r="K118" t="str">
        <f>step3_validation[[#This Row],[Employment]]</f>
        <v>Chính thức</v>
      </c>
      <c r="L118" t="str">
        <f>survey_responses[[#This Row],[Tình trạng việc làm chính:]]</f>
        <v>Khu vực chính thức (Có Hợp đồng lao động, đóng BHXH)</v>
      </c>
      <c r="M118">
        <f>step3_validation[[#This Row],[Income_Mil]]</f>
        <v>66.375246961551071</v>
      </c>
      <c r="N118" t="str">
        <f>survey_responses[[#This Row],[Thu nhập bình quân tháng theo Hợp đồng lao động của bạn là bao nhiêu? (Vui lòng điền tổng thu nhập trước khi khấu trừ các loại Bảo hiểm (BHXH, BHYT, BHTN) và Thuế TNCN)]]</f>
        <v>Từ 48 - 70 triệu VNĐ</v>
      </c>
      <c r="O118">
        <f>step3_validation[[#This Row],[Dependents]]</f>
        <v>0</v>
      </c>
      <c r="P118" t="str">
        <f>survey_responses[[#This Row],[Số người phụ thuộc (con nhỏ, cha mẹ già...) đủ điều kiện giảm trừ gia cảnh:]]</f>
        <v>0 người</v>
      </c>
      <c r="Q118">
        <f>step3_validation[[#This Row],[AI_ENF1]]</f>
        <v>6</v>
      </c>
      <c r="R118" t="str">
        <f t="shared" si="27"/>
        <v>Neutral</v>
      </c>
      <c r="S118">
        <f>survey_responses[[#This Row],[Tôi tin rằng với các quy định quản lý thuế hiện nay, hành vi gian lận hoặc trốn thuế sẽ dễ dàng bị phát hiện và xử lý nghiêm. - HUMAN-ENF1]]</f>
        <v>8</v>
      </c>
      <c r="T118" t="str">
        <f t="shared" si="28"/>
        <v>Support</v>
      </c>
      <c r="U118" s="32">
        <f t="shared" si="29"/>
        <v>2</v>
      </c>
      <c r="V118">
        <f>step3_validation[[#This Row],[AI_ENF2]]</f>
        <v>7</v>
      </c>
      <c r="W118" t="str">
        <f t="shared" si="30"/>
        <v>Neutral</v>
      </c>
      <c r="X118">
        <f>survey_responses[[#This Row],[Tôi tin rằng Nhà nước, cơ quan thuế có đủ khả năng và công nghệ để phát hiện, xử lý nghiêm các hành vi trốn thuế. - HUMAN-ENF2]]</f>
        <v>9</v>
      </c>
      <c r="Y118" t="str">
        <f t="shared" si="31"/>
        <v>Support</v>
      </c>
      <c r="Z118" s="32">
        <f t="shared" si="32"/>
        <v>2</v>
      </c>
      <c r="AA118">
        <f>step3_validation[[#This Row],[AI_FAC1]]</f>
        <v>8</v>
      </c>
      <c r="AB118" t="str">
        <f t="shared" si="33"/>
        <v>Support</v>
      </c>
      <c r="AC118">
        <f>survey_responses[[#This Row],[Các thủ tục khai báo thuế VÀ/HOẶC quy trình làm việc với cơ quan thuế đơn giản, tiện lợi, nhanh chóng hơn so với trước đây. - HUMAN-FAC1]]</f>
        <v>8</v>
      </c>
      <c r="AD118" t="str">
        <f t="shared" si="34"/>
        <v>Support</v>
      </c>
      <c r="AE118" s="32">
        <f t="shared" si="35"/>
        <v>0</v>
      </c>
      <c r="AF118">
        <f>step3_validation[[#This Row],[AI_FAC2]]</f>
        <v>9</v>
      </c>
      <c r="AG118" t="str">
        <f t="shared" si="36"/>
        <v>Support</v>
      </c>
      <c r="AH118">
        <f>survey_responses[[#This Row],[So với trước đây, tôi thấy cách tính thuế và các bậc thuế trong phương án mới đơn giản, dễ hiểu và dễ thực hiện hơn. - HUMAN-FAC2]]</f>
        <v>6</v>
      </c>
      <c r="AI118" t="str">
        <f t="shared" si="37"/>
        <v>Neutral</v>
      </c>
      <c r="AJ118" s="32">
        <f t="shared" si="38"/>
        <v>3</v>
      </c>
      <c r="AK118">
        <f>step3_validation[[#This Row],[AI_TRU1]]</f>
        <v>8</v>
      </c>
      <c r="AL118" t="str">
        <f t="shared" si="39"/>
        <v>Support</v>
      </c>
      <c r="AM118">
        <f>survey_responses[[#This Row],[Tôi tin rằng Nhà nước, cơ quan thuế sẽ thực thi chính sách mới một cách khách quan, công tâm và đối xử bình đẳng với mọi người nộp thuế.  - HUMAN-TRU1]]</f>
        <v>8</v>
      </c>
      <c r="AN118" t="str">
        <f t="shared" si="40"/>
        <v>Support</v>
      </c>
      <c r="AO118" s="32">
        <f t="shared" si="41"/>
        <v>0</v>
      </c>
      <c r="AP118">
        <f>step3_validation[[#This Row],[AI_TRU2]]</f>
        <v>9</v>
      </c>
      <c r="AQ118" t="str">
        <f t="shared" si="42"/>
        <v>Support</v>
      </c>
      <c r="AR118">
        <f>survey_responses[[#This Row],[Tôi thấy mức thuế tôi phải đóng theo phương án mới là công bằng (người thu nhập như tôi đóng mức này là hợp lý). - HUMAN-TRU2]]</f>
        <v>8</v>
      </c>
      <c r="AS118" t="str">
        <f t="shared" si="43"/>
        <v>Support</v>
      </c>
      <c r="AT118" s="32">
        <f t="shared" si="44"/>
        <v>1</v>
      </c>
      <c r="AU118">
        <f>step3_validation[[#This Row],[AI_TRU3]]</f>
        <v>8</v>
      </c>
      <c r="AV118" t="str">
        <f t="shared" si="45"/>
        <v>Support</v>
      </c>
      <c r="AW118">
        <f>survey_responses[[#This Row],[Tôi tin tưởng số tiền thuế tôi đóng sẽ được Nhà nước sử dụng hiệu quả để cải thiện dịch vụ công (y tế, đường xá...). - HUMAN-TRU3]]</f>
        <v>8</v>
      </c>
      <c r="AX118" t="str">
        <f t="shared" si="46"/>
        <v>Support</v>
      </c>
      <c r="AY118" s="32">
        <f t="shared" si="47"/>
        <v>0</v>
      </c>
      <c r="AZ118">
        <f>step3_validation[[#This Row],[AI_TRU4]]</f>
        <v>9</v>
      </c>
      <c r="BA118" t="str">
        <f t="shared" si="48"/>
        <v>Support</v>
      </c>
      <c r="BB118">
        <f>survey_responses[[#This Row],[Tôi thấy Nhà nước đã giải thích rõ ràng, minh bạch về lý do và mục tiêu của việc sửa đổi thuế lần này. - HUMAN-TRU4]]</f>
        <v>8</v>
      </c>
      <c r="BC118" t="str">
        <f t="shared" si="49"/>
        <v>Support</v>
      </c>
      <c r="BD118" s="32">
        <f t="shared" si="50"/>
        <v>1</v>
      </c>
      <c r="BE118">
        <f>step3_validation[[#This Row],[AI_OUT1]]</f>
        <v>8</v>
      </c>
      <c r="BF118" t="str">
        <f t="shared" si="51"/>
        <v>Support</v>
      </c>
      <c r="BG118">
        <f>survey_responses[[#This Row],[Sau khi xem xét các quyền lợi và nghĩa vụ, bạn có ủng hộ và tuân thủ chính sách mới hiện nay? - HUMAN-OUT1]]</f>
        <v>6</v>
      </c>
      <c r="BH118" t="str">
        <f t="shared" si="52"/>
        <v>Neutral</v>
      </c>
      <c r="BI118" s="32">
        <f t="shared" si="53"/>
        <v>2</v>
      </c>
    </row>
    <row r="119" spans="1:61" x14ac:dyDescent="0.45">
      <c r="A119" s="30">
        <f>step3_validation[[#This Row],[Persona_ID]]</f>
        <v>118</v>
      </c>
      <c r="B119" s="31">
        <f>step3_validation[[#This Row],[Used_Seed]]</f>
        <v>118</v>
      </c>
      <c r="C119" t="str">
        <f>step3_validation[[#This Row],[Gender]]</f>
        <v>Nam</v>
      </c>
      <c r="D119" t="str">
        <f>survey_responses[[#This Row],[Giới tính của bạn:]]</f>
        <v>Nam</v>
      </c>
      <c r="E119" t="str">
        <f>step3_validation[[#This Row],[Age_Group]]</f>
        <v>30 - 39</v>
      </c>
      <c r="F119" t="str">
        <f>survey_responses[[#This Row],[Độ tuổi của bạn:]]</f>
        <v>30 - 39</v>
      </c>
      <c r="G119" t="str">
        <f>step3_validation[[#This Row],[Region]]</f>
        <v>Thành thị</v>
      </c>
      <c r="H119" t="str">
        <f>survey_responses[[#This Row],[Khu vực bạn đang sinh sống:]]</f>
        <v>Thành thị</v>
      </c>
      <c r="I119" t="str">
        <f>step3_validation[[#This Row],[Education]]</f>
        <v>Sau Đại học</v>
      </c>
      <c r="J119" t="str">
        <f>survey_responses[[#This Row],[Trình độ học vấn cao nhất:]]</f>
        <v>Sau Đại học</v>
      </c>
      <c r="K119" t="str">
        <f>step3_validation[[#This Row],[Employment]]</f>
        <v>Chính thức</v>
      </c>
      <c r="L119" t="str">
        <f>survey_responses[[#This Row],[Tình trạng việc làm chính:]]</f>
        <v>Khu vực chính thức (Có Hợp đồng lao động, đóng BHXH)</v>
      </c>
      <c r="M119">
        <f>step3_validation[[#This Row],[Income_Mil]]</f>
        <v>45.960344669377534</v>
      </c>
      <c r="N119" t="str">
        <f>survey_responses[[#This Row],[Thu nhập bình quân tháng theo Hợp đồng lao động của bạn là bao nhiêu? (Vui lòng điền tổng thu nhập trước khi khấu trừ các loại Bảo hiểm (BHXH, BHYT, BHTN) và Thuế TNCN)]]</f>
        <v>Từ 32 - 48 triệu VNĐ</v>
      </c>
      <c r="O119">
        <f>step3_validation[[#This Row],[Dependents]]</f>
        <v>1</v>
      </c>
      <c r="P119" t="str">
        <f>survey_responses[[#This Row],[Số người phụ thuộc (con nhỏ, cha mẹ già...) đủ điều kiện giảm trừ gia cảnh:]]</f>
        <v>1 người</v>
      </c>
      <c r="Q119">
        <f>step3_validation[[#This Row],[AI_ENF1]]</f>
        <v>6</v>
      </c>
      <c r="R119" t="str">
        <f t="shared" si="27"/>
        <v>Neutral</v>
      </c>
      <c r="S119">
        <f>survey_responses[[#This Row],[Tôi tin rằng với các quy định quản lý thuế hiện nay, hành vi gian lận hoặc trốn thuế sẽ dễ dàng bị phát hiện và xử lý nghiêm. - HUMAN-ENF1]]</f>
        <v>4</v>
      </c>
      <c r="T119" t="str">
        <f t="shared" si="28"/>
        <v>Oppose</v>
      </c>
      <c r="U119" s="32">
        <f t="shared" si="29"/>
        <v>2</v>
      </c>
      <c r="V119">
        <f>step3_validation[[#This Row],[AI_ENF2]]</f>
        <v>7</v>
      </c>
      <c r="W119" t="str">
        <f t="shared" si="30"/>
        <v>Neutral</v>
      </c>
      <c r="X119">
        <f>survey_responses[[#This Row],[Tôi tin rằng Nhà nước, cơ quan thuế có đủ khả năng và công nghệ để phát hiện, xử lý nghiêm các hành vi trốn thuế. - HUMAN-ENF2]]</f>
        <v>1</v>
      </c>
      <c r="Y119" t="str">
        <f t="shared" si="31"/>
        <v>Oppose</v>
      </c>
      <c r="Z119" s="32">
        <f t="shared" si="32"/>
        <v>6</v>
      </c>
      <c r="AA119">
        <f>step3_validation[[#This Row],[AI_FAC1]]</f>
        <v>9</v>
      </c>
      <c r="AB119" t="str">
        <f t="shared" si="33"/>
        <v>Support</v>
      </c>
      <c r="AC119">
        <f>survey_responses[[#This Row],[Các thủ tục khai báo thuế VÀ/HOẶC quy trình làm việc với cơ quan thuế đơn giản, tiện lợi, nhanh chóng hơn so với trước đây. - HUMAN-FAC1]]</f>
        <v>1</v>
      </c>
      <c r="AD119" t="str">
        <f t="shared" si="34"/>
        <v>Oppose</v>
      </c>
      <c r="AE119" s="32">
        <f t="shared" si="35"/>
        <v>8</v>
      </c>
      <c r="AF119">
        <f>step3_validation[[#This Row],[AI_FAC2]]</f>
        <v>8</v>
      </c>
      <c r="AG119" t="str">
        <f t="shared" si="36"/>
        <v>Support</v>
      </c>
      <c r="AH119">
        <f>survey_responses[[#This Row],[So với trước đây, tôi thấy cách tính thuế và các bậc thuế trong phương án mới đơn giản, dễ hiểu và dễ thực hiện hơn. - HUMAN-FAC2]]</f>
        <v>5</v>
      </c>
      <c r="AI119" t="str">
        <f t="shared" si="37"/>
        <v>Neutral</v>
      </c>
      <c r="AJ119" s="32">
        <f t="shared" si="38"/>
        <v>3</v>
      </c>
      <c r="AK119">
        <f>step3_validation[[#This Row],[AI_TRU1]]</f>
        <v>9</v>
      </c>
      <c r="AL119" t="str">
        <f t="shared" si="39"/>
        <v>Support</v>
      </c>
      <c r="AM119">
        <f>survey_responses[[#This Row],[Tôi tin rằng Nhà nước, cơ quan thuế sẽ thực thi chính sách mới một cách khách quan, công tâm và đối xử bình đẳng với mọi người nộp thuế.  - HUMAN-TRU1]]</f>
        <v>1</v>
      </c>
      <c r="AN119" t="str">
        <f t="shared" si="40"/>
        <v>Oppose</v>
      </c>
      <c r="AO119" s="32">
        <f t="shared" si="41"/>
        <v>8</v>
      </c>
      <c r="AP119">
        <f>step3_validation[[#This Row],[AI_TRU2]]</f>
        <v>8</v>
      </c>
      <c r="AQ119" t="str">
        <f t="shared" si="42"/>
        <v>Support</v>
      </c>
      <c r="AR119">
        <f>survey_responses[[#This Row],[Tôi thấy mức thuế tôi phải đóng theo phương án mới là công bằng (người thu nhập như tôi đóng mức này là hợp lý). - HUMAN-TRU2]]</f>
        <v>3</v>
      </c>
      <c r="AS119" t="str">
        <f t="shared" si="43"/>
        <v>Oppose</v>
      </c>
      <c r="AT119" s="32">
        <f t="shared" si="44"/>
        <v>5</v>
      </c>
      <c r="AU119">
        <f>step3_validation[[#This Row],[AI_TRU3]]</f>
        <v>9</v>
      </c>
      <c r="AV119" t="str">
        <f t="shared" si="45"/>
        <v>Support</v>
      </c>
      <c r="AW119">
        <f>survey_responses[[#This Row],[Tôi tin tưởng số tiền thuế tôi đóng sẽ được Nhà nước sử dụng hiệu quả để cải thiện dịch vụ công (y tế, đường xá...). - HUMAN-TRU3]]</f>
        <v>1</v>
      </c>
      <c r="AX119" t="str">
        <f t="shared" si="46"/>
        <v>Oppose</v>
      </c>
      <c r="AY119" s="32">
        <f t="shared" si="47"/>
        <v>8</v>
      </c>
      <c r="AZ119">
        <f>step3_validation[[#This Row],[AI_TRU4]]</f>
        <v>7</v>
      </c>
      <c r="BA119" t="str">
        <f t="shared" si="48"/>
        <v>Neutral</v>
      </c>
      <c r="BB119">
        <f>survey_responses[[#This Row],[Tôi thấy Nhà nước đã giải thích rõ ràng, minh bạch về lý do và mục tiêu của việc sửa đổi thuế lần này. - HUMAN-TRU4]]</f>
        <v>1</v>
      </c>
      <c r="BC119" t="str">
        <f t="shared" si="49"/>
        <v>Oppose</v>
      </c>
      <c r="BD119" s="32">
        <f t="shared" si="50"/>
        <v>6</v>
      </c>
      <c r="BE119">
        <f>step3_validation[[#This Row],[AI_OUT1]]</f>
        <v>9</v>
      </c>
      <c r="BF119" t="str">
        <f t="shared" si="51"/>
        <v>Support</v>
      </c>
      <c r="BG119">
        <f>survey_responses[[#This Row],[Sau khi xem xét các quyền lợi và nghĩa vụ, bạn có ủng hộ và tuân thủ chính sách mới hiện nay? - HUMAN-OUT1]]</f>
        <v>5</v>
      </c>
      <c r="BH119" t="str">
        <f t="shared" si="52"/>
        <v>Neutral</v>
      </c>
      <c r="BI119" s="32">
        <f t="shared" si="53"/>
        <v>4</v>
      </c>
    </row>
    <row r="120" spans="1:61" x14ac:dyDescent="0.45">
      <c r="A120" s="30">
        <f>step3_validation[[#This Row],[Persona_ID]]</f>
        <v>119</v>
      </c>
      <c r="B120" s="31">
        <f>step3_validation[[#This Row],[Used_Seed]]</f>
        <v>119</v>
      </c>
      <c r="C120" t="str">
        <f>step3_validation[[#This Row],[Gender]]</f>
        <v>Nữ</v>
      </c>
      <c r="D120" t="str">
        <f>survey_responses[[#This Row],[Giới tính của bạn:]]</f>
        <v>Nữ</v>
      </c>
      <c r="E120" t="str">
        <f>step3_validation[[#This Row],[Age_Group]]</f>
        <v>55 - 64</v>
      </c>
      <c r="F120" t="str">
        <f>survey_responses[[#This Row],[Độ tuổi của bạn:]]</f>
        <v>55 - 64</v>
      </c>
      <c r="G120" t="str">
        <f>step3_validation[[#This Row],[Region]]</f>
        <v>Thành thị</v>
      </c>
      <c r="H120" t="str">
        <f>survey_responses[[#This Row],[Khu vực bạn đang sinh sống:]]</f>
        <v>Thành thị</v>
      </c>
      <c r="I120" t="str">
        <f>step3_validation[[#This Row],[Education]]</f>
        <v>Đại học</v>
      </c>
      <c r="J120" t="str">
        <f>survey_responses[[#This Row],[Trình độ học vấn cao nhất:]]</f>
        <v>Đại học</v>
      </c>
      <c r="K120" t="str">
        <f>step3_validation[[#This Row],[Employment]]</f>
        <v>Chính thức</v>
      </c>
      <c r="L120" t="str">
        <f>survey_responses[[#This Row],[Tình trạng việc làm chính:]]</f>
        <v>Khu vực chính thức (Có Hợp đồng lao động, đóng BHXH)</v>
      </c>
      <c r="M120">
        <f>step3_validation[[#This Row],[Income_Mil]]</f>
        <v>68.081048386866811</v>
      </c>
      <c r="N120" t="str">
        <f>survey_responses[[#This Row],[Thu nhập bình quân tháng theo Hợp đồng lao động của bạn là bao nhiêu? (Vui lòng điền tổng thu nhập trước khi khấu trừ các loại Bảo hiểm (BHXH, BHYT, BHTN) và Thuế TNCN)]]</f>
        <v>Từ 48 - 70 triệu VNĐ</v>
      </c>
      <c r="O120">
        <f>step3_validation[[#This Row],[Dependents]]</f>
        <v>4</v>
      </c>
      <c r="P120" t="str">
        <f>survey_responses[[#This Row],[Số người phụ thuộc (con nhỏ, cha mẹ già...) đủ điều kiện giảm trừ gia cảnh:]]</f>
        <v>4 người trở lên</v>
      </c>
      <c r="Q120">
        <f>step3_validation[[#This Row],[AI_ENF1]]</f>
        <v>8</v>
      </c>
      <c r="R120" t="str">
        <f t="shared" si="27"/>
        <v>Support</v>
      </c>
      <c r="S120">
        <f>survey_responses[[#This Row],[Tôi tin rằng với các quy định quản lý thuế hiện nay, hành vi gian lận hoặc trốn thuế sẽ dễ dàng bị phát hiện và xử lý nghiêm. - HUMAN-ENF1]]</f>
        <v>8</v>
      </c>
      <c r="T120" t="str">
        <f t="shared" si="28"/>
        <v>Support</v>
      </c>
      <c r="U120" s="32">
        <f t="shared" si="29"/>
        <v>0</v>
      </c>
      <c r="V120">
        <f>step3_validation[[#This Row],[AI_ENF2]]</f>
        <v>8</v>
      </c>
      <c r="W120" t="str">
        <f t="shared" si="30"/>
        <v>Support</v>
      </c>
      <c r="X120">
        <f>survey_responses[[#This Row],[Tôi tin rằng Nhà nước, cơ quan thuế có đủ khả năng và công nghệ để phát hiện, xử lý nghiêm các hành vi trốn thuế. - HUMAN-ENF2]]</f>
        <v>8</v>
      </c>
      <c r="Y120" t="str">
        <f t="shared" si="31"/>
        <v>Support</v>
      </c>
      <c r="Z120" s="32">
        <f t="shared" si="32"/>
        <v>0</v>
      </c>
      <c r="AA120">
        <f>step3_validation[[#This Row],[AI_FAC1]]</f>
        <v>9</v>
      </c>
      <c r="AB120" t="str">
        <f t="shared" si="33"/>
        <v>Support</v>
      </c>
      <c r="AC120">
        <f>survey_responses[[#This Row],[Các thủ tục khai báo thuế VÀ/HOẶC quy trình làm việc với cơ quan thuế đơn giản, tiện lợi, nhanh chóng hơn so với trước đây. - HUMAN-FAC1]]</f>
        <v>6</v>
      </c>
      <c r="AD120" t="str">
        <f t="shared" si="34"/>
        <v>Neutral</v>
      </c>
      <c r="AE120" s="32">
        <f t="shared" si="35"/>
        <v>3</v>
      </c>
      <c r="AF120">
        <f>step3_validation[[#This Row],[AI_FAC2]]</f>
        <v>9</v>
      </c>
      <c r="AG120" t="str">
        <f t="shared" si="36"/>
        <v>Support</v>
      </c>
      <c r="AH120">
        <f>survey_responses[[#This Row],[So với trước đây, tôi thấy cách tính thuế và các bậc thuế trong phương án mới đơn giản, dễ hiểu và dễ thực hiện hơn. - HUMAN-FAC2]]</f>
        <v>9</v>
      </c>
      <c r="AI120" t="str">
        <f t="shared" si="37"/>
        <v>Support</v>
      </c>
      <c r="AJ120" s="32">
        <f t="shared" si="38"/>
        <v>0</v>
      </c>
      <c r="AK120">
        <f>step3_validation[[#This Row],[AI_TRU1]]</f>
        <v>8</v>
      </c>
      <c r="AL120" t="str">
        <f t="shared" si="39"/>
        <v>Support</v>
      </c>
      <c r="AM120">
        <f>survey_responses[[#This Row],[Tôi tin rằng Nhà nước, cơ quan thuế sẽ thực thi chính sách mới một cách khách quan, công tâm và đối xử bình đẳng với mọi người nộp thuế.  - HUMAN-TRU1]]</f>
        <v>8</v>
      </c>
      <c r="AN120" t="str">
        <f t="shared" si="40"/>
        <v>Support</v>
      </c>
      <c r="AO120" s="32">
        <f t="shared" si="41"/>
        <v>0</v>
      </c>
      <c r="AP120">
        <f>step3_validation[[#This Row],[AI_TRU2]]</f>
        <v>9</v>
      </c>
      <c r="AQ120" t="str">
        <f t="shared" si="42"/>
        <v>Support</v>
      </c>
      <c r="AR120">
        <f>survey_responses[[#This Row],[Tôi thấy mức thuế tôi phải đóng theo phương án mới là công bằng (người thu nhập như tôi đóng mức này là hợp lý). - HUMAN-TRU2]]</f>
        <v>7</v>
      </c>
      <c r="AS120" t="str">
        <f t="shared" si="43"/>
        <v>Neutral</v>
      </c>
      <c r="AT120" s="32">
        <f t="shared" si="44"/>
        <v>2</v>
      </c>
      <c r="AU120">
        <f>step3_validation[[#This Row],[AI_TRU3]]</f>
        <v>8</v>
      </c>
      <c r="AV120" t="str">
        <f t="shared" si="45"/>
        <v>Support</v>
      </c>
      <c r="AW120">
        <f>survey_responses[[#This Row],[Tôi tin tưởng số tiền thuế tôi đóng sẽ được Nhà nước sử dụng hiệu quả để cải thiện dịch vụ công (y tế, đường xá...). - HUMAN-TRU3]]</f>
        <v>7</v>
      </c>
      <c r="AX120" t="str">
        <f t="shared" si="46"/>
        <v>Neutral</v>
      </c>
      <c r="AY120" s="32">
        <f t="shared" si="47"/>
        <v>1</v>
      </c>
      <c r="AZ120">
        <f>step3_validation[[#This Row],[AI_TRU4]]</f>
        <v>9</v>
      </c>
      <c r="BA120" t="str">
        <f t="shared" si="48"/>
        <v>Support</v>
      </c>
      <c r="BB120">
        <f>survey_responses[[#This Row],[Tôi thấy Nhà nước đã giải thích rõ ràng, minh bạch về lý do và mục tiêu của việc sửa đổi thuế lần này. - HUMAN-TRU4]]</f>
        <v>7</v>
      </c>
      <c r="BC120" t="str">
        <f t="shared" si="49"/>
        <v>Neutral</v>
      </c>
      <c r="BD120" s="32">
        <f t="shared" si="50"/>
        <v>2</v>
      </c>
      <c r="BE120">
        <f>step3_validation[[#This Row],[AI_OUT1]]</f>
        <v>10</v>
      </c>
      <c r="BF120" t="str">
        <f t="shared" si="51"/>
        <v>Support</v>
      </c>
      <c r="BG120">
        <f>survey_responses[[#This Row],[Sau khi xem xét các quyền lợi và nghĩa vụ, bạn có ủng hộ và tuân thủ chính sách mới hiện nay? - HUMAN-OUT1]]</f>
        <v>7</v>
      </c>
      <c r="BH120" t="str">
        <f t="shared" si="52"/>
        <v>Neutral</v>
      </c>
      <c r="BI120" s="32">
        <f t="shared" si="53"/>
        <v>3</v>
      </c>
    </row>
    <row r="121" spans="1:61" x14ac:dyDescent="0.45">
      <c r="A121" s="30">
        <f>step3_validation[[#This Row],[Persona_ID]]</f>
        <v>120</v>
      </c>
      <c r="B121" s="31">
        <f>step3_validation[[#This Row],[Used_Seed]]</f>
        <v>120</v>
      </c>
      <c r="C121" t="str">
        <f>step3_validation[[#This Row],[Gender]]</f>
        <v>Nữ</v>
      </c>
      <c r="D121" t="str">
        <f>survey_responses[[#This Row],[Giới tính của bạn:]]</f>
        <v>Nữ</v>
      </c>
      <c r="E121" t="str">
        <f>step3_validation[[#This Row],[Age_Group]]</f>
        <v>40 - 49</v>
      </c>
      <c r="F121" t="str">
        <f>survey_responses[[#This Row],[Độ tuổi của bạn:]]</f>
        <v>40 - 49</v>
      </c>
      <c r="G121" t="str">
        <f>step3_validation[[#This Row],[Region]]</f>
        <v>Nông thôn</v>
      </c>
      <c r="H121" t="str">
        <f>survey_responses[[#This Row],[Khu vực bạn đang sinh sống:]]</f>
        <v>Nông thôn</v>
      </c>
      <c r="I121" t="str">
        <f>step3_validation[[#This Row],[Education]]</f>
        <v>Đại học</v>
      </c>
      <c r="J121" t="str">
        <f>survey_responses[[#This Row],[Trình độ học vấn cao nhất:]]</f>
        <v>Đại học</v>
      </c>
      <c r="K121" t="str">
        <f>step3_validation[[#This Row],[Employment]]</f>
        <v>Chính thức</v>
      </c>
      <c r="L121" t="str">
        <f>survey_responses[[#This Row],[Tình trạng việc làm chính:]]</f>
        <v>Khu vực chính thức (Có Hợp đồng lao động, đóng BHXH)</v>
      </c>
      <c r="M121">
        <f>step3_validation[[#This Row],[Income_Mil]]</f>
        <v>29.829932474204675</v>
      </c>
      <c r="N121" t="str">
        <f>survey_responses[[#This Row],[Thu nhập bình quân tháng theo Hợp đồng lao động của bạn là bao nhiêu? (Vui lòng điền tổng thu nhập trước khi khấu trừ các loại Bảo hiểm (BHXH, BHYT, BHTN) và Thuế TNCN)]]</f>
        <v>Từ 23 - 32 triệu VNĐ</v>
      </c>
      <c r="O121">
        <f>step3_validation[[#This Row],[Dependents]]</f>
        <v>3</v>
      </c>
      <c r="P121" t="str">
        <f>survey_responses[[#This Row],[Số người phụ thuộc (con nhỏ, cha mẹ già...) đủ điều kiện giảm trừ gia cảnh:]]</f>
        <v>3 người</v>
      </c>
      <c r="Q121">
        <f>step3_validation[[#This Row],[AI_ENF1]]</f>
        <v>5</v>
      </c>
      <c r="R121" t="str">
        <f t="shared" si="27"/>
        <v>Neutral</v>
      </c>
      <c r="S121">
        <f>survey_responses[[#This Row],[Tôi tin rằng với các quy định quản lý thuế hiện nay, hành vi gian lận hoặc trốn thuế sẽ dễ dàng bị phát hiện và xử lý nghiêm. - HUMAN-ENF1]]</f>
        <v>6</v>
      </c>
      <c r="T121" t="str">
        <f t="shared" si="28"/>
        <v>Neutral</v>
      </c>
      <c r="U121" s="32">
        <f t="shared" si="29"/>
        <v>1</v>
      </c>
      <c r="V121">
        <f>step3_validation[[#This Row],[AI_ENF2]]</f>
        <v>5</v>
      </c>
      <c r="W121" t="str">
        <f t="shared" si="30"/>
        <v>Neutral</v>
      </c>
      <c r="X121">
        <f>survey_responses[[#This Row],[Tôi tin rằng Nhà nước, cơ quan thuế có đủ khả năng và công nghệ để phát hiện, xử lý nghiêm các hành vi trốn thuế. - HUMAN-ENF2]]</f>
        <v>6</v>
      </c>
      <c r="Y121" t="str">
        <f t="shared" si="31"/>
        <v>Neutral</v>
      </c>
      <c r="Z121" s="32">
        <f t="shared" si="32"/>
        <v>1</v>
      </c>
      <c r="AA121">
        <f>step3_validation[[#This Row],[AI_FAC1]]</f>
        <v>7</v>
      </c>
      <c r="AB121" t="str">
        <f t="shared" si="33"/>
        <v>Neutral</v>
      </c>
      <c r="AC121">
        <f>survey_responses[[#This Row],[Các thủ tục khai báo thuế VÀ/HOẶC quy trình làm việc với cơ quan thuế đơn giản, tiện lợi, nhanh chóng hơn so với trước đây. - HUMAN-FAC1]]</f>
        <v>6</v>
      </c>
      <c r="AD121" t="str">
        <f t="shared" si="34"/>
        <v>Neutral</v>
      </c>
      <c r="AE121" s="32">
        <f t="shared" si="35"/>
        <v>1</v>
      </c>
      <c r="AF121">
        <f>step3_validation[[#This Row],[AI_FAC2]]</f>
        <v>9</v>
      </c>
      <c r="AG121" t="str">
        <f t="shared" si="36"/>
        <v>Support</v>
      </c>
      <c r="AH121">
        <f>survey_responses[[#This Row],[So với trước đây, tôi thấy cách tính thuế và các bậc thuế trong phương án mới đơn giản, dễ hiểu và dễ thực hiện hơn. - HUMAN-FAC2]]</f>
        <v>6</v>
      </c>
      <c r="AI121" t="str">
        <f t="shared" si="37"/>
        <v>Neutral</v>
      </c>
      <c r="AJ121" s="32">
        <f t="shared" si="38"/>
        <v>3</v>
      </c>
      <c r="AK121">
        <f>step3_validation[[#This Row],[AI_TRU1]]</f>
        <v>7</v>
      </c>
      <c r="AL121" t="str">
        <f t="shared" si="39"/>
        <v>Neutral</v>
      </c>
      <c r="AM121">
        <f>survey_responses[[#This Row],[Tôi tin rằng Nhà nước, cơ quan thuế sẽ thực thi chính sách mới một cách khách quan, công tâm và đối xử bình đẳng với mọi người nộp thuế.  - HUMAN-TRU1]]</f>
        <v>6</v>
      </c>
      <c r="AN121" t="str">
        <f t="shared" si="40"/>
        <v>Neutral</v>
      </c>
      <c r="AO121" s="32">
        <f t="shared" si="41"/>
        <v>1</v>
      </c>
      <c r="AP121">
        <f>step3_validation[[#This Row],[AI_TRU2]]</f>
        <v>8</v>
      </c>
      <c r="AQ121" t="str">
        <f t="shared" si="42"/>
        <v>Support</v>
      </c>
      <c r="AR121">
        <f>survey_responses[[#This Row],[Tôi thấy mức thuế tôi phải đóng theo phương án mới là công bằng (người thu nhập như tôi đóng mức này là hợp lý). - HUMAN-TRU2]]</f>
        <v>6</v>
      </c>
      <c r="AS121" t="str">
        <f t="shared" si="43"/>
        <v>Neutral</v>
      </c>
      <c r="AT121" s="32">
        <f t="shared" si="44"/>
        <v>2</v>
      </c>
      <c r="AU121">
        <f>step3_validation[[#This Row],[AI_TRU3]]</f>
        <v>7</v>
      </c>
      <c r="AV121" t="str">
        <f t="shared" si="45"/>
        <v>Neutral</v>
      </c>
      <c r="AW121">
        <f>survey_responses[[#This Row],[Tôi tin tưởng số tiền thuế tôi đóng sẽ được Nhà nước sử dụng hiệu quả để cải thiện dịch vụ công (y tế, đường xá...). - HUMAN-TRU3]]</f>
        <v>6</v>
      </c>
      <c r="AX121" t="str">
        <f t="shared" si="46"/>
        <v>Neutral</v>
      </c>
      <c r="AY121" s="32">
        <f t="shared" si="47"/>
        <v>1</v>
      </c>
      <c r="AZ121">
        <f>step3_validation[[#This Row],[AI_TRU4]]</f>
        <v>6</v>
      </c>
      <c r="BA121" t="str">
        <f t="shared" si="48"/>
        <v>Neutral</v>
      </c>
      <c r="BB121">
        <f>survey_responses[[#This Row],[Tôi thấy Nhà nước đã giải thích rõ ràng, minh bạch về lý do và mục tiêu của việc sửa đổi thuế lần này. - HUMAN-TRU4]]</f>
        <v>6</v>
      </c>
      <c r="BC121" t="str">
        <f t="shared" si="49"/>
        <v>Neutral</v>
      </c>
      <c r="BD121" s="32">
        <f t="shared" si="50"/>
        <v>0</v>
      </c>
      <c r="BE121">
        <f>step3_validation[[#This Row],[AI_OUT1]]</f>
        <v>9</v>
      </c>
      <c r="BF121" t="str">
        <f t="shared" si="51"/>
        <v>Support</v>
      </c>
      <c r="BG121">
        <f>survey_responses[[#This Row],[Sau khi xem xét các quyền lợi và nghĩa vụ, bạn có ủng hộ và tuân thủ chính sách mới hiện nay? - HUMAN-OUT1]]</f>
        <v>6</v>
      </c>
      <c r="BH121" t="str">
        <f t="shared" si="52"/>
        <v>Neutral</v>
      </c>
      <c r="BI121" s="32">
        <f t="shared" si="53"/>
        <v>3</v>
      </c>
    </row>
    <row r="122" spans="1:61" x14ac:dyDescent="0.45">
      <c r="A122" s="30">
        <f>step3_validation[[#This Row],[Persona_ID]]</f>
        <v>121</v>
      </c>
      <c r="B122" s="31">
        <f>step3_validation[[#This Row],[Used_Seed]]</f>
        <v>121</v>
      </c>
      <c r="C122" t="str">
        <f>step3_validation[[#This Row],[Gender]]</f>
        <v>Nam</v>
      </c>
      <c r="D122" t="str">
        <f>survey_responses[[#This Row],[Giới tính của bạn:]]</f>
        <v>Nam</v>
      </c>
      <c r="E122" t="str">
        <f>step3_validation[[#This Row],[Age_Group]]</f>
        <v>50 - 54</v>
      </c>
      <c r="F122" t="str">
        <f>survey_responses[[#This Row],[Độ tuổi của bạn:]]</f>
        <v>50 - 54</v>
      </c>
      <c r="G122" t="str">
        <f>step3_validation[[#This Row],[Region]]</f>
        <v>Thành thị</v>
      </c>
      <c r="H122" t="str">
        <f>survey_responses[[#This Row],[Khu vực bạn đang sinh sống:]]</f>
        <v>Thành thị</v>
      </c>
      <c r="I122" t="str">
        <f>step3_validation[[#This Row],[Education]]</f>
        <v>Sau Đại học</v>
      </c>
      <c r="J122" t="str">
        <f>survey_responses[[#This Row],[Trình độ học vấn cao nhất:]]</f>
        <v>Sau Đại học</v>
      </c>
      <c r="K122" t="str">
        <f>step3_validation[[#This Row],[Employment]]</f>
        <v>Phi chính thức</v>
      </c>
      <c r="L122" t="str">
        <f>survey_responses[[#This Row],[Tình trạng việc làm chính:]]</f>
        <v>Khu vực phi chính thức (Lao động tự do, không có HĐLĐ)</v>
      </c>
      <c r="M122">
        <f>step3_validation[[#This Row],[Income_Mil]]</f>
        <v>195.65673970529014</v>
      </c>
      <c r="N122" t="str">
        <f>survey_responses[[#This Row],[Thu nhập bình quân tháng theo Hợp đồng lao động của bạn là bao nhiêu? (Vui lòng điền tổng thu nhập trước khi khấu trừ các loại Bảo hiểm (BHXH, BHYT, BHTN) và Thuế TNCN)]]</f>
        <v>Trên 102 triệu VNĐ</v>
      </c>
      <c r="O122">
        <f>step3_validation[[#This Row],[Dependents]]</f>
        <v>4</v>
      </c>
      <c r="P122" t="str">
        <f>survey_responses[[#This Row],[Số người phụ thuộc (con nhỏ, cha mẹ già...) đủ điều kiện giảm trừ gia cảnh:]]</f>
        <v>4 người trở lên</v>
      </c>
      <c r="Q122">
        <f>step3_validation[[#This Row],[AI_ENF1]]</f>
        <v>7</v>
      </c>
      <c r="R122" t="str">
        <f t="shared" si="27"/>
        <v>Neutral</v>
      </c>
      <c r="S122">
        <f>survey_responses[[#This Row],[Tôi tin rằng với các quy định quản lý thuế hiện nay, hành vi gian lận hoặc trốn thuế sẽ dễ dàng bị phát hiện và xử lý nghiêm. - HUMAN-ENF1]]</f>
        <v>1</v>
      </c>
      <c r="T122" t="str">
        <f t="shared" si="28"/>
        <v>Oppose</v>
      </c>
      <c r="U122" s="32">
        <f t="shared" si="29"/>
        <v>6</v>
      </c>
      <c r="V122">
        <f>step3_validation[[#This Row],[AI_ENF2]]</f>
        <v>6</v>
      </c>
      <c r="W122" t="str">
        <f t="shared" si="30"/>
        <v>Neutral</v>
      </c>
      <c r="X122">
        <f>survey_responses[[#This Row],[Tôi tin rằng Nhà nước, cơ quan thuế có đủ khả năng và công nghệ để phát hiện, xử lý nghiêm các hành vi trốn thuế. - HUMAN-ENF2]]</f>
        <v>1</v>
      </c>
      <c r="Y122" t="str">
        <f t="shared" si="31"/>
        <v>Oppose</v>
      </c>
      <c r="Z122" s="32">
        <f t="shared" si="32"/>
        <v>5</v>
      </c>
      <c r="AA122">
        <f>step3_validation[[#This Row],[AI_FAC1]]</f>
        <v>5</v>
      </c>
      <c r="AB122" t="str">
        <f t="shared" si="33"/>
        <v>Neutral</v>
      </c>
      <c r="AC122">
        <f>survey_responses[[#This Row],[Các thủ tục khai báo thuế VÀ/HOẶC quy trình làm việc với cơ quan thuế đơn giản, tiện lợi, nhanh chóng hơn so với trước đây. - HUMAN-FAC1]]</f>
        <v>1</v>
      </c>
      <c r="AD122" t="str">
        <f t="shared" si="34"/>
        <v>Oppose</v>
      </c>
      <c r="AE122" s="32">
        <f t="shared" si="35"/>
        <v>4</v>
      </c>
      <c r="AF122">
        <f>step3_validation[[#This Row],[AI_FAC2]]</f>
        <v>6</v>
      </c>
      <c r="AG122" t="str">
        <f t="shared" si="36"/>
        <v>Neutral</v>
      </c>
      <c r="AH122">
        <f>survey_responses[[#This Row],[So với trước đây, tôi thấy cách tính thuế và các bậc thuế trong phương án mới đơn giản, dễ hiểu và dễ thực hiện hơn. - HUMAN-FAC2]]</f>
        <v>5</v>
      </c>
      <c r="AI122" t="str">
        <f t="shared" si="37"/>
        <v>Neutral</v>
      </c>
      <c r="AJ122" s="32">
        <f t="shared" si="38"/>
        <v>1</v>
      </c>
      <c r="AK122">
        <f>step3_validation[[#This Row],[AI_TRU1]]</f>
        <v>7</v>
      </c>
      <c r="AL122" t="str">
        <f t="shared" si="39"/>
        <v>Neutral</v>
      </c>
      <c r="AM122">
        <f>survey_responses[[#This Row],[Tôi tin rằng Nhà nước, cơ quan thuế sẽ thực thi chính sách mới một cách khách quan, công tâm và đối xử bình đẳng với mọi người nộp thuế.  - HUMAN-TRU1]]</f>
        <v>1</v>
      </c>
      <c r="AN122" t="str">
        <f t="shared" si="40"/>
        <v>Oppose</v>
      </c>
      <c r="AO122" s="32">
        <f t="shared" si="41"/>
        <v>6</v>
      </c>
      <c r="AP122">
        <f>step3_validation[[#This Row],[AI_TRU2]]</f>
        <v>8</v>
      </c>
      <c r="AQ122" t="str">
        <f t="shared" si="42"/>
        <v>Support</v>
      </c>
      <c r="AR122">
        <f>survey_responses[[#This Row],[Tôi thấy mức thuế tôi phải đóng theo phương án mới là công bằng (người thu nhập như tôi đóng mức này là hợp lý). - HUMAN-TRU2]]</f>
        <v>1</v>
      </c>
      <c r="AS122" t="str">
        <f t="shared" si="43"/>
        <v>Oppose</v>
      </c>
      <c r="AT122" s="32">
        <f t="shared" si="44"/>
        <v>7</v>
      </c>
      <c r="AU122">
        <f>step3_validation[[#This Row],[AI_TRU3]]</f>
        <v>6</v>
      </c>
      <c r="AV122" t="str">
        <f t="shared" si="45"/>
        <v>Neutral</v>
      </c>
      <c r="AW122">
        <f>survey_responses[[#This Row],[Tôi tin tưởng số tiền thuế tôi đóng sẽ được Nhà nước sử dụng hiệu quả để cải thiện dịch vụ công (y tế, đường xá...). - HUMAN-TRU3]]</f>
        <v>1</v>
      </c>
      <c r="AX122" t="str">
        <f t="shared" si="46"/>
        <v>Oppose</v>
      </c>
      <c r="AY122" s="32">
        <f t="shared" si="47"/>
        <v>5</v>
      </c>
      <c r="AZ122">
        <f>step3_validation[[#This Row],[AI_TRU4]]</f>
        <v>7</v>
      </c>
      <c r="BA122" t="str">
        <f t="shared" si="48"/>
        <v>Neutral</v>
      </c>
      <c r="BB122">
        <f>survey_responses[[#This Row],[Tôi thấy Nhà nước đã giải thích rõ ràng, minh bạch về lý do và mục tiêu của việc sửa đổi thuế lần này. - HUMAN-TRU4]]</f>
        <v>1</v>
      </c>
      <c r="BC122" t="str">
        <f t="shared" si="49"/>
        <v>Oppose</v>
      </c>
      <c r="BD122" s="32">
        <f t="shared" si="50"/>
        <v>6</v>
      </c>
      <c r="BE122">
        <f>step3_validation[[#This Row],[AI_OUT1]]</f>
        <v>9</v>
      </c>
      <c r="BF122" t="str">
        <f t="shared" si="51"/>
        <v>Support</v>
      </c>
      <c r="BG122">
        <f>survey_responses[[#This Row],[Sau khi xem xét các quyền lợi và nghĩa vụ, bạn có ủng hộ và tuân thủ chính sách mới hiện nay? - HUMAN-OUT1]]</f>
        <v>5</v>
      </c>
      <c r="BH122" t="str">
        <f t="shared" si="52"/>
        <v>Neutral</v>
      </c>
      <c r="BI122" s="32">
        <f t="shared" si="53"/>
        <v>4</v>
      </c>
    </row>
    <row r="123" spans="1:61" x14ac:dyDescent="0.45">
      <c r="A123" s="30">
        <f>step3_validation[[#This Row],[Persona_ID]]</f>
        <v>122</v>
      </c>
      <c r="B123" s="31">
        <f>step3_validation[[#This Row],[Used_Seed]]</f>
        <v>122</v>
      </c>
      <c r="C123" t="str">
        <f>step3_validation[[#This Row],[Gender]]</f>
        <v>Nam</v>
      </c>
      <c r="D123" t="str">
        <f>survey_responses[[#This Row],[Giới tính của bạn:]]</f>
        <v>Nam</v>
      </c>
      <c r="E123" t="str">
        <f>step3_validation[[#This Row],[Age_Group]]</f>
        <v>40 - 49</v>
      </c>
      <c r="F123" t="str">
        <f>survey_responses[[#This Row],[Độ tuổi của bạn:]]</f>
        <v>40 - 49</v>
      </c>
      <c r="G123" t="str">
        <f>step3_validation[[#This Row],[Region]]</f>
        <v>Thành thị</v>
      </c>
      <c r="H123" t="str">
        <f>survey_responses[[#This Row],[Khu vực bạn đang sinh sống:]]</f>
        <v>Thành thị</v>
      </c>
      <c r="I123" t="str">
        <f>step3_validation[[#This Row],[Education]]</f>
        <v>Đại học</v>
      </c>
      <c r="J123" t="str">
        <f>survey_responses[[#This Row],[Trình độ học vấn cao nhất:]]</f>
        <v>Đại học</v>
      </c>
      <c r="K123" t="str">
        <f>step3_validation[[#This Row],[Employment]]</f>
        <v>Chính thức</v>
      </c>
      <c r="L123" t="str">
        <f>survey_responses[[#This Row],[Tình trạng việc làm chính:]]</f>
        <v>Khu vực chính thức (Có Hợp đồng lao động, đóng BHXH)</v>
      </c>
      <c r="M123">
        <f>step3_validation[[#This Row],[Income_Mil]]</f>
        <v>224.15218139527786</v>
      </c>
      <c r="N123" t="str">
        <f>survey_responses[[#This Row],[Thu nhập bình quân tháng theo Hợp đồng lao động của bạn là bao nhiêu? (Vui lòng điền tổng thu nhập trước khi khấu trừ các loại Bảo hiểm (BHXH, BHYT, BHTN) và Thuế TNCN)]]</f>
        <v>Trên 102 triệu VNĐ</v>
      </c>
      <c r="O123">
        <f>step3_validation[[#This Row],[Dependents]]</f>
        <v>0</v>
      </c>
      <c r="P123" t="str">
        <f>survey_responses[[#This Row],[Số người phụ thuộc (con nhỏ, cha mẹ già...) đủ điều kiện giảm trừ gia cảnh:]]</f>
        <v>0 người</v>
      </c>
      <c r="Q123">
        <f>step3_validation[[#This Row],[AI_ENF1]]</f>
        <v>9</v>
      </c>
      <c r="R123" t="str">
        <f t="shared" si="27"/>
        <v>Support</v>
      </c>
      <c r="S123">
        <f>survey_responses[[#This Row],[Tôi tin rằng với các quy định quản lý thuế hiện nay, hành vi gian lận hoặc trốn thuế sẽ dễ dàng bị phát hiện và xử lý nghiêm. - HUMAN-ENF1]]</f>
        <v>4</v>
      </c>
      <c r="T123" t="str">
        <f t="shared" si="28"/>
        <v>Oppose</v>
      </c>
      <c r="U123" s="32">
        <f t="shared" si="29"/>
        <v>5</v>
      </c>
      <c r="V123">
        <f>step3_validation[[#This Row],[AI_ENF2]]</f>
        <v>8</v>
      </c>
      <c r="W123" t="str">
        <f t="shared" si="30"/>
        <v>Support</v>
      </c>
      <c r="X123">
        <f>survey_responses[[#This Row],[Tôi tin rằng Nhà nước, cơ quan thuế có đủ khả năng và công nghệ để phát hiện, xử lý nghiêm các hành vi trốn thuế. - HUMAN-ENF2]]</f>
        <v>4</v>
      </c>
      <c r="Y123" t="str">
        <f t="shared" si="31"/>
        <v>Oppose</v>
      </c>
      <c r="Z123" s="32">
        <f t="shared" si="32"/>
        <v>4</v>
      </c>
      <c r="AA123">
        <f>step3_validation[[#This Row],[AI_FAC1]]</f>
        <v>9</v>
      </c>
      <c r="AB123" t="str">
        <f t="shared" si="33"/>
        <v>Support</v>
      </c>
      <c r="AC123">
        <f>survey_responses[[#This Row],[Các thủ tục khai báo thuế VÀ/HOẶC quy trình làm việc với cơ quan thuế đơn giản, tiện lợi, nhanh chóng hơn so với trước đây. - HUMAN-FAC1]]</f>
        <v>2</v>
      </c>
      <c r="AD123" t="str">
        <f t="shared" si="34"/>
        <v>Oppose</v>
      </c>
      <c r="AE123" s="32">
        <f t="shared" si="35"/>
        <v>7</v>
      </c>
      <c r="AF123">
        <f>step3_validation[[#This Row],[AI_FAC2]]</f>
        <v>10</v>
      </c>
      <c r="AG123" t="str">
        <f t="shared" si="36"/>
        <v>Support</v>
      </c>
      <c r="AH123">
        <f>survey_responses[[#This Row],[So với trước đây, tôi thấy cách tính thuế và các bậc thuế trong phương án mới đơn giản, dễ hiểu và dễ thực hiện hơn. - HUMAN-FAC2]]</f>
        <v>5</v>
      </c>
      <c r="AI123" t="str">
        <f t="shared" si="37"/>
        <v>Neutral</v>
      </c>
      <c r="AJ123" s="32">
        <f t="shared" si="38"/>
        <v>5</v>
      </c>
      <c r="AK123">
        <f>step3_validation[[#This Row],[AI_TRU1]]</f>
        <v>9</v>
      </c>
      <c r="AL123" t="str">
        <f t="shared" si="39"/>
        <v>Support</v>
      </c>
      <c r="AM123">
        <f>survey_responses[[#This Row],[Tôi tin rằng Nhà nước, cơ quan thuế sẽ thực thi chính sách mới một cách khách quan, công tâm và đối xử bình đẳng với mọi người nộp thuế.  - HUMAN-TRU1]]</f>
        <v>1</v>
      </c>
      <c r="AN123" t="str">
        <f t="shared" si="40"/>
        <v>Oppose</v>
      </c>
      <c r="AO123" s="32">
        <f t="shared" si="41"/>
        <v>8</v>
      </c>
      <c r="AP123">
        <f>step3_validation[[#This Row],[AI_TRU2]]</f>
        <v>9</v>
      </c>
      <c r="AQ123" t="str">
        <f t="shared" si="42"/>
        <v>Support</v>
      </c>
      <c r="AR123">
        <f>survey_responses[[#This Row],[Tôi thấy mức thuế tôi phải đóng theo phương án mới là công bằng (người thu nhập như tôi đóng mức này là hợp lý). - HUMAN-TRU2]]</f>
        <v>1</v>
      </c>
      <c r="AS123" t="str">
        <f t="shared" si="43"/>
        <v>Oppose</v>
      </c>
      <c r="AT123" s="32">
        <f t="shared" si="44"/>
        <v>8</v>
      </c>
      <c r="AU123">
        <f>step3_validation[[#This Row],[AI_TRU3]]</f>
        <v>9</v>
      </c>
      <c r="AV123" t="str">
        <f t="shared" si="45"/>
        <v>Support</v>
      </c>
      <c r="AW123">
        <f>survey_responses[[#This Row],[Tôi tin tưởng số tiền thuế tôi đóng sẽ được Nhà nước sử dụng hiệu quả để cải thiện dịch vụ công (y tế, đường xá...). - HUMAN-TRU3]]</f>
        <v>1</v>
      </c>
      <c r="AX123" t="str">
        <f t="shared" si="46"/>
        <v>Oppose</v>
      </c>
      <c r="AY123" s="32">
        <f t="shared" si="47"/>
        <v>8</v>
      </c>
      <c r="AZ123">
        <f>step3_validation[[#This Row],[AI_TRU4]]</f>
        <v>8</v>
      </c>
      <c r="BA123" t="str">
        <f t="shared" si="48"/>
        <v>Support</v>
      </c>
      <c r="BB123">
        <f>survey_responses[[#This Row],[Tôi thấy Nhà nước đã giải thích rõ ràng, minh bạch về lý do và mục tiêu của việc sửa đổi thuế lần này. - HUMAN-TRU4]]</f>
        <v>4</v>
      </c>
      <c r="BC123" t="str">
        <f t="shared" si="49"/>
        <v>Oppose</v>
      </c>
      <c r="BD123" s="32">
        <f t="shared" si="50"/>
        <v>4</v>
      </c>
      <c r="BE123">
        <f>step3_validation[[#This Row],[AI_OUT1]]</f>
        <v>9</v>
      </c>
      <c r="BF123" t="str">
        <f t="shared" si="51"/>
        <v>Support</v>
      </c>
      <c r="BG123">
        <f>survey_responses[[#This Row],[Sau khi xem xét các quyền lợi và nghĩa vụ, bạn có ủng hộ và tuân thủ chính sách mới hiện nay? - HUMAN-OUT1]]</f>
        <v>4</v>
      </c>
      <c r="BH123" t="str">
        <f t="shared" si="52"/>
        <v>Oppose</v>
      </c>
      <c r="BI123" s="32">
        <f t="shared" si="53"/>
        <v>5</v>
      </c>
    </row>
    <row r="124" spans="1:61" x14ac:dyDescent="0.45">
      <c r="A124" s="30">
        <f>step3_validation[[#This Row],[Persona_ID]]</f>
        <v>123</v>
      </c>
      <c r="B124" s="31">
        <f>step3_validation[[#This Row],[Used_Seed]]</f>
        <v>123</v>
      </c>
      <c r="C124" t="str">
        <f>step3_validation[[#This Row],[Gender]]</f>
        <v>Nữ</v>
      </c>
      <c r="D124" t="str">
        <f>survey_responses[[#This Row],[Giới tính của bạn:]]</f>
        <v>Nữ</v>
      </c>
      <c r="E124" t="str">
        <f>step3_validation[[#This Row],[Age_Group]]</f>
        <v>18 - 24</v>
      </c>
      <c r="F124" t="str">
        <f>survey_responses[[#This Row],[Độ tuổi của bạn:]]</f>
        <v>18 - 24</v>
      </c>
      <c r="G124" t="str">
        <f>step3_validation[[#This Row],[Region]]</f>
        <v>Thành thị</v>
      </c>
      <c r="H124" t="str">
        <f>survey_responses[[#This Row],[Khu vực bạn đang sinh sống:]]</f>
        <v>Thành thị</v>
      </c>
      <c r="I124" t="str">
        <f>step3_validation[[#This Row],[Education]]</f>
        <v>Đại học</v>
      </c>
      <c r="J124" t="str">
        <f>survey_responses[[#This Row],[Trình độ học vấn cao nhất:]]</f>
        <v>Đại học</v>
      </c>
      <c r="K124" t="str">
        <f>step3_validation[[#This Row],[Employment]]</f>
        <v>Chính thức</v>
      </c>
      <c r="L124" t="str">
        <f>survey_responses[[#This Row],[Tình trạng việc làm chính:]]</f>
        <v>Khu vực chính thức (Có Hợp đồng lao động, đóng BHXH)</v>
      </c>
      <c r="M124">
        <f>step3_validation[[#This Row],[Income_Mil]]</f>
        <v>12</v>
      </c>
      <c r="N124" t="str">
        <f>survey_responses[[#This Row],[Thu nhập bình quân tháng theo Hợp đồng lao động của bạn là bao nhiêu? (Vui lòng điền tổng thu nhập trước khi khấu trừ các loại Bảo hiểm (BHXH, BHYT, BHTN) và Thuế TNCN)]]</f>
        <v>Dưới 12 triệu VNĐ</v>
      </c>
      <c r="O124">
        <f>step3_validation[[#This Row],[Dependents]]</f>
        <v>0</v>
      </c>
      <c r="P124" t="str">
        <f>survey_responses[[#This Row],[Số người phụ thuộc (con nhỏ, cha mẹ già...) đủ điều kiện giảm trừ gia cảnh:]]</f>
        <v>0 người</v>
      </c>
      <c r="Q124">
        <f>step3_validation[[#This Row],[AI_ENF1]]</f>
        <v>7</v>
      </c>
      <c r="R124" t="str">
        <f t="shared" si="27"/>
        <v>Neutral</v>
      </c>
      <c r="S124">
        <f>survey_responses[[#This Row],[Tôi tin rằng với các quy định quản lý thuế hiện nay, hành vi gian lận hoặc trốn thuế sẽ dễ dàng bị phát hiện và xử lý nghiêm. - HUMAN-ENF1]]</f>
        <v>7</v>
      </c>
      <c r="T124" t="str">
        <f t="shared" si="28"/>
        <v>Neutral</v>
      </c>
      <c r="U124" s="32">
        <f t="shared" si="29"/>
        <v>0</v>
      </c>
      <c r="V124">
        <f>step3_validation[[#This Row],[AI_ENF2]]</f>
        <v>8</v>
      </c>
      <c r="W124" t="str">
        <f t="shared" si="30"/>
        <v>Support</v>
      </c>
      <c r="X124">
        <f>survey_responses[[#This Row],[Tôi tin rằng Nhà nước, cơ quan thuế có đủ khả năng và công nghệ để phát hiện, xử lý nghiêm các hành vi trốn thuế. - HUMAN-ENF2]]</f>
        <v>7</v>
      </c>
      <c r="Y124" t="str">
        <f t="shared" si="31"/>
        <v>Neutral</v>
      </c>
      <c r="Z124" s="32">
        <f t="shared" si="32"/>
        <v>1</v>
      </c>
      <c r="AA124">
        <f>step3_validation[[#This Row],[AI_FAC1]]</f>
        <v>9</v>
      </c>
      <c r="AB124" t="str">
        <f t="shared" si="33"/>
        <v>Support</v>
      </c>
      <c r="AC124">
        <f>survey_responses[[#This Row],[Các thủ tục khai báo thuế VÀ/HOẶC quy trình làm việc với cơ quan thuế đơn giản, tiện lợi, nhanh chóng hơn so với trước đây. - HUMAN-FAC1]]</f>
        <v>7</v>
      </c>
      <c r="AD124" t="str">
        <f t="shared" si="34"/>
        <v>Neutral</v>
      </c>
      <c r="AE124" s="32">
        <f t="shared" si="35"/>
        <v>2</v>
      </c>
      <c r="AF124">
        <f>step3_validation[[#This Row],[AI_FAC2]]</f>
        <v>10</v>
      </c>
      <c r="AG124" t="str">
        <f t="shared" si="36"/>
        <v>Support</v>
      </c>
      <c r="AH124">
        <f>survey_responses[[#This Row],[So với trước đây, tôi thấy cách tính thuế và các bậc thuế trong phương án mới đơn giản, dễ hiểu và dễ thực hiện hơn. - HUMAN-FAC2]]</f>
        <v>7</v>
      </c>
      <c r="AI124" t="str">
        <f t="shared" si="37"/>
        <v>Neutral</v>
      </c>
      <c r="AJ124" s="32">
        <f t="shared" si="38"/>
        <v>3</v>
      </c>
      <c r="AK124">
        <f>step3_validation[[#This Row],[AI_TRU1]]</f>
        <v>9</v>
      </c>
      <c r="AL124" t="str">
        <f t="shared" si="39"/>
        <v>Support</v>
      </c>
      <c r="AM124">
        <f>survey_responses[[#This Row],[Tôi tin rằng Nhà nước, cơ quan thuế sẽ thực thi chính sách mới một cách khách quan, công tâm và đối xử bình đẳng với mọi người nộp thuế.  - HUMAN-TRU1]]</f>
        <v>7</v>
      </c>
      <c r="AN124" t="str">
        <f t="shared" si="40"/>
        <v>Neutral</v>
      </c>
      <c r="AO124" s="32">
        <f t="shared" si="41"/>
        <v>2</v>
      </c>
      <c r="AP124">
        <f>step3_validation[[#This Row],[AI_TRU2]]</f>
        <v>8</v>
      </c>
      <c r="AQ124" t="str">
        <f t="shared" si="42"/>
        <v>Support</v>
      </c>
      <c r="AR124">
        <f>survey_responses[[#This Row],[Tôi thấy mức thuế tôi phải đóng theo phương án mới là công bằng (người thu nhập như tôi đóng mức này là hợp lý). - HUMAN-TRU2]]</f>
        <v>7</v>
      </c>
      <c r="AS124" t="str">
        <f t="shared" si="43"/>
        <v>Neutral</v>
      </c>
      <c r="AT124" s="32">
        <f t="shared" si="44"/>
        <v>1</v>
      </c>
      <c r="AU124">
        <f>step3_validation[[#This Row],[AI_TRU3]]</f>
        <v>9</v>
      </c>
      <c r="AV124" t="str">
        <f t="shared" si="45"/>
        <v>Support</v>
      </c>
      <c r="AW124">
        <f>survey_responses[[#This Row],[Tôi tin tưởng số tiền thuế tôi đóng sẽ được Nhà nước sử dụng hiệu quả để cải thiện dịch vụ công (y tế, đường xá...). - HUMAN-TRU3]]</f>
        <v>7</v>
      </c>
      <c r="AX124" t="str">
        <f t="shared" si="46"/>
        <v>Neutral</v>
      </c>
      <c r="AY124" s="32">
        <f t="shared" si="47"/>
        <v>2</v>
      </c>
      <c r="AZ124">
        <f>step3_validation[[#This Row],[AI_TRU4]]</f>
        <v>8</v>
      </c>
      <c r="BA124" t="str">
        <f t="shared" si="48"/>
        <v>Support</v>
      </c>
      <c r="BB124">
        <f>survey_responses[[#This Row],[Tôi thấy Nhà nước đã giải thích rõ ràng, minh bạch về lý do và mục tiêu của việc sửa đổi thuế lần này. - HUMAN-TRU4]]</f>
        <v>7</v>
      </c>
      <c r="BC124" t="str">
        <f t="shared" si="49"/>
        <v>Neutral</v>
      </c>
      <c r="BD124" s="32">
        <f t="shared" si="50"/>
        <v>1</v>
      </c>
      <c r="BE124">
        <f>step3_validation[[#This Row],[AI_OUT1]]</f>
        <v>9</v>
      </c>
      <c r="BF124" t="str">
        <f t="shared" si="51"/>
        <v>Support</v>
      </c>
      <c r="BG124">
        <f>survey_responses[[#This Row],[Sau khi xem xét các quyền lợi và nghĩa vụ, bạn có ủng hộ và tuân thủ chính sách mới hiện nay? - HUMAN-OUT1]]</f>
        <v>8</v>
      </c>
      <c r="BH124" t="str">
        <f t="shared" si="52"/>
        <v>Support</v>
      </c>
      <c r="BI124" s="32">
        <f t="shared" si="53"/>
        <v>1</v>
      </c>
    </row>
    <row r="125" spans="1:61" x14ac:dyDescent="0.45">
      <c r="A125" s="30">
        <f>step3_validation[[#This Row],[Persona_ID]]</f>
        <v>124</v>
      </c>
      <c r="B125" s="31">
        <f>step3_validation[[#This Row],[Used_Seed]]</f>
        <v>124</v>
      </c>
      <c r="C125" t="str">
        <f>step3_validation[[#This Row],[Gender]]</f>
        <v>Nữ</v>
      </c>
      <c r="D125" t="str">
        <f>survey_responses[[#This Row],[Giới tính của bạn:]]</f>
        <v>Nữ</v>
      </c>
      <c r="E125" t="str">
        <f>step3_validation[[#This Row],[Age_Group]]</f>
        <v>50 - 54</v>
      </c>
      <c r="F125" t="str">
        <f>survey_responses[[#This Row],[Độ tuổi của bạn:]]</f>
        <v>50 - 54</v>
      </c>
      <c r="G125" t="str">
        <f>step3_validation[[#This Row],[Region]]</f>
        <v>Thành thị</v>
      </c>
      <c r="H125" t="str">
        <f>survey_responses[[#This Row],[Khu vực bạn đang sinh sống:]]</f>
        <v>Thành thị</v>
      </c>
      <c r="I125" t="str">
        <f>step3_validation[[#This Row],[Education]]</f>
        <v>Sau Đại học</v>
      </c>
      <c r="J125" t="str">
        <f>survey_responses[[#This Row],[Trình độ học vấn cao nhất:]]</f>
        <v>Sau Đại học</v>
      </c>
      <c r="K125" t="str">
        <f>step3_validation[[#This Row],[Employment]]</f>
        <v>Chính thức</v>
      </c>
      <c r="L125" t="str">
        <f>survey_responses[[#This Row],[Tình trạng việc làm chính:]]</f>
        <v>Khu vực chính thức (Có Hợp đồng lao động, đóng BHXH)</v>
      </c>
      <c r="M125">
        <f>step3_validation[[#This Row],[Income_Mil]]</f>
        <v>43.778796710583769</v>
      </c>
      <c r="N125" t="str">
        <f>survey_responses[[#This Row],[Thu nhập bình quân tháng theo Hợp đồng lao động của bạn là bao nhiêu? (Vui lòng điền tổng thu nhập trước khi khấu trừ các loại Bảo hiểm (BHXH, BHYT, BHTN) và Thuế TNCN)]]</f>
        <v>Từ 32 - 48 triệu VNĐ</v>
      </c>
      <c r="O125">
        <f>step3_validation[[#This Row],[Dependents]]</f>
        <v>1</v>
      </c>
      <c r="P125" t="str">
        <f>survey_responses[[#This Row],[Số người phụ thuộc (con nhỏ, cha mẹ già...) đủ điều kiện giảm trừ gia cảnh:]]</f>
        <v>1 người</v>
      </c>
      <c r="Q125">
        <f>step3_validation[[#This Row],[AI_ENF1]]</f>
        <v>9</v>
      </c>
      <c r="R125" t="str">
        <f t="shared" si="27"/>
        <v>Support</v>
      </c>
      <c r="S125">
        <f>survey_responses[[#This Row],[Tôi tin rằng với các quy định quản lý thuế hiện nay, hành vi gian lận hoặc trốn thuế sẽ dễ dàng bị phát hiện và xử lý nghiêm. - HUMAN-ENF1]]</f>
        <v>10</v>
      </c>
      <c r="T125" t="str">
        <f t="shared" si="28"/>
        <v>Support</v>
      </c>
      <c r="U125" s="32">
        <f t="shared" si="29"/>
        <v>1</v>
      </c>
      <c r="V125">
        <f>step3_validation[[#This Row],[AI_ENF2]]</f>
        <v>8</v>
      </c>
      <c r="W125" t="str">
        <f t="shared" si="30"/>
        <v>Support</v>
      </c>
      <c r="X125">
        <f>survey_responses[[#This Row],[Tôi tin rằng Nhà nước, cơ quan thuế có đủ khả năng và công nghệ để phát hiện, xử lý nghiêm các hành vi trốn thuế. - HUMAN-ENF2]]</f>
        <v>9</v>
      </c>
      <c r="Y125" t="str">
        <f t="shared" si="31"/>
        <v>Support</v>
      </c>
      <c r="Z125" s="32">
        <f t="shared" si="32"/>
        <v>1</v>
      </c>
      <c r="AA125">
        <f>step3_validation[[#This Row],[AI_FAC1]]</f>
        <v>9</v>
      </c>
      <c r="AB125" t="str">
        <f t="shared" si="33"/>
        <v>Support</v>
      </c>
      <c r="AC125">
        <f>survey_responses[[#This Row],[Các thủ tục khai báo thuế VÀ/HOẶC quy trình làm việc với cơ quan thuế đơn giản, tiện lợi, nhanh chóng hơn so với trước đây. - HUMAN-FAC1]]</f>
        <v>10</v>
      </c>
      <c r="AD125" t="str">
        <f t="shared" si="34"/>
        <v>Support</v>
      </c>
      <c r="AE125" s="32">
        <f t="shared" si="35"/>
        <v>1</v>
      </c>
      <c r="AF125">
        <f>step3_validation[[#This Row],[AI_FAC2]]</f>
        <v>9</v>
      </c>
      <c r="AG125" t="str">
        <f t="shared" si="36"/>
        <v>Support</v>
      </c>
      <c r="AH125">
        <f>survey_responses[[#This Row],[So với trước đây, tôi thấy cách tính thuế và các bậc thuế trong phương án mới đơn giản, dễ hiểu và dễ thực hiện hơn. - HUMAN-FAC2]]</f>
        <v>10</v>
      </c>
      <c r="AI125" t="str">
        <f t="shared" si="37"/>
        <v>Support</v>
      </c>
      <c r="AJ125" s="32">
        <f t="shared" si="38"/>
        <v>1</v>
      </c>
      <c r="AK125">
        <f>step3_validation[[#This Row],[AI_TRU1]]</f>
        <v>9</v>
      </c>
      <c r="AL125" t="str">
        <f t="shared" si="39"/>
        <v>Support</v>
      </c>
      <c r="AM125">
        <f>survey_responses[[#This Row],[Tôi tin rằng Nhà nước, cơ quan thuế sẽ thực thi chính sách mới một cách khách quan, công tâm và đối xử bình đẳng với mọi người nộp thuế.  - HUMAN-TRU1]]</f>
        <v>10</v>
      </c>
      <c r="AN125" t="str">
        <f t="shared" si="40"/>
        <v>Support</v>
      </c>
      <c r="AO125" s="32">
        <f t="shared" si="41"/>
        <v>1</v>
      </c>
      <c r="AP125">
        <f>step3_validation[[#This Row],[AI_TRU2]]</f>
        <v>8</v>
      </c>
      <c r="AQ125" t="str">
        <f t="shared" si="42"/>
        <v>Support</v>
      </c>
      <c r="AR125">
        <f>survey_responses[[#This Row],[Tôi thấy mức thuế tôi phải đóng theo phương án mới là công bằng (người thu nhập như tôi đóng mức này là hợp lý). - HUMAN-TRU2]]</f>
        <v>8</v>
      </c>
      <c r="AS125" t="str">
        <f t="shared" si="43"/>
        <v>Support</v>
      </c>
      <c r="AT125" s="32">
        <f t="shared" si="44"/>
        <v>0</v>
      </c>
      <c r="AU125">
        <f>step3_validation[[#This Row],[AI_TRU3]]</f>
        <v>9</v>
      </c>
      <c r="AV125" t="str">
        <f t="shared" si="45"/>
        <v>Support</v>
      </c>
      <c r="AW125">
        <f>survey_responses[[#This Row],[Tôi tin tưởng số tiền thuế tôi đóng sẽ được Nhà nước sử dụng hiệu quả để cải thiện dịch vụ công (y tế, đường xá...). - HUMAN-TRU3]]</f>
        <v>9</v>
      </c>
      <c r="AX125" t="str">
        <f t="shared" si="46"/>
        <v>Support</v>
      </c>
      <c r="AY125" s="32">
        <f t="shared" si="47"/>
        <v>0</v>
      </c>
      <c r="AZ125">
        <f>step3_validation[[#This Row],[AI_TRU4]]</f>
        <v>8</v>
      </c>
      <c r="BA125" t="str">
        <f t="shared" si="48"/>
        <v>Support</v>
      </c>
      <c r="BB125">
        <f>survey_responses[[#This Row],[Tôi thấy Nhà nước đã giải thích rõ ràng, minh bạch về lý do và mục tiêu của việc sửa đổi thuế lần này. - HUMAN-TRU4]]</f>
        <v>9</v>
      </c>
      <c r="BC125" t="str">
        <f t="shared" si="49"/>
        <v>Support</v>
      </c>
      <c r="BD125" s="32">
        <f t="shared" si="50"/>
        <v>1</v>
      </c>
      <c r="BE125">
        <f>step3_validation[[#This Row],[AI_OUT1]]</f>
        <v>10</v>
      </c>
      <c r="BF125" t="str">
        <f t="shared" si="51"/>
        <v>Support</v>
      </c>
      <c r="BG125">
        <f>survey_responses[[#This Row],[Sau khi xem xét các quyền lợi và nghĩa vụ, bạn có ủng hộ và tuân thủ chính sách mới hiện nay? - HUMAN-OUT1]]</f>
        <v>9</v>
      </c>
      <c r="BH125" t="str">
        <f t="shared" si="52"/>
        <v>Support</v>
      </c>
      <c r="BI125" s="32">
        <f t="shared" si="53"/>
        <v>1</v>
      </c>
    </row>
    <row r="126" spans="1:61" x14ac:dyDescent="0.45">
      <c r="A126" s="30">
        <f>step3_validation[[#This Row],[Persona_ID]]</f>
        <v>125</v>
      </c>
      <c r="B126" s="31">
        <f>step3_validation[[#This Row],[Used_Seed]]</f>
        <v>125</v>
      </c>
      <c r="C126" t="str">
        <f>step3_validation[[#This Row],[Gender]]</f>
        <v>Nữ</v>
      </c>
      <c r="D126" t="str">
        <f>survey_responses[[#This Row],[Giới tính của bạn:]]</f>
        <v>Nữ</v>
      </c>
      <c r="E126" t="str">
        <f>step3_validation[[#This Row],[Age_Group]]</f>
        <v>18 - 24</v>
      </c>
      <c r="F126" t="str">
        <f>survey_responses[[#This Row],[Độ tuổi của bạn:]]</f>
        <v>18 - 24</v>
      </c>
      <c r="G126" t="str">
        <f>step3_validation[[#This Row],[Region]]</f>
        <v>Thành thị</v>
      </c>
      <c r="H126" t="str">
        <f>survey_responses[[#This Row],[Khu vực bạn đang sinh sống:]]</f>
        <v>Thành thị</v>
      </c>
      <c r="I126" t="str">
        <f>step3_validation[[#This Row],[Education]]</f>
        <v>Đại học</v>
      </c>
      <c r="J126" t="str">
        <f>survey_responses[[#This Row],[Trình độ học vấn cao nhất:]]</f>
        <v>Đại học</v>
      </c>
      <c r="K126" t="str">
        <f>step3_validation[[#This Row],[Employment]]</f>
        <v>Chính thức</v>
      </c>
      <c r="L126" t="str">
        <f>survey_responses[[#This Row],[Tình trạng việc làm chính:]]</f>
        <v>Khu vực chính thức (Có Hợp đồng lao động, đóng BHXH)</v>
      </c>
      <c r="M126">
        <f>step3_validation[[#This Row],[Income_Mil]]</f>
        <v>16.258747418004365</v>
      </c>
      <c r="N126" t="str">
        <f>survey_responses[[#This Row],[Thu nhập bình quân tháng theo Hợp đồng lao động của bạn là bao nhiêu? (Vui lòng điền tổng thu nhập trước khi khấu trừ các loại Bảo hiểm (BHXH, BHYT, BHTN) và Thuế TNCN)]]</f>
        <v>Từ 12 - 18 triệu VNĐ</v>
      </c>
      <c r="O126">
        <f>step3_validation[[#This Row],[Dependents]]</f>
        <v>2</v>
      </c>
      <c r="P126" t="str">
        <f>survey_responses[[#This Row],[Số người phụ thuộc (con nhỏ, cha mẹ già...) đủ điều kiện giảm trừ gia cảnh:]]</f>
        <v>2 người</v>
      </c>
      <c r="Q126">
        <f>step3_validation[[#This Row],[AI_ENF1]]</f>
        <v>6</v>
      </c>
      <c r="R126" t="str">
        <f t="shared" si="27"/>
        <v>Neutral</v>
      </c>
      <c r="S126">
        <f>survey_responses[[#This Row],[Tôi tin rằng với các quy định quản lý thuế hiện nay, hành vi gian lận hoặc trốn thuế sẽ dễ dàng bị phát hiện và xử lý nghiêm. - HUMAN-ENF1]]</f>
        <v>10</v>
      </c>
      <c r="T126" t="str">
        <f t="shared" si="28"/>
        <v>Support</v>
      </c>
      <c r="U126" s="32">
        <f t="shared" si="29"/>
        <v>4</v>
      </c>
      <c r="V126">
        <f>step3_validation[[#This Row],[AI_ENF2]]</f>
        <v>5</v>
      </c>
      <c r="W126" t="str">
        <f t="shared" si="30"/>
        <v>Neutral</v>
      </c>
      <c r="X126">
        <f>survey_responses[[#This Row],[Tôi tin rằng Nhà nước, cơ quan thuế có đủ khả năng và công nghệ để phát hiện, xử lý nghiêm các hành vi trốn thuế. - HUMAN-ENF2]]</f>
        <v>10</v>
      </c>
      <c r="Y126" t="str">
        <f t="shared" si="31"/>
        <v>Support</v>
      </c>
      <c r="Z126" s="32">
        <f t="shared" si="32"/>
        <v>5</v>
      </c>
      <c r="AA126">
        <f>step3_validation[[#This Row],[AI_FAC1]]</f>
        <v>9</v>
      </c>
      <c r="AB126" t="str">
        <f t="shared" si="33"/>
        <v>Support</v>
      </c>
      <c r="AC126">
        <f>survey_responses[[#This Row],[Các thủ tục khai báo thuế VÀ/HOẶC quy trình làm việc với cơ quan thuế đơn giản, tiện lợi, nhanh chóng hơn so với trước đây. - HUMAN-FAC1]]</f>
        <v>10</v>
      </c>
      <c r="AD126" t="str">
        <f t="shared" si="34"/>
        <v>Support</v>
      </c>
      <c r="AE126" s="32">
        <f t="shared" si="35"/>
        <v>1</v>
      </c>
      <c r="AF126">
        <f>step3_validation[[#This Row],[AI_FAC2]]</f>
        <v>8</v>
      </c>
      <c r="AG126" t="str">
        <f t="shared" si="36"/>
        <v>Support</v>
      </c>
      <c r="AH126">
        <f>survey_responses[[#This Row],[So với trước đây, tôi thấy cách tính thuế và các bậc thuế trong phương án mới đơn giản, dễ hiểu và dễ thực hiện hơn. - HUMAN-FAC2]]</f>
        <v>10</v>
      </c>
      <c r="AI126" t="str">
        <f t="shared" si="37"/>
        <v>Support</v>
      </c>
      <c r="AJ126" s="32">
        <f t="shared" si="38"/>
        <v>2</v>
      </c>
      <c r="AK126">
        <f>step3_validation[[#This Row],[AI_TRU1]]</f>
        <v>9</v>
      </c>
      <c r="AL126" t="str">
        <f t="shared" si="39"/>
        <v>Support</v>
      </c>
      <c r="AM126">
        <f>survey_responses[[#This Row],[Tôi tin rằng Nhà nước, cơ quan thuế sẽ thực thi chính sách mới một cách khách quan, công tâm và đối xử bình đẳng với mọi người nộp thuế.  - HUMAN-TRU1]]</f>
        <v>10</v>
      </c>
      <c r="AN126" t="str">
        <f t="shared" si="40"/>
        <v>Support</v>
      </c>
      <c r="AO126" s="32">
        <f t="shared" si="41"/>
        <v>1</v>
      </c>
      <c r="AP126">
        <f>step3_validation[[#This Row],[AI_TRU2]]</f>
        <v>8</v>
      </c>
      <c r="AQ126" t="str">
        <f t="shared" si="42"/>
        <v>Support</v>
      </c>
      <c r="AR126">
        <f>survey_responses[[#This Row],[Tôi thấy mức thuế tôi phải đóng theo phương án mới là công bằng (người thu nhập như tôi đóng mức này là hợp lý). - HUMAN-TRU2]]</f>
        <v>10</v>
      </c>
      <c r="AS126" t="str">
        <f t="shared" si="43"/>
        <v>Support</v>
      </c>
      <c r="AT126" s="32">
        <f t="shared" si="44"/>
        <v>2</v>
      </c>
      <c r="AU126">
        <f>step3_validation[[#This Row],[AI_TRU3]]</f>
        <v>9</v>
      </c>
      <c r="AV126" t="str">
        <f t="shared" si="45"/>
        <v>Support</v>
      </c>
      <c r="AW126">
        <f>survey_responses[[#This Row],[Tôi tin tưởng số tiền thuế tôi đóng sẽ được Nhà nước sử dụng hiệu quả để cải thiện dịch vụ công (y tế, đường xá...). - HUMAN-TRU3]]</f>
        <v>10</v>
      </c>
      <c r="AX126" t="str">
        <f t="shared" si="46"/>
        <v>Support</v>
      </c>
      <c r="AY126" s="32">
        <f t="shared" si="47"/>
        <v>1</v>
      </c>
      <c r="AZ126">
        <f>step3_validation[[#This Row],[AI_TRU4]]</f>
        <v>8</v>
      </c>
      <c r="BA126" t="str">
        <f t="shared" si="48"/>
        <v>Support</v>
      </c>
      <c r="BB126">
        <f>survey_responses[[#This Row],[Tôi thấy Nhà nước đã giải thích rõ ràng, minh bạch về lý do và mục tiêu của việc sửa đổi thuế lần này. - HUMAN-TRU4]]</f>
        <v>10</v>
      </c>
      <c r="BC126" t="str">
        <f t="shared" si="49"/>
        <v>Support</v>
      </c>
      <c r="BD126" s="32">
        <f t="shared" si="50"/>
        <v>2</v>
      </c>
      <c r="BE126">
        <f>step3_validation[[#This Row],[AI_OUT1]]</f>
        <v>9</v>
      </c>
      <c r="BF126" t="str">
        <f t="shared" si="51"/>
        <v>Support</v>
      </c>
      <c r="BG126">
        <f>survey_responses[[#This Row],[Sau khi xem xét các quyền lợi và nghĩa vụ, bạn có ủng hộ và tuân thủ chính sách mới hiện nay? - HUMAN-OUT1]]</f>
        <v>10</v>
      </c>
      <c r="BH126" t="str">
        <f t="shared" si="52"/>
        <v>Support</v>
      </c>
      <c r="BI126" s="32">
        <f t="shared" si="53"/>
        <v>1</v>
      </c>
    </row>
    <row r="127" spans="1:61" x14ac:dyDescent="0.45">
      <c r="A127" s="30">
        <f>step3_validation[[#This Row],[Persona_ID]]</f>
        <v>126</v>
      </c>
      <c r="B127" s="31">
        <f>step3_validation[[#This Row],[Used_Seed]]</f>
        <v>126</v>
      </c>
      <c r="C127" t="str">
        <f>step3_validation[[#This Row],[Gender]]</f>
        <v>Nam</v>
      </c>
      <c r="D127" t="str">
        <f>survey_responses[[#This Row],[Giới tính của bạn:]]</f>
        <v>Nam</v>
      </c>
      <c r="E127" t="str">
        <f>step3_validation[[#This Row],[Age_Group]]</f>
        <v>25 - 29</v>
      </c>
      <c r="F127" t="str">
        <f>survey_responses[[#This Row],[Độ tuổi của bạn:]]</f>
        <v>25 - 29</v>
      </c>
      <c r="G127" t="str">
        <f>step3_validation[[#This Row],[Region]]</f>
        <v>Thành thị</v>
      </c>
      <c r="H127" t="str">
        <f>survey_responses[[#This Row],[Khu vực bạn đang sinh sống:]]</f>
        <v>Thành thị</v>
      </c>
      <c r="I127" t="str">
        <f>step3_validation[[#This Row],[Education]]</f>
        <v>Đại học</v>
      </c>
      <c r="J127" t="str">
        <f>survey_responses[[#This Row],[Trình độ học vấn cao nhất:]]</f>
        <v>Đại học</v>
      </c>
      <c r="K127" t="str">
        <f>step3_validation[[#This Row],[Employment]]</f>
        <v>Chính thức</v>
      </c>
      <c r="L127" t="str">
        <f>survey_responses[[#This Row],[Tình trạng việc làm chính:]]</f>
        <v>Khu vực chính thức (Có Hợp đồng lao động, đóng BHXH)</v>
      </c>
      <c r="M127">
        <f>step3_validation[[#This Row],[Income_Mil]]</f>
        <v>23.049408607749275</v>
      </c>
      <c r="N127" t="str">
        <f>survey_responses[[#This Row],[Thu nhập bình quân tháng theo Hợp đồng lao động của bạn là bao nhiêu? (Vui lòng điền tổng thu nhập trước khi khấu trừ các loại Bảo hiểm (BHXH, BHYT, BHTN) và Thuế TNCN)]]</f>
        <v>Từ 23 - 32 triệu VNĐ</v>
      </c>
      <c r="O127">
        <f>step3_validation[[#This Row],[Dependents]]</f>
        <v>0</v>
      </c>
      <c r="P127" t="str">
        <f>survey_responses[[#This Row],[Số người phụ thuộc (con nhỏ, cha mẹ già...) đủ điều kiện giảm trừ gia cảnh:]]</f>
        <v>0 người</v>
      </c>
      <c r="Q127">
        <f>step3_validation[[#This Row],[AI_ENF1]]</f>
        <v>8</v>
      </c>
      <c r="R127" t="str">
        <f t="shared" si="27"/>
        <v>Support</v>
      </c>
      <c r="S127">
        <f>survey_responses[[#This Row],[Tôi tin rằng với các quy định quản lý thuế hiện nay, hành vi gian lận hoặc trốn thuế sẽ dễ dàng bị phát hiện và xử lý nghiêm. - HUMAN-ENF1]]</f>
        <v>8</v>
      </c>
      <c r="T127" t="str">
        <f t="shared" si="28"/>
        <v>Support</v>
      </c>
      <c r="U127" s="32">
        <f t="shared" si="29"/>
        <v>0</v>
      </c>
      <c r="V127">
        <f>step3_validation[[#This Row],[AI_ENF2]]</f>
        <v>9</v>
      </c>
      <c r="W127" t="str">
        <f t="shared" si="30"/>
        <v>Support</v>
      </c>
      <c r="X127">
        <f>survey_responses[[#This Row],[Tôi tin rằng Nhà nước, cơ quan thuế có đủ khả năng và công nghệ để phát hiện, xử lý nghiêm các hành vi trốn thuế. - HUMAN-ENF2]]</f>
        <v>8</v>
      </c>
      <c r="Y127" t="str">
        <f t="shared" si="31"/>
        <v>Support</v>
      </c>
      <c r="Z127" s="32">
        <f t="shared" si="32"/>
        <v>1</v>
      </c>
      <c r="AA127">
        <f>step3_validation[[#This Row],[AI_FAC1]]</f>
        <v>7</v>
      </c>
      <c r="AB127" t="str">
        <f t="shared" si="33"/>
        <v>Neutral</v>
      </c>
      <c r="AC127">
        <f>survey_responses[[#This Row],[Các thủ tục khai báo thuế VÀ/HOẶC quy trình làm việc với cơ quan thuế đơn giản, tiện lợi, nhanh chóng hơn so với trước đây. - HUMAN-FAC1]]</f>
        <v>5</v>
      </c>
      <c r="AD127" t="str">
        <f t="shared" si="34"/>
        <v>Neutral</v>
      </c>
      <c r="AE127" s="32">
        <f t="shared" si="35"/>
        <v>2</v>
      </c>
      <c r="AF127">
        <f>step3_validation[[#This Row],[AI_FAC2]]</f>
        <v>9</v>
      </c>
      <c r="AG127" t="str">
        <f t="shared" si="36"/>
        <v>Support</v>
      </c>
      <c r="AH127">
        <f>survey_responses[[#This Row],[So với trước đây, tôi thấy cách tính thuế và các bậc thuế trong phương án mới đơn giản, dễ hiểu và dễ thực hiện hơn. - HUMAN-FAC2]]</f>
        <v>8</v>
      </c>
      <c r="AI127" t="str">
        <f t="shared" si="37"/>
        <v>Support</v>
      </c>
      <c r="AJ127" s="32">
        <f t="shared" si="38"/>
        <v>1</v>
      </c>
      <c r="AK127">
        <f>step3_validation[[#This Row],[AI_TRU1]]</f>
        <v>7</v>
      </c>
      <c r="AL127" t="str">
        <f t="shared" si="39"/>
        <v>Neutral</v>
      </c>
      <c r="AM127">
        <f>survey_responses[[#This Row],[Tôi tin rằng Nhà nước, cơ quan thuế sẽ thực thi chính sách mới một cách khách quan, công tâm và đối xử bình đẳng với mọi người nộp thuế.  - HUMAN-TRU1]]</f>
        <v>8</v>
      </c>
      <c r="AN127" t="str">
        <f t="shared" si="40"/>
        <v>Support</v>
      </c>
      <c r="AO127" s="32">
        <f t="shared" si="41"/>
        <v>1</v>
      </c>
      <c r="AP127">
        <f>step3_validation[[#This Row],[AI_TRU2]]</f>
        <v>8</v>
      </c>
      <c r="AQ127" t="str">
        <f t="shared" si="42"/>
        <v>Support</v>
      </c>
      <c r="AR127">
        <f>survey_responses[[#This Row],[Tôi thấy mức thuế tôi phải đóng theo phương án mới là công bằng (người thu nhập như tôi đóng mức này là hợp lý). - HUMAN-TRU2]]</f>
        <v>8</v>
      </c>
      <c r="AS127" t="str">
        <f t="shared" si="43"/>
        <v>Support</v>
      </c>
      <c r="AT127" s="32">
        <f t="shared" si="44"/>
        <v>0</v>
      </c>
      <c r="AU127">
        <f>step3_validation[[#This Row],[AI_TRU3]]</f>
        <v>7</v>
      </c>
      <c r="AV127" t="str">
        <f t="shared" si="45"/>
        <v>Neutral</v>
      </c>
      <c r="AW127">
        <f>survey_responses[[#This Row],[Tôi tin tưởng số tiền thuế tôi đóng sẽ được Nhà nước sử dụng hiệu quả để cải thiện dịch vụ công (y tế, đường xá...). - HUMAN-TRU3]]</f>
        <v>7</v>
      </c>
      <c r="AX127" t="str">
        <f t="shared" si="46"/>
        <v>Neutral</v>
      </c>
      <c r="AY127" s="32">
        <f t="shared" si="47"/>
        <v>0</v>
      </c>
      <c r="AZ127">
        <f>step3_validation[[#This Row],[AI_TRU4]]</f>
        <v>8</v>
      </c>
      <c r="BA127" t="str">
        <f t="shared" si="48"/>
        <v>Support</v>
      </c>
      <c r="BB127">
        <f>survey_responses[[#This Row],[Tôi thấy Nhà nước đã giải thích rõ ràng, minh bạch về lý do và mục tiêu của việc sửa đổi thuế lần này. - HUMAN-TRU4]]</f>
        <v>7</v>
      </c>
      <c r="BC127" t="str">
        <f t="shared" si="49"/>
        <v>Neutral</v>
      </c>
      <c r="BD127" s="32">
        <f t="shared" si="50"/>
        <v>1</v>
      </c>
      <c r="BE127">
        <f>step3_validation[[#This Row],[AI_OUT1]]</f>
        <v>9</v>
      </c>
      <c r="BF127" t="str">
        <f t="shared" si="51"/>
        <v>Support</v>
      </c>
      <c r="BG127">
        <f>survey_responses[[#This Row],[Sau khi xem xét các quyền lợi và nghĩa vụ, bạn có ủng hộ và tuân thủ chính sách mới hiện nay? - HUMAN-OUT1]]</f>
        <v>8</v>
      </c>
      <c r="BH127" t="str">
        <f t="shared" si="52"/>
        <v>Support</v>
      </c>
      <c r="BI127" s="32">
        <f t="shared" si="53"/>
        <v>1</v>
      </c>
    </row>
    <row r="128" spans="1:61" x14ac:dyDescent="0.45">
      <c r="A128" s="30">
        <f>step3_validation[[#This Row],[Persona_ID]]</f>
        <v>127</v>
      </c>
      <c r="B128" s="31">
        <f>step3_validation[[#This Row],[Used_Seed]]</f>
        <v>127</v>
      </c>
      <c r="C128" t="str">
        <f>step3_validation[[#This Row],[Gender]]</f>
        <v>Nữ</v>
      </c>
      <c r="D128" t="str">
        <f>survey_responses[[#This Row],[Giới tính của bạn:]]</f>
        <v>Nữ</v>
      </c>
      <c r="E128" t="str">
        <f>step3_validation[[#This Row],[Age_Group]]</f>
        <v>40 - 49</v>
      </c>
      <c r="F128" t="str">
        <f>survey_responses[[#This Row],[Độ tuổi của bạn:]]</f>
        <v>40 - 49</v>
      </c>
      <c r="G128" t="str">
        <f>step3_validation[[#This Row],[Region]]</f>
        <v>Thành thị</v>
      </c>
      <c r="H128" t="str">
        <f>survey_responses[[#This Row],[Khu vực bạn đang sinh sống:]]</f>
        <v>Thành thị</v>
      </c>
      <c r="I128" t="str">
        <f>step3_validation[[#This Row],[Education]]</f>
        <v>Đại học</v>
      </c>
      <c r="J128" t="str">
        <f>survey_responses[[#This Row],[Trình độ học vấn cao nhất:]]</f>
        <v>Đại học</v>
      </c>
      <c r="K128" t="str">
        <f>step3_validation[[#This Row],[Employment]]</f>
        <v>Chính thức</v>
      </c>
      <c r="L128" t="str">
        <f>survey_responses[[#This Row],[Tình trạng việc làm chính:]]</f>
        <v>Khu vực chính thức (Có Hợp đồng lao động, đóng BHXH)</v>
      </c>
      <c r="M128">
        <f>step3_validation[[#This Row],[Income_Mil]]</f>
        <v>111.24505202453923</v>
      </c>
      <c r="N128" t="str">
        <f>survey_responses[[#This Row],[Thu nhập bình quân tháng theo Hợp đồng lao động của bạn là bao nhiêu? (Vui lòng điền tổng thu nhập trước khi khấu trừ các loại Bảo hiểm (BHXH, BHYT, BHTN) và Thuế TNCN)]]</f>
        <v>Trên 102 triệu VNĐ</v>
      </c>
      <c r="O128">
        <f>step3_validation[[#This Row],[Dependents]]</f>
        <v>4</v>
      </c>
      <c r="P128" t="str">
        <f>survey_responses[[#This Row],[Số người phụ thuộc (con nhỏ, cha mẹ già...) đủ điều kiện giảm trừ gia cảnh:]]</f>
        <v>4 người trở lên</v>
      </c>
      <c r="Q128">
        <f>step3_validation[[#This Row],[AI_ENF1]]</f>
        <v>6</v>
      </c>
      <c r="R128" t="str">
        <f t="shared" si="27"/>
        <v>Neutral</v>
      </c>
      <c r="S128">
        <f>survey_responses[[#This Row],[Tôi tin rằng với các quy định quản lý thuế hiện nay, hành vi gian lận hoặc trốn thuế sẽ dễ dàng bị phát hiện và xử lý nghiêm. - HUMAN-ENF1]]</f>
        <v>1</v>
      </c>
      <c r="T128" t="str">
        <f t="shared" si="28"/>
        <v>Oppose</v>
      </c>
      <c r="U128" s="32">
        <f t="shared" si="29"/>
        <v>5</v>
      </c>
      <c r="V128">
        <f>step3_validation[[#This Row],[AI_ENF2]]</f>
        <v>7</v>
      </c>
      <c r="W128" t="str">
        <f t="shared" si="30"/>
        <v>Neutral</v>
      </c>
      <c r="X128">
        <f>survey_responses[[#This Row],[Tôi tin rằng Nhà nước, cơ quan thuế có đủ khả năng và công nghệ để phát hiện, xử lý nghiêm các hành vi trốn thuế. - HUMAN-ENF2]]</f>
        <v>1</v>
      </c>
      <c r="Y128" t="str">
        <f t="shared" si="31"/>
        <v>Oppose</v>
      </c>
      <c r="Z128" s="32">
        <f t="shared" si="32"/>
        <v>6</v>
      </c>
      <c r="AA128">
        <f>step3_validation[[#This Row],[AI_FAC1]]</f>
        <v>8</v>
      </c>
      <c r="AB128" t="str">
        <f t="shared" si="33"/>
        <v>Support</v>
      </c>
      <c r="AC128">
        <f>survey_responses[[#This Row],[Các thủ tục khai báo thuế VÀ/HOẶC quy trình làm việc với cơ quan thuế đơn giản, tiện lợi, nhanh chóng hơn so với trước đây. - HUMAN-FAC1]]</f>
        <v>1</v>
      </c>
      <c r="AD128" t="str">
        <f t="shared" si="34"/>
        <v>Oppose</v>
      </c>
      <c r="AE128" s="32">
        <f t="shared" si="35"/>
        <v>7</v>
      </c>
      <c r="AF128">
        <f>step3_validation[[#This Row],[AI_FAC2]]</f>
        <v>9</v>
      </c>
      <c r="AG128" t="str">
        <f t="shared" si="36"/>
        <v>Support</v>
      </c>
      <c r="AH128">
        <f>survey_responses[[#This Row],[So với trước đây, tôi thấy cách tính thuế và các bậc thuế trong phương án mới đơn giản, dễ hiểu và dễ thực hiện hơn. - HUMAN-FAC2]]</f>
        <v>5</v>
      </c>
      <c r="AI128" t="str">
        <f t="shared" si="37"/>
        <v>Neutral</v>
      </c>
      <c r="AJ128" s="32">
        <f t="shared" si="38"/>
        <v>4</v>
      </c>
      <c r="AK128">
        <f>step3_validation[[#This Row],[AI_TRU1]]</f>
        <v>8</v>
      </c>
      <c r="AL128" t="str">
        <f t="shared" si="39"/>
        <v>Support</v>
      </c>
      <c r="AM128">
        <f>survey_responses[[#This Row],[Tôi tin rằng Nhà nước, cơ quan thuế sẽ thực thi chính sách mới một cách khách quan, công tâm và đối xử bình đẳng với mọi người nộp thuế.  - HUMAN-TRU1]]</f>
        <v>1</v>
      </c>
      <c r="AN128" t="str">
        <f t="shared" si="40"/>
        <v>Oppose</v>
      </c>
      <c r="AO128" s="32">
        <f t="shared" si="41"/>
        <v>7</v>
      </c>
      <c r="AP128">
        <f>step3_validation[[#This Row],[AI_TRU2]]</f>
        <v>9</v>
      </c>
      <c r="AQ128" t="str">
        <f t="shared" si="42"/>
        <v>Support</v>
      </c>
      <c r="AR128">
        <f>survey_responses[[#This Row],[Tôi thấy mức thuế tôi phải đóng theo phương án mới là công bằng (người thu nhập như tôi đóng mức này là hợp lý). - HUMAN-TRU2]]</f>
        <v>1</v>
      </c>
      <c r="AS128" t="str">
        <f t="shared" si="43"/>
        <v>Oppose</v>
      </c>
      <c r="AT128" s="32">
        <f t="shared" si="44"/>
        <v>8</v>
      </c>
      <c r="AU128">
        <f>step3_validation[[#This Row],[AI_TRU3]]</f>
        <v>8</v>
      </c>
      <c r="AV128" t="str">
        <f t="shared" si="45"/>
        <v>Support</v>
      </c>
      <c r="AW128">
        <f>survey_responses[[#This Row],[Tôi tin tưởng số tiền thuế tôi đóng sẽ được Nhà nước sử dụng hiệu quả để cải thiện dịch vụ công (y tế, đường xá...). - HUMAN-TRU3]]</f>
        <v>1</v>
      </c>
      <c r="AX128" t="str">
        <f t="shared" si="46"/>
        <v>Oppose</v>
      </c>
      <c r="AY128" s="32">
        <f t="shared" si="47"/>
        <v>7</v>
      </c>
      <c r="AZ128">
        <f>step3_validation[[#This Row],[AI_TRU4]]</f>
        <v>7</v>
      </c>
      <c r="BA128" t="str">
        <f t="shared" si="48"/>
        <v>Neutral</v>
      </c>
      <c r="BB128">
        <f>survey_responses[[#This Row],[Tôi thấy Nhà nước đã giải thích rõ ràng, minh bạch về lý do và mục tiêu của việc sửa đổi thuế lần này. - HUMAN-TRU4]]</f>
        <v>5</v>
      </c>
      <c r="BC128" t="str">
        <f t="shared" si="49"/>
        <v>Neutral</v>
      </c>
      <c r="BD128" s="32">
        <f t="shared" si="50"/>
        <v>2</v>
      </c>
      <c r="BE128">
        <f>step3_validation[[#This Row],[AI_OUT1]]</f>
        <v>9</v>
      </c>
      <c r="BF128" t="str">
        <f t="shared" si="51"/>
        <v>Support</v>
      </c>
      <c r="BG128">
        <f>survey_responses[[#This Row],[Sau khi xem xét các quyền lợi và nghĩa vụ, bạn có ủng hộ và tuân thủ chính sách mới hiện nay? - HUMAN-OUT1]]</f>
        <v>5</v>
      </c>
      <c r="BH128" t="str">
        <f t="shared" si="52"/>
        <v>Neutral</v>
      </c>
      <c r="BI128" s="32">
        <f t="shared" si="53"/>
        <v>4</v>
      </c>
    </row>
    <row r="129" spans="1:61" x14ac:dyDescent="0.45">
      <c r="A129" s="30">
        <f>step3_validation[[#This Row],[Persona_ID]]</f>
        <v>128</v>
      </c>
      <c r="B129" s="31">
        <f>step3_validation[[#This Row],[Used_Seed]]</f>
        <v>128</v>
      </c>
      <c r="C129" t="str">
        <f>step3_validation[[#This Row],[Gender]]</f>
        <v>Nam</v>
      </c>
      <c r="D129" t="str">
        <f>survey_responses[[#This Row],[Giới tính của bạn:]]</f>
        <v>Nam</v>
      </c>
      <c r="E129" t="str">
        <f>step3_validation[[#This Row],[Age_Group]]</f>
        <v>50 - 54</v>
      </c>
      <c r="F129" t="str">
        <f>survey_responses[[#This Row],[Độ tuổi của bạn:]]</f>
        <v>50 - 54</v>
      </c>
      <c r="G129" t="str">
        <f>step3_validation[[#This Row],[Region]]</f>
        <v>Thành thị</v>
      </c>
      <c r="H129" t="str">
        <f>survey_responses[[#This Row],[Khu vực bạn đang sinh sống:]]</f>
        <v>Thành thị</v>
      </c>
      <c r="I129" t="str">
        <f>step3_validation[[#This Row],[Education]]</f>
        <v>Đại học</v>
      </c>
      <c r="J129" t="str">
        <f>survey_responses[[#This Row],[Trình độ học vấn cao nhất:]]</f>
        <v>Đại học</v>
      </c>
      <c r="K129" t="str">
        <f>step3_validation[[#This Row],[Employment]]</f>
        <v>Chính thức</v>
      </c>
      <c r="L129" t="str">
        <f>survey_responses[[#This Row],[Tình trạng việc làm chính:]]</f>
        <v>Khu vực chính thức (Có Hợp đồng lao động, đóng BHXH)</v>
      </c>
      <c r="M129">
        <f>step3_validation[[#This Row],[Income_Mil]]</f>
        <v>199.55853653816797</v>
      </c>
      <c r="N129" t="str">
        <f>survey_responses[[#This Row],[Thu nhập bình quân tháng theo Hợp đồng lao động của bạn là bao nhiêu? (Vui lòng điền tổng thu nhập trước khi khấu trừ các loại Bảo hiểm (BHXH, BHYT, BHTN) và Thuế TNCN)]]</f>
        <v>Trên 102 triệu VNĐ</v>
      </c>
      <c r="O129">
        <f>step3_validation[[#This Row],[Dependents]]</f>
        <v>4</v>
      </c>
      <c r="P129" t="str">
        <f>survey_responses[[#This Row],[Số người phụ thuộc (con nhỏ, cha mẹ già...) đủ điều kiện giảm trừ gia cảnh:]]</f>
        <v>4 người trở lên</v>
      </c>
      <c r="Q129">
        <f>step3_validation[[#This Row],[AI_ENF1]]</f>
        <v>8</v>
      </c>
      <c r="R129" t="str">
        <f t="shared" si="27"/>
        <v>Support</v>
      </c>
      <c r="S129">
        <f>survey_responses[[#This Row],[Tôi tin rằng với các quy định quản lý thuế hiện nay, hành vi gian lận hoặc trốn thuế sẽ dễ dàng bị phát hiện và xử lý nghiêm. - HUMAN-ENF1]]</f>
        <v>6</v>
      </c>
      <c r="T129" t="str">
        <f t="shared" si="28"/>
        <v>Neutral</v>
      </c>
      <c r="U129" s="32">
        <f t="shared" si="29"/>
        <v>2</v>
      </c>
      <c r="V129">
        <f>step3_validation[[#This Row],[AI_ENF2]]</f>
        <v>9</v>
      </c>
      <c r="W129" t="str">
        <f t="shared" si="30"/>
        <v>Support</v>
      </c>
      <c r="X129">
        <f>survey_responses[[#This Row],[Tôi tin rằng Nhà nước, cơ quan thuế có đủ khả năng và công nghệ để phát hiện, xử lý nghiêm các hành vi trốn thuế. - HUMAN-ENF2]]</f>
        <v>6</v>
      </c>
      <c r="Y129" t="str">
        <f t="shared" si="31"/>
        <v>Neutral</v>
      </c>
      <c r="Z129" s="32">
        <f t="shared" si="32"/>
        <v>3</v>
      </c>
      <c r="AA129">
        <f>step3_validation[[#This Row],[AI_FAC1]]</f>
        <v>8</v>
      </c>
      <c r="AB129" t="str">
        <f t="shared" si="33"/>
        <v>Support</v>
      </c>
      <c r="AC129">
        <f>survey_responses[[#This Row],[Các thủ tục khai báo thuế VÀ/HOẶC quy trình làm việc với cơ quan thuế đơn giản, tiện lợi, nhanh chóng hơn so với trước đây. - HUMAN-FAC1]]</f>
        <v>6</v>
      </c>
      <c r="AD129" t="str">
        <f t="shared" si="34"/>
        <v>Neutral</v>
      </c>
      <c r="AE129" s="32">
        <f t="shared" si="35"/>
        <v>2</v>
      </c>
      <c r="AF129">
        <f>step3_validation[[#This Row],[AI_FAC2]]</f>
        <v>9</v>
      </c>
      <c r="AG129" t="str">
        <f t="shared" si="36"/>
        <v>Support</v>
      </c>
      <c r="AH129">
        <f>survey_responses[[#This Row],[So với trước đây, tôi thấy cách tính thuế và các bậc thuế trong phương án mới đơn giản, dễ hiểu và dễ thực hiện hơn. - HUMAN-FAC2]]</f>
        <v>8</v>
      </c>
      <c r="AI129" t="str">
        <f t="shared" si="37"/>
        <v>Support</v>
      </c>
      <c r="AJ129" s="32">
        <f t="shared" si="38"/>
        <v>1</v>
      </c>
      <c r="AK129">
        <f>step3_validation[[#This Row],[AI_TRU1]]</f>
        <v>8</v>
      </c>
      <c r="AL129" t="str">
        <f t="shared" si="39"/>
        <v>Support</v>
      </c>
      <c r="AM129">
        <f>survey_responses[[#This Row],[Tôi tin rằng Nhà nước, cơ quan thuế sẽ thực thi chính sách mới một cách khách quan, công tâm và đối xử bình đẳng với mọi người nộp thuế.  - HUMAN-TRU1]]</f>
        <v>6</v>
      </c>
      <c r="AN129" t="str">
        <f t="shared" si="40"/>
        <v>Neutral</v>
      </c>
      <c r="AO129" s="32">
        <f t="shared" si="41"/>
        <v>2</v>
      </c>
      <c r="AP129">
        <f>step3_validation[[#This Row],[AI_TRU2]]</f>
        <v>9</v>
      </c>
      <c r="AQ129" t="str">
        <f t="shared" si="42"/>
        <v>Support</v>
      </c>
      <c r="AR129">
        <f>survey_responses[[#This Row],[Tôi thấy mức thuế tôi phải đóng theo phương án mới là công bằng (người thu nhập như tôi đóng mức này là hợp lý). - HUMAN-TRU2]]</f>
        <v>3</v>
      </c>
      <c r="AS129" t="str">
        <f t="shared" si="43"/>
        <v>Oppose</v>
      </c>
      <c r="AT129" s="32">
        <f t="shared" si="44"/>
        <v>6</v>
      </c>
      <c r="AU129">
        <f>step3_validation[[#This Row],[AI_TRU3]]</f>
        <v>8</v>
      </c>
      <c r="AV129" t="str">
        <f t="shared" si="45"/>
        <v>Support</v>
      </c>
      <c r="AW129">
        <f>survey_responses[[#This Row],[Tôi tin tưởng số tiền thuế tôi đóng sẽ được Nhà nước sử dụng hiệu quả để cải thiện dịch vụ công (y tế, đường xá...). - HUMAN-TRU3]]</f>
        <v>5</v>
      </c>
      <c r="AX129" t="str">
        <f t="shared" si="46"/>
        <v>Neutral</v>
      </c>
      <c r="AY129" s="32">
        <f t="shared" si="47"/>
        <v>3</v>
      </c>
      <c r="AZ129">
        <f>step3_validation[[#This Row],[AI_TRU4]]</f>
        <v>9</v>
      </c>
      <c r="BA129" t="str">
        <f t="shared" si="48"/>
        <v>Support</v>
      </c>
      <c r="BB129">
        <f>survey_responses[[#This Row],[Tôi thấy Nhà nước đã giải thích rõ ràng, minh bạch về lý do và mục tiêu của việc sửa đổi thuế lần này. - HUMAN-TRU4]]</f>
        <v>5</v>
      </c>
      <c r="BC129" t="str">
        <f t="shared" si="49"/>
        <v>Neutral</v>
      </c>
      <c r="BD129" s="32">
        <f t="shared" si="50"/>
        <v>4</v>
      </c>
      <c r="BE129">
        <f>step3_validation[[#This Row],[AI_OUT1]]</f>
        <v>8</v>
      </c>
      <c r="BF129" t="str">
        <f t="shared" si="51"/>
        <v>Support</v>
      </c>
      <c r="BG129">
        <f>survey_responses[[#This Row],[Sau khi xem xét các quyền lợi và nghĩa vụ, bạn có ủng hộ và tuân thủ chính sách mới hiện nay? - HUMAN-OUT1]]</f>
        <v>4</v>
      </c>
      <c r="BH129" t="str">
        <f t="shared" si="52"/>
        <v>Oppose</v>
      </c>
      <c r="BI129" s="32">
        <f t="shared" si="53"/>
        <v>4</v>
      </c>
    </row>
    <row r="130" spans="1:61" x14ac:dyDescent="0.45">
      <c r="A130" s="30">
        <f>step3_validation[[#This Row],[Persona_ID]]</f>
        <v>129</v>
      </c>
      <c r="B130" s="31">
        <f>step3_validation[[#This Row],[Used_Seed]]</f>
        <v>129</v>
      </c>
      <c r="C130" t="str">
        <f>step3_validation[[#This Row],[Gender]]</f>
        <v>Nam</v>
      </c>
      <c r="D130" t="str">
        <f>survey_responses[[#This Row],[Giới tính của bạn:]]</f>
        <v>Nam</v>
      </c>
      <c r="E130" t="str">
        <f>step3_validation[[#This Row],[Age_Group]]</f>
        <v>50 - 54</v>
      </c>
      <c r="F130" t="str">
        <f>survey_responses[[#This Row],[Độ tuổi của bạn:]]</f>
        <v>50 - 54</v>
      </c>
      <c r="G130" t="str">
        <f>step3_validation[[#This Row],[Region]]</f>
        <v>Thành thị</v>
      </c>
      <c r="H130" t="str">
        <f>survey_responses[[#This Row],[Khu vực bạn đang sinh sống:]]</f>
        <v>Thành thị</v>
      </c>
      <c r="I130" t="str">
        <f>step3_validation[[#This Row],[Education]]</f>
        <v>Sau Đại học</v>
      </c>
      <c r="J130" t="str">
        <f>survey_responses[[#This Row],[Trình độ học vấn cao nhất:]]</f>
        <v>Sau Đại học</v>
      </c>
      <c r="K130" t="str">
        <f>step3_validation[[#This Row],[Employment]]</f>
        <v>Chính thức</v>
      </c>
      <c r="L130" t="str">
        <f>survey_responses[[#This Row],[Tình trạng việc làm chính:]]</f>
        <v>Khu vực chính thức (Có Hợp đồng lao động, đóng BHXH)</v>
      </c>
      <c r="M130">
        <f>step3_validation[[#This Row],[Income_Mil]]</f>
        <v>158.8788230386815</v>
      </c>
      <c r="N130" t="str">
        <f>survey_responses[[#This Row],[Thu nhập bình quân tháng theo Hợp đồng lao động của bạn là bao nhiêu? (Vui lòng điền tổng thu nhập trước khi khấu trừ các loại Bảo hiểm (BHXH, BHYT, BHTN) và Thuế TNCN)]]</f>
        <v>Trên 102 triệu VNĐ</v>
      </c>
      <c r="O130">
        <f>step3_validation[[#This Row],[Dependents]]</f>
        <v>3</v>
      </c>
      <c r="P130" t="str">
        <f>survey_responses[[#This Row],[Số người phụ thuộc (con nhỏ, cha mẹ già...) đủ điều kiện giảm trừ gia cảnh:]]</f>
        <v>3 người</v>
      </c>
      <c r="Q130">
        <f>step3_validation[[#This Row],[AI_ENF1]]</f>
        <v>6</v>
      </c>
      <c r="R130" t="str">
        <f t="shared" si="27"/>
        <v>Neutral</v>
      </c>
      <c r="S130">
        <f>survey_responses[[#This Row],[Tôi tin rằng với các quy định quản lý thuế hiện nay, hành vi gian lận hoặc trốn thuế sẽ dễ dàng bị phát hiện và xử lý nghiêm. - HUMAN-ENF1]]</f>
        <v>6</v>
      </c>
      <c r="T130" t="str">
        <f t="shared" si="28"/>
        <v>Neutral</v>
      </c>
      <c r="U130" s="32">
        <f t="shared" si="29"/>
        <v>0</v>
      </c>
      <c r="V130">
        <f>step3_validation[[#This Row],[AI_ENF2]]</f>
        <v>7</v>
      </c>
      <c r="W130" t="str">
        <f t="shared" si="30"/>
        <v>Neutral</v>
      </c>
      <c r="X130">
        <f>survey_responses[[#This Row],[Tôi tin rằng Nhà nước, cơ quan thuế có đủ khả năng và công nghệ để phát hiện, xử lý nghiêm các hành vi trốn thuế. - HUMAN-ENF2]]</f>
        <v>6</v>
      </c>
      <c r="Y130" t="str">
        <f t="shared" si="31"/>
        <v>Neutral</v>
      </c>
      <c r="Z130" s="32">
        <f t="shared" si="32"/>
        <v>1</v>
      </c>
      <c r="AA130">
        <f>step3_validation[[#This Row],[AI_FAC1]]</f>
        <v>8</v>
      </c>
      <c r="AB130" t="str">
        <f t="shared" si="33"/>
        <v>Support</v>
      </c>
      <c r="AC130">
        <f>survey_responses[[#This Row],[Các thủ tục khai báo thuế VÀ/HOẶC quy trình làm việc với cơ quan thuế đơn giản, tiện lợi, nhanh chóng hơn so với trước đây. - HUMAN-FAC1]]</f>
        <v>4</v>
      </c>
      <c r="AD130" t="str">
        <f t="shared" si="34"/>
        <v>Oppose</v>
      </c>
      <c r="AE130" s="32">
        <f t="shared" si="35"/>
        <v>4</v>
      </c>
      <c r="AF130">
        <f>step3_validation[[#This Row],[AI_FAC2]]</f>
        <v>9</v>
      </c>
      <c r="AG130" t="str">
        <f t="shared" si="36"/>
        <v>Support</v>
      </c>
      <c r="AH130">
        <f>survey_responses[[#This Row],[So với trước đây, tôi thấy cách tính thuế và các bậc thuế trong phương án mới đơn giản, dễ hiểu và dễ thực hiện hơn. - HUMAN-FAC2]]</f>
        <v>5</v>
      </c>
      <c r="AI130" t="str">
        <f t="shared" si="37"/>
        <v>Neutral</v>
      </c>
      <c r="AJ130" s="32">
        <f t="shared" si="38"/>
        <v>4</v>
      </c>
      <c r="AK130">
        <f>step3_validation[[#This Row],[AI_TRU1]]</f>
        <v>7</v>
      </c>
      <c r="AL130" t="str">
        <f t="shared" si="39"/>
        <v>Neutral</v>
      </c>
      <c r="AM130">
        <f>survey_responses[[#This Row],[Tôi tin rằng Nhà nước, cơ quan thuế sẽ thực thi chính sách mới một cách khách quan, công tâm và đối xử bình đẳng với mọi người nộp thuế.  - HUMAN-TRU1]]</f>
        <v>5</v>
      </c>
      <c r="AN130" t="str">
        <f t="shared" si="40"/>
        <v>Neutral</v>
      </c>
      <c r="AO130" s="32">
        <f t="shared" si="41"/>
        <v>2</v>
      </c>
      <c r="AP130">
        <f>step3_validation[[#This Row],[AI_TRU2]]</f>
        <v>9</v>
      </c>
      <c r="AQ130" t="str">
        <f t="shared" si="42"/>
        <v>Support</v>
      </c>
      <c r="AR130">
        <f>survey_responses[[#This Row],[Tôi thấy mức thuế tôi phải đóng theo phương án mới là công bằng (người thu nhập như tôi đóng mức này là hợp lý). - HUMAN-TRU2]]</f>
        <v>1</v>
      </c>
      <c r="AS130" t="str">
        <f t="shared" si="43"/>
        <v>Oppose</v>
      </c>
      <c r="AT130" s="32">
        <f t="shared" si="44"/>
        <v>8</v>
      </c>
      <c r="AU130">
        <f>step3_validation[[#This Row],[AI_TRU3]]</f>
        <v>8</v>
      </c>
      <c r="AV130" t="str">
        <f t="shared" si="45"/>
        <v>Support</v>
      </c>
      <c r="AW130">
        <f>survey_responses[[#This Row],[Tôi tin tưởng số tiền thuế tôi đóng sẽ được Nhà nước sử dụng hiệu quả để cải thiện dịch vụ công (y tế, đường xá...). - HUMAN-TRU3]]</f>
        <v>5</v>
      </c>
      <c r="AX130" t="str">
        <f t="shared" si="46"/>
        <v>Neutral</v>
      </c>
      <c r="AY130" s="32">
        <f t="shared" si="47"/>
        <v>3</v>
      </c>
      <c r="AZ130">
        <f>step3_validation[[#This Row],[AI_TRU4]]</f>
        <v>6</v>
      </c>
      <c r="BA130" t="str">
        <f t="shared" si="48"/>
        <v>Neutral</v>
      </c>
      <c r="BB130">
        <f>survey_responses[[#This Row],[Tôi thấy Nhà nước đã giải thích rõ ràng, minh bạch về lý do và mục tiêu của việc sửa đổi thuế lần này. - HUMAN-TRU4]]</f>
        <v>4</v>
      </c>
      <c r="BC130" t="str">
        <f t="shared" si="49"/>
        <v>Oppose</v>
      </c>
      <c r="BD130" s="32">
        <f t="shared" si="50"/>
        <v>2</v>
      </c>
      <c r="BE130">
        <f>step3_validation[[#This Row],[AI_OUT1]]</f>
        <v>9</v>
      </c>
      <c r="BF130" t="str">
        <f t="shared" si="51"/>
        <v>Support</v>
      </c>
      <c r="BG130">
        <f>survey_responses[[#This Row],[Sau khi xem xét các quyền lợi và nghĩa vụ, bạn có ủng hộ và tuân thủ chính sách mới hiện nay? - HUMAN-OUT1]]</f>
        <v>5</v>
      </c>
      <c r="BH130" t="str">
        <f t="shared" si="52"/>
        <v>Neutral</v>
      </c>
      <c r="BI130" s="32">
        <f t="shared" si="53"/>
        <v>4</v>
      </c>
    </row>
    <row r="131" spans="1:61" x14ac:dyDescent="0.45">
      <c r="A131" s="30">
        <f>step3_validation[[#This Row],[Persona_ID]]</f>
        <v>130</v>
      </c>
      <c r="B131" s="31">
        <f>step3_validation[[#This Row],[Used_Seed]]</f>
        <v>130</v>
      </c>
      <c r="C131" t="str">
        <f>step3_validation[[#This Row],[Gender]]</f>
        <v>Nữ</v>
      </c>
      <c r="D131" t="str">
        <f>survey_responses[[#This Row],[Giới tính của bạn:]]</f>
        <v>Nữ</v>
      </c>
      <c r="E131" t="str">
        <f>step3_validation[[#This Row],[Age_Group]]</f>
        <v>55 - 64</v>
      </c>
      <c r="F131" t="str">
        <f>survey_responses[[#This Row],[Độ tuổi của bạn:]]</f>
        <v>55 - 64</v>
      </c>
      <c r="G131" t="str">
        <f>step3_validation[[#This Row],[Region]]</f>
        <v>Thành thị</v>
      </c>
      <c r="H131" t="str">
        <f>survey_responses[[#This Row],[Khu vực bạn đang sinh sống:]]</f>
        <v>Thành thị</v>
      </c>
      <c r="I131" t="str">
        <f>step3_validation[[#This Row],[Education]]</f>
        <v>Sau Đại học</v>
      </c>
      <c r="J131" t="str">
        <f>survey_responses[[#This Row],[Trình độ học vấn cao nhất:]]</f>
        <v>Sau Đại học</v>
      </c>
      <c r="K131" t="str">
        <f>step3_validation[[#This Row],[Employment]]</f>
        <v>Chính thức</v>
      </c>
      <c r="L131" t="str">
        <f>survey_responses[[#This Row],[Tình trạng việc làm chính:]]</f>
        <v>Khu vực chính thức (Có Hợp đồng lao động, đóng BHXH)</v>
      </c>
      <c r="M131">
        <f>step3_validation[[#This Row],[Income_Mil]]</f>
        <v>84.05169228312495</v>
      </c>
      <c r="N131" t="str">
        <f>survey_responses[[#This Row],[Thu nhập bình quân tháng theo Hợp đồng lao động của bạn là bao nhiêu? (Vui lòng điền tổng thu nhập trước khi khấu trừ các loại Bảo hiểm (BHXH, BHYT, BHTN) và Thuế TNCN)]]</f>
        <v>Từ 70 - 102 triệu VNĐ</v>
      </c>
      <c r="O131">
        <f>step3_validation[[#This Row],[Dependents]]</f>
        <v>2</v>
      </c>
      <c r="P131" t="str">
        <f>survey_responses[[#This Row],[Số người phụ thuộc (con nhỏ, cha mẹ già...) đủ điều kiện giảm trừ gia cảnh:]]</f>
        <v>2 người</v>
      </c>
      <c r="Q131">
        <f>step3_validation[[#This Row],[AI_ENF1]]</f>
        <v>9</v>
      </c>
      <c r="R131" t="str">
        <f t="shared" ref="R131:R194" si="54">IF(AND(Q131&gt;=1,Q131&lt;5),"Oppose",IF(AND(Q131&gt;=5,Q131&lt;8),"Neutral",IF(AND(Q131&gt;=8,Q131&lt;=10),"Support","")))</f>
        <v>Support</v>
      </c>
      <c r="S131">
        <f>survey_responses[[#This Row],[Tôi tin rằng với các quy định quản lý thuế hiện nay, hành vi gian lận hoặc trốn thuế sẽ dễ dàng bị phát hiện và xử lý nghiêm. - HUMAN-ENF1]]</f>
        <v>5</v>
      </c>
      <c r="T131" t="str">
        <f t="shared" ref="T131:T194" si="55">IF(AND(S131&gt;=1,S131&lt;5),"Oppose",IF(AND(S131&gt;=5,S131&lt;8),"Neutral",IF(AND(S131&gt;=8,S131&lt;=10),"Support","")))</f>
        <v>Neutral</v>
      </c>
      <c r="U131" s="32">
        <f t="shared" ref="U131:U194" si="56">ABS(S131-Q131)</f>
        <v>4</v>
      </c>
      <c r="V131">
        <f>step3_validation[[#This Row],[AI_ENF2]]</f>
        <v>8</v>
      </c>
      <c r="W131" t="str">
        <f t="shared" ref="W131:W194" si="57">IF(AND(V131&gt;=1,V131&lt;5),"Oppose",IF(AND(V131&gt;=5,V131&lt;8),"Neutral",IF(AND(V131&gt;=8,V131&lt;=10),"Support","")))</f>
        <v>Support</v>
      </c>
      <c r="X131">
        <f>survey_responses[[#This Row],[Tôi tin rằng Nhà nước, cơ quan thuế có đủ khả năng và công nghệ để phát hiện, xử lý nghiêm các hành vi trốn thuế. - HUMAN-ENF2]]</f>
        <v>5</v>
      </c>
      <c r="Y131" t="str">
        <f t="shared" ref="Y131:Y194" si="58">IF(AND(X131&gt;=1,X131&lt;5),"Oppose",IF(AND(X131&gt;=5,X131&lt;8),"Neutral",IF(AND(X131&gt;=8,X131&lt;=10),"Support","")))</f>
        <v>Neutral</v>
      </c>
      <c r="Z131" s="32">
        <f t="shared" ref="Z131:Z194" si="59">ABS(X131-V131)</f>
        <v>3</v>
      </c>
      <c r="AA131">
        <f>step3_validation[[#This Row],[AI_FAC1]]</f>
        <v>9</v>
      </c>
      <c r="AB131" t="str">
        <f t="shared" ref="AB131:AB194" si="60">IF(AND(AA131&gt;=1,AA131&lt;5),"Oppose",IF(AND(AA131&gt;=5,AA131&lt;8),"Neutral",IF(AND(AA131&gt;=8,AA131&lt;=10),"Support","")))</f>
        <v>Support</v>
      </c>
      <c r="AC131">
        <f>survey_responses[[#This Row],[Các thủ tục khai báo thuế VÀ/HOẶC quy trình làm việc với cơ quan thuế đơn giản, tiện lợi, nhanh chóng hơn so với trước đây. - HUMAN-FAC1]]</f>
        <v>1</v>
      </c>
      <c r="AD131" t="str">
        <f t="shared" ref="AD131:AD194" si="61">IF(AND(AC131&gt;=1,AC131&lt;5),"Oppose",IF(AND(AC131&gt;=5,AC131&lt;8),"Neutral",IF(AND(AC131&gt;=8,AC131&lt;=10),"Support","")))</f>
        <v>Oppose</v>
      </c>
      <c r="AE131" s="32">
        <f t="shared" ref="AE131:AE194" si="62">ABS(AC131-AA131)</f>
        <v>8</v>
      </c>
      <c r="AF131">
        <f>step3_validation[[#This Row],[AI_FAC2]]</f>
        <v>10</v>
      </c>
      <c r="AG131" t="str">
        <f t="shared" ref="AG131:AG194" si="63">IF(AND(AF131&gt;=1,AF131&lt;5),"Oppose",IF(AND(AF131&gt;=5,AF131&lt;8),"Neutral",IF(AND(AF131&gt;=8,AF131&lt;=10),"Support","")))</f>
        <v>Support</v>
      </c>
      <c r="AH131">
        <f>survey_responses[[#This Row],[So với trước đây, tôi thấy cách tính thuế và các bậc thuế trong phương án mới đơn giản, dễ hiểu và dễ thực hiện hơn. - HUMAN-FAC2]]</f>
        <v>4</v>
      </c>
      <c r="AI131" t="str">
        <f t="shared" ref="AI131:AI194" si="64">IF(AND(AH131&gt;=1,AH131&lt;5),"Oppose",IF(AND(AH131&gt;=5,AH131&lt;8),"Neutral",IF(AND(AH131&gt;=8,AH131&lt;=10),"Support","")))</f>
        <v>Oppose</v>
      </c>
      <c r="AJ131" s="32">
        <f t="shared" ref="AJ131:AJ194" si="65">ABS(AH131-AF131)</f>
        <v>6</v>
      </c>
      <c r="AK131">
        <f>step3_validation[[#This Row],[AI_TRU1]]</f>
        <v>8</v>
      </c>
      <c r="AL131" t="str">
        <f t="shared" ref="AL131:AL194" si="66">IF(AND(AK131&gt;=1,AK131&lt;5),"Oppose",IF(AND(AK131&gt;=5,AK131&lt;8),"Neutral",IF(AND(AK131&gt;=8,AK131&lt;=10),"Support","")))</f>
        <v>Support</v>
      </c>
      <c r="AM131">
        <f>survey_responses[[#This Row],[Tôi tin rằng Nhà nước, cơ quan thuế sẽ thực thi chính sách mới một cách khách quan, công tâm và đối xử bình đẳng với mọi người nộp thuế.  - HUMAN-TRU1]]</f>
        <v>2</v>
      </c>
      <c r="AN131" t="str">
        <f t="shared" ref="AN131:AN194" si="67">IF(AND(AM131&gt;=1,AM131&lt;5),"Oppose",IF(AND(AM131&gt;=5,AM131&lt;8),"Neutral",IF(AND(AM131&gt;=8,AM131&lt;=10),"Support","")))</f>
        <v>Oppose</v>
      </c>
      <c r="AO131" s="32">
        <f t="shared" ref="AO131:AO194" si="68">ABS(AM131-AK131)</f>
        <v>6</v>
      </c>
      <c r="AP131">
        <f>step3_validation[[#This Row],[AI_TRU2]]</f>
        <v>9</v>
      </c>
      <c r="AQ131" t="str">
        <f t="shared" ref="AQ131:AQ194" si="69">IF(AND(AP131&gt;=1,AP131&lt;5),"Oppose",IF(AND(AP131&gt;=5,AP131&lt;8),"Neutral",IF(AND(AP131&gt;=8,AP131&lt;=10),"Support","")))</f>
        <v>Support</v>
      </c>
      <c r="AR131">
        <f>survey_responses[[#This Row],[Tôi thấy mức thuế tôi phải đóng theo phương án mới là công bằng (người thu nhập như tôi đóng mức này là hợp lý). - HUMAN-TRU2]]</f>
        <v>1</v>
      </c>
      <c r="AS131" t="str">
        <f t="shared" ref="AS131:AS194" si="70">IF(AND(AR131&gt;=1,AR131&lt;5),"Oppose",IF(AND(AR131&gt;=5,AR131&lt;8),"Neutral",IF(AND(AR131&gt;=8,AR131&lt;=10),"Support","")))</f>
        <v>Oppose</v>
      </c>
      <c r="AT131" s="32">
        <f t="shared" ref="AT131:AT194" si="71">ABS(AR131-AP131)</f>
        <v>8</v>
      </c>
      <c r="AU131">
        <f>step3_validation[[#This Row],[AI_TRU3]]</f>
        <v>8</v>
      </c>
      <c r="AV131" t="str">
        <f t="shared" ref="AV131:AV194" si="72">IF(AND(AU131&gt;=1,AU131&lt;5),"Oppose",IF(AND(AU131&gt;=5,AU131&lt;8),"Neutral",IF(AND(AU131&gt;=8,AU131&lt;=10),"Support","")))</f>
        <v>Support</v>
      </c>
      <c r="AW131">
        <f>survey_responses[[#This Row],[Tôi tin tưởng số tiền thuế tôi đóng sẽ được Nhà nước sử dụng hiệu quả để cải thiện dịch vụ công (y tế, đường xá...). - HUMAN-TRU3]]</f>
        <v>1</v>
      </c>
      <c r="AX131" t="str">
        <f t="shared" ref="AX131:AX194" si="73">IF(AND(AW131&gt;=1,AW131&lt;5),"Oppose",IF(AND(AW131&gt;=5,AW131&lt;8),"Neutral",IF(AND(AW131&gt;=8,AW131&lt;=10),"Support","")))</f>
        <v>Oppose</v>
      </c>
      <c r="AY131" s="32">
        <f t="shared" ref="AY131:AY194" si="74">ABS(AW131-AU131)</f>
        <v>7</v>
      </c>
      <c r="AZ131">
        <f>step3_validation[[#This Row],[AI_TRU4]]</f>
        <v>9</v>
      </c>
      <c r="BA131" t="str">
        <f t="shared" ref="BA131:BA194" si="75">IF(AND(AZ131&gt;=1,AZ131&lt;5),"Oppose",IF(AND(AZ131&gt;=5,AZ131&lt;8),"Neutral",IF(AND(AZ131&gt;=8,AZ131&lt;=10),"Support","")))</f>
        <v>Support</v>
      </c>
      <c r="BB131">
        <f>survey_responses[[#This Row],[Tôi thấy Nhà nước đã giải thích rõ ràng, minh bạch về lý do và mục tiêu của việc sửa đổi thuế lần này. - HUMAN-TRU4]]</f>
        <v>1</v>
      </c>
      <c r="BC131" t="str">
        <f t="shared" ref="BC131:BC194" si="76">IF(AND(BB131&gt;=1,BB131&lt;5),"Oppose",IF(AND(BB131&gt;=5,BB131&lt;8),"Neutral",IF(AND(BB131&gt;=8,BB131&lt;=10),"Support","")))</f>
        <v>Oppose</v>
      </c>
      <c r="BD131" s="32">
        <f t="shared" ref="BD131:BD194" si="77">ABS(BB131-AZ131)</f>
        <v>8</v>
      </c>
      <c r="BE131">
        <f>step3_validation[[#This Row],[AI_OUT1]]</f>
        <v>8</v>
      </c>
      <c r="BF131" t="str">
        <f t="shared" ref="BF131:BF194" si="78">IF(AND(BE131&gt;=1,BE131&lt;5),"Oppose",IF(AND(BE131&gt;=5,BE131&lt;8),"Neutral",IF(AND(BE131&gt;=8,BE131&lt;=10),"Support","")))</f>
        <v>Support</v>
      </c>
      <c r="BG131">
        <f>survey_responses[[#This Row],[Sau khi xem xét các quyền lợi và nghĩa vụ, bạn có ủng hộ và tuân thủ chính sách mới hiện nay? - HUMAN-OUT1]]</f>
        <v>5</v>
      </c>
      <c r="BH131" t="str">
        <f t="shared" ref="BH131:BH194" si="79">IF(AND(BG131&gt;=1,BG131&lt;5),"Oppose",IF(AND(BG131&gt;=5,BG131&lt;8),"Neutral",IF(AND(BG131&gt;=8,BG131&lt;=10),"Support","")))</f>
        <v>Neutral</v>
      </c>
      <c r="BI131" s="32">
        <f t="shared" ref="BI131:BI194" si="80">ABS(BG131-BE131)</f>
        <v>3</v>
      </c>
    </row>
    <row r="132" spans="1:61" x14ac:dyDescent="0.45">
      <c r="A132" s="30">
        <f>step3_validation[[#This Row],[Persona_ID]]</f>
        <v>131</v>
      </c>
      <c r="B132" s="31">
        <f>step3_validation[[#This Row],[Used_Seed]]</f>
        <v>131</v>
      </c>
      <c r="C132" t="str">
        <f>step3_validation[[#This Row],[Gender]]</f>
        <v>Nữ</v>
      </c>
      <c r="D132" t="str">
        <f>survey_responses[[#This Row],[Giới tính của bạn:]]</f>
        <v>Nữ</v>
      </c>
      <c r="E132" t="str">
        <f>step3_validation[[#This Row],[Age_Group]]</f>
        <v>30 - 39</v>
      </c>
      <c r="F132" t="str">
        <f>survey_responses[[#This Row],[Độ tuổi của bạn:]]</f>
        <v>30 - 39</v>
      </c>
      <c r="G132" t="str">
        <f>step3_validation[[#This Row],[Region]]</f>
        <v>Thành thị</v>
      </c>
      <c r="H132" t="str">
        <f>survey_responses[[#This Row],[Khu vực bạn đang sinh sống:]]</f>
        <v>Thành thị</v>
      </c>
      <c r="I132" t="str">
        <f>step3_validation[[#This Row],[Education]]</f>
        <v>Sau Đại học</v>
      </c>
      <c r="J132" t="str">
        <f>survey_responses[[#This Row],[Trình độ học vấn cao nhất:]]</f>
        <v>Sau Đại học</v>
      </c>
      <c r="K132" t="str">
        <f>step3_validation[[#This Row],[Employment]]</f>
        <v>Chính thức</v>
      </c>
      <c r="L132" t="str">
        <f>survey_responses[[#This Row],[Tình trạng việc làm chính:]]</f>
        <v>Khu vực chính thức (Có Hợp đồng lao động, đóng BHXH)</v>
      </c>
      <c r="M132">
        <f>step3_validation[[#This Row],[Income_Mil]]</f>
        <v>90.040369437642539</v>
      </c>
      <c r="N132" t="str">
        <f>survey_responses[[#This Row],[Thu nhập bình quân tháng theo Hợp đồng lao động của bạn là bao nhiêu? (Vui lòng điền tổng thu nhập trước khi khấu trừ các loại Bảo hiểm (BHXH, BHYT, BHTN) và Thuế TNCN)]]</f>
        <v>Từ 70 - 102 triệu VNĐ</v>
      </c>
      <c r="O132">
        <f>step3_validation[[#This Row],[Dependents]]</f>
        <v>1</v>
      </c>
      <c r="P132" t="str">
        <f>survey_responses[[#This Row],[Số người phụ thuộc (con nhỏ, cha mẹ già...) đủ điều kiện giảm trừ gia cảnh:]]</f>
        <v>1 người</v>
      </c>
      <c r="Q132">
        <f>step3_validation[[#This Row],[AI_ENF1]]</f>
        <v>7</v>
      </c>
      <c r="R132" t="str">
        <f t="shared" si="54"/>
        <v>Neutral</v>
      </c>
      <c r="S132">
        <f>survey_responses[[#This Row],[Tôi tin rằng với các quy định quản lý thuế hiện nay, hành vi gian lận hoặc trốn thuế sẽ dễ dàng bị phát hiện và xử lý nghiêm. - HUMAN-ENF1]]</f>
        <v>8</v>
      </c>
      <c r="T132" t="str">
        <f t="shared" si="55"/>
        <v>Support</v>
      </c>
      <c r="U132" s="32">
        <f t="shared" si="56"/>
        <v>1</v>
      </c>
      <c r="V132">
        <f>step3_validation[[#This Row],[AI_ENF2]]</f>
        <v>7</v>
      </c>
      <c r="W132" t="str">
        <f t="shared" si="57"/>
        <v>Neutral</v>
      </c>
      <c r="X132">
        <f>survey_responses[[#This Row],[Tôi tin rằng Nhà nước, cơ quan thuế có đủ khả năng và công nghệ để phát hiện, xử lý nghiêm các hành vi trốn thuế. - HUMAN-ENF2]]</f>
        <v>9</v>
      </c>
      <c r="Y132" t="str">
        <f t="shared" si="58"/>
        <v>Support</v>
      </c>
      <c r="Z132" s="32">
        <f t="shared" si="59"/>
        <v>2</v>
      </c>
      <c r="AA132">
        <f>step3_validation[[#This Row],[AI_FAC1]]</f>
        <v>9</v>
      </c>
      <c r="AB132" t="str">
        <f t="shared" si="60"/>
        <v>Support</v>
      </c>
      <c r="AC132">
        <f>survey_responses[[#This Row],[Các thủ tục khai báo thuế VÀ/HOẶC quy trình làm việc với cơ quan thuế đơn giản, tiện lợi, nhanh chóng hơn so với trước đây. - HUMAN-FAC1]]</f>
        <v>5</v>
      </c>
      <c r="AD132" t="str">
        <f t="shared" si="61"/>
        <v>Neutral</v>
      </c>
      <c r="AE132" s="32">
        <f t="shared" si="62"/>
        <v>4</v>
      </c>
      <c r="AF132">
        <f>step3_validation[[#This Row],[AI_FAC2]]</f>
        <v>8</v>
      </c>
      <c r="AG132" t="str">
        <f t="shared" si="63"/>
        <v>Support</v>
      </c>
      <c r="AH132">
        <f>survey_responses[[#This Row],[So với trước đây, tôi thấy cách tính thuế và các bậc thuế trong phương án mới đơn giản, dễ hiểu và dễ thực hiện hơn. - HUMAN-FAC2]]</f>
        <v>5</v>
      </c>
      <c r="AI132" t="str">
        <f t="shared" si="64"/>
        <v>Neutral</v>
      </c>
      <c r="AJ132" s="32">
        <f t="shared" si="65"/>
        <v>3</v>
      </c>
      <c r="AK132">
        <f>step3_validation[[#This Row],[AI_TRU1]]</f>
        <v>9</v>
      </c>
      <c r="AL132" t="str">
        <f t="shared" si="66"/>
        <v>Support</v>
      </c>
      <c r="AM132">
        <f>survey_responses[[#This Row],[Tôi tin rằng Nhà nước, cơ quan thuế sẽ thực thi chính sách mới một cách khách quan, công tâm và đối xử bình đẳng với mọi người nộp thuế.  - HUMAN-TRU1]]</f>
        <v>5</v>
      </c>
      <c r="AN132" t="str">
        <f t="shared" si="67"/>
        <v>Neutral</v>
      </c>
      <c r="AO132" s="32">
        <f t="shared" si="68"/>
        <v>4</v>
      </c>
      <c r="AP132">
        <f>step3_validation[[#This Row],[AI_TRU2]]</f>
        <v>8</v>
      </c>
      <c r="AQ132" t="str">
        <f t="shared" si="69"/>
        <v>Support</v>
      </c>
      <c r="AR132">
        <f>survey_responses[[#This Row],[Tôi thấy mức thuế tôi phải đóng theo phương án mới là công bằng (người thu nhập như tôi đóng mức này là hợp lý). - HUMAN-TRU2]]</f>
        <v>4</v>
      </c>
      <c r="AS132" t="str">
        <f t="shared" si="70"/>
        <v>Oppose</v>
      </c>
      <c r="AT132" s="32">
        <f t="shared" si="71"/>
        <v>4</v>
      </c>
      <c r="AU132">
        <f>step3_validation[[#This Row],[AI_TRU3]]</f>
        <v>9</v>
      </c>
      <c r="AV132" t="str">
        <f t="shared" si="72"/>
        <v>Support</v>
      </c>
      <c r="AW132">
        <f>survey_responses[[#This Row],[Tôi tin tưởng số tiền thuế tôi đóng sẽ được Nhà nước sử dụng hiệu quả để cải thiện dịch vụ công (y tế, đường xá...). - HUMAN-TRU3]]</f>
        <v>5</v>
      </c>
      <c r="AX132" t="str">
        <f t="shared" si="73"/>
        <v>Neutral</v>
      </c>
      <c r="AY132" s="32">
        <f t="shared" si="74"/>
        <v>4</v>
      </c>
      <c r="AZ132">
        <f>step3_validation[[#This Row],[AI_TRU4]]</f>
        <v>7</v>
      </c>
      <c r="BA132" t="str">
        <f t="shared" si="75"/>
        <v>Neutral</v>
      </c>
      <c r="BB132">
        <f>survey_responses[[#This Row],[Tôi thấy Nhà nước đã giải thích rõ ràng, minh bạch về lý do và mục tiêu của việc sửa đổi thuế lần này. - HUMAN-TRU4]]</f>
        <v>5</v>
      </c>
      <c r="BC132" t="str">
        <f t="shared" si="76"/>
        <v>Neutral</v>
      </c>
      <c r="BD132" s="32">
        <f t="shared" si="77"/>
        <v>2</v>
      </c>
      <c r="BE132">
        <f>step3_validation[[#This Row],[AI_OUT1]]</f>
        <v>9</v>
      </c>
      <c r="BF132" t="str">
        <f t="shared" si="78"/>
        <v>Support</v>
      </c>
      <c r="BG132">
        <f>survey_responses[[#This Row],[Sau khi xem xét các quyền lợi và nghĩa vụ, bạn có ủng hộ và tuân thủ chính sách mới hiện nay? - HUMAN-OUT1]]</f>
        <v>5</v>
      </c>
      <c r="BH132" t="str">
        <f t="shared" si="79"/>
        <v>Neutral</v>
      </c>
      <c r="BI132" s="32">
        <f t="shared" si="80"/>
        <v>4</v>
      </c>
    </row>
    <row r="133" spans="1:61" x14ac:dyDescent="0.45">
      <c r="A133" s="30">
        <f>step3_validation[[#This Row],[Persona_ID]]</f>
        <v>132</v>
      </c>
      <c r="B133" s="31">
        <f>step3_validation[[#This Row],[Used_Seed]]</f>
        <v>132</v>
      </c>
      <c r="C133" t="str">
        <f>step3_validation[[#This Row],[Gender]]</f>
        <v>Nam</v>
      </c>
      <c r="D133" t="str">
        <f>survey_responses[[#This Row],[Giới tính của bạn:]]</f>
        <v>Nam</v>
      </c>
      <c r="E133" t="str">
        <f>step3_validation[[#This Row],[Age_Group]]</f>
        <v>18 - 24</v>
      </c>
      <c r="F133" t="str">
        <f>survey_responses[[#This Row],[Độ tuổi của bạn:]]</f>
        <v>18 - 24</v>
      </c>
      <c r="G133" t="str">
        <f>step3_validation[[#This Row],[Region]]</f>
        <v>Thành thị</v>
      </c>
      <c r="H133" t="str">
        <f>survey_responses[[#This Row],[Khu vực bạn đang sinh sống:]]</f>
        <v>Thành thị</v>
      </c>
      <c r="I133" t="str">
        <f>step3_validation[[#This Row],[Education]]</f>
        <v>Đại học</v>
      </c>
      <c r="J133" t="str">
        <f>survey_responses[[#This Row],[Trình độ học vấn cao nhất:]]</f>
        <v>Đại học</v>
      </c>
      <c r="K133" t="str">
        <f>step3_validation[[#This Row],[Employment]]</f>
        <v>Chính thức</v>
      </c>
      <c r="L133" t="str">
        <f>survey_responses[[#This Row],[Tình trạng việc làm chính:]]</f>
        <v>Khu vực chính thức (Có Hợp đồng lao động, đóng BHXH)</v>
      </c>
      <c r="M133">
        <f>step3_validation[[#This Row],[Income_Mil]]</f>
        <v>12.713006622222693</v>
      </c>
      <c r="N133" t="str">
        <f>survey_responses[[#This Row],[Thu nhập bình quân tháng theo Hợp đồng lao động của bạn là bao nhiêu? (Vui lòng điền tổng thu nhập trước khi khấu trừ các loại Bảo hiểm (BHXH, BHYT, BHTN) và Thuế TNCN)]]</f>
        <v>Từ 12 - 18 triệu VNĐ</v>
      </c>
      <c r="O133">
        <f>step3_validation[[#This Row],[Dependents]]</f>
        <v>0</v>
      </c>
      <c r="P133" t="str">
        <f>survey_responses[[#This Row],[Số người phụ thuộc (con nhỏ, cha mẹ già...) đủ điều kiện giảm trừ gia cảnh:]]</f>
        <v>0 người</v>
      </c>
      <c r="Q133">
        <f>step3_validation[[#This Row],[AI_ENF1]]</f>
        <v>6</v>
      </c>
      <c r="R133" t="str">
        <f t="shared" si="54"/>
        <v>Neutral</v>
      </c>
      <c r="S133">
        <f>survey_responses[[#This Row],[Tôi tin rằng với các quy định quản lý thuế hiện nay, hành vi gian lận hoặc trốn thuế sẽ dễ dàng bị phát hiện và xử lý nghiêm. - HUMAN-ENF1]]</f>
        <v>9</v>
      </c>
      <c r="T133" t="str">
        <f t="shared" si="55"/>
        <v>Support</v>
      </c>
      <c r="U133" s="32">
        <f t="shared" si="56"/>
        <v>3</v>
      </c>
      <c r="V133">
        <f>step3_validation[[#This Row],[AI_ENF2]]</f>
        <v>6</v>
      </c>
      <c r="W133" t="str">
        <f t="shared" si="57"/>
        <v>Neutral</v>
      </c>
      <c r="X133">
        <f>survey_responses[[#This Row],[Tôi tin rằng Nhà nước, cơ quan thuế có đủ khả năng và công nghệ để phát hiện, xử lý nghiêm các hành vi trốn thuế. - HUMAN-ENF2]]</f>
        <v>9</v>
      </c>
      <c r="Y133" t="str">
        <f t="shared" si="58"/>
        <v>Support</v>
      </c>
      <c r="Z133" s="32">
        <f t="shared" si="59"/>
        <v>3</v>
      </c>
      <c r="AA133">
        <f>step3_validation[[#This Row],[AI_FAC1]]</f>
        <v>8</v>
      </c>
      <c r="AB133" t="str">
        <f t="shared" si="60"/>
        <v>Support</v>
      </c>
      <c r="AC133">
        <f>survey_responses[[#This Row],[Các thủ tục khai báo thuế VÀ/HOẶC quy trình làm việc với cơ quan thuế đơn giản, tiện lợi, nhanh chóng hơn so với trước đây. - HUMAN-FAC1]]</f>
        <v>9</v>
      </c>
      <c r="AD133" t="str">
        <f t="shared" si="61"/>
        <v>Support</v>
      </c>
      <c r="AE133" s="32">
        <f t="shared" si="62"/>
        <v>1</v>
      </c>
      <c r="AF133">
        <f>step3_validation[[#This Row],[AI_FAC2]]</f>
        <v>7</v>
      </c>
      <c r="AG133" t="str">
        <f t="shared" si="63"/>
        <v>Neutral</v>
      </c>
      <c r="AH133">
        <f>survey_responses[[#This Row],[So với trước đây, tôi thấy cách tính thuế và các bậc thuế trong phương án mới đơn giản, dễ hiểu và dễ thực hiện hơn. - HUMAN-FAC2]]</f>
        <v>9</v>
      </c>
      <c r="AI133" t="str">
        <f t="shared" si="64"/>
        <v>Support</v>
      </c>
      <c r="AJ133" s="32">
        <f t="shared" si="65"/>
        <v>2</v>
      </c>
      <c r="AK133">
        <f>step3_validation[[#This Row],[AI_TRU1]]</f>
        <v>8</v>
      </c>
      <c r="AL133" t="str">
        <f t="shared" si="66"/>
        <v>Support</v>
      </c>
      <c r="AM133">
        <f>survey_responses[[#This Row],[Tôi tin rằng Nhà nước, cơ quan thuế sẽ thực thi chính sách mới một cách khách quan, công tâm và đối xử bình đẳng với mọi người nộp thuế.  - HUMAN-TRU1]]</f>
        <v>7</v>
      </c>
      <c r="AN133" t="str">
        <f t="shared" si="67"/>
        <v>Neutral</v>
      </c>
      <c r="AO133" s="32">
        <f t="shared" si="68"/>
        <v>1</v>
      </c>
      <c r="AP133">
        <f>step3_validation[[#This Row],[AI_TRU2]]</f>
        <v>9</v>
      </c>
      <c r="AQ133" t="str">
        <f t="shared" si="69"/>
        <v>Support</v>
      </c>
      <c r="AR133">
        <f>survey_responses[[#This Row],[Tôi thấy mức thuế tôi phải đóng theo phương án mới là công bằng (người thu nhập như tôi đóng mức này là hợp lý). - HUMAN-TRU2]]</f>
        <v>10</v>
      </c>
      <c r="AS133" t="str">
        <f t="shared" si="70"/>
        <v>Support</v>
      </c>
      <c r="AT133" s="32">
        <f t="shared" si="71"/>
        <v>1</v>
      </c>
      <c r="AU133">
        <f>step3_validation[[#This Row],[AI_TRU3]]</f>
        <v>8</v>
      </c>
      <c r="AV133" t="str">
        <f t="shared" si="72"/>
        <v>Support</v>
      </c>
      <c r="AW133">
        <f>survey_responses[[#This Row],[Tôi tin tưởng số tiền thuế tôi đóng sẽ được Nhà nước sử dụng hiệu quả để cải thiện dịch vụ công (y tế, đường xá...). - HUMAN-TRU3]]</f>
        <v>5</v>
      </c>
      <c r="AX133" t="str">
        <f t="shared" si="73"/>
        <v>Neutral</v>
      </c>
      <c r="AY133" s="32">
        <f t="shared" si="74"/>
        <v>3</v>
      </c>
      <c r="AZ133">
        <f>step3_validation[[#This Row],[AI_TRU4]]</f>
        <v>7</v>
      </c>
      <c r="BA133" t="str">
        <f t="shared" si="75"/>
        <v>Neutral</v>
      </c>
      <c r="BB133">
        <f>survey_responses[[#This Row],[Tôi thấy Nhà nước đã giải thích rõ ràng, minh bạch về lý do và mục tiêu của việc sửa đổi thuế lần này. - HUMAN-TRU4]]</f>
        <v>5</v>
      </c>
      <c r="BC133" t="str">
        <f t="shared" si="76"/>
        <v>Neutral</v>
      </c>
      <c r="BD133" s="32">
        <f t="shared" si="77"/>
        <v>2</v>
      </c>
      <c r="BE133">
        <f>step3_validation[[#This Row],[AI_OUT1]]</f>
        <v>9</v>
      </c>
      <c r="BF133" t="str">
        <f t="shared" si="78"/>
        <v>Support</v>
      </c>
      <c r="BG133">
        <f>survey_responses[[#This Row],[Sau khi xem xét các quyền lợi và nghĩa vụ, bạn có ủng hộ và tuân thủ chính sách mới hiện nay? - HUMAN-OUT1]]</f>
        <v>9</v>
      </c>
      <c r="BH133" t="str">
        <f t="shared" si="79"/>
        <v>Support</v>
      </c>
      <c r="BI133" s="32">
        <f t="shared" si="80"/>
        <v>0</v>
      </c>
    </row>
    <row r="134" spans="1:61" x14ac:dyDescent="0.45">
      <c r="A134" s="30">
        <f>step3_validation[[#This Row],[Persona_ID]]</f>
        <v>133</v>
      </c>
      <c r="B134" s="31">
        <f>step3_validation[[#This Row],[Used_Seed]]</f>
        <v>133</v>
      </c>
      <c r="C134" t="str">
        <f>step3_validation[[#This Row],[Gender]]</f>
        <v>Nam</v>
      </c>
      <c r="D134" t="str">
        <f>survey_responses[[#This Row],[Giới tính của bạn:]]</f>
        <v>Nam</v>
      </c>
      <c r="E134" t="str">
        <f>step3_validation[[#This Row],[Age_Group]]</f>
        <v>25 - 29</v>
      </c>
      <c r="F134" t="str">
        <f>survey_responses[[#This Row],[Độ tuổi của bạn:]]</f>
        <v>25 - 29</v>
      </c>
      <c r="G134" t="str">
        <f>step3_validation[[#This Row],[Region]]</f>
        <v>Thành thị</v>
      </c>
      <c r="H134" t="str">
        <f>survey_responses[[#This Row],[Khu vực bạn đang sinh sống:]]</f>
        <v>Thành thị</v>
      </c>
      <c r="I134" t="str">
        <f>step3_validation[[#This Row],[Education]]</f>
        <v>Cao đẳng</v>
      </c>
      <c r="J134" t="str">
        <f>survey_responses[[#This Row],[Trình độ học vấn cao nhất:]]</f>
        <v>Cao đẳng</v>
      </c>
      <c r="K134" t="str">
        <f>step3_validation[[#This Row],[Employment]]</f>
        <v>Chính thức</v>
      </c>
      <c r="L134" t="str">
        <f>survey_responses[[#This Row],[Tình trạng việc làm chính:]]</f>
        <v>Khu vực chính thức (Có Hợp đồng lao động, đóng BHXH)</v>
      </c>
      <c r="M134">
        <f>step3_validation[[#This Row],[Income_Mil]]</f>
        <v>46.62726902282985</v>
      </c>
      <c r="N134" t="str">
        <f>survey_responses[[#This Row],[Thu nhập bình quân tháng theo Hợp đồng lao động của bạn là bao nhiêu? (Vui lòng điền tổng thu nhập trước khi khấu trừ các loại Bảo hiểm (BHXH, BHYT, BHTN) và Thuế TNCN)]]</f>
        <v>Từ 32 - 48 triệu VNĐ</v>
      </c>
      <c r="O134">
        <f>step3_validation[[#This Row],[Dependents]]</f>
        <v>0</v>
      </c>
      <c r="P134" t="str">
        <f>survey_responses[[#This Row],[Số người phụ thuộc (con nhỏ, cha mẹ già...) đủ điều kiện giảm trừ gia cảnh:]]</f>
        <v>0 người</v>
      </c>
      <c r="Q134">
        <f>step3_validation[[#This Row],[AI_ENF1]]</f>
        <v>7</v>
      </c>
      <c r="R134" t="str">
        <f t="shared" si="54"/>
        <v>Neutral</v>
      </c>
      <c r="S134">
        <f>survey_responses[[#This Row],[Tôi tin rằng với các quy định quản lý thuế hiện nay, hành vi gian lận hoặc trốn thuế sẽ dễ dàng bị phát hiện và xử lý nghiêm. - HUMAN-ENF1]]</f>
        <v>5</v>
      </c>
      <c r="T134" t="str">
        <f t="shared" si="55"/>
        <v>Neutral</v>
      </c>
      <c r="U134" s="32">
        <f t="shared" si="56"/>
        <v>2</v>
      </c>
      <c r="V134">
        <f>step3_validation[[#This Row],[AI_ENF2]]</f>
        <v>8</v>
      </c>
      <c r="W134" t="str">
        <f t="shared" si="57"/>
        <v>Support</v>
      </c>
      <c r="X134">
        <f>survey_responses[[#This Row],[Tôi tin rằng Nhà nước, cơ quan thuế có đủ khả năng và công nghệ để phát hiện, xử lý nghiêm các hành vi trốn thuế. - HUMAN-ENF2]]</f>
        <v>5</v>
      </c>
      <c r="Y134" t="str">
        <f t="shared" si="58"/>
        <v>Neutral</v>
      </c>
      <c r="Z134" s="32">
        <f t="shared" si="59"/>
        <v>3</v>
      </c>
      <c r="AA134">
        <f>step3_validation[[#This Row],[AI_FAC1]]</f>
        <v>6</v>
      </c>
      <c r="AB134" t="str">
        <f t="shared" si="60"/>
        <v>Neutral</v>
      </c>
      <c r="AC134">
        <f>survey_responses[[#This Row],[Các thủ tục khai báo thuế VÀ/HOẶC quy trình làm việc với cơ quan thuế đơn giản, tiện lợi, nhanh chóng hơn so với trước đây. - HUMAN-FAC1]]</f>
        <v>5</v>
      </c>
      <c r="AD134" t="str">
        <f t="shared" si="61"/>
        <v>Neutral</v>
      </c>
      <c r="AE134" s="32">
        <f t="shared" si="62"/>
        <v>1</v>
      </c>
      <c r="AF134">
        <f>step3_validation[[#This Row],[AI_FAC2]]</f>
        <v>8</v>
      </c>
      <c r="AG134" t="str">
        <f t="shared" si="63"/>
        <v>Support</v>
      </c>
      <c r="AH134">
        <f>survey_responses[[#This Row],[So với trước đây, tôi thấy cách tính thuế và các bậc thuế trong phương án mới đơn giản, dễ hiểu và dễ thực hiện hơn. - HUMAN-FAC2]]</f>
        <v>5</v>
      </c>
      <c r="AI134" t="str">
        <f t="shared" si="64"/>
        <v>Neutral</v>
      </c>
      <c r="AJ134" s="32">
        <f t="shared" si="65"/>
        <v>3</v>
      </c>
      <c r="AK134">
        <f>step3_validation[[#This Row],[AI_TRU1]]</f>
        <v>7</v>
      </c>
      <c r="AL134" t="str">
        <f t="shared" si="66"/>
        <v>Neutral</v>
      </c>
      <c r="AM134">
        <f>survey_responses[[#This Row],[Tôi tin rằng Nhà nước, cơ quan thuế sẽ thực thi chính sách mới một cách khách quan, công tâm và đối xử bình đẳng với mọi người nộp thuế.  - HUMAN-TRU1]]</f>
        <v>5</v>
      </c>
      <c r="AN134" t="str">
        <f t="shared" si="67"/>
        <v>Neutral</v>
      </c>
      <c r="AO134" s="32">
        <f t="shared" si="68"/>
        <v>2</v>
      </c>
      <c r="AP134">
        <f>step3_validation[[#This Row],[AI_TRU2]]</f>
        <v>9</v>
      </c>
      <c r="AQ134" t="str">
        <f t="shared" si="69"/>
        <v>Support</v>
      </c>
      <c r="AR134">
        <f>survey_responses[[#This Row],[Tôi thấy mức thuế tôi phải đóng theo phương án mới là công bằng (người thu nhập như tôi đóng mức này là hợp lý). - HUMAN-TRU2]]</f>
        <v>5</v>
      </c>
      <c r="AS134" t="str">
        <f t="shared" si="70"/>
        <v>Neutral</v>
      </c>
      <c r="AT134" s="32">
        <f t="shared" si="71"/>
        <v>4</v>
      </c>
      <c r="AU134">
        <f>step3_validation[[#This Row],[AI_TRU3]]</f>
        <v>6</v>
      </c>
      <c r="AV134" t="str">
        <f t="shared" si="72"/>
        <v>Neutral</v>
      </c>
      <c r="AW134">
        <f>survey_responses[[#This Row],[Tôi tin tưởng số tiền thuế tôi đóng sẽ được Nhà nước sử dụng hiệu quả để cải thiện dịch vụ công (y tế, đường xá...). - HUMAN-TRU3]]</f>
        <v>5</v>
      </c>
      <c r="AX134" t="str">
        <f t="shared" si="73"/>
        <v>Neutral</v>
      </c>
      <c r="AY134" s="32">
        <f t="shared" si="74"/>
        <v>1</v>
      </c>
      <c r="AZ134">
        <f>step3_validation[[#This Row],[AI_TRU4]]</f>
        <v>7</v>
      </c>
      <c r="BA134" t="str">
        <f t="shared" si="75"/>
        <v>Neutral</v>
      </c>
      <c r="BB134">
        <f>survey_responses[[#This Row],[Tôi thấy Nhà nước đã giải thích rõ ràng, minh bạch về lý do và mục tiêu của việc sửa đổi thuế lần này. - HUMAN-TRU4]]</f>
        <v>5</v>
      </c>
      <c r="BC134" t="str">
        <f t="shared" si="76"/>
        <v>Neutral</v>
      </c>
      <c r="BD134" s="32">
        <f t="shared" si="77"/>
        <v>2</v>
      </c>
      <c r="BE134">
        <f>step3_validation[[#This Row],[AI_OUT1]]</f>
        <v>8</v>
      </c>
      <c r="BF134" t="str">
        <f t="shared" si="78"/>
        <v>Support</v>
      </c>
      <c r="BG134">
        <f>survey_responses[[#This Row],[Sau khi xem xét các quyền lợi và nghĩa vụ, bạn có ủng hộ và tuân thủ chính sách mới hiện nay? - HUMAN-OUT1]]</f>
        <v>5</v>
      </c>
      <c r="BH134" t="str">
        <f t="shared" si="79"/>
        <v>Neutral</v>
      </c>
      <c r="BI134" s="32">
        <f t="shared" si="80"/>
        <v>3</v>
      </c>
    </row>
    <row r="135" spans="1:61" x14ac:dyDescent="0.45">
      <c r="A135" s="30">
        <f>step3_validation[[#This Row],[Persona_ID]]</f>
        <v>134</v>
      </c>
      <c r="B135" s="31">
        <f>step3_validation[[#This Row],[Used_Seed]]</f>
        <v>134</v>
      </c>
      <c r="C135" t="str">
        <f>step3_validation[[#This Row],[Gender]]</f>
        <v>Nữ</v>
      </c>
      <c r="D135" t="str">
        <f>survey_responses[[#This Row],[Giới tính của bạn:]]</f>
        <v>Nữ</v>
      </c>
      <c r="E135" t="str">
        <f>step3_validation[[#This Row],[Age_Group]]</f>
        <v>18 - 24</v>
      </c>
      <c r="F135" t="str">
        <f>survey_responses[[#This Row],[Độ tuổi của bạn:]]</f>
        <v>18 - 24</v>
      </c>
      <c r="G135" t="str">
        <f>step3_validation[[#This Row],[Region]]</f>
        <v>Thành thị</v>
      </c>
      <c r="H135" t="str">
        <f>survey_responses[[#This Row],[Khu vực bạn đang sinh sống:]]</f>
        <v>Thành thị</v>
      </c>
      <c r="I135" t="str">
        <f>step3_validation[[#This Row],[Education]]</f>
        <v>Đại học</v>
      </c>
      <c r="J135" t="str">
        <f>survey_responses[[#This Row],[Trình độ học vấn cao nhất:]]</f>
        <v>Đại học</v>
      </c>
      <c r="K135" t="str">
        <f>step3_validation[[#This Row],[Employment]]</f>
        <v>Chính thức</v>
      </c>
      <c r="L135" t="str">
        <f>survey_responses[[#This Row],[Tình trạng việc làm chính:]]</f>
        <v>Khu vực chính thức (Có Hợp đồng lao động, đóng BHXH)</v>
      </c>
      <c r="M135">
        <f>step3_validation[[#This Row],[Income_Mil]]</f>
        <v>21.873889935932151</v>
      </c>
      <c r="N135" t="str">
        <f>survey_responses[[#This Row],[Thu nhập bình quân tháng theo Hợp đồng lao động của bạn là bao nhiêu? (Vui lòng điền tổng thu nhập trước khi khấu trừ các loại Bảo hiểm (BHXH, BHYT, BHTN) và Thuế TNCN)]]</f>
        <v>Từ 18 - 23 triệu VNĐ</v>
      </c>
      <c r="O135">
        <f>step3_validation[[#This Row],[Dependents]]</f>
        <v>0</v>
      </c>
      <c r="P135" t="str">
        <f>survey_responses[[#This Row],[Số người phụ thuộc (con nhỏ, cha mẹ già...) đủ điều kiện giảm trừ gia cảnh:]]</f>
        <v>0 người</v>
      </c>
      <c r="Q135">
        <f>step3_validation[[#This Row],[AI_ENF1]]</f>
        <v>7</v>
      </c>
      <c r="R135" t="str">
        <f t="shared" si="54"/>
        <v>Neutral</v>
      </c>
      <c r="S135">
        <f>survey_responses[[#This Row],[Tôi tin rằng với các quy định quản lý thuế hiện nay, hành vi gian lận hoặc trốn thuế sẽ dễ dàng bị phát hiện và xử lý nghiêm. - HUMAN-ENF1]]</f>
        <v>9</v>
      </c>
      <c r="T135" t="str">
        <f t="shared" si="55"/>
        <v>Support</v>
      </c>
      <c r="U135" s="32">
        <f t="shared" si="56"/>
        <v>2</v>
      </c>
      <c r="V135">
        <f>step3_validation[[#This Row],[AI_ENF2]]</f>
        <v>6</v>
      </c>
      <c r="W135" t="str">
        <f t="shared" si="57"/>
        <v>Neutral</v>
      </c>
      <c r="X135">
        <f>survey_responses[[#This Row],[Tôi tin rằng Nhà nước, cơ quan thuế có đủ khả năng và công nghệ để phát hiện, xử lý nghiêm các hành vi trốn thuế. - HUMAN-ENF2]]</f>
        <v>9</v>
      </c>
      <c r="Y135" t="str">
        <f t="shared" si="58"/>
        <v>Support</v>
      </c>
      <c r="Z135" s="32">
        <f t="shared" si="59"/>
        <v>3</v>
      </c>
      <c r="AA135">
        <f>step3_validation[[#This Row],[AI_FAC1]]</f>
        <v>8</v>
      </c>
      <c r="AB135" t="str">
        <f t="shared" si="60"/>
        <v>Support</v>
      </c>
      <c r="AC135">
        <f>survey_responses[[#This Row],[Các thủ tục khai báo thuế VÀ/HOẶC quy trình làm việc với cơ quan thuế đơn giản, tiện lợi, nhanh chóng hơn so với trước đây. - HUMAN-FAC1]]</f>
        <v>5</v>
      </c>
      <c r="AD135" t="str">
        <f t="shared" si="61"/>
        <v>Neutral</v>
      </c>
      <c r="AE135" s="32">
        <f t="shared" si="62"/>
        <v>3</v>
      </c>
      <c r="AF135">
        <f>step3_validation[[#This Row],[AI_FAC2]]</f>
        <v>9</v>
      </c>
      <c r="AG135" t="str">
        <f t="shared" si="63"/>
        <v>Support</v>
      </c>
      <c r="AH135">
        <f>survey_responses[[#This Row],[So với trước đây, tôi thấy cách tính thuế và các bậc thuế trong phương án mới đơn giản, dễ hiểu và dễ thực hiện hơn. - HUMAN-FAC2]]</f>
        <v>9</v>
      </c>
      <c r="AI135" t="str">
        <f t="shared" si="64"/>
        <v>Support</v>
      </c>
      <c r="AJ135" s="32">
        <f t="shared" si="65"/>
        <v>0</v>
      </c>
      <c r="AK135">
        <f>step3_validation[[#This Row],[AI_TRU1]]</f>
        <v>8</v>
      </c>
      <c r="AL135" t="str">
        <f t="shared" si="66"/>
        <v>Support</v>
      </c>
      <c r="AM135">
        <f>survey_responses[[#This Row],[Tôi tin rằng Nhà nước, cơ quan thuế sẽ thực thi chính sách mới một cách khách quan, công tâm và đối xử bình đẳng với mọi người nộp thuế.  - HUMAN-TRU1]]</f>
        <v>8</v>
      </c>
      <c r="AN135" t="str">
        <f t="shared" si="67"/>
        <v>Support</v>
      </c>
      <c r="AO135" s="32">
        <f t="shared" si="68"/>
        <v>0</v>
      </c>
      <c r="AP135">
        <f>step3_validation[[#This Row],[AI_TRU2]]</f>
        <v>9</v>
      </c>
      <c r="AQ135" t="str">
        <f t="shared" si="69"/>
        <v>Support</v>
      </c>
      <c r="AR135">
        <f>survey_responses[[#This Row],[Tôi thấy mức thuế tôi phải đóng theo phương án mới là công bằng (người thu nhập như tôi đóng mức này là hợp lý). - HUMAN-TRU2]]</f>
        <v>10</v>
      </c>
      <c r="AS135" t="str">
        <f t="shared" si="70"/>
        <v>Support</v>
      </c>
      <c r="AT135" s="32">
        <f t="shared" si="71"/>
        <v>1</v>
      </c>
      <c r="AU135">
        <f>step3_validation[[#This Row],[AI_TRU3]]</f>
        <v>7</v>
      </c>
      <c r="AV135" t="str">
        <f t="shared" si="72"/>
        <v>Neutral</v>
      </c>
      <c r="AW135">
        <f>survey_responses[[#This Row],[Tôi tin tưởng số tiền thuế tôi đóng sẽ được Nhà nước sử dụng hiệu quả để cải thiện dịch vụ công (y tế, đường xá...). - HUMAN-TRU3]]</f>
        <v>5</v>
      </c>
      <c r="AX135" t="str">
        <f t="shared" si="73"/>
        <v>Neutral</v>
      </c>
      <c r="AY135" s="32">
        <f t="shared" si="74"/>
        <v>2</v>
      </c>
      <c r="AZ135">
        <f>step3_validation[[#This Row],[AI_TRU4]]</f>
        <v>8</v>
      </c>
      <c r="BA135" t="str">
        <f t="shared" si="75"/>
        <v>Support</v>
      </c>
      <c r="BB135">
        <f>survey_responses[[#This Row],[Tôi thấy Nhà nước đã giải thích rõ ràng, minh bạch về lý do và mục tiêu của việc sửa đổi thuế lần này. - HUMAN-TRU4]]</f>
        <v>5</v>
      </c>
      <c r="BC135" t="str">
        <f t="shared" si="76"/>
        <v>Neutral</v>
      </c>
      <c r="BD135" s="32">
        <f t="shared" si="77"/>
        <v>3</v>
      </c>
      <c r="BE135">
        <f>step3_validation[[#This Row],[AI_OUT1]]</f>
        <v>9</v>
      </c>
      <c r="BF135" t="str">
        <f t="shared" si="78"/>
        <v>Support</v>
      </c>
      <c r="BG135">
        <f>survey_responses[[#This Row],[Sau khi xem xét các quyền lợi và nghĩa vụ, bạn có ủng hộ và tuân thủ chính sách mới hiện nay? - HUMAN-OUT1]]</f>
        <v>7</v>
      </c>
      <c r="BH135" t="str">
        <f t="shared" si="79"/>
        <v>Neutral</v>
      </c>
      <c r="BI135" s="32">
        <f t="shared" si="80"/>
        <v>2</v>
      </c>
    </row>
    <row r="136" spans="1:61" x14ac:dyDescent="0.45">
      <c r="A136" s="30">
        <f>step3_validation[[#This Row],[Persona_ID]]</f>
        <v>135</v>
      </c>
      <c r="B136" s="31">
        <f>step3_validation[[#This Row],[Used_Seed]]</f>
        <v>135</v>
      </c>
      <c r="C136" t="str">
        <f>step3_validation[[#This Row],[Gender]]</f>
        <v>Nam</v>
      </c>
      <c r="D136" t="str">
        <f>survey_responses[[#This Row],[Giới tính của bạn:]]</f>
        <v>Nam</v>
      </c>
      <c r="E136" t="str">
        <f>step3_validation[[#This Row],[Age_Group]]</f>
        <v>18 - 24</v>
      </c>
      <c r="F136" t="str">
        <f>survey_responses[[#This Row],[Độ tuổi của bạn:]]</f>
        <v>18 - 24</v>
      </c>
      <c r="G136" t="str">
        <f>step3_validation[[#This Row],[Region]]</f>
        <v>Thành thị</v>
      </c>
      <c r="H136" t="str">
        <f>survey_responses[[#This Row],[Khu vực bạn đang sinh sống:]]</f>
        <v>Thành thị</v>
      </c>
      <c r="I136" t="str">
        <f>step3_validation[[#This Row],[Education]]</f>
        <v>Đại học</v>
      </c>
      <c r="J136" t="str">
        <f>survey_responses[[#This Row],[Trình độ học vấn cao nhất:]]</f>
        <v>Đại học</v>
      </c>
      <c r="K136" t="str">
        <f>step3_validation[[#This Row],[Employment]]</f>
        <v>Chính thức</v>
      </c>
      <c r="L136" t="str">
        <f>survey_responses[[#This Row],[Tình trạng việc làm chính:]]</f>
        <v>Khu vực chính thức (Có Hợp đồng lao động, đóng BHXH)</v>
      </c>
      <c r="M136">
        <f>step3_validation[[#This Row],[Income_Mil]]</f>
        <v>14.741162032444352</v>
      </c>
      <c r="N136" t="str">
        <f>survey_responses[[#This Row],[Thu nhập bình quân tháng theo Hợp đồng lao động của bạn là bao nhiêu? (Vui lòng điền tổng thu nhập trước khi khấu trừ các loại Bảo hiểm (BHXH, BHYT, BHTN) và Thuế TNCN)]]</f>
        <v>Từ 12 - 18 triệu VNĐ</v>
      </c>
      <c r="O136">
        <f>step3_validation[[#This Row],[Dependents]]</f>
        <v>0</v>
      </c>
      <c r="P136" t="str">
        <f>survey_responses[[#This Row],[Số người phụ thuộc (con nhỏ, cha mẹ già...) đủ điều kiện giảm trừ gia cảnh:]]</f>
        <v>0 người</v>
      </c>
      <c r="Q136">
        <f>step3_validation[[#This Row],[AI_ENF1]]</f>
        <v>6</v>
      </c>
      <c r="R136" t="str">
        <f t="shared" si="54"/>
        <v>Neutral</v>
      </c>
      <c r="S136">
        <f>survey_responses[[#This Row],[Tôi tin rằng với các quy định quản lý thuế hiện nay, hành vi gian lận hoặc trốn thuế sẽ dễ dàng bị phát hiện và xử lý nghiêm. - HUMAN-ENF1]]</f>
        <v>5</v>
      </c>
      <c r="T136" t="str">
        <f t="shared" si="55"/>
        <v>Neutral</v>
      </c>
      <c r="U136" s="32">
        <f t="shared" si="56"/>
        <v>1</v>
      </c>
      <c r="V136">
        <f>step3_validation[[#This Row],[AI_ENF2]]</f>
        <v>7</v>
      </c>
      <c r="W136" t="str">
        <f t="shared" si="57"/>
        <v>Neutral</v>
      </c>
      <c r="X136">
        <f>survey_responses[[#This Row],[Tôi tin rằng Nhà nước, cơ quan thuế có đủ khả năng và công nghệ để phát hiện, xử lý nghiêm các hành vi trốn thuế. - HUMAN-ENF2]]</f>
        <v>5</v>
      </c>
      <c r="Y136" t="str">
        <f t="shared" si="58"/>
        <v>Neutral</v>
      </c>
      <c r="Z136" s="32">
        <f t="shared" si="59"/>
        <v>2</v>
      </c>
      <c r="AA136">
        <f>step3_validation[[#This Row],[AI_FAC1]]</f>
        <v>9</v>
      </c>
      <c r="AB136" t="str">
        <f t="shared" si="60"/>
        <v>Support</v>
      </c>
      <c r="AC136">
        <f>survey_responses[[#This Row],[Các thủ tục khai báo thuế VÀ/HOẶC quy trình làm việc với cơ quan thuế đơn giản, tiện lợi, nhanh chóng hơn so với trước đây. - HUMAN-FAC1]]</f>
        <v>5</v>
      </c>
      <c r="AD136" t="str">
        <f t="shared" si="61"/>
        <v>Neutral</v>
      </c>
      <c r="AE136" s="32">
        <f t="shared" si="62"/>
        <v>4</v>
      </c>
      <c r="AF136">
        <f>step3_validation[[#This Row],[AI_FAC2]]</f>
        <v>8</v>
      </c>
      <c r="AG136" t="str">
        <f t="shared" si="63"/>
        <v>Support</v>
      </c>
      <c r="AH136">
        <f>survey_responses[[#This Row],[So với trước đây, tôi thấy cách tính thuế và các bậc thuế trong phương án mới đơn giản, dễ hiểu và dễ thực hiện hơn. - HUMAN-FAC2]]</f>
        <v>6</v>
      </c>
      <c r="AI136" t="str">
        <f t="shared" si="64"/>
        <v>Neutral</v>
      </c>
      <c r="AJ136" s="32">
        <f t="shared" si="65"/>
        <v>2</v>
      </c>
      <c r="AK136">
        <f>step3_validation[[#This Row],[AI_TRU1]]</f>
        <v>9</v>
      </c>
      <c r="AL136" t="str">
        <f t="shared" si="66"/>
        <v>Support</v>
      </c>
      <c r="AM136">
        <f>survey_responses[[#This Row],[Tôi tin rằng Nhà nước, cơ quan thuế sẽ thực thi chính sách mới một cách khách quan, công tâm và đối xử bình đẳng với mọi người nộp thuế.  - HUMAN-TRU1]]</f>
        <v>6</v>
      </c>
      <c r="AN136" t="str">
        <f t="shared" si="67"/>
        <v>Neutral</v>
      </c>
      <c r="AO136" s="32">
        <f t="shared" si="68"/>
        <v>3</v>
      </c>
      <c r="AP136">
        <f>step3_validation[[#This Row],[AI_TRU2]]</f>
        <v>8</v>
      </c>
      <c r="AQ136" t="str">
        <f t="shared" si="69"/>
        <v>Support</v>
      </c>
      <c r="AR136">
        <f>survey_responses[[#This Row],[Tôi thấy mức thuế tôi phải đóng theo phương án mới là công bằng (người thu nhập như tôi đóng mức này là hợp lý). - HUMAN-TRU2]]</f>
        <v>6</v>
      </c>
      <c r="AS136" t="str">
        <f t="shared" si="70"/>
        <v>Neutral</v>
      </c>
      <c r="AT136" s="32">
        <f t="shared" si="71"/>
        <v>2</v>
      </c>
      <c r="AU136">
        <f>step3_validation[[#This Row],[AI_TRU3]]</f>
        <v>9</v>
      </c>
      <c r="AV136" t="str">
        <f t="shared" si="72"/>
        <v>Support</v>
      </c>
      <c r="AW136">
        <f>survey_responses[[#This Row],[Tôi tin tưởng số tiền thuế tôi đóng sẽ được Nhà nước sử dụng hiệu quả để cải thiện dịch vụ công (y tế, đường xá...). - HUMAN-TRU3]]</f>
        <v>6</v>
      </c>
      <c r="AX136" t="str">
        <f t="shared" si="73"/>
        <v>Neutral</v>
      </c>
      <c r="AY136" s="32">
        <f t="shared" si="74"/>
        <v>3</v>
      </c>
      <c r="AZ136">
        <f>step3_validation[[#This Row],[AI_TRU4]]</f>
        <v>7</v>
      </c>
      <c r="BA136" t="str">
        <f t="shared" si="75"/>
        <v>Neutral</v>
      </c>
      <c r="BB136">
        <f>survey_responses[[#This Row],[Tôi thấy Nhà nước đã giải thích rõ ràng, minh bạch về lý do và mục tiêu của việc sửa đổi thuế lần này. - HUMAN-TRU4]]</f>
        <v>6</v>
      </c>
      <c r="BC136" t="str">
        <f t="shared" si="76"/>
        <v>Neutral</v>
      </c>
      <c r="BD136" s="32">
        <f t="shared" si="77"/>
        <v>1</v>
      </c>
      <c r="BE136">
        <f>step3_validation[[#This Row],[AI_OUT1]]</f>
        <v>9</v>
      </c>
      <c r="BF136" t="str">
        <f t="shared" si="78"/>
        <v>Support</v>
      </c>
      <c r="BG136">
        <f>survey_responses[[#This Row],[Sau khi xem xét các quyền lợi và nghĩa vụ, bạn có ủng hộ và tuân thủ chính sách mới hiện nay? - HUMAN-OUT1]]</f>
        <v>6</v>
      </c>
      <c r="BH136" t="str">
        <f t="shared" si="79"/>
        <v>Neutral</v>
      </c>
      <c r="BI136" s="32">
        <f t="shared" si="80"/>
        <v>3</v>
      </c>
    </row>
    <row r="137" spans="1:61" x14ac:dyDescent="0.45">
      <c r="A137" s="30">
        <f>step3_validation[[#This Row],[Persona_ID]]</f>
        <v>136</v>
      </c>
      <c r="B137" s="31">
        <f>step3_validation[[#This Row],[Used_Seed]]</f>
        <v>136</v>
      </c>
      <c r="C137" t="str">
        <f>step3_validation[[#This Row],[Gender]]</f>
        <v>Nữ</v>
      </c>
      <c r="D137" t="str">
        <f>survey_responses[[#This Row],[Giới tính của bạn:]]</f>
        <v>Nữ</v>
      </c>
      <c r="E137" t="str">
        <f>step3_validation[[#This Row],[Age_Group]]</f>
        <v>55 - 64</v>
      </c>
      <c r="F137" t="str">
        <f>survey_responses[[#This Row],[Độ tuổi của bạn:]]</f>
        <v>55 - 64</v>
      </c>
      <c r="G137" t="str">
        <f>step3_validation[[#This Row],[Region]]</f>
        <v>Thành thị</v>
      </c>
      <c r="H137" t="str">
        <f>survey_responses[[#This Row],[Khu vực bạn đang sinh sống:]]</f>
        <v>Thành thị</v>
      </c>
      <c r="I137" t="str">
        <f>step3_validation[[#This Row],[Education]]</f>
        <v>Đại học</v>
      </c>
      <c r="J137" t="str">
        <f>survey_responses[[#This Row],[Trình độ học vấn cao nhất:]]</f>
        <v>Đại học</v>
      </c>
      <c r="K137" t="str">
        <f>step3_validation[[#This Row],[Employment]]</f>
        <v>Phi chính thức</v>
      </c>
      <c r="L137" t="str">
        <f>survey_responses[[#This Row],[Tình trạng việc làm chính:]]</f>
        <v>Khác (Về hưu, nội trợ, sinh viên)</v>
      </c>
      <c r="M137">
        <f>step3_validation[[#This Row],[Income_Mil]]</f>
        <v>12</v>
      </c>
      <c r="N137" t="str">
        <f>survey_responses[[#This Row],[Thu nhập bình quân tháng theo Hợp đồng lao động của bạn là bao nhiêu? (Vui lòng điền tổng thu nhập trước khi khấu trừ các loại Bảo hiểm (BHXH, BHYT, BHTN) và Thuế TNCN)]]</f>
        <v>Dưới 12 triệu VNĐ</v>
      </c>
      <c r="O137">
        <f>step3_validation[[#This Row],[Dependents]]</f>
        <v>0</v>
      </c>
      <c r="P137" t="str">
        <f>survey_responses[[#This Row],[Số người phụ thuộc (con nhỏ, cha mẹ già...) đủ điều kiện giảm trừ gia cảnh:]]</f>
        <v>0 người</v>
      </c>
      <c r="Q137">
        <f>step3_validation[[#This Row],[AI_ENF1]]</f>
        <v>6</v>
      </c>
      <c r="R137" t="str">
        <f t="shared" si="54"/>
        <v>Neutral</v>
      </c>
      <c r="S137">
        <f>survey_responses[[#This Row],[Tôi tin rằng với các quy định quản lý thuế hiện nay, hành vi gian lận hoặc trốn thuế sẽ dễ dàng bị phát hiện và xử lý nghiêm. - HUMAN-ENF1]]</f>
        <v>8</v>
      </c>
      <c r="T137" t="str">
        <f t="shared" si="55"/>
        <v>Support</v>
      </c>
      <c r="U137" s="32">
        <f t="shared" si="56"/>
        <v>2</v>
      </c>
      <c r="V137">
        <f>step3_validation[[#This Row],[AI_ENF2]]</f>
        <v>5</v>
      </c>
      <c r="W137" t="str">
        <f t="shared" si="57"/>
        <v>Neutral</v>
      </c>
      <c r="X137">
        <f>survey_responses[[#This Row],[Tôi tin rằng Nhà nước, cơ quan thuế có đủ khả năng và công nghệ để phát hiện, xử lý nghiêm các hành vi trốn thuế. - HUMAN-ENF2]]</f>
        <v>8</v>
      </c>
      <c r="Y137" t="str">
        <f t="shared" si="58"/>
        <v>Support</v>
      </c>
      <c r="Z137" s="32">
        <f t="shared" si="59"/>
        <v>3</v>
      </c>
      <c r="AA137">
        <f>step3_validation[[#This Row],[AI_FAC1]]</f>
        <v>8</v>
      </c>
      <c r="AB137" t="str">
        <f t="shared" si="60"/>
        <v>Support</v>
      </c>
      <c r="AC137">
        <f>survey_responses[[#This Row],[Các thủ tục khai báo thuế VÀ/HOẶC quy trình làm việc với cơ quan thuế đơn giản, tiện lợi, nhanh chóng hơn so với trước đây. - HUMAN-FAC1]]</f>
        <v>8</v>
      </c>
      <c r="AD137" t="str">
        <f t="shared" si="61"/>
        <v>Support</v>
      </c>
      <c r="AE137" s="32">
        <f t="shared" si="62"/>
        <v>0</v>
      </c>
      <c r="AF137">
        <f>step3_validation[[#This Row],[AI_FAC2]]</f>
        <v>9</v>
      </c>
      <c r="AG137" t="str">
        <f t="shared" si="63"/>
        <v>Support</v>
      </c>
      <c r="AH137">
        <f>survey_responses[[#This Row],[So với trước đây, tôi thấy cách tính thuế và các bậc thuế trong phương án mới đơn giản, dễ hiểu và dễ thực hiện hơn. - HUMAN-FAC2]]</f>
        <v>8</v>
      </c>
      <c r="AI137" t="str">
        <f t="shared" si="64"/>
        <v>Support</v>
      </c>
      <c r="AJ137" s="32">
        <f t="shared" si="65"/>
        <v>1</v>
      </c>
      <c r="AK137">
        <f>step3_validation[[#This Row],[AI_TRU1]]</f>
        <v>8</v>
      </c>
      <c r="AL137" t="str">
        <f t="shared" si="66"/>
        <v>Support</v>
      </c>
      <c r="AM137">
        <f>survey_responses[[#This Row],[Tôi tin rằng Nhà nước, cơ quan thuế sẽ thực thi chính sách mới một cách khách quan, công tâm và đối xử bình đẳng với mọi người nộp thuế.  - HUMAN-TRU1]]</f>
        <v>10</v>
      </c>
      <c r="AN137" t="str">
        <f t="shared" si="67"/>
        <v>Support</v>
      </c>
      <c r="AO137" s="32">
        <f t="shared" si="68"/>
        <v>2</v>
      </c>
      <c r="AP137">
        <f>step3_validation[[#This Row],[AI_TRU2]]</f>
        <v>9</v>
      </c>
      <c r="AQ137" t="str">
        <f t="shared" si="69"/>
        <v>Support</v>
      </c>
      <c r="AR137">
        <f>survey_responses[[#This Row],[Tôi thấy mức thuế tôi phải đóng theo phương án mới là công bằng (người thu nhập như tôi đóng mức này là hợp lý). - HUMAN-TRU2]]</f>
        <v>10</v>
      </c>
      <c r="AS137" t="str">
        <f t="shared" si="70"/>
        <v>Support</v>
      </c>
      <c r="AT137" s="32">
        <f t="shared" si="71"/>
        <v>1</v>
      </c>
      <c r="AU137">
        <f>step3_validation[[#This Row],[AI_TRU3]]</f>
        <v>8</v>
      </c>
      <c r="AV137" t="str">
        <f t="shared" si="72"/>
        <v>Support</v>
      </c>
      <c r="AW137">
        <f>survey_responses[[#This Row],[Tôi tin tưởng số tiền thuế tôi đóng sẽ được Nhà nước sử dụng hiệu quả để cải thiện dịch vụ công (y tế, đường xá...). - HUMAN-TRU3]]</f>
        <v>10</v>
      </c>
      <c r="AX137" t="str">
        <f t="shared" si="73"/>
        <v>Support</v>
      </c>
      <c r="AY137" s="32">
        <f t="shared" si="74"/>
        <v>2</v>
      </c>
      <c r="AZ137">
        <f>step3_validation[[#This Row],[AI_TRU4]]</f>
        <v>7</v>
      </c>
      <c r="BA137" t="str">
        <f t="shared" si="75"/>
        <v>Neutral</v>
      </c>
      <c r="BB137">
        <f>survey_responses[[#This Row],[Tôi thấy Nhà nước đã giải thích rõ ràng, minh bạch về lý do và mục tiêu của việc sửa đổi thuế lần này. - HUMAN-TRU4]]</f>
        <v>10</v>
      </c>
      <c r="BC137" t="str">
        <f t="shared" si="76"/>
        <v>Support</v>
      </c>
      <c r="BD137" s="32">
        <f t="shared" si="77"/>
        <v>3</v>
      </c>
      <c r="BE137">
        <f>step3_validation[[#This Row],[AI_OUT1]]</f>
        <v>8</v>
      </c>
      <c r="BF137" t="str">
        <f t="shared" si="78"/>
        <v>Support</v>
      </c>
      <c r="BG137">
        <f>survey_responses[[#This Row],[Sau khi xem xét các quyền lợi và nghĩa vụ, bạn có ủng hộ và tuân thủ chính sách mới hiện nay? - HUMAN-OUT1]]</f>
        <v>10</v>
      </c>
      <c r="BH137" t="str">
        <f t="shared" si="79"/>
        <v>Support</v>
      </c>
      <c r="BI137" s="32">
        <f t="shared" si="80"/>
        <v>2</v>
      </c>
    </row>
    <row r="138" spans="1:61" x14ac:dyDescent="0.45">
      <c r="A138" s="30">
        <f>step3_validation[[#This Row],[Persona_ID]]</f>
        <v>137</v>
      </c>
      <c r="B138" s="31">
        <f>step3_validation[[#This Row],[Used_Seed]]</f>
        <v>137</v>
      </c>
      <c r="C138" t="str">
        <f>step3_validation[[#This Row],[Gender]]</f>
        <v>Nam</v>
      </c>
      <c r="D138" t="str">
        <f>survey_responses[[#This Row],[Giới tính của bạn:]]</f>
        <v>Nam</v>
      </c>
      <c r="E138" t="str">
        <f>step3_validation[[#This Row],[Age_Group]]</f>
        <v>50 - 54</v>
      </c>
      <c r="F138" t="str">
        <f>survey_responses[[#This Row],[Độ tuổi của bạn:]]</f>
        <v>50 - 54</v>
      </c>
      <c r="G138" t="str">
        <f>step3_validation[[#This Row],[Region]]</f>
        <v>Thành thị</v>
      </c>
      <c r="H138" t="str">
        <f>survey_responses[[#This Row],[Khu vực bạn đang sinh sống:]]</f>
        <v>Thành thị</v>
      </c>
      <c r="I138" t="str">
        <f>step3_validation[[#This Row],[Education]]</f>
        <v>Đại học</v>
      </c>
      <c r="J138" t="str">
        <f>survey_responses[[#This Row],[Trình độ học vấn cao nhất:]]</f>
        <v>Đại học</v>
      </c>
      <c r="K138" t="str">
        <f>step3_validation[[#This Row],[Employment]]</f>
        <v>Chính thức</v>
      </c>
      <c r="L138" t="str">
        <f>survey_responses[[#This Row],[Tình trạng việc làm chính:]]</f>
        <v>Khu vực chính thức (Có Hợp đồng lao động, đóng BHXH)</v>
      </c>
      <c r="M138">
        <f>step3_validation[[#This Row],[Income_Mil]]</f>
        <v>229.01094363180181</v>
      </c>
      <c r="N138" t="str">
        <f>survey_responses[[#This Row],[Thu nhập bình quân tháng theo Hợp đồng lao động của bạn là bao nhiêu? (Vui lòng điền tổng thu nhập trước khi khấu trừ các loại Bảo hiểm (BHXH, BHYT, BHTN) và Thuế TNCN)]]</f>
        <v>Trên 102 triệu VNĐ</v>
      </c>
      <c r="O138">
        <f>step3_validation[[#This Row],[Dependents]]</f>
        <v>4</v>
      </c>
      <c r="P138" t="str">
        <f>survey_responses[[#This Row],[Số người phụ thuộc (con nhỏ, cha mẹ già...) đủ điều kiện giảm trừ gia cảnh:]]</f>
        <v>4 người trở lên</v>
      </c>
      <c r="Q138">
        <f>step3_validation[[#This Row],[AI_ENF1]]</f>
        <v>7</v>
      </c>
      <c r="R138" t="str">
        <f t="shared" si="54"/>
        <v>Neutral</v>
      </c>
      <c r="S138">
        <f>survey_responses[[#This Row],[Tôi tin rằng với các quy định quản lý thuế hiện nay, hành vi gian lận hoặc trốn thuế sẽ dễ dàng bị phát hiện và xử lý nghiêm. - HUMAN-ENF1]]</f>
        <v>8</v>
      </c>
      <c r="T138" t="str">
        <f t="shared" si="55"/>
        <v>Support</v>
      </c>
      <c r="U138" s="32">
        <f t="shared" si="56"/>
        <v>1</v>
      </c>
      <c r="V138">
        <f>step3_validation[[#This Row],[AI_ENF2]]</f>
        <v>8</v>
      </c>
      <c r="W138" t="str">
        <f t="shared" si="57"/>
        <v>Support</v>
      </c>
      <c r="X138">
        <f>survey_responses[[#This Row],[Tôi tin rằng Nhà nước, cơ quan thuế có đủ khả năng và công nghệ để phát hiện, xử lý nghiêm các hành vi trốn thuế. - HUMAN-ENF2]]</f>
        <v>8</v>
      </c>
      <c r="Y138" t="str">
        <f t="shared" si="58"/>
        <v>Support</v>
      </c>
      <c r="Z138" s="32">
        <f t="shared" si="59"/>
        <v>0</v>
      </c>
      <c r="AA138">
        <f>step3_validation[[#This Row],[AI_FAC1]]</f>
        <v>7</v>
      </c>
      <c r="AB138" t="str">
        <f t="shared" si="60"/>
        <v>Neutral</v>
      </c>
      <c r="AC138">
        <f>survey_responses[[#This Row],[Các thủ tục khai báo thuế VÀ/HOẶC quy trình làm việc với cơ quan thuế đơn giản, tiện lợi, nhanh chóng hơn so với trước đây. - HUMAN-FAC1]]</f>
        <v>8</v>
      </c>
      <c r="AD138" t="str">
        <f t="shared" si="61"/>
        <v>Support</v>
      </c>
      <c r="AE138" s="32">
        <f t="shared" si="62"/>
        <v>1</v>
      </c>
      <c r="AF138">
        <f>step3_validation[[#This Row],[AI_FAC2]]</f>
        <v>9</v>
      </c>
      <c r="AG138" t="str">
        <f t="shared" si="63"/>
        <v>Support</v>
      </c>
      <c r="AH138">
        <f>survey_responses[[#This Row],[So với trước đây, tôi thấy cách tính thuế và các bậc thuế trong phương án mới đơn giản, dễ hiểu và dễ thực hiện hơn. - HUMAN-FAC2]]</f>
        <v>8</v>
      </c>
      <c r="AI138" t="str">
        <f t="shared" si="64"/>
        <v>Support</v>
      </c>
      <c r="AJ138" s="32">
        <f t="shared" si="65"/>
        <v>1</v>
      </c>
      <c r="AK138">
        <f>step3_validation[[#This Row],[AI_TRU1]]</f>
        <v>7</v>
      </c>
      <c r="AL138" t="str">
        <f t="shared" si="66"/>
        <v>Neutral</v>
      </c>
      <c r="AM138">
        <f>survey_responses[[#This Row],[Tôi tin rằng Nhà nước, cơ quan thuế sẽ thực thi chính sách mới một cách khách quan, công tâm và đối xử bình đẳng với mọi người nộp thuế.  - HUMAN-TRU1]]</f>
        <v>8</v>
      </c>
      <c r="AN138" t="str">
        <f t="shared" si="67"/>
        <v>Support</v>
      </c>
      <c r="AO138" s="32">
        <f t="shared" si="68"/>
        <v>1</v>
      </c>
      <c r="AP138">
        <f>step3_validation[[#This Row],[AI_TRU2]]</f>
        <v>9</v>
      </c>
      <c r="AQ138" t="str">
        <f t="shared" si="69"/>
        <v>Support</v>
      </c>
      <c r="AR138">
        <f>survey_responses[[#This Row],[Tôi thấy mức thuế tôi phải đóng theo phương án mới là công bằng (người thu nhập như tôi đóng mức này là hợp lý). - HUMAN-TRU2]]</f>
        <v>8</v>
      </c>
      <c r="AS138" t="str">
        <f t="shared" si="70"/>
        <v>Support</v>
      </c>
      <c r="AT138" s="32">
        <f t="shared" si="71"/>
        <v>1</v>
      </c>
      <c r="AU138">
        <f>step3_validation[[#This Row],[AI_TRU3]]</f>
        <v>8</v>
      </c>
      <c r="AV138" t="str">
        <f t="shared" si="72"/>
        <v>Support</v>
      </c>
      <c r="AW138">
        <f>survey_responses[[#This Row],[Tôi tin tưởng số tiền thuế tôi đóng sẽ được Nhà nước sử dụng hiệu quả để cải thiện dịch vụ công (y tế, đường xá...). - HUMAN-TRU3]]</f>
        <v>5</v>
      </c>
      <c r="AX138" t="str">
        <f t="shared" si="73"/>
        <v>Neutral</v>
      </c>
      <c r="AY138" s="32">
        <f t="shared" si="74"/>
        <v>3</v>
      </c>
      <c r="AZ138">
        <f>step3_validation[[#This Row],[AI_TRU4]]</f>
        <v>9</v>
      </c>
      <c r="BA138" t="str">
        <f t="shared" si="75"/>
        <v>Support</v>
      </c>
      <c r="BB138">
        <f>survey_responses[[#This Row],[Tôi thấy Nhà nước đã giải thích rõ ràng, minh bạch về lý do và mục tiêu của việc sửa đổi thuế lần này. - HUMAN-TRU4]]</f>
        <v>7</v>
      </c>
      <c r="BC138" t="str">
        <f t="shared" si="76"/>
        <v>Neutral</v>
      </c>
      <c r="BD138" s="32">
        <f t="shared" si="77"/>
        <v>2</v>
      </c>
      <c r="BE138">
        <f>step3_validation[[#This Row],[AI_OUT1]]</f>
        <v>10</v>
      </c>
      <c r="BF138" t="str">
        <f t="shared" si="78"/>
        <v>Support</v>
      </c>
      <c r="BG138">
        <f>survey_responses[[#This Row],[Sau khi xem xét các quyền lợi và nghĩa vụ, bạn có ủng hộ và tuân thủ chính sách mới hiện nay? - HUMAN-OUT1]]</f>
        <v>8</v>
      </c>
      <c r="BH138" t="str">
        <f t="shared" si="79"/>
        <v>Support</v>
      </c>
      <c r="BI138" s="32">
        <f t="shared" si="80"/>
        <v>2</v>
      </c>
    </row>
    <row r="139" spans="1:61" x14ac:dyDescent="0.45">
      <c r="A139" s="30">
        <f>step3_validation[[#This Row],[Persona_ID]]</f>
        <v>138</v>
      </c>
      <c r="B139" s="31">
        <f>step3_validation[[#This Row],[Used_Seed]]</f>
        <v>138</v>
      </c>
      <c r="C139" t="str">
        <f>step3_validation[[#This Row],[Gender]]</f>
        <v>Nữ</v>
      </c>
      <c r="D139" t="str">
        <f>survey_responses[[#This Row],[Giới tính của bạn:]]</f>
        <v>Nữ</v>
      </c>
      <c r="E139" t="str">
        <f>step3_validation[[#This Row],[Age_Group]]</f>
        <v>25 - 29</v>
      </c>
      <c r="F139" t="str">
        <f>survey_responses[[#This Row],[Độ tuổi của bạn:]]</f>
        <v>25 - 29</v>
      </c>
      <c r="G139" t="str">
        <f>step3_validation[[#This Row],[Region]]</f>
        <v>Thành thị</v>
      </c>
      <c r="H139" t="str">
        <f>survey_responses[[#This Row],[Khu vực bạn đang sinh sống:]]</f>
        <v>Thành thị</v>
      </c>
      <c r="I139" t="str">
        <f>step3_validation[[#This Row],[Education]]</f>
        <v>Sau Đại học</v>
      </c>
      <c r="J139" t="str">
        <f>survey_responses[[#This Row],[Trình độ học vấn cao nhất:]]</f>
        <v>Sau Đại học</v>
      </c>
      <c r="K139" t="str">
        <f>step3_validation[[#This Row],[Employment]]</f>
        <v>Chính thức</v>
      </c>
      <c r="L139" t="str">
        <f>survey_responses[[#This Row],[Tình trạng việc làm chính:]]</f>
        <v>Khu vực chính thức (Có Hợp đồng lao động, đóng BHXH)</v>
      </c>
      <c r="M139">
        <f>step3_validation[[#This Row],[Income_Mil]]</f>
        <v>14.865600921963605</v>
      </c>
      <c r="N139" t="str">
        <f>survey_responses[[#This Row],[Thu nhập bình quân tháng theo Hợp đồng lao động của bạn là bao nhiêu? (Vui lòng điền tổng thu nhập trước khi khấu trừ các loại Bảo hiểm (BHXH, BHYT, BHTN) và Thuế TNCN)]]</f>
        <v>Từ 12 - 18 triệu VNĐ</v>
      </c>
      <c r="O139">
        <f>step3_validation[[#This Row],[Dependents]]</f>
        <v>0</v>
      </c>
      <c r="P139" t="str">
        <f>survey_responses[[#This Row],[Số người phụ thuộc (con nhỏ, cha mẹ già...) đủ điều kiện giảm trừ gia cảnh:]]</f>
        <v>0 người</v>
      </c>
      <c r="Q139">
        <f>step3_validation[[#This Row],[AI_ENF1]]</f>
        <v>7</v>
      </c>
      <c r="R139" t="str">
        <f t="shared" si="54"/>
        <v>Neutral</v>
      </c>
      <c r="S139">
        <f>survey_responses[[#This Row],[Tôi tin rằng với các quy định quản lý thuế hiện nay, hành vi gian lận hoặc trốn thuế sẽ dễ dàng bị phát hiện và xử lý nghiêm. - HUMAN-ENF1]]</f>
        <v>8</v>
      </c>
      <c r="T139" t="str">
        <f t="shared" si="55"/>
        <v>Support</v>
      </c>
      <c r="U139" s="32">
        <f t="shared" si="56"/>
        <v>1</v>
      </c>
      <c r="V139">
        <f>step3_validation[[#This Row],[AI_ENF2]]</f>
        <v>8</v>
      </c>
      <c r="W139" t="str">
        <f t="shared" si="57"/>
        <v>Support</v>
      </c>
      <c r="X139">
        <f>survey_responses[[#This Row],[Tôi tin rằng Nhà nước, cơ quan thuế có đủ khả năng và công nghệ để phát hiện, xử lý nghiêm các hành vi trốn thuế. - HUMAN-ENF2]]</f>
        <v>9</v>
      </c>
      <c r="Y139" t="str">
        <f t="shared" si="58"/>
        <v>Support</v>
      </c>
      <c r="Z139" s="32">
        <f t="shared" si="59"/>
        <v>1</v>
      </c>
      <c r="AA139">
        <f>step3_validation[[#This Row],[AI_FAC1]]</f>
        <v>9</v>
      </c>
      <c r="AB139" t="str">
        <f t="shared" si="60"/>
        <v>Support</v>
      </c>
      <c r="AC139">
        <f>survey_responses[[#This Row],[Các thủ tục khai báo thuế VÀ/HOẶC quy trình làm việc với cơ quan thuế đơn giản, tiện lợi, nhanh chóng hơn so với trước đây. - HUMAN-FAC1]]</f>
        <v>7</v>
      </c>
      <c r="AD139" t="str">
        <f t="shared" si="61"/>
        <v>Neutral</v>
      </c>
      <c r="AE139" s="32">
        <f t="shared" si="62"/>
        <v>2</v>
      </c>
      <c r="AF139">
        <f>step3_validation[[#This Row],[AI_FAC2]]</f>
        <v>9</v>
      </c>
      <c r="AG139" t="str">
        <f t="shared" si="63"/>
        <v>Support</v>
      </c>
      <c r="AH139">
        <f>survey_responses[[#This Row],[So với trước đây, tôi thấy cách tính thuế và các bậc thuế trong phương án mới đơn giản, dễ hiểu và dễ thực hiện hơn. - HUMAN-FAC2]]</f>
        <v>7</v>
      </c>
      <c r="AI139" t="str">
        <f t="shared" si="64"/>
        <v>Neutral</v>
      </c>
      <c r="AJ139" s="32">
        <f t="shared" si="65"/>
        <v>2</v>
      </c>
      <c r="AK139">
        <f>step3_validation[[#This Row],[AI_TRU1]]</f>
        <v>6</v>
      </c>
      <c r="AL139" t="str">
        <f t="shared" si="66"/>
        <v>Neutral</v>
      </c>
      <c r="AM139">
        <f>survey_responses[[#This Row],[Tôi tin rằng Nhà nước, cơ quan thuế sẽ thực thi chính sách mới một cách khách quan, công tâm và đối xử bình đẳng với mọi người nộp thuế.  - HUMAN-TRU1]]</f>
        <v>6</v>
      </c>
      <c r="AN139" t="str">
        <f t="shared" si="67"/>
        <v>Neutral</v>
      </c>
      <c r="AO139" s="32">
        <f t="shared" si="68"/>
        <v>0</v>
      </c>
      <c r="AP139">
        <f>step3_validation[[#This Row],[AI_TRU2]]</f>
        <v>9</v>
      </c>
      <c r="AQ139" t="str">
        <f t="shared" si="69"/>
        <v>Support</v>
      </c>
      <c r="AR139">
        <f>survey_responses[[#This Row],[Tôi thấy mức thuế tôi phải đóng theo phương án mới là công bằng (người thu nhập như tôi đóng mức này là hợp lý). - HUMAN-TRU2]]</f>
        <v>6</v>
      </c>
      <c r="AS139" t="str">
        <f t="shared" si="70"/>
        <v>Neutral</v>
      </c>
      <c r="AT139" s="32">
        <f t="shared" si="71"/>
        <v>3</v>
      </c>
      <c r="AU139">
        <f>step3_validation[[#This Row],[AI_TRU3]]</f>
        <v>8</v>
      </c>
      <c r="AV139" t="str">
        <f t="shared" si="72"/>
        <v>Support</v>
      </c>
      <c r="AW139">
        <f>survey_responses[[#This Row],[Tôi tin tưởng số tiền thuế tôi đóng sẽ được Nhà nước sử dụng hiệu quả để cải thiện dịch vụ công (y tế, đường xá...). - HUMAN-TRU3]]</f>
        <v>2</v>
      </c>
      <c r="AX139" t="str">
        <f t="shared" si="73"/>
        <v>Oppose</v>
      </c>
      <c r="AY139" s="32">
        <f t="shared" si="74"/>
        <v>6</v>
      </c>
      <c r="AZ139">
        <f>step3_validation[[#This Row],[AI_TRU4]]</f>
        <v>7</v>
      </c>
      <c r="BA139" t="str">
        <f t="shared" si="75"/>
        <v>Neutral</v>
      </c>
      <c r="BB139">
        <f>survey_responses[[#This Row],[Tôi thấy Nhà nước đã giải thích rõ ràng, minh bạch về lý do và mục tiêu của việc sửa đổi thuế lần này. - HUMAN-TRU4]]</f>
        <v>5</v>
      </c>
      <c r="BC139" t="str">
        <f t="shared" si="76"/>
        <v>Neutral</v>
      </c>
      <c r="BD139" s="32">
        <f t="shared" si="77"/>
        <v>2</v>
      </c>
      <c r="BE139">
        <f>step3_validation[[#This Row],[AI_OUT1]]</f>
        <v>9</v>
      </c>
      <c r="BF139" t="str">
        <f t="shared" si="78"/>
        <v>Support</v>
      </c>
      <c r="BG139">
        <f>survey_responses[[#This Row],[Sau khi xem xét các quyền lợi và nghĩa vụ, bạn có ủng hộ và tuân thủ chính sách mới hiện nay? - HUMAN-OUT1]]</f>
        <v>6</v>
      </c>
      <c r="BH139" t="str">
        <f t="shared" si="79"/>
        <v>Neutral</v>
      </c>
      <c r="BI139" s="32">
        <f t="shared" si="80"/>
        <v>3</v>
      </c>
    </row>
    <row r="140" spans="1:61" x14ac:dyDescent="0.45">
      <c r="A140" s="30">
        <f>step3_validation[[#This Row],[Persona_ID]]</f>
        <v>139</v>
      </c>
      <c r="B140" s="31">
        <f>step3_validation[[#This Row],[Used_Seed]]</f>
        <v>139</v>
      </c>
      <c r="C140" t="str">
        <f>step3_validation[[#This Row],[Gender]]</f>
        <v>Nữ</v>
      </c>
      <c r="D140" t="str">
        <f>survey_responses[[#This Row],[Giới tính của bạn:]]</f>
        <v>Nữ</v>
      </c>
      <c r="E140" t="str">
        <f>step3_validation[[#This Row],[Age_Group]]</f>
        <v>40 - 49</v>
      </c>
      <c r="F140" t="str">
        <f>survey_responses[[#This Row],[Độ tuổi của bạn:]]</f>
        <v>40 - 49</v>
      </c>
      <c r="G140" t="str">
        <f>step3_validation[[#This Row],[Region]]</f>
        <v>Thành thị</v>
      </c>
      <c r="H140" t="str">
        <f>survey_responses[[#This Row],[Khu vực bạn đang sinh sống:]]</f>
        <v>Thành thị</v>
      </c>
      <c r="I140" t="str">
        <f>step3_validation[[#This Row],[Education]]</f>
        <v>Sau Đại học</v>
      </c>
      <c r="J140" t="str">
        <f>survey_responses[[#This Row],[Trình độ học vấn cao nhất:]]</f>
        <v>Sau Đại học</v>
      </c>
      <c r="K140" t="str">
        <f>step3_validation[[#This Row],[Employment]]</f>
        <v>Chính thức</v>
      </c>
      <c r="L140" t="str">
        <f>survey_responses[[#This Row],[Tình trạng việc làm chính:]]</f>
        <v>Khu vực chính thức (Có Hợp đồng lao động, đóng BHXH)</v>
      </c>
      <c r="M140">
        <f>step3_validation[[#This Row],[Income_Mil]]</f>
        <v>163.68085030130771</v>
      </c>
      <c r="N140" t="str">
        <f>survey_responses[[#This Row],[Thu nhập bình quân tháng theo Hợp đồng lao động của bạn là bao nhiêu? (Vui lòng điền tổng thu nhập trước khi khấu trừ các loại Bảo hiểm (BHXH, BHYT, BHTN) và Thuế TNCN)]]</f>
        <v>Trên 102 triệu VNĐ</v>
      </c>
      <c r="O140">
        <f>step3_validation[[#This Row],[Dependents]]</f>
        <v>2</v>
      </c>
      <c r="P140" t="str">
        <f>survey_responses[[#This Row],[Số người phụ thuộc (con nhỏ, cha mẹ già...) đủ điều kiện giảm trừ gia cảnh:]]</f>
        <v>2 người</v>
      </c>
      <c r="Q140">
        <f>step3_validation[[#This Row],[AI_ENF1]]</f>
        <v>6</v>
      </c>
      <c r="R140" t="str">
        <f t="shared" si="54"/>
        <v>Neutral</v>
      </c>
      <c r="S140">
        <f>survey_responses[[#This Row],[Tôi tin rằng với các quy định quản lý thuế hiện nay, hành vi gian lận hoặc trốn thuế sẽ dễ dàng bị phát hiện và xử lý nghiêm. - HUMAN-ENF1]]</f>
        <v>5</v>
      </c>
      <c r="T140" t="str">
        <f t="shared" si="55"/>
        <v>Neutral</v>
      </c>
      <c r="U140" s="32">
        <f t="shared" si="56"/>
        <v>1</v>
      </c>
      <c r="V140">
        <f>step3_validation[[#This Row],[AI_ENF2]]</f>
        <v>6</v>
      </c>
      <c r="W140" t="str">
        <f t="shared" si="57"/>
        <v>Neutral</v>
      </c>
      <c r="X140">
        <f>survey_responses[[#This Row],[Tôi tin rằng Nhà nước, cơ quan thuế có đủ khả năng và công nghệ để phát hiện, xử lý nghiêm các hành vi trốn thuế. - HUMAN-ENF2]]</f>
        <v>4</v>
      </c>
      <c r="Y140" t="str">
        <f t="shared" si="58"/>
        <v>Oppose</v>
      </c>
      <c r="Z140" s="32">
        <f t="shared" si="59"/>
        <v>2</v>
      </c>
      <c r="AA140">
        <f>step3_validation[[#This Row],[AI_FAC1]]</f>
        <v>8</v>
      </c>
      <c r="AB140" t="str">
        <f t="shared" si="60"/>
        <v>Support</v>
      </c>
      <c r="AC140">
        <f>survey_responses[[#This Row],[Các thủ tục khai báo thuế VÀ/HOẶC quy trình làm việc với cơ quan thuế đơn giản, tiện lợi, nhanh chóng hơn so với trước đây. - HUMAN-FAC1]]</f>
        <v>7</v>
      </c>
      <c r="AD140" t="str">
        <f t="shared" si="61"/>
        <v>Neutral</v>
      </c>
      <c r="AE140" s="32">
        <f t="shared" si="62"/>
        <v>1</v>
      </c>
      <c r="AF140">
        <f>step3_validation[[#This Row],[AI_FAC2]]</f>
        <v>7</v>
      </c>
      <c r="AG140" t="str">
        <f t="shared" si="63"/>
        <v>Neutral</v>
      </c>
      <c r="AH140">
        <f>survey_responses[[#This Row],[So với trước đây, tôi thấy cách tính thuế và các bậc thuế trong phương án mới đơn giản, dễ hiểu và dễ thực hiện hơn. - HUMAN-FAC2]]</f>
        <v>6</v>
      </c>
      <c r="AI140" t="str">
        <f t="shared" si="64"/>
        <v>Neutral</v>
      </c>
      <c r="AJ140" s="32">
        <f t="shared" si="65"/>
        <v>1</v>
      </c>
      <c r="AK140">
        <f>step3_validation[[#This Row],[AI_TRU1]]</f>
        <v>8</v>
      </c>
      <c r="AL140" t="str">
        <f t="shared" si="66"/>
        <v>Support</v>
      </c>
      <c r="AM140">
        <f>survey_responses[[#This Row],[Tôi tin rằng Nhà nước, cơ quan thuế sẽ thực thi chính sách mới một cách khách quan, công tâm và đối xử bình đẳng với mọi người nộp thuế.  - HUMAN-TRU1]]</f>
        <v>3</v>
      </c>
      <c r="AN140" t="str">
        <f t="shared" si="67"/>
        <v>Oppose</v>
      </c>
      <c r="AO140" s="32">
        <f t="shared" si="68"/>
        <v>5</v>
      </c>
      <c r="AP140">
        <f>step3_validation[[#This Row],[AI_TRU2]]</f>
        <v>9</v>
      </c>
      <c r="AQ140" t="str">
        <f t="shared" si="69"/>
        <v>Support</v>
      </c>
      <c r="AR140">
        <f>survey_responses[[#This Row],[Tôi thấy mức thuế tôi phải đóng theo phương án mới là công bằng (người thu nhập như tôi đóng mức này là hợp lý). - HUMAN-TRU2]]</f>
        <v>4</v>
      </c>
      <c r="AS140" t="str">
        <f t="shared" si="70"/>
        <v>Oppose</v>
      </c>
      <c r="AT140" s="32">
        <f t="shared" si="71"/>
        <v>5</v>
      </c>
      <c r="AU140">
        <f>step3_validation[[#This Row],[AI_TRU3]]</f>
        <v>8</v>
      </c>
      <c r="AV140" t="str">
        <f t="shared" si="72"/>
        <v>Support</v>
      </c>
      <c r="AW140">
        <f>survey_responses[[#This Row],[Tôi tin tưởng số tiền thuế tôi đóng sẽ được Nhà nước sử dụng hiệu quả để cải thiện dịch vụ công (y tế, đường xá...). - HUMAN-TRU3]]</f>
        <v>4</v>
      </c>
      <c r="AX140" t="str">
        <f t="shared" si="73"/>
        <v>Oppose</v>
      </c>
      <c r="AY140" s="32">
        <f t="shared" si="74"/>
        <v>4</v>
      </c>
      <c r="AZ140">
        <f>step3_validation[[#This Row],[AI_TRU4]]</f>
        <v>7</v>
      </c>
      <c r="BA140" t="str">
        <f t="shared" si="75"/>
        <v>Neutral</v>
      </c>
      <c r="BB140">
        <f>survey_responses[[#This Row],[Tôi thấy Nhà nước đã giải thích rõ ràng, minh bạch về lý do và mục tiêu của việc sửa đổi thuế lần này. - HUMAN-TRU4]]</f>
        <v>5</v>
      </c>
      <c r="BC140" t="str">
        <f t="shared" si="76"/>
        <v>Neutral</v>
      </c>
      <c r="BD140" s="32">
        <f t="shared" si="77"/>
        <v>2</v>
      </c>
      <c r="BE140">
        <f>step3_validation[[#This Row],[AI_OUT1]]</f>
        <v>9</v>
      </c>
      <c r="BF140" t="str">
        <f t="shared" si="78"/>
        <v>Support</v>
      </c>
      <c r="BG140">
        <f>survey_responses[[#This Row],[Sau khi xem xét các quyền lợi và nghĩa vụ, bạn có ủng hộ và tuân thủ chính sách mới hiện nay? - HUMAN-OUT1]]</f>
        <v>5</v>
      </c>
      <c r="BH140" t="str">
        <f t="shared" si="79"/>
        <v>Neutral</v>
      </c>
      <c r="BI140" s="32">
        <f t="shared" si="80"/>
        <v>4</v>
      </c>
    </row>
    <row r="141" spans="1:61" x14ac:dyDescent="0.45">
      <c r="A141" s="30">
        <f>step3_validation[[#This Row],[Persona_ID]]</f>
        <v>140</v>
      </c>
      <c r="B141" s="31">
        <f>step3_validation[[#This Row],[Used_Seed]]</f>
        <v>140</v>
      </c>
      <c r="C141" t="str">
        <f>step3_validation[[#This Row],[Gender]]</f>
        <v>Nữ</v>
      </c>
      <c r="D141" t="str">
        <f>survey_responses[[#This Row],[Giới tính của bạn:]]</f>
        <v>Nữ</v>
      </c>
      <c r="E141" t="str">
        <f>step3_validation[[#This Row],[Age_Group]]</f>
        <v>30 - 39</v>
      </c>
      <c r="F141" t="str">
        <f>survey_responses[[#This Row],[Độ tuổi của bạn:]]</f>
        <v>30 - 39</v>
      </c>
      <c r="G141" t="str">
        <f>step3_validation[[#This Row],[Region]]</f>
        <v>Thành thị</v>
      </c>
      <c r="H141" t="str">
        <f>survey_responses[[#This Row],[Khu vực bạn đang sinh sống:]]</f>
        <v>Thành thị</v>
      </c>
      <c r="I141" t="str">
        <f>step3_validation[[#This Row],[Education]]</f>
        <v>Đại học</v>
      </c>
      <c r="J141" t="str">
        <f>survey_responses[[#This Row],[Trình độ học vấn cao nhất:]]</f>
        <v>Đại học</v>
      </c>
      <c r="K141" t="str">
        <f>step3_validation[[#This Row],[Employment]]</f>
        <v>Chính thức</v>
      </c>
      <c r="L141" t="str">
        <f>survey_responses[[#This Row],[Tình trạng việc làm chính:]]</f>
        <v>Khu vực chính thức (Có Hợp đồng lao động, đóng BHXH)</v>
      </c>
      <c r="M141">
        <f>step3_validation[[#This Row],[Income_Mil]]</f>
        <v>28.340960399484587</v>
      </c>
      <c r="N141" t="str">
        <f>survey_responses[[#This Row],[Thu nhập bình quân tháng theo Hợp đồng lao động của bạn là bao nhiêu? (Vui lòng điền tổng thu nhập trước khi khấu trừ các loại Bảo hiểm (BHXH, BHYT, BHTN) và Thuế TNCN)]]</f>
        <v>Từ 23 - 32 triệu VNĐ</v>
      </c>
      <c r="O141">
        <f>step3_validation[[#This Row],[Dependents]]</f>
        <v>1</v>
      </c>
      <c r="P141" t="str">
        <f>survey_responses[[#This Row],[Số người phụ thuộc (con nhỏ, cha mẹ già...) đủ điều kiện giảm trừ gia cảnh:]]</f>
        <v>1 người</v>
      </c>
      <c r="Q141">
        <f>step3_validation[[#This Row],[AI_ENF1]]</f>
        <v>6</v>
      </c>
      <c r="R141" t="str">
        <f t="shared" si="54"/>
        <v>Neutral</v>
      </c>
      <c r="S141">
        <f>survey_responses[[#This Row],[Tôi tin rằng với các quy định quản lý thuế hiện nay, hành vi gian lận hoặc trốn thuế sẽ dễ dàng bị phát hiện và xử lý nghiêm. - HUMAN-ENF1]]</f>
        <v>10</v>
      </c>
      <c r="T141" t="str">
        <f t="shared" si="55"/>
        <v>Support</v>
      </c>
      <c r="U141" s="32">
        <f t="shared" si="56"/>
        <v>4</v>
      </c>
      <c r="V141">
        <f>step3_validation[[#This Row],[AI_ENF2]]</f>
        <v>5</v>
      </c>
      <c r="W141" t="str">
        <f t="shared" si="57"/>
        <v>Neutral</v>
      </c>
      <c r="X141">
        <f>survey_responses[[#This Row],[Tôi tin rằng Nhà nước, cơ quan thuế có đủ khả năng và công nghệ để phát hiện, xử lý nghiêm các hành vi trốn thuế. - HUMAN-ENF2]]</f>
        <v>9</v>
      </c>
      <c r="Y141" t="str">
        <f t="shared" si="58"/>
        <v>Support</v>
      </c>
      <c r="Z141" s="32">
        <f t="shared" si="59"/>
        <v>4</v>
      </c>
      <c r="AA141">
        <f>step3_validation[[#This Row],[AI_FAC1]]</f>
        <v>8</v>
      </c>
      <c r="AB141" t="str">
        <f t="shared" si="60"/>
        <v>Support</v>
      </c>
      <c r="AC141">
        <f>survey_responses[[#This Row],[Các thủ tục khai báo thuế VÀ/HOẶC quy trình làm việc với cơ quan thuế đơn giản, tiện lợi, nhanh chóng hơn so với trước đây. - HUMAN-FAC1]]</f>
        <v>9</v>
      </c>
      <c r="AD141" t="str">
        <f t="shared" si="61"/>
        <v>Support</v>
      </c>
      <c r="AE141" s="32">
        <f t="shared" si="62"/>
        <v>1</v>
      </c>
      <c r="AF141">
        <f>step3_validation[[#This Row],[AI_FAC2]]</f>
        <v>9</v>
      </c>
      <c r="AG141" t="str">
        <f t="shared" si="63"/>
        <v>Support</v>
      </c>
      <c r="AH141">
        <f>survey_responses[[#This Row],[So với trước đây, tôi thấy cách tính thuế và các bậc thuế trong phương án mới đơn giản, dễ hiểu và dễ thực hiện hơn. - HUMAN-FAC2]]</f>
        <v>9</v>
      </c>
      <c r="AI141" t="str">
        <f t="shared" si="64"/>
        <v>Support</v>
      </c>
      <c r="AJ141" s="32">
        <f t="shared" si="65"/>
        <v>0</v>
      </c>
      <c r="AK141">
        <f>step3_validation[[#This Row],[AI_TRU1]]</f>
        <v>8</v>
      </c>
      <c r="AL141" t="str">
        <f t="shared" si="66"/>
        <v>Support</v>
      </c>
      <c r="AM141">
        <f>survey_responses[[#This Row],[Tôi tin rằng Nhà nước, cơ quan thuế sẽ thực thi chính sách mới một cách khách quan, công tâm và đối xử bình đẳng với mọi người nộp thuế.  - HUMAN-TRU1]]</f>
        <v>8</v>
      </c>
      <c r="AN141" t="str">
        <f t="shared" si="67"/>
        <v>Support</v>
      </c>
      <c r="AO141" s="32">
        <f t="shared" si="68"/>
        <v>0</v>
      </c>
      <c r="AP141">
        <f>step3_validation[[#This Row],[AI_TRU2]]</f>
        <v>9</v>
      </c>
      <c r="AQ141" t="str">
        <f t="shared" si="69"/>
        <v>Support</v>
      </c>
      <c r="AR141">
        <f>survey_responses[[#This Row],[Tôi thấy mức thuế tôi phải đóng theo phương án mới là công bằng (người thu nhập như tôi đóng mức này là hợp lý). - HUMAN-TRU2]]</f>
        <v>8</v>
      </c>
      <c r="AS141" t="str">
        <f t="shared" si="70"/>
        <v>Support</v>
      </c>
      <c r="AT141" s="32">
        <f t="shared" si="71"/>
        <v>1</v>
      </c>
      <c r="AU141">
        <f>step3_validation[[#This Row],[AI_TRU3]]</f>
        <v>7</v>
      </c>
      <c r="AV141" t="str">
        <f t="shared" si="72"/>
        <v>Neutral</v>
      </c>
      <c r="AW141">
        <f>survey_responses[[#This Row],[Tôi tin tưởng số tiền thuế tôi đóng sẽ được Nhà nước sử dụng hiệu quả để cải thiện dịch vụ công (y tế, đường xá...). - HUMAN-TRU3]]</f>
        <v>8</v>
      </c>
      <c r="AX141" t="str">
        <f t="shared" si="73"/>
        <v>Support</v>
      </c>
      <c r="AY141" s="32">
        <f t="shared" si="74"/>
        <v>1</v>
      </c>
      <c r="AZ141">
        <f>step3_validation[[#This Row],[AI_TRU4]]</f>
        <v>6</v>
      </c>
      <c r="BA141" t="str">
        <f t="shared" si="75"/>
        <v>Neutral</v>
      </c>
      <c r="BB141">
        <f>survey_responses[[#This Row],[Tôi thấy Nhà nước đã giải thích rõ ràng, minh bạch về lý do và mục tiêu của việc sửa đổi thuế lần này. - HUMAN-TRU4]]</f>
        <v>8</v>
      </c>
      <c r="BC141" t="str">
        <f t="shared" si="76"/>
        <v>Support</v>
      </c>
      <c r="BD141" s="32">
        <f t="shared" si="77"/>
        <v>2</v>
      </c>
      <c r="BE141">
        <f>step3_validation[[#This Row],[AI_OUT1]]</f>
        <v>8</v>
      </c>
      <c r="BF141" t="str">
        <f t="shared" si="78"/>
        <v>Support</v>
      </c>
      <c r="BG141">
        <f>survey_responses[[#This Row],[Sau khi xem xét các quyền lợi và nghĩa vụ, bạn có ủng hộ và tuân thủ chính sách mới hiện nay? - HUMAN-OUT1]]</f>
        <v>10</v>
      </c>
      <c r="BH141" t="str">
        <f t="shared" si="79"/>
        <v>Support</v>
      </c>
      <c r="BI141" s="32">
        <f t="shared" si="80"/>
        <v>2</v>
      </c>
    </row>
    <row r="142" spans="1:61" x14ac:dyDescent="0.45">
      <c r="A142" s="30">
        <f>step3_validation[[#This Row],[Persona_ID]]</f>
        <v>141</v>
      </c>
      <c r="B142" s="31">
        <f>step3_validation[[#This Row],[Used_Seed]]</f>
        <v>141</v>
      </c>
      <c r="C142" t="str">
        <f>step3_validation[[#This Row],[Gender]]</f>
        <v>Nam</v>
      </c>
      <c r="D142" t="str">
        <f>survey_responses[[#This Row],[Giới tính của bạn:]]</f>
        <v>Nam</v>
      </c>
      <c r="E142" t="str">
        <f>step3_validation[[#This Row],[Age_Group]]</f>
        <v>30 - 39</v>
      </c>
      <c r="F142" t="str">
        <f>survey_responses[[#This Row],[Độ tuổi của bạn:]]</f>
        <v>30 - 39</v>
      </c>
      <c r="G142" t="str">
        <f>step3_validation[[#This Row],[Region]]</f>
        <v>Thành thị</v>
      </c>
      <c r="H142" t="str">
        <f>survey_responses[[#This Row],[Khu vực bạn đang sinh sống:]]</f>
        <v>Thành thị</v>
      </c>
      <c r="I142" t="str">
        <f>step3_validation[[#This Row],[Education]]</f>
        <v>Đại học</v>
      </c>
      <c r="J142" t="str">
        <f>survey_responses[[#This Row],[Trình độ học vấn cao nhất:]]</f>
        <v>Đại học</v>
      </c>
      <c r="K142" t="str">
        <f>step3_validation[[#This Row],[Employment]]</f>
        <v>Chính thức</v>
      </c>
      <c r="L142" t="str">
        <f>survey_responses[[#This Row],[Tình trạng việc làm chính:]]</f>
        <v>Khu vực chính thức (Có Hợp đồng lao động, đóng BHXH)</v>
      </c>
      <c r="M142">
        <f>step3_validation[[#This Row],[Income_Mil]]</f>
        <v>28.890372059104706</v>
      </c>
      <c r="N142" t="str">
        <f>survey_responses[[#This Row],[Thu nhập bình quân tháng theo Hợp đồng lao động của bạn là bao nhiêu? (Vui lòng điền tổng thu nhập trước khi khấu trừ các loại Bảo hiểm (BHXH, BHYT, BHTN) và Thuế TNCN)]]</f>
        <v>Từ 23 - 32 triệu VNĐ</v>
      </c>
      <c r="O142">
        <f>step3_validation[[#This Row],[Dependents]]</f>
        <v>1</v>
      </c>
      <c r="P142" t="str">
        <f>survey_responses[[#This Row],[Số người phụ thuộc (con nhỏ, cha mẹ già...) đủ điều kiện giảm trừ gia cảnh:]]</f>
        <v>1 người</v>
      </c>
      <c r="Q142">
        <f>step3_validation[[#This Row],[AI_ENF1]]</f>
        <v>7</v>
      </c>
      <c r="R142" t="str">
        <f t="shared" si="54"/>
        <v>Neutral</v>
      </c>
      <c r="S142">
        <f>survey_responses[[#This Row],[Tôi tin rằng với các quy định quản lý thuế hiện nay, hành vi gian lận hoặc trốn thuế sẽ dễ dàng bị phát hiện và xử lý nghiêm. - HUMAN-ENF1]]</f>
        <v>8</v>
      </c>
      <c r="T142" t="str">
        <f t="shared" si="55"/>
        <v>Support</v>
      </c>
      <c r="U142" s="32">
        <f t="shared" si="56"/>
        <v>1</v>
      </c>
      <c r="V142">
        <f>step3_validation[[#This Row],[AI_ENF2]]</f>
        <v>6</v>
      </c>
      <c r="W142" t="str">
        <f t="shared" si="57"/>
        <v>Neutral</v>
      </c>
      <c r="X142">
        <f>survey_responses[[#This Row],[Tôi tin rằng Nhà nước, cơ quan thuế có đủ khả năng và công nghệ để phát hiện, xử lý nghiêm các hành vi trốn thuế. - HUMAN-ENF2]]</f>
        <v>7</v>
      </c>
      <c r="Y142" t="str">
        <f t="shared" si="58"/>
        <v>Neutral</v>
      </c>
      <c r="Z142" s="32">
        <f t="shared" si="59"/>
        <v>1</v>
      </c>
      <c r="AA142">
        <f>step3_validation[[#This Row],[AI_FAC1]]</f>
        <v>9</v>
      </c>
      <c r="AB142" t="str">
        <f t="shared" si="60"/>
        <v>Support</v>
      </c>
      <c r="AC142">
        <f>survey_responses[[#This Row],[Các thủ tục khai báo thuế VÀ/HOẶC quy trình làm việc với cơ quan thuế đơn giản, tiện lợi, nhanh chóng hơn so với trước đây. - HUMAN-FAC1]]</f>
        <v>6</v>
      </c>
      <c r="AD142" t="str">
        <f t="shared" si="61"/>
        <v>Neutral</v>
      </c>
      <c r="AE142" s="32">
        <f t="shared" si="62"/>
        <v>3</v>
      </c>
      <c r="AF142">
        <f>step3_validation[[#This Row],[AI_FAC2]]</f>
        <v>8</v>
      </c>
      <c r="AG142" t="str">
        <f t="shared" si="63"/>
        <v>Support</v>
      </c>
      <c r="AH142">
        <f>survey_responses[[#This Row],[So với trước đây, tôi thấy cách tính thuế và các bậc thuế trong phương án mới đơn giản, dễ hiểu và dễ thực hiện hơn. - HUMAN-FAC2]]</f>
        <v>6</v>
      </c>
      <c r="AI142" t="str">
        <f t="shared" si="64"/>
        <v>Neutral</v>
      </c>
      <c r="AJ142" s="32">
        <f t="shared" si="65"/>
        <v>2</v>
      </c>
      <c r="AK142">
        <f>step3_validation[[#This Row],[AI_TRU1]]</f>
        <v>7</v>
      </c>
      <c r="AL142" t="str">
        <f t="shared" si="66"/>
        <v>Neutral</v>
      </c>
      <c r="AM142">
        <f>survey_responses[[#This Row],[Tôi tin rằng Nhà nước, cơ quan thuế sẽ thực thi chính sách mới một cách khách quan, công tâm và đối xử bình đẳng với mọi người nộp thuế.  - HUMAN-TRU1]]</f>
        <v>5</v>
      </c>
      <c r="AN142" t="str">
        <f t="shared" si="67"/>
        <v>Neutral</v>
      </c>
      <c r="AO142" s="32">
        <f t="shared" si="68"/>
        <v>2</v>
      </c>
      <c r="AP142">
        <f>step3_validation[[#This Row],[AI_TRU2]]</f>
        <v>8</v>
      </c>
      <c r="AQ142" t="str">
        <f t="shared" si="69"/>
        <v>Support</v>
      </c>
      <c r="AR142">
        <f>survey_responses[[#This Row],[Tôi thấy mức thuế tôi phải đóng theo phương án mới là công bằng (người thu nhập như tôi đóng mức này là hợp lý). - HUMAN-TRU2]]</f>
        <v>5</v>
      </c>
      <c r="AS142" t="str">
        <f t="shared" si="70"/>
        <v>Neutral</v>
      </c>
      <c r="AT142" s="32">
        <f t="shared" si="71"/>
        <v>3</v>
      </c>
      <c r="AU142">
        <f>step3_validation[[#This Row],[AI_TRU3]]</f>
        <v>7</v>
      </c>
      <c r="AV142" t="str">
        <f t="shared" si="72"/>
        <v>Neutral</v>
      </c>
      <c r="AW142">
        <f>survey_responses[[#This Row],[Tôi tin tưởng số tiền thuế tôi đóng sẽ được Nhà nước sử dụng hiệu quả để cải thiện dịch vụ công (y tế, đường xá...). - HUMAN-TRU3]]</f>
        <v>3</v>
      </c>
      <c r="AX142" t="str">
        <f t="shared" si="73"/>
        <v>Oppose</v>
      </c>
      <c r="AY142" s="32">
        <f t="shared" si="74"/>
        <v>4</v>
      </c>
      <c r="AZ142">
        <f>step3_validation[[#This Row],[AI_TRU4]]</f>
        <v>6</v>
      </c>
      <c r="BA142" t="str">
        <f t="shared" si="75"/>
        <v>Neutral</v>
      </c>
      <c r="BB142">
        <f>survey_responses[[#This Row],[Tôi thấy Nhà nước đã giải thích rõ ràng, minh bạch về lý do và mục tiêu của việc sửa đổi thuế lần này. - HUMAN-TRU4]]</f>
        <v>3</v>
      </c>
      <c r="BC142" t="str">
        <f t="shared" si="76"/>
        <v>Oppose</v>
      </c>
      <c r="BD142" s="32">
        <f t="shared" si="77"/>
        <v>3</v>
      </c>
      <c r="BE142">
        <f>step3_validation[[#This Row],[AI_OUT1]]</f>
        <v>9</v>
      </c>
      <c r="BF142" t="str">
        <f t="shared" si="78"/>
        <v>Support</v>
      </c>
      <c r="BG142">
        <f>survey_responses[[#This Row],[Sau khi xem xét các quyền lợi và nghĩa vụ, bạn có ủng hộ và tuân thủ chính sách mới hiện nay? - HUMAN-OUT1]]</f>
        <v>5</v>
      </c>
      <c r="BH142" t="str">
        <f t="shared" si="79"/>
        <v>Neutral</v>
      </c>
      <c r="BI142" s="32">
        <f t="shared" si="80"/>
        <v>4</v>
      </c>
    </row>
    <row r="143" spans="1:61" x14ac:dyDescent="0.45">
      <c r="A143" s="30">
        <f>step3_validation[[#This Row],[Persona_ID]]</f>
        <v>142</v>
      </c>
      <c r="B143" s="31">
        <f>step3_validation[[#This Row],[Used_Seed]]</f>
        <v>142</v>
      </c>
      <c r="C143" t="str">
        <f>step3_validation[[#This Row],[Gender]]</f>
        <v>Nam</v>
      </c>
      <c r="D143" t="str">
        <f>survey_responses[[#This Row],[Giới tính của bạn:]]</f>
        <v>Nam</v>
      </c>
      <c r="E143" t="str">
        <f>step3_validation[[#This Row],[Age_Group]]</f>
        <v>40 - 49</v>
      </c>
      <c r="F143" t="str">
        <f>survey_responses[[#This Row],[Độ tuổi của bạn:]]</f>
        <v>40 - 49</v>
      </c>
      <c r="G143" t="str">
        <f>step3_validation[[#This Row],[Region]]</f>
        <v>Thành thị</v>
      </c>
      <c r="H143" t="str">
        <f>survey_responses[[#This Row],[Khu vực bạn đang sinh sống:]]</f>
        <v>Thành thị</v>
      </c>
      <c r="I143" t="str">
        <f>step3_validation[[#This Row],[Education]]</f>
        <v>Sau Đại học</v>
      </c>
      <c r="J143" t="str">
        <f>survey_responses[[#This Row],[Trình độ học vấn cao nhất:]]</f>
        <v>Sau Đại học</v>
      </c>
      <c r="K143" t="str">
        <f>step3_validation[[#This Row],[Employment]]</f>
        <v>Chính thức</v>
      </c>
      <c r="L143" t="str">
        <f>survey_responses[[#This Row],[Tình trạng việc làm chính:]]</f>
        <v>Khu vực chính thức (Có Hợp đồng lao động, đóng BHXH)</v>
      </c>
      <c r="M143">
        <f>step3_validation[[#This Row],[Income_Mil]]</f>
        <v>12</v>
      </c>
      <c r="N143" t="str">
        <f>survey_responses[[#This Row],[Thu nhập bình quân tháng theo Hợp đồng lao động của bạn là bao nhiêu? (Vui lòng điền tổng thu nhập trước khi khấu trừ các loại Bảo hiểm (BHXH, BHYT, BHTN) và Thuế TNCN)]]</f>
        <v>Dưới 12 triệu VNĐ</v>
      </c>
      <c r="O143">
        <f>step3_validation[[#This Row],[Dependents]]</f>
        <v>1</v>
      </c>
      <c r="P143" t="str">
        <f>survey_responses[[#This Row],[Số người phụ thuộc (con nhỏ, cha mẹ già...) đủ điều kiện giảm trừ gia cảnh:]]</f>
        <v>1 người</v>
      </c>
      <c r="Q143">
        <f>step3_validation[[#This Row],[AI_ENF1]]</f>
        <v>6</v>
      </c>
      <c r="R143" t="str">
        <f t="shared" si="54"/>
        <v>Neutral</v>
      </c>
      <c r="S143">
        <f>survey_responses[[#This Row],[Tôi tin rằng với các quy định quản lý thuế hiện nay, hành vi gian lận hoặc trốn thuế sẽ dễ dàng bị phát hiện và xử lý nghiêm. - HUMAN-ENF1]]</f>
        <v>5</v>
      </c>
      <c r="T143" t="str">
        <f t="shared" si="55"/>
        <v>Neutral</v>
      </c>
      <c r="U143" s="32">
        <f t="shared" si="56"/>
        <v>1</v>
      </c>
      <c r="V143">
        <f>step3_validation[[#This Row],[AI_ENF2]]</f>
        <v>5</v>
      </c>
      <c r="W143" t="str">
        <f t="shared" si="57"/>
        <v>Neutral</v>
      </c>
      <c r="X143">
        <f>survey_responses[[#This Row],[Tôi tin rằng Nhà nước, cơ quan thuế có đủ khả năng và công nghệ để phát hiện, xử lý nghiêm các hành vi trốn thuế. - HUMAN-ENF2]]</f>
        <v>6</v>
      </c>
      <c r="Y143" t="str">
        <f t="shared" si="58"/>
        <v>Neutral</v>
      </c>
      <c r="Z143" s="32">
        <f t="shared" si="59"/>
        <v>1</v>
      </c>
      <c r="AA143">
        <f>step3_validation[[#This Row],[AI_FAC1]]</f>
        <v>7</v>
      </c>
      <c r="AB143" t="str">
        <f t="shared" si="60"/>
        <v>Neutral</v>
      </c>
      <c r="AC143">
        <f>survey_responses[[#This Row],[Các thủ tục khai báo thuế VÀ/HOẶC quy trình làm việc với cơ quan thuế đơn giản, tiện lợi, nhanh chóng hơn so với trước đây. - HUMAN-FAC1]]</f>
        <v>5</v>
      </c>
      <c r="AD143" t="str">
        <f t="shared" si="61"/>
        <v>Neutral</v>
      </c>
      <c r="AE143" s="32">
        <f t="shared" si="62"/>
        <v>2</v>
      </c>
      <c r="AF143">
        <f>step3_validation[[#This Row],[AI_FAC2]]</f>
        <v>8</v>
      </c>
      <c r="AG143" t="str">
        <f t="shared" si="63"/>
        <v>Support</v>
      </c>
      <c r="AH143">
        <f>survey_responses[[#This Row],[So với trước đây, tôi thấy cách tính thuế và các bậc thuế trong phương án mới đơn giản, dễ hiểu và dễ thực hiện hơn. - HUMAN-FAC2]]</f>
        <v>7</v>
      </c>
      <c r="AI143" t="str">
        <f t="shared" si="64"/>
        <v>Neutral</v>
      </c>
      <c r="AJ143" s="32">
        <f t="shared" si="65"/>
        <v>1</v>
      </c>
      <c r="AK143">
        <f>step3_validation[[#This Row],[AI_TRU1]]</f>
        <v>9</v>
      </c>
      <c r="AL143" t="str">
        <f t="shared" si="66"/>
        <v>Support</v>
      </c>
      <c r="AM143">
        <f>survey_responses[[#This Row],[Tôi tin rằng Nhà nước, cơ quan thuế sẽ thực thi chính sách mới một cách khách quan, công tâm và đối xử bình đẳng với mọi người nộp thuế.  - HUMAN-TRU1]]</f>
        <v>6</v>
      </c>
      <c r="AN143" t="str">
        <f t="shared" si="67"/>
        <v>Neutral</v>
      </c>
      <c r="AO143" s="32">
        <f t="shared" si="68"/>
        <v>3</v>
      </c>
      <c r="AP143">
        <f>step3_validation[[#This Row],[AI_TRU2]]</f>
        <v>8</v>
      </c>
      <c r="AQ143" t="str">
        <f t="shared" si="69"/>
        <v>Support</v>
      </c>
      <c r="AR143">
        <f>survey_responses[[#This Row],[Tôi thấy mức thuế tôi phải đóng theo phương án mới là công bằng (người thu nhập như tôi đóng mức này là hợp lý). - HUMAN-TRU2]]</f>
        <v>6</v>
      </c>
      <c r="AS143" t="str">
        <f t="shared" si="70"/>
        <v>Neutral</v>
      </c>
      <c r="AT143" s="32">
        <f t="shared" si="71"/>
        <v>2</v>
      </c>
      <c r="AU143">
        <f>step3_validation[[#This Row],[AI_TRU3]]</f>
        <v>7</v>
      </c>
      <c r="AV143" t="str">
        <f t="shared" si="72"/>
        <v>Neutral</v>
      </c>
      <c r="AW143">
        <f>survey_responses[[#This Row],[Tôi tin tưởng số tiền thuế tôi đóng sẽ được Nhà nước sử dụng hiệu quả để cải thiện dịch vụ công (y tế, đường xá...). - HUMAN-TRU3]]</f>
        <v>6</v>
      </c>
      <c r="AX143" t="str">
        <f t="shared" si="73"/>
        <v>Neutral</v>
      </c>
      <c r="AY143" s="32">
        <f t="shared" si="74"/>
        <v>1</v>
      </c>
      <c r="AZ143">
        <f>step3_validation[[#This Row],[AI_TRU4]]</f>
        <v>6</v>
      </c>
      <c r="BA143" t="str">
        <f t="shared" si="75"/>
        <v>Neutral</v>
      </c>
      <c r="BB143">
        <f>survey_responses[[#This Row],[Tôi thấy Nhà nước đã giải thích rõ ràng, minh bạch về lý do và mục tiêu của việc sửa đổi thuế lần này. - HUMAN-TRU4]]</f>
        <v>7</v>
      </c>
      <c r="BC143" t="str">
        <f t="shared" si="76"/>
        <v>Neutral</v>
      </c>
      <c r="BD143" s="32">
        <f t="shared" si="77"/>
        <v>1</v>
      </c>
      <c r="BE143">
        <f>step3_validation[[#This Row],[AI_OUT1]]</f>
        <v>9</v>
      </c>
      <c r="BF143" t="str">
        <f t="shared" si="78"/>
        <v>Support</v>
      </c>
      <c r="BG143">
        <f>survey_responses[[#This Row],[Sau khi xem xét các quyền lợi và nghĩa vụ, bạn có ủng hộ và tuân thủ chính sách mới hiện nay? - HUMAN-OUT1]]</f>
        <v>7</v>
      </c>
      <c r="BH143" t="str">
        <f t="shared" si="79"/>
        <v>Neutral</v>
      </c>
      <c r="BI143" s="32">
        <f t="shared" si="80"/>
        <v>2</v>
      </c>
    </row>
    <row r="144" spans="1:61" x14ac:dyDescent="0.45">
      <c r="A144" s="30">
        <f>step3_validation[[#This Row],[Persona_ID]]</f>
        <v>143</v>
      </c>
      <c r="B144" s="31">
        <f>step3_validation[[#This Row],[Used_Seed]]</f>
        <v>143</v>
      </c>
      <c r="C144" t="str">
        <f>step3_validation[[#This Row],[Gender]]</f>
        <v>Nam</v>
      </c>
      <c r="D144" t="str">
        <f>survey_responses[[#This Row],[Giới tính của bạn:]]</f>
        <v>Nam</v>
      </c>
      <c r="E144" t="str">
        <f>step3_validation[[#This Row],[Age_Group]]</f>
        <v>30 - 39</v>
      </c>
      <c r="F144" t="str">
        <f>survey_responses[[#This Row],[Độ tuổi của bạn:]]</f>
        <v>30 - 39</v>
      </c>
      <c r="G144" t="str">
        <f>step3_validation[[#This Row],[Region]]</f>
        <v>Thành thị</v>
      </c>
      <c r="H144" t="str">
        <f>survey_responses[[#This Row],[Khu vực bạn đang sinh sống:]]</f>
        <v>Thành thị</v>
      </c>
      <c r="I144" t="str">
        <f>step3_validation[[#This Row],[Education]]</f>
        <v>Sau Đại học</v>
      </c>
      <c r="J144" t="str">
        <f>survey_responses[[#This Row],[Trình độ học vấn cao nhất:]]</f>
        <v>Sau Đại học</v>
      </c>
      <c r="K144" t="str">
        <f>step3_validation[[#This Row],[Employment]]</f>
        <v>Chính thức</v>
      </c>
      <c r="L144" t="str">
        <f>survey_responses[[#This Row],[Tình trạng việc làm chính:]]</f>
        <v>Khu vực chính thức (Có Hợp đồng lao động, đóng BHXH)</v>
      </c>
      <c r="M144">
        <f>step3_validation[[#This Row],[Income_Mil]]</f>
        <v>163.17138364369816</v>
      </c>
      <c r="N144" t="str">
        <f>survey_responses[[#This Row],[Thu nhập bình quân tháng theo Hợp đồng lao động của bạn là bao nhiêu? (Vui lòng điền tổng thu nhập trước khi khấu trừ các loại Bảo hiểm (BHXH, BHYT, BHTN) và Thuế TNCN)]]</f>
        <v>Trên 102 triệu VNĐ</v>
      </c>
      <c r="O144">
        <f>step3_validation[[#This Row],[Dependents]]</f>
        <v>0</v>
      </c>
      <c r="P144" t="str">
        <f>survey_responses[[#This Row],[Số người phụ thuộc (con nhỏ, cha mẹ già...) đủ điều kiện giảm trừ gia cảnh:]]</f>
        <v>0 người</v>
      </c>
      <c r="Q144">
        <f>step3_validation[[#This Row],[AI_ENF1]]</f>
        <v>7</v>
      </c>
      <c r="R144" t="str">
        <f t="shared" si="54"/>
        <v>Neutral</v>
      </c>
      <c r="S144">
        <f>survey_responses[[#This Row],[Tôi tin rằng với các quy định quản lý thuế hiện nay, hành vi gian lận hoặc trốn thuế sẽ dễ dàng bị phát hiện và xử lý nghiêm. - HUMAN-ENF1]]</f>
        <v>1</v>
      </c>
      <c r="T144" t="str">
        <f t="shared" si="55"/>
        <v>Oppose</v>
      </c>
      <c r="U144" s="32">
        <f t="shared" si="56"/>
        <v>6</v>
      </c>
      <c r="V144">
        <f>step3_validation[[#This Row],[AI_ENF2]]</f>
        <v>8</v>
      </c>
      <c r="W144" t="str">
        <f t="shared" si="57"/>
        <v>Support</v>
      </c>
      <c r="X144">
        <f>survey_responses[[#This Row],[Tôi tin rằng Nhà nước, cơ quan thuế có đủ khả năng và công nghệ để phát hiện, xử lý nghiêm các hành vi trốn thuế. - HUMAN-ENF2]]</f>
        <v>1</v>
      </c>
      <c r="Y144" t="str">
        <f t="shared" si="58"/>
        <v>Oppose</v>
      </c>
      <c r="Z144" s="32">
        <f t="shared" si="59"/>
        <v>7</v>
      </c>
      <c r="AA144">
        <f>step3_validation[[#This Row],[AI_FAC1]]</f>
        <v>7</v>
      </c>
      <c r="AB144" t="str">
        <f t="shared" si="60"/>
        <v>Neutral</v>
      </c>
      <c r="AC144">
        <f>survey_responses[[#This Row],[Các thủ tục khai báo thuế VÀ/HOẶC quy trình làm việc với cơ quan thuế đơn giản, tiện lợi, nhanh chóng hơn so với trước đây. - HUMAN-FAC1]]</f>
        <v>8</v>
      </c>
      <c r="AD144" t="str">
        <f t="shared" si="61"/>
        <v>Support</v>
      </c>
      <c r="AE144" s="32">
        <f t="shared" si="62"/>
        <v>1</v>
      </c>
      <c r="AF144">
        <f>step3_validation[[#This Row],[AI_FAC2]]</f>
        <v>9</v>
      </c>
      <c r="AG144" t="str">
        <f t="shared" si="63"/>
        <v>Support</v>
      </c>
      <c r="AH144">
        <f>survey_responses[[#This Row],[So với trước đây, tôi thấy cách tính thuế và các bậc thuế trong phương án mới đơn giản, dễ hiểu và dễ thực hiện hơn. - HUMAN-FAC2]]</f>
        <v>8</v>
      </c>
      <c r="AI144" t="str">
        <f t="shared" si="64"/>
        <v>Support</v>
      </c>
      <c r="AJ144" s="32">
        <f t="shared" si="65"/>
        <v>1</v>
      </c>
      <c r="AK144">
        <f>step3_validation[[#This Row],[AI_TRU1]]</f>
        <v>7</v>
      </c>
      <c r="AL144" t="str">
        <f t="shared" si="66"/>
        <v>Neutral</v>
      </c>
      <c r="AM144">
        <f>survey_responses[[#This Row],[Tôi tin rằng Nhà nước, cơ quan thuế sẽ thực thi chính sách mới một cách khách quan, công tâm và đối xử bình đẳng với mọi người nộp thuế.  - HUMAN-TRU1]]</f>
        <v>8</v>
      </c>
      <c r="AN144" t="str">
        <f t="shared" si="67"/>
        <v>Support</v>
      </c>
      <c r="AO144" s="32">
        <f t="shared" si="68"/>
        <v>1</v>
      </c>
      <c r="AP144">
        <f>step3_validation[[#This Row],[AI_TRU2]]</f>
        <v>8</v>
      </c>
      <c r="AQ144" t="str">
        <f t="shared" si="69"/>
        <v>Support</v>
      </c>
      <c r="AR144">
        <f>survey_responses[[#This Row],[Tôi thấy mức thuế tôi phải đóng theo phương án mới là công bằng (người thu nhập như tôi đóng mức này là hợp lý). - HUMAN-TRU2]]</f>
        <v>8</v>
      </c>
      <c r="AS144" t="str">
        <f t="shared" si="70"/>
        <v>Support</v>
      </c>
      <c r="AT144" s="32">
        <f t="shared" si="71"/>
        <v>0</v>
      </c>
      <c r="AU144">
        <f>step3_validation[[#This Row],[AI_TRU3]]</f>
        <v>7</v>
      </c>
      <c r="AV144" t="str">
        <f t="shared" si="72"/>
        <v>Neutral</v>
      </c>
      <c r="AW144">
        <f>survey_responses[[#This Row],[Tôi tin tưởng số tiền thuế tôi đóng sẽ được Nhà nước sử dụng hiệu quả để cải thiện dịch vụ công (y tế, đường xá...). - HUMAN-TRU3]]</f>
        <v>8</v>
      </c>
      <c r="AX144" t="str">
        <f t="shared" si="73"/>
        <v>Support</v>
      </c>
      <c r="AY144" s="32">
        <f t="shared" si="74"/>
        <v>1</v>
      </c>
      <c r="AZ144">
        <f>step3_validation[[#This Row],[AI_TRU4]]</f>
        <v>8</v>
      </c>
      <c r="BA144" t="str">
        <f t="shared" si="75"/>
        <v>Support</v>
      </c>
      <c r="BB144">
        <f>survey_responses[[#This Row],[Tôi thấy Nhà nước đã giải thích rõ ràng, minh bạch về lý do và mục tiêu của việc sửa đổi thuế lần này. - HUMAN-TRU4]]</f>
        <v>8</v>
      </c>
      <c r="BC144" t="str">
        <f t="shared" si="76"/>
        <v>Support</v>
      </c>
      <c r="BD144" s="32">
        <f t="shared" si="77"/>
        <v>0</v>
      </c>
      <c r="BE144">
        <f>step3_validation[[#This Row],[AI_OUT1]]</f>
        <v>9</v>
      </c>
      <c r="BF144" t="str">
        <f t="shared" si="78"/>
        <v>Support</v>
      </c>
      <c r="BG144">
        <f>survey_responses[[#This Row],[Sau khi xem xét các quyền lợi và nghĩa vụ, bạn có ủng hộ và tuân thủ chính sách mới hiện nay? - HUMAN-OUT1]]</f>
        <v>8</v>
      </c>
      <c r="BH144" t="str">
        <f t="shared" si="79"/>
        <v>Support</v>
      </c>
      <c r="BI144" s="32">
        <f t="shared" si="80"/>
        <v>1</v>
      </c>
    </row>
    <row r="145" spans="1:61" x14ac:dyDescent="0.45">
      <c r="A145" s="30">
        <f>step3_validation[[#This Row],[Persona_ID]]</f>
        <v>144</v>
      </c>
      <c r="B145" s="31">
        <f>step3_validation[[#This Row],[Used_Seed]]</f>
        <v>144</v>
      </c>
      <c r="C145" t="str">
        <f>step3_validation[[#This Row],[Gender]]</f>
        <v>Nữ</v>
      </c>
      <c r="D145" t="str">
        <f>survey_responses[[#This Row],[Giới tính của bạn:]]</f>
        <v>Nữ</v>
      </c>
      <c r="E145" t="str">
        <f>step3_validation[[#This Row],[Age_Group]]</f>
        <v>50 - 54</v>
      </c>
      <c r="F145" t="str">
        <f>survey_responses[[#This Row],[Độ tuổi của bạn:]]</f>
        <v>50 - 54</v>
      </c>
      <c r="G145" t="str">
        <f>step3_validation[[#This Row],[Region]]</f>
        <v>Thành thị</v>
      </c>
      <c r="H145" t="str">
        <f>survey_responses[[#This Row],[Khu vực bạn đang sinh sống:]]</f>
        <v>Thành thị</v>
      </c>
      <c r="I145" t="str">
        <f>step3_validation[[#This Row],[Education]]</f>
        <v>Đại học</v>
      </c>
      <c r="J145" t="str">
        <f>survey_responses[[#This Row],[Trình độ học vấn cao nhất:]]</f>
        <v>Đại học</v>
      </c>
      <c r="K145" t="str">
        <f>step3_validation[[#This Row],[Employment]]</f>
        <v>Chính thức</v>
      </c>
      <c r="L145" t="str">
        <f>survey_responses[[#This Row],[Tình trạng việc làm chính:]]</f>
        <v>Khu vực chính thức (Có Hợp đồng lao động, đóng BHXH)</v>
      </c>
      <c r="M145">
        <f>step3_validation[[#This Row],[Income_Mil]]</f>
        <v>64.647998639983996</v>
      </c>
      <c r="N145" t="str">
        <f>survey_responses[[#This Row],[Thu nhập bình quân tháng theo Hợp đồng lao động của bạn là bao nhiêu? (Vui lòng điền tổng thu nhập trước khi khấu trừ các loại Bảo hiểm (BHXH, BHYT, BHTN) và Thuế TNCN)]]</f>
        <v>Từ 48 - 70 triệu VNĐ</v>
      </c>
      <c r="O145">
        <f>step3_validation[[#This Row],[Dependents]]</f>
        <v>2</v>
      </c>
      <c r="P145" t="str">
        <f>survey_responses[[#This Row],[Số người phụ thuộc (con nhỏ, cha mẹ già...) đủ điều kiện giảm trừ gia cảnh:]]</f>
        <v>2 người</v>
      </c>
      <c r="Q145">
        <f>step3_validation[[#This Row],[AI_ENF1]]</f>
        <v>7</v>
      </c>
      <c r="R145" t="str">
        <f t="shared" si="54"/>
        <v>Neutral</v>
      </c>
      <c r="S145">
        <f>survey_responses[[#This Row],[Tôi tin rằng với các quy định quản lý thuế hiện nay, hành vi gian lận hoặc trốn thuế sẽ dễ dàng bị phát hiện và xử lý nghiêm. - HUMAN-ENF1]]</f>
        <v>9</v>
      </c>
      <c r="T145" t="str">
        <f t="shared" si="55"/>
        <v>Support</v>
      </c>
      <c r="U145" s="32">
        <f t="shared" si="56"/>
        <v>2</v>
      </c>
      <c r="V145">
        <f>step3_validation[[#This Row],[AI_ENF2]]</f>
        <v>8</v>
      </c>
      <c r="W145" t="str">
        <f t="shared" si="57"/>
        <v>Support</v>
      </c>
      <c r="X145">
        <f>survey_responses[[#This Row],[Tôi tin rằng Nhà nước, cơ quan thuế có đủ khả năng và công nghệ để phát hiện, xử lý nghiêm các hành vi trốn thuế. - HUMAN-ENF2]]</f>
        <v>9</v>
      </c>
      <c r="Y145" t="str">
        <f t="shared" si="58"/>
        <v>Support</v>
      </c>
      <c r="Z145" s="32">
        <f t="shared" si="59"/>
        <v>1</v>
      </c>
      <c r="AA145">
        <f>step3_validation[[#This Row],[AI_FAC1]]</f>
        <v>9</v>
      </c>
      <c r="AB145" t="str">
        <f t="shared" si="60"/>
        <v>Support</v>
      </c>
      <c r="AC145">
        <f>survey_responses[[#This Row],[Các thủ tục khai báo thuế VÀ/HOẶC quy trình làm việc với cơ quan thuế đơn giản, tiện lợi, nhanh chóng hơn so với trước đây. - HUMAN-FAC1]]</f>
        <v>9</v>
      </c>
      <c r="AD145" t="str">
        <f t="shared" si="61"/>
        <v>Support</v>
      </c>
      <c r="AE145" s="32">
        <f t="shared" si="62"/>
        <v>0</v>
      </c>
      <c r="AF145">
        <f>step3_validation[[#This Row],[AI_FAC2]]</f>
        <v>8</v>
      </c>
      <c r="AG145" t="str">
        <f t="shared" si="63"/>
        <v>Support</v>
      </c>
      <c r="AH145">
        <f>survey_responses[[#This Row],[So với trước đây, tôi thấy cách tính thuế và các bậc thuế trong phương án mới đơn giản, dễ hiểu và dễ thực hiện hơn. - HUMAN-FAC2]]</f>
        <v>9</v>
      </c>
      <c r="AI145" t="str">
        <f t="shared" si="64"/>
        <v>Support</v>
      </c>
      <c r="AJ145" s="32">
        <f t="shared" si="65"/>
        <v>1</v>
      </c>
      <c r="AK145">
        <f>step3_validation[[#This Row],[AI_TRU1]]</f>
        <v>9</v>
      </c>
      <c r="AL145" t="str">
        <f t="shared" si="66"/>
        <v>Support</v>
      </c>
      <c r="AM145">
        <f>survey_responses[[#This Row],[Tôi tin rằng Nhà nước, cơ quan thuế sẽ thực thi chính sách mới một cách khách quan, công tâm và đối xử bình đẳng với mọi người nộp thuế.  - HUMAN-TRU1]]</f>
        <v>10</v>
      </c>
      <c r="AN145" t="str">
        <f t="shared" si="67"/>
        <v>Support</v>
      </c>
      <c r="AO145" s="32">
        <f t="shared" si="68"/>
        <v>1</v>
      </c>
      <c r="AP145">
        <f>step3_validation[[#This Row],[AI_TRU2]]</f>
        <v>9</v>
      </c>
      <c r="AQ145" t="str">
        <f t="shared" si="69"/>
        <v>Support</v>
      </c>
      <c r="AR145">
        <f>survey_responses[[#This Row],[Tôi thấy mức thuế tôi phải đóng theo phương án mới là công bằng (người thu nhập như tôi đóng mức này là hợp lý). - HUMAN-TRU2]]</f>
        <v>5</v>
      </c>
      <c r="AS145" t="str">
        <f t="shared" si="70"/>
        <v>Neutral</v>
      </c>
      <c r="AT145" s="32">
        <f t="shared" si="71"/>
        <v>4</v>
      </c>
      <c r="AU145">
        <f>step3_validation[[#This Row],[AI_TRU3]]</f>
        <v>8</v>
      </c>
      <c r="AV145" t="str">
        <f t="shared" si="72"/>
        <v>Support</v>
      </c>
      <c r="AW145">
        <f>survey_responses[[#This Row],[Tôi tin tưởng số tiền thuế tôi đóng sẽ được Nhà nước sử dụng hiệu quả để cải thiện dịch vụ công (y tế, đường xá...). - HUMAN-TRU3]]</f>
        <v>9</v>
      </c>
      <c r="AX145" t="str">
        <f t="shared" si="73"/>
        <v>Support</v>
      </c>
      <c r="AY145" s="32">
        <f t="shared" si="74"/>
        <v>1</v>
      </c>
      <c r="AZ145">
        <f>step3_validation[[#This Row],[AI_TRU4]]</f>
        <v>7</v>
      </c>
      <c r="BA145" t="str">
        <f t="shared" si="75"/>
        <v>Neutral</v>
      </c>
      <c r="BB145">
        <f>survey_responses[[#This Row],[Tôi thấy Nhà nước đã giải thích rõ ràng, minh bạch về lý do và mục tiêu của việc sửa đổi thuế lần này. - HUMAN-TRU4]]</f>
        <v>9</v>
      </c>
      <c r="BC145" t="str">
        <f t="shared" si="76"/>
        <v>Support</v>
      </c>
      <c r="BD145" s="32">
        <f t="shared" si="77"/>
        <v>2</v>
      </c>
      <c r="BE145">
        <f>step3_validation[[#This Row],[AI_OUT1]]</f>
        <v>9</v>
      </c>
      <c r="BF145" t="str">
        <f t="shared" si="78"/>
        <v>Support</v>
      </c>
      <c r="BG145">
        <f>survey_responses[[#This Row],[Sau khi xem xét các quyền lợi và nghĩa vụ, bạn có ủng hộ và tuân thủ chính sách mới hiện nay? - HUMAN-OUT1]]</f>
        <v>10</v>
      </c>
      <c r="BH145" t="str">
        <f t="shared" si="79"/>
        <v>Support</v>
      </c>
      <c r="BI145" s="32">
        <f t="shared" si="80"/>
        <v>1</v>
      </c>
    </row>
    <row r="146" spans="1:61" x14ac:dyDescent="0.45">
      <c r="A146" s="30">
        <f>step3_validation[[#This Row],[Persona_ID]]</f>
        <v>145</v>
      </c>
      <c r="B146" s="31">
        <f>step3_validation[[#This Row],[Used_Seed]]</f>
        <v>145</v>
      </c>
      <c r="C146" t="str">
        <f>step3_validation[[#This Row],[Gender]]</f>
        <v>Nữ</v>
      </c>
      <c r="D146" t="str">
        <f>survey_responses[[#This Row],[Giới tính của bạn:]]</f>
        <v>Nữ</v>
      </c>
      <c r="E146" t="str">
        <f>step3_validation[[#This Row],[Age_Group]]</f>
        <v>40 - 49</v>
      </c>
      <c r="F146" t="str">
        <f>survey_responses[[#This Row],[Độ tuổi của bạn:]]</f>
        <v>40 - 49</v>
      </c>
      <c r="G146" t="str">
        <f>step3_validation[[#This Row],[Region]]</f>
        <v>Thành thị</v>
      </c>
      <c r="H146" t="str">
        <f>survey_responses[[#This Row],[Khu vực bạn đang sinh sống:]]</f>
        <v>Thành thị</v>
      </c>
      <c r="I146" t="str">
        <f>step3_validation[[#This Row],[Education]]</f>
        <v>Đại học</v>
      </c>
      <c r="J146" t="str">
        <f>survey_responses[[#This Row],[Trình độ học vấn cao nhất:]]</f>
        <v>Đại học</v>
      </c>
      <c r="K146" t="str">
        <f>step3_validation[[#This Row],[Employment]]</f>
        <v>Chính thức</v>
      </c>
      <c r="L146" t="str">
        <f>survey_responses[[#This Row],[Tình trạng việc làm chính:]]</f>
        <v>Khu vực chính thức (Có Hợp đồng lao động, đóng BHXH)</v>
      </c>
      <c r="M146">
        <f>step3_validation[[#This Row],[Income_Mil]]</f>
        <v>60.613241688350683</v>
      </c>
      <c r="N146" t="str">
        <f>survey_responses[[#This Row],[Thu nhập bình quân tháng theo Hợp đồng lao động của bạn là bao nhiêu? (Vui lòng điền tổng thu nhập trước khi khấu trừ các loại Bảo hiểm (BHXH, BHYT, BHTN) và Thuế TNCN)]]</f>
        <v>Từ 48 - 70 triệu VNĐ</v>
      </c>
      <c r="O146">
        <f>step3_validation[[#This Row],[Dependents]]</f>
        <v>2</v>
      </c>
      <c r="P146" t="str">
        <f>survey_responses[[#This Row],[Số người phụ thuộc (con nhỏ, cha mẹ già...) đủ điều kiện giảm trừ gia cảnh:]]</f>
        <v>2 người</v>
      </c>
      <c r="Q146">
        <f>step3_validation[[#This Row],[AI_ENF1]]</f>
        <v>7</v>
      </c>
      <c r="R146" t="str">
        <f t="shared" si="54"/>
        <v>Neutral</v>
      </c>
      <c r="S146">
        <f>survey_responses[[#This Row],[Tôi tin rằng với các quy định quản lý thuế hiện nay, hành vi gian lận hoặc trốn thuế sẽ dễ dàng bị phát hiện và xử lý nghiêm. - HUMAN-ENF1]]</f>
        <v>10</v>
      </c>
      <c r="T146" t="str">
        <f t="shared" si="55"/>
        <v>Support</v>
      </c>
      <c r="U146" s="32">
        <f t="shared" si="56"/>
        <v>3</v>
      </c>
      <c r="V146">
        <f>step3_validation[[#This Row],[AI_ENF2]]</f>
        <v>6</v>
      </c>
      <c r="W146" t="str">
        <f t="shared" si="57"/>
        <v>Neutral</v>
      </c>
      <c r="X146">
        <f>survey_responses[[#This Row],[Tôi tin rằng Nhà nước, cơ quan thuế có đủ khả năng và công nghệ để phát hiện, xử lý nghiêm các hành vi trốn thuế. - HUMAN-ENF2]]</f>
        <v>10</v>
      </c>
      <c r="Y146" t="str">
        <f t="shared" si="58"/>
        <v>Support</v>
      </c>
      <c r="Z146" s="32">
        <f t="shared" si="59"/>
        <v>4</v>
      </c>
      <c r="AA146">
        <f>step3_validation[[#This Row],[AI_FAC1]]</f>
        <v>9</v>
      </c>
      <c r="AB146" t="str">
        <f t="shared" si="60"/>
        <v>Support</v>
      </c>
      <c r="AC146">
        <f>survey_responses[[#This Row],[Các thủ tục khai báo thuế VÀ/HOẶC quy trình làm việc với cơ quan thuế đơn giản, tiện lợi, nhanh chóng hơn so với trước đây. - HUMAN-FAC1]]</f>
        <v>9</v>
      </c>
      <c r="AD146" t="str">
        <f t="shared" si="61"/>
        <v>Support</v>
      </c>
      <c r="AE146" s="32">
        <f t="shared" si="62"/>
        <v>0</v>
      </c>
      <c r="AF146">
        <f>step3_validation[[#This Row],[AI_FAC2]]</f>
        <v>8</v>
      </c>
      <c r="AG146" t="str">
        <f t="shared" si="63"/>
        <v>Support</v>
      </c>
      <c r="AH146">
        <f>survey_responses[[#This Row],[So với trước đây, tôi thấy cách tính thuế và các bậc thuế trong phương án mới đơn giản, dễ hiểu và dễ thực hiện hơn. - HUMAN-FAC2]]</f>
        <v>6</v>
      </c>
      <c r="AI146" t="str">
        <f t="shared" si="64"/>
        <v>Neutral</v>
      </c>
      <c r="AJ146" s="32">
        <f t="shared" si="65"/>
        <v>2</v>
      </c>
      <c r="AK146">
        <f>step3_validation[[#This Row],[AI_TRU1]]</f>
        <v>9</v>
      </c>
      <c r="AL146" t="str">
        <f t="shared" si="66"/>
        <v>Support</v>
      </c>
      <c r="AM146">
        <f>survey_responses[[#This Row],[Tôi tin rằng Nhà nước, cơ quan thuế sẽ thực thi chính sách mới một cách khách quan, công tâm và đối xử bình đẳng với mọi người nộp thuế.  - HUMAN-TRU1]]</f>
        <v>6</v>
      </c>
      <c r="AN146" t="str">
        <f t="shared" si="67"/>
        <v>Neutral</v>
      </c>
      <c r="AO146" s="32">
        <f t="shared" si="68"/>
        <v>3</v>
      </c>
      <c r="AP146">
        <f>step3_validation[[#This Row],[AI_TRU2]]</f>
        <v>8</v>
      </c>
      <c r="AQ146" t="str">
        <f t="shared" si="69"/>
        <v>Support</v>
      </c>
      <c r="AR146">
        <f>survey_responses[[#This Row],[Tôi thấy mức thuế tôi phải đóng theo phương án mới là công bằng (người thu nhập như tôi đóng mức này là hợp lý). - HUMAN-TRU2]]</f>
        <v>3</v>
      </c>
      <c r="AS146" t="str">
        <f t="shared" si="70"/>
        <v>Oppose</v>
      </c>
      <c r="AT146" s="32">
        <f t="shared" si="71"/>
        <v>5</v>
      </c>
      <c r="AU146">
        <f>step3_validation[[#This Row],[AI_TRU3]]</f>
        <v>9</v>
      </c>
      <c r="AV146" t="str">
        <f t="shared" si="72"/>
        <v>Support</v>
      </c>
      <c r="AW146">
        <f>survey_responses[[#This Row],[Tôi tin tưởng số tiền thuế tôi đóng sẽ được Nhà nước sử dụng hiệu quả để cải thiện dịch vụ công (y tế, đường xá...). - HUMAN-TRU3]]</f>
        <v>5</v>
      </c>
      <c r="AX146" t="str">
        <f t="shared" si="73"/>
        <v>Neutral</v>
      </c>
      <c r="AY146" s="32">
        <f t="shared" si="74"/>
        <v>4</v>
      </c>
      <c r="AZ146">
        <f>step3_validation[[#This Row],[AI_TRU4]]</f>
        <v>8</v>
      </c>
      <c r="BA146" t="str">
        <f t="shared" si="75"/>
        <v>Support</v>
      </c>
      <c r="BB146">
        <f>survey_responses[[#This Row],[Tôi thấy Nhà nước đã giải thích rõ ràng, minh bạch về lý do và mục tiêu của việc sửa đổi thuế lần này. - HUMAN-TRU4]]</f>
        <v>5</v>
      </c>
      <c r="BC146" t="str">
        <f t="shared" si="76"/>
        <v>Neutral</v>
      </c>
      <c r="BD146" s="32">
        <f t="shared" si="77"/>
        <v>3</v>
      </c>
      <c r="BE146">
        <f>step3_validation[[#This Row],[AI_OUT1]]</f>
        <v>9</v>
      </c>
      <c r="BF146" t="str">
        <f t="shared" si="78"/>
        <v>Support</v>
      </c>
      <c r="BG146">
        <f>survey_responses[[#This Row],[Sau khi xem xét các quyền lợi và nghĩa vụ, bạn có ủng hộ và tuân thủ chính sách mới hiện nay? - HUMAN-OUT1]]</f>
        <v>1</v>
      </c>
      <c r="BH146" t="str">
        <f t="shared" si="79"/>
        <v>Oppose</v>
      </c>
      <c r="BI146" s="32">
        <f t="shared" si="80"/>
        <v>8</v>
      </c>
    </row>
    <row r="147" spans="1:61" x14ac:dyDescent="0.45">
      <c r="A147" s="30">
        <f>step3_validation[[#This Row],[Persona_ID]]</f>
        <v>146</v>
      </c>
      <c r="B147" s="31">
        <f>step3_validation[[#This Row],[Used_Seed]]</f>
        <v>146</v>
      </c>
      <c r="C147" t="str">
        <f>step3_validation[[#This Row],[Gender]]</f>
        <v>Nữ</v>
      </c>
      <c r="D147" t="str">
        <f>survey_responses[[#This Row],[Giới tính của bạn:]]</f>
        <v>Nữ</v>
      </c>
      <c r="E147" t="str">
        <f>step3_validation[[#This Row],[Age_Group]]</f>
        <v>40 - 49</v>
      </c>
      <c r="F147" t="str">
        <f>survey_responses[[#This Row],[Độ tuổi của bạn:]]</f>
        <v>40 - 49</v>
      </c>
      <c r="G147" t="str">
        <f>step3_validation[[#This Row],[Region]]</f>
        <v>Thành thị</v>
      </c>
      <c r="H147" t="str">
        <f>survey_responses[[#This Row],[Khu vực bạn đang sinh sống:]]</f>
        <v>Thành thị</v>
      </c>
      <c r="I147" t="str">
        <f>step3_validation[[#This Row],[Education]]</f>
        <v>Đại học</v>
      </c>
      <c r="J147" t="str">
        <f>survey_responses[[#This Row],[Trình độ học vấn cao nhất:]]</f>
        <v>Đại học</v>
      </c>
      <c r="K147" t="str">
        <f>step3_validation[[#This Row],[Employment]]</f>
        <v>Chính thức</v>
      </c>
      <c r="L147" t="str">
        <f>survey_responses[[#This Row],[Tình trạng việc làm chính:]]</f>
        <v>Khu vực chính thức (Có Hợp đồng lao động, đóng BHXH)</v>
      </c>
      <c r="M147">
        <f>step3_validation[[#This Row],[Income_Mil]]</f>
        <v>94.815625324874532</v>
      </c>
      <c r="N147" t="str">
        <f>survey_responses[[#This Row],[Thu nhập bình quân tháng theo Hợp đồng lao động của bạn là bao nhiêu? (Vui lòng điền tổng thu nhập trước khi khấu trừ các loại Bảo hiểm (BHXH, BHYT, BHTN) và Thuế TNCN)]]</f>
        <v>Từ 70 - 102 triệu VNĐ</v>
      </c>
      <c r="O147">
        <f>step3_validation[[#This Row],[Dependents]]</f>
        <v>3</v>
      </c>
      <c r="P147" t="str">
        <f>survey_responses[[#This Row],[Số người phụ thuộc (con nhỏ, cha mẹ già...) đủ điều kiện giảm trừ gia cảnh:]]</f>
        <v>3 người</v>
      </c>
      <c r="Q147">
        <f>step3_validation[[#This Row],[AI_ENF1]]</f>
        <v>8</v>
      </c>
      <c r="R147" t="str">
        <f t="shared" si="54"/>
        <v>Support</v>
      </c>
      <c r="S147">
        <f>survey_responses[[#This Row],[Tôi tin rằng với các quy định quản lý thuế hiện nay, hành vi gian lận hoặc trốn thuế sẽ dễ dàng bị phát hiện và xử lý nghiêm. - HUMAN-ENF1]]</f>
        <v>8</v>
      </c>
      <c r="T147" t="str">
        <f t="shared" si="55"/>
        <v>Support</v>
      </c>
      <c r="U147" s="32">
        <f t="shared" si="56"/>
        <v>0</v>
      </c>
      <c r="V147">
        <f>step3_validation[[#This Row],[AI_ENF2]]</f>
        <v>9</v>
      </c>
      <c r="W147" t="str">
        <f t="shared" si="57"/>
        <v>Support</v>
      </c>
      <c r="X147">
        <f>survey_responses[[#This Row],[Tôi tin rằng Nhà nước, cơ quan thuế có đủ khả năng và công nghệ để phát hiện, xử lý nghiêm các hành vi trốn thuế. - HUMAN-ENF2]]</f>
        <v>8</v>
      </c>
      <c r="Y147" t="str">
        <f t="shared" si="58"/>
        <v>Support</v>
      </c>
      <c r="Z147" s="32">
        <f t="shared" si="59"/>
        <v>1</v>
      </c>
      <c r="AA147">
        <f>step3_validation[[#This Row],[AI_FAC1]]</f>
        <v>8</v>
      </c>
      <c r="AB147" t="str">
        <f t="shared" si="60"/>
        <v>Support</v>
      </c>
      <c r="AC147">
        <f>survey_responses[[#This Row],[Các thủ tục khai báo thuế VÀ/HOẶC quy trình làm việc với cơ quan thuế đơn giản, tiện lợi, nhanh chóng hơn so với trước đây. - HUMAN-FAC1]]</f>
        <v>5</v>
      </c>
      <c r="AD147" t="str">
        <f t="shared" si="61"/>
        <v>Neutral</v>
      </c>
      <c r="AE147" s="32">
        <f t="shared" si="62"/>
        <v>3</v>
      </c>
      <c r="AF147">
        <f>step3_validation[[#This Row],[AI_FAC2]]</f>
        <v>9</v>
      </c>
      <c r="AG147" t="str">
        <f t="shared" si="63"/>
        <v>Support</v>
      </c>
      <c r="AH147">
        <f>survey_responses[[#This Row],[So với trước đây, tôi thấy cách tính thuế và các bậc thuế trong phương án mới đơn giản, dễ hiểu và dễ thực hiện hơn. - HUMAN-FAC2]]</f>
        <v>5</v>
      </c>
      <c r="AI147" t="str">
        <f t="shared" si="64"/>
        <v>Neutral</v>
      </c>
      <c r="AJ147" s="32">
        <f t="shared" si="65"/>
        <v>4</v>
      </c>
      <c r="AK147">
        <f>step3_validation[[#This Row],[AI_TRU1]]</f>
        <v>8</v>
      </c>
      <c r="AL147" t="str">
        <f t="shared" si="66"/>
        <v>Support</v>
      </c>
      <c r="AM147">
        <f>survey_responses[[#This Row],[Tôi tin rằng Nhà nước, cơ quan thuế sẽ thực thi chính sách mới một cách khách quan, công tâm và đối xử bình đẳng với mọi người nộp thuế.  - HUMAN-TRU1]]</f>
        <v>5</v>
      </c>
      <c r="AN147" t="str">
        <f t="shared" si="67"/>
        <v>Neutral</v>
      </c>
      <c r="AO147" s="32">
        <f t="shared" si="68"/>
        <v>3</v>
      </c>
      <c r="AP147">
        <f>step3_validation[[#This Row],[AI_TRU2]]</f>
        <v>9</v>
      </c>
      <c r="AQ147" t="str">
        <f t="shared" si="69"/>
        <v>Support</v>
      </c>
      <c r="AR147">
        <f>survey_responses[[#This Row],[Tôi thấy mức thuế tôi phải đóng theo phương án mới là công bằng (người thu nhập như tôi đóng mức này là hợp lý). - HUMAN-TRU2]]</f>
        <v>3</v>
      </c>
      <c r="AS147" t="str">
        <f t="shared" si="70"/>
        <v>Oppose</v>
      </c>
      <c r="AT147" s="32">
        <f t="shared" si="71"/>
        <v>6</v>
      </c>
      <c r="AU147">
        <f>step3_validation[[#This Row],[AI_TRU3]]</f>
        <v>8</v>
      </c>
      <c r="AV147" t="str">
        <f t="shared" si="72"/>
        <v>Support</v>
      </c>
      <c r="AW147">
        <f>survey_responses[[#This Row],[Tôi tin tưởng số tiền thuế tôi đóng sẽ được Nhà nước sử dụng hiệu quả để cải thiện dịch vụ công (y tế, đường xá...). - HUMAN-TRU3]]</f>
        <v>5</v>
      </c>
      <c r="AX147" t="str">
        <f t="shared" si="73"/>
        <v>Neutral</v>
      </c>
      <c r="AY147" s="32">
        <f t="shared" si="74"/>
        <v>3</v>
      </c>
      <c r="AZ147">
        <f>step3_validation[[#This Row],[AI_TRU4]]</f>
        <v>9</v>
      </c>
      <c r="BA147" t="str">
        <f t="shared" si="75"/>
        <v>Support</v>
      </c>
      <c r="BB147">
        <f>survey_responses[[#This Row],[Tôi thấy Nhà nước đã giải thích rõ ràng, minh bạch về lý do và mục tiêu của việc sửa đổi thuế lần này. - HUMAN-TRU4]]</f>
        <v>5</v>
      </c>
      <c r="BC147" t="str">
        <f t="shared" si="76"/>
        <v>Neutral</v>
      </c>
      <c r="BD147" s="32">
        <f t="shared" si="77"/>
        <v>4</v>
      </c>
      <c r="BE147">
        <f>step3_validation[[#This Row],[AI_OUT1]]</f>
        <v>9</v>
      </c>
      <c r="BF147" t="str">
        <f t="shared" si="78"/>
        <v>Support</v>
      </c>
      <c r="BG147">
        <f>survey_responses[[#This Row],[Sau khi xem xét các quyền lợi và nghĩa vụ, bạn có ủng hộ và tuân thủ chính sách mới hiện nay? - HUMAN-OUT1]]</f>
        <v>5</v>
      </c>
      <c r="BH147" t="str">
        <f t="shared" si="79"/>
        <v>Neutral</v>
      </c>
      <c r="BI147" s="32">
        <f t="shared" si="80"/>
        <v>4</v>
      </c>
    </row>
    <row r="148" spans="1:61" x14ac:dyDescent="0.45">
      <c r="A148" s="30">
        <f>step3_validation[[#This Row],[Persona_ID]]</f>
        <v>147</v>
      </c>
      <c r="B148" s="31">
        <f>step3_validation[[#This Row],[Used_Seed]]</f>
        <v>147</v>
      </c>
      <c r="C148" t="str">
        <f>step3_validation[[#This Row],[Gender]]</f>
        <v>Nữ</v>
      </c>
      <c r="D148" t="str">
        <f>survey_responses[[#This Row],[Giới tính của bạn:]]</f>
        <v>Nữ</v>
      </c>
      <c r="E148" t="str">
        <f>step3_validation[[#This Row],[Age_Group]]</f>
        <v>55 - 64</v>
      </c>
      <c r="F148" t="str">
        <f>survey_responses[[#This Row],[Độ tuổi của bạn:]]</f>
        <v>55 - 64</v>
      </c>
      <c r="G148" t="str">
        <f>step3_validation[[#This Row],[Region]]</f>
        <v>Thành thị</v>
      </c>
      <c r="H148" t="str">
        <f>survey_responses[[#This Row],[Khu vực bạn đang sinh sống:]]</f>
        <v>Thành thị</v>
      </c>
      <c r="I148" t="str">
        <f>step3_validation[[#This Row],[Education]]</f>
        <v>Sau Đại học</v>
      </c>
      <c r="J148" t="str">
        <f>survey_responses[[#This Row],[Trình độ học vấn cao nhất:]]</f>
        <v>Sau Đại học</v>
      </c>
      <c r="K148" t="str">
        <f>step3_validation[[#This Row],[Employment]]</f>
        <v>Chính thức</v>
      </c>
      <c r="L148" t="str">
        <f>survey_responses[[#This Row],[Tình trạng việc làm chính:]]</f>
        <v>Khu vực chính thức (Có Hợp đồng lao động, đóng BHXH)</v>
      </c>
      <c r="M148">
        <f>step3_validation[[#This Row],[Income_Mil]]</f>
        <v>248.44402883398766</v>
      </c>
      <c r="N148" t="str">
        <f>survey_responses[[#This Row],[Thu nhập bình quân tháng theo Hợp đồng lao động của bạn là bao nhiêu? (Vui lòng điền tổng thu nhập trước khi khấu trừ các loại Bảo hiểm (BHXH, BHYT, BHTN) và Thuế TNCN)]]</f>
        <v>Trên 102 triệu VNĐ</v>
      </c>
      <c r="O148">
        <f>step3_validation[[#This Row],[Dependents]]</f>
        <v>0</v>
      </c>
      <c r="P148" t="str">
        <f>survey_responses[[#This Row],[Số người phụ thuộc (con nhỏ, cha mẹ già...) đủ điều kiện giảm trừ gia cảnh:]]</f>
        <v>0 người</v>
      </c>
      <c r="Q148">
        <f>step3_validation[[#This Row],[AI_ENF1]]</f>
        <v>8</v>
      </c>
      <c r="R148" t="str">
        <f t="shared" si="54"/>
        <v>Support</v>
      </c>
      <c r="S148">
        <f>survey_responses[[#This Row],[Tôi tin rằng với các quy định quản lý thuế hiện nay, hành vi gian lận hoặc trốn thuế sẽ dễ dàng bị phát hiện và xử lý nghiêm. - HUMAN-ENF1]]</f>
        <v>7</v>
      </c>
      <c r="T148" t="str">
        <f t="shared" si="55"/>
        <v>Neutral</v>
      </c>
      <c r="U148" s="32">
        <f t="shared" si="56"/>
        <v>1</v>
      </c>
      <c r="V148">
        <f>step3_validation[[#This Row],[AI_ENF2]]</f>
        <v>9</v>
      </c>
      <c r="W148" t="str">
        <f t="shared" si="57"/>
        <v>Support</v>
      </c>
      <c r="X148">
        <f>survey_responses[[#This Row],[Tôi tin rằng Nhà nước, cơ quan thuế có đủ khả năng và công nghệ để phát hiện, xử lý nghiêm các hành vi trốn thuế. - HUMAN-ENF2]]</f>
        <v>7</v>
      </c>
      <c r="Y148" t="str">
        <f t="shared" si="58"/>
        <v>Neutral</v>
      </c>
      <c r="Z148" s="32">
        <f t="shared" si="59"/>
        <v>2</v>
      </c>
      <c r="AA148">
        <f>step3_validation[[#This Row],[AI_FAC1]]</f>
        <v>9</v>
      </c>
      <c r="AB148" t="str">
        <f t="shared" si="60"/>
        <v>Support</v>
      </c>
      <c r="AC148">
        <f>survey_responses[[#This Row],[Các thủ tục khai báo thuế VÀ/HOẶC quy trình làm việc với cơ quan thuế đơn giản, tiện lợi, nhanh chóng hơn so với trước đây. - HUMAN-FAC1]]</f>
        <v>1</v>
      </c>
      <c r="AD148" t="str">
        <f t="shared" si="61"/>
        <v>Oppose</v>
      </c>
      <c r="AE148" s="32">
        <f t="shared" si="62"/>
        <v>8</v>
      </c>
      <c r="AF148">
        <f>step3_validation[[#This Row],[AI_FAC2]]</f>
        <v>8</v>
      </c>
      <c r="AG148" t="str">
        <f t="shared" si="63"/>
        <v>Support</v>
      </c>
      <c r="AH148">
        <f>survey_responses[[#This Row],[So với trước đây, tôi thấy cách tính thuế và các bậc thuế trong phương án mới đơn giản, dễ hiểu và dễ thực hiện hơn. - HUMAN-FAC2]]</f>
        <v>6</v>
      </c>
      <c r="AI148" t="str">
        <f t="shared" si="64"/>
        <v>Neutral</v>
      </c>
      <c r="AJ148" s="32">
        <f t="shared" si="65"/>
        <v>2</v>
      </c>
      <c r="AK148">
        <f>step3_validation[[#This Row],[AI_TRU1]]</f>
        <v>9</v>
      </c>
      <c r="AL148" t="str">
        <f t="shared" si="66"/>
        <v>Support</v>
      </c>
      <c r="AM148">
        <f>survey_responses[[#This Row],[Tôi tin rằng Nhà nước, cơ quan thuế sẽ thực thi chính sách mới một cách khách quan, công tâm và đối xử bình đẳng với mọi người nộp thuế.  - HUMAN-TRU1]]</f>
        <v>3</v>
      </c>
      <c r="AN148" t="str">
        <f t="shared" si="67"/>
        <v>Oppose</v>
      </c>
      <c r="AO148" s="32">
        <f t="shared" si="68"/>
        <v>6</v>
      </c>
      <c r="AP148">
        <f>step3_validation[[#This Row],[AI_TRU2]]</f>
        <v>8</v>
      </c>
      <c r="AQ148" t="str">
        <f t="shared" si="69"/>
        <v>Support</v>
      </c>
      <c r="AR148">
        <f>survey_responses[[#This Row],[Tôi thấy mức thuế tôi phải đóng theo phương án mới là công bằng (người thu nhập như tôi đóng mức này là hợp lý). - HUMAN-TRU2]]</f>
        <v>5</v>
      </c>
      <c r="AS148" t="str">
        <f t="shared" si="70"/>
        <v>Neutral</v>
      </c>
      <c r="AT148" s="32">
        <f t="shared" si="71"/>
        <v>3</v>
      </c>
      <c r="AU148">
        <f>step3_validation[[#This Row],[AI_TRU3]]</f>
        <v>9</v>
      </c>
      <c r="AV148" t="str">
        <f t="shared" si="72"/>
        <v>Support</v>
      </c>
      <c r="AW148">
        <f>survey_responses[[#This Row],[Tôi tin tưởng số tiền thuế tôi đóng sẽ được Nhà nước sử dụng hiệu quả để cải thiện dịch vụ công (y tế, đường xá...). - HUMAN-TRU3]]</f>
        <v>1</v>
      </c>
      <c r="AX148" t="str">
        <f t="shared" si="73"/>
        <v>Oppose</v>
      </c>
      <c r="AY148" s="32">
        <f t="shared" si="74"/>
        <v>8</v>
      </c>
      <c r="AZ148">
        <f>step3_validation[[#This Row],[AI_TRU4]]</f>
        <v>8</v>
      </c>
      <c r="BA148" t="str">
        <f t="shared" si="75"/>
        <v>Support</v>
      </c>
      <c r="BB148">
        <f>survey_responses[[#This Row],[Tôi thấy Nhà nước đã giải thích rõ ràng, minh bạch về lý do và mục tiêu của việc sửa đổi thuế lần này. - HUMAN-TRU4]]</f>
        <v>4</v>
      </c>
      <c r="BC148" t="str">
        <f t="shared" si="76"/>
        <v>Oppose</v>
      </c>
      <c r="BD148" s="32">
        <f t="shared" si="77"/>
        <v>4</v>
      </c>
      <c r="BE148">
        <f>step3_validation[[#This Row],[AI_OUT1]]</f>
        <v>9</v>
      </c>
      <c r="BF148" t="str">
        <f t="shared" si="78"/>
        <v>Support</v>
      </c>
      <c r="BG148">
        <f>survey_responses[[#This Row],[Sau khi xem xét các quyền lợi và nghĩa vụ, bạn có ủng hộ và tuân thủ chính sách mới hiện nay? - HUMAN-OUT1]]</f>
        <v>5</v>
      </c>
      <c r="BH148" t="str">
        <f t="shared" si="79"/>
        <v>Neutral</v>
      </c>
      <c r="BI148" s="32">
        <f t="shared" si="80"/>
        <v>4</v>
      </c>
    </row>
    <row r="149" spans="1:61" x14ac:dyDescent="0.45">
      <c r="A149" s="30">
        <f>step3_validation[[#This Row],[Persona_ID]]</f>
        <v>148</v>
      </c>
      <c r="B149" s="31">
        <f>step3_validation[[#This Row],[Used_Seed]]</f>
        <v>148</v>
      </c>
      <c r="C149" t="str">
        <f>step3_validation[[#This Row],[Gender]]</f>
        <v>Nam</v>
      </c>
      <c r="D149" t="str">
        <f>survey_responses[[#This Row],[Giới tính của bạn:]]</f>
        <v>Nam</v>
      </c>
      <c r="E149" t="str">
        <f>step3_validation[[#This Row],[Age_Group]]</f>
        <v>25 - 29</v>
      </c>
      <c r="F149" t="str">
        <f>survey_responses[[#This Row],[Độ tuổi của bạn:]]</f>
        <v>25 - 29</v>
      </c>
      <c r="G149" t="str">
        <f>step3_validation[[#This Row],[Region]]</f>
        <v>Thành thị</v>
      </c>
      <c r="H149" t="str">
        <f>survey_responses[[#This Row],[Khu vực bạn đang sinh sống:]]</f>
        <v>Thành thị</v>
      </c>
      <c r="I149" t="str">
        <f>step3_validation[[#This Row],[Education]]</f>
        <v>Đại học</v>
      </c>
      <c r="J149" t="str">
        <f>survey_responses[[#This Row],[Trình độ học vấn cao nhất:]]</f>
        <v>Đại học</v>
      </c>
      <c r="K149" t="str">
        <f>step3_validation[[#This Row],[Employment]]</f>
        <v>Chính thức</v>
      </c>
      <c r="L149" t="str">
        <f>survey_responses[[#This Row],[Tình trạng việc làm chính:]]</f>
        <v>Khu vực chính thức (Có Hợp đồng lao động, đóng BHXH)</v>
      </c>
      <c r="M149">
        <f>step3_validation[[#This Row],[Income_Mil]]</f>
        <v>20.549796990208112</v>
      </c>
      <c r="N149" t="str">
        <f>survey_responses[[#This Row],[Thu nhập bình quân tháng theo Hợp đồng lao động của bạn là bao nhiêu? (Vui lòng điền tổng thu nhập trước khi khấu trừ các loại Bảo hiểm (BHXH, BHYT, BHTN) và Thuế TNCN)]]</f>
        <v>Từ 18 - 23 triệu VNĐ</v>
      </c>
      <c r="O149">
        <f>step3_validation[[#This Row],[Dependents]]</f>
        <v>0</v>
      </c>
      <c r="P149" t="str">
        <f>survey_responses[[#This Row],[Số người phụ thuộc (con nhỏ, cha mẹ già...) đủ điều kiện giảm trừ gia cảnh:]]</f>
        <v>0 người</v>
      </c>
      <c r="Q149">
        <f>step3_validation[[#This Row],[AI_ENF1]]</f>
        <v>5</v>
      </c>
      <c r="R149" t="str">
        <f t="shared" si="54"/>
        <v>Neutral</v>
      </c>
      <c r="S149">
        <f>survey_responses[[#This Row],[Tôi tin rằng với các quy định quản lý thuế hiện nay, hành vi gian lận hoặc trốn thuế sẽ dễ dàng bị phát hiện và xử lý nghiêm. - HUMAN-ENF1]]</f>
        <v>6</v>
      </c>
      <c r="T149" t="str">
        <f t="shared" si="55"/>
        <v>Neutral</v>
      </c>
      <c r="U149" s="32">
        <f t="shared" si="56"/>
        <v>1</v>
      </c>
      <c r="V149">
        <f>step3_validation[[#This Row],[AI_ENF2]]</f>
        <v>6</v>
      </c>
      <c r="W149" t="str">
        <f t="shared" si="57"/>
        <v>Neutral</v>
      </c>
      <c r="X149">
        <f>survey_responses[[#This Row],[Tôi tin rằng Nhà nước, cơ quan thuế có đủ khả năng và công nghệ để phát hiện, xử lý nghiêm các hành vi trốn thuế. - HUMAN-ENF2]]</f>
        <v>6</v>
      </c>
      <c r="Y149" t="str">
        <f t="shared" si="58"/>
        <v>Neutral</v>
      </c>
      <c r="Z149" s="32">
        <f t="shared" si="59"/>
        <v>0</v>
      </c>
      <c r="AA149">
        <f>step3_validation[[#This Row],[AI_FAC1]]</f>
        <v>8</v>
      </c>
      <c r="AB149" t="str">
        <f t="shared" si="60"/>
        <v>Support</v>
      </c>
      <c r="AC149">
        <f>survey_responses[[#This Row],[Các thủ tục khai báo thuế VÀ/HOẶC quy trình làm việc với cơ quan thuế đơn giản, tiện lợi, nhanh chóng hơn so với trước đây. - HUMAN-FAC1]]</f>
        <v>5</v>
      </c>
      <c r="AD149" t="str">
        <f t="shared" si="61"/>
        <v>Neutral</v>
      </c>
      <c r="AE149" s="32">
        <f t="shared" si="62"/>
        <v>3</v>
      </c>
      <c r="AF149">
        <f>step3_validation[[#This Row],[AI_FAC2]]</f>
        <v>9</v>
      </c>
      <c r="AG149" t="str">
        <f t="shared" si="63"/>
        <v>Support</v>
      </c>
      <c r="AH149">
        <f>survey_responses[[#This Row],[So với trước đây, tôi thấy cách tính thuế và các bậc thuế trong phương án mới đơn giản, dễ hiểu và dễ thực hiện hơn. - HUMAN-FAC2]]</f>
        <v>7</v>
      </c>
      <c r="AI149" t="str">
        <f t="shared" si="64"/>
        <v>Neutral</v>
      </c>
      <c r="AJ149" s="32">
        <f t="shared" si="65"/>
        <v>2</v>
      </c>
      <c r="AK149">
        <f>step3_validation[[#This Row],[AI_TRU1]]</f>
        <v>7</v>
      </c>
      <c r="AL149" t="str">
        <f t="shared" si="66"/>
        <v>Neutral</v>
      </c>
      <c r="AM149">
        <f>survey_responses[[#This Row],[Tôi tin rằng Nhà nước, cơ quan thuế sẽ thực thi chính sách mới một cách khách quan, công tâm và đối xử bình đẳng với mọi người nộp thuế.  - HUMAN-TRU1]]</f>
        <v>5</v>
      </c>
      <c r="AN149" t="str">
        <f t="shared" si="67"/>
        <v>Neutral</v>
      </c>
      <c r="AO149" s="32">
        <f t="shared" si="68"/>
        <v>2</v>
      </c>
      <c r="AP149">
        <f>step3_validation[[#This Row],[AI_TRU2]]</f>
        <v>8</v>
      </c>
      <c r="AQ149" t="str">
        <f t="shared" si="69"/>
        <v>Support</v>
      </c>
      <c r="AR149">
        <f>survey_responses[[#This Row],[Tôi thấy mức thuế tôi phải đóng theo phương án mới là công bằng (người thu nhập như tôi đóng mức này là hợp lý). - HUMAN-TRU2]]</f>
        <v>7</v>
      </c>
      <c r="AS149" t="str">
        <f t="shared" si="70"/>
        <v>Neutral</v>
      </c>
      <c r="AT149" s="32">
        <f t="shared" si="71"/>
        <v>1</v>
      </c>
      <c r="AU149">
        <f>step3_validation[[#This Row],[AI_TRU3]]</f>
        <v>6</v>
      </c>
      <c r="AV149" t="str">
        <f t="shared" si="72"/>
        <v>Neutral</v>
      </c>
      <c r="AW149">
        <f>survey_responses[[#This Row],[Tôi tin tưởng số tiền thuế tôi đóng sẽ được Nhà nước sử dụng hiệu quả để cải thiện dịch vụ công (y tế, đường xá...). - HUMAN-TRU3]]</f>
        <v>5</v>
      </c>
      <c r="AX149" t="str">
        <f t="shared" si="73"/>
        <v>Neutral</v>
      </c>
      <c r="AY149" s="32">
        <f t="shared" si="74"/>
        <v>1</v>
      </c>
      <c r="AZ149">
        <f>step3_validation[[#This Row],[AI_TRU4]]</f>
        <v>7</v>
      </c>
      <c r="BA149" t="str">
        <f t="shared" si="75"/>
        <v>Neutral</v>
      </c>
      <c r="BB149">
        <f>survey_responses[[#This Row],[Tôi thấy Nhà nước đã giải thích rõ ràng, minh bạch về lý do và mục tiêu của việc sửa đổi thuế lần này. - HUMAN-TRU4]]</f>
        <v>6</v>
      </c>
      <c r="BC149" t="str">
        <f t="shared" si="76"/>
        <v>Neutral</v>
      </c>
      <c r="BD149" s="32">
        <f t="shared" si="77"/>
        <v>1</v>
      </c>
      <c r="BE149">
        <f>step3_validation[[#This Row],[AI_OUT1]]</f>
        <v>8</v>
      </c>
      <c r="BF149" t="str">
        <f t="shared" si="78"/>
        <v>Support</v>
      </c>
      <c r="BG149">
        <f>survey_responses[[#This Row],[Sau khi xem xét các quyền lợi và nghĩa vụ, bạn có ủng hộ và tuân thủ chính sách mới hiện nay? - HUMAN-OUT1]]</f>
        <v>7</v>
      </c>
      <c r="BH149" t="str">
        <f t="shared" si="79"/>
        <v>Neutral</v>
      </c>
      <c r="BI149" s="32">
        <f t="shared" si="80"/>
        <v>1</v>
      </c>
    </row>
    <row r="150" spans="1:61" x14ac:dyDescent="0.45">
      <c r="A150" s="30">
        <f>step3_validation[[#This Row],[Persona_ID]]</f>
        <v>149</v>
      </c>
      <c r="B150" s="31">
        <f>step3_validation[[#This Row],[Used_Seed]]</f>
        <v>149</v>
      </c>
      <c r="C150" t="str">
        <f>step3_validation[[#This Row],[Gender]]</f>
        <v>Nữ</v>
      </c>
      <c r="D150" t="str">
        <f>survey_responses[[#This Row],[Giới tính của bạn:]]</f>
        <v>Nữ</v>
      </c>
      <c r="E150" t="str">
        <f>step3_validation[[#This Row],[Age_Group]]</f>
        <v>40 - 49</v>
      </c>
      <c r="F150" t="str">
        <f>survey_responses[[#This Row],[Độ tuổi của bạn:]]</f>
        <v>40 - 49</v>
      </c>
      <c r="G150" t="str">
        <f>step3_validation[[#This Row],[Region]]</f>
        <v>Thành thị</v>
      </c>
      <c r="H150" t="str">
        <f>survey_responses[[#This Row],[Khu vực bạn đang sinh sống:]]</f>
        <v>Thành thị</v>
      </c>
      <c r="I150" t="str">
        <f>step3_validation[[#This Row],[Education]]</f>
        <v>Đại học</v>
      </c>
      <c r="J150" t="str">
        <f>survey_responses[[#This Row],[Trình độ học vấn cao nhất:]]</f>
        <v>Đại học</v>
      </c>
      <c r="K150" t="str">
        <f>step3_validation[[#This Row],[Employment]]</f>
        <v>Chính thức</v>
      </c>
      <c r="L150" t="str">
        <f>survey_responses[[#This Row],[Tình trạng việc làm chính:]]</f>
        <v>Khu vực chính thức (Có Hợp đồng lao động, đóng BHXH)</v>
      </c>
      <c r="M150">
        <f>step3_validation[[#This Row],[Income_Mil]]</f>
        <v>114.13980357854491</v>
      </c>
      <c r="N150" t="str">
        <f>survey_responses[[#This Row],[Thu nhập bình quân tháng theo Hợp đồng lao động của bạn là bao nhiêu? (Vui lòng điền tổng thu nhập trước khi khấu trừ các loại Bảo hiểm (BHXH, BHYT, BHTN) và Thuế TNCN)]]</f>
        <v>Trên 102 triệu VNĐ</v>
      </c>
      <c r="O150">
        <f>step3_validation[[#This Row],[Dependents]]</f>
        <v>3</v>
      </c>
      <c r="P150" t="str">
        <f>survey_responses[[#This Row],[Số người phụ thuộc (con nhỏ, cha mẹ già...) đủ điều kiện giảm trừ gia cảnh:]]</f>
        <v>3 người</v>
      </c>
      <c r="Q150">
        <f>step3_validation[[#This Row],[AI_ENF1]]</f>
        <v>8</v>
      </c>
      <c r="R150" t="str">
        <f t="shared" si="54"/>
        <v>Support</v>
      </c>
      <c r="S150">
        <f>survey_responses[[#This Row],[Tôi tin rằng với các quy định quản lý thuế hiện nay, hành vi gian lận hoặc trốn thuế sẽ dễ dàng bị phát hiện và xử lý nghiêm. - HUMAN-ENF1]]</f>
        <v>10</v>
      </c>
      <c r="T150" t="str">
        <f t="shared" si="55"/>
        <v>Support</v>
      </c>
      <c r="U150" s="32">
        <f t="shared" si="56"/>
        <v>2</v>
      </c>
      <c r="V150">
        <f>step3_validation[[#This Row],[AI_ENF2]]</f>
        <v>7</v>
      </c>
      <c r="W150" t="str">
        <f t="shared" si="57"/>
        <v>Neutral</v>
      </c>
      <c r="X150">
        <f>survey_responses[[#This Row],[Tôi tin rằng Nhà nước, cơ quan thuế có đủ khả năng và công nghệ để phát hiện, xử lý nghiêm các hành vi trốn thuế. - HUMAN-ENF2]]</f>
        <v>10</v>
      </c>
      <c r="Y150" t="str">
        <f t="shared" si="58"/>
        <v>Support</v>
      </c>
      <c r="Z150" s="32">
        <f t="shared" si="59"/>
        <v>3</v>
      </c>
      <c r="AA150">
        <f>step3_validation[[#This Row],[AI_FAC1]]</f>
        <v>9</v>
      </c>
      <c r="AB150" t="str">
        <f t="shared" si="60"/>
        <v>Support</v>
      </c>
      <c r="AC150">
        <f>survey_responses[[#This Row],[Các thủ tục khai báo thuế VÀ/HOẶC quy trình làm việc với cơ quan thuế đơn giản, tiện lợi, nhanh chóng hơn so với trước đây. - HUMAN-FAC1]]</f>
        <v>7</v>
      </c>
      <c r="AD150" t="str">
        <f t="shared" si="61"/>
        <v>Neutral</v>
      </c>
      <c r="AE150" s="32">
        <f t="shared" si="62"/>
        <v>2</v>
      </c>
      <c r="AF150">
        <f>step3_validation[[#This Row],[AI_FAC2]]</f>
        <v>8</v>
      </c>
      <c r="AG150" t="str">
        <f t="shared" si="63"/>
        <v>Support</v>
      </c>
      <c r="AH150">
        <f>survey_responses[[#This Row],[So với trước đây, tôi thấy cách tính thuế và các bậc thuế trong phương án mới đơn giản, dễ hiểu và dễ thực hiện hơn. - HUMAN-FAC2]]</f>
        <v>8</v>
      </c>
      <c r="AI150" t="str">
        <f t="shared" si="64"/>
        <v>Support</v>
      </c>
      <c r="AJ150" s="32">
        <f t="shared" si="65"/>
        <v>0</v>
      </c>
      <c r="AK150">
        <f>step3_validation[[#This Row],[AI_TRU1]]</f>
        <v>9</v>
      </c>
      <c r="AL150" t="str">
        <f t="shared" si="66"/>
        <v>Support</v>
      </c>
      <c r="AM150">
        <f>survey_responses[[#This Row],[Tôi tin rằng Nhà nước, cơ quan thuế sẽ thực thi chính sách mới một cách khách quan, công tâm và đối xử bình đẳng với mọi người nộp thuế.  - HUMAN-TRU1]]</f>
        <v>8</v>
      </c>
      <c r="AN150" t="str">
        <f t="shared" si="67"/>
        <v>Support</v>
      </c>
      <c r="AO150" s="32">
        <f t="shared" si="68"/>
        <v>1</v>
      </c>
      <c r="AP150">
        <f>step3_validation[[#This Row],[AI_TRU2]]</f>
        <v>8</v>
      </c>
      <c r="AQ150" t="str">
        <f t="shared" si="69"/>
        <v>Support</v>
      </c>
      <c r="AR150">
        <f>survey_responses[[#This Row],[Tôi thấy mức thuế tôi phải đóng theo phương án mới là công bằng (người thu nhập như tôi đóng mức này là hợp lý). - HUMAN-TRU2]]</f>
        <v>4</v>
      </c>
      <c r="AS150" t="str">
        <f t="shared" si="70"/>
        <v>Oppose</v>
      </c>
      <c r="AT150" s="32">
        <f t="shared" si="71"/>
        <v>4</v>
      </c>
      <c r="AU150">
        <f>step3_validation[[#This Row],[AI_TRU3]]</f>
        <v>7</v>
      </c>
      <c r="AV150" t="str">
        <f t="shared" si="72"/>
        <v>Neutral</v>
      </c>
      <c r="AW150">
        <f>survey_responses[[#This Row],[Tôi tin tưởng số tiền thuế tôi đóng sẽ được Nhà nước sử dụng hiệu quả để cải thiện dịch vụ công (y tế, đường xá...). - HUMAN-TRU3]]</f>
        <v>1</v>
      </c>
      <c r="AX150" t="str">
        <f t="shared" si="73"/>
        <v>Oppose</v>
      </c>
      <c r="AY150" s="32">
        <f t="shared" si="74"/>
        <v>6</v>
      </c>
      <c r="AZ150">
        <f>step3_validation[[#This Row],[AI_TRU4]]</f>
        <v>6</v>
      </c>
      <c r="BA150" t="str">
        <f t="shared" si="75"/>
        <v>Neutral</v>
      </c>
      <c r="BB150">
        <f>survey_responses[[#This Row],[Tôi thấy Nhà nước đã giải thích rõ ràng, minh bạch về lý do và mục tiêu của việc sửa đổi thuế lần này. - HUMAN-TRU4]]</f>
        <v>3</v>
      </c>
      <c r="BC150" t="str">
        <f t="shared" si="76"/>
        <v>Oppose</v>
      </c>
      <c r="BD150" s="32">
        <f t="shared" si="77"/>
        <v>3</v>
      </c>
      <c r="BE150">
        <f>step3_validation[[#This Row],[AI_OUT1]]</f>
        <v>9</v>
      </c>
      <c r="BF150" t="str">
        <f t="shared" si="78"/>
        <v>Support</v>
      </c>
      <c r="BG150">
        <f>survey_responses[[#This Row],[Sau khi xem xét các quyền lợi và nghĩa vụ, bạn có ủng hộ và tuân thủ chính sách mới hiện nay? - HUMAN-OUT1]]</f>
        <v>6</v>
      </c>
      <c r="BH150" t="str">
        <f t="shared" si="79"/>
        <v>Neutral</v>
      </c>
      <c r="BI150" s="32">
        <f t="shared" si="80"/>
        <v>3</v>
      </c>
    </row>
    <row r="151" spans="1:61" x14ac:dyDescent="0.45">
      <c r="A151" s="30">
        <f>step3_validation[[#This Row],[Persona_ID]]</f>
        <v>150</v>
      </c>
      <c r="B151" s="31">
        <f>step3_validation[[#This Row],[Used_Seed]]</f>
        <v>150</v>
      </c>
      <c r="C151" t="str">
        <f>step3_validation[[#This Row],[Gender]]</f>
        <v>Nữ</v>
      </c>
      <c r="D151" t="str">
        <f>survey_responses[[#This Row],[Giới tính của bạn:]]</f>
        <v>Nữ</v>
      </c>
      <c r="E151" t="str">
        <f>step3_validation[[#This Row],[Age_Group]]</f>
        <v>40 - 49</v>
      </c>
      <c r="F151" t="str">
        <f>survey_responses[[#This Row],[Độ tuổi của bạn:]]</f>
        <v>40 - 49</v>
      </c>
      <c r="G151" t="str">
        <f>step3_validation[[#This Row],[Region]]</f>
        <v>Thành thị</v>
      </c>
      <c r="H151" t="str">
        <f>survey_responses[[#This Row],[Khu vực bạn đang sinh sống:]]</f>
        <v>Thành thị</v>
      </c>
      <c r="I151" t="str">
        <f>step3_validation[[#This Row],[Education]]</f>
        <v>Đại học</v>
      </c>
      <c r="J151" t="str">
        <f>survey_responses[[#This Row],[Trình độ học vấn cao nhất:]]</f>
        <v>Đại học</v>
      </c>
      <c r="K151" t="str">
        <f>step3_validation[[#This Row],[Employment]]</f>
        <v>Chính thức</v>
      </c>
      <c r="L151" t="str">
        <f>survey_responses[[#This Row],[Tình trạng việc làm chính:]]</f>
        <v>Khu vực chính thức (Có Hợp đồng lao động, đóng BHXH)</v>
      </c>
      <c r="M151">
        <f>step3_validation[[#This Row],[Income_Mil]]</f>
        <v>48.101262925188834</v>
      </c>
      <c r="N151" t="str">
        <f>survey_responses[[#This Row],[Thu nhập bình quân tháng theo Hợp đồng lao động của bạn là bao nhiêu? (Vui lòng điền tổng thu nhập trước khi khấu trừ các loại Bảo hiểm (BHXH, BHYT, BHTN) và Thuế TNCN)]]</f>
        <v>Từ 48 - 70 triệu VNĐ</v>
      </c>
      <c r="O151">
        <f>step3_validation[[#This Row],[Dependents]]</f>
        <v>2</v>
      </c>
      <c r="P151" t="str">
        <f>survey_responses[[#This Row],[Số người phụ thuộc (con nhỏ, cha mẹ già...) đủ điều kiện giảm trừ gia cảnh:]]</f>
        <v>2 người</v>
      </c>
      <c r="Q151">
        <f>step3_validation[[#This Row],[AI_ENF1]]</f>
        <v>9</v>
      </c>
      <c r="R151" t="str">
        <f t="shared" si="54"/>
        <v>Support</v>
      </c>
      <c r="S151">
        <f>survey_responses[[#This Row],[Tôi tin rằng với các quy định quản lý thuế hiện nay, hành vi gian lận hoặc trốn thuế sẽ dễ dàng bị phát hiện và xử lý nghiêm. - HUMAN-ENF1]]</f>
        <v>7</v>
      </c>
      <c r="T151" t="str">
        <f t="shared" si="55"/>
        <v>Neutral</v>
      </c>
      <c r="U151" s="32">
        <f t="shared" si="56"/>
        <v>2</v>
      </c>
      <c r="V151">
        <f>step3_validation[[#This Row],[AI_ENF2]]</f>
        <v>8</v>
      </c>
      <c r="W151" t="str">
        <f t="shared" si="57"/>
        <v>Support</v>
      </c>
      <c r="X151">
        <f>survey_responses[[#This Row],[Tôi tin rằng Nhà nước, cơ quan thuế có đủ khả năng và công nghệ để phát hiện, xử lý nghiêm các hành vi trốn thuế. - HUMAN-ENF2]]</f>
        <v>10</v>
      </c>
      <c r="Y151" t="str">
        <f t="shared" si="58"/>
        <v>Support</v>
      </c>
      <c r="Z151" s="32">
        <f t="shared" si="59"/>
        <v>2</v>
      </c>
      <c r="AA151">
        <f>step3_validation[[#This Row],[AI_FAC1]]</f>
        <v>9</v>
      </c>
      <c r="AB151" t="str">
        <f t="shared" si="60"/>
        <v>Support</v>
      </c>
      <c r="AC151">
        <f>survey_responses[[#This Row],[Các thủ tục khai báo thuế VÀ/HOẶC quy trình làm việc với cơ quan thuế đơn giản, tiện lợi, nhanh chóng hơn so với trước đây. - HUMAN-FAC1]]</f>
        <v>5</v>
      </c>
      <c r="AD151" t="str">
        <f t="shared" si="61"/>
        <v>Neutral</v>
      </c>
      <c r="AE151" s="32">
        <f t="shared" si="62"/>
        <v>4</v>
      </c>
      <c r="AF151">
        <f>step3_validation[[#This Row],[AI_FAC2]]</f>
        <v>9</v>
      </c>
      <c r="AG151" t="str">
        <f t="shared" si="63"/>
        <v>Support</v>
      </c>
      <c r="AH151">
        <f>survey_responses[[#This Row],[So với trước đây, tôi thấy cách tính thuế và các bậc thuế trong phương án mới đơn giản, dễ hiểu và dễ thực hiện hơn. - HUMAN-FAC2]]</f>
        <v>7</v>
      </c>
      <c r="AI151" t="str">
        <f t="shared" si="64"/>
        <v>Neutral</v>
      </c>
      <c r="AJ151" s="32">
        <f t="shared" si="65"/>
        <v>2</v>
      </c>
      <c r="AK151">
        <f>step3_validation[[#This Row],[AI_TRU1]]</f>
        <v>8</v>
      </c>
      <c r="AL151" t="str">
        <f t="shared" si="66"/>
        <v>Support</v>
      </c>
      <c r="AM151">
        <f>survey_responses[[#This Row],[Tôi tin rằng Nhà nước, cơ quan thuế sẽ thực thi chính sách mới một cách khách quan, công tâm và đối xử bình đẳng với mọi người nộp thuế.  - HUMAN-TRU1]]</f>
        <v>7</v>
      </c>
      <c r="AN151" t="str">
        <f t="shared" si="67"/>
        <v>Neutral</v>
      </c>
      <c r="AO151" s="32">
        <f t="shared" si="68"/>
        <v>1</v>
      </c>
      <c r="AP151">
        <f>step3_validation[[#This Row],[AI_TRU2]]</f>
        <v>9</v>
      </c>
      <c r="AQ151" t="str">
        <f t="shared" si="69"/>
        <v>Support</v>
      </c>
      <c r="AR151">
        <f>survey_responses[[#This Row],[Tôi thấy mức thuế tôi phải đóng theo phương án mới là công bằng (người thu nhập như tôi đóng mức này là hợp lý). - HUMAN-TRU2]]</f>
        <v>7</v>
      </c>
      <c r="AS151" t="str">
        <f t="shared" si="70"/>
        <v>Neutral</v>
      </c>
      <c r="AT151" s="32">
        <f t="shared" si="71"/>
        <v>2</v>
      </c>
      <c r="AU151">
        <f>step3_validation[[#This Row],[AI_TRU3]]</f>
        <v>8</v>
      </c>
      <c r="AV151" t="str">
        <f t="shared" si="72"/>
        <v>Support</v>
      </c>
      <c r="AW151">
        <f>survey_responses[[#This Row],[Tôi tin tưởng số tiền thuế tôi đóng sẽ được Nhà nước sử dụng hiệu quả để cải thiện dịch vụ công (y tế, đường xá...). - HUMAN-TRU3]]</f>
        <v>7</v>
      </c>
      <c r="AX151" t="str">
        <f t="shared" si="73"/>
        <v>Neutral</v>
      </c>
      <c r="AY151" s="32">
        <f t="shared" si="74"/>
        <v>1</v>
      </c>
      <c r="AZ151">
        <f>step3_validation[[#This Row],[AI_TRU4]]</f>
        <v>7</v>
      </c>
      <c r="BA151" t="str">
        <f t="shared" si="75"/>
        <v>Neutral</v>
      </c>
      <c r="BB151">
        <f>survey_responses[[#This Row],[Tôi thấy Nhà nước đã giải thích rõ ràng, minh bạch về lý do và mục tiêu của việc sửa đổi thuế lần này. - HUMAN-TRU4]]</f>
        <v>7</v>
      </c>
      <c r="BC151" t="str">
        <f t="shared" si="76"/>
        <v>Neutral</v>
      </c>
      <c r="BD151" s="32">
        <f t="shared" si="77"/>
        <v>0</v>
      </c>
      <c r="BE151">
        <f>step3_validation[[#This Row],[AI_OUT1]]</f>
        <v>9</v>
      </c>
      <c r="BF151" t="str">
        <f t="shared" si="78"/>
        <v>Support</v>
      </c>
      <c r="BG151">
        <f>survey_responses[[#This Row],[Sau khi xem xét các quyền lợi và nghĩa vụ, bạn có ủng hộ và tuân thủ chính sách mới hiện nay? - HUMAN-OUT1]]</f>
        <v>10</v>
      </c>
      <c r="BH151" t="str">
        <f t="shared" si="79"/>
        <v>Support</v>
      </c>
      <c r="BI151" s="32">
        <f t="shared" si="80"/>
        <v>1</v>
      </c>
    </row>
    <row r="152" spans="1:61" x14ac:dyDescent="0.45">
      <c r="A152" s="30">
        <f>step3_validation[[#This Row],[Persona_ID]]</f>
        <v>151</v>
      </c>
      <c r="B152" s="31">
        <f>step3_validation[[#This Row],[Used_Seed]]</f>
        <v>151</v>
      </c>
      <c r="C152" t="str">
        <f>step3_validation[[#This Row],[Gender]]</f>
        <v>Nữ</v>
      </c>
      <c r="D152" t="str">
        <f>survey_responses[[#This Row],[Giới tính của bạn:]]</f>
        <v>Nữ</v>
      </c>
      <c r="E152" t="str">
        <f>step3_validation[[#This Row],[Age_Group]]</f>
        <v>30 - 39</v>
      </c>
      <c r="F152" t="str">
        <f>survey_responses[[#This Row],[Độ tuổi của bạn:]]</f>
        <v>30 - 39</v>
      </c>
      <c r="G152" t="str">
        <f>step3_validation[[#This Row],[Region]]</f>
        <v>Thành thị</v>
      </c>
      <c r="H152" t="str">
        <f>survey_responses[[#This Row],[Khu vực bạn đang sinh sống:]]</f>
        <v>Thành thị</v>
      </c>
      <c r="I152" t="str">
        <f>step3_validation[[#This Row],[Education]]</f>
        <v>Đại học</v>
      </c>
      <c r="J152" t="str">
        <f>survey_responses[[#This Row],[Trình độ học vấn cao nhất:]]</f>
        <v>Đại học</v>
      </c>
      <c r="K152" t="str">
        <f>step3_validation[[#This Row],[Employment]]</f>
        <v>Chính thức</v>
      </c>
      <c r="L152" t="str">
        <f>survey_responses[[#This Row],[Tình trạng việc làm chính:]]</f>
        <v>Khu vực chính thức (Có Hợp đồng lao động, đóng BHXH)</v>
      </c>
      <c r="M152">
        <f>step3_validation[[#This Row],[Income_Mil]]</f>
        <v>85.245609116171011</v>
      </c>
      <c r="N152" t="str">
        <f>survey_responses[[#This Row],[Thu nhập bình quân tháng theo Hợp đồng lao động của bạn là bao nhiêu? (Vui lòng điền tổng thu nhập trước khi khấu trừ các loại Bảo hiểm (BHXH, BHYT, BHTN) và Thuế TNCN)]]</f>
        <v>Từ 70 - 102 triệu VNĐ</v>
      </c>
      <c r="O152">
        <f>step3_validation[[#This Row],[Dependents]]</f>
        <v>2</v>
      </c>
      <c r="P152" t="str">
        <f>survey_responses[[#This Row],[Số người phụ thuộc (con nhỏ, cha mẹ già...) đủ điều kiện giảm trừ gia cảnh:]]</f>
        <v>2 người</v>
      </c>
      <c r="Q152">
        <f>step3_validation[[#This Row],[AI_ENF1]]</f>
        <v>9</v>
      </c>
      <c r="R152" t="str">
        <f t="shared" si="54"/>
        <v>Support</v>
      </c>
      <c r="S152">
        <f>survey_responses[[#This Row],[Tôi tin rằng với các quy định quản lý thuế hiện nay, hành vi gian lận hoặc trốn thuế sẽ dễ dàng bị phát hiện và xử lý nghiêm. - HUMAN-ENF1]]</f>
        <v>8</v>
      </c>
      <c r="T152" t="str">
        <f t="shared" si="55"/>
        <v>Support</v>
      </c>
      <c r="U152" s="32">
        <f t="shared" si="56"/>
        <v>1</v>
      </c>
      <c r="V152">
        <f>step3_validation[[#This Row],[AI_ENF2]]</f>
        <v>8</v>
      </c>
      <c r="W152" t="str">
        <f t="shared" si="57"/>
        <v>Support</v>
      </c>
      <c r="X152">
        <f>survey_responses[[#This Row],[Tôi tin rằng Nhà nước, cơ quan thuế có đủ khả năng và công nghệ để phát hiện, xử lý nghiêm các hành vi trốn thuế. - HUMAN-ENF2]]</f>
        <v>8</v>
      </c>
      <c r="Y152" t="str">
        <f t="shared" si="58"/>
        <v>Support</v>
      </c>
      <c r="Z152" s="32">
        <f t="shared" si="59"/>
        <v>0</v>
      </c>
      <c r="AA152">
        <f>step3_validation[[#This Row],[AI_FAC1]]</f>
        <v>8</v>
      </c>
      <c r="AB152" t="str">
        <f t="shared" si="60"/>
        <v>Support</v>
      </c>
      <c r="AC152">
        <f>survey_responses[[#This Row],[Các thủ tục khai báo thuế VÀ/HOẶC quy trình làm việc với cơ quan thuế đơn giản, tiện lợi, nhanh chóng hơn so với trước đây. - HUMAN-FAC1]]</f>
        <v>8</v>
      </c>
      <c r="AD152" t="str">
        <f t="shared" si="61"/>
        <v>Support</v>
      </c>
      <c r="AE152" s="32">
        <f t="shared" si="62"/>
        <v>0</v>
      </c>
      <c r="AF152">
        <f>step3_validation[[#This Row],[AI_FAC2]]</f>
        <v>9</v>
      </c>
      <c r="AG152" t="str">
        <f t="shared" si="63"/>
        <v>Support</v>
      </c>
      <c r="AH152">
        <f>survey_responses[[#This Row],[So với trước đây, tôi thấy cách tính thuế và các bậc thuế trong phương án mới đơn giản, dễ hiểu và dễ thực hiện hơn. - HUMAN-FAC2]]</f>
        <v>8</v>
      </c>
      <c r="AI152" t="str">
        <f t="shared" si="64"/>
        <v>Support</v>
      </c>
      <c r="AJ152" s="32">
        <f t="shared" si="65"/>
        <v>1</v>
      </c>
      <c r="AK152">
        <f>step3_validation[[#This Row],[AI_TRU1]]</f>
        <v>8</v>
      </c>
      <c r="AL152" t="str">
        <f t="shared" si="66"/>
        <v>Support</v>
      </c>
      <c r="AM152">
        <f>survey_responses[[#This Row],[Tôi tin rằng Nhà nước, cơ quan thuế sẽ thực thi chính sách mới một cách khách quan, công tâm và đối xử bình đẳng với mọi người nộp thuế.  - HUMAN-TRU1]]</f>
        <v>8</v>
      </c>
      <c r="AN152" t="str">
        <f t="shared" si="67"/>
        <v>Support</v>
      </c>
      <c r="AO152" s="32">
        <f t="shared" si="68"/>
        <v>0</v>
      </c>
      <c r="AP152">
        <f>step3_validation[[#This Row],[AI_TRU2]]</f>
        <v>9</v>
      </c>
      <c r="AQ152" t="str">
        <f t="shared" si="69"/>
        <v>Support</v>
      </c>
      <c r="AR152">
        <f>survey_responses[[#This Row],[Tôi thấy mức thuế tôi phải đóng theo phương án mới là công bằng (người thu nhập như tôi đóng mức này là hợp lý). - HUMAN-TRU2]]</f>
        <v>8</v>
      </c>
      <c r="AS152" t="str">
        <f t="shared" si="70"/>
        <v>Support</v>
      </c>
      <c r="AT152" s="32">
        <f t="shared" si="71"/>
        <v>1</v>
      </c>
      <c r="AU152">
        <f>step3_validation[[#This Row],[AI_TRU3]]</f>
        <v>8</v>
      </c>
      <c r="AV152" t="str">
        <f t="shared" si="72"/>
        <v>Support</v>
      </c>
      <c r="AW152">
        <f>survey_responses[[#This Row],[Tôi tin tưởng số tiền thuế tôi đóng sẽ được Nhà nước sử dụng hiệu quả để cải thiện dịch vụ công (y tế, đường xá...). - HUMAN-TRU3]]</f>
        <v>8</v>
      </c>
      <c r="AX152" t="str">
        <f t="shared" si="73"/>
        <v>Support</v>
      </c>
      <c r="AY152" s="32">
        <f t="shared" si="74"/>
        <v>0</v>
      </c>
      <c r="AZ152">
        <f>step3_validation[[#This Row],[AI_TRU4]]</f>
        <v>9</v>
      </c>
      <c r="BA152" t="str">
        <f t="shared" si="75"/>
        <v>Support</v>
      </c>
      <c r="BB152">
        <f>survey_responses[[#This Row],[Tôi thấy Nhà nước đã giải thích rõ ràng, minh bạch về lý do và mục tiêu của việc sửa đổi thuế lần này. - HUMAN-TRU4]]</f>
        <v>8</v>
      </c>
      <c r="BC152" t="str">
        <f t="shared" si="76"/>
        <v>Support</v>
      </c>
      <c r="BD152" s="32">
        <f t="shared" si="77"/>
        <v>1</v>
      </c>
      <c r="BE152">
        <f>step3_validation[[#This Row],[AI_OUT1]]</f>
        <v>8</v>
      </c>
      <c r="BF152" t="str">
        <f t="shared" si="78"/>
        <v>Support</v>
      </c>
      <c r="BG152">
        <f>survey_responses[[#This Row],[Sau khi xem xét các quyền lợi và nghĩa vụ, bạn có ủng hộ và tuân thủ chính sách mới hiện nay? - HUMAN-OUT1]]</f>
        <v>8</v>
      </c>
      <c r="BH152" t="str">
        <f t="shared" si="79"/>
        <v>Support</v>
      </c>
      <c r="BI152" s="32">
        <f t="shared" si="80"/>
        <v>0</v>
      </c>
    </row>
    <row r="153" spans="1:61" x14ac:dyDescent="0.45">
      <c r="A153" s="30">
        <f>step3_validation[[#This Row],[Persona_ID]]</f>
        <v>152</v>
      </c>
      <c r="B153" s="31">
        <f>step3_validation[[#This Row],[Used_Seed]]</f>
        <v>152</v>
      </c>
      <c r="C153" t="str">
        <f>step3_validation[[#This Row],[Gender]]</f>
        <v>Nữ</v>
      </c>
      <c r="D153" t="str">
        <f>survey_responses[[#This Row],[Giới tính của bạn:]]</f>
        <v>Nữ</v>
      </c>
      <c r="E153" t="str">
        <f>step3_validation[[#This Row],[Age_Group]]</f>
        <v>40 - 49</v>
      </c>
      <c r="F153" t="str">
        <f>survey_responses[[#This Row],[Độ tuổi của bạn:]]</f>
        <v>40 - 49</v>
      </c>
      <c r="G153" t="str">
        <f>step3_validation[[#This Row],[Region]]</f>
        <v>Thành thị</v>
      </c>
      <c r="H153" t="str">
        <f>survey_responses[[#This Row],[Khu vực bạn đang sinh sống:]]</f>
        <v>Thành thị</v>
      </c>
      <c r="I153" t="str">
        <f>step3_validation[[#This Row],[Education]]</f>
        <v>Sau Đại học</v>
      </c>
      <c r="J153" t="str">
        <f>survey_responses[[#This Row],[Trình độ học vấn cao nhất:]]</f>
        <v>Sau Đại học</v>
      </c>
      <c r="K153" t="str">
        <f>step3_validation[[#This Row],[Employment]]</f>
        <v>Chính thức</v>
      </c>
      <c r="L153" t="str">
        <f>survey_responses[[#This Row],[Tình trạng việc làm chính:]]</f>
        <v>Khu vực chính thức (Có Hợp đồng lao động, đóng BHXH)</v>
      </c>
      <c r="M153">
        <f>step3_validation[[#This Row],[Income_Mil]]</f>
        <v>76.77451375109446</v>
      </c>
      <c r="N153" t="str">
        <f>survey_responses[[#This Row],[Thu nhập bình quân tháng theo Hợp đồng lao động của bạn là bao nhiêu? (Vui lòng điền tổng thu nhập trước khi khấu trừ các loại Bảo hiểm (BHXH, BHYT, BHTN) và Thuế TNCN)]]</f>
        <v>Từ 70 - 102 triệu VNĐ</v>
      </c>
      <c r="O153">
        <f>step3_validation[[#This Row],[Dependents]]</f>
        <v>2</v>
      </c>
      <c r="P153" t="str">
        <f>survey_responses[[#This Row],[Số người phụ thuộc (con nhỏ, cha mẹ già...) đủ điều kiện giảm trừ gia cảnh:]]</f>
        <v>2 người</v>
      </c>
      <c r="Q153">
        <f>step3_validation[[#This Row],[AI_ENF1]]</f>
        <v>7</v>
      </c>
      <c r="R153" t="str">
        <f t="shared" si="54"/>
        <v>Neutral</v>
      </c>
      <c r="S153">
        <f>survey_responses[[#This Row],[Tôi tin rằng với các quy định quản lý thuế hiện nay, hành vi gian lận hoặc trốn thuế sẽ dễ dàng bị phát hiện và xử lý nghiêm. - HUMAN-ENF1]]</f>
        <v>10</v>
      </c>
      <c r="T153" t="str">
        <f t="shared" si="55"/>
        <v>Support</v>
      </c>
      <c r="U153" s="32">
        <f t="shared" si="56"/>
        <v>3</v>
      </c>
      <c r="V153">
        <f>step3_validation[[#This Row],[AI_ENF2]]</f>
        <v>7</v>
      </c>
      <c r="W153" t="str">
        <f t="shared" si="57"/>
        <v>Neutral</v>
      </c>
      <c r="X153">
        <f>survey_responses[[#This Row],[Tôi tin rằng Nhà nước, cơ quan thuế có đủ khả năng và công nghệ để phát hiện, xử lý nghiêm các hành vi trốn thuế. - HUMAN-ENF2]]</f>
        <v>10</v>
      </c>
      <c r="Y153" t="str">
        <f t="shared" si="58"/>
        <v>Support</v>
      </c>
      <c r="Z153" s="32">
        <f t="shared" si="59"/>
        <v>3</v>
      </c>
      <c r="AA153">
        <f>step3_validation[[#This Row],[AI_FAC1]]</f>
        <v>8</v>
      </c>
      <c r="AB153" t="str">
        <f t="shared" si="60"/>
        <v>Support</v>
      </c>
      <c r="AC153">
        <f>survey_responses[[#This Row],[Các thủ tục khai báo thuế VÀ/HOẶC quy trình làm việc với cơ quan thuế đơn giản, tiện lợi, nhanh chóng hơn so với trước đây. - HUMAN-FAC1]]</f>
        <v>10</v>
      </c>
      <c r="AD153" t="str">
        <f t="shared" si="61"/>
        <v>Support</v>
      </c>
      <c r="AE153" s="32">
        <f t="shared" si="62"/>
        <v>2</v>
      </c>
      <c r="AF153">
        <f>step3_validation[[#This Row],[AI_FAC2]]</f>
        <v>9</v>
      </c>
      <c r="AG153" t="str">
        <f t="shared" si="63"/>
        <v>Support</v>
      </c>
      <c r="AH153">
        <f>survey_responses[[#This Row],[So với trước đây, tôi thấy cách tính thuế và các bậc thuế trong phương án mới đơn giản, dễ hiểu và dễ thực hiện hơn. - HUMAN-FAC2]]</f>
        <v>10</v>
      </c>
      <c r="AI153" t="str">
        <f t="shared" si="64"/>
        <v>Support</v>
      </c>
      <c r="AJ153" s="32">
        <f t="shared" si="65"/>
        <v>1</v>
      </c>
      <c r="AK153">
        <f>step3_validation[[#This Row],[AI_TRU1]]</f>
        <v>7</v>
      </c>
      <c r="AL153" t="str">
        <f t="shared" si="66"/>
        <v>Neutral</v>
      </c>
      <c r="AM153">
        <f>survey_responses[[#This Row],[Tôi tin rằng Nhà nước, cơ quan thuế sẽ thực thi chính sách mới một cách khách quan, công tâm và đối xử bình đẳng với mọi người nộp thuế.  - HUMAN-TRU1]]</f>
        <v>10</v>
      </c>
      <c r="AN153" t="str">
        <f t="shared" si="67"/>
        <v>Support</v>
      </c>
      <c r="AO153" s="32">
        <f t="shared" si="68"/>
        <v>3</v>
      </c>
      <c r="AP153">
        <f>step3_validation[[#This Row],[AI_TRU2]]</f>
        <v>9</v>
      </c>
      <c r="AQ153" t="str">
        <f t="shared" si="69"/>
        <v>Support</v>
      </c>
      <c r="AR153">
        <f>survey_responses[[#This Row],[Tôi thấy mức thuế tôi phải đóng theo phương án mới là công bằng (người thu nhập như tôi đóng mức này là hợp lý). - HUMAN-TRU2]]</f>
        <v>10</v>
      </c>
      <c r="AS153" t="str">
        <f t="shared" si="70"/>
        <v>Support</v>
      </c>
      <c r="AT153" s="32">
        <f t="shared" si="71"/>
        <v>1</v>
      </c>
      <c r="AU153">
        <f>step3_validation[[#This Row],[AI_TRU3]]</f>
        <v>7</v>
      </c>
      <c r="AV153" t="str">
        <f t="shared" si="72"/>
        <v>Neutral</v>
      </c>
      <c r="AW153">
        <f>survey_responses[[#This Row],[Tôi tin tưởng số tiền thuế tôi đóng sẽ được Nhà nước sử dụng hiệu quả để cải thiện dịch vụ công (y tế, đường xá...). - HUMAN-TRU3]]</f>
        <v>10</v>
      </c>
      <c r="AX153" t="str">
        <f t="shared" si="73"/>
        <v>Support</v>
      </c>
      <c r="AY153" s="32">
        <f t="shared" si="74"/>
        <v>3</v>
      </c>
      <c r="AZ153">
        <f>step3_validation[[#This Row],[AI_TRU4]]</f>
        <v>8</v>
      </c>
      <c r="BA153" t="str">
        <f t="shared" si="75"/>
        <v>Support</v>
      </c>
      <c r="BB153">
        <f>survey_responses[[#This Row],[Tôi thấy Nhà nước đã giải thích rõ ràng, minh bạch về lý do và mục tiêu của việc sửa đổi thuế lần này. - HUMAN-TRU4]]</f>
        <v>10</v>
      </c>
      <c r="BC153" t="str">
        <f t="shared" si="76"/>
        <v>Support</v>
      </c>
      <c r="BD153" s="32">
        <f t="shared" si="77"/>
        <v>2</v>
      </c>
      <c r="BE153">
        <f>step3_validation[[#This Row],[AI_OUT1]]</f>
        <v>9</v>
      </c>
      <c r="BF153" t="str">
        <f t="shared" si="78"/>
        <v>Support</v>
      </c>
      <c r="BG153">
        <f>survey_responses[[#This Row],[Sau khi xem xét các quyền lợi và nghĩa vụ, bạn có ủng hộ và tuân thủ chính sách mới hiện nay? - HUMAN-OUT1]]</f>
        <v>10</v>
      </c>
      <c r="BH153" t="str">
        <f t="shared" si="79"/>
        <v>Support</v>
      </c>
      <c r="BI153" s="32">
        <f t="shared" si="80"/>
        <v>1</v>
      </c>
    </row>
    <row r="154" spans="1:61" x14ac:dyDescent="0.45">
      <c r="A154" s="30">
        <f>step3_validation[[#This Row],[Persona_ID]]</f>
        <v>153</v>
      </c>
      <c r="B154" s="31">
        <f>step3_validation[[#This Row],[Used_Seed]]</f>
        <v>153</v>
      </c>
      <c r="C154" t="str">
        <f>step3_validation[[#This Row],[Gender]]</f>
        <v>Nam</v>
      </c>
      <c r="D154" t="str">
        <f>survey_responses[[#This Row],[Giới tính của bạn:]]</f>
        <v>Nam</v>
      </c>
      <c r="E154" t="str">
        <f>step3_validation[[#This Row],[Age_Group]]</f>
        <v>30 - 39</v>
      </c>
      <c r="F154" t="str">
        <f>survey_responses[[#This Row],[Độ tuổi của bạn:]]</f>
        <v>30 - 39</v>
      </c>
      <c r="G154" t="str">
        <f>step3_validation[[#This Row],[Region]]</f>
        <v>Thành thị</v>
      </c>
      <c r="H154" t="str">
        <f>survey_responses[[#This Row],[Khu vực bạn đang sinh sống:]]</f>
        <v>Thành thị</v>
      </c>
      <c r="I154" t="str">
        <f>step3_validation[[#This Row],[Education]]</f>
        <v>Đại học</v>
      </c>
      <c r="J154" t="str">
        <f>survey_responses[[#This Row],[Trình độ học vấn cao nhất:]]</f>
        <v>Đại học</v>
      </c>
      <c r="K154" t="str">
        <f>step3_validation[[#This Row],[Employment]]</f>
        <v>Chính thức</v>
      </c>
      <c r="L154" t="str">
        <f>survey_responses[[#This Row],[Tình trạng việc làm chính:]]</f>
        <v>Khu vực chính thức (Có Hợp đồng lao động, đóng BHXH)</v>
      </c>
      <c r="M154">
        <f>step3_validation[[#This Row],[Income_Mil]]</f>
        <v>12</v>
      </c>
      <c r="N154" t="str">
        <f>survey_responses[[#This Row],[Thu nhập bình quân tháng theo Hợp đồng lao động của bạn là bao nhiêu? (Vui lòng điền tổng thu nhập trước khi khấu trừ các loại Bảo hiểm (BHXH, BHYT, BHTN) và Thuế TNCN)]]</f>
        <v>Dưới 12 triệu VNĐ</v>
      </c>
      <c r="O154">
        <f>step3_validation[[#This Row],[Dependents]]</f>
        <v>1</v>
      </c>
      <c r="P154" t="str">
        <f>survey_responses[[#This Row],[Số người phụ thuộc (con nhỏ, cha mẹ già...) đủ điều kiện giảm trừ gia cảnh:]]</f>
        <v>1 người</v>
      </c>
      <c r="Q154">
        <f>step3_validation[[#This Row],[AI_ENF1]]</f>
        <v>5</v>
      </c>
      <c r="R154" t="str">
        <f t="shared" si="54"/>
        <v>Neutral</v>
      </c>
      <c r="S154">
        <f>survey_responses[[#This Row],[Tôi tin rằng với các quy định quản lý thuế hiện nay, hành vi gian lận hoặc trốn thuế sẽ dễ dàng bị phát hiện và xử lý nghiêm. - HUMAN-ENF1]]</f>
        <v>7</v>
      </c>
      <c r="T154" t="str">
        <f t="shared" si="55"/>
        <v>Neutral</v>
      </c>
      <c r="U154" s="32">
        <f t="shared" si="56"/>
        <v>2</v>
      </c>
      <c r="V154">
        <f>step3_validation[[#This Row],[AI_ENF2]]</f>
        <v>6</v>
      </c>
      <c r="W154" t="str">
        <f t="shared" si="57"/>
        <v>Neutral</v>
      </c>
      <c r="X154">
        <f>survey_responses[[#This Row],[Tôi tin rằng Nhà nước, cơ quan thuế có đủ khả năng và công nghệ để phát hiện, xử lý nghiêm các hành vi trốn thuế. - HUMAN-ENF2]]</f>
        <v>7</v>
      </c>
      <c r="Y154" t="str">
        <f t="shared" si="58"/>
        <v>Neutral</v>
      </c>
      <c r="Z154" s="32">
        <f t="shared" si="59"/>
        <v>1</v>
      </c>
      <c r="AA154">
        <f>step3_validation[[#This Row],[AI_FAC1]]</f>
        <v>7</v>
      </c>
      <c r="AB154" t="str">
        <f t="shared" si="60"/>
        <v>Neutral</v>
      </c>
      <c r="AC154">
        <f>survey_responses[[#This Row],[Các thủ tục khai báo thuế VÀ/HOẶC quy trình làm việc với cơ quan thuế đơn giản, tiện lợi, nhanh chóng hơn so với trước đây. - HUMAN-FAC1]]</f>
        <v>5</v>
      </c>
      <c r="AD154" t="str">
        <f t="shared" si="61"/>
        <v>Neutral</v>
      </c>
      <c r="AE154" s="32">
        <f t="shared" si="62"/>
        <v>2</v>
      </c>
      <c r="AF154">
        <f>step3_validation[[#This Row],[AI_FAC2]]</f>
        <v>8</v>
      </c>
      <c r="AG154" t="str">
        <f t="shared" si="63"/>
        <v>Support</v>
      </c>
      <c r="AH154">
        <f>survey_responses[[#This Row],[So với trước đây, tôi thấy cách tính thuế và các bậc thuế trong phương án mới đơn giản, dễ hiểu và dễ thực hiện hơn. - HUMAN-FAC2]]</f>
        <v>7</v>
      </c>
      <c r="AI154" t="str">
        <f t="shared" si="64"/>
        <v>Neutral</v>
      </c>
      <c r="AJ154" s="32">
        <f t="shared" si="65"/>
        <v>1</v>
      </c>
      <c r="AK154">
        <f>step3_validation[[#This Row],[AI_TRU1]]</f>
        <v>7</v>
      </c>
      <c r="AL154" t="str">
        <f t="shared" si="66"/>
        <v>Neutral</v>
      </c>
      <c r="AM154">
        <f>survey_responses[[#This Row],[Tôi tin rằng Nhà nước, cơ quan thuế sẽ thực thi chính sách mới một cách khách quan, công tâm và đối xử bình đẳng với mọi người nộp thuế.  - HUMAN-TRU1]]</f>
        <v>7</v>
      </c>
      <c r="AN154" t="str">
        <f t="shared" si="67"/>
        <v>Neutral</v>
      </c>
      <c r="AO154" s="32">
        <f t="shared" si="68"/>
        <v>0</v>
      </c>
      <c r="AP154">
        <f>step3_validation[[#This Row],[AI_TRU2]]</f>
        <v>9</v>
      </c>
      <c r="AQ154" t="str">
        <f t="shared" si="69"/>
        <v>Support</v>
      </c>
      <c r="AR154">
        <f>survey_responses[[#This Row],[Tôi thấy mức thuế tôi phải đóng theo phương án mới là công bằng (người thu nhập như tôi đóng mức này là hợp lý). - HUMAN-TRU2]]</f>
        <v>7</v>
      </c>
      <c r="AS154" t="str">
        <f t="shared" si="70"/>
        <v>Neutral</v>
      </c>
      <c r="AT154" s="32">
        <f t="shared" si="71"/>
        <v>2</v>
      </c>
      <c r="AU154">
        <f>step3_validation[[#This Row],[AI_TRU3]]</f>
        <v>8</v>
      </c>
      <c r="AV154" t="str">
        <f t="shared" si="72"/>
        <v>Support</v>
      </c>
      <c r="AW154">
        <f>survey_responses[[#This Row],[Tôi tin tưởng số tiền thuế tôi đóng sẽ được Nhà nước sử dụng hiệu quả để cải thiện dịch vụ công (y tế, đường xá...). - HUMAN-TRU3]]</f>
        <v>7</v>
      </c>
      <c r="AX154" t="str">
        <f t="shared" si="73"/>
        <v>Neutral</v>
      </c>
      <c r="AY154" s="32">
        <f t="shared" si="74"/>
        <v>1</v>
      </c>
      <c r="AZ154">
        <f>step3_validation[[#This Row],[AI_TRU4]]</f>
        <v>7</v>
      </c>
      <c r="BA154" t="str">
        <f t="shared" si="75"/>
        <v>Neutral</v>
      </c>
      <c r="BB154">
        <f>survey_responses[[#This Row],[Tôi thấy Nhà nước đã giải thích rõ ràng, minh bạch về lý do và mục tiêu của việc sửa đổi thuế lần này. - HUMAN-TRU4]]</f>
        <v>7</v>
      </c>
      <c r="BC154" t="str">
        <f t="shared" si="76"/>
        <v>Neutral</v>
      </c>
      <c r="BD154" s="32">
        <f t="shared" si="77"/>
        <v>0</v>
      </c>
      <c r="BE154">
        <f>step3_validation[[#This Row],[AI_OUT1]]</f>
        <v>8</v>
      </c>
      <c r="BF154" t="str">
        <f t="shared" si="78"/>
        <v>Support</v>
      </c>
      <c r="BG154">
        <f>survey_responses[[#This Row],[Sau khi xem xét các quyền lợi và nghĩa vụ, bạn có ủng hộ và tuân thủ chính sách mới hiện nay? - HUMAN-OUT1]]</f>
        <v>7</v>
      </c>
      <c r="BH154" t="str">
        <f t="shared" si="79"/>
        <v>Neutral</v>
      </c>
      <c r="BI154" s="32">
        <f t="shared" si="80"/>
        <v>1</v>
      </c>
    </row>
    <row r="155" spans="1:61" x14ac:dyDescent="0.45">
      <c r="A155" s="30">
        <f>step3_validation[[#This Row],[Persona_ID]]</f>
        <v>154</v>
      </c>
      <c r="B155" s="31">
        <f>step3_validation[[#This Row],[Used_Seed]]</f>
        <v>154</v>
      </c>
      <c r="C155" t="str">
        <f>step3_validation[[#This Row],[Gender]]</f>
        <v>Nữ</v>
      </c>
      <c r="D155" t="str">
        <f>survey_responses[[#This Row],[Giới tính của bạn:]]</f>
        <v>Nữ</v>
      </c>
      <c r="E155" t="str">
        <f>step3_validation[[#This Row],[Age_Group]]</f>
        <v>25 - 29</v>
      </c>
      <c r="F155" t="str">
        <f>survey_responses[[#This Row],[Độ tuổi của bạn:]]</f>
        <v>25 - 29</v>
      </c>
      <c r="G155" t="str">
        <f>step3_validation[[#This Row],[Region]]</f>
        <v>Thành thị</v>
      </c>
      <c r="H155" t="str">
        <f>survey_responses[[#This Row],[Khu vực bạn đang sinh sống:]]</f>
        <v>Thành thị</v>
      </c>
      <c r="I155" t="str">
        <f>step3_validation[[#This Row],[Education]]</f>
        <v>Đại học</v>
      </c>
      <c r="J155" t="str">
        <f>survey_responses[[#This Row],[Trình độ học vấn cao nhất:]]</f>
        <v>Đại học</v>
      </c>
      <c r="K155" t="str">
        <f>step3_validation[[#This Row],[Employment]]</f>
        <v>Chính thức</v>
      </c>
      <c r="L155" t="str">
        <f>survey_responses[[#This Row],[Tình trạng việc làm chính:]]</f>
        <v>Khu vực chính thức (Có Hợp đồng lao động, đóng BHXH)</v>
      </c>
      <c r="M155">
        <f>step3_validation[[#This Row],[Income_Mil]]</f>
        <v>12</v>
      </c>
      <c r="N155" t="str">
        <f>survey_responses[[#This Row],[Thu nhập bình quân tháng theo Hợp đồng lao động của bạn là bao nhiêu? (Vui lòng điền tổng thu nhập trước khi khấu trừ các loại Bảo hiểm (BHXH, BHYT, BHTN) và Thuế TNCN)]]</f>
        <v>Dưới 12 triệu VNĐ</v>
      </c>
      <c r="O155">
        <f>step3_validation[[#This Row],[Dependents]]</f>
        <v>2</v>
      </c>
      <c r="P155" t="str">
        <f>survey_responses[[#This Row],[Số người phụ thuộc (con nhỏ, cha mẹ già...) đủ điều kiện giảm trừ gia cảnh:]]</f>
        <v>2 người</v>
      </c>
      <c r="Q155">
        <f>step3_validation[[#This Row],[AI_ENF1]]</f>
        <v>9</v>
      </c>
      <c r="R155" t="str">
        <f t="shared" si="54"/>
        <v>Support</v>
      </c>
      <c r="S155">
        <f>survey_responses[[#This Row],[Tôi tin rằng với các quy định quản lý thuế hiện nay, hành vi gian lận hoặc trốn thuế sẽ dễ dàng bị phát hiện và xử lý nghiêm. - HUMAN-ENF1]]</f>
        <v>7</v>
      </c>
      <c r="T155" t="str">
        <f t="shared" si="55"/>
        <v>Neutral</v>
      </c>
      <c r="U155" s="32">
        <f t="shared" si="56"/>
        <v>2</v>
      </c>
      <c r="V155">
        <f>step3_validation[[#This Row],[AI_ENF2]]</f>
        <v>8</v>
      </c>
      <c r="W155" t="str">
        <f t="shared" si="57"/>
        <v>Support</v>
      </c>
      <c r="X155">
        <f>survey_responses[[#This Row],[Tôi tin rằng Nhà nước, cơ quan thuế có đủ khả năng và công nghệ để phát hiện, xử lý nghiêm các hành vi trốn thuế. - HUMAN-ENF2]]</f>
        <v>8</v>
      </c>
      <c r="Y155" t="str">
        <f t="shared" si="58"/>
        <v>Support</v>
      </c>
      <c r="Z155" s="32">
        <f t="shared" si="59"/>
        <v>0</v>
      </c>
      <c r="AA155">
        <f>step3_validation[[#This Row],[AI_FAC1]]</f>
        <v>9</v>
      </c>
      <c r="AB155" t="str">
        <f t="shared" si="60"/>
        <v>Support</v>
      </c>
      <c r="AC155">
        <f>survey_responses[[#This Row],[Các thủ tục khai báo thuế VÀ/HOẶC quy trình làm việc với cơ quan thuế đơn giản, tiện lợi, nhanh chóng hơn so với trước đây. - HUMAN-FAC1]]</f>
        <v>8</v>
      </c>
      <c r="AD155" t="str">
        <f t="shared" si="61"/>
        <v>Support</v>
      </c>
      <c r="AE155" s="32">
        <f t="shared" si="62"/>
        <v>1</v>
      </c>
      <c r="AF155">
        <f>step3_validation[[#This Row],[AI_FAC2]]</f>
        <v>8</v>
      </c>
      <c r="AG155" t="str">
        <f t="shared" si="63"/>
        <v>Support</v>
      </c>
      <c r="AH155">
        <f>survey_responses[[#This Row],[So với trước đây, tôi thấy cách tính thuế và các bậc thuế trong phương án mới đơn giản, dễ hiểu và dễ thực hiện hơn. - HUMAN-FAC2]]</f>
        <v>8</v>
      </c>
      <c r="AI155" t="str">
        <f t="shared" si="64"/>
        <v>Support</v>
      </c>
      <c r="AJ155" s="32">
        <f t="shared" si="65"/>
        <v>0</v>
      </c>
      <c r="AK155">
        <f>step3_validation[[#This Row],[AI_TRU1]]</f>
        <v>9</v>
      </c>
      <c r="AL155" t="str">
        <f t="shared" si="66"/>
        <v>Support</v>
      </c>
      <c r="AM155">
        <f>survey_responses[[#This Row],[Tôi tin rằng Nhà nước, cơ quan thuế sẽ thực thi chính sách mới một cách khách quan, công tâm và đối xử bình đẳng với mọi người nộp thuế.  - HUMAN-TRU1]]</f>
        <v>6</v>
      </c>
      <c r="AN155" t="str">
        <f t="shared" si="67"/>
        <v>Neutral</v>
      </c>
      <c r="AO155" s="32">
        <f t="shared" si="68"/>
        <v>3</v>
      </c>
      <c r="AP155">
        <f>step3_validation[[#This Row],[AI_TRU2]]</f>
        <v>8</v>
      </c>
      <c r="AQ155" t="str">
        <f t="shared" si="69"/>
        <v>Support</v>
      </c>
      <c r="AR155">
        <f>survey_responses[[#This Row],[Tôi thấy mức thuế tôi phải đóng theo phương án mới là công bằng (người thu nhập như tôi đóng mức này là hợp lý). - HUMAN-TRU2]]</f>
        <v>8</v>
      </c>
      <c r="AS155" t="str">
        <f t="shared" si="70"/>
        <v>Support</v>
      </c>
      <c r="AT155" s="32">
        <f t="shared" si="71"/>
        <v>0</v>
      </c>
      <c r="AU155">
        <f>step3_validation[[#This Row],[AI_TRU3]]</f>
        <v>7</v>
      </c>
      <c r="AV155" t="str">
        <f t="shared" si="72"/>
        <v>Neutral</v>
      </c>
      <c r="AW155">
        <f>survey_responses[[#This Row],[Tôi tin tưởng số tiền thuế tôi đóng sẽ được Nhà nước sử dụng hiệu quả để cải thiện dịch vụ công (y tế, đường xá...). - HUMAN-TRU3]]</f>
        <v>5</v>
      </c>
      <c r="AX155" t="str">
        <f t="shared" si="73"/>
        <v>Neutral</v>
      </c>
      <c r="AY155" s="32">
        <f t="shared" si="74"/>
        <v>2</v>
      </c>
      <c r="AZ155">
        <f>step3_validation[[#This Row],[AI_TRU4]]</f>
        <v>8</v>
      </c>
      <c r="BA155" t="str">
        <f t="shared" si="75"/>
        <v>Support</v>
      </c>
      <c r="BB155">
        <f>survey_responses[[#This Row],[Tôi thấy Nhà nước đã giải thích rõ ràng, minh bạch về lý do và mục tiêu của việc sửa đổi thuế lần này. - HUMAN-TRU4]]</f>
        <v>8</v>
      </c>
      <c r="BC155" t="str">
        <f t="shared" si="76"/>
        <v>Support</v>
      </c>
      <c r="BD155" s="32">
        <f t="shared" si="77"/>
        <v>0</v>
      </c>
      <c r="BE155">
        <f>step3_validation[[#This Row],[AI_OUT1]]</f>
        <v>9</v>
      </c>
      <c r="BF155" t="str">
        <f t="shared" si="78"/>
        <v>Support</v>
      </c>
      <c r="BG155">
        <f>survey_responses[[#This Row],[Sau khi xem xét các quyền lợi và nghĩa vụ, bạn có ủng hộ và tuân thủ chính sách mới hiện nay? - HUMAN-OUT1]]</f>
        <v>8</v>
      </c>
      <c r="BH155" t="str">
        <f t="shared" si="79"/>
        <v>Support</v>
      </c>
      <c r="BI155" s="32">
        <f t="shared" si="80"/>
        <v>1</v>
      </c>
    </row>
    <row r="156" spans="1:61" x14ac:dyDescent="0.45">
      <c r="A156" s="30">
        <f>step3_validation[[#This Row],[Persona_ID]]</f>
        <v>155</v>
      </c>
      <c r="B156" s="31">
        <f>step3_validation[[#This Row],[Used_Seed]]</f>
        <v>155</v>
      </c>
      <c r="C156" t="str">
        <f>step3_validation[[#This Row],[Gender]]</f>
        <v>Nữ</v>
      </c>
      <c r="D156" t="str">
        <f>survey_responses[[#This Row],[Giới tính của bạn:]]</f>
        <v>Nữ</v>
      </c>
      <c r="E156" t="str">
        <f>step3_validation[[#This Row],[Age_Group]]</f>
        <v>30 - 39</v>
      </c>
      <c r="F156" t="str">
        <f>survey_responses[[#This Row],[Độ tuổi của bạn:]]</f>
        <v>30 - 39</v>
      </c>
      <c r="G156" t="str">
        <f>step3_validation[[#This Row],[Region]]</f>
        <v>Thành thị</v>
      </c>
      <c r="H156" t="str">
        <f>survey_responses[[#This Row],[Khu vực bạn đang sinh sống:]]</f>
        <v>Thành thị</v>
      </c>
      <c r="I156" t="str">
        <f>step3_validation[[#This Row],[Education]]</f>
        <v>Sau Đại học</v>
      </c>
      <c r="J156" t="str">
        <f>survey_responses[[#This Row],[Trình độ học vấn cao nhất:]]</f>
        <v>Sau Đại học</v>
      </c>
      <c r="K156" t="str">
        <f>step3_validation[[#This Row],[Employment]]</f>
        <v>Chính thức</v>
      </c>
      <c r="L156" t="str">
        <f>survey_responses[[#This Row],[Tình trạng việc làm chính:]]</f>
        <v>Khu vực chính thức (Có Hợp đồng lao động, đóng BHXH)</v>
      </c>
      <c r="M156">
        <f>step3_validation[[#This Row],[Income_Mil]]</f>
        <v>54.541076385514671</v>
      </c>
      <c r="N156" t="str">
        <f>survey_responses[[#This Row],[Thu nhập bình quân tháng theo Hợp đồng lao động của bạn là bao nhiêu? (Vui lòng điền tổng thu nhập trước khi khấu trừ các loại Bảo hiểm (BHXH, BHYT, BHTN) và Thuế TNCN)]]</f>
        <v>Từ 48 - 70 triệu VNĐ</v>
      </c>
      <c r="O156">
        <f>step3_validation[[#This Row],[Dependents]]</f>
        <v>1</v>
      </c>
      <c r="P156" t="str">
        <f>survey_responses[[#This Row],[Số người phụ thuộc (con nhỏ, cha mẹ già...) đủ điều kiện giảm trừ gia cảnh:]]</f>
        <v>1 người</v>
      </c>
      <c r="Q156">
        <f>step3_validation[[#This Row],[AI_ENF1]]</f>
        <v>7</v>
      </c>
      <c r="R156" t="str">
        <f t="shared" si="54"/>
        <v>Neutral</v>
      </c>
      <c r="S156">
        <f>survey_responses[[#This Row],[Tôi tin rằng với các quy định quản lý thuế hiện nay, hành vi gian lận hoặc trốn thuế sẽ dễ dàng bị phát hiện và xử lý nghiêm. - HUMAN-ENF1]]</f>
        <v>10</v>
      </c>
      <c r="T156" t="str">
        <f t="shared" si="55"/>
        <v>Support</v>
      </c>
      <c r="U156" s="32">
        <f t="shared" si="56"/>
        <v>3</v>
      </c>
      <c r="V156">
        <f>step3_validation[[#This Row],[AI_ENF2]]</f>
        <v>8</v>
      </c>
      <c r="W156" t="str">
        <f t="shared" si="57"/>
        <v>Support</v>
      </c>
      <c r="X156">
        <f>survey_responses[[#This Row],[Tôi tin rằng Nhà nước, cơ quan thuế có đủ khả năng và công nghệ để phát hiện, xử lý nghiêm các hành vi trốn thuế. - HUMAN-ENF2]]</f>
        <v>10</v>
      </c>
      <c r="Y156" t="str">
        <f t="shared" si="58"/>
        <v>Support</v>
      </c>
      <c r="Z156" s="32">
        <f t="shared" si="59"/>
        <v>2</v>
      </c>
      <c r="AA156">
        <f>step3_validation[[#This Row],[AI_FAC1]]</f>
        <v>9</v>
      </c>
      <c r="AB156" t="str">
        <f t="shared" si="60"/>
        <v>Support</v>
      </c>
      <c r="AC156">
        <f>survey_responses[[#This Row],[Các thủ tục khai báo thuế VÀ/HOẶC quy trình làm việc với cơ quan thuế đơn giản, tiện lợi, nhanh chóng hơn so với trước đây. - HUMAN-FAC1]]</f>
        <v>10</v>
      </c>
      <c r="AD156" t="str">
        <f t="shared" si="61"/>
        <v>Support</v>
      </c>
      <c r="AE156" s="32">
        <f t="shared" si="62"/>
        <v>1</v>
      </c>
      <c r="AF156">
        <f>step3_validation[[#This Row],[AI_FAC2]]</f>
        <v>9</v>
      </c>
      <c r="AG156" t="str">
        <f t="shared" si="63"/>
        <v>Support</v>
      </c>
      <c r="AH156">
        <f>survey_responses[[#This Row],[So với trước đây, tôi thấy cách tính thuế và các bậc thuế trong phương án mới đơn giản, dễ hiểu và dễ thực hiện hơn. - HUMAN-FAC2]]</f>
        <v>10</v>
      </c>
      <c r="AI156" t="str">
        <f t="shared" si="64"/>
        <v>Support</v>
      </c>
      <c r="AJ156" s="32">
        <f t="shared" si="65"/>
        <v>1</v>
      </c>
      <c r="AK156">
        <f>step3_validation[[#This Row],[AI_TRU1]]</f>
        <v>6</v>
      </c>
      <c r="AL156" t="str">
        <f t="shared" si="66"/>
        <v>Neutral</v>
      </c>
      <c r="AM156">
        <f>survey_responses[[#This Row],[Tôi tin rằng Nhà nước, cơ quan thuế sẽ thực thi chính sách mới một cách khách quan, công tâm và đối xử bình đẳng với mọi người nộp thuế.  - HUMAN-TRU1]]</f>
        <v>10</v>
      </c>
      <c r="AN156" t="str">
        <f t="shared" si="67"/>
        <v>Support</v>
      </c>
      <c r="AO156" s="32">
        <f t="shared" si="68"/>
        <v>4</v>
      </c>
      <c r="AP156">
        <f>step3_validation[[#This Row],[AI_TRU2]]</f>
        <v>9</v>
      </c>
      <c r="AQ156" t="str">
        <f t="shared" si="69"/>
        <v>Support</v>
      </c>
      <c r="AR156">
        <f>survey_responses[[#This Row],[Tôi thấy mức thuế tôi phải đóng theo phương án mới là công bằng (người thu nhập như tôi đóng mức này là hợp lý). - HUMAN-TRU2]]</f>
        <v>10</v>
      </c>
      <c r="AS156" t="str">
        <f t="shared" si="70"/>
        <v>Support</v>
      </c>
      <c r="AT156" s="32">
        <f t="shared" si="71"/>
        <v>1</v>
      </c>
      <c r="AU156">
        <f>step3_validation[[#This Row],[AI_TRU3]]</f>
        <v>8</v>
      </c>
      <c r="AV156" t="str">
        <f t="shared" si="72"/>
        <v>Support</v>
      </c>
      <c r="AW156">
        <f>survey_responses[[#This Row],[Tôi tin tưởng số tiền thuế tôi đóng sẽ được Nhà nước sử dụng hiệu quả để cải thiện dịch vụ công (y tế, đường xá...). - HUMAN-TRU3]]</f>
        <v>10</v>
      </c>
      <c r="AX156" t="str">
        <f t="shared" si="73"/>
        <v>Support</v>
      </c>
      <c r="AY156" s="32">
        <f t="shared" si="74"/>
        <v>2</v>
      </c>
      <c r="AZ156">
        <f>step3_validation[[#This Row],[AI_TRU4]]</f>
        <v>7</v>
      </c>
      <c r="BA156" t="str">
        <f t="shared" si="75"/>
        <v>Neutral</v>
      </c>
      <c r="BB156">
        <f>survey_responses[[#This Row],[Tôi thấy Nhà nước đã giải thích rõ ràng, minh bạch về lý do và mục tiêu của việc sửa đổi thuế lần này. - HUMAN-TRU4]]</f>
        <v>10</v>
      </c>
      <c r="BC156" t="str">
        <f t="shared" si="76"/>
        <v>Support</v>
      </c>
      <c r="BD156" s="32">
        <f t="shared" si="77"/>
        <v>3</v>
      </c>
      <c r="BE156">
        <f>step3_validation[[#This Row],[AI_OUT1]]</f>
        <v>9</v>
      </c>
      <c r="BF156" t="str">
        <f t="shared" si="78"/>
        <v>Support</v>
      </c>
      <c r="BG156">
        <f>survey_responses[[#This Row],[Sau khi xem xét các quyền lợi và nghĩa vụ, bạn có ủng hộ và tuân thủ chính sách mới hiện nay? - HUMAN-OUT1]]</f>
        <v>10</v>
      </c>
      <c r="BH156" t="str">
        <f t="shared" si="79"/>
        <v>Support</v>
      </c>
      <c r="BI156" s="32">
        <f t="shared" si="80"/>
        <v>1</v>
      </c>
    </row>
    <row r="157" spans="1:61" x14ac:dyDescent="0.45">
      <c r="A157" s="30">
        <f>step3_validation[[#This Row],[Persona_ID]]</f>
        <v>156</v>
      </c>
      <c r="B157" s="31">
        <f>step3_validation[[#This Row],[Used_Seed]]</f>
        <v>156</v>
      </c>
      <c r="C157" t="str">
        <f>step3_validation[[#This Row],[Gender]]</f>
        <v>Nữ</v>
      </c>
      <c r="D157" t="str">
        <f>survey_responses[[#This Row],[Giới tính của bạn:]]</f>
        <v>Nữ</v>
      </c>
      <c r="E157" t="str">
        <f>step3_validation[[#This Row],[Age_Group]]</f>
        <v>30 - 39</v>
      </c>
      <c r="F157" t="str">
        <f>survey_responses[[#This Row],[Độ tuổi của bạn:]]</f>
        <v>30 - 39</v>
      </c>
      <c r="G157" t="str">
        <f>step3_validation[[#This Row],[Region]]</f>
        <v>Thành thị</v>
      </c>
      <c r="H157" t="str">
        <f>survey_responses[[#This Row],[Khu vực bạn đang sinh sống:]]</f>
        <v>Thành thị</v>
      </c>
      <c r="I157" t="str">
        <f>step3_validation[[#This Row],[Education]]</f>
        <v>Sau Đại học</v>
      </c>
      <c r="J157" t="str">
        <f>survey_responses[[#This Row],[Trình độ học vấn cao nhất:]]</f>
        <v>Sau Đại học</v>
      </c>
      <c r="K157" t="str">
        <f>step3_validation[[#This Row],[Employment]]</f>
        <v>Chính thức</v>
      </c>
      <c r="L157" t="str">
        <f>survey_responses[[#This Row],[Tình trạng việc làm chính:]]</f>
        <v>Khu vực chính thức (Có Hợp đồng lao động, đóng BHXH)</v>
      </c>
      <c r="M157">
        <f>step3_validation[[#This Row],[Income_Mil]]</f>
        <v>24.109760833859287</v>
      </c>
      <c r="N157" t="str">
        <f>survey_responses[[#This Row],[Thu nhập bình quân tháng theo Hợp đồng lao động của bạn là bao nhiêu? (Vui lòng điền tổng thu nhập trước khi khấu trừ các loại Bảo hiểm (BHXH, BHYT, BHTN) và Thuế TNCN)]]</f>
        <v>Từ 23 - 32 triệu VNĐ</v>
      </c>
      <c r="O157">
        <f>step3_validation[[#This Row],[Dependents]]</f>
        <v>1</v>
      </c>
      <c r="P157" t="str">
        <f>survey_responses[[#This Row],[Số người phụ thuộc (con nhỏ, cha mẹ già...) đủ điều kiện giảm trừ gia cảnh:]]</f>
        <v>1 người</v>
      </c>
      <c r="Q157">
        <f>step3_validation[[#This Row],[AI_ENF1]]</f>
        <v>7</v>
      </c>
      <c r="R157" t="str">
        <f t="shared" si="54"/>
        <v>Neutral</v>
      </c>
      <c r="S157">
        <f>survey_responses[[#This Row],[Tôi tin rằng với các quy định quản lý thuế hiện nay, hành vi gian lận hoặc trốn thuế sẽ dễ dàng bị phát hiện và xử lý nghiêm. - HUMAN-ENF1]]</f>
        <v>10</v>
      </c>
      <c r="T157" t="str">
        <f t="shared" si="55"/>
        <v>Support</v>
      </c>
      <c r="U157" s="32">
        <f t="shared" si="56"/>
        <v>3</v>
      </c>
      <c r="V157">
        <f>step3_validation[[#This Row],[AI_ENF2]]</f>
        <v>8</v>
      </c>
      <c r="W157" t="str">
        <f t="shared" si="57"/>
        <v>Support</v>
      </c>
      <c r="X157">
        <f>survey_responses[[#This Row],[Tôi tin rằng Nhà nước, cơ quan thuế có đủ khả năng và công nghệ để phát hiện, xử lý nghiêm các hành vi trốn thuế. - HUMAN-ENF2]]</f>
        <v>10</v>
      </c>
      <c r="Y157" t="str">
        <f t="shared" si="58"/>
        <v>Support</v>
      </c>
      <c r="Z157" s="32">
        <f t="shared" si="59"/>
        <v>2</v>
      </c>
      <c r="AA157">
        <f>step3_validation[[#This Row],[AI_FAC1]]</f>
        <v>9</v>
      </c>
      <c r="AB157" t="str">
        <f t="shared" si="60"/>
        <v>Support</v>
      </c>
      <c r="AC157">
        <f>survey_responses[[#This Row],[Các thủ tục khai báo thuế VÀ/HOẶC quy trình làm việc với cơ quan thuế đơn giản, tiện lợi, nhanh chóng hơn so với trước đây. - HUMAN-FAC1]]</f>
        <v>10</v>
      </c>
      <c r="AD157" t="str">
        <f t="shared" si="61"/>
        <v>Support</v>
      </c>
      <c r="AE157" s="32">
        <f t="shared" si="62"/>
        <v>1</v>
      </c>
      <c r="AF157">
        <f>step3_validation[[#This Row],[AI_FAC2]]</f>
        <v>9</v>
      </c>
      <c r="AG157" t="str">
        <f t="shared" si="63"/>
        <v>Support</v>
      </c>
      <c r="AH157">
        <f>survey_responses[[#This Row],[So với trước đây, tôi thấy cách tính thuế và các bậc thuế trong phương án mới đơn giản, dễ hiểu và dễ thực hiện hơn. - HUMAN-FAC2]]</f>
        <v>10</v>
      </c>
      <c r="AI157" t="str">
        <f t="shared" si="64"/>
        <v>Support</v>
      </c>
      <c r="AJ157" s="32">
        <f t="shared" si="65"/>
        <v>1</v>
      </c>
      <c r="AK157">
        <f>step3_validation[[#This Row],[AI_TRU1]]</f>
        <v>8</v>
      </c>
      <c r="AL157" t="str">
        <f t="shared" si="66"/>
        <v>Support</v>
      </c>
      <c r="AM157">
        <f>survey_responses[[#This Row],[Tôi tin rằng Nhà nước, cơ quan thuế sẽ thực thi chính sách mới một cách khách quan, công tâm và đối xử bình đẳng với mọi người nộp thuế.  - HUMAN-TRU1]]</f>
        <v>10</v>
      </c>
      <c r="AN157" t="str">
        <f t="shared" si="67"/>
        <v>Support</v>
      </c>
      <c r="AO157" s="32">
        <f t="shared" si="68"/>
        <v>2</v>
      </c>
      <c r="AP157">
        <f>step3_validation[[#This Row],[AI_TRU2]]</f>
        <v>9</v>
      </c>
      <c r="AQ157" t="str">
        <f t="shared" si="69"/>
        <v>Support</v>
      </c>
      <c r="AR157">
        <f>survey_responses[[#This Row],[Tôi thấy mức thuế tôi phải đóng theo phương án mới là công bằng (người thu nhập như tôi đóng mức này là hợp lý). - HUMAN-TRU2]]</f>
        <v>10</v>
      </c>
      <c r="AS157" t="str">
        <f t="shared" si="70"/>
        <v>Support</v>
      </c>
      <c r="AT157" s="32">
        <f t="shared" si="71"/>
        <v>1</v>
      </c>
      <c r="AU157">
        <f>step3_validation[[#This Row],[AI_TRU3]]</f>
        <v>8</v>
      </c>
      <c r="AV157" t="str">
        <f t="shared" si="72"/>
        <v>Support</v>
      </c>
      <c r="AW157">
        <f>survey_responses[[#This Row],[Tôi tin tưởng số tiền thuế tôi đóng sẽ được Nhà nước sử dụng hiệu quả để cải thiện dịch vụ công (y tế, đường xá...). - HUMAN-TRU3]]</f>
        <v>10</v>
      </c>
      <c r="AX157" t="str">
        <f t="shared" si="73"/>
        <v>Support</v>
      </c>
      <c r="AY157" s="32">
        <f t="shared" si="74"/>
        <v>2</v>
      </c>
      <c r="AZ157">
        <f>step3_validation[[#This Row],[AI_TRU4]]</f>
        <v>7</v>
      </c>
      <c r="BA157" t="str">
        <f t="shared" si="75"/>
        <v>Neutral</v>
      </c>
      <c r="BB157">
        <f>survey_responses[[#This Row],[Tôi thấy Nhà nước đã giải thích rõ ràng, minh bạch về lý do và mục tiêu của việc sửa đổi thuế lần này. - HUMAN-TRU4]]</f>
        <v>10</v>
      </c>
      <c r="BC157" t="str">
        <f t="shared" si="76"/>
        <v>Support</v>
      </c>
      <c r="BD157" s="32">
        <f t="shared" si="77"/>
        <v>3</v>
      </c>
      <c r="BE157">
        <f>step3_validation[[#This Row],[AI_OUT1]]</f>
        <v>9</v>
      </c>
      <c r="BF157" t="str">
        <f t="shared" si="78"/>
        <v>Support</v>
      </c>
      <c r="BG157">
        <f>survey_responses[[#This Row],[Sau khi xem xét các quyền lợi và nghĩa vụ, bạn có ủng hộ và tuân thủ chính sách mới hiện nay? - HUMAN-OUT1]]</f>
        <v>10</v>
      </c>
      <c r="BH157" t="str">
        <f t="shared" si="79"/>
        <v>Support</v>
      </c>
      <c r="BI157" s="32">
        <f t="shared" si="80"/>
        <v>1</v>
      </c>
    </row>
    <row r="158" spans="1:61" x14ac:dyDescent="0.45">
      <c r="A158" s="30">
        <f>step3_validation[[#This Row],[Persona_ID]]</f>
        <v>157</v>
      </c>
      <c r="B158" s="31">
        <f>step3_validation[[#This Row],[Used_Seed]]</f>
        <v>157</v>
      </c>
      <c r="C158" t="str">
        <f>step3_validation[[#This Row],[Gender]]</f>
        <v>Nam</v>
      </c>
      <c r="D158" t="str">
        <f>survey_responses[[#This Row],[Giới tính của bạn:]]</f>
        <v>Nam</v>
      </c>
      <c r="E158" t="str">
        <f>step3_validation[[#This Row],[Age_Group]]</f>
        <v>30 - 39</v>
      </c>
      <c r="F158" t="str">
        <f>survey_responses[[#This Row],[Độ tuổi của bạn:]]</f>
        <v>30 - 39</v>
      </c>
      <c r="G158" t="str">
        <f>step3_validation[[#This Row],[Region]]</f>
        <v>Thành thị</v>
      </c>
      <c r="H158" t="str">
        <f>survey_responses[[#This Row],[Khu vực bạn đang sinh sống:]]</f>
        <v>Thành thị</v>
      </c>
      <c r="I158" t="str">
        <f>step3_validation[[#This Row],[Education]]</f>
        <v>Đại học</v>
      </c>
      <c r="J158" t="str">
        <f>survey_responses[[#This Row],[Trình độ học vấn cao nhất:]]</f>
        <v>Đại học</v>
      </c>
      <c r="K158" t="str">
        <f>step3_validation[[#This Row],[Employment]]</f>
        <v>Chính thức</v>
      </c>
      <c r="L158" t="str">
        <f>survey_responses[[#This Row],[Tình trạng việc làm chính:]]</f>
        <v>Khu vực chính thức (Có Hợp đồng lao động, đóng BHXH)</v>
      </c>
      <c r="M158">
        <f>step3_validation[[#This Row],[Income_Mil]]</f>
        <v>78.155843210214599</v>
      </c>
      <c r="N158" t="str">
        <f>survey_responses[[#This Row],[Thu nhập bình quân tháng theo Hợp đồng lao động của bạn là bao nhiêu? (Vui lòng điền tổng thu nhập trước khi khấu trừ các loại Bảo hiểm (BHXH, BHYT, BHTN) và Thuế TNCN)]]</f>
        <v>Từ 70 - 102 triệu VNĐ</v>
      </c>
      <c r="O158">
        <f>step3_validation[[#This Row],[Dependents]]</f>
        <v>4</v>
      </c>
      <c r="P158" t="str">
        <f>survey_responses[[#This Row],[Số người phụ thuộc (con nhỏ, cha mẹ già...) đủ điều kiện giảm trừ gia cảnh:]]</f>
        <v>4 người trở lên</v>
      </c>
      <c r="Q158">
        <f>step3_validation[[#This Row],[AI_ENF1]]</f>
        <v>6</v>
      </c>
      <c r="R158" t="str">
        <f t="shared" si="54"/>
        <v>Neutral</v>
      </c>
      <c r="S158">
        <f>survey_responses[[#This Row],[Tôi tin rằng với các quy định quản lý thuế hiện nay, hành vi gian lận hoặc trốn thuế sẽ dễ dàng bị phát hiện và xử lý nghiêm. - HUMAN-ENF1]]</f>
        <v>10</v>
      </c>
      <c r="T158" t="str">
        <f t="shared" si="55"/>
        <v>Support</v>
      </c>
      <c r="U158" s="32">
        <f t="shared" si="56"/>
        <v>4</v>
      </c>
      <c r="V158">
        <f>step3_validation[[#This Row],[AI_ENF2]]</f>
        <v>7</v>
      </c>
      <c r="W158" t="str">
        <f t="shared" si="57"/>
        <v>Neutral</v>
      </c>
      <c r="X158">
        <f>survey_responses[[#This Row],[Tôi tin rằng Nhà nước, cơ quan thuế có đủ khả năng và công nghệ để phát hiện, xử lý nghiêm các hành vi trốn thuế. - HUMAN-ENF2]]</f>
        <v>10</v>
      </c>
      <c r="Y158" t="str">
        <f t="shared" si="58"/>
        <v>Support</v>
      </c>
      <c r="Z158" s="32">
        <f t="shared" si="59"/>
        <v>3</v>
      </c>
      <c r="AA158">
        <f>step3_validation[[#This Row],[AI_FAC1]]</f>
        <v>9</v>
      </c>
      <c r="AB158" t="str">
        <f t="shared" si="60"/>
        <v>Support</v>
      </c>
      <c r="AC158">
        <f>survey_responses[[#This Row],[Các thủ tục khai báo thuế VÀ/HOẶC quy trình làm việc với cơ quan thuế đơn giản, tiện lợi, nhanh chóng hơn so với trước đây. - HUMAN-FAC1]]</f>
        <v>1</v>
      </c>
      <c r="AD158" t="str">
        <f t="shared" si="61"/>
        <v>Oppose</v>
      </c>
      <c r="AE158" s="32">
        <f t="shared" si="62"/>
        <v>8</v>
      </c>
      <c r="AF158">
        <f>step3_validation[[#This Row],[AI_FAC2]]</f>
        <v>8</v>
      </c>
      <c r="AG158" t="str">
        <f t="shared" si="63"/>
        <v>Support</v>
      </c>
      <c r="AH158">
        <f>survey_responses[[#This Row],[So với trước đây, tôi thấy cách tính thuế và các bậc thuế trong phương án mới đơn giản, dễ hiểu và dễ thực hiện hơn. - HUMAN-FAC2]]</f>
        <v>10</v>
      </c>
      <c r="AI158" t="str">
        <f t="shared" si="64"/>
        <v>Support</v>
      </c>
      <c r="AJ158" s="32">
        <f t="shared" si="65"/>
        <v>2</v>
      </c>
      <c r="AK158">
        <f>step3_validation[[#This Row],[AI_TRU1]]</f>
        <v>9</v>
      </c>
      <c r="AL158" t="str">
        <f t="shared" si="66"/>
        <v>Support</v>
      </c>
      <c r="AM158">
        <f>survey_responses[[#This Row],[Tôi tin rằng Nhà nước, cơ quan thuế sẽ thực thi chính sách mới một cách khách quan, công tâm và đối xử bình đẳng với mọi người nộp thuế.  - HUMAN-TRU1]]</f>
        <v>1</v>
      </c>
      <c r="AN158" t="str">
        <f t="shared" si="67"/>
        <v>Oppose</v>
      </c>
      <c r="AO158" s="32">
        <f t="shared" si="68"/>
        <v>8</v>
      </c>
      <c r="AP158">
        <f>step3_validation[[#This Row],[AI_TRU2]]</f>
        <v>8</v>
      </c>
      <c r="AQ158" t="str">
        <f t="shared" si="69"/>
        <v>Support</v>
      </c>
      <c r="AR158">
        <f>survey_responses[[#This Row],[Tôi thấy mức thuế tôi phải đóng theo phương án mới là công bằng (người thu nhập như tôi đóng mức này là hợp lý). - HUMAN-TRU2]]</f>
        <v>1</v>
      </c>
      <c r="AS158" t="str">
        <f t="shared" si="70"/>
        <v>Oppose</v>
      </c>
      <c r="AT158" s="32">
        <f t="shared" si="71"/>
        <v>7</v>
      </c>
      <c r="AU158">
        <f>step3_validation[[#This Row],[AI_TRU3]]</f>
        <v>7</v>
      </c>
      <c r="AV158" t="str">
        <f t="shared" si="72"/>
        <v>Neutral</v>
      </c>
      <c r="AW158">
        <f>survey_responses[[#This Row],[Tôi tin tưởng số tiền thuế tôi đóng sẽ được Nhà nước sử dụng hiệu quả để cải thiện dịch vụ công (y tế, đường xá...). - HUMAN-TRU3]]</f>
        <v>1</v>
      </c>
      <c r="AX158" t="str">
        <f t="shared" si="73"/>
        <v>Oppose</v>
      </c>
      <c r="AY158" s="32">
        <f t="shared" si="74"/>
        <v>6</v>
      </c>
      <c r="AZ158">
        <f>step3_validation[[#This Row],[AI_TRU4]]</f>
        <v>6</v>
      </c>
      <c r="BA158" t="str">
        <f t="shared" si="75"/>
        <v>Neutral</v>
      </c>
      <c r="BB158">
        <f>survey_responses[[#This Row],[Tôi thấy Nhà nước đã giải thích rõ ràng, minh bạch về lý do và mục tiêu của việc sửa đổi thuế lần này. - HUMAN-TRU4]]</f>
        <v>1</v>
      </c>
      <c r="BC158" t="str">
        <f t="shared" si="76"/>
        <v>Oppose</v>
      </c>
      <c r="BD158" s="32">
        <f t="shared" si="77"/>
        <v>5</v>
      </c>
      <c r="BE158">
        <f>step3_validation[[#This Row],[AI_OUT1]]</f>
        <v>9</v>
      </c>
      <c r="BF158" t="str">
        <f t="shared" si="78"/>
        <v>Support</v>
      </c>
      <c r="BG158">
        <f>survey_responses[[#This Row],[Sau khi xem xét các quyền lợi và nghĩa vụ, bạn có ủng hộ và tuân thủ chính sách mới hiện nay? - HUMAN-OUT1]]</f>
        <v>6</v>
      </c>
      <c r="BH158" t="str">
        <f t="shared" si="79"/>
        <v>Neutral</v>
      </c>
      <c r="BI158" s="32">
        <f t="shared" si="80"/>
        <v>3</v>
      </c>
    </row>
    <row r="159" spans="1:61" x14ac:dyDescent="0.45">
      <c r="A159" s="30">
        <f>step3_validation[[#This Row],[Persona_ID]]</f>
        <v>158</v>
      </c>
      <c r="B159" s="31">
        <f>step3_validation[[#This Row],[Used_Seed]]</f>
        <v>158</v>
      </c>
      <c r="C159" t="str">
        <f>step3_validation[[#This Row],[Gender]]</f>
        <v>Nữ</v>
      </c>
      <c r="D159" t="str">
        <f>survey_responses[[#This Row],[Giới tính của bạn:]]</f>
        <v>Nữ</v>
      </c>
      <c r="E159" t="str">
        <f>step3_validation[[#This Row],[Age_Group]]</f>
        <v>30 - 39</v>
      </c>
      <c r="F159" t="str">
        <f>survey_responses[[#This Row],[Độ tuổi của bạn:]]</f>
        <v>30 - 39</v>
      </c>
      <c r="G159" t="str">
        <f>step3_validation[[#This Row],[Region]]</f>
        <v>Thành thị</v>
      </c>
      <c r="H159" t="str">
        <f>survey_responses[[#This Row],[Khu vực bạn đang sinh sống:]]</f>
        <v>Thành thị</v>
      </c>
      <c r="I159" t="str">
        <f>step3_validation[[#This Row],[Education]]</f>
        <v>Đại học</v>
      </c>
      <c r="J159" t="str">
        <f>survey_responses[[#This Row],[Trình độ học vấn cao nhất:]]</f>
        <v>Đại học</v>
      </c>
      <c r="K159" t="str">
        <f>step3_validation[[#This Row],[Employment]]</f>
        <v>Chính thức</v>
      </c>
      <c r="L159" t="str">
        <f>survey_responses[[#This Row],[Tình trạng việc làm chính:]]</f>
        <v>Khu vực chính thức (Có Hợp đồng lao động, đóng BHXH)</v>
      </c>
      <c r="M159">
        <f>step3_validation[[#This Row],[Income_Mil]]</f>
        <v>100.04307549236735</v>
      </c>
      <c r="N159" t="str">
        <f>survey_responses[[#This Row],[Thu nhập bình quân tháng theo Hợp đồng lao động của bạn là bao nhiêu? (Vui lòng điền tổng thu nhập trước khi khấu trừ các loại Bảo hiểm (BHXH, BHYT, BHTN) và Thuế TNCN)]]</f>
        <v>Từ 70 - 102 triệu VNĐ</v>
      </c>
      <c r="O159">
        <f>step3_validation[[#This Row],[Dependents]]</f>
        <v>2</v>
      </c>
      <c r="P159" t="str">
        <f>survey_responses[[#This Row],[Số người phụ thuộc (con nhỏ, cha mẹ già...) đủ điều kiện giảm trừ gia cảnh:]]</f>
        <v>2 người</v>
      </c>
      <c r="Q159">
        <f>step3_validation[[#This Row],[AI_ENF1]]</f>
        <v>9</v>
      </c>
      <c r="R159" t="str">
        <f t="shared" si="54"/>
        <v>Support</v>
      </c>
      <c r="S159">
        <f>survey_responses[[#This Row],[Tôi tin rằng với các quy định quản lý thuế hiện nay, hành vi gian lận hoặc trốn thuế sẽ dễ dàng bị phát hiện và xử lý nghiêm. - HUMAN-ENF1]]</f>
        <v>7</v>
      </c>
      <c r="T159" t="str">
        <f t="shared" si="55"/>
        <v>Neutral</v>
      </c>
      <c r="U159" s="32">
        <f t="shared" si="56"/>
        <v>2</v>
      </c>
      <c r="V159">
        <f>step3_validation[[#This Row],[AI_ENF2]]</f>
        <v>8</v>
      </c>
      <c r="W159" t="str">
        <f t="shared" si="57"/>
        <v>Support</v>
      </c>
      <c r="X159">
        <f>survey_responses[[#This Row],[Tôi tin rằng Nhà nước, cơ quan thuế có đủ khả năng và công nghệ để phát hiện, xử lý nghiêm các hành vi trốn thuế. - HUMAN-ENF2]]</f>
        <v>8</v>
      </c>
      <c r="Y159" t="str">
        <f t="shared" si="58"/>
        <v>Support</v>
      </c>
      <c r="Z159" s="32">
        <f t="shared" si="59"/>
        <v>0</v>
      </c>
      <c r="AA159">
        <f>step3_validation[[#This Row],[AI_FAC1]]</f>
        <v>8</v>
      </c>
      <c r="AB159" t="str">
        <f t="shared" si="60"/>
        <v>Support</v>
      </c>
      <c r="AC159">
        <f>survey_responses[[#This Row],[Các thủ tục khai báo thuế VÀ/HOẶC quy trình làm việc với cơ quan thuế đơn giản, tiện lợi, nhanh chóng hơn so với trước đây. - HUMAN-FAC1]]</f>
        <v>6</v>
      </c>
      <c r="AD159" t="str">
        <f t="shared" si="61"/>
        <v>Neutral</v>
      </c>
      <c r="AE159" s="32">
        <f t="shared" si="62"/>
        <v>2</v>
      </c>
      <c r="AF159">
        <f>step3_validation[[#This Row],[AI_FAC2]]</f>
        <v>9</v>
      </c>
      <c r="AG159" t="str">
        <f t="shared" si="63"/>
        <v>Support</v>
      </c>
      <c r="AH159">
        <f>survey_responses[[#This Row],[So với trước đây, tôi thấy cách tính thuế và các bậc thuế trong phương án mới đơn giản, dễ hiểu và dễ thực hiện hơn. - HUMAN-FAC2]]</f>
        <v>6</v>
      </c>
      <c r="AI159" t="str">
        <f t="shared" si="64"/>
        <v>Neutral</v>
      </c>
      <c r="AJ159" s="32">
        <f t="shared" si="65"/>
        <v>3</v>
      </c>
      <c r="AK159">
        <f>step3_validation[[#This Row],[AI_TRU1]]</f>
        <v>8</v>
      </c>
      <c r="AL159" t="str">
        <f t="shared" si="66"/>
        <v>Support</v>
      </c>
      <c r="AM159">
        <f>survey_responses[[#This Row],[Tôi tin rằng Nhà nước, cơ quan thuế sẽ thực thi chính sách mới một cách khách quan, công tâm và đối xử bình đẳng với mọi người nộp thuế.  - HUMAN-TRU1]]</f>
        <v>7</v>
      </c>
      <c r="AN159" t="str">
        <f t="shared" si="67"/>
        <v>Neutral</v>
      </c>
      <c r="AO159" s="32">
        <f t="shared" si="68"/>
        <v>1</v>
      </c>
      <c r="AP159">
        <f>step3_validation[[#This Row],[AI_TRU2]]</f>
        <v>8</v>
      </c>
      <c r="AQ159" t="str">
        <f t="shared" si="69"/>
        <v>Support</v>
      </c>
      <c r="AR159">
        <f>survey_responses[[#This Row],[Tôi thấy mức thuế tôi phải đóng theo phương án mới là công bằng (người thu nhập như tôi đóng mức này là hợp lý). - HUMAN-TRU2]]</f>
        <v>5</v>
      </c>
      <c r="AS159" t="str">
        <f t="shared" si="70"/>
        <v>Neutral</v>
      </c>
      <c r="AT159" s="32">
        <f t="shared" si="71"/>
        <v>3</v>
      </c>
      <c r="AU159">
        <f>step3_validation[[#This Row],[AI_TRU3]]</f>
        <v>9</v>
      </c>
      <c r="AV159" t="str">
        <f t="shared" si="72"/>
        <v>Support</v>
      </c>
      <c r="AW159">
        <f>survey_responses[[#This Row],[Tôi tin tưởng số tiền thuế tôi đóng sẽ được Nhà nước sử dụng hiệu quả để cải thiện dịch vụ công (y tế, đường xá...). - HUMAN-TRU3]]</f>
        <v>6</v>
      </c>
      <c r="AX159" t="str">
        <f t="shared" si="73"/>
        <v>Neutral</v>
      </c>
      <c r="AY159" s="32">
        <f t="shared" si="74"/>
        <v>3</v>
      </c>
      <c r="AZ159">
        <f>step3_validation[[#This Row],[AI_TRU4]]</f>
        <v>8</v>
      </c>
      <c r="BA159" t="str">
        <f t="shared" si="75"/>
        <v>Support</v>
      </c>
      <c r="BB159">
        <f>survey_responses[[#This Row],[Tôi thấy Nhà nước đã giải thích rõ ràng, minh bạch về lý do và mục tiêu của việc sửa đổi thuế lần này. - HUMAN-TRU4]]</f>
        <v>7</v>
      </c>
      <c r="BC159" t="str">
        <f t="shared" si="76"/>
        <v>Neutral</v>
      </c>
      <c r="BD159" s="32">
        <f t="shared" si="77"/>
        <v>1</v>
      </c>
      <c r="BE159">
        <f>step3_validation[[#This Row],[AI_OUT1]]</f>
        <v>9</v>
      </c>
      <c r="BF159" t="str">
        <f t="shared" si="78"/>
        <v>Support</v>
      </c>
      <c r="BG159">
        <f>survey_responses[[#This Row],[Sau khi xem xét các quyền lợi và nghĩa vụ, bạn có ủng hộ và tuân thủ chính sách mới hiện nay? - HUMAN-OUT1]]</f>
        <v>7</v>
      </c>
      <c r="BH159" t="str">
        <f t="shared" si="79"/>
        <v>Neutral</v>
      </c>
      <c r="BI159" s="32">
        <f t="shared" si="80"/>
        <v>2</v>
      </c>
    </row>
    <row r="160" spans="1:61" x14ac:dyDescent="0.45">
      <c r="A160" s="30">
        <f>step3_validation[[#This Row],[Persona_ID]]</f>
        <v>159</v>
      </c>
      <c r="B160" s="31">
        <f>step3_validation[[#This Row],[Used_Seed]]</f>
        <v>159</v>
      </c>
      <c r="C160" t="str">
        <f>step3_validation[[#This Row],[Gender]]</f>
        <v>Nam</v>
      </c>
      <c r="D160" t="str">
        <f>survey_responses[[#This Row],[Giới tính của bạn:]]</f>
        <v>Nam</v>
      </c>
      <c r="E160" t="str">
        <f>step3_validation[[#This Row],[Age_Group]]</f>
        <v>40 - 49</v>
      </c>
      <c r="F160" t="str">
        <f>survey_responses[[#This Row],[Độ tuổi của bạn:]]</f>
        <v>40 - 49</v>
      </c>
      <c r="G160" t="str">
        <f>step3_validation[[#This Row],[Region]]</f>
        <v>Thành thị</v>
      </c>
      <c r="H160" t="str">
        <f>survey_responses[[#This Row],[Khu vực bạn đang sinh sống:]]</f>
        <v>Thành thị</v>
      </c>
      <c r="I160" t="str">
        <f>step3_validation[[#This Row],[Education]]</f>
        <v>Đại học</v>
      </c>
      <c r="J160" t="str">
        <f>survey_responses[[#This Row],[Trình độ học vấn cao nhất:]]</f>
        <v>Đại học</v>
      </c>
      <c r="K160" t="str">
        <f>step3_validation[[#This Row],[Employment]]</f>
        <v>Chính thức</v>
      </c>
      <c r="L160" t="str">
        <f>survey_responses[[#This Row],[Tình trạng việc làm chính:]]</f>
        <v>Khu vực chính thức (Có Hợp đồng lao động, đóng BHXH)</v>
      </c>
      <c r="M160">
        <f>step3_validation[[#This Row],[Income_Mil]]</f>
        <v>44.14911621603617</v>
      </c>
      <c r="N160" t="str">
        <f>survey_responses[[#This Row],[Thu nhập bình quân tháng theo Hợp đồng lao động của bạn là bao nhiêu? (Vui lòng điền tổng thu nhập trước khi khấu trừ các loại Bảo hiểm (BHXH, BHYT, BHTN) và Thuế TNCN)]]</f>
        <v>Từ 32 - 48 triệu VNĐ</v>
      </c>
      <c r="O160">
        <f>step3_validation[[#This Row],[Dependents]]</f>
        <v>0</v>
      </c>
      <c r="P160" t="str">
        <f>survey_responses[[#This Row],[Số người phụ thuộc (con nhỏ, cha mẹ già...) đủ điều kiện giảm trừ gia cảnh:]]</f>
        <v>0 người</v>
      </c>
      <c r="Q160">
        <f>step3_validation[[#This Row],[AI_ENF1]]</f>
        <v>5</v>
      </c>
      <c r="R160" t="str">
        <f t="shared" si="54"/>
        <v>Neutral</v>
      </c>
      <c r="S160">
        <f>survey_responses[[#This Row],[Tôi tin rằng với các quy định quản lý thuế hiện nay, hành vi gian lận hoặc trốn thuế sẽ dễ dàng bị phát hiện và xử lý nghiêm. - HUMAN-ENF1]]</f>
        <v>2</v>
      </c>
      <c r="T160" t="str">
        <f t="shared" si="55"/>
        <v>Oppose</v>
      </c>
      <c r="U160" s="32">
        <f t="shared" si="56"/>
        <v>3</v>
      </c>
      <c r="V160">
        <f>step3_validation[[#This Row],[AI_ENF2]]</f>
        <v>6</v>
      </c>
      <c r="W160" t="str">
        <f t="shared" si="57"/>
        <v>Neutral</v>
      </c>
      <c r="X160">
        <f>survey_responses[[#This Row],[Tôi tin rằng Nhà nước, cơ quan thuế có đủ khả năng và công nghệ để phát hiện, xử lý nghiêm các hành vi trốn thuế. - HUMAN-ENF2]]</f>
        <v>7</v>
      </c>
      <c r="Y160" t="str">
        <f t="shared" si="58"/>
        <v>Neutral</v>
      </c>
      <c r="Z160" s="32">
        <f t="shared" si="59"/>
        <v>1</v>
      </c>
      <c r="AA160">
        <f>step3_validation[[#This Row],[AI_FAC1]]</f>
        <v>9</v>
      </c>
      <c r="AB160" t="str">
        <f t="shared" si="60"/>
        <v>Support</v>
      </c>
      <c r="AC160">
        <f>survey_responses[[#This Row],[Các thủ tục khai báo thuế VÀ/HOẶC quy trình làm việc với cơ quan thuế đơn giản, tiện lợi, nhanh chóng hơn so với trước đây. - HUMAN-FAC1]]</f>
        <v>10</v>
      </c>
      <c r="AD160" t="str">
        <f t="shared" si="61"/>
        <v>Support</v>
      </c>
      <c r="AE160" s="32">
        <f t="shared" si="62"/>
        <v>1</v>
      </c>
      <c r="AF160">
        <f>step3_validation[[#This Row],[AI_FAC2]]</f>
        <v>8</v>
      </c>
      <c r="AG160" t="str">
        <f t="shared" si="63"/>
        <v>Support</v>
      </c>
      <c r="AH160">
        <f>survey_responses[[#This Row],[So với trước đây, tôi thấy cách tính thuế và các bậc thuế trong phương án mới đơn giản, dễ hiểu và dễ thực hiện hơn. - HUMAN-FAC2]]</f>
        <v>2</v>
      </c>
      <c r="AI160" t="str">
        <f t="shared" si="64"/>
        <v>Oppose</v>
      </c>
      <c r="AJ160" s="32">
        <f t="shared" si="65"/>
        <v>6</v>
      </c>
      <c r="AK160">
        <f>step3_validation[[#This Row],[AI_TRU1]]</f>
        <v>7</v>
      </c>
      <c r="AL160" t="str">
        <f t="shared" si="66"/>
        <v>Neutral</v>
      </c>
      <c r="AM160">
        <f>survey_responses[[#This Row],[Tôi tin rằng Nhà nước, cơ quan thuế sẽ thực thi chính sách mới một cách khách quan, công tâm và đối xử bình đẳng với mọi người nộp thuế.  - HUMAN-TRU1]]</f>
        <v>10</v>
      </c>
      <c r="AN160" t="str">
        <f t="shared" si="67"/>
        <v>Support</v>
      </c>
      <c r="AO160" s="32">
        <f t="shared" si="68"/>
        <v>3</v>
      </c>
      <c r="AP160">
        <f>step3_validation[[#This Row],[AI_TRU2]]</f>
        <v>9</v>
      </c>
      <c r="AQ160" t="str">
        <f t="shared" si="69"/>
        <v>Support</v>
      </c>
      <c r="AR160">
        <f>survey_responses[[#This Row],[Tôi thấy mức thuế tôi phải đóng theo phương án mới là công bằng (người thu nhập như tôi đóng mức này là hợp lý). - HUMAN-TRU2]]</f>
        <v>5</v>
      </c>
      <c r="AS160" t="str">
        <f t="shared" si="70"/>
        <v>Neutral</v>
      </c>
      <c r="AT160" s="32">
        <f t="shared" si="71"/>
        <v>4</v>
      </c>
      <c r="AU160">
        <f>step3_validation[[#This Row],[AI_TRU3]]</f>
        <v>7</v>
      </c>
      <c r="AV160" t="str">
        <f t="shared" si="72"/>
        <v>Neutral</v>
      </c>
      <c r="AW160">
        <f>survey_responses[[#This Row],[Tôi tin tưởng số tiền thuế tôi đóng sẽ được Nhà nước sử dụng hiệu quả để cải thiện dịch vụ công (y tế, đường xá...). - HUMAN-TRU3]]</f>
        <v>10</v>
      </c>
      <c r="AX160" t="str">
        <f t="shared" si="73"/>
        <v>Support</v>
      </c>
      <c r="AY160" s="32">
        <f t="shared" si="74"/>
        <v>3</v>
      </c>
      <c r="AZ160">
        <f>step3_validation[[#This Row],[AI_TRU4]]</f>
        <v>8</v>
      </c>
      <c r="BA160" t="str">
        <f t="shared" si="75"/>
        <v>Support</v>
      </c>
      <c r="BB160">
        <f>survey_responses[[#This Row],[Tôi thấy Nhà nước đã giải thích rõ ràng, minh bạch về lý do và mục tiêu của việc sửa đổi thuế lần này. - HUMAN-TRU4]]</f>
        <v>3</v>
      </c>
      <c r="BC160" t="str">
        <f t="shared" si="76"/>
        <v>Oppose</v>
      </c>
      <c r="BD160" s="32">
        <f t="shared" si="77"/>
        <v>5</v>
      </c>
      <c r="BE160">
        <f>step3_validation[[#This Row],[AI_OUT1]]</f>
        <v>9</v>
      </c>
      <c r="BF160" t="str">
        <f t="shared" si="78"/>
        <v>Support</v>
      </c>
      <c r="BG160">
        <f>survey_responses[[#This Row],[Sau khi xem xét các quyền lợi và nghĩa vụ, bạn có ủng hộ và tuân thủ chính sách mới hiện nay? - HUMAN-OUT1]]</f>
        <v>3</v>
      </c>
      <c r="BH160" t="str">
        <f t="shared" si="79"/>
        <v>Oppose</v>
      </c>
      <c r="BI160" s="32">
        <f t="shared" si="80"/>
        <v>6</v>
      </c>
    </row>
    <row r="161" spans="1:61" x14ac:dyDescent="0.45">
      <c r="A161" s="30">
        <f>step3_validation[[#This Row],[Persona_ID]]</f>
        <v>160</v>
      </c>
      <c r="B161" s="31">
        <f>step3_validation[[#This Row],[Used_Seed]]</f>
        <v>160</v>
      </c>
      <c r="C161" t="str">
        <f>step3_validation[[#This Row],[Gender]]</f>
        <v>Nữ</v>
      </c>
      <c r="D161" t="str">
        <f>survey_responses[[#This Row],[Giới tính của bạn:]]</f>
        <v>Nữ</v>
      </c>
      <c r="E161" t="str">
        <f>step3_validation[[#This Row],[Age_Group]]</f>
        <v>30 - 39</v>
      </c>
      <c r="F161" t="str">
        <f>survey_responses[[#This Row],[Độ tuổi của bạn:]]</f>
        <v>30 - 39</v>
      </c>
      <c r="G161" t="str">
        <f>step3_validation[[#This Row],[Region]]</f>
        <v>Thành thị</v>
      </c>
      <c r="H161" t="str">
        <f>survey_responses[[#This Row],[Khu vực bạn đang sinh sống:]]</f>
        <v>Thành thị</v>
      </c>
      <c r="I161" t="str">
        <f>step3_validation[[#This Row],[Education]]</f>
        <v>Sau Đại học</v>
      </c>
      <c r="J161" t="str">
        <f>survey_responses[[#This Row],[Trình độ học vấn cao nhất:]]</f>
        <v>Sau Đại học</v>
      </c>
      <c r="K161" t="str">
        <f>step3_validation[[#This Row],[Employment]]</f>
        <v>Chính thức</v>
      </c>
      <c r="L161" t="str">
        <f>survey_responses[[#This Row],[Tình trạng việc làm chính:]]</f>
        <v>Khu vực chính thức (Có Hợp đồng lao động, đóng BHXH)</v>
      </c>
      <c r="M161">
        <f>step3_validation[[#This Row],[Income_Mil]]</f>
        <v>40.318998811515655</v>
      </c>
      <c r="N161" t="str">
        <f>survey_responses[[#This Row],[Thu nhập bình quân tháng theo Hợp đồng lao động của bạn là bao nhiêu? (Vui lòng điền tổng thu nhập trước khi khấu trừ các loại Bảo hiểm (BHXH, BHYT, BHTN) và Thuế TNCN)]]</f>
        <v>Từ 32 - 48 triệu VNĐ</v>
      </c>
      <c r="O161">
        <f>step3_validation[[#This Row],[Dependents]]</f>
        <v>0</v>
      </c>
      <c r="P161" t="str">
        <f>survey_responses[[#This Row],[Số người phụ thuộc (con nhỏ, cha mẹ già...) đủ điều kiện giảm trừ gia cảnh:]]</f>
        <v>0 người</v>
      </c>
      <c r="Q161">
        <f>step3_validation[[#This Row],[AI_ENF1]]</f>
        <v>6</v>
      </c>
      <c r="R161" t="str">
        <f t="shared" si="54"/>
        <v>Neutral</v>
      </c>
      <c r="S161">
        <f>survey_responses[[#This Row],[Tôi tin rằng với các quy định quản lý thuế hiện nay, hành vi gian lận hoặc trốn thuế sẽ dễ dàng bị phát hiện và xử lý nghiêm. - HUMAN-ENF1]]</f>
        <v>9</v>
      </c>
      <c r="T161" t="str">
        <f t="shared" si="55"/>
        <v>Support</v>
      </c>
      <c r="U161" s="32">
        <f t="shared" si="56"/>
        <v>3</v>
      </c>
      <c r="V161">
        <f>step3_validation[[#This Row],[AI_ENF2]]</f>
        <v>7</v>
      </c>
      <c r="W161" t="str">
        <f t="shared" si="57"/>
        <v>Neutral</v>
      </c>
      <c r="X161">
        <f>survey_responses[[#This Row],[Tôi tin rằng Nhà nước, cơ quan thuế có đủ khả năng và công nghệ để phát hiện, xử lý nghiêm các hành vi trốn thuế. - HUMAN-ENF2]]</f>
        <v>9</v>
      </c>
      <c r="Y161" t="str">
        <f t="shared" si="58"/>
        <v>Support</v>
      </c>
      <c r="Z161" s="32">
        <f t="shared" si="59"/>
        <v>2</v>
      </c>
      <c r="AA161">
        <f>step3_validation[[#This Row],[AI_FAC1]]</f>
        <v>8</v>
      </c>
      <c r="AB161" t="str">
        <f t="shared" si="60"/>
        <v>Support</v>
      </c>
      <c r="AC161">
        <f>survey_responses[[#This Row],[Các thủ tục khai báo thuế VÀ/HOẶC quy trình làm việc với cơ quan thuế đơn giản, tiện lợi, nhanh chóng hơn so với trước đây. - HUMAN-FAC1]]</f>
        <v>10</v>
      </c>
      <c r="AD161" t="str">
        <f t="shared" si="61"/>
        <v>Support</v>
      </c>
      <c r="AE161" s="32">
        <f t="shared" si="62"/>
        <v>2</v>
      </c>
      <c r="AF161">
        <f>step3_validation[[#This Row],[AI_FAC2]]</f>
        <v>9</v>
      </c>
      <c r="AG161" t="str">
        <f t="shared" si="63"/>
        <v>Support</v>
      </c>
      <c r="AH161">
        <f>survey_responses[[#This Row],[So với trước đây, tôi thấy cách tính thuế và các bậc thuế trong phương án mới đơn giản, dễ hiểu và dễ thực hiện hơn. - HUMAN-FAC2]]</f>
        <v>2</v>
      </c>
      <c r="AI161" t="str">
        <f t="shared" si="64"/>
        <v>Oppose</v>
      </c>
      <c r="AJ161" s="32">
        <f t="shared" si="65"/>
        <v>7</v>
      </c>
      <c r="AK161">
        <f>step3_validation[[#This Row],[AI_TRU1]]</f>
        <v>7</v>
      </c>
      <c r="AL161" t="str">
        <f t="shared" si="66"/>
        <v>Neutral</v>
      </c>
      <c r="AM161">
        <f>survey_responses[[#This Row],[Tôi tin rằng Nhà nước, cơ quan thuế sẽ thực thi chính sách mới một cách khách quan, công tâm và đối xử bình đẳng với mọi người nộp thuế.  - HUMAN-TRU1]]</f>
        <v>9</v>
      </c>
      <c r="AN161" t="str">
        <f t="shared" si="67"/>
        <v>Support</v>
      </c>
      <c r="AO161" s="32">
        <f t="shared" si="68"/>
        <v>2</v>
      </c>
      <c r="AP161">
        <f>step3_validation[[#This Row],[AI_TRU2]]</f>
        <v>9</v>
      </c>
      <c r="AQ161" t="str">
        <f t="shared" si="69"/>
        <v>Support</v>
      </c>
      <c r="AR161">
        <f>survey_responses[[#This Row],[Tôi thấy mức thuế tôi phải đóng theo phương án mới là công bằng (người thu nhập như tôi đóng mức này là hợp lý). - HUMAN-TRU2]]</f>
        <v>9</v>
      </c>
      <c r="AS161" t="str">
        <f t="shared" si="70"/>
        <v>Support</v>
      </c>
      <c r="AT161" s="32">
        <f t="shared" si="71"/>
        <v>0</v>
      </c>
      <c r="AU161">
        <f>step3_validation[[#This Row],[AI_TRU3]]</f>
        <v>8</v>
      </c>
      <c r="AV161" t="str">
        <f t="shared" si="72"/>
        <v>Support</v>
      </c>
      <c r="AW161">
        <f>survey_responses[[#This Row],[Tôi tin tưởng số tiền thuế tôi đóng sẽ được Nhà nước sử dụng hiệu quả để cải thiện dịch vụ công (y tế, đường xá...). - HUMAN-TRU3]]</f>
        <v>6</v>
      </c>
      <c r="AX161" t="str">
        <f t="shared" si="73"/>
        <v>Neutral</v>
      </c>
      <c r="AY161" s="32">
        <f t="shared" si="74"/>
        <v>2</v>
      </c>
      <c r="AZ161">
        <f>step3_validation[[#This Row],[AI_TRU4]]</f>
        <v>6</v>
      </c>
      <c r="BA161" t="str">
        <f t="shared" si="75"/>
        <v>Neutral</v>
      </c>
      <c r="BB161">
        <f>survey_responses[[#This Row],[Tôi thấy Nhà nước đã giải thích rõ ràng, minh bạch về lý do và mục tiêu của việc sửa đổi thuế lần này. - HUMAN-TRU4]]</f>
        <v>8</v>
      </c>
      <c r="BC161" t="str">
        <f t="shared" si="76"/>
        <v>Support</v>
      </c>
      <c r="BD161" s="32">
        <f t="shared" si="77"/>
        <v>2</v>
      </c>
      <c r="BE161">
        <f>step3_validation[[#This Row],[AI_OUT1]]</f>
        <v>9</v>
      </c>
      <c r="BF161" t="str">
        <f t="shared" si="78"/>
        <v>Support</v>
      </c>
      <c r="BG161">
        <f>survey_responses[[#This Row],[Sau khi xem xét các quyền lợi và nghĩa vụ, bạn có ủng hộ và tuân thủ chính sách mới hiện nay? - HUMAN-OUT1]]</f>
        <v>10</v>
      </c>
      <c r="BH161" t="str">
        <f t="shared" si="79"/>
        <v>Support</v>
      </c>
      <c r="BI161" s="32">
        <f t="shared" si="80"/>
        <v>1</v>
      </c>
    </row>
    <row r="162" spans="1:61" x14ac:dyDescent="0.45">
      <c r="A162" s="30">
        <f>step3_validation[[#This Row],[Persona_ID]]</f>
        <v>161</v>
      </c>
      <c r="B162" s="31">
        <f>step3_validation[[#This Row],[Used_Seed]]</f>
        <v>161</v>
      </c>
      <c r="C162" t="str">
        <f>step3_validation[[#This Row],[Gender]]</f>
        <v>Nữ</v>
      </c>
      <c r="D162" t="str">
        <f>survey_responses[[#This Row],[Giới tính của bạn:]]</f>
        <v>Nữ</v>
      </c>
      <c r="E162" t="str">
        <f>step3_validation[[#This Row],[Age_Group]]</f>
        <v>30 - 39</v>
      </c>
      <c r="F162" t="str">
        <f>survey_responses[[#This Row],[Độ tuổi của bạn:]]</f>
        <v>30 - 39</v>
      </c>
      <c r="G162" t="str">
        <f>step3_validation[[#This Row],[Region]]</f>
        <v>Thành thị</v>
      </c>
      <c r="H162" t="str">
        <f>survey_responses[[#This Row],[Khu vực bạn đang sinh sống:]]</f>
        <v>Thành thị</v>
      </c>
      <c r="I162" t="str">
        <f>step3_validation[[#This Row],[Education]]</f>
        <v>Đại học</v>
      </c>
      <c r="J162" t="str">
        <f>survey_responses[[#This Row],[Trình độ học vấn cao nhất:]]</f>
        <v>Đại học</v>
      </c>
      <c r="K162" t="str">
        <f>step3_validation[[#This Row],[Employment]]</f>
        <v>Chính thức</v>
      </c>
      <c r="L162" t="str">
        <f>survey_responses[[#This Row],[Tình trạng việc làm chính:]]</f>
        <v>Khu vực chính thức (Có Hợp đồng lao động, đóng BHXH)</v>
      </c>
      <c r="M162">
        <f>step3_validation[[#This Row],[Income_Mil]]</f>
        <v>14.343048030730964</v>
      </c>
      <c r="N162" t="str">
        <f>survey_responses[[#This Row],[Thu nhập bình quân tháng theo Hợp đồng lao động của bạn là bao nhiêu? (Vui lòng điền tổng thu nhập trước khi khấu trừ các loại Bảo hiểm (BHXH, BHYT, BHTN) và Thuế TNCN)]]</f>
        <v>Từ 12 - 18 triệu VNĐ</v>
      </c>
      <c r="O162">
        <f>step3_validation[[#This Row],[Dependents]]</f>
        <v>0</v>
      </c>
      <c r="P162" t="str">
        <f>survey_responses[[#This Row],[Số người phụ thuộc (con nhỏ, cha mẹ già...) đủ điều kiện giảm trừ gia cảnh:]]</f>
        <v>0 người</v>
      </c>
      <c r="Q162">
        <f>step3_validation[[#This Row],[AI_ENF1]]</f>
        <v>7</v>
      </c>
      <c r="R162" t="str">
        <f t="shared" si="54"/>
        <v>Neutral</v>
      </c>
      <c r="S162">
        <f>survey_responses[[#This Row],[Tôi tin rằng với các quy định quản lý thuế hiện nay, hành vi gian lận hoặc trốn thuế sẽ dễ dàng bị phát hiện và xử lý nghiêm. - HUMAN-ENF1]]</f>
        <v>7</v>
      </c>
      <c r="T162" t="str">
        <f t="shared" si="55"/>
        <v>Neutral</v>
      </c>
      <c r="U162" s="32">
        <f t="shared" si="56"/>
        <v>0</v>
      </c>
      <c r="V162">
        <f>step3_validation[[#This Row],[AI_ENF2]]</f>
        <v>8</v>
      </c>
      <c r="W162" t="str">
        <f t="shared" si="57"/>
        <v>Support</v>
      </c>
      <c r="X162">
        <f>survey_responses[[#This Row],[Tôi tin rằng Nhà nước, cơ quan thuế có đủ khả năng và công nghệ để phát hiện, xử lý nghiêm các hành vi trốn thuế. - HUMAN-ENF2]]</f>
        <v>5</v>
      </c>
      <c r="Y162" t="str">
        <f t="shared" si="58"/>
        <v>Neutral</v>
      </c>
      <c r="Z162" s="32">
        <f t="shared" si="59"/>
        <v>3</v>
      </c>
      <c r="AA162">
        <f>step3_validation[[#This Row],[AI_FAC1]]</f>
        <v>9</v>
      </c>
      <c r="AB162" t="str">
        <f t="shared" si="60"/>
        <v>Support</v>
      </c>
      <c r="AC162">
        <f>survey_responses[[#This Row],[Các thủ tục khai báo thuế VÀ/HOẶC quy trình làm việc với cơ quan thuế đơn giản, tiện lợi, nhanh chóng hơn so với trước đây. - HUMAN-FAC1]]</f>
        <v>7</v>
      </c>
      <c r="AD162" t="str">
        <f t="shared" si="61"/>
        <v>Neutral</v>
      </c>
      <c r="AE162" s="32">
        <f t="shared" si="62"/>
        <v>2</v>
      </c>
      <c r="AF162">
        <f>step3_validation[[#This Row],[AI_FAC2]]</f>
        <v>10</v>
      </c>
      <c r="AG162" t="str">
        <f t="shared" si="63"/>
        <v>Support</v>
      </c>
      <c r="AH162">
        <f>survey_responses[[#This Row],[So với trước đây, tôi thấy cách tính thuế và các bậc thuế trong phương án mới đơn giản, dễ hiểu và dễ thực hiện hơn. - HUMAN-FAC2]]</f>
        <v>5</v>
      </c>
      <c r="AI162" t="str">
        <f t="shared" si="64"/>
        <v>Neutral</v>
      </c>
      <c r="AJ162" s="32">
        <f t="shared" si="65"/>
        <v>5</v>
      </c>
      <c r="AK162">
        <f>step3_validation[[#This Row],[AI_TRU1]]</f>
        <v>9</v>
      </c>
      <c r="AL162" t="str">
        <f t="shared" si="66"/>
        <v>Support</v>
      </c>
      <c r="AM162">
        <f>survey_responses[[#This Row],[Tôi tin rằng Nhà nước, cơ quan thuế sẽ thực thi chính sách mới một cách khách quan, công tâm và đối xử bình đẳng với mọi người nộp thuế.  - HUMAN-TRU1]]</f>
        <v>3</v>
      </c>
      <c r="AN162" t="str">
        <f t="shared" si="67"/>
        <v>Oppose</v>
      </c>
      <c r="AO162" s="32">
        <f t="shared" si="68"/>
        <v>6</v>
      </c>
      <c r="AP162">
        <f>step3_validation[[#This Row],[AI_TRU2]]</f>
        <v>8</v>
      </c>
      <c r="AQ162" t="str">
        <f t="shared" si="69"/>
        <v>Support</v>
      </c>
      <c r="AR162">
        <f>survey_responses[[#This Row],[Tôi thấy mức thuế tôi phải đóng theo phương án mới là công bằng (người thu nhập như tôi đóng mức này là hợp lý). - HUMAN-TRU2]]</f>
        <v>4</v>
      </c>
      <c r="AS162" t="str">
        <f t="shared" si="70"/>
        <v>Oppose</v>
      </c>
      <c r="AT162" s="32">
        <f t="shared" si="71"/>
        <v>4</v>
      </c>
      <c r="AU162">
        <f>step3_validation[[#This Row],[AI_TRU3]]</f>
        <v>9</v>
      </c>
      <c r="AV162" t="str">
        <f t="shared" si="72"/>
        <v>Support</v>
      </c>
      <c r="AW162">
        <f>survey_responses[[#This Row],[Tôi tin tưởng số tiền thuế tôi đóng sẽ được Nhà nước sử dụng hiệu quả để cải thiện dịch vụ công (y tế, đường xá...). - HUMAN-TRU3]]</f>
        <v>1</v>
      </c>
      <c r="AX162" t="str">
        <f t="shared" si="73"/>
        <v>Oppose</v>
      </c>
      <c r="AY162" s="32">
        <f t="shared" si="74"/>
        <v>8</v>
      </c>
      <c r="AZ162">
        <f>step3_validation[[#This Row],[AI_TRU4]]</f>
        <v>8</v>
      </c>
      <c r="BA162" t="str">
        <f t="shared" si="75"/>
        <v>Support</v>
      </c>
      <c r="BB162">
        <f>survey_responses[[#This Row],[Tôi thấy Nhà nước đã giải thích rõ ràng, minh bạch về lý do và mục tiêu của việc sửa đổi thuế lần này. - HUMAN-TRU4]]</f>
        <v>5</v>
      </c>
      <c r="BC162" t="str">
        <f t="shared" si="76"/>
        <v>Neutral</v>
      </c>
      <c r="BD162" s="32">
        <f t="shared" si="77"/>
        <v>3</v>
      </c>
      <c r="BE162">
        <f>step3_validation[[#This Row],[AI_OUT1]]</f>
        <v>9</v>
      </c>
      <c r="BF162" t="str">
        <f t="shared" si="78"/>
        <v>Support</v>
      </c>
      <c r="BG162">
        <f>survey_responses[[#This Row],[Sau khi xem xét các quyền lợi và nghĩa vụ, bạn có ủng hộ và tuân thủ chính sách mới hiện nay? - HUMAN-OUT1]]</f>
        <v>5</v>
      </c>
      <c r="BH162" t="str">
        <f t="shared" si="79"/>
        <v>Neutral</v>
      </c>
      <c r="BI162" s="32">
        <f t="shared" si="80"/>
        <v>4</v>
      </c>
    </row>
    <row r="163" spans="1:61" x14ac:dyDescent="0.45">
      <c r="A163" s="30">
        <f>step3_validation[[#This Row],[Persona_ID]]</f>
        <v>162</v>
      </c>
      <c r="B163" s="31">
        <f>step3_validation[[#This Row],[Used_Seed]]</f>
        <v>162</v>
      </c>
      <c r="C163" t="str">
        <f>step3_validation[[#This Row],[Gender]]</f>
        <v>Nữ</v>
      </c>
      <c r="D163" t="str">
        <f>survey_responses[[#This Row],[Giới tính của bạn:]]</f>
        <v>Nữ</v>
      </c>
      <c r="E163" t="str">
        <f>step3_validation[[#This Row],[Age_Group]]</f>
        <v>25 - 29</v>
      </c>
      <c r="F163" t="str">
        <f>survey_responses[[#This Row],[Độ tuổi của bạn:]]</f>
        <v>25 - 29</v>
      </c>
      <c r="G163" t="str">
        <f>step3_validation[[#This Row],[Region]]</f>
        <v>Thành thị</v>
      </c>
      <c r="H163" t="str">
        <f>survey_responses[[#This Row],[Khu vực bạn đang sinh sống:]]</f>
        <v>Thành thị</v>
      </c>
      <c r="I163" t="str">
        <f>step3_validation[[#This Row],[Education]]</f>
        <v>Đại học</v>
      </c>
      <c r="J163" t="str">
        <f>survey_responses[[#This Row],[Trình độ học vấn cao nhất:]]</f>
        <v>Đại học</v>
      </c>
      <c r="K163" t="str">
        <f>step3_validation[[#This Row],[Employment]]</f>
        <v>Chính thức</v>
      </c>
      <c r="L163" t="str">
        <f>survey_responses[[#This Row],[Tình trạng việc làm chính:]]</f>
        <v>Khu vực chính thức (Có Hợp đồng lao động, đóng BHXH)</v>
      </c>
      <c r="M163">
        <f>step3_validation[[#This Row],[Income_Mil]]</f>
        <v>12</v>
      </c>
      <c r="N163" t="str">
        <f>survey_responses[[#This Row],[Thu nhập bình quân tháng theo Hợp đồng lao động của bạn là bao nhiêu? (Vui lòng điền tổng thu nhập trước khi khấu trừ các loại Bảo hiểm (BHXH, BHYT, BHTN) và Thuế TNCN)]]</f>
        <v>Dưới 12 triệu VNĐ</v>
      </c>
      <c r="O163">
        <f>step3_validation[[#This Row],[Dependents]]</f>
        <v>0</v>
      </c>
      <c r="P163" t="str">
        <f>survey_responses[[#This Row],[Số người phụ thuộc (con nhỏ, cha mẹ già...) đủ điều kiện giảm trừ gia cảnh:]]</f>
        <v>0 người</v>
      </c>
      <c r="Q163">
        <f>step3_validation[[#This Row],[AI_ENF1]]</f>
        <v>8</v>
      </c>
      <c r="R163" t="str">
        <f t="shared" si="54"/>
        <v>Support</v>
      </c>
      <c r="S163">
        <f>survey_responses[[#This Row],[Tôi tin rằng với các quy định quản lý thuế hiện nay, hành vi gian lận hoặc trốn thuế sẽ dễ dàng bị phát hiện và xử lý nghiêm. - HUMAN-ENF1]]</f>
        <v>3</v>
      </c>
      <c r="T163" t="str">
        <f t="shared" si="55"/>
        <v>Oppose</v>
      </c>
      <c r="U163" s="32">
        <f t="shared" si="56"/>
        <v>5</v>
      </c>
      <c r="V163">
        <f>step3_validation[[#This Row],[AI_ENF2]]</f>
        <v>9</v>
      </c>
      <c r="W163" t="str">
        <f t="shared" si="57"/>
        <v>Support</v>
      </c>
      <c r="X163">
        <f>survey_responses[[#This Row],[Tôi tin rằng Nhà nước, cơ quan thuế có đủ khả năng và công nghệ để phát hiện, xử lý nghiêm các hành vi trốn thuế. - HUMAN-ENF2]]</f>
        <v>8</v>
      </c>
      <c r="Y163" t="str">
        <f t="shared" si="58"/>
        <v>Support</v>
      </c>
      <c r="Z163" s="32">
        <f t="shared" si="59"/>
        <v>1</v>
      </c>
      <c r="AA163">
        <f>step3_validation[[#This Row],[AI_FAC1]]</f>
        <v>8</v>
      </c>
      <c r="AB163" t="str">
        <f t="shared" si="60"/>
        <v>Support</v>
      </c>
      <c r="AC163">
        <f>survey_responses[[#This Row],[Các thủ tục khai báo thuế VÀ/HOẶC quy trình làm việc với cơ quan thuế đơn giản, tiện lợi, nhanh chóng hơn so với trước đây. - HUMAN-FAC1]]</f>
        <v>4</v>
      </c>
      <c r="AD163" t="str">
        <f t="shared" si="61"/>
        <v>Oppose</v>
      </c>
      <c r="AE163" s="32">
        <f t="shared" si="62"/>
        <v>4</v>
      </c>
      <c r="AF163">
        <f>step3_validation[[#This Row],[AI_FAC2]]</f>
        <v>9</v>
      </c>
      <c r="AG163" t="str">
        <f t="shared" si="63"/>
        <v>Support</v>
      </c>
      <c r="AH163">
        <f>survey_responses[[#This Row],[So với trước đây, tôi thấy cách tính thuế và các bậc thuế trong phương án mới đơn giản, dễ hiểu và dễ thực hiện hơn. - HUMAN-FAC2]]</f>
        <v>5</v>
      </c>
      <c r="AI163" t="str">
        <f t="shared" si="64"/>
        <v>Neutral</v>
      </c>
      <c r="AJ163" s="32">
        <f t="shared" si="65"/>
        <v>4</v>
      </c>
      <c r="AK163">
        <f>step3_validation[[#This Row],[AI_TRU1]]</f>
        <v>8</v>
      </c>
      <c r="AL163" t="str">
        <f t="shared" si="66"/>
        <v>Support</v>
      </c>
      <c r="AM163">
        <f>survey_responses[[#This Row],[Tôi tin rằng Nhà nước, cơ quan thuế sẽ thực thi chính sách mới một cách khách quan, công tâm và đối xử bình đẳng với mọi người nộp thuế.  - HUMAN-TRU1]]</f>
        <v>5</v>
      </c>
      <c r="AN163" t="str">
        <f t="shared" si="67"/>
        <v>Neutral</v>
      </c>
      <c r="AO163" s="32">
        <f t="shared" si="68"/>
        <v>3</v>
      </c>
      <c r="AP163">
        <f>step3_validation[[#This Row],[AI_TRU2]]</f>
        <v>9</v>
      </c>
      <c r="AQ163" t="str">
        <f t="shared" si="69"/>
        <v>Support</v>
      </c>
      <c r="AR163">
        <f>survey_responses[[#This Row],[Tôi thấy mức thuế tôi phải đóng theo phương án mới là công bằng (người thu nhập như tôi đóng mức này là hợp lý). - HUMAN-TRU2]]</f>
        <v>5</v>
      </c>
      <c r="AS163" t="str">
        <f t="shared" si="70"/>
        <v>Neutral</v>
      </c>
      <c r="AT163" s="32">
        <f t="shared" si="71"/>
        <v>4</v>
      </c>
      <c r="AU163">
        <f>step3_validation[[#This Row],[AI_TRU3]]</f>
        <v>8</v>
      </c>
      <c r="AV163" t="str">
        <f t="shared" si="72"/>
        <v>Support</v>
      </c>
      <c r="AW163">
        <f>survey_responses[[#This Row],[Tôi tin tưởng số tiền thuế tôi đóng sẽ được Nhà nước sử dụng hiệu quả để cải thiện dịch vụ công (y tế, đường xá...). - HUMAN-TRU3]]</f>
        <v>5</v>
      </c>
      <c r="AX163" t="str">
        <f t="shared" si="73"/>
        <v>Neutral</v>
      </c>
      <c r="AY163" s="32">
        <f t="shared" si="74"/>
        <v>3</v>
      </c>
      <c r="AZ163">
        <f>step3_validation[[#This Row],[AI_TRU4]]</f>
        <v>9</v>
      </c>
      <c r="BA163" t="str">
        <f t="shared" si="75"/>
        <v>Support</v>
      </c>
      <c r="BB163">
        <f>survey_responses[[#This Row],[Tôi thấy Nhà nước đã giải thích rõ ràng, minh bạch về lý do và mục tiêu của việc sửa đổi thuế lần này. - HUMAN-TRU4]]</f>
        <v>5</v>
      </c>
      <c r="BC163" t="str">
        <f t="shared" si="76"/>
        <v>Neutral</v>
      </c>
      <c r="BD163" s="32">
        <f t="shared" si="77"/>
        <v>4</v>
      </c>
      <c r="BE163">
        <f>step3_validation[[#This Row],[AI_OUT1]]</f>
        <v>8</v>
      </c>
      <c r="BF163" t="str">
        <f t="shared" si="78"/>
        <v>Support</v>
      </c>
      <c r="BG163">
        <f>survey_responses[[#This Row],[Sau khi xem xét các quyền lợi và nghĩa vụ, bạn có ủng hộ và tuân thủ chính sách mới hiện nay? - HUMAN-OUT1]]</f>
        <v>5</v>
      </c>
      <c r="BH163" t="str">
        <f t="shared" si="79"/>
        <v>Neutral</v>
      </c>
      <c r="BI163" s="32">
        <f t="shared" si="80"/>
        <v>3</v>
      </c>
    </row>
    <row r="164" spans="1:61" x14ac:dyDescent="0.45">
      <c r="A164" s="30">
        <f>step3_validation[[#This Row],[Persona_ID]]</f>
        <v>163</v>
      </c>
      <c r="B164" s="31">
        <f>step3_validation[[#This Row],[Used_Seed]]</f>
        <v>163</v>
      </c>
      <c r="C164" t="str">
        <f>step3_validation[[#This Row],[Gender]]</f>
        <v>Nữ</v>
      </c>
      <c r="D164" t="str">
        <f>survey_responses[[#This Row],[Giới tính của bạn:]]</f>
        <v>Nữ</v>
      </c>
      <c r="E164" t="str">
        <f>step3_validation[[#This Row],[Age_Group]]</f>
        <v>25 - 29</v>
      </c>
      <c r="F164" t="str">
        <f>survey_responses[[#This Row],[Độ tuổi của bạn:]]</f>
        <v>25 - 29</v>
      </c>
      <c r="G164" t="str">
        <f>step3_validation[[#This Row],[Region]]</f>
        <v>Thành thị</v>
      </c>
      <c r="H164" t="str">
        <f>survey_responses[[#This Row],[Khu vực bạn đang sinh sống:]]</f>
        <v>Thành thị</v>
      </c>
      <c r="I164" t="str">
        <f>step3_validation[[#This Row],[Education]]</f>
        <v>Đại học</v>
      </c>
      <c r="J164" t="str">
        <f>survey_responses[[#This Row],[Trình độ học vấn cao nhất:]]</f>
        <v>Đại học</v>
      </c>
      <c r="K164" t="str">
        <f>step3_validation[[#This Row],[Employment]]</f>
        <v>Chính thức</v>
      </c>
      <c r="L164" t="str">
        <f>survey_responses[[#This Row],[Tình trạng việc làm chính:]]</f>
        <v>Khu vực chính thức (Có Hợp đồng lao động, đóng BHXH)</v>
      </c>
      <c r="M164">
        <f>step3_validation[[#This Row],[Income_Mil]]</f>
        <v>16.033205565585785</v>
      </c>
      <c r="N164" t="str">
        <f>survey_responses[[#This Row],[Thu nhập bình quân tháng theo Hợp đồng lao động của bạn là bao nhiêu? (Vui lòng điền tổng thu nhập trước khi khấu trừ các loại Bảo hiểm (BHXH, BHYT, BHTN) và Thuế TNCN)]]</f>
        <v>Từ 12 - 18 triệu VNĐ</v>
      </c>
      <c r="O164">
        <f>step3_validation[[#This Row],[Dependents]]</f>
        <v>0</v>
      </c>
      <c r="P164" t="str">
        <f>survey_responses[[#This Row],[Số người phụ thuộc (con nhỏ, cha mẹ già...) đủ điều kiện giảm trừ gia cảnh:]]</f>
        <v>0 người</v>
      </c>
      <c r="Q164">
        <f>step3_validation[[#This Row],[AI_ENF1]]</f>
        <v>8</v>
      </c>
      <c r="R164" t="str">
        <f t="shared" si="54"/>
        <v>Support</v>
      </c>
      <c r="S164">
        <f>survey_responses[[#This Row],[Tôi tin rằng với các quy định quản lý thuế hiện nay, hành vi gian lận hoặc trốn thuế sẽ dễ dàng bị phát hiện và xử lý nghiêm. - HUMAN-ENF1]]</f>
        <v>10</v>
      </c>
      <c r="T164" t="str">
        <f t="shared" si="55"/>
        <v>Support</v>
      </c>
      <c r="U164" s="32">
        <f t="shared" si="56"/>
        <v>2</v>
      </c>
      <c r="V164">
        <f>step3_validation[[#This Row],[AI_ENF2]]</f>
        <v>9</v>
      </c>
      <c r="W164" t="str">
        <f t="shared" si="57"/>
        <v>Support</v>
      </c>
      <c r="X164">
        <f>survey_responses[[#This Row],[Tôi tin rằng Nhà nước, cơ quan thuế có đủ khả năng và công nghệ để phát hiện, xử lý nghiêm các hành vi trốn thuế. - HUMAN-ENF2]]</f>
        <v>10</v>
      </c>
      <c r="Y164" t="str">
        <f t="shared" si="58"/>
        <v>Support</v>
      </c>
      <c r="Z164" s="32">
        <f t="shared" si="59"/>
        <v>1</v>
      </c>
      <c r="AA164">
        <f>step3_validation[[#This Row],[AI_FAC1]]</f>
        <v>8</v>
      </c>
      <c r="AB164" t="str">
        <f t="shared" si="60"/>
        <v>Support</v>
      </c>
      <c r="AC164">
        <f>survey_responses[[#This Row],[Các thủ tục khai báo thuế VÀ/HOẶC quy trình làm việc với cơ quan thuế đơn giản, tiện lợi, nhanh chóng hơn so với trước đây. - HUMAN-FAC1]]</f>
        <v>10</v>
      </c>
      <c r="AD164" t="str">
        <f t="shared" si="61"/>
        <v>Support</v>
      </c>
      <c r="AE164" s="32">
        <f t="shared" si="62"/>
        <v>2</v>
      </c>
      <c r="AF164">
        <f>step3_validation[[#This Row],[AI_FAC2]]</f>
        <v>9</v>
      </c>
      <c r="AG164" t="str">
        <f t="shared" si="63"/>
        <v>Support</v>
      </c>
      <c r="AH164">
        <f>survey_responses[[#This Row],[So với trước đây, tôi thấy cách tính thuế và các bậc thuế trong phương án mới đơn giản, dễ hiểu và dễ thực hiện hơn. - HUMAN-FAC2]]</f>
        <v>10</v>
      </c>
      <c r="AI164" t="str">
        <f t="shared" si="64"/>
        <v>Support</v>
      </c>
      <c r="AJ164" s="32">
        <f t="shared" si="65"/>
        <v>1</v>
      </c>
      <c r="AK164">
        <f>step3_validation[[#This Row],[AI_TRU1]]</f>
        <v>8</v>
      </c>
      <c r="AL164" t="str">
        <f t="shared" si="66"/>
        <v>Support</v>
      </c>
      <c r="AM164">
        <f>survey_responses[[#This Row],[Tôi tin rằng Nhà nước, cơ quan thuế sẽ thực thi chính sách mới một cách khách quan, công tâm và đối xử bình đẳng với mọi người nộp thuế.  - HUMAN-TRU1]]</f>
        <v>10</v>
      </c>
      <c r="AN164" t="str">
        <f t="shared" si="67"/>
        <v>Support</v>
      </c>
      <c r="AO164" s="32">
        <f t="shared" si="68"/>
        <v>2</v>
      </c>
      <c r="AP164">
        <f>step3_validation[[#This Row],[AI_TRU2]]</f>
        <v>9</v>
      </c>
      <c r="AQ164" t="str">
        <f t="shared" si="69"/>
        <v>Support</v>
      </c>
      <c r="AR164">
        <f>survey_responses[[#This Row],[Tôi thấy mức thuế tôi phải đóng theo phương án mới là công bằng (người thu nhập như tôi đóng mức này là hợp lý). - HUMAN-TRU2]]</f>
        <v>10</v>
      </c>
      <c r="AS164" t="str">
        <f t="shared" si="70"/>
        <v>Support</v>
      </c>
      <c r="AT164" s="32">
        <f t="shared" si="71"/>
        <v>1</v>
      </c>
      <c r="AU164">
        <f>step3_validation[[#This Row],[AI_TRU3]]</f>
        <v>8</v>
      </c>
      <c r="AV164" t="str">
        <f t="shared" si="72"/>
        <v>Support</v>
      </c>
      <c r="AW164">
        <f>survey_responses[[#This Row],[Tôi tin tưởng số tiền thuế tôi đóng sẽ được Nhà nước sử dụng hiệu quả để cải thiện dịch vụ công (y tế, đường xá...). - HUMAN-TRU3]]</f>
        <v>10</v>
      </c>
      <c r="AX164" t="str">
        <f t="shared" si="73"/>
        <v>Support</v>
      </c>
      <c r="AY164" s="32">
        <f t="shared" si="74"/>
        <v>2</v>
      </c>
      <c r="AZ164">
        <f>step3_validation[[#This Row],[AI_TRU4]]</f>
        <v>9</v>
      </c>
      <c r="BA164" t="str">
        <f t="shared" si="75"/>
        <v>Support</v>
      </c>
      <c r="BB164">
        <f>survey_responses[[#This Row],[Tôi thấy Nhà nước đã giải thích rõ ràng, minh bạch về lý do và mục tiêu của việc sửa đổi thuế lần này. - HUMAN-TRU4]]</f>
        <v>10</v>
      </c>
      <c r="BC164" t="str">
        <f t="shared" si="76"/>
        <v>Support</v>
      </c>
      <c r="BD164" s="32">
        <f t="shared" si="77"/>
        <v>1</v>
      </c>
      <c r="BE164">
        <f>step3_validation[[#This Row],[AI_OUT1]]</f>
        <v>8</v>
      </c>
      <c r="BF164" t="str">
        <f t="shared" si="78"/>
        <v>Support</v>
      </c>
      <c r="BG164">
        <f>survey_responses[[#This Row],[Sau khi xem xét các quyền lợi và nghĩa vụ, bạn có ủng hộ và tuân thủ chính sách mới hiện nay? - HUMAN-OUT1]]</f>
        <v>10</v>
      </c>
      <c r="BH164" t="str">
        <f t="shared" si="79"/>
        <v>Support</v>
      </c>
      <c r="BI164" s="32">
        <f t="shared" si="80"/>
        <v>2</v>
      </c>
    </row>
    <row r="165" spans="1:61" x14ac:dyDescent="0.45">
      <c r="A165" s="30">
        <f>step3_validation[[#This Row],[Persona_ID]]</f>
        <v>164</v>
      </c>
      <c r="B165" s="31">
        <f>step3_validation[[#This Row],[Used_Seed]]</f>
        <v>164</v>
      </c>
      <c r="C165" t="str">
        <f>step3_validation[[#This Row],[Gender]]</f>
        <v>Nữ</v>
      </c>
      <c r="D165" t="str">
        <f>survey_responses[[#This Row],[Giới tính của bạn:]]</f>
        <v>Nữ</v>
      </c>
      <c r="E165" t="str">
        <f>step3_validation[[#This Row],[Age_Group]]</f>
        <v>40 - 49</v>
      </c>
      <c r="F165" t="str">
        <f>survey_responses[[#This Row],[Độ tuổi của bạn:]]</f>
        <v>40 - 49</v>
      </c>
      <c r="G165" t="str">
        <f>step3_validation[[#This Row],[Region]]</f>
        <v>Thành thị</v>
      </c>
      <c r="H165" t="str">
        <f>survey_responses[[#This Row],[Khu vực bạn đang sinh sống:]]</f>
        <v>Thành thị</v>
      </c>
      <c r="I165" t="str">
        <f>step3_validation[[#This Row],[Education]]</f>
        <v>Đại học</v>
      </c>
      <c r="J165" t="str">
        <f>survey_responses[[#This Row],[Trình độ học vấn cao nhất:]]</f>
        <v>Đại học</v>
      </c>
      <c r="K165" t="str">
        <f>step3_validation[[#This Row],[Employment]]</f>
        <v>Chính thức</v>
      </c>
      <c r="L165" t="str">
        <f>survey_responses[[#This Row],[Tình trạng việc làm chính:]]</f>
        <v>Khu vực chính thức (Có Hợp đồng lao động, đóng BHXH)</v>
      </c>
      <c r="M165">
        <f>step3_validation[[#This Row],[Income_Mil]]</f>
        <v>33.095604191859664</v>
      </c>
      <c r="N165" t="str">
        <f>survey_responses[[#This Row],[Thu nhập bình quân tháng theo Hợp đồng lao động của bạn là bao nhiêu? (Vui lòng điền tổng thu nhập trước khi khấu trừ các loại Bảo hiểm (BHXH, BHYT, BHTN) và Thuế TNCN)]]</f>
        <v>Từ 32 - 48 triệu VNĐ</v>
      </c>
      <c r="O165">
        <f>step3_validation[[#This Row],[Dependents]]</f>
        <v>2</v>
      </c>
      <c r="P165" t="str">
        <f>survey_responses[[#This Row],[Số người phụ thuộc (con nhỏ, cha mẹ già...) đủ điều kiện giảm trừ gia cảnh:]]</f>
        <v>2 người</v>
      </c>
      <c r="Q165">
        <f>step3_validation[[#This Row],[AI_ENF1]]</f>
        <v>8</v>
      </c>
      <c r="R165" t="str">
        <f t="shared" si="54"/>
        <v>Support</v>
      </c>
      <c r="S165">
        <f>survey_responses[[#This Row],[Tôi tin rằng với các quy định quản lý thuế hiện nay, hành vi gian lận hoặc trốn thuế sẽ dễ dàng bị phát hiện và xử lý nghiêm. - HUMAN-ENF1]]</f>
        <v>8</v>
      </c>
      <c r="T165" t="str">
        <f t="shared" si="55"/>
        <v>Support</v>
      </c>
      <c r="U165" s="32">
        <f t="shared" si="56"/>
        <v>0</v>
      </c>
      <c r="V165">
        <f>step3_validation[[#This Row],[AI_ENF2]]</f>
        <v>9</v>
      </c>
      <c r="W165" t="str">
        <f t="shared" si="57"/>
        <v>Support</v>
      </c>
      <c r="X165">
        <f>survey_responses[[#This Row],[Tôi tin rằng Nhà nước, cơ quan thuế có đủ khả năng và công nghệ để phát hiện, xử lý nghiêm các hành vi trốn thuế. - HUMAN-ENF2]]</f>
        <v>9</v>
      </c>
      <c r="Y165" t="str">
        <f t="shared" si="58"/>
        <v>Support</v>
      </c>
      <c r="Z165" s="32">
        <f t="shared" si="59"/>
        <v>0</v>
      </c>
      <c r="AA165">
        <f>step3_validation[[#This Row],[AI_FAC1]]</f>
        <v>8</v>
      </c>
      <c r="AB165" t="str">
        <f t="shared" si="60"/>
        <v>Support</v>
      </c>
      <c r="AC165">
        <f>survey_responses[[#This Row],[Các thủ tục khai báo thuế VÀ/HOẶC quy trình làm việc với cơ quan thuế đơn giản, tiện lợi, nhanh chóng hơn so với trước đây. - HUMAN-FAC1]]</f>
        <v>9</v>
      </c>
      <c r="AD165" t="str">
        <f t="shared" si="61"/>
        <v>Support</v>
      </c>
      <c r="AE165" s="32">
        <f t="shared" si="62"/>
        <v>1</v>
      </c>
      <c r="AF165">
        <f>step3_validation[[#This Row],[AI_FAC2]]</f>
        <v>9</v>
      </c>
      <c r="AG165" t="str">
        <f t="shared" si="63"/>
        <v>Support</v>
      </c>
      <c r="AH165">
        <f>survey_responses[[#This Row],[So với trước đây, tôi thấy cách tính thuế và các bậc thuế trong phương án mới đơn giản, dễ hiểu và dễ thực hiện hơn. - HUMAN-FAC2]]</f>
        <v>9</v>
      </c>
      <c r="AI165" t="str">
        <f t="shared" si="64"/>
        <v>Support</v>
      </c>
      <c r="AJ165" s="32">
        <f t="shared" si="65"/>
        <v>0</v>
      </c>
      <c r="AK165">
        <f>step3_validation[[#This Row],[AI_TRU1]]</f>
        <v>7</v>
      </c>
      <c r="AL165" t="str">
        <f t="shared" si="66"/>
        <v>Neutral</v>
      </c>
      <c r="AM165">
        <f>survey_responses[[#This Row],[Tôi tin rằng Nhà nước, cơ quan thuế sẽ thực thi chính sách mới một cách khách quan, công tâm và đối xử bình đẳng với mọi người nộp thuế.  - HUMAN-TRU1]]</f>
        <v>5</v>
      </c>
      <c r="AN165" t="str">
        <f t="shared" si="67"/>
        <v>Neutral</v>
      </c>
      <c r="AO165" s="32">
        <f t="shared" si="68"/>
        <v>2</v>
      </c>
      <c r="AP165">
        <f>step3_validation[[#This Row],[AI_TRU2]]</f>
        <v>9</v>
      </c>
      <c r="AQ165" t="str">
        <f t="shared" si="69"/>
        <v>Support</v>
      </c>
      <c r="AR165">
        <f>survey_responses[[#This Row],[Tôi thấy mức thuế tôi phải đóng theo phương án mới là công bằng (người thu nhập như tôi đóng mức này là hợp lý). - HUMAN-TRU2]]</f>
        <v>7</v>
      </c>
      <c r="AS165" t="str">
        <f t="shared" si="70"/>
        <v>Neutral</v>
      </c>
      <c r="AT165" s="32">
        <f t="shared" si="71"/>
        <v>2</v>
      </c>
      <c r="AU165">
        <f>step3_validation[[#This Row],[AI_TRU3]]</f>
        <v>7</v>
      </c>
      <c r="AV165" t="str">
        <f t="shared" si="72"/>
        <v>Neutral</v>
      </c>
      <c r="AW165">
        <f>survey_responses[[#This Row],[Tôi tin tưởng số tiền thuế tôi đóng sẽ được Nhà nước sử dụng hiệu quả để cải thiện dịch vụ công (y tế, đường xá...). - HUMAN-TRU3]]</f>
        <v>5</v>
      </c>
      <c r="AX165" t="str">
        <f t="shared" si="73"/>
        <v>Neutral</v>
      </c>
      <c r="AY165" s="32">
        <f t="shared" si="74"/>
        <v>2</v>
      </c>
      <c r="AZ165">
        <f>step3_validation[[#This Row],[AI_TRU4]]</f>
        <v>8</v>
      </c>
      <c r="BA165" t="str">
        <f t="shared" si="75"/>
        <v>Support</v>
      </c>
      <c r="BB165">
        <f>survey_responses[[#This Row],[Tôi thấy Nhà nước đã giải thích rõ ràng, minh bạch về lý do và mục tiêu của việc sửa đổi thuế lần này. - HUMAN-TRU4]]</f>
        <v>7</v>
      </c>
      <c r="BC165" t="str">
        <f t="shared" si="76"/>
        <v>Neutral</v>
      </c>
      <c r="BD165" s="32">
        <f t="shared" si="77"/>
        <v>1</v>
      </c>
      <c r="BE165">
        <f>step3_validation[[#This Row],[AI_OUT1]]</f>
        <v>7</v>
      </c>
      <c r="BF165" t="str">
        <f t="shared" si="78"/>
        <v>Neutral</v>
      </c>
      <c r="BG165">
        <f>survey_responses[[#This Row],[Sau khi xem xét các quyền lợi và nghĩa vụ, bạn có ủng hộ và tuân thủ chính sách mới hiện nay? - HUMAN-OUT1]]</f>
        <v>7</v>
      </c>
      <c r="BH165" t="str">
        <f t="shared" si="79"/>
        <v>Neutral</v>
      </c>
      <c r="BI165" s="32">
        <f t="shared" si="80"/>
        <v>0</v>
      </c>
    </row>
    <row r="166" spans="1:61" x14ac:dyDescent="0.45">
      <c r="A166" s="30">
        <f>step3_validation[[#This Row],[Persona_ID]]</f>
        <v>165</v>
      </c>
      <c r="B166" s="31">
        <f>step3_validation[[#This Row],[Used_Seed]]</f>
        <v>165</v>
      </c>
      <c r="C166" t="str">
        <f>step3_validation[[#This Row],[Gender]]</f>
        <v>Nữ</v>
      </c>
      <c r="D166" t="str">
        <f>survey_responses[[#This Row],[Giới tính của bạn:]]</f>
        <v>Nữ</v>
      </c>
      <c r="E166" t="str">
        <f>step3_validation[[#This Row],[Age_Group]]</f>
        <v>30 - 39</v>
      </c>
      <c r="F166" t="str">
        <f>survey_responses[[#This Row],[Độ tuổi của bạn:]]</f>
        <v>30 - 39</v>
      </c>
      <c r="G166" t="str">
        <f>step3_validation[[#This Row],[Region]]</f>
        <v>Thành thị</v>
      </c>
      <c r="H166" t="str">
        <f>survey_responses[[#This Row],[Khu vực bạn đang sinh sống:]]</f>
        <v>Thành thị</v>
      </c>
      <c r="I166" t="str">
        <f>step3_validation[[#This Row],[Education]]</f>
        <v>Sau Đại học</v>
      </c>
      <c r="J166" t="str">
        <f>survey_responses[[#This Row],[Trình độ học vấn cao nhất:]]</f>
        <v>Sau Đại học</v>
      </c>
      <c r="K166" t="str">
        <f>step3_validation[[#This Row],[Employment]]</f>
        <v>Chính thức</v>
      </c>
      <c r="L166" t="str">
        <f>survey_responses[[#This Row],[Tình trạng việc làm chính:]]</f>
        <v>Khu vực chính thức (Có Hợp đồng lao động, đóng BHXH)</v>
      </c>
      <c r="M166">
        <f>step3_validation[[#This Row],[Income_Mil]]</f>
        <v>38.94022557203845</v>
      </c>
      <c r="N166" t="str">
        <f>survey_responses[[#This Row],[Thu nhập bình quân tháng theo Hợp đồng lao động của bạn là bao nhiêu? (Vui lòng điền tổng thu nhập trước khi khấu trừ các loại Bảo hiểm (BHXH, BHYT, BHTN) và Thuế TNCN)]]</f>
        <v>Từ 32 - 48 triệu VNĐ</v>
      </c>
      <c r="O166">
        <f>step3_validation[[#This Row],[Dependents]]</f>
        <v>0</v>
      </c>
      <c r="P166" t="str">
        <f>survey_responses[[#This Row],[Số người phụ thuộc (con nhỏ, cha mẹ già...) đủ điều kiện giảm trừ gia cảnh:]]</f>
        <v>0 người</v>
      </c>
      <c r="Q166">
        <f>step3_validation[[#This Row],[AI_ENF1]]</f>
        <v>6</v>
      </c>
      <c r="R166" t="str">
        <f t="shared" si="54"/>
        <v>Neutral</v>
      </c>
      <c r="S166">
        <f>survey_responses[[#This Row],[Tôi tin rằng với các quy định quản lý thuế hiện nay, hành vi gian lận hoặc trốn thuế sẽ dễ dàng bị phát hiện và xử lý nghiêm. - HUMAN-ENF1]]</f>
        <v>5</v>
      </c>
      <c r="T166" t="str">
        <f t="shared" si="55"/>
        <v>Neutral</v>
      </c>
      <c r="U166" s="32">
        <f t="shared" si="56"/>
        <v>1</v>
      </c>
      <c r="V166">
        <f>step3_validation[[#This Row],[AI_ENF2]]</f>
        <v>6</v>
      </c>
      <c r="W166" t="str">
        <f t="shared" si="57"/>
        <v>Neutral</v>
      </c>
      <c r="X166">
        <f>survey_responses[[#This Row],[Tôi tin rằng Nhà nước, cơ quan thuế có đủ khả năng và công nghệ để phát hiện, xử lý nghiêm các hành vi trốn thuế. - HUMAN-ENF2]]</f>
        <v>5</v>
      </c>
      <c r="Y166" t="str">
        <f t="shared" si="58"/>
        <v>Neutral</v>
      </c>
      <c r="Z166" s="32">
        <f t="shared" si="59"/>
        <v>1</v>
      </c>
      <c r="AA166">
        <f>step3_validation[[#This Row],[AI_FAC1]]</f>
        <v>8</v>
      </c>
      <c r="AB166" t="str">
        <f t="shared" si="60"/>
        <v>Support</v>
      </c>
      <c r="AC166">
        <f>survey_responses[[#This Row],[Các thủ tục khai báo thuế VÀ/HOẶC quy trình làm việc với cơ quan thuế đơn giản, tiện lợi, nhanh chóng hơn so với trước đây. - HUMAN-FAC1]]</f>
        <v>6</v>
      </c>
      <c r="AD166" t="str">
        <f t="shared" si="61"/>
        <v>Neutral</v>
      </c>
      <c r="AE166" s="32">
        <f t="shared" si="62"/>
        <v>2</v>
      </c>
      <c r="AF166">
        <f>step3_validation[[#This Row],[AI_FAC2]]</f>
        <v>8</v>
      </c>
      <c r="AG166" t="str">
        <f t="shared" si="63"/>
        <v>Support</v>
      </c>
      <c r="AH166">
        <f>survey_responses[[#This Row],[So với trước đây, tôi thấy cách tính thuế và các bậc thuế trong phương án mới đơn giản, dễ hiểu và dễ thực hiện hơn. - HUMAN-FAC2]]</f>
        <v>6</v>
      </c>
      <c r="AI166" t="str">
        <f t="shared" si="64"/>
        <v>Neutral</v>
      </c>
      <c r="AJ166" s="32">
        <f t="shared" si="65"/>
        <v>2</v>
      </c>
      <c r="AK166">
        <f>step3_validation[[#This Row],[AI_TRU1]]</f>
        <v>9</v>
      </c>
      <c r="AL166" t="str">
        <f t="shared" si="66"/>
        <v>Support</v>
      </c>
      <c r="AM166">
        <f>survey_responses[[#This Row],[Tôi tin rằng Nhà nước, cơ quan thuế sẽ thực thi chính sách mới một cách khách quan, công tâm và đối xử bình đẳng với mọi người nộp thuế.  - HUMAN-TRU1]]</f>
        <v>6</v>
      </c>
      <c r="AN166" t="str">
        <f t="shared" si="67"/>
        <v>Neutral</v>
      </c>
      <c r="AO166" s="32">
        <f t="shared" si="68"/>
        <v>3</v>
      </c>
      <c r="AP166">
        <f>step3_validation[[#This Row],[AI_TRU2]]</f>
        <v>8</v>
      </c>
      <c r="AQ166" t="str">
        <f t="shared" si="69"/>
        <v>Support</v>
      </c>
      <c r="AR166">
        <f>survey_responses[[#This Row],[Tôi thấy mức thuế tôi phải đóng theo phương án mới là công bằng (người thu nhập như tôi đóng mức này là hợp lý). - HUMAN-TRU2]]</f>
        <v>6</v>
      </c>
      <c r="AS166" t="str">
        <f t="shared" si="70"/>
        <v>Neutral</v>
      </c>
      <c r="AT166" s="32">
        <f t="shared" si="71"/>
        <v>2</v>
      </c>
      <c r="AU166">
        <f>step3_validation[[#This Row],[AI_TRU3]]</f>
        <v>9</v>
      </c>
      <c r="AV166" t="str">
        <f t="shared" si="72"/>
        <v>Support</v>
      </c>
      <c r="AW166">
        <f>survey_responses[[#This Row],[Tôi tin tưởng số tiền thuế tôi đóng sẽ được Nhà nước sử dụng hiệu quả để cải thiện dịch vụ công (y tế, đường xá...). - HUMAN-TRU3]]</f>
        <v>5</v>
      </c>
      <c r="AX166" t="str">
        <f t="shared" si="73"/>
        <v>Neutral</v>
      </c>
      <c r="AY166" s="32">
        <f t="shared" si="74"/>
        <v>4</v>
      </c>
      <c r="AZ166">
        <f>step3_validation[[#This Row],[AI_TRU4]]</f>
        <v>7</v>
      </c>
      <c r="BA166" t="str">
        <f t="shared" si="75"/>
        <v>Neutral</v>
      </c>
      <c r="BB166">
        <f>survey_responses[[#This Row],[Tôi thấy Nhà nước đã giải thích rõ ràng, minh bạch về lý do và mục tiêu của việc sửa đổi thuế lần này. - HUMAN-TRU4]]</f>
        <v>7</v>
      </c>
      <c r="BC166" t="str">
        <f t="shared" si="76"/>
        <v>Neutral</v>
      </c>
      <c r="BD166" s="32">
        <f t="shared" si="77"/>
        <v>0</v>
      </c>
      <c r="BE166">
        <f>step3_validation[[#This Row],[AI_OUT1]]</f>
        <v>9</v>
      </c>
      <c r="BF166" t="str">
        <f t="shared" si="78"/>
        <v>Support</v>
      </c>
      <c r="BG166">
        <f>survey_responses[[#This Row],[Sau khi xem xét các quyền lợi và nghĩa vụ, bạn có ủng hộ và tuân thủ chính sách mới hiện nay? - HUMAN-OUT1]]</f>
        <v>8</v>
      </c>
      <c r="BH166" t="str">
        <f t="shared" si="79"/>
        <v>Support</v>
      </c>
      <c r="BI166" s="32">
        <f t="shared" si="80"/>
        <v>1</v>
      </c>
    </row>
    <row r="167" spans="1:61" x14ac:dyDescent="0.45">
      <c r="A167" s="30">
        <f>step3_validation[[#This Row],[Persona_ID]]</f>
        <v>166</v>
      </c>
      <c r="B167" s="31">
        <f>step3_validation[[#This Row],[Used_Seed]]</f>
        <v>166</v>
      </c>
      <c r="C167" t="str">
        <f>step3_validation[[#This Row],[Gender]]</f>
        <v>Nữ</v>
      </c>
      <c r="D167" t="str">
        <f>survey_responses[[#This Row],[Giới tính của bạn:]]</f>
        <v>Nữ</v>
      </c>
      <c r="E167" t="str">
        <f>step3_validation[[#This Row],[Age_Group]]</f>
        <v>30 - 39</v>
      </c>
      <c r="F167" t="str">
        <f>survey_responses[[#This Row],[Độ tuổi của bạn:]]</f>
        <v>30 - 39</v>
      </c>
      <c r="G167" t="str">
        <f>step3_validation[[#This Row],[Region]]</f>
        <v>Thành thị</v>
      </c>
      <c r="H167" t="str">
        <f>survey_responses[[#This Row],[Khu vực bạn đang sinh sống:]]</f>
        <v>Thành thị</v>
      </c>
      <c r="I167" t="str">
        <f>step3_validation[[#This Row],[Education]]</f>
        <v>Sau Đại học</v>
      </c>
      <c r="J167" t="str">
        <f>survey_responses[[#This Row],[Trình độ học vấn cao nhất:]]</f>
        <v>Sau Đại học</v>
      </c>
      <c r="K167" t="str">
        <f>step3_validation[[#This Row],[Employment]]</f>
        <v>Chính thức</v>
      </c>
      <c r="L167" t="str">
        <f>survey_responses[[#This Row],[Tình trạng việc làm chính:]]</f>
        <v>Khu vực chính thức (Có Hợp đồng lao động, đóng BHXH)</v>
      </c>
      <c r="M167">
        <f>step3_validation[[#This Row],[Income_Mil]]</f>
        <v>42.743619026359475</v>
      </c>
      <c r="N167" t="str">
        <f>survey_responses[[#This Row],[Thu nhập bình quân tháng theo Hợp đồng lao động của bạn là bao nhiêu? (Vui lòng điền tổng thu nhập trước khi khấu trừ các loại Bảo hiểm (BHXH, BHYT, BHTN) và Thuế TNCN)]]</f>
        <v>Từ 32 - 48 triệu VNĐ</v>
      </c>
      <c r="O167">
        <f>step3_validation[[#This Row],[Dependents]]</f>
        <v>1</v>
      </c>
      <c r="P167" t="str">
        <f>survey_responses[[#This Row],[Số người phụ thuộc (con nhỏ, cha mẹ già...) đủ điều kiện giảm trừ gia cảnh:]]</f>
        <v>1 người</v>
      </c>
      <c r="Q167">
        <f>step3_validation[[#This Row],[AI_ENF1]]</f>
        <v>6</v>
      </c>
      <c r="R167" t="str">
        <f t="shared" si="54"/>
        <v>Neutral</v>
      </c>
      <c r="S167">
        <f>survey_responses[[#This Row],[Tôi tin rằng với các quy định quản lý thuế hiện nay, hành vi gian lận hoặc trốn thuế sẽ dễ dàng bị phát hiện và xử lý nghiêm. - HUMAN-ENF1]]</f>
        <v>10</v>
      </c>
      <c r="T167" t="str">
        <f t="shared" si="55"/>
        <v>Support</v>
      </c>
      <c r="U167" s="32">
        <f t="shared" si="56"/>
        <v>4</v>
      </c>
      <c r="V167">
        <f>step3_validation[[#This Row],[AI_ENF2]]</f>
        <v>7</v>
      </c>
      <c r="W167" t="str">
        <f t="shared" si="57"/>
        <v>Neutral</v>
      </c>
      <c r="X167">
        <f>survey_responses[[#This Row],[Tôi tin rằng Nhà nước, cơ quan thuế có đủ khả năng và công nghệ để phát hiện, xử lý nghiêm các hành vi trốn thuế. - HUMAN-ENF2]]</f>
        <v>8</v>
      </c>
      <c r="Y167" t="str">
        <f t="shared" si="58"/>
        <v>Support</v>
      </c>
      <c r="Z167" s="32">
        <f t="shared" si="59"/>
        <v>1</v>
      </c>
      <c r="AA167">
        <f>step3_validation[[#This Row],[AI_FAC1]]</f>
        <v>9</v>
      </c>
      <c r="AB167" t="str">
        <f t="shared" si="60"/>
        <v>Support</v>
      </c>
      <c r="AC167">
        <f>survey_responses[[#This Row],[Các thủ tục khai báo thuế VÀ/HOẶC quy trình làm việc với cơ quan thuế đơn giản, tiện lợi, nhanh chóng hơn so với trước đây. - HUMAN-FAC1]]</f>
        <v>10</v>
      </c>
      <c r="AD167" t="str">
        <f t="shared" si="61"/>
        <v>Support</v>
      </c>
      <c r="AE167" s="32">
        <f t="shared" si="62"/>
        <v>1</v>
      </c>
      <c r="AF167">
        <f>step3_validation[[#This Row],[AI_FAC2]]</f>
        <v>8</v>
      </c>
      <c r="AG167" t="str">
        <f t="shared" si="63"/>
        <v>Support</v>
      </c>
      <c r="AH167">
        <f>survey_responses[[#This Row],[So với trước đây, tôi thấy cách tính thuế và các bậc thuế trong phương án mới đơn giản, dễ hiểu và dễ thực hiện hơn. - HUMAN-FAC2]]</f>
        <v>10</v>
      </c>
      <c r="AI167" t="str">
        <f t="shared" si="64"/>
        <v>Support</v>
      </c>
      <c r="AJ167" s="32">
        <f t="shared" si="65"/>
        <v>2</v>
      </c>
      <c r="AK167">
        <f>step3_validation[[#This Row],[AI_TRU1]]</f>
        <v>7</v>
      </c>
      <c r="AL167" t="str">
        <f t="shared" si="66"/>
        <v>Neutral</v>
      </c>
      <c r="AM167">
        <f>survey_responses[[#This Row],[Tôi tin rằng Nhà nước, cơ quan thuế sẽ thực thi chính sách mới một cách khách quan, công tâm và đối xử bình đẳng với mọi người nộp thuế.  - HUMAN-TRU1]]</f>
        <v>10</v>
      </c>
      <c r="AN167" t="str">
        <f t="shared" si="67"/>
        <v>Support</v>
      </c>
      <c r="AO167" s="32">
        <f t="shared" si="68"/>
        <v>3</v>
      </c>
      <c r="AP167">
        <f>step3_validation[[#This Row],[AI_TRU2]]</f>
        <v>9</v>
      </c>
      <c r="AQ167" t="str">
        <f t="shared" si="69"/>
        <v>Support</v>
      </c>
      <c r="AR167">
        <f>survey_responses[[#This Row],[Tôi thấy mức thuế tôi phải đóng theo phương án mới là công bằng (người thu nhập như tôi đóng mức này là hợp lý). - HUMAN-TRU2]]</f>
        <v>10</v>
      </c>
      <c r="AS167" t="str">
        <f t="shared" si="70"/>
        <v>Support</v>
      </c>
      <c r="AT167" s="32">
        <f t="shared" si="71"/>
        <v>1</v>
      </c>
      <c r="AU167">
        <f>step3_validation[[#This Row],[AI_TRU3]]</f>
        <v>8</v>
      </c>
      <c r="AV167" t="str">
        <f t="shared" si="72"/>
        <v>Support</v>
      </c>
      <c r="AW167">
        <f>survey_responses[[#This Row],[Tôi tin tưởng số tiền thuế tôi đóng sẽ được Nhà nước sử dụng hiệu quả để cải thiện dịch vụ công (y tế, đường xá...). - HUMAN-TRU3]]</f>
        <v>10</v>
      </c>
      <c r="AX167" t="str">
        <f t="shared" si="73"/>
        <v>Support</v>
      </c>
      <c r="AY167" s="32">
        <f t="shared" si="74"/>
        <v>2</v>
      </c>
      <c r="AZ167">
        <f>step3_validation[[#This Row],[AI_TRU4]]</f>
        <v>7</v>
      </c>
      <c r="BA167" t="str">
        <f t="shared" si="75"/>
        <v>Neutral</v>
      </c>
      <c r="BB167">
        <f>survey_responses[[#This Row],[Tôi thấy Nhà nước đã giải thích rõ ràng, minh bạch về lý do và mục tiêu của việc sửa đổi thuế lần này. - HUMAN-TRU4]]</f>
        <v>10</v>
      </c>
      <c r="BC167" t="str">
        <f t="shared" si="76"/>
        <v>Support</v>
      </c>
      <c r="BD167" s="32">
        <f t="shared" si="77"/>
        <v>3</v>
      </c>
      <c r="BE167">
        <f>step3_validation[[#This Row],[AI_OUT1]]</f>
        <v>8</v>
      </c>
      <c r="BF167" t="str">
        <f t="shared" si="78"/>
        <v>Support</v>
      </c>
      <c r="BG167">
        <f>survey_responses[[#This Row],[Sau khi xem xét các quyền lợi và nghĩa vụ, bạn có ủng hộ và tuân thủ chính sách mới hiện nay? - HUMAN-OUT1]]</f>
        <v>8</v>
      </c>
      <c r="BH167" t="str">
        <f t="shared" si="79"/>
        <v>Support</v>
      </c>
      <c r="BI167" s="32">
        <f t="shared" si="80"/>
        <v>0</v>
      </c>
    </row>
    <row r="168" spans="1:61" x14ac:dyDescent="0.45">
      <c r="A168" s="30">
        <f>step3_validation[[#This Row],[Persona_ID]]</f>
        <v>167</v>
      </c>
      <c r="B168" s="31">
        <f>step3_validation[[#This Row],[Used_Seed]]</f>
        <v>167</v>
      </c>
      <c r="C168" t="str">
        <f>step3_validation[[#This Row],[Gender]]</f>
        <v>Nam</v>
      </c>
      <c r="D168" t="str">
        <f>survey_responses[[#This Row],[Giới tính của bạn:]]</f>
        <v>Nam</v>
      </c>
      <c r="E168" t="str">
        <f>step3_validation[[#This Row],[Age_Group]]</f>
        <v>30 - 39</v>
      </c>
      <c r="F168" t="str">
        <f>survey_responses[[#This Row],[Độ tuổi của bạn:]]</f>
        <v>30 - 39</v>
      </c>
      <c r="G168" t="str">
        <f>step3_validation[[#This Row],[Region]]</f>
        <v>Thành thị</v>
      </c>
      <c r="H168" t="str">
        <f>survey_responses[[#This Row],[Khu vực bạn đang sinh sống:]]</f>
        <v>Thành thị</v>
      </c>
      <c r="I168" t="str">
        <f>step3_validation[[#This Row],[Education]]</f>
        <v>Sau Đại học</v>
      </c>
      <c r="J168" t="str">
        <f>survey_responses[[#This Row],[Trình độ học vấn cao nhất:]]</f>
        <v>Sau Đại học</v>
      </c>
      <c r="K168" t="str">
        <f>step3_validation[[#This Row],[Employment]]</f>
        <v>Chính thức</v>
      </c>
      <c r="L168" t="str">
        <f>survey_responses[[#This Row],[Tình trạng việc làm chính:]]</f>
        <v>Khu vực chính thức (Có Hợp đồng lao động, đóng BHXH)</v>
      </c>
      <c r="M168">
        <f>step3_validation[[#This Row],[Income_Mil]]</f>
        <v>73.585283968546051</v>
      </c>
      <c r="N168" t="str">
        <f>survey_responses[[#This Row],[Thu nhập bình quân tháng theo Hợp đồng lao động của bạn là bao nhiêu? (Vui lòng điền tổng thu nhập trước khi khấu trừ các loại Bảo hiểm (BHXH, BHYT, BHTN) và Thuế TNCN)]]</f>
        <v>Từ 70 - 102 triệu VNĐ</v>
      </c>
      <c r="O168">
        <f>step3_validation[[#This Row],[Dependents]]</f>
        <v>0</v>
      </c>
      <c r="P168" t="str">
        <f>survey_responses[[#This Row],[Số người phụ thuộc (con nhỏ, cha mẹ già...) đủ điều kiện giảm trừ gia cảnh:]]</f>
        <v>0 người</v>
      </c>
      <c r="Q168">
        <f>step3_validation[[#This Row],[AI_ENF1]]</f>
        <v>6</v>
      </c>
      <c r="R168" t="str">
        <f t="shared" si="54"/>
        <v>Neutral</v>
      </c>
      <c r="S168">
        <f>survey_responses[[#This Row],[Tôi tin rằng với các quy định quản lý thuế hiện nay, hành vi gian lận hoặc trốn thuế sẽ dễ dàng bị phát hiện và xử lý nghiêm. - HUMAN-ENF1]]</f>
        <v>5</v>
      </c>
      <c r="T168" t="str">
        <f t="shared" si="55"/>
        <v>Neutral</v>
      </c>
      <c r="U168" s="32">
        <f t="shared" si="56"/>
        <v>1</v>
      </c>
      <c r="V168">
        <f>step3_validation[[#This Row],[AI_ENF2]]</f>
        <v>8</v>
      </c>
      <c r="W168" t="str">
        <f t="shared" si="57"/>
        <v>Support</v>
      </c>
      <c r="X168">
        <f>survey_responses[[#This Row],[Tôi tin rằng Nhà nước, cơ quan thuế có đủ khả năng và công nghệ để phát hiện, xử lý nghiêm các hành vi trốn thuế. - HUMAN-ENF2]]</f>
        <v>8</v>
      </c>
      <c r="Y168" t="str">
        <f t="shared" si="58"/>
        <v>Support</v>
      </c>
      <c r="Z168" s="32">
        <f t="shared" si="59"/>
        <v>0</v>
      </c>
      <c r="AA168">
        <f>step3_validation[[#This Row],[AI_FAC1]]</f>
        <v>9</v>
      </c>
      <c r="AB168" t="str">
        <f t="shared" si="60"/>
        <v>Support</v>
      </c>
      <c r="AC168">
        <f>survey_responses[[#This Row],[Các thủ tục khai báo thuế VÀ/HOẶC quy trình làm việc với cơ quan thuế đơn giản, tiện lợi, nhanh chóng hơn so với trước đây. - HUMAN-FAC1]]</f>
        <v>5</v>
      </c>
      <c r="AD168" t="str">
        <f t="shared" si="61"/>
        <v>Neutral</v>
      </c>
      <c r="AE168" s="32">
        <f t="shared" si="62"/>
        <v>4</v>
      </c>
      <c r="AF168">
        <f>step3_validation[[#This Row],[AI_FAC2]]</f>
        <v>9</v>
      </c>
      <c r="AG168" t="str">
        <f t="shared" si="63"/>
        <v>Support</v>
      </c>
      <c r="AH168">
        <f>survey_responses[[#This Row],[So với trước đây, tôi thấy cách tính thuế và các bậc thuế trong phương án mới đơn giản, dễ hiểu và dễ thực hiện hơn. - HUMAN-FAC2]]</f>
        <v>8</v>
      </c>
      <c r="AI168" t="str">
        <f t="shared" si="64"/>
        <v>Support</v>
      </c>
      <c r="AJ168" s="32">
        <f t="shared" si="65"/>
        <v>1</v>
      </c>
      <c r="AK168">
        <f>step3_validation[[#This Row],[AI_TRU1]]</f>
        <v>7</v>
      </c>
      <c r="AL168" t="str">
        <f t="shared" si="66"/>
        <v>Neutral</v>
      </c>
      <c r="AM168">
        <f>survey_responses[[#This Row],[Tôi tin rằng Nhà nước, cơ quan thuế sẽ thực thi chính sách mới một cách khách quan, công tâm và đối xử bình đẳng với mọi người nộp thuế.  - HUMAN-TRU1]]</f>
        <v>4</v>
      </c>
      <c r="AN168" t="str">
        <f t="shared" si="67"/>
        <v>Oppose</v>
      </c>
      <c r="AO168" s="32">
        <f t="shared" si="68"/>
        <v>3</v>
      </c>
      <c r="AP168">
        <f>step3_validation[[#This Row],[AI_TRU2]]</f>
        <v>8</v>
      </c>
      <c r="AQ168" t="str">
        <f t="shared" si="69"/>
        <v>Support</v>
      </c>
      <c r="AR168">
        <f>survey_responses[[#This Row],[Tôi thấy mức thuế tôi phải đóng theo phương án mới là công bằng (người thu nhập như tôi đóng mức này là hợp lý). - HUMAN-TRU2]]</f>
        <v>5</v>
      </c>
      <c r="AS168" t="str">
        <f t="shared" si="70"/>
        <v>Neutral</v>
      </c>
      <c r="AT168" s="32">
        <f t="shared" si="71"/>
        <v>3</v>
      </c>
      <c r="AU168">
        <f>step3_validation[[#This Row],[AI_TRU3]]</f>
        <v>7</v>
      </c>
      <c r="AV168" t="str">
        <f t="shared" si="72"/>
        <v>Neutral</v>
      </c>
      <c r="AW168">
        <f>survey_responses[[#This Row],[Tôi tin tưởng số tiền thuế tôi đóng sẽ được Nhà nước sử dụng hiệu quả để cải thiện dịch vụ công (y tế, đường xá...). - HUMAN-TRU3]]</f>
        <v>1</v>
      </c>
      <c r="AX168" t="str">
        <f t="shared" si="73"/>
        <v>Oppose</v>
      </c>
      <c r="AY168" s="32">
        <f t="shared" si="74"/>
        <v>6</v>
      </c>
      <c r="AZ168">
        <f>step3_validation[[#This Row],[AI_TRU4]]</f>
        <v>6</v>
      </c>
      <c r="BA168" t="str">
        <f t="shared" si="75"/>
        <v>Neutral</v>
      </c>
      <c r="BB168">
        <f>survey_responses[[#This Row],[Tôi thấy Nhà nước đã giải thích rõ ràng, minh bạch về lý do và mục tiêu của việc sửa đổi thuế lần này. - HUMAN-TRU4]]</f>
        <v>5</v>
      </c>
      <c r="BC168" t="str">
        <f t="shared" si="76"/>
        <v>Neutral</v>
      </c>
      <c r="BD168" s="32">
        <f t="shared" si="77"/>
        <v>1</v>
      </c>
      <c r="BE168">
        <f>step3_validation[[#This Row],[AI_OUT1]]</f>
        <v>9</v>
      </c>
      <c r="BF168" t="str">
        <f t="shared" si="78"/>
        <v>Support</v>
      </c>
      <c r="BG168">
        <f>survey_responses[[#This Row],[Sau khi xem xét các quyền lợi và nghĩa vụ, bạn có ủng hộ và tuân thủ chính sách mới hiện nay? - HUMAN-OUT1]]</f>
        <v>5</v>
      </c>
      <c r="BH168" t="str">
        <f t="shared" si="79"/>
        <v>Neutral</v>
      </c>
      <c r="BI168" s="32">
        <f t="shared" si="80"/>
        <v>4</v>
      </c>
    </row>
    <row r="169" spans="1:61" x14ac:dyDescent="0.45">
      <c r="A169" s="30">
        <f>step3_validation[[#This Row],[Persona_ID]]</f>
        <v>168</v>
      </c>
      <c r="B169" s="31">
        <f>step3_validation[[#This Row],[Used_Seed]]</f>
        <v>168</v>
      </c>
      <c r="C169" t="str">
        <f>step3_validation[[#This Row],[Gender]]</f>
        <v>Nữ</v>
      </c>
      <c r="D169" t="str">
        <f>survey_responses[[#This Row],[Giới tính của bạn:]]</f>
        <v>Nữ</v>
      </c>
      <c r="E169" t="str">
        <f>step3_validation[[#This Row],[Age_Group]]</f>
        <v>25 - 29</v>
      </c>
      <c r="F169" t="str">
        <f>survey_responses[[#This Row],[Độ tuổi của bạn:]]</f>
        <v>25 - 29</v>
      </c>
      <c r="G169" t="str">
        <f>step3_validation[[#This Row],[Region]]</f>
        <v>Thành thị</v>
      </c>
      <c r="H169" t="str">
        <f>survey_responses[[#This Row],[Khu vực bạn đang sinh sống:]]</f>
        <v>Thành thị</v>
      </c>
      <c r="I169" t="str">
        <f>step3_validation[[#This Row],[Education]]</f>
        <v>Đại học</v>
      </c>
      <c r="J169" t="str">
        <f>survey_responses[[#This Row],[Trình độ học vấn cao nhất:]]</f>
        <v>Đại học</v>
      </c>
      <c r="K169" t="str">
        <f>step3_validation[[#This Row],[Employment]]</f>
        <v>Chính thức</v>
      </c>
      <c r="L169" t="str">
        <f>survey_responses[[#This Row],[Tình trạng việc làm chính:]]</f>
        <v>Khu vực chính thức (Có Hợp đồng lao động, đóng BHXH)</v>
      </c>
      <c r="M169">
        <f>step3_validation[[#This Row],[Income_Mil]]</f>
        <v>19.080898315075295</v>
      </c>
      <c r="N169" t="str">
        <f>survey_responses[[#This Row],[Thu nhập bình quân tháng theo Hợp đồng lao động của bạn là bao nhiêu? (Vui lòng điền tổng thu nhập trước khi khấu trừ các loại Bảo hiểm (BHXH, BHYT, BHTN) và Thuế TNCN)]]</f>
        <v>Từ 18 - 23 triệu VNĐ</v>
      </c>
      <c r="O169">
        <f>step3_validation[[#This Row],[Dependents]]</f>
        <v>0</v>
      </c>
      <c r="P169" t="str">
        <f>survey_responses[[#This Row],[Số người phụ thuộc (con nhỏ, cha mẹ già...) đủ điều kiện giảm trừ gia cảnh:]]</f>
        <v>0 người</v>
      </c>
      <c r="Q169">
        <f>step3_validation[[#This Row],[AI_ENF1]]</f>
        <v>6</v>
      </c>
      <c r="R169" t="str">
        <f t="shared" si="54"/>
        <v>Neutral</v>
      </c>
      <c r="S169">
        <f>survey_responses[[#This Row],[Tôi tin rằng với các quy định quản lý thuế hiện nay, hành vi gian lận hoặc trốn thuế sẽ dễ dàng bị phát hiện và xử lý nghiêm. - HUMAN-ENF1]]</f>
        <v>7</v>
      </c>
      <c r="T169" t="str">
        <f t="shared" si="55"/>
        <v>Neutral</v>
      </c>
      <c r="U169" s="32">
        <f t="shared" si="56"/>
        <v>1</v>
      </c>
      <c r="V169">
        <f>step3_validation[[#This Row],[AI_ENF2]]</f>
        <v>7</v>
      </c>
      <c r="W169" t="str">
        <f t="shared" si="57"/>
        <v>Neutral</v>
      </c>
      <c r="X169">
        <f>survey_responses[[#This Row],[Tôi tin rằng Nhà nước, cơ quan thuế có đủ khả năng và công nghệ để phát hiện, xử lý nghiêm các hành vi trốn thuế. - HUMAN-ENF2]]</f>
        <v>7</v>
      </c>
      <c r="Y169" t="str">
        <f t="shared" si="58"/>
        <v>Neutral</v>
      </c>
      <c r="Z169" s="32">
        <f t="shared" si="59"/>
        <v>0</v>
      </c>
      <c r="AA169">
        <f>step3_validation[[#This Row],[AI_FAC1]]</f>
        <v>9</v>
      </c>
      <c r="AB169" t="str">
        <f t="shared" si="60"/>
        <v>Support</v>
      </c>
      <c r="AC169">
        <f>survey_responses[[#This Row],[Các thủ tục khai báo thuế VÀ/HOẶC quy trình làm việc với cơ quan thuế đơn giản, tiện lợi, nhanh chóng hơn so với trước đây. - HUMAN-FAC1]]</f>
        <v>8</v>
      </c>
      <c r="AD169" t="str">
        <f t="shared" si="61"/>
        <v>Support</v>
      </c>
      <c r="AE169" s="32">
        <f t="shared" si="62"/>
        <v>1</v>
      </c>
      <c r="AF169">
        <f>step3_validation[[#This Row],[AI_FAC2]]</f>
        <v>10</v>
      </c>
      <c r="AG169" t="str">
        <f t="shared" si="63"/>
        <v>Support</v>
      </c>
      <c r="AH169">
        <f>survey_responses[[#This Row],[So với trước đây, tôi thấy cách tính thuế và các bậc thuế trong phương án mới đơn giản, dễ hiểu và dễ thực hiện hơn. - HUMAN-FAC2]]</f>
        <v>8</v>
      </c>
      <c r="AI169" t="str">
        <f t="shared" si="64"/>
        <v>Support</v>
      </c>
      <c r="AJ169" s="32">
        <f t="shared" si="65"/>
        <v>2</v>
      </c>
      <c r="AK169">
        <f>step3_validation[[#This Row],[AI_TRU1]]</f>
        <v>7</v>
      </c>
      <c r="AL169" t="str">
        <f t="shared" si="66"/>
        <v>Neutral</v>
      </c>
      <c r="AM169">
        <f>survey_responses[[#This Row],[Tôi tin rằng Nhà nước, cơ quan thuế sẽ thực thi chính sách mới một cách khách quan, công tâm và đối xử bình đẳng với mọi người nộp thuế.  - HUMAN-TRU1]]</f>
        <v>7</v>
      </c>
      <c r="AN169" t="str">
        <f t="shared" si="67"/>
        <v>Neutral</v>
      </c>
      <c r="AO169" s="32">
        <f t="shared" si="68"/>
        <v>0</v>
      </c>
      <c r="AP169">
        <f>step3_validation[[#This Row],[AI_TRU2]]</f>
        <v>9</v>
      </c>
      <c r="AQ169" t="str">
        <f t="shared" si="69"/>
        <v>Support</v>
      </c>
      <c r="AR169">
        <f>survey_responses[[#This Row],[Tôi thấy mức thuế tôi phải đóng theo phương án mới là công bằng (người thu nhập như tôi đóng mức này là hợp lý). - HUMAN-TRU2]]</f>
        <v>8</v>
      </c>
      <c r="AS169" t="str">
        <f t="shared" si="70"/>
        <v>Support</v>
      </c>
      <c r="AT169" s="32">
        <f t="shared" si="71"/>
        <v>1</v>
      </c>
      <c r="AU169">
        <f>step3_validation[[#This Row],[AI_TRU3]]</f>
        <v>8</v>
      </c>
      <c r="AV169" t="str">
        <f t="shared" si="72"/>
        <v>Support</v>
      </c>
      <c r="AW169">
        <f>survey_responses[[#This Row],[Tôi tin tưởng số tiền thuế tôi đóng sẽ được Nhà nước sử dụng hiệu quả để cải thiện dịch vụ công (y tế, đường xá...). - HUMAN-TRU3]]</f>
        <v>8</v>
      </c>
      <c r="AX169" t="str">
        <f t="shared" si="73"/>
        <v>Support</v>
      </c>
      <c r="AY169" s="32">
        <f t="shared" si="74"/>
        <v>0</v>
      </c>
      <c r="AZ169">
        <f>step3_validation[[#This Row],[AI_TRU4]]</f>
        <v>7</v>
      </c>
      <c r="BA169" t="str">
        <f t="shared" si="75"/>
        <v>Neutral</v>
      </c>
      <c r="BB169">
        <f>survey_responses[[#This Row],[Tôi thấy Nhà nước đã giải thích rõ ràng, minh bạch về lý do và mục tiêu của việc sửa đổi thuế lần này. - HUMAN-TRU4]]</f>
        <v>8</v>
      </c>
      <c r="BC169" t="str">
        <f t="shared" si="76"/>
        <v>Support</v>
      </c>
      <c r="BD169" s="32">
        <f t="shared" si="77"/>
        <v>1</v>
      </c>
      <c r="BE169">
        <f>step3_validation[[#This Row],[AI_OUT1]]</f>
        <v>9</v>
      </c>
      <c r="BF169" t="str">
        <f t="shared" si="78"/>
        <v>Support</v>
      </c>
      <c r="BG169">
        <f>survey_responses[[#This Row],[Sau khi xem xét các quyền lợi và nghĩa vụ, bạn có ủng hộ và tuân thủ chính sách mới hiện nay? - HUMAN-OUT1]]</f>
        <v>9</v>
      </c>
      <c r="BH169" t="str">
        <f t="shared" si="79"/>
        <v>Support</v>
      </c>
      <c r="BI169" s="32">
        <f t="shared" si="80"/>
        <v>0</v>
      </c>
    </row>
    <row r="170" spans="1:61" x14ac:dyDescent="0.45">
      <c r="A170" s="30">
        <f>step3_validation[[#This Row],[Persona_ID]]</f>
        <v>169</v>
      </c>
      <c r="B170" s="31">
        <f>step3_validation[[#This Row],[Used_Seed]]</f>
        <v>169</v>
      </c>
      <c r="C170" t="str">
        <f>step3_validation[[#This Row],[Gender]]</f>
        <v>Nam</v>
      </c>
      <c r="D170" t="str">
        <f>survey_responses[[#This Row],[Giới tính của bạn:]]</f>
        <v>Nam</v>
      </c>
      <c r="E170" t="str">
        <f>step3_validation[[#This Row],[Age_Group]]</f>
        <v>40 - 49</v>
      </c>
      <c r="F170" t="str">
        <f>survey_responses[[#This Row],[Độ tuổi của bạn:]]</f>
        <v>40 - 49</v>
      </c>
      <c r="G170" t="str">
        <f>step3_validation[[#This Row],[Region]]</f>
        <v>Thành thị</v>
      </c>
      <c r="H170" t="str">
        <f>survey_responses[[#This Row],[Khu vực bạn đang sinh sống:]]</f>
        <v>Thành thị</v>
      </c>
      <c r="I170" t="str">
        <f>step3_validation[[#This Row],[Education]]</f>
        <v>Đại học</v>
      </c>
      <c r="J170" t="str">
        <f>survey_responses[[#This Row],[Trình độ học vấn cao nhất:]]</f>
        <v>Đại học</v>
      </c>
      <c r="K170" t="str">
        <f>step3_validation[[#This Row],[Employment]]</f>
        <v>Chính thức</v>
      </c>
      <c r="L170" t="str">
        <f>survey_responses[[#This Row],[Tình trạng việc làm chính:]]</f>
        <v>Khu vực chính thức (Có Hợp đồng lao động, đóng BHXH)</v>
      </c>
      <c r="M170">
        <f>step3_validation[[#This Row],[Income_Mil]]</f>
        <v>39.147503326078819</v>
      </c>
      <c r="N170" t="str">
        <f>survey_responses[[#This Row],[Thu nhập bình quân tháng theo Hợp đồng lao động của bạn là bao nhiêu? (Vui lòng điền tổng thu nhập trước khi khấu trừ các loại Bảo hiểm (BHXH, BHYT, BHTN) và Thuế TNCN)]]</f>
        <v>Từ 32 - 48 triệu VNĐ</v>
      </c>
      <c r="O170">
        <f>step3_validation[[#This Row],[Dependents]]</f>
        <v>0</v>
      </c>
      <c r="P170" t="str">
        <f>survey_responses[[#This Row],[Số người phụ thuộc (con nhỏ, cha mẹ già...) đủ điều kiện giảm trừ gia cảnh:]]</f>
        <v>0 người</v>
      </c>
      <c r="Q170">
        <f>step3_validation[[#This Row],[AI_ENF1]]</f>
        <v>7</v>
      </c>
      <c r="R170" t="str">
        <f t="shared" si="54"/>
        <v>Neutral</v>
      </c>
      <c r="S170">
        <f>survey_responses[[#This Row],[Tôi tin rằng với các quy định quản lý thuế hiện nay, hành vi gian lận hoặc trốn thuế sẽ dễ dàng bị phát hiện và xử lý nghiêm. - HUMAN-ENF1]]</f>
        <v>8</v>
      </c>
      <c r="T170" t="str">
        <f t="shared" si="55"/>
        <v>Support</v>
      </c>
      <c r="U170" s="32">
        <f t="shared" si="56"/>
        <v>1</v>
      </c>
      <c r="V170">
        <f>step3_validation[[#This Row],[AI_ENF2]]</f>
        <v>8</v>
      </c>
      <c r="W170" t="str">
        <f t="shared" si="57"/>
        <v>Support</v>
      </c>
      <c r="X170">
        <f>survey_responses[[#This Row],[Tôi tin rằng Nhà nước, cơ quan thuế có đủ khả năng và công nghệ để phát hiện, xử lý nghiêm các hành vi trốn thuế. - HUMAN-ENF2]]</f>
        <v>8</v>
      </c>
      <c r="Y170" t="str">
        <f t="shared" si="58"/>
        <v>Support</v>
      </c>
      <c r="Z170" s="32">
        <f t="shared" si="59"/>
        <v>0</v>
      </c>
      <c r="AA170">
        <f>step3_validation[[#This Row],[AI_FAC1]]</f>
        <v>6</v>
      </c>
      <c r="AB170" t="str">
        <f t="shared" si="60"/>
        <v>Neutral</v>
      </c>
      <c r="AC170">
        <f>survey_responses[[#This Row],[Các thủ tục khai báo thuế VÀ/HOẶC quy trình làm việc với cơ quan thuế đơn giản, tiện lợi, nhanh chóng hơn so với trước đây. - HUMAN-FAC1]]</f>
        <v>7</v>
      </c>
      <c r="AD170" t="str">
        <f t="shared" si="61"/>
        <v>Neutral</v>
      </c>
      <c r="AE170" s="32">
        <f t="shared" si="62"/>
        <v>1</v>
      </c>
      <c r="AF170">
        <f>step3_validation[[#This Row],[AI_FAC2]]</f>
        <v>8</v>
      </c>
      <c r="AG170" t="str">
        <f t="shared" si="63"/>
        <v>Support</v>
      </c>
      <c r="AH170">
        <f>survey_responses[[#This Row],[So với trước đây, tôi thấy cách tính thuế và các bậc thuế trong phương án mới đơn giản, dễ hiểu và dễ thực hiện hơn. - HUMAN-FAC2]]</f>
        <v>8</v>
      </c>
      <c r="AI170" t="str">
        <f t="shared" si="64"/>
        <v>Support</v>
      </c>
      <c r="AJ170" s="32">
        <f t="shared" si="65"/>
        <v>0</v>
      </c>
      <c r="AK170">
        <f>step3_validation[[#This Row],[AI_TRU1]]</f>
        <v>7</v>
      </c>
      <c r="AL170" t="str">
        <f t="shared" si="66"/>
        <v>Neutral</v>
      </c>
      <c r="AM170">
        <f>survey_responses[[#This Row],[Tôi tin rằng Nhà nước, cơ quan thuế sẽ thực thi chính sách mới một cách khách quan, công tâm và đối xử bình đẳng với mọi người nộp thuế.  - HUMAN-TRU1]]</f>
        <v>7</v>
      </c>
      <c r="AN170" t="str">
        <f t="shared" si="67"/>
        <v>Neutral</v>
      </c>
      <c r="AO170" s="32">
        <f t="shared" si="68"/>
        <v>0</v>
      </c>
      <c r="AP170">
        <f>step3_validation[[#This Row],[AI_TRU2]]</f>
        <v>9</v>
      </c>
      <c r="AQ170" t="str">
        <f t="shared" si="69"/>
        <v>Support</v>
      </c>
      <c r="AR170">
        <f>survey_responses[[#This Row],[Tôi thấy mức thuế tôi phải đóng theo phương án mới là công bằng (người thu nhập như tôi đóng mức này là hợp lý). - HUMAN-TRU2]]</f>
        <v>7</v>
      </c>
      <c r="AS170" t="str">
        <f t="shared" si="70"/>
        <v>Neutral</v>
      </c>
      <c r="AT170" s="32">
        <f t="shared" si="71"/>
        <v>2</v>
      </c>
      <c r="AU170">
        <f>step3_validation[[#This Row],[AI_TRU3]]</f>
        <v>8</v>
      </c>
      <c r="AV170" t="str">
        <f t="shared" si="72"/>
        <v>Support</v>
      </c>
      <c r="AW170">
        <f>survey_responses[[#This Row],[Tôi tin tưởng số tiền thuế tôi đóng sẽ được Nhà nước sử dụng hiệu quả để cải thiện dịch vụ công (y tế, đường xá...). - HUMAN-TRU3]]</f>
        <v>7</v>
      </c>
      <c r="AX170" t="str">
        <f t="shared" si="73"/>
        <v>Neutral</v>
      </c>
      <c r="AY170" s="32">
        <f t="shared" si="74"/>
        <v>1</v>
      </c>
      <c r="AZ170">
        <f>step3_validation[[#This Row],[AI_TRU4]]</f>
        <v>7</v>
      </c>
      <c r="BA170" t="str">
        <f t="shared" si="75"/>
        <v>Neutral</v>
      </c>
      <c r="BB170">
        <f>survey_responses[[#This Row],[Tôi thấy Nhà nước đã giải thích rõ ràng, minh bạch về lý do và mục tiêu của việc sửa đổi thuế lần này. - HUMAN-TRU4]]</f>
        <v>8</v>
      </c>
      <c r="BC170" t="str">
        <f t="shared" si="76"/>
        <v>Support</v>
      </c>
      <c r="BD170" s="32">
        <f t="shared" si="77"/>
        <v>1</v>
      </c>
      <c r="BE170">
        <f>step3_validation[[#This Row],[AI_OUT1]]</f>
        <v>9</v>
      </c>
      <c r="BF170" t="str">
        <f t="shared" si="78"/>
        <v>Support</v>
      </c>
      <c r="BG170">
        <f>survey_responses[[#This Row],[Sau khi xem xét các quyền lợi và nghĩa vụ, bạn có ủng hộ và tuân thủ chính sách mới hiện nay? - HUMAN-OUT1]]</f>
        <v>8</v>
      </c>
      <c r="BH170" t="str">
        <f t="shared" si="79"/>
        <v>Support</v>
      </c>
      <c r="BI170" s="32">
        <f t="shared" si="80"/>
        <v>1</v>
      </c>
    </row>
    <row r="171" spans="1:61" x14ac:dyDescent="0.45">
      <c r="A171" s="30">
        <f>step3_validation[[#This Row],[Persona_ID]]</f>
        <v>170</v>
      </c>
      <c r="B171" s="31">
        <f>step3_validation[[#This Row],[Used_Seed]]</f>
        <v>170</v>
      </c>
      <c r="C171" t="str">
        <f>step3_validation[[#This Row],[Gender]]</f>
        <v>Nam</v>
      </c>
      <c r="D171" t="str">
        <f>survey_responses[[#This Row],[Giới tính của bạn:]]</f>
        <v>Nam</v>
      </c>
      <c r="E171" t="str">
        <f>step3_validation[[#This Row],[Age_Group]]</f>
        <v>25 - 29</v>
      </c>
      <c r="F171" t="str">
        <f>survey_responses[[#This Row],[Độ tuổi của bạn:]]</f>
        <v>25 - 29</v>
      </c>
      <c r="G171" t="str">
        <f>step3_validation[[#This Row],[Region]]</f>
        <v>Thành thị</v>
      </c>
      <c r="H171" t="str">
        <f>survey_responses[[#This Row],[Khu vực bạn đang sinh sống:]]</f>
        <v>Thành thị</v>
      </c>
      <c r="I171" t="str">
        <f>step3_validation[[#This Row],[Education]]</f>
        <v>Đại học</v>
      </c>
      <c r="J171" t="str">
        <f>survey_responses[[#This Row],[Trình độ học vấn cao nhất:]]</f>
        <v>Đại học</v>
      </c>
      <c r="K171" t="str">
        <f>step3_validation[[#This Row],[Employment]]</f>
        <v>Phi chính thức</v>
      </c>
      <c r="L171" t="str">
        <f>survey_responses[[#This Row],[Tình trạng việc làm chính:]]</f>
        <v>Khu vực phi chính thức (Lao động tự do, không có HĐLĐ)</v>
      </c>
      <c r="M171">
        <f>step3_validation[[#This Row],[Income_Mil]]</f>
        <v>15.937092510514027</v>
      </c>
      <c r="N171" t="str">
        <f>survey_responses[[#This Row],[Thu nhập bình quân tháng theo Hợp đồng lao động của bạn là bao nhiêu? (Vui lòng điền tổng thu nhập trước khi khấu trừ các loại Bảo hiểm (BHXH, BHYT, BHTN) và Thuế TNCN)]]</f>
        <v>Từ 12 - 18 triệu VNĐ</v>
      </c>
      <c r="O171">
        <f>step3_validation[[#This Row],[Dependents]]</f>
        <v>0</v>
      </c>
      <c r="P171" t="str">
        <f>survey_responses[[#This Row],[Số người phụ thuộc (con nhỏ, cha mẹ già...) đủ điều kiện giảm trừ gia cảnh:]]</f>
        <v>0 người</v>
      </c>
      <c r="Q171">
        <f>step3_validation[[#This Row],[AI_ENF1]]</f>
        <v>7</v>
      </c>
      <c r="R171" t="str">
        <f t="shared" si="54"/>
        <v>Neutral</v>
      </c>
      <c r="S171">
        <f>survey_responses[[#This Row],[Tôi tin rằng với các quy định quản lý thuế hiện nay, hành vi gian lận hoặc trốn thuế sẽ dễ dàng bị phát hiện và xử lý nghiêm. - HUMAN-ENF1]]</f>
        <v>5</v>
      </c>
      <c r="T171" t="str">
        <f t="shared" si="55"/>
        <v>Neutral</v>
      </c>
      <c r="U171" s="32">
        <f t="shared" si="56"/>
        <v>2</v>
      </c>
      <c r="V171">
        <f>step3_validation[[#This Row],[AI_ENF2]]</f>
        <v>6</v>
      </c>
      <c r="W171" t="str">
        <f t="shared" si="57"/>
        <v>Neutral</v>
      </c>
      <c r="X171">
        <f>survey_responses[[#This Row],[Tôi tin rằng Nhà nước, cơ quan thuế có đủ khả năng và công nghệ để phát hiện, xử lý nghiêm các hành vi trốn thuế. - HUMAN-ENF2]]</f>
        <v>8</v>
      </c>
      <c r="Y171" t="str">
        <f t="shared" si="58"/>
        <v>Support</v>
      </c>
      <c r="Z171" s="32">
        <f t="shared" si="59"/>
        <v>2</v>
      </c>
      <c r="AA171">
        <f>step3_validation[[#This Row],[AI_FAC1]]</f>
        <v>8</v>
      </c>
      <c r="AB171" t="str">
        <f t="shared" si="60"/>
        <v>Support</v>
      </c>
      <c r="AC171">
        <f>survey_responses[[#This Row],[Các thủ tục khai báo thuế VÀ/HOẶC quy trình làm việc với cơ quan thuế đơn giản, tiện lợi, nhanh chóng hơn so với trước đây. - HUMAN-FAC1]]</f>
        <v>7</v>
      </c>
      <c r="AD171" t="str">
        <f t="shared" si="61"/>
        <v>Neutral</v>
      </c>
      <c r="AE171" s="32">
        <f t="shared" si="62"/>
        <v>1</v>
      </c>
      <c r="AF171">
        <f>step3_validation[[#This Row],[AI_FAC2]]</f>
        <v>9</v>
      </c>
      <c r="AG171" t="str">
        <f t="shared" si="63"/>
        <v>Support</v>
      </c>
      <c r="AH171">
        <f>survey_responses[[#This Row],[So với trước đây, tôi thấy cách tính thuế và các bậc thuế trong phương án mới đơn giản, dễ hiểu và dễ thực hiện hơn. - HUMAN-FAC2]]</f>
        <v>8</v>
      </c>
      <c r="AI171" t="str">
        <f t="shared" si="64"/>
        <v>Support</v>
      </c>
      <c r="AJ171" s="32">
        <f t="shared" si="65"/>
        <v>1</v>
      </c>
      <c r="AK171">
        <f>step3_validation[[#This Row],[AI_TRU1]]</f>
        <v>6</v>
      </c>
      <c r="AL171" t="str">
        <f t="shared" si="66"/>
        <v>Neutral</v>
      </c>
      <c r="AM171">
        <f>survey_responses[[#This Row],[Tôi tin rằng Nhà nước, cơ quan thuế sẽ thực thi chính sách mới một cách khách quan, công tâm và đối xử bình đẳng với mọi người nộp thuế.  - HUMAN-TRU1]]</f>
        <v>1</v>
      </c>
      <c r="AN171" t="str">
        <f t="shared" si="67"/>
        <v>Oppose</v>
      </c>
      <c r="AO171" s="32">
        <f t="shared" si="68"/>
        <v>5</v>
      </c>
      <c r="AP171">
        <f>step3_validation[[#This Row],[AI_TRU2]]</f>
        <v>9</v>
      </c>
      <c r="AQ171" t="str">
        <f t="shared" si="69"/>
        <v>Support</v>
      </c>
      <c r="AR171">
        <f>survey_responses[[#This Row],[Tôi thấy mức thuế tôi phải đóng theo phương án mới là công bằng (người thu nhập như tôi đóng mức này là hợp lý). - HUMAN-TRU2]]</f>
        <v>2</v>
      </c>
      <c r="AS171" t="str">
        <f t="shared" si="70"/>
        <v>Oppose</v>
      </c>
      <c r="AT171" s="32">
        <f t="shared" si="71"/>
        <v>7</v>
      </c>
      <c r="AU171">
        <f>step3_validation[[#This Row],[AI_TRU3]]</f>
        <v>5</v>
      </c>
      <c r="AV171" t="str">
        <f t="shared" si="72"/>
        <v>Neutral</v>
      </c>
      <c r="AW171">
        <f>survey_responses[[#This Row],[Tôi tin tưởng số tiền thuế tôi đóng sẽ được Nhà nước sử dụng hiệu quả để cải thiện dịch vụ công (y tế, đường xá...). - HUMAN-TRU3]]</f>
        <v>3</v>
      </c>
      <c r="AX171" t="str">
        <f t="shared" si="73"/>
        <v>Oppose</v>
      </c>
      <c r="AY171" s="32">
        <f t="shared" si="74"/>
        <v>2</v>
      </c>
      <c r="AZ171">
        <f>step3_validation[[#This Row],[AI_TRU4]]</f>
        <v>7</v>
      </c>
      <c r="BA171" t="str">
        <f t="shared" si="75"/>
        <v>Neutral</v>
      </c>
      <c r="BB171">
        <f>survey_responses[[#This Row],[Tôi thấy Nhà nước đã giải thích rõ ràng, minh bạch về lý do và mục tiêu của việc sửa đổi thuế lần này. - HUMAN-TRU4]]</f>
        <v>3</v>
      </c>
      <c r="BC171" t="str">
        <f t="shared" si="76"/>
        <v>Oppose</v>
      </c>
      <c r="BD171" s="32">
        <f t="shared" si="77"/>
        <v>4</v>
      </c>
      <c r="BE171">
        <f>step3_validation[[#This Row],[AI_OUT1]]</f>
        <v>8</v>
      </c>
      <c r="BF171" t="str">
        <f t="shared" si="78"/>
        <v>Support</v>
      </c>
      <c r="BG171">
        <f>survey_responses[[#This Row],[Sau khi xem xét các quyền lợi và nghĩa vụ, bạn có ủng hộ và tuân thủ chính sách mới hiện nay? - HUMAN-OUT1]]</f>
        <v>7</v>
      </c>
      <c r="BH171" t="str">
        <f t="shared" si="79"/>
        <v>Neutral</v>
      </c>
      <c r="BI171" s="32">
        <f t="shared" si="80"/>
        <v>1</v>
      </c>
    </row>
    <row r="172" spans="1:61" x14ac:dyDescent="0.45">
      <c r="A172" s="30">
        <f>step3_validation[[#This Row],[Persona_ID]]</f>
        <v>171</v>
      </c>
      <c r="B172" s="31">
        <f>step3_validation[[#This Row],[Used_Seed]]</f>
        <v>171</v>
      </c>
      <c r="C172" t="str">
        <f>step3_validation[[#This Row],[Gender]]</f>
        <v>Nam</v>
      </c>
      <c r="D172" t="str">
        <f>survey_responses[[#This Row],[Giới tính của bạn:]]</f>
        <v>Nam</v>
      </c>
      <c r="E172" t="str">
        <f>step3_validation[[#This Row],[Age_Group]]</f>
        <v>18 - 24</v>
      </c>
      <c r="F172" t="str">
        <f>survey_responses[[#This Row],[Độ tuổi của bạn:]]</f>
        <v>18 - 24</v>
      </c>
      <c r="G172" t="str">
        <f>step3_validation[[#This Row],[Region]]</f>
        <v>Thành thị</v>
      </c>
      <c r="H172" t="str">
        <f>survey_responses[[#This Row],[Khu vực bạn đang sinh sống:]]</f>
        <v>Thành thị</v>
      </c>
      <c r="I172" t="str">
        <f>step3_validation[[#This Row],[Education]]</f>
        <v>Đại học</v>
      </c>
      <c r="J172" t="str">
        <f>survey_responses[[#This Row],[Trình độ học vấn cao nhất:]]</f>
        <v>Đại học</v>
      </c>
      <c r="K172" t="str">
        <f>step3_validation[[#This Row],[Employment]]</f>
        <v>Chính thức</v>
      </c>
      <c r="L172" t="str">
        <f>survey_responses[[#This Row],[Tình trạng việc làm chính:]]</f>
        <v>Khu vực chính thức (Có Hợp đồng lao động, đóng BHXH)</v>
      </c>
      <c r="M172">
        <f>step3_validation[[#This Row],[Income_Mil]]</f>
        <v>12</v>
      </c>
      <c r="N172" t="str">
        <f>survey_responses[[#This Row],[Thu nhập bình quân tháng theo Hợp đồng lao động của bạn là bao nhiêu? (Vui lòng điền tổng thu nhập trước khi khấu trừ các loại Bảo hiểm (BHXH, BHYT, BHTN) và Thuế TNCN)]]</f>
        <v>Dưới 12 triệu VNĐ</v>
      </c>
      <c r="O172">
        <f>step3_validation[[#This Row],[Dependents]]</f>
        <v>0</v>
      </c>
      <c r="P172" t="str">
        <f>survey_responses[[#This Row],[Số người phụ thuộc (con nhỏ, cha mẹ già...) đủ điều kiện giảm trừ gia cảnh:]]</f>
        <v>0 người</v>
      </c>
      <c r="Q172">
        <f>step3_validation[[#This Row],[AI_ENF1]]</f>
        <v>7</v>
      </c>
      <c r="R172" t="str">
        <f t="shared" si="54"/>
        <v>Neutral</v>
      </c>
      <c r="S172">
        <f>survey_responses[[#This Row],[Tôi tin rằng với các quy định quản lý thuế hiện nay, hành vi gian lận hoặc trốn thuế sẽ dễ dàng bị phát hiện và xử lý nghiêm. - HUMAN-ENF1]]</f>
        <v>6</v>
      </c>
      <c r="T172" t="str">
        <f t="shared" si="55"/>
        <v>Neutral</v>
      </c>
      <c r="U172" s="32">
        <f t="shared" si="56"/>
        <v>1</v>
      </c>
      <c r="V172">
        <f>step3_validation[[#This Row],[AI_ENF2]]</f>
        <v>8</v>
      </c>
      <c r="W172" t="str">
        <f t="shared" si="57"/>
        <v>Support</v>
      </c>
      <c r="X172">
        <f>survey_responses[[#This Row],[Tôi tin rằng Nhà nước, cơ quan thuế có đủ khả năng và công nghệ để phát hiện, xử lý nghiêm các hành vi trốn thuế. - HUMAN-ENF2]]</f>
        <v>7</v>
      </c>
      <c r="Y172" t="str">
        <f t="shared" si="58"/>
        <v>Neutral</v>
      </c>
      <c r="Z172" s="32">
        <f t="shared" si="59"/>
        <v>1</v>
      </c>
      <c r="AA172">
        <f>step3_validation[[#This Row],[AI_FAC1]]</f>
        <v>9</v>
      </c>
      <c r="AB172" t="str">
        <f t="shared" si="60"/>
        <v>Support</v>
      </c>
      <c r="AC172">
        <f>survey_responses[[#This Row],[Các thủ tục khai báo thuế VÀ/HOẶC quy trình làm việc với cơ quan thuế đơn giản, tiện lợi, nhanh chóng hơn so với trước đây. - HUMAN-FAC1]]</f>
        <v>5</v>
      </c>
      <c r="AD172" t="str">
        <f t="shared" si="61"/>
        <v>Neutral</v>
      </c>
      <c r="AE172" s="32">
        <f t="shared" si="62"/>
        <v>4</v>
      </c>
      <c r="AF172">
        <f>step3_validation[[#This Row],[AI_FAC2]]</f>
        <v>9</v>
      </c>
      <c r="AG172" t="str">
        <f t="shared" si="63"/>
        <v>Support</v>
      </c>
      <c r="AH172">
        <f>survey_responses[[#This Row],[So với trước đây, tôi thấy cách tính thuế và các bậc thuế trong phương án mới đơn giản, dễ hiểu và dễ thực hiện hơn. - HUMAN-FAC2]]</f>
        <v>7</v>
      </c>
      <c r="AI172" t="str">
        <f t="shared" si="64"/>
        <v>Neutral</v>
      </c>
      <c r="AJ172" s="32">
        <f t="shared" si="65"/>
        <v>2</v>
      </c>
      <c r="AK172">
        <f>step3_validation[[#This Row],[AI_TRU1]]</f>
        <v>7</v>
      </c>
      <c r="AL172" t="str">
        <f t="shared" si="66"/>
        <v>Neutral</v>
      </c>
      <c r="AM172">
        <f>survey_responses[[#This Row],[Tôi tin rằng Nhà nước, cơ quan thuế sẽ thực thi chính sách mới một cách khách quan, công tâm và đối xử bình đẳng với mọi người nộp thuế.  - HUMAN-TRU1]]</f>
        <v>7</v>
      </c>
      <c r="AN172" t="str">
        <f t="shared" si="67"/>
        <v>Neutral</v>
      </c>
      <c r="AO172" s="32">
        <f t="shared" si="68"/>
        <v>0</v>
      </c>
      <c r="AP172">
        <f>step3_validation[[#This Row],[AI_TRU2]]</f>
        <v>9</v>
      </c>
      <c r="AQ172" t="str">
        <f t="shared" si="69"/>
        <v>Support</v>
      </c>
      <c r="AR172">
        <f>survey_responses[[#This Row],[Tôi thấy mức thuế tôi phải đóng theo phương án mới là công bằng (người thu nhập như tôi đóng mức này là hợp lý). - HUMAN-TRU2]]</f>
        <v>7</v>
      </c>
      <c r="AS172" t="str">
        <f t="shared" si="70"/>
        <v>Neutral</v>
      </c>
      <c r="AT172" s="32">
        <f t="shared" si="71"/>
        <v>2</v>
      </c>
      <c r="AU172">
        <f>step3_validation[[#This Row],[AI_TRU3]]</f>
        <v>8</v>
      </c>
      <c r="AV172" t="str">
        <f t="shared" si="72"/>
        <v>Support</v>
      </c>
      <c r="AW172">
        <f>survey_responses[[#This Row],[Tôi tin tưởng số tiền thuế tôi đóng sẽ được Nhà nước sử dụng hiệu quả để cải thiện dịch vụ công (y tế, đường xá...). - HUMAN-TRU3]]</f>
        <v>5</v>
      </c>
      <c r="AX172" t="str">
        <f t="shared" si="73"/>
        <v>Neutral</v>
      </c>
      <c r="AY172" s="32">
        <f t="shared" si="74"/>
        <v>3</v>
      </c>
      <c r="AZ172">
        <f>step3_validation[[#This Row],[AI_TRU4]]</f>
        <v>7</v>
      </c>
      <c r="BA172" t="str">
        <f t="shared" si="75"/>
        <v>Neutral</v>
      </c>
      <c r="BB172">
        <f>survey_responses[[#This Row],[Tôi thấy Nhà nước đã giải thích rõ ràng, minh bạch về lý do và mục tiêu của việc sửa đổi thuế lần này. - HUMAN-TRU4]]</f>
        <v>7</v>
      </c>
      <c r="BC172" t="str">
        <f t="shared" si="76"/>
        <v>Neutral</v>
      </c>
      <c r="BD172" s="32">
        <f t="shared" si="77"/>
        <v>0</v>
      </c>
      <c r="BE172">
        <f>step3_validation[[#This Row],[AI_OUT1]]</f>
        <v>9</v>
      </c>
      <c r="BF172" t="str">
        <f t="shared" si="78"/>
        <v>Support</v>
      </c>
      <c r="BG172">
        <f>survey_responses[[#This Row],[Sau khi xem xét các quyền lợi và nghĩa vụ, bạn có ủng hộ và tuân thủ chính sách mới hiện nay? - HUMAN-OUT1]]</f>
        <v>7</v>
      </c>
      <c r="BH172" t="str">
        <f t="shared" si="79"/>
        <v>Neutral</v>
      </c>
      <c r="BI172" s="32">
        <f t="shared" si="80"/>
        <v>2</v>
      </c>
    </row>
    <row r="173" spans="1:61" x14ac:dyDescent="0.45">
      <c r="A173" s="30">
        <f>step3_validation[[#This Row],[Persona_ID]]</f>
        <v>172</v>
      </c>
      <c r="B173" s="31">
        <f>step3_validation[[#This Row],[Used_Seed]]</f>
        <v>172</v>
      </c>
      <c r="C173" t="str">
        <f>step3_validation[[#This Row],[Gender]]</f>
        <v>Nam</v>
      </c>
      <c r="D173" t="str">
        <f>survey_responses[[#This Row],[Giới tính của bạn:]]</f>
        <v>Nam</v>
      </c>
      <c r="E173" t="str">
        <f>step3_validation[[#This Row],[Age_Group]]</f>
        <v>50 - 54</v>
      </c>
      <c r="F173" t="str">
        <f>survey_responses[[#This Row],[Độ tuổi của bạn:]]</f>
        <v>50 - 54</v>
      </c>
      <c r="G173" t="str">
        <f>step3_validation[[#This Row],[Region]]</f>
        <v>Thành thị</v>
      </c>
      <c r="H173" t="str">
        <f>survey_responses[[#This Row],[Khu vực bạn đang sinh sống:]]</f>
        <v>Thành thị</v>
      </c>
      <c r="I173" t="str">
        <f>step3_validation[[#This Row],[Education]]</f>
        <v>Sau Đại học</v>
      </c>
      <c r="J173" t="str">
        <f>survey_responses[[#This Row],[Trình độ học vấn cao nhất:]]</f>
        <v>Sau Đại học</v>
      </c>
      <c r="K173" t="str">
        <f>step3_validation[[#This Row],[Employment]]</f>
        <v>Chính thức</v>
      </c>
      <c r="L173" t="str">
        <f>survey_responses[[#This Row],[Tình trạng việc làm chính:]]</f>
        <v>Khu vực chính thức (Có Hợp đồng lao động, đóng BHXH)</v>
      </c>
      <c r="M173">
        <f>step3_validation[[#This Row],[Income_Mil]]</f>
        <v>127.19394880567462</v>
      </c>
      <c r="N173" t="str">
        <f>survey_responses[[#This Row],[Thu nhập bình quân tháng theo Hợp đồng lao động của bạn là bao nhiêu? (Vui lòng điền tổng thu nhập trước khi khấu trừ các loại Bảo hiểm (BHXH, BHYT, BHTN) và Thuế TNCN)]]</f>
        <v>Trên 102 triệu VNĐ</v>
      </c>
      <c r="O173">
        <f>step3_validation[[#This Row],[Dependents]]</f>
        <v>4</v>
      </c>
      <c r="P173" t="str">
        <f>survey_responses[[#This Row],[Số người phụ thuộc (con nhỏ, cha mẹ già...) đủ điều kiện giảm trừ gia cảnh:]]</f>
        <v>4 người trở lên</v>
      </c>
      <c r="Q173">
        <f>step3_validation[[#This Row],[AI_ENF1]]</f>
        <v>5</v>
      </c>
      <c r="R173" t="str">
        <f t="shared" si="54"/>
        <v>Neutral</v>
      </c>
      <c r="S173">
        <f>survey_responses[[#This Row],[Tôi tin rằng với các quy định quản lý thuế hiện nay, hành vi gian lận hoặc trốn thuế sẽ dễ dàng bị phát hiện và xử lý nghiêm. - HUMAN-ENF1]]</f>
        <v>8</v>
      </c>
      <c r="T173" t="str">
        <f t="shared" si="55"/>
        <v>Support</v>
      </c>
      <c r="U173" s="32">
        <f t="shared" si="56"/>
        <v>3</v>
      </c>
      <c r="V173">
        <f>step3_validation[[#This Row],[AI_ENF2]]</f>
        <v>4</v>
      </c>
      <c r="W173" t="str">
        <f t="shared" si="57"/>
        <v>Oppose</v>
      </c>
      <c r="X173">
        <f>survey_responses[[#This Row],[Tôi tin rằng Nhà nước, cơ quan thuế có đủ khả năng và công nghệ để phát hiện, xử lý nghiêm các hành vi trốn thuế. - HUMAN-ENF2]]</f>
        <v>8</v>
      </c>
      <c r="Y173" t="str">
        <f t="shared" si="58"/>
        <v>Support</v>
      </c>
      <c r="Z173" s="32">
        <f t="shared" si="59"/>
        <v>4</v>
      </c>
      <c r="AA173">
        <f>step3_validation[[#This Row],[AI_FAC1]]</f>
        <v>9</v>
      </c>
      <c r="AB173" t="str">
        <f t="shared" si="60"/>
        <v>Support</v>
      </c>
      <c r="AC173">
        <f>survey_responses[[#This Row],[Các thủ tục khai báo thuế VÀ/HOẶC quy trình làm việc với cơ quan thuế đơn giản, tiện lợi, nhanh chóng hơn so với trước đây. - HUMAN-FAC1]]</f>
        <v>8</v>
      </c>
      <c r="AD173" t="str">
        <f t="shared" si="61"/>
        <v>Support</v>
      </c>
      <c r="AE173" s="32">
        <f t="shared" si="62"/>
        <v>1</v>
      </c>
      <c r="AF173">
        <f>step3_validation[[#This Row],[AI_FAC2]]</f>
        <v>8</v>
      </c>
      <c r="AG173" t="str">
        <f t="shared" si="63"/>
        <v>Support</v>
      </c>
      <c r="AH173">
        <f>survey_responses[[#This Row],[So với trước đây, tôi thấy cách tính thuế và các bậc thuế trong phương án mới đơn giản, dễ hiểu và dễ thực hiện hơn. - HUMAN-FAC2]]</f>
        <v>9</v>
      </c>
      <c r="AI173" t="str">
        <f t="shared" si="64"/>
        <v>Support</v>
      </c>
      <c r="AJ173" s="32">
        <f t="shared" si="65"/>
        <v>1</v>
      </c>
      <c r="AK173">
        <f>step3_validation[[#This Row],[AI_TRU1]]</f>
        <v>6</v>
      </c>
      <c r="AL173" t="str">
        <f t="shared" si="66"/>
        <v>Neutral</v>
      </c>
      <c r="AM173">
        <f>survey_responses[[#This Row],[Tôi tin rằng Nhà nước, cơ quan thuế sẽ thực thi chính sách mới một cách khách quan, công tâm và đối xử bình đẳng với mọi người nộp thuế.  - HUMAN-TRU1]]</f>
        <v>9</v>
      </c>
      <c r="AN173" t="str">
        <f t="shared" si="67"/>
        <v>Support</v>
      </c>
      <c r="AO173" s="32">
        <f t="shared" si="68"/>
        <v>3</v>
      </c>
      <c r="AP173">
        <f>step3_validation[[#This Row],[AI_TRU2]]</f>
        <v>7</v>
      </c>
      <c r="AQ173" t="str">
        <f t="shared" si="69"/>
        <v>Neutral</v>
      </c>
      <c r="AR173">
        <f>survey_responses[[#This Row],[Tôi thấy mức thuế tôi phải đóng theo phương án mới là công bằng (người thu nhập như tôi đóng mức này là hợp lý). - HUMAN-TRU2]]</f>
        <v>5</v>
      </c>
      <c r="AS173" t="str">
        <f t="shared" si="70"/>
        <v>Neutral</v>
      </c>
      <c r="AT173" s="32">
        <f t="shared" si="71"/>
        <v>2</v>
      </c>
      <c r="AU173">
        <f>step3_validation[[#This Row],[AI_TRU3]]</f>
        <v>6</v>
      </c>
      <c r="AV173" t="str">
        <f t="shared" si="72"/>
        <v>Neutral</v>
      </c>
      <c r="AW173">
        <f>survey_responses[[#This Row],[Tôi tin tưởng số tiền thuế tôi đóng sẽ được Nhà nước sử dụng hiệu quả để cải thiện dịch vụ công (y tế, đường xá...). - HUMAN-TRU3]]</f>
        <v>5</v>
      </c>
      <c r="AX173" t="str">
        <f t="shared" si="73"/>
        <v>Neutral</v>
      </c>
      <c r="AY173" s="32">
        <f t="shared" si="74"/>
        <v>1</v>
      </c>
      <c r="AZ173">
        <f>step3_validation[[#This Row],[AI_TRU4]]</f>
        <v>7</v>
      </c>
      <c r="BA173" t="str">
        <f t="shared" si="75"/>
        <v>Neutral</v>
      </c>
      <c r="BB173">
        <f>survey_responses[[#This Row],[Tôi thấy Nhà nước đã giải thích rõ ràng, minh bạch về lý do và mục tiêu của việc sửa đổi thuế lần này. - HUMAN-TRU4]]</f>
        <v>8</v>
      </c>
      <c r="BC173" t="str">
        <f t="shared" si="76"/>
        <v>Support</v>
      </c>
      <c r="BD173" s="32">
        <f t="shared" si="77"/>
        <v>1</v>
      </c>
      <c r="BE173">
        <f>step3_validation[[#This Row],[AI_OUT1]]</f>
        <v>8</v>
      </c>
      <c r="BF173" t="str">
        <f t="shared" si="78"/>
        <v>Support</v>
      </c>
      <c r="BG173">
        <f>survey_responses[[#This Row],[Sau khi xem xét các quyền lợi và nghĩa vụ, bạn có ủng hộ và tuân thủ chính sách mới hiện nay? - HUMAN-OUT1]]</f>
        <v>6</v>
      </c>
      <c r="BH173" t="str">
        <f t="shared" si="79"/>
        <v>Neutral</v>
      </c>
      <c r="BI173" s="32">
        <f t="shared" si="80"/>
        <v>2</v>
      </c>
    </row>
    <row r="174" spans="1:61" x14ac:dyDescent="0.45">
      <c r="A174" s="30">
        <f>step3_validation[[#This Row],[Persona_ID]]</f>
        <v>173</v>
      </c>
      <c r="B174" s="31">
        <f>step3_validation[[#This Row],[Used_Seed]]</f>
        <v>173</v>
      </c>
      <c r="C174" t="str">
        <f>step3_validation[[#This Row],[Gender]]</f>
        <v>Nữ</v>
      </c>
      <c r="D174" t="str">
        <f>survey_responses[[#This Row],[Giới tính của bạn:]]</f>
        <v>Nữ</v>
      </c>
      <c r="E174" t="str">
        <f>step3_validation[[#This Row],[Age_Group]]</f>
        <v>40 - 49</v>
      </c>
      <c r="F174" t="str">
        <f>survey_responses[[#This Row],[Độ tuổi của bạn:]]</f>
        <v>40 - 49</v>
      </c>
      <c r="G174" t="str">
        <f>step3_validation[[#This Row],[Region]]</f>
        <v>Thành thị</v>
      </c>
      <c r="H174" t="str">
        <f>survey_responses[[#This Row],[Khu vực bạn đang sinh sống:]]</f>
        <v>Thành thị</v>
      </c>
      <c r="I174" t="str">
        <f>step3_validation[[#This Row],[Education]]</f>
        <v>Đại học</v>
      </c>
      <c r="J174" t="str">
        <f>survey_responses[[#This Row],[Trình độ học vấn cao nhất:]]</f>
        <v>Đại học</v>
      </c>
      <c r="K174" t="str">
        <f>step3_validation[[#This Row],[Employment]]</f>
        <v>Chính thức</v>
      </c>
      <c r="L174" t="str">
        <f>survey_responses[[#This Row],[Tình trạng việc làm chính:]]</f>
        <v>Khu vực chính thức (Có Hợp đồng lao động, đóng BHXH)</v>
      </c>
      <c r="M174">
        <f>step3_validation[[#This Row],[Income_Mil]]</f>
        <v>72.117498715596824</v>
      </c>
      <c r="N174" t="str">
        <f>survey_responses[[#This Row],[Thu nhập bình quân tháng theo Hợp đồng lao động của bạn là bao nhiêu? (Vui lòng điền tổng thu nhập trước khi khấu trừ các loại Bảo hiểm (BHXH, BHYT, BHTN) và Thuế TNCN)]]</f>
        <v>Từ 70 - 102 triệu VNĐ</v>
      </c>
      <c r="O174">
        <f>step3_validation[[#This Row],[Dependents]]</f>
        <v>3</v>
      </c>
      <c r="P174" t="str">
        <f>survey_responses[[#This Row],[Số người phụ thuộc (con nhỏ, cha mẹ già...) đủ điều kiện giảm trừ gia cảnh:]]</f>
        <v>3 người</v>
      </c>
      <c r="Q174">
        <f>step3_validation[[#This Row],[AI_ENF1]]</f>
        <v>7</v>
      </c>
      <c r="R174" t="str">
        <f t="shared" si="54"/>
        <v>Neutral</v>
      </c>
      <c r="S174">
        <f>survey_responses[[#This Row],[Tôi tin rằng với các quy định quản lý thuế hiện nay, hành vi gian lận hoặc trốn thuế sẽ dễ dàng bị phát hiện và xử lý nghiêm. - HUMAN-ENF1]]</f>
        <v>5</v>
      </c>
      <c r="T174" t="str">
        <f t="shared" si="55"/>
        <v>Neutral</v>
      </c>
      <c r="U174" s="32">
        <f t="shared" si="56"/>
        <v>2</v>
      </c>
      <c r="V174">
        <f>step3_validation[[#This Row],[AI_ENF2]]</f>
        <v>6</v>
      </c>
      <c r="W174" t="str">
        <f t="shared" si="57"/>
        <v>Neutral</v>
      </c>
      <c r="X174">
        <f>survey_responses[[#This Row],[Tôi tin rằng Nhà nước, cơ quan thuế có đủ khả năng và công nghệ để phát hiện, xử lý nghiêm các hành vi trốn thuế. - HUMAN-ENF2]]</f>
        <v>5</v>
      </c>
      <c r="Y174" t="str">
        <f t="shared" si="58"/>
        <v>Neutral</v>
      </c>
      <c r="Z174" s="32">
        <f t="shared" si="59"/>
        <v>1</v>
      </c>
      <c r="AA174">
        <f>step3_validation[[#This Row],[AI_FAC1]]</f>
        <v>8</v>
      </c>
      <c r="AB174" t="str">
        <f t="shared" si="60"/>
        <v>Support</v>
      </c>
      <c r="AC174">
        <f>survey_responses[[#This Row],[Các thủ tục khai báo thuế VÀ/HOẶC quy trình làm việc với cơ quan thuế đơn giản, tiện lợi, nhanh chóng hơn so với trước đây. - HUMAN-FAC1]]</f>
        <v>4</v>
      </c>
      <c r="AD174" t="str">
        <f t="shared" si="61"/>
        <v>Oppose</v>
      </c>
      <c r="AE174" s="32">
        <f t="shared" si="62"/>
        <v>4</v>
      </c>
      <c r="AF174">
        <f>step3_validation[[#This Row],[AI_FAC2]]</f>
        <v>9</v>
      </c>
      <c r="AG174" t="str">
        <f t="shared" si="63"/>
        <v>Support</v>
      </c>
      <c r="AH174">
        <f>survey_responses[[#This Row],[So với trước đây, tôi thấy cách tính thuế và các bậc thuế trong phương án mới đơn giản, dễ hiểu và dễ thực hiện hơn. - HUMAN-FAC2]]</f>
        <v>6</v>
      </c>
      <c r="AI174" t="str">
        <f t="shared" si="64"/>
        <v>Neutral</v>
      </c>
      <c r="AJ174" s="32">
        <f t="shared" si="65"/>
        <v>3</v>
      </c>
      <c r="AK174">
        <f>step3_validation[[#This Row],[AI_TRU1]]</f>
        <v>8</v>
      </c>
      <c r="AL174" t="str">
        <f t="shared" si="66"/>
        <v>Support</v>
      </c>
      <c r="AM174">
        <f>survey_responses[[#This Row],[Tôi tin rằng Nhà nước, cơ quan thuế sẽ thực thi chính sách mới một cách khách quan, công tâm và đối xử bình đẳng với mọi người nộp thuế.  - HUMAN-TRU1]]</f>
        <v>5</v>
      </c>
      <c r="AN174" t="str">
        <f t="shared" si="67"/>
        <v>Neutral</v>
      </c>
      <c r="AO174" s="32">
        <f t="shared" si="68"/>
        <v>3</v>
      </c>
      <c r="AP174">
        <f>step3_validation[[#This Row],[AI_TRU2]]</f>
        <v>9</v>
      </c>
      <c r="AQ174" t="str">
        <f t="shared" si="69"/>
        <v>Support</v>
      </c>
      <c r="AR174">
        <f>survey_responses[[#This Row],[Tôi thấy mức thuế tôi phải đóng theo phương án mới là công bằng (người thu nhập như tôi đóng mức này là hợp lý). - HUMAN-TRU2]]</f>
        <v>4</v>
      </c>
      <c r="AS174" t="str">
        <f t="shared" si="70"/>
        <v>Oppose</v>
      </c>
      <c r="AT174" s="32">
        <f t="shared" si="71"/>
        <v>5</v>
      </c>
      <c r="AU174">
        <f>step3_validation[[#This Row],[AI_TRU3]]</f>
        <v>8</v>
      </c>
      <c r="AV174" t="str">
        <f t="shared" si="72"/>
        <v>Support</v>
      </c>
      <c r="AW174">
        <f>survey_responses[[#This Row],[Tôi tin tưởng số tiền thuế tôi đóng sẽ được Nhà nước sử dụng hiệu quả để cải thiện dịch vụ công (y tế, đường xá...). - HUMAN-TRU3]]</f>
        <v>4</v>
      </c>
      <c r="AX174" t="str">
        <f t="shared" si="73"/>
        <v>Oppose</v>
      </c>
      <c r="AY174" s="32">
        <f t="shared" si="74"/>
        <v>4</v>
      </c>
      <c r="AZ174">
        <f>step3_validation[[#This Row],[AI_TRU4]]</f>
        <v>7</v>
      </c>
      <c r="BA174" t="str">
        <f t="shared" si="75"/>
        <v>Neutral</v>
      </c>
      <c r="BB174">
        <f>survey_responses[[#This Row],[Tôi thấy Nhà nước đã giải thích rõ ràng, minh bạch về lý do và mục tiêu của việc sửa đổi thuế lần này. - HUMAN-TRU4]]</f>
        <v>5</v>
      </c>
      <c r="BC174" t="str">
        <f t="shared" si="76"/>
        <v>Neutral</v>
      </c>
      <c r="BD174" s="32">
        <f t="shared" si="77"/>
        <v>2</v>
      </c>
      <c r="BE174">
        <f>step3_validation[[#This Row],[AI_OUT1]]</f>
        <v>9</v>
      </c>
      <c r="BF174" t="str">
        <f t="shared" si="78"/>
        <v>Support</v>
      </c>
      <c r="BG174">
        <f>survey_responses[[#This Row],[Sau khi xem xét các quyền lợi và nghĩa vụ, bạn có ủng hộ và tuân thủ chính sách mới hiện nay? - HUMAN-OUT1]]</f>
        <v>5</v>
      </c>
      <c r="BH174" t="str">
        <f t="shared" si="79"/>
        <v>Neutral</v>
      </c>
      <c r="BI174" s="32">
        <f t="shared" si="80"/>
        <v>4</v>
      </c>
    </row>
    <row r="175" spans="1:61" x14ac:dyDescent="0.45">
      <c r="A175" s="30">
        <f>step3_validation[[#This Row],[Persona_ID]]</f>
        <v>174</v>
      </c>
      <c r="B175" s="31">
        <f>step3_validation[[#This Row],[Used_Seed]]</f>
        <v>174</v>
      </c>
      <c r="C175" t="str">
        <f>step3_validation[[#This Row],[Gender]]</f>
        <v>Nữ</v>
      </c>
      <c r="D175" t="str">
        <f>survey_responses[[#This Row],[Giới tính của bạn:]]</f>
        <v>Nữ</v>
      </c>
      <c r="E175" t="str">
        <f>step3_validation[[#This Row],[Age_Group]]</f>
        <v>25 - 29</v>
      </c>
      <c r="F175" t="str">
        <f>survey_responses[[#This Row],[Độ tuổi của bạn:]]</f>
        <v>25 - 29</v>
      </c>
      <c r="G175" t="str">
        <f>step3_validation[[#This Row],[Region]]</f>
        <v>Thành thị</v>
      </c>
      <c r="H175" t="str">
        <f>survey_responses[[#This Row],[Khu vực bạn đang sinh sống:]]</f>
        <v>Thành thị</v>
      </c>
      <c r="I175" t="str">
        <f>step3_validation[[#This Row],[Education]]</f>
        <v>Đại học</v>
      </c>
      <c r="J175" t="str">
        <f>survey_responses[[#This Row],[Trình độ học vấn cao nhất:]]</f>
        <v>Đại học</v>
      </c>
      <c r="K175" t="str">
        <f>step3_validation[[#This Row],[Employment]]</f>
        <v>Chính thức</v>
      </c>
      <c r="L175" t="str">
        <f>survey_responses[[#This Row],[Tình trạng việc làm chính:]]</f>
        <v>Khu vực chính thức (Có Hợp đồng lao động, đóng BHXH)</v>
      </c>
      <c r="M175">
        <f>step3_validation[[#This Row],[Income_Mil]]</f>
        <v>45.811267624915253</v>
      </c>
      <c r="N175" t="str">
        <f>survey_responses[[#This Row],[Thu nhập bình quân tháng theo Hợp đồng lao động của bạn là bao nhiêu? (Vui lòng điền tổng thu nhập trước khi khấu trừ các loại Bảo hiểm (BHXH, BHYT, BHTN) và Thuế TNCN)]]</f>
        <v>Từ 32 - 48 triệu VNĐ</v>
      </c>
      <c r="O175">
        <f>step3_validation[[#This Row],[Dependents]]</f>
        <v>1</v>
      </c>
      <c r="P175" t="str">
        <f>survey_responses[[#This Row],[Số người phụ thuộc (con nhỏ, cha mẹ già...) đủ điều kiện giảm trừ gia cảnh:]]</f>
        <v>1 người</v>
      </c>
      <c r="Q175">
        <f>step3_validation[[#This Row],[AI_ENF1]]</f>
        <v>7</v>
      </c>
      <c r="R175" t="str">
        <f t="shared" si="54"/>
        <v>Neutral</v>
      </c>
      <c r="S175">
        <f>survey_responses[[#This Row],[Tôi tin rằng với các quy định quản lý thuế hiện nay, hành vi gian lận hoặc trốn thuế sẽ dễ dàng bị phát hiện và xử lý nghiêm. - HUMAN-ENF1]]</f>
        <v>6</v>
      </c>
      <c r="T175" t="str">
        <f t="shared" si="55"/>
        <v>Neutral</v>
      </c>
      <c r="U175" s="32">
        <f t="shared" si="56"/>
        <v>1</v>
      </c>
      <c r="V175">
        <f>step3_validation[[#This Row],[AI_ENF2]]</f>
        <v>6</v>
      </c>
      <c r="W175" t="str">
        <f t="shared" si="57"/>
        <v>Neutral</v>
      </c>
      <c r="X175">
        <f>survey_responses[[#This Row],[Tôi tin rằng Nhà nước, cơ quan thuế có đủ khả năng và công nghệ để phát hiện, xử lý nghiêm các hành vi trốn thuế. - HUMAN-ENF2]]</f>
        <v>6</v>
      </c>
      <c r="Y175" t="str">
        <f t="shared" si="58"/>
        <v>Neutral</v>
      </c>
      <c r="Z175" s="32">
        <f t="shared" si="59"/>
        <v>0</v>
      </c>
      <c r="AA175">
        <f>step3_validation[[#This Row],[AI_FAC1]]</f>
        <v>9</v>
      </c>
      <c r="AB175" t="str">
        <f t="shared" si="60"/>
        <v>Support</v>
      </c>
      <c r="AC175">
        <f>survey_responses[[#This Row],[Các thủ tục khai báo thuế VÀ/HOẶC quy trình làm việc với cơ quan thuế đơn giản, tiện lợi, nhanh chóng hơn so với trước đây. - HUMAN-FAC1]]</f>
        <v>6</v>
      </c>
      <c r="AD175" t="str">
        <f t="shared" si="61"/>
        <v>Neutral</v>
      </c>
      <c r="AE175" s="32">
        <f t="shared" si="62"/>
        <v>3</v>
      </c>
      <c r="AF175">
        <f>step3_validation[[#This Row],[AI_FAC2]]</f>
        <v>8</v>
      </c>
      <c r="AG175" t="str">
        <f t="shared" si="63"/>
        <v>Support</v>
      </c>
      <c r="AH175">
        <f>survey_responses[[#This Row],[So với trước đây, tôi thấy cách tính thuế và các bậc thuế trong phương án mới đơn giản, dễ hiểu và dễ thực hiện hơn. - HUMAN-FAC2]]</f>
        <v>6</v>
      </c>
      <c r="AI175" t="str">
        <f t="shared" si="64"/>
        <v>Neutral</v>
      </c>
      <c r="AJ175" s="32">
        <f t="shared" si="65"/>
        <v>2</v>
      </c>
      <c r="AK175">
        <f>step3_validation[[#This Row],[AI_TRU1]]</f>
        <v>7</v>
      </c>
      <c r="AL175" t="str">
        <f t="shared" si="66"/>
        <v>Neutral</v>
      </c>
      <c r="AM175">
        <f>survey_responses[[#This Row],[Tôi tin rằng Nhà nước, cơ quan thuế sẽ thực thi chính sách mới một cách khách quan, công tâm và đối xử bình đẳng với mọi người nộp thuế.  - HUMAN-TRU1]]</f>
        <v>7</v>
      </c>
      <c r="AN175" t="str">
        <f t="shared" si="67"/>
        <v>Neutral</v>
      </c>
      <c r="AO175" s="32">
        <f t="shared" si="68"/>
        <v>0</v>
      </c>
      <c r="AP175">
        <f>step3_validation[[#This Row],[AI_TRU2]]</f>
        <v>8</v>
      </c>
      <c r="AQ175" t="str">
        <f t="shared" si="69"/>
        <v>Support</v>
      </c>
      <c r="AR175">
        <f>survey_responses[[#This Row],[Tôi thấy mức thuế tôi phải đóng theo phương án mới là công bằng (người thu nhập như tôi đóng mức này là hợp lý). - HUMAN-TRU2]]</f>
        <v>7</v>
      </c>
      <c r="AS175" t="str">
        <f t="shared" si="70"/>
        <v>Neutral</v>
      </c>
      <c r="AT175" s="32">
        <f t="shared" si="71"/>
        <v>1</v>
      </c>
      <c r="AU175">
        <f>step3_validation[[#This Row],[AI_TRU3]]</f>
        <v>7</v>
      </c>
      <c r="AV175" t="str">
        <f t="shared" si="72"/>
        <v>Neutral</v>
      </c>
      <c r="AW175">
        <f>survey_responses[[#This Row],[Tôi tin tưởng số tiền thuế tôi đóng sẽ được Nhà nước sử dụng hiệu quả để cải thiện dịch vụ công (y tế, đường xá...). - HUMAN-TRU3]]</f>
        <v>5</v>
      </c>
      <c r="AX175" t="str">
        <f t="shared" si="73"/>
        <v>Neutral</v>
      </c>
      <c r="AY175" s="32">
        <f t="shared" si="74"/>
        <v>2</v>
      </c>
      <c r="AZ175">
        <f>step3_validation[[#This Row],[AI_TRU4]]</f>
        <v>6</v>
      </c>
      <c r="BA175" t="str">
        <f t="shared" si="75"/>
        <v>Neutral</v>
      </c>
      <c r="BB175">
        <f>survey_responses[[#This Row],[Tôi thấy Nhà nước đã giải thích rõ ràng, minh bạch về lý do và mục tiêu của việc sửa đổi thuế lần này. - HUMAN-TRU4]]</f>
        <v>7</v>
      </c>
      <c r="BC175" t="str">
        <f t="shared" si="76"/>
        <v>Neutral</v>
      </c>
      <c r="BD175" s="32">
        <f t="shared" si="77"/>
        <v>1</v>
      </c>
      <c r="BE175">
        <f>step3_validation[[#This Row],[AI_OUT1]]</f>
        <v>9</v>
      </c>
      <c r="BF175" t="str">
        <f t="shared" si="78"/>
        <v>Support</v>
      </c>
      <c r="BG175">
        <f>survey_responses[[#This Row],[Sau khi xem xét các quyền lợi và nghĩa vụ, bạn có ủng hộ và tuân thủ chính sách mới hiện nay? - HUMAN-OUT1]]</f>
        <v>6</v>
      </c>
      <c r="BH175" t="str">
        <f t="shared" si="79"/>
        <v>Neutral</v>
      </c>
      <c r="BI175" s="32">
        <f t="shared" si="80"/>
        <v>3</v>
      </c>
    </row>
    <row r="176" spans="1:61" x14ac:dyDescent="0.45">
      <c r="A176" s="30">
        <f>step3_validation[[#This Row],[Persona_ID]]</f>
        <v>175</v>
      </c>
      <c r="B176" s="31">
        <f>step3_validation[[#This Row],[Used_Seed]]</f>
        <v>175</v>
      </c>
      <c r="C176" t="str">
        <f>step3_validation[[#This Row],[Gender]]</f>
        <v>Nữ</v>
      </c>
      <c r="D176" t="str">
        <f>survey_responses[[#This Row],[Giới tính của bạn:]]</f>
        <v>Nữ</v>
      </c>
      <c r="E176" t="str">
        <f>step3_validation[[#This Row],[Age_Group]]</f>
        <v>50 - 54</v>
      </c>
      <c r="F176" t="str">
        <f>survey_responses[[#This Row],[Độ tuổi của bạn:]]</f>
        <v>50 - 54</v>
      </c>
      <c r="G176" t="str">
        <f>step3_validation[[#This Row],[Region]]</f>
        <v>Thành thị</v>
      </c>
      <c r="H176" t="str">
        <f>survey_responses[[#This Row],[Khu vực bạn đang sinh sống:]]</f>
        <v>Thành thị</v>
      </c>
      <c r="I176" t="str">
        <f>step3_validation[[#This Row],[Education]]</f>
        <v>Sau Đại học</v>
      </c>
      <c r="J176" t="str">
        <f>survey_responses[[#This Row],[Trình độ học vấn cao nhất:]]</f>
        <v>Sau Đại học</v>
      </c>
      <c r="K176" t="str">
        <f>step3_validation[[#This Row],[Employment]]</f>
        <v>Chính thức</v>
      </c>
      <c r="L176" t="str">
        <f>survey_responses[[#This Row],[Tình trạng việc làm chính:]]</f>
        <v>Khu vực chính thức (Có Hợp đồng lao động, đóng BHXH)</v>
      </c>
      <c r="M176">
        <f>step3_validation[[#This Row],[Income_Mil]]</f>
        <v>185.36544145619655</v>
      </c>
      <c r="N176" t="str">
        <f>survey_responses[[#This Row],[Thu nhập bình quân tháng theo Hợp đồng lao động của bạn là bao nhiêu? (Vui lòng điền tổng thu nhập trước khi khấu trừ các loại Bảo hiểm (BHXH, BHYT, BHTN) và Thuế TNCN)]]</f>
        <v>Trên 102 triệu VNĐ</v>
      </c>
      <c r="O176">
        <f>step3_validation[[#This Row],[Dependents]]</f>
        <v>3</v>
      </c>
      <c r="P176" t="str">
        <f>survey_responses[[#This Row],[Số người phụ thuộc (con nhỏ, cha mẹ già...) đủ điều kiện giảm trừ gia cảnh:]]</f>
        <v>3 người</v>
      </c>
      <c r="Q176">
        <f>step3_validation[[#This Row],[AI_ENF1]]</f>
        <v>9</v>
      </c>
      <c r="R176" t="str">
        <f t="shared" si="54"/>
        <v>Support</v>
      </c>
      <c r="S176">
        <f>survey_responses[[#This Row],[Tôi tin rằng với các quy định quản lý thuế hiện nay, hành vi gian lận hoặc trốn thuế sẽ dễ dàng bị phát hiện và xử lý nghiêm. - HUMAN-ENF1]]</f>
        <v>4</v>
      </c>
      <c r="T176" t="str">
        <f t="shared" si="55"/>
        <v>Oppose</v>
      </c>
      <c r="U176" s="32">
        <f t="shared" si="56"/>
        <v>5</v>
      </c>
      <c r="V176">
        <f>step3_validation[[#This Row],[AI_ENF2]]</f>
        <v>8</v>
      </c>
      <c r="W176" t="str">
        <f t="shared" si="57"/>
        <v>Support</v>
      </c>
      <c r="X176">
        <f>survey_responses[[#This Row],[Tôi tin rằng Nhà nước, cơ quan thuế có đủ khả năng và công nghệ để phát hiện, xử lý nghiêm các hành vi trốn thuế. - HUMAN-ENF2]]</f>
        <v>5</v>
      </c>
      <c r="Y176" t="str">
        <f t="shared" si="58"/>
        <v>Neutral</v>
      </c>
      <c r="Z176" s="32">
        <f t="shared" si="59"/>
        <v>3</v>
      </c>
      <c r="AA176">
        <f>step3_validation[[#This Row],[AI_FAC1]]</f>
        <v>9</v>
      </c>
      <c r="AB176" t="str">
        <f t="shared" si="60"/>
        <v>Support</v>
      </c>
      <c r="AC176">
        <f>survey_responses[[#This Row],[Các thủ tục khai báo thuế VÀ/HOẶC quy trình làm việc với cơ quan thuế đơn giản, tiện lợi, nhanh chóng hơn so với trước đây. - HUMAN-FAC1]]</f>
        <v>4</v>
      </c>
      <c r="AD176" t="str">
        <f t="shared" si="61"/>
        <v>Oppose</v>
      </c>
      <c r="AE176" s="32">
        <f t="shared" si="62"/>
        <v>5</v>
      </c>
      <c r="AF176">
        <f>step3_validation[[#This Row],[AI_FAC2]]</f>
        <v>8</v>
      </c>
      <c r="AG176" t="str">
        <f t="shared" si="63"/>
        <v>Support</v>
      </c>
      <c r="AH176">
        <f>survey_responses[[#This Row],[So với trước đây, tôi thấy cách tính thuế và các bậc thuế trong phương án mới đơn giản, dễ hiểu và dễ thực hiện hơn. - HUMAN-FAC2]]</f>
        <v>6</v>
      </c>
      <c r="AI176" t="str">
        <f t="shared" si="64"/>
        <v>Neutral</v>
      </c>
      <c r="AJ176" s="32">
        <f t="shared" si="65"/>
        <v>2</v>
      </c>
      <c r="AK176">
        <f>step3_validation[[#This Row],[AI_TRU1]]</f>
        <v>9</v>
      </c>
      <c r="AL176" t="str">
        <f t="shared" si="66"/>
        <v>Support</v>
      </c>
      <c r="AM176">
        <f>survey_responses[[#This Row],[Tôi tin rằng Nhà nước, cơ quan thuế sẽ thực thi chính sách mới một cách khách quan, công tâm và đối xử bình đẳng với mọi người nộp thuế.  - HUMAN-TRU1]]</f>
        <v>4</v>
      </c>
      <c r="AN176" t="str">
        <f t="shared" si="67"/>
        <v>Oppose</v>
      </c>
      <c r="AO176" s="32">
        <f t="shared" si="68"/>
        <v>5</v>
      </c>
      <c r="AP176">
        <f>step3_validation[[#This Row],[AI_TRU2]]</f>
        <v>8</v>
      </c>
      <c r="AQ176" t="str">
        <f t="shared" si="69"/>
        <v>Support</v>
      </c>
      <c r="AR176">
        <f>survey_responses[[#This Row],[Tôi thấy mức thuế tôi phải đóng theo phương án mới là công bằng (người thu nhập như tôi đóng mức này là hợp lý). - HUMAN-TRU2]]</f>
        <v>4</v>
      </c>
      <c r="AS176" t="str">
        <f t="shared" si="70"/>
        <v>Oppose</v>
      </c>
      <c r="AT176" s="32">
        <f t="shared" si="71"/>
        <v>4</v>
      </c>
      <c r="AU176">
        <f>step3_validation[[#This Row],[AI_TRU3]]</f>
        <v>9</v>
      </c>
      <c r="AV176" t="str">
        <f t="shared" si="72"/>
        <v>Support</v>
      </c>
      <c r="AW176">
        <f>survey_responses[[#This Row],[Tôi tin tưởng số tiền thuế tôi đóng sẽ được Nhà nước sử dụng hiệu quả để cải thiện dịch vụ công (y tế, đường xá...). - HUMAN-TRU3]]</f>
        <v>4</v>
      </c>
      <c r="AX176" t="str">
        <f t="shared" si="73"/>
        <v>Oppose</v>
      </c>
      <c r="AY176" s="32">
        <f t="shared" si="74"/>
        <v>5</v>
      </c>
      <c r="AZ176">
        <f>step3_validation[[#This Row],[AI_TRU4]]</f>
        <v>8</v>
      </c>
      <c r="BA176" t="str">
        <f t="shared" si="75"/>
        <v>Support</v>
      </c>
      <c r="BB176">
        <f>survey_responses[[#This Row],[Tôi thấy Nhà nước đã giải thích rõ ràng, minh bạch về lý do và mục tiêu của việc sửa đổi thuế lần này. - HUMAN-TRU4]]</f>
        <v>5</v>
      </c>
      <c r="BC176" t="str">
        <f t="shared" si="76"/>
        <v>Neutral</v>
      </c>
      <c r="BD176" s="32">
        <f t="shared" si="77"/>
        <v>3</v>
      </c>
      <c r="BE176">
        <f>step3_validation[[#This Row],[AI_OUT1]]</f>
        <v>9</v>
      </c>
      <c r="BF176" t="str">
        <f t="shared" si="78"/>
        <v>Support</v>
      </c>
      <c r="BG176">
        <f>survey_responses[[#This Row],[Sau khi xem xét các quyền lợi và nghĩa vụ, bạn có ủng hộ và tuân thủ chính sách mới hiện nay? - HUMAN-OUT1]]</f>
        <v>4</v>
      </c>
      <c r="BH176" t="str">
        <f t="shared" si="79"/>
        <v>Oppose</v>
      </c>
      <c r="BI176" s="32">
        <f t="shared" si="80"/>
        <v>5</v>
      </c>
    </row>
    <row r="177" spans="1:61" x14ac:dyDescent="0.45">
      <c r="A177" s="30">
        <f>step3_validation[[#This Row],[Persona_ID]]</f>
        <v>176</v>
      </c>
      <c r="B177" s="31">
        <f>step3_validation[[#This Row],[Used_Seed]]</f>
        <v>176</v>
      </c>
      <c r="C177" t="str">
        <f>step3_validation[[#This Row],[Gender]]</f>
        <v>Nữ</v>
      </c>
      <c r="D177" t="str">
        <f>survey_responses[[#This Row],[Giới tính của bạn:]]</f>
        <v>Nữ</v>
      </c>
      <c r="E177" t="str">
        <f>step3_validation[[#This Row],[Age_Group]]</f>
        <v>55 - 64</v>
      </c>
      <c r="F177" t="str">
        <f>survey_responses[[#This Row],[Độ tuổi của bạn:]]</f>
        <v>55 - 64</v>
      </c>
      <c r="G177" t="str">
        <f>step3_validation[[#This Row],[Region]]</f>
        <v>Nông thôn</v>
      </c>
      <c r="H177" t="str">
        <f>survey_responses[[#This Row],[Khu vực bạn đang sinh sống:]]</f>
        <v>Nông thôn</v>
      </c>
      <c r="I177" t="str">
        <f>step3_validation[[#This Row],[Education]]</f>
        <v>Sau Đại học</v>
      </c>
      <c r="J177" t="str">
        <f>survey_responses[[#This Row],[Trình độ học vấn cao nhất:]]</f>
        <v>Sau Đại học</v>
      </c>
      <c r="K177" t="str">
        <f>step3_validation[[#This Row],[Employment]]</f>
        <v>Chính thức</v>
      </c>
      <c r="L177" t="str">
        <f>survey_responses[[#This Row],[Tình trạng việc làm chính:]]</f>
        <v>Khu vực chính thức (Có Hợp đồng lao động, đóng BHXH)</v>
      </c>
      <c r="M177">
        <f>step3_validation[[#This Row],[Income_Mil]]</f>
        <v>236.50189251008163</v>
      </c>
      <c r="N177" t="str">
        <f>survey_responses[[#This Row],[Thu nhập bình quân tháng theo Hợp đồng lao động của bạn là bao nhiêu? (Vui lòng điền tổng thu nhập trước khi khấu trừ các loại Bảo hiểm (BHXH, BHYT, BHTN) và Thuế TNCN)]]</f>
        <v>Trên 102 triệu VNĐ</v>
      </c>
      <c r="O177">
        <f>step3_validation[[#This Row],[Dependents]]</f>
        <v>0</v>
      </c>
      <c r="P177" t="str">
        <f>survey_responses[[#This Row],[Số người phụ thuộc (con nhỏ, cha mẹ già...) đủ điều kiện giảm trừ gia cảnh:]]</f>
        <v>0 người</v>
      </c>
      <c r="Q177">
        <f>step3_validation[[#This Row],[AI_ENF1]]</f>
        <v>8</v>
      </c>
      <c r="R177" t="str">
        <f t="shared" si="54"/>
        <v>Support</v>
      </c>
      <c r="S177">
        <f>survey_responses[[#This Row],[Tôi tin rằng với các quy định quản lý thuế hiện nay, hành vi gian lận hoặc trốn thuế sẽ dễ dàng bị phát hiện và xử lý nghiêm. - HUMAN-ENF1]]</f>
        <v>2</v>
      </c>
      <c r="T177" t="str">
        <f t="shared" si="55"/>
        <v>Oppose</v>
      </c>
      <c r="U177" s="32">
        <f t="shared" si="56"/>
        <v>6</v>
      </c>
      <c r="V177">
        <f>step3_validation[[#This Row],[AI_ENF2]]</f>
        <v>9</v>
      </c>
      <c r="W177" t="str">
        <f t="shared" si="57"/>
        <v>Support</v>
      </c>
      <c r="X177">
        <f>survey_responses[[#This Row],[Tôi tin rằng Nhà nước, cơ quan thuế có đủ khả năng và công nghệ để phát hiện, xử lý nghiêm các hành vi trốn thuế. - HUMAN-ENF2]]</f>
        <v>4</v>
      </c>
      <c r="Y177" t="str">
        <f t="shared" si="58"/>
        <v>Oppose</v>
      </c>
      <c r="Z177" s="32">
        <f t="shared" si="59"/>
        <v>5</v>
      </c>
      <c r="AA177">
        <f>step3_validation[[#This Row],[AI_FAC1]]</f>
        <v>7</v>
      </c>
      <c r="AB177" t="str">
        <f t="shared" si="60"/>
        <v>Neutral</v>
      </c>
      <c r="AC177">
        <f>survey_responses[[#This Row],[Các thủ tục khai báo thuế VÀ/HOẶC quy trình làm việc với cơ quan thuế đơn giản, tiện lợi, nhanh chóng hơn so với trước đây. - HUMAN-FAC1]]</f>
        <v>3</v>
      </c>
      <c r="AD177" t="str">
        <f t="shared" si="61"/>
        <v>Oppose</v>
      </c>
      <c r="AE177" s="32">
        <f t="shared" si="62"/>
        <v>4</v>
      </c>
      <c r="AF177">
        <f>step3_validation[[#This Row],[AI_FAC2]]</f>
        <v>9</v>
      </c>
      <c r="AG177" t="str">
        <f t="shared" si="63"/>
        <v>Support</v>
      </c>
      <c r="AH177">
        <f>survey_responses[[#This Row],[So với trước đây, tôi thấy cách tính thuế và các bậc thuế trong phương án mới đơn giản, dễ hiểu và dễ thực hiện hơn. - HUMAN-FAC2]]</f>
        <v>5</v>
      </c>
      <c r="AI177" t="str">
        <f t="shared" si="64"/>
        <v>Neutral</v>
      </c>
      <c r="AJ177" s="32">
        <f t="shared" si="65"/>
        <v>4</v>
      </c>
      <c r="AK177">
        <f>step3_validation[[#This Row],[AI_TRU1]]</f>
        <v>7</v>
      </c>
      <c r="AL177" t="str">
        <f t="shared" si="66"/>
        <v>Neutral</v>
      </c>
      <c r="AM177">
        <f>survey_responses[[#This Row],[Tôi tin rằng Nhà nước, cơ quan thuế sẽ thực thi chính sách mới một cách khách quan, công tâm và đối xử bình đẳng với mọi người nộp thuế.  - HUMAN-TRU1]]</f>
        <v>4</v>
      </c>
      <c r="AN177" t="str">
        <f t="shared" si="67"/>
        <v>Oppose</v>
      </c>
      <c r="AO177" s="32">
        <f t="shared" si="68"/>
        <v>3</v>
      </c>
      <c r="AP177">
        <f>step3_validation[[#This Row],[AI_TRU2]]</f>
        <v>9</v>
      </c>
      <c r="AQ177" t="str">
        <f t="shared" si="69"/>
        <v>Support</v>
      </c>
      <c r="AR177">
        <f>survey_responses[[#This Row],[Tôi thấy mức thuế tôi phải đóng theo phương án mới là công bằng (người thu nhập như tôi đóng mức này là hợp lý). - HUMAN-TRU2]]</f>
        <v>1</v>
      </c>
      <c r="AS177" t="str">
        <f t="shared" si="70"/>
        <v>Oppose</v>
      </c>
      <c r="AT177" s="32">
        <f t="shared" si="71"/>
        <v>8</v>
      </c>
      <c r="AU177">
        <f>step3_validation[[#This Row],[AI_TRU3]]</f>
        <v>8</v>
      </c>
      <c r="AV177" t="str">
        <f t="shared" si="72"/>
        <v>Support</v>
      </c>
      <c r="AW177">
        <f>survey_responses[[#This Row],[Tôi tin tưởng số tiền thuế tôi đóng sẽ được Nhà nước sử dụng hiệu quả để cải thiện dịch vụ công (y tế, đường xá...). - HUMAN-TRU3]]</f>
        <v>1</v>
      </c>
      <c r="AX177" t="str">
        <f t="shared" si="73"/>
        <v>Oppose</v>
      </c>
      <c r="AY177" s="32">
        <f t="shared" si="74"/>
        <v>7</v>
      </c>
      <c r="AZ177">
        <f>step3_validation[[#This Row],[AI_TRU4]]</f>
        <v>9</v>
      </c>
      <c r="BA177" t="str">
        <f t="shared" si="75"/>
        <v>Support</v>
      </c>
      <c r="BB177">
        <f>survey_responses[[#This Row],[Tôi thấy Nhà nước đã giải thích rõ ràng, minh bạch về lý do và mục tiêu của việc sửa đổi thuế lần này. - HUMAN-TRU4]]</f>
        <v>4</v>
      </c>
      <c r="BC177" t="str">
        <f t="shared" si="76"/>
        <v>Oppose</v>
      </c>
      <c r="BD177" s="32">
        <f t="shared" si="77"/>
        <v>5</v>
      </c>
      <c r="BE177">
        <f>step3_validation[[#This Row],[AI_OUT1]]</f>
        <v>8</v>
      </c>
      <c r="BF177" t="str">
        <f t="shared" si="78"/>
        <v>Support</v>
      </c>
      <c r="BG177">
        <f>survey_responses[[#This Row],[Sau khi xem xét các quyền lợi và nghĩa vụ, bạn có ủng hộ và tuân thủ chính sách mới hiện nay? - HUMAN-OUT1]]</f>
        <v>4</v>
      </c>
      <c r="BH177" t="str">
        <f t="shared" si="79"/>
        <v>Oppose</v>
      </c>
      <c r="BI177" s="32">
        <f t="shared" si="80"/>
        <v>4</v>
      </c>
    </row>
    <row r="178" spans="1:61" x14ac:dyDescent="0.45">
      <c r="A178" s="30">
        <f>step3_validation[[#This Row],[Persona_ID]]</f>
        <v>177</v>
      </c>
      <c r="B178" s="31">
        <f>step3_validation[[#This Row],[Used_Seed]]</f>
        <v>177</v>
      </c>
      <c r="C178" t="str">
        <f>step3_validation[[#This Row],[Gender]]</f>
        <v>Nữ</v>
      </c>
      <c r="D178" t="str">
        <f>survey_responses[[#This Row],[Giới tính của bạn:]]</f>
        <v>Nữ</v>
      </c>
      <c r="E178" t="str">
        <f>step3_validation[[#This Row],[Age_Group]]</f>
        <v>50 - 54</v>
      </c>
      <c r="F178" t="str">
        <f>survey_responses[[#This Row],[Độ tuổi của bạn:]]</f>
        <v>50 - 54</v>
      </c>
      <c r="G178" t="str">
        <f>step3_validation[[#This Row],[Region]]</f>
        <v>Thành thị</v>
      </c>
      <c r="H178" t="str">
        <f>survey_responses[[#This Row],[Khu vực bạn đang sinh sống:]]</f>
        <v>Thành thị</v>
      </c>
      <c r="I178" t="str">
        <f>step3_validation[[#This Row],[Education]]</f>
        <v>Sau Đại học</v>
      </c>
      <c r="J178" t="str">
        <f>survey_responses[[#This Row],[Trình độ học vấn cao nhất:]]</f>
        <v>Sau Đại học</v>
      </c>
      <c r="K178" t="str">
        <f>step3_validation[[#This Row],[Employment]]</f>
        <v>Chính thức</v>
      </c>
      <c r="L178" t="str">
        <f>survey_responses[[#This Row],[Tình trạng việc làm chính:]]</f>
        <v>Khu vực chính thức (Có Hợp đồng lao động, đóng BHXH)</v>
      </c>
      <c r="M178">
        <f>step3_validation[[#This Row],[Income_Mil]]</f>
        <v>85.065936424859103</v>
      </c>
      <c r="N178" t="str">
        <f>survey_responses[[#This Row],[Thu nhập bình quân tháng theo Hợp đồng lao động của bạn là bao nhiêu? (Vui lòng điền tổng thu nhập trước khi khấu trừ các loại Bảo hiểm (BHXH, BHYT, BHTN) và Thuế TNCN)]]</f>
        <v>Từ 70 - 102 triệu VNĐ</v>
      </c>
      <c r="O178">
        <f>step3_validation[[#This Row],[Dependents]]</f>
        <v>2</v>
      </c>
      <c r="P178" t="str">
        <f>survey_responses[[#This Row],[Số người phụ thuộc (con nhỏ, cha mẹ già...) đủ điều kiện giảm trừ gia cảnh:]]</f>
        <v>2 người</v>
      </c>
      <c r="Q178">
        <f>step3_validation[[#This Row],[AI_ENF1]]</f>
        <v>7</v>
      </c>
      <c r="R178" t="str">
        <f t="shared" si="54"/>
        <v>Neutral</v>
      </c>
      <c r="S178">
        <f>survey_responses[[#This Row],[Tôi tin rằng với các quy định quản lý thuế hiện nay, hành vi gian lận hoặc trốn thuế sẽ dễ dàng bị phát hiện và xử lý nghiêm. - HUMAN-ENF1]]</f>
        <v>4</v>
      </c>
      <c r="T178" t="str">
        <f t="shared" si="55"/>
        <v>Oppose</v>
      </c>
      <c r="U178" s="32">
        <f t="shared" si="56"/>
        <v>3</v>
      </c>
      <c r="V178">
        <f>step3_validation[[#This Row],[AI_ENF2]]</f>
        <v>6</v>
      </c>
      <c r="W178" t="str">
        <f t="shared" si="57"/>
        <v>Neutral</v>
      </c>
      <c r="X178">
        <f>survey_responses[[#This Row],[Tôi tin rằng Nhà nước, cơ quan thuế có đủ khả năng và công nghệ để phát hiện, xử lý nghiêm các hành vi trốn thuế. - HUMAN-ENF2]]</f>
        <v>4</v>
      </c>
      <c r="Y178" t="str">
        <f t="shared" si="58"/>
        <v>Oppose</v>
      </c>
      <c r="Z178" s="32">
        <f t="shared" si="59"/>
        <v>2</v>
      </c>
      <c r="AA178">
        <f>step3_validation[[#This Row],[AI_FAC1]]</f>
        <v>8</v>
      </c>
      <c r="AB178" t="str">
        <f t="shared" si="60"/>
        <v>Support</v>
      </c>
      <c r="AC178">
        <f>survey_responses[[#This Row],[Các thủ tục khai báo thuế VÀ/HOẶC quy trình làm việc với cơ quan thuế đơn giản, tiện lợi, nhanh chóng hơn so với trước đây. - HUMAN-FAC1]]</f>
        <v>3</v>
      </c>
      <c r="AD178" t="str">
        <f t="shared" si="61"/>
        <v>Oppose</v>
      </c>
      <c r="AE178" s="32">
        <f t="shared" si="62"/>
        <v>5</v>
      </c>
      <c r="AF178">
        <f>step3_validation[[#This Row],[AI_FAC2]]</f>
        <v>9</v>
      </c>
      <c r="AG178" t="str">
        <f t="shared" si="63"/>
        <v>Support</v>
      </c>
      <c r="AH178">
        <f>survey_responses[[#This Row],[So với trước đây, tôi thấy cách tính thuế và các bậc thuế trong phương án mới đơn giản, dễ hiểu và dễ thực hiện hơn. - HUMAN-FAC2]]</f>
        <v>5</v>
      </c>
      <c r="AI178" t="str">
        <f t="shared" si="64"/>
        <v>Neutral</v>
      </c>
      <c r="AJ178" s="32">
        <f t="shared" si="65"/>
        <v>4</v>
      </c>
      <c r="AK178">
        <f>step3_validation[[#This Row],[AI_TRU1]]</f>
        <v>7</v>
      </c>
      <c r="AL178" t="str">
        <f t="shared" si="66"/>
        <v>Neutral</v>
      </c>
      <c r="AM178">
        <f>survey_responses[[#This Row],[Tôi tin rằng Nhà nước, cơ quan thuế sẽ thực thi chính sách mới một cách khách quan, công tâm và đối xử bình đẳng với mọi người nộp thuế.  - HUMAN-TRU1]]</f>
        <v>3</v>
      </c>
      <c r="AN178" t="str">
        <f t="shared" si="67"/>
        <v>Oppose</v>
      </c>
      <c r="AO178" s="32">
        <f t="shared" si="68"/>
        <v>4</v>
      </c>
      <c r="AP178">
        <f>step3_validation[[#This Row],[AI_TRU2]]</f>
        <v>9</v>
      </c>
      <c r="AQ178" t="str">
        <f t="shared" si="69"/>
        <v>Support</v>
      </c>
      <c r="AR178">
        <f>survey_responses[[#This Row],[Tôi thấy mức thuế tôi phải đóng theo phương án mới là công bằng (người thu nhập như tôi đóng mức này là hợp lý). - HUMAN-TRU2]]</f>
        <v>2</v>
      </c>
      <c r="AS178" t="str">
        <f t="shared" si="70"/>
        <v>Oppose</v>
      </c>
      <c r="AT178" s="32">
        <f t="shared" si="71"/>
        <v>7</v>
      </c>
      <c r="AU178">
        <f>step3_validation[[#This Row],[AI_TRU3]]</f>
        <v>7</v>
      </c>
      <c r="AV178" t="str">
        <f t="shared" si="72"/>
        <v>Neutral</v>
      </c>
      <c r="AW178">
        <f>survey_responses[[#This Row],[Tôi tin tưởng số tiền thuế tôi đóng sẽ được Nhà nước sử dụng hiệu quả để cải thiện dịch vụ công (y tế, đường xá...). - HUMAN-TRU3]]</f>
        <v>1</v>
      </c>
      <c r="AX178" t="str">
        <f t="shared" si="73"/>
        <v>Oppose</v>
      </c>
      <c r="AY178" s="32">
        <f t="shared" si="74"/>
        <v>6</v>
      </c>
      <c r="AZ178">
        <f>step3_validation[[#This Row],[AI_TRU4]]</f>
        <v>8</v>
      </c>
      <c r="BA178" t="str">
        <f t="shared" si="75"/>
        <v>Support</v>
      </c>
      <c r="BB178">
        <f>survey_responses[[#This Row],[Tôi thấy Nhà nước đã giải thích rõ ràng, minh bạch về lý do và mục tiêu của việc sửa đổi thuế lần này. - HUMAN-TRU4]]</f>
        <v>1</v>
      </c>
      <c r="BC178" t="str">
        <f t="shared" si="76"/>
        <v>Oppose</v>
      </c>
      <c r="BD178" s="32">
        <f t="shared" si="77"/>
        <v>7</v>
      </c>
      <c r="BE178">
        <f>step3_validation[[#This Row],[AI_OUT1]]</f>
        <v>9</v>
      </c>
      <c r="BF178" t="str">
        <f t="shared" si="78"/>
        <v>Support</v>
      </c>
      <c r="BG178">
        <f>survey_responses[[#This Row],[Sau khi xem xét các quyền lợi và nghĩa vụ, bạn có ủng hộ và tuân thủ chính sách mới hiện nay? - HUMAN-OUT1]]</f>
        <v>1</v>
      </c>
      <c r="BH178" t="str">
        <f t="shared" si="79"/>
        <v>Oppose</v>
      </c>
      <c r="BI178" s="32">
        <f t="shared" si="80"/>
        <v>8</v>
      </c>
    </row>
    <row r="179" spans="1:61" x14ac:dyDescent="0.45">
      <c r="A179" s="30">
        <f>step3_validation[[#This Row],[Persona_ID]]</f>
        <v>178</v>
      </c>
      <c r="B179" s="31">
        <f>step3_validation[[#This Row],[Used_Seed]]</f>
        <v>178</v>
      </c>
      <c r="C179" t="str">
        <f>step3_validation[[#This Row],[Gender]]</f>
        <v>Nữ</v>
      </c>
      <c r="D179" t="str">
        <f>survey_responses[[#This Row],[Giới tính của bạn:]]</f>
        <v>Nữ</v>
      </c>
      <c r="E179" t="str">
        <f>step3_validation[[#This Row],[Age_Group]]</f>
        <v>55 - 64</v>
      </c>
      <c r="F179" t="str">
        <f>survey_responses[[#This Row],[Độ tuổi của bạn:]]</f>
        <v>55 - 64</v>
      </c>
      <c r="G179" t="str">
        <f>step3_validation[[#This Row],[Region]]</f>
        <v>Thành thị</v>
      </c>
      <c r="H179" t="str">
        <f>survey_responses[[#This Row],[Khu vực bạn đang sinh sống:]]</f>
        <v>Thành thị</v>
      </c>
      <c r="I179" t="str">
        <f>step3_validation[[#This Row],[Education]]</f>
        <v>Đại học</v>
      </c>
      <c r="J179" t="str">
        <f>survey_responses[[#This Row],[Trình độ học vấn cao nhất:]]</f>
        <v>Đại học</v>
      </c>
      <c r="K179" t="str">
        <f>step3_validation[[#This Row],[Employment]]</f>
        <v>Chính thức</v>
      </c>
      <c r="L179" t="str">
        <f>survey_responses[[#This Row],[Tình trạng việc làm chính:]]</f>
        <v>Khu vực chính thức (Có Hợp đồng lao động, đóng BHXH)</v>
      </c>
      <c r="M179">
        <f>step3_validation[[#This Row],[Income_Mil]]</f>
        <v>43.412413537834013</v>
      </c>
      <c r="N179" t="str">
        <f>survey_responses[[#This Row],[Thu nhập bình quân tháng theo Hợp đồng lao động của bạn là bao nhiêu? (Vui lòng điền tổng thu nhập trước khi khấu trừ các loại Bảo hiểm (BHXH, BHYT, BHTN) và Thuế TNCN)]]</f>
        <v>Từ 32 - 48 triệu VNĐ</v>
      </c>
      <c r="O179">
        <f>step3_validation[[#This Row],[Dependents]]</f>
        <v>4</v>
      </c>
      <c r="P179" t="str">
        <f>survey_responses[[#This Row],[Số người phụ thuộc (con nhỏ, cha mẹ già...) đủ điều kiện giảm trừ gia cảnh:]]</f>
        <v>4 người trở lên</v>
      </c>
      <c r="Q179">
        <f>step3_validation[[#This Row],[AI_ENF1]]</f>
        <v>8</v>
      </c>
      <c r="R179" t="str">
        <f t="shared" si="54"/>
        <v>Support</v>
      </c>
      <c r="S179">
        <f>survey_responses[[#This Row],[Tôi tin rằng với các quy định quản lý thuế hiện nay, hành vi gian lận hoặc trốn thuế sẽ dễ dàng bị phát hiện và xử lý nghiêm. - HUMAN-ENF1]]</f>
        <v>6</v>
      </c>
      <c r="T179" t="str">
        <f t="shared" si="55"/>
        <v>Neutral</v>
      </c>
      <c r="U179" s="32">
        <f t="shared" si="56"/>
        <v>2</v>
      </c>
      <c r="V179">
        <f>step3_validation[[#This Row],[AI_ENF2]]</f>
        <v>9</v>
      </c>
      <c r="W179" t="str">
        <f t="shared" si="57"/>
        <v>Support</v>
      </c>
      <c r="X179">
        <f>survey_responses[[#This Row],[Tôi tin rằng Nhà nước, cơ quan thuế có đủ khả năng và công nghệ để phát hiện, xử lý nghiêm các hành vi trốn thuế. - HUMAN-ENF2]]</f>
        <v>7</v>
      </c>
      <c r="Y179" t="str">
        <f t="shared" si="58"/>
        <v>Neutral</v>
      </c>
      <c r="Z179" s="32">
        <f t="shared" si="59"/>
        <v>2</v>
      </c>
      <c r="AA179">
        <f>step3_validation[[#This Row],[AI_FAC1]]</f>
        <v>8</v>
      </c>
      <c r="AB179" t="str">
        <f t="shared" si="60"/>
        <v>Support</v>
      </c>
      <c r="AC179">
        <f>survey_responses[[#This Row],[Các thủ tục khai báo thuế VÀ/HOẶC quy trình làm việc với cơ quan thuế đơn giản, tiện lợi, nhanh chóng hơn so với trước đây. - HUMAN-FAC1]]</f>
        <v>6</v>
      </c>
      <c r="AD179" t="str">
        <f t="shared" si="61"/>
        <v>Neutral</v>
      </c>
      <c r="AE179" s="32">
        <f t="shared" si="62"/>
        <v>2</v>
      </c>
      <c r="AF179">
        <f>step3_validation[[#This Row],[AI_FAC2]]</f>
        <v>9</v>
      </c>
      <c r="AG179" t="str">
        <f t="shared" si="63"/>
        <v>Support</v>
      </c>
      <c r="AH179">
        <f>survey_responses[[#This Row],[So với trước đây, tôi thấy cách tính thuế và các bậc thuế trong phương án mới đơn giản, dễ hiểu và dễ thực hiện hơn. - HUMAN-FAC2]]</f>
        <v>6</v>
      </c>
      <c r="AI179" t="str">
        <f t="shared" si="64"/>
        <v>Neutral</v>
      </c>
      <c r="AJ179" s="32">
        <f t="shared" si="65"/>
        <v>3</v>
      </c>
      <c r="AK179">
        <f>step3_validation[[#This Row],[AI_TRU1]]</f>
        <v>8</v>
      </c>
      <c r="AL179" t="str">
        <f t="shared" si="66"/>
        <v>Support</v>
      </c>
      <c r="AM179">
        <f>survey_responses[[#This Row],[Tôi tin rằng Nhà nước, cơ quan thuế sẽ thực thi chính sách mới một cách khách quan, công tâm và đối xử bình đẳng với mọi người nộp thuế.  - HUMAN-TRU1]]</f>
        <v>6</v>
      </c>
      <c r="AN179" t="str">
        <f t="shared" si="67"/>
        <v>Neutral</v>
      </c>
      <c r="AO179" s="32">
        <f t="shared" si="68"/>
        <v>2</v>
      </c>
      <c r="AP179">
        <f>step3_validation[[#This Row],[AI_TRU2]]</f>
        <v>9</v>
      </c>
      <c r="AQ179" t="str">
        <f t="shared" si="69"/>
        <v>Support</v>
      </c>
      <c r="AR179">
        <f>survey_responses[[#This Row],[Tôi thấy mức thuế tôi phải đóng theo phương án mới là công bằng (người thu nhập như tôi đóng mức này là hợp lý). - HUMAN-TRU2]]</f>
        <v>7</v>
      </c>
      <c r="AS179" t="str">
        <f t="shared" si="70"/>
        <v>Neutral</v>
      </c>
      <c r="AT179" s="32">
        <f t="shared" si="71"/>
        <v>2</v>
      </c>
      <c r="AU179">
        <f>step3_validation[[#This Row],[AI_TRU3]]</f>
        <v>8</v>
      </c>
      <c r="AV179" t="str">
        <f t="shared" si="72"/>
        <v>Support</v>
      </c>
      <c r="AW179">
        <f>survey_responses[[#This Row],[Tôi tin tưởng số tiền thuế tôi đóng sẽ được Nhà nước sử dụng hiệu quả để cải thiện dịch vụ công (y tế, đường xá...). - HUMAN-TRU3]]</f>
        <v>5</v>
      </c>
      <c r="AX179" t="str">
        <f t="shared" si="73"/>
        <v>Neutral</v>
      </c>
      <c r="AY179" s="32">
        <f t="shared" si="74"/>
        <v>3</v>
      </c>
      <c r="AZ179">
        <f>step3_validation[[#This Row],[AI_TRU4]]</f>
        <v>9</v>
      </c>
      <c r="BA179" t="str">
        <f t="shared" si="75"/>
        <v>Support</v>
      </c>
      <c r="BB179">
        <f>survey_responses[[#This Row],[Tôi thấy Nhà nước đã giải thích rõ ràng, minh bạch về lý do và mục tiêu của việc sửa đổi thuế lần này. - HUMAN-TRU4]]</f>
        <v>6</v>
      </c>
      <c r="BC179" t="str">
        <f t="shared" si="76"/>
        <v>Neutral</v>
      </c>
      <c r="BD179" s="32">
        <f t="shared" si="77"/>
        <v>3</v>
      </c>
      <c r="BE179">
        <f>step3_validation[[#This Row],[AI_OUT1]]</f>
        <v>8</v>
      </c>
      <c r="BF179" t="str">
        <f t="shared" si="78"/>
        <v>Support</v>
      </c>
      <c r="BG179">
        <f>survey_responses[[#This Row],[Sau khi xem xét các quyền lợi và nghĩa vụ, bạn có ủng hộ và tuân thủ chính sách mới hiện nay? - HUMAN-OUT1]]</f>
        <v>7</v>
      </c>
      <c r="BH179" t="str">
        <f t="shared" si="79"/>
        <v>Neutral</v>
      </c>
      <c r="BI179" s="32">
        <f t="shared" si="80"/>
        <v>1</v>
      </c>
    </row>
    <row r="180" spans="1:61" x14ac:dyDescent="0.45">
      <c r="A180" s="30">
        <f>step3_validation[[#This Row],[Persona_ID]]</f>
        <v>179</v>
      </c>
      <c r="B180" s="31">
        <f>step3_validation[[#This Row],[Used_Seed]]</f>
        <v>179</v>
      </c>
      <c r="C180" t="str">
        <f>step3_validation[[#This Row],[Gender]]</f>
        <v>Nữ</v>
      </c>
      <c r="D180" t="str">
        <f>survey_responses[[#This Row],[Giới tính của bạn:]]</f>
        <v>Nữ</v>
      </c>
      <c r="E180" t="str">
        <f>step3_validation[[#This Row],[Age_Group]]</f>
        <v>30 - 39</v>
      </c>
      <c r="F180" t="str">
        <f>survey_responses[[#This Row],[Độ tuổi của bạn:]]</f>
        <v>30 - 39</v>
      </c>
      <c r="G180" t="str">
        <f>step3_validation[[#This Row],[Region]]</f>
        <v>Thành thị</v>
      </c>
      <c r="H180" t="str">
        <f>survey_responses[[#This Row],[Khu vực bạn đang sinh sống:]]</f>
        <v>Thành thị</v>
      </c>
      <c r="I180" t="str">
        <f>step3_validation[[#This Row],[Education]]</f>
        <v>Sau Đại học</v>
      </c>
      <c r="J180" t="str">
        <f>survey_responses[[#This Row],[Trình độ học vấn cao nhất:]]</f>
        <v>Sau Đại học</v>
      </c>
      <c r="K180" t="str">
        <f>step3_validation[[#This Row],[Employment]]</f>
        <v>Chính thức</v>
      </c>
      <c r="L180" t="str">
        <f>survey_responses[[#This Row],[Tình trạng việc làm chính:]]</f>
        <v>Khu vực chính thức (Có Hợp đồng lao động, đóng BHXH)</v>
      </c>
      <c r="M180">
        <f>step3_validation[[#This Row],[Income_Mil]]</f>
        <v>30.344556229156154</v>
      </c>
      <c r="N180" t="str">
        <f>survey_responses[[#This Row],[Thu nhập bình quân tháng theo Hợp đồng lao động của bạn là bao nhiêu? (Vui lòng điền tổng thu nhập trước khi khấu trừ các loại Bảo hiểm (BHXH, BHYT, BHTN) và Thuế TNCN)]]</f>
        <v>Từ 23 - 32 triệu VNĐ</v>
      </c>
      <c r="O180">
        <f>step3_validation[[#This Row],[Dependents]]</f>
        <v>1</v>
      </c>
      <c r="P180" t="str">
        <f>survey_responses[[#This Row],[Số người phụ thuộc (con nhỏ, cha mẹ già...) đủ điều kiện giảm trừ gia cảnh:]]</f>
        <v>1 người</v>
      </c>
      <c r="Q180">
        <f>step3_validation[[#This Row],[AI_ENF1]]</f>
        <v>6</v>
      </c>
      <c r="R180" t="str">
        <f t="shared" si="54"/>
        <v>Neutral</v>
      </c>
      <c r="S180">
        <f>survey_responses[[#This Row],[Tôi tin rằng với các quy định quản lý thuế hiện nay, hành vi gian lận hoặc trốn thuế sẽ dễ dàng bị phát hiện và xử lý nghiêm. - HUMAN-ENF1]]</f>
        <v>7</v>
      </c>
      <c r="T180" t="str">
        <f t="shared" si="55"/>
        <v>Neutral</v>
      </c>
      <c r="U180" s="32">
        <f t="shared" si="56"/>
        <v>1</v>
      </c>
      <c r="V180">
        <f>step3_validation[[#This Row],[AI_ENF2]]</f>
        <v>7</v>
      </c>
      <c r="W180" t="str">
        <f t="shared" si="57"/>
        <v>Neutral</v>
      </c>
      <c r="X180">
        <f>survey_responses[[#This Row],[Tôi tin rằng Nhà nước, cơ quan thuế có đủ khả năng và công nghệ để phát hiện, xử lý nghiêm các hành vi trốn thuế. - HUMAN-ENF2]]</f>
        <v>7</v>
      </c>
      <c r="Y180" t="str">
        <f t="shared" si="58"/>
        <v>Neutral</v>
      </c>
      <c r="Z180" s="32">
        <f t="shared" si="59"/>
        <v>0</v>
      </c>
      <c r="AA180">
        <f>step3_validation[[#This Row],[AI_FAC1]]</f>
        <v>5</v>
      </c>
      <c r="AB180" t="str">
        <f t="shared" si="60"/>
        <v>Neutral</v>
      </c>
      <c r="AC180">
        <f>survey_responses[[#This Row],[Các thủ tục khai báo thuế VÀ/HOẶC quy trình làm việc với cơ quan thuế đơn giản, tiện lợi, nhanh chóng hơn so với trước đây. - HUMAN-FAC1]]</f>
        <v>7</v>
      </c>
      <c r="AD180" t="str">
        <f t="shared" si="61"/>
        <v>Neutral</v>
      </c>
      <c r="AE180" s="32">
        <f t="shared" si="62"/>
        <v>2</v>
      </c>
      <c r="AF180">
        <f>step3_validation[[#This Row],[AI_FAC2]]</f>
        <v>8</v>
      </c>
      <c r="AG180" t="str">
        <f t="shared" si="63"/>
        <v>Support</v>
      </c>
      <c r="AH180">
        <f>survey_responses[[#This Row],[So với trước đây, tôi thấy cách tính thuế và các bậc thuế trong phương án mới đơn giản, dễ hiểu và dễ thực hiện hơn. - HUMAN-FAC2]]</f>
        <v>8</v>
      </c>
      <c r="AI180" t="str">
        <f t="shared" si="64"/>
        <v>Support</v>
      </c>
      <c r="AJ180" s="32">
        <f t="shared" si="65"/>
        <v>0</v>
      </c>
      <c r="AK180">
        <f>step3_validation[[#This Row],[AI_TRU1]]</f>
        <v>7</v>
      </c>
      <c r="AL180" t="str">
        <f t="shared" si="66"/>
        <v>Neutral</v>
      </c>
      <c r="AM180">
        <f>survey_responses[[#This Row],[Tôi tin rằng Nhà nước, cơ quan thuế sẽ thực thi chính sách mới một cách khách quan, công tâm và đối xử bình đẳng với mọi người nộp thuế.  - HUMAN-TRU1]]</f>
        <v>7</v>
      </c>
      <c r="AN180" t="str">
        <f t="shared" si="67"/>
        <v>Neutral</v>
      </c>
      <c r="AO180" s="32">
        <f t="shared" si="68"/>
        <v>0</v>
      </c>
      <c r="AP180">
        <f>step3_validation[[#This Row],[AI_TRU2]]</f>
        <v>8</v>
      </c>
      <c r="AQ180" t="str">
        <f t="shared" si="69"/>
        <v>Support</v>
      </c>
      <c r="AR180">
        <f>survey_responses[[#This Row],[Tôi thấy mức thuế tôi phải đóng theo phương án mới là công bằng (người thu nhập như tôi đóng mức này là hợp lý). - HUMAN-TRU2]]</f>
        <v>8</v>
      </c>
      <c r="AS180" t="str">
        <f t="shared" si="70"/>
        <v>Support</v>
      </c>
      <c r="AT180" s="32">
        <f t="shared" si="71"/>
        <v>0</v>
      </c>
      <c r="AU180">
        <f>step3_validation[[#This Row],[AI_TRU3]]</f>
        <v>6</v>
      </c>
      <c r="AV180" t="str">
        <f t="shared" si="72"/>
        <v>Neutral</v>
      </c>
      <c r="AW180">
        <f>survey_responses[[#This Row],[Tôi tin tưởng số tiền thuế tôi đóng sẽ được Nhà nước sử dụng hiệu quả để cải thiện dịch vụ công (y tế, đường xá...). - HUMAN-TRU3]]</f>
        <v>7</v>
      </c>
      <c r="AX180" t="str">
        <f t="shared" si="73"/>
        <v>Neutral</v>
      </c>
      <c r="AY180" s="32">
        <f t="shared" si="74"/>
        <v>1</v>
      </c>
      <c r="AZ180">
        <f>step3_validation[[#This Row],[AI_TRU4]]</f>
        <v>7</v>
      </c>
      <c r="BA180" t="str">
        <f t="shared" si="75"/>
        <v>Neutral</v>
      </c>
      <c r="BB180">
        <f>survey_responses[[#This Row],[Tôi thấy Nhà nước đã giải thích rõ ràng, minh bạch về lý do và mục tiêu của việc sửa đổi thuế lần này. - HUMAN-TRU4]]</f>
        <v>7</v>
      </c>
      <c r="BC180" t="str">
        <f t="shared" si="76"/>
        <v>Neutral</v>
      </c>
      <c r="BD180" s="32">
        <f t="shared" si="77"/>
        <v>0</v>
      </c>
      <c r="BE180">
        <f>step3_validation[[#This Row],[AI_OUT1]]</f>
        <v>9</v>
      </c>
      <c r="BF180" t="str">
        <f t="shared" si="78"/>
        <v>Support</v>
      </c>
      <c r="BG180">
        <f>survey_responses[[#This Row],[Sau khi xem xét các quyền lợi và nghĩa vụ, bạn có ủng hộ và tuân thủ chính sách mới hiện nay? - HUMAN-OUT1]]</f>
        <v>8</v>
      </c>
      <c r="BH180" t="str">
        <f t="shared" si="79"/>
        <v>Support</v>
      </c>
      <c r="BI180" s="32">
        <f t="shared" si="80"/>
        <v>1</v>
      </c>
    </row>
    <row r="181" spans="1:61" x14ac:dyDescent="0.45">
      <c r="A181" s="30">
        <f>step3_validation[[#This Row],[Persona_ID]]</f>
        <v>180</v>
      </c>
      <c r="B181" s="31">
        <f>step3_validation[[#This Row],[Used_Seed]]</f>
        <v>180</v>
      </c>
      <c r="C181" t="str">
        <f>step3_validation[[#This Row],[Gender]]</f>
        <v>Nữ</v>
      </c>
      <c r="D181" t="str">
        <f>survey_responses[[#This Row],[Giới tính của bạn:]]</f>
        <v>Nữ</v>
      </c>
      <c r="E181" t="str">
        <f>step3_validation[[#This Row],[Age_Group]]</f>
        <v>40 - 49</v>
      </c>
      <c r="F181" t="str">
        <f>survey_responses[[#This Row],[Độ tuổi của bạn:]]</f>
        <v>40 - 49</v>
      </c>
      <c r="G181" t="str">
        <f>step3_validation[[#This Row],[Region]]</f>
        <v>Thành thị</v>
      </c>
      <c r="H181" t="str">
        <f>survey_responses[[#This Row],[Khu vực bạn đang sinh sống:]]</f>
        <v>Thành thị</v>
      </c>
      <c r="I181" t="str">
        <f>step3_validation[[#This Row],[Education]]</f>
        <v>Đại học</v>
      </c>
      <c r="J181" t="str">
        <f>survey_responses[[#This Row],[Trình độ học vấn cao nhất:]]</f>
        <v>Đại học</v>
      </c>
      <c r="K181" t="str">
        <f>step3_validation[[#This Row],[Employment]]</f>
        <v>Chính thức</v>
      </c>
      <c r="L181" t="str">
        <f>survey_responses[[#This Row],[Tình trạng việc làm chính:]]</f>
        <v>Khu vực chính thức (Có Hợp đồng lao động, đóng BHXH)</v>
      </c>
      <c r="M181">
        <f>step3_validation[[#This Row],[Income_Mil]]</f>
        <v>60.097183385871624</v>
      </c>
      <c r="N181" t="str">
        <f>survey_responses[[#This Row],[Thu nhập bình quân tháng theo Hợp đồng lao động của bạn là bao nhiêu? (Vui lòng điền tổng thu nhập trước khi khấu trừ các loại Bảo hiểm (BHXH, BHYT, BHTN) và Thuế TNCN)]]</f>
        <v>Từ 48 - 70 triệu VNĐ</v>
      </c>
      <c r="O181">
        <f>step3_validation[[#This Row],[Dependents]]</f>
        <v>1</v>
      </c>
      <c r="P181" t="str">
        <f>survey_responses[[#This Row],[Số người phụ thuộc (con nhỏ, cha mẹ già...) đủ điều kiện giảm trừ gia cảnh:]]</f>
        <v>1 người</v>
      </c>
      <c r="Q181">
        <f>step3_validation[[#This Row],[AI_ENF1]]</f>
        <v>7</v>
      </c>
      <c r="R181" t="str">
        <f t="shared" si="54"/>
        <v>Neutral</v>
      </c>
      <c r="S181">
        <f>survey_responses[[#This Row],[Tôi tin rằng với các quy định quản lý thuế hiện nay, hành vi gian lận hoặc trốn thuế sẽ dễ dàng bị phát hiện và xử lý nghiêm. - HUMAN-ENF1]]</f>
        <v>5</v>
      </c>
      <c r="T181" t="str">
        <f t="shared" si="55"/>
        <v>Neutral</v>
      </c>
      <c r="U181" s="32">
        <f t="shared" si="56"/>
        <v>2</v>
      </c>
      <c r="V181">
        <f>step3_validation[[#This Row],[AI_ENF2]]</f>
        <v>8</v>
      </c>
      <c r="W181" t="str">
        <f t="shared" si="57"/>
        <v>Support</v>
      </c>
      <c r="X181">
        <f>survey_responses[[#This Row],[Tôi tin rằng Nhà nước, cơ quan thuế có đủ khả năng và công nghệ để phát hiện, xử lý nghiêm các hành vi trốn thuế. - HUMAN-ENF2]]</f>
        <v>5</v>
      </c>
      <c r="Y181" t="str">
        <f t="shared" si="58"/>
        <v>Neutral</v>
      </c>
      <c r="Z181" s="32">
        <f t="shared" si="59"/>
        <v>3</v>
      </c>
      <c r="AA181">
        <f>step3_validation[[#This Row],[AI_FAC1]]</f>
        <v>9</v>
      </c>
      <c r="AB181" t="str">
        <f t="shared" si="60"/>
        <v>Support</v>
      </c>
      <c r="AC181">
        <f>survey_responses[[#This Row],[Các thủ tục khai báo thuế VÀ/HOẶC quy trình làm việc với cơ quan thuế đơn giản, tiện lợi, nhanh chóng hơn so với trước đây. - HUMAN-FAC1]]</f>
        <v>5</v>
      </c>
      <c r="AD181" t="str">
        <f t="shared" si="61"/>
        <v>Neutral</v>
      </c>
      <c r="AE181" s="32">
        <f t="shared" si="62"/>
        <v>4</v>
      </c>
      <c r="AF181">
        <f>step3_validation[[#This Row],[AI_FAC2]]</f>
        <v>9</v>
      </c>
      <c r="AG181" t="str">
        <f t="shared" si="63"/>
        <v>Support</v>
      </c>
      <c r="AH181">
        <f>survey_responses[[#This Row],[So với trước đây, tôi thấy cách tính thuế và các bậc thuế trong phương án mới đơn giản, dễ hiểu và dễ thực hiện hơn. - HUMAN-FAC2]]</f>
        <v>7</v>
      </c>
      <c r="AI181" t="str">
        <f t="shared" si="64"/>
        <v>Neutral</v>
      </c>
      <c r="AJ181" s="32">
        <f t="shared" si="65"/>
        <v>2</v>
      </c>
      <c r="AK181">
        <f>step3_validation[[#This Row],[AI_TRU1]]</f>
        <v>8</v>
      </c>
      <c r="AL181" t="str">
        <f t="shared" si="66"/>
        <v>Support</v>
      </c>
      <c r="AM181">
        <f>survey_responses[[#This Row],[Tôi tin rằng Nhà nước, cơ quan thuế sẽ thực thi chính sách mới một cách khách quan, công tâm và đối xử bình đẳng với mọi người nộp thuế.  - HUMAN-TRU1]]</f>
        <v>5</v>
      </c>
      <c r="AN181" t="str">
        <f t="shared" si="67"/>
        <v>Neutral</v>
      </c>
      <c r="AO181" s="32">
        <f t="shared" si="68"/>
        <v>3</v>
      </c>
      <c r="AP181">
        <f>step3_validation[[#This Row],[AI_TRU2]]</f>
        <v>9</v>
      </c>
      <c r="AQ181" t="str">
        <f t="shared" si="69"/>
        <v>Support</v>
      </c>
      <c r="AR181">
        <f>survey_responses[[#This Row],[Tôi thấy mức thuế tôi phải đóng theo phương án mới là công bằng (người thu nhập như tôi đóng mức này là hợp lý). - HUMAN-TRU2]]</f>
        <v>6</v>
      </c>
      <c r="AS181" t="str">
        <f t="shared" si="70"/>
        <v>Neutral</v>
      </c>
      <c r="AT181" s="32">
        <f t="shared" si="71"/>
        <v>3</v>
      </c>
      <c r="AU181">
        <f>step3_validation[[#This Row],[AI_TRU3]]</f>
        <v>8</v>
      </c>
      <c r="AV181" t="str">
        <f t="shared" si="72"/>
        <v>Support</v>
      </c>
      <c r="AW181">
        <f>survey_responses[[#This Row],[Tôi tin tưởng số tiền thuế tôi đóng sẽ được Nhà nước sử dụng hiệu quả để cải thiện dịch vụ công (y tế, đường xá...). - HUMAN-TRU3]]</f>
        <v>5</v>
      </c>
      <c r="AX181" t="str">
        <f t="shared" si="73"/>
        <v>Neutral</v>
      </c>
      <c r="AY181" s="32">
        <f t="shared" si="74"/>
        <v>3</v>
      </c>
      <c r="AZ181">
        <f>step3_validation[[#This Row],[AI_TRU4]]</f>
        <v>7</v>
      </c>
      <c r="BA181" t="str">
        <f t="shared" si="75"/>
        <v>Neutral</v>
      </c>
      <c r="BB181">
        <f>survey_responses[[#This Row],[Tôi thấy Nhà nước đã giải thích rõ ràng, minh bạch về lý do và mục tiêu của việc sửa đổi thuế lần này. - HUMAN-TRU4]]</f>
        <v>7</v>
      </c>
      <c r="BC181" t="str">
        <f t="shared" si="76"/>
        <v>Neutral</v>
      </c>
      <c r="BD181" s="32">
        <f t="shared" si="77"/>
        <v>0</v>
      </c>
      <c r="BE181">
        <f>step3_validation[[#This Row],[AI_OUT1]]</f>
        <v>9</v>
      </c>
      <c r="BF181" t="str">
        <f t="shared" si="78"/>
        <v>Support</v>
      </c>
      <c r="BG181">
        <f>survey_responses[[#This Row],[Sau khi xem xét các quyền lợi và nghĩa vụ, bạn có ủng hộ và tuân thủ chính sách mới hiện nay? - HUMAN-OUT1]]</f>
        <v>7</v>
      </c>
      <c r="BH181" t="str">
        <f t="shared" si="79"/>
        <v>Neutral</v>
      </c>
      <c r="BI181" s="32">
        <f t="shared" si="80"/>
        <v>2</v>
      </c>
    </row>
    <row r="182" spans="1:61" x14ac:dyDescent="0.45">
      <c r="A182" s="30">
        <f>step3_validation[[#This Row],[Persona_ID]]</f>
        <v>181</v>
      </c>
      <c r="B182" s="31">
        <f>step3_validation[[#This Row],[Used_Seed]]</f>
        <v>181</v>
      </c>
      <c r="C182" t="str">
        <f>step3_validation[[#This Row],[Gender]]</f>
        <v>Nữ</v>
      </c>
      <c r="D182" t="str">
        <f>survey_responses[[#This Row],[Giới tính của bạn:]]</f>
        <v>Nữ</v>
      </c>
      <c r="E182" t="str">
        <f>step3_validation[[#This Row],[Age_Group]]</f>
        <v>30 - 39</v>
      </c>
      <c r="F182" t="str">
        <f>survey_responses[[#This Row],[Độ tuổi của bạn:]]</f>
        <v>30 - 39</v>
      </c>
      <c r="G182" t="str">
        <f>step3_validation[[#This Row],[Region]]</f>
        <v>Thành thị</v>
      </c>
      <c r="H182" t="str">
        <f>survey_responses[[#This Row],[Khu vực bạn đang sinh sống:]]</f>
        <v>Thành thị</v>
      </c>
      <c r="I182" t="str">
        <f>step3_validation[[#This Row],[Education]]</f>
        <v>Sau Đại học</v>
      </c>
      <c r="J182" t="str">
        <f>survey_responses[[#This Row],[Trình độ học vấn cao nhất:]]</f>
        <v>Sau Đại học</v>
      </c>
      <c r="K182" t="str">
        <f>step3_validation[[#This Row],[Employment]]</f>
        <v>Chính thức</v>
      </c>
      <c r="L182" t="str">
        <f>survey_responses[[#This Row],[Tình trạng việc làm chính:]]</f>
        <v>Khu vực chính thức (Có Hợp đồng lao động, đóng BHXH)</v>
      </c>
      <c r="M182">
        <f>step3_validation[[#This Row],[Income_Mil]]</f>
        <v>64.510814561887784</v>
      </c>
      <c r="N182" t="str">
        <f>survey_responses[[#This Row],[Thu nhập bình quân tháng theo Hợp đồng lao động của bạn là bao nhiêu? (Vui lòng điền tổng thu nhập trước khi khấu trừ các loại Bảo hiểm (BHXH, BHYT, BHTN) và Thuế TNCN)]]</f>
        <v>Từ 48 - 70 triệu VNĐ</v>
      </c>
      <c r="O182">
        <f>step3_validation[[#This Row],[Dependents]]</f>
        <v>2</v>
      </c>
      <c r="P182" t="str">
        <f>survey_responses[[#This Row],[Số người phụ thuộc (con nhỏ, cha mẹ già...) đủ điều kiện giảm trừ gia cảnh:]]</f>
        <v>2 người</v>
      </c>
      <c r="Q182">
        <f>step3_validation[[#This Row],[AI_ENF1]]</f>
        <v>6</v>
      </c>
      <c r="R182" t="str">
        <f t="shared" si="54"/>
        <v>Neutral</v>
      </c>
      <c r="S182">
        <f>survey_responses[[#This Row],[Tôi tin rằng với các quy định quản lý thuế hiện nay, hành vi gian lận hoặc trốn thuế sẽ dễ dàng bị phát hiện và xử lý nghiêm. - HUMAN-ENF1]]</f>
        <v>6</v>
      </c>
      <c r="T182" t="str">
        <f t="shared" si="55"/>
        <v>Neutral</v>
      </c>
      <c r="U182" s="32">
        <f t="shared" si="56"/>
        <v>0</v>
      </c>
      <c r="V182">
        <f>step3_validation[[#This Row],[AI_ENF2]]</f>
        <v>7</v>
      </c>
      <c r="W182" t="str">
        <f t="shared" si="57"/>
        <v>Neutral</v>
      </c>
      <c r="X182">
        <f>survey_responses[[#This Row],[Tôi tin rằng Nhà nước, cơ quan thuế có đủ khả năng và công nghệ để phát hiện, xử lý nghiêm các hành vi trốn thuế. - HUMAN-ENF2]]</f>
        <v>7</v>
      </c>
      <c r="Y182" t="str">
        <f t="shared" si="58"/>
        <v>Neutral</v>
      </c>
      <c r="Z182" s="32">
        <f t="shared" si="59"/>
        <v>0</v>
      </c>
      <c r="AA182">
        <f>step3_validation[[#This Row],[AI_FAC1]]</f>
        <v>9</v>
      </c>
      <c r="AB182" t="str">
        <f t="shared" si="60"/>
        <v>Support</v>
      </c>
      <c r="AC182">
        <f>survey_responses[[#This Row],[Các thủ tục khai báo thuế VÀ/HOẶC quy trình làm việc với cơ quan thuế đơn giản, tiện lợi, nhanh chóng hơn so với trước đây. - HUMAN-FAC1]]</f>
        <v>7</v>
      </c>
      <c r="AD182" t="str">
        <f t="shared" si="61"/>
        <v>Neutral</v>
      </c>
      <c r="AE182" s="32">
        <f t="shared" si="62"/>
        <v>2</v>
      </c>
      <c r="AF182">
        <f>step3_validation[[#This Row],[AI_FAC2]]</f>
        <v>10</v>
      </c>
      <c r="AG182" t="str">
        <f t="shared" si="63"/>
        <v>Support</v>
      </c>
      <c r="AH182">
        <f>survey_responses[[#This Row],[So với trước đây, tôi thấy cách tính thuế và các bậc thuế trong phương án mới đơn giản, dễ hiểu và dễ thực hiện hơn. - HUMAN-FAC2]]</f>
        <v>8</v>
      </c>
      <c r="AI182" t="str">
        <f t="shared" si="64"/>
        <v>Support</v>
      </c>
      <c r="AJ182" s="32">
        <f t="shared" si="65"/>
        <v>2</v>
      </c>
      <c r="AK182">
        <f>step3_validation[[#This Row],[AI_TRU1]]</f>
        <v>8</v>
      </c>
      <c r="AL182" t="str">
        <f t="shared" si="66"/>
        <v>Support</v>
      </c>
      <c r="AM182">
        <f>survey_responses[[#This Row],[Tôi tin rằng Nhà nước, cơ quan thuế sẽ thực thi chính sách mới một cách khách quan, công tâm và đối xử bình đẳng với mọi người nộp thuế.  - HUMAN-TRU1]]</f>
        <v>8</v>
      </c>
      <c r="AN182" t="str">
        <f t="shared" si="67"/>
        <v>Support</v>
      </c>
      <c r="AO182" s="32">
        <f t="shared" si="68"/>
        <v>0</v>
      </c>
      <c r="AP182">
        <f>step3_validation[[#This Row],[AI_TRU2]]</f>
        <v>9</v>
      </c>
      <c r="AQ182" t="str">
        <f t="shared" si="69"/>
        <v>Support</v>
      </c>
      <c r="AR182">
        <f>survey_responses[[#This Row],[Tôi thấy mức thuế tôi phải đóng theo phương án mới là công bằng (người thu nhập như tôi đóng mức này là hợp lý). - HUMAN-TRU2]]</f>
        <v>7</v>
      </c>
      <c r="AS182" t="str">
        <f t="shared" si="70"/>
        <v>Neutral</v>
      </c>
      <c r="AT182" s="32">
        <f t="shared" si="71"/>
        <v>2</v>
      </c>
      <c r="AU182">
        <f>step3_validation[[#This Row],[AI_TRU3]]</f>
        <v>7</v>
      </c>
      <c r="AV182" t="str">
        <f t="shared" si="72"/>
        <v>Neutral</v>
      </c>
      <c r="AW182">
        <f>survey_responses[[#This Row],[Tôi tin tưởng số tiền thuế tôi đóng sẽ được Nhà nước sử dụng hiệu quả để cải thiện dịch vụ công (y tế, đường xá...). - HUMAN-TRU3]]</f>
        <v>5</v>
      </c>
      <c r="AX182" t="str">
        <f t="shared" si="73"/>
        <v>Neutral</v>
      </c>
      <c r="AY182" s="32">
        <f t="shared" si="74"/>
        <v>2</v>
      </c>
      <c r="AZ182">
        <f>step3_validation[[#This Row],[AI_TRU4]]</f>
        <v>6</v>
      </c>
      <c r="BA182" t="str">
        <f t="shared" si="75"/>
        <v>Neutral</v>
      </c>
      <c r="BB182">
        <f>survey_responses[[#This Row],[Tôi thấy Nhà nước đã giải thích rõ ràng, minh bạch về lý do và mục tiêu của việc sửa đổi thuế lần này. - HUMAN-TRU4]]</f>
        <v>7</v>
      </c>
      <c r="BC182" t="str">
        <f t="shared" si="76"/>
        <v>Neutral</v>
      </c>
      <c r="BD182" s="32">
        <f t="shared" si="77"/>
        <v>1</v>
      </c>
      <c r="BE182">
        <f>step3_validation[[#This Row],[AI_OUT1]]</f>
        <v>8</v>
      </c>
      <c r="BF182" t="str">
        <f t="shared" si="78"/>
        <v>Support</v>
      </c>
      <c r="BG182">
        <f>survey_responses[[#This Row],[Sau khi xem xét các quyền lợi và nghĩa vụ, bạn có ủng hộ và tuân thủ chính sách mới hiện nay? - HUMAN-OUT1]]</f>
        <v>7</v>
      </c>
      <c r="BH182" t="str">
        <f t="shared" si="79"/>
        <v>Neutral</v>
      </c>
      <c r="BI182" s="32">
        <f t="shared" si="80"/>
        <v>1</v>
      </c>
    </row>
    <row r="183" spans="1:61" x14ac:dyDescent="0.45">
      <c r="A183" s="30">
        <f>step3_validation[[#This Row],[Persona_ID]]</f>
        <v>182</v>
      </c>
      <c r="B183" s="31">
        <f>step3_validation[[#This Row],[Used_Seed]]</f>
        <v>182</v>
      </c>
      <c r="C183" t="str">
        <f>step3_validation[[#This Row],[Gender]]</f>
        <v>Nữ</v>
      </c>
      <c r="D183" t="str">
        <f>survey_responses[[#This Row],[Giới tính của bạn:]]</f>
        <v>Nữ</v>
      </c>
      <c r="E183" t="str">
        <f>step3_validation[[#This Row],[Age_Group]]</f>
        <v>25 - 29</v>
      </c>
      <c r="F183" t="str">
        <f>survey_responses[[#This Row],[Độ tuổi của bạn:]]</f>
        <v>25 - 29</v>
      </c>
      <c r="G183" t="str">
        <f>step3_validation[[#This Row],[Region]]</f>
        <v>Thành thị</v>
      </c>
      <c r="H183" t="str">
        <f>survey_responses[[#This Row],[Khu vực bạn đang sinh sống:]]</f>
        <v>Thành thị</v>
      </c>
      <c r="I183" t="str">
        <f>step3_validation[[#This Row],[Education]]</f>
        <v>Đại học</v>
      </c>
      <c r="J183" t="str">
        <f>survey_responses[[#This Row],[Trình độ học vấn cao nhất:]]</f>
        <v>Đại học</v>
      </c>
      <c r="K183" t="str">
        <f>step3_validation[[#This Row],[Employment]]</f>
        <v>Chính thức</v>
      </c>
      <c r="L183" t="str">
        <f>survey_responses[[#This Row],[Tình trạng việc làm chính:]]</f>
        <v>Khu vực chính thức (Có Hợp đồng lao động, đóng BHXH)</v>
      </c>
      <c r="M183">
        <f>step3_validation[[#This Row],[Income_Mil]]</f>
        <v>24.327818242433288</v>
      </c>
      <c r="N183" t="str">
        <f>survey_responses[[#This Row],[Thu nhập bình quân tháng theo Hợp đồng lao động của bạn là bao nhiêu? (Vui lòng điền tổng thu nhập trước khi khấu trừ các loại Bảo hiểm (BHXH, BHYT, BHTN) và Thuế TNCN)]]</f>
        <v>Từ 23 - 32 triệu VNĐ</v>
      </c>
      <c r="O183">
        <f>step3_validation[[#This Row],[Dependents]]</f>
        <v>0</v>
      </c>
      <c r="P183" t="str">
        <f>survey_responses[[#This Row],[Số người phụ thuộc (con nhỏ, cha mẹ già...) đủ điều kiện giảm trừ gia cảnh:]]</f>
        <v>0 người</v>
      </c>
      <c r="Q183">
        <f>step3_validation[[#This Row],[AI_ENF1]]</f>
        <v>9</v>
      </c>
      <c r="R183" t="str">
        <f t="shared" si="54"/>
        <v>Support</v>
      </c>
      <c r="S183">
        <f>survey_responses[[#This Row],[Tôi tin rằng với các quy định quản lý thuế hiện nay, hành vi gian lận hoặc trốn thuế sẽ dễ dàng bị phát hiện và xử lý nghiêm. - HUMAN-ENF1]]</f>
        <v>8</v>
      </c>
      <c r="T183" t="str">
        <f t="shared" si="55"/>
        <v>Support</v>
      </c>
      <c r="U183" s="32">
        <f t="shared" si="56"/>
        <v>1</v>
      </c>
      <c r="V183">
        <f>step3_validation[[#This Row],[AI_ENF2]]</f>
        <v>8</v>
      </c>
      <c r="W183" t="str">
        <f t="shared" si="57"/>
        <v>Support</v>
      </c>
      <c r="X183">
        <f>survey_responses[[#This Row],[Tôi tin rằng Nhà nước, cơ quan thuế có đủ khả năng và công nghệ để phát hiện, xử lý nghiêm các hành vi trốn thuế. - HUMAN-ENF2]]</f>
        <v>8</v>
      </c>
      <c r="Y183" t="str">
        <f t="shared" si="58"/>
        <v>Support</v>
      </c>
      <c r="Z183" s="32">
        <f t="shared" si="59"/>
        <v>0</v>
      </c>
      <c r="AA183">
        <f>step3_validation[[#This Row],[AI_FAC1]]</f>
        <v>9</v>
      </c>
      <c r="AB183" t="str">
        <f t="shared" si="60"/>
        <v>Support</v>
      </c>
      <c r="AC183">
        <f>survey_responses[[#This Row],[Các thủ tục khai báo thuế VÀ/HOẶC quy trình làm việc với cơ quan thuế đơn giản, tiện lợi, nhanh chóng hơn so với trước đây. - HUMAN-FAC1]]</f>
        <v>5</v>
      </c>
      <c r="AD183" t="str">
        <f t="shared" si="61"/>
        <v>Neutral</v>
      </c>
      <c r="AE183" s="32">
        <f t="shared" si="62"/>
        <v>4</v>
      </c>
      <c r="AF183">
        <f>step3_validation[[#This Row],[AI_FAC2]]</f>
        <v>9</v>
      </c>
      <c r="AG183" t="str">
        <f t="shared" si="63"/>
        <v>Support</v>
      </c>
      <c r="AH183">
        <f>survey_responses[[#This Row],[So với trước đây, tôi thấy cách tính thuế và các bậc thuế trong phương án mới đơn giản, dễ hiểu và dễ thực hiện hơn. - HUMAN-FAC2]]</f>
        <v>8</v>
      </c>
      <c r="AI183" t="str">
        <f t="shared" si="64"/>
        <v>Support</v>
      </c>
      <c r="AJ183" s="32">
        <f t="shared" si="65"/>
        <v>1</v>
      </c>
      <c r="AK183">
        <f>step3_validation[[#This Row],[AI_TRU1]]</f>
        <v>9</v>
      </c>
      <c r="AL183" t="str">
        <f t="shared" si="66"/>
        <v>Support</v>
      </c>
      <c r="AM183">
        <f>survey_responses[[#This Row],[Tôi tin rằng Nhà nước, cơ quan thuế sẽ thực thi chính sách mới một cách khách quan, công tâm và đối xử bình đẳng với mọi người nộp thuế.  - HUMAN-TRU1]]</f>
        <v>6</v>
      </c>
      <c r="AN183" t="str">
        <f t="shared" si="67"/>
        <v>Neutral</v>
      </c>
      <c r="AO183" s="32">
        <f t="shared" si="68"/>
        <v>3</v>
      </c>
      <c r="AP183">
        <f>step3_validation[[#This Row],[AI_TRU2]]</f>
        <v>8</v>
      </c>
      <c r="AQ183" t="str">
        <f t="shared" si="69"/>
        <v>Support</v>
      </c>
      <c r="AR183">
        <f>survey_responses[[#This Row],[Tôi thấy mức thuế tôi phải đóng theo phương án mới là công bằng (người thu nhập như tôi đóng mức này là hợp lý). - HUMAN-TRU2]]</f>
        <v>8</v>
      </c>
      <c r="AS183" t="str">
        <f t="shared" si="70"/>
        <v>Support</v>
      </c>
      <c r="AT183" s="32">
        <f t="shared" si="71"/>
        <v>0</v>
      </c>
      <c r="AU183">
        <f>step3_validation[[#This Row],[AI_TRU3]]</f>
        <v>9</v>
      </c>
      <c r="AV183" t="str">
        <f t="shared" si="72"/>
        <v>Support</v>
      </c>
      <c r="AW183">
        <f>survey_responses[[#This Row],[Tôi tin tưởng số tiền thuế tôi đóng sẽ được Nhà nước sử dụng hiệu quả để cải thiện dịch vụ công (y tế, đường xá...). - HUMAN-TRU3]]</f>
        <v>6</v>
      </c>
      <c r="AX183" t="str">
        <f t="shared" si="73"/>
        <v>Neutral</v>
      </c>
      <c r="AY183" s="32">
        <f t="shared" si="74"/>
        <v>3</v>
      </c>
      <c r="AZ183">
        <f>step3_validation[[#This Row],[AI_TRU4]]</f>
        <v>9</v>
      </c>
      <c r="BA183" t="str">
        <f t="shared" si="75"/>
        <v>Support</v>
      </c>
      <c r="BB183">
        <f>survey_responses[[#This Row],[Tôi thấy Nhà nước đã giải thích rõ ràng, minh bạch về lý do và mục tiêu của việc sửa đổi thuế lần này. - HUMAN-TRU4]]</f>
        <v>7</v>
      </c>
      <c r="BC183" t="str">
        <f t="shared" si="76"/>
        <v>Neutral</v>
      </c>
      <c r="BD183" s="32">
        <f t="shared" si="77"/>
        <v>2</v>
      </c>
      <c r="BE183">
        <f>step3_validation[[#This Row],[AI_OUT1]]</f>
        <v>9</v>
      </c>
      <c r="BF183" t="str">
        <f t="shared" si="78"/>
        <v>Support</v>
      </c>
      <c r="BG183">
        <f>survey_responses[[#This Row],[Sau khi xem xét các quyền lợi và nghĩa vụ, bạn có ủng hộ và tuân thủ chính sách mới hiện nay? - HUMAN-OUT1]]</f>
        <v>7</v>
      </c>
      <c r="BH183" t="str">
        <f t="shared" si="79"/>
        <v>Neutral</v>
      </c>
      <c r="BI183" s="32">
        <f t="shared" si="80"/>
        <v>2</v>
      </c>
    </row>
    <row r="184" spans="1:61" x14ac:dyDescent="0.45">
      <c r="A184" s="30">
        <f>step3_validation[[#This Row],[Persona_ID]]</f>
        <v>183</v>
      </c>
      <c r="B184" s="31">
        <f>step3_validation[[#This Row],[Used_Seed]]</f>
        <v>183</v>
      </c>
      <c r="C184" t="str">
        <f>step3_validation[[#This Row],[Gender]]</f>
        <v>Nam</v>
      </c>
      <c r="D184" t="str">
        <f>survey_responses[[#This Row],[Giới tính của bạn:]]</f>
        <v>Nam</v>
      </c>
      <c r="E184" t="str">
        <f>step3_validation[[#This Row],[Age_Group]]</f>
        <v>55 - 64</v>
      </c>
      <c r="F184" t="str">
        <f>survey_responses[[#This Row],[Độ tuổi của bạn:]]</f>
        <v>55 - 64</v>
      </c>
      <c r="G184" t="str">
        <f>step3_validation[[#This Row],[Region]]</f>
        <v>Thành thị</v>
      </c>
      <c r="H184" t="str">
        <f>survey_responses[[#This Row],[Khu vực bạn đang sinh sống:]]</f>
        <v>Thành thị</v>
      </c>
      <c r="I184" t="str">
        <f>step3_validation[[#This Row],[Education]]</f>
        <v>Sau Đại học</v>
      </c>
      <c r="J184" t="str">
        <f>survey_responses[[#This Row],[Trình độ học vấn cao nhất:]]</f>
        <v>Sau Đại học</v>
      </c>
      <c r="K184" t="str">
        <f>step3_validation[[#This Row],[Employment]]</f>
        <v>Chính thức</v>
      </c>
      <c r="L184" t="str">
        <f>survey_responses[[#This Row],[Tình trạng việc làm chính:]]</f>
        <v>Khu vực chính thức (Có Hợp đồng lao động, đóng BHXH)</v>
      </c>
      <c r="M184">
        <f>step3_validation[[#This Row],[Income_Mil]]</f>
        <v>242.81408680964296</v>
      </c>
      <c r="N184" t="str">
        <f>survey_responses[[#This Row],[Thu nhập bình quân tháng theo Hợp đồng lao động của bạn là bao nhiêu? (Vui lòng điền tổng thu nhập trước khi khấu trừ các loại Bảo hiểm (BHXH, BHYT, BHTN) và Thuế TNCN)]]</f>
        <v>Trên 102 triệu VNĐ</v>
      </c>
      <c r="O184">
        <f>step3_validation[[#This Row],[Dependents]]</f>
        <v>3</v>
      </c>
      <c r="P184" t="str">
        <f>survey_responses[[#This Row],[Số người phụ thuộc (con nhỏ, cha mẹ già...) đủ điều kiện giảm trừ gia cảnh:]]</f>
        <v>3 người</v>
      </c>
      <c r="Q184">
        <f>step3_validation[[#This Row],[AI_ENF1]]</f>
        <v>8</v>
      </c>
      <c r="R184" t="str">
        <f t="shared" si="54"/>
        <v>Support</v>
      </c>
      <c r="S184">
        <f>survey_responses[[#This Row],[Tôi tin rằng với các quy định quản lý thuế hiện nay, hành vi gian lận hoặc trốn thuế sẽ dễ dàng bị phát hiện và xử lý nghiêm. - HUMAN-ENF1]]</f>
        <v>2</v>
      </c>
      <c r="T184" t="str">
        <f t="shared" si="55"/>
        <v>Oppose</v>
      </c>
      <c r="U184" s="32">
        <f t="shared" si="56"/>
        <v>6</v>
      </c>
      <c r="V184">
        <f>step3_validation[[#This Row],[AI_ENF2]]</f>
        <v>8</v>
      </c>
      <c r="W184" t="str">
        <f t="shared" si="57"/>
        <v>Support</v>
      </c>
      <c r="X184">
        <f>survey_responses[[#This Row],[Tôi tin rằng Nhà nước, cơ quan thuế có đủ khả năng và công nghệ để phát hiện, xử lý nghiêm các hành vi trốn thuế. - HUMAN-ENF2]]</f>
        <v>5</v>
      </c>
      <c r="Y184" t="str">
        <f t="shared" si="58"/>
        <v>Neutral</v>
      </c>
      <c r="Z184" s="32">
        <f t="shared" si="59"/>
        <v>3</v>
      </c>
      <c r="AA184">
        <f>step3_validation[[#This Row],[AI_FAC1]]</f>
        <v>7</v>
      </c>
      <c r="AB184" t="str">
        <f t="shared" si="60"/>
        <v>Neutral</v>
      </c>
      <c r="AC184">
        <f>survey_responses[[#This Row],[Các thủ tục khai báo thuế VÀ/HOẶC quy trình làm việc với cơ quan thuế đơn giản, tiện lợi, nhanh chóng hơn so với trước đây. - HUMAN-FAC1]]</f>
        <v>3</v>
      </c>
      <c r="AD184" t="str">
        <f t="shared" si="61"/>
        <v>Oppose</v>
      </c>
      <c r="AE184" s="32">
        <f t="shared" si="62"/>
        <v>4</v>
      </c>
      <c r="AF184">
        <f>step3_validation[[#This Row],[AI_FAC2]]</f>
        <v>9</v>
      </c>
      <c r="AG184" t="str">
        <f t="shared" si="63"/>
        <v>Support</v>
      </c>
      <c r="AH184">
        <f>survey_responses[[#This Row],[So với trước đây, tôi thấy cách tính thuế và các bậc thuế trong phương án mới đơn giản, dễ hiểu và dễ thực hiện hơn. - HUMAN-FAC2]]</f>
        <v>5</v>
      </c>
      <c r="AI184" t="str">
        <f t="shared" si="64"/>
        <v>Neutral</v>
      </c>
      <c r="AJ184" s="32">
        <f t="shared" si="65"/>
        <v>4</v>
      </c>
      <c r="AK184">
        <f>step3_validation[[#This Row],[AI_TRU1]]</f>
        <v>8</v>
      </c>
      <c r="AL184" t="str">
        <f t="shared" si="66"/>
        <v>Support</v>
      </c>
      <c r="AM184">
        <f>survey_responses[[#This Row],[Tôi tin rằng Nhà nước, cơ quan thuế sẽ thực thi chính sách mới một cách khách quan, công tâm và đối xử bình đẳng với mọi người nộp thuế.  - HUMAN-TRU1]]</f>
        <v>3</v>
      </c>
      <c r="AN184" t="str">
        <f t="shared" si="67"/>
        <v>Oppose</v>
      </c>
      <c r="AO184" s="32">
        <f t="shared" si="68"/>
        <v>5</v>
      </c>
      <c r="AP184">
        <f>step3_validation[[#This Row],[AI_TRU2]]</f>
        <v>9</v>
      </c>
      <c r="AQ184" t="str">
        <f t="shared" si="69"/>
        <v>Support</v>
      </c>
      <c r="AR184">
        <f>survey_responses[[#This Row],[Tôi thấy mức thuế tôi phải đóng theo phương án mới là công bằng (người thu nhập như tôi đóng mức này là hợp lý). - HUMAN-TRU2]]</f>
        <v>2</v>
      </c>
      <c r="AS184" t="str">
        <f t="shared" si="70"/>
        <v>Oppose</v>
      </c>
      <c r="AT184" s="32">
        <f t="shared" si="71"/>
        <v>7</v>
      </c>
      <c r="AU184">
        <f>step3_validation[[#This Row],[AI_TRU3]]</f>
        <v>8</v>
      </c>
      <c r="AV184" t="str">
        <f t="shared" si="72"/>
        <v>Support</v>
      </c>
      <c r="AW184">
        <f>survey_responses[[#This Row],[Tôi tin tưởng số tiền thuế tôi đóng sẽ được Nhà nước sử dụng hiệu quả để cải thiện dịch vụ công (y tế, đường xá...). - HUMAN-TRU3]]</f>
        <v>1</v>
      </c>
      <c r="AX184" t="str">
        <f t="shared" si="73"/>
        <v>Oppose</v>
      </c>
      <c r="AY184" s="32">
        <f t="shared" si="74"/>
        <v>7</v>
      </c>
      <c r="AZ184">
        <f>step3_validation[[#This Row],[AI_TRU4]]</f>
        <v>7</v>
      </c>
      <c r="BA184" t="str">
        <f t="shared" si="75"/>
        <v>Neutral</v>
      </c>
      <c r="BB184">
        <f>survey_responses[[#This Row],[Tôi thấy Nhà nước đã giải thích rõ ràng, minh bạch về lý do và mục tiêu của việc sửa đổi thuế lần này. - HUMAN-TRU4]]</f>
        <v>5</v>
      </c>
      <c r="BC184" t="str">
        <f t="shared" si="76"/>
        <v>Neutral</v>
      </c>
      <c r="BD184" s="32">
        <f t="shared" si="77"/>
        <v>2</v>
      </c>
      <c r="BE184">
        <f>step3_validation[[#This Row],[AI_OUT1]]</f>
        <v>9</v>
      </c>
      <c r="BF184" t="str">
        <f t="shared" si="78"/>
        <v>Support</v>
      </c>
      <c r="BG184">
        <f>survey_responses[[#This Row],[Sau khi xem xét các quyền lợi và nghĩa vụ, bạn có ủng hộ và tuân thủ chính sách mới hiện nay? - HUMAN-OUT1]]</f>
        <v>5</v>
      </c>
      <c r="BH184" t="str">
        <f t="shared" si="79"/>
        <v>Neutral</v>
      </c>
      <c r="BI184" s="32">
        <f t="shared" si="80"/>
        <v>4</v>
      </c>
    </row>
    <row r="185" spans="1:61" x14ac:dyDescent="0.45">
      <c r="A185" s="30">
        <f>step3_validation[[#This Row],[Persona_ID]]</f>
        <v>184</v>
      </c>
      <c r="B185" s="31">
        <f>step3_validation[[#This Row],[Used_Seed]]</f>
        <v>184</v>
      </c>
      <c r="C185" t="str">
        <f>step3_validation[[#This Row],[Gender]]</f>
        <v>Nam</v>
      </c>
      <c r="D185" t="str">
        <f>survey_responses[[#This Row],[Giới tính của bạn:]]</f>
        <v>Nam</v>
      </c>
      <c r="E185" t="str">
        <f>step3_validation[[#This Row],[Age_Group]]</f>
        <v>18 - 24</v>
      </c>
      <c r="F185" t="str">
        <f>survey_responses[[#This Row],[Độ tuổi của bạn:]]</f>
        <v>18 - 24</v>
      </c>
      <c r="G185" t="str">
        <f>step3_validation[[#This Row],[Region]]</f>
        <v>Thành thị</v>
      </c>
      <c r="H185" t="str">
        <f>survey_responses[[#This Row],[Khu vực bạn đang sinh sống:]]</f>
        <v>Thành thị</v>
      </c>
      <c r="I185" t="str">
        <f>step3_validation[[#This Row],[Education]]</f>
        <v>Đại học</v>
      </c>
      <c r="J185" t="str">
        <f>survey_responses[[#This Row],[Trình độ học vấn cao nhất:]]</f>
        <v>Đại học</v>
      </c>
      <c r="K185" t="str">
        <f>step3_validation[[#This Row],[Employment]]</f>
        <v>Chính thức</v>
      </c>
      <c r="L185" t="str">
        <f>survey_responses[[#This Row],[Tình trạng việc làm chính:]]</f>
        <v>Khu vực chính thức (Có Hợp đồng lao động, đóng BHXH)</v>
      </c>
      <c r="M185">
        <f>step3_validation[[#This Row],[Income_Mil]]</f>
        <v>12.088908296731857</v>
      </c>
      <c r="N185" t="str">
        <f>survey_responses[[#This Row],[Thu nhập bình quân tháng theo Hợp đồng lao động của bạn là bao nhiêu? (Vui lòng điền tổng thu nhập trước khi khấu trừ các loại Bảo hiểm (BHXH, BHYT, BHTN) và Thuế TNCN)]]</f>
        <v>Từ 12 - 18 triệu VNĐ</v>
      </c>
      <c r="O185">
        <f>step3_validation[[#This Row],[Dependents]]</f>
        <v>0</v>
      </c>
      <c r="P185" t="str">
        <f>survey_responses[[#This Row],[Số người phụ thuộc (con nhỏ, cha mẹ già...) đủ điều kiện giảm trừ gia cảnh:]]</f>
        <v>0 người</v>
      </c>
      <c r="Q185">
        <f>step3_validation[[#This Row],[AI_ENF1]]</f>
        <v>9</v>
      </c>
      <c r="R185" t="str">
        <f t="shared" si="54"/>
        <v>Support</v>
      </c>
      <c r="S185">
        <f>survey_responses[[#This Row],[Tôi tin rằng với các quy định quản lý thuế hiện nay, hành vi gian lận hoặc trốn thuế sẽ dễ dàng bị phát hiện và xử lý nghiêm. - HUMAN-ENF1]]</f>
        <v>6</v>
      </c>
      <c r="T185" t="str">
        <f t="shared" si="55"/>
        <v>Neutral</v>
      </c>
      <c r="U185" s="32">
        <f t="shared" si="56"/>
        <v>3</v>
      </c>
      <c r="V185">
        <f>step3_validation[[#This Row],[AI_ENF2]]</f>
        <v>8</v>
      </c>
      <c r="W185" t="str">
        <f t="shared" si="57"/>
        <v>Support</v>
      </c>
      <c r="X185">
        <f>survey_responses[[#This Row],[Tôi tin rằng Nhà nước, cơ quan thuế có đủ khả năng và công nghệ để phát hiện, xử lý nghiêm các hành vi trốn thuế. - HUMAN-ENF2]]</f>
        <v>6</v>
      </c>
      <c r="Y185" t="str">
        <f t="shared" si="58"/>
        <v>Neutral</v>
      </c>
      <c r="Z185" s="32">
        <f t="shared" si="59"/>
        <v>2</v>
      </c>
      <c r="AA185">
        <f>step3_validation[[#This Row],[AI_FAC1]]</f>
        <v>9</v>
      </c>
      <c r="AB185" t="str">
        <f t="shared" si="60"/>
        <v>Support</v>
      </c>
      <c r="AC185">
        <f>survey_responses[[#This Row],[Các thủ tục khai báo thuế VÀ/HOẶC quy trình làm việc với cơ quan thuế đơn giản, tiện lợi, nhanh chóng hơn so với trước đây. - HUMAN-FAC1]]</f>
        <v>5</v>
      </c>
      <c r="AD185" t="str">
        <f t="shared" si="61"/>
        <v>Neutral</v>
      </c>
      <c r="AE185" s="32">
        <f t="shared" si="62"/>
        <v>4</v>
      </c>
      <c r="AF185">
        <f>step3_validation[[#This Row],[AI_FAC2]]</f>
        <v>8</v>
      </c>
      <c r="AG185" t="str">
        <f t="shared" si="63"/>
        <v>Support</v>
      </c>
      <c r="AH185">
        <f>survey_responses[[#This Row],[So với trước đây, tôi thấy cách tính thuế và các bậc thuế trong phương án mới đơn giản, dễ hiểu và dễ thực hiện hơn. - HUMAN-FAC2]]</f>
        <v>9</v>
      </c>
      <c r="AI185" t="str">
        <f t="shared" si="64"/>
        <v>Support</v>
      </c>
      <c r="AJ185" s="32">
        <f t="shared" si="65"/>
        <v>1</v>
      </c>
      <c r="AK185">
        <f>step3_validation[[#This Row],[AI_TRU1]]</f>
        <v>9</v>
      </c>
      <c r="AL185" t="str">
        <f t="shared" si="66"/>
        <v>Support</v>
      </c>
      <c r="AM185">
        <f>survey_responses[[#This Row],[Tôi tin rằng Nhà nước, cơ quan thuế sẽ thực thi chính sách mới một cách khách quan, công tâm và đối xử bình đẳng với mọi người nộp thuế.  - HUMAN-TRU1]]</f>
        <v>7</v>
      </c>
      <c r="AN185" t="str">
        <f t="shared" si="67"/>
        <v>Neutral</v>
      </c>
      <c r="AO185" s="32">
        <f t="shared" si="68"/>
        <v>2</v>
      </c>
      <c r="AP185">
        <f>step3_validation[[#This Row],[AI_TRU2]]</f>
        <v>9</v>
      </c>
      <c r="AQ185" t="str">
        <f t="shared" si="69"/>
        <v>Support</v>
      </c>
      <c r="AR185">
        <f>survey_responses[[#This Row],[Tôi thấy mức thuế tôi phải đóng theo phương án mới là công bằng (người thu nhập như tôi đóng mức này là hợp lý). - HUMAN-TRU2]]</f>
        <v>8</v>
      </c>
      <c r="AS185" t="str">
        <f t="shared" si="70"/>
        <v>Support</v>
      </c>
      <c r="AT185" s="32">
        <f t="shared" si="71"/>
        <v>1</v>
      </c>
      <c r="AU185">
        <f>step3_validation[[#This Row],[AI_TRU3]]</f>
        <v>8</v>
      </c>
      <c r="AV185" t="str">
        <f t="shared" si="72"/>
        <v>Support</v>
      </c>
      <c r="AW185">
        <f>survey_responses[[#This Row],[Tôi tin tưởng số tiền thuế tôi đóng sẽ được Nhà nước sử dụng hiệu quả để cải thiện dịch vụ công (y tế, đường xá...). - HUMAN-TRU3]]</f>
        <v>5</v>
      </c>
      <c r="AX185" t="str">
        <f t="shared" si="73"/>
        <v>Neutral</v>
      </c>
      <c r="AY185" s="32">
        <f t="shared" si="74"/>
        <v>3</v>
      </c>
      <c r="AZ185">
        <f>step3_validation[[#This Row],[AI_TRU4]]</f>
        <v>9</v>
      </c>
      <c r="BA185" t="str">
        <f t="shared" si="75"/>
        <v>Support</v>
      </c>
      <c r="BB185">
        <f>survey_responses[[#This Row],[Tôi thấy Nhà nước đã giải thích rõ ràng, minh bạch về lý do và mục tiêu của việc sửa đổi thuế lần này. - HUMAN-TRU4]]</f>
        <v>7</v>
      </c>
      <c r="BC185" t="str">
        <f t="shared" si="76"/>
        <v>Neutral</v>
      </c>
      <c r="BD185" s="32">
        <f t="shared" si="77"/>
        <v>2</v>
      </c>
      <c r="BE185">
        <f>step3_validation[[#This Row],[AI_OUT1]]</f>
        <v>8</v>
      </c>
      <c r="BF185" t="str">
        <f t="shared" si="78"/>
        <v>Support</v>
      </c>
      <c r="BG185">
        <f>survey_responses[[#This Row],[Sau khi xem xét các quyền lợi và nghĩa vụ, bạn có ủng hộ và tuân thủ chính sách mới hiện nay? - HUMAN-OUT1]]</f>
        <v>7</v>
      </c>
      <c r="BH185" t="str">
        <f t="shared" si="79"/>
        <v>Neutral</v>
      </c>
      <c r="BI185" s="32">
        <f t="shared" si="80"/>
        <v>1</v>
      </c>
    </row>
    <row r="186" spans="1:61" x14ac:dyDescent="0.45">
      <c r="A186" s="30">
        <f>step3_validation[[#This Row],[Persona_ID]]</f>
        <v>185</v>
      </c>
      <c r="B186" s="31">
        <f>step3_validation[[#This Row],[Used_Seed]]</f>
        <v>185</v>
      </c>
      <c r="C186" t="str">
        <f>step3_validation[[#This Row],[Gender]]</f>
        <v>Nữ</v>
      </c>
      <c r="D186" t="str">
        <f>survey_responses[[#This Row],[Giới tính của bạn:]]</f>
        <v>Nữ</v>
      </c>
      <c r="E186" t="str">
        <f>step3_validation[[#This Row],[Age_Group]]</f>
        <v>40 - 49</v>
      </c>
      <c r="F186" t="str">
        <f>survey_responses[[#This Row],[Độ tuổi của bạn:]]</f>
        <v>40 - 49</v>
      </c>
      <c r="G186" t="str">
        <f>step3_validation[[#This Row],[Region]]</f>
        <v>Nông thôn</v>
      </c>
      <c r="H186" t="str">
        <f>survey_responses[[#This Row],[Khu vực bạn đang sinh sống:]]</f>
        <v>Nông thôn</v>
      </c>
      <c r="I186" t="str">
        <f>step3_validation[[#This Row],[Education]]</f>
        <v>Đại học</v>
      </c>
      <c r="J186" t="str">
        <f>survey_responses[[#This Row],[Trình độ học vấn cao nhất:]]</f>
        <v>Đại học</v>
      </c>
      <c r="K186" t="str">
        <f>step3_validation[[#This Row],[Employment]]</f>
        <v>Phi chính thức</v>
      </c>
      <c r="L186" t="str">
        <f>survey_responses[[#This Row],[Tình trạng việc làm chính:]]</f>
        <v>Khu vực phi chính thức (Lao động tự do, không có HĐLĐ)</v>
      </c>
      <c r="M186">
        <f>step3_validation[[#This Row],[Income_Mil]]</f>
        <v>35.293671475084075</v>
      </c>
      <c r="N186" t="str">
        <f>survey_responses[[#This Row],[Thu nhập bình quân tháng theo Hợp đồng lao động của bạn là bao nhiêu? (Vui lòng điền tổng thu nhập trước khi khấu trừ các loại Bảo hiểm (BHXH, BHYT, BHTN) và Thuế TNCN)]]</f>
        <v>Từ 32 - 48 triệu VNĐ</v>
      </c>
      <c r="O186">
        <f>step3_validation[[#This Row],[Dependents]]</f>
        <v>3</v>
      </c>
      <c r="P186" t="str">
        <f>survey_responses[[#This Row],[Số người phụ thuộc (con nhỏ, cha mẹ già...) đủ điều kiện giảm trừ gia cảnh:]]</f>
        <v>3 người</v>
      </c>
      <c r="Q186">
        <f>step3_validation[[#This Row],[AI_ENF1]]</f>
        <v>6</v>
      </c>
      <c r="R186" t="str">
        <f t="shared" si="54"/>
        <v>Neutral</v>
      </c>
      <c r="S186">
        <f>survey_responses[[#This Row],[Tôi tin rằng với các quy định quản lý thuế hiện nay, hành vi gian lận hoặc trốn thuế sẽ dễ dàng bị phát hiện và xử lý nghiêm. - HUMAN-ENF1]]</f>
        <v>7</v>
      </c>
      <c r="T186" t="str">
        <f t="shared" si="55"/>
        <v>Neutral</v>
      </c>
      <c r="U186" s="32">
        <f t="shared" si="56"/>
        <v>1</v>
      </c>
      <c r="V186">
        <f>step3_validation[[#This Row],[AI_ENF2]]</f>
        <v>8</v>
      </c>
      <c r="W186" t="str">
        <f t="shared" si="57"/>
        <v>Support</v>
      </c>
      <c r="X186">
        <f>survey_responses[[#This Row],[Tôi tin rằng Nhà nước, cơ quan thuế có đủ khả năng và công nghệ để phát hiện, xử lý nghiêm các hành vi trốn thuế. - HUMAN-ENF2]]</f>
        <v>7</v>
      </c>
      <c r="Y186" t="str">
        <f t="shared" si="58"/>
        <v>Neutral</v>
      </c>
      <c r="Z186" s="32">
        <f t="shared" si="59"/>
        <v>1</v>
      </c>
      <c r="AA186">
        <f>step3_validation[[#This Row],[AI_FAC1]]</f>
        <v>9</v>
      </c>
      <c r="AB186" t="str">
        <f t="shared" si="60"/>
        <v>Support</v>
      </c>
      <c r="AC186">
        <f>survey_responses[[#This Row],[Các thủ tục khai báo thuế VÀ/HOẶC quy trình làm việc với cơ quan thuế đơn giản, tiện lợi, nhanh chóng hơn so với trước đây. - HUMAN-FAC1]]</f>
        <v>6</v>
      </c>
      <c r="AD186" t="str">
        <f t="shared" si="61"/>
        <v>Neutral</v>
      </c>
      <c r="AE186" s="32">
        <f t="shared" si="62"/>
        <v>3</v>
      </c>
      <c r="AF186">
        <f>step3_validation[[#This Row],[AI_FAC2]]</f>
        <v>8</v>
      </c>
      <c r="AG186" t="str">
        <f t="shared" si="63"/>
        <v>Support</v>
      </c>
      <c r="AH186">
        <f>survey_responses[[#This Row],[So với trước đây, tôi thấy cách tính thuế và các bậc thuế trong phương án mới đơn giản, dễ hiểu và dễ thực hiện hơn. - HUMAN-FAC2]]</f>
        <v>8</v>
      </c>
      <c r="AI186" t="str">
        <f t="shared" si="64"/>
        <v>Support</v>
      </c>
      <c r="AJ186" s="32">
        <f t="shared" si="65"/>
        <v>0</v>
      </c>
      <c r="AK186">
        <f>step3_validation[[#This Row],[AI_TRU1]]</f>
        <v>9</v>
      </c>
      <c r="AL186" t="str">
        <f t="shared" si="66"/>
        <v>Support</v>
      </c>
      <c r="AM186">
        <f>survey_responses[[#This Row],[Tôi tin rằng Nhà nước, cơ quan thuế sẽ thực thi chính sách mới một cách khách quan, công tâm và đối xử bình đẳng với mọi người nộp thuế.  - HUMAN-TRU1]]</f>
        <v>5</v>
      </c>
      <c r="AN186" t="str">
        <f t="shared" si="67"/>
        <v>Neutral</v>
      </c>
      <c r="AO186" s="32">
        <f t="shared" si="68"/>
        <v>4</v>
      </c>
      <c r="AP186">
        <f>step3_validation[[#This Row],[AI_TRU2]]</f>
        <v>8</v>
      </c>
      <c r="AQ186" t="str">
        <f t="shared" si="69"/>
        <v>Support</v>
      </c>
      <c r="AR186">
        <f>survey_responses[[#This Row],[Tôi thấy mức thuế tôi phải đóng theo phương án mới là công bằng (người thu nhập như tôi đóng mức này là hợp lý). - HUMAN-TRU2]]</f>
        <v>5</v>
      </c>
      <c r="AS186" t="str">
        <f t="shared" si="70"/>
        <v>Neutral</v>
      </c>
      <c r="AT186" s="32">
        <f t="shared" si="71"/>
        <v>3</v>
      </c>
      <c r="AU186">
        <f>step3_validation[[#This Row],[AI_TRU3]]</f>
        <v>9</v>
      </c>
      <c r="AV186" t="str">
        <f t="shared" si="72"/>
        <v>Support</v>
      </c>
      <c r="AW186">
        <f>survey_responses[[#This Row],[Tôi tin tưởng số tiền thuế tôi đóng sẽ được Nhà nước sử dụng hiệu quả để cải thiện dịch vụ công (y tế, đường xá...). - HUMAN-TRU3]]</f>
        <v>5</v>
      </c>
      <c r="AX186" t="str">
        <f t="shared" si="73"/>
        <v>Neutral</v>
      </c>
      <c r="AY186" s="32">
        <f t="shared" si="74"/>
        <v>4</v>
      </c>
      <c r="AZ186">
        <f>step3_validation[[#This Row],[AI_TRU4]]</f>
        <v>10</v>
      </c>
      <c r="BA186" t="str">
        <f t="shared" si="75"/>
        <v>Support</v>
      </c>
      <c r="BB186">
        <f>survey_responses[[#This Row],[Tôi thấy Nhà nước đã giải thích rõ ràng, minh bạch về lý do và mục tiêu của việc sửa đổi thuế lần này. - HUMAN-TRU4]]</f>
        <v>6</v>
      </c>
      <c r="BC186" t="str">
        <f t="shared" si="76"/>
        <v>Neutral</v>
      </c>
      <c r="BD186" s="32">
        <f t="shared" si="77"/>
        <v>4</v>
      </c>
      <c r="BE186">
        <f>step3_validation[[#This Row],[AI_OUT1]]</f>
        <v>9</v>
      </c>
      <c r="BF186" t="str">
        <f t="shared" si="78"/>
        <v>Support</v>
      </c>
      <c r="BG186">
        <f>survey_responses[[#This Row],[Sau khi xem xét các quyền lợi và nghĩa vụ, bạn có ủng hộ và tuân thủ chính sách mới hiện nay? - HUMAN-OUT1]]</f>
        <v>5</v>
      </c>
      <c r="BH186" t="str">
        <f t="shared" si="79"/>
        <v>Neutral</v>
      </c>
      <c r="BI186" s="32">
        <f t="shared" si="80"/>
        <v>4</v>
      </c>
    </row>
    <row r="187" spans="1:61" x14ac:dyDescent="0.45">
      <c r="A187" s="30">
        <f>step3_validation[[#This Row],[Persona_ID]]</f>
        <v>186</v>
      </c>
      <c r="B187" s="31">
        <f>step3_validation[[#This Row],[Used_Seed]]</f>
        <v>186</v>
      </c>
      <c r="C187" t="str">
        <f>step3_validation[[#This Row],[Gender]]</f>
        <v>Nữ</v>
      </c>
      <c r="D187" t="str">
        <f>survey_responses[[#This Row],[Giới tính của bạn:]]</f>
        <v>Nữ</v>
      </c>
      <c r="E187" t="str">
        <f>step3_validation[[#This Row],[Age_Group]]</f>
        <v>55 - 64</v>
      </c>
      <c r="F187" t="str">
        <f>survey_responses[[#This Row],[Độ tuổi của bạn:]]</f>
        <v>55 - 64</v>
      </c>
      <c r="G187" t="str">
        <f>step3_validation[[#This Row],[Region]]</f>
        <v>Thành thị</v>
      </c>
      <c r="H187" t="str">
        <f>survey_responses[[#This Row],[Khu vực bạn đang sinh sống:]]</f>
        <v>Thành thị</v>
      </c>
      <c r="I187" t="str">
        <f>step3_validation[[#This Row],[Education]]</f>
        <v>Đại học</v>
      </c>
      <c r="J187" t="str">
        <f>survey_responses[[#This Row],[Trình độ học vấn cao nhất:]]</f>
        <v>Đại học</v>
      </c>
      <c r="K187" t="str">
        <f>step3_validation[[#This Row],[Employment]]</f>
        <v>Phi chính thức</v>
      </c>
      <c r="L187" t="str">
        <f>survey_responses[[#This Row],[Tình trạng việc làm chính:]]</f>
        <v>Khác (Về hưu, nội trợ, sinh viên)</v>
      </c>
      <c r="M187">
        <f>step3_validation[[#This Row],[Income_Mil]]</f>
        <v>14.73627216463114</v>
      </c>
      <c r="N187" t="str">
        <f>survey_responses[[#This Row],[Thu nhập bình quân tháng theo Hợp đồng lao động của bạn là bao nhiêu? (Vui lòng điền tổng thu nhập trước khi khấu trừ các loại Bảo hiểm (BHXH, BHYT, BHTN) và Thuế TNCN)]]</f>
        <v>Từ 12 - 18 triệu VNĐ</v>
      </c>
      <c r="O187">
        <f>step3_validation[[#This Row],[Dependents]]</f>
        <v>0</v>
      </c>
      <c r="P187" t="str">
        <f>survey_responses[[#This Row],[Số người phụ thuộc (con nhỏ, cha mẹ già...) đủ điều kiện giảm trừ gia cảnh:]]</f>
        <v>0 người</v>
      </c>
      <c r="Q187">
        <f>step3_validation[[#This Row],[AI_ENF1]]</f>
        <v>5</v>
      </c>
      <c r="R187" t="str">
        <f t="shared" si="54"/>
        <v>Neutral</v>
      </c>
      <c r="S187">
        <f>survey_responses[[#This Row],[Tôi tin rằng với các quy định quản lý thuế hiện nay, hành vi gian lận hoặc trốn thuế sẽ dễ dàng bị phát hiện và xử lý nghiêm. - HUMAN-ENF1]]</f>
        <v>7</v>
      </c>
      <c r="T187" t="str">
        <f t="shared" si="55"/>
        <v>Neutral</v>
      </c>
      <c r="U187" s="32">
        <f t="shared" si="56"/>
        <v>2</v>
      </c>
      <c r="V187">
        <f>step3_validation[[#This Row],[AI_ENF2]]</f>
        <v>6</v>
      </c>
      <c r="W187" t="str">
        <f t="shared" si="57"/>
        <v>Neutral</v>
      </c>
      <c r="X187">
        <f>survey_responses[[#This Row],[Tôi tin rằng Nhà nước, cơ quan thuế có đủ khả năng và công nghệ để phát hiện, xử lý nghiêm các hành vi trốn thuế. - HUMAN-ENF2]]</f>
        <v>7</v>
      </c>
      <c r="Y187" t="str">
        <f t="shared" si="58"/>
        <v>Neutral</v>
      </c>
      <c r="Z187" s="32">
        <f t="shared" si="59"/>
        <v>1</v>
      </c>
      <c r="AA187">
        <f>step3_validation[[#This Row],[AI_FAC1]]</f>
        <v>8</v>
      </c>
      <c r="AB187" t="str">
        <f t="shared" si="60"/>
        <v>Support</v>
      </c>
      <c r="AC187">
        <f>survey_responses[[#This Row],[Các thủ tục khai báo thuế VÀ/HOẶC quy trình làm việc với cơ quan thuế đơn giản, tiện lợi, nhanh chóng hơn so với trước đây. - HUMAN-FAC1]]</f>
        <v>5</v>
      </c>
      <c r="AD187" t="str">
        <f t="shared" si="61"/>
        <v>Neutral</v>
      </c>
      <c r="AE187" s="32">
        <f t="shared" si="62"/>
        <v>3</v>
      </c>
      <c r="AF187">
        <f>step3_validation[[#This Row],[AI_FAC2]]</f>
        <v>7</v>
      </c>
      <c r="AG187" t="str">
        <f t="shared" si="63"/>
        <v>Neutral</v>
      </c>
      <c r="AH187">
        <f>survey_responses[[#This Row],[So với trước đây, tôi thấy cách tính thuế và các bậc thuế trong phương án mới đơn giản, dễ hiểu và dễ thực hiện hơn. - HUMAN-FAC2]]</f>
        <v>7</v>
      </c>
      <c r="AI187" t="str">
        <f t="shared" si="64"/>
        <v>Neutral</v>
      </c>
      <c r="AJ187" s="32">
        <f t="shared" si="65"/>
        <v>0</v>
      </c>
      <c r="AK187">
        <f>step3_validation[[#This Row],[AI_TRU1]]</f>
        <v>6</v>
      </c>
      <c r="AL187" t="str">
        <f t="shared" si="66"/>
        <v>Neutral</v>
      </c>
      <c r="AM187">
        <f>survey_responses[[#This Row],[Tôi tin rằng Nhà nước, cơ quan thuế sẽ thực thi chính sách mới một cách khách quan, công tâm và đối xử bình đẳng với mọi người nộp thuế.  - HUMAN-TRU1]]</f>
        <v>5</v>
      </c>
      <c r="AN187" t="str">
        <f t="shared" si="67"/>
        <v>Neutral</v>
      </c>
      <c r="AO187" s="32">
        <f t="shared" si="68"/>
        <v>1</v>
      </c>
      <c r="AP187">
        <f>step3_validation[[#This Row],[AI_TRU2]]</f>
        <v>9</v>
      </c>
      <c r="AQ187" t="str">
        <f t="shared" si="69"/>
        <v>Support</v>
      </c>
      <c r="AR187">
        <f>survey_responses[[#This Row],[Tôi thấy mức thuế tôi phải đóng theo phương án mới là công bằng (người thu nhập như tôi đóng mức này là hợp lý). - HUMAN-TRU2]]</f>
        <v>5</v>
      </c>
      <c r="AS187" t="str">
        <f t="shared" si="70"/>
        <v>Neutral</v>
      </c>
      <c r="AT187" s="32">
        <f t="shared" si="71"/>
        <v>4</v>
      </c>
      <c r="AU187">
        <f>step3_validation[[#This Row],[AI_TRU3]]</f>
        <v>8</v>
      </c>
      <c r="AV187" t="str">
        <f t="shared" si="72"/>
        <v>Support</v>
      </c>
      <c r="AW187">
        <f>survey_responses[[#This Row],[Tôi tin tưởng số tiền thuế tôi đóng sẽ được Nhà nước sử dụng hiệu quả để cải thiện dịch vụ công (y tế, đường xá...). - HUMAN-TRU3]]</f>
        <v>5</v>
      </c>
      <c r="AX187" t="str">
        <f t="shared" si="73"/>
        <v>Neutral</v>
      </c>
      <c r="AY187" s="32">
        <f t="shared" si="74"/>
        <v>3</v>
      </c>
      <c r="AZ187">
        <f>step3_validation[[#This Row],[AI_TRU4]]</f>
        <v>7</v>
      </c>
      <c r="BA187" t="str">
        <f t="shared" si="75"/>
        <v>Neutral</v>
      </c>
      <c r="BB187">
        <f>survey_responses[[#This Row],[Tôi thấy Nhà nước đã giải thích rõ ràng, minh bạch về lý do và mục tiêu của việc sửa đổi thuế lần này. - HUMAN-TRU4]]</f>
        <v>5</v>
      </c>
      <c r="BC187" t="str">
        <f t="shared" si="76"/>
        <v>Neutral</v>
      </c>
      <c r="BD187" s="32">
        <f t="shared" si="77"/>
        <v>2</v>
      </c>
      <c r="BE187">
        <f>step3_validation[[#This Row],[AI_OUT1]]</f>
        <v>9</v>
      </c>
      <c r="BF187" t="str">
        <f t="shared" si="78"/>
        <v>Support</v>
      </c>
      <c r="BG187">
        <f>survey_responses[[#This Row],[Sau khi xem xét các quyền lợi và nghĩa vụ, bạn có ủng hộ và tuân thủ chính sách mới hiện nay? - HUMAN-OUT1]]</f>
        <v>6</v>
      </c>
      <c r="BH187" t="str">
        <f t="shared" si="79"/>
        <v>Neutral</v>
      </c>
      <c r="BI187" s="32">
        <f t="shared" si="80"/>
        <v>3</v>
      </c>
    </row>
    <row r="188" spans="1:61" x14ac:dyDescent="0.45">
      <c r="A188" s="30">
        <f>step3_validation[[#This Row],[Persona_ID]]</f>
        <v>187</v>
      </c>
      <c r="B188" s="31">
        <f>step3_validation[[#This Row],[Used_Seed]]</f>
        <v>187</v>
      </c>
      <c r="C188" t="str">
        <f>step3_validation[[#This Row],[Gender]]</f>
        <v>Nam</v>
      </c>
      <c r="D188" t="str">
        <f>survey_responses[[#This Row],[Giới tính của bạn:]]</f>
        <v>Nam</v>
      </c>
      <c r="E188" t="str">
        <f>step3_validation[[#This Row],[Age_Group]]</f>
        <v>40 - 49</v>
      </c>
      <c r="F188" t="str">
        <f>survey_responses[[#This Row],[Độ tuổi của bạn:]]</f>
        <v>40 - 49</v>
      </c>
      <c r="G188" t="str">
        <f>step3_validation[[#This Row],[Region]]</f>
        <v>Thành thị</v>
      </c>
      <c r="H188" t="str">
        <f>survey_responses[[#This Row],[Khu vực bạn đang sinh sống:]]</f>
        <v>Thành thị</v>
      </c>
      <c r="I188" t="str">
        <f>step3_validation[[#This Row],[Education]]</f>
        <v>Sau Đại học</v>
      </c>
      <c r="J188" t="str">
        <f>survey_responses[[#This Row],[Trình độ học vấn cao nhất:]]</f>
        <v>Sau Đại học</v>
      </c>
      <c r="K188" t="str">
        <f>step3_validation[[#This Row],[Employment]]</f>
        <v>Chính thức</v>
      </c>
      <c r="L188" t="str">
        <f>survey_responses[[#This Row],[Tình trạng việc làm chính:]]</f>
        <v>Khu vực chính thức (Có Hợp đồng lao động, đóng BHXH)</v>
      </c>
      <c r="M188">
        <f>step3_validation[[#This Row],[Income_Mil]]</f>
        <v>35.813089483558045</v>
      </c>
      <c r="N188" t="str">
        <f>survey_responses[[#This Row],[Thu nhập bình quân tháng theo Hợp đồng lao động của bạn là bao nhiêu? (Vui lòng điền tổng thu nhập trước khi khấu trừ các loại Bảo hiểm (BHXH, BHYT, BHTN) và Thuế TNCN)]]</f>
        <v>Từ 32 - 48 triệu VNĐ</v>
      </c>
      <c r="O188">
        <f>step3_validation[[#This Row],[Dependents]]</f>
        <v>2</v>
      </c>
      <c r="P188" t="str">
        <f>survey_responses[[#This Row],[Số người phụ thuộc (con nhỏ, cha mẹ già...) đủ điều kiện giảm trừ gia cảnh:]]</f>
        <v>2 người</v>
      </c>
      <c r="Q188">
        <f>step3_validation[[#This Row],[AI_ENF1]]</f>
        <v>7</v>
      </c>
      <c r="R188" t="str">
        <f t="shared" si="54"/>
        <v>Neutral</v>
      </c>
      <c r="S188">
        <f>survey_responses[[#This Row],[Tôi tin rằng với các quy định quản lý thuế hiện nay, hành vi gian lận hoặc trốn thuế sẽ dễ dàng bị phát hiện và xử lý nghiêm. - HUMAN-ENF1]]</f>
        <v>6</v>
      </c>
      <c r="T188" t="str">
        <f t="shared" si="55"/>
        <v>Neutral</v>
      </c>
      <c r="U188" s="32">
        <f t="shared" si="56"/>
        <v>1</v>
      </c>
      <c r="V188">
        <f>step3_validation[[#This Row],[AI_ENF2]]</f>
        <v>8</v>
      </c>
      <c r="W188" t="str">
        <f t="shared" si="57"/>
        <v>Support</v>
      </c>
      <c r="X188">
        <f>survey_responses[[#This Row],[Tôi tin rằng Nhà nước, cơ quan thuế có đủ khả năng và công nghệ để phát hiện, xử lý nghiêm các hành vi trốn thuế. - HUMAN-ENF2]]</f>
        <v>7</v>
      </c>
      <c r="Y188" t="str">
        <f t="shared" si="58"/>
        <v>Neutral</v>
      </c>
      <c r="Z188" s="32">
        <f t="shared" si="59"/>
        <v>1</v>
      </c>
      <c r="AA188">
        <f>step3_validation[[#This Row],[AI_FAC1]]</f>
        <v>6</v>
      </c>
      <c r="AB188" t="str">
        <f t="shared" si="60"/>
        <v>Neutral</v>
      </c>
      <c r="AC188">
        <f>survey_responses[[#This Row],[Các thủ tục khai báo thuế VÀ/HOẶC quy trình làm việc với cơ quan thuế đơn giản, tiện lợi, nhanh chóng hơn so với trước đây. - HUMAN-FAC1]]</f>
        <v>6</v>
      </c>
      <c r="AD188" t="str">
        <f t="shared" si="61"/>
        <v>Neutral</v>
      </c>
      <c r="AE188" s="32">
        <f t="shared" si="62"/>
        <v>0</v>
      </c>
      <c r="AF188">
        <f>step3_validation[[#This Row],[AI_FAC2]]</f>
        <v>9</v>
      </c>
      <c r="AG188" t="str">
        <f t="shared" si="63"/>
        <v>Support</v>
      </c>
      <c r="AH188">
        <f>survey_responses[[#This Row],[So với trước đây, tôi thấy cách tính thuế và các bậc thuế trong phương án mới đơn giản, dễ hiểu và dễ thực hiện hơn. - HUMAN-FAC2]]</f>
        <v>7</v>
      </c>
      <c r="AI188" t="str">
        <f t="shared" si="64"/>
        <v>Neutral</v>
      </c>
      <c r="AJ188" s="32">
        <f t="shared" si="65"/>
        <v>2</v>
      </c>
      <c r="AK188">
        <f>step3_validation[[#This Row],[AI_TRU1]]</f>
        <v>8</v>
      </c>
      <c r="AL188" t="str">
        <f t="shared" si="66"/>
        <v>Support</v>
      </c>
      <c r="AM188">
        <f>survey_responses[[#This Row],[Tôi tin rằng Nhà nước, cơ quan thuế sẽ thực thi chính sách mới một cách khách quan, công tâm và đối xử bình đẳng với mọi người nộp thuế.  - HUMAN-TRU1]]</f>
        <v>6</v>
      </c>
      <c r="AN188" t="str">
        <f t="shared" si="67"/>
        <v>Neutral</v>
      </c>
      <c r="AO188" s="32">
        <f t="shared" si="68"/>
        <v>2</v>
      </c>
      <c r="AP188">
        <f>step3_validation[[#This Row],[AI_TRU2]]</f>
        <v>9</v>
      </c>
      <c r="AQ188" t="str">
        <f t="shared" si="69"/>
        <v>Support</v>
      </c>
      <c r="AR188">
        <f>survey_responses[[#This Row],[Tôi thấy mức thuế tôi phải đóng theo phương án mới là công bằng (người thu nhập như tôi đóng mức này là hợp lý). - HUMAN-TRU2]]</f>
        <v>6</v>
      </c>
      <c r="AS188" t="str">
        <f t="shared" si="70"/>
        <v>Neutral</v>
      </c>
      <c r="AT188" s="32">
        <f t="shared" si="71"/>
        <v>3</v>
      </c>
      <c r="AU188">
        <f>step3_validation[[#This Row],[AI_TRU3]]</f>
        <v>8</v>
      </c>
      <c r="AV188" t="str">
        <f t="shared" si="72"/>
        <v>Support</v>
      </c>
      <c r="AW188">
        <f>survey_responses[[#This Row],[Tôi tin tưởng số tiền thuế tôi đóng sẽ được Nhà nước sử dụng hiệu quả để cải thiện dịch vụ công (y tế, đường xá...). - HUMAN-TRU3]]</f>
        <v>5</v>
      </c>
      <c r="AX188" t="str">
        <f t="shared" si="73"/>
        <v>Neutral</v>
      </c>
      <c r="AY188" s="32">
        <f t="shared" si="74"/>
        <v>3</v>
      </c>
      <c r="AZ188">
        <f>step3_validation[[#This Row],[AI_TRU4]]</f>
        <v>7</v>
      </c>
      <c r="BA188" t="str">
        <f t="shared" si="75"/>
        <v>Neutral</v>
      </c>
      <c r="BB188">
        <f>survey_responses[[#This Row],[Tôi thấy Nhà nước đã giải thích rõ ràng, minh bạch về lý do và mục tiêu của việc sửa đổi thuế lần này. - HUMAN-TRU4]]</f>
        <v>5</v>
      </c>
      <c r="BC188" t="str">
        <f t="shared" si="76"/>
        <v>Neutral</v>
      </c>
      <c r="BD188" s="32">
        <f t="shared" si="77"/>
        <v>2</v>
      </c>
      <c r="BE188">
        <f>step3_validation[[#This Row],[AI_OUT1]]</f>
        <v>9</v>
      </c>
      <c r="BF188" t="str">
        <f t="shared" si="78"/>
        <v>Support</v>
      </c>
      <c r="BG188">
        <f>survey_responses[[#This Row],[Sau khi xem xét các quyền lợi và nghĩa vụ, bạn có ủng hộ và tuân thủ chính sách mới hiện nay? - HUMAN-OUT1]]</f>
        <v>6</v>
      </c>
      <c r="BH188" t="str">
        <f t="shared" si="79"/>
        <v>Neutral</v>
      </c>
      <c r="BI188" s="32">
        <f t="shared" si="80"/>
        <v>3</v>
      </c>
    </row>
    <row r="189" spans="1:61" x14ac:dyDescent="0.45">
      <c r="A189" s="30">
        <f>step3_validation[[#This Row],[Persona_ID]]</f>
        <v>188</v>
      </c>
      <c r="B189" s="31">
        <f>step3_validation[[#This Row],[Used_Seed]]</f>
        <v>188</v>
      </c>
      <c r="C189" t="str">
        <f>step3_validation[[#This Row],[Gender]]</f>
        <v>Nam</v>
      </c>
      <c r="D189" t="str">
        <f>survey_responses[[#This Row],[Giới tính của bạn:]]</f>
        <v>Nam</v>
      </c>
      <c r="E189" t="str">
        <f>step3_validation[[#This Row],[Age_Group]]</f>
        <v>25 - 29</v>
      </c>
      <c r="F189" t="str">
        <f>survey_responses[[#This Row],[Độ tuổi của bạn:]]</f>
        <v>25 - 29</v>
      </c>
      <c r="G189" t="str">
        <f>step3_validation[[#This Row],[Region]]</f>
        <v>Thành thị</v>
      </c>
      <c r="H189" t="str">
        <f>survey_responses[[#This Row],[Khu vực bạn đang sinh sống:]]</f>
        <v>Thành thị</v>
      </c>
      <c r="I189" t="str">
        <f>step3_validation[[#This Row],[Education]]</f>
        <v>Đại học</v>
      </c>
      <c r="J189" t="str">
        <f>survey_responses[[#This Row],[Trình độ học vấn cao nhất:]]</f>
        <v>Đại học</v>
      </c>
      <c r="K189" t="str">
        <f>step3_validation[[#This Row],[Employment]]</f>
        <v>Chính thức</v>
      </c>
      <c r="L189" t="str">
        <f>survey_responses[[#This Row],[Tình trạng việc làm chính:]]</f>
        <v>Khu vực chính thức (Có Hợp đồng lao động, đóng BHXH)</v>
      </c>
      <c r="M189">
        <f>step3_validation[[#This Row],[Income_Mil]]</f>
        <v>23.768887801891765</v>
      </c>
      <c r="N189" t="str">
        <f>survey_responses[[#This Row],[Thu nhập bình quân tháng theo Hợp đồng lao động của bạn là bao nhiêu? (Vui lòng điền tổng thu nhập trước khi khấu trừ các loại Bảo hiểm (BHXH, BHYT, BHTN) và Thuế TNCN)]]</f>
        <v>Từ 23 - 32 triệu VNĐ</v>
      </c>
      <c r="O189">
        <f>step3_validation[[#This Row],[Dependents]]</f>
        <v>1</v>
      </c>
      <c r="P189" t="str">
        <f>survey_responses[[#This Row],[Số người phụ thuộc (con nhỏ, cha mẹ già...) đủ điều kiện giảm trừ gia cảnh:]]</f>
        <v>1 người</v>
      </c>
      <c r="Q189">
        <f>step3_validation[[#This Row],[AI_ENF1]]</f>
        <v>7</v>
      </c>
      <c r="R189" t="str">
        <f t="shared" si="54"/>
        <v>Neutral</v>
      </c>
      <c r="S189">
        <f>survey_responses[[#This Row],[Tôi tin rằng với các quy định quản lý thuế hiện nay, hành vi gian lận hoặc trốn thuế sẽ dễ dàng bị phát hiện và xử lý nghiêm. - HUMAN-ENF1]]</f>
        <v>5</v>
      </c>
      <c r="T189" t="str">
        <f t="shared" si="55"/>
        <v>Neutral</v>
      </c>
      <c r="U189" s="32">
        <f t="shared" si="56"/>
        <v>2</v>
      </c>
      <c r="V189">
        <f>step3_validation[[#This Row],[AI_ENF2]]</f>
        <v>6</v>
      </c>
      <c r="W189" t="str">
        <f t="shared" si="57"/>
        <v>Neutral</v>
      </c>
      <c r="X189">
        <f>survey_responses[[#This Row],[Tôi tin rằng Nhà nước, cơ quan thuế có đủ khả năng và công nghệ để phát hiện, xử lý nghiêm các hành vi trốn thuế. - HUMAN-ENF2]]</f>
        <v>5</v>
      </c>
      <c r="Y189" t="str">
        <f t="shared" si="58"/>
        <v>Neutral</v>
      </c>
      <c r="Z189" s="32">
        <f t="shared" si="59"/>
        <v>1</v>
      </c>
      <c r="AA189">
        <f>step3_validation[[#This Row],[AI_FAC1]]</f>
        <v>8</v>
      </c>
      <c r="AB189" t="str">
        <f t="shared" si="60"/>
        <v>Support</v>
      </c>
      <c r="AC189">
        <f>survey_responses[[#This Row],[Các thủ tục khai báo thuế VÀ/HOẶC quy trình làm việc với cơ quan thuế đơn giản, tiện lợi, nhanh chóng hơn so với trước đây. - HUMAN-FAC1]]</f>
        <v>4</v>
      </c>
      <c r="AD189" t="str">
        <f t="shared" si="61"/>
        <v>Oppose</v>
      </c>
      <c r="AE189" s="32">
        <f t="shared" si="62"/>
        <v>4</v>
      </c>
      <c r="AF189">
        <f>step3_validation[[#This Row],[AI_FAC2]]</f>
        <v>9</v>
      </c>
      <c r="AG189" t="str">
        <f t="shared" si="63"/>
        <v>Support</v>
      </c>
      <c r="AH189">
        <f>survey_responses[[#This Row],[So với trước đây, tôi thấy cách tính thuế và các bậc thuế trong phương án mới đơn giản, dễ hiểu và dễ thực hiện hơn. - HUMAN-FAC2]]</f>
        <v>6</v>
      </c>
      <c r="AI189" t="str">
        <f t="shared" si="64"/>
        <v>Neutral</v>
      </c>
      <c r="AJ189" s="32">
        <f t="shared" si="65"/>
        <v>3</v>
      </c>
      <c r="AK189">
        <f>step3_validation[[#This Row],[AI_TRU1]]</f>
        <v>5</v>
      </c>
      <c r="AL189" t="str">
        <f t="shared" si="66"/>
        <v>Neutral</v>
      </c>
      <c r="AM189">
        <f>survey_responses[[#This Row],[Tôi tin rằng Nhà nước, cơ quan thuế sẽ thực thi chính sách mới một cách khách quan, công tâm và đối xử bình đẳng với mọi người nộp thuế.  - HUMAN-TRU1]]</f>
        <v>5</v>
      </c>
      <c r="AN189" t="str">
        <f t="shared" si="67"/>
        <v>Neutral</v>
      </c>
      <c r="AO189" s="32">
        <f t="shared" si="68"/>
        <v>0</v>
      </c>
      <c r="AP189">
        <f>step3_validation[[#This Row],[AI_TRU2]]</f>
        <v>9</v>
      </c>
      <c r="AQ189" t="str">
        <f t="shared" si="69"/>
        <v>Support</v>
      </c>
      <c r="AR189">
        <f>survey_responses[[#This Row],[Tôi thấy mức thuế tôi phải đóng theo phương án mới là công bằng (người thu nhập như tôi đóng mức này là hợp lý). - HUMAN-TRU2]]</f>
        <v>5</v>
      </c>
      <c r="AS189" t="str">
        <f t="shared" si="70"/>
        <v>Neutral</v>
      </c>
      <c r="AT189" s="32">
        <f t="shared" si="71"/>
        <v>4</v>
      </c>
      <c r="AU189">
        <f>step3_validation[[#This Row],[AI_TRU3]]</f>
        <v>6</v>
      </c>
      <c r="AV189" t="str">
        <f t="shared" si="72"/>
        <v>Neutral</v>
      </c>
      <c r="AW189">
        <f>survey_responses[[#This Row],[Tôi tin tưởng số tiền thuế tôi đóng sẽ được Nhà nước sử dụng hiệu quả để cải thiện dịch vụ công (y tế, đường xá...). - HUMAN-TRU3]]</f>
        <v>5</v>
      </c>
      <c r="AX189" t="str">
        <f t="shared" si="73"/>
        <v>Neutral</v>
      </c>
      <c r="AY189" s="32">
        <f t="shared" si="74"/>
        <v>1</v>
      </c>
      <c r="AZ189">
        <f>step3_validation[[#This Row],[AI_TRU4]]</f>
        <v>7</v>
      </c>
      <c r="BA189" t="str">
        <f t="shared" si="75"/>
        <v>Neutral</v>
      </c>
      <c r="BB189">
        <f>survey_responses[[#This Row],[Tôi thấy Nhà nước đã giải thích rõ ràng, minh bạch về lý do và mục tiêu của việc sửa đổi thuế lần này. - HUMAN-TRU4]]</f>
        <v>5</v>
      </c>
      <c r="BC189" t="str">
        <f t="shared" si="76"/>
        <v>Neutral</v>
      </c>
      <c r="BD189" s="32">
        <f t="shared" si="77"/>
        <v>2</v>
      </c>
      <c r="BE189">
        <f>step3_validation[[#This Row],[AI_OUT1]]</f>
        <v>8</v>
      </c>
      <c r="BF189" t="str">
        <f t="shared" si="78"/>
        <v>Support</v>
      </c>
      <c r="BG189">
        <f>survey_responses[[#This Row],[Sau khi xem xét các quyền lợi và nghĩa vụ, bạn có ủng hộ và tuân thủ chính sách mới hiện nay? - HUMAN-OUT1]]</f>
        <v>5</v>
      </c>
      <c r="BH189" t="str">
        <f t="shared" si="79"/>
        <v>Neutral</v>
      </c>
      <c r="BI189" s="32">
        <f t="shared" si="80"/>
        <v>3</v>
      </c>
    </row>
    <row r="190" spans="1:61" x14ac:dyDescent="0.45">
      <c r="A190" s="30">
        <f>step3_validation[[#This Row],[Persona_ID]]</f>
        <v>189</v>
      </c>
      <c r="B190" s="31">
        <f>step3_validation[[#This Row],[Used_Seed]]</f>
        <v>189</v>
      </c>
      <c r="C190" t="str">
        <f>step3_validation[[#This Row],[Gender]]</f>
        <v>Nam</v>
      </c>
      <c r="D190" t="str">
        <f>survey_responses[[#This Row],[Giới tính của bạn:]]</f>
        <v>Nam</v>
      </c>
      <c r="E190" t="str">
        <f>step3_validation[[#This Row],[Age_Group]]</f>
        <v>40 - 49</v>
      </c>
      <c r="F190" t="str">
        <f>survey_responses[[#This Row],[Độ tuổi của bạn:]]</f>
        <v>40 - 49</v>
      </c>
      <c r="G190" t="str">
        <f>step3_validation[[#This Row],[Region]]</f>
        <v>Thành thị</v>
      </c>
      <c r="H190" t="str">
        <f>survey_responses[[#This Row],[Khu vực bạn đang sinh sống:]]</f>
        <v>Thành thị</v>
      </c>
      <c r="I190" t="str">
        <f>step3_validation[[#This Row],[Education]]</f>
        <v>Đại học</v>
      </c>
      <c r="J190" t="str">
        <f>survey_responses[[#This Row],[Trình độ học vấn cao nhất:]]</f>
        <v>Đại học</v>
      </c>
      <c r="K190" t="str">
        <f>step3_validation[[#This Row],[Employment]]</f>
        <v>Chính thức</v>
      </c>
      <c r="L190" t="str">
        <f>survey_responses[[#This Row],[Tình trạng việc làm chính:]]</f>
        <v>Khu vực chính thức (Có Hợp đồng lao động, đóng BHXH)</v>
      </c>
      <c r="M190">
        <f>step3_validation[[#This Row],[Income_Mil]]</f>
        <v>58.224129325799318</v>
      </c>
      <c r="N190" t="str">
        <f>survey_responses[[#This Row],[Thu nhập bình quân tháng theo Hợp đồng lao động của bạn là bao nhiêu? (Vui lòng điền tổng thu nhập trước khi khấu trừ các loại Bảo hiểm (BHXH, BHYT, BHTN) và Thuế TNCN)]]</f>
        <v>Từ 48 - 70 triệu VNĐ</v>
      </c>
      <c r="O190">
        <f>step3_validation[[#This Row],[Dependents]]</f>
        <v>2</v>
      </c>
      <c r="P190" t="str">
        <f>survey_responses[[#This Row],[Số người phụ thuộc (con nhỏ, cha mẹ già...) đủ điều kiện giảm trừ gia cảnh:]]</f>
        <v>2 người</v>
      </c>
      <c r="Q190">
        <f>step3_validation[[#This Row],[AI_ENF1]]</f>
        <v>8</v>
      </c>
      <c r="R190" t="str">
        <f t="shared" si="54"/>
        <v>Support</v>
      </c>
      <c r="S190">
        <f>survey_responses[[#This Row],[Tôi tin rằng với các quy định quản lý thuế hiện nay, hành vi gian lận hoặc trốn thuế sẽ dễ dàng bị phát hiện và xử lý nghiêm. - HUMAN-ENF1]]</f>
        <v>8</v>
      </c>
      <c r="T190" t="str">
        <f t="shared" si="55"/>
        <v>Support</v>
      </c>
      <c r="U190" s="32">
        <f t="shared" si="56"/>
        <v>0</v>
      </c>
      <c r="V190">
        <f>step3_validation[[#This Row],[AI_ENF2]]</f>
        <v>7</v>
      </c>
      <c r="W190" t="str">
        <f t="shared" si="57"/>
        <v>Neutral</v>
      </c>
      <c r="X190">
        <f>survey_responses[[#This Row],[Tôi tin rằng Nhà nước, cơ quan thuế có đủ khả năng và công nghệ để phát hiện, xử lý nghiêm các hành vi trốn thuế. - HUMAN-ENF2]]</f>
        <v>8</v>
      </c>
      <c r="Y190" t="str">
        <f t="shared" si="58"/>
        <v>Support</v>
      </c>
      <c r="Z190" s="32">
        <f t="shared" si="59"/>
        <v>1</v>
      </c>
      <c r="AA190">
        <f>step3_validation[[#This Row],[AI_FAC1]]</f>
        <v>6</v>
      </c>
      <c r="AB190" t="str">
        <f t="shared" si="60"/>
        <v>Neutral</v>
      </c>
      <c r="AC190">
        <f>survey_responses[[#This Row],[Các thủ tục khai báo thuế VÀ/HOẶC quy trình làm việc với cơ quan thuế đơn giản, tiện lợi, nhanh chóng hơn so với trước đây. - HUMAN-FAC1]]</f>
        <v>5</v>
      </c>
      <c r="AD190" t="str">
        <f t="shared" si="61"/>
        <v>Neutral</v>
      </c>
      <c r="AE190" s="32">
        <f t="shared" si="62"/>
        <v>1</v>
      </c>
      <c r="AF190">
        <f>step3_validation[[#This Row],[AI_FAC2]]</f>
        <v>7</v>
      </c>
      <c r="AG190" t="str">
        <f t="shared" si="63"/>
        <v>Neutral</v>
      </c>
      <c r="AH190">
        <f>survey_responses[[#This Row],[So với trước đây, tôi thấy cách tính thuế và các bậc thuế trong phương án mới đơn giản, dễ hiểu và dễ thực hiện hơn. - HUMAN-FAC2]]</f>
        <v>7</v>
      </c>
      <c r="AI190" t="str">
        <f t="shared" si="64"/>
        <v>Neutral</v>
      </c>
      <c r="AJ190" s="32">
        <f t="shared" si="65"/>
        <v>0</v>
      </c>
      <c r="AK190">
        <f>step3_validation[[#This Row],[AI_TRU1]]</f>
        <v>8</v>
      </c>
      <c r="AL190" t="str">
        <f t="shared" si="66"/>
        <v>Support</v>
      </c>
      <c r="AM190">
        <f>survey_responses[[#This Row],[Tôi tin rằng Nhà nước, cơ quan thuế sẽ thực thi chính sách mới một cách khách quan, công tâm và đối xử bình đẳng với mọi người nộp thuế.  - HUMAN-TRU1]]</f>
        <v>6</v>
      </c>
      <c r="AN190" t="str">
        <f t="shared" si="67"/>
        <v>Neutral</v>
      </c>
      <c r="AO190" s="32">
        <f t="shared" si="68"/>
        <v>2</v>
      </c>
      <c r="AP190">
        <f>step3_validation[[#This Row],[AI_TRU2]]</f>
        <v>9</v>
      </c>
      <c r="AQ190" t="str">
        <f t="shared" si="69"/>
        <v>Support</v>
      </c>
      <c r="AR190">
        <f>survey_responses[[#This Row],[Tôi thấy mức thuế tôi phải đóng theo phương án mới là công bằng (người thu nhập như tôi đóng mức này là hợp lý). - HUMAN-TRU2]]</f>
        <v>8</v>
      </c>
      <c r="AS190" t="str">
        <f t="shared" si="70"/>
        <v>Support</v>
      </c>
      <c r="AT190" s="32">
        <f t="shared" si="71"/>
        <v>1</v>
      </c>
      <c r="AU190">
        <f>step3_validation[[#This Row],[AI_TRU3]]</f>
        <v>8</v>
      </c>
      <c r="AV190" t="str">
        <f t="shared" si="72"/>
        <v>Support</v>
      </c>
      <c r="AW190">
        <f>survey_responses[[#This Row],[Tôi tin tưởng số tiền thuế tôi đóng sẽ được Nhà nước sử dụng hiệu quả để cải thiện dịch vụ công (y tế, đường xá...). - HUMAN-TRU3]]</f>
        <v>5</v>
      </c>
      <c r="AX190" t="str">
        <f t="shared" si="73"/>
        <v>Neutral</v>
      </c>
      <c r="AY190" s="32">
        <f t="shared" si="74"/>
        <v>3</v>
      </c>
      <c r="AZ190">
        <f>step3_validation[[#This Row],[AI_TRU4]]</f>
        <v>6</v>
      </c>
      <c r="BA190" t="str">
        <f t="shared" si="75"/>
        <v>Neutral</v>
      </c>
      <c r="BB190">
        <f>survey_responses[[#This Row],[Tôi thấy Nhà nước đã giải thích rõ ràng, minh bạch về lý do và mục tiêu của việc sửa đổi thuế lần này. - HUMAN-TRU4]]</f>
        <v>7</v>
      </c>
      <c r="BC190" t="str">
        <f t="shared" si="76"/>
        <v>Neutral</v>
      </c>
      <c r="BD190" s="32">
        <f t="shared" si="77"/>
        <v>1</v>
      </c>
      <c r="BE190">
        <f>step3_validation[[#This Row],[AI_OUT1]]</f>
        <v>8</v>
      </c>
      <c r="BF190" t="str">
        <f t="shared" si="78"/>
        <v>Support</v>
      </c>
      <c r="BG190">
        <f>survey_responses[[#This Row],[Sau khi xem xét các quyền lợi và nghĩa vụ, bạn có ủng hộ và tuân thủ chính sách mới hiện nay? - HUMAN-OUT1]]</f>
        <v>8</v>
      </c>
      <c r="BH190" t="str">
        <f t="shared" si="79"/>
        <v>Support</v>
      </c>
      <c r="BI190" s="32">
        <f t="shared" si="80"/>
        <v>0</v>
      </c>
    </row>
    <row r="191" spans="1:61" x14ac:dyDescent="0.45">
      <c r="A191" s="30">
        <f>step3_validation[[#This Row],[Persona_ID]]</f>
        <v>190</v>
      </c>
      <c r="B191" s="31">
        <f>step3_validation[[#This Row],[Used_Seed]]</f>
        <v>190</v>
      </c>
      <c r="C191" t="str">
        <f>step3_validation[[#This Row],[Gender]]</f>
        <v>Nam</v>
      </c>
      <c r="D191" t="str">
        <f>survey_responses[[#This Row],[Giới tính của bạn:]]</f>
        <v>Nam</v>
      </c>
      <c r="E191" t="str">
        <f>step3_validation[[#This Row],[Age_Group]]</f>
        <v>25 - 29</v>
      </c>
      <c r="F191" t="str">
        <f>survey_responses[[#This Row],[Độ tuổi của bạn:]]</f>
        <v>25 - 29</v>
      </c>
      <c r="G191" t="str">
        <f>step3_validation[[#This Row],[Region]]</f>
        <v>Thành thị</v>
      </c>
      <c r="H191" t="str">
        <f>survey_responses[[#This Row],[Khu vực bạn đang sinh sống:]]</f>
        <v>Thành thị</v>
      </c>
      <c r="I191" t="str">
        <f>step3_validation[[#This Row],[Education]]</f>
        <v>Sau Đại học</v>
      </c>
      <c r="J191" t="str">
        <f>survey_responses[[#This Row],[Trình độ học vấn cao nhất:]]</f>
        <v>Sau Đại học</v>
      </c>
      <c r="K191" t="str">
        <f>step3_validation[[#This Row],[Employment]]</f>
        <v>Chính thức</v>
      </c>
      <c r="L191" t="str">
        <f>survey_responses[[#This Row],[Tình trạng việc làm chính:]]</f>
        <v>Khu vực chính thức (Có Hợp đồng lao động, đóng BHXH)</v>
      </c>
      <c r="M191">
        <f>step3_validation[[#This Row],[Income_Mil]]</f>
        <v>27.253152914906629</v>
      </c>
      <c r="N191" t="str">
        <f>survey_responses[[#This Row],[Thu nhập bình quân tháng theo Hợp đồng lao động của bạn là bao nhiêu? (Vui lòng điền tổng thu nhập trước khi khấu trừ các loại Bảo hiểm (BHXH, BHYT, BHTN) và Thuế TNCN)]]</f>
        <v>Từ 23 - 32 triệu VNĐ</v>
      </c>
      <c r="O191">
        <f>step3_validation[[#This Row],[Dependents]]</f>
        <v>0</v>
      </c>
      <c r="P191" t="str">
        <f>survey_responses[[#This Row],[Số người phụ thuộc (con nhỏ, cha mẹ già...) đủ điều kiện giảm trừ gia cảnh:]]</f>
        <v>0 người</v>
      </c>
      <c r="Q191">
        <f>step3_validation[[#This Row],[AI_ENF1]]</f>
        <v>8</v>
      </c>
      <c r="R191" t="str">
        <f t="shared" si="54"/>
        <v>Support</v>
      </c>
      <c r="S191">
        <f>survey_responses[[#This Row],[Tôi tin rằng với các quy định quản lý thuế hiện nay, hành vi gian lận hoặc trốn thuế sẽ dễ dàng bị phát hiện và xử lý nghiêm. - HUMAN-ENF1]]</f>
        <v>7</v>
      </c>
      <c r="T191" t="str">
        <f t="shared" si="55"/>
        <v>Neutral</v>
      </c>
      <c r="U191" s="32">
        <f t="shared" si="56"/>
        <v>1</v>
      </c>
      <c r="V191">
        <f>step3_validation[[#This Row],[AI_ENF2]]</f>
        <v>9</v>
      </c>
      <c r="W191" t="str">
        <f t="shared" si="57"/>
        <v>Support</v>
      </c>
      <c r="X191">
        <f>survey_responses[[#This Row],[Tôi tin rằng Nhà nước, cơ quan thuế có đủ khả năng và công nghệ để phát hiện, xử lý nghiêm các hành vi trốn thuế. - HUMAN-ENF2]]</f>
        <v>7</v>
      </c>
      <c r="Y191" t="str">
        <f t="shared" si="58"/>
        <v>Neutral</v>
      </c>
      <c r="Z191" s="32">
        <f t="shared" si="59"/>
        <v>2</v>
      </c>
      <c r="AA191">
        <f>step3_validation[[#This Row],[AI_FAC1]]</f>
        <v>8</v>
      </c>
      <c r="AB191" t="str">
        <f t="shared" si="60"/>
        <v>Support</v>
      </c>
      <c r="AC191">
        <f>survey_responses[[#This Row],[Các thủ tục khai báo thuế VÀ/HOẶC quy trình làm việc với cơ quan thuế đơn giản, tiện lợi, nhanh chóng hơn so với trước đây. - HUMAN-FAC1]]</f>
        <v>7</v>
      </c>
      <c r="AD191" t="str">
        <f t="shared" si="61"/>
        <v>Neutral</v>
      </c>
      <c r="AE191" s="32">
        <f t="shared" si="62"/>
        <v>1</v>
      </c>
      <c r="AF191">
        <f>step3_validation[[#This Row],[AI_FAC2]]</f>
        <v>9</v>
      </c>
      <c r="AG191" t="str">
        <f t="shared" si="63"/>
        <v>Support</v>
      </c>
      <c r="AH191">
        <f>survey_responses[[#This Row],[So với trước đây, tôi thấy cách tính thuế và các bậc thuế trong phương án mới đơn giản, dễ hiểu và dễ thực hiện hơn. - HUMAN-FAC2]]</f>
        <v>8</v>
      </c>
      <c r="AI191" t="str">
        <f t="shared" si="64"/>
        <v>Support</v>
      </c>
      <c r="AJ191" s="32">
        <f t="shared" si="65"/>
        <v>1</v>
      </c>
      <c r="AK191">
        <f>step3_validation[[#This Row],[AI_TRU1]]</f>
        <v>8</v>
      </c>
      <c r="AL191" t="str">
        <f t="shared" si="66"/>
        <v>Support</v>
      </c>
      <c r="AM191">
        <f>survey_responses[[#This Row],[Tôi tin rằng Nhà nước, cơ quan thuế sẽ thực thi chính sách mới một cách khách quan, công tâm và đối xử bình đẳng với mọi người nộp thuế.  - HUMAN-TRU1]]</f>
        <v>3</v>
      </c>
      <c r="AN191" t="str">
        <f t="shared" si="67"/>
        <v>Oppose</v>
      </c>
      <c r="AO191" s="32">
        <f t="shared" si="68"/>
        <v>5</v>
      </c>
      <c r="AP191">
        <f>step3_validation[[#This Row],[AI_TRU2]]</f>
        <v>9</v>
      </c>
      <c r="AQ191" t="str">
        <f t="shared" si="69"/>
        <v>Support</v>
      </c>
      <c r="AR191">
        <f>survey_responses[[#This Row],[Tôi thấy mức thuế tôi phải đóng theo phương án mới là công bằng (người thu nhập như tôi đóng mức này là hợp lý). - HUMAN-TRU2]]</f>
        <v>3</v>
      </c>
      <c r="AS191" t="str">
        <f t="shared" si="70"/>
        <v>Oppose</v>
      </c>
      <c r="AT191" s="32">
        <f t="shared" si="71"/>
        <v>6</v>
      </c>
      <c r="AU191">
        <f>step3_validation[[#This Row],[AI_TRU3]]</f>
        <v>8</v>
      </c>
      <c r="AV191" t="str">
        <f t="shared" si="72"/>
        <v>Support</v>
      </c>
      <c r="AW191">
        <f>survey_responses[[#This Row],[Tôi tin tưởng số tiền thuế tôi đóng sẽ được Nhà nước sử dụng hiệu quả để cải thiện dịch vụ công (y tế, đường xá...). - HUMAN-TRU3]]</f>
        <v>2</v>
      </c>
      <c r="AX191" t="str">
        <f t="shared" si="73"/>
        <v>Oppose</v>
      </c>
      <c r="AY191" s="32">
        <f t="shared" si="74"/>
        <v>6</v>
      </c>
      <c r="AZ191">
        <f>step3_validation[[#This Row],[AI_TRU4]]</f>
        <v>9</v>
      </c>
      <c r="BA191" t="str">
        <f t="shared" si="75"/>
        <v>Support</v>
      </c>
      <c r="BB191">
        <f>survey_responses[[#This Row],[Tôi thấy Nhà nước đã giải thích rõ ràng, minh bạch về lý do và mục tiêu của việc sửa đổi thuế lần này. - HUMAN-TRU4]]</f>
        <v>3</v>
      </c>
      <c r="BC191" t="str">
        <f t="shared" si="76"/>
        <v>Oppose</v>
      </c>
      <c r="BD191" s="32">
        <f t="shared" si="77"/>
        <v>6</v>
      </c>
      <c r="BE191">
        <f>step3_validation[[#This Row],[AI_OUT1]]</f>
        <v>9</v>
      </c>
      <c r="BF191" t="str">
        <f t="shared" si="78"/>
        <v>Support</v>
      </c>
      <c r="BG191">
        <f>survey_responses[[#This Row],[Sau khi xem xét các quyền lợi và nghĩa vụ, bạn có ủng hộ và tuân thủ chính sách mới hiện nay? - HUMAN-OUT1]]</f>
        <v>8</v>
      </c>
      <c r="BH191" t="str">
        <f t="shared" si="79"/>
        <v>Support</v>
      </c>
      <c r="BI191" s="32">
        <f t="shared" si="80"/>
        <v>1</v>
      </c>
    </row>
    <row r="192" spans="1:61" x14ac:dyDescent="0.45">
      <c r="A192" s="30">
        <f>step3_validation[[#This Row],[Persona_ID]]</f>
        <v>191</v>
      </c>
      <c r="B192" s="31">
        <f>step3_validation[[#This Row],[Used_Seed]]</f>
        <v>191</v>
      </c>
      <c r="C192" t="str">
        <f>step3_validation[[#This Row],[Gender]]</f>
        <v>Nam</v>
      </c>
      <c r="D192" t="str">
        <f>survey_responses[[#This Row],[Giới tính của bạn:]]</f>
        <v>Nam</v>
      </c>
      <c r="E192" t="str">
        <f>step3_validation[[#This Row],[Age_Group]]</f>
        <v>30 - 39</v>
      </c>
      <c r="F192" t="str">
        <f>survey_responses[[#This Row],[Độ tuổi của bạn:]]</f>
        <v>30 - 39</v>
      </c>
      <c r="G192" t="str">
        <f>step3_validation[[#This Row],[Region]]</f>
        <v>Thành thị</v>
      </c>
      <c r="H192" t="str">
        <f>survey_responses[[#This Row],[Khu vực bạn đang sinh sống:]]</f>
        <v>Thành thị</v>
      </c>
      <c r="I192" t="str">
        <f>step3_validation[[#This Row],[Education]]</f>
        <v>Sau Đại học</v>
      </c>
      <c r="J192" t="str">
        <f>survey_responses[[#This Row],[Trình độ học vấn cao nhất:]]</f>
        <v>Sau Đại học</v>
      </c>
      <c r="K192" t="str">
        <f>step3_validation[[#This Row],[Employment]]</f>
        <v>Chính thức</v>
      </c>
      <c r="L192" t="str">
        <f>survey_responses[[#This Row],[Tình trạng việc làm chính:]]</f>
        <v>Khu vực chính thức (Có Hợp đồng lao động, đóng BHXH)</v>
      </c>
      <c r="M192">
        <f>step3_validation[[#This Row],[Income_Mil]]</f>
        <v>68.424416201008498</v>
      </c>
      <c r="N192" t="str">
        <f>survey_responses[[#This Row],[Thu nhập bình quân tháng theo Hợp đồng lao động của bạn là bao nhiêu? (Vui lòng điền tổng thu nhập trước khi khấu trừ các loại Bảo hiểm (BHXH, BHYT, BHTN) và Thuế TNCN)]]</f>
        <v>Từ 48 - 70 triệu VNĐ</v>
      </c>
      <c r="O192">
        <f>step3_validation[[#This Row],[Dependents]]</f>
        <v>3</v>
      </c>
      <c r="P192" t="str">
        <f>survey_responses[[#This Row],[Số người phụ thuộc (con nhỏ, cha mẹ già...) đủ điều kiện giảm trừ gia cảnh:]]</f>
        <v>3 người</v>
      </c>
      <c r="Q192">
        <f>step3_validation[[#This Row],[AI_ENF1]]</f>
        <v>7</v>
      </c>
      <c r="R192" t="str">
        <f t="shared" si="54"/>
        <v>Neutral</v>
      </c>
      <c r="S192">
        <f>survey_responses[[#This Row],[Tôi tin rằng với các quy định quản lý thuế hiện nay, hành vi gian lận hoặc trốn thuế sẽ dễ dàng bị phát hiện và xử lý nghiêm. - HUMAN-ENF1]]</f>
        <v>7</v>
      </c>
      <c r="T192" t="str">
        <f t="shared" si="55"/>
        <v>Neutral</v>
      </c>
      <c r="U192" s="32">
        <f t="shared" si="56"/>
        <v>0</v>
      </c>
      <c r="V192">
        <f>step3_validation[[#This Row],[AI_ENF2]]</f>
        <v>8</v>
      </c>
      <c r="W192" t="str">
        <f t="shared" si="57"/>
        <v>Support</v>
      </c>
      <c r="X192">
        <f>survey_responses[[#This Row],[Tôi tin rằng Nhà nước, cơ quan thuế có đủ khả năng và công nghệ để phát hiện, xử lý nghiêm các hành vi trốn thuế. - HUMAN-ENF2]]</f>
        <v>7</v>
      </c>
      <c r="Y192" t="str">
        <f t="shared" si="58"/>
        <v>Neutral</v>
      </c>
      <c r="Z192" s="32">
        <f t="shared" si="59"/>
        <v>1</v>
      </c>
      <c r="AA192">
        <f>step3_validation[[#This Row],[AI_FAC1]]</f>
        <v>9</v>
      </c>
      <c r="AB192" t="str">
        <f t="shared" si="60"/>
        <v>Support</v>
      </c>
      <c r="AC192">
        <f>survey_responses[[#This Row],[Các thủ tục khai báo thuế VÀ/HOẶC quy trình làm việc với cơ quan thuế đơn giản, tiện lợi, nhanh chóng hơn so với trước đây. - HUMAN-FAC1]]</f>
        <v>6</v>
      </c>
      <c r="AD192" t="str">
        <f t="shared" si="61"/>
        <v>Neutral</v>
      </c>
      <c r="AE192" s="32">
        <f t="shared" si="62"/>
        <v>3</v>
      </c>
      <c r="AF192">
        <f>step3_validation[[#This Row],[AI_FAC2]]</f>
        <v>10</v>
      </c>
      <c r="AG192" t="str">
        <f t="shared" si="63"/>
        <v>Support</v>
      </c>
      <c r="AH192">
        <f>survey_responses[[#This Row],[So với trước đây, tôi thấy cách tính thuế và các bậc thuế trong phương án mới đơn giản, dễ hiểu và dễ thực hiện hơn. - HUMAN-FAC2]]</f>
        <v>8</v>
      </c>
      <c r="AI192" t="str">
        <f t="shared" si="64"/>
        <v>Support</v>
      </c>
      <c r="AJ192" s="32">
        <f t="shared" si="65"/>
        <v>2</v>
      </c>
      <c r="AK192">
        <f>step3_validation[[#This Row],[AI_TRU1]]</f>
        <v>6</v>
      </c>
      <c r="AL192" t="str">
        <f t="shared" si="66"/>
        <v>Neutral</v>
      </c>
      <c r="AM192">
        <f>survey_responses[[#This Row],[Tôi tin rằng Nhà nước, cơ quan thuế sẽ thực thi chính sách mới một cách khách quan, công tâm và đối xử bình đẳng với mọi người nộp thuế.  - HUMAN-TRU1]]</f>
        <v>7</v>
      </c>
      <c r="AN192" t="str">
        <f t="shared" si="67"/>
        <v>Neutral</v>
      </c>
      <c r="AO192" s="32">
        <f t="shared" si="68"/>
        <v>1</v>
      </c>
      <c r="AP192">
        <f>step3_validation[[#This Row],[AI_TRU2]]</f>
        <v>7</v>
      </c>
      <c r="AQ192" t="str">
        <f t="shared" si="69"/>
        <v>Neutral</v>
      </c>
      <c r="AR192">
        <f>survey_responses[[#This Row],[Tôi thấy mức thuế tôi phải đóng theo phương án mới là công bằng (người thu nhập như tôi đóng mức này là hợp lý). - HUMAN-TRU2]]</f>
        <v>8</v>
      </c>
      <c r="AS192" t="str">
        <f t="shared" si="70"/>
        <v>Support</v>
      </c>
      <c r="AT192" s="32">
        <f t="shared" si="71"/>
        <v>1</v>
      </c>
      <c r="AU192">
        <f>step3_validation[[#This Row],[AI_TRU3]]</f>
        <v>6</v>
      </c>
      <c r="AV192" t="str">
        <f t="shared" si="72"/>
        <v>Neutral</v>
      </c>
      <c r="AW192">
        <f>survey_responses[[#This Row],[Tôi tin tưởng số tiền thuế tôi đóng sẽ được Nhà nước sử dụng hiệu quả để cải thiện dịch vụ công (y tế, đường xá...). - HUMAN-TRU3]]</f>
        <v>7</v>
      </c>
      <c r="AX192" t="str">
        <f t="shared" si="73"/>
        <v>Neutral</v>
      </c>
      <c r="AY192" s="32">
        <f t="shared" si="74"/>
        <v>1</v>
      </c>
      <c r="AZ192">
        <f>step3_validation[[#This Row],[AI_TRU4]]</f>
        <v>6</v>
      </c>
      <c r="BA192" t="str">
        <f t="shared" si="75"/>
        <v>Neutral</v>
      </c>
      <c r="BB192">
        <f>survey_responses[[#This Row],[Tôi thấy Nhà nước đã giải thích rõ ràng, minh bạch về lý do và mục tiêu của việc sửa đổi thuế lần này. - HUMAN-TRU4]]</f>
        <v>7</v>
      </c>
      <c r="BC192" t="str">
        <f t="shared" si="76"/>
        <v>Neutral</v>
      </c>
      <c r="BD192" s="32">
        <f t="shared" si="77"/>
        <v>1</v>
      </c>
      <c r="BE192">
        <f>step3_validation[[#This Row],[AI_OUT1]]</f>
        <v>8</v>
      </c>
      <c r="BF192" t="str">
        <f t="shared" si="78"/>
        <v>Support</v>
      </c>
      <c r="BG192">
        <f>survey_responses[[#This Row],[Sau khi xem xét các quyền lợi và nghĩa vụ, bạn có ủng hộ và tuân thủ chính sách mới hiện nay? - HUMAN-OUT1]]</f>
        <v>7</v>
      </c>
      <c r="BH192" t="str">
        <f t="shared" si="79"/>
        <v>Neutral</v>
      </c>
      <c r="BI192" s="32">
        <f t="shared" si="80"/>
        <v>1</v>
      </c>
    </row>
    <row r="193" spans="1:61" x14ac:dyDescent="0.45">
      <c r="A193" s="30">
        <f>step3_validation[[#This Row],[Persona_ID]]</f>
        <v>192</v>
      </c>
      <c r="B193" s="31">
        <f>step3_validation[[#This Row],[Used_Seed]]</f>
        <v>192</v>
      </c>
      <c r="C193" t="str">
        <f>step3_validation[[#This Row],[Gender]]</f>
        <v>Nữ</v>
      </c>
      <c r="D193" t="str">
        <f>survey_responses[[#This Row],[Giới tính của bạn:]]</f>
        <v>Nữ</v>
      </c>
      <c r="E193" t="str">
        <f>step3_validation[[#This Row],[Age_Group]]</f>
        <v>18 - 24</v>
      </c>
      <c r="F193" t="str">
        <f>survey_responses[[#This Row],[Độ tuổi của bạn:]]</f>
        <v>18 - 24</v>
      </c>
      <c r="G193" t="str">
        <f>step3_validation[[#This Row],[Region]]</f>
        <v>Thành thị</v>
      </c>
      <c r="H193" t="str">
        <f>survey_responses[[#This Row],[Khu vực bạn đang sinh sống:]]</f>
        <v>Thành thị</v>
      </c>
      <c r="I193" t="str">
        <f>step3_validation[[#This Row],[Education]]</f>
        <v>Đại học</v>
      </c>
      <c r="J193" t="str">
        <f>survey_responses[[#This Row],[Trình độ học vấn cao nhất:]]</f>
        <v>Đại học</v>
      </c>
      <c r="K193" t="str">
        <f>step3_validation[[#This Row],[Employment]]</f>
        <v>Chính thức</v>
      </c>
      <c r="L193" t="str">
        <f>survey_responses[[#This Row],[Tình trạng việc làm chính:]]</f>
        <v>Khu vực chính thức (Có Hợp đồng lao động, đóng BHXH)</v>
      </c>
      <c r="M193">
        <f>step3_validation[[#This Row],[Income_Mil]]</f>
        <v>20.636174683295685</v>
      </c>
      <c r="N193" t="str">
        <f>survey_responses[[#This Row],[Thu nhập bình quân tháng theo Hợp đồng lao động của bạn là bao nhiêu? (Vui lòng điền tổng thu nhập trước khi khấu trừ các loại Bảo hiểm (BHXH, BHYT, BHTN) và Thuế TNCN)]]</f>
        <v>Từ 18 - 23 triệu VNĐ</v>
      </c>
      <c r="O193">
        <f>step3_validation[[#This Row],[Dependents]]</f>
        <v>0</v>
      </c>
      <c r="P193" t="str">
        <f>survey_responses[[#This Row],[Số người phụ thuộc (con nhỏ, cha mẹ già...) đủ điều kiện giảm trừ gia cảnh:]]</f>
        <v>0 người</v>
      </c>
      <c r="Q193">
        <f>step3_validation[[#This Row],[AI_ENF1]]</f>
        <v>6</v>
      </c>
      <c r="R193" t="str">
        <f t="shared" si="54"/>
        <v>Neutral</v>
      </c>
      <c r="S193">
        <f>survey_responses[[#This Row],[Tôi tin rằng với các quy định quản lý thuế hiện nay, hành vi gian lận hoặc trốn thuế sẽ dễ dàng bị phát hiện và xử lý nghiêm. - HUMAN-ENF1]]</f>
        <v>8</v>
      </c>
      <c r="T193" t="str">
        <f t="shared" si="55"/>
        <v>Support</v>
      </c>
      <c r="U193" s="32">
        <f t="shared" si="56"/>
        <v>2</v>
      </c>
      <c r="V193">
        <f>step3_validation[[#This Row],[AI_ENF2]]</f>
        <v>6</v>
      </c>
      <c r="W193" t="str">
        <f t="shared" si="57"/>
        <v>Neutral</v>
      </c>
      <c r="X193">
        <f>survey_responses[[#This Row],[Tôi tin rằng Nhà nước, cơ quan thuế có đủ khả năng và công nghệ để phát hiện, xử lý nghiêm các hành vi trốn thuế. - HUMAN-ENF2]]</f>
        <v>8</v>
      </c>
      <c r="Y193" t="str">
        <f t="shared" si="58"/>
        <v>Support</v>
      </c>
      <c r="Z193" s="32">
        <f t="shared" si="59"/>
        <v>2</v>
      </c>
      <c r="AA193">
        <f>step3_validation[[#This Row],[AI_FAC1]]</f>
        <v>8</v>
      </c>
      <c r="AB193" t="str">
        <f t="shared" si="60"/>
        <v>Support</v>
      </c>
      <c r="AC193">
        <f>survey_responses[[#This Row],[Các thủ tục khai báo thuế VÀ/HOẶC quy trình làm việc với cơ quan thuế đơn giản, tiện lợi, nhanh chóng hơn so với trước đây. - HUMAN-FAC1]]</f>
        <v>9</v>
      </c>
      <c r="AD193" t="str">
        <f t="shared" si="61"/>
        <v>Support</v>
      </c>
      <c r="AE193" s="32">
        <f t="shared" si="62"/>
        <v>1</v>
      </c>
      <c r="AF193">
        <f>step3_validation[[#This Row],[AI_FAC2]]</f>
        <v>9</v>
      </c>
      <c r="AG193" t="str">
        <f t="shared" si="63"/>
        <v>Support</v>
      </c>
      <c r="AH193">
        <f>survey_responses[[#This Row],[So với trước đây, tôi thấy cách tính thuế và các bậc thuế trong phương án mới đơn giản, dễ hiểu và dễ thực hiện hơn. - HUMAN-FAC2]]</f>
        <v>9</v>
      </c>
      <c r="AI193" t="str">
        <f t="shared" si="64"/>
        <v>Support</v>
      </c>
      <c r="AJ193" s="32">
        <f t="shared" si="65"/>
        <v>0</v>
      </c>
      <c r="AK193">
        <f>step3_validation[[#This Row],[AI_TRU1]]</f>
        <v>7</v>
      </c>
      <c r="AL193" t="str">
        <f t="shared" si="66"/>
        <v>Neutral</v>
      </c>
      <c r="AM193">
        <f>survey_responses[[#This Row],[Tôi tin rằng Nhà nước, cơ quan thuế sẽ thực thi chính sách mới một cách khách quan, công tâm và đối xử bình đẳng với mọi người nộp thuế.  - HUMAN-TRU1]]</f>
        <v>9</v>
      </c>
      <c r="AN193" t="str">
        <f t="shared" si="67"/>
        <v>Support</v>
      </c>
      <c r="AO193" s="32">
        <f t="shared" si="68"/>
        <v>2</v>
      </c>
      <c r="AP193">
        <f>step3_validation[[#This Row],[AI_TRU2]]</f>
        <v>9</v>
      </c>
      <c r="AQ193" t="str">
        <f t="shared" si="69"/>
        <v>Support</v>
      </c>
      <c r="AR193">
        <f>survey_responses[[#This Row],[Tôi thấy mức thuế tôi phải đóng theo phương án mới là công bằng (người thu nhập như tôi đóng mức này là hợp lý). - HUMAN-TRU2]]</f>
        <v>9</v>
      </c>
      <c r="AS193" t="str">
        <f t="shared" si="70"/>
        <v>Support</v>
      </c>
      <c r="AT193" s="32">
        <f t="shared" si="71"/>
        <v>0</v>
      </c>
      <c r="AU193">
        <f>step3_validation[[#This Row],[AI_TRU3]]</f>
        <v>8</v>
      </c>
      <c r="AV193" t="str">
        <f t="shared" si="72"/>
        <v>Support</v>
      </c>
      <c r="AW193">
        <f>survey_responses[[#This Row],[Tôi tin tưởng số tiền thuế tôi đóng sẽ được Nhà nước sử dụng hiệu quả để cải thiện dịch vụ công (y tế, đường xá...). - HUMAN-TRU3]]</f>
        <v>8</v>
      </c>
      <c r="AX193" t="str">
        <f t="shared" si="73"/>
        <v>Support</v>
      </c>
      <c r="AY193" s="32">
        <f t="shared" si="74"/>
        <v>0</v>
      </c>
      <c r="AZ193">
        <f>step3_validation[[#This Row],[AI_TRU4]]</f>
        <v>7</v>
      </c>
      <c r="BA193" t="str">
        <f t="shared" si="75"/>
        <v>Neutral</v>
      </c>
      <c r="BB193">
        <f>survey_responses[[#This Row],[Tôi thấy Nhà nước đã giải thích rõ ràng, minh bạch về lý do và mục tiêu của việc sửa đổi thuế lần này. - HUMAN-TRU4]]</f>
        <v>8</v>
      </c>
      <c r="BC193" t="str">
        <f t="shared" si="76"/>
        <v>Support</v>
      </c>
      <c r="BD193" s="32">
        <f t="shared" si="77"/>
        <v>1</v>
      </c>
      <c r="BE193">
        <f>step3_validation[[#This Row],[AI_OUT1]]</f>
        <v>8</v>
      </c>
      <c r="BF193" t="str">
        <f t="shared" si="78"/>
        <v>Support</v>
      </c>
      <c r="BG193">
        <f>survey_responses[[#This Row],[Sau khi xem xét các quyền lợi và nghĩa vụ, bạn có ủng hộ và tuân thủ chính sách mới hiện nay? - HUMAN-OUT1]]</f>
        <v>9</v>
      </c>
      <c r="BH193" t="str">
        <f t="shared" si="79"/>
        <v>Support</v>
      </c>
      <c r="BI193" s="32">
        <f t="shared" si="80"/>
        <v>1</v>
      </c>
    </row>
    <row r="194" spans="1:61" x14ac:dyDescent="0.45">
      <c r="A194" s="30">
        <f>step3_validation[[#This Row],[Persona_ID]]</f>
        <v>193</v>
      </c>
      <c r="B194" s="31">
        <f>step3_validation[[#This Row],[Used_Seed]]</f>
        <v>193</v>
      </c>
      <c r="C194" t="str">
        <f>step3_validation[[#This Row],[Gender]]</f>
        <v>Nữ</v>
      </c>
      <c r="D194" t="str">
        <f>survey_responses[[#This Row],[Giới tính của bạn:]]</f>
        <v>Nữ</v>
      </c>
      <c r="E194" t="str">
        <f>step3_validation[[#This Row],[Age_Group]]</f>
        <v>40 - 49</v>
      </c>
      <c r="F194" t="str">
        <f>survey_responses[[#This Row],[Độ tuổi của bạn:]]</f>
        <v>40 - 49</v>
      </c>
      <c r="G194" t="str">
        <f>step3_validation[[#This Row],[Region]]</f>
        <v>Thành thị</v>
      </c>
      <c r="H194" t="str">
        <f>survey_responses[[#This Row],[Khu vực bạn đang sinh sống:]]</f>
        <v>Thành thị</v>
      </c>
      <c r="I194" t="str">
        <f>step3_validation[[#This Row],[Education]]</f>
        <v>Đại học</v>
      </c>
      <c r="J194" t="str">
        <f>survey_responses[[#This Row],[Trình độ học vấn cao nhất:]]</f>
        <v>Đại học</v>
      </c>
      <c r="K194" t="str">
        <f>step3_validation[[#This Row],[Employment]]</f>
        <v>Chính thức</v>
      </c>
      <c r="L194" t="str">
        <f>survey_responses[[#This Row],[Tình trạng việc làm chính:]]</f>
        <v>Khu vực chính thức (Có Hợp đồng lao động, đóng BHXH)</v>
      </c>
      <c r="M194">
        <f>step3_validation[[#This Row],[Income_Mil]]</f>
        <v>27.048079160288843</v>
      </c>
      <c r="N194" t="str">
        <f>survey_responses[[#This Row],[Thu nhập bình quân tháng theo Hợp đồng lao động của bạn là bao nhiêu? (Vui lòng điền tổng thu nhập trước khi khấu trừ các loại Bảo hiểm (BHXH, BHYT, BHTN) và Thuế TNCN)]]</f>
        <v>Từ 23 - 32 triệu VNĐ</v>
      </c>
      <c r="O194">
        <f>step3_validation[[#This Row],[Dependents]]</f>
        <v>2</v>
      </c>
      <c r="P194" t="str">
        <f>survey_responses[[#This Row],[Số người phụ thuộc (con nhỏ, cha mẹ già...) đủ điều kiện giảm trừ gia cảnh:]]</f>
        <v>2 người</v>
      </c>
      <c r="Q194">
        <f>step3_validation[[#This Row],[AI_ENF1]]</f>
        <v>6</v>
      </c>
      <c r="R194" t="str">
        <f t="shared" si="54"/>
        <v>Neutral</v>
      </c>
      <c r="S194">
        <f>survey_responses[[#This Row],[Tôi tin rằng với các quy định quản lý thuế hiện nay, hành vi gian lận hoặc trốn thuế sẽ dễ dàng bị phát hiện và xử lý nghiêm. - HUMAN-ENF1]]</f>
        <v>1</v>
      </c>
      <c r="T194" t="str">
        <f t="shared" si="55"/>
        <v>Oppose</v>
      </c>
      <c r="U194" s="32">
        <f t="shared" si="56"/>
        <v>5</v>
      </c>
      <c r="V194">
        <f>step3_validation[[#This Row],[AI_ENF2]]</f>
        <v>7</v>
      </c>
      <c r="W194" t="str">
        <f t="shared" si="57"/>
        <v>Neutral</v>
      </c>
      <c r="X194">
        <f>survey_responses[[#This Row],[Tôi tin rằng Nhà nước, cơ quan thuế có đủ khả năng và công nghệ để phát hiện, xử lý nghiêm các hành vi trốn thuế. - HUMAN-ENF2]]</f>
        <v>1</v>
      </c>
      <c r="Y194" t="str">
        <f t="shared" si="58"/>
        <v>Oppose</v>
      </c>
      <c r="Z194" s="32">
        <f t="shared" si="59"/>
        <v>6</v>
      </c>
      <c r="AA194">
        <f>step3_validation[[#This Row],[AI_FAC1]]</f>
        <v>9</v>
      </c>
      <c r="AB194" t="str">
        <f t="shared" si="60"/>
        <v>Support</v>
      </c>
      <c r="AC194">
        <f>survey_responses[[#This Row],[Các thủ tục khai báo thuế VÀ/HOẶC quy trình làm việc với cơ quan thuế đơn giản, tiện lợi, nhanh chóng hơn so với trước đây. - HUMAN-FAC1]]</f>
        <v>7</v>
      </c>
      <c r="AD194" t="str">
        <f t="shared" si="61"/>
        <v>Neutral</v>
      </c>
      <c r="AE194" s="32">
        <f t="shared" si="62"/>
        <v>2</v>
      </c>
      <c r="AF194">
        <f>step3_validation[[#This Row],[AI_FAC2]]</f>
        <v>8</v>
      </c>
      <c r="AG194" t="str">
        <f t="shared" si="63"/>
        <v>Support</v>
      </c>
      <c r="AH194">
        <f>survey_responses[[#This Row],[So với trước đây, tôi thấy cách tính thuế và các bậc thuế trong phương án mới đơn giản, dễ hiểu và dễ thực hiện hơn. - HUMAN-FAC2]]</f>
        <v>5</v>
      </c>
      <c r="AI194" t="str">
        <f t="shared" si="64"/>
        <v>Neutral</v>
      </c>
      <c r="AJ194" s="32">
        <f t="shared" si="65"/>
        <v>3</v>
      </c>
      <c r="AK194">
        <f>step3_validation[[#This Row],[AI_TRU1]]</f>
        <v>7</v>
      </c>
      <c r="AL194" t="str">
        <f t="shared" si="66"/>
        <v>Neutral</v>
      </c>
      <c r="AM194">
        <f>survey_responses[[#This Row],[Tôi tin rằng Nhà nước, cơ quan thuế sẽ thực thi chính sách mới một cách khách quan, công tâm và đối xử bình đẳng với mọi người nộp thuế.  - HUMAN-TRU1]]</f>
        <v>5</v>
      </c>
      <c r="AN194" t="str">
        <f t="shared" si="67"/>
        <v>Neutral</v>
      </c>
      <c r="AO194" s="32">
        <f t="shared" si="68"/>
        <v>2</v>
      </c>
      <c r="AP194">
        <f>step3_validation[[#This Row],[AI_TRU2]]</f>
        <v>8</v>
      </c>
      <c r="AQ194" t="str">
        <f t="shared" si="69"/>
        <v>Support</v>
      </c>
      <c r="AR194">
        <f>survey_responses[[#This Row],[Tôi thấy mức thuế tôi phải đóng theo phương án mới là công bằng (người thu nhập như tôi đóng mức này là hợp lý). - HUMAN-TRU2]]</f>
        <v>7</v>
      </c>
      <c r="AS194" t="str">
        <f t="shared" si="70"/>
        <v>Neutral</v>
      </c>
      <c r="AT194" s="32">
        <f t="shared" si="71"/>
        <v>1</v>
      </c>
      <c r="AU194">
        <f>step3_validation[[#This Row],[AI_TRU3]]</f>
        <v>7</v>
      </c>
      <c r="AV194" t="str">
        <f t="shared" si="72"/>
        <v>Neutral</v>
      </c>
      <c r="AW194">
        <f>survey_responses[[#This Row],[Tôi tin tưởng số tiền thuế tôi đóng sẽ được Nhà nước sử dụng hiệu quả để cải thiện dịch vụ công (y tế, đường xá...). - HUMAN-TRU3]]</f>
        <v>2</v>
      </c>
      <c r="AX194" t="str">
        <f t="shared" si="73"/>
        <v>Oppose</v>
      </c>
      <c r="AY194" s="32">
        <f t="shared" si="74"/>
        <v>5</v>
      </c>
      <c r="AZ194">
        <f>step3_validation[[#This Row],[AI_TRU4]]</f>
        <v>8</v>
      </c>
      <c r="BA194" t="str">
        <f t="shared" si="75"/>
        <v>Support</v>
      </c>
      <c r="BB194">
        <f>survey_responses[[#This Row],[Tôi thấy Nhà nước đã giải thích rõ ràng, minh bạch về lý do và mục tiêu của việc sửa đổi thuế lần này. - HUMAN-TRU4]]</f>
        <v>5</v>
      </c>
      <c r="BC194" t="str">
        <f t="shared" si="76"/>
        <v>Neutral</v>
      </c>
      <c r="BD194" s="32">
        <f t="shared" si="77"/>
        <v>3</v>
      </c>
      <c r="BE194">
        <f>step3_validation[[#This Row],[AI_OUT1]]</f>
        <v>9</v>
      </c>
      <c r="BF194" t="str">
        <f t="shared" si="78"/>
        <v>Support</v>
      </c>
      <c r="BG194">
        <f>survey_responses[[#This Row],[Sau khi xem xét các quyền lợi và nghĩa vụ, bạn có ủng hộ và tuân thủ chính sách mới hiện nay? - HUMAN-OUT1]]</f>
        <v>5</v>
      </c>
      <c r="BH194" t="str">
        <f t="shared" si="79"/>
        <v>Neutral</v>
      </c>
      <c r="BI194" s="32">
        <f t="shared" si="80"/>
        <v>4</v>
      </c>
    </row>
    <row r="195" spans="1:61" x14ac:dyDescent="0.45">
      <c r="A195" s="30">
        <f>step3_validation[[#This Row],[Persona_ID]]</f>
        <v>194</v>
      </c>
      <c r="B195" s="31">
        <f>step3_validation[[#This Row],[Used_Seed]]</f>
        <v>194</v>
      </c>
      <c r="C195" t="str">
        <f>step3_validation[[#This Row],[Gender]]</f>
        <v>Nữ</v>
      </c>
      <c r="D195" t="str">
        <f>survey_responses[[#This Row],[Giới tính của bạn:]]</f>
        <v>Nữ</v>
      </c>
      <c r="E195" t="str">
        <f>step3_validation[[#This Row],[Age_Group]]</f>
        <v>30 - 39</v>
      </c>
      <c r="F195" t="str">
        <f>survey_responses[[#This Row],[Độ tuổi của bạn:]]</f>
        <v>30 - 39</v>
      </c>
      <c r="G195" t="str">
        <f>step3_validation[[#This Row],[Region]]</f>
        <v>Thành thị</v>
      </c>
      <c r="H195" t="str">
        <f>survey_responses[[#This Row],[Khu vực bạn đang sinh sống:]]</f>
        <v>Thành thị</v>
      </c>
      <c r="I195" t="str">
        <f>step3_validation[[#This Row],[Education]]</f>
        <v>Đại học</v>
      </c>
      <c r="J195" t="str">
        <f>survey_responses[[#This Row],[Trình độ học vấn cao nhất:]]</f>
        <v>Đại học</v>
      </c>
      <c r="K195" t="str">
        <f>step3_validation[[#This Row],[Employment]]</f>
        <v>Chính thức</v>
      </c>
      <c r="L195" t="str">
        <f>survey_responses[[#This Row],[Tình trạng việc làm chính:]]</f>
        <v>Khu vực chính thức (Có Hợp đồng lao động, đóng BHXH)</v>
      </c>
      <c r="M195">
        <f>step3_validation[[#This Row],[Income_Mil]]</f>
        <v>21.458917256386954</v>
      </c>
      <c r="N195" t="str">
        <f>survey_responses[[#This Row],[Thu nhập bình quân tháng theo Hợp đồng lao động của bạn là bao nhiêu? (Vui lòng điền tổng thu nhập trước khi khấu trừ các loại Bảo hiểm (BHXH, BHYT, BHTN) và Thuế TNCN)]]</f>
        <v>Từ 18 - 23 triệu VNĐ</v>
      </c>
      <c r="O195">
        <f>step3_validation[[#This Row],[Dependents]]</f>
        <v>1</v>
      </c>
      <c r="P195" t="str">
        <f>survey_responses[[#This Row],[Số người phụ thuộc (con nhỏ, cha mẹ già...) đủ điều kiện giảm trừ gia cảnh:]]</f>
        <v>1 người</v>
      </c>
      <c r="Q195">
        <f>step3_validation[[#This Row],[AI_ENF1]]</f>
        <v>7</v>
      </c>
      <c r="R195" t="str">
        <f t="shared" ref="R195:R258" si="81">IF(AND(Q195&gt;=1,Q195&lt;5),"Oppose",IF(AND(Q195&gt;=5,Q195&lt;8),"Neutral",IF(AND(Q195&gt;=8,Q195&lt;=10),"Support","")))</f>
        <v>Neutral</v>
      </c>
      <c r="S195">
        <f>survey_responses[[#This Row],[Tôi tin rằng với các quy định quản lý thuế hiện nay, hành vi gian lận hoặc trốn thuế sẽ dễ dàng bị phát hiện và xử lý nghiêm. - HUMAN-ENF1]]</f>
        <v>10</v>
      </c>
      <c r="T195" t="str">
        <f t="shared" ref="T195:T258" si="82">IF(AND(S195&gt;=1,S195&lt;5),"Oppose",IF(AND(S195&gt;=5,S195&lt;8),"Neutral",IF(AND(S195&gt;=8,S195&lt;=10),"Support","")))</f>
        <v>Support</v>
      </c>
      <c r="U195" s="32">
        <f t="shared" ref="U195:U258" si="83">ABS(S195-Q195)</f>
        <v>3</v>
      </c>
      <c r="V195">
        <f>step3_validation[[#This Row],[AI_ENF2]]</f>
        <v>8</v>
      </c>
      <c r="W195" t="str">
        <f t="shared" ref="W195:W258" si="84">IF(AND(V195&gt;=1,V195&lt;5),"Oppose",IF(AND(V195&gt;=5,V195&lt;8),"Neutral",IF(AND(V195&gt;=8,V195&lt;=10),"Support","")))</f>
        <v>Support</v>
      </c>
      <c r="X195">
        <f>survey_responses[[#This Row],[Tôi tin rằng Nhà nước, cơ quan thuế có đủ khả năng và công nghệ để phát hiện, xử lý nghiêm các hành vi trốn thuế. - HUMAN-ENF2]]</f>
        <v>10</v>
      </c>
      <c r="Y195" t="str">
        <f t="shared" ref="Y195:Y258" si="85">IF(AND(X195&gt;=1,X195&lt;5),"Oppose",IF(AND(X195&gt;=5,X195&lt;8),"Neutral",IF(AND(X195&gt;=8,X195&lt;=10),"Support","")))</f>
        <v>Support</v>
      </c>
      <c r="Z195" s="32">
        <f t="shared" ref="Z195:Z258" si="86">ABS(X195-V195)</f>
        <v>2</v>
      </c>
      <c r="AA195">
        <f>step3_validation[[#This Row],[AI_FAC1]]</f>
        <v>6</v>
      </c>
      <c r="AB195" t="str">
        <f t="shared" ref="AB195:AB258" si="87">IF(AND(AA195&gt;=1,AA195&lt;5),"Oppose",IF(AND(AA195&gt;=5,AA195&lt;8),"Neutral",IF(AND(AA195&gt;=8,AA195&lt;=10),"Support","")))</f>
        <v>Neutral</v>
      </c>
      <c r="AC195">
        <f>survey_responses[[#This Row],[Các thủ tục khai báo thuế VÀ/HOẶC quy trình làm việc với cơ quan thuế đơn giản, tiện lợi, nhanh chóng hơn so với trước đây. - HUMAN-FAC1]]</f>
        <v>6</v>
      </c>
      <c r="AD195" t="str">
        <f t="shared" ref="AD195:AD258" si="88">IF(AND(AC195&gt;=1,AC195&lt;5),"Oppose",IF(AND(AC195&gt;=5,AC195&lt;8),"Neutral",IF(AND(AC195&gt;=8,AC195&lt;=10),"Support","")))</f>
        <v>Neutral</v>
      </c>
      <c r="AE195" s="32">
        <f t="shared" ref="AE195:AE258" si="89">ABS(AC195-AA195)</f>
        <v>0</v>
      </c>
      <c r="AF195">
        <f>step3_validation[[#This Row],[AI_FAC2]]</f>
        <v>9</v>
      </c>
      <c r="AG195" t="str">
        <f t="shared" ref="AG195:AG258" si="90">IF(AND(AF195&gt;=1,AF195&lt;5),"Oppose",IF(AND(AF195&gt;=5,AF195&lt;8),"Neutral",IF(AND(AF195&gt;=8,AF195&lt;=10),"Support","")))</f>
        <v>Support</v>
      </c>
      <c r="AH195">
        <f>survey_responses[[#This Row],[So với trước đây, tôi thấy cách tính thuế và các bậc thuế trong phương án mới đơn giản, dễ hiểu và dễ thực hiện hơn. - HUMAN-FAC2]]</f>
        <v>4</v>
      </c>
      <c r="AI195" t="str">
        <f t="shared" ref="AI195:AI258" si="91">IF(AND(AH195&gt;=1,AH195&lt;5),"Oppose",IF(AND(AH195&gt;=5,AH195&lt;8),"Neutral",IF(AND(AH195&gt;=8,AH195&lt;=10),"Support","")))</f>
        <v>Oppose</v>
      </c>
      <c r="AJ195" s="32">
        <f t="shared" ref="AJ195:AJ258" si="92">ABS(AH195-AF195)</f>
        <v>5</v>
      </c>
      <c r="AK195">
        <f>step3_validation[[#This Row],[AI_TRU1]]</f>
        <v>8</v>
      </c>
      <c r="AL195" t="str">
        <f t="shared" ref="AL195:AL258" si="93">IF(AND(AK195&gt;=1,AK195&lt;5),"Oppose",IF(AND(AK195&gt;=5,AK195&lt;8),"Neutral",IF(AND(AK195&gt;=8,AK195&lt;=10),"Support","")))</f>
        <v>Support</v>
      </c>
      <c r="AM195">
        <f>survey_responses[[#This Row],[Tôi tin rằng Nhà nước, cơ quan thuế sẽ thực thi chính sách mới một cách khách quan, công tâm và đối xử bình đẳng với mọi người nộp thuế.  - HUMAN-TRU1]]</f>
        <v>8</v>
      </c>
      <c r="AN195" t="str">
        <f t="shared" ref="AN195:AN258" si="94">IF(AND(AM195&gt;=1,AM195&lt;5),"Oppose",IF(AND(AM195&gt;=5,AM195&lt;8),"Neutral",IF(AND(AM195&gt;=8,AM195&lt;=10),"Support","")))</f>
        <v>Support</v>
      </c>
      <c r="AO195" s="32">
        <f t="shared" ref="AO195:AO258" si="95">ABS(AM195-AK195)</f>
        <v>0</v>
      </c>
      <c r="AP195">
        <f>step3_validation[[#This Row],[AI_TRU2]]</f>
        <v>9</v>
      </c>
      <c r="AQ195" t="str">
        <f t="shared" ref="AQ195:AQ258" si="96">IF(AND(AP195&gt;=1,AP195&lt;5),"Oppose",IF(AND(AP195&gt;=5,AP195&lt;8),"Neutral",IF(AND(AP195&gt;=8,AP195&lt;=10),"Support","")))</f>
        <v>Support</v>
      </c>
      <c r="AR195">
        <f>survey_responses[[#This Row],[Tôi thấy mức thuế tôi phải đóng theo phương án mới là công bằng (người thu nhập như tôi đóng mức này là hợp lý). - HUMAN-TRU2]]</f>
        <v>3</v>
      </c>
      <c r="AS195" t="str">
        <f t="shared" ref="AS195:AS258" si="97">IF(AND(AR195&gt;=1,AR195&lt;5),"Oppose",IF(AND(AR195&gt;=5,AR195&lt;8),"Neutral",IF(AND(AR195&gt;=8,AR195&lt;=10),"Support","")))</f>
        <v>Oppose</v>
      </c>
      <c r="AT195" s="32">
        <f t="shared" ref="AT195:AT258" si="98">ABS(AR195-AP195)</f>
        <v>6</v>
      </c>
      <c r="AU195">
        <f>step3_validation[[#This Row],[AI_TRU3]]</f>
        <v>7</v>
      </c>
      <c r="AV195" t="str">
        <f t="shared" ref="AV195:AV258" si="99">IF(AND(AU195&gt;=1,AU195&lt;5),"Oppose",IF(AND(AU195&gt;=5,AU195&lt;8),"Neutral",IF(AND(AU195&gt;=8,AU195&lt;=10),"Support","")))</f>
        <v>Neutral</v>
      </c>
      <c r="AW195">
        <f>survey_responses[[#This Row],[Tôi tin tưởng số tiền thuế tôi đóng sẽ được Nhà nước sử dụng hiệu quả để cải thiện dịch vụ công (y tế, đường xá...). - HUMAN-TRU3]]</f>
        <v>10</v>
      </c>
      <c r="AX195" t="str">
        <f t="shared" ref="AX195:AX258" si="100">IF(AND(AW195&gt;=1,AW195&lt;5),"Oppose",IF(AND(AW195&gt;=5,AW195&lt;8),"Neutral",IF(AND(AW195&gt;=8,AW195&lt;=10),"Support","")))</f>
        <v>Support</v>
      </c>
      <c r="AY195" s="32">
        <f t="shared" ref="AY195:AY258" si="101">ABS(AW195-AU195)</f>
        <v>3</v>
      </c>
      <c r="AZ195">
        <f>step3_validation[[#This Row],[AI_TRU4]]</f>
        <v>8</v>
      </c>
      <c r="BA195" t="str">
        <f t="shared" ref="BA195:BA258" si="102">IF(AND(AZ195&gt;=1,AZ195&lt;5),"Oppose",IF(AND(AZ195&gt;=5,AZ195&lt;8),"Neutral",IF(AND(AZ195&gt;=8,AZ195&lt;=10),"Support","")))</f>
        <v>Support</v>
      </c>
      <c r="BB195">
        <f>survey_responses[[#This Row],[Tôi thấy Nhà nước đã giải thích rõ ràng, minh bạch về lý do và mục tiêu của việc sửa đổi thuế lần này. - HUMAN-TRU4]]</f>
        <v>10</v>
      </c>
      <c r="BC195" t="str">
        <f t="shared" ref="BC195:BC258" si="103">IF(AND(BB195&gt;=1,BB195&lt;5),"Oppose",IF(AND(BB195&gt;=5,BB195&lt;8),"Neutral",IF(AND(BB195&gt;=8,BB195&lt;=10),"Support","")))</f>
        <v>Support</v>
      </c>
      <c r="BD195" s="32">
        <f t="shared" ref="BD195:BD258" si="104">ABS(BB195-AZ195)</f>
        <v>2</v>
      </c>
      <c r="BE195">
        <f>step3_validation[[#This Row],[AI_OUT1]]</f>
        <v>9</v>
      </c>
      <c r="BF195" t="str">
        <f t="shared" ref="BF195:BF258" si="105">IF(AND(BE195&gt;=1,BE195&lt;5),"Oppose",IF(AND(BE195&gt;=5,BE195&lt;8),"Neutral",IF(AND(BE195&gt;=8,BE195&lt;=10),"Support","")))</f>
        <v>Support</v>
      </c>
      <c r="BG195">
        <f>survey_responses[[#This Row],[Sau khi xem xét các quyền lợi và nghĩa vụ, bạn có ủng hộ và tuân thủ chính sách mới hiện nay? - HUMAN-OUT1]]</f>
        <v>10</v>
      </c>
      <c r="BH195" t="str">
        <f t="shared" ref="BH195:BH258" si="106">IF(AND(BG195&gt;=1,BG195&lt;5),"Oppose",IF(AND(BG195&gt;=5,BG195&lt;8),"Neutral",IF(AND(BG195&gt;=8,BG195&lt;=10),"Support","")))</f>
        <v>Support</v>
      </c>
      <c r="BI195" s="32">
        <f t="shared" ref="BI195:BI258" si="107">ABS(BG195-BE195)</f>
        <v>1</v>
      </c>
    </row>
    <row r="196" spans="1:61" x14ac:dyDescent="0.45">
      <c r="A196" s="30">
        <f>step3_validation[[#This Row],[Persona_ID]]</f>
        <v>195</v>
      </c>
      <c r="B196" s="31">
        <f>step3_validation[[#This Row],[Used_Seed]]</f>
        <v>195</v>
      </c>
      <c r="C196" t="str">
        <f>step3_validation[[#This Row],[Gender]]</f>
        <v>Nữ</v>
      </c>
      <c r="D196" t="str">
        <f>survey_responses[[#This Row],[Giới tính của bạn:]]</f>
        <v>Nữ</v>
      </c>
      <c r="E196" t="str">
        <f>step3_validation[[#This Row],[Age_Group]]</f>
        <v>25 - 29</v>
      </c>
      <c r="F196" t="str">
        <f>survey_responses[[#This Row],[Độ tuổi của bạn:]]</f>
        <v>25 - 29</v>
      </c>
      <c r="G196" t="str">
        <f>step3_validation[[#This Row],[Region]]</f>
        <v>Thành thị</v>
      </c>
      <c r="H196" t="str">
        <f>survey_responses[[#This Row],[Khu vực bạn đang sinh sống:]]</f>
        <v>Thành thị</v>
      </c>
      <c r="I196" t="str">
        <f>step3_validation[[#This Row],[Education]]</f>
        <v>Đại học</v>
      </c>
      <c r="J196" t="str">
        <f>survey_responses[[#This Row],[Trình độ học vấn cao nhất:]]</f>
        <v>Đại học</v>
      </c>
      <c r="K196" t="str">
        <f>step3_validation[[#This Row],[Employment]]</f>
        <v>Chính thức</v>
      </c>
      <c r="L196" t="str">
        <f>survey_responses[[#This Row],[Tình trạng việc làm chính:]]</f>
        <v>Khu vực chính thức (Có Hợp đồng lao động, đóng BHXH)</v>
      </c>
      <c r="M196">
        <f>step3_validation[[#This Row],[Income_Mil]]</f>
        <v>12.171751942560043</v>
      </c>
      <c r="N196" t="str">
        <f>survey_responses[[#This Row],[Thu nhập bình quân tháng theo Hợp đồng lao động của bạn là bao nhiêu? (Vui lòng điền tổng thu nhập trước khi khấu trừ các loại Bảo hiểm (BHXH, BHYT, BHTN) và Thuế TNCN)]]</f>
        <v>Từ 12 - 18 triệu VNĐ</v>
      </c>
      <c r="O196">
        <f>step3_validation[[#This Row],[Dependents]]</f>
        <v>1</v>
      </c>
      <c r="P196" t="str">
        <f>survey_responses[[#This Row],[Số người phụ thuộc (con nhỏ, cha mẹ già...) đủ điều kiện giảm trừ gia cảnh:]]</f>
        <v>1 người</v>
      </c>
      <c r="Q196">
        <f>step3_validation[[#This Row],[AI_ENF1]]</f>
        <v>8</v>
      </c>
      <c r="R196" t="str">
        <f t="shared" si="81"/>
        <v>Support</v>
      </c>
      <c r="S196">
        <f>survey_responses[[#This Row],[Tôi tin rằng với các quy định quản lý thuế hiện nay, hành vi gian lận hoặc trốn thuế sẽ dễ dàng bị phát hiện và xử lý nghiêm. - HUMAN-ENF1]]</f>
        <v>9</v>
      </c>
      <c r="T196" t="str">
        <f t="shared" si="82"/>
        <v>Support</v>
      </c>
      <c r="U196" s="32">
        <f t="shared" si="83"/>
        <v>1</v>
      </c>
      <c r="V196">
        <f>step3_validation[[#This Row],[AI_ENF2]]</f>
        <v>7</v>
      </c>
      <c r="W196" t="str">
        <f t="shared" si="84"/>
        <v>Neutral</v>
      </c>
      <c r="X196">
        <f>survey_responses[[#This Row],[Tôi tin rằng Nhà nước, cơ quan thuế có đủ khả năng và công nghệ để phát hiện, xử lý nghiêm các hành vi trốn thuế. - HUMAN-ENF2]]</f>
        <v>9</v>
      </c>
      <c r="Y196" t="str">
        <f t="shared" si="85"/>
        <v>Support</v>
      </c>
      <c r="Z196" s="32">
        <f t="shared" si="86"/>
        <v>2</v>
      </c>
      <c r="AA196">
        <f>step3_validation[[#This Row],[AI_FAC1]]</f>
        <v>9</v>
      </c>
      <c r="AB196" t="str">
        <f t="shared" si="87"/>
        <v>Support</v>
      </c>
      <c r="AC196">
        <f>survey_responses[[#This Row],[Các thủ tục khai báo thuế VÀ/HOẶC quy trình làm việc với cơ quan thuế đơn giản, tiện lợi, nhanh chóng hơn so với trước đây. - HUMAN-FAC1]]</f>
        <v>5</v>
      </c>
      <c r="AD196" t="str">
        <f t="shared" si="88"/>
        <v>Neutral</v>
      </c>
      <c r="AE196" s="32">
        <f t="shared" si="89"/>
        <v>4</v>
      </c>
      <c r="AF196">
        <f>step3_validation[[#This Row],[AI_FAC2]]</f>
        <v>8</v>
      </c>
      <c r="AG196" t="str">
        <f t="shared" si="90"/>
        <v>Support</v>
      </c>
      <c r="AH196">
        <f>survey_responses[[#This Row],[So với trước đây, tôi thấy cách tính thuế và các bậc thuế trong phương án mới đơn giản, dễ hiểu và dễ thực hiện hơn. - HUMAN-FAC2]]</f>
        <v>5</v>
      </c>
      <c r="AI196" t="str">
        <f t="shared" si="91"/>
        <v>Neutral</v>
      </c>
      <c r="AJ196" s="32">
        <f t="shared" si="92"/>
        <v>3</v>
      </c>
      <c r="AK196">
        <f>step3_validation[[#This Row],[AI_TRU1]]</f>
        <v>9</v>
      </c>
      <c r="AL196" t="str">
        <f t="shared" si="93"/>
        <v>Support</v>
      </c>
      <c r="AM196">
        <f>survey_responses[[#This Row],[Tôi tin rằng Nhà nước, cơ quan thuế sẽ thực thi chính sách mới một cách khách quan, công tâm và đối xử bình đẳng với mọi người nộp thuế.  - HUMAN-TRU1]]</f>
        <v>7</v>
      </c>
      <c r="AN196" t="str">
        <f t="shared" si="94"/>
        <v>Neutral</v>
      </c>
      <c r="AO196" s="32">
        <f t="shared" si="95"/>
        <v>2</v>
      </c>
      <c r="AP196">
        <f>step3_validation[[#This Row],[AI_TRU2]]</f>
        <v>9</v>
      </c>
      <c r="AQ196" t="str">
        <f t="shared" si="96"/>
        <v>Support</v>
      </c>
      <c r="AR196">
        <f>survey_responses[[#This Row],[Tôi thấy mức thuế tôi phải đóng theo phương án mới là công bằng (người thu nhập như tôi đóng mức này là hợp lý). - HUMAN-TRU2]]</f>
        <v>7</v>
      </c>
      <c r="AS196" t="str">
        <f t="shared" si="97"/>
        <v>Neutral</v>
      </c>
      <c r="AT196" s="32">
        <f t="shared" si="98"/>
        <v>2</v>
      </c>
      <c r="AU196">
        <f>step3_validation[[#This Row],[AI_TRU3]]</f>
        <v>8</v>
      </c>
      <c r="AV196" t="str">
        <f t="shared" si="99"/>
        <v>Support</v>
      </c>
      <c r="AW196">
        <f>survey_responses[[#This Row],[Tôi tin tưởng số tiền thuế tôi đóng sẽ được Nhà nước sử dụng hiệu quả để cải thiện dịch vụ công (y tế, đường xá...). - HUMAN-TRU3]]</f>
        <v>8</v>
      </c>
      <c r="AX196" t="str">
        <f t="shared" si="100"/>
        <v>Support</v>
      </c>
      <c r="AY196" s="32">
        <f t="shared" si="101"/>
        <v>0</v>
      </c>
      <c r="AZ196">
        <f>step3_validation[[#This Row],[AI_TRU4]]</f>
        <v>9</v>
      </c>
      <c r="BA196" t="str">
        <f t="shared" si="102"/>
        <v>Support</v>
      </c>
      <c r="BB196">
        <f>survey_responses[[#This Row],[Tôi thấy Nhà nước đã giải thích rõ ràng, minh bạch về lý do và mục tiêu của việc sửa đổi thuế lần này. - HUMAN-TRU4]]</f>
        <v>8</v>
      </c>
      <c r="BC196" t="str">
        <f t="shared" si="103"/>
        <v>Support</v>
      </c>
      <c r="BD196" s="32">
        <f t="shared" si="104"/>
        <v>1</v>
      </c>
      <c r="BE196">
        <f>step3_validation[[#This Row],[AI_OUT1]]</f>
        <v>9</v>
      </c>
      <c r="BF196" t="str">
        <f t="shared" si="105"/>
        <v>Support</v>
      </c>
      <c r="BG196">
        <f>survey_responses[[#This Row],[Sau khi xem xét các quyền lợi và nghĩa vụ, bạn có ủng hộ và tuân thủ chính sách mới hiện nay? - HUMAN-OUT1]]</f>
        <v>8</v>
      </c>
      <c r="BH196" t="str">
        <f t="shared" si="106"/>
        <v>Support</v>
      </c>
      <c r="BI196" s="32">
        <f t="shared" si="107"/>
        <v>1</v>
      </c>
    </row>
    <row r="197" spans="1:61" x14ac:dyDescent="0.45">
      <c r="A197" s="30">
        <f>step3_validation[[#This Row],[Persona_ID]]</f>
        <v>196</v>
      </c>
      <c r="B197" s="31">
        <f>step3_validation[[#This Row],[Used_Seed]]</f>
        <v>196</v>
      </c>
      <c r="C197" t="str">
        <f>step3_validation[[#This Row],[Gender]]</f>
        <v>Nam</v>
      </c>
      <c r="D197" t="str">
        <f>survey_responses[[#This Row],[Giới tính của bạn:]]</f>
        <v>Nam</v>
      </c>
      <c r="E197" t="str">
        <f>step3_validation[[#This Row],[Age_Group]]</f>
        <v>40 - 49</v>
      </c>
      <c r="F197" t="str">
        <f>survey_responses[[#This Row],[Độ tuổi của bạn:]]</f>
        <v>40 - 49</v>
      </c>
      <c r="G197" t="str">
        <f>step3_validation[[#This Row],[Region]]</f>
        <v>Thành thị</v>
      </c>
      <c r="H197" t="str">
        <f>survey_responses[[#This Row],[Khu vực bạn đang sinh sống:]]</f>
        <v>Thành thị</v>
      </c>
      <c r="I197" t="str">
        <f>step3_validation[[#This Row],[Education]]</f>
        <v>Đại học</v>
      </c>
      <c r="J197" t="str">
        <f>survey_responses[[#This Row],[Trình độ học vấn cao nhất:]]</f>
        <v>Đại học</v>
      </c>
      <c r="K197" t="str">
        <f>step3_validation[[#This Row],[Employment]]</f>
        <v>Chính thức</v>
      </c>
      <c r="L197" t="str">
        <f>survey_responses[[#This Row],[Tình trạng việc làm chính:]]</f>
        <v>Khu vực chính thức (Có Hợp đồng lao động, đóng BHXH)</v>
      </c>
      <c r="M197">
        <f>step3_validation[[#This Row],[Income_Mil]]</f>
        <v>16.410210423237253</v>
      </c>
      <c r="N197" t="str">
        <f>survey_responses[[#This Row],[Thu nhập bình quân tháng theo Hợp đồng lao động của bạn là bao nhiêu? (Vui lòng điền tổng thu nhập trước khi khấu trừ các loại Bảo hiểm (BHXH, BHYT, BHTN) và Thuế TNCN)]]</f>
        <v>Từ 12 - 18 triệu VNĐ</v>
      </c>
      <c r="O197">
        <f>step3_validation[[#This Row],[Dependents]]</f>
        <v>2</v>
      </c>
      <c r="P197" t="str">
        <f>survey_responses[[#This Row],[Số người phụ thuộc (con nhỏ, cha mẹ già...) đủ điều kiện giảm trừ gia cảnh:]]</f>
        <v>2 người</v>
      </c>
      <c r="Q197">
        <f>step3_validation[[#This Row],[AI_ENF1]]</f>
        <v>5</v>
      </c>
      <c r="R197" t="str">
        <f t="shared" si="81"/>
        <v>Neutral</v>
      </c>
      <c r="S197">
        <f>survey_responses[[#This Row],[Tôi tin rằng với các quy định quản lý thuế hiện nay, hành vi gian lận hoặc trốn thuế sẽ dễ dàng bị phát hiện và xử lý nghiêm. - HUMAN-ENF1]]</f>
        <v>9</v>
      </c>
      <c r="T197" t="str">
        <f t="shared" si="82"/>
        <v>Support</v>
      </c>
      <c r="U197" s="32">
        <f t="shared" si="83"/>
        <v>4</v>
      </c>
      <c r="V197">
        <f>step3_validation[[#This Row],[AI_ENF2]]</f>
        <v>6</v>
      </c>
      <c r="W197" t="str">
        <f t="shared" si="84"/>
        <v>Neutral</v>
      </c>
      <c r="X197">
        <f>survey_responses[[#This Row],[Tôi tin rằng Nhà nước, cơ quan thuế có đủ khả năng và công nghệ để phát hiện, xử lý nghiêm các hành vi trốn thuế. - HUMAN-ENF2]]</f>
        <v>9</v>
      </c>
      <c r="Y197" t="str">
        <f t="shared" si="85"/>
        <v>Support</v>
      </c>
      <c r="Z197" s="32">
        <f t="shared" si="86"/>
        <v>3</v>
      </c>
      <c r="AA197">
        <f>step3_validation[[#This Row],[AI_FAC1]]</f>
        <v>7</v>
      </c>
      <c r="AB197" t="str">
        <f t="shared" si="87"/>
        <v>Neutral</v>
      </c>
      <c r="AC197">
        <f>survey_responses[[#This Row],[Các thủ tục khai báo thuế VÀ/HOẶC quy trình làm việc với cơ quan thuế đơn giản, tiện lợi, nhanh chóng hơn so với trước đây. - HUMAN-FAC1]]</f>
        <v>9</v>
      </c>
      <c r="AD197" t="str">
        <f t="shared" si="88"/>
        <v>Support</v>
      </c>
      <c r="AE197" s="32">
        <f t="shared" si="89"/>
        <v>2</v>
      </c>
      <c r="AF197">
        <f>step3_validation[[#This Row],[AI_FAC2]]</f>
        <v>8</v>
      </c>
      <c r="AG197" t="str">
        <f t="shared" si="90"/>
        <v>Support</v>
      </c>
      <c r="AH197">
        <f>survey_responses[[#This Row],[So với trước đây, tôi thấy cách tính thuế và các bậc thuế trong phương án mới đơn giản, dễ hiểu và dễ thực hiện hơn. - HUMAN-FAC2]]</f>
        <v>9</v>
      </c>
      <c r="AI197" t="str">
        <f t="shared" si="91"/>
        <v>Support</v>
      </c>
      <c r="AJ197" s="32">
        <f t="shared" si="92"/>
        <v>1</v>
      </c>
      <c r="AK197">
        <f>step3_validation[[#This Row],[AI_TRU1]]</f>
        <v>9</v>
      </c>
      <c r="AL197" t="str">
        <f t="shared" si="93"/>
        <v>Support</v>
      </c>
      <c r="AM197">
        <f>survey_responses[[#This Row],[Tôi tin rằng Nhà nước, cơ quan thuế sẽ thực thi chính sách mới một cách khách quan, công tâm và đối xử bình đẳng với mọi người nộp thuế.  - HUMAN-TRU1]]</f>
        <v>9</v>
      </c>
      <c r="AN197" t="str">
        <f t="shared" si="94"/>
        <v>Support</v>
      </c>
      <c r="AO197" s="32">
        <f t="shared" si="95"/>
        <v>0</v>
      </c>
      <c r="AP197">
        <f>step3_validation[[#This Row],[AI_TRU2]]</f>
        <v>9</v>
      </c>
      <c r="AQ197" t="str">
        <f t="shared" si="96"/>
        <v>Support</v>
      </c>
      <c r="AR197">
        <f>survey_responses[[#This Row],[Tôi thấy mức thuế tôi phải đóng theo phương án mới là công bằng (người thu nhập như tôi đóng mức này là hợp lý). - HUMAN-TRU2]]</f>
        <v>9</v>
      </c>
      <c r="AS197" t="str">
        <f t="shared" si="97"/>
        <v>Support</v>
      </c>
      <c r="AT197" s="32">
        <f t="shared" si="98"/>
        <v>0</v>
      </c>
      <c r="AU197">
        <f>step3_validation[[#This Row],[AI_TRU3]]</f>
        <v>8</v>
      </c>
      <c r="AV197" t="str">
        <f t="shared" si="99"/>
        <v>Support</v>
      </c>
      <c r="AW197">
        <f>survey_responses[[#This Row],[Tôi tin tưởng số tiền thuế tôi đóng sẽ được Nhà nước sử dụng hiệu quả để cải thiện dịch vụ công (y tế, đường xá...). - HUMAN-TRU3]]</f>
        <v>9</v>
      </c>
      <c r="AX197" t="str">
        <f t="shared" si="100"/>
        <v>Support</v>
      </c>
      <c r="AY197" s="32">
        <f t="shared" si="101"/>
        <v>1</v>
      </c>
      <c r="AZ197">
        <f>step3_validation[[#This Row],[AI_TRU4]]</f>
        <v>9</v>
      </c>
      <c r="BA197" t="str">
        <f t="shared" si="102"/>
        <v>Support</v>
      </c>
      <c r="BB197">
        <f>survey_responses[[#This Row],[Tôi thấy Nhà nước đã giải thích rõ ràng, minh bạch về lý do và mục tiêu của việc sửa đổi thuế lần này. - HUMAN-TRU4]]</f>
        <v>9</v>
      </c>
      <c r="BC197" t="str">
        <f t="shared" si="103"/>
        <v>Support</v>
      </c>
      <c r="BD197" s="32">
        <f t="shared" si="104"/>
        <v>0</v>
      </c>
      <c r="BE197">
        <f>step3_validation[[#This Row],[AI_OUT1]]</f>
        <v>7</v>
      </c>
      <c r="BF197" t="str">
        <f t="shared" si="105"/>
        <v>Neutral</v>
      </c>
      <c r="BG197">
        <f>survey_responses[[#This Row],[Sau khi xem xét các quyền lợi và nghĩa vụ, bạn có ủng hộ và tuân thủ chính sách mới hiện nay? - HUMAN-OUT1]]</f>
        <v>9</v>
      </c>
      <c r="BH197" t="str">
        <f t="shared" si="106"/>
        <v>Support</v>
      </c>
      <c r="BI197" s="32">
        <f t="shared" si="107"/>
        <v>2</v>
      </c>
    </row>
    <row r="198" spans="1:61" x14ac:dyDescent="0.45">
      <c r="A198" s="30">
        <f>step3_validation[[#This Row],[Persona_ID]]</f>
        <v>197</v>
      </c>
      <c r="B198" s="31">
        <f>step3_validation[[#This Row],[Used_Seed]]</f>
        <v>197</v>
      </c>
      <c r="C198" t="str">
        <f>step3_validation[[#This Row],[Gender]]</f>
        <v>Nữ</v>
      </c>
      <c r="D198" t="str">
        <f>survey_responses[[#This Row],[Giới tính của bạn:]]</f>
        <v>Nữ</v>
      </c>
      <c r="E198" t="str">
        <f>step3_validation[[#This Row],[Age_Group]]</f>
        <v>40 - 49</v>
      </c>
      <c r="F198" t="str">
        <f>survey_responses[[#This Row],[Độ tuổi của bạn:]]</f>
        <v>40 - 49</v>
      </c>
      <c r="G198" t="str">
        <f>step3_validation[[#This Row],[Region]]</f>
        <v>Thành thị</v>
      </c>
      <c r="H198" t="str">
        <f>survey_responses[[#This Row],[Khu vực bạn đang sinh sống:]]</f>
        <v>Thành thị</v>
      </c>
      <c r="I198" t="str">
        <f>step3_validation[[#This Row],[Education]]</f>
        <v>Sau Đại học</v>
      </c>
      <c r="J198" t="str">
        <f>survey_responses[[#This Row],[Trình độ học vấn cao nhất:]]</f>
        <v>Sau Đại học</v>
      </c>
      <c r="K198" t="str">
        <f>step3_validation[[#This Row],[Employment]]</f>
        <v>Chính thức</v>
      </c>
      <c r="L198" t="str">
        <f>survey_responses[[#This Row],[Tình trạng việc làm chính:]]</f>
        <v>Khu vực chính thức (Có Hợp đồng lao động, đóng BHXH)</v>
      </c>
      <c r="M198">
        <f>step3_validation[[#This Row],[Income_Mil]]</f>
        <v>16.67283069148586</v>
      </c>
      <c r="N198" t="str">
        <f>survey_responses[[#This Row],[Thu nhập bình quân tháng theo Hợp đồng lao động của bạn là bao nhiêu? (Vui lòng điền tổng thu nhập trước khi khấu trừ các loại Bảo hiểm (BHXH, BHYT, BHTN) và Thuế TNCN)]]</f>
        <v>Từ 12 - 18 triệu VNĐ</v>
      </c>
      <c r="O198">
        <f>step3_validation[[#This Row],[Dependents]]</f>
        <v>3</v>
      </c>
      <c r="P198" t="str">
        <f>survey_responses[[#This Row],[Số người phụ thuộc (con nhỏ, cha mẹ già...) đủ điều kiện giảm trừ gia cảnh:]]</f>
        <v>3 người</v>
      </c>
      <c r="Q198">
        <f>step3_validation[[#This Row],[AI_ENF1]]</f>
        <v>8</v>
      </c>
      <c r="R198" t="str">
        <f t="shared" si="81"/>
        <v>Support</v>
      </c>
      <c r="S198">
        <f>survey_responses[[#This Row],[Tôi tin rằng với các quy định quản lý thuế hiện nay, hành vi gian lận hoặc trốn thuế sẽ dễ dàng bị phát hiện và xử lý nghiêm. - HUMAN-ENF1]]</f>
        <v>9</v>
      </c>
      <c r="T198" t="str">
        <f t="shared" si="82"/>
        <v>Support</v>
      </c>
      <c r="U198" s="32">
        <f t="shared" si="83"/>
        <v>1</v>
      </c>
      <c r="V198">
        <f>step3_validation[[#This Row],[AI_ENF2]]</f>
        <v>7</v>
      </c>
      <c r="W198" t="str">
        <f t="shared" si="84"/>
        <v>Neutral</v>
      </c>
      <c r="X198">
        <f>survey_responses[[#This Row],[Tôi tin rằng Nhà nước, cơ quan thuế có đủ khả năng và công nghệ để phát hiện, xử lý nghiêm các hành vi trốn thuế. - HUMAN-ENF2]]</f>
        <v>10</v>
      </c>
      <c r="Y198" t="str">
        <f t="shared" si="85"/>
        <v>Support</v>
      </c>
      <c r="Z198" s="32">
        <f t="shared" si="86"/>
        <v>3</v>
      </c>
      <c r="AA198">
        <f>step3_validation[[#This Row],[AI_FAC1]]</f>
        <v>9</v>
      </c>
      <c r="AB198" t="str">
        <f t="shared" si="87"/>
        <v>Support</v>
      </c>
      <c r="AC198">
        <f>survey_responses[[#This Row],[Các thủ tục khai báo thuế VÀ/HOẶC quy trình làm việc với cơ quan thuế đơn giản, tiện lợi, nhanh chóng hơn so với trước đây. - HUMAN-FAC1]]</f>
        <v>10</v>
      </c>
      <c r="AD198" t="str">
        <f t="shared" si="88"/>
        <v>Support</v>
      </c>
      <c r="AE198" s="32">
        <f t="shared" si="89"/>
        <v>1</v>
      </c>
      <c r="AF198">
        <f>step3_validation[[#This Row],[AI_FAC2]]</f>
        <v>9</v>
      </c>
      <c r="AG198" t="str">
        <f t="shared" si="90"/>
        <v>Support</v>
      </c>
      <c r="AH198">
        <f>survey_responses[[#This Row],[So với trước đây, tôi thấy cách tính thuế và các bậc thuế trong phương án mới đơn giản, dễ hiểu và dễ thực hiện hơn. - HUMAN-FAC2]]</f>
        <v>9</v>
      </c>
      <c r="AI198" t="str">
        <f t="shared" si="91"/>
        <v>Support</v>
      </c>
      <c r="AJ198" s="32">
        <f t="shared" si="92"/>
        <v>0</v>
      </c>
      <c r="AK198">
        <f>step3_validation[[#This Row],[AI_TRU1]]</f>
        <v>9</v>
      </c>
      <c r="AL198" t="str">
        <f t="shared" si="93"/>
        <v>Support</v>
      </c>
      <c r="AM198">
        <f>survey_responses[[#This Row],[Tôi tin rằng Nhà nước, cơ quan thuế sẽ thực thi chính sách mới một cách khách quan, công tâm và đối xử bình đẳng với mọi người nộp thuế.  - HUMAN-TRU1]]</f>
        <v>10</v>
      </c>
      <c r="AN198" t="str">
        <f t="shared" si="94"/>
        <v>Support</v>
      </c>
      <c r="AO198" s="32">
        <f t="shared" si="95"/>
        <v>1</v>
      </c>
      <c r="AP198">
        <f>step3_validation[[#This Row],[AI_TRU2]]</f>
        <v>9</v>
      </c>
      <c r="AQ198" t="str">
        <f t="shared" si="96"/>
        <v>Support</v>
      </c>
      <c r="AR198">
        <f>survey_responses[[#This Row],[Tôi thấy mức thuế tôi phải đóng theo phương án mới là công bằng (người thu nhập như tôi đóng mức này là hợp lý). - HUMAN-TRU2]]</f>
        <v>10</v>
      </c>
      <c r="AS198" t="str">
        <f t="shared" si="97"/>
        <v>Support</v>
      </c>
      <c r="AT198" s="32">
        <f t="shared" si="98"/>
        <v>1</v>
      </c>
      <c r="AU198">
        <f>step3_validation[[#This Row],[AI_TRU3]]</f>
        <v>8</v>
      </c>
      <c r="AV198" t="str">
        <f t="shared" si="99"/>
        <v>Support</v>
      </c>
      <c r="AW198">
        <f>survey_responses[[#This Row],[Tôi tin tưởng số tiền thuế tôi đóng sẽ được Nhà nước sử dụng hiệu quả để cải thiện dịch vụ công (y tế, đường xá...). - HUMAN-TRU3]]</f>
        <v>10</v>
      </c>
      <c r="AX198" t="str">
        <f t="shared" si="100"/>
        <v>Support</v>
      </c>
      <c r="AY198" s="32">
        <f t="shared" si="101"/>
        <v>2</v>
      </c>
      <c r="AZ198">
        <f>step3_validation[[#This Row],[AI_TRU4]]</f>
        <v>7</v>
      </c>
      <c r="BA198" t="str">
        <f t="shared" si="102"/>
        <v>Neutral</v>
      </c>
      <c r="BB198">
        <f>survey_responses[[#This Row],[Tôi thấy Nhà nước đã giải thích rõ ràng, minh bạch về lý do và mục tiêu của việc sửa đổi thuế lần này. - HUMAN-TRU4]]</f>
        <v>9</v>
      </c>
      <c r="BC198" t="str">
        <f t="shared" si="103"/>
        <v>Support</v>
      </c>
      <c r="BD198" s="32">
        <f t="shared" si="104"/>
        <v>2</v>
      </c>
      <c r="BE198">
        <f>step3_validation[[#This Row],[AI_OUT1]]</f>
        <v>9</v>
      </c>
      <c r="BF198" t="str">
        <f t="shared" si="105"/>
        <v>Support</v>
      </c>
      <c r="BG198">
        <f>survey_responses[[#This Row],[Sau khi xem xét các quyền lợi và nghĩa vụ, bạn có ủng hộ và tuân thủ chính sách mới hiện nay? - HUMAN-OUT1]]</f>
        <v>10</v>
      </c>
      <c r="BH198" t="str">
        <f t="shared" si="106"/>
        <v>Support</v>
      </c>
      <c r="BI198" s="32">
        <f t="shared" si="107"/>
        <v>1</v>
      </c>
    </row>
    <row r="199" spans="1:61" x14ac:dyDescent="0.45">
      <c r="A199" s="30">
        <f>step3_validation[[#This Row],[Persona_ID]]</f>
        <v>198</v>
      </c>
      <c r="B199" s="31">
        <f>step3_validation[[#This Row],[Used_Seed]]</f>
        <v>198</v>
      </c>
      <c r="C199" t="str">
        <f>step3_validation[[#This Row],[Gender]]</f>
        <v>Nữ</v>
      </c>
      <c r="D199" t="str">
        <f>survey_responses[[#This Row],[Giới tính của bạn:]]</f>
        <v>Nữ</v>
      </c>
      <c r="E199" t="str">
        <f>step3_validation[[#This Row],[Age_Group]]</f>
        <v>40 - 49</v>
      </c>
      <c r="F199" t="str">
        <f>survey_responses[[#This Row],[Độ tuổi của bạn:]]</f>
        <v>40 - 49</v>
      </c>
      <c r="G199" t="str">
        <f>step3_validation[[#This Row],[Region]]</f>
        <v>Thành thị</v>
      </c>
      <c r="H199" t="str">
        <f>survey_responses[[#This Row],[Khu vực bạn đang sinh sống:]]</f>
        <v>Thành thị</v>
      </c>
      <c r="I199" t="str">
        <f>step3_validation[[#This Row],[Education]]</f>
        <v>Sau Đại học</v>
      </c>
      <c r="J199" t="str">
        <f>survey_responses[[#This Row],[Trình độ học vấn cao nhất:]]</f>
        <v>Sau Đại học</v>
      </c>
      <c r="K199" t="str">
        <f>step3_validation[[#This Row],[Employment]]</f>
        <v>Chính thức</v>
      </c>
      <c r="L199" t="str">
        <f>survey_responses[[#This Row],[Tình trạng việc làm chính:]]</f>
        <v>Khu vực chính thức (Có Hợp đồng lao động, đóng BHXH)</v>
      </c>
      <c r="M199">
        <f>step3_validation[[#This Row],[Income_Mil]]</f>
        <v>15.992929684930616</v>
      </c>
      <c r="N199" t="str">
        <f>survey_responses[[#This Row],[Thu nhập bình quân tháng theo Hợp đồng lao động của bạn là bao nhiêu? (Vui lòng điền tổng thu nhập trước khi khấu trừ các loại Bảo hiểm (BHXH, BHYT, BHTN) và Thuế TNCN)]]</f>
        <v>Từ 12 - 18 triệu VNĐ</v>
      </c>
      <c r="O199">
        <f>step3_validation[[#This Row],[Dependents]]</f>
        <v>2</v>
      </c>
      <c r="P199" t="str">
        <f>survey_responses[[#This Row],[Số người phụ thuộc (con nhỏ, cha mẹ già...) đủ điều kiện giảm trừ gia cảnh:]]</f>
        <v>2 người</v>
      </c>
      <c r="Q199">
        <f>step3_validation[[#This Row],[AI_ENF1]]</f>
        <v>9</v>
      </c>
      <c r="R199" t="str">
        <f t="shared" si="81"/>
        <v>Support</v>
      </c>
      <c r="S199">
        <f>survey_responses[[#This Row],[Tôi tin rằng với các quy định quản lý thuế hiện nay, hành vi gian lận hoặc trốn thuế sẽ dễ dàng bị phát hiện và xử lý nghiêm. - HUMAN-ENF1]]</f>
        <v>5</v>
      </c>
      <c r="T199" t="str">
        <f t="shared" si="82"/>
        <v>Neutral</v>
      </c>
      <c r="U199" s="32">
        <f t="shared" si="83"/>
        <v>4</v>
      </c>
      <c r="V199">
        <f>step3_validation[[#This Row],[AI_ENF2]]</f>
        <v>8</v>
      </c>
      <c r="W199" t="str">
        <f t="shared" si="84"/>
        <v>Support</v>
      </c>
      <c r="X199">
        <f>survey_responses[[#This Row],[Tôi tin rằng Nhà nước, cơ quan thuế có đủ khả năng và công nghệ để phát hiện, xử lý nghiêm các hành vi trốn thuế. - HUMAN-ENF2]]</f>
        <v>5</v>
      </c>
      <c r="Y199" t="str">
        <f t="shared" si="85"/>
        <v>Neutral</v>
      </c>
      <c r="Z199" s="32">
        <f t="shared" si="86"/>
        <v>3</v>
      </c>
      <c r="AA199">
        <f>step3_validation[[#This Row],[AI_FAC1]]</f>
        <v>9</v>
      </c>
      <c r="AB199" t="str">
        <f t="shared" si="87"/>
        <v>Support</v>
      </c>
      <c r="AC199">
        <f>survey_responses[[#This Row],[Các thủ tục khai báo thuế VÀ/HOẶC quy trình làm việc với cơ quan thuế đơn giản, tiện lợi, nhanh chóng hơn so với trước đây. - HUMAN-FAC1]]</f>
        <v>5</v>
      </c>
      <c r="AD199" t="str">
        <f t="shared" si="88"/>
        <v>Neutral</v>
      </c>
      <c r="AE199" s="32">
        <f t="shared" si="89"/>
        <v>4</v>
      </c>
      <c r="AF199">
        <f>step3_validation[[#This Row],[AI_FAC2]]</f>
        <v>8</v>
      </c>
      <c r="AG199" t="str">
        <f t="shared" si="90"/>
        <v>Support</v>
      </c>
      <c r="AH199">
        <f>survey_responses[[#This Row],[So với trước đây, tôi thấy cách tính thuế và các bậc thuế trong phương án mới đơn giản, dễ hiểu và dễ thực hiện hơn. - HUMAN-FAC2]]</f>
        <v>5</v>
      </c>
      <c r="AI199" t="str">
        <f t="shared" si="91"/>
        <v>Neutral</v>
      </c>
      <c r="AJ199" s="32">
        <f t="shared" si="92"/>
        <v>3</v>
      </c>
      <c r="AK199">
        <f>step3_validation[[#This Row],[AI_TRU1]]</f>
        <v>9</v>
      </c>
      <c r="AL199" t="str">
        <f t="shared" si="93"/>
        <v>Support</v>
      </c>
      <c r="AM199">
        <f>survey_responses[[#This Row],[Tôi tin rằng Nhà nước, cơ quan thuế sẽ thực thi chính sách mới một cách khách quan, công tâm và đối xử bình đẳng với mọi người nộp thuế.  - HUMAN-TRU1]]</f>
        <v>5</v>
      </c>
      <c r="AN199" t="str">
        <f t="shared" si="94"/>
        <v>Neutral</v>
      </c>
      <c r="AO199" s="32">
        <f t="shared" si="95"/>
        <v>4</v>
      </c>
      <c r="AP199">
        <f>step3_validation[[#This Row],[AI_TRU2]]</f>
        <v>8</v>
      </c>
      <c r="AQ199" t="str">
        <f t="shared" si="96"/>
        <v>Support</v>
      </c>
      <c r="AR199">
        <f>survey_responses[[#This Row],[Tôi thấy mức thuế tôi phải đóng theo phương án mới là công bằng (người thu nhập như tôi đóng mức này là hợp lý). - HUMAN-TRU2]]</f>
        <v>5</v>
      </c>
      <c r="AS199" t="str">
        <f t="shared" si="97"/>
        <v>Neutral</v>
      </c>
      <c r="AT199" s="32">
        <f t="shared" si="98"/>
        <v>3</v>
      </c>
      <c r="AU199">
        <f>step3_validation[[#This Row],[AI_TRU3]]</f>
        <v>9</v>
      </c>
      <c r="AV199" t="str">
        <f t="shared" si="99"/>
        <v>Support</v>
      </c>
      <c r="AW199">
        <f>survey_responses[[#This Row],[Tôi tin tưởng số tiền thuế tôi đóng sẽ được Nhà nước sử dụng hiệu quả để cải thiện dịch vụ công (y tế, đường xá...). - HUMAN-TRU3]]</f>
        <v>5</v>
      </c>
      <c r="AX199" t="str">
        <f t="shared" si="100"/>
        <v>Neutral</v>
      </c>
      <c r="AY199" s="32">
        <f t="shared" si="101"/>
        <v>4</v>
      </c>
      <c r="AZ199">
        <f>step3_validation[[#This Row],[AI_TRU4]]</f>
        <v>8</v>
      </c>
      <c r="BA199" t="str">
        <f t="shared" si="102"/>
        <v>Support</v>
      </c>
      <c r="BB199">
        <f>survey_responses[[#This Row],[Tôi thấy Nhà nước đã giải thích rõ ràng, minh bạch về lý do và mục tiêu của việc sửa đổi thuế lần này. - HUMAN-TRU4]]</f>
        <v>4</v>
      </c>
      <c r="BC199" t="str">
        <f t="shared" si="103"/>
        <v>Oppose</v>
      </c>
      <c r="BD199" s="32">
        <f t="shared" si="104"/>
        <v>4</v>
      </c>
      <c r="BE199">
        <f>step3_validation[[#This Row],[AI_OUT1]]</f>
        <v>9</v>
      </c>
      <c r="BF199" t="str">
        <f t="shared" si="105"/>
        <v>Support</v>
      </c>
      <c r="BG199">
        <f>survey_responses[[#This Row],[Sau khi xem xét các quyền lợi và nghĩa vụ, bạn có ủng hộ và tuân thủ chính sách mới hiện nay? - HUMAN-OUT1]]</f>
        <v>5</v>
      </c>
      <c r="BH199" t="str">
        <f t="shared" si="106"/>
        <v>Neutral</v>
      </c>
      <c r="BI199" s="32">
        <f t="shared" si="107"/>
        <v>4</v>
      </c>
    </row>
    <row r="200" spans="1:61" x14ac:dyDescent="0.45">
      <c r="A200" s="30">
        <f>step3_validation[[#This Row],[Persona_ID]]</f>
        <v>199</v>
      </c>
      <c r="B200" s="31">
        <f>step3_validation[[#This Row],[Used_Seed]]</f>
        <v>199</v>
      </c>
      <c r="C200" t="str">
        <f>step3_validation[[#This Row],[Gender]]</f>
        <v>Nữ</v>
      </c>
      <c r="D200" t="str">
        <f>survey_responses[[#This Row],[Giới tính của bạn:]]</f>
        <v>Nữ</v>
      </c>
      <c r="E200" t="str">
        <f>step3_validation[[#This Row],[Age_Group]]</f>
        <v>55 - 64</v>
      </c>
      <c r="F200" t="str">
        <f>survey_responses[[#This Row],[Độ tuổi của bạn:]]</f>
        <v>55 - 64</v>
      </c>
      <c r="G200" t="str">
        <f>step3_validation[[#This Row],[Region]]</f>
        <v>Thành thị</v>
      </c>
      <c r="H200" t="str">
        <f>survey_responses[[#This Row],[Khu vực bạn đang sinh sống:]]</f>
        <v>Thành thị</v>
      </c>
      <c r="I200" t="str">
        <f>step3_validation[[#This Row],[Education]]</f>
        <v>Sau Đại học</v>
      </c>
      <c r="J200" t="str">
        <f>survey_responses[[#This Row],[Trình độ học vấn cao nhất:]]</f>
        <v>Sau Đại học</v>
      </c>
      <c r="K200" t="str">
        <f>step3_validation[[#This Row],[Employment]]</f>
        <v>Phi chính thức</v>
      </c>
      <c r="L200" t="str">
        <f>survey_responses[[#This Row],[Tình trạng việc làm chính:]]</f>
        <v>Khác (Về hưu, nội trợ, sinh viên)</v>
      </c>
      <c r="M200">
        <f>step3_validation[[#This Row],[Income_Mil]]</f>
        <v>12</v>
      </c>
      <c r="N200" t="str">
        <f>survey_responses[[#This Row],[Thu nhập bình quân tháng theo Hợp đồng lao động của bạn là bao nhiêu? (Vui lòng điền tổng thu nhập trước khi khấu trừ các loại Bảo hiểm (BHXH, BHYT, BHTN) và Thuế TNCN)]]</f>
        <v>Dưới 12 triệu VNĐ</v>
      </c>
      <c r="O200">
        <f>step3_validation[[#This Row],[Dependents]]</f>
        <v>1</v>
      </c>
      <c r="P200" t="str">
        <f>survey_responses[[#This Row],[Số người phụ thuộc (con nhỏ, cha mẹ già...) đủ điều kiện giảm trừ gia cảnh:]]</f>
        <v>1 người</v>
      </c>
      <c r="Q200">
        <f>step3_validation[[#This Row],[AI_ENF1]]</f>
        <v>8</v>
      </c>
      <c r="R200" t="str">
        <f t="shared" si="81"/>
        <v>Support</v>
      </c>
      <c r="S200">
        <f>survey_responses[[#This Row],[Tôi tin rằng với các quy định quản lý thuế hiện nay, hành vi gian lận hoặc trốn thuế sẽ dễ dàng bị phát hiện và xử lý nghiêm. - HUMAN-ENF1]]</f>
        <v>9</v>
      </c>
      <c r="T200" t="str">
        <f t="shared" si="82"/>
        <v>Support</v>
      </c>
      <c r="U200" s="32">
        <f t="shared" si="83"/>
        <v>1</v>
      </c>
      <c r="V200">
        <f>step3_validation[[#This Row],[AI_ENF2]]</f>
        <v>7</v>
      </c>
      <c r="W200" t="str">
        <f t="shared" si="84"/>
        <v>Neutral</v>
      </c>
      <c r="X200">
        <f>survey_responses[[#This Row],[Tôi tin rằng Nhà nước, cơ quan thuế có đủ khả năng và công nghệ để phát hiện, xử lý nghiêm các hành vi trốn thuế. - HUMAN-ENF2]]</f>
        <v>8</v>
      </c>
      <c r="Y200" t="str">
        <f t="shared" si="85"/>
        <v>Support</v>
      </c>
      <c r="Z200" s="32">
        <f t="shared" si="86"/>
        <v>1</v>
      </c>
      <c r="AA200">
        <f>step3_validation[[#This Row],[AI_FAC1]]</f>
        <v>9</v>
      </c>
      <c r="AB200" t="str">
        <f t="shared" si="87"/>
        <v>Support</v>
      </c>
      <c r="AC200">
        <f>survey_responses[[#This Row],[Các thủ tục khai báo thuế VÀ/HOẶC quy trình làm việc với cơ quan thuế đơn giản, tiện lợi, nhanh chóng hơn so với trước đây. - HUMAN-FAC1]]</f>
        <v>9</v>
      </c>
      <c r="AD200" t="str">
        <f t="shared" si="88"/>
        <v>Support</v>
      </c>
      <c r="AE200" s="32">
        <f t="shared" si="89"/>
        <v>0</v>
      </c>
      <c r="AF200">
        <f>step3_validation[[#This Row],[AI_FAC2]]</f>
        <v>9</v>
      </c>
      <c r="AG200" t="str">
        <f t="shared" si="90"/>
        <v>Support</v>
      </c>
      <c r="AH200">
        <f>survey_responses[[#This Row],[So với trước đây, tôi thấy cách tính thuế và các bậc thuế trong phương án mới đơn giản, dễ hiểu và dễ thực hiện hơn. - HUMAN-FAC2]]</f>
        <v>9</v>
      </c>
      <c r="AI200" t="str">
        <f t="shared" si="91"/>
        <v>Support</v>
      </c>
      <c r="AJ200" s="32">
        <f t="shared" si="92"/>
        <v>0</v>
      </c>
      <c r="AK200">
        <f>step3_validation[[#This Row],[AI_TRU1]]</f>
        <v>8</v>
      </c>
      <c r="AL200" t="str">
        <f t="shared" si="93"/>
        <v>Support</v>
      </c>
      <c r="AM200">
        <f>survey_responses[[#This Row],[Tôi tin rằng Nhà nước, cơ quan thuế sẽ thực thi chính sách mới một cách khách quan, công tâm và đối xử bình đẳng với mọi người nộp thuế.  - HUMAN-TRU1]]</f>
        <v>8</v>
      </c>
      <c r="AN200" t="str">
        <f t="shared" si="94"/>
        <v>Support</v>
      </c>
      <c r="AO200" s="32">
        <f t="shared" si="95"/>
        <v>0</v>
      </c>
      <c r="AP200">
        <f>step3_validation[[#This Row],[AI_TRU2]]</f>
        <v>9</v>
      </c>
      <c r="AQ200" t="str">
        <f t="shared" si="96"/>
        <v>Support</v>
      </c>
      <c r="AR200">
        <f>survey_responses[[#This Row],[Tôi thấy mức thuế tôi phải đóng theo phương án mới là công bằng (người thu nhập như tôi đóng mức này là hợp lý). - HUMAN-TRU2]]</f>
        <v>9</v>
      </c>
      <c r="AS200" t="str">
        <f t="shared" si="97"/>
        <v>Support</v>
      </c>
      <c r="AT200" s="32">
        <f t="shared" si="98"/>
        <v>0</v>
      </c>
      <c r="AU200">
        <f>step3_validation[[#This Row],[AI_TRU3]]</f>
        <v>8</v>
      </c>
      <c r="AV200" t="str">
        <f t="shared" si="99"/>
        <v>Support</v>
      </c>
      <c r="AW200">
        <f>survey_responses[[#This Row],[Tôi tin tưởng số tiền thuế tôi đóng sẽ được Nhà nước sử dụng hiệu quả để cải thiện dịch vụ công (y tế, đường xá...). - HUMAN-TRU3]]</f>
        <v>10</v>
      </c>
      <c r="AX200" t="str">
        <f t="shared" si="100"/>
        <v>Support</v>
      </c>
      <c r="AY200" s="32">
        <f t="shared" si="101"/>
        <v>2</v>
      </c>
      <c r="AZ200">
        <f>step3_validation[[#This Row],[AI_TRU4]]</f>
        <v>6</v>
      </c>
      <c r="BA200" t="str">
        <f t="shared" si="102"/>
        <v>Neutral</v>
      </c>
      <c r="BB200">
        <f>survey_responses[[#This Row],[Tôi thấy Nhà nước đã giải thích rõ ràng, minh bạch về lý do và mục tiêu của việc sửa đổi thuế lần này. - HUMAN-TRU4]]</f>
        <v>9</v>
      </c>
      <c r="BC200" t="str">
        <f t="shared" si="103"/>
        <v>Support</v>
      </c>
      <c r="BD200" s="32">
        <f t="shared" si="104"/>
        <v>3</v>
      </c>
      <c r="BE200">
        <f>step3_validation[[#This Row],[AI_OUT1]]</f>
        <v>9</v>
      </c>
      <c r="BF200" t="str">
        <f t="shared" si="105"/>
        <v>Support</v>
      </c>
      <c r="BG200">
        <f>survey_responses[[#This Row],[Sau khi xem xét các quyền lợi và nghĩa vụ, bạn có ủng hộ và tuân thủ chính sách mới hiện nay? - HUMAN-OUT1]]</f>
        <v>10</v>
      </c>
      <c r="BH200" t="str">
        <f t="shared" si="106"/>
        <v>Support</v>
      </c>
      <c r="BI200" s="32">
        <f t="shared" si="107"/>
        <v>1</v>
      </c>
    </row>
    <row r="201" spans="1:61" x14ac:dyDescent="0.45">
      <c r="A201" s="30">
        <f>step3_validation[[#This Row],[Persona_ID]]</f>
        <v>200</v>
      </c>
      <c r="B201" s="31">
        <f>step3_validation[[#This Row],[Used_Seed]]</f>
        <v>200</v>
      </c>
      <c r="C201" t="str">
        <f>step3_validation[[#This Row],[Gender]]</f>
        <v>Nam</v>
      </c>
      <c r="D201" t="str">
        <f>survey_responses[[#This Row],[Giới tính của bạn:]]</f>
        <v>Nam</v>
      </c>
      <c r="E201" t="str">
        <f>step3_validation[[#This Row],[Age_Group]]</f>
        <v>50 - 54</v>
      </c>
      <c r="F201" t="str">
        <f>survey_responses[[#This Row],[Độ tuổi của bạn:]]</f>
        <v>50 - 54</v>
      </c>
      <c r="G201" t="str">
        <f>step3_validation[[#This Row],[Region]]</f>
        <v>Thành thị</v>
      </c>
      <c r="H201" t="str">
        <f>survey_responses[[#This Row],[Khu vực bạn đang sinh sống:]]</f>
        <v>Thành thị</v>
      </c>
      <c r="I201" t="str">
        <f>step3_validation[[#This Row],[Education]]</f>
        <v>Đại học</v>
      </c>
      <c r="J201" t="str">
        <f>survey_responses[[#This Row],[Trình độ học vấn cao nhất:]]</f>
        <v>Đại học</v>
      </c>
      <c r="K201" t="str">
        <f>step3_validation[[#This Row],[Employment]]</f>
        <v>Chính thức</v>
      </c>
      <c r="L201" t="str">
        <f>survey_responses[[#This Row],[Tình trạng việc làm chính:]]</f>
        <v>Khu vực chính thức (Có Hợp đồng lao động, đóng BHXH)</v>
      </c>
      <c r="M201">
        <f>step3_validation[[#This Row],[Income_Mil]]</f>
        <v>90.051858454053274</v>
      </c>
      <c r="N201" t="str">
        <f>survey_responses[[#This Row],[Thu nhập bình quân tháng theo Hợp đồng lao động của bạn là bao nhiêu? (Vui lòng điền tổng thu nhập trước khi khấu trừ các loại Bảo hiểm (BHXH, BHYT, BHTN) và Thuế TNCN)]]</f>
        <v>Từ 70 - 102 triệu VNĐ</v>
      </c>
      <c r="O201">
        <f>step3_validation[[#This Row],[Dependents]]</f>
        <v>3</v>
      </c>
      <c r="P201" t="str">
        <f>survey_responses[[#This Row],[Số người phụ thuộc (con nhỏ, cha mẹ già...) đủ điều kiện giảm trừ gia cảnh:]]</f>
        <v>3 người</v>
      </c>
      <c r="Q201">
        <f>step3_validation[[#This Row],[AI_ENF1]]</f>
        <v>8</v>
      </c>
      <c r="R201" t="str">
        <f t="shared" si="81"/>
        <v>Support</v>
      </c>
      <c r="S201">
        <f>survey_responses[[#This Row],[Tôi tin rằng với các quy định quản lý thuế hiện nay, hành vi gian lận hoặc trốn thuế sẽ dễ dàng bị phát hiện và xử lý nghiêm. - HUMAN-ENF1]]</f>
        <v>4</v>
      </c>
      <c r="T201" t="str">
        <f t="shared" si="82"/>
        <v>Oppose</v>
      </c>
      <c r="U201" s="32">
        <f t="shared" si="83"/>
        <v>4</v>
      </c>
      <c r="V201">
        <f>step3_validation[[#This Row],[AI_ENF2]]</f>
        <v>7</v>
      </c>
      <c r="W201" t="str">
        <f t="shared" si="84"/>
        <v>Neutral</v>
      </c>
      <c r="X201">
        <f>survey_responses[[#This Row],[Tôi tin rằng Nhà nước, cơ quan thuế có đủ khả năng và công nghệ để phát hiện, xử lý nghiêm các hành vi trốn thuế. - HUMAN-ENF2]]</f>
        <v>4</v>
      </c>
      <c r="Y201" t="str">
        <f t="shared" si="85"/>
        <v>Oppose</v>
      </c>
      <c r="Z201" s="32">
        <f t="shared" si="86"/>
        <v>3</v>
      </c>
      <c r="AA201">
        <f>step3_validation[[#This Row],[AI_FAC1]]</f>
        <v>9</v>
      </c>
      <c r="AB201" t="str">
        <f t="shared" si="87"/>
        <v>Support</v>
      </c>
      <c r="AC201">
        <f>survey_responses[[#This Row],[Các thủ tục khai báo thuế VÀ/HOẶC quy trình làm việc với cơ quan thuế đơn giản, tiện lợi, nhanh chóng hơn so với trước đây. - HUMAN-FAC1]]</f>
        <v>3</v>
      </c>
      <c r="AD201" t="str">
        <f t="shared" si="88"/>
        <v>Oppose</v>
      </c>
      <c r="AE201" s="32">
        <f t="shared" si="89"/>
        <v>6</v>
      </c>
      <c r="AF201">
        <f>step3_validation[[#This Row],[AI_FAC2]]</f>
        <v>8</v>
      </c>
      <c r="AG201" t="str">
        <f t="shared" si="90"/>
        <v>Support</v>
      </c>
      <c r="AH201">
        <f>survey_responses[[#This Row],[So với trước đây, tôi thấy cách tính thuế và các bậc thuế trong phương án mới đơn giản, dễ hiểu và dễ thực hiện hơn. - HUMAN-FAC2]]</f>
        <v>5</v>
      </c>
      <c r="AI201" t="str">
        <f t="shared" si="91"/>
        <v>Neutral</v>
      </c>
      <c r="AJ201" s="32">
        <f t="shared" si="92"/>
        <v>3</v>
      </c>
      <c r="AK201">
        <f>step3_validation[[#This Row],[AI_TRU1]]</f>
        <v>9</v>
      </c>
      <c r="AL201" t="str">
        <f t="shared" si="93"/>
        <v>Support</v>
      </c>
      <c r="AM201">
        <f>survey_responses[[#This Row],[Tôi tin rằng Nhà nước, cơ quan thuế sẽ thực thi chính sách mới một cách khách quan, công tâm và đối xử bình đẳng với mọi người nộp thuế.  - HUMAN-TRU1]]</f>
        <v>4</v>
      </c>
      <c r="AN201" t="str">
        <f t="shared" si="94"/>
        <v>Oppose</v>
      </c>
      <c r="AO201" s="32">
        <f t="shared" si="95"/>
        <v>5</v>
      </c>
      <c r="AP201">
        <f>step3_validation[[#This Row],[AI_TRU2]]</f>
        <v>9</v>
      </c>
      <c r="AQ201" t="str">
        <f t="shared" si="96"/>
        <v>Support</v>
      </c>
      <c r="AR201">
        <f>survey_responses[[#This Row],[Tôi thấy mức thuế tôi phải đóng theo phương án mới là công bằng (người thu nhập như tôi đóng mức này là hợp lý). - HUMAN-TRU2]]</f>
        <v>5</v>
      </c>
      <c r="AS201" t="str">
        <f t="shared" si="97"/>
        <v>Neutral</v>
      </c>
      <c r="AT201" s="32">
        <f t="shared" si="98"/>
        <v>4</v>
      </c>
      <c r="AU201">
        <f>step3_validation[[#This Row],[AI_TRU3]]</f>
        <v>8</v>
      </c>
      <c r="AV201" t="str">
        <f t="shared" si="99"/>
        <v>Support</v>
      </c>
      <c r="AW201">
        <f>survey_responses[[#This Row],[Tôi tin tưởng số tiền thuế tôi đóng sẽ được Nhà nước sử dụng hiệu quả để cải thiện dịch vụ công (y tế, đường xá...). - HUMAN-TRU3]]</f>
        <v>1</v>
      </c>
      <c r="AX201" t="str">
        <f t="shared" si="100"/>
        <v>Oppose</v>
      </c>
      <c r="AY201" s="32">
        <f t="shared" si="101"/>
        <v>7</v>
      </c>
      <c r="AZ201">
        <f>step3_validation[[#This Row],[AI_TRU4]]</f>
        <v>7</v>
      </c>
      <c r="BA201" t="str">
        <f t="shared" si="102"/>
        <v>Neutral</v>
      </c>
      <c r="BB201">
        <f>survey_responses[[#This Row],[Tôi thấy Nhà nước đã giải thích rõ ràng, minh bạch về lý do và mục tiêu của việc sửa đổi thuế lần này. - HUMAN-TRU4]]</f>
        <v>5</v>
      </c>
      <c r="BC201" t="str">
        <f t="shared" si="103"/>
        <v>Neutral</v>
      </c>
      <c r="BD201" s="32">
        <f t="shared" si="104"/>
        <v>2</v>
      </c>
      <c r="BE201">
        <f>step3_validation[[#This Row],[AI_OUT1]]</f>
        <v>9</v>
      </c>
      <c r="BF201" t="str">
        <f t="shared" si="105"/>
        <v>Support</v>
      </c>
      <c r="BG201">
        <f>survey_responses[[#This Row],[Sau khi xem xét các quyền lợi và nghĩa vụ, bạn có ủng hộ và tuân thủ chính sách mới hiện nay? - HUMAN-OUT1]]</f>
        <v>5</v>
      </c>
      <c r="BH201" t="str">
        <f t="shared" si="106"/>
        <v>Neutral</v>
      </c>
      <c r="BI201" s="32">
        <f t="shared" si="107"/>
        <v>4</v>
      </c>
    </row>
    <row r="202" spans="1:61" x14ac:dyDescent="0.45">
      <c r="A202" s="30">
        <f>step3_validation[[#This Row],[Persona_ID]]</f>
        <v>201</v>
      </c>
      <c r="B202" s="31">
        <f>step3_validation[[#This Row],[Used_Seed]]</f>
        <v>201</v>
      </c>
      <c r="C202" t="str">
        <f>step3_validation[[#This Row],[Gender]]</f>
        <v>Nữ</v>
      </c>
      <c r="D202" t="str">
        <f>survey_responses[[#This Row],[Giới tính của bạn:]]</f>
        <v>Nữ</v>
      </c>
      <c r="E202" t="str">
        <f>step3_validation[[#This Row],[Age_Group]]</f>
        <v>55 - 64</v>
      </c>
      <c r="F202" t="str">
        <f>survey_responses[[#This Row],[Độ tuổi của bạn:]]</f>
        <v>55 - 64</v>
      </c>
      <c r="G202" t="str">
        <f>step3_validation[[#This Row],[Region]]</f>
        <v>Thành thị</v>
      </c>
      <c r="H202" t="str">
        <f>survey_responses[[#This Row],[Khu vực bạn đang sinh sống:]]</f>
        <v>Thành thị</v>
      </c>
      <c r="I202" t="str">
        <f>step3_validation[[#This Row],[Education]]</f>
        <v>Sau Đại học</v>
      </c>
      <c r="J202" t="str">
        <f>survey_responses[[#This Row],[Trình độ học vấn cao nhất:]]</f>
        <v>Sau Đại học</v>
      </c>
      <c r="K202" t="str">
        <f>step3_validation[[#This Row],[Employment]]</f>
        <v>Chính thức</v>
      </c>
      <c r="L202" t="str">
        <f>survey_responses[[#This Row],[Tình trạng việc làm chính:]]</f>
        <v>Khu vực chính thức (Có Hợp đồng lao động, đóng BHXH)</v>
      </c>
      <c r="M202">
        <f>step3_validation[[#This Row],[Income_Mil]]</f>
        <v>68.805408642462183</v>
      </c>
      <c r="N202" t="str">
        <f>survey_responses[[#This Row],[Thu nhập bình quân tháng theo Hợp đồng lao động của bạn là bao nhiêu? (Vui lòng điền tổng thu nhập trước khi khấu trừ các loại Bảo hiểm (BHXH, BHYT, BHTN) và Thuế TNCN)]]</f>
        <v>Từ 48 - 70 triệu VNĐ</v>
      </c>
      <c r="O202">
        <f>step3_validation[[#This Row],[Dependents]]</f>
        <v>1</v>
      </c>
      <c r="P202" t="str">
        <f>survey_responses[[#This Row],[Số người phụ thuộc (con nhỏ, cha mẹ già...) đủ điều kiện giảm trừ gia cảnh:]]</f>
        <v>1 người</v>
      </c>
      <c r="Q202">
        <f>step3_validation[[#This Row],[AI_ENF1]]</f>
        <v>9</v>
      </c>
      <c r="R202" t="str">
        <f t="shared" si="81"/>
        <v>Support</v>
      </c>
      <c r="S202">
        <f>survey_responses[[#This Row],[Tôi tin rằng với các quy định quản lý thuế hiện nay, hành vi gian lận hoặc trốn thuế sẽ dễ dàng bị phát hiện và xử lý nghiêm. - HUMAN-ENF1]]</f>
        <v>5</v>
      </c>
      <c r="T202" t="str">
        <f t="shared" si="82"/>
        <v>Neutral</v>
      </c>
      <c r="U202" s="32">
        <f t="shared" si="83"/>
        <v>4</v>
      </c>
      <c r="V202">
        <f>step3_validation[[#This Row],[AI_ENF2]]</f>
        <v>8</v>
      </c>
      <c r="W202" t="str">
        <f t="shared" si="84"/>
        <v>Support</v>
      </c>
      <c r="X202">
        <f>survey_responses[[#This Row],[Tôi tin rằng Nhà nước, cơ quan thuế có đủ khả năng và công nghệ để phát hiện, xử lý nghiêm các hành vi trốn thuế. - HUMAN-ENF2]]</f>
        <v>5</v>
      </c>
      <c r="Y202" t="str">
        <f t="shared" si="85"/>
        <v>Neutral</v>
      </c>
      <c r="Z202" s="32">
        <f t="shared" si="86"/>
        <v>3</v>
      </c>
      <c r="AA202">
        <f>step3_validation[[#This Row],[AI_FAC1]]</f>
        <v>9</v>
      </c>
      <c r="AB202" t="str">
        <f t="shared" si="87"/>
        <v>Support</v>
      </c>
      <c r="AC202">
        <f>survey_responses[[#This Row],[Các thủ tục khai báo thuế VÀ/HOẶC quy trình làm việc với cơ quan thuế đơn giản, tiện lợi, nhanh chóng hơn so với trước đây. - HUMAN-FAC1]]</f>
        <v>1</v>
      </c>
      <c r="AD202" t="str">
        <f t="shared" si="88"/>
        <v>Oppose</v>
      </c>
      <c r="AE202" s="32">
        <f t="shared" si="89"/>
        <v>8</v>
      </c>
      <c r="AF202">
        <f>step3_validation[[#This Row],[AI_FAC2]]</f>
        <v>7</v>
      </c>
      <c r="AG202" t="str">
        <f t="shared" si="90"/>
        <v>Neutral</v>
      </c>
      <c r="AH202">
        <f>survey_responses[[#This Row],[So với trước đây, tôi thấy cách tính thuế và các bậc thuế trong phương án mới đơn giản, dễ hiểu và dễ thực hiện hơn. - HUMAN-FAC2]]</f>
        <v>5</v>
      </c>
      <c r="AI202" t="str">
        <f t="shared" si="91"/>
        <v>Neutral</v>
      </c>
      <c r="AJ202" s="32">
        <f t="shared" si="92"/>
        <v>2</v>
      </c>
      <c r="AK202">
        <f>step3_validation[[#This Row],[AI_TRU1]]</f>
        <v>9</v>
      </c>
      <c r="AL202" t="str">
        <f t="shared" si="93"/>
        <v>Support</v>
      </c>
      <c r="AM202">
        <f>survey_responses[[#This Row],[Tôi tin rằng Nhà nước, cơ quan thuế sẽ thực thi chính sách mới một cách khách quan, công tâm và đối xử bình đẳng với mọi người nộp thuế.  - HUMAN-TRU1]]</f>
        <v>4</v>
      </c>
      <c r="AN202" t="str">
        <f t="shared" si="94"/>
        <v>Oppose</v>
      </c>
      <c r="AO202" s="32">
        <f t="shared" si="95"/>
        <v>5</v>
      </c>
      <c r="AP202">
        <f>step3_validation[[#This Row],[AI_TRU2]]</f>
        <v>9</v>
      </c>
      <c r="AQ202" t="str">
        <f t="shared" si="96"/>
        <v>Support</v>
      </c>
      <c r="AR202">
        <f>survey_responses[[#This Row],[Tôi thấy mức thuế tôi phải đóng theo phương án mới là công bằng (người thu nhập như tôi đóng mức này là hợp lý). - HUMAN-TRU2]]</f>
        <v>2</v>
      </c>
      <c r="AS202" t="str">
        <f t="shared" si="97"/>
        <v>Oppose</v>
      </c>
      <c r="AT202" s="32">
        <f t="shared" si="98"/>
        <v>7</v>
      </c>
      <c r="AU202">
        <f>step3_validation[[#This Row],[AI_TRU3]]</f>
        <v>8</v>
      </c>
      <c r="AV202" t="str">
        <f t="shared" si="99"/>
        <v>Support</v>
      </c>
      <c r="AW202">
        <f>survey_responses[[#This Row],[Tôi tin tưởng số tiền thuế tôi đóng sẽ được Nhà nước sử dụng hiệu quả để cải thiện dịch vụ công (y tế, đường xá...). - HUMAN-TRU3]]</f>
        <v>2</v>
      </c>
      <c r="AX202" t="str">
        <f t="shared" si="100"/>
        <v>Oppose</v>
      </c>
      <c r="AY202" s="32">
        <f t="shared" si="101"/>
        <v>6</v>
      </c>
      <c r="AZ202">
        <f>step3_validation[[#This Row],[AI_TRU4]]</f>
        <v>7</v>
      </c>
      <c r="BA202" t="str">
        <f t="shared" si="102"/>
        <v>Neutral</v>
      </c>
      <c r="BB202">
        <f>survey_responses[[#This Row],[Tôi thấy Nhà nước đã giải thích rõ ràng, minh bạch về lý do và mục tiêu của việc sửa đổi thuế lần này. - HUMAN-TRU4]]</f>
        <v>5</v>
      </c>
      <c r="BC202" t="str">
        <f t="shared" si="103"/>
        <v>Neutral</v>
      </c>
      <c r="BD202" s="32">
        <f t="shared" si="104"/>
        <v>2</v>
      </c>
      <c r="BE202">
        <f>step3_validation[[#This Row],[AI_OUT1]]</f>
        <v>9</v>
      </c>
      <c r="BF202" t="str">
        <f t="shared" si="105"/>
        <v>Support</v>
      </c>
      <c r="BG202">
        <f>survey_responses[[#This Row],[Sau khi xem xét các quyền lợi và nghĩa vụ, bạn có ủng hộ và tuân thủ chính sách mới hiện nay? - HUMAN-OUT1]]</f>
        <v>4</v>
      </c>
      <c r="BH202" t="str">
        <f t="shared" si="106"/>
        <v>Oppose</v>
      </c>
      <c r="BI202" s="32">
        <f t="shared" si="107"/>
        <v>5</v>
      </c>
    </row>
    <row r="203" spans="1:61" x14ac:dyDescent="0.45">
      <c r="A203" s="30">
        <f>step3_validation[[#This Row],[Persona_ID]]</f>
        <v>202</v>
      </c>
      <c r="B203" s="31">
        <f>step3_validation[[#This Row],[Used_Seed]]</f>
        <v>202</v>
      </c>
      <c r="C203" t="str">
        <f>step3_validation[[#This Row],[Gender]]</f>
        <v>Nữ</v>
      </c>
      <c r="D203" t="str">
        <f>survey_responses[[#This Row],[Giới tính của bạn:]]</f>
        <v>Nữ</v>
      </c>
      <c r="E203" t="str">
        <f>step3_validation[[#This Row],[Age_Group]]</f>
        <v>40 - 49</v>
      </c>
      <c r="F203" t="str">
        <f>survey_responses[[#This Row],[Độ tuổi của bạn:]]</f>
        <v>40 - 49</v>
      </c>
      <c r="G203" t="str">
        <f>step3_validation[[#This Row],[Region]]</f>
        <v>Thành thị</v>
      </c>
      <c r="H203" t="str">
        <f>survey_responses[[#This Row],[Khu vực bạn đang sinh sống:]]</f>
        <v>Thành thị</v>
      </c>
      <c r="I203" t="str">
        <f>step3_validation[[#This Row],[Education]]</f>
        <v>Đại học</v>
      </c>
      <c r="J203" t="str">
        <f>survey_responses[[#This Row],[Trình độ học vấn cao nhất:]]</f>
        <v>Đại học</v>
      </c>
      <c r="K203" t="str">
        <f>step3_validation[[#This Row],[Employment]]</f>
        <v>Chính thức</v>
      </c>
      <c r="L203" t="str">
        <f>survey_responses[[#This Row],[Tình trạng việc làm chính:]]</f>
        <v>Khu vực chính thức (Có Hợp đồng lao động, đóng BHXH)</v>
      </c>
      <c r="M203">
        <f>step3_validation[[#This Row],[Income_Mil]]</f>
        <v>80.734912497636017</v>
      </c>
      <c r="N203" t="str">
        <f>survey_responses[[#This Row],[Thu nhập bình quân tháng theo Hợp đồng lao động của bạn là bao nhiêu? (Vui lòng điền tổng thu nhập trước khi khấu trừ các loại Bảo hiểm (BHXH, BHYT, BHTN) và Thuế TNCN)]]</f>
        <v>Từ 70 - 102 triệu VNĐ</v>
      </c>
      <c r="O203">
        <f>step3_validation[[#This Row],[Dependents]]</f>
        <v>4</v>
      </c>
      <c r="P203" t="str">
        <f>survey_responses[[#This Row],[Số người phụ thuộc (con nhỏ, cha mẹ già...) đủ điều kiện giảm trừ gia cảnh:]]</f>
        <v>4 người trở lên</v>
      </c>
      <c r="Q203">
        <f>step3_validation[[#This Row],[AI_ENF1]]</f>
        <v>5</v>
      </c>
      <c r="R203" t="str">
        <f t="shared" si="81"/>
        <v>Neutral</v>
      </c>
      <c r="S203">
        <f>survey_responses[[#This Row],[Tôi tin rằng với các quy định quản lý thuế hiện nay, hành vi gian lận hoặc trốn thuế sẽ dễ dàng bị phát hiện và xử lý nghiêm. - HUMAN-ENF1]]</f>
        <v>6</v>
      </c>
      <c r="T203" t="str">
        <f t="shared" si="82"/>
        <v>Neutral</v>
      </c>
      <c r="U203" s="32">
        <f t="shared" si="83"/>
        <v>1</v>
      </c>
      <c r="V203">
        <f>step3_validation[[#This Row],[AI_ENF2]]</f>
        <v>6</v>
      </c>
      <c r="W203" t="str">
        <f t="shared" si="84"/>
        <v>Neutral</v>
      </c>
      <c r="X203">
        <f>survey_responses[[#This Row],[Tôi tin rằng Nhà nước, cơ quan thuế có đủ khả năng và công nghệ để phát hiện, xử lý nghiêm các hành vi trốn thuế. - HUMAN-ENF2]]</f>
        <v>8</v>
      </c>
      <c r="Y203" t="str">
        <f t="shared" si="85"/>
        <v>Support</v>
      </c>
      <c r="Z203" s="32">
        <f t="shared" si="86"/>
        <v>2</v>
      </c>
      <c r="AA203">
        <f>step3_validation[[#This Row],[AI_FAC1]]</f>
        <v>9</v>
      </c>
      <c r="AB203" t="str">
        <f t="shared" si="87"/>
        <v>Support</v>
      </c>
      <c r="AC203">
        <f>survey_responses[[#This Row],[Các thủ tục khai báo thuế VÀ/HOẶC quy trình làm việc với cơ quan thuế đơn giản, tiện lợi, nhanh chóng hơn so với trước đây. - HUMAN-FAC1]]</f>
        <v>8</v>
      </c>
      <c r="AD203" t="str">
        <f t="shared" si="88"/>
        <v>Support</v>
      </c>
      <c r="AE203" s="32">
        <f t="shared" si="89"/>
        <v>1</v>
      </c>
      <c r="AF203">
        <f>step3_validation[[#This Row],[AI_FAC2]]</f>
        <v>8</v>
      </c>
      <c r="AG203" t="str">
        <f t="shared" si="90"/>
        <v>Support</v>
      </c>
      <c r="AH203">
        <f>survey_responses[[#This Row],[So với trước đây, tôi thấy cách tính thuế và các bậc thuế trong phương án mới đơn giản, dễ hiểu và dễ thực hiện hơn. - HUMAN-FAC2]]</f>
        <v>9</v>
      </c>
      <c r="AI203" t="str">
        <f t="shared" si="91"/>
        <v>Support</v>
      </c>
      <c r="AJ203" s="32">
        <f t="shared" si="92"/>
        <v>1</v>
      </c>
      <c r="AK203">
        <f>step3_validation[[#This Row],[AI_TRU1]]</f>
        <v>9</v>
      </c>
      <c r="AL203" t="str">
        <f t="shared" si="93"/>
        <v>Support</v>
      </c>
      <c r="AM203">
        <f>survey_responses[[#This Row],[Tôi tin rằng Nhà nước, cơ quan thuế sẽ thực thi chính sách mới một cách khách quan, công tâm và đối xử bình đẳng với mọi người nộp thuế.  - HUMAN-TRU1]]</f>
        <v>7</v>
      </c>
      <c r="AN203" t="str">
        <f t="shared" si="94"/>
        <v>Neutral</v>
      </c>
      <c r="AO203" s="32">
        <f t="shared" si="95"/>
        <v>2</v>
      </c>
      <c r="AP203">
        <f>step3_validation[[#This Row],[AI_TRU2]]</f>
        <v>8</v>
      </c>
      <c r="AQ203" t="str">
        <f t="shared" si="96"/>
        <v>Support</v>
      </c>
      <c r="AR203">
        <f>survey_responses[[#This Row],[Tôi thấy mức thuế tôi phải đóng theo phương án mới là công bằng (người thu nhập như tôi đóng mức này là hợp lý). - HUMAN-TRU2]]</f>
        <v>7</v>
      </c>
      <c r="AS203" t="str">
        <f t="shared" si="97"/>
        <v>Neutral</v>
      </c>
      <c r="AT203" s="32">
        <f t="shared" si="98"/>
        <v>1</v>
      </c>
      <c r="AU203">
        <f>step3_validation[[#This Row],[AI_TRU3]]</f>
        <v>9</v>
      </c>
      <c r="AV203" t="str">
        <f t="shared" si="99"/>
        <v>Support</v>
      </c>
      <c r="AW203">
        <f>survey_responses[[#This Row],[Tôi tin tưởng số tiền thuế tôi đóng sẽ được Nhà nước sử dụng hiệu quả để cải thiện dịch vụ công (y tế, đường xá...). - HUMAN-TRU3]]</f>
        <v>7</v>
      </c>
      <c r="AX203" t="str">
        <f t="shared" si="100"/>
        <v>Neutral</v>
      </c>
      <c r="AY203" s="32">
        <f t="shared" si="101"/>
        <v>2</v>
      </c>
      <c r="AZ203">
        <f>step3_validation[[#This Row],[AI_TRU4]]</f>
        <v>8</v>
      </c>
      <c r="BA203" t="str">
        <f t="shared" si="102"/>
        <v>Support</v>
      </c>
      <c r="BB203">
        <f>survey_responses[[#This Row],[Tôi thấy Nhà nước đã giải thích rõ ràng, minh bạch về lý do và mục tiêu của việc sửa đổi thuế lần này. - HUMAN-TRU4]]</f>
        <v>8</v>
      </c>
      <c r="BC203" t="str">
        <f t="shared" si="103"/>
        <v>Support</v>
      </c>
      <c r="BD203" s="32">
        <f t="shared" si="104"/>
        <v>0</v>
      </c>
      <c r="BE203">
        <f>step3_validation[[#This Row],[AI_OUT1]]</f>
        <v>9</v>
      </c>
      <c r="BF203" t="str">
        <f t="shared" si="105"/>
        <v>Support</v>
      </c>
      <c r="BG203">
        <f>survey_responses[[#This Row],[Sau khi xem xét các quyền lợi và nghĩa vụ, bạn có ủng hộ và tuân thủ chính sách mới hiện nay? - HUMAN-OUT1]]</f>
        <v>8</v>
      </c>
      <c r="BH203" t="str">
        <f t="shared" si="106"/>
        <v>Support</v>
      </c>
      <c r="BI203" s="32">
        <f t="shared" si="107"/>
        <v>1</v>
      </c>
    </row>
    <row r="204" spans="1:61" x14ac:dyDescent="0.45">
      <c r="A204" s="30">
        <f>step3_validation[[#This Row],[Persona_ID]]</f>
        <v>203</v>
      </c>
      <c r="B204" s="31">
        <f>step3_validation[[#This Row],[Used_Seed]]</f>
        <v>203</v>
      </c>
      <c r="C204" t="str">
        <f>step3_validation[[#This Row],[Gender]]</f>
        <v>Nữ</v>
      </c>
      <c r="D204" t="str">
        <f>survey_responses[[#This Row],[Giới tính của bạn:]]</f>
        <v>Nữ</v>
      </c>
      <c r="E204" t="str">
        <f>step3_validation[[#This Row],[Age_Group]]</f>
        <v>50 - 54</v>
      </c>
      <c r="F204" t="str">
        <f>survey_responses[[#This Row],[Độ tuổi của bạn:]]</f>
        <v>50 - 54</v>
      </c>
      <c r="G204" t="str">
        <f>step3_validation[[#This Row],[Region]]</f>
        <v>Thành thị</v>
      </c>
      <c r="H204" t="str">
        <f>survey_responses[[#This Row],[Khu vực bạn đang sinh sống:]]</f>
        <v>Thành thị</v>
      </c>
      <c r="I204" t="str">
        <f>step3_validation[[#This Row],[Education]]</f>
        <v>Sau Đại học</v>
      </c>
      <c r="J204" t="str">
        <f>survey_responses[[#This Row],[Trình độ học vấn cao nhất:]]</f>
        <v>Sau Đại học</v>
      </c>
      <c r="K204" t="str">
        <f>step3_validation[[#This Row],[Employment]]</f>
        <v>Chính thức</v>
      </c>
      <c r="L204" t="str">
        <f>survey_responses[[#This Row],[Tình trạng việc làm chính:]]</f>
        <v>Khu vực chính thức (Có Hợp đồng lao động, đóng BHXH)</v>
      </c>
      <c r="M204">
        <f>step3_validation[[#This Row],[Income_Mil]]</f>
        <v>217.57957131486538</v>
      </c>
      <c r="N204" t="str">
        <f>survey_responses[[#This Row],[Thu nhập bình quân tháng theo Hợp đồng lao động của bạn là bao nhiêu? (Vui lòng điền tổng thu nhập trước khi khấu trừ các loại Bảo hiểm (BHXH, BHYT, BHTN) và Thuế TNCN)]]</f>
        <v>Trên 102 triệu VNĐ</v>
      </c>
      <c r="O204">
        <f>step3_validation[[#This Row],[Dependents]]</f>
        <v>3</v>
      </c>
      <c r="P204" t="str">
        <f>survey_responses[[#This Row],[Số người phụ thuộc (con nhỏ, cha mẹ già...) đủ điều kiện giảm trừ gia cảnh:]]</f>
        <v>3 người</v>
      </c>
      <c r="Q204">
        <f>step3_validation[[#This Row],[AI_ENF1]]</f>
        <v>7</v>
      </c>
      <c r="R204" t="str">
        <f t="shared" si="81"/>
        <v>Neutral</v>
      </c>
      <c r="S204">
        <f>survey_responses[[#This Row],[Tôi tin rằng với các quy định quản lý thuế hiện nay, hành vi gian lận hoặc trốn thuế sẽ dễ dàng bị phát hiện và xử lý nghiêm. - HUMAN-ENF1]]</f>
        <v>5</v>
      </c>
      <c r="T204" t="str">
        <f t="shared" si="82"/>
        <v>Neutral</v>
      </c>
      <c r="U204" s="32">
        <f t="shared" si="83"/>
        <v>2</v>
      </c>
      <c r="V204">
        <f>step3_validation[[#This Row],[AI_ENF2]]</f>
        <v>6</v>
      </c>
      <c r="W204" t="str">
        <f t="shared" si="84"/>
        <v>Neutral</v>
      </c>
      <c r="X204">
        <f>survey_responses[[#This Row],[Tôi tin rằng Nhà nước, cơ quan thuế có đủ khả năng và công nghệ để phát hiện, xử lý nghiêm các hành vi trốn thuế. - HUMAN-ENF2]]</f>
        <v>5</v>
      </c>
      <c r="Y204" t="str">
        <f t="shared" si="85"/>
        <v>Neutral</v>
      </c>
      <c r="Z204" s="32">
        <f t="shared" si="86"/>
        <v>1</v>
      </c>
      <c r="AA204">
        <f>step3_validation[[#This Row],[AI_FAC1]]</f>
        <v>8</v>
      </c>
      <c r="AB204" t="str">
        <f t="shared" si="87"/>
        <v>Support</v>
      </c>
      <c r="AC204">
        <f>survey_responses[[#This Row],[Các thủ tục khai báo thuế VÀ/HOẶC quy trình làm việc với cơ quan thuế đơn giản, tiện lợi, nhanh chóng hơn so với trước đây. - HUMAN-FAC1]]</f>
        <v>5</v>
      </c>
      <c r="AD204" t="str">
        <f t="shared" si="88"/>
        <v>Neutral</v>
      </c>
      <c r="AE204" s="32">
        <f t="shared" si="89"/>
        <v>3</v>
      </c>
      <c r="AF204">
        <f>step3_validation[[#This Row],[AI_FAC2]]</f>
        <v>9</v>
      </c>
      <c r="AG204" t="str">
        <f t="shared" si="90"/>
        <v>Support</v>
      </c>
      <c r="AH204">
        <f>survey_responses[[#This Row],[So với trước đây, tôi thấy cách tính thuế và các bậc thuế trong phương án mới đơn giản, dễ hiểu và dễ thực hiện hơn. - HUMAN-FAC2]]</f>
        <v>5</v>
      </c>
      <c r="AI204" t="str">
        <f t="shared" si="91"/>
        <v>Neutral</v>
      </c>
      <c r="AJ204" s="32">
        <f t="shared" si="92"/>
        <v>4</v>
      </c>
      <c r="AK204">
        <f>step3_validation[[#This Row],[AI_TRU1]]</f>
        <v>7</v>
      </c>
      <c r="AL204" t="str">
        <f t="shared" si="93"/>
        <v>Neutral</v>
      </c>
      <c r="AM204">
        <f>survey_responses[[#This Row],[Tôi tin rằng Nhà nước, cơ quan thuế sẽ thực thi chính sách mới một cách khách quan, công tâm và đối xử bình đẳng với mọi người nộp thuế.  - HUMAN-TRU1]]</f>
        <v>5</v>
      </c>
      <c r="AN204" t="str">
        <f t="shared" si="94"/>
        <v>Neutral</v>
      </c>
      <c r="AO204" s="32">
        <f t="shared" si="95"/>
        <v>2</v>
      </c>
      <c r="AP204">
        <f>step3_validation[[#This Row],[AI_TRU2]]</f>
        <v>8</v>
      </c>
      <c r="AQ204" t="str">
        <f t="shared" si="96"/>
        <v>Support</v>
      </c>
      <c r="AR204">
        <f>survey_responses[[#This Row],[Tôi thấy mức thuế tôi phải đóng theo phương án mới là công bằng (người thu nhập như tôi đóng mức này là hợp lý). - HUMAN-TRU2]]</f>
        <v>5</v>
      </c>
      <c r="AS204" t="str">
        <f t="shared" si="97"/>
        <v>Neutral</v>
      </c>
      <c r="AT204" s="32">
        <f t="shared" si="98"/>
        <v>3</v>
      </c>
      <c r="AU204">
        <f>step3_validation[[#This Row],[AI_TRU3]]</f>
        <v>7</v>
      </c>
      <c r="AV204" t="str">
        <f t="shared" si="99"/>
        <v>Neutral</v>
      </c>
      <c r="AW204">
        <f>survey_responses[[#This Row],[Tôi tin tưởng số tiền thuế tôi đóng sẽ được Nhà nước sử dụng hiệu quả để cải thiện dịch vụ công (y tế, đường xá...). - HUMAN-TRU3]]</f>
        <v>5</v>
      </c>
      <c r="AX204" t="str">
        <f t="shared" si="100"/>
        <v>Neutral</v>
      </c>
      <c r="AY204" s="32">
        <f t="shared" si="101"/>
        <v>2</v>
      </c>
      <c r="AZ204">
        <f>step3_validation[[#This Row],[AI_TRU4]]</f>
        <v>6</v>
      </c>
      <c r="BA204" t="str">
        <f t="shared" si="102"/>
        <v>Neutral</v>
      </c>
      <c r="BB204">
        <f>survey_responses[[#This Row],[Tôi thấy Nhà nước đã giải thích rõ ràng, minh bạch về lý do và mục tiêu của việc sửa đổi thuế lần này. - HUMAN-TRU4]]</f>
        <v>5</v>
      </c>
      <c r="BC204" t="str">
        <f t="shared" si="103"/>
        <v>Neutral</v>
      </c>
      <c r="BD204" s="32">
        <f t="shared" si="104"/>
        <v>1</v>
      </c>
      <c r="BE204">
        <f>step3_validation[[#This Row],[AI_OUT1]]</f>
        <v>9</v>
      </c>
      <c r="BF204" t="str">
        <f t="shared" si="105"/>
        <v>Support</v>
      </c>
      <c r="BG204">
        <f>survey_responses[[#This Row],[Sau khi xem xét các quyền lợi và nghĩa vụ, bạn có ủng hộ và tuân thủ chính sách mới hiện nay? - HUMAN-OUT1]]</f>
        <v>5</v>
      </c>
      <c r="BH204" t="str">
        <f t="shared" si="106"/>
        <v>Neutral</v>
      </c>
      <c r="BI204" s="32">
        <f t="shared" si="107"/>
        <v>4</v>
      </c>
    </row>
    <row r="205" spans="1:61" x14ac:dyDescent="0.45">
      <c r="A205" s="30">
        <f>step3_validation[[#This Row],[Persona_ID]]</f>
        <v>204</v>
      </c>
      <c r="B205" s="31">
        <f>step3_validation[[#This Row],[Used_Seed]]</f>
        <v>204</v>
      </c>
      <c r="C205" t="str">
        <f>step3_validation[[#This Row],[Gender]]</f>
        <v>Nữ</v>
      </c>
      <c r="D205" t="str">
        <f>survey_responses[[#This Row],[Giới tính của bạn:]]</f>
        <v>Nữ</v>
      </c>
      <c r="E205" t="str">
        <f>step3_validation[[#This Row],[Age_Group]]</f>
        <v>30 - 39</v>
      </c>
      <c r="F205" t="str">
        <f>survey_responses[[#This Row],[Độ tuổi của bạn:]]</f>
        <v>30 - 39</v>
      </c>
      <c r="G205" t="str">
        <f>step3_validation[[#This Row],[Region]]</f>
        <v>Thành thị</v>
      </c>
      <c r="H205" t="str">
        <f>survey_responses[[#This Row],[Khu vực bạn đang sinh sống:]]</f>
        <v>Thành thị</v>
      </c>
      <c r="I205" t="str">
        <f>step3_validation[[#This Row],[Education]]</f>
        <v>Đại học</v>
      </c>
      <c r="J205" t="str">
        <f>survey_responses[[#This Row],[Trình độ học vấn cao nhất:]]</f>
        <v>Đại học</v>
      </c>
      <c r="K205" t="str">
        <f>step3_validation[[#This Row],[Employment]]</f>
        <v>Chính thức</v>
      </c>
      <c r="L205" t="str">
        <f>survey_responses[[#This Row],[Tình trạng việc làm chính:]]</f>
        <v>Khu vực chính thức (Có Hợp đồng lao động, đóng BHXH)</v>
      </c>
      <c r="M205">
        <f>step3_validation[[#This Row],[Income_Mil]]</f>
        <v>40.046526391087738</v>
      </c>
      <c r="N205" t="str">
        <f>survey_responses[[#This Row],[Thu nhập bình quân tháng theo Hợp đồng lao động của bạn là bao nhiêu? (Vui lòng điền tổng thu nhập trước khi khấu trừ các loại Bảo hiểm (BHXH, BHYT, BHTN) và Thuế TNCN)]]</f>
        <v>Từ 32 - 48 triệu VNĐ</v>
      </c>
      <c r="O205">
        <f>step3_validation[[#This Row],[Dependents]]</f>
        <v>1</v>
      </c>
      <c r="P205" t="str">
        <f>survey_responses[[#This Row],[Số người phụ thuộc (con nhỏ, cha mẹ già...) đủ điều kiện giảm trừ gia cảnh:]]</f>
        <v>1 người</v>
      </c>
      <c r="Q205">
        <f>step3_validation[[#This Row],[AI_ENF1]]</f>
        <v>9</v>
      </c>
      <c r="R205" t="str">
        <f t="shared" si="81"/>
        <v>Support</v>
      </c>
      <c r="S205">
        <f>survey_responses[[#This Row],[Tôi tin rằng với các quy định quản lý thuế hiện nay, hành vi gian lận hoặc trốn thuế sẽ dễ dàng bị phát hiện và xử lý nghiêm. - HUMAN-ENF1]]</f>
        <v>7</v>
      </c>
      <c r="T205" t="str">
        <f t="shared" si="82"/>
        <v>Neutral</v>
      </c>
      <c r="U205" s="32">
        <f t="shared" si="83"/>
        <v>2</v>
      </c>
      <c r="V205">
        <f>step3_validation[[#This Row],[AI_ENF2]]</f>
        <v>8</v>
      </c>
      <c r="W205" t="str">
        <f t="shared" si="84"/>
        <v>Support</v>
      </c>
      <c r="X205">
        <f>survey_responses[[#This Row],[Tôi tin rằng Nhà nước, cơ quan thuế có đủ khả năng và công nghệ để phát hiện, xử lý nghiêm các hành vi trốn thuế. - HUMAN-ENF2]]</f>
        <v>7</v>
      </c>
      <c r="Y205" t="str">
        <f t="shared" si="85"/>
        <v>Neutral</v>
      </c>
      <c r="Z205" s="32">
        <f t="shared" si="86"/>
        <v>1</v>
      </c>
      <c r="AA205">
        <f>step3_validation[[#This Row],[AI_FAC1]]</f>
        <v>9</v>
      </c>
      <c r="AB205" t="str">
        <f t="shared" si="87"/>
        <v>Support</v>
      </c>
      <c r="AC205">
        <f>survey_responses[[#This Row],[Các thủ tục khai báo thuế VÀ/HOẶC quy trình làm việc với cơ quan thuế đơn giản, tiện lợi, nhanh chóng hơn so với trước đây. - HUMAN-FAC1]]</f>
        <v>7</v>
      </c>
      <c r="AD205" t="str">
        <f t="shared" si="88"/>
        <v>Neutral</v>
      </c>
      <c r="AE205" s="32">
        <f t="shared" si="89"/>
        <v>2</v>
      </c>
      <c r="AF205">
        <f>step3_validation[[#This Row],[AI_FAC2]]</f>
        <v>8</v>
      </c>
      <c r="AG205" t="str">
        <f t="shared" si="90"/>
        <v>Support</v>
      </c>
      <c r="AH205">
        <f>survey_responses[[#This Row],[So với trước đây, tôi thấy cách tính thuế và các bậc thuế trong phương án mới đơn giản, dễ hiểu và dễ thực hiện hơn. - HUMAN-FAC2]]</f>
        <v>8</v>
      </c>
      <c r="AI205" t="str">
        <f t="shared" si="91"/>
        <v>Support</v>
      </c>
      <c r="AJ205" s="32">
        <f t="shared" si="92"/>
        <v>0</v>
      </c>
      <c r="AK205">
        <f>step3_validation[[#This Row],[AI_TRU1]]</f>
        <v>9</v>
      </c>
      <c r="AL205" t="str">
        <f t="shared" si="93"/>
        <v>Support</v>
      </c>
      <c r="AM205">
        <f>survey_responses[[#This Row],[Tôi tin rằng Nhà nước, cơ quan thuế sẽ thực thi chính sách mới một cách khách quan, công tâm và đối xử bình đẳng với mọi người nộp thuế.  - HUMAN-TRU1]]</f>
        <v>7</v>
      </c>
      <c r="AN205" t="str">
        <f t="shared" si="94"/>
        <v>Neutral</v>
      </c>
      <c r="AO205" s="32">
        <f t="shared" si="95"/>
        <v>2</v>
      </c>
      <c r="AP205">
        <f>step3_validation[[#This Row],[AI_TRU2]]</f>
        <v>8</v>
      </c>
      <c r="AQ205" t="str">
        <f t="shared" si="96"/>
        <v>Support</v>
      </c>
      <c r="AR205">
        <f>survey_responses[[#This Row],[Tôi thấy mức thuế tôi phải đóng theo phương án mới là công bằng (người thu nhập như tôi đóng mức này là hợp lý). - HUMAN-TRU2]]</f>
        <v>7</v>
      </c>
      <c r="AS205" t="str">
        <f t="shared" si="97"/>
        <v>Neutral</v>
      </c>
      <c r="AT205" s="32">
        <f t="shared" si="98"/>
        <v>1</v>
      </c>
      <c r="AU205">
        <f>step3_validation[[#This Row],[AI_TRU3]]</f>
        <v>9</v>
      </c>
      <c r="AV205" t="str">
        <f t="shared" si="99"/>
        <v>Support</v>
      </c>
      <c r="AW205">
        <f>survey_responses[[#This Row],[Tôi tin tưởng số tiền thuế tôi đóng sẽ được Nhà nước sử dụng hiệu quả để cải thiện dịch vụ công (y tế, đường xá...). - HUMAN-TRU3]]</f>
        <v>7</v>
      </c>
      <c r="AX205" t="str">
        <f t="shared" si="100"/>
        <v>Neutral</v>
      </c>
      <c r="AY205" s="32">
        <f t="shared" si="101"/>
        <v>2</v>
      </c>
      <c r="AZ205">
        <f>step3_validation[[#This Row],[AI_TRU4]]</f>
        <v>8</v>
      </c>
      <c r="BA205" t="str">
        <f t="shared" si="102"/>
        <v>Support</v>
      </c>
      <c r="BB205">
        <f>survey_responses[[#This Row],[Tôi thấy Nhà nước đã giải thích rõ ràng, minh bạch về lý do và mục tiêu của việc sửa đổi thuế lần này. - HUMAN-TRU4]]</f>
        <v>7</v>
      </c>
      <c r="BC205" t="str">
        <f t="shared" si="103"/>
        <v>Neutral</v>
      </c>
      <c r="BD205" s="32">
        <f t="shared" si="104"/>
        <v>1</v>
      </c>
      <c r="BE205">
        <f>step3_validation[[#This Row],[AI_OUT1]]</f>
        <v>9</v>
      </c>
      <c r="BF205" t="str">
        <f t="shared" si="105"/>
        <v>Support</v>
      </c>
      <c r="BG205">
        <f>survey_responses[[#This Row],[Sau khi xem xét các quyền lợi và nghĩa vụ, bạn có ủng hộ và tuân thủ chính sách mới hiện nay? - HUMAN-OUT1]]</f>
        <v>7</v>
      </c>
      <c r="BH205" t="str">
        <f t="shared" si="106"/>
        <v>Neutral</v>
      </c>
      <c r="BI205" s="32">
        <f t="shared" si="107"/>
        <v>2</v>
      </c>
    </row>
    <row r="206" spans="1:61" x14ac:dyDescent="0.45">
      <c r="A206" s="30">
        <f>step3_validation[[#This Row],[Persona_ID]]</f>
        <v>205</v>
      </c>
      <c r="B206" s="31">
        <f>step3_validation[[#This Row],[Used_Seed]]</f>
        <v>205</v>
      </c>
      <c r="C206" t="str">
        <f>step3_validation[[#This Row],[Gender]]</f>
        <v>Nữ</v>
      </c>
      <c r="D206" t="str">
        <f>survey_responses[[#This Row],[Giới tính của bạn:]]</f>
        <v>Nữ</v>
      </c>
      <c r="E206" t="str">
        <f>step3_validation[[#This Row],[Age_Group]]</f>
        <v>30 - 39</v>
      </c>
      <c r="F206" t="str">
        <f>survey_responses[[#This Row],[Độ tuổi của bạn:]]</f>
        <v>30 - 39</v>
      </c>
      <c r="G206" t="str">
        <f>step3_validation[[#This Row],[Region]]</f>
        <v>Thành thị</v>
      </c>
      <c r="H206" t="str">
        <f>survey_responses[[#This Row],[Khu vực bạn đang sinh sống:]]</f>
        <v>Thành thị</v>
      </c>
      <c r="I206" t="str">
        <f>step3_validation[[#This Row],[Education]]</f>
        <v>Sau Đại học</v>
      </c>
      <c r="J206" t="str">
        <f>survey_responses[[#This Row],[Trình độ học vấn cao nhất:]]</f>
        <v>Sau Đại học</v>
      </c>
      <c r="K206" t="str">
        <f>step3_validation[[#This Row],[Employment]]</f>
        <v>Chính thức</v>
      </c>
      <c r="L206" t="str">
        <f>survey_responses[[#This Row],[Tình trạng việc làm chính:]]</f>
        <v>Khu vực chính thức (Có Hợp đồng lao động, đóng BHXH)</v>
      </c>
      <c r="M206">
        <f>step3_validation[[#This Row],[Income_Mil]]</f>
        <v>30.265484920775709</v>
      </c>
      <c r="N206" t="str">
        <f>survey_responses[[#This Row],[Thu nhập bình quân tháng theo Hợp đồng lao động của bạn là bao nhiêu? (Vui lòng điền tổng thu nhập trước khi khấu trừ các loại Bảo hiểm (BHXH, BHYT, BHTN) và Thuế TNCN)]]</f>
        <v>Từ 23 - 32 triệu VNĐ</v>
      </c>
      <c r="O206">
        <f>step3_validation[[#This Row],[Dependents]]</f>
        <v>0</v>
      </c>
      <c r="P206" t="str">
        <f>survey_responses[[#This Row],[Số người phụ thuộc (con nhỏ, cha mẹ già...) đủ điều kiện giảm trừ gia cảnh:]]</f>
        <v>0 người</v>
      </c>
      <c r="Q206">
        <f>step3_validation[[#This Row],[AI_ENF1]]</f>
        <v>4</v>
      </c>
      <c r="R206" t="str">
        <f t="shared" si="81"/>
        <v>Oppose</v>
      </c>
      <c r="S206">
        <f>survey_responses[[#This Row],[Tôi tin rằng với các quy định quản lý thuế hiện nay, hành vi gian lận hoặc trốn thuế sẽ dễ dàng bị phát hiện và xử lý nghiêm. - HUMAN-ENF1]]</f>
        <v>3</v>
      </c>
      <c r="T206" t="str">
        <f t="shared" si="82"/>
        <v>Oppose</v>
      </c>
      <c r="U206" s="32">
        <f t="shared" si="83"/>
        <v>1</v>
      </c>
      <c r="V206">
        <f>step3_validation[[#This Row],[AI_ENF2]]</f>
        <v>5</v>
      </c>
      <c r="W206" t="str">
        <f t="shared" si="84"/>
        <v>Neutral</v>
      </c>
      <c r="X206">
        <f>survey_responses[[#This Row],[Tôi tin rằng Nhà nước, cơ quan thuế có đủ khả năng và công nghệ để phát hiện, xử lý nghiêm các hành vi trốn thuế. - HUMAN-ENF2]]</f>
        <v>1</v>
      </c>
      <c r="Y206" t="str">
        <f t="shared" si="85"/>
        <v>Oppose</v>
      </c>
      <c r="Z206" s="32">
        <f t="shared" si="86"/>
        <v>4</v>
      </c>
      <c r="AA206">
        <f>step3_validation[[#This Row],[AI_FAC1]]</f>
        <v>6</v>
      </c>
      <c r="AB206" t="str">
        <f t="shared" si="87"/>
        <v>Neutral</v>
      </c>
      <c r="AC206">
        <f>survey_responses[[#This Row],[Các thủ tục khai báo thuế VÀ/HOẶC quy trình làm việc với cơ quan thuế đơn giản, tiện lợi, nhanh chóng hơn so với trước đây. - HUMAN-FAC1]]</f>
        <v>1</v>
      </c>
      <c r="AD206" t="str">
        <f t="shared" si="88"/>
        <v>Oppose</v>
      </c>
      <c r="AE206" s="32">
        <f t="shared" si="89"/>
        <v>5</v>
      </c>
      <c r="AF206">
        <f>step3_validation[[#This Row],[AI_FAC2]]</f>
        <v>8</v>
      </c>
      <c r="AG206" t="str">
        <f t="shared" si="90"/>
        <v>Support</v>
      </c>
      <c r="AH206">
        <f>survey_responses[[#This Row],[So với trước đây, tôi thấy cách tính thuế và các bậc thuế trong phương án mới đơn giản, dễ hiểu và dễ thực hiện hơn. - HUMAN-FAC2]]</f>
        <v>5</v>
      </c>
      <c r="AI206" t="str">
        <f t="shared" si="91"/>
        <v>Neutral</v>
      </c>
      <c r="AJ206" s="32">
        <f t="shared" si="92"/>
        <v>3</v>
      </c>
      <c r="AK206">
        <f>step3_validation[[#This Row],[AI_TRU1]]</f>
        <v>7</v>
      </c>
      <c r="AL206" t="str">
        <f t="shared" si="93"/>
        <v>Neutral</v>
      </c>
      <c r="AM206">
        <f>survey_responses[[#This Row],[Tôi tin rằng Nhà nước, cơ quan thuế sẽ thực thi chính sách mới một cách khách quan, công tâm và đối xử bình đẳng với mọi người nộp thuế.  - HUMAN-TRU1]]</f>
        <v>1</v>
      </c>
      <c r="AN206" t="str">
        <f t="shared" si="94"/>
        <v>Oppose</v>
      </c>
      <c r="AO206" s="32">
        <f t="shared" si="95"/>
        <v>6</v>
      </c>
      <c r="AP206">
        <f>step3_validation[[#This Row],[AI_TRU2]]</f>
        <v>6</v>
      </c>
      <c r="AQ206" t="str">
        <f t="shared" si="96"/>
        <v>Neutral</v>
      </c>
      <c r="AR206">
        <f>survey_responses[[#This Row],[Tôi thấy mức thuế tôi phải đóng theo phương án mới là công bằng (người thu nhập như tôi đóng mức này là hợp lý). - HUMAN-TRU2]]</f>
        <v>1</v>
      </c>
      <c r="AS206" t="str">
        <f t="shared" si="97"/>
        <v>Oppose</v>
      </c>
      <c r="AT206" s="32">
        <f t="shared" si="98"/>
        <v>5</v>
      </c>
      <c r="AU206">
        <f>step3_validation[[#This Row],[AI_TRU3]]</f>
        <v>8</v>
      </c>
      <c r="AV206" t="str">
        <f t="shared" si="99"/>
        <v>Support</v>
      </c>
      <c r="AW206">
        <f>survey_responses[[#This Row],[Tôi tin tưởng số tiền thuế tôi đóng sẽ được Nhà nước sử dụng hiệu quả để cải thiện dịch vụ công (y tế, đường xá...). - HUMAN-TRU3]]</f>
        <v>1</v>
      </c>
      <c r="AX206" t="str">
        <f t="shared" si="100"/>
        <v>Oppose</v>
      </c>
      <c r="AY206" s="32">
        <f t="shared" si="101"/>
        <v>7</v>
      </c>
      <c r="AZ206">
        <f>step3_validation[[#This Row],[AI_TRU4]]</f>
        <v>6</v>
      </c>
      <c r="BA206" t="str">
        <f t="shared" si="102"/>
        <v>Neutral</v>
      </c>
      <c r="BB206">
        <f>survey_responses[[#This Row],[Tôi thấy Nhà nước đã giải thích rõ ràng, minh bạch về lý do và mục tiêu của việc sửa đổi thuế lần này. - HUMAN-TRU4]]</f>
        <v>4</v>
      </c>
      <c r="BC206" t="str">
        <f t="shared" si="103"/>
        <v>Oppose</v>
      </c>
      <c r="BD206" s="32">
        <f t="shared" si="104"/>
        <v>2</v>
      </c>
      <c r="BE206">
        <f>step3_validation[[#This Row],[AI_OUT1]]</f>
        <v>7</v>
      </c>
      <c r="BF206" t="str">
        <f t="shared" si="105"/>
        <v>Neutral</v>
      </c>
      <c r="BG206">
        <f>survey_responses[[#This Row],[Sau khi xem xét các quyền lợi và nghĩa vụ, bạn có ủng hộ và tuân thủ chính sách mới hiện nay? - HUMAN-OUT1]]</f>
        <v>5</v>
      </c>
      <c r="BH206" t="str">
        <f t="shared" si="106"/>
        <v>Neutral</v>
      </c>
      <c r="BI206" s="32">
        <f t="shared" si="107"/>
        <v>2</v>
      </c>
    </row>
    <row r="207" spans="1:61" x14ac:dyDescent="0.45">
      <c r="A207" s="30">
        <f>step3_validation[[#This Row],[Persona_ID]]</f>
        <v>206</v>
      </c>
      <c r="B207" s="31">
        <f>step3_validation[[#This Row],[Used_Seed]]</f>
        <v>206</v>
      </c>
      <c r="C207" t="str">
        <f>step3_validation[[#This Row],[Gender]]</f>
        <v>Nữ</v>
      </c>
      <c r="D207" t="str">
        <f>survey_responses[[#This Row],[Giới tính của bạn:]]</f>
        <v>Nữ</v>
      </c>
      <c r="E207" t="str">
        <f>step3_validation[[#This Row],[Age_Group]]</f>
        <v>40 - 49</v>
      </c>
      <c r="F207" t="str">
        <f>survey_responses[[#This Row],[Độ tuổi của bạn:]]</f>
        <v>40 - 49</v>
      </c>
      <c r="G207" t="str">
        <f>step3_validation[[#This Row],[Region]]</f>
        <v>Thành thị</v>
      </c>
      <c r="H207" t="str">
        <f>survey_responses[[#This Row],[Khu vực bạn đang sinh sống:]]</f>
        <v>Thành thị</v>
      </c>
      <c r="I207" t="str">
        <f>step3_validation[[#This Row],[Education]]</f>
        <v>Đại học</v>
      </c>
      <c r="J207" t="str">
        <f>survey_responses[[#This Row],[Trình độ học vấn cao nhất:]]</f>
        <v>Đại học</v>
      </c>
      <c r="K207" t="str">
        <f>step3_validation[[#This Row],[Employment]]</f>
        <v>Chính thức</v>
      </c>
      <c r="L207" t="str">
        <f>survey_responses[[#This Row],[Tình trạng việc làm chính:]]</f>
        <v>Khu vực chính thức (Có Hợp đồng lao động, đóng BHXH)</v>
      </c>
      <c r="M207">
        <f>step3_validation[[#This Row],[Income_Mil]]</f>
        <v>66.102197589177678</v>
      </c>
      <c r="N207" t="str">
        <f>survey_responses[[#This Row],[Thu nhập bình quân tháng theo Hợp đồng lao động của bạn là bao nhiêu? (Vui lòng điền tổng thu nhập trước khi khấu trừ các loại Bảo hiểm (BHXH, BHYT, BHTN) và Thuế TNCN)]]</f>
        <v>Từ 48 - 70 triệu VNĐ</v>
      </c>
      <c r="O207">
        <f>step3_validation[[#This Row],[Dependents]]</f>
        <v>1</v>
      </c>
      <c r="P207" t="str">
        <f>survey_responses[[#This Row],[Số người phụ thuộc (con nhỏ, cha mẹ già...) đủ điều kiện giảm trừ gia cảnh:]]</f>
        <v>1 người</v>
      </c>
      <c r="Q207">
        <f>step3_validation[[#This Row],[AI_ENF1]]</f>
        <v>2</v>
      </c>
      <c r="R207" t="str">
        <f t="shared" si="81"/>
        <v>Oppose</v>
      </c>
      <c r="S207">
        <f>survey_responses[[#This Row],[Tôi tin rằng với các quy định quản lý thuế hiện nay, hành vi gian lận hoặc trốn thuế sẽ dễ dàng bị phát hiện và xử lý nghiêm. - HUMAN-ENF1]]</f>
        <v>8</v>
      </c>
      <c r="T207" t="str">
        <f t="shared" si="82"/>
        <v>Support</v>
      </c>
      <c r="U207" s="32">
        <f t="shared" si="83"/>
        <v>6</v>
      </c>
      <c r="V207">
        <f>step3_validation[[#This Row],[AI_ENF2]]</f>
        <v>3</v>
      </c>
      <c r="W207" t="str">
        <f t="shared" si="84"/>
        <v>Oppose</v>
      </c>
      <c r="X207">
        <f>survey_responses[[#This Row],[Tôi tin rằng Nhà nước, cơ quan thuế có đủ khả năng và công nghệ để phát hiện, xử lý nghiêm các hành vi trốn thuế. - HUMAN-ENF2]]</f>
        <v>8</v>
      </c>
      <c r="Y207" t="str">
        <f t="shared" si="85"/>
        <v>Support</v>
      </c>
      <c r="Z207" s="32">
        <f t="shared" si="86"/>
        <v>5</v>
      </c>
      <c r="AA207">
        <f>step3_validation[[#This Row],[AI_FAC1]]</f>
        <v>9</v>
      </c>
      <c r="AB207" t="str">
        <f t="shared" si="87"/>
        <v>Support</v>
      </c>
      <c r="AC207">
        <f>survey_responses[[#This Row],[Các thủ tục khai báo thuế VÀ/HOẶC quy trình làm việc với cơ quan thuế đơn giản, tiện lợi, nhanh chóng hơn so với trước đây. - HUMAN-FAC1]]</f>
        <v>5</v>
      </c>
      <c r="AD207" t="str">
        <f t="shared" si="88"/>
        <v>Neutral</v>
      </c>
      <c r="AE207" s="32">
        <f t="shared" si="89"/>
        <v>4</v>
      </c>
      <c r="AF207">
        <f>step3_validation[[#This Row],[AI_FAC2]]</f>
        <v>9</v>
      </c>
      <c r="AG207" t="str">
        <f t="shared" si="90"/>
        <v>Support</v>
      </c>
      <c r="AH207">
        <f>survey_responses[[#This Row],[So với trước đây, tôi thấy cách tính thuế và các bậc thuế trong phương án mới đơn giản, dễ hiểu và dễ thực hiện hơn. - HUMAN-FAC2]]</f>
        <v>7</v>
      </c>
      <c r="AI207" t="str">
        <f t="shared" si="91"/>
        <v>Neutral</v>
      </c>
      <c r="AJ207" s="32">
        <f t="shared" si="92"/>
        <v>2</v>
      </c>
      <c r="AK207">
        <f>step3_validation[[#This Row],[AI_TRU1]]</f>
        <v>7</v>
      </c>
      <c r="AL207" t="str">
        <f t="shared" si="93"/>
        <v>Neutral</v>
      </c>
      <c r="AM207">
        <f>survey_responses[[#This Row],[Tôi tin rằng Nhà nước, cơ quan thuế sẽ thực thi chính sách mới một cách khách quan, công tâm và đối xử bình đẳng với mọi người nộp thuế.  - HUMAN-TRU1]]</f>
        <v>7</v>
      </c>
      <c r="AN207" t="str">
        <f t="shared" si="94"/>
        <v>Neutral</v>
      </c>
      <c r="AO207" s="32">
        <f t="shared" si="95"/>
        <v>0</v>
      </c>
      <c r="AP207">
        <f>step3_validation[[#This Row],[AI_TRU2]]</f>
        <v>8</v>
      </c>
      <c r="AQ207" t="str">
        <f t="shared" si="96"/>
        <v>Support</v>
      </c>
      <c r="AR207">
        <f>survey_responses[[#This Row],[Tôi thấy mức thuế tôi phải đóng theo phương án mới là công bằng (người thu nhập như tôi đóng mức này là hợp lý). - HUMAN-TRU2]]</f>
        <v>6</v>
      </c>
      <c r="AS207" t="str">
        <f t="shared" si="97"/>
        <v>Neutral</v>
      </c>
      <c r="AT207" s="32">
        <f t="shared" si="98"/>
        <v>2</v>
      </c>
      <c r="AU207">
        <f>step3_validation[[#This Row],[AI_TRU3]]</f>
        <v>6</v>
      </c>
      <c r="AV207" t="str">
        <f t="shared" si="99"/>
        <v>Neutral</v>
      </c>
      <c r="AW207">
        <f>survey_responses[[#This Row],[Tôi tin tưởng số tiền thuế tôi đóng sẽ được Nhà nước sử dụng hiệu quả để cải thiện dịch vụ công (y tế, đường xá...). - HUMAN-TRU3]]</f>
        <v>6</v>
      </c>
      <c r="AX207" t="str">
        <f t="shared" si="100"/>
        <v>Neutral</v>
      </c>
      <c r="AY207" s="32">
        <f t="shared" si="101"/>
        <v>0</v>
      </c>
      <c r="AZ207">
        <f>step3_validation[[#This Row],[AI_TRU4]]</f>
        <v>7</v>
      </c>
      <c r="BA207" t="str">
        <f t="shared" si="102"/>
        <v>Neutral</v>
      </c>
      <c r="BB207">
        <f>survey_responses[[#This Row],[Tôi thấy Nhà nước đã giải thích rõ ràng, minh bạch về lý do và mục tiêu của việc sửa đổi thuế lần này. - HUMAN-TRU4]]</f>
        <v>7</v>
      </c>
      <c r="BC207" t="str">
        <f t="shared" si="103"/>
        <v>Neutral</v>
      </c>
      <c r="BD207" s="32">
        <f t="shared" si="104"/>
        <v>0</v>
      </c>
      <c r="BE207">
        <f>step3_validation[[#This Row],[AI_OUT1]]</f>
        <v>9</v>
      </c>
      <c r="BF207" t="str">
        <f t="shared" si="105"/>
        <v>Support</v>
      </c>
      <c r="BG207">
        <f>survey_responses[[#This Row],[Sau khi xem xét các quyền lợi và nghĩa vụ, bạn có ủng hộ và tuân thủ chính sách mới hiện nay? - HUMAN-OUT1]]</f>
        <v>7</v>
      </c>
      <c r="BH207" t="str">
        <f t="shared" si="106"/>
        <v>Neutral</v>
      </c>
      <c r="BI207" s="32">
        <f t="shared" si="107"/>
        <v>2</v>
      </c>
    </row>
    <row r="208" spans="1:61" x14ac:dyDescent="0.45">
      <c r="A208" s="30">
        <f>step3_validation[[#This Row],[Persona_ID]]</f>
        <v>207</v>
      </c>
      <c r="B208" s="31">
        <f>step3_validation[[#This Row],[Used_Seed]]</f>
        <v>207</v>
      </c>
      <c r="C208" t="str">
        <f>step3_validation[[#This Row],[Gender]]</f>
        <v>Nam</v>
      </c>
      <c r="D208" t="str">
        <f>survey_responses[[#This Row],[Giới tính của bạn:]]</f>
        <v>Nam</v>
      </c>
      <c r="E208" t="str">
        <f>step3_validation[[#This Row],[Age_Group]]</f>
        <v>30 - 39</v>
      </c>
      <c r="F208" t="str">
        <f>survey_responses[[#This Row],[Độ tuổi của bạn:]]</f>
        <v>30 - 39</v>
      </c>
      <c r="G208" t="str">
        <f>step3_validation[[#This Row],[Region]]</f>
        <v>Thành thị</v>
      </c>
      <c r="H208" t="str">
        <f>survey_responses[[#This Row],[Khu vực bạn đang sinh sống:]]</f>
        <v>Thành thị</v>
      </c>
      <c r="I208" t="str">
        <f>step3_validation[[#This Row],[Education]]</f>
        <v>Đại học</v>
      </c>
      <c r="J208" t="str">
        <f>survey_responses[[#This Row],[Trình độ học vấn cao nhất:]]</f>
        <v>Đại học</v>
      </c>
      <c r="K208" t="str">
        <f>step3_validation[[#This Row],[Employment]]</f>
        <v>Chính thức</v>
      </c>
      <c r="L208" t="str">
        <f>survey_responses[[#This Row],[Tình trạng việc làm chính:]]</f>
        <v>Khu vực chính thức (Có Hợp đồng lao động, đóng BHXH)</v>
      </c>
      <c r="M208">
        <f>step3_validation[[#This Row],[Income_Mil]]</f>
        <v>53.801388608812857</v>
      </c>
      <c r="N208" t="str">
        <f>survey_responses[[#This Row],[Thu nhập bình quân tháng theo Hợp đồng lao động của bạn là bao nhiêu? (Vui lòng điền tổng thu nhập trước khi khấu trừ các loại Bảo hiểm (BHXH, BHYT, BHTN) và Thuế TNCN)]]</f>
        <v>Từ 48 - 70 triệu VNĐ</v>
      </c>
      <c r="O208">
        <f>step3_validation[[#This Row],[Dependents]]</f>
        <v>2</v>
      </c>
      <c r="P208" t="str">
        <f>survey_responses[[#This Row],[Số người phụ thuộc (con nhỏ, cha mẹ già...) đủ điều kiện giảm trừ gia cảnh:]]</f>
        <v>2 người</v>
      </c>
      <c r="Q208">
        <f>step3_validation[[#This Row],[AI_ENF1]]</f>
        <v>9</v>
      </c>
      <c r="R208" t="str">
        <f t="shared" si="81"/>
        <v>Support</v>
      </c>
      <c r="S208">
        <f>survey_responses[[#This Row],[Tôi tin rằng với các quy định quản lý thuế hiện nay, hành vi gian lận hoặc trốn thuế sẽ dễ dàng bị phát hiện và xử lý nghiêm. - HUMAN-ENF1]]</f>
        <v>4</v>
      </c>
      <c r="T208" t="str">
        <f t="shared" si="82"/>
        <v>Oppose</v>
      </c>
      <c r="U208" s="32">
        <f t="shared" si="83"/>
        <v>5</v>
      </c>
      <c r="V208">
        <f>step3_validation[[#This Row],[AI_ENF2]]</f>
        <v>8</v>
      </c>
      <c r="W208" t="str">
        <f t="shared" si="84"/>
        <v>Support</v>
      </c>
      <c r="X208">
        <f>survey_responses[[#This Row],[Tôi tin rằng Nhà nước, cơ quan thuế có đủ khả năng và công nghệ để phát hiện, xử lý nghiêm các hành vi trốn thuế. - HUMAN-ENF2]]</f>
        <v>3</v>
      </c>
      <c r="Y208" t="str">
        <f t="shared" si="85"/>
        <v>Oppose</v>
      </c>
      <c r="Z208" s="32">
        <f t="shared" si="86"/>
        <v>5</v>
      </c>
      <c r="AA208">
        <f>step3_validation[[#This Row],[AI_FAC1]]</f>
        <v>9</v>
      </c>
      <c r="AB208" t="str">
        <f t="shared" si="87"/>
        <v>Support</v>
      </c>
      <c r="AC208">
        <f>survey_responses[[#This Row],[Các thủ tục khai báo thuế VÀ/HOẶC quy trình làm việc với cơ quan thuế đơn giản, tiện lợi, nhanh chóng hơn so với trước đây. - HUMAN-FAC1]]</f>
        <v>1</v>
      </c>
      <c r="AD208" t="str">
        <f t="shared" si="88"/>
        <v>Oppose</v>
      </c>
      <c r="AE208" s="32">
        <f t="shared" si="89"/>
        <v>8</v>
      </c>
      <c r="AF208">
        <f>step3_validation[[#This Row],[AI_FAC2]]</f>
        <v>8</v>
      </c>
      <c r="AG208" t="str">
        <f t="shared" si="90"/>
        <v>Support</v>
      </c>
      <c r="AH208">
        <f>survey_responses[[#This Row],[So với trước đây, tôi thấy cách tính thuế và các bậc thuế trong phương án mới đơn giản, dễ hiểu và dễ thực hiện hơn. - HUMAN-FAC2]]</f>
        <v>2</v>
      </c>
      <c r="AI208" t="str">
        <f t="shared" si="91"/>
        <v>Oppose</v>
      </c>
      <c r="AJ208" s="32">
        <f t="shared" si="92"/>
        <v>6</v>
      </c>
      <c r="AK208">
        <f>step3_validation[[#This Row],[AI_TRU1]]</f>
        <v>9</v>
      </c>
      <c r="AL208" t="str">
        <f t="shared" si="93"/>
        <v>Support</v>
      </c>
      <c r="AM208">
        <f>survey_responses[[#This Row],[Tôi tin rằng Nhà nước, cơ quan thuế sẽ thực thi chính sách mới một cách khách quan, công tâm và đối xử bình đẳng với mọi người nộp thuế.  - HUMAN-TRU1]]</f>
        <v>1</v>
      </c>
      <c r="AN208" t="str">
        <f t="shared" si="94"/>
        <v>Oppose</v>
      </c>
      <c r="AO208" s="32">
        <f t="shared" si="95"/>
        <v>8</v>
      </c>
      <c r="AP208">
        <f>step3_validation[[#This Row],[AI_TRU2]]</f>
        <v>8</v>
      </c>
      <c r="AQ208" t="str">
        <f t="shared" si="96"/>
        <v>Support</v>
      </c>
      <c r="AR208">
        <f>survey_responses[[#This Row],[Tôi thấy mức thuế tôi phải đóng theo phương án mới là công bằng (người thu nhập như tôi đóng mức này là hợp lý). - HUMAN-TRU2]]</f>
        <v>1</v>
      </c>
      <c r="AS208" t="str">
        <f t="shared" si="97"/>
        <v>Oppose</v>
      </c>
      <c r="AT208" s="32">
        <f t="shared" si="98"/>
        <v>7</v>
      </c>
      <c r="AU208">
        <f>step3_validation[[#This Row],[AI_TRU3]]</f>
        <v>9</v>
      </c>
      <c r="AV208" t="str">
        <f t="shared" si="99"/>
        <v>Support</v>
      </c>
      <c r="AW208">
        <f>survey_responses[[#This Row],[Tôi tin tưởng số tiền thuế tôi đóng sẽ được Nhà nước sử dụng hiệu quả để cải thiện dịch vụ công (y tế, đường xá...). - HUMAN-TRU3]]</f>
        <v>1</v>
      </c>
      <c r="AX208" t="str">
        <f t="shared" si="100"/>
        <v>Oppose</v>
      </c>
      <c r="AY208" s="32">
        <f t="shared" si="101"/>
        <v>8</v>
      </c>
      <c r="AZ208">
        <f>step3_validation[[#This Row],[AI_TRU4]]</f>
        <v>8</v>
      </c>
      <c r="BA208" t="str">
        <f t="shared" si="102"/>
        <v>Support</v>
      </c>
      <c r="BB208">
        <f>survey_responses[[#This Row],[Tôi thấy Nhà nước đã giải thích rõ ràng, minh bạch về lý do và mục tiêu của việc sửa đổi thuế lần này. - HUMAN-TRU4]]</f>
        <v>4</v>
      </c>
      <c r="BC208" t="str">
        <f t="shared" si="103"/>
        <v>Oppose</v>
      </c>
      <c r="BD208" s="32">
        <f t="shared" si="104"/>
        <v>4</v>
      </c>
      <c r="BE208">
        <f>step3_validation[[#This Row],[AI_OUT1]]</f>
        <v>9</v>
      </c>
      <c r="BF208" t="str">
        <f t="shared" si="105"/>
        <v>Support</v>
      </c>
      <c r="BG208">
        <f>survey_responses[[#This Row],[Sau khi xem xét các quyền lợi và nghĩa vụ, bạn có ủng hộ và tuân thủ chính sách mới hiện nay? - HUMAN-OUT1]]</f>
        <v>2</v>
      </c>
      <c r="BH208" t="str">
        <f t="shared" si="106"/>
        <v>Oppose</v>
      </c>
      <c r="BI208" s="32">
        <f t="shared" si="107"/>
        <v>7</v>
      </c>
    </row>
    <row r="209" spans="1:61" x14ac:dyDescent="0.45">
      <c r="A209" s="30">
        <f>step3_validation[[#This Row],[Persona_ID]]</f>
        <v>208</v>
      </c>
      <c r="B209" s="31">
        <f>step3_validation[[#This Row],[Used_Seed]]</f>
        <v>208</v>
      </c>
      <c r="C209" t="str">
        <f>step3_validation[[#This Row],[Gender]]</f>
        <v>Nữ</v>
      </c>
      <c r="D209" t="str">
        <f>survey_responses[[#This Row],[Giới tính của bạn:]]</f>
        <v>Nữ</v>
      </c>
      <c r="E209" t="str">
        <f>step3_validation[[#This Row],[Age_Group]]</f>
        <v>30 - 39</v>
      </c>
      <c r="F209" t="str">
        <f>survey_responses[[#This Row],[Độ tuổi của bạn:]]</f>
        <v>30 - 39</v>
      </c>
      <c r="G209" t="str">
        <f>step3_validation[[#This Row],[Region]]</f>
        <v>Thành thị</v>
      </c>
      <c r="H209" t="str">
        <f>survey_responses[[#This Row],[Khu vực bạn đang sinh sống:]]</f>
        <v>Thành thị</v>
      </c>
      <c r="I209" t="str">
        <f>step3_validation[[#This Row],[Education]]</f>
        <v>Sau Đại học</v>
      </c>
      <c r="J209" t="str">
        <f>survey_responses[[#This Row],[Trình độ học vấn cao nhất:]]</f>
        <v>Sau Đại học</v>
      </c>
      <c r="K209" t="str">
        <f>step3_validation[[#This Row],[Employment]]</f>
        <v>Chính thức</v>
      </c>
      <c r="L209" t="str">
        <f>survey_responses[[#This Row],[Tình trạng việc làm chính:]]</f>
        <v>Khu vực chính thức (Có Hợp đồng lao động, đóng BHXH)</v>
      </c>
      <c r="M209">
        <f>step3_validation[[#This Row],[Income_Mil]]</f>
        <v>46.313332496295828</v>
      </c>
      <c r="N209" t="str">
        <f>survey_responses[[#This Row],[Thu nhập bình quân tháng theo Hợp đồng lao động của bạn là bao nhiêu? (Vui lòng điền tổng thu nhập trước khi khấu trừ các loại Bảo hiểm (BHXH, BHYT, BHTN) và Thuế TNCN)]]</f>
        <v>Từ 32 - 48 triệu VNĐ</v>
      </c>
      <c r="O209">
        <f>step3_validation[[#This Row],[Dependents]]</f>
        <v>1</v>
      </c>
      <c r="P209" t="str">
        <f>survey_responses[[#This Row],[Số người phụ thuộc (con nhỏ, cha mẹ già...) đủ điều kiện giảm trừ gia cảnh:]]</f>
        <v>1 người</v>
      </c>
      <c r="Q209">
        <f>step3_validation[[#This Row],[AI_ENF1]]</f>
        <v>7</v>
      </c>
      <c r="R209" t="str">
        <f t="shared" si="81"/>
        <v>Neutral</v>
      </c>
      <c r="S209">
        <f>survey_responses[[#This Row],[Tôi tin rằng với các quy định quản lý thuế hiện nay, hành vi gian lận hoặc trốn thuế sẽ dễ dàng bị phát hiện và xử lý nghiêm. - HUMAN-ENF1]]</f>
        <v>7</v>
      </c>
      <c r="T209" t="str">
        <f t="shared" si="82"/>
        <v>Neutral</v>
      </c>
      <c r="U209" s="32">
        <f t="shared" si="83"/>
        <v>0</v>
      </c>
      <c r="V209">
        <f>step3_validation[[#This Row],[AI_ENF2]]</f>
        <v>6</v>
      </c>
      <c r="W209" t="str">
        <f t="shared" si="84"/>
        <v>Neutral</v>
      </c>
      <c r="X209">
        <f>survey_responses[[#This Row],[Tôi tin rằng Nhà nước, cơ quan thuế có đủ khả năng và công nghệ để phát hiện, xử lý nghiêm các hành vi trốn thuế. - HUMAN-ENF2]]</f>
        <v>8</v>
      </c>
      <c r="Y209" t="str">
        <f t="shared" si="85"/>
        <v>Support</v>
      </c>
      <c r="Z209" s="32">
        <f t="shared" si="86"/>
        <v>2</v>
      </c>
      <c r="AA209">
        <f>step3_validation[[#This Row],[AI_FAC1]]</f>
        <v>8</v>
      </c>
      <c r="AB209" t="str">
        <f t="shared" si="87"/>
        <v>Support</v>
      </c>
      <c r="AC209">
        <f>survey_responses[[#This Row],[Các thủ tục khai báo thuế VÀ/HOẶC quy trình làm việc với cơ quan thuế đơn giản, tiện lợi, nhanh chóng hơn so với trước đây. - HUMAN-FAC1]]</f>
        <v>6</v>
      </c>
      <c r="AD209" t="str">
        <f t="shared" si="88"/>
        <v>Neutral</v>
      </c>
      <c r="AE209" s="32">
        <f t="shared" si="89"/>
        <v>2</v>
      </c>
      <c r="AF209">
        <f>step3_validation[[#This Row],[AI_FAC2]]</f>
        <v>9</v>
      </c>
      <c r="AG209" t="str">
        <f t="shared" si="90"/>
        <v>Support</v>
      </c>
      <c r="AH209">
        <f>survey_responses[[#This Row],[So với trước đây, tôi thấy cách tính thuế và các bậc thuế trong phương án mới đơn giản, dễ hiểu và dễ thực hiện hơn. - HUMAN-FAC2]]</f>
        <v>7</v>
      </c>
      <c r="AI209" t="str">
        <f t="shared" si="91"/>
        <v>Neutral</v>
      </c>
      <c r="AJ209" s="32">
        <f t="shared" si="92"/>
        <v>2</v>
      </c>
      <c r="AK209">
        <f>step3_validation[[#This Row],[AI_TRU1]]</f>
        <v>7</v>
      </c>
      <c r="AL209" t="str">
        <f t="shared" si="93"/>
        <v>Neutral</v>
      </c>
      <c r="AM209">
        <f>survey_responses[[#This Row],[Tôi tin rằng Nhà nước, cơ quan thuế sẽ thực thi chính sách mới một cách khách quan, công tâm và đối xử bình đẳng với mọi người nộp thuế.  - HUMAN-TRU1]]</f>
        <v>6</v>
      </c>
      <c r="AN209" t="str">
        <f t="shared" si="94"/>
        <v>Neutral</v>
      </c>
      <c r="AO209" s="32">
        <f t="shared" si="95"/>
        <v>1</v>
      </c>
      <c r="AP209">
        <f>step3_validation[[#This Row],[AI_TRU2]]</f>
        <v>9</v>
      </c>
      <c r="AQ209" t="str">
        <f t="shared" si="96"/>
        <v>Support</v>
      </c>
      <c r="AR209">
        <f>survey_responses[[#This Row],[Tôi thấy mức thuế tôi phải đóng theo phương án mới là công bằng (người thu nhập như tôi đóng mức này là hợp lý). - HUMAN-TRU2]]</f>
        <v>7</v>
      </c>
      <c r="AS209" t="str">
        <f t="shared" si="97"/>
        <v>Neutral</v>
      </c>
      <c r="AT209" s="32">
        <f t="shared" si="98"/>
        <v>2</v>
      </c>
      <c r="AU209">
        <f>step3_validation[[#This Row],[AI_TRU3]]</f>
        <v>6</v>
      </c>
      <c r="AV209" t="str">
        <f t="shared" si="99"/>
        <v>Neutral</v>
      </c>
      <c r="AW209">
        <f>survey_responses[[#This Row],[Tôi tin tưởng số tiền thuế tôi đóng sẽ được Nhà nước sử dụng hiệu quả để cải thiện dịch vụ công (y tế, đường xá...). - HUMAN-TRU3]]</f>
        <v>6</v>
      </c>
      <c r="AX209" t="str">
        <f t="shared" si="100"/>
        <v>Neutral</v>
      </c>
      <c r="AY209" s="32">
        <f t="shared" si="101"/>
        <v>0</v>
      </c>
      <c r="AZ209">
        <f>step3_validation[[#This Row],[AI_TRU4]]</f>
        <v>7</v>
      </c>
      <c r="BA209" t="str">
        <f t="shared" si="102"/>
        <v>Neutral</v>
      </c>
      <c r="BB209">
        <f>survey_responses[[#This Row],[Tôi thấy Nhà nước đã giải thích rõ ràng, minh bạch về lý do và mục tiêu của việc sửa đổi thuế lần này. - HUMAN-TRU4]]</f>
        <v>6</v>
      </c>
      <c r="BC209" t="str">
        <f t="shared" si="103"/>
        <v>Neutral</v>
      </c>
      <c r="BD209" s="32">
        <f t="shared" si="104"/>
        <v>1</v>
      </c>
      <c r="BE209">
        <f>step3_validation[[#This Row],[AI_OUT1]]</f>
        <v>9</v>
      </c>
      <c r="BF209" t="str">
        <f t="shared" si="105"/>
        <v>Support</v>
      </c>
      <c r="BG209">
        <f>survey_responses[[#This Row],[Sau khi xem xét các quyền lợi và nghĩa vụ, bạn có ủng hộ và tuân thủ chính sách mới hiện nay? - HUMAN-OUT1]]</f>
        <v>6</v>
      </c>
      <c r="BH209" t="str">
        <f t="shared" si="106"/>
        <v>Neutral</v>
      </c>
      <c r="BI209" s="32">
        <f t="shared" si="107"/>
        <v>3</v>
      </c>
    </row>
    <row r="210" spans="1:61" x14ac:dyDescent="0.45">
      <c r="A210" s="30">
        <f>step3_validation[[#This Row],[Persona_ID]]</f>
        <v>209</v>
      </c>
      <c r="B210" s="31">
        <f>step3_validation[[#This Row],[Used_Seed]]</f>
        <v>209</v>
      </c>
      <c r="C210" t="str">
        <f>step3_validation[[#This Row],[Gender]]</f>
        <v>Nữ</v>
      </c>
      <c r="D210" t="str">
        <f>survey_responses[[#This Row],[Giới tính của bạn:]]</f>
        <v>Nữ</v>
      </c>
      <c r="E210" t="str">
        <f>step3_validation[[#This Row],[Age_Group]]</f>
        <v>30 - 39</v>
      </c>
      <c r="F210" t="str">
        <f>survey_responses[[#This Row],[Độ tuổi của bạn:]]</f>
        <v>30 - 39</v>
      </c>
      <c r="G210" t="str">
        <f>step3_validation[[#This Row],[Region]]</f>
        <v>Thành thị</v>
      </c>
      <c r="H210" t="str">
        <f>survey_responses[[#This Row],[Khu vực bạn đang sinh sống:]]</f>
        <v>Thành thị</v>
      </c>
      <c r="I210" t="str">
        <f>step3_validation[[#This Row],[Education]]</f>
        <v>Đại học</v>
      </c>
      <c r="J210" t="str">
        <f>survey_responses[[#This Row],[Trình độ học vấn cao nhất:]]</f>
        <v>Đại học</v>
      </c>
      <c r="K210" t="str">
        <f>step3_validation[[#This Row],[Employment]]</f>
        <v>Chính thức</v>
      </c>
      <c r="L210" t="str">
        <f>survey_responses[[#This Row],[Tình trạng việc làm chính:]]</f>
        <v>Khu vực chính thức (Có Hợp đồng lao động, đóng BHXH)</v>
      </c>
      <c r="M210">
        <f>step3_validation[[#This Row],[Income_Mil]]</f>
        <v>36.275674974900241</v>
      </c>
      <c r="N210" t="str">
        <f>survey_responses[[#This Row],[Thu nhập bình quân tháng theo Hợp đồng lao động của bạn là bao nhiêu? (Vui lòng điền tổng thu nhập trước khi khấu trừ các loại Bảo hiểm (BHXH, BHYT, BHTN) và Thuế TNCN)]]</f>
        <v>Từ 32 - 48 triệu VNĐ</v>
      </c>
      <c r="O210">
        <f>step3_validation[[#This Row],[Dependents]]</f>
        <v>0</v>
      </c>
      <c r="P210" t="str">
        <f>survey_responses[[#This Row],[Số người phụ thuộc (con nhỏ, cha mẹ già...) đủ điều kiện giảm trừ gia cảnh:]]</f>
        <v>0 người</v>
      </c>
      <c r="Q210">
        <f>step3_validation[[#This Row],[AI_ENF1]]</f>
        <v>7</v>
      </c>
      <c r="R210" t="str">
        <f t="shared" si="81"/>
        <v>Neutral</v>
      </c>
      <c r="S210">
        <f>survey_responses[[#This Row],[Tôi tin rằng với các quy định quản lý thuế hiện nay, hành vi gian lận hoặc trốn thuế sẽ dễ dàng bị phát hiện và xử lý nghiêm. - HUMAN-ENF1]]</f>
        <v>6</v>
      </c>
      <c r="T210" t="str">
        <f t="shared" si="82"/>
        <v>Neutral</v>
      </c>
      <c r="U210" s="32">
        <f t="shared" si="83"/>
        <v>1</v>
      </c>
      <c r="V210">
        <f>step3_validation[[#This Row],[AI_ENF2]]</f>
        <v>8</v>
      </c>
      <c r="W210" t="str">
        <f t="shared" si="84"/>
        <v>Support</v>
      </c>
      <c r="X210">
        <f>survey_responses[[#This Row],[Tôi tin rằng Nhà nước, cơ quan thuế có đủ khả năng và công nghệ để phát hiện, xử lý nghiêm các hành vi trốn thuế. - HUMAN-ENF2]]</f>
        <v>6</v>
      </c>
      <c r="Y210" t="str">
        <f t="shared" si="85"/>
        <v>Neutral</v>
      </c>
      <c r="Z210" s="32">
        <f t="shared" si="86"/>
        <v>2</v>
      </c>
      <c r="AA210">
        <f>step3_validation[[#This Row],[AI_FAC1]]</f>
        <v>9</v>
      </c>
      <c r="AB210" t="str">
        <f t="shared" si="87"/>
        <v>Support</v>
      </c>
      <c r="AC210">
        <f>survey_responses[[#This Row],[Các thủ tục khai báo thuế VÀ/HOẶC quy trình làm việc với cơ quan thuế đơn giản, tiện lợi, nhanh chóng hơn so với trước đây. - HUMAN-FAC1]]</f>
        <v>6</v>
      </c>
      <c r="AD210" t="str">
        <f t="shared" si="88"/>
        <v>Neutral</v>
      </c>
      <c r="AE210" s="32">
        <f t="shared" si="89"/>
        <v>3</v>
      </c>
      <c r="AF210">
        <f>step3_validation[[#This Row],[AI_FAC2]]</f>
        <v>9</v>
      </c>
      <c r="AG210" t="str">
        <f t="shared" si="90"/>
        <v>Support</v>
      </c>
      <c r="AH210">
        <f>survey_responses[[#This Row],[So với trước đây, tôi thấy cách tính thuế và các bậc thuế trong phương án mới đơn giản, dễ hiểu và dễ thực hiện hơn. - HUMAN-FAC2]]</f>
        <v>6</v>
      </c>
      <c r="AI210" t="str">
        <f t="shared" si="91"/>
        <v>Neutral</v>
      </c>
      <c r="AJ210" s="32">
        <f t="shared" si="92"/>
        <v>3</v>
      </c>
      <c r="AK210">
        <f>step3_validation[[#This Row],[AI_TRU1]]</f>
        <v>6</v>
      </c>
      <c r="AL210" t="str">
        <f t="shared" si="93"/>
        <v>Neutral</v>
      </c>
      <c r="AM210">
        <f>survey_responses[[#This Row],[Tôi tin rằng Nhà nước, cơ quan thuế sẽ thực thi chính sách mới một cách khách quan, công tâm và đối xử bình đẳng với mọi người nộp thuế.  - HUMAN-TRU1]]</f>
        <v>6</v>
      </c>
      <c r="AN210" t="str">
        <f t="shared" si="94"/>
        <v>Neutral</v>
      </c>
      <c r="AO210" s="32">
        <f t="shared" si="95"/>
        <v>0</v>
      </c>
      <c r="AP210">
        <f>step3_validation[[#This Row],[AI_TRU2]]</f>
        <v>8</v>
      </c>
      <c r="AQ210" t="str">
        <f t="shared" si="96"/>
        <v>Support</v>
      </c>
      <c r="AR210">
        <f>survey_responses[[#This Row],[Tôi thấy mức thuế tôi phải đóng theo phương án mới là công bằng (người thu nhập như tôi đóng mức này là hợp lý). - HUMAN-TRU2]]</f>
        <v>5</v>
      </c>
      <c r="AS210" t="str">
        <f t="shared" si="97"/>
        <v>Neutral</v>
      </c>
      <c r="AT210" s="32">
        <f t="shared" si="98"/>
        <v>3</v>
      </c>
      <c r="AU210">
        <f>step3_validation[[#This Row],[AI_TRU3]]</f>
        <v>6</v>
      </c>
      <c r="AV210" t="str">
        <f t="shared" si="99"/>
        <v>Neutral</v>
      </c>
      <c r="AW210">
        <f>survey_responses[[#This Row],[Tôi tin tưởng số tiền thuế tôi đóng sẽ được Nhà nước sử dụng hiệu quả để cải thiện dịch vụ công (y tế, đường xá...). - HUMAN-TRU3]]</f>
        <v>6</v>
      </c>
      <c r="AX210" t="str">
        <f t="shared" si="100"/>
        <v>Neutral</v>
      </c>
      <c r="AY210" s="32">
        <f t="shared" si="101"/>
        <v>0</v>
      </c>
      <c r="AZ210">
        <f>step3_validation[[#This Row],[AI_TRU4]]</f>
        <v>7</v>
      </c>
      <c r="BA210" t="str">
        <f t="shared" si="102"/>
        <v>Neutral</v>
      </c>
      <c r="BB210">
        <f>survey_responses[[#This Row],[Tôi thấy Nhà nước đã giải thích rõ ràng, minh bạch về lý do và mục tiêu của việc sửa đổi thuế lần này. - HUMAN-TRU4]]</f>
        <v>6</v>
      </c>
      <c r="BC210" t="str">
        <f t="shared" si="103"/>
        <v>Neutral</v>
      </c>
      <c r="BD210" s="32">
        <f t="shared" si="104"/>
        <v>1</v>
      </c>
      <c r="BE210">
        <f>step3_validation[[#This Row],[AI_OUT1]]</f>
        <v>9</v>
      </c>
      <c r="BF210" t="str">
        <f t="shared" si="105"/>
        <v>Support</v>
      </c>
      <c r="BG210">
        <f>survey_responses[[#This Row],[Sau khi xem xét các quyền lợi và nghĩa vụ, bạn có ủng hộ và tuân thủ chính sách mới hiện nay? - HUMAN-OUT1]]</f>
        <v>6</v>
      </c>
      <c r="BH210" t="str">
        <f t="shared" si="106"/>
        <v>Neutral</v>
      </c>
      <c r="BI210" s="32">
        <f t="shared" si="107"/>
        <v>3</v>
      </c>
    </row>
    <row r="211" spans="1:61" x14ac:dyDescent="0.45">
      <c r="A211" s="30">
        <f>step3_validation[[#This Row],[Persona_ID]]</f>
        <v>210</v>
      </c>
      <c r="B211" s="31">
        <f>step3_validation[[#This Row],[Used_Seed]]</f>
        <v>210</v>
      </c>
      <c r="C211" t="str">
        <f>step3_validation[[#This Row],[Gender]]</f>
        <v>Nam</v>
      </c>
      <c r="D211" t="str">
        <f>survey_responses[[#This Row],[Giới tính của bạn:]]</f>
        <v>Nam</v>
      </c>
      <c r="E211" t="str">
        <f>step3_validation[[#This Row],[Age_Group]]</f>
        <v>30 - 39</v>
      </c>
      <c r="F211" t="str">
        <f>survey_responses[[#This Row],[Độ tuổi của bạn:]]</f>
        <v>30 - 39</v>
      </c>
      <c r="G211" t="str">
        <f>step3_validation[[#This Row],[Region]]</f>
        <v>Thành thị</v>
      </c>
      <c r="H211" t="str">
        <f>survey_responses[[#This Row],[Khu vực bạn đang sinh sống:]]</f>
        <v>Thành thị</v>
      </c>
      <c r="I211" t="str">
        <f>step3_validation[[#This Row],[Education]]</f>
        <v>Đại học</v>
      </c>
      <c r="J211" t="str">
        <f>survey_responses[[#This Row],[Trình độ học vấn cao nhất:]]</f>
        <v>Đại học</v>
      </c>
      <c r="K211" t="str">
        <f>step3_validation[[#This Row],[Employment]]</f>
        <v>Chính thức</v>
      </c>
      <c r="L211" t="str">
        <f>survey_responses[[#This Row],[Tình trạng việc làm chính:]]</f>
        <v>Khu vực chính thức (Có Hợp đồng lao động, đóng BHXH)</v>
      </c>
      <c r="M211">
        <f>step3_validation[[#This Row],[Income_Mil]]</f>
        <v>28.775032436976822</v>
      </c>
      <c r="N211" t="str">
        <f>survey_responses[[#This Row],[Thu nhập bình quân tháng theo Hợp đồng lao động của bạn là bao nhiêu? (Vui lòng điền tổng thu nhập trước khi khấu trừ các loại Bảo hiểm (BHXH, BHYT, BHTN) và Thuế TNCN)]]</f>
        <v>Từ 23 - 32 triệu VNĐ</v>
      </c>
      <c r="O211">
        <f>step3_validation[[#This Row],[Dependents]]</f>
        <v>0</v>
      </c>
      <c r="P211" t="str">
        <f>survey_responses[[#This Row],[Số người phụ thuộc (con nhỏ, cha mẹ già...) đủ điều kiện giảm trừ gia cảnh:]]</f>
        <v>0 người</v>
      </c>
      <c r="Q211">
        <f>step3_validation[[#This Row],[AI_ENF1]]</f>
        <v>7</v>
      </c>
      <c r="R211" t="str">
        <f t="shared" si="81"/>
        <v>Neutral</v>
      </c>
      <c r="S211">
        <f>survey_responses[[#This Row],[Tôi tin rằng với các quy định quản lý thuế hiện nay, hành vi gian lận hoặc trốn thuế sẽ dễ dàng bị phát hiện và xử lý nghiêm. - HUMAN-ENF1]]</f>
        <v>7</v>
      </c>
      <c r="T211" t="str">
        <f t="shared" si="82"/>
        <v>Neutral</v>
      </c>
      <c r="U211" s="32">
        <f t="shared" si="83"/>
        <v>0</v>
      </c>
      <c r="V211">
        <f>step3_validation[[#This Row],[AI_ENF2]]</f>
        <v>8</v>
      </c>
      <c r="W211" t="str">
        <f t="shared" si="84"/>
        <v>Support</v>
      </c>
      <c r="X211">
        <f>survey_responses[[#This Row],[Tôi tin rằng Nhà nước, cơ quan thuế có đủ khả năng và công nghệ để phát hiện, xử lý nghiêm các hành vi trốn thuế. - HUMAN-ENF2]]</f>
        <v>7</v>
      </c>
      <c r="Y211" t="str">
        <f t="shared" si="85"/>
        <v>Neutral</v>
      </c>
      <c r="Z211" s="32">
        <f t="shared" si="86"/>
        <v>1</v>
      </c>
      <c r="AA211">
        <f>step3_validation[[#This Row],[AI_FAC1]]</f>
        <v>9</v>
      </c>
      <c r="AB211" t="str">
        <f t="shared" si="87"/>
        <v>Support</v>
      </c>
      <c r="AC211">
        <f>survey_responses[[#This Row],[Các thủ tục khai báo thuế VÀ/HOẶC quy trình làm việc với cơ quan thuế đơn giản, tiện lợi, nhanh chóng hơn so với trước đây. - HUMAN-FAC1]]</f>
        <v>8</v>
      </c>
      <c r="AD211" t="str">
        <f t="shared" si="88"/>
        <v>Support</v>
      </c>
      <c r="AE211" s="32">
        <f t="shared" si="89"/>
        <v>1</v>
      </c>
      <c r="AF211">
        <f>step3_validation[[#This Row],[AI_FAC2]]</f>
        <v>9</v>
      </c>
      <c r="AG211" t="str">
        <f t="shared" si="90"/>
        <v>Support</v>
      </c>
      <c r="AH211">
        <f>survey_responses[[#This Row],[So với trước đây, tôi thấy cách tính thuế và các bậc thuế trong phương án mới đơn giản, dễ hiểu và dễ thực hiện hơn. - HUMAN-FAC2]]</f>
        <v>8</v>
      </c>
      <c r="AI211" t="str">
        <f t="shared" si="91"/>
        <v>Support</v>
      </c>
      <c r="AJ211" s="32">
        <f t="shared" si="92"/>
        <v>1</v>
      </c>
      <c r="AK211">
        <f>step3_validation[[#This Row],[AI_TRU1]]</f>
        <v>8</v>
      </c>
      <c r="AL211" t="str">
        <f t="shared" si="93"/>
        <v>Support</v>
      </c>
      <c r="AM211">
        <f>survey_responses[[#This Row],[Tôi tin rằng Nhà nước, cơ quan thuế sẽ thực thi chính sách mới một cách khách quan, công tâm và đối xử bình đẳng với mọi người nộp thuế.  - HUMAN-TRU1]]</f>
        <v>8</v>
      </c>
      <c r="AN211" t="str">
        <f t="shared" si="94"/>
        <v>Support</v>
      </c>
      <c r="AO211" s="32">
        <f t="shared" si="95"/>
        <v>0</v>
      </c>
      <c r="AP211">
        <f>step3_validation[[#This Row],[AI_TRU2]]</f>
        <v>9</v>
      </c>
      <c r="AQ211" t="str">
        <f t="shared" si="96"/>
        <v>Support</v>
      </c>
      <c r="AR211">
        <f>survey_responses[[#This Row],[Tôi thấy mức thuế tôi phải đóng theo phương án mới là công bằng (người thu nhập như tôi đóng mức này là hợp lý). - HUMAN-TRU2]]</f>
        <v>9</v>
      </c>
      <c r="AS211" t="str">
        <f t="shared" si="97"/>
        <v>Support</v>
      </c>
      <c r="AT211" s="32">
        <f t="shared" si="98"/>
        <v>0</v>
      </c>
      <c r="AU211">
        <f>step3_validation[[#This Row],[AI_TRU3]]</f>
        <v>8</v>
      </c>
      <c r="AV211" t="str">
        <f t="shared" si="99"/>
        <v>Support</v>
      </c>
      <c r="AW211">
        <f>survey_responses[[#This Row],[Tôi tin tưởng số tiền thuế tôi đóng sẽ được Nhà nước sử dụng hiệu quả để cải thiện dịch vụ công (y tế, đường xá...). - HUMAN-TRU3]]</f>
        <v>8</v>
      </c>
      <c r="AX211" t="str">
        <f t="shared" si="100"/>
        <v>Support</v>
      </c>
      <c r="AY211" s="32">
        <f t="shared" si="101"/>
        <v>0</v>
      </c>
      <c r="AZ211">
        <f>step3_validation[[#This Row],[AI_TRU4]]</f>
        <v>9</v>
      </c>
      <c r="BA211" t="str">
        <f t="shared" si="102"/>
        <v>Support</v>
      </c>
      <c r="BB211">
        <f>survey_responses[[#This Row],[Tôi thấy Nhà nước đã giải thích rõ ràng, minh bạch về lý do và mục tiêu của việc sửa đổi thuế lần này. - HUMAN-TRU4]]</f>
        <v>8</v>
      </c>
      <c r="BC211" t="str">
        <f t="shared" si="103"/>
        <v>Support</v>
      </c>
      <c r="BD211" s="32">
        <f t="shared" si="104"/>
        <v>1</v>
      </c>
      <c r="BE211">
        <f>step3_validation[[#This Row],[AI_OUT1]]</f>
        <v>9</v>
      </c>
      <c r="BF211" t="str">
        <f t="shared" si="105"/>
        <v>Support</v>
      </c>
      <c r="BG211">
        <f>survey_responses[[#This Row],[Sau khi xem xét các quyền lợi và nghĩa vụ, bạn có ủng hộ và tuân thủ chính sách mới hiện nay? - HUMAN-OUT1]]</f>
        <v>8</v>
      </c>
      <c r="BH211" t="str">
        <f t="shared" si="106"/>
        <v>Support</v>
      </c>
      <c r="BI211" s="32">
        <f t="shared" si="107"/>
        <v>1</v>
      </c>
    </row>
    <row r="212" spans="1:61" x14ac:dyDescent="0.45">
      <c r="A212" s="30">
        <f>step3_validation[[#This Row],[Persona_ID]]</f>
        <v>211</v>
      </c>
      <c r="B212" s="31">
        <f>step3_validation[[#This Row],[Used_Seed]]</f>
        <v>211</v>
      </c>
      <c r="C212" t="str">
        <f>step3_validation[[#This Row],[Gender]]</f>
        <v>Nữ</v>
      </c>
      <c r="D212" t="str">
        <f>survey_responses[[#This Row],[Giới tính của bạn:]]</f>
        <v>Nữ</v>
      </c>
      <c r="E212" t="str">
        <f>step3_validation[[#This Row],[Age_Group]]</f>
        <v>30 - 39</v>
      </c>
      <c r="F212" t="str">
        <f>survey_responses[[#This Row],[Độ tuổi của bạn:]]</f>
        <v>30 - 39</v>
      </c>
      <c r="G212" t="str">
        <f>step3_validation[[#This Row],[Region]]</f>
        <v>Thành thị</v>
      </c>
      <c r="H212" t="str">
        <f>survey_responses[[#This Row],[Khu vực bạn đang sinh sống:]]</f>
        <v>Thành thị</v>
      </c>
      <c r="I212" t="str">
        <f>step3_validation[[#This Row],[Education]]</f>
        <v>Đại học</v>
      </c>
      <c r="J212" t="str">
        <f>survey_responses[[#This Row],[Trình độ học vấn cao nhất:]]</f>
        <v>Đại học</v>
      </c>
      <c r="K212" t="str">
        <f>step3_validation[[#This Row],[Employment]]</f>
        <v>Chính thức</v>
      </c>
      <c r="L212" t="str">
        <f>survey_responses[[#This Row],[Tình trạng việc làm chính:]]</f>
        <v>Khu vực chính thức (Có Hợp đồng lao động, đóng BHXH)</v>
      </c>
      <c r="M212">
        <f>step3_validation[[#This Row],[Income_Mil]]</f>
        <v>57.380927955810328</v>
      </c>
      <c r="N212" t="str">
        <f>survey_responses[[#This Row],[Thu nhập bình quân tháng theo Hợp đồng lao động của bạn là bao nhiêu? (Vui lòng điền tổng thu nhập trước khi khấu trừ các loại Bảo hiểm (BHXH, BHYT, BHTN) và Thuế TNCN)]]</f>
        <v>Từ 48 - 70 triệu VNĐ</v>
      </c>
      <c r="O212">
        <f>step3_validation[[#This Row],[Dependents]]</f>
        <v>1</v>
      </c>
      <c r="P212" t="str">
        <f>survey_responses[[#This Row],[Số người phụ thuộc (con nhỏ, cha mẹ già...) đủ điều kiện giảm trừ gia cảnh:]]</f>
        <v>1 người</v>
      </c>
      <c r="Q212">
        <f>step3_validation[[#This Row],[AI_ENF1]]</f>
        <v>6</v>
      </c>
      <c r="R212" t="str">
        <f t="shared" si="81"/>
        <v>Neutral</v>
      </c>
      <c r="S212">
        <f>survey_responses[[#This Row],[Tôi tin rằng với các quy định quản lý thuế hiện nay, hành vi gian lận hoặc trốn thuế sẽ dễ dàng bị phát hiện và xử lý nghiêm. - HUMAN-ENF1]]</f>
        <v>7</v>
      </c>
      <c r="T212" t="str">
        <f t="shared" si="82"/>
        <v>Neutral</v>
      </c>
      <c r="U212" s="32">
        <f t="shared" si="83"/>
        <v>1</v>
      </c>
      <c r="V212">
        <f>step3_validation[[#This Row],[AI_ENF2]]</f>
        <v>7</v>
      </c>
      <c r="W212" t="str">
        <f t="shared" si="84"/>
        <v>Neutral</v>
      </c>
      <c r="X212">
        <f>survey_responses[[#This Row],[Tôi tin rằng Nhà nước, cơ quan thuế có đủ khả năng và công nghệ để phát hiện, xử lý nghiêm các hành vi trốn thuế. - HUMAN-ENF2]]</f>
        <v>7</v>
      </c>
      <c r="Y212" t="str">
        <f t="shared" si="85"/>
        <v>Neutral</v>
      </c>
      <c r="Z212" s="32">
        <f t="shared" si="86"/>
        <v>0</v>
      </c>
      <c r="AA212">
        <f>step3_validation[[#This Row],[AI_FAC1]]</f>
        <v>9</v>
      </c>
      <c r="AB212" t="str">
        <f t="shared" si="87"/>
        <v>Support</v>
      </c>
      <c r="AC212">
        <f>survey_responses[[#This Row],[Các thủ tục khai báo thuế VÀ/HOẶC quy trình làm việc với cơ quan thuế đơn giản, tiện lợi, nhanh chóng hơn so với trước đây. - HUMAN-FAC1]]</f>
        <v>7</v>
      </c>
      <c r="AD212" t="str">
        <f t="shared" si="88"/>
        <v>Neutral</v>
      </c>
      <c r="AE212" s="32">
        <f t="shared" si="89"/>
        <v>2</v>
      </c>
      <c r="AF212">
        <f>step3_validation[[#This Row],[AI_FAC2]]</f>
        <v>8</v>
      </c>
      <c r="AG212" t="str">
        <f t="shared" si="90"/>
        <v>Support</v>
      </c>
      <c r="AH212">
        <f>survey_responses[[#This Row],[So với trước đây, tôi thấy cách tính thuế và các bậc thuế trong phương án mới đơn giản, dễ hiểu và dễ thực hiện hơn. - HUMAN-FAC2]]</f>
        <v>7</v>
      </c>
      <c r="AI212" t="str">
        <f t="shared" si="91"/>
        <v>Neutral</v>
      </c>
      <c r="AJ212" s="32">
        <f t="shared" si="92"/>
        <v>1</v>
      </c>
      <c r="AK212">
        <f>step3_validation[[#This Row],[AI_TRU1]]</f>
        <v>7</v>
      </c>
      <c r="AL212" t="str">
        <f t="shared" si="93"/>
        <v>Neutral</v>
      </c>
      <c r="AM212">
        <f>survey_responses[[#This Row],[Tôi tin rằng Nhà nước, cơ quan thuế sẽ thực thi chính sách mới một cách khách quan, công tâm và đối xử bình đẳng với mọi người nộp thuế.  - HUMAN-TRU1]]</f>
        <v>7</v>
      </c>
      <c r="AN212" t="str">
        <f t="shared" si="94"/>
        <v>Neutral</v>
      </c>
      <c r="AO212" s="32">
        <f t="shared" si="95"/>
        <v>0</v>
      </c>
      <c r="AP212">
        <f>step3_validation[[#This Row],[AI_TRU2]]</f>
        <v>8</v>
      </c>
      <c r="AQ212" t="str">
        <f t="shared" si="96"/>
        <v>Support</v>
      </c>
      <c r="AR212">
        <f>survey_responses[[#This Row],[Tôi thấy mức thuế tôi phải đóng theo phương án mới là công bằng (người thu nhập như tôi đóng mức này là hợp lý). - HUMAN-TRU2]]</f>
        <v>7</v>
      </c>
      <c r="AS212" t="str">
        <f t="shared" si="97"/>
        <v>Neutral</v>
      </c>
      <c r="AT212" s="32">
        <f t="shared" si="98"/>
        <v>1</v>
      </c>
      <c r="AU212">
        <f>step3_validation[[#This Row],[AI_TRU3]]</f>
        <v>7</v>
      </c>
      <c r="AV212" t="str">
        <f t="shared" si="99"/>
        <v>Neutral</v>
      </c>
      <c r="AW212">
        <f>survey_responses[[#This Row],[Tôi tin tưởng số tiền thuế tôi đóng sẽ được Nhà nước sử dụng hiệu quả để cải thiện dịch vụ công (y tế, đường xá...). - HUMAN-TRU3]]</f>
        <v>7</v>
      </c>
      <c r="AX212" t="str">
        <f t="shared" si="100"/>
        <v>Neutral</v>
      </c>
      <c r="AY212" s="32">
        <f t="shared" si="101"/>
        <v>0</v>
      </c>
      <c r="AZ212">
        <f>step3_validation[[#This Row],[AI_TRU4]]</f>
        <v>6</v>
      </c>
      <c r="BA212" t="str">
        <f t="shared" si="102"/>
        <v>Neutral</v>
      </c>
      <c r="BB212">
        <f>survey_responses[[#This Row],[Tôi thấy Nhà nước đã giải thích rõ ràng, minh bạch về lý do và mục tiêu của việc sửa đổi thuế lần này. - HUMAN-TRU4]]</f>
        <v>7</v>
      </c>
      <c r="BC212" t="str">
        <f t="shared" si="103"/>
        <v>Neutral</v>
      </c>
      <c r="BD212" s="32">
        <f t="shared" si="104"/>
        <v>1</v>
      </c>
      <c r="BE212">
        <f>step3_validation[[#This Row],[AI_OUT1]]</f>
        <v>9</v>
      </c>
      <c r="BF212" t="str">
        <f t="shared" si="105"/>
        <v>Support</v>
      </c>
      <c r="BG212">
        <f>survey_responses[[#This Row],[Sau khi xem xét các quyền lợi và nghĩa vụ, bạn có ủng hộ và tuân thủ chính sách mới hiện nay? - HUMAN-OUT1]]</f>
        <v>7</v>
      </c>
      <c r="BH212" t="str">
        <f t="shared" si="106"/>
        <v>Neutral</v>
      </c>
      <c r="BI212" s="32">
        <f t="shared" si="107"/>
        <v>2</v>
      </c>
    </row>
    <row r="213" spans="1:61" x14ac:dyDescent="0.45">
      <c r="A213" s="30">
        <f>step3_validation[[#This Row],[Persona_ID]]</f>
        <v>212</v>
      </c>
      <c r="B213" s="31">
        <f>step3_validation[[#This Row],[Used_Seed]]</f>
        <v>212</v>
      </c>
      <c r="C213" t="str">
        <f>step3_validation[[#This Row],[Gender]]</f>
        <v>Nữ</v>
      </c>
      <c r="D213" t="str">
        <f>survey_responses[[#This Row],[Giới tính của bạn:]]</f>
        <v>Nữ</v>
      </c>
      <c r="E213" t="str">
        <f>step3_validation[[#This Row],[Age_Group]]</f>
        <v>30 - 39</v>
      </c>
      <c r="F213" t="str">
        <f>survey_responses[[#This Row],[Độ tuổi của bạn:]]</f>
        <v>30 - 39</v>
      </c>
      <c r="G213" t="str">
        <f>step3_validation[[#This Row],[Region]]</f>
        <v>Thành thị</v>
      </c>
      <c r="H213" t="str">
        <f>survey_responses[[#This Row],[Khu vực bạn đang sinh sống:]]</f>
        <v>Thành thị</v>
      </c>
      <c r="I213" t="str">
        <f>step3_validation[[#This Row],[Education]]</f>
        <v>Đại học</v>
      </c>
      <c r="J213" t="str">
        <f>survey_responses[[#This Row],[Trình độ học vấn cao nhất:]]</f>
        <v>Đại học</v>
      </c>
      <c r="K213" t="str">
        <f>step3_validation[[#This Row],[Employment]]</f>
        <v>Chính thức</v>
      </c>
      <c r="L213" t="str">
        <f>survey_responses[[#This Row],[Tình trạng việc làm chính:]]</f>
        <v>Khu vực chính thức (Có Hợp đồng lao động, đóng BHXH)</v>
      </c>
      <c r="M213">
        <f>step3_validation[[#This Row],[Income_Mil]]</f>
        <v>60.023674058288861</v>
      </c>
      <c r="N213" t="str">
        <f>survey_responses[[#This Row],[Thu nhập bình quân tháng theo Hợp đồng lao động của bạn là bao nhiêu? (Vui lòng điền tổng thu nhập trước khi khấu trừ các loại Bảo hiểm (BHXH, BHYT, BHTN) và Thuế TNCN)]]</f>
        <v>Từ 48 - 70 triệu VNĐ</v>
      </c>
      <c r="O213">
        <f>step3_validation[[#This Row],[Dependents]]</f>
        <v>0</v>
      </c>
      <c r="P213" t="str">
        <f>survey_responses[[#This Row],[Số người phụ thuộc (con nhỏ, cha mẹ già...) đủ điều kiện giảm trừ gia cảnh:]]</f>
        <v>0 người</v>
      </c>
      <c r="Q213">
        <f>step3_validation[[#This Row],[AI_ENF1]]</f>
        <v>6</v>
      </c>
      <c r="R213" t="str">
        <f t="shared" si="81"/>
        <v>Neutral</v>
      </c>
      <c r="S213">
        <f>survey_responses[[#This Row],[Tôi tin rằng với các quy định quản lý thuế hiện nay, hành vi gian lận hoặc trốn thuế sẽ dễ dàng bị phát hiện và xử lý nghiêm. - HUMAN-ENF1]]</f>
        <v>5</v>
      </c>
      <c r="T213" t="str">
        <f t="shared" si="82"/>
        <v>Neutral</v>
      </c>
      <c r="U213" s="32">
        <f t="shared" si="83"/>
        <v>1</v>
      </c>
      <c r="V213">
        <f>step3_validation[[#This Row],[AI_ENF2]]</f>
        <v>7</v>
      </c>
      <c r="W213" t="str">
        <f t="shared" si="84"/>
        <v>Neutral</v>
      </c>
      <c r="X213">
        <f>survey_responses[[#This Row],[Tôi tin rằng Nhà nước, cơ quan thuế có đủ khả năng và công nghệ để phát hiện, xử lý nghiêm các hành vi trốn thuế. - HUMAN-ENF2]]</f>
        <v>5</v>
      </c>
      <c r="Y213" t="str">
        <f t="shared" si="85"/>
        <v>Neutral</v>
      </c>
      <c r="Z213" s="32">
        <f t="shared" si="86"/>
        <v>2</v>
      </c>
      <c r="AA213">
        <f>step3_validation[[#This Row],[AI_FAC1]]</f>
        <v>8</v>
      </c>
      <c r="AB213" t="str">
        <f t="shared" si="87"/>
        <v>Support</v>
      </c>
      <c r="AC213">
        <f>survey_responses[[#This Row],[Các thủ tục khai báo thuế VÀ/HOẶC quy trình làm việc với cơ quan thuế đơn giản, tiện lợi, nhanh chóng hơn so với trước đây. - HUMAN-FAC1]]</f>
        <v>1</v>
      </c>
      <c r="AD213" t="str">
        <f t="shared" si="88"/>
        <v>Oppose</v>
      </c>
      <c r="AE213" s="32">
        <f t="shared" si="89"/>
        <v>7</v>
      </c>
      <c r="AF213">
        <f>step3_validation[[#This Row],[AI_FAC2]]</f>
        <v>9</v>
      </c>
      <c r="AG213" t="str">
        <f t="shared" si="90"/>
        <v>Support</v>
      </c>
      <c r="AH213">
        <f>survey_responses[[#This Row],[So với trước đây, tôi thấy cách tính thuế và các bậc thuế trong phương án mới đơn giản, dễ hiểu và dễ thực hiện hơn. - HUMAN-FAC2]]</f>
        <v>5</v>
      </c>
      <c r="AI213" t="str">
        <f t="shared" si="91"/>
        <v>Neutral</v>
      </c>
      <c r="AJ213" s="32">
        <f t="shared" si="92"/>
        <v>4</v>
      </c>
      <c r="AK213">
        <f>step3_validation[[#This Row],[AI_TRU1]]</f>
        <v>8</v>
      </c>
      <c r="AL213" t="str">
        <f t="shared" si="93"/>
        <v>Support</v>
      </c>
      <c r="AM213">
        <f>survey_responses[[#This Row],[Tôi tin rằng Nhà nước, cơ quan thuế sẽ thực thi chính sách mới một cách khách quan, công tâm và đối xử bình đẳng với mọi người nộp thuế.  - HUMAN-TRU1]]</f>
        <v>5</v>
      </c>
      <c r="AN213" t="str">
        <f t="shared" si="94"/>
        <v>Neutral</v>
      </c>
      <c r="AO213" s="32">
        <f t="shared" si="95"/>
        <v>3</v>
      </c>
      <c r="AP213">
        <f>step3_validation[[#This Row],[AI_TRU2]]</f>
        <v>9</v>
      </c>
      <c r="AQ213" t="str">
        <f t="shared" si="96"/>
        <v>Support</v>
      </c>
      <c r="AR213">
        <f>survey_responses[[#This Row],[Tôi thấy mức thuế tôi phải đóng theo phương án mới là công bằng (người thu nhập như tôi đóng mức này là hợp lý). - HUMAN-TRU2]]</f>
        <v>5</v>
      </c>
      <c r="AS213" t="str">
        <f t="shared" si="97"/>
        <v>Neutral</v>
      </c>
      <c r="AT213" s="32">
        <f t="shared" si="98"/>
        <v>4</v>
      </c>
      <c r="AU213">
        <f>step3_validation[[#This Row],[AI_TRU3]]</f>
        <v>8</v>
      </c>
      <c r="AV213" t="str">
        <f t="shared" si="99"/>
        <v>Support</v>
      </c>
      <c r="AW213">
        <f>survey_responses[[#This Row],[Tôi tin tưởng số tiền thuế tôi đóng sẽ được Nhà nước sử dụng hiệu quả để cải thiện dịch vụ công (y tế, đường xá...). - HUMAN-TRU3]]</f>
        <v>4</v>
      </c>
      <c r="AX213" t="str">
        <f t="shared" si="100"/>
        <v>Oppose</v>
      </c>
      <c r="AY213" s="32">
        <f t="shared" si="101"/>
        <v>4</v>
      </c>
      <c r="AZ213">
        <f>step3_validation[[#This Row],[AI_TRU4]]</f>
        <v>9</v>
      </c>
      <c r="BA213" t="str">
        <f t="shared" si="102"/>
        <v>Support</v>
      </c>
      <c r="BB213">
        <f>survey_responses[[#This Row],[Tôi thấy Nhà nước đã giải thích rõ ràng, minh bạch về lý do và mục tiêu của việc sửa đổi thuế lần này. - HUMAN-TRU4]]</f>
        <v>5</v>
      </c>
      <c r="BC213" t="str">
        <f t="shared" si="103"/>
        <v>Neutral</v>
      </c>
      <c r="BD213" s="32">
        <f t="shared" si="104"/>
        <v>4</v>
      </c>
      <c r="BE213">
        <f>step3_validation[[#This Row],[AI_OUT1]]</f>
        <v>8</v>
      </c>
      <c r="BF213" t="str">
        <f t="shared" si="105"/>
        <v>Support</v>
      </c>
      <c r="BG213">
        <f>survey_responses[[#This Row],[Sau khi xem xét các quyền lợi và nghĩa vụ, bạn có ủng hộ và tuân thủ chính sách mới hiện nay? - HUMAN-OUT1]]</f>
        <v>5</v>
      </c>
      <c r="BH213" t="str">
        <f t="shared" si="106"/>
        <v>Neutral</v>
      </c>
      <c r="BI213" s="32">
        <f t="shared" si="107"/>
        <v>3</v>
      </c>
    </row>
    <row r="214" spans="1:61" x14ac:dyDescent="0.45">
      <c r="A214" s="30">
        <f>step3_validation[[#This Row],[Persona_ID]]</f>
        <v>213</v>
      </c>
      <c r="B214" s="31">
        <f>step3_validation[[#This Row],[Used_Seed]]</f>
        <v>213</v>
      </c>
      <c r="C214" t="str">
        <f>step3_validation[[#This Row],[Gender]]</f>
        <v>Nữ</v>
      </c>
      <c r="D214" t="str">
        <f>survey_responses[[#This Row],[Giới tính của bạn:]]</f>
        <v>Nữ</v>
      </c>
      <c r="E214" t="str">
        <f>step3_validation[[#This Row],[Age_Group]]</f>
        <v>30 - 39</v>
      </c>
      <c r="F214" t="str">
        <f>survey_responses[[#This Row],[Độ tuổi của bạn:]]</f>
        <v>30 - 39</v>
      </c>
      <c r="G214" t="str">
        <f>step3_validation[[#This Row],[Region]]</f>
        <v>Thành thị</v>
      </c>
      <c r="H214" t="str">
        <f>survey_responses[[#This Row],[Khu vực bạn đang sinh sống:]]</f>
        <v>Thành thị</v>
      </c>
      <c r="I214" t="str">
        <f>step3_validation[[#This Row],[Education]]</f>
        <v>Đại học</v>
      </c>
      <c r="J214" t="str">
        <f>survey_responses[[#This Row],[Trình độ học vấn cao nhất:]]</f>
        <v>Đại học</v>
      </c>
      <c r="K214" t="str">
        <f>step3_validation[[#This Row],[Employment]]</f>
        <v>Chính thức</v>
      </c>
      <c r="L214" t="str">
        <f>survey_responses[[#This Row],[Tình trạng việc làm chính:]]</f>
        <v>Khu vực chính thức (Có Hợp đồng lao động, đóng BHXH)</v>
      </c>
      <c r="M214">
        <f>step3_validation[[#This Row],[Income_Mil]]</f>
        <v>61.668074252236785</v>
      </c>
      <c r="N214" t="str">
        <f>survey_responses[[#This Row],[Thu nhập bình quân tháng theo Hợp đồng lao động của bạn là bao nhiêu? (Vui lòng điền tổng thu nhập trước khi khấu trừ các loại Bảo hiểm (BHXH, BHYT, BHTN) và Thuế TNCN)]]</f>
        <v>Từ 48 - 70 triệu VNĐ</v>
      </c>
      <c r="O214">
        <f>step3_validation[[#This Row],[Dependents]]</f>
        <v>4</v>
      </c>
      <c r="P214" t="str">
        <f>survey_responses[[#This Row],[Số người phụ thuộc (con nhỏ, cha mẹ già...) đủ điều kiện giảm trừ gia cảnh:]]</f>
        <v>4 người trở lên</v>
      </c>
      <c r="Q214">
        <f>step3_validation[[#This Row],[AI_ENF1]]</f>
        <v>8</v>
      </c>
      <c r="R214" t="str">
        <f t="shared" si="81"/>
        <v>Support</v>
      </c>
      <c r="S214">
        <f>survey_responses[[#This Row],[Tôi tin rằng với các quy định quản lý thuế hiện nay, hành vi gian lận hoặc trốn thuế sẽ dễ dàng bị phát hiện và xử lý nghiêm. - HUMAN-ENF1]]</f>
        <v>7</v>
      </c>
      <c r="T214" t="str">
        <f t="shared" si="82"/>
        <v>Neutral</v>
      </c>
      <c r="U214" s="32">
        <f t="shared" si="83"/>
        <v>1</v>
      </c>
      <c r="V214">
        <f>step3_validation[[#This Row],[AI_ENF2]]</f>
        <v>9</v>
      </c>
      <c r="W214" t="str">
        <f t="shared" si="84"/>
        <v>Support</v>
      </c>
      <c r="X214">
        <f>survey_responses[[#This Row],[Tôi tin rằng Nhà nước, cơ quan thuế có đủ khả năng và công nghệ để phát hiện, xử lý nghiêm các hành vi trốn thuế. - HUMAN-ENF2]]</f>
        <v>8</v>
      </c>
      <c r="Y214" t="str">
        <f t="shared" si="85"/>
        <v>Support</v>
      </c>
      <c r="Z214" s="32">
        <f t="shared" si="86"/>
        <v>1</v>
      </c>
      <c r="AA214">
        <f>step3_validation[[#This Row],[AI_FAC1]]</f>
        <v>7</v>
      </c>
      <c r="AB214" t="str">
        <f t="shared" si="87"/>
        <v>Neutral</v>
      </c>
      <c r="AC214">
        <f>survey_responses[[#This Row],[Các thủ tục khai báo thuế VÀ/HOẶC quy trình làm việc với cơ quan thuế đơn giản, tiện lợi, nhanh chóng hơn so với trước đây. - HUMAN-FAC1]]</f>
        <v>8</v>
      </c>
      <c r="AD214" t="str">
        <f t="shared" si="88"/>
        <v>Support</v>
      </c>
      <c r="AE214" s="32">
        <f t="shared" si="89"/>
        <v>1</v>
      </c>
      <c r="AF214">
        <f>step3_validation[[#This Row],[AI_FAC2]]</f>
        <v>9</v>
      </c>
      <c r="AG214" t="str">
        <f t="shared" si="90"/>
        <v>Support</v>
      </c>
      <c r="AH214">
        <f>survey_responses[[#This Row],[So với trước đây, tôi thấy cách tính thuế và các bậc thuế trong phương án mới đơn giản, dễ hiểu và dễ thực hiện hơn. - HUMAN-FAC2]]</f>
        <v>8</v>
      </c>
      <c r="AI214" t="str">
        <f t="shared" si="91"/>
        <v>Support</v>
      </c>
      <c r="AJ214" s="32">
        <f t="shared" si="92"/>
        <v>1</v>
      </c>
      <c r="AK214">
        <f>step3_validation[[#This Row],[AI_TRU1]]</f>
        <v>7</v>
      </c>
      <c r="AL214" t="str">
        <f t="shared" si="93"/>
        <v>Neutral</v>
      </c>
      <c r="AM214">
        <f>survey_responses[[#This Row],[Tôi tin rằng Nhà nước, cơ quan thuế sẽ thực thi chính sách mới một cách khách quan, công tâm và đối xử bình đẳng với mọi người nộp thuế.  - HUMAN-TRU1]]</f>
        <v>8</v>
      </c>
      <c r="AN214" t="str">
        <f t="shared" si="94"/>
        <v>Support</v>
      </c>
      <c r="AO214" s="32">
        <f t="shared" si="95"/>
        <v>1</v>
      </c>
      <c r="AP214">
        <f>step3_validation[[#This Row],[AI_TRU2]]</f>
        <v>8</v>
      </c>
      <c r="AQ214" t="str">
        <f t="shared" si="96"/>
        <v>Support</v>
      </c>
      <c r="AR214">
        <f>survey_responses[[#This Row],[Tôi thấy mức thuế tôi phải đóng theo phương án mới là công bằng (người thu nhập như tôi đóng mức này là hợp lý). - HUMAN-TRU2]]</f>
        <v>8</v>
      </c>
      <c r="AS214" t="str">
        <f t="shared" si="97"/>
        <v>Support</v>
      </c>
      <c r="AT214" s="32">
        <f t="shared" si="98"/>
        <v>0</v>
      </c>
      <c r="AU214">
        <f>step3_validation[[#This Row],[AI_TRU3]]</f>
        <v>6</v>
      </c>
      <c r="AV214" t="str">
        <f t="shared" si="99"/>
        <v>Neutral</v>
      </c>
      <c r="AW214">
        <f>survey_responses[[#This Row],[Tôi tin tưởng số tiền thuế tôi đóng sẽ được Nhà nước sử dụng hiệu quả để cải thiện dịch vụ công (y tế, đường xá...). - HUMAN-TRU3]]</f>
        <v>8</v>
      </c>
      <c r="AX214" t="str">
        <f t="shared" si="100"/>
        <v>Support</v>
      </c>
      <c r="AY214" s="32">
        <f t="shared" si="101"/>
        <v>2</v>
      </c>
      <c r="AZ214">
        <f>step3_validation[[#This Row],[AI_TRU4]]</f>
        <v>7</v>
      </c>
      <c r="BA214" t="str">
        <f t="shared" si="102"/>
        <v>Neutral</v>
      </c>
      <c r="BB214">
        <f>survey_responses[[#This Row],[Tôi thấy Nhà nước đã giải thích rõ ràng, minh bạch về lý do và mục tiêu của việc sửa đổi thuế lần này. - HUMAN-TRU4]]</f>
        <v>8</v>
      </c>
      <c r="BC214" t="str">
        <f t="shared" si="103"/>
        <v>Support</v>
      </c>
      <c r="BD214" s="32">
        <f t="shared" si="104"/>
        <v>1</v>
      </c>
      <c r="BE214">
        <f>step3_validation[[#This Row],[AI_OUT1]]</f>
        <v>8</v>
      </c>
      <c r="BF214" t="str">
        <f t="shared" si="105"/>
        <v>Support</v>
      </c>
      <c r="BG214">
        <f>survey_responses[[#This Row],[Sau khi xem xét các quyền lợi và nghĩa vụ, bạn có ủng hộ và tuân thủ chính sách mới hiện nay? - HUMAN-OUT1]]</f>
        <v>8</v>
      </c>
      <c r="BH214" t="str">
        <f t="shared" si="106"/>
        <v>Support</v>
      </c>
      <c r="BI214" s="32">
        <f t="shared" si="107"/>
        <v>0</v>
      </c>
    </row>
    <row r="215" spans="1:61" x14ac:dyDescent="0.45">
      <c r="A215" s="30">
        <f>step3_validation[[#This Row],[Persona_ID]]</f>
        <v>214</v>
      </c>
      <c r="B215" s="31">
        <f>step3_validation[[#This Row],[Used_Seed]]</f>
        <v>214</v>
      </c>
      <c r="C215" t="str">
        <f>step3_validation[[#This Row],[Gender]]</f>
        <v>Nữ</v>
      </c>
      <c r="D215" t="str">
        <f>survey_responses[[#This Row],[Giới tính của bạn:]]</f>
        <v>Nữ</v>
      </c>
      <c r="E215" t="str">
        <f>step3_validation[[#This Row],[Age_Group]]</f>
        <v>30 - 39</v>
      </c>
      <c r="F215" t="str">
        <f>survey_responses[[#This Row],[Độ tuổi của bạn:]]</f>
        <v>30 - 39</v>
      </c>
      <c r="G215" t="str">
        <f>step3_validation[[#This Row],[Region]]</f>
        <v>Thành thị</v>
      </c>
      <c r="H215" t="str">
        <f>survey_responses[[#This Row],[Khu vực bạn đang sinh sống:]]</f>
        <v>Thành thị</v>
      </c>
      <c r="I215" t="str">
        <f>step3_validation[[#This Row],[Education]]</f>
        <v>Sau Đại học</v>
      </c>
      <c r="J215" t="str">
        <f>survey_responses[[#This Row],[Trình độ học vấn cao nhất:]]</f>
        <v>Sau Đại học</v>
      </c>
      <c r="K215" t="str">
        <f>step3_validation[[#This Row],[Employment]]</f>
        <v>Chính thức</v>
      </c>
      <c r="L215" t="str">
        <f>survey_responses[[#This Row],[Tình trạng việc làm chính:]]</f>
        <v>Khu vực chính thức (Có Hợp đồng lao động, đóng BHXH)</v>
      </c>
      <c r="M215">
        <f>step3_validation[[#This Row],[Income_Mil]]</f>
        <v>49.984617050979359</v>
      </c>
      <c r="N215" t="str">
        <f>survey_responses[[#This Row],[Thu nhập bình quân tháng theo Hợp đồng lao động của bạn là bao nhiêu? (Vui lòng điền tổng thu nhập trước khi khấu trừ các loại Bảo hiểm (BHXH, BHYT, BHTN) và Thuế TNCN)]]</f>
        <v>Từ 48 - 70 triệu VNĐ</v>
      </c>
      <c r="O215">
        <f>step3_validation[[#This Row],[Dependents]]</f>
        <v>4</v>
      </c>
      <c r="P215" t="str">
        <f>survey_responses[[#This Row],[Số người phụ thuộc (con nhỏ, cha mẹ già...) đủ điều kiện giảm trừ gia cảnh:]]</f>
        <v>4 người trở lên</v>
      </c>
      <c r="Q215">
        <f>step3_validation[[#This Row],[AI_ENF1]]</f>
        <v>9</v>
      </c>
      <c r="R215" t="str">
        <f t="shared" si="81"/>
        <v>Support</v>
      </c>
      <c r="S215">
        <f>survey_responses[[#This Row],[Tôi tin rằng với các quy định quản lý thuế hiện nay, hành vi gian lận hoặc trốn thuế sẽ dễ dàng bị phát hiện và xử lý nghiêm. - HUMAN-ENF1]]</f>
        <v>9</v>
      </c>
      <c r="T215" t="str">
        <f t="shared" si="82"/>
        <v>Support</v>
      </c>
      <c r="U215" s="32">
        <f t="shared" si="83"/>
        <v>0</v>
      </c>
      <c r="V215">
        <f>step3_validation[[#This Row],[AI_ENF2]]</f>
        <v>8</v>
      </c>
      <c r="W215" t="str">
        <f t="shared" si="84"/>
        <v>Support</v>
      </c>
      <c r="X215">
        <f>survey_responses[[#This Row],[Tôi tin rằng Nhà nước, cơ quan thuế có đủ khả năng và công nghệ để phát hiện, xử lý nghiêm các hành vi trốn thuế. - HUMAN-ENF2]]</f>
        <v>9</v>
      </c>
      <c r="Y215" t="str">
        <f t="shared" si="85"/>
        <v>Support</v>
      </c>
      <c r="Z215" s="32">
        <f t="shared" si="86"/>
        <v>1</v>
      </c>
      <c r="AA215">
        <f>step3_validation[[#This Row],[AI_FAC1]]</f>
        <v>9</v>
      </c>
      <c r="AB215" t="str">
        <f t="shared" si="87"/>
        <v>Support</v>
      </c>
      <c r="AC215">
        <f>survey_responses[[#This Row],[Các thủ tục khai báo thuế VÀ/HOẶC quy trình làm việc với cơ quan thuế đơn giản, tiện lợi, nhanh chóng hơn so với trước đây. - HUMAN-FAC1]]</f>
        <v>9</v>
      </c>
      <c r="AD215" t="str">
        <f t="shared" si="88"/>
        <v>Support</v>
      </c>
      <c r="AE215" s="32">
        <f t="shared" si="89"/>
        <v>0</v>
      </c>
      <c r="AF215">
        <f>step3_validation[[#This Row],[AI_FAC2]]</f>
        <v>8</v>
      </c>
      <c r="AG215" t="str">
        <f t="shared" si="90"/>
        <v>Support</v>
      </c>
      <c r="AH215">
        <f>survey_responses[[#This Row],[So với trước đây, tôi thấy cách tính thuế và các bậc thuế trong phương án mới đơn giản, dễ hiểu và dễ thực hiện hơn. - HUMAN-FAC2]]</f>
        <v>9</v>
      </c>
      <c r="AI215" t="str">
        <f t="shared" si="91"/>
        <v>Support</v>
      </c>
      <c r="AJ215" s="32">
        <f t="shared" si="92"/>
        <v>1</v>
      </c>
      <c r="AK215">
        <f>step3_validation[[#This Row],[AI_TRU1]]</f>
        <v>9</v>
      </c>
      <c r="AL215" t="str">
        <f t="shared" si="93"/>
        <v>Support</v>
      </c>
      <c r="AM215">
        <f>survey_responses[[#This Row],[Tôi tin rằng Nhà nước, cơ quan thuế sẽ thực thi chính sách mới một cách khách quan, công tâm và đối xử bình đẳng với mọi người nộp thuế.  - HUMAN-TRU1]]</f>
        <v>9</v>
      </c>
      <c r="AN215" t="str">
        <f t="shared" si="94"/>
        <v>Support</v>
      </c>
      <c r="AO215" s="32">
        <f t="shared" si="95"/>
        <v>0</v>
      </c>
      <c r="AP215">
        <f>step3_validation[[#This Row],[AI_TRU2]]</f>
        <v>8</v>
      </c>
      <c r="AQ215" t="str">
        <f t="shared" si="96"/>
        <v>Support</v>
      </c>
      <c r="AR215">
        <f>survey_responses[[#This Row],[Tôi thấy mức thuế tôi phải đóng theo phương án mới là công bằng (người thu nhập như tôi đóng mức này là hợp lý). - HUMAN-TRU2]]</f>
        <v>9</v>
      </c>
      <c r="AS215" t="str">
        <f t="shared" si="97"/>
        <v>Support</v>
      </c>
      <c r="AT215" s="32">
        <f t="shared" si="98"/>
        <v>1</v>
      </c>
      <c r="AU215">
        <f>step3_validation[[#This Row],[AI_TRU3]]</f>
        <v>9</v>
      </c>
      <c r="AV215" t="str">
        <f t="shared" si="99"/>
        <v>Support</v>
      </c>
      <c r="AW215">
        <f>survey_responses[[#This Row],[Tôi tin tưởng số tiền thuế tôi đóng sẽ được Nhà nước sử dụng hiệu quả để cải thiện dịch vụ công (y tế, đường xá...). - HUMAN-TRU3]]</f>
        <v>9</v>
      </c>
      <c r="AX215" t="str">
        <f t="shared" si="100"/>
        <v>Support</v>
      </c>
      <c r="AY215" s="32">
        <f t="shared" si="101"/>
        <v>0</v>
      </c>
      <c r="AZ215">
        <f>step3_validation[[#This Row],[AI_TRU4]]</f>
        <v>8</v>
      </c>
      <c r="BA215" t="str">
        <f t="shared" si="102"/>
        <v>Support</v>
      </c>
      <c r="BB215">
        <f>survey_responses[[#This Row],[Tôi thấy Nhà nước đã giải thích rõ ràng, minh bạch về lý do và mục tiêu của việc sửa đổi thuế lần này. - HUMAN-TRU4]]</f>
        <v>9</v>
      </c>
      <c r="BC215" t="str">
        <f t="shared" si="103"/>
        <v>Support</v>
      </c>
      <c r="BD215" s="32">
        <f t="shared" si="104"/>
        <v>1</v>
      </c>
      <c r="BE215">
        <f>step3_validation[[#This Row],[AI_OUT1]]</f>
        <v>9</v>
      </c>
      <c r="BF215" t="str">
        <f t="shared" si="105"/>
        <v>Support</v>
      </c>
      <c r="BG215">
        <f>survey_responses[[#This Row],[Sau khi xem xét các quyền lợi và nghĩa vụ, bạn có ủng hộ và tuân thủ chính sách mới hiện nay? - HUMAN-OUT1]]</f>
        <v>9</v>
      </c>
      <c r="BH215" t="str">
        <f t="shared" si="106"/>
        <v>Support</v>
      </c>
      <c r="BI215" s="32">
        <f t="shared" si="107"/>
        <v>0</v>
      </c>
    </row>
    <row r="216" spans="1:61" x14ac:dyDescent="0.45">
      <c r="A216" s="30">
        <f>step3_validation[[#This Row],[Persona_ID]]</f>
        <v>215</v>
      </c>
      <c r="B216" s="31">
        <f>step3_validation[[#This Row],[Used_Seed]]</f>
        <v>215</v>
      </c>
      <c r="C216" t="str">
        <f>step3_validation[[#This Row],[Gender]]</f>
        <v>Nữ</v>
      </c>
      <c r="D216" t="str">
        <f>survey_responses[[#This Row],[Giới tính của bạn:]]</f>
        <v>Nữ</v>
      </c>
      <c r="E216" t="str">
        <f>step3_validation[[#This Row],[Age_Group]]</f>
        <v>30 - 39</v>
      </c>
      <c r="F216" t="str">
        <f>survey_responses[[#This Row],[Độ tuổi của bạn:]]</f>
        <v>30 - 39</v>
      </c>
      <c r="G216" t="str">
        <f>step3_validation[[#This Row],[Region]]</f>
        <v>Thành thị</v>
      </c>
      <c r="H216" t="str">
        <f>survey_responses[[#This Row],[Khu vực bạn đang sinh sống:]]</f>
        <v>Thành thị</v>
      </c>
      <c r="I216" t="str">
        <f>step3_validation[[#This Row],[Education]]</f>
        <v>Sau Đại học</v>
      </c>
      <c r="J216" t="str">
        <f>survey_responses[[#This Row],[Trình độ học vấn cao nhất:]]</f>
        <v>Sau Đại học</v>
      </c>
      <c r="K216" t="str">
        <f>step3_validation[[#This Row],[Employment]]</f>
        <v>Chính thức</v>
      </c>
      <c r="L216" t="str">
        <f>survey_responses[[#This Row],[Tình trạng việc làm chính:]]</f>
        <v>Khu vực chính thức (Có Hợp đồng lao động, đóng BHXH)</v>
      </c>
      <c r="M216">
        <f>step3_validation[[#This Row],[Income_Mil]]</f>
        <v>21.643834659705703</v>
      </c>
      <c r="N216" t="str">
        <f>survey_responses[[#This Row],[Thu nhập bình quân tháng theo Hợp đồng lao động của bạn là bao nhiêu? (Vui lòng điền tổng thu nhập trước khi khấu trừ các loại Bảo hiểm (BHXH, BHYT, BHTN) và Thuế TNCN)]]</f>
        <v>Từ 18 - 23 triệu VNĐ</v>
      </c>
      <c r="O216">
        <f>step3_validation[[#This Row],[Dependents]]</f>
        <v>2</v>
      </c>
      <c r="P216" t="str">
        <f>survey_responses[[#This Row],[Số người phụ thuộc (con nhỏ, cha mẹ già...) đủ điều kiện giảm trừ gia cảnh:]]</f>
        <v>2 người</v>
      </c>
      <c r="Q216">
        <f>step3_validation[[#This Row],[AI_ENF1]]</f>
        <v>7</v>
      </c>
      <c r="R216" t="str">
        <f t="shared" si="81"/>
        <v>Neutral</v>
      </c>
      <c r="S216">
        <f>survey_responses[[#This Row],[Tôi tin rằng với các quy định quản lý thuế hiện nay, hành vi gian lận hoặc trốn thuế sẽ dễ dàng bị phát hiện và xử lý nghiêm. - HUMAN-ENF1]]</f>
        <v>5</v>
      </c>
      <c r="T216" t="str">
        <f t="shared" si="82"/>
        <v>Neutral</v>
      </c>
      <c r="U216" s="32">
        <f t="shared" si="83"/>
        <v>2</v>
      </c>
      <c r="V216">
        <f>step3_validation[[#This Row],[AI_ENF2]]</f>
        <v>7</v>
      </c>
      <c r="W216" t="str">
        <f t="shared" si="84"/>
        <v>Neutral</v>
      </c>
      <c r="X216">
        <f>survey_responses[[#This Row],[Tôi tin rằng Nhà nước, cơ quan thuế có đủ khả năng và công nghệ để phát hiện, xử lý nghiêm các hành vi trốn thuế. - HUMAN-ENF2]]</f>
        <v>5</v>
      </c>
      <c r="Y216" t="str">
        <f t="shared" si="85"/>
        <v>Neutral</v>
      </c>
      <c r="Z216" s="32">
        <f t="shared" si="86"/>
        <v>2</v>
      </c>
      <c r="AA216">
        <f>step3_validation[[#This Row],[AI_FAC1]]</f>
        <v>9</v>
      </c>
      <c r="AB216" t="str">
        <f t="shared" si="87"/>
        <v>Support</v>
      </c>
      <c r="AC216">
        <f>survey_responses[[#This Row],[Các thủ tục khai báo thuế VÀ/HOẶC quy trình làm việc với cơ quan thuế đơn giản, tiện lợi, nhanh chóng hơn so với trước đây. - HUMAN-FAC1]]</f>
        <v>5</v>
      </c>
      <c r="AD216" t="str">
        <f t="shared" si="88"/>
        <v>Neutral</v>
      </c>
      <c r="AE216" s="32">
        <f t="shared" si="89"/>
        <v>4</v>
      </c>
      <c r="AF216">
        <f>step3_validation[[#This Row],[AI_FAC2]]</f>
        <v>8</v>
      </c>
      <c r="AG216" t="str">
        <f t="shared" si="90"/>
        <v>Support</v>
      </c>
      <c r="AH216">
        <f>survey_responses[[#This Row],[So với trước đây, tôi thấy cách tính thuế và các bậc thuế trong phương án mới đơn giản, dễ hiểu và dễ thực hiện hơn. - HUMAN-FAC2]]</f>
        <v>5</v>
      </c>
      <c r="AI216" t="str">
        <f t="shared" si="91"/>
        <v>Neutral</v>
      </c>
      <c r="AJ216" s="32">
        <f t="shared" si="92"/>
        <v>3</v>
      </c>
      <c r="AK216">
        <f>step3_validation[[#This Row],[AI_TRU1]]</f>
        <v>7</v>
      </c>
      <c r="AL216" t="str">
        <f t="shared" si="93"/>
        <v>Neutral</v>
      </c>
      <c r="AM216">
        <f>survey_responses[[#This Row],[Tôi tin rằng Nhà nước, cơ quan thuế sẽ thực thi chính sách mới một cách khách quan, công tâm và đối xử bình đẳng với mọi người nộp thuế.  - HUMAN-TRU1]]</f>
        <v>5</v>
      </c>
      <c r="AN216" t="str">
        <f t="shared" si="94"/>
        <v>Neutral</v>
      </c>
      <c r="AO216" s="32">
        <f t="shared" si="95"/>
        <v>2</v>
      </c>
      <c r="AP216">
        <f>step3_validation[[#This Row],[AI_TRU2]]</f>
        <v>9</v>
      </c>
      <c r="AQ216" t="str">
        <f t="shared" si="96"/>
        <v>Support</v>
      </c>
      <c r="AR216">
        <f>survey_responses[[#This Row],[Tôi thấy mức thuế tôi phải đóng theo phương án mới là công bằng (người thu nhập như tôi đóng mức này là hợp lý). - HUMAN-TRU2]]</f>
        <v>5</v>
      </c>
      <c r="AS216" t="str">
        <f t="shared" si="97"/>
        <v>Neutral</v>
      </c>
      <c r="AT216" s="32">
        <f t="shared" si="98"/>
        <v>4</v>
      </c>
      <c r="AU216">
        <f>step3_validation[[#This Row],[AI_TRU3]]</f>
        <v>6</v>
      </c>
      <c r="AV216" t="str">
        <f t="shared" si="99"/>
        <v>Neutral</v>
      </c>
      <c r="AW216">
        <f>survey_responses[[#This Row],[Tôi tin tưởng số tiền thuế tôi đóng sẽ được Nhà nước sử dụng hiệu quả để cải thiện dịch vụ công (y tế, đường xá...). - HUMAN-TRU3]]</f>
        <v>5</v>
      </c>
      <c r="AX216" t="str">
        <f t="shared" si="100"/>
        <v>Neutral</v>
      </c>
      <c r="AY216" s="32">
        <f t="shared" si="101"/>
        <v>1</v>
      </c>
      <c r="AZ216">
        <f>step3_validation[[#This Row],[AI_TRU4]]</f>
        <v>8</v>
      </c>
      <c r="BA216" t="str">
        <f t="shared" si="102"/>
        <v>Support</v>
      </c>
      <c r="BB216">
        <f>survey_responses[[#This Row],[Tôi thấy Nhà nước đã giải thích rõ ràng, minh bạch về lý do và mục tiêu của việc sửa đổi thuế lần này. - HUMAN-TRU4]]</f>
        <v>5</v>
      </c>
      <c r="BC216" t="str">
        <f t="shared" si="103"/>
        <v>Neutral</v>
      </c>
      <c r="BD216" s="32">
        <f t="shared" si="104"/>
        <v>3</v>
      </c>
      <c r="BE216">
        <f>step3_validation[[#This Row],[AI_OUT1]]</f>
        <v>0</v>
      </c>
      <c r="BF216" t="str">
        <f t="shared" si="105"/>
        <v/>
      </c>
      <c r="BG216">
        <f>survey_responses[[#This Row],[Sau khi xem xét các quyền lợi và nghĩa vụ, bạn có ủng hộ và tuân thủ chính sách mới hiện nay? - HUMAN-OUT1]]</f>
        <v>5</v>
      </c>
      <c r="BH216" t="str">
        <f t="shared" si="106"/>
        <v>Neutral</v>
      </c>
      <c r="BI216" s="32">
        <f t="shared" si="107"/>
        <v>5</v>
      </c>
    </row>
    <row r="217" spans="1:61" x14ac:dyDescent="0.45">
      <c r="A217" s="30">
        <f>step3_validation[[#This Row],[Persona_ID]]</f>
        <v>216</v>
      </c>
      <c r="B217" s="31">
        <f>step3_validation[[#This Row],[Used_Seed]]</f>
        <v>216</v>
      </c>
      <c r="C217" t="str">
        <f>step3_validation[[#This Row],[Gender]]</f>
        <v>Nữ</v>
      </c>
      <c r="D217" t="str">
        <f>survey_responses[[#This Row],[Giới tính của bạn:]]</f>
        <v>Nữ</v>
      </c>
      <c r="E217" t="str">
        <f>step3_validation[[#This Row],[Age_Group]]</f>
        <v>30 - 39</v>
      </c>
      <c r="F217" t="str">
        <f>survey_responses[[#This Row],[Độ tuổi của bạn:]]</f>
        <v>30 - 39</v>
      </c>
      <c r="G217" t="str">
        <f>step3_validation[[#This Row],[Region]]</f>
        <v>Thành thị</v>
      </c>
      <c r="H217" t="str">
        <f>survey_responses[[#This Row],[Khu vực bạn đang sinh sống:]]</f>
        <v>Thành thị</v>
      </c>
      <c r="I217" t="str">
        <f>step3_validation[[#This Row],[Education]]</f>
        <v>Sau Đại học</v>
      </c>
      <c r="J217" t="str">
        <f>survey_responses[[#This Row],[Trình độ học vấn cao nhất:]]</f>
        <v>Sau Đại học</v>
      </c>
      <c r="K217" t="str">
        <f>step3_validation[[#This Row],[Employment]]</f>
        <v>Chính thức</v>
      </c>
      <c r="L217" t="str">
        <f>survey_responses[[#This Row],[Tình trạng việc làm chính:]]</f>
        <v>Khu vực chính thức (Có Hợp đồng lao động, đóng BHXH)</v>
      </c>
      <c r="M217">
        <f>step3_validation[[#This Row],[Income_Mil]]</f>
        <v>45.796058094524604</v>
      </c>
      <c r="N217" t="str">
        <f>survey_responses[[#This Row],[Thu nhập bình quân tháng theo Hợp đồng lao động của bạn là bao nhiêu? (Vui lòng điền tổng thu nhập trước khi khấu trừ các loại Bảo hiểm (BHXH, BHYT, BHTN) và Thuế TNCN)]]</f>
        <v>Từ 32 - 48 triệu VNĐ</v>
      </c>
      <c r="O217">
        <f>step3_validation[[#This Row],[Dependents]]</f>
        <v>1</v>
      </c>
      <c r="P217" t="str">
        <f>survey_responses[[#This Row],[Số người phụ thuộc (con nhỏ, cha mẹ già...) đủ điều kiện giảm trừ gia cảnh:]]</f>
        <v>1 người</v>
      </c>
      <c r="Q217">
        <f>step3_validation[[#This Row],[AI_ENF1]]</f>
        <v>7</v>
      </c>
      <c r="R217" t="str">
        <f t="shared" si="81"/>
        <v>Neutral</v>
      </c>
      <c r="S217">
        <f>survey_responses[[#This Row],[Tôi tin rằng với các quy định quản lý thuế hiện nay, hành vi gian lận hoặc trốn thuế sẽ dễ dàng bị phát hiện và xử lý nghiêm. - HUMAN-ENF1]]</f>
        <v>6</v>
      </c>
      <c r="T217" t="str">
        <f t="shared" si="82"/>
        <v>Neutral</v>
      </c>
      <c r="U217" s="32">
        <f t="shared" si="83"/>
        <v>1</v>
      </c>
      <c r="V217">
        <f>step3_validation[[#This Row],[AI_ENF2]]</f>
        <v>8</v>
      </c>
      <c r="W217" t="str">
        <f t="shared" si="84"/>
        <v>Support</v>
      </c>
      <c r="X217">
        <f>survey_responses[[#This Row],[Tôi tin rằng Nhà nước, cơ quan thuế có đủ khả năng và công nghệ để phát hiện, xử lý nghiêm các hành vi trốn thuế. - HUMAN-ENF2]]</f>
        <v>7</v>
      </c>
      <c r="Y217" t="str">
        <f t="shared" si="85"/>
        <v>Neutral</v>
      </c>
      <c r="Z217" s="32">
        <f t="shared" si="86"/>
        <v>1</v>
      </c>
      <c r="AA217">
        <f>step3_validation[[#This Row],[AI_FAC1]]</f>
        <v>9</v>
      </c>
      <c r="AB217" t="str">
        <f t="shared" si="87"/>
        <v>Support</v>
      </c>
      <c r="AC217">
        <f>survey_responses[[#This Row],[Các thủ tục khai báo thuế VÀ/HOẶC quy trình làm việc với cơ quan thuế đơn giản, tiện lợi, nhanh chóng hơn so với trước đây. - HUMAN-FAC1]]</f>
        <v>7</v>
      </c>
      <c r="AD217" t="str">
        <f t="shared" si="88"/>
        <v>Neutral</v>
      </c>
      <c r="AE217" s="32">
        <f t="shared" si="89"/>
        <v>2</v>
      </c>
      <c r="AF217">
        <f>step3_validation[[#This Row],[AI_FAC2]]</f>
        <v>8</v>
      </c>
      <c r="AG217" t="str">
        <f t="shared" si="90"/>
        <v>Support</v>
      </c>
      <c r="AH217">
        <f>survey_responses[[#This Row],[So với trước đây, tôi thấy cách tính thuế và các bậc thuế trong phương án mới đơn giản, dễ hiểu và dễ thực hiện hơn. - HUMAN-FAC2]]</f>
        <v>7</v>
      </c>
      <c r="AI217" t="str">
        <f t="shared" si="91"/>
        <v>Neutral</v>
      </c>
      <c r="AJ217" s="32">
        <f t="shared" si="92"/>
        <v>1</v>
      </c>
      <c r="AK217">
        <f>step3_validation[[#This Row],[AI_TRU1]]</f>
        <v>6</v>
      </c>
      <c r="AL217" t="str">
        <f t="shared" si="93"/>
        <v>Neutral</v>
      </c>
      <c r="AM217">
        <f>survey_responses[[#This Row],[Tôi tin rằng Nhà nước, cơ quan thuế sẽ thực thi chính sách mới một cách khách quan, công tâm và đối xử bình đẳng với mọi người nộp thuế.  - HUMAN-TRU1]]</f>
        <v>6</v>
      </c>
      <c r="AN217" t="str">
        <f t="shared" si="94"/>
        <v>Neutral</v>
      </c>
      <c r="AO217" s="32">
        <f t="shared" si="95"/>
        <v>0</v>
      </c>
      <c r="AP217">
        <f>step3_validation[[#This Row],[AI_TRU2]]</f>
        <v>9</v>
      </c>
      <c r="AQ217" t="str">
        <f t="shared" si="96"/>
        <v>Support</v>
      </c>
      <c r="AR217">
        <f>survey_responses[[#This Row],[Tôi thấy mức thuế tôi phải đóng theo phương án mới là công bằng (người thu nhập như tôi đóng mức này là hợp lý). - HUMAN-TRU2]]</f>
        <v>7</v>
      </c>
      <c r="AS217" t="str">
        <f t="shared" si="97"/>
        <v>Neutral</v>
      </c>
      <c r="AT217" s="32">
        <f t="shared" si="98"/>
        <v>2</v>
      </c>
      <c r="AU217">
        <f>step3_validation[[#This Row],[AI_TRU3]]</f>
        <v>7</v>
      </c>
      <c r="AV217" t="str">
        <f t="shared" si="99"/>
        <v>Neutral</v>
      </c>
      <c r="AW217">
        <f>survey_responses[[#This Row],[Tôi tin tưởng số tiền thuế tôi đóng sẽ được Nhà nước sử dụng hiệu quả để cải thiện dịch vụ công (y tế, đường xá...). - HUMAN-TRU3]]</f>
        <v>7</v>
      </c>
      <c r="AX217" t="str">
        <f t="shared" si="100"/>
        <v>Neutral</v>
      </c>
      <c r="AY217" s="32">
        <f t="shared" si="101"/>
        <v>0</v>
      </c>
      <c r="AZ217">
        <f>step3_validation[[#This Row],[AI_TRU4]]</f>
        <v>6</v>
      </c>
      <c r="BA217" t="str">
        <f t="shared" si="102"/>
        <v>Neutral</v>
      </c>
      <c r="BB217">
        <f>survey_responses[[#This Row],[Tôi thấy Nhà nước đã giải thích rõ ràng, minh bạch về lý do và mục tiêu của việc sửa đổi thuế lần này. - HUMAN-TRU4]]</f>
        <v>7</v>
      </c>
      <c r="BC217" t="str">
        <f t="shared" si="103"/>
        <v>Neutral</v>
      </c>
      <c r="BD217" s="32">
        <f t="shared" si="104"/>
        <v>1</v>
      </c>
      <c r="BE217">
        <f>step3_validation[[#This Row],[AI_OUT1]]</f>
        <v>8</v>
      </c>
      <c r="BF217" t="str">
        <f t="shared" si="105"/>
        <v>Support</v>
      </c>
      <c r="BG217">
        <f>survey_responses[[#This Row],[Sau khi xem xét các quyền lợi và nghĩa vụ, bạn có ủng hộ và tuân thủ chính sách mới hiện nay? - HUMAN-OUT1]]</f>
        <v>7</v>
      </c>
      <c r="BH217" t="str">
        <f t="shared" si="106"/>
        <v>Neutral</v>
      </c>
      <c r="BI217" s="32">
        <f t="shared" si="107"/>
        <v>1</v>
      </c>
    </row>
    <row r="218" spans="1:61" x14ac:dyDescent="0.45">
      <c r="A218" s="30">
        <f>step3_validation[[#This Row],[Persona_ID]]</f>
        <v>217</v>
      </c>
      <c r="B218" s="31">
        <f>step3_validation[[#This Row],[Used_Seed]]</f>
        <v>217</v>
      </c>
      <c r="C218" t="str">
        <f>step3_validation[[#This Row],[Gender]]</f>
        <v>Nam</v>
      </c>
      <c r="D218" t="str">
        <f>survey_responses[[#This Row],[Giới tính của bạn:]]</f>
        <v>Nam</v>
      </c>
      <c r="E218" t="str">
        <f>step3_validation[[#This Row],[Age_Group]]</f>
        <v>30 - 39</v>
      </c>
      <c r="F218" t="str">
        <f>survey_responses[[#This Row],[Độ tuổi của bạn:]]</f>
        <v>30 - 39</v>
      </c>
      <c r="G218" t="str">
        <f>step3_validation[[#This Row],[Region]]</f>
        <v>Thành thị</v>
      </c>
      <c r="H218" t="str">
        <f>survey_responses[[#This Row],[Khu vực bạn đang sinh sống:]]</f>
        <v>Thành thị</v>
      </c>
      <c r="I218" t="str">
        <f>step3_validation[[#This Row],[Education]]</f>
        <v>Đại học</v>
      </c>
      <c r="J218" t="str">
        <f>survey_responses[[#This Row],[Trình độ học vấn cao nhất:]]</f>
        <v>Đại học</v>
      </c>
      <c r="K218" t="str">
        <f>step3_validation[[#This Row],[Employment]]</f>
        <v>Chính thức</v>
      </c>
      <c r="L218" t="str">
        <f>survey_responses[[#This Row],[Tình trạng việc làm chính:]]</f>
        <v>Khu vực chính thức (Có Hợp đồng lao động, đóng BHXH)</v>
      </c>
      <c r="M218">
        <f>step3_validation[[#This Row],[Income_Mil]]</f>
        <v>44.87867531438576</v>
      </c>
      <c r="N218" t="str">
        <f>survey_responses[[#This Row],[Thu nhập bình quân tháng theo Hợp đồng lao động của bạn là bao nhiêu? (Vui lòng điền tổng thu nhập trước khi khấu trừ các loại Bảo hiểm (BHXH, BHYT, BHTN) và Thuế TNCN)]]</f>
        <v>Từ 32 - 48 triệu VNĐ</v>
      </c>
      <c r="O218">
        <f>step3_validation[[#This Row],[Dependents]]</f>
        <v>0</v>
      </c>
      <c r="P218" t="str">
        <f>survey_responses[[#This Row],[Số người phụ thuộc (con nhỏ, cha mẹ già...) đủ điều kiện giảm trừ gia cảnh:]]</f>
        <v>0 người</v>
      </c>
      <c r="Q218">
        <f>step3_validation[[#This Row],[AI_ENF1]]</f>
        <v>7</v>
      </c>
      <c r="R218" t="str">
        <f t="shared" si="81"/>
        <v>Neutral</v>
      </c>
      <c r="S218">
        <f>survey_responses[[#This Row],[Tôi tin rằng với các quy định quản lý thuế hiện nay, hành vi gian lận hoặc trốn thuế sẽ dễ dàng bị phát hiện và xử lý nghiêm. - HUMAN-ENF1]]</f>
        <v>5</v>
      </c>
      <c r="T218" t="str">
        <f t="shared" si="82"/>
        <v>Neutral</v>
      </c>
      <c r="U218" s="32">
        <f t="shared" si="83"/>
        <v>2</v>
      </c>
      <c r="V218">
        <f>step3_validation[[#This Row],[AI_ENF2]]</f>
        <v>8</v>
      </c>
      <c r="W218" t="str">
        <f t="shared" si="84"/>
        <v>Support</v>
      </c>
      <c r="X218">
        <f>survey_responses[[#This Row],[Tôi tin rằng Nhà nước, cơ quan thuế có đủ khả năng và công nghệ để phát hiện, xử lý nghiêm các hành vi trốn thuế. - HUMAN-ENF2]]</f>
        <v>5</v>
      </c>
      <c r="Y218" t="str">
        <f t="shared" si="85"/>
        <v>Neutral</v>
      </c>
      <c r="Z218" s="32">
        <f t="shared" si="86"/>
        <v>3</v>
      </c>
      <c r="AA218">
        <f>step3_validation[[#This Row],[AI_FAC1]]</f>
        <v>9</v>
      </c>
      <c r="AB218" t="str">
        <f t="shared" si="87"/>
        <v>Support</v>
      </c>
      <c r="AC218">
        <f>survey_responses[[#This Row],[Các thủ tục khai báo thuế VÀ/HOẶC quy trình làm việc với cơ quan thuế đơn giản, tiện lợi, nhanh chóng hơn so với trước đây. - HUMAN-FAC1]]</f>
        <v>5</v>
      </c>
      <c r="AD218" t="str">
        <f t="shared" si="88"/>
        <v>Neutral</v>
      </c>
      <c r="AE218" s="32">
        <f t="shared" si="89"/>
        <v>4</v>
      </c>
      <c r="AF218">
        <f>step3_validation[[#This Row],[AI_FAC2]]</f>
        <v>10</v>
      </c>
      <c r="AG218" t="str">
        <f t="shared" si="90"/>
        <v>Support</v>
      </c>
      <c r="AH218">
        <f>survey_responses[[#This Row],[So với trước đây, tôi thấy cách tính thuế và các bậc thuế trong phương án mới đơn giản, dễ hiểu và dễ thực hiện hơn. - HUMAN-FAC2]]</f>
        <v>6</v>
      </c>
      <c r="AI218" t="str">
        <f t="shared" si="91"/>
        <v>Neutral</v>
      </c>
      <c r="AJ218" s="32">
        <f t="shared" si="92"/>
        <v>4</v>
      </c>
      <c r="AK218">
        <f>step3_validation[[#This Row],[AI_TRU1]]</f>
        <v>7</v>
      </c>
      <c r="AL218" t="str">
        <f t="shared" si="93"/>
        <v>Neutral</v>
      </c>
      <c r="AM218">
        <f>survey_responses[[#This Row],[Tôi tin rằng Nhà nước, cơ quan thuế sẽ thực thi chính sách mới một cách khách quan, công tâm và đối xử bình đẳng với mọi người nộp thuế.  - HUMAN-TRU1]]</f>
        <v>5</v>
      </c>
      <c r="AN218" t="str">
        <f t="shared" si="94"/>
        <v>Neutral</v>
      </c>
      <c r="AO218" s="32">
        <f t="shared" si="95"/>
        <v>2</v>
      </c>
      <c r="AP218">
        <f>step3_validation[[#This Row],[AI_TRU2]]</f>
        <v>9</v>
      </c>
      <c r="AQ218" t="str">
        <f t="shared" si="96"/>
        <v>Support</v>
      </c>
      <c r="AR218">
        <f>survey_responses[[#This Row],[Tôi thấy mức thuế tôi phải đóng theo phương án mới là công bằng (người thu nhập như tôi đóng mức này là hợp lý). - HUMAN-TRU2]]</f>
        <v>5</v>
      </c>
      <c r="AS218" t="str">
        <f t="shared" si="97"/>
        <v>Neutral</v>
      </c>
      <c r="AT218" s="32">
        <f t="shared" si="98"/>
        <v>4</v>
      </c>
      <c r="AU218">
        <f>step3_validation[[#This Row],[AI_TRU3]]</f>
        <v>7</v>
      </c>
      <c r="AV218" t="str">
        <f t="shared" si="99"/>
        <v>Neutral</v>
      </c>
      <c r="AW218">
        <f>survey_responses[[#This Row],[Tôi tin tưởng số tiền thuế tôi đóng sẽ được Nhà nước sử dụng hiệu quả để cải thiện dịch vụ công (y tế, đường xá...). - HUMAN-TRU3]]</f>
        <v>5</v>
      </c>
      <c r="AX218" t="str">
        <f t="shared" si="100"/>
        <v>Neutral</v>
      </c>
      <c r="AY218" s="32">
        <f t="shared" si="101"/>
        <v>2</v>
      </c>
      <c r="AZ218">
        <f>step3_validation[[#This Row],[AI_TRU4]]</f>
        <v>9</v>
      </c>
      <c r="BA218" t="str">
        <f t="shared" si="102"/>
        <v>Support</v>
      </c>
      <c r="BB218">
        <f>survey_responses[[#This Row],[Tôi thấy Nhà nước đã giải thích rõ ràng, minh bạch về lý do và mục tiêu của việc sửa đổi thuế lần này. - HUMAN-TRU4]]</f>
        <v>5</v>
      </c>
      <c r="BC218" t="str">
        <f t="shared" si="103"/>
        <v>Neutral</v>
      </c>
      <c r="BD218" s="32">
        <f t="shared" si="104"/>
        <v>4</v>
      </c>
      <c r="BE218">
        <f>step3_validation[[#This Row],[AI_OUT1]]</f>
        <v>8</v>
      </c>
      <c r="BF218" t="str">
        <f t="shared" si="105"/>
        <v>Support</v>
      </c>
      <c r="BG218">
        <f>survey_responses[[#This Row],[Sau khi xem xét các quyền lợi và nghĩa vụ, bạn có ủng hộ và tuân thủ chính sách mới hiện nay? - HUMAN-OUT1]]</f>
        <v>5</v>
      </c>
      <c r="BH218" t="str">
        <f t="shared" si="106"/>
        <v>Neutral</v>
      </c>
      <c r="BI218" s="32">
        <f t="shared" si="107"/>
        <v>3</v>
      </c>
    </row>
    <row r="219" spans="1:61" x14ac:dyDescent="0.45">
      <c r="A219" s="30">
        <f>step3_validation[[#This Row],[Persona_ID]]</f>
        <v>218</v>
      </c>
      <c r="B219" s="31">
        <f>step3_validation[[#This Row],[Used_Seed]]</f>
        <v>218</v>
      </c>
      <c r="C219" t="str">
        <f>step3_validation[[#This Row],[Gender]]</f>
        <v>Nữ</v>
      </c>
      <c r="D219" t="str">
        <f>survey_responses[[#This Row],[Giới tính của bạn:]]</f>
        <v>Nữ</v>
      </c>
      <c r="E219" t="str">
        <f>step3_validation[[#This Row],[Age_Group]]</f>
        <v>30 - 39</v>
      </c>
      <c r="F219" t="str">
        <f>survey_responses[[#This Row],[Độ tuổi của bạn:]]</f>
        <v>30 - 39</v>
      </c>
      <c r="G219" t="str">
        <f>step3_validation[[#This Row],[Region]]</f>
        <v>Thành thị</v>
      </c>
      <c r="H219" t="str">
        <f>survey_responses[[#This Row],[Khu vực bạn đang sinh sống:]]</f>
        <v>Thành thị</v>
      </c>
      <c r="I219" t="str">
        <f>step3_validation[[#This Row],[Education]]</f>
        <v>Đại học</v>
      </c>
      <c r="J219" t="str">
        <f>survey_responses[[#This Row],[Trình độ học vấn cao nhất:]]</f>
        <v>Đại học</v>
      </c>
      <c r="K219" t="str">
        <f>step3_validation[[#This Row],[Employment]]</f>
        <v>Chính thức</v>
      </c>
      <c r="L219" t="str">
        <f>survey_responses[[#This Row],[Tình trạng việc làm chính:]]</f>
        <v>Khu vực chính thức (Có Hợp đồng lao động, đóng BHXH)</v>
      </c>
      <c r="M219">
        <f>step3_validation[[#This Row],[Income_Mil]]</f>
        <v>68.590372311478617</v>
      </c>
      <c r="N219" t="str">
        <f>survey_responses[[#This Row],[Thu nhập bình quân tháng theo Hợp đồng lao động của bạn là bao nhiêu? (Vui lòng điền tổng thu nhập trước khi khấu trừ các loại Bảo hiểm (BHXH, BHYT, BHTN) và Thuế TNCN)]]</f>
        <v>Từ 48 - 70 triệu VNĐ</v>
      </c>
      <c r="O219">
        <f>step3_validation[[#This Row],[Dependents]]</f>
        <v>3</v>
      </c>
      <c r="P219" t="str">
        <f>survey_responses[[#This Row],[Số người phụ thuộc (con nhỏ, cha mẹ già...) đủ điều kiện giảm trừ gia cảnh:]]</f>
        <v>3 người</v>
      </c>
      <c r="Q219">
        <f>step3_validation[[#This Row],[AI_ENF1]]</f>
        <v>9</v>
      </c>
      <c r="R219" t="str">
        <f t="shared" si="81"/>
        <v>Support</v>
      </c>
      <c r="S219">
        <f>survey_responses[[#This Row],[Tôi tin rằng với các quy định quản lý thuế hiện nay, hành vi gian lận hoặc trốn thuế sẽ dễ dàng bị phát hiện và xử lý nghiêm. - HUMAN-ENF1]]</f>
        <v>6</v>
      </c>
      <c r="T219" t="str">
        <f t="shared" si="82"/>
        <v>Neutral</v>
      </c>
      <c r="U219" s="32">
        <f t="shared" si="83"/>
        <v>3</v>
      </c>
      <c r="V219">
        <f>step3_validation[[#This Row],[AI_ENF2]]</f>
        <v>8</v>
      </c>
      <c r="W219" t="str">
        <f t="shared" si="84"/>
        <v>Support</v>
      </c>
      <c r="X219">
        <f>survey_responses[[#This Row],[Tôi tin rằng Nhà nước, cơ quan thuế có đủ khả năng và công nghệ để phát hiện, xử lý nghiêm các hành vi trốn thuế. - HUMAN-ENF2]]</f>
        <v>7</v>
      </c>
      <c r="Y219" t="str">
        <f t="shared" si="85"/>
        <v>Neutral</v>
      </c>
      <c r="Z219" s="32">
        <f t="shared" si="86"/>
        <v>1</v>
      </c>
      <c r="AA219">
        <f>step3_validation[[#This Row],[AI_FAC1]]</f>
        <v>9</v>
      </c>
      <c r="AB219" t="str">
        <f t="shared" si="87"/>
        <v>Support</v>
      </c>
      <c r="AC219">
        <f>survey_responses[[#This Row],[Các thủ tục khai báo thuế VÀ/HOẶC quy trình làm việc với cơ quan thuế đơn giản, tiện lợi, nhanh chóng hơn so với trước đây. - HUMAN-FAC1]]</f>
        <v>7</v>
      </c>
      <c r="AD219" t="str">
        <f t="shared" si="88"/>
        <v>Neutral</v>
      </c>
      <c r="AE219" s="32">
        <f t="shared" si="89"/>
        <v>2</v>
      </c>
      <c r="AF219">
        <f>step3_validation[[#This Row],[AI_FAC2]]</f>
        <v>8</v>
      </c>
      <c r="AG219" t="str">
        <f t="shared" si="90"/>
        <v>Support</v>
      </c>
      <c r="AH219">
        <f>survey_responses[[#This Row],[So với trước đây, tôi thấy cách tính thuế và các bậc thuế trong phương án mới đơn giản, dễ hiểu và dễ thực hiện hơn. - HUMAN-FAC2]]</f>
        <v>7</v>
      </c>
      <c r="AI219" t="str">
        <f t="shared" si="91"/>
        <v>Neutral</v>
      </c>
      <c r="AJ219" s="32">
        <f t="shared" si="92"/>
        <v>1</v>
      </c>
      <c r="AK219">
        <f>step3_validation[[#This Row],[AI_TRU1]]</f>
        <v>9</v>
      </c>
      <c r="AL219" t="str">
        <f t="shared" si="93"/>
        <v>Support</v>
      </c>
      <c r="AM219">
        <f>survey_responses[[#This Row],[Tôi tin rằng Nhà nước, cơ quan thuế sẽ thực thi chính sách mới một cách khách quan, công tâm và đối xử bình đẳng với mọi người nộp thuế.  - HUMAN-TRU1]]</f>
        <v>7</v>
      </c>
      <c r="AN219" t="str">
        <f t="shared" si="94"/>
        <v>Neutral</v>
      </c>
      <c r="AO219" s="32">
        <f t="shared" si="95"/>
        <v>2</v>
      </c>
      <c r="AP219">
        <f>step3_validation[[#This Row],[AI_TRU2]]</f>
        <v>8</v>
      </c>
      <c r="AQ219" t="str">
        <f t="shared" si="96"/>
        <v>Support</v>
      </c>
      <c r="AR219">
        <f>survey_responses[[#This Row],[Tôi thấy mức thuế tôi phải đóng theo phương án mới là công bằng (người thu nhập như tôi đóng mức này là hợp lý). - HUMAN-TRU2]]</f>
        <v>7</v>
      </c>
      <c r="AS219" t="str">
        <f t="shared" si="97"/>
        <v>Neutral</v>
      </c>
      <c r="AT219" s="32">
        <f t="shared" si="98"/>
        <v>1</v>
      </c>
      <c r="AU219">
        <f>step3_validation[[#This Row],[AI_TRU3]]</f>
        <v>9</v>
      </c>
      <c r="AV219" t="str">
        <f t="shared" si="99"/>
        <v>Support</v>
      </c>
      <c r="AW219">
        <f>survey_responses[[#This Row],[Tôi tin tưởng số tiền thuế tôi đóng sẽ được Nhà nước sử dụng hiệu quả để cải thiện dịch vụ công (y tế, đường xá...). - HUMAN-TRU3]]</f>
        <v>7</v>
      </c>
      <c r="AX219" t="str">
        <f t="shared" si="100"/>
        <v>Neutral</v>
      </c>
      <c r="AY219" s="32">
        <f t="shared" si="101"/>
        <v>2</v>
      </c>
      <c r="AZ219">
        <f>step3_validation[[#This Row],[AI_TRU4]]</f>
        <v>8</v>
      </c>
      <c r="BA219" t="str">
        <f t="shared" si="102"/>
        <v>Support</v>
      </c>
      <c r="BB219">
        <f>survey_responses[[#This Row],[Tôi thấy Nhà nước đã giải thích rõ ràng, minh bạch về lý do và mục tiêu của việc sửa đổi thuế lần này. - HUMAN-TRU4]]</f>
        <v>7</v>
      </c>
      <c r="BC219" t="str">
        <f t="shared" si="103"/>
        <v>Neutral</v>
      </c>
      <c r="BD219" s="32">
        <f t="shared" si="104"/>
        <v>1</v>
      </c>
      <c r="BE219">
        <f>step3_validation[[#This Row],[AI_OUT1]]</f>
        <v>9</v>
      </c>
      <c r="BF219" t="str">
        <f t="shared" si="105"/>
        <v>Support</v>
      </c>
      <c r="BG219">
        <f>survey_responses[[#This Row],[Sau khi xem xét các quyền lợi và nghĩa vụ, bạn có ủng hộ và tuân thủ chính sách mới hiện nay? - HUMAN-OUT1]]</f>
        <v>7</v>
      </c>
      <c r="BH219" t="str">
        <f t="shared" si="106"/>
        <v>Neutral</v>
      </c>
      <c r="BI219" s="32">
        <f t="shared" si="107"/>
        <v>2</v>
      </c>
    </row>
    <row r="220" spans="1:61" x14ac:dyDescent="0.45">
      <c r="A220" s="30">
        <f>step3_validation[[#This Row],[Persona_ID]]</f>
        <v>219</v>
      </c>
      <c r="B220" s="31">
        <f>step3_validation[[#This Row],[Used_Seed]]</f>
        <v>219</v>
      </c>
      <c r="C220" t="str">
        <f>step3_validation[[#This Row],[Gender]]</f>
        <v>Nam</v>
      </c>
      <c r="D220" t="str">
        <f>survey_responses[[#This Row],[Giới tính của bạn:]]</f>
        <v>Nam</v>
      </c>
      <c r="E220" t="str">
        <f>step3_validation[[#This Row],[Age_Group]]</f>
        <v>55 - 64</v>
      </c>
      <c r="F220" t="str">
        <f>survey_responses[[#This Row],[Độ tuổi của bạn:]]</f>
        <v>55 - 64</v>
      </c>
      <c r="G220" t="str">
        <f>step3_validation[[#This Row],[Region]]</f>
        <v>Thành thị</v>
      </c>
      <c r="H220" t="str">
        <f>survey_responses[[#This Row],[Khu vực bạn đang sinh sống:]]</f>
        <v>Thành thị</v>
      </c>
      <c r="I220" t="str">
        <f>step3_validation[[#This Row],[Education]]</f>
        <v>Sau Đại học</v>
      </c>
      <c r="J220" t="str">
        <f>survey_responses[[#This Row],[Trình độ học vấn cao nhất:]]</f>
        <v>Sau Đại học</v>
      </c>
      <c r="K220" t="str">
        <f>step3_validation[[#This Row],[Employment]]</f>
        <v>Chính thức</v>
      </c>
      <c r="L220" t="str">
        <f>survey_responses[[#This Row],[Tình trạng việc làm chính:]]</f>
        <v>Khu vực chính thức (Có Hợp đồng lao động, đóng BHXH)</v>
      </c>
      <c r="M220">
        <f>step3_validation[[#This Row],[Income_Mil]]</f>
        <v>203.83778934601204</v>
      </c>
      <c r="N220" t="str">
        <f>survey_responses[[#This Row],[Thu nhập bình quân tháng theo Hợp đồng lao động của bạn là bao nhiêu? (Vui lòng điền tổng thu nhập trước khi khấu trừ các loại Bảo hiểm (BHXH, BHYT, BHTN) và Thuế TNCN)]]</f>
        <v>Trên 102 triệu VNĐ</v>
      </c>
      <c r="O220">
        <f>step3_validation[[#This Row],[Dependents]]</f>
        <v>2</v>
      </c>
      <c r="P220" t="str">
        <f>survey_responses[[#This Row],[Số người phụ thuộc (con nhỏ, cha mẹ già...) đủ điều kiện giảm trừ gia cảnh:]]</f>
        <v>2 người</v>
      </c>
      <c r="Q220">
        <f>step3_validation[[#This Row],[AI_ENF1]]</f>
        <v>6</v>
      </c>
      <c r="R220" t="str">
        <f t="shared" si="81"/>
        <v>Neutral</v>
      </c>
      <c r="S220">
        <f>survey_responses[[#This Row],[Tôi tin rằng với các quy định quản lý thuế hiện nay, hành vi gian lận hoặc trốn thuế sẽ dễ dàng bị phát hiện và xử lý nghiêm. - HUMAN-ENF1]]</f>
        <v>7</v>
      </c>
      <c r="T220" t="str">
        <f t="shared" si="82"/>
        <v>Neutral</v>
      </c>
      <c r="U220" s="32">
        <f t="shared" si="83"/>
        <v>1</v>
      </c>
      <c r="V220">
        <f>step3_validation[[#This Row],[AI_ENF2]]</f>
        <v>7</v>
      </c>
      <c r="W220" t="str">
        <f t="shared" si="84"/>
        <v>Neutral</v>
      </c>
      <c r="X220">
        <f>survey_responses[[#This Row],[Tôi tin rằng Nhà nước, cơ quan thuế có đủ khả năng và công nghệ để phát hiện, xử lý nghiêm các hành vi trốn thuế. - HUMAN-ENF2]]</f>
        <v>8</v>
      </c>
      <c r="Y220" t="str">
        <f t="shared" si="85"/>
        <v>Support</v>
      </c>
      <c r="Z220" s="32">
        <f t="shared" si="86"/>
        <v>1</v>
      </c>
      <c r="AA220">
        <f>step3_validation[[#This Row],[AI_FAC1]]</f>
        <v>8</v>
      </c>
      <c r="AB220" t="str">
        <f t="shared" si="87"/>
        <v>Support</v>
      </c>
      <c r="AC220">
        <f>survey_responses[[#This Row],[Các thủ tục khai báo thuế VÀ/HOẶC quy trình làm việc với cơ quan thuế đơn giản, tiện lợi, nhanh chóng hơn so với trước đây. - HUMAN-FAC1]]</f>
        <v>8</v>
      </c>
      <c r="AD220" t="str">
        <f t="shared" si="88"/>
        <v>Support</v>
      </c>
      <c r="AE220" s="32">
        <f t="shared" si="89"/>
        <v>0</v>
      </c>
      <c r="AF220">
        <f>step3_validation[[#This Row],[AI_FAC2]]</f>
        <v>9</v>
      </c>
      <c r="AG220" t="str">
        <f t="shared" si="90"/>
        <v>Support</v>
      </c>
      <c r="AH220">
        <f>survey_responses[[#This Row],[So với trước đây, tôi thấy cách tính thuế và các bậc thuế trong phương án mới đơn giản, dễ hiểu và dễ thực hiện hơn. - HUMAN-FAC2]]</f>
        <v>8</v>
      </c>
      <c r="AI220" t="str">
        <f t="shared" si="91"/>
        <v>Support</v>
      </c>
      <c r="AJ220" s="32">
        <f t="shared" si="92"/>
        <v>1</v>
      </c>
      <c r="AK220">
        <f>step3_validation[[#This Row],[AI_TRU1]]</f>
        <v>7</v>
      </c>
      <c r="AL220" t="str">
        <f t="shared" si="93"/>
        <v>Neutral</v>
      </c>
      <c r="AM220">
        <f>survey_responses[[#This Row],[Tôi tin rằng Nhà nước, cơ quan thuế sẽ thực thi chính sách mới một cách khách quan, công tâm và đối xử bình đẳng với mọi người nộp thuế.  - HUMAN-TRU1]]</f>
        <v>8</v>
      </c>
      <c r="AN220" t="str">
        <f t="shared" si="94"/>
        <v>Support</v>
      </c>
      <c r="AO220" s="32">
        <f t="shared" si="95"/>
        <v>1</v>
      </c>
      <c r="AP220">
        <f>step3_validation[[#This Row],[AI_TRU2]]</f>
        <v>9</v>
      </c>
      <c r="AQ220" t="str">
        <f t="shared" si="96"/>
        <v>Support</v>
      </c>
      <c r="AR220">
        <f>survey_responses[[#This Row],[Tôi thấy mức thuế tôi phải đóng theo phương án mới là công bằng (người thu nhập như tôi đóng mức này là hợp lý). - HUMAN-TRU2]]</f>
        <v>5</v>
      </c>
      <c r="AS220" t="str">
        <f t="shared" si="97"/>
        <v>Neutral</v>
      </c>
      <c r="AT220" s="32">
        <f t="shared" si="98"/>
        <v>4</v>
      </c>
      <c r="AU220">
        <f>step3_validation[[#This Row],[AI_TRU3]]</f>
        <v>7</v>
      </c>
      <c r="AV220" t="str">
        <f t="shared" si="99"/>
        <v>Neutral</v>
      </c>
      <c r="AW220">
        <f>survey_responses[[#This Row],[Tôi tin tưởng số tiền thuế tôi đóng sẽ được Nhà nước sử dụng hiệu quả để cải thiện dịch vụ công (y tế, đường xá...). - HUMAN-TRU3]]</f>
        <v>5</v>
      </c>
      <c r="AX220" t="str">
        <f t="shared" si="100"/>
        <v>Neutral</v>
      </c>
      <c r="AY220" s="32">
        <f t="shared" si="101"/>
        <v>2</v>
      </c>
      <c r="AZ220">
        <f>step3_validation[[#This Row],[AI_TRU4]]</f>
        <v>8</v>
      </c>
      <c r="BA220" t="str">
        <f t="shared" si="102"/>
        <v>Support</v>
      </c>
      <c r="BB220">
        <f>survey_responses[[#This Row],[Tôi thấy Nhà nước đã giải thích rõ ràng, minh bạch về lý do và mục tiêu của việc sửa đổi thuế lần này. - HUMAN-TRU4]]</f>
        <v>7</v>
      </c>
      <c r="BC220" t="str">
        <f t="shared" si="103"/>
        <v>Neutral</v>
      </c>
      <c r="BD220" s="32">
        <f t="shared" si="104"/>
        <v>1</v>
      </c>
      <c r="BE220">
        <f>step3_validation[[#This Row],[AI_OUT1]]</f>
        <v>9</v>
      </c>
      <c r="BF220" t="str">
        <f t="shared" si="105"/>
        <v>Support</v>
      </c>
      <c r="BG220">
        <f>survey_responses[[#This Row],[Sau khi xem xét các quyền lợi và nghĩa vụ, bạn có ủng hộ và tuân thủ chính sách mới hiện nay? - HUMAN-OUT1]]</f>
        <v>6</v>
      </c>
      <c r="BH220" t="str">
        <f t="shared" si="106"/>
        <v>Neutral</v>
      </c>
      <c r="BI220" s="32">
        <f t="shared" si="107"/>
        <v>3</v>
      </c>
    </row>
    <row r="221" spans="1:61" x14ac:dyDescent="0.45">
      <c r="A221" s="30">
        <f>step3_validation[[#This Row],[Persona_ID]]</f>
        <v>220</v>
      </c>
      <c r="B221" s="31">
        <f>step3_validation[[#This Row],[Used_Seed]]</f>
        <v>220</v>
      </c>
      <c r="C221" t="str">
        <f>step3_validation[[#This Row],[Gender]]</f>
        <v>Nữ</v>
      </c>
      <c r="D221" t="str">
        <f>survey_responses[[#This Row],[Giới tính của bạn:]]</f>
        <v>Nữ</v>
      </c>
      <c r="E221" t="str">
        <f>step3_validation[[#This Row],[Age_Group]]</f>
        <v>50 - 54</v>
      </c>
      <c r="F221" t="str">
        <f>survey_responses[[#This Row],[Độ tuổi của bạn:]]</f>
        <v>50 - 54</v>
      </c>
      <c r="G221" t="str">
        <f>step3_validation[[#This Row],[Region]]</f>
        <v>Thành thị</v>
      </c>
      <c r="H221" t="str">
        <f>survey_responses[[#This Row],[Khu vực bạn đang sinh sống:]]</f>
        <v>Thành thị</v>
      </c>
      <c r="I221" t="str">
        <f>step3_validation[[#This Row],[Education]]</f>
        <v>Sau Đại học</v>
      </c>
      <c r="J221" t="str">
        <f>survey_responses[[#This Row],[Trình độ học vấn cao nhất:]]</f>
        <v>Sau Đại học</v>
      </c>
      <c r="K221" t="str">
        <f>step3_validation[[#This Row],[Employment]]</f>
        <v>Chính thức</v>
      </c>
      <c r="L221" t="str">
        <f>survey_responses[[#This Row],[Tình trạng việc làm chính:]]</f>
        <v>Khu vực chính thức (Có Hợp đồng lao động, đóng BHXH)</v>
      </c>
      <c r="M221">
        <f>step3_validation[[#This Row],[Income_Mil]]</f>
        <v>233.81504568104771</v>
      </c>
      <c r="N221" t="str">
        <f>survey_responses[[#This Row],[Thu nhập bình quân tháng theo Hợp đồng lao động của bạn là bao nhiêu? (Vui lòng điền tổng thu nhập trước khi khấu trừ các loại Bảo hiểm (BHXH, BHYT, BHTN) và Thuế TNCN)]]</f>
        <v>Trên 102 triệu VNĐ</v>
      </c>
      <c r="O221">
        <f>step3_validation[[#This Row],[Dependents]]</f>
        <v>1</v>
      </c>
      <c r="P221" t="str">
        <f>survey_responses[[#This Row],[Số người phụ thuộc (con nhỏ, cha mẹ già...) đủ điều kiện giảm trừ gia cảnh:]]</f>
        <v>1 người</v>
      </c>
      <c r="Q221">
        <f>step3_validation[[#This Row],[AI_ENF1]]</f>
        <v>7</v>
      </c>
      <c r="R221" t="str">
        <f t="shared" si="81"/>
        <v>Neutral</v>
      </c>
      <c r="S221">
        <f>survey_responses[[#This Row],[Tôi tin rằng với các quy định quản lý thuế hiện nay, hành vi gian lận hoặc trốn thuế sẽ dễ dàng bị phát hiện và xử lý nghiêm. - HUMAN-ENF1]]</f>
        <v>10</v>
      </c>
      <c r="T221" t="str">
        <f t="shared" si="82"/>
        <v>Support</v>
      </c>
      <c r="U221" s="32">
        <f t="shared" si="83"/>
        <v>3</v>
      </c>
      <c r="V221">
        <f>step3_validation[[#This Row],[AI_ENF2]]</f>
        <v>7</v>
      </c>
      <c r="W221" t="str">
        <f t="shared" si="84"/>
        <v>Neutral</v>
      </c>
      <c r="X221">
        <f>survey_responses[[#This Row],[Tôi tin rằng Nhà nước, cơ quan thuế có đủ khả năng và công nghệ để phát hiện, xử lý nghiêm các hành vi trốn thuế. - HUMAN-ENF2]]</f>
        <v>10</v>
      </c>
      <c r="Y221" t="str">
        <f t="shared" si="85"/>
        <v>Support</v>
      </c>
      <c r="Z221" s="32">
        <f t="shared" si="86"/>
        <v>3</v>
      </c>
      <c r="AA221">
        <f>step3_validation[[#This Row],[AI_FAC1]]</f>
        <v>8</v>
      </c>
      <c r="AB221" t="str">
        <f t="shared" si="87"/>
        <v>Support</v>
      </c>
      <c r="AC221">
        <f>survey_responses[[#This Row],[Các thủ tục khai báo thuế VÀ/HOẶC quy trình làm việc với cơ quan thuế đơn giản, tiện lợi, nhanh chóng hơn so với trước đây. - HUMAN-FAC1]]</f>
        <v>6</v>
      </c>
      <c r="AD221" t="str">
        <f t="shared" si="88"/>
        <v>Neutral</v>
      </c>
      <c r="AE221" s="32">
        <f t="shared" si="89"/>
        <v>2</v>
      </c>
      <c r="AF221">
        <f>step3_validation[[#This Row],[AI_FAC2]]</f>
        <v>9</v>
      </c>
      <c r="AG221" t="str">
        <f t="shared" si="90"/>
        <v>Support</v>
      </c>
      <c r="AH221">
        <f>survey_responses[[#This Row],[So với trước đây, tôi thấy cách tính thuế và các bậc thuế trong phương án mới đơn giản, dễ hiểu và dễ thực hiện hơn. - HUMAN-FAC2]]</f>
        <v>9</v>
      </c>
      <c r="AI221" t="str">
        <f t="shared" si="91"/>
        <v>Support</v>
      </c>
      <c r="AJ221" s="32">
        <f t="shared" si="92"/>
        <v>0</v>
      </c>
      <c r="AK221">
        <f>step3_validation[[#This Row],[AI_TRU1]]</f>
        <v>8</v>
      </c>
      <c r="AL221" t="str">
        <f t="shared" si="93"/>
        <v>Support</v>
      </c>
      <c r="AM221">
        <f>survey_responses[[#This Row],[Tôi tin rằng Nhà nước, cơ quan thuế sẽ thực thi chính sách mới một cách khách quan, công tâm và đối xử bình đẳng với mọi người nộp thuế.  - HUMAN-TRU1]]</f>
        <v>9</v>
      </c>
      <c r="AN221" t="str">
        <f t="shared" si="94"/>
        <v>Support</v>
      </c>
      <c r="AO221" s="32">
        <f t="shared" si="95"/>
        <v>1</v>
      </c>
      <c r="AP221">
        <f>step3_validation[[#This Row],[AI_TRU2]]</f>
        <v>9</v>
      </c>
      <c r="AQ221" t="str">
        <f t="shared" si="96"/>
        <v>Support</v>
      </c>
      <c r="AR221">
        <f>survey_responses[[#This Row],[Tôi thấy mức thuế tôi phải đóng theo phương án mới là công bằng (người thu nhập như tôi đóng mức này là hợp lý). - HUMAN-TRU2]]</f>
        <v>9</v>
      </c>
      <c r="AS221" t="str">
        <f t="shared" si="97"/>
        <v>Support</v>
      </c>
      <c r="AT221" s="32">
        <f t="shared" si="98"/>
        <v>0</v>
      </c>
      <c r="AU221">
        <f>step3_validation[[#This Row],[AI_TRU3]]</f>
        <v>8</v>
      </c>
      <c r="AV221" t="str">
        <f t="shared" si="99"/>
        <v>Support</v>
      </c>
      <c r="AW221">
        <f>survey_responses[[#This Row],[Tôi tin tưởng số tiền thuế tôi đóng sẽ được Nhà nước sử dụng hiệu quả để cải thiện dịch vụ công (y tế, đường xá...). - HUMAN-TRU3]]</f>
        <v>9</v>
      </c>
      <c r="AX221" t="str">
        <f t="shared" si="100"/>
        <v>Support</v>
      </c>
      <c r="AY221" s="32">
        <f t="shared" si="101"/>
        <v>1</v>
      </c>
      <c r="AZ221">
        <f>step3_validation[[#This Row],[AI_TRU4]]</f>
        <v>7</v>
      </c>
      <c r="BA221" t="str">
        <f t="shared" si="102"/>
        <v>Neutral</v>
      </c>
      <c r="BB221">
        <f>survey_responses[[#This Row],[Tôi thấy Nhà nước đã giải thích rõ ràng, minh bạch về lý do và mục tiêu của việc sửa đổi thuế lần này. - HUMAN-TRU4]]</f>
        <v>8</v>
      </c>
      <c r="BC221" t="str">
        <f t="shared" si="103"/>
        <v>Support</v>
      </c>
      <c r="BD221" s="32">
        <f t="shared" si="104"/>
        <v>1</v>
      </c>
      <c r="BE221">
        <f>step3_validation[[#This Row],[AI_OUT1]]</f>
        <v>9</v>
      </c>
      <c r="BF221" t="str">
        <f t="shared" si="105"/>
        <v>Support</v>
      </c>
      <c r="BG221">
        <f>survey_responses[[#This Row],[Sau khi xem xét các quyền lợi và nghĩa vụ, bạn có ủng hộ và tuân thủ chính sách mới hiện nay? - HUMAN-OUT1]]</f>
        <v>8</v>
      </c>
      <c r="BH221" t="str">
        <f t="shared" si="106"/>
        <v>Support</v>
      </c>
      <c r="BI221" s="32">
        <f t="shared" si="107"/>
        <v>1</v>
      </c>
    </row>
    <row r="222" spans="1:61" x14ac:dyDescent="0.45">
      <c r="A222" s="30">
        <f>step3_validation[[#This Row],[Persona_ID]]</f>
        <v>221</v>
      </c>
      <c r="B222" s="31">
        <f>step3_validation[[#This Row],[Used_Seed]]</f>
        <v>221</v>
      </c>
      <c r="C222" t="str">
        <f>step3_validation[[#This Row],[Gender]]</f>
        <v>Nữ</v>
      </c>
      <c r="D222" t="str">
        <f>survey_responses[[#This Row],[Giới tính của bạn:]]</f>
        <v>Nữ</v>
      </c>
      <c r="E222" t="str">
        <f>step3_validation[[#This Row],[Age_Group]]</f>
        <v>40 - 49</v>
      </c>
      <c r="F222" t="str">
        <f>survey_responses[[#This Row],[Độ tuổi của bạn:]]</f>
        <v>40 - 49</v>
      </c>
      <c r="G222" t="str">
        <f>step3_validation[[#This Row],[Region]]</f>
        <v>Thành thị</v>
      </c>
      <c r="H222" t="str">
        <f>survey_responses[[#This Row],[Khu vực bạn đang sinh sống:]]</f>
        <v>Thành thị</v>
      </c>
      <c r="I222" t="str">
        <f>step3_validation[[#This Row],[Education]]</f>
        <v>Đại học</v>
      </c>
      <c r="J222" t="str">
        <f>survey_responses[[#This Row],[Trình độ học vấn cao nhất:]]</f>
        <v>Đại học</v>
      </c>
      <c r="K222" t="str">
        <f>step3_validation[[#This Row],[Employment]]</f>
        <v>Chính thức</v>
      </c>
      <c r="L222" t="str">
        <f>survey_responses[[#This Row],[Tình trạng việc làm chính:]]</f>
        <v>Khu vực chính thức (Có Hợp đồng lao động, đóng BHXH)</v>
      </c>
      <c r="M222">
        <f>step3_validation[[#This Row],[Income_Mil]]</f>
        <v>57.553725956128737</v>
      </c>
      <c r="N222" t="str">
        <f>survey_responses[[#This Row],[Thu nhập bình quân tháng theo Hợp đồng lao động của bạn là bao nhiêu? (Vui lòng điền tổng thu nhập trước khi khấu trừ các loại Bảo hiểm (BHXH, BHYT, BHTN) và Thuế TNCN)]]</f>
        <v>Từ 48 - 70 triệu VNĐ</v>
      </c>
      <c r="O222">
        <f>step3_validation[[#This Row],[Dependents]]</f>
        <v>1</v>
      </c>
      <c r="P222" t="str">
        <f>survey_responses[[#This Row],[Số người phụ thuộc (con nhỏ, cha mẹ già...) đủ điều kiện giảm trừ gia cảnh:]]</f>
        <v>1 người</v>
      </c>
      <c r="Q222">
        <f>step3_validation[[#This Row],[AI_ENF1]]</f>
        <v>6</v>
      </c>
      <c r="R222" t="str">
        <f t="shared" si="81"/>
        <v>Neutral</v>
      </c>
      <c r="S222">
        <f>survey_responses[[#This Row],[Tôi tin rằng với các quy định quản lý thuế hiện nay, hành vi gian lận hoặc trốn thuế sẽ dễ dàng bị phát hiện và xử lý nghiêm. - HUMAN-ENF1]]</f>
        <v>4</v>
      </c>
      <c r="T222" t="str">
        <f t="shared" si="82"/>
        <v>Oppose</v>
      </c>
      <c r="U222" s="32">
        <f t="shared" si="83"/>
        <v>2</v>
      </c>
      <c r="V222">
        <f>step3_validation[[#This Row],[AI_ENF2]]</f>
        <v>7</v>
      </c>
      <c r="W222" t="str">
        <f t="shared" si="84"/>
        <v>Neutral</v>
      </c>
      <c r="X222">
        <f>survey_responses[[#This Row],[Tôi tin rằng Nhà nước, cơ quan thuế có đủ khả năng và công nghệ để phát hiện, xử lý nghiêm các hành vi trốn thuế. - HUMAN-ENF2]]</f>
        <v>4</v>
      </c>
      <c r="Y222" t="str">
        <f t="shared" si="85"/>
        <v>Oppose</v>
      </c>
      <c r="Z222" s="32">
        <f t="shared" si="86"/>
        <v>3</v>
      </c>
      <c r="AA222">
        <f>step3_validation[[#This Row],[AI_FAC1]]</f>
        <v>9</v>
      </c>
      <c r="AB222" t="str">
        <f t="shared" si="87"/>
        <v>Support</v>
      </c>
      <c r="AC222">
        <f>survey_responses[[#This Row],[Các thủ tục khai báo thuế VÀ/HOẶC quy trình làm việc với cơ quan thuế đơn giản, tiện lợi, nhanh chóng hơn so với trước đây. - HUMAN-FAC1]]</f>
        <v>4</v>
      </c>
      <c r="AD222" t="str">
        <f t="shared" si="88"/>
        <v>Oppose</v>
      </c>
      <c r="AE222" s="32">
        <f t="shared" si="89"/>
        <v>5</v>
      </c>
      <c r="AF222">
        <f>step3_validation[[#This Row],[AI_FAC2]]</f>
        <v>8</v>
      </c>
      <c r="AG222" t="str">
        <f t="shared" si="90"/>
        <v>Support</v>
      </c>
      <c r="AH222">
        <f>survey_responses[[#This Row],[So với trước đây, tôi thấy cách tính thuế và các bậc thuế trong phương án mới đơn giản, dễ hiểu và dễ thực hiện hơn. - HUMAN-FAC2]]</f>
        <v>6</v>
      </c>
      <c r="AI222" t="str">
        <f t="shared" si="91"/>
        <v>Neutral</v>
      </c>
      <c r="AJ222" s="32">
        <f t="shared" si="92"/>
        <v>2</v>
      </c>
      <c r="AK222">
        <f>step3_validation[[#This Row],[AI_TRU1]]</f>
        <v>7</v>
      </c>
      <c r="AL222" t="str">
        <f t="shared" si="93"/>
        <v>Neutral</v>
      </c>
      <c r="AM222">
        <f>survey_responses[[#This Row],[Tôi tin rằng Nhà nước, cơ quan thuế sẽ thực thi chính sách mới một cách khách quan, công tâm và đối xử bình đẳng với mọi người nộp thuế.  - HUMAN-TRU1]]</f>
        <v>5</v>
      </c>
      <c r="AN222" t="str">
        <f t="shared" si="94"/>
        <v>Neutral</v>
      </c>
      <c r="AO222" s="32">
        <f t="shared" si="95"/>
        <v>2</v>
      </c>
      <c r="AP222">
        <f>step3_validation[[#This Row],[AI_TRU2]]</f>
        <v>9</v>
      </c>
      <c r="AQ222" t="str">
        <f t="shared" si="96"/>
        <v>Support</v>
      </c>
      <c r="AR222">
        <f>survey_responses[[#This Row],[Tôi thấy mức thuế tôi phải đóng theo phương án mới là công bằng (người thu nhập như tôi đóng mức này là hợp lý). - HUMAN-TRU2]]</f>
        <v>6</v>
      </c>
      <c r="AS222" t="str">
        <f t="shared" si="97"/>
        <v>Neutral</v>
      </c>
      <c r="AT222" s="32">
        <f t="shared" si="98"/>
        <v>3</v>
      </c>
      <c r="AU222">
        <f>step3_validation[[#This Row],[AI_TRU3]]</f>
        <v>8</v>
      </c>
      <c r="AV222" t="str">
        <f t="shared" si="99"/>
        <v>Support</v>
      </c>
      <c r="AW222">
        <f>survey_responses[[#This Row],[Tôi tin tưởng số tiền thuế tôi đóng sẽ được Nhà nước sử dụng hiệu quả để cải thiện dịch vụ công (y tế, đường xá...). - HUMAN-TRU3]]</f>
        <v>5</v>
      </c>
      <c r="AX222" t="str">
        <f t="shared" si="100"/>
        <v>Neutral</v>
      </c>
      <c r="AY222" s="32">
        <f t="shared" si="101"/>
        <v>3</v>
      </c>
      <c r="AZ222">
        <f>step3_validation[[#This Row],[AI_TRU4]]</f>
        <v>7</v>
      </c>
      <c r="BA222" t="str">
        <f t="shared" si="102"/>
        <v>Neutral</v>
      </c>
      <c r="BB222">
        <f>survey_responses[[#This Row],[Tôi thấy Nhà nước đã giải thích rõ ràng, minh bạch về lý do và mục tiêu của việc sửa đổi thuế lần này. - HUMAN-TRU4]]</f>
        <v>6</v>
      </c>
      <c r="BC222" t="str">
        <f t="shared" si="103"/>
        <v>Neutral</v>
      </c>
      <c r="BD222" s="32">
        <f t="shared" si="104"/>
        <v>1</v>
      </c>
      <c r="BE222">
        <f>step3_validation[[#This Row],[AI_OUT1]]</f>
        <v>8</v>
      </c>
      <c r="BF222" t="str">
        <f t="shared" si="105"/>
        <v>Support</v>
      </c>
      <c r="BG222">
        <f>survey_responses[[#This Row],[Sau khi xem xét các quyền lợi và nghĩa vụ, bạn có ủng hộ và tuân thủ chính sách mới hiện nay? - HUMAN-OUT1]]</f>
        <v>5</v>
      </c>
      <c r="BH222" t="str">
        <f t="shared" si="106"/>
        <v>Neutral</v>
      </c>
      <c r="BI222" s="32">
        <f t="shared" si="107"/>
        <v>3</v>
      </c>
    </row>
    <row r="223" spans="1:61" x14ac:dyDescent="0.45">
      <c r="A223" s="30">
        <f>step3_validation[[#This Row],[Persona_ID]]</f>
        <v>222</v>
      </c>
      <c r="B223" s="31">
        <f>step3_validation[[#This Row],[Used_Seed]]</f>
        <v>222</v>
      </c>
      <c r="C223" t="str">
        <f>step3_validation[[#This Row],[Gender]]</f>
        <v>Nữ</v>
      </c>
      <c r="D223" t="str">
        <f>survey_responses[[#This Row],[Giới tính của bạn:]]</f>
        <v>Nữ</v>
      </c>
      <c r="E223" t="str">
        <f>step3_validation[[#This Row],[Age_Group]]</f>
        <v>50 - 54</v>
      </c>
      <c r="F223" t="str">
        <f>survey_responses[[#This Row],[Độ tuổi của bạn:]]</f>
        <v>50 - 54</v>
      </c>
      <c r="G223" t="str">
        <f>step3_validation[[#This Row],[Region]]</f>
        <v>Thành thị</v>
      </c>
      <c r="H223" t="str">
        <f>survey_responses[[#This Row],[Khu vực bạn đang sinh sống:]]</f>
        <v>Thành thị</v>
      </c>
      <c r="I223" t="str">
        <f>step3_validation[[#This Row],[Education]]</f>
        <v>Đại học</v>
      </c>
      <c r="J223" t="str">
        <f>survey_responses[[#This Row],[Trình độ học vấn cao nhất:]]</f>
        <v>Đại học</v>
      </c>
      <c r="K223" t="str">
        <f>step3_validation[[#This Row],[Employment]]</f>
        <v>Chính thức</v>
      </c>
      <c r="L223" t="str">
        <f>survey_responses[[#This Row],[Tình trạng việc làm chính:]]</f>
        <v>Khu vực chính thức (Có Hợp đồng lao động, đóng BHXH)</v>
      </c>
      <c r="M223">
        <f>step3_validation[[#This Row],[Income_Mil]]</f>
        <v>55.921388157311412</v>
      </c>
      <c r="N223" t="str">
        <f>survey_responses[[#This Row],[Thu nhập bình quân tháng theo Hợp đồng lao động của bạn là bao nhiêu? (Vui lòng điền tổng thu nhập trước khi khấu trừ các loại Bảo hiểm (BHXH, BHYT, BHTN) và Thuế TNCN)]]</f>
        <v>Từ 48 - 70 triệu VNĐ</v>
      </c>
      <c r="O223">
        <f>step3_validation[[#This Row],[Dependents]]</f>
        <v>2</v>
      </c>
      <c r="P223" t="str">
        <f>survey_responses[[#This Row],[Số người phụ thuộc (con nhỏ, cha mẹ già...) đủ điều kiện giảm trừ gia cảnh:]]</f>
        <v>2 người</v>
      </c>
      <c r="Q223">
        <f>step3_validation[[#This Row],[AI_ENF1]]</f>
        <v>8</v>
      </c>
      <c r="R223" t="str">
        <f t="shared" si="81"/>
        <v>Support</v>
      </c>
      <c r="S223">
        <f>survey_responses[[#This Row],[Tôi tin rằng với các quy định quản lý thuế hiện nay, hành vi gian lận hoặc trốn thuế sẽ dễ dàng bị phát hiện và xử lý nghiêm. - HUMAN-ENF1]]</f>
        <v>4</v>
      </c>
      <c r="T223" t="str">
        <f t="shared" si="82"/>
        <v>Oppose</v>
      </c>
      <c r="U223" s="32">
        <f t="shared" si="83"/>
        <v>4</v>
      </c>
      <c r="V223">
        <f>step3_validation[[#This Row],[AI_ENF2]]</f>
        <v>9</v>
      </c>
      <c r="W223" t="str">
        <f t="shared" si="84"/>
        <v>Support</v>
      </c>
      <c r="X223">
        <f>survey_responses[[#This Row],[Tôi tin rằng Nhà nước, cơ quan thuế có đủ khả năng và công nghệ để phát hiện, xử lý nghiêm các hành vi trốn thuế. - HUMAN-ENF2]]</f>
        <v>5</v>
      </c>
      <c r="Y223" t="str">
        <f t="shared" si="85"/>
        <v>Neutral</v>
      </c>
      <c r="Z223" s="32">
        <f t="shared" si="86"/>
        <v>4</v>
      </c>
      <c r="AA223">
        <f>step3_validation[[#This Row],[AI_FAC1]]</f>
        <v>8</v>
      </c>
      <c r="AB223" t="str">
        <f t="shared" si="87"/>
        <v>Support</v>
      </c>
      <c r="AC223">
        <f>survey_responses[[#This Row],[Các thủ tục khai báo thuế VÀ/HOẶC quy trình làm việc với cơ quan thuế đơn giản, tiện lợi, nhanh chóng hơn so với trước đây. - HUMAN-FAC1]]</f>
        <v>4</v>
      </c>
      <c r="AD223" t="str">
        <f t="shared" si="88"/>
        <v>Oppose</v>
      </c>
      <c r="AE223" s="32">
        <f t="shared" si="89"/>
        <v>4</v>
      </c>
      <c r="AF223">
        <f>step3_validation[[#This Row],[AI_FAC2]]</f>
        <v>9</v>
      </c>
      <c r="AG223" t="str">
        <f t="shared" si="90"/>
        <v>Support</v>
      </c>
      <c r="AH223">
        <f>survey_responses[[#This Row],[So với trước đây, tôi thấy cách tính thuế và các bậc thuế trong phương án mới đơn giản, dễ hiểu và dễ thực hiện hơn. - HUMAN-FAC2]]</f>
        <v>5</v>
      </c>
      <c r="AI223" t="str">
        <f t="shared" si="91"/>
        <v>Neutral</v>
      </c>
      <c r="AJ223" s="32">
        <f t="shared" si="92"/>
        <v>4</v>
      </c>
      <c r="AK223">
        <f>step3_validation[[#This Row],[AI_TRU1]]</f>
        <v>8</v>
      </c>
      <c r="AL223" t="str">
        <f t="shared" si="93"/>
        <v>Support</v>
      </c>
      <c r="AM223">
        <f>survey_responses[[#This Row],[Tôi tin rằng Nhà nước, cơ quan thuế sẽ thực thi chính sách mới một cách khách quan, công tâm và đối xử bình đẳng với mọi người nộp thuế.  - HUMAN-TRU1]]</f>
        <v>5</v>
      </c>
      <c r="AN223" t="str">
        <f t="shared" si="94"/>
        <v>Neutral</v>
      </c>
      <c r="AO223" s="32">
        <f t="shared" si="95"/>
        <v>3</v>
      </c>
      <c r="AP223">
        <f>step3_validation[[#This Row],[AI_TRU2]]</f>
        <v>9</v>
      </c>
      <c r="AQ223" t="str">
        <f t="shared" si="96"/>
        <v>Support</v>
      </c>
      <c r="AR223">
        <f>survey_responses[[#This Row],[Tôi thấy mức thuế tôi phải đóng theo phương án mới là công bằng (người thu nhập như tôi đóng mức này là hợp lý). - HUMAN-TRU2]]</f>
        <v>5</v>
      </c>
      <c r="AS223" t="str">
        <f t="shared" si="97"/>
        <v>Neutral</v>
      </c>
      <c r="AT223" s="32">
        <f t="shared" si="98"/>
        <v>4</v>
      </c>
      <c r="AU223">
        <f>step3_validation[[#This Row],[AI_TRU3]]</f>
        <v>8</v>
      </c>
      <c r="AV223" t="str">
        <f t="shared" si="99"/>
        <v>Support</v>
      </c>
      <c r="AW223">
        <f>survey_responses[[#This Row],[Tôi tin tưởng số tiền thuế tôi đóng sẽ được Nhà nước sử dụng hiệu quả để cải thiện dịch vụ công (y tế, đường xá...). - HUMAN-TRU3]]</f>
        <v>5</v>
      </c>
      <c r="AX223" t="str">
        <f t="shared" si="100"/>
        <v>Neutral</v>
      </c>
      <c r="AY223" s="32">
        <f t="shared" si="101"/>
        <v>3</v>
      </c>
      <c r="AZ223">
        <f>step3_validation[[#This Row],[AI_TRU4]]</f>
        <v>9</v>
      </c>
      <c r="BA223" t="str">
        <f t="shared" si="102"/>
        <v>Support</v>
      </c>
      <c r="BB223">
        <f>survey_responses[[#This Row],[Tôi thấy Nhà nước đã giải thích rõ ràng, minh bạch về lý do và mục tiêu của việc sửa đổi thuế lần này. - HUMAN-TRU4]]</f>
        <v>5</v>
      </c>
      <c r="BC223" t="str">
        <f t="shared" si="103"/>
        <v>Neutral</v>
      </c>
      <c r="BD223" s="32">
        <f t="shared" si="104"/>
        <v>4</v>
      </c>
      <c r="BE223">
        <f>step3_validation[[#This Row],[AI_OUT1]]</f>
        <v>9</v>
      </c>
      <c r="BF223" t="str">
        <f t="shared" si="105"/>
        <v>Support</v>
      </c>
      <c r="BG223">
        <f>survey_responses[[#This Row],[Sau khi xem xét các quyền lợi và nghĩa vụ, bạn có ủng hộ và tuân thủ chính sách mới hiện nay? - HUMAN-OUT1]]</f>
        <v>5</v>
      </c>
      <c r="BH223" t="str">
        <f t="shared" si="106"/>
        <v>Neutral</v>
      </c>
      <c r="BI223" s="32">
        <f t="shared" si="107"/>
        <v>4</v>
      </c>
    </row>
    <row r="224" spans="1:61" x14ac:dyDescent="0.45">
      <c r="A224" s="30">
        <f>step3_validation[[#This Row],[Persona_ID]]</f>
        <v>223</v>
      </c>
      <c r="B224" s="31">
        <f>step3_validation[[#This Row],[Used_Seed]]</f>
        <v>223</v>
      </c>
      <c r="C224" t="str">
        <f>step3_validation[[#This Row],[Gender]]</f>
        <v>Nam</v>
      </c>
      <c r="D224" t="str">
        <f>survey_responses[[#This Row],[Giới tính của bạn:]]</f>
        <v>Nam</v>
      </c>
      <c r="E224" t="str">
        <f>step3_validation[[#This Row],[Age_Group]]</f>
        <v>30 - 39</v>
      </c>
      <c r="F224" t="str">
        <f>survey_responses[[#This Row],[Độ tuổi của bạn:]]</f>
        <v>30 - 39</v>
      </c>
      <c r="G224" t="str">
        <f>step3_validation[[#This Row],[Region]]</f>
        <v>Thành thị</v>
      </c>
      <c r="H224" t="str">
        <f>survey_responses[[#This Row],[Khu vực bạn đang sinh sống:]]</f>
        <v>Thành thị</v>
      </c>
      <c r="I224" t="str">
        <f>step3_validation[[#This Row],[Education]]</f>
        <v>Đại học</v>
      </c>
      <c r="J224" t="str">
        <f>survey_responses[[#This Row],[Trình độ học vấn cao nhất:]]</f>
        <v>Đại học</v>
      </c>
      <c r="K224" t="str">
        <f>step3_validation[[#This Row],[Employment]]</f>
        <v>Chính thức</v>
      </c>
      <c r="L224" t="str">
        <f>survey_responses[[#This Row],[Tình trạng việc làm chính:]]</f>
        <v>Khu vực chính thức (Có Hợp đồng lao động, đóng BHXH)</v>
      </c>
      <c r="M224">
        <f>step3_validation[[#This Row],[Income_Mil]]</f>
        <v>66.621487048726294</v>
      </c>
      <c r="N224" t="str">
        <f>survey_responses[[#This Row],[Thu nhập bình quân tháng theo Hợp đồng lao động của bạn là bao nhiêu? (Vui lòng điền tổng thu nhập trước khi khấu trừ các loại Bảo hiểm (BHXH, BHYT, BHTN) và Thuế TNCN)]]</f>
        <v>Từ 48 - 70 triệu VNĐ</v>
      </c>
      <c r="O224">
        <f>step3_validation[[#This Row],[Dependents]]</f>
        <v>2</v>
      </c>
      <c r="P224" t="str">
        <f>survey_responses[[#This Row],[Số người phụ thuộc (con nhỏ, cha mẹ già...) đủ điều kiện giảm trừ gia cảnh:]]</f>
        <v>2 người</v>
      </c>
      <c r="Q224">
        <f>step3_validation[[#This Row],[AI_ENF1]]</f>
        <v>7</v>
      </c>
      <c r="R224" t="str">
        <f t="shared" si="81"/>
        <v>Neutral</v>
      </c>
      <c r="S224">
        <f>survey_responses[[#This Row],[Tôi tin rằng với các quy định quản lý thuế hiện nay, hành vi gian lận hoặc trốn thuế sẽ dễ dàng bị phát hiện và xử lý nghiêm. - HUMAN-ENF1]]</f>
        <v>6</v>
      </c>
      <c r="T224" t="str">
        <f t="shared" si="82"/>
        <v>Neutral</v>
      </c>
      <c r="U224" s="32">
        <f t="shared" si="83"/>
        <v>1</v>
      </c>
      <c r="V224">
        <f>step3_validation[[#This Row],[AI_ENF2]]</f>
        <v>8</v>
      </c>
      <c r="W224" t="str">
        <f t="shared" si="84"/>
        <v>Support</v>
      </c>
      <c r="X224">
        <f>survey_responses[[#This Row],[Tôi tin rằng Nhà nước, cơ quan thuế có đủ khả năng và công nghệ để phát hiện, xử lý nghiêm các hành vi trốn thuế. - HUMAN-ENF2]]</f>
        <v>6</v>
      </c>
      <c r="Y224" t="str">
        <f t="shared" si="85"/>
        <v>Neutral</v>
      </c>
      <c r="Z224" s="32">
        <f t="shared" si="86"/>
        <v>2</v>
      </c>
      <c r="AA224">
        <f>step3_validation[[#This Row],[AI_FAC1]]</f>
        <v>9</v>
      </c>
      <c r="AB224" t="str">
        <f t="shared" si="87"/>
        <v>Support</v>
      </c>
      <c r="AC224">
        <f>survey_responses[[#This Row],[Các thủ tục khai báo thuế VÀ/HOẶC quy trình làm việc với cơ quan thuế đơn giản, tiện lợi, nhanh chóng hơn so với trước đây. - HUMAN-FAC1]]</f>
        <v>7</v>
      </c>
      <c r="AD224" t="str">
        <f t="shared" si="88"/>
        <v>Neutral</v>
      </c>
      <c r="AE224" s="32">
        <f t="shared" si="89"/>
        <v>2</v>
      </c>
      <c r="AF224">
        <f>step3_validation[[#This Row],[AI_FAC2]]</f>
        <v>10</v>
      </c>
      <c r="AG224" t="str">
        <f t="shared" si="90"/>
        <v>Support</v>
      </c>
      <c r="AH224">
        <f>survey_responses[[#This Row],[So với trước đây, tôi thấy cách tính thuế và các bậc thuế trong phương án mới đơn giản, dễ hiểu và dễ thực hiện hơn. - HUMAN-FAC2]]</f>
        <v>7</v>
      </c>
      <c r="AI224" t="str">
        <f t="shared" si="91"/>
        <v>Neutral</v>
      </c>
      <c r="AJ224" s="32">
        <f t="shared" si="92"/>
        <v>3</v>
      </c>
      <c r="AK224">
        <f>step3_validation[[#This Row],[AI_TRU1]]</f>
        <v>9</v>
      </c>
      <c r="AL224" t="str">
        <f t="shared" si="93"/>
        <v>Support</v>
      </c>
      <c r="AM224">
        <f>survey_responses[[#This Row],[Tôi tin rằng Nhà nước, cơ quan thuế sẽ thực thi chính sách mới một cách khách quan, công tâm và đối xử bình đẳng với mọi người nộp thuế.  - HUMAN-TRU1]]</f>
        <v>6</v>
      </c>
      <c r="AN224" t="str">
        <f t="shared" si="94"/>
        <v>Neutral</v>
      </c>
      <c r="AO224" s="32">
        <f t="shared" si="95"/>
        <v>3</v>
      </c>
      <c r="AP224">
        <f>step3_validation[[#This Row],[AI_TRU2]]</f>
        <v>8</v>
      </c>
      <c r="AQ224" t="str">
        <f t="shared" si="96"/>
        <v>Support</v>
      </c>
      <c r="AR224">
        <f>survey_responses[[#This Row],[Tôi thấy mức thuế tôi phải đóng theo phương án mới là công bằng (người thu nhập như tôi đóng mức này là hợp lý). - HUMAN-TRU2]]</f>
        <v>6</v>
      </c>
      <c r="AS224" t="str">
        <f t="shared" si="97"/>
        <v>Neutral</v>
      </c>
      <c r="AT224" s="32">
        <f t="shared" si="98"/>
        <v>2</v>
      </c>
      <c r="AU224">
        <f>step3_validation[[#This Row],[AI_TRU3]]</f>
        <v>9</v>
      </c>
      <c r="AV224" t="str">
        <f t="shared" si="99"/>
        <v>Support</v>
      </c>
      <c r="AW224">
        <f>survey_responses[[#This Row],[Tôi tin tưởng số tiền thuế tôi đóng sẽ được Nhà nước sử dụng hiệu quả để cải thiện dịch vụ công (y tế, đường xá...). - HUMAN-TRU3]]</f>
        <v>8</v>
      </c>
      <c r="AX224" t="str">
        <f t="shared" si="100"/>
        <v>Support</v>
      </c>
      <c r="AY224" s="32">
        <f t="shared" si="101"/>
        <v>1</v>
      </c>
      <c r="AZ224">
        <f>step3_validation[[#This Row],[AI_TRU4]]</f>
        <v>8</v>
      </c>
      <c r="BA224" t="str">
        <f t="shared" si="102"/>
        <v>Support</v>
      </c>
      <c r="BB224">
        <f>survey_responses[[#This Row],[Tôi thấy Nhà nước đã giải thích rõ ràng, minh bạch về lý do và mục tiêu của việc sửa đổi thuế lần này. - HUMAN-TRU4]]</f>
        <v>8</v>
      </c>
      <c r="BC224" t="str">
        <f t="shared" si="103"/>
        <v>Support</v>
      </c>
      <c r="BD224" s="32">
        <f t="shared" si="104"/>
        <v>0</v>
      </c>
      <c r="BE224">
        <f>step3_validation[[#This Row],[AI_OUT1]]</f>
        <v>9</v>
      </c>
      <c r="BF224" t="str">
        <f t="shared" si="105"/>
        <v>Support</v>
      </c>
      <c r="BG224">
        <f>survey_responses[[#This Row],[Sau khi xem xét các quyền lợi và nghĩa vụ, bạn có ủng hộ và tuân thủ chính sách mới hiện nay? - HUMAN-OUT1]]</f>
        <v>7</v>
      </c>
      <c r="BH224" t="str">
        <f t="shared" si="106"/>
        <v>Neutral</v>
      </c>
      <c r="BI224" s="32">
        <f t="shared" si="107"/>
        <v>2</v>
      </c>
    </row>
    <row r="225" spans="1:61" x14ac:dyDescent="0.45">
      <c r="A225" s="30">
        <f>step3_validation[[#This Row],[Persona_ID]]</f>
        <v>224</v>
      </c>
      <c r="B225" s="31">
        <f>step3_validation[[#This Row],[Used_Seed]]</f>
        <v>224</v>
      </c>
      <c r="C225" t="str">
        <f>step3_validation[[#This Row],[Gender]]</f>
        <v>Nữ</v>
      </c>
      <c r="D225" t="str">
        <f>survey_responses[[#This Row],[Giới tính của bạn:]]</f>
        <v>Nữ</v>
      </c>
      <c r="E225" t="str">
        <f>step3_validation[[#This Row],[Age_Group]]</f>
        <v>30 - 39</v>
      </c>
      <c r="F225" t="str">
        <f>survey_responses[[#This Row],[Độ tuổi của bạn:]]</f>
        <v>30 - 39</v>
      </c>
      <c r="G225" t="str">
        <f>step3_validation[[#This Row],[Region]]</f>
        <v>Thành thị</v>
      </c>
      <c r="H225" t="str">
        <f>survey_responses[[#This Row],[Khu vực bạn đang sinh sống:]]</f>
        <v>Thành thị</v>
      </c>
      <c r="I225" t="str">
        <f>step3_validation[[#This Row],[Education]]</f>
        <v>Sau Đại học</v>
      </c>
      <c r="J225" t="str">
        <f>survey_responses[[#This Row],[Trình độ học vấn cao nhất:]]</f>
        <v>Sau Đại học</v>
      </c>
      <c r="K225" t="str">
        <f>step3_validation[[#This Row],[Employment]]</f>
        <v>Chính thức</v>
      </c>
      <c r="L225" t="str">
        <f>survey_responses[[#This Row],[Tình trạng việc làm chính:]]</f>
        <v>Khu vực chính thức (Có Hợp đồng lao động, đóng BHXH)</v>
      </c>
      <c r="M225">
        <f>step3_validation[[#This Row],[Income_Mil]]</f>
        <v>59.358022038913234</v>
      </c>
      <c r="N225" t="str">
        <f>survey_responses[[#This Row],[Thu nhập bình quân tháng theo Hợp đồng lao động của bạn là bao nhiêu? (Vui lòng điền tổng thu nhập trước khi khấu trừ các loại Bảo hiểm (BHXH, BHYT, BHTN) và Thuế TNCN)]]</f>
        <v>Từ 48 - 70 triệu VNĐ</v>
      </c>
      <c r="O225">
        <f>step3_validation[[#This Row],[Dependents]]</f>
        <v>0</v>
      </c>
      <c r="P225" t="str">
        <f>survey_responses[[#This Row],[Số người phụ thuộc (con nhỏ, cha mẹ già...) đủ điều kiện giảm trừ gia cảnh:]]</f>
        <v>0 người</v>
      </c>
      <c r="Q225">
        <f>step3_validation[[#This Row],[AI_ENF1]]</f>
        <v>7</v>
      </c>
      <c r="R225" t="str">
        <f t="shared" si="81"/>
        <v>Neutral</v>
      </c>
      <c r="S225">
        <f>survey_responses[[#This Row],[Tôi tin rằng với các quy định quản lý thuế hiện nay, hành vi gian lận hoặc trốn thuế sẽ dễ dàng bị phát hiện và xử lý nghiêm. - HUMAN-ENF1]]</f>
        <v>7</v>
      </c>
      <c r="T225" t="str">
        <f t="shared" si="82"/>
        <v>Neutral</v>
      </c>
      <c r="U225" s="32">
        <f t="shared" si="83"/>
        <v>0</v>
      </c>
      <c r="V225">
        <f>step3_validation[[#This Row],[AI_ENF2]]</f>
        <v>6</v>
      </c>
      <c r="W225" t="str">
        <f t="shared" si="84"/>
        <v>Neutral</v>
      </c>
      <c r="X225">
        <f>survey_responses[[#This Row],[Tôi tin rằng Nhà nước, cơ quan thuế có đủ khả năng và công nghệ để phát hiện, xử lý nghiêm các hành vi trốn thuế. - HUMAN-ENF2]]</f>
        <v>7</v>
      </c>
      <c r="Y225" t="str">
        <f t="shared" si="85"/>
        <v>Neutral</v>
      </c>
      <c r="Z225" s="32">
        <f t="shared" si="86"/>
        <v>1</v>
      </c>
      <c r="AA225">
        <f>step3_validation[[#This Row],[AI_FAC1]]</f>
        <v>9</v>
      </c>
      <c r="AB225" t="str">
        <f t="shared" si="87"/>
        <v>Support</v>
      </c>
      <c r="AC225">
        <f>survey_responses[[#This Row],[Các thủ tục khai báo thuế VÀ/HOẶC quy trình làm việc với cơ quan thuế đơn giản, tiện lợi, nhanh chóng hơn so với trước đây. - HUMAN-FAC1]]</f>
        <v>7</v>
      </c>
      <c r="AD225" t="str">
        <f t="shared" si="88"/>
        <v>Neutral</v>
      </c>
      <c r="AE225" s="32">
        <f t="shared" si="89"/>
        <v>2</v>
      </c>
      <c r="AF225">
        <f>step3_validation[[#This Row],[AI_FAC2]]</f>
        <v>8</v>
      </c>
      <c r="AG225" t="str">
        <f t="shared" si="90"/>
        <v>Support</v>
      </c>
      <c r="AH225">
        <f>survey_responses[[#This Row],[So với trước đây, tôi thấy cách tính thuế và các bậc thuế trong phương án mới đơn giản, dễ hiểu và dễ thực hiện hơn. - HUMAN-FAC2]]</f>
        <v>7</v>
      </c>
      <c r="AI225" t="str">
        <f t="shared" si="91"/>
        <v>Neutral</v>
      </c>
      <c r="AJ225" s="32">
        <f t="shared" si="92"/>
        <v>1</v>
      </c>
      <c r="AK225">
        <f>step3_validation[[#This Row],[AI_TRU1]]</f>
        <v>9</v>
      </c>
      <c r="AL225" t="str">
        <f t="shared" si="93"/>
        <v>Support</v>
      </c>
      <c r="AM225">
        <f>survey_responses[[#This Row],[Tôi tin rằng Nhà nước, cơ quan thuế sẽ thực thi chính sách mới một cách khách quan, công tâm và đối xử bình đẳng với mọi người nộp thuế.  - HUMAN-TRU1]]</f>
        <v>7</v>
      </c>
      <c r="AN225" t="str">
        <f t="shared" si="94"/>
        <v>Neutral</v>
      </c>
      <c r="AO225" s="32">
        <f t="shared" si="95"/>
        <v>2</v>
      </c>
      <c r="AP225">
        <f>step3_validation[[#This Row],[AI_TRU2]]</f>
        <v>8</v>
      </c>
      <c r="AQ225" t="str">
        <f t="shared" si="96"/>
        <v>Support</v>
      </c>
      <c r="AR225">
        <f>survey_responses[[#This Row],[Tôi thấy mức thuế tôi phải đóng theo phương án mới là công bằng (người thu nhập như tôi đóng mức này là hợp lý). - HUMAN-TRU2]]</f>
        <v>7</v>
      </c>
      <c r="AS225" t="str">
        <f t="shared" si="97"/>
        <v>Neutral</v>
      </c>
      <c r="AT225" s="32">
        <f t="shared" si="98"/>
        <v>1</v>
      </c>
      <c r="AU225">
        <f>step3_validation[[#This Row],[AI_TRU3]]</f>
        <v>9</v>
      </c>
      <c r="AV225" t="str">
        <f t="shared" si="99"/>
        <v>Support</v>
      </c>
      <c r="AW225">
        <f>survey_responses[[#This Row],[Tôi tin tưởng số tiền thuế tôi đóng sẽ được Nhà nước sử dụng hiệu quả để cải thiện dịch vụ công (y tế, đường xá...). - HUMAN-TRU3]]</f>
        <v>7</v>
      </c>
      <c r="AX225" t="str">
        <f t="shared" si="100"/>
        <v>Neutral</v>
      </c>
      <c r="AY225" s="32">
        <f t="shared" si="101"/>
        <v>2</v>
      </c>
      <c r="AZ225">
        <f>step3_validation[[#This Row],[AI_TRU4]]</f>
        <v>8</v>
      </c>
      <c r="BA225" t="str">
        <f t="shared" si="102"/>
        <v>Support</v>
      </c>
      <c r="BB225">
        <f>survey_responses[[#This Row],[Tôi thấy Nhà nước đã giải thích rõ ràng, minh bạch về lý do và mục tiêu của việc sửa đổi thuế lần này. - HUMAN-TRU4]]</f>
        <v>7</v>
      </c>
      <c r="BC225" t="str">
        <f t="shared" si="103"/>
        <v>Neutral</v>
      </c>
      <c r="BD225" s="32">
        <f t="shared" si="104"/>
        <v>1</v>
      </c>
      <c r="BE225">
        <f>step3_validation[[#This Row],[AI_OUT1]]</f>
        <v>9</v>
      </c>
      <c r="BF225" t="str">
        <f t="shared" si="105"/>
        <v>Support</v>
      </c>
      <c r="BG225">
        <f>survey_responses[[#This Row],[Sau khi xem xét các quyền lợi và nghĩa vụ, bạn có ủng hộ và tuân thủ chính sách mới hiện nay? - HUMAN-OUT1]]</f>
        <v>7</v>
      </c>
      <c r="BH225" t="str">
        <f t="shared" si="106"/>
        <v>Neutral</v>
      </c>
      <c r="BI225" s="32">
        <f t="shared" si="107"/>
        <v>2</v>
      </c>
    </row>
    <row r="226" spans="1:61" x14ac:dyDescent="0.45">
      <c r="A226" s="30">
        <f>step3_validation[[#This Row],[Persona_ID]]</f>
        <v>225</v>
      </c>
      <c r="B226" s="31">
        <f>step3_validation[[#This Row],[Used_Seed]]</f>
        <v>225</v>
      </c>
      <c r="C226" t="str">
        <f>step3_validation[[#This Row],[Gender]]</f>
        <v>Nữ</v>
      </c>
      <c r="D226" t="str">
        <f>survey_responses[[#This Row],[Giới tính của bạn:]]</f>
        <v>Nữ</v>
      </c>
      <c r="E226" t="str">
        <f>step3_validation[[#This Row],[Age_Group]]</f>
        <v>30 - 39</v>
      </c>
      <c r="F226" t="str">
        <f>survey_responses[[#This Row],[Độ tuổi của bạn:]]</f>
        <v>30 - 39</v>
      </c>
      <c r="G226" t="str">
        <f>step3_validation[[#This Row],[Region]]</f>
        <v>Thành thị</v>
      </c>
      <c r="H226" t="str">
        <f>survey_responses[[#This Row],[Khu vực bạn đang sinh sống:]]</f>
        <v>Thành thị</v>
      </c>
      <c r="I226" t="str">
        <f>step3_validation[[#This Row],[Education]]</f>
        <v>Đại học</v>
      </c>
      <c r="J226" t="str">
        <f>survey_responses[[#This Row],[Trình độ học vấn cao nhất:]]</f>
        <v>Đại học</v>
      </c>
      <c r="K226" t="str">
        <f>step3_validation[[#This Row],[Employment]]</f>
        <v>Chính thức</v>
      </c>
      <c r="L226" t="str">
        <f>survey_responses[[#This Row],[Tình trạng việc làm chính:]]</f>
        <v>Khu vực chính thức (Có Hợp đồng lao động, đóng BHXH)</v>
      </c>
      <c r="M226">
        <f>step3_validation[[#This Row],[Income_Mil]]</f>
        <v>41.037929170978728</v>
      </c>
      <c r="N226" t="str">
        <f>survey_responses[[#This Row],[Thu nhập bình quân tháng theo Hợp đồng lao động của bạn là bao nhiêu? (Vui lòng điền tổng thu nhập trước khi khấu trừ các loại Bảo hiểm (BHXH, BHYT, BHTN) và Thuế TNCN)]]</f>
        <v>Từ 32 - 48 triệu VNĐ</v>
      </c>
      <c r="O226">
        <f>step3_validation[[#This Row],[Dependents]]</f>
        <v>1</v>
      </c>
      <c r="P226" t="str">
        <f>survey_responses[[#This Row],[Số người phụ thuộc (con nhỏ, cha mẹ già...) đủ điều kiện giảm trừ gia cảnh:]]</f>
        <v>1 người</v>
      </c>
      <c r="Q226">
        <f>step3_validation[[#This Row],[AI_ENF1]]</f>
        <v>7</v>
      </c>
      <c r="R226" t="str">
        <f t="shared" si="81"/>
        <v>Neutral</v>
      </c>
      <c r="S226">
        <f>survey_responses[[#This Row],[Tôi tin rằng với các quy định quản lý thuế hiện nay, hành vi gian lận hoặc trốn thuế sẽ dễ dàng bị phát hiện và xử lý nghiêm. - HUMAN-ENF1]]</f>
        <v>6</v>
      </c>
      <c r="T226" t="str">
        <f t="shared" si="82"/>
        <v>Neutral</v>
      </c>
      <c r="U226" s="32">
        <f t="shared" si="83"/>
        <v>1</v>
      </c>
      <c r="V226">
        <f>step3_validation[[#This Row],[AI_ENF2]]</f>
        <v>6</v>
      </c>
      <c r="W226" t="str">
        <f t="shared" si="84"/>
        <v>Neutral</v>
      </c>
      <c r="X226">
        <f>survey_responses[[#This Row],[Tôi tin rằng Nhà nước, cơ quan thuế có đủ khả năng và công nghệ để phát hiện, xử lý nghiêm các hành vi trốn thuế. - HUMAN-ENF2]]</f>
        <v>6</v>
      </c>
      <c r="Y226" t="str">
        <f t="shared" si="85"/>
        <v>Neutral</v>
      </c>
      <c r="Z226" s="32">
        <f t="shared" si="86"/>
        <v>0</v>
      </c>
      <c r="AA226">
        <f>step3_validation[[#This Row],[AI_FAC1]]</f>
        <v>8</v>
      </c>
      <c r="AB226" t="str">
        <f t="shared" si="87"/>
        <v>Support</v>
      </c>
      <c r="AC226">
        <f>survey_responses[[#This Row],[Các thủ tục khai báo thuế VÀ/HOẶC quy trình làm việc với cơ quan thuế đơn giản, tiện lợi, nhanh chóng hơn so với trước đây. - HUMAN-FAC1]]</f>
        <v>7</v>
      </c>
      <c r="AD226" t="str">
        <f t="shared" si="88"/>
        <v>Neutral</v>
      </c>
      <c r="AE226" s="32">
        <f t="shared" si="89"/>
        <v>1</v>
      </c>
      <c r="AF226">
        <f>step3_validation[[#This Row],[AI_FAC2]]</f>
        <v>7</v>
      </c>
      <c r="AG226" t="str">
        <f t="shared" si="90"/>
        <v>Neutral</v>
      </c>
      <c r="AH226">
        <f>survey_responses[[#This Row],[So với trước đây, tôi thấy cách tính thuế và các bậc thuế trong phương án mới đơn giản, dễ hiểu và dễ thực hiện hơn. - HUMAN-FAC2]]</f>
        <v>7</v>
      </c>
      <c r="AI226" t="str">
        <f t="shared" si="91"/>
        <v>Neutral</v>
      </c>
      <c r="AJ226" s="32">
        <f t="shared" si="92"/>
        <v>0</v>
      </c>
      <c r="AK226">
        <f>step3_validation[[#This Row],[AI_TRU1]]</f>
        <v>8</v>
      </c>
      <c r="AL226" t="str">
        <f t="shared" si="93"/>
        <v>Support</v>
      </c>
      <c r="AM226">
        <f>survey_responses[[#This Row],[Tôi tin rằng Nhà nước, cơ quan thuế sẽ thực thi chính sách mới một cách khách quan, công tâm và đối xử bình đẳng với mọi người nộp thuế.  - HUMAN-TRU1]]</f>
        <v>5</v>
      </c>
      <c r="AN226" t="str">
        <f t="shared" si="94"/>
        <v>Neutral</v>
      </c>
      <c r="AO226" s="32">
        <f t="shared" si="95"/>
        <v>3</v>
      </c>
      <c r="AP226">
        <f>step3_validation[[#This Row],[AI_TRU2]]</f>
        <v>9</v>
      </c>
      <c r="AQ226" t="str">
        <f t="shared" si="96"/>
        <v>Support</v>
      </c>
      <c r="AR226">
        <f>survey_responses[[#This Row],[Tôi thấy mức thuế tôi phải đóng theo phương án mới là công bằng (người thu nhập như tôi đóng mức này là hợp lý). - HUMAN-TRU2]]</f>
        <v>6</v>
      </c>
      <c r="AS226" t="str">
        <f t="shared" si="97"/>
        <v>Neutral</v>
      </c>
      <c r="AT226" s="32">
        <f t="shared" si="98"/>
        <v>3</v>
      </c>
      <c r="AU226">
        <f>step3_validation[[#This Row],[AI_TRU3]]</f>
        <v>7</v>
      </c>
      <c r="AV226" t="str">
        <f t="shared" si="99"/>
        <v>Neutral</v>
      </c>
      <c r="AW226">
        <f>survey_responses[[#This Row],[Tôi tin tưởng số tiền thuế tôi đóng sẽ được Nhà nước sử dụng hiệu quả để cải thiện dịch vụ công (y tế, đường xá...). - HUMAN-TRU3]]</f>
        <v>6</v>
      </c>
      <c r="AX226" t="str">
        <f t="shared" si="100"/>
        <v>Neutral</v>
      </c>
      <c r="AY226" s="32">
        <f t="shared" si="101"/>
        <v>1</v>
      </c>
      <c r="AZ226">
        <f>step3_validation[[#This Row],[AI_TRU4]]</f>
        <v>6</v>
      </c>
      <c r="BA226" t="str">
        <f t="shared" si="102"/>
        <v>Neutral</v>
      </c>
      <c r="BB226">
        <f>survey_responses[[#This Row],[Tôi thấy Nhà nước đã giải thích rõ ràng, minh bạch về lý do và mục tiêu của việc sửa đổi thuế lần này. - HUMAN-TRU4]]</f>
        <v>6</v>
      </c>
      <c r="BC226" t="str">
        <f t="shared" si="103"/>
        <v>Neutral</v>
      </c>
      <c r="BD226" s="32">
        <f t="shared" si="104"/>
        <v>0</v>
      </c>
      <c r="BE226">
        <f>step3_validation[[#This Row],[AI_OUT1]]</f>
        <v>8</v>
      </c>
      <c r="BF226" t="str">
        <f t="shared" si="105"/>
        <v>Support</v>
      </c>
      <c r="BG226">
        <f>survey_responses[[#This Row],[Sau khi xem xét các quyền lợi và nghĩa vụ, bạn có ủng hộ và tuân thủ chính sách mới hiện nay? - HUMAN-OUT1]]</f>
        <v>7</v>
      </c>
      <c r="BH226" t="str">
        <f t="shared" si="106"/>
        <v>Neutral</v>
      </c>
      <c r="BI226" s="32">
        <f t="shared" si="107"/>
        <v>1</v>
      </c>
    </row>
    <row r="227" spans="1:61" x14ac:dyDescent="0.45">
      <c r="A227" s="30">
        <f>step3_validation[[#This Row],[Persona_ID]]</f>
        <v>226</v>
      </c>
      <c r="B227" s="31">
        <f>step3_validation[[#This Row],[Used_Seed]]</f>
        <v>226</v>
      </c>
      <c r="C227" t="str">
        <f>step3_validation[[#This Row],[Gender]]</f>
        <v>Nữ</v>
      </c>
      <c r="D227" t="str">
        <f>survey_responses[[#This Row],[Giới tính của bạn:]]</f>
        <v>Nữ</v>
      </c>
      <c r="E227" t="str">
        <f>step3_validation[[#This Row],[Age_Group]]</f>
        <v>55 - 64</v>
      </c>
      <c r="F227" t="str">
        <f>survey_responses[[#This Row],[Độ tuổi của bạn:]]</f>
        <v>55 - 64</v>
      </c>
      <c r="G227" t="str">
        <f>step3_validation[[#This Row],[Region]]</f>
        <v>Thành thị</v>
      </c>
      <c r="H227" t="str">
        <f>survey_responses[[#This Row],[Khu vực bạn đang sinh sống:]]</f>
        <v>Thành thị</v>
      </c>
      <c r="I227" t="str">
        <f>step3_validation[[#This Row],[Education]]</f>
        <v>Sau Đại học</v>
      </c>
      <c r="J227" t="str">
        <f>survey_responses[[#This Row],[Trình độ học vấn cao nhất:]]</f>
        <v>Sau Đại học</v>
      </c>
      <c r="K227" t="str">
        <f>step3_validation[[#This Row],[Employment]]</f>
        <v>Chính thức</v>
      </c>
      <c r="L227" t="str">
        <f>survey_responses[[#This Row],[Tình trạng việc làm chính:]]</f>
        <v>Khu vực chính thức (Có Hợp đồng lao động, đóng BHXH)</v>
      </c>
      <c r="M227">
        <f>step3_validation[[#This Row],[Income_Mil]]</f>
        <v>90.832829853445816</v>
      </c>
      <c r="N227" t="str">
        <f>survey_responses[[#This Row],[Thu nhập bình quân tháng theo Hợp đồng lao động của bạn là bao nhiêu? (Vui lòng điền tổng thu nhập trước khi khấu trừ các loại Bảo hiểm (BHXH, BHYT, BHTN) và Thuế TNCN)]]</f>
        <v>Từ 70 - 102 triệu VNĐ</v>
      </c>
      <c r="O227">
        <f>step3_validation[[#This Row],[Dependents]]</f>
        <v>2</v>
      </c>
      <c r="P227" t="str">
        <f>survey_responses[[#This Row],[Số người phụ thuộc (con nhỏ, cha mẹ già...) đủ điều kiện giảm trừ gia cảnh:]]</f>
        <v>2 người</v>
      </c>
      <c r="Q227">
        <f>step3_validation[[#This Row],[AI_ENF1]]</f>
        <v>8</v>
      </c>
      <c r="R227" t="str">
        <f t="shared" si="81"/>
        <v>Support</v>
      </c>
      <c r="S227">
        <f>survey_responses[[#This Row],[Tôi tin rằng với các quy định quản lý thuế hiện nay, hành vi gian lận hoặc trốn thuế sẽ dễ dàng bị phát hiện và xử lý nghiêm. - HUMAN-ENF1]]</f>
        <v>7</v>
      </c>
      <c r="T227" t="str">
        <f t="shared" si="82"/>
        <v>Neutral</v>
      </c>
      <c r="U227" s="32">
        <f t="shared" si="83"/>
        <v>1</v>
      </c>
      <c r="V227">
        <f>step3_validation[[#This Row],[AI_ENF2]]</f>
        <v>7</v>
      </c>
      <c r="W227" t="str">
        <f t="shared" si="84"/>
        <v>Neutral</v>
      </c>
      <c r="X227">
        <f>survey_responses[[#This Row],[Tôi tin rằng Nhà nước, cơ quan thuế có đủ khả năng và công nghệ để phát hiện, xử lý nghiêm các hành vi trốn thuế. - HUMAN-ENF2]]</f>
        <v>7</v>
      </c>
      <c r="Y227" t="str">
        <f t="shared" si="85"/>
        <v>Neutral</v>
      </c>
      <c r="Z227" s="32">
        <f t="shared" si="86"/>
        <v>0</v>
      </c>
      <c r="AA227">
        <f>step3_validation[[#This Row],[AI_FAC1]]</f>
        <v>6</v>
      </c>
      <c r="AB227" t="str">
        <f t="shared" si="87"/>
        <v>Neutral</v>
      </c>
      <c r="AC227">
        <f>survey_responses[[#This Row],[Các thủ tục khai báo thuế VÀ/HOẶC quy trình làm việc với cơ quan thuế đơn giản, tiện lợi, nhanh chóng hơn so với trước đây. - HUMAN-FAC1]]</f>
        <v>6</v>
      </c>
      <c r="AD227" t="str">
        <f t="shared" si="88"/>
        <v>Neutral</v>
      </c>
      <c r="AE227" s="32">
        <f t="shared" si="89"/>
        <v>0</v>
      </c>
      <c r="AF227">
        <f>step3_validation[[#This Row],[AI_FAC2]]</f>
        <v>8</v>
      </c>
      <c r="AG227" t="str">
        <f t="shared" si="90"/>
        <v>Support</v>
      </c>
      <c r="AH227">
        <f>survey_responses[[#This Row],[So với trước đây, tôi thấy cách tính thuế và các bậc thuế trong phương án mới đơn giản, dễ hiểu và dễ thực hiện hơn. - HUMAN-FAC2]]</f>
        <v>7</v>
      </c>
      <c r="AI227" t="str">
        <f t="shared" si="91"/>
        <v>Neutral</v>
      </c>
      <c r="AJ227" s="32">
        <f t="shared" si="92"/>
        <v>1</v>
      </c>
      <c r="AK227">
        <f>step3_validation[[#This Row],[AI_TRU1]]</f>
        <v>7</v>
      </c>
      <c r="AL227" t="str">
        <f t="shared" si="93"/>
        <v>Neutral</v>
      </c>
      <c r="AM227">
        <f>survey_responses[[#This Row],[Tôi tin rằng Nhà nước, cơ quan thuế sẽ thực thi chính sách mới một cách khách quan, công tâm và đối xử bình đẳng với mọi người nộp thuế.  - HUMAN-TRU1]]</f>
        <v>7</v>
      </c>
      <c r="AN227" t="str">
        <f t="shared" si="94"/>
        <v>Neutral</v>
      </c>
      <c r="AO227" s="32">
        <f t="shared" si="95"/>
        <v>0</v>
      </c>
      <c r="AP227">
        <f>step3_validation[[#This Row],[AI_TRU2]]</f>
        <v>9</v>
      </c>
      <c r="AQ227" t="str">
        <f t="shared" si="96"/>
        <v>Support</v>
      </c>
      <c r="AR227">
        <f>survey_responses[[#This Row],[Tôi thấy mức thuế tôi phải đóng theo phương án mới là công bằng (người thu nhập như tôi đóng mức này là hợp lý). - HUMAN-TRU2]]</f>
        <v>7</v>
      </c>
      <c r="AS227" t="str">
        <f t="shared" si="97"/>
        <v>Neutral</v>
      </c>
      <c r="AT227" s="32">
        <f t="shared" si="98"/>
        <v>2</v>
      </c>
      <c r="AU227">
        <f>step3_validation[[#This Row],[AI_TRU3]]</f>
        <v>8</v>
      </c>
      <c r="AV227" t="str">
        <f t="shared" si="99"/>
        <v>Support</v>
      </c>
      <c r="AW227">
        <f>survey_responses[[#This Row],[Tôi tin tưởng số tiền thuế tôi đóng sẽ được Nhà nước sử dụng hiệu quả để cải thiện dịch vụ công (y tế, đường xá...). - HUMAN-TRU3]]</f>
        <v>7</v>
      </c>
      <c r="AX227" t="str">
        <f t="shared" si="100"/>
        <v>Neutral</v>
      </c>
      <c r="AY227" s="32">
        <f t="shared" si="101"/>
        <v>1</v>
      </c>
      <c r="AZ227">
        <f>step3_validation[[#This Row],[AI_TRU4]]</f>
        <v>7</v>
      </c>
      <c r="BA227" t="str">
        <f t="shared" si="102"/>
        <v>Neutral</v>
      </c>
      <c r="BB227">
        <f>survey_responses[[#This Row],[Tôi thấy Nhà nước đã giải thích rõ ràng, minh bạch về lý do và mục tiêu của việc sửa đổi thuế lần này. - HUMAN-TRU4]]</f>
        <v>7</v>
      </c>
      <c r="BC227" t="str">
        <f t="shared" si="103"/>
        <v>Neutral</v>
      </c>
      <c r="BD227" s="32">
        <f t="shared" si="104"/>
        <v>0</v>
      </c>
      <c r="BE227">
        <f>step3_validation[[#This Row],[AI_OUT1]]</f>
        <v>9</v>
      </c>
      <c r="BF227" t="str">
        <f t="shared" si="105"/>
        <v>Support</v>
      </c>
      <c r="BG227">
        <f>survey_responses[[#This Row],[Sau khi xem xét các quyền lợi và nghĩa vụ, bạn có ủng hộ và tuân thủ chính sách mới hiện nay? - HUMAN-OUT1]]</f>
        <v>7</v>
      </c>
      <c r="BH227" t="str">
        <f t="shared" si="106"/>
        <v>Neutral</v>
      </c>
      <c r="BI227" s="32">
        <f t="shared" si="107"/>
        <v>2</v>
      </c>
    </row>
    <row r="228" spans="1:61" x14ac:dyDescent="0.45">
      <c r="A228" s="30">
        <f>step3_validation[[#This Row],[Persona_ID]]</f>
        <v>227</v>
      </c>
      <c r="B228" s="31">
        <f>step3_validation[[#This Row],[Used_Seed]]</f>
        <v>227</v>
      </c>
      <c r="C228" t="str">
        <f>step3_validation[[#This Row],[Gender]]</f>
        <v>Nữ</v>
      </c>
      <c r="D228" t="str">
        <f>survey_responses[[#This Row],[Giới tính của bạn:]]</f>
        <v>Nữ</v>
      </c>
      <c r="E228" t="str">
        <f>step3_validation[[#This Row],[Age_Group]]</f>
        <v>25 - 29</v>
      </c>
      <c r="F228" t="str">
        <f>survey_responses[[#This Row],[Độ tuổi của bạn:]]</f>
        <v>25 - 29</v>
      </c>
      <c r="G228" t="str">
        <f>step3_validation[[#This Row],[Region]]</f>
        <v>Thành thị</v>
      </c>
      <c r="H228" t="str">
        <f>survey_responses[[#This Row],[Khu vực bạn đang sinh sống:]]</f>
        <v>Thành thị</v>
      </c>
      <c r="I228" t="str">
        <f>step3_validation[[#This Row],[Education]]</f>
        <v>Đại học</v>
      </c>
      <c r="J228" t="str">
        <f>survey_responses[[#This Row],[Trình độ học vấn cao nhất:]]</f>
        <v>Đại học</v>
      </c>
      <c r="K228" t="str">
        <f>step3_validation[[#This Row],[Employment]]</f>
        <v>Chính thức</v>
      </c>
      <c r="L228" t="str">
        <f>survey_responses[[#This Row],[Tình trạng việc làm chính:]]</f>
        <v>Khu vực chính thức (Có Hợp đồng lao động, đóng BHXH)</v>
      </c>
      <c r="M228">
        <f>step3_validation[[#This Row],[Income_Mil]]</f>
        <v>26.974894647314343</v>
      </c>
      <c r="N228" t="str">
        <f>survey_responses[[#This Row],[Thu nhập bình quân tháng theo Hợp đồng lao động của bạn là bao nhiêu? (Vui lòng điền tổng thu nhập trước khi khấu trừ các loại Bảo hiểm (BHXH, BHYT, BHTN) và Thuế TNCN)]]</f>
        <v>Từ 23 - 32 triệu VNĐ</v>
      </c>
      <c r="O228">
        <f>step3_validation[[#This Row],[Dependents]]</f>
        <v>0</v>
      </c>
      <c r="P228" t="str">
        <f>survey_responses[[#This Row],[Số người phụ thuộc (con nhỏ, cha mẹ già...) đủ điều kiện giảm trừ gia cảnh:]]</f>
        <v>0 người</v>
      </c>
      <c r="Q228">
        <f>step3_validation[[#This Row],[AI_ENF1]]</f>
        <v>6</v>
      </c>
      <c r="R228" t="str">
        <f t="shared" si="81"/>
        <v>Neutral</v>
      </c>
      <c r="S228">
        <f>survey_responses[[#This Row],[Tôi tin rằng với các quy định quản lý thuế hiện nay, hành vi gian lận hoặc trốn thuế sẽ dễ dàng bị phát hiện và xử lý nghiêm. - HUMAN-ENF1]]</f>
        <v>6</v>
      </c>
      <c r="T228" t="str">
        <f t="shared" si="82"/>
        <v>Neutral</v>
      </c>
      <c r="U228" s="32">
        <f t="shared" si="83"/>
        <v>0</v>
      </c>
      <c r="V228">
        <f>step3_validation[[#This Row],[AI_ENF2]]</f>
        <v>7</v>
      </c>
      <c r="W228" t="str">
        <f t="shared" si="84"/>
        <v>Neutral</v>
      </c>
      <c r="X228">
        <f>survey_responses[[#This Row],[Tôi tin rằng Nhà nước, cơ quan thuế có đủ khả năng và công nghệ để phát hiện, xử lý nghiêm các hành vi trốn thuế. - HUMAN-ENF2]]</f>
        <v>6</v>
      </c>
      <c r="Y228" t="str">
        <f t="shared" si="85"/>
        <v>Neutral</v>
      </c>
      <c r="Z228" s="32">
        <f t="shared" si="86"/>
        <v>1</v>
      </c>
      <c r="AA228">
        <f>step3_validation[[#This Row],[AI_FAC1]]</f>
        <v>9</v>
      </c>
      <c r="AB228" t="str">
        <f t="shared" si="87"/>
        <v>Support</v>
      </c>
      <c r="AC228">
        <f>survey_responses[[#This Row],[Các thủ tục khai báo thuế VÀ/HOẶC quy trình làm việc với cơ quan thuế đơn giản, tiện lợi, nhanh chóng hơn so với trước đây. - HUMAN-FAC1]]</f>
        <v>6</v>
      </c>
      <c r="AD228" t="str">
        <f t="shared" si="88"/>
        <v>Neutral</v>
      </c>
      <c r="AE228" s="32">
        <f t="shared" si="89"/>
        <v>3</v>
      </c>
      <c r="AF228">
        <f>step3_validation[[#This Row],[AI_FAC2]]</f>
        <v>8</v>
      </c>
      <c r="AG228" t="str">
        <f t="shared" si="90"/>
        <v>Support</v>
      </c>
      <c r="AH228">
        <f>survey_responses[[#This Row],[So với trước đây, tôi thấy cách tính thuế và các bậc thuế trong phương án mới đơn giản, dễ hiểu và dễ thực hiện hơn. - HUMAN-FAC2]]</f>
        <v>6</v>
      </c>
      <c r="AI228" t="str">
        <f t="shared" si="91"/>
        <v>Neutral</v>
      </c>
      <c r="AJ228" s="32">
        <f t="shared" si="92"/>
        <v>2</v>
      </c>
      <c r="AK228">
        <f>step3_validation[[#This Row],[AI_TRU1]]</f>
        <v>7</v>
      </c>
      <c r="AL228" t="str">
        <f t="shared" si="93"/>
        <v>Neutral</v>
      </c>
      <c r="AM228">
        <f>survey_responses[[#This Row],[Tôi tin rằng Nhà nước, cơ quan thuế sẽ thực thi chính sách mới một cách khách quan, công tâm và đối xử bình đẳng với mọi người nộp thuế.  - HUMAN-TRU1]]</f>
        <v>6</v>
      </c>
      <c r="AN228" t="str">
        <f t="shared" si="94"/>
        <v>Neutral</v>
      </c>
      <c r="AO228" s="32">
        <f t="shared" si="95"/>
        <v>1</v>
      </c>
      <c r="AP228">
        <f>step3_validation[[#This Row],[AI_TRU2]]</f>
        <v>8</v>
      </c>
      <c r="AQ228" t="str">
        <f t="shared" si="96"/>
        <v>Support</v>
      </c>
      <c r="AR228">
        <f>survey_responses[[#This Row],[Tôi thấy mức thuế tôi phải đóng theo phương án mới là công bằng (người thu nhập như tôi đóng mức này là hợp lý). - HUMAN-TRU2]]</f>
        <v>6</v>
      </c>
      <c r="AS228" t="str">
        <f t="shared" si="97"/>
        <v>Neutral</v>
      </c>
      <c r="AT228" s="32">
        <f t="shared" si="98"/>
        <v>2</v>
      </c>
      <c r="AU228">
        <f>step3_validation[[#This Row],[AI_TRU3]]</f>
        <v>7</v>
      </c>
      <c r="AV228" t="str">
        <f t="shared" si="99"/>
        <v>Neutral</v>
      </c>
      <c r="AW228">
        <f>survey_responses[[#This Row],[Tôi tin tưởng số tiền thuế tôi đóng sẽ được Nhà nước sử dụng hiệu quả để cải thiện dịch vụ công (y tế, đường xá...). - HUMAN-TRU3]]</f>
        <v>6</v>
      </c>
      <c r="AX228" t="str">
        <f t="shared" si="100"/>
        <v>Neutral</v>
      </c>
      <c r="AY228" s="32">
        <f t="shared" si="101"/>
        <v>1</v>
      </c>
      <c r="AZ228">
        <f>step3_validation[[#This Row],[AI_TRU4]]</f>
        <v>8</v>
      </c>
      <c r="BA228" t="str">
        <f t="shared" si="102"/>
        <v>Support</v>
      </c>
      <c r="BB228">
        <f>survey_responses[[#This Row],[Tôi thấy Nhà nước đã giải thích rõ ràng, minh bạch về lý do và mục tiêu của việc sửa đổi thuế lần này. - HUMAN-TRU4]]</f>
        <v>6</v>
      </c>
      <c r="BC228" t="str">
        <f t="shared" si="103"/>
        <v>Neutral</v>
      </c>
      <c r="BD228" s="32">
        <f t="shared" si="104"/>
        <v>2</v>
      </c>
      <c r="BE228">
        <f>step3_validation[[#This Row],[AI_OUT1]]</f>
        <v>9</v>
      </c>
      <c r="BF228" t="str">
        <f t="shared" si="105"/>
        <v>Support</v>
      </c>
      <c r="BG228">
        <f>survey_responses[[#This Row],[Sau khi xem xét các quyền lợi và nghĩa vụ, bạn có ủng hộ và tuân thủ chính sách mới hiện nay? - HUMAN-OUT1]]</f>
        <v>6</v>
      </c>
      <c r="BH228" t="str">
        <f t="shared" si="106"/>
        <v>Neutral</v>
      </c>
      <c r="BI228" s="32">
        <f t="shared" si="107"/>
        <v>3</v>
      </c>
    </row>
    <row r="229" spans="1:61" x14ac:dyDescent="0.45">
      <c r="A229" s="30">
        <f>step3_validation[[#This Row],[Persona_ID]]</f>
        <v>228</v>
      </c>
      <c r="B229" s="31">
        <f>step3_validation[[#This Row],[Used_Seed]]</f>
        <v>228</v>
      </c>
      <c r="C229" t="str">
        <f>step3_validation[[#This Row],[Gender]]</f>
        <v>Nữ</v>
      </c>
      <c r="D229" t="str">
        <f>survey_responses[[#This Row],[Giới tính của bạn:]]</f>
        <v>Nữ</v>
      </c>
      <c r="E229" t="str">
        <f>step3_validation[[#This Row],[Age_Group]]</f>
        <v>25 - 29</v>
      </c>
      <c r="F229" t="str">
        <f>survey_responses[[#This Row],[Độ tuổi của bạn:]]</f>
        <v>25 - 29</v>
      </c>
      <c r="G229" t="str">
        <f>step3_validation[[#This Row],[Region]]</f>
        <v>Thành thị</v>
      </c>
      <c r="H229" t="str">
        <f>survey_responses[[#This Row],[Khu vực bạn đang sinh sống:]]</f>
        <v>Thành thị</v>
      </c>
      <c r="I229" t="str">
        <f>step3_validation[[#This Row],[Education]]</f>
        <v>Đại học</v>
      </c>
      <c r="J229" t="str">
        <f>survey_responses[[#This Row],[Trình độ học vấn cao nhất:]]</f>
        <v>Đại học</v>
      </c>
      <c r="K229" t="str">
        <f>step3_validation[[#This Row],[Employment]]</f>
        <v>Chính thức</v>
      </c>
      <c r="L229" t="str">
        <f>survey_responses[[#This Row],[Tình trạng việc làm chính:]]</f>
        <v>Khu vực chính thức (Có Hợp đồng lao động, đóng BHXH)</v>
      </c>
      <c r="M229">
        <f>step3_validation[[#This Row],[Income_Mil]]</f>
        <v>20.6456373833669</v>
      </c>
      <c r="N229" t="str">
        <f>survey_responses[[#This Row],[Thu nhập bình quân tháng theo Hợp đồng lao động của bạn là bao nhiêu? (Vui lòng điền tổng thu nhập trước khi khấu trừ các loại Bảo hiểm (BHXH, BHYT, BHTN) và Thuế TNCN)]]</f>
        <v>Từ 18 - 23 triệu VNĐ</v>
      </c>
      <c r="O229">
        <f>step3_validation[[#This Row],[Dependents]]</f>
        <v>2</v>
      </c>
      <c r="P229" t="str">
        <f>survey_responses[[#This Row],[Số người phụ thuộc (con nhỏ, cha mẹ già...) đủ điều kiện giảm trừ gia cảnh:]]</f>
        <v>2 người</v>
      </c>
      <c r="Q229">
        <f>step3_validation[[#This Row],[AI_ENF1]]</f>
        <v>8</v>
      </c>
      <c r="R229" t="str">
        <f t="shared" si="81"/>
        <v>Support</v>
      </c>
      <c r="S229">
        <f>survey_responses[[#This Row],[Tôi tin rằng với các quy định quản lý thuế hiện nay, hành vi gian lận hoặc trốn thuế sẽ dễ dàng bị phát hiện và xử lý nghiêm. - HUMAN-ENF1]]</f>
        <v>8</v>
      </c>
      <c r="T229" t="str">
        <f t="shared" si="82"/>
        <v>Support</v>
      </c>
      <c r="U229" s="32">
        <f t="shared" si="83"/>
        <v>0</v>
      </c>
      <c r="V229">
        <f>step3_validation[[#This Row],[AI_ENF2]]</f>
        <v>7</v>
      </c>
      <c r="W229" t="str">
        <f t="shared" si="84"/>
        <v>Neutral</v>
      </c>
      <c r="X229">
        <f>survey_responses[[#This Row],[Tôi tin rằng Nhà nước, cơ quan thuế có đủ khả năng và công nghệ để phát hiện, xử lý nghiêm các hành vi trốn thuế. - HUMAN-ENF2]]</f>
        <v>9</v>
      </c>
      <c r="Y229" t="str">
        <f t="shared" si="85"/>
        <v>Support</v>
      </c>
      <c r="Z229" s="32">
        <f t="shared" si="86"/>
        <v>2</v>
      </c>
      <c r="AA229">
        <f>step3_validation[[#This Row],[AI_FAC1]]</f>
        <v>9</v>
      </c>
      <c r="AB229" t="str">
        <f t="shared" si="87"/>
        <v>Support</v>
      </c>
      <c r="AC229">
        <f>survey_responses[[#This Row],[Các thủ tục khai báo thuế VÀ/HOẶC quy trình làm việc với cơ quan thuế đơn giản, tiện lợi, nhanh chóng hơn so với trước đây. - HUMAN-FAC1]]</f>
        <v>7</v>
      </c>
      <c r="AD229" t="str">
        <f t="shared" si="88"/>
        <v>Neutral</v>
      </c>
      <c r="AE229" s="32">
        <f t="shared" si="89"/>
        <v>2</v>
      </c>
      <c r="AF229">
        <f>step3_validation[[#This Row],[AI_FAC2]]</f>
        <v>10</v>
      </c>
      <c r="AG229" t="str">
        <f t="shared" si="90"/>
        <v>Support</v>
      </c>
      <c r="AH229">
        <f>survey_responses[[#This Row],[So với trước đây, tôi thấy cách tính thuế và các bậc thuế trong phương án mới đơn giản, dễ hiểu và dễ thực hiện hơn. - HUMAN-FAC2]]</f>
        <v>8</v>
      </c>
      <c r="AI229" t="str">
        <f t="shared" si="91"/>
        <v>Support</v>
      </c>
      <c r="AJ229" s="32">
        <f t="shared" si="92"/>
        <v>2</v>
      </c>
      <c r="AK229">
        <f>step3_validation[[#This Row],[AI_TRU1]]</f>
        <v>9</v>
      </c>
      <c r="AL229" t="str">
        <f t="shared" si="93"/>
        <v>Support</v>
      </c>
      <c r="AM229">
        <f>survey_responses[[#This Row],[Tôi tin rằng Nhà nước, cơ quan thuế sẽ thực thi chính sách mới một cách khách quan, công tâm và đối xử bình đẳng với mọi người nộp thuế.  - HUMAN-TRU1]]</f>
        <v>9</v>
      </c>
      <c r="AN229" t="str">
        <f t="shared" si="94"/>
        <v>Support</v>
      </c>
      <c r="AO229" s="32">
        <f t="shared" si="95"/>
        <v>0</v>
      </c>
      <c r="AP229">
        <f>step3_validation[[#This Row],[AI_TRU2]]</f>
        <v>10</v>
      </c>
      <c r="AQ229" t="str">
        <f t="shared" si="96"/>
        <v>Support</v>
      </c>
      <c r="AR229">
        <f>survey_responses[[#This Row],[Tôi thấy mức thuế tôi phải đóng theo phương án mới là công bằng (người thu nhập như tôi đóng mức này là hợp lý). - HUMAN-TRU2]]</f>
        <v>8</v>
      </c>
      <c r="AS229" t="str">
        <f t="shared" si="97"/>
        <v>Support</v>
      </c>
      <c r="AT229" s="32">
        <f t="shared" si="98"/>
        <v>2</v>
      </c>
      <c r="AU229">
        <f>step3_validation[[#This Row],[AI_TRU3]]</f>
        <v>9</v>
      </c>
      <c r="AV229" t="str">
        <f t="shared" si="99"/>
        <v>Support</v>
      </c>
      <c r="AW229">
        <f>survey_responses[[#This Row],[Tôi tin tưởng số tiền thuế tôi đóng sẽ được Nhà nước sử dụng hiệu quả để cải thiện dịch vụ công (y tế, đường xá...). - HUMAN-TRU3]]</f>
        <v>8</v>
      </c>
      <c r="AX229" t="str">
        <f t="shared" si="100"/>
        <v>Support</v>
      </c>
      <c r="AY229" s="32">
        <f t="shared" si="101"/>
        <v>1</v>
      </c>
      <c r="AZ229">
        <f>step3_validation[[#This Row],[AI_TRU4]]</f>
        <v>8</v>
      </c>
      <c r="BA229" t="str">
        <f t="shared" si="102"/>
        <v>Support</v>
      </c>
      <c r="BB229">
        <f>survey_responses[[#This Row],[Tôi thấy Nhà nước đã giải thích rõ ràng, minh bạch về lý do và mục tiêu của việc sửa đổi thuế lần này. - HUMAN-TRU4]]</f>
        <v>8</v>
      </c>
      <c r="BC229" t="str">
        <f t="shared" si="103"/>
        <v>Support</v>
      </c>
      <c r="BD229" s="32">
        <f t="shared" si="104"/>
        <v>0</v>
      </c>
      <c r="BE229">
        <f>step3_validation[[#This Row],[AI_OUT1]]</f>
        <v>9</v>
      </c>
      <c r="BF229" t="str">
        <f t="shared" si="105"/>
        <v>Support</v>
      </c>
      <c r="BG229">
        <f>survey_responses[[#This Row],[Sau khi xem xét các quyền lợi và nghĩa vụ, bạn có ủng hộ và tuân thủ chính sách mới hiện nay? - HUMAN-OUT1]]</f>
        <v>8</v>
      </c>
      <c r="BH229" t="str">
        <f t="shared" si="106"/>
        <v>Support</v>
      </c>
      <c r="BI229" s="32">
        <f t="shared" si="107"/>
        <v>1</v>
      </c>
    </row>
    <row r="230" spans="1:61" x14ac:dyDescent="0.45">
      <c r="A230" s="30">
        <f>step3_validation[[#This Row],[Persona_ID]]</f>
        <v>229</v>
      </c>
      <c r="B230" s="31">
        <f>step3_validation[[#This Row],[Used_Seed]]</f>
        <v>229</v>
      </c>
      <c r="C230" t="str">
        <f>step3_validation[[#This Row],[Gender]]</f>
        <v>Nữ</v>
      </c>
      <c r="D230" t="str">
        <f>survey_responses[[#This Row],[Giới tính của bạn:]]</f>
        <v>Nữ</v>
      </c>
      <c r="E230" t="str">
        <f>step3_validation[[#This Row],[Age_Group]]</f>
        <v>30 - 39</v>
      </c>
      <c r="F230" t="str">
        <f>survey_responses[[#This Row],[Độ tuổi của bạn:]]</f>
        <v>30 - 39</v>
      </c>
      <c r="G230" t="str">
        <f>step3_validation[[#This Row],[Region]]</f>
        <v>Thành thị</v>
      </c>
      <c r="H230" t="str">
        <f>survey_responses[[#This Row],[Khu vực bạn đang sinh sống:]]</f>
        <v>Thành thị</v>
      </c>
      <c r="I230" t="str">
        <f>step3_validation[[#This Row],[Education]]</f>
        <v>Đại học</v>
      </c>
      <c r="J230" t="str">
        <f>survey_responses[[#This Row],[Trình độ học vấn cao nhất:]]</f>
        <v>Đại học</v>
      </c>
      <c r="K230" t="str">
        <f>step3_validation[[#This Row],[Employment]]</f>
        <v>Chính thức</v>
      </c>
      <c r="L230" t="str">
        <f>survey_responses[[#This Row],[Tình trạng việc làm chính:]]</f>
        <v>Khu vực chính thức (Có Hợp đồng lao động, đóng BHXH)</v>
      </c>
      <c r="M230">
        <f>step3_validation[[#This Row],[Income_Mil]]</f>
        <v>66.507290492829924</v>
      </c>
      <c r="N230" t="str">
        <f>survey_responses[[#This Row],[Thu nhập bình quân tháng theo Hợp đồng lao động của bạn là bao nhiêu? (Vui lòng điền tổng thu nhập trước khi khấu trừ các loại Bảo hiểm (BHXH, BHYT, BHTN) và Thuế TNCN)]]</f>
        <v>Từ 48 - 70 triệu VNĐ</v>
      </c>
      <c r="O230">
        <f>step3_validation[[#This Row],[Dependents]]</f>
        <v>2</v>
      </c>
      <c r="P230" t="str">
        <f>survey_responses[[#This Row],[Số người phụ thuộc (con nhỏ, cha mẹ già...) đủ điều kiện giảm trừ gia cảnh:]]</f>
        <v>2 người</v>
      </c>
      <c r="Q230">
        <f>step3_validation[[#This Row],[AI_ENF1]]</f>
        <v>9</v>
      </c>
      <c r="R230" t="str">
        <f t="shared" si="81"/>
        <v>Support</v>
      </c>
      <c r="S230">
        <f>survey_responses[[#This Row],[Tôi tin rằng với các quy định quản lý thuế hiện nay, hành vi gian lận hoặc trốn thuế sẽ dễ dàng bị phát hiện và xử lý nghiêm. - HUMAN-ENF1]]</f>
        <v>6</v>
      </c>
      <c r="T230" t="str">
        <f t="shared" si="82"/>
        <v>Neutral</v>
      </c>
      <c r="U230" s="32">
        <f t="shared" si="83"/>
        <v>3</v>
      </c>
      <c r="V230">
        <f>step3_validation[[#This Row],[AI_ENF2]]</f>
        <v>8</v>
      </c>
      <c r="W230" t="str">
        <f t="shared" si="84"/>
        <v>Support</v>
      </c>
      <c r="X230">
        <f>survey_responses[[#This Row],[Tôi tin rằng Nhà nước, cơ quan thuế có đủ khả năng và công nghệ để phát hiện, xử lý nghiêm các hành vi trốn thuế. - HUMAN-ENF2]]</f>
        <v>6</v>
      </c>
      <c r="Y230" t="str">
        <f t="shared" si="85"/>
        <v>Neutral</v>
      </c>
      <c r="Z230" s="32">
        <f t="shared" si="86"/>
        <v>2</v>
      </c>
      <c r="AA230">
        <f>step3_validation[[#This Row],[AI_FAC1]]</f>
        <v>9</v>
      </c>
      <c r="AB230" t="str">
        <f t="shared" si="87"/>
        <v>Support</v>
      </c>
      <c r="AC230">
        <f>survey_responses[[#This Row],[Các thủ tục khai báo thuế VÀ/HOẶC quy trình làm việc với cơ quan thuế đơn giản, tiện lợi, nhanh chóng hơn so với trước đây. - HUMAN-FAC1]]</f>
        <v>6</v>
      </c>
      <c r="AD230" t="str">
        <f t="shared" si="88"/>
        <v>Neutral</v>
      </c>
      <c r="AE230" s="32">
        <f t="shared" si="89"/>
        <v>3</v>
      </c>
      <c r="AF230">
        <f>step3_validation[[#This Row],[AI_FAC2]]</f>
        <v>8</v>
      </c>
      <c r="AG230" t="str">
        <f t="shared" si="90"/>
        <v>Support</v>
      </c>
      <c r="AH230">
        <f>survey_responses[[#This Row],[So với trước đây, tôi thấy cách tính thuế và các bậc thuế trong phương án mới đơn giản, dễ hiểu và dễ thực hiện hơn. - HUMAN-FAC2]]</f>
        <v>6</v>
      </c>
      <c r="AI230" t="str">
        <f t="shared" si="91"/>
        <v>Neutral</v>
      </c>
      <c r="AJ230" s="32">
        <f t="shared" si="92"/>
        <v>2</v>
      </c>
      <c r="AK230">
        <f>step3_validation[[#This Row],[AI_TRU1]]</f>
        <v>9</v>
      </c>
      <c r="AL230" t="str">
        <f t="shared" si="93"/>
        <v>Support</v>
      </c>
      <c r="AM230">
        <f>survey_responses[[#This Row],[Tôi tin rằng Nhà nước, cơ quan thuế sẽ thực thi chính sách mới một cách khách quan, công tâm và đối xử bình đẳng với mọi người nộp thuế.  - HUMAN-TRU1]]</f>
        <v>6</v>
      </c>
      <c r="AN230" t="str">
        <f t="shared" si="94"/>
        <v>Neutral</v>
      </c>
      <c r="AO230" s="32">
        <f t="shared" si="95"/>
        <v>3</v>
      </c>
      <c r="AP230">
        <f>step3_validation[[#This Row],[AI_TRU2]]</f>
        <v>8</v>
      </c>
      <c r="AQ230" t="str">
        <f t="shared" si="96"/>
        <v>Support</v>
      </c>
      <c r="AR230">
        <f>survey_responses[[#This Row],[Tôi thấy mức thuế tôi phải đóng theo phương án mới là công bằng (người thu nhập như tôi đóng mức này là hợp lý). - HUMAN-TRU2]]</f>
        <v>7</v>
      </c>
      <c r="AS230" t="str">
        <f t="shared" si="97"/>
        <v>Neutral</v>
      </c>
      <c r="AT230" s="32">
        <f t="shared" si="98"/>
        <v>1</v>
      </c>
      <c r="AU230">
        <f>step3_validation[[#This Row],[AI_TRU3]]</f>
        <v>9</v>
      </c>
      <c r="AV230" t="str">
        <f t="shared" si="99"/>
        <v>Support</v>
      </c>
      <c r="AW230">
        <f>survey_responses[[#This Row],[Tôi tin tưởng số tiền thuế tôi đóng sẽ được Nhà nước sử dụng hiệu quả để cải thiện dịch vụ công (y tế, đường xá...). - HUMAN-TRU3]]</f>
        <v>6</v>
      </c>
      <c r="AX230" t="str">
        <f t="shared" si="100"/>
        <v>Neutral</v>
      </c>
      <c r="AY230" s="32">
        <f t="shared" si="101"/>
        <v>3</v>
      </c>
      <c r="AZ230">
        <f>step3_validation[[#This Row],[AI_TRU4]]</f>
        <v>8</v>
      </c>
      <c r="BA230" t="str">
        <f t="shared" si="102"/>
        <v>Support</v>
      </c>
      <c r="BB230">
        <f>survey_responses[[#This Row],[Tôi thấy Nhà nước đã giải thích rõ ràng, minh bạch về lý do và mục tiêu của việc sửa đổi thuế lần này. - HUMAN-TRU4]]</f>
        <v>6</v>
      </c>
      <c r="BC230" t="str">
        <f t="shared" si="103"/>
        <v>Neutral</v>
      </c>
      <c r="BD230" s="32">
        <f t="shared" si="104"/>
        <v>2</v>
      </c>
      <c r="BE230">
        <f>step3_validation[[#This Row],[AI_OUT1]]</f>
        <v>9</v>
      </c>
      <c r="BF230" t="str">
        <f t="shared" si="105"/>
        <v>Support</v>
      </c>
      <c r="BG230">
        <f>survey_responses[[#This Row],[Sau khi xem xét các quyền lợi và nghĩa vụ, bạn có ủng hộ và tuân thủ chính sách mới hiện nay? - HUMAN-OUT1]]</f>
        <v>7</v>
      </c>
      <c r="BH230" t="str">
        <f t="shared" si="106"/>
        <v>Neutral</v>
      </c>
      <c r="BI230" s="32">
        <f t="shared" si="107"/>
        <v>2</v>
      </c>
    </row>
    <row r="231" spans="1:61" x14ac:dyDescent="0.45">
      <c r="A231" s="30">
        <f>step3_validation[[#This Row],[Persona_ID]]</f>
        <v>230</v>
      </c>
      <c r="B231" s="31">
        <f>step3_validation[[#This Row],[Used_Seed]]</f>
        <v>230</v>
      </c>
      <c r="C231" t="str">
        <f>step3_validation[[#This Row],[Gender]]</f>
        <v>Nữ</v>
      </c>
      <c r="D231" t="str">
        <f>survey_responses[[#This Row],[Giới tính của bạn:]]</f>
        <v>Nữ</v>
      </c>
      <c r="E231" t="str">
        <f>step3_validation[[#This Row],[Age_Group]]</f>
        <v>40 - 49</v>
      </c>
      <c r="F231" t="str">
        <f>survey_responses[[#This Row],[Độ tuổi của bạn:]]</f>
        <v>40 - 49</v>
      </c>
      <c r="G231" t="str">
        <f>step3_validation[[#This Row],[Region]]</f>
        <v>Thành thị</v>
      </c>
      <c r="H231" t="str">
        <f>survey_responses[[#This Row],[Khu vực bạn đang sinh sống:]]</f>
        <v>Thành thị</v>
      </c>
      <c r="I231" t="str">
        <f>step3_validation[[#This Row],[Education]]</f>
        <v>Sau Đại học</v>
      </c>
      <c r="J231" t="str">
        <f>survey_responses[[#This Row],[Trình độ học vấn cao nhất:]]</f>
        <v>Sau Đại học</v>
      </c>
      <c r="K231" t="str">
        <f>step3_validation[[#This Row],[Employment]]</f>
        <v>Chính thức</v>
      </c>
      <c r="L231" t="str">
        <f>survey_responses[[#This Row],[Tình trạng việc làm chính:]]</f>
        <v>Khu vực chính thức (Có Hợp đồng lao động, đóng BHXH)</v>
      </c>
      <c r="M231">
        <f>step3_validation[[#This Row],[Income_Mil]]</f>
        <v>70.256058518416509</v>
      </c>
      <c r="N231" t="str">
        <f>survey_responses[[#This Row],[Thu nhập bình quân tháng theo Hợp đồng lao động của bạn là bao nhiêu? (Vui lòng điền tổng thu nhập trước khi khấu trừ các loại Bảo hiểm (BHXH, BHYT, BHTN) và Thuế TNCN)]]</f>
        <v>Từ 70 - 102 triệu VNĐ</v>
      </c>
      <c r="O231">
        <f>step3_validation[[#This Row],[Dependents]]</f>
        <v>4</v>
      </c>
      <c r="P231" t="str">
        <f>survey_responses[[#This Row],[Số người phụ thuộc (con nhỏ, cha mẹ già...) đủ điều kiện giảm trừ gia cảnh:]]</f>
        <v>4 người trở lên</v>
      </c>
      <c r="Q231">
        <f>step3_validation[[#This Row],[AI_ENF1]]</f>
        <v>7</v>
      </c>
      <c r="R231" t="str">
        <f t="shared" si="81"/>
        <v>Neutral</v>
      </c>
      <c r="S231">
        <f>survey_responses[[#This Row],[Tôi tin rằng với các quy định quản lý thuế hiện nay, hành vi gian lận hoặc trốn thuế sẽ dễ dàng bị phát hiện và xử lý nghiêm. - HUMAN-ENF1]]</f>
        <v>4</v>
      </c>
      <c r="T231" t="str">
        <f t="shared" si="82"/>
        <v>Oppose</v>
      </c>
      <c r="U231" s="32">
        <f t="shared" si="83"/>
        <v>3</v>
      </c>
      <c r="V231">
        <f>step3_validation[[#This Row],[AI_ENF2]]</f>
        <v>8</v>
      </c>
      <c r="W231" t="str">
        <f t="shared" si="84"/>
        <v>Support</v>
      </c>
      <c r="X231">
        <f>survey_responses[[#This Row],[Tôi tin rằng Nhà nước, cơ quan thuế có đủ khả năng và công nghệ để phát hiện, xử lý nghiêm các hành vi trốn thuế. - HUMAN-ENF2]]</f>
        <v>5</v>
      </c>
      <c r="Y231" t="str">
        <f t="shared" si="85"/>
        <v>Neutral</v>
      </c>
      <c r="Z231" s="32">
        <f t="shared" si="86"/>
        <v>3</v>
      </c>
      <c r="AA231">
        <f>step3_validation[[#This Row],[AI_FAC1]]</f>
        <v>9</v>
      </c>
      <c r="AB231" t="str">
        <f t="shared" si="87"/>
        <v>Support</v>
      </c>
      <c r="AC231">
        <f>survey_responses[[#This Row],[Các thủ tục khai báo thuế VÀ/HOẶC quy trình làm việc với cơ quan thuế đơn giản, tiện lợi, nhanh chóng hơn so với trước đây. - HUMAN-FAC1]]</f>
        <v>1</v>
      </c>
      <c r="AD231" t="str">
        <f t="shared" si="88"/>
        <v>Oppose</v>
      </c>
      <c r="AE231" s="32">
        <f t="shared" si="89"/>
        <v>8</v>
      </c>
      <c r="AF231">
        <f>step3_validation[[#This Row],[AI_FAC2]]</f>
        <v>8</v>
      </c>
      <c r="AG231" t="str">
        <f t="shared" si="90"/>
        <v>Support</v>
      </c>
      <c r="AH231">
        <f>survey_responses[[#This Row],[So với trước đây, tôi thấy cách tính thuế và các bậc thuế trong phương án mới đơn giản, dễ hiểu và dễ thực hiện hơn. - HUMAN-FAC2]]</f>
        <v>6</v>
      </c>
      <c r="AI231" t="str">
        <f t="shared" si="91"/>
        <v>Neutral</v>
      </c>
      <c r="AJ231" s="32">
        <f t="shared" si="92"/>
        <v>2</v>
      </c>
      <c r="AK231">
        <f>step3_validation[[#This Row],[AI_TRU1]]</f>
        <v>7</v>
      </c>
      <c r="AL231" t="str">
        <f t="shared" si="93"/>
        <v>Neutral</v>
      </c>
      <c r="AM231">
        <f>survey_responses[[#This Row],[Tôi tin rằng Nhà nước, cơ quan thuế sẽ thực thi chính sách mới một cách khách quan, công tâm và đối xử bình đẳng với mọi người nộp thuế.  - HUMAN-TRU1]]</f>
        <v>4</v>
      </c>
      <c r="AN231" t="str">
        <f t="shared" si="94"/>
        <v>Oppose</v>
      </c>
      <c r="AO231" s="32">
        <f t="shared" si="95"/>
        <v>3</v>
      </c>
      <c r="AP231">
        <f>step3_validation[[#This Row],[AI_TRU2]]</f>
        <v>9</v>
      </c>
      <c r="AQ231" t="str">
        <f t="shared" si="96"/>
        <v>Support</v>
      </c>
      <c r="AR231">
        <f>survey_responses[[#This Row],[Tôi thấy mức thuế tôi phải đóng theo phương án mới là công bằng (người thu nhập như tôi đóng mức này là hợp lý). - HUMAN-TRU2]]</f>
        <v>4</v>
      </c>
      <c r="AS231" t="str">
        <f t="shared" si="97"/>
        <v>Oppose</v>
      </c>
      <c r="AT231" s="32">
        <f t="shared" si="98"/>
        <v>5</v>
      </c>
      <c r="AU231">
        <f>step3_validation[[#This Row],[AI_TRU3]]</f>
        <v>8</v>
      </c>
      <c r="AV231" t="str">
        <f t="shared" si="99"/>
        <v>Support</v>
      </c>
      <c r="AW231">
        <f>survey_responses[[#This Row],[Tôi tin tưởng số tiền thuế tôi đóng sẽ được Nhà nước sử dụng hiệu quả để cải thiện dịch vụ công (y tế, đường xá...). - HUMAN-TRU3]]</f>
        <v>5</v>
      </c>
      <c r="AX231" t="str">
        <f t="shared" si="100"/>
        <v>Neutral</v>
      </c>
      <c r="AY231" s="32">
        <f t="shared" si="101"/>
        <v>3</v>
      </c>
      <c r="AZ231">
        <f>step3_validation[[#This Row],[AI_TRU4]]</f>
        <v>6</v>
      </c>
      <c r="BA231" t="str">
        <f t="shared" si="102"/>
        <v>Neutral</v>
      </c>
      <c r="BB231">
        <f>survey_responses[[#This Row],[Tôi thấy Nhà nước đã giải thích rõ ràng, minh bạch về lý do và mục tiêu của việc sửa đổi thuế lần này. - HUMAN-TRU4]]</f>
        <v>5</v>
      </c>
      <c r="BC231" t="str">
        <f t="shared" si="103"/>
        <v>Neutral</v>
      </c>
      <c r="BD231" s="32">
        <f t="shared" si="104"/>
        <v>1</v>
      </c>
      <c r="BE231">
        <f>step3_validation[[#This Row],[AI_OUT1]]</f>
        <v>9</v>
      </c>
      <c r="BF231" t="str">
        <f t="shared" si="105"/>
        <v>Support</v>
      </c>
      <c r="BG231">
        <f>survey_responses[[#This Row],[Sau khi xem xét các quyền lợi và nghĩa vụ, bạn có ủng hộ và tuân thủ chính sách mới hiện nay? - HUMAN-OUT1]]</f>
        <v>5</v>
      </c>
      <c r="BH231" t="str">
        <f t="shared" si="106"/>
        <v>Neutral</v>
      </c>
      <c r="BI231" s="32">
        <f t="shared" si="107"/>
        <v>4</v>
      </c>
    </row>
    <row r="232" spans="1:61" x14ac:dyDescent="0.45">
      <c r="A232" s="30">
        <f>step3_validation[[#This Row],[Persona_ID]]</f>
        <v>231</v>
      </c>
      <c r="B232" s="31">
        <f>step3_validation[[#This Row],[Used_Seed]]</f>
        <v>231</v>
      </c>
      <c r="C232" t="str">
        <f>step3_validation[[#This Row],[Gender]]</f>
        <v>Nam</v>
      </c>
      <c r="D232" t="str">
        <f>survey_responses[[#This Row],[Giới tính của bạn:]]</f>
        <v>Nam</v>
      </c>
      <c r="E232" t="str">
        <f>step3_validation[[#This Row],[Age_Group]]</f>
        <v>55 - 64</v>
      </c>
      <c r="F232" t="str">
        <f>survey_responses[[#This Row],[Độ tuổi của bạn:]]</f>
        <v>55 - 64</v>
      </c>
      <c r="G232" t="str">
        <f>step3_validation[[#This Row],[Region]]</f>
        <v>Thành thị</v>
      </c>
      <c r="H232" t="str">
        <f>survey_responses[[#This Row],[Khu vực bạn đang sinh sống:]]</f>
        <v>Thành thị</v>
      </c>
      <c r="I232" t="str">
        <f>step3_validation[[#This Row],[Education]]</f>
        <v>Sau Đại học</v>
      </c>
      <c r="J232" t="str">
        <f>survey_responses[[#This Row],[Trình độ học vấn cao nhất:]]</f>
        <v>Sau Đại học</v>
      </c>
      <c r="K232" t="str">
        <f>step3_validation[[#This Row],[Employment]]</f>
        <v>Chính thức</v>
      </c>
      <c r="L232" t="str">
        <f>survey_responses[[#This Row],[Tình trạng việc làm chính:]]</f>
        <v>Khu vực chính thức (Có Hợp đồng lao động, đóng BHXH)</v>
      </c>
      <c r="M232">
        <f>step3_validation[[#This Row],[Income_Mil]]</f>
        <v>183.06966084391595</v>
      </c>
      <c r="N232" t="str">
        <f>survey_responses[[#This Row],[Thu nhập bình quân tháng theo Hợp đồng lao động của bạn là bao nhiêu? (Vui lòng điền tổng thu nhập trước khi khấu trừ các loại Bảo hiểm (BHXH, BHYT, BHTN) và Thuế TNCN)]]</f>
        <v>Trên 102 triệu VNĐ</v>
      </c>
      <c r="O232">
        <f>step3_validation[[#This Row],[Dependents]]</f>
        <v>4</v>
      </c>
      <c r="P232" t="str">
        <f>survey_responses[[#This Row],[Số người phụ thuộc (con nhỏ, cha mẹ già...) đủ điều kiện giảm trừ gia cảnh:]]</f>
        <v>4 người trở lên</v>
      </c>
      <c r="Q232">
        <f>step3_validation[[#This Row],[AI_ENF1]]</f>
        <v>7</v>
      </c>
      <c r="R232" t="str">
        <f t="shared" si="81"/>
        <v>Neutral</v>
      </c>
      <c r="S232">
        <f>survey_responses[[#This Row],[Tôi tin rằng với các quy định quản lý thuế hiện nay, hành vi gian lận hoặc trốn thuế sẽ dễ dàng bị phát hiện và xử lý nghiêm. - HUMAN-ENF1]]</f>
        <v>8</v>
      </c>
      <c r="T232" t="str">
        <f t="shared" si="82"/>
        <v>Support</v>
      </c>
      <c r="U232" s="32">
        <f t="shared" si="83"/>
        <v>1</v>
      </c>
      <c r="V232">
        <f>step3_validation[[#This Row],[AI_ENF2]]</f>
        <v>7</v>
      </c>
      <c r="W232" t="str">
        <f t="shared" si="84"/>
        <v>Neutral</v>
      </c>
      <c r="X232">
        <f>survey_responses[[#This Row],[Tôi tin rằng Nhà nước, cơ quan thuế có đủ khả năng và công nghệ để phát hiện, xử lý nghiêm các hành vi trốn thuế. - HUMAN-ENF2]]</f>
        <v>8</v>
      </c>
      <c r="Y232" t="str">
        <f t="shared" si="85"/>
        <v>Support</v>
      </c>
      <c r="Z232" s="32">
        <f t="shared" si="86"/>
        <v>1</v>
      </c>
      <c r="AA232">
        <f>step3_validation[[#This Row],[AI_FAC1]]</f>
        <v>9</v>
      </c>
      <c r="AB232" t="str">
        <f t="shared" si="87"/>
        <v>Support</v>
      </c>
      <c r="AC232">
        <f>survey_responses[[#This Row],[Các thủ tục khai báo thuế VÀ/HOẶC quy trình làm việc với cơ quan thuế đơn giản, tiện lợi, nhanh chóng hơn so với trước đây. - HUMAN-FAC1]]</f>
        <v>8</v>
      </c>
      <c r="AD232" t="str">
        <f t="shared" si="88"/>
        <v>Support</v>
      </c>
      <c r="AE232" s="32">
        <f t="shared" si="89"/>
        <v>1</v>
      </c>
      <c r="AF232">
        <f>step3_validation[[#This Row],[AI_FAC2]]</f>
        <v>9</v>
      </c>
      <c r="AG232" t="str">
        <f t="shared" si="90"/>
        <v>Support</v>
      </c>
      <c r="AH232">
        <f>survey_responses[[#This Row],[So với trước đây, tôi thấy cách tính thuế và các bậc thuế trong phương án mới đơn giản, dễ hiểu và dễ thực hiện hơn. - HUMAN-FAC2]]</f>
        <v>8</v>
      </c>
      <c r="AI232" t="str">
        <f t="shared" si="91"/>
        <v>Support</v>
      </c>
      <c r="AJ232" s="32">
        <f t="shared" si="92"/>
        <v>1</v>
      </c>
      <c r="AK232">
        <f>step3_validation[[#This Row],[AI_TRU1]]</f>
        <v>8</v>
      </c>
      <c r="AL232" t="str">
        <f t="shared" si="93"/>
        <v>Support</v>
      </c>
      <c r="AM232">
        <f>survey_responses[[#This Row],[Tôi tin rằng Nhà nước, cơ quan thuế sẽ thực thi chính sách mới một cách khách quan, công tâm và đối xử bình đẳng với mọi người nộp thuế.  - HUMAN-TRU1]]</f>
        <v>7</v>
      </c>
      <c r="AN232" t="str">
        <f t="shared" si="94"/>
        <v>Neutral</v>
      </c>
      <c r="AO232" s="32">
        <f t="shared" si="95"/>
        <v>1</v>
      </c>
      <c r="AP232">
        <f>step3_validation[[#This Row],[AI_TRU2]]</f>
        <v>9</v>
      </c>
      <c r="AQ232" t="str">
        <f t="shared" si="96"/>
        <v>Support</v>
      </c>
      <c r="AR232">
        <f>survey_responses[[#This Row],[Tôi thấy mức thuế tôi phải đóng theo phương án mới là công bằng (người thu nhập như tôi đóng mức này là hợp lý). - HUMAN-TRU2]]</f>
        <v>7</v>
      </c>
      <c r="AS232" t="str">
        <f t="shared" si="97"/>
        <v>Neutral</v>
      </c>
      <c r="AT232" s="32">
        <f t="shared" si="98"/>
        <v>2</v>
      </c>
      <c r="AU232">
        <f>step3_validation[[#This Row],[AI_TRU3]]</f>
        <v>8</v>
      </c>
      <c r="AV232" t="str">
        <f t="shared" si="99"/>
        <v>Support</v>
      </c>
      <c r="AW232">
        <f>survey_responses[[#This Row],[Tôi tin tưởng số tiền thuế tôi đóng sẽ được Nhà nước sử dụng hiệu quả để cải thiện dịch vụ công (y tế, đường xá...). - HUMAN-TRU3]]</f>
        <v>8</v>
      </c>
      <c r="AX232" t="str">
        <f t="shared" si="100"/>
        <v>Support</v>
      </c>
      <c r="AY232" s="32">
        <f t="shared" si="101"/>
        <v>0</v>
      </c>
      <c r="AZ232">
        <f>step3_validation[[#This Row],[AI_TRU4]]</f>
        <v>7</v>
      </c>
      <c r="BA232" t="str">
        <f t="shared" si="102"/>
        <v>Neutral</v>
      </c>
      <c r="BB232">
        <f>survey_responses[[#This Row],[Tôi thấy Nhà nước đã giải thích rõ ràng, minh bạch về lý do và mục tiêu của việc sửa đổi thuế lần này. - HUMAN-TRU4]]</f>
        <v>7</v>
      </c>
      <c r="BC232" t="str">
        <f t="shared" si="103"/>
        <v>Neutral</v>
      </c>
      <c r="BD232" s="32">
        <f t="shared" si="104"/>
        <v>0</v>
      </c>
      <c r="BE232">
        <f>step3_validation[[#This Row],[AI_OUT1]]</f>
        <v>9</v>
      </c>
      <c r="BF232" t="str">
        <f t="shared" si="105"/>
        <v>Support</v>
      </c>
      <c r="BG232">
        <f>survey_responses[[#This Row],[Sau khi xem xét các quyền lợi và nghĩa vụ, bạn có ủng hộ và tuân thủ chính sách mới hiện nay? - HUMAN-OUT1]]</f>
        <v>8</v>
      </c>
      <c r="BH232" t="str">
        <f t="shared" si="106"/>
        <v>Support</v>
      </c>
      <c r="BI232" s="32">
        <f t="shared" si="107"/>
        <v>1</v>
      </c>
    </row>
    <row r="233" spans="1:61" x14ac:dyDescent="0.45">
      <c r="A233" s="30">
        <f>step3_validation[[#This Row],[Persona_ID]]</f>
        <v>232</v>
      </c>
      <c r="B233" s="31">
        <f>step3_validation[[#This Row],[Used_Seed]]</f>
        <v>232</v>
      </c>
      <c r="C233" t="str">
        <f>step3_validation[[#This Row],[Gender]]</f>
        <v>Nam</v>
      </c>
      <c r="D233" t="str">
        <f>survey_responses[[#This Row],[Giới tính của bạn:]]</f>
        <v>Nam</v>
      </c>
      <c r="E233" t="str">
        <f>step3_validation[[#This Row],[Age_Group]]</f>
        <v>30 - 39</v>
      </c>
      <c r="F233" t="str">
        <f>survey_responses[[#This Row],[Độ tuổi của bạn:]]</f>
        <v>30 - 39</v>
      </c>
      <c r="G233" t="str">
        <f>step3_validation[[#This Row],[Region]]</f>
        <v>Thành thị</v>
      </c>
      <c r="H233" t="str">
        <f>survey_responses[[#This Row],[Khu vực bạn đang sinh sống:]]</f>
        <v>Thành thị</v>
      </c>
      <c r="I233" t="str">
        <f>step3_validation[[#This Row],[Education]]</f>
        <v>Đại học</v>
      </c>
      <c r="J233" t="str">
        <f>survey_responses[[#This Row],[Trình độ học vấn cao nhất:]]</f>
        <v>Đại học</v>
      </c>
      <c r="K233" t="str">
        <f>step3_validation[[#This Row],[Employment]]</f>
        <v>Chính thức</v>
      </c>
      <c r="L233" t="str">
        <f>survey_responses[[#This Row],[Tình trạng việc làm chính:]]</f>
        <v>Khu vực chính thức (Có Hợp đồng lao động, đóng BHXH)</v>
      </c>
      <c r="M233">
        <f>step3_validation[[#This Row],[Income_Mil]]</f>
        <v>60.170666301539462</v>
      </c>
      <c r="N233" t="str">
        <f>survey_responses[[#This Row],[Thu nhập bình quân tháng theo Hợp đồng lao động của bạn là bao nhiêu? (Vui lòng điền tổng thu nhập trước khi khấu trừ các loại Bảo hiểm (BHXH, BHYT, BHTN) và Thuế TNCN)]]</f>
        <v>Từ 48 - 70 triệu VNĐ</v>
      </c>
      <c r="O233">
        <f>step3_validation[[#This Row],[Dependents]]</f>
        <v>2</v>
      </c>
      <c r="P233" t="str">
        <f>survey_responses[[#This Row],[Số người phụ thuộc (con nhỏ, cha mẹ già...) đủ điều kiện giảm trừ gia cảnh:]]</f>
        <v>2 người</v>
      </c>
      <c r="Q233">
        <f>step3_validation[[#This Row],[AI_ENF1]]</f>
        <v>7</v>
      </c>
      <c r="R233" t="str">
        <f t="shared" si="81"/>
        <v>Neutral</v>
      </c>
      <c r="S233">
        <f>survey_responses[[#This Row],[Tôi tin rằng với các quy định quản lý thuế hiện nay, hành vi gian lận hoặc trốn thuế sẽ dễ dàng bị phát hiện và xử lý nghiêm. - HUMAN-ENF1]]</f>
        <v>6</v>
      </c>
      <c r="T233" t="str">
        <f t="shared" si="82"/>
        <v>Neutral</v>
      </c>
      <c r="U233" s="32">
        <f t="shared" si="83"/>
        <v>1</v>
      </c>
      <c r="V233">
        <f>step3_validation[[#This Row],[AI_ENF2]]</f>
        <v>6</v>
      </c>
      <c r="W233" t="str">
        <f t="shared" si="84"/>
        <v>Neutral</v>
      </c>
      <c r="X233">
        <f>survey_responses[[#This Row],[Tôi tin rằng Nhà nước, cơ quan thuế có đủ khả năng và công nghệ để phát hiện, xử lý nghiêm các hành vi trốn thuế. - HUMAN-ENF2]]</f>
        <v>6</v>
      </c>
      <c r="Y233" t="str">
        <f t="shared" si="85"/>
        <v>Neutral</v>
      </c>
      <c r="Z233" s="32">
        <f t="shared" si="86"/>
        <v>0</v>
      </c>
      <c r="AA233">
        <f>step3_validation[[#This Row],[AI_FAC1]]</f>
        <v>9</v>
      </c>
      <c r="AB233" t="str">
        <f t="shared" si="87"/>
        <v>Support</v>
      </c>
      <c r="AC233">
        <f>survey_responses[[#This Row],[Các thủ tục khai báo thuế VÀ/HOẶC quy trình làm việc với cơ quan thuế đơn giản, tiện lợi, nhanh chóng hơn so với trước đây. - HUMAN-FAC1]]</f>
        <v>6</v>
      </c>
      <c r="AD233" t="str">
        <f t="shared" si="88"/>
        <v>Neutral</v>
      </c>
      <c r="AE233" s="32">
        <f t="shared" si="89"/>
        <v>3</v>
      </c>
      <c r="AF233">
        <f>step3_validation[[#This Row],[AI_FAC2]]</f>
        <v>8</v>
      </c>
      <c r="AG233" t="str">
        <f t="shared" si="90"/>
        <v>Support</v>
      </c>
      <c r="AH233">
        <f>survey_responses[[#This Row],[So với trước đây, tôi thấy cách tính thuế và các bậc thuế trong phương án mới đơn giản, dễ hiểu và dễ thực hiện hơn. - HUMAN-FAC2]]</f>
        <v>6</v>
      </c>
      <c r="AI233" t="str">
        <f t="shared" si="91"/>
        <v>Neutral</v>
      </c>
      <c r="AJ233" s="32">
        <f t="shared" si="92"/>
        <v>2</v>
      </c>
      <c r="AK233">
        <f>step3_validation[[#This Row],[AI_TRU1]]</f>
        <v>7</v>
      </c>
      <c r="AL233" t="str">
        <f t="shared" si="93"/>
        <v>Neutral</v>
      </c>
      <c r="AM233">
        <f>survey_responses[[#This Row],[Tôi tin rằng Nhà nước, cơ quan thuế sẽ thực thi chính sách mới một cách khách quan, công tâm và đối xử bình đẳng với mọi người nộp thuế.  - HUMAN-TRU1]]</f>
        <v>6</v>
      </c>
      <c r="AN233" t="str">
        <f t="shared" si="94"/>
        <v>Neutral</v>
      </c>
      <c r="AO233" s="32">
        <f t="shared" si="95"/>
        <v>1</v>
      </c>
      <c r="AP233">
        <f>step3_validation[[#This Row],[AI_TRU2]]</f>
        <v>9</v>
      </c>
      <c r="AQ233" t="str">
        <f t="shared" si="96"/>
        <v>Support</v>
      </c>
      <c r="AR233">
        <f>survey_responses[[#This Row],[Tôi thấy mức thuế tôi phải đóng theo phương án mới là công bằng (người thu nhập như tôi đóng mức này là hợp lý). - HUMAN-TRU2]]</f>
        <v>6</v>
      </c>
      <c r="AS233" t="str">
        <f t="shared" si="97"/>
        <v>Neutral</v>
      </c>
      <c r="AT233" s="32">
        <f t="shared" si="98"/>
        <v>3</v>
      </c>
      <c r="AU233">
        <f>step3_validation[[#This Row],[AI_TRU3]]</f>
        <v>7</v>
      </c>
      <c r="AV233" t="str">
        <f t="shared" si="99"/>
        <v>Neutral</v>
      </c>
      <c r="AW233">
        <f>survey_responses[[#This Row],[Tôi tin tưởng số tiền thuế tôi đóng sẽ được Nhà nước sử dụng hiệu quả để cải thiện dịch vụ công (y tế, đường xá...). - HUMAN-TRU3]]</f>
        <v>6</v>
      </c>
      <c r="AX233" t="str">
        <f t="shared" si="100"/>
        <v>Neutral</v>
      </c>
      <c r="AY233" s="32">
        <f t="shared" si="101"/>
        <v>1</v>
      </c>
      <c r="AZ233">
        <f>step3_validation[[#This Row],[AI_TRU4]]</f>
        <v>8</v>
      </c>
      <c r="BA233" t="str">
        <f t="shared" si="102"/>
        <v>Support</v>
      </c>
      <c r="BB233">
        <f>survey_responses[[#This Row],[Tôi thấy Nhà nước đã giải thích rõ ràng, minh bạch về lý do và mục tiêu của việc sửa đổi thuế lần này. - HUMAN-TRU4]]</f>
        <v>6</v>
      </c>
      <c r="BC233" t="str">
        <f t="shared" si="103"/>
        <v>Neutral</v>
      </c>
      <c r="BD233" s="32">
        <f t="shared" si="104"/>
        <v>2</v>
      </c>
      <c r="BE233">
        <f>step3_validation[[#This Row],[AI_OUT1]]</f>
        <v>9</v>
      </c>
      <c r="BF233" t="str">
        <f t="shared" si="105"/>
        <v>Support</v>
      </c>
      <c r="BG233">
        <f>survey_responses[[#This Row],[Sau khi xem xét các quyền lợi và nghĩa vụ, bạn có ủng hộ và tuân thủ chính sách mới hiện nay? - HUMAN-OUT1]]</f>
        <v>6</v>
      </c>
      <c r="BH233" t="str">
        <f t="shared" si="106"/>
        <v>Neutral</v>
      </c>
      <c r="BI233" s="32">
        <f t="shared" si="107"/>
        <v>3</v>
      </c>
    </row>
    <row r="234" spans="1:61" x14ac:dyDescent="0.45">
      <c r="A234" s="30">
        <f>step3_validation[[#This Row],[Persona_ID]]</f>
        <v>233</v>
      </c>
      <c r="B234" s="31">
        <f>step3_validation[[#This Row],[Used_Seed]]</f>
        <v>233</v>
      </c>
      <c r="C234" t="str">
        <f>step3_validation[[#This Row],[Gender]]</f>
        <v>Nữ</v>
      </c>
      <c r="D234" t="str">
        <f>survey_responses[[#This Row],[Giới tính của bạn:]]</f>
        <v>Nữ</v>
      </c>
      <c r="E234" t="str">
        <f>step3_validation[[#This Row],[Age_Group]]</f>
        <v>40 - 49</v>
      </c>
      <c r="F234" t="str">
        <f>survey_responses[[#This Row],[Độ tuổi của bạn:]]</f>
        <v>40 - 49</v>
      </c>
      <c r="G234" t="str">
        <f>step3_validation[[#This Row],[Region]]</f>
        <v>Thành thị</v>
      </c>
      <c r="H234" t="str">
        <f>survey_responses[[#This Row],[Khu vực bạn đang sinh sống:]]</f>
        <v>Thành thị</v>
      </c>
      <c r="I234" t="str">
        <f>step3_validation[[#This Row],[Education]]</f>
        <v>Đại học</v>
      </c>
      <c r="J234" t="str">
        <f>survey_responses[[#This Row],[Trình độ học vấn cao nhất:]]</f>
        <v>Đại học</v>
      </c>
      <c r="K234" t="str">
        <f>step3_validation[[#This Row],[Employment]]</f>
        <v>Chính thức</v>
      </c>
      <c r="L234" t="str">
        <f>survey_responses[[#This Row],[Tình trạng việc làm chính:]]</f>
        <v>Khu vực chính thức (Có Hợp đồng lao động, đóng BHXH)</v>
      </c>
      <c r="M234">
        <f>step3_validation[[#This Row],[Income_Mil]]</f>
        <v>12.472569462260202</v>
      </c>
      <c r="N234" t="str">
        <f>survey_responses[[#This Row],[Thu nhập bình quân tháng theo Hợp đồng lao động của bạn là bao nhiêu? (Vui lòng điền tổng thu nhập trước khi khấu trừ các loại Bảo hiểm (BHXH, BHYT, BHTN) và Thuế TNCN)]]</f>
        <v>Từ 12 - 18 triệu VNĐ</v>
      </c>
      <c r="O234">
        <f>step3_validation[[#This Row],[Dependents]]</f>
        <v>1</v>
      </c>
      <c r="P234" t="str">
        <f>survey_responses[[#This Row],[Số người phụ thuộc (con nhỏ, cha mẹ già...) đủ điều kiện giảm trừ gia cảnh:]]</f>
        <v>1 người</v>
      </c>
      <c r="Q234">
        <f>step3_validation[[#This Row],[AI_ENF1]]</f>
        <v>6</v>
      </c>
      <c r="R234" t="str">
        <f t="shared" si="81"/>
        <v>Neutral</v>
      </c>
      <c r="S234">
        <f>survey_responses[[#This Row],[Tôi tin rằng với các quy định quản lý thuế hiện nay, hành vi gian lận hoặc trốn thuế sẽ dễ dàng bị phát hiện và xử lý nghiêm. - HUMAN-ENF1]]</f>
        <v>8</v>
      </c>
      <c r="T234" t="str">
        <f t="shared" si="82"/>
        <v>Support</v>
      </c>
      <c r="U234" s="32">
        <f t="shared" si="83"/>
        <v>2</v>
      </c>
      <c r="V234">
        <f>step3_validation[[#This Row],[AI_ENF2]]</f>
        <v>7</v>
      </c>
      <c r="W234" t="str">
        <f t="shared" si="84"/>
        <v>Neutral</v>
      </c>
      <c r="X234">
        <f>survey_responses[[#This Row],[Tôi tin rằng Nhà nước, cơ quan thuế có đủ khả năng và công nghệ để phát hiện, xử lý nghiêm các hành vi trốn thuế. - HUMAN-ENF2]]</f>
        <v>8</v>
      </c>
      <c r="Y234" t="str">
        <f t="shared" si="85"/>
        <v>Support</v>
      </c>
      <c r="Z234" s="32">
        <f t="shared" si="86"/>
        <v>1</v>
      </c>
      <c r="AA234">
        <f>step3_validation[[#This Row],[AI_FAC1]]</f>
        <v>9</v>
      </c>
      <c r="AB234" t="str">
        <f t="shared" si="87"/>
        <v>Support</v>
      </c>
      <c r="AC234">
        <f>survey_responses[[#This Row],[Các thủ tục khai báo thuế VÀ/HOẶC quy trình làm việc với cơ quan thuế đơn giản, tiện lợi, nhanh chóng hơn so với trước đây. - HUMAN-FAC1]]</f>
        <v>8</v>
      </c>
      <c r="AD234" t="str">
        <f t="shared" si="88"/>
        <v>Support</v>
      </c>
      <c r="AE234" s="32">
        <f t="shared" si="89"/>
        <v>1</v>
      </c>
      <c r="AF234">
        <f>step3_validation[[#This Row],[AI_FAC2]]</f>
        <v>8</v>
      </c>
      <c r="AG234" t="str">
        <f t="shared" si="90"/>
        <v>Support</v>
      </c>
      <c r="AH234">
        <f>survey_responses[[#This Row],[So với trước đây, tôi thấy cách tính thuế và các bậc thuế trong phương án mới đơn giản, dễ hiểu và dễ thực hiện hơn. - HUMAN-FAC2]]</f>
        <v>8</v>
      </c>
      <c r="AI234" t="str">
        <f t="shared" si="91"/>
        <v>Support</v>
      </c>
      <c r="AJ234" s="32">
        <f t="shared" si="92"/>
        <v>0</v>
      </c>
      <c r="AK234">
        <f>step3_validation[[#This Row],[AI_TRU1]]</f>
        <v>9</v>
      </c>
      <c r="AL234" t="str">
        <f t="shared" si="93"/>
        <v>Support</v>
      </c>
      <c r="AM234">
        <f>survey_responses[[#This Row],[Tôi tin rằng Nhà nước, cơ quan thuế sẽ thực thi chính sách mới một cách khách quan, công tâm và đối xử bình đẳng với mọi người nộp thuế.  - HUMAN-TRU1]]</f>
        <v>9</v>
      </c>
      <c r="AN234" t="str">
        <f t="shared" si="94"/>
        <v>Support</v>
      </c>
      <c r="AO234" s="32">
        <f t="shared" si="95"/>
        <v>0</v>
      </c>
      <c r="AP234">
        <f>step3_validation[[#This Row],[AI_TRU2]]</f>
        <v>8</v>
      </c>
      <c r="AQ234" t="str">
        <f t="shared" si="96"/>
        <v>Support</v>
      </c>
      <c r="AR234">
        <f>survey_responses[[#This Row],[Tôi thấy mức thuế tôi phải đóng theo phương án mới là công bằng (người thu nhập như tôi đóng mức này là hợp lý). - HUMAN-TRU2]]</f>
        <v>8</v>
      </c>
      <c r="AS234" t="str">
        <f t="shared" si="97"/>
        <v>Support</v>
      </c>
      <c r="AT234" s="32">
        <f t="shared" si="98"/>
        <v>0</v>
      </c>
      <c r="AU234">
        <f>step3_validation[[#This Row],[AI_TRU3]]</f>
        <v>9</v>
      </c>
      <c r="AV234" t="str">
        <f t="shared" si="99"/>
        <v>Support</v>
      </c>
      <c r="AW234">
        <f>survey_responses[[#This Row],[Tôi tin tưởng số tiền thuế tôi đóng sẽ được Nhà nước sử dụng hiệu quả để cải thiện dịch vụ công (y tế, đường xá...). - HUMAN-TRU3]]</f>
        <v>8</v>
      </c>
      <c r="AX234" t="str">
        <f t="shared" si="100"/>
        <v>Support</v>
      </c>
      <c r="AY234" s="32">
        <f t="shared" si="101"/>
        <v>1</v>
      </c>
      <c r="AZ234">
        <f>step3_validation[[#This Row],[AI_TRU4]]</f>
        <v>7</v>
      </c>
      <c r="BA234" t="str">
        <f t="shared" si="102"/>
        <v>Neutral</v>
      </c>
      <c r="BB234">
        <f>survey_responses[[#This Row],[Tôi thấy Nhà nước đã giải thích rõ ràng, minh bạch về lý do và mục tiêu của việc sửa đổi thuế lần này. - HUMAN-TRU4]]</f>
        <v>8</v>
      </c>
      <c r="BC234" t="str">
        <f t="shared" si="103"/>
        <v>Support</v>
      </c>
      <c r="BD234" s="32">
        <f t="shared" si="104"/>
        <v>1</v>
      </c>
      <c r="BE234">
        <f>step3_validation[[#This Row],[AI_OUT1]]</f>
        <v>9</v>
      </c>
      <c r="BF234" t="str">
        <f t="shared" si="105"/>
        <v>Support</v>
      </c>
      <c r="BG234">
        <f>survey_responses[[#This Row],[Sau khi xem xét các quyền lợi và nghĩa vụ, bạn có ủng hộ và tuân thủ chính sách mới hiện nay? - HUMAN-OUT1]]</f>
        <v>10</v>
      </c>
      <c r="BH234" t="str">
        <f t="shared" si="106"/>
        <v>Support</v>
      </c>
      <c r="BI234" s="32">
        <f t="shared" si="107"/>
        <v>1</v>
      </c>
    </row>
    <row r="235" spans="1:61" x14ac:dyDescent="0.45">
      <c r="A235" s="30">
        <f>step3_validation[[#This Row],[Persona_ID]]</f>
        <v>234</v>
      </c>
      <c r="B235" s="31">
        <f>step3_validation[[#This Row],[Used_Seed]]</f>
        <v>234</v>
      </c>
      <c r="C235" t="str">
        <f>step3_validation[[#This Row],[Gender]]</f>
        <v>Nữ</v>
      </c>
      <c r="D235" t="str">
        <f>survey_responses[[#This Row],[Giới tính của bạn:]]</f>
        <v>Nữ</v>
      </c>
      <c r="E235" t="str">
        <f>step3_validation[[#This Row],[Age_Group]]</f>
        <v>50 - 54</v>
      </c>
      <c r="F235" t="str">
        <f>survey_responses[[#This Row],[Độ tuổi của bạn:]]</f>
        <v>50 - 54</v>
      </c>
      <c r="G235" t="str">
        <f>step3_validation[[#This Row],[Region]]</f>
        <v>Thành thị</v>
      </c>
      <c r="H235" t="str">
        <f>survey_responses[[#This Row],[Khu vực bạn đang sinh sống:]]</f>
        <v>Thành thị</v>
      </c>
      <c r="I235" t="str">
        <f>step3_validation[[#This Row],[Education]]</f>
        <v>Sau Đại học</v>
      </c>
      <c r="J235" t="str">
        <f>survey_responses[[#This Row],[Trình độ học vấn cao nhất:]]</f>
        <v>Sau Đại học</v>
      </c>
      <c r="K235" t="str">
        <f>step3_validation[[#This Row],[Employment]]</f>
        <v>Chính thức</v>
      </c>
      <c r="L235" t="str">
        <f>survey_responses[[#This Row],[Tình trạng việc làm chính:]]</f>
        <v>Khu vực chính thức (Có Hợp đồng lao động, đóng BHXH)</v>
      </c>
      <c r="M235">
        <f>step3_validation[[#This Row],[Income_Mil]]</f>
        <v>94.813030735606816</v>
      </c>
      <c r="N235" t="str">
        <f>survey_responses[[#This Row],[Thu nhập bình quân tháng theo Hợp đồng lao động của bạn là bao nhiêu? (Vui lòng điền tổng thu nhập trước khi khấu trừ các loại Bảo hiểm (BHXH, BHYT, BHTN) và Thuế TNCN)]]</f>
        <v>Từ 70 - 102 triệu VNĐ</v>
      </c>
      <c r="O235">
        <f>step3_validation[[#This Row],[Dependents]]</f>
        <v>3</v>
      </c>
      <c r="P235" t="str">
        <f>survey_responses[[#This Row],[Số người phụ thuộc (con nhỏ, cha mẹ già...) đủ điều kiện giảm trừ gia cảnh:]]</f>
        <v>3 người</v>
      </c>
      <c r="Q235">
        <f>step3_validation[[#This Row],[AI_ENF1]]</f>
        <v>9</v>
      </c>
      <c r="R235" t="str">
        <f t="shared" si="81"/>
        <v>Support</v>
      </c>
      <c r="S235">
        <f>survey_responses[[#This Row],[Tôi tin rằng với các quy định quản lý thuế hiện nay, hành vi gian lận hoặc trốn thuế sẽ dễ dàng bị phát hiện và xử lý nghiêm. - HUMAN-ENF1]]</f>
        <v>4</v>
      </c>
      <c r="T235" t="str">
        <f t="shared" si="82"/>
        <v>Oppose</v>
      </c>
      <c r="U235" s="32">
        <f t="shared" si="83"/>
        <v>5</v>
      </c>
      <c r="V235">
        <f>step3_validation[[#This Row],[AI_ENF2]]</f>
        <v>8</v>
      </c>
      <c r="W235" t="str">
        <f t="shared" si="84"/>
        <v>Support</v>
      </c>
      <c r="X235">
        <f>survey_responses[[#This Row],[Tôi tin rằng Nhà nước, cơ quan thuế có đủ khả năng và công nghệ để phát hiện, xử lý nghiêm các hành vi trốn thuế. - HUMAN-ENF2]]</f>
        <v>4</v>
      </c>
      <c r="Y235" t="str">
        <f t="shared" si="85"/>
        <v>Oppose</v>
      </c>
      <c r="Z235" s="32">
        <f t="shared" si="86"/>
        <v>4</v>
      </c>
      <c r="AA235">
        <f>step3_validation[[#This Row],[AI_FAC1]]</f>
        <v>9</v>
      </c>
      <c r="AB235" t="str">
        <f t="shared" si="87"/>
        <v>Support</v>
      </c>
      <c r="AC235">
        <f>survey_responses[[#This Row],[Các thủ tục khai báo thuế VÀ/HOẶC quy trình làm việc với cơ quan thuế đơn giản, tiện lợi, nhanh chóng hơn so với trước đây. - HUMAN-FAC1]]</f>
        <v>4</v>
      </c>
      <c r="AD235" t="str">
        <f t="shared" si="88"/>
        <v>Oppose</v>
      </c>
      <c r="AE235" s="32">
        <f t="shared" si="89"/>
        <v>5</v>
      </c>
      <c r="AF235">
        <f>step3_validation[[#This Row],[AI_FAC2]]</f>
        <v>8</v>
      </c>
      <c r="AG235" t="str">
        <f t="shared" si="90"/>
        <v>Support</v>
      </c>
      <c r="AH235">
        <f>survey_responses[[#This Row],[So với trước đây, tôi thấy cách tính thuế và các bậc thuế trong phương án mới đơn giản, dễ hiểu và dễ thực hiện hơn. - HUMAN-FAC2]]</f>
        <v>4</v>
      </c>
      <c r="AI235" t="str">
        <f t="shared" si="91"/>
        <v>Oppose</v>
      </c>
      <c r="AJ235" s="32">
        <f t="shared" si="92"/>
        <v>4</v>
      </c>
      <c r="AK235">
        <f>step3_validation[[#This Row],[AI_TRU1]]</f>
        <v>9</v>
      </c>
      <c r="AL235" t="str">
        <f t="shared" si="93"/>
        <v>Support</v>
      </c>
      <c r="AM235">
        <f>survey_responses[[#This Row],[Tôi tin rằng Nhà nước, cơ quan thuế sẽ thực thi chính sách mới một cách khách quan, công tâm và đối xử bình đẳng với mọi người nộp thuế.  - HUMAN-TRU1]]</f>
        <v>1</v>
      </c>
      <c r="AN235" t="str">
        <f t="shared" si="94"/>
        <v>Oppose</v>
      </c>
      <c r="AO235" s="32">
        <f t="shared" si="95"/>
        <v>8</v>
      </c>
      <c r="AP235">
        <f>step3_validation[[#This Row],[AI_TRU2]]</f>
        <v>9</v>
      </c>
      <c r="AQ235" t="str">
        <f t="shared" si="96"/>
        <v>Support</v>
      </c>
      <c r="AR235">
        <f>survey_responses[[#This Row],[Tôi thấy mức thuế tôi phải đóng theo phương án mới là công bằng (người thu nhập như tôi đóng mức này là hợp lý). - HUMAN-TRU2]]</f>
        <v>3</v>
      </c>
      <c r="AS235" t="str">
        <f t="shared" si="97"/>
        <v>Oppose</v>
      </c>
      <c r="AT235" s="32">
        <f t="shared" si="98"/>
        <v>6</v>
      </c>
      <c r="AU235">
        <f>step3_validation[[#This Row],[AI_TRU3]]</f>
        <v>8</v>
      </c>
      <c r="AV235" t="str">
        <f t="shared" si="99"/>
        <v>Support</v>
      </c>
      <c r="AW235">
        <f>survey_responses[[#This Row],[Tôi tin tưởng số tiền thuế tôi đóng sẽ được Nhà nước sử dụng hiệu quả để cải thiện dịch vụ công (y tế, đường xá...). - HUMAN-TRU3]]</f>
        <v>1</v>
      </c>
      <c r="AX235" t="str">
        <f t="shared" si="100"/>
        <v>Oppose</v>
      </c>
      <c r="AY235" s="32">
        <f t="shared" si="101"/>
        <v>7</v>
      </c>
      <c r="AZ235">
        <f>step3_validation[[#This Row],[AI_TRU4]]</f>
        <v>9</v>
      </c>
      <c r="BA235" t="str">
        <f t="shared" si="102"/>
        <v>Support</v>
      </c>
      <c r="BB235">
        <f>survey_responses[[#This Row],[Tôi thấy Nhà nước đã giải thích rõ ràng, minh bạch về lý do và mục tiêu của việc sửa đổi thuế lần này. - HUMAN-TRU4]]</f>
        <v>1</v>
      </c>
      <c r="BC235" t="str">
        <f t="shared" si="103"/>
        <v>Oppose</v>
      </c>
      <c r="BD235" s="32">
        <f t="shared" si="104"/>
        <v>8</v>
      </c>
      <c r="BE235">
        <f>step3_validation[[#This Row],[AI_OUT1]]</f>
        <v>8</v>
      </c>
      <c r="BF235" t="str">
        <f t="shared" si="105"/>
        <v>Support</v>
      </c>
      <c r="BG235">
        <f>survey_responses[[#This Row],[Sau khi xem xét các quyền lợi và nghĩa vụ, bạn có ủng hộ và tuân thủ chính sách mới hiện nay? - HUMAN-OUT1]]</f>
        <v>1</v>
      </c>
      <c r="BH235" t="str">
        <f t="shared" si="106"/>
        <v>Oppose</v>
      </c>
      <c r="BI235" s="32">
        <f t="shared" si="107"/>
        <v>7</v>
      </c>
    </row>
    <row r="236" spans="1:61" x14ac:dyDescent="0.45">
      <c r="A236" s="30">
        <f>step3_validation[[#This Row],[Persona_ID]]</f>
        <v>235</v>
      </c>
      <c r="B236" s="31">
        <f>step3_validation[[#This Row],[Used_Seed]]</f>
        <v>235</v>
      </c>
      <c r="C236" t="str">
        <f>step3_validation[[#This Row],[Gender]]</f>
        <v>Nữ</v>
      </c>
      <c r="D236" t="str">
        <f>survey_responses[[#This Row],[Giới tính của bạn:]]</f>
        <v>Nữ</v>
      </c>
      <c r="E236" t="str">
        <f>step3_validation[[#This Row],[Age_Group]]</f>
        <v>30 - 39</v>
      </c>
      <c r="F236" t="str">
        <f>survey_responses[[#This Row],[Độ tuổi của bạn:]]</f>
        <v>30 - 39</v>
      </c>
      <c r="G236" t="str">
        <f>step3_validation[[#This Row],[Region]]</f>
        <v>Thành thị</v>
      </c>
      <c r="H236" t="str">
        <f>survey_responses[[#This Row],[Khu vực bạn đang sinh sống:]]</f>
        <v>Thành thị</v>
      </c>
      <c r="I236" t="str">
        <f>step3_validation[[#This Row],[Education]]</f>
        <v>Đại học</v>
      </c>
      <c r="J236" t="str">
        <f>survey_responses[[#This Row],[Trình độ học vấn cao nhất:]]</f>
        <v>Đại học</v>
      </c>
      <c r="K236" t="str">
        <f>step3_validation[[#This Row],[Employment]]</f>
        <v>Chính thức</v>
      </c>
      <c r="L236" t="str">
        <f>survey_responses[[#This Row],[Tình trạng việc làm chính:]]</f>
        <v>Khu vực chính thức (Có Hợp đồng lao động, đóng BHXH)</v>
      </c>
      <c r="M236">
        <f>step3_validation[[#This Row],[Income_Mil]]</f>
        <v>39.483836675556802</v>
      </c>
      <c r="N236" t="str">
        <f>survey_responses[[#This Row],[Thu nhập bình quân tháng theo Hợp đồng lao động của bạn là bao nhiêu? (Vui lòng điền tổng thu nhập trước khi khấu trừ các loại Bảo hiểm (BHXH, BHYT, BHTN) và Thuế TNCN)]]</f>
        <v>Từ 32 - 48 triệu VNĐ</v>
      </c>
      <c r="O236">
        <f>step3_validation[[#This Row],[Dependents]]</f>
        <v>0</v>
      </c>
      <c r="P236" t="str">
        <f>survey_responses[[#This Row],[Số người phụ thuộc (con nhỏ, cha mẹ già...) đủ điều kiện giảm trừ gia cảnh:]]</f>
        <v>0 người</v>
      </c>
      <c r="Q236">
        <f>step3_validation[[#This Row],[AI_ENF1]]</f>
        <v>6</v>
      </c>
      <c r="R236" t="str">
        <f t="shared" si="81"/>
        <v>Neutral</v>
      </c>
      <c r="S236">
        <f>survey_responses[[#This Row],[Tôi tin rằng với các quy định quản lý thuế hiện nay, hành vi gian lận hoặc trốn thuế sẽ dễ dàng bị phát hiện và xử lý nghiêm. - HUMAN-ENF1]]</f>
        <v>6</v>
      </c>
      <c r="T236" t="str">
        <f t="shared" si="82"/>
        <v>Neutral</v>
      </c>
      <c r="U236" s="32">
        <f t="shared" si="83"/>
        <v>0</v>
      </c>
      <c r="V236">
        <f>step3_validation[[#This Row],[AI_ENF2]]</f>
        <v>7</v>
      </c>
      <c r="W236" t="str">
        <f t="shared" si="84"/>
        <v>Neutral</v>
      </c>
      <c r="X236">
        <f>survey_responses[[#This Row],[Tôi tin rằng Nhà nước, cơ quan thuế có đủ khả năng và công nghệ để phát hiện, xử lý nghiêm các hành vi trốn thuế. - HUMAN-ENF2]]</f>
        <v>6</v>
      </c>
      <c r="Y236" t="str">
        <f t="shared" si="85"/>
        <v>Neutral</v>
      </c>
      <c r="Z236" s="32">
        <f t="shared" si="86"/>
        <v>1</v>
      </c>
      <c r="AA236">
        <f>step3_validation[[#This Row],[AI_FAC1]]</f>
        <v>9</v>
      </c>
      <c r="AB236" t="str">
        <f t="shared" si="87"/>
        <v>Support</v>
      </c>
      <c r="AC236">
        <f>survey_responses[[#This Row],[Các thủ tục khai báo thuế VÀ/HOẶC quy trình làm việc với cơ quan thuế đơn giản, tiện lợi, nhanh chóng hơn so với trước đây. - HUMAN-FAC1]]</f>
        <v>1</v>
      </c>
      <c r="AD236" t="str">
        <f t="shared" si="88"/>
        <v>Oppose</v>
      </c>
      <c r="AE236" s="32">
        <f t="shared" si="89"/>
        <v>8</v>
      </c>
      <c r="AF236">
        <f>step3_validation[[#This Row],[AI_FAC2]]</f>
        <v>10</v>
      </c>
      <c r="AG236" t="str">
        <f t="shared" si="90"/>
        <v>Support</v>
      </c>
      <c r="AH236">
        <f>survey_responses[[#This Row],[So với trước đây, tôi thấy cách tính thuế và các bậc thuế trong phương án mới đơn giản, dễ hiểu và dễ thực hiện hơn. - HUMAN-FAC2]]</f>
        <v>6</v>
      </c>
      <c r="AI236" t="str">
        <f t="shared" si="91"/>
        <v>Neutral</v>
      </c>
      <c r="AJ236" s="32">
        <f t="shared" si="92"/>
        <v>4</v>
      </c>
      <c r="AK236">
        <f>step3_validation[[#This Row],[AI_TRU1]]</f>
        <v>9</v>
      </c>
      <c r="AL236" t="str">
        <f t="shared" si="93"/>
        <v>Support</v>
      </c>
      <c r="AM236">
        <f>survey_responses[[#This Row],[Tôi tin rằng Nhà nước, cơ quan thuế sẽ thực thi chính sách mới một cách khách quan, công tâm và đối xử bình đẳng với mọi người nộp thuế.  - HUMAN-TRU1]]</f>
        <v>5</v>
      </c>
      <c r="AN236" t="str">
        <f t="shared" si="94"/>
        <v>Neutral</v>
      </c>
      <c r="AO236" s="32">
        <f t="shared" si="95"/>
        <v>4</v>
      </c>
      <c r="AP236">
        <f>step3_validation[[#This Row],[AI_TRU2]]</f>
        <v>8</v>
      </c>
      <c r="AQ236" t="str">
        <f t="shared" si="96"/>
        <v>Support</v>
      </c>
      <c r="AR236">
        <f>survey_responses[[#This Row],[Tôi thấy mức thuế tôi phải đóng theo phương án mới là công bằng (người thu nhập như tôi đóng mức này là hợp lý). - HUMAN-TRU2]]</f>
        <v>6</v>
      </c>
      <c r="AS236" t="str">
        <f t="shared" si="97"/>
        <v>Neutral</v>
      </c>
      <c r="AT236" s="32">
        <f t="shared" si="98"/>
        <v>2</v>
      </c>
      <c r="AU236">
        <f>step3_validation[[#This Row],[AI_TRU3]]</f>
        <v>9</v>
      </c>
      <c r="AV236" t="str">
        <f t="shared" si="99"/>
        <v>Support</v>
      </c>
      <c r="AW236">
        <f>survey_responses[[#This Row],[Tôi tin tưởng số tiền thuế tôi đóng sẽ được Nhà nước sử dụng hiệu quả để cải thiện dịch vụ công (y tế, đường xá...). - HUMAN-TRU3]]</f>
        <v>5</v>
      </c>
      <c r="AX236" t="str">
        <f t="shared" si="100"/>
        <v>Neutral</v>
      </c>
      <c r="AY236" s="32">
        <f t="shared" si="101"/>
        <v>4</v>
      </c>
      <c r="AZ236">
        <f>step3_validation[[#This Row],[AI_TRU4]]</f>
        <v>8</v>
      </c>
      <c r="BA236" t="str">
        <f t="shared" si="102"/>
        <v>Support</v>
      </c>
      <c r="BB236">
        <f>survey_responses[[#This Row],[Tôi thấy Nhà nước đã giải thích rõ ràng, minh bạch về lý do và mục tiêu của việc sửa đổi thuế lần này. - HUMAN-TRU4]]</f>
        <v>6</v>
      </c>
      <c r="BC236" t="str">
        <f t="shared" si="103"/>
        <v>Neutral</v>
      </c>
      <c r="BD236" s="32">
        <f t="shared" si="104"/>
        <v>2</v>
      </c>
      <c r="BE236">
        <f>step3_validation[[#This Row],[AI_OUT1]]</f>
        <v>9</v>
      </c>
      <c r="BF236" t="str">
        <f t="shared" si="105"/>
        <v>Support</v>
      </c>
      <c r="BG236">
        <f>survey_responses[[#This Row],[Sau khi xem xét các quyền lợi và nghĩa vụ, bạn có ủng hộ và tuân thủ chính sách mới hiện nay? - HUMAN-OUT1]]</f>
        <v>6</v>
      </c>
      <c r="BH236" t="str">
        <f t="shared" si="106"/>
        <v>Neutral</v>
      </c>
      <c r="BI236" s="32">
        <f t="shared" si="107"/>
        <v>3</v>
      </c>
    </row>
    <row r="237" spans="1:61" x14ac:dyDescent="0.45">
      <c r="A237" s="30">
        <f>step3_validation[[#This Row],[Persona_ID]]</f>
        <v>236</v>
      </c>
      <c r="B237" s="31">
        <f>step3_validation[[#This Row],[Used_Seed]]</f>
        <v>236</v>
      </c>
      <c r="C237" t="str">
        <f>step3_validation[[#This Row],[Gender]]</f>
        <v>Nữ</v>
      </c>
      <c r="D237" t="str">
        <f>survey_responses[[#This Row],[Giới tính của bạn:]]</f>
        <v>Nữ</v>
      </c>
      <c r="E237" t="str">
        <f>step3_validation[[#This Row],[Age_Group]]</f>
        <v>30 - 39</v>
      </c>
      <c r="F237" t="str">
        <f>survey_responses[[#This Row],[Độ tuổi của bạn:]]</f>
        <v>30 - 39</v>
      </c>
      <c r="G237" t="str">
        <f>step3_validation[[#This Row],[Region]]</f>
        <v>Thành thị</v>
      </c>
      <c r="H237" t="str">
        <f>survey_responses[[#This Row],[Khu vực bạn đang sinh sống:]]</f>
        <v>Thành thị</v>
      </c>
      <c r="I237" t="str">
        <f>step3_validation[[#This Row],[Education]]</f>
        <v>Sau Đại học</v>
      </c>
      <c r="J237" t="str">
        <f>survey_responses[[#This Row],[Trình độ học vấn cao nhất:]]</f>
        <v>Sau Đại học</v>
      </c>
      <c r="K237" t="str">
        <f>step3_validation[[#This Row],[Employment]]</f>
        <v>Chính thức</v>
      </c>
      <c r="L237" t="str">
        <f>survey_responses[[#This Row],[Tình trạng việc làm chính:]]</f>
        <v>Khu vực chính thức (Có Hợp đồng lao động, đóng BHXH)</v>
      </c>
      <c r="M237">
        <f>step3_validation[[#This Row],[Income_Mil]]</f>
        <v>65.380288499002674</v>
      </c>
      <c r="N237" t="str">
        <f>survey_responses[[#This Row],[Thu nhập bình quân tháng theo Hợp đồng lao động của bạn là bao nhiêu? (Vui lòng điền tổng thu nhập trước khi khấu trừ các loại Bảo hiểm (BHXH, BHYT, BHTN) và Thuế TNCN)]]</f>
        <v>Từ 48 - 70 triệu VNĐ</v>
      </c>
      <c r="O237">
        <f>step3_validation[[#This Row],[Dependents]]</f>
        <v>3</v>
      </c>
      <c r="P237" t="str">
        <f>survey_responses[[#This Row],[Số người phụ thuộc (con nhỏ, cha mẹ già...) đủ điều kiện giảm trừ gia cảnh:]]</f>
        <v>3 người</v>
      </c>
      <c r="Q237">
        <f>step3_validation[[#This Row],[AI_ENF1]]</f>
        <v>7</v>
      </c>
      <c r="R237" t="str">
        <f t="shared" si="81"/>
        <v>Neutral</v>
      </c>
      <c r="S237">
        <f>survey_responses[[#This Row],[Tôi tin rằng với các quy định quản lý thuế hiện nay, hành vi gian lận hoặc trốn thuế sẽ dễ dàng bị phát hiện và xử lý nghiêm. - HUMAN-ENF1]]</f>
        <v>7</v>
      </c>
      <c r="T237" t="str">
        <f t="shared" si="82"/>
        <v>Neutral</v>
      </c>
      <c r="U237" s="32">
        <f t="shared" si="83"/>
        <v>0</v>
      </c>
      <c r="V237">
        <f>step3_validation[[#This Row],[AI_ENF2]]</f>
        <v>7</v>
      </c>
      <c r="W237" t="str">
        <f t="shared" si="84"/>
        <v>Neutral</v>
      </c>
      <c r="X237">
        <f>survey_responses[[#This Row],[Tôi tin rằng Nhà nước, cơ quan thuế có đủ khả năng và công nghệ để phát hiện, xử lý nghiêm các hành vi trốn thuế. - HUMAN-ENF2]]</f>
        <v>7</v>
      </c>
      <c r="Y237" t="str">
        <f t="shared" si="85"/>
        <v>Neutral</v>
      </c>
      <c r="Z237" s="32">
        <f t="shared" si="86"/>
        <v>0</v>
      </c>
      <c r="AA237">
        <f>step3_validation[[#This Row],[AI_FAC1]]</f>
        <v>6</v>
      </c>
      <c r="AB237" t="str">
        <f t="shared" si="87"/>
        <v>Neutral</v>
      </c>
      <c r="AC237">
        <f>survey_responses[[#This Row],[Các thủ tục khai báo thuế VÀ/HOẶC quy trình làm việc với cơ quan thuế đơn giản, tiện lợi, nhanh chóng hơn so với trước đây. - HUMAN-FAC1]]</f>
        <v>7</v>
      </c>
      <c r="AD237" t="str">
        <f t="shared" si="88"/>
        <v>Neutral</v>
      </c>
      <c r="AE237" s="32">
        <f t="shared" si="89"/>
        <v>1</v>
      </c>
      <c r="AF237">
        <f>step3_validation[[#This Row],[AI_FAC2]]</f>
        <v>8</v>
      </c>
      <c r="AG237" t="str">
        <f t="shared" si="90"/>
        <v>Support</v>
      </c>
      <c r="AH237">
        <f>survey_responses[[#This Row],[So với trước đây, tôi thấy cách tính thuế và các bậc thuế trong phương án mới đơn giản, dễ hiểu và dễ thực hiện hơn. - HUMAN-FAC2]]</f>
        <v>7</v>
      </c>
      <c r="AI237" t="str">
        <f t="shared" si="91"/>
        <v>Neutral</v>
      </c>
      <c r="AJ237" s="32">
        <f t="shared" si="92"/>
        <v>1</v>
      </c>
      <c r="AK237">
        <f>step3_validation[[#This Row],[AI_TRU1]]</f>
        <v>7</v>
      </c>
      <c r="AL237" t="str">
        <f t="shared" si="93"/>
        <v>Neutral</v>
      </c>
      <c r="AM237">
        <f>survey_responses[[#This Row],[Tôi tin rằng Nhà nước, cơ quan thuế sẽ thực thi chính sách mới một cách khách quan, công tâm và đối xử bình đẳng với mọi người nộp thuế.  - HUMAN-TRU1]]</f>
        <v>7</v>
      </c>
      <c r="AN237" t="str">
        <f t="shared" si="94"/>
        <v>Neutral</v>
      </c>
      <c r="AO237" s="32">
        <f t="shared" si="95"/>
        <v>0</v>
      </c>
      <c r="AP237">
        <f>step3_validation[[#This Row],[AI_TRU2]]</f>
        <v>8</v>
      </c>
      <c r="AQ237" t="str">
        <f t="shared" si="96"/>
        <v>Support</v>
      </c>
      <c r="AR237">
        <f>survey_responses[[#This Row],[Tôi thấy mức thuế tôi phải đóng theo phương án mới là công bằng (người thu nhập như tôi đóng mức này là hợp lý). - HUMAN-TRU2]]</f>
        <v>7</v>
      </c>
      <c r="AS237" t="str">
        <f t="shared" si="97"/>
        <v>Neutral</v>
      </c>
      <c r="AT237" s="32">
        <f t="shared" si="98"/>
        <v>1</v>
      </c>
      <c r="AU237">
        <f>step3_validation[[#This Row],[AI_TRU3]]</f>
        <v>7</v>
      </c>
      <c r="AV237" t="str">
        <f t="shared" si="99"/>
        <v>Neutral</v>
      </c>
      <c r="AW237">
        <f>survey_responses[[#This Row],[Tôi tin tưởng số tiền thuế tôi đóng sẽ được Nhà nước sử dụng hiệu quả để cải thiện dịch vụ công (y tế, đường xá...). - HUMAN-TRU3]]</f>
        <v>7</v>
      </c>
      <c r="AX237" t="str">
        <f t="shared" si="100"/>
        <v>Neutral</v>
      </c>
      <c r="AY237" s="32">
        <f t="shared" si="101"/>
        <v>0</v>
      </c>
      <c r="AZ237">
        <f>step3_validation[[#This Row],[AI_TRU4]]</f>
        <v>6</v>
      </c>
      <c r="BA237" t="str">
        <f t="shared" si="102"/>
        <v>Neutral</v>
      </c>
      <c r="BB237">
        <f>survey_responses[[#This Row],[Tôi thấy Nhà nước đã giải thích rõ ràng, minh bạch về lý do và mục tiêu của việc sửa đổi thuế lần này. - HUMAN-TRU4]]</f>
        <v>7</v>
      </c>
      <c r="BC237" t="str">
        <f t="shared" si="103"/>
        <v>Neutral</v>
      </c>
      <c r="BD237" s="32">
        <f t="shared" si="104"/>
        <v>1</v>
      </c>
      <c r="BE237">
        <f>step3_validation[[#This Row],[AI_OUT1]]</f>
        <v>9</v>
      </c>
      <c r="BF237" t="str">
        <f t="shared" si="105"/>
        <v>Support</v>
      </c>
      <c r="BG237">
        <f>survey_responses[[#This Row],[Sau khi xem xét các quyền lợi và nghĩa vụ, bạn có ủng hộ và tuân thủ chính sách mới hiện nay? - HUMAN-OUT1]]</f>
        <v>7</v>
      </c>
      <c r="BH237" t="str">
        <f t="shared" si="106"/>
        <v>Neutral</v>
      </c>
      <c r="BI237" s="32">
        <f t="shared" si="107"/>
        <v>2</v>
      </c>
    </row>
    <row r="238" spans="1:61" x14ac:dyDescent="0.45">
      <c r="A238" s="30">
        <f>step3_validation[[#This Row],[Persona_ID]]</f>
        <v>237</v>
      </c>
      <c r="B238" s="31">
        <f>step3_validation[[#This Row],[Used_Seed]]</f>
        <v>237</v>
      </c>
      <c r="C238" t="str">
        <f>step3_validation[[#This Row],[Gender]]</f>
        <v>Nam</v>
      </c>
      <c r="D238" t="str">
        <f>survey_responses[[#This Row],[Giới tính của bạn:]]</f>
        <v>Nam</v>
      </c>
      <c r="E238" t="str">
        <f>step3_validation[[#This Row],[Age_Group]]</f>
        <v>30 - 39</v>
      </c>
      <c r="F238" t="str">
        <f>survey_responses[[#This Row],[Độ tuổi của bạn:]]</f>
        <v>30 - 39</v>
      </c>
      <c r="G238" t="str">
        <f>step3_validation[[#This Row],[Region]]</f>
        <v>Thành thị</v>
      </c>
      <c r="H238" t="str">
        <f>survey_responses[[#This Row],[Khu vực bạn đang sinh sống:]]</f>
        <v>Thành thị</v>
      </c>
      <c r="I238" t="str">
        <f>step3_validation[[#This Row],[Education]]</f>
        <v>Sau Đại học</v>
      </c>
      <c r="J238" t="str">
        <f>survey_responses[[#This Row],[Trình độ học vấn cao nhất:]]</f>
        <v>Sau Đại học</v>
      </c>
      <c r="K238" t="str">
        <f>step3_validation[[#This Row],[Employment]]</f>
        <v>Phi chính thức</v>
      </c>
      <c r="L238" t="str">
        <f>survey_responses[[#This Row],[Tình trạng việc làm chính:]]</f>
        <v>Khu vực phi chính thức (Lao động tự do, không có HĐLĐ)</v>
      </c>
      <c r="M238">
        <f>step3_validation[[#This Row],[Income_Mil]]</f>
        <v>14.388269521510457</v>
      </c>
      <c r="N238" t="str">
        <f>survey_responses[[#This Row],[Thu nhập bình quân tháng theo Hợp đồng lao động của bạn là bao nhiêu? (Vui lòng điền tổng thu nhập trước khi khấu trừ các loại Bảo hiểm (BHXH, BHYT, BHTN) và Thuế TNCN)]]</f>
        <v>Từ 12 - 18 triệu VNĐ</v>
      </c>
      <c r="O238">
        <f>step3_validation[[#This Row],[Dependents]]</f>
        <v>3</v>
      </c>
      <c r="P238" t="str">
        <f>survey_responses[[#This Row],[Số người phụ thuộc (con nhỏ, cha mẹ già...) đủ điều kiện giảm trừ gia cảnh:]]</f>
        <v>3 người</v>
      </c>
      <c r="Q238">
        <f>step3_validation[[#This Row],[AI_ENF1]]</f>
        <v>7</v>
      </c>
      <c r="R238" t="str">
        <f t="shared" si="81"/>
        <v>Neutral</v>
      </c>
      <c r="S238">
        <f>survey_responses[[#This Row],[Tôi tin rằng với các quy định quản lý thuế hiện nay, hành vi gian lận hoặc trốn thuế sẽ dễ dàng bị phát hiện và xử lý nghiêm. - HUMAN-ENF1]]</f>
        <v>10</v>
      </c>
      <c r="T238" t="str">
        <f t="shared" si="82"/>
        <v>Support</v>
      </c>
      <c r="U238" s="32">
        <f t="shared" si="83"/>
        <v>3</v>
      </c>
      <c r="V238">
        <f>step3_validation[[#This Row],[AI_ENF2]]</f>
        <v>6</v>
      </c>
      <c r="W238" t="str">
        <f t="shared" si="84"/>
        <v>Neutral</v>
      </c>
      <c r="X238">
        <f>survey_responses[[#This Row],[Tôi tin rằng Nhà nước, cơ quan thuế có đủ khả năng và công nghệ để phát hiện, xử lý nghiêm các hành vi trốn thuế. - HUMAN-ENF2]]</f>
        <v>10</v>
      </c>
      <c r="Y238" t="str">
        <f t="shared" si="85"/>
        <v>Support</v>
      </c>
      <c r="Z238" s="32">
        <f t="shared" si="86"/>
        <v>4</v>
      </c>
      <c r="AA238">
        <f>step3_validation[[#This Row],[AI_FAC1]]</f>
        <v>8</v>
      </c>
      <c r="AB238" t="str">
        <f t="shared" si="87"/>
        <v>Support</v>
      </c>
      <c r="AC238">
        <f>survey_responses[[#This Row],[Các thủ tục khai báo thuế VÀ/HOẶC quy trình làm việc với cơ quan thuế đơn giản, tiện lợi, nhanh chóng hơn so với trước đây. - HUMAN-FAC1]]</f>
        <v>4</v>
      </c>
      <c r="AD238" t="str">
        <f t="shared" si="88"/>
        <v>Oppose</v>
      </c>
      <c r="AE238" s="32">
        <f t="shared" si="89"/>
        <v>4</v>
      </c>
      <c r="AF238">
        <f>step3_validation[[#This Row],[AI_FAC2]]</f>
        <v>9</v>
      </c>
      <c r="AG238" t="str">
        <f t="shared" si="90"/>
        <v>Support</v>
      </c>
      <c r="AH238">
        <f>survey_responses[[#This Row],[So với trước đây, tôi thấy cách tính thuế và các bậc thuế trong phương án mới đơn giản, dễ hiểu và dễ thực hiện hơn. - HUMAN-FAC2]]</f>
        <v>6</v>
      </c>
      <c r="AI238" t="str">
        <f t="shared" si="91"/>
        <v>Neutral</v>
      </c>
      <c r="AJ238" s="32">
        <f t="shared" si="92"/>
        <v>3</v>
      </c>
      <c r="AK238">
        <f>step3_validation[[#This Row],[AI_TRU1]]</f>
        <v>8</v>
      </c>
      <c r="AL238" t="str">
        <f t="shared" si="93"/>
        <v>Support</v>
      </c>
      <c r="AM238">
        <f>survey_responses[[#This Row],[Tôi tin rằng Nhà nước, cơ quan thuế sẽ thực thi chính sách mới một cách khách quan, công tâm và đối xử bình đẳng với mọi người nộp thuế.  - HUMAN-TRU1]]</f>
        <v>3</v>
      </c>
      <c r="AN238" t="str">
        <f t="shared" si="94"/>
        <v>Oppose</v>
      </c>
      <c r="AO238" s="32">
        <f t="shared" si="95"/>
        <v>5</v>
      </c>
      <c r="AP238">
        <f>step3_validation[[#This Row],[AI_TRU2]]</f>
        <v>9</v>
      </c>
      <c r="AQ238" t="str">
        <f t="shared" si="96"/>
        <v>Support</v>
      </c>
      <c r="AR238">
        <f>survey_responses[[#This Row],[Tôi thấy mức thuế tôi phải đóng theo phương án mới là công bằng (người thu nhập như tôi đóng mức này là hợp lý). - HUMAN-TRU2]]</f>
        <v>1</v>
      </c>
      <c r="AS238" t="str">
        <f t="shared" si="97"/>
        <v>Oppose</v>
      </c>
      <c r="AT238" s="32">
        <f t="shared" si="98"/>
        <v>8</v>
      </c>
      <c r="AU238">
        <f>step3_validation[[#This Row],[AI_TRU3]]</f>
        <v>7</v>
      </c>
      <c r="AV238" t="str">
        <f t="shared" si="99"/>
        <v>Neutral</v>
      </c>
      <c r="AW238">
        <f>survey_responses[[#This Row],[Tôi tin tưởng số tiền thuế tôi đóng sẽ được Nhà nước sử dụng hiệu quả để cải thiện dịch vụ công (y tế, đường xá...). - HUMAN-TRU3]]</f>
        <v>1</v>
      </c>
      <c r="AX238" t="str">
        <f t="shared" si="100"/>
        <v>Oppose</v>
      </c>
      <c r="AY238" s="32">
        <f t="shared" si="101"/>
        <v>6</v>
      </c>
      <c r="AZ238">
        <f>step3_validation[[#This Row],[AI_TRU4]]</f>
        <v>8</v>
      </c>
      <c r="BA238" t="str">
        <f t="shared" si="102"/>
        <v>Support</v>
      </c>
      <c r="BB238">
        <f>survey_responses[[#This Row],[Tôi thấy Nhà nước đã giải thích rõ ràng, minh bạch về lý do và mục tiêu của việc sửa đổi thuế lần này. - HUMAN-TRU4]]</f>
        <v>3</v>
      </c>
      <c r="BC238" t="str">
        <f t="shared" si="103"/>
        <v>Oppose</v>
      </c>
      <c r="BD238" s="32">
        <f t="shared" si="104"/>
        <v>5</v>
      </c>
      <c r="BE238">
        <f>step3_validation[[#This Row],[AI_OUT1]]</f>
        <v>9</v>
      </c>
      <c r="BF238" t="str">
        <f t="shared" si="105"/>
        <v>Support</v>
      </c>
      <c r="BG238">
        <f>survey_responses[[#This Row],[Sau khi xem xét các quyền lợi và nghĩa vụ, bạn có ủng hộ và tuân thủ chính sách mới hiện nay? - HUMAN-OUT1]]</f>
        <v>1</v>
      </c>
      <c r="BH238" t="str">
        <f t="shared" si="106"/>
        <v>Oppose</v>
      </c>
      <c r="BI238" s="32">
        <f t="shared" si="107"/>
        <v>8</v>
      </c>
    </row>
    <row r="239" spans="1:61" x14ac:dyDescent="0.45">
      <c r="A239" s="30">
        <f>step3_validation[[#This Row],[Persona_ID]]</f>
        <v>238</v>
      </c>
      <c r="B239" s="31">
        <f>step3_validation[[#This Row],[Used_Seed]]</f>
        <v>238</v>
      </c>
      <c r="C239" t="str">
        <f>step3_validation[[#This Row],[Gender]]</f>
        <v>Nữ</v>
      </c>
      <c r="D239" t="str">
        <f>survey_responses[[#This Row],[Giới tính của bạn:]]</f>
        <v>Nữ</v>
      </c>
      <c r="E239" t="str">
        <f>step3_validation[[#This Row],[Age_Group]]</f>
        <v>30 - 39</v>
      </c>
      <c r="F239" t="str">
        <f>survey_responses[[#This Row],[Độ tuổi của bạn:]]</f>
        <v>30 - 39</v>
      </c>
      <c r="G239" t="str">
        <f>step3_validation[[#This Row],[Region]]</f>
        <v>Thành thị</v>
      </c>
      <c r="H239" t="str">
        <f>survey_responses[[#This Row],[Khu vực bạn đang sinh sống:]]</f>
        <v>Thành thị</v>
      </c>
      <c r="I239" t="str">
        <f>step3_validation[[#This Row],[Education]]</f>
        <v>Sau Đại học</v>
      </c>
      <c r="J239" t="str">
        <f>survey_responses[[#This Row],[Trình độ học vấn cao nhất:]]</f>
        <v>Sau Đại học</v>
      </c>
      <c r="K239" t="str">
        <f>step3_validation[[#This Row],[Employment]]</f>
        <v>Chính thức</v>
      </c>
      <c r="L239" t="str">
        <f>survey_responses[[#This Row],[Tình trạng việc làm chính:]]</f>
        <v>Khu vực chính thức (Có Hợp đồng lao động, đóng BHXH)</v>
      </c>
      <c r="M239">
        <f>step3_validation[[#This Row],[Income_Mil]]</f>
        <v>26.295136099030909</v>
      </c>
      <c r="N239" t="str">
        <f>survey_responses[[#This Row],[Thu nhập bình quân tháng theo Hợp đồng lao động của bạn là bao nhiêu? (Vui lòng điền tổng thu nhập trước khi khấu trừ các loại Bảo hiểm (BHXH, BHYT, BHTN) và Thuế TNCN)]]</f>
        <v>Từ 23 - 32 triệu VNĐ</v>
      </c>
      <c r="O239">
        <f>step3_validation[[#This Row],[Dependents]]</f>
        <v>1</v>
      </c>
      <c r="P239" t="str">
        <f>survey_responses[[#This Row],[Số người phụ thuộc (con nhỏ, cha mẹ già...) đủ điều kiện giảm trừ gia cảnh:]]</f>
        <v>1 người</v>
      </c>
      <c r="Q239">
        <f>step3_validation[[#This Row],[AI_ENF1]]</f>
        <v>6</v>
      </c>
      <c r="R239" t="str">
        <f t="shared" si="81"/>
        <v>Neutral</v>
      </c>
      <c r="S239">
        <f>survey_responses[[#This Row],[Tôi tin rằng với các quy định quản lý thuế hiện nay, hành vi gian lận hoặc trốn thuế sẽ dễ dàng bị phát hiện và xử lý nghiêm. - HUMAN-ENF1]]</f>
        <v>8</v>
      </c>
      <c r="T239" t="str">
        <f t="shared" si="82"/>
        <v>Support</v>
      </c>
      <c r="U239" s="32">
        <f t="shared" si="83"/>
        <v>2</v>
      </c>
      <c r="V239">
        <f>step3_validation[[#This Row],[AI_ENF2]]</f>
        <v>5</v>
      </c>
      <c r="W239" t="str">
        <f t="shared" si="84"/>
        <v>Neutral</v>
      </c>
      <c r="X239">
        <f>survey_responses[[#This Row],[Tôi tin rằng Nhà nước, cơ quan thuế có đủ khả năng và công nghệ để phát hiện, xử lý nghiêm các hành vi trốn thuế. - HUMAN-ENF2]]</f>
        <v>10</v>
      </c>
      <c r="Y239" t="str">
        <f t="shared" si="85"/>
        <v>Support</v>
      </c>
      <c r="Z239" s="32">
        <f t="shared" si="86"/>
        <v>5</v>
      </c>
      <c r="AA239">
        <f>step3_validation[[#This Row],[AI_FAC1]]</f>
        <v>8</v>
      </c>
      <c r="AB239" t="str">
        <f t="shared" si="87"/>
        <v>Support</v>
      </c>
      <c r="AC239">
        <f>survey_responses[[#This Row],[Các thủ tục khai báo thuế VÀ/HOẶC quy trình làm việc với cơ quan thuế đơn giản, tiện lợi, nhanh chóng hơn so với trước đây. - HUMAN-FAC1]]</f>
        <v>8</v>
      </c>
      <c r="AD239" t="str">
        <f t="shared" si="88"/>
        <v>Support</v>
      </c>
      <c r="AE239" s="32">
        <f t="shared" si="89"/>
        <v>0</v>
      </c>
      <c r="AF239">
        <f>step3_validation[[#This Row],[AI_FAC2]]</f>
        <v>9</v>
      </c>
      <c r="AG239" t="str">
        <f t="shared" si="90"/>
        <v>Support</v>
      </c>
      <c r="AH239">
        <f>survey_responses[[#This Row],[So với trước đây, tôi thấy cách tính thuế và các bậc thuế trong phương án mới đơn giản, dễ hiểu và dễ thực hiện hơn. - HUMAN-FAC2]]</f>
        <v>10</v>
      </c>
      <c r="AI239" t="str">
        <f t="shared" si="91"/>
        <v>Support</v>
      </c>
      <c r="AJ239" s="32">
        <f t="shared" si="92"/>
        <v>1</v>
      </c>
      <c r="AK239">
        <f>step3_validation[[#This Row],[AI_TRU1]]</f>
        <v>4</v>
      </c>
      <c r="AL239" t="str">
        <f t="shared" si="93"/>
        <v>Oppose</v>
      </c>
      <c r="AM239">
        <f>survey_responses[[#This Row],[Tôi tin rằng Nhà nước, cơ quan thuế sẽ thực thi chính sách mới một cách khách quan, công tâm và đối xử bình đẳng với mọi người nộp thuế.  - HUMAN-TRU1]]</f>
        <v>9</v>
      </c>
      <c r="AN239" t="str">
        <f t="shared" si="94"/>
        <v>Support</v>
      </c>
      <c r="AO239" s="32">
        <f t="shared" si="95"/>
        <v>5</v>
      </c>
      <c r="AP239">
        <f>step3_validation[[#This Row],[AI_TRU2]]</f>
        <v>7</v>
      </c>
      <c r="AQ239" t="str">
        <f t="shared" si="96"/>
        <v>Neutral</v>
      </c>
      <c r="AR239">
        <f>survey_responses[[#This Row],[Tôi thấy mức thuế tôi phải đóng theo phương án mới là công bằng (người thu nhập như tôi đóng mức này là hợp lý). - HUMAN-TRU2]]</f>
        <v>8</v>
      </c>
      <c r="AS239" t="str">
        <f t="shared" si="97"/>
        <v>Support</v>
      </c>
      <c r="AT239" s="32">
        <f t="shared" si="98"/>
        <v>1</v>
      </c>
      <c r="AU239">
        <f>step3_validation[[#This Row],[AI_TRU3]]</f>
        <v>6</v>
      </c>
      <c r="AV239" t="str">
        <f t="shared" si="99"/>
        <v>Neutral</v>
      </c>
      <c r="AW239">
        <f>survey_responses[[#This Row],[Tôi tin tưởng số tiền thuế tôi đóng sẽ được Nhà nước sử dụng hiệu quả để cải thiện dịch vụ công (y tế, đường xá...). - HUMAN-TRU3]]</f>
        <v>7</v>
      </c>
      <c r="AX239" t="str">
        <f t="shared" si="100"/>
        <v>Neutral</v>
      </c>
      <c r="AY239" s="32">
        <f t="shared" si="101"/>
        <v>1</v>
      </c>
      <c r="AZ239">
        <f>step3_validation[[#This Row],[AI_TRU4]]</f>
        <v>8</v>
      </c>
      <c r="BA239" t="str">
        <f t="shared" si="102"/>
        <v>Support</v>
      </c>
      <c r="BB239">
        <f>survey_responses[[#This Row],[Tôi thấy Nhà nước đã giải thích rõ ràng, minh bạch về lý do và mục tiêu của việc sửa đổi thuế lần này. - HUMAN-TRU4]]</f>
        <v>9</v>
      </c>
      <c r="BC239" t="str">
        <f t="shared" si="103"/>
        <v>Support</v>
      </c>
      <c r="BD239" s="32">
        <f t="shared" si="104"/>
        <v>1</v>
      </c>
      <c r="BE239">
        <f>step3_validation[[#This Row],[AI_OUT1]]</f>
        <v>9</v>
      </c>
      <c r="BF239" t="str">
        <f t="shared" si="105"/>
        <v>Support</v>
      </c>
      <c r="BG239">
        <f>survey_responses[[#This Row],[Sau khi xem xét các quyền lợi và nghĩa vụ, bạn có ủng hộ và tuân thủ chính sách mới hiện nay? - HUMAN-OUT1]]</f>
        <v>9</v>
      </c>
      <c r="BH239" t="str">
        <f t="shared" si="106"/>
        <v>Support</v>
      </c>
      <c r="BI239" s="32">
        <f t="shared" si="107"/>
        <v>0</v>
      </c>
    </row>
    <row r="240" spans="1:61" x14ac:dyDescent="0.45">
      <c r="A240" s="30">
        <f>step3_validation[[#This Row],[Persona_ID]]</f>
        <v>239</v>
      </c>
      <c r="B240" s="31">
        <f>step3_validation[[#This Row],[Used_Seed]]</f>
        <v>239</v>
      </c>
      <c r="C240" t="str">
        <f>step3_validation[[#This Row],[Gender]]</f>
        <v>Nam</v>
      </c>
      <c r="D240" t="str">
        <f>survey_responses[[#This Row],[Giới tính của bạn:]]</f>
        <v>Nam</v>
      </c>
      <c r="E240" t="str">
        <f>step3_validation[[#This Row],[Age_Group]]</f>
        <v>55 - 64</v>
      </c>
      <c r="F240" t="str">
        <f>survey_responses[[#This Row],[Độ tuổi của bạn:]]</f>
        <v>55 - 64</v>
      </c>
      <c r="G240" t="str">
        <f>step3_validation[[#This Row],[Region]]</f>
        <v>Thành thị</v>
      </c>
      <c r="H240" t="str">
        <f>survey_responses[[#This Row],[Khu vực bạn đang sinh sống:]]</f>
        <v>Thành thị</v>
      </c>
      <c r="I240" t="str">
        <f>step3_validation[[#This Row],[Education]]</f>
        <v>Sau Đại học</v>
      </c>
      <c r="J240" t="str">
        <f>survey_responses[[#This Row],[Trình độ học vấn cao nhất:]]</f>
        <v>Sau Đại học</v>
      </c>
      <c r="K240" t="str">
        <f>step3_validation[[#This Row],[Employment]]</f>
        <v>Chính thức</v>
      </c>
      <c r="L240" t="str">
        <f>survey_responses[[#This Row],[Tình trạng việc làm chính:]]</f>
        <v>Khu vực chính thức (Có Hợp đồng lao động, đóng BHXH)</v>
      </c>
      <c r="M240">
        <f>step3_validation[[#This Row],[Income_Mil]]</f>
        <v>70.470156933587049</v>
      </c>
      <c r="N240" t="str">
        <f>survey_responses[[#This Row],[Thu nhập bình quân tháng theo Hợp đồng lao động của bạn là bao nhiêu? (Vui lòng điền tổng thu nhập trước khi khấu trừ các loại Bảo hiểm (BHXH, BHYT, BHTN) và Thuế TNCN)]]</f>
        <v>Từ 70 - 102 triệu VNĐ</v>
      </c>
      <c r="O240">
        <f>step3_validation[[#This Row],[Dependents]]</f>
        <v>4</v>
      </c>
      <c r="P240" t="str">
        <f>survey_responses[[#This Row],[Số người phụ thuộc (con nhỏ, cha mẹ già...) đủ điều kiện giảm trừ gia cảnh:]]</f>
        <v>4 người trở lên</v>
      </c>
      <c r="Q240">
        <f>step3_validation[[#This Row],[AI_ENF1]]</f>
        <v>7</v>
      </c>
      <c r="R240" t="str">
        <f t="shared" si="81"/>
        <v>Neutral</v>
      </c>
      <c r="S240">
        <f>survey_responses[[#This Row],[Tôi tin rằng với các quy định quản lý thuế hiện nay, hành vi gian lận hoặc trốn thuế sẽ dễ dàng bị phát hiện và xử lý nghiêm. - HUMAN-ENF1]]</f>
        <v>6</v>
      </c>
      <c r="T240" t="str">
        <f t="shared" si="82"/>
        <v>Neutral</v>
      </c>
      <c r="U240" s="32">
        <f t="shared" si="83"/>
        <v>1</v>
      </c>
      <c r="V240">
        <f>step3_validation[[#This Row],[AI_ENF2]]</f>
        <v>6</v>
      </c>
      <c r="W240" t="str">
        <f t="shared" si="84"/>
        <v>Neutral</v>
      </c>
      <c r="X240">
        <f>survey_responses[[#This Row],[Tôi tin rằng Nhà nước, cơ quan thuế có đủ khả năng và công nghệ để phát hiện, xử lý nghiêm các hành vi trốn thuế. - HUMAN-ENF2]]</f>
        <v>6</v>
      </c>
      <c r="Y240" t="str">
        <f t="shared" si="85"/>
        <v>Neutral</v>
      </c>
      <c r="Z240" s="32">
        <f t="shared" si="86"/>
        <v>0</v>
      </c>
      <c r="AA240">
        <f>step3_validation[[#This Row],[AI_FAC1]]</f>
        <v>8</v>
      </c>
      <c r="AB240" t="str">
        <f t="shared" si="87"/>
        <v>Support</v>
      </c>
      <c r="AC240">
        <f>survey_responses[[#This Row],[Các thủ tục khai báo thuế VÀ/HOẶC quy trình làm việc với cơ quan thuế đơn giản, tiện lợi, nhanh chóng hơn so với trước đây. - HUMAN-FAC1]]</f>
        <v>6</v>
      </c>
      <c r="AD240" t="str">
        <f t="shared" si="88"/>
        <v>Neutral</v>
      </c>
      <c r="AE240" s="32">
        <f t="shared" si="89"/>
        <v>2</v>
      </c>
      <c r="AF240">
        <f>step3_validation[[#This Row],[AI_FAC2]]</f>
        <v>9</v>
      </c>
      <c r="AG240" t="str">
        <f t="shared" si="90"/>
        <v>Support</v>
      </c>
      <c r="AH240">
        <f>survey_responses[[#This Row],[So với trước đây, tôi thấy cách tính thuế và các bậc thuế trong phương án mới đơn giản, dễ hiểu và dễ thực hiện hơn. - HUMAN-FAC2]]</f>
        <v>6</v>
      </c>
      <c r="AI240" t="str">
        <f t="shared" si="91"/>
        <v>Neutral</v>
      </c>
      <c r="AJ240" s="32">
        <f t="shared" si="92"/>
        <v>3</v>
      </c>
      <c r="AK240">
        <f>step3_validation[[#This Row],[AI_TRU1]]</f>
        <v>6</v>
      </c>
      <c r="AL240" t="str">
        <f t="shared" si="93"/>
        <v>Neutral</v>
      </c>
      <c r="AM240">
        <f>survey_responses[[#This Row],[Tôi tin rằng Nhà nước, cơ quan thuế sẽ thực thi chính sách mới một cách khách quan, công tâm và đối xử bình đẳng với mọi người nộp thuế.  - HUMAN-TRU1]]</f>
        <v>6</v>
      </c>
      <c r="AN240" t="str">
        <f t="shared" si="94"/>
        <v>Neutral</v>
      </c>
      <c r="AO240" s="32">
        <f t="shared" si="95"/>
        <v>0</v>
      </c>
      <c r="AP240">
        <f>step3_validation[[#This Row],[AI_TRU2]]</f>
        <v>9</v>
      </c>
      <c r="AQ240" t="str">
        <f t="shared" si="96"/>
        <v>Support</v>
      </c>
      <c r="AR240">
        <f>survey_responses[[#This Row],[Tôi thấy mức thuế tôi phải đóng theo phương án mới là công bằng (người thu nhập như tôi đóng mức này là hợp lý). - HUMAN-TRU2]]</f>
        <v>6</v>
      </c>
      <c r="AS240" t="str">
        <f t="shared" si="97"/>
        <v>Neutral</v>
      </c>
      <c r="AT240" s="32">
        <f t="shared" si="98"/>
        <v>3</v>
      </c>
      <c r="AU240">
        <f>step3_validation[[#This Row],[AI_TRU3]]</f>
        <v>7</v>
      </c>
      <c r="AV240" t="str">
        <f t="shared" si="99"/>
        <v>Neutral</v>
      </c>
      <c r="AW240">
        <f>survey_responses[[#This Row],[Tôi tin tưởng số tiền thuế tôi đóng sẽ được Nhà nước sử dụng hiệu quả để cải thiện dịch vụ công (y tế, đường xá...). - HUMAN-TRU3]]</f>
        <v>6</v>
      </c>
      <c r="AX240" t="str">
        <f t="shared" si="100"/>
        <v>Neutral</v>
      </c>
      <c r="AY240" s="32">
        <f t="shared" si="101"/>
        <v>1</v>
      </c>
      <c r="AZ240">
        <f>step3_validation[[#This Row],[AI_TRU4]]</f>
        <v>8</v>
      </c>
      <c r="BA240" t="str">
        <f t="shared" si="102"/>
        <v>Support</v>
      </c>
      <c r="BB240">
        <f>survey_responses[[#This Row],[Tôi thấy Nhà nước đã giải thích rõ ràng, minh bạch về lý do và mục tiêu của việc sửa đổi thuế lần này. - HUMAN-TRU4]]</f>
        <v>7</v>
      </c>
      <c r="BC240" t="str">
        <f t="shared" si="103"/>
        <v>Neutral</v>
      </c>
      <c r="BD240" s="32">
        <f t="shared" si="104"/>
        <v>1</v>
      </c>
      <c r="BE240">
        <f>step3_validation[[#This Row],[AI_OUT1]]</f>
        <v>9</v>
      </c>
      <c r="BF240" t="str">
        <f t="shared" si="105"/>
        <v>Support</v>
      </c>
      <c r="BG240">
        <f>survey_responses[[#This Row],[Sau khi xem xét các quyền lợi và nghĩa vụ, bạn có ủng hộ và tuân thủ chính sách mới hiện nay? - HUMAN-OUT1]]</f>
        <v>6</v>
      </c>
      <c r="BH240" t="str">
        <f t="shared" si="106"/>
        <v>Neutral</v>
      </c>
      <c r="BI240" s="32">
        <f t="shared" si="107"/>
        <v>3</v>
      </c>
    </row>
    <row r="241" spans="1:61" x14ac:dyDescent="0.45">
      <c r="A241" s="30">
        <f>step3_validation[[#This Row],[Persona_ID]]</f>
        <v>240</v>
      </c>
      <c r="B241" s="31">
        <f>step3_validation[[#This Row],[Used_Seed]]</f>
        <v>240</v>
      </c>
      <c r="C241" t="str">
        <f>step3_validation[[#This Row],[Gender]]</f>
        <v>Nữ</v>
      </c>
      <c r="D241" t="str">
        <f>survey_responses[[#This Row],[Giới tính của bạn:]]</f>
        <v>Nữ</v>
      </c>
      <c r="E241" t="str">
        <f>step3_validation[[#This Row],[Age_Group]]</f>
        <v>30 - 39</v>
      </c>
      <c r="F241" t="str">
        <f>survey_responses[[#This Row],[Độ tuổi của bạn:]]</f>
        <v>30 - 39</v>
      </c>
      <c r="G241" t="str">
        <f>step3_validation[[#This Row],[Region]]</f>
        <v>Thành thị</v>
      </c>
      <c r="H241" t="str">
        <f>survey_responses[[#This Row],[Khu vực bạn đang sinh sống:]]</f>
        <v>Thành thị</v>
      </c>
      <c r="I241" t="str">
        <f>step3_validation[[#This Row],[Education]]</f>
        <v>Đại học</v>
      </c>
      <c r="J241" t="str">
        <f>survey_responses[[#This Row],[Trình độ học vấn cao nhất:]]</f>
        <v>Đại học</v>
      </c>
      <c r="K241" t="str">
        <f>step3_validation[[#This Row],[Employment]]</f>
        <v>Chính thức</v>
      </c>
      <c r="L241" t="str">
        <f>survey_responses[[#This Row],[Tình trạng việc làm chính:]]</f>
        <v>Khu vực chính thức (Có Hợp đồng lao động, đóng BHXH)</v>
      </c>
      <c r="M241">
        <f>step3_validation[[#This Row],[Income_Mil]]</f>
        <v>61.841398241850868</v>
      </c>
      <c r="N241" t="str">
        <f>survey_responses[[#This Row],[Thu nhập bình quân tháng theo Hợp đồng lao động của bạn là bao nhiêu? (Vui lòng điền tổng thu nhập trước khi khấu trừ các loại Bảo hiểm (BHXH, BHYT, BHTN) và Thuế TNCN)]]</f>
        <v>Từ 48 - 70 triệu VNĐ</v>
      </c>
      <c r="O241">
        <f>step3_validation[[#This Row],[Dependents]]</f>
        <v>3</v>
      </c>
      <c r="P241" t="str">
        <f>survey_responses[[#This Row],[Số người phụ thuộc (con nhỏ, cha mẹ già...) đủ điều kiện giảm trừ gia cảnh:]]</f>
        <v>3 người</v>
      </c>
      <c r="Q241">
        <f>step3_validation[[#This Row],[AI_ENF1]]</f>
        <v>8</v>
      </c>
      <c r="R241" t="str">
        <f t="shared" si="81"/>
        <v>Support</v>
      </c>
      <c r="S241">
        <f>survey_responses[[#This Row],[Tôi tin rằng với các quy định quản lý thuế hiện nay, hành vi gian lận hoặc trốn thuế sẽ dễ dàng bị phát hiện và xử lý nghiêm. - HUMAN-ENF1]]</f>
        <v>8</v>
      </c>
      <c r="T241" t="str">
        <f t="shared" si="82"/>
        <v>Support</v>
      </c>
      <c r="U241" s="32">
        <f t="shared" si="83"/>
        <v>0</v>
      </c>
      <c r="V241">
        <f>step3_validation[[#This Row],[AI_ENF2]]</f>
        <v>7</v>
      </c>
      <c r="W241" t="str">
        <f t="shared" si="84"/>
        <v>Neutral</v>
      </c>
      <c r="X241">
        <f>survey_responses[[#This Row],[Tôi tin rằng Nhà nước, cơ quan thuế có đủ khả năng và công nghệ để phát hiện, xử lý nghiêm các hành vi trốn thuế. - HUMAN-ENF2]]</f>
        <v>8</v>
      </c>
      <c r="Y241" t="str">
        <f t="shared" si="85"/>
        <v>Support</v>
      </c>
      <c r="Z241" s="32">
        <f t="shared" si="86"/>
        <v>1</v>
      </c>
      <c r="AA241">
        <f>step3_validation[[#This Row],[AI_FAC1]]</f>
        <v>8</v>
      </c>
      <c r="AB241" t="str">
        <f t="shared" si="87"/>
        <v>Support</v>
      </c>
      <c r="AC241">
        <f>survey_responses[[#This Row],[Các thủ tục khai báo thuế VÀ/HOẶC quy trình làm việc với cơ quan thuế đơn giản, tiện lợi, nhanh chóng hơn so với trước đây. - HUMAN-FAC1]]</f>
        <v>8</v>
      </c>
      <c r="AD241" t="str">
        <f t="shared" si="88"/>
        <v>Support</v>
      </c>
      <c r="AE241" s="32">
        <f t="shared" si="89"/>
        <v>0</v>
      </c>
      <c r="AF241">
        <f>step3_validation[[#This Row],[AI_FAC2]]</f>
        <v>9</v>
      </c>
      <c r="AG241" t="str">
        <f t="shared" si="90"/>
        <v>Support</v>
      </c>
      <c r="AH241">
        <f>survey_responses[[#This Row],[So với trước đây, tôi thấy cách tính thuế và các bậc thuế trong phương án mới đơn giản, dễ hiểu và dễ thực hiện hơn. - HUMAN-FAC2]]</f>
        <v>8</v>
      </c>
      <c r="AI241" t="str">
        <f t="shared" si="91"/>
        <v>Support</v>
      </c>
      <c r="AJ241" s="32">
        <f t="shared" si="92"/>
        <v>1</v>
      </c>
      <c r="AK241">
        <f>step3_validation[[#This Row],[AI_TRU1]]</f>
        <v>7</v>
      </c>
      <c r="AL241" t="str">
        <f t="shared" si="93"/>
        <v>Neutral</v>
      </c>
      <c r="AM241">
        <f>survey_responses[[#This Row],[Tôi tin rằng Nhà nước, cơ quan thuế sẽ thực thi chính sách mới một cách khách quan, công tâm và đối xử bình đẳng với mọi người nộp thuế.  - HUMAN-TRU1]]</f>
        <v>8</v>
      </c>
      <c r="AN241" t="str">
        <f t="shared" si="94"/>
        <v>Support</v>
      </c>
      <c r="AO241" s="32">
        <f t="shared" si="95"/>
        <v>1</v>
      </c>
      <c r="AP241">
        <f>step3_validation[[#This Row],[AI_TRU2]]</f>
        <v>9</v>
      </c>
      <c r="AQ241" t="str">
        <f t="shared" si="96"/>
        <v>Support</v>
      </c>
      <c r="AR241">
        <f>survey_responses[[#This Row],[Tôi thấy mức thuế tôi phải đóng theo phương án mới là công bằng (người thu nhập như tôi đóng mức này là hợp lý). - HUMAN-TRU2]]</f>
        <v>8</v>
      </c>
      <c r="AS241" t="str">
        <f t="shared" si="97"/>
        <v>Support</v>
      </c>
      <c r="AT241" s="32">
        <f t="shared" si="98"/>
        <v>1</v>
      </c>
      <c r="AU241">
        <f>step3_validation[[#This Row],[AI_TRU3]]</f>
        <v>6</v>
      </c>
      <c r="AV241" t="str">
        <f t="shared" si="99"/>
        <v>Neutral</v>
      </c>
      <c r="AW241">
        <f>survey_responses[[#This Row],[Tôi tin tưởng số tiền thuế tôi đóng sẽ được Nhà nước sử dụng hiệu quả để cải thiện dịch vụ công (y tế, đường xá...). - HUMAN-TRU3]]</f>
        <v>8</v>
      </c>
      <c r="AX241" t="str">
        <f t="shared" si="100"/>
        <v>Support</v>
      </c>
      <c r="AY241" s="32">
        <f t="shared" si="101"/>
        <v>2</v>
      </c>
      <c r="AZ241">
        <f>step3_validation[[#This Row],[AI_TRU4]]</f>
        <v>7</v>
      </c>
      <c r="BA241" t="str">
        <f t="shared" si="102"/>
        <v>Neutral</v>
      </c>
      <c r="BB241">
        <f>survey_responses[[#This Row],[Tôi thấy Nhà nước đã giải thích rõ ràng, minh bạch về lý do và mục tiêu của việc sửa đổi thuế lần này. - HUMAN-TRU4]]</f>
        <v>8</v>
      </c>
      <c r="BC241" t="str">
        <f t="shared" si="103"/>
        <v>Support</v>
      </c>
      <c r="BD241" s="32">
        <f t="shared" si="104"/>
        <v>1</v>
      </c>
      <c r="BE241">
        <f>step3_validation[[#This Row],[AI_OUT1]]</f>
        <v>9</v>
      </c>
      <c r="BF241" t="str">
        <f t="shared" si="105"/>
        <v>Support</v>
      </c>
      <c r="BG241">
        <f>survey_responses[[#This Row],[Sau khi xem xét các quyền lợi và nghĩa vụ, bạn có ủng hộ và tuân thủ chính sách mới hiện nay? - HUMAN-OUT1]]</f>
        <v>8</v>
      </c>
      <c r="BH241" t="str">
        <f t="shared" si="106"/>
        <v>Support</v>
      </c>
      <c r="BI241" s="32">
        <f t="shared" si="107"/>
        <v>1</v>
      </c>
    </row>
    <row r="242" spans="1:61" x14ac:dyDescent="0.45">
      <c r="A242" s="30">
        <f>step3_validation[[#This Row],[Persona_ID]]</f>
        <v>241</v>
      </c>
      <c r="B242" s="31">
        <f>step3_validation[[#This Row],[Used_Seed]]</f>
        <v>241</v>
      </c>
      <c r="C242" t="str">
        <f>step3_validation[[#This Row],[Gender]]</f>
        <v>Nữ</v>
      </c>
      <c r="D242" t="str">
        <f>survey_responses[[#This Row],[Giới tính của bạn:]]</f>
        <v>Nữ</v>
      </c>
      <c r="E242" t="str">
        <f>step3_validation[[#This Row],[Age_Group]]</f>
        <v>30 - 39</v>
      </c>
      <c r="F242" t="str">
        <f>survey_responses[[#This Row],[Độ tuổi của bạn:]]</f>
        <v>30 - 39</v>
      </c>
      <c r="G242" t="str">
        <f>step3_validation[[#This Row],[Region]]</f>
        <v>Thành thị</v>
      </c>
      <c r="H242" t="str">
        <f>survey_responses[[#This Row],[Khu vực bạn đang sinh sống:]]</f>
        <v>Thành thị</v>
      </c>
      <c r="I242" t="str">
        <f>step3_validation[[#This Row],[Education]]</f>
        <v>Sau Đại học</v>
      </c>
      <c r="J242" t="str">
        <f>survey_responses[[#This Row],[Trình độ học vấn cao nhất:]]</f>
        <v>Sau Đại học</v>
      </c>
      <c r="K242" t="str">
        <f>step3_validation[[#This Row],[Employment]]</f>
        <v>Chính thức</v>
      </c>
      <c r="L242" t="str">
        <f>survey_responses[[#This Row],[Tình trạng việc làm chính:]]</f>
        <v>Khu vực chính thức (Có Hợp đồng lao động, đóng BHXH)</v>
      </c>
      <c r="M242">
        <f>step3_validation[[#This Row],[Income_Mil]]</f>
        <v>52.63148829676858</v>
      </c>
      <c r="N242" t="str">
        <f>survey_responses[[#This Row],[Thu nhập bình quân tháng theo Hợp đồng lao động của bạn là bao nhiêu? (Vui lòng điền tổng thu nhập trước khi khấu trừ các loại Bảo hiểm (BHXH, BHYT, BHTN) và Thuế TNCN)]]</f>
        <v>Từ 48 - 70 triệu VNĐ</v>
      </c>
      <c r="O242">
        <f>step3_validation[[#This Row],[Dependents]]</f>
        <v>1</v>
      </c>
      <c r="P242" t="str">
        <f>survey_responses[[#This Row],[Số người phụ thuộc (con nhỏ, cha mẹ già...) đủ điều kiện giảm trừ gia cảnh:]]</f>
        <v>1 người</v>
      </c>
      <c r="Q242">
        <f>step3_validation[[#This Row],[AI_ENF1]]</f>
        <v>7</v>
      </c>
      <c r="R242" t="str">
        <f t="shared" si="81"/>
        <v>Neutral</v>
      </c>
      <c r="S242">
        <f>survey_responses[[#This Row],[Tôi tin rằng với các quy định quản lý thuế hiện nay, hành vi gian lận hoặc trốn thuế sẽ dễ dàng bị phát hiện và xử lý nghiêm. - HUMAN-ENF1]]</f>
        <v>7</v>
      </c>
      <c r="T242" t="str">
        <f t="shared" si="82"/>
        <v>Neutral</v>
      </c>
      <c r="U242" s="32">
        <f t="shared" si="83"/>
        <v>0</v>
      </c>
      <c r="V242">
        <f>step3_validation[[#This Row],[AI_ENF2]]</f>
        <v>6</v>
      </c>
      <c r="W242" t="str">
        <f t="shared" si="84"/>
        <v>Neutral</v>
      </c>
      <c r="X242">
        <f>survey_responses[[#This Row],[Tôi tin rằng Nhà nước, cơ quan thuế có đủ khả năng và công nghệ để phát hiện, xử lý nghiêm các hành vi trốn thuế. - HUMAN-ENF2]]</f>
        <v>6</v>
      </c>
      <c r="Y242" t="str">
        <f t="shared" si="85"/>
        <v>Neutral</v>
      </c>
      <c r="Z242" s="32">
        <f t="shared" si="86"/>
        <v>0</v>
      </c>
      <c r="AA242">
        <f>step3_validation[[#This Row],[AI_FAC1]]</f>
        <v>8</v>
      </c>
      <c r="AB242" t="str">
        <f t="shared" si="87"/>
        <v>Support</v>
      </c>
      <c r="AC242">
        <f>survey_responses[[#This Row],[Các thủ tục khai báo thuế VÀ/HOẶC quy trình làm việc với cơ quan thuế đơn giản, tiện lợi, nhanh chóng hơn so với trước đây. - HUMAN-FAC1]]</f>
        <v>7</v>
      </c>
      <c r="AD242" t="str">
        <f t="shared" si="88"/>
        <v>Neutral</v>
      </c>
      <c r="AE242" s="32">
        <f t="shared" si="89"/>
        <v>1</v>
      </c>
      <c r="AF242">
        <f>step3_validation[[#This Row],[AI_FAC2]]</f>
        <v>9</v>
      </c>
      <c r="AG242" t="str">
        <f t="shared" si="90"/>
        <v>Support</v>
      </c>
      <c r="AH242">
        <f>survey_responses[[#This Row],[So với trước đây, tôi thấy cách tính thuế và các bậc thuế trong phương án mới đơn giản, dễ hiểu và dễ thực hiện hơn. - HUMAN-FAC2]]</f>
        <v>7</v>
      </c>
      <c r="AI242" t="str">
        <f t="shared" si="91"/>
        <v>Neutral</v>
      </c>
      <c r="AJ242" s="32">
        <f t="shared" si="92"/>
        <v>2</v>
      </c>
      <c r="AK242">
        <f>step3_validation[[#This Row],[AI_TRU1]]</f>
        <v>7</v>
      </c>
      <c r="AL242" t="str">
        <f t="shared" si="93"/>
        <v>Neutral</v>
      </c>
      <c r="AM242">
        <f>survey_responses[[#This Row],[Tôi tin rằng Nhà nước, cơ quan thuế sẽ thực thi chính sách mới một cách khách quan, công tâm và đối xử bình đẳng với mọi người nộp thuế.  - HUMAN-TRU1]]</f>
        <v>8</v>
      </c>
      <c r="AN242" t="str">
        <f t="shared" si="94"/>
        <v>Support</v>
      </c>
      <c r="AO242" s="32">
        <f t="shared" si="95"/>
        <v>1</v>
      </c>
      <c r="AP242">
        <f>step3_validation[[#This Row],[AI_TRU2]]</f>
        <v>8</v>
      </c>
      <c r="AQ242" t="str">
        <f t="shared" si="96"/>
        <v>Support</v>
      </c>
      <c r="AR242">
        <f>survey_responses[[#This Row],[Tôi thấy mức thuế tôi phải đóng theo phương án mới là công bằng (người thu nhập như tôi đóng mức này là hợp lý). - HUMAN-TRU2]]</f>
        <v>8</v>
      </c>
      <c r="AS242" t="str">
        <f t="shared" si="97"/>
        <v>Support</v>
      </c>
      <c r="AT242" s="32">
        <f t="shared" si="98"/>
        <v>0</v>
      </c>
      <c r="AU242">
        <f>step3_validation[[#This Row],[AI_TRU3]]</f>
        <v>6</v>
      </c>
      <c r="AV242" t="str">
        <f t="shared" si="99"/>
        <v>Neutral</v>
      </c>
      <c r="AW242">
        <f>survey_responses[[#This Row],[Tôi tin tưởng số tiền thuế tôi đóng sẽ được Nhà nước sử dụng hiệu quả để cải thiện dịch vụ công (y tế, đường xá...). - HUMAN-TRU3]]</f>
        <v>8</v>
      </c>
      <c r="AX242" t="str">
        <f t="shared" si="100"/>
        <v>Support</v>
      </c>
      <c r="AY242" s="32">
        <f t="shared" si="101"/>
        <v>2</v>
      </c>
      <c r="AZ242">
        <f>step3_validation[[#This Row],[AI_TRU4]]</f>
        <v>8</v>
      </c>
      <c r="BA242" t="str">
        <f t="shared" si="102"/>
        <v>Support</v>
      </c>
      <c r="BB242">
        <f>survey_responses[[#This Row],[Tôi thấy Nhà nước đã giải thích rõ ràng, minh bạch về lý do và mục tiêu của việc sửa đổi thuế lần này. - HUMAN-TRU4]]</f>
        <v>8</v>
      </c>
      <c r="BC242" t="str">
        <f t="shared" si="103"/>
        <v>Support</v>
      </c>
      <c r="BD242" s="32">
        <f t="shared" si="104"/>
        <v>0</v>
      </c>
      <c r="BE242">
        <f>step3_validation[[#This Row],[AI_OUT1]]</f>
        <v>9</v>
      </c>
      <c r="BF242" t="str">
        <f t="shared" si="105"/>
        <v>Support</v>
      </c>
      <c r="BG242">
        <f>survey_responses[[#This Row],[Sau khi xem xét các quyền lợi và nghĩa vụ, bạn có ủng hộ và tuân thủ chính sách mới hiện nay? - HUMAN-OUT1]]</f>
        <v>8</v>
      </c>
      <c r="BH242" t="str">
        <f t="shared" si="106"/>
        <v>Support</v>
      </c>
      <c r="BI242" s="32">
        <f t="shared" si="107"/>
        <v>1</v>
      </c>
    </row>
    <row r="243" spans="1:61" x14ac:dyDescent="0.45">
      <c r="A243" s="30">
        <f>step3_validation[[#This Row],[Persona_ID]]</f>
        <v>242</v>
      </c>
      <c r="B243" s="31">
        <f>step3_validation[[#This Row],[Used_Seed]]</f>
        <v>242</v>
      </c>
      <c r="C243" t="str">
        <f>step3_validation[[#This Row],[Gender]]</f>
        <v>Nam</v>
      </c>
      <c r="D243" t="str">
        <f>survey_responses[[#This Row],[Giới tính của bạn:]]</f>
        <v>Nam</v>
      </c>
      <c r="E243" t="str">
        <f>step3_validation[[#This Row],[Age_Group]]</f>
        <v>30 - 39</v>
      </c>
      <c r="F243" t="str">
        <f>survey_responses[[#This Row],[Độ tuổi của bạn:]]</f>
        <v>30 - 39</v>
      </c>
      <c r="G243" t="str">
        <f>step3_validation[[#This Row],[Region]]</f>
        <v>Thành thị</v>
      </c>
      <c r="H243" t="str">
        <f>survey_responses[[#This Row],[Khu vực bạn đang sinh sống:]]</f>
        <v>Thành thị</v>
      </c>
      <c r="I243" t="str">
        <f>step3_validation[[#This Row],[Education]]</f>
        <v>Đại học</v>
      </c>
      <c r="J243" t="str">
        <f>survey_responses[[#This Row],[Trình độ học vấn cao nhất:]]</f>
        <v>Đại học</v>
      </c>
      <c r="K243" t="str">
        <f>step3_validation[[#This Row],[Employment]]</f>
        <v>Chính thức</v>
      </c>
      <c r="L243" t="str">
        <f>survey_responses[[#This Row],[Tình trạng việc làm chính:]]</f>
        <v>Khu vực chính thức (Có Hợp đồng lao động, đóng BHXH)</v>
      </c>
      <c r="M243">
        <f>step3_validation[[#This Row],[Income_Mil]]</f>
        <v>49.814620100080369</v>
      </c>
      <c r="N243" t="str">
        <f>survey_responses[[#This Row],[Thu nhập bình quân tháng theo Hợp đồng lao động của bạn là bao nhiêu? (Vui lòng điền tổng thu nhập trước khi khấu trừ các loại Bảo hiểm (BHXH, BHYT, BHTN) và Thuế TNCN)]]</f>
        <v>Từ 48 - 70 triệu VNĐ</v>
      </c>
      <c r="O243">
        <f>step3_validation[[#This Row],[Dependents]]</f>
        <v>2</v>
      </c>
      <c r="P243" t="str">
        <f>survey_responses[[#This Row],[Số người phụ thuộc (con nhỏ, cha mẹ già...) đủ điều kiện giảm trừ gia cảnh:]]</f>
        <v>2 người</v>
      </c>
      <c r="Q243">
        <f>step3_validation[[#This Row],[AI_ENF1]]</f>
        <v>7</v>
      </c>
      <c r="R243" t="str">
        <f t="shared" si="81"/>
        <v>Neutral</v>
      </c>
      <c r="S243">
        <f>survey_responses[[#This Row],[Tôi tin rằng với các quy định quản lý thuế hiện nay, hành vi gian lận hoặc trốn thuế sẽ dễ dàng bị phát hiện và xử lý nghiêm. - HUMAN-ENF1]]</f>
        <v>6</v>
      </c>
      <c r="T243" t="str">
        <f t="shared" si="82"/>
        <v>Neutral</v>
      </c>
      <c r="U243" s="32">
        <f t="shared" si="83"/>
        <v>1</v>
      </c>
      <c r="V243">
        <f>step3_validation[[#This Row],[AI_ENF2]]</f>
        <v>8</v>
      </c>
      <c r="W243" t="str">
        <f t="shared" si="84"/>
        <v>Support</v>
      </c>
      <c r="X243">
        <f>survey_responses[[#This Row],[Tôi tin rằng Nhà nước, cơ quan thuế có đủ khả năng và công nghệ để phát hiện, xử lý nghiêm các hành vi trốn thuế. - HUMAN-ENF2]]</f>
        <v>5</v>
      </c>
      <c r="Y243" t="str">
        <f t="shared" si="85"/>
        <v>Neutral</v>
      </c>
      <c r="Z243" s="32">
        <f t="shared" si="86"/>
        <v>3</v>
      </c>
      <c r="AA243">
        <f>step3_validation[[#This Row],[AI_FAC1]]</f>
        <v>9</v>
      </c>
      <c r="AB243" t="str">
        <f t="shared" si="87"/>
        <v>Support</v>
      </c>
      <c r="AC243">
        <f>survey_responses[[#This Row],[Các thủ tục khai báo thuế VÀ/HOẶC quy trình làm việc với cơ quan thuế đơn giản, tiện lợi, nhanh chóng hơn so với trước đây. - HUMAN-FAC1]]</f>
        <v>5</v>
      </c>
      <c r="AD243" t="str">
        <f t="shared" si="88"/>
        <v>Neutral</v>
      </c>
      <c r="AE243" s="32">
        <f t="shared" si="89"/>
        <v>4</v>
      </c>
      <c r="AF243">
        <f>step3_validation[[#This Row],[AI_FAC2]]</f>
        <v>10</v>
      </c>
      <c r="AG243" t="str">
        <f t="shared" si="90"/>
        <v>Support</v>
      </c>
      <c r="AH243">
        <f>survey_responses[[#This Row],[So với trước đây, tôi thấy cách tính thuế và các bậc thuế trong phương án mới đơn giản, dễ hiểu và dễ thực hiện hơn. - HUMAN-FAC2]]</f>
        <v>7</v>
      </c>
      <c r="AI243" t="str">
        <f t="shared" si="91"/>
        <v>Neutral</v>
      </c>
      <c r="AJ243" s="32">
        <f t="shared" si="92"/>
        <v>3</v>
      </c>
      <c r="AK243">
        <f>step3_validation[[#This Row],[AI_TRU1]]</f>
        <v>9</v>
      </c>
      <c r="AL243" t="str">
        <f t="shared" si="93"/>
        <v>Support</v>
      </c>
      <c r="AM243">
        <f>survey_responses[[#This Row],[Tôi tin rằng Nhà nước, cơ quan thuế sẽ thực thi chính sách mới một cách khách quan, công tâm và đối xử bình đẳng với mọi người nộp thuế.  - HUMAN-TRU1]]</f>
        <v>7</v>
      </c>
      <c r="AN243" t="str">
        <f t="shared" si="94"/>
        <v>Neutral</v>
      </c>
      <c r="AO243" s="32">
        <f t="shared" si="95"/>
        <v>2</v>
      </c>
      <c r="AP243">
        <f>step3_validation[[#This Row],[AI_TRU2]]</f>
        <v>8</v>
      </c>
      <c r="AQ243" t="str">
        <f t="shared" si="96"/>
        <v>Support</v>
      </c>
      <c r="AR243">
        <f>survey_responses[[#This Row],[Tôi thấy mức thuế tôi phải đóng theo phương án mới là công bằng (người thu nhập như tôi đóng mức này là hợp lý). - HUMAN-TRU2]]</f>
        <v>7</v>
      </c>
      <c r="AS243" t="str">
        <f t="shared" si="97"/>
        <v>Neutral</v>
      </c>
      <c r="AT243" s="32">
        <f t="shared" si="98"/>
        <v>1</v>
      </c>
      <c r="AU243">
        <f>step3_validation[[#This Row],[AI_TRU3]]</f>
        <v>9</v>
      </c>
      <c r="AV243" t="str">
        <f t="shared" si="99"/>
        <v>Support</v>
      </c>
      <c r="AW243">
        <f>survey_responses[[#This Row],[Tôi tin tưởng số tiền thuế tôi đóng sẽ được Nhà nước sử dụng hiệu quả để cải thiện dịch vụ công (y tế, đường xá...). - HUMAN-TRU3]]</f>
        <v>7</v>
      </c>
      <c r="AX243" t="str">
        <f t="shared" si="100"/>
        <v>Neutral</v>
      </c>
      <c r="AY243" s="32">
        <f t="shared" si="101"/>
        <v>2</v>
      </c>
      <c r="AZ243">
        <f>step3_validation[[#This Row],[AI_TRU4]]</f>
        <v>7</v>
      </c>
      <c r="BA243" t="str">
        <f t="shared" si="102"/>
        <v>Neutral</v>
      </c>
      <c r="BB243">
        <f>survey_responses[[#This Row],[Tôi thấy Nhà nước đã giải thích rõ ràng, minh bạch về lý do và mục tiêu của việc sửa đổi thuế lần này. - HUMAN-TRU4]]</f>
        <v>8</v>
      </c>
      <c r="BC243" t="str">
        <f t="shared" si="103"/>
        <v>Support</v>
      </c>
      <c r="BD243" s="32">
        <f t="shared" si="104"/>
        <v>1</v>
      </c>
      <c r="BE243">
        <f>step3_validation[[#This Row],[AI_OUT1]]</f>
        <v>9</v>
      </c>
      <c r="BF243" t="str">
        <f t="shared" si="105"/>
        <v>Support</v>
      </c>
      <c r="BG243">
        <f>survey_responses[[#This Row],[Sau khi xem xét các quyền lợi và nghĩa vụ, bạn có ủng hộ và tuân thủ chính sách mới hiện nay? - HUMAN-OUT1]]</f>
        <v>8</v>
      </c>
      <c r="BH243" t="str">
        <f t="shared" si="106"/>
        <v>Support</v>
      </c>
      <c r="BI243" s="32">
        <f t="shared" si="107"/>
        <v>1</v>
      </c>
    </row>
    <row r="244" spans="1:61" x14ac:dyDescent="0.45">
      <c r="A244" s="30">
        <f>step3_validation[[#This Row],[Persona_ID]]</f>
        <v>243</v>
      </c>
      <c r="B244" s="31">
        <f>step3_validation[[#This Row],[Used_Seed]]</f>
        <v>243</v>
      </c>
      <c r="C244" t="str">
        <f>step3_validation[[#This Row],[Gender]]</f>
        <v>Nam</v>
      </c>
      <c r="D244" t="str">
        <f>survey_responses[[#This Row],[Giới tính của bạn:]]</f>
        <v>Nam</v>
      </c>
      <c r="E244" t="str">
        <f>step3_validation[[#This Row],[Age_Group]]</f>
        <v>50 - 54</v>
      </c>
      <c r="F244" t="str">
        <f>survey_responses[[#This Row],[Độ tuổi của bạn:]]</f>
        <v>50 - 54</v>
      </c>
      <c r="G244" t="str">
        <f>step3_validation[[#This Row],[Region]]</f>
        <v>Thành thị</v>
      </c>
      <c r="H244" t="str">
        <f>survey_responses[[#This Row],[Khu vực bạn đang sinh sống:]]</f>
        <v>Thành thị</v>
      </c>
      <c r="I244" t="str">
        <f>step3_validation[[#This Row],[Education]]</f>
        <v>Đại học</v>
      </c>
      <c r="J244" t="str">
        <f>survey_responses[[#This Row],[Trình độ học vấn cao nhất:]]</f>
        <v>Đại học</v>
      </c>
      <c r="K244" t="str">
        <f>step3_validation[[#This Row],[Employment]]</f>
        <v>Chính thức</v>
      </c>
      <c r="L244" t="str">
        <f>survey_responses[[#This Row],[Tình trạng việc làm chính:]]</f>
        <v>Khu vực chính thức (Có Hợp đồng lao động, đóng BHXH)</v>
      </c>
      <c r="M244">
        <f>step3_validation[[#This Row],[Income_Mil]]</f>
        <v>84.584914020711025</v>
      </c>
      <c r="N244" t="str">
        <f>survey_responses[[#This Row],[Thu nhập bình quân tháng theo Hợp đồng lao động của bạn là bao nhiêu? (Vui lòng điền tổng thu nhập trước khi khấu trừ các loại Bảo hiểm (BHXH, BHYT, BHTN) và Thuế TNCN)]]</f>
        <v>Từ 70 - 102 triệu VNĐ</v>
      </c>
      <c r="O244">
        <f>step3_validation[[#This Row],[Dependents]]</f>
        <v>2</v>
      </c>
      <c r="P244" t="str">
        <f>survey_responses[[#This Row],[Số người phụ thuộc (con nhỏ, cha mẹ già...) đủ điều kiện giảm trừ gia cảnh:]]</f>
        <v>2 người</v>
      </c>
      <c r="Q244">
        <f>step3_validation[[#This Row],[AI_ENF1]]</f>
        <v>7</v>
      </c>
      <c r="R244" t="str">
        <f t="shared" si="81"/>
        <v>Neutral</v>
      </c>
      <c r="S244">
        <f>survey_responses[[#This Row],[Tôi tin rằng với các quy định quản lý thuế hiện nay, hành vi gian lận hoặc trốn thuế sẽ dễ dàng bị phát hiện và xử lý nghiêm. - HUMAN-ENF1]]</f>
        <v>6</v>
      </c>
      <c r="T244" t="str">
        <f t="shared" si="82"/>
        <v>Neutral</v>
      </c>
      <c r="U244" s="32">
        <f t="shared" si="83"/>
        <v>1</v>
      </c>
      <c r="V244">
        <f>step3_validation[[#This Row],[AI_ENF2]]</f>
        <v>8</v>
      </c>
      <c r="W244" t="str">
        <f t="shared" si="84"/>
        <v>Support</v>
      </c>
      <c r="X244">
        <f>survey_responses[[#This Row],[Tôi tin rằng Nhà nước, cơ quan thuế có đủ khả năng và công nghệ để phát hiện, xử lý nghiêm các hành vi trốn thuế. - HUMAN-ENF2]]</f>
        <v>6</v>
      </c>
      <c r="Y244" t="str">
        <f t="shared" si="85"/>
        <v>Neutral</v>
      </c>
      <c r="Z244" s="32">
        <f t="shared" si="86"/>
        <v>2</v>
      </c>
      <c r="AA244">
        <f>step3_validation[[#This Row],[AI_FAC1]]</f>
        <v>9</v>
      </c>
      <c r="AB244" t="str">
        <f t="shared" si="87"/>
        <v>Support</v>
      </c>
      <c r="AC244">
        <f>survey_responses[[#This Row],[Các thủ tục khai báo thuế VÀ/HOẶC quy trình làm việc với cơ quan thuế đơn giản, tiện lợi, nhanh chóng hơn so với trước đây. - HUMAN-FAC1]]</f>
        <v>6</v>
      </c>
      <c r="AD244" t="str">
        <f t="shared" si="88"/>
        <v>Neutral</v>
      </c>
      <c r="AE244" s="32">
        <f t="shared" si="89"/>
        <v>3</v>
      </c>
      <c r="AF244">
        <f>step3_validation[[#This Row],[AI_FAC2]]</f>
        <v>10</v>
      </c>
      <c r="AG244" t="str">
        <f t="shared" si="90"/>
        <v>Support</v>
      </c>
      <c r="AH244">
        <f>survey_responses[[#This Row],[So với trước đây, tôi thấy cách tính thuế và các bậc thuế trong phương án mới đơn giản, dễ hiểu và dễ thực hiện hơn. - HUMAN-FAC2]]</f>
        <v>6</v>
      </c>
      <c r="AI244" t="str">
        <f t="shared" si="91"/>
        <v>Neutral</v>
      </c>
      <c r="AJ244" s="32">
        <f t="shared" si="92"/>
        <v>4</v>
      </c>
      <c r="AK244">
        <f>step3_validation[[#This Row],[AI_TRU1]]</f>
        <v>6</v>
      </c>
      <c r="AL244" t="str">
        <f t="shared" si="93"/>
        <v>Neutral</v>
      </c>
      <c r="AM244">
        <f>survey_responses[[#This Row],[Tôi tin rằng Nhà nước, cơ quan thuế sẽ thực thi chính sách mới một cách khách quan, công tâm và đối xử bình đẳng với mọi người nộp thuế.  - HUMAN-TRU1]]</f>
        <v>6</v>
      </c>
      <c r="AN244" t="str">
        <f t="shared" si="94"/>
        <v>Neutral</v>
      </c>
      <c r="AO244" s="32">
        <f t="shared" si="95"/>
        <v>0</v>
      </c>
      <c r="AP244">
        <f>step3_validation[[#This Row],[AI_TRU2]]</f>
        <v>8</v>
      </c>
      <c r="AQ244" t="str">
        <f t="shared" si="96"/>
        <v>Support</v>
      </c>
      <c r="AR244">
        <f>survey_responses[[#This Row],[Tôi thấy mức thuế tôi phải đóng theo phương án mới là công bằng (người thu nhập như tôi đóng mức này là hợp lý). - HUMAN-TRU2]]</f>
        <v>6</v>
      </c>
      <c r="AS244" t="str">
        <f t="shared" si="97"/>
        <v>Neutral</v>
      </c>
      <c r="AT244" s="32">
        <f t="shared" si="98"/>
        <v>2</v>
      </c>
      <c r="AU244">
        <f>step3_validation[[#This Row],[AI_TRU3]]</f>
        <v>7</v>
      </c>
      <c r="AV244" t="str">
        <f t="shared" si="99"/>
        <v>Neutral</v>
      </c>
      <c r="AW244">
        <f>survey_responses[[#This Row],[Tôi tin tưởng số tiền thuế tôi đóng sẽ được Nhà nước sử dụng hiệu quả để cải thiện dịch vụ công (y tế, đường xá...). - HUMAN-TRU3]]</f>
        <v>6</v>
      </c>
      <c r="AX244" t="str">
        <f t="shared" si="100"/>
        <v>Neutral</v>
      </c>
      <c r="AY244" s="32">
        <f t="shared" si="101"/>
        <v>1</v>
      </c>
      <c r="AZ244">
        <f>step3_validation[[#This Row],[AI_TRU4]]</f>
        <v>5</v>
      </c>
      <c r="BA244" t="str">
        <f t="shared" si="102"/>
        <v>Neutral</v>
      </c>
      <c r="BB244">
        <f>survey_responses[[#This Row],[Tôi thấy Nhà nước đã giải thích rõ ràng, minh bạch về lý do và mục tiêu của việc sửa đổi thuế lần này. - HUMAN-TRU4]]</f>
        <v>6</v>
      </c>
      <c r="BC244" t="str">
        <f t="shared" si="103"/>
        <v>Neutral</v>
      </c>
      <c r="BD244" s="32">
        <f t="shared" si="104"/>
        <v>1</v>
      </c>
      <c r="BE244">
        <f>step3_validation[[#This Row],[AI_OUT1]]</f>
        <v>8</v>
      </c>
      <c r="BF244" t="str">
        <f t="shared" si="105"/>
        <v>Support</v>
      </c>
      <c r="BG244">
        <f>survey_responses[[#This Row],[Sau khi xem xét các quyền lợi và nghĩa vụ, bạn có ủng hộ và tuân thủ chính sách mới hiện nay? - HUMAN-OUT1]]</f>
        <v>6</v>
      </c>
      <c r="BH244" t="str">
        <f t="shared" si="106"/>
        <v>Neutral</v>
      </c>
      <c r="BI244" s="32">
        <f t="shared" si="107"/>
        <v>2</v>
      </c>
    </row>
    <row r="245" spans="1:61" x14ac:dyDescent="0.45">
      <c r="A245" s="30">
        <f>step3_validation[[#This Row],[Persona_ID]]</f>
        <v>244</v>
      </c>
      <c r="B245" s="31">
        <f>step3_validation[[#This Row],[Used_Seed]]</f>
        <v>244</v>
      </c>
      <c r="C245" t="str">
        <f>step3_validation[[#This Row],[Gender]]</f>
        <v>Nữ</v>
      </c>
      <c r="D245" t="str">
        <f>survey_responses[[#This Row],[Giới tính của bạn:]]</f>
        <v>Nữ</v>
      </c>
      <c r="E245" t="str">
        <f>step3_validation[[#This Row],[Age_Group]]</f>
        <v>40 - 49</v>
      </c>
      <c r="F245" t="str">
        <f>survey_responses[[#This Row],[Độ tuổi của bạn:]]</f>
        <v>40 - 49</v>
      </c>
      <c r="G245" t="str">
        <f>step3_validation[[#This Row],[Region]]</f>
        <v>Thành thị</v>
      </c>
      <c r="H245" t="str">
        <f>survey_responses[[#This Row],[Khu vực bạn đang sinh sống:]]</f>
        <v>Thành thị</v>
      </c>
      <c r="I245" t="str">
        <f>step3_validation[[#This Row],[Education]]</f>
        <v>Sau Đại học</v>
      </c>
      <c r="J245" t="str">
        <f>survey_responses[[#This Row],[Trình độ học vấn cao nhất:]]</f>
        <v>Sau Đại học</v>
      </c>
      <c r="K245" t="str">
        <f>step3_validation[[#This Row],[Employment]]</f>
        <v>Chính thức</v>
      </c>
      <c r="L245" t="str">
        <f>survey_responses[[#This Row],[Tình trạng việc làm chính:]]</f>
        <v>Khu vực chính thức (Có Hợp đồng lao động, đóng BHXH)</v>
      </c>
      <c r="M245">
        <f>step3_validation[[#This Row],[Income_Mil]]</f>
        <v>49.935272439762663</v>
      </c>
      <c r="N245" t="str">
        <f>survey_responses[[#This Row],[Thu nhập bình quân tháng theo Hợp đồng lao động của bạn là bao nhiêu? (Vui lòng điền tổng thu nhập trước khi khấu trừ các loại Bảo hiểm (BHXH, BHYT, BHTN) và Thuế TNCN)]]</f>
        <v>Từ 48 - 70 triệu VNĐ</v>
      </c>
      <c r="O245">
        <f>step3_validation[[#This Row],[Dependents]]</f>
        <v>3</v>
      </c>
      <c r="P245" t="str">
        <f>survey_responses[[#This Row],[Số người phụ thuộc (con nhỏ, cha mẹ già...) đủ điều kiện giảm trừ gia cảnh:]]</f>
        <v>3 người</v>
      </c>
      <c r="Q245">
        <f>step3_validation[[#This Row],[AI_ENF1]]</f>
        <v>7</v>
      </c>
      <c r="R245" t="str">
        <f t="shared" si="81"/>
        <v>Neutral</v>
      </c>
      <c r="S245">
        <f>survey_responses[[#This Row],[Tôi tin rằng với các quy định quản lý thuế hiện nay, hành vi gian lận hoặc trốn thuế sẽ dễ dàng bị phát hiện và xử lý nghiêm. - HUMAN-ENF1]]</f>
        <v>7</v>
      </c>
      <c r="T245" t="str">
        <f t="shared" si="82"/>
        <v>Neutral</v>
      </c>
      <c r="U245" s="32">
        <f t="shared" si="83"/>
        <v>0</v>
      </c>
      <c r="V245">
        <f>step3_validation[[#This Row],[AI_ENF2]]</f>
        <v>6</v>
      </c>
      <c r="W245" t="str">
        <f t="shared" si="84"/>
        <v>Neutral</v>
      </c>
      <c r="X245">
        <f>survey_responses[[#This Row],[Tôi tin rằng Nhà nước, cơ quan thuế có đủ khả năng và công nghệ để phát hiện, xử lý nghiêm các hành vi trốn thuế. - HUMAN-ENF2]]</f>
        <v>6</v>
      </c>
      <c r="Y245" t="str">
        <f t="shared" si="85"/>
        <v>Neutral</v>
      </c>
      <c r="Z245" s="32">
        <f t="shared" si="86"/>
        <v>0</v>
      </c>
      <c r="AA245">
        <f>step3_validation[[#This Row],[AI_FAC1]]</f>
        <v>9</v>
      </c>
      <c r="AB245" t="str">
        <f t="shared" si="87"/>
        <v>Support</v>
      </c>
      <c r="AC245">
        <f>survey_responses[[#This Row],[Các thủ tục khai báo thuế VÀ/HOẶC quy trình làm việc với cơ quan thuế đơn giản, tiện lợi, nhanh chóng hơn so với trước đây. - HUMAN-FAC1]]</f>
        <v>6</v>
      </c>
      <c r="AD245" t="str">
        <f t="shared" si="88"/>
        <v>Neutral</v>
      </c>
      <c r="AE245" s="32">
        <f t="shared" si="89"/>
        <v>3</v>
      </c>
      <c r="AF245">
        <f>step3_validation[[#This Row],[AI_FAC2]]</f>
        <v>10</v>
      </c>
      <c r="AG245" t="str">
        <f t="shared" si="90"/>
        <v>Support</v>
      </c>
      <c r="AH245">
        <f>survey_responses[[#This Row],[So với trước đây, tôi thấy cách tính thuế và các bậc thuế trong phương án mới đơn giản, dễ hiểu và dễ thực hiện hơn. - HUMAN-FAC2]]</f>
        <v>8</v>
      </c>
      <c r="AI245" t="str">
        <f t="shared" si="91"/>
        <v>Support</v>
      </c>
      <c r="AJ245" s="32">
        <f t="shared" si="92"/>
        <v>2</v>
      </c>
      <c r="AK245">
        <f>step3_validation[[#This Row],[AI_TRU1]]</f>
        <v>9</v>
      </c>
      <c r="AL245" t="str">
        <f t="shared" si="93"/>
        <v>Support</v>
      </c>
      <c r="AM245">
        <f>survey_responses[[#This Row],[Tôi tin rằng Nhà nước, cơ quan thuế sẽ thực thi chính sách mới một cách khách quan, công tâm và đối xử bình đẳng với mọi người nộp thuế.  - HUMAN-TRU1]]</f>
        <v>6</v>
      </c>
      <c r="AN245" t="str">
        <f t="shared" si="94"/>
        <v>Neutral</v>
      </c>
      <c r="AO245" s="32">
        <f t="shared" si="95"/>
        <v>3</v>
      </c>
      <c r="AP245">
        <f>step3_validation[[#This Row],[AI_TRU2]]</f>
        <v>8</v>
      </c>
      <c r="AQ245" t="str">
        <f t="shared" si="96"/>
        <v>Support</v>
      </c>
      <c r="AR245">
        <f>survey_responses[[#This Row],[Tôi thấy mức thuế tôi phải đóng theo phương án mới là công bằng (người thu nhập như tôi đóng mức này là hợp lý). - HUMAN-TRU2]]</f>
        <v>6</v>
      </c>
      <c r="AS245" t="str">
        <f t="shared" si="97"/>
        <v>Neutral</v>
      </c>
      <c r="AT245" s="32">
        <f t="shared" si="98"/>
        <v>2</v>
      </c>
      <c r="AU245">
        <f>step3_validation[[#This Row],[AI_TRU3]]</f>
        <v>9</v>
      </c>
      <c r="AV245" t="str">
        <f t="shared" si="99"/>
        <v>Support</v>
      </c>
      <c r="AW245">
        <f>survey_responses[[#This Row],[Tôi tin tưởng số tiền thuế tôi đóng sẽ được Nhà nước sử dụng hiệu quả để cải thiện dịch vụ công (y tế, đường xá...). - HUMAN-TRU3]]</f>
        <v>6</v>
      </c>
      <c r="AX245" t="str">
        <f t="shared" si="100"/>
        <v>Neutral</v>
      </c>
      <c r="AY245" s="32">
        <f t="shared" si="101"/>
        <v>3</v>
      </c>
      <c r="AZ245">
        <f>step3_validation[[#This Row],[AI_TRU4]]</f>
        <v>8</v>
      </c>
      <c r="BA245" t="str">
        <f t="shared" si="102"/>
        <v>Support</v>
      </c>
      <c r="BB245">
        <f>survey_responses[[#This Row],[Tôi thấy Nhà nước đã giải thích rõ ràng, minh bạch về lý do và mục tiêu của việc sửa đổi thuế lần này. - HUMAN-TRU4]]</f>
        <v>6</v>
      </c>
      <c r="BC245" t="str">
        <f t="shared" si="103"/>
        <v>Neutral</v>
      </c>
      <c r="BD245" s="32">
        <f t="shared" si="104"/>
        <v>2</v>
      </c>
      <c r="BE245">
        <f>step3_validation[[#This Row],[AI_OUT1]]</f>
        <v>9</v>
      </c>
      <c r="BF245" t="str">
        <f t="shared" si="105"/>
        <v>Support</v>
      </c>
      <c r="BG245">
        <f>survey_responses[[#This Row],[Sau khi xem xét các quyền lợi và nghĩa vụ, bạn có ủng hộ và tuân thủ chính sách mới hiện nay? - HUMAN-OUT1]]</f>
        <v>6</v>
      </c>
      <c r="BH245" t="str">
        <f t="shared" si="106"/>
        <v>Neutral</v>
      </c>
      <c r="BI245" s="32">
        <f t="shared" si="107"/>
        <v>3</v>
      </c>
    </row>
    <row r="246" spans="1:61" x14ac:dyDescent="0.45">
      <c r="A246" s="30">
        <f>step3_validation[[#This Row],[Persona_ID]]</f>
        <v>245</v>
      </c>
      <c r="B246" s="31">
        <f>step3_validation[[#This Row],[Used_Seed]]</f>
        <v>245</v>
      </c>
      <c r="C246" t="str">
        <f>step3_validation[[#This Row],[Gender]]</f>
        <v>Nam</v>
      </c>
      <c r="D246" t="str">
        <f>survey_responses[[#This Row],[Giới tính của bạn:]]</f>
        <v>Nam</v>
      </c>
      <c r="E246" t="str">
        <f>step3_validation[[#This Row],[Age_Group]]</f>
        <v>40 - 49</v>
      </c>
      <c r="F246" t="str">
        <f>survey_responses[[#This Row],[Độ tuổi của bạn:]]</f>
        <v>40 - 49</v>
      </c>
      <c r="G246" t="str">
        <f>step3_validation[[#This Row],[Region]]</f>
        <v>Thành thị</v>
      </c>
      <c r="H246" t="str">
        <f>survey_responses[[#This Row],[Khu vực bạn đang sinh sống:]]</f>
        <v>Thành thị</v>
      </c>
      <c r="I246" t="str">
        <f>step3_validation[[#This Row],[Education]]</f>
        <v>Sau Đại học</v>
      </c>
      <c r="J246" t="str">
        <f>survey_responses[[#This Row],[Trình độ học vấn cao nhất:]]</f>
        <v>Sau Đại học</v>
      </c>
      <c r="K246" t="str">
        <f>step3_validation[[#This Row],[Employment]]</f>
        <v>Chính thức</v>
      </c>
      <c r="L246" t="str">
        <f>survey_responses[[#This Row],[Tình trạng việc làm chính:]]</f>
        <v>Khu vực chính thức (Có Hợp đồng lao động, đóng BHXH)</v>
      </c>
      <c r="M246">
        <f>step3_validation[[#This Row],[Income_Mil]]</f>
        <v>162.31476821611571</v>
      </c>
      <c r="N246" t="str">
        <f>survey_responses[[#This Row],[Thu nhập bình quân tháng theo Hợp đồng lao động của bạn là bao nhiêu? (Vui lòng điền tổng thu nhập trước khi khấu trừ các loại Bảo hiểm (BHXH, BHYT, BHTN) và Thuế TNCN)]]</f>
        <v>Trên 102 triệu VNĐ</v>
      </c>
      <c r="O246">
        <f>step3_validation[[#This Row],[Dependents]]</f>
        <v>0</v>
      </c>
      <c r="P246" t="str">
        <f>survey_responses[[#This Row],[Số người phụ thuộc (con nhỏ, cha mẹ già...) đủ điều kiện giảm trừ gia cảnh:]]</f>
        <v>0 người</v>
      </c>
      <c r="Q246">
        <f>step3_validation[[#This Row],[AI_ENF1]]</f>
        <v>6</v>
      </c>
      <c r="R246" t="str">
        <f t="shared" si="81"/>
        <v>Neutral</v>
      </c>
      <c r="S246">
        <f>survey_responses[[#This Row],[Tôi tin rằng với các quy định quản lý thuế hiện nay, hành vi gian lận hoặc trốn thuế sẽ dễ dàng bị phát hiện và xử lý nghiêm. - HUMAN-ENF1]]</f>
        <v>4</v>
      </c>
      <c r="T246" t="str">
        <f t="shared" si="82"/>
        <v>Oppose</v>
      </c>
      <c r="U246" s="32">
        <f t="shared" si="83"/>
        <v>2</v>
      </c>
      <c r="V246">
        <f>step3_validation[[#This Row],[AI_ENF2]]</f>
        <v>8</v>
      </c>
      <c r="W246" t="str">
        <f t="shared" si="84"/>
        <v>Support</v>
      </c>
      <c r="X246">
        <f>survey_responses[[#This Row],[Tôi tin rằng Nhà nước, cơ quan thuế có đủ khả năng và công nghệ để phát hiện, xử lý nghiêm các hành vi trốn thuế. - HUMAN-ENF2]]</f>
        <v>4</v>
      </c>
      <c r="Y246" t="str">
        <f t="shared" si="85"/>
        <v>Oppose</v>
      </c>
      <c r="Z246" s="32">
        <f t="shared" si="86"/>
        <v>4</v>
      </c>
      <c r="AA246">
        <f>step3_validation[[#This Row],[AI_FAC1]]</f>
        <v>7</v>
      </c>
      <c r="AB246" t="str">
        <f t="shared" si="87"/>
        <v>Neutral</v>
      </c>
      <c r="AC246">
        <f>survey_responses[[#This Row],[Các thủ tục khai báo thuế VÀ/HOẶC quy trình làm việc với cơ quan thuế đơn giản, tiện lợi, nhanh chóng hơn so với trước đây. - HUMAN-FAC1]]</f>
        <v>1</v>
      </c>
      <c r="AD246" t="str">
        <f t="shared" si="88"/>
        <v>Oppose</v>
      </c>
      <c r="AE246" s="32">
        <f t="shared" si="89"/>
        <v>6</v>
      </c>
      <c r="AF246">
        <f>step3_validation[[#This Row],[AI_FAC2]]</f>
        <v>8</v>
      </c>
      <c r="AG246" t="str">
        <f t="shared" si="90"/>
        <v>Support</v>
      </c>
      <c r="AH246">
        <f>survey_responses[[#This Row],[So với trước đây, tôi thấy cách tính thuế và các bậc thuế trong phương án mới đơn giản, dễ hiểu và dễ thực hiện hơn. - HUMAN-FAC2]]</f>
        <v>4</v>
      </c>
      <c r="AI246" t="str">
        <f t="shared" si="91"/>
        <v>Oppose</v>
      </c>
      <c r="AJ246" s="32">
        <f t="shared" si="92"/>
        <v>4</v>
      </c>
      <c r="AK246">
        <f>step3_validation[[#This Row],[AI_TRU1]]</f>
        <v>7</v>
      </c>
      <c r="AL246" t="str">
        <f t="shared" si="93"/>
        <v>Neutral</v>
      </c>
      <c r="AM246">
        <f>survey_responses[[#This Row],[Tôi tin rằng Nhà nước, cơ quan thuế sẽ thực thi chính sách mới một cách khách quan, công tâm và đối xử bình đẳng với mọi người nộp thuế.  - HUMAN-TRU1]]</f>
        <v>4</v>
      </c>
      <c r="AN246" t="str">
        <f t="shared" si="94"/>
        <v>Oppose</v>
      </c>
      <c r="AO246" s="32">
        <f t="shared" si="95"/>
        <v>3</v>
      </c>
      <c r="AP246">
        <f>step3_validation[[#This Row],[AI_TRU2]]</f>
        <v>8</v>
      </c>
      <c r="AQ246" t="str">
        <f t="shared" si="96"/>
        <v>Support</v>
      </c>
      <c r="AR246">
        <f>survey_responses[[#This Row],[Tôi thấy mức thuế tôi phải đóng theo phương án mới là công bằng (người thu nhập như tôi đóng mức này là hợp lý). - HUMAN-TRU2]]</f>
        <v>4</v>
      </c>
      <c r="AS246" t="str">
        <f t="shared" si="97"/>
        <v>Oppose</v>
      </c>
      <c r="AT246" s="32">
        <f t="shared" si="98"/>
        <v>4</v>
      </c>
      <c r="AU246">
        <f>step3_validation[[#This Row],[AI_TRU3]]</f>
        <v>7</v>
      </c>
      <c r="AV246" t="str">
        <f t="shared" si="99"/>
        <v>Neutral</v>
      </c>
      <c r="AW246">
        <f>survey_responses[[#This Row],[Tôi tin tưởng số tiền thuế tôi đóng sẽ được Nhà nước sử dụng hiệu quả để cải thiện dịch vụ công (y tế, đường xá...). - HUMAN-TRU3]]</f>
        <v>5</v>
      </c>
      <c r="AX246" t="str">
        <f t="shared" si="100"/>
        <v>Neutral</v>
      </c>
      <c r="AY246" s="32">
        <f t="shared" si="101"/>
        <v>2</v>
      </c>
      <c r="AZ246">
        <f>step3_validation[[#This Row],[AI_TRU4]]</f>
        <v>6</v>
      </c>
      <c r="BA246" t="str">
        <f t="shared" si="102"/>
        <v>Neutral</v>
      </c>
      <c r="BB246">
        <f>survey_responses[[#This Row],[Tôi thấy Nhà nước đã giải thích rõ ràng, minh bạch về lý do và mục tiêu của việc sửa đổi thuế lần này. - HUMAN-TRU4]]</f>
        <v>5</v>
      </c>
      <c r="BC246" t="str">
        <f t="shared" si="103"/>
        <v>Neutral</v>
      </c>
      <c r="BD246" s="32">
        <f t="shared" si="104"/>
        <v>1</v>
      </c>
      <c r="BE246">
        <f>step3_validation[[#This Row],[AI_OUT1]]</f>
        <v>9</v>
      </c>
      <c r="BF246" t="str">
        <f t="shared" si="105"/>
        <v>Support</v>
      </c>
      <c r="BG246">
        <f>survey_responses[[#This Row],[Sau khi xem xét các quyền lợi và nghĩa vụ, bạn có ủng hộ và tuân thủ chính sách mới hiện nay? - HUMAN-OUT1]]</f>
        <v>5</v>
      </c>
      <c r="BH246" t="str">
        <f t="shared" si="106"/>
        <v>Neutral</v>
      </c>
      <c r="BI246" s="32">
        <f t="shared" si="107"/>
        <v>4</v>
      </c>
    </row>
    <row r="247" spans="1:61" x14ac:dyDescent="0.45">
      <c r="A247" s="30">
        <f>step3_validation[[#This Row],[Persona_ID]]</f>
        <v>246</v>
      </c>
      <c r="B247" s="31">
        <f>step3_validation[[#This Row],[Used_Seed]]</f>
        <v>246</v>
      </c>
      <c r="C247" t="str">
        <f>step3_validation[[#This Row],[Gender]]</f>
        <v>Nam</v>
      </c>
      <c r="D247" t="str">
        <f>survey_responses[[#This Row],[Giới tính của bạn:]]</f>
        <v>Nam</v>
      </c>
      <c r="E247" t="str">
        <f>step3_validation[[#This Row],[Age_Group]]</f>
        <v>30 - 39</v>
      </c>
      <c r="F247" t="str">
        <f>survey_responses[[#This Row],[Độ tuổi của bạn:]]</f>
        <v>30 - 39</v>
      </c>
      <c r="G247" t="str">
        <f>step3_validation[[#This Row],[Region]]</f>
        <v>Thành thị</v>
      </c>
      <c r="H247" t="str">
        <f>survey_responses[[#This Row],[Khu vực bạn đang sinh sống:]]</f>
        <v>Thành thị</v>
      </c>
      <c r="I247" t="str">
        <f>step3_validation[[#This Row],[Education]]</f>
        <v>Đại học</v>
      </c>
      <c r="J247" t="str">
        <f>survey_responses[[#This Row],[Trình độ học vấn cao nhất:]]</f>
        <v>Đại học</v>
      </c>
      <c r="K247" t="str">
        <f>step3_validation[[#This Row],[Employment]]</f>
        <v>Chính thức</v>
      </c>
      <c r="L247" t="str">
        <f>survey_responses[[#This Row],[Tình trạng việc làm chính:]]</f>
        <v>Khu vực chính thức (Có Hợp đồng lao động, đóng BHXH)</v>
      </c>
      <c r="M247">
        <f>step3_validation[[#This Row],[Income_Mil]]</f>
        <v>25.019283739312534</v>
      </c>
      <c r="N247" t="str">
        <f>survey_responses[[#This Row],[Thu nhập bình quân tháng theo Hợp đồng lao động của bạn là bao nhiêu? (Vui lòng điền tổng thu nhập trước khi khấu trừ các loại Bảo hiểm (BHXH, BHYT, BHTN) và Thuế TNCN)]]</f>
        <v>Từ 23 - 32 triệu VNĐ</v>
      </c>
      <c r="O247">
        <f>step3_validation[[#This Row],[Dependents]]</f>
        <v>0</v>
      </c>
      <c r="P247" t="str">
        <f>survey_responses[[#This Row],[Số người phụ thuộc (con nhỏ, cha mẹ già...) đủ điều kiện giảm trừ gia cảnh:]]</f>
        <v>0 người</v>
      </c>
      <c r="Q247">
        <f>step3_validation[[#This Row],[AI_ENF1]]</f>
        <v>7</v>
      </c>
      <c r="R247" t="str">
        <f t="shared" si="81"/>
        <v>Neutral</v>
      </c>
      <c r="S247">
        <f>survey_responses[[#This Row],[Tôi tin rằng với các quy định quản lý thuế hiện nay, hành vi gian lận hoặc trốn thuế sẽ dễ dàng bị phát hiện và xử lý nghiêm. - HUMAN-ENF1]]</f>
        <v>6</v>
      </c>
      <c r="T247" t="str">
        <f t="shared" si="82"/>
        <v>Neutral</v>
      </c>
      <c r="U247" s="32">
        <f t="shared" si="83"/>
        <v>1</v>
      </c>
      <c r="V247">
        <f>step3_validation[[#This Row],[AI_ENF2]]</f>
        <v>8</v>
      </c>
      <c r="W247" t="str">
        <f t="shared" si="84"/>
        <v>Support</v>
      </c>
      <c r="X247">
        <f>survey_responses[[#This Row],[Tôi tin rằng Nhà nước, cơ quan thuế có đủ khả năng và công nghệ để phát hiện, xử lý nghiêm các hành vi trốn thuế. - HUMAN-ENF2]]</f>
        <v>7</v>
      </c>
      <c r="Y247" t="str">
        <f t="shared" si="85"/>
        <v>Neutral</v>
      </c>
      <c r="Z247" s="32">
        <f t="shared" si="86"/>
        <v>1</v>
      </c>
      <c r="AA247">
        <f>step3_validation[[#This Row],[AI_FAC1]]</f>
        <v>9</v>
      </c>
      <c r="AB247" t="str">
        <f t="shared" si="87"/>
        <v>Support</v>
      </c>
      <c r="AC247">
        <f>survey_responses[[#This Row],[Các thủ tục khai báo thuế VÀ/HOẶC quy trình làm việc với cơ quan thuế đơn giản, tiện lợi, nhanh chóng hơn so với trước đây. - HUMAN-FAC1]]</f>
        <v>7</v>
      </c>
      <c r="AD247" t="str">
        <f t="shared" si="88"/>
        <v>Neutral</v>
      </c>
      <c r="AE247" s="32">
        <f t="shared" si="89"/>
        <v>2</v>
      </c>
      <c r="AF247">
        <f>step3_validation[[#This Row],[AI_FAC2]]</f>
        <v>10</v>
      </c>
      <c r="AG247" t="str">
        <f t="shared" si="90"/>
        <v>Support</v>
      </c>
      <c r="AH247">
        <f>survey_responses[[#This Row],[So với trước đây, tôi thấy cách tính thuế và các bậc thuế trong phương án mới đơn giản, dễ hiểu và dễ thực hiện hơn. - HUMAN-FAC2]]</f>
        <v>7</v>
      </c>
      <c r="AI247" t="str">
        <f t="shared" si="91"/>
        <v>Neutral</v>
      </c>
      <c r="AJ247" s="32">
        <f t="shared" si="92"/>
        <v>3</v>
      </c>
      <c r="AK247">
        <f>step3_validation[[#This Row],[AI_TRU1]]</f>
        <v>9</v>
      </c>
      <c r="AL247" t="str">
        <f t="shared" si="93"/>
        <v>Support</v>
      </c>
      <c r="AM247">
        <f>survey_responses[[#This Row],[Tôi tin rằng Nhà nước, cơ quan thuế sẽ thực thi chính sách mới một cách khách quan, công tâm và đối xử bình đẳng với mọi người nộp thuế.  - HUMAN-TRU1]]</f>
        <v>7</v>
      </c>
      <c r="AN247" t="str">
        <f t="shared" si="94"/>
        <v>Neutral</v>
      </c>
      <c r="AO247" s="32">
        <f t="shared" si="95"/>
        <v>2</v>
      </c>
      <c r="AP247">
        <f>step3_validation[[#This Row],[AI_TRU2]]</f>
        <v>9</v>
      </c>
      <c r="AQ247" t="str">
        <f t="shared" si="96"/>
        <v>Support</v>
      </c>
      <c r="AR247">
        <f>survey_responses[[#This Row],[Tôi thấy mức thuế tôi phải đóng theo phương án mới là công bằng (người thu nhập như tôi đóng mức này là hợp lý). - HUMAN-TRU2]]</f>
        <v>7</v>
      </c>
      <c r="AS247" t="str">
        <f t="shared" si="97"/>
        <v>Neutral</v>
      </c>
      <c r="AT247" s="32">
        <f t="shared" si="98"/>
        <v>2</v>
      </c>
      <c r="AU247">
        <f>step3_validation[[#This Row],[AI_TRU3]]</f>
        <v>7</v>
      </c>
      <c r="AV247" t="str">
        <f t="shared" si="99"/>
        <v>Neutral</v>
      </c>
      <c r="AW247">
        <f>survey_responses[[#This Row],[Tôi tin tưởng số tiền thuế tôi đóng sẽ được Nhà nước sử dụng hiệu quả để cải thiện dịch vụ công (y tế, đường xá...). - HUMAN-TRU3]]</f>
        <v>7</v>
      </c>
      <c r="AX247" t="str">
        <f t="shared" si="100"/>
        <v>Neutral</v>
      </c>
      <c r="AY247" s="32">
        <f t="shared" si="101"/>
        <v>0</v>
      </c>
      <c r="AZ247">
        <f>step3_validation[[#This Row],[AI_TRU4]]</f>
        <v>8</v>
      </c>
      <c r="BA247" t="str">
        <f t="shared" si="102"/>
        <v>Support</v>
      </c>
      <c r="BB247">
        <f>survey_responses[[#This Row],[Tôi thấy Nhà nước đã giải thích rõ ràng, minh bạch về lý do và mục tiêu của việc sửa đổi thuế lần này. - HUMAN-TRU4]]</f>
        <v>7</v>
      </c>
      <c r="BC247" t="str">
        <f t="shared" si="103"/>
        <v>Neutral</v>
      </c>
      <c r="BD247" s="32">
        <f t="shared" si="104"/>
        <v>1</v>
      </c>
      <c r="BE247">
        <f>step3_validation[[#This Row],[AI_OUT1]]</f>
        <v>9</v>
      </c>
      <c r="BF247" t="str">
        <f t="shared" si="105"/>
        <v>Support</v>
      </c>
      <c r="BG247">
        <f>survey_responses[[#This Row],[Sau khi xem xét các quyền lợi và nghĩa vụ, bạn có ủng hộ và tuân thủ chính sách mới hiện nay? - HUMAN-OUT1]]</f>
        <v>7</v>
      </c>
      <c r="BH247" t="str">
        <f t="shared" si="106"/>
        <v>Neutral</v>
      </c>
      <c r="BI247" s="32">
        <f t="shared" si="107"/>
        <v>2</v>
      </c>
    </row>
    <row r="248" spans="1:61" x14ac:dyDescent="0.45">
      <c r="A248" s="30">
        <f>step3_validation[[#This Row],[Persona_ID]]</f>
        <v>247</v>
      </c>
      <c r="B248" s="31">
        <f>step3_validation[[#This Row],[Used_Seed]]</f>
        <v>247</v>
      </c>
      <c r="C248" t="str">
        <f>step3_validation[[#This Row],[Gender]]</f>
        <v>Nữ</v>
      </c>
      <c r="D248" t="str">
        <f>survey_responses[[#This Row],[Giới tính của bạn:]]</f>
        <v>Nữ</v>
      </c>
      <c r="E248" t="str">
        <f>step3_validation[[#This Row],[Age_Group]]</f>
        <v>50 - 54</v>
      </c>
      <c r="F248" t="str">
        <f>survey_responses[[#This Row],[Độ tuổi của bạn:]]</f>
        <v>50 - 54</v>
      </c>
      <c r="G248" t="str">
        <f>step3_validation[[#This Row],[Region]]</f>
        <v>Thành thị</v>
      </c>
      <c r="H248" t="str">
        <f>survey_responses[[#This Row],[Khu vực bạn đang sinh sống:]]</f>
        <v>Thành thị</v>
      </c>
      <c r="I248" t="str">
        <f>step3_validation[[#This Row],[Education]]</f>
        <v>Sau Đại học</v>
      </c>
      <c r="J248" t="str">
        <f>survey_responses[[#This Row],[Trình độ học vấn cao nhất:]]</f>
        <v>Sau Đại học</v>
      </c>
      <c r="K248" t="str">
        <f>step3_validation[[#This Row],[Employment]]</f>
        <v>Chính thức</v>
      </c>
      <c r="L248" t="str">
        <f>survey_responses[[#This Row],[Tình trạng việc làm chính:]]</f>
        <v>Khu vực chính thức (Có Hợp đồng lao động, đóng BHXH)</v>
      </c>
      <c r="M248">
        <f>step3_validation[[#This Row],[Income_Mil]]</f>
        <v>63.930872936395865</v>
      </c>
      <c r="N248" t="str">
        <f>survey_responses[[#This Row],[Thu nhập bình quân tháng theo Hợp đồng lao động của bạn là bao nhiêu? (Vui lòng điền tổng thu nhập trước khi khấu trừ các loại Bảo hiểm (BHXH, BHYT, BHTN) và Thuế TNCN)]]</f>
        <v>Từ 48 - 70 triệu VNĐ</v>
      </c>
      <c r="O248">
        <f>step3_validation[[#This Row],[Dependents]]</f>
        <v>4</v>
      </c>
      <c r="P248" t="str">
        <f>survey_responses[[#This Row],[Số người phụ thuộc (con nhỏ, cha mẹ già...) đủ điều kiện giảm trừ gia cảnh:]]</f>
        <v>4 người trở lên</v>
      </c>
      <c r="Q248">
        <f>step3_validation[[#This Row],[AI_ENF1]]</f>
        <v>7</v>
      </c>
      <c r="R248" t="str">
        <f t="shared" si="81"/>
        <v>Neutral</v>
      </c>
      <c r="S248">
        <f>survey_responses[[#This Row],[Tôi tin rằng với các quy định quản lý thuế hiện nay, hành vi gian lận hoặc trốn thuế sẽ dễ dàng bị phát hiện và xử lý nghiêm. - HUMAN-ENF1]]</f>
        <v>8</v>
      </c>
      <c r="T248" t="str">
        <f t="shared" si="82"/>
        <v>Support</v>
      </c>
      <c r="U248" s="32">
        <f t="shared" si="83"/>
        <v>1</v>
      </c>
      <c r="V248">
        <f>step3_validation[[#This Row],[AI_ENF2]]</f>
        <v>6</v>
      </c>
      <c r="W248" t="str">
        <f t="shared" si="84"/>
        <v>Neutral</v>
      </c>
      <c r="X248">
        <f>survey_responses[[#This Row],[Tôi tin rằng Nhà nước, cơ quan thuế có đủ khả năng và công nghệ để phát hiện, xử lý nghiêm các hành vi trốn thuế. - HUMAN-ENF2]]</f>
        <v>8</v>
      </c>
      <c r="Y248" t="str">
        <f t="shared" si="85"/>
        <v>Support</v>
      </c>
      <c r="Z248" s="32">
        <f t="shared" si="86"/>
        <v>2</v>
      </c>
      <c r="AA248">
        <f>step3_validation[[#This Row],[AI_FAC1]]</f>
        <v>8</v>
      </c>
      <c r="AB248" t="str">
        <f t="shared" si="87"/>
        <v>Support</v>
      </c>
      <c r="AC248">
        <f>survey_responses[[#This Row],[Các thủ tục khai báo thuế VÀ/HOẶC quy trình làm việc với cơ quan thuế đơn giản, tiện lợi, nhanh chóng hơn so với trước đây. - HUMAN-FAC1]]</f>
        <v>8</v>
      </c>
      <c r="AD248" t="str">
        <f t="shared" si="88"/>
        <v>Support</v>
      </c>
      <c r="AE248" s="32">
        <f t="shared" si="89"/>
        <v>0</v>
      </c>
      <c r="AF248">
        <f>step3_validation[[#This Row],[AI_FAC2]]</f>
        <v>9</v>
      </c>
      <c r="AG248" t="str">
        <f t="shared" si="90"/>
        <v>Support</v>
      </c>
      <c r="AH248">
        <f>survey_responses[[#This Row],[So với trước đây, tôi thấy cách tính thuế và các bậc thuế trong phương án mới đơn giản, dễ hiểu và dễ thực hiện hơn. - HUMAN-FAC2]]</f>
        <v>8</v>
      </c>
      <c r="AI248" t="str">
        <f t="shared" si="91"/>
        <v>Support</v>
      </c>
      <c r="AJ248" s="32">
        <f t="shared" si="92"/>
        <v>1</v>
      </c>
      <c r="AK248">
        <f>step3_validation[[#This Row],[AI_TRU1]]</f>
        <v>7</v>
      </c>
      <c r="AL248" t="str">
        <f t="shared" si="93"/>
        <v>Neutral</v>
      </c>
      <c r="AM248">
        <f>survey_responses[[#This Row],[Tôi tin rằng Nhà nước, cơ quan thuế sẽ thực thi chính sách mới một cách khách quan, công tâm và đối xử bình đẳng với mọi người nộp thuế.  - HUMAN-TRU1]]</f>
        <v>8</v>
      </c>
      <c r="AN248" t="str">
        <f t="shared" si="94"/>
        <v>Support</v>
      </c>
      <c r="AO248" s="32">
        <f t="shared" si="95"/>
        <v>1</v>
      </c>
      <c r="AP248">
        <f>step3_validation[[#This Row],[AI_TRU2]]</f>
        <v>9</v>
      </c>
      <c r="AQ248" t="str">
        <f t="shared" si="96"/>
        <v>Support</v>
      </c>
      <c r="AR248">
        <f>survey_responses[[#This Row],[Tôi thấy mức thuế tôi phải đóng theo phương án mới là công bằng (người thu nhập như tôi đóng mức này là hợp lý). - HUMAN-TRU2]]</f>
        <v>8</v>
      </c>
      <c r="AS248" t="str">
        <f t="shared" si="97"/>
        <v>Support</v>
      </c>
      <c r="AT248" s="32">
        <f t="shared" si="98"/>
        <v>1</v>
      </c>
      <c r="AU248">
        <f>step3_validation[[#This Row],[AI_TRU3]]</f>
        <v>7</v>
      </c>
      <c r="AV248" t="str">
        <f t="shared" si="99"/>
        <v>Neutral</v>
      </c>
      <c r="AW248">
        <f>survey_responses[[#This Row],[Tôi tin tưởng số tiền thuế tôi đóng sẽ được Nhà nước sử dụng hiệu quả để cải thiện dịch vụ công (y tế, đường xá...). - HUMAN-TRU3]]</f>
        <v>8</v>
      </c>
      <c r="AX248" t="str">
        <f t="shared" si="100"/>
        <v>Support</v>
      </c>
      <c r="AY248" s="32">
        <f t="shared" si="101"/>
        <v>1</v>
      </c>
      <c r="AZ248">
        <f>step3_validation[[#This Row],[AI_TRU4]]</f>
        <v>8</v>
      </c>
      <c r="BA248" t="str">
        <f t="shared" si="102"/>
        <v>Support</v>
      </c>
      <c r="BB248">
        <f>survey_responses[[#This Row],[Tôi thấy Nhà nước đã giải thích rõ ràng, minh bạch về lý do và mục tiêu của việc sửa đổi thuế lần này. - HUMAN-TRU4]]</f>
        <v>8</v>
      </c>
      <c r="BC248" t="str">
        <f t="shared" si="103"/>
        <v>Support</v>
      </c>
      <c r="BD248" s="32">
        <f t="shared" si="104"/>
        <v>0</v>
      </c>
      <c r="BE248">
        <f>step3_validation[[#This Row],[AI_OUT1]]</f>
        <v>7</v>
      </c>
      <c r="BF248" t="str">
        <f t="shared" si="105"/>
        <v>Neutral</v>
      </c>
      <c r="BG248">
        <f>survey_responses[[#This Row],[Sau khi xem xét các quyền lợi và nghĩa vụ, bạn có ủng hộ và tuân thủ chính sách mới hiện nay? - HUMAN-OUT1]]</f>
        <v>8</v>
      </c>
      <c r="BH248" t="str">
        <f t="shared" si="106"/>
        <v>Support</v>
      </c>
      <c r="BI248" s="32">
        <f t="shared" si="107"/>
        <v>1</v>
      </c>
    </row>
    <row r="249" spans="1:61" x14ac:dyDescent="0.45">
      <c r="A249" s="30">
        <f>step3_validation[[#This Row],[Persona_ID]]</f>
        <v>248</v>
      </c>
      <c r="B249" s="31">
        <f>step3_validation[[#This Row],[Used_Seed]]</f>
        <v>248</v>
      </c>
      <c r="C249" t="str">
        <f>step3_validation[[#This Row],[Gender]]</f>
        <v>Nữ</v>
      </c>
      <c r="D249" t="str">
        <f>survey_responses[[#This Row],[Giới tính của bạn:]]</f>
        <v>Nữ</v>
      </c>
      <c r="E249" t="str">
        <f>step3_validation[[#This Row],[Age_Group]]</f>
        <v>40 - 49</v>
      </c>
      <c r="F249" t="str">
        <f>survey_responses[[#This Row],[Độ tuổi của bạn:]]</f>
        <v>40 - 49</v>
      </c>
      <c r="G249" t="str">
        <f>step3_validation[[#This Row],[Region]]</f>
        <v>Thành thị</v>
      </c>
      <c r="H249" t="str">
        <f>survey_responses[[#This Row],[Khu vực bạn đang sinh sống:]]</f>
        <v>Thành thị</v>
      </c>
      <c r="I249" t="str">
        <f>step3_validation[[#This Row],[Education]]</f>
        <v>Đại học</v>
      </c>
      <c r="J249" t="str">
        <f>survey_responses[[#This Row],[Trình độ học vấn cao nhất:]]</f>
        <v>Đại học</v>
      </c>
      <c r="K249" t="str">
        <f>step3_validation[[#This Row],[Employment]]</f>
        <v>Chính thức</v>
      </c>
      <c r="L249" t="str">
        <f>survey_responses[[#This Row],[Tình trạng việc làm chính:]]</f>
        <v>Khu vực chính thức (Có Hợp đồng lao động, đóng BHXH)</v>
      </c>
      <c r="M249">
        <f>step3_validation[[#This Row],[Income_Mil]]</f>
        <v>41.805944185442748</v>
      </c>
      <c r="N249" t="str">
        <f>survey_responses[[#This Row],[Thu nhập bình quân tháng theo Hợp đồng lao động của bạn là bao nhiêu? (Vui lòng điền tổng thu nhập trước khi khấu trừ các loại Bảo hiểm (BHXH, BHYT, BHTN) và Thuế TNCN)]]</f>
        <v>Từ 32 - 48 triệu VNĐ</v>
      </c>
      <c r="O249">
        <f>step3_validation[[#This Row],[Dependents]]</f>
        <v>1</v>
      </c>
      <c r="P249" t="str">
        <f>survey_responses[[#This Row],[Số người phụ thuộc (con nhỏ, cha mẹ già...) đủ điều kiện giảm trừ gia cảnh:]]</f>
        <v>1 người</v>
      </c>
      <c r="Q249">
        <f>step3_validation[[#This Row],[AI_ENF1]]</f>
        <v>7</v>
      </c>
      <c r="R249" t="str">
        <f t="shared" si="81"/>
        <v>Neutral</v>
      </c>
      <c r="S249">
        <f>survey_responses[[#This Row],[Tôi tin rằng với các quy định quản lý thuế hiện nay, hành vi gian lận hoặc trốn thuế sẽ dễ dàng bị phát hiện và xử lý nghiêm. - HUMAN-ENF1]]</f>
        <v>7</v>
      </c>
      <c r="T249" t="str">
        <f t="shared" si="82"/>
        <v>Neutral</v>
      </c>
      <c r="U249" s="32">
        <f t="shared" si="83"/>
        <v>0</v>
      </c>
      <c r="V249">
        <f>step3_validation[[#This Row],[AI_ENF2]]</f>
        <v>8</v>
      </c>
      <c r="W249" t="str">
        <f t="shared" si="84"/>
        <v>Support</v>
      </c>
      <c r="X249">
        <f>survey_responses[[#This Row],[Tôi tin rằng Nhà nước, cơ quan thuế có đủ khả năng và công nghệ để phát hiện, xử lý nghiêm các hành vi trốn thuế. - HUMAN-ENF2]]</f>
        <v>7</v>
      </c>
      <c r="Y249" t="str">
        <f t="shared" si="85"/>
        <v>Neutral</v>
      </c>
      <c r="Z249" s="32">
        <f t="shared" si="86"/>
        <v>1</v>
      </c>
      <c r="AA249">
        <f>step3_validation[[#This Row],[AI_FAC1]]</f>
        <v>9</v>
      </c>
      <c r="AB249" t="str">
        <f t="shared" si="87"/>
        <v>Support</v>
      </c>
      <c r="AC249">
        <f>survey_responses[[#This Row],[Các thủ tục khai báo thuế VÀ/HOẶC quy trình làm việc với cơ quan thuế đơn giản, tiện lợi, nhanh chóng hơn so với trước đây. - HUMAN-FAC1]]</f>
        <v>7</v>
      </c>
      <c r="AD249" t="str">
        <f t="shared" si="88"/>
        <v>Neutral</v>
      </c>
      <c r="AE249" s="32">
        <f t="shared" si="89"/>
        <v>2</v>
      </c>
      <c r="AF249">
        <f>step3_validation[[#This Row],[AI_FAC2]]</f>
        <v>8</v>
      </c>
      <c r="AG249" t="str">
        <f t="shared" si="90"/>
        <v>Support</v>
      </c>
      <c r="AH249">
        <f>survey_responses[[#This Row],[So với trước đây, tôi thấy cách tính thuế và các bậc thuế trong phương án mới đơn giản, dễ hiểu và dễ thực hiện hơn. - HUMAN-FAC2]]</f>
        <v>7</v>
      </c>
      <c r="AI249" t="str">
        <f t="shared" si="91"/>
        <v>Neutral</v>
      </c>
      <c r="AJ249" s="32">
        <f t="shared" si="92"/>
        <v>1</v>
      </c>
      <c r="AK249">
        <f>step3_validation[[#This Row],[AI_TRU1]]</f>
        <v>7</v>
      </c>
      <c r="AL249" t="str">
        <f t="shared" si="93"/>
        <v>Neutral</v>
      </c>
      <c r="AM249">
        <f>survey_responses[[#This Row],[Tôi tin rằng Nhà nước, cơ quan thuế sẽ thực thi chính sách mới một cách khách quan, công tâm và đối xử bình đẳng với mọi người nộp thuế.  - HUMAN-TRU1]]</f>
        <v>7</v>
      </c>
      <c r="AN249" t="str">
        <f t="shared" si="94"/>
        <v>Neutral</v>
      </c>
      <c r="AO249" s="32">
        <f t="shared" si="95"/>
        <v>0</v>
      </c>
      <c r="AP249">
        <f>step3_validation[[#This Row],[AI_TRU2]]</f>
        <v>9</v>
      </c>
      <c r="AQ249" t="str">
        <f t="shared" si="96"/>
        <v>Support</v>
      </c>
      <c r="AR249">
        <f>survey_responses[[#This Row],[Tôi thấy mức thuế tôi phải đóng theo phương án mới là công bằng (người thu nhập như tôi đóng mức này là hợp lý). - HUMAN-TRU2]]</f>
        <v>7</v>
      </c>
      <c r="AS249" t="str">
        <f t="shared" si="97"/>
        <v>Neutral</v>
      </c>
      <c r="AT249" s="32">
        <f t="shared" si="98"/>
        <v>2</v>
      </c>
      <c r="AU249">
        <f>step3_validation[[#This Row],[AI_TRU3]]</f>
        <v>6</v>
      </c>
      <c r="AV249" t="str">
        <f t="shared" si="99"/>
        <v>Neutral</v>
      </c>
      <c r="AW249">
        <f>survey_responses[[#This Row],[Tôi tin tưởng số tiền thuế tôi đóng sẽ được Nhà nước sử dụng hiệu quả để cải thiện dịch vụ công (y tế, đường xá...). - HUMAN-TRU3]]</f>
        <v>7</v>
      </c>
      <c r="AX249" t="str">
        <f t="shared" si="100"/>
        <v>Neutral</v>
      </c>
      <c r="AY249" s="32">
        <f t="shared" si="101"/>
        <v>1</v>
      </c>
      <c r="AZ249">
        <f>step3_validation[[#This Row],[AI_TRU4]]</f>
        <v>7</v>
      </c>
      <c r="BA249" t="str">
        <f t="shared" si="102"/>
        <v>Neutral</v>
      </c>
      <c r="BB249">
        <f>survey_responses[[#This Row],[Tôi thấy Nhà nước đã giải thích rõ ràng, minh bạch về lý do và mục tiêu của việc sửa đổi thuế lần này. - HUMAN-TRU4]]</f>
        <v>7</v>
      </c>
      <c r="BC249" t="str">
        <f t="shared" si="103"/>
        <v>Neutral</v>
      </c>
      <c r="BD249" s="32">
        <f t="shared" si="104"/>
        <v>0</v>
      </c>
      <c r="BE249">
        <f>step3_validation[[#This Row],[AI_OUT1]]</f>
        <v>9</v>
      </c>
      <c r="BF249" t="str">
        <f t="shared" si="105"/>
        <v>Support</v>
      </c>
      <c r="BG249">
        <f>survey_responses[[#This Row],[Sau khi xem xét các quyền lợi và nghĩa vụ, bạn có ủng hộ và tuân thủ chính sách mới hiện nay? - HUMAN-OUT1]]</f>
        <v>7</v>
      </c>
      <c r="BH249" t="str">
        <f t="shared" si="106"/>
        <v>Neutral</v>
      </c>
      <c r="BI249" s="32">
        <f t="shared" si="107"/>
        <v>2</v>
      </c>
    </row>
    <row r="250" spans="1:61" x14ac:dyDescent="0.45">
      <c r="A250" s="30">
        <f>step3_validation[[#This Row],[Persona_ID]]</f>
        <v>249</v>
      </c>
      <c r="B250" s="31">
        <f>step3_validation[[#This Row],[Used_Seed]]</f>
        <v>249</v>
      </c>
      <c r="C250" t="str">
        <f>step3_validation[[#This Row],[Gender]]</f>
        <v>Nam</v>
      </c>
      <c r="D250" t="str">
        <f>survey_responses[[#This Row],[Giới tính của bạn:]]</f>
        <v>Nam</v>
      </c>
      <c r="E250" t="str">
        <f>step3_validation[[#This Row],[Age_Group]]</f>
        <v>55 - 64</v>
      </c>
      <c r="F250" t="str">
        <f>survey_responses[[#This Row],[Độ tuổi của bạn:]]</f>
        <v>55 - 64</v>
      </c>
      <c r="G250" t="str">
        <f>step3_validation[[#This Row],[Region]]</f>
        <v>Thành thị</v>
      </c>
      <c r="H250" t="str">
        <f>survey_responses[[#This Row],[Khu vực bạn đang sinh sống:]]</f>
        <v>Thành thị</v>
      </c>
      <c r="I250" t="str">
        <f>step3_validation[[#This Row],[Education]]</f>
        <v>Sau Đại học</v>
      </c>
      <c r="J250" t="str">
        <f>survey_responses[[#This Row],[Trình độ học vấn cao nhất:]]</f>
        <v>Sau Đại học</v>
      </c>
      <c r="K250" t="str">
        <f>step3_validation[[#This Row],[Employment]]</f>
        <v>Chính thức</v>
      </c>
      <c r="L250" t="str">
        <f>survey_responses[[#This Row],[Tình trạng việc làm chính:]]</f>
        <v>Khu vực chính thức (Có Hợp đồng lao động, đóng BHXH)</v>
      </c>
      <c r="M250">
        <f>step3_validation[[#This Row],[Income_Mil]]</f>
        <v>99.422613853804336</v>
      </c>
      <c r="N250" t="str">
        <f>survey_responses[[#This Row],[Thu nhập bình quân tháng theo Hợp đồng lao động của bạn là bao nhiêu? (Vui lòng điền tổng thu nhập trước khi khấu trừ các loại Bảo hiểm (BHXH, BHYT, BHTN) và Thuế TNCN)]]</f>
        <v>Từ 70 - 102 triệu VNĐ</v>
      </c>
      <c r="O250">
        <f>step3_validation[[#This Row],[Dependents]]</f>
        <v>3</v>
      </c>
      <c r="P250" t="str">
        <f>survey_responses[[#This Row],[Số người phụ thuộc (con nhỏ, cha mẹ già...) đủ điều kiện giảm trừ gia cảnh:]]</f>
        <v>3 người</v>
      </c>
      <c r="Q250">
        <f>step3_validation[[#This Row],[AI_ENF1]]</f>
        <v>7</v>
      </c>
      <c r="R250" t="str">
        <f t="shared" si="81"/>
        <v>Neutral</v>
      </c>
      <c r="S250">
        <f>survey_responses[[#This Row],[Tôi tin rằng với các quy định quản lý thuế hiện nay, hành vi gian lận hoặc trốn thuế sẽ dễ dàng bị phát hiện và xử lý nghiêm. - HUMAN-ENF1]]</f>
        <v>9</v>
      </c>
      <c r="T250" t="str">
        <f t="shared" si="82"/>
        <v>Support</v>
      </c>
      <c r="U250" s="32">
        <f t="shared" si="83"/>
        <v>2</v>
      </c>
      <c r="V250">
        <f>step3_validation[[#This Row],[AI_ENF2]]</f>
        <v>6</v>
      </c>
      <c r="W250" t="str">
        <f t="shared" si="84"/>
        <v>Neutral</v>
      </c>
      <c r="X250">
        <f>survey_responses[[#This Row],[Tôi tin rằng Nhà nước, cơ quan thuế có đủ khả năng và công nghệ để phát hiện, xử lý nghiêm các hành vi trốn thuế. - HUMAN-ENF2]]</f>
        <v>9</v>
      </c>
      <c r="Y250" t="str">
        <f t="shared" si="85"/>
        <v>Support</v>
      </c>
      <c r="Z250" s="32">
        <f t="shared" si="86"/>
        <v>3</v>
      </c>
      <c r="AA250">
        <f>step3_validation[[#This Row],[AI_FAC1]]</f>
        <v>8</v>
      </c>
      <c r="AB250" t="str">
        <f t="shared" si="87"/>
        <v>Support</v>
      </c>
      <c r="AC250">
        <f>survey_responses[[#This Row],[Các thủ tục khai báo thuế VÀ/HOẶC quy trình làm việc với cơ quan thuế đơn giản, tiện lợi, nhanh chóng hơn so với trước đây. - HUMAN-FAC1]]</f>
        <v>9</v>
      </c>
      <c r="AD250" t="str">
        <f t="shared" si="88"/>
        <v>Support</v>
      </c>
      <c r="AE250" s="32">
        <f t="shared" si="89"/>
        <v>1</v>
      </c>
      <c r="AF250">
        <f>step3_validation[[#This Row],[AI_FAC2]]</f>
        <v>9</v>
      </c>
      <c r="AG250" t="str">
        <f t="shared" si="90"/>
        <v>Support</v>
      </c>
      <c r="AH250">
        <f>survey_responses[[#This Row],[So với trước đây, tôi thấy cách tính thuế và các bậc thuế trong phương án mới đơn giản, dễ hiểu và dễ thực hiện hơn. - HUMAN-FAC2]]</f>
        <v>9</v>
      </c>
      <c r="AI250" t="str">
        <f t="shared" si="91"/>
        <v>Support</v>
      </c>
      <c r="AJ250" s="32">
        <f t="shared" si="92"/>
        <v>0</v>
      </c>
      <c r="AK250">
        <f>step3_validation[[#This Row],[AI_TRU1]]</f>
        <v>9</v>
      </c>
      <c r="AL250" t="str">
        <f t="shared" si="93"/>
        <v>Support</v>
      </c>
      <c r="AM250">
        <f>survey_responses[[#This Row],[Tôi tin rằng Nhà nước, cơ quan thuế sẽ thực thi chính sách mới một cách khách quan, công tâm và đối xử bình đẳng với mọi người nộp thuế.  - HUMAN-TRU1]]</f>
        <v>9</v>
      </c>
      <c r="AN250" t="str">
        <f t="shared" si="94"/>
        <v>Support</v>
      </c>
      <c r="AO250" s="32">
        <f t="shared" si="95"/>
        <v>0</v>
      </c>
      <c r="AP250">
        <f>step3_validation[[#This Row],[AI_TRU2]]</f>
        <v>8</v>
      </c>
      <c r="AQ250" t="str">
        <f t="shared" si="96"/>
        <v>Support</v>
      </c>
      <c r="AR250">
        <f>survey_responses[[#This Row],[Tôi thấy mức thuế tôi phải đóng theo phương án mới là công bằng (người thu nhập như tôi đóng mức này là hợp lý). - HUMAN-TRU2]]</f>
        <v>9</v>
      </c>
      <c r="AS250" t="str">
        <f t="shared" si="97"/>
        <v>Support</v>
      </c>
      <c r="AT250" s="32">
        <f t="shared" si="98"/>
        <v>1</v>
      </c>
      <c r="AU250">
        <f>step3_validation[[#This Row],[AI_TRU3]]</f>
        <v>9</v>
      </c>
      <c r="AV250" t="str">
        <f t="shared" si="99"/>
        <v>Support</v>
      </c>
      <c r="AW250">
        <f>survey_responses[[#This Row],[Tôi tin tưởng số tiền thuế tôi đóng sẽ được Nhà nước sử dụng hiệu quả để cải thiện dịch vụ công (y tế, đường xá...). - HUMAN-TRU3]]</f>
        <v>9</v>
      </c>
      <c r="AX250" t="str">
        <f t="shared" si="100"/>
        <v>Support</v>
      </c>
      <c r="AY250" s="32">
        <f t="shared" si="101"/>
        <v>0</v>
      </c>
      <c r="AZ250">
        <f>step3_validation[[#This Row],[AI_TRU4]]</f>
        <v>7</v>
      </c>
      <c r="BA250" t="str">
        <f t="shared" si="102"/>
        <v>Neutral</v>
      </c>
      <c r="BB250">
        <f>survey_responses[[#This Row],[Tôi thấy Nhà nước đã giải thích rõ ràng, minh bạch về lý do và mục tiêu của việc sửa đổi thuế lần này. - HUMAN-TRU4]]</f>
        <v>9</v>
      </c>
      <c r="BC250" t="str">
        <f t="shared" si="103"/>
        <v>Support</v>
      </c>
      <c r="BD250" s="32">
        <f t="shared" si="104"/>
        <v>2</v>
      </c>
      <c r="BE250">
        <f>step3_validation[[#This Row],[AI_OUT1]]</f>
        <v>9</v>
      </c>
      <c r="BF250" t="str">
        <f t="shared" si="105"/>
        <v>Support</v>
      </c>
      <c r="BG250">
        <f>survey_responses[[#This Row],[Sau khi xem xét các quyền lợi và nghĩa vụ, bạn có ủng hộ và tuân thủ chính sách mới hiện nay? - HUMAN-OUT1]]</f>
        <v>9</v>
      </c>
      <c r="BH250" t="str">
        <f t="shared" si="106"/>
        <v>Support</v>
      </c>
      <c r="BI250" s="32">
        <f t="shared" si="107"/>
        <v>0</v>
      </c>
    </row>
    <row r="251" spans="1:61" x14ac:dyDescent="0.45">
      <c r="A251" s="30">
        <f>step3_validation[[#This Row],[Persona_ID]]</f>
        <v>250</v>
      </c>
      <c r="B251" s="31">
        <f>step3_validation[[#This Row],[Used_Seed]]</f>
        <v>250</v>
      </c>
      <c r="C251" t="str">
        <f>step3_validation[[#This Row],[Gender]]</f>
        <v>Nữ</v>
      </c>
      <c r="D251" t="str">
        <f>survey_responses[[#This Row],[Giới tính của bạn:]]</f>
        <v>Nữ</v>
      </c>
      <c r="E251" t="str">
        <f>step3_validation[[#This Row],[Age_Group]]</f>
        <v>30 - 39</v>
      </c>
      <c r="F251" t="str">
        <f>survey_responses[[#This Row],[Độ tuổi của bạn:]]</f>
        <v>30 - 39</v>
      </c>
      <c r="G251" t="str">
        <f>step3_validation[[#This Row],[Region]]</f>
        <v>Thành thị</v>
      </c>
      <c r="H251" t="str">
        <f>survey_responses[[#This Row],[Khu vực bạn đang sinh sống:]]</f>
        <v>Thành thị</v>
      </c>
      <c r="I251" t="str">
        <f>step3_validation[[#This Row],[Education]]</f>
        <v>Đại học</v>
      </c>
      <c r="J251" t="str">
        <f>survey_responses[[#This Row],[Trình độ học vấn cao nhất:]]</f>
        <v>Đại học</v>
      </c>
      <c r="K251" t="str">
        <f>step3_validation[[#This Row],[Employment]]</f>
        <v>Chính thức</v>
      </c>
      <c r="L251" t="str">
        <f>survey_responses[[#This Row],[Tình trạng việc làm chính:]]</f>
        <v>Khu vực chính thức (Có Hợp đồng lao động, đóng BHXH)</v>
      </c>
      <c r="M251">
        <f>step3_validation[[#This Row],[Income_Mil]]</f>
        <v>52.283106028882841</v>
      </c>
      <c r="N251" t="str">
        <f>survey_responses[[#This Row],[Thu nhập bình quân tháng theo Hợp đồng lao động của bạn là bao nhiêu? (Vui lòng điền tổng thu nhập trước khi khấu trừ các loại Bảo hiểm (BHXH, BHYT, BHTN) và Thuế TNCN)]]</f>
        <v>Từ 48 - 70 triệu VNĐ</v>
      </c>
      <c r="O251">
        <f>step3_validation[[#This Row],[Dependents]]</f>
        <v>3</v>
      </c>
      <c r="P251" t="str">
        <f>survey_responses[[#This Row],[Số người phụ thuộc (con nhỏ, cha mẹ già...) đủ điều kiện giảm trừ gia cảnh:]]</f>
        <v>3 người</v>
      </c>
      <c r="Q251">
        <f>step3_validation[[#This Row],[AI_ENF1]]</f>
        <v>7</v>
      </c>
      <c r="R251" t="str">
        <f t="shared" si="81"/>
        <v>Neutral</v>
      </c>
      <c r="S251">
        <f>survey_responses[[#This Row],[Tôi tin rằng với các quy định quản lý thuế hiện nay, hành vi gian lận hoặc trốn thuế sẽ dễ dàng bị phát hiện và xử lý nghiêm. - HUMAN-ENF1]]</f>
        <v>7</v>
      </c>
      <c r="T251" t="str">
        <f t="shared" si="82"/>
        <v>Neutral</v>
      </c>
      <c r="U251" s="32">
        <f t="shared" si="83"/>
        <v>0</v>
      </c>
      <c r="V251">
        <f>step3_validation[[#This Row],[AI_ENF2]]</f>
        <v>6</v>
      </c>
      <c r="W251" t="str">
        <f t="shared" si="84"/>
        <v>Neutral</v>
      </c>
      <c r="X251">
        <f>survey_responses[[#This Row],[Tôi tin rằng Nhà nước, cơ quan thuế có đủ khả năng và công nghệ để phát hiện, xử lý nghiêm các hành vi trốn thuế. - HUMAN-ENF2]]</f>
        <v>6</v>
      </c>
      <c r="Y251" t="str">
        <f t="shared" si="85"/>
        <v>Neutral</v>
      </c>
      <c r="Z251" s="32">
        <f t="shared" si="86"/>
        <v>0</v>
      </c>
      <c r="AA251">
        <f>step3_validation[[#This Row],[AI_FAC1]]</f>
        <v>8</v>
      </c>
      <c r="AB251" t="str">
        <f t="shared" si="87"/>
        <v>Support</v>
      </c>
      <c r="AC251">
        <f>survey_responses[[#This Row],[Các thủ tục khai báo thuế VÀ/HOẶC quy trình làm việc với cơ quan thuế đơn giản, tiện lợi, nhanh chóng hơn so với trước đây. - HUMAN-FAC1]]</f>
        <v>5</v>
      </c>
      <c r="AD251" t="str">
        <f t="shared" si="88"/>
        <v>Neutral</v>
      </c>
      <c r="AE251" s="32">
        <f t="shared" si="89"/>
        <v>3</v>
      </c>
      <c r="AF251">
        <f>step3_validation[[#This Row],[AI_FAC2]]</f>
        <v>9</v>
      </c>
      <c r="AG251" t="str">
        <f t="shared" si="90"/>
        <v>Support</v>
      </c>
      <c r="AH251">
        <f>survey_responses[[#This Row],[So với trước đây, tôi thấy cách tính thuế và các bậc thuế trong phương án mới đơn giản, dễ hiểu và dễ thực hiện hơn. - HUMAN-FAC2]]</f>
        <v>6</v>
      </c>
      <c r="AI251" t="str">
        <f t="shared" si="91"/>
        <v>Neutral</v>
      </c>
      <c r="AJ251" s="32">
        <f t="shared" si="92"/>
        <v>3</v>
      </c>
      <c r="AK251">
        <f>step3_validation[[#This Row],[AI_TRU1]]</f>
        <v>8</v>
      </c>
      <c r="AL251" t="str">
        <f t="shared" si="93"/>
        <v>Support</v>
      </c>
      <c r="AM251">
        <f>survey_responses[[#This Row],[Tôi tin rằng Nhà nước, cơ quan thuế sẽ thực thi chính sách mới một cách khách quan, công tâm và đối xử bình đẳng với mọi người nộp thuế.  - HUMAN-TRU1]]</f>
        <v>6</v>
      </c>
      <c r="AN251" t="str">
        <f t="shared" si="94"/>
        <v>Neutral</v>
      </c>
      <c r="AO251" s="32">
        <f t="shared" si="95"/>
        <v>2</v>
      </c>
      <c r="AP251">
        <f>step3_validation[[#This Row],[AI_TRU2]]</f>
        <v>9</v>
      </c>
      <c r="AQ251" t="str">
        <f t="shared" si="96"/>
        <v>Support</v>
      </c>
      <c r="AR251">
        <f>survey_responses[[#This Row],[Tôi thấy mức thuế tôi phải đóng theo phương án mới là công bằng (người thu nhập như tôi đóng mức này là hợp lý). - HUMAN-TRU2]]</f>
        <v>6</v>
      </c>
      <c r="AS251" t="str">
        <f t="shared" si="97"/>
        <v>Neutral</v>
      </c>
      <c r="AT251" s="32">
        <f t="shared" si="98"/>
        <v>3</v>
      </c>
      <c r="AU251">
        <f>step3_validation[[#This Row],[AI_TRU3]]</f>
        <v>8</v>
      </c>
      <c r="AV251" t="str">
        <f t="shared" si="99"/>
        <v>Support</v>
      </c>
      <c r="AW251">
        <f>survey_responses[[#This Row],[Tôi tin tưởng số tiền thuế tôi đóng sẽ được Nhà nước sử dụng hiệu quả để cải thiện dịch vụ công (y tế, đường xá...). - HUMAN-TRU3]]</f>
        <v>6</v>
      </c>
      <c r="AX251" t="str">
        <f t="shared" si="100"/>
        <v>Neutral</v>
      </c>
      <c r="AY251" s="32">
        <f t="shared" si="101"/>
        <v>2</v>
      </c>
      <c r="AZ251">
        <f>step3_validation[[#This Row],[AI_TRU4]]</f>
        <v>9</v>
      </c>
      <c r="BA251" t="str">
        <f t="shared" si="102"/>
        <v>Support</v>
      </c>
      <c r="BB251">
        <f>survey_responses[[#This Row],[Tôi thấy Nhà nước đã giải thích rõ ràng, minh bạch về lý do và mục tiêu của việc sửa đổi thuế lần này. - HUMAN-TRU4]]</f>
        <v>6</v>
      </c>
      <c r="BC251" t="str">
        <f t="shared" si="103"/>
        <v>Neutral</v>
      </c>
      <c r="BD251" s="32">
        <f t="shared" si="104"/>
        <v>3</v>
      </c>
      <c r="BE251">
        <f>step3_validation[[#This Row],[AI_OUT1]]</f>
        <v>9</v>
      </c>
      <c r="BF251" t="str">
        <f t="shared" si="105"/>
        <v>Support</v>
      </c>
      <c r="BG251">
        <f>survey_responses[[#This Row],[Sau khi xem xét các quyền lợi và nghĩa vụ, bạn có ủng hộ và tuân thủ chính sách mới hiện nay? - HUMAN-OUT1]]</f>
        <v>7</v>
      </c>
      <c r="BH251" t="str">
        <f t="shared" si="106"/>
        <v>Neutral</v>
      </c>
      <c r="BI251" s="32">
        <f t="shared" si="107"/>
        <v>2</v>
      </c>
    </row>
    <row r="252" spans="1:61" x14ac:dyDescent="0.45">
      <c r="A252" s="30">
        <f>step3_validation[[#This Row],[Persona_ID]]</f>
        <v>251</v>
      </c>
      <c r="B252" s="31">
        <f>step3_validation[[#This Row],[Used_Seed]]</f>
        <v>251</v>
      </c>
      <c r="C252" t="str">
        <f>step3_validation[[#This Row],[Gender]]</f>
        <v>Nữ</v>
      </c>
      <c r="D252" t="str">
        <f>survey_responses[[#This Row],[Giới tính của bạn:]]</f>
        <v>Nữ</v>
      </c>
      <c r="E252" t="str">
        <f>step3_validation[[#This Row],[Age_Group]]</f>
        <v>30 - 39</v>
      </c>
      <c r="F252" t="str">
        <f>survey_responses[[#This Row],[Độ tuổi của bạn:]]</f>
        <v>30 - 39</v>
      </c>
      <c r="G252" t="str">
        <f>step3_validation[[#This Row],[Region]]</f>
        <v>Thành thị</v>
      </c>
      <c r="H252" t="str">
        <f>survey_responses[[#This Row],[Khu vực bạn đang sinh sống:]]</f>
        <v>Thành thị</v>
      </c>
      <c r="I252" t="str">
        <f>step3_validation[[#This Row],[Education]]</f>
        <v>Đại học</v>
      </c>
      <c r="J252" t="str">
        <f>survey_responses[[#This Row],[Trình độ học vấn cao nhất:]]</f>
        <v>Đại học</v>
      </c>
      <c r="K252" t="str">
        <f>step3_validation[[#This Row],[Employment]]</f>
        <v>Chính thức</v>
      </c>
      <c r="L252" t="str">
        <f>survey_responses[[#This Row],[Tình trạng việc làm chính:]]</f>
        <v>Khu vực chính thức (Có Hợp đồng lao động, đóng BHXH)</v>
      </c>
      <c r="M252">
        <f>step3_validation[[#This Row],[Income_Mil]]</f>
        <v>40.265534018039197</v>
      </c>
      <c r="N252" t="str">
        <f>survey_responses[[#This Row],[Thu nhập bình quân tháng theo Hợp đồng lao động của bạn là bao nhiêu? (Vui lòng điền tổng thu nhập trước khi khấu trừ các loại Bảo hiểm (BHXH, BHYT, BHTN) và Thuế TNCN)]]</f>
        <v>Từ 32 - 48 triệu VNĐ</v>
      </c>
      <c r="O252">
        <f>step3_validation[[#This Row],[Dependents]]</f>
        <v>4</v>
      </c>
      <c r="P252" t="str">
        <f>survey_responses[[#This Row],[Số người phụ thuộc (con nhỏ, cha mẹ già...) đủ điều kiện giảm trừ gia cảnh:]]</f>
        <v>4 người trở lên</v>
      </c>
      <c r="Q252">
        <f>step3_validation[[#This Row],[AI_ENF1]]</f>
        <v>7</v>
      </c>
      <c r="R252" t="str">
        <f t="shared" si="81"/>
        <v>Neutral</v>
      </c>
      <c r="S252">
        <f>survey_responses[[#This Row],[Tôi tin rằng với các quy định quản lý thuế hiện nay, hành vi gian lận hoặc trốn thuế sẽ dễ dàng bị phát hiện và xử lý nghiêm. - HUMAN-ENF1]]</f>
        <v>8</v>
      </c>
      <c r="T252" t="str">
        <f t="shared" si="82"/>
        <v>Support</v>
      </c>
      <c r="U252" s="32">
        <f t="shared" si="83"/>
        <v>1</v>
      </c>
      <c r="V252">
        <f>step3_validation[[#This Row],[AI_ENF2]]</f>
        <v>6</v>
      </c>
      <c r="W252" t="str">
        <f t="shared" si="84"/>
        <v>Neutral</v>
      </c>
      <c r="X252">
        <f>survey_responses[[#This Row],[Tôi tin rằng Nhà nước, cơ quan thuế có đủ khả năng và công nghệ để phát hiện, xử lý nghiêm các hành vi trốn thuế. - HUMAN-ENF2]]</f>
        <v>8</v>
      </c>
      <c r="Y252" t="str">
        <f t="shared" si="85"/>
        <v>Support</v>
      </c>
      <c r="Z252" s="32">
        <f t="shared" si="86"/>
        <v>2</v>
      </c>
      <c r="AA252">
        <f>step3_validation[[#This Row],[AI_FAC1]]</f>
        <v>9</v>
      </c>
      <c r="AB252" t="str">
        <f t="shared" si="87"/>
        <v>Support</v>
      </c>
      <c r="AC252">
        <f>survey_responses[[#This Row],[Các thủ tục khai báo thuế VÀ/HOẶC quy trình làm việc với cơ quan thuế đơn giản, tiện lợi, nhanh chóng hơn so với trước đây. - HUMAN-FAC1]]</f>
        <v>8</v>
      </c>
      <c r="AD252" t="str">
        <f t="shared" si="88"/>
        <v>Support</v>
      </c>
      <c r="AE252" s="32">
        <f t="shared" si="89"/>
        <v>1</v>
      </c>
      <c r="AF252">
        <f>step3_validation[[#This Row],[AI_FAC2]]</f>
        <v>8</v>
      </c>
      <c r="AG252" t="str">
        <f t="shared" si="90"/>
        <v>Support</v>
      </c>
      <c r="AH252">
        <f>survey_responses[[#This Row],[So với trước đây, tôi thấy cách tính thuế và các bậc thuế trong phương án mới đơn giản, dễ hiểu và dễ thực hiện hơn. - HUMAN-FAC2]]</f>
        <v>9</v>
      </c>
      <c r="AI252" t="str">
        <f t="shared" si="91"/>
        <v>Support</v>
      </c>
      <c r="AJ252" s="32">
        <f t="shared" si="92"/>
        <v>1</v>
      </c>
      <c r="AK252">
        <f>step3_validation[[#This Row],[AI_TRU1]]</f>
        <v>9</v>
      </c>
      <c r="AL252" t="str">
        <f t="shared" si="93"/>
        <v>Support</v>
      </c>
      <c r="AM252">
        <f>survey_responses[[#This Row],[Tôi tin rằng Nhà nước, cơ quan thuế sẽ thực thi chính sách mới một cách khách quan, công tâm và đối xử bình đẳng với mọi người nộp thuế.  - HUMAN-TRU1]]</f>
        <v>8</v>
      </c>
      <c r="AN252" t="str">
        <f t="shared" si="94"/>
        <v>Support</v>
      </c>
      <c r="AO252" s="32">
        <f t="shared" si="95"/>
        <v>1</v>
      </c>
      <c r="AP252">
        <f>step3_validation[[#This Row],[AI_TRU2]]</f>
        <v>8</v>
      </c>
      <c r="AQ252" t="str">
        <f t="shared" si="96"/>
        <v>Support</v>
      </c>
      <c r="AR252">
        <f>survey_responses[[#This Row],[Tôi thấy mức thuế tôi phải đóng theo phương án mới là công bằng (người thu nhập như tôi đóng mức này là hợp lý). - HUMAN-TRU2]]</f>
        <v>10</v>
      </c>
      <c r="AS252" t="str">
        <f t="shared" si="97"/>
        <v>Support</v>
      </c>
      <c r="AT252" s="32">
        <f t="shared" si="98"/>
        <v>2</v>
      </c>
      <c r="AU252">
        <f>step3_validation[[#This Row],[AI_TRU3]]</f>
        <v>9</v>
      </c>
      <c r="AV252" t="str">
        <f t="shared" si="99"/>
        <v>Support</v>
      </c>
      <c r="AW252">
        <f>survey_responses[[#This Row],[Tôi tin tưởng số tiền thuế tôi đóng sẽ được Nhà nước sử dụng hiệu quả để cải thiện dịch vụ công (y tế, đường xá...). - HUMAN-TRU3]]</f>
        <v>7</v>
      </c>
      <c r="AX252" t="str">
        <f t="shared" si="100"/>
        <v>Neutral</v>
      </c>
      <c r="AY252" s="32">
        <f t="shared" si="101"/>
        <v>2</v>
      </c>
      <c r="AZ252">
        <f>step3_validation[[#This Row],[AI_TRU4]]</f>
        <v>7</v>
      </c>
      <c r="BA252" t="str">
        <f t="shared" si="102"/>
        <v>Neutral</v>
      </c>
      <c r="BB252">
        <f>survey_responses[[#This Row],[Tôi thấy Nhà nước đã giải thích rõ ràng, minh bạch về lý do và mục tiêu của việc sửa đổi thuế lần này. - HUMAN-TRU4]]</f>
        <v>7</v>
      </c>
      <c r="BC252" t="str">
        <f t="shared" si="103"/>
        <v>Neutral</v>
      </c>
      <c r="BD252" s="32">
        <f t="shared" si="104"/>
        <v>0</v>
      </c>
      <c r="BE252">
        <f>step3_validation[[#This Row],[AI_OUT1]]</f>
        <v>9</v>
      </c>
      <c r="BF252" t="str">
        <f t="shared" si="105"/>
        <v>Support</v>
      </c>
      <c r="BG252">
        <f>survey_responses[[#This Row],[Sau khi xem xét các quyền lợi và nghĩa vụ, bạn có ủng hộ và tuân thủ chính sách mới hiện nay? - HUMAN-OUT1]]</f>
        <v>10</v>
      </c>
      <c r="BH252" t="str">
        <f t="shared" si="106"/>
        <v>Support</v>
      </c>
      <c r="BI252" s="32">
        <f t="shared" si="107"/>
        <v>1</v>
      </c>
    </row>
    <row r="253" spans="1:61" x14ac:dyDescent="0.45">
      <c r="A253" s="30">
        <f>step3_validation[[#This Row],[Persona_ID]]</f>
        <v>252</v>
      </c>
      <c r="B253" s="31">
        <f>step3_validation[[#This Row],[Used_Seed]]</f>
        <v>252</v>
      </c>
      <c r="C253" t="str">
        <f>step3_validation[[#This Row],[Gender]]</f>
        <v>Nữ</v>
      </c>
      <c r="D253" t="str">
        <f>survey_responses[[#This Row],[Giới tính của bạn:]]</f>
        <v>Nữ</v>
      </c>
      <c r="E253" t="str">
        <f>step3_validation[[#This Row],[Age_Group]]</f>
        <v>50 - 54</v>
      </c>
      <c r="F253" t="str">
        <f>survey_responses[[#This Row],[Độ tuổi của bạn:]]</f>
        <v>50 - 54</v>
      </c>
      <c r="G253" t="str">
        <f>step3_validation[[#This Row],[Region]]</f>
        <v>Thành thị</v>
      </c>
      <c r="H253" t="str">
        <f>survey_responses[[#This Row],[Khu vực bạn đang sinh sống:]]</f>
        <v>Thành thị</v>
      </c>
      <c r="I253" t="str">
        <f>step3_validation[[#This Row],[Education]]</f>
        <v>Đại học</v>
      </c>
      <c r="J253" t="str">
        <f>survey_responses[[#This Row],[Trình độ học vấn cao nhất:]]</f>
        <v>Đại học</v>
      </c>
      <c r="K253" t="str">
        <f>step3_validation[[#This Row],[Employment]]</f>
        <v>Chính thức</v>
      </c>
      <c r="L253" t="str">
        <f>survey_responses[[#This Row],[Tình trạng việc làm chính:]]</f>
        <v>Khu vực chính thức (Có Hợp đồng lao động, đóng BHXH)</v>
      </c>
      <c r="M253">
        <f>step3_validation[[#This Row],[Income_Mil]]</f>
        <v>59.815604243370466</v>
      </c>
      <c r="N253" t="str">
        <f>survey_responses[[#This Row],[Thu nhập bình quân tháng theo Hợp đồng lao động của bạn là bao nhiêu? (Vui lòng điền tổng thu nhập trước khi khấu trừ các loại Bảo hiểm (BHXH, BHYT, BHTN) và Thuế TNCN)]]</f>
        <v>Từ 48 - 70 triệu VNĐ</v>
      </c>
      <c r="O253">
        <f>step3_validation[[#This Row],[Dependents]]</f>
        <v>3</v>
      </c>
      <c r="P253" t="str">
        <f>survey_responses[[#This Row],[Số người phụ thuộc (con nhỏ, cha mẹ già...) đủ điều kiện giảm trừ gia cảnh:]]</f>
        <v>3 người</v>
      </c>
      <c r="Q253">
        <f>step3_validation[[#This Row],[AI_ENF1]]</f>
        <v>6</v>
      </c>
      <c r="R253" t="str">
        <f t="shared" si="81"/>
        <v>Neutral</v>
      </c>
      <c r="S253">
        <f>survey_responses[[#This Row],[Tôi tin rằng với các quy định quản lý thuế hiện nay, hành vi gian lận hoặc trốn thuế sẽ dễ dàng bị phát hiện và xử lý nghiêm. - HUMAN-ENF1]]</f>
        <v>6</v>
      </c>
      <c r="T253" t="str">
        <f t="shared" si="82"/>
        <v>Neutral</v>
      </c>
      <c r="U253" s="32">
        <f t="shared" si="83"/>
        <v>0</v>
      </c>
      <c r="V253">
        <f>step3_validation[[#This Row],[AI_ENF2]]</f>
        <v>7</v>
      </c>
      <c r="W253" t="str">
        <f t="shared" si="84"/>
        <v>Neutral</v>
      </c>
      <c r="X253">
        <f>survey_responses[[#This Row],[Tôi tin rằng Nhà nước, cơ quan thuế có đủ khả năng và công nghệ để phát hiện, xử lý nghiêm các hành vi trốn thuế. - HUMAN-ENF2]]</f>
        <v>6</v>
      </c>
      <c r="Y253" t="str">
        <f t="shared" si="85"/>
        <v>Neutral</v>
      </c>
      <c r="Z253" s="32">
        <f t="shared" si="86"/>
        <v>1</v>
      </c>
      <c r="AA253">
        <f>step3_validation[[#This Row],[AI_FAC1]]</f>
        <v>8</v>
      </c>
      <c r="AB253" t="str">
        <f t="shared" si="87"/>
        <v>Support</v>
      </c>
      <c r="AC253">
        <f>survey_responses[[#This Row],[Các thủ tục khai báo thuế VÀ/HOẶC quy trình làm việc với cơ quan thuế đơn giản, tiện lợi, nhanh chóng hơn so với trước đây. - HUMAN-FAC1]]</f>
        <v>1</v>
      </c>
      <c r="AD253" t="str">
        <f t="shared" si="88"/>
        <v>Oppose</v>
      </c>
      <c r="AE253" s="32">
        <f t="shared" si="89"/>
        <v>7</v>
      </c>
      <c r="AF253">
        <f>step3_validation[[#This Row],[AI_FAC2]]</f>
        <v>9</v>
      </c>
      <c r="AG253" t="str">
        <f t="shared" si="90"/>
        <v>Support</v>
      </c>
      <c r="AH253">
        <f>survey_responses[[#This Row],[So với trước đây, tôi thấy cách tính thuế và các bậc thuế trong phương án mới đơn giản, dễ hiểu và dễ thực hiện hơn. - HUMAN-FAC2]]</f>
        <v>6</v>
      </c>
      <c r="AI253" t="str">
        <f t="shared" si="91"/>
        <v>Neutral</v>
      </c>
      <c r="AJ253" s="32">
        <f t="shared" si="92"/>
        <v>3</v>
      </c>
      <c r="AK253">
        <f>step3_validation[[#This Row],[AI_TRU1]]</f>
        <v>7</v>
      </c>
      <c r="AL253" t="str">
        <f t="shared" si="93"/>
        <v>Neutral</v>
      </c>
      <c r="AM253">
        <f>survey_responses[[#This Row],[Tôi tin rằng Nhà nước, cơ quan thuế sẽ thực thi chính sách mới một cách khách quan, công tâm và đối xử bình đẳng với mọi người nộp thuế.  - HUMAN-TRU1]]</f>
        <v>5</v>
      </c>
      <c r="AN253" t="str">
        <f t="shared" si="94"/>
        <v>Neutral</v>
      </c>
      <c r="AO253" s="32">
        <f t="shared" si="95"/>
        <v>2</v>
      </c>
      <c r="AP253">
        <f>step3_validation[[#This Row],[AI_TRU2]]</f>
        <v>8</v>
      </c>
      <c r="AQ253" t="str">
        <f t="shared" si="96"/>
        <v>Support</v>
      </c>
      <c r="AR253">
        <f>survey_responses[[#This Row],[Tôi thấy mức thuế tôi phải đóng theo phương án mới là công bằng (người thu nhập như tôi đóng mức này là hợp lý). - HUMAN-TRU2]]</f>
        <v>6</v>
      </c>
      <c r="AS253" t="str">
        <f t="shared" si="97"/>
        <v>Neutral</v>
      </c>
      <c r="AT253" s="32">
        <f t="shared" si="98"/>
        <v>2</v>
      </c>
      <c r="AU253">
        <f>step3_validation[[#This Row],[AI_TRU3]]</f>
        <v>7</v>
      </c>
      <c r="AV253" t="str">
        <f t="shared" si="99"/>
        <v>Neutral</v>
      </c>
      <c r="AW253">
        <f>survey_responses[[#This Row],[Tôi tin tưởng số tiền thuế tôi đóng sẽ được Nhà nước sử dụng hiệu quả để cải thiện dịch vụ công (y tế, đường xá...). - HUMAN-TRU3]]</f>
        <v>6</v>
      </c>
      <c r="AX253" t="str">
        <f t="shared" si="100"/>
        <v>Neutral</v>
      </c>
      <c r="AY253" s="32">
        <f t="shared" si="101"/>
        <v>1</v>
      </c>
      <c r="AZ253">
        <f>step3_validation[[#This Row],[AI_TRU4]]</f>
        <v>8</v>
      </c>
      <c r="BA253" t="str">
        <f t="shared" si="102"/>
        <v>Support</v>
      </c>
      <c r="BB253">
        <f>survey_responses[[#This Row],[Tôi thấy Nhà nước đã giải thích rõ ràng, minh bạch về lý do và mục tiêu của việc sửa đổi thuế lần này. - HUMAN-TRU4]]</f>
        <v>6</v>
      </c>
      <c r="BC253" t="str">
        <f t="shared" si="103"/>
        <v>Neutral</v>
      </c>
      <c r="BD253" s="32">
        <f t="shared" si="104"/>
        <v>2</v>
      </c>
      <c r="BE253">
        <f>step3_validation[[#This Row],[AI_OUT1]]</f>
        <v>9</v>
      </c>
      <c r="BF253" t="str">
        <f t="shared" si="105"/>
        <v>Support</v>
      </c>
      <c r="BG253">
        <f>survey_responses[[#This Row],[Sau khi xem xét các quyền lợi và nghĩa vụ, bạn có ủng hộ và tuân thủ chính sách mới hiện nay? - HUMAN-OUT1]]</f>
        <v>6</v>
      </c>
      <c r="BH253" t="str">
        <f t="shared" si="106"/>
        <v>Neutral</v>
      </c>
      <c r="BI253" s="32">
        <f t="shared" si="107"/>
        <v>3</v>
      </c>
    </row>
    <row r="254" spans="1:61" x14ac:dyDescent="0.45">
      <c r="A254" s="30">
        <f>step3_validation[[#This Row],[Persona_ID]]</f>
        <v>253</v>
      </c>
      <c r="B254" s="31">
        <f>step3_validation[[#This Row],[Used_Seed]]</f>
        <v>253</v>
      </c>
      <c r="C254" t="str">
        <f>step3_validation[[#This Row],[Gender]]</f>
        <v>Nam</v>
      </c>
      <c r="D254" t="str">
        <f>survey_responses[[#This Row],[Giới tính của bạn:]]</f>
        <v>Nam</v>
      </c>
      <c r="E254" t="str">
        <f>step3_validation[[#This Row],[Age_Group]]</f>
        <v>40 - 49</v>
      </c>
      <c r="F254" t="str">
        <f>survey_responses[[#This Row],[Độ tuổi của bạn:]]</f>
        <v>40 - 49</v>
      </c>
      <c r="G254" t="str">
        <f>step3_validation[[#This Row],[Region]]</f>
        <v>Thành thị</v>
      </c>
      <c r="H254" t="str">
        <f>survey_responses[[#This Row],[Khu vực bạn đang sinh sống:]]</f>
        <v>Thành thị</v>
      </c>
      <c r="I254" t="str">
        <f>step3_validation[[#This Row],[Education]]</f>
        <v>Sau Đại học</v>
      </c>
      <c r="J254" t="str">
        <f>survey_responses[[#This Row],[Trình độ học vấn cao nhất:]]</f>
        <v>Sau Đại học</v>
      </c>
      <c r="K254" t="str">
        <f>step3_validation[[#This Row],[Employment]]</f>
        <v>Chính thức</v>
      </c>
      <c r="L254" t="str">
        <f>survey_responses[[#This Row],[Tình trạng việc làm chính:]]</f>
        <v>Khu vực chính thức (Có Hợp đồng lao động, đóng BHXH)</v>
      </c>
      <c r="M254">
        <f>step3_validation[[#This Row],[Income_Mil]]</f>
        <v>77.907329175891746</v>
      </c>
      <c r="N254" t="str">
        <f>survey_responses[[#This Row],[Thu nhập bình quân tháng theo Hợp đồng lao động của bạn là bao nhiêu? (Vui lòng điền tổng thu nhập trước khi khấu trừ các loại Bảo hiểm (BHXH, BHYT, BHTN) và Thuế TNCN)]]</f>
        <v>Từ 70 - 102 triệu VNĐ</v>
      </c>
      <c r="O254">
        <f>step3_validation[[#This Row],[Dependents]]</f>
        <v>4</v>
      </c>
      <c r="P254" t="str">
        <f>survey_responses[[#This Row],[Số người phụ thuộc (con nhỏ, cha mẹ già...) đủ điều kiện giảm trừ gia cảnh:]]</f>
        <v>4 người trở lên</v>
      </c>
      <c r="Q254">
        <f>step3_validation[[#This Row],[AI_ENF1]]</f>
        <v>7</v>
      </c>
      <c r="R254" t="str">
        <f t="shared" si="81"/>
        <v>Neutral</v>
      </c>
      <c r="S254">
        <f>survey_responses[[#This Row],[Tôi tin rằng với các quy định quản lý thuế hiện nay, hành vi gian lận hoặc trốn thuế sẽ dễ dàng bị phát hiện và xử lý nghiêm. - HUMAN-ENF1]]</f>
        <v>8</v>
      </c>
      <c r="T254" t="str">
        <f t="shared" si="82"/>
        <v>Support</v>
      </c>
      <c r="U254" s="32">
        <f t="shared" si="83"/>
        <v>1</v>
      </c>
      <c r="V254">
        <f>step3_validation[[#This Row],[AI_ENF2]]</f>
        <v>6</v>
      </c>
      <c r="W254" t="str">
        <f t="shared" si="84"/>
        <v>Neutral</v>
      </c>
      <c r="X254">
        <f>survey_responses[[#This Row],[Tôi tin rằng Nhà nước, cơ quan thuế có đủ khả năng và công nghệ để phát hiện, xử lý nghiêm các hành vi trốn thuế. - HUMAN-ENF2]]</f>
        <v>8</v>
      </c>
      <c r="Y254" t="str">
        <f t="shared" si="85"/>
        <v>Support</v>
      </c>
      <c r="Z254" s="32">
        <f t="shared" si="86"/>
        <v>2</v>
      </c>
      <c r="AA254">
        <f>step3_validation[[#This Row],[AI_FAC1]]</f>
        <v>9</v>
      </c>
      <c r="AB254" t="str">
        <f t="shared" si="87"/>
        <v>Support</v>
      </c>
      <c r="AC254">
        <f>survey_responses[[#This Row],[Các thủ tục khai báo thuế VÀ/HOẶC quy trình làm việc với cơ quan thuế đơn giản, tiện lợi, nhanh chóng hơn so với trước đây. - HUMAN-FAC1]]</f>
        <v>3</v>
      </c>
      <c r="AD254" t="str">
        <f t="shared" si="88"/>
        <v>Oppose</v>
      </c>
      <c r="AE254" s="32">
        <f t="shared" si="89"/>
        <v>6</v>
      </c>
      <c r="AF254">
        <f>step3_validation[[#This Row],[AI_FAC2]]</f>
        <v>8</v>
      </c>
      <c r="AG254" t="str">
        <f t="shared" si="90"/>
        <v>Support</v>
      </c>
      <c r="AH254">
        <f>survey_responses[[#This Row],[So với trước đây, tôi thấy cách tính thuế và các bậc thuế trong phương án mới đơn giản, dễ hiểu và dễ thực hiện hơn. - HUMAN-FAC2]]</f>
        <v>9</v>
      </c>
      <c r="AI254" t="str">
        <f t="shared" si="91"/>
        <v>Support</v>
      </c>
      <c r="AJ254" s="32">
        <f t="shared" si="92"/>
        <v>1</v>
      </c>
      <c r="AK254">
        <f>step3_validation[[#This Row],[AI_TRU1]]</f>
        <v>9</v>
      </c>
      <c r="AL254" t="str">
        <f t="shared" si="93"/>
        <v>Support</v>
      </c>
      <c r="AM254">
        <f>survey_responses[[#This Row],[Tôi tin rằng Nhà nước, cơ quan thuế sẽ thực thi chính sách mới một cách khách quan, công tâm và đối xử bình đẳng với mọi người nộp thuế.  - HUMAN-TRU1]]</f>
        <v>8</v>
      </c>
      <c r="AN254" t="str">
        <f t="shared" si="94"/>
        <v>Support</v>
      </c>
      <c r="AO254" s="32">
        <f t="shared" si="95"/>
        <v>1</v>
      </c>
      <c r="AP254">
        <f>step3_validation[[#This Row],[AI_TRU2]]</f>
        <v>8</v>
      </c>
      <c r="AQ254" t="str">
        <f t="shared" si="96"/>
        <v>Support</v>
      </c>
      <c r="AR254">
        <f>survey_responses[[#This Row],[Tôi thấy mức thuế tôi phải đóng theo phương án mới là công bằng (người thu nhập như tôi đóng mức này là hợp lý). - HUMAN-TRU2]]</f>
        <v>8</v>
      </c>
      <c r="AS254" t="str">
        <f t="shared" si="97"/>
        <v>Support</v>
      </c>
      <c r="AT254" s="32">
        <f t="shared" si="98"/>
        <v>0</v>
      </c>
      <c r="AU254">
        <f>step3_validation[[#This Row],[AI_TRU3]]</f>
        <v>7</v>
      </c>
      <c r="AV254" t="str">
        <f t="shared" si="99"/>
        <v>Neutral</v>
      </c>
      <c r="AW254">
        <f>survey_responses[[#This Row],[Tôi tin tưởng số tiền thuế tôi đóng sẽ được Nhà nước sử dụng hiệu quả để cải thiện dịch vụ công (y tế, đường xá...). - HUMAN-TRU3]]</f>
        <v>8</v>
      </c>
      <c r="AX254" t="str">
        <f t="shared" si="100"/>
        <v>Support</v>
      </c>
      <c r="AY254" s="32">
        <f t="shared" si="101"/>
        <v>1</v>
      </c>
      <c r="AZ254">
        <f>step3_validation[[#This Row],[AI_TRU4]]</f>
        <v>8</v>
      </c>
      <c r="BA254" t="str">
        <f t="shared" si="102"/>
        <v>Support</v>
      </c>
      <c r="BB254">
        <f>survey_responses[[#This Row],[Tôi thấy Nhà nước đã giải thích rõ ràng, minh bạch về lý do và mục tiêu của việc sửa đổi thuế lần này. - HUMAN-TRU4]]</f>
        <v>8</v>
      </c>
      <c r="BC254" t="str">
        <f t="shared" si="103"/>
        <v>Support</v>
      </c>
      <c r="BD254" s="32">
        <f t="shared" si="104"/>
        <v>0</v>
      </c>
      <c r="BE254">
        <f>step3_validation[[#This Row],[AI_OUT1]]</f>
        <v>9</v>
      </c>
      <c r="BF254" t="str">
        <f t="shared" si="105"/>
        <v>Support</v>
      </c>
      <c r="BG254">
        <f>survey_responses[[#This Row],[Sau khi xem xét các quyền lợi và nghĩa vụ, bạn có ủng hộ và tuân thủ chính sách mới hiện nay? - HUMAN-OUT1]]</f>
        <v>8</v>
      </c>
      <c r="BH254" t="str">
        <f t="shared" si="106"/>
        <v>Support</v>
      </c>
      <c r="BI254" s="32">
        <f t="shared" si="107"/>
        <v>1</v>
      </c>
    </row>
    <row r="255" spans="1:61" x14ac:dyDescent="0.45">
      <c r="A255" s="30">
        <f>step3_validation[[#This Row],[Persona_ID]]</f>
        <v>254</v>
      </c>
      <c r="B255" s="31">
        <f>step3_validation[[#This Row],[Used_Seed]]</f>
        <v>254</v>
      </c>
      <c r="C255" t="str">
        <f>step3_validation[[#This Row],[Gender]]</f>
        <v>Nam</v>
      </c>
      <c r="D255" t="str">
        <f>survey_responses[[#This Row],[Giới tính của bạn:]]</f>
        <v>Nam</v>
      </c>
      <c r="E255" t="str">
        <f>step3_validation[[#This Row],[Age_Group]]</f>
        <v>40 - 49</v>
      </c>
      <c r="F255" t="str">
        <f>survey_responses[[#This Row],[Độ tuổi của bạn:]]</f>
        <v>40 - 49</v>
      </c>
      <c r="G255" t="str">
        <f>step3_validation[[#This Row],[Region]]</f>
        <v>Thành thị</v>
      </c>
      <c r="H255" t="str">
        <f>survey_responses[[#This Row],[Khu vực bạn đang sinh sống:]]</f>
        <v>Thành thị</v>
      </c>
      <c r="I255" t="str">
        <f>step3_validation[[#This Row],[Education]]</f>
        <v>Sau Đại học</v>
      </c>
      <c r="J255" t="str">
        <f>survey_responses[[#This Row],[Trình độ học vấn cao nhất:]]</f>
        <v>Sau Đại học</v>
      </c>
      <c r="K255" t="str">
        <f>step3_validation[[#This Row],[Employment]]</f>
        <v>Chính thức</v>
      </c>
      <c r="L255" t="str">
        <f>survey_responses[[#This Row],[Tình trạng việc làm chính:]]</f>
        <v>Khu vực chính thức (Có Hợp đồng lao động, đóng BHXH)</v>
      </c>
      <c r="M255">
        <f>step3_validation[[#This Row],[Income_Mil]]</f>
        <v>83.778642121472771</v>
      </c>
      <c r="N255" t="str">
        <f>survey_responses[[#This Row],[Thu nhập bình quân tháng theo Hợp đồng lao động của bạn là bao nhiêu? (Vui lòng điền tổng thu nhập trước khi khấu trừ các loại Bảo hiểm (BHXH, BHYT, BHTN) và Thuế TNCN)]]</f>
        <v>Từ 70 - 102 triệu VNĐ</v>
      </c>
      <c r="O255">
        <f>step3_validation[[#This Row],[Dependents]]</f>
        <v>1</v>
      </c>
      <c r="P255" t="str">
        <f>survey_responses[[#This Row],[Số người phụ thuộc (con nhỏ, cha mẹ già...) đủ điều kiện giảm trừ gia cảnh:]]</f>
        <v>1 người</v>
      </c>
      <c r="Q255">
        <f>step3_validation[[#This Row],[AI_ENF1]]</f>
        <v>9</v>
      </c>
      <c r="R255" t="str">
        <f t="shared" si="81"/>
        <v>Support</v>
      </c>
      <c r="S255">
        <f>survey_responses[[#This Row],[Tôi tin rằng với các quy định quản lý thuế hiện nay, hành vi gian lận hoặc trốn thuế sẽ dễ dàng bị phát hiện và xử lý nghiêm. - HUMAN-ENF1]]</f>
        <v>4</v>
      </c>
      <c r="T255" t="str">
        <f t="shared" si="82"/>
        <v>Oppose</v>
      </c>
      <c r="U255" s="32">
        <f t="shared" si="83"/>
        <v>5</v>
      </c>
      <c r="V255">
        <f>step3_validation[[#This Row],[AI_ENF2]]</f>
        <v>9</v>
      </c>
      <c r="W255" t="str">
        <f t="shared" si="84"/>
        <v>Support</v>
      </c>
      <c r="X255">
        <f>survey_responses[[#This Row],[Tôi tin rằng Nhà nước, cơ quan thuế có đủ khả năng và công nghệ để phát hiện, xử lý nghiêm các hành vi trốn thuế. - HUMAN-ENF2]]</f>
        <v>3</v>
      </c>
      <c r="Y255" t="str">
        <f t="shared" si="85"/>
        <v>Oppose</v>
      </c>
      <c r="Z255" s="32">
        <f t="shared" si="86"/>
        <v>6</v>
      </c>
      <c r="AA255">
        <f>step3_validation[[#This Row],[AI_FAC1]]</f>
        <v>8</v>
      </c>
      <c r="AB255" t="str">
        <f t="shared" si="87"/>
        <v>Support</v>
      </c>
      <c r="AC255">
        <f>survey_responses[[#This Row],[Các thủ tục khai báo thuế VÀ/HOẶC quy trình làm việc với cơ quan thuế đơn giản, tiện lợi, nhanh chóng hơn so với trước đây. - HUMAN-FAC1]]</f>
        <v>1</v>
      </c>
      <c r="AD255" t="str">
        <f t="shared" si="88"/>
        <v>Oppose</v>
      </c>
      <c r="AE255" s="32">
        <f t="shared" si="89"/>
        <v>7</v>
      </c>
      <c r="AF255">
        <f>step3_validation[[#This Row],[AI_FAC2]]</f>
        <v>8</v>
      </c>
      <c r="AG255" t="str">
        <f t="shared" si="90"/>
        <v>Support</v>
      </c>
      <c r="AH255">
        <f>survey_responses[[#This Row],[So với trước đây, tôi thấy cách tính thuế và các bậc thuế trong phương án mới đơn giản, dễ hiểu và dễ thực hiện hơn. - HUMAN-FAC2]]</f>
        <v>7</v>
      </c>
      <c r="AI255" t="str">
        <f t="shared" si="91"/>
        <v>Neutral</v>
      </c>
      <c r="AJ255" s="32">
        <f t="shared" si="92"/>
        <v>1</v>
      </c>
      <c r="AK255">
        <f>step3_validation[[#This Row],[AI_TRU1]]</f>
        <v>9</v>
      </c>
      <c r="AL255" t="str">
        <f t="shared" si="93"/>
        <v>Support</v>
      </c>
      <c r="AM255">
        <f>survey_responses[[#This Row],[Tôi tin rằng Nhà nước, cơ quan thuế sẽ thực thi chính sách mới một cách khách quan, công tâm và đối xử bình đẳng với mọi người nộp thuế.  - HUMAN-TRU1]]</f>
        <v>3</v>
      </c>
      <c r="AN255" t="str">
        <f t="shared" si="94"/>
        <v>Oppose</v>
      </c>
      <c r="AO255" s="32">
        <f t="shared" si="95"/>
        <v>6</v>
      </c>
      <c r="AP255">
        <f>step3_validation[[#This Row],[AI_TRU2]]</f>
        <v>9</v>
      </c>
      <c r="AQ255" t="str">
        <f t="shared" si="96"/>
        <v>Support</v>
      </c>
      <c r="AR255">
        <f>survey_responses[[#This Row],[Tôi thấy mức thuế tôi phải đóng theo phương án mới là công bằng (người thu nhập như tôi đóng mức này là hợp lý). - HUMAN-TRU2]]</f>
        <v>6</v>
      </c>
      <c r="AS255" t="str">
        <f t="shared" si="97"/>
        <v>Neutral</v>
      </c>
      <c r="AT255" s="32">
        <f t="shared" si="98"/>
        <v>3</v>
      </c>
      <c r="AU255">
        <f>step3_validation[[#This Row],[AI_TRU3]]</f>
        <v>9</v>
      </c>
      <c r="AV255" t="str">
        <f t="shared" si="99"/>
        <v>Support</v>
      </c>
      <c r="AW255">
        <f>survey_responses[[#This Row],[Tôi tin tưởng số tiền thuế tôi đóng sẽ được Nhà nước sử dụng hiệu quả để cải thiện dịch vụ công (y tế, đường xá...). - HUMAN-TRU3]]</f>
        <v>5</v>
      </c>
      <c r="AX255" t="str">
        <f t="shared" si="100"/>
        <v>Neutral</v>
      </c>
      <c r="AY255" s="32">
        <f t="shared" si="101"/>
        <v>4</v>
      </c>
      <c r="AZ255">
        <f>step3_validation[[#This Row],[AI_TRU4]]</f>
        <v>8</v>
      </c>
      <c r="BA255" t="str">
        <f t="shared" si="102"/>
        <v>Support</v>
      </c>
      <c r="BB255">
        <f>survey_responses[[#This Row],[Tôi thấy Nhà nước đã giải thích rõ ràng, minh bạch về lý do và mục tiêu của việc sửa đổi thuế lần này. - HUMAN-TRU4]]</f>
        <v>6</v>
      </c>
      <c r="BC255" t="str">
        <f t="shared" si="103"/>
        <v>Neutral</v>
      </c>
      <c r="BD255" s="32">
        <f t="shared" si="104"/>
        <v>2</v>
      </c>
      <c r="BE255">
        <f>step3_validation[[#This Row],[AI_OUT1]]</f>
        <v>9</v>
      </c>
      <c r="BF255" t="str">
        <f t="shared" si="105"/>
        <v>Support</v>
      </c>
      <c r="BG255">
        <f>survey_responses[[#This Row],[Sau khi xem xét các quyền lợi và nghĩa vụ, bạn có ủng hộ và tuân thủ chính sách mới hiện nay? - HUMAN-OUT1]]</f>
        <v>6</v>
      </c>
      <c r="BH255" t="str">
        <f t="shared" si="106"/>
        <v>Neutral</v>
      </c>
      <c r="BI255" s="32">
        <f t="shared" si="107"/>
        <v>3</v>
      </c>
    </row>
    <row r="256" spans="1:61" x14ac:dyDescent="0.45">
      <c r="A256" s="30">
        <f>step3_validation[[#This Row],[Persona_ID]]</f>
        <v>255</v>
      </c>
      <c r="B256" s="31">
        <f>step3_validation[[#This Row],[Used_Seed]]</f>
        <v>255</v>
      </c>
      <c r="C256" t="str">
        <f>step3_validation[[#This Row],[Gender]]</f>
        <v>Nữ</v>
      </c>
      <c r="D256" t="str">
        <f>survey_responses[[#This Row],[Giới tính của bạn:]]</f>
        <v>Nữ</v>
      </c>
      <c r="E256" t="str">
        <f>step3_validation[[#This Row],[Age_Group]]</f>
        <v>30 - 39</v>
      </c>
      <c r="F256" t="str">
        <f>survey_responses[[#This Row],[Độ tuổi của bạn:]]</f>
        <v>30 - 39</v>
      </c>
      <c r="G256" t="str">
        <f>step3_validation[[#This Row],[Region]]</f>
        <v>Thành thị</v>
      </c>
      <c r="H256" t="str">
        <f>survey_responses[[#This Row],[Khu vực bạn đang sinh sống:]]</f>
        <v>Thành thị</v>
      </c>
      <c r="I256" t="str">
        <f>step3_validation[[#This Row],[Education]]</f>
        <v>Sau Đại học</v>
      </c>
      <c r="J256" t="str">
        <f>survey_responses[[#This Row],[Trình độ học vấn cao nhất:]]</f>
        <v>Sau Đại học</v>
      </c>
      <c r="K256" t="str">
        <f>step3_validation[[#This Row],[Employment]]</f>
        <v>Chính thức</v>
      </c>
      <c r="L256" t="str">
        <f>survey_responses[[#This Row],[Tình trạng việc làm chính:]]</f>
        <v>Khu vực chính thức (Có Hợp đồng lao động, đóng BHXH)</v>
      </c>
      <c r="M256">
        <f>step3_validation[[#This Row],[Income_Mil]]</f>
        <v>64.979775667352939</v>
      </c>
      <c r="N256" t="str">
        <f>survey_responses[[#This Row],[Thu nhập bình quân tháng theo Hợp đồng lao động của bạn là bao nhiêu? (Vui lòng điền tổng thu nhập trước khi khấu trừ các loại Bảo hiểm (BHXH, BHYT, BHTN) và Thuế TNCN)]]</f>
        <v>Từ 48 - 70 triệu VNĐ</v>
      </c>
      <c r="O256">
        <f>step3_validation[[#This Row],[Dependents]]</f>
        <v>1</v>
      </c>
      <c r="P256" t="str">
        <f>survey_responses[[#This Row],[Số người phụ thuộc (con nhỏ, cha mẹ già...) đủ điều kiện giảm trừ gia cảnh:]]</f>
        <v>1 người</v>
      </c>
      <c r="Q256">
        <f>step3_validation[[#This Row],[AI_ENF1]]</f>
        <v>7</v>
      </c>
      <c r="R256" t="str">
        <f t="shared" si="81"/>
        <v>Neutral</v>
      </c>
      <c r="S256">
        <f>survey_responses[[#This Row],[Tôi tin rằng với các quy định quản lý thuế hiện nay, hành vi gian lận hoặc trốn thuế sẽ dễ dàng bị phát hiện và xử lý nghiêm. - HUMAN-ENF1]]</f>
        <v>6</v>
      </c>
      <c r="T256" t="str">
        <f t="shared" si="82"/>
        <v>Neutral</v>
      </c>
      <c r="U256" s="32">
        <f t="shared" si="83"/>
        <v>1</v>
      </c>
      <c r="V256">
        <f>step3_validation[[#This Row],[AI_ENF2]]</f>
        <v>8</v>
      </c>
      <c r="W256" t="str">
        <f t="shared" si="84"/>
        <v>Support</v>
      </c>
      <c r="X256">
        <f>survey_responses[[#This Row],[Tôi tin rằng Nhà nước, cơ quan thuế có đủ khả năng và công nghệ để phát hiện, xử lý nghiêm các hành vi trốn thuế. - HUMAN-ENF2]]</f>
        <v>6</v>
      </c>
      <c r="Y256" t="str">
        <f t="shared" si="85"/>
        <v>Neutral</v>
      </c>
      <c r="Z256" s="32">
        <f t="shared" si="86"/>
        <v>2</v>
      </c>
      <c r="AA256">
        <f>step3_validation[[#This Row],[AI_FAC1]]</f>
        <v>9</v>
      </c>
      <c r="AB256" t="str">
        <f t="shared" si="87"/>
        <v>Support</v>
      </c>
      <c r="AC256">
        <f>survey_responses[[#This Row],[Các thủ tục khai báo thuế VÀ/HOẶC quy trình làm việc với cơ quan thuế đơn giản, tiện lợi, nhanh chóng hơn so với trước đây. - HUMAN-FAC1]]</f>
        <v>1</v>
      </c>
      <c r="AD256" t="str">
        <f t="shared" si="88"/>
        <v>Oppose</v>
      </c>
      <c r="AE256" s="32">
        <f t="shared" si="89"/>
        <v>8</v>
      </c>
      <c r="AF256">
        <f>step3_validation[[#This Row],[AI_FAC2]]</f>
        <v>10</v>
      </c>
      <c r="AG256" t="str">
        <f t="shared" si="90"/>
        <v>Support</v>
      </c>
      <c r="AH256">
        <f>survey_responses[[#This Row],[So với trước đây, tôi thấy cách tính thuế và các bậc thuế trong phương án mới đơn giản, dễ hiểu và dễ thực hiện hơn. - HUMAN-FAC2]]</f>
        <v>7</v>
      </c>
      <c r="AI256" t="str">
        <f t="shared" si="91"/>
        <v>Neutral</v>
      </c>
      <c r="AJ256" s="32">
        <f t="shared" si="92"/>
        <v>3</v>
      </c>
      <c r="AK256">
        <f>step3_validation[[#This Row],[AI_TRU1]]</f>
        <v>9</v>
      </c>
      <c r="AL256" t="str">
        <f t="shared" si="93"/>
        <v>Support</v>
      </c>
      <c r="AM256">
        <f>survey_responses[[#This Row],[Tôi tin rằng Nhà nước, cơ quan thuế sẽ thực thi chính sách mới một cách khách quan, công tâm và đối xử bình đẳng với mọi người nộp thuế.  - HUMAN-TRU1]]</f>
        <v>5</v>
      </c>
      <c r="AN256" t="str">
        <f t="shared" si="94"/>
        <v>Neutral</v>
      </c>
      <c r="AO256" s="32">
        <f t="shared" si="95"/>
        <v>4</v>
      </c>
      <c r="AP256">
        <f>step3_validation[[#This Row],[AI_TRU2]]</f>
        <v>8</v>
      </c>
      <c r="AQ256" t="str">
        <f t="shared" si="96"/>
        <v>Support</v>
      </c>
      <c r="AR256">
        <f>survey_responses[[#This Row],[Tôi thấy mức thuế tôi phải đóng theo phương án mới là công bằng (người thu nhập như tôi đóng mức này là hợp lý). - HUMAN-TRU2]]</f>
        <v>6</v>
      </c>
      <c r="AS256" t="str">
        <f t="shared" si="97"/>
        <v>Neutral</v>
      </c>
      <c r="AT256" s="32">
        <f t="shared" si="98"/>
        <v>2</v>
      </c>
      <c r="AU256">
        <f>step3_validation[[#This Row],[AI_TRU3]]</f>
        <v>9</v>
      </c>
      <c r="AV256" t="str">
        <f t="shared" si="99"/>
        <v>Support</v>
      </c>
      <c r="AW256">
        <f>survey_responses[[#This Row],[Tôi tin tưởng số tiền thuế tôi đóng sẽ được Nhà nước sử dụng hiệu quả để cải thiện dịch vụ công (y tế, đường xá...). - HUMAN-TRU3]]</f>
        <v>6</v>
      </c>
      <c r="AX256" t="str">
        <f t="shared" si="100"/>
        <v>Neutral</v>
      </c>
      <c r="AY256" s="32">
        <f t="shared" si="101"/>
        <v>3</v>
      </c>
      <c r="AZ256">
        <f>step3_validation[[#This Row],[AI_TRU4]]</f>
        <v>7</v>
      </c>
      <c r="BA256" t="str">
        <f t="shared" si="102"/>
        <v>Neutral</v>
      </c>
      <c r="BB256">
        <f>survey_responses[[#This Row],[Tôi thấy Nhà nước đã giải thích rõ ràng, minh bạch về lý do và mục tiêu của việc sửa đổi thuế lần này. - HUMAN-TRU4]]</f>
        <v>6</v>
      </c>
      <c r="BC256" t="str">
        <f t="shared" si="103"/>
        <v>Neutral</v>
      </c>
      <c r="BD256" s="32">
        <f t="shared" si="104"/>
        <v>1</v>
      </c>
      <c r="BE256">
        <f>step3_validation[[#This Row],[AI_OUT1]]</f>
        <v>9</v>
      </c>
      <c r="BF256" t="str">
        <f t="shared" si="105"/>
        <v>Support</v>
      </c>
      <c r="BG256">
        <f>survey_responses[[#This Row],[Sau khi xem xét các quyền lợi và nghĩa vụ, bạn có ủng hộ và tuân thủ chính sách mới hiện nay? - HUMAN-OUT1]]</f>
        <v>6</v>
      </c>
      <c r="BH256" t="str">
        <f t="shared" si="106"/>
        <v>Neutral</v>
      </c>
      <c r="BI256" s="32">
        <f t="shared" si="107"/>
        <v>3</v>
      </c>
    </row>
    <row r="257" spans="1:61" x14ac:dyDescent="0.45">
      <c r="A257" s="30">
        <f>step3_validation[[#This Row],[Persona_ID]]</f>
        <v>256</v>
      </c>
      <c r="B257" s="31">
        <f>step3_validation[[#This Row],[Used_Seed]]</f>
        <v>256</v>
      </c>
      <c r="C257" t="str">
        <f>step3_validation[[#This Row],[Gender]]</f>
        <v>Nữ</v>
      </c>
      <c r="D257" t="str">
        <f>survey_responses[[#This Row],[Giới tính của bạn:]]</f>
        <v>Nữ</v>
      </c>
      <c r="E257" t="str">
        <f>step3_validation[[#This Row],[Age_Group]]</f>
        <v>50 - 54</v>
      </c>
      <c r="F257" t="str">
        <f>survey_responses[[#This Row],[Độ tuổi của bạn:]]</f>
        <v>50 - 54</v>
      </c>
      <c r="G257" t="str">
        <f>step3_validation[[#This Row],[Region]]</f>
        <v>Thành thị</v>
      </c>
      <c r="H257" t="str">
        <f>survey_responses[[#This Row],[Khu vực bạn đang sinh sống:]]</f>
        <v>Thành thị</v>
      </c>
      <c r="I257" t="str">
        <f>step3_validation[[#This Row],[Education]]</f>
        <v>Đại học</v>
      </c>
      <c r="J257" t="str">
        <f>survey_responses[[#This Row],[Trình độ học vấn cao nhất:]]</f>
        <v>Đại học</v>
      </c>
      <c r="K257" t="str">
        <f>step3_validation[[#This Row],[Employment]]</f>
        <v>Chính thức</v>
      </c>
      <c r="L257" t="str">
        <f>survey_responses[[#This Row],[Tình trạng việc làm chính:]]</f>
        <v>Khu vực chính thức (Có Hợp đồng lao động, đóng BHXH)</v>
      </c>
      <c r="M257">
        <f>step3_validation[[#This Row],[Income_Mil]]</f>
        <v>207.96539685166721</v>
      </c>
      <c r="N257" t="str">
        <f>survey_responses[[#This Row],[Thu nhập bình quân tháng theo Hợp đồng lao động của bạn là bao nhiêu? (Vui lòng điền tổng thu nhập trước khi khấu trừ các loại Bảo hiểm (BHXH, BHYT, BHTN) và Thuế TNCN)]]</f>
        <v>Trên 102 triệu VNĐ</v>
      </c>
      <c r="O257">
        <f>step3_validation[[#This Row],[Dependents]]</f>
        <v>4</v>
      </c>
      <c r="P257" t="str">
        <f>survey_responses[[#This Row],[Số người phụ thuộc (con nhỏ, cha mẹ già...) đủ điều kiện giảm trừ gia cảnh:]]</f>
        <v>4 người trở lên</v>
      </c>
      <c r="Q257">
        <f>step3_validation[[#This Row],[AI_ENF1]]</f>
        <v>7</v>
      </c>
      <c r="R257" t="str">
        <f t="shared" si="81"/>
        <v>Neutral</v>
      </c>
      <c r="S257">
        <f>survey_responses[[#This Row],[Tôi tin rằng với các quy định quản lý thuế hiện nay, hành vi gian lận hoặc trốn thuế sẽ dễ dàng bị phát hiện và xử lý nghiêm. - HUMAN-ENF1]]</f>
        <v>8</v>
      </c>
      <c r="T257" t="str">
        <f t="shared" si="82"/>
        <v>Support</v>
      </c>
      <c r="U257" s="32">
        <f t="shared" si="83"/>
        <v>1</v>
      </c>
      <c r="V257">
        <f>step3_validation[[#This Row],[AI_ENF2]]</f>
        <v>6</v>
      </c>
      <c r="W257" t="str">
        <f t="shared" si="84"/>
        <v>Neutral</v>
      </c>
      <c r="X257">
        <f>survey_responses[[#This Row],[Tôi tin rằng Nhà nước, cơ quan thuế có đủ khả năng và công nghệ để phát hiện, xử lý nghiêm các hành vi trốn thuế. - HUMAN-ENF2]]</f>
        <v>8</v>
      </c>
      <c r="Y257" t="str">
        <f t="shared" si="85"/>
        <v>Support</v>
      </c>
      <c r="Z257" s="32">
        <f t="shared" si="86"/>
        <v>2</v>
      </c>
      <c r="AA257">
        <f>step3_validation[[#This Row],[AI_FAC1]]</f>
        <v>5</v>
      </c>
      <c r="AB257" t="str">
        <f t="shared" si="87"/>
        <v>Neutral</v>
      </c>
      <c r="AC257">
        <f>survey_responses[[#This Row],[Các thủ tục khai báo thuế VÀ/HOẶC quy trình làm việc với cơ quan thuế đơn giản, tiện lợi, nhanh chóng hơn so với trước đây. - HUMAN-FAC1]]</f>
        <v>5</v>
      </c>
      <c r="AD257" t="str">
        <f t="shared" si="88"/>
        <v>Neutral</v>
      </c>
      <c r="AE257" s="32">
        <f t="shared" si="89"/>
        <v>0</v>
      </c>
      <c r="AF257">
        <f>step3_validation[[#This Row],[AI_FAC2]]</f>
        <v>7</v>
      </c>
      <c r="AG257" t="str">
        <f t="shared" si="90"/>
        <v>Neutral</v>
      </c>
      <c r="AH257">
        <f>survey_responses[[#This Row],[So với trước đây, tôi thấy cách tính thuế và các bậc thuế trong phương án mới đơn giản, dễ hiểu và dễ thực hiện hơn. - HUMAN-FAC2]]</f>
        <v>8</v>
      </c>
      <c r="AI257" t="str">
        <f t="shared" si="91"/>
        <v>Support</v>
      </c>
      <c r="AJ257" s="32">
        <f t="shared" si="92"/>
        <v>1</v>
      </c>
      <c r="AK257">
        <f>step3_validation[[#This Row],[AI_TRU1]]</f>
        <v>6</v>
      </c>
      <c r="AL257" t="str">
        <f t="shared" si="93"/>
        <v>Neutral</v>
      </c>
      <c r="AM257">
        <f>survey_responses[[#This Row],[Tôi tin rằng Nhà nước, cơ quan thuế sẽ thực thi chính sách mới một cách khách quan, công tâm và đối xử bình đẳng với mọi người nộp thuế.  - HUMAN-TRU1]]</f>
        <v>8</v>
      </c>
      <c r="AN257" t="str">
        <f t="shared" si="94"/>
        <v>Support</v>
      </c>
      <c r="AO257" s="32">
        <f t="shared" si="95"/>
        <v>2</v>
      </c>
      <c r="AP257">
        <f>step3_validation[[#This Row],[AI_TRU2]]</f>
        <v>5</v>
      </c>
      <c r="AQ257" t="str">
        <f t="shared" si="96"/>
        <v>Neutral</v>
      </c>
      <c r="AR257">
        <f>survey_responses[[#This Row],[Tôi thấy mức thuế tôi phải đóng theo phương án mới là công bằng (người thu nhập như tôi đóng mức này là hợp lý). - HUMAN-TRU2]]</f>
        <v>7</v>
      </c>
      <c r="AS257" t="str">
        <f t="shared" si="97"/>
        <v>Neutral</v>
      </c>
      <c r="AT257" s="32">
        <f t="shared" si="98"/>
        <v>2</v>
      </c>
      <c r="AU257">
        <f>step3_validation[[#This Row],[AI_TRU3]]</f>
        <v>6</v>
      </c>
      <c r="AV257" t="str">
        <f t="shared" si="99"/>
        <v>Neutral</v>
      </c>
      <c r="AW257">
        <f>survey_responses[[#This Row],[Tôi tin tưởng số tiền thuế tôi đóng sẽ được Nhà nước sử dụng hiệu quả để cải thiện dịch vụ công (y tế, đường xá...). - HUMAN-TRU3]]</f>
        <v>7</v>
      </c>
      <c r="AX257" t="str">
        <f t="shared" si="100"/>
        <v>Neutral</v>
      </c>
      <c r="AY257" s="32">
        <f t="shared" si="101"/>
        <v>1</v>
      </c>
      <c r="AZ257">
        <f>step3_validation[[#This Row],[AI_TRU4]]</f>
        <v>5</v>
      </c>
      <c r="BA257" t="str">
        <f t="shared" si="102"/>
        <v>Neutral</v>
      </c>
      <c r="BB257">
        <f>survey_responses[[#This Row],[Tôi thấy Nhà nước đã giải thích rõ ràng, minh bạch về lý do và mục tiêu của việc sửa đổi thuế lần này. - HUMAN-TRU4]]</f>
        <v>7</v>
      </c>
      <c r="BC257" t="str">
        <f t="shared" si="103"/>
        <v>Neutral</v>
      </c>
      <c r="BD257" s="32">
        <f t="shared" si="104"/>
        <v>2</v>
      </c>
      <c r="BE257">
        <f>step3_validation[[#This Row],[AI_OUT1]]</f>
        <v>7</v>
      </c>
      <c r="BF257" t="str">
        <f t="shared" si="105"/>
        <v>Neutral</v>
      </c>
      <c r="BG257">
        <f>survey_responses[[#This Row],[Sau khi xem xét các quyền lợi và nghĩa vụ, bạn có ủng hộ và tuân thủ chính sách mới hiện nay? - HUMAN-OUT1]]</f>
        <v>7</v>
      </c>
      <c r="BH257" t="str">
        <f t="shared" si="106"/>
        <v>Neutral</v>
      </c>
      <c r="BI257" s="32">
        <f t="shared" si="107"/>
        <v>0</v>
      </c>
    </row>
    <row r="258" spans="1:61" x14ac:dyDescent="0.45">
      <c r="A258" s="30">
        <f>step3_validation[[#This Row],[Persona_ID]]</f>
        <v>257</v>
      </c>
      <c r="B258" s="31">
        <f>step3_validation[[#This Row],[Used_Seed]]</f>
        <v>257</v>
      </c>
      <c r="C258" t="str">
        <f>step3_validation[[#This Row],[Gender]]</f>
        <v>Nữ</v>
      </c>
      <c r="D258" t="str">
        <f>survey_responses[[#This Row],[Giới tính của bạn:]]</f>
        <v>Nữ</v>
      </c>
      <c r="E258" t="str">
        <f>step3_validation[[#This Row],[Age_Group]]</f>
        <v>25 - 29</v>
      </c>
      <c r="F258" t="str">
        <f>survey_responses[[#This Row],[Độ tuổi của bạn:]]</f>
        <v>25 - 29</v>
      </c>
      <c r="G258" t="str">
        <f>step3_validation[[#This Row],[Region]]</f>
        <v>Thành thị</v>
      </c>
      <c r="H258" t="str">
        <f>survey_responses[[#This Row],[Khu vực bạn đang sinh sống:]]</f>
        <v>Thành thị</v>
      </c>
      <c r="I258" t="str">
        <f>step3_validation[[#This Row],[Education]]</f>
        <v>Đại học</v>
      </c>
      <c r="J258" t="str">
        <f>survey_responses[[#This Row],[Trình độ học vấn cao nhất:]]</f>
        <v>Đại học</v>
      </c>
      <c r="K258" t="str">
        <f>step3_validation[[#This Row],[Employment]]</f>
        <v>Chính thức</v>
      </c>
      <c r="L258" t="str">
        <f>survey_responses[[#This Row],[Tình trạng việc làm chính:]]</f>
        <v>Khu vực chính thức (Có Hợp đồng lao động, đóng BHXH)</v>
      </c>
      <c r="M258">
        <f>step3_validation[[#This Row],[Income_Mil]]</f>
        <v>43.203266373214916</v>
      </c>
      <c r="N258" t="str">
        <f>survey_responses[[#This Row],[Thu nhập bình quân tháng theo Hợp đồng lao động của bạn là bao nhiêu? (Vui lòng điền tổng thu nhập trước khi khấu trừ các loại Bảo hiểm (BHXH, BHYT, BHTN) và Thuế TNCN)]]</f>
        <v>Từ 32 - 48 triệu VNĐ</v>
      </c>
      <c r="O258">
        <f>step3_validation[[#This Row],[Dependents]]</f>
        <v>1</v>
      </c>
      <c r="P258" t="str">
        <f>survey_responses[[#This Row],[Số người phụ thuộc (con nhỏ, cha mẹ già...) đủ điều kiện giảm trừ gia cảnh:]]</f>
        <v>1 người</v>
      </c>
      <c r="Q258">
        <f>step3_validation[[#This Row],[AI_ENF1]]</f>
        <v>7</v>
      </c>
      <c r="R258" t="str">
        <f t="shared" si="81"/>
        <v>Neutral</v>
      </c>
      <c r="S258">
        <f>survey_responses[[#This Row],[Tôi tin rằng với các quy định quản lý thuế hiện nay, hành vi gian lận hoặc trốn thuế sẽ dễ dàng bị phát hiện và xử lý nghiêm. - HUMAN-ENF1]]</f>
        <v>7</v>
      </c>
      <c r="T258" t="str">
        <f t="shared" si="82"/>
        <v>Neutral</v>
      </c>
      <c r="U258" s="32">
        <f t="shared" si="83"/>
        <v>0</v>
      </c>
      <c r="V258">
        <f>step3_validation[[#This Row],[AI_ENF2]]</f>
        <v>6</v>
      </c>
      <c r="W258" t="str">
        <f t="shared" si="84"/>
        <v>Neutral</v>
      </c>
      <c r="X258">
        <f>survey_responses[[#This Row],[Tôi tin rằng Nhà nước, cơ quan thuế có đủ khả năng và công nghệ để phát hiện, xử lý nghiêm các hành vi trốn thuế. - HUMAN-ENF2]]</f>
        <v>8</v>
      </c>
      <c r="Y258" t="str">
        <f t="shared" si="85"/>
        <v>Support</v>
      </c>
      <c r="Z258" s="32">
        <f t="shared" si="86"/>
        <v>2</v>
      </c>
      <c r="AA258">
        <f>step3_validation[[#This Row],[AI_FAC1]]</f>
        <v>8</v>
      </c>
      <c r="AB258" t="str">
        <f t="shared" si="87"/>
        <v>Support</v>
      </c>
      <c r="AC258">
        <f>survey_responses[[#This Row],[Các thủ tục khai báo thuế VÀ/HOẶC quy trình làm việc với cơ quan thuế đơn giản, tiện lợi, nhanh chóng hơn so với trước đây. - HUMAN-FAC1]]</f>
        <v>4</v>
      </c>
      <c r="AD258" t="str">
        <f t="shared" si="88"/>
        <v>Oppose</v>
      </c>
      <c r="AE258" s="32">
        <f t="shared" si="89"/>
        <v>4</v>
      </c>
      <c r="AF258">
        <f>step3_validation[[#This Row],[AI_FAC2]]</f>
        <v>9</v>
      </c>
      <c r="AG258" t="str">
        <f t="shared" si="90"/>
        <v>Support</v>
      </c>
      <c r="AH258">
        <f>survey_responses[[#This Row],[So với trước đây, tôi thấy cách tính thuế và các bậc thuế trong phương án mới đơn giản, dễ hiểu và dễ thực hiện hơn. - HUMAN-FAC2]]</f>
        <v>8</v>
      </c>
      <c r="AI258" t="str">
        <f t="shared" si="91"/>
        <v>Support</v>
      </c>
      <c r="AJ258" s="32">
        <f t="shared" si="92"/>
        <v>1</v>
      </c>
      <c r="AK258">
        <f>step3_validation[[#This Row],[AI_TRU1]]</f>
        <v>7</v>
      </c>
      <c r="AL258" t="str">
        <f t="shared" si="93"/>
        <v>Neutral</v>
      </c>
      <c r="AM258">
        <f>survey_responses[[#This Row],[Tôi tin rằng Nhà nước, cơ quan thuế sẽ thực thi chính sách mới một cách khách quan, công tâm và đối xử bình đẳng với mọi người nộp thuế.  - HUMAN-TRU1]]</f>
        <v>5</v>
      </c>
      <c r="AN258" t="str">
        <f t="shared" si="94"/>
        <v>Neutral</v>
      </c>
      <c r="AO258" s="32">
        <f t="shared" si="95"/>
        <v>2</v>
      </c>
      <c r="AP258">
        <f>step3_validation[[#This Row],[AI_TRU2]]</f>
        <v>8</v>
      </c>
      <c r="AQ258" t="str">
        <f t="shared" si="96"/>
        <v>Support</v>
      </c>
      <c r="AR258">
        <f>survey_responses[[#This Row],[Tôi thấy mức thuế tôi phải đóng theo phương án mới là công bằng (người thu nhập như tôi đóng mức này là hợp lý). - HUMAN-TRU2]]</f>
        <v>7</v>
      </c>
      <c r="AS258" t="str">
        <f t="shared" si="97"/>
        <v>Neutral</v>
      </c>
      <c r="AT258" s="32">
        <f t="shared" si="98"/>
        <v>1</v>
      </c>
      <c r="AU258">
        <f>step3_validation[[#This Row],[AI_TRU3]]</f>
        <v>7</v>
      </c>
      <c r="AV258" t="str">
        <f t="shared" si="99"/>
        <v>Neutral</v>
      </c>
      <c r="AW258">
        <f>survey_responses[[#This Row],[Tôi tin tưởng số tiền thuế tôi đóng sẽ được Nhà nước sử dụng hiệu quả để cải thiện dịch vụ công (y tế, đường xá...). - HUMAN-TRU3]]</f>
        <v>5</v>
      </c>
      <c r="AX258" t="str">
        <f t="shared" si="100"/>
        <v>Neutral</v>
      </c>
      <c r="AY258" s="32">
        <f t="shared" si="101"/>
        <v>2</v>
      </c>
      <c r="AZ258">
        <f>step3_validation[[#This Row],[AI_TRU4]]</f>
        <v>6</v>
      </c>
      <c r="BA258" t="str">
        <f t="shared" si="102"/>
        <v>Neutral</v>
      </c>
      <c r="BB258">
        <f>survey_responses[[#This Row],[Tôi thấy Nhà nước đã giải thích rõ ràng, minh bạch về lý do và mục tiêu của việc sửa đổi thuế lần này. - HUMAN-TRU4]]</f>
        <v>6</v>
      </c>
      <c r="BC258" t="str">
        <f t="shared" si="103"/>
        <v>Neutral</v>
      </c>
      <c r="BD258" s="32">
        <f t="shared" si="104"/>
        <v>0</v>
      </c>
      <c r="BE258">
        <f>step3_validation[[#This Row],[AI_OUT1]]</f>
        <v>9</v>
      </c>
      <c r="BF258" t="str">
        <f t="shared" si="105"/>
        <v>Support</v>
      </c>
      <c r="BG258">
        <f>survey_responses[[#This Row],[Sau khi xem xét các quyền lợi và nghĩa vụ, bạn có ủng hộ và tuân thủ chính sách mới hiện nay? - HUMAN-OUT1]]</f>
        <v>6</v>
      </c>
      <c r="BH258" t="str">
        <f t="shared" si="106"/>
        <v>Neutral</v>
      </c>
      <c r="BI258" s="32">
        <f t="shared" si="107"/>
        <v>3</v>
      </c>
    </row>
    <row r="259" spans="1:61" x14ac:dyDescent="0.45">
      <c r="A259" s="30">
        <f>step3_validation[[#This Row],[Persona_ID]]</f>
        <v>258</v>
      </c>
      <c r="B259" s="31">
        <f>step3_validation[[#This Row],[Used_Seed]]</f>
        <v>258</v>
      </c>
      <c r="C259" t="str">
        <f>step3_validation[[#This Row],[Gender]]</f>
        <v>Nam</v>
      </c>
      <c r="D259" t="str">
        <f>survey_responses[[#This Row],[Giới tính của bạn:]]</f>
        <v>Nam</v>
      </c>
      <c r="E259" t="str">
        <f>step3_validation[[#This Row],[Age_Group]]</f>
        <v>40 - 49</v>
      </c>
      <c r="F259" t="str">
        <f>survey_responses[[#This Row],[Độ tuổi của bạn:]]</f>
        <v>40 - 49</v>
      </c>
      <c r="G259" t="str">
        <f>step3_validation[[#This Row],[Region]]</f>
        <v>Thành thị</v>
      </c>
      <c r="H259" t="str">
        <f>survey_responses[[#This Row],[Khu vực bạn đang sinh sống:]]</f>
        <v>Thành thị</v>
      </c>
      <c r="I259" t="str">
        <f>step3_validation[[#This Row],[Education]]</f>
        <v>Đại học</v>
      </c>
      <c r="J259" t="str">
        <f>survey_responses[[#This Row],[Trình độ học vấn cao nhất:]]</f>
        <v>Đại học</v>
      </c>
      <c r="K259" t="str">
        <f>step3_validation[[#This Row],[Employment]]</f>
        <v>Chính thức</v>
      </c>
      <c r="L259" t="str">
        <f>survey_responses[[#This Row],[Tình trạng việc làm chính:]]</f>
        <v>Khu vực chính thức (Có Hợp đồng lao động, đóng BHXH)</v>
      </c>
      <c r="M259">
        <f>step3_validation[[#This Row],[Income_Mil]]</f>
        <v>55.376590294432937</v>
      </c>
      <c r="N259" t="str">
        <f>survey_responses[[#This Row],[Thu nhập bình quân tháng theo Hợp đồng lao động của bạn là bao nhiêu? (Vui lòng điền tổng thu nhập trước khi khấu trừ các loại Bảo hiểm (BHXH, BHYT, BHTN) và Thuế TNCN)]]</f>
        <v>Từ 48 - 70 triệu VNĐ</v>
      </c>
      <c r="O259">
        <f>step3_validation[[#This Row],[Dependents]]</f>
        <v>2</v>
      </c>
      <c r="P259" t="str">
        <f>survey_responses[[#This Row],[Số người phụ thuộc (con nhỏ, cha mẹ già...) đủ điều kiện giảm trừ gia cảnh:]]</f>
        <v>2 người</v>
      </c>
      <c r="Q259">
        <f>step3_validation[[#This Row],[AI_ENF1]]</f>
        <v>8</v>
      </c>
      <c r="R259" t="str">
        <f t="shared" ref="R259:R322" si="108">IF(AND(Q259&gt;=1,Q259&lt;5),"Oppose",IF(AND(Q259&gt;=5,Q259&lt;8),"Neutral",IF(AND(Q259&gt;=8,Q259&lt;=10),"Support","")))</f>
        <v>Support</v>
      </c>
      <c r="S259">
        <f>survey_responses[[#This Row],[Tôi tin rằng với các quy định quản lý thuế hiện nay, hành vi gian lận hoặc trốn thuế sẽ dễ dàng bị phát hiện và xử lý nghiêm. - HUMAN-ENF1]]</f>
        <v>6</v>
      </c>
      <c r="T259" t="str">
        <f t="shared" ref="T259:T322" si="109">IF(AND(S259&gt;=1,S259&lt;5),"Oppose",IF(AND(S259&gt;=5,S259&lt;8),"Neutral",IF(AND(S259&gt;=8,S259&lt;=10),"Support","")))</f>
        <v>Neutral</v>
      </c>
      <c r="U259" s="32">
        <f t="shared" ref="U259:U322" si="110">ABS(S259-Q259)</f>
        <v>2</v>
      </c>
      <c r="V259">
        <f>step3_validation[[#This Row],[AI_ENF2]]</f>
        <v>9</v>
      </c>
      <c r="W259" t="str">
        <f t="shared" ref="W259:W322" si="111">IF(AND(V259&gt;=1,V259&lt;5),"Oppose",IF(AND(V259&gt;=5,V259&lt;8),"Neutral",IF(AND(V259&gt;=8,V259&lt;=10),"Support","")))</f>
        <v>Support</v>
      </c>
      <c r="X259">
        <f>survey_responses[[#This Row],[Tôi tin rằng Nhà nước, cơ quan thuế có đủ khả năng và công nghệ để phát hiện, xử lý nghiêm các hành vi trốn thuế. - HUMAN-ENF2]]</f>
        <v>7</v>
      </c>
      <c r="Y259" t="str">
        <f t="shared" ref="Y259:Y322" si="112">IF(AND(X259&gt;=1,X259&lt;5),"Oppose",IF(AND(X259&gt;=5,X259&lt;8),"Neutral",IF(AND(X259&gt;=8,X259&lt;=10),"Support","")))</f>
        <v>Neutral</v>
      </c>
      <c r="Z259" s="32">
        <f t="shared" ref="Z259:Z322" si="113">ABS(X259-V259)</f>
        <v>2</v>
      </c>
      <c r="AA259">
        <f>step3_validation[[#This Row],[AI_FAC1]]</f>
        <v>8</v>
      </c>
      <c r="AB259" t="str">
        <f t="shared" ref="AB259:AB322" si="114">IF(AND(AA259&gt;=1,AA259&lt;5),"Oppose",IF(AND(AA259&gt;=5,AA259&lt;8),"Neutral",IF(AND(AA259&gt;=8,AA259&lt;=10),"Support","")))</f>
        <v>Support</v>
      </c>
      <c r="AC259">
        <f>survey_responses[[#This Row],[Các thủ tục khai báo thuế VÀ/HOẶC quy trình làm việc với cơ quan thuế đơn giản, tiện lợi, nhanh chóng hơn so với trước đây. - HUMAN-FAC1]]</f>
        <v>2</v>
      </c>
      <c r="AD259" t="str">
        <f t="shared" ref="AD259:AD322" si="115">IF(AND(AC259&gt;=1,AC259&lt;5),"Oppose",IF(AND(AC259&gt;=5,AC259&lt;8),"Neutral",IF(AND(AC259&gt;=8,AC259&lt;=10),"Support","")))</f>
        <v>Oppose</v>
      </c>
      <c r="AE259" s="32">
        <f t="shared" ref="AE259:AE322" si="116">ABS(AC259-AA259)</f>
        <v>6</v>
      </c>
      <c r="AF259">
        <f>step3_validation[[#This Row],[AI_FAC2]]</f>
        <v>9</v>
      </c>
      <c r="AG259" t="str">
        <f t="shared" ref="AG259:AG322" si="117">IF(AND(AF259&gt;=1,AF259&lt;5),"Oppose",IF(AND(AF259&gt;=5,AF259&lt;8),"Neutral",IF(AND(AF259&gt;=8,AF259&lt;=10),"Support","")))</f>
        <v>Support</v>
      </c>
      <c r="AH259">
        <f>survey_responses[[#This Row],[So với trước đây, tôi thấy cách tính thuế và các bậc thuế trong phương án mới đơn giản, dễ hiểu và dễ thực hiện hơn. - HUMAN-FAC2]]</f>
        <v>7</v>
      </c>
      <c r="AI259" t="str">
        <f t="shared" ref="AI259:AI322" si="118">IF(AND(AH259&gt;=1,AH259&lt;5),"Oppose",IF(AND(AH259&gt;=5,AH259&lt;8),"Neutral",IF(AND(AH259&gt;=8,AH259&lt;=10),"Support","")))</f>
        <v>Neutral</v>
      </c>
      <c r="AJ259" s="32">
        <f t="shared" ref="AJ259:AJ322" si="119">ABS(AH259-AF259)</f>
        <v>2</v>
      </c>
      <c r="AK259">
        <f>step3_validation[[#This Row],[AI_TRU1]]</f>
        <v>8</v>
      </c>
      <c r="AL259" t="str">
        <f t="shared" ref="AL259:AL322" si="120">IF(AND(AK259&gt;=1,AK259&lt;5),"Oppose",IF(AND(AK259&gt;=5,AK259&lt;8),"Neutral",IF(AND(AK259&gt;=8,AK259&lt;=10),"Support","")))</f>
        <v>Support</v>
      </c>
      <c r="AM259">
        <f>survey_responses[[#This Row],[Tôi tin rằng Nhà nước, cơ quan thuế sẽ thực thi chính sách mới một cách khách quan, công tâm và đối xử bình đẳng với mọi người nộp thuế.  - HUMAN-TRU1]]</f>
        <v>5</v>
      </c>
      <c r="AN259" t="str">
        <f t="shared" ref="AN259:AN322" si="121">IF(AND(AM259&gt;=1,AM259&lt;5),"Oppose",IF(AND(AM259&gt;=5,AM259&lt;8),"Neutral",IF(AND(AM259&gt;=8,AM259&lt;=10),"Support","")))</f>
        <v>Neutral</v>
      </c>
      <c r="AO259" s="32">
        <f t="shared" ref="AO259:AO322" si="122">ABS(AM259-AK259)</f>
        <v>3</v>
      </c>
      <c r="AP259">
        <f>step3_validation[[#This Row],[AI_TRU2]]</f>
        <v>9</v>
      </c>
      <c r="AQ259" t="str">
        <f t="shared" ref="AQ259:AQ322" si="123">IF(AND(AP259&gt;=1,AP259&lt;5),"Oppose",IF(AND(AP259&gt;=5,AP259&lt;8),"Neutral",IF(AND(AP259&gt;=8,AP259&lt;=10),"Support","")))</f>
        <v>Support</v>
      </c>
      <c r="AR259">
        <f>survey_responses[[#This Row],[Tôi thấy mức thuế tôi phải đóng theo phương án mới là công bằng (người thu nhập như tôi đóng mức này là hợp lý). - HUMAN-TRU2]]</f>
        <v>5</v>
      </c>
      <c r="AS259" t="str">
        <f t="shared" ref="AS259:AS322" si="124">IF(AND(AR259&gt;=1,AR259&lt;5),"Oppose",IF(AND(AR259&gt;=5,AR259&lt;8),"Neutral",IF(AND(AR259&gt;=8,AR259&lt;=10),"Support","")))</f>
        <v>Neutral</v>
      </c>
      <c r="AT259" s="32">
        <f t="shared" ref="AT259:AT322" si="125">ABS(AR259-AP259)</f>
        <v>4</v>
      </c>
      <c r="AU259">
        <f>step3_validation[[#This Row],[AI_TRU3]]</f>
        <v>8</v>
      </c>
      <c r="AV259" t="str">
        <f t="shared" ref="AV259:AV322" si="126">IF(AND(AU259&gt;=1,AU259&lt;5),"Oppose",IF(AND(AU259&gt;=5,AU259&lt;8),"Neutral",IF(AND(AU259&gt;=8,AU259&lt;=10),"Support","")))</f>
        <v>Support</v>
      </c>
      <c r="AW259">
        <f>survey_responses[[#This Row],[Tôi tin tưởng số tiền thuế tôi đóng sẽ được Nhà nước sử dụng hiệu quả để cải thiện dịch vụ công (y tế, đường xá...). - HUMAN-TRU3]]</f>
        <v>5</v>
      </c>
      <c r="AX259" t="str">
        <f t="shared" ref="AX259:AX322" si="127">IF(AND(AW259&gt;=1,AW259&lt;5),"Oppose",IF(AND(AW259&gt;=5,AW259&lt;8),"Neutral",IF(AND(AW259&gt;=8,AW259&lt;=10),"Support","")))</f>
        <v>Neutral</v>
      </c>
      <c r="AY259" s="32">
        <f t="shared" ref="AY259:AY322" si="128">ABS(AW259-AU259)</f>
        <v>3</v>
      </c>
      <c r="AZ259">
        <f>step3_validation[[#This Row],[AI_TRU4]]</f>
        <v>9</v>
      </c>
      <c r="BA259" t="str">
        <f t="shared" ref="BA259:BA322" si="129">IF(AND(AZ259&gt;=1,AZ259&lt;5),"Oppose",IF(AND(AZ259&gt;=5,AZ259&lt;8),"Neutral",IF(AND(AZ259&gt;=8,AZ259&lt;=10),"Support","")))</f>
        <v>Support</v>
      </c>
      <c r="BB259">
        <f>survey_responses[[#This Row],[Tôi thấy Nhà nước đã giải thích rõ ràng, minh bạch về lý do và mục tiêu của việc sửa đổi thuế lần này. - HUMAN-TRU4]]</f>
        <v>6</v>
      </c>
      <c r="BC259" t="str">
        <f t="shared" ref="BC259:BC322" si="130">IF(AND(BB259&gt;=1,BB259&lt;5),"Oppose",IF(AND(BB259&gt;=5,BB259&lt;8),"Neutral",IF(AND(BB259&gt;=8,BB259&lt;=10),"Support","")))</f>
        <v>Neutral</v>
      </c>
      <c r="BD259" s="32">
        <f t="shared" ref="BD259:BD322" si="131">ABS(BB259-AZ259)</f>
        <v>3</v>
      </c>
      <c r="BE259">
        <f>step3_validation[[#This Row],[AI_OUT1]]</f>
        <v>8</v>
      </c>
      <c r="BF259" t="str">
        <f t="shared" ref="BF259:BF322" si="132">IF(AND(BE259&gt;=1,BE259&lt;5),"Oppose",IF(AND(BE259&gt;=5,BE259&lt;8),"Neutral",IF(AND(BE259&gt;=8,BE259&lt;=10),"Support","")))</f>
        <v>Support</v>
      </c>
      <c r="BG259">
        <f>survey_responses[[#This Row],[Sau khi xem xét các quyền lợi và nghĩa vụ, bạn có ủng hộ và tuân thủ chính sách mới hiện nay? - HUMAN-OUT1]]</f>
        <v>5</v>
      </c>
      <c r="BH259" t="str">
        <f t="shared" ref="BH259:BH322" si="133">IF(AND(BG259&gt;=1,BG259&lt;5),"Oppose",IF(AND(BG259&gt;=5,BG259&lt;8),"Neutral",IF(AND(BG259&gt;=8,BG259&lt;=10),"Support","")))</f>
        <v>Neutral</v>
      </c>
      <c r="BI259" s="32">
        <f t="shared" ref="BI259:BI322" si="134">ABS(BG259-BE259)</f>
        <v>3</v>
      </c>
    </row>
    <row r="260" spans="1:61" x14ac:dyDescent="0.45">
      <c r="A260" s="30">
        <f>step3_validation[[#This Row],[Persona_ID]]</f>
        <v>259</v>
      </c>
      <c r="B260" s="31">
        <f>step3_validation[[#This Row],[Used_Seed]]</f>
        <v>259</v>
      </c>
      <c r="C260" t="str">
        <f>step3_validation[[#This Row],[Gender]]</f>
        <v>Nam</v>
      </c>
      <c r="D260" t="str">
        <f>survey_responses[[#This Row],[Giới tính của bạn:]]</f>
        <v>Nam</v>
      </c>
      <c r="E260" t="str">
        <f>step3_validation[[#This Row],[Age_Group]]</f>
        <v>50 - 54</v>
      </c>
      <c r="F260" t="str">
        <f>survey_responses[[#This Row],[Độ tuổi của bạn:]]</f>
        <v>50 - 54</v>
      </c>
      <c r="G260" t="str">
        <f>step3_validation[[#This Row],[Region]]</f>
        <v>Thành thị</v>
      </c>
      <c r="H260" t="str">
        <f>survey_responses[[#This Row],[Khu vực bạn đang sinh sống:]]</f>
        <v>Thành thị</v>
      </c>
      <c r="I260" t="str">
        <f>step3_validation[[#This Row],[Education]]</f>
        <v>Sau Đại học</v>
      </c>
      <c r="J260" t="str">
        <f>survey_responses[[#This Row],[Trình độ học vấn cao nhất:]]</f>
        <v>Sau Đại học</v>
      </c>
      <c r="K260" t="str">
        <f>step3_validation[[#This Row],[Employment]]</f>
        <v>Chính thức</v>
      </c>
      <c r="L260" t="str">
        <f>survey_responses[[#This Row],[Tình trạng việc làm chính:]]</f>
        <v>Khu vực chính thức (Có Hợp đồng lao động, đóng BHXH)</v>
      </c>
      <c r="M260">
        <f>step3_validation[[#This Row],[Income_Mil]]</f>
        <v>190.76012117741774</v>
      </c>
      <c r="N260" t="str">
        <f>survey_responses[[#This Row],[Thu nhập bình quân tháng theo Hợp đồng lao động của bạn là bao nhiêu? (Vui lòng điền tổng thu nhập trước khi khấu trừ các loại Bảo hiểm (BHXH, BHYT, BHTN) và Thuế TNCN)]]</f>
        <v>Trên 102 triệu VNĐ</v>
      </c>
      <c r="O260">
        <f>step3_validation[[#This Row],[Dependents]]</f>
        <v>4</v>
      </c>
      <c r="P260" t="str">
        <f>survey_responses[[#This Row],[Số người phụ thuộc (con nhỏ, cha mẹ già...) đủ điều kiện giảm trừ gia cảnh:]]</f>
        <v>4 người trở lên</v>
      </c>
      <c r="Q260">
        <f>step3_validation[[#This Row],[AI_ENF1]]</f>
        <v>7</v>
      </c>
      <c r="R260" t="str">
        <f t="shared" si="108"/>
        <v>Neutral</v>
      </c>
      <c r="S260">
        <f>survey_responses[[#This Row],[Tôi tin rằng với các quy định quản lý thuế hiện nay, hành vi gian lận hoặc trốn thuế sẽ dễ dàng bị phát hiện và xử lý nghiêm. - HUMAN-ENF1]]</f>
        <v>2</v>
      </c>
      <c r="T260" t="str">
        <f t="shared" si="109"/>
        <v>Oppose</v>
      </c>
      <c r="U260" s="32">
        <f t="shared" si="110"/>
        <v>5</v>
      </c>
      <c r="V260">
        <f>step3_validation[[#This Row],[AI_ENF2]]</f>
        <v>8</v>
      </c>
      <c r="W260" t="str">
        <f t="shared" si="111"/>
        <v>Support</v>
      </c>
      <c r="X260">
        <f>survey_responses[[#This Row],[Tôi tin rằng Nhà nước, cơ quan thuế có đủ khả năng và công nghệ để phát hiện, xử lý nghiêm các hành vi trốn thuế. - HUMAN-ENF2]]</f>
        <v>1</v>
      </c>
      <c r="Y260" t="str">
        <f t="shared" si="112"/>
        <v>Oppose</v>
      </c>
      <c r="Z260" s="32">
        <f t="shared" si="113"/>
        <v>7</v>
      </c>
      <c r="AA260">
        <f>step3_validation[[#This Row],[AI_FAC1]]</f>
        <v>9</v>
      </c>
      <c r="AB260" t="str">
        <f t="shared" si="114"/>
        <v>Support</v>
      </c>
      <c r="AC260">
        <f>survey_responses[[#This Row],[Các thủ tục khai báo thuế VÀ/HOẶC quy trình làm việc với cơ quan thuế đơn giản, tiện lợi, nhanh chóng hơn so với trước đây. - HUMAN-FAC1]]</f>
        <v>1</v>
      </c>
      <c r="AD260" t="str">
        <f t="shared" si="115"/>
        <v>Oppose</v>
      </c>
      <c r="AE260" s="32">
        <f t="shared" si="116"/>
        <v>8</v>
      </c>
      <c r="AF260">
        <f>step3_validation[[#This Row],[AI_FAC2]]</f>
        <v>8</v>
      </c>
      <c r="AG260" t="str">
        <f t="shared" si="117"/>
        <v>Support</v>
      </c>
      <c r="AH260">
        <f>survey_responses[[#This Row],[So với trước đây, tôi thấy cách tính thuế và các bậc thuế trong phương án mới đơn giản, dễ hiểu và dễ thực hiện hơn. - HUMAN-FAC2]]</f>
        <v>6</v>
      </c>
      <c r="AI260" t="str">
        <f t="shared" si="118"/>
        <v>Neutral</v>
      </c>
      <c r="AJ260" s="32">
        <f t="shared" si="119"/>
        <v>2</v>
      </c>
      <c r="AK260">
        <f>step3_validation[[#This Row],[AI_TRU1]]</f>
        <v>9</v>
      </c>
      <c r="AL260" t="str">
        <f t="shared" si="120"/>
        <v>Support</v>
      </c>
      <c r="AM260">
        <f>survey_responses[[#This Row],[Tôi tin rằng Nhà nước, cơ quan thuế sẽ thực thi chính sách mới một cách khách quan, công tâm và đối xử bình đẳng với mọi người nộp thuế.  - HUMAN-TRU1]]</f>
        <v>2</v>
      </c>
      <c r="AN260" t="str">
        <f t="shared" si="121"/>
        <v>Oppose</v>
      </c>
      <c r="AO260" s="32">
        <f t="shared" si="122"/>
        <v>7</v>
      </c>
      <c r="AP260">
        <f>step3_validation[[#This Row],[AI_TRU2]]</f>
        <v>8</v>
      </c>
      <c r="AQ260" t="str">
        <f t="shared" si="123"/>
        <v>Support</v>
      </c>
      <c r="AR260">
        <f>survey_responses[[#This Row],[Tôi thấy mức thuế tôi phải đóng theo phương án mới là công bằng (người thu nhập như tôi đóng mức này là hợp lý). - HUMAN-TRU2]]</f>
        <v>3</v>
      </c>
      <c r="AS260" t="str">
        <f t="shared" si="124"/>
        <v>Oppose</v>
      </c>
      <c r="AT260" s="32">
        <f t="shared" si="125"/>
        <v>5</v>
      </c>
      <c r="AU260">
        <f>step3_validation[[#This Row],[AI_TRU3]]</f>
        <v>9</v>
      </c>
      <c r="AV260" t="str">
        <f t="shared" si="126"/>
        <v>Support</v>
      </c>
      <c r="AW260">
        <f>survey_responses[[#This Row],[Tôi tin tưởng số tiền thuế tôi đóng sẽ được Nhà nước sử dụng hiệu quả để cải thiện dịch vụ công (y tế, đường xá...). - HUMAN-TRU3]]</f>
        <v>1</v>
      </c>
      <c r="AX260" t="str">
        <f t="shared" si="127"/>
        <v>Oppose</v>
      </c>
      <c r="AY260" s="32">
        <f t="shared" si="128"/>
        <v>8</v>
      </c>
      <c r="AZ260">
        <f>step3_validation[[#This Row],[AI_TRU4]]</f>
        <v>8</v>
      </c>
      <c r="BA260" t="str">
        <f t="shared" si="129"/>
        <v>Support</v>
      </c>
      <c r="BB260">
        <f>survey_responses[[#This Row],[Tôi thấy Nhà nước đã giải thích rõ ràng, minh bạch về lý do và mục tiêu của việc sửa đổi thuế lần này. - HUMAN-TRU4]]</f>
        <v>5</v>
      </c>
      <c r="BC260" t="str">
        <f t="shared" si="130"/>
        <v>Neutral</v>
      </c>
      <c r="BD260" s="32">
        <f t="shared" si="131"/>
        <v>3</v>
      </c>
      <c r="BE260">
        <f>step3_validation[[#This Row],[AI_OUT1]]</f>
        <v>9</v>
      </c>
      <c r="BF260" t="str">
        <f t="shared" si="132"/>
        <v>Support</v>
      </c>
      <c r="BG260">
        <f>survey_responses[[#This Row],[Sau khi xem xét các quyền lợi và nghĩa vụ, bạn có ủng hộ và tuân thủ chính sách mới hiện nay? - HUMAN-OUT1]]</f>
        <v>4</v>
      </c>
      <c r="BH260" t="str">
        <f t="shared" si="133"/>
        <v>Oppose</v>
      </c>
      <c r="BI260" s="32">
        <f t="shared" si="134"/>
        <v>5</v>
      </c>
    </row>
    <row r="261" spans="1:61" x14ac:dyDescent="0.45">
      <c r="A261" s="30">
        <f>step3_validation[[#This Row],[Persona_ID]]</f>
        <v>260</v>
      </c>
      <c r="B261" s="31">
        <f>step3_validation[[#This Row],[Used_Seed]]</f>
        <v>260</v>
      </c>
      <c r="C261" t="str">
        <f>step3_validation[[#This Row],[Gender]]</f>
        <v>Nữ</v>
      </c>
      <c r="D261" t="str">
        <f>survey_responses[[#This Row],[Giới tính của bạn:]]</f>
        <v>Nữ</v>
      </c>
      <c r="E261" t="str">
        <f>step3_validation[[#This Row],[Age_Group]]</f>
        <v>30 - 39</v>
      </c>
      <c r="F261" t="str">
        <f>survey_responses[[#This Row],[Độ tuổi của bạn:]]</f>
        <v>30 - 39</v>
      </c>
      <c r="G261" t="str">
        <f>step3_validation[[#This Row],[Region]]</f>
        <v>Nông thôn</v>
      </c>
      <c r="H261" t="str">
        <f>survey_responses[[#This Row],[Khu vực bạn đang sinh sống:]]</f>
        <v>Nông thôn</v>
      </c>
      <c r="I261" t="str">
        <f>step3_validation[[#This Row],[Education]]</f>
        <v>Đại học</v>
      </c>
      <c r="J261" t="str">
        <f>survey_responses[[#This Row],[Trình độ học vấn cao nhất:]]</f>
        <v>Đại học</v>
      </c>
      <c r="K261" t="str">
        <f>step3_validation[[#This Row],[Employment]]</f>
        <v>Chính thức</v>
      </c>
      <c r="L261" t="str">
        <f>survey_responses[[#This Row],[Tình trạng việc làm chính:]]</f>
        <v>Khu vực chính thức (Có Hợp đồng lao động, đóng BHXH)</v>
      </c>
      <c r="M261">
        <f>step3_validation[[#This Row],[Income_Mil]]</f>
        <v>45.973154475493331</v>
      </c>
      <c r="N261" t="str">
        <f>survey_responses[[#This Row],[Thu nhập bình quân tháng theo Hợp đồng lao động của bạn là bao nhiêu? (Vui lòng điền tổng thu nhập trước khi khấu trừ các loại Bảo hiểm (BHXH, BHYT, BHTN) và Thuế TNCN)]]</f>
        <v>Từ 32 - 48 triệu VNĐ</v>
      </c>
      <c r="O261">
        <f>step3_validation[[#This Row],[Dependents]]</f>
        <v>2</v>
      </c>
      <c r="P261" t="str">
        <f>survey_responses[[#This Row],[Số người phụ thuộc (con nhỏ, cha mẹ già...) đủ điều kiện giảm trừ gia cảnh:]]</f>
        <v>2 người</v>
      </c>
      <c r="Q261">
        <f>step3_validation[[#This Row],[AI_ENF1]]</f>
        <v>5</v>
      </c>
      <c r="R261" t="str">
        <f t="shared" si="108"/>
        <v>Neutral</v>
      </c>
      <c r="S261">
        <f>survey_responses[[#This Row],[Tôi tin rằng với các quy định quản lý thuế hiện nay, hành vi gian lận hoặc trốn thuế sẽ dễ dàng bị phát hiện và xử lý nghiêm. - HUMAN-ENF1]]</f>
        <v>6</v>
      </c>
      <c r="T261" t="str">
        <f t="shared" si="109"/>
        <v>Neutral</v>
      </c>
      <c r="U261" s="32">
        <f t="shared" si="110"/>
        <v>1</v>
      </c>
      <c r="V261">
        <f>step3_validation[[#This Row],[AI_ENF2]]</f>
        <v>5</v>
      </c>
      <c r="W261" t="str">
        <f t="shared" si="111"/>
        <v>Neutral</v>
      </c>
      <c r="X261">
        <f>survey_responses[[#This Row],[Tôi tin rằng Nhà nước, cơ quan thuế có đủ khả năng và công nghệ để phát hiện, xử lý nghiêm các hành vi trốn thuế. - HUMAN-ENF2]]</f>
        <v>6</v>
      </c>
      <c r="Y261" t="str">
        <f t="shared" si="112"/>
        <v>Neutral</v>
      </c>
      <c r="Z261" s="32">
        <f t="shared" si="113"/>
        <v>1</v>
      </c>
      <c r="AA261">
        <f>step3_validation[[#This Row],[AI_FAC1]]</f>
        <v>8</v>
      </c>
      <c r="AB261" t="str">
        <f t="shared" si="114"/>
        <v>Support</v>
      </c>
      <c r="AC261">
        <f>survey_responses[[#This Row],[Các thủ tục khai báo thuế VÀ/HOẶC quy trình làm việc với cơ quan thuế đơn giản, tiện lợi, nhanh chóng hơn so với trước đây. - HUMAN-FAC1]]</f>
        <v>7</v>
      </c>
      <c r="AD261" t="str">
        <f t="shared" si="115"/>
        <v>Neutral</v>
      </c>
      <c r="AE261" s="32">
        <f t="shared" si="116"/>
        <v>1</v>
      </c>
      <c r="AF261">
        <f>step3_validation[[#This Row],[AI_FAC2]]</f>
        <v>7</v>
      </c>
      <c r="AG261" t="str">
        <f t="shared" si="117"/>
        <v>Neutral</v>
      </c>
      <c r="AH261">
        <f>survey_responses[[#This Row],[So với trước đây, tôi thấy cách tính thuế và các bậc thuế trong phương án mới đơn giản, dễ hiểu và dễ thực hiện hơn. - HUMAN-FAC2]]</f>
        <v>6</v>
      </c>
      <c r="AI261" t="str">
        <f t="shared" si="118"/>
        <v>Neutral</v>
      </c>
      <c r="AJ261" s="32">
        <f t="shared" si="119"/>
        <v>1</v>
      </c>
      <c r="AK261">
        <f>step3_validation[[#This Row],[AI_TRU1]]</f>
        <v>9</v>
      </c>
      <c r="AL261" t="str">
        <f t="shared" si="120"/>
        <v>Support</v>
      </c>
      <c r="AM261">
        <f>survey_responses[[#This Row],[Tôi tin rằng Nhà nước, cơ quan thuế sẽ thực thi chính sách mới một cách khách quan, công tâm và đối xử bình đẳng với mọi người nộp thuế.  - HUMAN-TRU1]]</f>
        <v>5</v>
      </c>
      <c r="AN261" t="str">
        <f t="shared" si="121"/>
        <v>Neutral</v>
      </c>
      <c r="AO261" s="32">
        <f t="shared" si="122"/>
        <v>4</v>
      </c>
      <c r="AP261">
        <f>step3_validation[[#This Row],[AI_TRU2]]</f>
        <v>8</v>
      </c>
      <c r="AQ261" t="str">
        <f t="shared" si="123"/>
        <v>Support</v>
      </c>
      <c r="AR261">
        <f>survey_responses[[#This Row],[Tôi thấy mức thuế tôi phải đóng theo phương án mới là công bằng (người thu nhập như tôi đóng mức này là hợp lý). - HUMAN-TRU2]]</f>
        <v>6</v>
      </c>
      <c r="AS261" t="str">
        <f t="shared" si="124"/>
        <v>Neutral</v>
      </c>
      <c r="AT261" s="32">
        <f t="shared" si="125"/>
        <v>2</v>
      </c>
      <c r="AU261">
        <f>step3_validation[[#This Row],[AI_TRU3]]</f>
        <v>9</v>
      </c>
      <c r="AV261" t="str">
        <f t="shared" si="126"/>
        <v>Support</v>
      </c>
      <c r="AW261">
        <f>survey_responses[[#This Row],[Tôi tin tưởng số tiền thuế tôi đóng sẽ được Nhà nước sử dụng hiệu quả để cải thiện dịch vụ công (y tế, đường xá...). - HUMAN-TRU3]]</f>
        <v>5</v>
      </c>
      <c r="AX261" t="str">
        <f t="shared" si="127"/>
        <v>Neutral</v>
      </c>
      <c r="AY261" s="32">
        <f t="shared" si="128"/>
        <v>4</v>
      </c>
      <c r="AZ261">
        <f>step3_validation[[#This Row],[AI_TRU4]]</f>
        <v>7</v>
      </c>
      <c r="BA261" t="str">
        <f t="shared" si="129"/>
        <v>Neutral</v>
      </c>
      <c r="BB261">
        <f>survey_responses[[#This Row],[Tôi thấy Nhà nước đã giải thích rõ ràng, minh bạch về lý do và mục tiêu của việc sửa đổi thuế lần này. - HUMAN-TRU4]]</f>
        <v>6</v>
      </c>
      <c r="BC261" t="str">
        <f t="shared" si="130"/>
        <v>Neutral</v>
      </c>
      <c r="BD261" s="32">
        <f t="shared" si="131"/>
        <v>1</v>
      </c>
      <c r="BE261">
        <f>step3_validation[[#This Row],[AI_OUT1]]</f>
        <v>9</v>
      </c>
      <c r="BF261" t="str">
        <f t="shared" si="132"/>
        <v>Support</v>
      </c>
      <c r="BG261">
        <f>survey_responses[[#This Row],[Sau khi xem xét các quyền lợi và nghĩa vụ, bạn có ủng hộ và tuân thủ chính sách mới hiện nay? - HUMAN-OUT1]]</f>
        <v>6</v>
      </c>
      <c r="BH261" t="str">
        <f t="shared" si="133"/>
        <v>Neutral</v>
      </c>
      <c r="BI261" s="32">
        <f t="shared" si="134"/>
        <v>3</v>
      </c>
    </row>
    <row r="262" spans="1:61" x14ac:dyDescent="0.45">
      <c r="A262" s="30">
        <f>step3_validation[[#This Row],[Persona_ID]]</f>
        <v>261</v>
      </c>
      <c r="B262" s="31">
        <f>step3_validation[[#This Row],[Used_Seed]]</f>
        <v>261</v>
      </c>
      <c r="C262" t="str">
        <f>step3_validation[[#This Row],[Gender]]</f>
        <v>Nam</v>
      </c>
      <c r="D262" t="str">
        <f>survey_responses[[#This Row],[Giới tính của bạn:]]</f>
        <v>Nam</v>
      </c>
      <c r="E262" t="str">
        <f>step3_validation[[#This Row],[Age_Group]]</f>
        <v>30 - 39</v>
      </c>
      <c r="F262" t="str">
        <f>survey_responses[[#This Row],[Độ tuổi của bạn:]]</f>
        <v>30 - 39</v>
      </c>
      <c r="G262" t="str">
        <f>step3_validation[[#This Row],[Region]]</f>
        <v>Thành thị</v>
      </c>
      <c r="H262" t="str">
        <f>survey_responses[[#This Row],[Khu vực bạn đang sinh sống:]]</f>
        <v>Thành thị</v>
      </c>
      <c r="I262" t="str">
        <f>step3_validation[[#This Row],[Education]]</f>
        <v>Đại học</v>
      </c>
      <c r="J262" t="str">
        <f>survey_responses[[#This Row],[Trình độ học vấn cao nhất:]]</f>
        <v>Đại học</v>
      </c>
      <c r="K262" t="str">
        <f>step3_validation[[#This Row],[Employment]]</f>
        <v>Chính thức</v>
      </c>
      <c r="L262" t="str">
        <f>survey_responses[[#This Row],[Tình trạng việc làm chính:]]</f>
        <v>Khu vực chính thức (Có Hợp đồng lao động, đóng BHXH)</v>
      </c>
      <c r="M262">
        <f>step3_validation[[#This Row],[Income_Mil]]</f>
        <v>37.152700796536251</v>
      </c>
      <c r="N262" t="str">
        <f>survey_responses[[#This Row],[Thu nhập bình quân tháng theo Hợp đồng lao động của bạn là bao nhiêu? (Vui lòng điền tổng thu nhập trước khi khấu trừ các loại Bảo hiểm (BHXH, BHYT, BHTN) và Thuế TNCN)]]</f>
        <v>Từ 32 - 48 triệu VNĐ</v>
      </c>
      <c r="O262">
        <f>step3_validation[[#This Row],[Dependents]]</f>
        <v>1</v>
      </c>
      <c r="P262" t="str">
        <f>survey_responses[[#This Row],[Số người phụ thuộc (con nhỏ, cha mẹ già...) đủ điều kiện giảm trừ gia cảnh:]]</f>
        <v>1 người</v>
      </c>
      <c r="Q262">
        <f>step3_validation[[#This Row],[AI_ENF1]]</f>
        <v>4</v>
      </c>
      <c r="R262" t="str">
        <f t="shared" si="108"/>
        <v>Oppose</v>
      </c>
      <c r="S262">
        <f>survey_responses[[#This Row],[Tôi tin rằng với các quy định quản lý thuế hiện nay, hành vi gian lận hoặc trốn thuế sẽ dễ dàng bị phát hiện và xử lý nghiêm. - HUMAN-ENF1]]</f>
        <v>6</v>
      </c>
      <c r="T262" t="str">
        <f t="shared" si="109"/>
        <v>Neutral</v>
      </c>
      <c r="U262" s="32">
        <f t="shared" si="110"/>
        <v>2</v>
      </c>
      <c r="V262">
        <f>step3_validation[[#This Row],[AI_ENF2]]</f>
        <v>5</v>
      </c>
      <c r="W262" t="str">
        <f t="shared" si="111"/>
        <v>Neutral</v>
      </c>
      <c r="X262">
        <f>survey_responses[[#This Row],[Tôi tin rằng Nhà nước, cơ quan thuế có đủ khả năng và công nghệ để phát hiện, xử lý nghiêm các hành vi trốn thuế. - HUMAN-ENF2]]</f>
        <v>7</v>
      </c>
      <c r="Y262" t="str">
        <f t="shared" si="112"/>
        <v>Neutral</v>
      </c>
      <c r="Z262" s="32">
        <f t="shared" si="113"/>
        <v>2</v>
      </c>
      <c r="AA262">
        <f>step3_validation[[#This Row],[AI_FAC1]]</f>
        <v>7</v>
      </c>
      <c r="AB262" t="str">
        <f t="shared" si="114"/>
        <v>Neutral</v>
      </c>
      <c r="AC262">
        <f>survey_responses[[#This Row],[Các thủ tục khai báo thuế VÀ/HOẶC quy trình làm việc với cơ quan thuế đơn giản, tiện lợi, nhanh chóng hơn so với trước đây. - HUMAN-FAC1]]</f>
        <v>1</v>
      </c>
      <c r="AD262" t="str">
        <f t="shared" si="115"/>
        <v>Oppose</v>
      </c>
      <c r="AE262" s="32">
        <f t="shared" si="116"/>
        <v>6</v>
      </c>
      <c r="AF262">
        <f>step3_validation[[#This Row],[AI_FAC2]]</f>
        <v>9</v>
      </c>
      <c r="AG262" t="str">
        <f t="shared" si="117"/>
        <v>Support</v>
      </c>
      <c r="AH262">
        <f>survey_responses[[#This Row],[So với trước đây, tôi thấy cách tính thuế và các bậc thuế trong phương án mới đơn giản, dễ hiểu và dễ thực hiện hơn. - HUMAN-FAC2]]</f>
        <v>9</v>
      </c>
      <c r="AI262" t="str">
        <f t="shared" si="118"/>
        <v>Support</v>
      </c>
      <c r="AJ262" s="32">
        <f t="shared" si="119"/>
        <v>0</v>
      </c>
      <c r="AK262">
        <f>step3_validation[[#This Row],[AI_TRU1]]</f>
        <v>6</v>
      </c>
      <c r="AL262" t="str">
        <f t="shared" si="120"/>
        <v>Neutral</v>
      </c>
      <c r="AM262">
        <f>survey_responses[[#This Row],[Tôi tin rằng Nhà nước, cơ quan thuế sẽ thực thi chính sách mới một cách khách quan, công tâm và đối xử bình đẳng với mọi người nộp thuế.  - HUMAN-TRU1]]</f>
        <v>5</v>
      </c>
      <c r="AN262" t="str">
        <f t="shared" si="121"/>
        <v>Neutral</v>
      </c>
      <c r="AO262" s="32">
        <f t="shared" si="122"/>
        <v>1</v>
      </c>
      <c r="AP262">
        <f>step3_validation[[#This Row],[AI_TRU2]]</f>
        <v>8</v>
      </c>
      <c r="AQ262" t="str">
        <f t="shared" si="123"/>
        <v>Support</v>
      </c>
      <c r="AR262">
        <f>survey_responses[[#This Row],[Tôi thấy mức thuế tôi phải đóng theo phương án mới là công bằng (người thu nhập như tôi đóng mức này là hợp lý). - HUMAN-TRU2]]</f>
        <v>4</v>
      </c>
      <c r="AS262" t="str">
        <f t="shared" si="124"/>
        <v>Oppose</v>
      </c>
      <c r="AT262" s="32">
        <f t="shared" si="125"/>
        <v>4</v>
      </c>
      <c r="AU262">
        <f>step3_validation[[#This Row],[AI_TRU3]]</f>
        <v>7</v>
      </c>
      <c r="AV262" t="str">
        <f t="shared" si="126"/>
        <v>Neutral</v>
      </c>
      <c r="AW262">
        <f>survey_responses[[#This Row],[Tôi tin tưởng số tiền thuế tôi đóng sẽ được Nhà nước sử dụng hiệu quả để cải thiện dịch vụ công (y tế, đường xá...). - HUMAN-TRU3]]</f>
        <v>4</v>
      </c>
      <c r="AX262" t="str">
        <f t="shared" si="127"/>
        <v>Oppose</v>
      </c>
      <c r="AY262" s="32">
        <f t="shared" si="128"/>
        <v>3</v>
      </c>
      <c r="AZ262">
        <f>step3_validation[[#This Row],[AI_TRU4]]</f>
        <v>6</v>
      </c>
      <c r="BA262" t="str">
        <f t="shared" si="129"/>
        <v>Neutral</v>
      </c>
      <c r="BB262">
        <f>survey_responses[[#This Row],[Tôi thấy Nhà nước đã giải thích rõ ràng, minh bạch về lý do và mục tiêu của việc sửa đổi thuế lần này. - HUMAN-TRU4]]</f>
        <v>5</v>
      </c>
      <c r="BC262" t="str">
        <f t="shared" si="130"/>
        <v>Neutral</v>
      </c>
      <c r="BD262" s="32">
        <f t="shared" si="131"/>
        <v>1</v>
      </c>
      <c r="BE262">
        <f>step3_validation[[#This Row],[AI_OUT1]]</f>
        <v>8</v>
      </c>
      <c r="BF262" t="str">
        <f t="shared" si="132"/>
        <v>Support</v>
      </c>
      <c r="BG262">
        <f>survey_responses[[#This Row],[Sau khi xem xét các quyền lợi và nghĩa vụ, bạn có ủng hộ và tuân thủ chính sách mới hiện nay? - HUMAN-OUT1]]</f>
        <v>5</v>
      </c>
      <c r="BH262" t="str">
        <f t="shared" si="133"/>
        <v>Neutral</v>
      </c>
      <c r="BI262" s="32">
        <f t="shared" si="134"/>
        <v>3</v>
      </c>
    </row>
    <row r="263" spans="1:61" x14ac:dyDescent="0.45">
      <c r="A263" s="30">
        <f>step3_validation[[#This Row],[Persona_ID]]</f>
        <v>262</v>
      </c>
      <c r="B263" s="31">
        <f>step3_validation[[#This Row],[Used_Seed]]</f>
        <v>262</v>
      </c>
      <c r="C263" t="str">
        <f>step3_validation[[#This Row],[Gender]]</f>
        <v>Nam</v>
      </c>
      <c r="D263" t="str">
        <f>survey_responses[[#This Row],[Giới tính của bạn:]]</f>
        <v>Nam</v>
      </c>
      <c r="E263" t="str">
        <f>step3_validation[[#This Row],[Age_Group]]</f>
        <v>30 - 39</v>
      </c>
      <c r="F263" t="str">
        <f>survey_responses[[#This Row],[Độ tuổi của bạn:]]</f>
        <v>30 - 39</v>
      </c>
      <c r="G263" t="str">
        <f>step3_validation[[#This Row],[Region]]</f>
        <v>Thành thị</v>
      </c>
      <c r="H263" t="str">
        <f>survey_responses[[#This Row],[Khu vực bạn đang sinh sống:]]</f>
        <v>Thành thị</v>
      </c>
      <c r="I263" t="str">
        <f>step3_validation[[#This Row],[Education]]</f>
        <v>Đại học</v>
      </c>
      <c r="J263" t="str">
        <f>survey_responses[[#This Row],[Trình độ học vấn cao nhất:]]</f>
        <v>Đại học</v>
      </c>
      <c r="K263" t="str">
        <f>step3_validation[[#This Row],[Employment]]</f>
        <v>Chính thức</v>
      </c>
      <c r="L263" t="str">
        <f>survey_responses[[#This Row],[Tình trạng việc làm chính:]]</f>
        <v>Khu vực chính thức (Có Hợp đồng lao động, đóng BHXH)</v>
      </c>
      <c r="M263">
        <f>step3_validation[[#This Row],[Income_Mil]]</f>
        <v>65.651705954147928</v>
      </c>
      <c r="N263" t="str">
        <f>survey_responses[[#This Row],[Thu nhập bình quân tháng theo Hợp đồng lao động của bạn là bao nhiêu? (Vui lòng điền tổng thu nhập trước khi khấu trừ các loại Bảo hiểm (BHXH, BHYT, BHTN) và Thuế TNCN)]]</f>
        <v>Từ 48 - 70 triệu VNĐ</v>
      </c>
      <c r="O263">
        <f>step3_validation[[#This Row],[Dependents]]</f>
        <v>4</v>
      </c>
      <c r="P263" t="str">
        <f>survey_responses[[#This Row],[Số người phụ thuộc (con nhỏ, cha mẹ già...) đủ điều kiện giảm trừ gia cảnh:]]</f>
        <v>4 người trở lên</v>
      </c>
      <c r="Q263">
        <f>step3_validation[[#This Row],[AI_ENF1]]</f>
        <v>7</v>
      </c>
      <c r="R263" t="str">
        <f t="shared" si="108"/>
        <v>Neutral</v>
      </c>
      <c r="S263">
        <f>survey_responses[[#This Row],[Tôi tin rằng với các quy định quản lý thuế hiện nay, hành vi gian lận hoặc trốn thuế sẽ dễ dàng bị phát hiện và xử lý nghiêm. - HUMAN-ENF1]]</f>
        <v>9</v>
      </c>
      <c r="T263" t="str">
        <f t="shared" si="109"/>
        <v>Support</v>
      </c>
      <c r="U263" s="32">
        <f t="shared" si="110"/>
        <v>2</v>
      </c>
      <c r="V263">
        <f>step3_validation[[#This Row],[AI_ENF2]]</f>
        <v>6</v>
      </c>
      <c r="W263" t="str">
        <f t="shared" si="111"/>
        <v>Neutral</v>
      </c>
      <c r="X263">
        <f>survey_responses[[#This Row],[Tôi tin rằng Nhà nước, cơ quan thuế có đủ khả năng và công nghệ để phát hiện, xử lý nghiêm các hành vi trốn thuế. - HUMAN-ENF2]]</f>
        <v>9</v>
      </c>
      <c r="Y263" t="str">
        <f t="shared" si="112"/>
        <v>Support</v>
      </c>
      <c r="Z263" s="32">
        <f t="shared" si="113"/>
        <v>3</v>
      </c>
      <c r="AA263">
        <f>step3_validation[[#This Row],[AI_FAC1]]</f>
        <v>5</v>
      </c>
      <c r="AB263" t="str">
        <f t="shared" si="114"/>
        <v>Neutral</v>
      </c>
      <c r="AC263">
        <f>survey_responses[[#This Row],[Các thủ tục khai báo thuế VÀ/HOẶC quy trình làm việc với cơ quan thuế đơn giản, tiện lợi, nhanh chóng hơn so với trước đây. - HUMAN-FAC1]]</f>
        <v>8</v>
      </c>
      <c r="AD263" t="str">
        <f t="shared" si="115"/>
        <v>Support</v>
      </c>
      <c r="AE263" s="32">
        <f t="shared" si="116"/>
        <v>3</v>
      </c>
      <c r="AF263">
        <f>step3_validation[[#This Row],[AI_FAC2]]</f>
        <v>7</v>
      </c>
      <c r="AG263" t="str">
        <f t="shared" si="117"/>
        <v>Neutral</v>
      </c>
      <c r="AH263">
        <f>survey_responses[[#This Row],[So với trước đây, tôi thấy cách tính thuế và các bậc thuế trong phương án mới đơn giản, dễ hiểu và dễ thực hiện hơn. - HUMAN-FAC2]]</f>
        <v>9</v>
      </c>
      <c r="AI263" t="str">
        <f t="shared" si="118"/>
        <v>Support</v>
      </c>
      <c r="AJ263" s="32">
        <f t="shared" si="119"/>
        <v>2</v>
      </c>
      <c r="AK263">
        <f>step3_validation[[#This Row],[AI_TRU1]]</f>
        <v>6</v>
      </c>
      <c r="AL263" t="str">
        <f t="shared" si="120"/>
        <v>Neutral</v>
      </c>
      <c r="AM263">
        <f>survey_responses[[#This Row],[Tôi tin rằng Nhà nước, cơ quan thuế sẽ thực thi chính sách mới một cách khách quan, công tâm và đối xử bình đẳng với mọi người nộp thuế.  - HUMAN-TRU1]]</f>
        <v>8</v>
      </c>
      <c r="AN263" t="str">
        <f t="shared" si="121"/>
        <v>Support</v>
      </c>
      <c r="AO263" s="32">
        <f t="shared" si="122"/>
        <v>2</v>
      </c>
      <c r="AP263">
        <f>step3_validation[[#This Row],[AI_TRU2]]</f>
        <v>7</v>
      </c>
      <c r="AQ263" t="str">
        <f t="shared" si="123"/>
        <v>Neutral</v>
      </c>
      <c r="AR263">
        <f>survey_responses[[#This Row],[Tôi thấy mức thuế tôi phải đóng theo phương án mới là công bằng (người thu nhập như tôi đóng mức này là hợp lý). - HUMAN-TRU2]]</f>
        <v>9</v>
      </c>
      <c r="AS263" t="str">
        <f t="shared" si="124"/>
        <v>Support</v>
      </c>
      <c r="AT263" s="32">
        <f t="shared" si="125"/>
        <v>2</v>
      </c>
      <c r="AU263">
        <f>step3_validation[[#This Row],[AI_TRU3]]</f>
        <v>6</v>
      </c>
      <c r="AV263" t="str">
        <f t="shared" si="126"/>
        <v>Neutral</v>
      </c>
      <c r="AW263">
        <f>survey_responses[[#This Row],[Tôi tin tưởng số tiền thuế tôi đóng sẽ được Nhà nước sử dụng hiệu quả để cải thiện dịch vụ công (y tế, đường xá...). - HUMAN-TRU3]]</f>
        <v>9</v>
      </c>
      <c r="AX263" t="str">
        <f t="shared" si="127"/>
        <v>Support</v>
      </c>
      <c r="AY263" s="32">
        <f t="shared" si="128"/>
        <v>3</v>
      </c>
      <c r="AZ263">
        <f>step3_validation[[#This Row],[AI_TRU4]]</f>
        <v>7</v>
      </c>
      <c r="BA263" t="str">
        <f t="shared" si="129"/>
        <v>Neutral</v>
      </c>
      <c r="BB263">
        <f>survey_responses[[#This Row],[Tôi thấy Nhà nước đã giải thích rõ ràng, minh bạch về lý do và mục tiêu của việc sửa đổi thuế lần này. - HUMAN-TRU4]]</f>
        <v>8</v>
      </c>
      <c r="BC263" t="str">
        <f t="shared" si="130"/>
        <v>Support</v>
      </c>
      <c r="BD263" s="32">
        <f t="shared" si="131"/>
        <v>1</v>
      </c>
      <c r="BE263">
        <f>step3_validation[[#This Row],[AI_OUT1]]</f>
        <v>8</v>
      </c>
      <c r="BF263" t="str">
        <f t="shared" si="132"/>
        <v>Support</v>
      </c>
      <c r="BG263">
        <f>survey_responses[[#This Row],[Sau khi xem xét các quyền lợi và nghĩa vụ, bạn có ủng hộ và tuân thủ chính sách mới hiện nay? - HUMAN-OUT1]]</f>
        <v>8</v>
      </c>
      <c r="BH263" t="str">
        <f t="shared" si="133"/>
        <v>Support</v>
      </c>
      <c r="BI263" s="32">
        <f t="shared" si="134"/>
        <v>0</v>
      </c>
    </row>
    <row r="264" spans="1:61" x14ac:dyDescent="0.45">
      <c r="A264" s="30">
        <f>step3_validation[[#This Row],[Persona_ID]]</f>
        <v>263</v>
      </c>
      <c r="B264" s="31">
        <f>step3_validation[[#This Row],[Used_Seed]]</f>
        <v>263</v>
      </c>
      <c r="C264" t="str">
        <f>step3_validation[[#This Row],[Gender]]</f>
        <v>Nam</v>
      </c>
      <c r="D264" t="str">
        <f>survey_responses[[#This Row],[Giới tính của bạn:]]</f>
        <v>Nam</v>
      </c>
      <c r="E264" t="str">
        <f>step3_validation[[#This Row],[Age_Group]]</f>
        <v>30 - 39</v>
      </c>
      <c r="F264" t="str">
        <f>survey_responses[[#This Row],[Độ tuổi của bạn:]]</f>
        <v>30 - 39</v>
      </c>
      <c r="G264" t="str">
        <f>step3_validation[[#This Row],[Region]]</f>
        <v>Thành thị</v>
      </c>
      <c r="H264" t="str">
        <f>survey_responses[[#This Row],[Khu vực bạn đang sinh sống:]]</f>
        <v>Thành thị</v>
      </c>
      <c r="I264" t="str">
        <f>step3_validation[[#This Row],[Education]]</f>
        <v>Sau Đại học</v>
      </c>
      <c r="J264" t="str">
        <f>survey_responses[[#This Row],[Trình độ học vấn cao nhất:]]</f>
        <v>Sau Đại học</v>
      </c>
      <c r="K264" t="str">
        <f>step3_validation[[#This Row],[Employment]]</f>
        <v>Chính thức</v>
      </c>
      <c r="L264" t="str">
        <f>survey_responses[[#This Row],[Tình trạng việc làm chính:]]</f>
        <v>Khu vực chính thức (Có Hợp đồng lao động, đóng BHXH)</v>
      </c>
      <c r="M264">
        <f>step3_validation[[#This Row],[Income_Mil]]</f>
        <v>80.455584186141479</v>
      </c>
      <c r="N264" t="str">
        <f>survey_responses[[#This Row],[Thu nhập bình quân tháng theo Hợp đồng lao động của bạn là bao nhiêu? (Vui lòng điền tổng thu nhập trước khi khấu trừ các loại Bảo hiểm (BHXH, BHYT, BHTN) và Thuế TNCN)]]</f>
        <v>Từ 70 - 102 triệu VNĐ</v>
      </c>
      <c r="O264">
        <f>step3_validation[[#This Row],[Dependents]]</f>
        <v>3</v>
      </c>
      <c r="P264" t="str">
        <f>survey_responses[[#This Row],[Số người phụ thuộc (con nhỏ, cha mẹ già...) đủ điều kiện giảm trừ gia cảnh:]]</f>
        <v>3 người</v>
      </c>
      <c r="Q264">
        <f>step3_validation[[#This Row],[AI_ENF1]]</f>
        <v>8</v>
      </c>
      <c r="R264" t="str">
        <f t="shared" si="108"/>
        <v>Support</v>
      </c>
      <c r="S264">
        <f>survey_responses[[#This Row],[Tôi tin rằng với các quy định quản lý thuế hiện nay, hành vi gian lận hoặc trốn thuế sẽ dễ dàng bị phát hiện và xử lý nghiêm. - HUMAN-ENF1]]</f>
        <v>8</v>
      </c>
      <c r="T264" t="str">
        <f t="shared" si="109"/>
        <v>Support</v>
      </c>
      <c r="U264" s="32">
        <f t="shared" si="110"/>
        <v>0</v>
      </c>
      <c r="V264">
        <f>step3_validation[[#This Row],[AI_ENF2]]</f>
        <v>9</v>
      </c>
      <c r="W264" t="str">
        <f t="shared" si="111"/>
        <v>Support</v>
      </c>
      <c r="X264">
        <f>survey_responses[[#This Row],[Tôi tin rằng Nhà nước, cơ quan thuế có đủ khả năng và công nghệ để phát hiện, xử lý nghiêm các hành vi trốn thuế. - HUMAN-ENF2]]</f>
        <v>8</v>
      </c>
      <c r="Y264" t="str">
        <f t="shared" si="112"/>
        <v>Support</v>
      </c>
      <c r="Z264" s="32">
        <f t="shared" si="113"/>
        <v>1</v>
      </c>
      <c r="AA264">
        <f>step3_validation[[#This Row],[AI_FAC1]]</f>
        <v>9</v>
      </c>
      <c r="AB264" t="str">
        <f t="shared" si="114"/>
        <v>Support</v>
      </c>
      <c r="AC264">
        <f>survey_responses[[#This Row],[Các thủ tục khai báo thuế VÀ/HOẶC quy trình làm việc với cơ quan thuế đơn giản, tiện lợi, nhanh chóng hơn so với trước đây. - HUMAN-FAC1]]</f>
        <v>5</v>
      </c>
      <c r="AD264" t="str">
        <f t="shared" si="115"/>
        <v>Neutral</v>
      </c>
      <c r="AE264" s="32">
        <f t="shared" si="116"/>
        <v>4</v>
      </c>
      <c r="AF264">
        <f>step3_validation[[#This Row],[AI_FAC2]]</f>
        <v>9</v>
      </c>
      <c r="AG264" t="str">
        <f t="shared" si="117"/>
        <v>Support</v>
      </c>
      <c r="AH264">
        <f>survey_responses[[#This Row],[So với trước đây, tôi thấy cách tính thuế và các bậc thuế trong phương án mới đơn giản, dễ hiểu và dễ thực hiện hơn. - HUMAN-FAC2]]</f>
        <v>7</v>
      </c>
      <c r="AI264" t="str">
        <f t="shared" si="118"/>
        <v>Neutral</v>
      </c>
      <c r="AJ264" s="32">
        <f t="shared" si="119"/>
        <v>2</v>
      </c>
      <c r="AK264">
        <f>step3_validation[[#This Row],[AI_TRU1]]</f>
        <v>8</v>
      </c>
      <c r="AL264" t="str">
        <f t="shared" si="120"/>
        <v>Support</v>
      </c>
      <c r="AM264">
        <f>survey_responses[[#This Row],[Tôi tin rằng Nhà nước, cơ quan thuế sẽ thực thi chính sách mới một cách khách quan, công tâm và đối xử bình đẳng với mọi người nộp thuế.  - HUMAN-TRU1]]</f>
        <v>7</v>
      </c>
      <c r="AN264" t="str">
        <f t="shared" si="121"/>
        <v>Neutral</v>
      </c>
      <c r="AO264" s="32">
        <f t="shared" si="122"/>
        <v>1</v>
      </c>
      <c r="AP264">
        <f>step3_validation[[#This Row],[AI_TRU2]]</f>
        <v>9</v>
      </c>
      <c r="AQ264" t="str">
        <f t="shared" si="123"/>
        <v>Support</v>
      </c>
      <c r="AR264">
        <f>survey_responses[[#This Row],[Tôi thấy mức thuế tôi phải đóng theo phương án mới là công bằng (người thu nhập như tôi đóng mức này là hợp lý). - HUMAN-TRU2]]</f>
        <v>5</v>
      </c>
      <c r="AS264" t="str">
        <f t="shared" si="124"/>
        <v>Neutral</v>
      </c>
      <c r="AT264" s="32">
        <f t="shared" si="125"/>
        <v>4</v>
      </c>
      <c r="AU264">
        <f>step3_validation[[#This Row],[AI_TRU3]]</f>
        <v>7</v>
      </c>
      <c r="AV264" t="str">
        <f t="shared" si="126"/>
        <v>Neutral</v>
      </c>
      <c r="AW264">
        <f>survey_responses[[#This Row],[Tôi tin tưởng số tiền thuế tôi đóng sẽ được Nhà nước sử dụng hiệu quả để cải thiện dịch vụ công (y tế, đường xá...). - HUMAN-TRU3]]</f>
        <v>5</v>
      </c>
      <c r="AX264" t="str">
        <f t="shared" si="127"/>
        <v>Neutral</v>
      </c>
      <c r="AY264" s="32">
        <f t="shared" si="128"/>
        <v>2</v>
      </c>
      <c r="AZ264">
        <f>step3_validation[[#This Row],[AI_TRU4]]</f>
        <v>8</v>
      </c>
      <c r="BA264" t="str">
        <f t="shared" si="129"/>
        <v>Support</v>
      </c>
      <c r="BB264">
        <f>survey_responses[[#This Row],[Tôi thấy Nhà nước đã giải thích rõ ràng, minh bạch về lý do và mục tiêu của việc sửa đổi thuế lần này. - HUMAN-TRU4]]</f>
        <v>6</v>
      </c>
      <c r="BC264" t="str">
        <f t="shared" si="130"/>
        <v>Neutral</v>
      </c>
      <c r="BD264" s="32">
        <f t="shared" si="131"/>
        <v>2</v>
      </c>
      <c r="BE264">
        <f>step3_validation[[#This Row],[AI_OUT1]]</f>
        <v>9</v>
      </c>
      <c r="BF264" t="str">
        <f t="shared" si="132"/>
        <v>Support</v>
      </c>
      <c r="BG264">
        <f>survey_responses[[#This Row],[Sau khi xem xét các quyền lợi và nghĩa vụ, bạn có ủng hộ và tuân thủ chính sách mới hiện nay? - HUMAN-OUT1]]</f>
        <v>6</v>
      </c>
      <c r="BH264" t="str">
        <f t="shared" si="133"/>
        <v>Neutral</v>
      </c>
      <c r="BI264" s="32">
        <f t="shared" si="134"/>
        <v>3</v>
      </c>
    </row>
    <row r="265" spans="1:61" x14ac:dyDescent="0.45">
      <c r="A265" s="30">
        <f>step3_validation[[#This Row],[Persona_ID]]</f>
        <v>264</v>
      </c>
      <c r="B265" s="31">
        <f>step3_validation[[#This Row],[Used_Seed]]</f>
        <v>264</v>
      </c>
      <c r="C265" t="str">
        <f>step3_validation[[#This Row],[Gender]]</f>
        <v>Nam</v>
      </c>
      <c r="D265" t="str">
        <f>survey_responses[[#This Row],[Giới tính của bạn:]]</f>
        <v>Nam</v>
      </c>
      <c r="E265" t="str">
        <f>step3_validation[[#This Row],[Age_Group]]</f>
        <v>40 - 49</v>
      </c>
      <c r="F265" t="str">
        <f>survey_responses[[#This Row],[Độ tuổi của bạn:]]</f>
        <v>40 - 49</v>
      </c>
      <c r="G265" t="str">
        <f>step3_validation[[#This Row],[Region]]</f>
        <v>Thành thị</v>
      </c>
      <c r="H265" t="str">
        <f>survey_responses[[#This Row],[Khu vực bạn đang sinh sống:]]</f>
        <v>Thành thị</v>
      </c>
      <c r="I265" t="str">
        <f>step3_validation[[#This Row],[Education]]</f>
        <v>Sau Đại học</v>
      </c>
      <c r="J265" t="str">
        <f>survey_responses[[#This Row],[Trình độ học vấn cao nhất:]]</f>
        <v>Sau Đại học</v>
      </c>
      <c r="K265" t="str">
        <f>step3_validation[[#This Row],[Employment]]</f>
        <v>Chính thức</v>
      </c>
      <c r="L265" t="str">
        <f>survey_responses[[#This Row],[Tình trạng việc làm chính:]]</f>
        <v>Khu vực chính thức (Có Hợp đồng lao động, đóng BHXH)</v>
      </c>
      <c r="M265">
        <f>step3_validation[[#This Row],[Income_Mil]]</f>
        <v>158.11475674745648</v>
      </c>
      <c r="N265" t="str">
        <f>survey_responses[[#This Row],[Thu nhập bình quân tháng theo Hợp đồng lao động của bạn là bao nhiêu? (Vui lòng điền tổng thu nhập trước khi khấu trừ các loại Bảo hiểm (BHXH, BHYT, BHTN) và Thuế TNCN)]]</f>
        <v>Trên 102 triệu VNĐ</v>
      </c>
      <c r="O265">
        <f>step3_validation[[#This Row],[Dependents]]</f>
        <v>3</v>
      </c>
      <c r="P265" t="str">
        <f>survey_responses[[#This Row],[Số người phụ thuộc (con nhỏ, cha mẹ già...) đủ điều kiện giảm trừ gia cảnh:]]</f>
        <v>3 người</v>
      </c>
      <c r="Q265">
        <f>step3_validation[[#This Row],[AI_ENF1]]</f>
        <v>7</v>
      </c>
      <c r="R265" t="str">
        <f t="shared" si="108"/>
        <v>Neutral</v>
      </c>
      <c r="S265">
        <f>survey_responses[[#This Row],[Tôi tin rằng với các quy định quản lý thuế hiện nay, hành vi gian lận hoặc trốn thuế sẽ dễ dàng bị phát hiện và xử lý nghiêm. - HUMAN-ENF1]]</f>
        <v>7</v>
      </c>
      <c r="T265" t="str">
        <f t="shared" si="109"/>
        <v>Neutral</v>
      </c>
      <c r="U265" s="32">
        <f t="shared" si="110"/>
        <v>0</v>
      </c>
      <c r="V265">
        <f>step3_validation[[#This Row],[AI_ENF2]]</f>
        <v>8</v>
      </c>
      <c r="W265" t="str">
        <f t="shared" si="111"/>
        <v>Support</v>
      </c>
      <c r="X265">
        <f>survey_responses[[#This Row],[Tôi tin rằng Nhà nước, cơ quan thuế có đủ khả năng và công nghệ để phát hiện, xử lý nghiêm các hành vi trốn thuế. - HUMAN-ENF2]]</f>
        <v>7</v>
      </c>
      <c r="Y265" t="str">
        <f t="shared" si="112"/>
        <v>Neutral</v>
      </c>
      <c r="Z265" s="32">
        <f t="shared" si="113"/>
        <v>1</v>
      </c>
      <c r="AA265">
        <f>step3_validation[[#This Row],[AI_FAC1]]</f>
        <v>9</v>
      </c>
      <c r="AB265" t="str">
        <f t="shared" si="114"/>
        <v>Support</v>
      </c>
      <c r="AC265">
        <f>survey_responses[[#This Row],[Các thủ tục khai báo thuế VÀ/HOẶC quy trình làm việc với cơ quan thuế đơn giản, tiện lợi, nhanh chóng hơn so với trước đây. - HUMAN-FAC1]]</f>
        <v>7</v>
      </c>
      <c r="AD265" t="str">
        <f t="shared" si="115"/>
        <v>Neutral</v>
      </c>
      <c r="AE265" s="32">
        <f t="shared" si="116"/>
        <v>2</v>
      </c>
      <c r="AF265">
        <f>step3_validation[[#This Row],[AI_FAC2]]</f>
        <v>9</v>
      </c>
      <c r="AG265" t="str">
        <f t="shared" si="117"/>
        <v>Support</v>
      </c>
      <c r="AH265">
        <f>survey_responses[[#This Row],[So với trước đây, tôi thấy cách tính thuế và các bậc thuế trong phương án mới đơn giản, dễ hiểu và dễ thực hiện hơn. - HUMAN-FAC2]]</f>
        <v>8</v>
      </c>
      <c r="AI265" t="str">
        <f t="shared" si="118"/>
        <v>Support</v>
      </c>
      <c r="AJ265" s="32">
        <f t="shared" si="119"/>
        <v>1</v>
      </c>
      <c r="AK265">
        <f>step3_validation[[#This Row],[AI_TRU1]]</f>
        <v>8</v>
      </c>
      <c r="AL265" t="str">
        <f t="shared" si="120"/>
        <v>Support</v>
      </c>
      <c r="AM265">
        <f>survey_responses[[#This Row],[Tôi tin rằng Nhà nước, cơ quan thuế sẽ thực thi chính sách mới một cách khách quan, công tâm và đối xử bình đẳng với mọi người nộp thuế.  - HUMAN-TRU1]]</f>
        <v>7</v>
      </c>
      <c r="AN265" t="str">
        <f t="shared" si="121"/>
        <v>Neutral</v>
      </c>
      <c r="AO265" s="32">
        <f t="shared" si="122"/>
        <v>1</v>
      </c>
      <c r="AP265">
        <f>step3_validation[[#This Row],[AI_TRU2]]</f>
        <v>9</v>
      </c>
      <c r="AQ265" t="str">
        <f t="shared" si="123"/>
        <v>Support</v>
      </c>
      <c r="AR265">
        <f>survey_responses[[#This Row],[Tôi thấy mức thuế tôi phải đóng theo phương án mới là công bằng (người thu nhập như tôi đóng mức này là hợp lý). - HUMAN-TRU2]]</f>
        <v>7</v>
      </c>
      <c r="AS265" t="str">
        <f t="shared" si="124"/>
        <v>Neutral</v>
      </c>
      <c r="AT265" s="32">
        <f t="shared" si="125"/>
        <v>2</v>
      </c>
      <c r="AU265">
        <f>step3_validation[[#This Row],[AI_TRU3]]</f>
        <v>8</v>
      </c>
      <c r="AV265" t="str">
        <f t="shared" si="126"/>
        <v>Support</v>
      </c>
      <c r="AW265">
        <f>survey_responses[[#This Row],[Tôi tin tưởng số tiền thuế tôi đóng sẽ được Nhà nước sử dụng hiệu quả để cải thiện dịch vụ công (y tế, đường xá...). - HUMAN-TRU3]]</f>
        <v>7</v>
      </c>
      <c r="AX265" t="str">
        <f t="shared" si="127"/>
        <v>Neutral</v>
      </c>
      <c r="AY265" s="32">
        <f t="shared" si="128"/>
        <v>1</v>
      </c>
      <c r="AZ265">
        <f>step3_validation[[#This Row],[AI_TRU4]]</f>
        <v>7</v>
      </c>
      <c r="BA265" t="str">
        <f t="shared" si="129"/>
        <v>Neutral</v>
      </c>
      <c r="BB265">
        <f>survey_responses[[#This Row],[Tôi thấy Nhà nước đã giải thích rõ ràng, minh bạch về lý do và mục tiêu của việc sửa đổi thuế lần này. - HUMAN-TRU4]]</f>
        <v>7</v>
      </c>
      <c r="BC265" t="str">
        <f t="shared" si="130"/>
        <v>Neutral</v>
      </c>
      <c r="BD265" s="32">
        <f t="shared" si="131"/>
        <v>0</v>
      </c>
      <c r="BE265">
        <f>step3_validation[[#This Row],[AI_OUT1]]</f>
        <v>9</v>
      </c>
      <c r="BF265" t="str">
        <f t="shared" si="132"/>
        <v>Support</v>
      </c>
      <c r="BG265">
        <f>survey_responses[[#This Row],[Sau khi xem xét các quyền lợi và nghĩa vụ, bạn có ủng hộ và tuân thủ chính sách mới hiện nay? - HUMAN-OUT1]]</f>
        <v>7</v>
      </c>
      <c r="BH265" t="str">
        <f t="shared" si="133"/>
        <v>Neutral</v>
      </c>
      <c r="BI265" s="32">
        <f t="shared" si="134"/>
        <v>2</v>
      </c>
    </row>
    <row r="266" spans="1:61" x14ac:dyDescent="0.45">
      <c r="A266" s="30">
        <f>step3_validation[[#This Row],[Persona_ID]]</f>
        <v>265</v>
      </c>
      <c r="B266" s="31">
        <f>step3_validation[[#This Row],[Used_Seed]]</f>
        <v>265</v>
      </c>
      <c r="C266" t="str">
        <f>step3_validation[[#This Row],[Gender]]</f>
        <v>Nữ</v>
      </c>
      <c r="D266" t="str">
        <f>survey_responses[[#This Row],[Giới tính của bạn:]]</f>
        <v>Nữ</v>
      </c>
      <c r="E266" t="str">
        <f>step3_validation[[#This Row],[Age_Group]]</f>
        <v>30 - 39</v>
      </c>
      <c r="F266" t="str">
        <f>survey_responses[[#This Row],[Độ tuổi của bạn:]]</f>
        <v>30 - 39</v>
      </c>
      <c r="G266" t="str">
        <f>step3_validation[[#This Row],[Region]]</f>
        <v>Thành thị</v>
      </c>
      <c r="H266" t="str">
        <f>survey_responses[[#This Row],[Khu vực bạn đang sinh sống:]]</f>
        <v>Thành thị</v>
      </c>
      <c r="I266" t="str">
        <f>step3_validation[[#This Row],[Education]]</f>
        <v>Đại học</v>
      </c>
      <c r="J266" t="str">
        <f>survey_responses[[#This Row],[Trình độ học vấn cao nhất:]]</f>
        <v>Đại học</v>
      </c>
      <c r="K266" t="str">
        <f>step3_validation[[#This Row],[Employment]]</f>
        <v>Chính thức</v>
      </c>
      <c r="L266" t="str">
        <f>survey_responses[[#This Row],[Tình trạng việc làm chính:]]</f>
        <v>Khu vực chính thức (Có Hợp đồng lao động, đóng BHXH)</v>
      </c>
      <c r="M266">
        <f>step3_validation[[#This Row],[Income_Mil]]</f>
        <v>25.524431595110439</v>
      </c>
      <c r="N266" t="str">
        <f>survey_responses[[#This Row],[Thu nhập bình quân tháng theo Hợp đồng lao động của bạn là bao nhiêu? (Vui lòng điền tổng thu nhập trước khi khấu trừ các loại Bảo hiểm (BHXH, BHYT, BHTN) và Thuế TNCN)]]</f>
        <v>Từ 23 - 32 triệu VNĐ</v>
      </c>
      <c r="O266">
        <f>step3_validation[[#This Row],[Dependents]]</f>
        <v>0</v>
      </c>
      <c r="P266" t="str">
        <f>survey_responses[[#This Row],[Số người phụ thuộc (con nhỏ, cha mẹ già...) đủ điều kiện giảm trừ gia cảnh:]]</f>
        <v>0 người</v>
      </c>
      <c r="Q266">
        <f>step3_validation[[#This Row],[AI_ENF1]]</f>
        <v>8</v>
      </c>
      <c r="R266" t="str">
        <f t="shared" si="108"/>
        <v>Support</v>
      </c>
      <c r="S266">
        <f>survey_responses[[#This Row],[Tôi tin rằng với các quy định quản lý thuế hiện nay, hành vi gian lận hoặc trốn thuế sẽ dễ dàng bị phát hiện và xử lý nghiêm. - HUMAN-ENF1]]</f>
        <v>6</v>
      </c>
      <c r="T266" t="str">
        <f t="shared" si="109"/>
        <v>Neutral</v>
      </c>
      <c r="U266" s="32">
        <f t="shared" si="110"/>
        <v>2</v>
      </c>
      <c r="V266">
        <f>step3_validation[[#This Row],[AI_ENF2]]</f>
        <v>8</v>
      </c>
      <c r="W266" t="str">
        <f t="shared" si="111"/>
        <v>Support</v>
      </c>
      <c r="X266">
        <f>survey_responses[[#This Row],[Tôi tin rằng Nhà nước, cơ quan thuế có đủ khả năng và công nghệ để phát hiện, xử lý nghiêm các hành vi trốn thuế. - HUMAN-ENF2]]</f>
        <v>5</v>
      </c>
      <c r="Y266" t="str">
        <f t="shared" si="112"/>
        <v>Neutral</v>
      </c>
      <c r="Z266" s="32">
        <f t="shared" si="113"/>
        <v>3</v>
      </c>
      <c r="AA266">
        <f>step3_validation[[#This Row],[AI_FAC1]]</f>
        <v>9</v>
      </c>
      <c r="AB266" t="str">
        <f t="shared" si="114"/>
        <v>Support</v>
      </c>
      <c r="AC266">
        <f>survey_responses[[#This Row],[Các thủ tục khai báo thuế VÀ/HOẶC quy trình làm việc với cơ quan thuế đơn giản, tiện lợi, nhanh chóng hơn so với trước đây. - HUMAN-FAC1]]</f>
        <v>5</v>
      </c>
      <c r="AD266" t="str">
        <f t="shared" si="115"/>
        <v>Neutral</v>
      </c>
      <c r="AE266" s="32">
        <f t="shared" si="116"/>
        <v>4</v>
      </c>
      <c r="AF266">
        <f>step3_validation[[#This Row],[AI_FAC2]]</f>
        <v>9</v>
      </c>
      <c r="AG266" t="str">
        <f t="shared" si="117"/>
        <v>Support</v>
      </c>
      <c r="AH266">
        <f>survey_responses[[#This Row],[So với trước đây, tôi thấy cách tính thuế và các bậc thuế trong phương án mới đơn giản, dễ hiểu và dễ thực hiện hơn. - HUMAN-FAC2]]</f>
        <v>7</v>
      </c>
      <c r="AI266" t="str">
        <f t="shared" si="118"/>
        <v>Neutral</v>
      </c>
      <c r="AJ266" s="32">
        <f t="shared" si="119"/>
        <v>2</v>
      </c>
      <c r="AK266">
        <f>step3_validation[[#This Row],[AI_TRU1]]</f>
        <v>7</v>
      </c>
      <c r="AL266" t="str">
        <f t="shared" si="120"/>
        <v>Neutral</v>
      </c>
      <c r="AM266">
        <f>survey_responses[[#This Row],[Tôi tin rằng Nhà nước, cơ quan thuế sẽ thực thi chính sách mới một cách khách quan, công tâm và đối xử bình đẳng với mọi người nộp thuế.  - HUMAN-TRU1]]</f>
        <v>6</v>
      </c>
      <c r="AN266" t="str">
        <f t="shared" si="121"/>
        <v>Neutral</v>
      </c>
      <c r="AO266" s="32">
        <f t="shared" si="122"/>
        <v>1</v>
      </c>
      <c r="AP266">
        <f>step3_validation[[#This Row],[AI_TRU2]]</f>
        <v>8</v>
      </c>
      <c r="AQ266" t="str">
        <f t="shared" si="123"/>
        <v>Support</v>
      </c>
      <c r="AR266">
        <f>survey_responses[[#This Row],[Tôi thấy mức thuế tôi phải đóng theo phương án mới là công bằng (người thu nhập như tôi đóng mức này là hợp lý). - HUMAN-TRU2]]</f>
        <v>7</v>
      </c>
      <c r="AS266" t="str">
        <f t="shared" si="124"/>
        <v>Neutral</v>
      </c>
      <c r="AT266" s="32">
        <f t="shared" si="125"/>
        <v>1</v>
      </c>
      <c r="AU266">
        <f>step3_validation[[#This Row],[AI_TRU3]]</f>
        <v>7</v>
      </c>
      <c r="AV266" t="str">
        <f t="shared" si="126"/>
        <v>Neutral</v>
      </c>
      <c r="AW266">
        <f>survey_responses[[#This Row],[Tôi tin tưởng số tiền thuế tôi đóng sẽ được Nhà nước sử dụng hiệu quả để cải thiện dịch vụ công (y tế, đường xá...). - HUMAN-TRU3]]</f>
        <v>5</v>
      </c>
      <c r="AX266" t="str">
        <f t="shared" si="127"/>
        <v>Neutral</v>
      </c>
      <c r="AY266" s="32">
        <f t="shared" si="128"/>
        <v>2</v>
      </c>
      <c r="AZ266">
        <f>step3_validation[[#This Row],[AI_TRU4]]</f>
        <v>8</v>
      </c>
      <c r="BA266" t="str">
        <f t="shared" si="129"/>
        <v>Support</v>
      </c>
      <c r="BB266">
        <f>survey_responses[[#This Row],[Tôi thấy Nhà nước đã giải thích rõ ràng, minh bạch về lý do và mục tiêu của việc sửa đổi thuế lần này. - HUMAN-TRU4]]</f>
        <v>6</v>
      </c>
      <c r="BC266" t="str">
        <f t="shared" si="130"/>
        <v>Neutral</v>
      </c>
      <c r="BD266" s="32">
        <f t="shared" si="131"/>
        <v>2</v>
      </c>
      <c r="BE266">
        <f>step3_validation[[#This Row],[AI_OUT1]]</f>
        <v>9</v>
      </c>
      <c r="BF266" t="str">
        <f t="shared" si="132"/>
        <v>Support</v>
      </c>
      <c r="BG266">
        <f>survey_responses[[#This Row],[Sau khi xem xét các quyền lợi và nghĩa vụ, bạn có ủng hộ và tuân thủ chính sách mới hiện nay? - HUMAN-OUT1]]</f>
        <v>6</v>
      </c>
      <c r="BH266" t="str">
        <f t="shared" si="133"/>
        <v>Neutral</v>
      </c>
      <c r="BI266" s="32">
        <f t="shared" si="134"/>
        <v>3</v>
      </c>
    </row>
    <row r="267" spans="1:61" x14ac:dyDescent="0.45">
      <c r="A267" s="30">
        <f>step3_validation[[#This Row],[Persona_ID]]</f>
        <v>266</v>
      </c>
      <c r="B267" s="31">
        <f>step3_validation[[#This Row],[Used_Seed]]</f>
        <v>266</v>
      </c>
      <c r="C267" t="str">
        <f>step3_validation[[#This Row],[Gender]]</f>
        <v>Nữ</v>
      </c>
      <c r="D267" t="str">
        <f>survey_responses[[#This Row],[Giới tính của bạn:]]</f>
        <v>Nữ</v>
      </c>
      <c r="E267" t="str">
        <f>step3_validation[[#This Row],[Age_Group]]</f>
        <v>50 - 54</v>
      </c>
      <c r="F267" t="str">
        <f>survey_responses[[#This Row],[Độ tuổi của bạn:]]</f>
        <v>50 - 54</v>
      </c>
      <c r="G267" t="str">
        <f>step3_validation[[#This Row],[Region]]</f>
        <v>Thành thị</v>
      </c>
      <c r="H267" t="str">
        <f>survey_responses[[#This Row],[Khu vực bạn đang sinh sống:]]</f>
        <v>Thành thị</v>
      </c>
      <c r="I267" t="str">
        <f>step3_validation[[#This Row],[Education]]</f>
        <v>Đại học</v>
      </c>
      <c r="J267" t="str">
        <f>survey_responses[[#This Row],[Trình độ học vấn cao nhất:]]</f>
        <v>Đại học</v>
      </c>
      <c r="K267" t="str">
        <f>step3_validation[[#This Row],[Employment]]</f>
        <v>Chính thức</v>
      </c>
      <c r="L267" t="str">
        <f>survey_responses[[#This Row],[Tình trạng việc làm chính:]]</f>
        <v>Khu vực chính thức (Có Hợp đồng lao động, đóng BHXH)</v>
      </c>
      <c r="M267">
        <f>step3_validation[[#This Row],[Income_Mil]]</f>
        <v>52.313587113142795</v>
      </c>
      <c r="N267" t="str">
        <f>survey_responses[[#This Row],[Thu nhập bình quân tháng theo Hợp đồng lao động của bạn là bao nhiêu? (Vui lòng điền tổng thu nhập trước khi khấu trừ các loại Bảo hiểm (BHXH, BHYT, BHTN) và Thuế TNCN)]]</f>
        <v>Từ 48 - 70 triệu VNĐ</v>
      </c>
      <c r="O267">
        <f>step3_validation[[#This Row],[Dependents]]</f>
        <v>3</v>
      </c>
      <c r="P267" t="str">
        <f>survey_responses[[#This Row],[Số người phụ thuộc (con nhỏ, cha mẹ già...) đủ điều kiện giảm trừ gia cảnh:]]</f>
        <v>3 người</v>
      </c>
      <c r="Q267">
        <f>step3_validation[[#This Row],[AI_ENF1]]</f>
        <v>7</v>
      </c>
      <c r="R267" t="str">
        <f t="shared" si="108"/>
        <v>Neutral</v>
      </c>
      <c r="S267">
        <f>survey_responses[[#This Row],[Tôi tin rằng với các quy định quản lý thuế hiện nay, hành vi gian lận hoặc trốn thuế sẽ dễ dàng bị phát hiện và xử lý nghiêm. - HUMAN-ENF1]]</f>
        <v>7</v>
      </c>
      <c r="T267" t="str">
        <f t="shared" si="109"/>
        <v>Neutral</v>
      </c>
      <c r="U267" s="32">
        <f t="shared" si="110"/>
        <v>0</v>
      </c>
      <c r="V267">
        <f>step3_validation[[#This Row],[AI_ENF2]]</f>
        <v>8</v>
      </c>
      <c r="W267" t="str">
        <f t="shared" si="111"/>
        <v>Support</v>
      </c>
      <c r="X267">
        <f>survey_responses[[#This Row],[Tôi tin rằng Nhà nước, cơ quan thuế có đủ khả năng và công nghệ để phát hiện, xử lý nghiêm các hành vi trốn thuế. - HUMAN-ENF2]]</f>
        <v>6</v>
      </c>
      <c r="Y267" t="str">
        <f t="shared" si="112"/>
        <v>Neutral</v>
      </c>
      <c r="Z267" s="32">
        <f t="shared" si="113"/>
        <v>2</v>
      </c>
      <c r="AA267">
        <f>step3_validation[[#This Row],[AI_FAC1]]</f>
        <v>6</v>
      </c>
      <c r="AB267" t="str">
        <f t="shared" si="114"/>
        <v>Neutral</v>
      </c>
      <c r="AC267">
        <f>survey_responses[[#This Row],[Các thủ tục khai báo thuế VÀ/HOẶC quy trình làm việc với cơ quan thuế đơn giản, tiện lợi, nhanh chóng hơn so với trước đây. - HUMAN-FAC1]]</f>
        <v>6</v>
      </c>
      <c r="AD267" t="str">
        <f t="shared" si="115"/>
        <v>Neutral</v>
      </c>
      <c r="AE267" s="32">
        <f t="shared" si="116"/>
        <v>0</v>
      </c>
      <c r="AF267">
        <f>step3_validation[[#This Row],[AI_FAC2]]</f>
        <v>9</v>
      </c>
      <c r="AG267" t="str">
        <f t="shared" si="117"/>
        <v>Support</v>
      </c>
      <c r="AH267">
        <f>survey_responses[[#This Row],[So với trước đây, tôi thấy cách tính thuế và các bậc thuế trong phương án mới đơn giản, dễ hiểu và dễ thực hiện hơn. - HUMAN-FAC2]]</f>
        <v>6</v>
      </c>
      <c r="AI267" t="str">
        <f t="shared" si="118"/>
        <v>Neutral</v>
      </c>
      <c r="AJ267" s="32">
        <f t="shared" si="119"/>
        <v>3</v>
      </c>
      <c r="AK267">
        <f>step3_validation[[#This Row],[AI_TRU1]]</f>
        <v>7</v>
      </c>
      <c r="AL267" t="str">
        <f t="shared" si="120"/>
        <v>Neutral</v>
      </c>
      <c r="AM267">
        <f>survey_responses[[#This Row],[Tôi tin rằng Nhà nước, cơ quan thuế sẽ thực thi chính sách mới một cách khách quan, công tâm và đối xử bình đẳng với mọi người nộp thuế.  - HUMAN-TRU1]]</f>
        <v>7</v>
      </c>
      <c r="AN267" t="str">
        <f t="shared" si="121"/>
        <v>Neutral</v>
      </c>
      <c r="AO267" s="32">
        <f t="shared" si="122"/>
        <v>0</v>
      </c>
      <c r="AP267">
        <f>step3_validation[[#This Row],[AI_TRU2]]</f>
        <v>9</v>
      </c>
      <c r="AQ267" t="str">
        <f t="shared" si="123"/>
        <v>Support</v>
      </c>
      <c r="AR267">
        <f>survey_responses[[#This Row],[Tôi thấy mức thuế tôi phải đóng theo phương án mới là công bằng (người thu nhập như tôi đóng mức này là hợp lý). - HUMAN-TRU2]]</f>
        <v>7</v>
      </c>
      <c r="AS267" t="str">
        <f t="shared" si="124"/>
        <v>Neutral</v>
      </c>
      <c r="AT267" s="32">
        <f t="shared" si="125"/>
        <v>2</v>
      </c>
      <c r="AU267">
        <f>step3_validation[[#This Row],[AI_TRU3]]</f>
        <v>8</v>
      </c>
      <c r="AV267" t="str">
        <f t="shared" si="126"/>
        <v>Support</v>
      </c>
      <c r="AW267">
        <f>survey_responses[[#This Row],[Tôi tin tưởng số tiền thuế tôi đóng sẽ được Nhà nước sử dụng hiệu quả để cải thiện dịch vụ công (y tế, đường xá...). - HUMAN-TRU3]]</f>
        <v>7</v>
      </c>
      <c r="AX267" t="str">
        <f t="shared" si="127"/>
        <v>Neutral</v>
      </c>
      <c r="AY267" s="32">
        <f t="shared" si="128"/>
        <v>1</v>
      </c>
      <c r="AZ267">
        <f>step3_validation[[#This Row],[AI_TRU4]]</f>
        <v>7</v>
      </c>
      <c r="BA267" t="str">
        <f t="shared" si="129"/>
        <v>Neutral</v>
      </c>
      <c r="BB267">
        <f>survey_responses[[#This Row],[Tôi thấy Nhà nước đã giải thích rõ ràng, minh bạch về lý do và mục tiêu của việc sửa đổi thuế lần này. - HUMAN-TRU4]]</f>
        <v>7</v>
      </c>
      <c r="BC267" t="str">
        <f t="shared" si="130"/>
        <v>Neutral</v>
      </c>
      <c r="BD267" s="32">
        <f t="shared" si="131"/>
        <v>0</v>
      </c>
      <c r="BE267">
        <f>step3_validation[[#This Row],[AI_OUT1]]</f>
        <v>9</v>
      </c>
      <c r="BF267" t="str">
        <f t="shared" si="132"/>
        <v>Support</v>
      </c>
      <c r="BG267">
        <f>survey_responses[[#This Row],[Sau khi xem xét các quyền lợi và nghĩa vụ, bạn có ủng hộ và tuân thủ chính sách mới hiện nay? - HUMAN-OUT1]]</f>
        <v>7</v>
      </c>
      <c r="BH267" t="str">
        <f t="shared" si="133"/>
        <v>Neutral</v>
      </c>
      <c r="BI267" s="32">
        <f t="shared" si="134"/>
        <v>2</v>
      </c>
    </row>
    <row r="268" spans="1:61" x14ac:dyDescent="0.45">
      <c r="A268" s="30">
        <f>step3_validation[[#This Row],[Persona_ID]]</f>
        <v>267</v>
      </c>
      <c r="B268" s="31">
        <f>step3_validation[[#This Row],[Used_Seed]]</f>
        <v>267</v>
      </c>
      <c r="C268" t="str">
        <f>step3_validation[[#This Row],[Gender]]</f>
        <v>Nam</v>
      </c>
      <c r="D268" t="str">
        <f>survey_responses[[#This Row],[Giới tính của bạn:]]</f>
        <v>Nam</v>
      </c>
      <c r="E268" t="str">
        <f>step3_validation[[#This Row],[Age_Group]]</f>
        <v>40 - 49</v>
      </c>
      <c r="F268" t="str">
        <f>survey_responses[[#This Row],[Độ tuổi của bạn:]]</f>
        <v>40 - 49</v>
      </c>
      <c r="G268" t="str">
        <f>step3_validation[[#This Row],[Region]]</f>
        <v>Thành thị</v>
      </c>
      <c r="H268" t="str">
        <f>survey_responses[[#This Row],[Khu vực bạn đang sinh sống:]]</f>
        <v>Thành thị</v>
      </c>
      <c r="I268" t="str">
        <f>step3_validation[[#This Row],[Education]]</f>
        <v>Sau Đại học</v>
      </c>
      <c r="J268" t="str">
        <f>survey_responses[[#This Row],[Trình độ học vấn cao nhất:]]</f>
        <v>Sau Đại học</v>
      </c>
      <c r="K268" t="str">
        <f>step3_validation[[#This Row],[Employment]]</f>
        <v>Chính thức</v>
      </c>
      <c r="L268" t="str">
        <f>survey_responses[[#This Row],[Tình trạng việc làm chính:]]</f>
        <v>Khu vực chính thức (Có Hợp đồng lao động, đóng BHXH)</v>
      </c>
      <c r="M268">
        <f>step3_validation[[#This Row],[Income_Mil]]</f>
        <v>60.141322354788841</v>
      </c>
      <c r="N268" t="str">
        <f>survey_responses[[#This Row],[Thu nhập bình quân tháng theo Hợp đồng lao động của bạn là bao nhiêu? (Vui lòng điền tổng thu nhập trước khi khấu trừ các loại Bảo hiểm (BHXH, BHYT, BHTN) và Thuế TNCN)]]</f>
        <v>Từ 48 - 70 triệu VNĐ</v>
      </c>
      <c r="O268">
        <f>step3_validation[[#This Row],[Dependents]]</f>
        <v>2</v>
      </c>
      <c r="P268" t="str">
        <f>survey_responses[[#This Row],[Số người phụ thuộc (con nhỏ, cha mẹ già...) đủ điều kiện giảm trừ gia cảnh:]]</f>
        <v>2 người</v>
      </c>
      <c r="Q268">
        <f>step3_validation[[#This Row],[AI_ENF1]]</f>
        <v>6</v>
      </c>
      <c r="R268" t="str">
        <f t="shared" si="108"/>
        <v>Neutral</v>
      </c>
      <c r="S268">
        <f>survey_responses[[#This Row],[Tôi tin rằng với các quy định quản lý thuế hiện nay, hành vi gian lận hoặc trốn thuế sẽ dễ dàng bị phát hiện và xử lý nghiêm. - HUMAN-ENF1]]</f>
        <v>6</v>
      </c>
      <c r="T268" t="str">
        <f t="shared" si="109"/>
        <v>Neutral</v>
      </c>
      <c r="U268" s="32">
        <f t="shared" si="110"/>
        <v>0</v>
      </c>
      <c r="V268">
        <f>step3_validation[[#This Row],[AI_ENF2]]</f>
        <v>6</v>
      </c>
      <c r="W268" t="str">
        <f t="shared" si="111"/>
        <v>Neutral</v>
      </c>
      <c r="X268">
        <f>survey_responses[[#This Row],[Tôi tin rằng Nhà nước, cơ quan thuế có đủ khả năng và công nghệ để phát hiện, xử lý nghiêm các hành vi trốn thuế. - HUMAN-ENF2]]</f>
        <v>7</v>
      </c>
      <c r="Y268" t="str">
        <f t="shared" si="112"/>
        <v>Neutral</v>
      </c>
      <c r="Z268" s="32">
        <f t="shared" si="113"/>
        <v>1</v>
      </c>
      <c r="AA268">
        <f>step3_validation[[#This Row],[AI_FAC1]]</f>
        <v>9</v>
      </c>
      <c r="AB268" t="str">
        <f t="shared" si="114"/>
        <v>Support</v>
      </c>
      <c r="AC268">
        <f>survey_responses[[#This Row],[Các thủ tục khai báo thuế VÀ/HOẶC quy trình làm việc với cơ quan thuế đơn giản, tiện lợi, nhanh chóng hơn so với trước đây. - HUMAN-FAC1]]</f>
        <v>7</v>
      </c>
      <c r="AD268" t="str">
        <f t="shared" si="115"/>
        <v>Neutral</v>
      </c>
      <c r="AE268" s="32">
        <f t="shared" si="116"/>
        <v>2</v>
      </c>
      <c r="AF268">
        <f>step3_validation[[#This Row],[AI_FAC2]]</f>
        <v>8</v>
      </c>
      <c r="AG268" t="str">
        <f t="shared" si="117"/>
        <v>Support</v>
      </c>
      <c r="AH268">
        <f>survey_responses[[#This Row],[So với trước đây, tôi thấy cách tính thuế và các bậc thuế trong phương án mới đơn giản, dễ hiểu và dễ thực hiện hơn. - HUMAN-FAC2]]</f>
        <v>6</v>
      </c>
      <c r="AI268" t="str">
        <f t="shared" si="118"/>
        <v>Neutral</v>
      </c>
      <c r="AJ268" s="32">
        <f t="shared" si="119"/>
        <v>2</v>
      </c>
      <c r="AK268">
        <f>step3_validation[[#This Row],[AI_TRU1]]</f>
        <v>0</v>
      </c>
      <c r="AL268" t="str">
        <f t="shared" si="120"/>
        <v/>
      </c>
      <c r="AM268">
        <f>survey_responses[[#This Row],[Tôi tin rằng Nhà nước, cơ quan thuế sẽ thực thi chính sách mới một cách khách quan, công tâm và đối xử bình đẳng với mọi người nộp thuế.  - HUMAN-TRU1]]</f>
        <v>6</v>
      </c>
      <c r="AN268" t="str">
        <f t="shared" si="121"/>
        <v>Neutral</v>
      </c>
      <c r="AO268" s="32">
        <f t="shared" si="122"/>
        <v>6</v>
      </c>
      <c r="AP268">
        <f>step3_validation[[#This Row],[AI_TRU2]]</f>
        <v>0</v>
      </c>
      <c r="AQ268" t="str">
        <f t="shared" si="123"/>
        <v/>
      </c>
      <c r="AR268">
        <f>survey_responses[[#This Row],[Tôi thấy mức thuế tôi phải đóng theo phương án mới là công bằng (người thu nhập như tôi đóng mức này là hợp lý). - HUMAN-TRU2]]</f>
        <v>6</v>
      </c>
      <c r="AS268" t="str">
        <f t="shared" si="124"/>
        <v>Neutral</v>
      </c>
      <c r="AT268" s="32">
        <f t="shared" si="125"/>
        <v>6</v>
      </c>
      <c r="AU268">
        <f>step3_validation[[#This Row],[AI_TRU3]]</f>
        <v>0</v>
      </c>
      <c r="AV268" t="str">
        <f t="shared" si="126"/>
        <v/>
      </c>
      <c r="AW268">
        <f>survey_responses[[#This Row],[Tôi tin tưởng số tiền thuế tôi đóng sẽ được Nhà nước sử dụng hiệu quả để cải thiện dịch vụ công (y tế, đường xá...). - HUMAN-TRU3]]</f>
        <v>6</v>
      </c>
      <c r="AX268" t="str">
        <f t="shared" si="127"/>
        <v>Neutral</v>
      </c>
      <c r="AY268" s="32">
        <f t="shared" si="128"/>
        <v>6</v>
      </c>
      <c r="AZ268">
        <f>step3_validation[[#This Row],[AI_TRU4]]</f>
        <v>0</v>
      </c>
      <c r="BA268" t="str">
        <f t="shared" si="129"/>
        <v/>
      </c>
      <c r="BB268">
        <f>survey_responses[[#This Row],[Tôi thấy Nhà nước đã giải thích rõ ràng, minh bạch về lý do và mục tiêu của việc sửa đổi thuế lần này. - HUMAN-TRU4]]</f>
        <v>7</v>
      </c>
      <c r="BC268" t="str">
        <f t="shared" si="130"/>
        <v>Neutral</v>
      </c>
      <c r="BD268" s="32">
        <f t="shared" si="131"/>
        <v>7</v>
      </c>
      <c r="BE268">
        <f>step3_validation[[#This Row],[AI_OUT1]]</f>
        <v>0</v>
      </c>
      <c r="BF268" t="str">
        <f t="shared" si="132"/>
        <v/>
      </c>
      <c r="BG268">
        <f>survey_responses[[#This Row],[Sau khi xem xét các quyền lợi và nghĩa vụ, bạn có ủng hộ và tuân thủ chính sách mới hiện nay? - HUMAN-OUT1]]</f>
        <v>7</v>
      </c>
      <c r="BH268" t="str">
        <f t="shared" si="133"/>
        <v>Neutral</v>
      </c>
      <c r="BI268" s="32">
        <f t="shared" si="134"/>
        <v>7</v>
      </c>
    </row>
    <row r="269" spans="1:61" x14ac:dyDescent="0.45">
      <c r="A269" s="30">
        <f>step3_validation[[#This Row],[Persona_ID]]</f>
        <v>268</v>
      </c>
      <c r="B269" s="31">
        <f>step3_validation[[#This Row],[Used_Seed]]</f>
        <v>268</v>
      </c>
      <c r="C269" t="str">
        <f>step3_validation[[#This Row],[Gender]]</f>
        <v>Nữ</v>
      </c>
      <c r="D269" t="str">
        <f>survey_responses[[#This Row],[Giới tính của bạn:]]</f>
        <v>Nữ</v>
      </c>
      <c r="E269" t="str">
        <f>step3_validation[[#This Row],[Age_Group]]</f>
        <v>25 - 29</v>
      </c>
      <c r="F269" t="str">
        <f>survey_responses[[#This Row],[Độ tuổi của bạn:]]</f>
        <v>25 - 29</v>
      </c>
      <c r="G269" t="str">
        <f>step3_validation[[#This Row],[Region]]</f>
        <v>Thành thị</v>
      </c>
      <c r="H269" t="str">
        <f>survey_responses[[#This Row],[Khu vực bạn đang sinh sống:]]</f>
        <v>Thành thị</v>
      </c>
      <c r="I269" t="str">
        <f>step3_validation[[#This Row],[Education]]</f>
        <v>Đại học</v>
      </c>
      <c r="J269" t="str">
        <f>survey_responses[[#This Row],[Trình độ học vấn cao nhất:]]</f>
        <v>Đại học</v>
      </c>
      <c r="K269" t="str">
        <f>step3_validation[[#This Row],[Employment]]</f>
        <v>Chính thức</v>
      </c>
      <c r="L269" t="str">
        <f>survey_responses[[#This Row],[Tình trạng việc làm chính:]]</f>
        <v>Khu vực chính thức (Có Hợp đồng lao động, đóng BHXH)</v>
      </c>
      <c r="M269">
        <f>step3_validation[[#This Row],[Income_Mil]]</f>
        <v>30.701534518360898</v>
      </c>
      <c r="N269" t="str">
        <f>survey_responses[[#This Row],[Thu nhập bình quân tháng theo Hợp đồng lao động của bạn là bao nhiêu? (Vui lòng điền tổng thu nhập trước khi khấu trừ các loại Bảo hiểm (BHXH, BHYT, BHTN) và Thuế TNCN)]]</f>
        <v>Từ 23 - 32 triệu VNĐ</v>
      </c>
      <c r="O269">
        <f>step3_validation[[#This Row],[Dependents]]</f>
        <v>2</v>
      </c>
      <c r="P269" t="str">
        <f>survey_responses[[#This Row],[Số người phụ thuộc (con nhỏ, cha mẹ già...) đủ điều kiện giảm trừ gia cảnh:]]</f>
        <v>2 người</v>
      </c>
      <c r="Q269">
        <f>step3_validation[[#This Row],[AI_ENF1]]</f>
        <v>7</v>
      </c>
      <c r="R269" t="str">
        <f t="shared" si="108"/>
        <v>Neutral</v>
      </c>
      <c r="S269">
        <f>survey_responses[[#This Row],[Tôi tin rằng với các quy định quản lý thuế hiện nay, hành vi gian lận hoặc trốn thuế sẽ dễ dàng bị phát hiện và xử lý nghiêm. - HUMAN-ENF1]]</f>
        <v>7</v>
      </c>
      <c r="T269" t="str">
        <f t="shared" si="109"/>
        <v>Neutral</v>
      </c>
      <c r="U269" s="32">
        <f t="shared" si="110"/>
        <v>0</v>
      </c>
      <c r="V269">
        <f>step3_validation[[#This Row],[AI_ENF2]]</f>
        <v>8</v>
      </c>
      <c r="W269" t="str">
        <f t="shared" si="111"/>
        <v>Support</v>
      </c>
      <c r="X269">
        <f>survey_responses[[#This Row],[Tôi tin rằng Nhà nước, cơ quan thuế có đủ khả năng và công nghệ để phát hiện, xử lý nghiêm các hành vi trốn thuế. - HUMAN-ENF2]]</f>
        <v>7</v>
      </c>
      <c r="Y269" t="str">
        <f t="shared" si="112"/>
        <v>Neutral</v>
      </c>
      <c r="Z269" s="32">
        <f t="shared" si="113"/>
        <v>1</v>
      </c>
      <c r="AA269">
        <f>step3_validation[[#This Row],[AI_FAC1]]</f>
        <v>9</v>
      </c>
      <c r="AB269" t="str">
        <f t="shared" si="114"/>
        <v>Support</v>
      </c>
      <c r="AC269">
        <f>survey_responses[[#This Row],[Các thủ tục khai báo thuế VÀ/HOẶC quy trình làm việc với cơ quan thuế đơn giản, tiện lợi, nhanh chóng hơn so với trước đây. - HUMAN-FAC1]]</f>
        <v>2</v>
      </c>
      <c r="AD269" t="str">
        <f t="shared" si="115"/>
        <v>Oppose</v>
      </c>
      <c r="AE269" s="32">
        <f t="shared" si="116"/>
        <v>7</v>
      </c>
      <c r="AF269">
        <f>step3_validation[[#This Row],[AI_FAC2]]</f>
        <v>10</v>
      </c>
      <c r="AG269" t="str">
        <f t="shared" si="117"/>
        <v>Support</v>
      </c>
      <c r="AH269">
        <f>survey_responses[[#This Row],[So với trước đây, tôi thấy cách tính thuế và các bậc thuế trong phương án mới đơn giản, dễ hiểu và dễ thực hiện hơn. - HUMAN-FAC2]]</f>
        <v>7</v>
      </c>
      <c r="AI269" t="str">
        <f t="shared" si="118"/>
        <v>Neutral</v>
      </c>
      <c r="AJ269" s="32">
        <f t="shared" si="119"/>
        <v>3</v>
      </c>
      <c r="AK269">
        <f>step3_validation[[#This Row],[AI_TRU1]]</f>
        <v>8</v>
      </c>
      <c r="AL269" t="str">
        <f t="shared" si="120"/>
        <v>Support</v>
      </c>
      <c r="AM269">
        <f>survey_responses[[#This Row],[Tôi tin rằng Nhà nước, cơ quan thuế sẽ thực thi chính sách mới một cách khách quan, công tâm và đối xử bình đẳng với mọi người nộp thuế.  - HUMAN-TRU1]]</f>
        <v>7</v>
      </c>
      <c r="AN269" t="str">
        <f t="shared" si="121"/>
        <v>Neutral</v>
      </c>
      <c r="AO269" s="32">
        <f t="shared" si="122"/>
        <v>1</v>
      </c>
      <c r="AP269">
        <f>step3_validation[[#This Row],[AI_TRU2]]</f>
        <v>9</v>
      </c>
      <c r="AQ269" t="str">
        <f t="shared" si="123"/>
        <v>Support</v>
      </c>
      <c r="AR269">
        <f>survey_responses[[#This Row],[Tôi thấy mức thuế tôi phải đóng theo phương án mới là công bằng (người thu nhập như tôi đóng mức này là hợp lý). - HUMAN-TRU2]]</f>
        <v>7</v>
      </c>
      <c r="AS269" t="str">
        <f t="shared" si="124"/>
        <v>Neutral</v>
      </c>
      <c r="AT269" s="32">
        <f t="shared" si="125"/>
        <v>2</v>
      </c>
      <c r="AU269">
        <f>step3_validation[[#This Row],[AI_TRU3]]</f>
        <v>8</v>
      </c>
      <c r="AV269" t="str">
        <f t="shared" si="126"/>
        <v>Support</v>
      </c>
      <c r="AW269">
        <f>survey_responses[[#This Row],[Tôi tin tưởng số tiền thuế tôi đóng sẽ được Nhà nước sử dụng hiệu quả để cải thiện dịch vụ công (y tế, đường xá...). - HUMAN-TRU3]]</f>
        <v>7</v>
      </c>
      <c r="AX269" t="str">
        <f t="shared" si="127"/>
        <v>Neutral</v>
      </c>
      <c r="AY269" s="32">
        <f t="shared" si="128"/>
        <v>1</v>
      </c>
      <c r="AZ269">
        <f>step3_validation[[#This Row],[AI_TRU4]]</f>
        <v>9</v>
      </c>
      <c r="BA269" t="str">
        <f t="shared" si="129"/>
        <v>Support</v>
      </c>
      <c r="BB269">
        <f>survey_responses[[#This Row],[Tôi thấy Nhà nước đã giải thích rõ ràng, minh bạch về lý do và mục tiêu của việc sửa đổi thuế lần này. - HUMAN-TRU4]]</f>
        <v>7</v>
      </c>
      <c r="BC269" t="str">
        <f t="shared" si="130"/>
        <v>Neutral</v>
      </c>
      <c r="BD269" s="32">
        <f t="shared" si="131"/>
        <v>2</v>
      </c>
      <c r="BE269">
        <f>step3_validation[[#This Row],[AI_OUT1]]</f>
        <v>10</v>
      </c>
      <c r="BF269" t="str">
        <f t="shared" si="132"/>
        <v>Support</v>
      </c>
      <c r="BG269">
        <f>survey_responses[[#This Row],[Sau khi xem xét các quyền lợi và nghĩa vụ, bạn có ủng hộ và tuân thủ chính sách mới hiện nay? - HUMAN-OUT1]]</f>
        <v>7</v>
      </c>
      <c r="BH269" t="str">
        <f t="shared" si="133"/>
        <v>Neutral</v>
      </c>
      <c r="BI269" s="32">
        <f t="shared" si="134"/>
        <v>3</v>
      </c>
    </row>
    <row r="270" spans="1:61" x14ac:dyDescent="0.45">
      <c r="A270" s="30">
        <f>step3_validation[[#This Row],[Persona_ID]]</f>
        <v>269</v>
      </c>
      <c r="B270" s="31">
        <f>step3_validation[[#This Row],[Used_Seed]]</f>
        <v>269</v>
      </c>
      <c r="C270" t="str">
        <f>step3_validation[[#This Row],[Gender]]</f>
        <v>Nam</v>
      </c>
      <c r="D270" t="str">
        <f>survey_responses[[#This Row],[Giới tính của bạn:]]</f>
        <v>Nam</v>
      </c>
      <c r="E270" t="str">
        <f>step3_validation[[#This Row],[Age_Group]]</f>
        <v>40 - 49</v>
      </c>
      <c r="F270" t="str">
        <f>survey_responses[[#This Row],[Độ tuổi của bạn:]]</f>
        <v>40 - 49</v>
      </c>
      <c r="G270" t="str">
        <f>step3_validation[[#This Row],[Region]]</f>
        <v>Thành thị</v>
      </c>
      <c r="H270" t="str">
        <f>survey_responses[[#This Row],[Khu vực bạn đang sinh sống:]]</f>
        <v>Thành thị</v>
      </c>
      <c r="I270" t="str">
        <f>step3_validation[[#This Row],[Education]]</f>
        <v>Sau Đại học</v>
      </c>
      <c r="J270" t="str">
        <f>survey_responses[[#This Row],[Trình độ học vấn cao nhất:]]</f>
        <v>Sau Đại học</v>
      </c>
      <c r="K270" t="str">
        <f>step3_validation[[#This Row],[Employment]]</f>
        <v>Chính thức</v>
      </c>
      <c r="L270" t="str">
        <f>survey_responses[[#This Row],[Tình trạng việc làm chính:]]</f>
        <v>Khu vực chính thức (Có Hợp đồng lao động, đóng BHXH)</v>
      </c>
      <c r="M270">
        <f>step3_validation[[#This Row],[Income_Mil]]</f>
        <v>79.630551540935556</v>
      </c>
      <c r="N270" t="str">
        <f>survey_responses[[#This Row],[Thu nhập bình quân tháng theo Hợp đồng lao động của bạn là bao nhiêu? (Vui lòng điền tổng thu nhập trước khi khấu trừ các loại Bảo hiểm (BHXH, BHYT, BHTN) và Thuế TNCN)]]</f>
        <v>Từ 70 - 102 triệu VNĐ</v>
      </c>
      <c r="O270">
        <f>step3_validation[[#This Row],[Dependents]]</f>
        <v>4</v>
      </c>
      <c r="P270" t="str">
        <f>survey_responses[[#This Row],[Số người phụ thuộc (con nhỏ, cha mẹ già...) đủ điều kiện giảm trừ gia cảnh:]]</f>
        <v>4 người trở lên</v>
      </c>
      <c r="Q270">
        <f>step3_validation[[#This Row],[AI_ENF1]]</f>
        <v>8</v>
      </c>
      <c r="R270" t="str">
        <f t="shared" si="108"/>
        <v>Support</v>
      </c>
      <c r="S270">
        <f>survey_responses[[#This Row],[Tôi tin rằng với các quy định quản lý thuế hiện nay, hành vi gian lận hoặc trốn thuế sẽ dễ dàng bị phát hiện và xử lý nghiêm. - HUMAN-ENF1]]</f>
        <v>4</v>
      </c>
      <c r="T270" t="str">
        <f t="shared" si="109"/>
        <v>Oppose</v>
      </c>
      <c r="U270" s="32">
        <f t="shared" si="110"/>
        <v>4</v>
      </c>
      <c r="V270">
        <f>step3_validation[[#This Row],[AI_ENF2]]</f>
        <v>7</v>
      </c>
      <c r="W270" t="str">
        <f t="shared" si="111"/>
        <v>Neutral</v>
      </c>
      <c r="X270">
        <f>survey_responses[[#This Row],[Tôi tin rằng Nhà nước, cơ quan thuế có đủ khả năng và công nghệ để phát hiện, xử lý nghiêm các hành vi trốn thuế. - HUMAN-ENF2]]</f>
        <v>5</v>
      </c>
      <c r="Y270" t="str">
        <f t="shared" si="112"/>
        <v>Neutral</v>
      </c>
      <c r="Z270" s="32">
        <f t="shared" si="113"/>
        <v>2</v>
      </c>
      <c r="AA270">
        <f>step3_validation[[#This Row],[AI_FAC1]]</f>
        <v>9</v>
      </c>
      <c r="AB270" t="str">
        <f t="shared" si="114"/>
        <v>Support</v>
      </c>
      <c r="AC270">
        <f>survey_responses[[#This Row],[Các thủ tục khai báo thuế VÀ/HOẶC quy trình làm việc với cơ quan thuế đơn giản, tiện lợi, nhanh chóng hơn so với trước đây. - HUMAN-FAC1]]</f>
        <v>2</v>
      </c>
      <c r="AD270" t="str">
        <f t="shared" si="115"/>
        <v>Oppose</v>
      </c>
      <c r="AE270" s="32">
        <f t="shared" si="116"/>
        <v>7</v>
      </c>
      <c r="AF270">
        <f>step3_validation[[#This Row],[AI_FAC2]]</f>
        <v>8</v>
      </c>
      <c r="AG270" t="str">
        <f t="shared" si="117"/>
        <v>Support</v>
      </c>
      <c r="AH270">
        <f>survey_responses[[#This Row],[So với trước đây, tôi thấy cách tính thuế và các bậc thuế trong phương án mới đơn giản, dễ hiểu và dễ thực hiện hơn. - HUMAN-FAC2]]</f>
        <v>6</v>
      </c>
      <c r="AI270" t="str">
        <f t="shared" si="118"/>
        <v>Neutral</v>
      </c>
      <c r="AJ270" s="32">
        <f t="shared" si="119"/>
        <v>2</v>
      </c>
      <c r="AK270">
        <f>step3_validation[[#This Row],[AI_TRU1]]</f>
        <v>9</v>
      </c>
      <c r="AL270" t="str">
        <f t="shared" si="120"/>
        <v>Support</v>
      </c>
      <c r="AM270">
        <f>survey_responses[[#This Row],[Tôi tin rằng Nhà nước, cơ quan thuế sẽ thực thi chính sách mới một cách khách quan, công tâm và đối xử bình đẳng với mọi người nộp thuế.  - HUMAN-TRU1]]</f>
        <v>3</v>
      </c>
      <c r="AN270" t="str">
        <f t="shared" si="121"/>
        <v>Oppose</v>
      </c>
      <c r="AO270" s="32">
        <f t="shared" si="122"/>
        <v>6</v>
      </c>
      <c r="AP270">
        <f>step3_validation[[#This Row],[AI_TRU2]]</f>
        <v>8</v>
      </c>
      <c r="AQ270" t="str">
        <f t="shared" si="123"/>
        <v>Support</v>
      </c>
      <c r="AR270">
        <f>survey_responses[[#This Row],[Tôi thấy mức thuế tôi phải đóng theo phương án mới là công bằng (người thu nhập như tôi đóng mức này là hợp lý). - HUMAN-TRU2]]</f>
        <v>3</v>
      </c>
      <c r="AS270" t="str">
        <f t="shared" si="124"/>
        <v>Oppose</v>
      </c>
      <c r="AT270" s="32">
        <f t="shared" si="125"/>
        <v>5</v>
      </c>
      <c r="AU270">
        <f>step3_validation[[#This Row],[AI_TRU3]]</f>
        <v>7</v>
      </c>
      <c r="AV270" t="str">
        <f t="shared" si="126"/>
        <v>Neutral</v>
      </c>
      <c r="AW270">
        <f>survey_responses[[#This Row],[Tôi tin tưởng số tiền thuế tôi đóng sẽ được Nhà nước sử dụng hiệu quả để cải thiện dịch vụ công (y tế, đường xá...). - HUMAN-TRU3]]</f>
        <v>1</v>
      </c>
      <c r="AX270" t="str">
        <f t="shared" si="127"/>
        <v>Oppose</v>
      </c>
      <c r="AY270" s="32">
        <f t="shared" si="128"/>
        <v>6</v>
      </c>
      <c r="AZ270">
        <f>step3_validation[[#This Row],[AI_TRU4]]</f>
        <v>6</v>
      </c>
      <c r="BA270" t="str">
        <f t="shared" si="129"/>
        <v>Neutral</v>
      </c>
      <c r="BB270">
        <f>survey_responses[[#This Row],[Tôi thấy Nhà nước đã giải thích rõ ràng, minh bạch về lý do và mục tiêu của việc sửa đổi thuế lần này. - HUMAN-TRU4]]</f>
        <v>3</v>
      </c>
      <c r="BC270" t="str">
        <f t="shared" si="130"/>
        <v>Oppose</v>
      </c>
      <c r="BD270" s="32">
        <f t="shared" si="131"/>
        <v>3</v>
      </c>
      <c r="BE270">
        <f>step3_validation[[#This Row],[AI_OUT1]]</f>
        <v>8</v>
      </c>
      <c r="BF270" t="str">
        <f t="shared" si="132"/>
        <v>Support</v>
      </c>
      <c r="BG270">
        <f>survey_responses[[#This Row],[Sau khi xem xét các quyền lợi và nghĩa vụ, bạn có ủng hộ và tuân thủ chính sách mới hiện nay? - HUMAN-OUT1]]</f>
        <v>1</v>
      </c>
      <c r="BH270" t="str">
        <f t="shared" si="133"/>
        <v>Oppose</v>
      </c>
      <c r="BI270" s="32">
        <f t="shared" si="134"/>
        <v>7</v>
      </c>
    </row>
    <row r="271" spans="1:61" x14ac:dyDescent="0.45">
      <c r="A271" s="30">
        <f>step3_validation[[#This Row],[Persona_ID]]</f>
        <v>270</v>
      </c>
      <c r="B271" s="31">
        <f>step3_validation[[#This Row],[Used_Seed]]</f>
        <v>270</v>
      </c>
      <c r="C271" t="str">
        <f>step3_validation[[#This Row],[Gender]]</f>
        <v>Nữ</v>
      </c>
      <c r="D271" t="str">
        <f>survey_responses[[#This Row],[Giới tính của bạn:]]</f>
        <v>Nữ</v>
      </c>
      <c r="E271" t="str">
        <f>step3_validation[[#This Row],[Age_Group]]</f>
        <v>30 - 39</v>
      </c>
      <c r="F271" t="str">
        <f>survey_responses[[#This Row],[Độ tuổi của bạn:]]</f>
        <v>30 - 39</v>
      </c>
      <c r="G271" t="str">
        <f>step3_validation[[#This Row],[Region]]</f>
        <v>Thành thị</v>
      </c>
      <c r="H271" t="str">
        <f>survey_responses[[#This Row],[Khu vực bạn đang sinh sống:]]</f>
        <v>Thành thị</v>
      </c>
      <c r="I271" t="str">
        <f>step3_validation[[#This Row],[Education]]</f>
        <v>Sau Đại học</v>
      </c>
      <c r="J271" t="str">
        <f>survey_responses[[#This Row],[Trình độ học vấn cao nhất:]]</f>
        <v>Sau Đại học</v>
      </c>
      <c r="K271" t="str">
        <f>step3_validation[[#This Row],[Employment]]</f>
        <v>Phi chính thức</v>
      </c>
      <c r="L271" t="str">
        <f>survey_responses[[#This Row],[Tình trạng việc làm chính:]]</f>
        <v>Khu vực phi chính thức (Lao động tự do, không có HĐLĐ)</v>
      </c>
      <c r="M271">
        <f>step3_validation[[#This Row],[Income_Mil]]</f>
        <v>56.160676013012015</v>
      </c>
      <c r="N271" t="str">
        <f>survey_responses[[#This Row],[Thu nhập bình quân tháng theo Hợp đồng lao động của bạn là bao nhiêu? (Vui lòng điền tổng thu nhập trước khi khấu trừ các loại Bảo hiểm (BHXH, BHYT, BHTN) và Thuế TNCN)]]</f>
        <v>Từ 48 - 70 triệu VNĐ</v>
      </c>
      <c r="O271">
        <f>step3_validation[[#This Row],[Dependents]]</f>
        <v>0</v>
      </c>
      <c r="P271" t="str">
        <f>survey_responses[[#This Row],[Số người phụ thuộc (con nhỏ, cha mẹ già...) đủ điều kiện giảm trừ gia cảnh:]]</f>
        <v>0 người</v>
      </c>
      <c r="Q271">
        <f>step3_validation[[#This Row],[AI_ENF1]]</f>
        <v>7</v>
      </c>
      <c r="R271" t="str">
        <f t="shared" si="108"/>
        <v>Neutral</v>
      </c>
      <c r="S271">
        <f>survey_responses[[#This Row],[Tôi tin rằng với các quy định quản lý thuế hiện nay, hành vi gian lận hoặc trốn thuế sẽ dễ dàng bị phát hiện và xử lý nghiêm. - HUMAN-ENF1]]</f>
        <v>8</v>
      </c>
      <c r="T271" t="str">
        <f t="shared" si="109"/>
        <v>Support</v>
      </c>
      <c r="U271" s="32">
        <f t="shared" si="110"/>
        <v>1</v>
      </c>
      <c r="V271">
        <f>step3_validation[[#This Row],[AI_ENF2]]</f>
        <v>8</v>
      </c>
      <c r="W271" t="str">
        <f t="shared" si="111"/>
        <v>Support</v>
      </c>
      <c r="X271">
        <f>survey_responses[[#This Row],[Tôi tin rằng Nhà nước, cơ quan thuế có đủ khả năng và công nghệ để phát hiện, xử lý nghiêm các hành vi trốn thuế. - HUMAN-ENF2]]</f>
        <v>8</v>
      </c>
      <c r="Y271" t="str">
        <f t="shared" si="112"/>
        <v>Support</v>
      </c>
      <c r="Z271" s="32">
        <f t="shared" si="113"/>
        <v>0</v>
      </c>
      <c r="AA271">
        <f>step3_validation[[#This Row],[AI_FAC1]]</f>
        <v>9</v>
      </c>
      <c r="AB271" t="str">
        <f t="shared" si="114"/>
        <v>Support</v>
      </c>
      <c r="AC271">
        <f>survey_responses[[#This Row],[Các thủ tục khai báo thuế VÀ/HOẶC quy trình làm việc với cơ quan thuế đơn giản, tiện lợi, nhanh chóng hơn so với trước đây. - HUMAN-FAC1]]</f>
        <v>3</v>
      </c>
      <c r="AD271" t="str">
        <f t="shared" si="115"/>
        <v>Oppose</v>
      </c>
      <c r="AE271" s="32">
        <f t="shared" si="116"/>
        <v>6</v>
      </c>
      <c r="AF271">
        <f>step3_validation[[#This Row],[AI_FAC2]]</f>
        <v>9</v>
      </c>
      <c r="AG271" t="str">
        <f t="shared" si="117"/>
        <v>Support</v>
      </c>
      <c r="AH271">
        <f>survey_responses[[#This Row],[So với trước đây, tôi thấy cách tính thuế và các bậc thuế trong phương án mới đơn giản, dễ hiểu và dễ thực hiện hơn. - HUMAN-FAC2]]</f>
        <v>8</v>
      </c>
      <c r="AI271" t="str">
        <f t="shared" si="118"/>
        <v>Support</v>
      </c>
      <c r="AJ271" s="32">
        <f t="shared" si="119"/>
        <v>1</v>
      </c>
      <c r="AK271">
        <f>step3_validation[[#This Row],[AI_TRU1]]</f>
        <v>6</v>
      </c>
      <c r="AL271" t="str">
        <f t="shared" si="120"/>
        <v>Neutral</v>
      </c>
      <c r="AM271">
        <f>survey_responses[[#This Row],[Tôi tin rằng Nhà nước, cơ quan thuế sẽ thực thi chính sách mới một cách khách quan, công tâm và đối xử bình đẳng với mọi người nộp thuế.  - HUMAN-TRU1]]</f>
        <v>3</v>
      </c>
      <c r="AN271" t="str">
        <f t="shared" si="121"/>
        <v>Oppose</v>
      </c>
      <c r="AO271" s="32">
        <f t="shared" si="122"/>
        <v>3</v>
      </c>
      <c r="AP271">
        <f>step3_validation[[#This Row],[AI_TRU2]]</f>
        <v>9</v>
      </c>
      <c r="AQ271" t="str">
        <f t="shared" si="123"/>
        <v>Support</v>
      </c>
      <c r="AR271">
        <f>survey_responses[[#This Row],[Tôi thấy mức thuế tôi phải đóng theo phương án mới là công bằng (người thu nhập như tôi đóng mức này là hợp lý). - HUMAN-TRU2]]</f>
        <v>1</v>
      </c>
      <c r="AS271" t="str">
        <f t="shared" si="124"/>
        <v>Oppose</v>
      </c>
      <c r="AT271" s="32">
        <f t="shared" si="125"/>
        <v>8</v>
      </c>
      <c r="AU271">
        <f>step3_validation[[#This Row],[AI_TRU3]]</f>
        <v>7</v>
      </c>
      <c r="AV271" t="str">
        <f t="shared" si="126"/>
        <v>Neutral</v>
      </c>
      <c r="AW271">
        <f>survey_responses[[#This Row],[Tôi tin tưởng số tiền thuế tôi đóng sẽ được Nhà nước sử dụng hiệu quả để cải thiện dịch vụ công (y tế, đường xá...). - HUMAN-TRU3]]</f>
        <v>8</v>
      </c>
      <c r="AX271" t="str">
        <f t="shared" si="127"/>
        <v>Support</v>
      </c>
      <c r="AY271" s="32">
        <f t="shared" si="128"/>
        <v>1</v>
      </c>
      <c r="AZ271">
        <f>step3_validation[[#This Row],[AI_TRU4]]</f>
        <v>6</v>
      </c>
      <c r="BA271" t="str">
        <f t="shared" si="129"/>
        <v>Neutral</v>
      </c>
      <c r="BB271">
        <f>survey_responses[[#This Row],[Tôi thấy Nhà nước đã giải thích rõ ràng, minh bạch về lý do và mục tiêu của việc sửa đổi thuế lần này. - HUMAN-TRU4]]</f>
        <v>6</v>
      </c>
      <c r="BC271" t="str">
        <f t="shared" si="130"/>
        <v>Neutral</v>
      </c>
      <c r="BD271" s="32">
        <f t="shared" si="131"/>
        <v>0</v>
      </c>
      <c r="BE271">
        <f>step3_validation[[#This Row],[AI_OUT1]]</f>
        <v>8</v>
      </c>
      <c r="BF271" t="str">
        <f t="shared" si="132"/>
        <v>Support</v>
      </c>
      <c r="BG271">
        <f>survey_responses[[#This Row],[Sau khi xem xét các quyền lợi và nghĩa vụ, bạn có ủng hộ và tuân thủ chính sách mới hiện nay? - HUMAN-OUT1]]</f>
        <v>7</v>
      </c>
      <c r="BH271" t="str">
        <f t="shared" si="133"/>
        <v>Neutral</v>
      </c>
      <c r="BI271" s="32">
        <f t="shared" si="134"/>
        <v>1</v>
      </c>
    </row>
    <row r="272" spans="1:61" x14ac:dyDescent="0.45">
      <c r="A272" s="30">
        <f>step3_validation[[#This Row],[Persona_ID]]</f>
        <v>271</v>
      </c>
      <c r="B272" s="31">
        <f>step3_validation[[#This Row],[Used_Seed]]</f>
        <v>271</v>
      </c>
      <c r="C272" t="str">
        <f>step3_validation[[#This Row],[Gender]]</f>
        <v>Nữ</v>
      </c>
      <c r="D272" t="str">
        <f>survey_responses[[#This Row],[Giới tính của bạn:]]</f>
        <v>Nữ</v>
      </c>
      <c r="E272" t="str">
        <f>step3_validation[[#This Row],[Age_Group]]</f>
        <v>30 - 39</v>
      </c>
      <c r="F272" t="str">
        <f>survey_responses[[#This Row],[Độ tuổi của bạn:]]</f>
        <v>30 - 39</v>
      </c>
      <c r="G272" t="str">
        <f>step3_validation[[#This Row],[Region]]</f>
        <v>Thành thị</v>
      </c>
      <c r="H272" t="str">
        <f>survey_responses[[#This Row],[Khu vực bạn đang sinh sống:]]</f>
        <v>Thành thị</v>
      </c>
      <c r="I272" t="str">
        <f>step3_validation[[#This Row],[Education]]</f>
        <v>Sau Đại học</v>
      </c>
      <c r="J272" t="str">
        <f>survey_responses[[#This Row],[Trình độ học vấn cao nhất:]]</f>
        <v>Sau Đại học</v>
      </c>
      <c r="K272" t="str">
        <f>step3_validation[[#This Row],[Employment]]</f>
        <v>Chính thức</v>
      </c>
      <c r="L272" t="str">
        <f>survey_responses[[#This Row],[Tình trạng việc làm chính:]]</f>
        <v>Khu vực chính thức (Có Hợp đồng lao động, đóng BHXH)</v>
      </c>
      <c r="M272">
        <f>step3_validation[[#This Row],[Income_Mil]]</f>
        <v>64.42156962880361</v>
      </c>
      <c r="N272" t="str">
        <f>survey_responses[[#This Row],[Thu nhập bình quân tháng theo Hợp đồng lao động của bạn là bao nhiêu? (Vui lòng điền tổng thu nhập trước khi khấu trừ các loại Bảo hiểm (BHXH, BHYT, BHTN) và Thuế TNCN)]]</f>
        <v>Từ 48 - 70 triệu VNĐ</v>
      </c>
      <c r="O272">
        <f>step3_validation[[#This Row],[Dependents]]</f>
        <v>2</v>
      </c>
      <c r="P272" t="str">
        <f>survey_responses[[#This Row],[Số người phụ thuộc (con nhỏ, cha mẹ già...) đủ điều kiện giảm trừ gia cảnh:]]</f>
        <v>2 người</v>
      </c>
      <c r="Q272">
        <f>step3_validation[[#This Row],[AI_ENF1]]</f>
        <v>8</v>
      </c>
      <c r="R272" t="str">
        <f t="shared" si="108"/>
        <v>Support</v>
      </c>
      <c r="S272">
        <f>survey_responses[[#This Row],[Tôi tin rằng với các quy định quản lý thuế hiện nay, hành vi gian lận hoặc trốn thuế sẽ dễ dàng bị phát hiện và xử lý nghiêm. - HUMAN-ENF1]]</f>
        <v>7</v>
      </c>
      <c r="T272" t="str">
        <f t="shared" si="109"/>
        <v>Neutral</v>
      </c>
      <c r="U272" s="32">
        <f t="shared" si="110"/>
        <v>1</v>
      </c>
      <c r="V272">
        <f>step3_validation[[#This Row],[AI_ENF2]]</f>
        <v>8</v>
      </c>
      <c r="W272" t="str">
        <f t="shared" si="111"/>
        <v>Support</v>
      </c>
      <c r="X272">
        <f>survey_responses[[#This Row],[Tôi tin rằng Nhà nước, cơ quan thuế có đủ khả năng và công nghệ để phát hiện, xử lý nghiêm các hành vi trốn thuế. - HUMAN-ENF2]]</f>
        <v>7</v>
      </c>
      <c r="Y272" t="str">
        <f t="shared" si="112"/>
        <v>Neutral</v>
      </c>
      <c r="Z272" s="32">
        <f t="shared" si="113"/>
        <v>1</v>
      </c>
      <c r="AA272">
        <f>step3_validation[[#This Row],[AI_FAC1]]</f>
        <v>9</v>
      </c>
      <c r="AB272" t="str">
        <f t="shared" si="114"/>
        <v>Support</v>
      </c>
      <c r="AC272">
        <f>survey_responses[[#This Row],[Các thủ tục khai báo thuế VÀ/HOẶC quy trình làm việc với cơ quan thuế đơn giản, tiện lợi, nhanh chóng hơn so với trước đây. - HUMAN-FAC1]]</f>
        <v>4</v>
      </c>
      <c r="AD272" t="str">
        <f t="shared" si="115"/>
        <v>Oppose</v>
      </c>
      <c r="AE272" s="32">
        <f t="shared" si="116"/>
        <v>5</v>
      </c>
      <c r="AF272">
        <f>step3_validation[[#This Row],[AI_FAC2]]</f>
        <v>10</v>
      </c>
      <c r="AG272" t="str">
        <f t="shared" si="117"/>
        <v>Support</v>
      </c>
      <c r="AH272">
        <f>survey_responses[[#This Row],[So với trước đây, tôi thấy cách tính thuế và các bậc thuế trong phương án mới đơn giản, dễ hiểu và dễ thực hiện hơn. - HUMAN-FAC2]]</f>
        <v>7</v>
      </c>
      <c r="AI272" t="str">
        <f t="shared" si="118"/>
        <v>Neutral</v>
      </c>
      <c r="AJ272" s="32">
        <f t="shared" si="119"/>
        <v>3</v>
      </c>
      <c r="AK272">
        <f>step3_validation[[#This Row],[AI_TRU1]]</f>
        <v>9</v>
      </c>
      <c r="AL272" t="str">
        <f t="shared" si="120"/>
        <v>Support</v>
      </c>
      <c r="AM272">
        <f>survey_responses[[#This Row],[Tôi tin rằng Nhà nước, cơ quan thuế sẽ thực thi chính sách mới một cách khách quan, công tâm và đối xử bình đẳng với mọi người nộp thuế.  - HUMAN-TRU1]]</f>
        <v>7</v>
      </c>
      <c r="AN272" t="str">
        <f t="shared" si="121"/>
        <v>Neutral</v>
      </c>
      <c r="AO272" s="32">
        <f t="shared" si="122"/>
        <v>2</v>
      </c>
      <c r="AP272">
        <f>step3_validation[[#This Row],[AI_TRU2]]</f>
        <v>10</v>
      </c>
      <c r="AQ272" t="str">
        <f t="shared" si="123"/>
        <v>Support</v>
      </c>
      <c r="AR272">
        <f>survey_responses[[#This Row],[Tôi thấy mức thuế tôi phải đóng theo phương án mới là công bằng (người thu nhập như tôi đóng mức này là hợp lý). - HUMAN-TRU2]]</f>
        <v>6</v>
      </c>
      <c r="AS272" t="str">
        <f t="shared" si="124"/>
        <v>Neutral</v>
      </c>
      <c r="AT272" s="32">
        <f t="shared" si="125"/>
        <v>4</v>
      </c>
      <c r="AU272">
        <f>step3_validation[[#This Row],[AI_TRU3]]</f>
        <v>9</v>
      </c>
      <c r="AV272" t="str">
        <f t="shared" si="126"/>
        <v>Support</v>
      </c>
      <c r="AW272">
        <f>survey_responses[[#This Row],[Tôi tin tưởng số tiền thuế tôi đóng sẽ được Nhà nước sử dụng hiệu quả để cải thiện dịch vụ công (y tế, đường xá...). - HUMAN-TRU3]]</f>
        <v>5</v>
      </c>
      <c r="AX272" t="str">
        <f t="shared" si="127"/>
        <v>Neutral</v>
      </c>
      <c r="AY272" s="32">
        <f t="shared" si="128"/>
        <v>4</v>
      </c>
      <c r="AZ272">
        <f>step3_validation[[#This Row],[AI_TRU4]]</f>
        <v>8</v>
      </c>
      <c r="BA272" t="str">
        <f t="shared" si="129"/>
        <v>Support</v>
      </c>
      <c r="BB272">
        <f>survey_responses[[#This Row],[Tôi thấy Nhà nước đã giải thích rõ ràng, minh bạch về lý do và mục tiêu của việc sửa đổi thuế lần này. - HUMAN-TRU4]]</f>
        <v>7</v>
      </c>
      <c r="BC272" t="str">
        <f t="shared" si="130"/>
        <v>Neutral</v>
      </c>
      <c r="BD272" s="32">
        <f t="shared" si="131"/>
        <v>1</v>
      </c>
      <c r="BE272">
        <f>step3_validation[[#This Row],[AI_OUT1]]</f>
        <v>9</v>
      </c>
      <c r="BF272" t="str">
        <f t="shared" si="132"/>
        <v>Support</v>
      </c>
      <c r="BG272">
        <f>survey_responses[[#This Row],[Sau khi xem xét các quyền lợi và nghĩa vụ, bạn có ủng hộ và tuân thủ chính sách mới hiện nay? - HUMAN-OUT1]]</f>
        <v>6</v>
      </c>
      <c r="BH272" t="str">
        <f t="shared" si="133"/>
        <v>Neutral</v>
      </c>
      <c r="BI272" s="32">
        <f t="shared" si="134"/>
        <v>3</v>
      </c>
    </row>
    <row r="273" spans="1:61" x14ac:dyDescent="0.45">
      <c r="A273" s="30">
        <f>step3_validation[[#This Row],[Persona_ID]]</f>
        <v>272</v>
      </c>
      <c r="B273" s="31">
        <f>step3_validation[[#This Row],[Used_Seed]]</f>
        <v>272</v>
      </c>
      <c r="C273" t="str">
        <f>step3_validation[[#This Row],[Gender]]</f>
        <v>Nam</v>
      </c>
      <c r="D273" t="str">
        <f>survey_responses[[#This Row],[Giới tính của bạn:]]</f>
        <v>Nam</v>
      </c>
      <c r="E273" t="str">
        <f>step3_validation[[#This Row],[Age_Group]]</f>
        <v>30 - 39</v>
      </c>
      <c r="F273" t="str">
        <f>survey_responses[[#This Row],[Độ tuổi của bạn:]]</f>
        <v>30 - 39</v>
      </c>
      <c r="G273" t="str">
        <f>step3_validation[[#This Row],[Region]]</f>
        <v>Thành thị</v>
      </c>
      <c r="H273" t="str">
        <f>survey_responses[[#This Row],[Khu vực bạn đang sinh sống:]]</f>
        <v>Thành thị</v>
      </c>
      <c r="I273" t="str">
        <f>step3_validation[[#This Row],[Education]]</f>
        <v>Đại học</v>
      </c>
      <c r="J273" t="str">
        <f>survey_responses[[#This Row],[Trình độ học vấn cao nhất:]]</f>
        <v>Đại học</v>
      </c>
      <c r="K273" t="str">
        <f>step3_validation[[#This Row],[Employment]]</f>
        <v>Chính thức</v>
      </c>
      <c r="L273" t="str">
        <f>survey_responses[[#This Row],[Tình trạng việc làm chính:]]</f>
        <v>Khu vực chính thức (Có Hợp đồng lao động, đóng BHXH)</v>
      </c>
      <c r="M273">
        <f>step3_validation[[#This Row],[Income_Mil]]</f>
        <v>38.512080893520256</v>
      </c>
      <c r="N273" t="str">
        <f>survey_responses[[#This Row],[Thu nhập bình quân tháng theo Hợp đồng lao động của bạn là bao nhiêu? (Vui lòng điền tổng thu nhập trước khi khấu trừ các loại Bảo hiểm (BHXH, BHYT, BHTN) và Thuế TNCN)]]</f>
        <v>Từ 32 - 48 triệu VNĐ</v>
      </c>
      <c r="O273">
        <f>step3_validation[[#This Row],[Dependents]]</f>
        <v>1</v>
      </c>
      <c r="P273" t="str">
        <f>survey_responses[[#This Row],[Số người phụ thuộc (con nhỏ, cha mẹ già...) đủ điều kiện giảm trừ gia cảnh:]]</f>
        <v>1 người</v>
      </c>
      <c r="Q273">
        <f>step3_validation[[#This Row],[AI_ENF1]]</f>
        <v>9</v>
      </c>
      <c r="R273" t="str">
        <f t="shared" si="108"/>
        <v>Support</v>
      </c>
      <c r="S273">
        <f>survey_responses[[#This Row],[Tôi tin rằng với các quy định quản lý thuế hiện nay, hành vi gian lận hoặc trốn thuế sẽ dễ dàng bị phát hiện và xử lý nghiêm. - HUMAN-ENF1]]</f>
        <v>7</v>
      </c>
      <c r="T273" t="str">
        <f t="shared" si="109"/>
        <v>Neutral</v>
      </c>
      <c r="U273" s="32">
        <f t="shared" si="110"/>
        <v>2</v>
      </c>
      <c r="V273">
        <f>step3_validation[[#This Row],[AI_ENF2]]</f>
        <v>8</v>
      </c>
      <c r="W273" t="str">
        <f t="shared" si="111"/>
        <v>Support</v>
      </c>
      <c r="X273">
        <f>survey_responses[[#This Row],[Tôi tin rằng Nhà nước, cơ quan thuế có đủ khả năng và công nghệ để phát hiện, xử lý nghiêm các hành vi trốn thuế. - HUMAN-ENF2]]</f>
        <v>8</v>
      </c>
      <c r="Y273" t="str">
        <f t="shared" si="112"/>
        <v>Support</v>
      </c>
      <c r="Z273" s="32">
        <f t="shared" si="113"/>
        <v>0</v>
      </c>
      <c r="AA273">
        <f>step3_validation[[#This Row],[AI_FAC1]]</f>
        <v>9</v>
      </c>
      <c r="AB273" t="str">
        <f t="shared" si="114"/>
        <v>Support</v>
      </c>
      <c r="AC273">
        <f>survey_responses[[#This Row],[Các thủ tục khai báo thuế VÀ/HOẶC quy trình làm việc với cơ quan thuế đơn giản, tiện lợi, nhanh chóng hơn so với trước đây. - HUMAN-FAC1]]</f>
        <v>2</v>
      </c>
      <c r="AD273" t="str">
        <f t="shared" si="115"/>
        <v>Oppose</v>
      </c>
      <c r="AE273" s="32">
        <f t="shared" si="116"/>
        <v>7</v>
      </c>
      <c r="AF273">
        <f>step3_validation[[#This Row],[AI_FAC2]]</f>
        <v>8</v>
      </c>
      <c r="AG273" t="str">
        <f t="shared" si="117"/>
        <v>Support</v>
      </c>
      <c r="AH273">
        <f>survey_responses[[#This Row],[So với trước đây, tôi thấy cách tính thuế và các bậc thuế trong phương án mới đơn giản, dễ hiểu và dễ thực hiện hơn. - HUMAN-FAC2]]</f>
        <v>6</v>
      </c>
      <c r="AI273" t="str">
        <f t="shared" si="118"/>
        <v>Neutral</v>
      </c>
      <c r="AJ273" s="32">
        <f t="shared" si="119"/>
        <v>2</v>
      </c>
      <c r="AK273">
        <f>step3_validation[[#This Row],[AI_TRU1]]</f>
        <v>9</v>
      </c>
      <c r="AL273" t="str">
        <f t="shared" si="120"/>
        <v>Support</v>
      </c>
      <c r="AM273">
        <f>survey_responses[[#This Row],[Tôi tin rằng Nhà nước, cơ quan thuế sẽ thực thi chính sách mới một cách khách quan, công tâm và đối xử bình đẳng với mọi người nộp thuế.  - HUMAN-TRU1]]</f>
        <v>6</v>
      </c>
      <c r="AN273" t="str">
        <f t="shared" si="121"/>
        <v>Neutral</v>
      </c>
      <c r="AO273" s="32">
        <f t="shared" si="122"/>
        <v>3</v>
      </c>
      <c r="AP273">
        <f>step3_validation[[#This Row],[AI_TRU2]]</f>
        <v>8</v>
      </c>
      <c r="AQ273" t="str">
        <f t="shared" si="123"/>
        <v>Support</v>
      </c>
      <c r="AR273">
        <f>survey_responses[[#This Row],[Tôi thấy mức thuế tôi phải đóng theo phương án mới là công bằng (người thu nhập như tôi đóng mức này là hợp lý). - HUMAN-TRU2]]</f>
        <v>6</v>
      </c>
      <c r="AS273" t="str">
        <f t="shared" si="124"/>
        <v>Neutral</v>
      </c>
      <c r="AT273" s="32">
        <f t="shared" si="125"/>
        <v>2</v>
      </c>
      <c r="AU273">
        <f>step3_validation[[#This Row],[AI_TRU3]]</f>
        <v>9</v>
      </c>
      <c r="AV273" t="str">
        <f t="shared" si="126"/>
        <v>Support</v>
      </c>
      <c r="AW273">
        <f>survey_responses[[#This Row],[Tôi tin tưởng số tiền thuế tôi đóng sẽ được Nhà nước sử dụng hiệu quả để cải thiện dịch vụ công (y tế, đường xá...). - HUMAN-TRU3]]</f>
        <v>5</v>
      </c>
      <c r="AX273" t="str">
        <f t="shared" si="127"/>
        <v>Neutral</v>
      </c>
      <c r="AY273" s="32">
        <f t="shared" si="128"/>
        <v>4</v>
      </c>
      <c r="AZ273">
        <f>step3_validation[[#This Row],[AI_TRU4]]</f>
        <v>8</v>
      </c>
      <c r="BA273" t="str">
        <f t="shared" si="129"/>
        <v>Support</v>
      </c>
      <c r="BB273">
        <f>survey_responses[[#This Row],[Tôi thấy Nhà nước đã giải thích rõ ràng, minh bạch về lý do và mục tiêu của việc sửa đổi thuế lần này. - HUMAN-TRU4]]</f>
        <v>5</v>
      </c>
      <c r="BC273" t="str">
        <f t="shared" si="130"/>
        <v>Neutral</v>
      </c>
      <c r="BD273" s="32">
        <f t="shared" si="131"/>
        <v>3</v>
      </c>
      <c r="BE273">
        <f>step3_validation[[#This Row],[AI_OUT1]]</f>
        <v>9</v>
      </c>
      <c r="BF273" t="str">
        <f t="shared" si="132"/>
        <v>Support</v>
      </c>
      <c r="BG273">
        <f>survey_responses[[#This Row],[Sau khi xem xét các quyền lợi và nghĩa vụ, bạn có ủng hộ và tuân thủ chính sách mới hiện nay? - HUMAN-OUT1]]</f>
        <v>6</v>
      </c>
      <c r="BH273" t="str">
        <f t="shared" si="133"/>
        <v>Neutral</v>
      </c>
      <c r="BI273" s="32">
        <f t="shared" si="134"/>
        <v>3</v>
      </c>
    </row>
    <row r="274" spans="1:61" x14ac:dyDescent="0.45">
      <c r="A274" s="30">
        <f>step3_validation[[#This Row],[Persona_ID]]</f>
        <v>273</v>
      </c>
      <c r="B274" s="31">
        <f>step3_validation[[#This Row],[Used_Seed]]</f>
        <v>273</v>
      </c>
      <c r="C274" t="str">
        <f>step3_validation[[#This Row],[Gender]]</f>
        <v>Nữ</v>
      </c>
      <c r="D274" t="str">
        <f>survey_responses[[#This Row],[Giới tính của bạn:]]</f>
        <v>Nữ</v>
      </c>
      <c r="E274" t="str">
        <f>step3_validation[[#This Row],[Age_Group]]</f>
        <v>50 - 54</v>
      </c>
      <c r="F274" t="str">
        <f>survey_responses[[#This Row],[Độ tuổi của bạn:]]</f>
        <v>50 - 54</v>
      </c>
      <c r="G274" t="str">
        <f>step3_validation[[#This Row],[Region]]</f>
        <v>Thành thị</v>
      </c>
      <c r="H274" t="str">
        <f>survey_responses[[#This Row],[Khu vực bạn đang sinh sống:]]</f>
        <v>Thành thị</v>
      </c>
      <c r="I274" t="str">
        <f>step3_validation[[#This Row],[Education]]</f>
        <v>Sau Đại học</v>
      </c>
      <c r="J274" t="str">
        <f>survey_responses[[#This Row],[Trình độ học vấn cao nhất:]]</f>
        <v>Sau Đại học</v>
      </c>
      <c r="K274" t="str">
        <f>step3_validation[[#This Row],[Employment]]</f>
        <v>Chính thức</v>
      </c>
      <c r="L274" t="str">
        <f>survey_responses[[#This Row],[Tình trạng việc làm chính:]]</f>
        <v>Khu vực chính thức (Có Hợp đồng lao động, đóng BHXH)</v>
      </c>
      <c r="M274">
        <f>step3_validation[[#This Row],[Income_Mil]]</f>
        <v>75.957681973763229</v>
      </c>
      <c r="N274" t="str">
        <f>survey_responses[[#This Row],[Thu nhập bình quân tháng theo Hợp đồng lao động của bạn là bao nhiêu? (Vui lòng điền tổng thu nhập trước khi khấu trừ các loại Bảo hiểm (BHXH, BHYT, BHTN) và Thuế TNCN)]]</f>
        <v>Từ 70 - 102 triệu VNĐ</v>
      </c>
      <c r="O274">
        <f>step3_validation[[#This Row],[Dependents]]</f>
        <v>4</v>
      </c>
      <c r="P274" t="str">
        <f>survey_responses[[#This Row],[Số người phụ thuộc (con nhỏ, cha mẹ già...) đủ điều kiện giảm trừ gia cảnh:]]</f>
        <v>4 người trở lên</v>
      </c>
      <c r="Q274">
        <f>step3_validation[[#This Row],[AI_ENF1]]</f>
        <v>7</v>
      </c>
      <c r="R274" t="str">
        <f t="shared" si="108"/>
        <v>Neutral</v>
      </c>
      <c r="S274">
        <f>survey_responses[[#This Row],[Tôi tin rằng với các quy định quản lý thuế hiện nay, hành vi gian lận hoặc trốn thuế sẽ dễ dàng bị phát hiện và xử lý nghiêm. - HUMAN-ENF1]]</f>
        <v>3</v>
      </c>
      <c r="T274" t="str">
        <f t="shared" si="109"/>
        <v>Oppose</v>
      </c>
      <c r="U274" s="32">
        <f t="shared" si="110"/>
        <v>4</v>
      </c>
      <c r="V274">
        <f>step3_validation[[#This Row],[AI_ENF2]]</f>
        <v>6</v>
      </c>
      <c r="W274" t="str">
        <f t="shared" si="111"/>
        <v>Neutral</v>
      </c>
      <c r="X274">
        <f>survey_responses[[#This Row],[Tôi tin rằng Nhà nước, cơ quan thuế có đủ khả năng và công nghệ để phát hiện, xử lý nghiêm các hành vi trốn thuế. - HUMAN-ENF2]]</f>
        <v>3</v>
      </c>
      <c r="Y274" t="str">
        <f t="shared" si="112"/>
        <v>Oppose</v>
      </c>
      <c r="Z274" s="32">
        <f t="shared" si="113"/>
        <v>3</v>
      </c>
      <c r="AA274">
        <f>step3_validation[[#This Row],[AI_FAC1]]</f>
        <v>8</v>
      </c>
      <c r="AB274" t="str">
        <f t="shared" si="114"/>
        <v>Support</v>
      </c>
      <c r="AC274">
        <f>survey_responses[[#This Row],[Các thủ tục khai báo thuế VÀ/HOẶC quy trình làm việc với cơ quan thuế đơn giản, tiện lợi, nhanh chóng hơn so với trước đây. - HUMAN-FAC1]]</f>
        <v>1</v>
      </c>
      <c r="AD274" t="str">
        <f t="shared" si="115"/>
        <v>Oppose</v>
      </c>
      <c r="AE274" s="32">
        <f t="shared" si="116"/>
        <v>7</v>
      </c>
      <c r="AF274">
        <f>step3_validation[[#This Row],[AI_FAC2]]</f>
        <v>9</v>
      </c>
      <c r="AG274" t="str">
        <f t="shared" si="117"/>
        <v>Support</v>
      </c>
      <c r="AH274">
        <f>survey_responses[[#This Row],[So với trước đây, tôi thấy cách tính thuế và các bậc thuế trong phương án mới đơn giản, dễ hiểu và dễ thực hiện hơn. - HUMAN-FAC2]]</f>
        <v>6</v>
      </c>
      <c r="AI274" t="str">
        <f t="shared" si="118"/>
        <v>Neutral</v>
      </c>
      <c r="AJ274" s="32">
        <f t="shared" si="119"/>
        <v>3</v>
      </c>
      <c r="AK274">
        <f>step3_validation[[#This Row],[AI_TRU1]]</f>
        <v>7</v>
      </c>
      <c r="AL274" t="str">
        <f t="shared" si="120"/>
        <v>Neutral</v>
      </c>
      <c r="AM274">
        <f>survey_responses[[#This Row],[Tôi tin rằng Nhà nước, cơ quan thuế sẽ thực thi chính sách mới một cách khách quan, công tâm và đối xử bình đẳng với mọi người nộp thuế.  - HUMAN-TRU1]]</f>
        <v>1</v>
      </c>
      <c r="AN274" t="str">
        <f t="shared" si="121"/>
        <v>Oppose</v>
      </c>
      <c r="AO274" s="32">
        <f t="shared" si="122"/>
        <v>6</v>
      </c>
      <c r="AP274">
        <f>step3_validation[[#This Row],[AI_TRU2]]</f>
        <v>8</v>
      </c>
      <c r="AQ274" t="str">
        <f t="shared" si="123"/>
        <v>Support</v>
      </c>
      <c r="AR274">
        <f>survey_responses[[#This Row],[Tôi thấy mức thuế tôi phải đóng theo phương án mới là công bằng (người thu nhập như tôi đóng mức này là hợp lý). - HUMAN-TRU2]]</f>
        <v>1</v>
      </c>
      <c r="AS274" t="str">
        <f t="shared" si="124"/>
        <v>Oppose</v>
      </c>
      <c r="AT274" s="32">
        <f t="shared" si="125"/>
        <v>7</v>
      </c>
      <c r="AU274">
        <f>step3_validation[[#This Row],[AI_TRU3]]</f>
        <v>6</v>
      </c>
      <c r="AV274" t="str">
        <f t="shared" si="126"/>
        <v>Neutral</v>
      </c>
      <c r="AW274">
        <f>survey_responses[[#This Row],[Tôi tin tưởng số tiền thuế tôi đóng sẽ được Nhà nước sử dụng hiệu quả để cải thiện dịch vụ công (y tế, đường xá...). - HUMAN-TRU3]]</f>
        <v>1</v>
      </c>
      <c r="AX274" t="str">
        <f t="shared" si="127"/>
        <v>Oppose</v>
      </c>
      <c r="AY274" s="32">
        <f t="shared" si="128"/>
        <v>5</v>
      </c>
      <c r="AZ274">
        <f>step3_validation[[#This Row],[AI_TRU4]]</f>
        <v>5</v>
      </c>
      <c r="BA274" t="str">
        <f t="shared" si="129"/>
        <v>Neutral</v>
      </c>
      <c r="BB274">
        <f>survey_responses[[#This Row],[Tôi thấy Nhà nước đã giải thích rõ ràng, minh bạch về lý do và mục tiêu của việc sửa đổi thuế lần này. - HUMAN-TRU4]]</f>
        <v>1</v>
      </c>
      <c r="BC274" t="str">
        <f t="shared" si="130"/>
        <v>Oppose</v>
      </c>
      <c r="BD274" s="32">
        <f t="shared" si="131"/>
        <v>4</v>
      </c>
      <c r="BE274">
        <f>step3_validation[[#This Row],[AI_OUT1]]</f>
        <v>7</v>
      </c>
      <c r="BF274" t="str">
        <f t="shared" si="132"/>
        <v>Neutral</v>
      </c>
      <c r="BG274">
        <f>survey_responses[[#This Row],[Sau khi xem xét các quyền lợi và nghĩa vụ, bạn có ủng hộ và tuân thủ chính sách mới hiện nay? - HUMAN-OUT1]]</f>
        <v>1</v>
      </c>
      <c r="BH274" t="str">
        <f t="shared" si="133"/>
        <v>Oppose</v>
      </c>
      <c r="BI274" s="32">
        <f t="shared" si="134"/>
        <v>6</v>
      </c>
    </row>
    <row r="275" spans="1:61" x14ac:dyDescent="0.45">
      <c r="A275" s="30">
        <f>step3_validation[[#This Row],[Persona_ID]]</f>
        <v>274</v>
      </c>
      <c r="B275" s="31">
        <f>step3_validation[[#This Row],[Used_Seed]]</f>
        <v>274</v>
      </c>
      <c r="C275" t="str">
        <f>step3_validation[[#This Row],[Gender]]</f>
        <v>Nữ</v>
      </c>
      <c r="D275" t="str">
        <f>survey_responses[[#This Row],[Giới tính của bạn:]]</f>
        <v>Nữ</v>
      </c>
      <c r="E275" t="str">
        <f>step3_validation[[#This Row],[Age_Group]]</f>
        <v>30 - 39</v>
      </c>
      <c r="F275" t="str">
        <f>survey_responses[[#This Row],[Độ tuổi của bạn:]]</f>
        <v>30 - 39</v>
      </c>
      <c r="G275" t="str">
        <f>step3_validation[[#This Row],[Region]]</f>
        <v>Thành thị</v>
      </c>
      <c r="H275" t="str">
        <f>survey_responses[[#This Row],[Khu vực bạn đang sinh sống:]]</f>
        <v>Thành thị</v>
      </c>
      <c r="I275" t="str">
        <f>step3_validation[[#This Row],[Education]]</f>
        <v>Đại học</v>
      </c>
      <c r="J275" t="str">
        <f>survey_responses[[#This Row],[Trình độ học vấn cao nhất:]]</f>
        <v>Đại học</v>
      </c>
      <c r="K275" t="str">
        <f>step3_validation[[#This Row],[Employment]]</f>
        <v>Chính thức</v>
      </c>
      <c r="L275" t="str">
        <f>survey_responses[[#This Row],[Tình trạng việc làm chính:]]</f>
        <v>Khu vực chính thức (Có Hợp đồng lao động, đóng BHXH)</v>
      </c>
      <c r="M275">
        <f>step3_validation[[#This Row],[Income_Mil]]</f>
        <v>68.498095344756464</v>
      </c>
      <c r="N275" t="str">
        <f>survey_responses[[#This Row],[Thu nhập bình quân tháng theo Hợp đồng lao động của bạn là bao nhiêu? (Vui lòng điền tổng thu nhập trước khi khấu trừ các loại Bảo hiểm (BHXH, BHYT, BHTN) và Thuế TNCN)]]</f>
        <v>Từ 48 - 70 triệu VNĐ</v>
      </c>
      <c r="O275">
        <f>step3_validation[[#This Row],[Dependents]]</f>
        <v>2</v>
      </c>
      <c r="P275" t="str">
        <f>survey_responses[[#This Row],[Số người phụ thuộc (con nhỏ, cha mẹ già...) đủ điều kiện giảm trừ gia cảnh:]]</f>
        <v>2 người</v>
      </c>
      <c r="Q275">
        <f>step3_validation[[#This Row],[AI_ENF1]]</f>
        <v>5</v>
      </c>
      <c r="R275" t="str">
        <f t="shared" si="108"/>
        <v>Neutral</v>
      </c>
      <c r="S275">
        <f>survey_responses[[#This Row],[Tôi tin rằng với các quy định quản lý thuế hiện nay, hành vi gian lận hoặc trốn thuế sẽ dễ dàng bị phát hiện và xử lý nghiêm. - HUMAN-ENF1]]</f>
        <v>6</v>
      </c>
      <c r="T275" t="str">
        <f t="shared" si="109"/>
        <v>Neutral</v>
      </c>
      <c r="U275" s="32">
        <f t="shared" si="110"/>
        <v>1</v>
      </c>
      <c r="V275">
        <f>step3_validation[[#This Row],[AI_ENF2]]</f>
        <v>6</v>
      </c>
      <c r="W275" t="str">
        <f t="shared" si="111"/>
        <v>Neutral</v>
      </c>
      <c r="X275">
        <f>survey_responses[[#This Row],[Tôi tin rằng Nhà nước, cơ quan thuế có đủ khả năng và công nghệ để phát hiện, xử lý nghiêm các hành vi trốn thuế. - HUMAN-ENF2]]</f>
        <v>6</v>
      </c>
      <c r="Y275" t="str">
        <f t="shared" si="112"/>
        <v>Neutral</v>
      </c>
      <c r="Z275" s="32">
        <f t="shared" si="113"/>
        <v>0</v>
      </c>
      <c r="AA275">
        <f>step3_validation[[#This Row],[AI_FAC1]]</f>
        <v>8</v>
      </c>
      <c r="AB275" t="str">
        <f t="shared" si="114"/>
        <v>Support</v>
      </c>
      <c r="AC275">
        <f>survey_responses[[#This Row],[Các thủ tục khai báo thuế VÀ/HOẶC quy trình làm việc với cơ quan thuế đơn giản, tiện lợi, nhanh chóng hơn so với trước đây. - HUMAN-FAC1]]</f>
        <v>5</v>
      </c>
      <c r="AD275" t="str">
        <f t="shared" si="115"/>
        <v>Neutral</v>
      </c>
      <c r="AE275" s="32">
        <f t="shared" si="116"/>
        <v>3</v>
      </c>
      <c r="AF275">
        <f>step3_validation[[#This Row],[AI_FAC2]]</f>
        <v>9</v>
      </c>
      <c r="AG275" t="str">
        <f t="shared" si="117"/>
        <v>Support</v>
      </c>
      <c r="AH275">
        <f>survey_responses[[#This Row],[So với trước đây, tôi thấy cách tính thuế và các bậc thuế trong phương án mới đơn giản, dễ hiểu và dễ thực hiện hơn. - HUMAN-FAC2]]</f>
        <v>6</v>
      </c>
      <c r="AI275" t="str">
        <f t="shared" si="118"/>
        <v>Neutral</v>
      </c>
      <c r="AJ275" s="32">
        <f t="shared" si="119"/>
        <v>3</v>
      </c>
      <c r="AK275">
        <f>step3_validation[[#This Row],[AI_TRU1]]</f>
        <v>7</v>
      </c>
      <c r="AL275" t="str">
        <f t="shared" si="120"/>
        <v>Neutral</v>
      </c>
      <c r="AM275">
        <f>survey_responses[[#This Row],[Tôi tin rằng Nhà nước, cơ quan thuế sẽ thực thi chính sách mới một cách khách quan, công tâm và đối xử bình đẳng với mọi người nộp thuế.  - HUMAN-TRU1]]</f>
        <v>6</v>
      </c>
      <c r="AN275" t="str">
        <f t="shared" si="121"/>
        <v>Neutral</v>
      </c>
      <c r="AO275" s="32">
        <f t="shared" si="122"/>
        <v>1</v>
      </c>
      <c r="AP275">
        <f>step3_validation[[#This Row],[AI_TRU2]]</f>
        <v>9</v>
      </c>
      <c r="AQ275" t="str">
        <f t="shared" si="123"/>
        <v>Support</v>
      </c>
      <c r="AR275">
        <f>survey_responses[[#This Row],[Tôi thấy mức thuế tôi phải đóng theo phương án mới là công bằng (người thu nhập như tôi đóng mức này là hợp lý). - HUMAN-TRU2]]</f>
        <v>6</v>
      </c>
      <c r="AS275" t="str">
        <f t="shared" si="124"/>
        <v>Neutral</v>
      </c>
      <c r="AT275" s="32">
        <f t="shared" si="125"/>
        <v>3</v>
      </c>
      <c r="AU275">
        <f>step3_validation[[#This Row],[AI_TRU3]]</f>
        <v>7</v>
      </c>
      <c r="AV275" t="str">
        <f t="shared" si="126"/>
        <v>Neutral</v>
      </c>
      <c r="AW275">
        <f>survey_responses[[#This Row],[Tôi tin tưởng số tiền thuế tôi đóng sẽ được Nhà nước sử dụng hiệu quả để cải thiện dịch vụ công (y tế, đường xá...). - HUMAN-TRU3]]</f>
        <v>6</v>
      </c>
      <c r="AX275" t="str">
        <f t="shared" si="127"/>
        <v>Neutral</v>
      </c>
      <c r="AY275" s="32">
        <f t="shared" si="128"/>
        <v>1</v>
      </c>
      <c r="AZ275">
        <f>step3_validation[[#This Row],[AI_TRU4]]</f>
        <v>8</v>
      </c>
      <c r="BA275" t="str">
        <f t="shared" si="129"/>
        <v>Support</v>
      </c>
      <c r="BB275">
        <f>survey_responses[[#This Row],[Tôi thấy Nhà nước đã giải thích rõ ràng, minh bạch về lý do và mục tiêu của việc sửa đổi thuế lần này. - HUMAN-TRU4]]</f>
        <v>6</v>
      </c>
      <c r="BC275" t="str">
        <f t="shared" si="130"/>
        <v>Neutral</v>
      </c>
      <c r="BD275" s="32">
        <f t="shared" si="131"/>
        <v>2</v>
      </c>
      <c r="BE275">
        <f>step3_validation[[#This Row],[AI_OUT1]]</f>
        <v>9</v>
      </c>
      <c r="BF275" t="str">
        <f t="shared" si="132"/>
        <v>Support</v>
      </c>
      <c r="BG275">
        <f>survey_responses[[#This Row],[Sau khi xem xét các quyền lợi và nghĩa vụ, bạn có ủng hộ và tuân thủ chính sách mới hiện nay? - HUMAN-OUT1]]</f>
        <v>6</v>
      </c>
      <c r="BH275" t="str">
        <f t="shared" si="133"/>
        <v>Neutral</v>
      </c>
      <c r="BI275" s="32">
        <f t="shared" si="134"/>
        <v>3</v>
      </c>
    </row>
    <row r="276" spans="1:61" x14ac:dyDescent="0.45">
      <c r="A276" s="30">
        <f>step3_validation[[#This Row],[Persona_ID]]</f>
        <v>275</v>
      </c>
      <c r="B276" s="31">
        <f>step3_validation[[#This Row],[Used_Seed]]</f>
        <v>275</v>
      </c>
      <c r="C276" t="str">
        <f>step3_validation[[#This Row],[Gender]]</f>
        <v>Nữ</v>
      </c>
      <c r="D276" t="str">
        <f>survey_responses[[#This Row],[Giới tính của bạn:]]</f>
        <v>Nữ</v>
      </c>
      <c r="E276" t="str">
        <f>step3_validation[[#This Row],[Age_Group]]</f>
        <v>40 - 49</v>
      </c>
      <c r="F276" t="str">
        <f>survey_responses[[#This Row],[Độ tuổi của bạn:]]</f>
        <v>40 - 49</v>
      </c>
      <c r="G276" t="str">
        <f>step3_validation[[#This Row],[Region]]</f>
        <v>Thành thị</v>
      </c>
      <c r="H276" t="str">
        <f>survey_responses[[#This Row],[Khu vực bạn đang sinh sống:]]</f>
        <v>Thành thị</v>
      </c>
      <c r="I276" t="str">
        <f>step3_validation[[#This Row],[Education]]</f>
        <v>Sau Đại học</v>
      </c>
      <c r="J276" t="str">
        <f>survey_responses[[#This Row],[Trình độ học vấn cao nhất:]]</f>
        <v>Sau Đại học</v>
      </c>
      <c r="K276" t="str">
        <f>step3_validation[[#This Row],[Employment]]</f>
        <v>Chính thức</v>
      </c>
      <c r="L276" t="str">
        <f>survey_responses[[#This Row],[Tình trạng việc làm chính:]]</f>
        <v>Khu vực chính thức (Có Hợp đồng lao động, đóng BHXH)</v>
      </c>
      <c r="M276">
        <f>step3_validation[[#This Row],[Income_Mil]]</f>
        <v>67.423306240152883</v>
      </c>
      <c r="N276" t="str">
        <f>survey_responses[[#This Row],[Thu nhập bình quân tháng theo Hợp đồng lao động của bạn là bao nhiêu? (Vui lòng điền tổng thu nhập trước khi khấu trừ các loại Bảo hiểm (BHXH, BHYT, BHTN) và Thuế TNCN)]]</f>
        <v>Từ 48 - 70 triệu VNĐ</v>
      </c>
      <c r="O276">
        <f>step3_validation[[#This Row],[Dependents]]</f>
        <v>2</v>
      </c>
      <c r="P276" t="str">
        <f>survey_responses[[#This Row],[Số người phụ thuộc (con nhỏ, cha mẹ già...) đủ điều kiện giảm trừ gia cảnh:]]</f>
        <v>2 người</v>
      </c>
      <c r="Q276">
        <f>step3_validation[[#This Row],[AI_ENF1]]</f>
        <v>7</v>
      </c>
      <c r="R276" t="str">
        <f t="shared" si="108"/>
        <v>Neutral</v>
      </c>
      <c r="S276">
        <f>survey_responses[[#This Row],[Tôi tin rằng với các quy định quản lý thuế hiện nay, hành vi gian lận hoặc trốn thuế sẽ dễ dàng bị phát hiện và xử lý nghiêm. - HUMAN-ENF1]]</f>
        <v>8</v>
      </c>
      <c r="T276" t="str">
        <f t="shared" si="109"/>
        <v>Support</v>
      </c>
      <c r="U276" s="32">
        <f t="shared" si="110"/>
        <v>1</v>
      </c>
      <c r="V276">
        <f>step3_validation[[#This Row],[AI_ENF2]]</f>
        <v>6</v>
      </c>
      <c r="W276" t="str">
        <f t="shared" si="111"/>
        <v>Neutral</v>
      </c>
      <c r="X276">
        <f>survey_responses[[#This Row],[Tôi tin rằng Nhà nước, cơ quan thuế có đủ khả năng và công nghệ để phát hiện, xử lý nghiêm các hành vi trốn thuế. - HUMAN-ENF2]]</f>
        <v>9</v>
      </c>
      <c r="Y276" t="str">
        <f t="shared" si="112"/>
        <v>Support</v>
      </c>
      <c r="Z276" s="32">
        <f t="shared" si="113"/>
        <v>3</v>
      </c>
      <c r="AA276">
        <f>step3_validation[[#This Row],[AI_FAC1]]</f>
        <v>7</v>
      </c>
      <c r="AB276" t="str">
        <f t="shared" si="114"/>
        <v>Neutral</v>
      </c>
      <c r="AC276">
        <f>survey_responses[[#This Row],[Các thủ tục khai báo thuế VÀ/HOẶC quy trình làm việc với cơ quan thuế đơn giản, tiện lợi, nhanh chóng hơn so với trước đây. - HUMAN-FAC1]]</f>
        <v>5</v>
      </c>
      <c r="AD276" t="str">
        <f t="shared" si="115"/>
        <v>Neutral</v>
      </c>
      <c r="AE276" s="32">
        <f t="shared" si="116"/>
        <v>2</v>
      </c>
      <c r="AF276">
        <f>step3_validation[[#This Row],[AI_FAC2]]</f>
        <v>8</v>
      </c>
      <c r="AG276" t="str">
        <f t="shared" si="117"/>
        <v>Support</v>
      </c>
      <c r="AH276">
        <f>survey_responses[[#This Row],[So với trước đây, tôi thấy cách tính thuế và các bậc thuế trong phương án mới đơn giản, dễ hiểu và dễ thực hiện hơn. - HUMAN-FAC2]]</f>
        <v>7</v>
      </c>
      <c r="AI276" t="str">
        <f t="shared" si="118"/>
        <v>Neutral</v>
      </c>
      <c r="AJ276" s="32">
        <f t="shared" si="119"/>
        <v>1</v>
      </c>
      <c r="AK276">
        <f>step3_validation[[#This Row],[AI_TRU1]]</f>
        <v>7</v>
      </c>
      <c r="AL276" t="str">
        <f t="shared" si="120"/>
        <v>Neutral</v>
      </c>
      <c r="AM276">
        <f>survey_responses[[#This Row],[Tôi tin rằng Nhà nước, cơ quan thuế sẽ thực thi chính sách mới một cách khách quan, công tâm và đối xử bình đẳng với mọi người nộp thuế.  - HUMAN-TRU1]]</f>
        <v>6</v>
      </c>
      <c r="AN276" t="str">
        <f t="shared" si="121"/>
        <v>Neutral</v>
      </c>
      <c r="AO276" s="32">
        <f t="shared" si="122"/>
        <v>1</v>
      </c>
      <c r="AP276">
        <f>step3_validation[[#This Row],[AI_TRU2]]</f>
        <v>9</v>
      </c>
      <c r="AQ276" t="str">
        <f t="shared" si="123"/>
        <v>Support</v>
      </c>
      <c r="AR276">
        <f>survey_responses[[#This Row],[Tôi thấy mức thuế tôi phải đóng theo phương án mới là công bằng (người thu nhập như tôi đóng mức này là hợp lý). - HUMAN-TRU2]]</f>
        <v>7</v>
      </c>
      <c r="AS276" t="str">
        <f t="shared" si="124"/>
        <v>Neutral</v>
      </c>
      <c r="AT276" s="32">
        <f t="shared" si="125"/>
        <v>2</v>
      </c>
      <c r="AU276">
        <f>step3_validation[[#This Row],[AI_TRU3]]</f>
        <v>8</v>
      </c>
      <c r="AV276" t="str">
        <f t="shared" si="126"/>
        <v>Support</v>
      </c>
      <c r="AW276">
        <f>survey_responses[[#This Row],[Tôi tin tưởng số tiền thuế tôi đóng sẽ được Nhà nước sử dụng hiệu quả để cải thiện dịch vụ công (y tế, đường xá...). - HUMAN-TRU3]]</f>
        <v>7</v>
      </c>
      <c r="AX276" t="str">
        <f t="shared" si="127"/>
        <v>Neutral</v>
      </c>
      <c r="AY276" s="32">
        <f t="shared" si="128"/>
        <v>1</v>
      </c>
      <c r="AZ276">
        <f>step3_validation[[#This Row],[AI_TRU4]]</f>
        <v>7</v>
      </c>
      <c r="BA276" t="str">
        <f t="shared" si="129"/>
        <v>Neutral</v>
      </c>
      <c r="BB276">
        <f>survey_responses[[#This Row],[Tôi thấy Nhà nước đã giải thích rõ ràng, minh bạch về lý do và mục tiêu của việc sửa đổi thuế lần này. - HUMAN-TRU4]]</f>
        <v>7</v>
      </c>
      <c r="BC276" t="str">
        <f t="shared" si="130"/>
        <v>Neutral</v>
      </c>
      <c r="BD276" s="32">
        <f t="shared" si="131"/>
        <v>0</v>
      </c>
      <c r="BE276">
        <f>step3_validation[[#This Row],[AI_OUT1]]</f>
        <v>9</v>
      </c>
      <c r="BF276" t="str">
        <f t="shared" si="132"/>
        <v>Support</v>
      </c>
      <c r="BG276">
        <f>survey_responses[[#This Row],[Sau khi xem xét các quyền lợi và nghĩa vụ, bạn có ủng hộ và tuân thủ chính sách mới hiện nay? - HUMAN-OUT1]]</f>
        <v>7</v>
      </c>
      <c r="BH276" t="str">
        <f t="shared" si="133"/>
        <v>Neutral</v>
      </c>
      <c r="BI276" s="32">
        <f t="shared" si="134"/>
        <v>2</v>
      </c>
    </row>
    <row r="277" spans="1:61" x14ac:dyDescent="0.45">
      <c r="A277" s="30">
        <f>step3_validation[[#This Row],[Persona_ID]]</f>
        <v>276</v>
      </c>
      <c r="B277" s="31">
        <f>step3_validation[[#This Row],[Used_Seed]]</f>
        <v>276</v>
      </c>
      <c r="C277" t="str">
        <f>step3_validation[[#This Row],[Gender]]</f>
        <v>Nam</v>
      </c>
      <c r="D277" t="str">
        <f>survey_responses[[#This Row],[Giới tính của bạn:]]</f>
        <v>Nam</v>
      </c>
      <c r="E277" t="str">
        <f>step3_validation[[#This Row],[Age_Group]]</f>
        <v>30 - 39</v>
      </c>
      <c r="F277" t="str">
        <f>survey_responses[[#This Row],[Độ tuổi của bạn:]]</f>
        <v>30 - 39</v>
      </c>
      <c r="G277" t="str">
        <f>step3_validation[[#This Row],[Region]]</f>
        <v>Thành thị</v>
      </c>
      <c r="H277" t="str">
        <f>survey_responses[[#This Row],[Khu vực bạn đang sinh sống:]]</f>
        <v>Thành thị</v>
      </c>
      <c r="I277" t="str">
        <f>step3_validation[[#This Row],[Education]]</f>
        <v>Đại học</v>
      </c>
      <c r="J277" t="str">
        <f>survey_responses[[#This Row],[Trình độ học vấn cao nhất:]]</f>
        <v>Đại học</v>
      </c>
      <c r="K277" t="str">
        <f>step3_validation[[#This Row],[Employment]]</f>
        <v>Chính thức</v>
      </c>
      <c r="L277" t="str">
        <f>survey_responses[[#This Row],[Tình trạng việc làm chính:]]</f>
        <v>Khu vực chính thức (Có Hợp đồng lao động, đóng BHXH)</v>
      </c>
      <c r="M277">
        <f>step3_validation[[#This Row],[Income_Mil]]</f>
        <v>44.331175625937327</v>
      </c>
      <c r="N277" t="str">
        <f>survey_responses[[#This Row],[Thu nhập bình quân tháng theo Hợp đồng lao động của bạn là bao nhiêu? (Vui lòng điền tổng thu nhập trước khi khấu trừ các loại Bảo hiểm (BHXH, BHYT, BHTN) và Thuế TNCN)]]</f>
        <v>Từ 32 - 48 triệu VNĐ</v>
      </c>
      <c r="O277">
        <f>step3_validation[[#This Row],[Dependents]]</f>
        <v>1</v>
      </c>
      <c r="P277" t="str">
        <f>survey_responses[[#This Row],[Số người phụ thuộc (con nhỏ, cha mẹ già...) đủ điều kiện giảm trừ gia cảnh:]]</f>
        <v>1 người</v>
      </c>
      <c r="Q277">
        <f>step3_validation[[#This Row],[AI_ENF1]]</f>
        <v>7</v>
      </c>
      <c r="R277" t="str">
        <f t="shared" si="108"/>
        <v>Neutral</v>
      </c>
      <c r="S277">
        <f>survey_responses[[#This Row],[Tôi tin rằng với các quy định quản lý thuế hiện nay, hành vi gian lận hoặc trốn thuế sẽ dễ dàng bị phát hiện và xử lý nghiêm. - HUMAN-ENF1]]</f>
        <v>6</v>
      </c>
      <c r="T277" t="str">
        <f t="shared" si="109"/>
        <v>Neutral</v>
      </c>
      <c r="U277" s="32">
        <f t="shared" si="110"/>
        <v>1</v>
      </c>
      <c r="V277">
        <f>step3_validation[[#This Row],[AI_ENF2]]</f>
        <v>8</v>
      </c>
      <c r="W277" t="str">
        <f t="shared" si="111"/>
        <v>Support</v>
      </c>
      <c r="X277">
        <f>survey_responses[[#This Row],[Tôi tin rằng Nhà nước, cơ quan thuế có đủ khả năng và công nghệ để phát hiện, xử lý nghiêm các hành vi trốn thuế. - HUMAN-ENF2]]</f>
        <v>6</v>
      </c>
      <c r="Y277" t="str">
        <f t="shared" si="112"/>
        <v>Neutral</v>
      </c>
      <c r="Z277" s="32">
        <f t="shared" si="113"/>
        <v>2</v>
      </c>
      <c r="AA277">
        <f>step3_validation[[#This Row],[AI_FAC1]]</f>
        <v>9</v>
      </c>
      <c r="AB277" t="str">
        <f t="shared" si="114"/>
        <v>Support</v>
      </c>
      <c r="AC277">
        <f>survey_responses[[#This Row],[Các thủ tục khai báo thuế VÀ/HOẶC quy trình làm việc với cơ quan thuế đơn giản, tiện lợi, nhanh chóng hơn so với trước đây. - HUMAN-FAC1]]</f>
        <v>3</v>
      </c>
      <c r="AD277" t="str">
        <f t="shared" si="115"/>
        <v>Oppose</v>
      </c>
      <c r="AE277" s="32">
        <f t="shared" si="116"/>
        <v>6</v>
      </c>
      <c r="AF277">
        <f>step3_validation[[#This Row],[AI_FAC2]]</f>
        <v>9</v>
      </c>
      <c r="AG277" t="str">
        <f t="shared" si="117"/>
        <v>Support</v>
      </c>
      <c r="AH277">
        <f>survey_responses[[#This Row],[So với trước đây, tôi thấy cách tính thuế và các bậc thuế trong phương án mới đơn giản, dễ hiểu và dễ thực hiện hơn. - HUMAN-FAC2]]</f>
        <v>7</v>
      </c>
      <c r="AI277" t="str">
        <f t="shared" si="118"/>
        <v>Neutral</v>
      </c>
      <c r="AJ277" s="32">
        <f t="shared" si="119"/>
        <v>2</v>
      </c>
      <c r="AK277">
        <f>step3_validation[[#This Row],[AI_TRU1]]</f>
        <v>7</v>
      </c>
      <c r="AL277" t="str">
        <f t="shared" si="120"/>
        <v>Neutral</v>
      </c>
      <c r="AM277">
        <f>survey_responses[[#This Row],[Tôi tin rằng Nhà nước, cơ quan thuế sẽ thực thi chính sách mới một cách khách quan, công tâm và đối xử bình đẳng với mọi người nộp thuế.  - HUMAN-TRU1]]</f>
        <v>7</v>
      </c>
      <c r="AN277" t="str">
        <f t="shared" si="121"/>
        <v>Neutral</v>
      </c>
      <c r="AO277" s="32">
        <f t="shared" si="122"/>
        <v>0</v>
      </c>
      <c r="AP277">
        <f>step3_validation[[#This Row],[AI_TRU2]]</f>
        <v>8</v>
      </c>
      <c r="AQ277" t="str">
        <f t="shared" si="123"/>
        <v>Support</v>
      </c>
      <c r="AR277">
        <f>survey_responses[[#This Row],[Tôi thấy mức thuế tôi phải đóng theo phương án mới là công bằng (người thu nhập như tôi đóng mức này là hợp lý). - HUMAN-TRU2]]</f>
        <v>7</v>
      </c>
      <c r="AS277" t="str">
        <f t="shared" si="124"/>
        <v>Neutral</v>
      </c>
      <c r="AT277" s="32">
        <f t="shared" si="125"/>
        <v>1</v>
      </c>
      <c r="AU277">
        <f>step3_validation[[#This Row],[AI_TRU3]]</f>
        <v>6</v>
      </c>
      <c r="AV277" t="str">
        <f t="shared" si="126"/>
        <v>Neutral</v>
      </c>
      <c r="AW277">
        <f>survey_responses[[#This Row],[Tôi tin tưởng số tiền thuế tôi đóng sẽ được Nhà nước sử dụng hiệu quả để cải thiện dịch vụ công (y tế, đường xá...). - HUMAN-TRU3]]</f>
        <v>5</v>
      </c>
      <c r="AX277" t="str">
        <f t="shared" si="127"/>
        <v>Neutral</v>
      </c>
      <c r="AY277" s="32">
        <f t="shared" si="128"/>
        <v>1</v>
      </c>
      <c r="AZ277">
        <f>step3_validation[[#This Row],[AI_TRU4]]</f>
        <v>7</v>
      </c>
      <c r="BA277" t="str">
        <f t="shared" si="129"/>
        <v>Neutral</v>
      </c>
      <c r="BB277">
        <f>survey_responses[[#This Row],[Tôi thấy Nhà nước đã giải thích rõ ràng, minh bạch về lý do và mục tiêu của việc sửa đổi thuế lần này. - HUMAN-TRU4]]</f>
        <v>7</v>
      </c>
      <c r="BC277" t="str">
        <f t="shared" si="130"/>
        <v>Neutral</v>
      </c>
      <c r="BD277" s="32">
        <f t="shared" si="131"/>
        <v>0</v>
      </c>
      <c r="BE277">
        <f>step3_validation[[#This Row],[AI_OUT1]]</f>
        <v>8</v>
      </c>
      <c r="BF277" t="str">
        <f t="shared" si="132"/>
        <v>Support</v>
      </c>
      <c r="BG277">
        <f>survey_responses[[#This Row],[Sau khi xem xét các quyền lợi và nghĩa vụ, bạn có ủng hộ và tuân thủ chính sách mới hiện nay? - HUMAN-OUT1]]</f>
        <v>7</v>
      </c>
      <c r="BH277" t="str">
        <f t="shared" si="133"/>
        <v>Neutral</v>
      </c>
      <c r="BI277" s="32">
        <f t="shared" si="134"/>
        <v>1</v>
      </c>
    </row>
    <row r="278" spans="1:61" x14ac:dyDescent="0.45">
      <c r="A278" s="30">
        <f>step3_validation[[#This Row],[Persona_ID]]</f>
        <v>277</v>
      </c>
      <c r="B278" s="31">
        <f>step3_validation[[#This Row],[Used_Seed]]</f>
        <v>277</v>
      </c>
      <c r="C278" t="str">
        <f>step3_validation[[#This Row],[Gender]]</f>
        <v>Nữ</v>
      </c>
      <c r="D278" t="str">
        <f>survey_responses[[#This Row],[Giới tính của bạn:]]</f>
        <v>Nữ</v>
      </c>
      <c r="E278" t="str">
        <f>step3_validation[[#This Row],[Age_Group]]</f>
        <v>40 - 49</v>
      </c>
      <c r="F278" t="str">
        <f>survey_responses[[#This Row],[Độ tuổi của bạn:]]</f>
        <v>40 - 49</v>
      </c>
      <c r="G278" t="str">
        <f>step3_validation[[#This Row],[Region]]</f>
        <v>Thành thị</v>
      </c>
      <c r="H278" t="str">
        <f>survey_responses[[#This Row],[Khu vực bạn đang sinh sống:]]</f>
        <v>Thành thị</v>
      </c>
      <c r="I278" t="str">
        <f>step3_validation[[#This Row],[Education]]</f>
        <v>Đại học</v>
      </c>
      <c r="J278" t="str">
        <f>survey_responses[[#This Row],[Trình độ học vấn cao nhất:]]</f>
        <v>Đại học</v>
      </c>
      <c r="K278" t="str">
        <f>step3_validation[[#This Row],[Employment]]</f>
        <v>Chính thức</v>
      </c>
      <c r="L278" t="str">
        <f>survey_responses[[#This Row],[Tình trạng việc làm chính:]]</f>
        <v>Khu vực chính thức (Có Hợp đồng lao động, đóng BHXH)</v>
      </c>
      <c r="M278">
        <f>step3_validation[[#This Row],[Income_Mil]]</f>
        <v>85.91440479024341</v>
      </c>
      <c r="N278" t="str">
        <f>survey_responses[[#This Row],[Thu nhập bình quân tháng theo Hợp đồng lao động của bạn là bao nhiêu? (Vui lòng điền tổng thu nhập trước khi khấu trừ các loại Bảo hiểm (BHXH, BHYT, BHTN) và Thuế TNCN)]]</f>
        <v>Từ 70 - 102 triệu VNĐ</v>
      </c>
      <c r="O278">
        <f>step3_validation[[#This Row],[Dependents]]</f>
        <v>4</v>
      </c>
      <c r="P278" t="str">
        <f>survey_responses[[#This Row],[Số người phụ thuộc (con nhỏ, cha mẹ già...) đủ điều kiện giảm trừ gia cảnh:]]</f>
        <v>4 người trở lên</v>
      </c>
      <c r="Q278">
        <f>step3_validation[[#This Row],[AI_ENF1]]</f>
        <v>6</v>
      </c>
      <c r="R278" t="str">
        <f t="shared" si="108"/>
        <v>Neutral</v>
      </c>
      <c r="S278">
        <f>survey_responses[[#This Row],[Tôi tin rằng với các quy định quản lý thuế hiện nay, hành vi gian lận hoặc trốn thuế sẽ dễ dàng bị phát hiện và xử lý nghiêm. - HUMAN-ENF1]]</f>
        <v>8</v>
      </c>
      <c r="T278" t="str">
        <f t="shared" si="109"/>
        <v>Support</v>
      </c>
      <c r="U278" s="32">
        <f t="shared" si="110"/>
        <v>2</v>
      </c>
      <c r="V278">
        <f>step3_validation[[#This Row],[AI_ENF2]]</f>
        <v>8</v>
      </c>
      <c r="W278" t="str">
        <f t="shared" si="111"/>
        <v>Support</v>
      </c>
      <c r="X278">
        <f>survey_responses[[#This Row],[Tôi tin rằng Nhà nước, cơ quan thuế có đủ khả năng và công nghệ để phát hiện, xử lý nghiêm các hành vi trốn thuế. - HUMAN-ENF2]]</f>
        <v>8</v>
      </c>
      <c r="Y278" t="str">
        <f t="shared" si="112"/>
        <v>Support</v>
      </c>
      <c r="Z278" s="32">
        <f t="shared" si="113"/>
        <v>0</v>
      </c>
      <c r="AA278">
        <f>step3_validation[[#This Row],[AI_FAC1]]</f>
        <v>9</v>
      </c>
      <c r="AB278" t="str">
        <f t="shared" si="114"/>
        <v>Support</v>
      </c>
      <c r="AC278">
        <f>survey_responses[[#This Row],[Các thủ tục khai báo thuế VÀ/HOẶC quy trình làm việc với cơ quan thuế đơn giản, tiện lợi, nhanh chóng hơn so với trước đây. - HUMAN-FAC1]]</f>
        <v>6</v>
      </c>
      <c r="AD278" t="str">
        <f t="shared" si="115"/>
        <v>Neutral</v>
      </c>
      <c r="AE278" s="32">
        <f t="shared" si="116"/>
        <v>3</v>
      </c>
      <c r="AF278">
        <f>step3_validation[[#This Row],[AI_FAC2]]</f>
        <v>8</v>
      </c>
      <c r="AG278" t="str">
        <f t="shared" si="117"/>
        <v>Support</v>
      </c>
      <c r="AH278">
        <f>survey_responses[[#This Row],[So với trước đây, tôi thấy cách tính thuế và các bậc thuế trong phương án mới đơn giản, dễ hiểu và dễ thực hiện hơn. - HUMAN-FAC2]]</f>
        <v>7</v>
      </c>
      <c r="AI278" t="str">
        <f t="shared" si="118"/>
        <v>Neutral</v>
      </c>
      <c r="AJ278" s="32">
        <f t="shared" si="119"/>
        <v>1</v>
      </c>
      <c r="AK278">
        <f>step3_validation[[#This Row],[AI_TRU1]]</f>
        <v>7</v>
      </c>
      <c r="AL278" t="str">
        <f t="shared" si="120"/>
        <v>Neutral</v>
      </c>
      <c r="AM278">
        <f>survey_responses[[#This Row],[Tôi tin rằng Nhà nước, cơ quan thuế sẽ thực thi chính sách mới một cách khách quan, công tâm và đối xử bình đẳng với mọi người nộp thuế.  - HUMAN-TRU1]]</f>
        <v>7</v>
      </c>
      <c r="AN278" t="str">
        <f t="shared" si="121"/>
        <v>Neutral</v>
      </c>
      <c r="AO278" s="32">
        <f t="shared" si="122"/>
        <v>0</v>
      </c>
      <c r="AP278">
        <f>step3_validation[[#This Row],[AI_TRU2]]</f>
        <v>9</v>
      </c>
      <c r="AQ278" t="str">
        <f t="shared" si="123"/>
        <v>Support</v>
      </c>
      <c r="AR278">
        <f>survey_responses[[#This Row],[Tôi thấy mức thuế tôi phải đóng theo phương án mới là công bằng (người thu nhập như tôi đóng mức này là hợp lý). - HUMAN-TRU2]]</f>
        <v>4</v>
      </c>
      <c r="AS278" t="str">
        <f t="shared" si="124"/>
        <v>Oppose</v>
      </c>
      <c r="AT278" s="32">
        <f t="shared" si="125"/>
        <v>5</v>
      </c>
      <c r="AU278">
        <f>step3_validation[[#This Row],[AI_TRU3]]</f>
        <v>7</v>
      </c>
      <c r="AV278" t="str">
        <f t="shared" si="126"/>
        <v>Neutral</v>
      </c>
      <c r="AW278">
        <f>survey_responses[[#This Row],[Tôi tin tưởng số tiền thuế tôi đóng sẽ được Nhà nước sử dụng hiệu quả để cải thiện dịch vụ công (y tế, đường xá...). - HUMAN-TRU3]]</f>
        <v>5</v>
      </c>
      <c r="AX278" t="str">
        <f t="shared" si="127"/>
        <v>Neutral</v>
      </c>
      <c r="AY278" s="32">
        <f t="shared" si="128"/>
        <v>2</v>
      </c>
      <c r="AZ278">
        <f>step3_validation[[#This Row],[AI_TRU4]]</f>
        <v>8</v>
      </c>
      <c r="BA278" t="str">
        <f t="shared" si="129"/>
        <v>Support</v>
      </c>
      <c r="BB278">
        <f>survey_responses[[#This Row],[Tôi thấy Nhà nước đã giải thích rõ ràng, minh bạch về lý do và mục tiêu của việc sửa đổi thuế lần này. - HUMAN-TRU4]]</f>
        <v>5</v>
      </c>
      <c r="BC278" t="str">
        <f t="shared" si="130"/>
        <v>Neutral</v>
      </c>
      <c r="BD278" s="32">
        <f t="shared" si="131"/>
        <v>3</v>
      </c>
      <c r="BE278">
        <f>step3_validation[[#This Row],[AI_OUT1]]</f>
        <v>9</v>
      </c>
      <c r="BF278" t="str">
        <f t="shared" si="132"/>
        <v>Support</v>
      </c>
      <c r="BG278">
        <f>survey_responses[[#This Row],[Sau khi xem xét các quyền lợi và nghĩa vụ, bạn có ủng hộ và tuân thủ chính sách mới hiện nay? - HUMAN-OUT1]]</f>
        <v>5</v>
      </c>
      <c r="BH278" t="str">
        <f t="shared" si="133"/>
        <v>Neutral</v>
      </c>
      <c r="BI278" s="32">
        <f t="shared" si="134"/>
        <v>4</v>
      </c>
    </row>
    <row r="279" spans="1:61" x14ac:dyDescent="0.45">
      <c r="A279" s="30">
        <f>step3_validation[[#This Row],[Persona_ID]]</f>
        <v>278</v>
      </c>
      <c r="B279" s="31">
        <f>step3_validation[[#This Row],[Used_Seed]]</f>
        <v>278</v>
      </c>
      <c r="C279" t="str">
        <f>step3_validation[[#This Row],[Gender]]</f>
        <v>Nữ</v>
      </c>
      <c r="D279" t="str">
        <f>survey_responses[[#This Row],[Giới tính của bạn:]]</f>
        <v>Nữ</v>
      </c>
      <c r="E279" t="str">
        <f>step3_validation[[#This Row],[Age_Group]]</f>
        <v>30 - 39</v>
      </c>
      <c r="F279" t="str">
        <f>survey_responses[[#This Row],[Độ tuổi của bạn:]]</f>
        <v>30 - 39</v>
      </c>
      <c r="G279" t="str">
        <f>step3_validation[[#This Row],[Region]]</f>
        <v>Thành thị</v>
      </c>
      <c r="H279" t="str">
        <f>survey_responses[[#This Row],[Khu vực bạn đang sinh sống:]]</f>
        <v>Thành thị</v>
      </c>
      <c r="I279" t="str">
        <f>step3_validation[[#This Row],[Education]]</f>
        <v>Đại học</v>
      </c>
      <c r="J279" t="str">
        <f>survey_responses[[#This Row],[Trình độ học vấn cao nhất:]]</f>
        <v>Đại học</v>
      </c>
      <c r="K279" t="str">
        <f>step3_validation[[#This Row],[Employment]]</f>
        <v>Chính thức</v>
      </c>
      <c r="L279" t="str">
        <f>survey_responses[[#This Row],[Tình trạng việc làm chính:]]</f>
        <v>Khu vực chính thức (Có Hợp đồng lao động, đóng BHXH)</v>
      </c>
      <c r="M279">
        <f>step3_validation[[#This Row],[Income_Mil]]</f>
        <v>62.681749190444862</v>
      </c>
      <c r="N279" t="str">
        <f>survey_responses[[#This Row],[Thu nhập bình quân tháng theo Hợp đồng lao động của bạn là bao nhiêu? (Vui lòng điền tổng thu nhập trước khi khấu trừ các loại Bảo hiểm (BHXH, BHYT, BHTN) và Thuế TNCN)]]</f>
        <v>Từ 48 - 70 triệu VNĐ</v>
      </c>
      <c r="O279">
        <f>step3_validation[[#This Row],[Dependents]]</f>
        <v>3</v>
      </c>
      <c r="P279" t="str">
        <f>survey_responses[[#This Row],[Số người phụ thuộc (con nhỏ, cha mẹ già...) đủ điều kiện giảm trừ gia cảnh:]]</f>
        <v>3 người</v>
      </c>
      <c r="Q279">
        <f>step3_validation[[#This Row],[AI_ENF1]]</f>
        <v>8</v>
      </c>
      <c r="R279" t="str">
        <f t="shared" si="108"/>
        <v>Support</v>
      </c>
      <c r="S279">
        <f>survey_responses[[#This Row],[Tôi tin rằng với các quy định quản lý thuế hiện nay, hành vi gian lận hoặc trốn thuế sẽ dễ dàng bị phát hiện và xử lý nghiêm. - HUMAN-ENF1]]</f>
        <v>6</v>
      </c>
      <c r="T279" t="str">
        <f t="shared" si="109"/>
        <v>Neutral</v>
      </c>
      <c r="U279" s="32">
        <f t="shared" si="110"/>
        <v>2</v>
      </c>
      <c r="V279">
        <f>step3_validation[[#This Row],[AI_ENF2]]</f>
        <v>9</v>
      </c>
      <c r="W279" t="str">
        <f t="shared" si="111"/>
        <v>Support</v>
      </c>
      <c r="X279">
        <f>survey_responses[[#This Row],[Tôi tin rằng Nhà nước, cơ quan thuế có đủ khả năng và công nghệ để phát hiện, xử lý nghiêm các hành vi trốn thuế. - HUMAN-ENF2]]</f>
        <v>7</v>
      </c>
      <c r="Y279" t="str">
        <f t="shared" si="112"/>
        <v>Neutral</v>
      </c>
      <c r="Z279" s="32">
        <f t="shared" si="113"/>
        <v>2</v>
      </c>
      <c r="AA279">
        <f>step3_validation[[#This Row],[AI_FAC1]]</f>
        <v>7</v>
      </c>
      <c r="AB279" t="str">
        <f t="shared" si="114"/>
        <v>Neutral</v>
      </c>
      <c r="AC279">
        <f>survey_responses[[#This Row],[Các thủ tục khai báo thuế VÀ/HOẶC quy trình làm việc với cơ quan thuế đơn giản, tiện lợi, nhanh chóng hơn so với trước đây. - HUMAN-FAC1]]</f>
        <v>5</v>
      </c>
      <c r="AD279" t="str">
        <f t="shared" si="115"/>
        <v>Neutral</v>
      </c>
      <c r="AE279" s="32">
        <f t="shared" si="116"/>
        <v>2</v>
      </c>
      <c r="AF279">
        <f>step3_validation[[#This Row],[AI_FAC2]]</f>
        <v>9</v>
      </c>
      <c r="AG279" t="str">
        <f t="shared" si="117"/>
        <v>Support</v>
      </c>
      <c r="AH279">
        <f>survey_responses[[#This Row],[So với trước đây, tôi thấy cách tính thuế và các bậc thuế trong phương án mới đơn giản, dễ hiểu và dễ thực hiện hơn. - HUMAN-FAC2]]</f>
        <v>7</v>
      </c>
      <c r="AI279" t="str">
        <f t="shared" si="118"/>
        <v>Neutral</v>
      </c>
      <c r="AJ279" s="32">
        <f t="shared" si="119"/>
        <v>2</v>
      </c>
      <c r="AK279">
        <f>step3_validation[[#This Row],[AI_TRU1]]</f>
        <v>8</v>
      </c>
      <c r="AL279" t="str">
        <f t="shared" si="120"/>
        <v>Support</v>
      </c>
      <c r="AM279">
        <f>survey_responses[[#This Row],[Tôi tin rằng Nhà nước, cơ quan thuế sẽ thực thi chính sách mới một cách khách quan, công tâm và đối xử bình đẳng với mọi người nộp thuế.  - HUMAN-TRU1]]</f>
        <v>6</v>
      </c>
      <c r="AN279" t="str">
        <f t="shared" si="121"/>
        <v>Neutral</v>
      </c>
      <c r="AO279" s="32">
        <f t="shared" si="122"/>
        <v>2</v>
      </c>
      <c r="AP279">
        <f>step3_validation[[#This Row],[AI_TRU2]]</f>
        <v>9</v>
      </c>
      <c r="AQ279" t="str">
        <f t="shared" si="123"/>
        <v>Support</v>
      </c>
      <c r="AR279">
        <f>survey_responses[[#This Row],[Tôi thấy mức thuế tôi phải đóng theo phương án mới là công bằng (người thu nhập như tôi đóng mức này là hợp lý). - HUMAN-TRU2]]</f>
        <v>6</v>
      </c>
      <c r="AS279" t="str">
        <f t="shared" si="124"/>
        <v>Neutral</v>
      </c>
      <c r="AT279" s="32">
        <f t="shared" si="125"/>
        <v>3</v>
      </c>
      <c r="AU279">
        <f>step3_validation[[#This Row],[AI_TRU3]]</f>
        <v>8</v>
      </c>
      <c r="AV279" t="str">
        <f t="shared" si="126"/>
        <v>Support</v>
      </c>
      <c r="AW279">
        <f>survey_responses[[#This Row],[Tôi tin tưởng số tiền thuế tôi đóng sẽ được Nhà nước sử dụng hiệu quả để cải thiện dịch vụ công (y tế, đường xá...). - HUMAN-TRU3]]</f>
        <v>6</v>
      </c>
      <c r="AX279" t="str">
        <f t="shared" si="127"/>
        <v>Neutral</v>
      </c>
      <c r="AY279" s="32">
        <f t="shared" si="128"/>
        <v>2</v>
      </c>
      <c r="AZ279">
        <f>step3_validation[[#This Row],[AI_TRU4]]</f>
        <v>7</v>
      </c>
      <c r="BA279" t="str">
        <f t="shared" si="129"/>
        <v>Neutral</v>
      </c>
      <c r="BB279">
        <f>survey_responses[[#This Row],[Tôi thấy Nhà nước đã giải thích rõ ràng, minh bạch về lý do và mục tiêu của việc sửa đổi thuế lần này. - HUMAN-TRU4]]</f>
        <v>6</v>
      </c>
      <c r="BC279" t="str">
        <f t="shared" si="130"/>
        <v>Neutral</v>
      </c>
      <c r="BD279" s="32">
        <f t="shared" si="131"/>
        <v>1</v>
      </c>
      <c r="BE279">
        <f>step3_validation[[#This Row],[AI_OUT1]]</f>
        <v>9</v>
      </c>
      <c r="BF279" t="str">
        <f t="shared" si="132"/>
        <v>Support</v>
      </c>
      <c r="BG279">
        <f>survey_responses[[#This Row],[Sau khi xem xét các quyền lợi và nghĩa vụ, bạn có ủng hộ và tuân thủ chính sách mới hiện nay? - HUMAN-OUT1]]</f>
        <v>6</v>
      </c>
      <c r="BH279" t="str">
        <f t="shared" si="133"/>
        <v>Neutral</v>
      </c>
      <c r="BI279" s="32">
        <f t="shared" si="134"/>
        <v>3</v>
      </c>
    </row>
    <row r="280" spans="1:61" x14ac:dyDescent="0.45">
      <c r="A280" s="30">
        <f>step3_validation[[#This Row],[Persona_ID]]</f>
        <v>279</v>
      </c>
      <c r="B280" s="31">
        <f>step3_validation[[#This Row],[Used_Seed]]</f>
        <v>279</v>
      </c>
      <c r="C280" t="str">
        <f>step3_validation[[#This Row],[Gender]]</f>
        <v>Nam</v>
      </c>
      <c r="D280" t="str">
        <f>survey_responses[[#This Row],[Giới tính của bạn:]]</f>
        <v>Nam</v>
      </c>
      <c r="E280" t="str">
        <f>step3_validation[[#This Row],[Age_Group]]</f>
        <v>30 - 39</v>
      </c>
      <c r="F280" t="str">
        <f>survey_responses[[#This Row],[Độ tuổi của bạn:]]</f>
        <v>30 - 39</v>
      </c>
      <c r="G280" t="str">
        <f>step3_validation[[#This Row],[Region]]</f>
        <v>Thành thị</v>
      </c>
      <c r="H280" t="str">
        <f>survey_responses[[#This Row],[Khu vực bạn đang sinh sống:]]</f>
        <v>Thành thị</v>
      </c>
      <c r="I280" t="str">
        <f>step3_validation[[#This Row],[Education]]</f>
        <v>Sau Đại học</v>
      </c>
      <c r="J280" t="str">
        <f>survey_responses[[#This Row],[Trình độ học vấn cao nhất:]]</f>
        <v>Sau Đại học</v>
      </c>
      <c r="K280" t="str">
        <f>step3_validation[[#This Row],[Employment]]</f>
        <v>Phi chính thức</v>
      </c>
      <c r="L280" t="str">
        <f>survey_responses[[#This Row],[Tình trạng việc làm chính:]]</f>
        <v>Khu vực phi chính thức (Lao động tự do, không có HĐLĐ)</v>
      </c>
      <c r="M280">
        <f>step3_validation[[#This Row],[Income_Mil]]</f>
        <v>71.565827852767939</v>
      </c>
      <c r="N280" t="str">
        <f>survey_responses[[#This Row],[Thu nhập bình quân tháng theo Hợp đồng lao động của bạn là bao nhiêu? (Vui lòng điền tổng thu nhập trước khi khấu trừ các loại Bảo hiểm (BHXH, BHYT, BHTN) và Thuế TNCN)]]</f>
        <v>Từ 70 - 102 triệu VNĐ</v>
      </c>
      <c r="O280">
        <f>step3_validation[[#This Row],[Dependents]]</f>
        <v>0</v>
      </c>
      <c r="P280" t="str">
        <f>survey_responses[[#This Row],[Số người phụ thuộc (con nhỏ, cha mẹ già...) đủ điều kiện giảm trừ gia cảnh:]]</f>
        <v>0 người</v>
      </c>
      <c r="Q280">
        <f>step3_validation[[#This Row],[AI_ENF1]]</f>
        <v>7</v>
      </c>
      <c r="R280" t="str">
        <f t="shared" si="108"/>
        <v>Neutral</v>
      </c>
      <c r="S280">
        <f>survey_responses[[#This Row],[Tôi tin rằng với các quy định quản lý thuế hiện nay, hành vi gian lận hoặc trốn thuế sẽ dễ dàng bị phát hiện và xử lý nghiêm. - HUMAN-ENF1]]</f>
        <v>6</v>
      </c>
      <c r="T280" t="str">
        <f t="shared" si="109"/>
        <v>Neutral</v>
      </c>
      <c r="U280" s="32">
        <f t="shared" si="110"/>
        <v>1</v>
      </c>
      <c r="V280">
        <f>step3_validation[[#This Row],[AI_ENF2]]</f>
        <v>6</v>
      </c>
      <c r="W280" t="str">
        <f t="shared" si="111"/>
        <v>Neutral</v>
      </c>
      <c r="X280">
        <f>survey_responses[[#This Row],[Tôi tin rằng Nhà nước, cơ quan thuế có đủ khả năng và công nghệ để phát hiện, xử lý nghiêm các hành vi trốn thuế. - HUMAN-ENF2]]</f>
        <v>7</v>
      </c>
      <c r="Y280" t="str">
        <f t="shared" si="112"/>
        <v>Neutral</v>
      </c>
      <c r="Z280" s="32">
        <f t="shared" si="113"/>
        <v>1</v>
      </c>
      <c r="AA280">
        <f>step3_validation[[#This Row],[AI_FAC1]]</f>
        <v>8</v>
      </c>
      <c r="AB280" t="str">
        <f t="shared" si="114"/>
        <v>Support</v>
      </c>
      <c r="AC280">
        <f>survey_responses[[#This Row],[Các thủ tục khai báo thuế VÀ/HOẶC quy trình làm việc với cơ quan thuế đơn giản, tiện lợi, nhanh chóng hơn so với trước đây. - HUMAN-FAC1]]</f>
        <v>5</v>
      </c>
      <c r="AD280" t="str">
        <f t="shared" si="115"/>
        <v>Neutral</v>
      </c>
      <c r="AE280" s="32">
        <f t="shared" si="116"/>
        <v>3</v>
      </c>
      <c r="AF280">
        <f>step3_validation[[#This Row],[AI_FAC2]]</f>
        <v>9</v>
      </c>
      <c r="AG280" t="str">
        <f t="shared" si="117"/>
        <v>Support</v>
      </c>
      <c r="AH280">
        <f>survey_responses[[#This Row],[So với trước đây, tôi thấy cách tính thuế và các bậc thuế trong phương án mới đơn giản, dễ hiểu và dễ thực hiện hơn. - HUMAN-FAC2]]</f>
        <v>8</v>
      </c>
      <c r="AI280" t="str">
        <f t="shared" si="118"/>
        <v>Support</v>
      </c>
      <c r="AJ280" s="32">
        <f t="shared" si="119"/>
        <v>1</v>
      </c>
      <c r="AK280">
        <f>step3_validation[[#This Row],[AI_TRU1]]</f>
        <v>7</v>
      </c>
      <c r="AL280" t="str">
        <f t="shared" si="120"/>
        <v>Neutral</v>
      </c>
      <c r="AM280">
        <f>survey_responses[[#This Row],[Tôi tin rằng Nhà nước, cơ quan thuế sẽ thực thi chính sách mới một cách khách quan, công tâm và đối xử bình đẳng với mọi người nộp thuế.  - HUMAN-TRU1]]</f>
        <v>6</v>
      </c>
      <c r="AN280" t="str">
        <f t="shared" si="121"/>
        <v>Neutral</v>
      </c>
      <c r="AO280" s="32">
        <f t="shared" si="122"/>
        <v>1</v>
      </c>
      <c r="AP280">
        <f>step3_validation[[#This Row],[AI_TRU2]]</f>
        <v>8</v>
      </c>
      <c r="AQ280" t="str">
        <f t="shared" si="123"/>
        <v>Support</v>
      </c>
      <c r="AR280">
        <f>survey_responses[[#This Row],[Tôi thấy mức thuế tôi phải đóng theo phương án mới là công bằng (người thu nhập như tôi đóng mức này là hợp lý). - HUMAN-TRU2]]</f>
        <v>3</v>
      </c>
      <c r="AS280" t="str">
        <f t="shared" si="124"/>
        <v>Oppose</v>
      </c>
      <c r="AT280" s="32">
        <f t="shared" si="125"/>
        <v>5</v>
      </c>
      <c r="AU280">
        <f>step3_validation[[#This Row],[AI_TRU3]]</f>
        <v>7</v>
      </c>
      <c r="AV280" t="str">
        <f t="shared" si="126"/>
        <v>Neutral</v>
      </c>
      <c r="AW280">
        <f>survey_responses[[#This Row],[Tôi tin tưởng số tiền thuế tôi đóng sẽ được Nhà nước sử dụng hiệu quả để cải thiện dịch vụ công (y tế, đường xá...). - HUMAN-TRU3]]</f>
        <v>6</v>
      </c>
      <c r="AX280" t="str">
        <f t="shared" si="127"/>
        <v>Neutral</v>
      </c>
      <c r="AY280" s="32">
        <f t="shared" si="128"/>
        <v>1</v>
      </c>
      <c r="AZ280">
        <f>step3_validation[[#This Row],[AI_TRU4]]</f>
        <v>8</v>
      </c>
      <c r="BA280" t="str">
        <f t="shared" si="129"/>
        <v>Support</v>
      </c>
      <c r="BB280">
        <f>survey_responses[[#This Row],[Tôi thấy Nhà nước đã giải thích rõ ràng, minh bạch về lý do và mục tiêu của việc sửa đổi thuế lần này. - HUMAN-TRU4]]</f>
        <v>8</v>
      </c>
      <c r="BC280" t="str">
        <f t="shared" si="130"/>
        <v>Support</v>
      </c>
      <c r="BD280" s="32">
        <f t="shared" si="131"/>
        <v>0</v>
      </c>
      <c r="BE280">
        <f>step3_validation[[#This Row],[AI_OUT1]]</f>
        <v>9</v>
      </c>
      <c r="BF280" t="str">
        <f t="shared" si="132"/>
        <v>Support</v>
      </c>
      <c r="BG280">
        <f>survey_responses[[#This Row],[Sau khi xem xét các quyền lợi và nghĩa vụ, bạn có ủng hộ và tuân thủ chính sách mới hiện nay? - HUMAN-OUT1]]</f>
        <v>6</v>
      </c>
      <c r="BH280" t="str">
        <f t="shared" si="133"/>
        <v>Neutral</v>
      </c>
      <c r="BI280" s="32">
        <f t="shared" si="134"/>
        <v>3</v>
      </c>
    </row>
    <row r="281" spans="1:61" x14ac:dyDescent="0.45">
      <c r="A281" s="30">
        <f>step3_validation[[#This Row],[Persona_ID]]</f>
        <v>280</v>
      </c>
      <c r="B281" s="31">
        <f>step3_validation[[#This Row],[Used_Seed]]</f>
        <v>280</v>
      </c>
      <c r="C281" t="str">
        <f>step3_validation[[#This Row],[Gender]]</f>
        <v>Nữ</v>
      </c>
      <c r="D281" t="str">
        <f>survey_responses[[#This Row],[Giới tính của bạn:]]</f>
        <v>Nữ</v>
      </c>
      <c r="E281" t="str">
        <f>step3_validation[[#This Row],[Age_Group]]</f>
        <v>30 - 39</v>
      </c>
      <c r="F281" t="str">
        <f>survey_responses[[#This Row],[Độ tuổi của bạn:]]</f>
        <v>30 - 39</v>
      </c>
      <c r="G281" t="str">
        <f>step3_validation[[#This Row],[Region]]</f>
        <v>Thành thị</v>
      </c>
      <c r="H281" t="str">
        <f>survey_responses[[#This Row],[Khu vực bạn đang sinh sống:]]</f>
        <v>Thành thị</v>
      </c>
      <c r="I281" t="str">
        <f>step3_validation[[#This Row],[Education]]</f>
        <v>Sau Đại học</v>
      </c>
      <c r="J281" t="str">
        <f>survey_responses[[#This Row],[Trình độ học vấn cao nhất:]]</f>
        <v>Sau Đại học</v>
      </c>
      <c r="K281" t="str">
        <f>step3_validation[[#This Row],[Employment]]</f>
        <v>Chính thức</v>
      </c>
      <c r="L281" t="str">
        <f>survey_responses[[#This Row],[Tình trạng việc làm chính:]]</f>
        <v>Khu vực chính thức (Có Hợp đồng lao động, đóng BHXH)</v>
      </c>
      <c r="M281">
        <f>step3_validation[[#This Row],[Income_Mil]]</f>
        <v>100.92429770064602</v>
      </c>
      <c r="N281" t="str">
        <f>survey_responses[[#This Row],[Thu nhập bình quân tháng theo Hợp đồng lao động của bạn là bao nhiêu? (Vui lòng điền tổng thu nhập trước khi khấu trừ các loại Bảo hiểm (BHXH, BHYT, BHTN) và Thuế TNCN)]]</f>
        <v>Từ 70 - 102 triệu VNĐ</v>
      </c>
      <c r="O281">
        <f>step3_validation[[#This Row],[Dependents]]</f>
        <v>2</v>
      </c>
      <c r="P281" t="str">
        <f>survey_responses[[#This Row],[Số người phụ thuộc (con nhỏ, cha mẹ già...) đủ điều kiện giảm trừ gia cảnh:]]</f>
        <v>2 người</v>
      </c>
      <c r="Q281">
        <f>step3_validation[[#This Row],[AI_ENF1]]</f>
        <v>8</v>
      </c>
      <c r="R281" t="str">
        <f t="shared" si="108"/>
        <v>Support</v>
      </c>
      <c r="S281">
        <f>survey_responses[[#This Row],[Tôi tin rằng với các quy định quản lý thuế hiện nay, hành vi gian lận hoặc trốn thuế sẽ dễ dàng bị phát hiện và xử lý nghiêm. - HUMAN-ENF1]]</f>
        <v>4</v>
      </c>
      <c r="T281" t="str">
        <f t="shared" si="109"/>
        <v>Oppose</v>
      </c>
      <c r="U281" s="32">
        <f t="shared" si="110"/>
        <v>4</v>
      </c>
      <c r="V281">
        <f>step3_validation[[#This Row],[AI_ENF2]]</f>
        <v>9</v>
      </c>
      <c r="W281" t="str">
        <f t="shared" si="111"/>
        <v>Support</v>
      </c>
      <c r="X281">
        <f>survey_responses[[#This Row],[Tôi tin rằng Nhà nước, cơ quan thuế có đủ khả năng và công nghệ để phát hiện, xử lý nghiêm các hành vi trốn thuế. - HUMAN-ENF2]]</f>
        <v>4</v>
      </c>
      <c r="Y281" t="str">
        <f t="shared" si="112"/>
        <v>Oppose</v>
      </c>
      <c r="Z281" s="32">
        <f t="shared" si="113"/>
        <v>5</v>
      </c>
      <c r="AA281">
        <f>step3_validation[[#This Row],[AI_FAC1]]</f>
        <v>7</v>
      </c>
      <c r="AB281" t="str">
        <f t="shared" si="114"/>
        <v>Neutral</v>
      </c>
      <c r="AC281">
        <f>survey_responses[[#This Row],[Các thủ tục khai báo thuế VÀ/HOẶC quy trình làm việc với cơ quan thuế đơn giản, tiện lợi, nhanh chóng hơn so với trước đây. - HUMAN-FAC1]]</f>
        <v>1</v>
      </c>
      <c r="AD281" t="str">
        <f t="shared" si="115"/>
        <v>Oppose</v>
      </c>
      <c r="AE281" s="32">
        <f t="shared" si="116"/>
        <v>6</v>
      </c>
      <c r="AF281">
        <f>step3_validation[[#This Row],[AI_FAC2]]</f>
        <v>9</v>
      </c>
      <c r="AG281" t="str">
        <f t="shared" si="117"/>
        <v>Support</v>
      </c>
      <c r="AH281">
        <f>survey_responses[[#This Row],[So với trước đây, tôi thấy cách tính thuế và các bậc thuế trong phương án mới đơn giản, dễ hiểu và dễ thực hiện hơn. - HUMAN-FAC2]]</f>
        <v>6</v>
      </c>
      <c r="AI281" t="str">
        <f t="shared" si="118"/>
        <v>Neutral</v>
      </c>
      <c r="AJ281" s="32">
        <f t="shared" si="119"/>
        <v>3</v>
      </c>
      <c r="AK281">
        <f>step3_validation[[#This Row],[AI_TRU1]]</f>
        <v>7</v>
      </c>
      <c r="AL281" t="str">
        <f t="shared" si="120"/>
        <v>Neutral</v>
      </c>
      <c r="AM281">
        <f>survey_responses[[#This Row],[Tôi tin rằng Nhà nước, cơ quan thuế sẽ thực thi chính sách mới một cách khách quan, công tâm và đối xử bình đẳng với mọi người nộp thuế.  - HUMAN-TRU1]]</f>
        <v>3</v>
      </c>
      <c r="AN281" t="str">
        <f t="shared" si="121"/>
        <v>Oppose</v>
      </c>
      <c r="AO281" s="32">
        <f t="shared" si="122"/>
        <v>4</v>
      </c>
      <c r="AP281">
        <f>step3_validation[[#This Row],[AI_TRU2]]</f>
        <v>8</v>
      </c>
      <c r="AQ281" t="str">
        <f t="shared" si="123"/>
        <v>Support</v>
      </c>
      <c r="AR281">
        <f>survey_responses[[#This Row],[Tôi thấy mức thuế tôi phải đóng theo phương án mới là công bằng (người thu nhập như tôi đóng mức này là hợp lý). - HUMAN-TRU2]]</f>
        <v>2</v>
      </c>
      <c r="AS281" t="str">
        <f t="shared" si="124"/>
        <v>Oppose</v>
      </c>
      <c r="AT281" s="32">
        <f t="shared" si="125"/>
        <v>6</v>
      </c>
      <c r="AU281">
        <f>step3_validation[[#This Row],[AI_TRU3]]</f>
        <v>7</v>
      </c>
      <c r="AV281" t="str">
        <f t="shared" si="126"/>
        <v>Neutral</v>
      </c>
      <c r="AW281">
        <f>survey_responses[[#This Row],[Tôi tin tưởng số tiền thuế tôi đóng sẽ được Nhà nước sử dụng hiệu quả để cải thiện dịch vụ công (y tế, đường xá...). - HUMAN-TRU3]]</f>
        <v>1</v>
      </c>
      <c r="AX281" t="str">
        <f t="shared" si="127"/>
        <v>Oppose</v>
      </c>
      <c r="AY281" s="32">
        <f t="shared" si="128"/>
        <v>6</v>
      </c>
      <c r="AZ281">
        <f>step3_validation[[#This Row],[AI_TRU4]]</f>
        <v>6</v>
      </c>
      <c r="BA281" t="str">
        <f t="shared" si="129"/>
        <v>Neutral</v>
      </c>
      <c r="BB281">
        <f>survey_responses[[#This Row],[Tôi thấy Nhà nước đã giải thích rõ ràng, minh bạch về lý do và mục tiêu của việc sửa đổi thuế lần này. - HUMAN-TRU4]]</f>
        <v>5</v>
      </c>
      <c r="BC281" t="str">
        <f t="shared" si="130"/>
        <v>Neutral</v>
      </c>
      <c r="BD281" s="32">
        <f t="shared" si="131"/>
        <v>1</v>
      </c>
      <c r="BE281">
        <f>step3_validation[[#This Row],[AI_OUT1]]</f>
        <v>8</v>
      </c>
      <c r="BF281" t="str">
        <f t="shared" si="132"/>
        <v>Support</v>
      </c>
      <c r="BG281">
        <f>survey_responses[[#This Row],[Sau khi xem xét các quyền lợi và nghĩa vụ, bạn có ủng hộ và tuân thủ chính sách mới hiện nay? - HUMAN-OUT1]]</f>
        <v>4</v>
      </c>
      <c r="BH281" t="str">
        <f t="shared" si="133"/>
        <v>Oppose</v>
      </c>
      <c r="BI281" s="32">
        <f t="shared" si="134"/>
        <v>4</v>
      </c>
    </row>
    <row r="282" spans="1:61" x14ac:dyDescent="0.45">
      <c r="A282" s="30">
        <f>step3_validation[[#This Row],[Persona_ID]]</f>
        <v>281</v>
      </c>
      <c r="B282" s="31">
        <f>step3_validation[[#This Row],[Used_Seed]]</f>
        <v>281</v>
      </c>
      <c r="C282" t="str">
        <f>step3_validation[[#This Row],[Gender]]</f>
        <v>Nữ</v>
      </c>
      <c r="D282" t="str">
        <f>survey_responses[[#This Row],[Giới tính của bạn:]]</f>
        <v>Nữ</v>
      </c>
      <c r="E282" t="str">
        <f>step3_validation[[#This Row],[Age_Group]]</f>
        <v>40 - 49</v>
      </c>
      <c r="F282" t="str">
        <f>survey_responses[[#This Row],[Độ tuổi của bạn:]]</f>
        <v>40 - 49</v>
      </c>
      <c r="G282" t="str">
        <f>step3_validation[[#This Row],[Region]]</f>
        <v>Thành thị</v>
      </c>
      <c r="H282" t="str">
        <f>survey_responses[[#This Row],[Khu vực bạn đang sinh sống:]]</f>
        <v>Thành thị</v>
      </c>
      <c r="I282" t="str">
        <f>step3_validation[[#This Row],[Education]]</f>
        <v>Sau Đại học</v>
      </c>
      <c r="J282" t="str">
        <f>survey_responses[[#This Row],[Trình độ học vấn cao nhất:]]</f>
        <v>Sau Đại học</v>
      </c>
      <c r="K282" t="str">
        <f>step3_validation[[#This Row],[Employment]]</f>
        <v>Chính thức</v>
      </c>
      <c r="L282" t="str">
        <f>survey_responses[[#This Row],[Tình trạng việc làm chính:]]</f>
        <v>Khu vực chính thức (Có Hợp đồng lao động, đóng BHXH)</v>
      </c>
      <c r="M282">
        <f>step3_validation[[#This Row],[Income_Mil]]</f>
        <v>83.770364150577592</v>
      </c>
      <c r="N282" t="str">
        <f>survey_responses[[#This Row],[Thu nhập bình quân tháng theo Hợp đồng lao động của bạn là bao nhiêu? (Vui lòng điền tổng thu nhập trước khi khấu trừ các loại Bảo hiểm (BHXH, BHYT, BHTN) và Thuế TNCN)]]</f>
        <v>Từ 70 - 102 triệu VNĐ</v>
      </c>
      <c r="O282">
        <f>step3_validation[[#This Row],[Dependents]]</f>
        <v>3</v>
      </c>
      <c r="P282" t="str">
        <f>survey_responses[[#This Row],[Số người phụ thuộc (con nhỏ, cha mẹ già...) đủ điều kiện giảm trừ gia cảnh:]]</f>
        <v>3 người</v>
      </c>
      <c r="Q282">
        <f>step3_validation[[#This Row],[AI_ENF1]]</f>
        <v>7</v>
      </c>
      <c r="R282" t="str">
        <f t="shared" si="108"/>
        <v>Neutral</v>
      </c>
      <c r="S282">
        <f>survey_responses[[#This Row],[Tôi tin rằng với các quy định quản lý thuế hiện nay, hành vi gian lận hoặc trốn thuế sẽ dễ dàng bị phát hiện và xử lý nghiêm. - HUMAN-ENF1]]</f>
        <v>6</v>
      </c>
      <c r="T282" t="str">
        <f t="shared" si="109"/>
        <v>Neutral</v>
      </c>
      <c r="U282" s="32">
        <f t="shared" si="110"/>
        <v>1</v>
      </c>
      <c r="V282">
        <f>step3_validation[[#This Row],[AI_ENF2]]</f>
        <v>9</v>
      </c>
      <c r="W282" t="str">
        <f t="shared" si="111"/>
        <v>Support</v>
      </c>
      <c r="X282">
        <f>survey_responses[[#This Row],[Tôi tin rằng Nhà nước, cơ quan thuế có đủ khả năng và công nghệ để phát hiện, xử lý nghiêm các hành vi trốn thuế. - HUMAN-ENF2]]</f>
        <v>7</v>
      </c>
      <c r="Y282" t="str">
        <f t="shared" si="112"/>
        <v>Neutral</v>
      </c>
      <c r="Z282" s="32">
        <f t="shared" si="113"/>
        <v>2</v>
      </c>
      <c r="AA282">
        <f>step3_validation[[#This Row],[AI_FAC1]]</f>
        <v>8</v>
      </c>
      <c r="AB282" t="str">
        <f t="shared" si="114"/>
        <v>Support</v>
      </c>
      <c r="AC282">
        <f>survey_responses[[#This Row],[Các thủ tục khai báo thuế VÀ/HOẶC quy trình làm việc với cơ quan thuế đơn giản, tiện lợi, nhanh chóng hơn so với trước đây. - HUMAN-FAC1]]</f>
        <v>4</v>
      </c>
      <c r="AD282" t="str">
        <f t="shared" si="115"/>
        <v>Oppose</v>
      </c>
      <c r="AE282" s="32">
        <f t="shared" si="116"/>
        <v>4</v>
      </c>
      <c r="AF282">
        <f>step3_validation[[#This Row],[AI_FAC2]]</f>
        <v>9</v>
      </c>
      <c r="AG282" t="str">
        <f t="shared" si="117"/>
        <v>Support</v>
      </c>
      <c r="AH282">
        <f>survey_responses[[#This Row],[So với trước đây, tôi thấy cách tính thuế và các bậc thuế trong phương án mới đơn giản, dễ hiểu và dễ thực hiện hơn. - HUMAN-FAC2]]</f>
        <v>8</v>
      </c>
      <c r="AI282" t="str">
        <f t="shared" si="118"/>
        <v>Support</v>
      </c>
      <c r="AJ282" s="32">
        <f t="shared" si="119"/>
        <v>1</v>
      </c>
      <c r="AK282">
        <f>step3_validation[[#This Row],[AI_TRU1]]</f>
        <v>8</v>
      </c>
      <c r="AL282" t="str">
        <f t="shared" si="120"/>
        <v>Support</v>
      </c>
      <c r="AM282">
        <f>survey_responses[[#This Row],[Tôi tin rằng Nhà nước, cơ quan thuế sẽ thực thi chính sách mới một cách khách quan, công tâm và đối xử bình đẳng với mọi người nộp thuế.  - HUMAN-TRU1]]</f>
        <v>6</v>
      </c>
      <c r="AN282" t="str">
        <f t="shared" si="121"/>
        <v>Neutral</v>
      </c>
      <c r="AO282" s="32">
        <f t="shared" si="122"/>
        <v>2</v>
      </c>
      <c r="AP282">
        <f>step3_validation[[#This Row],[AI_TRU2]]</f>
        <v>9</v>
      </c>
      <c r="AQ282" t="str">
        <f t="shared" si="123"/>
        <v>Support</v>
      </c>
      <c r="AR282">
        <f>survey_responses[[#This Row],[Tôi thấy mức thuế tôi phải đóng theo phương án mới là công bằng (người thu nhập như tôi đóng mức này là hợp lý). - HUMAN-TRU2]]</f>
        <v>6</v>
      </c>
      <c r="AS282" t="str">
        <f t="shared" si="124"/>
        <v>Neutral</v>
      </c>
      <c r="AT282" s="32">
        <f t="shared" si="125"/>
        <v>3</v>
      </c>
      <c r="AU282">
        <f>step3_validation[[#This Row],[AI_TRU3]]</f>
        <v>8</v>
      </c>
      <c r="AV282" t="str">
        <f t="shared" si="126"/>
        <v>Support</v>
      </c>
      <c r="AW282">
        <f>survey_responses[[#This Row],[Tôi tin tưởng số tiền thuế tôi đóng sẽ được Nhà nước sử dụng hiệu quả để cải thiện dịch vụ công (y tế, đường xá...). - HUMAN-TRU3]]</f>
        <v>5</v>
      </c>
      <c r="AX282" t="str">
        <f t="shared" si="127"/>
        <v>Neutral</v>
      </c>
      <c r="AY282" s="32">
        <f t="shared" si="128"/>
        <v>3</v>
      </c>
      <c r="AZ282">
        <f>step3_validation[[#This Row],[AI_TRU4]]</f>
        <v>9</v>
      </c>
      <c r="BA282" t="str">
        <f t="shared" si="129"/>
        <v>Support</v>
      </c>
      <c r="BB282">
        <f>survey_responses[[#This Row],[Tôi thấy Nhà nước đã giải thích rõ ràng, minh bạch về lý do và mục tiêu của việc sửa đổi thuế lần này. - HUMAN-TRU4]]</f>
        <v>7</v>
      </c>
      <c r="BC282" t="str">
        <f t="shared" si="130"/>
        <v>Neutral</v>
      </c>
      <c r="BD282" s="32">
        <f t="shared" si="131"/>
        <v>2</v>
      </c>
      <c r="BE282">
        <f>step3_validation[[#This Row],[AI_OUT1]]</f>
        <v>9</v>
      </c>
      <c r="BF282" t="str">
        <f t="shared" si="132"/>
        <v>Support</v>
      </c>
      <c r="BG282">
        <f>survey_responses[[#This Row],[Sau khi xem xét các quyền lợi và nghĩa vụ, bạn có ủng hộ và tuân thủ chính sách mới hiện nay? - HUMAN-OUT1]]</f>
        <v>6</v>
      </c>
      <c r="BH282" t="str">
        <f t="shared" si="133"/>
        <v>Neutral</v>
      </c>
      <c r="BI282" s="32">
        <f t="shared" si="134"/>
        <v>3</v>
      </c>
    </row>
    <row r="283" spans="1:61" x14ac:dyDescent="0.45">
      <c r="A283" s="30">
        <f>step3_validation[[#This Row],[Persona_ID]]</f>
        <v>282</v>
      </c>
      <c r="B283" s="31">
        <f>step3_validation[[#This Row],[Used_Seed]]</f>
        <v>282</v>
      </c>
      <c r="C283" t="str">
        <f>step3_validation[[#This Row],[Gender]]</f>
        <v>Nữ</v>
      </c>
      <c r="D283" t="str">
        <f>survey_responses[[#This Row],[Giới tính của bạn:]]</f>
        <v>Nữ</v>
      </c>
      <c r="E283" t="str">
        <f>step3_validation[[#This Row],[Age_Group]]</f>
        <v>55 - 64</v>
      </c>
      <c r="F283" t="str">
        <f>survey_responses[[#This Row],[Độ tuổi của bạn:]]</f>
        <v>55 - 64</v>
      </c>
      <c r="G283" t="str">
        <f>step3_validation[[#This Row],[Region]]</f>
        <v>Thành thị</v>
      </c>
      <c r="H283" t="str">
        <f>survey_responses[[#This Row],[Khu vực bạn đang sinh sống:]]</f>
        <v>Thành thị</v>
      </c>
      <c r="I283" t="str">
        <f>step3_validation[[#This Row],[Education]]</f>
        <v>Sau Đại học</v>
      </c>
      <c r="J283" t="str">
        <f>survey_responses[[#This Row],[Trình độ học vấn cao nhất:]]</f>
        <v>Sau Đại học</v>
      </c>
      <c r="K283" t="str">
        <f>step3_validation[[#This Row],[Employment]]</f>
        <v>Chính thức</v>
      </c>
      <c r="L283" t="str">
        <f>survey_responses[[#This Row],[Tình trạng việc làm chính:]]</f>
        <v>Khu vực chính thức (Có Hợp đồng lao động, đóng BHXH)</v>
      </c>
      <c r="M283">
        <f>step3_validation[[#This Row],[Income_Mil]]</f>
        <v>194.43030062739999</v>
      </c>
      <c r="N283" t="str">
        <f>survey_responses[[#This Row],[Thu nhập bình quân tháng theo Hợp đồng lao động của bạn là bao nhiêu? (Vui lòng điền tổng thu nhập trước khi khấu trừ các loại Bảo hiểm (BHXH, BHYT, BHTN) và Thuế TNCN)]]</f>
        <v>Trên 102 triệu VNĐ</v>
      </c>
      <c r="O283">
        <f>step3_validation[[#This Row],[Dependents]]</f>
        <v>4</v>
      </c>
      <c r="P283" t="str">
        <f>survey_responses[[#This Row],[Số người phụ thuộc (con nhỏ, cha mẹ già...) đủ điều kiện giảm trừ gia cảnh:]]</f>
        <v>4 người trở lên</v>
      </c>
      <c r="Q283">
        <f>step3_validation[[#This Row],[AI_ENF1]]</f>
        <v>6</v>
      </c>
      <c r="R283" t="str">
        <f t="shared" si="108"/>
        <v>Neutral</v>
      </c>
      <c r="S283">
        <f>survey_responses[[#This Row],[Tôi tin rằng với các quy định quản lý thuế hiện nay, hành vi gian lận hoặc trốn thuế sẽ dễ dàng bị phát hiện và xử lý nghiêm. - HUMAN-ENF1]]</f>
        <v>8</v>
      </c>
      <c r="T283" t="str">
        <f t="shared" si="109"/>
        <v>Support</v>
      </c>
      <c r="U283" s="32">
        <f t="shared" si="110"/>
        <v>2</v>
      </c>
      <c r="V283">
        <f>step3_validation[[#This Row],[AI_ENF2]]</f>
        <v>5</v>
      </c>
      <c r="W283" t="str">
        <f t="shared" si="111"/>
        <v>Neutral</v>
      </c>
      <c r="X283">
        <f>survey_responses[[#This Row],[Tôi tin rằng Nhà nước, cơ quan thuế có đủ khả năng và công nghệ để phát hiện, xử lý nghiêm các hành vi trốn thuế. - HUMAN-ENF2]]</f>
        <v>8</v>
      </c>
      <c r="Y283" t="str">
        <f t="shared" si="112"/>
        <v>Support</v>
      </c>
      <c r="Z283" s="32">
        <f t="shared" si="113"/>
        <v>3</v>
      </c>
      <c r="AA283">
        <f>step3_validation[[#This Row],[AI_FAC1]]</f>
        <v>8</v>
      </c>
      <c r="AB283" t="str">
        <f t="shared" si="114"/>
        <v>Support</v>
      </c>
      <c r="AC283">
        <f>survey_responses[[#This Row],[Các thủ tục khai báo thuế VÀ/HOẶC quy trình làm việc với cơ quan thuế đơn giản, tiện lợi, nhanh chóng hơn so với trước đây. - HUMAN-FAC1]]</f>
        <v>9</v>
      </c>
      <c r="AD283" t="str">
        <f t="shared" si="115"/>
        <v>Support</v>
      </c>
      <c r="AE283" s="32">
        <f t="shared" si="116"/>
        <v>1</v>
      </c>
      <c r="AF283">
        <f>step3_validation[[#This Row],[AI_FAC2]]</f>
        <v>9</v>
      </c>
      <c r="AG283" t="str">
        <f t="shared" si="117"/>
        <v>Support</v>
      </c>
      <c r="AH283">
        <f>survey_responses[[#This Row],[So với trước đây, tôi thấy cách tính thuế và các bậc thuế trong phương án mới đơn giản, dễ hiểu và dễ thực hiện hơn. - HUMAN-FAC2]]</f>
        <v>9</v>
      </c>
      <c r="AI283" t="str">
        <f t="shared" si="118"/>
        <v>Support</v>
      </c>
      <c r="AJ283" s="32">
        <f t="shared" si="119"/>
        <v>0</v>
      </c>
      <c r="AK283">
        <f>step3_validation[[#This Row],[AI_TRU1]]</f>
        <v>7</v>
      </c>
      <c r="AL283" t="str">
        <f t="shared" si="120"/>
        <v>Neutral</v>
      </c>
      <c r="AM283">
        <f>survey_responses[[#This Row],[Tôi tin rằng Nhà nước, cơ quan thuế sẽ thực thi chính sách mới một cách khách quan, công tâm và đối xử bình đẳng với mọi người nộp thuế.  - HUMAN-TRU1]]</f>
        <v>7</v>
      </c>
      <c r="AN283" t="str">
        <f t="shared" si="121"/>
        <v>Neutral</v>
      </c>
      <c r="AO283" s="32">
        <f t="shared" si="122"/>
        <v>0</v>
      </c>
      <c r="AP283">
        <f>step3_validation[[#This Row],[AI_TRU2]]</f>
        <v>8</v>
      </c>
      <c r="AQ283" t="str">
        <f t="shared" si="123"/>
        <v>Support</v>
      </c>
      <c r="AR283">
        <f>survey_responses[[#This Row],[Tôi thấy mức thuế tôi phải đóng theo phương án mới là công bằng (người thu nhập như tôi đóng mức này là hợp lý). - HUMAN-TRU2]]</f>
        <v>8</v>
      </c>
      <c r="AS283" t="str">
        <f t="shared" si="124"/>
        <v>Support</v>
      </c>
      <c r="AT283" s="32">
        <f t="shared" si="125"/>
        <v>0</v>
      </c>
      <c r="AU283">
        <f>step3_validation[[#This Row],[AI_TRU3]]</f>
        <v>7</v>
      </c>
      <c r="AV283" t="str">
        <f t="shared" si="126"/>
        <v>Neutral</v>
      </c>
      <c r="AW283">
        <f>survey_responses[[#This Row],[Tôi tin tưởng số tiền thuế tôi đóng sẽ được Nhà nước sử dụng hiệu quả để cải thiện dịch vụ công (y tế, đường xá...). - HUMAN-TRU3]]</f>
        <v>8</v>
      </c>
      <c r="AX283" t="str">
        <f t="shared" si="127"/>
        <v>Support</v>
      </c>
      <c r="AY283" s="32">
        <f t="shared" si="128"/>
        <v>1</v>
      </c>
      <c r="AZ283">
        <f>step3_validation[[#This Row],[AI_TRU4]]</f>
        <v>8</v>
      </c>
      <c r="BA283" t="str">
        <f t="shared" si="129"/>
        <v>Support</v>
      </c>
      <c r="BB283">
        <f>survey_responses[[#This Row],[Tôi thấy Nhà nước đã giải thích rõ ràng, minh bạch về lý do và mục tiêu của việc sửa đổi thuế lần này. - HUMAN-TRU4]]</f>
        <v>8</v>
      </c>
      <c r="BC283" t="str">
        <f t="shared" si="130"/>
        <v>Support</v>
      </c>
      <c r="BD283" s="32">
        <f t="shared" si="131"/>
        <v>0</v>
      </c>
      <c r="BE283">
        <f>step3_validation[[#This Row],[AI_OUT1]]</f>
        <v>9</v>
      </c>
      <c r="BF283" t="str">
        <f t="shared" si="132"/>
        <v>Support</v>
      </c>
      <c r="BG283">
        <f>survey_responses[[#This Row],[Sau khi xem xét các quyền lợi và nghĩa vụ, bạn có ủng hộ và tuân thủ chính sách mới hiện nay? - HUMAN-OUT1]]</f>
        <v>7</v>
      </c>
      <c r="BH283" t="str">
        <f t="shared" si="133"/>
        <v>Neutral</v>
      </c>
      <c r="BI283" s="32">
        <f t="shared" si="134"/>
        <v>2</v>
      </c>
    </row>
    <row r="284" spans="1:61" x14ac:dyDescent="0.45">
      <c r="A284" s="30">
        <f>step3_validation[[#This Row],[Persona_ID]]</f>
        <v>283</v>
      </c>
      <c r="B284" s="31">
        <f>step3_validation[[#This Row],[Used_Seed]]</f>
        <v>283</v>
      </c>
      <c r="C284" t="str">
        <f>step3_validation[[#This Row],[Gender]]</f>
        <v>Nữ</v>
      </c>
      <c r="D284" t="str">
        <f>survey_responses[[#This Row],[Giới tính của bạn:]]</f>
        <v>Nữ</v>
      </c>
      <c r="E284" t="str">
        <f>step3_validation[[#This Row],[Age_Group]]</f>
        <v>40 - 49</v>
      </c>
      <c r="F284" t="str">
        <f>survey_responses[[#This Row],[Độ tuổi của bạn:]]</f>
        <v>40 - 49</v>
      </c>
      <c r="G284" t="str">
        <f>step3_validation[[#This Row],[Region]]</f>
        <v>Thành thị</v>
      </c>
      <c r="H284" t="str">
        <f>survey_responses[[#This Row],[Khu vực bạn đang sinh sống:]]</f>
        <v>Thành thị</v>
      </c>
      <c r="I284" t="str">
        <f>step3_validation[[#This Row],[Education]]</f>
        <v>Đại học</v>
      </c>
      <c r="J284" t="str">
        <f>survey_responses[[#This Row],[Trình độ học vấn cao nhất:]]</f>
        <v>Đại học</v>
      </c>
      <c r="K284" t="str">
        <f>step3_validation[[#This Row],[Employment]]</f>
        <v>Chính thức</v>
      </c>
      <c r="L284" t="str">
        <f>survey_responses[[#This Row],[Tình trạng việc làm chính:]]</f>
        <v>Khu vực chính thức (Có Hợp đồng lao động, đóng BHXH)</v>
      </c>
      <c r="M284">
        <f>step3_validation[[#This Row],[Income_Mil]]</f>
        <v>63.658553002604641</v>
      </c>
      <c r="N284" t="str">
        <f>survey_responses[[#This Row],[Thu nhập bình quân tháng theo Hợp đồng lao động của bạn là bao nhiêu? (Vui lòng điền tổng thu nhập trước khi khấu trừ các loại Bảo hiểm (BHXH, BHYT, BHTN) và Thuế TNCN)]]</f>
        <v>Từ 48 - 70 triệu VNĐ</v>
      </c>
      <c r="O284">
        <f>step3_validation[[#This Row],[Dependents]]</f>
        <v>2</v>
      </c>
      <c r="P284" t="str">
        <f>survey_responses[[#This Row],[Số người phụ thuộc (con nhỏ, cha mẹ già...) đủ điều kiện giảm trừ gia cảnh:]]</f>
        <v>2 người</v>
      </c>
      <c r="Q284">
        <f>step3_validation[[#This Row],[AI_ENF1]]</f>
        <v>7</v>
      </c>
      <c r="R284" t="str">
        <f t="shared" si="108"/>
        <v>Neutral</v>
      </c>
      <c r="S284">
        <f>survey_responses[[#This Row],[Tôi tin rằng với các quy định quản lý thuế hiện nay, hành vi gian lận hoặc trốn thuế sẽ dễ dàng bị phát hiện và xử lý nghiêm. - HUMAN-ENF1]]</f>
        <v>5</v>
      </c>
      <c r="T284" t="str">
        <f t="shared" si="109"/>
        <v>Neutral</v>
      </c>
      <c r="U284" s="32">
        <f t="shared" si="110"/>
        <v>2</v>
      </c>
      <c r="V284">
        <f>step3_validation[[#This Row],[AI_ENF2]]</f>
        <v>8</v>
      </c>
      <c r="W284" t="str">
        <f t="shared" si="111"/>
        <v>Support</v>
      </c>
      <c r="X284">
        <f>survey_responses[[#This Row],[Tôi tin rằng Nhà nước, cơ quan thuế có đủ khả năng và công nghệ để phát hiện, xử lý nghiêm các hành vi trốn thuế. - HUMAN-ENF2]]</f>
        <v>5</v>
      </c>
      <c r="Y284" t="str">
        <f t="shared" si="112"/>
        <v>Neutral</v>
      </c>
      <c r="Z284" s="32">
        <f t="shared" si="113"/>
        <v>3</v>
      </c>
      <c r="AA284">
        <f>step3_validation[[#This Row],[AI_FAC1]]</f>
        <v>9</v>
      </c>
      <c r="AB284" t="str">
        <f t="shared" si="114"/>
        <v>Support</v>
      </c>
      <c r="AC284">
        <f>survey_responses[[#This Row],[Các thủ tục khai báo thuế VÀ/HOẶC quy trình làm việc với cơ quan thuế đơn giản, tiện lợi, nhanh chóng hơn so với trước đây. - HUMAN-FAC1]]</f>
        <v>2</v>
      </c>
      <c r="AD284" t="str">
        <f t="shared" si="115"/>
        <v>Oppose</v>
      </c>
      <c r="AE284" s="32">
        <f t="shared" si="116"/>
        <v>7</v>
      </c>
      <c r="AF284">
        <f>step3_validation[[#This Row],[AI_FAC2]]</f>
        <v>8</v>
      </c>
      <c r="AG284" t="str">
        <f t="shared" si="117"/>
        <v>Support</v>
      </c>
      <c r="AH284">
        <f>survey_responses[[#This Row],[So với trước đây, tôi thấy cách tính thuế và các bậc thuế trong phương án mới đơn giản, dễ hiểu và dễ thực hiện hơn. - HUMAN-FAC2]]</f>
        <v>6</v>
      </c>
      <c r="AI284" t="str">
        <f t="shared" si="118"/>
        <v>Neutral</v>
      </c>
      <c r="AJ284" s="32">
        <f t="shared" si="119"/>
        <v>2</v>
      </c>
      <c r="AK284">
        <f>step3_validation[[#This Row],[AI_TRU1]]</f>
        <v>9</v>
      </c>
      <c r="AL284" t="str">
        <f t="shared" si="120"/>
        <v>Support</v>
      </c>
      <c r="AM284">
        <f>survey_responses[[#This Row],[Tôi tin rằng Nhà nước, cơ quan thuế sẽ thực thi chính sách mới một cách khách quan, công tâm và đối xử bình đẳng với mọi người nộp thuế.  - HUMAN-TRU1]]</f>
        <v>5</v>
      </c>
      <c r="AN284" t="str">
        <f t="shared" si="121"/>
        <v>Neutral</v>
      </c>
      <c r="AO284" s="32">
        <f t="shared" si="122"/>
        <v>4</v>
      </c>
      <c r="AP284">
        <f>step3_validation[[#This Row],[AI_TRU2]]</f>
        <v>9</v>
      </c>
      <c r="AQ284" t="str">
        <f t="shared" si="123"/>
        <v>Support</v>
      </c>
      <c r="AR284">
        <f>survey_responses[[#This Row],[Tôi thấy mức thuế tôi phải đóng theo phương án mới là công bằng (người thu nhập như tôi đóng mức này là hợp lý). - HUMAN-TRU2]]</f>
        <v>4</v>
      </c>
      <c r="AS284" t="str">
        <f t="shared" si="124"/>
        <v>Oppose</v>
      </c>
      <c r="AT284" s="32">
        <f t="shared" si="125"/>
        <v>5</v>
      </c>
      <c r="AU284">
        <f>step3_validation[[#This Row],[AI_TRU3]]</f>
        <v>8</v>
      </c>
      <c r="AV284" t="str">
        <f t="shared" si="126"/>
        <v>Support</v>
      </c>
      <c r="AW284">
        <f>survey_responses[[#This Row],[Tôi tin tưởng số tiền thuế tôi đóng sẽ được Nhà nước sử dụng hiệu quả để cải thiện dịch vụ công (y tế, đường xá...). - HUMAN-TRU3]]</f>
        <v>5</v>
      </c>
      <c r="AX284" t="str">
        <f t="shared" si="127"/>
        <v>Neutral</v>
      </c>
      <c r="AY284" s="32">
        <f t="shared" si="128"/>
        <v>3</v>
      </c>
      <c r="AZ284">
        <f>step3_validation[[#This Row],[AI_TRU4]]</f>
        <v>9</v>
      </c>
      <c r="BA284" t="str">
        <f t="shared" si="129"/>
        <v>Support</v>
      </c>
      <c r="BB284">
        <f>survey_responses[[#This Row],[Tôi thấy Nhà nước đã giải thích rõ ràng, minh bạch về lý do và mục tiêu của việc sửa đổi thuế lần này. - HUMAN-TRU4]]</f>
        <v>5</v>
      </c>
      <c r="BC284" t="str">
        <f t="shared" si="130"/>
        <v>Neutral</v>
      </c>
      <c r="BD284" s="32">
        <f t="shared" si="131"/>
        <v>4</v>
      </c>
      <c r="BE284">
        <f>step3_validation[[#This Row],[AI_OUT1]]</f>
        <v>9</v>
      </c>
      <c r="BF284" t="str">
        <f t="shared" si="132"/>
        <v>Support</v>
      </c>
      <c r="BG284">
        <f>survey_responses[[#This Row],[Sau khi xem xét các quyền lợi và nghĩa vụ, bạn có ủng hộ và tuân thủ chính sách mới hiện nay? - HUMAN-OUT1]]</f>
        <v>4</v>
      </c>
      <c r="BH284" t="str">
        <f t="shared" si="133"/>
        <v>Oppose</v>
      </c>
      <c r="BI284" s="32">
        <f t="shared" si="134"/>
        <v>5</v>
      </c>
    </row>
    <row r="285" spans="1:61" x14ac:dyDescent="0.45">
      <c r="A285" s="30">
        <f>step3_validation[[#This Row],[Persona_ID]]</f>
        <v>284</v>
      </c>
      <c r="B285" s="31">
        <f>step3_validation[[#This Row],[Used_Seed]]</f>
        <v>284</v>
      </c>
      <c r="C285" t="str">
        <f>step3_validation[[#This Row],[Gender]]</f>
        <v>Nam</v>
      </c>
      <c r="D285" t="str">
        <f>survey_responses[[#This Row],[Giới tính của bạn:]]</f>
        <v>Nam</v>
      </c>
      <c r="E285" t="str">
        <f>step3_validation[[#This Row],[Age_Group]]</f>
        <v>30 - 39</v>
      </c>
      <c r="F285" t="str">
        <f>survey_responses[[#This Row],[Độ tuổi của bạn:]]</f>
        <v>30 - 39</v>
      </c>
      <c r="G285" t="str">
        <f>step3_validation[[#This Row],[Region]]</f>
        <v>Thành thị</v>
      </c>
      <c r="H285" t="str">
        <f>survey_responses[[#This Row],[Khu vực bạn đang sinh sống:]]</f>
        <v>Thành thị</v>
      </c>
      <c r="I285" t="str">
        <f>step3_validation[[#This Row],[Education]]</f>
        <v>Đại học</v>
      </c>
      <c r="J285" t="str">
        <f>survey_responses[[#This Row],[Trình độ học vấn cao nhất:]]</f>
        <v>Đại học</v>
      </c>
      <c r="K285" t="str">
        <f>step3_validation[[#This Row],[Employment]]</f>
        <v>Chính thức</v>
      </c>
      <c r="L285" t="str">
        <f>survey_responses[[#This Row],[Tình trạng việc làm chính:]]</f>
        <v>Khu vực chính thức (Có Hợp đồng lao động, đóng BHXH)</v>
      </c>
      <c r="M285">
        <f>step3_validation[[#This Row],[Income_Mil]]</f>
        <v>61.233136034132372</v>
      </c>
      <c r="N285" t="str">
        <f>survey_responses[[#This Row],[Thu nhập bình quân tháng theo Hợp đồng lao động của bạn là bao nhiêu? (Vui lòng điền tổng thu nhập trước khi khấu trừ các loại Bảo hiểm (BHXH, BHYT, BHTN) và Thuế TNCN)]]</f>
        <v>Từ 48 - 70 triệu VNĐ</v>
      </c>
      <c r="O285">
        <f>step3_validation[[#This Row],[Dependents]]</f>
        <v>2</v>
      </c>
      <c r="P285" t="str">
        <f>survey_responses[[#This Row],[Số người phụ thuộc (con nhỏ, cha mẹ già...) đủ điều kiện giảm trừ gia cảnh:]]</f>
        <v>2 người</v>
      </c>
      <c r="Q285">
        <f>step3_validation[[#This Row],[AI_ENF1]]</f>
        <v>6</v>
      </c>
      <c r="R285" t="str">
        <f t="shared" si="108"/>
        <v>Neutral</v>
      </c>
      <c r="S285">
        <f>survey_responses[[#This Row],[Tôi tin rằng với các quy định quản lý thuế hiện nay, hành vi gian lận hoặc trốn thuế sẽ dễ dàng bị phát hiện và xử lý nghiêm. - HUMAN-ENF1]]</f>
        <v>7</v>
      </c>
      <c r="T285" t="str">
        <f t="shared" si="109"/>
        <v>Neutral</v>
      </c>
      <c r="U285" s="32">
        <f t="shared" si="110"/>
        <v>1</v>
      </c>
      <c r="V285">
        <f>step3_validation[[#This Row],[AI_ENF2]]</f>
        <v>7</v>
      </c>
      <c r="W285" t="str">
        <f t="shared" si="111"/>
        <v>Neutral</v>
      </c>
      <c r="X285">
        <f>survey_responses[[#This Row],[Tôi tin rằng Nhà nước, cơ quan thuế có đủ khả năng và công nghệ để phát hiện, xử lý nghiêm các hành vi trốn thuế. - HUMAN-ENF2]]</f>
        <v>7</v>
      </c>
      <c r="Y285" t="str">
        <f t="shared" si="112"/>
        <v>Neutral</v>
      </c>
      <c r="Z285" s="32">
        <f t="shared" si="113"/>
        <v>0</v>
      </c>
      <c r="AA285">
        <f>step3_validation[[#This Row],[AI_FAC1]]</f>
        <v>9</v>
      </c>
      <c r="AB285" t="str">
        <f t="shared" si="114"/>
        <v>Support</v>
      </c>
      <c r="AC285">
        <f>survey_responses[[#This Row],[Các thủ tục khai báo thuế VÀ/HOẶC quy trình làm việc với cơ quan thuế đơn giản, tiện lợi, nhanh chóng hơn so với trước đây. - HUMAN-FAC1]]</f>
        <v>5</v>
      </c>
      <c r="AD285" t="str">
        <f t="shared" si="115"/>
        <v>Neutral</v>
      </c>
      <c r="AE285" s="32">
        <f t="shared" si="116"/>
        <v>4</v>
      </c>
      <c r="AF285">
        <f>step3_validation[[#This Row],[AI_FAC2]]</f>
        <v>8</v>
      </c>
      <c r="AG285" t="str">
        <f t="shared" si="117"/>
        <v>Support</v>
      </c>
      <c r="AH285">
        <f>survey_responses[[#This Row],[So với trước đây, tôi thấy cách tính thuế và các bậc thuế trong phương án mới đơn giản, dễ hiểu và dễ thực hiện hơn. - HUMAN-FAC2]]</f>
        <v>7</v>
      </c>
      <c r="AI285" t="str">
        <f t="shared" si="118"/>
        <v>Neutral</v>
      </c>
      <c r="AJ285" s="32">
        <f t="shared" si="119"/>
        <v>1</v>
      </c>
      <c r="AK285">
        <f>step3_validation[[#This Row],[AI_TRU1]]</f>
        <v>9</v>
      </c>
      <c r="AL285" t="str">
        <f t="shared" si="120"/>
        <v>Support</v>
      </c>
      <c r="AM285">
        <f>survey_responses[[#This Row],[Tôi tin rằng Nhà nước, cơ quan thuế sẽ thực thi chính sách mới một cách khách quan, công tâm và đối xử bình đẳng với mọi người nộp thuế.  - HUMAN-TRU1]]</f>
        <v>5</v>
      </c>
      <c r="AN285" t="str">
        <f t="shared" si="121"/>
        <v>Neutral</v>
      </c>
      <c r="AO285" s="32">
        <f t="shared" si="122"/>
        <v>4</v>
      </c>
      <c r="AP285">
        <f>step3_validation[[#This Row],[AI_TRU2]]</f>
        <v>8</v>
      </c>
      <c r="AQ285" t="str">
        <f t="shared" si="123"/>
        <v>Support</v>
      </c>
      <c r="AR285">
        <f>survey_responses[[#This Row],[Tôi thấy mức thuế tôi phải đóng theo phương án mới là công bằng (người thu nhập như tôi đóng mức này là hợp lý). - HUMAN-TRU2]]</f>
        <v>6</v>
      </c>
      <c r="AS285" t="str">
        <f t="shared" si="124"/>
        <v>Neutral</v>
      </c>
      <c r="AT285" s="32">
        <f t="shared" si="125"/>
        <v>2</v>
      </c>
      <c r="AU285">
        <f>step3_validation[[#This Row],[AI_TRU3]]</f>
        <v>7</v>
      </c>
      <c r="AV285" t="str">
        <f t="shared" si="126"/>
        <v>Neutral</v>
      </c>
      <c r="AW285">
        <f>survey_responses[[#This Row],[Tôi tin tưởng số tiền thuế tôi đóng sẽ được Nhà nước sử dụng hiệu quả để cải thiện dịch vụ công (y tế, đường xá...). - HUMAN-TRU3]]</f>
        <v>5</v>
      </c>
      <c r="AX285" t="str">
        <f t="shared" si="127"/>
        <v>Neutral</v>
      </c>
      <c r="AY285" s="32">
        <f t="shared" si="128"/>
        <v>2</v>
      </c>
      <c r="AZ285">
        <f>step3_validation[[#This Row],[AI_TRU4]]</f>
        <v>6</v>
      </c>
      <c r="BA285" t="str">
        <f t="shared" si="129"/>
        <v>Neutral</v>
      </c>
      <c r="BB285">
        <f>survey_responses[[#This Row],[Tôi thấy Nhà nước đã giải thích rõ ràng, minh bạch về lý do và mục tiêu của việc sửa đổi thuế lần này. - HUMAN-TRU4]]</f>
        <v>7</v>
      </c>
      <c r="BC285" t="str">
        <f t="shared" si="130"/>
        <v>Neutral</v>
      </c>
      <c r="BD285" s="32">
        <f t="shared" si="131"/>
        <v>1</v>
      </c>
      <c r="BE285">
        <f>step3_validation[[#This Row],[AI_OUT1]]</f>
        <v>8</v>
      </c>
      <c r="BF285" t="str">
        <f t="shared" si="132"/>
        <v>Support</v>
      </c>
      <c r="BG285">
        <f>survey_responses[[#This Row],[Sau khi xem xét các quyền lợi và nghĩa vụ, bạn có ủng hộ và tuân thủ chính sách mới hiện nay? - HUMAN-OUT1]]</f>
        <v>6</v>
      </c>
      <c r="BH285" t="str">
        <f t="shared" si="133"/>
        <v>Neutral</v>
      </c>
      <c r="BI285" s="32">
        <f t="shared" si="134"/>
        <v>2</v>
      </c>
    </row>
    <row r="286" spans="1:61" x14ac:dyDescent="0.45">
      <c r="A286" s="30">
        <f>step3_validation[[#This Row],[Persona_ID]]</f>
        <v>285</v>
      </c>
      <c r="B286" s="31">
        <f>step3_validation[[#This Row],[Used_Seed]]</f>
        <v>285</v>
      </c>
      <c r="C286" t="str">
        <f>step3_validation[[#This Row],[Gender]]</f>
        <v>Nam</v>
      </c>
      <c r="D286" t="str">
        <f>survey_responses[[#This Row],[Giới tính của bạn:]]</f>
        <v>Nam</v>
      </c>
      <c r="E286" t="str">
        <f>step3_validation[[#This Row],[Age_Group]]</f>
        <v>50 - 54</v>
      </c>
      <c r="F286" t="str">
        <f>survey_responses[[#This Row],[Độ tuổi của bạn:]]</f>
        <v>50 - 54</v>
      </c>
      <c r="G286" t="str">
        <f>step3_validation[[#This Row],[Region]]</f>
        <v>Thành thị</v>
      </c>
      <c r="H286" t="str">
        <f>survey_responses[[#This Row],[Khu vực bạn đang sinh sống:]]</f>
        <v>Thành thị</v>
      </c>
      <c r="I286" t="str">
        <f>step3_validation[[#This Row],[Education]]</f>
        <v>Đại học</v>
      </c>
      <c r="J286" t="str">
        <f>survey_responses[[#This Row],[Trình độ học vấn cao nhất:]]</f>
        <v>Đại học</v>
      </c>
      <c r="K286" t="str">
        <f>step3_validation[[#This Row],[Employment]]</f>
        <v>Chính thức</v>
      </c>
      <c r="L286" t="str">
        <f>survey_responses[[#This Row],[Tình trạng việc làm chính:]]</f>
        <v>Khu vực chính thức (Có Hợp đồng lao động, đóng BHXH)</v>
      </c>
      <c r="M286">
        <f>step3_validation[[#This Row],[Income_Mil]]</f>
        <v>71.295028341445573</v>
      </c>
      <c r="N286" t="str">
        <f>survey_responses[[#This Row],[Thu nhập bình quân tháng theo Hợp đồng lao động của bạn là bao nhiêu? (Vui lòng điền tổng thu nhập trước khi khấu trừ các loại Bảo hiểm (BHXH, BHYT, BHTN) và Thuế TNCN)]]</f>
        <v>Từ 70 - 102 triệu VNĐ</v>
      </c>
      <c r="O286">
        <f>step3_validation[[#This Row],[Dependents]]</f>
        <v>3</v>
      </c>
      <c r="P286" t="str">
        <f>survey_responses[[#This Row],[Số người phụ thuộc (con nhỏ, cha mẹ già...) đủ điều kiện giảm trừ gia cảnh:]]</f>
        <v>3 người</v>
      </c>
      <c r="Q286">
        <f>step3_validation[[#This Row],[AI_ENF1]]</f>
        <v>9</v>
      </c>
      <c r="R286" t="str">
        <f t="shared" si="108"/>
        <v>Support</v>
      </c>
      <c r="S286">
        <f>survey_responses[[#This Row],[Tôi tin rằng với các quy định quản lý thuế hiện nay, hành vi gian lận hoặc trốn thuế sẽ dễ dàng bị phát hiện và xử lý nghiêm. - HUMAN-ENF1]]</f>
        <v>7</v>
      </c>
      <c r="T286" t="str">
        <f t="shared" si="109"/>
        <v>Neutral</v>
      </c>
      <c r="U286" s="32">
        <f t="shared" si="110"/>
        <v>2</v>
      </c>
      <c r="V286">
        <f>step3_validation[[#This Row],[AI_ENF2]]</f>
        <v>8</v>
      </c>
      <c r="W286" t="str">
        <f t="shared" si="111"/>
        <v>Support</v>
      </c>
      <c r="X286">
        <f>survey_responses[[#This Row],[Tôi tin rằng Nhà nước, cơ quan thuế có đủ khả năng và công nghệ để phát hiện, xử lý nghiêm các hành vi trốn thuế. - HUMAN-ENF2]]</f>
        <v>7</v>
      </c>
      <c r="Y286" t="str">
        <f t="shared" si="112"/>
        <v>Neutral</v>
      </c>
      <c r="Z286" s="32">
        <f t="shared" si="113"/>
        <v>1</v>
      </c>
      <c r="AA286">
        <f>step3_validation[[#This Row],[AI_FAC1]]</f>
        <v>7</v>
      </c>
      <c r="AB286" t="str">
        <f t="shared" si="114"/>
        <v>Neutral</v>
      </c>
      <c r="AC286">
        <f>survey_responses[[#This Row],[Các thủ tục khai báo thuế VÀ/HOẶC quy trình làm việc với cơ quan thuế đơn giản, tiện lợi, nhanh chóng hơn so với trước đây. - HUMAN-FAC1]]</f>
        <v>5</v>
      </c>
      <c r="AD286" t="str">
        <f t="shared" si="115"/>
        <v>Neutral</v>
      </c>
      <c r="AE286" s="32">
        <f t="shared" si="116"/>
        <v>2</v>
      </c>
      <c r="AF286">
        <f>step3_validation[[#This Row],[AI_FAC2]]</f>
        <v>8</v>
      </c>
      <c r="AG286" t="str">
        <f t="shared" si="117"/>
        <v>Support</v>
      </c>
      <c r="AH286">
        <f>survey_responses[[#This Row],[So với trước đây, tôi thấy cách tính thuế và các bậc thuế trong phương án mới đơn giản, dễ hiểu và dễ thực hiện hơn. - HUMAN-FAC2]]</f>
        <v>8</v>
      </c>
      <c r="AI286" t="str">
        <f t="shared" si="118"/>
        <v>Support</v>
      </c>
      <c r="AJ286" s="32">
        <f t="shared" si="119"/>
        <v>0</v>
      </c>
      <c r="AK286">
        <f>step3_validation[[#This Row],[AI_TRU1]]</f>
        <v>9</v>
      </c>
      <c r="AL286" t="str">
        <f t="shared" si="120"/>
        <v>Support</v>
      </c>
      <c r="AM286">
        <f>survey_responses[[#This Row],[Tôi tin rằng Nhà nước, cơ quan thuế sẽ thực thi chính sách mới một cách khách quan, công tâm và đối xử bình đẳng với mọi người nộp thuế.  - HUMAN-TRU1]]</f>
        <v>6</v>
      </c>
      <c r="AN286" t="str">
        <f t="shared" si="121"/>
        <v>Neutral</v>
      </c>
      <c r="AO286" s="32">
        <f t="shared" si="122"/>
        <v>3</v>
      </c>
      <c r="AP286">
        <f>step3_validation[[#This Row],[AI_TRU2]]</f>
        <v>8</v>
      </c>
      <c r="AQ286" t="str">
        <f t="shared" si="123"/>
        <v>Support</v>
      </c>
      <c r="AR286">
        <f>survey_responses[[#This Row],[Tôi thấy mức thuế tôi phải đóng theo phương án mới là công bằng (người thu nhập như tôi đóng mức này là hợp lý). - HUMAN-TRU2]]</f>
        <v>6</v>
      </c>
      <c r="AS286" t="str">
        <f t="shared" si="124"/>
        <v>Neutral</v>
      </c>
      <c r="AT286" s="32">
        <f t="shared" si="125"/>
        <v>2</v>
      </c>
      <c r="AU286">
        <f>step3_validation[[#This Row],[AI_TRU3]]</f>
        <v>9</v>
      </c>
      <c r="AV286" t="str">
        <f t="shared" si="126"/>
        <v>Support</v>
      </c>
      <c r="AW286">
        <f>survey_responses[[#This Row],[Tôi tin tưởng số tiền thuế tôi đóng sẽ được Nhà nước sử dụng hiệu quả để cải thiện dịch vụ công (y tế, đường xá...). - HUMAN-TRU3]]</f>
        <v>6</v>
      </c>
      <c r="AX286" t="str">
        <f t="shared" si="127"/>
        <v>Neutral</v>
      </c>
      <c r="AY286" s="32">
        <f t="shared" si="128"/>
        <v>3</v>
      </c>
      <c r="AZ286">
        <f>step3_validation[[#This Row],[AI_TRU4]]</f>
        <v>8</v>
      </c>
      <c r="BA286" t="str">
        <f t="shared" si="129"/>
        <v>Support</v>
      </c>
      <c r="BB286">
        <f>survey_responses[[#This Row],[Tôi thấy Nhà nước đã giải thích rõ ràng, minh bạch về lý do và mục tiêu của việc sửa đổi thuế lần này. - HUMAN-TRU4]]</f>
        <v>7</v>
      </c>
      <c r="BC286" t="str">
        <f t="shared" si="130"/>
        <v>Neutral</v>
      </c>
      <c r="BD286" s="32">
        <f t="shared" si="131"/>
        <v>1</v>
      </c>
      <c r="BE286">
        <f>step3_validation[[#This Row],[AI_OUT1]]</f>
        <v>9</v>
      </c>
      <c r="BF286" t="str">
        <f t="shared" si="132"/>
        <v>Support</v>
      </c>
      <c r="BG286">
        <f>survey_responses[[#This Row],[Sau khi xem xét các quyền lợi và nghĩa vụ, bạn có ủng hộ và tuân thủ chính sách mới hiện nay? - HUMAN-OUT1]]</f>
        <v>7</v>
      </c>
      <c r="BH286" t="str">
        <f t="shared" si="133"/>
        <v>Neutral</v>
      </c>
      <c r="BI286" s="32">
        <f t="shared" si="134"/>
        <v>2</v>
      </c>
    </row>
    <row r="287" spans="1:61" x14ac:dyDescent="0.45">
      <c r="A287" s="30">
        <f>step3_validation[[#This Row],[Persona_ID]]</f>
        <v>286</v>
      </c>
      <c r="B287" s="31">
        <f>step3_validation[[#This Row],[Used_Seed]]</f>
        <v>286</v>
      </c>
      <c r="C287" t="str">
        <f>step3_validation[[#This Row],[Gender]]</f>
        <v>Nữ</v>
      </c>
      <c r="D287" t="str">
        <f>survey_responses[[#This Row],[Giới tính của bạn:]]</f>
        <v>Nữ</v>
      </c>
      <c r="E287" t="str">
        <f>step3_validation[[#This Row],[Age_Group]]</f>
        <v>30 - 39</v>
      </c>
      <c r="F287" t="str">
        <f>survey_responses[[#This Row],[Độ tuổi của bạn:]]</f>
        <v>30 - 39</v>
      </c>
      <c r="G287" t="str">
        <f>step3_validation[[#This Row],[Region]]</f>
        <v>Thành thị</v>
      </c>
      <c r="H287" t="str">
        <f>survey_responses[[#This Row],[Khu vực bạn đang sinh sống:]]</f>
        <v>Thành thị</v>
      </c>
      <c r="I287" t="str">
        <f>step3_validation[[#This Row],[Education]]</f>
        <v>Đại học</v>
      </c>
      <c r="J287" t="str">
        <f>survey_responses[[#This Row],[Trình độ học vấn cao nhất:]]</f>
        <v>Đại học</v>
      </c>
      <c r="K287" t="str">
        <f>step3_validation[[#This Row],[Employment]]</f>
        <v>Chính thức</v>
      </c>
      <c r="L287" t="str">
        <f>survey_responses[[#This Row],[Tình trạng việc làm chính:]]</f>
        <v>Khu vực chính thức (Có Hợp đồng lao động, đóng BHXH)</v>
      </c>
      <c r="M287">
        <f>step3_validation[[#This Row],[Income_Mil]]</f>
        <v>38.411929580978878</v>
      </c>
      <c r="N287" t="str">
        <f>survey_responses[[#This Row],[Thu nhập bình quân tháng theo Hợp đồng lao động của bạn là bao nhiêu? (Vui lòng điền tổng thu nhập trước khi khấu trừ các loại Bảo hiểm (BHXH, BHYT, BHTN) và Thuế TNCN)]]</f>
        <v>Từ 32 - 48 triệu VNĐ</v>
      </c>
      <c r="O287">
        <f>step3_validation[[#This Row],[Dependents]]</f>
        <v>0</v>
      </c>
      <c r="P287" t="str">
        <f>survey_responses[[#This Row],[Số người phụ thuộc (con nhỏ, cha mẹ già...) đủ điều kiện giảm trừ gia cảnh:]]</f>
        <v>0 người</v>
      </c>
      <c r="Q287">
        <f>step3_validation[[#This Row],[AI_ENF1]]</f>
        <v>9</v>
      </c>
      <c r="R287" t="str">
        <f t="shared" si="108"/>
        <v>Support</v>
      </c>
      <c r="S287">
        <f>survey_responses[[#This Row],[Tôi tin rằng với các quy định quản lý thuế hiện nay, hành vi gian lận hoặc trốn thuế sẽ dễ dàng bị phát hiện và xử lý nghiêm. - HUMAN-ENF1]]</f>
        <v>4</v>
      </c>
      <c r="T287" t="str">
        <f t="shared" si="109"/>
        <v>Oppose</v>
      </c>
      <c r="U287" s="32">
        <f t="shared" si="110"/>
        <v>5</v>
      </c>
      <c r="V287">
        <f>step3_validation[[#This Row],[AI_ENF2]]</f>
        <v>8</v>
      </c>
      <c r="W287" t="str">
        <f t="shared" si="111"/>
        <v>Support</v>
      </c>
      <c r="X287">
        <f>survey_responses[[#This Row],[Tôi tin rằng Nhà nước, cơ quan thuế có đủ khả năng và công nghệ để phát hiện, xử lý nghiêm các hành vi trốn thuế. - HUMAN-ENF2]]</f>
        <v>4</v>
      </c>
      <c r="Y287" t="str">
        <f t="shared" si="112"/>
        <v>Oppose</v>
      </c>
      <c r="Z287" s="32">
        <f t="shared" si="113"/>
        <v>4</v>
      </c>
      <c r="AA287">
        <f>step3_validation[[#This Row],[AI_FAC1]]</f>
        <v>9</v>
      </c>
      <c r="AB287" t="str">
        <f t="shared" si="114"/>
        <v>Support</v>
      </c>
      <c r="AC287">
        <f>survey_responses[[#This Row],[Các thủ tục khai báo thuế VÀ/HOẶC quy trình làm việc với cơ quan thuế đơn giản, tiện lợi, nhanh chóng hơn so với trước đây. - HUMAN-FAC1]]</f>
        <v>2</v>
      </c>
      <c r="AD287" t="str">
        <f t="shared" si="115"/>
        <v>Oppose</v>
      </c>
      <c r="AE287" s="32">
        <f t="shared" si="116"/>
        <v>7</v>
      </c>
      <c r="AF287">
        <f>step3_validation[[#This Row],[AI_FAC2]]</f>
        <v>8</v>
      </c>
      <c r="AG287" t="str">
        <f t="shared" si="117"/>
        <v>Support</v>
      </c>
      <c r="AH287">
        <f>survey_responses[[#This Row],[So với trước đây, tôi thấy cách tính thuế và các bậc thuế trong phương án mới đơn giản, dễ hiểu và dễ thực hiện hơn. - HUMAN-FAC2]]</f>
        <v>8</v>
      </c>
      <c r="AI287" t="str">
        <f t="shared" si="118"/>
        <v>Support</v>
      </c>
      <c r="AJ287" s="32">
        <f t="shared" si="119"/>
        <v>0</v>
      </c>
      <c r="AK287">
        <f>step3_validation[[#This Row],[AI_TRU1]]</f>
        <v>7</v>
      </c>
      <c r="AL287" t="str">
        <f t="shared" si="120"/>
        <v>Neutral</v>
      </c>
      <c r="AM287">
        <f>survey_responses[[#This Row],[Tôi tin rằng Nhà nước, cơ quan thuế sẽ thực thi chính sách mới một cách khách quan, công tâm và đối xử bình đẳng với mọi người nộp thuế.  - HUMAN-TRU1]]</f>
        <v>5</v>
      </c>
      <c r="AN287" t="str">
        <f t="shared" si="121"/>
        <v>Neutral</v>
      </c>
      <c r="AO287" s="32">
        <f t="shared" si="122"/>
        <v>2</v>
      </c>
      <c r="AP287">
        <f>step3_validation[[#This Row],[AI_TRU2]]</f>
        <v>9</v>
      </c>
      <c r="AQ287" t="str">
        <f t="shared" si="123"/>
        <v>Support</v>
      </c>
      <c r="AR287">
        <f>survey_responses[[#This Row],[Tôi thấy mức thuế tôi phải đóng theo phương án mới là công bằng (người thu nhập như tôi đóng mức này là hợp lý). - HUMAN-TRU2]]</f>
        <v>5</v>
      </c>
      <c r="AS287" t="str">
        <f t="shared" si="124"/>
        <v>Neutral</v>
      </c>
      <c r="AT287" s="32">
        <f t="shared" si="125"/>
        <v>4</v>
      </c>
      <c r="AU287">
        <f>step3_validation[[#This Row],[AI_TRU3]]</f>
        <v>7</v>
      </c>
      <c r="AV287" t="str">
        <f t="shared" si="126"/>
        <v>Neutral</v>
      </c>
      <c r="AW287">
        <f>survey_responses[[#This Row],[Tôi tin tưởng số tiền thuế tôi đóng sẽ được Nhà nước sử dụng hiệu quả để cải thiện dịch vụ công (y tế, đường xá...). - HUMAN-TRU3]]</f>
        <v>4</v>
      </c>
      <c r="AX287" t="str">
        <f t="shared" si="127"/>
        <v>Oppose</v>
      </c>
      <c r="AY287" s="32">
        <f t="shared" si="128"/>
        <v>3</v>
      </c>
      <c r="AZ287">
        <f>step3_validation[[#This Row],[AI_TRU4]]</f>
        <v>6</v>
      </c>
      <c r="BA287" t="str">
        <f t="shared" si="129"/>
        <v>Neutral</v>
      </c>
      <c r="BB287">
        <f>survey_responses[[#This Row],[Tôi thấy Nhà nước đã giải thích rõ ràng, minh bạch về lý do và mục tiêu của việc sửa đổi thuế lần này. - HUMAN-TRU4]]</f>
        <v>6</v>
      </c>
      <c r="BC287" t="str">
        <f t="shared" si="130"/>
        <v>Neutral</v>
      </c>
      <c r="BD287" s="32">
        <f t="shared" si="131"/>
        <v>0</v>
      </c>
      <c r="BE287">
        <f>step3_validation[[#This Row],[AI_OUT1]]</f>
        <v>8</v>
      </c>
      <c r="BF287" t="str">
        <f t="shared" si="132"/>
        <v>Support</v>
      </c>
      <c r="BG287">
        <f>survey_responses[[#This Row],[Sau khi xem xét các quyền lợi và nghĩa vụ, bạn có ủng hộ và tuân thủ chính sách mới hiện nay? - HUMAN-OUT1]]</f>
        <v>5</v>
      </c>
      <c r="BH287" t="str">
        <f t="shared" si="133"/>
        <v>Neutral</v>
      </c>
      <c r="BI287" s="32">
        <f t="shared" si="134"/>
        <v>3</v>
      </c>
    </row>
    <row r="288" spans="1:61" x14ac:dyDescent="0.45">
      <c r="A288" s="30">
        <f>step3_validation[[#This Row],[Persona_ID]]</f>
        <v>287</v>
      </c>
      <c r="B288" s="31">
        <f>step3_validation[[#This Row],[Used_Seed]]</f>
        <v>287</v>
      </c>
      <c r="C288" t="str">
        <f>step3_validation[[#This Row],[Gender]]</f>
        <v>Nữ</v>
      </c>
      <c r="D288" t="str">
        <f>survey_responses[[#This Row],[Giới tính của bạn:]]</f>
        <v>Nữ</v>
      </c>
      <c r="E288" t="str">
        <f>step3_validation[[#This Row],[Age_Group]]</f>
        <v>50 - 54</v>
      </c>
      <c r="F288" t="str">
        <f>survey_responses[[#This Row],[Độ tuổi của bạn:]]</f>
        <v>50 - 54</v>
      </c>
      <c r="G288" t="str">
        <f>step3_validation[[#This Row],[Region]]</f>
        <v>Thành thị</v>
      </c>
      <c r="H288" t="str">
        <f>survey_responses[[#This Row],[Khu vực bạn đang sinh sống:]]</f>
        <v>Thành thị</v>
      </c>
      <c r="I288" t="str">
        <f>step3_validation[[#This Row],[Education]]</f>
        <v>Đại học</v>
      </c>
      <c r="J288" t="str">
        <f>survey_responses[[#This Row],[Trình độ học vấn cao nhất:]]</f>
        <v>Đại học</v>
      </c>
      <c r="K288" t="str">
        <f>step3_validation[[#This Row],[Employment]]</f>
        <v>Chính thức</v>
      </c>
      <c r="L288" t="str">
        <f>survey_responses[[#This Row],[Tình trạng việc làm chính:]]</f>
        <v>Khu vực chính thức (Có Hợp đồng lao động, đóng BHXH)</v>
      </c>
      <c r="M288">
        <f>step3_validation[[#This Row],[Income_Mil]]</f>
        <v>65.877277380656821</v>
      </c>
      <c r="N288" t="str">
        <f>survey_responses[[#This Row],[Thu nhập bình quân tháng theo Hợp đồng lao động của bạn là bao nhiêu? (Vui lòng điền tổng thu nhập trước khi khấu trừ các loại Bảo hiểm (BHXH, BHYT, BHTN) và Thuế TNCN)]]</f>
        <v>Từ 48 - 70 triệu VNĐ</v>
      </c>
      <c r="O288">
        <f>step3_validation[[#This Row],[Dependents]]</f>
        <v>4</v>
      </c>
      <c r="P288" t="str">
        <f>survey_responses[[#This Row],[Số người phụ thuộc (con nhỏ, cha mẹ già...) đủ điều kiện giảm trừ gia cảnh:]]</f>
        <v>4 người trở lên</v>
      </c>
      <c r="Q288">
        <f>step3_validation[[#This Row],[AI_ENF1]]</f>
        <v>8</v>
      </c>
      <c r="R288" t="str">
        <f t="shared" si="108"/>
        <v>Support</v>
      </c>
      <c r="S288">
        <f>survey_responses[[#This Row],[Tôi tin rằng với các quy định quản lý thuế hiện nay, hành vi gian lận hoặc trốn thuế sẽ dễ dàng bị phát hiện và xử lý nghiêm. - HUMAN-ENF1]]</f>
        <v>10</v>
      </c>
      <c r="T288" t="str">
        <f t="shared" si="109"/>
        <v>Support</v>
      </c>
      <c r="U288" s="32">
        <f t="shared" si="110"/>
        <v>2</v>
      </c>
      <c r="V288">
        <f>step3_validation[[#This Row],[AI_ENF2]]</f>
        <v>9</v>
      </c>
      <c r="W288" t="str">
        <f t="shared" si="111"/>
        <v>Support</v>
      </c>
      <c r="X288">
        <f>survey_responses[[#This Row],[Tôi tin rằng Nhà nước, cơ quan thuế có đủ khả năng và công nghệ để phát hiện, xử lý nghiêm các hành vi trốn thuế. - HUMAN-ENF2]]</f>
        <v>10</v>
      </c>
      <c r="Y288" t="str">
        <f t="shared" si="112"/>
        <v>Support</v>
      </c>
      <c r="Z288" s="32">
        <f t="shared" si="113"/>
        <v>1</v>
      </c>
      <c r="AA288">
        <f>step3_validation[[#This Row],[AI_FAC1]]</f>
        <v>7</v>
      </c>
      <c r="AB288" t="str">
        <f t="shared" si="114"/>
        <v>Neutral</v>
      </c>
      <c r="AC288">
        <f>survey_responses[[#This Row],[Các thủ tục khai báo thuế VÀ/HOẶC quy trình làm việc với cơ quan thuế đơn giản, tiện lợi, nhanh chóng hơn so với trước đây. - HUMAN-FAC1]]</f>
        <v>7</v>
      </c>
      <c r="AD288" t="str">
        <f t="shared" si="115"/>
        <v>Neutral</v>
      </c>
      <c r="AE288" s="32">
        <f t="shared" si="116"/>
        <v>0</v>
      </c>
      <c r="AF288">
        <f>step3_validation[[#This Row],[AI_FAC2]]</f>
        <v>9</v>
      </c>
      <c r="AG288" t="str">
        <f t="shared" si="117"/>
        <v>Support</v>
      </c>
      <c r="AH288">
        <f>survey_responses[[#This Row],[So với trước đây, tôi thấy cách tính thuế và các bậc thuế trong phương án mới đơn giản, dễ hiểu và dễ thực hiện hơn. - HUMAN-FAC2]]</f>
        <v>7</v>
      </c>
      <c r="AI288" t="str">
        <f t="shared" si="118"/>
        <v>Neutral</v>
      </c>
      <c r="AJ288" s="32">
        <f t="shared" si="119"/>
        <v>2</v>
      </c>
      <c r="AK288">
        <f>step3_validation[[#This Row],[AI_TRU1]]</f>
        <v>7</v>
      </c>
      <c r="AL288" t="str">
        <f t="shared" si="120"/>
        <v>Neutral</v>
      </c>
      <c r="AM288">
        <f>survey_responses[[#This Row],[Tôi tin rằng Nhà nước, cơ quan thuế sẽ thực thi chính sách mới một cách khách quan, công tâm và đối xử bình đẳng với mọi người nộp thuế.  - HUMAN-TRU1]]</f>
        <v>8</v>
      </c>
      <c r="AN288" t="str">
        <f t="shared" si="121"/>
        <v>Support</v>
      </c>
      <c r="AO288" s="32">
        <f t="shared" si="122"/>
        <v>1</v>
      </c>
      <c r="AP288">
        <f>step3_validation[[#This Row],[AI_TRU2]]</f>
        <v>9</v>
      </c>
      <c r="AQ288" t="str">
        <f t="shared" si="123"/>
        <v>Support</v>
      </c>
      <c r="AR288">
        <f>survey_responses[[#This Row],[Tôi thấy mức thuế tôi phải đóng theo phương án mới là công bằng (người thu nhập như tôi đóng mức này là hợp lý). - HUMAN-TRU2]]</f>
        <v>7</v>
      </c>
      <c r="AS288" t="str">
        <f t="shared" si="124"/>
        <v>Neutral</v>
      </c>
      <c r="AT288" s="32">
        <f t="shared" si="125"/>
        <v>2</v>
      </c>
      <c r="AU288">
        <f>step3_validation[[#This Row],[AI_TRU3]]</f>
        <v>7</v>
      </c>
      <c r="AV288" t="str">
        <f t="shared" si="126"/>
        <v>Neutral</v>
      </c>
      <c r="AW288">
        <f>survey_responses[[#This Row],[Tôi tin tưởng số tiền thuế tôi đóng sẽ được Nhà nước sử dụng hiệu quả để cải thiện dịch vụ công (y tế, đường xá...). - HUMAN-TRU3]]</f>
        <v>8</v>
      </c>
      <c r="AX288" t="str">
        <f t="shared" si="127"/>
        <v>Support</v>
      </c>
      <c r="AY288" s="32">
        <f t="shared" si="128"/>
        <v>1</v>
      </c>
      <c r="AZ288">
        <f>step3_validation[[#This Row],[AI_TRU4]]</f>
        <v>6</v>
      </c>
      <c r="BA288" t="str">
        <f t="shared" si="129"/>
        <v>Neutral</v>
      </c>
      <c r="BB288">
        <f>survey_responses[[#This Row],[Tôi thấy Nhà nước đã giải thích rõ ràng, minh bạch về lý do và mục tiêu của việc sửa đổi thuế lần này. - HUMAN-TRU4]]</f>
        <v>8</v>
      </c>
      <c r="BC288" t="str">
        <f t="shared" si="130"/>
        <v>Support</v>
      </c>
      <c r="BD288" s="32">
        <f t="shared" si="131"/>
        <v>2</v>
      </c>
      <c r="BE288">
        <f>step3_validation[[#This Row],[AI_OUT1]]</f>
        <v>8</v>
      </c>
      <c r="BF288" t="str">
        <f t="shared" si="132"/>
        <v>Support</v>
      </c>
      <c r="BG288">
        <f>survey_responses[[#This Row],[Sau khi xem xét các quyền lợi và nghĩa vụ, bạn có ủng hộ và tuân thủ chính sách mới hiện nay? - HUMAN-OUT1]]</f>
        <v>8</v>
      </c>
      <c r="BH288" t="str">
        <f t="shared" si="133"/>
        <v>Support</v>
      </c>
      <c r="BI288" s="32">
        <f t="shared" si="134"/>
        <v>0</v>
      </c>
    </row>
    <row r="289" spans="1:61" x14ac:dyDescent="0.45">
      <c r="A289" s="30">
        <f>step3_validation[[#This Row],[Persona_ID]]</f>
        <v>288</v>
      </c>
      <c r="B289" s="31">
        <f>step3_validation[[#This Row],[Used_Seed]]</f>
        <v>288</v>
      </c>
      <c r="C289" t="str">
        <f>step3_validation[[#This Row],[Gender]]</f>
        <v>Nam</v>
      </c>
      <c r="D289" t="str">
        <f>survey_responses[[#This Row],[Giới tính của bạn:]]</f>
        <v>Nam</v>
      </c>
      <c r="E289" t="str">
        <f>step3_validation[[#This Row],[Age_Group]]</f>
        <v>25 - 29</v>
      </c>
      <c r="F289" t="str">
        <f>survey_responses[[#This Row],[Độ tuổi của bạn:]]</f>
        <v>25 - 29</v>
      </c>
      <c r="G289" t="str">
        <f>step3_validation[[#This Row],[Region]]</f>
        <v>Thành thị</v>
      </c>
      <c r="H289" t="str">
        <f>survey_responses[[#This Row],[Khu vực bạn đang sinh sống:]]</f>
        <v>Thành thị</v>
      </c>
      <c r="I289" t="str">
        <f>step3_validation[[#This Row],[Education]]</f>
        <v>Đại học</v>
      </c>
      <c r="J289" t="str">
        <f>survey_responses[[#This Row],[Trình độ học vấn cao nhất:]]</f>
        <v>Đại học</v>
      </c>
      <c r="K289" t="str">
        <f>step3_validation[[#This Row],[Employment]]</f>
        <v>Chính thức</v>
      </c>
      <c r="L289" t="str">
        <f>survey_responses[[#This Row],[Tình trạng việc làm chính:]]</f>
        <v>Khu vực chính thức (Có Hợp đồng lao động, đóng BHXH)</v>
      </c>
      <c r="M289">
        <f>step3_validation[[#This Row],[Income_Mil]]</f>
        <v>28.867180053564908</v>
      </c>
      <c r="N289" t="str">
        <f>survey_responses[[#This Row],[Thu nhập bình quân tháng theo Hợp đồng lao động của bạn là bao nhiêu? (Vui lòng điền tổng thu nhập trước khi khấu trừ các loại Bảo hiểm (BHXH, BHYT, BHTN) và Thuế TNCN)]]</f>
        <v>Từ 23 - 32 triệu VNĐ</v>
      </c>
      <c r="O289">
        <f>step3_validation[[#This Row],[Dependents]]</f>
        <v>0</v>
      </c>
      <c r="P289" t="str">
        <f>survey_responses[[#This Row],[Số người phụ thuộc (con nhỏ, cha mẹ già...) đủ điều kiện giảm trừ gia cảnh:]]</f>
        <v>0 người</v>
      </c>
      <c r="Q289">
        <f>step3_validation[[#This Row],[AI_ENF1]]</f>
        <v>7</v>
      </c>
      <c r="R289" t="str">
        <f t="shared" si="108"/>
        <v>Neutral</v>
      </c>
      <c r="S289">
        <f>survey_responses[[#This Row],[Tôi tin rằng với các quy định quản lý thuế hiện nay, hành vi gian lận hoặc trốn thuế sẽ dễ dàng bị phát hiện và xử lý nghiêm. - HUMAN-ENF1]]</f>
        <v>8</v>
      </c>
      <c r="T289" t="str">
        <f t="shared" si="109"/>
        <v>Support</v>
      </c>
      <c r="U289" s="32">
        <f t="shared" si="110"/>
        <v>1</v>
      </c>
      <c r="V289">
        <f>step3_validation[[#This Row],[AI_ENF2]]</f>
        <v>8</v>
      </c>
      <c r="W289" t="str">
        <f t="shared" si="111"/>
        <v>Support</v>
      </c>
      <c r="X289">
        <f>survey_responses[[#This Row],[Tôi tin rằng Nhà nước, cơ quan thuế có đủ khả năng và công nghệ để phát hiện, xử lý nghiêm các hành vi trốn thuế. - HUMAN-ENF2]]</f>
        <v>8</v>
      </c>
      <c r="Y289" t="str">
        <f t="shared" si="112"/>
        <v>Support</v>
      </c>
      <c r="Z289" s="32">
        <f t="shared" si="113"/>
        <v>0</v>
      </c>
      <c r="AA289">
        <f>step3_validation[[#This Row],[AI_FAC1]]</f>
        <v>7</v>
      </c>
      <c r="AB289" t="str">
        <f t="shared" si="114"/>
        <v>Neutral</v>
      </c>
      <c r="AC289">
        <f>survey_responses[[#This Row],[Các thủ tục khai báo thuế VÀ/HOẶC quy trình làm việc với cơ quan thuế đơn giản, tiện lợi, nhanh chóng hơn so với trước đây. - HUMAN-FAC1]]</f>
        <v>5</v>
      </c>
      <c r="AD289" t="str">
        <f t="shared" si="115"/>
        <v>Neutral</v>
      </c>
      <c r="AE289" s="32">
        <f t="shared" si="116"/>
        <v>2</v>
      </c>
      <c r="AF289">
        <f>step3_validation[[#This Row],[AI_FAC2]]</f>
        <v>9</v>
      </c>
      <c r="AG289" t="str">
        <f t="shared" si="117"/>
        <v>Support</v>
      </c>
      <c r="AH289">
        <f>survey_responses[[#This Row],[So với trước đây, tôi thấy cách tính thuế và các bậc thuế trong phương án mới đơn giản, dễ hiểu và dễ thực hiện hơn. - HUMAN-FAC2]]</f>
        <v>9</v>
      </c>
      <c r="AI289" t="str">
        <f t="shared" si="118"/>
        <v>Support</v>
      </c>
      <c r="AJ289" s="32">
        <f t="shared" si="119"/>
        <v>0</v>
      </c>
      <c r="AK289">
        <f>step3_validation[[#This Row],[AI_TRU1]]</f>
        <v>7</v>
      </c>
      <c r="AL289" t="str">
        <f t="shared" si="120"/>
        <v>Neutral</v>
      </c>
      <c r="AM289">
        <f>survey_responses[[#This Row],[Tôi tin rằng Nhà nước, cơ quan thuế sẽ thực thi chính sách mới một cách khách quan, công tâm và đối xử bình đẳng với mọi người nộp thuế.  - HUMAN-TRU1]]</f>
        <v>10</v>
      </c>
      <c r="AN289" t="str">
        <f t="shared" si="121"/>
        <v>Support</v>
      </c>
      <c r="AO289" s="32">
        <f t="shared" si="122"/>
        <v>3</v>
      </c>
      <c r="AP289">
        <f>step3_validation[[#This Row],[AI_TRU2]]</f>
        <v>9</v>
      </c>
      <c r="AQ289" t="str">
        <f t="shared" si="123"/>
        <v>Support</v>
      </c>
      <c r="AR289">
        <f>survey_responses[[#This Row],[Tôi thấy mức thuế tôi phải đóng theo phương án mới là công bằng (người thu nhập như tôi đóng mức này là hợp lý). - HUMAN-TRU2]]</f>
        <v>10</v>
      </c>
      <c r="AS289" t="str">
        <f t="shared" si="124"/>
        <v>Support</v>
      </c>
      <c r="AT289" s="32">
        <f t="shared" si="125"/>
        <v>1</v>
      </c>
      <c r="AU289">
        <f>step3_validation[[#This Row],[AI_TRU3]]</f>
        <v>7</v>
      </c>
      <c r="AV289" t="str">
        <f t="shared" si="126"/>
        <v>Neutral</v>
      </c>
      <c r="AW289">
        <f>survey_responses[[#This Row],[Tôi tin tưởng số tiền thuế tôi đóng sẽ được Nhà nước sử dụng hiệu quả để cải thiện dịch vụ công (y tế, đường xá...). - HUMAN-TRU3]]</f>
        <v>9</v>
      </c>
      <c r="AX289" t="str">
        <f t="shared" si="127"/>
        <v>Support</v>
      </c>
      <c r="AY289" s="32">
        <f t="shared" si="128"/>
        <v>2</v>
      </c>
      <c r="AZ289">
        <f>step3_validation[[#This Row],[AI_TRU4]]</f>
        <v>9</v>
      </c>
      <c r="BA289" t="str">
        <f t="shared" si="129"/>
        <v>Support</v>
      </c>
      <c r="BB289">
        <f>survey_responses[[#This Row],[Tôi thấy Nhà nước đã giải thích rõ ràng, minh bạch về lý do và mục tiêu của việc sửa đổi thuế lần này. - HUMAN-TRU4]]</f>
        <v>9</v>
      </c>
      <c r="BC289" t="str">
        <f t="shared" si="130"/>
        <v>Support</v>
      </c>
      <c r="BD289" s="32">
        <f t="shared" si="131"/>
        <v>0</v>
      </c>
      <c r="BE289">
        <f>step3_validation[[#This Row],[AI_OUT1]]</f>
        <v>8</v>
      </c>
      <c r="BF289" t="str">
        <f t="shared" si="132"/>
        <v>Support</v>
      </c>
      <c r="BG289">
        <f>survey_responses[[#This Row],[Sau khi xem xét các quyền lợi và nghĩa vụ, bạn có ủng hộ và tuân thủ chính sách mới hiện nay? - HUMAN-OUT1]]</f>
        <v>10</v>
      </c>
      <c r="BH289" t="str">
        <f t="shared" si="133"/>
        <v>Support</v>
      </c>
      <c r="BI289" s="32">
        <f t="shared" si="134"/>
        <v>2</v>
      </c>
    </row>
    <row r="290" spans="1:61" x14ac:dyDescent="0.45">
      <c r="A290" s="30">
        <f>step3_validation[[#This Row],[Persona_ID]]</f>
        <v>289</v>
      </c>
      <c r="B290" s="31">
        <f>step3_validation[[#This Row],[Used_Seed]]</f>
        <v>289</v>
      </c>
      <c r="C290" t="str">
        <f>step3_validation[[#This Row],[Gender]]</f>
        <v>Nữ</v>
      </c>
      <c r="D290" t="str">
        <f>survey_responses[[#This Row],[Giới tính của bạn:]]</f>
        <v>Nữ</v>
      </c>
      <c r="E290" t="str">
        <f>step3_validation[[#This Row],[Age_Group]]</f>
        <v>30 - 39</v>
      </c>
      <c r="F290" t="str">
        <f>survey_responses[[#This Row],[Độ tuổi của bạn:]]</f>
        <v>30 - 39</v>
      </c>
      <c r="G290" t="str">
        <f>step3_validation[[#This Row],[Region]]</f>
        <v>Thành thị</v>
      </c>
      <c r="H290" t="str">
        <f>survey_responses[[#This Row],[Khu vực bạn đang sinh sống:]]</f>
        <v>Thành thị</v>
      </c>
      <c r="I290" t="str">
        <f>step3_validation[[#This Row],[Education]]</f>
        <v>Cao đẳng</v>
      </c>
      <c r="J290" t="str">
        <f>survey_responses[[#This Row],[Trình độ học vấn cao nhất:]]</f>
        <v>Cao đẳng</v>
      </c>
      <c r="K290" t="str">
        <f>step3_validation[[#This Row],[Employment]]</f>
        <v>Chính thức</v>
      </c>
      <c r="L290" t="str">
        <f>survey_responses[[#This Row],[Tình trạng việc làm chính:]]</f>
        <v>Khu vực chính thức (Có Hợp đồng lao động, đóng BHXH)</v>
      </c>
      <c r="M290">
        <f>step3_validation[[#This Row],[Income_Mil]]</f>
        <v>29.742602209868721</v>
      </c>
      <c r="N290" t="str">
        <f>survey_responses[[#This Row],[Thu nhập bình quân tháng theo Hợp đồng lao động của bạn là bao nhiêu? (Vui lòng điền tổng thu nhập trước khi khấu trừ các loại Bảo hiểm (BHXH, BHYT, BHTN) và Thuế TNCN)]]</f>
        <v>Từ 23 - 32 triệu VNĐ</v>
      </c>
      <c r="O290">
        <f>step3_validation[[#This Row],[Dependents]]</f>
        <v>1</v>
      </c>
      <c r="P290" t="str">
        <f>survey_responses[[#This Row],[Số người phụ thuộc (con nhỏ, cha mẹ già...) đủ điều kiện giảm trừ gia cảnh:]]</f>
        <v>1 người</v>
      </c>
      <c r="Q290">
        <f>step3_validation[[#This Row],[AI_ENF1]]</f>
        <v>5</v>
      </c>
      <c r="R290" t="str">
        <f t="shared" si="108"/>
        <v>Neutral</v>
      </c>
      <c r="S290">
        <f>survey_responses[[#This Row],[Tôi tin rằng với các quy định quản lý thuế hiện nay, hành vi gian lận hoặc trốn thuế sẽ dễ dàng bị phát hiện và xử lý nghiêm. - HUMAN-ENF1]]</f>
        <v>7</v>
      </c>
      <c r="T290" t="str">
        <f t="shared" si="109"/>
        <v>Neutral</v>
      </c>
      <c r="U290" s="32">
        <f t="shared" si="110"/>
        <v>2</v>
      </c>
      <c r="V290">
        <f>step3_validation[[#This Row],[AI_ENF2]]</f>
        <v>6</v>
      </c>
      <c r="W290" t="str">
        <f t="shared" si="111"/>
        <v>Neutral</v>
      </c>
      <c r="X290">
        <f>survey_responses[[#This Row],[Tôi tin rằng Nhà nước, cơ quan thuế có đủ khả năng và công nghệ để phát hiện, xử lý nghiêm các hành vi trốn thuế. - HUMAN-ENF2]]</f>
        <v>7</v>
      </c>
      <c r="Y290" t="str">
        <f t="shared" si="112"/>
        <v>Neutral</v>
      </c>
      <c r="Z290" s="32">
        <f t="shared" si="113"/>
        <v>1</v>
      </c>
      <c r="AA290">
        <f>step3_validation[[#This Row],[AI_FAC1]]</f>
        <v>8</v>
      </c>
      <c r="AB290" t="str">
        <f t="shared" si="114"/>
        <v>Support</v>
      </c>
      <c r="AC290">
        <f>survey_responses[[#This Row],[Các thủ tục khai báo thuế VÀ/HOẶC quy trình làm việc với cơ quan thuế đơn giản, tiện lợi, nhanh chóng hơn so với trước đây. - HUMAN-FAC1]]</f>
        <v>5</v>
      </c>
      <c r="AD290" t="str">
        <f t="shared" si="115"/>
        <v>Neutral</v>
      </c>
      <c r="AE290" s="32">
        <f t="shared" si="116"/>
        <v>3</v>
      </c>
      <c r="AF290">
        <f>step3_validation[[#This Row],[AI_FAC2]]</f>
        <v>9</v>
      </c>
      <c r="AG290" t="str">
        <f t="shared" si="117"/>
        <v>Support</v>
      </c>
      <c r="AH290">
        <f>survey_responses[[#This Row],[So với trước đây, tôi thấy cách tính thuế và các bậc thuế trong phương án mới đơn giản, dễ hiểu và dễ thực hiện hơn. - HUMAN-FAC2]]</f>
        <v>6</v>
      </c>
      <c r="AI290" t="str">
        <f t="shared" si="118"/>
        <v>Neutral</v>
      </c>
      <c r="AJ290" s="32">
        <f t="shared" si="119"/>
        <v>3</v>
      </c>
      <c r="AK290">
        <f>step3_validation[[#This Row],[AI_TRU1]]</f>
        <v>7</v>
      </c>
      <c r="AL290" t="str">
        <f t="shared" si="120"/>
        <v>Neutral</v>
      </c>
      <c r="AM290">
        <f>survey_responses[[#This Row],[Tôi tin rằng Nhà nước, cơ quan thuế sẽ thực thi chính sách mới một cách khách quan, công tâm và đối xử bình đẳng với mọi người nộp thuế.  - HUMAN-TRU1]]</f>
        <v>5</v>
      </c>
      <c r="AN290" t="str">
        <f t="shared" si="121"/>
        <v>Neutral</v>
      </c>
      <c r="AO290" s="32">
        <f t="shared" si="122"/>
        <v>2</v>
      </c>
      <c r="AP290">
        <f>step3_validation[[#This Row],[AI_TRU2]]</f>
        <v>9</v>
      </c>
      <c r="AQ290" t="str">
        <f t="shared" si="123"/>
        <v>Support</v>
      </c>
      <c r="AR290">
        <f>survey_responses[[#This Row],[Tôi thấy mức thuế tôi phải đóng theo phương án mới là công bằng (người thu nhập như tôi đóng mức này là hợp lý). - HUMAN-TRU2]]</f>
        <v>5</v>
      </c>
      <c r="AS290" t="str">
        <f t="shared" si="124"/>
        <v>Neutral</v>
      </c>
      <c r="AT290" s="32">
        <f t="shared" si="125"/>
        <v>4</v>
      </c>
      <c r="AU290">
        <f>step3_validation[[#This Row],[AI_TRU3]]</f>
        <v>7</v>
      </c>
      <c r="AV290" t="str">
        <f t="shared" si="126"/>
        <v>Neutral</v>
      </c>
      <c r="AW290">
        <f>survey_responses[[#This Row],[Tôi tin tưởng số tiền thuế tôi đóng sẽ được Nhà nước sử dụng hiệu quả để cải thiện dịch vụ công (y tế, đường xá...). - HUMAN-TRU3]]</f>
        <v>5</v>
      </c>
      <c r="AX290" t="str">
        <f t="shared" si="127"/>
        <v>Neutral</v>
      </c>
      <c r="AY290" s="32">
        <f t="shared" si="128"/>
        <v>2</v>
      </c>
      <c r="AZ290">
        <f>step3_validation[[#This Row],[AI_TRU4]]</f>
        <v>8</v>
      </c>
      <c r="BA290" t="str">
        <f t="shared" si="129"/>
        <v>Support</v>
      </c>
      <c r="BB290">
        <f>survey_responses[[#This Row],[Tôi thấy Nhà nước đã giải thích rõ ràng, minh bạch về lý do và mục tiêu của việc sửa đổi thuế lần này. - HUMAN-TRU4]]</f>
        <v>5</v>
      </c>
      <c r="BC290" t="str">
        <f t="shared" si="130"/>
        <v>Neutral</v>
      </c>
      <c r="BD290" s="32">
        <f t="shared" si="131"/>
        <v>3</v>
      </c>
      <c r="BE290">
        <f>step3_validation[[#This Row],[AI_OUT1]]</f>
        <v>7</v>
      </c>
      <c r="BF290" t="str">
        <f t="shared" si="132"/>
        <v>Neutral</v>
      </c>
      <c r="BG290">
        <f>survey_responses[[#This Row],[Sau khi xem xét các quyền lợi và nghĩa vụ, bạn có ủng hộ và tuân thủ chính sách mới hiện nay? - HUMAN-OUT1]]</f>
        <v>6</v>
      </c>
      <c r="BH290" t="str">
        <f t="shared" si="133"/>
        <v>Neutral</v>
      </c>
      <c r="BI290" s="32">
        <f t="shared" si="134"/>
        <v>1</v>
      </c>
    </row>
    <row r="291" spans="1:61" x14ac:dyDescent="0.45">
      <c r="A291" s="30">
        <f>step3_validation[[#This Row],[Persona_ID]]</f>
        <v>290</v>
      </c>
      <c r="B291" s="31">
        <f>step3_validation[[#This Row],[Used_Seed]]</f>
        <v>290</v>
      </c>
      <c r="C291" t="str">
        <f>step3_validation[[#This Row],[Gender]]</f>
        <v>Nam</v>
      </c>
      <c r="D291" t="str">
        <f>survey_responses[[#This Row],[Giới tính của bạn:]]</f>
        <v>Nam</v>
      </c>
      <c r="E291" t="str">
        <f>step3_validation[[#This Row],[Age_Group]]</f>
        <v>30 - 39</v>
      </c>
      <c r="F291" t="str">
        <f>survey_responses[[#This Row],[Độ tuổi của bạn:]]</f>
        <v>30 - 39</v>
      </c>
      <c r="G291" t="str">
        <f>step3_validation[[#This Row],[Region]]</f>
        <v>Thành thị</v>
      </c>
      <c r="H291" t="str">
        <f>survey_responses[[#This Row],[Khu vực bạn đang sinh sống:]]</f>
        <v>Thành thị</v>
      </c>
      <c r="I291" t="str">
        <f>step3_validation[[#This Row],[Education]]</f>
        <v>Đại học</v>
      </c>
      <c r="J291" t="str">
        <f>survey_responses[[#This Row],[Trình độ học vấn cao nhất:]]</f>
        <v>Đại học</v>
      </c>
      <c r="K291" t="str">
        <f>step3_validation[[#This Row],[Employment]]</f>
        <v>Chính thức</v>
      </c>
      <c r="L291" t="str">
        <f>survey_responses[[#This Row],[Tình trạng việc làm chính:]]</f>
        <v>Khu vực chính thức (Có Hợp đồng lao động, đóng BHXH)</v>
      </c>
      <c r="M291">
        <f>step3_validation[[#This Row],[Income_Mil]]</f>
        <v>37.891430492980653</v>
      </c>
      <c r="N291" t="str">
        <f>survey_responses[[#This Row],[Thu nhập bình quân tháng theo Hợp đồng lao động của bạn là bao nhiêu? (Vui lòng điền tổng thu nhập trước khi khấu trừ các loại Bảo hiểm (BHXH, BHYT, BHTN) và Thuế TNCN)]]</f>
        <v>Từ 32 - 48 triệu VNĐ</v>
      </c>
      <c r="O291">
        <f>step3_validation[[#This Row],[Dependents]]</f>
        <v>2</v>
      </c>
      <c r="P291" t="str">
        <f>survey_responses[[#This Row],[Số người phụ thuộc (con nhỏ, cha mẹ già...) đủ điều kiện giảm trừ gia cảnh:]]</f>
        <v>2 người</v>
      </c>
      <c r="Q291">
        <f>step3_validation[[#This Row],[AI_ENF1]]</f>
        <v>6</v>
      </c>
      <c r="R291" t="str">
        <f t="shared" si="108"/>
        <v>Neutral</v>
      </c>
      <c r="S291">
        <f>survey_responses[[#This Row],[Tôi tin rằng với các quy định quản lý thuế hiện nay, hành vi gian lận hoặc trốn thuế sẽ dễ dàng bị phát hiện và xử lý nghiêm. - HUMAN-ENF1]]</f>
        <v>8</v>
      </c>
      <c r="T291" t="str">
        <f t="shared" si="109"/>
        <v>Support</v>
      </c>
      <c r="U291" s="32">
        <f t="shared" si="110"/>
        <v>2</v>
      </c>
      <c r="V291">
        <f>step3_validation[[#This Row],[AI_ENF2]]</f>
        <v>6</v>
      </c>
      <c r="W291" t="str">
        <f t="shared" si="111"/>
        <v>Neutral</v>
      </c>
      <c r="X291">
        <f>survey_responses[[#This Row],[Tôi tin rằng Nhà nước, cơ quan thuế có đủ khả năng và công nghệ để phát hiện, xử lý nghiêm các hành vi trốn thuế. - HUMAN-ENF2]]</f>
        <v>8</v>
      </c>
      <c r="Y291" t="str">
        <f t="shared" si="112"/>
        <v>Support</v>
      </c>
      <c r="Z291" s="32">
        <f t="shared" si="113"/>
        <v>2</v>
      </c>
      <c r="AA291">
        <f>step3_validation[[#This Row],[AI_FAC1]]</f>
        <v>8</v>
      </c>
      <c r="AB291" t="str">
        <f t="shared" si="114"/>
        <v>Support</v>
      </c>
      <c r="AC291">
        <f>survey_responses[[#This Row],[Các thủ tục khai báo thuế VÀ/HOẶC quy trình làm việc với cơ quan thuế đơn giản, tiện lợi, nhanh chóng hơn so với trước đây. - HUMAN-FAC1]]</f>
        <v>8</v>
      </c>
      <c r="AD291" t="str">
        <f t="shared" si="115"/>
        <v>Support</v>
      </c>
      <c r="AE291" s="32">
        <f t="shared" si="116"/>
        <v>0</v>
      </c>
      <c r="AF291">
        <f>step3_validation[[#This Row],[AI_FAC2]]</f>
        <v>7</v>
      </c>
      <c r="AG291" t="str">
        <f t="shared" si="117"/>
        <v>Neutral</v>
      </c>
      <c r="AH291">
        <f>survey_responses[[#This Row],[So với trước đây, tôi thấy cách tính thuế và các bậc thuế trong phương án mới đơn giản, dễ hiểu và dễ thực hiện hơn. - HUMAN-FAC2]]</f>
        <v>8</v>
      </c>
      <c r="AI291" t="str">
        <f t="shared" si="118"/>
        <v>Support</v>
      </c>
      <c r="AJ291" s="32">
        <f t="shared" si="119"/>
        <v>1</v>
      </c>
      <c r="AK291">
        <f>step3_validation[[#This Row],[AI_TRU1]]</f>
        <v>6</v>
      </c>
      <c r="AL291" t="str">
        <f t="shared" si="120"/>
        <v>Neutral</v>
      </c>
      <c r="AM291">
        <f>survey_responses[[#This Row],[Tôi tin rằng Nhà nước, cơ quan thuế sẽ thực thi chính sách mới một cách khách quan, công tâm và đối xử bình đẳng với mọi người nộp thuế.  - HUMAN-TRU1]]</f>
        <v>8</v>
      </c>
      <c r="AN291" t="str">
        <f t="shared" si="121"/>
        <v>Support</v>
      </c>
      <c r="AO291" s="32">
        <f t="shared" si="122"/>
        <v>2</v>
      </c>
      <c r="AP291">
        <f>step3_validation[[#This Row],[AI_TRU2]]</f>
        <v>8</v>
      </c>
      <c r="AQ291" t="str">
        <f t="shared" si="123"/>
        <v>Support</v>
      </c>
      <c r="AR291">
        <f>survey_responses[[#This Row],[Tôi thấy mức thuế tôi phải đóng theo phương án mới là công bằng (người thu nhập như tôi đóng mức này là hợp lý). - HUMAN-TRU2]]</f>
        <v>8</v>
      </c>
      <c r="AS291" t="str">
        <f t="shared" si="124"/>
        <v>Support</v>
      </c>
      <c r="AT291" s="32">
        <f t="shared" si="125"/>
        <v>0</v>
      </c>
      <c r="AU291">
        <f>step3_validation[[#This Row],[AI_TRU3]]</f>
        <v>6</v>
      </c>
      <c r="AV291" t="str">
        <f t="shared" si="126"/>
        <v>Neutral</v>
      </c>
      <c r="AW291">
        <f>survey_responses[[#This Row],[Tôi tin tưởng số tiền thuế tôi đóng sẽ được Nhà nước sử dụng hiệu quả để cải thiện dịch vụ công (y tế, đường xá...). - HUMAN-TRU3]]</f>
        <v>8</v>
      </c>
      <c r="AX291" t="str">
        <f t="shared" si="127"/>
        <v>Support</v>
      </c>
      <c r="AY291" s="32">
        <f t="shared" si="128"/>
        <v>2</v>
      </c>
      <c r="AZ291">
        <f>step3_validation[[#This Row],[AI_TRU4]]</f>
        <v>7</v>
      </c>
      <c r="BA291" t="str">
        <f t="shared" si="129"/>
        <v>Neutral</v>
      </c>
      <c r="BB291">
        <f>survey_responses[[#This Row],[Tôi thấy Nhà nước đã giải thích rõ ràng, minh bạch về lý do và mục tiêu của việc sửa đổi thuế lần này. - HUMAN-TRU4]]</f>
        <v>8</v>
      </c>
      <c r="BC291" t="str">
        <f t="shared" si="130"/>
        <v>Support</v>
      </c>
      <c r="BD291" s="32">
        <f t="shared" si="131"/>
        <v>1</v>
      </c>
      <c r="BE291">
        <f>step3_validation[[#This Row],[AI_OUT1]]</f>
        <v>8</v>
      </c>
      <c r="BF291" t="str">
        <f t="shared" si="132"/>
        <v>Support</v>
      </c>
      <c r="BG291">
        <f>survey_responses[[#This Row],[Sau khi xem xét các quyền lợi và nghĩa vụ, bạn có ủng hộ và tuân thủ chính sách mới hiện nay? - HUMAN-OUT1]]</f>
        <v>8</v>
      </c>
      <c r="BH291" t="str">
        <f t="shared" si="133"/>
        <v>Support</v>
      </c>
      <c r="BI291" s="32">
        <f t="shared" si="134"/>
        <v>0</v>
      </c>
    </row>
    <row r="292" spans="1:61" x14ac:dyDescent="0.45">
      <c r="A292" s="30">
        <f>step3_validation[[#This Row],[Persona_ID]]</f>
        <v>291</v>
      </c>
      <c r="B292" s="31">
        <f>step3_validation[[#This Row],[Used_Seed]]</f>
        <v>291</v>
      </c>
      <c r="C292" t="str">
        <f>step3_validation[[#This Row],[Gender]]</f>
        <v>Nam</v>
      </c>
      <c r="D292" t="str">
        <f>survey_responses[[#This Row],[Giới tính của bạn:]]</f>
        <v>Nam</v>
      </c>
      <c r="E292" t="str">
        <f>step3_validation[[#This Row],[Age_Group]]</f>
        <v>25 - 29</v>
      </c>
      <c r="F292" t="str">
        <f>survey_responses[[#This Row],[Độ tuổi của bạn:]]</f>
        <v>25 - 29</v>
      </c>
      <c r="G292" t="str">
        <f>step3_validation[[#This Row],[Region]]</f>
        <v>Thành thị</v>
      </c>
      <c r="H292" t="str">
        <f>survey_responses[[#This Row],[Khu vực bạn đang sinh sống:]]</f>
        <v>Thành thị</v>
      </c>
      <c r="I292" t="str">
        <f>step3_validation[[#This Row],[Education]]</f>
        <v>Đại học</v>
      </c>
      <c r="J292" t="str">
        <f>survey_responses[[#This Row],[Trình độ học vấn cao nhất:]]</f>
        <v>Đại học</v>
      </c>
      <c r="K292" t="str">
        <f>step3_validation[[#This Row],[Employment]]</f>
        <v>Chính thức</v>
      </c>
      <c r="L292" t="str">
        <f>survey_responses[[#This Row],[Tình trạng việc làm chính:]]</f>
        <v>Khu vực chính thức (Có Hợp đồng lao động, đóng BHXH)</v>
      </c>
      <c r="M292">
        <f>step3_validation[[#This Row],[Income_Mil]]</f>
        <v>52.054939407172547</v>
      </c>
      <c r="N292" t="str">
        <f>survey_responses[[#This Row],[Thu nhập bình quân tháng theo Hợp đồng lao động của bạn là bao nhiêu? (Vui lòng điền tổng thu nhập trước khi khấu trừ các loại Bảo hiểm (BHXH, BHYT, BHTN) và Thuế TNCN)]]</f>
        <v>Từ 48 - 70 triệu VNĐ</v>
      </c>
      <c r="O292">
        <f>step3_validation[[#This Row],[Dependents]]</f>
        <v>2</v>
      </c>
      <c r="P292" t="str">
        <f>survey_responses[[#This Row],[Số người phụ thuộc (con nhỏ, cha mẹ già...) đủ điều kiện giảm trừ gia cảnh:]]</f>
        <v>2 người</v>
      </c>
      <c r="Q292">
        <f>step3_validation[[#This Row],[AI_ENF1]]</f>
        <v>7</v>
      </c>
      <c r="R292" t="str">
        <f t="shared" si="108"/>
        <v>Neutral</v>
      </c>
      <c r="S292">
        <f>survey_responses[[#This Row],[Tôi tin rằng với các quy định quản lý thuế hiện nay, hành vi gian lận hoặc trốn thuế sẽ dễ dàng bị phát hiện và xử lý nghiêm. - HUMAN-ENF1]]</f>
        <v>9</v>
      </c>
      <c r="T292" t="str">
        <f t="shared" si="109"/>
        <v>Support</v>
      </c>
      <c r="U292" s="32">
        <f t="shared" si="110"/>
        <v>2</v>
      </c>
      <c r="V292">
        <f>step3_validation[[#This Row],[AI_ENF2]]</f>
        <v>6</v>
      </c>
      <c r="W292" t="str">
        <f t="shared" si="111"/>
        <v>Neutral</v>
      </c>
      <c r="X292">
        <f>survey_responses[[#This Row],[Tôi tin rằng Nhà nước, cơ quan thuế có đủ khả năng và công nghệ để phát hiện, xử lý nghiêm các hành vi trốn thuế. - HUMAN-ENF2]]</f>
        <v>9</v>
      </c>
      <c r="Y292" t="str">
        <f t="shared" si="112"/>
        <v>Support</v>
      </c>
      <c r="Z292" s="32">
        <f t="shared" si="113"/>
        <v>3</v>
      </c>
      <c r="AA292">
        <f>step3_validation[[#This Row],[AI_FAC1]]</f>
        <v>8</v>
      </c>
      <c r="AB292" t="str">
        <f t="shared" si="114"/>
        <v>Support</v>
      </c>
      <c r="AC292">
        <f>survey_responses[[#This Row],[Các thủ tục khai báo thuế VÀ/HOẶC quy trình làm việc với cơ quan thuế đơn giản, tiện lợi, nhanh chóng hơn so với trước đây. - HUMAN-FAC1]]</f>
        <v>3</v>
      </c>
      <c r="AD292" t="str">
        <f t="shared" si="115"/>
        <v>Oppose</v>
      </c>
      <c r="AE292" s="32">
        <f t="shared" si="116"/>
        <v>5</v>
      </c>
      <c r="AF292">
        <f>step3_validation[[#This Row],[AI_FAC2]]</f>
        <v>9</v>
      </c>
      <c r="AG292" t="str">
        <f t="shared" si="117"/>
        <v>Support</v>
      </c>
      <c r="AH292">
        <f>survey_responses[[#This Row],[So với trước đây, tôi thấy cách tính thuế và các bậc thuế trong phương án mới đơn giản, dễ hiểu và dễ thực hiện hơn. - HUMAN-FAC2]]</f>
        <v>10</v>
      </c>
      <c r="AI292" t="str">
        <f t="shared" si="118"/>
        <v>Support</v>
      </c>
      <c r="AJ292" s="32">
        <f t="shared" si="119"/>
        <v>1</v>
      </c>
      <c r="AK292">
        <f>step3_validation[[#This Row],[AI_TRU1]]</f>
        <v>7</v>
      </c>
      <c r="AL292" t="str">
        <f t="shared" si="120"/>
        <v>Neutral</v>
      </c>
      <c r="AM292">
        <f>survey_responses[[#This Row],[Tôi tin rằng Nhà nước, cơ quan thuế sẽ thực thi chính sách mới một cách khách quan, công tâm và đối xử bình đẳng với mọi người nộp thuế.  - HUMAN-TRU1]]</f>
        <v>8</v>
      </c>
      <c r="AN292" t="str">
        <f t="shared" si="121"/>
        <v>Support</v>
      </c>
      <c r="AO292" s="32">
        <f t="shared" si="122"/>
        <v>1</v>
      </c>
      <c r="AP292">
        <f>step3_validation[[#This Row],[AI_TRU2]]</f>
        <v>9</v>
      </c>
      <c r="AQ292" t="str">
        <f t="shared" si="123"/>
        <v>Support</v>
      </c>
      <c r="AR292">
        <f>survey_responses[[#This Row],[Tôi thấy mức thuế tôi phải đóng theo phương án mới là công bằng (người thu nhập như tôi đóng mức này là hợp lý). - HUMAN-TRU2]]</f>
        <v>8</v>
      </c>
      <c r="AS292" t="str">
        <f t="shared" si="124"/>
        <v>Support</v>
      </c>
      <c r="AT292" s="32">
        <f t="shared" si="125"/>
        <v>1</v>
      </c>
      <c r="AU292">
        <f>step3_validation[[#This Row],[AI_TRU3]]</f>
        <v>8</v>
      </c>
      <c r="AV292" t="str">
        <f t="shared" si="126"/>
        <v>Support</v>
      </c>
      <c r="AW292">
        <f>survey_responses[[#This Row],[Tôi tin tưởng số tiền thuế tôi đóng sẽ được Nhà nước sử dụng hiệu quả để cải thiện dịch vụ công (y tế, đường xá...). - HUMAN-TRU3]]</f>
        <v>6</v>
      </c>
      <c r="AX292" t="str">
        <f t="shared" si="127"/>
        <v>Neutral</v>
      </c>
      <c r="AY292" s="32">
        <f t="shared" si="128"/>
        <v>2</v>
      </c>
      <c r="AZ292">
        <f>step3_validation[[#This Row],[AI_TRU4]]</f>
        <v>6</v>
      </c>
      <c r="BA292" t="str">
        <f t="shared" si="129"/>
        <v>Neutral</v>
      </c>
      <c r="BB292">
        <f>survey_responses[[#This Row],[Tôi thấy Nhà nước đã giải thích rõ ràng, minh bạch về lý do và mục tiêu của việc sửa đổi thuế lần này. - HUMAN-TRU4]]</f>
        <v>8</v>
      </c>
      <c r="BC292" t="str">
        <f t="shared" si="130"/>
        <v>Support</v>
      </c>
      <c r="BD292" s="32">
        <f t="shared" si="131"/>
        <v>2</v>
      </c>
      <c r="BE292">
        <f>step3_validation[[#This Row],[AI_OUT1]]</f>
        <v>9</v>
      </c>
      <c r="BF292" t="str">
        <f t="shared" si="132"/>
        <v>Support</v>
      </c>
      <c r="BG292">
        <f>survey_responses[[#This Row],[Sau khi xem xét các quyền lợi và nghĩa vụ, bạn có ủng hộ và tuân thủ chính sách mới hiện nay? - HUMAN-OUT1]]</f>
        <v>8</v>
      </c>
      <c r="BH292" t="str">
        <f t="shared" si="133"/>
        <v>Support</v>
      </c>
      <c r="BI292" s="32">
        <f t="shared" si="134"/>
        <v>1</v>
      </c>
    </row>
    <row r="293" spans="1:61" x14ac:dyDescent="0.45">
      <c r="A293" s="30">
        <f>step3_validation[[#This Row],[Persona_ID]]</f>
        <v>292</v>
      </c>
      <c r="B293" s="31">
        <f>step3_validation[[#This Row],[Used_Seed]]</f>
        <v>292</v>
      </c>
      <c r="C293" t="str">
        <f>step3_validation[[#This Row],[Gender]]</f>
        <v>Nữ</v>
      </c>
      <c r="D293" t="str">
        <f>survey_responses[[#This Row],[Giới tính của bạn:]]</f>
        <v>Nữ</v>
      </c>
      <c r="E293" t="str">
        <f>step3_validation[[#This Row],[Age_Group]]</f>
        <v>55 - 64</v>
      </c>
      <c r="F293" t="str">
        <f>survey_responses[[#This Row],[Độ tuổi của bạn:]]</f>
        <v>55 - 64</v>
      </c>
      <c r="G293" t="str">
        <f>step3_validation[[#This Row],[Region]]</f>
        <v>Thành thị</v>
      </c>
      <c r="H293" t="str">
        <f>survey_responses[[#This Row],[Khu vực bạn đang sinh sống:]]</f>
        <v>Thành thị</v>
      </c>
      <c r="I293" t="str">
        <f>step3_validation[[#This Row],[Education]]</f>
        <v>Sau Đại học</v>
      </c>
      <c r="J293" t="str">
        <f>survey_responses[[#This Row],[Trình độ học vấn cao nhất:]]</f>
        <v>Sau Đại học</v>
      </c>
      <c r="K293" t="str">
        <f>step3_validation[[#This Row],[Employment]]</f>
        <v>Phi chính thức</v>
      </c>
      <c r="L293" t="str">
        <f>survey_responses[[#This Row],[Tình trạng việc làm chính:]]</f>
        <v>Khác (Về hưu, nội trợ, sinh viên)</v>
      </c>
      <c r="M293">
        <f>step3_validation[[#This Row],[Income_Mil]]</f>
        <v>63.37037289255899</v>
      </c>
      <c r="N293" t="str">
        <f>survey_responses[[#This Row],[Thu nhập bình quân tháng theo Hợp đồng lao động của bạn là bao nhiêu? (Vui lòng điền tổng thu nhập trước khi khấu trừ các loại Bảo hiểm (BHXH, BHYT, BHTN) và Thuế TNCN)]]</f>
        <v>Từ 48 - 70 triệu VNĐ</v>
      </c>
      <c r="O293">
        <f>step3_validation[[#This Row],[Dependents]]</f>
        <v>2</v>
      </c>
      <c r="P293" t="str">
        <f>survey_responses[[#This Row],[Số người phụ thuộc (con nhỏ, cha mẹ già...) đủ điều kiện giảm trừ gia cảnh:]]</f>
        <v>2 người</v>
      </c>
      <c r="Q293">
        <f>step3_validation[[#This Row],[AI_ENF1]]</f>
        <v>7</v>
      </c>
      <c r="R293" t="str">
        <f t="shared" si="108"/>
        <v>Neutral</v>
      </c>
      <c r="S293">
        <f>survey_responses[[#This Row],[Tôi tin rằng với các quy định quản lý thuế hiện nay, hành vi gian lận hoặc trốn thuế sẽ dễ dàng bị phát hiện và xử lý nghiêm. - HUMAN-ENF1]]</f>
        <v>6</v>
      </c>
      <c r="T293" t="str">
        <f t="shared" si="109"/>
        <v>Neutral</v>
      </c>
      <c r="U293" s="32">
        <f t="shared" si="110"/>
        <v>1</v>
      </c>
      <c r="V293">
        <f>step3_validation[[#This Row],[AI_ENF2]]</f>
        <v>8</v>
      </c>
      <c r="W293" t="str">
        <f t="shared" si="111"/>
        <v>Support</v>
      </c>
      <c r="X293">
        <f>survey_responses[[#This Row],[Tôi tin rằng Nhà nước, cơ quan thuế có đủ khả năng và công nghệ để phát hiện, xử lý nghiêm các hành vi trốn thuế. - HUMAN-ENF2]]</f>
        <v>6</v>
      </c>
      <c r="Y293" t="str">
        <f t="shared" si="112"/>
        <v>Neutral</v>
      </c>
      <c r="Z293" s="32">
        <f t="shared" si="113"/>
        <v>2</v>
      </c>
      <c r="AA293">
        <f>step3_validation[[#This Row],[AI_FAC1]]</f>
        <v>9</v>
      </c>
      <c r="AB293" t="str">
        <f t="shared" si="114"/>
        <v>Support</v>
      </c>
      <c r="AC293">
        <f>survey_responses[[#This Row],[Các thủ tục khai báo thuế VÀ/HOẶC quy trình làm việc với cơ quan thuế đơn giản, tiện lợi, nhanh chóng hơn so với trước đây. - HUMAN-FAC1]]</f>
        <v>1</v>
      </c>
      <c r="AD293" t="str">
        <f t="shared" si="115"/>
        <v>Oppose</v>
      </c>
      <c r="AE293" s="32">
        <f t="shared" si="116"/>
        <v>8</v>
      </c>
      <c r="AF293">
        <f>step3_validation[[#This Row],[AI_FAC2]]</f>
        <v>9</v>
      </c>
      <c r="AG293" t="str">
        <f t="shared" si="117"/>
        <v>Support</v>
      </c>
      <c r="AH293">
        <f>survey_responses[[#This Row],[So với trước đây, tôi thấy cách tính thuế và các bậc thuế trong phương án mới đơn giản, dễ hiểu và dễ thực hiện hơn. - HUMAN-FAC2]]</f>
        <v>6</v>
      </c>
      <c r="AI293" t="str">
        <f t="shared" si="118"/>
        <v>Neutral</v>
      </c>
      <c r="AJ293" s="32">
        <f t="shared" si="119"/>
        <v>3</v>
      </c>
      <c r="AK293">
        <f>step3_validation[[#This Row],[AI_TRU1]]</f>
        <v>6</v>
      </c>
      <c r="AL293" t="str">
        <f t="shared" si="120"/>
        <v>Neutral</v>
      </c>
      <c r="AM293">
        <f>survey_responses[[#This Row],[Tôi tin rằng Nhà nước, cơ quan thuế sẽ thực thi chính sách mới một cách khách quan, công tâm và đối xử bình đẳng với mọi người nộp thuế.  - HUMAN-TRU1]]</f>
        <v>5</v>
      </c>
      <c r="AN293" t="str">
        <f t="shared" si="121"/>
        <v>Neutral</v>
      </c>
      <c r="AO293" s="32">
        <f t="shared" si="122"/>
        <v>1</v>
      </c>
      <c r="AP293">
        <f>step3_validation[[#This Row],[AI_TRU2]]</f>
        <v>8</v>
      </c>
      <c r="AQ293" t="str">
        <f t="shared" si="123"/>
        <v>Support</v>
      </c>
      <c r="AR293">
        <f>survey_responses[[#This Row],[Tôi thấy mức thuế tôi phải đóng theo phương án mới là công bằng (người thu nhập như tôi đóng mức này là hợp lý). - HUMAN-TRU2]]</f>
        <v>6</v>
      </c>
      <c r="AS293" t="str">
        <f t="shared" si="124"/>
        <v>Neutral</v>
      </c>
      <c r="AT293" s="32">
        <f t="shared" si="125"/>
        <v>2</v>
      </c>
      <c r="AU293">
        <f>step3_validation[[#This Row],[AI_TRU3]]</f>
        <v>7</v>
      </c>
      <c r="AV293" t="str">
        <f t="shared" si="126"/>
        <v>Neutral</v>
      </c>
      <c r="AW293">
        <f>survey_responses[[#This Row],[Tôi tin tưởng số tiền thuế tôi đóng sẽ được Nhà nước sử dụng hiệu quả để cải thiện dịch vụ công (y tế, đường xá...). - HUMAN-TRU3]]</f>
        <v>5</v>
      </c>
      <c r="AX293" t="str">
        <f t="shared" si="127"/>
        <v>Neutral</v>
      </c>
      <c r="AY293" s="32">
        <f t="shared" si="128"/>
        <v>2</v>
      </c>
      <c r="AZ293">
        <f>step3_validation[[#This Row],[AI_TRU4]]</f>
        <v>8</v>
      </c>
      <c r="BA293" t="str">
        <f t="shared" si="129"/>
        <v>Support</v>
      </c>
      <c r="BB293">
        <f>survey_responses[[#This Row],[Tôi thấy Nhà nước đã giải thích rõ ràng, minh bạch về lý do và mục tiêu của việc sửa đổi thuế lần này. - HUMAN-TRU4]]</f>
        <v>6</v>
      </c>
      <c r="BC293" t="str">
        <f t="shared" si="130"/>
        <v>Neutral</v>
      </c>
      <c r="BD293" s="32">
        <f t="shared" si="131"/>
        <v>2</v>
      </c>
      <c r="BE293">
        <f>step3_validation[[#This Row],[AI_OUT1]]</f>
        <v>7</v>
      </c>
      <c r="BF293" t="str">
        <f t="shared" si="132"/>
        <v>Neutral</v>
      </c>
      <c r="BG293">
        <f>survey_responses[[#This Row],[Sau khi xem xét các quyền lợi và nghĩa vụ, bạn có ủng hộ và tuân thủ chính sách mới hiện nay? - HUMAN-OUT1]]</f>
        <v>6</v>
      </c>
      <c r="BH293" t="str">
        <f t="shared" si="133"/>
        <v>Neutral</v>
      </c>
      <c r="BI293" s="32">
        <f t="shared" si="134"/>
        <v>1</v>
      </c>
    </row>
    <row r="294" spans="1:61" x14ac:dyDescent="0.45">
      <c r="A294" s="30">
        <f>step3_validation[[#This Row],[Persona_ID]]</f>
        <v>293</v>
      </c>
      <c r="B294" s="31">
        <f>step3_validation[[#This Row],[Used_Seed]]</f>
        <v>293</v>
      </c>
      <c r="C294" t="str">
        <f>step3_validation[[#This Row],[Gender]]</f>
        <v>Nữ</v>
      </c>
      <c r="D294" t="str">
        <f>survey_responses[[#This Row],[Giới tính của bạn:]]</f>
        <v>Nữ</v>
      </c>
      <c r="E294" t="str">
        <f>step3_validation[[#This Row],[Age_Group]]</f>
        <v>25 - 29</v>
      </c>
      <c r="F294" t="str">
        <f>survey_responses[[#This Row],[Độ tuổi của bạn:]]</f>
        <v>25 - 29</v>
      </c>
      <c r="G294" t="str">
        <f>step3_validation[[#This Row],[Region]]</f>
        <v>Thành thị</v>
      </c>
      <c r="H294" t="str">
        <f>survey_responses[[#This Row],[Khu vực bạn đang sinh sống:]]</f>
        <v>Thành thị</v>
      </c>
      <c r="I294" t="str">
        <f>step3_validation[[#This Row],[Education]]</f>
        <v>Đại học</v>
      </c>
      <c r="J294" t="str">
        <f>survey_responses[[#This Row],[Trình độ học vấn cao nhất:]]</f>
        <v>Đại học</v>
      </c>
      <c r="K294" t="str">
        <f>step3_validation[[#This Row],[Employment]]</f>
        <v>Chính thức</v>
      </c>
      <c r="L294" t="str">
        <f>survey_responses[[#This Row],[Tình trạng việc làm chính:]]</f>
        <v>Khu vực chính thức (Có Hợp đồng lao động, đóng BHXH)</v>
      </c>
      <c r="M294">
        <f>step3_validation[[#This Row],[Income_Mil]]</f>
        <v>42.383862759103813</v>
      </c>
      <c r="N294" t="str">
        <f>survey_responses[[#This Row],[Thu nhập bình quân tháng theo Hợp đồng lao động của bạn là bao nhiêu? (Vui lòng điền tổng thu nhập trước khi khấu trừ các loại Bảo hiểm (BHXH, BHYT, BHTN) và Thuế TNCN)]]</f>
        <v>Từ 32 - 48 triệu VNĐ</v>
      </c>
      <c r="O294">
        <f>step3_validation[[#This Row],[Dependents]]</f>
        <v>1</v>
      </c>
      <c r="P294" t="str">
        <f>survey_responses[[#This Row],[Số người phụ thuộc (con nhỏ, cha mẹ già...) đủ điều kiện giảm trừ gia cảnh:]]</f>
        <v>1 người</v>
      </c>
      <c r="Q294">
        <f>step3_validation[[#This Row],[AI_ENF1]]</f>
        <v>7</v>
      </c>
      <c r="R294" t="str">
        <f t="shared" si="108"/>
        <v>Neutral</v>
      </c>
      <c r="S294">
        <f>survey_responses[[#This Row],[Tôi tin rằng với các quy định quản lý thuế hiện nay, hành vi gian lận hoặc trốn thuế sẽ dễ dàng bị phát hiện và xử lý nghiêm. - HUMAN-ENF1]]</f>
        <v>8</v>
      </c>
      <c r="T294" t="str">
        <f t="shared" si="109"/>
        <v>Support</v>
      </c>
      <c r="U294" s="32">
        <f t="shared" si="110"/>
        <v>1</v>
      </c>
      <c r="V294">
        <f>step3_validation[[#This Row],[AI_ENF2]]</f>
        <v>7</v>
      </c>
      <c r="W294" t="str">
        <f t="shared" si="111"/>
        <v>Neutral</v>
      </c>
      <c r="X294">
        <f>survey_responses[[#This Row],[Tôi tin rằng Nhà nước, cơ quan thuế có đủ khả năng và công nghệ để phát hiện, xử lý nghiêm các hành vi trốn thuế. - HUMAN-ENF2]]</f>
        <v>8</v>
      </c>
      <c r="Y294" t="str">
        <f t="shared" si="112"/>
        <v>Support</v>
      </c>
      <c r="Z294" s="32">
        <f t="shared" si="113"/>
        <v>1</v>
      </c>
      <c r="AA294">
        <f>step3_validation[[#This Row],[AI_FAC1]]</f>
        <v>8</v>
      </c>
      <c r="AB294" t="str">
        <f t="shared" si="114"/>
        <v>Support</v>
      </c>
      <c r="AC294">
        <f>survey_responses[[#This Row],[Các thủ tục khai báo thuế VÀ/HOẶC quy trình làm việc với cơ quan thuế đơn giản, tiện lợi, nhanh chóng hơn so với trước đây. - HUMAN-FAC1]]</f>
        <v>5</v>
      </c>
      <c r="AD294" t="str">
        <f t="shared" si="115"/>
        <v>Neutral</v>
      </c>
      <c r="AE294" s="32">
        <f t="shared" si="116"/>
        <v>3</v>
      </c>
      <c r="AF294">
        <f>step3_validation[[#This Row],[AI_FAC2]]</f>
        <v>8</v>
      </c>
      <c r="AG294" t="str">
        <f t="shared" si="117"/>
        <v>Support</v>
      </c>
      <c r="AH294">
        <f>survey_responses[[#This Row],[So với trước đây, tôi thấy cách tính thuế và các bậc thuế trong phương án mới đơn giản, dễ hiểu và dễ thực hiện hơn. - HUMAN-FAC2]]</f>
        <v>8</v>
      </c>
      <c r="AI294" t="str">
        <f t="shared" si="118"/>
        <v>Support</v>
      </c>
      <c r="AJ294" s="32">
        <f t="shared" si="119"/>
        <v>0</v>
      </c>
      <c r="AK294">
        <f>step3_validation[[#This Row],[AI_TRU1]]</f>
        <v>9</v>
      </c>
      <c r="AL294" t="str">
        <f t="shared" si="120"/>
        <v>Support</v>
      </c>
      <c r="AM294">
        <f>survey_responses[[#This Row],[Tôi tin rằng Nhà nước, cơ quan thuế sẽ thực thi chính sách mới một cách khách quan, công tâm và đối xử bình đẳng với mọi người nộp thuế.  - HUMAN-TRU1]]</f>
        <v>5</v>
      </c>
      <c r="AN294" t="str">
        <f t="shared" si="121"/>
        <v>Neutral</v>
      </c>
      <c r="AO294" s="32">
        <f t="shared" si="122"/>
        <v>4</v>
      </c>
      <c r="AP294">
        <f>step3_validation[[#This Row],[AI_TRU2]]</f>
        <v>9</v>
      </c>
      <c r="AQ294" t="str">
        <f t="shared" si="123"/>
        <v>Support</v>
      </c>
      <c r="AR294">
        <f>survey_responses[[#This Row],[Tôi thấy mức thuế tôi phải đóng theo phương án mới là công bằng (người thu nhập như tôi đóng mức này là hợp lý). - HUMAN-TRU2]]</f>
        <v>6</v>
      </c>
      <c r="AS294" t="str">
        <f t="shared" si="124"/>
        <v>Neutral</v>
      </c>
      <c r="AT294" s="32">
        <f t="shared" si="125"/>
        <v>3</v>
      </c>
      <c r="AU294">
        <f>step3_validation[[#This Row],[AI_TRU3]]</f>
        <v>8</v>
      </c>
      <c r="AV294" t="str">
        <f t="shared" si="126"/>
        <v>Support</v>
      </c>
      <c r="AW294">
        <f>survey_responses[[#This Row],[Tôi tin tưởng số tiền thuế tôi đóng sẽ được Nhà nước sử dụng hiệu quả để cải thiện dịch vụ công (y tế, đường xá...). - HUMAN-TRU3]]</f>
        <v>5</v>
      </c>
      <c r="AX294" t="str">
        <f t="shared" si="127"/>
        <v>Neutral</v>
      </c>
      <c r="AY294" s="32">
        <f t="shared" si="128"/>
        <v>3</v>
      </c>
      <c r="AZ294">
        <f>step3_validation[[#This Row],[AI_TRU4]]</f>
        <v>9</v>
      </c>
      <c r="BA294" t="str">
        <f t="shared" si="129"/>
        <v>Support</v>
      </c>
      <c r="BB294">
        <f>survey_responses[[#This Row],[Tôi thấy Nhà nước đã giải thích rõ ràng, minh bạch về lý do và mục tiêu của việc sửa đổi thuế lần này. - HUMAN-TRU4]]</f>
        <v>6</v>
      </c>
      <c r="BC294" t="str">
        <f t="shared" si="130"/>
        <v>Neutral</v>
      </c>
      <c r="BD294" s="32">
        <f t="shared" si="131"/>
        <v>3</v>
      </c>
      <c r="BE294">
        <f>step3_validation[[#This Row],[AI_OUT1]]</f>
        <v>9</v>
      </c>
      <c r="BF294" t="str">
        <f t="shared" si="132"/>
        <v>Support</v>
      </c>
      <c r="BG294">
        <f>survey_responses[[#This Row],[Sau khi xem xét các quyền lợi và nghĩa vụ, bạn có ủng hộ và tuân thủ chính sách mới hiện nay? - HUMAN-OUT1]]</f>
        <v>6</v>
      </c>
      <c r="BH294" t="str">
        <f t="shared" si="133"/>
        <v>Neutral</v>
      </c>
      <c r="BI294" s="32">
        <f t="shared" si="134"/>
        <v>3</v>
      </c>
    </row>
    <row r="295" spans="1:61" x14ac:dyDescent="0.45">
      <c r="A295" s="30">
        <f>step3_validation[[#This Row],[Persona_ID]]</f>
        <v>294</v>
      </c>
      <c r="B295" s="31">
        <f>step3_validation[[#This Row],[Used_Seed]]</f>
        <v>294</v>
      </c>
      <c r="C295" t="str">
        <f>step3_validation[[#This Row],[Gender]]</f>
        <v>Nữ</v>
      </c>
      <c r="D295" t="str">
        <f>survey_responses[[#This Row],[Giới tính của bạn:]]</f>
        <v>Nữ</v>
      </c>
      <c r="E295" t="str">
        <f>step3_validation[[#This Row],[Age_Group]]</f>
        <v>25 - 29</v>
      </c>
      <c r="F295" t="str">
        <f>survey_responses[[#This Row],[Độ tuổi của bạn:]]</f>
        <v>25 - 29</v>
      </c>
      <c r="G295" t="str">
        <f>step3_validation[[#This Row],[Region]]</f>
        <v>Thành thị</v>
      </c>
      <c r="H295" t="str">
        <f>survey_responses[[#This Row],[Khu vực bạn đang sinh sống:]]</f>
        <v>Thành thị</v>
      </c>
      <c r="I295" t="str">
        <f>step3_validation[[#This Row],[Education]]</f>
        <v>Đại học</v>
      </c>
      <c r="J295" t="str">
        <f>survey_responses[[#This Row],[Trình độ học vấn cao nhất:]]</f>
        <v>Đại học</v>
      </c>
      <c r="K295" t="str">
        <f>step3_validation[[#This Row],[Employment]]</f>
        <v>Chính thức</v>
      </c>
      <c r="L295" t="str">
        <f>survey_responses[[#This Row],[Tình trạng việc làm chính:]]</f>
        <v>Khu vực chính thức (Có Hợp đồng lao động, đóng BHXH)</v>
      </c>
      <c r="M295">
        <f>step3_validation[[#This Row],[Income_Mil]]</f>
        <v>61.581465715174531</v>
      </c>
      <c r="N295" t="str">
        <f>survey_responses[[#This Row],[Thu nhập bình quân tháng theo Hợp đồng lao động của bạn là bao nhiêu? (Vui lòng điền tổng thu nhập trước khi khấu trừ các loại Bảo hiểm (BHXH, BHYT, BHTN) và Thuế TNCN)]]</f>
        <v>Từ 48 - 70 triệu VNĐ</v>
      </c>
      <c r="O295">
        <f>step3_validation[[#This Row],[Dependents]]</f>
        <v>3</v>
      </c>
      <c r="P295" t="str">
        <f>survey_responses[[#This Row],[Số người phụ thuộc (con nhỏ, cha mẹ già...) đủ điều kiện giảm trừ gia cảnh:]]</f>
        <v>3 người</v>
      </c>
      <c r="Q295">
        <f>step3_validation[[#This Row],[AI_ENF1]]</f>
        <v>8</v>
      </c>
      <c r="R295" t="str">
        <f t="shared" si="108"/>
        <v>Support</v>
      </c>
      <c r="S295">
        <f>survey_responses[[#This Row],[Tôi tin rằng với các quy định quản lý thuế hiện nay, hành vi gian lận hoặc trốn thuế sẽ dễ dàng bị phát hiện và xử lý nghiêm. - HUMAN-ENF1]]</f>
        <v>6</v>
      </c>
      <c r="T295" t="str">
        <f t="shared" si="109"/>
        <v>Neutral</v>
      </c>
      <c r="U295" s="32">
        <f t="shared" si="110"/>
        <v>2</v>
      </c>
      <c r="V295">
        <f>step3_validation[[#This Row],[AI_ENF2]]</f>
        <v>9</v>
      </c>
      <c r="W295" t="str">
        <f t="shared" si="111"/>
        <v>Support</v>
      </c>
      <c r="X295">
        <f>survey_responses[[#This Row],[Tôi tin rằng Nhà nước, cơ quan thuế có đủ khả năng và công nghệ để phát hiện, xử lý nghiêm các hành vi trốn thuế. - HUMAN-ENF2]]</f>
        <v>6</v>
      </c>
      <c r="Y295" t="str">
        <f t="shared" si="112"/>
        <v>Neutral</v>
      </c>
      <c r="Z295" s="32">
        <f t="shared" si="113"/>
        <v>3</v>
      </c>
      <c r="AA295">
        <f>step3_validation[[#This Row],[AI_FAC1]]</f>
        <v>8</v>
      </c>
      <c r="AB295" t="str">
        <f t="shared" si="114"/>
        <v>Support</v>
      </c>
      <c r="AC295">
        <f>survey_responses[[#This Row],[Các thủ tục khai báo thuế VÀ/HOẶC quy trình làm việc với cơ quan thuế đơn giản, tiện lợi, nhanh chóng hơn so với trước đây. - HUMAN-FAC1]]</f>
        <v>3</v>
      </c>
      <c r="AD295" t="str">
        <f t="shared" si="115"/>
        <v>Oppose</v>
      </c>
      <c r="AE295" s="32">
        <f t="shared" si="116"/>
        <v>5</v>
      </c>
      <c r="AF295">
        <f>step3_validation[[#This Row],[AI_FAC2]]</f>
        <v>9</v>
      </c>
      <c r="AG295" t="str">
        <f t="shared" si="117"/>
        <v>Support</v>
      </c>
      <c r="AH295">
        <f>survey_responses[[#This Row],[So với trước đây, tôi thấy cách tính thuế và các bậc thuế trong phương án mới đơn giản, dễ hiểu và dễ thực hiện hơn. - HUMAN-FAC2]]</f>
        <v>7</v>
      </c>
      <c r="AI295" t="str">
        <f t="shared" si="118"/>
        <v>Neutral</v>
      </c>
      <c r="AJ295" s="32">
        <f t="shared" si="119"/>
        <v>2</v>
      </c>
      <c r="AK295">
        <f>step3_validation[[#This Row],[AI_TRU1]]</f>
        <v>8</v>
      </c>
      <c r="AL295" t="str">
        <f t="shared" si="120"/>
        <v>Support</v>
      </c>
      <c r="AM295">
        <f>survey_responses[[#This Row],[Tôi tin rằng Nhà nước, cơ quan thuế sẽ thực thi chính sách mới một cách khách quan, công tâm và đối xử bình đẳng với mọi người nộp thuế.  - HUMAN-TRU1]]</f>
        <v>5</v>
      </c>
      <c r="AN295" t="str">
        <f t="shared" si="121"/>
        <v>Neutral</v>
      </c>
      <c r="AO295" s="32">
        <f t="shared" si="122"/>
        <v>3</v>
      </c>
      <c r="AP295">
        <f>step3_validation[[#This Row],[AI_TRU2]]</f>
        <v>9</v>
      </c>
      <c r="AQ295" t="str">
        <f t="shared" si="123"/>
        <v>Support</v>
      </c>
      <c r="AR295">
        <f>survey_responses[[#This Row],[Tôi thấy mức thuế tôi phải đóng theo phương án mới là công bằng (người thu nhập như tôi đóng mức này là hợp lý). - HUMAN-TRU2]]</f>
        <v>6</v>
      </c>
      <c r="AS295" t="str">
        <f t="shared" si="124"/>
        <v>Neutral</v>
      </c>
      <c r="AT295" s="32">
        <f t="shared" si="125"/>
        <v>3</v>
      </c>
      <c r="AU295">
        <f>step3_validation[[#This Row],[AI_TRU3]]</f>
        <v>8</v>
      </c>
      <c r="AV295" t="str">
        <f t="shared" si="126"/>
        <v>Support</v>
      </c>
      <c r="AW295">
        <f>survey_responses[[#This Row],[Tôi tin tưởng số tiền thuế tôi đóng sẽ được Nhà nước sử dụng hiệu quả để cải thiện dịch vụ công (y tế, đường xá...). - HUMAN-TRU3]]</f>
        <v>5</v>
      </c>
      <c r="AX295" t="str">
        <f t="shared" si="127"/>
        <v>Neutral</v>
      </c>
      <c r="AY295" s="32">
        <f t="shared" si="128"/>
        <v>3</v>
      </c>
      <c r="AZ295">
        <f>step3_validation[[#This Row],[AI_TRU4]]</f>
        <v>7</v>
      </c>
      <c r="BA295" t="str">
        <f t="shared" si="129"/>
        <v>Neutral</v>
      </c>
      <c r="BB295">
        <f>survey_responses[[#This Row],[Tôi thấy Nhà nước đã giải thích rõ ràng, minh bạch về lý do và mục tiêu của việc sửa đổi thuế lần này. - HUMAN-TRU4]]</f>
        <v>5</v>
      </c>
      <c r="BC295" t="str">
        <f t="shared" si="130"/>
        <v>Neutral</v>
      </c>
      <c r="BD295" s="32">
        <f t="shared" si="131"/>
        <v>2</v>
      </c>
      <c r="BE295">
        <f>step3_validation[[#This Row],[AI_OUT1]]</f>
        <v>8</v>
      </c>
      <c r="BF295" t="str">
        <f t="shared" si="132"/>
        <v>Support</v>
      </c>
      <c r="BG295">
        <f>survey_responses[[#This Row],[Sau khi xem xét các quyền lợi và nghĩa vụ, bạn có ủng hộ và tuân thủ chính sách mới hiện nay? - HUMAN-OUT1]]</f>
        <v>6</v>
      </c>
      <c r="BH295" t="str">
        <f t="shared" si="133"/>
        <v>Neutral</v>
      </c>
      <c r="BI295" s="32">
        <f t="shared" si="134"/>
        <v>2</v>
      </c>
    </row>
    <row r="296" spans="1:61" x14ac:dyDescent="0.45">
      <c r="A296" s="30">
        <f>step3_validation[[#This Row],[Persona_ID]]</f>
        <v>295</v>
      </c>
      <c r="B296" s="31">
        <f>step3_validation[[#This Row],[Used_Seed]]</f>
        <v>295</v>
      </c>
      <c r="C296" t="str">
        <f>step3_validation[[#This Row],[Gender]]</f>
        <v>Nam</v>
      </c>
      <c r="D296" t="str">
        <f>survey_responses[[#This Row],[Giới tính của bạn:]]</f>
        <v>Nam</v>
      </c>
      <c r="E296" t="str">
        <f>step3_validation[[#This Row],[Age_Group]]</f>
        <v>18 - 24</v>
      </c>
      <c r="F296" t="str">
        <f>survey_responses[[#This Row],[Độ tuổi của bạn:]]</f>
        <v>18 - 24</v>
      </c>
      <c r="G296" t="str">
        <f>step3_validation[[#This Row],[Region]]</f>
        <v>Thành thị</v>
      </c>
      <c r="H296" t="str">
        <f>survey_responses[[#This Row],[Khu vực bạn đang sinh sống:]]</f>
        <v>Thành thị</v>
      </c>
      <c r="I296" t="str">
        <f>step3_validation[[#This Row],[Education]]</f>
        <v>Đại học</v>
      </c>
      <c r="J296" t="str">
        <f>survey_responses[[#This Row],[Trình độ học vấn cao nhất:]]</f>
        <v>Đại học</v>
      </c>
      <c r="K296" t="str">
        <f>step3_validation[[#This Row],[Employment]]</f>
        <v>Chính thức</v>
      </c>
      <c r="L296" t="str">
        <f>survey_responses[[#This Row],[Tình trạng việc làm chính:]]</f>
        <v>Khu vực chính thức (Có Hợp đồng lao động, đóng BHXH)</v>
      </c>
      <c r="M296">
        <f>step3_validation[[#This Row],[Income_Mil]]</f>
        <v>24.130267283277423</v>
      </c>
      <c r="N296" t="str">
        <f>survey_responses[[#This Row],[Thu nhập bình quân tháng theo Hợp đồng lao động của bạn là bao nhiêu? (Vui lòng điền tổng thu nhập trước khi khấu trừ các loại Bảo hiểm (BHXH, BHYT, BHTN) và Thuế TNCN)]]</f>
        <v>Từ 23 - 32 triệu VNĐ</v>
      </c>
      <c r="O296">
        <f>step3_validation[[#This Row],[Dependents]]</f>
        <v>0</v>
      </c>
      <c r="P296" t="str">
        <f>survey_responses[[#This Row],[Số người phụ thuộc (con nhỏ, cha mẹ già...) đủ điều kiện giảm trừ gia cảnh:]]</f>
        <v>0 người</v>
      </c>
      <c r="Q296">
        <f>step3_validation[[#This Row],[AI_ENF1]]</f>
        <v>9</v>
      </c>
      <c r="R296" t="str">
        <f t="shared" si="108"/>
        <v>Support</v>
      </c>
      <c r="S296">
        <f>survey_responses[[#This Row],[Tôi tin rằng với các quy định quản lý thuế hiện nay, hành vi gian lận hoặc trốn thuế sẽ dễ dàng bị phát hiện và xử lý nghiêm. - HUMAN-ENF1]]</f>
        <v>8</v>
      </c>
      <c r="T296" t="str">
        <f t="shared" si="109"/>
        <v>Support</v>
      </c>
      <c r="U296" s="32">
        <f t="shared" si="110"/>
        <v>1</v>
      </c>
      <c r="V296">
        <f>step3_validation[[#This Row],[AI_ENF2]]</f>
        <v>9</v>
      </c>
      <c r="W296" t="str">
        <f t="shared" si="111"/>
        <v>Support</v>
      </c>
      <c r="X296">
        <f>survey_responses[[#This Row],[Tôi tin rằng Nhà nước, cơ quan thuế có đủ khả năng và công nghệ để phát hiện, xử lý nghiêm các hành vi trốn thuế. - HUMAN-ENF2]]</f>
        <v>9</v>
      </c>
      <c r="Y296" t="str">
        <f t="shared" si="112"/>
        <v>Support</v>
      </c>
      <c r="Z296" s="32">
        <f t="shared" si="113"/>
        <v>0</v>
      </c>
      <c r="AA296">
        <f>step3_validation[[#This Row],[AI_FAC1]]</f>
        <v>8</v>
      </c>
      <c r="AB296" t="str">
        <f t="shared" si="114"/>
        <v>Support</v>
      </c>
      <c r="AC296">
        <f>survey_responses[[#This Row],[Các thủ tục khai báo thuế VÀ/HOẶC quy trình làm việc với cơ quan thuế đơn giản, tiện lợi, nhanh chóng hơn so với trước đây. - HUMAN-FAC1]]</f>
        <v>9</v>
      </c>
      <c r="AD296" t="str">
        <f t="shared" si="115"/>
        <v>Support</v>
      </c>
      <c r="AE296" s="32">
        <f t="shared" si="116"/>
        <v>1</v>
      </c>
      <c r="AF296">
        <f>step3_validation[[#This Row],[AI_FAC2]]</f>
        <v>9</v>
      </c>
      <c r="AG296" t="str">
        <f t="shared" si="117"/>
        <v>Support</v>
      </c>
      <c r="AH296">
        <f>survey_responses[[#This Row],[So với trước đây, tôi thấy cách tính thuế và các bậc thuế trong phương án mới đơn giản, dễ hiểu và dễ thực hiện hơn. - HUMAN-FAC2]]</f>
        <v>10</v>
      </c>
      <c r="AI296" t="str">
        <f t="shared" si="118"/>
        <v>Support</v>
      </c>
      <c r="AJ296" s="32">
        <f t="shared" si="119"/>
        <v>1</v>
      </c>
      <c r="AK296">
        <f>step3_validation[[#This Row],[AI_TRU1]]</f>
        <v>8</v>
      </c>
      <c r="AL296" t="str">
        <f t="shared" si="120"/>
        <v>Support</v>
      </c>
      <c r="AM296">
        <f>survey_responses[[#This Row],[Tôi tin rằng Nhà nước, cơ quan thuế sẽ thực thi chính sách mới một cách khách quan, công tâm và đối xử bình đẳng với mọi người nộp thuế.  - HUMAN-TRU1]]</f>
        <v>8</v>
      </c>
      <c r="AN296" t="str">
        <f t="shared" si="121"/>
        <v>Support</v>
      </c>
      <c r="AO296" s="32">
        <f t="shared" si="122"/>
        <v>0</v>
      </c>
      <c r="AP296">
        <f>step3_validation[[#This Row],[AI_TRU2]]</f>
        <v>9</v>
      </c>
      <c r="AQ296" t="str">
        <f t="shared" si="123"/>
        <v>Support</v>
      </c>
      <c r="AR296">
        <f>survey_responses[[#This Row],[Tôi thấy mức thuế tôi phải đóng theo phương án mới là công bằng (người thu nhập như tôi đóng mức này là hợp lý). - HUMAN-TRU2]]</f>
        <v>8</v>
      </c>
      <c r="AS296" t="str">
        <f t="shared" si="124"/>
        <v>Support</v>
      </c>
      <c r="AT296" s="32">
        <f t="shared" si="125"/>
        <v>1</v>
      </c>
      <c r="AU296">
        <f>step3_validation[[#This Row],[AI_TRU3]]</f>
        <v>8</v>
      </c>
      <c r="AV296" t="str">
        <f t="shared" si="126"/>
        <v>Support</v>
      </c>
      <c r="AW296">
        <f>survey_responses[[#This Row],[Tôi tin tưởng số tiền thuế tôi đóng sẽ được Nhà nước sử dụng hiệu quả để cải thiện dịch vụ công (y tế, đường xá...). - HUMAN-TRU3]]</f>
        <v>9</v>
      </c>
      <c r="AX296" t="str">
        <f t="shared" si="127"/>
        <v>Support</v>
      </c>
      <c r="AY296" s="32">
        <f t="shared" si="128"/>
        <v>1</v>
      </c>
      <c r="AZ296">
        <f>step3_validation[[#This Row],[AI_TRU4]]</f>
        <v>9</v>
      </c>
      <c r="BA296" t="str">
        <f t="shared" si="129"/>
        <v>Support</v>
      </c>
      <c r="BB296">
        <f>survey_responses[[#This Row],[Tôi thấy Nhà nước đã giải thích rõ ràng, minh bạch về lý do và mục tiêu của việc sửa đổi thuế lần này. - HUMAN-TRU4]]</f>
        <v>10</v>
      </c>
      <c r="BC296" t="str">
        <f t="shared" si="130"/>
        <v>Support</v>
      </c>
      <c r="BD296" s="32">
        <f t="shared" si="131"/>
        <v>1</v>
      </c>
      <c r="BE296">
        <f>step3_validation[[#This Row],[AI_OUT1]]</f>
        <v>9</v>
      </c>
      <c r="BF296" t="str">
        <f t="shared" si="132"/>
        <v>Support</v>
      </c>
      <c r="BG296">
        <f>survey_responses[[#This Row],[Sau khi xem xét các quyền lợi và nghĩa vụ, bạn có ủng hộ và tuân thủ chính sách mới hiện nay? - HUMAN-OUT1]]</f>
        <v>10</v>
      </c>
      <c r="BH296" t="str">
        <f t="shared" si="133"/>
        <v>Support</v>
      </c>
      <c r="BI296" s="32">
        <f t="shared" si="134"/>
        <v>1</v>
      </c>
    </row>
    <row r="297" spans="1:61" x14ac:dyDescent="0.45">
      <c r="A297" s="30">
        <f>step3_validation[[#This Row],[Persona_ID]]</f>
        <v>296</v>
      </c>
      <c r="B297" s="31">
        <f>step3_validation[[#This Row],[Used_Seed]]</f>
        <v>296</v>
      </c>
      <c r="C297" t="str">
        <f>step3_validation[[#This Row],[Gender]]</f>
        <v>Nam</v>
      </c>
      <c r="D297" t="str">
        <f>survey_responses[[#This Row],[Giới tính của bạn:]]</f>
        <v>Nam</v>
      </c>
      <c r="E297" t="str">
        <f>step3_validation[[#This Row],[Age_Group]]</f>
        <v>55 - 64</v>
      </c>
      <c r="F297" t="str">
        <f>survey_responses[[#This Row],[Độ tuổi của bạn:]]</f>
        <v>55 - 64</v>
      </c>
      <c r="G297" t="str">
        <f>step3_validation[[#This Row],[Region]]</f>
        <v>Thành thị</v>
      </c>
      <c r="H297" t="str">
        <f>survey_responses[[#This Row],[Khu vực bạn đang sinh sống:]]</f>
        <v>Thành thị</v>
      </c>
      <c r="I297" t="str">
        <f>step3_validation[[#This Row],[Education]]</f>
        <v>Đại học</v>
      </c>
      <c r="J297" t="str">
        <f>survey_responses[[#This Row],[Trình độ học vấn cao nhất:]]</f>
        <v>Đại học</v>
      </c>
      <c r="K297" t="str">
        <f>step3_validation[[#This Row],[Employment]]</f>
        <v>Chính thức</v>
      </c>
      <c r="L297" t="str">
        <f>survey_responses[[#This Row],[Tình trạng việc làm chính:]]</f>
        <v>Khu vực chính thức (Có Hợp đồng lao động, đóng BHXH)</v>
      </c>
      <c r="M297">
        <f>step3_validation[[#This Row],[Income_Mil]]</f>
        <v>12</v>
      </c>
      <c r="N297" t="str">
        <f>survey_responses[[#This Row],[Thu nhập bình quân tháng theo Hợp đồng lao động của bạn là bao nhiêu? (Vui lòng điền tổng thu nhập trước khi khấu trừ các loại Bảo hiểm (BHXH, BHYT, BHTN) và Thuế TNCN)]]</f>
        <v>Dưới 12 triệu VNĐ</v>
      </c>
      <c r="O297">
        <f>step3_validation[[#This Row],[Dependents]]</f>
        <v>0</v>
      </c>
      <c r="P297" t="str">
        <f>survey_responses[[#This Row],[Số người phụ thuộc (con nhỏ, cha mẹ già...) đủ điều kiện giảm trừ gia cảnh:]]</f>
        <v>0 người</v>
      </c>
      <c r="Q297">
        <f>step3_validation[[#This Row],[AI_ENF1]]</f>
        <v>9</v>
      </c>
      <c r="R297" t="str">
        <f t="shared" si="108"/>
        <v>Support</v>
      </c>
      <c r="S297">
        <f>survey_responses[[#This Row],[Tôi tin rằng với các quy định quản lý thuế hiện nay, hành vi gian lận hoặc trốn thuế sẽ dễ dàng bị phát hiện và xử lý nghiêm. - HUMAN-ENF1]]</f>
        <v>7</v>
      </c>
      <c r="T297" t="str">
        <f t="shared" si="109"/>
        <v>Neutral</v>
      </c>
      <c r="U297" s="32">
        <f t="shared" si="110"/>
        <v>2</v>
      </c>
      <c r="V297">
        <f>step3_validation[[#This Row],[AI_ENF2]]</f>
        <v>8</v>
      </c>
      <c r="W297" t="str">
        <f t="shared" si="111"/>
        <v>Support</v>
      </c>
      <c r="X297">
        <f>survey_responses[[#This Row],[Tôi tin rằng Nhà nước, cơ quan thuế có đủ khả năng và công nghệ để phát hiện, xử lý nghiêm các hành vi trốn thuế. - HUMAN-ENF2]]</f>
        <v>7</v>
      </c>
      <c r="Y297" t="str">
        <f t="shared" si="112"/>
        <v>Neutral</v>
      </c>
      <c r="Z297" s="32">
        <f t="shared" si="113"/>
        <v>1</v>
      </c>
      <c r="AA297">
        <f>step3_validation[[#This Row],[AI_FAC1]]</f>
        <v>9</v>
      </c>
      <c r="AB297" t="str">
        <f t="shared" si="114"/>
        <v>Support</v>
      </c>
      <c r="AC297">
        <f>survey_responses[[#This Row],[Các thủ tục khai báo thuế VÀ/HOẶC quy trình làm việc với cơ quan thuế đơn giản, tiện lợi, nhanh chóng hơn so với trước đây. - HUMAN-FAC1]]</f>
        <v>6</v>
      </c>
      <c r="AD297" t="str">
        <f t="shared" si="115"/>
        <v>Neutral</v>
      </c>
      <c r="AE297" s="32">
        <f t="shared" si="116"/>
        <v>3</v>
      </c>
      <c r="AF297">
        <f>step3_validation[[#This Row],[AI_FAC2]]</f>
        <v>8</v>
      </c>
      <c r="AG297" t="str">
        <f t="shared" si="117"/>
        <v>Support</v>
      </c>
      <c r="AH297">
        <f>survey_responses[[#This Row],[So với trước đây, tôi thấy cách tính thuế và các bậc thuế trong phương án mới đơn giản, dễ hiểu và dễ thực hiện hơn. - HUMAN-FAC2]]</f>
        <v>7</v>
      </c>
      <c r="AI297" t="str">
        <f t="shared" si="118"/>
        <v>Neutral</v>
      </c>
      <c r="AJ297" s="32">
        <f t="shared" si="119"/>
        <v>1</v>
      </c>
      <c r="AK297">
        <f>step3_validation[[#This Row],[AI_TRU1]]</f>
        <v>9</v>
      </c>
      <c r="AL297" t="str">
        <f t="shared" si="120"/>
        <v>Support</v>
      </c>
      <c r="AM297">
        <f>survey_responses[[#This Row],[Tôi tin rằng Nhà nước, cơ quan thuế sẽ thực thi chính sách mới một cách khách quan, công tâm và đối xử bình đẳng với mọi người nộp thuế.  - HUMAN-TRU1]]</f>
        <v>7</v>
      </c>
      <c r="AN297" t="str">
        <f t="shared" si="121"/>
        <v>Neutral</v>
      </c>
      <c r="AO297" s="32">
        <f t="shared" si="122"/>
        <v>2</v>
      </c>
      <c r="AP297">
        <f>step3_validation[[#This Row],[AI_TRU2]]</f>
        <v>8</v>
      </c>
      <c r="AQ297" t="str">
        <f t="shared" si="123"/>
        <v>Support</v>
      </c>
      <c r="AR297">
        <f>survey_responses[[#This Row],[Tôi thấy mức thuế tôi phải đóng theo phương án mới là công bằng (người thu nhập như tôi đóng mức này là hợp lý). - HUMAN-TRU2]]</f>
        <v>1</v>
      </c>
      <c r="AS297" t="str">
        <f t="shared" si="124"/>
        <v>Oppose</v>
      </c>
      <c r="AT297" s="32">
        <f t="shared" si="125"/>
        <v>7</v>
      </c>
      <c r="AU297">
        <f>step3_validation[[#This Row],[AI_TRU3]]</f>
        <v>9</v>
      </c>
      <c r="AV297" t="str">
        <f t="shared" si="126"/>
        <v>Support</v>
      </c>
      <c r="AW297">
        <f>survey_responses[[#This Row],[Tôi tin tưởng số tiền thuế tôi đóng sẽ được Nhà nước sử dụng hiệu quả để cải thiện dịch vụ công (y tế, đường xá...). - HUMAN-TRU3]]</f>
        <v>5</v>
      </c>
      <c r="AX297" t="str">
        <f t="shared" si="127"/>
        <v>Neutral</v>
      </c>
      <c r="AY297" s="32">
        <f t="shared" si="128"/>
        <v>4</v>
      </c>
      <c r="AZ297">
        <f>step3_validation[[#This Row],[AI_TRU4]]</f>
        <v>8</v>
      </c>
      <c r="BA297" t="str">
        <f t="shared" si="129"/>
        <v>Support</v>
      </c>
      <c r="BB297">
        <f>survey_responses[[#This Row],[Tôi thấy Nhà nước đã giải thích rõ ràng, minh bạch về lý do và mục tiêu của việc sửa đổi thuế lần này. - HUMAN-TRU4]]</f>
        <v>7</v>
      </c>
      <c r="BC297" t="str">
        <f t="shared" si="130"/>
        <v>Neutral</v>
      </c>
      <c r="BD297" s="32">
        <f t="shared" si="131"/>
        <v>1</v>
      </c>
      <c r="BE297">
        <f>step3_validation[[#This Row],[AI_OUT1]]</f>
        <v>9</v>
      </c>
      <c r="BF297" t="str">
        <f t="shared" si="132"/>
        <v>Support</v>
      </c>
      <c r="BG297">
        <f>survey_responses[[#This Row],[Sau khi xem xét các quyền lợi và nghĩa vụ, bạn có ủng hộ và tuân thủ chính sách mới hiện nay? - HUMAN-OUT1]]</f>
        <v>7</v>
      </c>
      <c r="BH297" t="str">
        <f t="shared" si="133"/>
        <v>Neutral</v>
      </c>
      <c r="BI297" s="32">
        <f t="shared" si="134"/>
        <v>2</v>
      </c>
    </row>
    <row r="298" spans="1:61" x14ac:dyDescent="0.45">
      <c r="A298" s="30">
        <f>step3_validation[[#This Row],[Persona_ID]]</f>
        <v>297</v>
      </c>
      <c r="B298" s="31">
        <f>step3_validation[[#This Row],[Used_Seed]]</f>
        <v>297</v>
      </c>
      <c r="C298" t="str">
        <f>step3_validation[[#This Row],[Gender]]</f>
        <v>Nữ</v>
      </c>
      <c r="D298" t="str">
        <f>survey_responses[[#This Row],[Giới tính của bạn:]]</f>
        <v>Nữ</v>
      </c>
      <c r="E298" t="str">
        <f>step3_validation[[#This Row],[Age_Group]]</f>
        <v>30 - 39</v>
      </c>
      <c r="F298" t="str">
        <f>survey_responses[[#This Row],[Độ tuổi của bạn:]]</f>
        <v>30 - 39</v>
      </c>
      <c r="G298" t="str">
        <f>step3_validation[[#This Row],[Region]]</f>
        <v>Thành thị</v>
      </c>
      <c r="H298" t="str">
        <f>survey_responses[[#This Row],[Khu vực bạn đang sinh sống:]]</f>
        <v>Thành thị</v>
      </c>
      <c r="I298" t="str">
        <f>step3_validation[[#This Row],[Education]]</f>
        <v>Đại học</v>
      </c>
      <c r="J298" t="str">
        <f>survey_responses[[#This Row],[Trình độ học vấn cao nhất:]]</f>
        <v>Đại học</v>
      </c>
      <c r="K298" t="str">
        <f>step3_validation[[#This Row],[Employment]]</f>
        <v>Chính thức</v>
      </c>
      <c r="L298" t="str">
        <f>survey_responses[[#This Row],[Tình trạng việc làm chính:]]</f>
        <v>Khu vực chính thức (Có Hợp đồng lao động, đóng BHXH)</v>
      </c>
      <c r="M298">
        <f>step3_validation[[#This Row],[Income_Mil]]</f>
        <v>49.565552314063524</v>
      </c>
      <c r="N298" t="str">
        <f>survey_responses[[#This Row],[Thu nhập bình quân tháng theo Hợp đồng lao động của bạn là bao nhiêu? (Vui lòng điền tổng thu nhập trước khi khấu trừ các loại Bảo hiểm (BHXH, BHYT, BHTN) và Thuế TNCN)]]</f>
        <v>Từ 48 - 70 triệu VNĐ</v>
      </c>
      <c r="O298">
        <f>step3_validation[[#This Row],[Dependents]]</f>
        <v>2</v>
      </c>
      <c r="P298" t="str">
        <f>survey_responses[[#This Row],[Số người phụ thuộc (con nhỏ, cha mẹ già...) đủ điều kiện giảm trừ gia cảnh:]]</f>
        <v>2 người</v>
      </c>
      <c r="Q298">
        <f>step3_validation[[#This Row],[AI_ENF1]]</f>
        <v>8</v>
      </c>
      <c r="R298" t="str">
        <f t="shared" si="108"/>
        <v>Support</v>
      </c>
      <c r="S298">
        <f>survey_responses[[#This Row],[Tôi tin rằng với các quy định quản lý thuế hiện nay, hành vi gian lận hoặc trốn thuế sẽ dễ dàng bị phát hiện và xử lý nghiêm. - HUMAN-ENF1]]</f>
        <v>5</v>
      </c>
      <c r="T298" t="str">
        <f t="shared" si="109"/>
        <v>Neutral</v>
      </c>
      <c r="U298" s="32">
        <f t="shared" si="110"/>
        <v>3</v>
      </c>
      <c r="V298">
        <f>step3_validation[[#This Row],[AI_ENF2]]</f>
        <v>9</v>
      </c>
      <c r="W298" t="str">
        <f t="shared" si="111"/>
        <v>Support</v>
      </c>
      <c r="X298">
        <f>survey_responses[[#This Row],[Tôi tin rằng Nhà nước, cơ quan thuế có đủ khả năng và công nghệ để phát hiện, xử lý nghiêm các hành vi trốn thuế. - HUMAN-ENF2]]</f>
        <v>10</v>
      </c>
      <c r="Y298" t="str">
        <f t="shared" si="112"/>
        <v>Support</v>
      </c>
      <c r="Z298" s="32">
        <f t="shared" si="113"/>
        <v>1</v>
      </c>
      <c r="AA298">
        <f>step3_validation[[#This Row],[AI_FAC1]]</f>
        <v>9</v>
      </c>
      <c r="AB298" t="str">
        <f t="shared" si="114"/>
        <v>Support</v>
      </c>
      <c r="AC298">
        <f>survey_responses[[#This Row],[Các thủ tục khai báo thuế VÀ/HOẶC quy trình làm việc với cơ quan thuế đơn giản, tiện lợi, nhanh chóng hơn so với trước đây. - HUMAN-FAC1]]</f>
        <v>5</v>
      </c>
      <c r="AD298" t="str">
        <f t="shared" si="115"/>
        <v>Neutral</v>
      </c>
      <c r="AE298" s="32">
        <f t="shared" si="116"/>
        <v>4</v>
      </c>
      <c r="AF298">
        <f>step3_validation[[#This Row],[AI_FAC2]]</f>
        <v>8</v>
      </c>
      <c r="AG298" t="str">
        <f t="shared" si="117"/>
        <v>Support</v>
      </c>
      <c r="AH298">
        <f>survey_responses[[#This Row],[So với trước đây, tôi thấy cách tính thuế và các bậc thuế trong phương án mới đơn giản, dễ hiểu và dễ thực hiện hơn. - HUMAN-FAC2]]</f>
        <v>5</v>
      </c>
      <c r="AI298" t="str">
        <f t="shared" si="118"/>
        <v>Neutral</v>
      </c>
      <c r="AJ298" s="32">
        <f t="shared" si="119"/>
        <v>3</v>
      </c>
      <c r="AK298">
        <f>step3_validation[[#This Row],[AI_TRU1]]</f>
        <v>8</v>
      </c>
      <c r="AL298" t="str">
        <f t="shared" si="120"/>
        <v>Support</v>
      </c>
      <c r="AM298">
        <f>survey_responses[[#This Row],[Tôi tin rằng Nhà nước, cơ quan thuế sẽ thực thi chính sách mới một cách khách quan, công tâm và đối xử bình đẳng với mọi người nộp thuế.  - HUMAN-TRU1]]</f>
        <v>2</v>
      </c>
      <c r="AN298" t="str">
        <f t="shared" si="121"/>
        <v>Oppose</v>
      </c>
      <c r="AO298" s="32">
        <f t="shared" si="122"/>
        <v>6</v>
      </c>
      <c r="AP298">
        <f>step3_validation[[#This Row],[AI_TRU2]]</f>
        <v>9</v>
      </c>
      <c r="AQ298" t="str">
        <f t="shared" si="123"/>
        <v>Support</v>
      </c>
      <c r="AR298">
        <f>survey_responses[[#This Row],[Tôi thấy mức thuế tôi phải đóng theo phương án mới là công bằng (người thu nhập như tôi đóng mức này là hợp lý). - HUMAN-TRU2]]</f>
        <v>3</v>
      </c>
      <c r="AS298" t="str">
        <f t="shared" si="124"/>
        <v>Oppose</v>
      </c>
      <c r="AT298" s="32">
        <f t="shared" si="125"/>
        <v>6</v>
      </c>
      <c r="AU298">
        <f>step3_validation[[#This Row],[AI_TRU3]]</f>
        <v>8</v>
      </c>
      <c r="AV298" t="str">
        <f t="shared" si="126"/>
        <v>Support</v>
      </c>
      <c r="AW298">
        <f>survey_responses[[#This Row],[Tôi tin tưởng số tiền thuế tôi đóng sẽ được Nhà nước sử dụng hiệu quả để cải thiện dịch vụ công (y tế, đường xá...). - HUMAN-TRU3]]</f>
        <v>2</v>
      </c>
      <c r="AX298" t="str">
        <f t="shared" si="127"/>
        <v>Oppose</v>
      </c>
      <c r="AY298" s="32">
        <f t="shared" si="128"/>
        <v>6</v>
      </c>
      <c r="AZ298">
        <f>step3_validation[[#This Row],[AI_TRU4]]</f>
        <v>7</v>
      </c>
      <c r="BA298" t="str">
        <f t="shared" si="129"/>
        <v>Neutral</v>
      </c>
      <c r="BB298">
        <f>survey_responses[[#This Row],[Tôi thấy Nhà nước đã giải thích rõ ràng, minh bạch về lý do và mục tiêu của việc sửa đổi thuế lần này. - HUMAN-TRU4]]</f>
        <v>5</v>
      </c>
      <c r="BC298" t="str">
        <f t="shared" si="130"/>
        <v>Neutral</v>
      </c>
      <c r="BD298" s="32">
        <f t="shared" si="131"/>
        <v>2</v>
      </c>
      <c r="BE298">
        <f>step3_validation[[#This Row],[AI_OUT1]]</f>
        <v>9</v>
      </c>
      <c r="BF298" t="str">
        <f t="shared" si="132"/>
        <v>Support</v>
      </c>
      <c r="BG298">
        <f>survey_responses[[#This Row],[Sau khi xem xét các quyền lợi và nghĩa vụ, bạn có ủng hộ và tuân thủ chính sách mới hiện nay? - HUMAN-OUT1]]</f>
        <v>5</v>
      </c>
      <c r="BH298" t="str">
        <f t="shared" si="133"/>
        <v>Neutral</v>
      </c>
      <c r="BI298" s="32">
        <f t="shared" si="134"/>
        <v>4</v>
      </c>
    </row>
    <row r="299" spans="1:61" x14ac:dyDescent="0.45">
      <c r="A299" s="30">
        <f>step3_validation[[#This Row],[Persona_ID]]</f>
        <v>298</v>
      </c>
      <c r="B299" s="31">
        <f>step3_validation[[#This Row],[Used_Seed]]</f>
        <v>298</v>
      </c>
      <c r="C299" t="str">
        <f>step3_validation[[#This Row],[Gender]]</f>
        <v>Nam</v>
      </c>
      <c r="D299" t="str">
        <f>survey_responses[[#This Row],[Giới tính của bạn:]]</f>
        <v>Nam</v>
      </c>
      <c r="E299" t="str">
        <f>step3_validation[[#This Row],[Age_Group]]</f>
        <v>30 - 39</v>
      </c>
      <c r="F299" t="str">
        <f>survey_responses[[#This Row],[Độ tuổi của bạn:]]</f>
        <v>30 - 39</v>
      </c>
      <c r="G299" t="str">
        <f>step3_validation[[#This Row],[Region]]</f>
        <v>Thành thị</v>
      </c>
      <c r="H299" t="str">
        <f>survey_responses[[#This Row],[Khu vực bạn đang sinh sống:]]</f>
        <v>Thành thị</v>
      </c>
      <c r="I299" t="str">
        <f>step3_validation[[#This Row],[Education]]</f>
        <v>Đại học</v>
      </c>
      <c r="J299" t="str">
        <f>survey_responses[[#This Row],[Trình độ học vấn cao nhất:]]</f>
        <v>Đại học</v>
      </c>
      <c r="K299" t="str">
        <f>step3_validation[[#This Row],[Employment]]</f>
        <v>Phi chính thức</v>
      </c>
      <c r="L299" t="str">
        <f>survey_responses[[#This Row],[Tình trạng việc làm chính:]]</f>
        <v>Khác (Về hưu, nội trợ, sinh viên)</v>
      </c>
      <c r="M299">
        <f>step3_validation[[#This Row],[Income_Mil]]</f>
        <v>12</v>
      </c>
      <c r="N299" t="str">
        <f>survey_responses[[#This Row],[Thu nhập bình quân tháng theo Hợp đồng lao động của bạn là bao nhiêu? (Vui lòng điền tổng thu nhập trước khi khấu trừ các loại Bảo hiểm (BHXH, BHYT, BHTN) và Thuế TNCN)]]</f>
        <v>Dưới 12 triệu VNĐ</v>
      </c>
      <c r="O299">
        <f>step3_validation[[#This Row],[Dependents]]</f>
        <v>0</v>
      </c>
      <c r="P299" t="str">
        <f>survey_responses[[#This Row],[Số người phụ thuộc (con nhỏ, cha mẹ già...) đủ điều kiện giảm trừ gia cảnh:]]</f>
        <v>0 người</v>
      </c>
      <c r="Q299">
        <f>step3_validation[[#This Row],[AI_ENF1]]</f>
        <v>6</v>
      </c>
      <c r="R299" t="str">
        <f t="shared" si="108"/>
        <v>Neutral</v>
      </c>
      <c r="S299">
        <f>survey_responses[[#This Row],[Tôi tin rằng với các quy định quản lý thuế hiện nay, hành vi gian lận hoặc trốn thuế sẽ dễ dàng bị phát hiện và xử lý nghiêm. - HUMAN-ENF1]]</f>
        <v>5</v>
      </c>
      <c r="T299" t="str">
        <f t="shared" si="109"/>
        <v>Neutral</v>
      </c>
      <c r="U299" s="32">
        <f t="shared" si="110"/>
        <v>1</v>
      </c>
      <c r="V299">
        <f>step3_validation[[#This Row],[AI_ENF2]]</f>
        <v>7</v>
      </c>
      <c r="W299" t="str">
        <f t="shared" si="111"/>
        <v>Neutral</v>
      </c>
      <c r="X299">
        <f>survey_responses[[#This Row],[Tôi tin rằng Nhà nước, cơ quan thuế có đủ khả năng và công nghệ để phát hiện, xử lý nghiêm các hành vi trốn thuế. - HUMAN-ENF2]]</f>
        <v>5</v>
      </c>
      <c r="Y299" t="str">
        <f t="shared" si="112"/>
        <v>Neutral</v>
      </c>
      <c r="Z299" s="32">
        <f t="shared" si="113"/>
        <v>2</v>
      </c>
      <c r="AA299">
        <f>step3_validation[[#This Row],[AI_FAC1]]</f>
        <v>9</v>
      </c>
      <c r="AB299" t="str">
        <f t="shared" si="114"/>
        <v>Support</v>
      </c>
      <c r="AC299">
        <f>survey_responses[[#This Row],[Các thủ tục khai báo thuế VÀ/HOẶC quy trình làm việc với cơ quan thuế đơn giản, tiện lợi, nhanh chóng hơn so với trước đây. - HUMAN-FAC1]]</f>
        <v>5</v>
      </c>
      <c r="AD299" t="str">
        <f t="shared" si="115"/>
        <v>Neutral</v>
      </c>
      <c r="AE299" s="32">
        <f t="shared" si="116"/>
        <v>4</v>
      </c>
      <c r="AF299">
        <f>step3_validation[[#This Row],[AI_FAC2]]</f>
        <v>8</v>
      </c>
      <c r="AG299" t="str">
        <f t="shared" si="117"/>
        <v>Support</v>
      </c>
      <c r="AH299">
        <f>survey_responses[[#This Row],[So với trước đây, tôi thấy cách tính thuế và các bậc thuế trong phương án mới đơn giản, dễ hiểu và dễ thực hiện hơn. - HUMAN-FAC2]]</f>
        <v>10</v>
      </c>
      <c r="AI299" t="str">
        <f t="shared" si="118"/>
        <v>Support</v>
      </c>
      <c r="AJ299" s="32">
        <f t="shared" si="119"/>
        <v>2</v>
      </c>
      <c r="AK299">
        <f>step3_validation[[#This Row],[AI_TRU1]]</f>
        <v>7</v>
      </c>
      <c r="AL299" t="str">
        <f t="shared" si="120"/>
        <v>Neutral</v>
      </c>
      <c r="AM299">
        <f>survey_responses[[#This Row],[Tôi tin rằng Nhà nước, cơ quan thuế sẽ thực thi chính sách mới một cách khách quan, công tâm và đối xử bình đẳng với mọi người nộp thuế.  - HUMAN-TRU1]]</f>
        <v>10</v>
      </c>
      <c r="AN299" t="str">
        <f t="shared" si="121"/>
        <v>Support</v>
      </c>
      <c r="AO299" s="32">
        <f t="shared" si="122"/>
        <v>3</v>
      </c>
      <c r="AP299">
        <f>step3_validation[[#This Row],[AI_TRU2]]</f>
        <v>9</v>
      </c>
      <c r="AQ299" t="str">
        <f t="shared" si="123"/>
        <v>Support</v>
      </c>
      <c r="AR299">
        <f>survey_responses[[#This Row],[Tôi thấy mức thuế tôi phải đóng theo phương án mới là công bằng (người thu nhập như tôi đóng mức này là hợp lý). - HUMAN-TRU2]]</f>
        <v>5</v>
      </c>
      <c r="AS299" t="str">
        <f t="shared" si="124"/>
        <v>Neutral</v>
      </c>
      <c r="AT299" s="32">
        <f t="shared" si="125"/>
        <v>4</v>
      </c>
      <c r="AU299">
        <f>step3_validation[[#This Row],[AI_TRU3]]</f>
        <v>8</v>
      </c>
      <c r="AV299" t="str">
        <f t="shared" si="126"/>
        <v>Support</v>
      </c>
      <c r="AW299">
        <f>survey_responses[[#This Row],[Tôi tin tưởng số tiền thuế tôi đóng sẽ được Nhà nước sử dụng hiệu quả để cải thiện dịch vụ công (y tế, đường xá...). - HUMAN-TRU3]]</f>
        <v>5</v>
      </c>
      <c r="AX299" t="str">
        <f t="shared" si="127"/>
        <v>Neutral</v>
      </c>
      <c r="AY299" s="32">
        <f t="shared" si="128"/>
        <v>3</v>
      </c>
      <c r="AZ299">
        <f>step3_validation[[#This Row],[AI_TRU4]]</f>
        <v>7</v>
      </c>
      <c r="BA299" t="str">
        <f t="shared" si="129"/>
        <v>Neutral</v>
      </c>
      <c r="BB299">
        <f>survey_responses[[#This Row],[Tôi thấy Nhà nước đã giải thích rõ ràng, minh bạch về lý do và mục tiêu của việc sửa đổi thuế lần này. - HUMAN-TRU4]]</f>
        <v>5</v>
      </c>
      <c r="BC299" t="str">
        <f t="shared" si="130"/>
        <v>Neutral</v>
      </c>
      <c r="BD299" s="32">
        <f t="shared" si="131"/>
        <v>2</v>
      </c>
      <c r="BE299">
        <f>step3_validation[[#This Row],[AI_OUT1]]</f>
        <v>9</v>
      </c>
      <c r="BF299" t="str">
        <f t="shared" si="132"/>
        <v>Support</v>
      </c>
      <c r="BG299">
        <f>survey_responses[[#This Row],[Sau khi xem xét các quyền lợi và nghĩa vụ, bạn có ủng hộ và tuân thủ chính sách mới hiện nay? - HUMAN-OUT1]]</f>
        <v>5</v>
      </c>
      <c r="BH299" t="str">
        <f t="shared" si="133"/>
        <v>Neutral</v>
      </c>
      <c r="BI299" s="32">
        <f t="shared" si="134"/>
        <v>4</v>
      </c>
    </row>
    <row r="300" spans="1:61" x14ac:dyDescent="0.45">
      <c r="A300" s="30">
        <f>step3_validation[[#This Row],[Persona_ID]]</f>
        <v>299</v>
      </c>
      <c r="B300" s="31">
        <f>step3_validation[[#This Row],[Used_Seed]]</f>
        <v>299</v>
      </c>
      <c r="C300" t="str">
        <f>step3_validation[[#This Row],[Gender]]</f>
        <v>Nam</v>
      </c>
      <c r="D300" t="str">
        <f>survey_responses[[#This Row],[Giới tính của bạn:]]</f>
        <v>Nam</v>
      </c>
      <c r="E300" t="str">
        <f>step3_validation[[#This Row],[Age_Group]]</f>
        <v>30 - 39</v>
      </c>
      <c r="F300" t="str">
        <f>survey_responses[[#This Row],[Độ tuổi của bạn:]]</f>
        <v>30 - 39</v>
      </c>
      <c r="G300" t="str">
        <f>step3_validation[[#This Row],[Region]]</f>
        <v>Thành thị</v>
      </c>
      <c r="H300" t="str">
        <f>survey_responses[[#This Row],[Khu vực bạn đang sinh sống:]]</f>
        <v>Thành thị</v>
      </c>
      <c r="I300" t="str">
        <f>step3_validation[[#This Row],[Education]]</f>
        <v>Sau Đại học</v>
      </c>
      <c r="J300" t="str">
        <f>survey_responses[[#This Row],[Trình độ học vấn cao nhất:]]</f>
        <v>Sau Đại học</v>
      </c>
      <c r="K300" t="str">
        <f>step3_validation[[#This Row],[Employment]]</f>
        <v>Chính thức</v>
      </c>
      <c r="L300" t="str">
        <f>survey_responses[[#This Row],[Tình trạng việc làm chính:]]</f>
        <v>Khu vực chính thức (Có Hợp đồng lao động, đóng BHXH)</v>
      </c>
      <c r="M300">
        <f>step3_validation[[#This Row],[Income_Mil]]</f>
        <v>42.67982978471175</v>
      </c>
      <c r="N300" t="str">
        <f>survey_responses[[#This Row],[Thu nhập bình quân tháng theo Hợp đồng lao động của bạn là bao nhiêu? (Vui lòng điền tổng thu nhập trước khi khấu trừ các loại Bảo hiểm (BHXH, BHYT, BHTN) và Thuế TNCN)]]</f>
        <v>Từ 32 - 48 triệu VNĐ</v>
      </c>
      <c r="O300">
        <f>step3_validation[[#This Row],[Dependents]]</f>
        <v>0</v>
      </c>
      <c r="P300" t="str">
        <f>survey_responses[[#This Row],[Số người phụ thuộc (con nhỏ, cha mẹ già...) đủ điều kiện giảm trừ gia cảnh:]]</f>
        <v>0 người</v>
      </c>
      <c r="Q300">
        <f>step3_validation[[#This Row],[AI_ENF1]]</f>
        <v>6</v>
      </c>
      <c r="R300" t="str">
        <f t="shared" si="108"/>
        <v>Neutral</v>
      </c>
      <c r="S300">
        <f>survey_responses[[#This Row],[Tôi tin rằng với các quy định quản lý thuế hiện nay, hành vi gian lận hoặc trốn thuế sẽ dễ dàng bị phát hiện và xử lý nghiêm. - HUMAN-ENF1]]</f>
        <v>10</v>
      </c>
      <c r="T300" t="str">
        <f t="shared" si="109"/>
        <v>Support</v>
      </c>
      <c r="U300" s="32">
        <f t="shared" si="110"/>
        <v>4</v>
      </c>
      <c r="V300">
        <f>step3_validation[[#This Row],[AI_ENF2]]</f>
        <v>6</v>
      </c>
      <c r="W300" t="str">
        <f t="shared" si="111"/>
        <v>Neutral</v>
      </c>
      <c r="X300">
        <f>survey_responses[[#This Row],[Tôi tin rằng Nhà nước, cơ quan thuế có đủ khả năng và công nghệ để phát hiện, xử lý nghiêm các hành vi trốn thuế. - HUMAN-ENF2]]</f>
        <v>10</v>
      </c>
      <c r="Y300" t="str">
        <f t="shared" si="112"/>
        <v>Support</v>
      </c>
      <c r="Z300" s="32">
        <f t="shared" si="113"/>
        <v>4</v>
      </c>
      <c r="AA300">
        <f>step3_validation[[#This Row],[AI_FAC1]]</f>
        <v>9</v>
      </c>
      <c r="AB300" t="str">
        <f t="shared" si="114"/>
        <v>Support</v>
      </c>
      <c r="AC300">
        <f>survey_responses[[#This Row],[Các thủ tục khai báo thuế VÀ/HOẶC quy trình làm việc với cơ quan thuế đơn giản, tiện lợi, nhanh chóng hơn so với trước đây. - HUMAN-FAC1]]</f>
        <v>10</v>
      </c>
      <c r="AD300" t="str">
        <f t="shared" si="115"/>
        <v>Support</v>
      </c>
      <c r="AE300" s="32">
        <f t="shared" si="116"/>
        <v>1</v>
      </c>
      <c r="AF300">
        <f>step3_validation[[#This Row],[AI_FAC2]]</f>
        <v>8</v>
      </c>
      <c r="AG300" t="str">
        <f t="shared" si="117"/>
        <v>Support</v>
      </c>
      <c r="AH300">
        <f>survey_responses[[#This Row],[So với trước đây, tôi thấy cách tính thuế và các bậc thuế trong phương án mới đơn giản, dễ hiểu và dễ thực hiện hơn. - HUMAN-FAC2]]</f>
        <v>10</v>
      </c>
      <c r="AI300" t="str">
        <f t="shared" si="118"/>
        <v>Support</v>
      </c>
      <c r="AJ300" s="32">
        <f t="shared" si="119"/>
        <v>2</v>
      </c>
      <c r="AK300">
        <f>step3_validation[[#This Row],[AI_TRU1]]</f>
        <v>7</v>
      </c>
      <c r="AL300" t="str">
        <f t="shared" si="120"/>
        <v>Neutral</v>
      </c>
      <c r="AM300">
        <f>survey_responses[[#This Row],[Tôi tin rằng Nhà nước, cơ quan thuế sẽ thực thi chính sách mới một cách khách quan, công tâm và đối xử bình đẳng với mọi người nộp thuế.  - HUMAN-TRU1]]</f>
        <v>10</v>
      </c>
      <c r="AN300" t="str">
        <f t="shared" si="121"/>
        <v>Support</v>
      </c>
      <c r="AO300" s="32">
        <f t="shared" si="122"/>
        <v>3</v>
      </c>
      <c r="AP300">
        <f>step3_validation[[#This Row],[AI_TRU2]]</f>
        <v>8</v>
      </c>
      <c r="AQ300" t="str">
        <f t="shared" si="123"/>
        <v>Support</v>
      </c>
      <c r="AR300">
        <f>survey_responses[[#This Row],[Tôi thấy mức thuế tôi phải đóng theo phương án mới là công bằng (người thu nhập như tôi đóng mức này là hợp lý). - HUMAN-TRU2]]</f>
        <v>10</v>
      </c>
      <c r="AS300" t="str">
        <f t="shared" si="124"/>
        <v>Support</v>
      </c>
      <c r="AT300" s="32">
        <f t="shared" si="125"/>
        <v>2</v>
      </c>
      <c r="AU300">
        <f>step3_validation[[#This Row],[AI_TRU3]]</f>
        <v>7</v>
      </c>
      <c r="AV300" t="str">
        <f t="shared" si="126"/>
        <v>Neutral</v>
      </c>
      <c r="AW300">
        <f>survey_responses[[#This Row],[Tôi tin tưởng số tiền thuế tôi đóng sẽ được Nhà nước sử dụng hiệu quả để cải thiện dịch vụ công (y tế, đường xá...). - HUMAN-TRU3]]</f>
        <v>10</v>
      </c>
      <c r="AX300" t="str">
        <f t="shared" si="127"/>
        <v>Support</v>
      </c>
      <c r="AY300" s="32">
        <f t="shared" si="128"/>
        <v>3</v>
      </c>
      <c r="AZ300">
        <f>step3_validation[[#This Row],[AI_TRU4]]</f>
        <v>6</v>
      </c>
      <c r="BA300" t="str">
        <f t="shared" si="129"/>
        <v>Neutral</v>
      </c>
      <c r="BB300">
        <f>survey_responses[[#This Row],[Tôi thấy Nhà nước đã giải thích rõ ràng, minh bạch về lý do và mục tiêu của việc sửa đổi thuế lần này. - HUMAN-TRU4]]</f>
        <v>10</v>
      </c>
      <c r="BC300" t="str">
        <f t="shared" si="130"/>
        <v>Support</v>
      </c>
      <c r="BD300" s="32">
        <f t="shared" si="131"/>
        <v>4</v>
      </c>
      <c r="BE300">
        <f>step3_validation[[#This Row],[AI_OUT1]]</f>
        <v>8</v>
      </c>
      <c r="BF300" t="str">
        <f t="shared" si="132"/>
        <v>Support</v>
      </c>
      <c r="BG300">
        <f>survey_responses[[#This Row],[Sau khi xem xét các quyền lợi và nghĩa vụ, bạn có ủng hộ và tuân thủ chính sách mới hiện nay? - HUMAN-OUT1]]</f>
        <v>10</v>
      </c>
      <c r="BH300" t="str">
        <f t="shared" si="133"/>
        <v>Support</v>
      </c>
      <c r="BI300" s="32">
        <f t="shared" si="134"/>
        <v>2</v>
      </c>
    </row>
    <row r="301" spans="1:61" x14ac:dyDescent="0.45">
      <c r="A301" s="30">
        <f>step3_validation[[#This Row],[Persona_ID]]</f>
        <v>300</v>
      </c>
      <c r="B301" s="31">
        <f>step3_validation[[#This Row],[Used_Seed]]</f>
        <v>300</v>
      </c>
      <c r="C301" t="str">
        <f>step3_validation[[#This Row],[Gender]]</f>
        <v>Nam</v>
      </c>
      <c r="D301" t="str">
        <f>survey_responses[[#This Row],[Giới tính của bạn:]]</f>
        <v>Nam</v>
      </c>
      <c r="E301" t="str">
        <f>step3_validation[[#This Row],[Age_Group]]</f>
        <v>30 - 39</v>
      </c>
      <c r="F301" t="str">
        <f>survey_responses[[#This Row],[Độ tuổi của bạn:]]</f>
        <v>30 - 39</v>
      </c>
      <c r="G301" t="str">
        <f>step3_validation[[#This Row],[Region]]</f>
        <v>Thành thị</v>
      </c>
      <c r="H301" t="str">
        <f>survey_responses[[#This Row],[Khu vực bạn đang sinh sống:]]</f>
        <v>Thành thị</v>
      </c>
      <c r="I301" t="str">
        <f>step3_validation[[#This Row],[Education]]</f>
        <v>Đại học</v>
      </c>
      <c r="J301" t="str">
        <f>survey_responses[[#This Row],[Trình độ học vấn cao nhất:]]</f>
        <v>Đại học</v>
      </c>
      <c r="K301" t="str">
        <f>step3_validation[[#This Row],[Employment]]</f>
        <v>Chính thức</v>
      </c>
      <c r="L301" t="str">
        <f>survey_responses[[#This Row],[Tình trạng việc làm chính:]]</f>
        <v>Khu vực chính thức (Có Hợp đồng lao động, đóng BHXH)</v>
      </c>
      <c r="M301">
        <f>step3_validation[[#This Row],[Income_Mil]]</f>
        <v>28.362960709350027</v>
      </c>
      <c r="N301" t="str">
        <f>survey_responses[[#This Row],[Thu nhập bình quân tháng theo Hợp đồng lao động của bạn là bao nhiêu? (Vui lòng điền tổng thu nhập trước khi khấu trừ các loại Bảo hiểm (BHXH, BHYT, BHTN) và Thuế TNCN)]]</f>
        <v>Từ 23 - 32 triệu VNĐ</v>
      </c>
      <c r="O301">
        <f>step3_validation[[#This Row],[Dependents]]</f>
        <v>1</v>
      </c>
      <c r="P301" t="str">
        <f>survey_responses[[#This Row],[Số người phụ thuộc (con nhỏ, cha mẹ già...) đủ điều kiện giảm trừ gia cảnh:]]</f>
        <v>1 người</v>
      </c>
      <c r="Q301">
        <f>step3_validation[[#This Row],[AI_ENF1]]</f>
        <v>6</v>
      </c>
      <c r="R301" t="str">
        <f t="shared" si="108"/>
        <v>Neutral</v>
      </c>
      <c r="S301">
        <f>survey_responses[[#This Row],[Tôi tin rằng với các quy định quản lý thuế hiện nay, hành vi gian lận hoặc trốn thuế sẽ dễ dàng bị phát hiện và xử lý nghiêm. - HUMAN-ENF1]]</f>
        <v>9</v>
      </c>
      <c r="T301" t="str">
        <f t="shared" si="109"/>
        <v>Support</v>
      </c>
      <c r="U301" s="32">
        <f t="shared" si="110"/>
        <v>3</v>
      </c>
      <c r="V301">
        <f>step3_validation[[#This Row],[AI_ENF2]]</f>
        <v>7</v>
      </c>
      <c r="W301" t="str">
        <f t="shared" si="111"/>
        <v>Neutral</v>
      </c>
      <c r="X301">
        <f>survey_responses[[#This Row],[Tôi tin rằng Nhà nước, cơ quan thuế có đủ khả năng và công nghệ để phát hiện, xử lý nghiêm các hành vi trốn thuế. - HUMAN-ENF2]]</f>
        <v>9</v>
      </c>
      <c r="Y301" t="str">
        <f t="shared" si="112"/>
        <v>Support</v>
      </c>
      <c r="Z301" s="32">
        <f t="shared" si="113"/>
        <v>2</v>
      </c>
      <c r="AA301">
        <f>step3_validation[[#This Row],[AI_FAC1]]</f>
        <v>9</v>
      </c>
      <c r="AB301" t="str">
        <f t="shared" si="114"/>
        <v>Support</v>
      </c>
      <c r="AC301">
        <f>survey_responses[[#This Row],[Các thủ tục khai báo thuế VÀ/HOẶC quy trình làm việc với cơ quan thuế đơn giản, tiện lợi, nhanh chóng hơn so với trước đây. - HUMAN-FAC1]]</f>
        <v>8</v>
      </c>
      <c r="AD301" t="str">
        <f t="shared" si="115"/>
        <v>Support</v>
      </c>
      <c r="AE301" s="32">
        <f t="shared" si="116"/>
        <v>1</v>
      </c>
      <c r="AF301">
        <f>step3_validation[[#This Row],[AI_FAC2]]</f>
        <v>8</v>
      </c>
      <c r="AG301" t="str">
        <f t="shared" si="117"/>
        <v>Support</v>
      </c>
      <c r="AH301">
        <f>survey_responses[[#This Row],[So với trước đây, tôi thấy cách tính thuế và các bậc thuế trong phương án mới đơn giản, dễ hiểu và dễ thực hiện hơn. - HUMAN-FAC2]]</f>
        <v>10</v>
      </c>
      <c r="AI301" t="str">
        <f t="shared" si="118"/>
        <v>Support</v>
      </c>
      <c r="AJ301" s="32">
        <f t="shared" si="119"/>
        <v>2</v>
      </c>
      <c r="AK301">
        <f>step3_validation[[#This Row],[AI_TRU1]]</f>
        <v>7</v>
      </c>
      <c r="AL301" t="str">
        <f t="shared" si="120"/>
        <v>Neutral</v>
      </c>
      <c r="AM301">
        <f>survey_responses[[#This Row],[Tôi tin rằng Nhà nước, cơ quan thuế sẽ thực thi chính sách mới một cách khách quan, công tâm và đối xử bình đẳng với mọi người nộp thuế.  - HUMAN-TRU1]]</f>
        <v>8</v>
      </c>
      <c r="AN301" t="str">
        <f t="shared" si="121"/>
        <v>Support</v>
      </c>
      <c r="AO301" s="32">
        <f t="shared" si="122"/>
        <v>1</v>
      </c>
      <c r="AP301">
        <f>step3_validation[[#This Row],[AI_TRU2]]</f>
        <v>8</v>
      </c>
      <c r="AQ301" t="str">
        <f t="shared" si="123"/>
        <v>Support</v>
      </c>
      <c r="AR301">
        <f>survey_responses[[#This Row],[Tôi thấy mức thuế tôi phải đóng theo phương án mới là công bằng (người thu nhập như tôi đóng mức này là hợp lý). - HUMAN-TRU2]]</f>
        <v>8</v>
      </c>
      <c r="AS301" t="str">
        <f t="shared" si="124"/>
        <v>Support</v>
      </c>
      <c r="AT301" s="32">
        <f t="shared" si="125"/>
        <v>0</v>
      </c>
      <c r="AU301">
        <f>step3_validation[[#This Row],[AI_TRU3]]</f>
        <v>7</v>
      </c>
      <c r="AV301" t="str">
        <f t="shared" si="126"/>
        <v>Neutral</v>
      </c>
      <c r="AW301">
        <f>survey_responses[[#This Row],[Tôi tin tưởng số tiền thuế tôi đóng sẽ được Nhà nước sử dụng hiệu quả để cải thiện dịch vụ công (y tế, đường xá...). - HUMAN-TRU3]]</f>
        <v>10</v>
      </c>
      <c r="AX301" t="str">
        <f t="shared" si="127"/>
        <v>Support</v>
      </c>
      <c r="AY301" s="32">
        <f t="shared" si="128"/>
        <v>3</v>
      </c>
      <c r="AZ301">
        <f>step3_validation[[#This Row],[AI_TRU4]]</f>
        <v>6</v>
      </c>
      <c r="BA301" t="str">
        <f t="shared" si="129"/>
        <v>Neutral</v>
      </c>
      <c r="BB301">
        <f>survey_responses[[#This Row],[Tôi thấy Nhà nước đã giải thích rõ ràng, minh bạch về lý do và mục tiêu của việc sửa đổi thuế lần này. - HUMAN-TRU4]]</f>
        <v>9</v>
      </c>
      <c r="BC301" t="str">
        <f t="shared" si="130"/>
        <v>Support</v>
      </c>
      <c r="BD301" s="32">
        <f t="shared" si="131"/>
        <v>3</v>
      </c>
      <c r="BE301">
        <f>step3_validation[[#This Row],[AI_OUT1]]</f>
        <v>9</v>
      </c>
      <c r="BF301" t="str">
        <f t="shared" si="132"/>
        <v>Support</v>
      </c>
      <c r="BG301">
        <f>survey_responses[[#This Row],[Sau khi xem xét các quyền lợi và nghĩa vụ, bạn có ủng hộ và tuân thủ chính sách mới hiện nay? - HUMAN-OUT1]]</f>
        <v>9</v>
      </c>
      <c r="BH301" t="str">
        <f t="shared" si="133"/>
        <v>Support</v>
      </c>
      <c r="BI301" s="32">
        <f t="shared" si="134"/>
        <v>0</v>
      </c>
    </row>
    <row r="302" spans="1:61" x14ac:dyDescent="0.45">
      <c r="A302" s="30">
        <f>step3_validation[[#This Row],[Persona_ID]]</f>
        <v>301</v>
      </c>
      <c r="B302" s="31">
        <f>step3_validation[[#This Row],[Used_Seed]]</f>
        <v>301</v>
      </c>
      <c r="C302" t="str">
        <f>step3_validation[[#This Row],[Gender]]</f>
        <v>Nam</v>
      </c>
      <c r="D302" t="str">
        <f>survey_responses[[#This Row],[Giới tính của bạn:]]</f>
        <v>Nam</v>
      </c>
      <c r="E302" t="str">
        <f>step3_validation[[#This Row],[Age_Group]]</f>
        <v>25 - 29</v>
      </c>
      <c r="F302" t="str">
        <f>survey_responses[[#This Row],[Độ tuổi của bạn:]]</f>
        <v>25 - 29</v>
      </c>
      <c r="G302" t="str">
        <f>step3_validation[[#This Row],[Region]]</f>
        <v>Thành thị</v>
      </c>
      <c r="H302" t="str">
        <f>survey_responses[[#This Row],[Khu vực bạn đang sinh sống:]]</f>
        <v>Thành thị</v>
      </c>
      <c r="I302" t="str">
        <f>step3_validation[[#This Row],[Education]]</f>
        <v>Đại học</v>
      </c>
      <c r="J302" t="str">
        <f>survey_responses[[#This Row],[Trình độ học vấn cao nhất:]]</f>
        <v>Đại học</v>
      </c>
      <c r="K302" t="str">
        <f>step3_validation[[#This Row],[Employment]]</f>
        <v>Chính thức</v>
      </c>
      <c r="L302" t="str">
        <f>survey_responses[[#This Row],[Tình trạng việc làm chính:]]</f>
        <v>Khu vực chính thức (Có Hợp đồng lao động, đóng BHXH)</v>
      </c>
      <c r="M302">
        <f>step3_validation[[#This Row],[Income_Mil]]</f>
        <v>12</v>
      </c>
      <c r="N302" t="str">
        <f>survey_responses[[#This Row],[Thu nhập bình quân tháng theo Hợp đồng lao động của bạn là bao nhiêu? (Vui lòng điền tổng thu nhập trước khi khấu trừ các loại Bảo hiểm (BHXH, BHYT, BHTN) và Thuế TNCN)]]</f>
        <v>Dưới 12 triệu VNĐ</v>
      </c>
      <c r="O302">
        <f>step3_validation[[#This Row],[Dependents]]</f>
        <v>0</v>
      </c>
      <c r="P302" t="str">
        <f>survey_responses[[#This Row],[Số người phụ thuộc (con nhỏ, cha mẹ già...) đủ điều kiện giảm trừ gia cảnh:]]</f>
        <v>0 người</v>
      </c>
      <c r="Q302">
        <f>step3_validation[[#This Row],[AI_ENF1]]</f>
        <v>7</v>
      </c>
      <c r="R302" t="str">
        <f t="shared" si="108"/>
        <v>Neutral</v>
      </c>
      <c r="S302">
        <f>survey_responses[[#This Row],[Tôi tin rằng với các quy định quản lý thuế hiện nay, hành vi gian lận hoặc trốn thuế sẽ dễ dàng bị phát hiện và xử lý nghiêm. - HUMAN-ENF1]]</f>
        <v>8</v>
      </c>
      <c r="T302" t="str">
        <f t="shared" si="109"/>
        <v>Support</v>
      </c>
      <c r="U302" s="32">
        <f t="shared" si="110"/>
        <v>1</v>
      </c>
      <c r="V302">
        <f>step3_validation[[#This Row],[AI_ENF2]]</f>
        <v>8</v>
      </c>
      <c r="W302" t="str">
        <f t="shared" si="111"/>
        <v>Support</v>
      </c>
      <c r="X302">
        <f>survey_responses[[#This Row],[Tôi tin rằng Nhà nước, cơ quan thuế có đủ khả năng và công nghệ để phát hiện, xử lý nghiêm các hành vi trốn thuế. - HUMAN-ENF2]]</f>
        <v>7</v>
      </c>
      <c r="Y302" t="str">
        <f t="shared" si="112"/>
        <v>Neutral</v>
      </c>
      <c r="Z302" s="32">
        <f t="shared" si="113"/>
        <v>1</v>
      </c>
      <c r="AA302">
        <f>step3_validation[[#This Row],[AI_FAC1]]</f>
        <v>9</v>
      </c>
      <c r="AB302" t="str">
        <f t="shared" si="114"/>
        <v>Support</v>
      </c>
      <c r="AC302">
        <f>survey_responses[[#This Row],[Các thủ tục khai báo thuế VÀ/HOẶC quy trình làm việc với cơ quan thuế đơn giản, tiện lợi, nhanh chóng hơn so với trước đây. - HUMAN-FAC1]]</f>
        <v>9</v>
      </c>
      <c r="AD302" t="str">
        <f t="shared" si="115"/>
        <v>Support</v>
      </c>
      <c r="AE302" s="32">
        <f t="shared" si="116"/>
        <v>0</v>
      </c>
      <c r="AF302">
        <f>step3_validation[[#This Row],[AI_FAC2]]</f>
        <v>9</v>
      </c>
      <c r="AG302" t="str">
        <f t="shared" si="117"/>
        <v>Support</v>
      </c>
      <c r="AH302">
        <f>survey_responses[[#This Row],[So với trước đây, tôi thấy cách tính thuế và các bậc thuế trong phương án mới đơn giản, dễ hiểu và dễ thực hiện hơn. - HUMAN-FAC2]]</f>
        <v>5</v>
      </c>
      <c r="AI302" t="str">
        <f t="shared" si="118"/>
        <v>Neutral</v>
      </c>
      <c r="AJ302" s="32">
        <f t="shared" si="119"/>
        <v>4</v>
      </c>
      <c r="AK302">
        <f>step3_validation[[#This Row],[AI_TRU1]]</f>
        <v>8</v>
      </c>
      <c r="AL302" t="str">
        <f t="shared" si="120"/>
        <v>Support</v>
      </c>
      <c r="AM302">
        <f>survey_responses[[#This Row],[Tôi tin rằng Nhà nước, cơ quan thuế sẽ thực thi chính sách mới một cách khách quan, công tâm và đối xử bình đẳng với mọi người nộp thuế.  - HUMAN-TRU1]]</f>
        <v>7</v>
      </c>
      <c r="AN302" t="str">
        <f t="shared" si="121"/>
        <v>Neutral</v>
      </c>
      <c r="AO302" s="32">
        <f t="shared" si="122"/>
        <v>1</v>
      </c>
      <c r="AP302">
        <f>step3_validation[[#This Row],[AI_TRU2]]</f>
        <v>9</v>
      </c>
      <c r="AQ302" t="str">
        <f t="shared" si="123"/>
        <v>Support</v>
      </c>
      <c r="AR302">
        <f>survey_responses[[#This Row],[Tôi thấy mức thuế tôi phải đóng theo phương án mới là công bằng (người thu nhập như tôi đóng mức này là hợp lý). - HUMAN-TRU2]]</f>
        <v>7</v>
      </c>
      <c r="AS302" t="str">
        <f t="shared" si="124"/>
        <v>Neutral</v>
      </c>
      <c r="AT302" s="32">
        <f t="shared" si="125"/>
        <v>2</v>
      </c>
      <c r="AU302">
        <f>step3_validation[[#This Row],[AI_TRU3]]</f>
        <v>8</v>
      </c>
      <c r="AV302" t="str">
        <f t="shared" si="126"/>
        <v>Support</v>
      </c>
      <c r="AW302">
        <f>survey_responses[[#This Row],[Tôi tin tưởng số tiền thuế tôi đóng sẽ được Nhà nước sử dụng hiệu quả để cải thiện dịch vụ công (y tế, đường xá...). - HUMAN-TRU3]]</f>
        <v>7</v>
      </c>
      <c r="AX302" t="str">
        <f t="shared" si="127"/>
        <v>Neutral</v>
      </c>
      <c r="AY302" s="32">
        <f t="shared" si="128"/>
        <v>1</v>
      </c>
      <c r="AZ302">
        <f>step3_validation[[#This Row],[AI_TRU4]]</f>
        <v>7</v>
      </c>
      <c r="BA302" t="str">
        <f t="shared" si="129"/>
        <v>Neutral</v>
      </c>
      <c r="BB302">
        <f>survey_responses[[#This Row],[Tôi thấy Nhà nước đã giải thích rõ ràng, minh bạch về lý do và mục tiêu của việc sửa đổi thuế lần này. - HUMAN-TRU4]]</f>
        <v>6</v>
      </c>
      <c r="BC302" t="str">
        <f t="shared" si="130"/>
        <v>Neutral</v>
      </c>
      <c r="BD302" s="32">
        <f t="shared" si="131"/>
        <v>1</v>
      </c>
      <c r="BE302">
        <f>step3_validation[[#This Row],[AI_OUT1]]</f>
        <v>9</v>
      </c>
      <c r="BF302" t="str">
        <f t="shared" si="132"/>
        <v>Support</v>
      </c>
      <c r="BG302">
        <f>survey_responses[[#This Row],[Sau khi xem xét các quyền lợi và nghĩa vụ, bạn có ủng hộ và tuân thủ chính sách mới hiện nay? - HUMAN-OUT1]]</f>
        <v>7</v>
      </c>
      <c r="BH302" t="str">
        <f t="shared" si="133"/>
        <v>Neutral</v>
      </c>
      <c r="BI302" s="32">
        <f t="shared" si="134"/>
        <v>2</v>
      </c>
    </row>
    <row r="303" spans="1:61" x14ac:dyDescent="0.45">
      <c r="A303" s="30">
        <f>step3_validation[[#This Row],[Persona_ID]]</f>
        <v>302</v>
      </c>
      <c r="B303" s="31">
        <f>step3_validation[[#This Row],[Used_Seed]]</f>
        <v>302</v>
      </c>
      <c r="C303" t="str">
        <f>step3_validation[[#This Row],[Gender]]</f>
        <v>Nữ</v>
      </c>
      <c r="D303" t="str">
        <f>survey_responses[[#This Row],[Giới tính của bạn:]]</f>
        <v>Nữ</v>
      </c>
      <c r="E303" t="str">
        <f>step3_validation[[#This Row],[Age_Group]]</f>
        <v>30 - 39</v>
      </c>
      <c r="F303" t="str">
        <f>survey_responses[[#This Row],[Độ tuổi của bạn:]]</f>
        <v>30 - 39</v>
      </c>
      <c r="G303" t="str">
        <f>step3_validation[[#This Row],[Region]]</f>
        <v>Thành thị</v>
      </c>
      <c r="H303" t="str">
        <f>survey_responses[[#This Row],[Khu vực bạn đang sinh sống:]]</f>
        <v>Thành thị</v>
      </c>
      <c r="I303" t="str">
        <f>step3_validation[[#This Row],[Education]]</f>
        <v>Đại học</v>
      </c>
      <c r="J303" t="str">
        <f>survey_responses[[#This Row],[Trình độ học vấn cao nhất:]]</f>
        <v>Đại học</v>
      </c>
      <c r="K303" t="str">
        <f>step3_validation[[#This Row],[Employment]]</f>
        <v>Chính thức</v>
      </c>
      <c r="L303" t="str">
        <f>survey_responses[[#This Row],[Tình trạng việc làm chính:]]</f>
        <v>Khu vực chính thức (Có Hợp đồng lao động, đóng BHXH)</v>
      </c>
      <c r="M303">
        <f>step3_validation[[#This Row],[Income_Mil]]</f>
        <v>29.07797034792781</v>
      </c>
      <c r="N303" t="str">
        <f>survey_responses[[#This Row],[Thu nhập bình quân tháng theo Hợp đồng lao động của bạn là bao nhiêu? (Vui lòng điền tổng thu nhập trước khi khấu trừ các loại Bảo hiểm (BHXH, BHYT, BHTN) và Thuế TNCN)]]</f>
        <v>Từ 23 - 32 triệu VNĐ</v>
      </c>
      <c r="O303">
        <f>step3_validation[[#This Row],[Dependents]]</f>
        <v>0</v>
      </c>
      <c r="P303" t="str">
        <f>survey_responses[[#This Row],[Số người phụ thuộc (con nhỏ, cha mẹ già...) đủ điều kiện giảm trừ gia cảnh:]]</f>
        <v>0 người</v>
      </c>
      <c r="Q303">
        <f>step3_validation[[#This Row],[AI_ENF1]]</f>
        <v>7</v>
      </c>
      <c r="R303" t="str">
        <f t="shared" si="108"/>
        <v>Neutral</v>
      </c>
      <c r="S303">
        <f>survey_responses[[#This Row],[Tôi tin rằng với các quy định quản lý thuế hiện nay, hành vi gian lận hoặc trốn thuế sẽ dễ dàng bị phát hiện và xử lý nghiêm. - HUMAN-ENF1]]</f>
        <v>7</v>
      </c>
      <c r="T303" t="str">
        <f t="shared" si="109"/>
        <v>Neutral</v>
      </c>
      <c r="U303" s="32">
        <f t="shared" si="110"/>
        <v>0</v>
      </c>
      <c r="V303">
        <f>step3_validation[[#This Row],[AI_ENF2]]</f>
        <v>6</v>
      </c>
      <c r="W303" t="str">
        <f t="shared" si="111"/>
        <v>Neutral</v>
      </c>
      <c r="X303">
        <f>survey_responses[[#This Row],[Tôi tin rằng Nhà nước, cơ quan thuế có đủ khả năng và công nghệ để phát hiện, xử lý nghiêm các hành vi trốn thuế. - HUMAN-ENF2]]</f>
        <v>7</v>
      </c>
      <c r="Y303" t="str">
        <f t="shared" si="112"/>
        <v>Neutral</v>
      </c>
      <c r="Z303" s="32">
        <f t="shared" si="113"/>
        <v>1</v>
      </c>
      <c r="AA303">
        <f>step3_validation[[#This Row],[AI_FAC1]]</f>
        <v>5</v>
      </c>
      <c r="AB303" t="str">
        <f t="shared" si="114"/>
        <v>Neutral</v>
      </c>
      <c r="AC303">
        <f>survey_responses[[#This Row],[Các thủ tục khai báo thuế VÀ/HOẶC quy trình làm việc với cơ quan thuế đơn giản, tiện lợi, nhanh chóng hơn so với trước đây. - HUMAN-FAC1]]</f>
        <v>4</v>
      </c>
      <c r="AD303" t="str">
        <f t="shared" si="115"/>
        <v>Oppose</v>
      </c>
      <c r="AE303" s="32">
        <f t="shared" si="116"/>
        <v>1</v>
      </c>
      <c r="AF303">
        <f>step3_validation[[#This Row],[AI_FAC2]]</f>
        <v>9</v>
      </c>
      <c r="AG303" t="str">
        <f t="shared" si="117"/>
        <v>Support</v>
      </c>
      <c r="AH303">
        <f>survey_responses[[#This Row],[So với trước đây, tôi thấy cách tính thuế và các bậc thuế trong phương án mới đơn giản, dễ hiểu và dễ thực hiện hơn. - HUMAN-FAC2]]</f>
        <v>8</v>
      </c>
      <c r="AI303" t="str">
        <f t="shared" si="118"/>
        <v>Support</v>
      </c>
      <c r="AJ303" s="32">
        <f t="shared" si="119"/>
        <v>1</v>
      </c>
      <c r="AK303">
        <f>step3_validation[[#This Row],[AI_TRU1]]</f>
        <v>7</v>
      </c>
      <c r="AL303" t="str">
        <f t="shared" si="120"/>
        <v>Neutral</v>
      </c>
      <c r="AM303">
        <f>survey_responses[[#This Row],[Tôi tin rằng Nhà nước, cơ quan thuế sẽ thực thi chính sách mới một cách khách quan, công tâm và đối xử bình đẳng với mọi người nộp thuế.  - HUMAN-TRU1]]</f>
        <v>7</v>
      </c>
      <c r="AN303" t="str">
        <f t="shared" si="121"/>
        <v>Neutral</v>
      </c>
      <c r="AO303" s="32">
        <f t="shared" si="122"/>
        <v>0</v>
      </c>
      <c r="AP303">
        <f>step3_validation[[#This Row],[AI_TRU2]]</f>
        <v>8</v>
      </c>
      <c r="AQ303" t="str">
        <f t="shared" si="123"/>
        <v>Support</v>
      </c>
      <c r="AR303">
        <f>survey_responses[[#This Row],[Tôi thấy mức thuế tôi phải đóng theo phương án mới là công bằng (người thu nhập như tôi đóng mức này là hợp lý). - HUMAN-TRU2]]</f>
        <v>7</v>
      </c>
      <c r="AS303" t="str">
        <f t="shared" si="124"/>
        <v>Neutral</v>
      </c>
      <c r="AT303" s="32">
        <f t="shared" si="125"/>
        <v>1</v>
      </c>
      <c r="AU303">
        <f>step3_validation[[#This Row],[AI_TRU3]]</f>
        <v>7</v>
      </c>
      <c r="AV303" t="str">
        <f t="shared" si="126"/>
        <v>Neutral</v>
      </c>
      <c r="AW303">
        <f>survey_responses[[#This Row],[Tôi tin tưởng số tiền thuế tôi đóng sẽ được Nhà nước sử dụng hiệu quả để cải thiện dịch vụ công (y tế, đường xá...). - HUMAN-TRU3]]</f>
        <v>5</v>
      </c>
      <c r="AX303" t="str">
        <f t="shared" si="127"/>
        <v>Neutral</v>
      </c>
      <c r="AY303" s="32">
        <f t="shared" si="128"/>
        <v>2</v>
      </c>
      <c r="AZ303">
        <f>step3_validation[[#This Row],[AI_TRU4]]</f>
        <v>6</v>
      </c>
      <c r="BA303" t="str">
        <f t="shared" si="129"/>
        <v>Neutral</v>
      </c>
      <c r="BB303">
        <f>survey_responses[[#This Row],[Tôi thấy Nhà nước đã giải thích rõ ràng, minh bạch về lý do và mục tiêu của việc sửa đổi thuế lần này. - HUMAN-TRU4]]</f>
        <v>5</v>
      </c>
      <c r="BC303" t="str">
        <f t="shared" si="130"/>
        <v>Neutral</v>
      </c>
      <c r="BD303" s="32">
        <f t="shared" si="131"/>
        <v>1</v>
      </c>
      <c r="BE303">
        <f>step3_validation[[#This Row],[AI_OUT1]]</f>
        <v>8</v>
      </c>
      <c r="BF303" t="str">
        <f t="shared" si="132"/>
        <v>Support</v>
      </c>
      <c r="BG303">
        <f>survey_responses[[#This Row],[Sau khi xem xét các quyền lợi và nghĩa vụ, bạn có ủng hộ và tuân thủ chính sách mới hiện nay? - HUMAN-OUT1]]</f>
        <v>7</v>
      </c>
      <c r="BH303" t="str">
        <f t="shared" si="133"/>
        <v>Neutral</v>
      </c>
      <c r="BI303" s="32">
        <f t="shared" si="134"/>
        <v>1</v>
      </c>
    </row>
    <row r="304" spans="1:61" x14ac:dyDescent="0.45">
      <c r="A304" s="30">
        <f>step3_validation[[#This Row],[Persona_ID]]</f>
        <v>303</v>
      </c>
      <c r="B304" s="31">
        <f>step3_validation[[#This Row],[Used_Seed]]</f>
        <v>303</v>
      </c>
      <c r="C304" t="str">
        <f>step3_validation[[#This Row],[Gender]]</f>
        <v>Nam</v>
      </c>
      <c r="D304" t="str">
        <f>survey_responses[[#This Row],[Giới tính của bạn:]]</f>
        <v>Nam</v>
      </c>
      <c r="E304" t="str">
        <f>step3_validation[[#This Row],[Age_Group]]</f>
        <v>30 - 39</v>
      </c>
      <c r="F304" t="str">
        <f>survey_responses[[#This Row],[Độ tuổi của bạn:]]</f>
        <v>30 - 39</v>
      </c>
      <c r="G304" t="str">
        <f>step3_validation[[#This Row],[Region]]</f>
        <v>Thành thị</v>
      </c>
      <c r="H304" t="str">
        <f>survey_responses[[#This Row],[Khu vực bạn đang sinh sống:]]</f>
        <v>Thành thị</v>
      </c>
      <c r="I304" t="str">
        <f>step3_validation[[#This Row],[Education]]</f>
        <v>Đại học</v>
      </c>
      <c r="J304" t="str">
        <f>survey_responses[[#This Row],[Trình độ học vấn cao nhất:]]</f>
        <v>Đại học</v>
      </c>
      <c r="K304" t="str">
        <f>step3_validation[[#This Row],[Employment]]</f>
        <v>Chính thức</v>
      </c>
      <c r="L304" t="str">
        <f>survey_responses[[#This Row],[Tình trạng việc làm chính:]]</f>
        <v>Khu vực chính thức (Có Hợp đồng lao động, đóng BHXH)</v>
      </c>
      <c r="M304">
        <f>step3_validation[[#This Row],[Income_Mil]]</f>
        <v>24.715459353125222</v>
      </c>
      <c r="N304" t="str">
        <f>survey_responses[[#This Row],[Thu nhập bình quân tháng theo Hợp đồng lao động của bạn là bao nhiêu? (Vui lòng điền tổng thu nhập trước khi khấu trừ các loại Bảo hiểm (BHXH, BHYT, BHTN) và Thuế TNCN)]]</f>
        <v>Từ 23 - 32 triệu VNĐ</v>
      </c>
      <c r="O304">
        <f>step3_validation[[#This Row],[Dependents]]</f>
        <v>2</v>
      </c>
      <c r="P304" t="str">
        <f>survey_responses[[#This Row],[Số người phụ thuộc (con nhỏ, cha mẹ già...) đủ điều kiện giảm trừ gia cảnh:]]</f>
        <v>2 người</v>
      </c>
      <c r="Q304">
        <f>step3_validation[[#This Row],[AI_ENF1]]</f>
        <v>7</v>
      </c>
      <c r="R304" t="str">
        <f t="shared" si="108"/>
        <v>Neutral</v>
      </c>
      <c r="S304">
        <f>survey_responses[[#This Row],[Tôi tin rằng với các quy định quản lý thuế hiện nay, hành vi gian lận hoặc trốn thuế sẽ dễ dàng bị phát hiện và xử lý nghiêm. - HUMAN-ENF1]]</f>
        <v>6</v>
      </c>
      <c r="T304" t="str">
        <f t="shared" si="109"/>
        <v>Neutral</v>
      </c>
      <c r="U304" s="32">
        <f t="shared" si="110"/>
        <v>1</v>
      </c>
      <c r="V304">
        <f>step3_validation[[#This Row],[AI_ENF2]]</f>
        <v>8</v>
      </c>
      <c r="W304" t="str">
        <f t="shared" si="111"/>
        <v>Support</v>
      </c>
      <c r="X304">
        <f>survey_responses[[#This Row],[Tôi tin rằng Nhà nước, cơ quan thuế có đủ khả năng và công nghệ để phát hiện, xử lý nghiêm các hành vi trốn thuế. - HUMAN-ENF2]]</f>
        <v>10</v>
      </c>
      <c r="Y304" t="str">
        <f t="shared" si="112"/>
        <v>Support</v>
      </c>
      <c r="Z304" s="32">
        <f t="shared" si="113"/>
        <v>2</v>
      </c>
      <c r="AA304">
        <f>step3_validation[[#This Row],[AI_FAC1]]</f>
        <v>9</v>
      </c>
      <c r="AB304" t="str">
        <f t="shared" si="114"/>
        <v>Support</v>
      </c>
      <c r="AC304">
        <f>survey_responses[[#This Row],[Các thủ tục khai báo thuế VÀ/HOẶC quy trình làm việc với cơ quan thuế đơn giản, tiện lợi, nhanh chóng hơn so với trước đây. - HUMAN-FAC1]]</f>
        <v>5</v>
      </c>
      <c r="AD304" t="str">
        <f t="shared" si="115"/>
        <v>Neutral</v>
      </c>
      <c r="AE304" s="32">
        <f t="shared" si="116"/>
        <v>4</v>
      </c>
      <c r="AF304">
        <f>step3_validation[[#This Row],[AI_FAC2]]</f>
        <v>10</v>
      </c>
      <c r="AG304" t="str">
        <f t="shared" si="117"/>
        <v>Support</v>
      </c>
      <c r="AH304">
        <f>survey_responses[[#This Row],[So với trước đây, tôi thấy cách tính thuế và các bậc thuế trong phương án mới đơn giản, dễ hiểu và dễ thực hiện hơn. - HUMAN-FAC2]]</f>
        <v>4</v>
      </c>
      <c r="AI304" t="str">
        <f t="shared" si="118"/>
        <v>Oppose</v>
      </c>
      <c r="AJ304" s="32">
        <f t="shared" si="119"/>
        <v>6</v>
      </c>
      <c r="AK304">
        <f>step3_validation[[#This Row],[AI_TRU1]]</f>
        <v>9</v>
      </c>
      <c r="AL304" t="str">
        <f t="shared" si="120"/>
        <v>Support</v>
      </c>
      <c r="AM304">
        <f>survey_responses[[#This Row],[Tôi tin rằng Nhà nước, cơ quan thuế sẽ thực thi chính sách mới một cách khách quan, công tâm và đối xử bình đẳng với mọi người nộp thuế.  - HUMAN-TRU1]]</f>
        <v>3</v>
      </c>
      <c r="AN304" t="str">
        <f t="shared" si="121"/>
        <v>Oppose</v>
      </c>
      <c r="AO304" s="32">
        <f t="shared" si="122"/>
        <v>6</v>
      </c>
      <c r="AP304">
        <f>step3_validation[[#This Row],[AI_TRU2]]</f>
        <v>9</v>
      </c>
      <c r="AQ304" t="str">
        <f t="shared" si="123"/>
        <v>Support</v>
      </c>
      <c r="AR304">
        <f>survey_responses[[#This Row],[Tôi thấy mức thuế tôi phải đóng theo phương án mới là công bằng (người thu nhập như tôi đóng mức này là hợp lý). - HUMAN-TRU2]]</f>
        <v>7</v>
      </c>
      <c r="AS304" t="str">
        <f t="shared" si="124"/>
        <v>Neutral</v>
      </c>
      <c r="AT304" s="32">
        <f t="shared" si="125"/>
        <v>2</v>
      </c>
      <c r="AU304">
        <f>step3_validation[[#This Row],[AI_TRU3]]</f>
        <v>8</v>
      </c>
      <c r="AV304" t="str">
        <f t="shared" si="126"/>
        <v>Support</v>
      </c>
      <c r="AW304">
        <f>survey_responses[[#This Row],[Tôi tin tưởng số tiền thuế tôi đóng sẽ được Nhà nước sử dụng hiệu quả để cải thiện dịch vụ công (y tế, đường xá...). - HUMAN-TRU3]]</f>
        <v>4</v>
      </c>
      <c r="AX304" t="str">
        <f t="shared" si="127"/>
        <v>Oppose</v>
      </c>
      <c r="AY304" s="32">
        <f t="shared" si="128"/>
        <v>4</v>
      </c>
      <c r="AZ304">
        <f>step3_validation[[#This Row],[AI_TRU4]]</f>
        <v>9</v>
      </c>
      <c r="BA304" t="str">
        <f t="shared" si="129"/>
        <v>Support</v>
      </c>
      <c r="BB304">
        <f>survey_responses[[#This Row],[Tôi thấy Nhà nước đã giải thích rõ ràng, minh bạch về lý do và mục tiêu của việc sửa đổi thuế lần này. - HUMAN-TRU4]]</f>
        <v>4</v>
      </c>
      <c r="BC304" t="str">
        <f t="shared" si="130"/>
        <v>Oppose</v>
      </c>
      <c r="BD304" s="32">
        <f t="shared" si="131"/>
        <v>5</v>
      </c>
      <c r="BE304">
        <f>step3_validation[[#This Row],[AI_OUT1]]</f>
        <v>10</v>
      </c>
      <c r="BF304" t="str">
        <f t="shared" si="132"/>
        <v>Support</v>
      </c>
      <c r="BG304">
        <f>survey_responses[[#This Row],[Sau khi xem xét các quyền lợi và nghĩa vụ, bạn có ủng hộ và tuân thủ chính sách mới hiện nay? - HUMAN-OUT1]]</f>
        <v>5</v>
      </c>
      <c r="BH304" t="str">
        <f t="shared" si="133"/>
        <v>Neutral</v>
      </c>
      <c r="BI304" s="32">
        <f t="shared" si="134"/>
        <v>5</v>
      </c>
    </row>
    <row r="305" spans="1:61" x14ac:dyDescent="0.45">
      <c r="A305" s="30">
        <f>step3_validation[[#This Row],[Persona_ID]]</f>
        <v>304</v>
      </c>
      <c r="B305" s="31">
        <f>step3_validation[[#This Row],[Used_Seed]]</f>
        <v>304</v>
      </c>
      <c r="C305" t="str">
        <f>step3_validation[[#This Row],[Gender]]</f>
        <v>Nam</v>
      </c>
      <c r="D305" t="str">
        <f>survey_responses[[#This Row],[Giới tính của bạn:]]</f>
        <v>Nam</v>
      </c>
      <c r="E305" t="str">
        <f>step3_validation[[#This Row],[Age_Group]]</f>
        <v>25 - 29</v>
      </c>
      <c r="F305" t="str">
        <f>survey_responses[[#This Row],[Độ tuổi của bạn:]]</f>
        <v>25 - 29</v>
      </c>
      <c r="G305" t="str">
        <f>step3_validation[[#This Row],[Region]]</f>
        <v>Thành thị</v>
      </c>
      <c r="H305" t="str">
        <f>survey_responses[[#This Row],[Khu vực bạn đang sinh sống:]]</f>
        <v>Thành thị</v>
      </c>
      <c r="I305" t="str">
        <f>step3_validation[[#This Row],[Education]]</f>
        <v>Sau Đại học</v>
      </c>
      <c r="J305" t="str">
        <f>survey_responses[[#This Row],[Trình độ học vấn cao nhất:]]</f>
        <v>Sau Đại học</v>
      </c>
      <c r="K305" t="str">
        <f>step3_validation[[#This Row],[Employment]]</f>
        <v>Chính thức</v>
      </c>
      <c r="L305" t="str">
        <f>survey_responses[[#This Row],[Tình trạng việc làm chính:]]</f>
        <v>Khu vực chính thức (Có Hợp đồng lao động, đóng BHXH)</v>
      </c>
      <c r="M305">
        <f>step3_validation[[#This Row],[Income_Mil]]</f>
        <v>12</v>
      </c>
      <c r="N305" t="str">
        <f>survey_responses[[#This Row],[Thu nhập bình quân tháng theo Hợp đồng lao động của bạn là bao nhiêu? (Vui lòng điền tổng thu nhập trước khi khấu trừ các loại Bảo hiểm (BHXH, BHYT, BHTN) và Thuế TNCN)]]</f>
        <v>Dưới 12 triệu VNĐ</v>
      </c>
      <c r="O305">
        <f>step3_validation[[#This Row],[Dependents]]</f>
        <v>0</v>
      </c>
      <c r="P305" t="str">
        <f>survey_responses[[#This Row],[Số người phụ thuộc (con nhỏ, cha mẹ già...) đủ điều kiện giảm trừ gia cảnh:]]</f>
        <v>0 người</v>
      </c>
      <c r="Q305">
        <f>step3_validation[[#This Row],[AI_ENF1]]</f>
        <v>6</v>
      </c>
      <c r="R305" t="str">
        <f t="shared" si="108"/>
        <v>Neutral</v>
      </c>
      <c r="S305">
        <f>survey_responses[[#This Row],[Tôi tin rằng với các quy định quản lý thuế hiện nay, hành vi gian lận hoặc trốn thuế sẽ dễ dàng bị phát hiện và xử lý nghiêm. - HUMAN-ENF1]]</f>
        <v>10</v>
      </c>
      <c r="T305" t="str">
        <f t="shared" si="109"/>
        <v>Support</v>
      </c>
      <c r="U305" s="32">
        <f t="shared" si="110"/>
        <v>4</v>
      </c>
      <c r="V305">
        <f>step3_validation[[#This Row],[AI_ENF2]]</f>
        <v>7</v>
      </c>
      <c r="W305" t="str">
        <f t="shared" si="111"/>
        <v>Neutral</v>
      </c>
      <c r="X305">
        <f>survey_responses[[#This Row],[Tôi tin rằng Nhà nước, cơ quan thuế có đủ khả năng và công nghệ để phát hiện, xử lý nghiêm các hành vi trốn thuế. - HUMAN-ENF2]]</f>
        <v>10</v>
      </c>
      <c r="Y305" t="str">
        <f t="shared" si="112"/>
        <v>Support</v>
      </c>
      <c r="Z305" s="32">
        <f t="shared" si="113"/>
        <v>3</v>
      </c>
      <c r="AA305">
        <f>step3_validation[[#This Row],[AI_FAC1]]</f>
        <v>9</v>
      </c>
      <c r="AB305" t="str">
        <f t="shared" si="114"/>
        <v>Support</v>
      </c>
      <c r="AC305">
        <f>survey_responses[[#This Row],[Các thủ tục khai báo thuế VÀ/HOẶC quy trình làm việc với cơ quan thuế đơn giản, tiện lợi, nhanh chóng hơn so với trước đây. - HUMAN-FAC1]]</f>
        <v>10</v>
      </c>
      <c r="AD305" t="str">
        <f t="shared" si="115"/>
        <v>Support</v>
      </c>
      <c r="AE305" s="32">
        <f t="shared" si="116"/>
        <v>1</v>
      </c>
      <c r="AF305">
        <f>step3_validation[[#This Row],[AI_FAC2]]</f>
        <v>8</v>
      </c>
      <c r="AG305" t="str">
        <f t="shared" si="117"/>
        <v>Support</v>
      </c>
      <c r="AH305">
        <f>survey_responses[[#This Row],[So với trước đây, tôi thấy cách tính thuế và các bậc thuế trong phương án mới đơn giản, dễ hiểu và dễ thực hiện hơn. - HUMAN-FAC2]]</f>
        <v>10</v>
      </c>
      <c r="AI305" t="str">
        <f t="shared" si="118"/>
        <v>Support</v>
      </c>
      <c r="AJ305" s="32">
        <f t="shared" si="119"/>
        <v>2</v>
      </c>
      <c r="AK305">
        <f>step3_validation[[#This Row],[AI_TRU1]]</f>
        <v>7</v>
      </c>
      <c r="AL305" t="str">
        <f t="shared" si="120"/>
        <v>Neutral</v>
      </c>
      <c r="AM305">
        <f>survey_responses[[#This Row],[Tôi tin rằng Nhà nước, cơ quan thuế sẽ thực thi chính sách mới một cách khách quan, công tâm và đối xử bình đẳng với mọi người nộp thuế.  - HUMAN-TRU1]]</f>
        <v>10</v>
      </c>
      <c r="AN305" t="str">
        <f t="shared" si="121"/>
        <v>Support</v>
      </c>
      <c r="AO305" s="32">
        <f t="shared" si="122"/>
        <v>3</v>
      </c>
      <c r="AP305">
        <f>step3_validation[[#This Row],[AI_TRU2]]</f>
        <v>8</v>
      </c>
      <c r="AQ305" t="str">
        <f t="shared" si="123"/>
        <v>Support</v>
      </c>
      <c r="AR305">
        <f>survey_responses[[#This Row],[Tôi thấy mức thuế tôi phải đóng theo phương án mới là công bằng (người thu nhập như tôi đóng mức này là hợp lý). - HUMAN-TRU2]]</f>
        <v>10</v>
      </c>
      <c r="AS305" t="str">
        <f t="shared" si="124"/>
        <v>Support</v>
      </c>
      <c r="AT305" s="32">
        <f t="shared" si="125"/>
        <v>2</v>
      </c>
      <c r="AU305">
        <f>step3_validation[[#This Row],[AI_TRU3]]</f>
        <v>6</v>
      </c>
      <c r="AV305" t="str">
        <f t="shared" si="126"/>
        <v>Neutral</v>
      </c>
      <c r="AW305">
        <f>survey_responses[[#This Row],[Tôi tin tưởng số tiền thuế tôi đóng sẽ được Nhà nước sử dụng hiệu quả để cải thiện dịch vụ công (y tế, đường xá...). - HUMAN-TRU3]]</f>
        <v>10</v>
      </c>
      <c r="AX305" t="str">
        <f t="shared" si="127"/>
        <v>Support</v>
      </c>
      <c r="AY305" s="32">
        <f t="shared" si="128"/>
        <v>4</v>
      </c>
      <c r="AZ305">
        <f>step3_validation[[#This Row],[AI_TRU4]]</f>
        <v>7</v>
      </c>
      <c r="BA305" t="str">
        <f t="shared" si="129"/>
        <v>Neutral</v>
      </c>
      <c r="BB305">
        <f>survey_responses[[#This Row],[Tôi thấy Nhà nước đã giải thích rõ ràng, minh bạch về lý do và mục tiêu của việc sửa đổi thuế lần này. - HUMAN-TRU4]]</f>
        <v>10</v>
      </c>
      <c r="BC305" t="str">
        <f t="shared" si="130"/>
        <v>Support</v>
      </c>
      <c r="BD305" s="32">
        <f t="shared" si="131"/>
        <v>3</v>
      </c>
      <c r="BE305">
        <f>step3_validation[[#This Row],[AI_OUT1]]</f>
        <v>8</v>
      </c>
      <c r="BF305" t="str">
        <f t="shared" si="132"/>
        <v>Support</v>
      </c>
      <c r="BG305">
        <f>survey_responses[[#This Row],[Sau khi xem xét các quyền lợi và nghĩa vụ, bạn có ủng hộ và tuân thủ chính sách mới hiện nay? - HUMAN-OUT1]]</f>
        <v>10</v>
      </c>
      <c r="BH305" t="str">
        <f t="shared" si="133"/>
        <v>Support</v>
      </c>
      <c r="BI305" s="32">
        <f t="shared" si="134"/>
        <v>2</v>
      </c>
    </row>
    <row r="306" spans="1:61" x14ac:dyDescent="0.45">
      <c r="A306" s="30">
        <f>step3_validation[[#This Row],[Persona_ID]]</f>
        <v>305</v>
      </c>
      <c r="B306" s="31">
        <f>step3_validation[[#This Row],[Used_Seed]]</f>
        <v>305</v>
      </c>
      <c r="C306" t="str">
        <f>step3_validation[[#This Row],[Gender]]</f>
        <v>Nam</v>
      </c>
      <c r="D306" t="str">
        <f>survey_responses[[#This Row],[Giới tính của bạn:]]</f>
        <v>Nam</v>
      </c>
      <c r="E306" t="str">
        <f>step3_validation[[#This Row],[Age_Group]]</f>
        <v>30 - 39</v>
      </c>
      <c r="F306" t="str">
        <f>survey_responses[[#This Row],[Độ tuổi của bạn:]]</f>
        <v>30 - 39</v>
      </c>
      <c r="G306" t="str">
        <f>step3_validation[[#This Row],[Region]]</f>
        <v>Thành thị</v>
      </c>
      <c r="H306" t="str">
        <f>survey_responses[[#This Row],[Khu vực bạn đang sinh sống:]]</f>
        <v>Thành thị</v>
      </c>
      <c r="I306" t="str">
        <f>step3_validation[[#This Row],[Education]]</f>
        <v>Đại học</v>
      </c>
      <c r="J306" t="str">
        <f>survey_responses[[#This Row],[Trình độ học vấn cao nhất:]]</f>
        <v>Đại học</v>
      </c>
      <c r="K306" t="str">
        <f>step3_validation[[#This Row],[Employment]]</f>
        <v>Chính thức</v>
      </c>
      <c r="L306" t="str">
        <f>survey_responses[[#This Row],[Tình trạng việc làm chính:]]</f>
        <v>Khu vực chính thức (Có Hợp đồng lao động, đóng BHXH)</v>
      </c>
      <c r="M306">
        <f>step3_validation[[#This Row],[Income_Mil]]</f>
        <v>42.728402126060701</v>
      </c>
      <c r="N306" t="str">
        <f>survey_responses[[#This Row],[Thu nhập bình quân tháng theo Hợp đồng lao động của bạn là bao nhiêu? (Vui lòng điền tổng thu nhập trước khi khấu trừ các loại Bảo hiểm (BHXH, BHYT, BHTN) và Thuế TNCN)]]</f>
        <v>Từ 32 - 48 triệu VNĐ</v>
      </c>
      <c r="O306">
        <f>step3_validation[[#This Row],[Dependents]]</f>
        <v>0</v>
      </c>
      <c r="P306" t="str">
        <f>survey_responses[[#This Row],[Số người phụ thuộc (con nhỏ, cha mẹ già...) đủ điều kiện giảm trừ gia cảnh:]]</f>
        <v>0 người</v>
      </c>
      <c r="Q306">
        <f>step3_validation[[#This Row],[AI_ENF1]]</f>
        <v>9</v>
      </c>
      <c r="R306" t="str">
        <f t="shared" si="108"/>
        <v>Support</v>
      </c>
      <c r="S306">
        <f>survey_responses[[#This Row],[Tôi tin rằng với các quy định quản lý thuế hiện nay, hành vi gian lận hoặc trốn thuế sẽ dễ dàng bị phát hiện và xử lý nghiêm. - HUMAN-ENF1]]</f>
        <v>7</v>
      </c>
      <c r="T306" t="str">
        <f t="shared" si="109"/>
        <v>Neutral</v>
      </c>
      <c r="U306" s="32">
        <f t="shared" si="110"/>
        <v>2</v>
      </c>
      <c r="V306">
        <f>step3_validation[[#This Row],[AI_ENF2]]</f>
        <v>8</v>
      </c>
      <c r="W306" t="str">
        <f t="shared" si="111"/>
        <v>Support</v>
      </c>
      <c r="X306">
        <f>survey_responses[[#This Row],[Tôi tin rằng Nhà nước, cơ quan thuế có đủ khả năng và công nghệ để phát hiện, xử lý nghiêm các hành vi trốn thuế. - HUMAN-ENF2]]</f>
        <v>9</v>
      </c>
      <c r="Y306" t="str">
        <f t="shared" si="112"/>
        <v>Support</v>
      </c>
      <c r="Z306" s="32">
        <f t="shared" si="113"/>
        <v>1</v>
      </c>
      <c r="AA306">
        <f>step3_validation[[#This Row],[AI_FAC1]]</f>
        <v>9</v>
      </c>
      <c r="AB306" t="str">
        <f t="shared" si="114"/>
        <v>Support</v>
      </c>
      <c r="AC306">
        <f>survey_responses[[#This Row],[Các thủ tục khai báo thuế VÀ/HOẶC quy trình làm việc với cơ quan thuế đơn giản, tiện lợi, nhanh chóng hơn so với trước đây. - HUMAN-FAC1]]</f>
        <v>8</v>
      </c>
      <c r="AD306" t="str">
        <f t="shared" si="115"/>
        <v>Support</v>
      </c>
      <c r="AE306" s="32">
        <f t="shared" si="116"/>
        <v>1</v>
      </c>
      <c r="AF306">
        <f>step3_validation[[#This Row],[AI_FAC2]]</f>
        <v>8</v>
      </c>
      <c r="AG306" t="str">
        <f t="shared" si="117"/>
        <v>Support</v>
      </c>
      <c r="AH306">
        <f>survey_responses[[#This Row],[So với trước đây, tôi thấy cách tính thuế và các bậc thuế trong phương án mới đơn giản, dễ hiểu và dễ thực hiện hơn. - HUMAN-FAC2]]</f>
        <v>6</v>
      </c>
      <c r="AI306" t="str">
        <f t="shared" si="118"/>
        <v>Neutral</v>
      </c>
      <c r="AJ306" s="32">
        <f t="shared" si="119"/>
        <v>2</v>
      </c>
      <c r="AK306">
        <f>step3_validation[[#This Row],[AI_TRU1]]</f>
        <v>9</v>
      </c>
      <c r="AL306" t="str">
        <f t="shared" si="120"/>
        <v>Support</v>
      </c>
      <c r="AM306">
        <f>survey_responses[[#This Row],[Tôi tin rằng Nhà nước, cơ quan thuế sẽ thực thi chính sách mới một cách khách quan, công tâm và đối xử bình đẳng với mọi người nộp thuế.  - HUMAN-TRU1]]</f>
        <v>5</v>
      </c>
      <c r="AN306" t="str">
        <f t="shared" si="121"/>
        <v>Neutral</v>
      </c>
      <c r="AO306" s="32">
        <f t="shared" si="122"/>
        <v>4</v>
      </c>
      <c r="AP306">
        <f>step3_validation[[#This Row],[AI_TRU2]]</f>
        <v>8</v>
      </c>
      <c r="AQ306" t="str">
        <f t="shared" si="123"/>
        <v>Support</v>
      </c>
      <c r="AR306">
        <f>survey_responses[[#This Row],[Tôi thấy mức thuế tôi phải đóng theo phương án mới là công bằng (người thu nhập như tôi đóng mức này là hợp lý). - HUMAN-TRU2]]</f>
        <v>3</v>
      </c>
      <c r="AS306" t="str">
        <f t="shared" si="124"/>
        <v>Oppose</v>
      </c>
      <c r="AT306" s="32">
        <f t="shared" si="125"/>
        <v>5</v>
      </c>
      <c r="AU306">
        <f>step3_validation[[#This Row],[AI_TRU3]]</f>
        <v>9</v>
      </c>
      <c r="AV306" t="str">
        <f t="shared" si="126"/>
        <v>Support</v>
      </c>
      <c r="AW306">
        <f>survey_responses[[#This Row],[Tôi tin tưởng số tiền thuế tôi đóng sẽ được Nhà nước sử dụng hiệu quả để cải thiện dịch vụ công (y tế, đường xá...). - HUMAN-TRU3]]</f>
        <v>9</v>
      </c>
      <c r="AX306" t="str">
        <f t="shared" si="127"/>
        <v>Support</v>
      </c>
      <c r="AY306" s="32">
        <f t="shared" si="128"/>
        <v>0</v>
      </c>
      <c r="AZ306">
        <f>step3_validation[[#This Row],[AI_TRU4]]</f>
        <v>8</v>
      </c>
      <c r="BA306" t="str">
        <f t="shared" si="129"/>
        <v>Support</v>
      </c>
      <c r="BB306">
        <f>survey_responses[[#This Row],[Tôi thấy Nhà nước đã giải thích rõ ràng, minh bạch về lý do và mục tiêu của việc sửa đổi thuế lần này. - HUMAN-TRU4]]</f>
        <v>3</v>
      </c>
      <c r="BC306" t="str">
        <f t="shared" si="130"/>
        <v>Oppose</v>
      </c>
      <c r="BD306" s="32">
        <f t="shared" si="131"/>
        <v>5</v>
      </c>
      <c r="BE306">
        <f>step3_validation[[#This Row],[AI_OUT1]]</f>
        <v>9</v>
      </c>
      <c r="BF306" t="str">
        <f t="shared" si="132"/>
        <v>Support</v>
      </c>
      <c r="BG306">
        <f>survey_responses[[#This Row],[Sau khi xem xét các quyền lợi và nghĩa vụ, bạn có ủng hộ và tuân thủ chính sách mới hiện nay? - HUMAN-OUT1]]</f>
        <v>4</v>
      </c>
      <c r="BH306" t="str">
        <f t="shared" si="133"/>
        <v>Oppose</v>
      </c>
      <c r="BI306" s="32">
        <f t="shared" si="134"/>
        <v>5</v>
      </c>
    </row>
    <row r="307" spans="1:61" x14ac:dyDescent="0.45">
      <c r="A307" s="30">
        <f>step3_validation[[#This Row],[Persona_ID]]</f>
        <v>306</v>
      </c>
      <c r="B307" s="31">
        <f>step3_validation[[#This Row],[Used_Seed]]</f>
        <v>306</v>
      </c>
      <c r="C307" t="str">
        <f>step3_validation[[#This Row],[Gender]]</f>
        <v>Nữ</v>
      </c>
      <c r="D307" t="str">
        <f>survey_responses[[#This Row],[Giới tính của bạn:]]</f>
        <v>Nữ</v>
      </c>
      <c r="E307" t="str">
        <f>step3_validation[[#This Row],[Age_Group]]</f>
        <v>40 - 49</v>
      </c>
      <c r="F307" t="str">
        <f>survey_responses[[#This Row],[Độ tuổi của bạn:]]</f>
        <v>40 - 49</v>
      </c>
      <c r="G307" t="str">
        <f>step3_validation[[#This Row],[Region]]</f>
        <v>Thành thị</v>
      </c>
      <c r="H307" t="str">
        <f>survey_responses[[#This Row],[Khu vực bạn đang sinh sống:]]</f>
        <v>Thành thị</v>
      </c>
      <c r="I307" t="str">
        <f>step3_validation[[#This Row],[Education]]</f>
        <v>Đại học</v>
      </c>
      <c r="J307" t="str">
        <f>survey_responses[[#This Row],[Trình độ học vấn cao nhất:]]</f>
        <v>Đại học</v>
      </c>
      <c r="K307" t="str">
        <f>step3_validation[[#This Row],[Employment]]</f>
        <v>Chính thức</v>
      </c>
      <c r="L307" t="str">
        <f>survey_responses[[#This Row],[Tình trạng việc làm chính:]]</f>
        <v>Khu vực chính thức (Có Hợp đồng lao động, đóng BHXH)</v>
      </c>
      <c r="M307">
        <f>step3_validation[[#This Row],[Income_Mil]]</f>
        <v>49.219903849791024</v>
      </c>
      <c r="N307" t="str">
        <f>survey_responses[[#This Row],[Thu nhập bình quân tháng theo Hợp đồng lao động của bạn là bao nhiêu? (Vui lòng điền tổng thu nhập trước khi khấu trừ các loại Bảo hiểm (BHXH, BHYT, BHTN) và Thuế TNCN)]]</f>
        <v>Từ 48 - 70 triệu VNĐ</v>
      </c>
      <c r="O307">
        <f>step3_validation[[#This Row],[Dependents]]</f>
        <v>3</v>
      </c>
      <c r="P307" t="str">
        <f>survey_responses[[#This Row],[Số người phụ thuộc (con nhỏ, cha mẹ già...) đủ điều kiện giảm trừ gia cảnh:]]</f>
        <v>3 người</v>
      </c>
      <c r="Q307">
        <f>step3_validation[[#This Row],[AI_ENF1]]</f>
        <v>6</v>
      </c>
      <c r="R307" t="str">
        <f t="shared" si="108"/>
        <v>Neutral</v>
      </c>
      <c r="S307">
        <f>survey_responses[[#This Row],[Tôi tin rằng với các quy định quản lý thuế hiện nay, hành vi gian lận hoặc trốn thuế sẽ dễ dàng bị phát hiện và xử lý nghiêm. - HUMAN-ENF1]]</f>
        <v>3</v>
      </c>
      <c r="T307" t="str">
        <f t="shared" si="109"/>
        <v>Oppose</v>
      </c>
      <c r="U307" s="32">
        <f t="shared" si="110"/>
        <v>3</v>
      </c>
      <c r="V307">
        <f>step3_validation[[#This Row],[AI_ENF2]]</f>
        <v>7</v>
      </c>
      <c r="W307" t="str">
        <f t="shared" si="111"/>
        <v>Neutral</v>
      </c>
      <c r="X307">
        <f>survey_responses[[#This Row],[Tôi tin rằng Nhà nước, cơ quan thuế có đủ khả năng và công nghệ để phát hiện, xử lý nghiêm các hành vi trốn thuế. - HUMAN-ENF2]]</f>
        <v>8</v>
      </c>
      <c r="Y307" t="str">
        <f t="shared" si="112"/>
        <v>Support</v>
      </c>
      <c r="Z307" s="32">
        <f t="shared" si="113"/>
        <v>1</v>
      </c>
      <c r="AA307">
        <f>step3_validation[[#This Row],[AI_FAC1]]</f>
        <v>8</v>
      </c>
      <c r="AB307" t="str">
        <f t="shared" si="114"/>
        <v>Support</v>
      </c>
      <c r="AC307">
        <f>survey_responses[[#This Row],[Các thủ tục khai báo thuế VÀ/HOẶC quy trình làm việc với cơ quan thuế đơn giản, tiện lợi, nhanh chóng hơn so với trước đây. - HUMAN-FAC1]]</f>
        <v>8</v>
      </c>
      <c r="AD307" t="str">
        <f t="shared" si="115"/>
        <v>Support</v>
      </c>
      <c r="AE307" s="32">
        <f t="shared" si="116"/>
        <v>0</v>
      </c>
      <c r="AF307">
        <f>step3_validation[[#This Row],[AI_FAC2]]</f>
        <v>9</v>
      </c>
      <c r="AG307" t="str">
        <f t="shared" si="117"/>
        <v>Support</v>
      </c>
      <c r="AH307">
        <f>survey_responses[[#This Row],[So với trước đây, tôi thấy cách tính thuế và các bậc thuế trong phương án mới đơn giản, dễ hiểu và dễ thực hiện hơn. - HUMAN-FAC2]]</f>
        <v>4</v>
      </c>
      <c r="AI307" t="str">
        <f t="shared" si="118"/>
        <v>Oppose</v>
      </c>
      <c r="AJ307" s="32">
        <f t="shared" si="119"/>
        <v>5</v>
      </c>
      <c r="AK307">
        <f>step3_validation[[#This Row],[AI_TRU1]]</f>
        <v>7</v>
      </c>
      <c r="AL307" t="str">
        <f t="shared" si="120"/>
        <v>Neutral</v>
      </c>
      <c r="AM307">
        <f>survey_responses[[#This Row],[Tôi tin rằng Nhà nước, cơ quan thuế sẽ thực thi chính sách mới một cách khách quan, công tâm và đối xử bình đẳng với mọi người nộp thuế.  - HUMAN-TRU1]]</f>
        <v>4</v>
      </c>
      <c r="AN307" t="str">
        <f t="shared" si="121"/>
        <v>Oppose</v>
      </c>
      <c r="AO307" s="32">
        <f t="shared" si="122"/>
        <v>3</v>
      </c>
      <c r="AP307">
        <f>step3_validation[[#This Row],[AI_TRU2]]</f>
        <v>9</v>
      </c>
      <c r="AQ307" t="str">
        <f t="shared" si="123"/>
        <v>Support</v>
      </c>
      <c r="AR307">
        <f>survey_responses[[#This Row],[Tôi thấy mức thuế tôi phải đóng theo phương án mới là công bằng (người thu nhập như tôi đóng mức này là hợp lý). - HUMAN-TRU2]]</f>
        <v>3</v>
      </c>
      <c r="AS307" t="str">
        <f t="shared" si="124"/>
        <v>Oppose</v>
      </c>
      <c r="AT307" s="32">
        <f t="shared" si="125"/>
        <v>6</v>
      </c>
      <c r="AU307">
        <f>step3_validation[[#This Row],[AI_TRU3]]</f>
        <v>8</v>
      </c>
      <c r="AV307" t="str">
        <f t="shared" si="126"/>
        <v>Support</v>
      </c>
      <c r="AW307">
        <f>survey_responses[[#This Row],[Tôi tin tưởng số tiền thuế tôi đóng sẽ được Nhà nước sử dụng hiệu quả để cải thiện dịch vụ công (y tế, đường xá...). - HUMAN-TRU3]]</f>
        <v>7</v>
      </c>
      <c r="AX307" t="str">
        <f t="shared" si="127"/>
        <v>Neutral</v>
      </c>
      <c r="AY307" s="32">
        <f t="shared" si="128"/>
        <v>1</v>
      </c>
      <c r="AZ307">
        <f>step3_validation[[#This Row],[AI_TRU4]]</f>
        <v>7</v>
      </c>
      <c r="BA307" t="str">
        <f t="shared" si="129"/>
        <v>Neutral</v>
      </c>
      <c r="BB307">
        <f>survey_responses[[#This Row],[Tôi thấy Nhà nước đã giải thích rõ ràng, minh bạch về lý do và mục tiêu của việc sửa đổi thuế lần này. - HUMAN-TRU4]]</f>
        <v>5</v>
      </c>
      <c r="BC307" t="str">
        <f t="shared" si="130"/>
        <v>Neutral</v>
      </c>
      <c r="BD307" s="32">
        <f t="shared" si="131"/>
        <v>2</v>
      </c>
      <c r="BE307">
        <f>step3_validation[[#This Row],[AI_OUT1]]</f>
        <v>9</v>
      </c>
      <c r="BF307" t="str">
        <f t="shared" si="132"/>
        <v>Support</v>
      </c>
      <c r="BG307">
        <f>survey_responses[[#This Row],[Sau khi xem xét các quyền lợi và nghĩa vụ, bạn có ủng hộ và tuân thủ chính sách mới hiện nay? - HUMAN-OUT1]]</f>
        <v>5</v>
      </c>
      <c r="BH307" t="str">
        <f t="shared" si="133"/>
        <v>Neutral</v>
      </c>
      <c r="BI307" s="32">
        <f t="shared" si="134"/>
        <v>4</v>
      </c>
    </row>
    <row r="308" spans="1:61" x14ac:dyDescent="0.45">
      <c r="A308" s="30">
        <f>step3_validation[[#This Row],[Persona_ID]]</f>
        <v>307</v>
      </c>
      <c r="B308" s="31">
        <f>step3_validation[[#This Row],[Used_Seed]]</f>
        <v>307</v>
      </c>
      <c r="C308" t="str">
        <f>step3_validation[[#This Row],[Gender]]</f>
        <v>Nữ</v>
      </c>
      <c r="D308" t="str">
        <f>survey_responses[[#This Row],[Giới tính của bạn:]]</f>
        <v>Nữ</v>
      </c>
      <c r="E308" t="str">
        <f>step3_validation[[#This Row],[Age_Group]]</f>
        <v>55 - 64</v>
      </c>
      <c r="F308" t="str">
        <f>survey_responses[[#This Row],[Độ tuổi của bạn:]]</f>
        <v>55 - 64</v>
      </c>
      <c r="G308" t="str">
        <f>step3_validation[[#This Row],[Region]]</f>
        <v>Thành thị</v>
      </c>
      <c r="H308" t="str">
        <f>survey_responses[[#This Row],[Khu vực bạn đang sinh sống:]]</f>
        <v>Thành thị</v>
      </c>
      <c r="I308" t="str">
        <f>step3_validation[[#This Row],[Education]]</f>
        <v>Sau Đại học</v>
      </c>
      <c r="J308" t="str">
        <f>survey_responses[[#This Row],[Trình độ học vấn cao nhất:]]</f>
        <v>Sau Đại học</v>
      </c>
      <c r="K308" t="str">
        <f>step3_validation[[#This Row],[Employment]]</f>
        <v>Phi chính thức</v>
      </c>
      <c r="L308" t="str">
        <f>survey_responses[[#This Row],[Tình trạng việc làm chính:]]</f>
        <v>Khác (Về hưu, nội trợ, sinh viên)</v>
      </c>
      <c r="M308">
        <f>step3_validation[[#This Row],[Income_Mil]]</f>
        <v>15.164601648423663</v>
      </c>
      <c r="N308" t="str">
        <f>survey_responses[[#This Row],[Thu nhập bình quân tháng theo Hợp đồng lao động của bạn là bao nhiêu? (Vui lòng điền tổng thu nhập trước khi khấu trừ các loại Bảo hiểm (BHXH, BHYT, BHTN) và Thuế TNCN)]]</f>
        <v>Từ 12 - 18 triệu VNĐ</v>
      </c>
      <c r="O308">
        <f>step3_validation[[#This Row],[Dependents]]</f>
        <v>2</v>
      </c>
      <c r="P308" t="str">
        <f>survey_responses[[#This Row],[Số người phụ thuộc (con nhỏ, cha mẹ già...) đủ điều kiện giảm trừ gia cảnh:]]</f>
        <v>2 người</v>
      </c>
      <c r="Q308">
        <f>step3_validation[[#This Row],[AI_ENF1]]</f>
        <v>6</v>
      </c>
      <c r="R308" t="str">
        <f t="shared" si="108"/>
        <v>Neutral</v>
      </c>
      <c r="S308">
        <f>survey_responses[[#This Row],[Tôi tin rằng với các quy định quản lý thuế hiện nay, hành vi gian lận hoặc trốn thuế sẽ dễ dàng bị phát hiện và xử lý nghiêm. - HUMAN-ENF1]]</f>
        <v>2</v>
      </c>
      <c r="T308" t="str">
        <f t="shared" si="109"/>
        <v>Oppose</v>
      </c>
      <c r="U308" s="32">
        <f t="shared" si="110"/>
        <v>4</v>
      </c>
      <c r="V308">
        <f>step3_validation[[#This Row],[AI_ENF2]]</f>
        <v>8</v>
      </c>
      <c r="W308" t="str">
        <f t="shared" si="111"/>
        <v>Support</v>
      </c>
      <c r="X308">
        <f>survey_responses[[#This Row],[Tôi tin rằng Nhà nước, cơ quan thuế có đủ khả năng và công nghệ để phát hiện, xử lý nghiêm các hành vi trốn thuế. - HUMAN-ENF2]]</f>
        <v>2</v>
      </c>
      <c r="Y308" t="str">
        <f t="shared" si="112"/>
        <v>Oppose</v>
      </c>
      <c r="Z308" s="32">
        <f t="shared" si="113"/>
        <v>6</v>
      </c>
      <c r="AA308">
        <f>step3_validation[[#This Row],[AI_FAC1]]</f>
        <v>7</v>
      </c>
      <c r="AB308" t="str">
        <f t="shared" si="114"/>
        <v>Neutral</v>
      </c>
      <c r="AC308">
        <f>survey_responses[[#This Row],[Các thủ tục khai báo thuế VÀ/HOẶC quy trình làm việc với cơ quan thuế đơn giản, tiện lợi, nhanh chóng hơn so với trước đây. - HUMAN-FAC1]]</f>
        <v>2</v>
      </c>
      <c r="AD308" t="str">
        <f t="shared" si="115"/>
        <v>Oppose</v>
      </c>
      <c r="AE308" s="32">
        <f t="shared" si="116"/>
        <v>5</v>
      </c>
      <c r="AF308">
        <f>step3_validation[[#This Row],[AI_FAC2]]</f>
        <v>9</v>
      </c>
      <c r="AG308" t="str">
        <f t="shared" si="117"/>
        <v>Support</v>
      </c>
      <c r="AH308">
        <f>survey_responses[[#This Row],[So với trước đây, tôi thấy cách tính thuế và các bậc thuế trong phương án mới đơn giản, dễ hiểu và dễ thực hiện hơn. - HUMAN-FAC2]]</f>
        <v>1</v>
      </c>
      <c r="AI308" t="str">
        <f t="shared" si="118"/>
        <v>Oppose</v>
      </c>
      <c r="AJ308" s="32">
        <f t="shared" si="119"/>
        <v>8</v>
      </c>
      <c r="AK308">
        <f>step3_validation[[#This Row],[AI_TRU1]]</f>
        <v>8</v>
      </c>
      <c r="AL308" t="str">
        <f t="shared" si="120"/>
        <v>Support</v>
      </c>
      <c r="AM308">
        <f>survey_responses[[#This Row],[Tôi tin rằng Nhà nước, cơ quan thuế sẽ thực thi chính sách mới một cách khách quan, công tâm và đối xử bình đẳng với mọi người nộp thuế.  - HUMAN-TRU1]]</f>
        <v>2</v>
      </c>
      <c r="AN308" t="str">
        <f t="shared" si="121"/>
        <v>Oppose</v>
      </c>
      <c r="AO308" s="32">
        <f t="shared" si="122"/>
        <v>6</v>
      </c>
      <c r="AP308">
        <f>step3_validation[[#This Row],[AI_TRU2]]</f>
        <v>9</v>
      </c>
      <c r="AQ308" t="str">
        <f t="shared" si="123"/>
        <v>Support</v>
      </c>
      <c r="AR308">
        <f>survey_responses[[#This Row],[Tôi thấy mức thuế tôi phải đóng theo phương án mới là công bằng (người thu nhập như tôi đóng mức này là hợp lý). - HUMAN-TRU2]]</f>
        <v>2</v>
      </c>
      <c r="AS308" t="str">
        <f t="shared" si="124"/>
        <v>Oppose</v>
      </c>
      <c r="AT308" s="32">
        <f t="shared" si="125"/>
        <v>7</v>
      </c>
      <c r="AU308">
        <f>step3_validation[[#This Row],[AI_TRU3]]</f>
        <v>8</v>
      </c>
      <c r="AV308" t="str">
        <f t="shared" si="126"/>
        <v>Support</v>
      </c>
      <c r="AW308">
        <f>survey_responses[[#This Row],[Tôi tin tưởng số tiền thuế tôi đóng sẽ được Nhà nước sử dụng hiệu quả để cải thiện dịch vụ công (y tế, đường xá...). - HUMAN-TRU3]]</f>
        <v>2</v>
      </c>
      <c r="AX308" t="str">
        <f t="shared" si="127"/>
        <v>Oppose</v>
      </c>
      <c r="AY308" s="32">
        <f t="shared" si="128"/>
        <v>6</v>
      </c>
      <c r="AZ308">
        <f>step3_validation[[#This Row],[AI_TRU4]]</f>
        <v>7</v>
      </c>
      <c r="BA308" t="str">
        <f t="shared" si="129"/>
        <v>Neutral</v>
      </c>
      <c r="BB308">
        <f>survey_responses[[#This Row],[Tôi thấy Nhà nước đã giải thích rõ ràng, minh bạch về lý do và mục tiêu của việc sửa đổi thuế lần này. - HUMAN-TRU4]]</f>
        <v>2</v>
      </c>
      <c r="BC308" t="str">
        <f t="shared" si="130"/>
        <v>Oppose</v>
      </c>
      <c r="BD308" s="32">
        <f t="shared" si="131"/>
        <v>5</v>
      </c>
      <c r="BE308">
        <f>step3_validation[[#This Row],[AI_OUT1]]</f>
        <v>9</v>
      </c>
      <c r="BF308" t="str">
        <f t="shared" si="132"/>
        <v>Support</v>
      </c>
      <c r="BG308">
        <f>survey_responses[[#This Row],[Sau khi xem xét các quyền lợi và nghĩa vụ, bạn có ủng hộ và tuân thủ chính sách mới hiện nay? - HUMAN-OUT1]]</f>
        <v>2</v>
      </c>
      <c r="BH308" t="str">
        <f t="shared" si="133"/>
        <v>Oppose</v>
      </c>
      <c r="BI308" s="32">
        <f t="shared" si="134"/>
        <v>7</v>
      </c>
    </row>
    <row r="309" spans="1:61" x14ac:dyDescent="0.45">
      <c r="A309" s="30">
        <f>step3_validation[[#This Row],[Persona_ID]]</f>
        <v>308</v>
      </c>
      <c r="B309" s="31">
        <f>step3_validation[[#This Row],[Used_Seed]]</f>
        <v>308</v>
      </c>
      <c r="C309" t="str">
        <f>step3_validation[[#This Row],[Gender]]</f>
        <v>Nữ</v>
      </c>
      <c r="D309" t="str">
        <f>survey_responses[[#This Row],[Giới tính của bạn:]]</f>
        <v>Nữ</v>
      </c>
      <c r="E309" t="str">
        <f>step3_validation[[#This Row],[Age_Group]]</f>
        <v>40 - 49</v>
      </c>
      <c r="F309" t="str">
        <f>survey_responses[[#This Row],[Độ tuổi của bạn:]]</f>
        <v>40 - 49</v>
      </c>
      <c r="G309" t="str">
        <f>step3_validation[[#This Row],[Region]]</f>
        <v>Thành thị</v>
      </c>
      <c r="H309" t="str">
        <f>survey_responses[[#This Row],[Khu vực bạn đang sinh sống:]]</f>
        <v>Thành thị</v>
      </c>
      <c r="I309" t="str">
        <f>step3_validation[[#This Row],[Education]]</f>
        <v>Sau Đại học</v>
      </c>
      <c r="J309" t="str">
        <f>survey_responses[[#This Row],[Trình độ học vấn cao nhất:]]</f>
        <v>Sau Đại học</v>
      </c>
      <c r="K309" t="str">
        <f>step3_validation[[#This Row],[Employment]]</f>
        <v>Chính thức</v>
      </c>
      <c r="L309" t="str">
        <f>survey_responses[[#This Row],[Tình trạng việc làm chính:]]</f>
        <v>Khu vực chính thức (Có Hợp đồng lao động, đóng BHXH)</v>
      </c>
      <c r="M309">
        <f>step3_validation[[#This Row],[Income_Mil]]</f>
        <v>203.57795655092536</v>
      </c>
      <c r="N309" t="str">
        <f>survey_responses[[#This Row],[Thu nhập bình quân tháng theo Hợp đồng lao động của bạn là bao nhiêu? (Vui lòng điền tổng thu nhập trước khi khấu trừ các loại Bảo hiểm (BHXH, BHYT, BHTN) và Thuế TNCN)]]</f>
        <v>Trên 102 triệu VNĐ</v>
      </c>
      <c r="O309">
        <f>step3_validation[[#This Row],[Dependents]]</f>
        <v>2</v>
      </c>
      <c r="P309" t="str">
        <f>survey_responses[[#This Row],[Số người phụ thuộc (con nhỏ, cha mẹ già...) đủ điều kiện giảm trừ gia cảnh:]]</f>
        <v>2 người</v>
      </c>
      <c r="Q309">
        <f>step3_validation[[#This Row],[AI_ENF1]]</f>
        <v>7</v>
      </c>
      <c r="R309" t="str">
        <f t="shared" si="108"/>
        <v>Neutral</v>
      </c>
      <c r="S309">
        <f>survey_responses[[#This Row],[Tôi tin rằng với các quy định quản lý thuế hiện nay, hành vi gian lận hoặc trốn thuế sẽ dễ dàng bị phát hiện và xử lý nghiêm. - HUMAN-ENF1]]</f>
        <v>10</v>
      </c>
      <c r="T309" t="str">
        <f t="shared" si="109"/>
        <v>Support</v>
      </c>
      <c r="U309" s="32">
        <f t="shared" si="110"/>
        <v>3</v>
      </c>
      <c r="V309">
        <f>step3_validation[[#This Row],[AI_ENF2]]</f>
        <v>6</v>
      </c>
      <c r="W309" t="str">
        <f t="shared" si="111"/>
        <v>Neutral</v>
      </c>
      <c r="X309">
        <f>survey_responses[[#This Row],[Tôi tin rằng Nhà nước, cơ quan thuế có đủ khả năng và công nghệ để phát hiện, xử lý nghiêm các hành vi trốn thuế. - HUMAN-ENF2]]</f>
        <v>8</v>
      </c>
      <c r="Y309" t="str">
        <f t="shared" si="112"/>
        <v>Support</v>
      </c>
      <c r="Z309" s="32">
        <f t="shared" si="113"/>
        <v>2</v>
      </c>
      <c r="AA309">
        <f>step3_validation[[#This Row],[AI_FAC1]]</f>
        <v>9</v>
      </c>
      <c r="AB309" t="str">
        <f t="shared" si="114"/>
        <v>Support</v>
      </c>
      <c r="AC309">
        <f>survey_responses[[#This Row],[Các thủ tục khai báo thuế VÀ/HOẶC quy trình làm việc với cơ quan thuế đơn giản, tiện lợi, nhanh chóng hơn so với trước đây. - HUMAN-FAC1]]</f>
        <v>8</v>
      </c>
      <c r="AD309" t="str">
        <f t="shared" si="115"/>
        <v>Support</v>
      </c>
      <c r="AE309" s="32">
        <f t="shared" si="116"/>
        <v>1</v>
      </c>
      <c r="AF309">
        <f>step3_validation[[#This Row],[AI_FAC2]]</f>
        <v>8</v>
      </c>
      <c r="AG309" t="str">
        <f t="shared" si="117"/>
        <v>Support</v>
      </c>
      <c r="AH309">
        <f>survey_responses[[#This Row],[So với trước đây, tôi thấy cách tính thuế và các bậc thuế trong phương án mới đơn giản, dễ hiểu và dễ thực hiện hơn. - HUMAN-FAC2]]</f>
        <v>8</v>
      </c>
      <c r="AI309" t="str">
        <f t="shared" si="118"/>
        <v>Support</v>
      </c>
      <c r="AJ309" s="32">
        <f t="shared" si="119"/>
        <v>0</v>
      </c>
      <c r="AK309">
        <f>step3_validation[[#This Row],[AI_TRU1]]</f>
        <v>7</v>
      </c>
      <c r="AL309" t="str">
        <f t="shared" si="120"/>
        <v>Neutral</v>
      </c>
      <c r="AM309">
        <f>survey_responses[[#This Row],[Tôi tin rằng Nhà nước, cơ quan thuế sẽ thực thi chính sách mới một cách khách quan, công tâm và đối xử bình đẳng với mọi người nộp thuế.  - HUMAN-TRU1]]</f>
        <v>10</v>
      </c>
      <c r="AN309" t="str">
        <f t="shared" si="121"/>
        <v>Support</v>
      </c>
      <c r="AO309" s="32">
        <f t="shared" si="122"/>
        <v>3</v>
      </c>
      <c r="AP309">
        <f>step3_validation[[#This Row],[AI_TRU2]]</f>
        <v>8</v>
      </c>
      <c r="AQ309" t="str">
        <f t="shared" si="123"/>
        <v>Support</v>
      </c>
      <c r="AR309">
        <f>survey_responses[[#This Row],[Tôi thấy mức thuế tôi phải đóng theo phương án mới là công bằng (người thu nhập như tôi đóng mức này là hợp lý). - HUMAN-TRU2]]</f>
        <v>10</v>
      </c>
      <c r="AS309" t="str">
        <f t="shared" si="124"/>
        <v>Support</v>
      </c>
      <c r="AT309" s="32">
        <f t="shared" si="125"/>
        <v>2</v>
      </c>
      <c r="AU309">
        <f>step3_validation[[#This Row],[AI_TRU3]]</f>
        <v>7</v>
      </c>
      <c r="AV309" t="str">
        <f t="shared" si="126"/>
        <v>Neutral</v>
      </c>
      <c r="AW309">
        <f>survey_responses[[#This Row],[Tôi tin tưởng số tiền thuế tôi đóng sẽ được Nhà nước sử dụng hiệu quả để cải thiện dịch vụ công (y tế, đường xá...). - HUMAN-TRU3]]</f>
        <v>6</v>
      </c>
      <c r="AX309" t="str">
        <f t="shared" si="127"/>
        <v>Neutral</v>
      </c>
      <c r="AY309" s="32">
        <f t="shared" si="128"/>
        <v>1</v>
      </c>
      <c r="AZ309">
        <f>step3_validation[[#This Row],[AI_TRU4]]</f>
        <v>6</v>
      </c>
      <c r="BA309" t="str">
        <f t="shared" si="129"/>
        <v>Neutral</v>
      </c>
      <c r="BB309">
        <f>survey_responses[[#This Row],[Tôi thấy Nhà nước đã giải thích rõ ràng, minh bạch về lý do và mục tiêu của việc sửa đổi thuế lần này. - HUMAN-TRU4]]</f>
        <v>8</v>
      </c>
      <c r="BC309" t="str">
        <f t="shared" si="130"/>
        <v>Support</v>
      </c>
      <c r="BD309" s="32">
        <f t="shared" si="131"/>
        <v>2</v>
      </c>
      <c r="BE309">
        <f>step3_validation[[#This Row],[AI_OUT1]]</f>
        <v>8</v>
      </c>
      <c r="BF309" t="str">
        <f t="shared" si="132"/>
        <v>Support</v>
      </c>
      <c r="BG309">
        <f>survey_responses[[#This Row],[Sau khi xem xét các quyền lợi và nghĩa vụ, bạn có ủng hộ và tuân thủ chính sách mới hiện nay? - HUMAN-OUT1]]</f>
        <v>8</v>
      </c>
      <c r="BH309" t="str">
        <f t="shared" si="133"/>
        <v>Support</v>
      </c>
      <c r="BI309" s="32">
        <f t="shared" si="134"/>
        <v>0</v>
      </c>
    </row>
    <row r="310" spans="1:61" x14ac:dyDescent="0.45">
      <c r="A310" s="30">
        <f>step3_validation[[#This Row],[Persona_ID]]</f>
        <v>309</v>
      </c>
      <c r="B310" s="31">
        <f>step3_validation[[#This Row],[Used_Seed]]</f>
        <v>309</v>
      </c>
      <c r="C310" t="str">
        <f>step3_validation[[#This Row],[Gender]]</f>
        <v>Nam</v>
      </c>
      <c r="D310" t="str">
        <f>survey_responses[[#This Row],[Giới tính của bạn:]]</f>
        <v>Nam</v>
      </c>
      <c r="E310" t="str">
        <f>step3_validation[[#This Row],[Age_Group]]</f>
        <v>30 - 39</v>
      </c>
      <c r="F310" t="str">
        <f>survey_responses[[#This Row],[Độ tuổi của bạn:]]</f>
        <v>30 - 39</v>
      </c>
      <c r="G310" t="str">
        <f>step3_validation[[#This Row],[Region]]</f>
        <v>Thành thị</v>
      </c>
      <c r="H310" t="str">
        <f>survey_responses[[#This Row],[Khu vực bạn đang sinh sống:]]</f>
        <v>Thành thị</v>
      </c>
      <c r="I310" t="str">
        <f>step3_validation[[#This Row],[Education]]</f>
        <v>Đại học</v>
      </c>
      <c r="J310" t="str">
        <f>survey_responses[[#This Row],[Trình độ học vấn cao nhất:]]</f>
        <v>Đại học</v>
      </c>
      <c r="K310" t="str">
        <f>step3_validation[[#This Row],[Employment]]</f>
        <v>Chính thức</v>
      </c>
      <c r="L310" t="str">
        <f>survey_responses[[#This Row],[Tình trạng việc làm chính:]]</f>
        <v>Khu vực chính thức (Có Hợp đồng lao động, đóng BHXH)</v>
      </c>
      <c r="M310">
        <f>step3_validation[[#This Row],[Income_Mil]]</f>
        <v>52.904460482162236</v>
      </c>
      <c r="N310" t="str">
        <f>survey_responses[[#This Row],[Thu nhập bình quân tháng theo Hợp đồng lao động của bạn là bao nhiêu? (Vui lòng điền tổng thu nhập trước khi khấu trừ các loại Bảo hiểm (BHXH, BHYT, BHTN) và Thuế TNCN)]]</f>
        <v>Từ 48 - 70 triệu VNĐ</v>
      </c>
      <c r="O310">
        <f>step3_validation[[#This Row],[Dependents]]</f>
        <v>1</v>
      </c>
      <c r="P310" t="str">
        <f>survey_responses[[#This Row],[Số người phụ thuộc (con nhỏ, cha mẹ già...) đủ điều kiện giảm trừ gia cảnh:]]</f>
        <v>1 người</v>
      </c>
      <c r="Q310">
        <f>step3_validation[[#This Row],[AI_ENF1]]</f>
        <v>7</v>
      </c>
      <c r="R310" t="str">
        <f t="shared" si="108"/>
        <v>Neutral</v>
      </c>
      <c r="S310">
        <f>survey_responses[[#This Row],[Tôi tin rằng với các quy định quản lý thuế hiện nay, hành vi gian lận hoặc trốn thuế sẽ dễ dàng bị phát hiện và xử lý nghiêm. - HUMAN-ENF1]]</f>
        <v>10</v>
      </c>
      <c r="T310" t="str">
        <f t="shared" si="109"/>
        <v>Support</v>
      </c>
      <c r="U310" s="32">
        <f t="shared" si="110"/>
        <v>3</v>
      </c>
      <c r="V310">
        <f>step3_validation[[#This Row],[AI_ENF2]]</f>
        <v>8</v>
      </c>
      <c r="W310" t="str">
        <f t="shared" si="111"/>
        <v>Support</v>
      </c>
      <c r="X310">
        <f>survey_responses[[#This Row],[Tôi tin rằng Nhà nước, cơ quan thuế có đủ khả năng và công nghệ để phát hiện, xử lý nghiêm các hành vi trốn thuế. - HUMAN-ENF2]]</f>
        <v>10</v>
      </c>
      <c r="Y310" t="str">
        <f t="shared" si="112"/>
        <v>Support</v>
      </c>
      <c r="Z310" s="32">
        <f t="shared" si="113"/>
        <v>2</v>
      </c>
      <c r="AA310">
        <f>step3_validation[[#This Row],[AI_FAC1]]</f>
        <v>6</v>
      </c>
      <c r="AB310" t="str">
        <f t="shared" si="114"/>
        <v>Neutral</v>
      </c>
      <c r="AC310">
        <f>survey_responses[[#This Row],[Các thủ tục khai báo thuế VÀ/HOẶC quy trình làm việc với cơ quan thuế đơn giản, tiện lợi, nhanh chóng hơn so với trước đây. - HUMAN-FAC1]]</f>
        <v>10</v>
      </c>
      <c r="AD310" t="str">
        <f t="shared" si="115"/>
        <v>Support</v>
      </c>
      <c r="AE310" s="32">
        <f t="shared" si="116"/>
        <v>4</v>
      </c>
      <c r="AF310">
        <f>step3_validation[[#This Row],[AI_FAC2]]</f>
        <v>9</v>
      </c>
      <c r="AG310" t="str">
        <f t="shared" si="117"/>
        <v>Support</v>
      </c>
      <c r="AH310">
        <f>survey_responses[[#This Row],[So với trước đây, tôi thấy cách tính thuế và các bậc thuế trong phương án mới đơn giản, dễ hiểu và dễ thực hiện hơn. - HUMAN-FAC2]]</f>
        <v>10</v>
      </c>
      <c r="AI310" t="str">
        <f t="shared" si="118"/>
        <v>Support</v>
      </c>
      <c r="AJ310" s="32">
        <f t="shared" si="119"/>
        <v>1</v>
      </c>
      <c r="AK310">
        <f>step3_validation[[#This Row],[AI_TRU1]]</f>
        <v>6</v>
      </c>
      <c r="AL310" t="str">
        <f t="shared" si="120"/>
        <v>Neutral</v>
      </c>
      <c r="AM310">
        <f>survey_responses[[#This Row],[Tôi tin rằng Nhà nước, cơ quan thuế sẽ thực thi chính sách mới một cách khách quan, công tâm và đối xử bình đẳng với mọi người nộp thuế.  - HUMAN-TRU1]]</f>
        <v>10</v>
      </c>
      <c r="AN310" t="str">
        <f t="shared" si="121"/>
        <v>Support</v>
      </c>
      <c r="AO310" s="32">
        <f t="shared" si="122"/>
        <v>4</v>
      </c>
      <c r="AP310">
        <f>step3_validation[[#This Row],[AI_TRU2]]</f>
        <v>8</v>
      </c>
      <c r="AQ310" t="str">
        <f t="shared" si="123"/>
        <v>Support</v>
      </c>
      <c r="AR310">
        <f>survey_responses[[#This Row],[Tôi thấy mức thuế tôi phải đóng theo phương án mới là công bằng (người thu nhập như tôi đóng mức này là hợp lý). - HUMAN-TRU2]]</f>
        <v>9</v>
      </c>
      <c r="AS310" t="str">
        <f t="shared" si="124"/>
        <v>Support</v>
      </c>
      <c r="AT310" s="32">
        <f t="shared" si="125"/>
        <v>1</v>
      </c>
      <c r="AU310">
        <f>step3_validation[[#This Row],[AI_TRU3]]</f>
        <v>6</v>
      </c>
      <c r="AV310" t="str">
        <f t="shared" si="126"/>
        <v>Neutral</v>
      </c>
      <c r="AW310">
        <f>survey_responses[[#This Row],[Tôi tin tưởng số tiền thuế tôi đóng sẽ được Nhà nước sử dụng hiệu quả để cải thiện dịch vụ công (y tế, đường xá...). - HUMAN-TRU3]]</f>
        <v>9</v>
      </c>
      <c r="AX310" t="str">
        <f t="shared" si="127"/>
        <v>Support</v>
      </c>
      <c r="AY310" s="32">
        <f t="shared" si="128"/>
        <v>3</v>
      </c>
      <c r="AZ310">
        <f>step3_validation[[#This Row],[AI_TRU4]]</f>
        <v>6</v>
      </c>
      <c r="BA310" t="str">
        <f t="shared" si="129"/>
        <v>Neutral</v>
      </c>
      <c r="BB310">
        <f>survey_responses[[#This Row],[Tôi thấy Nhà nước đã giải thích rõ ràng, minh bạch về lý do và mục tiêu của việc sửa đổi thuế lần này. - HUMAN-TRU4]]</f>
        <v>10</v>
      </c>
      <c r="BC310" t="str">
        <f t="shared" si="130"/>
        <v>Support</v>
      </c>
      <c r="BD310" s="32">
        <f t="shared" si="131"/>
        <v>4</v>
      </c>
      <c r="BE310">
        <f>step3_validation[[#This Row],[AI_OUT1]]</f>
        <v>7</v>
      </c>
      <c r="BF310" t="str">
        <f t="shared" si="132"/>
        <v>Neutral</v>
      </c>
      <c r="BG310">
        <f>survey_responses[[#This Row],[Sau khi xem xét các quyền lợi và nghĩa vụ, bạn có ủng hộ và tuân thủ chính sách mới hiện nay? - HUMAN-OUT1]]</f>
        <v>10</v>
      </c>
      <c r="BH310" t="str">
        <f t="shared" si="133"/>
        <v>Support</v>
      </c>
      <c r="BI310" s="32">
        <f t="shared" si="134"/>
        <v>3</v>
      </c>
    </row>
    <row r="311" spans="1:61" x14ac:dyDescent="0.45">
      <c r="A311" s="30">
        <f>step3_validation[[#This Row],[Persona_ID]]</f>
        <v>310</v>
      </c>
      <c r="B311" s="31">
        <f>step3_validation[[#This Row],[Used_Seed]]</f>
        <v>310</v>
      </c>
      <c r="C311" t="str">
        <f>step3_validation[[#This Row],[Gender]]</f>
        <v>Nữ</v>
      </c>
      <c r="D311" t="str">
        <f>survey_responses[[#This Row],[Giới tính của bạn:]]</f>
        <v>Nữ</v>
      </c>
      <c r="E311" t="str">
        <f>step3_validation[[#This Row],[Age_Group]]</f>
        <v>18 - 24</v>
      </c>
      <c r="F311" t="str">
        <f>survey_responses[[#This Row],[Độ tuổi của bạn:]]</f>
        <v>18 - 24</v>
      </c>
      <c r="G311" t="str">
        <f>step3_validation[[#This Row],[Region]]</f>
        <v>Thành thị</v>
      </c>
      <c r="H311" t="str">
        <f>survey_responses[[#This Row],[Khu vực bạn đang sinh sống:]]</f>
        <v>Thành thị</v>
      </c>
      <c r="I311" t="str">
        <f>step3_validation[[#This Row],[Education]]</f>
        <v>Đại học</v>
      </c>
      <c r="J311" t="str">
        <f>survey_responses[[#This Row],[Trình độ học vấn cao nhất:]]</f>
        <v>Đại học</v>
      </c>
      <c r="K311" t="str">
        <f>step3_validation[[#This Row],[Employment]]</f>
        <v>Chính thức</v>
      </c>
      <c r="L311" t="str">
        <f>survey_responses[[#This Row],[Tình trạng việc làm chính:]]</f>
        <v>Khu vực chính thức (Có Hợp đồng lao động, đóng BHXH)</v>
      </c>
      <c r="M311">
        <f>step3_validation[[#This Row],[Income_Mil]]</f>
        <v>20.074371497271354</v>
      </c>
      <c r="N311" t="str">
        <f>survey_responses[[#This Row],[Thu nhập bình quân tháng theo Hợp đồng lao động của bạn là bao nhiêu? (Vui lòng điền tổng thu nhập trước khi khấu trừ các loại Bảo hiểm (BHXH, BHYT, BHTN) và Thuế TNCN)]]</f>
        <v>Từ 18 - 23 triệu VNĐ</v>
      </c>
      <c r="O311">
        <f>step3_validation[[#This Row],[Dependents]]</f>
        <v>0</v>
      </c>
      <c r="P311" t="str">
        <f>survey_responses[[#This Row],[Số người phụ thuộc (con nhỏ, cha mẹ già...) đủ điều kiện giảm trừ gia cảnh:]]</f>
        <v>0 người</v>
      </c>
      <c r="Q311">
        <f>step3_validation[[#This Row],[AI_ENF1]]</f>
        <v>8</v>
      </c>
      <c r="R311" t="str">
        <f t="shared" si="108"/>
        <v>Support</v>
      </c>
      <c r="S311">
        <f>survey_responses[[#This Row],[Tôi tin rằng với các quy định quản lý thuế hiện nay, hành vi gian lận hoặc trốn thuế sẽ dễ dàng bị phát hiện và xử lý nghiêm. - HUMAN-ENF1]]</f>
        <v>7</v>
      </c>
      <c r="T311" t="str">
        <f t="shared" si="109"/>
        <v>Neutral</v>
      </c>
      <c r="U311" s="32">
        <f t="shared" si="110"/>
        <v>1</v>
      </c>
      <c r="V311">
        <f>step3_validation[[#This Row],[AI_ENF2]]</f>
        <v>9</v>
      </c>
      <c r="W311" t="str">
        <f t="shared" si="111"/>
        <v>Support</v>
      </c>
      <c r="X311">
        <f>survey_responses[[#This Row],[Tôi tin rằng Nhà nước, cơ quan thuế có đủ khả năng và công nghệ để phát hiện, xử lý nghiêm các hành vi trốn thuế. - HUMAN-ENF2]]</f>
        <v>7</v>
      </c>
      <c r="Y311" t="str">
        <f t="shared" si="112"/>
        <v>Neutral</v>
      </c>
      <c r="Z311" s="32">
        <f t="shared" si="113"/>
        <v>2</v>
      </c>
      <c r="AA311">
        <f>step3_validation[[#This Row],[AI_FAC1]]</f>
        <v>8</v>
      </c>
      <c r="AB311" t="str">
        <f t="shared" si="114"/>
        <v>Support</v>
      </c>
      <c r="AC311">
        <f>survey_responses[[#This Row],[Các thủ tục khai báo thuế VÀ/HOẶC quy trình làm việc với cơ quan thuế đơn giản, tiện lợi, nhanh chóng hơn so với trước đây. - HUMAN-FAC1]]</f>
        <v>5</v>
      </c>
      <c r="AD311" t="str">
        <f t="shared" si="115"/>
        <v>Neutral</v>
      </c>
      <c r="AE311" s="32">
        <f t="shared" si="116"/>
        <v>3</v>
      </c>
      <c r="AF311">
        <f>step3_validation[[#This Row],[AI_FAC2]]</f>
        <v>9</v>
      </c>
      <c r="AG311" t="str">
        <f t="shared" si="117"/>
        <v>Support</v>
      </c>
      <c r="AH311">
        <f>survey_responses[[#This Row],[So với trước đây, tôi thấy cách tính thuế và các bậc thuế trong phương án mới đơn giản, dễ hiểu và dễ thực hiện hơn. - HUMAN-FAC2]]</f>
        <v>8</v>
      </c>
      <c r="AI311" t="str">
        <f t="shared" si="118"/>
        <v>Support</v>
      </c>
      <c r="AJ311" s="32">
        <f t="shared" si="119"/>
        <v>1</v>
      </c>
      <c r="AK311">
        <f>step3_validation[[#This Row],[AI_TRU1]]</f>
        <v>7</v>
      </c>
      <c r="AL311" t="str">
        <f t="shared" si="120"/>
        <v>Neutral</v>
      </c>
      <c r="AM311">
        <f>survey_responses[[#This Row],[Tôi tin rằng Nhà nước, cơ quan thuế sẽ thực thi chính sách mới một cách khách quan, công tâm và đối xử bình đẳng với mọi người nộp thuế.  - HUMAN-TRU1]]</f>
        <v>8</v>
      </c>
      <c r="AN311" t="str">
        <f t="shared" si="121"/>
        <v>Support</v>
      </c>
      <c r="AO311" s="32">
        <f t="shared" si="122"/>
        <v>1</v>
      </c>
      <c r="AP311">
        <f>step3_validation[[#This Row],[AI_TRU2]]</f>
        <v>9</v>
      </c>
      <c r="AQ311" t="str">
        <f t="shared" si="123"/>
        <v>Support</v>
      </c>
      <c r="AR311">
        <f>survey_responses[[#This Row],[Tôi thấy mức thuế tôi phải đóng theo phương án mới là công bằng (người thu nhập như tôi đóng mức này là hợp lý). - HUMAN-TRU2]]</f>
        <v>9</v>
      </c>
      <c r="AS311" t="str">
        <f t="shared" si="124"/>
        <v>Support</v>
      </c>
      <c r="AT311" s="32">
        <f t="shared" si="125"/>
        <v>0</v>
      </c>
      <c r="AU311">
        <f>step3_validation[[#This Row],[AI_TRU3]]</f>
        <v>8</v>
      </c>
      <c r="AV311" t="str">
        <f t="shared" si="126"/>
        <v>Support</v>
      </c>
      <c r="AW311">
        <f>survey_responses[[#This Row],[Tôi tin tưởng số tiền thuế tôi đóng sẽ được Nhà nước sử dụng hiệu quả để cải thiện dịch vụ công (y tế, đường xá...). - HUMAN-TRU3]]</f>
        <v>9</v>
      </c>
      <c r="AX311" t="str">
        <f t="shared" si="127"/>
        <v>Support</v>
      </c>
      <c r="AY311" s="32">
        <f t="shared" si="128"/>
        <v>1</v>
      </c>
      <c r="AZ311">
        <f>step3_validation[[#This Row],[AI_TRU4]]</f>
        <v>7</v>
      </c>
      <c r="BA311" t="str">
        <f t="shared" si="129"/>
        <v>Neutral</v>
      </c>
      <c r="BB311">
        <f>survey_responses[[#This Row],[Tôi thấy Nhà nước đã giải thích rõ ràng, minh bạch về lý do và mục tiêu của việc sửa đổi thuế lần này. - HUMAN-TRU4]]</f>
        <v>9</v>
      </c>
      <c r="BC311" t="str">
        <f t="shared" si="130"/>
        <v>Support</v>
      </c>
      <c r="BD311" s="32">
        <f t="shared" si="131"/>
        <v>2</v>
      </c>
      <c r="BE311">
        <f>step3_validation[[#This Row],[AI_OUT1]]</f>
        <v>9</v>
      </c>
      <c r="BF311" t="str">
        <f t="shared" si="132"/>
        <v>Support</v>
      </c>
      <c r="BG311">
        <f>survey_responses[[#This Row],[Sau khi xem xét các quyền lợi và nghĩa vụ, bạn có ủng hộ và tuân thủ chính sách mới hiện nay? - HUMAN-OUT1]]</f>
        <v>10</v>
      </c>
      <c r="BH311" t="str">
        <f t="shared" si="133"/>
        <v>Support</v>
      </c>
      <c r="BI311" s="32">
        <f t="shared" si="134"/>
        <v>1</v>
      </c>
    </row>
    <row r="312" spans="1:61" x14ac:dyDescent="0.45">
      <c r="A312" s="30">
        <f>step3_validation[[#This Row],[Persona_ID]]</f>
        <v>311</v>
      </c>
      <c r="B312" s="31">
        <f>step3_validation[[#This Row],[Used_Seed]]</f>
        <v>311</v>
      </c>
      <c r="C312" t="str">
        <f>step3_validation[[#This Row],[Gender]]</f>
        <v>Nữ</v>
      </c>
      <c r="D312" t="str">
        <f>survey_responses[[#This Row],[Giới tính của bạn:]]</f>
        <v>Nữ</v>
      </c>
      <c r="E312" t="str">
        <f>step3_validation[[#This Row],[Age_Group]]</f>
        <v>18 - 24</v>
      </c>
      <c r="F312" t="str">
        <f>survey_responses[[#This Row],[Độ tuổi của bạn:]]</f>
        <v>18 - 24</v>
      </c>
      <c r="G312" t="str">
        <f>step3_validation[[#This Row],[Region]]</f>
        <v>Thành thị</v>
      </c>
      <c r="H312" t="str">
        <f>survey_responses[[#This Row],[Khu vực bạn đang sinh sống:]]</f>
        <v>Thành thị</v>
      </c>
      <c r="I312" t="str">
        <f>step3_validation[[#This Row],[Education]]</f>
        <v>Đại học</v>
      </c>
      <c r="J312" t="str">
        <f>survey_responses[[#This Row],[Trình độ học vấn cao nhất:]]</f>
        <v>Đại học</v>
      </c>
      <c r="K312" t="str">
        <f>step3_validation[[#This Row],[Employment]]</f>
        <v>Chính thức</v>
      </c>
      <c r="L312" t="str">
        <f>survey_responses[[#This Row],[Tình trạng việc làm chính:]]</f>
        <v>Khu vực chính thức (Có Hợp đồng lao động, đóng BHXH)</v>
      </c>
      <c r="M312">
        <f>step3_validation[[#This Row],[Income_Mil]]</f>
        <v>12.753292211271582</v>
      </c>
      <c r="N312" t="str">
        <f>survey_responses[[#This Row],[Thu nhập bình quân tháng theo Hợp đồng lao động của bạn là bao nhiêu? (Vui lòng điền tổng thu nhập trước khi khấu trừ các loại Bảo hiểm (BHXH, BHYT, BHTN) và Thuế TNCN)]]</f>
        <v>Từ 12 - 18 triệu VNĐ</v>
      </c>
      <c r="O312">
        <f>step3_validation[[#This Row],[Dependents]]</f>
        <v>0</v>
      </c>
      <c r="P312" t="str">
        <f>survey_responses[[#This Row],[Số người phụ thuộc (con nhỏ, cha mẹ già...) đủ điều kiện giảm trừ gia cảnh:]]</f>
        <v>0 người</v>
      </c>
      <c r="Q312">
        <f>step3_validation[[#This Row],[AI_ENF1]]</f>
        <v>8</v>
      </c>
      <c r="R312" t="str">
        <f t="shared" si="108"/>
        <v>Support</v>
      </c>
      <c r="S312">
        <f>survey_responses[[#This Row],[Tôi tin rằng với các quy định quản lý thuế hiện nay, hành vi gian lận hoặc trốn thuế sẽ dễ dàng bị phát hiện và xử lý nghiêm. - HUMAN-ENF1]]</f>
        <v>6</v>
      </c>
      <c r="T312" t="str">
        <f t="shared" si="109"/>
        <v>Neutral</v>
      </c>
      <c r="U312" s="32">
        <f t="shared" si="110"/>
        <v>2</v>
      </c>
      <c r="V312">
        <f>step3_validation[[#This Row],[AI_ENF2]]</f>
        <v>9</v>
      </c>
      <c r="W312" t="str">
        <f t="shared" si="111"/>
        <v>Support</v>
      </c>
      <c r="X312">
        <f>survey_responses[[#This Row],[Tôi tin rằng Nhà nước, cơ quan thuế có đủ khả năng và công nghệ để phát hiện, xử lý nghiêm các hành vi trốn thuế. - HUMAN-ENF2]]</f>
        <v>5</v>
      </c>
      <c r="Y312" t="str">
        <f t="shared" si="112"/>
        <v>Neutral</v>
      </c>
      <c r="Z312" s="32">
        <f t="shared" si="113"/>
        <v>4</v>
      </c>
      <c r="AA312">
        <f>step3_validation[[#This Row],[AI_FAC1]]</f>
        <v>7</v>
      </c>
      <c r="AB312" t="str">
        <f t="shared" si="114"/>
        <v>Neutral</v>
      </c>
      <c r="AC312">
        <f>survey_responses[[#This Row],[Các thủ tục khai báo thuế VÀ/HOẶC quy trình làm việc với cơ quan thuế đơn giản, tiện lợi, nhanh chóng hơn so với trước đây. - HUMAN-FAC1]]</f>
        <v>4</v>
      </c>
      <c r="AD312" t="str">
        <f t="shared" si="115"/>
        <v>Oppose</v>
      </c>
      <c r="AE312" s="32">
        <f t="shared" si="116"/>
        <v>3</v>
      </c>
      <c r="AF312">
        <f>step3_validation[[#This Row],[AI_FAC2]]</f>
        <v>9</v>
      </c>
      <c r="AG312" t="str">
        <f t="shared" si="117"/>
        <v>Support</v>
      </c>
      <c r="AH312">
        <f>survey_responses[[#This Row],[So với trước đây, tôi thấy cách tính thuế và các bậc thuế trong phương án mới đơn giản, dễ hiểu và dễ thực hiện hơn. - HUMAN-FAC2]]</f>
        <v>7</v>
      </c>
      <c r="AI312" t="str">
        <f t="shared" si="118"/>
        <v>Neutral</v>
      </c>
      <c r="AJ312" s="32">
        <f t="shared" si="119"/>
        <v>2</v>
      </c>
      <c r="AK312">
        <f>step3_validation[[#This Row],[AI_TRU1]]</f>
        <v>7</v>
      </c>
      <c r="AL312" t="str">
        <f t="shared" si="120"/>
        <v>Neutral</v>
      </c>
      <c r="AM312">
        <f>survey_responses[[#This Row],[Tôi tin rằng Nhà nước, cơ quan thuế sẽ thực thi chính sách mới một cách khách quan, công tâm và đối xử bình đẳng với mọi người nộp thuế.  - HUMAN-TRU1]]</f>
        <v>5</v>
      </c>
      <c r="AN312" t="str">
        <f t="shared" si="121"/>
        <v>Neutral</v>
      </c>
      <c r="AO312" s="32">
        <f t="shared" si="122"/>
        <v>2</v>
      </c>
      <c r="AP312">
        <f>step3_validation[[#This Row],[AI_TRU2]]</f>
        <v>9</v>
      </c>
      <c r="AQ312" t="str">
        <f t="shared" si="123"/>
        <v>Support</v>
      </c>
      <c r="AR312">
        <f>survey_responses[[#This Row],[Tôi thấy mức thuế tôi phải đóng theo phương án mới là công bằng (người thu nhập như tôi đóng mức này là hợp lý). - HUMAN-TRU2]]</f>
        <v>6</v>
      </c>
      <c r="AS312" t="str">
        <f t="shared" si="124"/>
        <v>Neutral</v>
      </c>
      <c r="AT312" s="32">
        <f t="shared" si="125"/>
        <v>3</v>
      </c>
      <c r="AU312">
        <f>step3_validation[[#This Row],[AI_TRU3]]</f>
        <v>8</v>
      </c>
      <c r="AV312" t="str">
        <f t="shared" si="126"/>
        <v>Support</v>
      </c>
      <c r="AW312">
        <f>survey_responses[[#This Row],[Tôi tin tưởng số tiền thuế tôi đóng sẽ được Nhà nước sử dụng hiệu quả để cải thiện dịch vụ công (y tế, đường xá...). - HUMAN-TRU3]]</f>
        <v>6</v>
      </c>
      <c r="AX312" t="str">
        <f t="shared" si="127"/>
        <v>Neutral</v>
      </c>
      <c r="AY312" s="32">
        <f t="shared" si="128"/>
        <v>2</v>
      </c>
      <c r="AZ312">
        <f>step3_validation[[#This Row],[AI_TRU4]]</f>
        <v>6</v>
      </c>
      <c r="BA312" t="str">
        <f t="shared" si="129"/>
        <v>Neutral</v>
      </c>
      <c r="BB312">
        <f>survey_responses[[#This Row],[Tôi thấy Nhà nước đã giải thích rõ ràng, minh bạch về lý do và mục tiêu của việc sửa đổi thuế lần này. - HUMAN-TRU4]]</f>
        <v>7</v>
      </c>
      <c r="BC312" t="str">
        <f t="shared" si="130"/>
        <v>Neutral</v>
      </c>
      <c r="BD312" s="32">
        <f t="shared" si="131"/>
        <v>1</v>
      </c>
      <c r="BE312">
        <f>step3_validation[[#This Row],[AI_OUT1]]</f>
        <v>7</v>
      </c>
      <c r="BF312" t="str">
        <f t="shared" si="132"/>
        <v>Neutral</v>
      </c>
      <c r="BG312">
        <f>survey_responses[[#This Row],[Sau khi xem xét các quyền lợi và nghĩa vụ, bạn có ủng hộ và tuân thủ chính sách mới hiện nay? - HUMAN-OUT1]]</f>
        <v>7</v>
      </c>
      <c r="BH312" t="str">
        <f t="shared" si="133"/>
        <v>Neutral</v>
      </c>
      <c r="BI312" s="32">
        <f t="shared" si="134"/>
        <v>0</v>
      </c>
    </row>
    <row r="313" spans="1:61" x14ac:dyDescent="0.45">
      <c r="A313" s="30">
        <f>step3_validation[[#This Row],[Persona_ID]]</f>
        <v>312</v>
      </c>
      <c r="B313" s="31">
        <f>step3_validation[[#This Row],[Used_Seed]]</f>
        <v>312</v>
      </c>
      <c r="C313" t="str">
        <f>step3_validation[[#This Row],[Gender]]</f>
        <v>Nam</v>
      </c>
      <c r="D313" t="str">
        <f>survey_responses[[#This Row],[Giới tính của bạn:]]</f>
        <v>Nam</v>
      </c>
      <c r="E313" t="str">
        <f>step3_validation[[#This Row],[Age_Group]]</f>
        <v>25 - 29</v>
      </c>
      <c r="F313" t="str">
        <f>survey_responses[[#This Row],[Độ tuổi của bạn:]]</f>
        <v>25 - 29</v>
      </c>
      <c r="G313" t="str">
        <f>step3_validation[[#This Row],[Region]]</f>
        <v>Thành thị</v>
      </c>
      <c r="H313" t="str">
        <f>survey_responses[[#This Row],[Khu vực bạn đang sinh sống:]]</f>
        <v>Thành thị</v>
      </c>
      <c r="I313" t="str">
        <f>step3_validation[[#This Row],[Education]]</f>
        <v>Đại học</v>
      </c>
      <c r="J313" t="str">
        <f>survey_responses[[#This Row],[Trình độ học vấn cao nhất:]]</f>
        <v>Đại học</v>
      </c>
      <c r="K313" t="str">
        <f>step3_validation[[#This Row],[Employment]]</f>
        <v>Chính thức</v>
      </c>
      <c r="L313" t="str">
        <f>survey_responses[[#This Row],[Tình trạng việc làm chính:]]</f>
        <v>Khu vực chính thức (Có Hợp đồng lao động, đóng BHXH)</v>
      </c>
      <c r="M313">
        <f>step3_validation[[#This Row],[Income_Mil]]</f>
        <v>20.197435196503189</v>
      </c>
      <c r="N313" t="str">
        <f>survey_responses[[#This Row],[Thu nhập bình quân tháng theo Hợp đồng lao động của bạn là bao nhiêu? (Vui lòng điền tổng thu nhập trước khi khấu trừ các loại Bảo hiểm (BHXH, BHYT, BHTN) và Thuế TNCN)]]</f>
        <v>Từ 18 - 23 triệu VNĐ</v>
      </c>
      <c r="O313">
        <f>step3_validation[[#This Row],[Dependents]]</f>
        <v>0</v>
      </c>
      <c r="P313" t="str">
        <f>survey_responses[[#This Row],[Số người phụ thuộc (con nhỏ, cha mẹ già...) đủ điều kiện giảm trừ gia cảnh:]]</f>
        <v>0 người</v>
      </c>
      <c r="Q313">
        <f>step3_validation[[#This Row],[AI_ENF1]]</f>
        <v>8</v>
      </c>
      <c r="R313" t="str">
        <f t="shared" si="108"/>
        <v>Support</v>
      </c>
      <c r="S313">
        <f>survey_responses[[#This Row],[Tôi tin rằng với các quy định quản lý thuế hiện nay, hành vi gian lận hoặc trốn thuế sẽ dễ dàng bị phát hiện và xử lý nghiêm. - HUMAN-ENF1]]</f>
        <v>8</v>
      </c>
      <c r="T313" t="str">
        <f t="shared" si="109"/>
        <v>Support</v>
      </c>
      <c r="U313" s="32">
        <f t="shared" si="110"/>
        <v>0</v>
      </c>
      <c r="V313">
        <f>step3_validation[[#This Row],[AI_ENF2]]</f>
        <v>9</v>
      </c>
      <c r="W313" t="str">
        <f t="shared" si="111"/>
        <v>Support</v>
      </c>
      <c r="X313">
        <f>survey_responses[[#This Row],[Tôi tin rằng Nhà nước, cơ quan thuế có đủ khả năng và công nghệ để phát hiện, xử lý nghiêm các hành vi trốn thuế. - HUMAN-ENF2]]</f>
        <v>9</v>
      </c>
      <c r="Y313" t="str">
        <f t="shared" si="112"/>
        <v>Support</v>
      </c>
      <c r="Z313" s="32">
        <f t="shared" si="113"/>
        <v>0</v>
      </c>
      <c r="AA313">
        <f>step3_validation[[#This Row],[AI_FAC1]]</f>
        <v>7</v>
      </c>
      <c r="AB313" t="str">
        <f t="shared" si="114"/>
        <v>Neutral</v>
      </c>
      <c r="AC313">
        <f>survey_responses[[#This Row],[Các thủ tục khai báo thuế VÀ/HOẶC quy trình làm việc với cơ quan thuế đơn giản, tiện lợi, nhanh chóng hơn so với trước đây. - HUMAN-FAC1]]</f>
        <v>10</v>
      </c>
      <c r="AD313" t="str">
        <f t="shared" si="115"/>
        <v>Support</v>
      </c>
      <c r="AE313" s="32">
        <f t="shared" si="116"/>
        <v>3</v>
      </c>
      <c r="AF313">
        <f>step3_validation[[#This Row],[AI_FAC2]]</f>
        <v>8</v>
      </c>
      <c r="AG313" t="str">
        <f t="shared" si="117"/>
        <v>Support</v>
      </c>
      <c r="AH313">
        <f>survey_responses[[#This Row],[So với trước đây, tôi thấy cách tính thuế và các bậc thuế trong phương án mới đơn giản, dễ hiểu và dễ thực hiện hơn. - HUMAN-FAC2]]</f>
        <v>10</v>
      </c>
      <c r="AI313" t="str">
        <f t="shared" si="118"/>
        <v>Support</v>
      </c>
      <c r="AJ313" s="32">
        <f t="shared" si="119"/>
        <v>2</v>
      </c>
      <c r="AK313">
        <f>step3_validation[[#This Row],[AI_TRU1]]</f>
        <v>6</v>
      </c>
      <c r="AL313" t="str">
        <f t="shared" si="120"/>
        <v>Neutral</v>
      </c>
      <c r="AM313">
        <f>survey_responses[[#This Row],[Tôi tin rằng Nhà nước, cơ quan thuế sẽ thực thi chính sách mới một cách khách quan, công tâm và đối xử bình đẳng với mọi người nộp thuế.  - HUMAN-TRU1]]</f>
        <v>8</v>
      </c>
      <c r="AN313" t="str">
        <f t="shared" si="121"/>
        <v>Support</v>
      </c>
      <c r="AO313" s="32">
        <f t="shared" si="122"/>
        <v>2</v>
      </c>
      <c r="AP313">
        <f>step3_validation[[#This Row],[AI_TRU2]]</f>
        <v>8</v>
      </c>
      <c r="AQ313" t="str">
        <f t="shared" si="123"/>
        <v>Support</v>
      </c>
      <c r="AR313">
        <f>survey_responses[[#This Row],[Tôi thấy mức thuế tôi phải đóng theo phương án mới là công bằng (người thu nhập như tôi đóng mức này là hợp lý). - HUMAN-TRU2]]</f>
        <v>9</v>
      </c>
      <c r="AS313" t="str">
        <f t="shared" si="124"/>
        <v>Support</v>
      </c>
      <c r="AT313" s="32">
        <f t="shared" si="125"/>
        <v>1</v>
      </c>
      <c r="AU313">
        <f>step3_validation[[#This Row],[AI_TRU3]]</f>
        <v>6</v>
      </c>
      <c r="AV313" t="str">
        <f t="shared" si="126"/>
        <v>Neutral</v>
      </c>
      <c r="AW313">
        <f>survey_responses[[#This Row],[Tôi tin tưởng số tiền thuế tôi đóng sẽ được Nhà nước sử dụng hiệu quả để cải thiện dịch vụ công (y tế, đường xá...). - HUMAN-TRU3]]</f>
        <v>8</v>
      </c>
      <c r="AX313" t="str">
        <f t="shared" si="127"/>
        <v>Support</v>
      </c>
      <c r="AY313" s="32">
        <f t="shared" si="128"/>
        <v>2</v>
      </c>
      <c r="AZ313">
        <f>step3_validation[[#This Row],[AI_TRU4]]</f>
        <v>7</v>
      </c>
      <c r="BA313" t="str">
        <f t="shared" si="129"/>
        <v>Neutral</v>
      </c>
      <c r="BB313">
        <f>survey_responses[[#This Row],[Tôi thấy Nhà nước đã giải thích rõ ràng, minh bạch về lý do và mục tiêu của việc sửa đổi thuế lần này. - HUMAN-TRU4]]</f>
        <v>8</v>
      </c>
      <c r="BC313" t="str">
        <f t="shared" si="130"/>
        <v>Support</v>
      </c>
      <c r="BD313" s="32">
        <f t="shared" si="131"/>
        <v>1</v>
      </c>
      <c r="BE313">
        <f>step3_validation[[#This Row],[AI_OUT1]]</f>
        <v>9</v>
      </c>
      <c r="BF313" t="str">
        <f t="shared" si="132"/>
        <v>Support</v>
      </c>
      <c r="BG313">
        <f>survey_responses[[#This Row],[Sau khi xem xét các quyền lợi và nghĩa vụ, bạn có ủng hộ và tuân thủ chính sách mới hiện nay? - HUMAN-OUT1]]</f>
        <v>10</v>
      </c>
      <c r="BH313" t="str">
        <f t="shared" si="133"/>
        <v>Support</v>
      </c>
      <c r="BI313" s="32">
        <f t="shared" si="134"/>
        <v>1</v>
      </c>
    </row>
    <row r="314" spans="1:61" x14ac:dyDescent="0.45">
      <c r="A314" s="30">
        <f>step3_validation[[#This Row],[Persona_ID]]</f>
        <v>313</v>
      </c>
      <c r="B314" s="31">
        <f>step3_validation[[#This Row],[Used_Seed]]</f>
        <v>313</v>
      </c>
      <c r="C314" t="str">
        <f>step3_validation[[#This Row],[Gender]]</f>
        <v>Nam</v>
      </c>
      <c r="D314" t="str">
        <f>survey_responses[[#This Row],[Giới tính của bạn:]]</f>
        <v>Nam</v>
      </c>
      <c r="E314" t="str">
        <f>step3_validation[[#This Row],[Age_Group]]</f>
        <v>18 - 24</v>
      </c>
      <c r="F314" t="str">
        <f>survey_responses[[#This Row],[Độ tuổi của bạn:]]</f>
        <v>18 - 24</v>
      </c>
      <c r="G314" t="str">
        <f>step3_validation[[#This Row],[Region]]</f>
        <v>Thành thị</v>
      </c>
      <c r="H314" t="str">
        <f>survey_responses[[#This Row],[Khu vực bạn đang sinh sống:]]</f>
        <v>Thành thị</v>
      </c>
      <c r="I314" t="str">
        <f>step3_validation[[#This Row],[Education]]</f>
        <v>Đại học</v>
      </c>
      <c r="J314" t="str">
        <f>survey_responses[[#This Row],[Trình độ học vấn cao nhất:]]</f>
        <v>Đại học</v>
      </c>
      <c r="K314" t="str">
        <f>step3_validation[[#This Row],[Employment]]</f>
        <v>Chính thức</v>
      </c>
      <c r="L314" t="str">
        <f>survey_responses[[#This Row],[Tình trạng việc làm chính:]]</f>
        <v>Khu vực chính thức (Có Hợp đồng lao động, đóng BHXH)</v>
      </c>
      <c r="M314">
        <f>step3_validation[[#This Row],[Income_Mil]]</f>
        <v>15.159112113428503</v>
      </c>
      <c r="N314" t="str">
        <f>survey_responses[[#This Row],[Thu nhập bình quân tháng theo Hợp đồng lao động của bạn là bao nhiêu? (Vui lòng điền tổng thu nhập trước khi khấu trừ các loại Bảo hiểm (BHXH, BHYT, BHTN) và Thuế TNCN)]]</f>
        <v>Từ 12 - 18 triệu VNĐ</v>
      </c>
      <c r="O314">
        <f>step3_validation[[#This Row],[Dependents]]</f>
        <v>0</v>
      </c>
      <c r="P314" t="str">
        <f>survey_responses[[#This Row],[Số người phụ thuộc (con nhỏ, cha mẹ già...) đủ điều kiện giảm trừ gia cảnh:]]</f>
        <v>0 người</v>
      </c>
      <c r="Q314">
        <f>step3_validation[[#This Row],[AI_ENF1]]</f>
        <v>8</v>
      </c>
      <c r="R314" t="str">
        <f t="shared" si="108"/>
        <v>Support</v>
      </c>
      <c r="S314">
        <f>survey_responses[[#This Row],[Tôi tin rằng với các quy định quản lý thuế hiện nay, hành vi gian lận hoặc trốn thuế sẽ dễ dàng bị phát hiện và xử lý nghiêm. - HUMAN-ENF1]]</f>
        <v>6</v>
      </c>
      <c r="T314" t="str">
        <f t="shared" si="109"/>
        <v>Neutral</v>
      </c>
      <c r="U314" s="32">
        <f t="shared" si="110"/>
        <v>2</v>
      </c>
      <c r="V314">
        <f>step3_validation[[#This Row],[AI_ENF2]]</f>
        <v>9</v>
      </c>
      <c r="W314" t="str">
        <f t="shared" si="111"/>
        <v>Support</v>
      </c>
      <c r="X314">
        <f>survey_responses[[#This Row],[Tôi tin rằng Nhà nước, cơ quan thuế có đủ khả năng và công nghệ để phát hiện, xử lý nghiêm các hành vi trốn thuế. - HUMAN-ENF2]]</f>
        <v>6</v>
      </c>
      <c r="Y314" t="str">
        <f t="shared" si="112"/>
        <v>Neutral</v>
      </c>
      <c r="Z314" s="32">
        <f t="shared" si="113"/>
        <v>3</v>
      </c>
      <c r="AA314">
        <f>step3_validation[[#This Row],[AI_FAC1]]</f>
        <v>8</v>
      </c>
      <c r="AB314" t="str">
        <f t="shared" si="114"/>
        <v>Support</v>
      </c>
      <c r="AC314">
        <f>survey_responses[[#This Row],[Các thủ tục khai báo thuế VÀ/HOẶC quy trình làm việc với cơ quan thuế đơn giản, tiện lợi, nhanh chóng hơn so với trước đây. - HUMAN-FAC1]]</f>
        <v>7</v>
      </c>
      <c r="AD314" t="str">
        <f t="shared" si="115"/>
        <v>Neutral</v>
      </c>
      <c r="AE314" s="32">
        <f t="shared" si="116"/>
        <v>1</v>
      </c>
      <c r="AF314">
        <f>step3_validation[[#This Row],[AI_FAC2]]</f>
        <v>9</v>
      </c>
      <c r="AG314" t="str">
        <f t="shared" si="117"/>
        <v>Support</v>
      </c>
      <c r="AH314">
        <f>survey_responses[[#This Row],[So với trước đây, tôi thấy cách tính thuế và các bậc thuế trong phương án mới đơn giản, dễ hiểu và dễ thực hiện hơn. - HUMAN-FAC2]]</f>
        <v>7</v>
      </c>
      <c r="AI314" t="str">
        <f t="shared" si="118"/>
        <v>Neutral</v>
      </c>
      <c r="AJ314" s="32">
        <f t="shared" si="119"/>
        <v>2</v>
      </c>
      <c r="AK314">
        <f>step3_validation[[#This Row],[AI_TRU1]]</f>
        <v>8</v>
      </c>
      <c r="AL314" t="str">
        <f t="shared" si="120"/>
        <v>Support</v>
      </c>
      <c r="AM314">
        <f>survey_responses[[#This Row],[Tôi tin rằng Nhà nước, cơ quan thuế sẽ thực thi chính sách mới một cách khách quan, công tâm và đối xử bình đẳng với mọi người nộp thuế.  - HUMAN-TRU1]]</f>
        <v>7</v>
      </c>
      <c r="AN314" t="str">
        <f t="shared" si="121"/>
        <v>Neutral</v>
      </c>
      <c r="AO314" s="32">
        <f t="shared" si="122"/>
        <v>1</v>
      </c>
      <c r="AP314">
        <f>step3_validation[[#This Row],[AI_TRU2]]</f>
        <v>9</v>
      </c>
      <c r="AQ314" t="str">
        <f t="shared" si="123"/>
        <v>Support</v>
      </c>
      <c r="AR314">
        <f>survey_responses[[#This Row],[Tôi thấy mức thuế tôi phải đóng theo phương án mới là công bằng (người thu nhập như tôi đóng mức này là hợp lý). - HUMAN-TRU2]]</f>
        <v>8</v>
      </c>
      <c r="AS314" t="str">
        <f t="shared" si="124"/>
        <v>Support</v>
      </c>
      <c r="AT314" s="32">
        <f t="shared" si="125"/>
        <v>1</v>
      </c>
      <c r="AU314">
        <f>step3_validation[[#This Row],[AI_TRU3]]</f>
        <v>8</v>
      </c>
      <c r="AV314" t="str">
        <f t="shared" si="126"/>
        <v>Support</v>
      </c>
      <c r="AW314">
        <f>survey_responses[[#This Row],[Tôi tin tưởng số tiền thuế tôi đóng sẽ được Nhà nước sử dụng hiệu quả để cải thiện dịch vụ công (y tế, đường xá...). - HUMAN-TRU3]]</f>
        <v>5</v>
      </c>
      <c r="AX314" t="str">
        <f t="shared" si="127"/>
        <v>Neutral</v>
      </c>
      <c r="AY314" s="32">
        <f t="shared" si="128"/>
        <v>3</v>
      </c>
      <c r="AZ314">
        <f>step3_validation[[#This Row],[AI_TRU4]]</f>
        <v>9</v>
      </c>
      <c r="BA314" t="str">
        <f t="shared" si="129"/>
        <v>Support</v>
      </c>
      <c r="BB314">
        <f>survey_responses[[#This Row],[Tôi thấy Nhà nước đã giải thích rõ ràng, minh bạch về lý do và mục tiêu của việc sửa đổi thuế lần này. - HUMAN-TRU4]]</f>
        <v>5</v>
      </c>
      <c r="BC314" t="str">
        <f t="shared" si="130"/>
        <v>Neutral</v>
      </c>
      <c r="BD314" s="32">
        <f t="shared" si="131"/>
        <v>4</v>
      </c>
      <c r="BE314">
        <f>step3_validation[[#This Row],[AI_OUT1]]</f>
        <v>8</v>
      </c>
      <c r="BF314" t="str">
        <f t="shared" si="132"/>
        <v>Support</v>
      </c>
      <c r="BG314">
        <f>survey_responses[[#This Row],[Sau khi xem xét các quyền lợi và nghĩa vụ, bạn có ủng hộ và tuân thủ chính sách mới hiện nay? - HUMAN-OUT1]]</f>
        <v>8</v>
      </c>
      <c r="BH314" t="str">
        <f t="shared" si="133"/>
        <v>Support</v>
      </c>
      <c r="BI314" s="32">
        <f t="shared" si="134"/>
        <v>0</v>
      </c>
    </row>
    <row r="315" spans="1:61" x14ac:dyDescent="0.45">
      <c r="A315" s="30">
        <f>step3_validation[[#This Row],[Persona_ID]]</f>
        <v>314</v>
      </c>
      <c r="B315" s="31">
        <f>step3_validation[[#This Row],[Used_Seed]]</f>
        <v>314</v>
      </c>
      <c r="C315" t="str">
        <f>step3_validation[[#This Row],[Gender]]</f>
        <v>Nữ</v>
      </c>
      <c r="D315" t="str">
        <f>survey_responses[[#This Row],[Giới tính của bạn:]]</f>
        <v>Nữ</v>
      </c>
      <c r="E315" t="str">
        <f>step3_validation[[#This Row],[Age_Group]]</f>
        <v>18 - 24</v>
      </c>
      <c r="F315" t="str">
        <f>survey_responses[[#This Row],[Độ tuổi của bạn:]]</f>
        <v>18 - 24</v>
      </c>
      <c r="G315" t="str">
        <f>step3_validation[[#This Row],[Region]]</f>
        <v>Thành thị</v>
      </c>
      <c r="H315" t="str">
        <f>survey_responses[[#This Row],[Khu vực bạn đang sinh sống:]]</f>
        <v>Thành thị</v>
      </c>
      <c r="I315" t="str">
        <f>step3_validation[[#This Row],[Education]]</f>
        <v>Đại học</v>
      </c>
      <c r="J315" t="str">
        <f>survey_responses[[#This Row],[Trình độ học vấn cao nhất:]]</f>
        <v>Đại học</v>
      </c>
      <c r="K315" t="str">
        <f>step3_validation[[#This Row],[Employment]]</f>
        <v>Chính thức</v>
      </c>
      <c r="L315" t="str">
        <f>survey_responses[[#This Row],[Tình trạng việc làm chính:]]</f>
        <v>Khu vực chính thức (Có Hợp đồng lao động, đóng BHXH)</v>
      </c>
      <c r="M315">
        <f>step3_validation[[#This Row],[Income_Mil]]</f>
        <v>16.612710869942756</v>
      </c>
      <c r="N315" t="str">
        <f>survey_responses[[#This Row],[Thu nhập bình quân tháng theo Hợp đồng lao động của bạn là bao nhiêu? (Vui lòng điền tổng thu nhập trước khi khấu trừ các loại Bảo hiểm (BHXH, BHYT, BHTN) và Thuế TNCN)]]</f>
        <v>Từ 12 - 18 triệu VNĐ</v>
      </c>
      <c r="O315">
        <f>step3_validation[[#This Row],[Dependents]]</f>
        <v>0</v>
      </c>
      <c r="P315" t="str">
        <f>survey_responses[[#This Row],[Số người phụ thuộc (con nhỏ, cha mẹ già...) đủ điều kiện giảm trừ gia cảnh:]]</f>
        <v>0 người</v>
      </c>
      <c r="Q315">
        <f>step3_validation[[#This Row],[AI_ENF1]]</f>
        <v>8</v>
      </c>
      <c r="R315" t="str">
        <f t="shared" si="108"/>
        <v>Support</v>
      </c>
      <c r="S315">
        <f>survey_responses[[#This Row],[Tôi tin rằng với các quy định quản lý thuế hiện nay, hành vi gian lận hoặc trốn thuế sẽ dễ dàng bị phát hiện và xử lý nghiêm. - HUMAN-ENF1]]</f>
        <v>7</v>
      </c>
      <c r="T315" t="str">
        <f t="shared" si="109"/>
        <v>Neutral</v>
      </c>
      <c r="U315" s="32">
        <f t="shared" si="110"/>
        <v>1</v>
      </c>
      <c r="V315">
        <f>step3_validation[[#This Row],[AI_ENF2]]</f>
        <v>9</v>
      </c>
      <c r="W315" t="str">
        <f t="shared" si="111"/>
        <v>Support</v>
      </c>
      <c r="X315">
        <f>survey_responses[[#This Row],[Tôi tin rằng Nhà nước, cơ quan thuế có đủ khả năng và công nghệ để phát hiện, xử lý nghiêm các hành vi trốn thuế. - HUMAN-ENF2]]</f>
        <v>8</v>
      </c>
      <c r="Y315" t="str">
        <f t="shared" si="112"/>
        <v>Support</v>
      </c>
      <c r="Z315" s="32">
        <f t="shared" si="113"/>
        <v>1</v>
      </c>
      <c r="AA315">
        <f>step3_validation[[#This Row],[AI_FAC1]]</f>
        <v>7</v>
      </c>
      <c r="AB315" t="str">
        <f t="shared" si="114"/>
        <v>Neutral</v>
      </c>
      <c r="AC315">
        <f>survey_responses[[#This Row],[Các thủ tục khai báo thuế VÀ/HOẶC quy trình làm việc với cơ quan thuế đơn giản, tiện lợi, nhanh chóng hơn so với trước đây. - HUMAN-FAC1]]</f>
        <v>8</v>
      </c>
      <c r="AD315" t="str">
        <f t="shared" si="115"/>
        <v>Support</v>
      </c>
      <c r="AE315" s="32">
        <f t="shared" si="116"/>
        <v>1</v>
      </c>
      <c r="AF315">
        <f>step3_validation[[#This Row],[AI_FAC2]]</f>
        <v>9</v>
      </c>
      <c r="AG315" t="str">
        <f t="shared" si="117"/>
        <v>Support</v>
      </c>
      <c r="AH315">
        <f>survey_responses[[#This Row],[So với trước đây, tôi thấy cách tính thuế và các bậc thuế trong phương án mới đơn giản, dễ hiểu và dễ thực hiện hơn. - HUMAN-FAC2]]</f>
        <v>8</v>
      </c>
      <c r="AI315" t="str">
        <f t="shared" si="118"/>
        <v>Support</v>
      </c>
      <c r="AJ315" s="32">
        <f t="shared" si="119"/>
        <v>1</v>
      </c>
      <c r="AK315">
        <f>step3_validation[[#This Row],[AI_TRU1]]</f>
        <v>8</v>
      </c>
      <c r="AL315" t="str">
        <f t="shared" si="120"/>
        <v>Support</v>
      </c>
      <c r="AM315">
        <f>survey_responses[[#This Row],[Tôi tin rằng Nhà nước, cơ quan thuế sẽ thực thi chính sách mới một cách khách quan, công tâm và đối xử bình đẳng với mọi người nộp thuế.  - HUMAN-TRU1]]</f>
        <v>5</v>
      </c>
      <c r="AN315" t="str">
        <f t="shared" si="121"/>
        <v>Neutral</v>
      </c>
      <c r="AO315" s="32">
        <f t="shared" si="122"/>
        <v>3</v>
      </c>
      <c r="AP315">
        <f>step3_validation[[#This Row],[AI_TRU2]]</f>
        <v>9</v>
      </c>
      <c r="AQ315" t="str">
        <f t="shared" si="123"/>
        <v>Support</v>
      </c>
      <c r="AR315">
        <f>survey_responses[[#This Row],[Tôi thấy mức thuế tôi phải đóng theo phương án mới là công bằng (người thu nhập như tôi đóng mức này là hợp lý). - HUMAN-TRU2]]</f>
        <v>8</v>
      </c>
      <c r="AS315" t="str">
        <f t="shared" si="124"/>
        <v>Support</v>
      </c>
      <c r="AT315" s="32">
        <f t="shared" si="125"/>
        <v>1</v>
      </c>
      <c r="AU315">
        <f>step3_validation[[#This Row],[AI_TRU3]]</f>
        <v>7</v>
      </c>
      <c r="AV315" t="str">
        <f t="shared" si="126"/>
        <v>Neutral</v>
      </c>
      <c r="AW315">
        <f>survey_responses[[#This Row],[Tôi tin tưởng số tiền thuế tôi đóng sẽ được Nhà nước sử dụng hiệu quả để cải thiện dịch vụ công (y tế, đường xá...). - HUMAN-TRU3]]</f>
        <v>6</v>
      </c>
      <c r="AX315" t="str">
        <f t="shared" si="127"/>
        <v>Neutral</v>
      </c>
      <c r="AY315" s="32">
        <f t="shared" si="128"/>
        <v>1</v>
      </c>
      <c r="AZ315">
        <f>step3_validation[[#This Row],[AI_TRU4]]</f>
        <v>8</v>
      </c>
      <c r="BA315" t="str">
        <f t="shared" si="129"/>
        <v>Support</v>
      </c>
      <c r="BB315">
        <f>survey_responses[[#This Row],[Tôi thấy Nhà nước đã giải thích rõ ràng, minh bạch về lý do và mục tiêu của việc sửa đổi thuế lần này. - HUMAN-TRU4]]</f>
        <v>6</v>
      </c>
      <c r="BC315" t="str">
        <f t="shared" si="130"/>
        <v>Neutral</v>
      </c>
      <c r="BD315" s="32">
        <f t="shared" si="131"/>
        <v>2</v>
      </c>
      <c r="BE315">
        <f>step3_validation[[#This Row],[AI_OUT1]]</f>
        <v>9</v>
      </c>
      <c r="BF315" t="str">
        <f t="shared" si="132"/>
        <v>Support</v>
      </c>
      <c r="BG315">
        <f>survey_responses[[#This Row],[Sau khi xem xét các quyền lợi và nghĩa vụ, bạn có ủng hộ và tuân thủ chính sách mới hiện nay? - HUMAN-OUT1]]</f>
        <v>8</v>
      </c>
      <c r="BH315" t="str">
        <f t="shared" si="133"/>
        <v>Support</v>
      </c>
      <c r="BI315" s="32">
        <f t="shared" si="134"/>
        <v>1</v>
      </c>
    </row>
    <row r="316" spans="1:61" x14ac:dyDescent="0.45">
      <c r="A316" s="30">
        <f>step3_validation[[#This Row],[Persona_ID]]</f>
        <v>315</v>
      </c>
      <c r="B316" s="31">
        <f>step3_validation[[#This Row],[Used_Seed]]</f>
        <v>315</v>
      </c>
      <c r="C316" t="str">
        <f>step3_validation[[#This Row],[Gender]]</f>
        <v>Nam</v>
      </c>
      <c r="D316" t="str">
        <f>survey_responses[[#This Row],[Giới tính của bạn:]]</f>
        <v>Nam</v>
      </c>
      <c r="E316" t="str">
        <f>step3_validation[[#This Row],[Age_Group]]</f>
        <v>18 - 24</v>
      </c>
      <c r="F316" t="str">
        <f>survey_responses[[#This Row],[Độ tuổi của bạn:]]</f>
        <v>18 - 24</v>
      </c>
      <c r="G316" t="str">
        <f>step3_validation[[#This Row],[Region]]</f>
        <v>Thành thị</v>
      </c>
      <c r="H316" t="str">
        <f>survey_responses[[#This Row],[Khu vực bạn đang sinh sống:]]</f>
        <v>Thành thị</v>
      </c>
      <c r="I316" t="str">
        <f>step3_validation[[#This Row],[Education]]</f>
        <v>Đại học</v>
      </c>
      <c r="J316" t="str">
        <f>survey_responses[[#This Row],[Trình độ học vấn cao nhất:]]</f>
        <v>Đại học</v>
      </c>
      <c r="K316" t="str">
        <f>step3_validation[[#This Row],[Employment]]</f>
        <v>Chính thức</v>
      </c>
      <c r="L316" t="str">
        <f>survey_responses[[#This Row],[Tình trạng việc làm chính:]]</f>
        <v>Khu vực chính thức (Có Hợp đồng lao động, đóng BHXH)</v>
      </c>
      <c r="M316">
        <f>step3_validation[[#This Row],[Income_Mil]]</f>
        <v>21.141950445844426</v>
      </c>
      <c r="N316" t="str">
        <f>survey_responses[[#This Row],[Thu nhập bình quân tháng theo Hợp đồng lao động của bạn là bao nhiêu? (Vui lòng điền tổng thu nhập trước khi khấu trừ các loại Bảo hiểm (BHXH, BHYT, BHTN) và Thuế TNCN)]]</f>
        <v>Từ 18 - 23 triệu VNĐ</v>
      </c>
      <c r="O316">
        <f>step3_validation[[#This Row],[Dependents]]</f>
        <v>0</v>
      </c>
      <c r="P316" t="str">
        <f>survey_responses[[#This Row],[Số người phụ thuộc (con nhỏ, cha mẹ già...) đủ điều kiện giảm trừ gia cảnh:]]</f>
        <v>0 người</v>
      </c>
      <c r="Q316">
        <f>step3_validation[[#This Row],[AI_ENF1]]</f>
        <v>7</v>
      </c>
      <c r="R316" t="str">
        <f t="shared" si="108"/>
        <v>Neutral</v>
      </c>
      <c r="S316">
        <f>survey_responses[[#This Row],[Tôi tin rằng với các quy định quản lý thuế hiện nay, hành vi gian lận hoặc trốn thuế sẽ dễ dàng bị phát hiện và xử lý nghiêm. - HUMAN-ENF1]]</f>
        <v>4</v>
      </c>
      <c r="T316" t="str">
        <f t="shared" si="109"/>
        <v>Oppose</v>
      </c>
      <c r="U316" s="32">
        <f t="shared" si="110"/>
        <v>3</v>
      </c>
      <c r="V316">
        <f>step3_validation[[#This Row],[AI_ENF2]]</f>
        <v>6</v>
      </c>
      <c r="W316" t="str">
        <f t="shared" si="111"/>
        <v>Neutral</v>
      </c>
      <c r="X316">
        <f>survey_responses[[#This Row],[Tôi tin rằng Nhà nước, cơ quan thuế có đủ khả năng và công nghệ để phát hiện, xử lý nghiêm các hành vi trốn thuế. - HUMAN-ENF2]]</f>
        <v>5</v>
      </c>
      <c r="Y316" t="str">
        <f t="shared" si="112"/>
        <v>Neutral</v>
      </c>
      <c r="Z316" s="32">
        <f t="shared" si="113"/>
        <v>1</v>
      </c>
      <c r="AA316">
        <f>step3_validation[[#This Row],[AI_FAC1]]</f>
        <v>9</v>
      </c>
      <c r="AB316" t="str">
        <f t="shared" si="114"/>
        <v>Support</v>
      </c>
      <c r="AC316">
        <f>survey_responses[[#This Row],[Các thủ tục khai báo thuế VÀ/HOẶC quy trình làm việc với cơ quan thuế đơn giản, tiện lợi, nhanh chóng hơn so với trước đây. - HUMAN-FAC1]]</f>
        <v>5</v>
      </c>
      <c r="AD316" t="str">
        <f t="shared" si="115"/>
        <v>Neutral</v>
      </c>
      <c r="AE316" s="32">
        <f t="shared" si="116"/>
        <v>4</v>
      </c>
      <c r="AF316">
        <f>step3_validation[[#This Row],[AI_FAC2]]</f>
        <v>8</v>
      </c>
      <c r="AG316" t="str">
        <f t="shared" si="117"/>
        <v>Support</v>
      </c>
      <c r="AH316">
        <f>survey_responses[[#This Row],[So với trước đây, tôi thấy cách tính thuế và các bậc thuế trong phương án mới đơn giản, dễ hiểu và dễ thực hiện hơn. - HUMAN-FAC2]]</f>
        <v>7</v>
      </c>
      <c r="AI316" t="str">
        <f t="shared" si="118"/>
        <v>Neutral</v>
      </c>
      <c r="AJ316" s="32">
        <f t="shared" si="119"/>
        <v>1</v>
      </c>
      <c r="AK316">
        <f>step3_validation[[#This Row],[AI_TRU1]]</f>
        <v>7</v>
      </c>
      <c r="AL316" t="str">
        <f t="shared" si="120"/>
        <v>Neutral</v>
      </c>
      <c r="AM316">
        <f>survey_responses[[#This Row],[Tôi tin rằng Nhà nước, cơ quan thuế sẽ thực thi chính sách mới một cách khách quan, công tâm và đối xử bình đẳng với mọi người nộp thuế.  - HUMAN-TRU1]]</f>
        <v>5</v>
      </c>
      <c r="AN316" t="str">
        <f t="shared" si="121"/>
        <v>Neutral</v>
      </c>
      <c r="AO316" s="32">
        <f t="shared" si="122"/>
        <v>2</v>
      </c>
      <c r="AP316">
        <f>step3_validation[[#This Row],[AI_TRU2]]</f>
        <v>8</v>
      </c>
      <c r="AQ316" t="str">
        <f t="shared" si="123"/>
        <v>Support</v>
      </c>
      <c r="AR316">
        <f>survey_responses[[#This Row],[Tôi thấy mức thuế tôi phải đóng theo phương án mới là công bằng (người thu nhập như tôi đóng mức này là hợp lý). - HUMAN-TRU2]]</f>
        <v>8</v>
      </c>
      <c r="AS316" t="str">
        <f t="shared" si="124"/>
        <v>Support</v>
      </c>
      <c r="AT316" s="32">
        <f t="shared" si="125"/>
        <v>0</v>
      </c>
      <c r="AU316">
        <f>step3_validation[[#This Row],[AI_TRU3]]</f>
        <v>7</v>
      </c>
      <c r="AV316" t="str">
        <f t="shared" si="126"/>
        <v>Neutral</v>
      </c>
      <c r="AW316">
        <f>survey_responses[[#This Row],[Tôi tin tưởng số tiền thuế tôi đóng sẽ được Nhà nước sử dụng hiệu quả để cải thiện dịch vụ công (y tế, đường xá...). - HUMAN-TRU3]]</f>
        <v>5</v>
      </c>
      <c r="AX316" t="str">
        <f t="shared" si="127"/>
        <v>Neutral</v>
      </c>
      <c r="AY316" s="32">
        <f t="shared" si="128"/>
        <v>2</v>
      </c>
      <c r="AZ316">
        <f>step3_validation[[#This Row],[AI_TRU4]]</f>
        <v>8</v>
      </c>
      <c r="BA316" t="str">
        <f t="shared" si="129"/>
        <v>Support</v>
      </c>
      <c r="BB316">
        <f>survey_responses[[#This Row],[Tôi thấy Nhà nước đã giải thích rõ ràng, minh bạch về lý do và mục tiêu của việc sửa đổi thuế lần này. - HUMAN-TRU4]]</f>
        <v>6</v>
      </c>
      <c r="BC316" t="str">
        <f t="shared" si="130"/>
        <v>Neutral</v>
      </c>
      <c r="BD316" s="32">
        <f t="shared" si="131"/>
        <v>2</v>
      </c>
      <c r="BE316">
        <f>step3_validation[[#This Row],[AI_OUT1]]</f>
        <v>9</v>
      </c>
      <c r="BF316" t="str">
        <f t="shared" si="132"/>
        <v>Support</v>
      </c>
      <c r="BG316">
        <f>survey_responses[[#This Row],[Sau khi xem xét các quyền lợi và nghĩa vụ, bạn có ủng hộ và tuân thủ chính sách mới hiện nay? - HUMAN-OUT1]]</f>
        <v>8</v>
      </c>
      <c r="BH316" t="str">
        <f t="shared" si="133"/>
        <v>Support</v>
      </c>
      <c r="BI316" s="32">
        <f t="shared" si="134"/>
        <v>1</v>
      </c>
    </row>
    <row r="317" spans="1:61" x14ac:dyDescent="0.45">
      <c r="A317" s="30">
        <f>step3_validation[[#This Row],[Persona_ID]]</f>
        <v>316</v>
      </c>
      <c r="B317" s="31">
        <f>step3_validation[[#This Row],[Used_Seed]]</f>
        <v>316</v>
      </c>
      <c r="C317" t="str">
        <f>step3_validation[[#This Row],[Gender]]</f>
        <v>Nữ</v>
      </c>
      <c r="D317" t="str">
        <f>survey_responses[[#This Row],[Giới tính của bạn:]]</f>
        <v>Nữ</v>
      </c>
      <c r="E317" t="str">
        <f>step3_validation[[#This Row],[Age_Group]]</f>
        <v>25 - 29</v>
      </c>
      <c r="F317" t="str">
        <f>survey_responses[[#This Row],[Độ tuổi của bạn:]]</f>
        <v>25 - 29</v>
      </c>
      <c r="G317" t="str">
        <f>step3_validation[[#This Row],[Region]]</f>
        <v>Thành thị</v>
      </c>
      <c r="H317" t="str">
        <f>survey_responses[[#This Row],[Khu vực bạn đang sinh sống:]]</f>
        <v>Thành thị</v>
      </c>
      <c r="I317" t="str">
        <f>step3_validation[[#This Row],[Education]]</f>
        <v>Đại học</v>
      </c>
      <c r="J317" t="str">
        <f>survey_responses[[#This Row],[Trình độ học vấn cao nhất:]]</f>
        <v>Đại học</v>
      </c>
      <c r="K317" t="str">
        <f>step3_validation[[#This Row],[Employment]]</f>
        <v>Chính thức</v>
      </c>
      <c r="L317" t="str">
        <f>survey_responses[[#This Row],[Tình trạng việc làm chính:]]</f>
        <v>Khu vực chính thức (Có Hợp đồng lao động, đóng BHXH)</v>
      </c>
      <c r="M317">
        <f>step3_validation[[#This Row],[Income_Mil]]</f>
        <v>30.972212370503371</v>
      </c>
      <c r="N317" t="str">
        <f>survey_responses[[#This Row],[Thu nhập bình quân tháng theo Hợp đồng lao động của bạn là bao nhiêu? (Vui lòng điền tổng thu nhập trước khi khấu trừ các loại Bảo hiểm (BHXH, BHYT, BHTN) và Thuế TNCN)]]</f>
        <v>Từ 23 - 32 triệu VNĐ</v>
      </c>
      <c r="O317">
        <f>step3_validation[[#This Row],[Dependents]]</f>
        <v>0</v>
      </c>
      <c r="P317" t="str">
        <f>survey_responses[[#This Row],[Số người phụ thuộc (con nhỏ, cha mẹ già...) đủ điều kiện giảm trừ gia cảnh:]]</f>
        <v>0 người</v>
      </c>
      <c r="Q317">
        <f>step3_validation[[#This Row],[AI_ENF1]]</f>
        <v>6</v>
      </c>
      <c r="R317" t="str">
        <f t="shared" si="108"/>
        <v>Neutral</v>
      </c>
      <c r="S317">
        <f>survey_responses[[#This Row],[Tôi tin rằng với các quy định quản lý thuế hiện nay, hành vi gian lận hoặc trốn thuế sẽ dễ dàng bị phát hiện và xử lý nghiêm. - HUMAN-ENF1]]</f>
        <v>6</v>
      </c>
      <c r="T317" t="str">
        <f t="shared" si="109"/>
        <v>Neutral</v>
      </c>
      <c r="U317" s="32">
        <f t="shared" si="110"/>
        <v>0</v>
      </c>
      <c r="V317">
        <f>step3_validation[[#This Row],[AI_ENF2]]</f>
        <v>7</v>
      </c>
      <c r="W317" t="str">
        <f t="shared" si="111"/>
        <v>Neutral</v>
      </c>
      <c r="X317">
        <f>survey_responses[[#This Row],[Tôi tin rằng Nhà nước, cơ quan thuế có đủ khả năng và công nghệ để phát hiện, xử lý nghiêm các hành vi trốn thuế. - HUMAN-ENF2]]</f>
        <v>8</v>
      </c>
      <c r="Y317" t="str">
        <f t="shared" si="112"/>
        <v>Support</v>
      </c>
      <c r="Z317" s="32">
        <f t="shared" si="113"/>
        <v>1</v>
      </c>
      <c r="AA317">
        <f>step3_validation[[#This Row],[AI_FAC1]]</f>
        <v>8</v>
      </c>
      <c r="AB317" t="str">
        <f t="shared" si="114"/>
        <v>Support</v>
      </c>
      <c r="AC317">
        <f>survey_responses[[#This Row],[Các thủ tục khai báo thuế VÀ/HOẶC quy trình làm việc với cơ quan thuế đơn giản, tiện lợi, nhanh chóng hơn so với trước đây. - HUMAN-FAC1]]</f>
        <v>5</v>
      </c>
      <c r="AD317" t="str">
        <f t="shared" si="115"/>
        <v>Neutral</v>
      </c>
      <c r="AE317" s="32">
        <f t="shared" si="116"/>
        <v>3</v>
      </c>
      <c r="AF317">
        <f>step3_validation[[#This Row],[AI_FAC2]]</f>
        <v>9</v>
      </c>
      <c r="AG317" t="str">
        <f t="shared" si="117"/>
        <v>Support</v>
      </c>
      <c r="AH317">
        <f>survey_responses[[#This Row],[So với trước đây, tôi thấy cách tính thuế và các bậc thuế trong phương án mới đơn giản, dễ hiểu và dễ thực hiện hơn. - HUMAN-FAC2]]</f>
        <v>6</v>
      </c>
      <c r="AI317" t="str">
        <f t="shared" si="118"/>
        <v>Neutral</v>
      </c>
      <c r="AJ317" s="32">
        <f t="shared" si="119"/>
        <v>3</v>
      </c>
      <c r="AK317">
        <f>step3_validation[[#This Row],[AI_TRU1]]</f>
        <v>7</v>
      </c>
      <c r="AL317" t="str">
        <f t="shared" si="120"/>
        <v>Neutral</v>
      </c>
      <c r="AM317">
        <f>survey_responses[[#This Row],[Tôi tin rằng Nhà nước, cơ quan thuế sẽ thực thi chính sách mới một cách khách quan, công tâm và đối xử bình đẳng với mọi người nộp thuế.  - HUMAN-TRU1]]</f>
        <v>6</v>
      </c>
      <c r="AN317" t="str">
        <f t="shared" si="121"/>
        <v>Neutral</v>
      </c>
      <c r="AO317" s="32">
        <f t="shared" si="122"/>
        <v>1</v>
      </c>
      <c r="AP317">
        <f>step3_validation[[#This Row],[AI_TRU2]]</f>
        <v>9</v>
      </c>
      <c r="AQ317" t="str">
        <f t="shared" si="123"/>
        <v>Support</v>
      </c>
      <c r="AR317">
        <f>survey_responses[[#This Row],[Tôi thấy mức thuế tôi phải đóng theo phương án mới là công bằng (người thu nhập như tôi đóng mức này là hợp lý). - HUMAN-TRU2]]</f>
        <v>7</v>
      </c>
      <c r="AS317" t="str">
        <f t="shared" si="124"/>
        <v>Neutral</v>
      </c>
      <c r="AT317" s="32">
        <f t="shared" si="125"/>
        <v>2</v>
      </c>
      <c r="AU317">
        <f>step3_validation[[#This Row],[AI_TRU3]]</f>
        <v>7</v>
      </c>
      <c r="AV317" t="str">
        <f t="shared" si="126"/>
        <v>Neutral</v>
      </c>
      <c r="AW317">
        <f>survey_responses[[#This Row],[Tôi tin tưởng số tiền thuế tôi đóng sẽ được Nhà nước sử dụng hiệu quả để cải thiện dịch vụ công (y tế, đường xá...). - HUMAN-TRU3]]</f>
        <v>6</v>
      </c>
      <c r="AX317" t="str">
        <f t="shared" si="127"/>
        <v>Neutral</v>
      </c>
      <c r="AY317" s="32">
        <f t="shared" si="128"/>
        <v>1</v>
      </c>
      <c r="AZ317">
        <f>step3_validation[[#This Row],[AI_TRU4]]</f>
        <v>8</v>
      </c>
      <c r="BA317" t="str">
        <f t="shared" si="129"/>
        <v>Support</v>
      </c>
      <c r="BB317">
        <f>survey_responses[[#This Row],[Tôi thấy Nhà nước đã giải thích rõ ràng, minh bạch về lý do và mục tiêu của việc sửa đổi thuế lần này. - HUMAN-TRU4]]</f>
        <v>7</v>
      </c>
      <c r="BC317" t="str">
        <f t="shared" si="130"/>
        <v>Neutral</v>
      </c>
      <c r="BD317" s="32">
        <f t="shared" si="131"/>
        <v>1</v>
      </c>
      <c r="BE317">
        <f>step3_validation[[#This Row],[AI_OUT1]]</f>
        <v>9</v>
      </c>
      <c r="BF317" t="str">
        <f t="shared" si="132"/>
        <v>Support</v>
      </c>
      <c r="BG317">
        <f>survey_responses[[#This Row],[Sau khi xem xét các quyền lợi và nghĩa vụ, bạn có ủng hộ và tuân thủ chính sách mới hiện nay? - HUMAN-OUT1]]</f>
        <v>7</v>
      </c>
      <c r="BH317" t="str">
        <f t="shared" si="133"/>
        <v>Neutral</v>
      </c>
      <c r="BI317" s="32">
        <f t="shared" si="134"/>
        <v>2</v>
      </c>
    </row>
    <row r="318" spans="1:61" x14ac:dyDescent="0.45">
      <c r="A318" s="30">
        <f>step3_validation[[#This Row],[Persona_ID]]</f>
        <v>317</v>
      </c>
      <c r="B318" s="31">
        <f>step3_validation[[#This Row],[Used_Seed]]</f>
        <v>317</v>
      </c>
      <c r="C318" t="str">
        <f>step3_validation[[#This Row],[Gender]]</f>
        <v>Nữ</v>
      </c>
      <c r="D318" t="str">
        <f>survey_responses[[#This Row],[Giới tính của bạn:]]</f>
        <v>Nữ</v>
      </c>
      <c r="E318" t="str">
        <f>step3_validation[[#This Row],[Age_Group]]</f>
        <v>18 - 24</v>
      </c>
      <c r="F318" t="str">
        <f>survey_responses[[#This Row],[Độ tuổi của bạn:]]</f>
        <v>18 - 24</v>
      </c>
      <c r="G318" t="str">
        <f>step3_validation[[#This Row],[Region]]</f>
        <v>Thành thị</v>
      </c>
      <c r="H318" t="str">
        <f>survey_responses[[#This Row],[Khu vực bạn đang sinh sống:]]</f>
        <v>Thành thị</v>
      </c>
      <c r="I318" t="str">
        <f>step3_validation[[#This Row],[Education]]</f>
        <v>Đại học</v>
      </c>
      <c r="J318" t="str">
        <f>survey_responses[[#This Row],[Trình độ học vấn cao nhất:]]</f>
        <v>Đại học</v>
      </c>
      <c r="K318" t="str">
        <f>step3_validation[[#This Row],[Employment]]</f>
        <v>Chính thức</v>
      </c>
      <c r="L318" t="str">
        <f>survey_responses[[#This Row],[Tình trạng việc làm chính:]]</f>
        <v>Khu vực chính thức (Có Hợp đồng lao động, đóng BHXH)</v>
      </c>
      <c r="M318">
        <f>step3_validation[[#This Row],[Income_Mil]]</f>
        <v>16.671452398413898</v>
      </c>
      <c r="N318" t="str">
        <f>survey_responses[[#This Row],[Thu nhập bình quân tháng theo Hợp đồng lao động của bạn là bao nhiêu? (Vui lòng điền tổng thu nhập trước khi khấu trừ các loại Bảo hiểm (BHXH, BHYT, BHTN) và Thuế TNCN)]]</f>
        <v>Từ 12 - 18 triệu VNĐ</v>
      </c>
      <c r="O318">
        <f>step3_validation[[#This Row],[Dependents]]</f>
        <v>0</v>
      </c>
      <c r="P318" t="str">
        <f>survey_responses[[#This Row],[Số người phụ thuộc (con nhỏ, cha mẹ già...) đủ điều kiện giảm trừ gia cảnh:]]</f>
        <v>0 người</v>
      </c>
      <c r="Q318">
        <f>step3_validation[[#This Row],[AI_ENF1]]</f>
        <v>7</v>
      </c>
      <c r="R318" t="str">
        <f t="shared" si="108"/>
        <v>Neutral</v>
      </c>
      <c r="S318">
        <f>survey_responses[[#This Row],[Tôi tin rằng với các quy định quản lý thuế hiện nay, hành vi gian lận hoặc trốn thuế sẽ dễ dàng bị phát hiện và xử lý nghiêm. - HUMAN-ENF1]]</f>
        <v>7</v>
      </c>
      <c r="T318" t="str">
        <f t="shared" si="109"/>
        <v>Neutral</v>
      </c>
      <c r="U318" s="32">
        <f t="shared" si="110"/>
        <v>0</v>
      </c>
      <c r="V318">
        <f>step3_validation[[#This Row],[AI_ENF2]]</f>
        <v>8</v>
      </c>
      <c r="W318" t="str">
        <f t="shared" si="111"/>
        <v>Support</v>
      </c>
      <c r="X318">
        <f>survey_responses[[#This Row],[Tôi tin rằng Nhà nước, cơ quan thuế có đủ khả năng và công nghệ để phát hiện, xử lý nghiêm các hành vi trốn thuế. - HUMAN-ENF2]]</f>
        <v>7</v>
      </c>
      <c r="Y318" t="str">
        <f t="shared" si="112"/>
        <v>Neutral</v>
      </c>
      <c r="Z318" s="32">
        <f t="shared" si="113"/>
        <v>1</v>
      </c>
      <c r="AA318">
        <f>step3_validation[[#This Row],[AI_FAC1]]</f>
        <v>9</v>
      </c>
      <c r="AB318" t="str">
        <f t="shared" si="114"/>
        <v>Support</v>
      </c>
      <c r="AC318">
        <f>survey_responses[[#This Row],[Các thủ tục khai báo thuế VÀ/HOẶC quy trình làm việc với cơ quan thuế đơn giản, tiện lợi, nhanh chóng hơn so với trước đây. - HUMAN-FAC1]]</f>
        <v>5</v>
      </c>
      <c r="AD318" t="str">
        <f t="shared" si="115"/>
        <v>Neutral</v>
      </c>
      <c r="AE318" s="32">
        <f t="shared" si="116"/>
        <v>4</v>
      </c>
      <c r="AF318">
        <f>step3_validation[[#This Row],[AI_FAC2]]</f>
        <v>8</v>
      </c>
      <c r="AG318" t="str">
        <f t="shared" si="117"/>
        <v>Support</v>
      </c>
      <c r="AH318">
        <f>survey_responses[[#This Row],[So với trước đây, tôi thấy cách tính thuế và các bậc thuế trong phương án mới đơn giản, dễ hiểu và dễ thực hiện hơn. - HUMAN-FAC2]]</f>
        <v>8</v>
      </c>
      <c r="AI318" t="str">
        <f t="shared" si="118"/>
        <v>Support</v>
      </c>
      <c r="AJ318" s="32">
        <f t="shared" si="119"/>
        <v>0</v>
      </c>
      <c r="AK318">
        <f>step3_validation[[#This Row],[AI_TRU1]]</f>
        <v>6</v>
      </c>
      <c r="AL318" t="str">
        <f t="shared" si="120"/>
        <v>Neutral</v>
      </c>
      <c r="AM318">
        <f>survey_responses[[#This Row],[Tôi tin rằng Nhà nước, cơ quan thuế sẽ thực thi chính sách mới một cách khách quan, công tâm và đối xử bình đẳng với mọi người nộp thuế.  - HUMAN-TRU1]]</f>
        <v>5</v>
      </c>
      <c r="AN318" t="str">
        <f t="shared" si="121"/>
        <v>Neutral</v>
      </c>
      <c r="AO318" s="32">
        <f t="shared" si="122"/>
        <v>1</v>
      </c>
      <c r="AP318">
        <f>step3_validation[[#This Row],[AI_TRU2]]</f>
        <v>9</v>
      </c>
      <c r="AQ318" t="str">
        <f t="shared" si="123"/>
        <v>Support</v>
      </c>
      <c r="AR318">
        <f>survey_responses[[#This Row],[Tôi thấy mức thuế tôi phải đóng theo phương án mới là công bằng (người thu nhập như tôi đóng mức này là hợp lý). - HUMAN-TRU2]]</f>
        <v>8</v>
      </c>
      <c r="AS318" t="str">
        <f t="shared" si="124"/>
        <v>Support</v>
      </c>
      <c r="AT318" s="32">
        <f t="shared" si="125"/>
        <v>1</v>
      </c>
      <c r="AU318">
        <f>step3_validation[[#This Row],[AI_TRU3]]</f>
        <v>7</v>
      </c>
      <c r="AV318" t="str">
        <f t="shared" si="126"/>
        <v>Neutral</v>
      </c>
      <c r="AW318">
        <f>survey_responses[[#This Row],[Tôi tin tưởng số tiền thuế tôi đóng sẽ được Nhà nước sử dụng hiệu quả để cải thiện dịch vụ công (y tế, đường xá...). - HUMAN-TRU3]]</f>
        <v>5</v>
      </c>
      <c r="AX318" t="str">
        <f t="shared" si="127"/>
        <v>Neutral</v>
      </c>
      <c r="AY318" s="32">
        <f t="shared" si="128"/>
        <v>2</v>
      </c>
      <c r="AZ318">
        <f>step3_validation[[#This Row],[AI_TRU4]]</f>
        <v>8</v>
      </c>
      <c r="BA318" t="str">
        <f t="shared" si="129"/>
        <v>Support</v>
      </c>
      <c r="BB318">
        <f>survey_responses[[#This Row],[Tôi thấy Nhà nước đã giải thích rõ ràng, minh bạch về lý do và mục tiêu của việc sửa đổi thuế lần này. - HUMAN-TRU4]]</f>
        <v>7</v>
      </c>
      <c r="BC318" t="str">
        <f t="shared" si="130"/>
        <v>Neutral</v>
      </c>
      <c r="BD318" s="32">
        <f t="shared" si="131"/>
        <v>1</v>
      </c>
      <c r="BE318">
        <f>step3_validation[[#This Row],[AI_OUT1]]</f>
        <v>9</v>
      </c>
      <c r="BF318" t="str">
        <f t="shared" si="132"/>
        <v>Support</v>
      </c>
      <c r="BG318">
        <f>survey_responses[[#This Row],[Sau khi xem xét các quyền lợi và nghĩa vụ, bạn có ủng hộ và tuân thủ chính sách mới hiện nay? - HUMAN-OUT1]]</f>
        <v>8</v>
      </c>
      <c r="BH318" t="str">
        <f t="shared" si="133"/>
        <v>Support</v>
      </c>
      <c r="BI318" s="32">
        <f t="shared" si="134"/>
        <v>1</v>
      </c>
    </row>
    <row r="319" spans="1:61" x14ac:dyDescent="0.45">
      <c r="A319" s="30">
        <f>step3_validation[[#This Row],[Persona_ID]]</f>
        <v>318</v>
      </c>
      <c r="B319" s="31">
        <f>step3_validation[[#This Row],[Used_Seed]]</f>
        <v>318</v>
      </c>
      <c r="C319" t="str">
        <f>step3_validation[[#This Row],[Gender]]</f>
        <v>Nữ</v>
      </c>
      <c r="D319" t="str">
        <f>survey_responses[[#This Row],[Giới tính của bạn:]]</f>
        <v>Nữ</v>
      </c>
      <c r="E319" t="str">
        <f>step3_validation[[#This Row],[Age_Group]]</f>
        <v>25 - 29</v>
      </c>
      <c r="F319" t="str">
        <f>survey_responses[[#This Row],[Độ tuổi của bạn:]]</f>
        <v>25 - 29</v>
      </c>
      <c r="G319" t="str">
        <f>step3_validation[[#This Row],[Region]]</f>
        <v>Thành thị</v>
      </c>
      <c r="H319" t="str">
        <f>survey_responses[[#This Row],[Khu vực bạn đang sinh sống:]]</f>
        <v>Thành thị</v>
      </c>
      <c r="I319" t="str">
        <f>step3_validation[[#This Row],[Education]]</f>
        <v>Sau Đại học</v>
      </c>
      <c r="J319" t="str">
        <f>survey_responses[[#This Row],[Trình độ học vấn cao nhất:]]</f>
        <v>Sau Đại học</v>
      </c>
      <c r="K319" t="str">
        <f>step3_validation[[#This Row],[Employment]]</f>
        <v>Chính thức</v>
      </c>
      <c r="L319" t="str">
        <f>survey_responses[[#This Row],[Tình trạng việc làm chính:]]</f>
        <v>Khu vực chính thức (Có Hợp đồng lao động, đóng BHXH)</v>
      </c>
      <c r="M319">
        <f>step3_validation[[#This Row],[Income_Mil]]</f>
        <v>21.835617624332528</v>
      </c>
      <c r="N319" t="str">
        <f>survey_responses[[#This Row],[Thu nhập bình quân tháng theo Hợp đồng lao động của bạn là bao nhiêu? (Vui lòng điền tổng thu nhập trước khi khấu trừ các loại Bảo hiểm (BHXH, BHYT, BHTN) và Thuế TNCN)]]</f>
        <v>Từ 18 - 23 triệu VNĐ</v>
      </c>
      <c r="O319">
        <f>step3_validation[[#This Row],[Dependents]]</f>
        <v>0</v>
      </c>
      <c r="P319" t="str">
        <f>survey_responses[[#This Row],[Số người phụ thuộc (con nhỏ, cha mẹ già...) đủ điều kiện giảm trừ gia cảnh:]]</f>
        <v>0 người</v>
      </c>
      <c r="Q319">
        <f>step3_validation[[#This Row],[AI_ENF1]]</f>
        <v>9</v>
      </c>
      <c r="R319" t="str">
        <f t="shared" si="108"/>
        <v>Support</v>
      </c>
      <c r="S319">
        <f>survey_responses[[#This Row],[Tôi tin rằng với các quy định quản lý thuế hiện nay, hành vi gian lận hoặc trốn thuế sẽ dễ dàng bị phát hiện và xử lý nghiêm. - HUMAN-ENF1]]</f>
        <v>4</v>
      </c>
      <c r="T319" t="str">
        <f t="shared" si="109"/>
        <v>Oppose</v>
      </c>
      <c r="U319" s="32">
        <f t="shared" si="110"/>
        <v>5</v>
      </c>
      <c r="V319">
        <f>step3_validation[[#This Row],[AI_ENF2]]</f>
        <v>8</v>
      </c>
      <c r="W319" t="str">
        <f t="shared" si="111"/>
        <v>Support</v>
      </c>
      <c r="X319">
        <f>survey_responses[[#This Row],[Tôi tin rằng Nhà nước, cơ quan thuế có đủ khả năng và công nghệ để phát hiện, xử lý nghiêm các hành vi trốn thuế. - HUMAN-ENF2]]</f>
        <v>4</v>
      </c>
      <c r="Y319" t="str">
        <f t="shared" si="112"/>
        <v>Oppose</v>
      </c>
      <c r="Z319" s="32">
        <f t="shared" si="113"/>
        <v>4</v>
      </c>
      <c r="AA319">
        <f>step3_validation[[#This Row],[AI_FAC1]]</f>
        <v>8</v>
      </c>
      <c r="AB319" t="str">
        <f t="shared" si="114"/>
        <v>Support</v>
      </c>
      <c r="AC319">
        <f>survey_responses[[#This Row],[Các thủ tục khai báo thuế VÀ/HOẶC quy trình làm việc với cơ quan thuế đơn giản, tiện lợi, nhanh chóng hơn so với trước đây. - HUMAN-FAC1]]</f>
        <v>6</v>
      </c>
      <c r="AD319" t="str">
        <f t="shared" si="115"/>
        <v>Neutral</v>
      </c>
      <c r="AE319" s="32">
        <f t="shared" si="116"/>
        <v>2</v>
      </c>
      <c r="AF319">
        <f>step3_validation[[#This Row],[AI_FAC2]]</f>
        <v>9</v>
      </c>
      <c r="AG319" t="str">
        <f t="shared" si="117"/>
        <v>Support</v>
      </c>
      <c r="AH319">
        <f>survey_responses[[#This Row],[So với trước đây, tôi thấy cách tính thuế và các bậc thuế trong phương án mới đơn giản, dễ hiểu và dễ thực hiện hơn. - HUMAN-FAC2]]</f>
        <v>7</v>
      </c>
      <c r="AI319" t="str">
        <f t="shared" si="118"/>
        <v>Neutral</v>
      </c>
      <c r="AJ319" s="32">
        <f t="shared" si="119"/>
        <v>2</v>
      </c>
      <c r="AK319">
        <f>step3_validation[[#This Row],[AI_TRU1]]</f>
        <v>8</v>
      </c>
      <c r="AL319" t="str">
        <f t="shared" si="120"/>
        <v>Support</v>
      </c>
      <c r="AM319">
        <f>survey_responses[[#This Row],[Tôi tin rằng Nhà nước, cơ quan thuế sẽ thực thi chính sách mới một cách khách quan, công tâm và đối xử bình đẳng với mọi người nộp thuế.  - HUMAN-TRU1]]</f>
        <v>5</v>
      </c>
      <c r="AN319" t="str">
        <f t="shared" si="121"/>
        <v>Neutral</v>
      </c>
      <c r="AO319" s="32">
        <f t="shared" si="122"/>
        <v>3</v>
      </c>
      <c r="AP319">
        <f>step3_validation[[#This Row],[AI_TRU2]]</f>
        <v>9</v>
      </c>
      <c r="AQ319" t="str">
        <f t="shared" si="123"/>
        <v>Support</v>
      </c>
      <c r="AR319">
        <f>survey_responses[[#This Row],[Tôi thấy mức thuế tôi phải đóng theo phương án mới là công bằng (người thu nhập như tôi đóng mức này là hợp lý). - HUMAN-TRU2]]</f>
        <v>8</v>
      </c>
      <c r="AS319" t="str">
        <f t="shared" si="124"/>
        <v>Support</v>
      </c>
      <c r="AT319" s="32">
        <f t="shared" si="125"/>
        <v>1</v>
      </c>
      <c r="AU319">
        <f>step3_validation[[#This Row],[AI_TRU3]]</f>
        <v>8</v>
      </c>
      <c r="AV319" t="str">
        <f t="shared" si="126"/>
        <v>Support</v>
      </c>
      <c r="AW319">
        <f>survey_responses[[#This Row],[Tôi tin tưởng số tiền thuế tôi đóng sẽ được Nhà nước sử dụng hiệu quả để cải thiện dịch vụ công (y tế, đường xá...). - HUMAN-TRU3]]</f>
        <v>5</v>
      </c>
      <c r="AX319" t="str">
        <f t="shared" si="127"/>
        <v>Neutral</v>
      </c>
      <c r="AY319" s="32">
        <f t="shared" si="128"/>
        <v>3</v>
      </c>
      <c r="AZ319">
        <f>step3_validation[[#This Row],[AI_TRU4]]</f>
        <v>8</v>
      </c>
      <c r="BA319" t="str">
        <f t="shared" si="129"/>
        <v>Support</v>
      </c>
      <c r="BB319">
        <f>survey_responses[[#This Row],[Tôi thấy Nhà nước đã giải thích rõ ràng, minh bạch về lý do và mục tiêu của việc sửa đổi thuế lần này. - HUMAN-TRU4]]</f>
        <v>5</v>
      </c>
      <c r="BC319" t="str">
        <f t="shared" si="130"/>
        <v>Neutral</v>
      </c>
      <c r="BD319" s="32">
        <f t="shared" si="131"/>
        <v>3</v>
      </c>
      <c r="BE319">
        <f>step3_validation[[#This Row],[AI_OUT1]]</f>
        <v>9</v>
      </c>
      <c r="BF319" t="str">
        <f t="shared" si="132"/>
        <v>Support</v>
      </c>
      <c r="BG319">
        <f>survey_responses[[#This Row],[Sau khi xem xét các quyền lợi và nghĩa vụ, bạn có ủng hộ và tuân thủ chính sách mới hiện nay? - HUMAN-OUT1]]</f>
        <v>8</v>
      </c>
      <c r="BH319" t="str">
        <f t="shared" si="133"/>
        <v>Support</v>
      </c>
      <c r="BI319" s="32">
        <f t="shared" si="134"/>
        <v>1</v>
      </c>
    </row>
    <row r="320" spans="1:61" x14ac:dyDescent="0.45">
      <c r="A320" s="30">
        <f>step3_validation[[#This Row],[Persona_ID]]</f>
        <v>319</v>
      </c>
      <c r="B320" s="31">
        <f>step3_validation[[#This Row],[Used_Seed]]</f>
        <v>319</v>
      </c>
      <c r="C320" t="str">
        <f>step3_validation[[#This Row],[Gender]]</f>
        <v>Nữ</v>
      </c>
      <c r="D320" t="str">
        <f>survey_responses[[#This Row],[Giới tính của bạn:]]</f>
        <v>Nữ</v>
      </c>
      <c r="E320" t="str">
        <f>step3_validation[[#This Row],[Age_Group]]</f>
        <v>18 - 24</v>
      </c>
      <c r="F320" t="str">
        <f>survey_responses[[#This Row],[Độ tuổi của bạn:]]</f>
        <v>18 - 24</v>
      </c>
      <c r="G320" t="str">
        <f>step3_validation[[#This Row],[Region]]</f>
        <v>Thành thị</v>
      </c>
      <c r="H320" t="str">
        <f>survey_responses[[#This Row],[Khu vực bạn đang sinh sống:]]</f>
        <v>Thành thị</v>
      </c>
      <c r="I320" t="str">
        <f>step3_validation[[#This Row],[Education]]</f>
        <v>Đại học</v>
      </c>
      <c r="J320" t="str">
        <f>survey_responses[[#This Row],[Trình độ học vấn cao nhất:]]</f>
        <v>Đại học</v>
      </c>
      <c r="K320" t="str">
        <f>step3_validation[[#This Row],[Employment]]</f>
        <v>Chính thức</v>
      </c>
      <c r="L320" t="str">
        <f>survey_responses[[#This Row],[Tình trạng việc làm chính:]]</f>
        <v>Khu vực chính thức (Có Hợp đồng lao động, đóng BHXH)</v>
      </c>
      <c r="M320">
        <f>step3_validation[[#This Row],[Income_Mil]]</f>
        <v>13.058809425338124</v>
      </c>
      <c r="N320" t="str">
        <f>survey_responses[[#This Row],[Thu nhập bình quân tháng theo Hợp đồng lao động của bạn là bao nhiêu? (Vui lòng điền tổng thu nhập trước khi khấu trừ các loại Bảo hiểm (BHXH, BHYT, BHTN) và Thuế TNCN)]]</f>
        <v>Từ 12 - 18 triệu VNĐ</v>
      </c>
      <c r="O320">
        <f>step3_validation[[#This Row],[Dependents]]</f>
        <v>0</v>
      </c>
      <c r="P320" t="str">
        <f>survey_responses[[#This Row],[Số người phụ thuộc (con nhỏ, cha mẹ già...) đủ điều kiện giảm trừ gia cảnh:]]</f>
        <v>0 người</v>
      </c>
      <c r="Q320">
        <f>step3_validation[[#This Row],[AI_ENF1]]</f>
        <v>9</v>
      </c>
      <c r="R320" t="str">
        <f t="shared" si="108"/>
        <v>Support</v>
      </c>
      <c r="S320">
        <f>survey_responses[[#This Row],[Tôi tin rằng với các quy định quản lý thuế hiện nay, hành vi gian lận hoặc trốn thuế sẽ dễ dàng bị phát hiện và xử lý nghiêm. - HUMAN-ENF1]]</f>
        <v>8</v>
      </c>
      <c r="T320" t="str">
        <f t="shared" si="109"/>
        <v>Support</v>
      </c>
      <c r="U320" s="32">
        <f t="shared" si="110"/>
        <v>1</v>
      </c>
      <c r="V320">
        <f>step3_validation[[#This Row],[AI_ENF2]]</f>
        <v>8</v>
      </c>
      <c r="W320" t="str">
        <f t="shared" si="111"/>
        <v>Support</v>
      </c>
      <c r="X320">
        <f>survey_responses[[#This Row],[Tôi tin rằng Nhà nước, cơ quan thuế có đủ khả năng và công nghệ để phát hiện, xử lý nghiêm các hành vi trốn thuế. - HUMAN-ENF2]]</f>
        <v>8</v>
      </c>
      <c r="Y320" t="str">
        <f t="shared" si="112"/>
        <v>Support</v>
      </c>
      <c r="Z320" s="32">
        <f t="shared" si="113"/>
        <v>0</v>
      </c>
      <c r="AA320">
        <f>step3_validation[[#This Row],[AI_FAC1]]</f>
        <v>9</v>
      </c>
      <c r="AB320" t="str">
        <f t="shared" si="114"/>
        <v>Support</v>
      </c>
      <c r="AC320">
        <f>survey_responses[[#This Row],[Các thủ tục khai báo thuế VÀ/HOẶC quy trình làm việc với cơ quan thuế đơn giản, tiện lợi, nhanh chóng hơn so với trước đây. - HUMAN-FAC1]]</f>
        <v>10</v>
      </c>
      <c r="AD320" t="str">
        <f t="shared" si="115"/>
        <v>Support</v>
      </c>
      <c r="AE320" s="32">
        <f t="shared" si="116"/>
        <v>1</v>
      </c>
      <c r="AF320">
        <f>step3_validation[[#This Row],[AI_FAC2]]</f>
        <v>8</v>
      </c>
      <c r="AG320" t="str">
        <f t="shared" si="117"/>
        <v>Support</v>
      </c>
      <c r="AH320">
        <f>survey_responses[[#This Row],[So với trước đây, tôi thấy cách tính thuế và các bậc thuế trong phương án mới đơn giản, dễ hiểu và dễ thực hiện hơn. - HUMAN-FAC2]]</f>
        <v>10</v>
      </c>
      <c r="AI320" t="str">
        <f t="shared" si="118"/>
        <v>Support</v>
      </c>
      <c r="AJ320" s="32">
        <f t="shared" si="119"/>
        <v>2</v>
      </c>
      <c r="AK320">
        <f>step3_validation[[#This Row],[AI_TRU1]]</f>
        <v>9</v>
      </c>
      <c r="AL320" t="str">
        <f t="shared" si="120"/>
        <v>Support</v>
      </c>
      <c r="AM320">
        <f>survey_responses[[#This Row],[Tôi tin rằng Nhà nước, cơ quan thuế sẽ thực thi chính sách mới một cách khách quan, công tâm và đối xử bình đẳng với mọi người nộp thuế.  - HUMAN-TRU1]]</f>
        <v>9</v>
      </c>
      <c r="AN320" t="str">
        <f t="shared" si="121"/>
        <v>Support</v>
      </c>
      <c r="AO320" s="32">
        <f t="shared" si="122"/>
        <v>0</v>
      </c>
      <c r="AP320">
        <f>step3_validation[[#This Row],[AI_TRU2]]</f>
        <v>8</v>
      </c>
      <c r="AQ320" t="str">
        <f t="shared" si="123"/>
        <v>Support</v>
      </c>
      <c r="AR320">
        <f>survey_responses[[#This Row],[Tôi thấy mức thuế tôi phải đóng theo phương án mới là công bằng (người thu nhập như tôi đóng mức này là hợp lý). - HUMAN-TRU2]]</f>
        <v>10</v>
      </c>
      <c r="AS320" t="str">
        <f t="shared" si="124"/>
        <v>Support</v>
      </c>
      <c r="AT320" s="32">
        <f t="shared" si="125"/>
        <v>2</v>
      </c>
      <c r="AU320">
        <f>step3_validation[[#This Row],[AI_TRU3]]</f>
        <v>9</v>
      </c>
      <c r="AV320" t="str">
        <f t="shared" si="126"/>
        <v>Support</v>
      </c>
      <c r="AW320">
        <f>survey_responses[[#This Row],[Tôi tin tưởng số tiền thuế tôi đóng sẽ được Nhà nước sử dụng hiệu quả để cải thiện dịch vụ công (y tế, đường xá...). - HUMAN-TRU3]]</f>
        <v>8</v>
      </c>
      <c r="AX320" t="str">
        <f t="shared" si="127"/>
        <v>Support</v>
      </c>
      <c r="AY320" s="32">
        <f t="shared" si="128"/>
        <v>1</v>
      </c>
      <c r="AZ320">
        <f>step3_validation[[#This Row],[AI_TRU4]]</f>
        <v>8</v>
      </c>
      <c r="BA320" t="str">
        <f t="shared" si="129"/>
        <v>Support</v>
      </c>
      <c r="BB320">
        <f>survey_responses[[#This Row],[Tôi thấy Nhà nước đã giải thích rõ ràng, minh bạch về lý do và mục tiêu của việc sửa đổi thuế lần này. - HUMAN-TRU4]]</f>
        <v>8</v>
      </c>
      <c r="BC320" t="str">
        <f t="shared" si="130"/>
        <v>Support</v>
      </c>
      <c r="BD320" s="32">
        <f t="shared" si="131"/>
        <v>0</v>
      </c>
      <c r="BE320">
        <f>step3_validation[[#This Row],[AI_OUT1]]</f>
        <v>9</v>
      </c>
      <c r="BF320" t="str">
        <f t="shared" si="132"/>
        <v>Support</v>
      </c>
      <c r="BG320">
        <f>survey_responses[[#This Row],[Sau khi xem xét các quyền lợi và nghĩa vụ, bạn có ủng hộ và tuân thủ chính sách mới hiện nay? - HUMAN-OUT1]]</f>
        <v>10</v>
      </c>
      <c r="BH320" t="str">
        <f t="shared" si="133"/>
        <v>Support</v>
      </c>
      <c r="BI320" s="32">
        <f t="shared" si="134"/>
        <v>1</v>
      </c>
    </row>
    <row r="321" spans="1:61" x14ac:dyDescent="0.45">
      <c r="A321" s="30">
        <f>step3_validation[[#This Row],[Persona_ID]]</f>
        <v>320</v>
      </c>
      <c r="B321" s="31">
        <f>step3_validation[[#This Row],[Used_Seed]]</f>
        <v>320</v>
      </c>
      <c r="C321" t="str">
        <f>step3_validation[[#This Row],[Gender]]</f>
        <v>Nam</v>
      </c>
      <c r="D321" t="str">
        <f>survey_responses[[#This Row],[Giới tính của bạn:]]</f>
        <v>Nam</v>
      </c>
      <c r="E321" t="str">
        <f>step3_validation[[#This Row],[Age_Group]]</f>
        <v>30 - 39</v>
      </c>
      <c r="F321" t="str">
        <f>survey_responses[[#This Row],[Độ tuổi của bạn:]]</f>
        <v>30 - 39</v>
      </c>
      <c r="G321" t="str">
        <f>step3_validation[[#This Row],[Region]]</f>
        <v>Thành thị</v>
      </c>
      <c r="H321" t="str">
        <f>survey_responses[[#This Row],[Khu vực bạn đang sinh sống:]]</f>
        <v>Thành thị</v>
      </c>
      <c r="I321" t="str">
        <f>step3_validation[[#This Row],[Education]]</f>
        <v>Sau Đại học</v>
      </c>
      <c r="J321" t="str">
        <f>survey_responses[[#This Row],[Trình độ học vấn cao nhất:]]</f>
        <v>Sau Đại học</v>
      </c>
      <c r="K321" t="str">
        <f>step3_validation[[#This Row],[Employment]]</f>
        <v>Chính thức</v>
      </c>
      <c r="L321" t="str">
        <f>survey_responses[[#This Row],[Tình trạng việc làm chính:]]</f>
        <v>Khu vực chính thức (Có Hợp đồng lao động, đóng BHXH)</v>
      </c>
      <c r="M321">
        <f>step3_validation[[#This Row],[Income_Mil]]</f>
        <v>29.511085792070379</v>
      </c>
      <c r="N321" t="str">
        <f>survey_responses[[#This Row],[Thu nhập bình quân tháng theo Hợp đồng lao động của bạn là bao nhiêu? (Vui lòng điền tổng thu nhập trước khi khấu trừ các loại Bảo hiểm (BHXH, BHYT, BHTN) và Thuế TNCN)]]</f>
        <v>Từ 23 - 32 triệu VNĐ</v>
      </c>
      <c r="O321">
        <f>step3_validation[[#This Row],[Dependents]]</f>
        <v>0</v>
      </c>
      <c r="P321" t="str">
        <f>survey_responses[[#This Row],[Số người phụ thuộc (con nhỏ, cha mẹ già...) đủ điều kiện giảm trừ gia cảnh:]]</f>
        <v>0 người</v>
      </c>
      <c r="Q321">
        <f>step3_validation[[#This Row],[AI_ENF1]]</f>
        <v>9</v>
      </c>
      <c r="R321" t="str">
        <f t="shared" si="108"/>
        <v>Support</v>
      </c>
      <c r="S321">
        <f>survey_responses[[#This Row],[Tôi tin rằng với các quy định quản lý thuế hiện nay, hành vi gian lận hoặc trốn thuế sẽ dễ dàng bị phát hiện và xử lý nghiêm. - HUMAN-ENF1]]</f>
        <v>5</v>
      </c>
      <c r="T321" t="str">
        <f t="shared" si="109"/>
        <v>Neutral</v>
      </c>
      <c r="U321" s="32">
        <f t="shared" si="110"/>
        <v>4</v>
      </c>
      <c r="V321">
        <f>step3_validation[[#This Row],[AI_ENF2]]</f>
        <v>8</v>
      </c>
      <c r="W321" t="str">
        <f t="shared" si="111"/>
        <v>Support</v>
      </c>
      <c r="X321">
        <f>survey_responses[[#This Row],[Tôi tin rằng Nhà nước, cơ quan thuế có đủ khả năng và công nghệ để phát hiện, xử lý nghiêm các hành vi trốn thuế. - HUMAN-ENF2]]</f>
        <v>7</v>
      </c>
      <c r="Y321" t="str">
        <f t="shared" si="112"/>
        <v>Neutral</v>
      </c>
      <c r="Z321" s="32">
        <f t="shared" si="113"/>
        <v>1</v>
      </c>
      <c r="AA321">
        <f>step3_validation[[#This Row],[AI_FAC1]]</f>
        <v>9</v>
      </c>
      <c r="AB321" t="str">
        <f t="shared" si="114"/>
        <v>Support</v>
      </c>
      <c r="AC321">
        <f>survey_responses[[#This Row],[Các thủ tục khai báo thuế VÀ/HOẶC quy trình làm việc với cơ quan thuế đơn giản, tiện lợi, nhanh chóng hơn so với trước đây. - HUMAN-FAC1]]</f>
        <v>7</v>
      </c>
      <c r="AD321" t="str">
        <f t="shared" si="115"/>
        <v>Neutral</v>
      </c>
      <c r="AE321" s="32">
        <f t="shared" si="116"/>
        <v>2</v>
      </c>
      <c r="AF321">
        <f>step3_validation[[#This Row],[AI_FAC2]]</f>
        <v>8</v>
      </c>
      <c r="AG321" t="str">
        <f t="shared" si="117"/>
        <v>Support</v>
      </c>
      <c r="AH321">
        <f>survey_responses[[#This Row],[So với trước đây, tôi thấy cách tính thuế và các bậc thuế trong phương án mới đơn giản, dễ hiểu và dễ thực hiện hơn. - HUMAN-FAC2]]</f>
        <v>9</v>
      </c>
      <c r="AI321" t="str">
        <f t="shared" si="118"/>
        <v>Support</v>
      </c>
      <c r="AJ321" s="32">
        <f t="shared" si="119"/>
        <v>1</v>
      </c>
      <c r="AK321">
        <f>step3_validation[[#This Row],[AI_TRU1]]</f>
        <v>9</v>
      </c>
      <c r="AL321" t="str">
        <f t="shared" si="120"/>
        <v>Support</v>
      </c>
      <c r="AM321">
        <f>survey_responses[[#This Row],[Tôi tin rằng Nhà nước, cơ quan thuế sẽ thực thi chính sách mới một cách khách quan, công tâm và đối xử bình đẳng với mọi người nộp thuế.  - HUMAN-TRU1]]</f>
        <v>5</v>
      </c>
      <c r="AN321" t="str">
        <f t="shared" si="121"/>
        <v>Neutral</v>
      </c>
      <c r="AO321" s="32">
        <f t="shared" si="122"/>
        <v>4</v>
      </c>
      <c r="AP321">
        <f>step3_validation[[#This Row],[AI_TRU2]]</f>
        <v>8</v>
      </c>
      <c r="AQ321" t="str">
        <f t="shared" si="123"/>
        <v>Support</v>
      </c>
      <c r="AR321">
        <f>survey_responses[[#This Row],[Tôi thấy mức thuế tôi phải đóng theo phương án mới là công bằng (người thu nhập như tôi đóng mức này là hợp lý). - HUMAN-TRU2]]</f>
        <v>6</v>
      </c>
      <c r="AS321" t="str">
        <f t="shared" si="124"/>
        <v>Neutral</v>
      </c>
      <c r="AT321" s="32">
        <f t="shared" si="125"/>
        <v>2</v>
      </c>
      <c r="AU321">
        <f>step3_validation[[#This Row],[AI_TRU3]]</f>
        <v>9</v>
      </c>
      <c r="AV321" t="str">
        <f t="shared" si="126"/>
        <v>Support</v>
      </c>
      <c r="AW321">
        <f>survey_responses[[#This Row],[Tôi tin tưởng số tiền thuế tôi đóng sẽ được Nhà nước sử dụng hiệu quả để cải thiện dịch vụ công (y tế, đường xá...). - HUMAN-TRU3]]</f>
        <v>5</v>
      </c>
      <c r="AX321" t="str">
        <f t="shared" si="127"/>
        <v>Neutral</v>
      </c>
      <c r="AY321" s="32">
        <f t="shared" si="128"/>
        <v>4</v>
      </c>
      <c r="AZ321">
        <f>step3_validation[[#This Row],[AI_TRU4]]</f>
        <v>8</v>
      </c>
      <c r="BA321" t="str">
        <f t="shared" si="129"/>
        <v>Support</v>
      </c>
      <c r="BB321">
        <f>survey_responses[[#This Row],[Tôi thấy Nhà nước đã giải thích rõ ràng, minh bạch về lý do và mục tiêu của việc sửa đổi thuế lần này. - HUMAN-TRU4]]</f>
        <v>7</v>
      </c>
      <c r="BC321" t="str">
        <f t="shared" si="130"/>
        <v>Neutral</v>
      </c>
      <c r="BD321" s="32">
        <f t="shared" si="131"/>
        <v>1</v>
      </c>
      <c r="BE321">
        <f>step3_validation[[#This Row],[AI_OUT1]]</f>
        <v>9</v>
      </c>
      <c r="BF321" t="str">
        <f t="shared" si="132"/>
        <v>Support</v>
      </c>
      <c r="BG321">
        <f>survey_responses[[#This Row],[Sau khi xem xét các quyền lợi và nghĩa vụ, bạn có ủng hộ và tuân thủ chính sách mới hiện nay? - HUMAN-OUT1]]</f>
        <v>7</v>
      </c>
      <c r="BH321" t="str">
        <f t="shared" si="133"/>
        <v>Neutral</v>
      </c>
      <c r="BI321" s="32">
        <f t="shared" si="134"/>
        <v>2</v>
      </c>
    </row>
    <row r="322" spans="1:61" x14ac:dyDescent="0.45">
      <c r="A322" s="30">
        <f>step3_validation[[#This Row],[Persona_ID]]</f>
        <v>321</v>
      </c>
      <c r="B322" s="31">
        <f>step3_validation[[#This Row],[Used_Seed]]</f>
        <v>321</v>
      </c>
      <c r="C322" t="str">
        <f>step3_validation[[#This Row],[Gender]]</f>
        <v>Nữ</v>
      </c>
      <c r="D322" t="str">
        <f>survey_responses[[#This Row],[Giới tính của bạn:]]</f>
        <v>Nữ</v>
      </c>
      <c r="E322" t="str">
        <f>step3_validation[[#This Row],[Age_Group]]</f>
        <v>18 - 24</v>
      </c>
      <c r="F322" t="str">
        <f>survey_responses[[#This Row],[Độ tuổi của bạn:]]</f>
        <v>18 - 24</v>
      </c>
      <c r="G322" t="str">
        <f>step3_validation[[#This Row],[Region]]</f>
        <v>Thành thị</v>
      </c>
      <c r="H322" t="str">
        <f>survey_responses[[#This Row],[Khu vực bạn đang sinh sống:]]</f>
        <v>Thành thị</v>
      </c>
      <c r="I322" t="str">
        <f>step3_validation[[#This Row],[Education]]</f>
        <v>Đại học</v>
      </c>
      <c r="J322" t="str">
        <f>survey_responses[[#This Row],[Trình độ học vấn cao nhất:]]</f>
        <v>Đại học</v>
      </c>
      <c r="K322" t="str">
        <f>step3_validation[[#This Row],[Employment]]</f>
        <v>Chính thức</v>
      </c>
      <c r="L322" t="str">
        <f>survey_responses[[#This Row],[Tình trạng việc làm chính:]]</f>
        <v>Khu vực chính thức (Có Hợp đồng lao động, đóng BHXH)</v>
      </c>
      <c r="M322">
        <f>step3_validation[[#This Row],[Income_Mil]]</f>
        <v>15.293833476933116</v>
      </c>
      <c r="N322" t="str">
        <f>survey_responses[[#This Row],[Thu nhập bình quân tháng theo Hợp đồng lao động của bạn là bao nhiêu? (Vui lòng điền tổng thu nhập trước khi khấu trừ các loại Bảo hiểm (BHXH, BHYT, BHTN) và Thuế TNCN)]]</f>
        <v>Từ 12 - 18 triệu VNĐ</v>
      </c>
      <c r="O322">
        <f>step3_validation[[#This Row],[Dependents]]</f>
        <v>0</v>
      </c>
      <c r="P322" t="str">
        <f>survey_responses[[#This Row],[Số người phụ thuộc (con nhỏ, cha mẹ già...) đủ điều kiện giảm trừ gia cảnh:]]</f>
        <v>0 người</v>
      </c>
      <c r="Q322">
        <f>step3_validation[[#This Row],[AI_ENF1]]</f>
        <v>6</v>
      </c>
      <c r="R322" t="str">
        <f t="shared" si="108"/>
        <v>Neutral</v>
      </c>
      <c r="S322">
        <f>survey_responses[[#This Row],[Tôi tin rằng với các quy định quản lý thuế hiện nay, hành vi gian lận hoặc trốn thuế sẽ dễ dàng bị phát hiện và xử lý nghiêm. - HUMAN-ENF1]]</f>
        <v>8</v>
      </c>
      <c r="T322" t="str">
        <f t="shared" si="109"/>
        <v>Support</v>
      </c>
      <c r="U322" s="32">
        <f t="shared" si="110"/>
        <v>2</v>
      </c>
      <c r="V322">
        <f>step3_validation[[#This Row],[AI_ENF2]]</f>
        <v>7</v>
      </c>
      <c r="W322" t="str">
        <f t="shared" si="111"/>
        <v>Neutral</v>
      </c>
      <c r="X322">
        <f>survey_responses[[#This Row],[Tôi tin rằng Nhà nước, cơ quan thuế có đủ khả năng và công nghệ để phát hiện, xử lý nghiêm các hành vi trốn thuế. - HUMAN-ENF2]]</f>
        <v>8</v>
      </c>
      <c r="Y322" t="str">
        <f t="shared" si="112"/>
        <v>Support</v>
      </c>
      <c r="Z322" s="32">
        <f t="shared" si="113"/>
        <v>1</v>
      </c>
      <c r="AA322">
        <f>step3_validation[[#This Row],[AI_FAC1]]</f>
        <v>9</v>
      </c>
      <c r="AB322" t="str">
        <f t="shared" si="114"/>
        <v>Support</v>
      </c>
      <c r="AC322">
        <f>survey_responses[[#This Row],[Các thủ tục khai báo thuế VÀ/HOẶC quy trình làm việc với cơ quan thuế đơn giản, tiện lợi, nhanh chóng hơn so với trước đây. - HUMAN-FAC1]]</f>
        <v>7</v>
      </c>
      <c r="AD322" t="str">
        <f t="shared" si="115"/>
        <v>Neutral</v>
      </c>
      <c r="AE322" s="32">
        <f t="shared" si="116"/>
        <v>2</v>
      </c>
      <c r="AF322">
        <f>step3_validation[[#This Row],[AI_FAC2]]</f>
        <v>8</v>
      </c>
      <c r="AG322" t="str">
        <f t="shared" si="117"/>
        <v>Support</v>
      </c>
      <c r="AH322">
        <f>survey_responses[[#This Row],[So với trước đây, tôi thấy cách tính thuế và các bậc thuế trong phương án mới đơn giản, dễ hiểu và dễ thực hiện hơn. - HUMAN-FAC2]]</f>
        <v>9</v>
      </c>
      <c r="AI322" t="str">
        <f t="shared" si="118"/>
        <v>Support</v>
      </c>
      <c r="AJ322" s="32">
        <f t="shared" si="119"/>
        <v>1</v>
      </c>
      <c r="AK322">
        <f>step3_validation[[#This Row],[AI_TRU1]]</f>
        <v>7</v>
      </c>
      <c r="AL322" t="str">
        <f t="shared" si="120"/>
        <v>Neutral</v>
      </c>
      <c r="AM322">
        <f>survey_responses[[#This Row],[Tôi tin rằng Nhà nước, cơ quan thuế sẽ thực thi chính sách mới một cách khách quan, công tâm và đối xử bình đẳng với mọi người nộp thuế.  - HUMAN-TRU1]]</f>
        <v>9</v>
      </c>
      <c r="AN322" t="str">
        <f t="shared" si="121"/>
        <v>Support</v>
      </c>
      <c r="AO322" s="32">
        <f t="shared" si="122"/>
        <v>2</v>
      </c>
      <c r="AP322">
        <f>step3_validation[[#This Row],[AI_TRU2]]</f>
        <v>9</v>
      </c>
      <c r="AQ322" t="str">
        <f t="shared" si="123"/>
        <v>Support</v>
      </c>
      <c r="AR322">
        <f>survey_responses[[#This Row],[Tôi thấy mức thuế tôi phải đóng theo phương án mới là công bằng (người thu nhập như tôi đóng mức này là hợp lý). - HUMAN-TRU2]]</f>
        <v>9</v>
      </c>
      <c r="AS322" t="str">
        <f t="shared" si="124"/>
        <v>Support</v>
      </c>
      <c r="AT322" s="32">
        <f t="shared" si="125"/>
        <v>0</v>
      </c>
      <c r="AU322">
        <f>step3_validation[[#This Row],[AI_TRU3]]</f>
        <v>8</v>
      </c>
      <c r="AV322" t="str">
        <f t="shared" si="126"/>
        <v>Support</v>
      </c>
      <c r="AW322">
        <f>survey_responses[[#This Row],[Tôi tin tưởng số tiền thuế tôi đóng sẽ được Nhà nước sử dụng hiệu quả để cải thiện dịch vụ công (y tế, đường xá...). - HUMAN-TRU3]]</f>
        <v>7</v>
      </c>
      <c r="AX322" t="str">
        <f t="shared" si="127"/>
        <v>Neutral</v>
      </c>
      <c r="AY322" s="32">
        <f t="shared" si="128"/>
        <v>1</v>
      </c>
      <c r="AZ322">
        <f>step3_validation[[#This Row],[AI_TRU4]]</f>
        <v>7</v>
      </c>
      <c r="BA322" t="str">
        <f t="shared" si="129"/>
        <v>Neutral</v>
      </c>
      <c r="BB322">
        <f>survey_responses[[#This Row],[Tôi thấy Nhà nước đã giải thích rõ ràng, minh bạch về lý do và mục tiêu của việc sửa đổi thuế lần này. - HUMAN-TRU4]]</f>
        <v>9</v>
      </c>
      <c r="BC322" t="str">
        <f t="shared" si="130"/>
        <v>Support</v>
      </c>
      <c r="BD322" s="32">
        <f t="shared" si="131"/>
        <v>2</v>
      </c>
      <c r="BE322">
        <f>step3_validation[[#This Row],[AI_OUT1]]</f>
        <v>9</v>
      </c>
      <c r="BF322" t="str">
        <f t="shared" si="132"/>
        <v>Support</v>
      </c>
      <c r="BG322">
        <f>survey_responses[[#This Row],[Sau khi xem xét các quyền lợi và nghĩa vụ, bạn có ủng hộ và tuân thủ chính sách mới hiện nay? - HUMAN-OUT1]]</f>
        <v>9</v>
      </c>
      <c r="BH322" t="str">
        <f t="shared" si="133"/>
        <v>Support</v>
      </c>
      <c r="BI322" s="32">
        <f t="shared" si="134"/>
        <v>0</v>
      </c>
    </row>
    <row r="323" spans="1:61" x14ac:dyDescent="0.45">
      <c r="A323" s="30">
        <f>step3_validation[[#This Row],[Persona_ID]]</f>
        <v>322</v>
      </c>
      <c r="B323" s="31">
        <f>step3_validation[[#This Row],[Used_Seed]]</f>
        <v>322</v>
      </c>
      <c r="C323" t="str">
        <f>step3_validation[[#This Row],[Gender]]</f>
        <v>Nam</v>
      </c>
      <c r="D323" t="str">
        <f>survey_responses[[#This Row],[Giới tính của bạn:]]</f>
        <v>Nam</v>
      </c>
      <c r="E323" t="str">
        <f>step3_validation[[#This Row],[Age_Group]]</f>
        <v>25 - 29</v>
      </c>
      <c r="F323" t="str">
        <f>survey_responses[[#This Row],[Độ tuổi của bạn:]]</f>
        <v>25 - 29</v>
      </c>
      <c r="G323" t="str">
        <f>step3_validation[[#This Row],[Region]]</f>
        <v>Thành thị</v>
      </c>
      <c r="H323" t="str">
        <f>survey_responses[[#This Row],[Khu vực bạn đang sinh sống:]]</f>
        <v>Thành thị</v>
      </c>
      <c r="I323" t="str">
        <f>step3_validation[[#This Row],[Education]]</f>
        <v>Đại học</v>
      </c>
      <c r="J323" t="str">
        <f>survey_responses[[#This Row],[Trình độ học vấn cao nhất:]]</f>
        <v>Đại học</v>
      </c>
      <c r="K323" t="str">
        <f>step3_validation[[#This Row],[Employment]]</f>
        <v>Chính thức</v>
      </c>
      <c r="L323" t="str">
        <f>survey_responses[[#This Row],[Tình trạng việc làm chính:]]</f>
        <v>Khu vực chính thức (Có Hợp đồng lao động, đóng BHXH)</v>
      </c>
      <c r="M323">
        <f>step3_validation[[#This Row],[Income_Mil]]</f>
        <v>25.469267344285235</v>
      </c>
      <c r="N323" t="str">
        <f>survey_responses[[#This Row],[Thu nhập bình quân tháng theo Hợp đồng lao động của bạn là bao nhiêu? (Vui lòng điền tổng thu nhập trước khi khấu trừ các loại Bảo hiểm (BHXH, BHYT, BHTN) và Thuế TNCN)]]</f>
        <v>Từ 23 - 32 triệu VNĐ</v>
      </c>
      <c r="O323">
        <f>step3_validation[[#This Row],[Dependents]]</f>
        <v>0</v>
      </c>
      <c r="P323" t="str">
        <f>survey_responses[[#This Row],[Số người phụ thuộc (con nhỏ, cha mẹ già...) đủ điều kiện giảm trừ gia cảnh:]]</f>
        <v>0 người</v>
      </c>
      <c r="Q323">
        <f>step3_validation[[#This Row],[AI_ENF1]]</f>
        <v>9</v>
      </c>
      <c r="R323" t="str">
        <f t="shared" ref="R323:R386" si="135">IF(AND(Q323&gt;=1,Q323&lt;5),"Oppose",IF(AND(Q323&gt;=5,Q323&lt;8),"Neutral",IF(AND(Q323&gt;=8,Q323&lt;=10),"Support","")))</f>
        <v>Support</v>
      </c>
      <c r="S323">
        <f>survey_responses[[#This Row],[Tôi tin rằng với các quy định quản lý thuế hiện nay, hành vi gian lận hoặc trốn thuế sẽ dễ dàng bị phát hiện và xử lý nghiêm. - HUMAN-ENF1]]</f>
        <v>5</v>
      </c>
      <c r="T323" t="str">
        <f t="shared" ref="T323:T386" si="136">IF(AND(S323&gt;=1,S323&lt;5),"Oppose",IF(AND(S323&gt;=5,S323&lt;8),"Neutral",IF(AND(S323&gt;=8,S323&lt;=10),"Support","")))</f>
        <v>Neutral</v>
      </c>
      <c r="U323" s="32">
        <f t="shared" ref="U323:U386" si="137">ABS(S323-Q323)</f>
        <v>4</v>
      </c>
      <c r="V323">
        <f>step3_validation[[#This Row],[AI_ENF2]]</f>
        <v>8</v>
      </c>
      <c r="W323" t="str">
        <f t="shared" ref="W323:W386" si="138">IF(AND(V323&gt;=1,V323&lt;5),"Oppose",IF(AND(V323&gt;=5,V323&lt;8),"Neutral",IF(AND(V323&gt;=8,V323&lt;=10),"Support","")))</f>
        <v>Support</v>
      </c>
      <c r="X323">
        <f>survey_responses[[#This Row],[Tôi tin rằng Nhà nước, cơ quan thuế có đủ khả năng và công nghệ để phát hiện, xử lý nghiêm các hành vi trốn thuế. - HUMAN-ENF2]]</f>
        <v>5</v>
      </c>
      <c r="Y323" t="str">
        <f t="shared" ref="Y323:Y386" si="139">IF(AND(X323&gt;=1,X323&lt;5),"Oppose",IF(AND(X323&gt;=5,X323&lt;8),"Neutral",IF(AND(X323&gt;=8,X323&lt;=10),"Support","")))</f>
        <v>Neutral</v>
      </c>
      <c r="Z323" s="32">
        <f t="shared" ref="Z323:Z386" si="140">ABS(X323-V323)</f>
        <v>3</v>
      </c>
      <c r="AA323">
        <f>step3_validation[[#This Row],[AI_FAC1]]</f>
        <v>9</v>
      </c>
      <c r="AB323" t="str">
        <f t="shared" ref="AB323:AB386" si="141">IF(AND(AA323&gt;=1,AA323&lt;5),"Oppose",IF(AND(AA323&gt;=5,AA323&lt;8),"Neutral",IF(AND(AA323&gt;=8,AA323&lt;=10),"Support","")))</f>
        <v>Support</v>
      </c>
      <c r="AC323">
        <f>survey_responses[[#This Row],[Các thủ tục khai báo thuế VÀ/HOẶC quy trình làm việc với cơ quan thuế đơn giản, tiện lợi, nhanh chóng hơn so với trước đây. - HUMAN-FAC1]]</f>
        <v>5</v>
      </c>
      <c r="AD323" t="str">
        <f t="shared" ref="AD323:AD386" si="142">IF(AND(AC323&gt;=1,AC323&lt;5),"Oppose",IF(AND(AC323&gt;=5,AC323&lt;8),"Neutral",IF(AND(AC323&gt;=8,AC323&lt;=10),"Support","")))</f>
        <v>Neutral</v>
      </c>
      <c r="AE323" s="32">
        <f t="shared" ref="AE323:AE386" si="143">ABS(AC323-AA323)</f>
        <v>4</v>
      </c>
      <c r="AF323">
        <f>step3_validation[[#This Row],[AI_FAC2]]</f>
        <v>8</v>
      </c>
      <c r="AG323" t="str">
        <f t="shared" ref="AG323:AG386" si="144">IF(AND(AF323&gt;=1,AF323&lt;5),"Oppose",IF(AND(AF323&gt;=5,AF323&lt;8),"Neutral",IF(AND(AF323&gt;=8,AF323&lt;=10),"Support","")))</f>
        <v>Support</v>
      </c>
      <c r="AH323">
        <f>survey_responses[[#This Row],[So với trước đây, tôi thấy cách tính thuế và các bậc thuế trong phương án mới đơn giản, dễ hiểu và dễ thực hiện hơn. - HUMAN-FAC2]]</f>
        <v>7</v>
      </c>
      <c r="AI323" t="str">
        <f t="shared" ref="AI323:AI386" si="145">IF(AND(AH323&gt;=1,AH323&lt;5),"Oppose",IF(AND(AH323&gt;=5,AH323&lt;8),"Neutral",IF(AND(AH323&gt;=8,AH323&lt;=10),"Support","")))</f>
        <v>Neutral</v>
      </c>
      <c r="AJ323" s="32">
        <f t="shared" ref="AJ323:AJ386" si="146">ABS(AH323-AF323)</f>
        <v>1</v>
      </c>
      <c r="AK323">
        <f>step3_validation[[#This Row],[AI_TRU1]]</f>
        <v>9</v>
      </c>
      <c r="AL323" t="str">
        <f t="shared" ref="AL323:AL386" si="147">IF(AND(AK323&gt;=1,AK323&lt;5),"Oppose",IF(AND(AK323&gt;=5,AK323&lt;8),"Neutral",IF(AND(AK323&gt;=8,AK323&lt;=10),"Support","")))</f>
        <v>Support</v>
      </c>
      <c r="AM323">
        <f>survey_responses[[#This Row],[Tôi tin rằng Nhà nước, cơ quan thuế sẽ thực thi chính sách mới một cách khách quan, công tâm và đối xử bình đẳng với mọi người nộp thuế.  - HUMAN-TRU1]]</f>
        <v>5</v>
      </c>
      <c r="AN323" t="str">
        <f t="shared" ref="AN323:AN386" si="148">IF(AND(AM323&gt;=1,AM323&lt;5),"Oppose",IF(AND(AM323&gt;=5,AM323&lt;8),"Neutral",IF(AND(AM323&gt;=8,AM323&lt;=10),"Support","")))</f>
        <v>Neutral</v>
      </c>
      <c r="AO323" s="32">
        <f t="shared" ref="AO323:AO386" si="149">ABS(AM323-AK323)</f>
        <v>4</v>
      </c>
      <c r="AP323">
        <f>step3_validation[[#This Row],[AI_TRU2]]</f>
        <v>8</v>
      </c>
      <c r="AQ323" t="str">
        <f t="shared" ref="AQ323:AQ386" si="150">IF(AND(AP323&gt;=1,AP323&lt;5),"Oppose",IF(AND(AP323&gt;=5,AP323&lt;8),"Neutral",IF(AND(AP323&gt;=8,AP323&lt;=10),"Support","")))</f>
        <v>Support</v>
      </c>
      <c r="AR323">
        <f>survey_responses[[#This Row],[Tôi thấy mức thuế tôi phải đóng theo phương án mới là công bằng (người thu nhập như tôi đóng mức này là hợp lý). - HUMAN-TRU2]]</f>
        <v>7</v>
      </c>
      <c r="AS323" t="str">
        <f t="shared" ref="AS323:AS386" si="151">IF(AND(AR323&gt;=1,AR323&lt;5),"Oppose",IF(AND(AR323&gt;=5,AR323&lt;8),"Neutral",IF(AND(AR323&gt;=8,AR323&lt;=10),"Support","")))</f>
        <v>Neutral</v>
      </c>
      <c r="AT323" s="32">
        <f t="shared" ref="AT323:AT386" si="152">ABS(AR323-AP323)</f>
        <v>1</v>
      </c>
      <c r="AU323">
        <f>step3_validation[[#This Row],[AI_TRU3]]</f>
        <v>9</v>
      </c>
      <c r="AV323" t="str">
        <f t="shared" ref="AV323:AV386" si="153">IF(AND(AU323&gt;=1,AU323&lt;5),"Oppose",IF(AND(AU323&gt;=5,AU323&lt;8),"Neutral",IF(AND(AU323&gt;=8,AU323&lt;=10),"Support","")))</f>
        <v>Support</v>
      </c>
      <c r="AW323">
        <f>survey_responses[[#This Row],[Tôi tin tưởng số tiền thuế tôi đóng sẽ được Nhà nước sử dụng hiệu quả để cải thiện dịch vụ công (y tế, đường xá...). - HUMAN-TRU3]]</f>
        <v>5</v>
      </c>
      <c r="AX323" t="str">
        <f t="shared" ref="AX323:AX386" si="154">IF(AND(AW323&gt;=1,AW323&lt;5),"Oppose",IF(AND(AW323&gt;=5,AW323&lt;8),"Neutral",IF(AND(AW323&gt;=8,AW323&lt;=10),"Support","")))</f>
        <v>Neutral</v>
      </c>
      <c r="AY323" s="32">
        <f t="shared" ref="AY323:AY386" si="155">ABS(AW323-AU323)</f>
        <v>4</v>
      </c>
      <c r="AZ323">
        <f>step3_validation[[#This Row],[AI_TRU4]]</f>
        <v>8</v>
      </c>
      <c r="BA323" t="str">
        <f t="shared" ref="BA323:BA386" si="156">IF(AND(AZ323&gt;=1,AZ323&lt;5),"Oppose",IF(AND(AZ323&gt;=5,AZ323&lt;8),"Neutral",IF(AND(AZ323&gt;=8,AZ323&lt;=10),"Support","")))</f>
        <v>Support</v>
      </c>
      <c r="BB323">
        <f>survey_responses[[#This Row],[Tôi thấy Nhà nước đã giải thích rõ ràng, minh bạch về lý do và mục tiêu của việc sửa đổi thuế lần này. - HUMAN-TRU4]]</f>
        <v>5</v>
      </c>
      <c r="BC323" t="str">
        <f t="shared" ref="BC323:BC386" si="157">IF(AND(BB323&gt;=1,BB323&lt;5),"Oppose",IF(AND(BB323&gt;=5,BB323&lt;8),"Neutral",IF(AND(BB323&gt;=8,BB323&lt;=10),"Support","")))</f>
        <v>Neutral</v>
      </c>
      <c r="BD323" s="32">
        <f t="shared" ref="BD323:BD386" si="158">ABS(BB323-AZ323)</f>
        <v>3</v>
      </c>
      <c r="BE323">
        <f>step3_validation[[#This Row],[AI_OUT1]]</f>
        <v>9</v>
      </c>
      <c r="BF323" t="str">
        <f t="shared" ref="BF323:BF386" si="159">IF(AND(BE323&gt;=1,BE323&lt;5),"Oppose",IF(AND(BE323&gt;=5,BE323&lt;8),"Neutral",IF(AND(BE323&gt;=8,BE323&lt;=10),"Support","")))</f>
        <v>Support</v>
      </c>
      <c r="BG323">
        <f>survey_responses[[#This Row],[Sau khi xem xét các quyền lợi và nghĩa vụ, bạn có ủng hộ và tuân thủ chính sách mới hiện nay? - HUMAN-OUT1]]</f>
        <v>7</v>
      </c>
      <c r="BH323" t="str">
        <f t="shared" ref="BH323:BH386" si="160">IF(AND(BG323&gt;=1,BG323&lt;5),"Oppose",IF(AND(BG323&gt;=5,BG323&lt;8),"Neutral",IF(AND(BG323&gt;=8,BG323&lt;=10),"Support","")))</f>
        <v>Neutral</v>
      </c>
      <c r="BI323" s="32">
        <f t="shared" ref="BI323:BI386" si="161">ABS(BG323-BE323)</f>
        <v>2</v>
      </c>
    </row>
    <row r="324" spans="1:61" x14ac:dyDescent="0.45">
      <c r="A324" s="30">
        <f>step3_validation[[#This Row],[Persona_ID]]</f>
        <v>323</v>
      </c>
      <c r="B324" s="31">
        <f>step3_validation[[#This Row],[Used_Seed]]</f>
        <v>323</v>
      </c>
      <c r="C324" t="str">
        <f>step3_validation[[#This Row],[Gender]]</f>
        <v>Nam</v>
      </c>
      <c r="D324" t="str">
        <f>survey_responses[[#This Row],[Giới tính của bạn:]]</f>
        <v>Nam</v>
      </c>
      <c r="E324" t="str">
        <f>step3_validation[[#This Row],[Age_Group]]</f>
        <v>25 - 29</v>
      </c>
      <c r="F324" t="str">
        <f>survey_responses[[#This Row],[Độ tuổi của bạn:]]</f>
        <v>25 - 29</v>
      </c>
      <c r="G324" t="str">
        <f>step3_validation[[#This Row],[Region]]</f>
        <v>Thành thị</v>
      </c>
      <c r="H324" t="str">
        <f>survey_responses[[#This Row],[Khu vực bạn đang sinh sống:]]</f>
        <v>Thành thị</v>
      </c>
      <c r="I324" t="str">
        <f>step3_validation[[#This Row],[Education]]</f>
        <v>Sau Đại học</v>
      </c>
      <c r="J324" t="str">
        <f>survey_responses[[#This Row],[Trình độ học vấn cao nhất:]]</f>
        <v>Sau Đại học</v>
      </c>
      <c r="K324" t="str">
        <f>step3_validation[[#This Row],[Employment]]</f>
        <v>Chính thức</v>
      </c>
      <c r="L324" t="str">
        <f>survey_responses[[#This Row],[Tình trạng việc làm chính:]]</f>
        <v>Khu vực chính thức (Có Hợp đồng lao động, đóng BHXH)</v>
      </c>
      <c r="M324">
        <f>step3_validation[[#This Row],[Income_Mil]]</f>
        <v>25.230501772508106</v>
      </c>
      <c r="N324" t="str">
        <f>survey_responses[[#This Row],[Thu nhập bình quân tháng theo Hợp đồng lao động của bạn là bao nhiêu? (Vui lòng điền tổng thu nhập trước khi khấu trừ các loại Bảo hiểm (BHXH, BHYT, BHTN) và Thuế TNCN)]]</f>
        <v>Từ 23 - 32 triệu VNĐ</v>
      </c>
      <c r="O324">
        <f>step3_validation[[#This Row],[Dependents]]</f>
        <v>0</v>
      </c>
      <c r="P324" t="str">
        <f>survey_responses[[#This Row],[Số người phụ thuộc (con nhỏ, cha mẹ già...) đủ điều kiện giảm trừ gia cảnh:]]</f>
        <v>0 người</v>
      </c>
      <c r="Q324">
        <f>step3_validation[[#This Row],[AI_ENF1]]</f>
        <v>8</v>
      </c>
      <c r="R324" t="str">
        <f t="shared" si="135"/>
        <v>Support</v>
      </c>
      <c r="S324">
        <f>survey_responses[[#This Row],[Tôi tin rằng với các quy định quản lý thuế hiện nay, hành vi gian lận hoặc trốn thuế sẽ dễ dàng bị phát hiện và xử lý nghiêm. - HUMAN-ENF1]]</f>
        <v>7</v>
      </c>
      <c r="T324" t="str">
        <f t="shared" si="136"/>
        <v>Neutral</v>
      </c>
      <c r="U324" s="32">
        <f t="shared" si="137"/>
        <v>1</v>
      </c>
      <c r="V324">
        <f>step3_validation[[#This Row],[AI_ENF2]]</f>
        <v>9</v>
      </c>
      <c r="W324" t="str">
        <f t="shared" si="138"/>
        <v>Support</v>
      </c>
      <c r="X324">
        <f>survey_responses[[#This Row],[Tôi tin rằng Nhà nước, cơ quan thuế có đủ khả năng và công nghệ để phát hiện, xử lý nghiêm các hành vi trốn thuế. - HUMAN-ENF2]]</f>
        <v>7</v>
      </c>
      <c r="Y324" t="str">
        <f t="shared" si="139"/>
        <v>Neutral</v>
      </c>
      <c r="Z324" s="32">
        <f t="shared" si="140"/>
        <v>2</v>
      </c>
      <c r="AA324">
        <f>step3_validation[[#This Row],[AI_FAC1]]</f>
        <v>8</v>
      </c>
      <c r="AB324" t="str">
        <f t="shared" si="141"/>
        <v>Support</v>
      </c>
      <c r="AC324">
        <f>survey_responses[[#This Row],[Các thủ tục khai báo thuế VÀ/HOẶC quy trình làm việc với cơ quan thuế đơn giản, tiện lợi, nhanh chóng hơn so với trước đây. - HUMAN-FAC1]]</f>
        <v>8</v>
      </c>
      <c r="AD324" t="str">
        <f t="shared" si="142"/>
        <v>Support</v>
      </c>
      <c r="AE324" s="32">
        <f t="shared" si="143"/>
        <v>0</v>
      </c>
      <c r="AF324">
        <f>step3_validation[[#This Row],[AI_FAC2]]</f>
        <v>9</v>
      </c>
      <c r="AG324" t="str">
        <f t="shared" si="144"/>
        <v>Support</v>
      </c>
      <c r="AH324">
        <f>survey_responses[[#This Row],[So với trước đây, tôi thấy cách tính thuế và các bậc thuế trong phương án mới đơn giản, dễ hiểu và dễ thực hiện hơn. - HUMAN-FAC2]]</f>
        <v>8</v>
      </c>
      <c r="AI324" t="str">
        <f t="shared" si="145"/>
        <v>Support</v>
      </c>
      <c r="AJ324" s="32">
        <f t="shared" si="146"/>
        <v>1</v>
      </c>
      <c r="AK324">
        <f>step3_validation[[#This Row],[AI_TRU1]]</f>
        <v>7</v>
      </c>
      <c r="AL324" t="str">
        <f t="shared" si="147"/>
        <v>Neutral</v>
      </c>
      <c r="AM324">
        <f>survey_responses[[#This Row],[Tôi tin rằng Nhà nước, cơ quan thuế sẽ thực thi chính sách mới một cách khách quan, công tâm và đối xử bình đẳng với mọi người nộp thuế.  - HUMAN-TRU1]]</f>
        <v>6</v>
      </c>
      <c r="AN324" t="str">
        <f t="shared" si="148"/>
        <v>Neutral</v>
      </c>
      <c r="AO324" s="32">
        <f t="shared" si="149"/>
        <v>1</v>
      </c>
      <c r="AP324">
        <f>step3_validation[[#This Row],[AI_TRU2]]</f>
        <v>9</v>
      </c>
      <c r="AQ324" t="str">
        <f t="shared" si="150"/>
        <v>Support</v>
      </c>
      <c r="AR324">
        <f>survey_responses[[#This Row],[Tôi thấy mức thuế tôi phải đóng theo phương án mới là công bằng (người thu nhập như tôi đóng mức này là hợp lý). - HUMAN-TRU2]]</f>
        <v>7</v>
      </c>
      <c r="AS324" t="str">
        <f t="shared" si="151"/>
        <v>Neutral</v>
      </c>
      <c r="AT324" s="32">
        <f t="shared" si="152"/>
        <v>2</v>
      </c>
      <c r="AU324">
        <f>step3_validation[[#This Row],[AI_TRU3]]</f>
        <v>6</v>
      </c>
      <c r="AV324" t="str">
        <f t="shared" si="153"/>
        <v>Neutral</v>
      </c>
      <c r="AW324">
        <f>survey_responses[[#This Row],[Tôi tin tưởng số tiền thuế tôi đóng sẽ được Nhà nước sử dụng hiệu quả để cải thiện dịch vụ công (y tế, đường xá...). - HUMAN-TRU3]]</f>
        <v>6</v>
      </c>
      <c r="AX324" t="str">
        <f t="shared" si="154"/>
        <v>Neutral</v>
      </c>
      <c r="AY324" s="32">
        <f t="shared" si="155"/>
        <v>0</v>
      </c>
      <c r="AZ324">
        <f>step3_validation[[#This Row],[AI_TRU4]]</f>
        <v>8</v>
      </c>
      <c r="BA324" t="str">
        <f t="shared" si="156"/>
        <v>Support</v>
      </c>
      <c r="BB324">
        <f>survey_responses[[#This Row],[Tôi thấy Nhà nước đã giải thích rõ ràng, minh bạch về lý do và mục tiêu của việc sửa đổi thuế lần này. - HUMAN-TRU4]]</f>
        <v>7</v>
      </c>
      <c r="BC324" t="str">
        <f t="shared" si="157"/>
        <v>Neutral</v>
      </c>
      <c r="BD324" s="32">
        <f t="shared" si="158"/>
        <v>1</v>
      </c>
      <c r="BE324">
        <f>step3_validation[[#This Row],[AI_OUT1]]</f>
        <v>7</v>
      </c>
      <c r="BF324" t="str">
        <f t="shared" si="159"/>
        <v>Neutral</v>
      </c>
      <c r="BG324">
        <f>survey_responses[[#This Row],[Sau khi xem xét các quyền lợi và nghĩa vụ, bạn có ủng hộ và tuân thủ chính sách mới hiện nay? - HUMAN-OUT1]]</f>
        <v>7</v>
      </c>
      <c r="BH324" t="str">
        <f t="shared" si="160"/>
        <v>Neutral</v>
      </c>
      <c r="BI324" s="32">
        <f t="shared" si="161"/>
        <v>0</v>
      </c>
    </row>
    <row r="325" spans="1:61" x14ac:dyDescent="0.45">
      <c r="A325" s="30">
        <f>step3_validation[[#This Row],[Persona_ID]]</f>
        <v>324</v>
      </c>
      <c r="B325" s="31">
        <f>step3_validation[[#This Row],[Used_Seed]]</f>
        <v>324</v>
      </c>
      <c r="C325" t="str">
        <f>step3_validation[[#This Row],[Gender]]</f>
        <v>Nữ</v>
      </c>
      <c r="D325" t="str">
        <f>survey_responses[[#This Row],[Giới tính của bạn:]]</f>
        <v>Nữ</v>
      </c>
      <c r="E325" t="str">
        <f>step3_validation[[#This Row],[Age_Group]]</f>
        <v>18 - 24</v>
      </c>
      <c r="F325" t="str">
        <f>survey_responses[[#This Row],[Độ tuổi của bạn:]]</f>
        <v>18 - 24</v>
      </c>
      <c r="G325" t="str">
        <f>step3_validation[[#This Row],[Region]]</f>
        <v>Thành thị</v>
      </c>
      <c r="H325" t="str">
        <f>survey_responses[[#This Row],[Khu vực bạn đang sinh sống:]]</f>
        <v>Thành thị</v>
      </c>
      <c r="I325" t="str">
        <f>step3_validation[[#This Row],[Education]]</f>
        <v>Đại học</v>
      </c>
      <c r="J325" t="str">
        <f>survey_responses[[#This Row],[Trình độ học vấn cao nhất:]]</f>
        <v>Đại học</v>
      </c>
      <c r="K325" t="str">
        <f>step3_validation[[#This Row],[Employment]]</f>
        <v>Chính thức</v>
      </c>
      <c r="L325" t="str">
        <f>survey_responses[[#This Row],[Tình trạng việc làm chính:]]</f>
        <v>Khu vực chính thức (Có Hợp đồng lao động, đóng BHXH)</v>
      </c>
      <c r="M325">
        <f>step3_validation[[#This Row],[Income_Mil]]</f>
        <v>12</v>
      </c>
      <c r="N325" t="str">
        <f>survey_responses[[#This Row],[Thu nhập bình quân tháng theo Hợp đồng lao động của bạn là bao nhiêu? (Vui lòng điền tổng thu nhập trước khi khấu trừ các loại Bảo hiểm (BHXH, BHYT, BHTN) và Thuế TNCN)]]</f>
        <v>Dưới 12 triệu VNĐ</v>
      </c>
      <c r="O325">
        <f>step3_validation[[#This Row],[Dependents]]</f>
        <v>0</v>
      </c>
      <c r="P325" t="str">
        <f>survey_responses[[#This Row],[Số người phụ thuộc (con nhỏ, cha mẹ già...) đủ điều kiện giảm trừ gia cảnh:]]</f>
        <v>0 người</v>
      </c>
      <c r="Q325">
        <f>step3_validation[[#This Row],[AI_ENF1]]</f>
        <v>7</v>
      </c>
      <c r="R325" t="str">
        <f t="shared" si="135"/>
        <v>Neutral</v>
      </c>
      <c r="S325">
        <f>survey_responses[[#This Row],[Tôi tin rằng với các quy định quản lý thuế hiện nay, hành vi gian lận hoặc trốn thuế sẽ dễ dàng bị phát hiện và xử lý nghiêm. - HUMAN-ENF1]]</f>
        <v>7</v>
      </c>
      <c r="T325" t="str">
        <f t="shared" si="136"/>
        <v>Neutral</v>
      </c>
      <c r="U325" s="32">
        <f t="shared" si="137"/>
        <v>0</v>
      </c>
      <c r="V325">
        <f>step3_validation[[#This Row],[AI_ENF2]]</f>
        <v>8</v>
      </c>
      <c r="W325" t="str">
        <f t="shared" si="138"/>
        <v>Support</v>
      </c>
      <c r="X325">
        <f>survey_responses[[#This Row],[Tôi tin rằng Nhà nước, cơ quan thuế có đủ khả năng và công nghệ để phát hiện, xử lý nghiêm các hành vi trốn thuế. - HUMAN-ENF2]]</f>
        <v>7</v>
      </c>
      <c r="Y325" t="str">
        <f t="shared" si="139"/>
        <v>Neutral</v>
      </c>
      <c r="Z325" s="32">
        <f t="shared" si="140"/>
        <v>1</v>
      </c>
      <c r="AA325">
        <f>step3_validation[[#This Row],[AI_FAC1]]</f>
        <v>9</v>
      </c>
      <c r="AB325" t="str">
        <f t="shared" si="141"/>
        <v>Support</v>
      </c>
      <c r="AC325">
        <f>survey_responses[[#This Row],[Các thủ tục khai báo thuế VÀ/HOẶC quy trình làm việc với cơ quan thuế đơn giản, tiện lợi, nhanh chóng hơn so với trước đây. - HUMAN-FAC1]]</f>
        <v>5</v>
      </c>
      <c r="AD325" t="str">
        <f t="shared" si="142"/>
        <v>Neutral</v>
      </c>
      <c r="AE325" s="32">
        <f t="shared" si="143"/>
        <v>4</v>
      </c>
      <c r="AF325">
        <f>step3_validation[[#This Row],[AI_FAC2]]</f>
        <v>8</v>
      </c>
      <c r="AG325" t="str">
        <f t="shared" si="144"/>
        <v>Support</v>
      </c>
      <c r="AH325">
        <f>survey_responses[[#This Row],[So với trước đây, tôi thấy cách tính thuế và các bậc thuế trong phương án mới đơn giản, dễ hiểu và dễ thực hiện hơn. - HUMAN-FAC2]]</f>
        <v>7</v>
      </c>
      <c r="AI325" t="str">
        <f t="shared" si="145"/>
        <v>Neutral</v>
      </c>
      <c r="AJ325" s="32">
        <f t="shared" si="146"/>
        <v>1</v>
      </c>
      <c r="AK325">
        <f>step3_validation[[#This Row],[AI_TRU1]]</f>
        <v>9</v>
      </c>
      <c r="AL325" t="str">
        <f t="shared" si="147"/>
        <v>Support</v>
      </c>
      <c r="AM325">
        <f>survey_responses[[#This Row],[Tôi tin rằng Nhà nước, cơ quan thuế sẽ thực thi chính sách mới một cách khách quan, công tâm và đối xử bình đẳng với mọi người nộp thuế.  - HUMAN-TRU1]]</f>
        <v>7</v>
      </c>
      <c r="AN325" t="str">
        <f t="shared" si="148"/>
        <v>Neutral</v>
      </c>
      <c r="AO325" s="32">
        <f t="shared" si="149"/>
        <v>2</v>
      </c>
      <c r="AP325">
        <f>step3_validation[[#This Row],[AI_TRU2]]</f>
        <v>8</v>
      </c>
      <c r="AQ325" t="str">
        <f t="shared" si="150"/>
        <v>Support</v>
      </c>
      <c r="AR325">
        <f>survey_responses[[#This Row],[Tôi thấy mức thuế tôi phải đóng theo phương án mới là công bằng (người thu nhập như tôi đóng mức này là hợp lý). - HUMAN-TRU2]]</f>
        <v>7</v>
      </c>
      <c r="AS325" t="str">
        <f t="shared" si="151"/>
        <v>Neutral</v>
      </c>
      <c r="AT325" s="32">
        <f t="shared" si="152"/>
        <v>1</v>
      </c>
      <c r="AU325">
        <f>step3_validation[[#This Row],[AI_TRU3]]</f>
        <v>9</v>
      </c>
      <c r="AV325" t="str">
        <f t="shared" si="153"/>
        <v>Support</v>
      </c>
      <c r="AW325">
        <f>survey_responses[[#This Row],[Tôi tin tưởng số tiền thuế tôi đóng sẽ được Nhà nước sử dụng hiệu quả để cải thiện dịch vụ công (y tế, đường xá...). - HUMAN-TRU3]]</f>
        <v>5</v>
      </c>
      <c r="AX325" t="str">
        <f t="shared" si="154"/>
        <v>Neutral</v>
      </c>
      <c r="AY325" s="32">
        <f t="shared" si="155"/>
        <v>4</v>
      </c>
      <c r="AZ325">
        <f>step3_validation[[#This Row],[AI_TRU4]]</f>
        <v>7</v>
      </c>
      <c r="BA325" t="str">
        <f t="shared" si="156"/>
        <v>Neutral</v>
      </c>
      <c r="BB325">
        <f>survey_responses[[#This Row],[Tôi thấy Nhà nước đã giải thích rõ ràng, minh bạch về lý do và mục tiêu của việc sửa đổi thuế lần này. - HUMAN-TRU4]]</f>
        <v>5</v>
      </c>
      <c r="BC325" t="str">
        <f t="shared" si="157"/>
        <v>Neutral</v>
      </c>
      <c r="BD325" s="32">
        <f t="shared" si="158"/>
        <v>2</v>
      </c>
      <c r="BE325">
        <f>step3_validation[[#This Row],[AI_OUT1]]</f>
        <v>8</v>
      </c>
      <c r="BF325" t="str">
        <f t="shared" si="159"/>
        <v>Support</v>
      </c>
      <c r="BG325">
        <f>survey_responses[[#This Row],[Sau khi xem xét các quyền lợi và nghĩa vụ, bạn có ủng hộ và tuân thủ chính sách mới hiện nay? - HUMAN-OUT1]]</f>
        <v>8</v>
      </c>
      <c r="BH325" t="str">
        <f t="shared" si="160"/>
        <v>Support</v>
      </c>
      <c r="BI325" s="32">
        <f t="shared" si="161"/>
        <v>0</v>
      </c>
    </row>
    <row r="326" spans="1:61" x14ac:dyDescent="0.45">
      <c r="A326" s="30">
        <f>step3_validation[[#This Row],[Persona_ID]]</f>
        <v>325</v>
      </c>
      <c r="B326" s="31">
        <f>step3_validation[[#This Row],[Used_Seed]]</f>
        <v>325</v>
      </c>
      <c r="C326" t="str">
        <f>step3_validation[[#This Row],[Gender]]</f>
        <v>Nam</v>
      </c>
      <c r="D326" t="str">
        <f>survey_responses[[#This Row],[Giới tính của bạn:]]</f>
        <v>Nam</v>
      </c>
      <c r="E326" t="str">
        <f>step3_validation[[#This Row],[Age_Group]]</f>
        <v>30 - 39</v>
      </c>
      <c r="F326" t="str">
        <f>survey_responses[[#This Row],[Độ tuổi của bạn:]]</f>
        <v>30 - 39</v>
      </c>
      <c r="G326" t="str">
        <f>step3_validation[[#This Row],[Region]]</f>
        <v>Thành thị</v>
      </c>
      <c r="H326" t="str">
        <f>survey_responses[[#This Row],[Khu vực bạn đang sinh sống:]]</f>
        <v>Thành thị</v>
      </c>
      <c r="I326" t="str">
        <f>step3_validation[[#This Row],[Education]]</f>
        <v>Đại học</v>
      </c>
      <c r="J326" t="str">
        <f>survey_responses[[#This Row],[Trình độ học vấn cao nhất:]]</f>
        <v>Đại học</v>
      </c>
      <c r="K326" t="str">
        <f>step3_validation[[#This Row],[Employment]]</f>
        <v>Chính thức</v>
      </c>
      <c r="L326" t="str">
        <f>survey_responses[[#This Row],[Tình trạng việc làm chính:]]</f>
        <v>Khu vực chính thức (Có Hợp đồng lao động, đóng BHXH)</v>
      </c>
      <c r="M326">
        <f>step3_validation[[#This Row],[Income_Mil]]</f>
        <v>39.02837314926937</v>
      </c>
      <c r="N326" t="str">
        <f>survey_responses[[#This Row],[Thu nhập bình quân tháng theo Hợp đồng lao động của bạn là bao nhiêu? (Vui lòng điền tổng thu nhập trước khi khấu trừ các loại Bảo hiểm (BHXH, BHYT, BHTN) và Thuế TNCN)]]</f>
        <v>Từ 32 - 48 triệu VNĐ</v>
      </c>
      <c r="O326">
        <f>step3_validation[[#This Row],[Dependents]]</f>
        <v>1</v>
      </c>
      <c r="P326" t="str">
        <f>survey_responses[[#This Row],[Số người phụ thuộc (con nhỏ, cha mẹ già...) đủ điều kiện giảm trừ gia cảnh:]]</f>
        <v>1 người</v>
      </c>
      <c r="Q326">
        <f>step3_validation[[#This Row],[AI_ENF1]]</f>
        <v>8</v>
      </c>
      <c r="R326" t="str">
        <f t="shared" si="135"/>
        <v>Support</v>
      </c>
      <c r="S326">
        <f>survey_responses[[#This Row],[Tôi tin rằng với các quy định quản lý thuế hiện nay, hành vi gian lận hoặc trốn thuế sẽ dễ dàng bị phát hiện và xử lý nghiêm. - HUMAN-ENF1]]</f>
        <v>2</v>
      </c>
      <c r="T326" t="str">
        <f t="shared" si="136"/>
        <v>Oppose</v>
      </c>
      <c r="U326" s="32">
        <f t="shared" si="137"/>
        <v>6</v>
      </c>
      <c r="V326">
        <f>step3_validation[[#This Row],[AI_ENF2]]</f>
        <v>9</v>
      </c>
      <c r="W326" t="str">
        <f t="shared" si="138"/>
        <v>Support</v>
      </c>
      <c r="X326">
        <f>survey_responses[[#This Row],[Tôi tin rằng Nhà nước, cơ quan thuế có đủ khả năng và công nghệ để phát hiện, xử lý nghiêm các hành vi trốn thuế. - HUMAN-ENF2]]</f>
        <v>2</v>
      </c>
      <c r="Y326" t="str">
        <f t="shared" si="139"/>
        <v>Oppose</v>
      </c>
      <c r="Z326" s="32">
        <f t="shared" si="140"/>
        <v>7</v>
      </c>
      <c r="AA326">
        <f>step3_validation[[#This Row],[AI_FAC1]]</f>
        <v>7</v>
      </c>
      <c r="AB326" t="str">
        <f t="shared" si="141"/>
        <v>Neutral</v>
      </c>
      <c r="AC326">
        <f>survey_responses[[#This Row],[Các thủ tục khai báo thuế VÀ/HOẶC quy trình làm việc với cơ quan thuế đơn giản, tiện lợi, nhanh chóng hơn so với trước đây. - HUMAN-FAC1]]</f>
        <v>6</v>
      </c>
      <c r="AD326" t="str">
        <f t="shared" si="142"/>
        <v>Neutral</v>
      </c>
      <c r="AE326" s="32">
        <f t="shared" si="143"/>
        <v>1</v>
      </c>
      <c r="AF326">
        <f>step3_validation[[#This Row],[AI_FAC2]]</f>
        <v>9</v>
      </c>
      <c r="AG326" t="str">
        <f t="shared" si="144"/>
        <v>Support</v>
      </c>
      <c r="AH326">
        <f>survey_responses[[#This Row],[So với trước đây, tôi thấy cách tính thuế và các bậc thuế trong phương án mới đơn giản, dễ hiểu và dễ thực hiện hơn. - HUMAN-FAC2]]</f>
        <v>7</v>
      </c>
      <c r="AI326" t="str">
        <f t="shared" si="145"/>
        <v>Neutral</v>
      </c>
      <c r="AJ326" s="32">
        <f t="shared" si="146"/>
        <v>2</v>
      </c>
      <c r="AK326">
        <f>step3_validation[[#This Row],[AI_TRU1]]</f>
        <v>8</v>
      </c>
      <c r="AL326" t="str">
        <f t="shared" si="147"/>
        <v>Support</v>
      </c>
      <c r="AM326">
        <f>survey_responses[[#This Row],[Tôi tin rằng Nhà nước, cơ quan thuế sẽ thực thi chính sách mới một cách khách quan, công tâm và đối xử bình đẳng với mọi người nộp thuế.  - HUMAN-TRU1]]</f>
        <v>2</v>
      </c>
      <c r="AN326" t="str">
        <f t="shared" si="148"/>
        <v>Oppose</v>
      </c>
      <c r="AO326" s="32">
        <f t="shared" si="149"/>
        <v>6</v>
      </c>
      <c r="AP326">
        <f>step3_validation[[#This Row],[AI_TRU2]]</f>
        <v>9</v>
      </c>
      <c r="AQ326" t="str">
        <f t="shared" si="150"/>
        <v>Support</v>
      </c>
      <c r="AR326">
        <f>survey_responses[[#This Row],[Tôi thấy mức thuế tôi phải đóng theo phương án mới là công bằng (người thu nhập như tôi đóng mức này là hợp lý). - HUMAN-TRU2]]</f>
        <v>5</v>
      </c>
      <c r="AS326" t="str">
        <f t="shared" si="151"/>
        <v>Neutral</v>
      </c>
      <c r="AT326" s="32">
        <f t="shared" si="152"/>
        <v>4</v>
      </c>
      <c r="AU326">
        <f>step3_validation[[#This Row],[AI_TRU3]]</f>
        <v>8</v>
      </c>
      <c r="AV326" t="str">
        <f t="shared" si="153"/>
        <v>Support</v>
      </c>
      <c r="AW326">
        <f>survey_responses[[#This Row],[Tôi tin tưởng số tiền thuế tôi đóng sẽ được Nhà nước sử dụng hiệu quả để cải thiện dịch vụ công (y tế, đường xá...). - HUMAN-TRU3]]</f>
        <v>5</v>
      </c>
      <c r="AX326" t="str">
        <f t="shared" si="154"/>
        <v>Neutral</v>
      </c>
      <c r="AY326" s="32">
        <f t="shared" si="155"/>
        <v>3</v>
      </c>
      <c r="AZ326">
        <f>step3_validation[[#This Row],[AI_TRU4]]</f>
        <v>9</v>
      </c>
      <c r="BA326" t="str">
        <f t="shared" si="156"/>
        <v>Support</v>
      </c>
      <c r="BB326">
        <f>survey_responses[[#This Row],[Tôi thấy Nhà nước đã giải thích rõ ràng, minh bạch về lý do và mục tiêu của việc sửa đổi thuế lần này. - HUMAN-TRU4]]</f>
        <v>6</v>
      </c>
      <c r="BC326" t="str">
        <f t="shared" si="157"/>
        <v>Neutral</v>
      </c>
      <c r="BD326" s="32">
        <f t="shared" si="158"/>
        <v>3</v>
      </c>
      <c r="BE326">
        <f>step3_validation[[#This Row],[AI_OUT1]]</f>
        <v>10</v>
      </c>
      <c r="BF326" t="str">
        <f t="shared" si="159"/>
        <v>Support</v>
      </c>
      <c r="BG326">
        <f>survey_responses[[#This Row],[Sau khi xem xét các quyền lợi và nghĩa vụ, bạn có ủng hộ và tuân thủ chính sách mới hiện nay? - HUMAN-OUT1]]</f>
        <v>5</v>
      </c>
      <c r="BH326" t="str">
        <f t="shared" si="160"/>
        <v>Neutral</v>
      </c>
      <c r="BI326" s="32">
        <f t="shared" si="161"/>
        <v>5</v>
      </c>
    </row>
    <row r="327" spans="1:61" x14ac:dyDescent="0.45">
      <c r="A327" s="30">
        <f>step3_validation[[#This Row],[Persona_ID]]</f>
        <v>326</v>
      </c>
      <c r="B327" s="31">
        <f>step3_validation[[#This Row],[Used_Seed]]</f>
        <v>326</v>
      </c>
      <c r="C327" t="str">
        <f>step3_validation[[#This Row],[Gender]]</f>
        <v>Nữ</v>
      </c>
      <c r="D327" t="str">
        <f>survey_responses[[#This Row],[Giới tính của bạn:]]</f>
        <v>Nữ</v>
      </c>
      <c r="E327" t="str">
        <f>step3_validation[[#This Row],[Age_Group]]</f>
        <v>40 - 49</v>
      </c>
      <c r="F327" t="str">
        <f>survey_responses[[#This Row],[Độ tuổi của bạn:]]</f>
        <v>40 - 49</v>
      </c>
      <c r="G327" t="str">
        <f>step3_validation[[#This Row],[Region]]</f>
        <v>Thành thị</v>
      </c>
      <c r="H327" t="str">
        <f>survey_responses[[#This Row],[Khu vực bạn đang sinh sống:]]</f>
        <v>Thành thị</v>
      </c>
      <c r="I327" t="str">
        <f>step3_validation[[#This Row],[Education]]</f>
        <v>Đại học</v>
      </c>
      <c r="J327" t="str">
        <f>survey_responses[[#This Row],[Trình độ học vấn cao nhất:]]</f>
        <v>Đại học</v>
      </c>
      <c r="K327" t="str">
        <f>step3_validation[[#This Row],[Employment]]</f>
        <v>Chính thức</v>
      </c>
      <c r="L327" t="str">
        <f>survey_responses[[#This Row],[Tình trạng việc làm chính:]]</f>
        <v>Khu vực chính thức (Có Hợp đồng lao động, đóng BHXH)</v>
      </c>
      <c r="M327">
        <f>step3_validation[[#This Row],[Income_Mil]]</f>
        <v>49.001467292806382</v>
      </c>
      <c r="N327" t="str">
        <f>survey_responses[[#This Row],[Thu nhập bình quân tháng theo Hợp đồng lao động của bạn là bao nhiêu? (Vui lòng điền tổng thu nhập trước khi khấu trừ các loại Bảo hiểm (BHXH, BHYT, BHTN) và Thuế TNCN)]]</f>
        <v>Từ 48 - 70 triệu VNĐ</v>
      </c>
      <c r="O327">
        <f>step3_validation[[#This Row],[Dependents]]</f>
        <v>2</v>
      </c>
      <c r="P327" t="str">
        <f>survey_responses[[#This Row],[Số người phụ thuộc (con nhỏ, cha mẹ già...) đủ điều kiện giảm trừ gia cảnh:]]</f>
        <v>2 người</v>
      </c>
      <c r="Q327">
        <f>step3_validation[[#This Row],[AI_ENF1]]</f>
        <v>6</v>
      </c>
      <c r="R327" t="str">
        <f t="shared" si="135"/>
        <v>Neutral</v>
      </c>
      <c r="S327">
        <f>survey_responses[[#This Row],[Tôi tin rằng với các quy định quản lý thuế hiện nay, hành vi gian lận hoặc trốn thuế sẽ dễ dàng bị phát hiện và xử lý nghiêm. - HUMAN-ENF1]]</f>
        <v>8</v>
      </c>
      <c r="T327" t="str">
        <f t="shared" si="136"/>
        <v>Support</v>
      </c>
      <c r="U327" s="32">
        <f t="shared" si="137"/>
        <v>2</v>
      </c>
      <c r="V327">
        <f>step3_validation[[#This Row],[AI_ENF2]]</f>
        <v>7</v>
      </c>
      <c r="W327" t="str">
        <f t="shared" si="138"/>
        <v>Neutral</v>
      </c>
      <c r="X327">
        <f>survey_responses[[#This Row],[Tôi tin rằng Nhà nước, cơ quan thuế có đủ khả năng và công nghệ để phát hiện, xử lý nghiêm các hành vi trốn thuế. - HUMAN-ENF2]]</f>
        <v>9</v>
      </c>
      <c r="Y327" t="str">
        <f t="shared" si="139"/>
        <v>Support</v>
      </c>
      <c r="Z327" s="32">
        <f t="shared" si="140"/>
        <v>2</v>
      </c>
      <c r="AA327">
        <f>step3_validation[[#This Row],[AI_FAC1]]</f>
        <v>8</v>
      </c>
      <c r="AB327" t="str">
        <f t="shared" si="141"/>
        <v>Support</v>
      </c>
      <c r="AC327">
        <f>survey_responses[[#This Row],[Các thủ tục khai báo thuế VÀ/HOẶC quy trình làm việc với cơ quan thuế đơn giản, tiện lợi, nhanh chóng hơn so với trước đây. - HUMAN-FAC1]]</f>
        <v>9</v>
      </c>
      <c r="AD327" t="str">
        <f t="shared" si="142"/>
        <v>Support</v>
      </c>
      <c r="AE327" s="32">
        <f t="shared" si="143"/>
        <v>1</v>
      </c>
      <c r="AF327">
        <f>step3_validation[[#This Row],[AI_FAC2]]</f>
        <v>7</v>
      </c>
      <c r="AG327" t="str">
        <f t="shared" si="144"/>
        <v>Neutral</v>
      </c>
      <c r="AH327">
        <f>survey_responses[[#This Row],[So với trước đây, tôi thấy cách tính thuế và các bậc thuế trong phương án mới đơn giản, dễ hiểu và dễ thực hiện hơn. - HUMAN-FAC2]]</f>
        <v>10</v>
      </c>
      <c r="AI327" t="str">
        <f t="shared" si="145"/>
        <v>Support</v>
      </c>
      <c r="AJ327" s="32">
        <f t="shared" si="146"/>
        <v>3</v>
      </c>
      <c r="AK327">
        <f>step3_validation[[#This Row],[AI_TRU1]]</f>
        <v>8</v>
      </c>
      <c r="AL327" t="str">
        <f t="shared" si="147"/>
        <v>Support</v>
      </c>
      <c r="AM327">
        <f>survey_responses[[#This Row],[Tôi tin rằng Nhà nước, cơ quan thuế sẽ thực thi chính sách mới một cách khách quan, công tâm và đối xử bình đẳng với mọi người nộp thuế.  - HUMAN-TRU1]]</f>
        <v>8</v>
      </c>
      <c r="AN327" t="str">
        <f t="shared" si="148"/>
        <v>Support</v>
      </c>
      <c r="AO327" s="32">
        <f t="shared" si="149"/>
        <v>0</v>
      </c>
      <c r="AP327">
        <f>step3_validation[[#This Row],[AI_TRU2]]</f>
        <v>9</v>
      </c>
      <c r="AQ327" t="str">
        <f t="shared" si="150"/>
        <v>Support</v>
      </c>
      <c r="AR327">
        <f>survey_responses[[#This Row],[Tôi thấy mức thuế tôi phải đóng theo phương án mới là công bằng (người thu nhập như tôi đóng mức này là hợp lý). - HUMAN-TRU2]]</f>
        <v>10</v>
      </c>
      <c r="AS327" t="str">
        <f t="shared" si="151"/>
        <v>Support</v>
      </c>
      <c r="AT327" s="32">
        <f t="shared" si="152"/>
        <v>1</v>
      </c>
      <c r="AU327">
        <f>step3_validation[[#This Row],[AI_TRU3]]</f>
        <v>8</v>
      </c>
      <c r="AV327" t="str">
        <f t="shared" si="153"/>
        <v>Support</v>
      </c>
      <c r="AW327">
        <f>survey_responses[[#This Row],[Tôi tin tưởng số tiền thuế tôi đóng sẽ được Nhà nước sử dụng hiệu quả để cải thiện dịch vụ công (y tế, đường xá...). - HUMAN-TRU3]]</f>
        <v>9</v>
      </c>
      <c r="AX327" t="str">
        <f t="shared" si="154"/>
        <v>Support</v>
      </c>
      <c r="AY327" s="32">
        <f t="shared" si="155"/>
        <v>1</v>
      </c>
      <c r="AZ327">
        <f>step3_validation[[#This Row],[AI_TRU4]]</f>
        <v>7</v>
      </c>
      <c r="BA327" t="str">
        <f t="shared" si="156"/>
        <v>Neutral</v>
      </c>
      <c r="BB327">
        <f>survey_responses[[#This Row],[Tôi thấy Nhà nước đã giải thích rõ ràng, minh bạch về lý do và mục tiêu của việc sửa đổi thuế lần này. - HUMAN-TRU4]]</f>
        <v>9</v>
      </c>
      <c r="BC327" t="str">
        <f t="shared" si="157"/>
        <v>Support</v>
      </c>
      <c r="BD327" s="32">
        <f t="shared" si="158"/>
        <v>2</v>
      </c>
      <c r="BE327">
        <f>step3_validation[[#This Row],[AI_OUT1]]</f>
        <v>9</v>
      </c>
      <c r="BF327" t="str">
        <f t="shared" si="159"/>
        <v>Support</v>
      </c>
      <c r="BG327">
        <f>survey_responses[[#This Row],[Sau khi xem xét các quyền lợi và nghĩa vụ, bạn có ủng hộ và tuân thủ chính sách mới hiện nay? - HUMAN-OUT1]]</f>
        <v>10</v>
      </c>
      <c r="BH327" t="str">
        <f t="shared" si="160"/>
        <v>Support</v>
      </c>
      <c r="BI327" s="32">
        <f t="shared" si="161"/>
        <v>1</v>
      </c>
    </row>
    <row r="328" spans="1:61" x14ac:dyDescent="0.45">
      <c r="A328" s="30">
        <f>step3_validation[[#This Row],[Persona_ID]]</f>
        <v>327</v>
      </c>
      <c r="B328" s="31">
        <f>step3_validation[[#This Row],[Used_Seed]]</f>
        <v>327</v>
      </c>
      <c r="C328" t="str">
        <f>step3_validation[[#This Row],[Gender]]</f>
        <v>Nữ</v>
      </c>
      <c r="D328" t="str">
        <f>survey_responses[[#This Row],[Giới tính của bạn:]]</f>
        <v>Nữ</v>
      </c>
      <c r="E328" t="str">
        <f>step3_validation[[#This Row],[Age_Group]]</f>
        <v>25 - 29</v>
      </c>
      <c r="F328" t="str">
        <f>survey_responses[[#This Row],[Độ tuổi của bạn:]]</f>
        <v>25 - 29</v>
      </c>
      <c r="G328" t="str">
        <f>step3_validation[[#This Row],[Region]]</f>
        <v>Thành thị</v>
      </c>
      <c r="H328" t="str">
        <f>survey_responses[[#This Row],[Khu vực bạn đang sinh sống:]]</f>
        <v>Thành thị</v>
      </c>
      <c r="I328" t="str">
        <f>step3_validation[[#This Row],[Education]]</f>
        <v>Đại học</v>
      </c>
      <c r="J328" t="str">
        <f>survey_responses[[#This Row],[Trình độ học vấn cao nhất:]]</f>
        <v>Đại học</v>
      </c>
      <c r="K328" t="str">
        <f>step3_validation[[#This Row],[Employment]]</f>
        <v>Chính thức</v>
      </c>
      <c r="L328" t="str">
        <f>survey_responses[[#This Row],[Tình trạng việc làm chính:]]</f>
        <v>Khu vực chính thức (Có Hợp đồng lao động, đóng BHXH)</v>
      </c>
      <c r="M328">
        <f>step3_validation[[#This Row],[Income_Mil]]</f>
        <v>20.548640143487589</v>
      </c>
      <c r="N328" t="str">
        <f>survey_responses[[#This Row],[Thu nhập bình quân tháng theo Hợp đồng lao động của bạn là bao nhiêu? (Vui lòng điền tổng thu nhập trước khi khấu trừ các loại Bảo hiểm (BHXH, BHYT, BHTN) và Thuế TNCN)]]</f>
        <v>Từ 18 - 23 triệu VNĐ</v>
      </c>
      <c r="O328">
        <f>step3_validation[[#This Row],[Dependents]]</f>
        <v>0</v>
      </c>
      <c r="P328" t="str">
        <f>survey_responses[[#This Row],[Số người phụ thuộc (con nhỏ, cha mẹ già...) đủ điều kiện giảm trừ gia cảnh:]]</f>
        <v>0 người</v>
      </c>
      <c r="Q328">
        <f>step3_validation[[#This Row],[AI_ENF1]]</f>
        <v>6</v>
      </c>
      <c r="R328" t="str">
        <f t="shared" si="135"/>
        <v>Neutral</v>
      </c>
      <c r="S328">
        <f>survey_responses[[#This Row],[Tôi tin rằng với các quy định quản lý thuế hiện nay, hành vi gian lận hoặc trốn thuế sẽ dễ dàng bị phát hiện và xử lý nghiêm. - HUMAN-ENF1]]</f>
        <v>7</v>
      </c>
      <c r="T328" t="str">
        <f t="shared" si="136"/>
        <v>Neutral</v>
      </c>
      <c r="U328" s="32">
        <f t="shared" si="137"/>
        <v>1</v>
      </c>
      <c r="V328">
        <f>step3_validation[[#This Row],[AI_ENF2]]</f>
        <v>7</v>
      </c>
      <c r="W328" t="str">
        <f t="shared" si="138"/>
        <v>Neutral</v>
      </c>
      <c r="X328">
        <f>survey_responses[[#This Row],[Tôi tin rằng Nhà nước, cơ quan thuế có đủ khả năng và công nghệ để phát hiện, xử lý nghiêm các hành vi trốn thuế. - HUMAN-ENF2]]</f>
        <v>7</v>
      </c>
      <c r="Y328" t="str">
        <f t="shared" si="139"/>
        <v>Neutral</v>
      </c>
      <c r="Z328" s="32">
        <f t="shared" si="140"/>
        <v>0</v>
      </c>
      <c r="AA328">
        <f>step3_validation[[#This Row],[AI_FAC1]]</f>
        <v>9</v>
      </c>
      <c r="AB328" t="str">
        <f t="shared" si="141"/>
        <v>Support</v>
      </c>
      <c r="AC328">
        <f>survey_responses[[#This Row],[Các thủ tục khai báo thuế VÀ/HOẶC quy trình làm việc với cơ quan thuế đơn giản, tiện lợi, nhanh chóng hơn so với trước đây. - HUMAN-FAC1]]</f>
        <v>7</v>
      </c>
      <c r="AD328" t="str">
        <f t="shared" si="142"/>
        <v>Neutral</v>
      </c>
      <c r="AE328" s="32">
        <f t="shared" si="143"/>
        <v>2</v>
      </c>
      <c r="AF328">
        <f>step3_validation[[#This Row],[AI_FAC2]]</f>
        <v>8</v>
      </c>
      <c r="AG328" t="str">
        <f t="shared" si="144"/>
        <v>Support</v>
      </c>
      <c r="AH328">
        <f>survey_responses[[#This Row],[So với trước đây, tôi thấy cách tính thuế và các bậc thuế trong phương án mới đơn giản, dễ hiểu và dễ thực hiện hơn. - HUMAN-FAC2]]</f>
        <v>9</v>
      </c>
      <c r="AI328" t="str">
        <f t="shared" si="145"/>
        <v>Support</v>
      </c>
      <c r="AJ328" s="32">
        <f t="shared" si="146"/>
        <v>1</v>
      </c>
      <c r="AK328">
        <f>step3_validation[[#This Row],[AI_TRU1]]</f>
        <v>7</v>
      </c>
      <c r="AL328" t="str">
        <f t="shared" si="147"/>
        <v>Neutral</v>
      </c>
      <c r="AM328">
        <f>survey_responses[[#This Row],[Tôi tin rằng Nhà nước, cơ quan thuế sẽ thực thi chính sách mới một cách khách quan, công tâm và đối xử bình đẳng với mọi người nộp thuế.  - HUMAN-TRU1]]</f>
        <v>7</v>
      </c>
      <c r="AN328" t="str">
        <f t="shared" si="148"/>
        <v>Neutral</v>
      </c>
      <c r="AO328" s="32">
        <f t="shared" si="149"/>
        <v>0</v>
      </c>
      <c r="AP328">
        <f>step3_validation[[#This Row],[AI_TRU2]]</f>
        <v>9</v>
      </c>
      <c r="AQ328" t="str">
        <f t="shared" si="150"/>
        <v>Support</v>
      </c>
      <c r="AR328">
        <f>survey_responses[[#This Row],[Tôi thấy mức thuế tôi phải đóng theo phương án mới là công bằng (người thu nhập như tôi đóng mức này là hợp lý). - HUMAN-TRU2]]</f>
        <v>8</v>
      </c>
      <c r="AS328" t="str">
        <f t="shared" si="151"/>
        <v>Support</v>
      </c>
      <c r="AT328" s="32">
        <f t="shared" si="152"/>
        <v>1</v>
      </c>
      <c r="AU328">
        <f>step3_validation[[#This Row],[AI_TRU3]]</f>
        <v>7</v>
      </c>
      <c r="AV328" t="str">
        <f t="shared" si="153"/>
        <v>Neutral</v>
      </c>
      <c r="AW328">
        <f>survey_responses[[#This Row],[Tôi tin tưởng số tiền thuế tôi đóng sẽ được Nhà nước sử dụng hiệu quả để cải thiện dịch vụ công (y tế, đường xá...). - HUMAN-TRU3]]</f>
        <v>5</v>
      </c>
      <c r="AX328" t="str">
        <f t="shared" si="154"/>
        <v>Neutral</v>
      </c>
      <c r="AY328" s="32">
        <f t="shared" si="155"/>
        <v>2</v>
      </c>
      <c r="AZ328">
        <f>step3_validation[[#This Row],[AI_TRU4]]</f>
        <v>6</v>
      </c>
      <c r="BA328" t="str">
        <f t="shared" si="156"/>
        <v>Neutral</v>
      </c>
      <c r="BB328">
        <f>survey_responses[[#This Row],[Tôi thấy Nhà nước đã giải thích rõ ràng, minh bạch về lý do và mục tiêu của việc sửa đổi thuế lần này. - HUMAN-TRU4]]</f>
        <v>7</v>
      </c>
      <c r="BC328" t="str">
        <f t="shared" si="157"/>
        <v>Neutral</v>
      </c>
      <c r="BD328" s="32">
        <f t="shared" si="158"/>
        <v>1</v>
      </c>
      <c r="BE328">
        <f>step3_validation[[#This Row],[AI_OUT1]]</f>
        <v>9</v>
      </c>
      <c r="BF328" t="str">
        <f t="shared" si="159"/>
        <v>Support</v>
      </c>
      <c r="BG328">
        <f>survey_responses[[#This Row],[Sau khi xem xét các quyền lợi và nghĩa vụ, bạn có ủng hộ và tuân thủ chính sách mới hiện nay? - HUMAN-OUT1]]</f>
        <v>8</v>
      </c>
      <c r="BH328" t="str">
        <f t="shared" si="160"/>
        <v>Support</v>
      </c>
      <c r="BI328" s="32">
        <f t="shared" si="161"/>
        <v>1</v>
      </c>
    </row>
    <row r="329" spans="1:61" x14ac:dyDescent="0.45">
      <c r="A329" s="30">
        <f>step3_validation[[#This Row],[Persona_ID]]</f>
        <v>328</v>
      </c>
      <c r="B329" s="31">
        <f>step3_validation[[#This Row],[Used_Seed]]</f>
        <v>328</v>
      </c>
      <c r="C329" t="str">
        <f>step3_validation[[#This Row],[Gender]]</f>
        <v>Nam</v>
      </c>
      <c r="D329" t="str">
        <f>survey_responses[[#This Row],[Giới tính của bạn:]]</f>
        <v>Nam</v>
      </c>
      <c r="E329" t="str">
        <f>step3_validation[[#This Row],[Age_Group]]</f>
        <v>40 - 49</v>
      </c>
      <c r="F329" t="str">
        <f>survey_responses[[#This Row],[Độ tuổi của bạn:]]</f>
        <v>40 - 49</v>
      </c>
      <c r="G329" t="str">
        <f>step3_validation[[#This Row],[Region]]</f>
        <v>Thành thị</v>
      </c>
      <c r="H329" t="str">
        <f>survey_responses[[#This Row],[Khu vực bạn đang sinh sống:]]</f>
        <v>Thành thị</v>
      </c>
      <c r="I329" t="str">
        <f>step3_validation[[#This Row],[Education]]</f>
        <v>Sau Đại học</v>
      </c>
      <c r="J329" t="str">
        <f>survey_responses[[#This Row],[Trình độ học vấn cao nhất:]]</f>
        <v>Sau Đại học</v>
      </c>
      <c r="K329" t="str">
        <f>step3_validation[[#This Row],[Employment]]</f>
        <v>Chính thức</v>
      </c>
      <c r="L329" t="str">
        <f>survey_responses[[#This Row],[Tình trạng việc làm chính:]]</f>
        <v>Khu vực chính thức (Có Hợp đồng lao động, đóng BHXH)</v>
      </c>
      <c r="M329">
        <f>step3_validation[[#This Row],[Income_Mil]]</f>
        <v>98.760086419882256</v>
      </c>
      <c r="N329" t="str">
        <f>survey_responses[[#This Row],[Thu nhập bình quân tháng theo Hợp đồng lao động của bạn là bao nhiêu? (Vui lòng điền tổng thu nhập trước khi khấu trừ các loại Bảo hiểm (BHXH, BHYT, BHTN) và Thuế TNCN)]]</f>
        <v>Từ 70 - 102 triệu VNĐ</v>
      </c>
      <c r="O329">
        <f>step3_validation[[#This Row],[Dependents]]</f>
        <v>3</v>
      </c>
      <c r="P329" t="str">
        <f>survey_responses[[#This Row],[Số người phụ thuộc (con nhỏ, cha mẹ già...) đủ điều kiện giảm trừ gia cảnh:]]</f>
        <v>3 người</v>
      </c>
      <c r="Q329">
        <f>step3_validation[[#This Row],[AI_ENF1]]</f>
        <v>8</v>
      </c>
      <c r="R329" t="str">
        <f t="shared" si="135"/>
        <v>Support</v>
      </c>
      <c r="S329">
        <f>survey_responses[[#This Row],[Tôi tin rằng với các quy định quản lý thuế hiện nay, hành vi gian lận hoặc trốn thuế sẽ dễ dàng bị phát hiện và xử lý nghiêm. - HUMAN-ENF1]]</f>
        <v>7</v>
      </c>
      <c r="T329" t="str">
        <f t="shared" si="136"/>
        <v>Neutral</v>
      </c>
      <c r="U329" s="32">
        <f t="shared" si="137"/>
        <v>1</v>
      </c>
      <c r="V329">
        <f>step3_validation[[#This Row],[AI_ENF2]]</f>
        <v>8</v>
      </c>
      <c r="W329" t="str">
        <f t="shared" si="138"/>
        <v>Support</v>
      </c>
      <c r="X329">
        <f>survey_responses[[#This Row],[Tôi tin rằng Nhà nước, cơ quan thuế có đủ khả năng và công nghệ để phát hiện, xử lý nghiêm các hành vi trốn thuế. - HUMAN-ENF2]]</f>
        <v>8</v>
      </c>
      <c r="Y329" t="str">
        <f t="shared" si="139"/>
        <v>Support</v>
      </c>
      <c r="Z329" s="32">
        <f t="shared" si="140"/>
        <v>0</v>
      </c>
      <c r="AA329">
        <f>step3_validation[[#This Row],[AI_FAC1]]</f>
        <v>6</v>
      </c>
      <c r="AB329" t="str">
        <f t="shared" si="141"/>
        <v>Neutral</v>
      </c>
      <c r="AC329">
        <f>survey_responses[[#This Row],[Các thủ tục khai báo thuế VÀ/HOẶC quy trình làm việc với cơ quan thuế đơn giản, tiện lợi, nhanh chóng hơn so với trước đây. - HUMAN-FAC1]]</f>
        <v>9</v>
      </c>
      <c r="AD329" t="str">
        <f t="shared" si="142"/>
        <v>Support</v>
      </c>
      <c r="AE329" s="32">
        <f t="shared" si="143"/>
        <v>3</v>
      </c>
      <c r="AF329">
        <f>step3_validation[[#This Row],[AI_FAC2]]</f>
        <v>8</v>
      </c>
      <c r="AG329" t="str">
        <f t="shared" si="144"/>
        <v>Support</v>
      </c>
      <c r="AH329">
        <f>survey_responses[[#This Row],[So với trước đây, tôi thấy cách tính thuế và các bậc thuế trong phương án mới đơn giản, dễ hiểu và dễ thực hiện hơn. - HUMAN-FAC2]]</f>
        <v>9</v>
      </c>
      <c r="AI329" t="str">
        <f t="shared" si="145"/>
        <v>Support</v>
      </c>
      <c r="AJ329" s="32">
        <f t="shared" si="146"/>
        <v>1</v>
      </c>
      <c r="AK329">
        <f>step3_validation[[#This Row],[AI_TRU1]]</f>
        <v>9</v>
      </c>
      <c r="AL329" t="str">
        <f t="shared" si="147"/>
        <v>Support</v>
      </c>
      <c r="AM329">
        <f>survey_responses[[#This Row],[Tôi tin rằng Nhà nước, cơ quan thuế sẽ thực thi chính sách mới một cách khách quan, công tâm và đối xử bình đẳng với mọi người nộp thuế.  - HUMAN-TRU1]]</f>
        <v>9</v>
      </c>
      <c r="AN329" t="str">
        <f t="shared" si="148"/>
        <v>Support</v>
      </c>
      <c r="AO329" s="32">
        <f t="shared" si="149"/>
        <v>0</v>
      </c>
      <c r="AP329">
        <f>step3_validation[[#This Row],[AI_TRU2]]</f>
        <v>9</v>
      </c>
      <c r="AQ329" t="str">
        <f t="shared" si="150"/>
        <v>Support</v>
      </c>
      <c r="AR329">
        <f>survey_responses[[#This Row],[Tôi thấy mức thuế tôi phải đóng theo phương án mới là công bằng (người thu nhập như tôi đóng mức này là hợp lý). - HUMAN-TRU2]]</f>
        <v>8</v>
      </c>
      <c r="AS329" t="str">
        <f t="shared" si="151"/>
        <v>Support</v>
      </c>
      <c r="AT329" s="32">
        <f t="shared" si="152"/>
        <v>1</v>
      </c>
      <c r="AU329">
        <f>step3_validation[[#This Row],[AI_TRU3]]</f>
        <v>8</v>
      </c>
      <c r="AV329" t="str">
        <f t="shared" si="153"/>
        <v>Support</v>
      </c>
      <c r="AW329">
        <f>survey_responses[[#This Row],[Tôi tin tưởng số tiền thuế tôi đóng sẽ được Nhà nước sử dụng hiệu quả để cải thiện dịch vụ công (y tế, đường xá...). - HUMAN-TRU3]]</f>
        <v>7</v>
      </c>
      <c r="AX329" t="str">
        <f t="shared" si="154"/>
        <v>Neutral</v>
      </c>
      <c r="AY329" s="32">
        <f t="shared" si="155"/>
        <v>1</v>
      </c>
      <c r="AZ329">
        <f>step3_validation[[#This Row],[AI_TRU4]]</f>
        <v>9</v>
      </c>
      <c r="BA329" t="str">
        <f t="shared" si="156"/>
        <v>Support</v>
      </c>
      <c r="BB329">
        <f>survey_responses[[#This Row],[Tôi thấy Nhà nước đã giải thích rõ ràng, minh bạch về lý do và mục tiêu của việc sửa đổi thuế lần này. - HUMAN-TRU4]]</f>
        <v>7</v>
      </c>
      <c r="BC329" t="str">
        <f t="shared" si="157"/>
        <v>Neutral</v>
      </c>
      <c r="BD329" s="32">
        <f t="shared" si="158"/>
        <v>2</v>
      </c>
      <c r="BE329">
        <f>step3_validation[[#This Row],[AI_OUT1]]</f>
        <v>8</v>
      </c>
      <c r="BF329" t="str">
        <f t="shared" si="159"/>
        <v>Support</v>
      </c>
      <c r="BG329">
        <f>survey_responses[[#This Row],[Sau khi xem xét các quyền lợi và nghĩa vụ, bạn có ủng hộ và tuân thủ chính sách mới hiện nay? - HUMAN-OUT1]]</f>
        <v>9</v>
      </c>
      <c r="BH329" t="str">
        <f t="shared" si="160"/>
        <v>Support</v>
      </c>
      <c r="BI329" s="32">
        <f t="shared" si="161"/>
        <v>1</v>
      </c>
    </row>
    <row r="330" spans="1:61" x14ac:dyDescent="0.45">
      <c r="A330" s="30">
        <f>step3_validation[[#This Row],[Persona_ID]]</f>
        <v>329</v>
      </c>
      <c r="B330" s="31">
        <f>step3_validation[[#This Row],[Used_Seed]]</f>
        <v>329</v>
      </c>
      <c r="C330" t="str">
        <f>step3_validation[[#This Row],[Gender]]</f>
        <v>Nữ</v>
      </c>
      <c r="D330" t="str">
        <f>survey_responses[[#This Row],[Giới tính của bạn:]]</f>
        <v>Nữ</v>
      </c>
      <c r="E330" t="str">
        <f>step3_validation[[#This Row],[Age_Group]]</f>
        <v>25 - 29</v>
      </c>
      <c r="F330" t="str">
        <f>survey_responses[[#This Row],[Độ tuổi của bạn:]]</f>
        <v>25 - 29</v>
      </c>
      <c r="G330" t="str">
        <f>step3_validation[[#This Row],[Region]]</f>
        <v>Thành thị</v>
      </c>
      <c r="H330" t="str">
        <f>survey_responses[[#This Row],[Khu vực bạn đang sinh sống:]]</f>
        <v>Thành thị</v>
      </c>
      <c r="I330" t="str">
        <f>step3_validation[[#This Row],[Education]]</f>
        <v>Đại học</v>
      </c>
      <c r="J330" t="str">
        <f>survey_responses[[#This Row],[Trình độ học vấn cao nhất:]]</f>
        <v>Đại học</v>
      </c>
      <c r="K330" t="str">
        <f>step3_validation[[#This Row],[Employment]]</f>
        <v>Chính thức</v>
      </c>
      <c r="L330" t="str">
        <f>survey_responses[[#This Row],[Tình trạng việc làm chính:]]</f>
        <v>Khu vực chính thức (Có Hợp đồng lao động, đóng BHXH)</v>
      </c>
      <c r="M330">
        <f>step3_validation[[#This Row],[Income_Mil]]</f>
        <v>13.191345338799664</v>
      </c>
      <c r="N330" t="str">
        <f>survey_responses[[#This Row],[Thu nhập bình quân tháng theo Hợp đồng lao động của bạn là bao nhiêu? (Vui lòng điền tổng thu nhập trước khi khấu trừ các loại Bảo hiểm (BHXH, BHYT, BHTN) và Thuế TNCN)]]</f>
        <v>Từ 12 - 18 triệu VNĐ</v>
      </c>
      <c r="O330">
        <f>step3_validation[[#This Row],[Dependents]]</f>
        <v>0</v>
      </c>
      <c r="P330" t="str">
        <f>survey_responses[[#This Row],[Số người phụ thuộc (con nhỏ, cha mẹ già...) đủ điều kiện giảm trừ gia cảnh:]]</f>
        <v>0 người</v>
      </c>
      <c r="Q330">
        <f>step3_validation[[#This Row],[AI_ENF1]]</f>
        <v>9</v>
      </c>
      <c r="R330" t="str">
        <f t="shared" si="135"/>
        <v>Support</v>
      </c>
      <c r="S330">
        <f>survey_responses[[#This Row],[Tôi tin rằng với các quy định quản lý thuế hiện nay, hành vi gian lận hoặc trốn thuế sẽ dễ dàng bị phát hiện và xử lý nghiêm. - HUMAN-ENF1]]</f>
        <v>7</v>
      </c>
      <c r="T330" t="str">
        <f t="shared" si="136"/>
        <v>Neutral</v>
      </c>
      <c r="U330" s="32">
        <f t="shared" si="137"/>
        <v>2</v>
      </c>
      <c r="V330">
        <f>step3_validation[[#This Row],[AI_ENF2]]</f>
        <v>8</v>
      </c>
      <c r="W330" t="str">
        <f t="shared" si="138"/>
        <v>Support</v>
      </c>
      <c r="X330">
        <f>survey_responses[[#This Row],[Tôi tin rằng Nhà nước, cơ quan thuế có đủ khả năng và công nghệ để phát hiện, xử lý nghiêm các hành vi trốn thuế. - HUMAN-ENF2]]</f>
        <v>7</v>
      </c>
      <c r="Y330" t="str">
        <f t="shared" si="139"/>
        <v>Neutral</v>
      </c>
      <c r="Z330" s="32">
        <f t="shared" si="140"/>
        <v>1</v>
      </c>
      <c r="AA330">
        <f>step3_validation[[#This Row],[AI_FAC1]]</f>
        <v>9</v>
      </c>
      <c r="AB330" t="str">
        <f t="shared" si="141"/>
        <v>Support</v>
      </c>
      <c r="AC330">
        <f>survey_responses[[#This Row],[Các thủ tục khai báo thuế VÀ/HOẶC quy trình làm việc với cơ quan thuế đơn giản, tiện lợi, nhanh chóng hơn so với trước đây. - HUMAN-FAC1]]</f>
        <v>9</v>
      </c>
      <c r="AD330" t="str">
        <f t="shared" si="142"/>
        <v>Support</v>
      </c>
      <c r="AE330" s="32">
        <f t="shared" si="143"/>
        <v>0</v>
      </c>
      <c r="AF330">
        <f>step3_validation[[#This Row],[AI_FAC2]]</f>
        <v>8</v>
      </c>
      <c r="AG330" t="str">
        <f t="shared" si="144"/>
        <v>Support</v>
      </c>
      <c r="AH330">
        <f>survey_responses[[#This Row],[So với trước đây, tôi thấy cách tính thuế và các bậc thuế trong phương án mới đơn giản, dễ hiểu và dễ thực hiện hơn. - HUMAN-FAC2]]</f>
        <v>9</v>
      </c>
      <c r="AI330" t="str">
        <f t="shared" si="145"/>
        <v>Support</v>
      </c>
      <c r="AJ330" s="32">
        <f t="shared" si="146"/>
        <v>1</v>
      </c>
      <c r="AK330">
        <f>step3_validation[[#This Row],[AI_TRU1]]</f>
        <v>9</v>
      </c>
      <c r="AL330" t="str">
        <f t="shared" si="147"/>
        <v>Support</v>
      </c>
      <c r="AM330">
        <f>survey_responses[[#This Row],[Tôi tin rằng Nhà nước, cơ quan thuế sẽ thực thi chính sách mới một cách khách quan, công tâm và đối xử bình đẳng với mọi người nộp thuế.  - HUMAN-TRU1]]</f>
        <v>9</v>
      </c>
      <c r="AN330" t="str">
        <f t="shared" si="148"/>
        <v>Support</v>
      </c>
      <c r="AO330" s="32">
        <f t="shared" si="149"/>
        <v>0</v>
      </c>
      <c r="AP330">
        <f>step3_validation[[#This Row],[AI_TRU2]]</f>
        <v>9</v>
      </c>
      <c r="AQ330" t="str">
        <f t="shared" si="150"/>
        <v>Support</v>
      </c>
      <c r="AR330">
        <f>survey_responses[[#This Row],[Tôi thấy mức thuế tôi phải đóng theo phương án mới là công bằng (người thu nhập như tôi đóng mức này là hợp lý). - HUMAN-TRU2]]</f>
        <v>9</v>
      </c>
      <c r="AS330" t="str">
        <f t="shared" si="151"/>
        <v>Support</v>
      </c>
      <c r="AT330" s="32">
        <f t="shared" si="152"/>
        <v>0</v>
      </c>
      <c r="AU330">
        <f>step3_validation[[#This Row],[AI_TRU3]]</f>
        <v>8</v>
      </c>
      <c r="AV330" t="str">
        <f t="shared" si="153"/>
        <v>Support</v>
      </c>
      <c r="AW330">
        <f>survey_responses[[#This Row],[Tôi tin tưởng số tiền thuế tôi đóng sẽ được Nhà nước sử dụng hiệu quả để cải thiện dịch vụ công (y tế, đường xá...). - HUMAN-TRU3]]</f>
        <v>5</v>
      </c>
      <c r="AX330" t="str">
        <f t="shared" si="154"/>
        <v>Neutral</v>
      </c>
      <c r="AY330" s="32">
        <f t="shared" si="155"/>
        <v>3</v>
      </c>
      <c r="AZ330">
        <f>step3_validation[[#This Row],[AI_TRU4]]</f>
        <v>9</v>
      </c>
      <c r="BA330" t="str">
        <f t="shared" si="156"/>
        <v>Support</v>
      </c>
      <c r="BB330">
        <f>survey_responses[[#This Row],[Tôi thấy Nhà nước đã giải thích rõ ràng, minh bạch về lý do và mục tiêu của việc sửa đổi thuế lần này. - HUMAN-TRU4]]</f>
        <v>6</v>
      </c>
      <c r="BC330" t="str">
        <f t="shared" si="157"/>
        <v>Neutral</v>
      </c>
      <c r="BD330" s="32">
        <f t="shared" si="158"/>
        <v>3</v>
      </c>
      <c r="BE330">
        <f>step3_validation[[#This Row],[AI_OUT1]]</f>
        <v>8</v>
      </c>
      <c r="BF330" t="str">
        <f t="shared" si="159"/>
        <v>Support</v>
      </c>
      <c r="BG330">
        <f>survey_responses[[#This Row],[Sau khi xem xét các quyền lợi và nghĩa vụ, bạn có ủng hộ và tuân thủ chính sách mới hiện nay? - HUMAN-OUT1]]</f>
        <v>9</v>
      </c>
      <c r="BH330" t="str">
        <f t="shared" si="160"/>
        <v>Support</v>
      </c>
      <c r="BI330" s="32">
        <f t="shared" si="161"/>
        <v>1</v>
      </c>
    </row>
    <row r="331" spans="1:61" x14ac:dyDescent="0.45">
      <c r="A331" s="30">
        <f>step3_validation[[#This Row],[Persona_ID]]</f>
        <v>330</v>
      </c>
      <c r="B331" s="31">
        <f>step3_validation[[#This Row],[Used_Seed]]</f>
        <v>330</v>
      </c>
      <c r="C331" t="str">
        <f>step3_validation[[#This Row],[Gender]]</f>
        <v>Nam</v>
      </c>
      <c r="D331" t="str">
        <f>survey_responses[[#This Row],[Giới tính của bạn:]]</f>
        <v>Nam</v>
      </c>
      <c r="E331" t="str">
        <f>step3_validation[[#This Row],[Age_Group]]</f>
        <v>18 - 24</v>
      </c>
      <c r="F331" t="str">
        <f>survey_responses[[#This Row],[Độ tuổi của bạn:]]</f>
        <v>18 - 24</v>
      </c>
      <c r="G331" t="str">
        <f>step3_validation[[#This Row],[Region]]</f>
        <v>Thành thị</v>
      </c>
      <c r="H331" t="str">
        <f>survey_responses[[#This Row],[Khu vực bạn đang sinh sống:]]</f>
        <v>Thành thị</v>
      </c>
      <c r="I331" t="str">
        <f>step3_validation[[#This Row],[Education]]</f>
        <v>Đại học</v>
      </c>
      <c r="J331" t="str">
        <f>survey_responses[[#This Row],[Trình độ học vấn cao nhất:]]</f>
        <v>Đại học</v>
      </c>
      <c r="K331" t="str">
        <f>step3_validation[[#This Row],[Employment]]</f>
        <v>Chính thức</v>
      </c>
      <c r="L331" t="str">
        <f>survey_responses[[#This Row],[Tình trạng việc làm chính:]]</f>
        <v>Khu vực chính thức (Có Hợp đồng lao động, đóng BHXH)</v>
      </c>
      <c r="M331">
        <f>step3_validation[[#This Row],[Income_Mil]]</f>
        <v>16.92035462580569</v>
      </c>
      <c r="N331" t="str">
        <f>survey_responses[[#This Row],[Thu nhập bình quân tháng theo Hợp đồng lao động của bạn là bao nhiêu? (Vui lòng điền tổng thu nhập trước khi khấu trừ các loại Bảo hiểm (BHXH, BHYT, BHTN) và Thuế TNCN)]]</f>
        <v>Từ 12 - 18 triệu VNĐ</v>
      </c>
      <c r="O331">
        <f>step3_validation[[#This Row],[Dependents]]</f>
        <v>0</v>
      </c>
      <c r="P331" t="str">
        <f>survey_responses[[#This Row],[Số người phụ thuộc (con nhỏ, cha mẹ già...) đủ điều kiện giảm trừ gia cảnh:]]</f>
        <v>0 người</v>
      </c>
      <c r="Q331">
        <f>step3_validation[[#This Row],[AI_ENF1]]</f>
        <v>7</v>
      </c>
      <c r="R331" t="str">
        <f t="shared" si="135"/>
        <v>Neutral</v>
      </c>
      <c r="S331">
        <f>survey_responses[[#This Row],[Tôi tin rằng với các quy định quản lý thuế hiện nay, hành vi gian lận hoặc trốn thuế sẽ dễ dàng bị phát hiện và xử lý nghiêm. - HUMAN-ENF1]]</f>
        <v>3</v>
      </c>
      <c r="T331" t="str">
        <f t="shared" si="136"/>
        <v>Oppose</v>
      </c>
      <c r="U331" s="32">
        <f t="shared" si="137"/>
        <v>4</v>
      </c>
      <c r="V331">
        <f>step3_validation[[#This Row],[AI_ENF2]]</f>
        <v>6</v>
      </c>
      <c r="W331" t="str">
        <f t="shared" si="138"/>
        <v>Neutral</v>
      </c>
      <c r="X331">
        <f>survey_responses[[#This Row],[Tôi tin rằng Nhà nước, cơ quan thuế có đủ khả năng và công nghệ để phát hiện, xử lý nghiêm các hành vi trốn thuế. - HUMAN-ENF2]]</f>
        <v>3</v>
      </c>
      <c r="Y331" t="str">
        <f t="shared" si="139"/>
        <v>Oppose</v>
      </c>
      <c r="Z331" s="32">
        <f t="shared" si="140"/>
        <v>3</v>
      </c>
      <c r="AA331">
        <f>step3_validation[[#This Row],[AI_FAC1]]</f>
        <v>9</v>
      </c>
      <c r="AB331" t="str">
        <f t="shared" si="141"/>
        <v>Support</v>
      </c>
      <c r="AC331">
        <f>survey_responses[[#This Row],[Các thủ tục khai báo thuế VÀ/HOẶC quy trình làm việc với cơ quan thuế đơn giản, tiện lợi, nhanh chóng hơn so với trước đây. - HUMAN-FAC1]]</f>
        <v>5</v>
      </c>
      <c r="AD331" t="str">
        <f t="shared" si="142"/>
        <v>Neutral</v>
      </c>
      <c r="AE331" s="32">
        <f t="shared" si="143"/>
        <v>4</v>
      </c>
      <c r="AF331">
        <f>step3_validation[[#This Row],[AI_FAC2]]</f>
        <v>10</v>
      </c>
      <c r="AG331" t="str">
        <f t="shared" si="144"/>
        <v>Support</v>
      </c>
      <c r="AH331">
        <f>survey_responses[[#This Row],[So với trước đây, tôi thấy cách tính thuế và các bậc thuế trong phương án mới đơn giản, dễ hiểu và dễ thực hiện hơn. - HUMAN-FAC2]]</f>
        <v>6</v>
      </c>
      <c r="AI331" t="str">
        <f t="shared" si="145"/>
        <v>Neutral</v>
      </c>
      <c r="AJ331" s="32">
        <f t="shared" si="146"/>
        <v>4</v>
      </c>
      <c r="AK331">
        <f>step3_validation[[#This Row],[AI_TRU1]]</f>
        <v>9</v>
      </c>
      <c r="AL331" t="str">
        <f t="shared" si="147"/>
        <v>Support</v>
      </c>
      <c r="AM331">
        <f>survey_responses[[#This Row],[Tôi tin rằng Nhà nước, cơ quan thuế sẽ thực thi chính sách mới một cách khách quan, công tâm và đối xử bình đẳng với mọi người nộp thuế.  - HUMAN-TRU1]]</f>
        <v>4</v>
      </c>
      <c r="AN331" t="str">
        <f t="shared" si="148"/>
        <v>Oppose</v>
      </c>
      <c r="AO331" s="32">
        <f t="shared" si="149"/>
        <v>5</v>
      </c>
      <c r="AP331">
        <f>step3_validation[[#This Row],[AI_TRU2]]</f>
        <v>10</v>
      </c>
      <c r="AQ331" t="str">
        <f t="shared" si="150"/>
        <v>Support</v>
      </c>
      <c r="AR331">
        <f>survey_responses[[#This Row],[Tôi thấy mức thuế tôi phải đóng theo phương án mới là công bằng (người thu nhập như tôi đóng mức này là hợp lý). - HUMAN-TRU2]]</f>
        <v>5</v>
      </c>
      <c r="AS331" t="str">
        <f t="shared" si="151"/>
        <v>Neutral</v>
      </c>
      <c r="AT331" s="32">
        <f t="shared" si="152"/>
        <v>5</v>
      </c>
      <c r="AU331">
        <f>step3_validation[[#This Row],[AI_TRU3]]</f>
        <v>9</v>
      </c>
      <c r="AV331" t="str">
        <f t="shared" si="153"/>
        <v>Support</v>
      </c>
      <c r="AW331">
        <f>survey_responses[[#This Row],[Tôi tin tưởng số tiền thuế tôi đóng sẽ được Nhà nước sử dụng hiệu quả để cải thiện dịch vụ công (y tế, đường xá...). - HUMAN-TRU3]]</f>
        <v>5</v>
      </c>
      <c r="AX331" t="str">
        <f t="shared" si="154"/>
        <v>Neutral</v>
      </c>
      <c r="AY331" s="32">
        <f t="shared" si="155"/>
        <v>4</v>
      </c>
      <c r="AZ331">
        <f>step3_validation[[#This Row],[AI_TRU4]]</f>
        <v>8</v>
      </c>
      <c r="BA331" t="str">
        <f t="shared" si="156"/>
        <v>Support</v>
      </c>
      <c r="BB331">
        <f>survey_responses[[#This Row],[Tôi thấy Nhà nước đã giải thích rõ ràng, minh bạch về lý do và mục tiêu của việc sửa đổi thuế lần này. - HUMAN-TRU4]]</f>
        <v>5</v>
      </c>
      <c r="BC331" t="str">
        <f t="shared" si="157"/>
        <v>Neutral</v>
      </c>
      <c r="BD331" s="32">
        <f t="shared" si="158"/>
        <v>3</v>
      </c>
      <c r="BE331">
        <f>step3_validation[[#This Row],[AI_OUT1]]</f>
        <v>9</v>
      </c>
      <c r="BF331" t="str">
        <f t="shared" si="159"/>
        <v>Support</v>
      </c>
      <c r="BG331">
        <f>survey_responses[[#This Row],[Sau khi xem xét các quyền lợi và nghĩa vụ, bạn có ủng hộ và tuân thủ chính sách mới hiện nay? - HUMAN-OUT1]]</f>
        <v>5</v>
      </c>
      <c r="BH331" t="str">
        <f t="shared" si="160"/>
        <v>Neutral</v>
      </c>
      <c r="BI331" s="32">
        <f t="shared" si="161"/>
        <v>4</v>
      </c>
    </row>
    <row r="332" spans="1:61" x14ac:dyDescent="0.45">
      <c r="A332" s="30">
        <f>step3_validation[[#This Row],[Persona_ID]]</f>
        <v>331</v>
      </c>
      <c r="B332" s="31">
        <f>step3_validation[[#This Row],[Used_Seed]]</f>
        <v>331</v>
      </c>
      <c r="C332" t="str">
        <f>step3_validation[[#This Row],[Gender]]</f>
        <v>Nam</v>
      </c>
      <c r="D332" t="str">
        <f>survey_responses[[#This Row],[Giới tính của bạn:]]</f>
        <v>Nam</v>
      </c>
      <c r="E332" t="str">
        <f>step3_validation[[#This Row],[Age_Group]]</f>
        <v>30 - 39</v>
      </c>
      <c r="F332" t="str">
        <f>survey_responses[[#This Row],[Độ tuổi của bạn:]]</f>
        <v>30 - 39</v>
      </c>
      <c r="G332" t="str">
        <f>step3_validation[[#This Row],[Region]]</f>
        <v>Thành thị</v>
      </c>
      <c r="H332" t="str">
        <f>survey_responses[[#This Row],[Khu vực bạn đang sinh sống:]]</f>
        <v>Thành thị</v>
      </c>
      <c r="I332" t="str">
        <f>step3_validation[[#This Row],[Education]]</f>
        <v>Đại học</v>
      </c>
      <c r="J332" t="str">
        <f>survey_responses[[#This Row],[Trình độ học vấn cao nhất:]]</f>
        <v>Đại học</v>
      </c>
      <c r="K332" t="str">
        <f>step3_validation[[#This Row],[Employment]]</f>
        <v>Chính thức</v>
      </c>
      <c r="L332" t="str">
        <f>survey_responses[[#This Row],[Tình trạng việc làm chính:]]</f>
        <v>Khu vực chính thức (Có Hợp đồng lao động, đóng BHXH)</v>
      </c>
      <c r="M332">
        <f>step3_validation[[#This Row],[Income_Mil]]</f>
        <v>25.719913153168079</v>
      </c>
      <c r="N332" t="str">
        <f>survey_responses[[#This Row],[Thu nhập bình quân tháng theo Hợp đồng lao động của bạn là bao nhiêu? (Vui lòng điền tổng thu nhập trước khi khấu trừ các loại Bảo hiểm (BHXH, BHYT, BHTN) và Thuế TNCN)]]</f>
        <v>Từ 23 - 32 triệu VNĐ</v>
      </c>
      <c r="O332">
        <f>step3_validation[[#This Row],[Dependents]]</f>
        <v>1</v>
      </c>
      <c r="P332" t="str">
        <f>survey_responses[[#This Row],[Số người phụ thuộc (con nhỏ, cha mẹ già...) đủ điều kiện giảm trừ gia cảnh:]]</f>
        <v>1 người</v>
      </c>
      <c r="Q332">
        <f>step3_validation[[#This Row],[AI_ENF1]]</f>
        <v>6</v>
      </c>
      <c r="R332" t="str">
        <f t="shared" si="135"/>
        <v>Neutral</v>
      </c>
      <c r="S332">
        <f>survey_responses[[#This Row],[Tôi tin rằng với các quy định quản lý thuế hiện nay, hành vi gian lận hoặc trốn thuế sẽ dễ dàng bị phát hiện và xử lý nghiêm. - HUMAN-ENF1]]</f>
        <v>4</v>
      </c>
      <c r="T332" t="str">
        <f t="shared" si="136"/>
        <v>Oppose</v>
      </c>
      <c r="U332" s="32">
        <f t="shared" si="137"/>
        <v>2</v>
      </c>
      <c r="V332">
        <f>step3_validation[[#This Row],[AI_ENF2]]</f>
        <v>6</v>
      </c>
      <c r="W332" t="str">
        <f t="shared" si="138"/>
        <v>Neutral</v>
      </c>
      <c r="X332">
        <f>survey_responses[[#This Row],[Tôi tin rằng Nhà nước, cơ quan thuế có đủ khả năng và công nghệ để phát hiện, xử lý nghiêm các hành vi trốn thuế. - HUMAN-ENF2]]</f>
        <v>4</v>
      </c>
      <c r="Y332" t="str">
        <f t="shared" si="139"/>
        <v>Oppose</v>
      </c>
      <c r="Z332" s="32">
        <f t="shared" si="140"/>
        <v>2</v>
      </c>
      <c r="AA332">
        <f>step3_validation[[#This Row],[AI_FAC1]]</f>
        <v>8</v>
      </c>
      <c r="AB332" t="str">
        <f t="shared" si="141"/>
        <v>Support</v>
      </c>
      <c r="AC332">
        <f>survey_responses[[#This Row],[Các thủ tục khai báo thuế VÀ/HOẶC quy trình làm việc với cơ quan thuế đơn giản, tiện lợi, nhanh chóng hơn so với trước đây. - HUMAN-FAC1]]</f>
        <v>5</v>
      </c>
      <c r="AD332" t="str">
        <f t="shared" si="142"/>
        <v>Neutral</v>
      </c>
      <c r="AE332" s="32">
        <f t="shared" si="143"/>
        <v>3</v>
      </c>
      <c r="AF332">
        <f>step3_validation[[#This Row],[AI_FAC2]]</f>
        <v>9</v>
      </c>
      <c r="AG332" t="str">
        <f t="shared" si="144"/>
        <v>Support</v>
      </c>
      <c r="AH332">
        <f>survey_responses[[#This Row],[So với trước đây, tôi thấy cách tính thuế và các bậc thuế trong phương án mới đơn giản, dễ hiểu và dễ thực hiện hơn. - HUMAN-FAC2]]</f>
        <v>6</v>
      </c>
      <c r="AI332" t="str">
        <f t="shared" si="145"/>
        <v>Neutral</v>
      </c>
      <c r="AJ332" s="32">
        <f t="shared" si="146"/>
        <v>3</v>
      </c>
      <c r="AK332">
        <f>step3_validation[[#This Row],[AI_TRU1]]</f>
        <v>7</v>
      </c>
      <c r="AL332" t="str">
        <f t="shared" si="147"/>
        <v>Neutral</v>
      </c>
      <c r="AM332">
        <f>survey_responses[[#This Row],[Tôi tin rằng Nhà nước, cơ quan thuế sẽ thực thi chính sách mới một cách khách quan, công tâm và đối xử bình đẳng với mọi người nộp thuế.  - HUMAN-TRU1]]</f>
        <v>4</v>
      </c>
      <c r="AN332" t="str">
        <f t="shared" si="148"/>
        <v>Oppose</v>
      </c>
      <c r="AO332" s="32">
        <f t="shared" si="149"/>
        <v>3</v>
      </c>
      <c r="AP332">
        <f>step3_validation[[#This Row],[AI_TRU2]]</f>
        <v>8</v>
      </c>
      <c r="AQ332" t="str">
        <f t="shared" si="150"/>
        <v>Support</v>
      </c>
      <c r="AR332">
        <f>survey_responses[[#This Row],[Tôi thấy mức thuế tôi phải đóng theo phương án mới là công bằng (người thu nhập như tôi đóng mức này là hợp lý). - HUMAN-TRU2]]</f>
        <v>5</v>
      </c>
      <c r="AS332" t="str">
        <f t="shared" si="151"/>
        <v>Neutral</v>
      </c>
      <c r="AT332" s="32">
        <f t="shared" si="152"/>
        <v>3</v>
      </c>
      <c r="AU332">
        <f>step3_validation[[#This Row],[AI_TRU3]]</f>
        <v>7</v>
      </c>
      <c r="AV332" t="str">
        <f t="shared" si="153"/>
        <v>Neutral</v>
      </c>
      <c r="AW332">
        <f>survey_responses[[#This Row],[Tôi tin tưởng số tiền thuế tôi đóng sẽ được Nhà nước sử dụng hiệu quả để cải thiện dịch vụ công (y tế, đường xá...). - HUMAN-TRU3]]</f>
        <v>3</v>
      </c>
      <c r="AX332" t="str">
        <f t="shared" si="154"/>
        <v>Oppose</v>
      </c>
      <c r="AY332" s="32">
        <f t="shared" si="155"/>
        <v>4</v>
      </c>
      <c r="AZ332">
        <f>step3_validation[[#This Row],[AI_TRU4]]</f>
        <v>8</v>
      </c>
      <c r="BA332" t="str">
        <f t="shared" si="156"/>
        <v>Support</v>
      </c>
      <c r="BB332">
        <f>survey_responses[[#This Row],[Tôi thấy Nhà nước đã giải thích rõ ràng, minh bạch về lý do và mục tiêu của việc sửa đổi thuế lần này. - HUMAN-TRU4]]</f>
        <v>4</v>
      </c>
      <c r="BC332" t="str">
        <f t="shared" si="157"/>
        <v>Oppose</v>
      </c>
      <c r="BD332" s="32">
        <f t="shared" si="158"/>
        <v>4</v>
      </c>
      <c r="BE332">
        <f>step3_validation[[#This Row],[AI_OUT1]]</f>
        <v>9</v>
      </c>
      <c r="BF332" t="str">
        <f t="shared" si="159"/>
        <v>Support</v>
      </c>
      <c r="BG332">
        <f>survey_responses[[#This Row],[Sau khi xem xét các quyền lợi và nghĩa vụ, bạn có ủng hộ và tuân thủ chính sách mới hiện nay? - HUMAN-OUT1]]</f>
        <v>5</v>
      </c>
      <c r="BH332" t="str">
        <f t="shared" si="160"/>
        <v>Neutral</v>
      </c>
      <c r="BI332" s="32">
        <f t="shared" si="161"/>
        <v>4</v>
      </c>
    </row>
    <row r="333" spans="1:61" x14ac:dyDescent="0.45">
      <c r="A333" s="30">
        <f>step3_validation[[#This Row],[Persona_ID]]</f>
        <v>332</v>
      </c>
      <c r="B333" s="31">
        <f>step3_validation[[#This Row],[Used_Seed]]</f>
        <v>332</v>
      </c>
      <c r="C333" t="str">
        <f>step3_validation[[#This Row],[Gender]]</f>
        <v>Nữ</v>
      </c>
      <c r="D333" t="str">
        <f>survey_responses[[#This Row],[Giới tính của bạn:]]</f>
        <v>Nữ</v>
      </c>
      <c r="E333" t="str">
        <f>step3_validation[[#This Row],[Age_Group]]</f>
        <v>18 - 24</v>
      </c>
      <c r="F333" t="str">
        <f>survey_responses[[#This Row],[Độ tuổi của bạn:]]</f>
        <v>18 - 24</v>
      </c>
      <c r="G333" t="str">
        <f>step3_validation[[#This Row],[Region]]</f>
        <v>Thành thị</v>
      </c>
      <c r="H333" t="str">
        <f>survey_responses[[#This Row],[Khu vực bạn đang sinh sống:]]</f>
        <v>Thành thị</v>
      </c>
      <c r="I333" t="str">
        <f>step3_validation[[#This Row],[Education]]</f>
        <v>Đại học</v>
      </c>
      <c r="J333" t="str">
        <f>survey_responses[[#This Row],[Trình độ học vấn cao nhất:]]</f>
        <v>Đại học</v>
      </c>
      <c r="K333" t="str">
        <f>step3_validation[[#This Row],[Employment]]</f>
        <v>Chính thức</v>
      </c>
      <c r="L333" t="str">
        <f>survey_responses[[#This Row],[Tình trạng việc làm chính:]]</f>
        <v>Khu vực chính thức (Có Hợp đồng lao động, đóng BHXH)</v>
      </c>
      <c r="M333">
        <f>step3_validation[[#This Row],[Income_Mil]]</f>
        <v>18.520405270554065</v>
      </c>
      <c r="N333" t="str">
        <f>survey_responses[[#This Row],[Thu nhập bình quân tháng theo Hợp đồng lao động của bạn là bao nhiêu? (Vui lòng điền tổng thu nhập trước khi khấu trừ các loại Bảo hiểm (BHXH, BHYT, BHTN) và Thuế TNCN)]]</f>
        <v>Từ 18 - 23 triệu VNĐ</v>
      </c>
      <c r="O333">
        <f>step3_validation[[#This Row],[Dependents]]</f>
        <v>0</v>
      </c>
      <c r="P333" t="str">
        <f>survey_responses[[#This Row],[Số người phụ thuộc (con nhỏ, cha mẹ già...) đủ điều kiện giảm trừ gia cảnh:]]</f>
        <v>0 người</v>
      </c>
      <c r="Q333">
        <f>step3_validation[[#This Row],[AI_ENF1]]</f>
        <v>6</v>
      </c>
      <c r="R333" t="str">
        <f t="shared" si="135"/>
        <v>Neutral</v>
      </c>
      <c r="S333">
        <f>survey_responses[[#This Row],[Tôi tin rằng với các quy định quản lý thuế hiện nay, hành vi gian lận hoặc trốn thuế sẽ dễ dàng bị phát hiện và xử lý nghiêm. - HUMAN-ENF1]]</f>
        <v>7</v>
      </c>
      <c r="T333" t="str">
        <f t="shared" si="136"/>
        <v>Neutral</v>
      </c>
      <c r="U333" s="32">
        <f t="shared" si="137"/>
        <v>1</v>
      </c>
      <c r="V333">
        <f>step3_validation[[#This Row],[AI_ENF2]]</f>
        <v>7</v>
      </c>
      <c r="W333" t="str">
        <f t="shared" si="138"/>
        <v>Neutral</v>
      </c>
      <c r="X333">
        <f>survey_responses[[#This Row],[Tôi tin rằng Nhà nước, cơ quan thuế có đủ khả năng và công nghệ để phát hiện, xử lý nghiêm các hành vi trốn thuế. - HUMAN-ENF2]]</f>
        <v>7</v>
      </c>
      <c r="Y333" t="str">
        <f t="shared" si="139"/>
        <v>Neutral</v>
      </c>
      <c r="Z333" s="32">
        <f t="shared" si="140"/>
        <v>0</v>
      </c>
      <c r="AA333">
        <f>step3_validation[[#This Row],[AI_FAC1]]</f>
        <v>8</v>
      </c>
      <c r="AB333" t="str">
        <f t="shared" si="141"/>
        <v>Support</v>
      </c>
      <c r="AC333">
        <f>survey_responses[[#This Row],[Các thủ tục khai báo thuế VÀ/HOẶC quy trình làm việc với cơ quan thuế đơn giản, tiện lợi, nhanh chóng hơn so với trước đây. - HUMAN-FAC1]]</f>
        <v>9</v>
      </c>
      <c r="AD333" t="str">
        <f t="shared" si="142"/>
        <v>Support</v>
      </c>
      <c r="AE333" s="32">
        <f t="shared" si="143"/>
        <v>1</v>
      </c>
      <c r="AF333">
        <f>step3_validation[[#This Row],[AI_FAC2]]</f>
        <v>9</v>
      </c>
      <c r="AG333" t="str">
        <f t="shared" si="144"/>
        <v>Support</v>
      </c>
      <c r="AH333">
        <f>survey_responses[[#This Row],[So với trước đây, tôi thấy cách tính thuế và các bậc thuế trong phương án mới đơn giản, dễ hiểu và dễ thực hiện hơn. - HUMAN-FAC2]]</f>
        <v>9</v>
      </c>
      <c r="AI333" t="str">
        <f t="shared" si="145"/>
        <v>Support</v>
      </c>
      <c r="AJ333" s="32">
        <f t="shared" si="146"/>
        <v>0</v>
      </c>
      <c r="AK333">
        <f>step3_validation[[#This Row],[AI_TRU1]]</f>
        <v>7</v>
      </c>
      <c r="AL333" t="str">
        <f t="shared" si="147"/>
        <v>Neutral</v>
      </c>
      <c r="AM333">
        <f>survey_responses[[#This Row],[Tôi tin rằng Nhà nước, cơ quan thuế sẽ thực thi chính sách mới một cách khách quan, công tâm và đối xử bình đẳng với mọi người nộp thuế.  - HUMAN-TRU1]]</f>
        <v>8</v>
      </c>
      <c r="AN333" t="str">
        <f t="shared" si="148"/>
        <v>Support</v>
      </c>
      <c r="AO333" s="32">
        <f t="shared" si="149"/>
        <v>1</v>
      </c>
      <c r="AP333">
        <f>step3_validation[[#This Row],[AI_TRU2]]</f>
        <v>9</v>
      </c>
      <c r="AQ333" t="str">
        <f t="shared" si="150"/>
        <v>Support</v>
      </c>
      <c r="AR333">
        <f>survey_responses[[#This Row],[Tôi thấy mức thuế tôi phải đóng theo phương án mới là công bằng (người thu nhập như tôi đóng mức này là hợp lý). - HUMAN-TRU2]]</f>
        <v>9</v>
      </c>
      <c r="AS333" t="str">
        <f t="shared" si="151"/>
        <v>Support</v>
      </c>
      <c r="AT333" s="32">
        <f t="shared" si="152"/>
        <v>0</v>
      </c>
      <c r="AU333">
        <f>step3_validation[[#This Row],[AI_TRU3]]</f>
        <v>8</v>
      </c>
      <c r="AV333" t="str">
        <f t="shared" si="153"/>
        <v>Support</v>
      </c>
      <c r="AW333">
        <f>survey_responses[[#This Row],[Tôi tin tưởng số tiền thuế tôi đóng sẽ được Nhà nước sử dụng hiệu quả để cải thiện dịch vụ công (y tế, đường xá...). - HUMAN-TRU3]]</f>
        <v>7</v>
      </c>
      <c r="AX333" t="str">
        <f t="shared" si="154"/>
        <v>Neutral</v>
      </c>
      <c r="AY333" s="32">
        <f t="shared" si="155"/>
        <v>1</v>
      </c>
      <c r="AZ333">
        <f>step3_validation[[#This Row],[AI_TRU4]]</f>
        <v>7</v>
      </c>
      <c r="BA333" t="str">
        <f t="shared" si="156"/>
        <v>Neutral</v>
      </c>
      <c r="BB333">
        <f>survey_responses[[#This Row],[Tôi thấy Nhà nước đã giải thích rõ ràng, minh bạch về lý do và mục tiêu của việc sửa đổi thuế lần này. - HUMAN-TRU4]]</f>
        <v>9</v>
      </c>
      <c r="BC333" t="str">
        <f t="shared" si="157"/>
        <v>Support</v>
      </c>
      <c r="BD333" s="32">
        <f t="shared" si="158"/>
        <v>2</v>
      </c>
      <c r="BE333">
        <f>step3_validation[[#This Row],[AI_OUT1]]</f>
        <v>9</v>
      </c>
      <c r="BF333" t="str">
        <f t="shared" si="159"/>
        <v>Support</v>
      </c>
      <c r="BG333">
        <f>survey_responses[[#This Row],[Sau khi xem xét các quyền lợi và nghĩa vụ, bạn có ủng hộ và tuân thủ chính sách mới hiện nay? - HUMAN-OUT1]]</f>
        <v>9</v>
      </c>
      <c r="BH333" t="str">
        <f t="shared" si="160"/>
        <v>Support</v>
      </c>
      <c r="BI333" s="32">
        <f t="shared" si="161"/>
        <v>0</v>
      </c>
    </row>
    <row r="334" spans="1:61" x14ac:dyDescent="0.45">
      <c r="A334" s="30">
        <f>step3_validation[[#This Row],[Persona_ID]]</f>
        <v>333</v>
      </c>
      <c r="B334" s="31">
        <f>step3_validation[[#This Row],[Used_Seed]]</f>
        <v>333</v>
      </c>
      <c r="C334" t="str">
        <f>step3_validation[[#This Row],[Gender]]</f>
        <v>Nam</v>
      </c>
      <c r="D334" t="str">
        <f>survey_responses[[#This Row],[Giới tính của bạn:]]</f>
        <v>Nam</v>
      </c>
      <c r="E334" t="str">
        <f>step3_validation[[#This Row],[Age_Group]]</f>
        <v>40 - 49</v>
      </c>
      <c r="F334" t="str">
        <f>survey_responses[[#This Row],[Độ tuổi của bạn:]]</f>
        <v>40 - 49</v>
      </c>
      <c r="G334" t="str">
        <f>step3_validation[[#This Row],[Region]]</f>
        <v>Thành thị</v>
      </c>
      <c r="H334" t="str">
        <f>survey_responses[[#This Row],[Khu vực bạn đang sinh sống:]]</f>
        <v>Thành thị</v>
      </c>
      <c r="I334" t="str">
        <f>step3_validation[[#This Row],[Education]]</f>
        <v>Sau Đại học</v>
      </c>
      <c r="J334" t="str">
        <f>survey_responses[[#This Row],[Trình độ học vấn cao nhất:]]</f>
        <v>Sau Đại học</v>
      </c>
      <c r="K334" t="str">
        <f>step3_validation[[#This Row],[Employment]]</f>
        <v>Chính thức</v>
      </c>
      <c r="L334" t="str">
        <f>survey_responses[[#This Row],[Tình trạng việc làm chính:]]</f>
        <v>Khu vực chính thức (Có Hợp đồng lao động, đóng BHXH)</v>
      </c>
      <c r="M334">
        <f>step3_validation[[#This Row],[Income_Mil]]</f>
        <v>98.489056668550887</v>
      </c>
      <c r="N334" t="str">
        <f>survey_responses[[#This Row],[Thu nhập bình quân tháng theo Hợp đồng lao động của bạn là bao nhiêu? (Vui lòng điền tổng thu nhập trước khi khấu trừ các loại Bảo hiểm (BHXH, BHYT, BHTN) và Thuế TNCN)]]</f>
        <v>Từ 70 - 102 triệu VNĐ</v>
      </c>
      <c r="O334">
        <f>step3_validation[[#This Row],[Dependents]]</f>
        <v>1</v>
      </c>
      <c r="P334" t="str">
        <f>survey_responses[[#This Row],[Số người phụ thuộc (con nhỏ, cha mẹ già...) đủ điều kiện giảm trừ gia cảnh:]]</f>
        <v>1 người</v>
      </c>
      <c r="Q334">
        <f>step3_validation[[#This Row],[AI_ENF1]]</f>
        <v>7</v>
      </c>
      <c r="R334" t="str">
        <f t="shared" si="135"/>
        <v>Neutral</v>
      </c>
      <c r="S334">
        <f>survey_responses[[#This Row],[Tôi tin rằng với các quy định quản lý thuế hiện nay, hành vi gian lận hoặc trốn thuế sẽ dễ dàng bị phát hiện và xử lý nghiêm. - HUMAN-ENF1]]</f>
        <v>6</v>
      </c>
      <c r="T334" t="str">
        <f t="shared" si="136"/>
        <v>Neutral</v>
      </c>
      <c r="U334" s="32">
        <f t="shared" si="137"/>
        <v>1</v>
      </c>
      <c r="V334">
        <f>step3_validation[[#This Row],[AI_ENF2]]</f>
        <v>8</v>
      </c>
      <c r="W334" t="str">
        <f t="shared" si="138"/>
        <v>Support</v>
      </c>
      <c r="X334">
        <f>survey_responses[[#This Row],[Tôi tin rằng Nhà nước, cơ quan thuế có đủ khả năng và công nghệ để phát hiện, xử lý nghiêm các hành vi trốn thuế. - HUMAN-ENF2]]</f>
        <v>6</v>
      </c>
      <c r="Y334" t="str">
        <f t="shared" si="139"/>
        <v>Neutral</v>
      </c>
      <c r="Z334" s="32">
        <f t="shared" si="140"/>
        <v>2</v>
      </c>
      <c r="AA334">
        <f>step3_validation[[#This Row],[AI_FAC1]]</f>
        <v>9</v>
      </c>
      <c r="AB334" t="str">
        <f t="shared" si="141"/>
        <v>Support</v>
      </c>
      <c r="AC334">
        <f>survey_responses[[#This Row],[Các thủ tục khai báo thuế VÀ/HOẶC quy trình làm việc với cơ quan thuế đơn giản, tiện lợi, nhanh chóng hơn so với trước đây. - HUMAN-FAC1]]</f>
        <v>8</v>
      </c>
      <c r="AD334" t="str">
        <f t="shared" si="142"/>
        <v>Support</v>
      </c>
      <c r="AE334" s="32">
        <f t="shared" si="143"/>
        <v>1</v>
      </c>
      <c r="AF334">
        <f>step3_validation[[#This Row],[AI_FAC2]]</f>
        <v>9</v>
      </c>
      <c r="AG334" t="str">
        <f t="shared" si="144"/>
        <v>Support</v>
      </c>
      <c r="AH334">
        <f>survey_responses[[#This Row],[So với trước đây, tôi thấy cách tính thuế và các bậc thuế trong phương án mới đơn giản, dễ hiểu và dễ thực hiện hơn. - HUMAN-FAC2]]</f>
        <v>8</v>
      </c>
      <c r="AI334" t="str">
        <f t="shared" si="145"/>
        <v>Support</v>
      </c>
      <c r="AJ334" s="32">
        <f t="shared" si="146"/>
        <v>1</v>
      </c>
      <c r="AK334">
        <f>step3_validation[[#This Row],[AI_TRU1]]</f>
        <v>8</v>
      </c>
      <c r="AL334" t="str">
        <f t="shared" si="147"/>
        <v>Support</v>
      </c>
      <c r="AM334">
        <f>survey_responses[[#This Row],[Tôi tin rằng Nhà nước, cơ quan thuế sẽ thực thi chính sách mới một cách khách quan, công tâm và đối xử bình đẳng với mọi người nộp thuế.  - HUMAN-TRU1]]</f>
        <v>6</v>
      </c>
      <c r="AN334" t="str">
        <f t="shared" si="148"/>
        <v>Neutral</v>
      </c>
      <c r="AO334" s="32">
        <f t="shared" si="149"/>
        <v>2</v>
      </c>
      <c r="AP334">
        <f>step3_validation[[#This Row],[AI_TRU2]]</f>
        <v>9</v>
      </c>
      <c r="AQ334" t="str">
        <f t="shared" si="150"/>
        <v>Support</v>
      </c>
      <c r="AR334">
        <f>survey_responses[[#This Row],[Tôi thấy mức thuế tôi phải đóng theo phương án mới là công bằng (người thu nhập như tôi đóng mức này là hợp lý). - HUMAN-TRU2]]</f>
        <v>7</v>
      </c>
      <c r="AS334" t="str">
        <f t="shared" si="151"/>
        <v>Neutral</v>
      </c>
      <c r="AT334" s="32">
        <f t="shared" si="152"/>
        <v>2</v>
      </c>
      <c r="AU334">
        <f>step3_validation[[#This Row],[AI_TRU3]]</f>
        <v>8</v>
      </c>
      <c r="AV334" t="str">
        <f t="shared" si="153"/>
        <v>Support</v>
      </c>
      <c r="AW334">
        <f>survey_responses[[#This Row],[Tôi tin tưởng số tiền thuế tôi đóng sẽ được Nhà nước sử dụng hiệu quả để cải thiện dịch vụ công (y tế, đường xá...). - HUMAN-TRU3]]</f>
        <v>6</v>
      </c>
      <c r="AX334" t="str">
        <f t="shared" si="154"/>
        <v>Neutral</v>
      </c>
      <c r="AY334" s="32">
        <f t="shared" si="155"/>
        <v>2</v>
      </c>
      <c r="AZ334">
        <f>step3_validation[[#This Row],[AI_TRU4]]</f>
        <v>7</v>
      </c>
      <c r="BA334" t="str">
        <f t="shared" si="156"/>
        <v>Neutral</v>
      </c>
      <c r="BB334">
        <f>survey_responses[[#This Row],[Tôi thấy Nhà nước đã giải thích rõ ràng, minh bạch về lý do và mục tiêu của việc sửa đổi thuế lần này. - HUMAN-TRU4]]</f>
        <v>7</v>
      </c>
      <c r="BC334" t="str">
        <f t="shared" si="157"/>
        <v>Neutral</v>
      </c>
      <c r="BD334" s="32">
        <f t="shared" si="158"/>
        <v>0</v>
      </c>
      <c r="BE334">
        <f>step3_validation[[#This Row],[AI_OUT1]]</f>
        <v>9</v>
      </c>
      <c r="BF334" t="str">
        <f t="shared" si="159"/>
        <v>Support</v>
      </c>
      <c r="BG334">
        <f>survey_responses[[#This Row],[Sau khi xem xét các quyền lợi và nghĩa vụ, bạn có ủng hộ và tuân thủ chính sách mới hiện nay? - HUMAN-OUT1]]</f>
        <v>7</v>
      </c>
      <c r="BH334" t="str">
        <f t="shared" si="160"/>
        <v>Neutral</v>
      </c>
      <c r="BI334" s="32">
        <f t="shared" si="161"/>
        <v>2</v>
      </c>
    </row>
    <row r="335" spans="1:61" x14ac:dyDescent="0.45">
      <c r="A335" s="30">
        <f>step3_validation[[#This Row],[Persona_ID]]</f>
        <v>334</v>
      </c>
      <c r="B335" s="31">
        <f>step3_validation[[#This Row],[Used_Seed]]</f>
        <v>334</v>
      </c>
      <c r="C335" t="str">
        <f>step3_validation[[#This Row],[Gender]]</f>
        <v>Nữ</v>
      </c>
      <c r="D335" t="str">
        <f>survey_responses[[#This Row],[Giới tính của bạn:]]</f>
        <v>Nữ</v>
      </c>
      <c r="E335" t="str">
        <f>step3_validation[[#This Row],[Age_Group]]</f>
        <v>50 - 54</v>
      </c>
      <c r="F335" t="str">
        <f>survey_responses[[#This Row],[Độ tuổi của bạn:]]</f>
        <v>50 - 54</v>
      </c>
      <c r="G335" t="str">
        <f>step3_validation[[#This Row],[Region]]</f>
        <v>Thành thị</v>
      </c>
      <c r="H335" t="str">
        <f>survey_responses[[#This Row],[Khu vực bạn đang sinh sống:]]</f>
        <v>Thành thị</v>
      </c>
      <c r="I335" t="str">
        <f>step3_validation[[#This Row],[Education]]</f>
        <v>Sau Đại học</v>
      </c>
      <c r="J335" t="str">
        <f>survey_responses[[#This Row],[Trình độ học vấn cao nhất:]]</f>
        <v>Sau Đại học</v>
      </c>
      <c r="K335" t="str">
        <f>step3_validation[[#This Row],[Employment]]</f>
        <v>Phi chính thức</v>
      </c>
      <c r="L335" t="str">
        <f>survey_responses[[#This Row],[Tình trạng việc làm chính:]]</f>
        <v>Khu vực phi chính thức (Lao động tự do, không có HĐLĐ)</v>
      </c>
      <c r="M335">
        <f>step3_validation[[#This Row],[Income_Mil]]</f>
        <v>167.8991392480718</v>
      </c>
      <c r="N335" t="str">
        <f>survey_responses[[#This Row],[Thu nhập bình quân tháng theo Hợp đồng lao động của bạn là bao nhiêu? (Vui lòng điền tổng thu nhập trước khi khấu trừ các loại Bảo hiểm (BHXH, BHYT, BHTN) và Thuế TNCN)]]</f>
        <v>Trên 102 triệu VNĐ</v>
      </c>
      <c r="O335">
        <f>step3_validation[[#This Row],[Dependents]]</f>
        <v>3</v>
      </c>
      <c r="P335" t="str">
        <f>survey_responses[[#This Row],[Số người phụ thuộc (con nhỏ, cha mẹ già...) đủ điều kiện giảm trừ gia cảnh:]]</f>
        <v>3 người</v>
      </c>
      <c r="Q335">
        <f>step3_validation[[#This Row],[AI_ENF1]]</f>
        <v>6</v>
      </c>
      <c r="R335" t="str">
        <f t="shared" si="135"/>
        <v>Neutral</v>
      </c>
      <c r="S335">
        <f>survey_responses[[#This Row],[Tôi tin rằng với các quy định quản lý thuế hiện nay, hành vi gian lận hoặc trốn thuế sẽ dễ dàng bị phát hiện và xử lý nghiêm. - HUMAN-ENF1]]</f>
        <v>2</v>
      </c>
      <c r="T335" t="str">
        <f t="shared" si="136"/>
        <v>Oppose</v>
      </c>
      <c r="U335" s="32">
        <f t="shared" si="137"/>
        <v>4</v>
      </c>
      <c r="V335">
        <f>step3_validation[[#This Row],[AI_ENF2]]</f>
        <v>6</v>
      </c>
      <c r="W335" t="str">
        <f t="shared" si="138"/>
        <v>Neutral</v>
      </c>
      <c r="X335">
        <f>survey_responses[[#This Row],[Tôi tin rằng Nhà nước, cơ quan thuế có đủ khả năng và công nghệ để phát hiện, xử lý nghiêm các hành vi trốn thuế. - HUMAN-ENF2]]</f>
        <v>2</v>
      </c>
      <c r="Y335" t="str">
        <f t="shared" si="139"/>
        <v>Oppose</v>
      </c>
      <c r="Z335" s="32">
        <f t="shared" si="140"/>
        <v>4</v>
      </c>
      <c r="AA335">
        <f>step3_validation[[#This Row],[AI_FAC1]]</f>
        <v>8</v>
      </c>
      <c r="AB335" t="str">
        <f t="shared" si="141"/>
        <v>Support</v>
      </c>
      <c r="AC335">
        <f>survey_responses[[#This Row],[Các thủ tục khai báo thuế VÀ/HOẶC quy trình làm việc với cơ quan thuế đơn giản, tiện lợi, nhanh chóng hơn so với trước đây. - HUMAN-FAC1]]</f>
        <v>3</v>
      </c>
      <c r="AD335" t="str">
        <f t="shared" si="142"/>
        <v>Oppose</v>
      </c>
      <c r="AE335" s="32">
        <f t="shared" si="143"/>
        <v>5</v>
      </c>
      <c r="AF335">
        <f>step3_validation[[#This Row],[AI_FAC2]]</f>
        <v>9</v>
      </c>
      <c r="AG335" t="str">
        <f t="shared" si="144"/>
        <v>Support</v>
      </c>
      <c r="AH335">
        <f>survey_responses[[#This Row],[So với trước đây, tôi thấy cách tính thuế và các bậc thuế trong phương án mới đơn giản, dễ hiểu và dễ thực hiện hơn. - HUMAN-FAC2]]</f>
        <v>5</v>
      </c>
      <c r="AI335" t="str">
        <f t="shared" si="145"/>
        <v>Neutral</v>
      </c>
      <c r="AJ335" s="32">
        <f t="shared" si="146"/>
        <v>4</v>
      </c>
      <c r="AK335">
        <f>step3_validation[[#This Row],[AI_TRU1]]</f>
        <v>7</v>
      </c>
      <c r="AL335" t="str">
        <f t="shared" si="147"/>
        <v>Neutral</v>
      </c>
      <c r="AM335">
        <f>survey_responses[[#This Row],[Tôi tin rằng Nhà nước, cơ quan thuế sẽ thực thi chính sách mới một cách khách quan, công tâm và đối xử bình đẳng với mọi người nộp thuế.  - HUMAN-TRU1]]</f>
        <v>1</v>
      </c>
      <c r="AN335" t="str">
        <f t="shared" si="148"/>
        <v>Oppose</v>
      </c>
      <c r="AO335" s="32">
        <f t="shared" si="149"/>
        <v>6</v>
      </c>
      <c r="AP335">
        <f>step3_validation[[#This Row],[AI_TRU2]]</f>
        <v>8</v>
      </c>
      <c r="AQ335" t="str">
        <f t="shared" si="150"/>
        <v>Support</v>
      </c>
      <c r="AR335">
        <f>survey_responses[[#This Row],[Tôi thấy mức thuế tôi phải đóng theo phương án mới là công bằng (người thu nhập như tôi đóng mức này là hợp lý). - HUMAN-TRU2]]</f>
        <v>1</v>
      </c>
      <c r="AS335" t="str">
        <f t="shared" si="151"/>
        <v>Oppose</v>
      </c>
      <c r="AT335" s="32">
        <f t="shared" si="152"/>
        <v>7</v>
      </c>
      <c r="AU335">
        <f>step3_validation[[#This Row],[AI_TRU3]]</f>
        <v>7</v>
      </c>
      <c r="AV335" t="str">
        <f t="shared" si="153"/>
        <v>Neutral</v>
      </c>
      <c r="AW335">
        <f>survey_responses[[#This Row],[Tôi tin tưởng số tiền thuế tôi đóng sẽ được Nhà nước sử dụng hiệu quả để cải thiện dịch vụ công (y tế, đường xá...). - HUMAN-TRU3]]</f>
        <v>1</v>
      </c>
      <c r="AX335" t="str">
        <f t="shared" si="154"/>
        <v>Oppose</v>
      </c>
      <c r="AY335" s="32">
        <f t="shared" si="155"/>
        <v>6</v>
      </c>
      <c r="AZ335">
        <f>step3_validation[[#This Row],[AI_TRU4]]</f>
        <v>6</v>
      </c>
      <c r="BA335" t="str">
        <f t="shared" si="156"/>
        <v>Neutral</v>
      </c>
      <c r="BB335">
        <f>survey_responses[[#This Row],[Tôi thấy Nhà nước đã giải thích rõ ràng, minh bạch về lý do và mục tiêu của việc sửa đổi thuế lần này. - HUMAN-TRU4]]</f>
        <v>3</v>
      </c>
      <c r="BC335" t="str">
        <f t="shared" si="157"/>
        <v>Oppose</v>
      </c>
      <c r="BD335" s="32">
        <f t="shared" si="158"/>
        <v>3</v>
      </c>
      <c r="BE335">
        <f>step3_validation[[#This Row],[AI_OUT1]]</f>
        <v>8</v>
      </c>
      <c r="BF335" t="str">
        <f t="shared" si="159"/>
        <v>Support</v>
      </c>
      <c r="BG335">
        <f>survey_responses[[#This Row],[Sau khi xem xét các quyền lợi và nghĩa vụ, bạn có ủng hộ và tuân thủ chính sách mới hiện nay? - HUMAN-OUT1]]</f>
        <v>1</v>
      </c>
      <c r="BH335" t="str">
        <f t="shared" si="160"/>
        <v>Oppose</v>
      </c>
      <c r="BI335" s="32">
        <f t="shared" si="161"/>
        <v>7</v>
      </c>
    </row>
    <row r="336" spans="1:61" x14ac:dyDescent="0.45">
      <c r="A336" s="30">
        <f>step3_validation[[#This Row],[Persona_ID]]</f>
        <v>335</v>
      </c>
      <c r="B336" s="31">
        <f>step3_validation[[#This Row],[Used_Seed]]</f>
        <v>335</v>
      </c>
      <c r="C336" t="str">
        <f>step3_validation[[#This Row],[Gender]]</f>
        <v>Nam</v>
      </c>
      <c r="D336" t="str">
        <f>survey_responses[[#This Row],[Giới tính của bạn:]]</f>
        <v>Nam</v>
      </c>
      <c r="E336" t="str">
        <f>step3_validation[[#This Row],[Age_Group]]</f>
        <v>18 - 24</v>
      </c>
      <c r="F336" t="str">
        <f>survey_responses[[#This Row],[Độ tuổi của bạn:]]</f>
        <v>18 - 24</v>
      </c>
      <c r="G336" t="str">
        <f>step3_validation[[#This Row],[Region]]</f>
        <v>Thành thị</v>
      </c>
      <c r="H336" t="str">
        <f>survey_responses[[#This Row],[Khu vực bạn đang sinh sống:]]</f>
        <v>Thành thị</v>
      </c>
      <c r="I336" t="str">
        <f>step3_validation[[#This Row],[Education]]</f>
        <v>Đại học</v>
      </c>
      <c r="J336" t="str">
        <f>survey_responses[[#This Row],[Trình độ học vấn cao nhất:]]</f>
        <v>Đại học</v>
      </c>
      <c r="K336" t="str">
        <f>step3_validation[[#This Row],[Employment]]</f>
        <v>Chính thức</v>
      </c>
      <c r="L336" t="str">
        <f>survey_responses[[#This Row],[Tình trạng việc làm chính:]]</f>
        <v>Khu vực chính thức (Có Hợp đồng lao động, đóng BHXH)</v>
      </c>
      <c r="M336">
        <f>step3_validation[[#This Row],[Income_Mil]]</f>
        <v>13.638316438911778</v>
      </c>
      <c r="N336" t="str">
        <f>survey_responses[[#This Row],[Thu nhập bình quân tháng theo Hợp đồng lao động của bạn là bao nhiêu? (Vui lòng điền tổng thu nhập trước khi khấu trừ các loại Bảo hiểm (BHXH, BHYT, BHTN) và Thuế TNCN)]]</f>
        <v>Từ 12 - 18 triệu VNĐ</v>
      </c>
      <c r="O336">
        <f>step3_validation[[#This Row],[Dependents]]</f>
        <v>0</v>
      </c>
      <c r="P336" t="str">
        <f>survey_responses[[#This Row],[Số người phụ thuộc (con nhỏ, cha mẹ già...) đủ điều kiện giảm trừ gia cảnh:]]</f>
        <v>0 người</v>
      </c>
      <c r="Q336">
        <f>step3_validation[[#This Row],[AI_ENF1]]</f>
        <v>8</v>
      </c>
      <c r="R336" t="str">
        <f t="shared" si="135"/>
        <v>Support</v>
      </c>
      <c r="S336">
        <f>survey_responses[[#This Row],[Tôi tin rằng với các quy định quản lý thuế hiện nay, hành vi gian lận hoặc trốn thuế sẽ dễ dàng bị phát hiện và xử lý nghiêm. - HUMAN-ENF1]]</f>
        <v>7</v>
      </c>
      <c r="T336" t="str">
        <f t="shared" si="136"/>
        <v>Neutral</v>
      </c>
      <c r="U336" s="32">
        <f t="shared" si="137"/>
        <v>1</v>
      </c>
      <c r="V336">
        <f>step3_validation[[#This Row],[AI_ENF2]]</f>
        <v>9</v>
      </c>
      <c r="W336" t="str">
        <f t="shared" si="138"/>
        <v>Support</v>
      </c>
      <c r="X336">
        <f>survey_responses[[#This Row],[Tôi tin rằng Nhà nước, cơ quan thuế có đủ khả năng và công nghệ để phát hiện, xử lý nghiêm các hành vi trốn thuế. - HUMAN-ENF2]]</f>
        <v>7</v>
      </c>
      <c r="Y336" t="str">
        <f t="shared" si="139"/>
        <v>Neutral</v>
      </c>
      <c r="Z336" s="32">
        <f t="shared" si="140"/>
        <v>2</v>
      </c>
      <c r="AA336">
        <f>step3_validation[[#This Row],[AI_FAC1]]</f>
        <v>8</v>
      </c>
      <c r="AB336" t="str">
        <f t="shared" si="141"/>
        <v>Support</v>
      </c>
      <c r="AC336">
        <f>survey_responses[[#This Row],[Các thủ tục khai báo thuế VÀ/HOẶC quy trình làm việc với cơ quan thuế đơn giản, tiện lợi, nhanh chóng hơn so với trước đây. - HUMAN-FAC1]]</f>
        <v>8</v>
      </c>
      <c r="AD336" t="str">
        <f t="shared" si="142"/>
        <v>Support</v>
      </c>
      <c r="AE336" s="32">
        <f t="shared" si="143"/>
        <v>0</v>
      </c>
      <c r="AF336">
        <f>step3_validation[[#This Row],[AI_FAC2]]</f>
        <v>9</v>
      </c>
      <c r="AG336" t="str">
        <f t="shared" si="144"/>
        <v>Support</v>
      </c>
      <c r="AH336">
        <f>survey_responses[[#This Row],[So với trước đây, tôi thấy cách tính thuế và các bậc thuế trong phương án mới đơn giản, dễ hiểu và dễ thực hiện hơn. - HUMAN-FAC2]]</f>
        <v>10</v>
      </c>
      <c r="AI336" t="str">
        <f t="shared" si="145"/>
        <v>Support</v>
      </c>
      <c r="AJ336" s="32">
        <f t="shared" si="146"/>
        <v>1</v>
      </c>
      <c r="AK336">
        <f>step3_validation[[#This Row],[AI_TRU1]]</f>
        <v>8</v>
      </c>
      <c r="AL336" t="str">
        <f t="shared" si="147"/>
        <v>Support</v>
      </c>
      <c r="AM336">
        <f>survey_responses[[#This Row],[Tôi tin rằng Nhà nước, cơ quan thuế sẽ thực thi chính sách mới một cách khách quan, công tâm và đối xử bình đẳng với mọi người nộp thuế.  - HUMAN-TRU1]]</f>
        <v>9</v>
      </c>
      <c r="AN336" t="str">
        <f t="shared" si="148"/>
        <v>Support</v>
      </c>
      <c r="AO336" s="32">
        <f t="shared" si="149"/>
        <v>1</v>
      </c>
      <c r="AP336">
        <f>step3_validation[[#This Row],[AI_TRU2]]</f>
        <v>9</v>
      </c>
      <c r="AQ336" t="str">
        <f t="shared" si="150"/>
        <v>Support</v>
      </c>
      <c r="AR336">
        <f>survey_responses[[#This Row],[Tôi thấy mức thuế tôi phải đóng theo phương án mới là công bằng (người thu nhập như tôi đóng mức này là hợp lý). - HUMAN-TRU2]]</f>
        <v>10</v>
      </c>
      <c r="AS336" t="str">
        <f t="shared" si="151"/>
        <v>Support</v>
      </c>
      <c r="AT336" s="32">
        <f t="shared" si="152"/>
        <v>1</v>
      </c>
      <c r="AU336">
        <f>step3_validation[[#This Row],[AI_TRU3]]</f>
        <v>8</v>
      </c>
      <c r="AV336" t="str">
        <f t="shared" si="153"/>
        <v>Support</v>
      </c>
      <c r="AW336">
        <f>survey_responses[[#This Row],[Tôi tin tưởng số tiền thuế tôi đóng sẽ được Nhà nước sử dụng hiệu quả để cải thiện dịch vụ công (y tế, đường xá...). - HUMAN-TRU3]]</f>
        <v>8</v>
      </c>
      <c r="AX336" t="str">
        <f t="shared" si="154"/>
        <v>Support</v>
      </c>
      <c r="AY336" s="32">
        <f t="shared" si="155"/>
        <v>0</v>
      </c>
      <c r="AZ336">
        <f>step3_validation[[#This Row],[AI_TRU4]]</f>
        <v>9</v>
      </c>
      <c r="BA336" t="str">
        <f t="shared" si="156"/>
        <v>Support</v>
      </c>
      <c r="BB336">
        <f>survey_responses[[#This Row],[Tôi thấy Nhà nước đã giải thích rõ ràng, minh bạch về lý do và mục tiêu của việc sửa đổi thuế lần này. - HUMAN-TRU4]]</f>
        <v>8</v>
      </c>
      <c r="BC336" t="str">
        <f t="shared" si="157"/>
        <v>Support</v>
      </c>
      <c r="BD336" s="32">
        <f t="shared" si="158"/>
        <v>1</v>
      </c>
      <c r="BE336">
        <f>step3_validation[[#This Row],[AI_OUT1]]</f>
        <v>8</v>
      </c>
      <c r="BF336" t="str">
        <f t="shared" si="159"/>
        <v>Support</v>
      </c>
      <c r="BG336">
        <f>survey_responses[[#This Row],[Sau khi xem xét các quyền lợi và nghĩa vụ, bạn có ủng hộ và tuân thủ chính sách mới hiện nay? - HUMAN-OUT1]]</f>
        <v>10</v>
      </c>
      <c r="BH336" t="str">
        <f t="shared" si="160"/>
        <v>Support</v>
      </c>
      <c r="BI336" s="32">
        <f t="shared" si="161"/>
        <v>2</v>
      </c>
    </row>
    <row r="337" spans="1:61" x14ac:dyDescent="0.45">
      <c r="A337" s="30">
        <f>step3_validation[[#This Row],[Persona_ID]]</f>
        <v>336</v>
      </c>
      <c r="B337" s="31">
        <f>step3_validation[[#This Row],[Used_Seed]]</f>
        <v>336</v>
      </c>
      <c r="C337" t="str">
        <f>step3_validation[[#This Row],[Gender]]</f>
        <v>Nữ</v>
      </c>
      <c r="D337" t="str">
        <f>survey_responses[[#This Row],[Giới tính của bạn:]]</f>
        <v>Nữ</v>
      </c>
      <c r="E337" t="str">
        <f>step3_validation[[#This Row],[Age_Group]]</f>
        <v>25 - 29</v>
      </c>
      <c r="F337" t="str">
        <f>survey_responses[[#This Row],[Độ tuổi của bạn:]]</f>
        <v>25 - 29</v>
      </c>
      <c r="G337" t="str">
        <f>step3_validation[[#This Row],[Region]]</f>
        <v>Thành thị</v>
      </c>
      <c r="H337" t="str">
        <f>survey_responses[[#This Row],[Khu vực bạn đang sinh sống:]]</f>
        <v>Thành thị</v>
      </c>
      <c r="I337" t="str">
        <f>step3_validation[[#This Row],[Education]]</f>
        <v>Đại học</v>
      </c>
      <c r="J337" t="str">
        <f>survey_responses[[#This Row],[Trình độ học vấn cao nhất:]]</f>
        <v>Đại học</v>
      </c>
      <c r="K337" t="str">
        <f>step3_validation[[#This Row],[Employment]]</f>
        <v>Chính thức</v>
      </c>
      <c r="L337" t="str">
        <f>survey_responses[[#This Row],[Tình trạng việc làm chính:]]</f>
        <v>Khu vực chính thức (Có Hợp đồng lao động, đóng BHXH)</v>
      </c>
      <c r="M337">
        <f>step3_validation[[#This Row],[Income_Mil]]</f>
        <v>21.777965169755465</v>
      </c>
      <c r="N337" t="str">
        <f>survey_responses[[#This Row],[Thu nhập bình quân tháng theo Hợp đồng lao động của bạn là bao nhiêu? (Vui lòng điền tổng thu nhập trước khi khấu trừ các loại Bảo hiểm (BHXH, BHYT, BHTN) và Thuế TNCN)]]</f>
        <v>Từ 18 - 23 triệu VNĐ</v>
      </c>
      <c r="O337">
        <f>step3_validation[[#This Row],[Dependents]]</f>
        <v>0</v>
      </c>
      <c r="P337" t="str">
        <f>survey_responses[[#This Row],[Số người phụ thuộc (con nhỏ, cha mẹ già...) đủ điều kiện giảm trừ gia cảnh:]]</f>
        <v>0 người</v>
      </c>
      <c r="Q337">
        <f>step3_validation[[#This Row],[AI_ENF1]]</f>
        <v>7</v>
      </c>
      <c r="R337" t="str">
        <f t="shared" si="135"/>
        <v>Neutral</v>
      </c>
      <c r="S337">
        <f>survey_responses[[#This Row],[Tôi tin rằng với các quy định quản lý thuế hiện nay, hành vi gian lận hoặc trốn thuế sẽ dễ dàng bị phát hiện và xử lý nghiêm. - HUMAN-ENF1]]</f>
        <v>4</v>
      </c>
      <c r="T337" t="str">
        <f t="shared" si="136"/>
        <v>Oppose</v>
      </c>
      <c r="U337" s="32">
        <f t="shared" si="137"/>
        <v>3</v>
      </c>
      <c r="V337">
        <f>step3_validation[[#This Row],[AI_ENF2]]</f>
        <v>6</v>
      </c>
      <c r="W337" t="str">
        <f t="shared" si="138"/>
        <v>Neutral</v>
      </c>
      <c r="X337">
        <f>survey_responses[[#This Row],[Tôi tin rằng Nhà nước, cơ quan thuế có đủ khả năng và công nghệ để phát hiện, xử lý nghiêm các hành vi trốn thuế. - HUMAN-ENF2]]</f>
        <v>5</v>
      </c>
      <c r="Y337" t="str">
        <f t="shared" si="139"/>
        <v>Neutral</v>
      </c>
      <c r="Z337" s="32">
        <f t="shared" si="140"/>
        <v>1</v>
      </c>
      <c r="AA337">
        <f>step3_validation[[#This Row],[AI_FAC1]]</f>
        <v>8</v>
      </c>
      <c r="AB337" t="str">
        <f t="shared" si="141"/>
        <v>Support</v>
      </c>
      <c r="AC337">
        <f>survey_responses[[#This Row],[Các thủ tục khai báo thuế VÀ/HOẶC quy trình làm việc với cơ quan thuế đơn giản, tiện lợi, nhanh chóng hơn so với trước đây. - HUMAN-FAC1]]</f>
        <v>5</v>
      </c>
      <c r="AD337" t="str">
        <f t="shared" si="142"/>
        <v>Neutral</v>
      </c>
      <c r="AE337" s="32">
        <f t="shared" si="143"/>
        <v>3</v>
      </c>
      <c r="AF337">
        <f>step3_validation[[#This Row],[AI_FAC2]]</f>
        <v>9</v>
      </c>
      <c r="AG337" t="str">
        <f t="shared" si="144"/>
        <v>Support</v>
      </c>
      <c r="AH337">
        <f>survey_responses[[#This Row],[So với trước đây, tôi thấy cách tính thuế và các bậc thuế trong phương án mới đơn giản, dễ hiểu và dễ thực hiện hơn. - HUMAN-FAC2]]</f>
        <v>6</v>
      </c>
      <c r="AI337" t="str">
        <f t="shared" si="145"/>
        <v>Neutral</v>
      </c>
      <c r="AJ337" s="32">
        <f t="shared" si="146"/>
        <v>3</v>
      </c>
      <c r="AK337">
        <f>step3_validation[[#This Row],[AI_TRU1]]</f>
        <v>7</v>
      </c>
      <c r="AL337" t="str">
        <f t="shared" si="147"/>
        <v>Neutral</v>
      </c>
      <c r="AM337">
        <f>survey_responses[[#This Row],[Tôi tin rằng Nhà nước, cơ quan thuế sẽ thực thi chính sách mới một cách khách quan, công tâm và đối xử bình đẳng với mọi người nộp thuế.  - HUMAN-TRU1]]</f>
        <v>5</v>
      </c>
      <c r="AN337" t="str">
        <f t="shared" si="148"/>
        <v>Neutral</v>
      </c>
      <c r="AO337" s="32">
        <f t="shared" si="149"/>
        <v>2</v>
      </c>
      <c r="AP337">
        <f>step3_validation[[#This Row],[AI_TRU2]]</f>
        <v>9</v>
      </c>
      <c r="AQ337" t="str">
        <f t="shared" si="150"/>
        <v>Support</v>
      </c>
      <c r="AR337">
        <f>survey_responses[[#This Row],[Tôi thấy mức thuế tôi phải đóng theo phương án mới là công bằng (người thu nhập như tôi đóng mức này là hợp lý). - HUMAN-TRU2]]</f>
        <v>6</v>
      </c>
      <c r="AS337" t="str">
        <f t="shared" si="151"/>
        <v>Neutral</v>
      </c>
      <c r="AT337" s="32">
        <f t="shared" si="152"/>
        <v>3</v>
      </c>
      <c r="AU337">
        <f>step3_validation[[#This Row],[AI_TRU3]]</f>
        <v>8</v>
      </c>
      <c r="AV337" t="str">
        <f t="shared" si="153"/>
        <v>Support</v>
      </c>
      <c r="AW337">
        <f>survey_responses[[#This Row],[Tôi tin tưởng số tiền thuế tôi đóng sẽ được Nhà nước sử dụng hiệu quả để cải thiện dịch vụ công (y tế, đường xá...). - HUMAN-TRU3]]</f>
        <v>5</v>
      </c>
      <c r="AX337" t="str">
        <f t="shared" si="154"/>
        <v>Neutral</v>
      </c>
      <c r="AY337" s="32">
        <f t="shared" si="155"/>
        <v>3</v>
      </c>
      <c r="AZ337">
        <f>step3_validation[[#This Row],[AI_TRU4]]</f>
        <v>9</v>
      </c>
      <c r="BA337" t="str">
        <f t="shared" si="156"/>
        <v>Support</v>
      </c>
      <c r="BB337">
        <f>survey_responses[[#This Row],[Tôi thấy Nhà nước đã giải thích rõ ràng, minh bạch về lý do và mục tiêu của việc sửa đổi thuế lần này. - HUMAN-TRU4]]</f>
        <v>5</v>
      </c>
      <c r="BC337" t="str">
        <f t="shared" si="157"/>
        <v>Neutral</v>
      </c>
      <c r="BD337" s="32">
        <f t="shared" si="158"/>
        <v>4</v>
      </c>
      <c r="BE337">
        <f>step3_validation[[#This Row],[AI_OUT1]]</f>
        <v>8</v>
      </c>
      <c r="BF337" t="str">
        <f t="shared" si="159"/>
        <v>Support</v>
      </c>
      <c r="BG337">
        <f>survey_responses[[#This Row],[Sau khi xem xét các quyền lợi và nghĩa vụ, bạn có ủng hộ và tuân thủ chính sách mới hiện nay? - HUMAN-OUT1]]</f>
        <v>6</v>
      </c>
      <c r="BH337" t="str">
        <f t="shared" si="160"/>
        <v>Neutral</v>
      </c>
      <c r="BI337" s="32">
        <f t="shared" si="161"/>
        <v>2</v>
      </c>
    </row>
    <row r="338" spans="1:61" x14ac:dyDescent="0.45">
      <c r="A338" s="30">
        <f>step3_validation[[#This Row],[Persona_ID]]</f>
        <v>337</v>
      </c>
      <c r="B338" s="31">
        <f>step3_validation[[#This Row],[Used_Seed]]</f>
        <v>337</v>
      </c>
      <c r="C338" t="str">
        <f>step3_validation[[#This Row],[Gender]]</f>
        <v>Nam</v>
      </c>
      <c r="D338" t="str">
        <f>survey_responses[[#This Row],[Giới tính của bạn:]]</f>
        <v>Nam</v>
      </c>
      <c r="E338" t="str">
        <f>step3_validation[[#This Row],[Age_Group]]</f>
        <v>30 - 39</v>
      </c>
      <c r="F338" t="str">
        <f>survey_responses[[#This Row],[Độ tuổi của bạn:]]</f>
        <v>30 - 39</v>
      </c>
      <c r="G338" t="str">
        <f>step3_validation[[#This Row],[Region]]</f>
        <v>Thành thị</v>
      </c>
      <c r="H338" t="str">
        <f>survey_responses[[#This Row],[Khu vực bạn đang sinh sống:]]</f>
        <v>Thành thị</v>
      </c>
      <c r="I338" t="str">
        <f>step3_validation[[#This Row],[Education]]</f>
        <v>Đại học</v>
      </c>
      <c r="J338" t="str">
        <f>survey_responses[[#This Row],[Trình độ học vấn cao nhất:]]</f>
        <v>Đại học</v>
      </c>
      <c r="K338" t="str">
        <f>step3_validation[[#This Row],[Employment]]</f>
        <v>Chính thức</v>
      </c>
      <c r="L338" t="str">
        <f>survey_responses[[#This Row],[Tình trạng việc làm chính:]]</f>
        <v>Khu vực chính thức (Có Hợp đồng lao động, đóng BHXH)</v>
      </c>
      <c r="M338">
        <f>step3_validation[[#This Row],[Income_Mil]]</f>
        <v>23.229901331150877</v>
      </c>
      <c r="N338" t="str">
        <f>survey_responses[[#This Row],[Thu nhập bình quân tháng theo Hợp đồng lao động của bạn là bao nhiêu? (Vui lòng điền tổng thu nhập trước khi khấu trừ các loại Bảo hiểm (BHXH, BHYT, BHTN) và Thuế TNCN)]]</f>
        <v>Từ 23 - 32 triệu VNĐ</v>
      </c>
      <c r="O338">
        <f>step3_validation[[#This Row],[Dependents]]</f>
        <v>0</v>
      </c>
      <c r="P338" t="str">
        <f>survey_responses[[#This Row],[Số người phụ thuộc (con nhỏ, cha mẹ già...) đủ điều kiện giảm trừ gia cảnh:]]</f>
        <v>0 người</v>
      </c>
      <c r="Q338">
        <f>step3_validation[[#This Row],[AI_ENF1]]</f>
        <v>8</v>
      </c>
      <c r="R338" t="str">
        <f t="shared" si="135"/>
        <v>Support</v>
      </c>
      <c r="S338">
        <f>survey_responses[[#This Row],[Tôi tin rằng với các quy định quản lý thuế hiện nay, hành vi gian lận hoặc trốn thuế sẽ dễ dàng bị phát hiện và xử lý nghiêm. - HUMAN-ENF1]]</f>
        <v>7</v>
      </c>
      <c r="T338" t="str">
        <f t="shared" si="136"/>
        <v>Neutral</v>
      </c>
      <c r="U338" s="32">
        <f t="shared" si="137"/>
        <v>1</v>
      </c>
      <c r="V338">
        <f>step3_validation[[#This Row],[AI_ENF2]]</f>
        <v>8</v>
      </c>
      <c r="W338" t="str">
        <f t="shared" si="138"/>
        <v>Support</v>
      </c>
      <c r="X338">
        <f>survey_responses[[#This Row],[Tôi tin rằng Nhà nước, cơ quan thuế có đủ khả năng và công nghệ để phát hiện, xử lý nghiêm các hành vi trốn thuế. - HUMAN-ENF2]]</f>
        <v>8</v>
      </c>
      <c r="Y338" t="str">
        <f t="shared" si="139"/>
        <v>Support</v>
      </c>
      <c r="Z338" s="32">
        <f t="shared" si="140"/>
        <v>0</v>
      </c>
      <c r="AA338">
        <f>step3_validation[[#This Row],[AI_FAC1]]</f>
        <v>9</v>
      </c>
      <c r="AB338" t="str">
        <f t="shared" si="141"/>
        <v>Support</v>
      </c>
      <c r="AC338">
        <f>survey_responses[[#This Row],[Các thủ tục khai báo thuế VÀ/HOẶC quy trình làm việc với cơ quan thuế đơn giản, tiện lợi, nhanh chóng hơn so với trước đây. - HUMAN-FAC1]]</f>
        <v>7</v>
      </c>
      <c r="AD338" t="str">
        <f t="shared" si="142"/>
        <v>Neutral</v>
      </c>
      <c r="AE338" s="32">
        <f t="shared" si="143"/>
        <v>2</v>
      </c>
      <c r="AF338">
        <f>step3_validation[[#This Row],[AI_FAC2]]</f>
        <v>9</v>
      </c>
      <c r="AG338" t="str">
        <f t="shared" si="144"/>
        <v>Support</v>
      </c>
      <c r="AH338">
        <f>survey_responses[[#This Row],[So với trước đây, tôi thấy cách tính thuế và các bậc thuế trong phương án mới đơn giản, dễ hiểu và dễ thực hiện hơn. - HUMAN-FAC2]]</f>
        <v>7</v>
      </c>
      <c r="AI338" t="str">
        <f t="shared" si="145"/>
        <v>Neutral</v>
      </c>
      <c r="AJ338" s="32">
        <f t="shared" si="146"/>
        <v>2</v>
      </c>
      <c r="AK338">
        <f>step3_validation[[#This Row],[AI_TRU1]]</f>
        <v>8</v>
      </c>
      <c r="AL338" t="str">
        <f t="shared" si="147"/>
        <v>Support</v>
      </c>
      <c r="AM338">
        <f>survey_responses[[#This Row],[Tôi tin rằng Nhà nước, cơ quan thuế sẽ thực thi chính sách mới một cách khách quan, công tâm và đối xử bình đẳng với mọi người nộp thuế.  - HUMAN-TRU1]]</f>
        <v>6</v>
      </c>
      <c r="AN338" t="str">
        <f t="shared" si="148"/>
        <v>Neutral</v>
      </c>
      <c r="AO338" s="32">
        <f t="shared" si="149"/>
        <v>2</v>
      </c>
      <c r="AP338">
        <f>step3_validation[[#This Row],[AI_TRU2]]</f>
        <v>8</v>
      </c>
      <c r="AQ338" t="str">
        <f t="shared" si="150"/>
        <v>Support</v>
      </c>
      <c r="AR338">
        <f>survey_responses[[#This Row],[Tôi thấy mức thuế tôi phải đóng theo phương án mới là công bằng (người thu nhập như tôi đóng mức này là hợp lý). - HUMAN-TRU2]]</f>
        <v>8</v>
      </c>
      <c r="AS338" t="str">
        <f t="shared" si="151"/>
        <v>Support</v>
      </c>
      <c r="AT338" s="32">
        <f t="shared" si="152"/>
        <v>0</v>
      </c>
      <c r="AU338">
        <f>step3_validation[[#This Row],[AI_TRU3]]</f>
        <v>7</v>
      </c>
      <c r="AV338" t="str">
        <f t="shared" si="153"/>
        <v>Neutral</v>
      </c>
      <c r="AW338">
        <f>survey_responses[[#This Row],[Tôi tin tưởng số tiền thuế tôi đóng sẽ được Nhà nước sử dụng hiệu quả để cải thiện dịch vụ công (y tế, đường xá...). - HUMAN-TRU3]]</f>
        <v>6</v>
      </c>
      <c r="AX338" t="str">
        <f t="shared" si="154"/>
        <v>Neutral</v>
      </c>
      <c r="AY338" s="32">
        <f t="shared" si="155"/>
        <v>1</v>
      </c>
      <c r="AZ338">
        <f>step3_validation[[#This Row],[AI_TRU4]]</f>
        <v>8</v>
      </c>
      <c r="BA338" t="str">
        <f t="shared" si="156"/>
        <v>Support</v>
      </c>
      <c r="BB338">
        <f>survey_responses[[#This Row],[Tôi thấy Nhà nước đã giải thích rõ ràng, minh bạch về lý do và mục tiêu của việc sửa đổi thuế lần này. - HUMAN-TRU4]]</f>
        <v>8</v>
      </c>
      <c r="BC338" t="str">
        <f t="shared" si="157"/>
        <v>Support</v>
      </c>
      <c r="BD338" s="32">
        <f t="shared" si="158"/>
        <v>0</v>
      </c>
      <c r="BE338">
        <f>step3_validation[[#This Row],[AI_OUT1]]</f>
        <v>9</v>
      </c>
      <c r="BF338" t="str">
        <f t="shared" si="159"/>
        <v>Support</v>
      </c>
      <c r="BG338">
        <f>survey_responses[[#This Row],[Sau khi xem xét các quyền lợi và nghĩa vụ, bạn có ủng hộ và tuân thủ chính sách mới hiện nay? - HUMAN-OUT1]]</f>
        <v>8</v>
      </c>
      <c r="BH338" t="str">
        <f t="shared" si="160"/>
        <v>Support</v>
      </c>
      <c r="BI338" s="32">
        <f t="shared" si="161"/>
        <v>1</v>
      </c>
    </row>
    <row r="339" spans="1:61" x14ac:dyDescent="0.45">
      <c r="A339" s="30">
        <f>step3_validation[[#This Row],[Persona_ID]]</f>
        <v>338</v>
      </c>
      <c r="B339" s="31">
        <f>step3_validation[[#This Row],[Used_Seed]]</f>
        <v>338</v>
      </c>
      <c r="C339" t="str">
        <f>step3_validation[[#This Row],[Gender]]</f>
        <v>Nam</v>
      </c>
      <c r="D339" t="str">
        <f>survey_responses[[#This Row],[Giới tính của bạn:]]</f>
        <v>Nam</v>
      </c>
      <c r="E339" t="str">
        <f>step3_validation[[#This Row],[Age_Group]]</f>
        <v>18 - 24</v>
      </c>
      <c r="F339" t="str">
        <f>survey_responses[[#This Row],[Độ tuổi của bạn:]]</f>
        <v>18 - 24</v>
      </c>
      <c r="G339" t="str">
        <f>step3_validation[[#This Row],[Region]]</f>
        <v>Thành thị</v>
      </c>
      <c r="H339" t="str">
        <f>survey_responses[[#This Row],[Khu vực bạn đang sinh sống:]]</f>
        <v>Thành thị</v>
      </c>
      <c r="I339" t="str">
        <f>step3_validation[[#This Row],[Education]]</f>
        <v>Đại học</v>
      </c>
      <c r="J339" t="str">
        <f>survey_responses[[#This Row],[Trình độ học vấn cao nhất:]]</f>
        <v>Đại học</v>
      </c>
      <c r="K339" t="str">
        <f>step3_validation[[#This Row],[Employment]]</f>
        <v>Chính thức</v>
      </c>
      <c r="L339" t="str">
        <f>survey_responses[[#This Row],[Tình trạng việc làm chính:]]</f>
        <v>Khu vực chính thức (Có Hợp đồng lao động, đóng BHXH)</v>
      </c>
      <c r="M339">
        <f>step3_validation[[#This Row],[Income_Mil]]</f>
        <v>15.759082668153212</v>
      </c>
      <c r="N339" t="str">
        <f>survey_responses[[#This Row],[Thu nhập bình quân tháng theo Hợp đồng lao động của bạn là bao nhiêu? (Vui lòng điền tổng thu nhập trước khi khấu trừ các loại Bảo hiểm (BHXH, BHYT, BHTN) và Thuế TNCN)]]</f>
        <v>Từ 12 - 18 triệu VNĐ</v>
      </c>
      <c r="O339">
        <f>step3_validation[[#This Row],[Dependents]]</f>
        <v>0</v>
      </c>
      <c r="P339" t="str">
        <f>survey_responses[[#This Row],[Số người phụ thuộc (con nhỏ, cha mẹ già...) đủ điều kiện giảm trừ gia cảnh:]]</f>
        <v>0 người</v>
      </c>
      <c r="Q339">
        <f>step3_validation[[#This Row],[AI_ENF1]]</f>
        <v>5</v>
      </c>
      <c r="R339" t="str">
        <f t="shared" si="135"/>
        <v>Neutral</v>
      </c>
      <c r="S339">
        <f>survey_responses[[#This Row],[Tôi tin rằng với các quy định quản lý thuế hiện nay, hành vi gian lận hoặc trốn thuế sẽ dễ dàng bị phát hiện và xử lý nghiêm. - HUMAN-ENF1]]</f>
        <v>8</v>
      </c>
      <c r="T339" t="str">
        <f t="shared" si="136"/>
        <v>Support</v>
      </c>
      <c r="U339" s="32">
        <f t="shared" si="137"/>
        <v>3</v>
      </c>
      <c r="V339">
        <f>step3_validation[[#This Row],[AI_ENF2]]</f>
        <v>6</v>
      </c>
      <c r="W339" t="str">
        <f t="shared" si="138"/>
        <v>Neutral</v>
      </c>
      <c r="X339">
        <f>survey_responses[[#This Row],[Tôi tin rằng Nhà nước, cơ quan thuế có đủ khả năng và công nghệ để phát hiện, xử lý nghiêm các hành vi trốn thuế. - HUMAN-ENF2]]</f>
        <v>8</v>
      </c>
      <c r="Y339" t="str">
        <f t="shared" si="139"/>
        <v>Support</v>
      </c>
      <c r="Z339" s="32">
        <f t="shared" si="140"/>
        <v>2</v>
      </c>
      <c r="AA339">
        <f>step3_validation[[#This Row],[AI_FAC1]]</f>
        <v>8</v>
      </c>
      <c r="AB339" t="str">
        <f t="shared" si="141"/>
        <v>Support</v>
      </c>
      <c r="AC339">
        <f>survey_responses[[#This Row],[Các thủ tục khai báo thuế VÀ/HOẶC quy trình làm việc với cơ quan thuế đơn giản, tiện lợi, nhanh chóng hơn so với trước đây. - HUMAN-FAC1]]</f>
        <v>9</v>
      </c>
      <c r="AD339" t="str">
        <f t="shared" si="142"/>
        <v>Support</v>
      </c>
      <c r="AE339" s="32">
        <f t="shared" si="143"/>
        <v>1</v>
      </c>
      <c r="AF339">
        <f>step3_validation[[#This Row],[AI_FAC2]]</f>
        <v>9</v>
      </c>
      <c r="AG339" t="str">
        <f t="shared" si="144"/>
        <v>Support</v>
      </c>
      <c r="AH339">
        <f>survey_responses[[#This Row],[So với trước đây, tôi thấy cách tính thuế và các bậc thuế trong phương án mới đơn giản, dễ hiểu và dễ thực hiện hơn. - HUMAN-FAC2]]</f>
        <v>9</v>
      </c>
      <c r="AI339" t="str">
        <f t="shared" si="145"/>
        <v>Support</v>
      </c>
      <c r="AJ339" s="32">
        <f t="shared" si="146"/>
        <v>0</v>
      </c>
      <c r="AK339">
        <f>step3_validation[[#This Row],[AI_TRU1]]</f>
        <v>7</v>
      </c>
      <c r="AL339" t="str">
        <f t="shared" si="147"/>
        <v>Neutral</v>
      </c>
      <c r="AM339">
        <f>survey_responses[[#This Row],[Tôi tin rằng Nhà nước, cơ quan thuế sẽ thực thi chính sách mới một cách khách quan, công tâm và đối xử bình đẳng với mọi người nộp thuế.  - HUMAN-TRU1]]</f>
        <v>8</v>
      </c>
      <c r="AN339" t="str">
        <f t="shared" si="148"/>
        <v>Support</v>
      </c>
      <c r="AO339" s="32">
        <f t="shared" si="149"/>
        <v>1</v>
      </c>
      <c r="AP339">
        <f>step3_validation[[#This Row],[AI_TRU2]]</f>
        <v>9</v>
      </c>
      <c r="AQ339" t="str">
        <f t="shared" si="150"/>
        <v>Support</v>
      </c>
      <c r="AR339">
        <f>survey_responses[[#This Row],[Tôi thấy mức thuế tôi phải đóng theo phương án mới là công bằng (người thu nhập như tôi đóng mức này là hợp lý). - HUMAN-TRU2]]</f>
        <v>9</v>
      </c>
      <c r="AS339" t="str">
        <f t="shared" si="151"/>
        <v>Support</v>
      </c>
      <c r="AT339" s="32">
        <f t="shared" si="152"/>
        <v>0</v>
      </c>
      <c r="AU339">
        <f>step3_validation[[#This Row],[AI_TRU3]]</f>
        <v>7</v>
      </c>
      <c r="AV339" t="str">
        <f t="shared" si="153"/>
        <v>Neutral</v>
      </c>
      <c r="AW339">
        <f>survey_responses[[#This Row],[Tôi tin tưởng số tiền thuế tôi đóng sẽ được Nhà nước sử dụng hiệu quả để cải thiện dịch vụ công (y tế, đường xá...). - HUMAN-TRU3]]</f>
        <v>10</v>
      </c>
      <c r="AX339" t="str">
        <f t="shared" si="154"/>
        <v>Support</v>
      </c>
      <c r="AY339" s="32">
        <f t="shared" si="155"/>
        <v>3</v>
      </c>
      <c r="AZ339">
        <f>step3_validation[[#This Row],[AI_TRU4]]</f>
        <v>6</v>
      </c>
      <c r="BA339" t="str">
        <f t="shared" si="156"/>
        <v>Neutral</v>
      </c>
      <c r="BB339">
        <f>survey_responses[[#This Row],[Tôi thấy Nhà nước đã giải thích rõ ràng, minh bạch về lý do và mục tiêu của việc sửa đổi thuế lần này. - HUMAN-TRU4]]</f>
        <v>9</v>
      </c>
      <c r="BC339" t="str">
        <f t="shared" si="157"/>
        <v>Support</v>
      </c>
      <c r="BD339" s="32">
        <f t="shared" si="158"/>
        <v>3</v>
      </c>
      <c r="BE339">
        <f>step3_validation[[#This Row],[AI_OUT1]]</f>
        <v>9</v>
      </c>
      <c r="BF339" t="str">
        <f t="shared" si="159"/>
        <v>Support</v>
      </c>
      <c r="BG339">
        <f>survey_responses[[#This Row],[Sau khi xem xét các quyền lợi và nghĩa vụ, bạn có ủng hộ và tuân thủ chính sách mới hiện nay? - HUMAN-OUT1]]</f>
        <v>10</v>
      </c>
      <c r="BH339" t="str">
        <f t="shared" si="160"/>
        <v>Support</v>
      </c>
      <c r="BI339" s="32">
        <f t="shared" si="161"/>
        <v>1</v>
      </c>
    </row>
    <row r="340" spans="1:61" x14ac:dyDescent="0.45">
      <c r="A340" s="30">
        <f>step3_validation[[#This Row],[Persona_ID]]</f>
        <v>339</v>
      </c>
      <c r="B340" s="31">
        <f>step3_validation[[#This Row],[Used_Seed]]</f>
        <v>339</v>
      </c>
      <c r="C340" t="str">
        <f>step3_validation[[#This Row],[Gender]]</f>
        <v>Nữ</v>
      </c>
      <c r="D340" t="str">
        <f>survey_responses[[#This Row],[Giới tính của bạn:]]</f>
        <v>Nữ</v>
      </c>
      <c r="E340" t="str">
        <f>step3_validation[[#This Row],[Age_Group]]</f>
        <v>18 - 24</v>
      </c>
      <c r="F340" t="str">
        <f>survey_responses[[#This Row],[Độ tuổi của bạn:]]</f>
        <v>18 - 24</v>
      </c>
      <c r="G340" t="str">
        <f>step3_validation[[#This Row],[Region]]</f>
        <v>Thành thị</v>
      </c>
      <c r="H340" t="str">
        <f>survey_responses[[#This Row],[Khu vực bạn đang sinh sống:]]</f>
        <v>Thành thị</v>
      </c>
      <c r="I340" t="str">
        <f>step3_validation[[#This Row],[Education]]</f>
        <v>Đại học</v>
      </c>
      <c r="J340" t="str">
        <f>survey_responses[[#This Row],[Trình độ học vấn cao nhất:]]</f>
        <v>Đại học</v>
      </c>
      <c r="K340" t="str">
        <f>step3_validation[[#This Row],[Employment]]</f>
        <v>Chính thức</v>
      </c>
      <c r="L340" t="str">
        <f>survey_responses[[#This Row],[Tình trạng việc làm chính:]]</f>
        <v>Khu vực chính thức (Có Hợp đồng lao động, đóng BHXH)</v>
      </c>
      <c r="M340">
        <f>step3_validation[[#This Row],[Income_Mil]]</f>
        <v>13.462811798582948</v>
      </c>
      <c r="N340" t="str">
        <f>survey_responses[[#This Row],[Thu nhập bình quân tháng theo Hợp đồng lao động của bạn là bao nhiêu? (Vui lòng điền tổng thu nhập trước khi khấu trừ các loại Bảo hiểm (BHXH, BHYT, BHTN) và Thuế TNCN)]]</f>
        <v>Từ 12 - 18 triệu VNĐ</v>
      </c>
      <c r="O340">
        <f>step3_validation[[#This Row],[Dependents]]</f>
        <v>0</v>
      </c>
      <c r="P340" t="str">
        <f>survey_responses[[#This Row],[Số người phụ thuộc (con nhỏ, cha mẹ già...) đủ điều kiện giảm trừ gia cảnh:]]</f>
        <v>0 người</v>
      </c>
      <c r="Q340">
        <f>step3_validation[[#This Row],[AI_ENF1]]</f>
        <v>8</v>
      </c>
      <c r="R340" t="str">
        <f t="shared" si="135"/>
        <v>Support</v>
      </c>
      <c r="S340">
        <f>survey_responses[[#This Row],[Tôi tin rằng với các quy định quản lý thuế hiện nay, hành vi gian lận hoặc trốn thuế sẽ dễ dàng bị phát hiện và xử lý nghiêm. - HUMAN-ENF1]]</f>
        <v>7</v>
      </c>
      <c r="T340" t="str">
        <f t="shared" si="136"/>
        <v>Neutral</v>
      </c>
      <c r="U340" s="32">
        <f t="shared" si="137"/>
        <v>1</v>
      </c>
      <c r="V340">
        <f>step3_validation[[#This Row],[AI_ENF2]]</f>
        <v>9</v>
      </c>
      <c r="W340" t="str">
        <f t="shared" si="138"/>
        <v>Support</v>
      </c>
      <c r="X340">
        <f>survey_responses[[#This Row],[Tôi tin rằng Nhà nước, cơ quan thuế có đủ khả năng và công nghệ để phát hiện, xử lý nghiêm các hành vi trốn thuế. - HUMAN-ENF2]]</f>
        <v>7</v>
      </c>
      <c r="Y340" t="str">
        <f t="shared" si="139"/>
        <v>Neutral</v>
      </c>
      <c r="Z340" s="32">
        <f t="shared" si="140"/>
        <v>2</v>
      </c>
      <c r="AA340">
        <f>step3_validation[[#This Row],[AI_FAC1]]</f>
        <v>7</v>
      </c>
      <c r="AB340" t="str">
        <f t="shared" si="141"/>
        <v>Neutral</v>
      </c>
      <c r="AC340">
        <f>survey_responses[[#This Row],[Các thủ tục khai báo thuế VÀ/HOẶC quy trình làm việc với cơ quan thuế đơn giản, tiện lợi, nhanh chóng hơn so với trước đây. - HUMAN-FAC1]]</f>
        <v>8</v>
      </c>
      <c r="AD340" t="str">
        <f t="shared" si="142"/>
        <v>Support</v>
      </c>
      <c r="AE340" s="32">
        <f t="shared" si="143"/>
        <v>1</v>
      </c>
      <c r="AF340">
        <f>step3_validation[[#This Row],[AI_FAC2]]</f>
        <v>9</v>
      </c>
      <c r="AG340" t="str">
        <f t="shared" si="144"/>
        <v>Support</v>
      </c>
      <c r="AH340">
        <f>survey_responses[[#This Row],[So với trước đây, tôi thấy cách tính thuế và các bậc thuế trong phương án mới đơn giản, dễ hiểu và dễ thực hiện hơn. - HUMAN-FAC2]]</f>
        <v>8</v>
      </c>
      <c r="AI340" t="str">
        <f t="shared" si="145"/>
        <v>Support</v>
      </c>
      <c r="AJ340" s="32">
        <f t="shared" si="146"/>
        <v>1</v>
      </c>
      <c r="AK340">
        <f>step3_validation[[#This Row],[AI_TRU1]]</f>
        <v>8</v>
      </c>
      <c r="AL340" t="str">
        <f t="shared" si="147"/>
        <v>Support</v>
      </c>
      <c r="AM340">
        <f>survey_responses[[#This Row],[Tôi tin rằng Nhà nước, cơ quan thuế sẽ thực thi chính sách mới một cách khách quan, công tâm và đối xử bình đẳng với mọi người nộp thuế.  - HUMAN-TRU1]]</f>
        <v>6</v>
      </c>
      <c r="AN340" t="str">
        <f t="shared" si="148"/>
        <v>Neutral</v>
      </c>
      <c r="AO340" s="32">
        <f t="shared" si="149"/>
        <v>2</v>
      </c>
      <c r="AP340">
        <f>step3_validation[[#This Row],[AI_TRU2]]</f>
        <v>9</v>
      </c>
      <c r="AQ340" t="str">
        <f t="shared" si="150"/>
        <v>Support</v>
      </c>
      <c r="AR340">
        <f>survey_responses[[#This Row],[Tôi thấy mức thuế tôi phải đóng theo phương án mới là công bằng (người thu nhập như tôi đóng mức này là hợp lý). - HUMAN-TRU2]]</f>
        <v>7</v>
      </c>
      <c r="AS340" t="str">
        <f t="shared" si="151"/>
        <v>Neutral</v>
      </c>
      <c r="AT340" s="32">
        <f t="shared" si="152"/>
        <v>2</v>
      </c>
      <c r="AU340">
        <f>step3_validation[[#This Row],[AI_TRU3]]</f>
        <v>8</v>
      </c>
      <c r="AV340" t="str">
        <f t="shared" si="153"/>
        <v>Support</v>
      </c>
      <c r="AW340">
        <f>survey_responses[[#This Row],[Tôi tin tưởng số tiền thuế tôi đóng sẽ được Nhà nước sử dụng hiệu quả để cải thiện dịch vụ công (y tế, đường xá...). - HUMAN-TRU3]]</f>
        <v>6</v>
      </c>
      <c r="AX340" t="str">
        <f t="shared" si="154"/>
        <v>Neutral</v>
      </c>
      <c r="AY340" s="32">
        <f t="shared" si="155"/>
        <v>2</v>
      </c>
      <c r="AZ340">
        <f>step3_validation[[#This Row],[AI_TRU4]]</f>
        <v>9</v>
      </c>
      <c r="BA340" t="str">
        <f t="shared" si="156"/>
        <v>Support</v>
      </c>
      <c r="BB340">
        <f>survey_responses[[#This Row],[Tôi thấy Nhà nước đã giải thích rõ ràng, minh bạch về lý do và mục tiêu của việc sửa đổi thuế lần này. - HUMAN-TRU4]]</f>
        <v>6</v>
      </c>
      <c r="BC340" t="str">
        <f t="shared" si="157"/>
        <v>Neutral</v>
      </c>
      <c r="BD340" s="32">
        <f t="shared" si="158"/>
        <v>3</v>
      </c>
      <c r="BE340">
        <f>step3_validation[[#This Row],[AI_OUT1]]</f>
        <v>9</v>
      </c>
      <c r="BF340" t="str">
        <f t="shared" si="159"/>
        <v>Support</v>
      </c>
      <c r="BG340">
        <f>survey_responses[[#This Row],[Sau khi xem xét các quyền lợi và nghĩa vụ, bạn có ủng hộ và tuân thủ chính sách mới hiện nay? - HUMAN-OUT1]]</f>
        <v>7</v>
      </c>
      <c r="BH340" t="str">
        <f t="shared" si="160"/>
        <v>Neutral</v>
      </c>
      <c r="BI340" s="32">
        <f t="shared" si="161"/>
        <v>2</v>
      </c>
    </row>
    <row r="341" spans="1:61" x14ac:dyDescent="0.45">
      <c r="A341" s="30">
        <f>step3_validation[[#This Row],[Persona_ID]]</f>
        <v>340</v>
      </c>
      <c r="B341" s="31">
        <f>step3_validation[[#This Row],[Used_Seed]]</f>
        <v>340</v>
      </c>
      <c r="C341" t="str">
        <f>step3_validation[[#This Row],[Gender]]</f>
        <v>Nam</v>
      </c>
      <c r="D341" t="str">
        <f>survey_responses[[#This Row],[Giới tính của bạn:]]</f>
        <v>Nam</v>
      </c>
      <c r="E341" t="str">
        <f>step3_validation[[#This Row],[Age_Group]]</f>
        <v>25 - 29</v>
      </c>
      <c r="F341" t="str">
        <f>survey_responses[[#This Row],[Độ tuổi của bạn:]]</f>
        <v>25 - 29</v>
      </c>
      <c r="G341" t="str">
        <f>step3_validation[[#This Row],[Region]]</f>
        <v>Thành thị</v>
      </c>
      <c r="H341" t="str">
        <f>survey_responses[[#This Row],[Khu vực bạn đang sinh sống:]]</f>
        <v>Thành thị</v>
      </c>
      <c r="I341" t="str">
        <f>step3_validation[[#This Row],[Education]]</f>
        <v>Đại học</v>
      </c>
      <c r="J341" t="str">
        <f>survey_responses[[#This Row],[Trình độ học vấn cao nhất:]]</f>
        <v>Đại học</v>
      </c>
      <c r="K341" t="str">
        <f>step3_validation[[#This Row],[Employment]]</f>
        <v>Chính thức</v>
      </c>
      <c r="L341" t="str">
        <f>survey_responses[[#This Row],[Tình trạng việc làm chính:]]</f>
        <v>Khu vực chính thức (Có Hợp đồng lao động, đóng BHXH)</v>
      </c>
      <c r="M341">
        <f>step3_validation[[#This Row],[Income_Mil]]</f>
        <v>16.141931199763956</v>
      </c>
      <c r="N341" t="str">
        <f>survey_responses[[#This Row],[Thu nhập bình quân tháng theo Hợp đồng lao động của bạn là bao nhiêu? (Vui lòng điền tổng thu nhập trước khi khấu trừ các loại Bảo hiểm (BHXH, BHYT, BHTN) và Thuế TNCN)]]</f>
        <v>Từ 12 - 18 triệu VNĐ</v>
      </c>
      <c r="O341">
        <f>step3_validation[[#This Row],[Dependents]]</f>
        <v>0</v>
      </c>
      <c r="P341" t="str">
        <f>survey_responses[[#This Row],[Số người phụ thuộc (con nhỏ, cha mẹ già...) đủ điều kiện giảm trừ gia cảnh:]]</f>
        <v>0 người</v>
      </c>
      <c r="Q341">
        <f>step3_validation[[#This Row],[AI_ENF1]]</f>
        <v>7</v>
      </c>
      <c r="R341" t="str">
        <f t="shared" si="135"/>
        <v>Neutral</v>
      </c>
      <c r="S341">
        <f>survey_responses[[#This Row],[Tôi tin rằng với các quy định quản lý thuế hiện nay, hành vi gian lận hoặc trốn thuế sẽ dễ dàng bị phát hiện và xử lý nghiêm. - HUMAN-ENF1]]</f>
        <v>7</v>
      </c>
      <c r="T341" t="str">
        <f t="shared" si="136"/>
        <v>Neutral</v>
      </c>
      <c r="U341" s="32">
        <f t="shared" si="137"/>
        <v>0</v>
      </c>
      <c r="V341">
        <f>step3_validation[[#This Row],[AI_ENF2]]</f>
        <v>8</v>
      </c>
      <c r="W341" t="str">
        <f t="shared" si="138"/>
        <v>Support</v>
      </c>
      <c r="X341">
        <f>survey_responses[[#This Row],[Tôi tin rằng Nhà nước, cơ quan thuế có đủ khả năng và công nghệ để phát hiện, xử lý nghiêm các hành vi trốn thuế. - HUMAN-ENF2]]</f>
        <v>8</v>
      </c>
      <c r="Y341" t="str">
        <f t="shared" si="139"/>
        <v>Support</v>
      </c>
      <c r="Z341" s="32">
        <f t="shared" si="140"/>
        <v>0</v>
      </c>
      <c r="AA341">
        <f>step3_validation[[#This Row],[AI_FAC1]]</f>
        <v>9</v>
      </c>
      <c r="AB341" t="str">
        <f t="shared" si="141"/>
        <v>Support</v>
      </c>
      <c r="AC341">
        <f>survey_responses[[#This Row],[Các thủ tục khai báo thuế VÀ/HOẶC quy trình làm việc với cơ quan thuế đơn giản, tiện lợi, nhanh chóng hơn so với trước đây. - HUMAN-FAC1]]</f>
        <v>8</v>
      </c>
      <c r="AD341" t="str">
        <f t="shared" si="142"/>
        <v>Support</v>
      </c>
      <c r="AE341" s="32">
        <f t="shared" si="143"/>
        <v>1</v>
      </c>
      <c r="AF341">
        <f>step3_validation[[#This Row],[AI_FAC2]]</f>
        <v>10</v>
      </c>
      <c r="AG341" t="str">
        <f t="shared" si="144"/>
        <v>Support</v>
      </c>
      <c r="AH341">
        <f>survey_responses[[#This Row],[So với trước đây, tôi thấy cách tính thuế và các bậc thuế trong phương án mới đơn giản, dễ hiểu và dễ thực hiện hơn. - HUMAN-FAC2]]</f>
        <v>8</v>
      </c>
      <c r="AI341" t="str">
        <f t="shared" si="145"/>
        <v>Support</v>
      </c>
      <c r="AJ341" s="32">
        <f t="shared" si="146"/>
        <v>2</v>
      </c>
      <c r="AK341">
        <f>step3_validation[[#This Row],[AI_TRU1]]</f>
        <v>9</v>
      </c>
      <c r="AL341" t="str">
        <f t="shared" si="147"/>
        <v>Support</v>
      </c>
      <c r="AM341">
        <f>survey_responses[[#This Row],[Tôi tin rằng Nhà nước, cơ quan thuế sẽ thực thi chính sách mới một cách khách quan, công tâm và đối xử bình đẳng với mọi người nộp thuế.  - HUMAN-TRU1]]</f>
        <v>5</v>
      </c>
      <c r="AN341" t="str">
        <f t="shared" si="148"/>
        <v>Neutral</v>
      </c>
      <c r="AO341" s="32">
        <f t="shared" si="149"/>
        <v>4</v>
      </c>
      <c r="AP341">
        <f>step3_validation[[#This Row],[AI_TRU2]]</f>
        <v>8</v>
      </c>
      <c r="AQ341" t="str">
        <f t="shared" si="150"/>
        <v>Support</v>
      </c>
      <c r="AR341">
        <f>survey_responses[[#This Row],[Tôi thấy mức thuế tôi phải đóng theo phương án mới là công bằng (người thu nhập như tôi đóng mức này là hợp lý). - HUMAN-TRU2]]</f>
        <v>8</v>
      </c>
      <c r="AS341" t="str">
        <f t="shared" si="151"/>
        <v>Support</v>
      </c>
      <c r="AT341" s="32">
        <f t="shared" si="152"/>
        <v>0</v>
      </c>
      <c r="AU341">
        <f>step3_validation[[#This Row],[AI_TRU3]]</f>
        <v>9</v>
      </c>
      <c r="AV341" t="str">
        <f t="shared" si="153"/>
        <v>Support</v>
      </c>
      <c r="AW341">
        <f>survey_responses[[#This Row],[Tôi tin tưởng số tiền thuế tôi đóng sẽ được Nhà nước sử dụng hiệu quả để cải thiện dịch vụ công (y tế, đường xá...). - HUMAN-TRU3]]</f>
        <v>5</v>
      </c>
      <c r="AX341" t="str">
        <f t="shared" si="154"/>
        <v>Neutral</v>
      </c>
      <c r="AY341" s="32">
        <f t="shared" si="155"/>
        <v>4</v>
      </c>
      <c r="AZ341">
        <f>step3_validation[[#This Row],[AI_TRU4]]</f>
        <v>8</v>
      </c>
      <c r="BA341" t="str">
        <f t="shared" si="156"/>
        <v>Support</v>
      </c>
      <c r="BB341">
        <f>survey_responses[[#This Row],[Tôi thấy Nhà nước đã giải thích rõ ràng, minh bạch về lý do và mục tiêu của việc sửa đổi thuế lần này. - HUMAN-TRU4]]</f>
        <v>8</v>
      </c>
      <c r="BC341" t="str">
        <f t="shared" si="157"/>
        <v>Support</v>
      </c>
      <c r="BD341" s="32">
        <f t="shared" si="158"/>
        <v>0</v>
      </c>
      <c r="BE341">
        <f>step3_validation[[#This Row],[AI_OUT1]]</f>
        <v>9</v>
      </c>
      <c r="BF341" t="str">
        <f t="shared" si="159"/>
        <v>Support</v>
      </c>
      <c r="BG341">
        <f>survey_responses[[#This Row],[Sau khi xem xét các quyền lợi và nghĩa vụ, bạn có ủng hộ và tuân thủ chính sách mới hiện nay? - HUMAN-OUT1]]</f>
        <v>8</v>
      </c>
      <c r="BH341" t="str">
        <f t="shared" si="160"/>
        <v>Support</v>
      </c>
      <c r="BI341" s="32">
        <f t="shared" si="161"/>
        <v>1</v>
      </c>
    </row>
    <row r="342" spans="1:61" x14ac:dyDescent="0.45">
      <c r="A342" s="30">
        <f>step3_validation[[#This Row],[Persona_ID]]</f>
        <v>341</v>
      </c>
      <c r="B342" s="31">
        <f>step3_validation[[#This Row],[Used_Seed]]</f>
        <v>341</v>
      </c>
      <c r="C342" t="str">
        <f>step3_validation[[#This Row],[Gender]]</f>
        <v>Nữ</v>
      </c>
      <c r="D342" t="str">
        <f>survey_responses[[#This Row],[Giới tính của bạn:]]</f>
        <v>Nữ</v>
      </c>
      <c r="E342" t="str">
        <f>step3_validation[[#This Row],[Age_Group]]</f>
        <v>18 - 24</v>
      </c>
      <c r="F342" t="str">
        <f>survey_responses[[#This Row],[Độ tuổi của bạn:]]</f>
        <v>18 - 24</v>
      </c>
      <c r="G342" t="str">
        <f>step3_validation[[#This Row],[Region]]</f>
        <v>Thành thị</v>
      </c>
      <c r="H342" t="str">
        <f>survey_responses[[#This Row],[Khu vực bạn đang sinh sống:]]</f>
        <v>Thành thị</v>
      </c>
      <c r="I342" t="str">
        <f>step3_validation[[#This Row],[Education]]</f>
        <v>Đại học</v>
      </c>
      <c r="J342" t="str">
        <f>survey_responses[[#This Row],[Trình độ học vấn cao nhất:]]</f>
        <v>Đại học</v>
      </c>
      <c r="K342" t="str">
        <f>step3_validation[[#This Row],[Employment]]</f>
        <v>Chính thức</v>
      </c>
      <c r="L342" t="str">
        <f>survey_responses[[#This Row],[Tình trạng việc làm chính:]]</f>
        <v>Khu vực chính thức (Có Hợp đồng lao động, đóng BHXH)</v>
      </c>
      <c r="M342">
        <f>step3_validation[[#This Row],[Income_Mil]]</f>
        <v>12</v>
      </c>
      <c r="N342" t="str">
        <f>survey_responses[[#This Row],[Thu nhập bình quân tháng theo Hợp đồng lao động của bạn là bao nhiêu? (Vui lòng điền tổng thu nhập trước khi khấu trừ các loại Bảo hiểm (BHXH, BHYT, BHTN) và Thuế TNCN)]]</f>
        <v>Dưới 12 triệu VNĐ</v>
      </c>
      <c r="O342">
        <f>step3_validation[[#This Row],[Dependents]]</f>
        <v>0</v>
      </c>
      <c r="P342" t="str">
        <f>survey_responses[[#This Row],[Số người phụ thuộc (con nhỏ, cha mẹ già...) đủ điều kiện giảm trừ gia cảnh:]]</f>
        <v>0 người</v>
      </c>
      <c r="Q342">
        <f>step3_validation[[#This Row],[AI_ENF1]]</f>
        <v>9</v>
      </c>
      <c r="R342" t="str">
        <f t="shared" si="135"/>
        <v>Support</v>
      </c>
      <c r="S342">
        <f>survey_responses[[#This Row],[Tôi tin rằng với các quy định quản lý thuế hiện nay, hành vi gian lận hoặc trốn thuế sẽ dễ dàng bị phát hiện và xử lý nghiêm. - HUMAN-ENF1]]</f>
        <v>8</v>
      </c>
      <c r="T342" t="str">
        <f t="shared" si="136"/>
        <v>Support</v>
      </c>
      <c r="U342" s="32">
        <f t="shared" si="137"/>
        <v>1</v>
      </c>
      <c r="V342">
        <f>step3_validation[[#This Row],[AI_ENF2]]</f>
        <v>8</v>
      </c>
      <c r="W342" t="str">
        <f t="shared" si="138"/>
        <v>Support</v>
      </c>
      <c r="X342">
        <f>survey_responses[[#This Row],[Tôi tin rằng Nhà nước, cơ quan thuế có đủ khả năng và công nghệ để phát hiện, xử lý nghiêm các hành vi trốn thuế. - HUMAN-ENF2]]</f>
        <v>8</v>
      </c>
      <c r="Y342" t="str">
        <f t="shared" si="139"/>
        <v>Support</v>
      </c>
      <c r="Z342" s="32">
        <f t="shared" si="140"/>
        <v>0</v>
      </c>
      <c r="AA342">
        <f>step3_validation[[#This Row],[AI_FAC1]]</f>
        <v>9</v>
      </c>
      <c r="AB342" t="str">
        <f t="shared" si="141"/>
        <v>Support</v>
      </c>
      <c r="AC342">
        <f>survey_responses[[#This Row],[Các thủ tục khai báo thuế VÀ/HOẶC quy trình làm việc với cơ quan thuế đơn giản, tiện lợi, nhanh chóng hơn so với trước đây. - HUMAN-FAC1]]</f>
        <v>8</v>
      </c>
      <c r="AD342" t="str">
        <f t="shared" si="142"/>
        <v>Support</v>
      </c>
      <c r="AE342" s="32">
        <f t="shared" si="143"/>
        <v>1</v>
      </c>
      <c r="AF342">
        <f>step3_validation[[#This Row],[AI_FAC2]]</f>
        <v>8</v>
      </c>
      <c r="AG342" t="str">
        <f t="shared" si="144"/>
        <v>Support</v>
      </c>
      <c r="AH342">
        <f>survey_responses[[#This Row],[So với trước đây, tôi thấy cách tính thuế và các bậc thuế trong phương án mới đơn giản, dễ hiểu và dễ thực hiện hơn. - HUMAN-FAC2]]</f>
        <v>9</v>
      </c>
      <c r="AI342" t="str">
        <f t="shared" si="145"/>
        <v>Support</v>
      </c>
      <c r="AJ342" s="32">
        <f t="shared" si="146"/>
        <v>1</v>
      </c>
      <c r="AK342">
        <f>step3_validation[[#This Row],[AI_TRU1]]</f>
        <v>7</v>
      </c>
      <c r="AL342" t="str">
        <f t="shared" si="147"/>
        <v>Neutral</v>
      </c>
      <c r="AM342">
        <f>survey_responses[[#This Row],[Tôi tin rằng Nhà nước, cơ quan thuế sẽ thực thi chính sách mới một cách khách quan, công tâm và đối xử bình đẳng với mọi người nộp thuế.  - HUMAN-TRU1]]</f>
        <v>8</v>
      </c>
      <c r="AN342" t="str">
        <f t="shared" si="148"/>
        <v>Support</v>
      </c>
      <c r="AO342" s="32">
        <f t="shared" si="149"/>
        <v>1</v>
      </c>
      <c r="AP342">
        <f>step3_validation[[#This Row],[AI_TRU2]]</f>
        <v>8</v>
      </c>
      <c r="AQ342" t="str">
        <f t="shared" si="150"/>
        <v>Support</v>
      </c>
      <c r="AR342">
        <f>survey_responses[[#This Row],[Tôi thấy mức thuế tôi phải đóng theo phương án mới là công bằng (người thu nhập như tôi đóng mức này là hợp lý). - HUMAN-TRU2]]</f>
        <v>8</v>
      </c>
      <c r="AS342" t="str">
        <f t="shared" si="151"/>
        <v>Support</v>
      </c>
      <c r="AT342" s="32">
        <f t="shared" si="152"/>
        <v>0</v>
      </c>
      <c r="AU342">
        <f>step3_validation[[#This Row],[AI_TRU3]]</f>
        <v>7</v>
      </c>
      <c r="AV342" t="str">
        <f t="shared" si="153"/>
        <v>Neutral</v>
      </c>
      <c r="AW342">
        <f>survey_responses[[#This Row],[Tôi tin tưởng số tiền thuế tôi đóng sẽ được Nhà nước sử dụng hiệu quả để cải thiện dịch vụ công (y tế, đường xá...). - HUMAN-TRU3]]</f>
        <v>7</v>
      </c>
      <c r="AX342" t="str">
        <f t="shared" si="154"/>
        <v>Neutral</v>
      </c>
      <c r="AY342" s="32">
        <f t="shared" si="155"/>
        <v>0</v>
      </c>
      <c r="AZ342">
        <f>step3_validation[[#This Row],[AI_TRU4]]</f>
        <v>8</v>
      </c>
      <c r="BA342" t="str">
        <f t="shared" si="156"/>
        <v>Support</v>
      </c>
      <c r="BB342">
        <f>survey_responses[[#This Row],[Tôi thấy Nhà nước đã giải thích rõ ràng, minh bạch về lý do và mục tiêu của việc sửa đổi thuế lần này. - HUMAN-TRU4]]</f>
        <v>7</v>
      </c>
      <c r="BC342" t="str">
        <f t="shared" si="157"/>
        <v>Neutral</v>
      </c>
      <c r="BD342" s="32">
        <f t="shared" si="158"/>
        <v>1</v>
      </c>
      <c r="BE342">
        <f>step3_validation[[#This Row],[AI_OUT1]]</f>
        <v>9</v>
      </c>
      <c r="BF342" t="str">
        <f t="shared" si="159"/>
        <v>Support</v>
      </c>
      <c r="BG342">
        <f>survey_responses[[#This Row],[Sau khi xem xét các quyền lợi và nghĩa vụ, bạn có ủng hộ và tuân thủ chính sách mới hiện nay? - HUMAN-OUT1]]</f>
        <v>8</v>
      </c>
      <c r="BH342" t="str">
        <f t="shared" si="160"/>
        <v>Support</v>
      </c>
      <c r="BI342" s="32">
        <f t="shared" si="161"/>
        <v>1</v>
      </c>
    </row>
    <row r="343" spans="1:61" x14ac:dyDescent="0.45">
      <c r="A343" s="30">
        <f>step3_validation[[#This Row],[Persona_ID]]</f>
        <v>342</v>
      </c>
      <c r="B343" s="31">
        <f>step3_validation[[#This Row],[Used_Seed]]</f>
        <v>342</v>
      </c>
      <c r="C343" t="str">
        <f>step3_validation[[#This Row],[Gender]]</f>
        <v>Nam</v>
      </c>
      <c r="D343" t="str">
        <f>survey_responses[[#This Row],[Giới tính của bạn:]]</f>
        <v>Nam</v>
      </c>
      <c r="E343" t="str">
        <f>step3_validation[[#This Row],[Age_Group]]</f>
        <v>18 - 24</v>
      </c>
      <c r="F343" t="str">
        <f>survey_responses[[#This Row],[Độ tuổi của bạn:]]</f>
        <v>18 - 24</v>
      </c>
      <c r="G343" t="str">
        <f>step3_validation[[#This Row],[Region]]</f>
        <v>Thành thị</v>
      </c>
      <c r="H343" t="str">
        <f>survey_responses[[#This Row],[Khu vực bạn đang sinh sống:]]</f>
        <v>Thành thị</v>
      </c>
      <c r="I343" t="str">
        <f>step3_validation[[#This Row],[Education]]</f>
        <v>Đại học</v>
      </c>
      <c r="J343" t="str">
        <f>survey_responses[[#This Row],[Trình độ học vấn cao nhất:]]</f>
        <v>Đại học</v>
      </c>
      <c r="K343" t="str">
        <f>step3_validation[[#This Row],[Employment]]</f>
        <v>Chính thức</v>
      </c>
      <c r="L343" t="str">
        <f>survey_responses[[#This Row],[Tình trạng việc làm chính:]]</f>
        <v>Khu vực chính thức (Có Hợp đồng lao động, đóng BHXH)</v>
      </c>
      <c r="M343">
        <f>step3_validation[[#This Row],[Income_Mil]]</f>
        <v>12</v>
      </c>
      <c r="N343" t="str">
        <f>survey_responses[[#This Row],[Thu nhập bình quân tháng theo Hợp đồng lao động của bạn là bao nhiêu? (Vui lòng điền tổng thu nhập trước khi khấu trừ các loại Bảo hiểm (BHXH, BHYT, BHTN) và Thuế TNCN)]]</f>
        <v>Dưới 12 triệu VNĐ</v>
      </c>
      <c r="O343">
        <f>step3_validation[[#This Row],[Dependents]]</f>
        <v>0</v>
      </c>
      <c r="P343" t="str">
        <f>survey_responses[[#This Row],[Số người phụ thuộc (con nhỏ, cha mẹ già...) đủ điều kiện giảm trừ gia cảnh:]]</f>
        <v>0 người</v>
      </c>
      <c r="Q343">
        <f>step3_validation[[#This Row],[AI_ENF1]]</f>
        <v>7</v>
      </c>
      <c r="R343" t="str">
        <f t="shared" si="135"/>
        <v>Neutral</v>
      </c>
      <c r="S343">
        <f>survey_responses[[#This Row],[Tôi tin rằng với các quy định quản lý thuế hiện nay, hành vi gian lận hoặc trốn thuế sẽ dễ dàng bị phát hiện và xử lý nghiêm. - HUMAN-ENF1]]</f>
        <v>5</v>
      </c>
      <c r="T343" t="str">
        <f t="shared" si="136"/>
        <v>Neutral</v>
      </c>
      <c r="U343" s="32">
        <f t="shared" si="137"/>
        <v>2</v>
      </c>
      <c r="V343">
        <f>step3_validation[[#This Row],[AI_ENF2]]</f>
        <v>8</v>
      </c>
      <c r="W343" t="str">
        <f t="shared" si="138"/>
        <v>Support</v>
      </c>
      <c r="X343">
        <f>survey_responses[[#This Row],[Tôi tin rằng Nhà nước, cơ quan thuế có đủ khả năng và công nghệ để phát hiện, xử lý nghiêm các hành vi trốn thuế. - HUMAN-ENF2]]</f>
        <v>5</v>
      </c>
      <c r="Y343" t="str">
        <f t="shared" si="139"/>
        <v>Neutral</v>
      </c>
      <c r="Z343" s="32">
        <f t="shared" si="140"/>
        <v>3</v>
      </c>
      <c r="AA343">
        <f>step3_validation[[#This Row],[AI_FAC1]]</f>
        <v>6</v>
      </c>
      <c r="AB343" t="str">
        <f t="shared" si="141"/>
        <v>Neutral</v>
      </c>
      <c r="AC343">
        <f>survey_responses[[#This Row],[Các thủ tục khai báo thuế VÀ/HOẶC quy trình làm việc với cơ quan thuế đơn giản, tiện lợi, nhanh chóng hơn so với trước đây. - HUMAN-FAC1]]</f>
        <v>6</v>
      </c>
      <c r="AD343" t="str">
        <f t="shared" si="142"/>
        <v>Neutral</v>
      </c>
      <c r="AE343" s="32">
        <f t="shared" si="143"/>
        <v>0</v>
      </c>
      <c r="AF343">
        <f>step3_validation[[#This Row],[AI_FAC2]]</f>
        <v>9</v>
      </c>
      <c r="AG343" t="str">
        <f t="shared" si="144"/>
        <v>Support</v>
      </c>
      <c r="AH343">
        <f>survey_responses[[#This Row],[So với trước đây, tôi thấy cách tính thuế và các bậc thuế trong phương án mới đơn giản, dễ hiểu và dễ thực hiện hơn. - HUMAN-FAC2]]</f>
        <v>7</v>
      </c>
      <c r="AI343" t="str">
        <f t="shared" si="145"/>
        <v>Neutral</v>
      </c>
      <c r="AJ343" s="32">
        <f t="shared" si="146"/>
        <v>2</v>
      </c>
      <c r="AK343">
        <f>step3_validation[[#This Row],[AI_TRU1]]</f>
        <v>7</v>
      </c>
      <c r="AL343" t="str">
        <f t="shared" si="147"/>
        <v>Neutral</v>
      </c>
      <c r="AM343">
        <f>survey_responses[[#This Row],[Tôi tin rằng Nhà nước, cơ quan thuế sẽ thực thi chính sách mới một cách khách quan, công tâm và đối xử bình đẳng với mọi người nộp thuế.  - HUMAN-TRU1]]</f>
        <v>5</v>
      </c>
      <c r="AN343" t="str">
        <f t="shared" si="148"/>
        <v>Neutral</v>
      </c>
      <c r="AO343" s="32">
        <f t="shared" si="149"/>
        <v>2</v>
      </c>
      <c r="AP343">
        <f>step3_validation[[#This Row],[AI_TRU2]]</f>
        <v>8</v>
      </c>
      <c r="AQ343" t="str">
        <f t="shared" si="150"/>
        <v>Support</v>
      </c>
      <c r="AR343">
        <f>survey_responses[[#This Row],[Tôi thấy mức thuế tôi phải đóng theo phương án mới là công bằng (người thu nhập như tôi đóng mức này là hợp lý). - HUMAN-TRU2]]</f>
        <v>8</v>
      </c>
      <c r="AS343" t="str">
        <f t="shared" si="151"/>
        <v>Support</v>
      </c>
      <c r="AT343" s="32">
        <f t="shared" si="152"/>
        <v>0</v>
      </c>
      <c r="AU343">
        <f>step3_validation[[#This Row],[AI_TRU3]]</f>
        <v>7</v>
      </c>
      <c r="AV343" t="str">
        <f t="shared" si="153"/>
        <v>Neutral</v>
      </c>
      <c r="AW343">
        <f>survey_responses[[#This Row],[Tôi tin tưởng số tiền thuế tôi đóng sẽ được Nhà nước sử dụng hiệu quả để cải thiện dịch vụ công (y tế, đường xá...). - HUMAN-TRU3]]</f>
        <v>6</v>
      </c>
      <c r="AX343" t="str">
        <f t="shared" si="154"/>
        <v>Neutral</v>
      </c>
      <c r="AY343" s="32">
        <f t="shared" si="155"/>
        <v>1</v>
      </c>
      <c r="AZ343">
        <f>step3_validation[[#This Row],[AI_TRU4]]</f>
        <v>8</v>
      </c>
      <c r="BA343" t="str">
        <f t="shared" si="156"/>
        <v>Support</v>
      </c>
      <c r="BB343">
        <f>survey_responses[[#This Row],[Tôi thấy Nhà nước đã giải thích rõ ràng, minh bạch về lý do và mục tiêu của việc sửa đổi thuế lần này. - HUMAN-TRU4]]</f>
        <v>6</v>
      </c>
      <c r="BC343" t="str">
        <f t="shared" si="157"/>
        <v>Neutral</v>
      </c>
      <c r="BD343" s="32">
        <f t="shared" si="158"/>
        <v>2</v>
      </c>
      <c r="BE343">
        <f>step3_validation[[#This Row],[AI_OUT1]]</f>
        <v>9</v>
      </c>
      <c r="BF343" t="str">
        <f t="shared" si="159"/>
        <v>Support</v>
      </c>
      <c r="BG343">
        <f>survey_responses[[#This Row],[Sau khi xem xét các quyền lợi và nghĩa vụ, bạn có ủng hộ và tuân thủ chính sách mới hiện nay? - HUMAN-OUT1]]</f>
        <v>7</v>
      </c>
      <c r="BH343" t="str">
        <f t="shared" si="160"/>
        <v>Neutral</v>
      </c>
      <c r="BI343" s="32">
        <f t="shared" si="161"/>
        <v>2</v>
      </c>
    </row>
    <row r="344" spans="1:61" x14ac:dyDescent="0.45">
      <c r="A344" s="30">
        <f>step3_validation[[#This Row],[Persona_ID]]</f>
        <v>343</v>
      </c>
      <c r="B344" s="31">
        <f>step3_validation[[#This Row],[Used_Seed]]</f>
        <v>343</v>
      </c>
      <c r="C344" t="str">
        <f>step3_validation[[#This Row],[Gender]]</f>
        <v>Nam</v>
      </c>
      <c r="D344" t="str">
        <f>survey_responses[[#This Row],[Giới tính của bạn:]]</f>
        <v>Nam</v>
      </c>
      <c r="E344" t="str">
        <f>step3_validation[[#This Row],[Age_Group]]</f>
        <v>25 - 29</v>
      </c>
      <c r="F344" t="str">
        <f>survey_responses[[#This Row],[Độ tuổi của bạn:]]</f>
        <v>25 - 29</v>
      </c>
      <c r="G344" t="str">
        <f>step3_validation[[#This Row],[Region]]</f>
        <v>Thành thị</v>
      </c>
      <c r="H344" t="str">
        <f>survey_responses[[#This Row],[Khu vực bạn đang sinh sống:]]</f>
        <v>Thành thị</v>
      </c>
      <c r="I344" t="str">
        <f>step3_validation[[#This Row],[Education]]</f>
        <v>Đại học</v>
      </c>
      <c r="J344" t="str">
        <f>survey_responses[[#This Row],[Trình độ học vấn cao nhất:]]</f>
        <v>Đại học</v>
      </c>
      <c r="K344" t="str">
        <f>step3_validation[[#This Row],[Employment]]</f>
        <v>Chính thức</v>
      </c>
      <c r="L344" t="str">
        <f>survey_responses[[#This Row],[Tình trạng việc làm chính:]]</f>
        <v>Khu vực chính thức (Có Hợp đồng lao động, đóng BHXH)</v>
      </c>
      <c r="M344">
        <f>step3_validation[[#This Row],[Income_Mil]]</f>
        <v>15.935346764068866</v>
      </c>
      <c r="N344" t="str">
        <f>survey_responses[[#This Row],[Thu nhập bình quân tháng theo Hợp đồng lao động của bạn là bao nhiêu? (Vui lòng điền tổng thu nhập trước khi khấu trừ các loại Bảo hiểm (BHXH, BHYT, BHTN) và Thuế TNCN)]]</f>
        <v>Từ 12 - 18 triệu VNĐ</v>
      </c>
      <c r="O344">
        <f>step3_validation[[#This Row],[Dependents]]</f>
        <v>0</v>
      </c>
      <c r="P344" t="str">
        <f>survey_responses[[#This Row],[Số người phụ thuộc (con nhỏ, cha mẹ già...) đủ điều kiện giảm trừ gia cảnh:]]</f>
        <v>0 người</v>
      </c>
      <c r="Q344">
        <f>step3_validation[[#This Row],[AI_ENF1]]</f>
        <v>6</v>
      </c>
      <c r="R344" t="str">
        <f t="shared" si="135"/>
        <v>Neutral</v>
      </c>
      <c r="S344">
        <f>survey_responses[[#This Row],[Tôi tin rằng với các quy định quản lý thuế hiện nay, hành vi gian lận hoặc trốn thuế sẽ dễ dàng bị phát hiện và xử lý nghiêm. - HUMAN-ENF1]]</f>
        <v>7</v>
      </c>
      <c r="T344" t="str">
        <f t="shared" si="136"/>
        <v>Neutral</v>
      </c>
      <c r="U344" s="32">
        <f t="shared" si="137"/>
        <v>1</v>
      </c>
      <c r="V344">
        <f>step3_validation[[#This Row],[AI_ENF2]]</f>
        <v>7</v>
      </c>
      <c r="W344" t="str">
        <f t="shared" si="138"/>
        <v>Neutral</v>
      </c>
      <c r="X344">
        <f>survey_responses[[#This Row],[Tôi tin rằng Nhà nước, cơ quan thuế có đủ khả năng và công nghệ để phát hiện, xử lý nghiêm các hành vi trốn thuế. - HUMAN-ENF2]]</f>
        <v>7</v>
      </c>
      <c r="Y344" t="str">
        <f t="shared" si="139"/>
        <v>Neutral</v>
      </c>
      <c r="Z344" s="32">
        <f t="shared" si="140"/>
        <v>0</v>
      </c>
      <c r="AA344">
        <f>step3_validation[[#This Row],[AI_FAC1]]</f>
        <v>9</v>
      </c>
      <c r="AB344" t="str">
        <f t="shared" si="141"/>
        <v>Support</v>
      </c>
      <c r="AC344">
        <f>survey_responses[[#This Row],[Các thủ tục khai báo thuế VÀ/HOẶC quy trình làm việc với cơ quan thuế đơn giản, tiện lợi, nhanh chóng hơn so với trước đây. - HUMAN-FAC1]]</f>
        <v>8</v>
      </c>
      <c r="AD344" t="str">
        <f t="shared" si="142"/>
        <v>Support</v>
      </c>
      <c r="AE344" s="32">
        <f t="shared" si="143"/>
        <v>1</v>
      </c>
      <c r="AF344">
        <f>step3_validation[[#This Row],[AI_FAC2]]</f>
        <v>10</v>
      </c>
      <c r="AG344" t="str">
        <f t="shared" si="144"/>
        <v>Support</v>
      </c>
      <c r="AH344">
        <f>survey_responses[[#This Row],[So với trước đây, tôi thấy cách tính thuế và các bậc thuế trong phương án mới đơn giản, dễ hiểu và dễ thực hiện hơn. - HUMAN-FAC2]]</f>
        <v>7</v>
      </c>
      <c r="AI344" t="str">
        <f t="shared" si="145"/>
        <v>Neutral</v>
      </c>
      <c r="AJ344" s="32">
        <f t="shared" si="146"/>
        <v>3</v>
      </c>
      <c r="AK344">
        <f>step3_validation[[#This Row],[AI_TRU1]]</f>
        <v>8</v>
      </c>
      <c r="AL344" t="str">
        <f t="shared" si="147"/>
        <v>Support</v>
      </c>
      <c r="AM344">
        <f>survey_responses[[#This Row],[Tôi tin rằng Nhà nước, cơ quan thuế sẽ thực thi chính sách mới một cách khách quan, công tâm và đối xử bình đẳng với mọi người nộp thuế.  - HUMAN-TRU1]]</f>
        <v>8</v>
      </c>
      <c r="AN344" t="str">
        <f t="shared" si="148"/>
        <v>Support</v>
      </c>
      <c r="AO344" s="32">
        <f t="shared" si="149"/>
        <v>0</v>
      </c>
      <c r="AP344">
        <f>step3_validation[[#This Row],[AI_TRU2]]</f>
        <v>9</v>
      </c>
      <c r="AQ344" t="str">
        <f t="shared" si="150"/>
        <v>Support</v>
      </c>
      <c r="AR344">
        <f>survey_responses[[#This Row],[Tôi thấy mức thuế tôi phải đóng theo phương án mới là công bằng (người thu nhập như tôi đóng mức này là hợp lý). - HUMAN-TRU2]]</f>
        <v>8</v>
      </c>
      <c r="AS344" t="str">
        <f t="shared" si="151"/>
        <v>Support</v>
      </c>
      <c r="AT344" s="32">
        <f t="shared" si="152"/>
        <v>1</v>
      </c>
      <c r="AU344">
        <f>step3_validation[[#This Row],[AI_TRU3]]</f>
        <v>8</v>
      </c>
      <c r="AV344" t="str">
        <f t="shared" si="153"/>
        <v>Support</v>
      </c>
      <c r="AW344">
        <f>survey_responses[[#This Row],[Tôi tin tưởng số tiền thuế tôi đóng sẽ được Nhà nước sử dụng hiệu quả để cải thiện dịch vụ công (y tế, đường xá...). - HUMAN-TRU3]]</f>
        <v>8</v>
      </c>
      <c r="AX344" t="str">
        <f t="shared" si="154"/>
        <v>Support</v>
      </c>
      <c r="AY344" s="32">
        <f t="shared" si="155"/>
        <v>0</v>
      </c>
      <c r="AZ344">
        <f>step3_validation[[#This Row],[AI_TRU4]]</f>
        <v>9</v>
      </c>
      <c r="BA344" t="str">
        <f t="shared" si="156"/>
        <v>Support</v>
      </c>
      <c r="BB344">
        <f>survey_responses[[#This Row],[Tôi thấy Nhà nước đã giải thích rõ ràng, minh bạch về lý do và mục tiêu của việc sửa đổi thuế lần này. - HUMAN-TRU4]]</f>
        <v>7</v>
      </c>
      <c r="BC344" t="str">
        <f t="shared" si="157"/>
        <v>Neutral</v>
      </c>
      <c r="BD344" s="32">
        <f t="shared" si="158"/>
        <v>2</v>
      </c>
      <c r="BE344">
        <f>step3_validation[[#This Row],[AI_OUT1]]</f>
        <v>10</v>
      </c>
      <c r="BF344" t="str">
        <f t="shared" si="159"/>
        <v>Support</v>
      </c>
      <c r="BG344">
        <f>survey_responses[[#This Row],[Sau khi xem xét các quyền lợi và nghĩa vụ, bạn có ủng hộ và tuân thủ chính sách mới hiện nay? - HUMAN-OUT1]]</f>
        <v>8</v>
      </c>
      <c r="BH344" t="str">
        <f t="shared" si="160"/>
        <v>Support</v>
      </c>
      <c r="BI344" s="32">
        <f t="shared" si="161"/>
        <v>2</v>
      </c>
    </row>
    <row r="345" spans="1:61" x14ac:dyDescent="0.45">
      <c r="A345" s="30">
        <f>step3_validation[[#This Row],[Persona_ID]]</f>
        <v>344</v>
      </c>
      <c r="B345" s="31">
        <f>step3_validation[[#This Row],[Used_Seed]]</f>
        <v>344</v>
      </c>
      <c r="C345" t="str">
        <f>step3_validation[[#This Row],[Gender]]</f>
        <v>Nam</v>
      </c>
      <c r="D345" t="str">
        <f>survey_responses[[#This Row],[Giới tính của bạn:]]</f>
        <v>Nam</v>
      </c>
      <c r="E345" t="str">
        <f>step3_validation[[#This Row],[Age_Group]]</f>
        <v>30 - 39</v>
      </c>
      <c r="F345" t="str">
        <f>survey_responses[[#This Row],[Độ tuổi của bạn:]]</f>
        <v>30 - 39</v>
      </c>
      <c r="G345" t="str">
        <f>step3_validation[[#This Row],[Region]]</f>
        <v>Thành thị</v>
      </c>
      <c r="H345" t="str">
        <f>survey_responses[[#This Row],[Khu vực bạn đang sinh sống:]]</f>
        <v>Thành thị</v>
      </c>
      <c r="I345" t="str">
        <f>step3_validation[[#This Row],[Education]]</f>
        <v>Sau Đại học</v>
      </c>
      <c r="J345" t="str">
        <f>survey_responses[[#This Row],[Trình độ học vấn cao nhất:]]</f>
        <v>Sau Đại học</v>
      </c>
      <c r="K345" t="str">
        <f>step3_validation[[#This Row],[Employment]]</f>
        <v>Chính thức</v>
      </c>
      <c r="L345" t="str">
        <f>survey_responses[[#This Row],[Tình trạng việc làm chính:]]</f>
        <v>Khu vực chính thức (Có Hợp đồng lao động, đóng BHXH)</v>
      </c>
      <c r="M345">
        <f>step3_validation[[#This Row],[Income_Mil]]</f>
        <v>62.675274093811289</v>
      </c>
      <c r="N345" t="str">
        <f>survey_responses[[#This Row],[Thu nhập bình quân tháng theo Hợp đồng lao động của bạn là bao nhiêu? (Vui lòng điền tổng thu nhập trước khi khấu trừ các loại Bảo hiểm (BHXH, BHYT, BHTN) và Thuế TNCN)]]</f>
        <v>Từ 48 - 70 triệu VNĐ</v>
      </c>
      <c r="O345">
        <f>step3_validation[[#This Row],[Dependents]]</f>
        <v>2</v>
      </c>
      <c r="P345" t="str">
        <f>survey_responses[[#This Row],[Số người phụ thuộc (con nhỏ, cha mẹ già...) đủ điều kiện giảm trừ gia cảnh:]]</f>
        <v>2 người</v>
      </c>
      <c r="Q345">
        <f>step3_validation[[#This Row],[AI_ENF1]]</f>
        <v>8</v>
      </c>
      <c r="R345" t="str">
        <f t="shared" si="135"/>
        <v>Support</v>
      </c>
      <c r="S345">
        <f>survey_responses[[#This Row],[Tôi tin rằng với các quy định quản lý thuế hiện nay, hành vi gian lận hoặc trốn thuế sẽ dễ dàng bị phát hiện và xử lý nghiêm. - HUMAN-ENF1]]</f>
        <v>7</v>
      </c>
      <c r="T345" t="str">
        <f t="shared" si="136"/>
        <v>Neutral</v>
      </c>
      <c r="U345" s="32">
        <f t="shared" si="137"/>
        <v>1</v>
      </c>
      <c r="V345">
        <f>step3_validation[[#This Row],[AI_ENF2]]</f>
        <v>7</v>
      </c>
      <c r="W345" t="str">
        <f t="shared" si="138"/>
        <v>Neutral</v>
      </c>
      <c r="X345">
        <f>survey_responses[[#This Row],[Tôi tin rằng Nhà nước, cơ quan thuế có đủ khả năng và công nghệ để phát hiện, xử lý nghiêm các hành vi trốn thuế. - HUMAN-ENF2]]</f>
        <v>7</v>
      </c>
      <c r="Y345" t="str">
        <f t="shared" si="139"/>
        <v>Neutral</v>
      </c>
      <c r="Z345" s="32">
        <f t="shared" si="140"/>
        <v>0</v>
      </c>
      <c r="AA345">
        <f>step3_validation[[#This Row],[AI_FAC1]]</f>
        <v>9</v>
      </c>
      <c r="AB345" t="str">
        <f t="shared" si="141"/>
        <v>Support</v>
      </c>
      <c r="AC345">
        <f>survey_responses[[#This Row],[Các thủ tục khai báo thuế VÀ/HOẶC quy trình làm việc với cơ quan thuế đơn giản, tiện lợi, nhanh chóng hơn so với trước đây. - HUMAN-FAC1]]</f>
        <v>5</v>
      </c>
      <c r="AD345" t="str">
        <f t="shared" si="142"/>
        <v>Neutral</v>
      </c>
      <c r="AE345" s="32">
        <f t="shared" si="143"/>
        <v>4</v>
      </c>
      <c r="AF345">
        <f>step3_validation[[#This Row],[AI_FAC2]]</f>
        <v>9</v>
      </c>
      <c r="AG345" t="str">
        <f t="shared" si="144"/>
        <v>Support</v>
      </c>
      <c r="AH345">
        <f>survey_responses[[#This Row],[So với trước đây, tôi thấy cách tính thuế và các bậc thuế trong phương án mới đơn giản, dễ hiểu và dễ thực hiện hơn. - HUMAN-FAC2]]</f>
        <v>8</v>
      </c>
      <c r="AI345" t="str">
        <f t="shared" si="145"/>
        <v>Support</v>
      </c>
      <c r="AJ345" s="32">
        <f t="shared" si="146"/>
        <v>1</v>
      </c>
      <c r="AK345">
        <f>step3_validation[[#This Row],[AI_TRU1]]</f>
        <v>7</v>
      </c>
      <c r="AL345" t="str">
        <f t="shared" si="147"/>
        <v>Neutral</v>
      </c>
      <c r="AM345">
        <f>survey_responses[[#This Row],[Tôi tin rằng Nhà nước, cơ quan thuế sẽ thực thi chính sách mới một cách khách quan, công tâm và đối xử bình đẳng với mọi người nộp thuế.  - HUMAN-TRU1]]</f>
        <v>6</v>
      </c>
      <c r="AN345" t="str">
        <f t="shared" si="148"/>
        <v>Neutral</v>
      </c>
      <c r="AO345" s="32">
        <f t="shared" si="149"/>
        <v>1</v>
      </c>
      <c r="AP345">
        <f>step3_validation[[#This Row],[AI_TRU2]]</f>
        <v>9</v>
      </c>
      <c r="AQ345" t="str">
        <f t="shared" si="150"/>
        <v>Support</v>
      </c>
      <c r="AR345">
        <f>survey_responses[[#This Row],[Tôi thấy mức thuế tôi phải đóng theo phương án mới là công bằng (người thu nhập như tôi đóng mức này là hợp lý). - HUMAN-TRU2]]</f>
        <v>5</v>
      </c>
      <c r="AS345" t="str">
        <f t="shared" si="151"/>
        <v>Neutral</v>
      </c>
      <c r="AT345" s="32">
        <f t="shared" si="152"/>
        <v>4</v>
      </c>
      <c r="AU345">
        <f>step3_validation[[#This Row],[AI_TRU3]]</f>
        <v>8</v>
      </c>
      <c r="AV345" t="str">
        <f t="shared" si="153"/>
        <v>Support</v>
      </c>
      <c r="AW345">
        <f>survey_responses[[#This Row],[Tôi tin tưởng số tiền thuế tôi đóng sẽ được Nhà nước sử dụng hiệu quả để cải thiện dịch vụ công (y tế, đường xá...). - HUMAN-TRU3]]</f>
        <v>5</v>
      </c>
      <c r="AX345" t="str">
        <f t="shared" si="154"/>
        <v>Neutral</v>
      </c>
      <c r="AY345" s="32">
        <f t="shared" si="155"/>
        <v>3</v>
      </c>
      <c r="AZ345">
        <f>step3_validation[[#This Row],[AI_TRU4]]</f>
        <v>7</v>
      </c>
      <c r="BA345" t="str">
        <f t="shared" si="156"/>
        <v>Neutral</v>
      </c>
      <c r="BB345">
        <f>survey_responses[[#This Row],[Tôi thấy Nhà nước đã giải thích rõ ràng, minh bạch về lý do và mục tiêu của việc sửa đổi thuế lần này. - HUMAN-TRU4]]</f>
        <v>6</v>
      </c>
      <c r="BC345" t="str">
        <f t="shared" si="157"/>
        <v>Neutral</v>
      </c>
      <c r="BD345" s="32">
        <f t="shared" si="158"/>
        <v>1</v>
      </c>
      <c r="BE345">
        <f>step3_validation[[#This Row],[AI_OUT1]]</f>
        <v>9</v>
      </c>
      <c r="BF345" t="str">
        <f t="shared" si="159"/>
        <v>Support</v>
      </c>
      <c r="BG345">
        <f>survey_responses[[#This Row],[Sau khi xem xét các quyền lợi và nghĩa vụ, bạn có ủng hộ và tuân thủ chính sách mới hiện nay? - HUMAN-OUT1]]</f>
        <v>5</v>
      </c>
      <c r="BH345" t="str">
        <f t="shared" si="160"/>
        <v>Neutral</v>
      </c>
      <c r="BI345" s="32">
        <f t="shared" si="161"/>
        <v>4</v>
      </c>
    </row>
    <row r="346" spans="1:61" x14ac:dyDescent="0.45">
      <c r="A346" s="30">
        <f>step3_validation[[#This Row],[Persona_ID]]</f>
        <v>345</v>
      </c>
      <c r="B346" s="31">
        <f>step3_validation[[#This Row],[Used_Seed]]</f>
        <v>345</v>
      </c>
      <c r="C346" t="str">
        <f>step3_validation[[#This Row],[Gender]]</f>
        <v>Nữ</v>
      </c>
      <c r="D346" t="str">
        <f>survey_responses[[#This Row],[Giới tính của bạn:]]</f>
        <v>Nữ</v>
      </c>
      <c r="E346" t="str">
        <f>step3_validation[[#This Row],[Age_Group]]</f>
        <v>25 - 29</v>
      </c>
      <c r="F346" t="str">
        <f>survey_responses[[#This Row],[Độ tuổi của bạn:]]</f>
        <v>25 - 29</v>
      </c>
      <c r="G346" t="str">
        <f>step3_validation[[#This Row],[Region]]</f>
        <v>Thành thị</v>
      </c>
      <c r="H346" t="str">
        <f>survey_responses[[#This Row],[Khu vực bạn đang sinh sống:]]</f>
        <v>Thành thị</v>
      </c>
      <c r="I346" t="str">
        <f>step3_validation[[#This Row],[Education]]</f>
        <v>Đại học</v>
      </c>
      <c r="J346" t="str">
        <f>survey_responses[[#This Row],[Trình độ học vấn cao nhất:]]</f>
        <v>Đại học</v>
      </c>
      <c r="K346" t="str">
        <f>step3_validation[[#This Row],[Employment]]</f>
        <v>Chính thức</v>
      </c>
      <c r="L346" t="str">
        <f>survey_responses[[#This Row],[Tình trạng việc làm chính:]]</f>
        <v>Khu vực chính thức (Có Hợp đồng lao động, đóng BHXH)</v>
      </c>
      <c r="M346">
        <f>step3_validation[[#This Row],[Income_Mil]]</f>
        <v>15.243973711850904</v>
      </c>
      <c r="N346" t="str">
        <f>survey_responses[[#This Row],[Thu nhập bình quân tháng theo Hợp đồng lao động của bạn là bao nhiêu? (Vui lòng điền tổng thu nhập trước khi khấu trừ các loại Bảo hiểm (BHXH, BHYT, BHTN) và Thuế TNCN)]]</f>
        <v>Từ 12 - 18 triệu VNĐ</v>
      </c>
      <c r="O346">
        <f>step3_validation[[#This Row],[Dependents]]</f>
        <v>0</v>
      </c>
      <c r="P346" t="str">
        <f>survey_responses[[#This Row],[Số người phụ thuộc (con nhỏ, cha mẹ già...) đủ điều kiện giảm trừ gia cảnh:]]</f>
        <v>0 người</v>
      </c>
      <c r="Q346">
        <f>step3_validation[[#This Row],[AI_ENF1]]</f>
        <v>7</v>
      </c>
      <c r="R346" t="str">
        <f t="shared" si="135"/>
        <v>Neutral</v>
      </c>
      <c r="S346">
        <f>survey_responses[[#This Row],[Tôi tin rằng với các quy định quản lý thuế hiện nay, hành vi gian lận hoặc trốn thuế sẽ dễ dàng bị phát hiện và xử lý nghiêm. - HUMAN-ENF1]]</f>
        <v>7</v>
      </c>
      <c r="T346" t="str">
        <f t="shared" si="136"/>
        <v>Neutral</v>
      </c>
      <c r="U346" s="32">
        <f t="shared" si="137"/>
        <v>0</v>
      </c>
      <c r="V346">
        <f>step3_validation[[#This Row],[AI_ENF2]]</f>
        <v>6</v>
      </c>
      <c r="W346" t="str">
        <f t="shared" si="138"/>
        <v>Neutral</v>
      </c>
      <c r="X346">
        <f>survey_responses[[#This Row],[Tôi tin rằng Nhà nước, cơ quan thuế có đủ khả năng và công nghệ để phát hiện, xử lý nghiêm các hành vi trốn thuế. - HUMAN-ENF2]]</f>
        <v>7</v>
      </c>
      <c r="Y346" t="str">
        <f t="shared" si="139"/>
        <v>Neutral</v>
      </c>
      <c r="Z346" s="32">
        <f t="shared" si="140"/>
        <v>1</v>
      </c>
      <c r="AA346">
        <f>step3_validation[[#This Row],[AI_FAC1]]</f>
        <v>9</v>
      </c>
      <c r="AB346" t="str">
        <f t="shared" si="141"/>
        <v>Support</v>
      </c>
      <c r="AC346">
        <f>survey_responses[[#This Row],[Các thủ tục khai báo thuế VÀ/HOẶC quy trình làm việc với cơ quan thuế đơn giản, tiện lợi, nhanh chóng hơn so với trước đây. - HUMAN-FAC1]]</f>
        <v>5</v>
      </c>
      <c r="AD346" t="str">
        <f t="shared" si="142"/>
        <v>Neutral</v>
      </c>
      <c r="AE346" s="32">
        <f t="shared" si="143"/>
        <v>4</v>
      </c>
      <c r="AF346">
        <f>step3_validation[[#This Row],[AI_FAC2]]</f>
        <v>8</v>
      </c>
      <c r="AG346" t="str">
        <f t="shared" si="144"/>
        <v>Support</v>
      </c>
      <c r="AH346">
        <f>survey_responses[[#This Row],[So với trước đây, tôi thấy cách tính thuế và các bậc thuế trong phương án mới đơn giản, dễ hiểu và dễ thực hiện hơn. - HUMAN-FAC2]]</f>
        <v>8</v>
      </c>
      <c r="AI346" t="str">
        <f t="shared" si="145"/>
        <v>Support</v>
      </c>
      <c r="AJ346" s="32">
        <f t="shared" si="146"/>
        <v>0</v>
      </c>
      <c r="AK346">
        <f>step3_validation[[#This Row],[AI_TRU1]]</f>
        <v>9</v>
      </c>
      <c r="AL346" t="str">
        <f t="shared" si="147"/>
        <v>Support</v>
      </c>
      <c r="AM346">
        <f>survey_responses[[#This Row],[Tôi tin rằng Nhà nước, cơ quan thuế sẽ thực thi chính sách mới một cách khách quan, công tâm và đối xử bình đẳng với mọi người nộp thuế.  - HUMAN-TRU1]]</f>
        <v>7</v>
      </c>
      <c r="AN346" t="str">
        <f t="shared" si="148"/>
        <v>Neutral</v>
      </c>
      <c r="AO346" s="32">
        <f t="shared" si="149"/>
        <v>2</v>
      </c>
      <c r="AP346">
        <f>step3_validation[[#This Row],[AI_TRU2]]</f>
        <v>8</v>
      </c>
      <c r="AQ346" t="str">
        <f t="shared" si="150"/>
        <v>Support</v>
      </c>
      <c r="AR346">
        <f>survey_responses[[#This Row],[Tôi thấy mức thuế tôi phải đóng theo phương án mới là công bằng (người thu nhập như tôi đóng mức này là hợp lý). - HUMAN-TRU2]]</f>
        <v>7</v>
      </c>
      <c r="AS346" t="str">
        <f t="shared" si="151"/>
        <v>Neutral</v>
      </c>
      <c r="AT346" s="32">
        <f t="shared" si="152"/>
        <v>1</v>
      </c>
      <c r="AU346">
        <f>step3_validation[[#This Row],[AI_TRU3]]</f>
        <v>9</v>
      </c>
      <c r="AV346" t="str">
        <f t="shared" si="153"/>
        <v>Support</v>
      </c>
      <c r="AW346">
        <f>survey_responses[[#This Row],[Tôi tin tưởng số tiền thuế tôi đóng sẽ được Nhà nước sử dụng hiệu quả để cải thiện dịch vụ công (y tế, đường xá...). - HUMAN-TRU3]]</f>
        <v>6</v>
      </c>
      <c r="AX346" t="str">
        <f t="shared" si="154"/>
        <v>Neutral</v>
      </c>
      <c r="AY346" s="32">
        <f t="shared" si="155"/>
        <v>3</v>
      </c>
      <c r="AZ346">
        <f>step3_validation[[#This Row],[AI_TRU4]]</f>
        <v>7</v>
      </c>
      <c r="BA346" t="str">
        <f t="shared" si="156"/>
        <v>Neutral</v>
      </c>
      <c r="BB346">
        <f>survey_responses[[#This Row],[Tôi thấy Nhà nước đã giải thích rõ ràng, minh bạch về lý do và mục tiêu của việc sửa đổi thuế lần này. - HUMAN-TRU4]]</f>
        <v>7</v>
      </c>
      <c r="BC346" t="str">
        <f t="shared" si="157"/>
        <v>Neutral</v>
      </c>
      <c r="BD346" s="32">
        <f t="shared" si="158"/>
        <v>0</v>
      </c>
      <c r="BE346">
        <f>step3_validation[[#This Row],[AI_OUT1]]</f>
        <v>9</v>
      </c>
      <c r="BF346" t="str">
        <f t="shared" si="159"/>
        <v>Support</v>
      </c>
      <c r="BG346">
        <f>survey_responses[[#This Row],[Sau khi xem xét các quyền lợi và nghĩa vụ, bạn có ủng hộ và tuân thủ chính sách mới hiện nay? - HUMAN-OUT1]]</f>
        <v>7</v>
      </c>
      <c r="BH346" t="str">
        <f t="shared" si="160"/>
        <v>Neutral</v>
      </c>
      <c r="BI346" s="32">
        <f t="shared" si="161"/>
        <v>2</v>
      </c>
    </row>
    <row r="347" spans="1:61" x14ac:dyDescent="0.45">
      <c r="A347" s="30">
        <f>step3_validation[[#This Row],[Persona_ID]]</f>
        <v>346</v>
      </c>
      <c r="B347" s="31">
        <f>step3_validation[[#This Row],[Used_Seed]]</f>
        <v>346</v>
      </c>
      <c r="C347" t="str">
        <f>step3_validation[[#This Row],[Gender]]</f>
        <v>Nữ</v>
      </c>
      <c r="D347" t="str">
        <f>survey_responses[[#This Row],[Giới tính của bạn:]]</f>
        <v>Nữ</v>
      </c>
      <c r="E347" t="str">
        <f>step3_validation[[#This Row],[Age_Group]]</f>
        <v>30 - 39</v>
      </c>
      <c r="F347" t="str">
        <f>survey_responses[[#This Row],[Độ tuổi của bạn:]]</f>
        <v>30 - 39</v>
      </c>
      <c r="G347" t="str">
        <f>step3_validation[[#This Row],[Region]]</f>
        <v>Thành thị</v>
      </c>
      <c r="H347" t="str">
        <f>survey_responses[[#This Row],[Khu vực bạn đang sinh sống:]]</f>
        <v>Thành thị</v>
      </c>
      <c r="I347" t="str">
        <f>step3_validation[[#This Row],[Education]]</f>
        <v>Đại học</v>
      </c>
      <c r="J347" t="str">
        <f>survey_responses[[#This Row],[Trình độ học vấn cao nhất:]]</f>
        <v>Đại học</v>
      </c>
      <c r="K347" t="str">
        <f>step3_validation[[#This Row],[Employment]]</f>
        <v>Chính thức</v>
      </c>
      <c r="L347" t="str">
        <f>survey_responses[[#This Row],[Tình trạng việc làm chính:]]</f>
        <v>Khu vực chính thức (Có Hợp đồng lao động, đóng BHXH)</v>
      </c>
      <c r="M347">
        <f>step3_validation[[#This Row],[Income_Mil]]</f>
        <v>24.89927253229185</v>
      </c>
      <c r="N347" t="str">
        <f>survey_responses[[#This Row],[Thu nhập bình quân tháng theo Hợp đồng lao động của bạn là bao nhiêu? (Vui lòng điền tổng thu nhập trước khi khấu trừ các loại Bảo hiểm (BHXH, BHYT, BHTN) và Thuế TNCN)]]</f>
        <v>Từ 23 - 32 triệu VNĐ</v>
      </c>
      <c r="O347">
        <f>step3_validation[[#This Row],[Dependents]]</f>
        <v>1</v>
      </c>
      <c r="P347" t="str">
        <f>survey_responses[[#This Row],[Số người phụ thuộc (con nhỏ, cha mẹ già...) đủ điều kiện giảm trừ gia cảnh:]]</f>
        <v>1 người</v>
      </c>
      <c r="Q347">
        <f>step3_validation[[#This Row],[AI_ENF1]]</f>
        <v>5</v>
      </c>
      <c r="R347" t="str">
        <f t="shared" si="135"/>
        <v>Neutral</v>
      </c>
      <c r="S347">
        <f>survey_responses[[#This Row],[Tôi tin rằng với các quy định quản lý thuế hiện nay, hành vi gian lận hoặc trốn thuế sẽ dễ dàng bị phát hiện và xử lý nghiêm. - HUMAN-ENF1]]</f>
        <v>9</v>
      </c>
      <c r="T347" t="str">
        <f t="shared" si="136"/>
        <v>Support</v>
      </c>
      <c r="U347" s="32">
        <f t="shared" si="137"/>
        <v>4</v>
      </c>
      <c r="V347">
        <f>step3_validation[[#This Row],[AI_ENF2]]</f>
        <v>6</v>
      </c>
      <c r="W347" t="str">
        <f t="shared" si="138"/>
        <v>Neutral</v>
      </c>
      <c r="X347">
        <f>survey_responses[[#This Row],[Tôi tin rằng Nhà nước, cơ quan thuế có đủ khả năng và công nghệ để phát hiện, xử lý nghiêm các hành vi trốn thuế. - HUMAN-ENF2]]</f>
        <v>8</v>
      </c>
      <c r="Y347" t="str">
        <f t="shared" si="139"/>
        <v>Support</v>
      </c>
      <c r="Z347" s="32">
        <f t="shared" si="140"/>
        <v>2</v>
      </c>
      <c r="AA347">
        <f>step3_validation[[#This Row],[AI_FAC1]]</f>
        <v>8</v>
      </c>
      <c r="AB347" t="str">
        <f t="shared" si="141"/>
        <v>Support</v>
      </c>
      <c r="AC347">
        <f>survey_responses[[#This Row],[Các thủ tục khai báo thuế VÀ/HOẶC quy trình làm việc với cơ quan thuế đơn giản, tiện lợi, nhanh chóng hơn so với trước đây. - HUMAN-FAC1]]</f>
        <v>8</v>
      </c>
      <c r="AD347" t="str">
        <f t="shared" si="142"/>
        <v>Support</v>
      </c>
      <c r="AE347" s="32">
        <f t="shared" si="143"/>
        <v>0</v>
      </c>
      <c r="AF347">
        <f>step3_validation[[#This Row],[AI_FAC2]]</f>
        <v>9</v>
      </c>
      <c r="AG347" t="str">
        <f t="shared" si="144"/>
        <v>Support</v>
      </c>
      <c r="AH347">
        <f>survey_responses[[#This Row],[So với trước đây, tôi thấy cách tính thuế và các bậc thuế trong phương án mới đơn giản, dễ hiểu và dễ thực hiện hơn. - HUMAN-FAC2]]</f>
        <v>9</v>
      </c>
      <c r="AI347" t="str">
        <f t="shared" si="145"/>
        <v>Support</v>
      </c>
      <c r="AJ347" s="32">
        <f t="shared" si="146"/>
        <v>0</v>
      </c>
      <c r="AK347">
        <f>step3_validation[[#This Row],[AI_TRU1]]</f>
        <v>7</v>
      </c>
      <c r="AL347" t="str">
        <f t="shared" si="147"/>
        <v>Neutral</v>
      </c>
      <c r="AM347">
        <f>survey_responses[[#This Row],[Tôi tin rằng Nhà nước, cơ quan thuế sẽ thực thi chính sách mới một cách khách quan, công tâm và đối xử bình đẳng với mọi người nộp thuế.  - HUMAN-TRU1]]</f>
        <v>7</v>
      </c>
      <c r="AN347" t="str">
        <f t="shared" si="148"/>
        <v>Neutral</v>
      </c>
      <c r="AO347" s="32">
        <f t="shared" si="149"/>
        <v>0</v>
      </c>
      <c r="AP347">
        <f>step3_validation[[#This Row],[AI_TRU2]]</f>
        <v>8</v>
      </c>
      <c r="AQ347" t="str">
        <f t="shared" si="150"/>
        <v>Support</v>
      </c>
      <c r="AR347">
        <f>survey_responses[[#This Row],[Tôi thấy mức thuế tôi phải đóng theo phương án mới là công bằng (người thu nhập như tôi đóng mức này là hợp lý). - HUMAN-TRU2]]</f>
        <v>8</v>
      </c>
      <c r="AS347" t="str">
        <f t="shared" si="151"/>
        <v>Support</v>
      </c>
      <c r="AT347" s="32">
        <f t="shared" si="152"/>
        <v>0</v>
      </c>
      <c r="AU347">
        <f>step3_validation[[#This Row],[AI_TRU3]]</f>
        <v>7</v>
      </c>
      <c r="AV347" t="str">
        <f t="shared" si="153"/>
        <v>Neutral</v>
      </c>
      <c r="AW347">
        <f>survey_responses[[#This Row],[Tôi tin tưởng số tiền thuế tôi đóng sẽ được Nhà nước sử dụng hiệu quả để cải thiện dịch vụ công (y tế, đường xá...). - HUMAN-TRU3]]</f>
        <v>7</v>
      </c>
      <c r="AX347" t="str">
        <f t="shared" si="154"/>
        <v>Neutral</v>
      </c>
      <c r="AY347" s="32">
        <f t="shared" si="155"/>
        <v>0</v>
      </c>
      <c r="AZ347">
        <f>step3_validation[[#This Row],[AI_TRU4]]</f>
        <v>6</v>
      </c>
      <c r="BA347" t="str">
        <f t="shared" si="156"/>
        <v>Neutral</v>
      </c>
      <c r="BB347">
        <f>survey_responses[[#This Row],[Tôi thấy Nhà nước đã giải thích rõ ràng, minh bạch về lý do và mục tiêu của việc sửa đổi thuế lần này. - HUMAN-TRU4]]</f>
        <v>7</v>
      </c>
      <c r="BC347" t="str">
        <f t="shared" si="157"/>
        <v>Neutral</v>
      </c>
      <c r="BD347" s="32">
        <f t="shared" si="158"/>
        <v>1</v>
      </c>
      <c r="BE347">
        <f>step3_validation[[#This Row],[AI_OUT1]]</f>
        <v>7</v>
      </c>
      <c r="BF347" t="str">
        <f t="shared" si="159"/>
        <v>Neutral</v>
      </c>
      <c r="BG347">
        <f>survey_responses[[#This Row],[Sau khi xem xét các quyền lợi và nghĩa vụ, bạn có ủng hộ và tuân thủ chính sách mới hiện nay? - HUMAN-OUT1]]</f>
        <v>8</v>
      </c>
      <c r="BH347" t="str">
        <f t="shared" si="160"/>
        <v>Support</v>
      </c>
      <c r="BI347" s="32">
        <f t="shared" si="161"/>
        <v>1</v>
      </c>
    </row>
    <row r="348" spans="1:61" x14ac:dyDescent="0.45">
      <c r="A348" s="30">
        <f>step3_validation[[#This Row],[Persona_ID]]</f>
        <v>347</v>
      </c>
      <c r="B348" s="31">
        <f>step3_validation[[#This Row],[Used_Seed]]</f>
        <v>347</v>
      </c>
      <c r="C348" t="str">
        <f>step3_validation[[#This Row],[Gender]]</f>
        <v>Nữ</v>
      </c>
      <c r="D348" t="str">
        <f>survey_responses[[#This Row],[Giới tính của bạn:]]</f>
        <v>Nữ</v>
      </c>
      <c r="E348" t="str">
        <f>step3_validation[[#This Row],[Age_Group]]</f>
        <v>25 - 29</v>
      </c>
      <c r="F348" t="str">
        <f>survey_responses[[#This Row],[Độ tuổi của bạn:]]</f>
        <v>25 - 29</v>
      </c>
      <c r="G348" t="str">
        <f>step3_validation[[#This Row],[Region]]</f>
        <v>Thành thị</v>
      </c>
      <c r="H348" t="str">
        <f>survey_responses[[#This Row],[Khu vực bạn đang sinh sống:]]</f>
        <v>Thành thị</v>
      </c>
      <c r="I348" t="str">
        <f>step3_validation[[#This Row],[Education]]</f>
        <v>Đại học</v>
      </c>
      <c r="J348" t="str">
        <f>survey_responses[[#This Row],[Trình độ học vấn cao nhất:]]</f>
        <v>Đại học</v>
      </c>
      <c r="K348" t="str">
        <f>step3_validation[[#This Row],[Employment]]</f>
        <v>Chính thức</v>
      </c>
      <c r="L348" t="str">
        <f>survey_responses[[#This Row],[Tình trạng việc làm chính:]]</f>
        <v>Khu vực chính thức (Có Hợp đồng lao động, đóng BHXH)</v>
      </c>
      <c r="M348">
        <f>step3_validation[[#This Row],[Income_Mil]]</f>
        <v>19.121911982713407</v>
      </c>
      <c r="N348" t="str">
        <f>survey_responses[[#This Row],[Thu nhập bình quân tháng theo Hợp đồng lao động của bạn là bao nhiêu? (Vui lòng điền tổng thu nhập trước khi khấu trừ các loại Bảo hiểm (BHXH, BHYT, BHTN) và Thuế TNCN)]]</f>
        <v>Từ 18 - 23 triệu VNĐ</v>
      </c>
      <c r="O348">
        <f>step3_validation[[#This Row],[Dependents]]</f>
        <v>0</v>
      </c>
      <c r="P348" t="str">
        <f>survey_responses[[#This Row],[Số người phụ thuộc (con nhỏ, cha mẹ già...) đủ điều kiện giảm trừ gia cảnh:]]</f>
        <v>0 người</v>
      </c>
      <c r="Q348">
        <f>step3_validation[[#This Row],[AI_ENF1]]</f>
        <v>6</v>
      </c>
      <c r="R348" t="str">
        <f t="shared" si="135"/>
        <v>Neutral</v>
      </c>
      <c r="S348">
        <f>survey_responses[[#This Row],[Tôi tin rằng với các quy định quản lý thuế hiện nay, hành vi gian lận hoặc trốn thuế sẽ dễ dàng bị phát hiện và xử lý nghiêm. - HUMAN-ENF1]]</f>
        <v>8</v>
      </c>
      <c r="T348" t="str">
        <f t="shared" si="136"/>
        <v>Support</v>
      </c>
      <c r="U348" s="32">
        <f t="shared" si="137"/>
        <v>2</v>
      </c>
      <c r="V348">
        <f>step3_validation[[#This Row],[AI_ENF2]]</f>
        <v>7</v>
      </c>
      <c r="W348" t="str">
        <f t="shared" si="138"/>
        <v>Neutral</v>
      </c>
      <c r="X348">
        <f>survey_responses[[#This Row],[Tôi tin rằng Nhà nước, cơ quan thuế có đủ khả năng và công nghệ để phát hiện, xử lý nghiêm các hành vi trốn thuế. - HUMAN-ENF2]]</f>
        <v>8</v>
      </c>
      <c r="Y348" t="str">
        <f t="shared" si="139"/>
        <v>Support</v>
      </c>
      <c r="Z348" s="32">
        <f t="shared" si="140"/>
        <v>1</v>
      </c>
      <c r="AA348">
        <f>step3_validation[[#This Row],[AI_FAC1]]</f>
        <v>8</v>
      </c>
      <c r="AB348" t="str">
        <f t="shared" si="141"/>
        <v>Support</v>
      </c>
      <c r="AC348">
        <f>survey_responses[[#This Row],[Các thủ tục khai báo thuế VÀ/HOẶC quy trình làm việc với cơ quan thuế đơn giản, tiện lợi, nhanh chóng hơn so với trước đây. - HUMAN-FAC1]]</f>
        <v>7</v>
      </c>
      <c r="AD348" t="str">
        <f t="shared" si="142"/>
        <v>Neutral</v>
      </c>
      <c r="AE348" s="32">
        <f t="shared" si="143"/>
        <v>1</v>
      </c>
      <c r="AF348">
        <f>step3_validation[[#This Row],[AI_FAC2]]</f>
        <v>9</v>
      </c>
      <c r="AG348" t="str">
        <f t="shared" si="144"/>
        <v>Support</v>
      </c>
      <c r="AH348">
        <f>survey_responses[[#This Row],[So với trước đây, tôi thấy cách tính thuế và các bậc thuế trong phương án mới đơn giản, dễ hiểu và dễ thực hiện hơn. - HUMAN-FAC2]]</f>
        <v>8</v>
      </c>
      <c r="AI348" t="str">
        <f t="shared" si="145"/>
        <v>Support</v>
      </c>
      <c r="AJ348" s="32">
        <f t="shared" si="146"/>
        <v>1</v>
      </c>
      <c r="AK348">
        <f>step3_validation[[#This Row],[AI_TRU1]]</f>
        <v>8</v>
      </c>
      <c r="AL348" t="str">
        <f t="shared" si="147"/>
        <v>Support</v>
      </c>
      <c r="AM348">
        <f>survey_responses[[#This Row],[Tôi tin rằng Nhà nước, cơ quan thuế sẽ thực thi chính sách mới một cách khách quan, công tâm và đối xử bình đẳng với mọi người nộp thuế.  - HUMAN-TRU1]]</f>
        <v>6</v>
      </c>
      <c r="AN348" t="str">
        <f t="shared" si="148"/>
        <v>Neutral</v>
      </c>
      <c r="AO348" s="32">
        <f t="shared" si="149"/>
        <v>2</v>
      </c>
      <c r="AP348">
        <f>step3_validation[[#This Row],[AI_TRU2]]</f>
        <v>9</v>
      </c>
      <c r="AQ348" t="str">
        <f t="shared" si="150"/>
        <v>Support</v>
      </c>
      <c r="AR348">
        <f>survey_responses[[#This Row],[Tôi thấy mức thuế tôi phải đóng theo phương án mới là công bằng (người thu nhập như tôi đóng mức này là hợp lý). - HUMAN-TRU2]]</f>
        <v>8</v>
      </c>
      <c r="AS348" t="str">
        <f t="shared" si="151"/>
        <v>Support</v>
      </c>
      <c r="AT348" s="32">
        <f t="shared" si="152"/>
        <v>1</v>
      </c>
      <c r="AU348">
        <f>step3_validation[[#This Row],[AI_TRU3]]</f>
        <v>7</v>
      </c>
      <c r="AV348" t="str">
        <f t="shared" si="153"/>
        <v>Neutral</v>
      </c>
      <c r="AW348">
        <f>survey_responses[[#This Row],[Tôi tin tưởng số tiền thuế tôi đóng sẽ được Nhà nước sử dụng hiệu quả để cải thiện dịch vụ công (y tế, đường xá...). - HUMAN-TRU3]]</f>
        <v>6</v>
      </c>
      <c r="AX348" t="str">
        <f t="shared" si="154"/>
        <v>Neutral</v>
      </c>
      <c r="AY348" s="32">
        <f t="shared" si="155"/>
        <v>1</v>
      </c>
      <c r="AZ348">
        <f>step3_validation[[#This Row],[AI_TRU4]]</f>
        <v>6</v>
      </c>
      <c r="BA348" t="str">
        <f t="shared" si="156"/>
        <v>Neutral</v>
      </c>
      <c r="BB348">
        <f>survey_responses[[#This Row],[Tôi thấy Nhà nước đã giải thích rõ ràng, minh bạch về lý do và mục tiêu của việc sửa đổi thuế lần này. - HUMAN-TRU4]]</f>
        <v>6</v>
      </c>
      <c r="BC348" t="str">
        <f t="shared" si="157"/>
        <v>Neutral</v>
      </c>
      <c r="BD348" s="32">
        <f t="shared" si="158"/>
        <v>0</v>
      </c>
      <c r="BE348">
        <f>step3_validation[[#This Row],[AI_OUT1]]</f>
        <v>9</v>
      </c>
      <c r="BF348" t="str">
        <f t="shared" si="159"/>
        <v>Support</v>
      </c>
      <c r="BG348">
        <f>survey_responses[[#This Row],[Sau khi xem xét các quyền lợi và nghĩa vụ, bạn có ủng hộ và tuân thủ chính sách mới hiện nay? - HUMAN-OUT1]]</f>
        <v>8</v>
      </c>
      <c r="BH348" t="str">
        <f t="shared" si="160"/>
        <v>Support</v>
      </c>
      <c r="BI348" s="32">
        <f t="shared" si="161"/>
        <v>1</v>
      </c>
    </row>
    <row r="349" spans="1:61" x14ac:dyDescent="0.45">
      <c r="A349" s="30">
        <f>step3_validation[[#This Row],[Persona_ID]]</f>
        <v>348</v>
      </c>
      <c r="B349" s="31">
        <f>step3_validation[[#This Row],[Used_Seed]]</f>
        <v>348</v>
      </c>
      <c r="C349" t="str">
        <f>step3_validation[[#This Row],[Gender]]</f>
        <v>Nữ</v>
      </c>
      <c r="D349" t="str">
        <f>survey_responses[[#This Row],[Giới tính của bạn:]]</f>
        <v>Nữ</v>
      </c>
      <c r="E349" t="str">
        <f>step3_validation[[#This Row],[Age_Group]]</f>
        <v>25 - 29</v>
      </c>
      <c r="F349" t="str">
        <f>survey_responses[[#This Row],[Độ tuổi của bạn:]]</f>
        <v>25 - 29</v>
      </c>
      <c r="G349" t="str">
        <f>step3_validation[[#This Row],[Region]]</f>
        <v>Thành thị</v>
      </c>
      <c r="H349" t="str">
        <f>survey_responses[[#This Row],[Khu vực bạn đang sinh sống:]]</f>
        <v>Thành thị</v>
      </c>
      <c r="I349" t="str">
        <f>step3_validation[[#This Row],[Education]]</f>
        <v>Đại học</v>
      </c>
      <c r="J349" t="str">
        <f>survey_responses[[#This Row],[Trình độ học vấn cao nhất:]]</f>
        <v>Đại học</v>
      </c>
      <c r="K349" t="str">
        <f>step3_validation[[#This Row],[Employment]]</f>
        <v>Chính thức</v>
      </c>
      <c r="L349" t="str">
        <f>survey_responses[[#This Row],[Tình trạng việc làm chính:]]</f>
        <v>Khu vực chính thức (Có Hợp đồng lao động, đóng BHXH)</v>
      </c>
      <c r="M349">
        <f>step3_validation[[#This Row],[Income_Mil]]</f>
        <v>18.848836365386781</v>
      </c>
      <c r="N349" t="str">
        <f>survey_responses[[#This Row],[Thu nhập bình quân tháng theo Hợp đồng lao động của bạn là bao nhiêu? (Vui lòng điền tổng thu nhập trước khi khấu trừ các loại Bảo hiểm (BHXH, BHYT, BHTN) và Thuế TNCN)]]</f>
        <v>Từ 18 - 23 triệu VNĐ</v>
      </c>
      <c r="O349">
        <f>step3_validation[[#This Row],[Dependents]]</f>
        <v>0</v>
      </c>
      <c r="P349" t="str">
        <f>survey_responses[[#This Row],[Số người phụ thuộc (con nhỏ, cha mẹ già...) đủ điều kiện giảm trừ gia cảnh:]]</f>
        <v>0 người</v>
      </c>
      <c r="Q349">
        <f>step3_validation[[#This Row],[AI_ENF1]]</f>
        <v>9</v>
      </c>
      <c r="R349" t="str">
        <f t="shared" si="135"/>
        <v>Support</v>
      </c>
      <c r="S349">
        <f>survey_responses[[#This Row],[Tôi tin rằng với các quy định quản lý thuế hiện nay, hành vi gian lận hoặc trốn thuế sẽ dễ dàng bị phát hiện và xử lý nghiêm. - HUMAN-ENF1]]</f>
        <v>8</v>
      </c>
      <c r="T349" t="str">
        <f t="shared" si="136"/>
        <v>Support</v>
      </c>
      <c r="U349" s="32">
        <f t="shared" si="137"/>
        <v>1</v>
      </c>
      <c r="V349">
        <f>step3_validation[[#This Row],[AI_ENF2]]</f>
        <v>8</v>
      </c>
      <c r="W349" t="str">
        <f t="shared" si="138"/>
        <v>Support</v>
      </c>
      <c r="X349">
        <f>survey_responses[[#This Row],[Tôi tin rằng Nhà nước, cơ quan thuế có đủ khả năng và công nghệ để phát hiện, xử lý nghiêm các hành vi trốn thuế. - HUMAN-ENF2]]</f>
        <v>8</v>
      </c>
      <c r="Y349" t="str">
        <f t="shared" si="139"/>
        <v>Support</v>
      </c>
      <c r="Z349" s="32">
        <f t="shared" si="140"/>
        <v>0</v>
      </c>
      <c r="AA349">
        <f>step3_validation[[#This Row],[AI_FAC1]]</f>
        <v>9</v>
      </c>
      <c r="AB349" t="str">
        <f t="shared" si="141"/>
        <v>Support</v>
      </c>
      <c r="AC349">
        <f>survey_responses[[#This Row],[Các thủ tục khai báo thuế VÀ/HOẶC quy trình làm việc với cơ quan thuế đơn giản, tiện lợi, nhanh chóng hơn so với trước đây. - HUMAN-FAC1]]</f>
        <v>7</v>
      </c>
      <c r="AD349" t="str">
        <f t="shared" si="142"/>
        <v>Neutral</v>
      </c>
      <c r="AE349" s="32">
        <f t="shared" si="143"/>
        <v>2</v>
      </c>
      <c r="AF349">
        <f>step3_validation[[#This Row],[AI_FAC2]]</f>
        <v>8</v>
      </c>
      <c r="AG349" t="str">
        <f t="shared" si="144"/>
        <v>Support</v>
      </c>
      <c r="AH349">
        <f>survey_responses[[#This Row],[So với trước đây, tôi thấy cách tính thuế và các bậc thuế trong phương án mới đơn giản, dễ hiểu và dễ thực hiện hơn. - HUMAN-FAC2]]</f>
        <v>7</v>
      </c>
      <c r="AI349" t="str">
        <f t="shared" si="145"/>
        <v>Neutral</v>
      </c>
      <c r="AJ349" s="32">
        <f t="shared" si="146"/>
        <v>1</v>
      </c>
      <c r="AK349">
        <f>step3_validation[[#This Row],[AI_TRU1]]</f>
        <v>9</v>
      </c>
      <c r="AL349" t="str">
        <f t="shared" si="147"/>
        <v>Support</v>
      </c>
      <c r="AM349">
        <f>survey_responses[[#This Row],[Tôi tin rằng Nhà nước, cơ quan thuế sẽ thực thi chính sách mới một cách khách quan, công tâm và đối xử bình đẳng với mọi người nộp thuế.  - HUMAN-TRU1]]</f>
        <v>6</v>
      </c>
      <c r="AN349" t="str">
        <f t="shared" si="148"/>
        <v>Neutral</v>
      </c>
      <c r="AO349" s="32">
        <f t="shared" si="149"/>
        <v>3</v>
      </c>
      <c r="AP349">
        <f>step3_validation[[#This Row],[AI_TRU2]]</f>
        <v>8</v>
      </c>
      <c r="AQ349" t="str">
        <f t="shared" si="150"/>
        <v>Support</v>
      </c>
      <c r="AR349">
        <f>survey_responses[[#This Row],[Tôi thấy mức thuế tôi phải đóng theo phương án mới là công bằng (người thu nhập như tôi đóng mức này là hợp lý). - HUMAN-TRU2]]</f>
        <v>7</v>
      </c>
      <c r="AS349" t="str">
        <f t="shared" si="151"/>
        <v>Neutral</v>
      </c>
      <c r="AT349" s="32">
        <f t="shared" si="152"/>
        <v>1</v>
      </c>
      <c r="AU349">
        <f>step3_validation[[#This Row],[AI_TRU3]]</f>
        <v>9</v>
      </c>
      <c r="AV349" t="str">
        <f t="shared" si="153"/>
        <v>Support</v>
      </c>
      <c r="AW349">
        <f>survey_responses[[#This Row],[Tôi tin tưởng số tiền thuế tôi đóng sẽ được Nhà nước sử dụng hiệu quả để cải thiện dịch vụ công (y tế, đường xá...). - HUMAN-TRU3]]</f>
        <v>6</v>
      </c>
      <c r="AX349" t="str">
        <f t="shared" si="154"/>
        <v>Neutral</v>
      </c>
      <c r="AY349" s="32">
        <f t="shared" si="155"/>
        <v>3</v>
      </c>
      <c r="AZ349">
        <f>step3_validation[[#This Row],[AI_TRU4]]</f>
        <v>8</v>
      </c>
      <c r="BA349" t="str">
        <f t="shared" si="156"/>
        <v>Support</v>
      </c>
      <c r="BB349">
        <f>survey_responses[[#This Row],[Tôi thấy Nhà nước đã giải thích rõ ràng, minh bạch về lý do và mục tiêu của việc sửa đổi thuế lần này. - HUMAN-TRU4]]</f>
        <v>6</v>
      </c>
      <c r="BC349" t="str">
        <f t="shared" si="157"/>
        <v>Neutral</v>
      </c>
      <c r="BD349" s="32">
        <f t="shared" si="158"/>
        <v>2</v>
      </c>
      <c r="BE349">
        <f>step3_validation[[#This Row],[AI_OUT1]]</f>
        <v>9</v>
      </c>
      <c r="BF349" t="str">
        <f t="shared" si="159"/>
        <v>Support</v>
      </c>
      <c r="BG349">
        <f>survey_responses[[#This Row],[Sau khi xem xét các quyền lợi và nghĩa vụ, bạn có ủng hộ và tuân thủ chính sách mới hiện nay? - HUMAN-OUT1]]</f>
        <v>7</v>
      </c>
      <c r="BH349" t="str">
        <f t="shared" si="160"/>
        <v>Neutral</v>
      </c>
      <c r="BI349" s="32">
        <f t="shared" si="161"/>
        <v>2</v>
      </c>
    </row>
    <row r="350" spans="1:61" x14ac:dyDescent="0.45">
      <c r="A350" s="30">
        <f>step3_validation[[#This Row],[Persona_ID]]</f>
        <v>349</v>
      </c>
      <c r="B350" s="31">
        <f>step3_validation[[#This Row],[Used_Seed]]</f>
        <v>349</v>
      </c>
      <c r="C350" t="str">
        <f>step3_validation[[#This Row],[Gender]]</f>
        <v>Nữ</v>
      </c>
      <c r="D350" t="str">
        <f>survey_responses[[#This Row],[Giới tính của bạn:]]</f>
        <v>Nữ</v>
      </c>
      <c r="E350" t="str">
        <f>step3_validation[[#This Row],[Age_Group]]</f>
        <v>25 - 29</v>
      </c>
      <c r="F350" t="str">
        <f>survey_responses[[#This Row],[Độ tuổi của bạn:]]</f>
        <v>25 - 29</v>
      </c>
      <c r="G350" t="str">
        <f>step3_validation[[#This Row],[Region]]</f>
        <v>Thành thị</v>
      </c>
      <c r="H350" t="str">
        <f>survey_responses[[#This Row],[Khu vực bạn đang sinh sống:]]</f>
        <v>Thành thị</v>
      </c>
      <c r="I350" t="str">
        <f>step3_validation[[#This Row],[Education]]</f>
        <v>Đại học</v>
      </c>
      <c r="J350" t="str">
        <f>survey_responses[[#This Row],[Trình độ học vấn cao nhất:]]</f>
        <v>Đại học</v>
      </c>
      <c r="K350" t="str">
        <f>step3_validation[[#This Row],[Employment]]</f>
        <v>Chính thức</v>
      </c>
      <c r="L350" t="str">
        <f>survey_responses[[#This Row],[Tình trạng việc làm chính:]]</f>
        <v>Khu vực chính thức (Có Hợp đồng lao động, đóng BHXH)</v>
      </c>
      <c r="M350">
        <f>step3_validation[[#This Row],[Income_Mil]]</f>
        <v>19.433405004233556</v>
      </c>
      <c r="N350" t="str">
        <f>survey_responses[[#This Row],[Thu nhập bình quân tháng theo Hợp đồng lao động của bạn là bao nhiêu? (Vui lòng điền tổng thu nhập trước khi khấu trừ các loại Bảo hiểm (BHXH, BHYT, BHTN) và Thuế TNCN)]]</f>
        <v>Từ 18 - 23 triệu VNĐ</v>
      </c>
      <c r="O350">
        <f>step3_validation[[#This Row],[Dependents]]</f>
        <v>0</v>
      </c>
      <c r="P350" t="str">
        <f>survey_responses[[#This Row],[Số người phụ thuộc (con nhỏ, cha mẹ già...) đủ điều kiện giảm trừ gia cảnh:]]</f>
        <v>0 người</v>
      </c>
      <c r="Q350">
        <f>step3_validation[[#This Row],[AI_ENF1]]</f>
        <v>7</v>
      </c>
      <c r="R350" t="str">
        <f t="shared" si="135"/>
        <v>Neutral</v>
      </c>
      <c r="S350">
        <f>survey_responses[[#This Row],[Tôi tin rằng với các quy định quản lý thuế hiện nay, hành vi gian lận hoặc trốn thuế sẽ dễ dàng bị phát hiện và xử lý nghiêm. - HUMAN-ENF1]]</f>
        <v>4</v>
      </c>
      <c r="T350" t="str">
        <f t="shared" si="136"/>
        <v>Oppose</v>
      </c>
      <c r="U350" s="32">
        <f t="shared" si="137"/>
        <v>3</v>
      </c>
      <c r="V350">
        <f>step3_validation[[#This Row],[AI_ENF2]]</f>
        <v>8</v>
      </c>
      <c r="W350" t="str">
        <f t="shared" si="138"/>
        <v>Support</v>
      </c>
      <c r="X350">
        <f>survey_responses[[#This Row],[Tôi tin rằng Nhà nước, cơ quan thuế có đủ khả năng và công nghệ để phát hiện, xử lý nghiêm các hành vi trốn thuế. - HUMAN-ENF2]]</f>
        <v>4</v>
      </c>
      <c r="Y350" t="str">
        <f t="shared" si="139"/>
        <v>Oppose</v>
      </c>
      <c r="Z350" s="32">
        <f t="shared" si="140"/>
        <v>4</v>
      </c>
      <c r="AA350">
        <f>step3_validation[[#This Row],[AI_FAC1]]</f>
        <v>7</v>
      </c>
      <c r="AB350" t="str">
        <f t="shared" si="141"/>
        <v>Neutral</v>
      </c>
      <c r="AC350">
        <f>survey_responses[[#This Row],[Các thủ tục khai báo thuế VÀ/HOẶC quy trình làm việc với cơ quan thuế đơn giản, tiện lợi, nhanh chóng hơn so với trước đây. - HUMAN-FAC1]]</f>
        <v>5</v>
      </c>
      <c r="AD350" t="str">
        <f t="shared" si="142"/>
        <v>Neutral</v>
      </c>
      <c r="AE350" s="32">
        <f t="shared" si="143"/>
        <v>2</v>
      </c>
      <c r="AF350">
        <f>step3_validation[[#This Row],[AI_FAC2]]</f>
        <v>9</v>
      </c>
      <c r="AG350" t="str">
        <f t="shared" si="144"/>
        <v>Support</v>
      </c>
      <c r="AH350">
        <f>survey_responses[[#This Row],[So với trước đây, tôi thấy cách tính thuế và các bậc thuế trong phương án mới đơn giản, dễ hiểu và dễ thực hiện hơn. - HUMAN-FAC2]]</f>
        <v>7</v>
      </c>
      <c r="AI350" t="str">
        <f t="shared" si="145"/>
        <v>Neutral</v>
      </c>
      <c r="AJ350" s="32">
        <f t="shared" si="146"/>
        <v>2</v>
      </c>
      <c r="AK350">
        <f>step3_validation[[#This Row],[AI_TRU1]]</f>
        <v>6</v>
      </c>
      <c r="AL350" t="str">
        <f t="shared" si="147"/>
        <v>Neutral</v>
      </c>
      <c r="AM350">
        <f>survey_responses[[#This Row],[Tôi tin rằng Nhà nước, cơ quan thuế sẽ thực thi chính sách mới một cách khách quan, công tâm và đối xử bình đẳng với mọi người nộp thuế.  - HUMAN-TRU1]]</f>
        <v>5</v>
      </c>
      <c r="AN350" t="str">
        <f t="shared" si="148"/>
        <v>Neutral</v>
      </c>
      <c r="AO350" s="32">
        <f t="shared" si="149"/>
        <v>1</v>
      </c>
      <c r="AP350">
        <f>step3_validation[[#This Row],[AI_TRU2]]</f>
        <v>8</v>
      </c>
      <c r="AQ350" t="str">
        <f t="shared" si="150"/>
        <v>Support</v>
      </c>
      <c r="AR350">
        <f>survey_responses[[#This Row],[Tôi thấy mức thuế tôi phải đóng theo phương án mới là công bằng (người thu nhập như tôi đóng mức này là hợp lý). - HUMAN-TRU2]]</f>
        <v>6</v>
      </c>
      <c r="AS350" t="str">
        <f t="shared" si="151"/>
        <v>Neutral</v>
      </c>
      <c r="AT350" s="32">
        <f t="shared" si="152"/>
        <v>2</v>
      </c>
      <c r="AU350">
        <f>step3_validation[[#This Row],[AI_TRU3]]</f>
        <v>7</v>
      </c>
      <c r="AV350" t="str">
        <f t="shared" si="153"/>
        <v>Neutral</v>
      </c>
      <c r="AW350">
        <f>survey_responses[[#This Row],[Tôi tin tưởng số tiền thuế tôi đóng sẽ được Nhà nước sử dụng hiệu quả để cải thiện dịch vụ công (y tế, đường xá...). - HUMAN-TRU3]]</f>
        <v>6</v>
      </c>
      <c r="AX350" t="str">
        <f t="shared" si="154"/>
        <v>Neutral</v>
      </c>
      <c r="AY350" s="32">
        <f t="shared" si="155"/>
        <v>1</v>
      </c>
      <c r="AZ350">
        <f>step3_validation[[#This Row],[AI_TRU4]]</f>
        <v>8</v>
      </c>
      <c r="BA350" t="str">
        <f t="shared" si="156"/>
        <v>Support</v>
      </c>
      <c r="BB350">
        <f>survey_responses[[#This Row],[Tôi thấy Nhà nước đã giải thích rõ ràng, minh bạch về lý do và mục tiêu của việc sửa đổi thuế lần này. - HUMAN-TRU4]]</f>
        <v>6</v>
      </c>
      <c r="BC350" t="str">
        <f t="shared" si="157"/>
        <v>Neutral</v>
      </c>
      <c r="BD350" s="32">
        <f t="shared" si="158"/>
        <v>2</v>
      </c>
      <c r="BE350">
        <f>step3_validation[[#This Row],[AI_OUT1]]</f>
        <v>9</v>
      </c>
      <c r="BF350" t="str">
        <f t="shared" si="159"/>
        <v>Support</v>
      </c>
      <c r="BG350">
        <f>survey_responses[[#This Row],[Sau khi xem xét các quyền lợi và nghĩa vụ, bạn có ủng hộ và tuân thủ chính sách mới hiện nay? - HUMAN-OUT1]]</f>
        <v>6</v>
      </c>
      <c r="BH350" t="str">
        <f t="shared" si="160"/>
        <v>Neutral</v>
      </c>
      <c r="BI350" s="32">
        <f t="shared" si="161"/>
        <v>3</v>
      </c>
    </row>
    <row r="351" spans="1:61" x14ac:dyDescent="0.45">
      <c r="A351" s="30">
        <f>step3_validation[[#This Row],[Persona_ID]]</f>
        <v>350</v>
      </c>
      <c r="B351" s="31">
        <f>step3_validation[[#This Row],[Used_Seed]]</f>
        <v>350</v>
      </c>
      <c r="C351" t="str">
        <f>step3_validation[[#This Row],[Gender]]</f>
        <v>Nữ</v>
      </c>
      <c r="D351" t="str">
        <f>survey_responses[[#This Row],[Giới tính của bạn:]]</f>
        <v>Nữ</v>
      </c>
      <c r="E351" t="str">
        <f>step3_validation[[#This Row],[Age_Group]]</f>
        <v>25 - 29</v>
      </c>
      <c r="F351" t="str">
        <f>survey_responses[[#This Row],[Độ tuổi của bạn:]]</f>
        <v>25 - 29</v>
      </c>
      <c r="G351" t="str">
        <f>step3_validation[[#This Row],[Region]]</f>
        <v>Thành thị</v>
      </c>
      <c r="H351" t="str">
        <f>survey_responses[[#This Row],[Khu vực bạn đang sinh sống:]]</f>
        <v>Thành thị</v>
      </c>
      <c r="I351" t="str">
        <f>step3_validation[[#This Row],[Education]]</f>
        <v>Đại học</v>
      </c>
      <c r="J351" t="str">
        <f>survey_responses[[#This Row],[Trình độ học vấn cao nhất:]]</f>
        <v>Đại học</v>
      </c>
      <c r="K351" t="str">
        <f>step3_validation[[#This Row],[Employment]]</f>
        <v>Chính thức</v>
      </c>
      <c r="L351" t="str">
        <f>survey_responses[[#This Row],[Tình trạng việc làm chính:]]</f>
        <v>Khu vực chính thức (Có Hợp đồng lao động, đóng BHXH)</v>
      </c>
      <c r="M351">
        <f>step3_validation[[#This Row],[Income_Mil]]</f>
        <v>30.175848559176604</v>
      </c>
      <c r="N351" t="str">
        <f>survey_responses[[#This Row],[Thu nhập bình quân tháng theo Hợp đồng lao động của bạn là bao nhiêu? (Vui lòng điền tổng thu nhập trước khi khấu trừ các loại Bảo hiểm (BHXH, BHYT, BHTN) và Thuế TNCN)]]</f>
        <v>Từ 23 - 32 triệu VNĐ</v>
      </c>
      <c r="O351">
        <f>step3_validation[[#This Row],[Dependents]]</f>
        <v>0</v>
      </c>
      <c r="P351" t="str">
        <f>survey_responses[[#This Row],[Số người phụ thuộc (con nhỏ, cha mẹ già...) đủ điều kiện giảm trừ gia cảnh:]]</f>
        <v>0 người</v>
      </c>
      <c r="Q351">
        <f>step3_validation[[#This Row],[AI_ENF1]]</f>
        <v>8</v>
      </c>
      <c r="R351" t="str">
        <f t="shared" si="135"/>
        <v>Support</v>
      </c>
      <c r="S351">
        <f>survey_responses[[#This Row],[Tôi tin rằng với các quy định quản lý thuế hiện nay, hành vi gian lận hoặc trốn thuế sẽ dễ dàng bị phát hiện và xử lý nghiêm. - HUMAN-ENF1]]</f>
        <v>7</v>
      </c>
      <c r="T351" t="str">
        <f t="shared" si="136"/>
        <v>Neutral</v>
      </c>
      <c r="U351" s="32">
        <f t="shared" si="137"/>
        <v>1</v>
      </c>
      <c r="V351">
        <f>step3_validation[[#This Row],[AI_ENF2]]</f>
        <v>7</v>
      </c>
      <c r="W351" t="str">
        <f t="shared" si="138"/>
        <v>Neutral</v>
      </c>
      <c r="X351">
        <f>survey_responses[[#This Row],[Tôi tin rằng Nhà nước, cơ quan thuế có đủ khả năng và công nghệ để phát hiện, xử lý nghiêm các hành vi trốn thuế. - HUMAN-ENF2]]</f>
        <v>7</v>
      </c>
      <c r="Y351" t="str">
        <f t="shared" si="139"/>
        <v>Neutral</v>
      </c>
      <c r="Z351" s="32">
        <f t="shared" si="140"/>
        <v>0</v>
      </c>
      <c r="AA351">
        <f>step3_validation[[#This Row],[AI_FAC1]]</f>
        <v>9</v>
      </c>
      <c r="AB351" t="str">
        <f t="shared" si="141"/>
        <v>Support</v>
      </c>
      <c r="AC351">
        <f>survey_responses[[#This Row],[Các thủ tục khai báo thuế VÀ/HOẶC quy trình làm việc với cơ quan thuế đơn giản, tiện lợi, nhanh chóng hơn so với trước đây. - HUMAN-FAC1]]</f>
        <v>8</v>
      </c>
      <c r="AD351" t="str">
        <f t="shared" si="142"/>
        <v>Support</v>
      </c>
      <c r="AE351" s="32">
        <f t="shared" si="143"/>
        <v>1</v>
      </c>
      <c r="AF351">
        <f>step3_validation[[#This Row],[AI_FAC2]]</f>
        <v>8</v>
      </c>
      <c r="AG351" t="str">
        <f t="shared" si="144"/>
        <v>Support</v>
      </c>
      <c r="AH351">
        <f>survey_responses[[#This Row],[So với trước đây, tôi thấy cách tính thuế và các bậc thuế trong phương án mới đơn giản, dễ hiểu và dễ thực hiện hơn. - HUMAN-FAC2]]</f>
        <v>8</v>
      </c>
      <c r="AI351" t="str">
        <f t="shared" si="145"/>
        <v>Support</v>
      </c>
      <c r="AJ351" s="32">
        <f t="shared" si="146"/>
        <v>0</v>
      </c>
      <c r="AK351">
        <f>step3_validation[[#This Row],[AI_TRU1]]</f>
        <v>9</v>
      </c>
      <c r="AL351" t="str">
        <f t="shared" si="147"/>
        <v>Support</v>
      </c>
      <c r="AM351">
        <f>survey_responses[[#This Row],[Tôi tin rằng Nhà nước, cơ quan thuế sẽ thực thi chính sách mới một cách khách quan, công tâm và đối xử bình đẳng với mọi người nộp thuế.  - HUMAN-TRU1]]</f>
        <v>7</v>
      </c>
      <c r="AN351" t="str">
        <f t="shared" si="148"/>
        <v>Neutral</v>
      </c>
      <c r="AO351" s="32">
        <f t="shared" si="149"/>
        <v>2</v>
      </c>
      <c r="AP351">
        <f>step3_validation[[#This Row],[AI_TRU2]]</f>
        <v>8</v>
      </c>
      <c r="AQ351" t="str">
        <f t="shared" si="150"/>
        <v>Support</v>
      </c>
      <c r="AR351">
        <f>survey_responses[[#This Row],[Tôi thấy mức thuế tôi phải đóng theo phương án mới là công bằng (người thu nhập như tôi đóng mức này là hợp lý). - HUMAN-TRU2]]</f>
        <v>7</v>
      </c>
      <c r="AS351" t="str">
        <f t="shared" si="151"/>
        <v>Neutral</v>
      </c>
      <c r="AT351" s="32">
        <f t="shared" si="152"/>
        <v>1</v>
      </c>
      <c r="AU351">
        <f>step3_validation[[#This Row],[AI_TRU3]]</f>
        <v>9</v>
      </c>
      <c r="AV351" t="str">
        <f t="shared" si="153"/>
        <v>Support</v>
      </c>
      <c r="AW351">
        <f>survey_responses[[#This Row],[Tôi tin tưởng số tiền thuế tôi đóng sẽ được Nhà nước sử dụng hiệu quả để cải thiện dịch vụ công (y tế, đường xá...). - HUMAN-TRU3]]</f>
        <v>8</v>
      </c>
      <c r="AX351" t="str">
        <f t="shared" si="154"/>
        <v>Support</v>
      </c>
      <c r="AY351" s="32">
        <f t="shared" si="155"/>
        <v>1</v>
      </c>
      <c r="AZ351">
        <f>step3_validation[[#This Row],[AI_TRU4]]</f>
        <v>8</v>
      </c>
      <c r="BA351" t="str">
        <f t="shared" si="156"/>
        <v>Support</v>
      </c>
      <c r="BB351">
        <f>survey_responses[[#This Row],[Tôi thấy Nhà nước đã giải thích rõ ràng, minh bạch về lý do và mục tiêu của việc sửa đổi thuế lần này. - HUMAN-TRU4]]</f>
        <v>7</v>
      </c>
      <c r="BC351" t="str">
        <f t="shared" si="157"/>
        <v>Neutral</v>
      </c>
      <c r="BD351" s="32">
        <f t="shared" si="158"/>
        <v>1</v>
      </c>
      <c r="BE351">
        <f>step3_validation[[#This Row],[AI_OUT1]]</f>
        <v>9</v>
      </c>
      <c r="BF351" t="str">
        <f t="shared" si="159"/>
        <v>Support</v>
      </c>
      <c r="BG351">
        <f>survey_responses[[#This Row],[Sau khi xem xét các quyền lợi và nghĩa vụ, bạn có ủng hộ và tuân thủ chính sách mới hiện nay? - HUMAN-OUT1]]</f>
        <v>8</v>
      </c>
      <c r="BH351" t="str">
        <f t="shared" si="160"/>
        <v>Support</v>
      </c>
      <c r="BI351" s="32">
        <f t="shared" si="161"/>
        <v>1</v>
      </c>
    </row>
    <row r="352" spans="1:61" x14ac:dyDescent="0.45">
      <c r="A352" s="30">
        <f>step3_validation[[#This Row],[Persona_ID]]</f>
        <v>351</v>
      </c>
      <c r="B352" s="31">
        <f>step3_validation[[#This Row],[Used_Seed]]</f>
        <v>351</v>
      </c>
      <c r="C352" t="str">
        <f>step3_validation[[#This Row],[Gender]]</f>
        <v>Nữ</v>
      </c>
      <c r="D352" t="str">
        <f>survey_responses[[#This Row],[Giới tính của bạn:]]</f>
        <v>Nữ</v>
      </c>
      <c r="E352" t="str">
        <f>step3_validation[[#This Row],[Age_Group]]</f>
        <v>30 - 39</v>
      </c>
      <c r="F352" t="str">
        <f>survey_responses[[#This Row],[Độ tuổi của bạn:]]</f>
        <v>30 - 39</v>
      </c>
      <c r="G352" t="str">
        <f>step3_validation[[#This Row],[Region]]</f>
        <v>Thành thị</v>
      </c>
      <c r="H352" t="str">
        <f>survey_responses[[#This Row],[Khu vực bạn đang sinh sống:]]</f>
        <v>Thành thị</v>
      </c>
      <c r="I352" t="str">
        <f>step3_validation[[#This Row],[Education]]</f>
        <v>Đại học</v>
      </c>
      <c r="J352" t="str">
        <f>survey_responses[[#This Row],[Trình độ học vấn cao nhất:]]</f>
        <v>Đại học</v>
      </c>
      <c r="K352" t="str">
        <f>step3_validation[[#This Row],[Employment]]</f>
        <v>Chính thức</v>
      </c>
      <c r="L352" t="str">
        <f>survey_responses[[#This Row],[Tình trạng việc làm chính:]]</f>
        <v>Khu vực chính thức (Có Hợp đồng lao động, đóng BHXH)</v>
      </c>
      <c r="M352">
        <f>step3_validation[[#This Row],[Income_Mil]]</f>
        <v>41.687752201905596</v>
      </c>
      <c r="N352" t="str">
        <f>survey_responses[[#This Row],[Thu nhập bình quân tháng theo Hợp đồng lao động của bạn là bao nhiêu? (Vui lòng điền tổng thu nhập trước khi khấu trừ các loại Bảo hiểm (BHXH, BHYT, BHTN) và Thuế TNCN)]]</f>
        <v>Từ 32 - 48 triệu VNĐ</v>
      </c>
      <c r="O352">
        <f>step3_validation[[#This Row],[Dependents]]</f>
        <v>2</v>
      </c>
      <c r="P352" t="str">
        <f>survey_responses[[#This Row],[Số người phụ thuộc (con nhỏ, cha mẹ già...) đủ điều kiện giảm trừ gia cảnh:]]</f>
        <v>2 người</v>
      </c>
      <c r="Q352">
        <f>step3_validation[[#This Row],[AI_ENF1]]</f>
        <v>7</v>
      </c>
      <c r="R352" t="str">
        <f t="shared" si="135"/>
        <v>Neutral</v>
      </c>
      <c r="S352">
        <f>survey_responses[[#This Row],[Tôi tin rằng với các quy định quản lý thuế hiện nay, hành vi gian lận hoặc trốn thuế sẽ dễ dàng bị phát hiện và xử lý nghiêm. - HUMAN-ENF1]]</f>
        <v>8</v>
      </c>
      <c r="T352" t="str">
        <f t="shared" si="136"/>
        <v>Support</v>
      </c>
      <c r="U352" s="32">
        <f t="shared" si="137"/>
        <v>1</v>
      </c>
      <c r="V352">
        <f>step3_validation[[#This Row],[AI_ENF2]]</f>
        <v>6</v>
      </c>
      <c r="W352" t="str">
        <f t="shared" si="138"/>
        <v>Neutral</v>
      </c>
      <c r="X352">
        <f>survey_responses[[#This Row],[Tôi tin rằng Nhà nước, cơ quan thuế có đủ khả năng và công nghệ để phát hiện, xử lý nghiêm các hành vi trốn thuế. - HUMAN-ENF2]]</f>
        <v>8</v>
      </c>
      <c r="Y352" t="str">
        <f t="shared" si="139"/>
        <v>Support</v>
      </c>
      <c r="Z352" s="32">
        <f t="shared" si="140"/>
        <v>2</v>
      </c>
      <c r="AA352">
        <f>step3_validation[[#This Row],[AI_FAC1]]</f>
        <v>8</v>
      </c>
      <c r="AB352" t="str">
        <f t="shared" si="141"/>
        <v>Support</v>
      </c>
      <c r="AC352">
        <f>survey_responses[[#This Row],[Các thủ tục khai báo thuế VÀ/HOẶC quy trình làm việc với cơ quan thuế đơn giản, tiện lợi, nhanh chóng hơn so với trước đây. - HUMAN-FAC1]]</f>
        <v>6</v>
      </c>
      <c r="AD352" t="str">
        <f t="shared" si="142"/>
        <v>Neutral</v>
      </c>
      <c r="AE352" s="32">
        <f t="shared" si="143"/>
        <v>2</v>
      </c>
      <c r="AF352">
        <f>step3_validation[[#This Row],[AI_FAC2]]</f>
        <v>9</v>
      </c>
      <c r="AG352" t="str">
        <f t="shared" si="144"/>
        <v>Support</v>
      </c>
      <c r="AH352">
        <f>survey_responses[[#This Row],[So với trước đây, tôi thấy cách tính thuế và các bậc thuế trong phương án mới đơn giản, dễ hiểu và dễ thực hiện hơn. - HUMAN-FAC2]]</f>
        <v>7</v>
      </c>
      <c r="AI352" t="str">
        <f t="shared" si="145"/>
        <v>Neutral</v>
      </c>
      <c r="AJ352" s="32">
        <f t="shared" si="146"/>
        <v>2</v>
      </c>
      <c r="AK352">
        <f>step3_validation[[#This Row],[AI_TRU1]]</f>
        <v>7</v>
      </c>
      <c r="AL352" t="str">
        <f t="shared" si="147"/>
        <v>Neutral</v>
      </c>
      <c r="AM352">
        <f>survey_responses[[#This Row],[Tôi tin rằng Nhà nước, cơ quan thuế sẽ thực thi chính sách mới một cách khách quan, công tâm và đối xử bình đẳng với mọi người nộp thuế.  - HUMAN-TRU1]]</f>
        <v>6</v>
      </c>
      <c r="AN352" t="str">
        <f t="shared" si="148"/>
        <v>Neutral</v>
      </c>
      <c r="AO352" s="32">
        <f t="shared" si="149"/>
        <v>1</v>
      </c>
      <c r="AP352">
        <f>step3_validation[[#This Row],[AI_TRU2]]</f>
        <v>8</v>
      </c>
      <c r="AQ352" t="str">
        <f t="shared" si="150"/>
        <v>Support</v>
      </c>
      <c r="AR352">
        <f>survey_responses[[#This Row],[Tôi thấy mức thuế tôi phải đóng theo phương án mới là công bằng (người thu nhập như tôi đóng mức này là hợp lý). - HUMAN-TRU2]]</f>
        <v>7</v>
      </c>
      <c r="AS352" t="str">
        <f t="shared" si="151"/>
        <v>Neutral</v>
      </c>
      <c r="AT352" s="32">
        <f t="shared" si="152"/>
        <v>1</v>
      </c>
      <c r="AU352">
        <f>step3_validation[[#This Row],[AI_TRU3]]</f>
        <v>6</v>
      </c>
      <c r="AV352" t="str">
        <f t="shared" si="153"/>
        <v>Neutral</v>
      </c>
      <c r="AW352">
        <f>survey_responses[[#This Row],[Tôi tin tưởng số tiền thuế tôi đóng sẽ được Nhà nước sử dụng hiệu quả để cải thiện dịch vụ công (y tế, đường xá...). - HUMAN-TRU3]]</f>
        <v>5</v>
      </c>
      <c r="AX352" t="str">
        <f t="shared" si="154"/>
        <v>Neutral</v>
      </c>
      <c r="AY352" s="32">
        <f t="shared" si="155"/>
        <v>1</v>
      </c>
      <c r="AZ352">
        <f>step3_validation[[#This Row],[AI_TRU4]]</f>
        <v>8</v>
      </c>
      <c r="BA352" t="str">
        <f t="shared" si="156"/>
        <v>Support</v>
      </c>
      <c r="BB352">
        <f>survey_responses[[#This Row],[Tôi thấy Nhà nước đã giải thích rõ ràng, minh bạch về lý do và mục tiêu của việc sửa đổi thuế lần này. - HUMAN-TRU4]]</f>
        <v>7</v>
      </c>
      <c r="BC352" t="str">
        <f t="shared" si="157"/>
        <v>Neutral</v>
      </c>
      <c r="BD352" s="32">
        <f t="shared" si="158"/>
        <v>1</v>
      </c>
      <c r="BE352">
        <f>step3_validation[[#This Row],[AI_OUT1]]</f>
        <v>9</v>
      </c>
      <c r="BF352" t="str">
        <f t="shared" si="159"/>
        <v>Support</v>
      </c>
      <c r="BG352">
        <f>survey_responses[[#This Row],[Sau khi xem xét các quyền lợi và nghĩa vụ, bạn có ủng hộ và tuân thủ chính sách mới hiện nay? - HUMAN-OUT1]]</f>
        <v>7</v>
      </c>
      <c r="BH352" t="str">
        <f t="shared" si="160"/>
        <v>Neutral</v>
      </c>
      <c r="BI352" s="32">
        <f t="shared" si="161"/>
        <v>2</v>
      </c>
    </row>
    <row r="353" spans="1:61" x14ac:dyDescent="0.45">
      <c r="A353" s="30">
        <f>step3_validation[[#This Row],[Persona_ID]]</f>
        <v>352</v>
      </c>
      <c r="B353" s="31">
        <f>step3_validation[[#This Row],[Used_Seed]]</f>
        <v>352</v>
      </c>
      <c r="C353" t="str">
        <f>step3_validation[[#This Row],[Gender]]</f>
        <v>Nữ</v>
      </c>
      <c r="D353" t="str">
        <f>survey_responses[[#This Row],[Giới tính của bạn:]]</f>
        <v>Nữ</v>
      </c>
      <c r="E353" t="str">
        <f>step3_validation[[#This Row],[Age_Group]]</f>
        <v>30 - 39</v>
      </c>
      <c r="F353" t="str">
        <f>survey_responses[[#This Row],[Độ tuổi của bạn:]]</f>
        <v>30 - 39</v>
      </c>
      <c r="G353" t="str">
        <f>step3_validation[[#This Row],[Region]]</f>
        <v>Thành thị</v>
      </c>
      <c r="H353" t="str">
        <f>survey_responses[[#This Row],[Khu vực bạn đang sinh sống:]]</f>
        <v>Thành thị</v>
      </c>
      <c r="I353" t="str">
        <f>step3_validation[[#This Row],[Education]]</f>
        <v>Đại học</v>
      </c>
      <c r="J353" t="str">
        <f>survey_responses[[#This Row],[Trình độ học vấn cao nhất:]]</f>
        <v>Đại học</v>
      </c>
      <c r="K353" t="str">
        <f>step3_validation[[#This Row],[Employment]]</f>
        <v>Chính thức</v>
      </c>
      <c r="L353" t="str">
        <f>survey_responses[[#This Row],[Tình trạng việc làm chính:]]</f>
        <v>Khu vực chính thức (Có Hợp đồng lao động, đóng BHXH)</v>
      </c>
      <c r="M353">
        <f>step3_validation[[#This Row],[Income_Mil]]</f>
        <v>25.238713197909998</v>
      </c>
      <c r="N353" t="str">
        <f>survey_responses[[#This Row],[Thu nhập bình quân tháng theo Hợp đồng lao động của bạn là bao nhiêu? (Vui lòng điền tổng thu nhập trước khi khấu trừ các loại Bảo hiểm (BHXH, BHYT, BHTN) và Thuế TNCN)]]</f>
        <v>Từ 23 - 32 triệu VNĐ</v>
      </c>
      <c r="O353">
        <f>step3_validation[[#This Row],[Dependents]]</f>
        <v>1</v>
      </c>
      <c r="P353" t="str">
        <f>survey_responses[[#This Row],[Số người phụ thuộc (con nhỏ, cha mẹ già...) đủ điều kiện giảm trừ gia cảnh:]]</f>
        <v>1 người</v>
      </c>
      <c r="Q353">
        <f>step3_validation[[#This Row],[AI_ENF1]]</f>
        <v>6</v>
      </c>
      <c r="R353" t="str">
        <f t="shared" si="135"/>
        <v>Neutral</v>
      </c>
      <c r="S353">
        <f>survey_responses[[#This Row],[Tôi tin rằng với các quy định quản lý thuế hiện nay, hành vi gian lận hoặc trốn thuế sẽ dễ dàng bị phát hiện và xử lý nghiêm. - HUMAN-ENF1]]</f>
        <v>6</v>
      </c>
      <c r="T353" t="str">
        <f t="shared" si="136"/>
        <v>Neutral</v>
      </c>
      <c r="U353" s="32">
        <f t="shared" si="137"/>
        <v>0</v>
      </c>
      <c r="V353">
        <f>step3_validation[[#This Row],[AI_ENF2]]</f>
        <v>8</v>
      </c>
      <c r="W353" t="str">
        <f t="shared" si="138"/>
        <v>Support</v>
      </c>
      <c r="X353">
        <f>survey_responses[[#This Row],[Tôi tin rằng Nhà nước, cơ quan thuế có đủ khả năng và công nghệ để phát hiện, xử lý nghiêm các hành vi trốn thuế. - HUMAN-ENF2]]</f>
        <v>6</v>
      </c>
      <c r="Y353" t="str">
        <f t="shared" si="139"/>
        <v>Neutral</v>
      </c>
      <c r="Z353" s="32">
        <f t="shared" si="140"/>
        <v>2</v>
      </c>
      <c r="AA353">
        <f>step3_validation[[#This Row],[AI_FAC1]]</f>
        <v>9</v>
      </c>
      <c r="AB353" t="str">
        <f t="shared" si="141"/>
        <v>Support</v>
      </c>
      <c r="AC353">
        <f>survey_responses[[#This Row],[Các thủ tục khai báo thuế VÀ/HOẶC quy trình làm việc với cơ quan thuế đơn giản, tiện lợi, nhanh chóng hơn so với trước đây. - HUMAN-FAC1]]</f>
        <v>8</v>
      </c>
      <c r="AD353" t="str">
        <f t="shared" si="142"/>
        <v>Support</v>
      </c>
      <c r="AE353" s="32">
        <f t="shared" si="143"/>
        <v>1</v>
      </c>
      <c r="AF353">
        <f>step3_validation[[#This Row],[AI_FAC2]]</f>
        <v>8</v>
      </c>
      <c r="AG353" t="str">
        <f t="shared" si="144"/>
        <v>Support</v>
      </c>
      <c r="AH353">
        <f>survey_responses[[#This Row],[So với trước đây, tôi thấy cách tính thuế và các bậc thuế trong phương án mới đơn giản, dễ hiểu và dễ thực hiện hơn. - HUMAN-FAC2]]</f>
        <v>7</v>
      </c>
      <c r="AI353" t="str">
        <f t="shared" si="145"/>
        <v>Neutral</v>
      </c>
      <c r="AJ353" s="32">
        <f t="shared" si="146"/>
        <v>1</v>
      </c>
      <c r="AK353">
        <f>step3_validation[[#This Row],[AI_TRU1]]</f>
        <v>9</v>
      </c>
      <c r="AL353" t="str">
        <f t="shared" si="147"/>
        <v>Support</v>
      </c>
      <c r="AM353">
        <f>survey_responses[[#This Row],[Tôi tin rằng Nhà nước, cơ quan thuế sẽ thực thi chính sách mới một cách khách quan, công tâm và đối xử bình đẳng với mọi người nộp thuế.  - HUMAN-TRU1]]</f>
        <v>7</v>
      </c>
      <c r="AN353" t="str">
        <f t="shared" si="148"/>
        <v>Neutral</v>
      </c>
      <c r="AO353" s="32">
        <f t="shared" si="149"/>
        <v>2</v>
      </c>
      <c r="AP353">
        <f>step3_validation[[#This Row],[AI_TRU2]]</f>
        <v>8</v>
      </c>
      <c r="AQ353" t="str">
        <f t="shared" si="150"/>
        <v>Support</v>
      </c>
      <c r="AR353">
        <f>survey_responses[[#This Row],[Tôi thấy mức thuế tôi phải đóng theo phương án mới là công bằng (người thu nhập như tôi đóng mức này là hợp lý). - HUMAN-TRU2]]</f>
        <v>7</v>
      </c>
      <c r="AS353" t="str">
        <f t="shared" si="151"/>
        <v>Neutral</v>
      </c>
      <c r="AT353" s="32">
        <f t="shared" si="152"/>
        <v>1</v>
      </c>
      <c r="AU353">
        <f>step3_validation[[#This Row],[AI_TRU3]]</f>
        <v>9</v>
      </c>
      <c r="AV353" t="str">
        <f t="shared" si="153"/>
        <v>Support</v>
      </c>
      <c r="AW353">
        <f>survey_responses[[#This Row],[Tôi tin tưởng số tiền thuế tôi đóng sẽ được Nhà nước sử dụng hiệu quả để cải thiện dịch vụ công (y tế, đường xá...). - HUMAN-TRU3]]</f>
        <v>5</v>
      </c>
      <c r="AX353" t="str">
        <f t="shared" si="154"/>
        <v>Neutral</v>
      </c>
      <c r="AY353" s="32">
        <f t="shared" si="155"/>
        <v>4</v>
      </c>
      <c r="AZ353">
        <f>step3_validation[[#This Row],[AI_TRU4]]</f>
        <v>8</v>
      </c>
      <c r="BA353" t="str">
        <f t="shared" si="156"/>
        <v>Support</v>
      </c>
      <c r="BB353">
        <f>survey_responses[[#This Row],[Tôi thấy Nhà nước đã giải thích rõ ràng, minh bạch về lý do và mục tiêu của việc sửa đổi thuế lần này. - HUMAN-TRU4]]</f>
        <v>6</v>
      </c>
      <c r="BC353" t="str">
        <f t="shared" si="157"/>
        <v>Neutral</v>
      </c>
      <c r="BD353" s="32">
        <f t="shared" si="158"/>
        <v>2</v>
      </c>
      <c r="BE353">
        <f>step3_validation[[#This Row],[AI_OUT1]]</f>
        <v>9</v>
      </c>
      <c r="BF353" t="str">
        <f t="shared" si="159"/>
        <v>Support</v>
      </c>
      <c r="BG353">
        <f>survey_responses[[#This Row],[Sau khi xem xét các quyền lợi và nghĩa vụ, bạn có ủng hộ và tuân thủ chính sách mới hiện nay? - HUMAN-OUT1]]</f>
        <v>7</v>
      </c>
      <c r="BH353" t="str">
        <f t="shared" si="160"/>
        <v>Neutral</v>
      </c>
      <c r="BI353" s="32">
        <f t="shared" si="161"/>
        <v>2</v>
      </c>
    </row>
    <row r="354" spans="1:61" x14ac:dyDescent="0.45">
      <c r="A354" s="30">
        <f>step3_validation[[#This Row],[Persona_ID]]</f>
        <v>353</v>
      </c>
      <c r="B354" s="31">
        <f>step3_validation[[#This Row],[Used_Seed]]</f>
        <v>353</v>
      </c>
      <c r="C354" t="str">
        <f>step3_validation[[#This Row],[Gender]]</f>
        <v>Nam</v>
      </c>
      <c r="D354" t="str">
        <f>survey_responses[[#This Row],[Giới tính của bạn:]]</f>
        <v>Nam</v>
      </c>
      <c r="E354" t="str">
        <f>step3_validation[[#This Row],[Age_Group]]</f>
        <v>40 - 49</v>
      </c>
      <c r="F354" t="str">
        <f>survey_responses[[#This Row],[Độ tuổi của bạn:]]</f>
        <v>40 - 49</v>
      </c>
      <c r="G354" t="str">
        <f>step3_validation[[#This Row],[Region]]</f>
        <v>Thành thị</v>
      </c>
      <c r="H354" t="str">
        <f>survey_responses[[#This Row],[Khu vực bạn đang sinh sống:]]</f>
        <v>Thành thị</v>
      </c>
      <c r="I354" t="str">
        <f>step3_validation[[#This Row],[Education]]</f>
        <v>Đại học</v>
      </c>
      <c r="J354" t="str">
        <f>survey_responses[[#This Row],[Trình độ học vấn cao nhất:]]</f>
        <v>Đại học</v>
      </c>
      <c r="K354" t="str">
        <f>step3_validation[[#This Row],[Employment]]</f>
        <v>Chính thức</v>
      </c>
      <c r="L354" t="str">
        <f>survey_responses[[#This Row],[Tình trạng việc làm chính:]]</f>
        <v>Khu vực chính thức (Có Hợp đồng lao động, đóng BHXH)</v>
      </c>
      <c r="M354">
        <f>step3_validation[[#This Row],[Income_Mil]]</f>
        <v>94.443659947212794</v>
      </c>
      <c r="N354" t="str">
        <f>survey_responses[[#This Row],[Thu nhập bình quân tháng theo Hợp đồng lao động của bạn là bao nhiêu? (Vui lòng điền tổng thu nhập trước khi khấu trừ các loại Bảo hiểm (BHXH, BHYT, BHTN) và Thuế TNCN)]]</f>
        <v>Từ 70 - 102 triệu VNĐ</v>
      </c>
      <c r="O354">
        <f>step3_validation[[#This Row],[Dependents]]</f>
        <v>4</v>
      </c>
      <c r="P354" t="str">
        <f>survey_responses[[#This Row],[Số người phụ thuộc (con nhỏ, cha mẹ già...) đủ điều kiện giảm trừ gia cảnh:]]</f>
        <v>4 người trở lên</v>
      </c>
      <c r="Q354">
        <f>step3_validation[[#This Row],[AI_ENF1]]</f>
        <v>6</v>
      </c>
      <c r="R354" t="str">
        <f t="shared" si="135"/>
        <v>Neutral</v>
      </c>
      <c r="S354">
        <f>survey_responses[[#This Row],[Tôi tin rằng với các quy định quản lý thuế hiện nay, hành vi gian lận hoặc trốn thuế sẽ dễ dàng bị phát hiện và xử lý nghiêm. - HUMAN-ENF1]]</f>
        <v>7</v>
      </c>
      <c r="T354" t="str">
        <f t="shared" si="136"/>
        <v>Neutral</v>
      </c>
      <c r="U354" s="32">
        <f t="shared" si="137"/>
        <v>1</v>
      </c>
      <c r="V354">
        <f>step3_validation[[#This Row],[AI_ENF2]]</f>
        <v>7</v>
      </c>
      <c r="W354" t="str">
        <f t="shared" si="138"/>
        <v>Neutral</v>
      </c>
      <c r="X354">
        <f>survey_responses[[#This Row],[Tôi tin rằng Nhà nước, cơ quan thuế có đủ khả năng và công nghệ để phát hiện, xử lý nghiêm các hành vi trốn thuế. - HUMAN-ENF2]]</f>
        <v>7</v>
      </c>
      <c r="Y354" t="str">
        <f t="shared" si="139"/>
        <v>Neutral</v>
      </c>
      <c r="Z354" s="32">
        <f t="shared" si="140"/>
        <v>0</v>
      </c>
      <c r="AA354">
        <f>step3_validation[[#This Row],[AI_FAC1]]</f>
        <v>8</v>
      </c>
      <c r="AB354" t="str">
        <f t="shared" si="141"/>
        <v>Support</v>
      </c>
      <c r="AC354">
        <f>survey_responses[[#This Row],[Các thủ tục khai báo thuế VÀ/HOẶC quy trình làm việc với cơ quan thuế đơn giản, tiện lợi, nhanh chóng hơn so với trước đây. - HUMAN-FAC1]]</f>
        <v>8</v>
      </c>
      <c r="AD354" t="str">
        <f t="shared" si="142"/>
        <v>Support</v>
      </c>
      <c r="AE354" s="32">
        <f t="shared" si="143"/>
        <v>0</v>
      </c>
      <c r="AF354">
        <f>step3_validation[[#This Row],[AI_FAC2]]</f>
        <v>9</v>
      </c>
      <c r="AG354" t="str">
        <f t="shared" si="144"/>
        <v>Support</v>
      </c>
      <c r="AH354">
        <f>survey_responses[[#This Row],[So với trước đây, tôi thấy cách tính thuế và các bậc thuế trong phương án mới đơn giản, dễ hiểu và dễ thực hiện hơn. - HUMAN-FAC2]]</f>
        <v>8</v>
      </c>
      <c r="AI354" t="str">
        <f t="shared" si="145"/>
        <v>Support</v>
      </c>
      <c r="AJ354" s="32">
        <f t="shared" si="146"/>
        <v>1</v>
      </c>
      <c r="AK354">
        <f>step3_validation[[#This Row],[AI_TRU1]]</f>
        <v>7</v>
      </c>
      <c r="AL354" t="str">
        <f t="shared" si="147"/>
        <v>Neutral</v>
      </c>
      <c r="AM354">
        <f>survey_responses[[#This Row],[Tôi tin rằng Nhà nước, cơ quan thuế sẽ thực thi chính sách mới một cách khách quan, công tâm và đối xử bình đẳng với mọi người nộp thuế.  - HUMAN-TRU1]]</f>
        <v>6</v>
      </c>
      <c r="AN354" t="str">
        <f t="shared" si="148"/>
        <v>Neutral</v>
      </c>
      <c r="AO354" s="32">
        <f t="shared" si="149"/>
        <v>1</v>
      </c>
      <c r="AP354">
        <f>step3_validation[[#This Row],[AI_TRU2]]</f>
        <v>8</v>
      </c>
      <c r="AQ354" t="str">
        <f t="shared" si="150"/>
        <v>Support</v>
      </c>
      <c r="AR354">
        <f>survey_responses[[#This Row],[Tôi thấy mức thuế tôi phải đóng theo phương án mới là công bằng (người thu nhập như tôi đóng mức này là hợp lý). - HUMAN-TRU2]]</f>
        <v>7</v>
      </c>
      <c r="AS354" t="str">
        <f t="shared" si="151"/>
        <v>Neutral</v>
      </c>
      <c r="AT354" s="32">
        <f t="shared" si="152"/>
        <v>1</v>
      </c>
      <c r="AU354">
        <f>step3_validation[[#This Row],[AI_TRU3]]</f>
        <v>9</v>
      </c>
      <c r="AV354" t="str">
        <f t="shared" si="153"/>
        <v>Support</v>
      </c>
      <c r="AW354">
        <f>survey_responses[[#This Row],[Tôi tin tưởng số tiền thuế tôi đóng sẽ được Nhà nước sử dụng hiệu quả để cải thiện dịch vụ công (y tế, đường xá...). - HUMAN-TRU3]]</f>
        <v>5</v>
      </c>
      <c r="AX354" t="str">
        <f t="shared" si="154"/>
        <v>Neutral</v>
      </c>
      <c r="AY354" s="32">
        <f t="shared" si="155"/>
        <v>4</v>
      </c>
      <c r="AZ354">
        <f>step3_validation[[#This Row],[AI_TRU4]]</f>
        <v>7</v>
      </c>
      <c r="BA354" t="str">
        <f t="shared" si="156"/>
        <v>Neutral</v>
      </c>
      <c r="BB354">
        <f>survey_responses[[#This Row],[Tôi thấy Nhà nước đã giải thích rõ ràng, minh bạch về lý do và mục tiêu của việc sửa đổi thuế lần này. - HUMAN-TRU4]]</f>
        <v>7</v>
      </c>
      <c r="BC354" t="str">
        <f t="shared" si="157"/>
        <v>Neutral</v>
      </c>
      <c r="BD354" s="32">
        <f t="shared" si="158"/>
        <v>0</v>
      </c>
      <c r="BE354">
        <f>step3_validation[[#This Row],[AI_OUT1]]</f>
        <v>9</v>
      </c>
      <c r="BF354" t="str">
        <f t="shared" si="159"/>
        <v>Support</v>
      </c>
      <c r="BG354">
        <f>survey_responses[[#This Row],[Sau khi xem xét các quyền lợi và nghĩa vụ, bạn có ủng hộ và tuân thủ chính sách mới hiện nay? - HUMAN-OUT1]]</f>
        <v>7</v>
      </c>
      <c r="BH354" t="str">
        <f t="shared" si="160"/>
        <v>Neutral</v>
      </c>
      <c r="BI354" s="32">
        <f t="shared" si="161"/>
        <v>2</v>
      </c>
    </row>
    <row r="355" spans="1:61" x14ac:dyDescent="0.45">
      <c r="A355" s="30">
        <f>step3_validation[[#This Row],[Persona_ID]]</f>
        <v>354</v>
      </c>
      <c r="B355" s="31">
        <f>step3_validation[[#This Row],[Used_Seed]]</f>
        <v>354</v>
      </c>
      <c r="C355" t="str">
        <f>step3_validation[[#This Row],[Gender]]</f>
        <v>Nữ</v>
      </c>
      <c r="D355" t="str">
        <f>survey_responses[[#This Row],[Giới tính của bạn:]]</f>
        <v>Nữ</v>
      </c>
      <c r="E355" t="str">
        <f>step3_validation[[#This Row],[Age_Group]]</f>
        <v>18 - 24</v>
      </c>
      <c r="F355" t="str">
        <f>survey_responses[[#This Row],[Độ tuổi của bạn:]]</f>
        <v>18 - 24</v>
      </c>
      <c r="G355" t="str">
        <f>step3_validation[[#This Row],[Region]]</f>
        <v>Thành thị</v>
      </c>
      <c r="H355" t="str">
        <f>survey_responses[[#This Row],[Khu vực bạn đang sinh sống:]]</f>
        <v>Thành thị</v>
      </c>
      <c r="I355" t="str">
        <f>step3_validation[[#This Row],[Education]]</f>
        <v>Đại học</v>
      </c>
      <c r="J355" t="str">
        <f>survey_responses[[#This Row],[Trình độ học vấn cao nhất:]]</f>
        <v>Đại học</v>
      </c>
      <c r="K355" t="str">
        <f>step3_validation[[#This Row],[Employment]]</f>
        <v>Chính thức</v>
      </c>
      <c r="L355" t="str">
        <f>survey_responses[[#This Row],[Tình trạng việc làm chính:]]</f>
        <v>Khu vực chính thức (Có Hợp đồng lao động, đóng BHXH)</v>
      </c>
      <c r="M355">
        <f>step3_validation[[#This Row],[Income_Mil]]</f>
        <v>15.09854392394401</v>
      </c>
      <c r="N355" t="str">
        <f>survey_responses[[#This Row],[Thu nhập bình quân tháng theo Hợp đồng lao động của bạn là bao nhiêu? (Vui lòng điền tổng thu nhập trước khi khấu trừ các loại Bảo hiểm (BHXH, BHYT, BHTN) và Thuế TNCN)]]</f>
        <v>Từ 12 - 18 triệu VNĐ</v>
      </c>
      <c r="O355">
        <f>step3_validation[[#This Row],[Dependents]]</f>
        <v>0</v>
      </c>
      <c r="P355" t="str">
        <f>survey_responses[[#This Row],[Số người phụ thuộc (con nhỏ, cha mẹ già...) đủ điều kiện giảm trừ gia cảnh:]]</f>
        <v>0 người</v>
      </c>
      <c r="Q355">
        <f>step3_validation[[#This Row],[AI_ENF1]]</f>
        <v>8</v>
      </c>
      <c r="R355" t="str">
        <f t="shared" si="135"/>
        <v>Support</v>
      </c>
      <c r="S355">
        <f>survey_responses[[#This Row],[Tôi tin rằng với các quy định quản lý thuế hiện nay, hành vi gian lận hoặc trốn thuế sẽ dễ dàng bị phát hiện và xử lý nghiêm. - HUMAN-ENF1]]</f>
        <v>9</v>
      </c>
      <c r="T355" t="str">
        <f t="shared" si="136"/>
        <v>Support</v>
      </c>
      <c r="U355" s="32">
        <f t="shared" si="137"/>
        <v>1</v>
      </c>
      <c r="V355">
        <f>step3_validation[[#This Row],[AI_ENF2]]</f>
        <v>9</v>
      </c>
      <c r="W355" t="str">
        <f t="shared" si="138"/>
        <v>Support</v>
      </c>
      <c r="X355">
        <f>survey_responses[[#This Row],[Tôi tin rằng Nhà nước, cơ quan thuế có đủ khả năng và công nghệ để phát hiện, xử lý nghiêm các hành vi trốn thuế. - HUMAN-ENF2]]</f>
        <v>9</v>
      </c>
      <c r="Y355" t="str">
        <f t="shared" si="139"/>
        <v>Support</v>
      </c>
      <c r="Z355" s="32">
        <f t="shared" si="140"/>
        <v>0</v>
      </c>
      <c r="AA355">
        <f>step3_validation[[#This Row],[AI_FAC1]]</f>
        <v>9</v>
      </c>
      <c r="AB355" t="str">
        <f t="shared" si="141"/>
        <v>Support</v>
      </c>
      <c r="AC355">
        <f>survey_responses[[#This Row],[Các thủ tục khai báo thuế VÀ/HOẶC quy trình làm việc với cơ quan thuế đơn giản, tiện lợi, nhanh chóng hơn so với trước đây. - HUMAN-FAC1]]</f>
        <v>10</v>
      </c>
      <c r="AD355" t="str">
        <f t="shared" si="142"/>
        <v>Support</v>
      </c>
      <c r="AE355" s="32">
        <f t="shared" si="143"/>
        <v>1</v>
      </c>
      <c r="AF355">
        <f>step3_validation[[#This Row],[AI_FAC2]]</f>
        <v>9</v>
      </c>
      <c r="AG355" t="str">
        <f t="shared" si="144"/>
        <v>Support</v>
      </c>
      <c r="AH355">
        <f>survey_responses[[#This Row],[So với trước đây, tôi thấy cách tính thuế và các bậc thuế trong phương án mới đơn giản, dễ hiểu và dễ thực hiện hơn. - HUMAN-FAC2]]</f>
        <v>10</v>
      </c>
      <c r="AI355" t="str">
        <f t="shared" si="145"/>
        <v>Support</v>
      </c>
      <c r="AJ355" s="32">
        <f t="shared" si="146"/>
        <v>1</v>
      </c>
      <c r="AK355">
        <f>step3_validation[[#This Row],[AI_TRU1]]</f>
        <v>8</v>
      </c>
      <c r="AL355" t="str">
        <f t="shared" si="147"/>
        <v>Support</v>
      </c>
      <c r="AM355">
        <f>survey_responses[[#This Row],[Tôi tin rằng Nhà nước, cơ quan thuế sẽ thực thi chính sách mới một cách khách quan, công tâm và đối xử bình đẳng với mọi người nộp thuế.  - HUMAN-TRU1]]</f>
        <v>9</v>
      </c>
      <c r="AN355" t="str">
        <f t="shared" si="148"/>
        <v>Support</v>
      </c>
      <c r="AO355" s="32">
        <f t="shared" si="149"/>
        <v>1</v>
      </c>
      <c r="AP355">
        <f>step3_validation[[#This Row],[AI_TRU2]]</f>
        <v>9</v>
      </c>
      <c r="AQ355" t="str">
        <f t="shared" si="150"/>
        <v>Support</v>
      </c>
      <c r="AR355">
        <f>survey_responses[[#This Row],[Tôi thấy mức thuế tôi phải đóng theo phương án mới là công bằng (người thu nhập như tôi đóng mức này là hợp lý). - HUMAN-TRU2]]</f>
        <v>10</v>
      </c>
      <c r="AS355" t="str">
        <f t="shared" si="151"/>
        <v>Support</v>
      </c>
      <c r="AT355" s="32">
        <f t="shared" si="152"/>
        <v>1</v>
      </c>
      <c r="AU355">
        <f>step3_validation[[#This Row],[AI_TRU3]]</f>
        <v>9</v>
      </c>
      <c r="AV355" t="str">
        <f t="shared" si="153"/>
        <v>Support</v>
      </c>
      <c r="AW355">
        <f>survey_responses[[#This Row],[Tôi tin tưởng số tiền thuế tôi đóng sẽ được Nhà nước sử dụng hiệu quả để cải thiện dịch vụ công (y tế, đường xá...). - HUMAN-TRU3]]</f>
        <v>8</v>
      </c>
      <c r="AX355" t="str">
        <f t="shared" si="154"/>
        <v>Support</v>
      </c>
      <c r="AY355" s="32">
        <f t="shared" si="155"/>
        <v>1</v>
      </c>
      <c r="AZ355">
        <f>step3_validation[[#This Row],[AI_TRU4]]</f>
        <v>8</v>
      </c>
      <c r="BA355" t="str">
        <f t="shared" si="156"/>
        <v>Support</v>
      </c>
      <c r="BB355">
        <f>survey_responses[[#This Row],[Tôi thấy Nhà nước đã giải thích rõ ràng, minh bạch về lý do và mục tiêu của việc sửa đổi thuế lần này. - HUMAN-TRU4]]</f>
        <v>8</v>
      </c>
      <c r="BC355" t="str">
        <f t="shared" si="157"/>
        <v>Support</v>
      </c>
      <c r="BD355" s="32">
        <f t="shared" si="158"/>
        <v>0</v>
      </c>
      <c r="BE355">
        <f>step3_validation[[#This Row],[AI_OUT1]]</f>
        <v>9</v>
      </c>
      <c r="BF355" t="str">
        <f t="shared" si="159"/>
        <v>Support</v>
      </c>
      <c r="BG355">
        <f>survey_responses[[#This Row],[Sau khi xem xét các quyền lợi và nghĩa vụ, bạn có ủng hộ và tuân thủ chính sách mới hiện nay? - HUMAN-OUT1]]</f>
        <v>9</v>
      </c>
      <c r="BH355" t="str">
        <f t="shared" si="160"/>
        <v>Support</v>
      </c>
      <c r="BI355" s="32">
        <f t="shared" si="161"/>
        <v>0</v>
      </c>
    </row>
    <row r="356" spans="1:61" x14ac:dyDescent="0.45">
      <c r="A356" s="30">
        <f>step3_validation[[#This Row],[Persona_ID]]</f>
        <v>355</v>
      </c>
      <c r="B356" s="31">
        <f>step3_validation[[#This Row],[Used_Seed]]</f>
        <v>355</v>
      </c>
      <c r="C356" t="str">
        <f>step3_validation[[#This Row],[Gender]]</f>
        <v>Nam</v>
      </c>
      <c r="D356" t="str">
        <f>survey_responses[[#This Row],[Giới tính của bạn:]]</f>
        <v>Nam</v>
      </c>
      <c r="E356" t="str">
        <f>step3_validation[[#This Row],[Age_Group]]</f>
        <v>18 - 24</v>
      </c>
      <c r="F356" t="str">
        <f>survey_responses[[#This Row],[Độ tuổi của bạn:]]</f>
        <v>18 - 24</v>
      </c>
      <c r="G356" t="str">
        <f>step3_validation[[#This Row],[Region]]</f>
        <v>Thành thị</v>
      </c>
      <c r="H356" t="str">
        <f>survey_responses[[#This Row],[Khu vực bạn đang sinh sống:]]</f>
        <v>Thành thị</v>
      </c>
      <c r="I356" t="str">
        <f>step3_validation[[#This Row],[Education]]</f>
        <v>Đại học</v>
      </c>
      <c r="J356" t="str">
        <f>survey_responses[[#This Row],[Trình độ học vấn cao nhất:]]</f>
        <v>Đại học</v>
      </c>
      <c r="K356" t="str">
        <f>step3_validation[[#This Row],[Employment]]</f>
        <v>Chính thức</v>
      </c>
      <c r="L356" t="str">
        <f>survey_responses[[#This Row],[Tình trạng việc làm chính:]]</f>
        <v>Khu vực chính thức (Có Hợp đồng lao động, đóng BHXH)</v>
      </c>
      <c r="M356">
        <f>step3_validation[[#This Row],[Income_Mil]]</f>
        <v>13.048571564590558</v>
      </c>
      <c r="N356" t="str">
        <f>survey_responses[[#This Row],[Thu nhập bình quân tháng theo Hợp đồng lao động của bạn là bao nhiêu? (Vui lòng điền tổng thu nhập trước khi khấu trừ các loại Bảo hiểm (BHXH, BHYT, BHTN) và Thuế TNCN)]]</f>
        <v>Từ 12 - 18 triệu VNĐ</v>
      </c>
      <c r="O356">
        <f>step3_validation[[#This Row],[Dependents]]</f>
        <v>0</v>
      </c>
      <c r="P356" t="str">
        <f>survey_responses[[#This Row],[Số người phụ thuộc (con nhỏ, cha mẹ già...) đủ điều kiện giảm trừ gia cảnh:]]</f>
        <v>0 người</v>
      </c>
      <c r="Q356">
        <f>step3_validation[[#This Row],[AI_ENF1]]</f>
        <v>9</v>
      </c>
      <c r="R356" t="str">
        <f t="shared" si="135"/>
        <v>Support</v>
      </c>
      <c r="S356">
        <f>survey_responses[[#This Row],[Tôi tin rằng với các quy định quản lý thuế hiện nay, hành vi gian lận hoặc trốn thuế sẽ dễ dàng bị phát hiện và xử lý nghiêm. - HUMAN-ENF1]]</f>
        <v>7</v>
      </c>
      <c r="T356" t="str">
        <f t="shared" si="136"/>
        <v>Neutral</v>
      </c>
      <c r="U356" s="32">
        <f t="shared" si="137"/>
        <v>2</v>
      </c>
      <c r="V356">
        <f>step3_validation[[#This Row],[AI_ENF2]]</f>
        <v>8</v>
      </c>
      <c r="W356" t="str">
        <f t="shared" si="138"/>
        <v>Support</v>
      </c>
      <c r="X356">
        <f>survey_responses[[#This Row],[Tôi tin rằng Nhà nước, cơ quan thuế có đủ khả năng và công nghệ để phát hiện, xử lý nghiêm các hành vi trốn thuế. - HUMAN-ENF2]]</f>
        <v>8</v>
      </c>
      <c r="Y356" t="str">
        <f t="shared" si="139"/>
        <v>Support</v>
      </c>
      <c r="Z356" s="32">
        <f t="shared" si="140"/>
        <v>0</v>
      </c>
      <c r="AA356">
        <f>step3_validation[[#This Row],[AI_FAC1]]</f>
        <v>9</v>
      </c>
      <c r="AB356" t="str">
        <f t="shared" si="141"/>
        <v>Support</v>
      </c>
      <c r="AC356">
        <f>survey_responses[[#This Row],[Các thủ tục khai báo thuế VÀ/HOẶC quy trình làm việc với cơ quan thuế đơn giản, tiện lợi, nhanh chóng hơn so với trước đây. - HUMAN-FAC1]]</f>
        <v>8</v>
      </c>
      <c r="AD356" t="str">
        <f t="shared" si="142"/>
        <v>Support</v>
      </c>
      <c r="AE356" s="32">
        <f t="shared" si="143"/>
        <v>1</v>
      </c>
      <c r="AF356">
        <f>step3_validation[[#This Row],[AI_FAC2]]</f>
        <v>8</v>
      </c>
      <c r="AG356" t="str">
        <f t="shared" si="144"/>
        <v>Support</v>
      </c>
      <c r="AH356">
        <f>survey_responses[[#This Row],[So với trước đây, tôi thấy cách tính thuế và các bậc thuế trong phương án mới đơn giản, dễ hiểu và dễ thực hiện hơn. - HUMAN-FAC2]]</f>
        <v>9</v>
      </c>
      <c r="AI356" t="str">
        <f t="shared" si="145"/>
        <v>Support</v>
      </c>
      <c r="AJ356" s="32">
        <f t="shared" si="146"/>
        <v>1</v>
      </c>
      <c r="AK356">
        <f>step3_validation[[#This Row],[AI_TRU1]]</f>
        <v>9</v>
      </c>
      <c r="AL356" t="str">
        <f t="shared" si="147"/>
        <v>Support</v>
      </c>
      <c r="AM356">
        <f>survey_responses[[#This Row],[Tôi tin rằng Nhà nước, cơ quan thuế sẽ thực thi chính sách mới một cách khách quan, công tâm và đối xử bình đẳng với mọi người nộp thuế.  - HUMAN-TRU1]]</f>
        <v>8</v>
      </c>
      <c r="AN356" t="str">
        <f t="shared" si="148"/>
        <v>Support</v>
      </c>
      <c r="AO356" s="32">
        <f t="shared" si="149"/>
        <v>1</v>
      </c>
      <c r="AP356">
        <f>step3_validation[[#This Row],[AI_TRU2]]</f>
        <v>8</v>
      </c>
      <c r="AQ356" t="str">
        <f t="shared" si="150"/>
        <v>Support</v>
      </c>
      <c r="AR356">
        <f>survey_responses[[#This Row],[Tôi thấy mức thuế tôi phải đóng theo phương án mới là công bằng (người thu nhập như tôi đóng mức này là hợp lý). - HUMAN-TRU2]]</f>
        <v>10</v>
      </c>
      <c r="AS356" t="str">
        <f t="shared" si="151"/>
        <v>Support</v>
      </c>
      <c r="AT356" s="32">
        <f t="shared" si="152"/>
        <v>2</v>
      </c>
      <c r="AU356">
        <f>step3_validation[[#This Row],[AI_TRU3]]</f>
        <v>9</v>
      </c>
      <c r="AV356" t="str">
        <f t="shared" si="153"/>
        <v>Support</v>
      </c>
      <c r="AW356">
        <f>survey_responses[[#This Row],[Tôi tin tưởng số tiền thuế tôi đóng sẽ được Nhà nước sử dụng hiệu quả để cải thiện dịch vụ công (y tế, đường xá...). - HUMAN-TRU3]]</f>
        <v>8</v>
      </c>
      <c r="AX356" t="str">
        <f t="shared" si="154"/>
        <v>Support</v>
      </c>
      <c r="AY356" s="32">
        <f t="shared" si="155"/>
        <v>1</v>
      </c>
      <c r="AZ356">
        <f>step3_validation[[#This Row],[AI_TRU4]]</f>
        <v>8</v>
      </c>
      <c r="BA356" t="str">
        <f t="shared" si="156"/>
        <v>Support</v>
      </c>
      <c r="BB356">
        <f>survey_responses[[#This Row],[Tôi thấy Nhà nước đã giải thích rõ ràng, minh bạch về lý do và mục tiêu của việc sửa đổi thuế lần này. - HUMAN-TRU4]]</f>
        <v>8</v>
      </c>
      <c r="BC356" t="str">
        <f t="shared" si="157"/>
        <v>Support</v>
      </c>
      <c r="BD356" s="32">
        <f t="shared" si="158"/>
        <v>0</v>
      </c>
      <c r="BE356">
        <f>step3_validation[[#This Row],[AI_OUT1]]</f>
        <v>9</v>
      </c>
      <c r="BF356" t="str">
        <f t="shared" si="159"/>
        <v>Support</v>
      </c>
      <c r="BG356">
        <f>survey_responses[[#This Row],[Sau khi xem xét các quyền lợi và nghĩa vụ, bạn có ủng hộ và tuân thủ chính sách mới hiện nay? - HUMAN-OUT1]]</f>
        <v>9</v>
      </c>
      <c r="BH356" t="str">
        <f t="shared" si="160"/>
        <v>Support</v>
      </c>
      <c r="BI356" s="32">
        <f t="shared" si="161"/>
        <v>0</v>
      </c>
    </row>
    <row r="357" spans="1:61" x14ac:dyDescent="0.45">
      <c r="A357" s="30">
        <f>step3_validation[[#This Row],[Persona_ID]]</f>
        <v>356</v>
      </c>
      <c r="B357" s="31">
        <f>step3_validation[[#This Row],[Used_Seed]]</f>
        <v>356</v>
      </c>
      <c r="C357" t="str">
        <f>step3_validation[[#This Row],[Gender]]</f>
        <v>Nam</v>
      </c>
      <c r="D357" t="str">
        <f>survey_responses[[#This Row],[Giới tính của bạn:]]</f>
        <v>Nam</v>
      </c>
      <c r="E357" t="str">
        <f>step3_validation[[#This Row],[Age_Group]]</f>
        <v>18 - 24</v>
      </c>
      <c r="F357" t="str">
        <f>survey_responses[[#This Row],[Độ tuổi của bạn:]]</f>
        <v>18 - 24</v>
      </c>
      <c r="G357" t="str">
        <f>step3_validation[[#This Row],[Region]]</f>
        <v>Thành thị</v>
      </c>
      <c r="H357" t="str">
        <f>survey_responses[[#This Row],[Khu vực bạn đang sinh sống:]]</f>
        <v>Thành thị</v>
      </c>
      <c r="I357" t="str">
        <f>step3_validation[[#This Row],[Education]]</f>
        <v>Đại học</v>
      </c>
      <c r="J357" t="str">
        <f>survey_responses[[#This Row],[Trình độ học vấn cao nhất:]]</f>
        <v>Đại học</v>
      </c>
      <c r="K357" t="str">
        <f>step3_validation[[#This Row],[Employment]]</f>
        <v>Chính thức</v>
      </c>
      <c r="L357" t="str">
        <f>survey_responses[[#This Row],[Tình trạng việc làm chính:]]</f>
        <v>Khu vực chính thức (Có Hợp đồng lao động, đóng BHXH)</v>
      </c>
      <c r="M357">
        <f>step3_validation[[#This Row],[Income_Mil]]</f>
        <v>13.395097941884634</v>
      </c>
      <c r="N357" t="str">
        <f>survey_responses[[#This Row],[Thu nhập bình quân tháng theo Hợp đồng lao động của bạn là bao nhiêu? (Vui lòng điền tổng thu nhập trước khi khấu trừ các loại Bảo hiểm (BHXH, BHYT, BHTN) và Thuế TNCN)]]</f>
        <v>Từ 12 - 18 triệu VNĐ</v>
      </c>
      <c r="O357">
        <f>step3_validation[[#This Row],[Dependents]]</f>
        <v>0</v>
      </c>
      <c r="P357" t="str">
        <f>survey_responses[[#This Row],[Số người phụ thuộc (con nhỏ, cha mẹ già...) đủ điều kiện giảm trừ gia cảnh:]]</f>
        <v>0 người</v>
      </c>
      <c r="Q357">
        <f>step3_validation[[#This Row],[AI_ENF1]]</f>
        <v>8</v>
      </c>
      <c r="R357" t="str">
        <f t="shared" si="135"/>
        <v>Support</v>
      </c>
      <c r="S357">
        <f>survey_responses[[#This Row],[Tôi tin rằng với các quy định quản lý thuế hiện nay, hành vi gian lận hoặc trốn thuế sẽ dễ dàng bị phát hiện và xử lý nghiêm. - HUMAN-ENF1]]</f>
        <v>7</v>
      </c>
      <c r="T357" t="str">
        <f t="shared" si="136"/>
        <v>Neutral</v>
      </c>
      <c r="U357" s="32">
        <f t="shared" si="137"/>
        <v>1</v>
      </c>
      <c r="V357">
        <f>step3_validation[[#This Row],[AI_ENF2]]</f>
        <v>9</v>
      </c>
      <c r="W357" t="str">
        <f t="shared" si="138"/>
        <v>Support</v>
      </c>
      <c r="X357">
        <f>survey_responses[[#This Row],[Tôi tin rằng Nhà nước, cơ quan thuế có đủ khả năng và công nghệ để phát hiện, xử lý nghiêm các hành vi trốn thuế. - HUMAN-ENF2]]</f>
        <v>7</v>
      </c>
      <c r="Y357" t="str">
        <f t="shared" si="139"/>
        <v>Neutral</v>
      </c>
      <c r="Z357" s="32">
        <f t="shared" si="140"/>
        <v>2</v>
      </c>
      <c r="AA357">
        <f>step3_validation[[#This Row],[AI_FAC1]]</f>
        <v>8</v>
      </c>
      <c r="AB357" t="str">
        <f t="shared" si="141"/>
        <v>Support</v>
      </c>
      <c r="AC357">
        <f>survey_responses[[#This Row],[Các thủ tục khai báo thuế VÀ/HOẶC quy trình làm việc với cơ quan thuế đơn giản, tiện lợi, nhanh chóng hơn so với trước đây. - HUMAN-FAC1]]</f>
        <v>8</v>
      </c>
      <c r="AD357" t="str">
        <f t="shared" si="142"/>
        <v>Support</v>
      </c>
      <c r="AE357" s="32">
        <f t="shared" si="143"/>
        <v>0</v>
      </c>
      <c r="AF357">
        <f>step3_validation[[#This Row],[AI_FAC2]]</f>
        <v>9</v>
      </c>
      <c r="AG357" t="str">
        <f t="shared" si="144"/>
        <v>Support</v>
      </c>
      <c r="AH357">
        <f>survey_responses[[#This Row],[So với trước đây, tôi thấy cách tính thuế và các bậc thuế trong phương án mới đơn giản, dễ hiểu và dễ thực hiện hơn. - HUMAN-FAC2]]</f>
        <v>10</v>
      </c>
      <c r="AI357" t="str">
        <f t="shared" si="145"/>
        <v>Support</v>
      </c>
      <c r="AJ357" s="32">
        <f t="shared" si="146"/>
        <v>1</v>
      </c>
      <c r="AK357">
        <f>step3_validation[[#This Row],[AI_TRU1]]</f>
        <v>8</v>
      </c>
      <c r="AL357" t="str">
        <f t="shared" si="147"/>
        <v>Support</v>
      </c>
      <c r="AM357">
        <f>survey_responses[[#This Row],[Tôi tin rằng Nhà nước, cơ quan thuế sẽ thực thi chính sách mới một cách khách quan, công tâm và đối xử bình đẳng với mọi người nộp thuế.  - HUMAN-TRU1]]</f>
        <v>9</v>
      </c>
      <c r="AN357" t="str">
        <f t="shared" si="148"/>
        <v>Support</v>
      </c>
      <c r="AO357" s="32">
        <f t="shared" si="149"/>
        <v>1</v>
      </c>
      <c r="AP357">
        <f>step3_validation[[#This Row],[AI_TRU2]]</f>
        <v>9</v>
      </c>
      <c r="AQ357" t="str">
        <f t="shared" si="150"/>
        <v>Support</v>
      </c>
      <c r="AR357">
        <f>survey_responses[[#This Row],[Tôi thấy mức thuế tôi phải đóng theo phương án mới là công bằng (người thu nhập như tôi đóng mức này là hợp lý). - HUMAN-TRU2]]</f>
        <v>10</v>
      </c>
      <c r="AS357" t="str">
        <f t="shared" si="151"/>
        <v>Support</v>
      </c>
      <c r="AT357" s="32">
        <f t="shared" si="152"/>
        <v>1</v>
      </c>
      <c r="AU357">
        <f>step3_validation[[#This Row],[AI_TRU3]]</f>
        <v>8</v>
      </c>
      <c r="AV357" t="str">
        <f t="shared" si="153"/>
        <v>Support</v>
      </c>
      <c r="AW357">
        <f>survey_responses[[#This Row],[Tôi tin tưởng số tiền thuế tôi đóng sẽ được Nhà nước sử dụng hiệu quả để cải thiện dịch vụ công (y tế, đường xá...). - HUMAN-TRU3]]</f>
        <v>8</v>
      </c>
      <c r="AX357" t="str">
        <f t="shared" si="154"/>
        <v>Support</v>
      </c>
      <c r="AY357" s="32">
        <f t="shared" si="155"/>
        <v>0</v>
      </c>
      <c r="AZ357">
        <f>step3_validation[[#This Row],[AI_TRU4]]</f>
        <v>9</v>
      </c>
      <c r="BA357" t="str">
        <f t="shared" si="156"/>
        <v>Support</v>
      </c>
      <c r="BB357">
        <f>survey_responses[[#This Row],[Tôi thấy Nhà nước đã giải thích rõ ràng, minh bạch về lý do và mục tiêu của việc sửa đổi thuế lần này. - HUMAN-TRU4]]</f>
        <v>8</v>
      </c>
      <c r="BC357" t="str">
        <f t="shared" si="157"/>
        <v>Support</v>
      </c>
      <c r="BD357" s="32">
        <f t="shared" si="158"/>
        <v>1</v>
      </c>
      <c r="BE357">
        <f>step3_validation[[#This Row],[AI_OUT1]]</f>
        <v>10</v>
      </c>
      <c r="BF357" t="str">
        <f t="shared" si="159"/>
        <v>Support</v>
      </c>
      <c r="BG357">
        <f>survey_responses[[#This Row],[Sau khi xem xét các quyền lợi và nghĩa vụ, bạn có ủng hộ và tuân thủ chính sách mới hiện nay? - HUMAN-OUT1]]</f>
        <v>10</v>
      </c>
      <c r="BH357" t="str">
        <f t="shared" si="160"/>
        <v>Support</v>
      </c>
      <c r="BI357" s="32">
        <f t="shared" si="161"/>
        <v>0</v>
      </c>
    </row>
    <row r="358" spans="1:61" x14ac:dyDescent="0.45">
      <c r="A358" s="30">
        <f>step3_validation[[#This Row],[Persona_ID]]</f>
        <v>357</v>
      </c>
      <c r="B358" s="31">
        <f>step3_validation[[#This Row],[Used_Seed]]</f>
        <v>357</v>
      </c>
      <c r="C358" t="str">
        <f>step3_validation[[#This Row],[Gender]]</f>
        <v>Nam</v>
      </c>
      <c r="D358" t="str">
        <f>survey_responses[[#This Row],[Giới tính của bạn:]]</f>
        <v>Nam</v>
      </c>
      <c r="E358" t="str">
        <f>step3_validation[[#This Row],[Age_Group]]</f>
        <v>25 - 29</v>
      </c>
      <c r="F358" t="str">
        <f>survey_responses[[#This Row],[Độ tuổi của bạn:]]</f>
        <v>25 - 29</v>
      </c>
      <c r="G358" t="str">
        <f>step3_validation[[#This Row],[Region]]</f>
        <v>Thành thị</v>
      </c>
      <c r="H358" t="str">
        <f>survey_responses[[#This Row],[Khu vực bạn đang sinh sống:]]</f>
        <v>Thành thị</v>
      </c>
      <c r="I358" t="str">
        <f>step3_validation[[#This Row],[Education]]</f>
        <v>Đại học</v>
      </c>
      <c r="J358" t="str">
        <f>survey_responses[[#This Row],[Trình độ học vấn cao nhất:]]</f>
        <v>Đại học</v>
      </c>
      <c r="K358" t="str">
        <f>step3_validation[[#This Row],[Employment]]</f>
        <v>Chính thức</v>
      </c>
      <c r="L358" t="str">
        <f>survey_responses[[#This Row],[Tình trạng việc làm chính:]]</f>
        <v>Khu vực chính thức (Có Hợp đồng lao động, đóng BHXH)</v>
      </c>
      <c r="M358">
        <f>step3_validation[[#This Row],[Income_Mil]]</f>
        <v>25.247410838725333</v>
      </c>
      <c r="N358" t="str">
        <f>survey_responses[[#This Row],[Thu nhập bình quân tháng theo Hợp đồng lao động của bạn là bao nhiêu? (Vui lòng điền tổng thu nhập trước khi khấu trừ các loại Bảo hiểm (BHXH, BHYT, BHTN) và Thuế TNCN)]]</f>
        <v>Từ 23 - 32 triệu VNĐ</v>
      </c>
      <c r="O358">
        <f>step3_validation[[#This Row],[Dependents]]</f>
        <v>0</v>
      </c>
      <c r="P358" t="str">
        <f>survey_responses[[#This Row],[Số người phụ thuộc (con nhỏ, cha mẹ già...) đủ điều kiện giảm trừ gia cảnh:]]</f>
        <v>0 người</v>
      </c>
      <c r="Q358">
        <f>step3_validation[[#This Row],[AI_ENF1]]</f>
        <v>7</v>
      </c>
      <c r="R358" t="str">
        <f t="shared" si="135"/>
        <v>Neutral</v>
      </c>
      <c r="S358">
        <f>survey_responses[[#This Row],[Tôi tin rằng với các quy định quản lý thuế hiện nay, hành vi gian lận hoặc trốn thuế sẽ dễ dàng bị phát hiện và xử lý nghiêm. - HUMAN-ENF1]]</f>
        <v>9</v>
      </c>
      <c r="T358" t="str">
        <f t="shared" si="136"/>
        <v>Support</v>
      </c>
      <c r="U358" s="32">
        <f t="shared" si="137"/>
        <v>2</v>
      </c>
      <c r="V358">
        <f>step3_validation[[#This Row],[AI_ENF2]]</f>
        <v>8</v>
      </c>
      <c r="W358" t="str">
        <f t="shared" si="138"/>
        <v>Support</v>
      </c>
      <c r="X358">
        <f>survey_responses[[#This Row],[Tôi tin rằng Nhà nước, cơ quan thuế có đủ khả năng và công nghệ để phát hiện, xử lý nghiêm các hành vi trốn thuế. - HUMAN-ENF2]]</f>
        <v>9</v>
      </c>
      <c r="Y358" t="str">
        <f t="shared" si="139"/>
        <v>Support</v>
      </c>
      <c r="Z358" s="32">
        <f t="shared" si="140"/>
        <v>1</v>
      </c>
      <c r="AA358">
        <f>step3_validation[[#This Row],[AI_FAC1]]</f>
        <v>9</v>
      </c>
      <c r="AB358" t="str">
        <f t="shared" si="141"/>
        <v>Support</v>
      </c>
      <c r="AC358">
        <f>survey_responses[[#This Row],[Các thủ tục khai báo thuế VÀ/HOẶC quy trình làm việc với cơ quan thuế đơn giản, tiện lợi, nhanh chóng hơn so với trước đây. - HUMAN-FAC1]]</f>
        <v>8</v>
      </c>
      <c r="AD358" t="str">
        <f t="shared" si="142"/>
        <v>Support</v>
      </c>
      <c r="AE358" s="32">
        <f t="shared" si="143"/>
        <v>1</v>
      </c>
      <c r="AF358">
        <f>step3_validation[[#This Row],[AI_FAC2]]</f>
        <v>8</v>
      </c>
      <c r="AG358" t="str">
        <f t="shared" si="144"/>
        <v>Support</v>
      </c>
      <c r="AH358">
        <f>survey_responses[[#This Row],[So với trước đây, tôi thấy cách tính thuế và các bậc thuế trong phương án mới đơn giản, dễ hiểu và dễ thực hiện hơn. - HUMAN-FAC2]]</f>
        <v>9</v>
      </c>
      <c r="AI358" t="str">
        <f t="shared" si="145"/>
        <v>Support</v>
      </c>
      <c r="AJ358" s="32">
        <f t="shared" si="146"/>
        <v>1</v>
      </c>
      <c r="AK358">
        <f>step3_validation[[#This Row],[AI_TRU1]]</f>
        <v>9</v>
      </c>
      <c r="AL358" t="str">
        <f t="shared" si="147"/>
        <v>Support</v>
      </c>
      <c r="AM358">
        <f>survey_responses[[#This Row],[Tôi tin rằng Nhà nước, cơ quan thuế sẽ thực thi chính sách mới một cách khách quan, công tâm và đối xử bình đẳng với mọi người nộp thuế.  - HUMAN-TRU1]]</f>
        <v>8</v>
      </c>
      <c r="AN358" t="str">
        <f t="shared" si="148"/>
        <v>Support</v>
      </c>
      <c r="AO358" s="32">
        <f t="shared" si="149"/>
        <v>1</v>
      </c>
      <c r="AP358">
        <f>step3_validation[[#This Row],[AI_TRU2]]</f>
        <v>8</v>
      </c>
      <c r="AQ358" t="str">
        <f t="shared" si="150"/>
        <v>Support</v>
      </c>
      <c r="AR358">
        <f>survey_responses[[#This Row],[Tôi thấy mức thuế tôi phải đóng theo phương án mới là công bằng (người thu nhập như tôi đóng mức này là hợp lý). - HUMAN-TRU2]]</f>
        <v>8</v>
      </c>
      <c r="AS358" t="str">
        <f t="shared" si="151"/>
        <v>Support</v>
      </c>
      <c r="AT358" s="32">
        <f t="shared" si="152"/>
        <v>0</v>
      </c>
      <c r="AU358">
        <f>step3_validation[[#This Row],[AI_TRU3]]</f>
        <v>9</v>
      </c>
      <c r="AV358" t="str">
        <f t="shared" si="153"/>
        <v>Support</v>
      </c>
      <c r="AW358">
        <f>survey_responses[[#This Row],[Tôi tin tưởng số tiền thuế tôi đóng sẽ được Nhà nước sử dụng hiệu quả để cải thiện dịch vụ công (y tế, đường xá...). - HUMAN-TRU3]]</f>
        <v>7</v>
      </c>
      <c r="AX358" t="str">
        <f t="shared" si="154"/>
        <v>Neutral</v>
      </c>
      <c r="AY358" s="32">
        <f t="shared" si="155"/>
        <v>2</v>
      </c>
      <c r="AZ358">
        <f>step3_validation[[#This Row],[AI_TRU4]]</f>
        <v>8</v>
      </c>
      <c r="BA358" t="str">
        <f t="shared" si="156"/>
        <v>Support</v>
      </c>
      <c r="BB358">
        <f>survey_responses[[#This Row],[Tôi thấy Nhà nước đã giải thích rõ ràng, minh bạch về lý do và mục tiêu của việc sửa đổi thuế lần này. - HUMAN-TRU4]]</f>
        <v>7</v>
      </c>
      <c r="BC358" t="str">
        <f t="shared" si="157"/>
        <v>Neutral</v>
      </c>
      <c r="BD358" s="32">
        <f t="shared" si="158"/>
        <v>1</v>
      </c>
      <c r="BE358">
        <f>step3_validation[[#This Row],[AI_OUT1]]</f>
        <v>9</v>
      </c>
      <c r="BF358" t="str">
        <f t="shared" si="159"/>
        <v>Support</v>
      </c>
      <c r="BG358">
        <f>survey_responses[[#This Row],[Sau khi xem xét các quyền lợi và nghĩa vụ, bạn có ủng hộ và tuân thủ chính sách mới hiện nay? - HUMAN-OUT1]]</f>
        <v>8</v>
      </c>
      <c r="BH358" t="str">
        <f t="shared" si="160"/>
        <v>Support</v>
      </c>
      <c r="BI358" s="32">
        <f t="shared" si="161"/>
        <v>1</v>
      </c>
    </row>
    <row r="359" spans="1:61" x14ac:dyDescent="0.45">
      <c r="A359" s="30">
        <f>step3_validation[[#This Row],[Persona_ID]]</f>
        <v>358</v>
      </c>
      <c r="B359" s="31">
        <f>step3_validation[[#This Row],[Used_Seed]]</f>
        <v>358</v>
      </c>
      <c r="C359" t="str">
        <f>step3_validation[[#This Row],[Gender]]</f>
        <v>Nữ</v>
      </c>
      <c r="D359" t="str">
        <f>survey_responses[[#This Row],[Giới tính của bạn:]]</f>
        <v>Nữ</v>
      </c>
      <c r="E359" t="str">
        <f>step3_validation[[#This Row],[Age_Group]]</f>
        <v>18 - 24</v>
      </c>
      <c r="F359" t="str">
        <f>survey_responses[[#This Row],[Độ tuổi của bạn:]]</f>
        <v>18 - 24</v>
      </c>
      <c r="G359" t="str">
        <f>step3_validation[[#This Row],[Region]]</f>
        <v>Thành thị</v>
      </c>
      <c r="H359" t="str">
        <f>survey_responses[[#This Row],[Khu vực bạn đang sinh sống:]]</f>
        <v>Thành thị</v>
      </c>
      <c r="I359" t="str">
        <f>step3_validation[[#This Row],[Education]]</f>
        <v>Đại học</v>
      </c>
      <c r="J359" t="str">
        <f>survey_responses[[#This Row],[Trình độ học vấn cao nhất:]]</f>
        <v>Đại học</v>
      </c>
      <c r="K359" t="str">
        <f>step3_validation[[#This Row],[Employment]]</f>
        <v>Chính thức</v>
      </c>
      <c r="L359" t="str">
        <f>survey_responses[[#This Row],[Tình trạng việc làm chính:]]</f>
        <v>Khu vực chính thức (Có Hợp đồng lao động, đóng BHXH)</v>
      </c>
      <c r="M359">
        <f>step3_validation[[#This Row],[Income_Mil]]</f>
        <v>15.035346755924781</v>
      </c>
      <c r="N359" t="str">
        <f>survey_responses[[#This Row],[Thu nhập bình quân tháng theo Hợp đồng lao động của bạn là bao nhiêu? (Vui lòng điền tổng thu nhập trước khi khấu trừ các loại Bảo hiểm (BHXH, BHYT, BHTN) và Thuế TNCN)]]</f>
        <v>Từ 12 - 18 triệu VNĐ</v>
      </c>
      <c r="O359">
        <f>step3_validation[[#This Row],[Dependents]]</f>
        <v>0</v>
      </c>
      <c r="P359" t="str">
        <f>survey_responses[[#This Row],[Số người phụ thuộc (con nhỏ, cha mẹ già...) đủ điều kiện giảm trừ gia cảnh:]]</f>
        <v>0 người</v>
      </c>
      <c r="Q359">
        <f>step3_validation[[#This Row],[AI_ENF1]]</f>
        <v>8</v>
      </c>
      <c r="R359" t="str">
        <f t="shared" si="135"/>
        <v>Support</v>
      </c>
      <c r="S359">
        <f>survey_responses[[#This Row],[Tôi tin rằng với các quy định quản lý thuế hiện nay, hành vi gian lận hoặc trốn thuế sẽ dễ dàng bị phát hiện và xử lý nghiêm. - HUMAN-ENF1]]</f>
        <v>7</v>
      </c>
      <c r="T359" t="str">
        <f t="shared" si="136"/>
        <v>Neutral</v>
      </c>
      <c r="U359" s="32">
        <f t="shared" si="137"/>
        <v>1</v>
      </c>
      <c r="V359">
        <f>step3_validation[[#This Row],[AI_ENF2]]</f>
        <v>9</v>
      </c>
      <c r="W359" t="str">
        <f t="shared" si="138"/>
        <v>Support</v>
      </c>
      <c r="X359">
        <f>survey_responses[[#This Row],[Tôi tin rằng Nhà nước, cơ quan thuế có đủ khả năng và công nghệ để phát hiện, xử lý nghiêm các hành vi trốn thuế. - HUMAN-ENF2]]</f>
        <v>7</v>
      </c>
      <c r="Y359" t="str">
        <f t="shared" si="139"/>
        <v>Neutral</v>
      </c>
      <c r="Z359" s="32">
        <f t="shared" si="140"/>
        <v>2</v>
      </c>
      <c r="AA359">
        <f>step3_validation[[#This Row],[AI_FAC1]]</f>
        <v>8</v>
      </c>
      <c r="AB359" t="str">
        <f t="shared" si="141"/>
        <v>Support</v>
      </c>
      <c r="AC359">
        <f>survey_responses[[#This Row],[Các thủ tục khai báo thuế VÀ/HOẶC quy trình làm việc với cơ quan thuế đơn giản, tiện lợi, nhanh chóng hơn so với trước đây. - HUMAN-FAC1]]</f>
        <v>7</v>
      </c>
      <c r="AD359" t="str">
        <f t="shared" si="142"/>
        <v>Neutral</v>
      </c>
      <c r="AE359" s="32">
        <f t="shared" si="143"/>
        <v>1</v>
      </c>
      <c r="AF359">
        <f>step3_validation[[#This Row],[AI_FAC2]]</f>
        <v>9</v>
      </c>
      <c r="AG359" t="str">
        <f t="shared" si="144"/>
        <v>Support</v>
      </c>
      <c r="AH359">
        <f>survey_responses[[#This Row],[So với trước đây, tôi thấy cách tính thuế và các bậc thuế trong phương án mới đơn giản, dễ hiểu và dễ thực hiện hơn. - HUMAN-FAC2]]</f>
        <v>8</v>
      </c>
      <c r="AI359" t="str">
        <f t="shared" si="145"/>
        <v>Support</v>
      </c>
      <c r="AJ359" s="32">
        <f t="shared" si="146"/>
        <v>1</v>
      </c>
      <c r="AK359">
        <f>step3_validation[[#This Row],[AI_TRU1]]</f>
        <v>8</v>
      </c>
      <c r="AL359" t="str">
        <f t="shared" si="147"/>
        <v>Support</v>
      </c>
      <c r="AM359">
        <f>survey_responses[[#This Row],[Tôi tin rằng Nhà nước, cơ quan thuế sẽ thực thi chính sách mới một cách khách quan, công tâm và đối xử bình đẳng với mọi người nộp thuế.  - HUMAN-TRU1]]</f>
        <v>7</v>
      </c>
      <c r="AN359" t="str">
        <f t="shared" si="148"/>
        <v>Neutral</v>
      </c>
      <c r="AO359" s="32">
        <f t="shared" si="149"/>
        <v>1</v>
      </c>
      <c r="AP359">
        <f>step3_validation[[#This Row],[AI_TRU2]]</f>
        <v>9</v>
      </c>
      <c r="AQ359" t="str">
        <f t="shared" si="150"/>
        <v>Support</v>
      </c>
      <c r="AR359">
        <f>survey_responses[[#This Row],[Tôi thấy mức thuế tôi phải đóng theo phương án mới là công bằng (người thu nhập như tôi đóng mức này là hợp lý). - HUMAN-TRU2]]</f>
        <v>9</v>
      </c>
      <c r="AS359" t="str">
        <f t="shared" si="151"/>
        <v>Support</v>
      </c>
      <c r="AT359" s="32">
        <f t="shared" si="152"/>
        <v>0</v>
      </c>
      <c r="AU359">
        <f>step3_validation[[#This Row],[AI_TRU3]]</f>
        <v>8</v>
      </c>
      <c r="AV359" t="str">
        <f t="shared" si="153"/>
        <v>Support</v>
      </c>
      <c r="AW359">
        <f>survey_responses[[#This Row],[Tôi tin tưởng số tiền thuế tôi đóng sẽ được Nhà nước sử dụng hiệu quả để cải thiện dịch vụ công (y tế, đường xá...). - HUMAN-TRU3]]</f>
        <v>8</v>
      </c>
      <c r="AX359" t="str">
        <f t="shared" si="154"/>
        <v>Support</v>
      </c>
      <c r="AY359" s="32">
        <f t="shared" si="155"/>
        <v>0</v>
      </c>
      <c r="AZ359">
        <f>step3_validation[[#This Row],[AI_TRU4]]</f>
        <v>9</v>
      </c>
      <c r="BA359" t="str">
        <f t="shared" si="156"/>
        <v>Support</v>
      </c>
      <c r="BB359">
        <f>survey_responses[[#This Row],[Tôi thấy Nhà nước đã giải thích rõ ràng, minh bạch về lý do và mục tiêu của việc sửa đổi thuế lần này. - HUMAN-TRU4]]</f>
        <v>8</v>
      </c>
      <c r="BC359" t="str">
        <f t="shared" si="157"/>
        <v>Support</v>
      </c>
      <c r="BD359" s="32">
        <f t="shared" si="158"/>
        <v>1</v>
      </c>
      <c r="BE359">
        <f>step3_validation[[#This Row],[AI_OUT1]]</f>
        <v>8</v>
      </c>
      <c r="BF359" t="str">
        <f t="shared" si="159"/>
        <v>Support</v>
      </c>
      <c r="BG359">
        <f>survey_responses[[#This Row],[Sau khi xem xét các quyền lợi và nghĩa vụ, bạn có ủng hộ và tuân thủ chính sách mới hiện nay? - HUMAN-OUT1]]</f>
        <v>8</v>
      </c>
      <c r="BH359" t="str">
        <f t="shared" si="160"/>
        <v>Support</v>
      </c>
      <c r="BI359" s="32">
        <f t="shared" si="161"/>
        <v>0</v>
      </c>
    </row>
    <row r="360" spans="1:61" x14ac:dyDescent="0.45">
      <c r="A360" s="30">
        <f>step3_validation[[#This Row],[Persona_ID]]</f>
        <v>359</v>
      </c>
      <c r="B360" s="31">
        <f>step3_validation[[#This Row],[Used_Seed]]</f>
        <v>359</v>
      </c>
      <c r="C360" t="str">
        <f>step3_validation[[#This Row],[Gender]]</f>
        <v>Nữ</v>
      </c>
      <c r="D360" t="str">
        <f>survey_responses[[#This Row],[Giới tính của bạn:]]</f>
        <v>Nữ</v>
      </c>
      <c r="E360" t="str">
        <f>step3_validation[[#This Row],[Age_Group]]</f>
        <v>25 - 29</v>
      </c>
      <c r="F360" t="str">
        <f>survey_responses[[#This Row],[Độ tuổi của bạn:]]</f>
        <v>25 - 29</v>
      </c>
      <c r="G360" t="str">
        <f>step3_validation[[#This Row],[Region]]</f>
        <v>Thành thị</v>
      </c>
      <c r="H360" t="str">
        <f>survey_responses[[#This Row],[Khu vực bạn đang sinh sống:]]</f>
        <v>Thành thị</v>
      </c>
      <c r="I360" t="str">
        <f>step3_validation[[#This Row],[Education]]</f>
        <v>Đại học</v>
      </c>
      <c r="J360" t="str">
        <f>survey_responses[[#This Row],[Trình độ học vấn cao nhất:]]</f>
        <v>Đại học</v>
      </c>
      <c r="K360" t="str">
        <f>step3_validation[[#This Row],[Employment]]</f>
        <v>Chính thức</v>
      </c>
      <c r="L360" t="str">
        <f>survey_responses[[#This Row],[Tình trạng việc làm chính:]]</f>
        <v>Khu vực chính thức (Có Hợp đồng lao động, đóng BHXH)</v>
      </c>
      <c r="M360">
        <f>step3_validation[[#This Row],[Income_Mil]]</f>
        <v>19.779826782176841</v>
      </c>
      <c r="N360" t="str">
        <f>survey_responses[[#This Row],[Thu nhập bình quân tháng theo Hợp đồng lao động của bạn là bao nhiêu? (Vui lòng điền tổng thu nhập trước khi khấu trừ các loại Bảo hiểm (BHXH, BHYT, BHTN) và Thuế TNCN)]]</f>
        <v>Từ 18 - 23 triệu VNĐ</v>
      </c>
      <c r="O360">
        <f>step3_validation[[#This Row],[Dependents]]</f>
        <v>1</v>
      </c>
      <c r="P360" t="str">
        <f>survey_responses[[#This Row],[Số người phụ thuộc (con nhỏ, cha mẹ già...) đủ điều kiện giảm trừ gia cảnh:]]</f>
        <v>1 người</v>
      </c>
      <c r="Q360">
        <f>step3_validation[[#This Row],[AI_ENF1]]</f>
        <v>6</v>
      </c>
      <c r="R360" t="str">
        <f t="shared" si="135"/>
        <v>Neutral</v>
      </c>
      <c r="S360">
        <f>survey_responses[[#This Row],[Tôi tin rằng với các quy định quản lý thuế hiện nay, hành vi gian lận hoặc trốn thuế sẽ dễ dàng bị phát hiện và xử lý nghiêm. - HUMAN-ENF1]]</f>
        <v>4</v>
      </c>
      <c r="T360" t="str">
        <f t="shared" si="136"/>
        <v>Oppose</v>
      </c>
      <c r="U360" s="32">
        <f t="shared" si="137"/>
        <v>2</v>
      </c>
      <c r="V360">
        <f>step3_validation[[#This Row],[AI_ENF2]]</f>
        <v>6</v>
      </c>
      <c r="W360" t="str">
        <f t="shared" si="138"/>
        <v>Neutral</v>
      </c>
      <c r="X360">
        <f>survey_responses[[#This Row],[Tôi tin rằng Nhà nước, cơ quan thuế có đủ khả năng và công nghệ để phát hiện, xử lý nghiêm các hành vi trốn thuế. - HUMAN-ENF2]]</f>
        <v>5</v>
      </c>
      <c r="Y360" t="str">
        <f t="shared" si="139"/>
        <v>Neutral</v>
      </c>
      <c r="Z360" s="32">
        <f t="shared" si="140"/>
        <v>1</v>
      </c>
      <c r="AA360">
        <f>step3_validation[[#This Row],[AI_FAC1]]</f>
        <v>9</v>
      </c>
      <c r="AB360" t="str">
        <f t="shared" si="141"/>
        <v>Support</v>
      </c>
      <c r="AC360">
        <f>survey_responses[[#This Row],[Các thủ tục khai báo thuế VÀ/HOẶC quy trình làm việc với cơ quan thuế đơn giản, tiện lợi, nhanh chóng hơn so với trước đây. - HUMAN-FAC1]]</f>
        <v>6</v>
      </c>
      <c r="AD360" t="str">
        <f t="shared" si="142"/>
        <v>Neutral</v>
      </c>
      <c r="AE360" s="32">
        <f t="shared" si="143"/>
        <v>3</v>
      </c>
      <c r="AF360">
        <f>step3_validation[[#This Row],[AI_FAC2]]</f>
        <v>8</v>
      </c>
      <c r="AG360" t="str">
        <f t="shared" si="144"/>
        <v>Support</v>
      </c>
      <c r="AH360">
        <f>survey_responses[[#This Row],[So với trước đây, tôi thấy cách tính thuế và các bậc thuế trong phương án mới đơn giản, dễ hiểu và dễ thực hiện hơn. - HUMAN-FAC2]]</f>
        <v>7</v>
      </c>
      <c r="AI360" t="str">
        <f t="shared" si="145"/>
        <v>Neutral</v>
      </c>
      <c r="AJ360" s="32">
        <f t="shared" si="146"/>
        <v>1</v>
      </c>
      <c r="AK360">
        <f>step3_validation[[#This Row],[AI_TRU1]]</f>
        <v>7</v>
      </c>
      <c r="AL360" t="str">
        <f t="shared" si="147"/>
        <v>Neutral</v>
      </c>
      <c r="AM360">
        <f>survey_responses[[#This Row],[Tôi tin rằng Nhà nước, cơ quan thuế sẽ thực thi chính sách mới một cách khách quan, công tâm và đối xử bình đẳng với mọi người nộp thuế.  - HUMAN-TRU1]]</f>
        <v>7</v>
      </c>
      <c r="AN360" t="str">
        <f t="shared" si="148"/>
        <v>Neutral</v>
      </c>
      <c r="AO360" s="32">
        <f t="shared" si="149"/>
        <v>0</v>
      </c>
      <c r="AP360">
        <f>step3_validation[[#This Row],[AI_TRU2]]</f>
        <v>8</v>
      </c>
      <c r="AQ360" t="str">
        <f t="shared" si="150"/>
        <v>Support</v>
      </c>
      <c r="AR360">
        <f>survey_responses[[#This Row],[Tôi thấy mức thuế tôi phải đóng theo phương án mới là công bằng (người thu nhập như tôi đóng mức này là hợp lý). - HUMAN-TRU2]]</f>
        <v>6</v>
      </c>
      <c r="AS360" t="str">
        <f t="shared" si="151"/>
        <v>Neutral</v>
      </c>
      <c r="AT360" s="32">
        <f t="shared" si="152"/>
        <v>2</v>
      </c>
      <c r="AU360">
        <f>step3_validation[[#This Row],[AI_TRU3]]</f>
        <v>7</v>
      </c>
      <c r="AV360" t="str">
        <f t="shared" si="153"/>
        <v>Neutral</v>
      </c>
      <c r="AW360">
        <f>survey_responses[[#This Row],[Tôi tin tưởng số tiền thuế tôi đóng sẽ được Nhà nước sử dụng hiệu quả để cải thiện dịch vụ công (y tế, đường xá...). - HUMAN-TRU3]]</f>
        <v>4</v>
      </c>
      <c r="AX360" t="str">
        <f t="shared" si="154"/>
        <v>Oppose</v>
      </c>
      <c r="AY360" s="32">
        <f t="shared" si="155"/>
        <v>3</v>
      </c>
      <c r="AZ360">
        <f>step3_validation[[#This Row],[AI_TRU4]]</f>
        <v>6</v>
      </c>
      <c r="BA360" t="str">
        <f t="shared" si="156"/>
        <v>Neutral</v>
      </c>
      <c r="BB360">
        <f>survey_responses[[#This Row],[Tôi thấy Nhà nước đã giải thích rõ ràng, minh bạch về lý do và mục tiêu của việc sửa đổi thuế lần này. - HUMAN-TRU4]]</f>
        <v>6</v>
      </c>
      <c r="BC360" t="str">
        <f t="shared" si="157"/>
        <v>Neutral</v>
      </c>
      <c r="BD360" s="32">
        <f t="shared" si="158"/>
        <v>0</v>
      </c>
      <c r="BE360">
        <f>step3_validation[[#This Row],[AI_OUT1]]</f>
        <v>8</v>
      </c>
      <c r="BF360" t="str">
        <f t="shared" si="159"/>
        <v>Support</v>
      </c>
      <c r="BG360">
        <f>survey_responses[[#This Row],[Sau khi xem xét các quyền lợi và nghĩa vụ, bạn có ủng hộ và tuân thủ chính sách mới hiện nay? - HUMAN-OUT1]]</f>
        <v>7</v>
      </c>
      <c r="BH360" t="str">
        <f t="shared" si="160"/>
        <v>Neutral</v>
      </c>
      <c r="BI360" s="32">
        <f t="shared" si="161"/>
        <v>1</v>
      </c>
    </row>
    <row r="361" spans="1:61" x14ac:dyDescent="0.45">
      <c r="A361" s="30">
        <f>step3_validation[[#This Row],[Persona_ID]]</f>
        <v>360</v>
      </c>
      <c r="B361" s="31">
        <f>step3_validation[[#This Row],[Used_Seed]]</f>
        <v>360</v>
      </c>
      <c r="C361" t="str">
        <f>step3_validation[[#This Row],[Gender]]</f>
        <v>Nam</v>
      </c>
      <c r="D361" t="str">
        <f>survey_responses[[#This Row],[Giới tính của bạn:]]</f>
        <v>Nam</v>
      </c>
      <c r="E361" t="str">
        <f>step3_validation[[#This Row],[Age_Group]]</f>
        <v>25 - 29</v>
      </c>
      <c r="F361" t="str">
        <f>survey_responses[[#This Row],[Độ tuổi của bạn:]]</f>
        <v>25 - 29</v>
      </c>
      <c r="G361" t="str">
        <f>step3_validation[[#This Row],[Region]]</f>
        <v>Thành thị</v>
      </c>
      <c r="H361" t="str">
        <f>survey_responses[[#This Row],[Khu vực bạn đang sinh sống:]]</f>
        <v>Thành thị</v>
      </c>
      <c r="I361" t="str">
        <f>step3_validation[[#This Row],[Education]]</f>
        <v>Đại học</v>
      </c>
      <c r="J361" t="str">
        <f>survey_responses[[#This Row],[Trình độ học vấn cao nhất:]]</f>
        <v>Đại học</v>
      </c>
      <c r="K361" t="str">
        <f>step3_validation[[#This Row],[Employment]]</f>
        <v>Chính thức</v>
      </c>
      <c r="L361" t="str">
        <f>survey_responses[[#This Row],[Tình trạng việc làm chính:]]</f>
        <v>Khu vực chính thức (Có Hợp đồng lao động, đóng BHXH)</v>
      </c>
      <c r="M361">
        <f>step3_validation[[#This Row],[Income_Mil]]</f>
        <v>21.703133300773874</v>
      </c>
      <c r="N361" t="str">
        <f>survey_responses[[#This Row],[Thu nhập bình quân tháng theo Hợp đồng lao động của bạn là bao nhiêu? (Vui lòng điền tổng thu nhập trước khi khấu trừ các loại Bảo hiểm (BHXH, BHYT, BHTN) và Thuế TNCN)]]</f>
        <v>Từ 18 - 23 triệu VNĐ</v>
      </c>
      <c r="O361">
        <f>step3_validation[[#This Row],[Dependents]]</f>
        <v>0</v>
      </c>
      <c r="P361" t="str">
        <f>survey_responses[[#This Row],[Số người phụ thuộc (con nhỏ, cha mẹ già...) đủ điều kiện giảm trừ gia cảnh:]]</f>
        <v>0 người</v>
      </c>
      <c r="Q361">
        <f>step3_validation[[#This Row],[AI_ENF1]]</f>
        <v>7</v>
      </c>
      <c r="R361" t="str">
        <f t="shared" si="135"/>
        <v>Neutral</v>
      </c>
      <c r="S361">
        <f>survey_responses[[#This Row],[Tôi tin rằng với các quy định quản lý thuế hiện nay, hành vi gian lận hoặc trốn thuế sẽ dễ dàng bị phát hiện và xử lý nghiêm. - HUMAN-ENF1]]</f>
        <v>9</v>
      </c>
      <c r="T361" t="str">
        <f t="shared" si="136"/>
        <v>Support</v>
      </c>
      <c r="U361" s="32">
        <f t="shared" si="137"/>
        <v>2</v>
      </c>
      <c r="V361">
        <f>step3_validation[[#This Row],[AI_ENF2]]</f>
        <v>8</v>
      </c>
      <c r="W361" t="str">
        <f t="shared" si="138"/>
        <v>Support</v>
      </c>
      <c r="X361">
        <f>survey_responses[[#This Row],[Tôi tin rằng Nhà nước, cơ quan thuế có đủ khả năng và công nghệ để phát hiện, xử lý nghiêm các hành vi trốn thuế. - HUMAN-ENF2]]</f>
        <v>8</v>
      </c>
      <c r="Y361" t="str">
        <f t="shared" si="139"/>
        <v>Support</v>
      </c>
      <c r="Z361" s="32">
        <f t="shared" si="140"/>
        <v>0</v>
      </c>
      <c r="AA361">
        <f>step3_validation[[#This Row],[AI_FAC1]]</f>
        <v>9</v>
      </c>
      <c r="AB361" t="str">
        <f t="shared" si="141"/>
        <v>Support</v>
      </c>
      <c r="AC361">
        <f>survey_responses[[#This Row],[Các thủ tục khai báo thuế VÀ/HOẶC quy trình làm việc với cơ quan thuế đơn giản, tiện lợi, nhanh chóng hơn so với trước đây. - HUMAN-FAC1]]</f>
        <v>8</v>
      </c>
      <c r="AD361" t="str">
        <f t="shared" si="142"/>
        <v>Support</v>
      </c>
      <c r="AE361" s="32">
        <f t="shared" si="143"/>
        <v>1</v>
      </c>
      <c r="AF361">
        <f>step3_validation[[#This Row],[AI_FAC2]]</f>
        <v>8</v>
      </c>
      <c r="AG361" t="str">
        <f t="shared" si="144"/>
        <v>Support</v>
      </c>
      <c r="AH361">
        <f>survey_responses[[#This Row],[So với trước đây, tôi thấy cách tính thuế và các bậc thuế trong phương án mới đơn giản, dễ hiểu và dễ thực hiện hơn. - HUMAN-FAC2]]</f>
        <v>8</v>
      </c>
      <c r="AI361" t="str">
        <f t="shared" si="145"/>
        <v>Support</v>
      </c>
      <c r="AJ361" s="32">
        <f t="shared" si="146"/>
        <v>0</v>
      </c>
      <c r="AK361">
        <f>step3_validation[[#This Row],[AI_TRU1]]</f>
        <v>9</v>
      </c>
      <c r="AL361" t="str">
        <f t="shared" si="147"/>
        <v>Support</v>
      </c>
      <c r="AM361">
        <f>survey_responses[[#This Row],[Tôi tin rằng Nhà nước, cơ quan thuế sẽ thực thi chính sách mới một cách khách quan, công tâm và đối xử bình đẳng với mọi người nộp thuế.  - HUMAN-TRU1]]</f>
        <v>7</v>
      </c>
      <c r="AN361" t="str">
        <f t="shared" si="148"/>
        <v>Neutral</v>
      </c>
      <c r="AO361" s="32">
        <f t="shared" si="149"/>
        <v>2</v>
      </c>
      <c r="AP361">
        <f>step3_validation[[#This Row],[AI_TRU2]]</f>
        <v>8</v>
      </c>
      <c r="AQ361" t="str">
        <f t="shared" si="150"/>
        <v>Support</v>
      </c>
      <c r="AR361">
        <f>survey_responses[[#This Row],[Tôi thấy mức thuế tôi phải đóng theo phương án mới là công bằng (người thu nhập như tôi đóng mức này là hợp lý). - HUMAN-TRU2]]</f>
        <v>7</v>
      </c>
      <c r="AS361" t="str">
        <f t="shared" si="151"/>
        <v>Neutral</v>
      </c>
      <c r="AT361" s="32">
        <f t="shared" si="152"/>
        <v>1</v>
      </c>
      <c r="AU361">
        <f>step3_validation[[#This Row],[AI_TRU3]]</f>
        <v>9</v>
      </c>
      <c r="AV361" t="str">
        <f t="shared" si="153"/>
        <v>Support</v>
      </c>
      <c r="AW361">
        <f>survey_responses[[#This Row],[Tôi tin tưởng số tiền thuế tôi đóng sẽ được Nhà nước sử dụng hiệu quả để cải thiện dịch vụ công (y tế, đường xá...). - HUMAN-TRU3]]</f>
        <v>6</v>
      </c>
      <c r="AX361" t="str">
        <f t="shared" si="154"/>
        <v>Neutral</v>
      </c>
      <c r="AY361" s="32">
        <f t="shared" si="155"/>
        <v>3</v>
      </c>
      <c r="AZ361">
        <f>step3_validation[[#This Row],[AI_TRU4]]</f>
        <v>8</v>
      </c>
      <c r="BA361" t="str">
        <f t="shared" si="156"/>
        <v>Support</v>
      </c>
      <c r="BB361">
        <f>survey_responses[[#This Row],[Tôi thấy Nhà nước đã giải thích rõ ràng, minh bạch về lý do và mục tiêu của việc sửa đổi thuế lần này. - HUMAN-TRU4]]</f>
        <v>7</v>
      </c>
      <c r="BC361" t="str">
        <f t="shared" si="157"/>
        <v>Neutral</v>
      </c>
      <c r="BD361" s="32">
        <f t="shared" si="158"/>
        <v>1</v>
      </c>
      <c r="BE361">
        <f>step3_validation[[#This Row],[AI_OUT1]]</f>
        <v>9</v>
      </c>
      <c r="BF361" t="str">
        <f t="shared" si="159"/>
        <v>Support</v>
      </c>
      <c r="BG361">
        <f>survey_responses[[#This Row],[Sau khi xem xét các quyền lợi và nghĩa vụ, bạn có ủng hộ và tuân thủ chính sách mới hiện nay? - HUMAN-OUT1]]</f>
        <v>8</v>
      </c>
      <c r="BH361" t="str">
        <f t="shared" si="160"/>
        <v>Support</v>
      </c>
      <c r="BI361" s="32">
        <f t="shared" si="161"/>
        <v>1</v>
      </c>
    </row>
    <row r="362" spans="1:61" x14ac:dyDescent="0.45">
      <c r="A362" s="30">
        <f>step3_validation[[#This Row],[Persona_ID]]</f>
        <v>361</v>
      </c>
      <c r="B362" s="31">
        <f>step3_validation[[#This Row],[Used_Seed]]</f>
        <v>361</v>
      </c>
      <c r="C362" t="str">
        <f>step3_validation[[#This Row],[Gender]]</f>
        <v>Nữ</v>
      </c>
      <c r="D362" t="str">
        <f>survey_responses[[#This Row],[Giới tính của bạn:]]</f>
        <v>Nữ</v>
      </c>
      <c r="E362" t="str">
        <f>step3_validation[[#This Row],[Age_Group]]</f>
        <v>18 - 24</v>
      </c>
      <c r="F362" t="str">
        <f>survey_responses[[#This Row],[Độ tuổi của bạn:]]</f>
        <v>18 - 24</v>
      </c>
      <c r="G362" t="str">
        <f>step3_validation[[#This Row],[Region]]</f>
        <v>Thành thị</v>
      </c>
      <c r="H362" t="str">
        <f>survey_responses[[#This Row],[Khu vực bạn đang sinh sống:]]</f>
        <v>Thành thị</v>
      </c>
      <c r="I362" t="str">
        <f>step3_validation[[#This Row],[Education]]</f>
        <v>Đại học</v>
      </c>
      <c r="J362" t="str">
        <f>survey_responses[[#This Row],[Trình độ học vấn cao nhất:]]</f>
        <v>Đại học</v>
      </c>
      <c r="K362" t="str">
        <f>step3_validation[[#This Row],[Employment]]</f>
        <v>Chính thức</v>
      </c>
      <c r="L362" t="str">
        <f>survey_responses[[#This Row],[Tình trạng việc làm chính:]]</f>
        <v>Khu vực chính thức (Có Hợp đồng lao động, đóng BHXH)</v>
      </c>
      <c r="M362">
        <f>step3_validation[[#This Row],[Income_Mil]]</f>
        <v>12</v>
      </c>
      <c r="N362" t="str">
        <f>survey_responses[[#This Row],[Thu nhập bình quân tháng theo Hợp đồng lao động của bạn là bao nhiêu? (Vui lòng điền tổng thu nhập trước khi khấu trừ các loại Bảo hiểm (BHXH, BHYT, BHTN) và Thuế TNCN)]]</f>
        <v>Dưới 12 triệu VNĐ</v>
      </c>
      <c r="O362">
        <f>step3_validation[[#This Row],[Dependents]]</f>
        <v>0</v>
      </c>
      <c r="P362" t="str">
        <f>survey_responses[[#This Row],[Số người phụ thuộc (con nhỏ, cha mẹ già...) đủ điều kiện giảm trừ gia cảnh:]]</f>
        <v>0 người</v>
      </c>
      <c r="Q362">
        <f>step3_validation[[#This Row],[AI_ENF1]]</f>
        <v>8</v>
      </c>
      <c r="R362" t="str">
        <f t="shared" si="135"/>
        <v>Support</v>
      </c>
      <c r="S362">
        <f>survey_responses[[#This Row],[Tôi tin rằng với các quy định quản lý thuế hiện nay, hành vi gian lận hoặc trốn thuế sẽ dễ dàng bị phát hiện và xử lý nghiêm. - HUMAN-ENF1]]</f>
        <v>7</v>
      </c>
      <c r="T362" t="str">
        <f t="shared" si="136"/>
        <v>Neutral</v>
      </c>
      <c r="U362" s="32">
        <f t="shared" si="137"/>
        <v>1</v>
      </c>
      <c r="V362">
        <f>step3_validation[[#This Row],[AI_ENF2]]</f>
        <v>8</v>
      </c>
      <c r="W362" t="str">
        <f t="shared" si="138"/>
        <v>Support</v>
      </c>
      <c r="X362">
        <f>survey_responses[[#This Row],[Tôi tin rằng Nhà nước, cơ quan thuế có đủ khả năng và công nghệ để phát hiện, xử lý nghiêm các hành vi trốn thuế. - HUMAN-ENF2]]</f>
        <v>7</v>
      </c>
      <c r="Y362" t="str">
        <f t="shared" si="139"/>
        <v>Neutral</v>
      </c>
      <c r="Z362" s="32">
        <f t="shared" si="140"/>
        <v>1</v>
      </c>
      <c r="AA362">
        <f>step3_validation[[#This Row],[AI_FAC1]]</f>
        <v>9</v>
      </c>
      <c r="AB362" t="str">
        <f t="shared" si="141"/>
        <v>Support</v>
      </c>
      <c r="AC362">
        <f>survey_responses[[#This Row],[Các thủ tục khai báo thuế VÀ/HOẶC quy trình làm việc với cơ quan thuế đơn giản, tiện lợi, nhanh chóng hơn so với trước đây. - HUMAN-FAC1]]</f>
        <v>8</v>
      </c>
      <c r="AD362" t="str">
        <f t="shared" si="142"/>
        <v>Support</v>
      </c>
      <c r="AE362" s="32">
        <f t="shared" si="143"/>
        <v>1</v>
      </c>
      <c r="AF362">
        <f>step3_validation[[#This Row],[AI_FAC2]]</f>
        <v>9</v>
      </c>
      <c r="AG362" t="str">
        <f t="shared" si="144"/>
        <v>Support</v>
      </c>
      <c r="AH362">
        <f>survey_responses[[#This Row],[So với trước đây, tôi thấy cách tính thuế và các bậc thuế trong phương án mới đơn giản, dễ hiểu và dễ thực hiện hơn. - HUMAN-FAC2]]</f>
        <v>9</v>
      </c>
      <c r="AI362" t="str">
        <f t="shared" si="145"/>
        <v>Support</v>
      </c>
      <c r="AJ362" s="32">
        <f t="shared" si="146"/>
        <v>0</v>
      </c>
      <c r="AK362">
        <f>step3_validation[[#This Row],[AI_TRU1]]</f>
        <v>8</v>
      </c>
      <c r="AL362" t="str">
        <f t="shared" si="147"/>
        <v>Support</v>
      </c>
      <c r="AM362">
        <f>survey_responses[[#This Row],[Tôi tin rằng Nhà nước, cơ quan thuế sẽ thực thi chính sách mới một cách khách quan, công tâm và đối xử bình đẳng với mọi người nộp thuế.  - HUMAN-TRU1]]</f>
        <v>7</v>
      </c>
      <c r="AN362" t="str">
        <f t="shared" si="148"/>
        <v>Neutral</v>
      </c>
      <c r="AO362" s="32">
        <f t="shared" si="149"/>
        <v>1</v>
      </c>
      <c r="AP362">
        <f>step3_validation[[#This Row],[AI_TRU2]]</f>
        <v>9</v>
      </c>
      <c r="AQ362" t="str">
        <f t="shared" si="150"/>
        <v>Support</v>
      </c>
      <c r="AR362">
        <f>survey_responses[[#This Row],[Tôi thấy mức thuế tôi phải đóng theo phương án mới là công bằng (người thu nhập như tôi đóng mức này là hợp lý). - HUMAN-TRU2]]</f>
        <v>10</v>
      </c>
      <c r="AS362" t="str">
        <f t="shared" si="151"/>
        <v>Support</v>
      </c>
      <c r="AT362" s="32">
        <f t="shared" si="152"/>
        <v>1</v>
      </c>
      <c r="AU362">
        <f>step3_validation[[#This Row],[AI_TRU3]]</f>
        <v>8</v>
      </c>
      <c r="AV362" t="str">
        <f t="shared" si="153"/>
        <v>Support</v>
      </c>
      <c r="AW362">
        <f>survey_responses[[#This Row],[Tôi tin tưởng số tiền thuế tôi đóng sẽ được Nhà nước sử dụng hiệu quả để cải thiện dịch vụ công (y tế, đường xá...). - HUMAN-TRU3]]</f>
        <v>8</v>
      </c>
      <c r="AX362" t="str">
        <f t="shared" si="154"/>
        <v>Support</v>
      </c>
      <c r="AY362" s="32">
        <f t="shared" si="155"/>
        <v>0</v>
      </c>
      <c r="AZ362">
        <f>step3_validation[[#This Row],[AI_TRU4]]</f>
        <v>7</v>
      </c>
      <c r="BA362" t="str">
        <f t="shared" si="156"/>
        <v>Neutral</v>
      </c>
      <c r="BB362">
        <f>survey_responses[[#This Row],[Tôi thấy Nhà nước đã giải thích rõ ràng, minh bạch về lý do và mục tiêu của việc sửa đổi thuế lần này. - HUMAN-TRU4]]</f>
        <v>8</v>
      </c>
      <c r="BC362" t="str">
        <f t="shared" si="157"/>
        <v>Support</v>
      </c>
      <c r="BD362" s="32">
        <f t="shared" si="158"/>
        <v>1</v>
      </c>
      <c r="BE362">
        <f>step3_validation[[#This Row],[AI_OUT1]]</f>
        <v>9</v>
      </c>
      <c r="BF362" t="str">
        <f t="shared" si="159"/>
        <v>Support</v>
      </c>
      <c r="BG362">
        <f>survey_responses[[#This Row],[Sau khi xem xét các quyền lợi và nghĩa vụ, bạn có ủng hộ và tuân thủ chính sách mới hiện nay? - HUMAN-OUT1]]</f>
        <v>10</v>
      </c>
      <c r="BH362" t="str">
        <f t="shared" si="160"/>
        <v>Support</v>
      </c>
      <c r="BI362" s="32">
        <f t="shared" si="161"/>
        <v>1</v>
      </c>
    </row>
    <row r="363" spans="1:61" x14ac:dyDescent="0.45">
      <c r="A363" s="30">
        <f>step3_validation[[#This Row],[Persona_ID]]</f>
        <v>362</v>
      </c>
      <c r="B363" s="31">
        <f>step3_validation[[#This Row],[Used_Seed]]</f>
        <v>362</v>
      </c>
      <c r="C363" t="str">
        <f>step3_validation[[#This Row],[Gender]]</f>
        <v>Nữ</v>
      </c>
      <c r="D363" t="str">
        <f>survey_responses[[#This Row],[Giới tính của bạn:]]</f>
        <v>Nữ</v>
      </c>
      <c r="E363" t="str">
        <f>step3_validation[[#This Row],[Age_Group]]</f>
        <v>18 - 24</v>
      </c>
      <c r="F363" t="str">
        <f>survey_responses[[#This Row],[Độ tuổi của bạn:]]</f>
        <v>18 - 24</v>
      </c>
      <c r="G363" t="str">
        <f>step3_validation[[#This Row],[Region]]</f>
        <v>Thành thị</v>
      </c>
      <c r="H363" t="str">
        <f>survey_responses[[#This Row],[Khu vực bạn đang sinh sống:]]</f>
        <v>Thành thị</v>
      </c>
      <c r="I363" t="str">
        <f>step3_validation[[#This Row],[Education]]</f>
        <v>Đại học</v>
      </c>
      <c r="J363" t="str">
        <f>survey_responses[[#This Row],[Trình độ học vấn cao nhất:]]</f>
        <v>Đại học</v>
      </c>
      <c r="K363" t="str">
        <f>step3_validation[[#This Row],[Employment]]</f>
        <v>Chính thức</v>
      </c>
      <c r="L363" t="str">
        <f>survey_responses[[#This Row],[Tình trạng việc làm chính:]]</f>
        <v>Khu vực chính thức (Có Hợp đồng lao động, đóng BHXH)</v>
      </c>
      <c r="M363">
        <f>step3_validation[[#This Row],[Income_Mil]]</f>
        <v>12.704507617919734</v>
      </c>
      <c r="N363" t="str">
        <f>survey_responses[[#This Row],[Thu nhập bình quân tháng theo Hợp đồng lao động của bạn là bao nhiêu? (Vui lòng điền tổng thu nhập trước khi khấu trừ các loại Bảo hiểm (BHXH, BHYT, BHTN) và Thuế TNCN)]]</f>
        <v>Từ 12 - 18 triệu VNĐ</v>
      </c>
      <c r="O363">
        <f>step3_validation[[#This Row],[Dependents]]</f>
        <v>0</v>
      </c>
      <c r="P363" t="str">
        <f>survey_responses[[#This Row],[Số người phụ thuộc (con nhỏ, cha mẹ già...) đủ điều kiện giảm trừ gia cảnh:]]</f>
        <v>0 người</v>
      </c>
      <c r="Q363">
        <f>step3_validation[[#This Row],[AI_ENF1]]</f>
        <v>6</v>
      </c>
      <c r="R363" t="str">
        <f t="shared" si="135"/>
        <v>Neutral</v>
      </c>
      <c r="S363">
        <f>survey_responses[[#This Row],[Tôi tin rằng với các quy định quản lý thuế hiện nay, hành vi gian lận hoặc trốn thuế sẽ dễ dàng bị phát hiện và xử lý nghiêm. - HUMAN-ENF1]]</f>
        <v>3</v>
      </c>
      <c r="T363" t="str">
        <f t="shared" si="136"/>
        <v>Oppose</v>
      </c>
      <c r="U363" s="32">
        <f t="shared" si="137"/>
        <v>3</v>
      </c>
      <c r="V363">
        <f>step3_validation[[#This Row],[AI_ENF2]]</f>
        <v>6</v>
      </c>
      <c r="W363" t="str">
        <f t="shared" si="138"/>
        <v>Neutral</v>
      </c>
      <c r="X363">
        <f>survey_responses[[#This Row],[Tôi tin rằng Nhà nước, cơ quan thuế có đủ khả năng và công nghệ để phát hiện, xử lý nghiêm các hành vi trốn thuế. - HUMAN-ENF2]]</f>
        <v>3</v>
      </c>
      <c r="Y363" t="str">
        <f t="shared" si="139"/>
        <v>Oppose</v>
      </c>
      <c r="Z363" s="32">
        <f t="shared" si="140"/>
        <v>3</v>
      </c>
      <c r="AA363">
        <f>step3_validation[[#This Row],[AI_FAC1]]</f>
        <v>8</v>
      </c>
      <c r="AB363" t="str">
        <f t="shared" si="141"/>
        <v>Support</v>
      </c>
      <c r="AC363">
        <f>survey_responses[[#This Row],[Các thủ tục khai báo thuế VÀ/HOẶC quy trình làm việc với cơ quan thuế đơn giản, tiện lợi, nhanh chóng hơn so với trước đây. - HUMAN-FAC1]]</f>
        <v>5</v>
      </c>
      <c r="AD363" t="str">
        <f t="shared" si="142"/>
        <v>Neutral</v>
      </c>
      <c r="AE363" s="32">
        <f t="shared" si="143"/>
        <v>3</v>
      </c>
      <c r="AF363">
        <f>step3_validation[[#This Row],[AI_FAC2]]</f>
        <v>9</v>
      </c>
      <c r="AG363" t="str">
        <f t="shared" si="144"/>
        <v>Support</v>
      </c>
      <c r="AH363">
        <f>survey_responses[[#This Row],[So với trước đây, tôi thấy cách tính thuế và các bậc thuế trong phương án mới đơn giản, dễ hiểu và dễ thực hiện hơn. - HUMAN-FAC2]]</f>
        <v>6</v>
      </c>
      <c r="AI363" t="str">
        <f t="shared" si="145"/>
        <v>Neutral</v>
      </c>
      <c r="AJ363" s="32">
        <f t="shared" si="146"/>
        <v>3</v>
      </c>
      <c r="AK363">
        <f>step3_validation[[#This Row],[AI_TRU1]]</f>
        <v>7</v>
      </c>
      <c r="AL363" t="str">
        <f t="shared" si="147"/>
        <v>Neutral</v>
      </c>
      <c r="AM363">
        <f>survey_responses[[#This Row],[Tôi tin rằng Nhà nước, cơ quan thuế sẽ thực thi chính sách mới một cách khách quan, công tâm và đối xử bình đẳng với mọi người nộp thuế.  - HUMAN-TRU1]]</f>
        <v>5</v>
      </c>
      <c r="AN363" t="str">
        <f t="shared" si="148"/>
        <v>Neutral</v>
      </c>
      <c r="AO363" s="32">
        <f t="shared" si="149"/>
        <v>2</v>
      </c>
      <c r="AP363">
        <f>step3_validation[[#This Row],[AI_TRU2]]</f>
        <v>9</v>
      </c>
      <c r="AQ363" t="str">
        <f t="shared" si="150"/>
        <v>Support</v>
      </c>
      <c r="AR363">
        <f>survey_responses[[#This Row],[Tôi thấy mức thuế tôi phải đóng theo phương án mới là công bằng (người thu nhập như tôi đóng mức này là hợp lý). - HUMAN-TRU2]]</f>
        <v>6</v>
      </c>
      <c r="AS363" t="str">
        <f t="shared" si="151"/>
        <v>Neutral</v>
      </c>
      <c r="AT363" s="32">
        <f t="shared" si="152"/>
        <v>3</v>
      </c>
      <c r="AU363">
        <f>step3_validation[[#This Row],[AI_TRU3]]</f>
        <v>8</v>
      </c>
      <c r="AV363" t="str">
        <f t="shared" si="153"/>
        <v>Support</v>
      </c>
      <c r="AW363">
        <f>survey_responses[[#This Row],[Tôi tin tưởng số tiền thuế tôi đóng sẽ được Nhà nước sử dụng hiệu quả để cải thiện dịch vụ công (y tế, đường xá...). - HUMAN-TRU3]]</f>
        <v>4</v>
      </c>
      <c r="AX363" t="str">
        <f t="shared" si="154"/>
        <v>Oppose</v>
      </c>
      <c r="AY363" s="32">
        <f t="shared" si="155"/>
        <v>4</v>
      </c>
      <c r="AZ363">
        <f>step3_validation[[#This Row],[AI_TRU4]]</f>
        <v>7</v>
      </c>
      <c r="BA363" t="str">
        <f t="shared" si="156"/>
        <v>Neutral</v>
      </c>
      <c r="BB363">
        <f>survey_responses[[#This Row],[Tôi thấy Nhà nước đã giải thích rõ ràng, minh bạch về lý do và mục tiêu của việc sửa đổi thuế lần này. - HUMAN-TRU4]]</f>
        <v>6</v>
      </c>
      <c r="BC363" t="str">
        <f t="shared" si="157"/>
        <v>Neutral</v>
      </c>
      <c r="BD363" s="32">
        <f t="shared" si="158"/>
        <v>1</v>
      </c>
      <c r="BE363">
        <f>step3_validation[[#This Row],[AI_OUT1]]</f>
        <v>9</v>
      </c>
      <c r="BF363" t="str">
        <f t="shared" si="159"/>
        <v>Support</v>
      </c>
      <c r="BG363">
        <f>survey_responses[[#This Row],[Sau khi xem xét các quyền lợi và nghĩa vụ, bạn có ủng hộ và tuân thủ chính sách mới hiện nay? - HUMAN-OUT1]]</f>
        <v>6</v>
      </c>
      <c r="BH363" t="str">
        <f t="shared" si="160"/>
        <v>Neutral</v>
      </c>
      <c r="BI363" s="32">
        <f t="shared" si="161"/>
        <v>3</v>
      </c>
    </row>
    <row r="364" spans="1:61" x14ac:dyDescent="0.45">
      <c r="A364" s="30">
        <f>step3_validation[[#This Row],[Persona_ID]]</f>
        <v>363</v>
      </c>
      <c r="B364" s="31">
        <f>step3_validation[[#This Row],[Used_Seed]]</f>
        <v>363</v>
      </c>
      <c r="C364" t="str">
        <f>step3_validation[[#This Row],[Gender]]</f>
        <v>Nam</v>
      </c>
      <c r="D364" t="str">
        <f>survey_responses[[#This Row],[Giới tính của bạn:]]</f>
        <v>Nam</v>
      </c>
      <c r="E364" t="str">
        <f>step3_validation[[#This Row],[Age_Group]]</f>
        <v>25 - 29</v>
      </c>
      <c r="F364" t="str">
        <f>survey_responses[[#This Row],[Độ tuổi của bạn:]]</f>
        <v>25 - 29</v>
      </c>
      <c r="G364" t="str">
        <f>step3_validation[[#This Row],[Region]]</f>
        <v>Thành thị</v>
      </c>
      <c r="H364" t="str">
        <f>survey_responses[[#This Row],[Khu vực bạn đang sinh sống:]]</f>
        <v>Thành thị</v>
      </c>
      <c r="I364" t="str">
        <f>step3_validation[[#This Row],[Education]]</f>
        <v>Đại học</v>
      </c>
      <c r="J364" t="str">
        <f>survey_responses[[#This Row],[Trình độ học vấn cao nhất:]]</f>
        <v>Đại học</v>
      </c>
      <c r="K364" t="str">
        <f>step3_validation[[#This Row],[Employment]]</f>
        <v>Chính thức</v>
      </c>
      <c r="L364" t="str">
        <f>survey_responses[[#This Row],[Tình trạng việc làm chính:]]</f>
        <v>Khu vực chính thức (Có Hợp đồng lao động, đóng BHXH)</v>
      </c>
      <c r="M364">
        <f>step3_validation[[#This Row],[Income_Mil]]</f>
        <v>30.604448029933732</v>
      </c>
      <c r="N364" t="str">
        <f>survey_responses[[#This Row],[Thu nhập bình quân tháng theo Hợp đồng lao động của bạn là bao nhiêu? (Vui lòng điền tổng thu nhập trước khi khấu trừ các loại Bảo hiểm (BHXH, BHYT, BHTN) và Thuế TNCN)]]</f>
        <v>Từ 23 - 32 triệu VNĐ</v>
      </c>
      <c r="O364">
        <f>step3_validation[[#This Row],[Dependents]]</f>
        <v>1</v>
      </c>
      <c r="P364" t="str">
        <f>survey_responses[[#This Row],[Số người phụ thuộc (con nhỏ, cha mẹ già...) đủ điều kiện giảm trừ gia cảnh:]]</f>
        <v>1 người</v>
      </c>
      <c r="Q364">
        <f>step3_validation[[#This Row],[AI_ENF1]]</f>
        <v>7</v>
      </c>
      <c r="R364" t="str">
        <f t="shared" si="135"/>
        <v>Neutral</v>
      </c>
      <c r="S364">
        <f>survey_responses[[#This Row],[Tôi tin rằng với các quy định quản lý thuế hiện nay, hành vi gian lận hoặc trốn thuế sẽ dễ dàng bị phát hiện và xử lý nghiêm. - HUMAN-ENF1]]</f>
        <v>8</v>
      </c>
      <c r="T364" t="str">
        <f t="shared" si="136"/>
        <v>Support</v>
      </c>
      <c r="U364" s="32">
        <f t="shared" si="137"/>
        <v>1</v>
      </c>
      <c r="V364">
        <f>step3_validation[[#This Row],[AI_ENF2]]</f>
        <v>8</v>
      </c>
      <c r="W364" t="str">
        <f t="shared" si="138"/>
        <v>Support</v>
      </c>
      <c r="X364">
        <f>survey_responses[[#This Row],[Tôi tin rằng Nhà nước, cơ quan thuế có đủ khả năng và công nghệ để phát hiện, xử lý nghiêm các hành vi trốn thuế. - HUMAN-ENF2]]</f>
        <v>8</v>
      </c>
      <c r="Y364" t="str">
        <f t="shared" si="139"/>
        <v>Support</v>
      </c>
      <c r="Z364" s="32">
        <f t="shared" si="140"/>
        <v>0</v>
      </c>
      <c r="AA364">
        <f>step3_validation[[#This Row],[AI_FAC1]]</f>
        <v>6</v>
      </c>
      <c r="AB364" t="str">
        <f t="shared" si="141"/>
        <v>Neutral</v>
      </c>
      <c r="AC364">
        <f>survey_responses[[#This Row],[Các thủ tục khai báo thuế VÀ/HOẶC quy trình làm việc với cơ quan thuế đơn giản, tiện lợi, nhanh chóng hơn so với trước đây. - HUMAN-FAC1]]</f>
        <v>5</v>
      </c>
      <c r="AD364" t="str">
        <f t="shared" si="142"/>
        <v>Neutral</v>
      </c>
      <c r="AE364" s="32">
        <f t="shared" si="143"/>
        <v>1</v>
      </c>
      <c r="AF364">
        <f>step3_validation[[#This Row],[AI_FAC2]]</f>
        <v>9</v>
      </c>
      <c r="AG364" t="str">
        <f t="shared" si="144"/>
        <v>Support</v>
      </c>
      <c r="AH364">
        <f>survey_responses[[#This Row],[So với trước đây, tôi thấy cách tính thuế và các bậc thuế trong phương án mới đơn giản, dễ hiểu và dễ thực hiện hơn. - HUMAN-FAC2]]</f>
        <v>7</v>
      </c>
      <c r="AI364" t="str">
        <f t="shared" si="145"/>
        <v>Neutral</v>
      </c>
      <c r="AJ364" s="32">
        <f t="shared" si="146"/>
        <v>2</v>
      </c>
      <c r="AK364">
        <f>step3_validation[[#This Row],[AI_TRU1]]</f>
        <v>8</v>
      </c>
      <c r="AL364" t="str">
        <f t="shared" si="147"/>
        <v>Support</v>
      </c>
      <c r="AM364">
        <f>survey_responses[[#This Row],[Tôi tin rằng Nhà nước, cơ quan thuế sẽ thực thi chính sách mới một cách khách quan, công tâm và đối xử bình đẳng với mọi người nộp thuế.  - HUMAN-TRU1]]</f>
        <v>5</v>
      </c>
      <c r="AN364" t="str">
        <f t="shared" si="148"/>
        <v>Neutral</v>
      </c>
      <c r="AO364" s="32">
        <f t="shared" si="149"/>
        <v>3</v>
      </c>
      <c r="AP364">
        <f>step3_validation[[#This Row],[AI_TRU2]]</f>
        <v>9</v>
      </c>
      <c r="AQ364" t="str">
        <f t="shared" si="150"/>
        <v>Support</v>
      </c>
      <c r="AR364">
        <f>survey_responses[[#This Row],[Tôi thấy mức thuế tôi phải đóng theo phương án mới là công bằng (người thu nhập như tôi đóng mức này là hợp lý). - HUMAN-TRU2]]</f>
        <v>8</v>
      </c>
      <c r="AS364" t="str">
        <f t="shared" si="151"/>
        <v>Support</v>
      </c>
      <c r="AT364" s="32">
        <f t="shared" si="152"/>
        <v>1</v>
      </c>
      <c r="AU364">
        <f>step3_validation[[#This Row],[AI_TRU3]]</f>
        <v>7</v>
      </c>
      <c r="AV364" t="str">
        <f t="shared" si="153"/>
        <v>Neutral</v>
      </c>
      <c r="AW364">
        <f>survey_responses[[#This Row],[Tôi tin tưởng số tiền thuế tôi đóng sẽ được Nhà nước sử dụng hiệu quả để cải thiện dịch vụ công (y tế, đường xá...). - HUMAN-TRU3]]</f>
        <v>5</v>
      </c>
      <c r="AX364" t="str">
        <f t="shared" si="154"/>
        <v>Neutral</v>
      </c>
      <c r="AY364" s="32">
        <f t="shared" si="155"/>
        <v>2</v>
      </c>
      <c r="AZ364">
        <f>step3_validation[[#This Row],[AI_TRU4]]</f>
        <v>8</v>
      </c>
      <c r="BA364" t="str">
        <f t="shared" si="156"/>
        <v>Support</v>
      </c>
      <c r="BB364">
        <f>survey_responses[[#This Row],[Tôi thấy Nhà nước đã giải thích rõ ràng, minh bạch về lý do và mục tiêu của việc sửa đổi thuế lần này. - HUMAN-TRU4]]</f>
        <v>7</v>
      </c>
      <c r="BC364" t="str">
        <f t="shared" si="157"/>
        <v>Neutral</v>
      </c>
      <c r="BD364" s="32">
        <f t="shared" si="158"/>
        <v>1</v>
      </c>
      <c r="BE364">
        <f>step3_validation[[#This Row],[AI_OUT1]]</f>
        <v>9</v>
      </c>
      <c r="BF364" t="str">
        <f t="shared" si="159"/>
        <v>Support</v>
      </c>
      <c r="BG364">
        <f>survey_responses[[#This Row],[Sau khi xem xét các quyền lợi và nghĩa vụ, bạn có ủng hộ và tuân thủ chính sách mới hiện nay? - HUMAN-OUT1]]</f>
        <v>8</v>
      </c>
      <c r="BH364" t="str">
        <f t="shared" si="160"/>
        <v>Support</v>
      </c>
      <c r="BI364" s="32">
        <f t="shared" si="161"/>
        <v>1</v>
      </c>
    </row>
    <row r="365" spans="1:61" x14ac:dyDescent="0.45">
      <c r="A365" s="30">
        <f>step3_validation[[#This Row],[Persona_ID]]</f>
        <v>364</v>
      </c>
      <c r="B365" s="31">
        <f>step3_validation[[#This Row],[Used_Seed]]</f>
        <v>364</v>
      </c>
      <c r="C365" t="str">
        <f>step3_validation[[#This Row],[Gender]]</f>
        <v>Nam</v>
      </c>
      <c r="D365" t="str">
        <f>survey_responses[[#This Row],[Giới tính của bạn:]]</f>
        <v>Nam</v>
      </c>
      <c r="E365" t="str">
        <f>step3_validation[[#This Row],[Age_Group]]</f>
        <v>30 - 39</v>
      </c>
      <c r="F365" t="str">
        <f>survey_responses[[#This Row],[Độ tuổi của bạn:]]</f>
        <v>30 - 39</v>
      </c>
      <c r="G365" t="str">
        <f>step3_validation[[#This Row],[Region]]</f>
        <v>Thành thị</v>
      </c>
      <c r="H365" t="str">
        <f>survey_responses[[#This Row],[Khu vực bạn đang sinh sống:]]</f>
        <v>Thành thị</v>
      </c>
      <c r="I365" t="str">
        <f>step3_validation[[#This Row],[Education]]</f>
        <v>Đại học</v>
      </c>
      <c r="J365" t="str">
        <f>survey_responses[[#This Row],[Trình độ học vấn cao nhất:]]</f>
        <v>Đại học</v>
      </c>
      <c r="K365" t="str">
        <f>step3_validation[[#This Row],[Employment]]</f>
        <v>Chính thức</v>
      </c>
      <c r="L365" t="str">
        <f>survey_responses[[#This Row],[Tình trạng việc làm chính:]]</f>
        <v>Khu vực chính thức (Có Hợp đồng lao động, đóng BHXH)</v>
      </c>
      <c r="M365">
        <f>step3_validation[[#This Row],[Income_Mil]]</f>
        <v>18.218581622984775</v>
      </c>
      <c r="N365" t="str">
        <f>survey_responses[[#This Row],[Thu nhập bình quân tháng theo Hợp đồng lao động của bạn là bao nhiêu? (Vui lòng điền tổng thu nhập trước khi khấu trừ các loại Bảo hiểm (BHXH, BHYT, BHTN) và Thuế TNCN)]]</f>
        <v>Từ 18 - 23 triệu VNĐ</v>
      </c>
      <c r="O365">
        <f>step3_validation[[#This Row],[Dependents]]</f>
        <v>1</v>
      </c>
      <c r="P365" t="str">
        <f>survey_responses[[#This Row],[Số người phụ thuộc (con nhỏ, cha mẹ già...) đủ điều kiện giảm trừ gia cảnh:]]</f>
        <v>1 người</v>
      </c>
      <c r="Q365">
        <f>step3_validation[[#This Row],[AI_ENF1]]</f>
        <v>6</v>
      </c>
      <c r="R365" t="str">
        <f t="shared" si="135"/>
        <v>Neutral</v>
      </c>
      <c r="S365">
        <f>survey_responses[[#This Row],[Tôi tin rằng với các quy định quản lý thuế hiện nay, hành vi gian lận hoặc trốn thuế sẽ dễ dàng bị phát hiện và xử lý nghiêm. - HUMAN-ENF1]]</f>
        <v>4</v>
      </c>
      <c r="T365" t="str">
        <f t="shared" si="136"/>
        <v>Oppose</v>
      </c>
      <c r="U365" s="32">
        <f t="shared" si="137"/>
        <v>2</v>
      </c>
      <c r="V365">
        <f>step3_validation[[#This Row],[AI_ENF2]]</f>
        <v>7</v>
      </c>
      <c r="W365" t="str">
        <f t="shared" si="138"/>
        <v>Neutral</v>
      </c>
      <c r="X365">
        <f>survey_responses[[#This Row],[Tôi tin rằng Nhà nước, cơ quan thuế có đủ khả năng và công nghệ để phát hiện, xử lý nghiêm các hành vi trốn thuế. - HUMAN-ENF2]]</f>
        <v>5</v>
      </c>
      <c r="Y365" t="str">
        <f t="shared" si="139"/>
        <v>Neutral</v>
      </c>
      <c r="Z365" s="32">
        <f t="shared" si="140"/>
        <v>2</v>
      </c>
      <c r="AA365">
        <f>step3_validation[[#This Row],[AI_FAC1]]</f>
        <v>8</v>
      </c>
      <c r="AB365" t="str">
        <f t="shared" si="141"/>
        <v>Support</v>
      </c>
      <c r="AC365">
        <f>survey_responses[[#This Row],[Các thủ tục khai báo thuế VÀ/HOẶC quy trình làm việc với cơ quan thuế đơn giản, tiện lợi, nhanh chóng hơn so với trước đây. - HUMAN-FAC1]]</f>
        <v>5</v>
      </c>
      <c r="AD365" t="str">
        <f t="shared" si="142"/>
        <v>Neutral</v>
      </c>
      <c r="AE365" s="32">
        <f t="shared" si="143"/>
        <v>3</v>
      </c>
      <c r="AF365">
        <f>step3_validation[[#This Row],[AI_FAC2]]</f>
        <v>9</v>
      </c>
      <c r="AG365" t="str">
        <f t="shared" si="144"/>
        <v>Support</v>
      </c>
      <c r="AH365">
        <f>survey_responses[[#This Row],[So với trước đây, tôi thấy cách tính thuế và các bậc thuế trong phương án mới đơn giản, dễ hiểu và dễ thực hiện hơn. - HUMAN-FAC2]]</f>
        <v>7</v>
      </c>
      <c r="AI365" t="str">
        <f t="shared" si="145"/>
        <v>Neutral</v>
      </c>
      <c r="AJ365" s="32">
        <f t="shared" si="146"/>
        <v>2</v>
      </c>
      <c r="AK365">
        <f>step3_validation[[#This Row],[AI_TRU1]]</f>
        <v>7</v>
      </c>
      <c r="AL365" t="str">
        <f t="shared" si="147"/>
        <v>Neutral</v>
      </c>
      <c r="AM365">
        <f>survey_responses[[#This Row],[Tôi tin rằng Nhà nước, cơ quan thuế sẽ thực thi chính sách mới một cách khách quan, công tâm và đối xử bình đẳng với mọi người nộp thuế.  - HUMAN-TRU1]]</f>
        <v>5</v>
      </c>
      <c r="AN365" t="str">
        <f t="shared" si="148"/>
        <v>Neutral</v>
      </c>
      <c r="AO365" s="32">
        <f t="shared" si="149"/>
        <v>2</v>
      </c>
      <c r="AP365">
        <f>step3_validation[[#This Row],[AI_TRU2]]</f>
        <v>9</v>
      </c>
      <c r="AQ365" t="str">
        <f t="shared" si="150"/>
        <v>Support</v>
      </c>
      <c r="AR365">
        <f>survey_responses[[#This Row],[Tôi thấy mức thuế tôi phải đóng theo phương án mới là công bằng (người thu nhập như tôi đóng mức này là hợp lý). - HUMAN-TRU2]]</f>
        <v>7</v>
      </c>
      <c r="AS365" t="str">
        <f t="shared" si="151"/>
        <v>Neutral</v>
      </c>
      <c r="AT365" s="32">
        <f t="shared" si="152"/>
        <v>2</v>
      </c>
      <c r="AU365">
        <f>step3_validation[[#This Row],[AI_TRU3]]</f>
        <v>7</v>
      </c>
      <c r="AV365" t="str">
        <f t="shared" si="153"/>
        <v>Neutral</v>
      </c>
      <c r="AW365">
        <f>survey_responses[[#This Row],[Tôi tin tưởng số tiền thuế tôi đóng sẽ được Nhà nước sử dụng hiệu quả để cải thiện dịch vụ công (y tế, đường xá...). - HUMAN-TRU3]]</f>
        <v>5</v>
      </c>
      <c r="AX365" t="str">
        <f t="shared" si="154"/>
        <v>Neutral</v>
      </c>
      <c r="AY365" s="32">
        <f t="shared" si="155"/>
        <v>2</v>
      </c>
      <c r="AZ365">
        <f>step3_validation[[#This Row],[AI_TRU4]]</f>
        <v>8</v>
      </c>
      <c r="BA365" t="str">
        <f t="shared" si="156"/>
        <v>Support</v>
      </c>
      <c r="BB365">
        <f>survey_responses[[#This Row],[Tôi thấy Nhà nước đã giải thích rõ ràng, minh bạch về lý do và mục tiêu của việc sửa đổi thuế lần này. - HUMAN-TRU4]]</f>
        <v>6</v>
      </c>
      <c r="BC365" t="str">
        <f t="shared" si="157"/>
        <v>Neutral</v>
      </c>
      <c r="BD365" s="32">
        <f t="shared" si="158"/>
        <v>2</v>
      </c>
      <c r="BE365">
        <f>step3_validation[[#This Row],[AI_OUT1]]</f>
        <v>9</v>
      </c>
      <c r="BF365" t="str">
        <f t="shared" si="159"/>
        <v>Support</v>
      </c>
      <c r="BG365">
        <f>survey_responses[[#This Row],[Sau khi xem xét các quyền lợi và nghĩa vụ, bạn có ủng hộ và tuân thủ chính sách mới hiện nay? - HUMAN-OUT1]]</f>
        <v>7</v>
      </c>
      <c r="BH365" t="str">
        <f t="shared" si="160"/>
        <v>Neutral</v>
      </c>
      <c r="BI365" s="32">
        <f t="shared" si="161"/>
        <v>2</v>
      </c>
    </row>
    <row r="366" spans="1:61" x14ac:dyDescent="0.45">
      <c r="A366" s="30">
        <f>step3_validation[[#This Row],[Persona_ID]]</f>
        <v>365</v>
      </c>
      <c r="B366" s="31">
        <f>step3_validation[[#This Row],[Used_Seed]]</f>
        <v>365</v>
      </c>
      <c r="C366" t="str">
        <f>step3_validation[[#This Row],[Gender]]</f>
        <v>Nữ</v>
      </c>
      <c r="D366" t="str">
        <f>survey_responses[[#This Row],[Giới tính của bạn:]]</f>
        <v>Nữ</v>
      </c>
      <c r="E366" t="str">
        <f>step3_validation[[#This Row],[Age_Group]]</f>
        <v>25 - 29</v>
      </c>
      <c r="F366" t="str">
        <f>survey_responses[[#This Row],[Độ tuổi của bạn:]]</f>
        <v>25 - 29</v>
      </c>
      <c r="G366" t="str">
        <f>step3_validation[[#This Row],[Region]]</f>
        <v>Thành thị</v>
      </c>
      <c r="H366" t="str">
        <f>survey_responses[[#This Row],[Khu vực bạn đang sinh sống:]]</f>
        <v>Thành thị</v>
      </c>
      <c r="I366" t="str">
        <f>step3_validation[[#This Row],[Education]]</f>
        <v>Đại học</v>
      </c>
      <c r="J366" t="str">
        <f>survey_responses[[#This Row],[Trình độ học vấn cao nhất:]]</f>
        <v>Đại học</v>
      </c>
      <c r="K366" t="str">
        <f>step3_validation[[#This Row],[Employment]]</f>
        <v>Chính thức</v>
      </c>
      <c r="L366" t="str">
        <f>survey_responses[[#This Row],[Tình trạng việc làm chính:]]</f>
        <v>Khu vực chính thức (Có Hợp đồng lao động, đóng BHXH)</v>
      </c>
      <c r="M366">
        <f>step3_validation[[#This Row],[Income_Mil]]</f>
        <v>43.387360062552752</v>
      </c>
      <c r="N366" t="str">
        <f>survey_responses[[#This Row],[Thu nhập bình quân tháng theo Hợp đồng lao động của bạn là bao nhiêu? (Vui lòng điền tổng thu nhập trước khi khấu trừ các loại Bảo hiểm (BHXH, BHYT, BHTN) và Thuế TNCN)]]</f>
        <v>Từ 32 - 48 triệu VNĐ</v>
      </c>
      <c r="O366">
        <f>step3_validation[[#This Row],[Dependents]]</f>
        <v>0</v>
      </c>
      <c r="P366" t="str">
        <f>survey_responses[[#This Row],[Số người phụ thuộc (con nhỏ, cha mẹ già...) đủ điều kiện giảm trừ gia cảnh:]]</f>
        <v>0 người</v>
      </c>
      <c r="Q366">
        <f>step3_validation[[#This Row],[AI_ENF1]]</f>
        <v>7</v>
      </c>
      <c r="R366" t="str">
        <f t="shared" si="135"/>
        <v>Neutral</v>
      </c>
      <c r="S366">
        <f>survey_responses[[#This Row],[Tôi tin rằng với các quy định quản lý thuế hiện nay, hành vi gian lận hoặc trốn thuế sẽ dễ dàng bị phát hiện và xử lý nghiêm. - HUMAN-ENF1]]</f>
        <v>9</v>
      </c>
      <c r="T366" t="str">
        <f t="shared" si="136"/>
        <v>Support</v>
      </c>
      <c r="U366" s="32">
        <f t="shared" si="137"/>
        <v>2</v>
      </c>
      <c r="V366">
        <f>step3_validation[[#This Row],[AI_ENF2]]</f>
        <v>8</v>
      </c>
      <c r="W366" t="str">
        <f t="shared" si="138"/>
        <v>Support</v>
      </c>
      <c r="X366">
        <f>survey_responses[[#This Row],[Tôi tin rằng Nhà nước, cơ quan thuế có đủ khả năng và công nghệ để phát hiện, xử lý nghiêm các hành vi trốn thuế. - HUMAN-ENF2]]</f>
        <v>9</v>
      </c>
      <c r="Y366" t="str">
        <f t="shared" si="139"/>
        <v>Support</v>
      </c>
      <c r="Z366" s="32">
        <f t="shared" si="140"/>
        <v>1</v>
      </c>
      <c r="AA366">
        <f>step3_validation[[#This Row],[AI_FAC1]]</f>
        <v>6</v>
      </c>
      <c r="AB366" t="str">
        <f t="shared" si="141"/>
        <v>Neutral</v>
      </c>
      <c r="AC366">
        <f>survey_responses[[#This Row],[Các thủ tục khai báo thuế VÀ/HOẶC quy trình làm việc với cơ quan thuế đơn giản, tiện lợi, nhanh chóng hơn so với trước đây. - HUMAN-FAC1]]</f>
        <v>8</v>
      </c>
      <c r="AD366" t="str">
        <f t="shared" si="142"/>
        <v>Support</v>
      </c>
      <c r="AE366" s="32">
        <f t="shared" si="143"/>
        <v>2</v>
      </c>
      <c r="AF366">
        <f>step3_validation[[#This Row],[AI_FAC2]]</f>
        <v>9</v>
      </c>
      <c r="AG366" t="str">
        <f t="shared" si="144"/>
        <v>Support</v>
      </c>
      <c r="AH366">
        <f>survey_responses[[#This Row],[So với trước đây, tôi thấy cách tính thuế và các bậc thuế trong phương án mới đơn giản, dễ hiểu và dễ thực hiện hơn. - HUMAN-FAC2]]</f>
        <v>9</v>
      </c>
      <c r="AI366" t="str">
        <f t="shared" si="145"/>
        <v>Support</v>
      </c>
      <c r="AJ366" s="32">
        <f t="shared" si="146"/>
        <v>0</v>
      </c>
      <c r="AK366">
        <f>step3_validation[[#This Row],[AI_TRU1]]</f>
        <v>6</v>
      </c>
      <c r="AL366" t="str">
        <f t="shared" si="147"/>
        <v>Neutral</v>
      </c>
      <c r="AM366">
        <f>survey_responses[[#This Row],[Tôi tin rằng Nhà nước, cơ quan thuế sẽ thực thi chính sách mới một cách khách quan, công tâm và đối xử bình đẳng với mọi người nộp thuế.  - HUMAN-TRU1]]</f>
        <v>9</v>
      </c>
      <c r="AN366" t="str">
        <f t="shared" si="148"/>
        <v>Support</v>
      </c>
      <c r="AO366" s="32">
        <f t="shared" si="149"/>
        <v>3</v>
      </c>
      <c r="AP366">
        <f>step3_validation[[#This Row],[AI_TRU2]]</f>
        <v>9</v>
      </c>
      <c r="AQ366" t="str">
        <f t="shared" si="150"/>
        <v>Support</v>
      </c>
      <c r="AR366">
        <f>survey_responses[[#This Row],[Tôi thấy mức thuế tôi phải đóng theo phương án mới là công bằng (người thu nhập như tôi đóng mức này là hợp lý). - HUMAN-TRU2]]</f>
        <v>7</v>
      </c>
      <c r="AS366" t="str">
        <f t="shared" si="151"/>
        <v>Neutral</v>
      </c>
      <c r="AT366" s="32">
        <f t="shared" si="152"/>
        <v>2</v>
      </c>
      <c r="AU366">
        <f>step3_validation[[#This Row],[AI_TRU3]]</f>
        <v>7</v>
      </c>
      <c r="AV366" t="str">
        <f t="shared" si="153"/>
        <v>Neutral</v>
      </c>
      <c r="AW366">
        <f>survey_responses[[#This Row],[Tôi tin tưởng số tiền thuế tôi đóng sẽ được Nhà nước sử dụng hiệu quả để cải thiện dịch vụ công (y tế, đường xá...). - HUMAN-TRU3]]</f>
        <v>7</v>
      </c>
      <c r="AX366" t="str">
        <f t="shared" si="154"/>
        <v>Neutral</v>
      </c>
      <c r="AY366" s="32">
        <f t="shared" si="155"/>
        <v>0</v>
      </c>
      <c r="AZ366">
        <f>step3_validation[[#This Row],[AI_TRU4]]</f>
        <v>6</v>
      </c>
      <c r="BA366" t="str">
        <f t="shared" si="156"/>
        <v>Neutral</v>
      </c>
      <c r="BB366">
        <f>survey_responses[[#This Row],[Tôi thấy Nhà nước đã giải thích rõ ràng, minh bạch về lý do và mục tiêu của việc sửa đổi thuế lần này. - HUMAN-TRU4]]</f>
        <v>7</v>
      </c>
      <c r="BC366" t="str">
        <f t="shared" si="157"/>
        <v>Neutral</v>
      </c>
      <c r="BD366" s="32">
        <f t="shared" si="158"/>
        <v>1</v>
      </c>
      <c r="BE366">
        <f>step3_validation[[#This Row],[AI_OUT1]]</f>
        <v>8</v>
      </c>
      <c r="BF366" t="str">
        <f t="shared" si="159"/>
        <v>Support</v>
      </c>
      <c r="BG366">
        <f>survey_responses[[#This Row],[Sau khi xem xét các quyền lợi và nghĩa vụ, bạn có ủng hộ và tuân thủ chính sách mới hiện nay? - HUMAN-OUT1]]</f>
        <v>7</v>
      </c>
      <c r="BH366" t="str">
        <f t="shared" si="160"/>
        <v>Neutral</v>
      </c>
      <c r="BI366" s="32">
        <f t="shared" si="161"/>
        <v>1</v>
      </c>
    </row>
    <row r="367" spans="1:61" x14ac:dyDescent="0.45">
      <c r="A367" s="30">
        <f>step3_validation[[#This Row],[Persona_ID]]</f>
        <v>366</v>
      </c>
      <c r="B367" s="31">
        <f>step3_validation[[#This Row],[Used_Seed]]</f>
        <v>366</v>
      </c>
      <c r="C367" t="str">
        <f>step3_validation[[#This Row],[Gender]]</f>
        <v>Nam</v>
      </c>
      <c r="D367" t="str">
        <f>survey_responses[[#This Row],[Giới tính của bạn:]]</f>
        <v>Nam</v>
      </c>
      <c r="E367" t="str">
        <f>step3_validation[[#This Row],[Age_Group]]</f>
        <v>30 - 39</v>
      </c>
      <c r="F367" t="str">
        <f>survey_responses[[#This Row],[Độ tuổi của bạn:]]</f>
        <v>30 - 39</v>
      </c>
      <c r="G367" t="str">
        <f>step3_validation[[#This Row],[Region]]</f>
        <v>Thành thị</v>
      </c>
      <c r="H367" t="str">
        <f>survey_responses[[#This Row],[Khu vực bạn đang sinh sống:]]</f>
        <v>Thành thị</v>
      </c>
      <c r="I367" t="str">
        <f>step3_validation[[#This Row],[Education]]</f>
        <v>Sau Đại học</v>
      </c>
      <c r="J367" t="str">
        <f>survey_responses[[#This Row],[Trình độ học vấn cao nhất:]]</f>
        <v>Sau Đại học</v>
      </c>
      <c r="K367" t="str">
        <f>step3_validation[[#This Row],[Employment]]</f>
        <v>Chính thức</v>
      </c>
      <c r="L367" t="str">
        <f>survey_responses[[#This Row],[Tình trạng việc làm chính:]]</f>
        <v>Khu vực chính thức (Có Hợp đồng lao động, đóng BHXH)</v>
      </c>
      <c r="M367">
        <f>step3_validation[[#This Row],[Income_Mil]]</f>
        <v>51.00939189960431</v>
      </c>
      <c r="N367" t="str">
        <f>survey_responses[[#This Row],[Thu nhập bình quân tháng theo Hợp đồng lao động của bạn là bao nhiêu? (Vui lòng điền tổng thu nhập trước khi khấu trừ các loại Bảo hiểm (BHXH, BHYT, BHTN) và Thuế TNCN)]]</f>
        <v>Từ 48 - 70 triệu VNĐ</v>
      </c>
      <c r="O367">
        <f>step3_validation[[#This Row],[Dependents]]</f>
        <v>1</v>
      </c>
      <c r="P367" t="str">
        <f>survey_responses[[#This Row],[Số người phụ thuộc (con nhỏ, cha mẹ già...) đủ điều kiện giảm trừ gia cảnh:]]</f>
        <v>1 người</v>
      </c>
      <c r="Q367">
        <f>step3_validation[[#This Row],[AI_ENF1]]</f>
        <v>7</v>
      </c>
      <c r="R367" t="str">
        <f t="shared" si="135"/>
        <v>Neutral</v>
      </c>
      <c r="S367">
        <f>survey_responses[[#This Row],[Tôi tin rằng với các quy định quản lý thuế hiện nay, hành vi gian lận hoặc trốn thuế sẽ dễ dàng bị phát hiện và xử lý nghiêm. - HUMAN-ENF1]]</f>
        <v>7</v>
      </c>
      <c r="T367" t="str">
        <f t="shared" si="136"/>
        <v>Neutral</v>
      </c>
      <c r="U367" s="32">
        <f t="shared" si="137"/>
        <v>0</v>
      </c>
      <c r="V367">
        <f>step3_validation[[#This Row],[AI_ENF2]]</f>
        <v>6</v>
      </c>
      <c r="W367" t="str">
        <f t="shared" si="138"/>
        <v>Neutral</v>
      </c>
      <c r="X367">
        <f>survey_responses[[#This Row],[Tôi tin rằng Nhà nước, cơ quan thuế có đủ khả năng và công nghệ để phát hiện, xử lý nghiêm các hành vi trốn thuế. - HUMAN-ENF2]]</f>
        <v>8</v>
      </c>
      <c r="Y367" t="str">
        <f t="shared" si="139"/>
        <v>Support</v>
      </c>
      <c r="Z367" s="32">
        <f t="shared" si="140"/>
        <v>2</v>
      </c>
      <c r="AA367">
        <f>step3_validation[[#This Row],[AI_FAC1]]</f>
        <v>8</v>
      </c>
      <c r="AB367" t="str">
        <f t="shared" si="141"/>
        <v>Support</v>
      </c>
      <c r="AC367">
        <f>survey_responses[[#This Row],[Các thủ tục khai báo thuế VÀ/HOẶC quy trình làm việc với cơ quan thuế đơn giản, tiện lợi, nhanh chóng hơn so với trước đây. - HUMAN-FAC1]]</f>
        <v>8</v>
      </c>
      <c r="AD367" t="str">
        <f t="shared" si="142"/>
        <v>Support</v>
      </c>
      <c r="AE367" s="32">
        <f t="shared" si="143"/>
        <v>0</v>
      </c>
      <c r="AF367">
        <f>step3_validation[[#This Row],[AI_FAC2]]</f>
        <v>9</v>
      </c>
      <c r="AG367" t="str">
        <f t="shared" si="144"/>
        <v>Support</v>
      </c>
      <c r="AH367">
        <f>survey_responses[[#This Row],[So với trước đây, tôi thấy cách tính thuế và các bậc thuế trong phương án mới đơn giản, dễ hiểu và dễ thực hiện hơn. - HUMAN-FAC2]]</f>
        <v>8</v>
      </c>
      <c r="AI367" t="str">
        <f t="shared" si="145"/>
        <v>Support</v>
      </c>
      <c r="AJ367" s="32">
        <f t="shared" si="146"/>
        <v>1</v>
      </c>
      <c r="AK367">
        <f>step3_validation[[#This Row],[AI_TRU1]]</f>
        <v>7</v>
      </c>
      <c r="AL367" t="str">
        <f t="shared" si="147"/>
        <v>Neutral</v>
      </c>
      <c r="AM367">
        <f>survey_responses[[#This Row],[Tôi tin rằng Nhà nước, cơ quan thuế sẽ thực thi chính sách mới một cách khách quan, công tâm và đối xử bình đẳng với mọi người nộp thuế.  - HUMAN-TRU1]]</f>
        <v>5</v>
      </c>
      <c r="AN367" t="str">
        <f t="shared" si="148"/>
        <v>Neutral</v>
      </c>
      <c r="AO367" s="32">
        <f t="shared" si="149"/>
        <v>2</v>
      </c>
      <c r="AP367">
        <f>step3_validation[[#This Row],[AI_TRU2]]</f>
        <v>9</v>
      </c>
      <c r="AQ367" t="str">
        <f t="shared" si="150"/>
        <v>Support</v>
      </c>
      <c r="AR367">
        <f>survey_responses[[#This Row],[Tôi thấy mức thuế tôi phải đóng theo phương án mới là công bằng (người thu nhập như tôi đóng mức này là hợp lý). - HUMAN-TRU2]]</f>
        <v>6</v>
      </c>
      <c r="AS367" t="str">
        <f t="shared" si="151"/>
        <v>Neutral</v>
      </c>
      <c r="AT367" s="32">
        <f t="shared" si="152"/>
        <v>3</v>
      </c>
      <c r="AU367">
        <f>step3_validation[[#This Row],[AI_TRU3]]</f>
        <v>7</v>
      </c>
      <c r="AV367" t="str">
        <f t="shared" si="153"/>
        <v>Neutral</v>
      </c>
      <c r="AW367">
        <f>survey_responses[[#This Row],[Tôi tin tưởng số tiền thuế tôi đóng sẽ được Nhà nước sử dụng hiệu quả để cải thiện dịch vụ công (y tế, đường xá...). - HUMAN-TRU3]]</f>
        <v>5</v>
      </c>
      <c r="AX367" t="str">
        <f t="shared" si="154"/>
        <v>Neutral</v>
      </c>
      <c r="AY367" s="32">
        <f t="shared" si="155"/>
        <v>2</v>
      </c>
      <c r="AZ367">
        <f>step3_validation[[#This Row],[AI_TRU4]]</f>
        <v>8</v>
      </c>
      <c r="BA367" t="str">
        <f t="shared" si="156"/>
        <v>Support</v>
      </c>
      <c r="BB367">
        <f>survey_responses[[#This Row],[Tôi thấy Nhà nước đã giải thích rõ ràng, minh bạch về lý do và mục tiêu của việc sửa đổi thuế lần này. - HUMAN-TRU4]]</f>
        <v>6</v>
      </c>
      <c r="BC367" t="str">
        <f t="shared" si="157"/>
        <v>Neutral</v>
      </c>
      <c r="BD367" s="32">
        <f t="shared" si="158"/>
        <v>2</v>
      </c>
      <c r="BE367">
        <f>step3_validation[[#This Row],[AI_OUT1]]</f>
        <v>9</v>
      </c>
      <c r="BF367" t="str">
        <f t="shared" si="159"/>
        <v>Support</v>
      </c>
      <c r="BG367">
        <f>survey_responses[[#This Row],[Sau khi xem xét các quyền lợi và nghĩa vụ, bạn có ủng hộ và tuân thủ chính sách mới hiện nay? - HUMAN-OUT1]]</f>
        <v>6</v>
      </c>
      <c r="BH367" t="str">
        <f t="shared" si="160"/>
        <v>Neutral</v>
      </c>
      <c r="BI367" s="32">
        <f t="shared" si="161"/>
        <v>3</v>
      </c>
    </row>
    <row r="368" spans="1:61" x14ac:dyDescent="0.45">
      <c r="A368" s="30">
        <f>step3_validation[[#This Row],[Persona_ID]]</f>
        <v>367</v>
      </c>
      <c r="B368" s="31">
        <f>step3_validation[[#This Row],[Used_Seed]]</f>
        <v>367</v>
      </c>
      <c r="C368" t="str">
        <f>step3_validation[[#This Row],[Gender]]</f>
        <v>Nữ</v>
      </c>
      <c r="D368" t="str">
        <f>survey_responses[[#This Row],[Giới tính của bạn:]]</f>
        <v>Nữ</v>
      </c>
      <c r="E368" t="str">
        <f>step3_validation[[#This Row],[Age_Group]]</f>
        <v>18 - 24</v>
      </c>
      <c r="F368" t="str">
        <f>survey_responses[[#This Row],[Độ tuổi của bạn:]]</f>
        <v>18 - 24</v>
      </c>
      <c r="G368" t="str">
        <f>step3_validation[[#This Row],[Region]]</f>
        <v>Thành thị</v>
      </c>
      <c r="H368" t="str">
        <f>survey_responses[[#This Row],[Khu vực bạn đang sinh sống:]]</f>
        <v>Thành thị</v>
      </c>
      <c r="I368" t="str">
        <f>step3_validation[[#This Row],[Education]]</f>
        <v>Đại học</v>
      </c>
      <c r="J368" t="str">
        <f>survey_responses[[#This Row],[Trình độ học vấn cao nhất:]]</f>
        <v>Đại học</v>
      </c>
      <c r="K368" t="str">
        <f>step3_validation[[#This Row],[Employment]]</f>
        <v>Chính thức</v>
      </c>
      <c r="L368" t="str">
        <f>survey_responses[[#This Row],[Tình trạng việc làm chính:]]</f>
        <v>Khu vực chính thức (Có Hợp đồng lao động, đóng BHXH)</v>
      </c>
      <c r="M368">
        <f>step3_validation[[#This Row],[Income_Mil]]</f>
        <v>13.869246781267227</v>
      </c>
      <c r="N368" t="str">
        <f>survey_responses[[#This Row],[Thu nhập bình quân tháng theo Hợp đồng lao động của bạn là bao nhiêu? (Vui lòng điền tổng thu nhập trước khi khấu trừ các loại Bảo hiểm (BHXH, BHYT, BHTN) và Thuế TNCN)]]</f>
        <v>Từ 12 - 18 triệu VNĐ</v>
      </c>
      <c r="O368">
        <f>step3_validation[[#This Row],[Dependents]]</f>
        <v>0</v>
      </c>
      <c r="P368" t="str">
        <f>survey_responses[[#This Row],[Số người phụ thuộc (con nhỏ, cha mẹ già...) đủ điều kiện giảm trừ gia cảnh:]]</f>
        <v>0 người</v>
      </c>
      <c r="Q368">
        <f>step3_validation[[#This Row],[AI_ENF1]]</f>
        <v>8</v>
      </c>
      <c r="R368" t="str">
        <f t="shared" si="135"/>
        <v>Support</v>
      </c>
      <c r="S368">
        <f>survey_responses[[#This Row],[Tôi tin rằng với các quy định quản lý thuế hiện nay, hành vi gian lận hoặc trốn thuế sẽ dễ dàng bị phát hiện và xử lý nghiêm. - HUMAN-ENF1]]</f>
        <v>8</v>
      </c>
      <c r="T368" t="str">
        <f t="shared" si="136"/>
        <v>Support</v>
      </c>
      <c r="U368" s="32">
        <f t="shared" si="137"/>
        <v>0</v>
      </c>
      <c r="V368">
        <f>step3_validation[[#This Row],[AI_ENF2]]</f>
        <v>7</v>
      </c>
      <c r="W368" t="str">
        <f t="shared" si="138"/>
        <v>Neutral</v>
      </c>
      <c r="X368">
        <f>survey_responses[[#This Row],[Tôi tin rằng Nhà nước, cơ quan thuế có đủ khả năng và công nghệ để phát hiện, xử lý nghiêm các hành vi trốn thuế. - HUMAN-ENF2]]</f>
        <v>9</v>
      </c>
      <c r="Y368" t="str">
        <f t="shared" si="139"/>
        <v>Support</v>
      </c>
      <c r="Z368" s="32">
        <f t="shared" si="140"/>
        <v>2</v>
      </c>
      <c r="AA368">
        <f>step3_validation[[#This Row],[AI_FAC1]]</f>
        <v>6</v>
      </c>
      <c r="AB368" t="str">
        <f t="shared" si="141"/>
        <v>Neutral</v>
      </c>
      <c r="AC368">
        <f>survey_responses[[#This Row],[Các thủ tục khai báo thuế VÀ/HOẶC quy trình làm việc với cơ quan thuế đơn giản, tiện lợi, nhanh chóng hơn so với trước đây. - HUMAN-FAC1]]</f>
        <v>8</v>
      </c>
      <c r="AD368" t="str">
        <f t="shared" si="142"/>
        <v>Support</v>
      </c>
      <c r="AE368" s="32">
        <f t="shared" si="143"/>
        <v>2</v>
      </c>
      <c r="AF368">
        <f>step3_validation[[#This Row],[AI_FAC2]]</f>
        <v>9</v>
      </c>
      <c r="AG368" t="str">
        <f t="shared" si="144"/>
        <v>Support</v>
      </c>
      <c r="AH368">
        <f>survey_responses[[#This Row],[So với trước đây, tôi thấy cách tính thuế và các bậc thuế trong phương án mới đơn giản, dễ hiểu và dễ thực hiện hơn. - HUMAN-FAC2]]</f>
        <v>8</v>
      </c>
      <c r="AI368" t="str">
        <f t="shared" si="145"/>
        <v>Support</v>
      </c>
      <c r="AJ368" s="32">
        <f t="shared" si="146"/>
        <v>1</v>
      </c>
      <c r="AK368">
        <f>step3_validation[[#This Row],[AI_TRU1]]</f>
        <v>8</v>
      </c>
      <c r="AL368" t="str">
        <f t="shared" si="147"/>
        <v>Support</v>
      </c>
      <c r="AM368">
        <f>survey_responses[[#This Row],[Tôi tin rằng Nhà nước, cơ quan thuế sẽ thực thi chính sách mới một cách khách quan, công tâm và đối xử bình đẳng với mọi người nộp thuế.  - HUMAN-TRU1]]</f>
        <v>9</v>
      </c>
      <c r="AN368" t="str">
        <f t="shared" si="148"/>
        <v>Support</v>
      </c>
      <c r="AO368" s="32">
        <f t="shared" si="149"/>
        <v>1</v>
      </c>
      <c r="AP368">
        <f>step3_validation[[#This Row],[AI_TRU2]]</f>
        <v>9</v>
      </c>
      <c r="AQ368" t="str">
        <f t="shared" si="150"/>
        <v>Support</v>
      </c>
      <c r="AR368">
        <f>survey_responses[[#This Row],[Tôi thấy mức thuế tôi phải đóng theo phương án mới là công bằng (người thu nhập như tôi đóng mức này là hợp lý). - HUMAN-TRU2]]</f>
        <v>10</v>
      </c>
      <c r="AS368" t="str">
        <f t="shared" si="151"/>
        <v>Support</v>
      </c>
      <c r="AT368" s="32">
        <f t="shared" si="152"/>
        <v>1</v>
      </c>
      <c r="AU368">
        <f>step3_validation[[#This Row],[AI_TRU3]]</f>
        <v>8</v>
      </c>
      <c r="AV368" t="str">
        <f t="shared" si="153"/>
        <v>Support</v>
      </c>
      <c r="AW368">
        <f>survey_responses[[#This Row],[Tôi tin tưởng số tiền thuế tôi đóng sẽ được Nhà nước sử dụng hiệu quả để cải thiện dịch vụ công (y tế, đường xá...). - HUMAN-TRU3]]</f>
        <v>10</v>
      </c>
      <c r="AX368" t="str">
        <f t="shared" si="154"/>
        <v>Support</v>
      </c>
      <c r="AY368" s="32">
        <f t="shared" si="155"/>
        <v>2</v>
      </c>
      <c r="AZ368">
        <f>step3_validation[[#This Row],[AI_TRU4]]</f>
        <v>7</v>
      </c>
      <c r="BA368" t="str">
        <f t="shared" si="156"/>
        <v>Neutral</v>
      </c>
      <c r="BB368">
        <f>survey_responses[[#This Row],[Tôi thấy Nhà nước đã giải thích rõ ràng, minh bạch về lý do và mục tiêu của việc sửa đổi thuế lần này. - HUMAN-TRU4]]</f>
        <v>9</v>
      </c>
      <c r="BC368" t="str">
        <f t="shared" si="157"/>
        <v>Support</v>
      </c>
      <c r="BD368" s="32">
        <f t="shared" si="158"/>
        <v>2</v>
      </c>
      <c r="BE368">
        <f>step3_validation[[#This Row],[AI_OUT1]]</f>
        <v>9</v>
      </c>
      <c r="BF368" t="str">
        <f t="shared" si="159"/>
        <v>Support</v>
      </c>
      <c r="BG368">
        <f>survey_responses[[#This Row],[Sau khi xem xét các quyền lợi và nghĩa vụ, bạn có ủng hộ và tuân thủ chính sách mới hiện nay? - HUMAN-OUT1]]</f>
        <v>10</v>
      </c>
      <c r="BH368" t="str">
        <f t="shared" si="160"/>
        <v>Support</v>
      </c>
      <c r="BI368" s="32">
        <f t="shared" si="161"/>
        <v>1</v>
      </c>
    </row>
    <row r="369" spans="1:61" x14ac:dyDescent="0.45">
      <c r="A369" s="30">
        <f>step3_validation[[#This Row],[Persona_ID]]</f>
        <v>368</v>
      </c>
      <c r="B369" s="31">
        <f>step3_validation[[#This Row],[Used_Seed]]</f>
        <v>368</v>
      </c>
      <c r="C369" t="str">
        <f>step3_validation[[#This Row],[Gender]]</f>
        <v>Nữ</v>
      </c>
      <c r="D369" t="str">
        <f>survey_responses[[#This Row],[Giới tính của bạn:]]</f>
        <v>Nữ</v>
      </c>
      <c r="E369" t="str">
        <f>step3_validation[[#This Row],[Age_Group]]</f>
        <v>25 - 29</v>
      </c>
      <c r="F369" t="str">
        <f>survey_responses[[#This Row],[Độ tuổi của bạn:]]</f>
        <v>25 - 29</v>
      </c>
      <c r="G369" t="str">
        <f>step3_validation[[#This Row],[Region]]</f>
        <v>Thành thị</v>
      </c>
      <c r="H369" t="str">
        <f>survey_responses[[#This Row],[Khu vực bạn đang sinh sống:]]</f>
        <v>Thành thị</v>
      </c>
      <c r="I369" t="str">
        <f>step3_validation[[#This Row],[Education]]</f>
        <v>Sau Đại học</v>
      </c>
      <c r="J369" t="str">
        <f>survey_responses[[#This Row],[Trình độ học vấn cao nhất:]]</f>
        <v>Sau Đại học</v>
      </c>
      <c r="K369" t="str">
        <f>step3_validation[[#This Row],[Employment]]</f>
        <v>Chính thức</v>
      </c>
      <c r="L369" t="str">
        <f>survey_responses[[#This Row],[Tình trạng việc làm chính:]]</f>
        <v>Khu vực chính thức (Có Hợp đồng lao động, đóng BHXH)</v>
      </c>
      <c r="M369">
        <f>step3_validation[[#This Row],[Income_Mil]]</f>
        <v>25.600859286249054</v>
      </c>
      <c r="N369" t="str">
        <f>survey_responses[[#This Row],[Thu nhập bình quân tháng theo Hợp đồng lao động của bạn là bao nhiêu? (Vui lòng điền tổng thu nhập trước khi khấu trừ các loại Bảo hiểm (BHXH, BHYT, BHTN) và Thuế TNCN)]]</f>
        <v>Từ 23 - 32 triệu VNĐ</v>
      </c>
      <c r="O369">
        <f>step3_validation[[#This Row],[Dependents]]</f>
        <v>2</v>
      </c>
      <c r="P369" t="str">
        <f>survey_responses[[#This Row],[Số người phụ thuộc (con nhỏ, cha mẹ già...) đủ điều kiện giảm trừ gia cảnh:]]</f>
        <v>2 người</v>
      </c>
      <c r="Q369">
        <f>step3_validation[[#This Row],[AI_ENF1]]</f>
        <v>6</v>
      </c>
      <c r="R369" t="str">
        <f t="shared" si="135"/>
        <v>Neutral</v>
      </c>
      <c r="S369">
        <f>survey_responses[[#This Row],[Tôi tin rằng với các quy định quản lý thuế hiện nay, hành vi gian lận hoặc trốn thuế sẽ dễ dàng bị phát hiện và xử lý nghiêm. - HUMAN-ENF1]]</f>
        <v>7</v>
      </c>
      <c r="T369" t="str">
        <f t="shared" si="136"/>
        <v>Neutral</v>
      </c>
      <c r="U369" s="32">
        <f t="shared" si="137"/>
        <v>1</v>
      </c>
      <c r="V369">
        <f>step3_validation[[#This Row],[AI_ENF2]]</f>
        <v>7</v>
      </c>
      <c r="W369" t="str">
        <f t="shared" si="138"/>
        <v>Neutral</v>
      </c>
      <c r="X369">
        <f>survey_responses[[#This Row],[Tôi tin rằng Nhà nước, cơ quan thuế có đủ khả năng và công nghệ để phát hiện, xử lý nghiêm các hành vi trốn thuế. - HUMAN-ENF2]]</f>
        <v>7</v>
      </c>
      <c r="Y369" t="str">
        <f t="shared" si="139"/>
        <v>Neutral</v>
      </c>
      <c r="Z369" s="32">
        <f t="shared" si="140"/>
        <v>0</v>
      </c>
      <c r="AA369">
        <f>step3_validation[[#This Row],[AI_FAC1]]</f>
        <v>8</v>
      </c>
      <c r="AB369" t="str">
        <f t="shared" si="141"/>
        <v>Support</v>
      </c>
      <c r="AC369">
        <f>survey_responses[[#This Row],[Các thủ tục khai báo thuế VÀ/HOẶC quy trình làm việc với cơ quan thuế đơn giản, tiện lợi, nhanh chóng hơn so với trước đây. - HUMAN-FAC1]]</f>
        <v>8</v>
      </c>
      <c r="AD369" t="str">
        <f t="shared" si="142"/>
        <v>Support</v>
      </c>
      <c r="AE369" s="32">
        <f t="shared" si="143"/>
        <v>0</v>
      </c>
      <c r="AF369">
        <f>step3_validation[[#This Row],[AI_FAC2]]</f>
        <v>9</v>
      </c>
      <c r="AG369" t="str">
        <f t="shared" si="144"/>
        <v>Support</v>
      </c>
      <c r="AH369">
        <f>survey_responses[[#This Row],[So với trước đây, tôi thấy cách tính thuế và các bậc thuế trong phương án mới đơn giản, dễ hiểu và dễ thực hiện hơn. - HUMAN-FAC2]]</f>
        <v>8</v>
      </c>
      <c r="AI369" t="str">
        <f t="shared" si="145"/>
        <v>Support</v>
      </c>
      <c r="AJ369" s="32">
        <f t="shared" si="146"/>
        <v>1</v>
      </c>
      <c r="AK369">
        <f>step3_validation[[#This Row],[AI_TRU1]]</f>
        <v>8</v>
      </c>
      <c r="AL369" t="str">
        <f t="shared" si="147"/>
        <v>Support</v>
      </c>
      <c r="AM369">
        <f>survey_responses[[#This Row],[Tôi tin rằng Nhà nước, cơ quan thuế sẽ thực thi chính sách mới một cách khách quan, công tâm và đối xử bình đẳng với mọi người nộp thuế.  - HUMAN-TRU1]]</f>
        <v>6</v>
      </c>
      <c r="AN369" t="str">
        <f t="shared" si="148"/>
        <v>Neutral</v>
      </c>
      <c r="AO369" s="32">
        <f t="shared" si="149"/>
        <v>2</v>
      </c>
      <c r="AP369">
        <f>step3_validation[[#This Row],[AI_TRU2]]</f>
        <v>9</v>
      </c>
      <c r="AQ369" t="str">
        <f t="shared" si="150"/>
        <v>Support</v>
      </c>
      <c r="AR369">
        <f>survey_responses[[#This Row],[Tôi thấy mức thuế tôi phải đóng theo phương án mới là công bằng (người thu nhập như tôi đóng mức này là hợp lý). - HUMAN-TRU2]]</f>
        <v>8</v>
      </c>
      <c r="AS369" t="str">
        <f t="shared" si="151"/>
        <v>Support</v>
      </c>
      <c r="AT369" s="32">
        <f t="shared" si="152"/>
        <v>1</v>
      </c>
      <c r="AU369">
        <f>step3_validation[[#This Row],[AI_TRU3]]</f>
        <v>7</v>
      </c>
      <c r="AV369" t="str">
        <f t="shared" si="153"/>
        <v>Neutral</v>
      </c>
      <c r="AW369">
        <f>survey_responses[[#This Row],[Tôi tin tưởng số tiền thuế tôi đóng sẽ được Nhà nước sử dụng hiệu quả để cải thiện dịch vụ công (y tế, đường xá...). - HUMAN-TRU3]]</f>
        <v>6</v>
      </c>
      <c r="AX369" t="str">
        <f t="shared" si="154"/>
        <v>Neutral</v>
      </c>
      <c r="AY369" s="32">
        <f t="shared" si="155"/>
        <v>1</v>
      </c>
      <c r="AZ369">
        <f>step3_validation[[#This Row],[AI_TRU4]]</f>
        <v>6</v>
      </c>
      <c r="BA369" t="str">
        <f t="shared" si="156"/>
        <v>Neutral</v>
      </c>
      <c r="BB369">
        <f>survey_responses[[#This Row],[Tôi thấy Nhà nước đã giải thích rõ ràng, minh bạch về lý do và mục tiêu của việc sửa đổi thuế lần này. - HUMAN-TRU4]]</f>
        <v>7</v>
      </c>
      <c r="BC369" t="str">
        <f t="shared" si="157"/>
        <v>Neutral</v>
      </c>
      <c r="BD369" s="32">
        <f t="shared" si="158"/>
        <v>1</v>
      </c>
      <c r="BE369">
        <f>step3_validation[[#This Row],[AI_OUT1]]</f>
        <v>9</v>
      </c>
      <c r="BF369" t="str">
        <f t="shared" si="159"/>
        <v>Support</v>
      </c>
      <c r="BG369">
        <f>survey_responses[[#This Row],[Sau khi xem xét các quyền lợi và nghĩa vụ, bạn có ủng hộ và tuân thủ chính sách mới hiện nay? - HUMAN-OUT1]]</f>
        <v>8</v>
      </c>
      <c r="BH369" t="str">
        <f t="shared" si="160"/>
        <v>Support</v>
      </c>
      <c r="BI369" s="32">
        <f t="shared" si="161"/>
        <v>1</v>
      </c>
    </row>
    <row r="370" spans="1:61" x14ac:dyDescent="0.45">
      <c r="A370" s="30">
        <f>step3_validation[[#This Row],[Persona_ID]]</f>
        <v>369</v>
      </c>
      <c r="B370" s="31">
        <f>step3_validation[[#This Row],[Used_Seed]]</f>
        <v>369</v>
      </c>
      <c r="C370" t="str">
        <f>step3_validation[[#This Row],[Gender]]</f>
        <v>Nam</v>
      </c>
      <c r="D370" t="str">
        <f>survey_responses[[#This Row],[Giới tính của bạn:]]</f>
        <v>Nam</v>
      </c>
      <c r="E370" t="str">
        <f>step3_validation[[#This Row],[Age_Group]]</f>
        <v>25 - 29</v>
      </c>
      <c r="F370" t="str">
        <f>survey_responses[[#This Row],[Độ tuổi của bạn:]]</f>
        <v>25 - 29</v>
      </c>
      <c r="G370" t="str">
        <f>step3_validation[[#This Row],[Region]]</f>
        <v>Thành thị</v>
      </c>
      <c r="H370" t="str">
        <f>survey_responses[[#This Row],[Khu vực bạn đang sinh sống:]]</f>
        <v>Thành thị</v>
      </c>
      <c r="I370" t="str">
        <f>step3_validation[[#This Row],[Education]]</f>
        <v>Đại học</v>
      </c>
      <c r="J370" t="str">
        <f>survey_responses[[#This Row],[Trình độ học vấn cao nhất:]]</f>
        <v>Đại học</v>
      </c>
      <c r="K370" t="str">
        <f>step3_validation[[#This Row],[Employment]]</f>
        <v>Chính thức</v>
      </c>
      <c r="L370" t="str">
        <f>survey_responses[[#This Row],[Tình trạng việc làm chính:]]</f>
        <v>Khu vực chính thức (Có Hợp đồng lao động, đóng BHXH)</v>
      </c>
      <c r="M370">
        <f>step3_validation[[#This Row],[Income_Mil]]</f>
        <v>15.991197944581327</v>
      </c>
      <c r="N370" t="str">
        <f>survey_responses[[#This Row],[Thu nhập bình quân tháng theo Hợp đồng lao động của bạn là bao nhiêu? (Vui lòng điền tổng thu nhập trước khi khấu trừ các loại Bảo hiểm (BHXH, BHYT, BHTN) và Thuế TNCN)]]</f>
        <v>Từ 12 - 18 triệu VNĐ</v>
      </c>
      <c r="O370">
        <f>step3_validation[[#This Row],[Dependents]]</f>
        <v>0</v>
      </c>
      <c r="P370" t="str">
        <f>survey_responses[[#This Row],[Số người phụ thuộc (con nhỏ, cha mẹ già...) đủ điều kiện giảm trừ gia cảnh:]]</f>
        <v>0 người</v>
      </c>
      <c r="Q370">
        <f>step3_validation[[#This Row],[AI_ENF1]]</f>
        <v>7</v>
      </c>
      <c r="R370" t="str">
        <f t="shared" si="135"/>
        <v>Neutral</v>
      </c>
      <c r="S370">
        <f>survey_responses[[#This Row],[Tôi tin rằng với các quy định quản lý thuế hiện nay, hành vi gian lận hoặc trốn thuế sẽ dễ dàng bị phát hiện và xử lý nghiêm. - HUMAN-ENF1]]</f>
        <v>6</v>
      </c>
      <c r="T370" t="str">
        <f t="shared" si="136"/>
        <v>Neutral</v>
      </c>
      <c r="U370" s="32">
        <f t="shared" si="137"/>
        <v>1</v>
      </c>
      <c r="V370">
        <f>step3_validation[[#This Row],[AI_ENF2]]</f>
        <v>8</v>
      </c>
      <c r="W370" t="str">
        <f t="shared" si="138"/>
        <v>Support</v>
      </c>
      <c r="X370">
        <f>survey_responses[[#This Row],[Tôi tin rằng Nhà nước, cơ quan thuế có đủ khả năng và công nghệ để phát hiện, xử lý nghiêm các hành vi trốn thuế. - HUMAN-ENF2]]</f>
        <v>6</v>
      </c>
      <c r="Y370" t="str">
        <f t="shared" si="139"/>
        <v>Neutral</v>
      </c>
      <c r="Z370" s="32">
        <f t="shared" si="140"/>
        <v>2</v>
      </c>
      <c r="AA370">
        <f>step3_validation[[#This Row],[AI_FAC1]]</f>
        <v>7</v>
      </c>
      <c r="AB370" t="str">
        <f t="shared" si="141"/>
        <v>Neutral</v>
      </c>
      <c r="AC370">
        <f>survey_responses[[#This Row],[Các thủ tục khai báo thuế VÀ/HOẶC quy trình làm việc với cơ quan thuế đơn giản, tiện lợi, nhanh chóng hơn so với trước đây. - HUMAN-FAC1]]</f>
        <v>8</v>
      </c>
      <c r="AD370" t="str">
        <f t="shared" si="142"/>
        <v>Support</v>
      </c>
      <c r="AE370" s="32">
        <f t="shared" si="143"/>
        <v>1</v>
      </c>
      <c r="AF370">
        <f>step3_validation[[#This Row],[AI_FAC2]]</f>
        <v>9</v>
      </c>
      <c r="AG370" t="str">
        <f t="shared" si="144"/>
        <v>Support</v>
      </c>
      <c r="AH370">
        <f>survey_responses[[#This Row],[So với trước đây, tôi thấy cách tính thuế và các bậc thuế trong phương án mới đơn giản, dễ hiểu và dễ thực hiện hơn. - HUMAN-FAC2]]</f>
        <v>9</v>
      </c>
      <c r="AI370" t="str">
        <f t="shared" si="145"/>
        <v>Support</v>
      </c>
      <c r="AJ370" s="32">
        <f t="shared" si="146"/>
        <v>0</v>
      </c>
      <c r="AK370">
        <f>step3_validation[[#This Row],[AI_TRU1]]</f>
        <v>6</v>
      </c>
      <c r="AL370" t="str">
        <f t="shared" si="147"/>
        <v>Neutral</v>
      </c>
      <c r="AM370">
        <f>survey_responses[[#This Row],[Tôi tin rằng Nhà nước, cơ quan thuế sẽ thực thi chính sách mới một cách khách quan, công tâm và đối xử bình đẳng với mọi người nộp thuế.  - HUMAN-TRU1]]</f>
        <v>8</v>
      </c>
      <c r="AN370" t="str">
        <f t="shared" si="148"/>
        <v>Support</v>
      </c>
      <c r="AO370" s="32">
        <f t="shared" si="149"/>
        <v>2</v>
      </c>
      <c r="AP370">
        <f>step3_validation[[#This Row],[AI_TRU2]]</f>
        <v>8</v>
      </c>
      <c r="AQ370" t="str">
        <f t="shared" si="150"/>
        <v>Support</v>
      </c>
      <c r="AR370">
        <f>survey_responses[[#This Row],[Tôi thấy mức thuế tôi phải đóng theo phương án mới là công bằng (người thu nhập như tôi đóng mức này là hợp lý). - HUMAN-TRU2]]</f>
        <v>8</v>
      </c>
      <c r="AS370" t="str">
        <f t="shared" si="151"/>
        <v>Support</v>
      </c>
      <c r="AT370" s="32">
        <f t="shared" si="152"/>
        <v>0</v>
      </c>
      <c r="AU370">
        <f>step3_validation[[#This Row],[AI_TRU3]]</f>
        <v>7</v>
      </c>
      <c r="AV370" t="str">
        <f t="shared" si="153"/>
        <v>Neutral</v>
      </c>
      <c r="AW370">
        <f>survey_responses[[#This Row],[Tôi tin tưởng số tiền thuế tôi đóng sẽ được Nhà nước sử dụng hiệu quả để cải thiện dịch vụ công (y tế, đường xá...). - HUMAN-TRU3]]</f>
        <v>5</v>
      </c>
      <c r="AX370" t="str">
        <f t="shared" si="154"/>
        <v>Neutral</v>
      </c>
      <c r="AY370" s="32">
        <f t="shared" si="155"/>
        <v>2</v>
      </c>
      <c r="AZ370">
        <f>step3_validation[[#This Row],[AI_TRU4]]</f>
        <v>8</v>
      </c>
      <c r="BA370" t="str">
        <f t="shared" si="156"/>
        <v>Support</v>
      </c>
      <c r="BB370">
        <f>survey_responses[[#This Row],[Tôi thấy Nhà nước đã giải thích rõ ràng, minh bạch về lý do và mục tiêu của việc sửa đổi thuế lần này. - HUMAN-TRU4]]</f>
        <v>7</v>
      </c>
      <c r="BC370" t="str">
        <f t="shared" si="157"/>
        <v>Neutral</v>
      </c>
      <c r="BD370" s="32">
        <f t="shared" si="158"/>
        <v>1</v>
      </c>
      <c r="BE370">
        <f>step3_validation[[#This Row],[AI_OUT1]]</f>
        <v>9</v>
      </c>
      <c r="BF370" t="str">
        <f t="shared" si="159"/>
        <v>Support</v>
      </c>
      <c r="BG370">
        <f>survey_responses[[#This Row],[Sau khi xem xét các quyền lợi và nghĩa vụ, bạn có ủng hộ và tuân thủ chính sách mới hiện nay? - HUMAN-OUT1]]</f>
        <v>8</v>
      </c>
      <c r="BH370" t="str">
        <f t="shared" si="160"/>
        <v>Support</v>
      </c>
      <c r="BI370" s="32">
        <f t="shared" si="161"/>
        <v>1</v>
      </c>
    </row>
    <row r="371" spans="1:61" x14ac:dyDescent="0.45">
      <c r="A371" s="30">
        <f>step3_validation[[#This Row],[Persona_ID]]</f>
        <v>370</v>
      </c>
      <c r="B371" s="31">
        <f>step3_validation[[#This Row],[Used_Seed]]</f>
        <v>370</v>
      </c>
      <c r="C371" t="str">
        <f>step3_validation[[#This Row],[Gender]]</f>
        <v>Nam</v>
      </c>
      <c r="D371" t="str">
        <f>survey_responses[[#This Row],[Giới tính của bạn:]]</f>
        <v>Nam</v>
      </c>
      <c r="E371" t="str">
        <f>step3_validation[[#This Row],[Age_Group]]</f>
        <v>18 - 24</v>
      </c>
      <c r="F371" t="str">
        <f>survey_responses[[#This Row],[Độ tuổi của bạn:]]</f>
        <v>18 - 24</v>
      </c>
      <c r="G371" t="str">
        <f>step3_validation[[#This Row],[Region]]</f>
        <v>Thành thị</v>
      </c>
      <c r="H371" t="str">
        <f>survey_responses[[#This Row],[Khu vực bạn đang sinh sống:]]</f>
        <v>Thành thị</v>
      </c>
      <c r="I371" t="str">
        <f>step3_validation[[#This Row],[Education]]</f>
        <v>Đại học</v>
      </c>
      <c r="J371" t="str">
        <f>survey_responses[[#This Row],[Trình độ học vấn cao nhất:]]</f>
        <v>Đại học</v>
      </c>
      <c r="K371" t="str">
        <f>step3_validation[[#This Row],[Employment]]</f>
        <v>Chính thức</v>
      </c>
      <c r="L371" t="str">
        <f>survey_responses[[#This Row],[Tình trạng việc làm chính:]]</f>
        <v>Khu vực chính thức (Có Hợp đồng lao động, đóng BHXH)</v>
      </c>
      <c r="M371">
        <f>step3_validation[[#This Row],[Income_Mil]]</f>
        <v>21.322424191372704</v>
      </c>
      <c r="N371" t="str">
        <f>survey_responses[[#This Row],[Thu nhập bình quân tháng theo Hợp đồng lao động của bạn là bao nhiêu? (Vui lòng điền tổng thu nhập trước khi khấu trừ các loại Bảo hiểm (BHXH, BHYT, BHTN) và Thuế TNCN)]]</f>
        <v>Từ 18 - 23 triệu VNĐ</v>
      </c>
      <c r="O371">
        <f>step3_validation[[#This Row],[Dependents]]</f>
        <v>0</v>
      </c>
      <c r="P371" t="str">
        <f>survey_responses[[#This Row],[Số người phụ thuộc (con nhỏ, cha mẹ già...) đủ điều kiện giảm trừ gia cảnh:]]</f>
        <v>0 người</v>
      </c>
      <c r="Q371">
        <f>step3_validation[[#This Row],[AI_ENF1]]</f>
        <v>8</v>
      </c>
      <c r="R371" t="str">
        <f t="shared" si="135"/>
        <v>Support</v>
      </c>
      <c r="S371">
        <f>survey_responses[[#This Row],[Tôi tin rằng với các quy định quản lý thuế hiện nay, hành vi gian lận hoặc trốn thuế sẽ dễ dàng bị phát hiện và xử lý nghiêm. - HUMAN-ENF1]]</f>
        <v>6</v>
      </c>
      <c r="T371" t="str">
        <f t="shared" si="136"/>
        <v>Neutral</v>
      </c>
      <c r="U371" s="32">
        <f t="shared" si="137"/>
        <v>2</v>
      </c>
      <c r="V371">
        <f>step3_validation[[#This Row],[AI_ENF2]]</f>
        <v>7</v>
      </c>
      <c r="W371" t="str">
        <f t="shared" si="138"/>
        <v>Neutral</v>
      </c>
      <c r="X371">
        <f>survey_responses[[#This Row],[Tôi tin rằng Nhà nước, cơ quan thuế có đủ khả năng và công nghệ để phát hiện, xử lý nghiêm các hành vi trốn thuế. - HUMAN-ENF2]]</f>
        <v>7</v>
      </c>
      <c r="Y371" t="str">
        <f t="shared" si="139"/>
        <v>Neutral</v>
      </c>
      <c r="Z371" s="32">
        <f t="shared" si="140"/>
        <v>0</v>
      </c>
      <c r="AA371">
        <f>step3_validation[[#This Row],[AI_FAC1]]</f>
        <v>9</v>
      </c>
      <c r="AB371" t="str">
        <f t="shared" si="141"/>
        <v>Support</v>
      </c>
      <c r="AC371">
        <f>survey_responses[[#This Row],[Các thủ tục khai báo thuế VÀ/HOẶC quy trình làm việc với cơ quan thuế đơn giản, tiện lợi, nhanh chóng hơn so với trước đây. - HUMAN-FAC1]]</f>
        <v>7</v>
      </c>
      <c r="AD371" t="str">
        <f t="shared" si="142"/>
        <v>Neutral</v>
      </c>
      <c r="AE371" s="32">
        <f t="shared" si="143"/>
        <v>2</v>
      </c>
      <c r="AF371">
        <f>step3_validation[[#This Row],[AI_FAC2]]</f>
        <v>9</v>
      </c>
      <c r="AG371" t="str">
        <f t="shared" si="144"/>
        <v>Support</v>
      </c>
      <c r="AH371">
        <f>survey_responses[[#This Row],[So với trước đây, tôi thấy cách tính thuế và các bậc thuế trong phương án mới đơn giản, dễ hiểu và dễ thực hiện hơn. - HUMAN-FAC2]]</f>
        <v>9</v>
      </c>
      <c r="AI371" t="str">
        <f t="shared" si="145"/>
        <v>Support</v>
      </c>
      <c r="AJ371" s="32">
        <f t="shared" si="146"/>
        <v>0</v>
      </c>
      <c r="AK371">
        <f>step3_validation[[#This Row],[AI_TRU1]]</f>
        <v>8</v>
      </c>
      <c r="AL371" t="str">
        <f t="shared" si="147"/>
        <v>Support</v>
      </c>
      <c r="AM371">
        <f>survey_responses[[#This Row],[Tôi tin rằng Nhà nước, cơ quan thuế sẽ thực thi chính sách mới một cách khách quan, công tâm và đối xử bình đẳng với mọi người nộp thuế.  - HUMAN-TRU1]]</f>
        <v>7</v>
      </c>
      <c r="AN371" t="str">
        <f t="shared" si="148"/>
        <v>Neutral</v>
      </c>
      <c r="AO371" s="32">
        <f t="shared" si="149"/>
        <v>1</v>
      </c>
      <c r="AP371">
        <f>step3_validation[[#This Row],[AI_TRU2]]</f>
        <v>9</v>
      </c>
      <c r="AQ371" t="str">
        <f t="shared" si="150"/>
        <v>Support</v>
      </c>
      <c r="AR371">
        <f>survey_responses[[#This Row],[Tôi thấy mức thuế tôi phải đóng theo phương án mới là công bằng (người thu nhập như tôi đóng mức này là hợp lý). - HUMAN-TRU2]]</f>
        <v>9</v>
      </c>
      <c r="AS371" t="str">
        <f t="shared" si="151"/>
        <v>Support</v>
      </c>
      <c r="AT371" s="32">
        <f t="shared" si="152"/>
        <v>0</v>
      </c>
      <c r="AU371">
        <f>step3_validation[[#This Row],[AI_TRU3]]</f>
        <v>8</v>
      </c>
      <c r="AV371" t="str">
        <f t="shared" si="153"/>
        <v>Support</v>
      </c>
      <c r="AW371">
        <f>survey_responses[[#This Row],[Tôi tin tưởng số tiền thuế tôi đóng sẽ được Nhà nước sử dụng hiệu quả để cải thiện dịch vụ công (y tế, đường xá...). - HUMAN-TRU3]]</f>
        <v>9</v>
      </c>
      <c r="AX371" t="str">
        <f t="shared" si="154"/>
        <v>Support</v>
      </c>
      <c r="AY371" s="32">
        <f t="shared" si="155"/>
        <v>1</v>
      </c>
      <c r="AZ371">
        <f>step3_validation[[#This Row],[AI_TRU4]]</f>
        <v>9</v>
      </c>
      <c r="BA371" t="str">
        <f t="shared" si="156"/>
        <v>Support</v>
      </c>
      <c r="BB371">
        <f>survey_responses[[#This Row],[Tôi thấy Nhà nước đã giải thích rõ ràng, minh bạch về lý do và mục tiêu của việc sửa đổi thuế lần này. - HUMAN-TRU4]]</f>
        <v>9</v>
      </c>
      <c r="BC371" t="str">
        <f t="shared" si="157"/>
        <v>Support</v>
      </c>
      <c r="BD371" s="32">
        <f t="shared" si="158"/>
        <v>0</v>
      </c>
      <c r="BE371">
        <f>step3_validation[[#This Row],[AI_OUT1]]</f>
        <v>9</v>
      </c>
      <c r="BF371" t="str">
        <f t="shared" si="159"/>
        <v>Support</v>
      </c>
      <c r="BG371">
        <f>survey_responses[[#This Row],[Sau khi xem xét các quyền lợi và nghĩa vụ, bạn có ủng hộ và tuân thủ chính sách mới hiện nay? - HUMAN-OUT1]]</f>
        <v>9</v>
      </c>
      <c r="BH371" t="str">
        <f t="shared" si="160"/>
        <v>Support</v>
      </c>
      <c r="BI371" s="32">
        <f t="shared" si="161"/>
        <v>0</v>
      </c>
    </row>
    <row r="372" spans="1:61" x14ac:dyDescent="0.45">
      <c r="A372" s="30">
        <f>step3_validation[[#This Row],[Persona_ID]]</f>
        <v>371</v>
      </c>
      <c r="B372" s="31">
        <f>step3_validation[[#This Row],[Used_Seed]]</f>
        <v>371</v>
      </c>
      <c r="C372" t="str">
        <f>step3_validation[[#This Row],[Gender]]</f>
        <v>Nam</v>
      </c>
      <c r="D372" t="str">
        <f>survey_responses[[#This Row],[Giới tính của bạn:]]</f>
        <v>Nam</v>
      </c>
      <c r="E372" t="str">
        <f>step3_validation[[#This Row],[Age_Group]]</f>
        <v>40 - 49</v>
      </c>
      <c r="F372" t="str">
        <f>survey_responses[[#This Row],[Độ tuổi của bạn:]]</f>
        <v>40 - 49</v>
      </c>
      <c r="G372" t="str">
        <f>step3_validation[[#This Row],[Region]]</f>
        <v>Thành thị</v>
      </c>
      <c r="H372" t="str">
        <f>survey_responses[[#This Row],[Khu vực bạn đang sinh sống:]]</f>
        <v>Thành thị</v>
      </c>
      <c r="I372" t="str">
        <f>step3_validation[[#This Row],[Education]]</f>
        <v>Sau Đại học</v>
      </c>
      <c r="J372" t="str">
        <f>survey_responses[[#This Row],[Trình độ học vấn cao nhất:]]</f>
        <v>Sau Đại học</v>
      </c>
      <c r="K372" t="str">
        <f>step3_validation[[#This Row],[Employment]]</f>
        <v>Chính thức</v>
      </c>
      <c r="L372" t="str">
        <f>survey_responses[[#This Row],[Tình trạng việc làm chính:]]</f>
        <v>Khu vực chính thức (Có Hợp đồng lao động, đóng BHXH)</v>
      </c>
      <c r="M372">
        <f>step3_validation[[#This Row],[Income_Mil]]</f>
        <v>54.859757913458523</v>
      </c>
      <c r="N372" t="str">
        <f>survey_responses[[#This Row],[Thu nhập bình quân tháng theo Hợp đồng lao động của bạn là bao nhiêu? (Vui lòng điền tổng thu nhập trước khi khấu trừ các loại Bảo hiểm (BHXH, BHYT, BHTN) và Thuế TNCN)]]</f>
        <v>Từ 48 - 70 triệu VNĐ</v>
      </c>
      <c r="O372">
        <f>step3_validation[[#This Row],[Dependents]]</f>
        <v>3</v>
      </c>
      <c r="P372" t="str">
        <f>survey_responses[[#This Row],[Số người phụ thuộc (con nhỏ, cha mẹ già...) đủ điều kiện giảm trừ gia cảnh:]]</f>
        <v>3 người</v>
      </c>
      <c r="Q372">
        <f>step3_validation[[#This Row],[AI_ENF1]]</f>
        <v>8</v>
      </c>
      <c r="R372" t="str">
        <f t="shared" si="135"/>
        <v>Support</v>
      </c>
      <c r="S372">
        <f>survey_responses[[#This Row],[Tôi tin rằng với các quy định quản lý thuế hiện nay, hành vi gian lận hoặc trốn thuế sẽ dễ dàng bị phát hiện và xử lý nghiêm. - HUMAN-ENF1]]</f>
        <v>4</v>
      </c>
      <c r="T372" t="str">
        <f t="shared" si="136"/>
        <v>Oppose</v>
      </c>
      <c r="U372" s="32">
        <f t="shared" si="137"/>
        <v>4</v>
      </c>
      <c r="V372">
        <f>step3_validation[[#This Row],[AI_ENF2]]</f>
        <v>8</v>
      </c>
      <c r="W372" t="str">
        <f t="shared" si="138"/>
        <v>Support</v>
      </c>
      <c r="X372">
        <f>survey_responses[[#This Row],[Tôi tin rằng Nhà nước, cơ quan thuế có đủ khả năng và công nghệ để phát hiện, xử lý nghiêm các hành vi trốn thuế. - HUMAN-ENF2]]</f>
        <v>4</v>
      </c>
      <c r="Y372" t="str">
        <f t="shared" si="139"/>
        <v>Oppose</v>
      </c>
      <c r="Z372" s="32">
        <f t="shared" si="140"/>
        <v>4</v>
      </c>
      <c r="AA372">
        <f>step3_validation[[#This Row],[AI_FAC1]]</f>
        <v>9</v>
      </c>
      <c r="AB372" t="str">
        <f t="shared" si="141"/>
        <v>Support</v>
      </c>
      <c r="AC372">
        <f>survey_responses[[#This Row],[Các thủ tục khai báo thuế VÀ/HOẶC quy trình làm việc với cơ quan thuế đơn giản, tiện lợi, nhanh chóng hơn so với trước đây. - HUMAN-FAC1]]</f>
        <v>5</v>
      </c>
      <c r="AD372" t="str">
        <f t="shared" si="142"/>
        <v>Neutral</v>
      </c>
      <c r="AE372" s="32">
        <f t="shared" si="143"/>
        <v>4</v>
      </c>
      <c r="AF372">
        <f>step3_validation[[#This Row],[AI_FAC2]]</f>
        <v>9</v>
      </c>
      <c r="AG372" t="str">
        <f t="shared" si="144"/>
        <v>Support</v>
      </c>
      <c r="AH372">
        <f>survey_responses[[#This Row],[So với trước đây, tôi thấy cách tính thuế và các bậc thuế trong phương án mới đơn giản, dễ hiểu và dễ thực hiện hơn. - HUMAN-FAC2]]</f>
        <v>5</v>
      </c>
      <c r="AI372" t="str">
        <f t="shared" si="145"/>
        <v>Neutral</v>
      </c>
      <c r="AJ372" s="32">
        <f t="shared" si="146"/>
        <v>4</v>
      </c>
      <c r="AK372">
        <f>step3_validation[[#This Row],[AI_TRU1]]</f>
        <v>8</v>
      </c>
      <c r="AL372" t="str">
        <f t="shared" si="147"/>
        <v>Support</v>
      </c>
      <c r="AM372">
        <f>survey_responses[[#This Row],[Tôi tin rằng Nhà nước, cơ quan thuế sẽ thực thi chính sách mới một cách khách quan, công tâm và đối xử bình đẳng với mọi người nộp thuế.  - HUMAN-TRU1]]</f>
        <v>5</v>
      </c>
      <c r="AN372" t="str">
        <f t="shared" si="148"/>
        <v>Neutral</v>
      </c>
      <c r="AO372" s="32">
        <f t="shared" si="149"/>
        <v>3</v>
      </c>
      <c r="AP372">
        <f>step3_validation[[#This Row],[AI_TRU2]]</f>
        <v>9</v>
      </c>
      <c r="AQ372" t="str">
        <f t="shared" si="150"/>
        <v>Support</v>
      </c>
      <c r="AR372">
        <f>survey_responses[[#This Row],[Tôi thấy mức thuế tôi phải đóng theo phương án mới là công bằng (người thu nhập như tôi đóng mức này là hợp lý). - HUMAN-TRU2]]</f>
        <v>4</v>
      </c>
      <c r="AS372" t="str">
        <f t="shared" si="151"/>
        <v>Oppose</v>
      </c>
      <c r="AT372" s="32">
        <f t="shared" si="152"/>
        <v>5</v>
      </c>
      <c r="AU372">
        <f>step3_validation[[#This Row],[AI_TRU3]]</f>
        <v>8</v>
      </c>
      <c r="AV372" t="str">
        <f t="shared" si="153"/>
        <v>Support</v>
      </c>
      <c r="AW372">
        <f>survey_responses[[#This Row],[Tôi tin tưởng số tiền thuế tôi đóng sẽ được Nhà nước sử dụng hiệu quả để cải thiện dịch vụ công (y tế, đường xá...). - HUMAN-TRU3]]</f>
        <v>5</v>
      </c>
      <c r="AX372" t="str">
        <f t="shared" si="154"/>
        <v>Neutral</v>
      </c>
      <c r="AY372" s="32">
        <f t="shared" si="155"/>
        <v>3</v>
      </c>
      <c r="AZ372">
        <f>step3_validation[[#This Row],[AI_TRU4]]</f>
        <v>9</v>
      </c>
      <c r="BA372" t="str">
        <f t="shared" si="156"/>
        <v>Support</v>
      </c>
      <c r="BB372">
        <f>survey_responses[[#This Row],[Tôi thấy Nhà nước đã giải thích rõ ràng, minh bạch về lý do và mục tiêu của việc sửa đổi thuế lần này. - HUMAN-TRU4]]</f>
        <v>6</v>
      </c>
      <c r="BC372" t="str">
        <f t="shared" si="157"/>
        <v>Neutral</v>
      </c>
      <c r="BD372" s="32">
        <f t="shared" si="158"/>
        <v>3</v>
      </c>
      <c r="BE372">
        <f>step3_validation[[#This Row],[AI_OUT1]]</f>
        <v>8</v>
      </c>
      <c r="BF372" t="str">
        <f t="shared" si="159"/>
        <v>Support</v>
      </c>
      <c r="BG372">
        <f>survey_responses[[#This Row],[Sau khi xem xét các quyền lợi và nghĩa vụ, bạn có ủng hộ và tuân thủ chính sách mới hiện nay? - HUMAN-OUT1]]</f>
        <v>5</v>
      </c>
      <c r="BH372" t="str">
        <f t="shared" si="160"/>
        <v>Neutral</v>
      </c>
      <c r="BI372" s="32">
        <f t="shared" si="161"/>
        <v>3</v>
      </c>
    </row>
    <row r="373" spans="1:61" x14ac:dyDescent="0.45">
      <c r="A373" s="30">
        <f>step3_validation[[#This Row],[Persona_ID]]</f>
        <v>372</v>
      </c>
      <c r="B373" s="31">
        <f>step3_validation[[#This Row],[Used_Seed]]</f>
        <v>372</v>
      </c>
      <c r="C373" t="str">
        <f>step3_validation[[#This Row],[Gender]]</f>
        <v>Nữ</v>
      </c>
      <c r="D373" t="str">
        <f>survey_responses[[#This Row],[Giới tính của bạn:]]</f>
        <v>Nữ</v>
      </c>
      <c r="E373" t="str">
        <f>step3_validation[[#This Row],[Age_Group]]</f>
        <v>30 - 39</v>
      </c>
      <c r="F373" t="str">
        <f>survey_responses[[#This Row],[Độ tuổi của bạn:]]</f>
        <v>30 - 39</v>
      </c>
      <c r="G373" t="str">
        <f>step3_validation[[#This Row],[Region]]</f>
        <v>Thành thị</v>
      </c>
      <c r="H373" t="str">
        <f>survey_responses[[#This Row],[Khu vực bạn đang sinh sống:]]</f>
        <v>Thành thị</v>
      </c>
      <c r="I373" t="str">
        <f>step3_validation[[#This Row],[Education]]</f>
        <v>Đại học</v>
      </c>
      <c r="J373" t="str">
        <f>survey_responses[[#This Row],[Trình độ học vấn cao nhất:]]</f>
        <v>Đại học</v>
      </c>
      <c r="K373" t="str">
        <f>step3_validation[[#This Row],[Employment]]</f>
        <v>Chính thức</v>
      </c>
      <c r="L373" t="str">
        <f>survey_responses[[#This Row],[Tình trạng việc làm chính:]]</f>
        <v>Khu vực chính thức (Có Hợp đồng lao động, đóng BHXH)</v>
      </c>
      <c r="M373">
        <f>step3_validation[[#This Row],[Income_Mil]]</f>
        <v>42.511195664059166</v>
      </c>
      <c r="N373" t="str">
        <f>survey_responses[[#This Row],[Thu nhập bình quân tháng theo Hợp đồng lao động của bạn là bao nhiêu? (Vui lòng điền tổng thu nhập trước khi khấu trừ các loại Bảo hiểm (BHXH, BHYT, BHTN) và Thuế TNCN)]]</f>
        <v>Từ 32 - 48 triệu VNĐ</v>
      </c>
      <c r="O373">
        <f>step3_validation[[#This Row],[Dependents]]</f>
        <v>2</v>
      </c>
      <c r="P373" t="str">
        <f>survey_responses[[#This Row],[Số người phụ thuộc (con nhỏ, cha mẹ già...) đủ điều kiện giảm trừ gia cảnh:]]</f>
        <v>2 người</v>
      </c>
      <c r="Q373">
        <f>step3_validation[[#This Row],[AI_ENF1]]</f>
        <v>7</v>
      </c>
      <c r="R373" t="str">
        <f t="shared" si="135"/>
        <v>Neutral</v>
      </c>
      <c r="S373">
        <f>survey_responses[[#This Row],[Tôi tin rằng với các quy định quản lý thuế hiện nay, hành vi gian lận hoặc trốn thuế sẽ dễ dàng bị phát hiện và xử lý nghiêm. - HUMAN-ENF1]]</f>
        <v>6</v>
      </c>
      <c r="T373" t="str">
        <f t="shared" si="136"/>
        <v>Neutral</v>
      </c>
      <c r="U373" s="32">
        <f t="shared" si="137"/>
        <v>1</v>
      </c>
      <c r="V373">
        <f>step3_validation[[#This Row],[AI_ENF2]]</f>
        <v>7</v>
      </c>
      <c r="W373" t="str">
        <f t="shared" si="138"/>
        <v>Neutral</v>
      </c>
      <c r="X373">
        <f>survey_responses[[#This Row],[Tôi tin rằng Nhà nước, cơ quan thuế có đủ khả năng và công nghệ để phát hiện, xử lý nghiêm các hành vi trốn thuế. - HUMAN-ENF2]]</f>
        <v>6</v>
      </c>
      <c r="Y373" t="str">
        <f t="shared" si="139"/>
        <v>Neutral</v>
      </c>
      <c r="Z373" s="32">
        <f t="shared" si="140"/>
        <v>1</v>
      </c>
      <c r="AA373">
        <f>step3_validation[[#This Row],[AI_FAC1]]</f>
        <v>8</v>
      </c>
      <c r="AB373" t="str">
        <f t="shared" si="141"/>
        <v>Support</v>
      </c>
      <c r="AC373">
        <f>survey_responses[[#This Row],[Các thủ tục khai báo thuế VÀ/HOẶC quy trình làm việc với cơ quan thuế đơn giản, tiện lợi, nhanh chóng hơn so với trước đây. - HUMAN-FAC1]]</f>
        <v>8</v>
      </c>
      <c r="AD373" t="str">
        <f t="shared" si="142"/>
        <v>Support</v>
      </c>
      <c r="AE373" s="32">
        <f t="shared" si="143"/>
        <v>0</v>
      </c>
      <c r="AF373">
        <f>step3_validation[[#This Row],[AI_FAC2]]</f>
        <v>9</v>
      </c>
      <c r="AG373" t="str">
        <f t="shared" si="144"/>
        <v>Support</v>
      </c>
      <c r="AH373">
        <f>survey_responses[[#This Row],[So với trước đây, tôi thấy cách tính thuế và các bậc thuế trong phương án mới đơn giản, dễ hiểu và dễ thực hiện hơn. - HUMAN-FAC2]]</f>
        <v>8</v>
      </c>
      <c r="AI373" t="str">
        <f t="shared" si="145"/>
        <v>Support</v>
      </c>
      <c r="AJ373" s="32">
        <f t="shared" si="146"/>
        <v>1</v>
      </c>
      <c r="AK373">
        <f>step3_validation[[#This Row],[AI_TRU1]]</f>
        <v>7</v>
      </c>
      <c r="AL373" t="str">
        <f t="shared" si="147"/>
        <v>Neutral</v>
      </c>
      <c r="AM373">
        <f>survey_responses[[#This Row],[Tôi tin rằng Nhà nước, cơ quan thuế sẽ thực thi chính sách mới một cách khách quan, công tâm và đối xử bình đẳng với mọi người nộp thuế.  - HUMAN-TRU1]]</f>
        <v>6</v>
      </c>
      <c r="AN373" t="str">
        <f t="shared" si="148"/>
        <v>Neutral</v>
      </c>
      <c r="AO373" s="32">
        <f t="shared" si="149"/>
        <v>1</v>
      </c>
      <c r="AP373">
        <f>step3_validation[[#This Row],[AI_TRU2]]</f>
        <v>8</v>
      </c>
      <c r="AQ373" t="str">
        <f t="shared" si="150"/>
        <v>Support</v>
      </c>
      <c r="AR373">
        <f>survey_responses[[#This Row],[Tôi thấy mức thuế tôi phải đóng theo phương án mới là công bằng (người thu nhập như tôi đóng mức này là hợp lý). - HUMAN-TRU2]]</f>
        <v>7</v>
      </c>
      <c r="AS373" t="str">
        <f t="shared" si="151"/>
        <v>Neutral</v>
      </c>
      <c r="AT373" s="32">
        <f t="shared" si="152"/>
        <v>1</v>
      </c>
      <c r="AU373">
        <f>step3_validation[[#This Row],[AI_TRU3]]</f>
        <v>7</v>
      </c>
      <c r="AV373" t="str">
        <f t="shared" si="153"/>
        <v>Neutral</v>
      </c>
      <c r="AW373">
        <f>survey_responses[[#This Row],[Tôi tin tưởng số tiền thuế tôi đóng sẽ được Nhà nước sử dụng hiệu quả để cải thiện dịch vụ công (y tế, đường xá...). - HUMAN-TRU3]]</f>
        <v>5</v>
      </c>
      <c r="AX373" t="str">
        <f t="shared" si="154"/>
        <v>Neutral</v>
      </c>
      <c r="AY373" s="32">
        <f t="shared" si="155"/>
        <v>2</v>
      </c>
      <c r="AZ373">
        <f>step3_validation[[#This Row],[AI_TRU4]]</f>
        <v>8</v>
      </c>
      <c r="BA373" t="str">
        <f t="shared" si="156"/>
        <v>Support</v>
      </c>
      <c r="BB373">
        <f>survey_responses[[#This Row],[Tôi thấy Nhà nước đã giải thích rõ ràng, minh bạch về lý do và mục tiêu của việc sửa đổi thuế lần này. - HUMAN-TRU4]]</f>
        <v>6</v>
      </c>
      <c r="BC373" t="str">
        <f t="shared" si="157"/>
        <v>Neutral</v>
      </c>
      <c r="BD373" s="32">
        <f t="shared" si="158"/>
        <v>2</v>
      </c>
      <c r="BE373">
        <f>step3_validation[[#This Row],[AI_OUT1]]</f>
        <v>9</v>
      </c>
      <c r="BF373" t="str">
        <f t="shared" si="159"/>
        <v>Support</v>
      </c>
      <c r="BG373">
        <f>survey_responses[[#This Row],[Sau khi xem xét các quyền lợi và nghĩa vụ, bạn có ủng hộ và tuân thủ chính sách mới hiện nay? - HUMAN-OUT1]]</f>
        <v>6</v>
      </c>
      <c r="BH373" t="str">
        <f t="shared" si="160"/>
        <v>Neutral</v>
      </c>
      <c r="BI373" s="32">
        <f t="shared" si="161"/>
        <v>3</v>
      </c>
    </row>
    <row r="374" spans="1:61" x14ac:dyDescent="0.45">
      <c r="A374" s="30">
        <f>step3_validation[[#This Row],[Persona_ID]]</f>
        <v>373</v>
      </c>
      <c r="B374" s="31">
        <f>step3_validation[[#This Row],[Used_Seed]]</f>
        <v>373</v>
      </c>
      <c r="C374" t="str">
        <f>step3_validation[[#This Row],[Gender]]</f>
        <v>Nữ</v>
      </c>
      <c r="D374" t="str">
        <f>survey_responses[[#This Row],[Giới tính của bạn:]]</f>
        <v>Nữ</v>
      </c>
      <c r="E374" t="str">
        <f>step3_validation[[#This Row],[Age_Group]]</f>
        <v>30 - 39</v>
      </c>
      <c r="F374" t="str">
        <f>survey_responses[[#This Row],[Độ tuổi của bạn:]]</f>
        <v>30 - 39</v>
      </c>
      <c r="G374" t="str">
        <f>step3_validation[[#This Row],[Region]]</f>
        <v>Thành thị</v>
      </c>
      <c r="H374" t="str">
        <f>survey_responses[[#This Row],[Khu vực bạn đang sinh sống:]]</f>
        <v>Thành thị</v>
      </c>
      <c r="I374" t="str">
        <f>step3_validation[[#This Row],[Education]]</f>
        <v>Đại học</v>
      </c>
      <c r="J374" t="str">
        <f>survey_responses[[#This Row],[Trình độ học vấn cao nhất:]]</f>
        <v>Đại học</v>
      </c>
      <c r="K374" t="str">
        <f>step3_validation[[#This Row],[Employment]]</f>
        <v>Chính thức</v>
      </c>
      <c r="L374" t="str">
        <f>survey_responses[[#This Row],[Tình trạng việc làm chính:]]</f>
        <v>Khu vực chính thức (Có Hợp đồng lao động, đóng BHXH)</v>
      </c>
      <c r="M374">
        <f>step3_validation[[#This Row],[Income_Mil]]</f>
        <v>99.171194641377014</v>
      </c>
      <c r="N374" t="str">
        <f>survey_responses[[#This Row],[Thu nhập bình quân tháng theo Hợp đồng lao động của bạn là bao nhiêu? (Vui lòng điền tổng thu nhập trước khi khấu trừ các loại Bảo hiểm (BHXH, BHYT, BHTN) và Thuế TNCN)]]</f>
        <v>Từ 70 - 102 triệu VNĐ</v>
      </c>
      <c r="O374">
        <f>step3_validation[[#This Row],[Dependents]]</f>
        <v>2</v>
      </c>
      <c r="P374" t="str">
        <f>survey_responses[[#This Row],[Số người phụ thuộc (con nhỏ, cha mẹ già...) đủ điều kiện giảm trừ gia cảnh:]]</f>
        <v>2 người</v>
      </c>
      <c r="Q374">
        <f>step3_validation[[#This Row],[AI_ENF1]]</f>
        <v>7</v>
      </c>
      <c r="R374" t="str">
        <f t="shared" si="135"/>
        <v>Neutral</v>
      </c>
      <c r="S374">
        <f>survey_responses[[#This Row],[Tôi tin rằng với các quy định quản lý thuế hiện nay, hành vi gian lận hoặc trốn thuế sẽ dễ dàng bị phát hiện và xử lý nghiêm. - HUMAN-ENF1]]</f>
        <v>8</v>
      </c>
      <c r="T374" t="str">
        <f t="shared" si="136"/>
        <v>Support</v>
      </c>
      <c r="U374" s="32">
        <f t="shared" si="137"/>
        <v>1</v>
      </c>
      <c r="V374">
        <f>step3_validation[[#This Row],[AI_ENF2]]</f>
        <v>7</v>
      </c>
      <c r="W374" t="str">
        <f t="shared" si="138"/>
        <v>Neutral</v>
      </c>
      <c r="X374">
        <f>survey_responses[[#This Row],[Tôi tin rằng Nhà nước, cơ quan thuế có đủ khả năng và công nghệ để phát hiện, xử lý nghiêm các hành vi trốn thuế. - HUMAN-ENF2]]</f>
        <v>8</v>
      </c>
      <c r="Y374" t="str">
        <f t="shared" si="139"/>
        <v>Support</v>
      </c>
      <c r="Z374" s="32">
        <f t="shared" si="140"/>
        <v>1</v>
      </c>
      <c r="AA374">
        <f>step3_validation[[#This Row],[AI_FAC1]]</f>
        <v>6</v>
      </c>
      <c r="AB374" t="str">
        <f t="shared" si="141"/>
        <v>Neutral</v>
      </c>
      <c r="AC374">
        <f>survey_responses[[#This Row],[Các thủ tục khai báo thuế VÀ/HOẶC quy trình làm việc với cơ quan thuế đơn giản, tiện lợi, nhanh chóng hơn so với trước đây. - HUMAN-FAC1]]</f>
        <v>9</v>
      </c>
      <c r="AD374" t="str">
        <f t="shared" si="142"/>
        <v>Support</v>
      </c>
      <c r="AE374" s="32">
        <f t="shared" si="143"/>
        <v>3</v>
      </c>
      <c r="AF374">
        <f>step3_validation[[#This Row],[AI_FAC2]]</f>
        <v>8</v>
      </c>
      <c r="AG374" t="str">
        <f t="shared" si="144"/>
        <v>Support</v>
      </c>
      <c r="AH374">
        <f>survey_responses[[#This Row],[So với trước đây, tôi thấy cách tính thuế và các bậc thuế trong phương án mới đơn giản, dễ hiểu và dễ thực hiện hơn. - HUMAN-FAC2]]</f>
        <v>9</v>
      </c>
      <c r="AI374" t="str">
        <f t="shared" si="145"/>
        <v>Support</v>
      </c>
      <c r="AJ374" s="32">
        <f t="shared" si="146"/>
        <v>1</v>
      </c>
      <c r="AK374">
        <f>step3_validation[[#This Row],[AI_TRU1]]</f>
        <v>9</v>
      </c>
      <c r="AL374" t="str">
        <f t="shared" si="147"/>
        <v>Support</v>
      </c>
      <c r="AM374">
        <f>survey_responses[[#This Row],[Tôi tin rằng Nhà nước, cơ quan thuế sẽ thực thi chính sách mới một cách khách quan, công tâm và đối xử bình đẳng với mọi người nộp thuế.  - HUMAN-TRU1]]</f>
        <v>5</v>
      </c>
      <c r="AN374" t="str">
        <f t="shared" si="148"/>
        <v>Neutral</v>
      </c>
      <c r="AO374" s="32">
        <f t="shared" si="149"/>
        <v>4</v>
      </c>
      <c r="AP374">
        <f>step3_validation[[#This Row],[AI_TRU2]]</f>
        <v>8</v>
      </c>
      <c r="AQ374" t="str">
        <f t="shared" si="150"/>
        <v>Support</v>
      </c>
      <c r="AR374">
        <f>survey_responses[[#This Row],[Tôi thấy mức thuế tôi phải đóng theo phương án mới là công bằng (người thu nhập như tôi đóng mức này là hợp lý). - HUMAN-TRU2]]</f>
        <v>5</v>
      </c>
      <c r="AS374" t="str">
        <f t="shared" si="151"/>
        <v>Neutral</v>
      </c>
      <c r="AT374" s="32">
        <f t="shared" si="152"/>
        <v>3</v>
      </c>
      <c r="AU374">
        <f>step3_validation[[#This Row],[AI_TRU3]]</f>
        <v>9</v>
      </c>
      <c r="AV374" t="str">
        <f t="shared" si="153"/>
        <v>Support</v>
      </c>
      <c r="AW374">
        <f>survey_responses[[#This Row],[Tôi tin tưởng số tiền thuế tôi đóng sẽ được Nhà nước sử dụng hiệu quả để cải thiện dịch vụ công (y tế, đường xá...). - HUMAN-TRU3]]</f>
        <v>5</v>
      </c>
      <c r="AX374" t="str">
        <f t="shared" si="154"/>
        <v>Neutral</v>
      </c>
      <c r="AY374" s="32">
        <f t="shared" si="155"/>
        <v>4</v>
      </c>
      <c r="AZ374">
        <f>step3_validation[[#This Row],[AI_TRU4]]</f>
        <v>7</v>
      </c>
      <c r="BA374" t="str">
        <f t="shared" si="156"/>
        <v>Neutral</v>
      </c>
      <c r="BB374">
        <f>survey_responses[[#This Row],[Tôi thấy Nhà nước đã giải thích rõ ràng, minh bạch về lý do và mục tiêu của việc sửa đổi thuế lần này. - HUMAN-TRU4]]</f>
        <v>6</v>
      </c>
      <c r="BC374" t="str">
        <f t="shared" si="157"/>
        <v>Neutral</v>
      </c>
      <c r="BD374" s="32">
        <f t="shared" si="158"/>
        <v>1</v>
      </c>
      <c r="BE374">
        <f>step3_validation[[#This Row],[AI_OUT1]]</f>
        <v>9</v>
      </c>
      <c r="BF374" t="str">
        <f t="shared" si="159"/>
        <v>Support</v>
      </c>
      <c r="BG374">
        <f>survey_responses[[#This Row],[Sau khi xem xét các quyền lợi và nghĩa vụ, bạn có ủng hộ và tuân thủ chính sách mới hiện nay? - HUMAN-OUT1]]</f>
        <v>5</v>
      </c>
      <c r="BH374" t="str">
        <f t="shared" si="160"/>
        <v>Neutral</v>
      </c>
      <c r="BI374" s="32">
        <f t="shared" si="161"/>
        <v>4</v>
      </c>
    </row>
    <row r="375" spans="1:61" x14ac:dyDescent="0.45">
      <c r="A375" s="30">
        <f>step3_validation[[#This Row],[Persona_ID]]</f>
        <v>374</v>
      </c>
      <c r="B375" s="31">
        <f>step3_validation[[#This Row],[Used_Seed]]</f>
        <v>374</v>
      </c>
      <c r="C375" t="str">
        <f>step3_validation[[#This Row],[Gender]]</f>
        <v>Nữ</v>
      </c>
      <c r="D375" t="str">
        <f>survey_responses[[#This Row],[Giới tính của bạn:]]</f>
        <v>Nữ</v>
      </c>
      <c r="E375" t="str">
        <f>step3_validation[[#This Row],[Age_Group]]</f>
        <v>30 - 39</v>
      </c>
      <c r="F375" t="str">
        <f>survey_responses[[#This Row],[Độ tuổi của bạn:]]</f>
        <v>30 - 39</v>
      </c>
      <c r="G375" t="str">
        <f>step3_validation[[#This Row],[Region]]</f>
        <v>Thành thị</v>
      </c>
      <c r="H375" t="str">
        <f>survey_responses[[#This Row],[Khu vực bạn đang sinh sống:]]</f>
        <v>Thành thị</v>
      </c>
      <c r="I375" t="str">
        <f>step3_validation[[#This Row],[Education]]</f>
        <v>Đại học</v>
      </c>
      <c r="J375" t="str">
        <f>survey_responses[[#This Row],[Trình độ học vấn cao nhất:]]</f>
        <v>Đại học</v>
      </c>
      <c r="K375" t="str">
        <f>step3_validation[[#This Row],[Employment]]</f>
        <v>Chính thức</v>
      </c>
      <c r="L375" t="str">
        <f>survey_responses[[#This Row],[Tình trạng việc làm chính:]]</f>
        <v>Khu vực chính thức (Có Hợp đồng lao động, đóng BHXH)</v>
      </c>
      <c r="M375">
        <f>step3_validation[[#This Row],[Income_Mil]]</f>
        <v>33.809997672990541</v>
      </c>
      <c r="N375" t="str">
        <f>survey_responses[[#This Row],[Thu nhập bình quân tháng theo Hợp đồng lao động của bạn là bao nhiêu? (Vui lòng điền tổng thu nhập trước khi khấu trừ các loại Bảo hiểm (BHXH, BHYT, BHTN) và Thuế TNCN)]]</f>
        <v>Từ 32 - 48 triệu VNĐ</v>
      </c>
      <c r="O375">
        <f>step3_validation[[#This Row],[Dependents]]</f>
        <v>1</v>
      </c>
      <c r="P375" t="str">
        <f>survey_responses[[#This Row],[Số người phụ thuộc (con nhỏ, cha mẹ già...) đủ điều kiện giảm trừ gia cảnh:]]</f>
        <v>1 người</v>
      </c>
      <c r="Q375">
        <f>step3_validation[[#This Row],[AI_ENF1]]</f>
        <v>7</v>
      </c>
      <c r="R375" t="str">
        <f t="shared" si="135"/>
        <v>Neutral</v>
      </c>
      <c r="S375">
        <f>survey_responses[[#This Row],[Tôi tin rằng với các quy định quản lý thuế hiện nay, hành vi gian lận hoặc trốn thuế sẽ dễ dàng bị phát hiện và xử lý nghiêm. - HUMAN-ENF1]]</f>
        <v>6</v>
      </c>
      <c r="T375" t="str">
        <f t="shared" si="136"/>
        <v>Neutral</v>
      </c>
      <c r="U375" s="32">
        <f t="shared" si="137"/>
        <v>1</v>
      </c>
      <c r="V375">
        <f>step3_validation[[#This Row],[AI_ENF2]]</f>
        <v>8</v>
      </c>
      <c r="W375" t="str">
        <f t="shared" si="138"/>
        <v>Support</v>
      </c>
      <c r="X375">
        <f>survey_responses[[#This Row],[Tôi tin rằng Nhà nước, cơ quan thuế có đủ khả năng và công nghệ để phát hiện, xử lý nghiêm các hành vi trốn thuế. - HUMAN-ENF2]]</f>
        <v>6</v>
      </c>
      <c r="Y375" t="str">
        <f t="shared" si="139"/>
        <v>Neutral</v>
      </c>
      <c r="Z375" s="32">
        <f t="shared" si="140"/>
        <v>2</v>
      </c>
      <c r="AA375">
        <f>step3_validation[[#This Row],[AI_FAC1]]</f>
        <v>9</v>
      </c>
      <c r="AB375" t="str">
        <f t="shared" si="141"/>
        <v>Support</v>
      </c>
      <c r="AC375">
        <f>survey_responses[[#This Row],[Các thủ tục khai báo thuế VÀ/HOẶC quy trình làm việc với cơ quan thuế đơn giản, tiện lợi, nhanh chóng hơn so với trước đây. - HUMAN-FAC1]]</f>
        <v>7</v>
      </c>
      <c r="AD375" t="str">
        <f t="shared" si="142"/>
        <v>Neutral</v>
      </c>
      <c r="AE375" s="32">
        <f t="shared" si="143"/>
        <v>2</v>
      </c>
      <c r="AF375">
        <f>step3_validation[[#This Row],[AI_FAC2]]</f>
        <v>10</v>
      </c>
      <c r="AG375" t="str">
        <f t="shared" si="144"/>
        <v>Support</v>
      </c>
      <c r="AH375">
        <f>survey_responses[[#This Row],[So với trước đây, tôi thấy cách tính thuế và các bậc thuế trong phương án mới đơn giản, dễ hiểu và dễ thực hiện hơn. - HUMAN-FAC2]]</f>
        <v>7</v>
      </c>
      <c r="AI375" t="str">
        <f t="shared" si="145"/>
        <v>Neutral</v>
      </c>
      <c r="AJ375" s="32">
        <f t="shared" si="146"/>
        <v>3</v>
      </c>
      <c r="AK375">
        <f>step3_validation[[#This Row],[AI_TRU1]]</f>
        <v>8</v>
      </c>
      <c r="AL375" t="str">
        <f t="shared" si="147"/>
        <v>Support</v>
      </c>
      <c r="AM375">
        <f>survey_responses[[#This Row],[Tôi tin rằng Nhà nước, cơ quan thuế sẽ thực thi chính sách mới một cách khách quan, công tâm và đối xử bình đẳng với mọi người nộp thuế.  - HUMAN-TRU1]]</f>
        <v>6</v>
      </c>
      <c r="AN375" t="str">
        <f t="shared" si="148"/>
        <v>Neutral</v>
      </c>
      <c r="AO375" s="32">
        <f t="shared" si="149"/>
        <v>2</v>
      </c>
      <c r="AP375">
        <f>step3_validation[[#This Row],[AI_TRU2]]</f>
        <v>9</v>
      </c>
      <c r="AQ375" t="str">
        <f t="shared" si="150"/>
        <v>Support</v>
      </c>
      <c r="AR375">
        <f>survey_responses[[#This Row],[Tôi thấy mức thuế tôi phải đóng theo phương án mới là công bằng (người thu nhập như tôi đóng mức này là hợp lý). - HUMAN-TRU2]]</f>
        <v>6</v>
      </c>
      <c r="AS375" t="str">
        <f t="shared" si="151"/>
        <v>Neutral</v>
      </c>
      <c r="AT375" s="32">
        <f t="shared" si="152"/>
        <v>3</v>
      </c>
      <c r="AU375">
        <f>step3_validation[[#This Row],[AI_TRU3]]</f>
        <v>8</v>
      </c>
      <c r="AV375" t="str">
        <f t="shared" si="153"/>
        <v>Support</v>
      </c>
      <c r="AW375">
        <f>survey_responses[[#This Row],[Tôi tin tưởng số tiền thuế tôi đóng sẽ được Nhà nước sử dụng hiệu quả để cải thiện dịch vụ công (y tế, đường xá...). - HUMAN-TRU3]]</f>
        <v>6</v>
      </c>
      <c r="AX375" t="str">
        <f t="shared" si="154"/>
        <v>Neutral</v>
      </c>
      <c r="AY375" s="32">
        <f t="shared" si="155"/>
        <v>2</v>
      </c>
      <c r="AZ375">
        <f>step3_validation[[#This Row],[AI_TRU4]]</f>
        <v>7</v>
      </c>
      <c r="BA375" t="str">
        <f t="shared" si="156"/>
        <v>Neutral</v>
      </c>
      <c r="BB375">
        <f>survey_responses[[#This Row],[Tôi thấy Nhà nước đã giải thích rõ ràng, minh bạch về lý do và mục tiêu của việc sửa đổi thuế lần này. - HUMAN-TRU4]]</f>
        <v>6</v>
      </c>
      <c r="BC375" t="str">
        <f t="shared" si="157"/>
        <v>Neutral</v>
      </c>
      <c r="BD375" s="32">
        <f t="shared" si="158"/>
        <v>1</v>
      </c>
      <c r="BE375">
        <f>step3_validation[[#This Row],[AI_OUT1]]</f>
        <v>9</v>
      </c>
      <c r="BF375" t="str">
        <f t="shared" si="159"/>
        <v>Support</v>
      </c>
      <c r="BG375">
        <f>survey_responses[[#This Row],[Sau khi xem xét các quyền lợi và nghĩa vụ, bạn có ủng hộ và tuân thủ chính sách mới hiện nay? - HUMAN-OUT1]]</f>
        <v>6</v>
      </c>
      <c r="BH375" t="str">
        <f t="shared" si="160"/>
        <v>Neutral</v>
      </c>
      <c r="BI375" s="32">
        <f t="shared" si="161"/>
        <v>3</v>
      </c>
    </row>
    <row r="376" spans="1:61" x14ac:dyDescent="0.45">
      <c r="A376" s="30">
        <f>step3_validation[[#This Row],[Persona_ID]]</f>
        <v>375</v>
      </c>
      <c r="B376" s="31">
        <f>step3_validation[[#This Row],[Used_Seed]]</f>
        <v>375</v>
      </c>
      <c r="C376" t="str">
        <f>step3_validation[[#This Row],[Gender]]</f>
        <v>Nữ</v>
      </c>
      <c r="D376" t="str">
        <f>survey_responses[[#This Row],[Giới tính của bạn:]]</f>
        <v>Nữ</v>
      </c>
      <c r="E376" t="str">
        <f>step3_validation[[#This Row],[Age_Group]]</f>
        <v>30 - 39</v>
      </c>
      <c r="F376" t="str">
        <f>survey_responses[[#This Row],[Độ tuổi của bạn:]]</f>
        <v>30 - 39</v>
      </c>
      <c r="G376" t="str">
        <f>step3_validation[[#This Row],[Region]]</f>
        <v>Thành thị</v>
      </c>
      <c r="H376" t="str">
        <f>survey_responses[[#This Row],[Khu vực bạn đang sinh sống:]]</f>
        <v>Thành thị</v>
      </c>
      <c r="I376" t="str">
        <f>step3_validation[[#This Row],[Education]]</f>
        <v>Đại học</v>
      </c>
      <c r="J376" t="str">
        <f>survey_responses[[#This Row],[Trình độ học vấn cao nhất:]]</f>
        <v>Đại học</v>
      </c>
      <c r="K376" t="str">
        <f>step3_validation[[#This Row],[Employment]]</f>
        <v>Chính thức</v>
      </c>
      <c r="L376" t="str">
        <f>survey_responses[[#This Row],[Tình trạng việc làm chính:]]</f>
        <v>Khu vực chính thức (Có Hợp đồng lao động, đóng BHXH)</v>
      </c>
      <c r="M376">
        <f>step3_validation[[#This Row],[Income_Mil]]</f>
        <v>67.530610569280057</v>
      </c>
      <c r="N376" t="str">
        <f>survey_responses[[#This Row],[Thu nhập bình quân tháng theo Hợp đồng lao động của bạn là bao nhiêu? (Vui lòng điền tổng thu nhập trước khi khấu trừ các loại Bảo hiểm (BHXH, BHYT, BHTN) và Thuế TNCN)]]</f>
        <v>Từ 48 - 70 triệu VNĐ</v>
      </c>
      <c r="O376">
        <f>step3_validation[[#This Row],[Dependents]]</f>
        <v>1</v>
      </c>
      <c r="P376" t="str">
        <f>survey_responses[[#This Row],[Số người phụ thuộc (con nhỏ, cha mẹ già...) đủ điều kiện giảm trừ gia cảnh:]]</f>
        <v>1 người</v>
      </c>
      <c r="Q376">
        <f>step3_validation[[#This Row],[AI_ENF1]]</f>
        <v>7</v>
      </c>
      <c r="R376" t="str">
        <f t="shared" si="135"/>
        <v>Neutral</v>
      </c>
      <c r="S376">
        <f>survey_responses[[#This Row],[Tôi tin rằng với các quy định quản lý thuế hiện nay, hành vi gian lận hoặc trốn thuế sẽ dễ dàng bị phát hiện và xử lý nghiêm. - HUMAN-ENF1]]</f>
        <v>8</v>
      </c>
      <c r="T376" t="str">
        <f t="shared" si="136"/>
        <v>Support</v>
      </c>
      <c r="U376" s="32">
        <f t="shared" si="137"/>
        <v>1</v>
      </c>
      <c r="V376">
        <f>step3_validation[[#This Row],[AI_ENF2]]</f>
        <v>6</v>
      </c>
      <c r="W376" t="str">
        <f t="shared" si="138"/>
        <v>Neutral</v>
      </c>
      <c r="X376">
        <f>survey_responses[[#This Row],[Tôi tin rằng Nhà nước, cơ quan thuế có đủ khả năng và công nghệ để phát hiện, xử lý nghiêm các hành vi trốn thuế. - HUMAN-ENF2]]</f>
        <v>8</v>
      </c>
      <c r="Y376" t="str">
        <f t="shared" si="139"/>
        <v>Support</v>
      </c>
      <c r="Z376" s="32">
        <f t="shared" si="140"/>
        <v>2</v>
      </c>
      <c r="AA376">
        <f>step3_validation[[#This Row],[AI_FAC1]]</f>
        <v>8</v>
      </c>
      <c r="AB376" t="str">
        <f t="shared" si="141"/>
        <v>Support</v>
      </c>
      <c r="AC376">
        <f>survey_responses[[#This Row],[Các thủ tục khai báo thuế VÀ/HOẶC quy trình làm việc với cơ quan thuế đơn giản, tiện lợi, nhanh chóng hơn so với trước đây. - HUMAN-FAC1]]</f>
        <v>8</v>
      </c>
      <c r="AD376" t="str">
        <f t="shared" si="142"/>
        <v>Support</v>
      </c>
      <c r="AE376" s="32">
        <f t="shared" si="143"/>
        <v>0</v>
      </c>
      <c r="AF376">
        <f>step3_validation[[#This Row],[AI_FAC2]]</f>
        <v>9</v>
      </c>
      <c r="AG376" t="str">
        <f t="shared" si="144"/>
        <v>Support</v>
      </c>
      <c r="AH376">
        <f>survey_responses[[#This Row],[So với trước đây, tôi thấy cách tính thuế và các bậc thuế trong phương án mới đơn giản, dễ hiểu và dễ thực hiện hơn. - HUMAN-FAC2]]</f>
        <v>8</v>
      </c>
      <c r="AI376" t="str">
        <f t="shared" si="145"/>
        <v>Support</v>
      </c>
      <c r="AJ376" s="32">
        <f t="shared" si="146"/>
        <v>1</v>
      </c>
      <c r="AK376">
        <f>step3_validation[[#This Row],[AI_TRU1]]</f>
        <v>7</v>
      </c>
      <c r="AL376" t="str">
        <f t="shared" si="147"/>
        <v>Neutral</v>
      </c>
      <c r="AM376">
        <f>survey_responses[[#This Row],[Tôi tin rằng Nhà nước, cơ quan thuế sẽ thực thi chính sách mới một cách khách quan, công tâm và đối xử bình đẳng với mọi người nộp thuế.  - HUMAN-TRU1]]</f>
        <v>7</v>
      </c>
      <c r="AN376" t="str">
        <f t="shared" si="148"/>
        <v>Neutral</v>
      </c>
      <c r="AO376" s="32">
        <f t="shared" si="149"/>
        <v>0</v>
      </c>
      <c r="AP376">
        <f>step3_validation[[#This Row],[AI_TRU2]]</f>
        <v>8</v>
      </c>
      <c r="AQ376" t="str">
        <f t="shared" si="150"/>
        <v>Support</v>
      </c>
      <c r="AR376">
        <f>survey_responses[[#This Row],[Tôi thấy mức thuế tôi phải đóng theo phương án mới là công bằng (người thu nhập như tôi đóng mức này là hợp lý). - HUMAN-TRU2]]</f>
        <v>6</v>
      </c>
      <c r="AS376" t="str">
        <f t="shared" si="151"/>
        <v>Neutral</v>
      </c>
      <c r="AT376" s="32">
        <f t="shared" si="152"/>
        <v>2</v>
      </c>
      <c r="AU376">
        <f>step3_validation[[#This Row],[AI_TRU3]]</f>
        <v>6</v>
      </c>
      <c r="AV376" t="str">
        <f t="shared" si="153"/>
        <v>Neutral</v>
      </c>
      <c r="AW376">
        <f>survey_responses[[#This Row],[Tôi tin tưởng số tiền thuế tôi đóng sẽ được Nhà nước sử dụng hiệu quả để cải thiện dịch vụ công (y tế, đường xá...). - HUMAN-TRU3]]</f>
        <v>6</v>
      </c>
      <c r="AX376" t="str">
        <f t="shared" si="154"/>
        <v>Neutral</v>
      </c>
      <c r="AY376" s="32">
        <f t="shared" si="155"/>
        <v>0</v>
      </c>
      <c r="AZ376">
        <f>step3_validation[[#This Row],[AI_TRU4]]</f>
        <v>7</v>
      </c>
      <c r="BA376" t="str">
        <f t="shared" si="156"/>
        <v>Neutral</v>
      </c>
      <c r="BB376">
        <f>survey_responses[[#This Row],[Tôi thấy Nhà nước đã giải thích rõ ràng, minh bạch về lý do và mục tiêu của việc sửa đổi thuế lần này. - HUMAN-TRU4]]</f>
        <v>5</v>
      </c>
      <c r="BC376" t="str">
        <f t="shared" si="157"/>
        <v>Neutral</v>
      </c>
      <c r="BD376" s="32">
        <f t="shared" si="158"/>
        <v>2</v>
      </c>
      <c r="BE376">
        <f>step3_validation[[#This Row],[AI_OUT1]]</f>
        <v>8</v>
      </c>
      <c r="BF376" t="str">
        <f t="shared" si="159"/>
        <v>Support</v>
      </c>
      <c r="BG376">
        <f>survey_responses[[#This Row],[Sau khi xem xét các quyền lợi và nghĩa vụ, bạn có ủng hộ và tuân thủ chính sách mới hiện nay? - HUMAN-OUT1]]</f>
        <v>7</v>
      </c>
      <c r="BH376" t="str">
        <f t="shared" si="160"/>
        <v>Neutral</v>
      </c>
      <c r="BI376" s="32">
        <f t="shared" si="161"/>
        <v>1</v>
      </c>
    </row>
    <row r="377" spans="1:61" x14ac:dyDescent="0.45">
      <c r="A377" s="30">
        <f>step3_validation[[#This Row],[Persona_ID]]</f>
        <v>376</v>
      </c>
      <c r="B377" s="31">
        <f>step3_validation[[#This Row],[Used_Seed]]</f>
        <v>376</v>
      </c>
      <c r="C377" t="str">
        <f>step3_validation[[#This Row],[Gender]]</f>
        <v>Nữ</v>
      </c>
      <c r="D377" t="str">
        <f>survey_responses[[#This Row],[Giới tính của bạn:]]</f>
        <v>Nữ</v>
      </c>
      <c r="E377" t="str">
        <f>step3_validation[[#This Row],[Age_Group]]</f>
        <v>25 - 29</v>
      </c>
      <c r="F377" t="str">
        <f>survey_responses[[#This Row],[Độ tuổi của bạn:]]</f>
        <v>25 - 29</v>
      </c>
      <c r="G377" t="str">
        <f>step3_validation[[#This Row],[Region]]</f>
        <v>Thành thị</v>
      </c>
      <c r="H377" t="str">
        <f>survey_responses[[#This Row],[Khu vực bạn đang sinh sống:]]</f>
        <v>Thành thị</v>
      </c>
      <c r="I377" t="str">
        <f>step3_validation[[#This Row],[Education]]</f>
        <v>Đại học</v>
      </c>
      <c r="J377" t="str">
        <f>survey_responses[[#This Row],[Trình độ học vấn cao nhất:]]</f>
        <v>Đại học</v>
      </c>
      <c r="K377" t="str">
        <f>step3_validation[[#This Row],[Employment]]</f>
        <v>Chính thức</v>
      </c>
      <c r="L377" t="str">
        <f>survey_responses[[#This Row],[Tình trạng việc làm chính:]]</f>
        <v>Khu vực chính thức (Có Hợp đồng lao động, đóng BHXH)</v>
      </c>
      <c r="M377">
        <f>step3_validation[[#This Row],[Income_Mil]]</f>
        <v>19.894674786707629</v>
      </c>
      <c r="N377" t="str">
        <f>survey_responses[[#This Row],[Thu nhập bình quân tháng theo Hợp đồng lao động của bạn là bao nhiêu? (Vui lòng điền tổng thu nhập trước khi khấu trừ các loại Bảo hiểm (BHXH, BHYT, BHTN) và Thuế TNCN)]]</f>
        <v>Từ 18 - 23 triệu VNĐ</v>
      </c>
      <c r="O377">
        <f>step3_validation[[#This Row],[Dependents]]</f>
        <v>0</v>
      </c>
      <c r="P377" t="str">
        <f>survey_responses[[#This Row],[Số người phụ thuộc (con nhỏ, cha mẹ già...) đủ điều kiện giảm trừ gia cảnh:]]</f>
        <v>0 người</v>
      </c>
      <c r="Q377">
        <f>step3_validation[[#This Row],[AI_ENF1]]</f>
        <v>9</v>
      </c>
      <c r="R377" t="str">
        <f t="shared" si="135"/>
        <v>Support</v>
      </c>
      <c r="S377">
        <f>survey_responses[[#This Row],[Tôi tin rằng với các quy định quản lý thuế hiện nay, hành vi gian lận hoặc trốn thuế sẽ dễ dàng bị phát hiện và xử lý nghiêm. - HUMAN-ENF1]]</f>
        <v>6</v>
      </c>
      <c r="T377" t="str">
        <f t="shared" si="136"/>
        <v>Neutral</v>
      </c>
      <c r="U377" s="32">
        <f t="shared" si="137"/>
        <v>3</v>
      </c>
      <c r="V377">
        <f>step3_validation[[#This Row],[AI_ENF2]]</f>
        <v>8</v>
      </c>
      <c r="W377" t="str">
        <f t="shared" si="138"/>
        <v>Support</v>
      </c>
      <c r="X377">
        <f>survey_responses[[#This Row],[Tôi tin rằng Nhà nước, cơ quan thuế có đủ khả năng và công nghệ để phát hiện, xử lý nghiêm các hành vi trốn thuế. - HUMAN-ENF2]]</f>
        <v>6</v>
      </c>
      <c r="Y377" t="str">
        <f t="shared" si="139"/>
        <v>Neutral</v>
      </c>
      <c r="Z377" s="32">
        <f t="shared" si="140"/>
        <v>2</v>
      </c>
      <c r="AA377">
        <f>step3_validation[[#This Row],[AI_FAC1]]</f>
        <v>9</v>
      </c>
      <c r="AB377" t="str">
        <f t="shared" si="141"/>
        <v>Support</v>
      </c>
      <c r="AC377">
        <f>survey_responses[[#This Row],[Các thủ tục khai báo thuế VÀ/HOẶC quy trình làm việc với cơ quan thuế đơn giản, tiện lợi, nhanh chóng hơn so với trước đây. - HUMAN-FAC1]]</f>
        <v>5</v>
      </c>
      <c r="AD377" t="str">
        <f t="shared" si="142"/>
        <v>Neutral</v>
      </c>
      <c r="AE377" s="32">
        <f t="shared" si="143"/>
        <v>4</v>
      </c>
      <c r="AF377">
        <f>step3_validation[[#This Row],[AI_FAC2]]</f>
        <v>8</v>
      </c>
      <c r="AG377" t="str">
        <f t="shared" si="144"/>
        <v>Support</v>
      </c>
      <c r="AH377">
        <f>survey_responses[[#This Row],[So với trước đây, tôi thấy cách tính thuế và các bậc thuế trong phương án mới đơn giản, dễ hiểu và dễ thực hiện hơn. - HUMAN-FAC2]]</f>
        <v>7</v>
      </c>
      <c r="AI377" t="str">
        <f t="shared" si="145"/>
        <v>Neutral</v>
      </c>
      <c r="AJ377" s="32">
        <f t="shared" si="146"/>
        <v>1</v>
      </c>
      <c r="AK377">
        <f>step3_validation[[#This Row],[AI_TRU1]]</f>
        <v>9</v>
      </c>
      <c r="AL377" t="str">
        <f t="shared" si="147"/>
        <v>Support</v>
      </c>
      <c r="AM377">
        <f>survey_responses[[#This Row],[Tôi tin rằng Nhà nước, cơ quan thuế sẽ thực thi chính sách mới một cách khách quan, công tâm và đối xử bình đẳng với mọi người nộp thuế.  - HUMAN-TRU1]]</f>
        <v>6</v>
      </c>
      <c r="AN377" t="str">
        <f t="shared" si="148"/>
        <v>Neutral</v>
      </c>
      <c r="AO377" s="32">
        <f t="shared" si="149"/>
        <v>3</v>
      </c>
      <c r="AP377">
        <f>step3_validation[[#This Row],[AI_TRU2]]</f>
        <v>8</v>
      </c>
      <c r="AQ377" t="str">
        <f t="shared" si="150"/>
        <v>Support</v>
      </c>
      <c r="AR377">
        <f>survey_responses[[#This Row],[Tôi thấy mức thuế tôi phải đóng theo phương án mới là công bằng (người thu nhập như tôi đóng mức này là hợp lý). - HUMAN-TRU2]]</f>
        <v>7</v>
      </c>
      <c r="AS377" t="str">
        <f t="shared" si="151"/>
        <v>Neutral</v>
      </c>
      <c r="AT377" s="32">
        <f t="shared" si="152"/>
        <v>1</v>
      </c>
      <c r="AU377">
        <f>step3_validation[[#This Row],[AI_TRU3]]</f>
        <v>9</v>
      </c>
      <c r="AV377" t="str">
        <f t="shared" si="153"/>
        <v>Support</v>
      </c>
      <c r="AW377">
        <f>survey_responses[[#This Row],[Tôi tin tưởng số tiền thuế tôi đóng sẽ được Nhà nước sử dụng hiệu quả để cải thiện dịch vụ công (y tế, đường xá...). - HUMAN-TRU3]]</f>
        <v>5</v>
      </c>
      <c r="AX377" t="str">
        <f t="shared" si="154"/>
        <v>Neutral</v>
      </c>
      <c r="AY377" s="32">
        <f t="shared" si="155"/>
        <v>4</v>
      </c>
      <c r="AZ377">
        <f>step3_validation[[#This Row],[AI_TRU4]]</f>
        <v>8</v>
      </c>
      <c r="BA377" t="str">
        <f t="shared" si="156"/>
        <v>Support</v>
      </c>
      <c r="BB377">
        <f>survey_responses[[#This Row],[Tôi thấy Nhà nước đã giải thích rõ ràng, minh bạch về lý do và mục tiêu của việc sửa đổi thuế lần này. - HUMAN-TRU4]]</f>
        <v>6</v>
      </c>
      <c r="BC377" t="str">
        <f t="shared" si="157"/>
        <v>Neutral</v>
      </c>
      <c r="BD377" s="32">
        <f t="shared" si="158"/>
        <v>2</v>
      </c>
      <c r="BE377">
        <f>step3_validation[[#This Row],[AI_OUT1]]</f>
        <v>9</v>
      </c>
      <c r="BF377" t="str">
        <f t="shared" si="159"/>
        <v>Support</v>
      </c>
      <c r="BG377">
        <f>survey_responses[[#This Row],[Sau khi xem xét các quyền lợi và nghĩa vụ, bạn có ủng hộ và tuân thủ chính sách mới hiện nay? - HUMAN-OUT1]]</f>
        <v>7</v>
      </c>
      <c r="BH377" t="str">
        <f t="shared" si="160"/>
        <v>Neutral</v>
      </c>
      <c r="BI377" s="32">
        <f t="shared" si="161"/>
        <v>2</v>
      </c>
    </row>
    <row r="378" spans="1:61" x14ac:dyDescent="0.45">
      <c r="A378" s="30">
        <f>step3_validation[[#This Row],[Persona_ID]]</f>
        <v>377</v>
      </c>
      <c r="B378" s="31">
        <f>step3_validation[[#This Row],[Used_Seed]]</f>
        <v>377</v>
      </c>
      <c r="C378" t="str">
        <f>step3_validation[[#This Row],[Gender]]</f>
        <v>Nam</v>
      </c>
      <c r="D378" t="str">
        <f>survey_responses[[#This Row],[Giới tính của bạn:]]</f>
        <v>Nam</v>
      </c>
      <c r="E378" t="str">
        <f>step3_validation[[#This Row],[Age_Group]]</f>
        <v>25 - 29</v>
      </c>
      <c r="F378" t="str">
        <f>survey_responses[[#This Row],[Độ tuổi của bạn:]]</f>
        <v>25 - 29</v>
      </c>
      <c r="G378" t="str">
        <f>step3_validation[[#This Row],[Region]]</f>
        <v>Thành thị</v>
      </c>
      <c r="H378" t="str">
        <f>survey_responses[[#This Row],[Khu vực bạn đang sinh sống:]]</f>
        <v>Thành thị</v>
      </c>
      <c r="I378" t="str">
        <f>step3_validation[[#This Row],[Education]]</f>
        <v>Đại học</v>
      </c>
      <c r="J378" t="str">
        <f>survey_responses[[#This Row],[Trình độ học vấn cao nhất:]]</f>
        <v>Đại học</v>
      </c>
      <c r="K378" t="str">
        <f>step3_validation[[#This Row],[Employment]]</f>
        <v>Chính thức</v>
      </c>
      <c r="L378" t="str">
        <f>survey_responses[[#This Row],[Tình trạng việc làm chính:]]</f>
        <v>Khu vực chính thức (Có Hợp đồng lao động, đóng BHXH)</v>
      </c>
      <c r="M378">
        <f>step3_validation[[#This Row],[Income_Mil]]</f>
        <v>13.577587217096811</v>
      </c>
      <c r="N378" t="str">
        <f>survey_responses[[#This Row],[Thu nhập bình quân tháng theo Hợp đồng lao động của bạn là bao nhiêu? (Vui lòng điền tổng thu nhập trước khi khấu trừ các loại Bảo hiểm (BHXH, BHYT, BHTN) và Thuế TNCN)]]</f>
        <v>Từ 12 - 18 triệu VNĐ</v>
      </c>
      <c r="O378">
        <f>step3_validation[[#This Row],[Dependents]]</f>
        <v>0</v>
      </c>
      <c r="P378" t="str">
        <f>survey_responses[[#This Row],[Số người phụ thuộc (con nhỏ, cha mẹ già...) đủ điều kiện giảm trừ gia cảnh:]]</f>
        <v>0 người</v>
      </c>
      <c r="Q378">
        <f>step3_validation[[#This Row],[AI_ENF1]]</f>
        <v>6</v>
      </c>
      <c r="R378" t="str">
        <f t="shared" si="135"/>
        <v>Neutral</v>
      </c>
      <c r="S378">
        <f>survey_responses[[#This Row],[Tôi tin rằng với các quy định quản lý thuế hiện nay, hành vi gian lận hoặc trốn thuế sẽ dễ dàng bị phát hiện và xử lý nghiêm. - HUMAN-ENF1]]</f>
        <v>7</v>
      </c>
      <c r="T378" t="str">
        <f t="shared" si="136"/>
        <v>Neutral</v>
      </c>
      <c r="U378" s="32">
        <f t="shared" si="137"/>
        <v>1</v>
      </c>
      <c r="V378">
        <f>step3_validation[[#This Row],[AI_ENF2]]</f>
        <v>7</v>
      </c>
      <c r="W378" t="str">
        <f t="shared" si="138"/>
        <v>Neutral</v>
      </c>
      <c r="X378">
        <f>survey_responses[[#This Row],[Tôi tin rằng Nhà nước, cơ quan thuế có đủ khả năng và công nghệ để phát hiện, xử lý nghiêm các hành vi trốn thuế. - HUMAN-ENF2]]</f>
        <v>8</v>
      </c>
      <c r="Y378" t="str">
        <f t="shared" si="139"/>
        <v>Support</v>
      </c>
      <c r="Z378" s="32">
        <f t="shared" si="140"/>
        <v>1</v>
      </c>
      <c r="AA378">
        <f>step3_validation[[#This Row],[AI_FAC1]]</f>
        <v>8</v>
      </c>
      <c r="AB378" t="str">
        <f t="shared" si="141"/>
        <v>Support</v>
      </c>
      <c r="AC378">
        <f>survey_responses[[#This Row],[Các thủ tục khai báo thuế VÀ/HOẶC quy trình làm việc với cơ quan thuế đơn giản, tiện lợi, nhanh chóng hơn so với trước đây. - HUMAN-FAC1]]</f>
        <v>7</v>
      </c>
      <c r="AD378" t="str">
        <f t="shared" si="142"/>
        <v>Neutral</v>
      </c>
      <c r="AE378" s="32">
        <f t="shared" si="143"/>
        <v>1</v>
      </c>
      <c r="AF378">
        <f>step3_validation[[#This Row],[AI_FAC2]]</f>
        <v>9</v>
      </c>
      <c r="AG378" t="str">
        <f t="shared" si="144"/>
        <v>Support</v>
      </c>
      <c r="AH378">
        <f>survey_responses[[#This Row],[So với trước đây, tôi thấy cách tính thuế và các bậc thuế trong phương án mới đơn giản, dễ hiểu và dễ thực hiện hơn. - HUMAN-FAC2]]</f>
        <v>7</v>
      </c>
      <c r="AI378" t="str">
        <f t="shared" si="145"/>
        <v>Neutral</v>
      </c>
      <c r="AJ378" s="32">
        <f t="shared" si="146"/>
        <v>2</v>
      </c>
      <c r="AK378">
        <f>step3_validation[[#This Row],[AI_TRU1]]</f>
        <v>8</v>
      </c>
      <c r="AL378" t="str">
        <f t="shared" si="147"/>
        <v>Support</v>
      </c>
      <c r="AM378">
        <f>survey_responses[[#This Row],[Tôi tin rằng Nhà nước, cơ quan thuế sẽ thực thi chính sách mới một cách khách quan, công tâm và đối xử bình đẳng với mọi người nộp thuế.  - HUMAN-TRU1]]</f>
        <v>8</v>
      </c>
      <c r="AN378" t="str">
        <f t="shared" si="148"/>
        <v>Support</v>
      </c>
      <c r="AO378" s="32">
        <f t="shared" si="149"/>
        <v>0</v>
      </c>
      <c r="AP378">
        <f>step3_validation[[#This Row],[AI_TRU2]]</f>
        <v>9</v>
      </c>
      <c r="AQ378" t="str">
        <f t="shared" si="150"/>
        <v>Support</v>
      </c>
      <c r="AR378">
        <f>survey_responses[[#This Row],[Tôi thấy mức thuế tôi phải đóng theo phương án mới là công bằng (người thu nhập như tôi đóng mức này là hợp lý). - HUMAN-TRU2]]</f>
        <v>9</v>
      </c>
      <c r="AS378" t="str">
        <f t="shared" si="151"/>
        <v>Support</v>
      </c>
      <c r="AT378" s="32">
        <f t="shared" si="152"/>
        <v>0</v>
      </c>
      <c r="AU378">
        <f>step3_validation[[#This Row],[AI_TRU3]]</f>
        <v>8</v>
      </c>
      <c r="AV378" t="str">
        <f t="shared" si="153"/>
        <v>Support</v>
      </c>
      <c r="AW378">
        <f>survey_responses[[#This Row],[Tôi tin tưởng số tiền thuế tôi đóng sẽ được Nhà nước sử dụng hiệu quả để cải thiện dịch vụ công (y tế, đường xá...). - HUMAN-TRU3]]</f>
        <v>7</v>
      </c>
      <c r="AX378" t="str">
        <f t="shared" si="154"/>
        <v>Neutral</v>
      </c>
      <c r="AY378" s="32">
        <f t="shared" si="155"/>
        <v>1</v>
      </c>
      <c r="AZ378">
        <f>step3_validation[[#This Row],[AI_TRU4]]</f>
        <v>7</v>
      </c>
      <c r="BA378" t="str">
        <f t="shared" si="156"/>
        <v>Neutral</v>
      </c>
      <c r="BB378">
        <f>survey_responses[[#This Row],[Tôi thấy Nhà nước đã giải thích rõ ràng, minh bạch về lý do và mục tiêu của việc sửa đổi thuế lần này. - HUMAN-TRU4]]</f>
        <v>7</v>
      </c>
      <c r="BC378" t="str">
        <f t="shared" si="157"/>
        <v>Neutral</v>
      </c>
      <c r="BD378" s="32">
        <f t="shared" si="158"/>
        <v>0</v>
      </c>
      <c r="BE378">
        <f>step3_validation[[#This Row],[AI_OUT1]]</f>
        <v>8</v>
      </c>
      <c r="BF378" t="str">
        <f t="shared" si="159"/>
        <v>Support</v>
      </c>
      <c r="BG378">
        <f>survey_responses[[#This Row],[Sau khi xem xét các quyền lợi và nghĩa vụ, bạn có ủng hộ và tuân thủ chính sách mới hiện nay? - HUMAN-OUT1]]</f>
        <v>8</v>
      </c>
      <c r="BH378" t="str">
        <f t="shared" si="160"/>
        <v>Support</v>
      </c>
      <c r="BI378" s="32">
        <f t="shared" si="161"/>
        <v>0</v>
      </c>
    </row>
    <row r="379" spans="1:61" x14ac:dyDescent="0.45">
      <c r="A379" s="30">
        <f>step3_validation[[#This Row],[Persona_ID]]</f>
        <v>378</v>
      </c>
      <c r="B379" s="31">
        <f>step3_validation[[#This Row],[Used_Seed]]</f>
        <v>378</v>
      </c>
      <c r="C379" t="str">
        <f>step3_validation[[#This Row],[Gender]]</f>
        <v>Nữ</v>
      </c>
      <c r="D379" t="str">
        <f>survey_responses[[#This Row],[Giới tính của bạn:]]</f>
        <v>Nữ</v>
      </c>
      <c r="E379" t="str">
        <f>step3_validation[[#This Row],[Age_Group]]</f>
        <v>18 - 24</v>
      </c>
      <c r="F379" t="str">
        <f>survey_responses[[#This Row],[Độ tuổi của bạn:]]</f>
        <v>18 - 24</v>
      </c>
      <c r="G379" t="str">
        <f>step3_validation[[#This Row],[Region]]</f>
        <v>Thành thị</v>
      </c>
      <c r="H379" t="str">
        <f>survey_responses[[#This Row],[Khu vực bạn đang sinh sống:]]</f>
        <v>Thành thị</v>
      </c>
      <c r="I379" t="str">
        <f>step3_validation[[#This Row],[Education]]</f>
        <v>Đại học</v>
      </c>
      <c r="J379" t="str">
        <f>survey_responses[[#This Row],[Trình độ học vấn cao nhất:]]</f>
        <v>Đại học</v>
      </c>
      <c r="K379" t="str">
        <f>step3_validation[[#This Row],[Employment]]</f>
        <v>Chính thức</v>
      </c>
      <c r="L379" t="str">
        <f>survey_responses[[#This Row],[Tình trạng việc làm chính:]]</f>
        <v>Khu vực chính thức (Có Hợp đồng lao động, đóng BHXH)</v>
      </c>
      <c r="M379">
        <f>step3_validation[[#This Row],[Income_Mil]]</f>
        <v>20.257503988832447</v>
      </c>
      <c r="N379" t="str">
        <f>survey_responses[[#This Row],[Thu nhập bình quân tháng theo Hợp đồng lao động của bạn là bao nhiêu? (Vui lòng điền tổng thu nhập trước khi khấu trừ các loại Bảo hiểm (BHXH, BHYT, BHTN) và Thuế TNCN)]]</f>
        <v>Từ 18 - 23 triệu VNĐ</v>
      </c>
      <c r="O379">
        <f>step3_validation[[#This Row],[Dependents]]</f>
        <v>0</v>
      </c>
      <c r="P379" t="str">
        <f>survey_responses[[#This Row],[Số người phụ thuộc (con nhỏ, cha mẹ già...) đủ điều kiện giảm trừ gia cảnh:]]</f>
        <v>0 người</v>
      </c>
      <c r="Q379">
        <f>step3_validation[[#This Row],[AI_ENF1]]</f>
        <v>7</v>
      </c>
      <c r="R379" t="str">
        <f t="shared" si="135"/>
        <v>Neutral</v>
      </c>
      <c r="S379">
        <f>survey_responses[[#This Row],[Tôi tin rằng với các quy định quản lý thuế hiện nay, hành vi gian lận hoặc trốn thuế sẽ dễ dàng bị phát hiện và xử lý nghiêm. - HUMAN-ENF1]]</f>
        <v>6</v>
      </c>
      <c r="T379" t="str">
        <f t="shared" si="136"/>
        <v>Neutral</v>
      </c>
      <c r="U379" s="32">
        <f t="shared" si="137"/>
        <v>1</v>
      </c>
      <c r="V379">
        <f>step3_validation[[#This Row],[AI_ENF2]]</f>
        <v>6</v>
      </c>
      <c r="W379" t="str">
        <f t="shared" si="138"/>
        <v>Neutral</v>
      </c>
      <c r="X379">
        <f>survey_responses[[#This Row],[Tôi tin rằng Nhà nước, cơ quan thuế có đủ khả năng và công nghệ để phát hiện, xử lý nghiêm các hành vi trốn thuế. - HUMAN-ENF2]]</f>
        <v>7</v>
      </c>
      <c r="Y379" t="str">
        <f t="shared" si="139"/>
        <v>Neutral</v>
      </c>
      <c r="Z379" s="32">
        <f t="shared" si="140"/>
        <v>1</v>
      </c>
      <c r="AA379">
        <f>step3_validation[[#This Row],[AI_FAC1]]</f>
        <v>8</v>
      </c>
      <c r="AB379" t="str">
        <f t="shared" si="141"/>
        <v>Support</v>
      </c>
      <c r="AC379">
        <f>survey_responses[[#This Row],[Các thủ tục khai báo thuế VÀ/HOẶC quy trình làm việc với cơ quan thuế đơn giản, tiện lợi, nhanh chóng hơn so với trước đây. - HUMAN-FAC1]]</f>
        <v>5</v>
      </c>
      <c r="AD379" t="str">
        <f t="shared" si="142"/>
        <v>Neutral</v>
      </c>
      <c r="AE379" s="32">
        <f t="shared" si="143"/>
        <v>3</v>
      </c>
      <c r="AF379">
        <f>step3_validation[[#This Row],[AI_FAC2]]</f>
        <v>9</v>
      </c>
      <c r="AG379" t="str">
        <f t="shared" si="144"/>
        <v>Support</v>
      </c>
      <c r="AH379">
        <f>survey_responses[[#This Row],[So với trước đây, tôi thấy cách tính thuế và các bậc thuế trong phương án mới đơn giản, dễ hiểu và dễ thực hiện hơn. - HUMAN-FAC2]]</f>
        <v>8</v>
      </c>
      <c r="AI379" t="str">
        <f t="shared" si="145"/>
        <v>Support</v>
      </c>
      <c r="AJ379" s="32">
        <f t="shared" si="146"/>
        <v>1</v>
      </c>
      <c r="AK379">
        <f>step3_validation[[#This Row],[AI_TRU1]]</f>
        <v>8</v>
      </c>
      <c r="AL379" t="str">
        <f t="shared" si="147"/>
        <v>Support</v>
      </c>
      <c r="AM379">
        <f>survey_responses[[#This Row],[Tôi tin rằng Nhà nước, cơ quan thuế sẽ thực thi chính sách mới một cách khách quan, công tâm và đối xử bình đẳng với mọi người nộp thuế.  - HUMAN-TRU1]]</f>
        <v>7</v>
      </c>
      <c r="AN379" t="str">
        <f t="shared" si="148"/>
        <v>Neutral</v>
      </c>
      <c r="AO379" s="32">
        <f t="shared" si="149"/>
        <v>1</v>
      </c>
      <c r="AP379">
        <f>step3_validation[[#This Row],[AI_TRU2]]</f>
        <v>9</v>
      </c>
      <c r="AQ379" t="str">
        <f t="shared" si="150"/>
        <v>Support</v>
      </c>
      <c r="AR379">
        <f>survey_responses[[#This Row],[Tôi thấy mức thuế tôi phải đóng theo phương án mới là công bằng (người thu nhập như tôi đóng mức này là hợp lý). - HUMAN-TRU2]]</f>
        <v>7</v>
      </c>
      <c r="AS379" t="str">
        <f t="shared" si="151"/>
        <v>Neutral</v>
      </c>
      <c r="AT379" s="32">
        <f t="shared" si="152"/>
        <v>2</v>
      </c>
      <c r="AU379">
        <f>step3_validation[[#This Row],[AI_TRU3]]</f>
        <v>8</v>
      </c>
      <c r="AV379" t="str">
        <f t="shared" si="153"/>
        <v>Support</v>
      </c>
      <c r="AW379">
        <f>survey_responses[[#This Row],[Tôi tin tưởng số tiền thuế tôi đóng sẽ được Nhà nước sử dụng hiệu quả để cải thiện dịch vụ công (y tế, đường xá...). - HUMAN-TRU3]]</f>
        <v>7</v>
      </c>
      <c r="AX379" t="str">
        <f t="shared" si="154"/>
        <v>Neutral</v>
      </c>
      <c r="AY379" s="32">
        <f t="shared" si="155"/>
        <v>1</v>
      </c>
      <c r="AZ379">
        <f>step3_validation[[#This Row],[AI_TRU4]]</f>
        <v>9</v>
      </c>
      <c r="BA379" t="str">
        <f t="shared" si="156"/>
        <v>Support</v>
      </c>
      <c r="BB379">
        <f>survey_responses[[#This Row],[Tôi thấy Nhà nước đã giải thích rõ ràng, minh bạch về lý do và mục tiêu của việc sửa đổi thuế lần này. - HUMAN-TRU4]]</f>
        <v>7</v>
      </c>
      <c r="BC379" t="str">
        <f t="shared" si="157"/>
        <v>Neutral</v>
      </c>
      <c r="BD379" s="32">
        <f t="shared" si="158"/>
        <v>2</v>
      </c>
      <c r="BE379">
        <f>step3_validation[[#This Row],[AI_OUT1]]</f>
        <v>9</v>
      </c>
      <c r="BF379" t="str">
        <f t="shared" si="159"/>
        <v>Support</v>
      </c>
      <c r="BG379">
        <f>survey_responses[[#This Row],[Sau khi xem xét các quyền lợi và nghĩa vụ, bạn có ủng hộ và tuân thủ chính sách mới hiện nay? - HUMAN-OUT1]]</f>
        <v>8</v>
      </c>
      <c r="BH379" t="str">
        <f t="shared" si="160"/>
        <v>Support</v>
      </c>
      <c r="BI379" s="32">
        <f t="shared" si="161"/>
        <v>1</v>
      </c>
    </row>
    <row r="380" spans="1:61" x14ac:dyDescent="0.45">
      <c r="A380" s="30">
        <f>step3_validation[[#This Row],[Persona_ID]]</f>
        <v>379</v>
      </c>
      <c r="B380" s="31">
        <f>step3_validation[[#This Row],[Used_Seed]]</f>
        <v>379</v>
      </c>
      <c r="C380" t="str">
        <f>step3_validation[[#This Row],[Gender]]</f>
        <v>Nữ</v>
      </c>
      <c r="D380" t="str">
        <f>survey_responses[[#This Row],[Giới tính của bạn:]]</f>
        <v>Nữ</v>
      </c>
      <c r="E380" t="str">
        <f>step3_validation[[#This Row],[Age_Group]]</f>
        <v>18 - 24</v>
      </c>
      <c r="F380" t="str">
        <f>survey_responses[[#This Row],[Độ tuổi của bạn:]]</f>
        <v>18 - 24</v>
      </c>
      <c r="G380" t="str">
        <f>step3_validation[[#This Row],[Region]]</f>
        <v>Thành thị</v>
      </c>
      <c r="H380" t="str">
        <f>survey_responses[[#This Row],[Khu vực bạn đang sinh sống:]]</f>
        <v>Thành thị</v>
      </c>
      <c r="I380" t="str">
        <f>step3_validation[[#This Row],[Education]]</f>
        <v>Đại học</v>
      </c>
      <c r="J380" t="str">
        <f>survey_responses[[#This Row],[Trình độ học vấn cao nhất:]]</f>
        <v>Đại học</v>
      </c>
      <c r="K380" t="str">
        <f>step3_validation[[#This Row],[Employment]]</f>
        <v>Chính thức</v>
      </c>
      <c r="L380" t="str">
        <f>survey_responses[[#This Row],[Tình trạng việc làm chính:]]</f>
        <v>Khu vực chính thức (Có Hợp đồng lao động, đóng BHXH)</v>
      </c>
      <c r="M380">
        <f>step3_validation[[#This Row],[Income_Mil]]</f>
        <v>15.090531433336762</v>
      </c>
      <c r="N380" t="str">
        <f>survey_responses[[#This Row],[Thu nhập bình quân tháng theo Hợp đồng lao động của bạn là bao nhiêu? (Vui lòng điền tổng thu nhập trước khi khấu trừ các loại Bảo hiểm (BHXH, BHYT, BHTN) và Thuế TNCN)]]</f>
        <v>Từ 12 - 18 triệu VNĐ</v>
      </c>
      <c r="O380">
        <f>step3_validation[[#This Row],[Dependents]]</f>
        <v>0</v>
      </c>
      <c r="P380" t="str">
        <f>survey_responses[[#This Row],[Số người phụ thuộc (con nhỏ, cha mẹ già...) đủ điều kiện giảm trừ gia cảnh:]]</f>
        <v>0 người</v>
      </c>
      <c r="Q380">
        <f>step3_validation[[#This Row],[AI_ENF1]]</f>
        <v>5</v>
      </c>
      <c r="R380" t="str">
        <f t="shared" si="135"/>
        <v>Neutral</v>
      </c>
      <c r="S380">
        <f>survey_responses[[#This Row],[Tôi tin rằng với các quy định quản lý thuế hiện nay, hành vi gian lận hoặc trốn thuế sẽ dễ dàng bị phát hiện và xử lý nghiêm. - HUMAN-ENF1]]</f>
        <v>8</v>
      </c>
      <c r="T380" t="str">
        <f t="shared" si="136"/>
        <v>Support</v>
      </c>
      <c r="U380" s="32">
        <f t="shared" si="137"/>
        <v>3</v>
      </c>
      <c r="V380">
        <f>step3_validation[[#This Row],[AI_ENF2]]</f>
        <v>6</v>
      </c>
      <c r="W380" t="str">
        <f t="shared" si="138"/>
        <v>Neutral</v>
      </c>
      <c r="X380">
        <f>survey_responses[[#This Row],[Tôi tin rằng Nhà nước, cơ quan thuế có đủ khả năng và công nghệ để phát hiện, xử lý nghiêm các hành vi trốn thuế. - HUMAN-ENF2]]</f>
        <v>8</v>
      </c>
      <c r="Y380" t="str">
        <f t="shared" si="139"/>
        <v>Support</v>
      </c>
      <c r="Z380" s="32">
        <f t="shared" si="140"/>
        <v>2</v>
      </c>
      <c r="AA380">
        <f>step3_validation[[#This Row],[AI_FAC1]]</f>
        <v>8</v>
      </c>
      <c r="AB380" t="str">
        <f t="shared" si="141"/>
        <v>Support</v>
      </c>
      <c r="AC380">
        <f>survey_responses[[#This Row],[Các thủ tục khai báo thuế VÀ/HOẶC quy trình làm việc với cơ quan thuế đơn giản, tiện lợi, nhanh chóng hơn so với trước đây. - HUMAN-FAC1]]</f>
        <v>9</v>
      </c>
      <c r="AD380" t="str">
        <f t="shared" si="142"/>
        <v>Support</v>
      </c>
      <c r="AE380" s="32">
        <f t="shared" si="143"/>
        <v>1</v>
      </c>
      <c r="AF380">
        <f>step3_validation[[#This Row],[AI_FAC2]]</f>
        <v>6</v>
      </c>
      <c r="AG380" t="str">
        <f t="shared" si="144"/>
        <v>Neutral</v>
      </c>
      <c r="AH380">
        <f>survey_responses[[#This Row],[So với trước đây, tôi thấy cách tính thuế và các bậc thuế trong phương án mới đơn giản, dễ hiểu và dễ thực hiện hơn. - HUMAN-FAC2]]</f>
        <v>9</v>
      </c>
      <c r="AI380" t="str">
        <f t="shared" si="145"/>
        <v>Support</v>
      </c>
      <c r="AJ380" s="32">
        <f t="shared" si="146"/>
        <v>3</v>
      </c>
      <c r="AK380">
        <f>step3_validation[[#This Row],[AI_TRU1]]</f>
        <v>7</v>
      </c>
      <c r="AL380" t="str">
        <f t="shared" si="147"/>
        <v>Neutral</v>
      </c>
      <c r="AM380">
        <f>survey_responses[[#This Row],[Tôi tin rằng Nhà nước, cơ quan thuế sẽ thực thi chính sách mới một cách khách quan, công tâm và đối xử bình đẳng với mọi người nộp thuế.  - HUMAN-TRU1]]</f>
        <v>7</v>
      </c>
      <c r="AN380" t="str">
        <f t="shared" si="148"/>
        <v>Neutral</v>
      </c>
      <c r="AO380" s="32">
        <f t="shared" si="149"/>
        <v>0</v>
      </c>
      <c r="AP380">
        <f>step3_validation[[#This Row],[AI_TRU2]]</f>
        <v>9</v>
      </c>
      <c r="AQ380" t="str">
        <f t="shared" si="150"/>
        <v>Support</v>
      </c>
      <c r="AR380">
        <f>survey_responses[[#This Row],[Tôi thấy mức thuế tôi phải đóng theo phương án mới là công bằng (người thu nhập như tôi đóng mức này là hợp lý). - HUMAN-TRU2]]</f>
        <v>9</v>
      </c>
      <c r="AS380" t="str">
        <f t="shared" si="151"/>
        <v>Support</v>
      </c>
      <c r="AT380" s="32">
        <f t="shared" si="152"/>
        <v>0</v>
      </c>
      <c r="AU380">
        <f>step3_validation[[#This Row],[AI_TRU3]]</f>
        <v>8</v>
      </c>
      <c r="AV380" t="str">
        <f t="shared" si="153"/>
        <v>Support</v>
      </c>
      <c r="AW380">
        <f>survey_responses[[#This Row],[Tôi tin tưởng số tiền thuế tôi đóng sẽ được Nhà nước sử dụng hiệu quả để cải thiện dịch vụ công (y tế, đường xá...). - HUMAN-TRU3]]</f>
        <v>7</v>
      </c>
      <c r="AX380" t="str">
        <f t="shared" si="154"/>
        <v>Neutral</v>
      </c>
      <c r="AY380" s="32">
        <f t="shared" si="155"/>
        <v>1</v>
      </c>
      <c r="AZ380">
        <f>step3_validation[[#This Row],[AI_TRU4]]</f>
        <v>7</v>
      </c>
      <c r="BA380" t="str">
        <f t="shared" si="156"/>
        <v>Neutral</v>
      </c>
      <c r="BB380">
        <f>survey_responses[[#This Row],[Tôi thấy Nhà nước đã giải thích rõ ràng, minh bạch về lý do và mục tiêu của việc sửa đổi thuế lần này. - HUMAN-TRU4]]</f>
        <v>7</v>
      </c>
      <c r="BC380" t="str">
        <f t="shared" si="157"/>
        <v>Neutral</v>
      </c>
      <c r="BD380" s="32">
        <f t="shared" si="158"/>
        <v>0</v>
      </c>
      <c r="BE380">
        <f>step3_validation[[#This Row],[AI_OUT1]]</f>
        <v>9</v>
      </c>
      <c r="BF380" t="str">
        <f t="shared" si="159"/>
        <v>Support</v>
      </c>
      <c r="BG380">
        <f>survey_responses[[#This Row],[Sau khi xem xét các quyền lợi và nghĩa vụ, bạn có ủng hộ và tuân thủ chính sách mới hiện nay? - HUMAN-OUT1]]</f>
        <v>9</v>
      </c>
      <c r="BH380" t="str">
        <f t="shared" si="160"/>
        <v>Support</v>
      </c>
      <c r="BI380" s="32">
        <f t="shared" si="161"/>
        <v>0</v>
      </c>
    </row>
    <row r="381" spans="1:61" x14ac:dyDescent="0.45">
      <c r="A381" s="30">
        <f>step3_validation[[#This Row],[Persona_ID]]</f>
        <v>380</v>
      </c>
      <c r="B381" s="31">
        <f>step3_validation[[#This Row],[Used_Seed]]</f>
        <v>380</v>
      </c>
      <c r="C381" t="str">
        <f>step3_validation[[#This Row],[Gender]]</f>
        <v>Nam</v>
      </c>
      <c r="D381" t="str">
        <f>survey_responses[[#This Row],[Giới tính của bạn:]]</f>
        <v>Nam</v>
      </c>
      <c r="E381" t="str">
        <f>step3_validation[[#This Row],[Age_Group]]</f>
        <v>18 - 24</v>
      </c>
      <c r="F381" t="str">
        <f>survey_responses[[#This Row],[Độ tuổi của bạn:]]</f>
        <v>18 - 24</v>
      </c>
      <c r="G381" t="str">
        <f>step3_validation[[#This Row],[Region]]</f>
        <v>Thành thị</v>
      </c>
      <c r="H381" t="str">
        <f>survey_responses[[#This Row],[Khu vực bạn đang sinh sống:]]</f>
        <v>Thành thị</v>
      </c>
      <c r="I381" t="str">
        <f>step3_validation[[#This Row],[Education]]</f>
        <v>Đại học</v>
      </c>
      <c r="J381" t="str">
        <f>survey_responses[[#This Row],[Trình độ học vấn cao nhất:]]</f>
        <v>Đại học</v>
      </c>
      <c r="K381" t="str">
        <f>step3_validation[[#This Row],[Employment]]</f>
        <v>Chính thức</v>
      </c>
      <c r="L381" t="str">
        <f>survey_responses[[#This Row],[Tình trạng việc làm chính:]]</f>
        <v>Khu vực chính thức (Có Hợp đồng lao động, đóng BHXH)</v>
      </c>
      <c r="M381">
        <f>step3_validation[[#This Row],[Income_Mil]]</f>
        <v>18.87005309998602</v>
      </c>
      <c r="N381" t="str">
        <f>survey_responses[[#This Row],[Thu nhập bình quân tháng theo Hợp đồng lao động của bạn là bao nhiêu? (Vui lòng điền tổng thu nhập trước khi khấu trừ các loại Bảo hiểm (BHXH, BHYT, BHTN) và Thuế TNCN)]]</f>
        <v>Từ 18 - 23 triệu VNĐ</v>
      </c>
      <c r="O381">
        <f>step3_validation[[#This Row],[Dependents]]</f>
        <v>0</v>
      </c>
      <c r="P381" t="str">
        <f>survey_responses[[#This Row],[Số người phụ thuộc (con nhỏ, cha mẹ già...) đủ điều kiện giảm trừ gia cảnh:]]</f>
        <v>0 người</v>
      </c>
      <c r="Q381">
        <f>step3_validation[[#This Row],[AI_ENF1]]</f>
        <v>7</v>
      </c>
      <c r="R381" t="str">
        <f t="shared" si="135"/>
        <v>Neutral</v>
      </c>
      <c r="S381">
        <f>survey_responses[[#This Row],[Tôi tin rằng với các quy định quản lý thuế hiện nay, hành vi gian lận hoặc trốn thuế sẽ dễ dàng bị phát hiện và xử lý nghiêm. - HUMAN-ENF1]]</f>
        <v>8</v>
      </c>
      <c r="T381" t="str">
        <f t="shared" si="136"/>
        <v>Support</v>
      </c>
      <c r="U381" s="32">
        <f t="shared" si="137"/>
        <v>1</v>
      </c>
      <c r="V381">
        <f>step3_validation[[#This Row],[AI_ENF2]]</f>
        <v>7</v>
      </c>
      <c r="W381" t="str">
        <f t="shared" si="138"/>
        <v>Neutral</v>
      </c>
      <c r="X381">
        <f>survey_responses[[#This Row],[Tôi tin rằng Nhà nước, cơ quan thuế có đủ khả năng và công nghệ để phát hiện, xử lý nghiêm các hành vi trốn thuế. - HUMAN-ENF2]]</f>
        <v>8</v>
      </c>
      <c r="Y381" t="str">
        <f t="shared" si="139"/>
        <v>Support</v>
      </c>
      <c r="Z381" s="32">
        <f t="shared" si="140"/>
        <v>1</v>
      </c>
      <c r="AA381">
        <f>step3_validation[[#This Row],[AI_FAC1]]</f>
        <v>8</v>
      </c>
      <c r="AB381" t="str">
        <f t="shared" si="141"/>
        <v>Support</v>
      </c>
      <c r="AC381">
        <f>survey_responses[[#This Row],[Các thủ tục khai báo thuế VÀ/HOẶC quy trình làm việc với cơ quan thuế đơn giản, tiện lợi, nhanh chóng hơn so với trước đây. - HUMAN-FAC1]]</f>
        <v>5</v>
      </c>
      <c r="AD381" t="str">
        <f t="shared" si="142"/>
        <v>Neutral</v>
      </c>
      <c r="AE381" s="32">
        <f t="shared" si="143"/>
        <v>3</v>
      </c>
      <c r="AF381">
        <f>step3_validation[[#This Row],[AI_FAC2]]</f>
        <v>8</v>
      </c>
      <c r="AG381" t="str">
        <f t="shared" si="144"/>
        <v>Support</v>
      </c>
      <c r="AH381">
        <f>survey_responses[[#This Row],[So với trước đây, tôi thấy cách tính thuế và các bậc thuế trong phương án mới đơn giản, dễ hiểu và dễ thực hiện hơn. - HUMAN-FAC2]]</f>
        <v>8</v>
      </c>
      <c r="AI381" t="str">
        <f t="shared" si="145"/>
        <v>Support</v>
      </c>
      <c r="AJ381" s="32">
        <f t="shared" si="146"/>
        <v>0</v>
      </c>
      <c r="AK381">
        <f>step3_validation[[#This Row],[AI_TRU1]]</f>
        <v>8</v>
      </c>
      <c r="AL381" t="str">
        <f t="shared" si="147"/>
        <v>Support</v>
      </c>
      <c r="AM381">
        <f>survey_responses[[#This Row],[Tôi tin rằng Nhà nước, cơ quan thuế sẽ thực thi chính sách mới một cách khách quan, công tâm và đối xử bình đẳng với mọi người nộp thuế.  - HUMAN-TRU1]]</f>
        <v>6</v>
      </c>
      <c r="AN381" t="str">
        <f t="shared" si="148"/>
        <v>Neutral</v>
      </c>
      <c r="AO381" s="32">
        <f t="shared" si="149"/>
        <v>2</v>
      </c>
      <c r="AP381">
        <f>step3_validation[[#This Row],[AI_TRU2]]</f>
        <v>9</v>
      </c>
      <c r="AQ381" t="str">
        <f t="shared" si="150"/>
        <v>Support</v>
      </c>
      <c r="AR381">
        <f>survey_responses[[#This Row],[Tôi thấy mức thuế tôi phải đóng theo phương án mới là công bằng (người thu nhập như tôi đóng mức này là hợp lý). - HUMAN-TRU2]]</f>
        <v>9</v>
      </c>
      <c r="AS381" t="str">
        <f t="shared" si="151"/>
        <v>Support</v>
      </c>
      <c r="AT381" s="32">
        <f t="shared" si="152"/>
        <v>0</v>
      </c>
      <c r="AU381">
        <f>step3_validation[[#This Row],[AI_TRU3]]</f>
        <v>8</v>
      </c>
      <c r="AV381" t="str">
        <f t="shared" si="153"/>
        <v>Support</v>
      </c>
      <c r="AW381">
        <f>survey_responses[[#This Row],[Tôi tin tưởng số tiền thuế tôi đóng sẽ được Nhà nước sử dụng hiệu quả để cải thiện dịch vụ công (y tế, đường xá...). - HUMAN-TRU3]]</f>
        <v>5</v>
      </c>
      <c r="AX381" t="str">
        <f t="shared" si="154"/>
        <v>Neutral</v>
      </c>
      <c r="AY381" s="32">
        <f t="shared" si="155"/>
        <v>3</v>
      </c>
      <c r="AZ381">
        <f>step3_validation[[#This Row],[AI_TRU4]]</f>
        <v>7</v>
      </c>
      <c r="BA381" t="str">
        <f t="shared" si="156"/>
        <v>Neutral</v>
      </c>
      <c r="BB381">
        <f>survey_responses[[#This Row],[Tôi thấy Nhà nước đã giải thích rõ ràng, minh bạch về lý do và mục tiêu của việc sửa đổi thuế lần này. - HUMAN-TRU4]]</f>
        <v>7</v>
      </c>
      <c r="BC381" t="str">
        <f t="shared" si="157"/>
        <v>Neutral</v>
      </c>
      <c r="BD381" s="32">
        <f t="shared" si="158"/>
        <v>0</v>
      </c>
      <c r="BE381">
        <f>step3_validation[[#This Row],[AI_OUT1]]</f>
        <v>9</v>
      </c>
      <c r="BF381" t="str">
        <f t="shared" si="159"/>
        <v>Support</v>
      </c>
      <c r="BG381">
        <f>survey_responses[[#This Row],[Sau khi xem xét các quyền lợi và nghĩa vụ, bạn có ủng hộ và tuân thủ chính sách mới hiện nay? - HUMAN-OUT1]]</f>
        <v>8</v>
      </c>
      <c r="BH381" t="str">
        <f t="shared" si="160"/>
        <v>Support</v>
      </c>
      <c r="BI381" s="32">
        <f t="shared" si="161"/>
        <v>1</v>
      </c>
    </row>
    <row r="382" spans="1:61" x14ac:dyDescent="0.45">
      <c r="A382" s="30">
        <f>step3_validation[[#This Row],[Persona_ID]]</f>
        <v>381</v>
      </c>
      <c r="B382" s="31">
        <f>step3_validation[[#This Row],[Used_Seed]]</f>
        <v>381</v>
      </c>
      <c r="C382" t="str">
        <f>step3_validation[[#This Row],[Gender]]</f>
        <v>Nam</v>
      </c>
      <c r="D382" t="str">
        <f>survey_responses[[#This Row],[Giới tính của bạn:]]</f>
        <v>Nam</v>
      </c>
      <c r="E382" t="str">
        <f>step3_validation[[#This Row],[Age_Group]]</f>
        <v>18 - 24</v>
      </c>
      <c r="F382" t="str">
        <f>survey_responses[[#This Row],[Độ tuổi của bạn:]]</f>
        <v>18 - 24</v>
      </c>
      <c r="G382" t="str">
        <f>step3_validation[[#This Row],[Region]]</f>
        <v>Thành thị</v>
      </c>
      <c r="H382" t="str">
        <f>survey_responses[[#This Row],[Khu vực bạn đang sinh sống:]]</f>
        <v>Thành thị</v>
      </c>
      <c r="I382" t="str">
        <f>step3_validation[[#This Row],[Education]]</f>
        <v>Cao đẳng</v>
      </c>
      <c r="J382" t="str">
        <f>survey_responses[[#This Row],[Trình độ học vấn cao nhất:]]</f>
        <v>Cao đẳng</v>
      </c>
      <c r="K382" t="str">
        <f>step3_validation[[#This Row],[Employment]]</f>
        <v>Chính thức</v>
      </c>
      <c r="L382" t="str">
        <f>survey_responses[[#This Row],[Tình trạng việc làm chính:]]</f>
        <v>Khu vực chính thức (Có Hợp đồng lao động, đóng BHXH)</v>
      </c>
      <c r="M382">
        <f>step3_validation[[#This Row],[Income_Mil]]</f>
        <v>16.038094068857898</v>
      </c>
      <c r="N382" t="str">
        <f>survey_responses[[#This Row],[Thu nhập bình quân tháng theo Hợp đồng lao động của bạn là bao nhiêu? (Vui lòng điền tổng thu nhập trước khi khấu trừ các loại Bảo hiểm (BHXH, BHYT, BHTN) và Thuế TNCN)]]</f>
        <v>Từ 12 - 18 triệu VNĐ</v>
      </c>
      <c r="O382">
        <f>step3_validation[[#This Row],[Dependents]]</f>
        <v>0</v>
      </c>
      <c r="P382" t="str">
        <f>survey_responses[[#This Row],[Số người phụ thuộc (con nhỏ, cha mẹ già...) đủ điều kiện giảm trừ gia cảnh:]]</f>
        <v>0 người</v>
      </c>
      <c r="Q382">
        <f>step3_validation[[#This Row],[AI_ENF1]]</f>
        <v>7</v>
      </c>
      <c r="R382" t="str">
        <f t="shared" si="135"/>
        <v>Neutral</v>
      </c>
      <c r="S382">
        <f>survey_responses[[#This Row],[Tôi tin rằng với các quy định quản lý thuế hiện nay, hành vi gian lận hoặc trốn thuế sẽ dễ dàng bị phát hiện và xử lý nghiêm. - HUMAN-ENF1]]</f>
        <v>9</v>
      </c>
      <c r="T382" t="str">
        <f t="shared" si="136"/>
        <v>Support</v>
      </c>
      <c r="U382" s="32">
        <f t="shared" si="137"/>
        <v>2</v>
      </c>
      <c r="V382">
        <f>step3_validation[[#This Row],[AI_ENF2]]</f>
        <v>7</v>
      </c>
      <c r="W382" t="str">
        <f t="shared" si="138"/>
        <v>Neutral</v>
      </c>
      <c r="X382">
        <f>survey_responses[[#This Row],[Tôi tin rằng Nhà nước, cơ quan thuế có đủ khả năng và công nghệ để phát hiện, xử lý nghiêm các hành vi trốn thuế. - HUMAN-ENF2]]</f>
        <v>9</v>
      </c>
      <c r="Y382" t="str">
        <f t="shared" si="139"/>
        <v>Support</v>
      </c>
      <c r="Z382" s="32">
        <f t="shared" si="140"/>
        <v>2</v>
      </c>
      <c r="AA382">
        <f>step3_validation[[#This Row],[AI_FAC1]]</f>
        <v>6</v>
      </c>
      <c r="AB382" t="str">
        <f t="shared" si="141"/>
        <v>Neutral</v>
      </c>
      <c r="AC382">
        <f>survey_responses[[#This Row],[Các thủ tục khai báo thuế VÀ/HOẶC quy trình làm việc với cơ quan thuế đơn giản, tiện lợi, nhanh chóng hơn so với trước đây. - HUMAN-FAC1]]</f>
        <v>8</v>
      </c>
      <c r="AD382" t="str">
        <f t="shared" si="142"/>
        <v>Support</v>
      </c>
      <c r="AE382" s="32">
        <f t="shared" si="143"/>
        <v>2</v>
      </c>
      <c r="AF382">
        <f>step3_validation[[#This Row],[AI_FAC2]]</f>
        <v>8</v>
      </c>
      <c r="AG382" t="str">
        <f t="shared" si="144"/>
        <v>Support</v>
      </c>
      <c r="AH382">
        <f>survey_responses[[#This Row],[So với trước đây, tôi thấy cách tính thuế và các bậc thuế trong phương án mới đơn giản, dễ hiểu và dễ thực hiện hơn. - HUMAN-FAC2]]</f>
        <v>9</v>
      </c>
      <c r="AI382" t="str">
        <f t="shared" si="145"/>
        <v>Support</v>
      </c>
      <c r="AJ382" s="32">
        <f t="shared" si="146"/>
        <v>1</v>
      </c>
      <c r="AK382">
        <f>step3_validation[[#This Row],[AI_TRU1]]</f>
        <v>7</v>
      </c>
      <c r="AL382" t="str">
        <f t="shared" si="147"/>
        <v>Neutral</v>
      </c>
      <c r="AM382">
        <f>survey_responses[[#This Row],[Tôi tin rằng Nhà nước, cơ quan thuế sẽ thực thi chính sách mới một cách khách quan, công tâm và đối xử bình đẳng với mọi người nộp thuế.  - HUMAN-TRU1]]</f>
        <v>8</v>
      </c>
      <c r="AN382" t="str">
        <f t="shared" si="148"/>
        <v>Support</v>
      </c>
      <c r="AO382" s="32">
        <f t="shared" si="149"/>
        <v>1</v>
      </c>
      <c r="AP382">
        <f>step3_validation[[#This Row],[AI_TRU2]]</f>
        <v>8</v>
      </c>
      <c r="AQ382" t="str">
        <f t="shared" si="150"/>
        <v>Support</v>
      </c>
      <c r="AR382">
        <f>survey_responses[[#This Row],[Tôi thấy mức thuế tôi phải đóng theo phương án mới là công bằng (người thu nhập như tôi đóng mức này là hợp lý). - HUMAN-TRU2]]</f>
        <v>10</v>
      </c>
      <c r="AS382" t="str">
        <f t="shared" si="151"/>
        <v>Support</v>
      </c>
      <c r="AT382" s="32">
        <f t="shared" si="152"/>
        <v>2</v>
      </c>
      <c r="AU382">
        <f>step3_validation[[#This Row],[AI_TRU3]]</f>
        <v>7</v>
      </c>
      <c r="AV382" t="str">
        <f t="shared" si="153"/>
        <v>Neutral</v>
      </c>
      <c r="AW382">
        <f>survey_responses[[#This Row],[Tôi tin tưởng số tiền thuế tôi đóng sẽ được Nhà nước sử dụng hiệu quả để cải thiện dịch vụ công (y tế, đường xá...). - HUMAN-TRU3]]</f>
        <v>8</v>
      </c>
      <c r="AX382" t="str">
        <f t="shared" si="154"/>
        <v>Support</v>
      </c>
      <c r="AY382" s="32">
        <f t="shared" si="155"/>
        <v>1</v>
      </c>
      <c r="AZ382">
        <f>step3_validation[[#This Row],[AI_TRU4]]</f>
        <v>6</v>
      </c>
      <c r="BA382" t="str">
        <f t="shared" si="156"/>
        <v>Neutral</v>
      </c>
      <c r="BB382">
        <f>survey_responses[[#This Row],[Tôi thấy Nhà nước đã giải thích rõ ràng, minh bạch về lý do và mục tiêu của việc sửa đổi thuế lần này. - HUMAN-TRU4]]</f>
        <v>8</v>
      </c>
      <c r="BC382" t="str">
        <f t="shared" si="157"/>
        <v>Support</v>
      </c>
      <c r="BD382" s="32">
        <f t="shared" si="158"/>
        <v>2</v>
      </c>
      <c r="BE382">
        <f>step3_validation[[#This Row],[AI_OUT1]]</f>
        <v>8</v>
      </c>
      <c r="BF382" t="str">
        <f t="shared" si="159"/>
        <v>Support</v>
      </c>
      <c r="BG382">
        <f>survey_responses[[#This Row],[Sau khi xem xét các quyền lợi và nghĩa vụ, bạn có ủng hộ và tuân thủ chính sách mới hiện nay? - HUMAN-OUT1]]</f>
        <v>10</v>
      </c>
      <c r="BH382" t="str">
        <f t="shared" si="160"/>
        <v>Support</v>
      </c>
      <c r="BI382" s="32">
        <f t="shared" si="161"/>
        <v>2</v>
      </c>
    </row>
    <row r="383" spans="1:61" x14ac:dyDescent="0.45">
      <c r="A383" s="30">
        <f>step3_validation[[#This Row],[Persona_ID]]</f>
        <v>382</v>
      </c>
      <c r="B383" s="31">
        <f>step3_validation[[#This Row],[Used_Seed]]</f>
        <v>382</v>
      </c>
      <c r="C383" t="str">
        <f>step3_validation[[#This Row],[Gender]]</f>
        <v>Nữ</v>
      </c>
      <c r="D383" t="str">
        <f>survey_responses[[#This Row],[Giới tính của bạn:]]</f>
        <v>Nữ</v>
      </c>
      <c r="E383" t="str">
        <f>step3_validation[[#This Row],[Age_Group]]</f>
        <v>18 - 24</v>
      </c>
      <c r="F383" t="str">
        <f>survey_responses[[#This Row],[Độ tuổi của bạn:]]</f>
        <v>18 - 24</v>
      </c>
      <c r="G383" t="str">
        <f>step3_validation[[#This Row],[Region]]</f>
        <v>Thành thị</v>
      </c>
      <c r="H383" t="str">
        <f>survey_responses[[#This Row],[Khu vực bạn đang sinh sống:]]</f>
        <v>Thành thị</v>
      </c>
      <c r="I383" t="str">
        <f>step3_validation[[#This Row],[Education]]</f>
        <v>Đại học</v>
      </c>
      <c r="J383" t="str">
        <f>survey_responses[[#This Row],[Trình độ học vấn cao nhất:]]</f>
        <v>Đại học</v>
      </c>
      <c r="K383" t="str">
        <f>step3_validation[[#This Row],[Employment]]</f>
        <v>Chính thức</v>
      </c>
      <c r="L383" t="str">
        <f>survey_responses[[#This Row],[Tình trạng việc làm chính:]]</f>
        <v>Khu vực chính thức (Có Hợp đồng lao động, đóng BHXH)</v>
      </c>
      <c r="M383">
        <f>step3_validation[[#This Row],[Income_Mil]]</f>
        <v>19.06541365759762</v>
      </c>
      <c r="N383" t="str">
        <f>survey_responses[[#This Row],[Thu nhập bình quân tháng theo Hợp đồng lao động của bạn là bao nhiêu? (Vui lòng điền tổng thu nhập trước khi khấu trừ các loại Bảo hiểm (BHXH, BHYT, BHTN) và Thuế TNCN)]]</f>
        <v>Từ 18 - 23 triệu VNĐ</v>
      </c>
      <c r="O383">
        <f>step3_validation[[#This Row],[Dependents]]</f>
        <v>1</v>
      </c>
      <c r="P383" t="str">
        <f>survey_responses[[#This Row],[Số người phụ thuộc (con nhỏ, cha mẹ già...) đủ điều kiện giảm trừ gia cảnh:]]</f>
        <v>1 người</v>
      </c>
      <c r="Q383">
        <f>step3_validation[[#This Row],[AI_ENF1]]</f>
        <v>7</v>
      </c>
      <c r="R383" t="str">
        <f t="shared" si="135"/>
        <v>Neutral</v>
      </c>
      <c r="S383">
        <f>survey_responses[[#This Row],[Tôi tin rằng với các quy định quản lý thuế hiện nay, hành vi gian lận hoặc trốn thuế sẽ dễ dàng bị phát hiện và xử lý nghiêm. - HUMAN-ENF1]]</f>
        <v>5</v>
      </c>
      <c r="T383" t="str">
        <f t="shared" si="136"/>
        <v>Neutral</v>
      </c>
      <c r="U383" s="32">
        <f t="shared" si="137"/>
        <v>2</v>
      </c>
      <c r="V383">
        <f>step3_validation[[#This Row],[AI_ENF2]]</f>
        <v>9</v>
      </c>
      <c r="W383" t="str">
        <f t="shared" si="138"/>
        <v>Support</v>
      </c>
      <c r="X383">
        <f>survey_responses[[#This Row],[Tôi tin rằng Nhà nước, cơ quan thuế có đủ khả năng và công nghệ để phát hiện, xử lý nghiêm các hành vi trốn thuế. - HUMAN-ENF2]]</f>
        <v>5</v>
      </c>
      <c r="Y383" t="str">
        <f t="shared" si="139"/>
        <v>Neutral</v>
      </c>
      <c r="Z383" s="32">
        <f t="shared" si="140"/>
        <v>4</v>
      </c>
      <c r="AA383">
        <f>step3_validation[[#This Row],[AI_FAC1]]</f>
        <v>8</v>
      </c>
      <c r="AB383" t="str">
        <f t="shared" si="141"/>
        <v>Support</v>
      </c>
      <c r="AC383">
        <f>survey_responses[[#This Row],[Các thủ tục khai báo thuế VÀ/HOẶC quy trình làm việc với cơ quan thuế đơn giản, tiện lợi, nhanh chóng hơn so với trước đây. - HUMAN-FAC1]]</f>
        <v>4</v>
      </c>
      <c r="AD383" t="str">
        <f t="shared" si="142"/>
        <v>Oppose</v>
      </c>
      <c r="AE383" s="32">
        <f t="shared" si="143"/>
        <v>4</v>
      </c>
      <c r="AF383">
        <f>step3_validation[[#This Row],[AI_FAC2]]</f>
        <v>9</v>
      </c>
      <c r="AG383" t="str">
        <f t="shared" si="144"/>
        <v>Support</v>
      </c>
      <c r="AH383">
        <f>survey_responses[[#This Row],[So với trước đây, tôi thấy cách tính thuế và các bậc thuế trong phương án mới đơn giản, dễ hiểu và dễ thực hiện hơn. - HUMAN-FAC2]]</f>
        <v>8</v>
      </c>
      <c r="AI383" t="str">
        <f t="shared" si="145"/>
        <v>Support</v>
      </c>
      <c r="AJ383" s="32">
        <f t="shared" si="146"/>
        <v>1</v>
      </c>
      <c r="AK383">
        <f>step3_validation[[#This Row],[AI_TRU1]]</f>
        <v>7</v>
      </c>
      <c r="AL383" t="str">
        <f t="shared" si="147"/>
        <v>Neutral</v>
      </c>
      <c r="AM383">
        <f>survey_responses[[#This Row],[Tôi tin rằng Nhà nước, cơ quan thuế sẽ thực thi chính sách mới một cách khách quan, công tâm và đối xử bình đẳng với mọi người nộp thuế.  - HUMAN-TRU1]]</f>
        <v>4</v>
      </c>
      <c r="AN383" t="str">
        <f t="shared" si="148"/>
        <v>Oppose</v>
      </c>
      <c r="AO383" s="32">
        <f t="shared" si="149"/>
        <v>3</v>
      </c>
      <c r="AP383">
        <f>step3_validation[[#This Row],[AI_TRU2]]</f>
        <v>9</v>
      </c>
      <c r="AQ383" t="str">
        <f t="shared" si="150"/>
        <v>Support</v>
      </c>
      <c r="AR383">
        <f>survey_responses[[#This Row],[Tôi thấy mức thuế tôi phải đóng theo phương án mới là công bằng (người thu nhập như tôi đóng mức này là hợp lý). - HUMAN-TRU2]]</f>
        <v>8</v>
      </c>
      <c r="AS383" t="str">
        <f t="shared" si="151"/>
        <v>Support</v>
      </c>
      <c r="AT383" s="32">
        <f t="shared" si="152"/>
        <v>1</v>
      </c>
      <c r="AU383">
        <f>step3_validation[[#This Row],[AI_TRU3]]</f>
        <v>8</v>
      </c>
      <c r="AV383" t="str">
        <f t="shared" si="153"/>
        <v>Support</v>
      </c>
      <c r="AW383">
        <f>survey_responses[[#This Row],[Tôi tin tưởng số tiền thuế tôi đóng sẽ được Nhà nước sử dụng hiệu quả để cải thiện dịch vụ công (y tế, đường xá...). - HUMAN-TRU3]]</f>
        <v>4</v>
      </c>
      <c r="AX383" t="str">
        <f t="shared" si="154"/>
        <v>Oppose</v>
      </c>
      <c r="AY383" s="32">
        <f t="shared" si="155"/>
        <v>4</v>
      </c>
      <c r="AZ383">
        <f>step3_validation[[#This Row],[AI_TRU4]]</f>
        <v>9</v>
      </c>
      <c r="BA383" t="str">
        <f t="shared" si="156"/>
        <v>Support</v>
      </c>
      <c r="BB383">
        <f>survey_responses[[#This Row],[Tôi thấy Nhà nước đã giải thích rõ ràng, minh bạch về lý do và mục tiêu của việc sửa đổi thuế lần này. - HUMAN-TRU4]]</f>
        <v>5</v>
      </c>
      <c r="BC383" t="str">
        <f t="shared" si="157"/>
        <v>Neutral</v>
      </c>
      <c r="BD383" s="32">
        <f t="shared" si="158"/>
        <v>4</v>
      </c>
      <c r="BE383">
        <f>step3_validation[[#This Row],[AI_OUT1]]</f>
        <v>8</v>
      </c>
      <c r="BF383" t="str">
        <f t="shared" si="159"/>
        <v>Support</v>
      </c>
      <c r="BG383">
        <f>survey_responses[[#This Row],[Sau khi xem xét các quyền lợi và nghĩa vụ, bạn có ủng hộ và tuân thủ chính sách mới hiện nay? - HUMAN-OUT1]]</f>
        <v>7</v>
      </c>
      <c r="BH383" t="str">
        <f t="shared" si="160"/>
        <v>Neutral</v>
      </c>
      <c r="BI383" s="32">
        <f t="shared" si="161"/>
        <v>1</v>
      </c>
    </row>
    <row r="384" spans="1:61" x14ac:dyDescent="0.45">
      <c r="A384" s="30">
        <f>step3_validation[[#This Row],[Persona_ID]]</f>
        <v>383</v>
      </c>
      <c r="B384" s="31">
        <f>step3_validation[[#This Row],[Used_Seed]]</f>
        <v>383</v>
      </c>
      <c r="C384" t="str">
        <f>step3_validation[[#This Row],[Gender]]</f>
        <v>Nam</v>
      </c>
      <c r="D384" t="str">
        <f>survey_responses[[#This Row],[Giới tính của bạn:]]</f>
        <v>Nam</v>
      </c>
      <c r="E384" t="str">
        <f>step3_validation[[#This Row],[Age_Group]]</f>
        <v>50 - 54</v>
      </c>
      <c r="F384" t="str">
        <f>survey_responses[[#This Row],[Độ tuổi của bạn:]]</f>
        <v>50 - 54</v>
      </c>
      <c r="G384" t="str">
        <f>step3_validation[[#This Row],[Region]]</f>
        <v>Thành thị</v>
      </c>
      <c r="H384" t="str">
        <f>survey_responses[[#This Row],[Khu vực bạn đang sinh sống:]]</f>
        <v>Thành thị</v>
      </c>
      <c r="I384" t="str">
        <f>step3_validation[[#This Row],[Education]]</f>
        <v>Sau Đại học</v>
      </c>
      <c r="J384" t="str">
        <f>survey_responses[[#This Row],[Trình độ học vấn cao nhất:]]</f>
        <v>Sau Đại học</v>
      </c>
      <c r="K384" t="str">
        <f>step3_validation[[#This Row],[Employment]]</f>
        <v>Chính thức</v>
      </c>
      <c r="L384" t="str">
        <f>survey_responses[[#This Row],[Tình trạng việc làm chính:]]</f>
        <v>Khu vực chính thức (Có Hợp đồng lao động, đóng BHXH)</v>
      </c>
      <c r="M384">
        <f>step3_validation[[#This Row],[Income_Mil]]</f>
        <v>71.204995879058245</v>
      </c>
      <c r="N384" t="str">
        <f>survey_responses[[#This Row],[Thu nhập bình quân tháng theo Hợp đồng lao động của bạn là bao nhiêu? (Vui lòng điền tổng thu nhập trước khi khấu trừ các loại Bảo hiểm (BHXH, BHYT, BHTN) và Thuế TNCN)]]</f>
        <v>Từ 70 - 102 triệu VNĐ</v>
      </c>
      <c r="O384">
        <f>step3_validation[[#This Row],[Dependents]]</f>
        <v>2</v>
      </c>
      <c r="P384" t="str">
        <f>survey_responses[[#This Row],[Số người phụ thuộc (con nhỏ, cha mẹ già...) đủ điều kiện giảm trừ gia cảnh:]]</f>
        <v>2 người</v>
      </c>
      <c r="Q384">
        <f>step3_validation[[#This Row],[AI_ENF1]]</f>
        <v>9</v>
      </c>
      <c r="R384" t="str">
        <f t="shared" si="135"/>
        <v>Support</v>
      </c>
      <c r="S384">
        <f>survey_responses[[#This Row],[Tôi tin rằng với các quy định quản lý thuế hiện nay, hành vi gian lận hoặc trốn thuế sẽ dễ dàng bị phát hiện và xử lý nghiêm. - HUMAN-ENF1]]</f>
        <v>1</v>
      </c>
      <c r="T384" t="str">
        <f t="shared" si="136"/>
        <v>Oppose</v>
      </c>
      <c r="U384" s="32">
        <f t="shared" si="137"/>
        <v>8</v>
      </c>
      <c r="V384">
        <f>step3_validation[[#This Row],[AI_ENF2]]</f>
        <v>8</v>
      </c>
      <c r="W384" t="str">
        <f t="shared" si="138"/>
        <v>Support</v>
      </c>
      <c r="X384">
        <f>survey_responses[[#This Row],[Tôi tin rằng Nhà nước, cơ quan thuế có đủ khả năng và công nghệ để phát hiện, xử lý nghiêm các hành vi trốn thuế. - HUMAN-ENF2]]</f>
        <v>1</v>
      </c>
      <c r="Y384" t="str">
        <f t="shared" si="139"/>
        <v>Oppose</v>
      </c>
      <c r="Z384" s="32">
        <f t="shared" si="140"/>
        <v>7</v>
      </c>
      <c r="AA384">
        <f>step3_validation[[#This Row],[AI_FAC1]]</f>
        <v>9</v>
      </c>
      <c r="AB384" t="str">
        <f t="shared" si="141"/>
        <v>Support</v>
      </c>
      <c r="AC384">
        <f>survey_responses[[#This Row],[Các thủ tục khai báo thuế VÀ/HOẶC quy trình làm việc với cơ quan thuế đơn giản, tiện lợi, nhanh chóng hơn so với trước đây. - HUMAN-FAC1]]</f>
        <v>4</v>
      </c>
      <c r="AD384" t="str">
        <f t="shared" si="142"/>
        <v>Oppose</v>
      </c>
      <c r="AE384" s="32">
        <f t="shared" si="143"/>
        <v>5</v>
      </c>
      <c r="AF384">
        <f>step3_validation[[#This Row],[AI_FAC2]]</f>
        <v>8</v>
      </c>
      <c r="AG384" t="str">
        <f t="shared" si="144"/>
        <v>Support</v>
      </c>
      <c r="AH384">
        <f>survey_responses[[#This Row],[So với trước đây, tôi thấy cách tính thuế và các bậc thuế trong phương án mới đơn giản, dễ hiểu và dễ thực hiện hơn. - HUMAN-FAC2]]</f>
        <v>5</v>
      </c>
      <c r="AI384" t="str">
        <f t="shared" si="145"/>
        <v>Neutral</v>
      </c>
      <c r="AJ384" s="32">
        <f t="shared" si="146"/>
        <v>3</v>
      </c>
      <c r="AK384">
        <f>step3_validation[[#This Row],[AI_TRU1]]</f>
        <v>9</v>
      </c>
      <c r="AL384" t="str">
        <f t="shared" si="147"/>
        <v>Support</v>
      </c>
      <c r="AM384">
        <f>survey_responses[[#This Row],[Tôi tin rằng Nhà nước, cơ quan thuế sẽ thực thi chính sách mới một cách khách quan, công tâm và đối xử bình đẳng với mọi người nộp thuế.  - HUMAN-TRU1]]</f>
        <v>5</v>
      </c>
      <c r="AN384" t="str">
        <f t="shared" si="148"/>
        <v>Neutral</v>
      </c>
      <c r="AO384" s="32">
        <f t="shared" si="149"/>
        <v>4</v>
      </c>
      <c r="AP384">
        <f>step3_validation[[#This Row],[AI_TRU2]]</f>
        <v>8</v>
      </c>
      <c r="AQ384" t="str">
        <f t="shared" si="150"/>
        <v>Support</v>
      </c>
      <c r="AR384">
        <f>survey_responses[[#This Row],[Tôi thấy mức thuế tôi phải đóng theo phương án mới là công bằng (người thu nhập như tôi đóng mức này là hợp lý). - HUMAN-TRU2]]</f>
        <v>4</v>
      </c>
      <c r="AS384" t="str">
        <f t="shared" si="151"/>
        <v>Oppose</v>
      </c>
      <c r="AT384" s="32">
        <f t="shared" si="152"/>
        <v>4</v>
      </c>
      <c r="AU384">
        <f>step3_validation[[#This Row],[AI_TRU3]]</f>
        <v>9</v>
      </c>
      <c r="AV384" t="str">
        <f t="shared" si="153"/>
        <v>Support</v>
      </c>
      <c r="AW384">
        <f>survey_responses[[#This Row],[Tôi tin tưởng số tiền thuế tôi đóng sẽ được Nhà nước sử dụng hiệu quả để cải thiện dịch vụ công (y tế, đường xá...). - HUMAN-TRU3]]</f>
        <v>4</v>
      </c>
      <c r="AX384" t="str">
        <f t="shared" si="154"/>
        <v>Oppose</v>
      </c>
      <c r="AY384" s="32">
        <f t="shared" si="155"/>
        <v>5</v>
      </c>
      <c r="AZ384">
        <f>step3_validation[[#This Row],[AI_TRU4]]</f>
        <v>8</v>
      </c>
      <c r="BA384" t="str">
        <f t="shared" si="156"/>
        <v>Support</v>
      </c>
      <c r="BB384">
        <f>survey_responses[[#This Row],[Tôi thấy Nhà nước đã giải thích rõ ràng, minh bạch về lý do và mục tiêu của việc sửa đổi thuế lần này. - HUMAN-TRU4]]</f>
        <v>5</v>
      </c>
      <c r="BC384" t="str">
        <f t="shared" si="157"/>
        <v>Neutral</v>
      </c>
      <c r="BD384" s="32">
        <f t="shared" si="158"/>
        <v>3</v>
      </c>
      <c r="BE384">
        <f>step3_validation[[#This Row],[AI_OUT1]]</f>
        <v>9</v>
      </c>
      <c r="BF384" t="str">
        <f t="shared" si="159"/>
        <v>Support</v>
      </c>
      <c r="BG384">
        <f>survey_responses[[#This Row],[Sau khi xem xét các quyền lợi và nghĩa vụ, bạn có ủng hộ và tuân thủ chính sách mới hiện nay? - HUMAN-OUT1]]</f>
        <v>3</v>
      </c>
      <c r="BH384" t="str">
        <f t="shared" si="160"/>
        <v>Oppose</v>
      </c>
      <c r="BI384" s="32">
        <f t="shared" si="161"/>
        <v>6</v>
      </c>
    </row>
    <row r="385" spans="1:61" x14ac:dyDescent="0.45">
      <c r="A385" s="30">
        <f>step3_validation[[#This Row],[Persona_ID]]</f>
        <v>384</v>
      </c>
      <c r="B385" s="31">
        <f>step3_validation[[#This Row],[Used_Seed]]</f>
        <v>384</v>
      </c>
      <c r="C385" t="str">
        <f>step3_validation[[#This Row],[Gender]]</f>
        <v>Nam</v>
      </c>
      <c r="D385" t="str">
        <f>survey_responses[[#This Row],[Giới tính của bạn:]]</f>
        <v>Nam</v>
      </c>
      <c r="E385" t="str">
        <f>step3_validation[[#This Row],[Age_Group]]</f>
        <v>18 - 24</v>
      </c>
      <c r="F385" t="str">
        <f>survey_responses[[#This Row],[Độ tuổi của bạn:]]</f>
        <v>18 - 24</v>
      </c>
      <c r="G385" t="str">
        <f>step3_validation[[#This Row],[Region]]</f>
        <v>Thành thị</v>
      </c>
      <c r="H385" t="str">
        <f>survey_responses[[#This Row],[Khu vực bạn đang sinh sống:]]</f>
        <v>Thành thị</v>
      </c>
      <c r="I385" t="str">
        <f>step3_validation[[#This Row],[Education]]</f>
        <v>Đại học</v>
      </c>
      <c r="J385" t="str">
        <f>survey_responses[[#This Row],[Trình độ học vấn cao nhất:]]</f>
        <v>Đại học</v>
      </c>
      <c r="K385" t="str">
        <f>step3_validation[[#This Row],[Employment]]</f>
        <v>Chính thức</v>
      </c>
      <c r="L385" t="str">
        <f>survey_responses[[#This Row],[Tình trạng việc làm chính:]]</f>
        <v>Khu vực chính thức (Có Hợp đồng lao động, đóng BHXH)</v>
      </c>
      <c r="M385">
        <f>step3_validation[[#This Row],[Income_Mil]]</f>
        <v>12</v>
      </c>
      <c r="N385" t="str">
        <f>survey_responses[[#This Row],[Thu nhập bình quân tháng theo Hợp đồng lao động của bạn là bao nhiêu? (Vui lòng điền tổng thu nhập trước khi khấu trừ các loại Bảo hiểm (BHXH, BHYT, BHTN) và Thuế TNCN)]]</f>
        <v>Dưới 12 triệu VNĐ</v>
      </c>
      <c r="O385">
        <f>step3_validation[[#This Row],[Dependents]]</f>
        <v>0</v>
      </c>
      <c r="P385" t="str">
        <f>survey_responses[[#This Row],[Số người phụ thuộc (con nhỏ, cha mẹ già...) đủ điều kiện giảm trừ gia cảnh:]]</f>
        <v>0 người</v>
      </c>
      <c r="Q385">
        <f>step3_validation[[#This Row],[AI_ENF1]]</f>
        <v>6</v>
      </c>
      <c r="R385" t="str">
        <f t="shared" si="135"/>
        <v>Neutral</v>
      </c>
      <c r="S385">
        <f>survey_responses[[#This Row],[Tôi tin rằng với các quy định quản lý thuế hiện nay, hành vi gian lận hoặc trốn thuế sẽ dễ dàng bị phát hiện và xử lý nghiêm. - HUMAN-ENF1]]</f>
        <v>7</v>
      </c>
      <c r="T385" t="str">
        <f t="shared" si="136"/>
        <v>Neutral</v>
      </c>
      <c r="U385" s="32">
        <f t="shared" si="137"/>
        <v>1</v>
      </c>
      <c r="V385">
        <f>step3_validation[[#This Row],[AI_ENF2]]</f>
        <v>5</v>
      </c>
      <c r="W385" t="str">
        <f t="shared" si="138"/>
        <v>Neutral</v>
      </c>
      <c r="X385">
        <f>survey_responses[[#This Row],[Tôi tin rằng Nhà nước, cơ quan thuế có đủ khả năng và công nghệ để phát hiện, xử lý nghiêm các hành vi trốn thuế. - HUMAN-ENF2]]</f>
        <v>7</v>
      </c>
      <c r="Y385" t="str">
        <f t="shared" si="139"/>
        <v>Neutral</v>
      </c>
      <c r="Z385" s="32">
        <f t="shared" si="140"/>
        <v>2</v>
      </c>
      <c r="AA385">
        <f>step3_validation[[#This Row],[AI_FAC1]]</f>
        <v>7</v>
      </c>
      <c r="AB385" t="str">
        <f t="shared" si="141"/>
        <v>Neutral</v>
      </c>
      <c r="AC385">
        <f>survey_responses[[#This Row],[Các thủ tục khai báo thuế VÀ/HOẶC quy trình làm việc với cơ quan thuế đơn giản, tiện lợi, nhanh chóng hơn so với trước đây. - HUMAN-FAC1]]</f>
        <v>7</v>
      </c>
      <c r="AD385" t="str">
        <f t="shared" si="142"/>
        <v>Neutral</v>
      </c>
      <c r="AE385" s="32">
        <f t="shared" si="143"/>
        <v>0</v>
      </c>
      <c r="AF385">
        <f>step3_validation[[#This Row],[AI_FAC2]]</f>
        <v>9</v>
      </c>
      <c r="AG385" t="str">
        <f t="shared" si="144"/>
        <v>Support</v>
      </c>
      <c r="AH385">
        <f>survey_responses[[#This Row],[So với trước đây, tôi thấy cách tính thuế và các bậc thuế trong phương án mới đơn giản, dễ hiểu và dễ thực hiện hơn. - HUMAN-FAC2]]</f>
        <v>9</v>
      </c>
      <c r="AI385" t="str">
        <f t="shared" si="145"/>
        <v>Support</v>
      </c>
      <c r="AJ385" s="32">
        <f t="shared" si="146"/>
        <v>0</v>
      </c>
      <c r="AK385">
        <f>step3_validation[[#This Row],[AI_TRU1]]</f>
        <v>7</v>
      </c>
      <c r="AL385" t="str">
        <f t="shared" si="147"/>
        <v>Neutral</v>
      </c>
      <c r="AM385">
        <f>survey_responses[[#This Row],[Tôi tin rằng Nhà nước, cơ quan thuế sẽ thực thi chính sách mới một cách khách quan, công tâm và đối xử bình đẳng với mọi người nộp thuế.  - HUMAN-TRU1]]</f>
        <v>8</v>
      </c>
      <c r="AN385" t="str">
        <f t="shared" si="148"/>
        <v>Support</v>
      </c>
      <c r="AO385" s="32">
        <f t="shared" si="149"/>
        <v>1</v>
      </c>
      <c r="AP385">
        <f>step3_validation[[#This Row],[AI_TRU2]]</f>
        <v>6</v>
      </c>
      <c r="AQ385" t="str">
        <f t="shared" si="150"/>
        <v>Neutral</v>
      </c>
      <c r="AR385">
        <f>survey_responses[[#This Row],[Tôi thấy mức thuế tôi phải đóng theo phương án mới là công bằng (người thu nhập như tôi đóng mức này là hợp lý). - HUMAN-TRU2]]</f>
        <v>10</v>
      </c>
      <c r="AS385" t="str">
        <f t="shared" si="151"/>
        <v>Support</v>
      </c>
      <c r="AT385" s="32">
        <f t="shared" si="152"/>
        <v>4</v>
      </c>
      <c r="AU385">
        <f>step3_validation[[#This Row],[AI_TRU3]]</f>
        <v>7</v>
      </c>
      <c r="AV385" t="str">
        <f t="shared" si="153"/>
        <v>Neutral</v>
      </c>
      <c r="AW385">
        <f>survey_responses[[#This Row],[Tôi tin tưởng số tiền thuế tôi đóng sẽ được Nhà nước sử dụng hiệu quả để cải thiện dịch vụ công (y tế, đường xá...). - HUMAN-TRU3]]</f>
        <v>8</v>
      </c>
      <c r="AX385" t="str">
        <f t="shared" si="154"/>
        <v>Support</v>
      </c>
      <c r="AY385" s="32">
        <f t="shared" si="155"/>
        <v>1</v>
      </c>
      <c r="AZ385">
        <f>step3_validation[[#This Row],[AI_TRU4]]</f>
        <v>6</v>
      </c>
      <c r="BA385" t="str">
        <f t="shared" si="156"/>
        <v>Neutral</v>
      </c>
      <c r="BB385">
        <f>survey_responses[[#This Row],[Tôi thấy Nhà nước đã giải thích rõ ràng, minh bạch về lý do và mục tiêu của việc sửa đổi thuế lần này. - HUMAN-TRU4]]</f>
        <v>7</v>
      </c>
      <c r="BC385" t="str">
        <f t="shared" si="157"/>
        <v>Neutral</v>
      </c>
      <c r="BD385" s="32">
        <f t="shared" si="158"/>
        <v>1</v>
      </c>
      <c r="BE385">
        <f>step3_validation[[#This Row],[AI_OUT1]]</f>
        <v>8</v>
      </c>
      <c r="BF385" t="str">
        <f t="shared" si="159"/>
        <v>Support</v>
      </c>
      <c r="BG385">
        <f>survey_responses[[#This Row],[Sau khi xem xét các quyền lợi và nghĩa vụ, bạn có ủng hộ và tuân thủ chính sách mới hiện nay? - HUMAN-OUT1]]</f>
        <v>10</v>
      </c>
      <c r="BH385" t="str">
        <f t="shared" si="160"/>
        <v>Support</v>
      </c>
      <c r="BI385" s="32">
        <f t="shared" si="161"/>
        <v>2</v>
      </c>
    </row>
    <row r="386" spans="1:61" x14ac:dyDescent="0.45">
      <c r="A386" s="30">
        <f>step3_validation[[#This Row],[Persona_ID]]</f>
        <v>385</v>
      </c>
      <c r="B386" s="31">
        <f>step3_validation[[#This Row],[Used_Seed]]</f>
        <v>385</v>
      </c>
      <c r="C386" t="str">
        <f>step3_validation[[#This Row],[Gender]]</f>
        <v>Nam</v>
      </c>
      <c r="D386" t="str">
        <f>survey_responses[[#This Row],[Giới tính của bạn:]]</f>
        <v>Nam</v>
      </c>
      <c r="E386" t="str">
        <f>step3_validation[[#This Row],[Age_Group]]</f>
        <v>40 - 49</v>
      </c>
      <c r="F386" t="str">
        <f>survey_responses[[#This Row],[Độ tuổi của bạn:]]</f>
        <v>40 - 49</v>
      </c>
      <c r="G386" t="str">
        <f>step3_validation[[#This Row],[Region]]</f>
        <v>Thành thị</v>
      </c>
      <c r="H386" t="str">
        <f>survey_responses[[#This Row],[Khu vực bạn đang sinh sống:]]</f>
        <v>Thành thị</v>
      </c>
      <c r="I386" t="str">
        <f>step3_validation[[#This Row],[Education]]</f>
        <v>Đại học</v>
      </c>
      <c r="J386" t="str">
        <f>survey_responses[[#This Row],[Trình độ học vấn cao nhất:]]</f>
        <v>Đại học</v>
      </c>
      <c r="K386" t="str">
        <f>step3_validation[[#This Row],[Employment]]</f>
        <v>Chính thức</v>
      </c>
      <c r="L386" t="str">
        <f>survey_responses[[#This Row],[Tình trạng việc làm chính:]]</f>
        <v>Khu vực chính thức (Có Hợp đồng lao động, đóng BHXH)</v>
      </c>
      <c r="M386">
        <f>step3_validation[[#This Row],[Income_Mil]]</f>
        <v>36.848120433506317</v>
      </c>
      <c r="N386" t="str">
        <f>survey_responses[[#This Row],[Thu nhập bình quân tháng theo Hợp đồng lao động của bạn là bao nhiêu? (Vui lòng điền tổng thu nhập trước khi khấu trừ các loại Bảo hiểm (BHXH, BHYT, BHTN) và Thuế TNCN)]]</f>
        <v>Từ 32 - 48 triệu VNĐ</v>
      </c>
      <c r="O386">
        <f>step3_validation[[#This Row],[Dependents]]</f>
        <v>2</v>
      </c>
      <c r="P386" t="str">
        <f>survey_responses[[#This Row],[Số người phụ thuộc (con nhỏ, cha mẹ già...) đủ điều kiện giảm trừ gia cảnh:]]</f>
        <v>2 người</v>
      </c>
      <c r="Q386">
        <f>step3_validation[[#This Row],[AI_ENF1]]</f>
        <v>8</v>
      </c>
      <c r="R386" t="str">
        <f t="shared" si="135"/>
        <v>Support</v>
      </c>
      <c r="S386">
        <f>survey_responses[[#This Row],[Tôi tin rằng với các quy định quản lý thuế hiện nay, hành vi gian lận hoặc trốn thuế sẽ dễ dàng bị phát hiện và xử lý nghiêm. - HUMAN-ENF1]]</f>
        <v>3</v>
      </c>
      <c r="T386" t="str">
        <f t="shared" si="136"/>
        <v>Oppose</v>
      </c>
      <c r="U386" s="32">
        <f t="shared" si="137"/>
        <v>5</v>
      </c>
      <c r="V386">
        <f>step3_validation[[#This Row],[AI_ENF2]]</f>
        <v>9</v>
      </c>
      <c r="W386" t="str">
        <f t="shared" si="138"/>
        <v>Support</v>
      </c>
      <c r="X386">
        <f>survey_responses[[#This Row],[Tôi tin rằng Nhà nước, cơ quan thuế có đủ khả năng và công nghệ để phát hiện, xử lý nghiêm các hành vi trốn thuế. - HUMAN-ENF2]]</f>
        <v>3</v>
      </c>
      <c r="Y386" t="str">
        <f t="shared" si="139"/>
        <v>Oppose</v>
      </c>
      <c r="Z386" s="32">
        <f t="shared" si="140"/>
        <v>6</v>
      </c>
      <c r="AA386">
        <f>step3_validation[[#This Row],[AI_FAC1]]</f>
        <v>8</v>
      </c>
      <c r="AB386" t="str">
        <f t="shared" si="141"/>
        <v>Support</v>
      </c>
      <c r="AC386">
        <f>survey_responses[[#This Row],[Các thủ tục khai báo thuế VÀ/HOẶC quy trình làm việc với cơ quan thuế đơn giản, tiện lợi, nhanh chóng hơn so với trước đây. - HUMAN-FAC1]]</f>
        <v>4</v>
      </c>
      <c r="AD386" t="str">
        <f t="shared" si="142"/>
        <v>Oppose</v>
      </c>
      <c r="AE386" s="32">
        <f t="shared" si="143"/>
        <v>4</v>
      </c>
      <c r="AF386">
        <f>step3_validation[[#This Row],[AI_FAC2]]</f>
        <v>9</v>
      </c>
      <c r="AG386" t="str">
        <f t="shared" si="144"/>
        <v>Support</v>
      </c>
      <c r="AH386">
        <f>survey_responses[[#This Row],[So với trước đây, tôi thấy cách tính thuế và các bậc thuế trong phương án mới đơn giản, dễ hiểu và dễ thực hiện hơn. - HUMAN-FAC2]]</f>
        <v>6</v>
      </c>
      <c r="AI386" t="str">
        <f t="shared" si="145"/>
        <v>Neutral</v>
      </c>
      <c r="AJ386" s="32">
        <f t="shared" si="146"/>
        <v>3</v>
      </c>
      <c r="AK386">
        <f>step3_validation[[#This Row],[AI_TRU1]]</f>
        <v>8</v>
      </c>
      <c r="AL386" t="str">
        <f t="shared" si="147"/>
        <v>Support</v>
      </c>
      <c r="AM386">
        <f>survey_responses[[#This Row],[Tôi tin rằng Nhà nước, cơ quan thuế sẽ thực thi chính sách mới một cách khách quan, công tâm và đối xử bình đẳng với mọi người nộp thuế.  - HUMAN-TRU1]]</f>
        <v>4</v>
      </c>
      <c r="AN386" t="str">
        <f t="shared" si="148"/>
        <v>Oppose</v>
      </c>
      <c r="AO386" s="32">
        <f t="shared" si="149"/>
        <v>4</v>
      </c>
      <c r="AP386">
        <f>step3_validation[[#This Row],[AI_TRU2]]</f>
        <v>9</v>
      </c>
      <c r="AQ386" t="str">
        <f t="shared" si="150"/>
        <v>Support</v>
      </c>
      <c r="AR386">
        <f>survey_responses[[#This Row],[Tôi thấy mức thuế tôi phải đóng theo phương án mới là công bằng (người thu nhập như tôi đóng mức này là hợp lý). - HUMAN-TRU2]]</f>
        <v>5</v>
      </c>
      <c r="AS386" t="str">
        <f t="shared" si="151"/>
        <v>Neutral</v>
      </c>
      <c r="AT386" s="32">
        <f t="shared" si="152"/>
        <v>4</v>
      </c>
      <c r="AU386">
        <f>step3_validation[[#This Row],[AI_TRU3]]</f>
        <v>8</v>
      </c>
      <c r="AV386" t="str">
        <f t="shared" si="153"/>
        <v>Support</v>
      </c>
      <c r="AW386">
        <f>survey_responses[[#This Row],[Tôi tin tưởng số tiền thuế tôi đóng sẽ được Nhà nước sử dụng hiệu quả để cải thiện dịch vụ công (y tế, đường xá...). - HUMAN-TRU3]]</f>
        <v>4</v>
      </c>
      <c r="AX386" t="str">
        <f t="shared" si="154"/>
        <v>Oppose</v>
      </c>
      <c r="AY386" s="32">
        <f t="shared" si="155"/>
        <v>4</v>
      </c>
      <c r="AZ386">
        <f>step3_validation[[#This Row],[AI_TRU4]]</f>
        <v>9</v>
      </c>
      <c r="BA386" t="str">
        <f t="shared" si="156"/>
        <v>Support</v>
      </c>
      <c r="BB386">
        <f>survey_responses[[#This Row],[Tôi thấy Nhà nước đã giải thích rõ ràng, minh bạch về lý do và mục tiêu của việc sửa đổi thuế lần này. - HUMAN-TRU4]]</f>
        <v>5</v>
      </c>
      <c r="BC386" t="str">
        <f t="shared" si="157"/>
        <v>Neutral</v>
      </c>
      <c r="BD386" s="32">
        <f t="shared" si="158"/>
        <v>4</v>
      </c>
      <c r="BE386">
        <f>step3_validation[[#This Row],[AI_OUT1]]</f>
        <v>9</v>
      </c>
      <c r="BF386" t="str">
        <f t="shared" si="159"/>
        <v>Support</v>
      </c>
      <c r="BG386">
        <f>survey_responses[[#This Row],[Sau khi xem xét các quyền lợi và nghĩa vụ, bạn có ủng hộ và tuân thủ chính sách mới hiện nay? - HUMAN-OUT1]]</f>
        <v>5</v>
      </c>
      <c r="BH386" t="str">
        <f t="shared" si="160"/>
        <v>Neutral</v>
      </c>
      <c r="BI386" s="32">
        <f t="shared" si="161"/>
        <v>4</v>
      </c>
    </row>
    <row r="387" spans="1:61" x14ac:dyDescent="0.45">
      <c r="A387" s="30">
        <f>step3_validation[[#This Row],[Persona_ID]]</f>
        <v>386</v>
      </c>
      <c r="B387" s="31">
        <f>step3_validation[[#This Row],[Used_Seed]]</f>
        <v>386</v>
      </c>
      <c r="C387" t="str">
        <f>step3_validation[[#This Row],[Gender]]</f>
        <v>Nữ</v>
      </c>
      <c r="D387" t="str">
        <f>survey_responses[[#This Row],[Giới tính của bạn:]]</f>
        <v>Nữ</v>
      </c>
      <c r="E387" t="str">
        <f>step3_validation[[#This Row],[Age_Group]]</f>
        <v>25 - 29</v>
      </c>
      <c r="F387" t="str">
        <f>survey_responses[[#This Row],[Độ tuổi của bạn:]]</f>
        <v>25 - 29</v>
      </c>
      <c r="G387" t="str">
        <f>step3_validation[[#This Row],[Region]]</f>
        <v>Thành thị</v>
      </c>
      <c r="H387" t="str">
        <f>survey_responses[[#This Row],[Khu vực bạn đang sinh sống:]]</f>
        <v>Thành thị</v>
      </c>
      <c r="I387" t="str">
        <f>step3_validation[[#This Row],[Education]]</f>
        <v>Sau Đại học</v>
      </c>
      <c r="J387" t="str">
        <f>survey_responses[[#This Row],[Trình độ học vấn cao nhất:]]</f>
        <v>Sau Đại học</v>
      </c>
      <c r="K387" t="str">
        <f>step3_validation[[#This Row],[Employment]]</f>
        <v>Chính thức</v>
      </c>
      <c r="L387" t="str">
        <f>survey_responses[[#This Row],[Tình trạng việc làm chính:]]</f>
        <v>Khu vực chính thức (Có Hợp đồng lao động, đóng BHXH)</v>
      </c>
      <c r="M387">
        <f>step3_validation[[#This Row],[Income_Mil]]</f>
        <v>24.860533737275635</v>
      </c>
      <c r="N387" t="str">
        <f>survey_responses[[#This Row],[Thu nhập bình quân tháng theo Hợp đồng lao động của bạn là bao nhiêu? (Vui lòng điền tổng thu nhập trước khi khấu trừ các loại Bảo hiểm (BHXH, BHYT, BHTN) và Thuế TNCN)]]</f>
        <v>Từ 23 - 32 triệu VNĐ</v>
      </c>
      <c r="O387">
        <f>step3_validation[[#This Row],[Dependents]]</f>
        <v>0</v>
      </c>
      <c r="P387" t="str">
        <f>survey_responses[[#This Row],[Số người phụ thuộc (con nhỏ, cha mẹ già...) đủ điều kiện giảm trừ gia cảnh:]]</f>
        <v>0 người</v>
      </c>
      <c r="Q387">
        <f>step3_validation[[#This Row],[AI_ENF1]]</f>
        <v>8</v>
      </c>
      <c r="R387" t="str">
        <f t="shared" ref="R387:R404" si="162">IF(AND(Q387&gt;=1,Q387&lt;5),"Oppose",IF(AND(Q387&gt;=5,Q387&lt;8),"Neutral",IF(AND(Q387&gt;=8,Q387&lt;=10),"Support","")))</f>
        <v>Support</v>
      </c>
      <c r="S387">
        <f>survey_responses[[#This Row],[Tôi tin rằng với các quy định quản lý thuế hiện nay, hành vi gian lận hoặc trốn thuế sẽ dễ dàng bị phát hiện và xử lý nghiêm. - HUMAN-ENF1]]</f>
        <v>8</v>
      </c>
      <c r="T387" t="str">
        <f t="shared" ref="T387:T404" si="163">IF(AND(S387&gt;=1,S387&lt;5),"Oppose",IF(AND(S387&gt;=5,S387&lt;8),"Neutral",IF(AND(S387&gt;=8,S387&lt;=10),"Support","")))</f>
        <v>Support</v>
      </c>
      <c r="U387" s="32">
        <f t="shared" ref="U387:U404" si="164">ABS(S387-Q387)</f>
        <v>0</v>
      </c>
      <c r="V387">
        <f>step3_validation[[#This Row],[AI_ENF2]]</f>
        <v>9</v>
      </c>
      <c r="W387" t="str">
        <f t="shared" ref="W387:W404" si="165">IF(AND(V387&gt;=1,V387&lt;5),"Oppose",IF(AND(V387&gt;=5,V387&lt;8),"Neutral",IF(AND(V387&gt;=8,V387&lt;=10),"Support","")))</f>
        <v>Support</v>
      </c>
      <c r="X387">
        <f>survey_responses[[#This Row],[Tôi tin rằng Nhà nước, cơ quan thuế có đủ khả năng và công nghệ để phát hiện, xử lý nghiêm các hành vi trốn thuế. - HUMAN-ENF2]]</f>
        <v>8</v>
      </c>
      <c r="Y387" t="str">
        <f t="shared" ref="Y387:Y404" si="166">IF(AND(X387&gt;=1,X387&lt;5),"Oppose",IF(AND(X387&gt;=5,X387&lt;8),"Neutral",IF(AND(X387&gt;=8,X387&lt;=10),"Support","")))</f>
        <v>Support</v>
      </c>
      <c r="Z387" s="32">
        <f t="shared" ref="Z387:Z404" si="167">ABS(X387-V387)</f>
        <v>1</v>
      </c>
      <c r="AA387">
        <f>step3_validation[[#This Row],[AI_FAC1]]</f>
        <v>9</v>
      </c>
      <c r="AB387" t="str">
        <f t="shared" ref="AB387:AB404" si="168">IF(AND(AA387&gt;=1,AA387&lt;5),"Oppose",IF(AND(AA387&gt;=5,AA387&lt;8),"Neutral",IF(AND(AA387&gt;=8,AA387&lt;=10),"Support","")))</f>
        <v>Support</v>
      </c>
      <c r="AC387">
        <f>survey_responses[[#This Row],[Các thủ tục khai báo thuế VÀ/HOẶC quy trình làm việc với cơ quan thuế đơn giản, tiện lợi, nhanh chóng hơn so với trước đây. - HUMAN-FAC1]]</f>
        <v>9</v>
      </c>
      <c r="AD387" t="str">
        <f t="shared" ref="AD387:AD404" si="169">IF(AND(AC387&gt;=1,AC387&lt;5),"Oppose",IF(AND(AC387&gt;=5,AC387&lt;8),"Neutral",IF(AND(AC387&gt;=8,AC387&lt;=10),"Support","")))</f>
        <v>Support</v>
      </c>
      <c r="AE387" s="32">
        <f t="shared" ref="AE387:AE404" si="170">ABS(AC387-AA387)</f>
        <v>0</v>
      </c>
      <c r="AF387">
        <f>step3_validation[[#This Row],[AI_FAC2]]</f>
        <v>9</v>
      </c>
      <c r="AG387" t="str">
        <f t="shared" ref="AG387:AG404" si="171">IF(AND(AF387&gt;=1,AF387&lt;5),"Oppose",IF(AND(AF387&gt;=5,AF387&lt;8),"Neutral",IF(AND(AF387&gt;=8,AF387&lt;=10),"Support","")))</f>
        <v>Support</v>
      </c>
      <c r="AH387">
        <f>survey_responses[[#This Row],[So với trước đây, tôi thấy cách tính thuế và các bậc thuế trong phương án mới đơn giản, dễ hiểu và dễ thực hiện hơn. - HUMAN-FAC2]]</f>
        <v>8</v>
      </c>
      <c r="AI387" t="str">
        <f t="shared" ref="AI387:AI404" si="172">IF(AND(AH387&gt;=1,AH387&lt;5),"Oppose",IF(AND(AH387&gt;=5,AH387&lt;8),"Neutral",IF(AND(AH387&gt;=8,AH387&lt;=10),"Support","")))</f>
        <v>Support</v>
      </c>
      <c r="AJ387" s="32">
        <f t="shared" ref="AJ387:AJ404" si="173">ABS(AH387-AF387)</f>
        <v>1</v>
      </c>
      <c r="AK387">
        <f>step3_validation[[#This Row],[AI_TRU1]]</f>
        <v>7</v>
      </c>
      <c r="AL387" t="str">
        <f t="shared" ref="AL387:AL404" si="174">IF(AND(AK387&gt;=1,AK387&lt;5),"Oppose",IF(AND(AK387&gt;=5,AK387&lt;8),"Neutral",IF(AND(AK387&gt;=8,AK387&lt;=10),"Support","")))</f>
        <v>Neutral</v>
      </c>
      <c r="AM387">
        <f>survey_responses[[#This Row],[Tôi tin rằng Nhà nước, cơ quan thuế sẽ thực thi chính sách mới một cách khách quan, công tâm và đối xử bình đẳng với mọi người nộp thuế.  - HUMAN-TRU1]]</f>
        <v>7</v>
      </c>
      <c r="AN387" t="str">
        <f t="shared" ref="AN387:AN404" si="175">IF(AND(AM387&gt;=1,AM387&lt;5),"Oppose",IF(AND(AM387&gt;=5,AM387&lt;8),"Neutral",IF(AND(AM387&gt;=8,AM387&lt;=10),"Support","")))</f>
        <v>Neutral</v>
      </c>
      <c r="AO387" s="32">
        <f t="shared" ref="AO387:AO404" si="176">ABS(AM387-AK387)</f>
        <v>0</v>
      </c>
      <c r="AP387">
        <f>step3_validation[[#This Row],[AI_TRU2]]</f>
        <v>9</v>
      </c>
      <c r="AQ387" t="str">
        <f t="shared" ref="AQ387:AQ404" si="177">IF(AND(AP387&gt;=1,AP387&lt;5),"Oppose",IF(AND(AP387&gt;=5,AP387&lt;8),"Neutral",IF(AND(AP387&gt;=8,AP387&lt;=10),"Support","")))</f>
        <v>Support</v>
      </c>
      <c r="AR387">
        <f>survey_responses[[#This Row],[Tôi thấy mức thuế tôi phải đóng theo phương án mới là công bằng (người thu nhập như tôi đóng mức này là hợp lý). - HUMAN-TRU2]]</f>
        <v>8</v>
      </c>
      <c r="AS387" t="str">
        <f t="shared" ref="AS387:AS404" si="178">IF(AND(AR387&gt;=1,AR387&lt;5),"Oppose",IF(AND(AR387&gt;=5,AR387&lt;8),"Neutral",IF(AND(AR387&gt;=8,AR387&lt;=10),"Support","")))</f>
        <v>Support</v>
      </c>
      <c r="AT387" s="32">
        <f t="shared" ref="AT387:AT404" si="179">ABS(AR387-AP387)</f>
        <v>1</v>
      </c>
      <c r="AU387">
        <f>step3_validation[[#This Row],[AI_TRU3]]</f>
        <v>7</v>
      </c>
      <c r="AV387" t="str">
        <f t="shared" ref="AV387:AV404" si="180">IF(AND(AU387&gt;=1,AU387&lt;5),"Oppose",IF(AND(AU387&gt;=5,AU387&lt;8),"Neutral",IF(AND(AU387&gt;=8,AU387&lt;=10),"Support","")))</f>
        <v>Neutral</v>
      </c>
      <c r="AW387">
        <f>survey_responses[[#This Row],[Tôi tin tưởng số tiền thuế tôi đóng sẽ được Nhà nước sử dụng hiệu quả để cải thiện dịch vụ công (y tế, đường xá...). - HUMAN-TRU3]]</f>
        <v>7</v>
      </c>
      <c r="AX387" t="str">
        <f t="shared" ref="AX387:AX404" si="181">IF(AND(AW387&gt;=1,AW387&lt;5),"Oppose",IF(AND(AW387&gt;=5,AW387&lt;8),"Neutral",IF(AND(AW387&gt;=8,AW387&lt;=10),"Support","")))</f>
        <v>Neutral</v>
      </c>
      <c r="AY387" s="32">
        <f t="shared" ref="AY387:AY404" si="182">ABS(AW387-AU387)</f>
        <v>0</v>
      </c>
      <c r="AZ387">
        <f>step3_validation[[#This Row],[AI_TRU4]]</f>
        <v>8</v>
      </c>
      <c r="BA387" t="str">
        <f t="shared" ref="BA387:BA404" si="183">IF(AND(AZ387&gt;=1,AZ387&lt;5),"Oppose",IF(AND(AZ387&gt;=5,AZ387&lt;8),"Neutral",IF(AND(AZ387&gt;=8,AZ387&lt;=10),"Support","")))</f>
        <v>Support</v>
      </c>
      <c r="BB387">
        <f>survey_responses[[#This Row],[Tôi thấy Nhà nước đã giải thích rõ ràng, minh bạch về lý do và mục tiêu của việc sửa đổi thuế lần này. - HUMAN-TRU4]]</f>
        <v>7</v>
      </c>
      <c r="BC387" t="str">
        <f t="shared" ref="BC387:BC404" si="184">IF(AND(BB387&gt;=1,BB387&lt;5),"Oppose",IF(AND(BB387&gt;=5,BB387&lt;8),"Neutral",IF(AND(BB387&gt;=8,BB387&lt;=10),"Support","")))</f>
        <v>Neutral</v>
      </c>
      <c r="BD387" s="32">
        <f t="shared" ref="BD387:BD404" si="185">ABS(BB387-AZ387)</f>
        <v>1</v>
      </c>
      <c r="BE387">
        <f>step3_validation[[#This Row],[AI_OUT1]]</f>
        <v>9</v>
      </c>
      <c r="BF387" t="str">
        <f t="shared" ref="BF387:BF404" si="186">IF(AND(BE387&gt;=1,BE387&lt;5),"Oppose",IF(AND(BE387&gt;=5,BE387&lt;8),"Neutral",IF(AND(BE387&gt;=8,BE387&lt;=10),"Support","")))</f>
        <v>Support</v>
      </c>
      <c r="BG387">
        <f>survey_responses[[#This Row],[Sau khi xem xét các quyền lợi và nghĩa vụ, bạn có ủng hộ và tuân thủ chính sách mới hiện nay? - HUMAN-OUT1]]</f>
        <v>8</v>
      </c>
      <c r="BH387" t="str">
        <f t="shared" ref="BH387:BH404" si="187">IF(AND(BG387&gt;=1,BG387&lt;5),"Oppose",IF(AND(BG387&gt;=5,BG387&lt;8),"Neutral",IF(AND(BG387&gt;=8,BG387&lt;=10),"Support","")))</f>
        <v>Support</v>
      </c>
      <c r="BI387" s="32">
        <f t="shared" ref="BI387:BI404" si="188">ABS(BG387-BE387)</f>
        <v>1</v>
      </c>
    </row>
    <row r="388" spans="1:61" x14ac:dyDescent="0.45">
      <c r="A388" s="30">
        <f>step3_validation[[#This Row],[Persona_ID]]</f>
        <v>387</v>
      </c>
      <c r="B388" s="31">
        <f>step3_validation[[#This Row],[Used_Seed]]</f>
        <v>387</v>
      </c>
      <c r="C388" t="str">
        <f>step3_validation[[#This Row],[Gender]]</f>
        <v>Nam</v>
      </c>
      <c r="D388" t="str">
        <f>survey_responses[[#This Row],[Giới tính của bạn:]]</f>
        <v>Nam</v>
      </c>
      <c r="E388" t="str">
        <f>step3_validation[[#This Row],[Age_Group]]</f>
        <v>30 - 39</v>
      </c>
      <c r="F388" t="str">
        <f>survey_responses[[#This Row],[Độ tuổi của bạn:]]</f>
        <v>30 - 39</v>
      </c>
      <c r="G388" t="str">
        <f>step3_validation[[#This Row],[Region]]</f>
        <v>Thành thị</v>
      </c>
      <c r="H388" t="str">
        <f>survey_responses[[#This Row],[Khu vực bạn đang sinh sống:]]</f>
        <v>Thành thị</v>
      </c>
      <c r="I388" t="str">
        <f>step3_validation[[#This Row],[Education]]</f>
        <v>Đại học</v>
      </c>
      <c r="J388" t="str">
        <f>survey_responses[[#This Row],[Trình độ học vấn cao nhất:]]</f>
        <v>Đại học</v>
      </c>
      <c r="K388" t="str">
        <f>step3_validation[[#This Row],[Employment]]</f>
        <v>Chính thức</v>
      </c>
      <c r="L388" t="str">
        <f>survey_responses[[#This Row],[Tình trạng việc làm chính:]]</f>
        <v>Khu vực chính thức (Có Hợp đồng lao động, đóng BHXH)</v>
      </c>
      <c r="M388">
        <f>step3_validation[[#This Row],[Income_Mil]]</f>
        <v>55.457350263983017</v>
      </c>
      <c r="N388" t="str">
        <f>survey_responses[[#This Row],[Thu nhập bình quân tháng theo Hợp đồng lao động của bạn là bao nhiêu? (Vui lòng điền tổng thu nhập trước khi khấu trừ các loại Bảo hiểm (BHXH, BHYT, BHTN) và Thuế TNCN)]]</f>
        <v>Từ 48 - 70 triệu VNĐ</v>
      </c>
      <c r="O388">
        <f>step3_validation[[#This Row],[Dependents]]</f>
        <v>2</v>
      </c>
      <c r="P388" t="str">
        <f>survey_responses[[#This Row],[Số người phụ thuộc (con nhỏ, cha mẹ già...) đủ điều kiện giảm trừ gia cảnh:]]</f>
        <v>2 người</v>
      </c>
      <c r="Q388">
        <f>step3_validation[[#This Row],[AI_ENF1]]</f>
        <v>6</v>
      </c>
      <c r="R388" t="str">
        <f t="shared" si="162"/>
        <v>Neutral</v>
      </c>
      <c r="S388">
        <f>survey_responses[[#This Row],[Tôi tin rằng với các quy định quản lý thuế hiện nay, hành vi gian lận hoặc trốn thuế sẽ dễ dàng bị phát hiện và xử lý nghiêm. - HUMAN-ENF1]]</f>
        <v>5</v>
      </c>
      <c r="T388" t="str">
        <f t="shared" si="163"/>
        <v>Neutral</v>
      </c>
      <c r="U388" s="32">
        <f t="shared" si="164"/>
        <v>1</v>
      </c>
      <c r="V388">
        <f>step3_validation[[#This Row],[AI_ENF2]]</f>
        <v>8</v>
      </c>
      <c r="W388" t="str">
        <f t="shared" si="165"/>
        <v>Support</v>
      </c>
      <c r="X388">
        <f>survey_responses[[#This Row],[Tôi tin rằng Nhà nước, cơ quan thuế có đủ khả năng và công nghệ để phát hiện, xử lý nghiêm các hành vi trốn thuế. - HUMAN-ENF2]]</f>
        <v>5</v>
      </c>
      <c r="Y388" t="str">
        <f t="shared" si="166"/>
        <v>Neutral</v>
      </c>
      <c r="Z388" s="32">
        <f t="shared" si="167"/>
        <v>3</v>
      </c>
      <c r="AA388">
        <f>step3_validation[[#This Row],[AI_FAC1]]</f>
        <v>9</v>
      </c>
      <c r="AB388" t="str">
        <f t="shared" si="168"/>
        <v>Support</v>
      </c>
      <c r="AC388">
        <f>survey_responses[[#This Row],[Các thủ tục khai báo thuế VÀ/HOẶC quy trình làm việc với cơ quan thuế đơn giản, tiện lợi, nhanh chóng hơn so với trước đây. - HUMAN-FAC1]]</f>
        <v>5</v>
      </c>
      <c r="AD388" t="str">
        <f t="shared" si="169"/>
        <v>Neutral</v>
      </c>
      <c r="AE388" s="32">
        <f t="shared" si="170"/>
        <v>4</v>
      </c>
      <c r="AF388">
        <f>step3_validation[[#This Row],[AI_FAC2]]</f>
        <v>9</v>
      </c>
      <c r="AG388" t="str">
        <f t="shared" si="171"/>
        <v>Support</v>
      </c>
      <c r="AH388">
        <f>survey_responses[[#This Row],[So với trước đây, tôi thấy cách tính thuế và các bậc thuế trong phương án mới đơn giản, dễ hiểu và dễ thực hiện hơn. - HUMAN-FAC2]]</f>
        <v>5</v>
      </c>
      <c r="AI388" t="str">
        <f t="shared" si="172"/>
        <v>Neutral</v>
      </c>
      <c r="AJ388" s="32">
        <f t="shared" si="173"/>
        <v>4</v>
      </c>
      <c r="AK388">
        <f>step3_validation[[#This Row],[AI_TRU1]]</f>
        <v>8</v>
      </c>
      <c r="AL388" t="str">
        <f t="shared" si="174"/>
        <v>Support</v>
      </c>
      <c r="AM388">
        <f>survey_responses[[#This Row],[Tôi tin rằng Nhà nước, cơ quan thuế sẽ thực thi chính sách mới một cách khách quan, công tâm và đối xử bình đẳng với mọi người nộp thuế.  - HUMAN-TRU1]]</f>
        <v>5</v>
      </c>
      <c r="AN388" t="str">
        <f t="shared" si="175"/>
        <v>Neutral</v>
      </c>
      <c r="AO388" s="32">
        <f t="shared" si="176"/>
        <v>3</v>
      </c>
      <c r="AP388">
        <f>step3_validation[[#This Row],[AI_TRU2]]</f>
        <v>9</v>
      </c>
      <c r="AQ388" t="str">
        <f t="shared" si="177"/>
        <v>Support</v>
      </c>
      <c r="AR388">
        <f>survey_responses[[#This Row],[Tôi thấy mức thuế tôi phải đóng theo phương án mới là công bằng (người thu nhập như tôi đóng mức này là hợp lý). - HUMAN-TRU2]]</f>
        <v>5</v>
      </c>
      <c r="AS388" t="str">
        <f t="shared" si="178"/>
        <v>Neutral</v>
      </c>
      <c r="AT388" s="32">
        <f t="shared" si="179"/>
        <v>4</v>
      </c>
      <c r="AU388">
        <f>step3_validation[[#This Row],[AI_TRU3]]</f>
        <v>8</v>
      </c>
      <c r="AV388" t="str">
        <f t="shared" si="180"/>
        <v>Support</v>
      </c>
      <c r="AW388">
        <f>survey_responses[[#This Row],[Tôi tin tưởng số tiền thuế tôi đóng sẽ được Nhà nước sử dụng hiệu quả để cải thiện dịch vụ công (y tế, đường xá...). - HUMAN-TRU3]]</f>
        <v>5</v>
      </c>
      <c r="AX388" t="str">
        <f t="shared" si="181"/>
        <v>Neutral</v>
      </c>
      <c r="AY388" s="32">
        <f t="shared" si="182"/>
        <v>3</v>
      </c>
      <c r="AZ388">
        <f>step3_validation[[#This Row],[AI_TRU4]]</f>
        <v>7</v>
      </c>
      <c r="BA388" t="str">
        <f t="shared" si="183"/>
        <v>Neutral</v>
      </c>
      <c r="BB388">
        <f>survey_responses[[#This Row],[Tôi thấy Nhà nước đã giải thích rõ ràng, minh bạch về lý do và mục tiêu của việc sửa đổi thuế lần này. - HUMAN-TRU4]]</f>
        <v>5</v>
      </c>
      <c r="BC388" t="str">
        <f t="shared" si="184"/>
        <v>Neutral</v>
      </c>
      <c r="BD388" s="32">
        <f t="shared" si="185"/>
        <v>2</v>
      </c>
      <c r="BE388">
        <f>step3_validation[[#This Row],[AI_OUT1]]</f>
        <v>9</v>
      </c>
      <c r="BF388" t="str">
        <f t="shared" si="186"/>
        <v>Support</v>
      </c>
      <c r="BG388">
        <f>survey_responses[[#This Row],[Sau khi xem xét các quyền lợi và nghĩa vụ, bạn có ủng hộ và tuân thủ chính sách mới hiện nay? - HUMAN-OUT1]]</f>
        <v>5</v>
      </c>
      <c r="BH388" t="str">
        <f t="shared" si="187"/>
        <v>Neutral</v>
      </c>
      <c r="BI388" s="32">
        <f t="shared" si="188"/>
        <v>4</v>
      </c>
    </row>
    <row r="389" spans="1:61" x14ac:dyDescent="0.45">
      <c r="A389" s="30">
        <f>step3_validation[[#This Row],[Persona_ID]]</f>
        <v>388</v>
      </c>
      <c r="B389" s="31">
        <f>step3_validation[[#This Row],[Used_Seed]]</f>
        <v>388</v>
      </c>
      <c r="C389" t="str">
        <f>step3_validation[[#This Row],[Gender]]</f>
        <v>Nam</v>
      </c>
      <c r="D389" t="str">
        <f>survey_responses[[#This Row],[Giới tính của bạn:]]</f>
        <v>Nam</v>
      </c>
      <c r="E389" t="str">
        <f>step3_validation[[#This Row],[Age_Group]]</f>
        <v>18 - 24</v>
      </c>
      <c r="F389" t="str">
        <f>survey_responses[[#This Row],[Độ tuổi của bạn:]]</f>
        <v>18 - 24</v>
      </c>
      <c r="G389" t="str">
        <f>step3_validation[[#This Row],[Region]]</f>
        <v>Thành thị</v>
      </c>
      <c r="H389" t="str">
        <f>survey_responses[[#This Row],[Khu vực bạn đang sinh sống:]]</f>
        <v>Thành thị</v>
      </c>
      <c r="I389" t="str">
        <f>step3_validation[[#This Row],[Education]]</f>
        <v>Đại học</v>
      </c>
      <c r="J389" t="str">
        <f>survey_responses[[#This Row],[Trình độ học vấn cao nhất:]]</f>
        <v>Đại học</v>
      </c>
      <c r="K389" t="str">
        <f>step3_validation[[#This Row],[Employment]]</f>
        <v>Chính thức</v>
      </c>
      <c r="L389" t="str">
        <f>survey_responses[[#This Row],[Tình trạng việc làm chính:]]</f>
        <v>Khu vực chính thức (Có Hợp đồng lao động, đóng BHXH)</v>
      </c>
      <c r="M389">
        <f>step3_validation[[#This Row],[Income_Mil]]</f>
        <v>12.961606277266092</v>
      </c>
      <c r="N389" t="str">
        <f>survey_responses[[#This Row],[Thu nhập bình quân tháng theo Hợp đồng lao động của bạn là bao nhiêu? (Vui lòng điền tổng thu nhập trước khi khấu trừ các loại Bảo hiểm (BHXH, BHYT, BHTN) và Thuế TNCN)]]</f>
        <v>Từ 12 - 18 triệu VNĐ</v>
      </c>
      <c r="O389">
        <f>step3_validation[[#This Row],[Dependents]]</f>
        <v>0</v>
      </c>
      <c r="P389" t="str">
        <f>survey_responses[[#This Row],[Số người phụ thuộc (con nhỏ, cha mẹ già...) đủ điều kiện giảm trừ gia cảnh:]]</f>
        <v>0 người</v>
      </c>
      <c r="Q389">
        <f>step3_validation[[#This Row],[AI_ENF1]]</f>
        <v>8</v>
      </c>
      <c r="R389" t="str">
        <f t="shared" si="162"/>
        <v>Support</v>
      </c>
      <c r="S389">
        <f>survey_responses[[#This Row],[Tôi tin rằng với các quy định quản lý thuế hiện nay, hành vi gian lận hoặc trốn thuế sẽ dễ dàng bị phát hiện và xử lý nghiêm. - HUMAN-ENF1]]</f>
        <v>7</v>
      </c>
      <c r="T389" t="str">
        <f t="shared" si="163"/>
        <v>Neutral</v>
      </c>
      <c r="U389" s="32">
        <f t="shared" si="164"/>
        <v>1</v>
      </c>
      <c r="V389">
        <f>step3_validation[[#This Row],[AI_ENF2]]</f>
        <v>7</v>
      </c>
      <c r="W389" t="str">
        <f t="shared" si="165"/>
        <v>Neutral</v>
      </c>
      <c r="X389">
        <f>survey_responses[[#This Row],[Tôi tin rằng Nhà nước, cơ quan thuế có đủ khả năng và công nghệ để phát hiện, xử lý nghiêm các hành vi trốn thuế. - HUMAN-ENF2]]</f>
        <v>7</v>
      </c>
      <c r="Y389" t="str">
        <f t="shared" si="166"/>
        <v>Neutral</v>
      </c>
      <c r="Z389" s="32">
        <f t="shared" si="167"/>
        <v>0</v>
      </c>
      <c r="AA389">
        <f>step3_validation[[#This Row],[AI_FAC1]]</f>
        <v>9</v>
      </c>
      <c r="AB389" t="str">
        <f t="shared" si="168"/>
        <v>Support</v>
      </c>
      <c r="AC389">
        <f>survey_responses[[#This Row],[Các thủ tục khai báo thuế VÀ/HOẶC quy trình làm việc với cơ quan thuế đơn giản, tiện lợi, nhanh chóng hơn so với trước đây. - HUMAN-FAC1]]</f>
        <v>5</v>
      </c>
      <c r="AD389" t="str">
        <f t="shared" si="169"/>
        <v>Neutral</v>
      </c>
      <c r="AE389" s="32">
        <f t="shared" si="170"/>
        <v>4</v>
      </c>
      <c r="AF389">
        <f>step3_validation[[#This Row],[AI_FAC2]]</f>
        <v>8</v>
      </c>
      <c r="AG389" t="str">
        <f t="shared" si="171"/>
        <v>Support</v>
      </c>
      <c r="AH389">
        <f>survey_responses[[#This Row],[So với trước đây, tôi thấy cách tính thuế và các bậc thuế trong phương án mới đơn giản, dễ hiểu và dễ thực hiện hơn. - HUMAN-FAC2]]</f>
        <v>8</v>
      </c>
      <c r="AI389" t="str">
        <f t="shared" si="172"/>
        <v>Support</v>
      </c>
      <c r="AJ389" s="32">
        <f t="shared" si="173"/>
        <v>0</v>
      </c>
      <c r="AK389">
        <f>step3_validation[[#This Row],[AI_TRU1]]</f>
        <v>9</v>
      </c>
      <c r="AL389" t="str">
        <f t="shared" si="174"/>
        <v>Support</v>
      </c>
      <c r="AM389">
        <f>survey_responses[[#This Row],[Tôi tin rằng Nhà nước, cơ quan thuế sẽ thực thi chính sách mới một cách khách quan, công tâm và đối xử bình đẳng với mọi người nộp thuế.  - HUMAN-TRU1]]</f>
        <v>6</v>
      </c>
      <c r="AN389" t="str">
        <f t="shared" si="175"/>
        <v>Neutral</v>
      </c>
      <c r="AO389" s="32">
        <f t="shared" si="176"/>
        <v>3</v>
      </c>
      <c r="AP389">
        <f>step3_validation[[#This Row],[AI_TRU2]]</f>
        <v>8</v>
      </c>
      <c r="AQ389" t="str">
        <f t="shared" si="177"/>
        <v>Support</v>
      </c>
      <c r="AR389">
        <f>survey_responses[[#This Row],[Tôi thấy mức thuế tôi phải đóng theo phương án mới là công bằng (người thu nhập như tôi đóng mức này là hợp lý). - HUMAN-TRU2]]</f>
        <v>8</v>
      </c>
      <c r="AS389" t="str">
        <f t="shared" si="178"/>
        <v>Support</v>
      </c>
      <c r="AT389" s="32">
        <f t="shared" si="179"/>
        <v>0</v>
      </c>
      <c r="AU389">
        <f>step3_validation[[#This Row],[AI_TRU3]]</f>
        <v>7</v>
      </c>
      <c r="AV389" t="str">
        <f t="shared" si="180"/>
        <v>Neutral</v>
      </c>
      <c r="AW389">
        <f>survey_responses[[#This Row],[Tôi tin tưởng số tiền thuế tôi đóng sẽ được Nhà nước sử dụng hiệu quả để cải thiện dịch vụ công (y tế, đường xá...). - HUMAN-TRU3]]</f>
        <v>5</v>
      </c>
      <c r="AX389" t="str">
        <f t="shared" si="181"/>
        <v>Neutral</v>
      </c>
      <c r="AY389" s="32">
        <f t="shared" si="182"/>
        <v>2</v>
      </c>
      <c r="AZ389">
        <f>step3_validation[[#This Row],[AI_TRU4]]</f>
        <v>8</v>
      </c>
      <c r="BA389" t="str">
        <f t="shared" si="183"/>
        <v>Support</v>
      </c>
      <c r="BB389">
        <f>survey_responses[[#This Row],[Tôi thấy Nhà nước đã giải thích rõ ràng, minh bạch về lý do và mục tiêu của việc sửa đổi thuế lần này. - HUMAN-TRU4]]</f>
        <v>5</v>
      </c>
      <c r="BC389" t="str">
        <f t="shared" si="184"/>
        <v>Neutral</v>
      </c>
      <c r="BD389" s="32">
        <f t="shared" si="185"/>
        <v>3</v>
      </c>
      <c r="BE389">
        <f>step3_validation[[#This Row],[AI_OUT1]]</f>
        <v>9</v>
      </c>
      <c r="BF389" t="str">
        <f t="shared" si="186"/>
        <v>Support</v>
      </c>
      <c r="BG389">
        <f>survey_responses[[#This Row],[Sau khi xem xét các quyền lợi và nghĩa vụ, bạn có ủng hộ và tuân thủ chính sách mới hiện nay? - HUMAN-OUT1]]</f>
        <v>8</v>
      </c>
      <c r="BH389" t="str">
        <f t="shared" si="187"/>
        <v>Support</v>
      </c>
      <c r="BI389" s="32">
        <f t="shared" si="188"/>
        <v>1</v>
      </c>
    </row>
    <row r="390" spans="1:61" x14ac:dyDescent="0.45">
      <c r="A390" s="30">
        <f>step3_validation[[#This Row],[Persona_ID]]</f>
        <v>389</v>
      </c>
      <c r="B390" s="31">
        <f>step3_validation[[#This Row],[Used_Seed]]</f>
        <v>389</v>
      </c>
      <c r="C390" t="str">
        <f>step3_validation[[#This Row],[Gender]]</f>
        <v>Nam</v>
      </c>
      <c r="D390" t="str">
        <f>survey_responses[[#This Row],[Giới tính của bạn:]]</f>
        <v>Nam</v>
      </c>
      <c r="E390" t="str">
        <f>step3_validation[[#This Row],[Age_Group]]</f>
        <v>25 - 29</v>
      </c>
      <c r="F390" t="str">
        <f>survey_responses[[#This Row],[Độ tuổi của bạn:]]</f>
        <v>25 - 29</v>
      </c>
      <c r="G390" t="str">
        <f>step3_validation[[#This Row],[Region]]</f>
        <v>Thành thị</v>
      </c>
      <c r="H390" t="str">
        <f>survey_responses[[#This Row],[Khu vực bạn đang sinh sống:]]</f>
        <v>Thành thị</v>
      </c>
      <c r="I390" t="str">
        <f>step3_validation[[#This Row],[Education]]</f>
        <v>Đại học</v>
      </c>
      <c r="J390" t="str">
        <f>survey_responses[[#This Row],[Trình độ học vấn cao nhất:]]</f>
        <v>Đại học</v>
      </c>
      <c r="K390" t="str">
        <f>step3_validation[[#This Row],[Employment]]</f>
        <v>Chính thức</v>
      </c>
      <c r="L390" t="str">
        <f>survey_responses[[#This Row],[Tình trạng việc làm chính:]]</f>
        <v>Khu vực chính thức (Có Hợp đồng lao động, đóng BHXH)</v>
      </c>
      <c r="M390">
        <f>step3_validation[[#This Row],[Income_Mil]]</f>
        <v>18.038767281149184</v>
      </c>
      <c r="N390" t="str">
        <f>survey_responses[[#This Row],[Thu nhập bình quân tháng theo Hợp đồng lao động của bạn là bao nhiêu? (Vui lòng điền tổng thu nhập trước khi khấu trừ các loại Bảo hiểm (BHXH, BHYT, BHTN) và Thuế TNCN)]]</f>
        <v>Từ 18 - 23 triệu VNĐ</v>
      </c>
      <c r="O390">
        <f>step3_validation[[#This Row],[Dependents]]</f>
        <v>0</v>
      </c>
      <c r="P390" t="str">
        <f>survey_responses[[#This Row],[Số người phụ thuộc (con nhỏ, cha mẹ già...) đủ điều kiện giảm trừ gia cảnh:]]</f>
        <v>0 người</v>
      </c>
      <c r="Q390">
        <f>step3_validation[[#This Row],[AI_ENF1]]</f>
        <v>7</v>
      </c>
      <c r="R390" t="str">
        <f t="shared" si="162"/>
        <v>Neutral</v>
      </c>
      <c r="S390">
        <f>survey_responses[[#This Row],[Tôi tin rằng với các quy định quản lý thuế hiện nay, hành vi gian lận hoặc trốn thuế sẽ dễ dàng bị phát hiện và xử lý nghiêm. - HUMAN-ENF1]]</f>
        <v>6</v>
      </c>
      <c r="T390" t="str">
        <f t="shared" si="163"/>
        <v>Neutral</v>
      </c>
      <c r="U390" s="32">
        <f t="shared" si="164"/>
        <v>1</v>
      </c>
      <c r="V390">
        <f>step3_validation[[#This Row],[AI_ENF2]]</f>
        <v>6</v>
      </c>
      <c r="W390" t="str">
        <f t="shared" si="165"/>
        <v>Neutral</v>
      </c>
      <c r="X390">
        <f>survey_responses[[#This Row],[Tôi tin rằng Nhà nước, cơ quan thuế có đủ khả năng và công nghệ để phát hiện, xử lý nghiêm các hành vi trốn thuế. - HUMAN-ENF2]]</f>
        <v>8</v>
      </c>
      <c r="Y390" t="str">
        <f t="shared" si="166"/>
        <v>Support</v>
      </c>
      <c r="Z390" s="32">
        <f t="shared" si="167"/>
        <v>2</v>
      </c>
      <c r="AA390">
        <f>step3_validation[[#This Row],[AI_FAC1]]</f>
        <v>8</v>
      </c>
      <c r="AB390" t="str">
        <f t="shared" si="168"/>
        <v>Support</v>
      </c>
      <c r="AC390">
        <f>survey_responses[[#This Row],[Các thủ tục khai báo thuế VÀ/HOẶC quy trình làm việc với cơ quan thuế đơn giản, tiện lợi, nhanh chóng hơn so với trước đây. - HUMAN-FAC1]]</f>
        <v>7</v>
      </c>
      <c r="AD390" t="str">
        <f t="shared" si="169"/>
        <v>Neutral</v>
      </c>
      <c r="AE390" s="32">
        <f t="shared" si="170"/>
        <v>1</v>
      </c>
      <c r="AF390">
        <f>step3_validation[[#This Row],[AI_FAC2]]</f>
        <v>9</v>
      </c>
      <c r="AG390" t="str">
        <f t="shared" si="171"/>
        <v>Support</v>
      </c>
      <c r="AH390">
        <f>survey_responses[[#This Row],[So với trước đây, tôi thấy cách tính thuế và các bậc thuế trong phương án mới đơn giản, dễ hiểu và dễ thực hiện hơn. - HUMAN-FAC2]]</f>
        <v>8</v>
      </c>
      <c r="AI390" t="str">
        <f t="shared" si="172"/>
        <v>Support</v>
      </c>
      <c r="AJ390" s="32">
        <f t="shared" si="173"/>
        <v>1</v>
      </c>
      <c r="AK390">
        <f>step3_validation[[#This Row],[AI_TRU1]]</f>
        <v>8</v>
      </c>
      <c r="AL390" t="str">
        <f t="shared" si="174"/>
        <v>Support</v>
      </c>
      <c r="AM390">
        <f>survey_responses[[#This Row],[Tôi tin rằng Nhà nước, cơ quan thuế sẽ thực thi chính sách mới một cách khách quan, công tâm và đối xử bình đẳng với mọi người nộp thuế.  - HUMAN-TRU1]]</f>
        <v>6</v>
      </c>
      <c r="AN390" t="str">
        <f t="shared" si="175"/>
        <v>Neutral</v>
      </c>
      <c r="AO390" s="32">
        <f t="shared" si="176"/>
        <v>2</v>
      </c>
      <c r="AP390">
        <f>step3_validation[[#This Row],[AI_TRU2]]</f>
        <v>9</v>
      </c>
      <c r="AQ390" t="str">
        <f t="shared" si="177"/>
        <v>Support</v>
      </c>
      <c r="AR390">
        <f>survey_responses[[#This Row],[Tôi thấy mức thuế tôi phải đóng theo phương án mới là công bằng (người thu nhập như tôi đóng mức này là hợp lý). - HUMAN-TRU2]]</f>
        <v>8</v>
      </c>
      <c r="AS390" t="str">
        <f t="shared" si="178"/>
        <v>Support</v>
      </c>
      <c r="AT390" s="32">
        <f t="shared" si="179"/>
        <v>1</v>
      </c>
      <c r="AU390">
        <f>step3_validation[[#This Row],[AI_TRU3]]</f>
        <v>8</v>
      </c>
      <c r="AV390" t="str">
        <f t="shared" si="180"/>
        <v>Support</v>
      </c>
      <c r="AW390">
        <f>survey_responses[[#This Row],[Tôi tin tưởng số tiền thuế tôi đóng sẽ được Nhà nước sử dụng hiệu quả để cải thiện dịch vụ công (y tế, đường xá...). - HUMAN-TRU3]]</f>
        <v>5</v>
      </c>
      <c r="AX390" t="str">
        <f t="shared" si="181"/>
        <v>Neutral</v>
      </c>
      <c r="AY390" s="32">
        <f t="shared" si="182"/>
        <v>3</v>
      </c>
      <c r="AZ390">
        <f>step3_validation[[#This Row],[AI_TRU4]]</f>
        <v>7</v>
      </c>
      <c r="BA390" t="str">
        <f t="shared" si="183"/>
        <v>Neutral</v>
      </c>
      <c r="BB390">
        <f>survey_responses[[#This Row],[Tôi thấy Nhà nước đã giải thích rõ ràng, minh bạch về lý do và mục tiêu của việc sửa đổi thuế lần này. - HUMAN-TRU4]]</f>
        <v>5</v>
      </c>
      <c r="BC390" t="str">
        <f t="shared" si="184"/>
        <v>Neutral</v>
      </c>
      <c r="BD390" s="32">
        <f t="shared" si="185"/>
        <v>2</v>
      </c>
      <c r="BE390">
        <f>step3_validation[[#This Row],[AI_OUT1]]</f>
        <v>9</v>
      </c>
      <c r="BF390" t="str">
        <f t="shared" si="186"/>
        <v>Support</v>
      </c>
      <c r="BG390">
        <f>survey_responses[[#This Row],[Sau khi xem xét các quyền lợi và nghĩa vụ, bạn có ủng hộ và tuân thủ chính sách mới hiện nay? - HUMAN-OUT1]]</f>
        <v>8</v>
      </c>
      <c r="BH390" t="str">
        <f t="shared" si="187"/>
        <v>Support</v>
      </c>
      <c r="BI390" s="32">
        <f t="shared" si="188"/>
        <v>1</v>
      </c>
    </row>
    <row r="391" spans="1:61" x14ac:dyDescent="0.45">
      <c r="A391" s="30">
        <f>step3_validation[[#This Row],[Persona_ID]]</f>
        <v>390</v>
      </c>
      <c r="B391" s="31">
        <f>step3_validation[[#This Row],[Used_Seed]]</f>
        <v>390</v>
      </c>
      <c r="C391" t="str">
        <f>step3_validation[[#This Row],[Gender]]</f>
        <v>Nữ</v>
      </c>
      <c r="D391" t="str">
        <f>survey_responses[[#This Row],[Giới tính của bạn:]]</f>
        <v>Nữ</v>
      </c>
      <c r="E391" t="str">
        <f>step3_validation[[#This Row],[Age_Group]]</f>
        <v>40 - 49</v>
      </c>
      <c r="F391" t="str">
        <f>survey_responses[[#This Row],[Độ tuổi của bạn:]]</f>
        <v>40 - 49</v>
      </c>
      <c r="G391" t="str">
        <f>step3_validation[[#This Row],[Region]]</f>
        <v>Thành thị</v>
      </c>
      <c r="H391" t="str">
        <f>survey_responses[[#This Row],[Khu vực bạn đang sinh sống:]]</f>
        <v>Thành thị</v>
      </c>
      <c r="I391" t="str">
        <f>step3_validation[[#This Row],[Education]]</f>
        <v>Sau Đại học</v>
      </c>
      <c r="J391" t="str">
        <f>survey_responses[[#This Row],[Trình độ học vấn cao nhất:]]</f>
        <v>Sau Đại học</v>
      </c>
      <c r="K391" t="str">
        <f>step3_validation[[#This Row],[Employment]]</f>
        <v>Chính thức</v>
      </c>
      <c r="L391" t="str">
        <f>survey_responses[[#This Row],[Tình trạng việc làm chính:]]</f>
        <v>Khu vực chính thức (Có Hợp đồng lao động, đóng BHXH)</v>
      </c>
      <c r="M391">
        <f>step3_validation[[#This Row],[Income_Mil]]</f>
        <v>41.51685399739646</v>
      </c>
      <c r="N391" t="str">
        <f>survey_responses[[#This Row],[Thu nhập bình quân tháng theo Hợp đồng lao động của bạn là bao nhiêu? (Vui lòng điền tổng thu nhập trước khi khấu trừ các loại Bảo hiểm (BHXH, BHYT, BHTN) và Thuế TNCN)]]</f>
        <v>Từ 32 - 48 triệu VNĐ</v>
      </c>
      <c r="O391">
        <f>step3_validation[[#This Row],[Dependents]]</f>
        <v>3</v>
      </c>
      <c r="P391" t="str">
        <f>survey_responses[[#This Row],[Số người phụ thuộc (con nhỏ, cha mẹ già...) đủ điều kiện giảm trừ gia cảnh:]]</f>
        <v>3 người</v>
      </c>
      <c r="Q391">
        <f>step3_validation[[#This Row],[AI_ENF1]]</f>
        <v>8</v>
      </c>
      <c r="R391" t="str">
        <f t="shared" si="162"/>
        <v>Support</v>
      </c>
      <c r="S391">
        <f>survey_responses[[#This Row],[Tôi tin rằng với các quy định quản lý thuế hiện nay, hành vi gian lận hoặc trốn thuế sẽ dễ dàng bị phát hiện và xử lý nghiêm. - HUMAN-ENF1]]</f>
        <v>10</v>
      </c>
      <c r="T391" t="str">
        <f t="shared" si="163"/>
        <v>Support</v>
      </c>
      <c r="U391" s="32">
        <f t="shared" si="164"/>
        <v>2</v>
      </c>
      <c r="V391">
        <f>step3_validation[[#This Row],[AI_ENF2]]</f>
        <v>7</v>
      </c>
      <c r="W391" t="str">
        <f t="shared" si="165"/>
        <v>Neutral</v>
      </c>
      <c r="X391">
        <f>survey_responses[[#This Row],[Tôi tin rằng Nhà nước, cơ quan thuế có đủ khả năng và công nghệ để phát hiện, xử lý nghiêm các hành vi trốn thuế. - HUMAN-ENF2]]</f>
        <v>10</v>
      </c>
      <c r="Y391" t="str">
        <f t="shared" si="166"/>
        <v>Support</v>
      </c>
      <c r="Z391" s="32">
        <f t="shared" si="167"/>
        <v>3</v>
      </c>
      <c r="AA391">
        <f>step3_validation[[#This Row],[AI_FAC1]]</f>
        <v>7</v>
      </c>
      <c r="AB391" t="str">
        <f t="shared" si="168"/>
        <v>Neutral</v>
      </c>
      <c r="AC391">
        <f>survey_responses[[#This Row],[Các thủ tục khai báo thuế VÀ/HOẶC quy trình làm việc với cơ quan thuế đơn giản, tiện lợi, nhanh chóng hơn so với trước đây. - HUMAN-FAC1]]</f>
        <v>5</v>
      </c>
      <c r="AD391" t="str">
        <f t="shared" si="169"/>
        <v>Neutral</v>
      </c>
      <c r="AE391" s="32">
        <f t="shared" si="170"/>
        <v>2</v>
      </c>
      <c r="AF391">
        <f>step3_validation[[#This Row],[AI_FAC2]]</f>
        <v>9</v>
      </c>
      <c r="AG391" t="str">
        <f t="shared" si="171"/>
        <v>Support</v>
      </c>
      <c r="AH391">
        <f>survey_responses[[#This Row],[So với trước đây, tôi thấy cách tính thuế và các bậc thuế trong phương án mới đơn giản, dễ hiểu và dễ thực hiện hơn. - HUMAN-FAC2]]</f>
        <v>9</v>
      </c>
      <c r="AI391" t="str">
        <f t="shared" si="172"/>
        <v>Support</v>
      </c>
      <c r="AJ391" s="32">
        <f t="shared" si="173"/>
        <v>0</v>
      </c>
      <c r="AK391">
        <f>step3_validation[[#This Row],[AI_TRU1]]</f>
        <v>7</v>
      </c>
      <c r="AL391" t="str">
        <f t="shared" si="174"/>
        <v>Neutral</v>
      </c>
      <c r="AM391">
        <f>survey_responses[[#This Row],[Tôi tin rằng Nhà nước, cơ quan thuế sẽ thực thi chính sách mới một cách khách quan, công tâm và đối xử bình đẳng với mọi người nộp thuế.  - HUMAN-TRU1]]</f>
        <v>7</v>
      </c>
      <c r="AN391" t="str">
        <f t="shared" si="175"/>
        <v>Neutral</v>
      </c>
      <c r="AO391" s="32">
        <f t="shared" si="176"/>
        <v>0</v>
      </c>
      <c r="AP391">
        <f>step3_validation[[#This Row],[AI_TRU2]]</f>
        <v>8</v>
      </c>
      <c r="AQ391" t="str">
        <f t="shared" si="177"/>
        <v>Support</v>
      </c>
      <c r="AR391">
        <f>survey_responses[[#This Row],[Tôi thấy mức thuế tôi phải đóng theo phương án mới là công bằng (người thu nhập như tôi đóng mức này là hợp lý). - HUMAN-TRU2]]</f>
        <v>8</v>
      </c>
      <c r="AS391" t="str">
        <f t="shared" si="178"/>
        <v>Support</v>
      </c>
      <c r="AT391" s="32">
        <f t="shared" si="179"/>
        <v>0</v>
      </c>
      <c r="AU391">
        <f>step3_validation[[#This Row],[AI_TRU3]]</f>
        <v>7</v>
      </c>
      <c r="AV391" t="str">
        <f t="shared" si="180"/>
        <v>Neutral</v>
      </c>
      <c r="AW391">
        <f>survey_responses[[#This Row],[Tôi tin tưởng số tiền thuế tôi đóng sẽ được Nhà nước sử dụng hiệu quả để cải thiện dịch vụ công (y tế, đường xá...). - HUMAN-TRU3]]</f>
        <v>5</v>
      </c>
      <c r="AX391" t="str">
        <f t="shared" si="181"/>
        <v>Neutral</v>
      </c>
      <c r="AY391" s="32">
        <f t="shared" si="182"/>
        <v>2</v>
      </c>
      <c r="AZ391">
        <f>step3_validation[[#This Row],[AI_TRU4]]</f>
        <v>6</v>
      </c>
      <c r="BA391" t="str">
        <f t="shared" si="183"/>
        <v>Neutral</v>
      </c>
      <c r="BB391">
        <f>survey_responses[[#This Row],[Tôi thấy Nhà nước đã giải thích rõ ràng, minh bạch về lý do và mục tiêu của việc sửa đổi thuế lần này. - HUMAN-TRU4]]</f>
        <v>5</v>
      </c>
      <c r="BC391" t="str">
        <f t="shared" si="184"/>
        <v>Neutral</v>
      </c>
      <c r="BD391" s="32">
        <f t="shared" si="185"/>
        <v>1</v>
      </c>
      <c r="BE391">
        <f>step3_validation[[#This Row],[AI_OUT1]]</f>
        <v>9</v>
      </c>
      <c r="BF391" t="str">
        <f t="shared" si="186"/>
        <v>Support</v>
      </c>
      <c r="BG391">
        <f>survey_responses[[#This Row],[Sau khi xem xét các quyền lợi và nghĩa vụ, bạn có ủng hộ và tuân thủ chính sách mới hiện nay? - HUMAN-OUT1]]</f>
        <v>8</v>
      </c>
      <c r="BH391" t="str">
        <f t="shared" si="187"/>
        <v>Support</v>
      </c>
      <c r="BI391" s="32">
        <f t="shared" si="188"/>
        <v>1</v>
      </c>
    </row>
    <row r="392" spans="1:61" x14ac:dyDescent="0.45">
      <c r="A392" s="30">
        <f>step3_validation[[#This Row],[Persona_ID]]</f>
        <v>391</v>
      </c>
      <c r="B392" s="31">
        <f>step3_validation[[#This Row],[Used_Seed]]</f>
        <v>391</v>
      </c>
      <c r="C392" t="str">
        <f>step3_validation[[#This Row],[Gender]]</f>
        <v>Nam</v>
      </c>
      <c r="D392" t="str">
        <f>survey_responses[[#This Row],[Giới tính của bạn:]]</f>
        <v>Nam</v>
      </c>
      <c r="E392" t="str">
        <f>step3_validation[[#This Row],[Age_Group]]</f>
        <v>25 - 29</v>
      </c>
      <c r="F392" t="str">
        <f>survey_responses[[#This Row],[Độ tuổi của bạn:]]</f>
        <v>25 - 29</v>
      </c>
      <c r="G392" t="str">
        <f>step3_validation[[#This Row],[Region]]</f>
        <v>Thành thị</v>
      </c>
      <c r="H392" t="str">
        <f>survey_responses[[#This Row],[Khu vực bạn đang sinh sống:]]</f>
        <v>Thành thị</v>
      </c>
      <c r="I392" t="str">
        <f>step3_validation[[#This Row],[Education]]</f>
        <v>Đại học</v>
      </c>
      <c r="J392" t="str">
        <f>survey_responses[[#This Row],[Trình độ học vấn cao nhất:]]</f>
        <v>Đại học</v>
      </c>
      <c r="K392" t="str">
        <f>step3_validation[[#This Row],[Employment]]</f>
        <v>Chính thức</v>
      </c>
      <c r="L392" t="str">
        <f>survey_responses[[#This Row],[Tình trạng việc làm chính:]]</f>
        <v>Khu vực chính thức (Có Hợp đồng lao động, đóng BHXH)</v>
      </c>
      <c r="M392">
        <f>step3_validation[[#This Row],[Income_Mil]]</f>
        <v>12.02461964633963</v>
      </c>
      <c r="N392" t="str">
        <f>survey_responses[[#This Row],[Thu nhập bình quân tháng theo Hợp đồng lao động của bạn là bao nhiêu? (Vui lòng điền tổng thu nhập trước khi khấu trừ các loại Bảo hiểm (BHXH, BHYT, BHTN) và Thuế TNCN)]]</f>
        <v>Từ 12 - 18 triệu VNĐ</v>
      </c>
      <c r="O392">
        <f>step3_validation[[#This Row],[Dependents]]</f>
        <v>0</v>
      </c>
      <c r="P392" t="str">
        <f>survey_responses[[#This Row],[Số người phụ thuộc (con nhỏ, cha mẹ già...) đủ điều kiện giảm trừ gia cảnh:]]</f>
        <v>0 người</v>
      </c>
      <c r="Q392">
        <f>step3_validation[[#This Row],[AI_ENF1]]</f>
        <v>6</v>
      </c>
      <c r="R392" t="str">
        <f t="shared" si="162"/>
        <v>Neutral</v>
      </c>
      <c r="S392">
        <f>survey_responses[[#This Row],[Tôi tin rằng với các quy định quản lý thuế hiện nay, hành vi gian lận hoặc trốn thuế sẽ dễ dàng bị phát hiện và xử lý nghiêm. - HUMAN-ENF1]]</f>
        <v>4</v>
      </c>
      <c r="T392" t="str">
        <f t="shared" si="163"/>
        <v>Oppose</v>
      </c>
      <c r="U392" s="32">
        <f t="shared" si="164"/>
        <v>2</v>
      </c>
      <c r="V392">
        <f>step3_validation[[#This Row],[AI_ENF2]]</f>
        <v>5</v>
      </c>
      <c r="W392" t="str">
        <f t="shared" si="165"/>
        <v>Neutral</v>
      </c>
      <c r="X392">
        <f>survey_responses[[#This Row],[Tôi tin rằng Nhà nước, cơ quan thuế có đủ khả năng và công nghệ để phát hiện, xử lý nghiêm các hành vi trốn thuế. - HUMAN-ENF2]]</f>
        <v>5</v>
      </c>
      <c r="Y392" t="str">
        <f t="shared" si="166"/>
        <v>Neutral</v>
      </c>
      <c r="Z392" s="32">
        <f t="shared" si="167"/>
        <v>0</v>
      </c>
      <c r="AA392">
        <f>step3_validation[[#This Row],[AI_FAC1]]</f>
        <v>8</v>
      </c>
      <c r="AB392" t="str">
        <f t="shared" si="168"/>
        <v>Support</v>
      </c>
      <c r="AC392">
        <f>survey_responses[[#This Row],[Các thủ tục khai báo thuế VÀ/HOẶC quy trình làm việc với cơ quan thuế đơn giản, tiện lợi, nhanh chóng hơn so với trước đây. - HUMAN-FAC1]]</f>
        <v>7</v>
      </c>
      <c r="AD392" t="str">
        <f t="shared" si="169"/>
        <v>Neutral</v>
      </c>
      <c r="AE392" s="32">
        <f t="shared" si="170"/>
        <v>1</v>
      </c>
      <c r="AF392">
        <f>step3_validation[[#This Row],[AI_FAC2]]</f>
        <v>9</v>
      </c>
      <c r="AG392" t="str">
        <f t="shared" si="171"/>
        <v>Support</v>
      </c>
      <c r="AH392">
        <f>survey_responses[[#This Row],[So với trước đây, tôi thấy cách tính thuế và các bậc thuế trong phương án mới đơn giản, dễ hiểu và dễ thực hiện hơn. - HUMAN-FAC2]]</f>
        <v>7</v>
      </c>
      <c r="AI392" t="str">
        <f t="shared" si="172"/>
        <v>Neutral</v>
      </c>
      <c r="AJ392" s="32">
        <f t="shared" si="173"/>
        <v>2</v>
      </c>
      <c r="AK392">
        <f>step3_validation[[#This Row],[AI_TRU1]]</f>
        <v>7</v>
      </c>
      <c r="AL392" t="str">
        <f t="shared" si="174"/>
        <v>Neutral</v>
      </c>
      <c r="AM392">
        <f>survey_responses[[#This Row],[Tôi tin rằng Nhà nước, cơ quan thuế sẽ thực thi chính sách mới một cách khách quan, công tâm và đối xử bình đẳng với mọi người nộp thuế.  - HUMAN-TRU1]]</f>
        <v>5</v>
      </c>
      <c r="AN392" t="str">
        <f t="shared" si="175"/>
        <v>Neutral</v>
      </c>
      <c r="AO392" s="32">
        <f t="shared" si="176"/>
        <v>2</v>
      </c>
      <c r="AP392">
        <f>step3_validation[[#This Row],[AI_TRU2]]</f>
        <v>8</v>
      </c>
      <c r="AQ392" t="str">
        <f t="shared" si="177"/>
        <v>Support</v>
      </c>
      <c r="AR392">
        <f>survey_responses[[#This Row],[Tôi thấy mức thuế tôi phải đóng theo phương án mới là công bằng (người thu nhập như tôi đóng mức này là hợp lý). - HUMAN-TRU2]]</f>
        <v>7</v>
      </c>
      <c r="AS392" t="str">
        <f t="shared" si="178"/>
        <v>Neutral</v>
      </c>
      <c r="AT392" s="32">
        <f t="shared" si="179"/>
        <v>1</v>
      </c>
      <c r="AU392">
        <f>step3_validation[[#This Row],[AI_TRU3]]</f>
        <v>7</v>
      </c>
      <c r="AV392" t="str">
        <f t="shared" si="180"/>
        <v>Neutral</v>
      </c>
      <c r="AW392">
        <f>survey_responses[[#This Row],[Tôi tin tưởng số tiền thuế tôi đóng sẽ được Nhà nước sử dụng hiệu quả để cải thiện dịch vụ công (y tế, đường xá...). - HUMAN-TRU3]]</f>
        <v>5</v>
      </c>
      <c r="AX392" t="str">
        <f t="shared" si="181"/>
        <v>Neutral</v>
      </c>
      <c r="AY392" s="32">
        <f t="shared" si="182"/>
        <v>2</v>
      </c>
      <c r="AZ392">
        <f>step3_validation[[#This Row],[AI_TRU4]]</f>
        <v>6</v>
      </c>
      <c r="BA392" t="str">
        <f t="shared" si="183"/>
        <v>Neutral</v>
      </c>
      <c r="BB392">
        <f>survey_responses[[#This Row],[Tôi thấy Nhà nước đã giải thích rõ ràng, minh bạch về lý do và mục tiêu của việc sửa đổi thuế lần này. - HUMAN-TRU4]]</f>
        <v>5</v>
      </c>
      <c r="BC392" t="str">
        <f t="shared" si="184"/>
        <v>Neutral</v>
      </c>
      <c r="BD392" s="32">
        <f t="shared" si="185"/>
        <v>1</v>
      </c>
      <c r="BE392">
        <f>step3_validation[[#This Row],[AI_OUT1]]</f>
        <v>9</v>
      </c>
      <c r="BF392" t="str">
        <f t="shared" si="186"/>
        <v>Support</v>
      </c>
      <c r="BG392">
        <f>survey_responses[[#This Row],[Sau khi xem xét các quyền lợi và nghĩa vụ, bạn có ủng hộ và tuân thủ chính sách mới hiện nay? - HUMAN-OUT1]]</f>
        <v>7</v>
      </c>
      <c r="BH392" t="str">
        <f t="shared" si="187"/>
        <v>Neutral</v>
      </c>
      <c r="BI392" s="32">
        <f t="shared" si="188"/>
        <v>2</v>
      </c>
    </row>
    <row r="393" spans="1:61" x14ac:dyDescent="0.45">
      <c r="A393" s="30">
        <f>step3_validation[[#This Row],[Persona_ID]]</f>
        <v>392</v>
      </c>
      <c r="B393" s="31">
        <f>step3_validation[[#This Row],[Used_Seed]]</f>
        <v>392</v>
      </c>
      <c r="C393" t="str">
        <f>step3_validation[[#This Row],[Gender]]</f>
        <v>Nữ</v>
      </c>
      <c r="D393" t="str">
        <f>survey_responses[[#This Row],[Giới tính của bạn:]]</f>
        <v>Nữ</v>
      </c>
      <c r="E393" t="str">
        <f>step3_validation[[#This Row],[Age_Group]]</f>
        <v>55 - 64</v>
      </c>
      <c r="F393" t="str">
        <f>survey_responses[[#This Row],[Độ tuổi của bạn:]]</f>
        <v>55 - 64</v>
      </c>
      <c r="G393" t="str">
        <f>step3_validation[[#This Row],[Region]]</f>
        <v>Thành thị</v>
      </c>
      <c r="H393" t="str">
        <f>survey_responses[[#This Row],[Khu vực bạn đang sinh sống:]]</f>
        <v>Thành thị</v>
      </c>
      <c r="I393" t="str">
        <f>step3_validation[[#This Row],[Education]]</f>
        <v>Sau Đại học</v>
      </c>
      <c r="J393" t="str">
        <f>survey_responses[[#This Row],[Trình độ học vấn cao nhất:]]</f>
        <v>Sau Đại học</v>
      </c>
      <c r="K393" t="str">
        <f>step3_validation[[#This Row],[Employment]]</f>
        <v>Chính thức</v>
      </c>
      <c r="L393" t="str">
        <f>survey_responses[[#This Row],[Tình trạng việc làm chính:]]</f>
        <v>Khu vực chính thức (Có Hợp đồng lao động, đóng BHXH)</v>
      </c>
      <c r="M393">
        <f>step3_validation[[#This Row],[Income_Mil]]</f>
        <v>139.23942274695739</v>
      </c>
      <c r="N393" t="str">
        <f>survey_responses[[#This Row],[Thu nhập bình quân tháng theo Hợp đồng lao động của bạn là bao nhiêu? (Vui lòng điền tổng thu nhập trước khi khấu trừ các loại Bảo hiểm (BHXH, BHYT, BHTN) và Thuế TNCN)]]</f>
        <v>Trên 102 triệu VNĐ</v>
      </c>
      <c r="O393">
        <f>step3_validation[[#This Row],[Dependents]]</f>
        <v>4</v>
      </c>
      <c r="P393" t="str">
        <f>survey_responses[[#This Row],[Số người phụ thuộc (con nhỏ, cha mẹ già...) đủ điều kiện giảm trừ gia cảnh:]]</f>
        <v>4 người trở lên</v>
      </c>
      <c r="Q393">
        <f>step3_validation[[#This Row],[AI_ENF1]]</f>
        <v>6</v>
      </c>
      <c r="R393" t="str">
        <f t="shared" si="162"/>
        <v>Neutral</v>
      </c>
      <c r="S393">
        <f>survey_responses[[#This Row],[Tôi tin rằng với các quy định quản lý thuế hiện nay, hành vi gian lận hoặc trốn thuế sẽ dễ dàng bị phát hiện và xử lý nghiêm. - HUMAN-ENF1]]</f>
        <v>2</v>
      </c>
      <c r="T393" t="str">
        <f t="shared" si="163"/>
        <v>Oppose</v>
      </c>
      <c r="U393" s="32">
        <f t="shared" si="164"/>
        <v>4</v>
      </c>
      <c r="V393">
        <f>step3_validation[[#This Row],[AI_ENF2]]</f>
        <v>6</v>
      </c>
      <c r="W393" t="str">
        <f t="shared" si="165"/>
        <v>Neutral</v>
      </c>
      <c r="X393">
        <f>survey_responses[[#This Row],[Tôi tin rằng Nhà nước, cơ quan thuế có đủ khả năng và công nghệ để phát hiện, xử lý nghiêm các hành vi trốn thuế. - HUMAN-ENF2]]</f>
        <v>3</v>
      </c>
      <c r="Y393" t="str">
        <f t="shared" si="166"/>
        <v>Oppose</v>
      </c>
      <c r="Z393" s="32">
        <f t="shared" si="167"/>
        <v>3</v>
      </c>
      <c r="AA393">
        <f>step3_validation[[#This Row],[AI_FAC1]]</f>
        <v>8</v>
      </c>
      <c r="AB393" t="str">
        <f t="shared" si="168"/>
        <v>Support</v>
      </c>
      <c r="AC393">
        <f>survey_responses[[#This Row],[Các thủ tục khai báo thuế VÀ/HOẶC quy trình làm việc với cơ quan thuế đơn giản, tiện lợi, nhanh chóng hơn so với trước đây. - HUMAN-FAC1]]</f>
        <v>3</v>
      </c>
      <c r="AD393" t="str">
        <f t="shared" si="169"/>
        <v>Oppose</v>
      </c>
      <c r="AE393" s="32">
        <f t="shared" si="170"/>
        <v>5</v>
      </c>
      <c r="AF393">
        <f>step3_validation[[#This Row],[AI_FAC2]]</f>
        <v>7</v>
      </c>
      <c r="AG393" t="str">
        <f t="shared" si="171"/>
        <v>Neutral</v>
      </c>
      <c r="AH393">
        <f>survey_responses[[#This Row],[So với trước đây, tôi thấy cách tính thuế và các bậc thuế trong phương án mới đơn giản, dễ hiểu và dễ thực hiện hơn. - HUMAN-FAC2]]</f>
        <v>6</v>
      </c>
      <c r="AI393" t="str">
        <f t="shared" si="172"/>
        <v>Neutral</v>
      </c>
      <c r="AJ393" s="32">
        <f t="shared" si="173"/>
        <v>1</v>
      </c>
      <c r="AK393">
        <f>step3_validation[[#This Row],[AI_TRU1]]</f>
        <v>6</v>
      </c>
      <c r="AL393" t="str">
        <f t="shared" si="174"/>
        <v>Neutral</v>
      </c>
      <c r="AM393">
        <f>survey_responses[[#This Row],[Tôi tin rằng Nhà nước, cơ quan thuế sẽ thực thi chính sách mới một cách khách quan, công tâm và đối xử bình đẳng với mọi người nộp thuế.  - HUMAN-TRU1]]</f>
        <v>5</v>
      </c>
      <c r="AN393" t="str">
        <f t="shared" si="175"/>
        <v>Neutral</v>
      </c>
      <c r="AO393" s="32">
        <f t="shared" si="176"/>
        <v>1</v>
      </c>
      <c r="AP393">
        <f>step3_validation[[#This Row],[AI_TRU2]]</f>
        <v>7</v>
      </c>
      <c r="AQ393" t="str">
        <f t="shared" si="177"/>
        <v>Neutral</v>
      </c>
      <c r="AR393">
        <f>survey_responses[[#This Row],[Tôi thấy mức thuế tôi phải đóng theo phương án mới là công bằng (người thu nhập như tôi đóng mức này là hợp lý). - HUMAN-TRU2]]</f>
        <v>5</v>
      </c>
      <c r="AS393" t="str">
        <f t="shared" si="178"/>
        <v>Neutral</v>
      </c>
      <c r="AT393" s="32">
        <f t="shared" si="179"/>
        <v>2</v>
      </c>
      <c r="AU393">
        <f>step3_validation[[#This Row],[AI_TRU3]]</f>
        <v>6</v>
      </c>
      <c r="AV393" t="str">
        <f t="shared" si="180"/>
        <v>Neutral</v>
      </c>
      <c r="AW393">
        <f>survey_responses[[#This Row],[Tôi tin tưởng số tiền thuế tôi đóng sẽ được Nhà nước sử dụng hiệu quả để cải thiện dịch vụ công (y tế, đường xá...). - HUMAN-TRU3]]</f>
        <v>5</v>
      </c>
      <c r="AX393" t="str">
        <f t="shared" si="181"/>
        <v>Neutral</v>
      </c>
      <c r="AY393" s="32">
        <f t="shared" si="182"/>
        <v>1</v>
      </c>
      <c r="AZ393">
        <f>step3_validation[[#This Row],[AI_TRU4]]</f>
        <v>7</v>
      </c>
      <c r="BA393" t="str">
        <f t="shared" si="183"/>
        <v>Neutral</v>
      </c>
      <c r="BB393">
        <f>survey_responses[[#This Row],[Tôi thấy Nhà nước đã giải thích rõ ràng, minh bạch về lý do và mục tiêu của việc sửa đổi thuế lần này. - HUMAN-TRU4]]</f>
        <v>5</v>
      </c>
      <c r="BC393" t="str">
        <f t="shared" si="184"/>
        <v>Neutral</v>
      </c>
      <c r="BD393" s="32">
        <f t="shared" si="185"/>
        <v>2</v>
      </c>
      <c r="BE393">
        <f>step3_validation[[#This Row],[AI_OUT1]]</f>
        <v>8</v>
      </c>
      <c r="BF393" t="str">
        <f t="shared" si="186"/>
        <v>Support</v>
      </c>
      <c r="BG393">
        <f>survey_responses[[#This Row],[Sau khi xem xét các quyền lợi và nghĩa vụ, bạn có ủng hộ và tuân thủ chính sách mới hiện nay? - HUMAN-OUT1]]</f>
        <v>5</v>
      </c>
      <c r="BH393" t="str">
        <f t="shared" si="187"/>
        <v>Neutral</v>
      </c>
      <c r="BI393" s="32">
        <f t="shared" si="188"/>
        <v>3</v>
      </c>
    </row>
    <row r="394" spans="1:61" x14ac:dyDescent="0.45">
      <c r="A394" s="30">
        <f>step3_validation[[#This Row],[Persona_ID]]</f>
        <v>393</v>
      </c>
      <c r="B394" s="31">
        <f>step3_validation[[#This Row],[Used_Seed]]</f>
        <v>393</v>
      </c>
      <c r="C394" t="str">
        <f>step3_validation[[#This Row],[Gender]]</f>
        <v>Nữ</v>
      </c>
      <c r="D394" t="str">
        <f>survey_responses[[#This Row],[Giới tính của bạn:]]</f>
        <v>Nữ</v>
      </c>
      <c r="E394" t="str">
        <f>step3_validation[[#This Row],[Age_Group]]</f>
        <v>30 - 39</v>
      </c>
      <c r="F394" t="str">
        <f>survey_responses[[#This Row],[Độ tuổi của bạn:]]</f>
        <v>30 - 39</v>
      </c>
      <c r="G394" t="str">
        <f>step3_validation[[#This Row],[Region]]</f>
        <v>Thành thị</v>
      </c>
      <c r="H394" t="str">
        <f>survey_responses[[#This Row],[Khu vực bạn đang sinh sống:]]</f>
        <v>Thành thị</v>
      </c>
      <c r="I394" t="str">
        <f>step3_validation[[#This Row],[Education]]</f>
        <v>Đại học</v>
      </c>
      <c r="J394" t="str">
        <f>survey_responses[[#This Row],[Trình độ học vấn cao nhất:]]</f>
        <v>Đại học</v>
      </c>
      <c r="K394" t="str">
        <f>step3_validation[[#This Row],[Employment]]</f>
        <v>Chính thức</v>
      </c>
      <c r="L394" t="str">
        <f>survey_responses[[#This Row],[Tình trạng việc làm chính:]]</f>
        <v>Khu vực chính thức (Có Hợp đồng lao động, đóng BHXH)</v>
      </c>
      <c r="M394">
        <f>step3_validation[[#This Row],[Income_Mil]]</f>
        <v>26.043387963779836</v>
      </c>
      <c r="N394" t="str">
        <f>survey_responses[[#This Row],[Thu nhập bình quân tháng theo Hợp đồng lao động của bạn là bao nhiêu? (Vui lòng điền tổng thu nhập trước khi khấu trừ các loại Bảo hiểm (BHXH, BHYT, BHTN) và Thuế TNCN)]]</f>
        <v>Từ 23 - 32 triệu VNĐ</v>
      </c>
      <c r="O394">
        <f>step3_validation[[#This Row],[Dependents]]</f>
        <v>2</v>
      </c>
      <c r="P394" t="str">
        <f>survey_responses[[#This Row],[Số người phụ thuộc (con nhỏ, cha mẹ già...) đủ điều kiện giảm trừ gia cảnh:]]</f>
        <v>2 người</v>
      </c>
      <c r="Q394">
        <f>step3_validation[[#This Row],[AI_ENF1]]</f>
        <v>5</v>
      </c>
      <c r="R394" t="str">
        <f t="shared" si="162"/>
        <v>Neutral</v>
      </c>
      <c r="S394">
        <f>survey_responses[[#This Row],[Tôi tin rằng với các quy định quản lý thuế hiện nay, hành vi gian lận hoặc trốn thuế sẽ dễ dàng bị phát hiện và xử lý nghiêm. - HUMAN-ENF1]]</f>
        <v>7</v>
      </c>
      <c r="T394" t="str">
        <f t="shared" si="163"/>
        <v>Neutral</v>
      </c>
      <c r="U394" s="32">
        <f t="shared" si="164"/>
        <v>2</v>
      </c>
      <c r="V394">
        <f>step3_validation[[#This Row],[AI_ENF2]]</f>
        <v>7</v>
      </c>
      <c r="W394" t="str">
        <f t="shared" si="165"/>
        <v>Neutral</v>
      </c>
      <c r="X394">
        <f>survey_responses[[#This Row],[Tôi tin rằng Nhà nước, cơ quan thuế có đủ khả năng và công nghệ để phát hiện, xử lý nghiêm các hành vi trốn thuế. - HUMAN-ENF2]]</f>
        <v>7</v>
      </c>
      <c r="Y394" t="str">
        <f t="shared" si="166"/>
        <v>Neutral</v>
      </c>
      <c r="Z394" s="32">
        <f t="shared" si="167"/>
        <v>0</v>
      </c>
      <c r="AA394">
        <f>step3_validation[[#This Row],[AI_FAC1]]</f>
        <v>9</v>
      </c>
      <c r="AB394" t="str">
        <f t="shared" si="168"/>
        <v>Support</v>
      </c>
      <c r="AC394">
        <f>survey_responses[[#This Row],[Các thủ tục khai báo thuế VÀ/HOẶC quy trình làm việc với cơ quan thuế đơn giản, tiện lợi, nhanh chóng hơn so với trước đây. - HUMAN-FAC1]]</f>
        <v>5</v>
      </c>
      <c r="AD394" t="str">
        <f t="shared" si="169"/>
        <v>Neutral</v>
      </c>
      <c r="AE394" s="32">
        <f t="shared" si="170"/>
        <v>4</v>
      </c>
      <c r="AF394">
        <f>step3_validation[[#This Row],[AI_FAC2]]</f>
        <v>8</v>
      </c>
      <c r="AG394" t="str">
        <f t="shared" si="171"/>
        <v>Support</v>
      </c>
      <c r="AH394">
        <f>survey_responses[[#This Row],[So với trước đây, tôi thấy cách tính thuế và các bậc thuế trong phương án mới đơn giản, dễ hiểu và dễ thực hiện hơn. - HUMAN-FAC2]]</f>
        <v>8</v>
      </c>
      <c r="AI394" t="str">
        <f t="shared" si="172"/>
        <v>Support</v>
      </c>
      <c r="AJ394" s="32">
        <f t="shared" si="173"/>
        <v>0</v>
      </c>
      <c r="AK394">
        <f>step3_validation[[#This Row],[AI_TRU1]]</f>
        <v>6</v>
      </c>
      <c r="AL394" t="str">
        <f t="shared" si="174"/>
        <v>Neutral</v>
      </c>
      <c r="AM394">
        <f>survey_responses[[#This Row],[Tôi tin rằng Nhà nước, cơ quan thuế sẽ thực thi chính sách mới một cách khách quan, công tâm và đối xử bình đẳng với mọi người nộp thuế.  - HUMAN-TRU1]]</f>
        <v>7</v>
      </c>
      <c r="AN394" t="str">
        <f t="shared" si="175"/>
        <v>Neutral</v>
      </c>
      <c r="AO394" s="32">
        <f t="shared" si="176"/>
        <v>1</v>
      </c>
      <c r="AP394">
        <f>step3_validation[[#This Row],[AI_TRU2]]</f>
        <v>9</v>
      </c>
      <c r="AQ394" t="str">
        <f t="shared" si="177"/>
        <v>Support</v>
      </c>
      <c r="AR394">
        <f>survey_responses[[#This Row],[Tôi thấy mức thuế tôi phải đóng theo phương án mới là công bằng (người thu nhập như tôi đóng mức này là hợp lý). - HUMAN-TRU2]]</f>
        <v>7</v>
      </c>
      <c r="AS394" t="str">
        <f t="shared" si="178"/>
        <v>Neutral</v>
      </c>
      <c r="AT394" s="32">
        <f t="shared" si="179"/>
        <v>2</v>
      </c>
      <c r="AU394">
        <f>step3_validation[[#This Row],[AI_TRU3]]</f>
        <v>7</v>
      </c>
      <c r="AV394" t="str">
        <f t="shared" si="180"/>
        <v>Neutral</v>
      </c>
      <c r="AW394">
        <f>survey_responses[[#This Row],[Tôi tin tưởng số tiền thuế tôi đóng sẽ được Nhà nước sử dụng hiệu quả để cải thiện dịch vụ công (y tế, đường xá...). - HUMAN-TRU3]]</f>
        <v>5</v>
      </c>
      <c r="AX394" t="str">
        <f t="shared" si="181"/>
        <v>Neutral</v>
      </c>
      <c r="AY394" s="32">
        <f t="shared" si="182"/>
        <v>2</v>
      </c>
      <c r="AZ394">
        <f>step3_validation[[#This Row],[AI_TRU4]]</f>
        <v>8</v>
      </c>
      <c r="BA394" t="str">
        <f t="shared" si="183"/>
        <v>Support</v>
      </c>
      <c r="BB394">
        <f>survey_responses[[#This Row],[Tôi thấy Nhà nước đã giải thích rõ ràng, minh bạch về lý do và mục tiêu của việc sửa đổi thuế lần này. - HUMAN-TRU4]]</f>
        <v>6</v>
      </c>
      <c r="BC394" t="str">
        <f t="shared" si="184"/>
        <v>Neutral</v>
      </c>
      <c r="BD394" s="32">
        <f t="shared" si="185"/>
        <v>2</v>
      </c>
      <c r="BE394">
        <f>step3_validation[[#This Row],[AI_OUT1]]</f>
        <v>9</v>
      </c>
      <c r="BF394" t="str">
        <f t="shared" si="186"/>
        <v>Support</v>
      </c>
      <c r="BG394">
        <f>survey_responses[[#This Row],[Sau khi xem xét các quyền lợi và nghĩa vụ, bạn có ủng hộ và tuân thủ chính sách mới hiện nay? - HUMAN-OUT1]]</f>
        <v>7</v>
      </c>
      <c r="BH394" t="str">
        <f t="shared" si="187"/>
        <v>Neutral</v>
      </c>
      <c r="BI394" s="32">
        <f t="shared" si="188"/>
        <v>2</v>
      </c>
    </row>
    <row r="395" spans="1:61" x14ac:dyDescent="0.45">
      <c r="A395" s="30">
        <f>step3_validation[[#This Row],[Persona_ID]]</f>
        <v>394</v>
      </c>
      <c r="B395" s="31">
        <f>step3_validation[[#This Row],[Used_Seed]]</f>
        <v>394</v>
      </c>
      <c r="C395" t="str">
        <f>step3_validation[[#This Row],[Gender]]</f>
        <v>Nam</v>
      </c>
      <c r="D395" t="str">
        <f>survey_responses[[#This Row],[Giới tính của bạn:]]</f>
        <v>Nam</v>
      </c>
      <c r="E395" t="str">
        <f>step3_validation[[#This Row],[Age_Group]]</f>
        <v>25 - 29</v>
      </c>
      <c r="F395" t="str">
        <f>survey_responses[[#This Row],[Độ tuổi của bạn:]]</f>
        <v>25 - 29</v>
      </c>
      <c r="G395" t="str">
        <f>step3_validation[[#This Row],[Region]]</f>
        <v>Thành thị</v>
      </c>
      <c r="H395" t="str">
        <f>survey_responses[[#This Row],[Khu vực bạn đang sinh sống:]]</f>
        <v>Thành thị</v>
      </c>
      <c r="I395" t="str">
        <f>step3_validation[[#This Row],[Education]]</f>
        <v>Đại học</v>
      </c>
      <c r="J395" t="str">
        <f>survey_responses[[#This Row],[Trình độ học vấn cao nhất:]]</f>
        <v>Đại học</v>
      </c>
      <c r="K395" t="str">
        <f>step3_validation[[#This Row],[Employment]]</f>
        <v>Chính thức</v>
      </c>
      <c r="L395" t="str">
        <f>survey_responses[[#This Row],[Tình trạng việc làm chính:]]</f>
        <v>Khu vực chính thức (Có Hợp đồng lao động, đóng BHXH)</v>
      </c>
      <c r="M395">
        <f>step3_validation[[#This Row],[Income_Mil]]</f>
        <v>12</v>
      </c>
      <c r="N395" t="str">
        <f>survey_responses[[#This Row],[Thu nhập bình quân tháng theo Hợp đồng lao động của bạn là bao nhiêu? (Vui lòng điền tổng thu nhập trước khi khấu trừ các loại Bảo hiểm (BHXH, BHYT, BHTN) và Thuế TNCN)]]</f>
        <v>Dưới 12 triệu VNĐ</v>
      </c>
      <c r="O395">
        <f>step3_validation[[#This Row],[Dependents]]</f>
        <v>1</v>
      </c>
      <c r="P395" t="str">
        <f>survey_responses[[#This Row],[Số người phụ thuộc (con nhỏ, cha mẹ già...) đủ điều kiện giảm trừ gia cảnh:]]</f>
        <v>1 người</v>
      </c>
      <c r="Q395">
        <f>step3_validation[[#This Row],[AI_ENF1]]</f>
        <v>7</v>
      </c>
      <c r="R395" t="str">
        <f t="shared" si="162"/>
        <v>Neutral</v>
      </c>
      <c r="S395">
        <f>survey_responses[[#This Row],[Tôi tin rằng với các quy định quản lý thuế hiện nay, hành vi gian lận hoặc trốn thuế sẽ dễ dàng bị phát hiện và xử lý nghiêm. - HUMAN-ENF1]]</f>
        <v>9</v>
      </c>
      <c r="T395" t="str">
        <f t="shared" si="163"/>
        <v>Support</v>
      </c>
      <c r="U395" s="32">
        <f t="shared" si="164"/>
        <v>2</v>
      </c>
      <c r="V395">
        <f>step3_validation[[#This Row],[AI_ENF2]]</f>
        <v>6</v>
      </c>
      <c r="W395" t="str">
        <f t="shared" si="165"/>
        <v>Neutral</v>
      </c>
      <c r="X395">
        <f>survey_responses[[#This Row],[Tôi tin rằng Nhà nước, cơ quan thuế có đủ khả năng và công nghệ để phát hiện, xử lý nghiêm các hành vi trốn thuế. - HUMAN-ENF2]]</f>
        <v>9</v>
      </c>
      <c r="Y395" t="str">
        <f t="shared" si="166"/>
        <v>Support</v>
      </c>
      <c r="Z395" s="32">
        <f t="shared" si="167"/>
        <v>3</v>
      </c>
      <c r="AA395">
        <f>step3_validation[[#This Row],[AI_FAC1]]</f>
        <v>8</v>
      </c>
      <c r="AB395" t="str">
        <f t="shared" si="168"/>
        <v>Support</v>
      </c>
      <c r="AC395">
        <f>survey_responses[[#This Row],[Các thủ tục khai báo thuế VÀ/HOẶC quy trình làm việc với cơ quan thuế đơn giản, tiện lợi, nhanh chóng hơn so với trước đây. - HUMAN-FAC1]]</f>
        <v>9</v>
      </c>
      <c r="AD395" t="str">
        <f t="shared" si="169"/>
        <v>Support</v>
      </c>
      <c r="AE395" s="32">
        <f t="shared" si="170"/>
        <v>1</v>
      </c>
      <c r="AF395">
        <f>step3_validation[[#This Row],[AI_FAC2]]</f>
        <v>9</v>
      </c>
      <c r="AG395" t="str">
        <f t="shared" si="171"/>
        <v>Support</v>
      </c>
      <c r="AH395">
        <f>survey_responses[[#This Row],[So với trước đây, tôi thấy cách tính thuế và các bậc thuế trong phương án mới đơn giản, dễ hiểu và dễ thực hiện hơn. - HUMAN-FAC2]]</f>
        <v>7</v>
      </c>
      <c r="AI395" t="str">
        <f t="shared" si="172"/>
        <v>Neutral</v>
      </c>
      <c r="AJ395" s="32">
        <f t="shared" si="173"/>
        <v>2</v>
      </c>
      <c r="AK395">
        <f>step3_validation[[#This Row],[AI_TRU1]]</f>
        <v>8</v>
      </c>
      <c r="AL395" t="str">
        <f t="shared" si="174"/>
        <v>Support</v>
      </c>
      <c r="AM395">
        <f>survey_responses[[#This Row],[Tôi tin rằng Nhà nước, cơ quan thuế sẽ thực thi chính sách mới một cách khách quan, công tâm và đối xử bình đẳng với mọi người nộp thuế.  - HUMAN-TRU1]]</f>
        <v>8</v>
      </c>
      <c r="AN395" t="str">
        <f t="shared" si="175"/>
        <v>Support</v>
      </c>
      <c r="AO395" s="32">
        <f t="shared" si="176"/>
        <v>0</v>
      </c>
      <c r="AP395">
        <f>step3_validation[[#This Row],[AI_TRU2]]</f>
        <v>9</v>
      </c>
      <c r="AQ395" t="str">
        <f t="shared" si="177"/>
        <v>Support</v>
      </c>
      <c r="AR395">
        <f>survey_responses[[#This Row],[Tôi thấy mức thuế tôi phải đóng theo phương án mới là công bằng (người thu nhập như tôi đóng mức này là hợp lý). - HUMAN-TRU2]]</f>
        <v>6</v>
      </c>
      <c r="AS395" t="str">
        <f t="shared" si="178"/>
        <v>Neutral</v>
      </c>
      <c r="AT395" s="32">
        <f t="shared" si="179"/>
        <v>3</v>
      </c>
      <c r="AU395">
        <f>step3_validation[[#This Row],[AI_TRU3]]</f>
        <v>7</v>
      </c>
      <c r="AV395" t="str">
        <f t="shared" si="180"/>
        <v>Neutral</v>
      </c>
      <c r="AW395">
        <f>survey_responses[[#This Row],[Tôi tin tưởng số tiền thuế tôi đóng sẽ được Nhà nước sử dụng hiệu quả để cải thiện dịch vụ công (y tế, đường xá...). - HUMAN-TRU3]]</f>
        <v>8</v>
      </c>
      <c r="AX395" t="str">
        <f t="shared" si="181"/>
        <v>Support</v>
      </c>
      <c r="AY395" s="32">
        <f t="shared" si="182"/>
        <v>1</v>
      </c>
      <c r="AZ395">
        <f>step3_validation[[#This Row],[AI_TRU4]]</f>
        <v>8</v>
      </c>
      <c r="BA395" t="str">
        <f t="shared" si="183"/>
        <v>Support</v>
      </c>
      <c r="BB395">
        <f>survey_responses[[#This Row],[Tôi thấy Nhà nước đã giải thích rõ ràng, minh bạch về lý do và mục tiêu của việc sửa đổi thuế lần này. - HUMAN-TRU4]]</f>
        <v>10</v>
      </c>
      <c r="BC395" t="str">
        <f t="shared" si="184"/>
        <v>Support</v>
      </c>
      <c r="BD395" s="32">
        <f t="shared" si="185"/>
        <v>2</v>
      </c>
      <c r="BE395">
        <f>step3_validation[[#This Row],[AI_OUT1]]</f>
        <v>9</v>
      </c>
      <c r="BF395" t="str">
        <f t="shared" si="186"/>
        <v>Support</v>
      </c>
      <c r="BG395">
        <f>survey_responses[[#This Row],[Sau khi xem xét các quyền lợi và nghĩa vụ, bạn có ủng hộ và tuân thủ chính sách mới hiện nay? - HUMAN-OUT1]]</f>
        <v>10</v>
      </c>
      <c r="BH395" t="str">
        <f t="shared" si="187"/>
        <v>Support</v>
      </c>
      <c r="BI395" s="32">
        <f t="shared" si="188"/>
        <v>1</v>
      </c>
    </row>
    <row r="396" spans="1:61" x14ac:dyDescent="0.45">
      <c r="A396" s="30">
        <f>step3_validation[[#This Row],[Persona_ID]]</f>
        <v>395</v>
      </c>
      <c r="B396" s="31">
        <f>step3_validation[[#This Row],[Used_Seed]]</f>
        <v>395</v>
      </c>
      <c r="C396" t="str">
        <f>step3_validation[[#This Row],[Gender]]</f>
        <v>Nam</v>
      </c>
      <c r="D396" t="str">
        <f>survey_responses[[#This Row],[Giới tính của bạn:]]</f>
        <v>Nam</v>
      </c>
      <c r="E396" t="str">
        <f>step3_validation[[#This Row],[Age_Group]]</f>
        <v>50 - 54</v>
      </c>
      <c r="F396" t="str">
        <f>survey_responses[[#This Row],[Độ tuổi của bạn:]]</f>
        <v>50 - 54</v>
      </c>
      <c r="G396" t="str">
        <f>step3_validation[[#This Row],[Region]]</f>
        <v>Thành thị</v>
      </c>
      <c r="H396" t="str">
        <f>survey_responses[[#This Row],[Khu vực bạn đang sinh sống:]]</f>
        <v>Thành thị</v>
      </c>
      <c r="I396" t="str">
        <f>step3_validation[[#This Row],[Education]]</f>
        <v>Đại học</v>
      </c>
      <c r="J396" t="str">
        <f>survey_responses[[#This Row],[Trình độ học vấn cao nhất:]]</f>
        <v>Đại học</v>
      </c>
      <c r="K396" t="str">
        <f>step3_validation[[#This Row],[Employment]]</f>
        <v>Chính thức</v>
      </c>
      <c r="L396" t="str">
        <f>survey_responses[[#This Row],[Tình trạng việc làm chính:]]</f>
        <v>Khu vực chính thức (Có Hợp đồng lao động, đóng BHXH)</v>
      </c>
      <c r="M396">
        <f>step3_validation[[#This Row],[Income_Mil]]</f>
        <v>33.088162908985687</v>
      </c>
      <c r="N396" t="str">
        <f>survey_responses[[#This Row],[Thu nhập bình quân tháng theo Hợp đồng lao động của bạn là bao nhiêu? (Vui lòng điền tổng thu nhập trước khi khấu trừ các loại Bảo hiểm (BHXH, BHYT, BHTN) và Thuế TNCN)]]</f>
        <v>Từ 32 - 48 triệu VNĐ</v>
      </c>
      <c r="O396">
        <f>step3_validation[[#This Row],[Dependents]]</f>
        <v>1</v>
      </c>
      <c r="P396" t="str">
        <f>survey_responses[[#This Row],[Số người phụ thuộc (con nhỏ, cha mẹ già...) đủ điều kiện giảm trừ gia cảnh:]]</f>
        <v>1 người</v>
      </c>
      <c r="Q396">
        <f>step3_validation[[#This Row],[AI_ENF1]]</f>
        <v>5</v>
      </c>
      <c r="R396" t="str">
        <f t="shared" si="162"/>
        <v>Neutral</v>
      </c>
      <c r="S396">
        <f>survey_responses[[#This Row],[Tôi tin rằng với các quy định quản lý thuế hiện nay, hành vi gian lận hoặc trốn thuế sẽ dễ dàng bị phát hiện và xử lý nghiêm. - HUMAN-ENF1]]</f>
        <v>7</v>
      </c>
      <c r="T396" t="str">
        <f t="shared" si="163"/>
        <v>Neutral</v>
      </c>
      <c r="U396" s="32">
        <f t="shared" si="164"/>
        <v>2</v>
      </c>
      <c r="V396">
        <f>step3_validation[[#This Row],[AI_ENF2]]</f>
        <v>6</v>
      </c>
      <c r="W396" t="str">
        <f t="shared" si="165"/>
        <v>Neutral</v>
      </c>
      <c r="X396">
        <f>survey_responses[[#This Row],[Tôi tin rằng Nhà nước, cơ quan thuế có đủ khả năng và công nghệ để phát hiện, xử lý nghiêm các hành vi trốn thuế. - HUMAN-ENF2]]</f>
        <v>7</v>
      </c>
      <c r="Y396" t="str">
        <f t="shared" si="166"/>
        <v>Neutral</v>
      </c>
      <c r="Z396" s="32">
        <f t="shared" si="167"/>
        <v>1</v>
      </c>
      <c r="AA396">
        <f>step3_validation[[#This Row],[AI_FAC1]]</f>
        <v>7</v>
      </c>
      <c r="AB396" t="str">
        <f t="shared" si="168"/>
        <v>Neutral</v>
      </c>
      <c r="AC396">
        <f>survey_responses[[#This Row],[Các thủ tục khai báo thuế VÀ/HOẶC quy trình làm việc với cơ quan thuế đơn giản, tiện lợi, nhanh chóng hơn so với trước đây. - HUMAN-FAC1]]</f>
        <v>5</v>
      </c>
      <c r="AD396" t="str">
        <f t="shared" si="169"/>
        <v>Neutral</v>
      </c>
      <c r="AE396" s="32">
        <f t="shared" si="170"/>
        <v>2</v>
      </c>
      <c r="AF396">
        <f>step3_validation[[#This Row],[AI_FAC2]]</f>
        <v>8</v>
      </c>
      <c r="AG396" t="str">
        <f t="shared" si="171"/>
        <v>Support</v>
      </c>
      <c r="AH396">
        <f>survey_responses[[#This Row],[So với trước đây, tôi thấy cách tính thuế và các bậc thuế trong phương án mới đơn giản, dễ hiểu và dễ thực hiện hơn. - HUMAN-FAC2]]</f>
        <v>7</v>
      </c>
      <c r="AI396" t="str">
        <f t="shared" si="172"/>
        <v>Neutral</v>
      </c>
      <c r="AJ396" s="32">
        <f t="shared" si="173"/>
        <v>1</v>
      </c>
      <c r="AK396">
        <f>step3_validation[[#This Row],[AI_TRU1]]</f>
        <v>9</v>
      </c>
      <c r="AL396" t="str">
        <f t="shared" si="174"/>
        <v>Support</v>
      </c>
      <c r="AM396">
        <f>survey_responses[[#This Row],[Tôi tin rằng Nhà nước, cơ quan thuế sẽ thực thi chính sách mới một cách khách quan, công tâm và đối xử bình đẳng với mọi người nộp thuế.  - HUMAN-TRU1]]</f>
        <v>5</v>
      </c>
      <c r="AN396" t="str">
        <f t="shared" si="175"/>
        <v>Neutral</v>
      </c>
      <c r="AO396" s="32">
        <f t="shared" si="176"/>
        <v>4</v>
      </c>
      <c r="AP396">
        <f>step3_validation[[#This Row],[AI_TRU2]]</f>
        <v>7</v>
      </c>
      <c r="AQ396" t="str">
        <f t="shared" si="177"/>
        <v>Neutral</v>
      </c>
      <c r="AR396">
        <f>survey_responses[[#This Row],[Tôi thấy mức thuế tôi phải đóng theo phương án mới là công bằng (người thu nhập như tôi đóng mức này là hợp lý). - HUMAN-TRU2]]</f>
        <v>6</v>
      </c>
      <c r="AS396" t="str">
        <f t="shared" si="178"/>
        <v>Neutral</v>
      </c>
      <c r="AT396" s="32">
        <f t="shared" si="179"/>
        <v>1</v>
      </c>
      <c r="AU396">
        <f>step3_validation[[#This Row],[AI_TRU3]]</f>
        <v>6</v>
      </c>
      <c r="AV396" t="str">
        <f t="shared" si="180"/>
        <v>Neutral</v>
      </c>
      <c r="AW396">
        <f>survey_responses[[#This Row],[Tôi tin tưởng số tiền thuế tôi đóng sẽ được Nhà nước sử dụng hiệu quả để cải thiện dịch vụ công (y tế, đường xá...). - HUMAN-TRU3]]</f>
        <v>5</v>
      </c>
      <c r="AX396" t="str">
        <f t="shared" si="181"/>
        <v>Neutral</v>
      </c>
      <c r="AY396" s="32">
        <f t="shared" si="182"/>
        <v>1</v>
      </c>
      <c r="AZ396">
        <f>step3_validation[[#This Row],[AI_TRU4]]</f>
        <v>8</v>
      </c>
      <c r="BA396" t="str">
        <f t="shared" si="183"/>
        <v>Support</v>
      </c>
      <c r="BB396">
        <f>survey_responses[[#This Row],[Tôi thấy Nhà nước đã giải thích rõ ràng, minh bạch về lý do và mục tiêu của việc sửa đổi thuế lần này. - HUMAN-TRU4]]</f>
        <v>6</v>
      </c>
      <c r="BC396" t="str">
        <f t="shared" si="184"/>
        <v>Neutral</v>
      </c>
      <c r="BD396" s="32">
        <f t="shared" si="185"/>
        <v>2</v>
      </c>
      <c r="BE396">
        <f>step3_validation[[#This Row],[AI_OUT1]]</f>
        <v>9</v>
      </c>
      <c r="BF396" t="str">
        <f t="shared" si="186"/>
        <v>Support</v>
      </c>
      <c r="BG396">
        <f>survey_responses[[#This Row],[Sau khi xem xét các quyền lợi và nghĩa vụ, bạn có ủng hộ và tuân thủ chính sách mới hiện nay? - HUMAN-OUT1]]</f>
        <v>6</v>
      </c>
      <c r="BH396" t="str">
        <f t="shared" si="187"/>
        <v>Neutral</v>
      </c>
      <c r="BI396" s="32">
        <f t="shared" si="188"/>
        <v>3</v>
      </c>
    </row>
    <row r="397" spans="1:61" x14ac:dyDescent="0.45">
      <c r="A397" s="30">
        <f>step3_validation[[#This Row],[Persona_ID]]</f>
        <v>396</v>
      </c>
      <c r="B397" s="31">
        <f>step3_validation[[#This Row],[Used_Seed]]</f>
        <v>396</v>
      </c>
      <c r="C397" t="str">
        <f>step3_validation[[#This Row],[Gender]]</f>
        <v>Nữ</v>
      </c>
      <c r="D397" t="str">
        <f>survey_responses[[#This Row],[Giới tính của bạn:]]</f>
        <v>Nữ</v>
      </c>
      <c r="E397" t="str">
        <f>step3_validation[[#This Row],[Age_Group]]</f>
        <v>30 - 39</v>
      </c>
      <c r="F397" t="str">
        <f>survey_responses[[#This Row],[Độ tuổi của bạn:]]</f>
        <v>30 - 39</v>
      </c>
      <c r="G397" t="str">
        <f>step3_validation[[#This Row],[Region]]</f>
        <v>Thành thị</v>
      </c>
      <c r="H397" t="str">
        <f>survey_responses[[#This Row],[Khu vực bạn đang sinh sống:]]</f>
        <v>Thành thị</v>
      </c>
      <c r="I397" t="str">
        <f>step3_validation[[#This Row],[Education]]</f>
        <v>Cao đẳng</v>
      </c>
      <c r="J397" t="str">
        <f>survey_responses[[#This Row],[Trình độ học vấn cao nhất:]]</f>
        <v>Cao đẳng</v>
      </c>
      <c r="K397" t="str">
        <f>step3_validation[[#This Row],[Employment]]</f>
        <v>Chính thức</v>
      </c>
      <c r="L397" t="str">
        <f>survey_responses[[#This Row],[Tình trạng việc làm chính:]]</f>
        <v>Khu vực chính thức (Có Hợp đồng lao động, đóng BHXH)</v>
      </c>
      <c r="M397">
        <f>step3_validation[[#This Row],[Income_Mil]]</f>
        <v>26.058606905184021</v>
      </c>
      <c r="N397" t="str">
        <f>survey_responses[[#This Row],[Thu nhập bình quân tháng theo Hợp đồng lao động của bạn là bao nhiêu? (Vui lòng điền tổng thu nhập trước khi khấu trừ các loại Bảo hiểm (BHXH, BHYT, BHTN) và Thuế TNCN)]]</f>
        <v>Từ 23 - 32 triệu VNĐ</v>
      </c>
      <c r="O397">
        <f>step3_validation[[#This Row],[Dependents]]</f>
        <v>1</v>
      </c>
      <c r="P397" t="str">
        <f>survey_responses[[#This Row],[Số người phụ thuộc (con nhỏ, cha mẹ già...) đủ điều kiện giảm trừ gia cảnh:]]</f>
        <v>1 người</v>
      </c>
      <c r="Q397">
        <f>step3_validation[[#This Row],[AI_ENF1]]</f>
        <v>7</v>
      </c>
      <c r="R397" t="str">
        <f t="shared" si="162"/>
        <v>Neutral</v>
      </c>
      <c r="S397">
        <f>survey_responses[[#This Row],[Tôi tin rằng với các quy định quản lý thuế hiện nay, hành vi gian lận hoặc trốn thuế sẽ dễ dàng bị phát hiện và xử lý nghiêm. - HUMAN-ENF1]]</f>
        <v>2</v>
      </c>
      <c r="T397" t="str">
        <f t="shared" si="163"/>
        <v>Oppose</v>
      </c>
      <c r="U397" s="32">
        <f t="shared" si="164"/>
        <v>5</v>
      </c>
      <c r="V397">
        <f>step3_validation[[#This Row],[AI_ENF2]]</f>
        <v>8</v>
      </c>
      <c r="W397" t="str">
        <f t="shared" si="165"/>
        <v>Support</v>
      </c>
      <c r="X397">
        <f>survey_responses[[#This Row],[Tôi tin rằng Nhà nước, cơ quan thuế có đủ khả năng và công nghệ để phát hiện, xử lý nghiêm các hành vi trốn thuế. - HUMAN-ENF2]]</f>
        <v>2</v>
      </c>
      <c r="Y397" t="str">
        <f t="shared" si="166"/>
        <v>Oppose</v>
      </c>
      <c r="Z397" s="32">
        <f t="shared" si="167"/>
        <v>6</v>
      </c>
      <c r="AA397">
        <f>step3_validation[[#This Row],[AI_FAC1]]</f>
        <v>9</v>
      </c>
      <c r="AB397" t="str">
        <f t="shared" si="168"/>
        <v>Support</v>
      </c>
      <c r="AC397">
        <f>survey_responses[[#This Row],[Các thủ tục khai báo thuế VÀ/HOẶC quy trình làm việc với cơ quan thuế đơn giản, tiện lợi, nhanh chóng hơn so với trước đây. - HUMAN-FAC1]]</f>
        <v>4</v>
      </c>
      <c r="AD397" t="str">
        <f t="shared" si="169"/>
        <v>Oppose</v>
      </c>
      <c r="AE397" s="32">
        <f t="shared" si="170"/>
        <v>5</v>
      </c>
      <c r="AF397">
        <f>step3_validation[[#This Row],[AI_FAC2]]</f>
        <v>10</v>
      </c>
      <c r="AG397" t="str">
        <f t="shared" si="171"/>
        <v>Support</v>
      </c>
      <c r="AH397">
        <f>survey_responses[[#This Row],[So với trước đây, tôi thấy cách tính thuế và các bậc thuế trong phương án mới đơn giản, dễ hiểu và dễ thực hiện hơn. - HUMAN-FAC2]]</f>
        <v>5</v>
      </c>
      <c r="AI397" t="str">
        <f t="shared" si="172"/>
        <v>Neutral</v>
      </c>
      <c r="AJ397" s="32">
        <f t="shared" si="173"/>
        <v>5</v>
      </c>
      <c r="AK397">
        <f>step3_validation[[#This Row],[AI_TRU1]]</f>
        <v>9</v>
      </c>
      <c r="AL397" t="str">
        <f t="shared" si="174"/>
        <v>Support</v>
      </c>
      <c r="AM397">
        <f>survey_responses[[#This Row],[Tôi tin rằng Nhà nước, cơ quan thuế sẽ thực thi chính sách mới một cách khách quan, công tâm và đối xử bình đẳng với mọi người nộp thuế.  - HUMAN-TRU1]]</f>
        <v>5</v>
      </c>
      <c r="AN397" t="str">
        <f t="shared" si="175"/>
        <v>Neutral</v>
      </c>
      <c r="AO397" s="32">
        <f t="shared" si="176"/>
        <v>4</v>
      </c>
      <c r="AP397">
        <f>step3_validation[[#This Row],[AI_TRU2]]</f>
        <v>9</v>
      </c>
      <c r="AQ397" t="str">
        <f t="shared" si="177"/>
        <v>Support</v>
      </c>
      <c r="AR397">
        <f>survey_responses[[#This Row],[Tôi thấy mức thuế tôi phải đóng theo phương án mới là công bằng (người thu nhập như tôi đóng mức này là hợp lý). - HUMAN-TRU2]]</f>
        <v>3</v>
      </c>
      <c r="AS397" t="str">
        <f t="shared" si="178"/>
        <v>Oppose</v>
      </c>
      <c r="AT397" s="32">
        <f t="shared" si="179"/>
        <v>6</v>
      </c>
      <c r="AU397">
        <f>step3_validation[[#This Row],[AI_TRU3]]</f>
        <v>8</v>
      </c>
      <c r="AV397" t="str">
        <f t="shared" si="180"/>
        <v>Support</v>
      </c>
      <c r="AW397">
        <f>survey_responses[[#This Row],[Tôi tin tưởng số tiền thuế tôi đóng sẽ được Nhà nước sử dụng hiệu quả để cải thiện dịch vụ công (y tế, đường xá...). - HUMAN-TRU3]]</f>
        <v>5</v>
      </c>
      <c r="AX397" t="str">
        <f t="shared" si="181"/>
        <v>Neutral</v>
      </c>
      <c r="AY397" s="32">
        <f t="shared" si="182"/>
        <v>3</v>
      </c>
      <c r="AZ397">
        <f>step3_validation[[#This Row],[AI_TRU4]]</f>
        <v>9</v>
      </c>
      <c r="BA397" t="str">
        <f t="shared" si="183"/>
        <v>Support</v>
      </c>
      <c r="BB397">
        <f>survey_responses[[#This Row],[Tôi thấy Nhà nước đã giải thích rõ ràng, minh bạch về lý do và mục tiêu của việc sửa đổi thuế lần này. - HUMAN-TRU4]]</f>
        <v>5</v>
      </c>
      <c r="BC397" t="str">
        <f t="shared" si="184"/>
        <v>Neutral</v>
      </c>
      <c r="BD397" s="32">
        <f t="shared" si="185"/>
        <v>4</v>
      </c>
      <c r="BE397">
        <f>step3_validation[[#This Row],[AI_OUT1]]</f>
        <v>9</v>
      </c>
      <c r="BF397" t="str">
        <f t="shared" si="186"/>
        <v>Support</v>
      </c>
      <c r="BG397">
        <f>survey_responses[[#This Row],[Sau khi xem xét các quyền lợi và nghĩa vụ, bạn có ủng hộ và tuân thủ chính sách mới hiện nay? - HUMAN-OUT1]]</f>
        <v>5</v>
      </c>
      <c r="BH397" t="str">
        <f t="shared" si="187"/>
        <v>Neutral</v>
      </c>
      <c r="BI397" s="32">
        <f t="shared" si="188"/>
        <v>4</v>
      </c>
    </row>
    <row r="398" spans="1:61" x14ac:dyDescent="0.45">
      <c r="A398" s="30">
        <f>step3_validation[[#This Row],[Persona_ID]]</f>
        <v>397</v>
      </c>
      <c r="B398" s="31">
        <f>step3_validation[[#This Row],[Used_Seed]]</f>
        <v>397</v>
      </c>
      <c r="C398" t="str">
        <f>step3_validation[[#This Row],[Gender]]</f>
        <v>Nữ</v>
      </c>
      <c r="D398" t="str">
        <f>survey_responses[[#This Row],[Giới tính của bạn:]]</f>
        <v>Nữ</v>
      </c>
      <c r="E398" t="str">
        <f>step3_validation[[#This Row],[Age_Group]]</f>
        <v>25 - 29</v>
      </c>
      <c r="F398" t="str">
        <f>survey_responses[[#This Row],[Độ tuổi của bạn:]]</f>
        <v>25 - 29</v>
      </c>
      <c r="G398" t="str">
        <f>step3_validation[[#This Row],[Region]]</f>
        <v>Thành thị</v>
      </c>
      <c r="H398" t="str">
        <f>survey_responses[[#This Row],[Khu vực bạn đang sinh sống:]]</f>
        <v>Thành thị</v>
      </c>
      <c r="I398" t="str">
        <f>step3_validation[[#This Row],[Education]]</f>
        <v>Đại học</v>
      </c>
      <c r="J398" t="str">
        <f>survey_responses[[#This Row],[Trình độ học vấn cao nhất:]]</f>
        <v>Đại học</v>
      </c>
      <c r="K398" t="str">
        <f>step3_validation[[#This Row],[Employment]]</f>
        <v>Chính thức</v>
      </c>
      <c r="L398" t="str">
        <f>survey_responses[[#This Row],[Tình trạng việc làm chính:]]</f>
        <v>Khu vực chính thức (Có Hợp đồng lao động, đóng BHXH)</v>
      </c>
      <c r="M398">
        <f>step3_validation[[#This Row],[Income_Mil]]</f>
        <v>26.430522829138759</v>
      </c>
      <c r="N398" t="str">
        <f>survey_responses[[#This Row],[Thu nhập bình quân tháng theo Hợp đồng lao động của bạn là bao nhiêu? (Vui lòng điền tổng thu nhập trước khi khấu trừ các loại Bảo hiểm (BHXH, BHYT, BHTN) và Thuế TNCN)]]</f>
        <v>Từ 23 - 32 triệu VNĐ</v>
      </c>
      <c r="O398">
        <f>step3_validation[[#This Row],[Dependents]]</f>
        <v>0</v>
      </c>
      <c r="P398" t="str">
        <f>survey_responses[[#This Row],[Số người phụ thuộc (con nhỏ, cha mẹ già...) đủ điều kiện giảm trừ gia cảnh:]]</f>
        <v>0 người</v>
      </c>
      <c r="Q398">
        <f>step3_validation[[#This Row],[AI_ENF1]]</f>
        <v>7</v>
      </c>
      <c r="R398" t="str">
        <f t="shared" si="162"/>
        <v>Neutral</v>
      </c>
      <c r="S398">
        <f>survey_responses[[#This Row],[Tôi tin rằng với các quy định quản lý thuế hiện nay, hành vi gian lận hoặc trốn thuế sẽ dễ dàng bị phát hiện và xử lý nghiêm. - HUMAN-ENF1]]</f>
        <v>8</v>
      </c>
      <c r="T398" t="str">
        <f t="shared" si="163"/>
        <v>Support</v>
      </c>
      <c r="U398" s="32">
        <f t="shared" si="164"/>
        <v>1</v>
      </c>
      <c r="V398">
        <f>step3_validation[[#This Row],[AI_ENF2]]</f>
        <v>8</v>
      </c>
      <c r="W398" t="str">
        <f t="shared" si="165"/>
        <v>Support</v>
      </c>
      <c r="X398">
        <f>survey_responses[[#This Row],[Tôi tin rằng Nhà nước, cơ quan thuế có đủ khả năng và công nghệ để phát hiện, xử lý nghiêm các hành vi trốn thuế. - HUMAN-ENF2]]</f>
        <v>8</v>
      </c>
      <c r="Y398" t="str">
        <f t="shared" si="166"/>
        <v>Support</v>
      </c>
      <c r="Z398" s="32">
        <f t="shared" si="167"/>
        <v>0</v>
      </c>
      <c r="AA398">
        <f>step3_validation[[#This Row],[AI_FAC1]]</f>
        <v>9</v>
      </c>
      <c r="AB398" t="str">
        <f t="shared" si="168"/>
        <v>Support</v>
      </c>
      <c r="AC398">
        <f>survey_responses[[#This Row],[Các thủ tục khai báo thuế VÀ/HOẶC quy trình làm việc với cơ quan thuế đơn giản, tiện lợi, nhanh chóng hơn so với trước đây. - HUMAN-FAC1]]</f>
        <v>7</v>
      </c>
      <c r="AD398" t="str">
        <f t="shared" si="169"/>
        <v>Neutral</v>
      </c>
      <c r="AE398" s="32">
        <f t="shared" si="170"/>
        <v>2</v>
      </c>
      <c r="AF398">
        <f>step3_validation[[#This Row],[AI_FAC2]]</f>
        <v>10</v>
      </c>
      <c r="AG398" t="str">
        <f t="shared" si="171"/>
        <v>Support</v>
      </c>
      <c r="AH398">
        <f>survey_responses[[#This Row],[So với trước đây, tôi thấy cách tính thuế và các bậc thuế trong phương án mới đơn giản, dễ hiểu và dễ thực hiện hơn. - HUMAN-FAC2]]</f>
        <v>7</v>
      </c>
      <c r="AI398" t="str">
        <f t="shared" si="172"/>
        <v>Neutral</v>
      </c>
      <c r="AJ398" s="32">
        <f t="shared" si="173"/>
        <v>3</v>
      </c>
      <c r="AK398">
        <f>step3_validation[[#This Row],[AI_TRU1]]</f>
        <v>8</v>
      </c>
      <c r="AL398" t="str">
        <f t="shared" si="174"/>
        <v>Support</v>
      </c>
      <c r="AM398">
        <f>survey_responses[[#This Row],[Tôi tin rằng Nhà nước, cơ quan thuế sẽ thực thi chính sách mới một cách khách quan, công tâm và đối xử bình đẳng với mọi người nộp thuế.  - HUMAN-TRU1]]</f>
        <v>7</v>
      </c>
      <c r="AN398" t="str">
        <f t="shared" si="175"/>
        <v>Neutral</v>
      </c>
      <c r="AO398" s="32">
        <f t="shared" si="176"/>
        <v>1</v>
      </c>
      <c r="AP398">
        <f>step3_validation[[#This Row],[AI_TRU2]]</f>
        <v>9</v>
      </c>
      <c r="AQ398" t="str">
        <f t="shared" si="177"/>
        <v>Support</v>
      </c>
      <c r="AR398">
        <f>survey_responses[[#This Row],[Tôi thấy mức thuế tôi phải đóng theo phương án mới là công bằng (người thu nhập như tôi đóng mức này là hợp lý). - HUMAN-TRU2]]</f>
        <v>8</v>
      </c>
      <c r="AS398" t="str">
        <f t="shared" si="178"/>
        <v>Support</v>
      </c>
      <c r="AT398" s="32">
        <f t="shared" si="179"/>
        <v>1</v>
      </c>
      <c r="AU398">
        <f>step3_validation[[#This Row],[AI_TRU3]]</f>
        <v>8</v>
      </c>
      <c r="AV398" t="str">
        <f t="shared" si="180"/>
        <v>Support</v>
      </c>
      <c r="AW398">
        <f>survey_responses[[#This Row],[Tôi tin tưởng số tiền thuế tôi đóng sẽ được Nhà nước sử dụng hiệu quả để cải thiện dịch vụ công (y tế, đường xá...). - HUMAN-TRU3]]</f>
        <v>7</v>
      </c>
      <c r="AX398" t="str">
        <f t="shared" si="181"/>
        <v>Neutral</v>
      </c>
      <c r="AY398" s="32">
        <f t="shared" si="182"/>
        <v>1</v>
      </c>
      <c r="AZ398">
        <f>step3_validation[[#This Row],[AI_TRU4]]</f>
        <v>7</v>
      </c>
      <c r="BA398" t="str">
        <f t="shared" si="183"/>
        <v>Neutral</v>
      </c>
      <c r="BB398">
        <f>survey_responses[[#This Row],[Tôi thấy Nhà nước đã giải thích rõ ràng, minh bạch về lý do và mục tiêu của việc sửa đổi thuế lần này. - HUMAN-TRU4]]</f>
        <v>8</v>
      </c>
      <c r="BC398" t="str">
        <f t="shared" si="184"/>
        <v>Support</v>
      </c>
      <c r="BD398" s="32">
        <f t="shared" si="185"/>
        <v>1</v>
      </c>
      <c r="BE398">
        <f>step3_validation[[#This Row],[AI_OUT1]]</f>
        <v>9</v>
      </c>
      <c r="BF398" t="str">
        <f t="shared" si="186"/>
        <v>Support</v>
      </c>
      <c r="BG398">
        <f>survey_responses[[#This Row],[Sau khi xem xét các quyền lợi và nghĩa vụ, bạn có ủng hộ và tuân thủ chính sách mới hiện nay? - HUMAN-OUT1]]</f>
        <v>8</v>
      </c>
      <c r="BH398" t="str">
        <f t="shared" si="187"/>
        <v>Support</v>
      </c>
      <c r="BI398" s="32">
        <f t="shared" si="188"/>
        <v>1</v>
      </c>
    </row>
    <row r="399" spans="1:61" x14ac:dyDescent="0.45">
      <c r="A399" s="30">
        <f>step3_validation[[#This Row],[Persona_ID]]</f>
        <v>398</v>
      </c>
      <c r="B399" s="31">
        <f>step3_validation[[#This Row],[Used_Seed]]</f>
        <v>398</v>
      </c>
      <c r="C399" t="str">
        <f>step3_validation[[#This Row],[Gender]]</f>
        <v>Nữ</v>
      </c>
      <c r="D399" t="str">
        <f>survey_responses[[#This Row],[Giới tính của bạn:]]</f>
        <v>Nữ</v>
      </c>
      <c r="E399" t="str">
        <f>step3_validation[[#This Row],[Age_Group]]</f>
        <v>18 - 24</v>
      </c>
      <c r="F399" t="str">
        <f>survey_responses[[#This Row],[Độ tuổi của bạn:]]</f>
        <v>18 - 24</v>
      </c>
      <c r="G399" t="str">
        <f>step3_validation[[#This Row],[Region]]</f>
        <v>Thành thị</v>
      </c>
      <c r="H399" t="str">
        <f>survey_responses[[#This Row],[Khu vực bạn đang sinh sống:]]</f>
        <v>Thành thị</v>
      </c>
      <c r="I399" t="str">
        <f>step3_validation[[#This Row],[Education]]</f>
        <v>Đại học</v>
      </c>
      <c r="J399" t="str">
        <f>survey_responses[[#This Row],[Trình độ học vấn cao nhất:]]</f>
        <v>Đại học</v>
      </c>
      <c r="K399" t="str">
        <f>step3_validation[[#This Row],[Employment]]</f>
        <v>Chính thức</v>
      </c>
      <c r="L399" t="str">
        <f>survey_responses[[#This Row],[Tình trạng việc làm chính:]]</f>
        <v>Khu vực chính thức (Có Hợp đồng lao động, đóng BHXH)</v>
      </c>
      <c r="M399">
        <f>step3_validation[[#This Row],[Income_Mil]]</f>
        <v>12</v>
      </c>
      <c r="N399" t="str">
        <f>survey_responses[[#This Row],[Thu nhập bình quân tháng theo Hợp đồng lao động của bạn là bao nhiêu? (Vui lòng điền tổng thu nhập trước khi khấu trừ các loại Bảo hiểm (BHXH, BHYT, BHTN) và Thuế TNCN)]]</f>
        <v>Dưới 12 triệu VNĐ</v>
      </c>
      <c r="O399">
        <f>step3_validation[[#This Row],[Dependents]]</f>
        <v>0</v>
      </c>
      <c r="P399" t="str">
        <f>survey_responses[[#This Row],[Số người phụ thuộc (con nhỏ, cha mẹ già...) đủ điều kiện giảm trừ gia cảnh:]]</f>
        <v>0 người</v>
      </c>
      <c r="Q399">
        <f>step3_validation[[#This Row],[AI_ENF1]]</f>
        <v>7</v>
      </c>
      <c r="R399" t="str">
        <f t="shared" si="162"/>
        <v>Neutral</v>
      </c>
      <c r="S399">
        <f>survey_responses[[#This Row],[Tôi tin rằng với các quy định quản lý thuế hiện nay, hành vi gian lận hoặc trốn thuế sẽ dễ dàng bị phát hiện và xử lý nghiêm. - HUMAN-ENF1]]</f>
        <v>9</v>
      </c>
      <c r="T399" t="str">
        <f t="shared" si="163"/>
        <v>Support</v>
      </c>
      <c r="U399" s="32">
        <f t="shared" si="164"/>
        <v>2</v>
      </c>
      <c r="V399">
        <f>step3_validation[[#This Row],[AI_ENF2]]</f>
        <v>8</v>
      </c>
      <c r="W399" t="str">
        <f t="shared" si="165"/>
        <v>Support</v>
      </c>
      <c r="X399">
        <f>survey_responses[[#This Row],[Tôi tin rằng Nhà nước, cơ quan thuế có đủ khả năng và công nghệ để phát hiện, xử lý nghiêm các hành vi trốn thuế. - HUMAN-ENF2]]</f>
        <v>9</v>
      </c>
      <c r="Y399" t="str">
        <f t="shared" si="166"/>
        <v>Support</v>
      </c>
      <c r="Z399" s="32">
        <f t="shared" si="167"/>
        <v>1</v>
      </c>
      <c r="AA399">
        <f>step3_validation[[#This Row],[AI_FAC1]]</f>
        <v>9</v>
      </c>
      <c r="AB399" t="str">
        <f t="shared" si="168"/>
        <v>Support</v>
      </c>
      <c r="AC399">
        <f>survey_responses[[#This Row],[Các thủ tục khai báo thuế VÀ/HOẶC quy trình làm việc với cơ quan thuế đơn giản, tiện lợi, nhanh chóng hơn so với trước đây. - HUMAN-FAC1]]</f>
        <v>8</v>
      </c>
      <c r="AD399" t="str">
        <f t="shared" si="169"/>
        <v>Support</v>
      </c>
      <c r="AE399" s="32">
        <f t="shared" si="170"/>
        <v>1</v>
      </c>
      <c r="AF399">
        <f>step3_validation[[#This Row],[AI_FAC2]]</f>
        <v>10</v>
      </c>
      <c r="AG399" t="str">
        <f t="shared" si="171"/>
        <v>Support</v>
      </c>
      <c r="AH399">
        <f>survey_responses[[#This Row],[So với trước đây, tôi thấy cách tính thuế và các bậc thuế trong phương án mới đơn giản, dễ hiểu và dễ thực hiện hơn. - HUMAN-FAC2]]</f>
        <v>9</v>
      </c>
      <c r="AI399" t="str">
        <f t="shared" si="172"/>
        <v>Support</v>
      </c>
      <c r="AJ399" s="32">
        <f t="shared" si="173"/>
        <v>1</v>
      </c>
      <c r="AK399">
        <f>step3_validation[[#This Row],[AI_TRU1]]</f>
        <v>8</v>
      </c>
      <c r="AL399" t="str">
        <f t="shared" si="174"/>
        <v>Support</v>
      </c>
      <c r="AM399">
        <f>survey_responses[[#This Row],[Tôi tin rằng Nhà nước, cơ quan thuế sẽ thực thi chính sách mới một cách khách quan, công tâm và đối xử bình đẳng với mọi người nộp thuế.  - HUMAN-TRU1]]</f>
        <v>7</v>
      </c>
      <c r="AN399" t="str">
        <f t="shared" si="175"/>
        <v>Neutral</v>
      </c>
      <c r="AO399" s="32">
        <f t="shared" si="176"/>
        <v>1</v>
      </c>
      <c r="AP399">
        <f>step3_validation[[#This Row],[AI_TRU2]]</f>
        <v>9</v>
      </c>
      <c r="AQ399" t="str">
        <f t="shared" si="177"/>
        <v>Support</v>
      </c>
      <c r="AR399">
        <f>survey_responses[[#This Row],[Tôi thấy mức thuế tôi phải đóng theo phương án mới là công bằng (người thu nhập như tôi đóng mức này là hợp lý). - HUMAN-TRU2]]</f>
        <v>9</v>
      </c>
      <c r="AS399" t="str">
        <f t="shared" si="178"/>
        <v>Support</v>
      </c>
      <c r="AT399" s="32">
        <f t="shared" si="179"/>
        <v>0</v>
      </c>
      <c r="AU399">
        <f>step3_validation[[#This Row],[AI_TRU3]]</f>
        <v>8</v>
      </c>
      <c r="AV399" t="str">
        <f t="shared" si="180"/>
        <v>Support</v>
      </c>
      <c r="AW399">
        <f>survey_responses[[#This Row],[Tôi tin tưởng số tiền thuế tôi đóng sẽ được Nhà nước sử dụng hiệu quả để cải thiện dịch vụ công (y tế, đường xá...). - HUMAN-TRU3]]</f>
        <v>8</v>
      </c>
      <c r="AX399" t="str">
        <f t="shared" si="181"/>
        <v>Support</v>
      </c>
      <c r="AY399" s="32">
        <f t="shared" si="182"/>
        <v>0</v>
      </c>
      <c r="AZ399">
        <f>step3_validation[[#This Row],[AI_TRU4]]</f>
        <v>9</v>
      </c>
      <c r="BA399" t="str">
        <f t="shared" si="183"/>
        <v>Support</v>
      </c>
      <c r="BB399">
        <f>survey_responses[[#This Row],[Tôi thấy Nhà nước đã giải thích rõ ràng, minh bạch về lý do và mục tiêu của việc sửa đổi thuế lần này. - HUMAN-TRU4]]</f>
        <v>8</v>
      </c>
      <c r="BC399" t="str">
        <f t="shared" si="184"/>
        <v>Support</v>
      </c>
      <c r="BD399" s="32">
        <f t="shared" si="185"/>
        <v>1</v>
      </c>
      <c r="BE399">
        <f>step3_validation[[#This Row],[AI_OUT1]]</f>
        <v>8</v>
      </c>
      <c r="BF399" t="str">
        <f t="shared" si="186"/>
        <v>Support</v>
      </c>
      <c r="BG399">
        <f>survey_responses[[#This Row],[Sau khi xem xét các quyền lợi và nghĩa vụ, bạn có ủng hộ và tuân thủ chính sách mới hiện nay? - HUMAN-OUT1]]</f>
        <v>8</v>
      </c>
      <c r="BH399" t="str">
        <f t="shared" si="187"/>
        <v>Support</v>
      </c>
      <c r="BI399" s="32">
        <f t="shared" si="188"/>
        <v>0</v>
      </c>
    </row>
    <row r="400" spans="1:61" x14ac:dyDescent="0.45">
      <c r="A400" s="30">
        <f>step3_validation[[#This Row],[Persona_ID]]</f>
        <v>399</v>
      </c>
      <c r="B400" s="31">
        <f>step3_validation[[#This Row],[Used_Seed]]</f>
        <v>399</v>
      </c>
      <c r="C400" t="str">
        <f>step3_validation[[#This Row],[Gender]]</f>
        <v>Nữ</v>
      </c>
      <c r="D400" t="str">
        <f>survey_responses[[#This Row],[Giới tính của bạn:]]</f>
        <v>Nữ</v>
      </c>
      <c r="E400" t="str">
        <f>step3_validation[[#This Row],[Age_Group]]</f>
        <v>25 - 29</v>
      </c>
      <c r="F400" t="str">
        <f>survey_responses[[#This Row],[Độ tuổi của bạn:]]</f>
        <v>25 - 29</v>
      </c>
      <c r="G400" t="str">
        <f>step3_validation[[#This Row],[Region]]</f>
        <v>Thành thị</v>
      </c>
      <c r="H400" t="str">
        <f>survey_responses[[#This Row],[Khu vực bạn đang sinh sống:]]</f>
        <v>Thành thị</v>
      </c>
      <c r="I400" t="str">
        <f>step3_validation[[#This Row],[Education]]</f>
        <v>Sau Đại học</v>
      </c>
      <c r="J400" t="str">
        <f>survey_responses[[#This Row],[Trình độ học vấn cao nhất:]]</f>
        <v>Sau Đại học</v>
      </c>
      <c r="K400" t="str">
        <f>step3_validation[[#This Row],[Employment]]</f>
        <v>Chính thức</v>
      </c>
      <c r="L400" t="str">
        <f>survey_responses[[#This Row],[Tình trạng việc làm chính:]]</f>
        <v>Khu vực chính thức (Có Hợp đồng lao động, đóng BHXH)</v>
      </c>
      <c r="M400">
        <f>step3_validation[[#This Row],[Income_Mil]]</f>
        <v>28.450488243180487</v>
      </c>
      <c r="N400" t="str">
        <f>survey_responses[[#This Row],[Thu nhập bình quân tháng theo Hợp đồng lao động của bạn là bao nhiêu? (Vui lòng điền tổng thu nhập trước khi khấu trừ các loại Bảo hiểm (BHXH, BHYT, BHTN) và Thuế TNCN)]]</f>
        <v>Từ 23 - 32 triệu VNĐ</v>
      </c>
      <c r="O400">
        <f>step3_validation[[#This Row],[Dependents]]</f>
        <v>0</v>
      </c>
      <c r="P400" t="str">
        <f>survey_responses[[#This Row],[Số người phụ thuộc (con nhỏ, cha mẹ già...) đủ điều kiện giảm trừ gia cảnh:]]</f>
        <v>0 người</v>
      </c>
      <c r="Q400">
        <f>step3_validation[[#This Row],[AI_ENF1]]</f>
        <v>6</v>
      </c>
      <c r="R400" t="str">
        <f t="shared" si="162"/>
        <v>Neutral</v>
      </c>
      <c r="S400">
        <f>survey_responses[[#This Row],[Tôi tin rằng với các quy định quản lý thuế hiện nay, hành vi gian lận hoặc trốn thuế sẽ dễ dàng bị phát hiện và xử lý nghiêm. - HUMAN-ENF1]]</f>
        <v>7</v>
      </c>
      <c r="T400" t="str">
        <f t="shared" si="163"/>
        <v>Neutral</v>
      </c>
      <c r="U400" s="32">
        <f t="shared" si="164"/>
        <v>1</v>
      </c>
      <c r="V400">
        <f>step3_validation[[#This Row],[AI_ENF2]]</f>
        <v>7</v>
      </c>
      <c r="W400" t="str">
        <f t="shared" si="165"/>
        <v>Neutral</v>
      </c>
      <c r="X400">
        <f>survey_responses[[#This Row],[Tôi tin rằng Nhà nước, cơ quan thuế có đủ khả năng và công nghệ để phát hiện, xử lý nghiêm các hành vi trốn thuế. - HUMAN-ENF2]]</f>
        <v>7</v>
      </c>
      <c r="Y400" t="str">
        <f t="shared" si="166"/>
        <v>Neutral</v>
      </c>
      <c r="Z400" s="32">
        <f t="shared" si="167"/>
        <v>0</v>
      </c>
      <c r="AA400">
        <f>step3_validation[[#This Row],[AI_FAC1]]</f>
        <v>9</v>
      </c>
      <c r="AB400" t="str">
        <f t="shared" si="168"/>
        <v>Support</v>
      </c>
      <c r="AC400">
        <f>survey_responses[[#This Row],[Các thủ tục khai báo thuế VÀ/HOẶC quy trình làm việc với cơ quan thuế đơn giản, tiện lợi, nhanh chóng hơn so với trước đây. - HUMAN-FAC1]]</f>
        <v>5</v>
      </c>
      <c r="AD400" t="str">
        <f t="shared" si="169"/>
        <v>Neutral</v>
      </c>
      <c r="AE400" s="32">
        <f t="shared" si="170"/>
        <v>4</v>
      </c>
      <c r="AF400">
        <f>step3_validation[[#This Row],[AI_FAC2]]</f>
        <v>9</v>
      </c>
      <c r="AG400" t="str">
        <f t="shared" si="171"/>
        <v>Support</v>
      </c>
      <c r="AH400">
        <f>survey_responses[[#This Row],[So với trước đây, tôi thấy cách tính thuế và các bậc thuế trong phương án mới đơn giản, dễ hiểu và dễ thực hiện hơn. - HUMAN-FAC2]]</f>
        <v>8</v>
      </c>
      <c r="AI400" t="str">
        <f t="shared" si="172"/>
        <v>Support</v>
      </c>
      <c r="AJ400" s="32">
        <f t="shared" si="173"/>
        <v>1</v>
      </c>
      <c r="AK400">
        <f>step3_validation[[#This Row],[AI_TRU1]]</f>
        <v>8</v>
      </c>
      <c r="AL400" t="str">
        <f t="shared" si="174"/>
        <v>Support</v>
      </c>
      <c r="AM400">
        <f>survey_responses[[#This Row],[Tôi tin rằng Nhà nước, cơ quan thuế sẽ thực thi chính sách mới một cách khách quan, công tâm và đối xử bình đẳng với mọi người nộp thuế.  - HUMAN-TRU1]]</f>
        <v>7</v>
      </c>
      <c r="AN400" t="str">
        <f t="shared" si="175"/>
        <v>Neutral</v>
      </c>
      <c r="AO400" s="32">
        <f t="shared" si="176"/>
        <v>1</v>
      </c>
      <c r="AP400">
        <f>step3_validation[[#This Row],[AI_TRU2]]</f>
        <v>9</v>
      </c>
      <c r="AQ400" t="str">
        <f t="shared" si="177"/>
        <v>Support</v>
      </c>
      <c r="AR400">
        <f>survey_responses[[#This Row],[Tôi thấy mức thuế tôi phải đóng theo phương án mới là công bằng (người thu nhập như tôi đóng mức này là hợp lý). - HUMAN-TRU2]]</f>
        <v>8</v>
      </c>
      <c r="AS400" t="str">
        <f t="shared" si="178"/>
        <v>Support</v>
      </c>
      <c r="AT400" s="32">
        <f t="shared" si="179"/>
        <v>1</v>
      </c>
      <c r="AU400">
        <f>step3_validation[[#This Row],[AI_TRU3]]</f>
        <v>8</v>
      </c>
      <c r="AV400" t="str">
        <f t="shared" si="180"/>
        <v>Support</v>
      </c>
      <c r="AW400">
        <f>survey_responses[[#This Row],[Tôi tin tưởng số tiền thuế tôi đóng sẽ được Nhà nước sử dụng hiệu quả để cải thiện dịch vụ công (y tế, đường xá...). - HUMAN-TRU3]]</f>
        <v>6</v>
      </c>
      <c r="AX400" t="str">
        <f t="shared" si="181"/>
        <v>Neutral</v>
      </c>
      <c r="AY400" s="32">
        <f t="shared" si="182"/>
        <v>2</v>
      </c>
      <c r="AZ400">
        <f>step3_validation[[#This Row],[AI_TRU4]]</f>
        <v>9</v>
      </c>
      <c r="BA400" t="str">
        <f t="shared" si="183"/>
        <v>Support</v>
      </c>
      <c r="BB400">
        <f>survey_responses[[#This Row],[Tôi thấy Nhà nước đã giải thích rõ ràng, minh bạch về lý do và mục tiêu của việc sửa đổi thuế lần này. - HUMAN-TRU4]]</f>
        <v>6</v>
      </c>
      <c r="BC400" t="str">
        <f t="shared" si="184"/>
        <v>Neutral</v>
      </c>
      <c r="BD400" s="32">
        <f t="shared" si="185"/>
        <v>3</v>
      </c>
      <c r="BE400">
        <f>step3_validation[[#This Row],[AI_OUT1]]</f>
        <v>7</v>
      </c>
      <c r="BF400" t="str">
        <f t="shared" si="186"/>
        <v>Neutral</v>
      </c>
      <c r="BG400">
        <f>survey_responses[[#This Row],[Sau khi xem xét các quyền lợi và nghĩa vụ, bạn có ủng hộ và tuân thủ chính sách mới hiện nay? - HUMAN-OUT1]]</f>
        <v>8</v>
      </c>
      <c r="BH400" t="str">
        <f t="shared" si="187"/>
        <v>Support</v>
      </c>
      <c r="BI400" s="32">
        <f t="shared" si="188"/>
        <v>1</v>
      </c>
    </row>
    <row r="401" spans="1:61" x14ac:dyDescent="0.45">
      <c r="A401" s="30">
        <f>step3_validation[[#This Row],[Persona_ID]]</f>
        <v>400</v>
      </c>
      <c r="B401" s="31">
        <f>step3_validation[[#This Row],[Used_Seed]]</f>
        <v>400</v>
      </c>
      <c r="C401" t="str">
        <f>step3_validation[[#This Row],[Gender]]</f>
        <v>Nữ</v>
      </c>
      <c r="D401" t="str">
        <f>survey_responses[[#This Row],[Giới tính của bạn:]]</f>
        <v>Nữ</v>
      </c>
      <c r="E401" t="str">
        <f>step3_validation[[#This Row],[Age_Group]]</f>
        <v>40 - 49</v>
      </c>
      <c r="F401" t="str">
        <f>survey_responses[[#This Row],[Độ tuổi của bạn:]]</f>
        <v>40 - 49</v>
      </c>
      <c r="G401" t="str">
        <f>step3_validation[[#This Row],[Region]]</f>
        <v>Thành thị</v>
      </c>
      <c r="H401" t="str">
        <f>survey_responses[[#This Row],[Khu vực bạn đang sinh sống:]]</f>
        <v>Thành thị</v>
      </c>
      <c r="I401" t="str">
        <f>step3_validation[[#This Row],[Education]]</f>
        <v>Đại học</v>
      </c>
      <c r="J401" t="str">
        <f>survey_responses[[#This Row],[Trình độ học vấn cao nhất:]]</f>
        <v>Đại học</v>
      </c>
      <c r="K401" t="str">
        <f>step3_validation[[#This Row],[Employment]]</f>
        <v>Chính thức</v>
      </c>
      <c r="L401" t="str">
        <f>survey_responses[[#This Row],[Tình trạng việc làm chính:]]</f>
        <v>Khu vực chính thức (Có Hợp đồng lao động, đóng BHXH)</v>
      </c>
      <c r="M401">
        <f>step3_validation[[#This Row],[Income_Mil]]</f>
        <v>34.986482164558986</v>
      </c>
      <c r="N401" t="str">
        <f>survey_responses[[#This Row],[Thu nhập bình quân tháng theo Hợp đồng lao động của bạn là bao nhiêu? (Vui lòng điền tổng thu nhập trước khi khấu trừ các loại Bảo hiểm (BHXH, BHYT, BHTN) và Thuế TNCN)]]</f>
        <v>Từ 32 - 48 triệu VNĐ</v>
      </c>
      <c r="O401">
        <f>step3_validation[[#This Row],[Dependents]]</f>
        <v>3</v>
      </c>
      <c r="P401" t="str">
        <f>survey_responses[[#This Row],[Số người phụ thuộc (con nhỏ, cha mẹ già...) đủ điều kiện giảm trừ gia cảnh:]]</f>
        <v>3 người</v>
      </c>
      <c r="Q401">
        <f>step3_validation[[#This Row],[AI_ENF1]]</f>
        <v>7</v>
      </c>
      <c r="R401" t="str">
        <f t="shared" si="162"/>
        <v>Neutral</v>
      </c>
      <c r="S401">
        <f>survey_responses[[#This Row],[Tôi tin rằng với các quy định quản lý thuế hiện nay, hành vi gian lận hoặc trốn thuế sẽ dễ dàng bị phát hiện và xử lý nghiêm. - HUMAN-ENF1]]</f>
        <v>8</v>
      </c>
      <c r="T401" t="str">
        <f t="shared" si="163"/>
        <v>Support</v>
      </c>
      <c r="U401" s="32">
        <f t="shared" si="164"/>
        <v>1</v>
      </c>
      <c r="V401">
        <f>step3_validation[[#This Row],[AI_ENF2]]</f>
        <v>7</v>
      </c>
      <c r="W401" t="str">
        <f t="shared" si="165"/>
        <v>Neutral</v>
      </c>
      <c r="X401">
        <f>survey_responses[[#This Row],[Tôi tin rằng Nhà nước, cơ quan thuế có đủ khả năng và công nghệ để phát hiện, xử lý nghiêm các hành vi trốn thuế. - HUMAN-ENF2]]</f>
        <v>9</v>
      </c>
      <c r="Y401" t="str">
        <f t="shared" si="166"/>
        <v>Support</v>
      </c>
      <c r="Z401" s="32">
        <f t="shared" si="167"/>
        <v>2</v>
      </c>
      <c r="AA401">
        <f>step3_validation[[#This Row],[AI_FAC1]]</f>
        <v>9</v>
      </c>
      <c r="AB401" t="str">
        <f t="shared" si="168"/>
        <v>Support</v>
      </c>
      <c r="AC401">
        <f>survey_responses[[#This Row],[Các thủ tục khai báo thuế VÀ/HOẶC quy trình làm việc với cơ quan thuế đơn giản, tiện lợi, nhanh chóng hơn so với trước đây. - HUMAN-FAC1]]</f>
        <v>8</v>
      </c>
      <c r="AD401" t="str">
        <f t="shared" si="169"/>
        <v>Support</v>
      </c>
      <c r="AE401" s="32">
        <f t="shared" si="170"/>
        <v>1</v>
      </c>
      <c r="AF401">
        <f>step3_validation[[#This Row],[AI_FAC2]]</f>
        <v>10</v>
      </c>
      <c r="AG401" t="str">
        <f t="shared" si="171"/>
        <v>Support</v>
      </c>
      <c r="AH401">
        <f>survey_responses[[#This Row],[So với trước đây, tôi thấy cách tính thuế và các bậc thuế trong phương án mới đơn giản, dễ hiểu và dễ thực hiện hơn. - HUMAN-FAC2]]</f>
        <v>8</v>
      </c>
      <c r="AI401" t="str">
        <f t="shared" si="172"/>
        <v>Support</v>
      </c>
      <c r="AJ401" s="32">
        <f t="shared" si="173"/>
        <v>2</v>
      </c>
      <c r="AK401">
        <f>step3_validation[[#This Row],[AI_TRU1]]</f>
        <v>8</v>
      </c>
      <c r="AL401" t="str">
        <f t="shared" si="174"/>
        <v>Support</v>
      </c>
      <c r="AM401">
        <f>survey_responses[[#This Row],[Tôi tin rằng Nhà nước, cơ quan thuế sẽ thực thi chính sách mới một cách khách quan, công tâm và đối xử bình đẳng với mọi người nộp thuế.  - HUMAN-TRU1]]</f>
        <v>7</v>
      </c>
      <c r="AN401" t="str">
        <f t="shared" si="175"/>
        <v>Neutral</v>
      </c>
      <c r="AO401" s="32">
        <f t="shared" si="176"/>
        <v>1</v>
      </c>
      <c r="AP401">
        <f>step3_validation[[#This Row],[AI_TRU2]]</f>
        <v>7</v>
      </c>
      <c r="AQ401" t="str">
        <f t="shared" si="177"/>
        <v>Neutral</v>
      </c>
      <c r="AR401">
        <f>survey_responses[[#This Row],[Tôi thấy mức thuế tôi phải đóng theo phương án mới là công bằng (người thu nhập như tôi đóng mức này là hợp lý). - HUMAN-TRU2]]</f>
        <v>7</v>
      </c>
      <c r="AS401" t="str">
        <f t="shared" si="178"/>
        <v>Neutral</v>
      </c>
      <c r="AT401" s="32">
        <f t="shared" si="179"/>
        <v>0</v>
      </c>
      <c r="AU401">
        <f>step3_validation[[#This Row],[AI_TRU3]]</f>
        <v>8</v>
      </c>
      <c r="AV401" t="str">
        <f t="shared" si="180"/>
        <v>Support</v>
      </c>
      <c r="AW401">
        <f>survey_responses[[#This Row],[Tôi tin tưởng số tiền thuế tôi đóng sẽ được Nhà nước sử dụng hiệu quả để cải thiện dịch vụ công (y tế, đường xá...). - HUMAN-TRU3]]</f>
        <v>7</v>
      </c>
      <c r="AX401" t="str">
        <f t="shared" si="181"/>
        <v>Neutral</v>
      </c>
      <c r="AY401" s="32">
        <f t="shared" si="182"/>
        <v>1</v>
      </c>
      <c r="AZ401">
        <f>step3_validation[[#This Row],[AI_TRU4]]</f>
        <v>7</v>
      </c>
      <c r="BA401" t="str">
        <f t="shared" si="183"/>
        <v>Neutral</v>
      </c>
      <c r="BB401">
        <f>survey_responses[[#This Row],[Tôi thấy Nhà nước đã giải thích rõ ràng, minh bạch về lý do và mục tiêu của việc sửa đổi thuế lần này. - HUMAN-TRU4]]</f>
        <v>7</v>
      </c>
      <c r="BC401" t="str">
        <f t="shared" si="184"/>
        <v>Neutral</v>
      </c>
      <c r="BD401" s="32">
        <f t="shared" si="185"/>
        <v>0</v>
      </c>
      <c r="BE401">
        <f>step3_validation[[#This Row],[AI_OUT1]]</f>
        <v>8</v>
      </c>
      <c r="BF401" t="str">
        <f t="shared" si="186"/>
        <v>Support</v>
      </c>
      <c r="BG401">
        <f>survey_responses[[#This Row],[Sau khi xem xét các quyền lợi và nghĩa vụ, bạn có ủng hộ và tuân thủ chính sách mới hiện nay? - HUMAN-OUT1]]</f>
        <v>8</v>
      </c>
      <c r="BH401" t="str">
        <f t="shared" si="187"/>
        <v>Support</v>
      </c>
      <c r="BI401" s="32">
        <f t="shared" si="188"/>
        <v>0</v>
      </c>
    </row>
    <row r="402" spans="1:61" x14ac:dyDescent="0.45">
      <c r="A402" s="30">
        <f>step3_validation[[#This Row],[Persona_ID]]</f>
        <v>401</v>
      </c>
      <c r="B402" s="31">
        <f>step3_validation[[#This Row],[Used_Seed]]</f>
        <v>401</v>
      </c>
      <c r="C402" t="str">
        <f>step3_validation[[#This Row],[Gender]]</f>
        <v>Nữ</v>
      </c>
      <c r="D402" t="str">
        <f>survey_responses[[#This Row],[Giới tính của bạn:]]</f>
        <v>Nữ</v>
      </c>
      <c r="E402" t="str">
        <f>step3_validation[[#This Row],[Age_Group]]</f>
        <v>25 - 29</v>
      </c>
      <c r="F402" t="str">
        <f>survey_responses[[#This Row],[Độ tuổi của bạn:]]</f>
        <v>25 - 29</v>
      </c>
      <c r="G402" t="str">
        <f>step3_validation[[#This Row],[Region]]</f>
        <v>Nông thôn</v>
      </c>
      <c r="H402" t="str">
        <f>survey_responses[[#This Row],[Khu vực bạn đang sinh sống:]]</f>
        <v>Nông thôn</v>
      </c>
      <c r="I402" t="str">
        <f>step3_validation[[#This Row],[Education]]</f>
        <v>Đại học</v>
      </c>
      <c r="J402" t="str">
        <f>survey_responses[[#This Row],[Trình độ học vấn cao nhất:]]</f>
        <v>Đại học</v>
      </c>
      <c r="K402" t="str">
        <f>step3_validation[[#This Row],[Employment]]</f>
        <v>Chính thức</v>
      </c>
      <c r="L402" t="str">
        <f>survey_responses[[#This Row],[Tình trạng việc làm chính:]]</f>
        <v>Khu vực chính thức (Có Hợp đồng lao động, đóng BHXH)</v>
      </c>
      <c r="M402">
        <f>step3_validation[[#This Row],[Income_Mil]]</f>
        <v>15.466904501465335</v>
      </c>
      <c r="N402" t="str">
        <f>survey_responses[[#This Row],[Thu nhập bình quân tháng theo Hợp đồng lao động của bạn là bao nhiêu? (Vui lòng điền tổng thu nhập trước khi khấu trừ các loại Bảo hiểm (BHXH, BHYT, BHTN) và Thuế TNCN)]]</f>
        <v>Từ 12 - 18 triệu VNĐ</v>
      </c>
      <c r="O402">
        <f>step3_validation[[#This Row],[Dependents]]</f>
        <v>0</v>
      </c>
      <c r="P402" t="str">
        <f>survey_responses[[#This Row],[Số người phụ thuộc (con nhỏ, cha mẹ già...) đủ điều kiện giảm trừ gia cảnh:]]</f>
        <v>0 người</v>
      </c>
      <c r="Q402">
        <f>step3_validation[[#This Row],[AI_ENF1]]</f>
        <v>6</v>
      </c>
      <c r="R402" t="str">
        <f t="shared" si="162"/>
        <v>Neutral</v>
      </c>
      <c r="S402">
        <f>survey_responses[[#This Row],[Tôi tin rằng với các quy định quản lý thuế hiện nay, hành vi gian lận hoặc trốn thuế sẽ dễ dàng bị phát hiện và xử lý nghiêm. - HUMAN-ENF1]]</f>
        <v>4</v>
      </c>
      <c r="T402" t="str">
        <f t="shared" si="163"/>
        <v>Oppose</v>
      </c>
      <c r="U402" s="32">
        <f t="shared" si="164"/>
        <v>2</v>
      </c>
      <c r="V402">
        <f>step3_validation[[#This Row],[AI_ENF2]]</f>
        <v>6</v>
      </c>
      <c r="W402" t="str">
        <f t="shared" si="165"/>
        <v>Neutral</v>
      </c>
      <c r="X402">
        <f>survey_responses[[#This Row],[Tôi tin rằng Nhà nước, cơ quan thuế có đủ khả năng và công nghệ để phát hiện, xử lý nghiêm các hành vi trốn thuế. - HUMAN-ENF2]]</f>
        <v>4</v>
      </c>
      <c r="Y402" t="str">
        <f t="shared" si="166"/>
        <v>Oppose</v>
      </c>
      <c r="Z402" s="32">
        <f t="shared" si="167"/>
        <v>2</v>
      </c>
      <c r="AA402">
        <f>step3_validation[[#This Row],[AI_FAC1]]</f>
        <v>9</v>
      </c>
      <c r="AB402" t="str">
        <f t="shared" si="168"/>
        <v>Support</v>
      </c>
      <c r="AC402">
        <f>survey_responses[[#This Row],[Các thủ tục khai báo thuế VÀ/HOẶC quy trình làm việc với cơ quan thuế đơn giản, tiện lợi, nhanh chóng hơn so với trước đây. - HUMAN-FAC1]]</f>
        <v>3</v>
      </c>
      <c r="AD402" t="str">
        <f t="shared" si="169"/>
        <v>Oppose</v>
      </c>
      <c r="AE402" s="32">
        <f t="shared" si="170"/>
        <v>6</v>
      </c>
      <c r="AF402">
        <f>step3_validation[[#This Row],[AI_FAC2]]</f>
        <v>9</v>
      </c>
      <c r="AG402" t="str">
        <f t="shared" si="171"/>
        <v>Support</v>
      </c>
      <c r="AH402">
        <f>survey_responses[[#This Row],[So với trước đây, tôi thấy cách tính thuế và các bậc thuế trong phương án mới đơn giản, dễ hiểu và dễ thực hiện hơn. - HUMAN-FAC2]]</f>
        <v>5</v>
      </c>
      <c r="AI402" t="str">
        <f t="shared" si="172"/>
        <v>Neutral</v>
      </c>
      <c r="AJ402" s="32">
        <f t="shared" si="173"/>
        <v>4</v>
      </c>
      <c r="AK402">
        <f>step3_validation[[#This Row],[AI_TRU1]]</f>
        <v>7</v>
      </c>
      <c r="AL402" t="str">
        <f t="shared" si="174"/>
        <v>Neutral</v>
      </c>
      <c r="AM402">
        <f>survey_responses[[#This Row],[Tôi tin rằng Nhà nước, cơ quan thuế sẽ thực thi chính sách mới một cách khách quan, công tâm và đối xử bình đẳng với mọi người nộp thuế.  - HUMAN-TRU1]]</f>
        <v>5</v>
      </c>
      <c r="AN402" t="str">
        <f t="shared" si="175"/>
        <v>Neutral</v>
      </c>
      <c r="AO402" s="32">
        <f t="shared" si="176"/>
        <v>2</v>
      </c>
      <c r="AP402">
        <f>step3_validation[[#This Row],[AI_TRU2]]</f>
        <v>8</v>
      </c>
      <c r="AQ402" t="str">
        <f t="shared" si="177"/>
        <v>Support</v>
      </c>
      <c r="AR402">
        <f>survey_responses[[#This Row],[Tôi thấy mức thuế tôi phải đóng theo phương án mới là công bằng (người thu nhập như tôi đóng mức này là hợp lý). - HUMAN-TRU2]]</f>
        <v>2</v>
      </c>
      <c r="AS402" t="str">
        <f t="shared" si="178"/>
        <v>Oppose</v>
      </c>
      <c r="AT402" s="32">
        <f t="shared" si="179"/>
        <v>6</v>
      </c>
      <c r="AU402">
        <f>step3_validation[[#This Row],[AI_TRU3]]</f>
        <v>7</v>
      </c>
      <c r="AV402" t="str">
        <f t="shared" si="180"/>
        <v>Neutral</v>
      </c>
      <c r="AW402">
        <f>survey_responses[[#This Row],[Tôi tin tưởng số tiền thuế tôi đóng sẽ được Nhà nước sử dụng hiệu quả để cải thiện dịch vụ công (y tế, đường xá...). - HUMAN-TRU3]]</f>
        <v>2</v>
      </c>
      <c r="AX402" t="str">
        <f t="shared" si="181"/>
        <v>Oppose</v>
      </c>
      <c r="AY402" s="32">
        <f t="shared" si="182"/>
        <v>5</v>
      </c>
      <c r="AZ402">
        <f>step3_validation[[#This Row],[AI_TRU4]]</f>
        <v>6</v>
      </c>
      <c r="BA402" t="str">
        <f t="shared" si="183"/>
        <v>Neutral</v>
      </c>
      <c r="BB402">
        <f>survey_responses[[#This Row],[Tôi thấy Nhà nước đã giải thích rõ ràng, minh bạch về lý do và mục tiêu của việc sửa đổi thuế lần này. - HUMAN-TRU4]]</f>
        <v>5</v>
      </c>
      <c r="BC402" t="str">
        <f t="shared" si="184"/>
        <v>Neutral</v>
      </c>
      <c r="BD402" s="32">
        <f t="shared" si="185"/>
        <v>1</v>
      </c>
      <c r="BE402">
        <f>step3_validation[[#This Row],[AI_OUT1]]</f>
        <v>8</v>
      </c>
      <c r="BF402" t="str">
        <f t="shared" si="186"/>
        <v>Support</v>
      </c>
      <c r="BG402">
        <f>survey_responses[[#This Row],[Sau khi xem xét các quyền lợi và nghĩa vụ, bạn có ủng hộ và tuân thủ chính sách mới hiện nay? - HUMAN-OUT1]]</f>
        <v>2</v>
      </c>
      <c r="BH402" t="str">
        <f t="shared" si="187"/>
        <v>Oppose</v>
      </c>
      <c r="BI402" s="32">
        <f t="shared" si="188"/>
        <v>6</v>
      </c>
    </row>
    <row r="403" spans="1:61" x14ac:dyDescent="0.45">
      <c r="A403" s="30">
        <f>step3_validation[[#This Row],[Persona_ID]]</f>
        <v>402</v>
      </c>
      <c r="B403" s="31">
        <f>step3_validation[[#This Row],[Used_Seed]]</f>
        <v>402</v>
      </c>
      <c r="C403" t="str">
        <f>step3_validation[[#This Row],[Gender]]</f>
        <v>Nam</v>
      </c>
      <c r="D403" t="str">
        <f>survey_responses[[#This Row],[Giới tính của bạn:]]</f>
        <v>Nam</v>
      </c>
      <c r="E403" t="str">
        <f>step3_validation[[#This Row],[Age_Group]]</f>
        <v>55 - 64</v>
      </c>
      <c r="F403" t="str">
        <f>survey_responses[[#This Row],[Độ tuổi của bạn:]]</f>
        <v>55 - 64</v>
      </c>
      <c r="G403" t="str">
        <f>step3_validation[[#This Row],[Region]]</f>
        <v>Thành thị</v>
      </c>
      <c r="H403" t="str">
        <f>survey_responses[[#This Row],[Khu vực bạn đang sinh sống:]]</f>
        <v>Thành thị</v>
      </c>
      <c r="I403" t="str">
        <f>step3_validation[[#This Row],[Education]]</f>
        <v>Sau Đại học</v>
      </c>
      <c r="J403" t="str">
        <f>survey_responses[[#This Row],[Trình độ học vấn cao nhất:]]</f>
        <v>Sau Đại học</v>
      </c>
      <c r="K403" t="str">
        <f>step3_validation[[#This Row],[Employment]]</f>
        <v>Chính thức</v>
      </c>
      <c r="L403" t="str">
        <f>survey_responses[[#This Row],[Tình trạng việc làm chính:]]</f>
        <v>Khu vực chính thức (Có Hợp đồng lao động, đóng BHXH)</v>
      </c>
      <c r="M403">
        <f>step3_validation[[#This Row],[Income_Mil]]</f>
        <v>141.19069464946287</v>
      </c>
      <c r="N403" t="str">
        <f>survey_responses[[#This Row],[Thu nhập bình quân tháng theo Hợp đồng lao động của bạn là bao nhiêu? (Vui lòng điền tổng thu nhập trước khi khấu trừ các loại Bảo hiểm (BHXH, BHYT, BHTN) và Thuế TNCN)]]</f>
        <v>Trên 102 triệu VNĐ</v>
      </c>
      <c r="O403">
        <f>step3_validation[[#This Row],[Dependents]]</f>
        <v>4</v>
      </c>
      <c r="P403" t="str">
        <f>survey_responses[[#This Row],[Số người phụ thuộc (con nhỏ, cha mẹ già...) đủ điều kiện giảm trừ gia cảnh:]]</f>
        <v>4 người trở lên</v>
      </c>
      <c r="Q403">
        <f>step3_validation[[#This Row],[AI_ENF1]]</f>
        <v>7</v>
      </c>
      <c r="R403" t="str">
        <f t="shared" si="162"/>
        <v>Neutral</v>
      </c>
      <c r="S403">
        <f>survey_responses[[#This Row],[Tôi tin rằng với các quy định quản lý thuế hiện nay, hành vi gian lận hoặc trốn thuế sẽ dễ dàng bị phát hiện và xử lý nghiêm. - HUMAN-ENF1]]</f>
        <v>7</v>
      </c>
      <c r="T403" t="str">
        <f t="shared" si="163"/>
        <v>Neutral</v>
      </c>
      <c r="U403" s="32">
        <f t="shared" si="164"/>
        <v>0</v>
      </c>
      <c r="V403">
        <f>step3_validation[[#This Row],[AI_ENF2]]</f>
        <v>7</v>
      </c>
      <c r="W403" t="str">
        <f t="shared" si="165"/>
        <v>Neutral</v>
      </c>
      <c r="X403">
        <f>survey_responses[[#This Row],[Tôi tin rằng Nhà nước, cơ quan thuế có đủ khả năng và công nghệ để phát hiện, xử lý nghiêm các hành vi trốn thuế. - HUMAN-ENF2]]</f>
        <v>7</v>
      </c>
      <c r="Y403" t="str">
        <f t="shared" si="166"/>
        <v>Neutral</v>
      </c>
      <c r="Z403" s="32">
        <f t="shared" si="167"/>
        <v>0</v>
      </c>
      <c r="AA403">
        <f>step3_validation[[#This Row],[AI_FAC1]]</f>
        <v>9</v>
      </c>
      <c r="AB403" t="str">
        <f t="shared" si="168"/>
        <v>Support</v>
      </c>
      <c r="AC403">
        <f>survey_responses[[#This Row],[Các thủ tục khai báo thuế VÀ/HOẶC quy trình làm việc với cơ quan thuế đơn giản, tiện lợi, nhanh chóng hơn so với trước đây. - HUMAN-FAC1]]</f>
        <v>4</v>
      </c>
      <c r="AD403" t="str">
        <f t="shared" si="169"/>
        <v>Oppose</v>
      </c>
      <c r="AE403" s="32">
        <f t="shared" si="170"/>
        <v>5</v>
      </c>
      <c r="AF403">
        <f>step3_validation[[#This Row],[AI_FAC2]]</f>
        <v>8</v>
      </c>
      <c r="AG403" t="str">
        <f t="shared" si="171"/>
        <v>Support</v>
      </c>
      <c r="AH403">
        <f>survey_responses[[#This Row],[So với trước đây, tôi thấy cách tính thuế và các bậc thuế trong phương án mới đơn giản, dễ hiểu và dễ thực hiện hơn. - HUMAN-FAC2]]</f>
        <v>6</v>
      </c>
      <c r="AI403" t="str">
        <f t="shared" si="172"/>
        <v>Neutral</v>
      </c>
      <c r="AJ403" s="32">
        <f t="shared" si="173"/>
        <v>2</v>
      </c>
      <c r="AK403">
        <f>step3_validation[[#This Row],[AI_TRU1]]</f>
        <v>9</v>
      </c>
      <c r="AL403" t="str">
        <f t="shared" si="174"/>
        <v>Support</v>
      </c>
      <c r="AM403">
        <f>survey_responses[[#This Row],[Tôi tin rằng Nhà nước, cơ quan thuế sẽ thực thi chính sách mới một cách khách quan, công tâm và đối xử bình đẳng với mọi người nộp thuế.  - HUMAN-TRU1]]</f>
        <v>5</v>
      </c>
      <c r="AN403" t="str">
        <f t="shared" si="175"/>
        <v>Neutral</v>
      </c>
      <c r="AO403" s="32">
        <f t="shared" si="176"/>
        <v>4</v>
      </c>
      <c r="AP403">
        <f>step3_validation[[#This Row],[AI_TRU2]]</f>
        <v>8</v>
      </c>
      <c r="AQ403" t="str">
        <f t="shared" si="177"/>
        <v>Support</v>
      </c>
      <c r="AR403">
        <f>survey_responses[[#This Row],[Tôi thấy mức thuế tôi phải đóng theo phương án mới là công bằng (người thu nhập như tôi đóng mức này là hợp lý). - HUMAN-TRU2]]</f>
        <v>4</v>
      </c>
      <c r="AS403" t="str">
        <f t="shared" si="178"/>
        <v>Oppose</v>
      </c>
      <c r="AT403" s="32">
        <f t="shared" si="179"/>
        <v>4</v>
      </c>
      <c r="AU403">
        <f>step3_validation[[#This Row],[AI_TRU3]]</f>
        <v>7</v>
      </c>
      <c r="AV403" t="str">
        <f t="shared" si="180"/>
        <v>Neutral</v>
      </c>
      <c r="AW403">
        <f>survey_responses[[#This Row],[Tôi tin tưởng số tiền thuế tôi đóng sẽ được Nhà nước sử dụng hiệu quả để cải thiện dịch vụ công (y tế, đường xá...). - HUMAN-TRU3]]</f>
        <v>5</v>
      </c>
      <c r="AX403" t="str">
        <f t="shared" si="181"/>
        <v>Neutral</v>
      </c>
      <c r="AY403" s="32">
        <f t="shared" si="182"/>
        <v>2</v>
      </c>
      <c r="AZ403">
        <f>step3_validation[[#This Row],[AI_TRU4]]</f>
        <v>8</v>
      </c>
      <c r="BA403" t="str">
        <f t="shared" si="183"/>
        <v>Support</v>
      </c>
      <c r="BB403">
        <f>survey_responses[[#This Row],[Tôi thấy Nhà nước đã giải thích rõ ràng, minh bạch về lý do và mục tiêu của việc sửa đổi thuế lần này. - HUMAN-TRU4]]</f>
        <v>5</v>
      </c>
      <c r="BC403" t="str">
        <f t="shared" si="184"/>
        <v>Neutral</v>
      </c>
      <c r="BD403" s="32">
        <f t="shared" si="185"/>
        <v>3</v>
      </c>
      <c r="BE403">
        <f>step3_validation[[#This Row],[AI_OUT1]]</f>
        <v>9</v>
      </c>
      <c r="BF403" t="str">
        <f t="shared" si="186"/>
        <v>Support</v>
      </c>
      <c r="BG403">
        <f>survey_responses[[#This Row],[Sau khi xem xét các quyền lợi và nghĩa vụ, bạn có ủng hộ và tuân thủ chính sách mới hiện nay? - HUMAN-OUT1]]</f>
        <v>5</v>
      </c>
      <c r="BH403" t="str">
        <f t="shared" si="187"/>
        <v>Neutral</v>
      </c>
      <c r="BI403" s="32">
        <f t="shared" si="188"/>
        <v>4</v>
      </c>
    </row>
    <row r="404" spans="1:61" x14ac:dyDescent="0.45">
      <c r="A404" s="30">
        <f>step3_validation[[#This Row],[Persona_ID]]</f>
        <v>403</v>
      </c>
      <c r="B404" s="31">
        <f>step3_validation[[#This Row],[Used_Seed]]</f>
        <v>403</v>
      </c>
      <c r="C404" t="str">
        <f>step3_validation[[#This Row],[Gender]]</f>
        <v>Nữ</v>
      </c>
      <c r="D404" t="str">
        <f>survey_responses[[#This Row],[Giới tính của bạn:]]</f>
        <v>Nữ</v>
      </c>
      <c r="E404" t="str">
        <f>step3_validation[[#This Row],[Age_Group]]</f>
        <v>25 - 29</v>
      </c>
      <c r="F404" t="str">
        <f>survey_responses[[#This Row],[Độ tuổi của bạn:]]</f>
        <v>25 - 29</v>
      </c>
      <c r="G404" t="str">
        <f>step3_validation[[#This Row],[Region]]</f>
        <v>Thành thị</v>
      </c>
      <c r="H404" t="str">
        <f>survey_responses[[#This Row],[Khu vực bạn đang sinh sống:]]</f>
        <v>Thành thị</v>
      </c>
      <c r="I404" t="str">
        <f>step3_validation[[#This Row],[Education]]</f>
        <v>Đại học</v>
      </c>
      <c r="J404" t="str">
        <f>survey_responses[[#This Row],[Trình độ học vấn cao nhất:]]</f>
        <v>Đại học</v>
      </c>
      <c r="K404" t="str">
        <f>step3_validation[[#This Row],[Employment]]</f>
        <v>Chính thức</v>
      </c>
      <c r="L404" t="str">
        <f>survey_responses[[#This Row],[Tình trạng việc làm chính:]]</f>
        <v>Khu vực chính thức (Có Hợp đồng lao động, đóng BHXH)</v>
      </c>
      <c r="M404">
        <f>step3_validation[[#This Row],[Income_Mil]]</f>
        <v>24.420858224223796</v>
      </c>
      <c r="N404" t="str">
        <f>survey_responses[[#This Row],[Thu nhập bình quân tháng theo Hợp đồng lao động của bạn là bao nhiêu? (Vui lòng điền tổng thu nhập trước khi khấu trừ các loại Bảo hiểm (BHXH, BHYT, BHTN) và Thuế TNCN)]]</f>
        <v>Từ 23 - 32 triệu VNĐ</v>
      </c>
      <c r="O404">
        <f>step3_validation[[#This Row],[Dependents]]</f>
        <v>0</v>
      </c>
      <c r="P404" t="str">
        <f>survey_responses[[#This Row],[Số người phụ thuộc (con nhỏ, cha mẹ già...) đủ điều kiện giảm trừ gia cảnh:]]</f>
        <v>0 người</v>
      </c>
      <c r="Q404">
        <f>step3_validation[[#This Row],[AI_ENF1]]</f>
        <v>7</v>
      </c>
      <c r="R404" t="str">
        <f t="shared" si="162"/>
        <v>Neutral</v>
      </c>
      <c r="S404">
        <f>survey_responses[[#This Row],[Tôi tin rằng với các quy định quản lý thuế hiện nay, hành vi gian lận hoặc trốn thuế sẽ dễ dàng bị phát hiện và xử lý nghiêm. - HUMAN-ENF1]]</f>
        <v>7</v>
      </c>
      <c r="T404" t="str">
        <f t="shared" si="163"/>
        <v>Neutral</v>
      </c>
      <c r="U404" s="32">
        <f t="shared" si="164"/>
        <v>0</v>
      </c>
      <c r="V404">
        <f>step3_validation[[#This Row],[AI_ENF2]]</f>
        <v>6</v>
      </c>
      <c r="W404" t="str">
        <f t="shared" si="165"/>
        <v>Neutral</v>
      </c>
      <c r="X404">
        <f>survey_responses[[#This Row],[Tôi tin rằng Nhà nước, cơ quan thuế có đủ khả năng và công nghệ để phát hiện, xử lý nghiêm các hành vi trốn thuế. - HUMAN-ENF2]]</f>
        <v>7</v>
      </c>
      <c r="Y404" t="str">
        <f t="shared" si="166"/>
        <v>Neutral</v>
      </c>
      <c r="Z404" s="32">
        <f t="shared" si="167"/>
        <v>1</v>
      </c>
      <c r="AA404">
        <f>step3_validation[[#This Row],[AI_FAC1]]</f>
        <v>8</v>
      </c>
      <c r="AB404" t="str">
        <f t="shared" si="168"/>
        <v>Support</v>
      </c>
      <c r="AC404">
        <f>survey_responses[[#This Row],[Các thủ tục khai báo thuế VÀ/HOẶC quy trình làm việc với cơ quan thuế đơn giản, tiện lợi, nhanh chóng hơn so với trước đây. - HUMAN-FAC1]]</f>
        <v>7</v>
      </c>
      <c r="AD404" t="str">
        <f t="shared" si="169"/>
        <v>Neutral</v>
      </c>
      <c r="AE404" s="32">
        <f t="shared" si="170"/>
        <v>1</v>
      </c>
      <c r="AF404">
        <f>step3_validation[[#This Row],[AI_FAC2]]</f>
        <v>9</v>
      </c>
      <c r="AG404" t="str">
        <f t="shared" si="171"/>
        <v>Support</v>
      </c>
      <c r="AH404">
        <f>survey_responses[[#This Row],[So với trước đây, tôi thấy cách tính thuế và các bậc thuế trong phương án mới đơn giản, dễ hiểu và dễ thực hiện hơn. - HUMAN-FAC2]]</f>
        <v>7</v>
      </c>
      <c r="AI404" t="str">
        <f t="shared" si="172"/>
        <v>Neutral</v>
      </c>
      <c r="AJ404" s="32">
        <f t="shared" si="173"/>
        <v>2</v>
      </c>
      <c r="AK404">
        <f>step3_validation[[#This Row],[AI_TRU1]]</f>
        <v>8</v>
      </c>
      <c r="AL404" t="str">
        <f t="shared" si="174"/>
        <v>Support</v>
      </c>
      <c r="AM404">
        <f>survey_responses[[#This Row],[Tôi tin rằng Nhà nước, cơ quan thuế sẽ thực thi chính sách mới một cách khách quan, công tâm và đối xử bình đẳng với mọi người nộp thuế.  - HUMAN-TRU1]]</f>
        <v>7</v>
      </c>
      <c r="AN404" t="str">
        <f t="shared" si="175"/>
        <v>Neutral</v>
      </c>
      <c r="AO404" s="32">
        <f t="shared" si="176"/>
        <v>1</v>
      </c>
      <c r="AP404">
        <f>step3_validation[[#This Row],[AI_TRU2]]</f>
        <v>9</v>
      </c>
      <c r="AQ404" t="str">
        <f t="shared" si="177"/>
        <v>Support</v>
      </c>
      <c r="AR404">
        <f>survey_responses[[#This Row],[Tôi thấy mức thuế tôi phải đóng theo phương án mới là công bằng (người thu nhập như tôi đóng mức này là hợp lý). - HUMAN-TRU2]]</f>
        <v>7</v>
      </c>
      <c r="AS404" t="str">
        <f t="shared" si="178"/>
        <v>Neutral</v>
      </c>
      <c r="AT404" s="32">
        <f t="shared" si="179"/>
        <v>2</v>
      </c>
      <c r="AU404">
        <f>step3_validation[[#This Row],[AI_TRU3]]</f>
        <v>8</v>
      </c>
      <c r="AV404" t="str">
        <f t="shared" si="180"/>
        <v>Support</v>
      </c>
      <c r="AW404">
        <f>survey_responses[[#This Row],[Tôi tin tưởng số tiền thuế tôi đóng sẽ được Nhà nước sử dụng hiệu quả để cải thiện dịch vụ công (y tế, đường xá...). - HUMAN-TRU3]]</f>
        <v>7</v>
      </c>
      <c r="AX404" t="str">
        <f t="shared" si="181"/>
        <v>Neutral</v>
      </c>
      <c r="AY404" s="32">
        <f t="shared" si="182"/>
        <v>1</v>
      </c>
      <c r="AZ404">
        <f>step3_validation[[#This Row],[AI_TRU4]]</f>
        <v>7</v>
      </c>
      <c r="BA404" t="str">
        <f t="shared" si="183"/>
        <v>Neutral</v>
      </c>
      <c r="BB404">
        <f>survey_responses[[#This Row],[Tôi thấy Nhà nước đã giải thích rõ ràng, minh bạch về lý do và mục tiêu của việc sửa đổi thuế lần này. - HUMAN-TRU4]]</f>
        <v>7</v>
      </c>
      <c r="BC404" t="str">
        <f t="shared" si="184"/>
        <v>Neutral</v>
      </c>
      <c r="BD404" s="32">
        <f t="shared" si="185"/>
        <v>0</v>
      </c>
      <c r="BE404">
        <f>step3_validation[[#This Row],[AI_OUT1]]</f>
        <v>9</v>
      </c>
      <c r="BF404" t="str">
        <f t="shared" si="186"/>
        <v>Support</v>
      </c>
      <c r="BG404">
        <f>survey_responses[[#This Row],[Sau khi xem xét các quyền lợi và nghĩa vụ, bạn có ủng hộ và tuân thủ chính sách mới hiện nay? - HUMAN-OUT1]]</f>
        <v>7</v>
      </c>
      <c r="BH404" t="str">
        <f t="shared" si="187"/>
        <v>Neutral</v>
      </c>
      <c r="BI404" s="32">
        <f t="shared" si="188"/>
        <v>2</v>
      </c>
    </row>
    <row r="405" spans="1:61" x14ac:dyDescent="0.45">
      <c r="U405">
        <f>AVERAGE(U2:U404)</f>
        <v>1.9602977667493797</v>
      </c>
      <c r="Z405">
        <f>AVERAGE(Z2:Z404)</f>
        <v>1.8808933002481389</v>
      </c>
      <c r="AE405">
        <f>AVERAGE(AE2:AE404)</f>
        <v>2.6923076923076925</v>
      </c>
      <c r="AJ405">
        <f>AVERAGE(AJ2:AJ404)</f>
        <v>1.8883374689826302</v>
      </c>
      <c r="AO405">
        <f>AVERAGE(AO2:AO404)</f>
        <v>2.1861042183622827</v>
      </c>
      <c r="AT405">
        <f>AVERAGE(AT2:AT404)</f>
        <v>2.4615384615384617</v>
      </c>
      <c r="AY405">
        <f>AVERAGE(AY2:AY404)</f>
        <v>2.5186104218362284</v>
      </c>
      <c r="BD405">
        <f>AVERAGE(BD2:BD404)</f>
        <v>1.9875930521091811</v>
      </c>
      <c r="BI405">
        <f>AVERAGE(BI2:BI404)</f>
        <v>2.2431761786600495</v>
      </c>
    </row>
    <row r="406" spans="1:61" x14ac:dyDescent="0.45">
      <c r="Q406" t="s">
        <v>1</v>
      </c>
      <c r="R406">
        <f>COUNTIF($R$2:$R$404,"Oppose")</f>
        <v>6</v>
      </c>
      <c r="S406" t="s">
        <v>1</v>
      </c>
      <c r="T406">
        <f>COUNTIF($T$2:$T$404,"Oppose")</f>
        <v>55</v>
      </c>
      <c r="V406" t="s">
        <v>1</v>
      </c>
      <c r="W406">
        <f>COUNTIF($W$2:$W$404,"Oppose")</f>
        <v>2</v>
      </c>
      <c r="X406" t="s">
        <v>1</v>
      </c>
      <c r="Y406">
        <f>COUNTIF($Y$2:$Y$404,"Oppose")</f>
        <v>45</v>
      </c>
      <c r="AA406" t="s">
        <v>1</v>
      </c>
      <c r="AB406">
        <f>COUNTIF($AB$2:$AB$404,"Oppose")</f>
        <v>0</v>
      </c>
      <c r="AC406" t="s">
        <v>1</v>
      </c>
      <c r="AD406">
        <f>COUNTIF($AD$2:$AD$404,"Oppose")</f>
        <v>83</v>
      </c>
      <c r="AF406" t="s">
        <v>1</v>
      </c>
      <c r="AG406">
        <f>COUNTIF($AG$2:$AG$404,"Oppose")</f>
        <v>0</v>
      </c>
      <c r="AH406" t="s">
        <v>1</v>
      </c>
      <c r="AI406">
        <f>COUNTIF($AI$2:$AI$404,"Oppose")</f>
        <v>21</v>
      </c>
      <c r="AK406" t="s">
        <v>1</v>
      </c>
      <c r="AL406">
        <f>COUNTIF($AL$2:$AL$404,"Oppose")</f>
        <v>1</v>
      </c>
      <c r="AM406" t="s">
        <v>1</v>
      </c>
      <c r="AN406">
        <f>COUNTIF($AN$2:$AN$404,"Oppose")</f>
        <v>57</v>
      </c>
      <c r="AP406" t="s">
        <v>1</v>
      </c>
      <c r="AQ406">
        <f>COUNTIF($AQ$2:$AQ$404,"Oppose")</f>
        <v>0</v>
      </c>
      <c r="AR406" t="s">
        <v>1</v>
      </c>
      <c r="AS406">
        <f>COUNTIF($AS$2:$AS$404,"Oppose")</f>
        <v>70</v>
      </c>
      <c r="AU406" t="s">
        <v>1</v>
      </c>
      <c r="AV406">
        <f>COUNTIF($AV$2:$AV$404,"Oppose")</f>
        <v>0</v>
      </c>
      <c r="AW406" t="s">
        <v>1</v>
      </c>
      <c r="AX406">
        <f>COUNTIF($AX$2:$AX$404,"Oppose")</f>
        <v>72</v>
      </c>
      <c r="AZ406" t="s">
        <v>1</v>
      </c>
      <c r="BA406">
        <f>COUNTIF($BA$2:$BA$404,"Oppose")</f>
        <v>0</v>
      </c>
      <c r="BB406" t="s">
        <v>1</v>
      </c>
      <c r="BC406">
        <f>COUNTIF($BC$2:$BC$404,"Oppose")</f>
        <v>46</v>
      </c>
      <c r="BE406" t="s">
        <v>1</v>
      </c>
      <c r="BF406">
        <f>COUNTIF($BF$2:$BF$404,"Oppose")</f>
        <v>0</v>
      </c>
      <c r="BG406" t="s">
        <v>1</v>
      </c>
      <c r="BH406">
        <f>COUNTIF($BH$2:$BH$404,"Oppose")</f>
        <v>35</v>
      </c>
    </row>
    <row r="407" spans="1:61" x14ac:dyDescent="0.45">
      <c r="Q407" t="s">
        <v>2</v>
      </c>
      <c r="R407">
        <f>COUNTIF($R$2:$R$404,"Neutral")</f>
        <v>269</v>
      </c>
      <c r="S407" t="s">
        <v>2</v>
      </c>
      <c r="T407">
        <f>COUNTIF($T$2:$T$404,"Neutral")</f>
        <v>180</v>
      </c>
      <c r="V407" t="s">
        <v>2</v>
      </c>
      <c r="W407">
        <f>COUNTIF($W$2:$W$404,"Neutral")</f>
        <v>204</v>
      </c>
      <c r="X407" t="s">
        <v>2</v>
      </c>
      <c r="Y407">
        <f>COUNTIF($Y$2:$Y$404,"Neutral")</f>
        <v>166</v>
      </c>
      <c r="AA407" t="s">
        <v>2</v>
      </c>
      <c r="AB407">
        <f>COUNTIF($AB$2:$AB$404,"Neutral")</f>
        <v>79</v>
      </c>
      <c r="AC407" t="s">
        <v>2</v>
      </c>
      <c r="AD407">
        <f>COUNTIF($AD$2:$AD$404,"Neutral")</f>
        <v>177</v>
      </c>
      <c r="AF407" t="s">
        <v>2</v>
      </c>
      <c r="AG407">
        <f>COUNTIF($AG$2:$AG$404,"Neutral")</f>
        <v>19</v>
      </c>
      <c r="AH407" t="s">
        <v>2</v>
      </c>
      <c r="AI407">
        <f>COUNTIF($AI$2:$AI$404,"Neutral")</f>
        <v>185</v>
      </c>
      <c r="AK407" t="s">
        <v>2</v>
      </c>
      <c r="AL407">
        <f>COUNTIF($AL$2:$AL$404,"Neutral")</f>
        <v>173</v>
      </c>
      <c r="AM407" t="s">
        <v>2</v>
      </c>
      <c r="AN407">
        <f>COUNTIF($AN$2:$AN$404,"Neutral")</f>
        <v>218</v>
      </c>
      <c r="AP407" t="s">
        <v>2</v>
      </c>
      <c r="AQ407">
        <f>COUNTIF($AQ$2:$AQ$404,"Neutral")</f>
        <v>16</v>
      </c>
      <c r="AR407" t="s">
        <v>2</v>
      </c>
      <c r="AS407">
        <f>COUNTIF($AS$2:$AS$404,"Neutral")</f>
        <v>178</v>
      </c>
      <c r="AU407" t="s">
        <v>2</v>
      </c>
      <c r="AV407">
        <f>COUNTIF($AV$2:$AV$404,"Neutral")</f>
        <v>163</v>
      </c>
      <c r="AW407" t="s">
        <v>2</v>
      </c>
      <c r="AX407">
        <f>COUNTIF($AX$2:$AX$404,"Neutral")</f>
        <v>217</v>
      </c>
      <c r="AZ407" t="s">
        <v>2</v>
      </c>
      <c r="BA407">
        <f>COUNTIF($BA$2:$BA$404,"Neutral")</f>
        <v>201</v>
      </c>
      <c r="BB407" t="s">
        <v>2</v>
      </c>
      <c r="BC407">
        <f>COUNTIF($BC$2:$BC$404,"Neutral")</f>
        <v>235</v>
      </c>
      <c r="BE407" t="s">
        <v>2</v>
      </c>
      <c r="BF407">
        <f>COUNTIF($BF$2:$BF$404,"Neutral")</f>
        <v>20</v>
      </c>
      <c r="BG407" t="s">
        <v>2</v>
      </c>
      <c r="BH407">
        <f>COUNTIF($BH$2:$BH$404,"Neutral")</f>
        <v>194</v>
      </c>
    </row>
    <row r="408" spans="1:61" x14ac:dyDescent="0.45">
      <c r="Q408" t="s">
        <v>3</v>
      </c>
      <c r="R408">
        <f>COUNTIF($R$2:$R$404,"Support")</f>
        <v>128</v>
      </c>
      <c r="S408" t="s">
        <v>3</v>
      </c>
      <c r="T408">
        <f>COUNTIF($T$2:$T$404,"Support")</f>
        <v>168</v>
      </c>
      <c r="V408" t="s">
        <v>3</v>
      </c>
      <c r="W408">
        <f>COUNTIF($W$2:$W$404,"Support")</f>
        <v>197</v>
      </c>
      <c r="X408" t="s">
        <v>3</v>
      </c>
      <c r="Y408">
        <f>COUNTIF($Y$2:$Y$404,"Support")</f>
        <v>192</v>
      </c>
      <c r="AA408" t="s">
        <v>3</v>
      </c>
      <c r="AB408">
        <f>COUNTIF($AB$2:$AB$404,"Support")</f>
        <v>324</v>
      </c>
      <c r="AC408" t="s">
        <v>3</v>
      </c>
      <c r="AD408">
        <f>COUNTIF($AD$2:$AD$404,"Support")</f>
        <v>143</v>
      </c>
      <c r="AF408" t="s">
        <v>3</v>
      </c>
      <c r="AG408">
        <f>COUNTIF($AG$2:$AG$404,"Support")</f>
        <v>384</v>
      </c>
      <c r="AH408" t="s">
        <v>3</v>
      </c>
      <c r="AI408">
        <f>COUNTIF($AI$2:$AI$404,"Support")</f>
        <v>197</v>
      </c>
      <c r="AK408" t="s">
        <v>3</v>
      </c>
      <c r="AL408">
        <f>COUNTIF($AL$2:$AL$404,"Support")</f>
        <v>227</v>
      </c>
      <c r="AM408" t="s">
        <v>3</v>
      </c>
      <c r="AN408">
        <f>COUNTIF($AN$2:$AN$404,"Support")</f>
        <v>128</v>
      </c>
      <c r="AP408" t="s">
        <v>3</v>
      </c>
      <c r="AQ408">
        <f>COUNTIF($AQ$2:$AQ$404,"Support")</f>
        <v>385</v>
      </c>
      <c r="AR408" t="s">
        <v>3</v>
      </c>
      <c r="AS408">
        <f>COUNTIF($AS$2:$AS$404,"Support")</f>
        <v>155</v>
      </c>
      <c r="AU408" t="s">
        <v>3</v>
      </c>
      <c r="AV408">
        <f>COUNTIF($AV$2:$AV$404,"Support")</f>
        <v>238</v>
      </c>
      <c r="AW408" t="s">
        <v>3</v>
      </c>
      <c r="AX408">
        <f>COUNTIF($AX$2:$AX$404,"Support")</f>
        <v>114</v>
      </c>
      <c r="AZ408" t="s">
        <v>3</v>
      </c>
      <c r="BA408">
        <f>COUNTIF($BA$2:$BA$404,"Support")</f>
        <v>200</v>
      </c>
      <c r="BB408" t="s">
        <v>3</v>
      </c>
      <c r="BC408">
        <f>COUNTIF($BC$2:$BC$404,"Support")</f>
        <v>122</v>
      </c>
      <c r="BE408" t="s">
        <v>3</v>
      </c>
      <c r="BF408">
        <f>COUNTIF($BF$2:$BF$404,"Support")</f>
        <v>380</v>
      </c>
      <c r="BG408" t="s">
        <v>3</v>
      </c>
      <c r="BH408">
        <f>COUNTIF($BH$2:$BH$404,"Support")</f>
        <v>174</v>
      </c>
    </row>
    <row r="409" spans="1:61" x14ac:dyDescent="0.45">
      <c r="R409">
        <f>SUM(R406:R408)</f>
        <v>403</v>
      </c>
      <c r="T409">
        <f>SUM(T406:T408)</f>
        <v>403</v>
      </c>
      <c r="W409">
        <f>SUM(W406:W408)</f>
        <v>403</v>
      </c>
      <c r="Y409">
        <f>SUM(Y406:Y408)</f>
        <v>403</v>
      </c>
      <c r="AB409">
        <f>SUM(AB406:AB408)</f>
        <v>403</v>
      </c>
      <c r="AD409">
        <f>SUM(AD406:AD408)</f>
        <v>403</v>
      </c>
      <c r="AG409">
        <f>SUM(AG406:AG408)</f>
        <v>403</v>
      </c>
      <c r="AI409">
        <f>SUM(AI406:AI408)</f>
        <v>403</v>
      </c>
      <c r="AL409">
        <f>SUM(AL406:AL408)</f>
        <v>401</v>
      </c>
      <c r="AN409">
        <f>SUM(AN406:AN408)</f>
        <v>403</v>
      </c>
      <c r="AQ409">
        <f>SUM(AQ406:AQ408)</f>
        <v>401</v>
      </c>
      <c r="AS409">
        <f>SUM(AS406:AS408)</f>
        <v>403</v>
      </c>
      <c r="AV409">
        <f>SUM(AV406:AV408)</f>
        <v>401</v>
      </c>
      <c r="AX409">
        <f>SUM(AX406:AX408)</f>
        <v>403</v>
      </c>
      <c r="BA409">
        <f>SUM(BA406:BA408)</f>
        <v>401</v>
      </c>
      <c r="BC409">
        <f>SUM(BC406:BC408)</f>
        <v>403</v>
      </c>
      <c r="BF409">
        <f>SUM(BF406:BF408)</f>
        <v>400</v>
      </c>
      <c r="BH409">
        <f>SUM(BH406:BH408)</f>
        <v>403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156B3-4301-4BDB-8555-EADDFD44B655}">
  <dimension ref="A1:BI405"/>
  <sheetViews>
    <sheetView topLeftCell="AP375" workbookViewId="0">
      <selection activeCell="BD2" sqref="BD2:BD404"/>
    </sheetView>
  </sheetViews>
  <sheetFormatPr defaultRowHeight="14.25" x14ac:dyDescent="0.45"/>
  <cols>
    <col min="1" max="16" width="0" hidden="1" customWidth="1"/>
  </cols>
  <sheetData>
    <row r="1" spans="1:61" s="23" customFormat="1" x14ac:dyDescent="0.45">
      <c r="A1" s="17" t="s">
        <v>37</v>
      </c>
      <c r="B1" s="18" t="s">
        <v>198</v>
      </c>
      <c r="C1" s="18" t="s">
        <v>112</v>
      </c>
      <c r="D1" s="18" t="s">
        <v>113</v>
      </c>
      <c r="E1" s="18" t="s">
        <v>114</v>
      </c>
      <c r="F1" s="18" t="s">
        <v>115</v>
      </c>
      <c r="G1" s="18" t="s">
        <v>116</v>
      </c>
      <c r="H1" s="18" t="s">
        <v>117</v>
      </c>
      <c r="I1" s="18" t="s">
        <v>118</v>
      </c>
      <c r="J1" s="18" t="s">
        <v>119</v>
      </c>
      <c r="K1" s="18" t="s">
        <v>120</v>
      </c>
      <c r="L1" s="18" t="s">
        <v>121</v>
      </c>
      <c r="M1" s="18" t="s">
        <v>122</v>
      </c>
      <c r="N1" s="18" t="s">
        <v>123</v>
      </c>
      <c r="O1" s="18" t="s">
        <v>124</v>
      </c>
      <c r="P1" s="18" t="s">
        <v>125</v>
      </c>
      <c r="Q1" s="21" t="s">
        <v>45</v>
      </c>
      <c r="R1" s="21" t="s">
        <v>231</v>
      </c>
      <c r="S1" s="21" t="s">
        <v>126</v>
      </c>
      <c r="T1" s="21" t="s">
        <v>232</v>
      </c>
      <c r="U1" s="22" t="s">
        <v>48</v>
      </c>
      <c r="V1" s="22" t="s">
        <v>233</v>
      </c>
      <c r="W1" s="22" t="s">
        <v>131</v>
      </c>
      <c r="X1" s="22" t="s">
        <v>234</v>
      </c>
      <c r="Y1" s="18" t="s">
        <v>248</v>
      </c>
      <c r="Z1" s="20" t="s">
        <v>249</v>
      </c>
      <c r="AA1" s="21" t="s">
        <v>51</v>
      </c>
      <c r="AB1" s="21" t="s">
        <v>235</v>
      </c>
      <c r="AC1" s="21" t="s">
        <v>135</v>
      </c>
      <c r="AD1" s="21" t="s">
        <v>236</v>
      </c>
      <c r="AE1" s="22" t="s">
        <v>54</v>
      </c>
      <c r="AF1" s="22" t="s">
        <v>237</v>
      </c>
      <c r="AG1" s="22" t="s">
        <v>139</v>
      </c>
      <c r="AH1" s="22" t="s">
        <v>238</v>
      </c>
      <c r="AI1" s="18" t="s">
        <v>250</v>
      </c>
      <c r="AJ1" s="22" t="s">
        <v>251</v>
      </c>
      <c r="AK1" s="21" t="s">
        <v>57</v>
      </c>
      <c r="AL1" s="21" t="s">
        <v>239</v>
      </c>
      <c r="AM1" s="21" t="s">
        <v>143</v>
      </c>
      <c r="AN1" s="21" t="s">
        <v>240</v>
      </c>
      <c r="AO1" s="22" t="s">
        <v>60</v>
      </c>
      <c r="AP1" s="22" t="s">
        <v>241</v>
      </c>
      <c r="AQ1" s="22" t="s">
        <v>147</v>
      </c>
      <c r="AR1" s="22" t="s">
        <v>242</v>
      </c>
      <c r="AS1" s="21" t="s">
        <v>63</v>
      </c>
      <c r="AT1" s="21" t="s">
        <v>243</v>
      </c>
      <c r="AU1" s="21" t="s">
        <v>151</v>
      </c>
      <c r="AV1" s="21" t="s">
        <v>244</v>
      </c>
      <c r="AW1" s="22" t="s">
        <v>66</v>
      </c>
      <c r="AX1" s="22" t="s">
        <v>245</v>
      </c>
      <c r="AY1" s="22" t="s">
        <v>155</v>
      </c>
      <c r="AZ1" s="22" t="s">
        <v>156</v>
      </c>
      <c r="BA1" s="21" t="s">
        <v>252</v>
      </c>
      <c r="BB1" s="22" t="s">
        <v>253</v>
      </c>
      <c r="BC1" s="22" t="s">
        <v>254</v>
      </c>
      <c r="BD1" s="22" t="s">
        <v>255</v>
      </c>
      <c r="BE1" s="21" t="s">
        <v>69</v>
      </c>
      <c r="BF1" s="21" t="s">
        <v>246</v>
      </c>
      <c r="BG1" s="21" t="s">
        <v>159</v>
      </c>
      <c r="BH1" s="21" t="s">
        <v>247</v>
      </c>
      <c r="BI1" s="21" t="s">
        <v>161</v>
      </c>
    </row>
    <row r="2" spans="1:61" x14ac:dyDescent="0.45">
      <c r="A2" s="30">
        <f>step3_validation[[#This Row],[Persona_ID]]</f>
        <v>1</v>
      </c>
      <c r="B2" s="31">
        <f>step3_validation[[#This Row],[Used_Seed]]</f>
        <v>1</v>
      </c>
      <c r="C2" t="str">
        <f>step3_validation[[#This Row],[Gender]]</f>
        <v>Nữ</v>
      </c>
      <c r="D2" t="str">
        <f>survey_responses[[#This Row],[Giới tính của bạn:]]</f>
        <v>Nữ</v>
      </c>
      <c r="E2" t="str">
        <f>step3_validation[[#This Row],[Age_Group]]</f>
        <v>25 - 29</v>
      </c>
      <c r="F2" t="str">
        <f>survey_responses[[#This Row],[Độ tuổi của bạn:]]</f>
        <v>25 - 29</v>
      </c>
      <c r="G2" t="str">
        <f>step3_validation[[#This Row],[Region]]</f>
        <v>Thành thị</v>
      </c>
      <c r="H2" t="str">
        <f>survey_responses[[#This Row],[Khu vực bạn đang sinh sống:]]</f>
        <v>Thành thị</v>
      </c>
      <c r="I2" t="str">
        <f>step3_validation[[#This Row],[Education]]</f>
        <v>Đại học</v>
      </c>
      <c r="J2" t="str">
        <f>survey_responses[[#This Row],[Trình độ học vấn cao nhất:]]</f>
        <v>Đại học</v>
      </c>
      <c r="K2" t="str">
        <f>step3_validation[[#This Row],[Employment]]</f>
        <v>Chính thức</v>
      </c>
      <c r="L2" t="str">
        <f>survey_responses[[#This Row],[Tình trạng việc làm chính:]]</f>
        <v>Khu vực chính thức (Có Hợp đồng lao động, đóng BHXH)</v>
      </c>
      <c r="M2">
        <f>step3_validation[[#This Row],[Income_Mil]]</f>
        <v>14.559108123501284</v>
      </c>
      <c r="N2" t="str">
        <f>survey_responses[[#This Row],[Thu nhập bình quân tháng theo Hợp đồng lao động của bạn là bao nhiêu? (Vui lòng điền tổng thu nhập trước khi khấu trừ các loại Bảo hiểm (BHXH, BHYT, BHTN) và Thuế TNCN)]]</f>
        <v>Từ 12 - 18 triệu VNĐ</v>
      </c>
      <c r="O2">
        <f>step3_validation[[#This Row],[Dependents]]</f>
        <v>1</v>
      </c>
      <c r="P2" t="str">
        <f>survey_responses[[#This Row],[Số người phụ thuộc (con nhỏ, cha mẹ già...) đủ điều kiện giảm trừ gia cảnh:]]</f>
        <v>1 người</v>
      </c>
      <c r="Q2">
        <f>step3_validation[[#This Row],[AI_ENF1]]</f>
        <v>6</v>
      </c>
      <c r="R2">
        <f>(Q2-1)/9</f>
        <v>0.55555555555555558</v>
      </c>
      <c r="S2">
        <f>survey_responses[[#This Row],[Tôi tin rằng với các quy định quản lý thuế hiện nay, hành vi gian lận hoặc trốn thuế sẽ dễ dàng bị phát hiện và xử lý nghiêm. - HUMAN-ENF1]]</f>
        <v>10</v>
      </c>
      <c r="T2">
        <f>(S2-1)/9</f>
        <v>1</v>
      </c>
      <c r="U2">
        <f>step3_validation[[#This Row],[AI_ENF2]]</f>
        <v>7</v>
      </c>
      <c r="V2">
        <f>(U2-1)/9</f>
        <v>0.66666666666666663</v>
      </c>
      <c r="W2">
        <f>survey_responses[[#This Row],[Tôi tin rằng Nhà nước, cơ quan thuế có đủ khả năng và công nghệ để phát hiện, xử lý nghiêm các hành vi trốn thuế. - HUMAN-ENF2]]</f>
        <v>8</v>
      </c>
      <c r="X2">
        <f>(W2-1)/9</f>
        <v>0.77777777777777779</v>
      </c>
      <c r="Y2" s="32">
        <f>AVERAGE(R2,V2)</f>
        <v>0.61111111111111116</v>
      </c>
      <c r="Z2" s="32">
        <f>AVERAGE(T2,X2)</f>
        <v>0.88888888888888884</v>
      </c>
      <c r="AA2">
        <f>step3_validation[[#This Row],[AI_FAC1]]</f>
        <v>8</v>
      </c>
      <c r="AB2">
        <f>(AA2-1)/9</f>
        <v>0.77777777777777779</v>
      </c>
      <c r="AC2">
        <f>survey_responses[[#This Row],[Các thủ tục khai báo thuế VÀ/HOẶC quy trình làm việc với cơ quan thuế đơn giản, tiện lợi, nhanh chóng hơn so với trước đây. - HUMAN-FAC1]]</f>
        <v>5</v>
      </c>
      <c r="AD2">
        <f>(AC2-1)/9</f>
        <v>0.44444444444444442</v>
      </c>
      <c r="AE2">
        <f>step3_validation[[#This Row],[AI_FAC2]]</f>
        <v>9</v>
      </c>
      <c r="AF2">
        <f>(AE2-1)/9</f>
        <v>0.88888888888888884</v>
      </c>
      <c r="AG2">
        <f>survey_responses[[#This Row],[So với trước đây, tôi thấy cách tính thuế và các bậc thuế trong phương án mới đơn giản, dễ hiểu và dễ thực hiện hơn. - HUMAN-FAC2]]</f>
        <v>5</v>
      </c>
      <c r="AH2">
        <f>(AG2-1)/9</f>
        <v>0.44444444444444442</v>
      </c>
      <c r="AI2" s="32">
        <f>AVERAGE(AB2,AF2)</f>
        <v>0.83333333333333326</v>
      </c>
      <c r="AJ2" s="32">
        <f>AVERAGE(AD2,AH2)</f>
        <v>0.44444444444444442</v>
      </c>
      <c r="AK2">
        <f>step3_validation[[#This Row],[AI_TRU1]]</f>
        <v>0</v>
      </c>
      <c r="AL2">
        <f>(AK2-1)/9</f>
        <v>-0.1111111111111111</v>
      </c>
      <c r="AM2">
        <f>survey_responses[[#This Row],[Tôi tin rằng Nhà nước, cơ quan thuế sẽ thực thi chính sách mới một cách khách quan, công tâm và đối xử bình đẳng với mọi người nộp thuế.  - HUMAN-TRU1]]</f>
        <v>10</v>
      </c>
      <c r="AN2">
        <f>(AM2-1)/9</f>
        <v>1</v>
      </c>
      <c r="AO2">
        <f>step3_validation[[#This Row],[AI_TRU2]]</f>
        <v>0</v>
      </c>
      <c r="AP2">
        <f>(AO2-1)/9</f>
        <v>-0.1111111111111111</v>
      </c>
      <c r="AQ2">
        <f>survey_responses[[#This Row],[Tôi thấy mức thuế tôi phải đóng theo phương án mới là công bằng (người thu nhập như tôi đóng mức này là hợp lý). - HUMAN-TRU2]]</f>
        <v>10</v>
      </c>
      <c r="AR2">
        <f>(AQ2-1)/9</f>
        <v>1</v>
      </c>
      <c r="AS2">
        <f>step3_validation[[#This Row],[AI_TRU3]]</f>
        <v>0</v>
      </c>
      <c r="AT2">
        <f>(AS2-1)/9</f>
        <v>-0.1111111111111111</v>
      </c>
      <c r="AU2">
        <f>survey_responses[[#This Row],[Tôi tin tưởng số tiền thuế tôi đóng sẽ được Nhà nước sử dụng hiệu quả để cải thiện dịch vụ công (y tế, đường xá...). - HUMAN-TRU3]]</f>
        <v>10</v>
      </c>
      <c r="AV2">
        <f>(AU2-1)/9</f>
        <v>1</v>
      </c>
      <c r="AW2">
        <f>step3_validation[[#This Row],[AI_TRU4]]</f>
        <v>0</v>
      </c>
      <c r="AX2">
        <f>(AW2-1)/9</f>
        <v>-0.1111111111111111</v>
      </c>
      <c r="AY2">
        <f>survey_responses[[#This Row],[Tôi thấy Nhà nước đã giải thích rõ ràng, minh bạch về lý do và mục tiêu của việc sửa đổi thuế lần này. - HUMAN-TRU4]]</f>
        <v>10</v>
      </c>
      <c r="AZ2">
        <f>(AY2-1)/9</f>
        <v>1</v>
      </c>
      <c r="BA2" s="32">
        <f>AVERAGE(AL2,AP2,AT2,AX2)</f>
        <v>-0.1111111111111111</v>
      </c>
      <c r="BB2" s="32">
        <f>AVERAGE(AN2,AR2,AV2,AZ2)</f>
        <v>1</v>
      </c>
      <c r="BC2" s="7">
        <f>(Y2+AI2+BA2)/3</f>
        <v>0.44444444444444442</v>
      </c>
      <c r="BD2" s="7">
        <f>(Z2+AJ2+BB2)/3</f>
        <v>0.77777777777777768</v>
      </c>
      <c r="BE2">
        <f>step3_validation[[#This Row],[AI_OUT1]]</f>
        <v>0</v>
      </c>
      <c r="BF2">
        <f>(BE2-1)/9</f>
        <v>-0.1111111111111111</v>
      </c>
      <c r="BG2">
        <f>survey_responses[[#This Row],[Sau khi xem xét các quyền lợi và nghĩa vụ, bạn có ủng hộ và tuân thủ chính sách mới hiện nay? - HUMAN-OUT1]]</f>
        <v>10</v>
      </c>
      <c r="BH2">
        <f>(BG2-1)/9</f>
        <v>1</v>
      </c>
      <c r="BI2" s="32">
        <f>ABS(BG2-BE2)</f>
        <v>10</v>
      </c>
    </row>
    <row r="3" spans="1:61" x14ac:dyDescent="0.45">
      <c r="A3" s="30">
        <f>step3_validation[[#This Row],[Persona_ID]]</f>
        <v>2</v>
      </c>
      <c r="B3" s="31">
        <f>step3_validation[[#This Row],[Used_Seed]]</f>
        <v>2</v>
      </c>
      <c r="C3" t="str">
        <f>step3_validation[[#This Row],[Gender]]</f>
        <v>Nữ</v>
      </c>
      <c r="D3" t="str">
        <f>survey_responses[[#This Row],[Giới tính của bạn:]]</f>
        <v>Nữ</v>
      </c>
      <c r="E3" t="str">
        <f>step3_validation[[#This Row],[Age_Group]]</f>
        <v>25 - 29</v>
      </c>
      <c r="F3" t="str">
        <f>survey_responses[[#This Row],[Độ tuổi của bạn:]]</f>
        <v>25 - 29</v>
      </c>
      <c r="G3" t="str">
        <f>step3_validation[[#This Row],[Region]]</f>
        <v>Thành thị</v>
      </c>
      <c r="H3" t="str">
        <f>survey_responses[[#This Row],[Khu vực bạn đang sinh sống:]]</f>
        <v>Thành thị</v>
      </c>
      <c r="I3" t="str">
        <f>step3_validation[[#This Row],[Education]]</f>
        <v>Đại học</v>
      </c>
      <c r="J3" t="str">
        <f>survey_responses[[#This Row],[Trình độ học vấn cao nhất:]]</f>
        <v>Đại học</v>
      </c>
      <c r="K3" t="str">
        <f>step3_validation[[#This Row],[Employment]]</f>
        <v>Chính thức</v>
      </c>
      <c r="L3" t="str">
        <f>survey_responses[[#This Row],[Tình trạng việc làm chính:]]</f>
        <v>Khu vực chính thức (Có Hợp đồng lao động, đóng BHXH)</v>
      </c>
      <c r="M3">
        <f>step3_validation[[#This Row],[Income_Mil]]</f>
        <v>13.308060671246581</v>
      </c>
      <c r="N3" t="str">
        <f>survey_responses[[#This Row],[Thu nhập bình quân tháng theo Hợp đồng lao động của bạn là bao nhiêu? (Vui lòng điền tổng thu nhập trước khi khấu trừ các loại Bảo hiểm (BHXH, BHYT, BHTN) và Thuế TNCN)]]</f>
        <v>Từ 12 - 18 triệu VNĐ</v>
      </c>
      <c r="O3">
        <f>step3_validation[[#This Row],[Dependents]]</f>
        <v>0</v>
      </c>
      <c r="P3" t="str">
        <f>survey_responses[[#This Row],[Số người phụ thuộc (con nhỏ, cha mẹ già...) đủ điều kiện giảm trừ gia cảnh:]]</f>
        <v>0 người</v>
      </c>
      <c r="Q3">
        <f>step3_validation[[#This Row],[AI_ENF1]]</f>
        <v>7</v>
      </c>
      <c r="R3">
        <f t="shared" ref="R3:R66" si="0">(Q3-1)/9</f>
        <v>0.66666666666666663</v>
      </c>
      <c r="S3">
        <f>survey_responses[[#This Row],[Tôi tin rằng với các quy định quản lý thuế hiện nay, hành vi gian lận hoặc trốn thuế sẽ dễ dàng bị phát hiện và xử lý nghiêm. - HUMAN-ENF1]]</f>
        <v>8</v>
      </c>
      <c r="T3">
        <f t="shared" ref="T3:T66" si="1">(S3-1)/9</f>
        <v>0.77777777777777779</v>
      </c>
      <c r="U3">
        <f>step3_validation[[#This Row],[AI_ENF2]]</f>
        <v>8</v>
      </c>
      <c r="V3">
        <f t="shared" ref="V3:V66" si="2">(U3-1)/9</f>
        <v>0.77777777777777779</v>
      </c>
      <c r="W3">
        <f>survey_responses[[#This Row],[Tôi tin rằng Nhà nước, cơ quan thuế có đủ khả năng và công nghệ để phát hiện, xử lý nghiêm các hành vi trốn thuế. - HUMAN-ENF2]]</f>
        <v>8</v>
      </c>
      <c r="X3">
        <f t="shared" ref="X3:X66" si="3">(W3-1)/9</f>
        <v>0.77777777777777779</v>
      </c>
      <c r="Y3" s="32">
        <f t="shared" ref="Y3:Y66" si="4">AVERAGE(R3,V3)</f>
        <v>0.72222222222222221</v>
      </c>
      <c r="Z3" s="32">
        <f t="shared" ref="Z3:Z66" si="5">AVERAGE(T3,X3)</f>
        <v>0.77777777777777779</v>
      </c>
      <c r="AA3">
        <f>step3_validation[[#This Row],[AI_FAC1]]</f>
        <v>9</v>
      </c>
      <c r="AB3">
        <f t="shared" ref="AB3:AB66" si="6">(AA3-1)/9</f>
        <v>0.88888888888888884</v>
      </c>
      <c r="AC3">
        <f>survey_responses[[#This Row],[Các thủ tục khai báo thuế VÀ/HOẶC quy trình làm việc với cơ quan thuế đơn giản, tiện lợi, nhanh chóng hơn so với trước đây. - HUMAN-FAC1]]</f>
        <v>6</v>
      </c>
      <c r="AD3">
        <f t="shared" ref="AD3:AD66" si="7">(AC3-1)/9</f>
        <v>0.55555555555555558</v>
      </c>
      <c r="AE3">
        <f>step3_validation[[#This Row],[AI_FAC2]]</f>
        <v>10</v>
      </c>
      <c r="AF3">
        <f t="shared" ref="AF3:AF66" si="8">(AE3-1)/9</f>
        <v>1</v>
      </c>
      <c r="AG3">
        <f>survey_responses[[#This Row],[So với trước đây, tôi thấy cách tính thuế và các bậc thuế trong phương án mới đơn giản, dễ hiểu và dễ thực hiện hơn. - HUMAN-FAC2]]</f>
        <v>9</v>
      </c>
      <c r="AH3">
        <f t="shared" ref="AH3:AH66" si="9">(AG3-1)/9</f>
        <v>0.88888888888888884</v>
      </c>
      <c r="AI3" s="32">
        <f t="shared" ref="AI3:AI66" si="10">AVERAGE(AB3,AF3)</f>
        <v>0.94444444444444442</v>
      </c>
      <c r="AJ3" s="32">
        <f t="shared" ref="AJ3:AJ66" si="11">AVERAGE(AD3,AH3)</f>
        <v>0.72222222222222221</v>
      </c>
      <c r="AK3">
        <f>step3_validation[[#This Row],[AI_TRU1]]</f>
        <v>9</v>
      </c>
      <c r="AL3">
        <f t="shared" ref="AL3:AL66" si="12">(AK3-1)/9</f>
        <v>0.88888888888888884</v>
      </c>
      <c r="AM3">
        <f>survey_responses[[#This Row],[Tôi tin rằng Nhà nước, cơ quan thuế sẽ thực thi chính sách mới một cách khách quan, công tâm và đối xử bình đẳng với mọi người nộp thuế.  - HUMAN-TRU1]]</f>
        <v>10</v>
      </c>
      <c r="AN3">
        <f t="shared" ref="AN3:AN66" si="13">(AM3-1)/9</f>
        <v>1</v>
      </c>
      <c r="AO3">
        <f>step3_validation[[#This Row],[AI_TRU2]]</f>
        <v>8</v>
      </c>
      <c r="AP3">
        <f t="shared" ref="AP3:AP66" si="14">(AO3-1)/9</f>
        <v>0.77777777777777779</v>
      </c>
      <c r="AQ3">
        <f>survey_responses[[#This Row],[Tôi thấy mức thuế tôi phải đóng theo phương án mới là công bằng (người thu nhập như tôi đóng mức này là hợp lý). - HUMAN-TRU2]]</f>
        <v>9</v>
      </c>
      <c r="AR3">
        <f t="shared" ref="AR3:AR66" si="15">(AQ3-1)/9</f>
        <v>0.88888888888888884</v>
      </c>
      <c r="AS3">
        <f>step3_validation[[#This Row],[AI_TRU3]]</f>
        <v>9</v>
      </c>
      <c r="AT3">
        <f t="shared" ref="AT3:AT66" si="16">(AS3-1)/9</f>
        <v>0.88888888888888884</v>
      </c>
      <c r="AU3">
        <f>survey_responses[[#This Row],[Tôi tin tưởng số tiền thuế tôi đóng sẽ được Nhà nước sử dụng hiệu quả để cải thiện dịch vụ công (y tế, đường xá...). - HUMAN-TRU3]]</f>
        <v>8</v>
      </c>
      <c r="AV3">
        <f t="shared" ref="AV3:AV66" si="17">(AU3-1)/9</f>
        <v>0.77777777777777779</v>
      </c>
      <c r="AW3">
        <f>step3_validation[[#This Row],[AI_TRU4]]</f>
        <v>8</v>
      </c>
      <c r="AX3">
        <f t="shared" ref="AX3:AX66" si="18">(AW3-1)/9</f>
        <v>0.77777777777777779</v>
      </c>
      <c r="AY3">
        <f>survey_responses[[#This Row],[Tôi thấy Nhà nước đã giải thích rõ ràng, minh bạch về lý do và mục tiêu của việc sửa đổi thuế lần này. - HUMAN-TRU4]]</f>
        <v>9</v>
      </c>
      <c r="AZ3">
        <f t="shared" ref="AZ3:AZ66" si="19">(AY3-1)/9</f>
        <v>0.88888888888888884</v>
      </c>
      <c r="BA3" s="32">
        <f t="shared" ref="BA3:BA66" si="20">AVERAGE(AL3,AP3,AT3,AX3)</f>
        <v>0.83333333333333326</v>
      </c>
      <c r="BB3" s="32">
        <f t="shared" ref="BB3:BB66" si="21">AVERAGE(AN3,AR3,AV3,AZ3)</f>
        <v>0.88888888888888884</v>
      </c>
      <c r="BC3" s="7">
        <f t="shared" ref="BC3:BC66" si="22">(Y3+AI3+BA3)/3</f>
        <v>0.83333333333333337</v>
      </c>
      <c r="BD3" s="7">
        <f t="shared" ref="BD3:BD66" si="23">(Z3+AJ3+BB3)/3</f>
        <v>0.79629629629629628</v>
      </c>
      <c r="BE3">
        <f>step3_validation[[#This Row],[AI_OUT1]]</f>
        <v>9</v>
      </c>
      <c r="BF3">
        <f t="shared" ref="BF3:BF66" si="24">(BE3-1)/9</f>
        <v>0.88888888888888884</v>
      </c>
      <c r="BG3">
        <f>survey_responses[[#This Row],[Sau khi xem xét các quyền lợi và nghĩa vụ, bạn có ủng hộ và tuân thủ chính sách mới hiện nay? - HUMAN-OUT1]]</f>
        <v>10</v>
      </c>
      <c r="BH3">
        <f t="shared" ref="BH3:BH66" si="25">(BG3-1)/9</f>
        <v>1</v>
      </c>
      <c r="BI3" s="32">
        <f t="shared" ref="BI3:BI66" si="26">ABS(BG3-BE3)</f>
        <v>1</v>
      </c>
    </row>
    <row r="4" spans="1:61" x14ac:dyDescent="0.45">
      <c r="A4" s="30">
        <f>step3_validation[[#This Row],[Persona_ID]]</f>
        <v>3</v>
      </c>
      <c r="B4" s="31">
        <f>step3_validation[[#This Row],[Used_Seed]]</f>
        <v>3</v>
      </c>
      <c r="C4" t="str">
        <f>step3_validation[[#This Row],[Gender]]</f>
        <v>Nam</v>
      </c>
      <c r="D4" t="str">
        <f>survey_responses[[#This Row],[Giới tính của bạn:]]</f>
        <v>Nam</v>
      </c>
      <c r="E4" t="str">
        <f>step3_validation[[#This Row],[Age_Group]]</f>
        <v>40 - 49</v>
      </c>
      <c r="F4" t="str">
        <f>survey_responses[[#This Row],[Độ tuổi của bạn:]]</f>
        <v>40 - 49</v>
      </c>
      <c r="G4" t="str">
        <f>step3_validation[[#This Row],[Region]]</f>
        <v>Thành thị</v>
      </c>
      <c r="H4" t="str">
        <f>survey_responses[[#This Row],[Khu vực bạn đang sinh sống:]]</f>
        <v>Thành thị</v>
      </c>
      <c r="I4" t="str">
        <f>step3_validation[[#This Row],[Education]]</f>
        <v>Sau Đại học</v>
      </c>
      <c r="J4" t="str">
        <f>survey_responses[[#This Row],[Trình độ học vấn cao nhất:]]</f>
        <v>Sau Đại học</v>
      </c>
      <c r="K4" t="str">
        <f>step3_validation[[#This Row],[Employment]]</f>
        <v>Chính thức</v>
      </c>
      <c r="L4" t="str">
        <f>survey_responses[[#This Row],[Tình trạng việc làm chính:]]</f>
        <v>Khu vực chính thức (Có Hợp đồng lao động, đóng BHXH)</v>
      </c>
      <c r="M4">
        <f>step3_validation[[#This Row],[Income_Mil]]</f>
        <v>49.798632510016112</v>
      </c>
      <c r="N4" t="str">
        <f>survey_responses[[#This Row],[Thu nhập bình quân tháng theo Hợp đồng lao động của bạn là bao nhiêu? (Vui lòng điền tổng thu nhập trước khi khấu trừ các loại Bảo hiểm (BHXH, BHYT, BHTN) và Thuế TNCN)]]</f>
        <v>Từ 48 - 70 triệu VNĐ</v>
      </c>
      <c r="O4">
        <f>step3_validation[[#This Row],[Dependents]]</f>
        <v>3</v>
      </c>
      <c r="P4" t="str">
        <f>survey_responses[[#This Row],[Số người phụ thuộc (con nhỏ, cha mẹ già...) đủ điều kiện giảm trừ gia cảnh:]]</f>
        <v>3 người</v>
      </c>
      <c r="Q4">
        <f>step3_validation[[#This Row],[AI_ENF1]]</f>
        <v>8</v>
      </c>
      <c r="R4">
        <f t="shared" si="0"/>
        <v>0.77777777777777779</v>
      </c>
      <c r="S4">
        <f>survey_responses[[#This Row],[Tôi tin rằng với các quy định quản lý thuế hiện nay, hành vi gian lận hoặc trốn thuế sẽ dễ dàng bị phát hiện và xử lý nghiêm. - HUMAN-ENF1]]</f>
        <v>6</v>
      </c>
      <c r="T4">
        <f t="shared" si="1"/>
        <v>0.55555555555555558</v>
      </c>
      <c r="U4">
        <f>step3_validation[[#This Row],[AI_ENF2]]</f>
        <v>9</v>
      </c>
      <c r="V4">
        <f t="shared" si="2"/>
        <v>0.88888888888888884</v>
      </c>
      <c r="W4">
        <f>survey_responses[[#This Row],[Tôi tin rằng Nhà nước, cơ quan thuế có đủ khả năng và công nghệ để phát hiện, xử lý nghiêm các hành vi trốn thuế. - HUMAN-ENF2]]</f>
        <v>5</v>
      </c>
      <c r="X4">
        <f t="shared" si="3"/>
        <v>0.44444444444444442</v>
      </c>
      <c r="Y4" s="32">
        <f t="shared" si="4"/>
        <v>0.83333333333333326</v>
      </c>
      <c r="Z4" s="32">
        <f t="shared" si="5"/>
        <v>0.5</v>
      </c>
      <c r="AA4">
        <f>step3_validation[[#This Row],[AI_FAC1]]</f>
        <v>7</v>
      </c>
      <c r="AB4">
        <f t="shared" si="6"/>
        <v>0.66666666666666663</v>
      </c>
      <c r="AC4">
        <f>survey_responses[[#This Row],[Các thủ tục khai báo thuế VÀ/HOẶC quy trình làm việc với cơ quan thuế đơn giản, tiện lợi, nhanh chóng hơn so với trước đây. - HUMAN-FAC1]]</f>
        <v>4</v>
      </c>
      <c r="AD4">
        <f t="shared" si="7"/>
        <v>0.33333333333333331</v>
      </c>
      <c r="AE4">
        <f>step3_validation[[#This Row],[AI_FAC2]]</f>
        <v>8</v>
      </c>
      <c r="AF4">
        <f t="shared" si="8"/>
        <v>0.77777777777777779</v>
      </c>
      <c r="AG4">
        <f>survey_responses[[#This Row],[So với trước đây, tôi thấy cách tính thuế và các bậc thuế trong phương án mới đơn giản, dễ hiểu và dễ thực hiện hơn. - HUMAN-FAC2]]</f>
        <v>5</v>
      </c>
      <c r="AH4">
        <f t="shared" si="9"/>
        <v>0.44444444444444442</v>
      </c>
      <c r="AI4" s="32">
        <f t="shared" si="10"/>
        <v>0.72222222222222221</v>
      </c>
      <c r="AJ4" s="32">
        <f t="shared" si="11"/>
        <v>0.38888888888888884</v>
      </c>
      <c r="AK4">
        <f>step3_validation[[#This Row],[AI_TRU1]]</f>
        <v>9</v>
      </c>
      <c r="AL4">
        <f t="shared" si="12"/>
        <v>0.88888888888888884</v>
      </c>
      <c r="AM4">
        <f>survey_responses[[#This Row],[Tôi tin rằng Nhà nước, cơ quan thuế sẽ thực thi chính sách mới một cách khách quan, công tâm và đối xử bình đẳng với mọi người nộp thuế.  - HUMAN-TRU1]]</f>
        <v>4</v>
      </c>
      <c r="AN4">
        <f t="shared" si="13"/>
        <v>0.33333333333333331</v>
      </c>
      <c r="AO4">
        <f>step3_validation[[#This Row],[AI_TRU2]]</f>
        <v>9</v>
      </c>
      <c r="AP4">
        <f t="shared" si="14"/>
        <v>0.88888888888888884</v>
      </c>
      <c r="AQ4">
        <f>survey_responses[[#This Row],[Tôi thấy mức thuế tôi phải đóng theo phương án mới là công bằng (người thu nhập như tôi đóng mức này là hợp lý). - HUMAN-TRU2]]</f>
        <v>4</v>
      </c>
      <c r="AR4">
        <f t="shared" si="15"/>
        <v>0.33333333333333331</v>
      </c>
      <c r="AS4">
        <f>step3_validation[[#This Row],[AI_TRU3]]</f>
        <v>8</v>
      </c>
      <c r="AT4">
        <f t="shared" si="16"/>
        <v>0.77777777777777779</v>
      </c>
      <c r="AU4">
        <f>survey_responses[[#This Row],[Tôi tin tưởng số tiền thuế tôi đóng sẽ được Nhà nước sử dụng hiệu quả để cải thiện dịch vụ công (y tế, đường xá...). - HUMAN-TRU3]]</f>
        <v>4</v>
      </c>
      <c r="AV4">
        <f t="shared" si="17"/>
        <v>0.33333333333333331</v>
      </c>
      <c r="AW4">
        <f>step3_validation[[#This Row],[AI_TRU4]]</f>
        <v>7</v>
      </c>
      <c r="AX4">
        <f t="shared" si="18"/>
        <v>0.66666666666666663</v>
      </c>
      <c r="AY4">
        <f>survey_responses[[#This Row],[Tôi thấy Nhà nước đã giải thích rõ ràng, minh bạch về lý do và mục tiêu của việc sửa đổi thuế lần này. - HUMAN-TRU4]]</f>
        <v>10</v>
      </c>
      <c r="AZ4">
        <f t="shared" si="19"/>
        <v>1</v>
      </c>
      <c r="BA4" s="32">
        <f t="shared" si="20"/>
        <v>0.80555555555555547</v>
      </c>
      <c r="BB4" s="32">
        <f t="shared" si="21"/>
        <v>0.5</v>
      </c>
      <c r="BC4" s="7">
        <f t="shared" si="22"/>
        <v>0.78703703703703687</v>
      </c>
      <c r="BD4" s="7">
        <f t="shared" si="23"/>
        <v>0.46296296296296297</v>
      </c>
      <c r="BE4">
        <f>step3_validation[[#This Row],[AI_OUT1]]</f>
        <v>9</v>
      </c>
      <c r="BF4">
        <f t="shared" si="24"/>
        <v>0.88888888888888884</v>
      </c>
      <c r="BG4">
        <f>survey_responses[[#This Row],[Sau khi xem xét các quyền lợi và nghĩa vụ, bạn có ủng hộ và tuân thủ chính sách mới hiện nay? - HUMAN-OUT1]]</f>
        <v>4</v>
      </c>
      <c r="BH4">
        <f t="shared" si="25"/>
        <v>0.33333333333333331</v>
      </c>
      <c r="BI4" s="32">
        <f t="shared" si="26"/>
        <v>5</v>
      </c>
    </row>
    <row r="5" spans="1:61" x14ac:dyDescent="0.45">
      <c r="A5" s="30">
        <f>step3_validation[[#This Row],[Persona_ID]]</f>
        <v>4</v>
      </c>
      <c r="B5" s="31">
        <f>step3_validation[[#This Row],[Used_Seed]]</f>
        <v>4</v>
      </c>
      <c r="C5" t="str">
        <f>step3_validation[[#This Row],[Gender]]</f>
        <v>Nữ</v>
      </c>
      <c r="D5" t="str">
        <f>survey_responses[[#This Row],[Giới tính của bạn:]]</f>
        <v>Nữ</v>
      </c>
      <c r="E5" t="str">
        <f>step3_validation[[#This Row],[Age_Group]]</f>
        <v>18 - 24</v>
      </c>
      <c r="F5" t="str">
        <f>survey_responses[[#This Row],[Độ tuổi của bạn:]]</f>
        <v>18 - 24</v>
      </c>
      <c r="G5" t="str">
        <f>step3_validation[[#This Row],[Region]]</f>
        <v>Thành thị</v>
      </c>
      <c r="H5" t="str">
        <f>survey_responses[[#This Row],[Khu vực bạn đang sinh sống:]]</f>
        <v>Thành thị</v>
      </c>
      <c r="I5" t="str">
        <f>step3_validation[[#This Row],[Education]]</f>
        <v>Đại học</v>
      </c>
      <c r="J5" t="str">
        <f>survey_responses[[#This Row],[Trình độ học vấn cao nhất:]]</f>
        <v>Đại học</v>
      </c>
      <c r="K5" t="str">
        <f>step3_validation[[#This Row],[Employment]]</f>
        <v>Chính thức</v>
      </c>
      <c r="L5" t="str">
        <f>survey_responses[[#This Row],[Tình trạng việc làm chính:]]</f>
        <v>Khu vực chính thức (Có Hợp đồng lao động, đóng BHXH)</v>
      </c>
      <c r="M5">
        <f>step3_validation[[#This Row],[Income_Mil]]</f>
        <v>12</v>
      </c>
      <c r="N5" t="str">
        <f>survey_responses[[#This Row],[Thu nhập bình quân tháng theo Hợp đồng lao động của bạn là bao nhiêu? (Vui lòng điền tổng thu nhập trước khi khấu trừ các loại Bảo hiểm (BHXH, BHYT, BHTN) và Thuế TNCN)]]</f>
        <v>Dưới 12 triệu VNĐ</v>
      </c>
      <c r="O5">
        <f>step3_validation[[#This Row],[Dependents]]</f>
        <v>0</v>
      </c>
      <c r="P5" t="str">
        <f>survey_responses[[#This Row],[Số người phụ thuộc (con nhỏ, cha mẹ già...) đủ điều kiện giảm trừ gia cảnh:]]</f>
        <v>0 người</v>
      </c>
      <c r="Q5">
        <f>step3_validation[[#This Row],[AI_ENF1]]</f>
        <v>7</v>
      </c>
      <c r="R5">
        <f t="shared" si="0"/>
        <v>0.66666666666666663</v>
      </c>
      <c r="S5">
        <f>survey_responses[[#This Row],[Tôi tin rằng với các quy định quản lý thuế hiện nay, hành vi gian lận hoặc trốn thuế sẽ dễ dàng bị phát hiện và xử lý nghiêm. - HUMAN-ENF1]]</f>
        <v>10</v>
      </c>
      <c r="T5">
        <f t="shared" si="1"/>
        <v>1</v>
      </c>
      <c r="U5">
        <f>step3_validation[[#This Row],[AI_ENF2]]</f>
        <v>8</v>
      </c>
      <c r="V5">
        <f t="shared" si="2"/>
        <v>0.77777777777777779</v>
      </c>
      <c r="W5">
        <f>survey_responses[[#This Row],[Tôi tin rằng Nhà nước, cơ quan thuế có đủ khả năng và công nghệ để phát hiện, xử lý nghiêm các hành vi trốn thuế. - HUMAN-ENF2]]</f>
        <v>10</v>
      </c>
      <c r="X5">
        <f t="shared" si="3"/>
        <v>1</v>
      </c>
      <c r="Y5" s="32">
        <f t="shared" si="4"/>
        <v>0.72222222222222221</v>
      </c>
      <c r="Z5" s="32">
        <f t="shared" si="5"/>
        <v>1</v>
      </c>
      <c r="AA5">
        <f>step3_validation[[#This Row],[AI_FAC1]]</f>
        <v>6</v>
      </c>
      <c r="AB5">
        <f t="shared" si="6"/>
        <v>0.55555555555555558</v>
      </c>
      <c r="AC5">
        <f>survey_responses[[#This Row],[Các thủ tục khai báo thuế VÀ/HOẶC quy trình làm việc với cơ quan thuế đơn giản, tiện lợi, nhanh chóng hơn so với trước đây. - HUMAN-FAC1]]</f>
        <v>8</v>
      </c>
      <c r="AD5">
        <f t="shared" si="7"/>
        <v>0.77777777777777779</v>
      </c>
      <c r="AE5">
        <f>step3_validation[[#This Row],[AI_FAC2]]</f>
        <v>9</v>
      </c>
      <c r="AF5">
        <f t="shared" si="8"/>
        <v>0.88888888888888884</v>
      </c>
      <c r="AG5">
        <f>survey_responses[[#This Row],[So với trước đây, tôi thấy cách tính thuế và các bậc thuế trong phương án mới đơn giản, dễ hiểu và dễ thực hiện hơn. - HUMAN-FAC2]]</f>
        <v>9</v>
      </c>
      <c r="AH5">
        <f t="shared" si="9"/>
        <v>0.88888888888888884</v>
      </c>
      <c r="AI5" s="32">
        <f t="shared" si="10"/>
        <v>0.72222222222222221</v>
      </c>
      <c r="AJ5" s="32">
        <f t="shared" si="11"/>
        <v>0.83333333333333326</v>
      </c>
      <c r="AK5">
        <f>step3_validation[[#This Row],[AI_TRU1]]</f>
        <v>7</v>
      </c>
      <c r="AL5">
        <f t="shared" si="12"/>
        <v>0.66666666666666663</v>
      </c>
      <c r="AM5">
        <f>survey_responses[[#This Row],[Tôi tin rằng Nhà nước, cơ quan thuế sẽ thực thi chính sách mới một cách khách quan, công tâm và đối xử bình đẳng với mọi người nộp thuế.  - HUMAN-TRU1]]</f>
        <v>9</v>
      </c>
      <c r="AN5">
        <f t="shared" si="13"/>
        <v>0.88888888888888884</v>
      </c>
      <c r="AO5">
        <f>step3_validation[[#This Row],[AI_TRU2]]</f>
        <v>9</v>
      </c>
      <c r="AP5">
        <f t="shared" si="14"/>
        <v>0.88888888888888884</v>
      </c>
      <c r="AQ5">
        <f>survey_responses[[#This Row],[Tôi thấy mức thuế tôi phải đóng theo phương án mới là công bằng (người thu nhập như tôi đóng mức này là hợp lý). - HUMAN-TRU2]]</f>
        <v>7</v>
      </c>
      <c r="AR5">
        <f t="shared" si="15"/>
        <v>0.66666666666666663</v>
      </c>
      <c r="AS5">
        <f>step3_validation[[#This Row],[AI_TRU3]]</f>
        <v>7</v>
      </c>
      <c r="AT5">
        <f t="shared" si="16"/>
        <v>0.66666666666666663</v>
      </c>
      <c r="AU5">
        <f>survey_responses[[#This Row],[Tôi tin tưởng số tiền thuế tôi đóng sẽ được Nhà nước sử dụng hiệu quả để cải thiện dịch vụ công (y tế, đường xá...). - HUMAN-TRU3]]</f>
        <v>10</v>
      </c>
      <c r="AV5">
        <f t="shared" si="17"/>
        <v>1</v>
      </c>
      <c r="AW5">
        <f>step3_validation[[#This Row],[AI_TRU4]]</f>
        <v>8</v>
      </c>
      <c r="AX5">
        <f t="shared" si="18"/>
        <v>0.77777777777777779</v>
      </c>
      <c r="AY5">
        <f>survey_responses[[#This Row],[Tôi thấy Nhà nước đã giải thích rõ ràng, minh bạch về lý do và mục tiêu của việc sửa đổi thuế lần này. - HUMAN-TRU4]]</f>
        <v>7</v>
      </c>
      <c r="AZ5">
        <f t="shared" si="19"/>
        <v>0.66666666666666663</v>
      </c>
      <c r="BA5" s="32">
        <f t="shared" si="20"/>
        <v>0.74999999999999989</v>
      </c>
      <c r="BB5" s="32">
        <f t="shared" si="21"/>
        <v>0.80555555555555547</v>
      </c>
      <c r="BC5" s="7">
        <f t="shared" si="22"/>
        <v>0.7314814814814814</v>
      </c>
      <c r="BD5" s="7">
        <f t="shared" si="23"/>
        <v>0.87962962962962965</v>
      </c>
      <c r="BE5">
        <f>step3_validation[[#This Row],[AI_OUT1]]</f>
        <v>9</v>
      </c>
      <c r="BF5">
        <f t="shared" si="24"/>
        <v>0.88888888888888884</v>
      </c>
      <c r="BG5">
        <f>survey_responses[[#This Row],[Sau khi xem xét các quyền lợi và nghĩa vụ, bạn có ủng hộ và tuân thủ chính sách mới hiện nay? - HUMAN-OUT1]]</f>
        <v>10</v>
      </c>
      <c r="BH5">
        <f t="shared" si="25"/>
        <v>1</v>
      </c>
      <c r="BI5" s="32">
        <f t="shared" si="26"/>
        <v>1</v>
      </c>
    </row>
    <row r="6" spans="1:61" x14ac:dyDescent="0.45">
      <c r="A6" s="30">
        <f>step3_validation[[#This Row],[Persona_ID]]</f>
        <v>5</v>
      </c>
      <c r="B6" s="31">
        <f>step3_validation[[#This Row],[Used_Seed]]</f>
        <v>5</v>
      </c>
      <c r="C6" t="str">
        <f>step3_validation[[#This Row],[Gender]]</f>
        <v>Nữ</v>
      </c>
      <c r="D6" t="str">
        <f>survey_responses[[#This Row],[Giới tính của bạn:]]</f>
        <v>Nữ</v>
      </c>
      <c r="E6" t="str">
        <f>step3_validation[[#This Row],[Age_Group]]</f>
        <v>25 - 29</v>
      </c>
      <c r="F6" t="str">
        <f>survey_responses[[#This Row],[Độ tuổi của bạn:]]</f>
        <v>25 - 29</v>
      </c>
      <c r="G6" t="str">
        <f>step3_validation[[#This Row],[Region]]</f>
        <v>Thành thị</v>
      </c>
      <c r="H6" t="str">
        <f>survey_responses[[#This Row],[Khu vực bạn đang sinh sống:]]</f>
        <v>Thành thị</v>
      </c>
      <c r="I6" t="str">
        <f>step3_validation[[#This Row],[Education]]</f>
        <v>Đại học</v>
      </c>
      <c r="J6" t="str">
        <f>survey_responses[[#This Row],[Trình độ học vấn cao nhất:]]</f>
        <v>Đại học</v>
      </c>
      <c r="K6" t="str">
        <f>step3_validation[[#This Row],[Employment]]</f>
        <v>Chính thức</v>
      </c>
      <c r="L6" t="str">
        <f>survey_responses[[#This Row],[Tình trạng việc làm chính:]]</f>
        <v>Khu vực chính thức (Có Hợp đồng lao động, đóng BHXH)</v>
      </c>
      <c r="M6">
        <f>step3_validation[[#This Row],[Income_Mil]]</f>
        <v>12</v>
      </c>
      <c r="N6" t="str">
        <f>survey_responses[[#This Row],[Thu nhập bình quân tháng theo Hợp đồng lao động của bạn là bao nhiêu? (Vui lòng điền tổng thu nhập trước khi khấu trừ các loại Bảo hiểm (BHXH, BHYT, BHTN) và Thuế TNCN)]]</f>
        <v>Dưới 12 triệu VNĐ</v>
      </c>
      <c r="O6">
        <f>step3_validation[[#This Row],[Dependents]]</f>
        <v>0</v>
      </c>
      <c r="P6" t="str">
        <f>survey_responses[[#This Row],[Số người phụ thuộc (con nhỏ, cha mẹ già...) đủ điều kiện giảm trừ gia cảnh:]]</f>
        <v>0 người</v>
      </c>
      <c r="Q6">
        <f>step3_validation[[#This Row],[AI_ENF1]]</f>
        <v>8</v>
      </c>
      <c r="R6">
        <f t="shared" si="0"/>
        <v>0.77777777777777779</v>
      </c>
      <c r="S6">
        <f>survey_responses[[#This Row],[Tôi tin rằng với các quy định quản lý thuế hiện nay, hành vi gian lận hoặc trốn thuế sẽ dễ dàng bị phát hiện và xử lý nghiêm. - HUMAN-ENF1]]</f>
        <v>9</v>
      </c>
      <c r="T6">
        <f t="shared" si="1"/>
        <v>0.88888888888888884</v>
      </c>
      <c r="U6">
        <f>step3_validation[[#This Row],[AI_ENF2]]</f>
        <v>9</v>
      </c>
      <c r="V6">
        <f t="shared" si="2"/>
        <v>0.88888888888888884</v>
      </c>
      <c r="W6">
        <f>survey_responses[[#This Row],[Tôi tin rằng Nhà nước, cơ quan thuế có đủ khả năng và công nghệ để phát hiện, xử lý nghiêm các hành vi trốn thuế. - HUMAN-ENF2]]</f>
        <v>9</v>
      </c>
      <c r="X6">
        <f t="shared" si="3"/>
        <v>0.88888888888888884</v>
      </c>
      <c r="Y6" s="32">
        <f t="shared" si="4"/>
        <v>0.83333333333333326</v>
      </c>
      <c r="Z6" s="32">
        <f t="shared" si="5"/>
        <v>0.88888888888888884</v>
      </c>
      <c r="AA6">
        <f>step3_validation[[#This Row],[AI_FAC1]]</f>
        <v>8</v>
      </c>
      <c r="AB6">
        <f t="shared" si="6"/>
        <v>0.77777777777777779</v>
      </c>
      <c r="AC6">
        <f>survey_responses[[#This Row],[Các thủ tục khai báo thuế VÀ/HOẶC quy trình làm việc với cơ quan thuế đơn giản, tiện lợi, nhanh chóng hơn so với trước đây. - HUMAN-FAC1]]</f>
        <v>10</v>
      </c>
      <c r="AD6">
        <f t="shared" si="7"/>
        <v>1</v>
      </c>
      <c r="AE6">
        <f>step3_validation[[#This Row],[AI_FAC2]]</f>
        <v>9</v>
      </c>
      <c r="AF6">
        <f t="shared" si="8"/>
        <v>0.88888888888888884</v>
      </c>
      <c r="AG6">
        <f>survey_responses[[#This Row],[So với trước đây, tôi thấy cách tính thuế và các bậc thuế trong phương án mới đơn giản, dễ hiểu và dễ thực hiện hơn. - HUMAN-FAC2]]</f>
        <v>9</v>
      </c>
      <c r="AH6">
        <f t="shared" si="9"/>
        <v>0.88888888888888884</v>
      </c>
      <c r="AI6" s="32">
        <f t="shared" si="10"/>
        <v>0.83333333333333326</v>
      </c>
      <c r="AJ6" s="32">
        <f t="shared" si="11"/>
        <v>0.94444444444444442</v>
      </c>
      <c r="AK6">
        <f>step3_validation[[#This Row],[AI_TRU1]]</f>
        <v>8</v>
      </c>
      <c r="AL6">
        <f t="shared" si="12"/>
        <v>0.77777777777777779</v>
      </c>
      <c r="AM6">
        <f>survey_responses[[#This Row],[Tôi tin rằng Nhà nước, cơ quan thuế sẽ thực thi chính sách mới một cách khách quan, công tâm và đối xử bình đẳng với mọi người nộp thuế.  - HUMAN-TRU1]]</f>
        <v>9</v>
      </c>
      <c r="AN6">
        <f t="shared" si="13"/>
        <v>0.88888888888888884</v>
      </c>
      <c r="AO6">
        <f>step3_validation[[#This Row],[AI_TRU2]]</f>
        <v>9</v>
      </c>
      <c r="AP6">
        <f t="shared" si="14"/>
        <v>0.88888888888888884</v>
      </c>
      <c r="AQ6">
        <f>survey_responses[[#This Row],[Tôi thấy mức thuế tôi phải đóng theo phương án mới là công bằng (người thu nhập như tôi đóng mức này là hợp lý). - HUMAN-TRU2]]</f>
        <v>9</v>
      </c>
      <c r="AR6">
        <f t="shared" si="15"/>
        <v>0.88888888888888884</v>
      </c>
      <c r="AS6">
        <f>step3_validation[[#This Row],[AI_TRU3]]</f>
        <v>8</v>
      </c>
      <c r="AT6">
        <f t="shared" si="16"/>
        <v>0.77777777777777779</v>
      </c>
      <c r="AU6">
        <f>survey_responses[[#This Row],[Tôi tin tưởng số tiền thuế tôi đóng sẽ được Nhà nước sử dụng hiệu quả để cải thiện dịch vụ công (y tế, đường xá...). - HUMAN-TRU3]]</f>
        <v>9</v>
      </c>
      <c r="AV6">
        <f t="shared" si="17"/>
        <v>0.88888888888888884</v>
      </c>
      <c r="AW6">
        <f>step3_validation[[#This Row],[AI_TRU4]]</f>
        <v>9</v>
      </c>
      <c r="AX6">
        <f t="shared" si="18"/>
        <v>0.88888888888888884</v>
      </c>
      <c r="AY6">
        <f>survey_responses[[#This Row],[Tôi thấy Nhà nước đã giải thích rõ ràng, minh bạch về lý do và mục tiêu của việc sửa đổi thuế lần này. - HUMAN-TRU4]]</f>
        <v>9</v>
      </c>
      <c r="AZ6">
        <f t="shared" si="19"/>
        <v>0.88888888888888884</v>
      </c>
      <c r="BA6" s="32">
        <f t="shared" si="20"/>
        <v>0.83333333333333326</v>
      </c>
      <c r="BB6" s="32">
        <f t="shared" si="21"/>
        <v>0.88888888888888884</v>
      </c>
      <c r="BC6" s="7">
        <f t="shared" si="22"/>
        <v>0.83333333333333337</v>
      </c>
      <c r="BD6" s="7">
        <f t="shared" si="23"/>
        <v>0.90740740740740744</v>
      </c>
      <c r="BE6">
        <f>step3_validation[[#This Row],[AI_OUT1]]</f>
        <v>8</v>
      </c>
      <c r="BF6">
        <f t="shared" si="24"/>
        <v>0.77777777777777779</v>
      </c>
      <c r="BG6">
        <f>survey_responses[[#This Row],[Sau khi xem xét các quyền lợi và nghĩa vụ, bạn có ủng hộ và tuân thủ chính sách mới hiện nay? - HUMAN-OUT1]]</f>
        <v>9</v>
      </c>
      <c r="BH6">
        <f t="shared" si="25"/>
        <v>0.88888888888888884</v>
      </c>
      <c r="BI6" s="32">
        <f t="shared" si="26"/>
        <v>1</v>
      </c>
    </row>
    <row r="7" spans="1:61" x14ac:dyDescent="0.45">
      <c r="A7" s="30">
        <f>step3_validation[[#This Row],[Persona_ID]]</f>
        <v>6</v>
      </c>
      <c r="B7" s="31">
        <f>step3_validation[[#This Row],[Used_Seed]]</f>
        <v>6</v>
      </c>
      <c r="C7" t="str">
        <f>step3_validation[[#This Row],[Gender]]</f>
        <v>Nữ</v>
      </c>
      <c r="D7" t="str">
        <f>survey_responses[[#This Row],[Giới tính của bạn:]]</f>
        <v>Nữ</v>
      </c>
      <c r="E7" t="str">
        <f>step3_validation[[#This Row],[Age_Group]]</f>
        <v>30 - 39</v>
      </c>
      <c r="F7" t="str">
        <f>survey_responses[[#This Row],[Độ tuổi của bạn:]]</f>
        <v>30 - 39</v>
      </c>
      <c r="G7" t="str">
        <f>step3_validation[[#This Row],[Region]]</f>
        <v>Thành thị</v>
      </c>
      <c r="H7" t="str">
        <f>survey_responses[[#This Row],[Khu vực bạn đang sinh sống:]]</f>
        <v>Thành thị</v>
      </c>
      <c r="I7" t="str">
        <f>step3_validation[[#This Row],[Education]]</f>
        <v>Sau Đại học</v>
      </c>
      <c r="J7" t="str">
        <f>survey_responses[[#This Row],[Trình độ học vấn cao nhất:]]</f>
        <v>Sau Đại học</v>
      </c>
      <c r="K7" t="str">
        <f>step3_validation[[#This Row],[Employment]]</f>
        <v>Chính thức</v>
      </c>
      <c r="L7" t="str">
        <f>survey_responses[[#This Row],[Tình trạng việc làm chính:]]</f>
        <v>Khu vực chính thức (Có Hợp đồng lao động, đóng BHXH)</v>
      </c>
      <c r="M7">
        <f>step3_validation[[#This Row],[Income_Mil]]</f>
        <v>86.683094895630234</v>
      </c>
      <c r="N7" t="str">
        <f>survey_responses[[#This Row],[Thu nhập bình quân tháng theo Hợp đồng lao động của bạn là bao nhiêu? (Vui lòng điền tổng thu nhập trước khi khấu trừ các loại Bảo hiểm (BHXH, BHYT, BHTN) và Thuế TNCN)]]</f>
        <v>Từ 70 - 102 triệu VNĐ</v>
      </c>
      <c r="O7">
        <f>step3_validation[[#This Row],[Dependents]]</f>
        <v>4</v>
      </c>
      <c r="P7" t="str">
        <f>survey_responses[[#This Row],[Số người phụ thuộc (con nhỏ, cha mẹ già...) đủ điều kiện giảm trừ gia cảnh:]]</f>
        <v>4 người trở lên</v>
      </c>
      <c r="Q7">
        <f>step3_validation[[#This Row],[AI_ENF1]]</f>
        <v>6</v>
      </c>
      <c r="R7">
        <f t="shared" si="0"/>
        <v>0.55555555555555558</v>
      </c>
      <c r="S7">
        <f>survey_responses[[#This Row],[Tôi tin rằng với các quy định quản lý thuế hiện nay, hành vi gian lận hoặc trốn thuế sẽ dễ dàng bị phát hiện và xử lý nghiêm. - HUMAN-ENF1]]</f>
        <v>8</v>
      </c>
      <c r="T7">
        <f t="shared" si="1"/>
        <v>0.77777777777777779</v>
      </c>
      <c r="U7">
        <f>step3_validation[[#This Row],[AI_ENF2]]</f>
        <v>7</v>
      </c>
      <c r="V7">
        <f t="shared" si="2"/>
        <v>0.66666666666666663</v>
      </c>
      <c r="W7">
        <f>survey_responses[[#This Row],[Tôi tin rằng Nhà nước, cơ quan thuế có đủ khả năng và công nghệ để phát hiện, xử lý nghiêm các hành vi trốn thuế. - HUMAN-ENF2]]</f>
        <v>8</v>
      </c>
      <c r="X7">
        <f t="shared" si="3"/>
        <v>0.77777777777777779</v>
      </c>
      <c r="Y7" s="32">
        <f t="shared" si="4"/>
        <v>0.61111111111111116</v>
      </c>
      <c r="Z7" s="32">
        <f t="shared" si="5"/>
        <v>0.77777777777777779</v>
      </c>
      <c r="AA7">
        <f>step3_validation[[#This Row],[AI_FAC1]]</f>
        <v>9</v>
      </c>
      <c r="AB7">
        <f t="shared" si="6"/>
        <v>0.88888888888888884</v>
      </c>
      <c r="AC7">
        <f>survey_responses[[#This Row],[Các thủ tục khai báo thuế VÀ/HOẶC quy trình làm việc với cơ quan thuế đơn giản, tiện lợi, nhanh chóng hơn so với trước đây. - HUMAN-FAC1]]</f>
        <v>5</v>
      </c>
      <c r="AD7">
        <f t="shared" si="7"/>
        <v>0.44444444444444442</v>
      </c>
      <c r="AE7">
        <f>step3_validation[[#This Row],[AI_FAC2]]</f>
        <v>9</v>
      </c>
      <c r="AF7">
        <f t="shared" si="8"/>
        <v>0.88888888888888884</v>
      </c>
      <c r="AG7">
        <f>survey_responses[[#This Row],[So với trước đây, tôi thấy cách tính thuế và các bậc thuế trong phương án mới đơn giản, dễ hiểu và dễ thực hiện hơn. - HUMAN-FAC2]]</f>
        <v>8</v>
      </c>
      <c r="AH7">
        <f t="shared" si="9"/>
        <v>0.77777777777777779</v>
      </c>
      <c r="AI7" s="32">
        <f t="shared" si="10"/>
        <v>0.88888888888888884</v>
      </c>
      <c r="AJ7" s="32">
        <f t="shared" si="11"/>
        <v>0.61111111111111116</v>
      </c>
      <c r="AK7">
        <f>step3_validation[[#This Row],[AI_TRU1]]</f>
        <v>8</v>
      </c>
      <c r="AL7">
        <f t="shared" si="12"/>
        <v>0.77777777777777779</v>
      </c>
      <c r="AM7">
        <f>survey_responses[[#This Row],[Tôi tin rằng Nhà nước, cơ quan thuế sẽ thực thi chính sách mới một cách khách quan, công tâm và đối xử bình đẳng với mọi người nộp thuế.  - HUMAN-TRU1]]</f>
        <v>6</v>
      </c>
      <c r="AN7">
        <f t="shared" si="13"/>
        <v>0.55555555555555558</v>
      </c>
      <c r="AO7">
        <f>step3_validation[[#This Row],[AI_TRU2]]</f>
        <v>7</v>
      </c>
      <c r="AP7">
        <f t="shared" si="14"/>
        <v>0.66666666666666663</v>
      </c>
      <c r="AQ7">
        <f>survey_responses[[#This Row],[Tôi thấy mức thuế tôi phải đóng theo phương án mới là công bằng (người thu nhập như tôi đóng mức này là hợp lý). - HUMAN-TRU2]]</f>
        <v>6</v>
      </c>
      <c r="AR7">
        <f t="shared" si="15"/>
        <v>0.55555555555555558</v>
      </c>
      <c r="AS7">
        <f>step3_validation[[#This Row],[AI_TRU3]]</f>
        <v>8</v>
      </c>
      <c r="AT7">
        <f t="shared" si="16"/>
        <v>0.77777777777777779</v>
      </c>
      <c r="AU7">
        <f>survey_responses[[#This Row],[Tôi tin tưởng số tiền thuế tôi đóng sẽ được Nhà nước sử dụng hiệu quả để cải thiện dịch vụ công (y tế, đường xá...). - HUMAN-TRU3]]</f>
        <v>4</v>
      </c>
      <c r="AV7">
        <f t="shared" si="17"/>
        <v>0.33333333333333331</v>
      </c>
      <c r="AW7">
        <f>step3_validation[[#This Row],[AI_TRU4]]</f>
        <v>7</v>
      </c>
      <c r="AX7">
        <f t="shared" si="18"/>
        <v>0.66666666666666663</v>
      </c>
      <c r="AY7">
        <f>survey_responses[[#This Row],[Tôi thấy Nhà nước đã giải thích rõ ràng, minh bạch về lý do và mục tiêu của việc sửa đổi thuế lần này. - HUMAN-TRU4]]</f>
        <v>5</v>
      </c>
      <c r="AZ7">
        <f t="shared" si="19"/>
        <v>0.44444444444444442</v>
      </c>
      <c r="BA7" s="32">
        <f t="shared" si="20"/>
        <v>0.72222222222222221</v>
      </c>
      <c r="BB7" s="32">
        <f t="shared" si="21"/>
        <v>0.47222222222222221</v>
      </c>
      <c r="BC7" s="7">
        <f t="shared" si="22"/>
        <v>0.74074074074074081</v>
      </c>
      <c r="BD7" s="7">
        <f t="shared" si="23"/>
        <v>0.62037037037037035</v>
      </c>
      <c r="BE7">
        <f>step3_validation[[#This Row],[AI_OUT1]]</f>
        <v>8</v>
      </c>
      <c r="BF7">
        <f t="shared" si="24"/>
        <v>0.77777777777777779</v>
      </c>
      <c r="BG7">
        <f>survey_responses[[#This Row],[Sau khi xem xét các quyền lợi và nghĩa vụ, bạn có ủng hộ và tuân thủ chính sách mới hiện nay? - HUMAN-OUT1]]</f>
        <v>6</v>
      </c>
      <c r="BH7">
        <f t="shared" si="25"/>
        <v>0.55555555555555558</v>
      </c>
      <c r="BI7" s="32">
        <f t="shared" si="26"/>
        <v>2</v>
      </c>
    </row>
    <row r="8" spans="1:61" x14ac:dyDescent="0.45">
      <c r="A8" s="30">
        <f>step3_validation[[#This Row],[Persona_ID]]</f>
        <v>7</v>
      </c>
      <c r="B8" s="31">
        <f>step3_validation[[#This Row],[Used_Seed]]</f>
        <v>7</v>
      </c>
      <c r="C8" t="str">
        <f>step3_validation[[#This Row],[Gender]]</f>
        <v>Nữ</v>
      </c>
      <c r="D8" t="str">
        <f>survey_responses[[#This Row],[Giới tính của bạn:]]</f>
        <v>Nữ</v>
      </c>
      <c r="E8" t="str">
        <f>step3_validation[[#This Row],[Age_Group]]</f>
        <v>30 - 39</v>
      </c>
      <c r="F8" t="str">
        <f>survey_responses[[#This Row],[Độ tuổi của bạn:]]</f>
        <v>30 - 39</v>
      </c>
      <c r="G8" t="str">
        <f>step3_validation[[#This Row],[Region]]</f>
        <v>Thành thị</v>
      </c>
      <c r="H8" t="str">
        <f>survey_responses[[#This Row],[Khu vực bạn đang sinh sống:]]</f>
        <v>Thành thị</v>
      </c>
      <c r="I8" t="str">
        <f>step3_validation[[#This Row],[Education]]</f>
        <v>Đại học</v>
      </c>
      <c r="J8" t="str">
        <f>survey_responses[[#This Row],[Trình độ học vấn cao nhất:]]</f>
        <v>Đại học</v>
      </c>
      <c r="K8" t="str">
        <f>step3_validation[[#This Row],[Employment]]</f>
        <v>Chính thức</v>
      </c>
      <c r="L8" t="str">
        <f>survey_responses[[#This Row],[Tình trạng việc làm chính:]]</f>
        <v>Khu vực chính thức (Có Hợp đồng lao động, đóng BHXH)</v>
      </c>
      <c r="M8">
        <f>step3_validation[[#This Row],[Income_Mil]]</f>
        <v>20.500381866418667</v>
      </c>
      <c r="N8" t="str">
        <f>survey_responses[[#This Row],[Thu nhập bình quân tháng theo Hợp đồng lao động của bạn là bao nhiêu? (Vui lòng điền tổng thu nhập trước khi khấu trừ các loại Bảo hiểm (BHXH, BHYT, BHTN) và Thuế TNCN)]]</f>
        <v>Từ 18 - 23 triệu VNĐ</v>
      </c>
      <c r="O8">
        <f>step3_validation[[#This Row],[Dependents]]</f>
        <v>2</v>
      </c>
      <c r="P8" t="str">
        <f>survey_responses[[#This Row],[Số người phụ thuộc (con nhỏ, cha mẹ già...) đủ điều kiện giảm trừ gia cảnh:]]</f>
        <v>2 người</v>
      </c>
      <c r="Q8">
        <f>step3_validation[[#This Row],[AI_ENF1]]</f>
        <v>6</v>
      </c>
      <c r="R8">
        <f t="shared" si="0"/>
        <v>0.55555555555555558</v>
      </c>
      <c r="S8">
        <f>survey_responses[[#This Row],[Tôi tin rằng với các quy định quản lý thuế hiện nay, hành vi gian lận hoặc trốn thuế sẽ dễ dàng bị phát hiện và xử lý nghiêm. - HUMAN-ENF1]]</f>
        <v>5</v>
      </c>
      <c r="T8">
        <f t="shared" si="1"/>
        <v>0.44444444444444442</v>
      </c>
      <c r="U8">
        <f>step3_validation[[#This Row],[AI_ENF2]]</f>
        <v>7</v>
      </c>
      <c r="V8">
        <f t="shared" si="2"/>
        <v>0.66666666666666663</v>
      </c>
      <c r="W8">
        <f>survey_responses[[#This Row],[Tôi tin rằng Nhà nước, cơ quan thuế có đủ khả năng và công nghệ để phát hiện, xử lý nghiêm các hành vi trốn thuế. - HUMAN-ENF2]]</f>
        <v>4</v>
      </c>
      <c r="X8">
        <f t="shared" si="3"/>
        <v>0.33333333333333331</v>
      </c>
      <c r="Y8" s="32">
        <f t="shared" si="4"/>
        <v>0.61111111111111116</v>
      </c>
      <c r="Z8" s="32">
        <f t="shared" si="5"/>
        <v>0.38888888888888884</v>
      </c>
      <c r="AA8">
        <f>step3_validation[[#This Row],[AI_FAC1]]</f>
        <v>8</v>
      </c>
      <c r="AB8">
        <f t="shared" si="6"/>
        <v>0.77777777777777779</v>
      </c>
      <c r="AC8">
        <f>survey_responses[[#This Row],[Các thủ tục khai báo thuế VÀ/HOẶC quy trình làm việc với cơ quan thuế đơn giản, tiện lợi, nhanh chóng hơn so với trước đây. - HUMAN-FAC1]]</f>
        <v>4</v>
      </c>
      <c r="AD8">
        <f t="shared" si="7"/>
        <v>0.33333333333333331</v>
      </c>
      <c r="AE8">
        <f>step3_validation[[#This Row],[AI_FAC2]]</f>
        <v>9</v>
      </c>
      <c r="AF8">
        <f t="shared" si="8"/>
        <v>0.88888888888888884</v>
      </c>
      <c r="AG8">
        <f>survey_responses[[#This Row],[So với trước đây, tôi thấy cách tính thuế và các bậc thuế trong phương án mới đơn giản, dễ hiểu và dễ thực hiện hơn. - HUMAN-FAC2]]</f>
        <v>6</v>
      </c>
      <c r="AH8">
        <f t="shared" si="9"/>
        <v>0.55555555555555558</v>
      </c>
      <c r="AI8" s="32">
        <f t="shared" si="10"/>
        <v>0.83333333333333326</v>
      </c>
      <c r="AJ8" s="32">
        <f t="shared" si="11"/>
        <v>0.44444444444444442</v>
      </c>
      <c r="AK8">
        <f>step3_validation[[#This Row],[AI_TRU1]]</f>
        <v>8</v>
      </c>
      <c r="AL8">
        <f t="shared" si="12"/>
        <v>0.77777777777777779</v>
      </c>
      <c r="AM8">
        <f>survey_responses[[#This Row],[Tôi tin rằng Nhà nước, cơ quan thuế sẽ thực thi chính sách mới một cách khách quan, công tâm và đối xử bình đẳng với mọi người nộp thuế.  - HUMAN-TRU1]]</f>
        <v>6</v>
      </c>
      <c r="AN8">
        <f t="shared" si="13"/>
        <v>0.55555555555555558</v>
      </c>
      <c r="AO8">
        <f>step3_validation[[#This Row],[AI_TRU2]]</f>
        <v>9</v>
      </c>
      <c r="AP8">
        <f t="shared" si="14"/>
        <v>0.88888888888888884</v>
      </c>
      <c r="AQ8">
        <f>survey_responses[[#This Row],[Tôi thấy mức thuế tôi phải đóng theo phương án mới là công bằng (người thu nhập như tôi đóng mức này là hợp lý). - HUMAN-TRU2]]</f>
        <v>7</v>
      </c>
      <c r="AR8">
        <f t="shared" si="15"/>
        <v>0.66666666666666663</v>
      </c>
      <c r="AS8">
        <f>step3_validation[[#This Row],[AI_TRU3]]</f>
        <v>8</v>
      </c>
      <c r="AT8">
        <f t="shared" si="16"/>
        <v>0.77777777777777779</v>
      </c>
      <c r="AU8">
        <f>survey_responses[[#This Row],[Tôi tin tưởng số tiền thuế tôi đóng sẽ được Nhà nước sử dụng hiệu quả để cải thiện dịch vụ công (y tế, đường xá...). - HUMAN-TRU3]]</f>
        <v>2</v>
      </c>
      <c r="AV8">
        <f t="shared" si="17"/>
        <v>0.1111111111111111</v>
      </c>
      <c r="AW8">
        <f>step3_validation[[#This Row],[AI_TRU4]]</f>
        <v>9</v>
      </c>
      <c r="AX8">
        <f t="shared" si="18"/>
        <v>0.88888888888888884</v>
      </c>
      <c r="AY8">
        <f>survey_responses[[#This Row],[Tôi thấy Nhà nước đã giải thích rõ ràng, minh bạch về lý do và mục tiêu của việc sửa đổi thuế lần này. - HUMAN-TRU4]]</f>
        <v>4</v>
      </c>
      <c r="AZ8">
        <f t="shared" si="19"/>
        <v>0.33333333333333331</v>
      </c>
      <c r="BA8" s="32">
        <f t="shared" si="20"/>
        <v>0.83333333333333326</v>
      </c>
      <c r="BB8" s="32">
        <f t="shared" si="21"/>
        <v>0.41666666666666669</v>
      </c>
      <c r="BC8" s="7">
        <f t="shared" si="22"/>
        <v>0.75925925925925919</v>
      </c>
      <c r="BD8" s="7">
        <f t="shared" si="23"/>
        <v>0.41666666666666669</v>
      </c>
      <c r="BE8">
        <f>step3_validation[[#This Row],[AI_OUT1]]</f>
        <v>8</v>
      </c>
      <c r="BF8">
        <f t="shared" si="24"/>
        <v>0.77777777777777779</v>
      </c>
      <c r="BG8">
        <f>survey_responses[[#This Row],[Sau khi xem xét các quyền lợi và nghĩa vụ, bạn có ủng hộ và tuân thủ chính sách mới hiện nay? - HUMAN-OUT1]]</f>
        <v>4</v>
      </c>
      <c r="BH8">
        <f t="shared" si="25"/>
        <v>0.33333333333333331</v>
      </c>
      <c r="BI8" s="32">
        <f t="shared" si="26"/>
        <v>4</v>
      </c>
    </row>
    <row r="9" spans="1:61" x14ac:dyDescent="0.45">
      <c r="A9" s="30">
        <f>step3_validation[[#This Row],[Persona_ID]]</f>
        <v>8</v>
      </c>
      <c r="B9" s="31">
        <f>step3_validation[[#This Row],[Used_Seed]]</f>
        <v>8</v>
      </c>
      <c r="C9" t="str">
        <f>step3_validation[[#This Row],[Gender]]</f>
        <v>Nam</v>
      </c>
      <c r="D9" t="str">
        <f>survey_responses[[#This Row],[Giới tính của bạn:]]</f>
        <v>Nam</v>
      </c>
      <c r="E9" t="str">
        <f>step3_validation[[#This Row],[Age_Group]]</f>
        <v>40 - 49</v>
      </c>
      <c r="F9" t="str">
        <f>survey_responses[[#This Row],[Độ tuổi của bạn:]]</f>
        <v>40 - 49</v>
      </c>
      <c r="G9" t="str">
        <f>step3_validation[[#This Row],[Region]]</f>
        <v>Thành thị</v>
      </c>
      <c r="H9" t="str">
        <f>survey_responses[[#This Row],[Khu vực bạn đang sinh sống:]]</f>
        <v>Thành thị</v>
      </c>
      <c r="I9" t="str">
        <f>step3_validation[[#This Row],[Education]]</f>
        <v>Sau Đại học</v>
      </c>
      <c r="J9" t="str">
        <f>survey_responses[[#This Row],[Trình độ học vấn cao nhất:]]</f>
        <v>Sau Đại học</v>
      </c>
      <c r="K9" t="str">
        <f>step3_validation[[#This Row],[Employment]]</f>
        <v>Chính thức</v>
      </c>
      <c r="L9" t="str">
        <f>survey_responses[[#This Row],[Tình trạng việc làm chính:]]</f>
        <v>Khu vực chính thức (Có Hợp đồng lao động, đóng BHXH)</v>
      </c>
      <c r="M9">
        <f>step3_validation[[#This Row],[Income_Mil]]</f>
        <v>12</v>
      </c>
      <c r="N9" t="str">
        <f>survey_responses[[#This Row],[Thu nhập bình quân tháng theo Hợp đồng lao động của bạn là bao nhiêu? (Vui lòng điền tổng thu nhập trước khi khấu trừ các loại Bảo hiểm (BHXH, BHYT, BHTN) và Thuế TNCN)]]</f>
        <v>Dưới 12 triệu VNĐ</v>
      </c>
      <c r="O9">
        <f>step3_validation[[#This Row],[Dependents]]</f>
        <v>2</v>
      </c>
      <c r="P9" t="str">
        <f>survey_responses[[#This Row],[Số người phụ thuộc (con nhỏ, cha mẹ già...) đủ điều kiện giảm trừ gia cảnh:]]</f>
        <v>2 người</v>
      </c>
      <c r="Q9">
        <f>step3_validation[[#This Row],[AI_ENF1]]</f>
        <v>6</v>
      </c>
      <c r="R9">
        <f t="shared" si="0"/>
        <v>0.55555555555555558</v>
      </c>
      <c r="S9">
        <f>survey_responses[[#This Row],[Tôi tin rằng với các quy định quản lý thuế hiện nay, hành vi gian lận hoặc trốn thuế sẽ dễ dàng bị phát hiện và xử lý nghiêm. - HUMAN-ENF1]]</f>
        <v>1</v>
      </c>
      <c r="T9">
        <f t="shared" si="1"/>
        <v>0</v>
      </c>
      <c r="U9">
        <f>step3_validation[[#This Row],[AI_ENF2]]</f>
        <v>7</v>
      </c>
      <c r="V9">
        <f t="shared" si="2"/>
        <v>0.66666666666666663</v>
      </c>
      <c r="W9">
        <f>survey_responses[[#This Row],[Tôi tin rằng Nhà nước, cơ quan thuế có đủ khả năng và công nghệ để phát hiện, xử lý nghiêm các hành vi trốn thuế. - HUMAN-ENF2]]</f>
        <v>1</v>
      </c>
      <c r="X9">
        <f t="shared" si="3"/>
        <v>0</v>
      </c>
      <c r="Y9" s="32">
        <f t="shared" si="4"/>
        <v>0.61111111111111116</v>
      </c>
      <c r="Z9" s="32">
        <f t="shared" si="5"/>
        <v>0</v>
      </c>
      <c r="AA9">
        <f>step3_validation[[#This Row],[AI_FAC1]]</f>
        <v>8</v>
      </c>
      <c r="AB9">
        <f t="shared" si="6"/>
        <v>0.77777777777777779</v>
      </c>
      <c r="AC9">
        <f>survey_responses[[#This Row],[Các thủ tục khai báo thuế VÀ/HOẶC quy trình làm việc với cơ quan thuế đơn giản, tiện lợi, nhanh chóng hơn so với trước đây. - HUMAN-FAC1]]</f>
        <v>2</v>
      </c>
      <c r="AD9">
        <f t="shared" si="7"/>
        <v>0.1111111111111111</v>
      </c>
      <c r="AE9">
        <f>step3_validation[[#This Row],[AI_FAC2]]</f>
        <v>9</v>
      </c>
      <c r="AF9">
        <f t="shared" si="8"/>
        <v>0.88888888888888884</v>
      </c>
      <c r="AG9">
        <f>survey_responses[[#This Row],[So với trước đây, tôi thấy cách tính thuế và các bậc thuế trong phương án mới đơn giản, dễ hiểu và dễ thực hiện hơn. - HUMAN-FAC2]]</f>
        <v>3</v>
      </c>
      <c r="AH9">
        <f t="shared" si="9"/>
        <v>0.22222222222222221</v>
      </c>
      <c r="AI9" s="32">
        <f t="shared" si="10"/>
        <v>0.83333333333333326</v>
      </c>
      <c r="AJ9" s="32">
        <f t="shared" si="11"/>
        <v>0.16666666666666666</v>
      </c>
      <c r="AK9">
        <f>step3_validation[[#This Row],[AI_TRU1]]</f>
        <v>7</v>
      </c>
      <c r="AL9">
        <f t="shared" si="12"/>
        <v>0.66666666666666663</v>
      </c>
      <c r="AM9">
        <f>survey_responses[[#This Row],[Tôi tin rằng Nhà nước, cơ quan thuế sẽ thực thi chính sách mới một cách khách quan, công tâm và đối xử bình đẳng với mọi người nộp thuế.  - HUMAN-TRU1]]</f>
        <v>6</v>
      </c>
      <c r="AN9">
        <f t="shared" si="13"/>
        <v>0.55555555555555558</v>
      </c>
      <c r="AO9">
        <f>step3_validation[[#This Row],[AI_TRU2]]</f>
        <v>9</v>
      </c>
      <c r="AP9">
        <f t="shared" si="14"/>
        <v>0.88888888888888884</v>
      </c>
      <c r="AQ9">
        <f>survey_responses[[#This Row],[Tôi thấy mức thuế tôi phải đóng theo phương án mới là công bằng (người thu nhập như tôi đóng mức này là hợp lý). - HUMAN-TRU2]]</f>
        <v>2</v>
      </c>
      <c r="AR9">
        <f t="shared" si="15"/>
        <v>0.1111111111111111</v>
      </c>
      <c r="AS9">
        <f>step3_validation[[#This Row],[AI_TRU3]]</f>
        <v>8</v>
      </c>
      <c r="AT9">
        <f t="shared" si="16"/>
        <v>0.77777777777777779</v>
      </c>
      <c r="AU9">
        <f>survey_responses[[#This Row],[Tôi tin tưởng số tiền thuế tôi đóng sẽ được Nhà nước sử dụng hiệu quả để cải thiện dịch vụ công (y tế, đường xá...). - HUMAN-TRU3]]</f>
        <v>7</v>
      </c>
      <c r="AV9">
        <f t="shared" si="17"/>
        <v>0.66666666666666663</v>
      </c>
      <c r="AW9">
        <f>step3_validation[[#This Row],[AI_TRU4]]</f>
        <v>7</v>
      </c>
      <c r="AX9">
        <f t="shared" si="18"/>
        <v>0.66666666666666663</v>
      </c>
      <c r="AY9">
        <f>survey_responses[[#This Row],[Tôi thấy Nhà nước đã giải thích rõ ràng, minh bạch về lý do và mục tiêu của việc sửa đổi thuế lần này. - HUMAN-TRU4]]</f>
        <v>3</v>
      </c>
      <c r="AZ9">
        <f t="shared" si="19"/>
        <v>0.22222222222222221</v>
      </c>
      <c r="BA9" s="32">
        <f t="shared" si="20"/>
        <v>0.74999999999999989</v>
      </c>
      <c r="BB9" s="32">
        <f t="shared" si="21"/>
        <v>0.38888888888888895</v>
      </c>
      <c r="BC9" s="7">
        <f t="shared" si="22"/>
        <v>0.7314814814814814</v>
      </c>
      <c r="BD9" s="7">
        <f t="shared" si="23"/>
        <v>0.1851851851851852</v>
      </c>
      <c r="BE9">
        <f>step3_validation[[#This Row],[AI_OUT1]]</f>
        <v>8</v>
      </c>
      <c r="BF9">
        <f t="shared" si="24"/>
        <v>0.77777777777777779</v>
      </c>
      <c r="BG9">
        <f>survey_responses[[#This Row],[Sau khi xem xét các quyền lợi và nghĩa vụ, bạn có ủng hộ và tuân thủ chính sách mới hiện nay? - HUMAN-OUT1]]</f>
        <v>3</v>
      </c>
      <c r="BH9">
        <f t="shared" si="25"/>
        <v>0.22222222222222221</v>
      </c>
      <c r="BI9" s="32">
        <f t="shared" si="26"/>
        <v>5</v>
      </c>
    </row>
    <row r="10" spans="1:61" x14ac:dyDescent="0.45">
      <c r="A10" s="30">
        <f>step3_validation[[#This Row],[Persona_ID]]</f>
        <v>9</v>
      </c>
      <c r="B10" s="31">
        <f>step3_validation[[#This Row],[Used_Seed]]</f>
        <v>9</v>
      </c>
      <c r="C10" t="str">
        <f>step3_validation[[#This Row],[Gender]]</f>
        <v>Nữ</v>
      </c>
      <c r="D10" t="str">
        <f>survey_responses[[#This Row],[Giới tính của bạn:]]</f>
        <v>Nữ</v>
      </c>
      <c r="E10" t="str">
        <f>step3_validation[[#This Row],[Age_Group]]</f>
        <v>25 - 29</v>
      </c>
      <c r="F10" t="str">
        <f>survey_responses[[#This Row],[Độ tuổi của bạn:]]</f>
        <v>25 - 29</v>
      </c>
      <c r="G10" t="str">
        <f>step3_validation[[#This Row],[Region]]</f>
        <v>Nông thôn</v>
      </c>
      <c r="H10" t="str">
        <f>survey_responses[[#This Row],[Khu vực bạn đang sinh sống:]]</f>
        <v>Nông thôn</v>
      </c>
      <c r="I10" t="str">
        <f>step3_validation[[#This Row],[Education]]</f>
        <v>Đại học</v>
      </c>
      <c r="J10" t="str">
        <f>survey_responses[[#This Row],[Trình độ học vấn cao nhất:]]</f>
        <v>Đại học</v>
      </c>
      <c r="K10" t="str">
        <f>step3_validation[[#This Row],[Employment]]</f>
        <v>Phi chính thức</v>
      </c>
      <c r="L10" t="str">
        <f>survey_responses[[#This Row],[Tình trạng việc làm chính:]]</f>
        <v>Khu vực phi chính thức (Lao động tự do, không có HĐLĐ)</v>
      </c>
      <c r="M10">
        <f>step3_validation[[#This Row],[Income_Mil]]</f>
        <v>16.351246019850421</v>
      </c>
      <c r="N10" t="str">
        <f>survey_responses[[#This Row],[Thu nhập bình quân tháng theo Hợp đồng lao động của bạn là bao nhiêu? (Vui lòng điền tổng thu nhập trước khi khấu trừ các loại Bảo hiểm (BHXH, BHYT, BHTN) và Thuế TNCN)]]</f>
        <v>Từ 12 - 18 triệu VNĐ</v>
      </c>
      <c r="O10">
        <f>step3_validation[[#This Row],[Dependents]]</f>
        <v>1</v>
      </c>
      <c r="P10" t="str">
        <f>survey_responses[[#This Row],[Số người phụ thuộc (con nhỏ, cha mẹ già...) đủ điều kiện giảm trừ gia cảnh:]]</f>
        <v>1 người</v>
      </c>
      <c r="Q10">
        <f>step3_validation[[#This Row],[AI_ENF1]]</f>
        <v>3</v>
      </c>
      <c r="R10">
        <f t="shared" si="0"/>
        <v>0.22222222222222221</v>
      </c>
      <c r="S10">
        <f>survey_responses[[#This Row],[Tôi tin rằng với các quy định quản lý thuế hiện nay, hành vi gian lận hoặc trốn thuế sẽ dễ dàng bị phát hiện và xử lý nghiêm. - HUMAN-ENF1]]</f>
        <v>10</v>
      </c>
      <c r="T10">
        <f t="shared" si="1"/>
        <v>1</v>
      </c>
      <c r="U10">
        <f>step3_validation[[#This Row],[AI_ENF2]]</f>
        <v>5</v>
      </c>
      <c r="V10">
        <f t="shared" si="2"/>
        <v>0.44444444444444442</v>
      </c>
      <c r="W10">
        <f>survey_responses[[#This Row],[Tôi tin rằng Nhà nước, cơ quan thuế có đủ khả năng và công nghệ để phát hiện, xử lý nghiêm các hành vi trốn thuế. - HUMAN-ENF2]]</f>
        <v>10</v>
      </c>
      <c r="X10">
        <f t="shared" si="3"/>
        <v>1</v>
      </c>
      <c r="Y10" s="32">
        <f t="shared" si="4"/>
        <v>0.33333333333333331</v>
      </c>
      <c r="Z10" s="32">
        <f t="shared" si="5"/>
        <v>1</v>
      </c>
      <c r="AA10">
        <f>step3_validation[[#This Row],[AI_FAC1]]</f>
        <v>7</v>
      </c>
      <c r="AB10">
        <f t="shared" si="6"/>
        <v>0.66666666666666663</v>
      </c>
      <c r="AC10">
        <f>survey_responses[[#This Row],[Các thủ tục khai báo thuế VÀ/HOẶC quy trình làm việc với cơ quan thuế đơn giản, tiện lợi, nhanh chóng hơn so với trước đây. - HUMAN-FAC1]]</f>
        <v>8</v>
      </c>
      <c r="AD10">
        <f t="shared" si="7"/>
        <v>0.77777777777777779</v>
      </c>
      <c r="AE10">
        <f>step3_validation[[#This Row],[AI_FAC2]]</f>
        <v>9</v>
      </c>
      <c r="AF10">
        <f t="shared" si="8"/>
        <v>0.88888888888888884</v>
      </c>
      <c r="AG10">
        <f>survey_responses[[#This Row],[So với trước đây, tôi thấy cách tính thuế và các bậc thuế trong phương án mới đơn giản, dễ hiểu và dễ thực hiện hơn. - HUMAN-FAC2]]</f>
        <v>7</v>
      </c>
      <c r="AH10">
        <f t="shared" si="9"/>
        <v>0.66666666666666663</v>
      </c>
      <c r="AI10" s="32">
        <f t="shared" si="10"/>
        <v>0.77777777777777768</v>
      </c>
      <c r="AJ10" s="32">
        <f t="shared" si="11"/>
        <v>0.72222222222222221</v>
      </c>
      <c r="AK10">
        <f>step3_validation[[#This Row],[AI_TRU1]]</f>
        <v>6</v>
      </c>
      <c r="AL10">
        <f t="shared" si="12"/>
        <v>0.55555555555555558</v>
      </c>
      <c r="AM10">
        <f>survey_responses[[#This Row],[Tôi tin rằng Nhà nước, cơ quan thuế sẽ thực thi chính sách mới một cách khách quan, công tâm và đối xử bình đẳng với mọi người nộp thuế.  - HUMAN-TRU1]]</f>
        <v>7</v>
      </c>
      <c r="AN10">
        <f t="shared" si="13"/>
        <v>0.66666666666666663</v>
      </c>
      <c r="AO10">
        <f>step3_validation[[#This Row],[AI_TRU2]]</f>
        <v>8</v>
      </c>
      <c r="AP10">
        <f t="shared" si="14"/>
        <v>0.77777777777777779</v>
      </c>
      <c r="AQ10">
        <f>survey_responses[[#This Row],[Tôi thấy mức thuế tôi phải đóng theo phương án mới là công bằng (người thu nhập như tôi đóng mức này là hợp lý). - HUMAN-TRU2]]</f>
        <v>5</v>
      </c>
      <c r="AR10">
        <f t="shared" si="15"/>
        <v>0.44444444444444442</v>
      </c>
      <c r="AS10">
        <f>step3_validation[[#This Row],[AI_TRU3]]</f>
        <v>7</v>
      </c>
      <c r="AT10">
        <f t="shared" si="16"/>
        <v>0.66666666666666663</v>
      </c>
      <c r="AU10">
        <f>survey_responses[[#This Row],[Tôi tin tưởng số tiền thuế tôi đóng sẽ được Nhà nước sử dụng hiệu quả để cải thiện dịch vụ công (y tế, đường xá...). - HUMAN-TRU3]]</f>
        <v>5</v>
      </c>
      <c r="AV10">
        <f t="shared" si="17"/>
        <v>0.44444444444444442</v>
      </c>
      <c r="AW10">
        <f>step3_validation[[#This Row],[AI_TRU4]]</f>
        <v>6</v>
      </c>
      <c r="AX10">
        <f t="shared" si="18"/>
        <v>0.55555555555555558</v>
      </c>
      <c r="AY10">
        <f>survey_responses[[#This Row],[Tôi thấy Nhà nước đã giải thích rõ ràng, minh bạch về lý do và mục tiêu của việc sửa đổi thuế lần này. - HUMAN-TRU4]]</f>
        <v>9</v>
      </c>
      <c r="AZ10">
        <f t="shared" si="19"/>
        <v>0.88888888888888884</v>
      </c>
      <c r="BA10" s="32">
        <f t="shared" si="20"/>
        <v>0.63888888888888884</v>
      </c>
      <c r="BB10" s="32">
        <f t="shared" si="21"/>
        <v>0.61111111111111116</v>
      </c>
      <c r="BC10" s="7">
        <f t="shared" si="22"/>
        <v>0.58333333333333326</v>
      </c>
      <c r="BD10" s="7">
        <f t="shared" si="23"/>
        <v>0.77777777777777779</v>
      </c>
      <c r="BE10">
        <f>step3_validation[[#This Row],[AI_OUT1]]</f>
        <v>8</v>
      </c>
      <c r="BF10">
        <f t="shared" si="24"/>
        <v>0.77777777777777779</v>
      </c>
      <c r="BG10">
        <f>survey_responses[[#This Row],[Sau khi xem xét các quyền lợi và nghĩa vụ, bạn có ủng hộ và tuân thủ chính sách mới hiện nay? - HUMAN-OUT1]]</f>
        <v>8</v>
      </c>
      <c r="BH10">
        <f t="shared" si="25"/>
        <v>0.77777777777777779</v>
      </c>
      <c r="BI10" s="32">
        <f t="shared" si="26"/>
        <v>0</v>
      </c>
    </row>
    <row r="11" spans="1:61" x14ac:dyDescent="0.45">
      <c r="A11" s="30">
        <f>step3_validation[[#This Row],[Persona_ID]]</f>
        <v>10</v>
      </c>
      <c r="B11" s="31">
        <f>step3_validation[[#This Row],[Used_Seed]]</f>
        <v>10</v>
      </c>
      <c r="C11" t="str">
        <f>step3_validation[[#This Row],[Gender]]</f>
        <v>Nữ</v>
      </c>
      <c r="D11" t="str">
        <f>survey_responses[[#This Row],[Giới tính của bạn:]]</f>
        <v>Nữ</v>
      </c>
      <c r="E11" t="str">
        <f>step3_validation[[#This Row],[Age_Group]]</f>
        <v>25 - 29</v>
      </c>
      <c r="F11" t="str">
        <f>survey_responses[[#This Row],[Độ tuổi của bạn:]]</f>
        <v>25 - 29</v>
      </c>
      <c r="G11" t="str">
        <f>step3_validation[[#This Row],[Region]]</f>
        <v>Thành thị</v>
      </c>
      <c r="H11" t="str">
        <f>survey_responses[[#This Row],[Khu vực bạn đang sinh sống:]]</f>
        <v>Thành thị</v>
      </c>
      <c r="I11" t="str">
        <f>step3_validation[[#This Row],[Education]]</f>
        <v>Đại học</v>
      </c>
      <c r="J11" t="str">
        <f>survey_responses[[#This Row],[Trình độ học vấn cao nhất:]]</f>
        <v>Đại học</v>
      </c>
      <c r="K11" t="str">
        <f>step3_validation[[#This Row],[Employment]]</f>
        <v>Chính thức</v>
      </c>
      <c r="L11" t="str">
        <f>survey_responses[[#This Row],[Tình trạng việc làm chính:]]</f>
        <v>Khu vực chính thức (Có Hợp đồng lao động, đóng BHXH)</v>
      </c>
      <c r="M11">
        <f>step3_validation[[#This Row],[Income_Mil]]</f>
        <v>21.824006838515903</v>
      </c>
      <c r="N11" t="str">
        <f>survey_responses[[#This Row],[Thu nhập bình quân tháng theo Hợp đồng lao động của bạn là bao nhiêu? (Vui lòng điền tổng thu nhập trước khi khấu trừ các loại Bảo hiểm (BHXH, BHYT, BHTN) và Thuế TNCN)]]</f>
        <v>Từ 18 - 23 triệu VNĐ</v>
      </c>
      <c r="O11">
        <f>step3_validation[[#This Row],[Dependents]]</f>
        <v>0</v>
      </c>
      <c r="P11" t="str">
        <f>survey_responses[[#This Row],[Số người phụ thuộc (con nhỏ, cha mẹ già...) đủ điều kiện giảm trừ gia cảnh:]]</f>
        <v>0 người</v>
      </c>
      <c r="Q11">
        <f>step3_validation[[#This Row],[AI_ENF1]]</f>
        <v>9</v>
      </c>
      <c r="R11">
        <f t="shared" si="0"/>
        <v>0.88888888888888884</v>
      </c>
      <c r="S11">
        <f>survey_responses[[#This Row],[Tôi tin rằng với các quy định quản lý thuế hiện nay, hành vi gian lận hoặc trốn thuế sẽ dễ dàng bị phát hiện và xử lý nghiêm. - HUMAN-ENF1]]</f>
        <v>7</v>
      </c>
      <c r="T11">
        <f t="shared" si="1"/>
        <v>0.66666666666666663</v>
      </c>
      <c r="U11">
        <f>step3_validation[[#This Row],[AI_ENF2]]</f>
        <v>8</v>
      </c>
      <c r="V11">
        <f t="shared" si="2"/>
        <v>0.77777777777777779</v>
      </c>
      <c r="W11">
        <f>survey_responses[[#This Row],[Tôi tin rằng Nhà nước, cơ quan thuế có đủ khả năng và công nghệ để phát hiện, xử lý nghiêm các hành vi trốn thuế. - HUMAN-ENF2]]</f>
        <v>10</v>
      </c>
      <c r="X11">
        <f t="shared" si="3"/>
        <v>1</v>
      </c>
      <c r="Y11" s="32">
        <f t="shared" si="4"/>
        <v>0.83333333333333326</v>
      </c>
      <c r="Z11" s="32">
        <f t="shared" si="5"/>
        <v>0.83333333333333326</v>
      </c>
      <c r="AA11">
        <f>step3_validation[[#This Row],[AI_FAC1]]</f>
        <v>9</v>
      </c>
      <c r="AB11">
        <f t="shared" si="6"/>
        <v>0.88888888888888884</v>
      </c>
      <c r="AC11">
        <f>survey_responses[[#This Row],[Các thủ tục khai báo thuế VÀ/HOẶC quy trình làm việc với cơ quan thuế đơn giản, tiện lợi, nhanh chóng hơn so với trước đây. - HUMAN-FAC1]]</f>
        <v>1</v>
      </c>
      <c r="AD11">
        <f t="shared" si="7"/>
        <v>0</v>
      </c>
      <c r="AE11">
        <f>step3_validation[[#This Row],[AI_FAC2]]</f>
        <v>10</v>
      </c>
      <c r="AF11">
        <f t="shared" si="8"/>
        <v>1</v>
      </c>
      <c r="AG11">
        <f>survey_responses[[#This Row],[So với trước đây, tôi thấy cách tính thuế và các bậc thuế trong phương án mới đơn giản, dễ hiểu và dễ thực hiện hơn. - HUMAN-FAC2]]</f>
        <v>5</v>
      </c>
      <c r="AH11">
        <f t="shared" si="9"/>
        <v>0.44444444444444442</v>
      </c>
      <c r="AI11" s="32">
        <f t="shared" si="10"/>
        <v>0.94444444444444442</v>
      </c>
      <c r="AJ11" s="32">
        <f t="shared" si="11"/>
        <v>0.22222222222222221</v>
      </c>
      <c r="AK11">
        <f>step3_validation[[#This Row],[AI_TRU1]]</f>
        <v>9</v>
      </c>
      <c r="AL11">
        <f t="shared" si="12"/>
        <v>0.88888888888888884</v>
      </c>
      <c r="AM11">
        <f>survey_responses[[#This Row],[Tôi tin rằng Nhà nước, cơ quan thuế sẽ thực thi chính sách mới một cách khách quan, công tâm và đối xử bình đẳng với mọi người nộp thuế.  - HUMAN-TRU1]]</f>
        <v>8</v>
      </c>
      <c r="AN11">
        <f t="shared" si="13"/>
        <v>0.77777777777777779</v>
      </c>
      <c r="AO11">
        <f>step3_validation[[#This Row],[AI_TRU2]]</f>
        <v>10</v>
      </c>
      <c r="AP11">
        <f t="shared" si="14"/>
        <v>1</v>
      </c>
      <c r="AQ11">
        <f>survey_responses[[#This Row],[Tôi thấy mức thuế tôi phải đóng theo phương án mới là công bằng (người thu nhập như tôi đóng mức này là hợp lý). - HUMAN-TRU2]]</f>
        <v>5</v>
      </c>
      <c r="AR11">
        <f t="shared" si="15"/>
        <v>0.44444444444444442</v>
      </c>
      <c r="AS11">
        <f>step3_validation[[#This Row],[AI_TRU3]]</f>
        <v>9</v>
      </c>
      <c r="AT11">
        <f t="shared" si="16"/>
        <v>0.88888888888888884</v>
      </c>
      <c r="AU11">
        <f>survey_responses[[#This Row],[Tôi tin tưởng số tiền thuế tôi đóng sẽ được Nhà nước sử dụng hiệu quả để cải thiện dịch vụ công (y tế, đường xá...). - HUMAN-TRU3]]</f>
        <v>5</v>
      </c>
      <c r="AV11">
        <f t="shared" si="17"/>
        <v>0.44444444444444442</v>
      </c>
      <c r="AW11">
        <f>step3_validation[[#This Row],[AI_TRU4]]</f>
        <v>8</v>
      </c>
      <c r="AX11">
        <f t="shared" si="18"/>
        <v>0.77777777777777779</v>
      </c>
      <c r="AY11">
        <f>survey_responses[[#This Row],[Tôi thấy Nhà nước đã giải thích rõ ràng, minh bạch về lý do và mục tiêu của việc sửa đổi thuế lần này. - HUMAN-TRU4]]</f>
        <v>5</v>
      </c>
      <c r="AZ11">
        <f t="shared" si="19"/>
        <v>0.44444444444444442</v>
      </c>
      <c r="BA11" s="32">
        <f t="shared" si="20"/>
        <v>0.88888888888888884</v>
      </c>
      <c r="BB11" s="32">
        <f t="shared" si="21"/>
        <v>0.52777777777777779</v>
      </c>
      <c r="BC11" s="7">
        <f t="shared" si="22"/>
        <v>0.88888888888888884</v>
      </c>
      <c r="BD11" s="7">
        <f t="shared" si="23"/>
        <v>0.52777777777777768</v>
      </c>
      <c r="BE11">
        <f>step3_validation[[#This Row],[AI_OUT1]]</f>
        <v>9</v>
      </c>
      <c r="BF11">
        <f t="shared" si="24"/>
        <v>0.88888888888888884</v>
      </c>
      <c r="BG11">
        <f>survey_responses[[#This Row],[Sau khi xem xét các quyền lợi và nghĩa vụ, bạn có ủng hộ và tuân thủ chính sách mới hiện nay? - HUMAN-OUT1]]</f>
        <v>10</v>
      </c>
      <c r="BH11">
        <f t="shared" si="25"/>
        <v>1</v>
      </c>
      <c r="BI11" s="32">
        <f t="shared" si="26"/>
        <v>1</v>
      </c>
    </row>
    <row r="12" spans="1:61" x14ac:dyDescent="0.45">
      <c r="A12" s="30">
        <f>step3_validation[[#This Row],[Persona_ID]]</f>
        <v>11</v>
      </c>
      <c r="B12" s="31">
        <f>step3_validation[[#This Row],[Used_Seed]]</f>
        <v>11</v>
      </c>
      <c r="C12" t="str">
        <f>step3_validation[[#This Row],[Gender]]</f>
        <v>Nam</v>
      </c>
      <c r="D12" t="str">
        <f>survey_responses[[#This Row],[Giới tính của bạn:]]</f>
        <v>Nam</v>
      </c>
      <c r="E12" t="str">
        <f>step3_validation[[#This Row],[Age_Group]]</f>
        <v>30 - 39</v>
      </c>
      <c r="F12" t="str">
        <f>survey_responses[[#This Row],[Độ tuổi của bạn:]]</f>
        <v>30 - 39</v>
      </c>
      <c r="G12" t="str">
        <f>step3_validation[[#This Row],[Region]]</f>
        <v>Thành thị</v>
      </c>
      <c r="H12" t="str">
        <f>survey_responses[[#This Row],[Khu vực bạn đang sinh sống:]]</f>
        <v>Thành thị</v>
      </c>
      <c r="I12" t="str">
        <f>step3_validation[[#This Row],[Education]]</f>
        <v>Sau Đại học</v>
      </c>
      <c r="J12" t="str">
        <f>survey_responses[[#This Row],[Trình độ học vấn cao nhất:]]</f>
        <v>Sau Đại học</v>
      </c>
      <c r="K12" t="str">
        <f>step3_validation[[#This Row],[Employment]]</f>
        <v>Phi chính thức</v>
      </c>
      <c r="L12" t="str">
        <f>survey_responses[[#This Row],[Tình trạng việc làm chính:]]</f>
        <v>Khu vực phi chính thức (Lao động tự do, không có HĐLĐ)</v>
      </c>
      <c r="M12">
        <f>step3_validation[[#This Row],[Income_Mil]]</f>
        <v>33.928553041537995</v>
      </c>
      <c r="N12" t="str">
        <f>survey_responses[[#This Row],[Thu nhập bình quân tháng theo Hợp đồng lao động của bạn là bao nhiêu? (Vui lòng điền tổng thu nhập trước khi khấu trừ các loại Bảo hiểm (BHXH, BHYT, BHTN) và Thuế TNCN)]]</f>
        <v>Từ 32 - 48 triệu VNĐ</v>
      </c>
      <c r="O12">
        <f>step3_validation[[#This Row],[Dependents]]</f>
        <v>4</v>
      </c>
      <c r="P12" t="str">
        <f>survey_responses[[#This Row],[Số người phụ thuộc (con nhỏ, cha mẹ già...) đủ điều kiện giảm trừ gia cảnh:]]</f>
        <v>4 người trở lên</v>
      </c>
      <c r="Q12">
        <f>step3_validation[[#This Row],[AI_ENF1]]</f>
        <v>3</v>
      </c>
      <c r="R12">
        <f t="shared" si="0"/>
        <v>0.22222222222222221</v>
      </c>
      <c r="S12">
        <f>survey_responses[[#This Row],[Tôi tin rằng với các quy định quản lý thuế hiện nay, hành vi gian lận hoặc trốn thuế sẽ dễ dàng bị phát hiện và xử lý nghiêm. - HUMAN-ENF1]]</f>
        <v>10</v>
      </c>
      <c r="T12">
        <f t="shared" si="1"/>
        <v>1</v>
      </c>
      <c r="U12">
        <f>step3_validation[[#This Row],[AI_ENF2]]</f>
        <v>5</v>
      </c>
      <c r="V12">
        <f t="shared" si="2"/>
        <v>0.44444444444444442</v>
      </c>
      <c r="W12">
        <f>survey_responses[[#This Row],[Tôi tin rằng Nhà nước, cơ quan thuế có đủ khả năng và công nghệ để phát hiện, xử lý nghiêm các hành vi trốn thuế. - HUMAN-ENF2]]</f>
        <v>3</v>
      </c>
      <c r="X12">
        <f t="shared" si="3"/>
        <v>0.22222222222222221</v>
      </c>
      <c r="Y12" s="32">
        <f t="shared" si="4"/>
        <v>0.33333333333333331</v>
      </c>
      <c r="Z12" s="32">
        <f t="shared" si="5"/>
        <v>0.61111111111111116</v>
      </c>
      <c r="AA12">
        <f>step3_validation[[#This Row],[AI_FAC1]]</f>
        <v>8</v>
      </c>
      <c r="AB12">
        <f t="shared" si="6"/>
        <v>0.77777777777777779</v>
      </c>
      <c r="AC12">
        <f>survey_responses[[#This Row],[Các thủ tục khai báo thuế VÀ/HOẶC quy trình làm việc với cơ quan thuế đơn giản, tiện lợi, nhanh chóng hơn so với trước đây. - HUMAN-FAC1]]</f>
        <v>1</v>
      </c>
      <c r="AD12">
        <f t="shared" si="7"/>
        <v>0</v>
      </c>
      <c r="AE12">
        <f>step3_validation[[#This Row],[AI_FAC2]]</f>
        <v>7</v>
      </c>
      <c r="AF12">
        <f t="shared" si="8"/>
        <v>0.66666666666666663</v>
      </c>
      <c r="AG12">
        <f>survey_responses[[#This Row],[So với trước đây, tôi thấy cách tính thuế và các bậc thuế trong phương án mới đơn giản, dễ hiểu và dễ thực hiện hơn. - HUMAN-FAC2]]</f>
        <v>7</v>
      </c>
      <c r="AH12">
        <f t="shared" si="9"/>
        <v>0.66666666666666663</v>
      </c>
      <c r="AI12" s="32">
        <f t="shared" si="10"/>
        <v>0.72222222222222221</v>
      </c>
      <c r="AJ12" s="32">
        <f t="shared" si="11"/>
        <v>0.33333333333333331</v>
      </c>
      <c r="AK12">
        <f>step3_validation[[#This Row],[AI_TRU1]]</f>
        <v>9</v>
      </c>
      <c r="AL12">
        <f t="shared" si="12"/>
        <v>0.88888888888888884</v>
      </c>
      <c r="AM12">
        <f>survey_responses[[#This Row],[Tôi tin rằng Nhà nước, cơ quan thuế sẽ thực thi chính sách mới một cách khách quan, công tâm và đối xử bình đẳng với mọi người nộp thuế.  - HUMAN-TRU1]]</f>
        <v>1</v>
      </c>
      <c r="AN12">
        <f t="shared" si="13"/>
        <v>0</v>
      </c>
      <c r="AO12">
        <f>step3_validation[[#This Row],[AI_TRU2]]</f>
        <v>8</v>
      </c>
      <c r="AP12">
        <f t="shared" si="14"/>
        <v>0.77777777777777779</v>
      </c>
      <c r="AQ12">
        <f>survey_responses[[#This Row],[Tôi thấy mức thuế tôi phải đóng theo phương án mới là công bằng (người thu nhập như tôi đóng mức này là hợp lý). - HUMAN-TRU2]]</f>
        <v>5</v>
      </c>
      <c r="AR12">
        <f t="shared" si="15"/>
        <v>0.44444444444444442</v>
      </c>
      <c r="AS12">
        <f>step3_validation[[#This Row],[AI_TRU3]]</f>
        <v>9</v>
      </c>
      <c r="AT12">
        <f t="shared" si="16"/>
        <v>0.88888888888888884</v>
      </c>
      <c r="AU12">
        <f>survey_responses[[#This Row],[Tôi tin tưởng số tiền thuế tôi đóng sẽ được Nhà nước sử dụng hiệu quả để cải thiện dịch vụ công (y tế, đường xá...). - HUMAN-TRU3]]</f>
        <v>1</v>
      </c>
      <c r="AV12">
        <f t="shared" si="17"/>
        <v>0</v>
      </c>
      <c r="AW12">
        <f>step3_validation[[#This Row],[AI_TRU4]]</f>
        <v>7</v>
      </c>
      <c r="AX12">
        <f t="shared" si="18"/>
        <v>0.66666666666666663</v>
      </c>
      <c r="AY12">
        <f>survey_responses[[#This Row],[Tôi thấy Nhà nước đã giải thích rõ ràng, minh bạch về lý do và mục tiêu của việc sửa đổi thuế lần này. - HUMAN-TRU4]]</f>
        <v>8</v>
      </c>
      <c r="AZ12">
        <f t="shared" si="19"/>
        <v>0.77777777777777779</v>
      </c>
      <c r="BA12" s="32">
        <f t="shared" si="20"/>
        <v>0.80555555555555547</v>
      </c>
      <c r="BB12" s="32">
        <f t="shared" si="21"/>
        <v>0.30555555555555558</v>
      </c>
      <c r="BC12" s="7">
        <f t="shared" si="22"/>
        <v>0.62037037037037035</v>
      </c>
      <c r="BD12" s="7">
        <f t="shared" si="23"/>
        <v>0.41666666666666669</v>
      </c>
      <c r="BE12">
        <f>step3_validation[[#This Row],[AI_OUT1]]</f>
        <v>9</v>
      </c>
      <c r="BF12">
        <f t="shared" si="24"/>
        <v>0.88888888888888884</v>
      </c>
      <c r="BG12">
        <f>survey_responses[[#This Row],[Sau khi xem xét các quyền lợi và nghĩa vụ, bạn có ủng hộ và tuân thủ chính sách mới hiện nay? - HUMAN-OUT1]]</f>
        <v>6</v>
      </c>
      <c r="BH12">
        <f t="shared" si="25"/>
        <v>0.55555555555555558</v>
      </c>
      <c r="BI12" s="32">
        <f t="shared" si="26"/>
        <v>3</v>
      </c>
    </row>
    <row r="13" spans="1:61" x14ac:dyDescent="0.45">
      <c r="A13" s="30">
        <f>step3_validation[[#This Row],[Persona_ID]]</f>
        <v>12</v>
      </c>
      <c r="B13" s="31">
        <f>step3_validation[[#This Row],[Used_Seed]]</f>
        <v>12</v>
      </c>
      <c r="C13" t="str">
        <f>step3_validation[[#This Row],[Gender]]</f>
        <v>Nữ</v>
      </c>
      <c r="D13" t="str">
        <f>survey_responses[[#This Row],[Giới tính của bạn:]]</f>
        <v>Nữ</v>
      </c>
      <c r="E13" t="str">
        <f>step3_validation[[#This Row],[Age_Group]]</f>
        <v>18 - 24</v>
      </c>
      <c r="F13" t="str">
        <f>survey_responses[[#This Row],[Độ tuổi của bạn:]]</f>
        <v>18 - 24</v>
      </c>
      <c r="G13" t="str">
        <f>step3_validation[[#This Row],[Region]]</f>
        <v>Thành thị</v>
      </c>
      <c r="H13" t="str">
        <f>survey_responses[[#This Row],[Khu vực bạn đang sinh sống:]]</f>
        <v>Thành thị</v>
      </c>
      <c r="I13" t="str">
        <f>step3_validation[[#This Row],[Education]]</f>
        <v>Đại học</v>
      </c>
      <c r="J13" t="str">
        <f>survey_responses[[#This Row],[Trình độ học vấn cao nhất:]]</f>
        <v>Đại học</v>
      </c>
      <c r="K13" t="str">
        <f>step3_validation[[#This Row],[Employment]]</f>
        <v>Chính thức</v>
      </c>
      <c r="L13" t="str">
        <f>survey_responses[[#This Row],[Tình trạng việc làm chính:]]</f>
        <v>Khu vực chính thức (Có Hợp đồng lao động, đóng BHXH)</v>
      </c>
      <c r="M13">
        <f>step3_validation[[#This Row],[Income_Mil]]</f>
        <v>12</v>
      </c>
      <c r="N13" t="str">
        <f>survey_responses[[#This Row],[Thu nhập bình quân tháng theo Hợp đồng lao động của bạn là bao nhiêu? (Vui lòng điền tổng thu nhập trước khi khấu trừ các loại Bảo hiểm (BHXH, BHYT, BHTN) và Thuế TNCN)]]</f>
        <v>Dưới 12 triệu VNĐ</v>
      </c>
      <c r="O13">
        <f>step3_validation[[#This Row],[Dependents]]</f>
        <v>0</v>
      </c>
      <c r="P13" t="str">
        <f>survey_responses[[#This Row],[Số người phụ thuộc (con nhỏ, cha mẹ già...) đủ điều kiện giảm trừ gia cảnh:]]</f>
        <v>0 người</v>
      </c>
      <c r="Q13">
        <f>step3_validation[[#This Row],[AI_ENF1]]</f>
        <v>6</v>
      </c>
      <c r="R13">
        <f t="shared" si="0"/>
        <v>0.55555555555555558</v>
      </c>
      <c r="S13">
        <f>survey_responses[[#This Row],[Tôi tin rằng với các quy định quản lý thuế hiện nay, hành vi gian lận hoặc trốn thuế sẽ dễ dàng bị phát hiện và xử lý nghiêm. - HUMAN-ENF1]]</f>
        <v>5</v>
      </c>
      <c r="T13">
        <f t="shared" si="1"/>
        <v>0.44444444444444442</v>
      </c>
      <c r="U13">
        <f>step3_validation[[#This Row],[AI_ENF2]]</f>
        <v>7</v>
      </c>
      <c r="V13">
        <f t="shared" si="2"/>
        <v>0.66666666666666663</v>
      </c>
      <c r="W13">
        <f>survey_responses[[#This Row],[Tôi tin rằng Nhà nước, cơ quan thuế có đủ khả năng và công nghệ để phát hiện, xử lý nghiêm các hành vi trốn thuế. - HUMAN-ENF2]]</f>
        <v>8</v>
      </c>
      <c r="X13">
        <f t="shared" si="3"/>
        <v>0.77777777777777779</v>
      </c>
      <c r="Y13" s="32">
        <f t="shared" si="4"/>
        <v>0.61111111111111116</v>
      </c>
      <c r="Z13" s="32">
        <f t="shared" si="5"/>
        <v>0.61111111111111116</v>
      </c>
      <c r="AA13">
        <f>step3_validation[[#This Row],[AI_FAC1]]</f>
        <v>8</v>
      </c>
      <c r="AB13">
        <f t="shared" si="6"/>
        <v>0.77777777777777779</v>
      </c>
      <c r="AC13">
        <f>survey_responses[[#This Row],[Các thủ tục khai báo thuế VÀ/HOẶC quy trình làm việc với cơ quan thuế đơn giản, tiện lợi, nhanh chóng hơn so với trước đây. - HUMAN-FAC1]]</f>
        <v>5</v>
      </c>
      <c r="AD13">
        <f t="shared" si="7"/>
        <v>0.44444444444444442</v>
      </c>
      <c r="AE13">
        <f>step3_validation[[#This Row],[AI_FAC2]]</f>
        <v>9</v>
      </c>
      <c r="AF13">
        <f t="shared" si="8"/>
        <v>0.88888888888888884</v>
      </c>
      <c r="AG13">
        <f>survey_responses[[#This Row],[So với trước đây, tôi thấy cách tính thuế và các bậc thuế trong phương án mới đơn giản, dễ hiểu và dễ thực hiện hơn. - HUMAN-FAC2]]</f>
        <v>5</v>
      </c>
      <c r="AH13">
        <f t="shared" si="9"/>
        <v>0.44444444444444442</v>
      </c>
      <c r="AI13" s="32">
        <f t="shared" si="10"/>
        <v>0.83333333333333326</v>
      </c>
      <c r="AJ13" s="32">
        <f t="shared" si="11"/>
        <v>0.44444444444444442</v>
      </c>
      <c r="AK13">
        <f>step3_validation[[#This Row],[AI_TRU1]]</f>
        <v>7</v>
      </c>
      <c r="AL13">
        <f t="shared" si="12"/>
        <v>0.66666666666666663</v>
      </c>
      <c r="AM13">
        <f>survey_responses[[#This Row],[Tôi tin rằng Nhà nước, cơ quan thuế sẽ thực thi chính sách mới một cách khách quan, công tâm và đối xử bình đẳng với mọi người nộp thuế.  - HUMAN-TRU1]]</f>
        <v>6</v>
      </c>
      <c r="AN13">
        <f t="shared" si="13"/>
        <v>0.55555555555555558</v>
      </c>
      <c r="AO13">
        <f>step3_validation[[#This Row],[AI_TRU2]]</f>
        <v>9</v>
      </c>
      <c r="AP13">
        <f t="shared" si="14"/>
        <v>0.88888888888888884</v>
      </c>
      <c r="AQ13">
        <f>survey_responses[[#This Row],[Tôi thấy mức thuế tôi phải đóng theo phương án mới là công bằng (người thu nhập như tôi đóng mức này là hợp lý). - HUMAN-TRU2]]</f>
        <v>5</v>
      </c>
      <c r="AR13">
        <f t="shared" si="15"/>
        <v>0.44444444444444442</v>
      </c>
      <c r="AS13">
        <f>step3_validation[[#This Row],[AI_TRU3]]</f>
        <v>8</v>
      </c>
      <c r="AT13">
        <f t="shared" si="16"/>
        <v>0.77777777777777779</v>
      </c>
      <c r="AU13">
        <f>survey_responses[[#This Row],[Tôi tin tưởng số tiền thuế tôi đóng sẽ được Nhà nước sử dụng hiệu quả để cải thiện dịch vụ công (y tế, đường xá...). - HUMAN-TRU3]]</f>
        <v>5</v>
      </c>
      <c r="AV13">
        <f t="shared" si="17"/>
        <v>0.44444444444444442</v>
      </c>
      <c r="AW13">
        <f>step3_validation[[#This Row],[AI_TRU4]]</f>
        <v>7</v>
      </c>
      <c r="AX13">
        <f t="shared" si="18"/>
        <v>0.66666666666666663</v>
      </c>
      <c r="AY13">
        <f>survey_responses[[#This Row],[Tôi thấy Nhà nước đã giải thích rõ ràng, minh bạch về lý do và mục tiêu của việc sửa đổi thuế lần này. - HUMAN-TRU4]]</f>
        <v>5</v>
      </c>
      <c r="AZ13">
        <f t="shared" si="19"/>
        <v>0.44444444444444442</v>
      </c>
      <c r="BA13" s="32">
        <f t="shared" si="20"/>
        <v>0.74999999999999989</v>
      </c>
      <c r="BB13" s="32">
        <f t="shared" si="21"/>
        <v>0.47222222222222221</v>
      </c>
      <c r="BC13" s="7">
        <f t="shared" si="22"/>
        <v>0.7314814814814814</v>
      </c>
      <c r="BD13" s="7">
        <f t="shared" si="23"/>
        <v>0.50925925925925919</v>
      </c>
      <c r="BE13">
        <f>step3_validation[[#This Row],[AI_OUT1]]</f>
        <v>9</v>
      </c>
      <c r="BF13">
        <f t="shared" si="24"/>
        <v>0.88888888888888884</v>
      </c>
      <c r="BG13">
        <f>survey_responses[[#This Row],[Sau khi xem xét các quyền lợi và nghĩa vụ, bạn có ủng hộ và tuân thủ chính sách mới hiện nay? - HUMAN-OUT1]]</f>
        <v>5</v>
      </c>
      <c r="BH13">
        <f t="shared" si="25"/>
        <v>0.44444444444444442</v>
      </c>
      <c r="BI13" s="32">
        <f t="shared" si="26"/>
        <v>4</v>
      </c>
    </row>
    <row r="14" spans="1:61" x14ac:dyDescent="0.45">
      <c r="A14" s="30">
        <f>step3_validation[[#This Row],[Persona_ID]]</f>
        <v>13</v>
      </c>
      <c r="B14" s="31">
        <f>step3_validation[[#This Row],[Used_Seed]]</f>
        <v>13</v>
      </c>
      <c r="C14" t="str">
        <f>step3_validation[[#This Row],[Gender]]</f>
        <v>Nữ</v>
      </c>
      <c r="D14" t="str">
        <f>survey_responses[[#This Row],[Giới tính của bạn:]]</f>
        <v>Nữ</v>
      </c>
      <c r="E14" t="str">
        <f>step3_validation[[#This Row],[Age_Group]]</f>
        <v>18 - 24</v>
      </c>
      <c r="F14" t="str">
        <f>survey_responses[[#This Row],[Độ tuổi của bạn:]]</f>
        <v>18 - 24</v>
      </c>
      <c r="G14" t="str">
        <f>step3_validation[[#This Row],[Region]]</f>
        <v>Thành thị</v>
      </c>
      <c r="H14" t="str">
        <f>survey_responses[[#This Row],[Khu vực bạn đang sinh sống:]]</f>
        <v>Thành thị</v>
      </c>
      <c r="I14" t="str">
        <f>step3_validation[[#This Row],[Education]]</f>
        <v>Đại học</v>
      </c>
      <c r="J14" t="str">
        <f>survey_responses[[#This Row],[Trình độ học vấn cao nhất:]]</f>
        <v>Đại học</v>
      </c>
      <c r="K14" t="str">
        <f>step3_validation[[#This Row],[Employment]]</f>
        <v>Chính thức</v>
      </c>
      <c r="L14" t="str">
        <f>survey_responses[[#This Row],[Tình trạng việc làm chính:]]</f>
        <v>Khu vực chính thức (Có Hợp đồng lao động, đóng BHXH)</v>
      </c>
      <c r="M14">
        <f>step3_validation[[#This Row],[Income_Mil]]</f>
        <v>12</v>
      </c>
      <c r="N14" t="str">
        <f>survey_responses[[#This Row],[Thu nhập bình quân tháng theo Hợp đồng lao động của bạn là bao nhiêu? (Vui lòng điền tổng thu nhập trước khi khấu trừ các loại Bảo hiểm (BHXH, BHYT, BHTN) và Thuế TNCN)]]</f>
        <v>Dưới 12 triệu VNĐ</v>
      </c>
      <c r="O14">
        <f>step3_validation[[#This Row],[Dependents]]</f>
        <v>0</v>
      </c>
      <c r="P14" t="str">
        <f>survey_responses[[#This Row],[Số người phụ thuộc (con nhỏ, cha mẹ già...) đủ điều kiện giảm trừ gia cảnh:]]</f>
        <v>0 người</v>
      </c>
      <c r="Q14">
        <f>step3_validation[[#This Row],[AI_ENF1]]</f>
        <v>6</v>
      </c>
      <c r="R14">
        <f t="shared" si="0"/>
        <v>0.55555555555555558</v>
      </c>
      <c r="S14">
        <f>survey_responses[[#This Row],[Tôi tin rằng với các quy định quản lý thuế hiện nay, hành vi gian lận hoặc trốn thuế sẽ dễ dàng bị phát hiện và xử lý nghiêm. - HUMAN-ENF1]]</f>
        <v>8</v>
      </c>
      <c r="T14">
        <f t="shared" si="1"/>
        <v>0.77777777777777779</v>
      </c>
      <c r="U14">
        <f>step3_validation[[#This Row],[AI_ENF2]]</f>
        <v>7</v>
      </c>
      <c r="V14">
        <f t="shared" si="2"/>
        <v>0.66666666666666663</v>
      </c>
      <c r="W14">
        <f>survey_responses[[#This Row],[Tôi tin rằng Nhà nước, cơ quan thuế có đủ khả năng và công nghệ để phát hiện, xử lý nghiêm các hành vi trốn thuế. - HUMAN-ENF2]]</f>
        <v>7</v>
      </c>
      <c r="X14">
        <f t="shared" si="3"/>
        <v>0.66666666666666663</v>
      </c>
      <c r="Y14" s="32">
        <f t="shared" si="4"/>
        <v>0.61111111111111116</v>
      </c>
      <c r="Z14" s="32">
        <f t="shared" si="5"/>
        <v>0.72222222222222221</v>
      </c>
      <c r="AA14">
        <f>step3_validation[[#This Row],[AI_FAC1]]</f>
        <v>8</v>
      </c>
      <c r="AB14">
        <f t="shared" si="6"/>
        <v>0.77777777777777779</v>
      </c>
      <c r="AC14">
        <f>survey_responses[[#This Row],[Các thủ tục khai báo thuế VÀ/HOẶC quy trình làm việc với cơ quan thuế đơn giản, tiện lợi, nhanh chóng hơn so với trước đây. - HUMAN-FAC1]]</f>
        <v>7</v>
      </c>
      <c r="AD14">
        <f t="shared" si="7"/>
        <v>0.66666666666666663</v>
      </c>
      <c r="AE14">
        <f>step3_validation[[#This Row],[AI_FAC2]]</f>
        <v>9</v>
      </c>
      <c r="AF14">
        <f t="shared" si="8"/>
        <v>0.88888888888888884</v>
      </c>
      <c r="AG14">
        <f>survey_responses[[#This Row],[So với trước đây, tôi thấy cách tính thuế và các bậc thuế trong phương án mới đơn giản, dễ hiểu và dễ thực hiện hơn. - HUMAN-FAC2]]</f>
        <v>7</v>
      </c>
      <c r="AH14">
        <f t="shared" si="9"/>
        <v>0.66666666666666663</v>
      </c>
      <c r="AI14" s="32">
        <f t="shared" si="10"/>
        <v>0.83333333333333326</v>
      </c>
      <c r="AJ14" s="32">
        <f t="shared" si="11"/>
        <v>0.66666666666666663</v>
      </c>
      <c r="AK14">
        <f>step3_validation[[#This Row],[AI_TRU1]]</f>
        <v>8</v>
      </c>
      <c r="AL14">
        <f t="shared" si="12"/>
        <v>0.77777777777777779</v>
      </c>
      <c r="AM14">
        <f>survey_responses[[#This Row],[Tôi tin rằng Nhà nước, cơ quan thuế sẽ thực thi chính sách mới một cách khách quan, công tâm và đối xử bình đẳng với mọi người nộp thuế.  - HUMAN-TRU1]]</f>
        <v>7</v>
      </c>
      <c r="AN14">
        <f t="shared" si="13"/>
        <v>0.66666666666666663</v>
      </c>
      <c r="AO14">
        <f>step3_validation[[#This Row],[AI_TRU2]]</f>
        <v>9</v>
      </c>
      <c r="AP14">
        <f t="shared" si="14"/>
        <v>0.88888888888888884</v>
      </c>
      <c r="AQ14">
        <f>survey_responses[[#This Row],[Tôi thấy mức thuế tôi phải đóng theo phương án mới là công bằng (người thu nhập như tôi đóng mức này là hợp lý). - HUMAN-TRU2]]</f>
        <v>8</v>
      </c>
      <c r="AR14">
        <f t="shared" si="15"/>
        <v>0.77777777777777779</v>
      </c>
      <c r="AS14">
        <f>step3_validation[[#This Row],[AI_TRU3]]</f>
        <v>7</v>
      </c>
      <c r="AT14">
        <f t="shared" si="16"/>
        <v>0.66666666666666663</v>
      </c>
      <c r="AU14">
        <f>survey_responses[[#This Row],[Tôi tin tưởng số tiền thuế tôi đóng sẽ được Nhà nước sử dụng hiệu quả để cải thiện dịch vụ công (y tế, đường xá...). - HUMAN-TRU3]]</f>
        <v>7</v>
      </c>
      <c r="AV14">
        <f t="shared" si="17"/>
        <v>0.66666666666666663</v>
      </c>
      <c r="AW14">
        <f>step3_validation[[#This Row],[AI_TRU4]]</f>
        <v>6</v>
      </c>
      <c r="AX14">
        <f t="shared" si="18"/>
        <v>0.55555555555555558</v>
      </c>
      <c r="AY14">
        <f>survey_responses[[#This Row],[Tôi thấy Nhà nước đã giải thích rõ ràng, minh bạch về lý do và mục tiêu của việc sửa đổi thuế lần này. - HUMAN-TRU4]]</f>
        <v>7</v>
      </c>
      <c r="AZ14">
        <f t="shared" si="19"/>
        <v>0.66666666666666663</v>
      </c>
      <c r="BA14" s="32">
        <f t="shared" si="20"/>
        <v>0.7222222222222221</v>
      </c>
      <c r="BB14" s="32">
        <f t="shared" si="21"/>
        <v>0.69444444444444442</v>
      </c>
      <c r="BC14" s="7">
        <f t="shared" si="22"/>
        <v>0.72222222222222221</v>
      </c>
      <c r="BD14" s="7">
        <f t="shared" si="23"/>
        <v>0.69444444444444431</v>
      </c>
      <c r="BE14">
        <f>step3_validation[[#This Row],[AI_OUT1]]</f>
        <v>9</v>
      </c>
      <c r="BF14">
        <f t="shared" si="24"/>
        <v>0.88888888888888884</v>
      </c>
      <c r="BG14">
        <f>survey_responses[[#This Row],[Sau khi xem xét các quyền lợi và nghĩa vụ, bạn có ủng hộ và tuân thủ chính sách mới hiện nay? - HUMAN-OUT1]]</f>
        <v>7</v>
      </c>
      <c r="BH14">
        <f t="shared" si="25"/>
        <v>0.66666666666666663</v>
      </c>
      <c r="BI14" s="32">
        <f t="shared" si="26"/>
        <v>2</v>
      </c>
    </row>
    <row r="15" spans="1:61" x14ac:dyDescent="0.45">
      <c r="A15" s="30">
        <f>step3_validation[[#This Row],[Persona_ID]]</f>
        <v>14</v>
      </c>
      <c r="B15" s="31">
        <f>step3_validation[[#This Row],[Used_Seed]]</f>
        <v>14</v>
      </c>
      <c r="C15" t="str">
        <f>step3_validation[[#This Row],[Gender]]</f>
        <v>Nữ</v>
      </c>
      <c r="D15" t="str">
        <f>survey_responses[[#This Row],[Giới tính của bạn:]]</f>
        <v>Nữ</v>
      </c>
      <c r="E15" t="str">
        <f>step3_validation[[#This Row],[Age_Group]]</f>
        <v>30 - 39</v>
      </c>
      <c r="F15" t="str">
        <f>survey_responses[[#This Row],[Độ tuổi của bạn:]]</f>
        <v>30 - 39</v>
      </c>
      <c r="G15" t="str">
        <f>step3_validation[[#This Row],[Region]]</f>
        <v>Thành thị</v>
      </c>
      <c r="H15" t="str">
        <f>survey_responses[[#This Row],[Khu vực bạn đang sinh sống:]]</f>
        <v>Thành thị</v>
      </c>
      <c r="I15" t="str">
        <f>step3_validation[[#This Row],[Education]]</f>
        <v>Sau Đại học</v>
      </c>
      <c r="J15" t="str">
        <f>survey_responses[[#This Row],[Trình độ học vấn cao nhất:]]</f>
        <v>Sau Đại học</v>
      </c>
      <c r="K15" t="str">
        <f>step3_validation[[#This Row],[Employment]]</f>
        <v>Chính thức</v>
      </c>
      <c r="L15" t="str">
        <f>survey_responses[[#This Row],[Tình trạng việc làm chính:]]</f>
        <v>Khu vực chính thức (Có Hợp đồng lao động, đóng BHXH)</v>
      </c>
      <c r="M15">
        <f>step3_validation[[#This Row],[Income_Mil]]</f>
        <v>21.323933275556445</v>
      </c>
      <c r="N15" t="str">
        <f>survey_responses[[#This Row],[Thu nhập bình quân tháng theo Hợp đồng lao động của bạn là bao nhiêu? (Vui lòng điền tổng thu nhập trước khi khấu trừ các loại Bảo hiểm (BHXH, BHYT, BHTN) và Thuế TNCN)]]</f>
        <v>Từ 18 - 23 triệu VNĐ</v>
      </c>
      <c r="O15">
        <f>step3_validation[[#This Row],[Dependents]]</f>
        <v>0</v>
      </c>
      <c r="P15" t="str">
        <f>survey_responses[[#This Row],[Số người phụ thuộc (con nhỏ, cha mẹ già...) đủ điều kiện giảm trừ gia cảnh:]]</f>
        <v>0 người</v>
      </c>
      <c r="Q15">
        <f>step3_validation[[#This Row],[AI_ENF1]]</f>
        <v>9</v>
      </c>
      <c r="R15">
        <f t="shared" si="0"/>
        <v>0.88888888888888884</v>
      </c>
      <c r="S15">
        <f>survey_responses[[#This Row],[Tôi tin rằng với các quy định quản lý thuế hiện nay, hành vi gian lận hoặc trốn thuế sẽ dễ dàng bị phát hiện và xử lý nghiêm. - HUMAN-ENF1]]</f>
        <v>10</v>
      </c>
      <c r="T15">
        <f t="shared" si="1"/>
        <v>1</v>
      </c>
      <c r="U15">
        <f>step3_validation[[#This Row],[AI_ENF2]]</f>
        <v>8</v>
      </c>
      <c r="V15">
        <f t="shared" si="2"/>
        <v>0.77777777777777779</v>
      </c>
      <c r="W15">
        <f>survey_responses[[#This Row],[Tôi tin rằng Nhà nước, cơ quan thuế có đủ khả năng và công nghệ để phát hiện, xử lý nghiêm các hành vi trốn thuế. - HUMAN-ENF2]]</f>
        <v>10</v>
      </c>
      <c r="X15">
        <f t="shared" si="3"/>
        <v>1</v>
      </c>
      <c r="Y15" s="32">
        <f t="shared" si="4"/>
        <v>0.83333333333333326</v>
      </c>
      <c r="Z15" s="32">
        <f t="shared" si="5"/>
        <v>1</v>
      </c>
      <c r="AA15">
        <f>step3_validation[[#This Row],[AI_FAC1]]</f>
        <v>9</v>
      </c>
      <c r="AB15">
        <f t="shared" si="6"/>
        <v>0.88888888888888884</v>
      </c>
      <c r="AC15">
        <f>survey_responses[[#This Row],[Các thủ tục khai báo thuế VÀ/HOẶC quy trình làm việc với cơ quan thuế đơn giản, tiện lợi, nhanh chóng hơn so với trước đây. - HUMAN-FAC1]]</f>
        <v>8</v>
      </c>
      <c r="AD15">
        <f t="shared" si="7"/>
        <v>0.77777777777777779</v>
      </c>
      <c r="AE15">
        <f>step3_validation[[#This Row],[AI_FAC2]]</f>
        <v>8</v>
      </c>
      <c r="AF15">
        <f t="shared" si="8"/>
        <v>0.77777777777777779</v>
      </c>
      <c r="AG15">
        <f>survey_responses[[#This Row],[So với trước đây, tôi thấy cách tính thuế và các bậc thuế trong phương án mới đơn giản, dễ hiểu và dễ thực hiện hơn. - HUMAN-FAC2]]</f>
        <v>8</v>
      </c>
      <c r="AH15">
        <f t="shared" si="9"/>
        <v>0.77777777777777779</v>
      </c>
      <c r="AI15" s="32">
        <f t="shared" si="10"/>
        <v>0.83333333333333326</v>
      </c>
      <c r="AJ15" s="32">
        <f t="shared" si="11"/>
        <v>0.77777777777777779</v>
      </c>
      <c r="AK15">
        <f>step3_validation[[#This Row],[AI_TRU1]]</f>
        <v>9</v>
      </c>
      <c r="AL15">
        <f t="shared" si="12"/>
        <v>0.88888888888888884</v>
      </c>
      <c r="AM15">
        <f>survey_responses[[#This Row],[Tôi tin rằng Nhà nước, cơ quan thuế sẽ thực thi chính sách mới một cách khách quan, công tâm và đối xử bình đẳng với mọi người nộp thuế.  - HUMAN-TRU1]]</f>
        <v>8</v>
      </c>
      <c r="AN15">
        <f t="shared" si="13"/>
        <v>0.77777777777777779</v>
      </c>
      <c r="AO15">
        <f>step3_validation[[#This Row],[AI_TRU2]]</f>
        <v>8</v>
      </c>
      <c r="AP15">
        <f t="shared" si="14"/>
        <v>0.77777777777777779</v>
      </c>
      <c r="AQ15">
        <f>survey_responses[[#This Row],[Tôi thấy mức thuế tôi phải đóng theo phương án mới là công bằng (người thu nhập như tôi đóng mức này là hợp lý). - HUMAN-TRU2]]</f>
        <v>6</v>
      </c>
      <c r="AR15">
        <f t="shared" si="15"/>
        <v>0.55555555555555558</v>
      </c>
      <c r="AS15">
        <f>step3_validation[[#This Row],[AI_TRU3]]</f>
        <v>9</v>
      </c>
      <c r="AT15">
        <f t="shared" si="16"/>
        <v>0.88888888888888884</v>
      </c>
      <c r="AU15">
        <f>survey_responses[[#This Row],[Tôi tin tưởng số tiền thuế tôi đóng sẽ được Nhà nước sử dụng hiệu quả để cải thiện dịch vụ công (y tế, đường xá...). - HUMAN-TRU3]]</f>
        <v>6</v>
      </c>
      <c r="AV15">
        <f t="shared" si="17"/>
        <v>0.55555555555555558</v>
      </c>
      <c r="AW15">
        <f>step3_validation[[#This Row],[AI_TRU4]]</f>
        <v>8</v>
      </c>
      <c r="AX15">
        <f t="shared" si="18"/>
        <v>0.77777777777777779</v>
      </c>
      <c r="AY15">
        <f>survey_responses[[#This Row],[Tôi thấy Nhà nước đã giải thích rõ ràng, minh bạch về lý do và mục tiêu của việc sửa đổi thuế lần này. - HUMAN-TRU4]]</f>
        <v>5</v>
      </c>
      <c r="AZ15">
        <f t="shared" si="19"/>
        <v>0.44444444444444442</v>
      </c>
      <c r="BA15" s="32">
        <f t="shared" si="20"/>
        <v>0.83333333333333326</v>
      </c>
      <c r="BB15" s="32">
        <f t="shared" si="21"/>
        <v>0.58333333333333337</v>
      </c>
      <c r="BC15" s="7">
        <f t="shared" si="22"/>
        <v>0.83333333333333337</v>
      </c>
      <c r="BD15" s="7">
        <f t="shared" si="23"/>
        <v>0.78703703703703709</v>
      </c>
      <c r="BE15">
        <f>step3_validation[[#This Row],[AI_OUT1]]</f>
        <v>9</v>
      </c>
      <c r="BF15">
        <f t="shared" si="24"/>
        <v>0.88888888888888884</v>
      </c>
      <c r="BG15">
        <f>survey_responses[[#This Row],[Sau khi xem xét các quyền lợi và nghĩa vụ, bạn có ủng hộ và tuân thủ chính sách mới hiện nay? - HUMAN-OUT1]]</f>
        <v>5</v>
      </c>
      <c r="BH15">
        <f t="shared" si="25"/>
        <v>0.44444444444444442</v>
      </c>
      <c r="BI15" s="32">
        <f t="shared" si="26"/>
        <v>4</v>
      </c>
    </row>
    <row r="16" spans="1:61" x14ac:dyDescent="0.45">
      <c r="A16" s="30">
        <f>step3_validation[[#This Row],[Persona_ID]]</f>
        <v>15</v>
      </c>
      <c r="B16" s="31">
        <f>step3_validation[[#This Row],[Used_Seed]]</f>
        <v>15</v>
      </c>
      <c r="C16" t="str">
        <f>step3_validation[[#This Row],[Gender]]</f>
        <v>Nam</v>
      </c>
      <c r="D16" t="str">
        <f>survey_responses[[#This Row],[Giới tính của bạn:]]</f>
        <v>Nam</v>
      </c>
      <c r="E16" t="str">
        <f>step3_validation[[#This Row],[Age_Group]]</f>
        <v>30 - 39</v>
      </c>
      <c r="F16" t="str">
        <f>survey_responses[[#This Row],[Độ tuổi của bạn:]]</f>
        <v>30 - 39</v>
      </c>
      <c r="G16" t="str">
        <f>step3_validation[[#This Row],[Region]]</f>
        <v>Thành thị</v>
      </c>
      <c r="H16" t="str">
        <f>survey_responses[[#This Row],[Khu vực bạn đang sinh sống:]]</f>
        <v>Thành thị</v>
      </c>
      <c r="I16" t="str">
        <f>step3_validation[[#This Row],[Education]]</f>
        <v>Sau Đại học</v>
      </c>
      <c r="J16" t="str">
        <f>survey_responses[[#This Row],[Trình độ học vấn cao nhất:]]</f>
        <v>Sau Đại học</v>
      </c>
      <c r="K16" t="str">
        <f>step3_validation[[#This Row],[Employment]]</f>
        <v>Chính thức</v>
      </c>
      <c r="L16" t="str">
        <f>survey_responses[[#This Row],[Tình trạng việc làm chính:]]</f>
        <v>Khu vực chính thức (Có Hợp đồng lao động, đóng BHXH)</v>
      </c>
      <c r="M16">
        <f>step3_validation[[#This Row],[Income_Mil]]</f>
        <v>42.391150519477286</v>
      </c>
      <c r="N16" t="str">
        <f>survey_responses[[#This Row],[Thu nhập bình quân tháng theo Hợp đồng lao động của bạn là bao nhiêu? (Vui lòng điền tổng thu nhập trước khi khấu trừ các loại Bảo hiểm (BHXH, BHYT, BHTN) và Thuế TNCN)]]</f>
        <v>Từ 32 - 48 triệu VNĐ</v>
      </c>
      <c r="O16">
        <f>step3_validation[[#This Row],[Dependents]]</f>
        <v>2</v>
      </c>
      <c r="P16" t="str">
        <f>survey_responses[[#This Row],[Số người phụ thuộc (con nhỏ, cha mẹ già...) đủ điều kiện giảm trừ gia cảnh:]]</f>
        <v>2 người</v>
      </c>
      <c r="Q16">
        <f>step3_validation[[#This Row],[AI_ENF1]]</f>
        <v>8</v>
      </c>
      <c r="R16">
        <f t="shared" si="0"/>
        <v>0.77777777777777779</v>
      </c>
      <c r="S16">
        <f>survey_responses[[#This Row],[Tôi tin rằng với các quy định quản lý thuế hiện nay, hành vi gian lận hoặc trốn thuế sẽ dễ dàng bị phát hiện và xử lý nghiêm. - HUMAN-ENF1]]</f>
        <v>7</v>
      </c>
      <c r="T16">
        <f t="shared" si="1"/>
        <v>0.66666666666666663</v>
      </c>
      <c r="U16">
        <f>step3_validation[[#This Row],[AI_ENF2]]</f>
        <v>7</v>
      </c>
      <c r="V16">
        <f t="shared" si="2"/>
        <v>0.66666666666666663</v>
      </c>
      <c r="W16">
        <f>survey_responses[[#This Row],[Tôi tin rằng Nhà nước, cơ quan thuế có đủ khả năng và công nghệ để phát hiện, xử lý nghiêm các hành vi trốn thuế. - HUMAN-ENF2]]</f>
        <v>9</v>
      </c>
      <c r="X16">
        <f t="shared" si="3"/>
        <v>0.88888888888888884</v>
      </c>
      <c r="Y16" s="32">
        <f t="shared" si="4"/>
        <v>0.72222222222222221</v>
      </c>
      <c r="Z16" s="32">
        <f t="shared" si="5"/>
        <v>0.77777777777777768</v>
      </c>
      <c r="AA16">
        <f>step3_validation[[#This Row],[AI_FAC1]]</f>
        <v>9</v>
      </c>
      <c r="AB16">
        <f t="shared" si="6"/>
        <v>0.88888888888888884</v>
      </c>
      <c r="AC16">
        <f>survey_responses[[#This Row],[Các thủ tục khai báo thuế VÀ/HOẶC quy trình làm việc với cơ quan thuế đơn giản, tiện lợi, nhanh chóng hơn so với trước đây. - HUMAN-FAC1]]</f>
        <v>3</v>
      </c>
      <c r="AD16">
        <f t="shared" si="7"/>
        <v>0.22222222222222221</v>
      </c>
      <c r="AE16">
        <f>step3_validation[[#This Row],[AI_FAC2]]</f>
        <v>9</v>
      </c>
      <c r="AF16">
        <f t="shared" si="8"/>
        <v>0.88888888888888884</v>
      </c>
      <c r="AG16">
        <f>survey_responses[[#This Row],[So với trước đây, tôi thấy cách tính thuế và các bậc thuế trong phương án mới đơn giản, dễ hiểu và dễ thực hiện hơn. - HUMAN-FAC2]]</f>
        <v>6</v>
      </c>
      <c r="AH16">
        <f t="shared" si="9"/>
        <v>0.55555555555555558</v>
      </c>
      <c r="AI16" s="32">
        <f t="shared" si="10"/>
        <v>0.88888888888888884</v>
      </c>
      <c r="AJ16" s="32">
        <f t="shared" si="11"/>
        <v>0.3888888888888889</v>
      </c>
      <c r="AK16">
        <f>step3_validation[[#This Row],[AI_TRU1]]</f>
        <v>8</v>
      </c>
      <c r="AL16">
        <f t="shared" si="12"/>
        <v>0.77777777777777779</v>
      </c>
      <c r="AM16">
        <f>survey_responses[[#This Row],[Tôi tin rằng Nhà nước, cơ quan thuế sẽ thực thi chính sách mới một cách khách quan, công tâm và đối xử bình đẳng với mọi người nộp thuế.  - HUMAN-TRU1]]</f>
        <v>1</v>
      </c>
      <c r="AN16">
        <f t="shared" si="13"/>
        <v>0</v>
      </c>
      <c r="AO16">
        <f>step3_validation[[#This Row],[AI_TRU2]]</f>
        <v>9</v>
      </c>
      <c r="AP16">
        <f t="shared" si="14"/>
        <v>0.88888888888888884</v>
      </c>
      <c r="AQ16">
        <f>survey_responses[[#This Row],[Tôi thấy mức thuế tôi phải đóng theo phương án mới là công bằng (người thu nhập như tôi đóng mức này là hợp lý). - HUMAN-TRU2]]</f>
        <v>1</v>
      </c>
      <c r="AR16">
        <f t="shared" si="15"/>
        <v>0</v>
      </c>
      <c r="AS16">
        <f>step3_validation[[#This Row],[AI_TRU3]]</f>
        <v>8</v>
      </c>
      <c r="AT16">
        <f t="shared" si="16"/>
        <v>0.77777777777777779</v>
      </c>
      <c r="AU16">
        <f>survey_responses[[#This Row],[Tôi tin tưởng số tiền thuế tôi đóng sẽ được Nhà nước sử dụng hiệu quả để cải thiện dịch vụ công (y tế, đường xá...). - HUMAN-TRU3]]</f>
        <v>1</v>
      </c>
      <c r="AV16">
        <f t="shared" si="17"/>
        <v>0</v>
      </c>
      <c r="AW16">
        <f>step3_validation[[#This Row],[AI_TRU4]]</f>
        <v>9</v>
      </c>
      <c r="AX16">
        <f t="shared" si="18"/>
        <v>0.88888888888888884</v>
      </c>
      <c r="AY16">
        <f>survey_responses[[#This Row],[Tôi thấy Nhà nước đã giải thích rõ ràng, minh bạch về lý do và mục tiêu của việc sửa đổi thuế lần này. - HUMAN-TRU4]]</f>
        <v>1</v>
      </c>
      <c r="AZ16">
        <f t="shared" si="19"/>
        <v>0</v>
      </c>
      <c r="BA16" s="32">
        <f t="shared" si="20"/>
        <v>0.83333333333333326</v>
      </c>
      <c r="BB16" s="32">
        <f t="shared" si="21"/>
        <v>0</v>
      </c>
      <c r="BC16" s="7">
        <f t="shared" si="22"/>
        <v>0.81481481481481488</v>
      </c>
      <c r="BD16" s="7">
        <f t="shared" si="23"/>
        <v>0.38888888888888884</v>
      </c>
      <c r="BE16">
        <f>step3_validation[[#This Row],[AI_OUT1]]</f>
        <v>10</v>
      </c>
      <c r="BF16">
        <f t="shared" si="24"/>
        <v>1</v>
      </c>
      <c r="BG16">
        <f>survey_responses[[#This Row],[Sau khi xem xét các quyền lợi và nghĩa vụ, bạn có ủng hộ và tuân thủ chính sách mới hiện nay? - HUMAN-OUT1]]</f>
        <v>1</v>
      </c>
      <c r="BH16">
        <f t="shared" si="25"/>
        <v>0</v>
      </c>
      <c r="BI16" s="32">
        <f t="shared" si="26"/>
        <v>9</v>
      </c>
    </row>
    <row r="17" spans="1:61" x14ac:dyDescent="0.45">
      <c r="A17" s="30">
        <f>step3_validation[[#This Row],[Persona_ID]]</f>
        <v>16</v>
      </c>
      <c r="B17" s="31">
        <f>step3_validation[[#This Row],[Used_Seed]]</f>
        <v>16</v>
      </c>
      <c r="C17" t="str">
        <f>step3_validation[[#This Row],[Gender]]</f>
        <v>Nam</v>
      </c>
      <c r="D17" t="str">
        <f>survey_responses[[#This Row],[Giới tính của bạn:]]</f>
        <v>Nam</v>
      </c>
      <c r="E17" t="str">
        <f>step3_validation[[#This Row],[Age_Group]]</f>
        <v>40 - 49</v>
      </c>
      <c r="F17" t="str">
        <f>survey_responses[[#This Row],[Độ tuổi của bạn:]]</f>
        <v>40 - 49</v>
      </c>
      <c r="G17" t="str">
        <f>step3_validation[[#This Row],[Region]]</f>
        <v>Thành thị</v>
      </c>
      <c r="H17" t="str">
        <f>survey_responses[[#This Row],[Khu vực bạn đang sinh sống:]]</f>
        <v>Thành thị</v>
      </c>
      <c r="I17" t="str">
        <f>step3_validation[[#This Row],[Education]]</f>
        <v>Sau Đại học</v>
      </c>
      <c r="J17" t="str">
        <f>survey_responses[[#This Row],[Trình độ học vấn cao nhất:]]</f>
        <v>Sau Đại học</v>
      </c>
      <c r="K17" t="str">
        <f>step3_validation[[#This Row],[Employment]]</f>
        <v>Chính thức</v>
      </c>
      <c r="L17" t="str">
        <f>survey_responses[[#This Row],[Tình trạng việc làm chính:]]</f>
        <v>Khu vực chính thức (Có Hợp đồng lao động, đóng BHXH)</v>
      </c>
      <c r="M17">
        <f>step3_validation[[#This Row],[Income_Mil]]</f>
        <v>87.574422005260317</v>
      </c>
      <c r="N17" t="str">
        <f>survey_responses[[#This Row],[Thu nhập bình quân tháng theo Hợp đồng lao động của bạn là bao nhiêu? (Vui lòng điền tổng thu nhập trước khi khấu trừ các loại Bảo hiểm (BHXH, BHYT, BHTN) và Thuế TNCN)]]</f>
        <v>Từ 70 - 102 triệu VNĐ</v>
      </c>
      <c r="O17">
        <f>step3_validation[[#This Row],[Dependents]]</f>
        <v>4</v>
      </c>
      <c r="P17" t="str">
        <f>survey_responses[[#This Row],[Số người phụ thuộc (con nhỏ, cha mẹ già...) đủ điều kiện giảm trừ gia cảnh:]]</f>
        <v>4 người trở lên</v>
      </c>
      <c r="Q17">
        <f>step3_validation[[#This Row],[AI_ENF1]]</f>
        <v>9</v>
      </c>
      <c r="R17">
        <f t="shared" si="0"/>
        <v>0.88888888888888884</v>
      </c>
      <c r="S17">
        <f>survey_responses[[#This Row],[Tôi tin rằng với các quy định quản lý thuế hiện nay, hành vi gian lận hoặc trốn thuế sẽ dễ dàng bị phát hiện và xử lý nghiêm. - HUMAN-ENF1]]</f>
        <v>8</v>
      </c>
      <c r="T17">
        <f t="shared" si="1"/>
        <v>0.77777777777777779</v>
      </c>
      <c r="U17">
        <f>step3_validation[[#This Row],[AI_ENF2]]</f>
        <v>8</v>
      </c>
      <c r="V17">
        <f t="shared" si="2"/>
        <v>0.77777777777777779</v>
      </c>
      <c r="W17">
        <f>survey_responses[[#This Row],[Tôi tin rằng Nhà nước, cơ quan thuế có đủ khả năng và công nghệ để phát hiện, xử lý nghiêm các hành vi trốn thuế. - HUMAN-ENF2]]</f>
        <v>8</v>
      </c>
      <c r="X17">
        <f t="shared" si="3"/>
        <v>0.77777777777777779</v>
      </c>
      <c r="Y17" s="32">
        <f t="shared" si="4"/>
        <v>0.83333333333333326</v>
      </c>
      <c r="Z17" s="32">
        <f t="shared" si="5"/>
        <v>0.77777777777777779</v>
      </c>
      <c r="AA17">
        <f>step3_validation[[#This Row],[AI_FAC1]]</f>
        <v>9</v>
      </c>
      <c r="AB17">
        <f t="shared" si="6"/>
        <v>0.88888888888888884</v>
      </c>
      <c r="AC17">
        <f>survey_responses[[#This Row],[Các thủ tục khai báo thuế VÀ/HOẶC quy trình làm việc với cơ quan thuế đơn giản, tiện lợi, nhanh chóng hơn so với trước đây. - HUMAN-FAC1]]</f>
        <v>8</v>
      </c>
      <c r="AD17">
        <f t="shared" si="7"/>
        <v>0.77777777777777779</v>
      </c>
      <c r="AE17">
        <f>step3_validation[[#This Row],[AI_FAC2]]</f>
        <v>9</v>
      </c>
      <c r="AF17">
        <f t="shared" si="8"/>
        <v>0.88888888888888884</v>
      </c>
      <c r="AG17">
        <f>survey_responses[[#This Row],[So với trước đây, tôi thấy cách tính thuế và các bậc thuế trong phương án mới đơn giản, dễ hiểu và dễ thực hiện hơn. - HUMAN-FAC2]]</f>
        <v>9</v>
      </c>
      <c r="AH17">
        <f t="shared" si="9"/>
        <v>0.88888888888888884</v>
      </c>
      <c r="AI17" s="32">
        <f t="shared" si="10"/>
        <v>0.88888888888888884</v>
      </c>
      <c r="AJ17" s="32">
        <f t="shared" si="11"/>
        <v>0.83333333333333326</v>
      </c>
      <c r="AK17">
        <f>step3_validation[[#This Row],[AI_TRU1]]</f>
        <v>8</v>
      </c>
      <c r="AL17">
        <f t="shared" si="12"/>
        <v>0.77777777777777779</v>
      </c>
      <c r="AM17">
        <f>survey_responses[[#This Row],[Tôi tin rằng Nhà nước, cơ quan thuế sẽ thực thi chính sách mới một cách khách quan, công tâm và đối xử bình đẳng với mọi người nộp thuế.  - HUMAN-TRU1]]</f>
        <v>7</v>
      </c>
      <c r="AN17">
        <f t="shared" si="13"/>
        <v>0.66666666666666663</v>
      </c>
      <c r="AO17">
        <f>step3_validation[[#This Row],[AI_TRU2]]</f>
        <v>9</v>
      </c>
      <c r="AP17">
        <f t="shared" si="14"/>
        <v>0.88888888888888884</v>
      </c>
      <c r="AQ17">
        <f>survey_responses[[#This Row],[Tôi thấy mức thuế tôi phải đóng theo phương án mới là công bằng (người thu nhập như tôi đóng mức này là hợp lý). - HUMAN-TRU2]]</f>
        <v>7</v>
      </c>
      <c r="AR17">
        <f t="shared" si="15"/>
        <v>0.66666666666666663</v>
      </c>
      <c r="AS17">
        <f>step3_validation[[#This Row],[AI_TRU3]]</f>
        <v>8</v>
      </c>
      <c r="AT17">
        <f t="shared" si="16"/>
        <v>0.77777777777777779</v>
      </c>
      <c r="AU17">
        <f>survey_responses[[#This Row],[Tôi tin tưởng số tiền thuế tôi đóng sẽ được Nhà nước sử dụng hiệu quả để cải thiện dịch vụ công (y tế, đường xá...). - HUMAN-TRU3]]</f>
        <v>9</v>
      </c>
      <c r="AV17">
        <f t="shared" si="17"/>
        <v>0.88888888888888884</v>
      </c>
      <c r="AW17">
        <f>step3_validation[[#This Row],[AI_TRU4]]</f>
        <v>9</v>
      </c>
      <c r="AX17">
        <f t="shared" si="18"/>
        <v>0.88888888888888884</v>
      </c>
      <c r="AY17">
        <f>survey_responses[[#This Row],[Tôi thấy Nhà nước đã giải thích rõ ràng, minh bạch về lý do và mục tiêu của việc sửa đổi thuế lần này. - HUMAN-TRU4]]</f>
        <v>8</v>
      </c>
      <c r="AZ17">
        <f t="shared" si="19"/>
        <v>0.77777777777777779</v>
      </c>
      <c r="BA17" s="32">
        <f t="shared" si="20"/>
        <v>0.83333333333333326</v>
      </c>
      <c r="BB17" s="32">
        <f t="shared" si="21"/>
        <v>0.75</v>
      </c>
      <c r="BC17" s="7">
        <f t="shared" si="22"/>
        <v>0.85185185185185175</v>
      </c>
      <c r="BD17" s="7">
        <f t="shared" si="23"/>
        <v>0.78703703703703709</v>
      </c>
      <c r="BE17">
        <f>step3_validation[[#This Row],[AI_OUT1]]</f>
        <v>8</v>
      </c>
      <c r="BF17">
        <f t="shared" si="24"/>
        <v>0.77777777777777779</v>
      </c>
      <c r="BG17">
        <f>survey_responses[[#This Row],[Sau khi xem xét các quyền lợi và nghĩa vụ, bạn có ủng hộ và tuân thủ chính sách mới hiện nay? - HUMAN-OUT1]]</f>
        <v>7</v>
      </c>
      <c r="BH17">
        <f t="shared" si="25"/>
        <v>0.66666666666666663</v>
      </c>
      <c r="BI17" s="32">
        <f t="shared" si="26"/>
        <v>1</v>
      </c>
    </row>
    <row r="18" spans="1:61" x14ac:dyDescent="0.45">
      <c r="A18" s="30">
        <f>step3_validation[[#This Row],[Persona_ID]]</f>
        <v>17</v>
      </c>
      <c r="B18" s="31">
        <f>step3_validation[[#This Row],[Used_Seed]]</f>
        <v>17</v>
      </c>
      <c r="C18" t="str">
        <f>step3_validation[[#This Row],[Gender]]</f>
        <v>Nữ</v>
      </c>
      <c r="D18" t="str">
        <f>survey_responses[[#This Row],[Giới tính của bạn:]]</f>
        <v>Nữ</v>
      </c>
      <c r="E18" t="str">
        <f>step3_validation[[#This Row],[Age_Group]]</f>
        <v>25 - 29</v>
      </c>
      <c r="F18" t="str">
        <f>survey_responses[[#This Row],[Độ tuổi của bạn:]]</f>
        <v>25 - 29</v>
      </c>
      <c r="G18" t="str">
        <f>step3_validation[[#This Row],[Region]]</f>
        <v>Thành thị</v>
      </c>
      <c r="H18" t="str">
        <f>survey_responses[[#This Row],[Khu vực bạn đang sinh sống:]]</f>
        <v>Thành thị</v>
      </c>
      <c r="I18" t="str">
        <f>step3_validation[[#This Row],[Education]]</f>
        <v>Đại học</v>
      </c>
      <c r="J18" t="str">
        <f>survey_responses[[#This Row],[Trình độ học vấn cao nhất:]]</f>
        <v>Đại học</v>
      </c>
      <c r="K18" t="str">
        <f>step3_validation[[#This Row],[Employment]]</f>
        <v>Chính thức</v>
      </c>
      <c r="L18" t="str">
        <f>survey_responses[[#This Row],[Tình trạng việc làm chính:]]</f>
        <v>Khu vực chính thức (Có Hợp đồng lao động, đóng BHXH)</v>
      </c>
      <c r="M18">
        <f>step3_validation[[#This Row],[Income_Mil]]</f>
        <v>21.380299171191606</v>
      </c>
      <c r="N18" t="str">
        <f>survey_responses[[#This Row],[Thu nhập bình quân tháng theo Hợp đồng lao động của bạn là bao nhiêu? (Vui lòng điền tổng thu nhập trước khi khấu trừ các loại Bảo hiểm (BHXH, BHYT, BHTN) và Thuế TNCN)]]</f>
        <v>Từ 18 - 23 triệu VNĐ</v>
      </c>
      <c r="O18">
        <f>step3_validation[[#This Row],[Dependents]]</f>
        <v>2</v>
      </c>
      <c r="P18" t="str">
        <f>survey_responses[[#This Row],[Số người phụ thuộc (con nhỏ, cha mẹ già...) đủ điều kiện giảm trừ gia cảnh:]]</f>
        <v>2 người</v>
      </c>
      <c r="Q18">
        <f>step3_validation[[#This Row],[AI_ENF1]]</f>
        <v>8</v>
      </c>
      <c r="R18">
        <f t="shared" si="0"/>
        <v>0.77777777777777779</v>
      </c>
      <c r="S18">
        <f>survey_responses[[#This Row],[Tôi tin rằng với các quy định quản lý thuế hiện nay, hành vi gian lận hoặc trốn thuế sẽ dễ dàng bị phát hiện và xử lý nghiêm. - HUMAN-ENF1]]</f>
        <v>6</v>
      </c>
      <c r="T18">
        <f t="shared" si="1"/>
        <v>0.55555555555555558</v>
      </c>
      <c r="U18">
        <f>step3_validation[[#This Row],[AI_ENF2]]</f>
        <v>9</v>
      </c>
      <c r="V18">
        <f t="shared" si="2"/>
        <v>0.88888888888888884</v>
      </c>
      <c r="W18">
        <f>survey_responses[[#This Row],[Tôi tin rằng Nhà nước, cơ quan thuế có đủ khả năng và công nghệ để phát hiện, xử lý nghiêm các hành vi trốn thuế. - HUMAN-ENF2]]</f>
        <v>7</v>
      </c>
      <c r="X18">
        <f t="shared" si="3"/>
        <v>0.66666666666666663</v>
      </c>
      <c r="Y18" s="32">
        <f t="shared" si="4"/>
        <v>0.83333333333333326</v>
      </c>
      <c r="Z18" s="32">
        <f t="shared" si="5"/>
        <v>0.61111111111111116</v>
      </c>
      <c r="AA18">
        <f>step3_validation[[#This Row],[AI_FAC1]]</f>
        <v>10</v>
      </c>
      <c r="AB18">
        <f t="shared" si="6"/>
        <v>1</v>
      </c>
      <c r="AC18">
        <f>survey_responses[[#This Row],[Các thủ tục khai báo thuế VÀ/HOẶC quy trình làm việc với cơ quan thuế đơn giản, tiện lợi, nhanh chóng hơn so với trước đây. - HUMAN-FAC1]]</f>
        <v>5</v>
      </c>
      <c r="AD18">
        <f t="shared" si="7"/>
        <v>0.44444444444444442</v>
      </c>
      <c r="AE18">
        <f>step3_validation[[#This Row],[AI_FAC2]]</f>
        <v>10</v>
      </c>
      <c r="AF18">
        <f t="shared" si="8"/>
        <v>1</v>
      </c>
      <c r="AG18">
        <f>survey_responses[[#This Row],[So với trước đây, tôi thấy cách tính thuế và các bậc thuế trong phương án mới đơn giản, dễ hiểu và dễ thực hiện hơn. - HUMAN-FAC2]]</f>
        <v>5</v>
      </c>
      <c r="AH18">
        <f t="shared" si="9"/>
        <v>0.44444444444444442</v>
      </c>
      <c r="AI18" s="32">
        <f t="shared" si="10"/>
        <v>1</v>
      </c>
      <c r="AJ18" s="32">
        <f t="shared" si="11"/>
        <v>0.44444444444444442</v>
      </c>
      <c r="AK18">
        <f>step3_validation[[#This Row],[AI_TRU1]]</f>
        <v>7</v>
      </c>
      <c r="AL18">
        <f t="shared" si="12"/>
        <v>0.66666666666666663</v>
      </c>
      <c r="AM18">
        <f>survey_responses[[#This Row],[Tôi tin rằng Nhà nước, cơ quan thuế sẽ thực thi chính sách mới một cách khách quan, công tâm và đối xử bình đẳng với mọi người nộp thuế.  - HUMAN-TRU1]]</f>
        <v>6</v>
      </c>
      <c r="AN18">
        <f t="shared" si="13"/>
        <v>0.55555555555555558</v>
      </c>
      <c r="AO18">
        <f>step3_validation[[#This Row],[AI_TRU2]]</f>
        <v>9</v>
      </c>
      <c r="AP18">
        <f t="shared" si="14"/>
        <v>0.88888888888888884</v>
      </c>
      <c r="AQ18">
        <f>survey_responses[[#This Row],[Tôi thấy mức thuế tôi phải đóng theo phương án mới là công bằng (người thu nhập như tôi đóng mức này là hợp lý). - HUMAN-TRU2]]</f>
        <v>7</v>
      </c>
      <c r="AR18">
        <f t="shared" si="15"/>
        <v>0.66666666666666663</v>
      </c>
      <c r="AS18">
        <f>step3_validation[[#This Row],[AI_TRU3]]</f>
        <v>8</v>
      </c>
      <c r="AT18">
        <f t="shared" si="16"/>
        <v>0.77777777777777779</v>
      </c>
      <c r="AU18">
        <f>survey_responses[[#This Row],[Tôi tin tưởng số tiền thuế tôi đóng sẽ được Nhà nước sử dụng hiệu quả để cải thiện dịch vụ công (y tế, đường xá...). - HUMAN-TRU3]]</f>
        <v>3</v>
      </c>
      <c r="AV18">
        <f t="shared" si="17"/>
        <v>0.22222222222222221</v>
      </c>
      <c r="AW18">
        <f>step3_validation[[#This Row],[AI_TRU4]]</f>
        <v>7</v>
      </c>
      <c r="AX18">
        <f t="shared" si="18"/>
        <v>0.66666666666666663</v>
      </c>
      <c r="AY18">
        <f>survey_responses[[#This Row],[Tôi thấy Nhà nước đã giải thích rõ ràng, minh bạch về lý do và mục tiêu của việc sửa đổi thuế lần này. - HUMAN-TRU4]]</f>
        <v>4</v>
      </c>
      <c r="AZ18">
        <f t="shared" si="19"/>
        <v>0.33333333333333331</v>
      </c>
      <c r="BA18" s="32">
        <f t="shared" si="20"/>
        <v>0.74999999999999989</v>
      </c>
      <c r="BB18" s="32">
        <f t="shared" si="21"/>
        <v>0.44444444444444448</v>
      </c>
      <c r="BC18" s="7">
        <f t="shared" si="22"/>
        <v>0.86111111111111105</v>
      </c>
      <c r="BD18" s="7">
        <f t="shared" si="23"/>
        <v>0.5</v>
      </c>
      <c r="BE18">
        <f>step3_validation[[#This Row],[AI_OUT1]]</f>
        <v>9</v>
      </c>
      <c r="BF18">
        <f t="shared" si="24"/>
        <v>0.88888888888888884</v>
      </c>
      <c r="BG18">
        <f>survey_responses[[#This Row],[Sau khi xem xét các quyền lợi và nghĩa vụ, bạn có ủng hộ và tuân thủ chính sách mới hiện nay? - HUMAN-OUT1]]</f>
        <v>5</v>
      </c>
      <c r="BH18">
        <f t="shared" si="25"/>
        <v>0.44444444444444442</v>
      </c>
      <c r="BI18" s="32">
        <f t="shared" si="26"/>
        <v>4</v>
      </c>
    </row>
    <row r="19" spans="1:61" x14ac:dyDescent="0.45">
      <c r="A19" s="30">
        <f>step3_validation[[#This Row],[Persona_ID]]</f>
        <v>18</v>
      </c>
      <c r="B19" s="31">
        <f>step3_validation[[#This Row],[Used_Seed]]</f>
        <v>18</v>
      </c>
      <c r="C19" t="str">
        <f>step3_validation[[#This Row],[Gender]]</f>
        <v>Nam</v>
      </c>
      <c r="D19" t="str">
        <f>survey_responses[[#This Row],[Giới tính của bạn:]]</f>
        <v>Nam</v>
      </c>
      <c r="E19" t="str">
        <f>step3_validation[[#This Row],[Age_Group]]</f>
        <v>40 - 49</v>
      </c>
      <c r="F19" t="str">
        <f>survey_responses[[#This Row],[Độ tuổi của bạn:]]</f>
        <v>40 - 49</v>
      </c>
      <c r="G19" t="str">
        <f>step3_validation[[#This Row],[Region]]</f>
        <v>Thành thị</v>
      </c>
      <c r="H19" t="str">
        <f>survey_responses[[#This Row],[Khu vực bạn đang sinh sống:]]</f>
        <v>Thành thị</v>
      </c>
      <c r="I19" t="str">
        <f>step3_validation[[#This Row],[Education]]</f>
        <v>Đại học</v>
      </c>
      <c r="J19" t="str">
        <f>survey_responses[[#This Row],[Trình độ học vấn cao nhất:]]</f>
        <v>Đại học</v>
      </c>
      <c r="K19" t="str">
        <f>step3_validation[[#This Row],[Employment]]</f>
        <v>Phi chính thức</v>
      </c>
      <c r="L19" t="str">
        <f>survey_responses[[#This Row],[Tình trạng việc làm chính:]]</f>
        <v>Khu vực phi chính thức (Lao động tự do, không có HĐLĐ)</v>
      </c>
      <c r="M19">
        <f>step3_validation[[#This Row],[Income_Mil]]</f>
        <v>13.996528846087864</v>
      </c>
      <c r="N19" t="str">
        <f>survey_responses[[#This Row],[Thu nhập bình quân tháng theo Hợp đồng lao động của bạn là bao nhiêu? (Vui lòng điền tổng thu nhập trước khi khấu trừ các loại Bảo hiểm (BHXH, BHYT, BHTN) và Thuế TNCN)]]</f>
        <v>Từ 12 - 18 triệu VNĐ</v>
      </c>
      <c r="O19">
        <f>step3_validation[[#This Row],[Dependents]]</f>
        <v>0</v>
      </c>
      <c r="P19" t="str">
        <f>survey_responses[[#This Row],[Số người phụ thuộc (con nhỏ, cha mẹ già...) đủ điều kiện giảm trừ gia cảnh:]]</f>
        <v>0 người</v>
      </c>
      <c r="Q19">
        <f>step3_validation[[#This Row],[AI_ENF1]]</f>
        <v>8</v>
      </c>
      <c r="R19">
        <f t="shared" si="0"/>
        <v>0.77777777777777779</v>
      </c>
      <c r="S19">
        <f>survey_responses[[#This Row],[Tôi tin rằng với các quy định quản lý thuế hiện nay, hành vi gian lận hoặc trốn thuế sẽ dễ dàng bị phát hiện và xử lý nghiêm. - HUMAN-ENF1]]</f>
        <v>6</v>
      </c>
      <c r="T19">
        <f t="shared" si="1"/>
        <v>0.55555555555555558</v>
      </c>
      <c r="U19">
        <f>step3_validation[[#This Row],[AI_ENF2]]</f>
        <v>7</v>
      </c>
      <c r="V19">
        <f t="shared" si="2"/>
        <v>0.66666666666666663</v>
      </c>
      <c r="W19">
        <f>survey_responses[[#This Row],[Tôi tin rằng Nhà nước, cơ quan thuế có đủ khả năng và công nghệ để phát hiện, xử lý nghiêm các hành vi trốn thuế. - HUMAN-ENF2]]</f>
        <v>8</v>
      </c>
      <c r="X19">
        <f t="shared" si="3"/>
        <v>0.77777777777777779</v>
      </c>
      <c r="Y19" s="32">
        <f t="shared" si="4"/>
        <v>0.72222222222222221</v>
      </c>
      <c r="Z19" s="32">
        <f t="shared" si="5"/>
        <v>0.66666666666666674</v>
      </c>
      <c r="AA19">
        <f>step3_validation[[#This Row],[AI_FAC1]]</f>
        <v>9</v>
      </c>
      <c r="AB19">
        <f t="shared" si="6"/>
        <v>0.88888888888888884</v>
      </c>
      <c r="AC19">
        <f>survey_responses[[#This Row],[Các thủ tục khai báo thuế VÀ/HOẶC quy trình làm việc với cơ quan thuế đơn giản, tiện lợi, nhanh chóng hơn so với trước đây. - HUMAN-FAC1]]</f>
        <v>7</v>
      </c>
      <c r="AD19">
        <f t="shared" si="7"/>
        <v>0.66666666666666663</v>
      </c>
      <c r="AE19">
        <f>step3_validation[[#This Row],[AI_FAC2]]</f>
        <v>8</v>
      </c>
      <c r="AF19">
        <f t="shared" si="8"/>
        <v>0.77777777777777779</v>
      </c>
      <c r="AG19">
        <f>survey_responses[[#This Row],[So với trước đây, tôi thấy cách tính thuế và các bậc thuế trong phương án mới đơn giản, dễ hiểu và dễ thực hiện hơn. - HUMAN-FAC2]]</f>
        <v>8</v>
      </c>
      <c r="AH19">
        <f t="shared" si="9"/>
        <v>0.77777777777777779</v>
      </c>
      <c r="AI19" s="32">
        <f t="shared" si="10"/>
        <v>0.83333333333333326</v>
      </c>
      <c r="AJ19" s="32">
        <f t="shared" si="11"/>
        <v>0.72222222222222221</v>
      </c>
      <c r="AK19">
        <f>step3_validation[[#This Row],[AI_TRU1]]</f>
        <v>9</v>
      </c>
      <c r="AL19">
        <f t="shared" si="12"/>
        <v>0.88888888888888884</v>
      </c>
      <c r="AM19">
        <f>survey_responses[[#This Row],[Tôi tin rằng Nhà nước, cơ quan thuế sẽ thực thi chính sách mới một cách khách quan, công tâm và đối xử bình đẳng với mọi người nộp thuế.  - HUMAN-TRU1]]</f>
        <v>8</v>
      </c>
      <c r="AN19">
        <f t="shared" si="13"/>
        <v>0.77777777777777779</v>
      </c>
      <c r="AO19">
        <f>step3_validation[[#This Row],[AI_TRU2]]</f>
        <v>9</v>
      </c>
      <c r="AP19">
        <f t="shared" si="14"/>
        <v>0.88888888888888884</v>
      </c>
      <c r="AQ19">
        <f>survey_responses[[#This Row],[Tôi thấy mức thuế tôi phải đóng theo phương án mới là công bằng (người thu nhập như tôi đóng mức này là hợp lý). - HUMAN-TRU2]]</f>
        <v>7</v>
      </c>
      <c r="AR19">
        <f t="shared" si="15"/>
        <v>0.66666666666666663</v>
      </c>
      <c r="AS19">
        <f>step3_validation[[#This Row],[AI_TRU3]]</f>
        <v>9</v>
      </c>
      <c r="AT19">
        <f t="shared" si="16"/>
        <v>0.88888888888888884</v>
      </c>
      <c r="AU19">
        <f>survey_responses[[#This Row],[Tôi tin tưởng số tiền thuế tôi đóng sẽ được Nhà nước sử dụng hiệu quả để cải thiện dịch vụ công (y tế, đường xá...). - HUMAN-TRU3]]</f>
        <v>7</v>
      </c>
      <c r="AV19">
        <f t="shared" si="17"/>
        <v>0.66666666666666663</v>
      </c>
      <c r="AW19">
        <f>step3_validation[[#This Row],[AI_TRU4]]</f>
        <v>7</v>
      </c>
      <c r="AX19">
        <f t="shared" si="18"/>
        <v>0.66666666666666663</v>
      </c>
      <c r="AY19">
        <f>survey_responses[[#This Row],[Tôi thấy Nhà nước đã giải thích rõ ràng, minh bạch về lý do và mục tiêu của việc sửa đổi thuế lần này. - HUMAN-TRU4]]</f>
        <v>6</v>
      </c>
      <c r="AZ19">
        <f t="shared" si="19"/>
        <v>0.55555555555555558</v>
      </c>
      <c r="BA19" s="32">
        <f t="shared" si="20"/>
        <v>0.83333333333333326</v>
      </c>
      <c r="BB19" s="32">
        <f t="shared" si="21"/>
        <v>0.66666666666666674</v>
      </c>
      <c r="BC19" s="7">
        <f t="shared" si="22"/>
        <v>0.79629629629629617</v>
      </c>
      <c r="BD19" s="7">
        <f t="shared" si="23"/>
        <v>0.68518518518518512</v>
      </c>
      <c r="BE19">
        <f>step3_validation[[#This Row],[AI_OUT1]]</f>
        <v>9</v>
      </c>
      <c r="BF19">
        <f t="shared" si="24"/>
        <v>0.88888888888888884</v>
      </c>
      <c r="BG19">
        <f>survey_responses[[#This Row],[Sau khi xem xét các quyền lợi và nghĩa vụ, bạn có ủng hộ và tuân thủ chính sách mới hiện nay? - HUMAN-OUT1]]</f>
        <v>8</v>
      </c>
      <c r="BH19">
        <f t="shared" si="25"/>
        <v>0.77777777777777779</v>
      </c>
      <c r="BI19" s="32">
        <f t="shared" si="26"/>
        <v>1</v>
      </c>
    </row>
    <row r="20" spans="1:61" x14ac:dyDescent="0.45">
      <c r="A20" s="30">
        <f>step3_validation[[#This Row],[Persona_ID]]</f>
        <v>19</v>
      </c>
      <c r="B20" s="31">
        <f>step3_validation[[#This Row],[Used_Seed]]</f>
        <v>19</v>
      </c>
      <c r="C20" t="str">
        <f>step3_validation[[#This Row],[Gender]]</f>
        <v>Nam</v>
      </c>
      <c r="D20" t="str">
        <f>survey_responses[[#This Row],[Giới tính của bạn:]]</f>
        <v>Nam</v>
      </c>
      <c r="E20" t="str">
        <f>step3_validation[[#This Row],[Age_Group]]</f>
        <v>40 - 49</v>
      </c>
      <c r="F20" t="str">
        <f>survey_responses[[#This Row],[Độ tuổi của bạn:]]</f>
        <v>40 - 49</v>
      </c>
      <c r="G20" t="str">
        <f>step3_validation[[#This Row],[Region]]</f>
        <v>Thành thị</v>
      </c>
      <c r="H20" t="str">
        <f>survey_responses[[#This Row],[Khu vực bạn đang sinh sống:]]</f>
        <v>Thành thị</v>
      </c>
      <c r="I20" t="str">
        <f>step3_validation[[#This Row],[Education]]</f>
        <v>Đại học</v>
      </c>
      <c r="J20" t="str">
        <f>survey_responses[[#This Row],[Trình độ học vấn cao nhất:]]</f>
        <v>Đại học</v>
      </c>
      <c r="K20" t="str">
        <f>step3_validation[[#This Row],[Employment]]</f>
        <v>Chính thức</v>
      </c>
      <c r="L20" t="str">
        <f>survey_responses[[#This Row],[Tình trạng việc làm chính:]]</f>
        <v>Khu vực chính thức (Có Hợp đồng lao động, đóng BHXH)</v>
      </c>
      <c r="M20">
        <f>step3_validation[[#This Row],[Income_Mil]]</f>
        <v>164.2160617679306</v>
      </c>
      <c r="N20" t="str">
        <f>survey_responses[[#This Row],[Thu nhập bình quân tháng theo Hợp đồng lao động của bạn là bao nhiêu? (Vui lòng điền tổng thu nhập trước khi khấu trừ các loại Bảo hiểm (BHXH, BHYT, BHTN) và Thuế TNCN)]]</f>
        <v>Trên 102 triệu VNĐ</v>
      </c>
      <c r="O20">
        <f>step3_validation[[#This Row],[Dependents]]</f>
        <v>4</v>
      </c>
      <c r="P20" t="str">
        <f>survey_responses[[#This Row],[Số người phụ thuộc (con nhỏ, cha mẹ già...) đủ điều kiện giảm trừ gia cảnh:]]</f>
        <v>4 người trở lên</v>
      </c>
      <c r="Q20">
        <f>step3_validation[[#This Row],[AI_ENF1]]</f>
        <v>6</v>
      </c>
      <c r="R20">
        <f t="shared" si="0"/>
        <v>0.55555555555555558</v>
      </c>
      <c r="S20">
        <f>survey_responses[[#This Row],[Tôi tin rằng với các quy định quản lý thuế hiện nay, hành vi gian lận hoặc trốn thuế sẽ dễ dàng bị phát hiện và xử lý nghiêm. - HUMAN-ENF1]]</f>
        <v>10</v>
      </c>
      <c r="T20">
        <f t="shared" si="1"/>
        <v>1</v>
      </c>
      <c r="U20">
        <f>step3_validation[[#This Row],[AI_ENF2]]</f>
        <v>7</v>
      </c>
      <c r="V20">
        <f t="shared" si="2"/>
        <v>0.66666666666666663</v>
      </c>
      <c r="W20">
        <f>survey_responses[[#This Row],[Tôi tin rằng Nhà nước, cơ quan thuế có đủ khả năng và công nghệ để phát hiện, xử lý nghiêm các hành vi trốn thuế. - HUMAN-ENF2]]</f>
        <v>10</v>
      </c>
      <c r="X20">
        <f t="shared" si="3"/>
        <v>1</v>
      </c>
      <c r="Y20" s="32">
        <f t="shared" si="4"/>
        <v>0.61111111111111116</v>
      </c>
      <c r="Z20" s="32">
        <f t="shared" si="5"/>
        <v>1</v>
      </c>
      <c r="AA20">
        <f>step3_validation[[#This Row],[AI_FAC1]]</f>
        <v>9</v>
      </c>
      <c r="AB20">
        <f t="shared" si="6"/>
        <v>0.88888888888888884</v>
      </c>
      <c r="AC20">
        <f>survey_responses[[#This Row],[Các thủ tục khai báo thuế VÀ/HOẶC quy trình làm việc với cơ quan thuế đơn giản, tiện lợi, nhanh chóng hơn so với trước đây. - HUMAN-FAC1]]</f>
        <v>5</v>
      </c>
      <c r="AD20">
        <f t="shared" si="7"/>
        <v>0.44444444444444442</v>
      </c>
      <c r="AE20">
        <f>step3_validation[[#This Row],[AI_FAC2]]</f>
        <v>8</v>
      </c>
      <c r="AF20">
        <f t="shared" si="8"/>
        <v>0.77777777777777779</v>
      </c>
      <c r="AG20">
        <f>survey_responses[[#This Row],[So với trước đây, tôi thấy cách tính thuế và các bậc thuế trong phương án mới đơn giản, dễ hiểu và dễ thực hiện hơn. - HUMAN-FAC2]]</f>
        <v>5</v>
      </c>
      <c r="AH20">
        <f t="shared" si="9"/>
        <v>0.44444444444444442</v>
      </c>
      <c r="AI20" s="32">
        <f t="shared" si="10"/>
        <v>0.83333333333333326</v>
      </c>
      <c r="AJ20" s="32">
        <f t="shared" si="11"/>
        <v>0.44444444444444442</v>
      </c>
      <c r="AK20">
        <f>step3_validation[[#This Row],[AI_TRU1]]</f>
        <v>7</v>
      </c>
      <c r="AL20">
        <f t="shared" si="12"/>
        <v>0.66666666666666663</v>
      </c>
      <c r="AM20">
        <f>survey_responses[[#This Row],[Tôi tin rằng Nhà nước, cơ quan thuế sẽ thực thi chính sách mới một cách khách quan, công tâm và đối xử bình đẳng với mọi người nộp thuế.  - HUMAN-TRU1]]</f>
        <v>5</v>
      </c>
      <c r="AN20">
        <f t="shared" si="13"/>
        <v>0.44444444444444442</v>
      </c>
      <c r="AO20">
        <f>step3_validation[[#This Row],[AI_TRU2]]</f>
        <v>9</v>
      </c>
      <c r="AP20">
        <f t="shared" si="14"/>
        <v>0.88888888888888884</v>
      </c>
      <c r="AQ20">
        <f>survey_responses[[#This Row],[Tôi thấy mức thuế tôi phải đóng theo phương án mới là công bằng (người thu nhập như tôi đóng mức này là hợp lý). - HUMAN-TRU2]]</f>
        <v>3</v>
      </c>
      <c r="AR20">
        <f t="shared" si="15"/>
        <v>0.22222222222222221</v>
      </c>
      <c r="AS20">
        <f>step3_validation[[#This Row],[AI_TRU3]]</f>
        <v>6</v>
      </c>
      <c r="AT20">
        <f t="shared" si="16"/>
        <v>0.55555555555555558</v>
      </c>
      <c r="AU20">
        <f>survey_responses[[#This Row],[Tôi tin tưởng số tiền thuế tôi đóng sẽ được Nhà nước sử dụng hiệu quả để cải thiện dịch vụ công (y tế, đường xá...). - HUMAN-TRU3]]</f>
        <v>2</v>
      </c>
      <c r="AV20">
        <f t="shared" si="17"/>
        <v>0.1111111111111111</v>
      </c>
      <c r="AW20">
        <f>step3_validation[[#This Row],[AI_TRU4]]</f>
        <v>8</v>
      </c>
      <c r="AX20">
        <f t="shared" si="18"/>
        <v>0.77777777777777779</v>
      </c>
      <c r="AY20">
        <f>survey_responses[[#This Row],[Tôi thấy Nhà nước đã giải thích rõ ràng, minh bạch về lý do và mục tiêu của việc sửa đổi thuế lần này. - HUMAN-TRU4]]</f>
        <v>5</v>
      </c>
      <c r="AZ20">
        <f t="shared" si="19"/>
        <v>0.44444444444444442</v>
      </c>
      <c r="BA20" s="32">
        <f t="shared" si="20"/>
        <v>0.7222222222222221</v>
      </c>
      <c r="BB20" s="32">
        <f t="shared" si="21"/>
        <v>0.30555555555555552</v>
      </c>
      <c r="BC20" s="7">
        <f t="shared" si="22"/>
        <v>0.72222222222222221</v>
      </c>
      <c r="BD20" s="7">
        <f t="shared" si="23"/>
        <v>0.58333333333333337</v>
      </c>
      <c r="BE20">
        <f>step3_validation[[#This Row],[AI_OUT1]]</f>
        <v>9</v>
      </c>
      <c r="BF20">
        <f t="shared" si="24"/>
        <v>0.88888888888888884</v>
      </c>
      <c r="BG20">
        <f>survey_responses[[#This Row],[Sau khi xem xét các quyền lợi và nghĩa vụ, bạn có ủng hộ và tuân thủ chính sách mới hiện nay? - HUMAN-OUT1]]</f>
        <v>8</v>
      </c>
      <c r="BH20">
        <f t="shared" si="25"/>
        <v>0.77777777777777779</v>
      </c>
      <c r="BI20" s="32">
        <f t="shared" si="26"/>
        <v>1</v>
      </c>
    </row>
    <row r="21" spans="1:61" x14ac:dyDescent="0.45">
      <c r="A21" s="30">
        <f>step3_validation[[#This Row],[Persona_ID]]</f>
        <v>20</v>
      </c>
      <c r="B21" s="31">
        <f>step3_validation[[#This Row],[Used_Seed]]</f>
        <v>20</v>
      </c>
      <c r="C21" t="str">
        <f>step3_validation[[#This Row],[Gender]]</f>
        <v>Nam</v>
      </c>
      <c r="D21" t="str">
        <f>survey_responses[[#This Row],[Giới tính của bạn:]]</f>
        <v>Nam</v>
      </c>
      <c r="E21" t="str">
        <f>step3_validation[[#This Row],[Age_Group]]</f>
        <v>30 - 39</v>
      </c>
      <c r="F21" t="str">
        <f>survey_responses[[#This Row],[Độ tuổi của bạn:]]</f>
        <v>30 - 39</v>
      </c>
      <c r="G21" t="str">
        <f>step3_validation[[#This Row],[Region]]</f>
        <v>Thành thị</v>
      </c>
      <c r="H21" t="str">
        <f>survey_responses[[#This Row],[Khu vực bạn đang sinh sống:]]</f>
        <v>Thành thị</v>
      </c>
      <c r="I21" t="str">
        <f>step3_validation[[#This Row],[Education]]</f>
        <v>Sau Đại học</v>
      </c>
      <c r="J21" t="str">
        <f>survey_responses[[#This Row],[Trình độ học vấn cao nhất:]]</f>
        <v>Sau Đại học</v>
      </c>
      <c r="K21" t="str">
        <f>step3_validation[[#This Row],[Employment]]</f>
        <v>Chính thức</v>
      </c>
      <c r="L21" t="str">
        <f>survey_responses[[#This Row],[Tình trạng việc làm chính:]]</f>
        <v>Khu vực chính thức (Có Hợp đồng lao động, đóng BHXH)</v>
      </c>
      <c r="M21">
        <f>step3_validation[[#This Row],[Income_Mil]]</f>
        <v>53.881595215233347</v>
      </c>
      <c r="N21" t="str">
        <f>survey_responses[[#This Row],[Thu nhập bình quân tháng theo Hợp đồng lao động của bạn là bao nhiêu? (Vui lòng điền tổng thu nhập trước khi khấu trừ các loại Bảo hiểm (BHXH, BHYT, BHTN) và Thuế TNCN)]]</f>
        <v>Từ 48 - 70 triệu VNĐ</v>
      </c>
      <c r="O21">
        <f>step3_validation[[#This Row],[Dependents]]</f>
        <v>2</v>
      </c>
      <c r="P21" t="str">
        <f>survey_responses[[#This Row],[Số người phụ thuộc (con nhỏ, cha mẹ già...) đủ điều kiện giảm trừ gia cảnh:]]</f>
        <v>2 người</v>
      </c>
      <c r="Q21">
        <f>step3_validation[[#This Row],[AI_ENF1]]</f>
        <v>9</v>
      </c>
      <c r="R21">
        <f t="shared" si="0"/>
        <v>0.88888888888888884</v>
      </c>
      <c r="S21">
        <f>survey_responses[[#This Row],[Tôi tin rằng với các quy định quản lý thuế hiện nay, hành vi gian lận hoặc trốn thuế sẽ dễ dàng bị phát hiện và xử lý nghiêm. - HUMAN-ENF1]]</f>
        <v>9</v>
      </c>
      <c r="T21">
        <f t="shared" si="1"/>
        <v>0.88888888888888884</v>
      </c>
      <c r="U21">
        <f>step3_validation[[#This Row],[AI_ENF2]]</f>
        <v>8</v>
      </c>
      <c r="V21">
        <f t="shared" si="2"/>
        <v>0.77777777777777779</v>
      </c>
      <c r="W21">
        <f>survey_responses[[#This Row],[Tôi tin rằng Nhà nước, cơ quan thuế có đủ khả năng và công nghệ để phát hiện, xử lý nghiêm các hành vi trốn thuế. - HUMAN-ENF2]]</f>
        <v>9</v>
      </c>
      <c r="X21">
        <f t="shared" si="3"/>
        <v>0.88888888888888884</v>
      </c>
      <c r="Y21" s="32">
        <f t="shared" si="4"/>
        <v>0.83333333333333326</v>
      </c>
      <c r="Z21" s="32">
        <f t="shared" si="5"/>
        <v>0.88888888888888884</v>
      </c>
      <c r="AA21">
        <f>step3_validation[[#This Row],[AI_FAC1]]</f>
        <v>9</v>
      </c>
      <c r="AB21">
        <f t="shared" si="6"/>
        <v>0.88888888888888884</v>
      </c>
      <c r="AC21">
        <f>survey_responses[[#This Row],[Các thủ tục khai báo thuế VÀ/HOẶC quy trình làm việc với cơ quan thuế đơn giản, tiện lợi, nhanh chóng hơn so với trước đây. - HUMAN-FAC1]]</f>
        <v>7</v>
      </c>
      <c r="AD21">
        <f t="shared" si="7"/>
        <v>0.66666666666666663</v>
      </c>
      <c r="AE21">
        <f>step3_validation[[#This Row],[AI_FAC2]]</f>
        <v>8</v>
      </c>
      <c r="AF21">
        <f t="shared" si="8"/>
        <v>0.77777777777777779</v>
      </c>
      <c r="AG21">
        <f>survey_responses[[#This Row],[So với trước đây, tôi thấy cách tính thuế và các bậc thuế trong phương án mới đơn giản, dễ hiểu và dễ thực hiện hơn. - HUMAN-FAC2]]</f>
        <v>9</v>
      </c>
      <c r="AH21">
        <f t="shared" si="9"/>
        <v>0.88888888888888884</v>
      </c>
      <c r="AI21" s="32">
        <f t="shared" si="10"/>
        <v>0.83333333333333326</v>
      </c>
      <c r="AJ21" s="32">
        <f t="shared" si="11"/>
        <v>0.77777777777777768</v>
      </c>
      <c r="AK21">
        <f>step3_validation[[#This Row],[AI_TRU1]]</f>
        <v>9</v>
      </c>
      <c r="AL21">
        <f t="shared" si="12"/>
        <v>0.88888888888888884</v>
      </c>
      <c r="AM21">
        <f>survey_responses[[#This Row],[Tôi tin rằng Nhà nước, cơ quan thuế sẽ thực thi chính sách mới một cách khách quan, công tâm và đối xử bình đẳng với mọi người nộp thuế.  - HUMAN-TRU1]]</f>
        <v>7</v>
      </c>
      <c r="AN21">
        <f t="shared" si="13"/>
        <v>0.66666666666666663</v>
      </c>
      <c r="AO21">
        <f>step3_validation[[#This Row],[AI_TRU2]]</f>
        <v>8</v>
      </c>
      <c r="AP21">
        <f t="shared" si="14"/>
        <v>0.77777777777777779</v>
      </c>
      <c r="AQ21">
        <f>survey_responses[[#This Row],[Tôi thấy mức thuế tôi phải đóng theo phương án mới là công bằng (người thu nhập như tôi đóng mức này là hợp lý). - HUMAN-TRU2]]</f>
        <v>8</v>
      </c>
      <c r="AR21">
        <f t="shared" si="15"/>
        <v>0.77777777777777779</v>
      </c>
      <c r="AS21">
        <f>step3_validation[[#This Row],[AI_TRU3]]</f>
        <v>9</v>
      </c>
      <c r="AT21">
        <f t="shared" si="16"/>
        <v>0.88888888888888884</v>
      </c>
      <c r="AU21">
        <f>survey_responses[[#This Row],[Tôi tin tưởng số tiền thuế tôi đóng sẽ được Nhà nước sử dụng hiệu quả để cải thiện dịch vụ công (y tế, đường xá...). - HUMAN-TRU3]]</f>
        <v>5</v>
      </c>
      <c r="AV21">
        <f t="shared" si="17"/>
        <v>0.44444444444444442</v>
      </c>
      <c r="AW21">
        <f>step3_validation[[#This Row],[AI_TRU4]]</f>
        <v>8</v>
      </c>
      <c r="AX21">
        <f t="shared" si="18"/>
        <v>0.77777777777777779</v>
      </c>
      <c r="AY21">
        <f>survey_responses[[#This Row],[Tôi thấy Nhà nước đã giải thích rõ ràng, minh bạch về lý do và mục tiêu của việc sửa đổi thuế lần này. - HUMAN-TRU4]]</f>
        <v>5</v>
      </c>
      <c r="AZ21">
        <f t="shared" si="19"/>
        <v>0.44444444444444442</v>
      </c>
      <c r="BA21" s="32">
        <f t="shared" si="20"/>
        <v>0.83333333333333326</v>
      </c>
      <c r="BB21" s="32">
        <f t="shared" si="21"/>
        <v>0.58333333333333326</v>
      </c>
      <c r="BC21" s="7">
        <f t="shared" si="22"/>
        <v>0.83333333333333337</v>
      </c>
      <c r="BD21" s="7">
        <f t="shared" si="23"/>
        <v>0.75</v>
      </c>
      <c r="BE21">
        <f>step3_validation[[#This Row],[AI_OUT1]]</f>
        <v>9</v>
      </c>
      <c r="BF21">
        <f t="shared" si="24"/>
        <v>0.88888888888888884</v>
      </c>
      <c r="BG21">
        <f>survey_responses[[#This Row],[Sau khi xem xét các quyền lợi và nghĩa vụ, bạn có ủng hộ và tuân thủ chính sách mới hiện nay? - HUMAN-OUT1]]</f>
        <v>6</v>
      </c>
      <c r="BH21">
        <f t="shared" si="25"/>
        <v>0.55555555555555558</v>
      </c>
      <c r="BI21" s="32">
        <f t="shared" si="26"/>
        <v>3</v>
      </c>
    </row>
    <row r="22" spans="1:61" x14ac:dyDescent="0.45">
      <c r="A22" s="30">
        <f>step3_validation[[#This Row],[Persona_ID]]</f>
        <v>21</v>
      </c>
      <c r="B22" s="31">
        <f>step3_validation[[#This Row],[Used_Seed]]</f>
        <v>21</v>
      </c>
      <c r="C22" t="str">
        <f>step3_validation[[#This Row],[Gender]]</f>
        <v>Nữ</v>
      </c>
      <c r="D22" t="str">
        <f>survey_responses[[#This Row],[Giới tính của bạn:]]</f>
        <v>Nữ</v>
      </c>
      <c r="E22" t="str">
        <f>step3_validation[[#This Row],[Age_Group]]</f>
        <v>40 - 49</v>
      </c>
      <c r="F22" t="str">
        <f>survey_responses[[#This Row],[Độ tuổi của bạn:]]</f>
        <v>40 - 49</v>
      </c>
      <c r="G22" t="str">
        <f>step3_validation[[#This Row],[Region]]</f>
        <v>Thành thị</v>
      </c>
      <c r="H22" t="str">
        <f>survey_responses[[#This Row],[Khu vực bạn đang sinh sống:]]</f>
        <v>Thành thị</v>
      </c>
      <c r="I22" t="str">
        <f>step3_validation[[#This Row],[Education]]</f>
        <v>Đại học</v>
      </c>
      <c r="J22" t="str">
        <f>survey_responses[[#This Row],[Trình độ học vấn cao nhất:]]</f>
        <v>Đại học</v>
      </c>
      <c r="K22" t="str">
        <f>step3_validation[[#This Row],[Employment]]</f>
        <v>Chính thức</v>
      </c>
      <c r="L22" t="str">
        <f>survey_responses[[#This Row],[Tình trạng việc làm chính:]]</f>
        <v>Khu vực chính thức (Có Hợp đồng lao động, đóng BHXH)</v>
      </c>
      <c r="M22">
        <f>step3_validation[[#This Row],[Income_Mil]]</f>
        <v>217.6054031449857</v>
      </c>
      <c r="N22" t="str">
        <f>survey_responses[[#This Row],[Thu nhập bình quân tháng theo Hợp đồng lao động của bạn là bao nhiêu? (Vui lòng điền tổng thu nhập trước khi khấu trừ các loại Bảo hiểm (BHXH, BHYT, BHTN) và Thuế TNCN)]]</f>
        <v>Trên 102 triệu VNĐ</v>
      </c>
      <c r="O22">
        <f>step3_validation[[#This Row],[Dependents]]</f>
        <v>3</v>
      </c>
      <c r="P22" t="str">
        <f>survey_responses[[#This Row],[Số người phụ thuộc (con nhỏ, cha mẹ già...) đủ điều kiện giảm trừ gia cảnh:]]</f>
        <v>3 người</v>
      </c>
      <c r="Q22">
        <f>step3_validation[[#This Row],[AI_ENF1]]</f>
        <v>7</v>
      </c>
      <c r="R22">
        <f t="shared" si="0"/>
        <v>0.66666666666666663</v>
      </c>
      <c r="S22">
        <f>survey_responses[[#This Row],[Tôi tin rằng với các quy định quản lý thuế hiện nay, hành vi gian lận hoặc trốn thuế sẽ dễ dàng bị phát hiện và xử lý nghiêm. - HUMAN-ENF1]]</f>
        <v>10</v>
      </c>
      <c r="T22">
        <f t="shared" si="1"/>
        <v>1</v>
      </c>
      <c r="U22">
        <f>step3_validation[[#This Row],[AI_ENF2]]</f>
        <v>8</v>
      </c>
      <c r="V22">
        <f t="shared" si="2"/>
        <v>0.77777777777777779</v>
      </c>
      <c r="W22">
        <f>survey_responses[[#This Row],[Tôi tin rằng Nhà nước, cơ quan thuế có đủ khả năng và công nghệ để phát hiện, xử lý nghiêm các hành vi trốn thuế. - HUMAN-ENF2]]</f>
        <v>10</v>
      </c>
      <c r="X22">
        <f t="shared" si="3"/>
        <v>1</v>
      </c>
      <c r="Y22" s="32">
        <f t="shared" si="4"/>
        <v>0.72222222222222221</v>
      </c>
      <c r="Z22" s="32">
        <f t="shared" si="5"/>
        <v>1</v>
      </c>
      <c r="AA22">
        <f>step3_validation[[#This Row],[AI_FAC1]]</f>
        <v>9</v>
      </c>
      <c r="AB22">
        <f t="shared" si="6"/>
        <v>0.88888888888888884</v>
      </c>
      <c r="AC22">
        <f>survey_responses[[#This Row],[Các thủ tục khai báo thuế VÀ/HOẶC quy trình làm việc với cơ quan thuế đơn giản, tiện lợi, nhanh chóng hơn so với trước đây. - HUMAN-FAC1]]</f>
        <v>8</v>
      </c>
      <c r="AD22">
        <f t="shared" si="7"/>
        <v>0.77777777777777779</v>
      </c>
      <c r="AE22">
        <f>step3_validation[[#This Row],[AI_FAC2]]</f>
        <v>8</v>
      </c>
      <c r="AF22">
        <f t="shared" si="8"/>
        <v>0.77777777777777779</v>
      </c>
      <c r="AG22">
        <f>survey_responses[[#This Row],[So với trước đây, tôi thấy cách tính thuế và các bậc thuế trong phương án mới đơn giản, dễ hiểu và dễ thực hiện hơn. - HUMAN-FAC2]]</f>
        <v>7</v>
      </c>
      <c r="AH22">
        <f t="shared" si="9"/>
        <v>0.66666666666666663</v>
      </c>
      <c r="AI22" s="32">
        <f t="shared" si="10"/>
        <v>0.83333333333333326</v>
      </c>
      <c r="AJ22" s="32">
        <f t="shared" si="11"/>
        <v>0.72222222222222221</v>
      </c>
      <c r="AK22">
        <f>step3_validation[[#This Row],[AI_TRU1]]</f>
        <v>7</v>
      </c>
      <c r="AL22">
        <f t="shared" si="12"/>
        <v>0.66666666666666663</v>
      </c>
      <c r="AM22">
        <f>survey_responses[[#This Row],[Tôi tin rằng Nhà nước, cơ quan thuế sẽ thực thi chính sách mới một cách khách quan, công tâm và đối xử bình đẳng với mọi người nộp thuế.  - HUMAN-TRU1]]</f>
        <v>7</v>
      </c>
      <c r="AN22">
        <f t="shared" si="13"/>
        <v>0.66666666666666663</v>
      </c>
      <c r="AO22">
        <f>step3_validation[[#This Row],[AI_TRU2]]</f>
        <v>9</v>
      </c>
      <c r="AP22">
        <f t="shared" si="14"/>
        <v>0.88888888888888884</v>
      </c>
      <c r="AQ22">
        <f>survey_responses[[#This Row],[Tôi thấy mức thuế tôi phải đóng theo phương án mới là công bằng (người thu nhập như tôi đóng mức này là hợp lý). - HUMAN-TRU2]]</f>
        <v>7</v>
      </c>
      <c r="AR22">
        <f t="shared" si="15"/>
        <v>0.66666666666666663</v>
      </c>
      <c r="AS22">
        <f>step3_validation[[#This Row],[AI_TRU3]]</f>
        <v>8</v>
      </c>
      <c r="AT22">
        <f t="shared" si="16"/>
        <v>0.77777777777777779</v>
      </c>
      <c r="AU22">
        <f>survey_responses[[#This Row],[Tôi tin tưởng số tiền thuế tôi đóng sẽ được Nhà nước sử dụng hiệu quả để cải thiện dịch vụ công (y tế, đường xá...). - HUMAN-TRU3]]</f>
        <v>2</v>
      </c>
      <c r="AV22">
        <f t="shared" si="17"/>
        <v>0.1111111111111111</v>
      </c>
      <c r="AW22">
        <f>step3_validation[[#This Row],[AI_TRU4]]</f>
        <v>9</v>
      </c>
      <c r="AX22">
        <f t="shared" si="18"/>
        <v>0.88888888888888884</v>
      </c>
      <c r="AY22">
        <f>survey_responses[[#This Row],[Tôi thấy Nhà nước đã giải thích rõ ràng, minh bạch về lý do và mục tiêu của việc sửa đổi thuế lần này. - HUMAN-TRU4]]</f>
        <v>3</v>
      </c>
      <c r="AZ22">
        <f t="shared" si="19"/>
        <v>0.22222222222222221</v>
      </c>
      <c r="BA22" s="32">
        <f t="shared" si="20"/>
        <v>0.80555555555555547</v>
      </c>
      <c r="BB22" s="32">
        <f t="shared" si="21"/>
        <v>0.41666666666666663</v>
      </c>
      <c r="BC22" s="7">
        <f t="shared" si="22"/>
        <v>0.78703703703703687</v>
      </c>
      <c r="BD22" s="7">
        <f t="shared" si="23"/>
        <v>0.71296296296296291</v>
      </c>
      <c r="BE22">
        <f>step3_validation[[#This Row],[AI_OUT1]]</f>
        <v>9</v>
      </c>
      <c r="BF22">
        <f t="shared" si="24"/>
        <v>0.88888888888888884</v>
      </c>
      <c r="BG22">
        <f>survey_responses[[#This Row],[Sau khi xem xét các quyền lợi và nghĩa vụ, bạn có ủng hộ và tuân thủ chính sách mới hiện nay? - HUMAN-OUT1]]</f>
        <v>3</v>
      </c>
      <c r="BH22">
        <f t="shared" si="25"/>
        <v>0.22222222222222221</v>
      </c>
      <c r="BI22" s="32">
        <f t="shared" si="26"/>
        <v>6</v>
      </c>
    </row>
    <row r="23" spans="1:61" x14ac:dyDescent="0.45">
      <c r="A23" s="30">
        <f>step3_validation[[#This Row],[Persona_ID]]</f>
        <v>22</v>
      </c>
      <c r="B23" s="31">
        <f>step3_validation[[#This Row],[Used_Seed]]</f>
        <v>22</v>
      </c>
      <c r="C23" t="str">
        <f>step3_validation[[#This Row],[Gender]]</f>
        <v>Nữ</v>
      </c>
      <c r="D23" t="str">
        <f>survey_responses[[#This Row],[Giới tính của bạn:]]</f>
        <v>Nữ</v>
      </c>
      <c r="E23" t="str">
        <f>step3_validation[[#This Row],[Age_Group]]</f>
        <v>18 - 24</v>
      </c>
      <c r="F23" t="str">
        <f>survey_responses[[#This Row],[Độ tuổi của bạn:]]</f>
        <v>18 - 24</v>
      </c>
      <c r="G23" t="str">
        <f>step3_validation[[#This Row],[Region]]</f>
        <v>Thành thị</v>
      </c>
      <c r="H23" t="str">
        <f>survey_responses[[#This Row],[Khu vực bạn đang sinh sống:]]</f>
        <v>Thành thị</v>
      </c>
      <c r="I23" t="str">
        <f>step3_validation[[#This Row],[Education]]</f>
        <v>Đại học</v>
      </c>
      <c r="J23" t="str">
        <f>survey_responses[[#This Row],[Trình độ học vấn cao nhất:]]</f>
        <v>Đại học</v>
      </c>
      <c r="K23" t="str">
        <f>step3_validation[[#This Row],[Employment]]</f>
        <v>Chính thức</v>
      </c>
      <c r="L23" t="str">
        <f>survey_responses[[#This Row],[Tình trạng việc làm chính:]]</f>
        <v>Khu vực chính thức (Có Hợp đồng lao động, đóng BHXH)</v>
      </c>
      <c r="M23">
        <f>step3_validation[[#This Row],[Income_Mil]]</f>
        <v>13.831734577160381</v>
      </c>
      <c r="N23" t="str">
        <f>survey_responses[[#This Row],[Thu nhập bình quân tháng theo Hợp đồng lao động của bạn là bao nhiêu? (Vui lòng điền tổng thu nhập trước khi khấu trừ các loại Bảo hiểm (BHXH, BHYT, BHTN) và Thuế TNCN)]]</f>
        <v>Từ 12 - 18 triệu VNĐ</v>
      </c>
      <c r="O23">
        <f>step3_validation[[#This Row],[Dependents]]</f>
        <v>0</v>
      </c>
      <c r="P23" t="str">
        <f>survey_responses[[#This Row],[Số người phụ thuộc (con nhỏ, cha mẹ già...) đủ điều kiện giảm trừ gia cảnh:]]</f>
        <v>0 người</v>
      </c>
      <c r="Q23">
        <f>step3_validation[[#This Row],[AI_ENF1]]</f>
        <v>6</v>
      </c>
      <c r="R23">
        <f t="shared" si="0"/>
        <v>0.55555555555555558</v>
      </c>
      <c r="S23">
        <f>survey_responses[[#This Row],[Tôi tin rằng với các quy định quản lý thuế hiện nay, hành vi gian lận hoặc trốn thuế sẽ dễ dàng bị phát hiện và xử lý nghiêm. - HUMAN-ENF1]]</f>
        <v>8</v>
      </c>
      <c r="T23">
        <f t="shared" si="1"/>
        <v>0.77777777777777779</v>
      </c>
      <c r="U23">
        <f>step3_validation[[#This Row],[AI_ENF2]]</f>
        <v>5</v>
      </c>
      <c r="V23">
        <f t="shared" si="2"/>
        <v>0.44444444444444442</v>
      </c>
      <c r="W23">
        <f>survey_responses[[#This Row],[Tôi tin rằng Nhà nước, cơ quan thuế có đủ khả năng và công nghệ để phát hiện, xử lý nghiêm các hành vi trốn thuế. - HUMAN-ENF2]]</f>
        <v>8</v>
      </c>
      <c r="X23">
        <f t="shared" si="3"/>
        <v>0.77777777777777779</v>
      </c>
      <c r="Y23" s="32">
        <f t="shared" si="4"/>
        <v>0.5</v>
      </c>
      <c r="Z23" s="32">
        <f t="shared" si="5"/>
        <v>0.77777777777777779</v>
      </c>
      <c r="AA23">
        <f>step3_validation[[#This Row],[AI_FAC1]]</f>
        <v>8</v>
      </c>
      <c r="AB23">
        <f t="shared" si="6"/>
        <v>0.77777777777777779</v>
      </c>
      <c r="AC23">
        <f>survey_responses[[#This Row],[Các thủ tục khai báo thuế VÀ/HOẶC quy trình làm việc với cơ quan thuế đơn giản, tiện lợi, nhanh chóng hơn so với trước đây. - HUMAN-FAC1]]</f>
        <v>5</v>
      </c>
      <c r="AD23">
        <f t="shared" si="7"/>
        <v>0.44444444444444442</v>
      </c>
      <c r="AE23">
        <f>step3_validation[[#This Row],[AI_FAC2]]</f>
        <v>9</v>
      </c>
      <c r="AF23">
        <f t="shared" si="8"/>
        <v>0.88888888888888884</v>
      </c>
      <c r="AG23">
        <f>survey_responses[[#This Row],[So với trước đây, tôi thấy cách tính thuế và các bậc thuế trong phương án mới đơn giản, dễ hiểu và dễ thực hiện hơn. - HUMAN-FAC2]]</f>
        <v>8</v>
      </c>
      <c r="AH23">
        <f t="shared" si="9"/>
        <v>0.77777777777777779</v>
      </c>
      <c r="AI23" s="32">
        <f t="shared" si="10"/>
        <v>0.83333333333333326</v>
      </c>
      <c r="AJ23" s="32">
        <f t="shared" si="11"/>
        <v>0.61111111111111116</v>
      </c>
      <c r="AK23">
        <f>step3_validation[[#This Row],[AI_TRU1]]</f>
        <v>8</v>
      </c>
      <c r="AL23">
        <f t="shared" si="12"/>
        <v>0.77777777777777779</v>
      </c>
      <c r="AM23">
        <f>survey_responses[[#This Row],[Tôi tin rằng Nhà nước, cơ quan thuế sẽ thực thi chính sách mới một cách khách quan, công tâm và đối xử bình đẳng với mọi người nộp thuế.  - HUMAN-TRU1]]</f>
        <v>8</v>
      </c>
      <c r="AN23">
        <f t="shared" si="13"/>
        <v>0.77777777777777779</v>
      </c>
      <c r="AO23">
        <f>step3_validation[[#This Row],[AI_TRU2]]</f>
        <v>9</v>
      </c>
      <c r="AP23">
        <f t="shared" si="14"/>
        <v>0.88888888888888884</v>
      </c>
      <c r="AQ23">
        <f>survey_responses[[#This Row],[Tôi thấy mức thuế tôi phải đóng theo phương án mới là công bằng (người thu nhập như tôi đóng mức này là hợp lý). - HUMAN-TRU2]]</f>
        <v>8</v>
      </c>
      <c r="AR23">
        <f t="shared" si="15"/>
        <v>0.77777777777777779</v>
      </c>
      <c r="AS23">
        <f>step3_validation[[#This Row],[AI_TRU3]]</f>
        <v>7</v>
      </c>
      <c r="AT23">
        <f t="shared" si="16"/>
        <v>0.66666666666666663</v>
      </c>
      <c r="AU23">
        <f>survey_responses[[#This Row],[Tôi tin tưởng số tiền thuế tôi đóng sẽ được Nhà nước sử dụng hiệu quả để cải thiện dịch vụ công (y tế, đường xá...). - HUMAN-TRU3]]</f>
        <v>8</v>
      </c>
      <c r="AV23">
        <f t="shared" si="17"/>
        <v>0.77777777777777779</v>
      </c>
      <c r="AW23">
        <f>step3_validation[[#This Row],[AI_TRU4]]</f>
        <v>6</v>
      </c>
      <c r="AX23">
        <f t="shared" si="18"/>
        <v>0.55555555555555558</v>
      </c>
      <c r="AY23">
        <f>survey_responses[[#This Row],[Tôi thấy Nhà nước đã giải thích rõ ràng, minh bạch về lý do và mục tiêu của việc sửa đổi thuế lần này. - HUMAN-TRU4]]</f>
        <v>8</v>
      </c>
      <c r="AZ23">
        <f t="shared" si="19"/>
        <v>0.77777777777777779</v>
      </c>
      <c r="BA23" s="32">
        <f t="shared" si="20"/>
        <v>0.7222222222222221</v>
      </c>
      <c r="BB23" s="32">
        <f t="shared" si="21"/>
        <v>0.77777777777777779</v>
      </c>
      <c r="BC23" s="7">
        <f t="shared" si="22"/>
        <v>0.68518518518518512</v>
      </c>
      <c r="BD23" s="7">
        <f t="shared" si="23"/>
        <v>0.72222222222222221</v>
      </c>
      <c r="BE23">
        <f>step3_validation[[#This Row],[AI_OUT1]]</f>
        <v>9</v>
      </c>
      <c r="BF23">
        <f t="shared" si="24"/>
        <v>0.88888888888888884</v>
      </c>
      <c r="BG23">
        <f>survey_responses[[#This Row],[Sau khi xem xét các quyền lợi và nghĩa vụ, bạn có ủng hộ và tuân thủ chính sách mới hiện nay? - HUMAN-OUT1]]</f>
        <v>8</v>
      </c>
      <c r="BH23">
        <f t="shared" si="25"/>
        <v>0.77777777777777779</v>
      </c>
      <c r="BI23" s="32">
        <f t="shared" si="26"/>
        <v>1</v>
      </c>
    </row>
    <row r="24" spans="1:61" x14ac:dyDescent="0.45">
      <c r="A24" s="30">
        <f>step3_validation[[#This Row],[Persona_ID]]</f>
        <v>23</v>
      </c>
      <c r="B24" s="31">
        <f>step3_validation[[#This Row],[Used_Seed]]</f>
        <v>23</v>
      </c>
      <c r="C24" t="str">
        <f>step3_validation[[#This Row],[Gender]]</f>
        <v>Nữ</v>
      </c>
      <c r="D24" t="str">
        <f>survey_responses[[#This Row],[Giới tính của bạn:]]</f>
        <v>Nữ</v>
      </c>
      <c r="E24" t="str">
        <f>step3_validation[[#This Row],[Age_Group]]</f>
        <v>40 - 49</v>
      </c>
      <c r="F24" t="str">
        <f>survey_responses[[#This Row],[Độ tuổi của bạn:]]</f>
        <v>40 - 49</v>
      </c>
      <c r="G24" t="str">
        <f>step3_validation[[#This Row],[Region]]</f>
        <v>Thành thị</v>
      </c>
      <c r="H24" t="str">
        <f>survey_responses[[#This Row],[Khu vực bạn đang sinh sống:]]</f>
        <v>Thành thị</v>
      </c>
      <c r="I24" t="str">
        <f>step3_validation[[#This Row],[Education]]</f>
        <v>Sau Đại học</v>
      </c>
      <c r="J24" t="str">
        <f>survey_responses[[#This Row],[Trình độ học vấn cao nhất:]]</f>
        <v>Sau Đại học</v>
      </c>
      <c r="K24" t="str">
        <f>step3_validation[[#This Row],[Employment]]</f>
        <v>Chính thức</v>
      </c>
      <c r="L24" t="str">
        <f>survey_responses[[#This Row],[Tình trạng việc làm chính:]]</f>
        <v>Khu vực chính thức (Có Hợp đồng lao động, đóng BHXH)</v>
      </c>
      <c r="M24">
        <f>step3_validation[[#This Row],[Income_Mil]]</f>
        <v>91.511925500378297</v>
      </c>
      <c r="N24" t="str">
        <f>survey_responses[[#This Row],[Thu nhập bình quân tháng theo Hợp đồng lao động của bạn là bao nhiêu? (Vui lòng điền tổng thu nhập trước khi khấu trừ các loại Bảo hiểm (BHXH, BHYT, BHTN) và Thuế TNCN)]]</f>
        <v>Từ 70 - 102 triệu VNĐ</v>
      </c>
      <c r="O24">
        <f>step3_validation[[#This Row],[Dependents]]</f>
        <v>3</v>
      </c>
      <c r="P24" t="str">
        <f>survey_responses[[#This Row],[Số người phụ thuộc (con nhỏ, cha mẹ già...) đủ điều kiện giảm trừ gia cảnh:]]</f>
        <v>3 người</v>
      </c>
      <c r="Q24">
        <f>step3_validation[[#This Row],[AI_ENF1]]</f>
        <v>7</v>
      </c>
      <c r="R24">
        <f t="shared" si="0"/>
        <v>0.66666666666666663</v>
      </c>
      <c r="S24">
        <f>survey_responses[[#This Row],[Tôi tin rằng với các quy định quản lý thuế hiện nay, hành vi gian lận hoặc trốn thuế sẽ dễ dàng bị phát hiện và xử lý nghiêm. - HUMAN-ENF1]]</f>
        <v>5</v>
      </c>
      <c r="T24">
        <f t="shared" si="1"/>
        <v>0.44444444444444442</v>
      </c>
      <c r="U24">
        <f>step3_validation[[#This Row],[AI_ENF2]]</f>
        <v>6</v>
      </c>
      <c r="V24">
        <f t="shared" si="2"/>
        <v>0.55555555555555558</v>
      </c>
      <c r="W24">
        <f>survey_responses[[#This Row],[Tôi tin rằng Nhà nước, cơ quan thuế có đủ khả năng và công nghệ để phát hiện, xử lý nghiêm các hành vi trốn thuế. - HUMAN-ENF2]]</f>
        <v>5</v>
      </c>
      <c r="X24">
        <f t="shared" si="3"/>
        <v>0.44444444444444442</v>
      </c>
      <c r="Y24" s="32">
        <f t="shared" si="4"/>
        <v>0.61111111111111116</v>
      </c>
      <c r="Z24" s="32">
        <f t="shared" si="5"/>
        <v>0.44444444444444442</v>
      </c>
      <c r="AA24">
        <f>step3_validation[[#This Row],[AI_FAC1]]</f>
        <v>9</v>
      </c>
      <c r="AB24">
        <f t="shared" si="6"/>
        <v>0.88888888888888884</v>
      </c>
      <c r="AC24">
        <f>survey_responses[[#This Row],[Các thủ tục khai báo thuế VÀ/HOẶC quy trình làm việc với cơ quan thuế đơn giản, tiện lợi, nhanh chóng hơn so với trước đây. - HUMAN-FAC1]]</f>
        <v>5</v>
      </c>
      <c r="AD24">
        <f t="shared" si="7"/>
        <v>0.44444444444444442</v>
      </c>
      <c r="AE24">
        <f>step3_validation[[#This Row],[AI_FAC2]]</f>
        <v>8</v>
      </c>
      <c r="AF24">
        <f t="shared" si="8"/>
        <v>0.77777777777777779</v>
      </c>
      <c r="AG24">
        <f>survey_responses[[#This Row],[So với trước đây, tôi thấy cách tính thuế và các bậc thuế trong phương án mới đơn giản, dễ hiểu và dễ thực hiện hơn. - HUMAN-FAC2]]</f>
        <v>5</v>
      </c>
      <c r="AH24">
        <f t="shared" si="9"/>
        <v>0.44444444444444442</v>
      </c>
      <c r="AI24" s="32">
        <f t="shared" si="10"/>
        <v>0.83333333333333326</v>
      </c>
      <c r="AJ24" s="32">
        <f t="shared" si="11"/>
        <v>0.44444444444444442</v>
      </c>
      <c r="AK24">
        <f>step3_validation[[#This Row],[AI_TRU1]]</f>
        <v>9</v>
      </c>
      <c r="AL24">
        <f t="shared" si="12"/>
        <v>0.88888888888888884</v>
      </c>
      <c r="AM24">
        <f>survey_responses[[#This Row],[Tôi tin rằng Nhà nước, cơ quan thuế sẽ thực thi chính sách mới một cách khách quan, công tâm và đối xử bình đẳng với mọi người nộp thuế.  - HUMAN-TRU1]]</f>
        <v>5</v>
      </c>
      <c r="AN24">
        <f t="shared" si="13"/>
        <v>0.44444444444444442</v>
      </c>
      <c r="AO24">
        <f>step3_validation[[#This Row],[AI_TRU2]]</f>
        <v>8</v>
      </c>
      <c r="AP24">
        <f t="shared" si="14"/>
        <v>0.77777777777777779</v>
      </c>
      <c r="AQ24">
        <f>survey_responses[[#This Row],[Tôi thấy mức thuế tôi phải đóng theo phương án mới là công bằng (người thu nhập như tôi đóng mức này là hợp lý). - HUMAN-TRU2]]</f>
        <v>5</v>
      </c>
      <c r="AR24">
        <f t="shared" si="15"/>
        <v>0.44444444444444442</v>
      </c>
      <c r="AS24">
        <f>step3_validation[[#This Row],[AI_TRU3]]</f>
        <v>9</v>
      </c>
      <c r="AT24">
        <f t="shared" si="16"/>
        <v>0.88888888888888884</v>
      </c>
      <c r="AU24">
        <f>survey_responses[[#This Row],[Tôi tin tưởng số tiền thuế tôi đóng sẽ được Nhà nước sử dụng hiệu quả để cải thiện dịch vụ công (y tế, đường xá...). - HUMAN-TRU3]]</f>
        <v>5</v>
      </c>
      <c r="AV24">
        <f t="shared" si="17"/>
        <v>0.44444444444444442</v>
      </c>
      <c r="AW24">
        <f>step3_validation[[#This Row],[AI_TRU4]]</f>
        <v>7</v>
      </c>
      <c r="AX24">
        <f t="shared" si="18"/>
        <v>0.66666666666666663</v>
      </c>
      <c r="AY24">
        <f>survey_responses[[#This Row],[Tôi thấy Nhà nước đã giải thích rõ ràng, minh bạch về lý do và mục tiêu của việc sửa đổi thuế lần này. - HUMAN-TRU4]]</f>
        <v>5</v>
      </c>
      <c r="AZ24">
        <f t="shared" si="19"/>
        <v>0.44444444444444442</v>
      </c>
      <c r="BA24" s="32">
        <f t="shared" si="20"/>
        <v>0.80555555555555547</v>
      </c>
      <c r="BB24" s="32">
        <f t="shared" si="21"/>
        <v>0.44444444444444442</v>
      </c>
      <c r="BC24" s="7">
        <f t="shared" si="22"/>
        <v>0.75</v>
      </c>
      <c r="BD24" s="7">
        <f t="shared" si="23"/>
        <v>0.44444444444444442</v>
      </c>
      <c r="BE24">
        <f>step3_validation[[#This Row],[AI_OUT1]]</f>
        <v>9</v>
      </c>
      <c r="BF24">
        <f t="shared" si="24"/>
        <v>0.88888888888888884</v>
      </c>
      <c r="BG24">
        <f>survey_responses[[#This Row],[Sau khi xem xét các quyền lợi và nghĩa vụ, bạn có ủng hộ và tuân thủ chính sách mới hiện nay? - HUMAN-OUT1]]</f>
        <v>5</v>
      </c>
      <c r="BH24">
        <f t="shared" si="25"/>
        <v>0.44444444444444442</v>
      </c>
      <c r="BI24" s="32">
        <f t="shared" si="26"/>
        <v>4</v>
      </c>
    </row>
    <row r="25" spans="1:61" x14ac:dyDescent="0.45">
      <c r="A25" s="30">
        <f>step3_validation[[#This Row],[Persona_ID]]</f>
        <v>24</v>
      </c>
      <c r="B25" s="31">
        <f>step3_validation[[#This Row],[Used_Seed]]</f>
        <v>24</v>
      </c>
      <c r="C25" t="str">
        <f>step3_validation[[#This Row],[Gender]]</f>
        <v>Nữ</v>
      </c>
      <c r="D25" t="str">
        <f>survey_responses[[#This Row],[Giới tính của bạn:]]</f>
        <v>Nữ</v>
      </c>
      <c r="E25" t="str">
        <f>step3_validation[[#This Row],[Age_Group]]</f>
        <v>30 - 39</v>
      </c>
      <c r="F25" t="str">
        <f>survey_responses[[#This Row],[Độ tuổi của bạn:]]</f>
        <v>30 - 39</v>
      </c>
      <c r="G25" t="str">
        <f>step3_validation[[#This Row],[Region]]</f>
        <v>Nông thôn</v>
      </c>
      <c r="H25" t="str">
        <f>survey_responses[[#This Row],[Khu vực bạn đang sinh sống:]]</f>
        <v>Nông thôn</v>
      </c>
      <c r="I25" t="str">
        <f>step3_validation[[#This Row],[Education]]</f>
        <v>Đại học</v>
      </c>
      <c r="J25" t="str">
        <f>survey_responses[[#This Row],[Trình độ học vấn cao nhất:]]</f>
        <v>Đại học</v>
      </c>
      <c r="K25" t="str">
        <f>step3_validation[[#This Row],[Employment]]</f>
        <v>Chính thức</v>
      </c>
      <c r="L25" t="str">
        <f>survey_responses[[#This Row],[Tình trạng việc làm chính:]]</f>
        <v>Khu vực chính thức (Có Hợp đồng lao động, đóng BHXH)</v>
      </c>
      <c r="M25">
        <f>step3_validation[[#This Row],[Income_Mil]]</f>
        <v>25.642150693354523</v>
      </c>
      <c r="N25" t="str">
        <f>survey_responses[[#This Row],[Thu nhập bình quân tháng theo Hợp đồng lao động của bạn là bao nhiêu? (Vui lòng điền tổng thu nhập trước khi khấu trừ các loại Bảo hiểm (BHXH, BHYT, BHTN) và Thuế TNCN)]]</f>
        <v>Từ 23 - 32 triệu VNĐ</v>
      </c>
      <c r="O25">
        <f>step3_validation[[#This Row],[Dependents]]</f>
        <v>2</v>
      </c>
      <c r="P25" t="str">
        <f>survey_responses[[#This Row],[Số người phụ thuộc (con nhỏ, cha mẹ già...) đủ điều kiện giảm trừ gia cảnh:]]</f>
        <v>2 người</v>
      </c>
      <c r="Q25">
        <f>step3_validation[[#This Row],[AI_ENF1]]</f>
        <v>7</v>
      </c>
      <c r="R25">
        <f t="shared" si="0"/>
        <v>0.66666666666666663</v>
      </c>
      <c r="S25">
        <f>survey_responses[[#This Row],[Tôi tin rằng với các quy định quản lý thuế hiện nay, hành vi gian lận hoặc trốn thuế sẽ dễ dàng bị phát hiện và xử lý nghiêm. - HUMAN-ENF1]]</f>
        <v>9</v>
      </c>
      <c r="T25">
        <f t="shared" si="1"/>
        <v>0.88888888888888884</v>
      </c>
      <c r="U25">
        <f>step3_validation[[#This Row],[AI_ENF2]]</f>
        <v>8</v>
      </c>
      <c r="V25">
        <f t="shared" si="2"/>
        <v>0.77777777777777779</v>
      </c>
      <c r="W25">
        <f>survey_responses[[#This Row],[Tôi tin rằng Nhà nước, cơ quan thuế có đủ khả năng và công nghệ để phát hiện, xử lý nghiêm các hành vi trốn thuế. - HUMAN-ENF2]]</f>
        <v>8</v>
      </c>
      <c r="X25">
        <f t="shared" si="3"/>
        <v>0.77777777777777779</v>
      </c>
      <c r="Y25" s="32">
        <f t="shared" si="4"/>
        <v>0.72222222222222221</v>
      </c>
      <c r="Z25" s="32">
        <f t="shared" si="5"/>
        <v>0.83333333333333326</v>
      </c>
      <c r="AA25">
        <f>step3_validation[[#This Row],[AI_FAC1]]</f>
        <v>9</v>
      </c>
      <c r="AB25">
        <f t="shared" si="6"/>
        <v>0.88888888888888884</v>
      </c>
      <c r="AC25">
        <f>survey_responses[[#This Row],[Các thủ tục khai báo thuế VÀ/HOẶC quy trình làm việc với cơ quan thuế đơn giản, tiện lợi, nhanh chóng hơn so với trước đây. - HUMAN-FAC1]]</f>
        <v>6</v>
      </c>
      <c r="AD25">
        <f t="shared" si="7"/>
        <v>0.55555555555555558</v>
      </c>
      <c r="AE25">
        <f>step3_validation[[#This Row],[AI_FAC2]]</f>
        <v>9</v>
      </c>
      <c r="AF25">
        <f t="shared" si="8"/>
        <v>0.88888888888888884</v>
      </c>
      <c r="AG25">
        <f>survey_responses[[#This Row],[So với trước đây, tôi thấy cách tính thuế và các bậc thuế trong phương án mới đơn giản, dễ hiểu và dễ thực hiện hơn. - HUMAN-FAC2]]</f>
        <v>9</v>
      </c>
      <c r="AH25">
        <f t="shared" si="9"/>
        <v>0.88888888888888884</v>
      </c>
      <c r="AI25" s="32">
        <f t="shared" si="10"/>
        <v>0.88888888888888884</v>
      </c>
      <c r="AJ25" s="32">
        <f t="shared" si="11"/>
        <v>0.72222222222222221</v>
      </c>
      <c r="AK25">
        <f>step3_validation[[#This Row],[AI_TRU1]]</f>
        <v>8</v>
      </c>
      <c r="AL25">
        <f t="shared" si="12"/>
        <v>0.77777777777777779</v>
      </c>
      <c r="AM25">
        <f>survey_responses[[#This Row],[Tôi tin rằng Nhà nước, cơ quan thuế sẽ thực thi chính sách mới một cách khách quan, công tâm và đối xử bình đẳng với mọi người nộp thuế.  - HUMAN-TRU1]]</f>
        <v>8</v>
      </c>
      <c r="AN25">
        <f t="shared" si="13"/>
        <v>0.77777777777777779</v>
      </c>
      <c r="AO25">
        <f>step3_validation[[#This Row],[AI_TRU2]]</f>
        <v>8</v>
      </c>
      <c r="AP25">
        <f t="shared" si="14"/>
        <v>0.77777777777777779</v>
      </c>
      <c r="AQ25">
        <f>survey_responses[[#This Row],[Tôi thấy mức thuế tôi phải đóng theo phương án mới là công bằng (người thu nhập như tôi đóng mức này là hợp lý). - HUMAN-TRU2]]</f>
        <v>10</v>
      </c>
      <c r="AR25">
        <f t="shared" si="15"/>
        <v>1</v>
      </c>
      <c r="AS25">
        <f>step3_validation[[#This Row],[AI_TRU3]]</f>
        <v>8</v>
      </c>
      <c r="AT25">
        <f t="shared" si="16"/>
        <v>0.77777777777777779</v>
      </c>
      <c r="AU25">
        <f>survey_responses[[#This Row],[Tôi tin tưởng số tiền thuế tôi đóng sẽ được Nhà nước sử dụng hiệu quả để cải thiện dịch vụ công (y tế, đường xá...). - HUMAN-TRU3]]</f>
        <v>6</v>
      </c>
      <c r="AV25">
        <f t="shared" si="17"/>
        <v>0.55555555555555558</v>
      </c>
      <c r="AW25">
        <f>step3_validation[[#This Row],[AI_TRU4]]</f>
        <v>9</v>
      </c>
      <c r="AX25">
        <f t="shared" si="18"/>
        <v>0.88888888888888884</v>
      </c>
      <c r="AY25">
        <f>survey_responses[[#This Row],[Tôi thấy Nhà nước đã giải thích rõ ràng, minh bạch về lý do và mục tiêu của việc sửa đổi thuế lần này. - HUMAN-TRU4]]</f>
        <v>6</v>
      </c>
      <c r="AZ25">
        <f t="shared" si="19"/>
        <v>0.55555555555555558</v>
      </c>
      <c r="BA25" s="32">
        <f t="shared" si="20"/>
        <v>0.80555555555555558</v>
      </c>
      <c r="BB25" s="32">
        <f t="shared" si="21"/>
        <v>0.7222222222222221</v>
      </c>
      <c r="BC25" s="7">
        <f t="shared" si="22"/>
        <v>0.80555555555555569</v>
      </c>
      <c r="BD25" s="7">
        <f t="shared" si="23"/>
        <v>0.75925925925925919</v>
      </c>
      <c r="BE25">
        <f>step3_validation[[#This Row],[AI_OUT1]]</f>
        <v>9</v>
      </c>
      <c r="BF25">
        <f t="shared" si="24"/>
        <v>0.88888888888888884</v>
      </c>
      <c r="BG25">
        <f>survey_responses[[#This Row],[Sau khi xem xét các quyền lợi và nghĩa vụ, bạn có ủng hộ và tuân thủ chính sách mới hiện nay? - HUMAN-OUT1]]</f>
        <v>8</v>
      </c>
      <c r="BH25">
        <f t="shared" si="25"/>
        <v>0.77777777777777779</v>
      </c>
      <c r="BI25" s="32">
        <f t="shared" si="26"/>
        <v>1</v>
      </c>
    </row>
    <row r="26" spans="1:61" x14ac:dyDescent="0.45">
      <c r="A26" s="30">
        <f>step3_validation[[#This Row],[Persona_ID]]</f>
        <v>25</v>
      </c>
      <c r="B26" s="31">
        <f>step3_validation[[#This Row],[Used_Seed]]</f>
        <v>25</v>
      </c>
      <c r="C26" t="str">
        <f>step3_validation[[#This Row],[Gender]]</f>
        <v>Nam</v>
      </c>
      <c r="D26" t="str">
        <f>survey_responses[[#This Row],[Giới tính của bạn:]]</f>
        <v>Nam</v>
      </c>
      <c r="E26" t="str">
        <f>step3_validation[[#This Row],[Age_Group]]</f>
        <v>30 - 39</v>
      </c>
      <c r="F26" t="str">
        <f>survey_responses[[#This Row],[Độ tuổi của bạn:]]</f>
        <v>30 - 39</v>
      </c>
      <c r="G26" t="str">
        <f>step3_validation[[#This Row],[Region]]</f>
        <v>Thành thị</v>
      </c>
      <c r="H26" t="str">
        <f>survey_responses[[#This Row],[Khu vực bạn đang sinh sống:]]</f>
        <v>Thành thị</v>
      </c>
      <c r="I26" t="str">
        <f>step3_validation[[#This Row],[Education]]</f>
        <v>Sau Đại học</v>
      </c>
      <c r="J26" t="str">
        <f>survey_responses[[#This Row],[Trình độ học vấn cao nhất:]]</f>
        <v>Sau Đại học</v>
      </c>
      <c r="K26" t="str">
        <f>step3_validation[[#This Row],[Employment]]</f>
        <v>Chính thức</v>
      </c>
      <c r="L26" t="str">
        <f>survey_responses[[#This Row],[Tình trạng việc làm chính:]]</f>
        <v>Khu vực chính thức (Có Hợp đồng lao động, đóng BHXH)</v>
      </c>
      <c r="M26">
        <f>step3_validation[[#This Row],[Income_Mil]]</f>
        <v>34.410818498480118</v>
      </c>
      <c r="N26" t="str">
        <f>survey_responses[[#This Row],[Thu nhập bình quân tháng theo Hợp đồng lao động của bạn là bao nhiêu? (Vui lòng điền tổng thu nhập trước khi khấu trừ các loại Bảo hiểm (BHXH, BHYT, BHTN) và Thuế TNCN)]]</f>
        <v>Từ 32 - 48 triệu VNĐ</v>
      </c>
      <c r="O26">
        <f>step3_validation[[#This Row],[Dependents]]</f>
        <v>1</v>
      </c>
      <c r="P26" t="str">
        <f>survey_responses[[#This Row],[Số người phụ thuộc (con nhỏ, cha mẹ già...) đủ điều kiện giảm trừ gia cảnh:]]</f>
        <v>1 người</v>
      </c>
      <c r="Q26">
        <f>step3_validation[[#This Row],[AI_ENF1]]</f>
        <v>7</v>
      </c>
      <c r="R26">
        <f t="shared" si="0"/>
        <v>0.66666666666666663</v>
      </c>
      <c r="S26">
        <f>survey_responses[[#This Row],[Tôi tin rằng với các quy định quản lý thuế hiện nay, hành vi gian lận hoặc trốn thuế sẽ dễ dàng bị phát hiện và xử lý nghiêm. - HUMAN-ENF1]]</f>
        <v>6</v>
      </c>
      <c r="T26">
        <f t="shared" si="1"/>
        <v>0.55555555555555558</v>
      </c>
      <c r="U26">
        <f>step3_validation[[#This Row],[AI_ENF2]]</f>
        <v>6</v>
      </c>
      <c r="V26">
        <f t="shared" si="2"/>
        <v>0.55555555555555558</v>
      </c>
      <c r="W26">
        <f>survey_responses[[#This Row],[Tôi tin rằng Nhà nước, cơ quan thuế có đủ khả năng và công nghệ để phát hiện, xử lý nghiêm các hành vi trốn thuế. - HUMAN-ENF2]]</f>
        <v>7</v>
      </c>
      <c r="X26">
        <f t="shared" si="3"/>
        <v>0.66666666666666663</v>
      </c>
      <c r="Y26" s="32">
        <f t="shared" si="4"/>
        <v>0.61111111111111116</v>
      </c>
      <c r="Z26" s="32">
        <f t="shared" si="5"/>
        <v>0.61111111111111116</v>
      </c>
      <c r="AA26">
        <f>step3_validation[[#This Row],[AI_FAC1]]</f>
        <v>9</v>
      </c>
      <c r="AB26">
        <f t="shared" si="6"/>
        <v>0.88888888888888884</v>
      </c>
      <c r="AC26">
        <f>survey_responses[[#This Row],[Các thủ tục khai báo thuế VÀ/HOẶC quy trình làm việc với cơ quan thuế đơn giản, tiện lợi, nhanh chóng hơn so với trước đây. - HUMAN-FAC1]]</f>
        <v>5</v>
      </c>
      <c r="AD26">
        <f t="shared" si="7"/>
        <v>0.44444444444444442</v>
      </c>
      <c r="AE26">
        <f>step3_validation[[#This Row],[AI_FAC2]]</f>
        <v>8</v>
      </c>
      <c r="AF26">
        <f t="shared" si="8"/>
        <v>0.77777777777777779</v>
      </c>
      <c r="AG26">
        <f>survey_responses[[#This Row],[So với trước đây, tôi thấy cách tính thuế và các bậc thuế trong phương án mới đơn giản, dễ hiểu và dễ thực hiện hơn. - HUMAN-FAC2]]</f>
        <v>6</v>
      </c>
      <c r="AH26">
        <f t="shared" si="9"/>
        <v>0.55555555555555558</v>
      </c>
      <c r="AI26" s="32">
        <f t="shared" si="10"/>
        <v>0.83333333333333326</v>
      </c>
      <c r="AJ26" s="32">
        <f t="shared" si="11"/>
        <v>0.5</v>
      </c>
      <c r="AK26">
        <f>step3_validation[[#This Row],[AI_TRU1]]</f>
        <v>9</v>
      </c>
      <c r="AL26">
        <f t="shared" si="12"/>
        <v>0.88888888888888884</v>
      </c>
      <c r="AM26">
        <f>survey_responses[[#This Row],[Tôi tin rằng Nhà nước, cơ quan thuế sẽ thực thi chính sách mới một cách khách quan, công tâm và đối xử bình đẳng với mọi người nộp thuế.  - HUMAN-TRU1]]</f>
        <v>7</v>
      </c>
      <c r="AN26">
        <f t="shared" si="13"/>
        <v>0.66666666666666663</v>
      </c>
      <c r="AO26">
        <f>step3_validation[[#This Row],[AI_TRU2]]</f>
        <v>9</v>
      </c>
      <c r="AP26">
        <f t="shared" si="14"/>
        <v>0.88888888888888884</v>
      </c>
      <c r="AQ26">
        <f>survey_responses[[#This Row],[Tôi thấy mức thuế tôi phải đóng theo phương án mới là công bằng (người thu nhập như tôi đóng mức này là hợp lý). - HUMAN-TRU2]]</f>
        <v>7</v>
      </c>
      <c r="AR26">
        <f t="shared" si="15"/>
        <v>0.66666666666666663</v>
      </c>
      <c r="AS26">
        <f>step3_validation[[#This Row],[AI_TRU3]]</f>
        <v>7</v>
      </c>
      <c r="AT26">
        <f t="shared" si="16"/>
        <v>0.66666666666666663</v>
      </c>
      <c r="AU26">
        <f>survey_responses[[#This Row],[Tôi tin tưởng số tiền thuế tôi đóng sẽ được Nhà nước sử dụng hiệu quả để cải thiện dịch vụ công (y tế, đường xá...). - HUMAN-TRU3]]</f>
        <v>3</v>
      </c>
      <c r="AV26">
        <f t="shared" si="17"/>
        <v>0.22222222222222221</v>
      </c>
      <c r="AW26">
        <f>step3_validation[[#This Row],[AI_TRU4]]</f>
        <v>8</v>
      </c>
      <c r="AX26">
        <f t="shared" si="18"/>
        <v>0.77777777777777779</v>
      </c>
      <c r="AY26">
        <f>survey_responses[[#This Row],[Tôi thấy Nhà nước đã giải thích rõ ràng, minh bạch về lý do và mục tiêu của việc sửa đổi thuế lần này. - HUMAN-TRU4]]</f>
        <v>3</v>
      </c>
      <c r="AZ26">
        <f t="shared" si="19"/>
        <v>0.22222222222222221</v>
      </c>
      <c r="BA26" s="32">
        <f t="shared" si="20"/>
        <v>0.80555555555555547</v>
      </c>
      <c r="BB26" s="32">
        <f t="shared" si="21"/>
        <v>0.44444444444444442</v>
      </c>
      <c r="BC26" s="7">
        <f t="shared" si="22"/>
        <v>0.75</v>
      </c>
      <c r="BD26" s="7">
        <f t="shared" si="23"/>
        <v>0.51851851851851849</v>
      </c>
      <c r="BE26">
        <f>step3_validation[[#This Row],[AI_OUT1]]</f>
        <v>9</v>
      </c>
      <c r="BF26">
        <f t="shared" si="24"/>
        <v>0.88888888888888884</v>
      </c>
      <c r="BG26">
        <f>survey_responses[[#This Row],[Sau khi xem xét các quyền lợi và nghĩa vụ, bạn có ủng hộ và tuân thủ chính sách mới hiện nay? - HUMAN-OUT1]]</f>
        <v>5</v>
      </c>
      <c r="BH26">
        <f t="shared" si="25"/>
        <v>0.44444444444444442</v>
      </c>
      <c r="BI26" s="32">
        <f t="shared" si="26"/>
        <v>4</v>
      </c>
    </row>
    <row r="27" spans="1:61" x14ac:dyDescent="0.45">
      <c r="A27" s="30">
        <f>step3_validation[[#This Row],[Persona_ID]]</f>
        <v>26</v>
      </c>
      <c r="B27" s="31">
        <f>step3_validation[[#This Row],[Used_Seed]]</f>
        <v>26</v>
      </c>
      <c r="C27" t="str">
        <f>step3_validation[[#This Row],[Gender]]</f>
        <v>Nam</v>
      </c>
      <c r="D27" t="str">
        <f>survey_responses[[#This Row],[Giới tính của bạn:]]</f>
        <v>Nam</v>
      </c>
      <c r="E27" t="str">
        <f>step3_validation[[#This Row],[Age_Group]]</f>
        <v>30 - 39</v>
      </c>
      <c r="F27" t="str">
        <f>survey_responses[[#This Row],[Độ tuổi của bạn:]]</f>
        <v>30 - 39</v>
      </c>
      <c r="G27" t="str">
        <f>step3_validation[[#This Row],[Region]]</f>
        <v>Thành thị</v>
      </c>
      <c r="H27" t="str">
        <f>survey_responses[[#This Row],[Khu vực bạn đang sinh sống:]]</f>
        <v>Thành thị</v>
      </c>
      <c r="I27" t="str">
        <f>step3_validation[[#This Row],[Education]]</f>
        <v>Sau Đại học</v>
      </c>
      <c r="J27" t="str">
        <f>survey_responses[[#This Row],[Trình độ học vấn cao nhất:]]</f>
        <v>Sau Đại học</v>
      </c>
      <c r="K27" t="str">
        <f>step3_validation[[#This Row],[Employment]]</f>
        <v>Chính thức</v>
      </c>
      <c r="L27" t="str">
        <f>survey_responses[[#This Row],[Tình trạng việc làm chính:]]</f>
        <v>Khu vực chính thức (Có Hợp đồng lao động, đóng BHXH)</v>
      </c>
      <c r="M27">
        <f>step3_validation[[#This Row],[Income_Mil]]</f>
        <v>12</v>
      </c>
      <c r="N27" t="str">
        <f>survey_responses[[#This Row],[Thu nhập bình quân tháng theo Hợp đồng lao động của bạn là bao nhiêu? (Vui lòng điền tổng thu nhập trước khi khấu trừ các loại Bảo hiểm (BHXH, BHYT, BHTN) và Thuế TNCN)]]</f>
        <v>Dưới 12 triệu VNĐ</v>
      </c>
      <c r="O27">
        <f>step3_validation[[#This Row],[Dependents]]</f>
        <v>4</v>
      </c>
      <c r="P27" t="str">
        <f>survey_responses[[#This Row],[Số người phụ thuộc (con nhỏ, cha mẹ già...) đủ điều kiện giảm trừ gia cảnh:]]</f>
        <v>4 người trở lên</v>
      </c>
      <c r="Q27">
        <f>step3_validation[[#This Row],[AI_ENF1]]</f>
        <v>9</v>
      </c>
      <c r="R27">
        <f t="shared" si="0"/>
        <v>0.88888888888888884</v>
      </c>
      <c r="S27">
        <f>survey_responses[[#This Row],[Tôi tin rằng với các quy định quản lý thuế hiện nay, hành vi gian lận hoặc trốn thuế sẽ dễ dàng bị phát hiện và xử lý nghiêm. - HUMAN-ENF1]]</f>
        <v>10</v>
      </c>
      <c r="T27">
        <f t="shared" si="1"/>
        <v>1</v>
      </c>
      <c r="U27">
        <f>step3_validation[[#This Row],[AI_ENF2]]</f>
        <v>8</v>
      </c>
      <c r="V27">
        <f t="shared" si="2"/>
        <v>0.77777777777777779</v>
      </c>
      <c r="W27">
        <f>survey_responses[[#This Row],[Tôi tin rằng Nhà nước, cơ quan thuế có đủ khả năng và công nghệ để phát hiện, xử lý nghiêm các hành vi trốn thuế. - HUMAN-ENF2]]</f>
        <v>10</v>
      </c>
      <c r="X27">
        <f t="shared" si="3"/>
        <v>1</v>
      </c>
      <c r="Y27" s="32">
        <f t="shared" si="4"/>
        <v>0.83333333333333326</v>
      </c>
      <c r="Z27" s="32">
        <f t="shared" si="5"/>
        <v>1</v>
      </c>
      <c r="AA27">
        <f>step3_validation[[#This Row],[AI_FAC1]]</f>
        <v>7</v>
      </c>
      <c r="AB27">
        <f t="shared" si="6"/>
        <v>0.66666666666666663</v>
      </c>
      <c r="AC27">
        <f>survey_responses[[#This Row],[Các thủ tục khai báo thuế VÀ/HOẶC quy trình làm việc với cơ quan thuế đơn giản, tiện lợi, nhanh chóng hơn so với trước đây. - HUMAN-FAC1]]</f>
        <v>10</v>
      </c>
      <c r="AD27">
        <f t="shared" si="7"/>
        <v>1</v>
      </c>
      <c r="AE27">
        <f>step3_validation[[#This Row],[AI_FAC2]]</f>
        <v>8</v>
      </c>
      <c r="AF27">
        <f t="shared" si="8"/>
        <v>0.77777777777777779</v>
      </c>
      <c r="AG27">
        <f>survey_responses[[#This Row],[So với trước đây, tôi thấy cách tính thuế và các bậc thuế trong phương án mới đơn giản, dễ hiểu và dễ thực hiện hơn. - HUMAN-FAC2]]</f>
        <v>6</v>
      </c>
      <c r="AH27">
        <f t="shared" si="9"/>
        <v>0.55555555555555558</v>
      </c>
      <c r="AI27" s="32">
        <f t="shared" si="10"/>
        <v>0.72222222222222221</v>
      </c>
      <c r="AJ27" s="32">
        <f t="shared" si="11"/>
        <v>0.77777777777777779</v>
      </c>
      <c r="AK27">
        <f>step3_validation[[#This Row],[AI_TRU1]]</f>
        <v>9</v>
      </c>
      <c r="AL27">
        <f t="shared" si="12"/>
        <v>0.88888888888888884</v>
      </c>
      <c r="AM27">
        <f>survey_responses[[#This Row],[Tôi tin rằng Nhà nước, cơ quan thuế sẽ thực thi chính sách mới một cách khách quan, công tâm và đối xử bình đẳng với mọi người nộp thuế.  - HUMAN-TRU1]]</f>
        <v>6</v>
      </c>
      <c r="AN27">
        <f t="shared" si="13"/>
        <v>0.55555555555555558</v>
      </c>
      <c r="AO27">
        <f>step3_validation[[#This Row],[AI_TRU2]]</f>
        <v>8</v>
      </c>
      <c r="AP27">
        <f t="shared" si="14"/>
        <v>0.77777777777777779</v>
      </c>
      <c r="AQ27">
        <f>survey_responses[[#This Row],[Tôi thấy mức thuế tôi phải đóng theo phương án mới là công bằng (người thu nhập như tôi đóng mức này là hợp lý). - HUMAN-TRU2]]</f>
        <v>10</v>
      </c>
      <c r="AR27">
        <f t="shared" si="15"/>
        <v>1</v>
      </c>
      <c r="AS27">
        <f>step3_validation[[#This Row],[AI_TRU3]]</f>
        <v>9</v>
      </c>
      <c r="AT27">
        <f t="shared" si="16"/>
        <v>0.88888888888888884</v>
      </c>
      <c r="AU27">
        <f>survey_responses[[#This Row],[Tôi tin tưởng số tiền thuế tôi đóng sẽ được Nhà nước sử dụng hiệu quả để cải thiện dịch vụ công (y tế, đường xá...). - HUMAN-TRU3]]</f>
        <v>1</v>
      </c>
      <c r="AV27">
        <f t="shared" si="17"/>
        <v>0</v>
      </c>
      <c r="AW27">
        <f>step3_validation[[#This Row],[AI_TRU4]]</f>
        <v>8</v>
      </c>
      <c r="AX27">
        <f t="shared" si="18"/>
        <v>0.77777777777777779</v>
      </c>
      <c r="AY27">
        <f>survey_responses[[#This Row],[Tôi thấy Nhà nước đã giải thích rõ ràng, minh bạch về lý do và mục tiêu của việc sửa đổi thuế lần này. - HUMAN-TRU4]]</f>
        <v>4</v>
      </c>
      <c r="AZ27">
        <f t="shared" si="19"/>
        <v>0.33333333333333331</v>
      </c>
      <c r="BA27" s="32">
        <f t="shared" si="20"/>
        <v>0.83333333333333326</v>
      </c>
      <c r="BB27" s="32">
        <f t="shared" si="21"/>
        <v>0.47222222222222221</v>
      </c>
      <c r="BC27" s="7">
        <f t="shared" si="22"/>
        <v>0.79629629629629617</v>
      </c>
      <c r="BD27" s="7">
        <f t="shared" si="23"/>
        <v>0.75</v>
      </c>
      <c r="BE27">
        <f>step3_validation[[#This Row],[AI_OUT1]]</f>
        <v>9</v>
      </c>
      <c r="BF27">
        <f t="shared" si="24"/>
        <v>0.88888888888888884</v>
      </c>
      <c r="BG27">
        <f>survey_responses[[#This Row],[Sau khi xem xét các quyền lợi và nghĩa vụ, bạn có ủng hộ và tuân thủ chính sách mới hiện nay? - HUMAN-OUT1]]</f>
        <v>10</v>
      </c>
      <c r="BH27">
        <f t="shared" si="25"/>
        <v>1</v>
      </c>
      <c r="BI27" s="32">
        <f t="shared" si="26"/>
        <v>1</v>
      </c>
    </row>
    <row r="28" spans="1:61" x14ac:dyDescent="0.45">
      <c r="A28" s="30">
        <f>step3_validation[[#This Row],[Persona_ID]]</f>
        <v>27</v>
      </c>
      <c r="B28" s="31">
        <f>step3_validation[[#This Row],[Used_Seed]]</f>
        <v>27</v>
      </c>
      <c r="C28" t="str">
        <f>step3_validation[[#This Row],[Gender]]</f>
        <v>Nam</v>
      </c>
      <c r="D28" t="str">
        <f>survey_responses[[#This Row],[Giới tính của bạn:]]</f>
        <v>Nam</v>
      </c>
      <c r="E28" t="str">
        <f>step3_validation[[#This Row],[Age_Group]]</f>
        <v>18 - 24</v>
      </c>
      <c r="F28" t="str">
        <f>survey_responses[[#This Row],[Độ tuổi của bạn:]]</f>
        <v>18 - 24</v>
      </c>
      <c r="G28" t="str">
        <f>step3_validation[[#This Row],[Region]]</f>
        <v>Thành thị</v>
      </c>
      <c r="H28" t="str">
        <f>survey_responses[[#This Row],[Khu vực bạn đang sinh sống:]]</f>
        <v>Thành thị</v>
      </c>
      <c r="I28" t="str">
        <f>step3_validation[[#This Row],[Education]]</f>
        <v>Đại học</v>
      </c>
      <c r="J28" t="str">
        <f>survey_responses[[#This Row],[Trình độ học vấn cao nhất:]]</f>
        <v>Đại học</v>
      </c>
      <c r="K28" t="str">
        <f>step3_validation[[#This Row],[Employment]]</f>
        <v>Chính thức</v>
      </c>
      <c r="L28" t="str">
        <f>survey_responses[[#This Row],[Tình trạng việc làm chính:]]</f>
        <v>Khu vực chính thức (Có Hợp đồng lao động, đóng BHXH)</v>
      </c>
      <c r="M28">
        <f>step3_validation[[#This Row],[Income_Mil]]</f>
        <v>12</v>
      </c>
      <c r="N28" t="str">
        <f>survey_responses[[#This Row],[Thu nhập bình quân tháng theo Hợp đồng lao động của bạn là bao nhiêu? (Vui lòng điền tổng thu nhập trước khi khấu trừ các loại Bảo hiểm (BHXH, BHYT, BHTN) và Thuế TNCN)]]</f>
        <v>Dưới 12 triệu VNĐ</v>
      </c>
      <c r="O28">
        <f>step3_validation[[#This Row],[Dependents]]</f>
        <v>0</v>
      </c>
      <c r="P28" t="str">
        <f>survey_responses[[#This Row],[Số người phụ thuộc (con nhỏ, cha mẹ già...) đủ điều kiện giảm trừ gia cảnh:]]</f>
        <v>0 người</v>
      </c>
      <c r="Q28">
        <f>step3_validation[[#This Row],[AI_ENF1]]</f>
        <v>7</v>
      </c>
      <c r="R28">
        <f t="shared" si="0"/>
        <v>0.66666666666666663</v>
      </c>
      <c r="S28">
        <f>survey_responses[[#This Row],[Tôi tin rằng với các quy định quản lý thuế hiện nay, hành vi gian lận hoặc trốn thuế sẽ dễ dàng bị phát hiện và xử lý nghiêm. - HUMAN-ENF1]]</f>
        <v>1</v>
      </c>
      <c r="T28">
        <f t="shared" si="1"/>
        <v>0</v>
      </c>
      <c r="U28">
        <f>step3_validation[[#This Row],[AI_ENF2]]</f>
        <v>8</v>
      </c>
      <c r="V28">
        <f t="shared" si="2"/>
        <v>0.77777777777777779</v>
      </c>
      <c r="W28">
        <f>survey_responses[[#This Row],[Tôi tin rằng Nhà nước, cơ quan thuế có đủ khả năng và công nghệ để phát hiện, xử lý nghiêm các hành vi trốn thuế. - HUMAN-ENF2]]</f>
        <v>1</v>
      </c>
      <c r="X28">
        <f t="shared" si="3"/>
        <v>0</v>
      </c>
      <c r="Y28" s="32">
        <f t="shared" si="4"/>
        <v>0.72222222222222221</v>
      </c>
      <c r="Z28" s="32">
        <f t="shared" si="5"/>
        <v>0</v>
      </c>
      <c r="AA28">
        <f>step3_validation[[#This Row],[AI_FAC1]]</f>
        <v>9</v>
      </c>
      <c r="AB28">
        <f t="shared" si="6"/>
        <v>0.88888888888888884</v>
      </c>
      <c r="AC28">
        <f>survey_responses[[#This Row],[Các thủ tục khai báo thuế VÀ/HOẶC quy trình làm việc với cơ quan thuế đơn giản, tiện lợi, nhanh chóng hơn so với trước đây. - HUMAN-FAC1]]</f>
        <v>1</v>
      </c>
      <c r="AD28">
        <f t="shared" si="7"/>
        <v>0</v>
      </c>
      <c r="AE28">
        <f>step3_validation[[#This Row],[AI_FAC2]]</f>
        <v>10</v>
      </c>
      <c r="AF28">
        <f t="shared" si="8"/>
        <v>1</v>
      </c>
      <c r="AG28">
        <f>survey_responses[[#This Row],[So với trước đây, tôi thấy cách tính thuế và các bậc thuế trong phương án mới đơn giản, dễ hiểu và dễ thực hiện hơn. - HUMAN-FAC2]]</f>
        <v>1</v>
      </c>
      <c r="AH28">
        <f t="shared" si="9"/>
        <v>0</v>
      </c>
      <c r="AI28" s="32">
        <f t="shared" si="10"/>
        <v>0.94444444444444442</v>
      </c>
      <c r="AJ28" s="32">
        <f t="shared" si="11"/>
        <v>0</v>
      </c>
      <c r="AK28">
        <f>step3_validation[[#This Row],[AI_TRU1]]</f>
        <v>6</v>
      </c>
      <c r="AL28">
        <f t="shared" si="12"/>
        <v>0.55555555555555558</v>
      </c>
      <c r="AM28">
        <f>survey_responses[[#This Row],[Tôi tin rằng Nhà nước, cơ quan thuế sẽ thực thi chính sách mới một cách khách quan, công tâm và đối xử bình đẳng với mọi người nộp thuế.  - HUMAN-TRU1]]</f>
        <v>1</v>
      </c>
      <c r="AN28">
        <f t="shared" si="13"/>
        <v>0</v>
      </c>
      <c r="AO28">
        <f>step3_validation[[#This Row],[AI_TRU2]]</f>
        <v>9</v>
      </c>
      <c r="AP28">
        <f t="shared" si="14"/>
        <v>0.88888888888888884</v>
      </c>
      <c r="AQ28">
        <f>survey_responses[[#This Row],[Tôi thấy mức thuế tôi phải đóng theo phương án mới là công bằng (người thu nhập như tôi đóng mức này là hợp lý). - HUMAN-TRU2]]</f>
        <v>1</v>
      </c>
      <c r="AR28">
        <f t="shared" si="15"/>
        <v>0</v>
      </c>
      <c r="AS28">
        <f>step3_validation[[#This Row],[AI_TRU3]]</f>
        <v>7</v>
      </c>
      <c r="AT28">
        <f t="shared" si="16"/>
        <v>0.66666666666666663</v>
      </c>
      <c r="AU28">
        <f>survey_responses[[#This Row],[Tôi tin tưởng số tiền thuế tôi đóng sẽ được Nhà nước sử dụng hiệu quả để cải thiện dịch vụ công (y tế, đường xá...). - HUMAN-TRU3]]</f>
        <v>1</v>
      </c>
      <c r="AV28">
        <f t="shared" si="17"/>
        <v>0</v>
      </c>
      <c r="AW28">
        <f>step3_validation[[#This Row],[AI_TRU4]]</f>
        <v>6</v>
      </c>
      <c r="AX28">
        <f t="shared" si="18"/>
        <v>0.55555555555555558</v>
      </c>
      <c r="AY28">
        <f>survey_responses[[#This Row],[Tôi thấy Nhà nước đã giải thích rõ ràng, minh bạch về lý do và mục tiêu của việc sửa đổi thuế lần này. - HUMAN-TRU4]]</f>
        <v>1</v>
      </c>
      <c r="AZ28">
        <f t="shared" si="19"/>
        <v>0</v>
      </c>
      <c r="BA28" s="32">
        <f t="shared" si="20"/>
        <v>0.66666666666666674</v>
      </c>
      <c r="BB28" s="32">
        <f t="shared" si="21"/>
        <v>0</v>
      </c>
      <c r="BC28" s="7">
        <f t="shared" si="22"/>
        <v>0.77777777777777768</v>
      </c>
      <c r="BD28" s="7">
        <f t="shared" si="23"/>
        <v>0</v>
      </c>
      <c r="BE28">
        <f>step3_validation[[#This Row],[AI_OUT1]]</f>
        <v>9</v>
      </c>
      <c r="BF28">
        <f t="shared" si="24"/>
        <v>0.88888888888888884</v>
      </c>
      <c r="BG28">
        <f>survey_responses[[#This Row],[Sau khi xem xét các quyền lợi và nghĩa vụ, bạn có ủng hộ và tuân thủ chính sách mới hiện nay? - HUMAN-OUT1]]</f>
        <v>1</v>
      </c>
      <c r="BH28">
        <f t="shared" si="25"/>
        <v>0</v>
      </c>
      <c r="BI28" s="32">
        <f t="shared" si="26"/>
        <v>8</v>
      </c>
    </row>
    <row r="29" spans="1:61" x14ac:dyDescent="0.45">
      <c r="A29" s="30">
        <f>step3_validation[[#This Row],[Persona_ID]]</f>
        <v>28</v>
      </c>
      <c r="B29" s="31">
        <f>step3_validation[[#This Row],[Used_Seed]]</f>
        <v>28</v>
      </c>
      <c r="C29" t="str">
        <f>step3_validation[[#This Row],[Gender]]</f>
        <v>Nam</v>
      </c>
      <c r="D29" t="str">
        <f>survey_responses[[#This Row],[Giới tính của bạn:]]</f>
        <v>Nam</v>
      </c>
      <c r="E29" t="str">
        <f>step3_validation[[#This Row],[Age_Group]]</f>
        <v>25 - 29</v>
      </c>
      <c r="F29" t="str">
        <f>survey_responses[[#This Row],[Độ tuổi của bạn:]]</f>
        <v>25 - 29</v>
      </c>
      <c r="G29" t="str">
        <f>step3_validation[[#This Row],[Region]]</f>
        <v>Thành thị</v>
      </c>
      <c r="H29" t="str">
        <f>survey_responses[[#This Row],[Khu vực bạn đang sinh sống:]]</f>
        <v>Thành thị</v>
      </c>
      <c r="I29" t="str">
        <f>step3_validation[[#This Row],[Education]]</f>
        <v>Đại học</v>
      </c>
      <c r="J29" t="str">
        <f>survey_responses[[#This Row],[Trình độ học vấn cao nhất:]]</f>
        <v>Đại học</v>
      </c>
      <c r="K29" t="str">
        <f>step3_validation[[#This Row],[Employment]]</f>
        <v>Chính thức</v>
      </c>
      <c r="L29" t="str">
        <f>survey_responses[[#This Row],[Tình trạng việc làm chính:]]</f>
        <v>Khu vực chính thức (Có Hợp đồng lao động, đóng BHXH)</v>
      </c>
      <c r="M29">
        <f>step3_validation[[#This Row],[Income_Mil]]</f>
        <v>16.259169679910787</v>
      </c>
      <c r="N29" t="str">
        <f>survey_responses[[#This Row],[Thu nhập bình quân tháng theo Hợp đồng lao động của bạn là bao nhiêu? (Vui lòng điền tổng thu nhập trước khi khấu trừ các loại Bảo hiểm (BHXH, BHYT, BHTN) và Thuế TNCN)]]</f>
        <v>Từ 12 - 18 triệu VNĐ</v>
      </c>
      <c r="O29">
        <f>step3_validation[[#This Row],[Dependents]]</f>
        <v>0</v>
      </c>
      <c r="P29" t="str">
        <f>survey_responses[[#This Row],[Số người phụ thuộc (con nhỏ, cha mẹ già...) đủ điều kiện giảm trừ gia cảnh:]]</f>
        <v>0 người</v>
      </c>
      <c r="Q29">
        <f>step3_validation[[#This Row],[AI_ENF1]]</f>
        <v>6</v>
      </c>
      <c r="R29">
        <f t="shared" si="0"/>
        <v>0.55555555555555558</v>
      </c>
      <c r="S29">
        <f>survey_responses[[#This Row],[Tôi tin rằng với các quy định quản lý thuế hiện nay, hành vi gian lận hoặc trốn thuế sẽ dễ dàng bị phát hiện và xử lý nghiêm. - HUMAN-ENF1]]</f>
        <v>1</v>
      </c>
      <c r="T29">
        <f t="shared" si="1"/>
        <v>0</v>
      </c>
      <c r="U29">
        <f>step3_validation[[#This Row],[AI_ENF2]]</f>
        <v>6</v>
      </c>
      <c r="V29">
        <f t="shared" si="2"/>
        <v>0.55555555555555558</v>
      </c>
      <c r="W29">
        <f>survey_responses[[#This Row],[Tôi tin rằng Nhà nước, cơ quan thuế có đủ khả năng và công nghệ để phát hiện, xử lý nghiêm các hành vi trốn thuế. - HUMAN-ENF2]]</f>
        <v>1</v>
      </c>
      <c r="X29">
        <f t="shared" si="3"/>
        <v>0</v>
      </c>
      <c r="Y29" s="32">
        <f t="shared" si="4"/>
        <v>0.55555555555555558</v>
      </c>
      <c r="Z29" s="32">
        <f t="shared" si="5"/>
        <v>0</v>
      </c>
      <c r="AA29">
        <f>step3_validation[[#This Row],[AI_FAC1]]</f>
        <v>9</v>
      </c>
      <c r="AB29">
        <f t="shared" si="6"/>
        <v>0.88888888888888884</v>
      </c>
      <c r="AC29">
        <f>survey_responses[[#This Row],[Các thủ tục khai báo thuế VÀ/HOẶC quy trình làm việc với cơ quan thuế đơn giản, tiện lợi, nhanh chóng hơn so với trước đây. - HUMAN-FAC1]]</f>
        <v>1</v>
      </c>
      <c r="AD29">
        <f t="shared" si="7"/>
        <v>0</v>
      </c>
      <c r="AE29">
        <f>step3_validation[[#This Row],[AI_FAC2]]</f>
        <v>8</v>
      </c>
      <c r="AF29">
        <f t="shared" si="8"/>
        <v>0.77777777777777779</v>
      </c>
      <c r="AG29">
        <f>survey_responses[[#This Row],[So với trước đây, tôi thấy cách tính thuế và các bậc thuế trong phương án mới đơn giản, dễ hiểu và dễ thực hiện hơn. - HUMAN-FAC2]]</f>
        <v>1</v>
      </c>
      <c r="AH29">
        <f t="shared" si="9"/>
        <v>0</v>
      </c>
      <c r="AI29" s="32">
        <f t="shared" si="10"/>
        <v>0.83333333333333326</v>
      </c>
      <c r="AJ29" s="32">
        <f t="shared" si="11"/>
        <v>0</v>
      </c>
      <c r="AK29">
        <f>step3_validation[[#This Row],[AI_TRU1]]</f>
        <v>7</v>
      </c>
      <c r="AL29">
        <f t="shared" si="12"/>
        <v>0.66666666666666663</v>
      </c>
      <c r="AM29">
        <f>survey_responses[[#This Row],[Tôi tin rằng Nhà nước, cơ quan thuế sẽ thực thi chính sách mới một cách khách quan, công tâm và đối xử bình đẳng với mọi người nộp thuế.  - HUMAN-TRU1]]</f>
        <v>1</v>
      </c>
      <c r="AN29">
        <f t="shared" si="13"/>
        <v>0</v>
      </c>
      <c r="AO29">
        <f>step3_validation[[#This Row],[AI_TRU2]]</f>
        <v>8</v>
      </c>
      <c r="AP29">
        <f t="shared" si="14"/>
        <v>0.77777777777777779</v>
      </c>
      <c r="AQ29">
        <f>survey_responses[[#This Row],[Tôi thấy mức thuế tôi phải đóng theo phương án mới là công bằng (người thu nhập như tôi đóng mức này là hợp lý). - HUMAN-TRU2]]</f>
        <v>1</v>
      </c>
      <c r="AR29">
        <f t="shared" si="15"/>
        <v>0</v>
      </c>
      <c r="AS29">
        <f>step3_validation[[#This Row],[AI_TRU3]]</f>
        <v>7</v>
      </c>
      <c r="AT29">
        <f t="shared" si="16"/>
        <v>0.66666666666666663</v>
      </c>
      <c r="AU29">
        <f>survey_responses[[#This Row],[Tôi tin tưởng số tiền thuế tôi đóng sẽ được Nhà nước sử dụng hiệu quả để cải thiện dịch vụ công (y tế, đường xá...). - HUMAN-TRU3]]</f>
        <v>1</v>
      </c>
      <c r="AV29">
        <f t="shared" si="17"/>
        <v>0</v>
      </c>
      <c r="AW29">
        <f>step3_validation[[#This Row],[AI_TRU4]]</f>
        <v>6</v>
      </c>
      <c r="AX29">
        <f t="shared" si="18"/>
        <v>0.55555555555555558</v>
      </c>
      <c r="AY29">
        <f>survey_responses[[#This Row],[Tôi thấy Nhà nước đã giải thích rõ ràng, minh bạch về lý do và mục tiêu của việc sửa đổi thuế lần này. - HUMAN-TRU4]]</f>
        <v>1</v>
      </c>
      <c r="AZ29">
        <f t="shared" si="19"/>
        <v>0</v>
      </c>
      <c r="BA29" s="32">
        <f t="shared" si="20"/>
        <v>0.66666666666666674</v>
      </c>
      <c r="BB29" s="32">
        <f t="shared" si="21"/>
        <v>0</v>
      </c>
      <c r="BC29" s="7">
        <f t="shared" si="22"/>
        <v>0.68518518518518512</v>
      </c>
      <c r="BD29" s="7">
        <f t="shared" si="23"/>
        <v>0</v>
      </c>
      <c r="BE29">
        <f>step3_validation[[#This Row],[AI_OUT1]]</f>
        <v>7</v>
      </c>
      <c r="BF29">
        <f t="shared" si="24"/>
        <v>0.66666666666666663</v>
      </c>
      <c r="BG29">
        <f>survey_responses[[#This Row],[Sau khi xem xét các quyền lợi và nghĩa vụ, bạn có ủng hộ và tuân thủ chính sách mới hiện nay? - HUMAN-OUT1]]</f>
        <v>1</v>
      </c>
      <c r="BH29">
        <f t="shared" si="25"/>
        <v>0</v>
      </c>
      <c r="BI29" s="32">
        <f t="shared" si="26"/>
        <v>6</v>
      </c>
    </row>
    <row r="30" spans="1:61" x14ac:dyDescent="0.45">
      <c r="A30" s="30">
        <f>step3_validation[[#This Row],[Persona_ID]]</f>
        <v>29</v>
      </c>
      <c r="B30" s="31">
        <f>step3_validation[[#This Row],[Used_Seed]]</f>
        <v>29</v>
      </c>
      <c r="C30" t="str">
        <f>step3_validation[[#This Row],[Gender]]</f>
        <v>Nữ</v>
      </c>
      <c r="D30" t="str">
        <f>survey_responses[[#This Row],[Giới tính của bạn:]]</f>
        <v>Nữ</v>
      </c>
      <c r="E30" t="str">
        <f>step3_validation[[#This Row],[Age_Group]]</f>
        <v>18 - 24</v>
      </c>
      <c r="F30" t="str">
        <f>survey_responses[[#This Row],[Độ tuổi của bạn:]]</f>
        <v>18 - 24</v>
      </c>
      <c r="G30" t="str">
        <f>step3_validation[[#This Row],[Region]]</f>
        <v>Thành thị</v>
      </c>
      <c r="H30" t="str">
        <f>survey_responses[[#This Row],[Khu vực bạn đang sinh sống:]]</f>
        <v>Thành thị</v>
      </c>
      <c r="I30" t="str">
        <f>step3_validation[[#This Row],[Education]]</f>
        <v>Đại học</v>
      </c>
      <c r="J30" t="str">
        <f>survey_responses[[#This Row],[Trình độ học vấn cao nhất:]]</f>
        <v>Đại học</v>
      </c>
      <c r="K30" t="str">
        <f>step3_validation[[#This Row],[Employment]]</f>
        <v>Chính thức</v>
      </c>
      <c r="L30" t="str">
        <f>survey_responses[[#This Row],[Tình trạng việc làm chính:]]</f>
        <v>Khu vực chính thức (Có Hợp đồng lao động, đóng BHXH)</v>
      </c>
      <c r="M30">
        <f>step3_validation[[#This Row],[Income_Mil]]</f>
        <v>12.250234851770344</v>
      </c>
      <c r="N30" t="str">
        <f>survey_responses[[#This Row],[Thu nhập bình quân tháng theo Hợp đồng lao động của bạn là bao nhiêu? (Vui lòng điền tổng thu nhập trước khi khấu trừ các loại Bảo hiểm (BHXH, BHYT, BHTN) và Thuế TNCN)]]</f>
        <v>Từ 12 - 18 triệu VNĐ</v>
      </c>
      <c r="O30">
        <f>step3_validation[[#This Row],[Dependents]]</f>
        <v>0</v>
      </c>
      <c r="P30" t="str">
        <f>survey_responses[[#This Row],[Số người phụ thuộc (con nhỏ, cha mẹ già...) đủ điều kiện giảm trừ gia cảnh:]]</f>
        <v>0 người</v>
      </c>
      <c r="Q30">
        <f>step3_validation[[#This Row],[AI_ENF1]]</f>
        <v>7</v>
      </c>
      <c r="R30">
        <f t="shared" si="0"/>
        <v>0.66666666666666663</v>
      </c>
      <c r="S30">
        <f>survey_responses[[#This Row],[Tôi tin rằng với các quy định quản lý thuế hiện nay, hành vi gian lận hoặc trốn thuế sẽ dễ dàng bị phát hiện và xử lý nghiêm. - HUMAN-ENF1]]</f>
        <v>10</v>
      </c>
      <c r="T30">
        <f t="shared" si="1"/>
        <v>1</v>
      </c>
      <c r="U30">
        <f>step3_validation[[#This Row],[AI_ENF2]]</f>
        <v>7</v>
      </c>
      <c r="V30">
        <f t="shared" si="2"/>
        <v>0.66666666666666663</v>
      </c>
      <c r="W30">
        <f>survey_responses[[#This Row],[Tôi tin rằng Nhà nước, cơ quan thuế có đủ khả năng và công nghệ để phát hiện, xử lý nghiêm các hành vi trốn thuế. - HUMAN-ENF2]]</f>
        <v>10</v>
      </c>
      <c r="X30">
        <f t="shared" si="3"/>
        <v>1</v>
      </c>
      <c r="Y30" s="32">
        <f t="shared" si="4"/>
        <v>0.66666666666666663</v>
      </c>
      <c r="Z30" s="32">
        <f t="shared" si="5"/>
        <v>1</v>
      </c>
      <c r="AA30">
        <f>step3_validation[[#This Row],[AI_FAC1]]</f>
        <v>9</v>
      </c>
      <c r="AB30">
        <f t="shared" si="6"/>
        <v>0.88888888888888884</v>
      </c>
      <c r="AC30">
        <f>survey_responses[[#This Row],[Các thủ tục khai báo thuế VÀ/HOẶC quy trình làm việc với cơ quan thuế đơn giản, tiện lợi, nhanh chóng hơn so với trước đây. - HUMAN-FAC1]]</f>
        <v>9</v>
      </c>
      <c r="AD30">
        <f t="shared" si="7"/>
        <v>0.88888888888888884</v>
      </c>
      <c r="AE30">
        <f>step3_validation[[#This Row],[AI_FAC2]]</f>
        <v>9</v>
      </c>
      <c r="AF30">
        <f t="shared" si="8"/>
        <v>0.88888888888888884</v>
      </c>
      <c r="AG30">
        <f>survey_responses[[#This Row],[So với trước đây, tôi thấy cách tính thuế và các bậc thuế trong phương án mới đơn giản, dễ hiểu và dễ thực hiện hơn. - HUMAN-FAC2]]</f>
        <v>10</v>
      </c>
      <c r="AH30">
        <f t="shared" si="9"/>
        <v>1</v>
      </c>
      <c r="AI30" s="32">
        <f t="shared" si="10"/>
        <v>0.88888888888888884</v>
      </c>
      <c r="AJ30" s="32">
        <f t="shared" si="11"/>
        <v>0.94444444444444442</v>
      </c>
      <c r="AK30">
        <f>step3_validation[[#This Row],[AI_TRU1]]</f>
        <v>6</v>
      </c>
      <c r="AL30">
        <f t="shared" si="12"/>
        <v>0.55555555555555558</v>
      </c>
      <c r="AM30">
        <f>survey_responses[[#This Row],[Tôi tin rằng Nhà nước, cơ quan thuế sẽ thực thi chính sách mới một cách khách quan, công tâm và đối xử bình đẳng với mọi người nộp thuế.  - HUMAN-TRU1]]</f>
        <v>10</v>
      </c>
      <c r="AN30">
        <f t="shared" si="13"/>
        <v>1</v>
      </c>
      <c r="AO30">
        <f>step3_validation[[#This Row],[AI_TRU2]]</f>
        <v>7</v>
      </c>
      <c r="AP30">
        <f t="shared" si="14"/>
        <v>0.66666666666666663</v>
      </c>
      <c r="AQ30">
        <f>survey_responses[[#This Row],[Tôi thấy mức thuế tôi phải đóng theo phương án mới là công bằng (người thu nhập như tôi đóng mức này là hợp lý). - HUMAN-TRU2]]</f>
        <v>9</v>
      </c>
      <c r="AR30">
        <f t="shared" si="15"/>
        <v>0.88888888888888884</v>
      </c>
      <c r="AS30">
        <f>step3_validation[[#This Row],[AI_TRU3]]</f>
        <v>6</v>
      </c>
      <c r="AT30">
        <f t="shared" si="16"/>
        <v>0.55555555555555558</v>
      </c>
      <c r="AU30">
        <f>survey_responses[[#This Row],[Tôi tin tưởng số tiền thuế tôi đóng sẽ được Nhà nước sử dụng hiệu quả để cải thiện dịch vụ công (y tế, đường xá...). - HUMAN-TRU3]]</f>
        <v>10</v>
      </c>
      <c r="AV30">
        <f t="shared" si="17"/>
        <v>1</v>
      </c>
      <c r="AW30">
        <f>step3_validation[[#This Row],[AI_TRU4]]</f>
        <v>7</v>
      </c>
      <c r="AX30">
        <f t="shared" si="18"/>
        <v>0.66666666666666663</v>
      </c>
      <c r="AY30">
        <f>survey_responses[[#This Row],[Tôi thấy Nhà nước đã giải thích rõ ràng, minh bạch về lý do và mục tiêu của việc sửa đổi thuế lần này. - HUMAN-TRU4]]</f>
        <v>10</v>
      </c>
      <c r="AZ30">
        <f t="shared" si="19"/>
        <v>1</v>
      </c>
      <c r="BA30" s="32">
        <f t="shared" si="20"/>
        <v>0.61111111111111116</v>
      </c>
      <c r="BB30" s="32">
        <f t="shared" si="21"/>
        <v>0.97222222222222221</v>
      </c>
      <c r="BC30" s="7">
        <f t="shared" si="22"/>
        <v>0.72222222222222221</v>
      </c>
      <c r="BD30" s="7">
        <f t="shared" si="23"/>
        <v>0.97222222222222221</v>
      </c>
      <c r="BE30">
        <f>step3_validation[[#This Row],[AI_OUT1]]</f>
        <v>8</v>
      </c>
      <c r="BF30">
        <f t="shared" si="24"/>
        <v>0.77777777777777779</v>
      </c>
      <c r="BG30">
        <f>survey_responses[[#This Row],[Sau khi xem xét các quyền lợi và nghĩa vụ, bạn có ủng hộ và tuân thủ chính sách mới hiện nay? - HUMAN-OUT1]]</f>
        <v>10</v>
      </c>
      <c r="BH30">
        <f t="shared" si="25"/>
        <v>1</v>
      </c>
      <c r="BI30" s="32">
        <f t="shared" si="26"/>
        <v>2</v>
      </c>
    </row>
    <row r="31" spans="1:61" x14ac:dyDescent="0.45">
      <c r="A31" s="30">
        <f>step3_validation[[#This Row],[Persona_ID]]</f>
        <v>30</v>
      </c>
      <c r="B31" s="31">
        <f>step3_validation[[#This Row],[Used_Seed]]</f>
        <v>30</v>
      </c>
      <c r="C31" t="str">
        <f>step3_validation[[#This Row],[Gender]]</f>
        <v>Nữ</v>
      </c>
      <c r="D31" t="str">
        <f>survey_responses[[#This Row],[Giới tính của bạn:]]</f>
        <v>Nữ</v>
      </c>
      <c r="E31" t="str">
        <f>step3_validation[[#This Row],[Age_Group]]</f>
        <v>18 - 24</v>
      </c>
      <c r="F31" t="str">
        <f>survey_responses[[#This Row],[Độ tuổi của bạn:]]</f>
        <v>18 - 24</v>
      </c>
      <c r="G31" t="str">
        <f>step3_validation[[#This Row],[Region]]</f>
        <v>Thành thị</v>
      </c>
      <c r="H31" t="str">
        <f>survey_responses[[#This Row],[Khu vực bạn đang sinh sống:]]</f>
        <v>Thành thị</v>
      </c>
      <c r="I31" t="str">
        <f>step3_validation[[#This Row],[Education]]</f>
        <v>Đại học</v>
      </c>
      <c r="J31" t="str">
        <f>survey_responses[[#This Row],[Trình độ học vấn cao nhất:]]</f>
        <v>Đại học</v>
      </c>
      <c r="K31" t="str">
        <f>step3_validation[[#This Row],[Employment]]</f>
        <v>Chính thức</v>
      </c>
      <c r="L31" t="str">
        <f>survey_responses[[#This Row],[Tình trạng việc làm chính:]]</f>
        <v>Khu vực chính thức (Có Hợp đồng lao động, đóng BHXH)</v>
      </c>
      <c r="M31">
        <f>step3_validation[[#This Row],[Income_Mil]]</f>
        <v>13.178994024062664</v>
      </c>
      <c r="N31" t="str">
        <f>survey_responses[[#This Row],[Thu nhập bình quân tháng theo Hợp đồng lao động của bạn là bao nhiêu? (Vui lòng điền tổng thu nhập trước khi khấu trừ các loại Bảo hiểm (BHXH, BHYT, BHTN) và Thuế TNCN)]]</f>
        <v>Từ 12 - 18 triệu VNĐ</v>
      </c>
      <c r="O31">
        <f>step3_validation[[#This Row],[Dependents]]</f>
        <v>0</v>
      </c>
      <c r="P31" t="str">
        <f>survey_responses[[#This Row],[Số người phụ thuộc (con nhỏ, cha mẹ già...) đủ điều kiện giảm trừ gia cảnh:]]</f>
        <v>0 người</v>
      </c>
      <c r="Q31">
        <f>step3_validation[[#This Row],[AI_ENF1]]</f>
        <v>7</v>
      </c>
      <c r="R31">
        <f t="shared" si="0"/>
        <v>0.66666666666666663</v>
      </c>
      <c r="S31">
        <f>survey_responses[[#This Row],[Tôi tin rằng với các quy định quản lý thuế hiện nay, hành vi gian lận hoặc trốn thuế sẽ dễ dàng bị phát hiện và xử lý nghiêm. - HUMAN-ENF1]]</f>
        <v>10</v>
      </c>
      <c r="T31">
        <f t="shared" si="1"/>
        <v>1</v>
      </c>
      <c r="U31">
        <f>step3_validation[[#This Row],[AI_ENF2]]</f>
        <v>9</v>
      </c>
      <c r="V31">
        <f t="shared" si="2"/>
        <v>0.88888888888888884</v>
      </c>
      <c r="W31">
        <f>survey_responses[[#This Row],[Tôi tin rằng Nhà nước, cơ quan thuế có đủ khả năng và công nghệ để phát hiện, xử lý nghiêm các hành vi trốn thuế. - HUMAN-ENF2]]</f>
        <v>10</v>
      </c>
      <c r="X31">
        <f t="shared" si="3"/>
        <v>1</v>
      </c>
      <c r="Y31" s="32">
        <f t="shared" si="4"/>
        <v>0.77777777777777768</v>
      </c>
      <c r="Z31" s="32">
        <f t="shared" si="5"/>
        <v>1</v>
      </c>
      <c r="AA31">
        <f>step3_validation[[#This Row],[AI_FAC1]]</f>
        <v>8</v>
      </c>
      <c r="AB31">
        <f t="shared" si="6"/>
        <v>0.77777777777777779</v>
      </c>
      <c r="AC31">
        <f>survey_responses[[#This Row],[Các thủ tục khai báo thuế VÀ/HOẶC quy trình làm việc với cơ quan thuế đơn giản, tiện lợi, nhanh chóng hơn so với trước đây. - HUMAN-FAC1]]</f>
        <v>9</v>
      </c>
      <c r="AD31">
        <f t="shared" si="7"/>
        <v>0.88888888888888884</v>
      </c>
      <c r="AE31">
        <f>step3_validation[[#This Row],[AI_FAC2]]</f>
        <v>9</v>
      </c>
      <c r="AF31">
        <f t="shared" si="8"/>
        <v>0.88888888888888884</v>
      </c>
      <c r="AG31">
        <f>survey_responses[[#This Row],[So với trước đây, tôi thấy cách tính thuế và các bậc thuế trong phương án mới đơn giản, dễ hiểu và dễ thực hiện hơn. - HUMAN-FAC2]]</f>
        <v>10</v>
      </c>
      <c r="AH31">
        <f t="shared" si="9"/>
        <v>1</v>
      </c>
      <c r="AI31" s="32">
        <f t="shared" si="10"/>
        <v>0.83333333333333326</v>
      </c>
      <c r="AJ31" s="32">
        <f t="shared" si="11"/>
        <v>0.94444444444444442</v>
      </c>
      <c r="AK31">
        <f>step3_validation[[#This Row],[AI_TRU1]]</f>
        <v>8</v>
      </c>
      <c r="AL31">
        <f t="shared" si="12"/>
        <v>0.77777777777777779</v>
      </c>
      <c r="AM31">
        <f>survey_responses[[#This Row],[Tôi tin rằng Nhà nước, cơ quan thuế sẽ thực thi chính sách mới một cách khách quan, công tâm và đối xử bình đẳng với mọi người nộp thuế.  - HUMAN-TRU1]]</f>
        <v>10</v>
      </c>
      <c r="AN31">
        <f t="shared" si="13"/>
        <v>1</v>
      </c>
      <c r="AO31">
        <f>step3_validation[[#This Row],[AI_TRU2]]</f>
        <v>9</v>
      </c>
      <c r="AP31">
        <f t="shared" si="14"/>
        <v>0.88888888888888884</v>
      </c>
      <c r="AQ31">
        <f>survey_responses[[#This Row],[Tôi thấy mức thuế tôi phải đóng theo phương án mới là công bằng (người thu nhập như tôi đóng mức này là hợp lý). - HUMAN-TRU2]]</f>
        <v>10</v>
      </c>
      <c r="AR31">
        <f t="shared" si="15"/>
        <v>1</v>
      </c>
      <c r="AS31">
        <f>step3_validation[[#This Row],[AI_TRU3]]</f>
        <v>8</v>
      </c>
      <c r="AT31">
        <f t="shared" si="16"/>
        <v>0.77777777777777779</v>
      </c>
      <c r="AU31">
        <f>survey_responses[[#This Row],[Tôi tin tưởng số tiền thuế tôi đóng sẽ được Nhà nước sử dụng hiệu quả để cải thiện dịch vụ công (y tế, đường xá...). - HUMAN-TRU3]]</f>
        <v>10</v>
      </c>
      <c r="AV31">
        <f t="shared" si="17"/>
        <v>1</v>
      </c>
      <c r="AW31">
        <f>step3_validation[[#This Row],[AI_TRU4]]</f>
        <v>9</v>
      </c>
      <c r="AX31">
        <f t="shared" si="18"/>
        <v>0.88888888888888884</v>
      </c>
      <c r="AY31">
        <f>survey_responses[[#This Row],[Tôi thấy Nhà nước đã giải thích rõ ràng, minh bạch về lý do và mục tiêu của việc sửa đổi thuế lần này. - HUMAN-TRU4]]</f>
        <v>10</v>
      </c>
      <c r="AZ31">
        <f t="shared" si="19"/>
        <v>1</v>
      </c>
      <c r="BA31" s="32">
        <f t="shared" si="20"/>
        <v>0.83333333333333326</v>
      </c>
      <c r="BB31" s="32">
        <f t="shared" si="21"/>
        <v>1</v>
      </c>
      <c r="BC31" s="7">
        <f t="shared" si="22"/>
        <v>0.81481481481481477</v>
      </c>
      <c r="BD31" s="7">
        <f t="shared" si="23"/>
        <v>0.98148148148148151</v>
      </c>
      <c r="BE31">
        <f>step3_validation[[#This Row],[AI_OUT1]]</f>
        <v>8</v>
      </c>
      <c r="BF31">
        <f t="shared" si="24"/>
        <v>0.77777777777777779</v>
      </c>
      <c r="BG31">
        <f>survey_responses[[#This Row],[Sau khi xem xét các quyền lợi và nghĩa vụ, bạn có ủng hộ và tuân thủ chính sách mới hiện nay? - HUMAN-OUT1]]</f>
        <v>10</v>
      </c>
      <c r="BH31">
        <f t="shared" si="25"/>
        <v>1</v>
      </c>
      <c r="BI31" s="32">
        <f t="shared" si="26"/>
        <v>2</v>
      </c>
    </row>
    <row r="32" spans="1:61" x14ac:dyDescent="0.45">
      <c r="A32" s="30">
        <f>step3_validation[[#This Row],[Persona_ID]]</f>
        <v>31</v>
      </c>
      <c r="B32" s="31">
        <f>step3_validation[[#This Row],[Used_Seed]]</f>
        <v>31</v>
      </c>
      <c r="C32" t="str">
        <f>step3_validation[[#This Row],[Gender]]</f>
        <v>Nữ</v>
      </c>
      <c r="D32" t="str">
        <f>survey_responses[[#This Row],[Giới tính của bạn:]]</f>
        <v>Nữ</v>
      </c>
      <c r="E32" t="str">
        <f>step3_validation[[#This Row],[Age_Group]]</f>
        <v>25 - 29</v>
      </c>
      <c r="F32" t="str">
        <f>survey_responses[[#This Row],[Độ tuổi của bạn:]]</f>
        <v>25 - 29</v>
      </c>
      <c r="G32" t="str">
        <f>step3_validation[[#This Row],[Region]]</f>
        <v>Thành thị</v>
      </c>
      <c r="H32" t="str">
        <f>survey_responses[[#This Row],[Khu vực bạn đang sinh sống:]]</f>
        <v>Thành thị</v>
      </c>
      <c r="I32" t="str">
        <f>step3_validation[[#This Row],[Education]]</f>
        <v>Đại học</v>
      </c>
      <c r="J32" t="str">
        <f>survey_responses[[#This Row],[Trình độ học vấn cao nhất:]]</f>
        <v>Đại học</v>
      </c>
      <c r="K32" t="str">
        <f>step3_validation[[#This Row],[Employment]]</f>
        <v>Chính thức</v>
      </c>
      <c r="L32" t="str">
        <f>survey_responses[[#This Row],[Tình trạng việc làm chính:]]</f>
        <v>Khu vực chính thức (Có Hợp đồng lao động, đóng BHXH)</v>
      </c>
      <c r="M32">
        <f>step3_validation[[#This Row],[Income_Mil]]</f>
        <v>30.225374487318884</v>
      </c>
      <c r="N32" t="str">
        <f>survey_responses[[#This Row],[Thu nhập bình quân tháng theo Hợp đồng lao động của bạn là bao nhiêu? (Vui lòng điền tổng thu nhập trước khi khấu trừ các loại Bảo hiểm (BHXH, BHYT, BHTN) và Thuế TNCN)]]</f>
        <v>Từ 23 - 32 triệu VNĐ</v>
      </c>
      <c r="O32">
        <f>step3_validation[[#This Row],[Dependents]]</f>
        <v>0</v>
      </c>
      <c r="P32" t="str">
        <f>survey_responses[[#This Row],[Số người phụ thuộc (con nhỏ, cha mẹ già...) đủ điều kiện giảm trừ gia cảnh:]]</f>
        <v>0 người</v>
      </c>
      <c r="Q32">
        <f>step3_validation[[#This Row],[AI_ENF1]]</f>
        <v>6</v>
      </c>
      <c r="R32">
        <f t="shared" si="0"/>
        <v>0.55555555555555558</v>
      </c>
      <c r="S32">
        <f>survey_responses[[#This Row],[Tôi tin rằng với các quy định quản lý thuế hiện nay, hành vi gian lận hoặc trốn thuế sẽ dễ dàng bị phát hiện và xử lý nghiêm. - HUMAN-ENF1]]</f>
        <v>10</v>
      </c>
      <c r="T32">
        <f t="shared" si="1"/>
        <v>1</v>
      </c>
      <c r="U32">
        <f>step3_validation[[#This Row],[AI_ENF2]]</f>
        <v>7</v>
      </c>
      <c r="V32">
        <f t="shared" si="2"/>
        <v>0.66666666666666663</v>
      </c>
      <c r="W32">
        <f>survey_responses[[#This Row],[Tôi tin rằng Nhà nước, cơ quan thuế có đủ khả năng và công nghệ để phát hiện, xử lý nghiêm các hành vi trốn thuế. - HUMAN-ENF2]]</f>
        <v>7</v>
      </c>
      <c r="X32">
        <f t="shared" si="3"/>
        <v>0.66666666666666663</v>
      </c>
      <c r="Y32" s="32">
        <f t="shared" si="4"/>
        <v>0.61111111111111116</v>
      </c>
      <c r="Z32" s="32">
        <f t="shared" si="5"/>
        <v>0.83333333333333326</v>
      </c>
      <c r="AA32">
        <f>step3_validation[[#This Row],[AI_FAC1]]</f>
        <v>8</v>
      </c>
      <c r="AB32">
        <f t="shared" si="6"/>
        <v>0.77777777777777779</v>
      </c>
      <c r="AC32">
        <f>survey_responses[[#This Row],[Các thủ tục khai báo thuế VÀ/HOẶC quy trình làm việc với cơ quan thuế đơn giản, tiện lợi, nhanh chóng hơn so với trước đây. - HUMAN-FAC1]]</f>
        <v>10</v>
      </c>
      <c r="AD32">
        <f t="shared" si="7"/>
        <v>1</v>
      </c>
      <c r="AE32">
        <f>step3_validation[[#This Row],[AI_FAC2]]</f>
        <v>9</v>
      </c>
      <c r="AF32">
        <f t="shared" si="8"/>
        <v>0.88888888888888884</v>
      </c>
      <c r="AG32">
        <f>survey_responses[[#This Row],[So với trước đây, tôi thấy cách tính thuế và các bậc thuế trong phương án mới đơn giản, dễ hiểu và dễ thực hiện hơn. - HUMAN-FAC2]]</f>
        <v>7</v>
      </c>
      <c r="AH32">
        <f t="shared" si="9"/>
        <v>0.66666666666666663</v>
      </c>
      <c r="AI32" s="32">
        <f t="shared" si="10"/>
        <v>0.83333333333333326</v>
      </c>
      <c r="AJ32" s="32">
        <f t="shared" si="11"/>
        <v>0.83333333333333326</v>
      </c>
      <c r="AK32">
        <f>step3_validation[[#This Row],[AI_TRU1]]</f>
        <v>7</v>
      </c>
      <c r="AL32">
        <f t="shared" si="12"/>
        <v>0.66666666666666663</v>
      </c>
      <c r="AM32">
        <f>survey_responses[[#This Row],[Tôi tin rằng Nhà nước, cơ quan thuế sẽ thực thi chính sách mới một cách khách quan, công tâm và đối xử bình đẳng với mọi người nộp thuế.  - HUMAN-TRU1]]</f>
        <v>10</v>
      </c>
      <c r="AN32">
        <f t="shared" si="13"/>
        <v>1</v>
      </c>
      <c r="AO32">
        <f>step3_validation[[#This Row],[AI_TRU2]]</f>
        <v>9</v>
      </c>
      <c r="AP32">
        <f t="shared" si="14"/>
        <v>0.88888888888888884</v>
      </c>
      <c r="AQ32">
        <f>survey_responses[[#This Row],[Tôi thấy mức thuế tôi phải đóng theo phương án mới là công bằng (người thu nhập như tôi đóng mức này là hợp lý). - HUMAN-TRU2]]</f>
        <v>10</v>
      </c>
      <c r="AR32">
        <f t="shared" si="15"/>
        <v>1</v>
      </c>
      <c r="AS32">
        <f>step3_validation[[#This Row],[AI_TRU3]]</f>
        <v>8</v>
      </c>
      <c r="AT32">
        <f t="shared" si="16"/>
        <v>0.77777777777777779</v>
      </c>
      <c r="AU32">
        <f>survey_responses[[#This Row],[Tôi tin tưởng số tiền thuế tôi đóng sẽ được Nhà nước sử dụng hiệu quả để cải thiện dịch vụ công (y tế, đường xá...). - HUMAN-TRU3]]</f>
        <v>3</v>
      </c>
      <c r="AV32">
        <f t="shared" si="17"/>
        <v>0.22222222222222221</v>
      </c>
      <c r="AW32">
        <f>step3_validation[[#This Row],[AI_TRU4]]</f>
        <v>9</v>
      </c>
      <c r="AX32">
        <f t="shared" si="18"/>
        <v>0.88888888888888884</v>
      </c>
      <c r="AY32">
        <f>survey_responses[[#This Row],[Tôi thấy Nhà nước đã giải thích rõ ràng, minh bạch về lý do và mục tiêu của việc sửa đổi thuế lần này. - HUMAN-TRU4]]</f>
        <v>5</v>
      </c>
      <c r="AZ32">
        <f t="shared" si="19"/>
        <v>0.44444444444444442</v>
      </c>
      <c r="BA32" s="32">
        <f t="shared" si="20"/>
        <v>0.80555555555555547</v>
      </c>
      <c r="BB32" s="32">
        <f t="shared" si="21"/>
        <v>0.66666666666666674</v>
      </c>
      <c r="BC32" s="7">
        <f t="shared" si="22"/>
        <v>0.75</v>
      </c>
      <c r="BD32" s="7">
        <f t="shared" si="23"/>
        <v>0.77777777777777768</v>
      </c>
      <c r="BE32">
        <f>step3_validation[[#This Row],[AI_OUT1]]</f>
        <v>8</v>
      </c>
      <c r="BF32">
        <f t="shared" si="24"/>
        <v>0.77777777777777779</v>
      </c>
      <c r="BG32">
        <f>survey_responses[[#This Row],[Sau khi xem xét các quyền lợi và nghĩa vụ, bạn có ủng hộ và tuân thủ chính sách mới hiện nay? - HUMAN-OUT1]]</f>
        <v>8</v>
      </c>
      <c r="BH32">
        <f t="shared" si="25"/>
        <v>0.77777777777777779</v>
      </c>
      <c r="BI32" s="32">
        <f t="shared" si="26"/>
        <v>0</v>
      </c>
    </row>
    <row r="33" spans="1:61" x14ac:dyDescent="0.45">
      <c r="A33" s="30">
        <f>step3_validation[[#This Row],[Persona_ID]]</f>
        <v>32</v>
      </c>
      <c r="B33" s="31">
        <f>step3_validation[[#This Row],[Used_Seed]]</f>
        <v>32</v>
      </c>
      <c r="C33" t="str">
        <f>step3_validation[[#This Row],[Gender]]</f>
        <v>Nữ</v>
      </c>
      <c r="D33" t="str">
        <f>survey_responses[[#This Row],[Giới tính của bạn:]]</f>
        <v>Nữ</v>
      </c>
      <c r="E33" t="str">
        <f>step3_validation[[#This Row],[Age_Group]]</f>
        <v>18 - 24</v>
      </c>
      <c r="F33" t="str">
        <f>survey_responses[[#This Row],[Độ tuổi của bạn:]]</f>
        <v>18 - 24</v>
      </c>
      <c r="G33" t="str">
        <f>step3_validation[[#This Row],[Region]]</f>
        <v>Thành thị</v>
      </c>
      <c r="H33" t="str">
        <f>survey_responses[[#This Row],[Khu vực bạn đang sinh sống:]]</f>
        <v>Thành thị</v>
      </c>
      <c r="I33" t="str">
        <f>step3_validation[[#This Row],[Education]]</f>
        <v>Đại học</v>
      </c>
      <c r="J33" t="str">
        <f>survey_responses[[#This Row],[Trình độ học vấn cao nhất:]]</f>
        <v>Đại học</v>
      </c>
      <c r="K33" t="str">
        <f>step3_validation[[#This Row],[Employment]]</f>
        <v>Chính thức</v>
      </c>
      <c r="L33" t="str">
        <f>survey_responses[[#This Row],[Tình trạng việc làm chính:]]</f>
        <v>Khu vực chính thức (Có Hợp đồng lao động, đóng BHXH)</v>
      </c>
      <c r="M33">
        <f>step3_validation[[#This Row],[Income_Mil]]</f>
        <v>24.281942642998146</v>
      </c>
      <c r="N33" t="str">
        <f>survey_responses[[#This Row],[Thu nhập bình quân tháng theo Hợp đồng lao động của bạn là bao nhiêu? (Vui lòng điền tổng thu nhập trước khi khấu trừ các loại Bảo hiểm (BHXH, BHYT, BHTN) và Thuế TNCN)]]</f>
        <v>Từ 23 - 32 triệu VNĐ</v>
      </c>
      <c r="O33">
        <f>step3_validation[[#This Row],[Dependents]]</f>
        <v>0</v>
      </c>
      <c r="P33" t="str">
        <f>survey_responses[[#This Row],[Số người phụ thuộc (con nhỏ, cha mẹ già...) đủ điều kiện giảm trừ gia cảnh:]]</f>
        <v>0 người</v>
      </c>
      <c r="Q33">
        <f>step3_validation[[#This Row],[AI_ENF1]]</f>
        <v>6</v>
      </c>
      <c r="R33">
        <f t="shared" si="0"/>
        <v>0.55555555555555558</v>
      </c>
      <c r="S33">
        <f>survey_responses[[#This Row],[Tôi tin rằng với các quy định quản lý thuế hiện nay, hành vi gian lận hoặc trốn thuế sẽ dễ dàng bị phát hiện và xử lý nghiêm. - HUMAN-ENF1]]</f>
        <v>5</v>
      </c>
      <c r="T33">
        <f t="shared" si="1"/>
        <v>0.44444444444444442</v>
      </c>
      <c r="U33">
        <f>step3_validation[[#This Row],[AI_ENF2]]</f>
        <v>7</v>
      </c>
      <c r="V33">
        <f t="shared" si="2"/>
        <v>0.66666666666666663</v>
      </c>
      <c r="W33">
        <f>survey_responses[[#This Row],[Tôi tin rằng Nhà nước, cơ quan thuế có đủ khả năng và công nghệ để phát hiện, xử lý nghiêm các hành vi trốn thuế. - HUMAN-ENF2]]</f>
        <v>5</v>
      </c>
      <c r="X33">
        <f t="shared" si="3"/>
        <v>0.44444444444444442</v>
      </c>
      <c r="Y33" s="32">
        <f t="shared" si="4"/>
        <v>0.61111111111111116</v>
      </c>
      <c r="Z33" s="32">
        <f t="shared" si="5"/>
        <v>0.44444444444444442</v>
      </c>
      <c r="AA33">
        <f>step3_validation[[#This Row],[AI_FAC1]]</f>
        <v>8</v>
      </c>
      <c r="AB33">
        <f t="shared" si="6"/>
        <v>0.77777777777777779</v>
      </c>
      <c r="AC33">
        <f>survey_responses[[#This Row],[Các thủ tục khai báo thuế VÀ/HOẶC quy trình làm việc với cơ quan thuế đơn giản, tiện lợi, nhanh chóng hơn so với trước đây. - HUMAN-FAC1]]</f>
        <v>5</v>
      </c>
      <c r="AD33">
        <f t="shared" si="7"/>
        <v>0.44444444444444442</v>
      </c>
      <c r="AE33">
        <f>step3_validation[[#This Row],[AI_FAC2]]</f>
        <v>9</v>
      </c>
      <c r="AF33">
        <f t="shared" si="8"/>
        <v>0.88888888888888884</v>
      </c>
      <c r="AG33">
        <f>survey_responses[[#This Row],[So với trước đây, tôi thấy cách tính thuế và các bậc thuế trong phương án mới đơn giản, dễ hiểu và dễ thực hiện hơn. - HUMAN-FAC2]]</f>
        <v>5</v>
      </c>
      <c r="AH33">
        <f t="shared" si="9"/>
        <v>0.44444444444444442</v>
      </c>
      <c r="AI33" s="32">
        <f t="shared" si="10"/>
        <v>0.83333333333333326</v>
      </c>
      <c r="AJ33" s="32">
        <f t="shared" si="11"/>
        <v>0.44444444444444442</v>
      </c>
      <c r="AK33">
        <f>step3_validation[[#This Row],[AI_TRU1]]</f>
        <v>7</v>
      </c>
      <c r="AL33">
        <f t="shared" si="12"/>
        <v>0.66666666666666663</v>
      </c>
      <c r="AM33">
        <f>survey_responses[[#This Row],[Tôi tin rằng Nhà nước, cơ quan thuế sẽ thực thi chính sách mới một cách khách quan, công tâm và đối xử bình đẳng với mọi người nộp thuế.  - HUMAN-TRU1]]</f>
        <v>5</v>
      </c>
      <c r="AN33">
        <f t="shared" si="13"/>
        <v>0.44444444444444442</v>
      </c>
      <c r="AO33">
        <f>step3_validation[[#This Row],[AI_TRU2]]</f>
        <v>9</v>
      </c>
      <c r="AP33">
        <f t="shared" si="14"/>
        <v>0.88888888888888884</v>
      </c>
      <c r="AQ33">
        <f>survey_responses[[#This Row],[Tôi thấy mức thuế tôi phải đóng theo phương án mới là công bằng (người thu nhập như tôi đóng mức này là hợp lý). - HUMAN-TRU2]]</f>
        <v>5</v>
      </c>
      <c r="AR33">
        <f t="shared" si="15"/>
        <v>0.44444444444444442</v>
      </c>
      <c r="AS33">
        <f>step3_validation[[#This Row],[AI_TRU3]]</f>
        <v>7</v>
      </c>
      <c r="AT33">
        <f t="shared" si="16"/>
        <v>0.66666666666666663</v>
      </c>
      <c r="AU33">
        <f>survey_responses[[#This Row],[Tôi tin tưởng số tiền thuế tôi đóng sẽ được Nhà nước sử dụng hiệu quả để cải thiện dịch vụ công (y tế, đường xá...). - HUMAN-TRU3]]</f>
        <v>5</v>
      </c>
      <c r="AV33">
        <f t="shared" si="17"/>
        <v>0.44444444444444442</v>
      </c>
      <c r="AW33">
        <f>step3_validation[[#This Row],[AI_TRU4]]</f>
        <v>8</v>
      </c>
      <c r="AX33">
        <f t="shared" si="18"/>
        <v>0.77777777777777779</v>
      </c>
      <c r="AY33">
        <f>survey_responses[[#This Row],[Tôi thấy Nhà nước đã giải thích rõ ràng, minh bạch về lý do và mục tiêu của việc sửa đổi thuế lần này. - HUMAN-TRU4]]</f>
        <v>5</v>
      </c>
      <c r="AZ33">
        <f t="shared" si="19"/>
        <v>0.44444444444444442</v>
      </c>
      <c r="BA33" s="32">
        <f t="shared" si="20"/>
        <v>0.74999999999999989</v>
      </c>
      <c r="BB33" s="32">
        <f t="shared" si="21"/>
        <v>0.44444444444444442</v>
      </c>
      <c r="BC33" s="7">
        <f t="shared" si="22"/>
        <v>0.7314814814814814</v>
      </c>
      <c r="BD33" s="7">
        <f t="shared" si="23"/>
        <v>0.44444444444444442</v>
      </c>
      <c r="BE33">
        <f>step3_validation[[#This Row],[AI_OUT1]]</f>
        <v>9</v>
      </c>
      <c r="BF33">
        <f t="shared" si="24"/>
        <v>0.88888888888888884</v>
      </c>
      <c r="BG33">
        <f>survey_responses[[#This Row],[Sau khi xem xét các quyền lợi và nghĩa vụ, bạn có ủng hộ và tuân thủ chính sách mới hiện nay? - HUMAN-OUT1]]</f>
        <v>5</v>
      </c>
      <c r="BH33">
        <f t="shared" si="25"/>
        <v>0.44444444444444442</v>
      </c>
      <c r="BI33" s="32">
        <f t="shared" si="26"/>
        <v>4</v>
      </c>
    </row>
    <row r="34" spans="1:61" x14ac:dyDescent="0.45">
      <c r="A34" s="30">
        <f>step3_validation[[#This Row],[Persona_ID]]</f>
        <v>33</v>
      </c>
      <c r="B34" s="31">
        <f>step3_validation[[#This Row],[Used_Seed]]</f>
        <v>33</v>
      </c>
      <c r="C34" t="str">
        <f>step3_validation[[#This Row],[Gender]]</f>
        <v>Nữ</v>
      </c>
      <c r="D34" t="str">
        <f>survey_responses[[#This Row],[Giới tính của bạn:]]</f>
        <v>Nữ</v>
      </c>
      <c r="E34" t="str">
        <f>step3_validation[[#This Row],[Age_Group]]</f>
        <v>25 - 29</v>
      </c>
      <c r="F34" t="str">
        <f>survey_responses[[#This Row],[Độ tuổi của bạn:]]</f>
        <v>25 - 29</v>
      </c>
      <c r="G34" t="str">
        <f>step3_validation[[#This Row],[Region]]</f>
        <v>Thành thị</v>
      </c>
      <c r="H34" t="str">
        <f>survey_responses[[#This Row],[Khu vực bạn đang sinh sống:]]</f>
        <v>Thành thị</v>
      </c>
      <c r="I34" t="str">
        <f>step3_validation[[#This Row],[Education]]</f>
        <v>Đại học</v>
      </c>
      <c r="J34" t="str">
        <f>survey_responses[[#This Row],[Trình độ học vấn cao nhất:]]</f>
        <v>Đại học</v>
      </c>
      <c r="K34" t="str">
        <f>step3_validation[[#This Row],[Employment]]</f>
        <v>Chính thức</v>
      </c>
      <c r="L34" t="str">
        <f>survey_responses[[#This Row],[Tình trạng việc làm chính:]]</f>
        <v>Khu vực chính thức (Có Hợp đồng lao động, đóng BHXH)</v>
      </c>
      <c r="M34">
        <f>step3_validation[[#This Row],[Income_Mil]]</f>
        <v>26.549137895701335</v>
      </c>
      <c r="N34" t="str">
        <f>survey_responses[[#This Row],[Thu nhập bình quân tháng theo Hợp đồng lao động của bạn là bao nhiêu? (Vui lòng điền tổng thu nhập trước khi khấu trừ các loại Bảo hiểm (BHXH, BHYT, BHTN) và Thuế TNCN)]]</f>
        <v>Từ 23 - 32 triệu VNĐ</v>
      </c>
      <c r="O34">
        <f>step3_validation[[#This Row],[Dependents]]</f>
        <v>0</v>
      </c>
      <c r="P34" t="str">
        <f>survey_responses[[#This Row],[Số người phụ thuộc (con nhỏ, cha mẹ già...) đủ điều kiện giảm trừ gia cảnh:]]</f>
        <v>0 người</v>
      </c>
      <c r="Q34">
        <f>step3_validation[[#This Row],[AI_ENF1]]</f>
        <v>9</v>
      </c>
      <c r="R34">
        <f t="shared" si="0"/>
        <v>0.88888888888888884</v>
      </c>
      <c r="S34">
        <f>survey_responses[[#This Row],[Tôi tin rằng với các quy định quản lý thuế hiện nay, hành vi gian lận hoặc trốn thuế sẽ dễ dàng bị phát hiện và xử lý nghiêm. - HUMAN-ENF1]]</f>
        <v>8</v>
      </c>
      <c r="T34">
        <f t="shared" si="1"/>
        <v>0.77777777777777779</v>
      </c>
      <c r="U34">
        <f>step3_validation[[#This Row],[AI_ENF2]]</f>
        <v>8</v>
      </c>
      <c r="V34">
        <f t="shared" si="2"/>
        <v>0.77777777777777779</v>
      </c>
      <c r="W34">
        <f>survey_responses[[#This Row],[Tôi tin rằng Nhà nước, cơ quan thuế có đủ khả năng và công nghệ để phát hiện, xử lý nghiêm các hành vi trốn thuế. - HUMAN-ENF2]]</f>
        <v>9</v>
      </c>
      <c r="X34">
        <f t="shared" si="3"/>
        <v>0.88888888888888884</v>
      </c>
      <c r="Y34" s="32">
        <f t="shared" si="4"/>
        <v>0.83333333333333326</v>
      </c>
      <c r="Z34" s="32">
        <f t="shared" si="5"/>
        <v>0.83333333333333326</v>
      </c>
      <c r="AA34">
        <f>step3_validation[[#This Row],[AI_FAC1]]</f>
        <v>7</v>
      </c>
      <c r="AB34">
        <f t="shared" si="6"/>
        <v>0.66666666666666663</v>
      </c>
      <c r="AC34">
        <f>survey_responses[[#This Row],[Các thủ tục khai báo thuế VÀ/HOẶC quy trình làm việc với cơ quan thuế đơn giản, tiện lợi, nhanh chóng hơn so với trước đây. - HUMAN-FAC1]]</f>
        <v>7</v>
      </c>
      <c r="AD34">
        <f t="shared" si="7"/>
        <v>0.66666666666666663</v>
      </c>
      <c r="AE34">
        <f>step3_validation[[#This Row],[AI_FAC2]]</f>
        <v>8</v>
      </c>
      <c r="AF34">
        <f t="shared" si="8"/>
        <v>0.77777777777777779</v>
      </c>
      <c r="AG34">
        <f>survey_responses[[#This Row],[So với trước đây, tôi thấy cách tính thuế và các bậc thuế trong phương án mới đơn giản, dễ hiểu và dễ thực hiện hơn. - HUMAN-FAC2]]</f>
        <v>8</v>
      </c>
      <c r="AH34">
        <f t="shared" si="9"/>
        <v>0.77777777777777779</v>
      </c>
      <c r="AI34" s="32">
        <f t="shared" si="10"/>
        <v>0.72222222222222221</v>
      </c>
      <c r="AJ34" s="32">
        <f t="shared" si="11"/>
        <v>0.72222222222222221</v>
      </c>
      <c r="AK34">
        <f>step3_validation[[#This Row],[AI_TRU1]]</f>
        <v>7</v>
      </c>
      <c r="AL34">
        <f t="shared" si="12"/>
        <v>0.66666666666666663</v>
      </c>
      <c r="AM34">
        <f>survey_responses[[#This Row],[Tôi tin rằng Nhà nước, cơ quan thuế sẽ thực thi chính sách mới một cách khách quan, công tâm và đối xử bình đẳng với mọi người nộp thuế.  - HUMAN-TRU1]]</f>
        <v>8</v>
      </c>
      <c r="AN34">
        <f t="shared" si="13"/>
        <v>0.77777777777777779</v>
      </c>
      <c r="AO34">
        <f>step3_validation[[#This Row],[AI_TRU2]]</f>
        <v>6</v>
      </c>
      <c r="AP34">
        <f t="shared" si="14"/>
        <v>0.55555555555555558</v>
      </c>
      <c r="AQ34">
        <f>survey_responses[[#This Row],[Tôi thấy mức thuế tôi phải đóng theo phương án mới là công bằng (người thu nhập như tôi đóng mức này là hợp lý). - HUMAN-TRU2]]</f>
        <v>8</v>
      </c>
      <c r="AR34">
        <f t="shared" si="15"/>
        <v>0.77777777777777779</v>
      </c>
      <c r="AS34">
        <f>step3_validation[[#This Row],[AI_TRU3]]</f>
        <v>5</v>
      </c>
      <c r="AT34">
        <f t="shared" si="16"/>
        <v>0.44444444444444442</v>
      </c>
      <c r="AU34">
        <f>survey_responses[[#This Row],[Tôi tin tưởng số tiền thuế tôi đóng sẽ được Nhà nước sử dụng hiệu quả để cải thiện dịch vụ công (y tế, đường xá...). - HUMAN-TRU3]]</f>
        <v>3</v>
      </c>
      <c r="AV34">
        <f t="shared" si="17"/>
        <v>0.22222222222222221</v>
      </c>
      <c r="AW34">
        <f>step3_validation[[#This Row],[AI_TRU4]]</f>
        <v>6</v>
      </c>
      <c r="AX34">
        <f t="shared" si="18"/>
        <v>0.55555555555555558</v>
      </c>
      <c r="AY34">
        <f>survey_responses[[#This Row],[Tôi thấy Nhà nước đã giải thích rõ ràng, minh bạch về lý do và mục tiêu của việc sửa đổi thuế lần này. - HUMAN-TRU4]]</f>
        <v>6</v>
      </c>
      <c r="AZ34">
        <f t="shared" si="19"/>
        <v>0.55555555555555558</v>
      </c>
      <c r="BA34" s="32">
        <f t="shared" si="20"/>
        <v>0.55555555555555558</v>
      </c>
      <c r="BB34" s="32">
        <f t="shared" si="21"/>
        <v>0.58333333333333326</v>
      </c>
      <c r="BC34" s="7">
        <f t="shared" si="22"/>
        <v>0.70370370370370361</v>
      </c>
      <c r="BD34" s="7">
        <f t="shared" si="23"/>
        <v>0.7129629629629628</v>
      </c>
      <c r="BE34">
        <f>step3_validation[[#This Row],[AI_OUT1]]</f>
        <v>7</v>
      </c>
      <c r="BF34">
        <f t="shared" si="24"/>
        <v>0.66666666666666663</v>
      </c>
      <c r="BG34">
        <f>survey_responses[[#This Row],[Sau khi xem xét các quyền lợi và nghĩa vụ, bạn có ủng hộ và tuân thủ chính sách mới hiện nay? - HUMAN-OUT1]]</f>
        <v>7</v>
      </c>
      <c r="BH34">
        <f t="shared" si="25"/>
        <v>0.66666666666666663</v>
      </c>
      <c r="BI34" s="32">
        <f t="shared" si="26"/>
        <v>0</v>
      </c>
    </row>
    <row r="35" spans="1:61" x14ac:dyDescent="0.45">
      <c r="A35" s="30">
        <f>step3_validation[[#This Row],[Persona_ID]]</f>
        <v>34</v>
      </c>
      <c r="B35" s="31">
        <f>step3_validation[[#This Row],[Used_Seed]]</f>
        <v>34</v>
      </c>
      <c r="C35" t="str">
        <f>step3_validation[[#This Row],[Gender]]</f>
        <v>Nam</v>
      </c>
      <c r="D35" t="str">
        <f>survey_responses[[#This Row],[Giới tính của bạn:]]</f>
        <v>Nam</v>
      </c>
      <c r="E35" t="str">
        <f>step3_validation[[#This Row],[Age_Group]]</f>
        <v>25 - 29</v>
      </c>
      <c r="F35" t="str">
        <f>survey_responses[[#This Row],[Độ tuổi của bạn:]]</f>
        <v>25 - 29</v>
      </c>
      <c r="G35" t="str">
        <f>step3_validation[[#This Row],[Region]]</f>
        <v>Thành thị</v>
      </c>
      <c r="H35" t="str">
        <f>survey_responses[[#This Row],[Khu vực bạn đang sinh sống:]]</f>
        <v>Thành thị</v>
      </c>
      <c r="I35" t="str">
        <f>step3_validation[[#This Row],[Education]]</f>
        <v>Đại học</v>
      </c>
      <c r="J35" t="str">
        <f>survey_responses[[#This Row],[Trình độ học vấn cao nhất:]]</f>
        <v>Đại học</v>
      </c>
      <c r="K35" t="str">
        <f>step3_validation[[#This Row],[Employment]]</f>
        <v>Chính thức</v>
      </c>
      <c r="L35" t="str">
        <f>survey_responses[[#This Row],[Tình trạng việc làm chính:]]</f>
        <v>Khu vực chính thức (Có Hợp đồng lao động, đóng BHXH)</v>
      </c>
      <c r="M35">
        <f>step3_validation[[#This Row],[Income_Mil]]</f>
        <v>12.020141217465218</v>
      </c>
      <c r="N35" t="str">
        <f>survey_responses[[#This Row],[Thu nhập bình quân tháng theo Hợp đồng lao động của bạn là bao nhiêu? (Vui lòng điền tổng thu nhập trước khi khấu trừ các loại Bảo hiểm (BHXH, BHYT, BHTN) và Thuế TNCN)]]</f>
        <v>Từ 12 - 18 triệu VNĐ</v>
      </c>
      <c r="O35">
        <f>step3_validation[[#This Row],[Dependents]]</f>
        <v>1</v>
      </c>
      <c r="P35" t="str">
        <f>survey_responses[[#This Row],[Số người phụ thuộc (con nhỏ, cha mẹ già...) đủ điều kiện giảm trừ gia cảnh:]]</f>
        <v>1 người</v>
      </c>
      <c r="Q35">
        <f>step3_validation[[#This Row],[AI_ENF1]]</f>
        <v>8</v>
      </c>
      <c r="R35">
        <f t="shared" si="0"/>
        <v>0.77777777777777779</v>
      </c>
      <c r="S35">
        <f>survey_responses[[#This Row],[Tôi tin rằng với các quy định quản lý thuế hiện nay, hành vi gian lận hoặc trốn thuế sẽ dễ dàng bị phát hiện và xử lý nghiêm. - HUMAN-ENF1]]</f>
        <v>10</v>
      </c>
      <c r="T35">
        <f t="shared" si="1"/>
        <v>1</v>
      </c>
      <c r="U35">
        <f>step3_validation[[#This Row],[AI_ENF2]]</f>
        <v>9</v>
      </c>
      <c r="V35">
        <f t="shared" si="2"/>
        <v>0.88888888888888884</v>
      </c>
      <c r="W35">
        <f>survey_responses[[#This Row],[Tôi tin rằng Nhà nước, cơ quan thuế có đủ khả năng và công nghệ để phát hiện, xử lý nghiêm các hành vi trốn thuế. - HUMAN-ENF2]]</f>
        <v>10</v>
      </c>
      <c r="X35">
        <f t="shared" si="3"/>
        <v>1</v>
      </c>
      <c r="Y35" s="32">
        <f t="shared" si="4"/>
        <v>0.83333333333333326</v>
      </c>
      <c r="Z35" s="32">
        <f t="shared" si="5"/>
        <v>1</v>
      </c>
      <c r="AA35">
        <f>step3_validation[[#This Row],[AI_FAC1]]</f>
        <v>7</v>
      </c>
      <c r="AB35">
        <f t="shared" si="6"/>
        <v>0.66666666666666663</v>
      </c>
      <c r="AC35">
        <f>survey_responses[[#This Row],[Các thủ tục khai báo thuế VÀ/HOẶC quy trình làm việc với cơ quan thuế đơn giản, tiện lợi, nhanh chóng hơn so với trước đây. - HUMAN-FAC1]]</f>
        <v>10</v>
      </c>
      <c r="AD35">
        <f t="shared" si="7"/>
        <v>1</v>
      </c>
      <c r="AE35">
        <f>step3_validation[[#This Row],[AI_FAC2]]</f>
        <v>9</v>
      </c>
      <c r="AF35">
        <f t="shared" si="8"/>
        <v>0.88888888888888884</v>
      </c>
      <c r="AG35">
        <f>survey_responses[[#This Row],[So với trước đây, tôi thấy cách tính thuế và các bậc thuế trong phương án mới đơn giản, dễ hiểu và dễ thực hiện hơn. - HUMAN-FAC2]]</f>
        <v>10</v>
      </c>
      <c r="AH35">
        <f t="shared" si="9"/>
        <v>1</v>
      </c>
      <c r="AI35" s="32">
        <f t="shared" si="10"/>
        <v>0.77777777777777768</v>
      </c>
      <c r="AJ35" s="32">
        <f t="shared" si="11"/>
        <v>1</v>
      </c>
      <c r="AK35">
        <f>step3_validation[[#This Row],[AI_TRU1]]</f>
        <v>6</v>
      </c>
      <c r="AL35">
        <f t="shared" si="12"/>
        <v>0.55555555555555558</v>
      </c>
      <c r="AM35">
        <f>survey_responses[[#This Row],[Tôi tin rằng Nhà nước, cơ quan thuế sẽ thực thi chính sách mới một cách khách quan, công tâm và đối xử bình đẳng với mọi người nộp thuế.  - HUMAN-TRU1]]</f>
        <v>10</v>
      </c>
      <c r="AN35">
        <f t="shared" si="13"/>
        <v>1</v>
      </c>
      <c r="AO35">
        <f>step3_validation[[#This Row],[AI_TRU2]]</f>
        <v>8</v>
      </c>
      <c r="AP35">
        <f t="shared" si="14"/>
        <v>0.77777777777777779</v>
      </c>
      <c r="AQ35">
        <f>survey_responses[[#This Row],[Tôi thấy mức thuế tôi phải đóng theo phương án mới là công bằng (người thu nhập như tôi đóng mức này là hợp lý). - HUMAN-TRU2]]</f>
        <v>10</v>
      </c>
      <c r="AR35">
        <f t="shared" si="15"/>
        <v>1</v>
      </c>
      <c r="AS35">
        <f>step3_validation[[#This Row],[AI_TRU3]]</f>
        <v>5</v>
      </c>
      <c r="AT35">
        <f t="shared" si="16"/>
        <v>0.44444444444444442</v>
      </c>
      <c r="AU35">
        <f>survey_responses[[#This Row],[Tôi tin tưởng số tiền thuế tôi đóng sẽ được Nhà nước sử dụng hiệu quả để cải thiện dịch vụ công (y tế, đường xá...). - HUMAN-TRU3]]</f>
        <v>10</v>
      </c>
      <c r="AV35">
        <f t="shared" si="17"/>
        <v>1</v>
      </c>
      <c r="AW35">
        <f>step3_validation[[#This Row],[AI_TRU4]]</f>
        <v>6</v>
      </c>
      <c r="AX35">
        <f t="shared" si="18"/>
        <v>0.55555555555555558</v>
      </c>
      <c r="AY35">
        <f>survey_responses[[#This Row],[Tôi thấy Nhà nước đã giải thích rõ ràng, minh bạch về lý do và mục tiêu của việc sửa đổi thuế lần này. - HUMAN-TRU4]]</f>
        <v>10</v>
      </c>
      <c r="AZ35">
        <f t="shared" si="19"/>
        <v>1</v>
      </c>
      <c r="BA35" s="32">
        <f t="shared" si="20"/>
        <v>0.58333333333333337</v>
      </c>
      <c r="BB35" s="32">
        <f t="shared" si="21"/>
        <v>1</v>
      </c>
      <c r="BC35" s="7">
        <f t="shared" si="22"/>
        <v>0.7314814814814814</v>
      </c>
      <c r="BD35" s="7">
        <f t="shared" si="23"/>
        <v>1</v>
      </c>
      <c r="BE35">
        <f>step3_validation[[#This Row],[AI_OUT1]]</f>
        <v>7</v>
      </c>
      <c r="BF35">
        <f t="shared" si="24"/>
        <v>0.66666666666666663</v>
      </c>
      <c r="BG35">
        <f>survey_responses[[#This Row],[Sau khi xem xét các quyền lợi và nghĩa vụ, bạn có ủng hộ và tuân thủ chính sách mới hiện nay? - HUMAN-OUT1]]</f>
        <v>10</v>
      </c>
      <c r="BH35">
        <f t="shared" si="25"/>
        <v>1</v>
      </c>
      <c r="BI35" s="32">
        <f t="shared" si="26"/>
        <v>3</v>
      </c>
    </row>
    <row r="36" spans="1:61" x14ac:dyDescent="0.45">
      <c r="A36" s="30">
        <f>step3_validation[[#This Row],[Persona_ID]]</f>
        <v>35</v>
      </c>
      <c r="B36" s="31">
        <f>step3_validation[[#This Row],[Used_Seed]]</f>
        <v>35</v>
      </c>
      <c r="C36" t="str">
        <f>step3_validation[[#This Row],[Gender]]</f>
        <v>Nữ</v>
      </c>
      <c r="D36" t="str">
        <f>survey_responses[[#This Row],[Giới tính của bạn:]]</f>
        <v>Nữ</v>
      </c>
      <c r="E36" t="str">
        <f>step3_validation[[#This Row],[Age_Group]]</f>
        <v>30 - 39</v>
      </c>
      <c r="F36" t="str">
        <f>survey_responses[[#This Row],[Độ tuổi của bạn:]]</f>
        <v>30 - 39</v>
      </c>
      <c r="G36" t="str">
        <f>step3_validation[[#This Row],[Region]]</f>
        <v>Thành thị</v>
      </c>
      <c r="H36" t="str">
        <f>survey_responses[[#This Row],[Khu vực bạn đang sinh sống:]]</f>
        <v>Thành thị</v>
      </c>
      <c r="I36" t="str">
        <f>step3_validation[[#This Row],[Education]]</f>
        <v>Cao đẳng</v>
      </c>
      <c r="J36" t="str">
        <f>survey_responses[[#This Row],[Trình độ học vấn cao nhất:]]</f>
        <v>Cao đẳng</v>
      </c>
      <c r="K36" t="str">
        <f>step3_validation[[#This Row],[Employment]]</f>
        <v>Chính thức</v>
      </c>
      <c r="L36" t="str">
        <f>survey_responses[[#This Row],[Tình trạng việc làm chính:]]</f>
        <v>Khu vực chính thức (Có Hợp đồng lao động, đóng BHXH)</v>
      </c>
      <c r="M36">
        <f>step3_validation[[#This Row],[Income_Mil]]</f>
        <v>13.689747794418622</v>
      </c>
      <c r="N36" t="str">
        <f>survey_responses[[#This Row],[Thu nhập bình quân tháng theo Hợp đồng lao động của bạn là bao nhiêu? (Vui lòng điền tổng thu nhập trước khi khấu trừ các loại Bảo hiểm (BHXH, BHYT, BHTN) và Thuế TNCN)]]</f>
        <v>Từ 12 - 18 triệu VNĐ</v>
      </c>
      <c r="O36">
        <f>step3_validation[[#This Row],[Dependents]]</f>
        <v>3</v>
      </c>
      <c r="P36" t="str">
        <f>survey_responses[[#This Row],[Số người phụ thuộc (con nhỏ, cha mẹ già...) đủ điều kiện giảm trừ gia cảnh:]]</f>
        <v>3 người</v>
      </c>
      <c r="Q36">
        <f>step3_validation[[#This Row],[AI_ENF1]]</f>
        <v>8</v>
      </c>
      <c r="R36">
        <f t="shared" si="0"/>
        <v>0.77777777777777779</v>
      </c>
      <c r="S36">
        <f>survey_responses[[#This Row],[Tôi tin rằng với các quy định quản lý thuế hiện nay, hành vi gian lận hoặc trốn thuế sẽ dễ dàng bị phát hiện và xử lý nghiêm. - HUMAN-ENF1]]</f>
        <v>10</v>
      </c>
      <c r="T36">
        <f t="shared" si="1"/>
        <v>1</v>
      </c>
      <c r="U36">
        <f>step3_validation[[#This Row],[AI_ENF2]]</f>
        <v>7</v>
      </c>
      <c r="V36">
        <f t="shared" si="2"/>
        <v>0.66666666666666663</v>
      </c>
      <c r="W36">
        <f>survey_responses[[#This Row],[Tôi tin rằng Nhà nước, cơ quan thuế có đủ khả năng và công nghệ để phát hiện, xử lý nghiêm các hành vi trốn thuế. - HUMAN-ENF2]]</f>
        <v>10</v>
      </c>
      <c r="X36">
        <f t="shared" si="3"/>
        <v>1</v>
      </c>
      <c r="Y36" s="32">
        <f t="shared" si="4"/>
        <v>0.72222222222222221</v>
      </c>
      <c r="Z36" s="32">
        <f t="shared" si="5"/>
        <v>1</v>
      </c>
      <c r="AA36">
        <f>step3_validation[[#This Row],[AI_FAC1]]</f>
        <v>9</v>
      </c>
      <c r="AB36">
        <f t="shared" si="6"/>
        <v>0.88888888888888884</v>
      </c>
      <c r="AC36">
        <f>survey_responses[[#This Row],[Các thủ tục khai báo thuế VÀ/HOẶC quy trình làm việc với cơ quan thuế đơn giản, tiện lợi, nhanh chóng hơn so với trước đây. - HUMAN-FAC1]]</f>
        <v>10</v>
      </c>
      <c r="AD36">
        <f t="shared" si="7"/>
        <v>1</v>
      </c>
      <c r="AE36">
        <f>step3_validation[[#This Row],[AI_FAC2]]</f>
        <v>8</v>
      </c>
      <c r="AF36">
        <f t="shared" si="8"/>
        <v>0.77777777777777779</v>
      </c>
      <c r="AG36">
        <f>survey_responses[[#This Row],[So với trước đây, tôi thấy cách tính thuế và các bậc thuế trong phương án mới đơn giản, dễ hiểu và dễ thực hiện hơn. - HUMAN-FAC2]]</f>
        <v>10</v>
      </c>
      <c r="AH36">
        <f t="shared" si="9"/>
        <v>1</v>
      </c>
      <c r="AI36" s="32">
        <f t="shared" si="10"/>
        <v>0.83333333333333326</v>
      </c>
      <c r="AJ36" s="32">
        <f t="shared" si="11"/>
        <v>1</v>
      </c>
      <c r="AK36">
        <f>step3_validation[[#This Row],[AI_TRU1]]</f>
        <v>9</v>
      </c>
      <c r="AL36">
        <f t="shared" si="12"/>
        <v>0.88888888888888884</v>
      </c>
      <c r="AM36">
        <f>survey_responses[[#This Row],[Tôi tin rằng Nhà nước, cơ quan thuế sẽ thực thi chính sách mới một cách khách quan, công tâm và đối xử bình đẳng với mọi người nộp thuế.  - HUMAN-TRU1]]</f>
        <v>10</v>
      </c>
      <c r="AN36">
        <f t="shared" si="13"/>
        <v>1</v>
      </c>
      <c r="AO36">
        <f>step3_validation[[#This Row],[AI_TRU2]]</f>
        <v>8</v>
      </c>
      <c r="AP36">
        <f t="shared" si="14"/>
        <v>0.77777777777777779</v>
      </c>
      <c r="AQ36">
        <f>survey_responses[[#This Row],[Tôi thấy mức thuế tôi phải đóng theo phương án mới là công bằng (người thu nhập như tôi đóng mức này là hợp lý). - HUMAN-TRU2]]</f>
        <v>10</v>
      </c>
      <c r="AR36">
        <f t="shared" si="15"/>
        <v>1</v>
      </c>
      <c r="AS36">
        <f>step3_validation[[#This Row],[AI_TRU3]]</f>
        <v>9</v>
      </c>
      <c r="AT36">
        <f t="shared" si="16"/>
        <v>0.88888888888888884</v>
      </c>
      <c r="AU36">
        <f>survey_responses[[#This Row],[Tôi tin tưởng số tiền thuế tôi đóng sẽ được Nhà nước sử dụng hiệu quả để cải thiện dịch vụ công (y tế, đường xá...). - HUMAN-TRU3]]</f>
        <v>10</v>
      </c>
      <c r="AV36">
        <f t="shared" si="17"/>
        <v>1</v>
      </c>
      <c r="AW36">
        <f>step3_validation[[#This Row],[AI_TRU4]]</f>
        <v>7</v>
      </c>
      <c r="AX36">
        <f t="shared" si="18"/>
        <v>0.66666666666666663</v>
      </c>
      <c r="AY36">
        <f>survey_responses[[#This Row],[Tôi thấy Nhà nước đã giải thích rõ ràng, minh bạch về lý do và mục tiêu của việc sửa đổi thuế lần này. - HUMAN-TRU4]]</f>
        <v>10</v>
      </c>
      <c r="AZ36">
        <f t="shared" si="19"/>
        <v>1</v>
      </c>
      <c r="BA36" s="32">
        <f t="shared" si="20"/>
        <v>0.80555555555555547</v>
      </c>
      <c r="BB36" s="32">
        <f t="shared" si="21"/>
        <v>1</v>
      </c>
      <c r="BC36" s="7">
        <f t="shared" si="22"/>
        <v>0.78703703703703687</v>
      </c>
      <c r="BD36" s="7">
        <f t="shared" si="23"/>
        <v>1</v>
      </c>
      <c r="BE36">
        <f>step3_validation[[#This Row],[AI_OUT1]]</f>
        <v>8</v>
      </c>
      <c r="BF36">
        <f t="shared" si="24"/>
        <v>0.77777777777777779</v>
      </c>
      <c r="BG36">
        <f>survey_responses[[#This Row],[Sau khi xem xét các quyền lợi và nghĩa vụ, bạn có ủng hộ và tuân thủ chính sách mới hiện nay? - HUMAN-OUT1]]</f>
        <v>10</v>
      </c>
      <c r="BH36">
        <f t="shared" si="25"/>
        <v>1</v>
      </c>
      <c r="BI36" s="32">
        <f t="shared" si="26"/>
        <v>2</v>
      </c>
    </row>
    <row r="37" spans="1:61" x14ac:dyDescent="0.45">
      <c r="A37" s="30">
        <f>step3_validation[[#This Row],[Persona_ID]]</f>
        <v>36</v>
      </c>
      <c r="B37" s="31">
        <f>step3_validation[[#This Row],[Used_Seed]]</f>
        <v>36</v>
      </c>
      <c r="C37" t="str">
        <f>step3_validation[[#This Row],[Gender]]</f>
        <v>Nữ</v>
      </c>
      <c r="D37" t="str">
        <f>survey_responses[[#This Row],[Giới tính của bạn:]]</f>
        <v>Nữ</v>
      </c>
      <c r="E37" t="str">
        <f>step3_validation[[#This Row],[Age_Group]]</f>
        <v>18 - 24</v>
      </c>
      <c r="F37" t="str">
        <f>survey_responses[[#This Row],[Độ tuổi của bạn:]]</f>
        <v>18 - 24</v>
      </c>
      <c r="G37" t="str">
        <f>step3_validation[[#This Row],[Region]]</f>
        <v>Thành thị</v>
      </c>
      <c r="H37" t="str">
        <f>survey_responses[[#This Row],[Khu vực bạn đang sinh sống:]]</f>
        <v>Thành thị</v>
      </c>
      <c r="I37" t="str">
        <f>step3_validation[[#This Row],[Education]]</f>
        <v>Đại học</v>
      </c>
      <c r="J37" t="str">
        <f>survey_responses[[#This Row],[Trình độ học vấn cao nhất:]]</f>
        <v>Đại học</v>
      </c>
      <c r="K37" t="str">
        <f>step3_validation[[#This Row],[Employment]]</f>
        <v>Chính thức</v>
      </c>
      <c r="L37" t="str">
        <f>survey_responses[[#This Row],[Tình trạng việc làm chính:]]</f>
        <v>Khu vực chính thức (Có Hợp đồng lao động, đóng BHXH)</v>
      </c>
      <c r="M37">
        <f>step3_validation[[#This Row],[Income_Mil]]</f>
        <v>12.903165456120847</v>
      </c>
      <c r="N37" t="str">
        <f>survey_responses[[#This Row],[Thu nhập bình quân tháng theo Hợp đồng lao động của bạn là bao nhiêu? (Vui lòng điền tổng thu nhập trước khi khấu trừ các loại Bảo hiểm (BHXH, BHYT, BHTN) và Thuế TNCN)]]</f>
        <v>Từ 12 - 18 triệu VNĐ</v>
      </c>
      <c r="O37">
        <f>step3_validation[[#This Row],[Dependents]]</f>
        <v>0</v>
      </c>
      <c r="P37" t="str">
        <f>survey_responses[[#This Row],[Số người phụ thuộc (con nhỏ, cha mẹ già...) đủ điều kiện giảm trừ gia cảnh:]]</f>
        <v>0 người</v>
      </c>
      <c r="Q37">
        <f>step3_validation[[#This Row],[AI_ENF1]]</f>
        <v>7</v>
      </c>
      <c r="R37">
        <f t="shared" si="0"/>
        <v>0.66666666666666663</v>
      </c>
      <c r="S37">
        <f>survey_responses[[#This Row],[Tôi tin rằng với các quy định quản lý thuế hiện nay, hành vi gian lận hoặc trốn thuế sẽ dễ dàng bị phát hiện và xử lý nghiêm. - HUMAN-ENF1]]</f>
        <v>10</v>
      </c>
      <c r="T37">
        <f t="shared" si="1"/>
        <v>1</v>
      </c>
      <c r="U37">
        <f>step3_validation[[#This Row],[AI_ENF2]]</f>
        <v>6</v>
      </c>
      <c r="V37">
        <f t="shared" si="2"/>
        <v>0.55555555555555558</v>
      </c>
      <c r="W37">
        <f>survey_responses[[#This Row],[Tôi tin rằng Nhà nước, cơ quan thuế có đủ khả năng và công nghệ để phát hiện, xử lý nghiêm các hành vi trốn thuế. - HUMAN-ENF2]]</f>
        <v>9</v>
      </c>
      <c r="X37">
        <f t="shared" si="3"/>
        <v>0.88888888888888884</v>
      </c>
      <c r="Y37" s="32">
        <f t="shared" si="4"/>
        <v>0.61111111111111116</v>
      </c>
      <c r="Z37" s="32">
        <f t="shared" si="5"/>
        <v>0.94444444444444442</v>
      </c>
      <c r="AA37">
        <f>step3_validation[[#This Row],[AI_FAC1]]</f>
        <v>8</v>
      </c>
      <c r="AB37">
        <f t="shared" si="6"/>
        <v>0.77777777777777779</v>
      </c>
      <c r="AC37">
        <f>survey_responses[[#This Row],[Các thủ tục khai báo thuế VÀ/HOẶC quy trình làm việc với cơ quan thuế đơn giản, tiện lợi, nhanh chóng hơn so với trước đây. - HUMAN-FAC1]]</f>
        <v>10</v>
      </c>
      <c r="AD37">
        <f t="shared" si="7"/>
        <v>1</v>
      </c>
      <c r="AE37">
        <f>step3_validation[[#This Row],[AI_FAC2]]</f>
        <v>9</v>
      </c>
      <c r="AF37">
        <f t="shared" si="8"/>
        <v>0.88888888888888884</v>
      </c>
      <c r="AG37">
        <f>survey_responses[[#This Row],[So với trước đây, tôi thấy cách tính thuế và các bậc thuế trong phương án mới đơn giản, dễ hiểu và dễ thực hiện hơn. - HUMAN-FAC2]]</f>
        <v>8</v>
      </c>
      <c r="AH37">
        <f t="shared" si="9"/>
        <v>0.77777777777777779</v>
      </c>
      <c r="AI37" s="32">
        <f t="shared" si="10"/>
        <v>0.83333333333333326</v>
      </c>
      <c r="AJ37" s="32">
        <f t="shared" si="11"/>
        <v>0.88888888888888884</v>
      </c>
      <c r="AK37">
        <f>step3_validation[[#This Row],[AI_TRU1]]</f>
        <v>8</v>
      </c>
      <c r="AL37">
        <f t="shared" si="12"/>
        <v>0.77777777777777779</v>
      </c>
      <c r="AM37">
        <f>survey_responses[[#This Row],[Tôi tin rằng Nhà nước, cơ quan thuế sẽ thực thi chính sách mới một cách khách quan, công tâm và đối xử bình đẳng với mọi người nộp thuế.  - HUMAN-TRU1]]</f>
        <v>10</v>
      </c>
      <c r="AN37">
        <f t="shared" si="13"/>
        <v>1</v>
      </c>
      <c r="AO37">
        <f>step3_validation[[#This Row],[AI_TRU2]]</f>
        <v>9</v>
      </c>
      <c r="AP37">
        <f t="shared" si="14"/>
        <v>0.88888888888888884</v>
      </c>
      <c r="AQ37">
        <f>survey_responses[[#This Row],[Tôi thấy mức thuế tôi phải đóng theo phương án mới là công bằng (người thu nhập như tôi đóng mức này là hợp lý). - HUMAN-TRU2]]</f>
        <v>9</v>
      </c>
      <c r="AR37">
        <f t="shared" si="15"/>
        <v>0.88888888888888884</v>
      </c>
      <c r="AS37">
        <f>step3_validation[[#This Row],[AI_TRU3]]</f>
        <v>8</v>
      </c>
      <c r="AT37">
        <f t="shared" si="16"/>
        <v>0.77777777777777779</v>
      </c>
      <c r="AU37">
        <f>survey_responses[[#This Row],[Tôi tin tưởng số tiền thuế tôi đóng sẽ được Nhà nước sử dụng hiệu quả để cải thiện dịch vụ công (y tế, đường xá...). - HUMAN-TRU3]]</f>
        <v>10</v>
      </c>
      <c r="AV37">
        <f t="shared" si="17"/>
        <v>1</v>
      </c>
      <c r="AW37">
        <f>step3_validation[[#This Row],[AI_TRU4]]</f>
        <v>9</v>
      </c>
      <c r="AX37">
        <f t="shared" si="18"/>
        <v>0.88888888888888884</v>
      </c>
      <c r="AY37">
        <f>survey_responses[[#This Row],[Tôi thấy Nhà nước đã giải thích rõ ràng, minh bạch về lý do và mục tiêu của việc sửa đổi thuế lần này. - HUMAN-TRU4]]</f>
        <v>10</v>
      </c>
      <c r="AZ37">
        <f t="shared" si="19"/>
        <v>1</v>
      </c>
      <c r="BA37" s="32">
        <f t="shared" si="20"/>
        <v>0.83333333333333326</v>
      </c>
      <c r="BB37" s="32">
        <f t="shared" si="21"/>
        <v>0.97222222222222221</v>
      </c>
      <c r="BC37" s="7">
        <f t="shared" si="22"/>
        <v>0.75925925925925919</v>
      </c>
      <c r="BD37" s="7">
        <f t="shared" si="23"/>
        <v>0.93518518518518512</v>
      </c>
      <c r="BE37">
        <f>step3_validation[[#This Row],[AI_OUT1]]</f>
        <v>10</v>
      </c>
      <c r="BF37">
        <f t="shared" si="24"/>
        <v>1</v>
      </c>
      <c r="BG37">
        <f>survey_responses[[#This Row],[Sau khi xem xét các quyền lợi và nghĩa vụ, bạn có ủng hộ và tuân thủ chính sách mới hiện nay? - HUMAN-OUT1]]</f>
        <v>10</v>
      </c>
      <c r="BH37">
        <f t="shared" si="25"/>
        <v>1</v>
      </c>
      <c r="BI37" s="32">
        <f t="shared" si="26"/>
        <v>0</v>
      </c>
    </row>
    <row r="38" spans="1:61" x14ac:dyDescent="0.45">
      <c r="A38" s="30">
        <f>step3_validation[[#This Row],[Persona_ID]]</f>
        <v>37</v>
      </c>
      <c r="B38" s="31">
        <f>step3_validation[[#This Row],[Used_Seed]]</f>
        <v>37</v>
      </c>
      <c r="C38" t="str">
        <f>step3_validation[[#This Row],[Gender]]</f>
        <v>Nam</v>
      </c>
      <c r="D38" t="str">
        <f>survey_responses[[#This Row],[Giới tính của bạn:]]</f>
        <v>Nam</v>
      </c>
      <c r="E38" t="str">
        <f>step3_validation[[#This Row],[Age_Group]]</f>
        <v>18 - 24</v>
      </c>
      <c r="F38" t="str">
        <f>survey_responses[[#This Row],[Độ tuổi của bạn:]]</f>
        <v>18 - 24</v>
      </c>
      <c r="G38" t="str">
        <f>step3_validation[[#This Row],[Region]]</f>
        <v>Thành thị</v>
      </c>
      <c r="H38" t="str">
        <f>survey_responses[[#This Row],[Khu vực bạn đang sinh sống:]]</f>
        <v>Thành thị</v>
      </c>
      <c r="I38" t="str">
        <f>step3_validation[[#This Row],[Education]]</f>
        <v>Đại học</v>
      </c>
      <c r="J38" t="str">
        <f>survey_responses[[#This Row],[Trình độ học vấn cao nhất:]]</f>
        <v>Đại học</v>
      </c>
      <c r="K38" t="str">
        <f>step3_validation[[#This Row],[Employment]]</f>
        <v>Chính thức</v>
      </c>
      <c r="L38" t="str">
        <f>survey_responses[[#This Row],[Tình trạng việc làm chính:]]</f>
        <v>Khu vực chính thức (Có Hợp đồng lao động, đóng BHXH)</v>
      </c>
      <c r="M38">
        <f>step3_validation[[#This Row],[Income_Mil]]</f>
        <v>15.520765158067848</v>
      </c>
      <c r="N38" t="str">
        <f>survey_responses[[#This Row],[Thu nhập bình quân tháng theo Hợp đồng lao động của bạn là bao nhiêu? (Vui lòng điền tổng thu nhập trước khi khấu trừ các loại Bảo hiểm (BHXH, BHYT, BHTN) và Thuế TNCN)]]</f>
        <v>Từ 12 - 18 triệu VNĐ</v>
      </c>
      <c r="O38">
        <f>step3_validation[[#This Row],[Dependents]]</f>
        <v>0</v>
      </c>
      <c r="P38" t="str">
        <f>survey_responses[[#This Row],[Số người phụ thuộc (con nhỏ, cha mẹ già...) đủ điều kiện giảm trừ gia cảnh:]]</f>
        <v>0 người</v>
      </c>
      <c r="Q38">
        <f>step3_validation[[#This Row],[AI_ENF1]]</f>
        <v>7</v>
      </c>
      <c r="R38">
        <f t="shared" si="0"/>
        <v>0.66666666666666663</v>
      </c>
      <c r="S38">
        <f>survey_responses[[#This Row],[Tôi tin rằng với các quy định quản lý thuế hiện nay, hành vi gian lận hoặc trốn thuế sẽ dễ dàng bị phát hiện và xử lý nghiêm. - HUMAN-ENF1]]</f>
        <v>10</v>
      </c>
      <c r="T38">
        <f t="shared" si="1"/>
        <v>1</v>
      </c>
      <c r="U38">
        <f>step3_validation[[#This Row],[AI_ENF2]]</f>
        <v>6</v>
      </c>
      <c r="V38">
        <f t="shared" si="2"/>
        <v>0.55555555555555558</v>
      </c>
      <c r="W38">
        <f>survey_responses[[#This Row],[Tôi tin rằng Nhà nước, cơ quan thuế có đủ khả năng và công nghệ để phát hiện, xử lý nghiêm các hành vi trốn thuế. - HUMAN-ENF2]]</f>
        <v>10</v>
      </c>
      <c r="X38">
        <f t="shared" si="3"/>
        <v>1</v>
      </c>
      <c r="Y38" s="32">
        <f t="shared" si="4"/>
        <v>0.61111111111111116</v>
      </c>
      <c r="Z38" s="32">
        <f t="shared" si="5"/>
        <v>1</v>
      </c>
      <c r="AA38">
        <f>step3_validation[[#This Row],[AI_FAC1]]</f>
        <v>9</v>
      </c>
      <c r="AB38">
        <f t="shared" si="6"/>
        <v>0.88888888888888884</v>
      </c>
      <c r="AC38">
        <f>survey_responses[[#This Row],[Các thủ tục khai báo thuế VÀ/HOẶC quy trình làm việc với cơ quan thuế đơn giản, tiện lợi, nhanh chóng hơn so với trước đây. - HUMAN-FAC1]]</f>
        <v>10</v>
      </c>
      <c r="AD38">
        <f t="shared" si="7"/>
        <v>1</v>
      </c>
      <c r="AE38">
        <f>step3_validation[[#This Row],[AI_FAC2]]</f>
        <v>8</v>
      </c>
      <c r="AF38">
        <f t="shared" si="8"/>
        <v>0.77777777777777779</v>
      </c>
      <c r="AG38">
        <f>survey_responses[[#This Row],[So với trước đây, tôi thấy cách tính thuế và các bậc thuế trong phương án mới đơn giản, dễ hiểu và dễ thực hiện hơn. - HUMAN-FAC2]]</f>
        <v>10</v>
      </c>
      <c r="AH38">
        <f t="shared" si="9"/>
        <v>1</v>
      </c>
      <c r="AI38" s="32">
        <f t="shared" si="10"/>
        <v>0.83333333333333326</v>
      </c>
      <c r="AJ38" s="32">
        <f t="shared" si="11"/>
        <v>1</v>
      </c>
      <c r="AK38">
        <f>step3_validation[[#This Row],[AI_TRU1]]</f>
        <v>7</v>
      </c>
      <c r="AL38">
        <f t="shared" si="12"/>
        <v>0.66666666666666663</v>
      </c>
      <c r="AM38">
        <f>survey_responses[[#This Row],[Tôi tin rằng Nhà nước, cơ quan thuế sẽ thực thi chính sách mới một cách khách quan, công tâm và đối xử bình đẳng với mọi người nộp thuế.  - HUMAN-TRU1]]</f>
        <v>9</v>
      </c>
      <c r="AN38">
        <f t="shared" si="13"/>
        <v>0.88888888888888884</v>
      </c>
      <c r="AO38">
        <f>step3_validation[[#This Row],[AI_TRU2]]</f>
        <v>9</v>
      </c>
      <c r="AP38">
        <f t="shared" si="14"/>
        <v>0.88888888888888884</v>
      </c>
      <c r="AQ38">
        <f>survey_responses[[#This Row],[Tôi thấy mức thuế tôi phải đóng theo phương án mới là công bằng (người thu nhập như tôi đóng mức này là hợp lý). - HUMAN-TRU2]]</f>
        <v>9</v>
      </c>
      <c r="AR38">
        <f t="shared" si="15"/>
        <v>0.88888888888888884</v>
      </c>
      <c r="AS38">
        <f>step3_validation[[#This Row],[AI_TRU3]]</f>
        <v>8</v>
      </c>
      <c r="AT38">
        <f t="shared" si="16"/>
        <v>0.77777777777777779</v>
      </c>
      <c r="AU38">
        <f>survey_responses[[#This Row],[Tôi tin tưởng số tiền thuế tôi đóng sẽ được Nhà nước sử dụng hiệu quả để cải thiện dịch vụ công (y tế, đường xá...). - HUMAN-TRU3]]</f>
        <v>9</v>
      </c>
      <c r="AV38">
        <f t="shared" si="17"/>
        <v>0.88888888888888884</v>
      </c>
      <c r="AW38">
        <f>step3_validation[[#This Row],[AI_TRU4]]</f>
        <v>7</v>
      </c>
      <c r="AX38">
        <f t="shared" si="18"/>
        <v>0.66666666666666663</v>
      </c>
      <c r="AY38">
        <f>survey_responses[[#This Row],[Tôi thấy Nhà nước đã giải thích rõ ràng, minh bạch về lý do và mục tiêu của việc sửa đổi thuế lần này. - HUMAN-TRU4]]</f>
        <v>9</v>
      </c>
      <c r="AZ38">
        <f t="shared" si="19"/>
        <v>0.88888888888888884</v>
      </c>
      <c r="BA38" s="32">
        <f t="shared" si="20"/>
        <v>0.74999999999999989</v>
      </c>
      <c r="BB38" s="32">
        <f t="shared" si="21"/>
        <v>0.88888888888888884</v>
      </c>
      <c r="BC38" s="7">
        <f t="shared" si="22"/>
        <v>0.7314814814814814</v>
      </c>
      <c r="BD38" s="7">
        <f t="shared" si="23"/>
        <v>0.96296296296296291</v>
      </c>
      <c r="BE38">
        <f>step3_validation[[#This Row],[AI_OUT1]]</f>
        <v>8</v>
      </c>
      <c r="BF38">
        <f t="shared" si="24"/>
        <v>0.77777777777777779</v>
      </c>
      <c r="BG38">
        <f>survey_responses[[#This Row],[Sau khi xem xét các quyền lợi và nghĩa vụ, bạn có ủng hộ và tuân thủ chính sách mới hiện nay? - HUMAN-OUT1]]</f>
        <v>8</v>
      </c>
      <c r="BH38">
        <f t="shared" si="25"/>
        <v>0.77777777777777779</v>
      </c>
      <c r="BI38" s="32">
        <f t="shared" si="26"/>
        <v>0</v>
      </c>
    </row>
    <row r="39" spans="1:61" x14ac:dyDescent="0.45">
      <c r="A39" s="30">
        <f>step3_validation[[#This Row],[Persona_ID]]</f>
        <v>38</v>
      </c>
      <c r="B39" s="31">
        <f>step3_validation[[#This Row],[Used_Seed]]</f>
        <v>38</v>
      </c>
      <c r="C39" t="str">
        <f>step3_validation[[#This Row],[Gender]]</f>
        <v>Nữ</v>
      </c>
      <c r="D39" t="str">
        <f>survey_responses[[#This Row],[Giới tính của bạn:]]</f>
        <v>Nữ</v>
      </c>
      <c r="E39" t="str">
        <f>step3_validation[[#This Row],[Age_Group]]</f>
        <v>30 - 39</v>
      </c>
      <c r="F39" t="str">
        <f>survey_responses[[#This Row],[Độ tuổi của bạn:]]</f>
        <v>30 - 39</v>
      </c>
      <c r="G39" t="str">
        <f>step3_validation[[#This Row],[Region]]</f>
        <v>Thành thị</v>
      </c>
      <c r="H39" t="str">
        <f>survey_responses[[#This Row],[Khu vực bạn đang sinh sống:]]</f>
        <v>Thành thị</v>
      </c>
      <c r="I39" t="str">
        <f>step3_validation[[#This Row],[Education]]</f>
        <v>Đại học</v>
      </c>
      <c r="J39" t="str">
        <f>survey_responses[[#This Row],[Trình độ học vấn cao nhất:]]</f>
        <v>Đại học</v>
      </c>
      <c r="K39" t="str">
        <f>step3_validation[[#This Row],[Employment]]</f>
        <v>Chính thức</v>
      </c>
      <c r="L39" t="str">
        <f>survey_responses[[#This Row],[Tình trạng việc làm chính:]]</f>
        <v>Khu vực chính thức (Có Hợp đồng lao động, đóng BHXH)</v>
      </c>
      <c r="M39">
        <f>step3_validation[[#This Row],[Income_Mil]]</f>
        <v>39.286415672568012</v>
      </c>
      <c r="N39" t="str">
        <f>survey_responses[[#This Row],[Thu nhập bình quân tháng theo Hợp đồng lao động của bạn là bao nhiêu? (Vui lòng điền tổng thu nhập trước khi khấu trừ các loại Bảo hiểm (BHXH, BHYT, BHTN) và Thuế TNCN)]]</f>
        <v>Từ 32 - 48 triệu VNĐ</v>
      </c>
      <c r="O39">
        <f>step3_validation[[#This Row],[Dependents]]</f>
        <v>1</v>
      </c>
      <c r="P39" t="str">
        <f>survey_responses[[#This Row],[Số người phụ thuộc (con nhỏ, cha mẹ già...) đủ điều kiện giảm trừ gia cảnh:]]</f>
        <v>1 người</v>
      </c>
      <c r="Q39">
        <f>step3_validation[[#This Row],[AI_ENF1]]</f>
        <v>7</v>
      </c>
      <c r="R39">
        <f t="shared" si="0"/>
        <v>0.66666666666666663</v>
      </c>
      <c r="S39">
        <f>survey_responses[[#This Row],[Tôi tin rằng với các quy định quản lý thuế hiện nay, hành vi gian lận hoặc trốn thuế sẽ dễ dàng bị phát hiện và xử lý nghiêm. - HUMAN-ENF1]]</f>
        <v>8</v>
      </c>
      <c r="T39">
        <f t="shared" si="1"/>
        <v>0.77777777777777779</v>
      </c>
      <c r="U39">
        <f>step3_validation[[#This Row],[AI_ENF2]]</f>
        <v>6</v>
      </c>
      <c r="V39">
        <f t="shared" si="2"/>
        <v>0.55555555555555558</v>
      </c>
      <c r="W39">
        <f>survey_responses[[#This Row],[Tôi tin rằng Nhà nước, cơ quan thuế có đủ khả năng và công nghệ để phát hiện, xử lý nghiêm các hành vi trốn thuế. - HUMAN-ENF2]]</f>
        <v>8</v>
      </c>
      <c r="X39">
        <f t="shared" si="3"/>
        <v>0.77777777777777779</v>
      </c>
      <c r="Y39" s="32">
        <f t="shared" si="4"/>
        <v>0.61111111111111116</v>
      </c>
      <c r="Z39" s="32">
        <f t="shared" si="5"/>
        <v>0.77777777777777779</v>
      </c>
      <c r="AA39">
        <f>step3_validation[[#This Row],[AI_FAC1]]</f>
        <v>8</v>
      </c>
      <c r="AB39">
        <f t="shared" si="6"/>
        <v>0.77777777777777779</v>
      </c>
      <c r="AC39">
        <f>survey_responses[[#This Row],[Các thủ tục khai báo thuế VÀ/HOẶC quy trình làm việc với cơ quan thuế đơn giản, tiện lợi, nhanh chóng hơn so với trước đây. - HUMAN-FAC1]]</f>
        <v>8</v>
      </c>
      <c r="AD39">
        <f t="shared" si="7"/>
        <v>0.77777777777777779</v>
      </c>
      <c r="AE39">
        <f>step3_validation[[#This Row],[AI_FAC2]]</f>
        <v>9</v>
      </c>
      <c r="AF39">
        <f t="shared" si="8"/>
        <v>0.88888888888888884</v>
      </c>
      <c r="AG39">
        <f>survey_responses[[#This Row],[So với trước đây, tôi thấy cách tính thuế và các bậc thuế trong phương án mới đơn giản, dễ hiểu và dễ thực hiện hơn. - HUMAN-FAC2]]</f>
        <v>8</v>
      </c>
      <c r="AH39">
        <f t="shared" si="9"/>
        <v>0.77777777777777779</v>
      </c>
      <c r="AI39" s="32">
        <f t="shared" si="10"/>
        <v>0.83333333333333326</v>
      </c>
      <c r="AJ39" s="32">
        <f t="shared" si="11"/>
        <v>0.77777777777777779</v>
      </c>
      <c r="AK39">
        <f>step3_validation[[#This Row],[AI_TRU1]]</f>
        <v>7</v>
      </c>
      <c r="AL39">
        <f t="shared" si="12"/>
        <v>0.66666666666666663</v>
      </c>
      <c r="AM39">
        <f>survey_responses[[#This Row],[Tôi tin rằng Nhà nước, cơ quan thuế sẽ thực thi chính sách mới một cách khách quan, công tâm và đối xử bình đẳng với mọi người nộp thuế.  - HUMAN-TRU1]]</f>
        <v>8</v>
      </c>
      <c r="AN39">
        <f t="shared" si="13"/>
        <v>0.77777777777777779</v>
      </c>
      <c r="AO39">
        <f>step3_validation[[#This Row],[AI_TRU2]]</f>
        <v>8</v>
      </c>
      <c r="AP39">
        <f t="shared" si="14"/>
        <v>0.77777777777777779</v>
      </c>
      <c r="AQ39">
        <f>survey_responses[[#This Row],[Tôi thấy mức thuế tôi phải đóng theo phương án mới là công bằng (người thu nhập như tôi đóng mức này là hợp lý). - HUMAN-TRU2]]</f>
        <v>8</v>
      </c>
      <c r="AR39">
        <f t="shared" si="15"/>
        <v>0.77777777777777779</v>
      </c>
      <c r="AS39">
        <f>step3_validation[[#This Row],[AI_TRU3]]</f>
        <v>7</v>
      </c>
      <c r="AT39">
        <f t="shared" si="16"/>
        <v>0.66666666666666663</v>
      </c>
      <c r="AU39">
        <f>survey_responses[[#This Row],[Tôi tin tưởng số tiền thuế tôi đóng sẽ được Nhà nước sử dụng hiệu quả để cải thiện dịch vụ công (y tế, đường xá...). - HUMAN-TRU3]]</f>
        <v>8</v>
      </c>
      <c r="AV39">
        <f t="shared" si="17"/>
        <v>0.77777777777777779</v>
      </c>
      <c r="AW39">
        <f>step3_validation[[#This Row],[AI_TRU4]]</f>
        <v>8</v>
      </c>
      <c r="AX39">
        <f t="shared" si="18"/>
        <v>0.77777777777777779</v>
      </c>
      <c r="AY39">
        <f>survey_responses[[#This Row],[Tôi thấy Nhà nước đã giải thích rõ ràng, minh bạch về lý do và mục tiêu của việc sửa đổi thuế lần này. - HUMAN-TRU4]]</f>
        <v>8</v>
      </c>
      <c r="AZ39">
        <f t="shared" si="19"/>
        <v>0.77777777777777779</v>
      </c>
      <c r="BA39" s="32">
        <f t="shared" si="20"/>
        <v>0.72222222222222221</v>
      </c>
      <c r="BB39" s="32">
        <f t="shared" si="21"/>
        <v>0.77777777777777779</v>
      </c>
      <c r="BC39" s="7">
        <f t="shared" si="22"/>
        <v>0.72222222222222221</v>
      </c>
      <c r="BD39" s="7">
        <f t="shared" si="23"/>
        <v>0.77777777777777779</v>
      </c>
      <c r="BE39">
        <f>step3_validation[[#This Row],[AI_OUT1]]</f>
        <v>9</v>
      </c>
      <c r="BF39">
        <f t="shared" si="24"/>
        <v>0.88888888888888884</v>
      </c>
      <c r="BG39">
        <f>survey_responses[[#This Row],[Sau khi xem xét các quyền lợi và nghĩa vụ, bạn có ủng hộ và tuân thủ chính sách mới hiện nay? - HUMAN-OUT1]]</f>
        <v>8</v>
      </c>
      <c r="BH39">
        <f t="shared" si="25"/>
        <v>0.77777777777777779</v>
      </c>
      <c r="BI39" s="32">
        <f t="shared" si="26"/>
        <v>1</v>
      </c>
    </row>
    <row r="40" spans="1:61" x14ac:dyDescent="0.45">
      <c r="A40" s="30">
        <f>step3_validation[[#This Row],[Persona_ID]]</f>
        <v>39</v>
      </c>
      <c r="B40" s="31">
        <f>step3_validation[[#This Row],[Used_Seed]]</f>
        <v>39</v>
      </c>
      <c r="C40" t="str">
        <f>step3_validation[[#This Row],[Gender]]</f>
        <v>Nam</v>
      </c>
      <c r="D40" t="str">
        <f>survey_responses[[#This Row],[Giới tính của bạn:]]</f>
        <v>Nam</v>
      </c>
      <c r="E40" t="str">
        <f>step3_validation[[#This Row],[Age_Group]]</f>
        <v>25 - 29</v>
      </c>
      <c r="F40" t="str">
        <f>survey_responses[[#This Row],[Độ tuổi của bạn:]]</f>
        <v>25 - 29</v>
      </c>
      <c r="G40" t="str">
        <f>step3_validation[[#This Row],[Region]]</f>
        <v>Thành thị</v>
      </c>
      <c r="H40" t="str">
        <f>survey_responses[[#This Row],[Khu vực bạn đang sinh sống:]]</f>
        <v>Thành thị</v>
      </c>
      <c r="I40" t="str">
        <f>step3_validation[[#This Row],[Education]]</f>
        <v>Đại học</v>
      </c>
      <c r="J40" t="str">
        <f>survey_responses[[#This Row],[Trình độ học vấn cao nhất:]]</f>
        <v>Đại học</v>
      </c>
      <c r="K40" t="str">
        <f>step3_validation[[#This Row],[Employment]]</f>
        <v>Chính thức</v>
      </c>
      <c r="L40" t="str">
        <f>survey_responses[[#This Row],[Tình trạng việc làm chính:]]</f>
        <v>Khu vực chính thức (Có Hợp đồng lao động, đóng BHXH)</v>
      </c>
      <c r="M40">
        <f>step3_validation[[#This Row],[Income_Mil]]</f>
        <v>14.50855978575704</v>
      </c>
      <c r="N40" t="str">
        <f>survey_responses[[#This Row],[Thu nhập bình quân tháng theo Hợp đồng lao động của bạn là bao nhiêu? (Vui lòng điền tổng thu nhập trước khi khấu trừ các loại Bảo hiểm (BHXH, BHYT, BHTN) và Thuế TNCN)]]</f>
        <v>Từ 12 - 18 triệu VNĐ</v>
      </c>
      <c r="O40">
        <f>step3_validation[[#This Row],[Dependents]]</f>
        <v>0</v>
      </c>
      <c r="P40" t="str">
        <f>survey_responses[[#This Row],[Số người phụ thuộc (con nhỏ, cha mẹ già...) đủ điều kiện giảm trừ gia cảnh:]]</f>
        <v>0 người</v>
      </c>
      <c r="Q40">
        <f>step3_validation[[#This Row],[AI_ENF1]]</f>
        <v>5</v>
      </c>
      <c r="R40">
        <f t="shared" si="0"/>
        <v>0.44444444444444442</v>
      </c>
      <c r="S40">
        <f>survey_responses[[#This Row],[Tôi tin rằng với các quy định quản lý thuế hiện nay, hành vi gian lận hoặc trốn thuế sẽ dễ dàng bị phát hiện và xử lý nghiêm. - HUMAN-ENF1]]</f>
        <v>10</v>
      </c>
      <c r="T40">
        <f t="shared" si="1"/>
        <v>1</v>
      </c>
      <c r="U40">
        <f>step3_validation[[#This Row],[AI_ENF2]]</f>
        <v>6</v>
      </c>
      <c r="V40">
        <f t="shared" si="2"/>
        <v>0.55555555555555558</v>
      </c>
      <c r="W40">
        <f>survey_responses[[#This Row],[Tôi tin rằng Nhà nước, cơ quan thuế có đủ khả năng và công nghệ để phát hiện, xử lý nghiêm các hành vi trốn thuế. - HUMAN-ENF2]]</f>
        <v>10</v>
      </c>
      <c r="X40">
        <f t="shared" si="3"/>
        <v>1</v>
      </c>
      <c r="Y40" s="32">
        <f t="shared" si="4"/>
        <v>0.5</v>
      </c>
      <c r="Z40" s="32">
        <f t="shared" si="5"/>
        <v>1</v>
      </c>
      <c r="AA40">
        <f>step3_validation[[#This Row],[AI_FAC1]]</f>
        <v>7</v>
      </c>
      <c r="AB40">
        <f t="shared" si="6"/>
        <v>0.66666666666666663</v>
      </c>
      <c r="AC40">
        <f>survey_responses[[#This Row],[Các thủ tục khai báo thuế VÀ/HOẶC quy trình làm việc với cơ quan thuế đơn giản, tiện lợi, nhanh chóng hơn so với trước đây. - HUMAN-FAC1]]</f>
        <v>10</v>
      </c>
      <c r="AD40">
        <f t="shared" si="7"/>
        <v>1</v>
      </c>
      <c r="AE40">
        <f>step3_validation[[#This Row],[AI_FAC2]]</f>
        <v>8</v>
      </c>
      <c r="AF40">
        <f t="shared" si="8"/>
        <v>0.77777777777777779</v>
      </c>
      <c r="AG40">
        <f>survey_responses[[#This Row],[So với trước đây, tôi thấy cách tính thuế và các bậc thuế trong phương án mới đơn giản, dễ hiểu và dễ thực hiện hơn. - HUMAN-FAC2]]</f>
        <v>10</v>
      </c>
      <c r="AH40">
        <f t="shared" si="9"/>
        <v>1</v>
      </c>
      <c r="AI40" s="32">
        <f t="shared" si="10"/>
        <v>0.72222222222222221</v>
      </c>
      <c r="AJ40" s="32">
        <f t="shared" si="11"/>
        <v>1</v>
      </c>
      <c r="AK40">
        <f>step3_validation[[#This Row],[AI_TRU1]]</f>
        <v>7</v>
      </c>
      <c r="AL40">
        <f t="shared" si="12"/>
        <v>0.66666666666666663</v>
      </c>
      <c r="AM40">
        <f>survey_responses[[#This Row],[Tôi tin rằng Nhà nước, cơ quan thuế sẽ thực thi chính sách mới một cách khách quan, công tâm và đối xử bình đẳng với mọi người nộp thuế.  - HUMAN-TRU1]]</f>
        <v>10</v>
      </c>
      <c r="AN40">
        <f t="shared" si="13"/>
        <v>1</v>
      </c>
      <c r="AO40">
        <f>step3_validation[[#This Row],[AI_TRU2]]</f>
        <v>9</v>
      </c>
      <c r="AP40">
        <f t="shared" si="14"/>
        <v>0.88888888888888884</v>
      </c>
      <c r="AQ40">
        <f>survey_responses[[#This Row],[Tôi thấy mức thuế tôi phải đóng theo phương án mới là công bằng (người thu nhập như tôi đóng mức này là hợp lý). - HUMAN-TRU2]]</f>
        <v>10</v>
      </c>
      <c r="AR40">
        <f t="shared" si="15"/>
        <v>1</v>
      </c>
      <c r="AS40">
        <f>step3_validation[[#This Row],[AI_TRU3]]</f>
        <v>7</v>
      </c>
      <c r="AT40">
        <f t="shared" si="16"/>
        <v>0.66666666666666663</v>
      </c>
      <c r="AU40">
        <f>survey_responses[[#This Row],[Tôi tin tưởng số tiền thuế tôi đóng sẽ được Nhà nước sử dụng hiệu quả để cải thiện dịch vụ công (y tế, đường xá...). - HUMAN-TRU3]]</f>
        <v>10</v>
      </c>
      <c r="AV40">
        <f t="shared" si="17"/>
        <v>1</v>
      </c>
      <c r="AW40">
        <f>step3_validation[[#This Row],[AI_TRU4]]</f>
        <v>6</v>
      </c>
      <c r="AX40">
        <f t="shared" si="18"/>
        <v>0.55555555555555558</v>
      </c>
      <c r="AY40">
        <f>survey_responses[[#This Row],[Tôi thấy Nhà nước đã giải thích rõ ràng, minh bạch về lý do và mục tiêu của việc sửa đổi thuế lần này. - HUMAN-TRU4]]</f>
        <v>10</v>
      </c>
      <c r="AZ40">
        <f t="shared" si="19"/>
        <v>1</v>
      </c>
      <c r="BA40" s="32">
        <f t="shared" si="20"/>
        <v>0.69444444444444442</v>
      </c>
      <c r="BB40" s="32">
        <f t="shared" si="21"/>
        <v>1</v>
      </c>
      <c r="BC40" s="7">
        <f t="shared" si="22"/>
        <v>0.63888888888888895</v>
      </c>
      <c r="BD40" s="7">
        <f t="shared" si="23"/>
        <v>1</v>
      </c>
      <c r="BE40">
        <f>step3_validation[[#This Row],[AI_OUT1]]</f>
        <v>9</v>
      </c>
      <c r="BF40">
        <f t="shared" si="24"/>
        <v>0.88888888888888884</v>
      </c>
      <c r="BG40">
        <f>survey_responses[[#This Row],[Sau khi xem xét các quyền lợi và nghĩa vụ, bạn có ủng hộ và tuân thủ chính sách mới hiện nay? - HUMAN-OUT1]]</f>
        <v>10</v>
      </c>
      <c r="BH40">
        <f t="shared" si="25"/>
        <v>1</v>
      </c>
      <c r="BI40" s="32">
        <f t="shared" si="26"/>
        <v>1</v>
      </c>
    </row>
    <row r="41" spans="1:61" x14ac:dyDescent="0.45">
      <c r="A41" s="30">
        <f>step3_validation[[#This Row],[Persona_ID]]</f>
        <v>40</v>
      </c>
      <c r="B41" s="31">
        <f>step3_validation[[#This Row],[Used_Seed]]</f>
        <v>40</v>
      </c>
      <c r="C41" t="str">
        <f>step3_validation[[#This Row],[Gender]]</f>
        <v>Nam</v>
      </c>
      <c r="D41" t="str">
        <f>survey_responses[[#This Row],[Giới tính của bạn:]]</f>
        <v>Nam</v>
      </c>
      <c r="E41" t="str">
        <f>step3_validation[[#This Row],[Age_Group]]</f>
        <v>30 - 39</v>
      </c>
      <c r="F41" t="str">
        <f>survey_responses[[#This Row],[Độ tuổi của bạn:]]</f>
        <v>30 - 39</v>
      </c>
      <c r="G41" t="str">
        <f>step3_validation[[#This Row],[Region]]</f>
        <v>Thành thị</v>
      </c>
      <c r="H41" t="str">
        <f>survey_responses[[#This Row],[Khu vực bạn đang sinh sống:]]</f>
        <v>Thành thị</v>
      </c>
      <c r="I41" t="str">
        <f>step3_validation[[#This Row],[Education]]</f>
        <v>Đại học</v>
      </c>
      <c r="J41" t="str">
        <f>survey_responses[[#This Row],[Trình độ học vấn cao nhất:]]</f>
        <v>Đại học</v>
      </c>
      <c r="K41" t="str">
        <f>step3_validation[[#This Row],[Employment]]</f>
        <v>Chính thức</v>
      </c>
      <c r="L41" t="str">
        <f>survey_responses[[#This Row],[Tình trạng việc làm chính:]]</f>
        <v>Khu vực chính thức (Có Hợp đồng lao động, đóng BHXH)</v>
      </c>
      <c r="M41">
        <f>step3_validation[[#This Row],[Income_Mil]]</f>
        <v>210.0249772991782</v>
      </c>
      <c r="N41" t="str">
        <f>survey_responses[[#This Row],[Thu nhập bình quân tháng theo Hợp đồng lao động của bạn là bao nhiêu? (Vui lòng điền tổng thu nhập trước khi khấu trừ các loại Bảo hiểm (BHXH, BHYT, BHTN) và Thuế TNCN)]]</f>
        <v>Trên 102 triệu VNĐ</v>
      </c>
      <c r="O41">
        <f>step3_validation[[#This Row],[Dependents]]</f>
        <v>1</v>
      </c>
      <c r="P41" t="str">
        <f>survey_responses[[#This Row],[Số người phụ thuộc (con nhỏ, cha mẹ già...) đủ điều kiện giảm trừ gia cảnh:]]</f>
        <v>1 người</v>
      </c>
      <c r="Q41">
        <f>step3_validation[[#This Row],[AI_ENF1]]</f>
        <v>7</v>
      </c>
      <c r="R41">
        <f t="shared" si="0"/>
        <v>0.66666666666666663</v>
      </c>
      <c r="S41">
        <f>survey_responses[[#This Row],[Tôi tin rằng với các quy định quản lý thuế hiện nay, hành vi gian lận hoặc trốn thuế sẽ dễ dàng bị phát hiện và xử lý nghiêm. - HUMAN-ENF1]]</f>
        <v>8</v>
      </c>
      <c r="T41">
        <f t="shared" si="1"/>
        <v>0.77777777777777779</v>
      </c>
      <c r="U41">
        <f>step3_validation[[#This Row],[AI_ENF2]]</f>
        <v>8</v>
      </c>
      <c r="V41">
        <f t="shared" si="2"/>
        <v>0.77777777777777779</v>
      </c>
      <c r="W41">
        <f>survey_responses[[#This Row],[Tôi tin rằng Nhà nước, cơ quan thuế có đủ khả năng và công nghệ để phát hiện, xử lý nghiêm các hành vi trốn thuế. - HUMAN-ENF2]]</f>
        <v>8</v>
      </c>
      <c r="X41">
        <f t="shared" si="3"/>
        <v>0.77777777777777779</v>
      </c>
      <c r="Y41" s="32">
        <f t="shared" si="4"/>
        <v>0.72222222222222221</v>
      </c>
      <c r="Z41" s="32">
        <f t="shared" si="5"/>
        <v>0.77777777777777779</v>
      </c>
      <c r="AA41">
        <f>step3_validation[[#This Row],[AI_FAC1]]</f>
        <v>6</v>
      </c>
      <c r="AB41">
        <f t="shared" si="6"/>
        <v>0.55555555555555558</v>
      </c>
      <c r="AC41">
        <f>survey_responses[[#This Row],[Các thủ tục khai báo thuế VÀ/HOẶC quy trình làm việc với cơ quan thuế đơn giản, tiện lợi, nhanh chóng hơn so với trước đây. - HUMAN-FAC1]]</f>
        <v>6</v>
      </c>
      <c r="AD41">
        <f t="shared" si="7"/>
        <v>0.55555555555555558</v>
      </c>
      <c r="AE41">
        <f>step3_validation[[#This Row],[AI_FAC2]]</f>
        <v>9</v>
      </c>
      <c r="AF41">
        <f t="shared" si="8"/>
        <v>0.88888888888888884</v>
      </c>
      <c r="AG41">
        <f>survey_responses[[#This Row],[So với trước đây, tôi thấy cách tính thuế và các bậc thuế trong phương án mới đơn giản, dễ hiểu và dễ thực hiện hơn. - HUMAN-FAC2]]</f>
        <v>8</v>
      </c>
      <c r="AH41">
        <f t="shared" si="9"/>
        <v>0.77777777777777779</v>
      </c>
      <c r="AI41" s="32">
        <f t="shared" si="10"/>
        <v>0.72222222222222221</v>
      </c>
      <c r="AJ41" s="32">
        <f t="shared" si="11"/>
        <v>0.66666666666666674</v>
      </c>
      <c r="AK41">
        <f>step3_validation[[#This Row],[AI_TRU1]]</f>
        <v>7</v>
      </c>
      <c r="AL41">
        <f t="shared" si="12"/>
        <v>0.66666666666666663</v>
      </c>
      <c r="AM41">
        <f>survey_responses[[#This Row],[Tôi tin rằng Nhà nước, cơ quan thuế sẽ thực thi chính sách mới một cách khách quan, công tâm và đối xử bình đẳng với mọi người nộp thuế.  - HUMAN-TRU1]]</f>
        <v>7</v>
      </c>
      <c r="AN41">
        <f t="shared" si="13"/>
        <v>0.66666666666666663</v>
      </c>
      <c r="AO41">
        <f>step3_validation[[#This Row],[AI_TRU2]]</f>
        <v>8</v>
      </c>
      <c r="AP41">
        <f t="shared" si="14"/>
        <v>0.77777777777777779</v>
      </c>
      <c r="AQ41">
        <f>survey_responses[[#This Row],[Tôi thấy mức thuế tôi phải đóng theo phương án mới là công bằng (người thu nhập như tôi đóng mức này là hợp lý). - HUMAN-TRU2]]</f>
        <v>8</v>
      </c>
      <c r="AR41">
        <f t="shared" si="15"/>
        <v>0.77777777777777779</v>
      </c>
      <c r="AS41">
        <f>step3_validation[[#This Row],[AI_TRU3]]</f>
        <v>7</v>
      </c>
      <c r="AT41">
        <f t="shared" si="16"/>
        <v>0.66666666666666663</v>
      </c>
      <c r="AU41">
        <f>survey_responses[[#This Row],[Tôi tin tưởng số tiền thuế tôi đóng sẽ được Nhà nước sử dụng hiệu quả để cải thiện dịch vụ công (y tế, đường xá...). - HUMAN-TRU3]]</f>
        <v>5</v>
      </c>
      <c r="AV41">
        <f t="shared" si="17"/>
        <v>0.44444444444444442</v>
      </c>
      <c r="AW41">
        <f>step3_validation[[#This Row],[AI_TRU4]]</f>
        <v>8</v>
      </c>
      <c r="AX41">
        <f t="shared" si="18"/>
        <v>0.77777777777777779</v>
      </c>
      <c r="AY41">
        <f>survey_responses[[#This Row],[Tôi thấy Nhà nước đã giải thích rõ ràng, minh bạch về lý do và mục tiêu của việc sửa đổi thuế lần này. - HUMAN-TRU4]]</f>
        <v>6</v>
      </c>
      <c r="AZ41">
        <f t="shared" si="19"/>
        <v>0.55555555555555558</v>
      </c>
      <c r="BA41" s="32">
        <f t="shared" si="20"/>
        <v>0.72222222222222221</v>
      </c>
      <c r="BB41" s="32">
        <f t="shared" si="21"/>
        <v>0.61111111111111116</v>
      </c>
      <c r="BC41" s="7">
        <f t="shared" si="22"/>
        <v>0.72222222222222221</v>
      </c>
      <c r="BD41" s="7">
        <f t="shared" si="23"/>
        <v>0.68518518518518523</v>
      </c>
      <c r="BE41">
        <f>step3_validation[[#This Row],[AI_OUT1]]</f>
        <v>9</v>
      </c>
      <c r="BF41">
        <f t="shared" si="24"/>
        <v>0.88888888888888884</v>
      </c>
      <c r="BG41">
        <f>survey_responses[[#This Row],[Sau khi xem xét các quyền lợi và nghĩa vụ, bạn có ủng hộ và tuân thủ chính sách mới hiện nay? - HUMAN-OUT1]]</f>
        <v>7</v>
      </c>
      <c r="BH41">
        <f t="shared" si="25"/>
        <v>0.66666666666666663</v>
      </c>
      <c r="BI41" s="32">
        <f t="shared" si="26"/>
        <v>2</v>
      </c>
    </row>
    <row r="42" spans="1:61" x14ac:dyDescent="0.45">
      <c r="A42" s="30">
        <f>step3_validation[[#This Row],[Persona_ID]]</f>
        <v>41</v>
      </c>
      <c r="B42" s="31">
        <f>step3_validation[[#This Row],[Used_Seed]]</f>
        <v>41</v>
      </c>
      <c r="C42" t="str">
        <f>step3_validation[[#This Row],[Gender]]</f>
        <v>Nam</v>
      </c>
      <c r="D42" t="str">
        <f>survey_responses[[#This Row],[Giới tính của bạn:]]</f>
        <v>Nam</v>
      </c>
      <c r="E42" t="str">
        <f>step3_validation[[#This Row],[Age_Group]]</f>
        <v>30 - 39</v>
      </c>
      <c r="F42" t="str">
        <f>survey_responses[[#This Row],[Độ tuổi của bạn:]]</f>
        <v>30 - 39</v>
      </c>
      <c r="G42" t="str">
        <f>step3_validation[[#This Row],[Region]]</f>
        <v>Thành thị</v>
      </c>
      <c r="H42" t="str">
        <f>survey_responses[[#This Row],[Khu vực bạn đang sinh sống:]]</f>
        <v>Thành thị</v>
      </c>
      <c r="I42" t="str">
        <f>step3_validation[[#This Row],[Education]]</f>
        <v>Đại học</v>
      </c>
      <c r="J42" t="str">
        <f>survey_responses[[#This Row],[Trình độ học vấn cao nhất:]]</f>
        <v>Đại học</v>
      </c>
      <c r="K42" t="str">
        <f>step3_validation[[#This Row],[Employment]]</f>
        <v>Chính thức</v>
      </c>
      <c r="L42" t="str">
        <f>survey_responses[[#This Row],[Tình trạng việc làm chính:]]</f>
        <v>Khu vực chính thức (Có Hợp đồng lao động, đóng BHXH)</v>
      </c>
      <c r="M42">
        <f>step3_validation[[#This Row],[Income_Mil]]</f>
        <v>99.578684191822148</v>
      </c>
      <c r="N42" t="str">
        <f>survey_responses[[#This Row],[Thu nhập bình quân tháng theo Hợp đồng lao động của bạn là bao nhiêu? (Vui lòng điền tổng thu nhập trước khi khấu trừ các loại Bảo hiểm (BHXH, BHYT, BHTN) và Thuế TNCN)]]</f>
        <v>Từ 70 - 102 triệu VNĐ</v>
      </c>
      <c r="O42">
        <f>step3_validation[[#This Row],[Dependents]]</f>
        <v>2</v>
      </c>
      <c r="P42" t="str">
        <f>survey_responses[[#This Row],[Số người phụ thuộc (con nhỏ, cha mẹ già...) đủ điều kiện giảm trừ gia cảnh:]]</f>
        <v>2 người</v>
      </c>
      <c r="Q42">
        <f>step3_validation[[#This Row],[AI_ENF1]]</f>
        <v>7</v>
      </c>
      <c r="R42">
        <f t="shared" si="0"/>
        <v>0.66666666666666663</v>
      </c>
      <c r="S42">
        <f>survey_responses[[#This Row],[Tôi tin rằng với các quy định quản lý thuế hiện nay, hành vi gian lận hoặc trốn thuế sẽ dễ dàng bị phát hiện và xử lý nghiêm. - HUMAN-ENF1]]</f>
        <v>9</v>
      </c>
      <c r="T42">
        <f t="shared" si="1"/>
        <v>0.88888888888888884</v>
      </c>
      <c r="U42">
        <f>step3_validation[[#This Row],[AI_ENF2]]</f>
        <v>8</v>
      </c>
      <c r="V42">
        <f t="shared" si="2"/>
        <v>0.77777777777777779</v>
      </c>
      <c r="W42">
        <f>survey_responses[[#This Row],[Tôi tin rằng Nhà nước, cơ quan thuế có đủ khả năng và công nghệ để phát hiện, xử lý nghiêm các hành vi trốn thuế. - HUMAN-ENF2]]</f>
        <v>8</v>
      </c>
      <c r="X42">
        <f t="shared" si="3"/>
        <v>0.77777777777777779</v>
      </c>
      <c r="Y42" s="32">
        <f t="shared" si="4"/>
        <v>0.72222222222222221</v>
      </c>
      <c r="Z42" s="32">
        <f t="shared" si="5"/>
        <v>0.83333333333333326</v>
      </c>
      <c r="AA42">
        <f>step3_validation[[#This Row],[AI_FAC1]]</f>
        <v>9</v>
      </c>
      <c r="AB42">
        <f t="shared" si="6"/>
        <v>0.88888888888888884</v>
      </c>
      <c r="AC42">
        <f>survey_responses[[#This Row],[Các thủ tục khai báo thuế VÀ/HOẶC quy trình làm việc với cơ quan thuế đơn giản, tiện lợi, nhanh chóng hơn so với trước đây. - HUMAN-FAC1]]</f>
        <v>7</v>
      </c>
      <c r="AD42">
        <f t="shared" si="7"/>
        <v>0.66666666666666663</v>
      </c>
      <c r="AE42">
        <f>step3_validation[[#This Row],[AI_FAC2]]</f>
        <v>9</v>
      </c>
      <c r="AF42">
        <f t="shared" si="8"/>
        <v>0.88888888888888884</v>
      </c>
      <c r="AG42">
        <f>survey_responses[[#This Row],[So với trước đây, tôi thấy cách tính thuế và các bậc thuế trong phương án mới đơn giản, dễ hiểu và dễ thực hiện hơn. - HUMAN-FAC2]]</f>
        <v>8</v>
      </c>
      <c r="AH42">
        <f t="shared" si="9"/>
        <v>0.77777777777777779</v>
      </c>
      <c r="AI42" s="32">
        <f t="shared" si="10"/>
        <v>0.88888888888888884</v>
      </c>
      <c r="AJ42" s="32">
        <f t="shared" si="11"/>
        <v>0.72222222222222221</v>
      </c>
      <c r="AK42">
        <f>step3_validation[[#This Row],[AI_TRU1]]</f>
        <v>7</v>
      </c>
      <c r="AL42">
        <f t="shared" si="12"/>
        <v>0.66666666666666663</v>
      </c>
      <c r="AM42">
        <f>survey_responses[[#This Row],[Tôi tin rằng Nhà nước, cơ quan thuế sẽ thực thi chính sách mới một cách khách quan, công tâm và đối xử bình đẳng với mọi người nộp thuế.  - HUMAN-TRU1]]</f>
        <v>7</v>
      </c>
      <c r="AN42">
        <f t="shared" si="13"/>
        <v>0.66666666666666663</v>
      </c>
      <c r="AO42">
        <f>step3_validation[[#This Row],[AI_TRU2]]</f>
        <v>9</v>
      </c>
      <c r="AP42">
        <f t="shared" si="14"/>
        <v>0.88888888888888884</v>
      </c>
      <c r="AQ42">
        <f>survey_responses[[#This Row],[Tôi thấy mức thuế tôi phải đóng theo phương án mới là công bằng (người thu nhập như tôi đóng mức này là hợp lý). - HUMAN-TRU2]]</f>
        <v>4</v>
      </c>
      <c r="AR42">
        <f t="shared" si="15"/>
        <v>0.33333333333333331</v>
      </c>
      <c r="AS42">
        <f>step3_validation[[#This Row],[AI_TRU3]]</f>
        <v>8</v>
      </c>
      <c r="AT42">
        <f t="shared" si="16"/>
        <v>0.77777777777777779</v>
      </c>
      <c r="AU42">
        <f>survey_responses[[#This Row],[Tôi tin tưởng số tiền thuế tôi đóng sẽ được Nhà nước sử dụng hiệu quả để cải thiện dịch vụ công (y tế, đường xá...). - HUMAN-TRU3]]</f>
        <v>2</v>
      </c>
      <c r="AV42">
        <f t="shared" si="17"/>
        <v>0.1111111111111111</v>
      </c>
      <c r="AW42">
        <f>step3_validation[[#This Row],[AI_TRU4]]</f>
        <v>7</v>
      </c>
      <c r="AX42">
        <f t="shared" si="18"/>
        <v>0.66666666666666663</v>
      </c>
      <c r="AY42">
        <f>survey_responses[[#This Row],[Tôi thấy Nhà nước đã giải thích rõ ràng, minh bạch về lý do và mục tiêu của việc sửa đổi thuế lần này. - HUMAN-TRU4]]</f>
        <v>8</v>
      </c>
      <c r="AZ42">
        <f t="shared" si="19"/>
        <v>0.77777777777777779</v>
      </c>
      <c r="BA42" s="32">
        <f t="shared" si="20"/>
        <v>0.74999999999999989</v>
      </c>
      <c r="BB42" s="32">
        <f t="shared" si="21"/>
        <v>0.47222222222222221</v>
      </c>
      <c r="BC42" s="7">
        <f t="shared" si="22"/>
        <v>0.78703703703703709</v>
      </c>
      <c r="BD42" s="7">
        <f t="shared" si="23"/>
        <v>0.67592592592592593</v>
      </c>
      <c r="BE42">
        <f>step3_validation[[#This Row],[AI_OUT1]]</f>
        <v>9</v>
      </c>
      <c r="BF42">
        <f t="shared" si="24"/>
        <v>0.88888888888888884</v>
      </c>
      <c r="BG42">
        <f>survey_responses[[#This Row],[Sau khi xem xét các quyền lợi và nghĩa vụ, bạn có ủng hộ và tuân thủ chính sách mới hiện nay? - HUMAN-OUT1]]</f>
        <v>8</v>
      </c>
      <c r="BH42">
        <f t="shared" si="25"/>
        <v>0.77777777777777779</v>
      </c>
      <c r="BI42" s="32">
        <f t="shared" si="26"/>
        <v>1</v>
      </c>
    </row>
    <row r="43" spans="1:61" x14ac:dyDescent="0.45">
      <c r="A43" s="30">
        <f>step3_validation[[#This Row],[Persona_ID]]</f>
        <v>42</v>
      </c>
      <c r="B43" s="31">
        <f>step3_validation[[#This Row],[Used_Seed]]</f>
        <v>42</v>
      </c>
      <c r="C43" t="str">
        <f>step3_validation[[#This Row],[Gender]]</f>
        <v>Nữ</v>
      </c>
      <c r="D43" t="str">
        <f>survey_responses[[#This Row],[Giới tính của bạn:]]</f>
        <v>Nữ</v>
      </c>
      <c r="E43" t="str">
        <f>step3_validation[[#This Row],[Age_Group]]</f>
        <v>30 - 39</v>
      </c>
      <c r="F43" t="str">
        <f>survey_responses[[#This Row],[Độ tuổi của bạn:]]</f>
        <v>30 - 39</v>
      </c>
      <c r="G43" t="str">
        <f>step3_validation[[#This Row],[Region]]</f>
        <v>Thành thị</v>
      </c>
      <c r="H43" t="str">
        <f>survey_responses[[#This Row],[Khu vực bạn đang sinh sống:]]</f>
        <v>Thành thị</v>
      </c>
      <c r="I43" t="str">
        <f>step3_validation[[#This Row],[Education]]</f>
        <v>Đại học</v>
      </c>
      <c r="J43" t="str">
        <f>survey_responses[[#This Row],[Trình độ học vấn cao nhất:]]</f>
        <v>Đại học</v>
      </c>
      <c r="K43" t="str">
        <f>step3_validation[[#This Row],[Employment]]</f>
        <v>Chính thức</v>
      </c>
      <c r="L43" t="str">
        <f>survey_responses[[#This Row],[Tình trạng việc làm chính:]]</f>
        <v>Khu vực chính thức (Có Hợp đồng lao động, đóng BHXH)</v>
      </c>
      <c r="M43">
        <f>step3_validation[[#This Row],[Income_Mil]]</f>
        <v>43.609340728339447</v>
      </c>
      <c r="N43" t="str">
        <f>survey_responses[[#This Row],[Thu nhập bình quân tháng theo Hợp đồng lao động của bạn là bao nhiêu? (Vui lòng điền tổng thu nhập trước khi khấu trừ các loại Bảo hiểm (BHXH, BHYT, BHTN) và Thuế TNCN)]]</f>
        <v>Từ 32 - 48 triệu VNĐ</v>
      </c>
      <c r="O43">
        <f>step3_validation[[#This Row],[Dependents]]</f>
        <v>3</v>
      </c>
      <c r="P43" t="str">
        <f>survey_responses[[#This Row],[Số người phụ thuộc (con nhỏ, cha mẹ già...) đủ điều kiện giảm trừ gia cảnh:]]</f>
        <v>3 người</v>
      </c>
      <c r="Q43">
        <f>step3_validation[[#This Row],[AI_ENF1]]</f>
        <v>7</v>
      </c>
      <c r="R43">
        <f t="shared" si="0"/>
        <v>0.66666666666666663</v>
      </c>
      <c r="S43">
        <f>survey_responses[[#This Row],[Tôi tin rằng với các quy định quản lý thuế hiện nay, hành vi gian lận hoặc trốn thuế sẽ dễ dàng bị phát hiện và xử lý nghiêm. - HUMAN-ENF1]]</f>
        <v>10</v>
      </c>
      <c r="T43">
        <f t="shared" si="1"/>
        <v>1</v>
      </c>
      <c r="U43">
        <f>step3_validation[[#This Row],[AI_ENF2]]</f>
        <v>6</v>
      </c>
      <c r="V43">
        <f t="shared" si="2"/>
        <v>0.55555555555555558</v>
      </c>
      <c r="W43">
        <f>survey_responses[[#This Row],[Tôi tin rằng Nhà nước, cơ quan thuế có đủ khả năng và công nghệ để phát hiện, xử lý nghiêm các hành vi trốn thuế. - HUMAN-ENF2]]</f>
        <v>10</v>
      </c>
      <c r="X43">
        <f t="shared" si="3"/>
        <v>1</v>
      </c>
      <c r="Y43" s="32">
        <f t="shared" si="4"/>
        <v>0.61111111111111116</v>
      </c>
      <c r="Z43" s="32">
        <f t="shared" si="5"/>
        <v>1</v>
      </c>
      <c r="AA43">
        <f>step3_validation[[#This Row],[AI_FAC1]]</f>
        <v>9</v>
      </c>
      <c r="AB43">
        <f t="shared" si="6"/>
        <v>0.88888888888888884</v>
      </c>
      <c r="AC43">
        <f>survey_responses[[#This Row],[Các thủ tục khai báo thuế VÀ/HOẶC quy trình làm việc với cơ quan thuế đơn giản, tiện lợi, nhanh chóng hơn so với trước đây. - HUMAN-FAC1]]</f>
        <v>9</v>
      </c>
      <c r="AD43">
        <f t="shared" si="7"/>
        <v>0.88888888888888884</v>
      </c>
      <c r="AE43">
        <f>step3_validation[[#This Row],[AI_FAC2]]</f>
        <v>8</v>
      </c>
      <c r="AF43">
        <f t="shared" si="8"/>
        <v>0.77777777777777779</v>
      </c>
      <c r="AG43">
        <f>survey_responses[[#This Row],[So với trước đây, tôi thấy cách tính thuế và các bậc thuế trong phương án mới đơn giản, dễ hiểu và dễ thực hiện hơn. - HUMAN-FAC2]]</f>
        <v>8</v>
      </c>
      <c r="AH43">
        <f t="shared" si="9"/>
        <v>0.77777777777777779</v>
      </c>
      <c r="AI43" s="32">
        <f t="shared" si="10"/>
        <v>0.83333333333333326</v>
      </c>
      <c r="AJ43" s="32">
        <f t="shared" si="11"/>
        <v>0.83333333333333326</v>
      </c>
      <c r="AK43">
        <f>step3_validation[[#This Row],[AI_TRU1]]</f>
        <v>7</v>
      </c>
      <c r="AL43">
        <f t="shared" si="12"/>
        <v>0.66666666666666663</v>
      </c>
      <c r="AM43">
        <f>survey_responses[[#This Row],[Tôi tin rằng Nhà nước, cơ quan thuế sẽ thực thi chính sách mới một cách khách quan, công tâm và đối xử bình đẳng với mọi người nộp thuế.  - HUMAN-TRU1]]</f>
        <v>7</v>
      </c>
      <c r="AN43">
        <f t="shared" si="13"/>
        <v>0.66666666666666663</v>
      </c>
      <c r="AO43">
        <f>step3_validation[[#This Row],[AI_TRU2]]</f>
        <v>9</v>
      </c>
      <c r="AP43">
        <f t="shared" si="14"/>
        <v>0.88888888888888884</v>
      </c>
      <c r="AQ43">
        <f>survey_responses[[#This Row],[Tôi thấy mức thuế tôi phải đóng theo phương án mới là công bằng (người thu nhập như tôi đóng mức này là hợp lý). - HUMAN-TRU2]]</f>
        <v>9</v>
      </c>
      <c r="AR43">
        <f t="shared" si="15"/>
        <v>0.88888888888888884</v>
      </c>
      <c r="AS43">
        <f>step3_validation[[#This Row],[AI_TRU3]]</f>
        <v>6</v>
      </c>
      <c r="AT43">
        <f t="shared" si="16"/>
        <v>0.55555555555555558</v>
      </c>
      <c r="AU43">
        <f>survey_responses[[#This Row],[Tôi tin tưởng số tiền thuế tôi đóng sẽ được Nhà nước sử dụng hiệu quả để cải thiện dịch vụ công (y tế, đường xá...). - HUMAN-TRU3]]</f>
        <v>9</v>
      </c>
      <c r="AV43">
        <f t="shared" si="17"/>
        <v>0.88888888888888884</v>
      </c>
      <c r="AW43">
        <f>step3_validation[[#This Row],[AI_TRU4]]</f>
        <v>7</v>
      </c>
      <c r="AX43">
        <f t="shared" si="18"/>
        <v>0.66666666666666663</v>
      </c>
      <c r="AY43">
        <f>survey_responses[[#This Row],[Tôi thấy Nhà nước đã giải thích rõ ràng, minh bạch về lý do và mục tiêu của việc sửa đổi thuế lần này. - HUMAN-TRU4]]</f>
        <v>8</v>
      </c>
      <c r="AZ43">
        <f t="shared" si="19"/>
        <v>0.77777777777777779</v>
      </c>
      <c r="BA43" s="32">
        <f t="shared" si="20"/>
        <v>0.69444444444444431</v>
      </c>
      <c r="BB43" s="32">
        <f t="shared" si="21"/>
        <v>0.80555555555555547</v>
      </c>
      <c r="BC43" s="7">
        <f t="shared" si="22"/>
        <v>0.71296296296296291</v>
      </c>
      <c r="BD43" s="7">
        <f t="shared" si="23"/>
        <v>0.87962962962962965</v>
      </c>
      <c r="BE43">
        <f>step3_validation[[#This Row],[AI_OUT1]]</f>
        <v>8</v>
      </c>
      <c r="BF43">
        <f t="shared" si="24"/>
        <v>0.77777777777777779</v>
      </c>
      <c r="BG43">
        <f>survey_responses[[#This Row],[Sau khi xem xét các quyền lợi và nghĩa vụ, bạn có ủng hộ và tuân thủ chính sách mới hiện nay? - HUMAN-OUT1]]</f>
        <v>8</v>
      </c>
      <c r="BH43">
        <f t="shared" si="25"/>
        <v>0.77777777777777779</v>
      </c>
      <c r="BI43" s="32">
        <f t="shared" si="26"/>
        <v>0</v>
      </c>
    </row>
    <row r="44" spans="1:61" x14ac:dyDescent="0.45">
      <c r="A44" s="30">
        <f>step3_validation[[#This Row],[Persona_ID]]</f>
        <v>43</v>
      </c>
      <c r="B44" s="31">
        <f>step3_validation[[#This Row],[Used_Seed]]</f>
        <v>43</v>
      </c>
      <c r="C44" t="str">
        <f>step3_validation[[#This Row],[Gender]]</f>
        <v>Nữ</v>
      </c>
      <c r="D44" t="str">
        <f>survey_responses[[#This Row],[Giới tính của bạn:]]</f>
        <v>Nữ</v>
      </c>
      <c r="E44" t="str">
        <f>step3_validation[[#This Row],[Age_Group]]</f>
        <v>30 - 39</v>
      </c>
      <c r="F44" t="str">
        <f>survey_responses[[#This Row],[Độ tuổi của bạn:]]</f>
        <v>30 - 39</v>
      </c>
      <c r="G44" t="str">
        <f>step3_validation[[#This Row],[Region]]</f>
        <v>Thành thị</v>
      </c>
      <c r="H44" t="str">
        <f>survey_responses[[#This Row],[Khu vực bạn đang sinh sống:]]</f>
        <v>Thành thị</v>
      </c>
      <c r="I44" t="str">
        <f>step3_validation[[#This Row],[Education]]</f>
        <v>Đại học</v>
      </c>
      <c r="J44" t="str">
        <f>survey_responses[[#This Row],[Trình độ học vấn cao nhất:]]</f>
        <v>Đại học</v>
      </c>
      <c r="K44" t="str">
        <f>step3_validation[[#This Row],[Employment]]</f>
        <v>Chính thức</v>
      </c>
      <c r="L44" t="str">
        <f>survey_responses[[#This Row],[Tình trạng việc làm chính:]]</f>
        <v>Khu vực chính thức (Có Hợp đồng lao động, đóng BHXH)</v>
      </c>
      <c r="M44">
        <f>step3_validation[[#This Row],[Income_Mil]]</f>
        <v>198.54029087973478</v>
      </c>
      <c r="N44" t="str">
        <f>survey_responses[[#This Row],[Thu nhập bình quân tháng theo Hợp đồng lao động của bạn là bao nhiêu? (Vui lòng điền tổng thu nhập trước khi khấu trừ các loại Bảo hiểm (BHXH, BHYT, BHTN) và Thuế TNCN)]]</f>
        <v>Trên 102 triệu VNĐ</v>
      </c>
      <c r="O44">
        <f>step3_validation[[#This Row],[Dependents]]</f>
        <v>2</v>
      </c>
      <c r="P44" t="str">
        <f>survey_responses[[#This Row],[Số người phụ thuộc (con nhỏ, cha mẹ già...) đủ điều kiện giảm trừ gia cảnh:]]</f>
        <v>2 người</v>
      </c>
      <c r="Q44">
        <f>step3_validation[[#This Row],[AI_ENF1]]</f>
        <v>8</v>
      </c>
      <c r="R44">
        <f t="shared" si="0"/>
        <v>0.77777777777777779</v>
      </c>
      <c r="S44">
        <f>survey_responses[[#This Row],[Tôi tin rằng với các quy định quản lý thuế hiện nay, hành vi gian lận hoặc trốn thuế sẽ dễ dàng bị phát hiện và xử lý nghiêm. - HUMAN-ENF1]]</f>
        <v>6</v>
      </c>
      <c r="T44">
        <f t="shared" si="1"/>
        <v>0.55555555555555558</v>
      </c>
      <c r="U44">
        <f>step3_validation[[#This Row],[AI_ENF2]]</f>
        <v>7</v>
      </c>
      <c r="V44">
        <f t="shared" si="2"/>
        <v>0.66666666666666663</v>
      </c>
      <c r="W44">
        <f>survey_responses[[#This Row],[Tôi tin rằng Nhà nước, cơ quan thuế có đủ khả năng và công nghệ để phát hiện, xử lý nghiêm các hành vi trốn thuế. - HUMAN-ENF2]]</f>
        <v>6</v>
      </c>
      <c r="X44">
        <f t="shared" si="3"/>
        <v>0.55555555555555558</v>
      </c>
      <c r="Y44" s="32">
        <f t="shared" si="4"/>
        <v>0.72222222222222221</v>
      </c>
      <c r="Z44" s="32">
        <f t="shared" si="5"/>
        <v>0.55555555555555558</v>
      </c>
      <c r="AA44">
        <f>step3_validation[[#This Row],[AI_FAC1]]</f>
        <v>8</v>
      </c>
      <c r="AB44">
        <f t="shared" si="6"/>
        <v>0.77777777777777779</v>
      </c>
      <c r="AC44">
        <f>survey_responses[[#This Row],[Các thủ tục khai báo thuế VÀ/HOẶC quy trình làm việc với cơ quan thuế đơn giản, tiện lợi, nhanh chóng hơn so với trước đây. - HUMAN-FAC1]]</f>
        <v>8</v>
      </c>
      <c r="AD44">
        <f t="shared" si="7"/>
        <v>0.77777777777777779</v>
      </c>
      <c r="AE44">
        <f>step3_validation[[#This Row],[AI_FAC2]]</f>
        <v>9</v>
      </c>
      <c r="AF44">
        <f t="shared" si="8"/>
        <v>0.88888888888888884</v>
      </c>
      <c r="AG44">
        <f>survey_responses[[#This Row],[So với trước đây, tôi thấy cách tính thuế và các bậc thuế trong phương án mới đơn giản, dễ hiểu và dễ thực hiện hơn. - HUMAN-FAC2]]</f>
        <v>10</v>
      </c>
      <c r="AH44">
        <f t="shared" si="9"/>
        <v>1</v>
      </c>
      <c r="AI44" s="32">
        <f t="shared" si="10"/>
        <v>0.83333333333333326</v>
      </c>
      <c r="AJ44" s="32">
        <f t="shared" si="11"/>
        <v>0.88888888888888884</v>
      </c>
      <c r="AK44">
        <f>step3_validation[[#This Row],[AI_TRU1]]</f>
        <v>8</v>
      </c>
      <c r="AL44">
        <f t="shared" si="12"/>
        <v>0.77777777777777779</v>
      </c>
      <c r="AM44">
        <f>survey_responses[[#This Row],[Tôi tin rằng Nhà nước, cơ quan thuế sẽ thực thi chính sách mới một cách khách quan, công tâm và đối xử bình đẳng với mọi người nộp thuế.  - HUMAN-TRU1]]</f>
        <v>9</v>
      </c>
      <c r="AN44">
        <f t="shared" si="13"/>
        <v>0.88888888888888884</v>
      </c>
      <c r="AO44">
        <f>step3_validation[[#This Row],[AI_TRU2]]</f>
        <v>9</v>
      </c>
      <c r="AP44">
        <f t="shared" si="14"/>
        <v>0.88888888888888884</v>
      </c>
      <c r="AQ44">
        <f>survey_responses[[#This Row],[Tôi thấy mức thuế tôi phải đóng theo phương án mới là công bằng (người thu nhập như tôi đóng mức này là hợp lý). - HUMAN-TRU2]]</f>
        <v>1</v>
      </c>
      <c r="AR44">
        <f t="shared" si="15"/>
        <v>0</v>
      </c>
      <c r="AS44">
        <f>step3_validation[[#This Row],[AI_TRU3]]</f>
        <v>8</v>
      </c>
      <c r="AT44">
        <f t="shared" si="16"/>
        <v>0.77777777777777779</v>
      </c>
      <c r="AU44">
        <f>survey_responses[[#This Row],[Tôi tin tưởng số tiền thuế tôi đóng sẽ được Nhà nước sử dụng hiệu quả để cải thiện dịch vụ công (y tế, đường xá...). - HUMAN-TRU3]]</f>
        <v>7</v>
      </c>
      <c r="AV44">
        <f t="shared" si="17"/>
        <v>0.66666666666666663</v>
      </c>
      <c r="AW44">
        <f>step3_validation[[#This Row],[AI_TRU4]]</f>
        <v>7</v>
      </c>
      <c r="AX44">
        <f t="shared" si="18"/>
        <v>0.66666666666666663</v>
      </c>
      <c r="AY44">
        <f>survey_responses[[#This Row],[Tôi thấy Nhà nước đã giải thích rõ ràng, minh bạch về lý do và mục tiêu của việc sửa đổi thuế lần này. - HUMAN-TRU4]]</f>
        <v>7</v>
      </c>
      <c r="AZ44">
        <f t="shared" si="19"/>
        <v>0.66666666666666663</v>
      </c>
      <c r="BA44" s="32">
        <f t="shared" si="20"/>
        <v>0.77777777777777768</v>
      </c>
      <c r="BB44" s="32">
        <f t="shared" si="21"/>
        <v>0.55555555555555547</v>
      </c>
      <c r="BC44" s="7">
        <f t="shared" si="22"/>
        <v>0.77777777777777768</v>
      </c>
      <c r="BD44" s="7">
        <f t="shared" si="23"/>
        <v>0.66666666666666663</v>
      </c>
      <c r="BE44">
        <f>step3_validation[[#This Row],[AI_OUT1]]</f>
        <v>9</v>
      </c>
      <c r="BF44">
        <f t="shared" si="24"/>
        <v>0.88888888888888884</v>
      </c>
      <c r="BG44">
        <f>survey_responses[[#This Row],[Sau khi xem xét các quyền lợi và nghĩa vụ, bạn có ủng hộ và tuân thủ chính sách mới hiện nay? - HUMAN-OUT1]]</f>
        <v>8</v>
      </c>
      <c r="BH44">
        <f t="shared" si="25"/>
        <v>0.77777777777777779</v>
      </c>
      <c r="BI44" s="32">
        <f t="shared" si="26"/>
        <v>1</v>
      </c>
    </row>
    <row r="45" spans="1:61" x14ac:dyDescent="0.45">
      <c r="A45" s="30">
        <f>step3_validation[[#This Row],[Persona_ID]]</f>
        <v>44</v>
      </c>
      <c r="B45" s="31">
        <f>step3_validation[[#This Row],[Used_Seed]]</f>
        <v>44</v>
      </c>
      <c r="C45" t="str">
        <f>step3_validation[[#This Row],[Gender]]</f>
        <v>Nam</v>
      </c>
      <c r="D45" t="str">
        <f>survey_responses[[#This Row],[Giới tính của bạn:]]</f>
        <v>Nam</v>
      </c>
      <c r="E45" t="str">
        <f>step3_validation[[#This Row],[Age_Group]]</f>
        <v>30 - 39</v>
      </c>
      <c r="F45" t="str">
        <f>survey_responses[[#This Row],[Độ tuổi của bạn:]]</f>
        <v>30 - 39</v>
      </c>
      <c r="G45" t="str">
        <f>step3_validation[[#This Row],[Region]]</f>
        <v>Thành thị</v>
      </c>
      <c r="H45" t="str">
        <f>survey_responses[[#This Row],[Khu vực bạn đang sinh sống:]]</f>
        <v>Thành thị</v>
      </c>
      <c r="I45" t="str">
        <f>step3_validation[[#This Row],[Education]]</f>
        <v>Đại học</v>
      </c>
      <c r="J45" t="str">
        <f>survey_responses[[#This Row],[Trình độ học vấn cao nhất:]]</f>
        <v>Đại học</v>
      </c>
      <c r="K45" t="str">
        <f>step3_validation[[#This Row],[Employment]]</f>
        <v>Chính thức</v>
      </c>
      <c r="L45" t="str">
        <f>survey_responses[[#This Row],[Tình trạng việc làm chính:]]</f>
        <v>Khu vực chính thức (Có Hợp đồng lao động, đóng BHXH)</v>
      </c>
      <c r="M45">
        <f>step3_validation[[#This Row],[Income_Mil]]</f>
        <v>23.980524077390974</v>
      </c>
      <c r="N45" t="str">
        <f>survey_responses[[#This Row],[Thu nhập bình quân tháng theo Hợp đồng lao động của bạn là bao nhiêu? (Vui lòng điền tổng thu nhập trước khi khấu trừ các loại Bảo hiểm (BHXH, BHYT, BHTN) và Thuế TNCN)]]</f>
        <v>Từ 23 - 32 triệu VNĐ</v>
      </c>
      <c r="O45">
        <f>step3_validation[[#This Row],[Dependents]]</f>
        <v>1</v>
      </c>
      <c r="P45" t="str">
        <f>survey_responses[[#This Row],[Số người phụ thuộc (con nhỏ, cha mẹ già...) đủ điều kiện giảm trừ gia cảnh:]]</f>
        <v>1 người</v>
      </c>
      <c r="Q45">
        <f>step3_validation[[#This Row],[AI_ENF1]]</f>
        <v>7</v>
      </c>
      <c r="R45">
        <f t="shared" si="0"/>
        <v>0.66666666666666663</v>
      </c>
      <c r="S45">
        <f>survey_responses[[#This Row],[Tôi tin rằng với các quy định quản lý thuế hiện nay, hành vi gian lận hoặc trốn thuế sẽ dễ dàng bị phát hiện và xử lý nghiêm. - HUMAN-ENF1]]</f>
        <v>8</v>
      </c>
      <c r="T45">
        <f t="shared" si="1"/>
        <v>0.77777777777777779</v>
      </c>
      <c r="U45">
        <f>step3_validation[[#This Row],[AI_ENF2]]</f>
        <v>8</v>
      </c>
      <c r="V45">
        <f t="shared" si="2"/>
        <v>0.77777777777777779</v>
      </c>
      <c r="W45">
        <f>survey_responses[[#This Row],[Tôi tin rằng Nhà nước, cơ quan thuế có đủ khả năng và công nghệ để phát hiện, xử lý nghiêm các hành vi trốn thuế. - HUMAN-ENF2]]</f>
        <v>8</v>
      </c>
      <c r="X45">
        <f t="shared" si="3"/>
        <v>0.77777777777777779</v>
      </c>
      <c r="Y45" s="32">
        <f t="shared" si="4"/>
        <v>0.72222222222222221</v>
      </c>
      <c r="Z45" s="32">
        <f t="shared" si="5"/>
        <v>0.77777777777777779</v>
      </c>
      <c r="AA45">
        <f>step3_validation[[#This Row],[AI_FAC1]]</f>
        <v>7</v>
      </c>
      <c r="AB45">
        <f t="shared" si="6"/>
        <v>0.66666666666666663</v>
      </c>
      <c r="AC45">
        <f>survey_responses[[#This Row],[Các thủ tục khai báo thuế VÀ/HOẶC quy trình làm việc với cơ quan thuế đơn giản, tiện lợi, nhanh chóng hơn so với trước đây. - HUMAN-FAC1]]</f>
        <v>8</v>
      </c>
      <c r="AD45">
        <f t="shared" si="7"/>
        <v>0.77777777777777779</v>
      </c>
      <c r="AE45">
        <f>step3_validation[[#This Row],[AI_FAC2]]</f>
        <v>9</v>
      </c>
      <c r="AF45">
        <f t="shared" si="8"/>
        <v>0.88888888888888884</v>
      </c>
      <c r="AG45">
        <f>survey_responses[[#This Row],[So với trước đây, tôi thấy cách tính thuế và các bậc thuế trong phương án mới đơn giản, dễ hiểu và dễ thực hiện hơn. - HUMAN-FAC2]]</f>
        <v>8</v>
      </c>
      <c r="AH45">
        <f t="shared" si="9"/>
        <v>0.77777777777777779</v>
      </c>
      <c r="AI45" s="32">
        <f t="shared" si="10"/>
        <v>0.77777777777777768</v>
      </c>
      <c r="AJ45" s="32">
        <f t="shared" si="11"/>
        <v>0.77777777777777779</v>
      </c>
      <c r="AK45">
        <f>step3_validation[[#This Row],[AI_TRU1]]</f>
        <v>8</v>
      </c>
      <c r="AL45">
        <f t="shared" si="12"/>
        <v>0.77777777777777779</v>
      </c>
      <c r="AM45">
        <f>survey_responses[[#This Row],[Tôi tin rằng Nhà nước, cơ quan thuế sẽ thực thi chính sách mới một cách khách quan, công tâm và đối xử bình đẳng với mọi người nộp thuế.  - HUMAN-TRU1]]</f>
        <v>8</v>
      </c>
      <c r="AN45">
        <f t="shared" si="13"/>
        <v>0.77777777777777779</v>
      </c>
      <c r="AO45">
        <f>step3_validation[[#This Row],[AI_TRU2]]</f>
        <v>9</v>
      </c>
      <c r="AP45">
        <f t="shared" si="14"/>
        <v>0.88888888888888884</v>
      </c>
      <c r="AQ45">
        <f>survey_responses[[#This Row],[Tôi thấy mức thuế tôi phải đóng theo phương án mới là công bằng (người thu nhập như tôi đóng mức này là hợp lý). - HUMAN-TRU2]]</f>
        <v>8</v>
      </c>
      <c r="AR45">
        <f t="shared" si="15"/>
        <v>0.77777777777777779</v>
      </c>
      <c r="AS45">
        <f>step3_validation[[#This Row],[AI_TRU3]]</f>
        <v>8</v>
      </c>
      <c r="AT45">
        <f t="shared" si="16"/>
        <v>0.77777777777777779</v>
      </c>
      <c r="AU45">
        <f>survey_responses[[#This Row],[Tôi tin tưởng số tiền thuế tôi đóng sẽ được Nhà nước sử dụng hiệu quả để cải thiện dịch vụ công (y tế, đường xá...). - HUMAN-TRU3]]</f>
        <v>9</v>
      </c>
      <c r="AV45">
        <f t="shared" si="17"/>
        <v>0.88888888888888884</v>
      </c>
      <c r="AW45">
        <f>step3_validation[[#This Row],[AI_TRU4]]</f>
        <v>9</v>
      </c>
      <c r="AX45">
        <f t="shared" si="18"/>
        <v>0.88888888888888884</v>
      </c>
      <c r="AY45">
        <f>survey_responses[[#This Row],[Tôi thấy Nhà nước đã giải thích rõ ràng, minh bạch về lý do và mục tiêu của việc sửa đổi thuế lần này. - HUMAN-TRU4]]</f>
        <v>5</v>
      </c>
      <c r="AZ45">
        <f t="shared" si="19"/>
        <v>0.44444444444444442</v>
      </c>
      <c r="BA45" s="32">
        <f t="shared" si="20"/>
        <v>0.83333333333333326</v>
      </c>
      <c r="BB45" s="32">
        <f t="shared" si="21"/>
        <v>0.72222222222222232</v>
      </c>
      <c r="BC45" s="7">
        <f t="shared" si="22"/>
        <v>0.77777777777777768</v>
      </c>
      <c r="BD45" s="7">
        <f t="shared" si="23"/>
        <v>0.75925925925925919</v>
      </c>
      <c r="BE45">
        <f>step3_validation[[#This Row],[AI_OUT1]]</f>
        <v>10</v>
      </c>
      <c r="BF45">
        <f t="shared" si="24"/>
        <v>1</v>
      </c>
      <c r="BG45">
        <f>survey_responses[[#This Row],[Sau khi xem xét các quyền lợi và nghĩa vụ, bạn có ủng hộ và tuân thủ chính sách mới hiện nay? - HUMAN-OUT1]]</f>
        <v>9</v>
      </c>
      <c r="BH45">
        <f t="shared" si="25"/>
        <v>0.88888888888888884</v>
      </c>
      <c r="BI45" s="32">
        <f t="shared" si="26"/>
        <v>1</v>
      </c>
    </row>
    <row r="46" spans="1:61" x14ac:dyDescent="0.45">
      <c r="A46" s="30">
        <f>step3_validation[[#This Row],[Persona_ID]]</f>
        <v>45</v>
      </c>
      <c r="B46" s="31">
        <f>step3_validation[[#This Row],[Used_Seed]]</f>
        <v>45</v>
      </c>
      <c r="C46" t="str">
        <f>step3_validation[[#This Row],[Gender]]</f>
        <v>Nữ</v>
      </c>
      <c r="D46" t="str">
        <f>survey_responses[[#This Row],[Giới tính của bạn:]]</f>
        <v>Nữ</v>
      </c>
      <c r="E46" t="str">
        <f>step3_validation[[#This Row],[Age_Group]]</f>
        <v>40 - 49</v>
      </c>
      <c r="F46" t="str">
        <f>survey_responses[[#This Row],[Độ tuổi của bạn:]]</f>
        <v>40 - 49</v>
      </c>
      <c r="G46" t="str">
        <f>step3_validation[[#This Row],[Region]]</f>
        <v>Thành thị</v>
      </c>
      <c r="H46" t="str">
        <f>survey_responses[[#This Row],[Khu vực bạn đang sinh sống:]]</f>
        <v>Thành thị</v>
      </c>
      <c r="I46" t="str">
        <f>step3_validation[[#This Row],[Education]]</f>
        <v>Đại học</v>
      </c>
      <c r="J46" t="str">
        <f>survey_responses[[#This Row],[Trình độ học vấn cao nhất:]]</f>
        <v>Đại học</v>
      </c>
      <c r="K46" t="str">
        <f>step3_validation[[#This Row],[Employment]]</f>
        <v>Chính thức</v>
      </c>
      <c r="L46" t="str">
        <f>survey_responses[[#This Row],[Tình trạng việc làm chính:]]</f>
        <v>Khu vực chính thức (Có Hợp đồng lao động, đóng BHXH)</v>
      </c>
      <c r="M46">
        <f>step3_validation[[#This Row],[Income_Mil]]</f>
        <v>27.585045255580045</v>
      </c>
      <c r="N46" t="str">
        <f>survey_responses[[#This Row],[Thu nhập bình quân tháng theo Hợp đồng lao động của bạn là bao nhiêu? (Vui lòng điền tổng thu nhập trước khi khấu trừ các loại Bảo hiểm (BHXH, BHYT, BHTN) và Thuế TNCN)]]</f>
        <v>Từ 23 - 32 triệu VNĐ</v>
      </c>
      <c r="O46">
        <f>step3_validation[[#This Row],[Dependents]]</f>
        <v>2</v>
      </c>
      <c r="P46" t="str">
        <f>survey_responses[[#This Row],[Số người phụ thuộc (con nhỏ, cha mẹ già...) đủ điều kiện giảm trừ gia cảnh:]]</f>
        <v>2 người</v>
      </c>
      <c r="Q46">
        <f>step3_validation[[#This Row],[AI_ENF1]]</f>
        <v>9</v>
      </c>
      <c r="R46">
        <f t="shared" si="0"/>
        <v>0.88888888888888884</v>
      </c>
      <c r="S46">
        <f>survey_responses[[#This Row],[Tôi tin rằng với các quy định quản lý thuế hiện nay, hành vi gian lận hoặc trốn thuế sẽ dễ dàng bị phát hiện và xử lý nghiêm. - HUMAN-ENF1]]</f>
        <v>10</v>
      </c>
      <c r="T46">
        <f t="shared" si="1"/>
        <v>1</v>
      </c>
      <c r="U46">
        <f>step3_validation[[#This Row],[AI_ENF2]]</f>
        <v>8</v>
      </c>
      <c r="V46">
        <f t="shared" si="2"/>
        <v>0.77777777777777779</v>
      </c>
      <c r="W46">
        <f>survey_responses[[#This Row],[Tôi tin rằng Nhà nước, cơ quan thuế có đủ khả năng và công nghệ để phát hiện, xử lý nghiêm các hành vi trốn thuế. - HUMAN-ENF2]]</f>
        <v>10</v>
      </c>
      <c r="X46">
        <f t="shared" si="3"/>
        <v>1</v>
      </c>
      <c r="Y46" s="32">
        <f t="shared" si="4"/>
        <v>0.83333333333333326</v>
      </c>
      <c r="Z46" s="32">
        <f t="shared" si="5"/>
        <v>1</v>
      </c>
      <c r="AA46">
        <f>step3_validation[[#This Row],[AI_FAC1]]</f>
        <v>9</v>
      </c>
      <c r="AB46">
        <f t="shared" si="6"/>
        <v>0.88888888888888884</v>
      </c>
      <c r="AC46">
        <f>survey_responses[[#This Row],[Các thủ tục khai báo thuế VÀ/HOẶC quy trình làm việc với cơ quan thuế đơn giản, tiện lợi, nhanh chóng hơn so với trước đây. - HUMAN-FAC1]]</f>
        <v>10</v>
      </c>
      <c r="AD46">
        <f t="shared" si="7"/>
        <v>1</v>
      </c>
      <c r="AE46">
        <f>step3_validation[[#This Row],[AI_FAC2]]</f>
        <v>8</v>
      </c>
      <c r="AF46">
        <f t="shared" si="8"/>
        <v>0.77777777777777779</v>
      </c>
      <c r="AG46">
        <f>survey_responses[[#This Row],[So với trước đây, tôi thấy cách tính thuế và các bậc thuế trong phương án mới đơn giản, dễ hiểu và dễ thực hiện hơn. - HUMAN-FAC2]]</f>
        <v>9</v>
      </c>
      <c r="AH46">
        <f t="shared" si="9"/>
        <v>0.88888888888888884</v>
      </c>
      <c r="AI46" s="32">
        <f t="shared" si="10"/>
        <v>0.83333333333333326</v>
      </c>
      <c r="AJ46" s="32">
        <f t="shared" si="11"/>
        <v>0.94444444444444442</v>
      </c>
      <c r="AK46">
        <f>step3_validation[[#This Row],[AI_TRU1]]</f>
        <v>9</v>
      </c>
      <c r="AL46">
        <f t="shared" si="12"/>
        <v>0.88888888888888884</v>
      </c>
      <c r="AM46">
        <f>survey_responses[[#This Row],[Tôi tin rằng Nhà nước, cơ quan thuế sẽ thực thi chính sách mới một cách khách quan, công tâm và đối xử bình đẳng với mọi người nộp thuế.  - HUMAN-TRU1]]</f>
        <v>10</v>
      </c>
      <c r="AN46">
        <f t="shared" si="13"/>
        <v>1</v>
      </c>
      <c r="AO46">
        <f>step3_validation[[#This Row],[AI_TRU2]]</f>
        <v>8</v>
      </c>
      <c r="AP46">
        <f t="shared" si="14"/>
        <v>0.77777777777777779</v>
      </c>
      <c r="AQ46">
        <f>survey_responses[[#This Row],[Tôi thấy mức thuế tôi phải đóng theo phương án mới là công bằng (người thu nhập như tôi đóng mức này là hợp lý). - HUMAN-TRU2]]</f>
        <v>10</v>
      </c>
      <c r="AR46">
        <f t="shared" si="15"/>
        <v>1</v>
      </c>
      <c r="AS46">
        <f>step3_validation[[#This Row],[AI_TRU3]]</f>
        <v>9</v>
      </c>
      <c r="AT46">
        <f t="shared" si="16"/>
        <v>0.88888888888888884</v>
      </c>
      <c r="AU46">
        <f>survey_responses[[#This Row],[Tôi tin tưởng số tiền thuế tôi đóng sẽ được Nhà nước sử dụng hiệu quả để cải thiện dịch vụ công (y tế, đường xá...). - HUMAN-TRU3]]</f>
        <v>10</v>
      </c>
      <c r="AV46">
        <f t="shared" si="17"/>
        <v>1</v>
      </c>
      <c r="AW46">
        <f>step3_validation[[#This Row],[AI_TRU4]]</f>
        <v>8</v>
      </c>
      <c r="AX46">
        <f t="shared" si="18"/>
        <v>0.77777777777777779</v>
      </c>
      <c r="AY46">
        <f>survey_responses[[#This Row],[Tôi thấy Nhà nước đã giải thích rõ ràng, minh bạch về lý do và mục tiêu của việc sửa đổi thuế lần này. - HUMAN-TRU4]]</f>
        <v>10</v>
      </c>
      <c r="AZ46">
        <f t="shared" si="19"/>
        <v>1</v>
      </c>
      <c r="BA46" s="32">
        <f t="shared" si="20"/>
        <v>0.83333333333333326</v>
      </c>
      <c r="BB46" s="32">
        <f t="shared" si="21"/>
        <v>1</v>
      </c>
      <c r="BC46" s="7">
        <f t="shared" si="22"/>
        <v>0.83333333333333337</v>
      </c>
      <c r="BD46" s="7">
        <f t="shared" si="23"/>
        <v>0.98148148148148151</v>
      </c>
      <c r="BE46">
        <f>step3_validation[[#This Row],[AI_OUT1]]</f>
        <v>9</v>
      </c>
      <c r="BF46">
        <f t="shared" si="24"/>
        <v>0.88888888888888884</v>
      </c>
      <c r="BG46">
        <f>survey_responses[[#This Row],[Sau khi xem xét các quyền lợi và nghĩa vụ, bạn có ủng hộ và tuân thủ chính sách mới hiện nay? - HUMAN-OUT1]]</f>
        <v>10</v>
      </c>
      <c r="BH46">
        <f t="shared" si="25"/>
        <v>1</v>
      </c>
      <c r="BI46" s="32">
        <f t="shared" si="26"/>
        <v>1</v>
      </c>
    </row>
    <row r="47" spans="1:61" x14ac:dyDescent="0.45">
      <c r="A47" s="30">
        <f>step3_validation[[#This Row],[Persona_ID]]</f>
        <v>46</v>
      </c>
      <c r="B47" s="31">
        <f>step3_validation[[#This Row],[Used_Seed]]</f>
        <v>46</v>
      </c>
      <c r="C47" t="str">
        <f>step3_validation[[#This Row],[Gender]]</f>
        <v>Nữ</v>
      </c>
      <c r="D47" t="str">
        <f>survey_responses[[#This Row],[Giới tính của bạn:]]</f>
        <v>Nữ</v>
      </c>
      <c r="E47" t="str">
        <f>step3_validation[[#This Row],[Age_Group]]</f>
        <v>50 - 54</v>
      </c>
      <c r="F47" t="str">
        <f>survey_responses[[#This Row],[Độ tuổi của bạn:]]</f>
        <v>50 - 54</v>
      </c>
      <c r="G47" t="str">
        <f>step3_validation[[#This Row],[Region]]</f>
        <v>Nông thôn</v>
      </c>
      <c r="H47" t="str">
        <f>survey_responses[[#This Row],[Khu vực bạn đang sinh sống:]]</f>
        <v>Nông thôn</v>
      </c>
      <c r="I47" t="str">
        <f>step3_validation[[#This Row],[Education]]</f>
        <v>Đại học</v>
      </c>
      <c r="J47" t="str">
        <f>survey_responses[[#This Row],[Trình độ học vấn cao nhất:]]</f>
        <v>Đại học</v>
      </c>
      <c r="K47" t="str">
        <f>step3_validation[[#This Row],[Employment]]</f>
        <v>Chính thức</v>
      </c>
      <c r="L47" t="str">
        <f>survey_responses[[#This Row],[Tình trạng việc làm chính:]]</f>
        <v>Khu vực chính thức (Có Hợp đồng lao động, đóng BHXH)</v>
      </c>
      <c r="M47">
        <f>step3_validation[[#This Row],[Income_Mil]]</f>
        <v>12</v>
      </c>
      <c r="N47" t="str">
        <f>survey_responses[[#This Row],[Thu nhập bình quân tháng theo Hợp đồng lao động của bạn là bao nhiêu? (Vui lòng điền tổng thu nhập trước khi khấu trừ các loại Bảo hiểm (BHXH, BHYT, BHTN) và Thuế TNCN)]]</f>
        <v>Dưới 12 triệu VNĐ</v>
      </c>
      <c r="O47">
        <f>step3_validation[[#This Row],[Dependents]]</f>
        <v>2</v>
      </c>
      <c r="P47" t="str">
        <f>survey_responses[[#This Row],[Số người phụ thuộc (con nhỏ, cha mẹ già...) đủ điều kiện giảm trừ gia cảnh:]]</f>
        <v>2 người</v>
      </c>
      <c r="Q47">
        <f>step3_validation[[#This Row],[AI_ENF1]]</f>
        <v>6</v>
      </c>
      <c r="R47">
        <f t="shared" si="0"/>
        <v>0.55555555555555558</v>
      </c>
      <c r="S47">
        <f>survey_responses[[#This Row],[Tôi tin rằng với các quy định quản lý thuế hiện nay, hành vi gian lận hoặc trốn thuế sẽ dễ dàng bị phát hiện và xử lý nghiêm. - HUMAN-ENF1]]</f>
        <v>1</v>
      </c>
      <c r="T47">
        <f t="shared" si="1"/>
        <v>0</v>
      </c>
      <c r="U47">
        <f>step3_validation[[#This Row],[AI_ENF2]]</f>
        <v>7</v>
      </c>
      <c r="V47">
        <f t="shared" si="2"/>
        <v>0.66666666666666663</v>
      </c>
      <c r="W47">
        <f>survey_responses[[#This Row],[Tôi tin rằng Nhà nước, cơ quan thuế có đủ khả năng và công nghệ để phát hiện, xử lý nghiêm các hành vi trốn thuế. - HUMAN-ENF2]]</f>
        <v>1</v>
      </c>
      <c r="X47">
        <f t="shared" si="3"/>
        <v>0</v>
      </c>
      <c r="Y47" s="32">
        <f t="shared" si="4"/>
        <v>0.61111111111111116</v>
      </c>
      <c r="Z47" s="32">
        <f t="shared" si="5"/>
        <v>0</v>
      </c>
      <c r="AA47">
        <f>step3_validation[[#This Row],[AI_FAC1]]</f>
        <v>8</v>
      </c>
      <c r="AB47">
        <f t="shared" si="6"/>
        <v>0.77777777777777779</v>
      </c>
      <c r="AC47">
        <f>survey_responses[[#This Row],[Các thủ tục khai báo thuế VÀ/HOẶC quy trình làm việc với cơ quan thuế đơn giản, tiện lợi, nhanh chóng hơn so với trước đây. - HUMAN-FAC1]]</f>
        <v>2</v>
      </c>
      <c r="AD47">
        <f t="shared" si="7"/>
        <v>0.1111111111111111</v>
      </c>
      <c r="AE47">
        <f>step3_validation[[#This Row],[AI_FAC2]]</f>
        <v>9</v>
      </c>
      <c r="AF47">
        <f t="shared" si="8"/>
        <v>0.88888888888888884</v>
      </c>
      <c r="AG47">
        <f>survey_responses[[#This Row],[So với trước đây, tôi thấy cách tính thuế và các bậc thuế trong phương án mới đơn giản, dễ hiểu và dễ thực hiện hơn. - HUMAN-FAC2]]</f>
        <v>1</v>
      </c>
      <c r="AH47">
        <f t="shared" si="9"/>
        <v>0</v>
      </c>
      <c r="AI47" s="32">
        <f t="shared" si="10"/>
        <v>0.83333333333333326</v>
      </c>
      <c r="AJ47" s="32">
        <f t="shared" si="11"/>
        <v>5.5555555555555552E-2</v>
      </c>
      <c r="AK47">
        <f>step3_validation[[#This Row],[AI_TRU1]]</f>
        <v>8</v>
      </c>
      <c r="AL47">
        <f t="shared" si="12"/>
        <v>0.77777777777777779</v>
      </c>
      <c r="AM47">
        <f>survey_responses[[#This Row],[Tôi tin rằng Nhà nước, cơ quan thuế sẽ thực thi chính sách mới một cách khách quan, công tâm và đối xử bình đẳng với mọi người nộp thuế.  - HUMAN-TRU1]]</f>
        <v>1</v>
      </c>
      <c r="AN47">
        <f t="shared" si="13"/>
        <v>0</v>
      </c>
      <c r="AO47">
        <f>step3_validation[[#This Row],[AI_TRU2]]</f>
        <v>9</v>
      </c>
      <c r="AP47">
        <f t="shared" si="14"/>
        <v>0.88888888888888884</v>
      </c>
      <c r="AQ47">
        <f>survey_responses[[#This Row],[Tôi thấy mức thuế tôi phải đóng theo phương án mới là công bằng (người thu nhập như tôi đóng mức này là hợp lý). - HUMAN-TRU2]]</f>
        <v>1</v>
      </c>
      <c r="AR47">
        <f t="shared" si="15"/>
        <v>0</v>
      </c>
      <c r="AS47">
        <f>step3_validation[[#This Row],[AI_TRU3]]</f>
        <v>8</v>
      </c>
      <c r="AT47">
        <f t="shared" si="16"/>
        <v>0.77777777777777779</v>
      </c>
      <c r="AU47">
        <f>survey_responses[[#This Row],[Tôi tin tưởng số tiền thuế tôi đóng sẽ được Nhà nước sử dụng hiệu quả để cải thiện dịch vụ công (y tế, đường xá...). - HUMAN-TRU3]]</f>
        <v>1</v>
      </c>
      <c r="AV47">
        <f t="shared" si="17"/>
        <v>0</v>
      </c>
      <c r="AW47">
        <f>step3_validation[[#This Row],[AI_TRU4]]</f>
        <v>9</v>
      </c>
      <c r="AX47">
        <f t="shared" si="18"/>
        <v>0.88888888888888884</v>
      </c>
      <c r="AY47">
        <f>survey_responses[[#This Row],[Tôi thấy Nhà nước đã giải thích rõ ràng, minh bạch về lý do và mục tiêu của việc sửa đổi thuế lần này. - HUMAN-TRU4]]</f>
        <v>1</v>
      </c>
      <c r="AZ47">
        <f t="shared" si="19"/>
        <v>0</v>
      </c>
      <c r="BA47" s="32">
        <f t="shared" si="20"/>
        <v>0.83333333333333326</v>
      </c>
      <c r="BB47" s="32">
        <f t="shared" si="21"/>
        <v>0</v>
      </c>
      <c r="BC47" s="7">
        <f t="shared" si="22"/>
        <v>0.75925925925925919</v>
      </c>
      <c r="BD47" s="7">
        <f t="shared" si="23"/>
        <v>1.8518518518518517E-2</v>
      </c>
      <c r="BE47">
        <f>step3_validation[[#This Row],[AI_OUT1]]</f>
        <v>10</v>
      </c>
      <c r="BF47">
        <f t="shared" si="24"/>
        <v>1</v>
      </c>
      <c r="BG47">
        <f>survey_responses[[#This Row],[Sau khi xem xét các quyền lợi và nghĩa vụ, bạn có ủng hộ và tuân thủ chính sách mới hiện nay? - HUMAN-OUT1]]</f>
        <v>1</v>
      </c>
      <c r="BH47">
        <f t="shared" si="25"/>
        <v>0</v>
      </c>
      <c r="BI47" s="32">
        <f t="shared" si="26"/>
        <v>9</v>
      </c>
    </row>
    <row r="48" spans="1:61" x14ac:dyDescent="0.45">
      <c r="A48" s="30">
        <f>step3_validation[[#This Row],[Persona_ID]]</f>
        <v>47</v>
      </c>
      <c r="B48" s="31">
        <f>step3_validation[[#This Row],[Used_Seed]]</f>
        <v>47</v>
      </c>
      <c r="C48" t="str">
        <f>step3_validation[[#This Row],[Gender]]</f>
        <v>Nam</v>
      </c>
      <c r="D48" t="str">
        <f>survey_responses[[#This Row],[Giới tính của bạn:]]</f>
        <v>Nam</v>
      </c>
      <c r="E48" t="str">
        <f>step3_validation[[#This Row],[Age_Group]]</f>
        <v>30 - 39</v>
      </c>
      <c r="F48" t="str">
        <f>survey_responses[[#This Row],[Độ tuổi của bạn:]]</f>
        <v>30 - 39</v>
      </c>
      <c r="G48" t="str">
        <f>step3_validation[[#This Row],[Region]]</f>
        <v>Thành thị</v>
      </c>
      <c r="H48" t="str">
        <f>survey_responses[[#This Row],[Khu vực bạn đang sinh sống:]]</f>
        <v>Thành thị</v>
      </c>
      <c r="I48" t="str">
        <f>step3_validation[[#This Row],[Education]]</f>
        <v>Đại học</v>
      </c>
      <c r="J48" t="str">
        <f>survey_responses[[#This Row],[Trình độ học vấn cao nhất:]]</f>
        <v>Đại học</v>
      </c>
      <c r="K48" t="str">
        <f>step3_validation[[#This Row],[Employment]]</f>
        <v>Chính thức</v>
      </c>
      <c r="L48" t="str">
        <f>survey_responses[[#This Row],[Tình trạng việc làm chính:]]</f>
        <v>Khu vực chính thức (Có Hợp đồng lao động, đóng BHXH)</v>
      </c>
      <c r="M48">
        <f>step3_validation[[#This Row],[Income_Mil]]</f>
        <v>12</v>
      </c>
      <c r="N48" t="str">
        <f>survey_responses[[#This Row],[Thu nhập bình quân tháng theo Hợp đồng lao động của bạn là bao nhiêu? (Vui lòng điền tổng thu nhập trước khi khấu trừ các loại Bảo hiểm (BHXH, BHYT, BHTN) và Thuế TNCN)]]</f>
        <v>Dưới 12 triệu VNĐ</v>
      </c>
      <c r="O48">
        <f>step3_validation[[#This Row],[Dependents]]</f>
        <v>0</v>
      </c>
      <c r="P48" t="str">
        <f>survey_responses[[#This Row],[Số người phụ thuộc (con nhỏ, cha mẹ già...) đủ điều kiện giảm trừ gia cảnh:]]</f>
        <v>0 người</v>
      </c>
      <c r="Q48">
        <f>step3_validation[[#This Row],[AI_ENF1]]</f>
        <v>7</v>
      </c>
      <c r="R48">
        <f t="shared" si="0"/>
        <v>0.66666666666666663</v>
      </c>
      <c r="S48">
        <f>survey_responses[[#This Row],[Tôi tin rằng với các quy định quản lý thuế hiện nay, hành vi gian lận hoặc trốn thuế sẽ dễ dàng bị phát hiện và xử lý nghiêm. - HUMAN-ENF1]]</f>
        <v>8</v>
      </c>
      <c r="T48">
        <f t="shared" si="1"/>
        <v>0.77777777777777779</v>
      </c>
      <c r="U48">
        <f>step3_validation[[#This Row],[AI_ENF2]]</f>
        <v>8</v>
      </c>
      <c r="V48">
        <f t="shared" si="2"/>
        <v>0.77777777777777779</v>
      </c>
      <c r="W48">
        <f>survey_responses[[#This Row],[Tôi tin rằng Nhà nước, cơ quan thuế có đủ khả năng và công nghệ để phát hiện, xử lý nghiêm các hành vi trốn thuế. - HUMAN-ENF2]]</f>
        <v>8</v>
      </c>
      <c r="X48">
        <f t="shared" si="3"/>
        <v>0.77777777777777779</v>
      </c>
      <c r="Y48" s="32">
        <f t="shared" si="4"/>
        <v>0.72222222222222221</v>
      </c>
      <c r="Z48" s="32">
        <f t="shared" si="5"/>
        <v>0.77777777777777779</v>
      </c>
      <c r="AA48">
        <f>step3_validation[[#This Row],[AI_FAC1]]</f>
        <v>9</v>
      </c>
      <c r="AB48">
        <f t="shared" si="6"/>
        <v>0.88888888888888884</v>
      </c>
      <c r="AC48">
        <f>survey_responses[[#This Row],[Các thủ tục khai báo thuế VÀ/HOẶC quy trình làm việc với cơ quan thuế đơn giản, tiện lợi, nhanh chóng hơn so với trước đây. - HUMAN-FAC1]]</f>
        <v>8</v>
      </c>
      <c r="AD48">
        <f t="shared" si="7"/>
        <v>0.77777777777777779</v>
      </c>
      <c r="AE48">
        <f>step3_validation[[#This Row],[AI_FAC2]]</f>
        <v>9</v>
      </c>
      <c r="AF48">
        <f t="shared" si="8"/>
        <v>0.88888888888888884</v>
      </c>
      <c r="AG48">
        <f>survey_responses[[#This Row],[So với trước đây, tôi thấy cách tính thuế và các bậc thuế trong phương án mới đơn giản, dễ hiểu và dễ thực hiện hơn. - HUMAN-FAC2]]</f>
        <v>7</v>
      </c>
      <c r="AH48">
        <f t="shared" si="9"/>
        <v>0.66666666666666663</v>
      </c>
      <c r="AI48" s="32">
        <f t="shared" si="10"/>
        <v>0.88888888888888884</v>
      </c>
      <c r="AJ48" s="32">
        <f t="shared" si="11"/>
        <v>0.72222222222222221</v>
      </c>
      <c r="AK48">
        <f>step3_validation[[#This Row],[AI_TRU1]]</f>
        <v>8</v>
      </c>
      <c r="AL48">
        <f t="shared" si="12"/>
        <v>0.77777777777777779</v>
      </c>
      <c r="AM48">
        <f>survey_responses[[#This Row],[Tôi tin rằng Nhà nước, cơ quan thuế sẽ thực thi chính sách mới một cách khách quan, công tâm và đối xử bình đẳng với mọi người nộp thuế.  - HUMAN-TRU1]]</f>
        <v>6</v>
      </c>
      <c r="AN48">
        <f t="shared" si="13"/>
        <v>0.55555555555555558</v>
      </c>
      <c r="AO48">
        <f>step3_validation[[#This Row],[AI_TRU2]]</f>
        <v>9</v>
      </c>
      <c r="AP48">
        <f t="shared" si="14"/>
        <v>0.88888888888888884</v>
      </c>
      <c r="AQ48">
        <f>survey_responses[[#This Row],[Tôi thấy mức thuế tôi phải đóng theo phương án mới là công bằng (người thu nhập như tôi đóng mức này là hợp lý). - HUMAN-TRU2]]</f>
        <v>8</v>
      </c>
      <c r="AR48">
        <f t="shared" si="15"/>
        <v>0.77777777777777779</v>
      </c>
      <c r="AS48">
        <f>step3_validation[[#This Row],[AI_TRU3]]</f>
        <v>7</v>
      </c>
      <c r="AT48">
        <f t="shared" si="16"/>
        <v>0.66666666666666663</v>
      </c>
      <c r="AU48">
        <f>survey_responses[[#This Row],[Tôi tin tưởng số tiền thuế tôi đóng sẽ được Nhà nước sử dụng hiệu quả để cải thiện dịch vụ công (y tế, đường xá...). - HUMAN-TRU3]]</f>
        <v>8</v>
      </c>
      <c r="AV48">
        <f t="shared" si="17"/>
        <v>0.77777777777777779</v>
      </c>
      <c r="AW48">
        <f>step3_validation[[#This Row],[AI_TRU4]]</f>
        <v>6</v>
      </c>
      <c r="AX48">
        <f t="shared" si="18"/>
        <v>0.55555555555555558</v>
      </c>
      <c r="AY48">
        <f>survey_responses[[#This Row],[Tôi thấy Nhà nước đã giải thích rõ ràng, minh bạch về lý do và mục tiêu của việc sửa đổi thuế lần này. - HUMAN-TRU4]]</f>
        <v>9</v>
      </c>
      <c r="AZ48">
        <f t="shared" si="19"/>
        <v>0.88888888888888884</v>
      </c>
      <c r="BA48" s="32">
        <f t="shared" si="20"/>
        <v>0.7222222222222221</v>
      </c>
      <c r="BB48" s="32">
        <f t="shared" si="21"/>
        <v>0.75</v>
      </c>
      <c r="BC48" s="7">
        <f t="shared" si="22"/>
        <v>0.77777777777777768</v>
      </c>
      <c r="BD48" s="7">
        <f t="shared" si="23"/>
        <v>0.75</v>
      </c>
      <c r="BE48">
        <f>step3_validation[[#This Row],[AI_OUT1]]</f>
        <v>8</v>
      </c>
      <c r="BF48">
        <f t="shared" si="24"/>
        <v>0.77777777777777779</v>
      </c>
      <c r="BG48">
        <f>survey_responses[[#This Row],[Sau khi xem xét các quyền lợi và nghĩa vụ, bạn có ủng hộ và tuân thủ chính sách mới hiện nay? - HUMAN-OUT1]]</f>
        <v>8</v>
      </c>
      <c r="BH48">
        <f t="shared" si="25"/>
        <v>0.77777777777777779</v>
      </c>
      <c r="BI48" s="32">
        <f t="shared" si="26"/>
        <v>0</v>
      </c>
    </row>
    <row r="49" spans="1:61" x14ac:dyDescent="0.45">
      <c r="A49" s="30">
        <f>step3_validation[[#This Row],[Persona_ID]]</f>
        <v>48</v>
      </c>
      <c r="B49" s="31">
        <f>step3_validation[[#This Row],[Used_Seed]]</f>
        <v>48</v>
      </c>
      <c r="C49" t="str">
        <f>step3_validation[[#This Row],[Gender]]</f>
        <v>Nữ</v>
      </c>
      <c r="D49" t="str">
        <f>survey_responses[[#This Row],[Giới tính của bạn:]]</f>
        <v>Nữ</v>
      </c>
      <c r="E49" t="str">
        <f>step3_validation[[#This Row],[Age_Group]]</f>
        <v>30 - 39</v>
      </c>
      <c r="F49" t="str">
        <f>survey_responses[[#This Row],[Độ tuổi của bạn:]]</f>
        <v>30 - 39</v>
      </c>
      <c r="G49" t="str">
        <f>step3_validation[[#This Row],[Region]]</f>
        <v>Thành thị</v>
      </c>
      <c r="H49" t="str">
        <f>survey_responses[[#This Row],[Khu vực bạn đang sinh sống:]]</f>
        <v>Thành thị</v>
      </c>
      <c r="I49" t="str">
        <f>step3_validation[[#This Row],[Education]]</f>
        <v>Đại học</v>
      </c>
      <c r="J49" t="str">
        <f>survey_responses[[#This Row],[Trình độ học vấn cao nhất:]]</f>
        <v>Đại học</v>
      </c>
      <c r="K49" t="str">
        <f>step3_validation[[#This Row],[Employment]]</f>
        <v>Chính thức</v>
      </c>
      <c r="L49" t="str">
        <f>survey_responses[[#This Row],[Tình trạng việc làm chính:]]</f>
        <v>Khu vực chính thức (Có Hợp đồng lao động, đóng BHXH)</v>
      </c>
      <c r="M49">
        <f>step3_validation[[#This Row],[Income_Mil]]</f>
        <v>37.815498084283917</v>
      </c>
      <c r="N49" t="str">
        <f>survey_responses[[#This Row],[Thu nhập bình quân tháng theo Hợp đồng lao động của bạn là bao nhiêu? (Vui lòng điền tổng thu nhập trước khi khấu trừ các loại Bảo hiểm (BHXH, BHYT, BHTN) và Thuế TNCN)]]</f>
        <v>Từ 32 - 48 triệu VNĐ</v>
      </c>
      <c r="O49">
        <f>step3_validation[[#This Row],[Dependents]]</f>
        <v>3</v>
      </c>
      <c r="P49" t="str">
        <f>survey_responses[[#This Row],[Số người phụ thuộc (con nhỏ, cha mẹ già...) đủ điều kiện giảm trừ gia cảnh:]]</f>
        <v>3 người</v>
      </c>
      <c r="Q49">
        <f>step3_validation[[#This Row],[AI_ENF1]]</f>
        <v>7</v>
      </c>
      <c r="R49">
        <f t="shared" si="0"/>
        <v>0.66666666666666663</v>
      </c>
      <c r="S49">
        <f>survey_responses[[#This Row],[Tôi tin rằng với các quy định quản lý thuế hiện nay, hành vi gian lận hoặc trốn thuế sẽ dễ dàng bị phát hiện và xử lý nghiêm. - HUMAN-ENF1]]</f>
        <v>10</v>
      </c>
      <c r="T49">
        <f t="shared" si="1"/>
        <v>1</v>
      </c>
      <c r="U49">
        <f>step3_validation[[#This Row],[AI_ENF2]]</f>
        <v>8</v>
      </c>
      <c r="V49">
        <f t="shared" si="2"/>
        <v>0.77777777777777779</v>
      </c>
      <c r="W49">
        <f>survey_responses[[#This Row],[Tôi tin rằng Nhà nước, cơ quan thuế có đủ khả năng và công nghệ để phát hiện, xử lý nghiêm các hành vi trốn thuế. - HUMAN-ENF2]]</f>
        <v>10</v>
      </c>
      <c r="X49">
        <f t="shared" si="3"/>
        <v>1</v>
      </c>
      <c r="Y49" s="32">
        <f t="shared" si="4"/>
        <v>0.72222222222222221</v>
      </c>
      <c r="Z49" s="32">
        <f t="shared" si="5"/>
        <v>1</v>
      </c>
      <c r="AA49">
        <f>step3_validation[[#This Row],[AI_FAC1]]</f>
        <v>9</v>
      </c>
      <c r="AB49">
        <f t="shared" si="6"/>
        <v>0.88888888888888884</v>
      </c>
      <c r="AC49">
        <f>survey_responses[[#This Row],[Các thủ tục khai báo thuế VÀ/HOẶC quy trình làm việc với cơ quan thuế đơn giản, tiện lợi, nhanh chóng hơn so với trước đây. - HUMAN-FAC1]]</f>
        <v>10</v>
      </c>
      <c r="AD49">
        <f t="shared" si="7"/>
        <v>1</v>
      </c>
      <c r="AE49">
        <f>step3_validation[[#This Row],[AI_FAC2]]</f>
        <v>8</v>
      </c>
      <c r="AF49">
        <f t="shared" si="8"/>
        <v>0.77777777777777779</v>
      </c>
      <c r="AG49">
        <f>survey_responses[[#This Row],[So với trước đây, tôi thấy cách tính thuế và các bậc thuế trong phương án mới đơn giản, dễ hiểu và dễ thực hiện hơn. - HUMAN-FAC2]]</f>
        <v>10</v>
      </c>
      <c r="AH49">
        <f t="shared" si="9"/>
        <v>1</v>
      </c>
      <c r="AI49" s="32">
        <f t="shared" si="10"/>
        <v>0.83333333333333326</v>
      </c>
      <c r="AJ49" s="32">
        <f t="shared" si="11"/>
        <v>1</v>
      </c>
      <c r="AK49">
        <f>step3_validation[[#This Row],[AI_TRU1]]</f>
        <v>9</v>
      </c>
      <c r="AL49">
        <f t="shared" si="12"/>
        <v>0.88888888888888884</v>
      </c>
      <c r="AM49">
        <f>survey_responses[[#This Row],[Tôi tin rằng Nhà nước, cơ quan thuế sẽ thực thi chính sách mới một cách khách quan, công tâm và đối xử bình đẳng với mọi người nộp thuế.  - HUMAN-TRU1]]</f>
        <v>10</v>
      </c>
      <c r="AN49">
        <f t="shared" si="13"/>
        <v>1</v>
      </c>
      <c r="AO49">
        <f>step3_validation[[#This Row],[AI_TRU2]]</f>
        <v>9</v>
      </c>
      <c r="AP49">
        <f t="shared" si="14"/>
        <v>0.88888888888888884</v>
      </c>
      <c r="AQ49">
        <f>survey_responses[[#This Row],[Tôi thấy mức thuế tôi phải đóng theo phương án mới là công bằng (người thu nhập như tôi đóng mức này là hợp lý). - HUMAN-TRU2]]</f>
        <v>10</v>
      </c>
      <c r="AR49">
        <f t="shared" si="15"/>
        <v>1</v>
      </c>
      <c r="AS49">
        <f>step3_validation[[#This Row],[AI_TRU3]]</f>
        <v>8</v>
      </c>
      <c r="AT49">
        <f t="shared" si="16"/>
        <v>0.77777777777777779</v>
      </c>
      <c r="AU49">
        <f>survey_responses[[#This Row],[Tôi tin tưởng số tiền thuế tôi đóng sẽ được Nhà nước sử dụng hiệu quả để cải thiện dịch vụ công (y tế, đường xá...). - HUMAN-TRU3]]</f>
        <v>10</v>
      </c>
      <c r="AV49">
        <f t="shared" si="17"/>
        <v>1</v>
      </c>
      <c r="AW49">
        <f>step3_validation[[#This Row],[AI_TRU4]]</f>
        <v>9</v>
      </c>
      <c r="AX49">
        <f t="shared" si="18"/>
        <v>0.88888888888888884</v>
      </c>
      <c r="AY49">
        <f>survey_responses[[#This Row],[Tôi thấy Nhà nước đã giải thích rõ ràng, minh bạch về lý do và mục tiêu của việc sửa đổi thuế lần này. - HUMAN-TRU4]]</f>
        <v>10</v>
      </c>
      <c r="AZ49">
        <f t="shared" si="19"/>
        <v>1</v>
      </c>
      <c r="BA49" s="32">
        <f t="shared" si="20"/>
        <v>0.86111111111111105</v>
      </c>
      <c r="BB49" s="32">
        <f t="shared" si="21"/>
        <v>1</v>
      </c>
      <c r="BC49" s="7">
        <f t="shared" si="22"/>
        <v>0.80555555555555547</v>
      </c>
      <c r="BD49" s="7">
        <f t="shared" si="23"/>
        <v>1</v>
      </c>
      <c r="BE49">
        <f>step3_validation[[#This Row],[AI_OUT1]]</f>
        <v>8</v>
      </c>
      <c r="BF49">
        <f t="shared" si="24"/>
        <v>0.77777777777777779</v>
      </c>
      <c r="BG49">
        <f>survey_responses[[#This Row],[Sau khi xem xét các quyền lợi và nghĩa vụ, bạn có ủng hộ và tuân thủ chính sách mới hiện nay? - HUMAN-OUT1]]</f>
        <v>10</v>
      </c>
      <c r="BH49">
        <f t="shared" si="25"/>
        <v>1</v>
      </c>
      <c r="BI49" s="32">
        <f t="shared" si="26"/>
        <v>2</v>
      </c>
    </row>
    <row r="50" spans="1:61" x14ac:dyDescent="0.45">
      <c r="A50" s="30">
        <f>step3_validation[[#This Row],[Persona_ID]]</f>
        <v>49</v>
      </c>
      <c r="B50" s="31">
        <f>step3_validation[[#This Row],[Used_Seed]]</f>
        <v>49</v>
      </c>
      <c r="C50" t="str">
        <f>step3_validation[[#This Row],[Gender]]</f>
        <v>Nam</v>
      </c>
      <c r="D50" t="str">
        <f>survey_responses[[#This Row],[Giới tính của bạn:]]</f>
        <v>Nam</v>
      </c>
      <c r="E50" t="str">
        <f>step3_validation[[#This Row],[Age_Group]]</f>
        <v>30 - 39</v>
      </c>
      <c r="F50" t="str">
        <f>survey_responses[[#This Row],[Độ tuổi của bạn:]]</f>
        <v>30 - 39</v>
      </c>
      <c r="G50" t="str">
        <f>step3_validation[[#This Row],[Region]]</f>
        <v>Thành thị</v>
      </c>
      <c r="H50" t="str">
        <f>survey_responses[[#This Row],[Khu vực bạn đang sinh sống:]]</f>
        <v>Thành thị</v>
      </c>
      <c r="I50" t="str">
        <f>step3_validation[[#This Row],[Education]]</f>
        <v>Đại học</v>
      </c>
      <c r="J50" t="str">
        <f>survey_responses[[#This Row],[Trình độ học vấn cao nhất:]]</f>
        <v>Đại học</v>
      </c>
      <c r="K50" t="str">
        <f>step3_validation[[#This Row],[Employment]]</f>
        <v>Chính thức</v>
      </c>
      <c r="L50" t="str">
        <f>survey_responses[[#This Row],[Tình trạng việc làm chính:]]</f>
        <v>Khu vực chính thức (Có Hợp đồng lao động, đóng BHXH)</v>
      </c>
      <c r="M50">
        <f>step3_validation[[#This Row],[Income_Mil]]</f>
        <v>155.70242045686817</v>
      </c>
      <c r="N50" t="str">
        <f>survey_responses[[#This Row],[Thu nhập bình quân tháng theo Hợp đồng lao động của bạn là bao nhiêu? (Vui lòng điền tổng thu nhập trước khi khấu trừ các loại Bảo hiểm (BHXH, BHYT, BHTN) và Thuế TNCN)]]</f>
        <v>Trên 102 triệu VNĐ</v>
      </c>
      <c r="O50">
        <f>step3_validation[[#This Row],[Dependents]]</f>
        <v>2</v>
      </c>
      <c r="P50" t="str">
        <f>survey_responses[[#This Row],[Số người phụ thuộc (con nhỏ, cha mẹ già...) đủ điều kiện giảm trừ gia cảnh:]]</f>
        <v>2 người</v>
      </c>
      <c r="Q50">
        <f>step3_validation[[#This Row],[AI_ENF1]]</f>
        <v>7</v>
      </c>
      <c r="R50">
        <f t="shared" si="0"/>
        <v>0.66666666666666663</v>
      </c>
      <c r="S50">
        <f>survey_responses[[#This Row],[Tôi tin rằng với các quy định quản lý thuế hiện nay, hành vi gian lận hoặc trốn thuế sẽ dễ dàng bị phát hiện và xử lý nghiêm. - HUMAN-ENF1]]</f>
        <v>8</v>
      </c>
      <c r="T50">
        <f t="shared" si="1"/>
        <v>0.77777777777777779</v>
      </c>
      <c r="U50">
        <f>step3_validation[[#This Row],[AI_ENF2]]</f>
        <v>6</v>
      </c>
      <c r="V50">
        <f t="shared" si="2"/>
        <v>0.55555555555555558</v>
      </c>
      <c r="W50">
        <f>survey_responses[[#This Row],[Tôi tin rằng Nhà nước, cơ quan thuế có đủ khả năng và công nghệ để phát hiện, xử lý nghiêm các hành vi trốn thuế. - HUMAN-ENF2]]</f>
        <v>8</v>
      </c>
      <c r="X50">
        <f t="shared" si="3"/>
        <v>0.77777777777777779</v>
      </c>
      <c r="Y50" s="32">
        <f t="shared" si="4"/>
        <v>0.61111111111111116</v>
      </c>
      <c r="Z50" s="32">
        <f t="shared" si="5"/>
        <v>0.77777777777777779</v>
      </c>
      <c r="AA50">
        <f>step3_validation[[#This Row],[AI_FAC1]]</f>
        <v>7</v>
      </c>
      <c r="AB50">
        <f t="shared" si="6"/>
        <v>0.66666666666666663</v>
      </c>
      <c r="AC50">
        <f>survey_responses[[#This Row],[Các thủ tục khai báo thuế VÀ/HOẶC quy trình làm việc với cơ quan thuế đơn giản, tiện lợi, nhanh chóng hơn so với trước đây. - HUMAN-FAC1]]</f>
        <v>7</v>
      </c>
      <c r="AD50">
        <f t="shared" si="7"/>
        <v>0.66666666666666663</v>
      </c>
      <c r="AE50">
        <f>step3_validation[[#This Row],[AI_FAC2]]</f>
        <v>9</v>
      </c>
      <c r="AF50">
        <f t="shared" si="8"/>
        <v>0.88888888888888884</v>
      </c>
      <c r="AG50">
        <f>survey_responses[[#This Row],[So với trước đây, tôi thấy cách tính thuế và các bậc thuế trong phương án mới đơn giản, dễ hiểu và dễ thực hiện hơn. - HUMAN-FAC2]]</f>
        <v>8</v>
      </c>
      <c r="AH50">
        <f t="shared" si="9"/>
        <v>0.77777777777777779</v>
      </c>
      <c r="AI50" s="32">
        <f t="shared" si="10"/>
        <v>0.77777777777777768</v>
      </c>
      <c r="AJ50" s="32">
        <f t="shared" si="11"/>
        <v>0.72222222222222221</v>
      </c>
      <c r="AK50">
        <f>step3_validation[[#This Row],[AI_TRU1]]</f>
        <v>8</v>
      </c>
      <c r="AL50">
        <f t="shared" si="12"/>
        <v>0.77777777777777779</v>
      </c>
      <c r="AM50">
        <f>survey_responses[[#This Row],[Tôi tin rằng Nhà nước, cơ quan thuế sẽ thực thi chính sách mới một cách khách quan, công tâm và đối xử bình đẳng với mọi người nộp thuế.  - HUMAN-TRU1]]</f>
        <v>6</v>
      </c>
      <c r="AN50">
        <f t="shared" si="13"/>
        <v>0.55555555555555558</v>
      </c>
      <c r="AO50">
        <f>step3_validation[[#This Row],[AI_TRU2]]</f>
        <v>9</v>
      </c>
      <c r="AP50">
        <f t="shared" si="14"/>
        <v>0.88888888888888884</v>
      </c>
      <c r="AQ50">
        <f>survey_responses[[#This Row],[Tôi thấy mức thuế tôi phải đóng theo phương án mới là công bằng (người thu nhập như tôi đóng mức này là hợp lý). - HUMAN-TRU2]]</f>
        <v>8</v>
      </c>
      <c r="AR50">
        <f t="shared" si="15"/>
        <v>0.77777777777777779</v>
      </c>
      <c r="AS50">
        <f>step3_validation[[#This Row],[AI_TRU3]]</f>
        <v>7</v>
      </c>
      <c r="AT50">
        <f t="shared" si="16"/>
        <v>0.66666666666666663</v>
      </c>
      <c r="AU50">
        <f>survey_responses[[#This Row],[Tôi tin tưởng số tiền thuế tôi đóng sẽ được Nhà nước sử dụng hiệu quả để cải thiện dịch vụ công (y tế, đường xá...). - HUMAN-TRU3]]</f>
        <v>6</v>
      </c>
      <c r="AV50">
        <f t="shared" si="17"/>
        <v>0.55555555555555558</v>
      </c>
      <c r="AW50">
        <f>step3_validation[[#This Row],[AI_TRU4]]</f>
        <v>6</v>
      </c>
      <c r="AX50">
        <f t="shared" si="18"/>
        <v>0.55555555555555558</v>
      </c>
      <c r="AY50">
        <f>survey_responses[[#This Row],[Tôi thấy Nhà nước đã giải thích rõ ràng, minh bạch về lý do và mục tiêu của việc sửa đổi thuế lần này. - HUMAN-TRU4]]</f>
        <v>5</v>
      </c>
      <c r="AZ50">
        <f t="shared" si="19"/>
        <v>0.44444444444444442</v>
      </c>
      <c r="BA50" s="32">
        <f t="shared" si="20"/>
        <v>0.7222222222222221</v>
      </c>
      <c r="BB50" s="32">
        <f t="shared" si="21"/>
        <v>0.58333333333333337</v>
      </c>
      <c r="BC50" s="7">
        <f t="shared" si="22"/>
        <v>0.70370370370370361</v>
      </c>
      <c r="BD50" s="7">
        <f t="shared" si="23"/>
        <v>0.69444444444444453</v>
      </c>
      <c r="BE50">
        <f>step3_validation[[#This Row],[AI_OUT1]]</f>
        <v>8</v>
      </c>
      <c r="BF50">
        <f t="shared" si="24"/>
        <v>0.77777777777777779</v>
      </c>
      <c r="BG50">
        <f>survey_responses[[#This Row],[Sau khi xem xét các quyền lợi và nghĩa vụ, bạn có ủng hộ và tuân thủ chính sách mới hiện nay? - HUMAN-OUT1]]</f>
        <v>8</v>
      </c>
      <c r="BH50">
        <f t="shared" si="25"/>
        <v>0.77777777777777779</v>
      </c>
      <c r="BI50" s="32">
        <f t="shared" si="26"/>
        <v>0</v>
      </c>
    </row>
    <row r="51" spans="1:61" x14ac:dyDescent="0.45">
      <c r="A51" s="30">
        <f>step3_validation[[#This Row],[Persona_ID]]</f>
        <v>50</v>
      </c>
      <c r="B51" s="31">
        <f>step3_validation[[#This Row],[Used_Seed]]</f>
        <v>50</v>
      </c>
      <c r="C51" t="str">
        <f>step3_validation[[#This Row],[Gender]]</f>
        <v>Nữ</v>
      </c>
      <c r="D51" t="str">
        <f>survey_responses[[#This Row],[Giới tính của bạn:]]</f>
        <v>Nữ</v>
      </c>
      <c r="E51" t="str">
        <f>step3_validation[[#This Row],[Age_Group]]</f>
        <v>30 - 39</v>
      </c>
      <c r="F51" t="str">
        <f>survey_responses[[#This Row],[Độ tuổi của bạn:]]</f>
        <v>30 - 39</v>
      </c>
      <c r="G51" t="str">
        <f>step3_validation[[#This Row],[Region]]</f>
        <v>Thành thị</v>
      </c>
      <c r="H51" t="str">
        <f>survey_responses[[#This Row],[Khu vực bạn đang sinh sống:]]</f>
        <v>Thành thị</v>
      </c>
      <c r="I51" t="str">
        <f>step3_validation[[#This Row],[Education]]</f>
        <v>Đại học</v>
      </c>
      <c r="J51" t="str">
        <f>survey_responses[[#This Row],[Trình độ học vấn cao nhất:]]</f>
        <v>Đại học</v>
      </c>
      <c r="K51" t="str">
        <f>step3_validation[[#This Row],[Employment]]</f>
        <v>Chính thức</v>
      </c>
      <c r="L51" t="str">
        <f>survey_responses[[#This Row],[Tình trạng việc làm chính:]]</f>
        <v>Khu vực chính thức (Có Hợp đồng lao động, đóng BHXH)</v>
      </c>
      <c r="M51">
        <f>step3_validation[[#This Row],[Income_Mil]]</f>
        <v>21.149690767546495</v>
      </c>
      <c r="N51" t="str">
        <f>survey_responses[[#This Row],[Thu nhập bình quân tháng theo Hợp đồng lao động của bạn là bao nhiêu? (Vui lòng điền tổng thu nhập trước khi khấu trừ các loại Bảo hiểm (BHXH, BHYT, BHTN) và Thuế TNCN)]]</f>
        <v>Từ 18 - 23 triệu VNĐ</v>
      </c>
      <c r="O51">
        <f>step3_validation[[#This Row],[Dependents]]</f>
        <v>3</v>
      </c>
      <c r="P51" t="str">
        <f>survey_responses[[#This Row],[Số người phụ thuộc (con nhỏ, cha mẹ già...) đủ điều kiện giảm trừ gia cảnh:]]</f>
        <v>3 người</v>
      </c>
      <c r="Q51">
        <f>step3_validation[[#This Row],[AI_ENF1]]</f>
        <v>8</v>
      </c>
      <c r="R51">
        <f t="shared" si="0"/>
        <v>0.77777777777777779</v>
      </c>
      <c r="S51">
        <f>survey_responses[[#This Row],[Tôi tin rằng với các quy định quản lý thuế hiện nay, hành vi gian lận hoặc trốn thuế sẽ dễ dàng bị phát hiện và xử lý nghiêm. - HUMAN-ENF1]]</f>
        <v>10</v>
      </c>
      <c r="T51">
        <f t="shared" si="1"/>
        <v>1</v>
      </c>
      <c r="U51">
        <f>step3_validation[[#This Row],[AI_ENF2]]</f>
        <v>7</v>
      </c>
      <c r="V51">
        <f t="shared" si="2"/>
        <v>0.66666666666666663</v>
      </c>
      <c r="W51">
        <f>survey_responses[[#This Row],[Tôi tin rằng Nhà nước, cơ quan thuế có đủ khả năng và công nghệ để phát hiện, xử lý nghiêm các hành vi trốn thuế. - HUMAN-ENF2]]</f>
        <v>10</v>
      </c>
      <c r="X51">
        <f t="shared" si="3"/>
        <v>1</v>
      </c>
      <c r="Y51" s="32">
        <f t="shared" si="4"/>
        <v>0.72222222222222221</v>
      </c>
      <c r="Z51" s="32">
        <f t="shared" si="5"/>
        <v>1</v>
      </c>
      <c r="AA51">
        <f>step3_validation[[#This Row],[AI_FAC1]]</f>
        <v>9</v>
      </c>
      <c r="AB51">
        <f t="shared" si="6"/>
        <v>0.88888888888888884</v>
      </c>
      <c r="AC51">
        <f>survey_responses[[#This Row],[Các thủ tục khai báo thuế VÀ/HOẶC quy trình làm việc với cơ quan thuế đơn giản, tiện lợi, nhanh chóng hơn so với trước đây. - HUMAN-FAC1]]</f>
        <v>10</v>
      </c>
      <c r="AD51">
        <f t="shared" si="7"/>
        <v>1</v>
      </c>
      <c r="AE51">
        <f>step3_validation[[#This Row],[AI_FAC2]]</f>
        <v>8</v>
      </c>
      <c r="AF51">
        <f t="shared" si="8"/>
        <v>0.77777777777777779</v>
      </c>
      <c r="AG51">
        <f>survey_responses[[#This Row],[So với trước đây, tôi thấy cách tính thuế và các bậc thuế trong phương án mới đơn giản, dễ hiểu và dễ thực hiện hơn. - HUMAN-FAC2]]</f>
        <v>8</v>
      </c>
      <c r="AH51">
        <f t="shared" si="9"/>
        <v>0.77777777777777779</v>
      </c>
      <c r="AI51" s="32">
        <f t="shared" si="10"/>
        <v>0.83333333333333326</v>
      </c>
      <c r="AJ51" s="32">
        <f t="shared" si="11"/>
        <v>0.88888888888888884</v>
      </c>
      <c r="AK51">
        <f>step3_validation[[#This Row],[AI_TRU1]]</f>
        <v>9</v>
      </c>
      <c r="AL51">
        <f t="shared" si="12"/>
        <v>0.88888888888888884</v>
      </c>
      <c r="AM51">
        <f>survey_responses[[#This Row],[Tôi tin rằng Nhà nước, cơ quan thuế sẽ thực thi chính sách mới một cách khách quan, công tâm và đối xử bình đẳng với mọi người nộp thuế.  - HUMAN-TRU1]]</f>
        <v>8</v>
      </c>
      <c r="AN51">
        <f t="shared" si="13"/>
        <v>0.77777777777777779</v>
      </c>
      <c r="AO51">
        <f>step3_validation[[#This Row],[AI_TRU2]]</f>
        <v>8</v>
      </c>
      <c r="AP51">
        <f t="shared" si="14"/>
        <v>0.77777777777777779</v>
      </c>
      <c r="AQ51">
        <f>survey_responses[[#This Row],[Tôi thấy mức thuế tôi phải đóng theo phương án mới là công bằng (người thu nhập như tôi đóng mức này là hợp lý). - HUMAN-TRU2]]</f>
        <v>8</v>
      </c>
      <c r="AR51">
        <f t="shared" si="15"/>
        <v>0.77777777777777779</v>
      </c>
      <c r="AS51">
        <f>step3_validation[[#This Row],[AI_TRU3]]</f>
        <v>9</v>
      </c>
      <c r="AT51">
        <f t="shared" si="16"/>
        <v>0.88888888888888884</v>
      </c>
      <c r="AU51">
        <f>survey_responses[[#This Row],[Tôi tin tưởng số tiền thuế tôi đóng sẽ được Nhà nước sử dụng hiệu quả để cải thiện dịch vụ công (y tế, đường xá...). - HUMAN-TRU3]]</f>
        <v>8</v>
      </c>
      <c r="AV51">
        <f t="shared" si="17"/>
        <v>0.77777777777777779</v>
      </c>
      <c r="AW51">
        <f>step3_validation[[#This Row],[AI_TRU4]]</f>
        <v>8</v>
      </c>
      <c r="AX51">
        <f t="shared" si="18"/>
        <v>0.77777777777777779</v>
      </c>
      <c r="AY51">
        <f>survey_responses[[#This Row],[Tôi thấy Nhà nước đã giải thích rõ ràng, minh bạch về lý do và mục tiêu của việc sửa đổi thuế lần này. - HUMAN-TRU4]]</f>
        <v>8</v>
      </c>
      <c r="AZ51">
        <f t="shared" si="19"/>
        <v>0.77777777777777779</v>
      </c>
      <c r="BA51" s="32">
        <f t="shared" si="20"/>
        <v>0.83333333333333326</v>
      </c>
      <c r="BB51" s="32">
        <f t="shared" si="21"/>
        <v>0.77777777777777779</v>
      </c>
      <c r="BC51" s="7">
        <f t="shared" si="22"/>
        <v>0.79629629629629617</v>
      </c>
      <c r="BD51" s="7">
        <f t="shared" si="23"/>
        <v>0.88888888888888884</v>
      </c>
      <c r="BE51">
        <f>step3_validation[[#This Row],[AI_OUT1]]</f>
        <v>9</v>
      </c>
      <c r="BF51">
        <f t="shared" si="24"/>
        <v>0.88888888888888884</v>
      </c>
      <c r="BG51">
        <f>survey_responses[[#This Row],[Sau khi xem xét các quyền lợi và nghĩa vụ, bạn có ủng hộ và tuân thủ chính sách mới hiện nay? - HUMAN-OUT1]]</f>
        <v>8</v>
      </c>
      <c r="BH51">
        <f t="shared" si="25"/>
        <v>0.77777777777777779</v>
      </c>
      <c r="BI51" s="32">
        <f t="shared" si="26"/>
        <v>1</v>
      </c>
    </row>
    <row r="52" spans="1:61" x14ac:dyDescent="0.45">
      <c r="A52" s="30">
        <f>step3_validation[[#This Row],[Persona_ID]]</f>
        <v>51</v>
      </c>
      <c r="B52" s="31">
        <f>step3_validation[[#This Row],[Used_Seed]]</f>
        <v>51</v>
      </c>
      <c r="C52" t="str">
        <f>step3_validation[[#This Row],[Gender]]</f>
        <v>Nam</v>
      </c>
      <c r="D52" t="str">
        <f>survey_responses[[#This Row],[Giới tính của bạn:]]</f>
        <v>Nam</v>
      </c>
      <c r="E52" t="str">
        <f>step3_validation[[#This Row],[Age_Group]]</f>
        <v>25 - 29</v>
      </c>
      <c r="F52" t="str">
        <f>survey_responses[[#This Row],[Độ tuổi của bạn:]]</f>
        <v>25 - 29</v>
      </c>
      <c r="G52" t="str">
        <f>step3_validation[[#This Row],[Region]]</f>
        <v>Thành thị</v>
      </c>
      <c r="H52" t="str">
        <f>survey_responses[[#This Row],[Khu vực bạn đang sinh sống:]]</f>
        <v>Thành thị</v>
      </c>
      <c r="I52" t="str">
        <f>step3_validation[[#This Row],[Education]]</f>
        <v>Đại học</v>
      </c>
      <c r="J52" t="str">
        <f>survey_responses[[#This Row],[Trình độ học vấn cao nhất:]]</f>
        <v>Đại học</v>
      </c>
      <c r="K52" t="str">
        <f>step3_validation[[#This Row],[Employment]]</f>
        <v>Chính thức</v>
      </c>
      <c r="L52" t="str">
        <f>survey_responses[[#This Row],[Tình trạng việc làm chính:]]</f>
        <v>Khu vực chính thức (Có Hợp đồng lao động, đóng BHXH)</v>
      </c>
      <c r="M52">
        <f>step3_validation[[#This Row],[Income_Mil]]</f>
        <v>16.712205981352085</v>
      </c>
      <c r="N52" t="str">
        <f>survey_responses[[#This Row],[Thu nhập bình quân tháng theo Hợp đồng lao động của bạn là bao nhiêu? (Vui lòng điền tổng thu nhập trước khi khấu trừ các loại Bảo hiểm (BHXH, BHYT, BHTN) và Thuế TNCN)]]</f>
        <v>Từ 12 - 18 triệu VNĐ</v>
      </c>
      <c r="O52">
        <f>step3_validation[[#This Row],[Dependents]]</f>
        <v>0</v>
      </c>
      <c r="P52" t="str">
        <f>survey_responses[[#This Row],[Số người phụ thuộc (con nhỏ, cha mẹ già...) đủ điều kiện giảm trừ gia cảnh:]]</f>
        <v>0 người</v>
      </c>
      <c r="Q52">
        <f>step3_validation[[#This Row],[AI_ENF1]]</f>
        <v>7</v>
      </c>
      <c r="R52">
        <f t="shared" si="0"/>
        <v>0.66666666666666663</v>
      </c>
      <c r="S52">
        <f>survey_responses[[#This Row],[Tôi tin rằng với các quy định quản lý thuế hiện nay, hành vi gian lận hoặc trốn thuế sẽ dễ dàng bị phát hiện và xử lý nghiêm. - HUMAN-ENF1]]</f>
        <v>10</v>
      </c>
      <c r="T52">
        <f t="shared" si="1"/>
        <v>1</v>
      </c>
      <c r="U52">
        <f>step3_validation[[#This Row],[AI_ENF2]]</f>
        <v>8</v>
      </c>
      <c r="V52">
        <f t="shared" si="2"/>
        <v>0.77777777777777779</v>
      </c>
      <c r="W52">
        <f>survey_responses[[#This Row],[Tôi tin rằng Nhà nước, cơ quan thuế có đủ khả năng và công nghệ để phát hiện, xử lý nghiêm các hành vi trốn thuế. - HUMAN-ENF2]]</f>
        <v>10</v>
      </c>
      <c r="X52">
        <f t="shared" si="3"/>
        <v>1</v>
      </c>
      <c r="Y52" s="32">
        <f t="shared" si="4"/>
        <v>0.72222222222222221</v>
      </c>
      <c r="Z52" s="32">
        <f t="shared" si="5"/>
        <v>1</v>
      </c>
      <c r="AA52">
        <f>step3_validation[[#This Row],[AI_FAC1]]</f>
        <v>7</v>
      </c>
      <c r="AB52">
        <f t="shared" si="6"/>
        <v>0.66666666666666663</v>
      </c>
      <c r="AC52">
        <f>survey_responses[[#This Row],[Các thủ tục khai báo thuế VÀ/HOẶC quy trình làm việc với cơ quan thuế đơn giản, tiện lợi, nhanh chóng hơn so với trước đây. - HUMAN-FAC1]]</f>
        <v>10</v>
      </c>
      <c r="AD52">
        <f t="shared" si="7"/>
        <v>1</v>
      </c>
      <c r="AE52">
        <f>step3_validation[[#This Row],[AI_FAC2]]</f>
        <v>9</v>
      </c>
      <c r="AF52">
        <f t="shared" si="8"/>
        <v>0.88888888888888884</v>
      </c>
      <c r="AG52">
        <f>survey_responses[[#This Row],[So với trước đây, tôi thấy cách tính thuế và các bậc thuế trong phương án mới đơn giản, dễ hiểu và dễ thực hiện hơn. - HUMAN-FAC2]]</f>
        <v>10</v>
      </c>
      <c r="AH52">
        <f t="shared" si="9"/>
        <v>1</v>
      </c>
      <c r="AI52" s="32">
        <f t="shared" si="10"/>
        <v>0.77777777777777768</v>
      </c>
      <c r="AJ52" s="32">
        <f t="shared" si="11"/>
        <v>1</v>
      </c>
      <c r="AK52">
        <f>step3_validation[[#This Row],[AI_TRU1]]</f>
        <v>8</v>
      </c>
      <c r="AL52">
        <f t="shared" si="12"/>
        <v>0.77777777777777779</v>
      </c>
      <c r="AM52">
        <f>survey_responses[[#This Row],[Tôi tin rằng Nhà nước, cơ quan thuế sẽ thực thi chính sách mới một cách khách quan, công tâm và đối xử bình đẳng với mọi người nộp thuế.  - HUMAN-TRU1]]</f>
        <v>10</v>
      </c>
      <c r="AN52">
        <f t="shared" si="13"/>
        <v>1</v>
      </c>
      <c r="AO52">
        <f>step3_validation[[#This Row],[AI_TRU2]]</f>
        <v>9</v>
      </c>
      <c r="AP52">
        <f t="shared" si="14"/>
        <v>0.88888888888888884</v>
      </c>
      <c r="AQ52">
        <f>survey_responses[[#This Row],[Tôi thấy mức thuế tôi phải đóng theo phương án mới là công bằng (người thu nhập như tôi đóng mức này là hợp lý). - HUMAN-TRU2]]</f>
        <v>10</v>
      </c>
      <c r="AR52">
        <f t="shared" si="15"/>
        <v>1</v>
      </c>
      <c r="AS52">
        <f>step3_validation[[#This Row],[AI_TRU3]]</f>
        <v>8</v>
      </c>
      <c r="AT52">
        <f t="shared" si="16"/>
        <v>0.77777777777777779</v>
      </c>
      <c r="AU52">
        <f>survey_responses[[#This Row],[Tôi tin tưởng số tiền thuế tôi đóng sẽ được Nhà nước sử dụng hiệu quả để cải thiện dịch vụ công (y tế, đường xá...). - HUMAN-TRU3]]</f>
        <v>10</v>
      </c>
      <c r="AV52">
        <f t="shared" si="17"/>
        <v>1</v>
      </c>
      <c r="AW52">
        <f>step3_validation[[#This Row],[AI_TRU4]]</f>
        <v>9</v>
      </c>
      <c r="AX52">
        <f t="shared" si="18"/>
        <v>0.88888888888888884</v>
      </c>
      <c r="AY52">
        <f>survey_responses[[#This Row],[Tôi thấy Nhà nước đã giải thích rõ ràng, minh bạch về lý do và mục tiêu của việc sửa đổi thuế lần này. - HUMAN-TRU4]]</f>
        <v>10</v>
      </c>
      <c r="AZ52">
        <f t="shared" si="19"/>
        <v>1</v>
      </c>
      <c r="BA52" s="32">
        <f t="shared" si="20"/>
        <v>0.83333333333333326</v>
      </c>
      <c r="BB52" s="32">
        <f t="shared" si="21"/>
        <v>1</v>
      </c>
      <c r="BC52" s="7">
        <f t="shared" si="22"/>
        <v>0.77777777777777768</v>
      </c>
      <c r="BD52" s="7">
        <f t="shared" si="23"/>
        <v>1</v>
      </c>
      <c r="BE52">
        <f>step3_validation[[#This Row],[AI_OUT1]]</f>
        <v>9</v>
      </c>
      <c r="BF52">
        <f t="shared" si="24"/>
        <v>0.88888888888888884</v>
      </c>
      <c r="BG52">
        <f>survey_responses[[#This Row],[Sau khi xem xét các quyền lợi và nghĩa vụ, bạn có ủng hộ và tuân thủ chính sách mới hiện nay? - HUMAN-OUT1]]</f>
        <v>10</v>
      </c>
      <c r="BH52">
        <f t="shared" si="25"/>
        <v>1</v>
      </c>
      <c r="BI52" s="32">
        <f t="shared" si="26"/>
        <v>1</v>
      </c>
    </row>
    <row r="53" spans="1:61" x14ac:dyDescent="0.45">
      <c r="A53" s="30">
        <f>step3_validation[[#This Row],[Persona_ID]]</f>
        <v>52</v>
      </c>
      <c r="B53" s="31">
        <f>step3_validation[[#This Row],[Used_Seed]]</f>
        <v>52</v>
      </c>
      <c r="C53" t="str">
        <f>step3_validation[[#This Row],[Gender]]</f>
        <v>Nữ</v>
      </c>
      <c r="D53" t="str">
        <f>survey_responses[[#This Row],[Giới tính của bạn:]]</f>
        <v>Nữ</v>
      </c>
      <c r="E53" t="str">
        <f>step3_validation[[#This Row],[Age_Group]]</f>
        <v>25 - 29</v>
      </c>
      <c r="F53" t="str">
        <f>survey_responses[[#This Row],[Độ tuổi của bạn:]]</f>
        <v>25 - 29</v>
      </c>
      <c r="G53" t="str">
        <f>step3_validation[[#This Row],[Region]]</f>
        <v>Thành thị</v>
      </c>
      <c r="H53" t="str">
        <f>survey_responses[[#This Row],[Khu vực bạn đang sinh sống:]]</f>
        <v>Thành thị</v>
      </c>
      <c r="I53" t="str">
        <f>step3_validation[[#This Row],[Education]]</f>
        <v>Đại học</v>
      </c>
      <c r="J53" t="str">
        <f>survey_responses[[#This Row],[Trình độ học vấn cao nhất:]]</f>
        <v>Đại học</v>
      </c>
      <c r="K53" t="str">
        <f>step3_validation[[#This Row],[Employment]]</f>
        <v>Chính thức</v>
      </c>
      <c r="L53" t="str">
        <f>survey_responses[[#This Row],[Tình trạng việc làm chính:]]</f>
        <v>Khu vực chính thức (Có Hợp đồng lao động, đóng BHXH)</v>
      </c>
      <c r="M53">
        <f>step3_validation[[#This Row],[Income_Mil]]</f>
        <v>20.463051819209731</v>
      </c>
      <c r="N53" t="str">
        <f>survey_responses[[#This Row],[Thu nhập bình quân tháng theo Hợp đồng lao động của bạn là bao nhiêu? (Vui lòng điền tổng thu nhập trước khi khấu trừ các loại Bảo hiểm (BHXH, BHYT, BHTN) và Thuế TNCN)]]</f>
        <v>Từ 18 - 23 triệu VNĐ</v>
      </c>
      <c r="O53">
        <f>step3_validation[[#This Row],[Dependents]]</f>
        <v>1</v>
      </c>
      <c r="P53" t="str">
        <f>survey_responses[[#This Row],[Số người phụ thuộc (con nhỏ, cha mẹ già...) đủ điều kiện giảm trừ gia cảnh:]]</f>
        <v>1 người</v>
      </c>
      <c r="Q53">
        <f>step3_validation[[#This Row],[AI_ENF1]]</f>
        <v>6</v>
      </c>
      <c r="R53">
        <f t="shared" si="0"/>
        <v>0.55555555555555558</v>
      </c>
      <c r="S53">
        <f>survey_responses[[#This Row],[Tôi tin rằng với các quy định quản lý thuế hiện nay, hành vi gian lận hoặc trốn thuế sẽ dễ dàng bị phát hiện và xử lý nghiêm. - HUMAN-ENF1]]</f>
        <v>10</v>
      </c>
      <c r="T53">
        <f t="shared" si="1"/>
        <v>1</v>
      </c>
      <c r="U53">
        <f>step3_validation[[#This Row],[AI_ENF2]]</f>
        <v>6</v>
      </c>
      <c r="V53">
        <f t="shared" si="2"/>
        <v>0.55555555555555558</v>
      </c>
      <c r="W53">
        <f>survey_responses[[#This Row],[Tôi tin rằng Nhà nước, cơ quan thuế có đủ khả năng và công nghệ để phát hiện, xử lý nghiêm các hành vi trốn thuế. - HUMAN-ENF2]]</f>
        <v>10</v>
      </c>
      <c r="X53">
        <f t="shared" si="3"/>
        <v>1</v>
      </c>
      <c r="Y53" s="32">
        <f t="shared" si="4"/>
        <v>0.55555555555555558</v>
      </c>
      <c r="Z53" s="32">
        <f t="shared" si="5"/>
        <v>1</v>
      </c>
      <c r="AA53">
        <f>step3_validation[[#This Row],[AI_FAC1]]</f>
        <v>8</v>
      </c>
      <c r="AB53">
        <f t="shared" si="6"/>
        <v>0.77777777777777779</v>
      </c>
      <c r="AC53">
        <f>survey_responses[[#This Row],[Các thủ tục khai báo thuế VÀ/HOẶC quy trình làm việc với cơ quan thuế đơn giản, tiện lợi, nhanh chóng hơn so với trước đây. - HUMAN-FAC1]]</f>
        <v>10</v>
      </c>
      <c r="AD53">
        <f t="shared" si="7"/>
        <v>1</v>
      </c>
      <c r="AE53">
        <f>step3_validation[[#This Row],[AI_FAC2]]</f>
        <v>9</v>
      </c>
      <c r="AF53">
        <f t="shared" si="8"/>
        <v>0.88888888888888884</v>
      </c>
      <c r="AG53">
        <f>survey_responses[[#This Row],[So với trước đây, tôi thấy cách tính thuế và các bậc thuế trong phương án mới đơn giản, dễ hiểu và dễ thực hiện hơn. - HUMAN-FAC2]]</f>
        <v>10</v>
      </c>
      <c r="AH53">
        <f t="shared" si="9"/>
        <v>1</v>
      </c>
      <c r="AI53" s="32">
        <f t="shared" si="10"/>
        <v>0.83333333333333326</v>
      </c>
      <c r="AJ53" s="32">
        <f t="shared" si="11"/>
        <v>1</v>
      </c>
      <c r="AK53">
        <f>step3_validation[[#This Row],[AI_TRU1]]</f>
        <v>8</v>
      </c>
      <c r="AL53">
        <f t="shared" si="12"/>
        <v>0.77777777777777779</v>
      </c>
      <c r="AM53">
        <f>survey_responses[[#This Row],[Tôi tin rằng Nhà nước, cơ quan thuế sẽ thực thi chính sách mới một cách khách quan, công tâm và đối xử bình đẳng với mọi người nộp thuế.  - HUMAN-TRU1]]</f>
        <v>10</v>
      </c>
      <c r="AN53">
        <f t="shared" si="13"/>
        <v>1</v>
      </c>
      <c r="AO53">
        <f>step3_validation[[#This Row],[AI_TRU2]]</f>
        <v>9</v>
      </c>
      <c r="AP53">
        <f t="shared" si="14"/>
        <v>0.88888888888888884</v>
      </c>
      <c r="AQ53">
        <f>survey_responses[[#This Row],[Tôi thấy mức thuế tôi phải đóng theo phương án mới là công bằng (người thu nhập như tôi đóng mức này là hợp lý). - HUMAN-TRU2]]</f>
        <v>10</v>
      </c>
      <c r="AR53">
        <f t="shared" si="15"/>
        <v>1</v>
      </c>
      <c r="AS53">
        <f>step3_validation[[#This Row],[AI_TRU3]]</f>
        <v>8</v>
      </c>
      <c r="AT53">
        <f t="shared" si="16"/>
        <v>0.77777777777777779</v>
      </c>
      <c r="AU53">
        <f>survey_responses[[#This Row],[Tôi tin tưởng số tiền thuế tôi đóng sẽ được Nhà nước sử dụng hiệu quả để cải thiện dịch vụ công (y tế, đường xá...). - HUMAN-TRU3]]</f>
        <v>10</v>
      </c>
      <c r="AV53">
        <f t="shared" si="17"/>
        <v>1</v>
      </c>
      <c r="AW53">
        <f>step3_validation[[#This Row],[AI_TRU4]]</f>
        <v>7</v>
      </c>
      <c r="AX53">
        <f t="shared" si="18"/>
        <v>0.66666666666666663</v>
      </c>
      <c r="AY53">
        <f>survey_responses[[#This Row],[Tôi thấy Nhà nước đã giải thích rõ ràng, minh bạch về lý do và mục tiêu của việc sửa đổi thuế lần này. - HUMAN-TRU4]]</f>
        <v>10</v>
      </c>
      <c r="AZ53">
        <f t="shared" si="19"/>
        <v>1</v>
      </c>
      <c r="BA53" s="32">
        <f t="shared" si="20"/>
        <v>0.77777777777777768</v>
      </c>
      <c r="BB53" s="32">
        <f t="shared" si="21"/>
        <v>1</v>
      </c>
      <c r="BC53" s="7">
        <f t="shared" si="22"/>
        <v>0.72222222222222221</v>
      </c>
      <c r="BD53" s="7">
        <f t="shared" si="23"/>
        <v>1</v>
      </c>
      <c r="BE53">
        <f>step3_validation[[#This Row],[AI_OUT1]]</f>
        <v>8</v>
      </c>
      <c r="BF53">
        <f t="shared" si="24"/>
        <v>0.77777777777777779</v>
      </c>
      <c r="BG53">
        <f>survey_responses[[#This Row],[Sau khi xem xét các quyền lợi và nghĩa vụ, bạn có ủng hộ và tuân thủ chính sách mới hiện nay? - HUMAN-OUT1]]</f>
        <v>8</v>
      </c>
      <c r="BH53">
        <f t="shared" si="25"/>
        <v>0.77777777777777779</v>
      </c>
      <c r="BI53" s="32">
        <f t="shared" si="26"/>
        <v>0</v>
      </c>
    </row>
    <row r="54" spans="1:61" x14ac:dyDescent="0.45">
      <c r="A54" s="30">
        <f>step3_validation[[#This Row],[Persona_ID]]</f>
        <v>53</v>
      </c>
      <c r="B54" s="31">
        <f>step3_validation[[#This Row],[Used_Seed]]</f>
        <v>53</v>
      </c>
      <c r="C54" t="str">
        <f>step3_validation[[#This Row],[Gender]]</f>
        <v>Nam</v>
      </c>
      <c r="D54" t="str">
        <f>survey_responses[[#This Row],[Giới tính của bạn:]]</f>
        <v>Nam</v>
      </c>
      <c r="E54" t="str">
        <f>step3_validation[[#This Row],[Age_Group]]</f>
        <v>25 - 29</v>
      </c>
      <c r="F54" t="str">
        <f>survey_responses[[#This Row],[Độ tuổi của bạn:]]</f>
        <v>25 - 29</v>
      </c>
      <c r="G54" t="str">
        <f>step3_validation[[#This Row],[Region]]</f>
        <v>Thành thị</v>
      </c>
      <c r="H54" t="str">
        <f>survey_responses[[#This Row],[Khu vực bạn đang sinh sống:]]</f>
        <v>Thành thị</v>
      </c>
      <c r="I54" t="str">
        <f>step3_validation[[#This Row],[Education]]</f>
        <v>Sau Đại học</v>
      </c>
      <c r="J54" t="str">
        <f>survey_responses[[#This Row],[Trình độ học vấn cao nhất:]]</f>
        <v>Sau Đại học</v>
      </c>
      <c r="K54" t="str">
        <f>step3_validation[[#This Row],[Employment]]</f>
        <v>Chính thức</v>
      </c>
      <c r="L54" t="str">
        <f>survey_responses[[#This Row],[Tình trạng việc làm chính:]]</f>
        <v>Khu vực chính thức (Có Hợp đồng lao động, đóng BHXH)</v>
      </c>
      <c r="M54">
        <f>step3_validation[[#This Row],[Income_Mil]]</f>
        <v>12.055634972821331</v>
      </c>
      <c r="N54" t="str">
        <f>survey_responses[[#This Row],[Thu nhập bình quân tháng theo Hợp đồng lao động của bạn là bao nhiêu? (Vui lòng điền tổng thu nhập trước khi khấu trừ các loại Bảo hiểm (BHXH, BHYT, BHTN) và Thuế TNCN)]]</f>
        <v>Từ 12 - 18 triệu VNĐ</v>
      </c>
      <c r="O54">
        <f>step3_validation[[#This Row],[Dependents]]</f>
        <v>2</v>
      </c>
      <c r="P54" t="str">
        <f>survey_responses[[#This Row],[Số người phụ thuộc (con nhỏ, cha mẹ già...) đủ điều kiện giảm trừ gia cảnh:]]</f>
        <v>2 người</v>
      </c>
      <c r="Q54">
        <f>step3_validation[[#This Row],[AI_ENF1]]</f>
        <v>8</v>
      </c>
      <c r="R54">
        <f t="shared" si="0"/>
        <v>0.77777777777777779</v>
      </c>
      <c r="S54">
        <f>survey_responses[[#This Row],[Tôi tin rằng với các quy định quản lý thuế hiện nay, hành vi gian lận hoặc trốn thuế sẽ dễ dàng bị phát hiện và xử lý nghiêm. - HUMAN-ENF1]]</f>
        <v>10</v>
      </c>
      <c r="T54">
        <f t="shared" si="1"/>
        <v>1</v>
      </c>
      <c r="U54">
        <f>step3_validation[[#This Row],[AI_ENF2]]</f>
        <v>9</v>
      </c>
      <c r="V54">
        <f t="shared" si="2"/>
        <v>0.88888888888888884</v>
      </c>
      <c r="W54">
        <f>survey_responses[[#This Row],[Tôi tin rằng Nhà nước, cơ quan thuế có đủ khả năng và công nghệ để phát hiện, xử lý nghiêm các hành vi trốn thuế. - HUMAN-ENF2]]</f>
        <v>10</v>
      </c>
      <c r="X54">
        <f t="shared" si="3"/>
        <v>1</v>
      </c>
      <c r="Y54" s="32">
        <f t="shared" si="4"/>
        <v>0.83333333333333326</v>
      </c>
      <c r="Z54" s="32">
        <f t="shared" si="5"/>
        <v>1</v>
      </c>
      <c r="AA54">
        <f>step3_validation[[#This Row],[AI_FAC1]]</f>
        <v>7</v>
      </c>
      <c r="AB54">
        <f t="shared" si="6"/>
        <v>0.66666666666666663</v>
      </c>
      <c r="AC54">
        <f>survey_responses[[#This Row],[Các thủ tục khai báo thuế VÀ/HOẶC quy trình làm việc với cơ quan thuế đơn giản, tiện lợi, nhanh chóng hơn so với trước đây. - HUMAN-FAC1]]</f>
        <v>10</v>
      </c>
      <c r="AD54">
        <f t="shared" si="7"/>
        <v>1</v>
      </c>
      <c r="AE54">
        <f>step3_validation[[#This Row],[AI_FAC2]]</f>
        <v>9</v>
      </c>
      <c r="AF54">
        <f t="shared" si="8"/>
        <v>0.88888888888888884</v>
      </c>
      <c r="AG54">
        <f>survey_responses[[#This Row],[So với trước đây, tôi thấy cách tính thuế và các bậc thuế trong phương án mới đơn giản, dễ hiểu và dễ thực hiện hơn. - HUMAN-FAC2]]</f>
        <v>10</v>
      </c>
      <c r="AH54">
        <f t="shared" si="9"/>
        <v>1</v>
      </c>
      <c r="AI54" s="32">
        <f t="shared" si="10"/>
        <v>0.77777777777777768</v>
      </c>
      <c r="AJ54" s="32">
        <f t="shared" si="11"/>
        <v>1</v>
      </c>
      <c r="AK54">
        <f>step3_validation[[#This Row],[AI_TRU1]]</f>
        <v>8</v>
      </c>
      <c r="AL54">
        <f t="shared" si="12"/>
        <v>0.77777777777777779</v>
      </c>
      <c r="AM54">
        <f>survey_responses[[#This Row],[Tôi tin rằng Nhà nước, cơ quan thuế sẽ thực thi chính sách mới một cách khách quan, công tâm và đối xử bình đẳng với mọi người nộp thuế.  - HUMAN-TRU1]]</f>
        <v>10</v>
      </c>
      <c r="AN54">
        <f t="shared" si="13"/>
        <v>1</v>
      </c>
      <c r="AO54">
        <f>step3_validation[[#This Row],[AI_TRU2]]</f>
        <v>9</v>
      </c>
      <c r="AP54">
        <f t="shared" si="14"/>
        <v>0.88888888888888884</v>
      </c>
      <c r="AQ54">
        <f>survey_responses[[#This Row],[Tôi thấy mức thuế tôi phải đóng theo phương án mới là công bằng (người thu nhập như tôi đóng mức này là hợp lý). - HUMAN-TRU2]]</f>
        <v>10</v>
      </c>
      <c r="AR54">
        <f t="shared" si="15"/>
        <v>1</v>
      </c>
      <c r="AS54">
        <f>step3_validation[[#This Row],[AI_TRU3]]</f>
        <v>8</v>
      </c>
      <c r="AT54">
        <f t="shared" si="16"/>
        <v>0.77777777777777779</v>
      </c>
      <c r="AU54">
        <f>survey_responses[[#This Row],[Tôi tin tưởng số tiền thuế tôi đóng sẽ được Nhà nước sử dụng hiệu quả để cải thiện dịch vụ công (y tế, đường xá...). - HUMAN-TRU3]]</f>
        <v>10</v>
      </c>
      <c r="AV54">
        <f t="shared" si="17"/>
        <v>1</v>
      </c>
      <c r="AW54">
        <f>step3_validation[[#This Row],[AI_TRU4]]</f>
        <v>7</v>
      </c>
      <c r="AX54">
        <f t="shared" si="18"/>
        <v>0.66666666666666663</v>
      </c>
      <c r="AY54">
        <f>survey_responses[[#This Row],[Tôi thấy Nhà nước đã giải thích rõ ràng, minh bạch về lý do và mục tiêu của việc sửa đổi thuế lần này. - HUMAN-TRU4]]</f>
        <v>10</v>
      </c>
      <c r="AZ54">
        <f t="shared" si="19"/>
        <v>1</v>
      </c>
      <c r="BA54" s="32">
        <f t="shared" si="20"/>
        <v>0.77777777777777768</v>
      </c>
      <c r="BB54" s="32">
        <f t="shared" si="21"/>
        <v>1</v>
      </c>
      <c r="BC54" s="7">
        <f t="shared" si="22"/>
        <v>0.79629629629629617</v>
      </c>
      <c r="BD54" s="7">
        <f t="shared" si="23"/>
        <v>1</v>
      </c>
      <c r="BE54">
        <f>step3_validation[[#This Row],[AI_OUT1]]</f>
        <v>9</v>
      </c>
      <c r="BF54">
        <f t="shared" si="24"/>
        <v>0.88888888888888884</v>
      </c>
      <c r="BG54">
        <f>survey_responses[[#This Row],[Sau khi xem xét các quyền lợi và nghĩa vụ, bạn có ủng hộ và tuân thủ chính sách mới hiện nay? - HUMAN-OUT1]]</f>
        <v>10</v>
      </c>
      <c r="BH54">
        <f t="shared" si="25"/>
        <v>1</v>
      </c>
      <c r="BI54" s="32">
        <f t="shared" si="26"/>
        <v>1</v>
      </c>
    </row>
    <row r="55" spans="1:61" x14ac:dyDescent="0.45">
      <c r="A55" s="30">
        <f>step3_validation[[#This Row],[Persona_ID]]</f>
        <v>54</v>
      </c>
      <c r="B55" s="31">
        <f>step3_validation[[#This Row],[Used_Seed]]</f>
        <v>54</v>
      </c>
      <c r="C55" t="str">
        <f>step3_validation[[#This Row],[Gender]]</f>
        <v>Nữ</v>
      </c>
      <c r="D55" t="str">
        <f>survey_responses[[#This Row],[Giới tính của bạn:]]</f>
        <v>Nữ</v>
      </c>
      <c r="E55" t="str">
        <f>step3_validation[[#This Row],[Age_Group]]</f>
        <v>40 - 49</v>
      </c>
      <c r="F55" t="str">
        <f>survey_responses[[#This Row],[Độ tuổi của bạn:]]</f>
        <v>40 - 49</v>
      </c>
      <c r="G55" t="str">
        <f>step3_validation[[#This Row],[Region]]</f>
        <v>Thành thị</v>
      </c>
      <c r="H55" t="str">
        <f>survey_responses[[#This Row],[Khu vực bạn đang sinh sống:]]</f>
        <v>Thành thị</v>
      </c>
      <c r="I55" t="str">
        <f>step3_validation[[#This Row],[Education]]</f>
        <v>Đại học</v>
      </c>
      <c r="J55" t="str">
        <f>survey_responses[[#This Row],[Trình độ học vấn cao nhất:]]</f>
        <v>Đại học</v>
      </c>
      <c r="K55" t="str">
        <f>step3_validation[[#This Row],[Employment]]</f>
        <v>Chính thức</v>
      </c>
      <c r="L55" t="str">
        <f>survey_responses[[#This Row],[Tình trạng việc làm chính:]]</f>
        <v>Khu vực chính thức (Có Hợp đồng lao động, đóng BHXH)</v>
      </c>
      <c r="M55">
        <f>step3_validation[[#This Row],[Income_Mil]]</f>
        <v>35.336773170078423</v>
      </c>
      <c r="N55" t="str">
        <f>survey_responses[[#This Row],[Thu nhập bình quân tháng theo Hợp đồng lao động của bạn là bao nhiêu? (Vui lòng điền tổng thu nhập trước khi khấu trừ các loại Bảo hiểm (BHXH, BHYT, BHTN) và Thuế TNCN)]]</f>
        <v>Từ 32 - 48 triệu VNĐ</v>
      </c>
      <c r="O55">
        <f>step3_validation[[#This Row],[Dependents]]</f>
        <v>2</v>
      </c>
      <c r="P55" t="str">
        <f>survey_responses[[#This Row],[Số người phụ thuộc (con nhỏ, cha mẹ già...) đủ điều kiện giảm trừ gia cảnh:]]</f>
        <v>2 người</v>
      </c>
      <c r="Q55">
        <f>step3_validation[[#This Row],[AI_ENF1]]</f>
        <v>5</v>
      </c>
      <c r="R55">
        <f t="shared" si="0"/>
        <v>0.44444444444444442</v>
      </c>
      <c r="S55">
        <f>survey_responses[[#This Row],[Tôi tin rằng với các quy định quản lý thuế hiện nay, hành vi gian lận hoặc trốn thuế sẽ dễ dàng bị phát hiện và xử lý nghiêm. - HUMAN-ENF1]]</f>
        <v>8</v>
      </c>
      <c r="T55">
        <f t="shared" si="1"/>
        <v>0.77777777777777779</v>
      </c>
      <c r="U55">
        <f>step3_validation[[#This Row],[AI_ENF2]]</f>
        <v>6</v>
      </c>
      <c r="V55">
        <f t="shared" si="2"/>
        <v>0.55555555555555558</v>
      </c>
      <c r="W55">
        <f>survey_responses[[#This Row],[Tôi tin rằng Nhà nước, cơ quan thuế có đủ khả năng và công nghệ để phát hiện, xử lý nghiêm các hành vi trốn thuế. - HUMAN-ENF2]]</f>
        <v>7</v>
      </c>
      <c r="X55">
        <f t="shared" si="3"/>
        <v>0.66666666666666663</v>
      </c>
      <c r="Y55" s="32">
        <f t="shared" si="4"/>
        <v>0.5</v>
      </c>
      <c r="Z55" s="32">
        <f t="shared" si="5"/>
        <v>0.72222222222222221</v>
      </c>
      <c r="AA55">
        <f>step3_validation[[#This Row],[AI_FAC1]]</f>
        <v>8</v>
      </c>
      <c r="AB55">
        <f t="shared" si="6"/>
        <v>0.77777777777777779</v>
      </c>
      <c r="AC55">
        <f>survey_responses[[#This Row],[Các thủ tục khai báo thuế VÀ/HOẶC quy trình làm việc với cơ quan thuế đơn giản, tiện lợi, nhanh chóng hơn so với trước đây. - HUMAN-FAC1]]</f>
        <v>7</v>
      </c>
      <c r="AD55">
        <f t="shared" si="7"/>
        <v>0.66666666666666663</v>
      </c>
      <c r="AE55">
        <f>step3_validation[[#This Row],[AI_FAC2]]</f>
        <v>9</v>
      </c>
      <c r="AF55">
        <f t="shared" si="8"/>
        <v>0.88888888888888884</v>
      </c>
      <c r="AG55">
        <f>survey_responses[[#This Row],[So với trước đây, tôi thấy cách tính thuế và các bậc thuế trong phương án mới đơn giản, dễ hiểu và dễ thực hiện hơn. - HUMAN-FAC2]]</f>
        <v>8</v>
      </c>
      <c r="AH55">
        <f t="shared" si="9"/>
        <v>0.77777777777777779</v>
      </c>
      <c r="AI55" s="32">
        <f t="shared" si="10"/>
        <v>0.83333333333333326</v>
      </c>
      <c r="AJ55" s="32">
        <f t="shared" si="11"/>
        <v>0.72222222222222221</v>
      </c>
      <c r="AK55">
        <f>step3_validation[[#This Row],[AI_TRU1]]</f>
        <v>7</v>
      </c>
      <c r="AL55">
        <f t="shared" si="12"/>
        <v>0.66666666666666663</v>
      </c>
      <c r="AM55">
        <f>survey_responses[[#This Row],[Tôi tin rằng Nhà nước, cơ quan thuế sẽ thực thi chính sách mới một cách khách quan, công tâm và đối xử bình đẳng với mọi người nộp thuế.  - HUMAN-TRU1]]</f>
        <v>7</v>
      </c>
      <c r="AN55">
        <f t="shared" si="13"/>
        <v>0.66666666666666663</v>
      </c>
      <c r="AO55">
        <f>step3_validation[[#This Row],[AI_TRU2]]</f>
        <v>8</v>
      </c>
      <c r="AP55">
        <f t="shared" si="14"/>
        <v>0.77777777777777779</v>
      </c>
      <c r="AQ55">
        <f>survey_responses[[#This Row],[Tôi thấy mức thuế tôi phải đóng theo phương án mới là công bằng (người thu nhập như tôi đóng mức này là hợp lý). - HUMAN-TRU2]]</f>
        <v>8</v>
      </c>
      <c r="AR55">
        <f t="shared" si="15"/>
        <v>0.77777777777777779</v>
      </c>
      <c r="AS55">
        <f>step3_validation[[#This Row],[AI_TRU3]]</f>
        <v>6</v>
      </c>
      <c r="AT55">
        <f t="shared" si="16"/>
        <v>0.55555555555555558</v>
      </c>
      <c r="AU55">
        <f>survey_responses[[#This Row],[Tôi tin tưởng số tiền thuế tôi đóng sẽ được Nhà nước sử dụng hiệu quả để cải thiện dịch vụ công (y tế, đường xá...). - HUMAN-TRU3]]</f>
        <v>7</v>
      </c>
      <c r="AV55">
        <f t="shared" si="17"/>
        <v>0.66666666666666663</v>
      </c>
      <c r="AW55">
        <f>step3_validation[[#This Row],[AI_TRU4]]</f>
        <v>7</v>
      </c>
      <c r="AX55">
        <f t="shared" si="18"/>
        <v>0.66666666666666663</v>
      </c>
      <c r="AY55">
        <f>survey_responses[[#This Row],[Tôi thấy Nhà nước đã giải thích rõ ràng, minh bạch về lý do và mục tiêu của việc sửa đổi thuế lần này. - HUMAN-TRU4]]</f>
        <v>7</v>
      </c>
      <c r="AZ55">
        <f t="shared" si="19"/>
        <v>0.66666666666666663</v>
      </c>
      <c r="BA55" s="32">
        <f t="shared" si="20"/>
        <v>0.66666666666666663</v>
      </c>
      <c r="BB55" s="32">
        <f t="shared" si="21"/>
        <v>0.69444444444444442</v>
      </c>
      <c r="BC55" s="7">
        <f t="shared" si="22"/>
        <v>0.66666666666666663</v>
      </c>
      <c r="BD55" s="7">
        <f t="shared" si="23"/>
        <v>0.71296296296296291</v>
      </c>
      <c r="BE55">
        <f>step3_validation[[#This Row],[AI_OUT1]]</f>
        <v>8</v>
      </c>
      <c r="BF55">
        <f t="shared" si="24"/>
        <v>0.77777777777777779</v>
      </c>
      <c r="BG55">
        <f>survey_responses[[#This Row],[Sau khi xem xét các quyền lợi và nghĩa vụ, bạn có ủng hộ và tuân thủ chính sách mới hiện nay? - HUMAN-OUT1]]</f>
        <v>8</v>
      </c>
      <c r="BH55">
        <f t="shared" si="25"/>
        <v>0.77777777777777779</v>
      </c>
      <c r="BI55" s="32">
        <f t="shared" si="26"/>
        <v>0</v>
      </c>
    </row>
    <row r="56" spans="1:61" x14ac:dyDescent="0.45">
      <c r="A56" s="30">
        <f>step3_validation[[#This Row],[Persona_ID]]</f>
        <v>55</v>
      </c>
      <c r="B56" s="31">
        <f>step3_validation[[#This Row],[Used_Seed]]</f>
        <v>55</v>
      </c>
      <c r="C56" t="str">
        <f>step3_validation[[#This Row],[Gender]]</f>
        <v>Nữ</v>
      </c>
      <c r="D56" t="str">
        <f>survey_responses[[#This Row],[Giới tính của bạn:]]</f>
        <v>Nữ</v>
      </c>
      <c r="E56" t="str">
        <f>step3_validation[[#This Row],[Age_Group]]</f>
        <v>30 - 39</v>
      </c>
      <c r="F56" t="str">
        <f>survey_responses[[#This Row],[Độ tuổi của bạn:]]</f>
        <v>30 - 39</v>
      </c>
      <c r="G56" t="str">
        <f>step3_validation[[#This Row],[Region]]</f>
        <v>Thành thị</v>
      </c>
      <c r="H56" t="str">
        <f>survey_responses[[#This Row],[Khu vực bạn đang sinh sống:]]</f>
        <v>Thành thị</v>
      </c>
      <c r="I56" t="str">
        <f>step3_validation[[#This Row],[Education]]</f>
        <v>Đại học</v>
      </c>
      <c r="J56" t="str">
        <f>survey_responses[[#This Row],[Trình độ học vấn cao nhất:]]</f>
        <v>Đại học</v>
      </c>
      <c r="K56" t="str">
        <f>step3_validation[[#This Row],[Employment]]</f>
        <v>Chính thức</v>
      </c>
      <c r="L56" t="str">
        <f>survey_responses[[#This Row],[Tình trạng việc làm chính:]]</f>
        <v>Khu vực chính thức (Có Hợp đồng lao động, đóng BHXH)</v>
      </c>
      <c r="M56">
        <f>step3_validation[[#This Row],[Income_Mil]]</f>
        <v>44.483782751824258</v>
      </c>
      <c r="N56" t="str">
        <f>survey_responses[[#This Row],[Thu nhập bình quân tháng theo Hợp đồng lao động của bạn là bao nhiêu? (Vui lòng điền tổng thu nhập trước khi khấu trừ các loại Bảo hiểm (BHXH, BHYT, BHTN) và Thuế TNCN)]]</f>
        <v>Từ 32 - 48 triệu VNĐ</v>
      </c>
      <c r="O56">
        <f>step3_validation[[#This Row],[Dependents]]</f>
        <v>1</v>
      </c>
      <c r="P56" t="str">
        <f>survey_responses[[#This Row],[Số người phụ thuộc (con nhỏ, cha mẹ già...) đủ điều kiện giảm trừ gia cảnh:]]</f>
        <v>1 người</v>
      </c>
      <c r="Q56">
        <f>step3_validation[[#This Row],[AI_ENF1]]</f>
        <v>6</v>
      </c>
      <c r="R56">
        <f t="shared" si="0"/>
        <v>0.55555555555555558</v>
      </c>
      <c r="S56">
        <f>survey_responses[[#This Row],[Tôi tin rằng với các quy định quản lý thuế hiện nay, hành vi gian lận hoặc trốn thuế sẽ dễ dàng bị phát hiện và xử lý nghiêm. - HUMAN-ENF1]]</f>
        <v>10</v>
      </c>
      <c r="T56">
        <f t="shared" si="1"/>
        <v>1</v>
      </c>
      <c r="U56">
        <f>step3_validation[[#This Row],[AI_ENF2]]</f>
        <v>7</v>
      </c>
      <c r="V56">
        <f t="shared" si="2"/>
        <v>0.66666666666666663</v>
      </c>
      <c r="W56">
        <f>survey_responses[[#This Row],[Tôi tin rằng Nhà nước, cơ quan thuế có đủ khả năng và công nghệ để phát hiện, xử lý nghiêm các hành vi trốn thuế. - HUMAN-ENF2]]</f>
        <v>9</v>
      </c>
      <c r="X56">
        <f t="shared" si="3"/>
        <v>0.88888888888888884</v>
      </c>
      <c r="Y56" s="32">
        <f t="shared" si="4"/>
        <v>0.61111111111111116</v>
      </c>
      <c r="Z56" s="32">
        <f t="shared" si="5"/>
        <v>0.94444444444444442</v>
      </c>
      <c r="AA56">
        <f>step3_validation[[#This Row],[AI_FAC1]]</f>
        <v>8</v>
      </c>
      <c r="AB56">
        <f t="shared" si="6"/>
        <v>0.77777777777777779</v>
      </c>
      <c r="AC56">
        <f>survey_responses[[#This Row],[Các thủ tục khai báo thuế VÀ/HOẶC quy trình làm việc với cơ quan thuế đơn giản, tiện lợi, nhanh chóng hơn so với trước đây. - HUMAN-FAC1]]</f>
        <v>3</v>
      </c>
      <c r="AD56">
        <f t="shared" si="7"/>
        <v>0.22222222222222221</v>
      </c>
      <c r="AE56">
        <f>step3_validation[[#This Row],[AI_FAC2]]</f>
        <v>9</v>
      </c>
      <c r="AF56">
        <f t="shared" si="8"/>
        <v>0.88888888888888884</v>
      </c>
      <c r="AG56">
        <f>survey_responses[[#This Row],[So với trước đây, tôi thấy cách tính thuế và các bậc thuế trong phương án mới đơn giản, dễ hiểu và dễ thực hiện hơn. - HUMAN-FAC2]]</f>
        <v>4</v>
      </c>
      <c r="AH56">
        <f t="shared" si="9"/>
        <v>0.33333333333333331</v>
      </c>
      <c r="AI56" s="32">
        <f t="shared" si="10"/>
        <v>0.83333333333333326</v>
      </c>
      <c r="AJ56" s="32">
        <f t="shared" si="11"/>
        <v>0.27777777777777779</v>
      </c>
      <c r="AK56">
        <f>step3_validation[[#This Row],[AI_TRU1]]</f>
        <v>8</v>
      </c>
      <c r="AL56">
        <f t="shared" si="12"/>
        <v>0.77777777777777779</v>
      </c>
      <c r="AM56">
        <f>survey_responses[[#This Row],[Tôi tin rằng Nhà nước, cơ quan thuế sẽ thực thi chính sách mới một cách khách quan, công tâm và đối xử bình đẳng với mọi người nộp thuế.  - HUMAN-TRU1]]</f>
        <v>3</v>
      </c>
      <c r="AN56">
        <f t="shared" si="13"/>
        <v>0.22222222222222221</v>
      </c>
      <c r="AO56">
        <f>step3_validation[[#This Row],[AI_TRU2]]</f>
        <v>9</v>
      </c>
      <c r="AP56">
        <f t="shared" si="14"/>
        <v>0.88888888888888884</v>
      </c>
      <c r="AQ56">
        <f>survey_responses[[#This Row],[Tôi thấy mức thuế tôi phải đóng theo phương án mới là công bằng (người thu nhập như tôi đóng mức này là hợp lý). - HUMAN-TRU2]]</f>
        <v>3</v>
      </c>
      <c r="AR56">
        <f t="shared" si="15"/>
        <v>0.22222222222222221</v>
      </c>
      <c r="AS56">
        <f>step3_validation[[#This Row],[AI_TRU3]]</f>
        <v>8</v>
      </c>
      <c r="AT56">
        <f t="shared" si="16"/>
        <v>0.77777777777777779</v>
      </c>
      <c r="AU56">
        <f>survey_responses[[#This Row],[Tôi tin tưởng số tiền thuế tôi đóng sẽ được Nhà nước sử dụng hiệu quả để cải thiện dịch vụ công (y tế, đường xá...). - HUMAN-TRU3]]</f>
        <v>1</v>
      </c>
      <c r="AV56">
        <f t="shared" si="17"/>
        <v>0</v>
      </c>
      <c r="AW56">
        <f>step3_validation[[#This Row],[AI_TRU4]]</f>
        <v>7</v>
      </c>
      <c r="AX56">
        <f t="shared" si="18"/>
        <v>0.66666666666666663</v>
      </c>
      <c r="AY56">
        <f>survey_responses[[#This Row],[Tôi thấy Nhà nước đã giải thích rõ ràng, minh bạch về lý do và mục tiêu của việc sửa đổi thuế lần này. - HUMAN-TRU4]]</f>
        <v>1</v>
      </c>
      <c r="AZ56">
        <f t="shared" si="19"/>
        <v>0</v>
      </c>
      <c r="BA56" s="32">
        <f t="shared" si="20"/>
        <v>0.77777777777777768</v>
      </c>
      <c r="BB56" s="32">
        <f t="shared" si="21"/>
        <v>0.1111111111111111</v>
      </c>
      <c r="BC56" s="7">
        <f t="shared" si="22"/>
        <v>0.74074074074074081</v>
      </c>
      <c r="BD56" s="7">
        <f t="shared" si="23"/>
        <v>0.44444444444444448</v>
      </c>
      <c r="BE56">
        <f>step3_validation[[#This Row],[AI_OUT1]]</f>
        <v>8</v>
      </c>
      <c r="BF56">
        <f t="shared" si="24"/>
        <v>0.77777777777777779</v>
      </c>
      <c r="BG56">
        <f>survey_responses[[#This Row],[Sau khi xem xét các quyền lợi và nghĩa vụ, bạn có ủng hộ và tuân thủ chính sách mới hiện nay? - HUMAN-OUT1]]</f>
        <v>3</v>
      </c>
      <c r="BH56">
        <f t="shared" si="25"/>
        <v>0.22222222222222221</v>
      </c>
      <c r="BI56" s="32">
        <f t="shared" si="26"/>
        <v>5</v>
      </c>
    </row>
    <row r="57" spans="1:61" x14ac:dyDescent="0.45">
      <c r="A57" s="30">
        <f>step3_validation[[#This Row],[Persona_ID]]</f>
        <v>56</v>
      </c>
      <c r="B57" s="31">
        <f>step3_validation[[#This Row],[Used_Seed]]</f>
        <v>56</v>
      </c>
      <c r="C57" t="str">
        <f>step3_validation[[#This Row],[Gender]]</f>
        <v>Nam</v>
      </c>
      <c r="D57" t="str">
        <f>survey_responses[[#This Row],[Giới tính của bạn:]]</f>
        <v>Nam</v>
      </c>
      <c r="E57" t="str">
        <f>step3_validation[[#This Row],[Age_Group]]</f>
        <v>25 - 29</v>
      </c>
      <c r="F57" t="str">
        <f>survey_responses[[#This Row],[Độ tuổi của bạn:]]</f>
        <v>25 - 29</v>
      </c>
      <c r="G57" t="str">
        <f>step3_validation[[#This Row],[Region]]</f>
        <v>Thành thị</v>
      </c>
      <c r="H57" t="str">
        <f>survey_responses[[#This Row],[Khu vực bạn đang sinh sống:]]</f>
        <v>Thành thị</v>
      </c>
      <c r="I57" t="str">
        <f>step3_validation[[#This Row],[Education]]</f>
        <v>Đại học</v>
      </c>
      <c r="J57" t="str">
        <f>survey_responses[[#This Row],[Trình độ học vấn cao nhất:]]</f>
        <v>Đại học</v>
      </c>
      <c r="K57" t="str">
        <f>step3_validation[[#This Row],[Employment]]</f>
        <v>Chính thức</v>
      </c>
      <c r="L57" t="str">
        <f>survey_responses[[#This Row],[Tình trạng việc làm chính:]]</f>
        <v>Khu vực chính thức (Có Hợp đồng lao động, đóng BHXH)</v>
      </c>
      <c r="M57">
        <f>step3_validation[[#This Row],[Income_Mil]]</f>
        <v>12</v>
      </c>
      <c r="N57" t="str">
        <f>survey_responses[[#This Row],[Thu nhập bình quân tháng theo Hợp đồng lao động của bạn là bao nhiêu? (Vui lòng điền tổng thu nhập trước khi khấu trừ các loại Bảo hiểm (BHXH, BHYT, BHTN) và Thuế TNCN)]]</f>
        <v>Dưới 12 triệu VNĐ</v>
      </c>
      <c r="O57">
        <f>step3_validation[[#This Row],[Dependents]]</f>
        <v>0</v>
      </c>
      <c r="P57" t="str">
        <f>survey_responses[[#This Row],[Số người phụ thuộc (con nhỏ, cha mẹ già...) đủ điều kiện giảm trừ gia cảnh:]]</f>
        <v>0 người</v>
      </c>
      <c r="Q57">
        <f>step3_validation[[#This Row],[AI_ENF1]]</f>
        <v>7</v>
      </c>
      <c r="R57">
        <f t="shared" si="0"/>
        <v>0.66666666666666663</v>
      </c>
      <c r="S57">
        <f>survey_responses[[#This Row],[Tôi tin rằng với các quy định quản lý thuế hiện nay, hành vi gian lận hoặc trốn thuế sẽ dễ dàng bị phát hiện và xử lý nghiêm. - HUMAN-ENF1]]</f>
        <v>10</v>
      </c>
      <c r="T57">
        <f t="shared" si="1"/>
        <v>1</v>
      </c>
      <c r="U57">
        <f>step3_validation[[#This Row],[AI_ENF2]]</f>
        <v>8</v>
      </c>
      <c r="V57">
        <f t="shared" si="2"/>
        <v>0.77777777777777779</v>
      </c>
      <c r="W57">
        <f>survey_responses[[#This Row],[Tôi tin rằng Nhà nước, cơ quan thuế có đủ khả năng và công nghệ để phát hiện, xử lý nghiêm các hành vi trốn thuế. - HUMAN-ENF2]]</f>
        <v>10</v>
      </c>
      <c r="X57">
        <f t="shared" si="3"/>
        <v>1</v>
      </c>
      <c r="Y57" s="32">
        <f t="shared" si="4"/>
        <v>0.72222222222222221</v>
      </c>
      <c r="Z57" s="32">
        <f t="shared" si="5"/>
        <v>1</v>
      </c>
      <c r="AA57">
        <f>step3_validation[[#This Row],[AI_FAC1]]</f>
        <v>9</v>
      </c>
      <c r="AB57">
        <f t="shared" si="6"/>
        <v>0.88888888888888884</v>
      </c>
      <c r="AC57">
        <f>survey_responses[[#This Row],[Các thủ tục khai báo thuế VÀ/HOẶC quy trình làm việc với cơ quan thuế đơn giản, tiện lợi, nhanh chóng hơn so với trước đây. - HUMAN-FAC1]]</f>
        <v>9</v>
      </c>
      <c r="AD57">
        <f t="shared" si="7"/>
        <v>0.88888888888888884</v>
      </c>
      <c r="AE57">
        <f>step3_validation[[#This Row],[AI_FAC2]]</f>
        <v>10</v>
      </c>
      <c r="AF57">
        <f t="shared" si="8"/>
        <v>1</v>
      </c>
      <c r="AG57">
        <f>survey_responses[[#This Row],[So với trước đây, tôi thấy cách tính thuế và các bậc thuế trong phương án mới đơn giản, dễ hiểu và dễ thực hiện hơn. - HUMAN-FAC2]]</f>
        <v>10</v>
      </c>
      <c r="AH57">
        <f t="shared" si="9"/>
        <v>1</v>
      </c>
      <c r="AI57" s="32">
        <f t="shared" si="10"/>
        <v>0.94444444444444442</v>
      </c>
      <c r="AJ57" s="32">
        <f t="shared" si="11"/>
        <v>0.94444444444444442</v>
      </c>
      <c r="AK57">
        <f>step3_validation[[#This Row],[AI_TRU1]]</f>
        <v>8</v>
      </c>
      <c r="AL57">
        <f t="shared" si="12"/>
        <v>0.77777777777777779</v>
      </c>
      <c r="AM57">
        <f>survey_responses[[#This Row],[Tôi tin rằng Nhà nước, cơ quan thuế sẽ thực thi chính sách mới một cách khách quan, công tâm và đối xử bình đẳng với mọi người nộp thuế.  - HUMAN-TRU1]]</f>
        <v>9</v>
      </c>
      <c r="AN57">
        <f t="shared" si="13"/>
        <v>0.88888888888888884</v>
      </c>
      <c r="AO57">
        <f>step3_validation[[#This Row],[AI_TRU2]]</f>
        <v>9</v>
      </c>
      <c r="AP57">
        <f t="shared" si="14"/>
        <v>0.88888888888888884</v>
      </c>
      <c r="AQ57">
        <f>survey_responses[[#This Row],[Tôi thấy mức thuế tôi phải đóng theo phương án mới là công bằng (người thu nhập như tôi đóng mức này là hợp lý). - HUMAN-TRU2]]</f>
        <v>10</v>
      </c>
      <c r="AR57">
        <f t="shared" si="15"/>
        <v>1</v>
      </c>
      <c r="AS57">
        <f>step3_validation[[#This Row],[AI_TRU3]]</f>
        <v>8</v>
      </c>
      <c r="AT57">
        <f t="shared" si="16"/>
        <v>0.77777777777777779</v>
      </c>
      <c r="AU57">
        <f>survey_responses[[#This Row],[Tôi tin tưởng số tiền thuế tôi đóng sẽ được Nhà nước sử dụng hiệu quả để cải thiện dịch vụ công (y tế, đường xá...). - HUMAN-TRU3]]</f>
        <v>9</v>
      </c>
      <c r="AV57">
        <f t="shared" si="17"/>
        <v>0.88888888888888884</v>
      </c>
      <c r="AW57">
        <f>step3_validation[[#This Row],[AI_TRU4]]</f>
        <v>7</v>
      </c>
      <c r="AX57">
        <f t="shared" si="18"/>
        <v>0.66666666666666663</v>
      </c>
      <c r="AY57">
        <f>survey_responses[[#This Row],[Tôi thấy Nhà nước đã giải thích rõ ràng, minh bạch về lý do và mục tiêu của việc sửa đổi thuế lần này. - HUMAN-TRU4]]</f>
        <v>10</v>
      </c>
      <c r="AZ57">
        <f t="shared" si="19"/>
        <v>1</v>
      </c>
      <c r="BA57" s="32">
        <f t="shared" si="20"/>
        <v>0.77777777777777768</v>
      </c>
      <c r="BB57" s="32">
        <f t="shared" si="21"/>
        <v>0.94444444444444442</v>
      </c>
      <c r="BC57" s="7">
        <f t="shared" si="22"/>
        <v>0.81481481481481477</v>
      </c>
      <c r="BD57" s="7">
        <f t="shared" si="23"/>
        <v>0.96296296296296291</v>
      </c>
      <c r="BE57">
        <f>step3_validation[[#This Row],[AI_OUT1]]</f>
        <v>9</v>
      </c>
      <c r="BF57">
        <f t="shared" si="24"/>
        <v>0.88888888888888884</v>
      </c>
      <c r="BG57">
        <f>survey_responses[[#This Row],[Sau khi xem xét các quyền lợi và nghĩa vụ, bạn có ủng hộ và tuân thủ chính sách mới hiện nay? - HUMAN-OUT1]]</f>
        <v>9</v>
      </c>
      <c r="BH57">
        <f t="shared" si="25"/>
        <v>0.88888888888888884</v>
      </c>
      <c r="BI57" s="32">
        <f t="shared" si="26"/>
        <v>0</v>
      </c>
    </row>
    <row r="58" spans="1:61" x14ac:dyDescent="0.45">
      <c r="A58" s="30">
        <f>step3_validation[[#This Row],[Persona_ID]]</f>
        <v>57</v>
      </c>
      <c r="B58" s="31">
        <f>step3_validation[[#This Row],[Used_Seed]]</f>
        <v>57</v>
      </c>
      <c r="C58" t="str">
        <f>step3_validation[[#This Row],[Gender]]</f>
        <v>Nữ</v>
      </c>
      <c r="D58" t="str">
        <f>survey_responses[[#This Row],[Giới tính của bạn:]]</f>
        <v>Nữ</v>
      </c>
      <c r="E58" t="str">
        <f>step3_validation[[#This Row],[Age_Group]]</f>
        <v>30 - 39</v>
      </c>
      <c r="F58" t="str">
        <f>survey_responses[[#This Row],[Độ tuổi của bạn:]]</f>
        <v>30 - 39</v>
      </c>
      <c r="G58" t="str">
        <f>step3_validation[[#This Row],[Region]]</f>
        <v>Thành thị</v>
      </c>
      <c r="H58" t="str">
        <f>survey_responses[[#This Row],[Khu vực bạn đang sinh sống:]]</f>
        <v>Thành thị</v>
      </c>
      <c r="I58" t="str">
        <f>step3_validation[[#This Row],[Education]]</f>
        <v>Đại học</v>
      </c>
      <c r="J58" t="str">
        <f>survey_responses[[#This Row],[Trình độ học vấn cao nhất:]]</f>
        <v>Đại học</v>
      </c>
      <c r="K58" t="str">
        <f>step3_validation[[#This Row],[Employment]]</f>
        <v>Chính thức</v>
      </c>
      <c r="L58" t="str">
        <f>survey_responses[[#This Row],[Tình trạng việc làm chính:]]</f>
        <v>Khu vực chính thức (Có Hợp đồng lao động, đóng BHXH)</v>
      </c>
      <c r="M58">
        <f>step3_validation[[#This Row],[Income_Mil]]</f>
        <v>15.420833515777709</v>
      </c>
      <c r="N58" t="str">
        <f>survey_responses[[#This Row],[Thu nhập bình quân tháng theo Hợp đồng lao động của bạn là bao nhiêu? (Vui lòng điền tổng thu nhập trước khi khấu trừ các loại Bảo hiểm (BHXH, BHYT, BHTN) và Thuế TNCN)]]</f>
        <v>Từ 12 - 18 triệu VNĐ</v>
      </c>
      <c r="O58">
        <f>step3_validation[[#This Row],[Dependents]]</f>
        <v>2</v>
      </c>
      <c r="P58" t="str">
        <f>survey_responses[[#This Row],[Số người phụ thuộc (con nhỏ, cha mẹ già...) đủ điều kiện giảm trừ gia cảnh:]]</f>
        <v>2 người</v>
      </c>
      <c r="Q58">
        <f>step3_validation[[#This Row],[AI_ENF1]]</f>
        <v>7</v>
      </c>
      <c r="R58">
        <f t="shared" si="0"/>
        <v>0.66666666666666663</v>
      </c>
      <c r="S58">
        <f>survey_responses[[#This Row],[Tôi tin rằng với các quy định quản lý thuế hiện nay, hành vi gian lận hoặc trốn thuế sẽ dễ dàng bị phát hiện và xử lý nghiêm. - HUMAN-ENF1]]</f>
        <v>10</v>
      </c>
      <c r="T58">
        <f t="shared" si="1"/>
        <v>1</v>
      </c>
      <c r="U58">
        <f>step3_validation[[#This Row],[AI_ENF2]]</f>
        <v>8</v>
      </c>
      <c r="V58">
        <f t="shared" si="2"/>
        <v>0.77777777777777779</v>
      </c>
      <c r="W58">
        <f>survey_responses[[#This Row],[Tôi tin rằng Nhà nước, cơ quan thuế có đủ khả năng và công nghệ để phát hiện, xử lý nghiêm các hành vi trốn thuế. - HUMAN-ENF2]]</f>
        <v>10</v>
      </c>
      <c r="X58">
        <f t="shared" si="3"/>
        <v>1</v>
      </c>
      <c r="Y58" s="32">
        <f t="shared" si="4"/>
        <v>0.72222222222222221</v>
      </c>
      <c r="Z58" s="32">
        <f t="shared" si="5"/>
        <v>1</v>
      </c>
      <c r="AA58">
        <f>step3_validation[[#This Row],[AI_FAC1]]</f>
        <v>7</v>
      </c>
      <c r="AB58">
        <f t="shared" si="6"/>
        <v>0.66666666666666663</v>
      </c>
      <c r="AC58">
        <f>survey_responses[[#This Row],[Các thủ tục khai báo thuế VÀ/HOẶC quy trình làm việc với cơ quan thuế đơn giản, tiện lợi, nhanh chóng hơn so với trước đây. - HUMAN-FAC1]]</f>
        <v>1</v>
      </c>
      <c r="AD58">
        <f t="shared" si="7"/>
        <v>0</v>
      </c>
      <c r="AE58">
        <f>step3_validation[[#This Row],[AI_FAC2]]</f>
        <v>9</v>
      </c>
      <c r="AF58">
        <f t="shared" si="8"/>
        <v>0.88888888888888884</v>
      </c>
      <c r="AG58">
        <f>survey_responses[[#This Row],[So với trước đây, tôi thấy cách tính thuế và các bậc thuế trong phương án mới đơn giản, dễ hiểu và dễ thực hiện hơn. - HUMAN-FAC2]]</f>
        <v>5</v>
      </c>
      <c r="AH58">
        <f t="shared" si="9"/>
        <v>0.44444444444444442</v>
      </c>
      <c r="AI58" s="32">
        <f t="shared" si="10"/>
        <v>0.77777777777777768</v>
      </c>
      <c r="AJ58" s="32">
        <f t="shared" si="11"/>
        <v>0.22222222222222221</v>
      </c>
      <c r="AK58">
        <f>step3_validation[[#This Row],[AI_TRU1]]</f>
        <v>8</v>
      </c>
      <c r="AL58">
        <f t="shared" si="12"/>
        <v>0.77777777777777779</v>
      </c>
      <c r="AM58">
        <f>survey_responses[[#This Row],[Tôi tin rằng Nhà nước, cơ quan thuế sẽ thực thi chính sách mới một cách khách quan, công tâm và đối xử bình đẳng với mọi người nộp thuế.  - HUMAN-TRU1]]</f>
        <v>7</v>
      </c>
      <c r="AN58">
        <f t="shared" si="13"/>
        <v>0.66666666666666663</v>
      </c>
      <c r="AO58">
        <f>step3_validation[[#This Row],[AI_TRU2]]</f>
        <v>9</v>
      </c>
      <c r="AP58">
        <f t="shared" si="14"/>
        <v>0.88888888888888884</v>
      </c>
      <c r="AQ58">
        <f>survey_responses[[#This Row],[Tôi thấy mức thuế tôi phải đóng theo phương án mới là công bằng (người thu nhập như tôi đóng mức này là hợp lý). - HUMAN-TRU2]]</f>
        <v>10</v>
      </c>
      <c r="AR58">
        <f t="shared" si="15"/>
        <v>1</v>
      </c>
      <c r="AS58">
        <f>step3_validation[[#This Row],[AI_TRU3]]</f>
        <v>8</v>
      </c>
      <c r="AT58">
        <f t="shared" si="16"/>
        <v>0.77777777777777779</v>
      </c>
      <c r="AU58">
        <f>survey_responses[[#This Row],[Tôi tin tưởng số tiền thuế tôi đóng sẽ được Nhà nước sử dụng hiệu quả để cải thiện dịch vụ công (y tế, đường xá...). - HUMAN-TRU3]]</f>
        <v>9</v>
      </c>
      <c r="AV58">
        <f t="shared" si="17"/>
        <v>0.88888888888888884</v>
      </c>
      <c r="AW58">
        <f>step3_validation[[#This Row],[AI_TRU4]]</f>
        <v>7</v>
      </c>
      <c r="AX58">
        <f t="shared" si="18"/>
        <v>0.66666666666666663</v>
      </c>
      <c r="AY58">
        <f>survey_responses[[#This Row],[Tôi thấy Nhà nước đã giải thích rõ ràng, minh bạch về lý do và mục tiêu của việc sửa đổi thuế lần này. - HUMAN-TRU4]]</f>
        <v>9</v>
      </c>
      <c r="AZ58">
        <f t="shared" si="19"/>
        <v>0.88888888888888884</v>
      </c>
      <c r="BA58" s="32">
        <f t="shared" si="20"/>
        <v>0.77777777777777768</v>
      </c>
      <c r="BB58" s="32">
        <f t="shared" si="21"/>
        <v>0.86111111111111105</v>
      </c>
      <c r="BC58" s="7">
        <f t="shared" si="22"/>
        <v>0.75925925925925919</v>
      </c>
      <c r="BD58" s="7">
        <f t="shared" si="23"/>
        <v>0.69444444444444453</v>
      </c>
      <c r="BE58">
        <f>step3_validation[[#This Row],[AI_OUT1]]</f>
        <v>9</v>
      </c>
      <c r="BF58">
        <f t="shared" si="24"/>
        <v>0.88888888888888884</v>
      </c>
      <c r="BG58">
        <f>survey_responses[[#This Row],[Sau khi xem xét các quyền lợi và nghĩa vụ, bạn có ủng hộ và tuân thủ chính sách mới hiện nay? - HUMAN-OUT1]]</f>
        <v>10</v>
      </c>
      <c r="BH58">
        <f t="shared" si="25"/>
        <v>1</v>
      </c>
      <c r="BI58" s="32">
        <f t="shared" si="26"/>
        <v>1</v>
      </c>
    </row>
    <row r="59" spans="1:61" x14ac:dyDescent="0.45">
      <c r="A59" s="30">
        <f>step3_validation[[#This Row],[Persona_ID]]</f>
        <v>58</v>
      </c>
      <c r="B59" s="31">
        <f>step3_validation[[#This Row],[Used_Seed]]</f>
        <v>58</v>
      </c>
      <c r="C59" t="str">
        <f>step3_validation[[#This Row],[Gender]]</f>
        <v>Nữ</v>
      </c>
      <c r="D59" t="str">
        <f>survey_responses[[#This Row],[Giới tính của bạn:]]</f>
        <v>Nữ</v>
      </c>
      <c r="E59" t="str">
        <f>step3_validation[[#This Row],[Age_Group]]</f>
        <v>40 - 49</v>
      </c>
      <c r="F59" t="str">
        <f>survey_responses[[#This Row],[Độ tuổi của bạn:]]</f>
        <v>40 - 49</v>
      </c>
      <c r="G59" t="str">
        <f>step3_validation[[#This Row],[Region]]</f>
        <v>Thành thị</v>
      </c>
      <c r="H59" t="str">
        <f>survey_responses[[#This Row],[Khu vực bạn đang sinh sống:]]</f>
        <v>Thành thị</v>
      </c>
      <c r="I59" t="str">
        <f>step3_validation[[#This Row],[Education]]</f>
        <v>Sau Đại học</v>
      </c>
      <c r="J59" t="str">
        <f>survey_responses[[#This Row],[Trình độ học vấn cao nhất:]]</f>
        <v>Sau Đại học</v>
      </c>
      <c r="K59" t="str">
        <f>step3_validation[[#This Row],[Employment]]</f>
        <v>Chính thức</v>
      </c>
      <c r="L59" t="str">
        <f>survey_responses[[#This Row],[Tình trạng việc làm chính:]]</f>
        <v>Khu vực chính thức (Có Hợp đồng lao động, đóng BHXH)</v>
      </c>
      <c r="M59">
        <f>step3_validation[[#This Row],[Income_Mil]]</f>
        <v>25.472094404529958</v>
      </c>
      <c r="N59" t="str">
        <f>survey_responses[[#This Row],[Thu nhập bình quân tháng theo Hợp đồng lao động của bạn là bao nhiêu? (Vui lòng điền tổng thu nhập trước khi khấu trừ các loại Bảo hiểm (BHXH, BHYT, BHTN) và Thuế TNCN)]]</f>
        <v>Từ 23 - 32 triệu VNĐ</v>
      </c>
      <c r="O59">
        <f>step3_validation[[#This Row],[Dependents]]</f>
        <v>1</v>
      </c>
      <c r="P59" t="str">
        <f>survey_responses[[#This Row],[Số người phụ thuộc (con nhỏ, cha mẹ già...) đủ điều kiện giảm trừ gia cảnh:]]</f>
        <v>1 người</v>
      </c>
      <c r="Q59">
        <f>step3_validation[[#This Row],[AI_ENF1]]</f>
        <v>7</v>
      </c>
      <c r="R59">
        <f t="shared" si="0"/>
        <v>0.66666666666666663</v>
      </c>
      <c r="S59">
        <f>survey_responses[[#This Row],[Tôi tin rằng với các quy định quản lý thuế hiện nay, hành vi gian lận hoặc trốn thuế sẽ dễ dàng bị phát hiện và xử lý nghiêm. - HUMAN-ENF1]]</f>
        <v>5</v>
      </c>
      <c r="T59">
        <f t="shared" si="1"/>
        <v>0.44444444444444442</v>
      </c>
      <c r="U59">
        <f>step3_validation[[#This Row],[AI_ENF2]]</f>
        <v>8</v>
      </c>
      <c r="V59">
        <f t="shared" si="2"/>
        <v>0.77777777777777779</v>
      </c>
      <c r="W59">
        <f>survey_responses[[#This Row],[Tôi tin rằng Nhà nước, cơ quan thuế có đủ khả năng và công nghệ để phát hiện, xử lý nghiêm các hành vi trốn thuế. - HUMAN-ENF2]]</f>
        <v>5</v>
      </c>
      <c r="X59">
        <f t="shared" si="3"/>
        <v>0.44444444444444442</v>
      </c>
      <c r="Y59" s="32">
        <f t="shared" si="4"/>
        <v>0.72222222222222221</v>
      </c>
      <c r="Z59" s="32">
        <f t="shared" si="5"/>
        <v>0.44444444444444442</v>
      </c>
      <c r="AA59">
        <f>step3_validation[[#This Row],[AI_FAC1]]</f>
        <v>9</v>
      </c>
      <c r="AB59">
        <f t="shared" si="6"/>
        <v>0.88888888888888884</v>
      </c>
      <c r="AC59">
        <f>survey_responses[[#This Row],[Các thủ tục khai báo thuế VÀ/HOẶC quy trình làm việc với cơ quan thuế đơn giản, tiện lợi, nhanh chóng hơn so với trước đây. - HUMAN-FAC1]]</f>
        <v>4</v>
      </c>
      <c r="AD59">
        <f t="shared" si="7"/>
        <v>0.33333333333333331</v>
      </c>
      <c r="AE59">
        <f>step3_validation[[#This Row],[AI_FAC2]]</f>
        <v>9</v>
      </c>
      <c r="AF59">
        <f t="shared" si="8"/>
        <v>0.88888888888888884</v>
      </c>
      <c r="AG59">
        <f>survey_responses[[#This Row],[So với trước đây, tôi thấy cách tính thuế và các bậc thuế trong phương án mới đơn giản, dễ hiểu và dễ thực hiện hơn. - HUMAN-FAC2]]</f>
        <v>8</v>
      </c>
      <c r="AH59">
        <f t="shared" si="9"/>
        <v>0.77777777777777779</v>
      </c>
      <c r="AI59" s="32">
        <f t="shared" si="10"/>
        <v>0.88888888888888884</v>
      </c>
      <c r="AJ59" s="32">
        <f t="shared" si="11"/>
        <v>0.55555555555555558</v>
      </c>
      <c r="AK59">
        <f>step3_validation[[#This Row],[AI_TRU1]]</f>
        <v>8</v>
      </c>
      <c r="AL59">
        <f t="shared" si="12"/>
        <v>0.77777777777777779</v>
      </c>
      <c r="AM59">
        <f>survey_responses[[#This Row],[Tôi tin rằng Nhà nước, cơ quan thuế sẽ thực thi chính sách mới một cách khách quan, công tâm và đối xử bình đẳng với mọi người nộp thuế.  - HUMAN-TRU1]]</f>
        <v>5</v>
      </c>
      <c r="AN59">
        <f t="shared" si="13"/>
        <v>0.44444444444444442</v>
      </c>
      <c r="AO59">
        <f>step3_validation[[#This Row],[AI_TRU2]]</f>
        <v>9</v>
      </c>
      <c r="AP59">
        <f t="shared" si="14"/>
        <v>0.88888888888888884</v>
      </c>
      <c r="AQ59">
        <f>survey_responses[[#This Row],[Tôi thấy mức thuế tôi phải đóng theo phương án mới là công bằng (người thu nhập như tôi đóng mức này là hợp lý). - HUMAN-TRU2]]</f>
        <v>7</v>
      </c>
      <c r="AR59">
        <f t="shared" si="15"/>
        <v>0.66666666666666663</v>
      </c>
      <c r="AS59">
        <f>step3_validation[[#This Row],[AI_TRU3]]</f>
        <v>8</v>
      </c>
      <c r="AT59">
        <f t="shared" si="16"/>
        <v>0.77777777777777779</v>
      </c>
      <c r="AU59">
        <f>survey_responses[[#This Row],[Tôi tin tưởng số tiền thuế tôi đóng sẽ được Nhà nước sử dụng hiệu quả để cải thiện dịch vụ công (y tế, đường xá...). - HUMAN-TRU3]]</f>
        <v>7</v>
      </c>
      <c r="AV59">
        <f t="shared" si="17"/>
        <v>0.66666666666666663</v>
      </c>
      <c r="AW59">
        <f>step3_validation[[#This Row],[AI_TRU4]]</f>
        <v>7</v>
      </c>
      <c r="AX59">
        <f t="shared" si="18"/>
        <v>0.66666666666666663</v>
      </c>
      <c r="AY59">
        <f>survey_responses[[#This Row],[Tôi thấy Nhà nước đã giải thích rõ ràng, minh bạch về lý do và mục tiêu của việc sửa đổi thuế lần này. - HUMAN-TRU4]]</f>
        <v>7</v>
      </c>
      <c r="AZ59">
        <f t="shared" si="19"/>
        <v>0.66666666666666663</v>
      </c>
      <c r="BA59" s="32">
        <f t="shared" si="20"/>
        <v>0.77777777777777768</v>
      </c>
      <c r="BB59" s="32">
        <f t="shared" si="21"/>
        <v>0.61111111111111105</v>
      </c>
      <c r="BC59" s="7">
        <f t="shared" si="22"/>
        <v>0.79629629629629628</v>
      </c>
      <c r="BD59" s="7">
        <f t="shared" si="23"/>
        <v>0.53703703703703709</v>
      </c>
      <c r="BE59">
        <f>step3_validation[[#This Row],[AI_OUT1]]</f>
        <v>9</v>
      </c>
      <c r="BF59">
        <f t="shared" si="24"/>
        <v>0.88888888888888884</v>
      </c>
      <c r="BG59">
        <f>survey_responses[[#This Row],[Sau khi xem xét các quyền lợi và nghĩa vụ, bạn có ủng hộ và tuân thủ chính sách mới hiện nay? - HUMAN-OUT1]]</f>
        <v>7</v>
      </c>
      <c r="BH59">
        <f t="shared" si="25"/>
        <v>0.66666666666666663</v>
      </c>
      <c r="BI59" s="32">
        <f t="shared" si="26"/>
        <v>2</v>
      </c>
    </row>
    <row r="60" spans="1:61" x14ac:dyDescent="0.45">
      <c r="A60" s="30">
        <f>step3_validation[[#This Row],[Persona_ID]]</f>
        <v>59</v>
      </c>
      <c r="B60" s="31">
        <f>step3_validation[[#This Row],[Used_Seed]]</f>
        <v>59</v>
      </c>
      <c r="C60" t="str">
        <f>step3_validation[[#This Row],[Gender]]</f>
        <v>Nữ</v>
      </c>
      <c r="D60" t="str">
        <f>survey_responses[[#This Row],[Giới tính của bạn:]]</f>
        <v>Nữ</v>
      </c>
      <c r="E60" t="str">
        <f>step3_validation[[#This Row],[Age_Group]]</f>
        <v>18 - 24</v>
      </c>
      <c r="F60" t="str">
        <f>survey_responses[[#This Row],[Độ tuổi của bạn:]]</f>
        <v>18 - 24</v>
      </c>
      <c r="G60" t="str">
        <f>step3_validation[[#This Row],[Region]]</f>
        <v>Thành thị</v>
      </c>
      <c r="H60" t="str">
        <f>survey_responses[[#This Row],[Khu vực bạn đang sinh sống:]]</f>
        <v>Thành thị</v>
      </c>
      <c r="I60" t="str">
        <f>step3_validation[[#This Row],[Education]]</f>
        <v>Đại học</v>
      </c>
      <c r="J60" t="str">
        <f>survey_responses[[#This Row],[Trình độ học vấn cao nhất:]]</f>
        <v>Đại học</v>
      </c>
      <c r="K60" t="str">
        <f>step3_validation[[#This Row],[Employment]]</f>
        <v>Phi chính thức</v>
      </c>
      <c r="L60" t="str">
        <f>survey_responses[[#This Row],[Tình trạng việc làm chính:]]</f>
        <v>Khu vực phi chính thức (Lao động tự do, không có HĐLĐ)</v>
      </c>
      <c r="M60">
        <f>step3_validation[[#This Row],[Income_Mil]]</f>
        <v>12</v>
      </c>
      <c r="N60" t="str">
        <f>survey_responses[[#This Row],[Thu nhập bình quân tháng theo Hợp đồng lao động của bạn là bao nhiêu? (Vui lòng điền tổng thu nhập trước khi khấu trừ các loại Bảo hiểm (BHXH, BHYT, BHTN) và Thuế TNCN)]]</f>
        <v>Dưới 12 triệu VNĐ</v>
      </c>
      <c r="O60">
        <f>step3_validation[[#This Row],[Dependents]]</f>
        <v>0</v>
      </c>
      <c r="P60" t="str">
        <f>survey_responses[[#This Row],[Số người phụ thuộc (con nhỏ, cha mẹ già...) đủ điều kiện giảm trừ gia cảnh:]]</f>
        <v>0 người</v>
      </c>
      <c r="Q60">
        <f>step3_validation[[#This Row],[AI_ENF1]]</f>
        <v>9</v>
      </c>
      <c r="R60">
        <f t="shared" si="0"/>
        <v>0.88888888888888884</v>
      </c>
      <c r="S60">
        <f>survey_responses[[#This Row],[Tôi tin rằng với các quy định quản lý thuế hiện nay, hành vi gian lận hoặc trốn thuế sẽ dễ dàng bị phát hiện và xử lý nghiêm. - HUMAN-ENF1]]</f>
        <v>9</v>
      </c>
      <c r="T60">
        <f t="shared" si="1"/>
        <v>0.88888888888888884</v>
      </c>
      <c r="U60">
        <f>step3_validation[[#This Row],[AI_ENF2]]</f>
        <v>8</v>
      </c>
      <c r="V60">
        <f t="shared" si="2"/>
        <v>0.77777777777777779</v>
      </c>
      <c r="W60">
        <f>survey_responses[[#This Row],[Tôi tin rằng Nhà nước, cơ quan thuế có đủ khả năng và công nghệ để phát hiện, xử lý nghiêm các hành vi trốn thuế. - HUMAN-ENF2]]</f>
        <v>9</v>
      </c>
      <c r="X60">
        <f t="shared" si="3"/>
        <v>0.88888888888888884</v>
      </c>
      <c r="Y60" s="32">
        <f t="shared" si="4"/>
        <v>0.83333333333333326</v>
      </c>
      <c r="Z60" s="32">
        <f t="shared" si="5"/>
        <v>0.88888888888888884</v>
      </c>
      <c r="AA60">
        <f>step3_validation[[#This Row],[AI_FAC1]]</f>
        <v>9</v>
      </c>
      <c r="AB60">
        <f t="shared" si="6"/>
        <v>0.88888888888888884</v>
      </c>
      <c r="AC60">
        <f>survey_responses[[#This Row],[Các thủ tục khai báo thuế VÀ/HOẶC quy trình làm việc với cơ quan thuế đơn giản, tiện lợi, nhanh chóng hơn so với trước đây. - HUMAN-FAC1]]</f>
        <v>9</v>
      </c>
      <c r="AD60">
        <f t="shared" si="7"/>
        <v>0.88888888888888884</v>
      </c>
      <c r="AE60">
        <f>step3_validation[[#This Row],[AI_FAC2]]</f>
        <v>8</v>
      </c>
      <c r="AF60">
        <f t="shared" si="8"/>
        <v>0.77777777777777779</v>
      </c>
      <c r="AG60">
        <f>survey_responses[[#This Row],[So với trước đây, tôi thấy cách tính thuế và các bậc thuế trong phương án mới đơn giản, dễ hiểu và dễ thực hiện hơn. - HUMAN-FAC2]]</f>
        <v>7</v>
      </c>
      <c r="AH60">
        <f t="shared" si="9"/>
        <v>0.66666666666666663</v>
      </c>
      <c r="AI60" s="32">
        <f t="shared" si="10"/>
        <v>0.83333333333333326</v>
      </c>
      <c r="AJ60" s="32">
        <f t="shared" si="11"/>
        <v>0.77777777777777768</v>
      </c>
      <c r="AK60">
        <f>step3_validation[[#This Row],[AI_TRU1]]</f>
        <v>9</v>
      </c>
      <c r="AL60">
        <f t="shared" si="12"/>
        <v>0.88888888888888884</v>
      </c>
      <c r="AM60">
        <f>survey_responses[[#This Row],[Tôi tin rằng Nhà nước, cơ quan thuế sẽ thực thi chính sách mới một cách khách quan, công tâm và đối xử bình đẳng với mọi người nộp thuế.  - HUMAN-TRU1]]</f>
        <v>7</v>
      </c>
      <c r="AN60">
        <f t="shared" si="13"/>
        <v>0.66666666666666663</v>
      </c>
      <c r="AO60">
        <f>step3_validation[[#This Row],[AI_TRU2]]</f>
        <v>9</v>
      </c>
      <c r="AP60">
        <f t="shared" si="14"/>
        <v>0.88888888888888884</v>
      </c>
      <c r="AQ60">
        <f>survey_responses[[#This Row],[Tôi thấy mức thuế tôi phải đóng theo phương án mới là công bằng (người thu nhập như tôi đóng mức này là hợp lý). - HUMAN-TRU2]]</f>
        <v>8</v>
      </c>
      <c r="AR60">
        <f t="shared" si="15"/>
        <v>0.77777777777777779</v>
      </c>
      <c r="AS60">
        <f>step3_validation[[#This Row],[AI_TRU3]]</f>
        <v>8</v>
      </c>
      <c r="AT60">
        <f t="shared" si="16"/>
        <v>0.77777777777777779</v>
      </c>
      <c r="AU60">
        <f>survey_responses[[#This Row],[Tôi tin tưởng số tiền thuế tôi đóng sẽ được Nhà nước sử dụng hiệu quả để cải thiện dịch vụ công (y tế, đường xá...). - HUMAN-TRU3]]</f>
        <v>8</v>
      </c>
      <c r="AV60">
        <f t="shared" si="17"/>
        <v>0.77777777777777779</v>
      </c>
      <c r="AW60">
        <f>step3_validation[[#This Row],[AI_TRU4]]</f>
        <v>7</v>
      </c>
      <c r="AX60">
        <f t="shared" si="18"/>
        <v>0.66666666666666663</v>
      </c>
      <c r="AY60">
        <f>survey_responses[[#This Row],[Tôi thấy Nhà nước đã giải thích rõ ràng, minh bạch về lý do và mục tiêu của việc sửa đổi thuế lần này. - HUMAN-TRU4]]</f>
        <v>6</v>
      </c>
      <c r="AZ60">
        <f t="shared" si="19"/>
        <v>0.55555555555555558</v>
      </c>
      <c r="BA60" s="32">
        <f t="shared" si="20"/>
        <v>0.80555555555555547</v>
      </c>
      <c r="BB60" s="32">
        <f t="shared" si="21"/>
        <v>0.69444444444444442</v>
      </c>
      <c r="BC60" s="7">
        <f t="shared" si="22"/>
        <v>0.82407407407407396</v>
      </c>
      <c r="BD60" s="7">
        <f t="shared" si="23"/>
        <v>0.78703703703703687</v>
      </c>
      <c r="BE60">
        <f>step3_validation[[#This Row],[AI_OUT1]]</f>
        <v>9</v>
      </c>
      <c r="BF60">
        <f t="shared" si="24"/>
        <v>0.88888888888888884</v>
      </c>
      <c r="BG60">
        <f>survey_responses[[#This Row],[Sau khi xem xét các quyền lợi và nghĩa vụ, bạn có ủng hộ và tuân thủ chính sách mới hiện nay? - HUMAN-OUT1]]</f>
        <v>5</v>
      </c>
      <c r="BH60">
        <f t="shared" si="25"/>
        <v>0.44444444444444442</v>
      </c>
      <c r="BI60" s="32">
        <f t="shared" si="26"/>
        <v>4</v>
      </c>
    </row>
    <row r="61" spans="1:61" x14ac:dyDescent="0.45">
      <c r="A61" s="30">
        <f>step3_validation[[#This Row],[Persona_ID]]</f>
        <v>60</v>
      </c>
      <c r="B61" s="31">
        <f>step3_validation[[#This Row],[Used_Seed]]</f>
        <v>60</v>
      </c>
      <c r="C61" t="str">
        <f>step3_validation[[#This Row],[Gender]]</f>
        <v>Nam</v>
      </c>
      <c r="D61" t="str">
        <f>survey_responses[[#This Row],[Giới tính của bạn:]]</f>
        <v>Nam</v>
      </c>
      <c r="E61" t="str">
        <f>step3_validation[[#This Row],[Age_Group]]</f>
        <v>25 - 29</v>
      </c>
      <c r="F61" t="str">
        <f>survey_responses[[#This Row],[Độ tuổi của bạn:]]</f>
        <v>25 - 29</v>
      </c>
      <c r="G61" t="str">
        <f>step3_validation[[#This Row],[Region]]</f>
        <v>Thành thị</v>
      </c>
      <c r="H61" t="str">
        <f>survey_responses[[#This Row],[Khu vực bạn đang sinh sống:]]</f>
        <v>Thành thị</v>
      </c>
      <c r="I61" t="str">
        <f>step3_validation[[#This Row],[Education]]</f>
        <v>Đại học</v>
      </c>
      <c r="J61" t="str">
        <f>survey_responses[[#This Row],[Trình độ học vấn cao nhất:]]</f>
        <v>Đại học</v>
      </c>
      <c r="K61" t="str">
        <f>step3_validation[[#This Row],[Employment]]</f>
        <v>Chính thức</v>
      </c>
      <c r="L61" t="str">
        <f>survey_responses[[#This Row],[Tình trạng việc làm chính:]]</f>
        <v>Khu vực chính thức (Có Hợp đồng lao động, đóng BHXH)</v>
      </c>
      <c r="M61">
        <f>step3_validation[[#This Row],[Income_Mil]]</f>
        <v>13.621419063506382</v>
      </c>
      <c r="N61" t="str">
        <f>survey_responses[[#This Row],[Thu nhập bình quân tháng theo Hợp đồng lao động của bạn là bao nhiêu? (Vui lòng điền tổng thu nhập trước khi khấu trừ các loại Bảo hiểm (BHXH, BHYT, BHTN) và Thuế TNCN)]]</f>
        <v>Từ 12 - 18 triệu VNĐ</v>
      </c>
      <c r="O61">
        <f>step3_validation[[#This Row],[Dependents]]</f>
        <v>0</v>
      </c>
      <c r="P61" t="str">
        <f>survey_responses[[#This Row],[Số người phụ thuộc (con nhỏ, cha mẹ già...) đủ điều kiện giảm trừ gia cảnh:]]</f>
        <v>0 người</v>
      </c>
      <c r="Q61">
        <f>step3_validation[[#This Row],[AI_ENF1]]</f>
        <v>7</v>
      </c>
      <c r="R61">
        <f t="shared" si="0"/>
        <v>0.66666666666666663</v>
      </c>
      <c r="S61">
        <f>survey_responses[[#This Row],[Tôi tin rằng với các quy định quản lý thuế hiện nay, hành vi gian lận hoặc trốn thuế sẽ dễ dàng bị phát hiện và xử lý nghiêm. - HUMAN-ENF1]]</f>
        <v>5</v>
      </c>
      <c r="T61">
        <f t="shared" si="1"/>
        <v>0.44444444444444442</v>
      </c>
      <c r="U61">
        <f>step3_validation[[#This Row],[AI_ENF2]]</f>
        <v>8</v>
      </c>
      <c r="V61">
        <f t="shared" si="2"/>
        <v>0.77777777777777779</v>
      </c>
      <c r="W61">
        <f>survey_responses[[#This Row],[Tôi tin rằng Nhà nước, cơ quan thuế có đủ khả năng và công nghệ để phát hiện, xử lý nghiêm các hành vi trốn thuế. - HUMAN-ENF2]]</f>
        <v>5</v>
      </c>
      <c r="X61">
        <f t="shared" si="3"/>
        <v>0.44444444444444442</v>
      </c>
      <c r="Y61" s="32">
        <f t="shared" si="4"/>
        <v>0.72222222222222221</v>
      </c>
      <c r="Z61" s="32">
        <f t="shared" si="5"/>
        <v>0.44444444444444442</v>
      </c>
      <c r="AA61">
        <f>step3_validation[[#This Row],[AI_FAC1]]</f>
        <v>9</v>
      </c>
      <c r="AB61">
        <f t="shared" si="6"/>
        <v>0.88888888888888884</v>
      </c>
      <c r="AC61">
        <f>survey_responses[[#This Row],[Các thủ tục khai báo thuế VÀ/HOẶC quy trình làm việc với cơ quan thuế đơn giản, tiện lợi, nhanh chóng hơn so với trước đây. - HUMAN-FAC1]]</f>
        <v>5</v>
      </c>
      <c r="AD61">
        <f t="shared" si="7"/>
        <v>0.44444444444444442</v>
      </c>
      <c r="AE61">
        <f>step3_validation[[#This Row],[AI_FAC2]]</f>
        <v>9</v>
      </c>
      <c r="AF61">
        <f t="shared" si="8"/>
        <v>0.88888888888888884</v>
      </c>
      <c r="AG61">
        <f>survey_responses[[#This Row],[So với trước đây, tôi thấy cách tính thuế và các bậc thuế trong phương án mới đơn giản, dễ hiểu và dễ thực hiện hơn. - HUMAN-FAC2]]</f>
        <v>5</v>
      </c>
      <c r="AH61">
        <f t="shared" si="9"/>
        <v>0.44444444444444442</v>
      </c>
      <c r="AI61" s="32">
        <f t="shared" si="10"/>
        <v>0.88888888888888884</v>
      </c>
      <c r="AJ61" s="32">
        <f t="shared" si="11"/>
        <v>0.44444444444444442</v>
      </c>
      <c r="AK61">
        <f>step3_validation[[#This Row],[AI_TRU1]]</f>
        <v>8</v>
      </c>
      <c r="AL61">
        <f t="shared" si="12"/>
        <v>0.77777777777777779</v>
      </c>
      <c r="AM61">
        <f>survey_responses[[#This Row],[Tôi tin rằng Nhà nước, cơ quan thuế sẽ thực thi chính sách mới một cách khách quan, công tâm và đối xử bình đẳng với mọi người nộp thuế.  - HUMAN-TRU1]]</f>
        <v>5</v>
      </c>
      <c r="AN61">
        <f t="shared" si="13"/>
        <v>0.44444444444444442</v>
      </c>
      <c r="AO61">
        <f>step3_validation[[#This Row],[AI_TRU2]]</f>
        <v>9</v>
      </c>
      <c r="AP61">
        <f t="shared" si="14"/>
        <v>0.88888888888888884</v>
      </c>
      <c r="AQ61">
        <f>survey_responses[[#This Row],[Tôi thấy mức thuế tôi phải đóng theo phương án mới là công bằng (người thu nhập như tôi đóng mức này là hợp lý). - HUMAN-TRU2]]</f>
        <v>8</v>
      </c>
      <c r="AR61">
        <f t="shared" si="15"/>
        <v>0.77777777777777779</v>
      </c>
      <c r="AS61">
        <f>step3_validation[[#This Row],[AI_TRU3]]</f>
        <v>8</v>
      </c>
      <c r="AT61">
        <f t="shared" si="16"/>
        <v>0.77777777777777779</v>
      </c>
      <c r="AU61">
        <f>survey_responses[[#This Row],[Tôi tin tưởng số tiền thuế tôi đóng sẽ được Nhà nước sử dụng hiệu quả để cải thiện dịch vụ công (y tế, đường xá...). - HUMAN-TRU3]]</f>
        <v>4</v>
      </c>
      <c r="AV61">
        <f t="shared" si="17"/>
        <v>0.33333333333333331</v>
      </c>
      <c r="AW61">
        <f>step3_validation[[#This Row],[AI_TRU4]]</f>
        <v>9</v>
      </c>
      <c r="AX61">
        <f t="shared" si="18"/>
        <v>0.88888888888888884</v>
      </c>
      <c r="AY61">
        <f>survey_responses[[#This Row],[Tôi thấy Nhà nước đã giải thích rõ ràng, minh bạch về lý do và mục tiêu của việc sửa đổi thuế lần này. - HUMAN-TRU4]]</f>
        <v>5</v>
      </c>
      <c r="AZ61">
        <f t="shared" si="19"/>
        <v>0.44444444444444442</v>
      </c>
      <c r="BA61" s="32">
        <f t="shared" si="20"/>
        <v>0.83333333333333326</v>
      </c>
      <c r="BB61" s="32">
        <f t="shared" si="21"/>
        <v>0.5</v>
      </c>
      <c r="BC61" s="7">
        <f t="shared" si="22"/>
        <v>0.81481481481481488</v>
      </c>
      <c r="BD61" s="7">
        <f t="shared" si="23"/>
        <v>0.46296296296296297</v>
      </c>
      <c r="BE61">
        <f>step3_validation[[#This Row],[AI_OUT1]]</f>
        <v>10</v>
      </c>
      <c r="BF61">
        <f t="shared" si="24"/>
        <v>1</v>
      </c>
      <c r="BG61">
        <f>survey_responses[[#This Row],[Sau khi xem xét các quyền lợi và nghĩa vụ, bạn có ủng hộ và tuân thủ chính sách mới hiện nay? - HUMAN-OUT1]]</f>
        <v>5</v>
      </c>
      <c r="BH61">
        <f t="shared" si="25"/>
        <v>0.44444444444444442</v>
      </c>
      <c r="BI61" s="32">
        <f t="shared" si="26"/>
        <v>5</v>
      </c>
    </row>
    <row r="62" spans="1:61" x14ac:dyDescent="0.45">
      <c r="A62" s="30">
        <f>step3_validation[[#This Row],[Persona_ID]]</f>
        <v>61</v>
      </c>
      <c r="B62" s="31">
        <f>step3_validation[[#This Row],[Used_Seed]]</f>
        <v>61</v>
      </c>
      <c r="C62" t="str">
        <f>step3_validation[[#This Row],[Gender]]</f>
        <v>Nữ</v>
      </c>
      <c r="D62" t="str">
        <f>survey_responses[[#This Row],[Giới tính của bạn:]]</f>
        <v>Nữ</v>
      </c>
      <c r="E62" t="str">
        <f>step3_validation[[#This Row],[Age_Group]]</f>
        <v>30 - 39</v>
      </c>
      <c r="F62" t="str">
        <f>survey_responses[[#This Row],[Độ tuổi của bạn:]]</f>
        <v>30 - 39</v>
      </c>
      <c r="G62" t="str">
        <f>step3_validation[[#This Row],[Region]]</f>
        <v>Thành thị</v>
      </c>
      <c r="H62" t="str">
        <f>survey_responses[[#This Row],[Khu vực bạn đang sinh sống:]]</f>
        <v>Thành thị</v>
      </c>
      <c r="I62" t="str">
        <f>step3_validation[[#This Row],[Education]]</f>
        <v>Sau Đại học</v>
      </c>
      <c r="J62" t="str">
        <f>survey_responses[[#This Row],[Trình độ học vấn cao nhất:]]</f>
        <v>Sau Đại học</v>
      </c>
      <c r="K62" t="str">
        <f>step3_validation[[#This Row],[Employment]]</f>
        <v>Chính thức</v>
      </c>
      <c r="L62" t="str">
        <f>survey_responses[[#This Row],[Tình trạng việc làm chính:]]</f>
        <v>Khu vực chính thức (Có Hợp đồng lao động, đóng BHXH)</v>
      </c>
      <c r="M62">
        <f>step3_validation[[#This Row],[Income_Mil]]</f>
        <v>19.497497131510563</v>
      </c>
      <c r="N62" t="str">
        <f>survey_responses[[#This Row],[Thu nhập bình quân tháng theo Hợp đồng lao động của bạn là bao nhiêu? (Vui lòng điền tổng thu nhập trước khi khấu trừ các loại Bảo hiểm (BHXH, BHYT, BHTN) và Thuế TNCN)]]</f>
        <v>Từ 18 - 23 triệu VNĐ</v>
      </c>
      <c r="O62">
        <f>step3_validation[[#This Row],[Dependents]]</f>
        <v>1</v>
      </c>
      <c r="P62" t="str">
        <f>survey_responses[[#This Row],[Số người phụ thuộc (con nhỏ, cha mẹ già...) đủ điều kiện giảm trừ gia cảnh:]]</f>
        <v>1 người</v>
      </c>
      <c r="Q62">
        <f>step3_validation[[#This Row],[AI_ENF1]]</f>
        <v>7</v>
      </c>
      <c r="R62">
        <f t="shared" si="0"/>
        <v>0.66666666666666663</v>
      </c>
      <c r="S62">
        <f>survey_responses[[#This Row],[Tôi tin rằng với các quy định quản lý thuế hiện nay, hành vi gian lận hoặc trốn thuế sẽ dễ dàng bị phát hiện và xử lý nghiêm. - HUMAN-ENF1]]</f>
        <v>8</v>
      </c>
      <c r="T62">
        <f t="shared" si="1"/>
        <v>0.77777777777777779</v>
      </c>
      <c r="U62">
        <f>step3_validation[[#This Row],[AI_ENF2]]</f>
        <v>8</v>
      </c>
      <c r="V62">
        <f t="shared" si="2"/>
        <v>0.77777777777777779</v>
      </c>
      <c r="W62">
        <f>survey_responses[[#This Row],[Tôi tin rằng Nhà nước, cơ quan thuế có đủ khả năng và công nghệ để phát hiện, xử lý nghiêm các hành vi trốn thuế. - HUMAN-ENF2]]</f>
        <v>9</v>
      </c>
      <c r="X62">
        <f t="shared" si="3"/>
        <v>0.88888888888888884</v>
      </c>
      <c r="Y62" s="32">
        <f t="shared" si="4"/>
        <v>0.72222222222222221</v>
      </c>
      <c r="Z62" s="32">
        <f t="shared" si="5"/>
        <v>0.83333333333333326</v>
      </c>
      <c r="AA62">
        <f>step3_validation[[#This Row],[AI_FAC1]]</f>
        <v>9</v>
      </c>
      <c r="AB62">
        <f t="shared" si="6"/>
        <v>0.88888888888888884</v>
      </c>
      <c r="AC62">
        <f>survey_responses[[#This Row],[Các thủ tục khai báo thuế VÀ/HOẶC quy trình làm việc với cơ quan thuế đơn giản, tiện lợi, nhanh chóng hơn so với trước đây. - HUMAN-FAC1]]</f>
        <v>9</v>
      </c>
      <c r="AD62">
        <f t="shared" si="7"/>
        <v>0.88888888888888884</v>
      </c>
      <c r="AE62">
        <f>step3_validation[[#This Row],[AI_FAC2]]</f>
        <v>9</v>
      </c>
      <c r="AF62">
        <f t="shared" si="8"/>
        <v>0.88888888888888884</v>
      </c>
      <c r="AG62">
        <f>survey_responses[[#This Row],[So với trước đây, tôi thấy cách tính thuế và các bậc thuế trong phương án mới đơn giản, dễ hiểu và dễ thực hiện hơn. - HUMAN-FAC2]]</f>
        <v>9</v>
      </c>
      <c r="AH62">
        <f t="shared" si="9"/>
        <v>0.88888888888888884</v>
      </c>
      <c r="AI62" s="32">
        <f t="shared" si="10"/>
        <v>0.88888888888888884</v>
      </c>
      <c r="AJ62" s="32">
        <f t="shared" si="11"/>
        <v>0.88888888888888884</v>
      </c>
      <c r="AK62">
        <f>step3_validation[[#This Row],[AI_TRU1]]</f>
        <v>7</v>
      </c>
      <c r="AL62">
        <f t="shared" si="12"/>
        <v>0.66666666666666663</v>
      </c>
      <c r="AM62">
        <f>survey_responses[[#This Row],[Tôi tin rằng Nhà nước, cơ quan thuế sẽ thực thi chính sách mới một cách khách quan, công tâm và đối xử bình đẳng với mọi người nộp thuế.  - HUMAN-TRU1]]</f>
        <v>9</v>
      </c>
      <c r="AN62">
        <f t="shared" si="13"/>
        <v>0.88888888888888884</v>
      </c>
      <c r="AO62">
        <f>step3_validation[[#This Row],[AI_TRU2]]</f>
        <v>8</v>
      </c>
      <c r="AP62">
        <f t="shared" si="14"/>
        <v>0.77777777777777779</v>
      </c>
      <c r="AQ62">
        <f>survey_responses[[#This Row],[Tôi thấy mức thuế tôi phải đóng theo phương án mới là công bằng (người thu nhập như tôi đóng mức này là hợp lý). - HUMAN-TRU2]]</f>
        <v>8</v>
      </c>
      <c r="AR62">
        <f t="shared" si="15"/>
        <v>0.77777777777777779</v>
      </c>
      <c r="AS62">
        <f>step3_validation[[#This Row],[AI_TRU3]]</f>
        <v>7</v>
      </c>
      <c r="AT62">
        <f t="shared" si="16"/>
        <v>0.66666666666666663</v>
      </c>
      <c r="AU62">
        <f>survey_responses[[#This Row],[Tôi tin tưởng số tiền thuế tôi đóng sẽ được Nhà nước sử dụng hiệu quả để cải thiện dịch vụ công (y tế, đường xá...). - HUMAN-TRU3]]</f>
        <v>8</v>
      </c>
      <c r="AV62">
        <f t="shared" si="17"/>
        <v>0.77777777777777779</v>
      </c>
      <c r="AW62">
        <f>step3_validation[[#This Row],[AI_TRU4]]</f>
        <v>6</v>
      </c>
      <c r="AX62">
        <f t="shared" si="18"/>
        <v>0.55555555555555558</v>
      </c>
      <c r="AY62">
        <f>survey_responses[[#This Row],[Tôi thấy Nhà nước đã giải thích rõ ràng, minh bạch về lý do và mục tiêu của việc sửa đổi thuế lần này. - HUMAN-TRU4]]</f>
        <v>8</v>
      </c>
      <c r="AZ62">
        <f t="shared" si="19"/>
        <v>0.77777777777777779</v>
      </c>
      <c r="BA62" s="32">
        <f t="shared" si="20"/>
        <v>0.66666666666666674</v>
      </c>
      <c r="BB62" s="32">
        <f t="shared" si="21"/>
        <v>0.80555555555555547</v>
      </c>
      <c r="BC62" s="7">
        <f t="shared" si="22"/>
        <v>0.75925925925925919</v>
      </c>
      <c r="BD62" s="7">
        <f t="shared" si="23"/>
        <v>0.84259259259259256</v>
      </c>
      <c r="BE62">
        <f>step3_validation[[#This Row],[AI_OUT1]]</f>
        <v>9</v>
      </c>
      <c r="BF62">
        <f t="shared" si="24"/>
        <v>0.88888888888888884</v>
      </c>
      <c r="BG62">
        <f>survey_responses[[#This Row],[Sau khi xem xét các quyền lợi và nghĩa vụ, bạn có ủng hộ và tuân thủ chính sách mới hiện nay? - HUMAN-OUT1]]</f>
        <v>9</v>
      </c>
      <c r="BH62">
        <f t="shared" si="25"/>
        <v>0.88888888888888884</v>
      </c>
      <c r="BI62" s="32">
        <f t="shared" si="26"/>
        <v>0</v>
      </c>
    </row>
    <row r="63" spans="1:61" x14ac:dyDescent="0.45">
      <c r="A63" s="30">
        <f>step3_validation[[#This Row],[Persona_ID]]</f>
        <v>62</v>
      </c>
      <c r="B63" s="31">
        <f>step3_validation[[#This Row],[Used_Seed]]</f>
        <v>62</v>
      </c>
      <c r="C63" t="str">
        <f>step3_validation[[#This Row],[Gender]]</f>
        <v>Nữ</v>
      </c>
      <c r="D63" t="str">
        <f>survey_responses[[#This Row],[Giới tính của bạn:]]</f>
        <v>Nữ</v>
      </c>
      <c r="E63" t="str">
        <f>step3_validation[[#This Row],[Age_Group]]</f>
        <v>25 - 29</v>
      </c>
      <c r="F63" t="str">
        <f>survey_responses[[#This Row],[Độ tuổi của bạn:]]</f>
        <v>25 - 29</v>
      </c>
      <c r="G63" t="str">
        <f>step3_validation[[#This Row],[Region]]</f>
        <v>Thành thị</v>
      </c>
      <c r="H63" t="str">
        <f>survey_responses[[#This Row],[Khu vực bạn đang sinh sống:]]</f>
        <v>Thành thị</v>
      </c>
      <c r="I63" t="str">
        <f>step3_validation[[#This Row],[Education]]</f>
        <v>Sau Đại học</v>
      </c>
      <c r="J63" t="str">
        <f>survey_responses[[#This Row],[Trình độ học vấn cao nhất:]]</f>
        <v>Sau Đại học</v>
      </c>
      <c r="K63" t="str">
        <f>step3_validation[[#This Row],[Employment]]</f>
        <v>Chính thức</v>
      </c>
      <c r="L63" t="str">
        <f>survey_responses[[#This Row],[Tình trạng việc làm chính:]]</f>
        <v>Khu vực chính thức (Có Hợp đồng lao động, đóng BHXH)</v>
      </c>
      <c r="M63">
        <f>step3_validation[[#This Row],[Income_Mil]]</f>
        <v>27.874561334862651</v>
      </c>
      <c r="N63" t="str">
        <f>survey_responses[[#This Row],[Thu nhập bình quân tháng theo Hợp đồng lao động của bạn là bao nhiêu? (Vui lòng điền tổng thu nhập trước khi khấu trừ các loại Bảo hiểm (BHXH, BHYT, BHTN) và Thuế TNCN)]]</f>
        <v>Từ 23 - 32 triệu VNĐ</v>
      </c>
      <c r="O63">
        <f>step3_validation[[#This Row],[Dependents]]</f>
        <v>0</v>
      </c>
      <c r="P63" t="str">
        <f>survey_responses[[#This Row],[Số người phụ thuộc (con nhỏ, cha mẹ già...) đủ điều kiện giảm trừ gia cảnh:]]</f>
        <v>0 người</v>
      </c>
      <c r="Q63">
        <f>step3_validation[[#This Row],[AI_ENF1]]</f>
        <v>7</v>
      </c>
      <c r="R63">
        <f t="shared" si="0"/>
        <v>0.66666666666666663</v>
      </c>
      <c r="S63">
        <f>survey_responses[[#This Row],[Tôi tin rằng với các quy định quản lý thuế hiện nay, hành vi gian lận hoặc trốn thuế sẽ dễ dàng bị phát hiện và xử lý nghiêm. - HUMAN-ENF1]]</f>
        <v>9</v>
      </c>
      <c r="T63">
        <f t="shared" si="1"/>
        <v>0.88888888888888884</v>
      </c>
      <c r="U63">
        <f>step3_validation[[#This Row],[AI_ENF2]]</f>
        <v>8</v>
      </c>
      <c r="V63">
        <f t="shared" si="2"/>
        <v>0.77777777777777779</v>
      </c>
      <c r="W63">
        <f>survey_responses[[#This Row],[Tôi tin rằng Nhà nước, cơ quan thuế có đủ khả năng và công nghệ để phát hiện, xử lý nghiêm các hành vi trốn thuế. - HUMAN-ENF2]]</f>
        <v>9</v>
      </c>
      <c r="X63">
        <f t="shared" si="3"/>
        <v>0.88888888888888884</v>
      </c>
      <c r="Y63" s="32">
        <f t="shared" si="4"/>
        <v>0.72222222222222221</v>
      </c>
      <c r="Z63" s="32">
        <f t="shared" si="5"/>
        <v>0.88888888888888884</v>
      </c>
      <c r="AA63">
        <f>step3_validation[[#This Row],[AI_FAC1]]</f>
        <v>6</v>
      </c>
      <c r="AB63">
        <f t="shared" si="6"/>
        <v>0.55555555555555558</v>
      </c>
      <c r="AC63">
        <f>survey_responses[[#This Row],[Các thủ tục khai báo thuế VÀ/HOẶC quy trình làm việc với cơ quan thuế đơn giản, tiện lợi, nhanh chóng hơn so với trước đây. - HUMAN-FAC1]]</f>
        <v>7</v>
      </c>
      <c r="AD63">
        <f t="shared" si="7"/>
        <v>0.66666666666666663</v>
      </c>
      <c r="AE63">
        <f>step3_validation[[#This Row],[AI_FAC2]]</f>
        <v>9</v>
      </c>
      <c r="AF63">
        <f t="shared" si="8"/>
        <v>0.88888888888888884</v>
      </c>
      <c r="AG63">
        <f>survey_responses[[#This Row],[So với trước đây, tôi thấy cách tính thuế và các bậc thuế trong phương án mới đơn giản, dễ hiểu và dễ thực hiện hơn. - HUMAN-FAC2]]</f>
        <v>6</v>
      </c>
      <c r="AH63">
        <f t="shared" si="9"/>
        <v>0.55555555555555558</v>
      </c>
      <c r="AI63" s="32">
        <f t="shared" si="10"/>
        <v>0.72222222222222221</v>
      </c>
      <c r="AJ63" s="32">
        <f t="shared" si="11"/>
        <v>0.61111111111111116</v>
      </c>
      <c r="AK63">
        <f>step3_validation[[#This Row],[AI_TRU1]]</f>
        <v>7</v>
      </c>
      <c r="AL63">
        <f t="shared" si="12"/>
        <v>0.66666666666666663</v>
      </c>
      <c r="AM63">
        <f>survey_responses[[#This Row],[Tôi tin rằng Nhà nước, cơ quan thuế sẽ thực thi chính sách mới một cách khách quan, công tâm và đối xử bình đẳng với mọi người nộp thuế.  - HUMAN-TRU1]]</f>
        <v>7</v>
      </c>
      <c r="AN63">
        <f t="shared" si="13"/>
        <v>0.66666666666666663</v>
      </c>
      <c r="AO63">
        <f>step3_validation[[#This Row],[AI_TRU2]]</f>
        <v>9</v>
      </c>
      <c r="AP63">
        <f t="shared" si="14"/>
        <v>0.88888888888888884</v>
      </c>
      <c r="AQ63">
        <f>survey_responses[[#This Row],[Tôi thấy mức thuế tôi phải đóng theo phương án mới là công bằng (người thu nhập như tôi đóng mức này là hợp lý). - HUMAN-TRU2]]</f>
        <v>5</v>
      </c>
      <c r="AR63">
        <f t="shared" si="15"/>
        <v>0.44444444444444442</v>
      </c>
      <c r="AS63">
        <f>step3_validation[[#This Row],[AI_TRU3]]</f>
        <v>8</v>
      </c>
      <c r="AT63">
        <f t="shared" si="16"/>
        <v>0.77777777777777779</v>
      </c>
      <c r="AU63">
        <f>survey_responses[[#This Row],[Tôi tin tưởng số tiền thuế tôi đóng sẽ được Nhà nước sử dụng hiệu quả để cải thiện dịch vụ công (y tế, đường xá...). - HUMAN-TRU3]]</f>
        <v>6</v>
      </c>
      <c r="AV63">
        <f t="shared" si="17"/>
        <v>0.55555555555555558</v>
      </c>
      <c r="AW63">
        <f>step3_validation[[#This Row],[AI_TRU4]]</f>
        <v>6</v>
      </c>
      <c r="AX63">
        <f t="shared" si="18"/>
        <v>0.55555555555555558</v>
      </c>
      <c r="AY63">
        <f>survey_responses[[#This Row],[Tôi thấy Nhà nước đã giải thích rõ ràng, minh bạch về lý do và mục tiêu của việc sửa đổi thuế lần này. - HUMAN-TRU4]]</f>
        <v>8</v>
      </c>
      <c r="AZ63">
        <f t="shared" si="19"/>
        <v>0.77777777777777779</v>
      </c>
      <c r="BA63" s="32">
        <f t="shared" si="20"/>
        <v>0.7222222222222221</v>
      </c>
      <c r="BB63" s="32">
        <f t="shared" si="21"/>
        <v>0.61111111111111116</v>
      </c>
      <c r="BC63" s="7">
        <f t="shared" si="22"/>
        <v>0.72222222222222221</v>
      </c>
      <c r="BD63" s="7">
        <f t="shared" si="23"/>
        <v>0.70370370370370372</v>
      </c>
      <c r="BE63">
        <f>step3_validation[[#This Row],[AI_OUT1]]</f>
        <v>8</v>
      </c>
      <c r="BF63">
        <f t="shared" si="24"/>
        <v>0.77777777777777779</v>
      </c>
      <c r="BG63">
        <f>survey_responses[[#This Row],[Sau khi xem xét các quyền lợi và nghĩa vụ, bạn có ủng hộ và tuân thủ chính sách mới hiện nay? - HUMAN-OUT1]]</f>
        <v>5</v>
      </c>
      <c r="BH63">
        <f t="shared" si="25"/>
        <v>0.44444444444444442</v>
      </c>
      <c r="BI63" s="32">
        <f t="shared" si="26"/>
        <v>3</v>
      </c>
    </row>
    <row r="64" spans="1:61" x14ac:dyDescent="0.45">
      <c r="A64" s="30">
        <f>step3_validation[[#This Row],[Persona_ID]]</f>
        <v>63</v>
      </c>
      <c r="B64" s="31">
        <f>step3_validation[[#This Row],[Used_Seed]]</f>
        <v>63</v>
      </c>
      <c r="C64" t="str">
        <f>step3_validation[[#This Row],[Gender]]</f>
        <v>Nữ</v>
      </c>
      <c r="D64" t="str">
        <f>survey_responses[[#This Row],[Giới tính của bạn:]]</f>
        <v>Nữ</v>
      </c>
      <c r="E64" t="str">
        <f>step3_validation[[#This Row],[Age_Group]]</f>
        <v>50 - 54</v>
      </c>
      <c r="F64" t="str">
        <f>survey_responses[[#This Row],[Độ tuổi của bạn:]]</f>
        <v>50 - 54</v>
      </c>
      <c r="G64" t="str">
        <f>step3_validation[[#This Row],[Region]]</f>
        <v>Nông thôn</v>
      </c>
      <c r="H64" t="str">
        <f>survey_responses[[#This Row],[Khu vực bạn đang sinh sống:]]</f>
        <v>Nông thôn</v>
      </c>
      <c r="I64" t="str">
        <f>step3_validation[[#This Row],[Education]]</f>
        <v>Đại học</v>
      </c>
      <c r="J64" t="str">
        <f>survey_responses[[#This Row],[Trình độ học vấn cao nhất:]]</f>
        <v>Đại học</v>
      </c>
      <c r="K64" t="str">
        <f>step3_validation[[#This Row],[Employment]]</f>
        <v>Chính thức</v>
      </c>
      <c r="L64" t="str">
        <f>survey_responses[[#This Row],[Tình trạng việc làm chính:]]</f>
        <v>Khu vực chính thức (Có Hợp đồng lao động, đóng BHXH)</v>
      </c>
      <c r="M64">
        <f>step3_validation[[#This Row],[Income_Mil]]</f>
        <v>20.240317487582271</v>
      </c>
      <c r="N64" t="str">
        <f>survey_responses[[#This Row],[Thu nhập bình quân tháng theo Hợp đồng lao động của bạn là bao nhiêu? (Vui lòng điền tổng thu nhập trước khi khấu trừ các loại Bảo hiểm (BHXH, BHYT, BHTN) và Thuế TNCN)]]</f>
        <v>Từ 18 - 23 triệu VNĐ</v>
      </c>
      <c r="O64">
        <f>step3_validation[[#This Row],[Dependents]]</f>
        <v>1</v>
      </c>
      <c r="P64" t="str">
        <f>survey_responses[[#This Row],[Số người phụ thuộc (con nhỏ, cha mẹ già...) đủ điều kiện giảm trừ gia cảnh:]]</f>
        <v>1 người</v>
      </c>
      <c r="Q64">
        <f>step3_validation[[#This Row],[AI_ENF1]]</f>
        <v>7</v>
      </c>
      <c r="R64">
        <f t="shared" si="0"/>
        <v>0.66666666666666663</v>
      </c>
      <c r="S64">
        <f>survey_responses[[#This Row],[Tôi tin rằng với các quy định quản lý thuế hiện nay, hành vi gian lận hoặc trốn thuế sẽ dễ dàng bị phát hiện và xử lý nghiêm. - HUMAN-ENF1]]</f>
        <v>9</v>
      </c>
      <c r="T64">
        <f t="shared" si="1"/>
        <v>0.88888888888888884</v>
      </c>
      <c r="U64">
        <f>step3_validation[[#This Row],[AI_ENF2]]</f>
        <v>8</v>
      </c>
      <c r="V64">
        <f t="shared" si="2"/>
        <v>0.77777777777777779</v>
      </c>
      <c r="W64">
        <f>survey_responses[[#This Row],[Tôi tin rằng Nhà nước, cơ quan thuế có đủ khả năng và công nghệ để phát hiện, xử lý nghiêm các hành vi trốn thuế. - HUMAN-ENF2]]</f>
        <v>9</v>
      </c>
      <c r="X64">
        <f t="shared" si="3"/>
        <v>0.88888888888888884</v>
      </c>
      <c r="Y64" s="32">
        <f t="shared" si="4"/>
        <v>0.72222222222222221</v>
      </c>
      <c r="Z64" s="32">
        <f t="shared" si="5"/>
        <v>0.88888888888888884</v>
      </c>
      <c r="AA64">
        <f>step3_validation[[#This Row],[AI_FAC1]]</f>
        <v>9</v>
      </c>
      <c r="AB64">
        <f t="shared" si="6"/>
        <v>0.88888888888888884</v>
      </c>
      <c r="AC64">
        <f>survey_responses[[#This Row],[Các thủ tục khai báo thuế VÀ/HOẶC quy trình làm việc với cơ quan thuế đơn giản, tiện lợi, nhanh chóng hơn so với trước đây. - HUMAN-FAC1]]</f>
        <v>9</v>
      </c>
      <c r="AD64">
        <f t="shared" si="7"/>
        <v>0.88888888888888884</v>
      </c>
      <c r="AE64">
        <f>step3_validation[[#This Row],[AI_FAC2]]</f>
        <v>10</v>
      </c>
      <c r="AF64">
        <f t="shared" si="8"/>
        <v>1</v>
      </c>
      <c r="AG64">
        <f>survey_responses[[#This Row],[So với trước đây, tôi thấy cách tính thuế và các bậc thuế trong phương án mới đơn giản, dễ hiểu và dễ thực hiện hơn. - HUMAN-FAC2]]</f>
        <v>9</v>
      </c>
      <c r="AH64">
        <f t="shared" si="9"/>
        <v>0.88888888888888884</v>
      </c>
      <c r="AI64" s="32">
        <f t="shared" si="10"/>
        <v>0.94444444444444442</v>
      </c>
      <c r="AJ64" s="32">
        <f t="shared" si="11"/>
        <v>0.88888888888888884</v>
      </c>
      <c r="AK64">
        <f>step3_validation[[#This Row],[AI_TRU1]]</f>
        <v>9</v>
      </c>
      <c r="AL64">
        <f t="shared" si="12"/>
        <v>0.88888888888888884</v>
      </c>
      <c r="AM64">
        <f>survey_responses[[#This Row],[Tôi tin rằng Nhà nước, cơ quan thuế sẽ thực thi chính sách mới một cách khách quan, công tâm và đối xử bình đẳng với mọi người nộp thuế.  - HUMAN-TRU1]]</f>
        <v>8</v>
      </c>
      <c r="AN64">
        <f t="shared" si="13"/>
        <v>0.77777777777777779</v>
      </c>
      <c r="AO64">
        <f>step3_validation[[#This Row],[AI_TRU2]]</f>
        <v>8</v>
      </c>
      <c r="AP64">
        <f t="shared" si="14"/>
        <v>0.77777777777777779</v>
      </c>
      <c r="AQ64">
        <f>survey_responses[[#This Row],[Tôi thấy mức thuế tôi phải đóng theo phương án mới là công bằng (người thu nhập như tôi đóng mức này là hợp lý). - HUMAN-TRU2]]</f>
        <v>9</v>
      </c>
      <c r="AR64">
        <f t="shared" si="15"/>
        <v>0.88888888888888884</v>
      </c>
      <c r="AS64">
        <f>step3_validation[[#This Row],[AI_TRU3]]</f>
        <v>9</v>
      </c>
      <c r="AT64">
        <f t="shared" si="16"/>
        <v>0.88888888888888884</v>
      </c>
      <c r="AU64">
        <f>survey_responses[[#This Row],[Tôi tin tưởng số tiền thuế tôi đóng sẽ được Nhà nước sử dụng hiệu quả để cải thiện dịch vụ công (y tế, đường xá...). - HUMAN-TRU3]]</f>
        <v>9</v>
      </c>
      <c r="AV64">
        <f t="shared" si="17"/>
        <v>0.88888888888888884</v>
      </c>
      <c r="AW64">
        <f>step3_validation[[#This Row],[AI_TRU4]]</f>
        <v>8</v>
      </c>
      <c r="AX64">
        <f t="shared" si="18"/>
        <v>0.77777777777777779</v>
      </c>
      <c r="AY64">
        <f>survey_responses[[#This Row],[Tôi thấy Nhà nước đã giải thích rõ ràng, minh bạch về lý do và mục tiêu của việc sửa đổi thuế lần này. - HUMAN-TRU4]]</f>
        <v>8</v>
      </c>
      <c r="AZ64">
        <f t="shared" si="19"/>
        <v>0.77777777777777779</v>
      </c>
      <c r="BA64" s="32">
        <f t="shared" si="20"/>
        <v>0.83333333333333326</v>
      </c>
      <c r="BB64" s="32">
        <f t="shared" si="21"/>
        <v>0.83333333333333326</v>
      </c>
      <c r="BC64" s="7">
        <f t="shared" si="22"/>
        <v>0.83333333333333337</v>
      </c>
      <c r="BD64" s="7">
        <f t="shared" si="23"/>
        <v>0.87037037037037024</v>
      </c>
      <c r="BE64">
        <f>step3_validation[[#This Row],[AI_OUT1]]</f>
        <v>9</v>
      </c>
      <c r="BF64">
        <f t="shared" si="24"/>
        <v>0.88888888888888884</v>
      </c>
      <c r="BG64">
        <f>survey_responses[[#This Row],[Sau khi xem xét các quyền lợi và nghĩa vụ, bạn có ủng hộ và tuân thủ chính sách mới hiện nay? - HUMAN-OUT1]]</f>
        <v>7</v>
      </c>
      <c r="BH64">
        <f t="shared" si="25"/>
        <v>0.66666666666666663</v>
      </c>
      <c r="BI64" s="32">
        <f t="shared" si="26"/>
        <v>2</v>
      </c>
    </row>
    <row r="65" spans="1:61" x14ac:dyDescent="0.45">
      <c r="A65" s="30">
        <f>step3_validation[[#This Row],[Persona_ID]]</f>
        <v>64</v>
      </c>
      <c r="B65" s="31">
        <f>step3_validation[[#This Row],[Used_Seed]]</f>
        <v>64</v>
      </c>
      <c r="C65" t="str">
        <f>step3_validation[[#This Row],[Gender]]</f>
        <v>Nữ</v>
      </c>
      <c r="D65" t="str">
        <f>survey_responses[[#This Row],[Giới tính của bạn:]]</f>
        <v>Nữ</v>
      </c>
      <c r="E65" t="str">
        <f>step3_validation[[#This Row],[Age_Group]]</f>
        <v>30 - 39</v>
      </c>
      <c r="F65" t="str">
        <f>survey_responses[[#This Row],[Độ tuổi của bạn:]]</f>
        <v>30 - 39</v>
      </c>
      <c r="G65" t="str">
        <f>step3_validation[[#This Row],[Region]]</f>
        <v>Thành thị</v>
      </c>
      <c r="H65" t="str">
        <f>survey_responses[[#This Row],[Khu vực bạn đang sinh sống:]]</f>
        <v>Thành thị</v>
      </c>
      <c r="I65" t="str">
        <f>step3_validation[[#This Row],[Education]]</f>
        <v>Đại học</v>
      </c>
      <c r="J65" t="str">
        <f>survey_responses[[#This Row],[Trình độ học vấn cao nhất:]]</f>
        <v>Đại học</v>
      </c>
      <c r="K65" t="str">
        <f>step3_validation[[#This Row],[Employment]]</f>
        <v>Phi chính thức</v>
      </c>
      <c r="L65" t="str">
        <f>survey_responses[[#This Row],[Tình trạng việc làm chính:]]</f>
        <v>Khu vực phi chính thức (Lao động tự do, không có HĐLĐ)</v>
      </c>
      <c r="M65">
        <f>step3_validation[[#This Row],[Income_Mil]]</f>
        <v>241.63703100557973</v>
      </c>
      <c r="N65" t="str">
        <f>survey_responses[[#This Row],[Thu nhập bình quân tháng theo Hợp đồng lao động của bạn là bao nhiêu? (Vui lòng điền tổng thu nhập trước khi khấu trừ các loại Bảo hiểm (BHXH, BHYT, BHTN) và Thuế TNCN)]]</f>
        <v>Trên 102 triệu VNĐ</v>
      </c>
      <c r="O65">
        <f>step3_validation[[#This Row],[Dependents]]</f>
        <v>2</v>
      </c>
      <c r="P65" t="str">
        <f>survey_responses[[#This Row],[Số người phụ thuộc (con nhỏ, cha mẹ già...) đủ điều kiện giảm trừ gia cảnh:]]</f>
        <v>2 người</v>
      </c>
      <c r="Q65">
        <f>step3_validation[[#This Row],[AI_ENF1]]</f>
        <v>9</v>
      </c>
      <c r="R65">
        <f t="shared" si="0"/>
        <v>0.88888888888888884</v>
      </c>
      <c r="S65">
        <f>survey_responses[[#This Row],[Tôi tin rằng với các quy định quản lý thuế hiện nay, hành vi gian lận hoặc trốn thuế sẽ dễ dàng bị phát hiện và xử lý nghiêm. - HUMAN-ENF1]]</f>
        <v>9</v>
      </c>
      <c r="T65">
        <f t="shared" si="1"/>
        <v>0.88888888888888884</v>
      </c>
      <c r="U65">
        <f>step3_validation[[#This Row],[AI_ENF2]]</f>
        <v>8</v>
      </c>
      <c r="V65">
        <f t="shared" si="2"/>
        <v>0.77777777777777779</v>
      </c>
      <c r="W65">
        <f>survey_responses[[#This Row],[Tôi tin rằng Nhà nước, cơ quan thuế có đủ khả năng và công nghệ để phát hiện, xử lý nghiêm các hành vi trốn thuế. - HUMAN-ENF2]]</f>
        <v>10</v>
      </c>
      <c r="X65">
        <f t="shared" si="3"/>
        <v>1</v>
      </c>
      <c r="Y65" s="32">
        <f t="shared" si="4"/>
        <v>0.83333333333333326</v>
      </c>
      <c r="Z65" s="32">
        <f t="shared" si="5"/>
        <v>0.94444444444444442</v>
      </c>
      <c r="AA65">
        <f>step3_validation[[#This Row],[AI_FAC1]]</f>
        <v>9</v>
      </c>
      <c r="AB65">
        <f t="shared" si="6"/>
        <v>0.88888888888888884</v>
      </c>
      <c r="AC65">
        <f>survey_responses[[#This Row],[Các thủ tục khai báo thuế VÀ/HOẶC quy trình làm việc với cơ quan thuế đơn giản, tiện lợi, nhanh chóng hơn so với trước đây. - HUMAN-FAC1]]</f>
        <v>9</v>
      </c>
      <c r="AD65">
        <f t="shared" si="7"/>
        <v>0.88888888888888884</v>
      </c>
      <c r="AE65">
        <f>step3_validation[[#This Row],[AI_FAC2]]</f>
        <v>8</v>
      </c>
      <c r="AF65">
        <f t="shared" si="8"/>
        <v>0.77777777777777779</v>
      </c>
      <c r="AG65">
        <f>survey_responses[[#This Row],[So với trước đây, tôi thấy cách tính thuế và các bậc thuế trong phương án mới đơn giản, dễ hiểu và dễ thực hiện hơn. - HUMAN-FAC2]]</f>
        <v>10</v>
      </c>
      <c r="AH65">
        <f t="shared" si="9"/>
        <v>1</v>
      </c>
      <c r="AI65" s="32">
        <f t="shared" si="10"/>
        <v>0.83333333333333326</v>
      </c>
      <c r="AJ65" s="32">
        <f t="shared" si="11"/>
        <v>0.94444444444444442</v>
      </c>
      <c r="AK65">
        <f>step3_validation[[#This Row],[AI_TRU1]]</f>
        <v>9</v>
      </c>
      <c r="AL65">
        <f t="shared" si="12"/>
        <v>0.88888888888888884</v>
      </c>
      <c r="AM65">
        <f>survey_responses[[#This Row],[Tôi tin rằng Nhà nước, cơ quan thuế sẽ thực thi chính sách mới một cách khách quan, công tâm và đối xử bình đẳng với mọi người nộp thuế.  - HUMAN-TRU1]]</f>
        <v>10</v>
      </c>
      <c r="AN65">
        <f t="shared" si="13"/>
        <v>1</v>
      </c>
      <c r="AO65">
        <f>step3_validation[[#This Row],[AI_TRU2]]</f>
        <v>8</v>
      </c>
      <c r="AP65">
        <f t="shared" si="14"/>
        <v>0.77777777777777779</v>
      </c>
      <c r="AQ65">
        <f>survey_responses[[#This Row],[Tôi thấy mức thuế tôi phải đóng theo phương án mới là công bằng (người thu nhập như tôi đóng mức này là hợp lý). - HUMAN-TRU2]]</f>
        <v>5</v>
      </c>
      <c r="AR65">
        <f t="shared" si="15"/>
        <v>0.44444444444444442</v>
      </c>
      <c r="AS65">
        <f>step3_validation[[#This Row],[AI_TRU3]]</f>
        <v>9</v>
      </c>
      <c r="AT65">
        <f t="shared" si="16"/>
        <v>0.88888888888888884</v>
      </c>
      <c r="AU65">
        <f>survey_responses[[#This Row],[Tôi tin tưởng số tiền thuế tôi đóng sẽ được Nhà nước sử dụng hiệu quả để cải thiện dịch vụ công (y tế, đường xá...). - HUMAN-TRU3]]</f>
        <v>10</v>
      </c>
      <c r="AV65">
        <f t="shared" si="17"/>
        <v>1</v>
      </c>
      <c r="AW65">
        <f>step3_validation[[#This Row],[AI_TRU4]]</f>
        <v>8</v>
      </c>
      <c r="AX65">
        <f t="shared" si="18"/>
        <v>0.77777777777777779</v>
      </c>
      <c r="AY65">
        <f>survey_responses[[#This Row],[Tôi thấy Nhà nước đã giải thích rõ ràng, minh bạch về lý do và mục tiêu của việc sửa đổi thuế lần này. - HUMAN-TRU4]]</f>
        <v>7</v>
      </c>
      <c r="AZ65">
        <f t="shared" si="19"/>
        <v>0.66666666666666663</v>
      </c>
      <c r="BA65" s="32">
        <f t="shared" si="20"/>
        <v>0.83333333333333326</v>
      </c>
      <c r="BB65" s="32">
        <f t="shared" si="21"/>
        <v>0.77777777777777779</v>
      </c>
      <c r="BC65" s="7">
        <f t="shared" si="22"/>
        <v>0.83333333333333337</v>
      </c>
      <c r="BD65" s="7">
        <f t="shared" si="23"/>
        <v>0.88888888888888884</v>
      </c>
      <c r="BE65">
        <f>step3_validation[[#This Row],[AI_OUT1]]</f>
        <v>9</v>
      </c>
      <c r="BF65">
        <f t="shared" si="24"/>
        <v>0.88888888888888884</v>
      </c>
      <c r="BG65">
        <f>survey_responses[[#This Row],[Sau khi xem xét các quyền lợi và nghĩa vụ, bạn có ủng hộ và tuân thủ chính sách mới hiện nay? - HUMAN-OUT1]]</f>
        <v>9</v>
      </c>
      <c r="BH65">
        <f t="shared" si="25"/>
        <v>0.88888888888888884</v>
      </c>
      <c r="BI65" s="32">
        <f t="shared" si="26"/>
        <v>0</v>
      </c>
    </row>
    <row r="66" spans="1:61" x14ac:dyDescent="0.45">
      <c r="A66" s="30">
        <f>step3_validation[[#This Row],[Persona_ID]]</f>
        <v>65</v>
      </c>
      <c r="B66" s="31">
        <f>step3_validation[[#This Row],[Used_Seed]]</f>
        <v>65</v>
      </c>
      <c r="C66" t="str">
        <f>step3_validation[[#This Row],[Gender]]</f>
        <v>Nữ</v>
      </c>
      <c r="D66" t="str">
        <f>survey_responses[[#This Row],[Giới tính của bạn:]]</f>
        <v>Nữ</v>
      </c>
      <c r="E66" t="str">
        <f>step3_validation[[#This Row],[Age_Group]]</f>
        <v>40 - 49</v>
      </c>
      <c r="F66" t="str">
        <f>survey_responses[[#This Row],[Độ tuổi của bạn:]]</f>
        <v>40 - 49</v>
      </c>
      <c r="G66" t="str">
        <f>step3_validation[[#This Row],[Region]]</f>
        <v>Nông thôn</v>
      </c>
      <c r="H66" t="str">
        <f>survey_responses[[#This Row],[Khu vực bạn đang sinh sống:]]</f>
        <v>Nông thôn</v>
      </c>
      <c r="I66" t="str">
        <f>step3_validation[[#This Row],[Education]]</f>
        <v>Đại học</v>
      </c>
      <c r="J66" t="str">
        <f>survey_responses[[#This Row],[Trình độ học vấn cao nhất:]]</f>
        <v>Đại học</v>
      </c>
      <c r="K66" t="str">
        <f>step3_validation[[#This Row],[Employment]]</f>
        <v>Chính thức</v>
      </c>
      <c r="L66" t="str">
        <f>survey_responses[[#This Row],[Tình trạng việc làm chính:]]</f>
        <v>Khu vực chính thức (Có Hợp đồng lao động, đóng BHXH)</v>
      </c>
      <c r="M66">
        <f>step3_validation[[#This Row],[Income_Mil]]</f>
        <v>12</v>
      </c>
      <c r="N66" t="str">
        <f>survey_responses[[#This Row],[Thu nhập bình quân tháng theo Hợp đồng lao động của bạn là bao nhiêu? (Vui lòng điền tổng thu nhập trước khi khấu trừ các loại Bảo hiểm (BHXH, BHYT, BHTN) và Thuế TNCN)]]</f>
        <v>Dưới 12 triệu VNĐ</v>
      </c>
      <c r="O66">
        <f>step3_validation[[#This Row],[Dependents]]</f>
        <v>2</v>
      </c>
      <c r="P66" t="str">
        <f>survey_responses[[#This Row],[Số người phụ thuộc (con nhỏ, cha mẹ già...) đủ điều kiện giảm trừ gia cảnh:]]</f>
        <v>2 người</v>
      </c>
      <c r="Q66">
        <f>step3_validation[[#This Row],[AI_ENF1]]</f>
        <v>6</v>
      </c>
      <c r="R66">
        <f t="shared" si="0"/>
        <v>0.55555555555555558</v>
      </c>
      <c r="S66">
        <f>survey_responses[[#This Row],[Tôi tin rằng với các quy định quản lý thuế hiện nay, hành vi gian lận hoặc trốn thuế sẽ dễ dàng bị phát hiện và xử lý nghiêm. - HUMAN-ENF1]]</f>
        <v>10</v>
      </c>
      <c r="T66">
        <f t="shared" si="1"/>
        <v>1</v>
      </c>
      <c r="U66">
        <f>step3_validation[[#This Row],[AI_ENF2]]</f>
        <v>7</v>
      </c>
      <c r="V66">
        <f t="shared" si="2"/>
        <v>0.66666666666666663</v>
      </c>
      <c r="W66">
        <f>survey_responses[[#This Row],[Tôi tin rằng Nhà nước, cơ quan thuế có đủ khả năng và công nghệ để phát hiện, xử lý nghiêm các hành vi trốn thuế. - HUMAN-ENF2]]</f>
        <v>10</v>
      </c>
      <c r="X66">
        <f t="shared" si="3"/>
        <v>1</v>
      </c>
      <c r="Y66" s="32">
        <f t="shared" si="4"/>
        <v>0.61111111111111116</v>
      </c>
      <c r="Z66" s="32">
        <f t="shared" si="5"/>
        <v>1</v>
      </c>
      <c r="AA66">
        <f>step3_validation[[#This Row],[AI_FAC1]]</f>
        <v>8</v>
      </c>
      <c r="AB66">
        <f t="shared" si="6"/>
        <v>0.77777777777777779</v>
      </c>
      <c r="AC66">
        <f>survey_responses[[#This Row],[Các thủ tục khai báo thuế VÀ/HOẶC quy trình làm việc với cơ quan thuế đơn giản, tiện lợi, nhanh chóng hơn so với trước đây. - HUMAN-FAC1]]</f>
        <v>10</v>
      </c>
      <c r="AD66">
        <f t="shared" si="7"/>
        <v>1</v>
      </c>
      <c r="AE66">
        <f>step3_validation[[#This Row],[AI_FAC2]]</f>
        <v>9</v>
      </c>
      <c r="AF66">
        <f t="shared" si="8"/>
        <v>0.88888888888888884</v>
      </c>
      <c r="AG66">
        <f>survey_responses[[#This Row],[So với trước đây, tôi thấy cách tính thuế và các bậc thuế trong phương án mới đơn giản, dễ hiểu và dễ thực hiện hơn. - HUMAN-FAC2]]</f>
        <v>10</v>
      </c>
      <c r="AH66">
        <f t="shared" si="9"/>
        <v>1</v>
      </c>
      <c r="AI66" s="32">
        <f t="shared" si="10"/>
        <v>0.83333333333333326</v>
      </c>
      <c r="AJ66" s="32">
        <f t="shared" si="11"/>
        <v>1</v>
      </c>
      <c r="AK66">
        <f>step3_validation[[#This Row],[AI_TRU1]]</f>
        <v>7</v>
      </c>
      <c r="AL66">
        <f t="shared" si="12"/>
        <v>0.66666666666666663</v>
      </c>
      <c r="AM66">
        <f>survey_responses[[#This Row],[Tôi tin rằng Nhà nước, cơ quan thuế sẽ thực thi chính sách mới một cách khách quan, công tâm và đối xử bình đẳng với mọi người nộp thuế.  - HUMAN-TRU1]]</f>
        <v>10</v>
      </c>
      <c r="AN66">
        <f t="shared" si="13"/>
        <v>1</v>
      </c>
      <c r="AO66">
        <f>step3_validation[[#This Row],[AI_TRU2]]</f>
        <v>8</v>
      </c>
      <c r="AP66">
        <f t="shared" si="14"/>
        <v>0.77777777777777779</v>
      </c>
      <c r="AQ66">
        <f>survey_responses[[#This Row],[Tôi thấy mức thuế tôi phải đóng theo phương án mới là công bằng (người thu nhập như tôi đóng mức này là hợp lý). - HUMAN-TRU2]]</f>
        <v>10</v>
      </c>
      <c r="AR66">
        <f t="shared" si="15"/>
        <v>1</v>
      </c>
      <c r="AS66">
        <f>step3_validation[[#This Row],[AI_TRU3]]</f>
        <v>7</v>
      </c>
      <c r="AT66">
        <f t="shared" si="16"/>
        <v>0.66666666666666663</v>
      </c>
      <c r="AU66">
        <f>survey_responses[[#This Row],[Tôi tin tưởng số tiền thuế tôi đóng sẽ được Nhà nước sử dụng hiệu quả để cải thiện dịch vụ công (y tế, đường xá...). - HUMAN-TRU3]]</f>
        <v>10</v>
      </c>
      <c r="AV66">
        <f t="shared" si="17"/>
        <v>1</v>
      </c>
      <c r="AW66">
        <f>step3_validation[[#This Row],[AI_TRU4]]</f>
        <v>8</v>
      </c>
      <c r="AX66">
        <f t="shared" si="18"/>
        <v>0.77777777777777779</v>
      </c>
      <c r="AY66">
        <f>survey_responses[[#This Row],[Tôi thấy Nhà nước đã giải thích rõ ràng, minh bạch về lý do và mục tiêu của việc sửa đổi thuế lần này. - HUMAN-TRU4]]</f>
        <v>10</v>
      </c>
      <c r="AZ66">
        <f t="shared" si="19"/>
        <v>1</v>
      </c>
      <c r="BA66" s="32">
        <f t="shared" si="20"/>
        <v>0.72222222222222221</v>
      </c>
      <c r="BB66" s="32">
        <f t="shared" si="21"/>
        <v>1</v>
      </c>
      <c r="BC66" s="7">
        <f t="shared" si="22"/>
        <v>0.72222222222222221</v>
      </c>
      <c r="BD66" s="7">
        <f t="shared" si="23"/>
        <v>1</v>
      </c>
      <c r="BE66">
        <f>step3_validation[[#This Row],[AI_OUT1]]</f>
        <v>9</v>
      </c>
      <c r="BF66">
        <f t="shared" si="24"/>
        <v>0.88888888888888884</v>
      </c>
      <c r="BG66">
        <f>survey_responses[[#This Row],[Sau khi xem xét các quyền lợi và nghĩa vụ, bạn có ủng hộ và tuân thủ chính sách mới hiện nay? - HUMAN-OUT1]]</f>
        <v>10</v>
      </c>
      <c r="BH66">
        <f t="shared" si="25"/>
        <v>1</v>
      </c>
      <c r="BI66" s="32">
        <f t="shared" si="26"/>
        <v>1</v>
      </c>
    </row>
    <row r="67" spans="1:61" x14ac:dyDescent="0.45">
      <c r="A67" s="30">
        <f>step3_validation[[#This Row],[Persona_ID]]</f>
        <v>66</v>
      </c>
      <c r="B67" s="31">
        <f>step3_validation[[#This Row],[Used_Seed]]</f>
        <v>66</v>
      </c>
      <c r="C67" t="str">
        <f>step3_validation[[#This Row],[Gender]]</f>
        <v>Nữ</v>
      </c>
      <c r="D67" t="str">
        <f>survey_responses[[#This Row],[Giới tính của bạn:]]</f>
        <v>Nữ</v>
      </c>
      <c r="E67" t="str">
        <f>step3_validation[[#This Row],[Age_Group]]</f>
        <v>25 - 29</v>
      </c>
      <c r="F67" t="str">
        <f>survey_responses[[#This Row],[Độ tuổi của bạn:]]</f>
        <v>25 - 29</v>
      </c>
      <c r="G67" t="str">
        <f>step3_validation[[#This Row],[Region]]</f>
        <v>Thành thị</v>
      </c>
      <c r="H67" t="str">
        <f>survey_responses[[#This Row],[Khu vực bạn đang sinh sống:]]</f>
        <v>Thành thị</v>
      </c>
      <c r="I67" t="str">
        <f>step3_validation[[#This Row],[Education]]</f>
        <v>Cao đẳng</v>
      </c>
      <c r="J67" t="str">
        <f>survey_responses[[#This Row],[Trình độ học vấn cao nhất:]]</f>
        <v>Cao đẳng</v>
      </c>
      <c r="K67" t="str">
        <f>step3_validation[[#This Row],[Employment]]</f>
        <v>Chính thức</v>
      </c>
      <c r="L67" t="str">
        <f>survey_responses[[#This Row],[Tình trạng việc làm chính:]]</f>
        <v>Khu vực chính thức (Có Hợp đồng lao động, đóng BHXH)</v>
      </c>
      <c r="M67">
        <f>step3_validation[[#This Row],[Income_Mil]]</f>
        <v>16.618669389679656</v>
      </c>
      <c r="N67" t="str">
        <f>survey_responses[[#This Row],[Thu nhập bình quân tháng theo Hợp đồng lao động của bạn là bao nhiêu? (Vui lòng điền tổng thu nhập trước khi khấu trừ các loại Bảo hiểm (BHXH, BHYT, BHTN) và Thuế TNCN)]]</f>
        <v>Từ 12 - 18 triệu VNĐ</v>
      </c>
      <c r="O67">
        <f>step3_validation[[#This Row],[Dependents]]</f>
        <v>0</v>
      </c>
      <c r="P67" t="str">
        <f>survey_responses[[#This Row],[Số người phụ thuộc (con nhỏ, cha mẹ già...) đủ điều kiện giảm trừ gia cảnh:]]</f>
        <v>0 người</v>
      </c>
      <c r="Q67">
        <f>step3_validation[[#This Row],[AI_ENF1]]</f>
        <v>6</v>
      </c>
      <c r="R67">
        <f t="shared" ref="R67:R130" si="27">(Q67-1)/9</f>
        <v>0.55555555555555558</v>
      </c>
      <c r="S67">
        <f>survey_responses[[#This Row],[Tôi tin rằng với các quy định quản lý thuế hiện nay, hành vi gian lận hoặc trốn thuế sẽ dễ dàng bị phát hiện và xử lý nghiêm. - HUMAN-ENF1]]</f>
        <v>7</v>
      </c>
      <c r="T67">
        <f t="shared" ref="T67:T130" si="28">(S67-1)/9</f>
        <v>0.66666666666666663</v>
      </c>
      <c r="U67">
        <f>step3_validation[[#This Row],[AI_ENF2]]</f>
        <v>7</v>
      </c>
      <c r="V67">
        <f t="shared" ref="V67:V130" si="29">(U67-1)/9</f>
        <v>0.66666666666666663</v>
      </c>
      <c r="W67">
        <f>survey_responses[[#This Row],[Tôi tin rằng Nhà nước, cơ quan thuế có đủ khả năng và công nghệ để phát hiện, xử lý nghiêm các hành vi trốn thuế. - HUMAN-ENF2]]</f>
        <v>5</v>
      </c>
      <c r="X67">
        <f t="shared" ref="X67:X130" si="30">(W67-1)/9</f>
        <v>0.44444444444444442</v>
      </c>
      <c r="Y67" s="32">
        <f t="shared" ref="Y67:Y130" si="31">AVERAGE(R67,V67)</f>
        <v>0.61111111111111116</v>
      </c>
      <c r="Z67" s="32">
        <f t="shared" ref="Z67:Z130" si="32">AVERAGE(T67,X67)</f>
        <v>0.55555555555555558</v>
      </c>
      <c r="AA67">
        <f>step3_validation[[#This Row],[AI_FAC1]]</f>
        <v>9</v>
      </c>
      <c r="AB67">
        <f t="shared" ref="AB67:AB130" si="33">(AA67-1)/9</f>
        <v>0.88888888888888884</v>
      </c>
      <c r="AC67">
        <f>survey_responses[[#This Row],[Các thủ tục khai báo thuế VÀ/HOẶC quy trình làm việc với cơ quan thuế đơn giản, tiện lợi, nhanh chóng hơn so với trước đây. - HUMAN-FAC1]]</f>
        <v>3</v>
      </c>
      <c r="AD67">
        <f t="shared" ref="AD67:AD130" si="34">(AC67-1)/9</f>
        <v>0.22222222222222221</v>
      </c>
      <c r="AE67">
        <f>step3_validation[[#This Row],[AI_FAC2]]</f>
        <v>8</v>
      </c>
      <c r="AF67">
        <f t="shared" ref="AF67:AF130" si="35">(AE67-1)/9</f>
        <v>0.77777777777777779</v>
      </c>
      <c r="AG67">
        <f>survey_responses[[#This Row],[So với trước đây, tôi thấy cách tính thuế và các bậc thuế trong phương án mới đơn giản, dễ hiểu và dễ thực hiện hơn. - HUMAN-FAC2]]</f>
        <v>5</v>
      </c>
      <c r="AH67">
        <f t="shared" ref="AH67:AH130" si="36">(AG67-1)/9</f>
        <v>0.44444444444444442</v>
      </c>
      <c r="AI67" s="32">
        <f t="shared" ref="AI67:AI130" si="37">AVERAGE(AB67,AF67)</f>
        <v>0.83333333333333326</v>
      </c>
      <c r="AJ67" s="32">
        <f t="shared" ref="AJ67:AJ130" si="38">AVERAGE(AD67,AH67)</f>
        <v>0.33333333333333331</v>
      </c>
      <c r="AK67">
        <f>step3_validation[[#This Row],[AI_TRU1]]</f>
        <v>7</v>
      </c>
      <c r="AL67">
        <f t="shared" ref="AL67:AL130" si="39">(AK67-1)/9</f>
        <v>0.66666666666666663</v>
      </c>
      <c r="AM67">
        <f>survey_responses[[#This Row],[Tôi tin rằng Nhà nước, cơ quan thuế sẽ thực thi chính sách mới một cách khách quan, công tâm và đối xử bình đẳng với mọi người nộp thuế.  - HUMAN-TRU1]]</f>
        <v>4</v>
      </c>
      <c r="AN67">
        <f t="shared" ref="AN67:AN130" si="40">(AM67-1)/9</f>
        <v>0.33333333333333331</v>
      </c>
      <c r="AO67">
        <f>step3_validation[[#This Row],[AI_TRU2]]</f>
        <v>9</v>
      </c>
      <c r="AP67">
        <f t="shared" ref="AP67:AP130" si="41">(AO67-1)/9</f>
        <v>0.88888888888888884</v>
      </c>
      <c r="AQ67">
        <f>survey_responses[[#This Row],[Tôi thấy mức thuế tôi phải đóng theo phương án mới là công bằng (người thu nhập như tôi đóng mức này là hợp lý). - HUMAN-TRU2]]</f>
        <v>3</v>
      </c>
      <c r="AR67">
        <f t="shared" ref="AR67:AR130" si="42">(AQ67-1)/9</f>
        <v>0.22222222222222221</v>
      </c>
      <c r="AS67">
        <f>step3_validation[[#This Row],[AI_TRU3]]</f>
        <v>7</v>
      </c>
      <c r="AT67">
        <f t="shared" ref="AT67:AT130" si="43">(AS67-1)/9</f>
        <v>0.66666666666666663</v>
      </c>
      <c r="AU67">
        <f>survey_responses[[#This Row],[Tôi tin tưởng số tiền thuế tôi đóng sẽ được Nhà nước sử dụng hiệu quả để cải thiện dịch vụ công (y tế, đường xá...). - HUMAN-TRU3]]</f>
        <v>5</v>
      </c>
      <c r="AV67">
        <f t="shared" ref="AV67:AV130" si="44">(AU67-1)/9</f>
        <v>0.44444444444444442</v>
      </c>
      <c r="AW67">
        <f>step3_validation[[#This Row],[AI_TRU4]]</f>
        <v>8</v>
      </c>
      <c r="AX67">
        <f t="shared" ref="AX67:AX130" si="45">(AW67-1)/9</f>
        <v>0.77777777777777779</v>
      </c>
      <c r="AY67">
        <f>survey_responses[[#This Row],[Tôi thấy Nhà nước đã giải thích rõ ràng, minh bạch về lý do và mục tiêu của việc sửa đổi thuế lần này. - HUMAN-TRU4]]</f>
        <v>6</v>
      </c>
      <c r="AZ67">
        <f t="shared" ref="AZ67:AZ130" si="46">(AY67-1)/9</f>
        <v>0.55555555555555558</v>
      </c>
      <c r="BA67" s="32">
        <f t="shared" ref="BA67:BA130" si="47">AVERAGE(AL67,AP67,AT67,AX67)</f>
        <v>0.74999999999999989</v>
      </c>
      <c r="BB67" s="32">
        <f t="shared" ref="BB67:BB130" si="48">AVERAGE(AN67,AR67,AV67,AZ67)</f>
        <v>0.3888888888888889</v>
      </c>
      <c r="BC67" s="7">
        <f t="shared" ref="BC67:BC130" si="49">(Y67+AI67+BA67)/3</f>
        <v>0.7314814814814814</v>
      </c>
      <c r="BD67" s="7">
        <f t="shared" ref="BD67:BD130" si="50">(Z67+AJ67+BB67)/3</f>
        <v>0.42592592592592587</v>
      </c>
      <c r="BE67">
        <f>step3_validation[[#This Row],[AI_OUT1]]</f>
        <v>9</v>
      </c>
      <c r="BF67">
        <f t="shared" ref="BF67:BF130" si="51">(BE67-1)/9</f>
        <v>0.88888888888888884</v>
      </c>
      <c r="BG67">
        <f>survey_responses[[#This Row],[Sau khi xem xét các quyền lợi và nghĩa vụ, bạn có ủng hộ và tuân thủ chính sách mới hiện nay? - HUMAN-OUT1]]</f>
        <v>6</v>
      </c>
      <c r="BH67">
        <f t="shared" ref="BH67:BH130" si="52">(BG67-1)/9</f>
        <v>0.55555555555555558</v>
      </c>
      <c r="BI67" s="32">
        <f t="shared" ref="BI67:BI130" si="53">ABS(BG67-BE67)</f>
        <v>3</v>
      </c>
    </row>
    <row r="68" spans="1:61" x14ac:dyDescent="0.45">
      <c r="A68" s="30">
        <f>step3_validation[[#This Row],[Persona_ID]]</f>
        <v>67</v>
      </c>
      <c r="B68" s="31">
        <f>step3_validation[[#This Row],[Used_Seed]]</f>
        <v>67</v>
      </c>
      <c r="C68" t="str">
        <f>step3_validation[[#This Row],[Gender]]</f>
        <v>Nam</v>
      </c>
      <c r="D68" t="str">
        <f>survey_responses[[#This Row],[Giới tính của bạn:]]</f>
        <v>Nam</v>
      </c>
      <c r="E68" t="str">
        <f>step3_validation[[#This Row],[Age_Group]]</f>
        <v>40 - 49</v>
      </c>
      <c r="F68" t="str">
        <f>survey_responses[[#This Row],[Độ tuổi của bạn:]]</f>
        <v>40 - 49</v>
      </c>
      <c r="G68" t="str">
        <f>step3_validation[[#This Row],[Region]]</f>
        <v>Thành thị</v>
      </c>
      <c r="H68" t="str">
        <f>survey_responses[[#This Row],[Khu vực bạn đang sinh sống:]]</f>
        <v>Thành thị</v>
      </c>
      <c r="I68" t="str">
        <f>step3_validation[[#This Row],[Education]]</f>
        <v>Sau Đại học</v>
      </c>
      <c r="J68" t="str">
        <f>survey_responses[[#This Row],[Trình độ học vấn cao nhất:]]</f>
        <v>Sau Đại học</v>
      </c>
      <c r="K68" t="str">
        <f>step3_validation[[#This Row],[Employment]]</f>
        <v>Chính thức</v>
      </c>
      <c r="L68" t="str">
        <f>survey_responses[[#This Row],[Tình trạng việc làm chính:]]</f>
        <v>Khu vực chính thức (Có Hợp đồng lao động, đóng BHXH)</v>
      </c>
      <c r="M68">
        <f>step3_validation[[#This Row],[Income_Mil]]</f>
        <v>82.844276496969826</v>
      </c>
      <c r="N68" t="str">
        <f>survey_responses[[#This Row],[Thu nhập bình quân tháng theo Hợp đồng lao động của bạn là bao nhiêu? (Vui lòng điền tổng thu nhập trước khi khấu trừ các loại Bảo hiểm (BHXH, BHYT, BHTN) và Thuế TNCN)]]</f>
        <v>Từ 70 - 102 triệu VNĐ</v>
      </c>
      <c r="O68">
        <f>step3_validation[[#This Row],[Dependents]]</f>
        <v>2</v>
      </c>
      <c r="P68" t="str">
        <f>survey_responses[[#This Row],[Số người phụ thuộc (con nhỏ, cha mẹ già...) đủ điều kiện giảm trừ gia cảnh:]]</f>
        <v>2 người</v>
      </c>
      <c r="Q68">
        <f>step3_validation[[#This Row],[AI_ENF1]]</f>
        <v>6</v>
      </c>
      <c r="R68">
        <f t="shared" si="27"/>
        <v>0.55555555555555558</v>
      </c>
      <c r="S68">
        <f>survey_responses[[#This Row],[Tôi tin rằng với các quy định quản lý thuế hiện nay, hành vi gian lận hoặc trốn thuế sẽ dễ dàng bị phát hiện và xử lý nghiêm. - HUMAN-ENF1]]</f>
        <v>5</v>
      </c>
      <c r="T68">
        <f t="shared" si="28"/>
        <v>0.44444444444444442</v>
      </c>
      <c r="U68">
        <f>step3_validation[[#This Row],[AI_ENF2]]</f>
        <v>8</v>
      </c>
      <c r="V68">
        <f t="shared" si="29"/>
        <v>0.77777777777777779</v>
      </c>
      <c r="W68">
        <f>survey_responses[[#This Row],[Tôi tin rằng Nhà nước, cơ quan thuế có đủ khả năng và công nghệ để phát hiện, xử lý nghiêm các hành vi trốn thuế. - HUMAN-ENF2]]</f>
        <v>5</v>
      </c>
      <c r="X68">
        <f t="shared" si="30"/>
        <v>0.44444444444444442</v>
      </c>
      <c r="Y68" s="32">
        <f t="shared" si="31"/>
        <v>0.66666666666666674</v>
      </c>
      <c r="Z68" s="32">
        <f t="shared" si="32"/>
        <v>0.44444444444444442</v>
      </c>
      <c r="AA68">
        <f>step3_validation[[#This Row],[AI_FAC1]]</f>
        <v>9</v>
      </c>
      <c r="AB68">
        <f t="shared" si="33"/>
        <v>0.88888888888888884</v>
      </c>
      <c r="AC68">
        <f>survey_responses[[#This Row],[Các thủ tục khai báo thuế VÀ/HOẶC quy trình làm việc với cơ quan thuế đơn giản, tiện lợi, nhanh chóng hơn so với trước đây. - HUMAN-FAC1]]</f>
        <v>4</v>
      </c>
      <c r="AD68">
        <f t="shared" si="34"/>
        <v>0.33333333333333331</v>
      </c>
      <c r="AE68">
        <f>step3_validation[[#This Row],[AI_FAC2]]</f>
        <v>9</v>
      </c>
      <c r="AF68">
        <f t="shared" si="35"/>
        <v>0.88888888888888884</v>
      </c>
      <c r="AG68">
        <f>survey_responses[[#This Row],[So với trước đây, tôi thấy cách tính thuế và các bậc thuế trong phương án mới đơn giản, dễ hiểu và dễ thực hiện hơn. - HUMAN-FAC2]]</f>
        <v>4</v>
      </c>
      <c r="AH68">
        <f t="shared" si="36"/>
        <v>0.33333333333333331</v>
      </c>
      <c r="AI68" s="32">
        <f t="shared" si="37"/>
        <v>0.88888888888888884</v>
      </c>
      <c r="AJ68" s="32">
        <f t="shared" si="38"/>
        <v>0.33333333333333331</v>
      </c>
      <c r="AK68">
        <f>step3_validation[[#This Row],[AI_TRU1]]</f>
        <v>7</v>
      </c>
      <c r="AL68">
        <f t="shared" si="39"/>
        <v>0.66666666666666663</v>
      </c>
      <c r="AM68">
        <f>survey_responses[[#This Row],[Tôi tin rằng Nhà nước, cơ quan thuế sẽ thực thi chính sách mới một cách khách quan, công tâm và đối xử bình đẳng với mọi người nộp thuế.  - HUMAN-TRU1]]</f>
        <v>2</v>
      </c>
      <c r="AN68">
        <f t="shared" si="40"/>
        <v>0.1111111111111111</v>
      </c>
      <c r="AO68">
        <f>step3_validation[[#This Row],[AI_TRU2]]</f>
        <v>8</v>
      </c>
      <c r="AP68">
        <f t="shared" si="41"/>
        <v>0.77777777777777779</v>
      </c>
      <c r="AQ68">
        <f>survey_responses[[#This Row],[Tôi thấy mức thuế tôi phải đóng theo phương án mới là công bằng (người thu nhập như tôi đóng mức này là hợp lý). - HUMAN-TRU2]]</f>
        <v>3</v>
      </c>
      <c r="AR68">
        <f t="shared" si="42"/>
        <v>0.22222222222222221</v>
      </c>
      <c r="AS68">
        <f>step3_validation[[#This Row],[AI_TRU3]]</f>
        <v>7</v>
      </c>
      <c r="AT68">
        <f t="shared" si="43"/>
        <v>0.66666666666666663</v>
      </c>
      <c r="AU68">
        <f>survey_responses[[#This Row],[Tôi tin tưởng số tiền thuế tôi đóng sẽ được Nhà nước sử dụng hiệu quả để cải thiện dịch vụ công (y tế, đường xá...). - HUMAN-TRU3]]</f>
        <v>2</v>
      </c>
      <c r="AV68">
        <f t="shared" si="44"/>
        <v>0.1111111111111111</v>
      </c>
      <c r="AW68">
        <f>step3_validation[[#This Row],[AI_TRU4]]</f>
        <v>6</v>
      </c>
      <c r="AX68">
        <f t="shared" si="45"/>
        <v>0.55555555555555558</v>
      </c>
      <c r="AY68">
        <f>survey_responses[[#This Row],[Tôi thấy Nhà nước đã giải thích rõ ràng, minh bạch về lý do và mục tiêu của việc sửa đổi thuế lần này. - HUMAN-TRU4]]</f>
        <v>3</v>
      </c>
      <c r="AZ68">
        <f t="shared" si="46"/>
        <v>0.22222222222222221</v>
      </c>
      <c r="BA68" s="32">
        <f t="shared" si="47"/>
        <v>0.66666666666666674</v>
      </c>
      <c r="BB68" s="32">
        <f t="shared" si="48"/>
        <v>0.16666666666666666</v>
      </c>
      <c r="BC68" s="7">
        <f t="shared" si="49"/>
        <v>0.74074074074074081</v>
      </c>
      <c r="BD68" s="7">
        <f t="shared" si="50"/>
        <v>0.31481481481481477</v>
      </c>
      <c r="BE68">
        <f>step3_validation[[#This Row],[AI_OUT1]]</f>
        <v>9</v>
      </c>
      <c r="BF68">
        <f t="shared" si="51"/>
        <v>0.88888888888888884</v>
      </c>
      <c r="BG68">
        <f>survey_responses[[#This Row],[Sau khi xem xét các quyền lợi và nghĩa vụ, bạn có ủng hộ và tuân thủ chính sách mới hiện nay? - HUMAN-OUT1]]</f>
        <v>3</v>
      </c>
      <c r="BH68">
        <f t="shared" si="52"/>
        <v>0.22222222222222221</v>
      </c>
      <c r="BI68" s="32">
        <f t="shared" si="53"/>
        <v>6</v>
      </c>
    </row>
    <row r="69" spans="1:61" x14ac:dyDescent="0.45">
      <c r="A69" s="30">
        <f>step3_validation[[#This Row],[Persona_ID]]</f>
        <v>68</v>
      </c>
      <c r="B69" s="31">
        <f>step3_validation[[#This Row],[Used_Seed]]</f>
        <v>68</v>
      </c>
      <c r="C69" t="str">
        <f>step3_validation[[#This Row],[Gender]]</f>
        <v>Nữ</v>
      </c>
      <c r="D69" t="str">
        <f>survey_responses[[#This Row],[Giới tính của bạn:]]</f>
        <v>Nữ</v>
      </c>
      <c r="E69" t="str">
        <f>step3_validation[[#This Row],[Age_Group]]</f>
        <v>40 - 49</v>
      </c>
      <c r="F69" t="str">
        <f>survey_responses[[#This Row],[Độ tuổi của bạn:]]</f>
        <v>40 - 49</v>
      </c>
      <c r="G69" t="str">
        <f>step3_validation[[#This Row],[Region]]</f>
        <v>Thành thị</v>
      </c>
      <c r="H69" t="str">
        <f>survey_responses[[#This Row],[Khu vực bạn đang sinh sống:]]</f>
        <v>Thành thị</v>
      </c>
      <c r="I69" t="str">
        <f>step3_validation[[#This Row],[Education]]</f>
        <v>Đại học</v>
      </c>
      <c r="J69" t="str">
        <f>survey_responses[[#This Row],[Trình độ học vấn cao nhất:]]</f>
        <v>Đại học</v>
      </c>
      <c r="K69" t="str">
        <f>step3_validation[[#This Row],[Employment]]</f>
        <v>Chính thức</v>
      </c>
      <c r="L69" t="str">
        <f>survey_responses[[#This Row],[Tình trạng việc làm chính:]]</f>
        <v>Khu vực chính thức (Có Hợp đồng lao động, đóng BHXH)</v>
      </c>
      <c r="M69">
        <f>step3_validation[[#This Row],[Income_Mil]]</f>
        <v>58.171701221777894</v>
      </c>
      <c r="N69" t="str">
        <f>survey_responses[[#This Row],[Thu nhập bình quân tháng theo Hợp đồng lao động của bạn là bao nhiêu? (Vui lòng điền tổng thu nhập trước khi khấu trừ các loại Bảo hiểm (BHXH, BHYT, BHTN) và Thuế TNCN)]]</f>
        <v>Từ 48 - 70 triệu VNĐ</v>
      </c>
      <c r="O69">
        <f>step3_validation[[#This Row],[Dependents]]</f>
        <v>2</v>
      </c>
      <c r="P69" t="str">
        <f>survey_responses[[#This Row],[Số người phụ thuộc (con nhỏ, cha mẹ già...) đủ điều kiện giảm trừ gia cảnh:]]</f>
        <v>2 người</v>
      </c>
      <c r="Q69">
        <f>step3_validation[[#This Row],[AI_ENF1]]</f>
        <v>9</v>
      </c>
      <c r="R69">
        <f t="shared" si="27"/>
        <v>0.88888888888888884</v>
      </c>
      <c r="S69">
        <f>survey_responses[[#This Row],[Tôi tin rằng với các quy định quản lý thuế hiện nay, hành vi gian lận hoặc trốn thuế sẽ dễ dàng bị phát hiện và xử lý nghiêm. - HUMAN-ENF1]]</f>
        <v>4</v>
      </c>
      <c r="T69">
        <f t="shared" si="28"/>
        <v>0.33333333333333331</v>
      </c>
      <c r="U69">
        <f>step3_validation[[#This Row],[AI_ENF2]]</f>
        <v>8</v>
      </c>
      <c r="V69">
        <f t="shared" si="29"/>
        <v>0.77777777777777779</v>
      </c>
      <c r="W69">
        <f>survey_responses[[#This Row],[Tôi tin rằng Nhà nước, cơ quan thuế có đủ khả năng và công nghệ để phát hiện, xử lý nghiêm các hành vi trốn thuế. - HUMAN-ENF2]]</f>
        <v>3</v>
      </c>
      <c r="X69">
        <f t="shared" si="30"/>
        <v>0.22222222222222221</v>
      </c>
      <c r="Y69" s="32">
        <f t="shared" si="31"/>
        <v>0.83333333333333326</v>
      </c>
      <c r="Z69" s="32">
        <f t="shared" si="32"/>
        <v>0.27777777777777779</v>
      </c>
      <c r="AA69">
        <f>step3_validation[[#This Row],[AI_FAC1]]</f>
        <v>9</v>
      </c>
      <c r="AB69">
        <f t="shared" si="33"/>
        <v>0.88888888888888884</v>
      </c>
      <c r="AC69">
        <f>survey_responses[[#This Row],[Các thủ tục khai báo thuế VÀ/HOẶC quy trình làm việc với cơ quan thuế đơn giản, tiện lợi, nhanh chóng hơn so với trước đây. - HUMAN-FAC1]]</f>
        <v>1</v>
      </c>
      <c r="AD69">
        <f t="shared" si="34"/>
        <v>0</v>
      </c>
      <c r="AE69">
        <f>step3_validation[[#This Row],[AI_FAC2]]</f>
        <v>8</v>
      </c>
      <c r="AF69">
        <f t="shared" si="35"/>
        <v>0.77777777777777779</v>
      </c>
      <c r="AG69">
        <f>survey_responses[[#This Row],[So với trước đây, tôi thấy cách tính thuế và các bậc thuế trong phương án mới đơn giản, dễ hiểu và dễ thực hiện hơn. - HUMAN-FAC2]]</f>
        <v>5</v>
      </c>
      <c r="AH69">
        <f t="shared" si="36"/>
        <v>0.44444444444444442</v>
      </c>
      <c r="AI69" s="32">
        <f t="shared" si="37"/>
        <v>0.83333333333333326</v>
      </c>
      <c r="AJ69" s="32">
        <f t="shared" si="38"/>
        <v>0.22222222222222221</v>
      </c>
      <c r="AK69">
        <f>step3_validation[[#This Row],[AI_TRU1]]</f>
        <v>9</v>
      </c>
      <c r="AL69">
        <f t="shared" si="39"/>
        <v>0.88888888888888884</v>
      </c>
      <c r="AM69">
        <f>survey_responses[[#This Row],[Tôi tin rằng Nhà nước, cơ quan thuế sẽ thực thi chính sách mới một cách khách quan, công tâm và đối xử bình đẳng với mọi người nộp thuế.  - HUMAN-TRU1]]</f>
        <v>4</v>
      </c>
      <c r="AN69">
        <f t="shared" si="40"/>
        <v>0.33333333333333331</v>
      </c>
      <c r="AO69">
        <f>step3_validation[[#This Row],[AI_TRU2]]</f>
        <v>8</v>
      </c>
      <c r="AP69">
        <f t="shared" si="41"/>
        <v>0.77777777777777779</v>
      </c>
      <c r="AQ69">
        <f>survey_responses[[#This Row],[Tôi thấy mức thuế tôi phải đóng theo phương án mới là công bằng (người thu nhập như tôi đóng mức này là hợp lý). - HUMAN-TRU2]]</f>
        <v>3</v>
      </c>
      <c r="AR69">
        <f t="shared" si="42"/>
        <v>0.22222222222222221</v>
      </c>
      <c r="AS69">
        <f>step3_validation[[#This Row],[AI_TRU3]]</f>
        <v>9</v>
      </c>
      <c r="AT69">
        <f t="shared" si="43"/>
        <v>0.88888888888888884</v>
      </c>
      <c r="AU69">
        <f>survey_responses[[#This Row],[Tôi tin tưởng số tiền thuế tôi đóng sẽ được Nhà nước sử dụng hiệu quả để cải thiện dịch vụ công (y tế, đường xá...). - HUMAN-TRU3]]</f>
        <v>1</v>
      </c>
      <c r="AV69">
        <f t="shared" si="44"/>
        <v>0</v>
      </c>
      <c r="AW69">
        <f>step3_validation[[#This Row],[AI_TRU4]]</f>
        <v>8</v>
      </c>
      <c r="AX69">
        <f t="shared" si="45"/>
        <v>0.77777777777777779</v>
      </c>
      <c r="AY69">
        <f>survey_responses[[#This Row],[Tôi thấy Nhà nước đã giải thích rõ ràng, minh bạch về lý do và mục tiêu của việc sửa đổi thuế lần này. - HUMAN-TRU4]]</f>
        <v>3</v>
      </c>
      <c r="AZ69">
        <f t="shared" si="46"/>
        <v>0.22222222222222221</v>
      </c>
      <c r="BA69" s="32">
        <f t="shared" si="47"/>
        <v>0.83333333333333326</v>
      </c>
      <c r="BB69" s="32">
        <f t="shared" si="48"/>
        <v>0.19444444444444445</v>
      </c>
      <c r="BC69" s="7">
        <f t="shared" si="49"/>
        <v>0.83333333333333337</v>
      </c>
      <c r="BD69" s="7">
        <f t="shared" si="50"/>
        <v>0.23148148148148148</v>
      </c>
      <c r="BE69">
        <f>step3_validation[[#This Row],[AI_OUT1]]</f>
        <v>9</v>
      </c>
      <c r="BF69">
        <f t="shared" si="51"/>
        <v>0.88888888888888884</v>
      </c>
      <c r="BG69">
        <f>survey_responses[[#This Row],[Sau khi xem xét các quyền lợi và nghĩa vụ, bạn có ủng hộ và tuân thủ chính sách mới hiện nay? - HUMAN-OUT1]]</f>
        <v>5</v>
      </c>
      <c r="BH69">
        <f t="shared" si="52"/>
        <v>0.44444444444444442</v>
      </c>
      <c r="BI69" s="32">
        <f t="shared" si="53"/>
        <v>4</v>
      </c>
    </row>
    <row r="70" spans="1:61" x14ac:dyDescent="0.45">
      <c r="A70" s="30">
        <f>step3_validation[[#This Row],[Persona_ID]]</f>
        <v>69</v>
      </c>
      <c r="B70" s="31">
        <f>step3_validation[[#This Row],[Used_Seed]]</f>
        <v>69</v>
      </c>
      <c r="C70" t="str">
        <f>step3_validation[[#This Row],[Gender]]</f>
        <v>Nam</v>
      </c>
      <c r="D70" t="str">
        <f>survey_responses[[#This Row],[Giới tính của bạn:]]</f>
        <v>Nam</v>
      </c>
      <c r="E70" t="str">
        <f>step3_validation[[#This Row],[Age_Group]]</f>
        <v>25 - 29</v>
      </c>
      <c r="F70" t="str">
        <f>survey_responses[[#This Row],[Độ tuổi của bạn:]]</f>
        <v>25 - 29</v>
      </c>
      <c r="G70" t="str">
        <f>step3_validation[[#This Row],[Region]]</f>
        <v>Thành thị</v>
      </c>
      <c r="H70" t="str">
        <f>survey_responses[[#This Row],[Khu vực bạn đang sinh sống:]]</f>
        <v>Thành thị</v>
      </c>
      <c r="I70" t="str">
        <f>step3_validation[[#This Row],[Education]]</f>
        <v>Đại học</v>
      </c>
      <c r="J70" t="str">
        <f>survey_responses[[#This Row],[Trình độ học vấn cao nhất:]]</f>
        <v>Đại học</v>
      </c>
      <c r="K70" t="str">
        <f>step3_validation[[#This Row],[Employment]]</f>
        <v>Chính thức</v>
      </c>
      <c r="L70" t="str">
        <f>survey_responses[[#This Row],[Tình trạng việc làm chính:]]</f>
        <v>Khu vực chính thức (Có Hợp đồng lao động, đóng BHXH)</v>
      </c>
      <c r="M70">
        <f>step3_validation[[#This Row],[Income_Mil]]</f>
        <v>20.3214895008627</v>
      </c>
      <c r="N70" t="str">
        <f>survey_responses[[#This Row],[Thu nhập bình quân tháng theo Hợp đồng lao động của bạn là bao nhiêu? (Vui lòng điền tổng thu nhập trước khi khấu trừ các loại Bảo hiểm (BHXH, BHYT, BHTN) và Thuế TNCN)]]</f>
        <v>Từ 18 - 23 triệu VNĐ</v>
      </c>
      <c r="O70">
        <f>step3_validation[[#This Row],[Dependents]]</f>
        <v>0</v>
      </c>
      <c r="P70" t="str">
        <f>survey_responses[[#This Row],[Số người phụ thuộc (con nhỏ, cha mẹ già...) đủ điều kiện giảm trừ gia cảnh:]]</f>
        <v>0 người</v>
      </c>
      <c r="Q70">
        <f>step3_validation[[#This Row],[AI_ENF1]]</f>
        <v>8</v>
      </c>
      <c r="R70">
        <f t="shared" si="27"/>
        <v>0.77777777777777779</v>
      </c>
      <c r="S70">
        <f>survey_responses[[#This Row],[Tôi tin rằng với các quy định quản lý thuế hiện nay, hành vi gian lận hoặc trốn thuế sẽ dễ dàng bị phát hiện và xử lý nghiêm. - HUMAN-ENF1]]</f>
        <v>7</v>
      </c>
      <c r="T70">
        <f t="shared" si="28"/>
        <v>0.66666666666666663</v>
      </c>
      <c r="U70">
        <f>step3_validation[[#This Row],[AI_ENF2]]</f>
        <v>9</v>
      </c>
      <c r="V70">
        <f t="shared" si="29"/>
        <v>0.88888888888888884</v>
      </c>
      <c r="W70">
        <f>survey_responses[[#This Row],[Tôi tin rằng Nhà nước, cơ quan thuế có đủ khả năng và công nghệ để phát hiện, xử lý nghiêm các hành vi trốn thuế. - HUMAN-ENF2]]</f>
        <v>7</v>
      </c>
      <c r="X70">
        <f t="shared" si="30"/>
        <v>0.66666666666666663</v>
      </c>
      <c r="Y70" s="32">
        <f t="shared" si="31"/>
        <v>0.83333333333333326</v>
      </c>
      <c r="Z70" s="32">
        <f t="shared" si="32"/>
        <v>0.66666666666666663</v>
      </c>
      <c r="AA70">
        <f>step3_validation[[#This Row],[AI_FAC1]]</f>
        <v>7</v>
      </c>
      <c r="AB70">
        <f t="shared" si="33"/>
        <v>0.66666666666666663</v>
      </c>
      <c r="AC70">
        <f>survey_responses[[#This Row],[Các thủ tục khai báo thuế VÀ/HOẶC quy trình làm việc với cơ quan thuế đơn giản, tiện lợi, nhanh chóng hơn so với trước đây. - HUMAN-FAC1]]</f>
        <v>8</v>
      </c>
      <c r="AD70">
        <f t="shared" si="34"/>
        <v>0.77777777777777779</v>
      </c>
      <c r="AE70">
        <f>step3_validation[[#This Row],[AI_FAC2]]</f>
        <v>9</v>
      </c>
      <c r="AF70">
        <f t="shared" si="35"/>
        <v>0.88888888888888884</v>
      </c>
      <c r="AG70">
        <f>survey_responses[[#This Row],[So với trước đây, tôi thấy cách tính thuế và các bậc thuế trong phương án mới đơn giản, dễ hiểu và dễ thực hiện hơn. - HUMAN-FAC2]]</f>
        <v>9</v>
      </c>
      <c r="AH70">
        <f t="shared" si="36"/>
        <v>0.88888888888888884</v>
      </c>
      <c r="AI70" s="32">
        <f t="shared" si="37"/>
        <v>0.77777777777777768</v>
      </c>
      <c r="AJ70" s="32">
        <f t="shared" si="38"/>
        <v>0.83333333333333326</v>
      </c>
      <c r="AK70">
        <f>step3_validation[[#This Row],[AI_TRU1]]</f>
        <v>8</v>
      </c>
      <c r="AL70">
        <f t="shared" si="39"/>
        <v>0.77777777777777779</v>
      </c>
      <c r="AM70">
        <f>survey_responses[[#This Row],[Tôi tin rằng Nhà nước, cơ quan thuế sẽ thực thi chính sách mới một cách khách quan, công tâm và đối xử bình đẳng với mọi người nộp thuế.  - HUMAN-TRU1]]</f>
        <v>8</v>
      </c>
      <c r="AN70">
        <f t="shared" si="40"/>
        <v>0.77777777777777779</v>
      </c>
      <c r="AO70">
        <f>step3_validation[[#This Row],[AI_TRU2]]</f>
        <v>9</v>
      </c>
      <c r="AP70">
        <f t="shared" si="41"/>
        <v>0.88888888888888884</v>
      </c>
      <c r="AQ70">
        <f>survey_responses[[#This Row],[Tôi thấy mức thuế tôi phải đóng theo phương án mới là công bằng (người thu nhập như tôi đóng mức này là hợp lý). - HUMAN-TRU2]]</f>
        <v>10</v>
      </c>
      <c r="AR70">
        <f t="shared" si="42"/>
        <v>1</v>
      </c>
      <c r="AS70">
        <f>step3_validation[[#This Row],[AI_TRU3]]</f>
        <v>8</v>
      </c>
      <c r="AT70">
        <f t="shared" si="43"/>
        <v>0.77777777777777779</v>
      </c>
      <c r="AU70">
        <f>survey_responses[[#This Row],[Tôi tin tưởng số tiền thuế tôi đóng sẽ được Nhà nước sử dụng hiệu quả để cải thiện dịch vụ công (y tế, đường xá...). - HUMAN-TRU3]]</f>
        <v>9</v>
      </c>
      <c r="AV70">
        <f t="shared" si="44"/>
        <v>0.88888888888888884</v>
      </c>
      <c r="AW70">
        <f>step3_validation[[#This Row],[AI_TRU4]]</f>
        <v>9</v>
      </c>
      <c r="AX70">
        <f t="shared" si="45"/>
        <v>0.88888888888888884</v>
      </c>
      <c r="AY70">
        <f>survey_responses[[#This Row],[Tôi thấy Nhà nước đã giải thích rõ ràng, minh bạch về lý do và mục tiêu của việc sửa đổi thuế lần này. - HUMAN-TRU4]]</f>
        <v>9</v>
      </c>
      <c r="AZ70">
        <f t="shared" si="46"/>
        <v>0.88888888888888884</v>
      </c>
      <c r="BA70" s="32">
        <f t="shared" si="47"/>
        <v>0.83333333333333326</v>
      </c>
      <c r="BB70" s="32">
        <f t="shared" si="48"/>
        <v>0.88888888888888884</v>
      </c>
      <c r="BC70" s="7">
        <f t="shared" si="49"/>
        <v>0.81481481481481477</v>
      </c>
      <c r="BD70" s="7">
        <f t="shared" si="50"/>
        <v>0.79629629629629628</v>
      </c>
      <c r="BE70">
        <f>step3_validation[[#This Row],[AI_OUT1]]</f>
        <v>8</v>
      </c>
      <c r="BF70">
        <f t="shared" si="51"/>
        <v>0.77777777777777779</v>
      </c>
      <c r="BG70">
        <f>survey_responses[[#This Row],[Sau khi xem xét các quyền lợi và nghĩa vụ, bạn có ủng hộ và tuân thủ chính sách mới hiện nay? - HUMAN-OUT1]]</f>
        <v>9</v>
      </c>
      <c r="BH70">
        <f t="shared" si="52"/>
        <v>0.88888888888888884</v>
      </c>
      <c r="BI70" s="32">
        <f t="shared" si="53"/>
        <v>1</v>
      </c>
    </row>
    <row r="71" spans="1:61" x14ac:dyDescent="0.45">
      <c r="A71" s="30">
        <f>step3_validation[[#This Row],[Persona_ID]]</f>
        <v>70</v>
      </c>
      <c r="B71" s="31">
        <f>step3_validation[[#This Row],[Used_Seed]]</f>
        <v>70</v>
      </c>
      <c r="C71" t="str">
        <f>step3_validation[[#This Row],[Gender]]</f>
        <v>Nam</v>
      </c>
      <c r="D71" t="str">
        <f>survey_responses[[#This Row],[Giới tính của bạn:]]</f>
        <v>Nam</v>
      </c>
      <c r="E71" t="str">
        <f>step3_validation[[#This Row],[Age_Group]]</f>
        <v>40 - 49</v>
      </c>
      <c r="F71" t="str">
        <f>survey_responses[[#This Row],[Độ tuổi của bạn:]]</f>
        <v>40 - 49</v>
      </c>
      <c r="G71" t="str">
        <f>step3_validation[[#This Row],[Region]]</f>
        <v>Thành thị</v>
      </c>
      <c r="H71" t="str">
        <f>survey_responses[[#This Row],[Khu vực bạn đang sinh sống:]]</f>
        <v>Thành thị</v>
      </c>
      <c r="I71" t="str">
        <f>step3_validation[[#This Row],[Education]]</f>
        <v>Sau Đại học</v>
      </c>
      <c r="J71" t="str">
        <f>survey_responses[[#This Row],[Trình độ học vấn cao nhất:]]</f>
        <v>Sau Đại học</v>
      </c>
      <c r="K71" t="str">
        <f>step3_validation[[#This Row],[Employment]]</f>
        <v>Phi chính thức</v>
      </c>
      <c r="L71" t="str">
        <f>survey_responses[[#This Row],[Tình trạng việc làm chính:]]</f>
        <v>Khu vực phi chính thức (Lao động tự do, không có HĐLĐ)</v>
      </c>
      <c r="M71">
        <f>step3_validation[[#This Row],[Income_Mil]]</f>
        <v>158.34875709184115</v>
      </c>
      <c r="N71" t="str">
        <f>survey_responses[[#This Row],[Thu nhập bình quân tháng theo Hợp đồng lao động của bạn là bao nhiêu? (Vui lòng điền tổng thu nhập trước khi khấu trừ các loại Bảo hiểm (BHXH, BHYT, BHTN) và Thuế TNCN)]]</f>
        <v>Trên 102 triệu VNĐ</v>
      </c>
      <c r="O71">
        <f>step3_validation[[#This Row],[Dependents]]</f>
        <v>1</v>
      </c>
      <c r="P71" t="str">
        <f>survey_responses[[#This Row],[Số người phụ thuộc (con nhỏ, cha mẹ già...) đủ điều kiện giảm trừ gia cảnh:]]</f>
        <v>1 người</v>
      </c>
      <c r="Q71">
        <f>step3_validation[[#This Row],[AI_ENF1]]</f>
        <v>7</v>
      </c>
      <c r="R71">
        <f t="shared" si="27"/>
        <v>0.66666666666666663</v>
      </c>
      <c r="S71">
        <f>survey_responses[[#This Row],[Tôi tin rằng với các quy định quản lý thuế hiện nay, hành vi gian lận hoặc trốn thuế sẽ dễ dàng bị phát hiện và xử lý nghiêm. - HUMAN-ENF1]]</f>
        <v>6</v>
      </c>
      <c r="T71">
        <f t="shared" si="28"/>
        <v>0.55555555555555558</v>
      </c>
      <c r="U71">
        <f>step3_validation[[#This Row],[AI_ENF2]]</f>
        <v>8</v>
      </c>
      <c r="V71">
        <f t="shared" si="29"/>
        <v>0.77777777777777779</v>
      </c>
      <c r="W71">
        <f>survey_responses[[#This Row],[Tôi tin rằng Nhà nước, cơ quan thuế có đủ khả năng và công nghệ để phát hiện, xử lý nghiêm các hành vi trốn thuế. - HUMAN-ENF2]]</f>
        <v>6</v>
      </c>
      <c r="X71">
        <f t="shared" si="30"/>
        <v>0.55555555555555558</v>
      </c>
      <c r="Y71" s="32">
        <f t="shared" si="31"/>
        <v>0.72222222222222221</v>
      </c>
      <c r="Z71" s="32">
        <f t="shared" si="32"/>
        <v>0.55555555555555558</v>
      </c>
      <c r="AA71">
        <f>step3_validation[[#This Row],[AI_FAC1]]</f>
        <v>6</v>
      </c>
      <c r="AB71">
        <f t="shared" si="33"/>
        <v>0.55555555555555558</v>
      </c>
      <c r="AC71">
        <f>survey_responses[[#This Row],[Các thủ tục khai báo thuế VÀ/HOẶC quy trình làm việc với cơ quan thuế đơn giản, tiện lợi, nhanh chóng hơn so với trước đây. - HUMAN-FAC1]]</f>
        <v>5</v>
      </c>
      <c r="AD71">
        <f t="shared" si="34"/>
        <v>0.44444444444444442</v>
      </c>
      <c r="AE71">
        <f>step3_validation[[#This Row],[AI_FAC2]]</f>
        <v>9</v>
      </c>
      <c r="AF71">
        <f t="shared" si="35"/>
        <v>0.88888888888888884</v>
      </c>
      <c r="AG71">
        <f>survey_responses[[#This Row],[So với trước đây, tôi thấy cách tính thuế và các bậc thuế trong phương án mới đơn giản, dễ hiểu và dễ thực hiện hơn. - HUMAN-FAC2]]</f>
        <v>5</v>
      </c>
      <c r="AH71">
        <f t="shared" si="36"/>
        <v>0.44444444444444442</v>
      </c>
      <c r="AI71" s="32">
        <f t="shared" si="37"/>
        <v>0.72222222222222221</v>
      </c>
      <c r="AJ71" s="32">
        <f t="shared" si="38"/>
        <v>0.44444444444444442</v>
      </c>
      <c r="AK71">
        <f>step3_validation[[#This Row],[AI_TRU1]]</f>
        <v>7</v>
      </c>
      <c r="AL71">
        <f t="shared" si="39"/>
        <v>0.66666666666666663</v>
      </c>
      <c r="AM71">
        <f>survey_responses[[#This Row],[Tôi tin rằng Nhà nước, cơ quan thuế sẽ thực thi chính sách mới một cách khách quan, công tâm và đối xử bình đẳng với mọi người nộp thuế.  - HUMAN-TRU1]]</f>
        <v>5</v>
      </c>
      <c r="AN71">
        <f t="shared" si="40"/>
        <v>0.44444444444444442</v>
      </c>
      <c r="AO71">
        <f>step3_validation[[#This Row],[AI_TRU2]]</f>
        <v>8</v>
      </c>
      <c r="AP71">
        <f t="shared" si="41"/>
        <v>0.77777777777777779</v>
      </c>
      <c r="AQ71">
        <f>survey_responses[[#This Row],[Tôi thấy mức thuế tôi phải đóng theo phương án mới là công bằng (người thu nhập như tôi đóng mức này là hợp lý). - HUMAN-TRU2]]</f>
        <v>1</v>
      </c>
      <c r="AR71">
        <f t="shared" si="42"/>
        <v>0</v>
      </c>
      <c r="AS71">
        <f>step3_validation[[#This Row],[AI_TRU3]]</f>
        <v>7</v>
      </c>
      <c r="AT71">
        <f t="shared" si="43"/>
        <v>0.66666666666666663</v>
      </c>
      <c r="AU71">
        <f>survey_responses[[#This Row],[Tôi tin tưởng số tiền thuế tôi đóng sẽ được Nhà nước sử dụng hiệu quả để cải thiện dịch vụ công (y tế, đường xá...). - HUMAN-TRU3]]</f>
        <v>5</v>
      </c>
      <c r="AV71">
        <f t="shared" si="44"/>
        <v>0.44444444444444442</v>
      </c>
      <c r="AW71">
        <f>step3_validation[[#This Row],[AI_TRU4]]</f>
        <v>6</v>
      </c>
      <c r="AX71">
        <f t="shared" si="45"/>
        <v>0.55555555555555558</v>
      </c>
      <c r="AY71">
        <f>survey_responses[[#This Row],[Tôi thấy Nhà nước đã giải thích rõ ràng, minh bạch về lý do và mục tiêu của việc sửa đổi thuế lần này. - HUMAN-TRU4]]</f>
        <v>5</v>
      </c>
      <c r="AZ71">
        <f t="shared" si="46"/>
        <v>0.44444444444444442</v>
      </c>
      <c r="BA71" s="32">
        <f t="shared" si="47"/>
        <v>0.66666666666666674</v>
      </c>
      <c r="BB71" s="32">
        <f t="shared" si="48"/>
        <v>0.33333333333333331</v>
      </c>
      <c r="BC71" s="7">
        <f t="shared" si="49"/>
        <v>0.70370370370370372</v>
      </c>
      <c r="BD71" s="7">
        <f t="shared" si="50"/>
        <v>0.44444444444444442</v>
      </c>
      <c r="BE71">
        <f>step3_validation[[#This Row],[AI_OUT1]]</f>
        <v>8</v>
      </c>
      <c r="BF71">
        <f t="shared" si="51"/>
        <v>0.77777777777777779</v>
      </c>
      <c r="BG71">
        <f>survey_responses[[#This Row],[Sau khi xem xét các quyền lợi và nghĩa vụ, bạn có ủng hộ và tuân thủ chính sách mới hiện nay? - HUMAN-OUT1]]</f>
        <v>5</v>
      </c>
      <c r="BH71">
        <f t="shared" si="52"/>
        <v>0.44444444444444442</v>
      </c>
      <c r="BI71" s="32">
        <f t="shared" si="53"/>
        <v>3</v>
      </c>
    </row>
    <row r="72" spans="1:61" x14ac:dyDescent="0.45">
      <c r="A72" s="30">
        <f>step3_validation[[#This Row],[Persona_ID]]</f>
        <v>71</v>
      </c>
      <c r="B72" s="31">
        <f>step3_validation[[#This Row],[Used_Seed]]</f>
        <v>71</v>
      </c>
      <c r="C72" t="str">
        <f>step3_validation[[#This Row],[Gender]]</f>
        <v>Nữ</v>
      </c>
      <c r="D72" t="str">
        <f>survey_responses[[#This Row],[Giới tính của bạn:]]</f>
        <v>Nữ</v>
      </c>
      <c r="E72" t="str">
        <f>step3_validation[[#This Row],[Age_Group]]</f>
        <v>30 - 39</v>
      </c>
      <c r="F72" t="str">
        <f>survey_responses[[#This Row],[Độ tuổi của bạn:]]</f>
        <v>30 - 39</v>
      </c>
      <c r="G72" t="str">
        <f>step3_validation[[#This Row],[Region]]</f>
        <v>Thành thị</v>
      </c>
      <c r="H72" t="str">
        <f>survey_responses[[#This Row],[Khu vực bạn đang sinh sống:]]</f>
        <v>Thành thị</v>
      </c>
      <c r="I72" t="str">
        <f>step3_validation[[#This Row],[Education]]</f>
        <v>Sau Đại học</v>
      </c>
      <c r="J72" t="str">
        <f>survey_responses[[#This Row],[Trình độ học vấn cao nhất:]]</f>
        <v>Sau Đại học</v>
      </c>
      <c r="K72" t="str">
        <f>step3_validation[[#This Row],[Employment]]</f>
        <v>Chính thức</v>
      </c>
      <c r="L72" t="str">
        <f>survey_responses[[#This Row],[Tình trạng việc làm chính:]]</f>
        <v>Khu vực chính thức (Có Hợp đồng lao động, đóng BHXH)</v>
      </c>
      <c r="M72">
        <f>step3_validation[[#This Row],[Income_Mil]]</f>
        <v>25.027309419498422</v>
      </c>
      <c r="N72" t="str">
        <f>survey_responses[[#This Row],[Thu nhập bình quân tháng theo Hợp đồng lao động của bạn là bao nhiêu? (Vui lòng điền tổng thu nhập trước khi khấu trừ các loại Bảo hiểm (BHXH, BHYT, BHTN) và Thuế TNCN)]]</f>
        <v>Từ 23 - 32 triệu VNĐ</v>
      </c>
      <c r="O72">
        <f>step3_validation[[#This Row],[Dependents]]</f>
        <v>2</v>
      </c>
      <c r="P72" t="str">
        <f>survey_responses[[#This Row],[Số người phụ thuộc (con nhỏ, cha mẹ già...) đủ điều kiện giảm trừ gia cảnh:]]</f>
        <v>2 người</v>
      </c>
      <c r="Q72">
        <f>step3_validation[[#This Row],[AI_ENF1]]</f>
        <v>7</v>
      </c>
      <c r="R72">
        <f t="shared" si="27"/>
        <v>0.66666666666666663</v>
      </c>
      <c r="S72">
        <f>survey_responses[[#This Row],[Tôi tin rằng với các quy định quản lý thuế hiện nay, hành vi gian lận hoặc trốn thuế sẽ dễ dàng bị phát hiện và xử lý nghiêm. - HUMAN-ENF1]]</f>
        <v>3</v>
      </c>
      <c r="T72">
        <f t="shared" si="28"/>
        <v>0.22222222222222221</v>
      </c>
      <c r="U72">
        <f>step3_validation[[#This Row],[AI_ENF2]]</f>
        <v>6</v>
      </c>
      <c r="V72">
        <f t="shared" si="29"/>
        <v>0.55555555555555558</v>
      </c>
      <c r="W72">
        <f>survey_responses[[#This Row],[Tôi tin rằng Nhà nước, cơ quan thuế có đủ khả năng và công nghệ để phát hiện, xử lý nghiêm các hành vi trốn thuế. - HUMAN-ENF2]]</f>
        <v>3</v>
      </c>
      <c r="X72">
        <f t="shared" si="30"/>
        <v>0.22222222222222221</v>
      </c>
      <c r="Y72" s="32">
        <f t="shared" si="31"/>
        <v>0.61111111111111116</v>
      </c>
      <c r="Z72" s="32">
        <f t="shared" si="32"/>
        <v>0.22222222222222221</v>
      </c>
      <c r="AA72">
        <f>step3_validation[[#This Row],[AI_FAC1]]</f>
        <v>8</v>
      </c>
      <c r="AB72">
        <f t="shared" si="33"/>
        <v>0.77777777777777779</v>
      </c>
      <c r="AC72">
        <f>survey_responses[[#This Row],[Các thủ tục khai báo thuế VÀ/HOẶC quy trình làm việc với cơ quan thuế đơn giản, tiện lợi, nhanh chóng hơn so với trước đây. - HUMAN-FAC1]]</f>
        <v>3</v>
      </c>
      <c r="AD72">
        <f t="shared" si="34"/>
        <v>0.22222222222222221</v>
      </c>
      <c r="AE72">
        <f>step3_validation[[#This Row],[AI_FAC2]]</f>
        <v>9</v>
      </c>
      <c r="AF72">
        <f t="shared" si="35"/>
        <v>0.88888888888888884</v>
      </c>
      <c r="AG72">
        <f>survey_responses[[#This Row],[So với trước đây, tôi thấy cách tính thuế và các bậc thuế trong phương án mới đơn giản, dễ hiểu và dễ thực hiện hơn. - HUMAN-FAC2]]</f>
        <v>5</v>
      </c>
      <c r="AH72">
        <f t="shared" si="36"/>
        <v>0.44444444444444442</v>
      </c>
      <c r="AI72" s="32">
        <f t="shared" si="37"/>
        <v>0.83333333333333326</v>
      </c>
      <c r="AJ72" s="32">
        <f t="shared" si="38"/>
        <v>0.33333333333333331</v>
      </c>
      <c r="AK72">
        <f>step3_validation[[#This Row],[AI_TRU1]]</f>
        <v>7</v>
      </c>
      <c r="AL72">
        <f t="shared" si="39"/>
        <v>0.66666666666666663</v>
      </c>
      <c r="AM72">
        <f>survey_responses[[#This Row],[Tôi tin rằng Nhà nước, cơ quan thuế sẽ thực thi chính sách mới một cách khách quan, công tâm và đối xử bình đẳng với mọi người nộp thuế.  - HUMAN-TRU1]]</f>
        <v>3</v>
      </c>
      <c r="AN72">
        <f t="shared" si="40"/>
        <v>0.22222222222222221</v>
      </c>
      <c r="AO72">
        <f>step3_validation[[#This Row],[AI_TRU2]]</f>
        <v>9</v>
      </c>
      <c r="AP72">
        <f t="shared" si="41"/>
        <v>0.88888888888888884</v>
      </c>
      <c r="AQ72">
        <f>survey_responses[[#This Row],[Tôi thấy mức thuế tôi phải đóng theo phương án mới là công bằng (người thu nhập như tôi đóng mức này là hợp lý). - HUMAN-TRU2]]</f>
        <v>3</v>
      </c>
      <c r="AR72">
        <f t="shared" si="42"/>
        <v>0.22222222222222221</v>
      </c>
      <c r="AS72">
        <f>step3_validation[[#This Row],[AI_TRU3]]</f>
        <v>8</v>
      </c>
      <c r="AT72">
        <f t="shared" si="43"/>
        <v>0.77777777777777779</v>
      </c>
      <c r="AU72">
        <f>survey_responses[[#This Row],[Tôi tin tưởng số tiền thuế tôi đóng sẽ được Nhà nước sử dụng hiệu quả để cải thiện dịch vụ công (y tế, đường xá...). - HUMAN-TRU3]]</f>
        <v>3</v>
      </c>
      <c r="AV72">
        <f t="shared" si="44"/>
        <v>0.22222222222222221</v>
      </c>
      <c r="AW72">
        <f>step3_validation[[#This Row],[AI_TRU4]]</f>
        <v>7</v>
      </c>
      <c r="AX72">
        <f t="shared" si="45"/>
        <v>0.66666666666666663</v>
      </c>
      <c r="AY72">
        <f>survey_responses[[#This Row],[Tôi thấy Nhà nước đã giải thích rõ ràng, minh bạch về lý do và mục tiêu của việc sửa đổi thuế lần này. - HUMAN-TRU4]]</f>
        <v>3</v>
      </c>
      <c r="AZ72">
        <f t="shared" si="46"/>
        <v>0.22222222222222221</v>
      </c>
      <c r="BA72" s="32">
        <f t="shared" si="47"/>
        <v>0.74999999999999989</v>
      </c>
      <c r="BB72" s="32">
        <f t="shared" si="48"/>
        <v>0.22222222222222221</v>
      </c>
      <c r="BC72" s="7">
        <f t="shared" si="49"/>
        <v>0.7314814814814814</v>
      </c>
      <c r="BD72" s="7">
        <f t="shared" si="50"/>
        <v>0.25925925925925924</v>
      </c>
      <c r="BE72">
        <f>step3_validation[[#This Row],[AI_OUT1]]</f>
        <v>9</v>
      </c>
      <c r="BF72">
        <f t="shared" si="51"/>
        <v>0.88888888888888884</v>
      </c>
      <c r="BG72">
        <f>survey_responses[[#This Row],[Sau khi xem xét các quyền lợi và nghĩa vụ, bạn có ủng hộ và tuân thủ chính sách mới hiện nay? - HUMAN-OUT1]]</f>
        <v>4</v>
      </c>
      <c r="BH72">
        <f t="shared" si="52"/>
        <v>0.33333333333333331</v>
      </c>
      <c r="BI72" s="32">
        <f t="shared" si="53"/>
        <v>5</v>
      </c>
    </row>
    <row r="73" spans="1:61" x14ac:dyDescent="0.45">
      <c r="A73" s="30">
        <f>step3_validation[[#This Row],[Persona_ID]]</f>
        <v>72</v>
      </c>
      <c r="B73" s="31">
        <f>step3_validation[[#This Row],[Used_Seed]]</f>
        <v>72</v>
      </c>
      <c r="C73" t="str">
        <f>step3_validation[[#This Row],[Gender]]</f>
        <v>Nam</v>
      </c>
      <c r="D73" t="str">
        <f>survey_responses[[#This Row],[Giới tính của bạn:]]</f>
        <v>Nam</v>
      </c>
      <c r="E73" t="str">
        <f>step3_validation[[#This Row],[Age_Group]]</f>
        <v>30 - 39</v>
      </c>
      <c r="F73" t="str">
        <f>survey_responses[[#This Row],[Độ tuổi của bạn:]]</f>
        <v>30 - 39</v>
      </c>
      <c r="G73" t="str">
        <f>step3_validation[[#This Row],[Region]]</f>
        <v>Thành thị</v>
      </c>
      <c r="H73" t="str">
        <f>survey_responses[[#This Row],[Khu vực bạn đang sinh sống:]]</f>
        <v>Thành thị</v>
      </c>
      <c r="I73" t="str">
        <f>step3_validation[[#This Row],[Education]]</f>
        <v>Đại học</v>
      </c>
      <c r="J73" t="str">
        <f>survey_responses[[#This Row],[Trình độ học vấn cao nhất:]]</f>
        <v>Đại học</v>
      </c>
      <c r="K73" t="str">
        <f>step3_validation[[#This Row],[Employment]]</f>
        <v>Phi chính thức</v>
      </c>
      <c r="L73" t="str">
        <f>survey_responses[[#This Row],[Tình trạng việc làm chính:]]</f>
        <v>Khu vực phi chính thức (Lao động tự do, không có HĐLĐ)</v>
      </c>
      <c r="M73">
        <f>step3_validation[[#This Row],[Income_Mil]]</f>
        <v>21.351346937895201</v>
      </c>
      <c r="N73" t="str">
        <f>survey_responses[[#This Row],[Thu nhập bình quân tháng theo Hợp đồng lao động của bạn là bao nhiêu? (Vui lòng điền tổng thu nhập trước khi khấu trừ các loại Bảo hiểm (BHXH, BHYT, BHTN) và Thuế TNCN)]]</f>
        <v>Từ 18 - 23 triệu VNĐ</v>
      </c>
      <c r="O73">
        <f>step3_validation[[#This Row],[Dependents]]</f>
        <v>3</v>
      </c>
      <c r="P73" t="str">
        <f>survey_responses[[#This Row],[Số người phụ thuộc (con nhỏ, cha mẹ già...) đủ điều kiện giảm trừ gia cảnh:]]</f>
        <v>3 người</v>
      </c>
      <c r="Q73">
        <f>step3_validation[[#This Row],[AI_ENF1]]</f>
        <v>5</v>
      </c>
      <c r="R73">
        <f t="shared" si="27"/>
        <v>0.44444444444444442</v>
      </c>
      <c r="S73">
        <f>survey_responses[[#This Row],[Tôi tin rằng với các quy định quản lý thuế hiện nay, hành vi gian lận hoặc trốn thuế sẽ dễ dàng bị phát hiện và xử lý nghiêm. - HUMAN-ENF1]]</f>
        <v>8</v>
      </c>
      <c r="T73">
        <f t="shared" si="28"/>
        <v>0.77777777777777779</v>
      </c>
      <c r="U73">
        <f>step3_validation[[#This Row],[AI_ENF2]]</f>
        <v>7</v>
      </c>
      <c r="V73">
        <f t="shared" si="29"/>
        <v>0.66666666666666663</v>
      </c>
      <c r="W73">
        <f>survey_responses[[#This Row],[Tôi tin rằng Nhà nước, cơ quan thuế có đủ khả năng và công nghệ để phát hiện, xử lý nghiêm các hành vi trốn thuế. - HUMAN-ENF2]]</f>
        <v>8</v>
      </c>
      <c r="X73">
        <f t="shared" si="30"/>
        <v>0.77777777777777779</v>
      </c>
      <c r="Y73" s="32">
        <f t="shared" si="31"/>
        <v>0.55555555555555558</v>
      </c>
      <c r="Z73" s="32">
        <f t="shared" si="32"/>
        <v>0.77777777777777779</v>
      </c>
      <c r="AA73">
        <f>step3_validation[[#This Row],[AI_FAC1]]</f>
        <v>9</v>
      </c>
      <c r="AB73">
        <f t="shared" si="33"/>
        <v>0.88888888888888884</v>
      </c>
      <c r="AC73">
        <f>survey_responses[[#This Row],[Các thủ tục khai báo thuế VÀ/HOẶC quy trình làm việc với cơ quan thuế đơn giản, tiện lợi, nhanh chóng hơn so với trước đây. - HUMAN-FAC1]]</f>
        <v>4</v>
      </c>
      <c r="AD73">
        <f t="shared" si="34"/>
        <v>0.33333333333333331</v>
      </c>
      <c r="AE73">
        <f>step3_validation[[#This Row],[AI_FAC2]]</f>
        <v>6</v>
      </c>
      <c r="AF73">
        <f t="shared" si="35"/>
        <v>0.55555555555555558</v>
      </c>
      <c r="AG73">
        <f>survey_responses[[#This Row],[So với trước đây, tôi thấy cách tính thuế và các bậc thuế trong phương án mới đơn giản, dễ hiểu và dễ thực hiện hơn. - HUMAN-FAC2]]</f>
        <v>2</v>
      </c>
      <c r="AH73">
        <f t="shared" si="36"/>
        <v>0.1111111111111111</v>
      </c>
      <c r="AI73" s="32">
        <f t="shared" si="37"/>
        <v>0.72222222222222221</v>
      </c>
      <c r="AJ73" s="32">
        <f t="shared" si="38"/>
        <v>0.22222222222222221</v>
      </c>
      <c r="AK73">
        <f>step3_validation[[#This Row],[AI_TRU1]]</f>
        <v>8</v>
      </c>
      <c r="AL73">
        <f t="shared" si="39"/>
        <v>0.77777777777777779</v>
      </c>
      <c r="AM73">
        <f>survey_responses[[#This Row],[Tôi tin rằng Nhà nước, cơ quan thuế sẽ thực thi chính sách mới một cách khách quan, công tâm và đối xử bình đẳng với mọi người nộp thuế.  - HUMAN-TRU1]]</f>
        <v>6</v>
      </c>
      <c r="AN73">
        <f t="shared" si="40"/>
        <v>0.55555555555555558</v>
      </c>
      <c r="AO73">
        <f>step3_validation[[#This Row],[AI_TRU2]]</f>
        <v>9</v>
      </c>
      <c r="AP73">
        <f t="shared" si="41"/>
        <v>0.88888888888888884</v>
      </c>
      <c r="AQ73">
        <f>survey_responses[[#This Row],[Tôi thấy mức thuế tôi phải đóng theo phương án mới là công bằng (người thu nhập như tôi đóng mức này là hợp lý). - HUMAN-TRU2]]</f>
        <v>3</v>
      </c>
      <c r="AR73">
        <f t="shared" si="42"/>
        <v>0.22222222222222221</v>
      </c>
      <c r="AS73">
        <f>step3_validation[[#This Row],[AI_TRU3]]</f>
        <v>7</v>
      </c>
      <c r="AT73">
        <f t="shared" si="43"/>
        <v>0.66666666666666663</v>
      </c>
      <c r="AU73">
        <f>survey_responses[[#This Row],[Tôi tin tưởng số tiền thuế tôi đóng sẽ được Nhà nước sử dụng hiệu quả để cải thiện dịch vụ công (y tế, đường xá...). - HUMAN-TRU3]]</f>
        <v>8</v>
      </c>
      <c r="AV73">
        <f t="shared" si="44"/>
        <v>0.77777777777777779</v>
      </c>
      <c r="AW73">
        <f>step3_validation[[#This Row],[AI_TRU4]]</f>
        <v>8</v>
      </c>
      <c r="AX73">
        <f t="shared" si="45"/>
        <v>0.77777777777777779</v>
      </c>
      <c r="AY73">
        <f>survey_responses[[#This Row],[Tôi thấy Nhà nước đã giải thích rõ ràng, minh bạch về lý do và mục tiêu của việc sửa đổi thuế lần này. - HUMAN-TRU4]]</f>
        <v>4</v>
      </c>
      <c r="AZ73">
        <f t="shared" si="46"/>
        <v>0.33333333333333331</v>
      </c>
      <c r="BA73" s="32">
        <f t="shared" si="47"/>
        <v>0.77777777777777768</v>
      </c>
      <c r="BB73" s="32">
        <f t="shared" si="48"/>
        <v>0.47222222222222221</v>
      </c>
      <c r="BC73" s="7">
        <f t="shared" si="49"/>
        <v>0.68518518518518512</v>
      </c>
      <c r="BD73" s="7">
        <f t="shared" si="50"/>
        <v>0.49074074074074076</v>
      </c>
      <c r="BE73">
        <f>step3_validation[[#This Row],[AI_OUT1]]</f>
        <v>9</v>
      </c>
      <c r="BF73">
        <f t="shared" si="51"/>
        <v>0.88888888888888884</v>
      </c>
      <c r="BG73">
        <f>survey_responses[[#This Row],[Sau khi xem xét các quyền lợi và nghĩa vụ, bạn có ủng hộ và tuân thủ chính sách mới hiện nay? - HUMAN-OUT1]]</f>
        <v>8</v>
      </c>
      <c r="BH73">
        <f t="shared" si="52"/>
        <v>0.77777777777777779</v>
      </c>
      <c r="BI73" s="32">
        <f t="shared" si="53"/>
        <v>1</v>
      </c>
    </row>
    <row r="74" spans="1:61" x14ac:dyDescent="0.45">
      <c r="A74" s="30">
        <f>step3_validation[[#This Row],[Persona_ID]]</f>
        <v>73</v>
      </c>
      <c r="B74" s="31">
        <f>step3_validation[[#This Row],[Used_Seed]]</f>
        <v>73</v>
      </c>
      <c r="C74" t="str">
        <f>step3_validation[[#This Row],[Gender]]</f>
        <v>Nam</v>
      </c>
      <c r="D74" t="str">
        <f>survey_responses[[#This Row],[Giới tính của bạn:]]</f>
        <v>Nam</v>
      </c>
      <c r="E74" t="str">
        <f>step3_validation[[#This Row],[Age_Group]]</f>
        <v>18 - 24</v>
      </c>
      <c r="F74" t="str">
        <f>survey_responses[[#This Row],[Độ tuổi của bạn:]]</f>
        <v>18 - 24</v>
      </c>
      <c r="G74" t="str">
        <f>step3_validation[[#This Row],[Region]]</f>
        <v>Thành thị</v>
      </c>
      <c r="H74" t="str">
        <f>survey_responses[[#This Row],[Khu vực bạn đang sinh sống:]]</f>
        <v>Thành thị</v>
      </c>
      <c r="I74" t="str">
        <f>step3_validation[[#This Row],[Education]]</f>
        <v>Trung học phổ thông</v>
      </c>
      <c r="J74" t="str">
        <f>survey_responses[[#This Row],[Trình độ học vấn cao nhất:]]</f>
        <v>Trung học phổ thông</v>
      </c>
      <c r="K74" t="str">
        <f>step3_validation[[#This Row],[Employment]]</f>
        <v>Chính thức</v>
      </c>
      <c r="L74" t="str">
        <f>survey_responses[[#This Row],[Tình trạng việc làm chính:]]</f>
        <v>Khu vực chính thức (Có Hợp đồng lao động, đóng BHXH)</v>
      </c>
      <c r="M74">
        <f>step3_validation[[#This Row],[Income_Mil]]</f>
        <v>14.463180946440964</v>
      </c>
      <c r="N74" t="str">
        <f>survey_responses[[#This Row],[Thu nhập bình quân tháng theo Hợp đồng lao động của bạn là bao nhiêu? (Vui lòng điền tổng thu nhập trước khi khấu trừ các loại Bảo hiểm (BHXH, BHYT, BHTN) và Thuế TNCN)]]</f>
        <v>Từ 12 - 18 triệu VNĐ</v>
      </c>
      <c r="O74">
        <f>step3_validation[[#This Row],[Dependents]]</f>
        <v>0</v>
      </c>
      <c r="P74" t="str">
        <f>survey_responses[[#This Row],[Số người phụ thuộc (con nhỏ, cha mẹ già...) đủ điều kiện giảm trừ gia cảnh:]]</f>
        <v>0 người</v>
      </c>
      <c r="Q74">
        <f>step3_validation[[#This Row],[AI_ENF1]]</f>
        <v>7</v>
      </c>
      <c r="R74">
        <f t="shared" si="27"/>
        <v>0.66666666666666663</v>
      </c>
      <c r="S74">
        <f>survey_responses[[#This Row],[Tôi tin rằng với các quy định quản lý thuế hiện nay, hành vi gian lận hoặc trốn thuế sẽ dễ dàng bị phát hiện và xử lý nghiêm. - HUMAN-ENF1]]</f>
        <v>5</v>
      </c>
      <c r="T74">
        <f t="shared" si="28"/>
        <v>0.44444444444444442</v>
      </c>
      <c r="U74">
        <f>step3_validation[[#This Row],[AI_ENF2]]</f>
        <v>6</v>
      </c>
      <c r="V74">
        <f t="shared" si="29"/>
        <v>0.55555555555555558</v>
      </c>
      <c r="W74">
        <f>survey_responses[[#This Row],[Tôi tin rằng Nhà nước, cơ quan thuế có đủ khả năng và công nghệ để phát hiện, xử lý nghiêm các hành vi trốn thuế. - HUMAN-ENF2]]</f>
        <v>5</v>
      </c>
      <c r="X74">
        <f t="shared" si="30"/>
        <v>0.44444444444444442</v>
      </c>
      <c r="Y74" s="32">
        <f t="shared" si="31"/>
        <v>0.61111111111111116</v>
      </c>
      <c r="Z74" s="32">
        <f t="shared" si="32"/>
        <v>0.44444444444444442</v>
      </c>
      <c r="AA74">
        <f>step3_validation[[#This Row],[AI_FAC1]]</f>
        <v>9</v>
      </c>
      <c r="AB74">
        <f t="shared" si="33"/>
        <v>0.88888888888888884</v>
      </c>
      <c r="AC74">
        <f>survey_responses[[#This Row],[Các thủ tục khai báo thuế VÀ/HOẶC quy trình làm việc với cơ quan thuế đơn giản, tiện lợi, nhanh chóng hơn so với trước đây. - HUMAN-FAC1]]</f>
        <v>5</v>
      </c>
      <c r="AD74">
        <f t="shared" si="34"/>
        <v>0.44444444444444442</v>
      </c>
      <c r="AE74">
        <f>step3_validation[[#This Row],[AI_FAC2]]</f>
        <v>8</v>
      </c>
      <c r="AF74">
        <f t="shared" si="35"/>
        <v>0.77777777777777779</v>
      </c>
      <c r="AG74">
        <f>survey_responses[[#This Row],[So với trước đây, tôi thấy cách tính thuế và các bậc thuế trong phương án mới đơn giản, dễ hiểu và dễ thực hiện hơn. - HUMAN-FAC2]]</f>
        <v>5</v>
      </c>
      <c r="AH74">
        <f t="shared" si="36"/>
        <v>0.44444444444444442</v>
      </c>
      <c r="AI74" s="32">
        <f t="shared" si="37"/>
        <v>0.83333333333333326</v>
      </c>
      <c r="AJ74" s="32">
        <f t="shared" si="38"/>
        <v>0.44444444444444442</v>
      </c>
      <c r="AK74">
        <f>step3_validation[[#This Row],[AI_TRU1]]</f>
        <v>7</v>
      </c>
      <c r="AL74">
        <f t="shared" si="39"/>
        <v>0.66666666666666663</v>
      </c>
      <c r="AM74">
        <f>survey_responses[[#This Row],[Tôi tin rằng Nhà nước, cơ quan thuế sẽ thực thi chính sách mới một cách khách quan, công tâm và đối xử bình đẳng với mọi người nộp thuế.  - HUMAN-TRU1]]</f>
        <v>5</v>
      </c>
      <c r="AN74">
        <f t="shared" si="40"/>
        <v>0.44444444444444442</v>
      </c>
      <c r="AO74">
        <f>step3_validation[[#This Row],[AI_TRU2]]</f>
        <v>9</v>
      </c>
      <c r="AP74">
        <f t="shared" si="41"/>
        <v>0.88888888888888884</v>
      </c>
      <c r="AQ74">
        <f>survey_responses[[#This Row],[Tôi thấy mức thuế tôi phải đóng theo phương án mới là công bằng (người thu nhập như tôi đóng mức này là hợp lý). - HUMAN-TRU2]]</f>
        <v>10</v>
      </c>
      <c r="AR74">
        <f t="shared" si="42"/>
        <v>1</v>
      </c>
      <c r="AS74">
        <f>step3_validation[[#This Row],[AI_TRU3]]</f>
        <v>7</v>
      </c>
      <c r="AT74">
        <f t="shared" si="43"/>
        <v>0.66666666666666663</v>
      </c>
      <c r="AU74">
        <f>survey_responses[[#This Row],[Tôi tin tưởng số tiền thuế tôi đóng sẽ được Nhà nước sử dụng hiệu quả để cải thiện dịch vụ công (y tế, đường xá...). - HUMAN-TRU3]]</f>
        <v>5</v>
      </c>
      <c r="AV74">
        <f t="shared" si="44"/>
        <v>0.44444444444444442</v>
      </c>
      <c r="AW74">
        <f>step3_validation[[#This Row],[AI_TRU4]]</f>
        <v>6</v>
      </c>
      <c r="AX74">
        <f t="shared" si="45"/>
        <v>0.55555555555555558</v>
      </c>
      <c r="AY74">
        <f>survey_responses[[#This Row],[Tôi thấy Nhà nước đã giải thích rõ ràng, minh bạch về lý do và mục tiêu của việc sửa đổi thuế lần này. - HUMAN-TRU4]]</f>
        <v>5</v>
      </c>
      <c r="AZ74">
        <f t="shared" si="46"/>
        <v>0.44444444444444442</v>
      </c>
      <c r="BA74" s="32">
        <f t="shared" si="47"/>
        <v>0.69444444444444442</v>
      </c>
      <c r="BB74" s="32">
        <f t="shared" si="48"/>
        <v>0.58333333333333326</v>
      </c>
      <c r="BC74" s="7">
        <f t="shared" si="49"/>
        <v>0.71296296296296291</v>
      </c>
      <c r="BD74" s="7">
        <f t="shared" si="50"/>
        <v>0.4907407407407407</v>
      </c>
      <c r="BE74">
        <f>step3_validation[[#This Row],[AI_OUT1]]</f>
        <v>9</v>
      </c>
      <c r="BF74">
        <f t="shared" si="51"/>
        <v>0.88888888888888884</v>
      </c>
      <c r="BG74">
        <f>survey_responses[[#This Row],[Sau khi xem xét các quyền lợi và nghĩa vụ, bạn có ủng hộ và tuân thủ chính sách mới hiện nay? - HUMAN-OUT1]]</f>
        <v>10</v>
      </c>
      <c r="BH74">
        <f t="shared" si="52"/>
        <v>1</v>
      </c>
      <c r="BI74" s="32">
        <f t="shared" si="53"/>
        <v>1</v>
      </c>
    </row>
    <row r="75" spans="1:61" x14ac:dyDescent="0.45">
      <c r="A75" s="30">
        <f>step3_validation[[#This Row],[Persona_ID]]</f>
        <v>74</v>
      </c>
      <c r="B75" s="31">
        <f>step3_validation[[#This Row],[Used_Seed]]</f>
        <v>74</v>
      </c>
      <c r="C75" t="str">
        <f>step3_validation[[#This Row],[Gender]]</f>
        <v>Nữ</v>
      </c>
      <c r="D75" t="str">
        <f>survey_responses[[#This Row],[Giới tính của bạn:]]</f>
        <v>Nữ</v>
      </c>
      <c r="E75" t="str">
        <f>step3_validation[[#This Row],[Age_Group]]</f>
        <v>30 - 39</v>
      </c>
      <c r="F75" t="str">
        <f>survey_responses[[#This Row],[Độ tuổi của bạn:]]</f>
        <v>30 - 39</v>
      </c>
      <c r="G75" t="str">
        <f>step3_validation[[#This Row],[Region]]</f>
        <v>Thành thị</v>
      </c>
      <c r="H75" t="str">
        <f>survey_responses[[#This Row],[Khu vực bạn đang sinh sống:]]</f>
        <v>Thành thị</v>
      </c>
      <c r="I75" t="str">
        <f>step3_validation[[#This Row],[Education]]</f>
        <v>Đại học</v>
      </c>
      <c r="J75" t="str">
        <f>survey_responses[[#This Row],[Trình độ học vấn cao nhất:]]</f>
        <v>Đại học</v>
      </c>
      <c r="K75" t="str">
        <f>step3_validation[[#This Row],[Employment]]</f>
        <v>Phi chính thức</v>
      </c>
      <c r="L75" t="str">
        <f>survey_responses[[#This Row],[Tình trạng việc làm chính:]]</f>
        <v>Khu vực phi chính thức (Lao động tự do, không có HĐLĐ)</v>
      </c>
      <c r="M75">
        <f>step3_validation[[#This Row],[Income_Mil]]</f>
        <v>21.577513073755629</v>
      </c>
      <c r="N75" t="str">
        <f>survey_responses[[#This Row],[Thu nhập bình quân tháng theo Hợp đồng lao động của bạn là bao nhiêu? (Vui lòng điền tổng thu nhập trước khi khấu trừ các loại Bảo hiểm (BHXH, BHYT, BHTN) và Thuế TNCN)]]</f>
        <v>Từ 18 - 23 triệu VNĐ</v>
      </c>
      <c r="O75">
        <f>step3_validation[[#This Row],[Dependents]]</f>
        <v>1</v>
      </c>
      <c r="P75" t="str">
        <f>survey_responses[[#This Row],[Số người phụ thuộc (con nhỏ, cha mẹ già...) đủ điều kiện giảm trừ gia cảnh:]]</f>
        <v>1 người</v>
      </c>
      <c r="Q75">
        <f>step3_validation[[#This Row],[AI_ENF1]]</f>
        <v>7</v>
      </c>
      <c r="R75">
        <f t="shared" si="27"/>
        <v>0.66666666666666663</v>
      </c>
      <c r="S75">
        <f>survey_responses[[#This Row],[Tôi tin rằng với các quy định quản lý thuế hiện nay, hành vi gian lận hoặc trốn thuế sẽ dễ dàng bị phát hiện và xử lý nghiêm. - HUMAN-ENF1]]</f>
        <v>5</v>
      </c>
      <c r="T75">
        <f t="shared" si="28"/>
        <v>0.44444444444444442</v>
      </c>
      <c r="U75">
        <f>step3_validation[[#This Row],[AI_ENF2]]</f>
        <v>8</v>
      </c>
      <c r="V75">
        <f t="shared" si="29"/>
        <v>0.77777777777777779</v>
      </c>
      <c r="W75">
        <f>survey_responses[[#This Row],[Tôi tin rằng Nhà nước, cơ quan thuế có đủ khả năng và công nghệ để phát hiện, xử lý nghiêm các hành vi trốn thuế. - HUMAN-ENF2]]</f>
        <v>10</v>
      </c>
      <c r="X75">
        <f t="shared" si="30"/>
        <v>1</v>
      </c>
      <c r="Y75" s="32">
        <f t="shared" si="31"/>
        <v>0.72222222222222221</v>
      </c>
      <c r="Z75" s="32">
        <f t="shared" si="32"/>
        <v>0.72222222222222221</v>
      </c>
      <c r="AA75">
        <f>step3_validation[[#This Row],[AI_FAC1]]</f>
        <v>9</v>
      </c>
      <c r="AB75">
        <f t="shared" si="33"/>
        <v>0.88888888888888884</v>
      </c>
      <c r="AC75">
        <f>survey_responses[[#This Row],[Các thủ tục khai báo thuế VÀ/HOẶC quy trình làm việc với cơ quan thuế đơn giản, tiện lợi, nhanh chóng hơn so với trước đây. - HUMAN-FAC1]]</f>
        <v>2</v>
      </c>
      <c r="AD75">
        <f t="shared" si="34"/>
        <v>0.1111111111111111</v>
      </c>
      <c r="AE75">
        <f>step3_validation[[#This Row],[AI_FAC2]]</f>
        <v>8</v>
      </c>
      <c r="AF75">
        <f t="shared" si="35"/>
        <v>0.77777777777777779</v>
      </c>
      <c r="AG75">
        <f>survey_responses[[#This Row],[So với trước đây, tôi thấy cách tính thuế và các bậc thuế trong phương án mới đơn giản, dễ hiểu và dễ thực hiện hơn. - HUMAN-FAC2]]</f>
        <v>8</v>
      </c>
      <c r="AH75">
        <f t="shared" si="36"/>
        <v>0.77777777777777779</v>
      </c>
      <c r="AI75" s="32">
        <f t="shared" si="37"/>
        <v>0.83333333333333326</v>
      </c>
      <c r="AJ75" s="32">
        <f t="shared" si="38"/>
        <v>0.44444444444444442</v>
      </c>
      <c r="AK75">
        <f>step3_validation[[#This Row],[AI_TRU1]]</f>
        <v>6</v>
      </c>
      <c r="AL75">
        <f t="shared" si="39"/>
        <v>0.55555555555555558</v>
      </c>
      <c r="AM75">
        <f>survey_responses[[#This Row],[Tôi tin rằng Nhà nước, cơ quan thuế sẽ thực thi chính sách mới một cách khách quan, công tâm và đối xử bình đẳng với mọi người nộp thuế.  - HUMAN-TRU1]]</f>
        <v>5</v>
      </c>
      <c r="AN75">
        <f t="shared" si="40"/>
        <v>0.44444444444444442</v>
      </c>
      <c r="AO75">
        <f>step3_validation[[#This Row],[AI_TRU2]]</f>
        <v>8</v>
      </c>
      <c r="AP75">
        <f t="shared" si="41"/>
        <v>0.77777777777777779</v>
      </c>
      <c r="AQ75">
        <f>survey_responses[[#This Row],[Tôi thấy mức thuế tôi phải đóng theo phương án mới là công bằng (người thu nhập như tôi đóng mức này là hợp lý). - HUMAN-TRU2]]</f>
        <v>5</v>
      </c>
      <c r="AR75">
        <f t="shared" si="42"/>
        <v>0.44444444444444442</v>
      </c>
      <c r="AS75">
        <f>step3_validation[[#This Row],[AI_TRU3]]</f>
        <v>7</v>
      </c>
      <c r="AT75">
        <f t="shared" si="43"/>
        <v>0.66666666666666663</v>
      </c>
      <c r="AU75">
        <f>survey_responses[[#This Row],[Tôi tin tưởng số tiền thuế tôi đóng sẽ được Nhà nước sử dụng hiệu quả để cải thiện dịch vụ công (y tế, đường xá...). - HUMAN-TRU3]]</f>
        <v>1</v>
      </c>
      <c r="AV75">
        <f t="shared" si="44"/>
        <v>0</v>
      </c>
      <c r="AW75">
        <f>step3_validation[[#This Row],[AI_TRU4]]</f>
        <v>6</v>
      </c>
      <c r="AX75">
        <f t="shared" si="45"/>
        <v>0.55555555555555558</v>
      </c>
      <c r="AY75">
        <f>survey_responses[[#This Row],[Tôi thấy Nhà nước đã giải thích rõ ràng, minh bạch về lý do và mục tiêu của việc sửa đổi thuế lần này. - HUMAN-TRU4]]</f>
        <v>4</v>
      </c>
      <c r="AZ75">
        <f t="shared" si="46"/>
        <v>0.33333333333333331</v>
      </c>
      <c r="BA75" s="32">
        <f t="shared" si="47"/>
        <v>0.63888888888888884</v>
      </c>
      <c r="BB75" s="32">
        <f t="shared" si="48"/>
        <v>0.30555555555555552</v>
      </c>
      <c r="BC75" s="7">
        <f t="shared" si="49"/>
        <v>0.7314814814814814</v>
      </c>
      <c r="BD75" s="7">
        <f t="shared" si="50"/>
        <v>0.4907407407407407</v>
      </c>
      <c r="BE75">
        <f>step3_validation[[#This Row],[AI_OUT1]]</f>
        <v>7</v>
      </c>
      <c r="BF75">
        <f t="shared" si="51"/>
        <v>0.66666666666666663</v>
      </c>
      <c r="BG75">
        <f>survey_responses[[#This Row],[Sau khi xem xét các quyền lợi và nghĩa vụ, bạn có ủng hộ và tuân thủ chính sách mới hiện nay? - HUMAN-OUT1]]</f>
        <v>5</v>
      </c>
      <c r="BH75">
        <f t="shared" si="52"/>
        <v>0.44444444444444442</v>
      </c>
      <c r="BI75" s="32">
        <f t="shared" si="53"/>
        <v>2</v>
      </c>
    </row>
    <row r="76" spans="1:61" x14ac:dyDescent="0.45">
      <c r="A76" s="30">
        <f>step3_validation[[#This Row],[Persona_ID]]</f>
        <v>75</v>
      </c>
      <c r="B76" s="31">
        <f>step3_validation[[#This Row],[Used_Seed]]</f>
        <v>75</v>
      </c>
      <c r="C76" t="str">
        <f>step3_validation[[#This Row],[Gender]]</f>
        <v>Nam</v>
      </c>
      <c r="D76" t="str">
        <f>survey_responses[[#This Row],[Giới tính của bạn:]]</f>
        <v>Nam</v>
      </c>
      <c r="E76" t="str">
        <f>step3_validation[[#This Row],[Age_Group]]</f>
        <v>40 - 49</v>
      </c>
      <c r="F76" t="str">
        <f>survey_responses[[#This Row],[Độ tuổi của bạn:]]</f>
        <v>40 - 49</v>
      </c>
      <c r="G76" t="str">
        <f>step3_validation[[#This Row],[Region]]</f>
        <v>Thành thị</v>
      </c>
      <c r="H76" t="str">
        <f>survey_responses[[#This Row],[Khu vực bạn đang sinh sống:]]</f>
        <v>Thành thị</v>
      </c>
      <c r="I76" t="str">
        <f>step3_validation[[#This Row],[Education]]</f>
        <v>Sau Đại học</v>
      </c>
      <c r="J76" t="str">
        <f>survey_responses[[#This Row],[Trình độ học vấn cao nhất:]]</f>
        <v>Sau Đại học</v>
      </c>
      <c r="K76" t="str">
        <f>step3_validation[[#This Row],[Employment]]</f>
        <v>Chính thức</v>
      </c>
      <c r="L76" t="str">
        <f>survey_responses[[#This Row],[Tình trạng việc làm chính:]]</f>
        <v>Khu vực chính thức (Có Hợp đồng lao động, đóng BHXH)</v>
      </c>
      <c r="M76">
        <f>step3_validation[[#This Row],[Income_Mil]]</f>
        <v>52.479125312050151</v>
      </c>
      <c r="N76" t="str">
        <f>survey_responses[[#This Row],[Thu nhập bình quân tháng theo Hợp đồng lao động của bạn là bao nhiêu? (Vui lòng điền tổng thu nhập trước khi khấu trừ các loại Bảo hiểm (BHXH, BHYT, BHTN) và Thuế TNCN)]]</f>
        <v>Từ 48 - 70 triệu VNĐ</v>
      </c>
      <c r="O76">
        <f>step3_validation[[#This Row],[Dependents]]</f>
        <v>2</v>
      </c>
      <c r="P76" t="str">
        <f>survey_responses[[#This Row],[Số người phụ thuộc (con nhỏ, cha mẹ già...) đủ điều kiện giảm trừ gia cảnh:]]</f>
        <v>2 người</v>
      </c>
      <c r="Q76">
        <f>step3_validation[[#This Row],[AI_ENF1]]</f>
        <v>8</v>
      </c>
      <c r="R76">
        <f t="shared" si="27"/>
        <v>0.77777777777777779</v>
      </c>
      <c r="S76">
        <f>survey_responses[[#This Row],[Tôi tin rằng với các quy định quản lý thuế hiện nay, hành vi gian lận hoặc trốn thuế sẽ dễ dàng bị phát hiện và xử lý nghiêm. - HUMAN-ENF1]]</f>
        <v>8</v>
      </c>
      <c r="T76">
        <f t="shared" si="28"/>
        <v>0.77777777777777779</v>
      </c>
      <c r="U76">
        <f>step3_validation[[#This Row],[AI_ENF2]]</f>
        <v>8</v>
      </c>
      <c r="V76">
        <f t="shared" si="29"/>
        <v>0.77777777777777779</v>
      </c>
      <c r="W76">
        <f>survey_responses[[#This Row],[Tôi tin rằng Nhà nước, cơ quan thuế có đủ khả năng và công nghệ để phát hiện, xử lý nghiêm các hành vi trốn thuế. - HUMAN-ENF2]]</f>
        <v>9</v>
      </c>
      <c r="X76">
        <f t="shared" si="30"/>
        <v>0.88888888888888884</v>
      </c>
      <c r="Y76" s="32">
        <f t="shared" si="31"/>
        <v>0.77777777777777779</v>
      </c>
      <c r="Z76" s="32">
        <f t="shared" si="32"/>
        <v>0.83333333333333326</v>
      </c>
      <c r="AA76">
        <f>step3_validation[[#This Row],[AI_FAC1]]</f>
        <v>7</v>
      </c>
      <c r="AB76">
        <f t="shared" si="33"/>
        <v>0.66666666666666663</v>
      </c>
      <c r="AC76">
        <f>survey_responses[[#This Row],[Các thủ tục khai báo thuế VÀ/HOẶC quy trình làm việc với cơ quan thuế đơn giản, tiện lợi, nhanh chóng hơn so với trước đây. - HUMAN-FAC1]]</f>
        <v>9</v>
      </c>
      <c r="AD76">
        <f t="shared" si="34"/>
        <v>0.88888888888888884</v>
      </c>
      <c r="AE76">
        <f>step3_validation[[#This Row],[AI_FAC2]]</f>
        <v>9</v>
      </c>
      <c r="AF76">
        <f t="shared" si="35"/>
        <v>0.88888888888888884</v>
      </c>
      <c r="AG76">
        <f>survey_responses[[#This Row],[So với trước đây, tôi thấy cách tính thuế và các bậc thuế trong phương án mới đơn giản, dễ hiểu và dễ thực hiện hơn. - HUMAN-FAC2]]</f>
        <v>9</v>
      </c>
      <c r="AH76">
        <f t="shared" si="36"/>
        <v>0.88888888888888884</v>
      </c>
      <c r="AI76" s="32">
        <f t="shared" si="37"/>
        <v>0.77777777777777768</v>
      </c>
      <c r="AJ76" s="32">
        <f t="shared" si="38"/>
        <v>0.88888888888888884</v>
      </c>
      <c r="AK76">
        <f>step3_validation[[#This Row],[AI_TRU1]]</f>
        <v>7</v>
      </c>
      <c r="AL76">
        <f t="shared" si="39"/>
        <v>0.66666666666666663</v>
      </c>
      <c r="AM76">
        <f>survey_responses[[#This Row],[Tôi tin rằng Nhà nước, cơ quan thuế sẽ thực thi chính sách mới một cách khách quan, công tâm và đối xử bình đẳng với mọi người nộp thuế.  - HUMAN-TRU1]]</f>
        <v>3</v>
      </c>
      <c r="AN76">
        <f t="shared" si="40"/>
        <v>0.22222222222222221</v>
      </c>
      <c r="AO76">
        <f>step3_validation[[#This Row],[AI_TRU2]]</f>
        <v>8</v>
      </c>
      <c r="AP76">
        <f t="shared" si="41"/>
        <v>0.77777777777777779</v>
      </c>
      <c r="AQ76">
        <f>survey_responses[[#This Row],[Tôi thấy mức thuế tôi phải đóng theo phương án mới là công bằng (người thu nhập như tôi đóng mức này là hợp lý). - HUMAN-TRU2]]</f>
        <v>3</v>
      </c>
      <c r="AR76">
        <f t="shared" si="42"/>
        <v>0.22222222222222221</v>
      </c>
      <c r="AS76">
        <f>step3_validation[[#This Row],[AI_TRU3]]</f>
        <v>7</v>
      </c>
      <c r="AT76">
        <f t="shared" si="43"/>
        <v>0.66666666666666663</v>
      </c>
      <c r="AU76">
        <f>survey_responses[[#This Row],[Tôi tin tưởng số tiền thuế tôi đóng sẽ được Nhà nước sử dụng hiệu quả để cải thiện dịch vụ công (y tế, đường xá...). - HUMAN-TRU3]]</f>
        <v>2</v>
      </c>
      <c r="AV76">
        <f t="shared" si="44"/>
        <v>0.1111111111111111</v>
      </c>
      <c r="AW76">
        <f>step3_validation[[#This Row],[AI_TRU4]]</f>
        <v>6</v>
      </c>
      <c r="AX76">
        <f t="shared" si="45"/>
        <v>0.55555555555555558</v>
      </c>
      <c r="AY76">
        <f>survey_responses[[#This Row],[Tôi thấy Nhà nước đã giải thích rõ ràng, minh bạch về lý do và mục tiêu của việc sửa đổi thuế lần này. - HUMAN-TRU4]]</f>
        <v>2</v>
      </c>
      <c r="AZ76">
        <f t="shared" si="46"/>
        <v>0.1111111111111111</v>
      </c>
      <c r="BA76" s="32">
        <f t="shared" si="47"/>
        <v>0.66666666666666674</v>
      </c>
      <c r="BB76" s="32">
        <f t="shared" si="48"/>
        <v>0.16666666666666669</v>
      </c>
      <c r="BC76" s="7">
        <f t="shared" si="49"/>
        <v>0.74074074074074081</v>
      </c>
      <c r="BD76" s="7">
        <f t="shared" si="50"/>
        <v>0.62962962962962965</v>
      </c>
      <c r="BE76">
        <f>step3_validation[[#This Row],[AI_OUT1]]</f>
        <v>8</v>
      </c>
      <c r="BF76">
        <f t="shared" si="51"/>
        <v>0.77777777777777779</v>
      </c>
      <c r="BG76">
        <f>survey_responses[[#This Row],[Sau khi xem xét các quyền lợi và nghĩa vụ, bạn có ủng hộ và tuân thủ chính sách mới hiện nay? - HUMAN-OUT1]]</f>
        <v>6</v>
      </c>
      <c r="BH76">
        <f t="shared" si="52"/>
        <v>0.55555555555555558</v>
      </c>
      <c r="BI76" s="32">
        <f t="shared" si="53"/>
        <v>2</v>
      </c>
    </row>
    <row r="77" spans="1:61" x14ac:dyDescent="0.45">
      <c r="A77" s="30">
        <f>step3_validation[[#This Row],[Persona_ID]]</f>
        <v>76</v>
      </c>
      <c r="B77" s="31">
        <f>step3_validation[[#This Row],[Used_Seed]]</f>
        <v>76</v>
      </c>
      <c r="C77" t="str">
        <f>step3_validation[[#This Row],[Gender]]</f>
        <v>Nam</v>
      </c>
      <c r="D77" t="str">
        <f>survey_responses[[#This Row],[Giới tính của bạn:]]</f>
        <v>Nam</v>
      </c>
      <c r="E77" t="str">
        <f>step3_validation[[#This Row],[Age_Group]]</f>
        <v>40 - 49</v>
      </c>
      <c r="F77" t="str">
        <f>survey_responses[[#This Row],[Độ tuổi của bạn:]]</f>
        <v>40 - 49</v>
      </c>
      <c r="G77" t="str">
        <f>step3_validation[[#This Row],[Region]]</f>
        <v>Nông thôn</v>
      </c>
      <c r="H77" t="str">
        <f>survey_responses[[#This Row],[Khu vực bạn đang sinh sống:]]</f>
        <v>Nông thôn</v>
      </c>
      <c r="I77" t="str">
        <f>step3_validation[[#This Row],[Education]]</f>
        <v>Trung học phổ thông</v>
      </c>
      <c r="J77" t="str">
        <f>survey_responses[[#This Row],[Trình độ học vấn cao nhất:]]</f>
        <v>Trung học phổ thông</v>
      </c>
      <c r="K77" t="str">
        <f>step3_validation[[#This Row],[Employment]]</f>
        <v>Phi chính thức</v>
      </c>
      <c r="L77" t="str">
        <f>survey_responses[[#This Row],[Tình trạng việc làm chính:]]</f>
        <v>Khu vực phi chính thức (Lao động tự do, không có HĐLĐ)</v>
      </c>
      <c r="M77">
        <f>step3_validation[[#This Row],[Income_Mil]]</f>
        <v>16.031657545787478</v>
      </c>
      <c r="N77" t="str">
        <f>survey_responses[[#This Row],[Thu nhập bình quân tháng theo Hợp đồng lao động của bạn là bao nhiêu? (Vui lòng điền tổng thu nhập trước khi khấu trừ các loại Bảo hiểm (BHXH, BHYT, BHTN) và Thuế TNCN)]]</f>
        <v>Từ 12 - 18 triệu VNĐ</v>
      </c>
      <c r="O77">
        <f>step3_validation[[#This Row],[Dependents]]</f>
        <v>3</v>
      </c>
      <c r="P77" t="str">
        <f>survey_responses[[#This Row],[Số người phụ thuộc (con nhỏ, cha mẹ già...) đủ điều kiện giảm trừ gia cảnh:]]</f>
        <v>3 người</v>
      </c>
      <c r="Q77">
        <f>step3_validation[[#This Row],[AI_ENF1]]</f>
        <v>9</v>
      </c>
      <c r="R77">
        <f t="shared" si="27"/>
        <v>0.88888888888888884</v>
      </c>
      <c r="S77">
        <f>survey_responses[[#This Row],[Tôi tin rằng với các quy định quản lý thuế hiện nay, hành vi gian lận hoặc trốn thuế sẽ dễ dàng bị phát hiện và xử lý nghiêm. - HUMAN-ENF1]]</f>
        <v>5</v>
      </c>
      <c r="T77">
        <f t="shared" si="28"/>
        <v>0.44444444444444442</v>
      </c>
      <c r="U77">
        <f>step3_validation[[#This Row],[AI_ENF2]]</f>
        <v>8</v>
      </c>
      <c r="V77">
        <f t="shared" si="29"/>
        <v>0.77777777777777779</v>
      </c>
      <c r="W77">
        <f>survey_responses[[#This Row],[Tôi tin rằng Nhà nước, cơ quan thuế có đủ khả năng và công nghệ để phát hiện, xử lý nghiêm các hành vi trốn thuế. - HUMAN-ENF2]]</f>
        <v>5</v>
      </c>
      <c r="X77">
        <f t="shared" si="30"/>
        <v>0.44444444444444442</v>
      </c>
      <c r="Y77" s="32">
        <f t="shared" si="31"/>
        <v>0.83333333333333326</v>
      </c>
      <c r="Z77" s="32">
        <f t="shared" si="32"/>
        <v>0.44444444444444442</v>
      </c>
      <c r="AA77">
        <f>step3_validation[[#This Row],[AI_FAC1]]</f>
        <v>9</v>
      </c>
      <c r="AB77">
        <f t="shared" si="33"/>
        <v>0.88888888888888884</v>
      </c>
      <c r="AC77">
        <f>survey_responses[[#This Row],[Các thủ tục khai báo thuế VÀ/HOẶC quy trình làm việc với cơ quan thuế đơn giản, tiện lợi, nhanh chóng hơn so với trước đây. - HUMAN-FAC1]]</f>
        <v>5</v>
      </c>
      <c r="AD77">
        <f t="shared" si="34"/>
        <v>0.44444444444444442</v>
      </c>
      <c r="AE77">
        <f>step3_validation[[#This Row],[AI_FAC2]]</f>
        <v>8</v>
      </c>
      <c r="AF77">
        <f t="shared" si="35"/>
        <v>0.77777777777777779</v>
      </c>
      <c r="AG77">
        <f>survey_responses[[#This Row],[So với trước đây, tôi thấy cách tính thuế và các bậc thuế trong phương án mới đơn giản, dễ hiểu và dễ thực hiện hơn. - HUMAN-FAC2]]</f>
        <v>5</v>
      </c>
      <c r="AH77">
        <f t="shared" si="36"/>
        <v>0.44444444444444442</v>
      </c>
      <c r="AI77" s="32">
        <f t="shared" si="37"/>
        <v>0.83333333333333326</v>
      </c>
      <c r="AJ77" s="32">
        <f t="shared" si="38"/>
        <v>0.44444444444444442</v>
      </c>
      <c r="AK77">
        <f>step3_validation[[#This Row],[AI_TRU1]]</f>
        <v>9</v>
      </c>
      <c r="AL77">
        <f t="shared" si="39"/>
        <v>0.88888888888888884</v>
      </c>
      <c r="AM77">
        <f>survey_responses[[#This Row],[Tôi tin rằng Nhà nước, cơ quan thuế sẽ thực thi chính sách mới một cách khách quan, công tâm và đối xử bình đẳng với mọi người nộp thuế.  - HUMAN-TRU1]]</f>
        <v>5</v>
      </c>
      <c r="AN77">
        <f t="shared" si="40"/>
        <v>0.44444444444444442</v>
      </c>
      <c r="AO77">
        <f>step3_validation[[#This Row],[AI_TRU2]]</f>
        <v>9</v>
      </c>
      <c r="AP77">
        <f t="shared" si="41"/>
        <v>0.88888888888888884</v>
      </c>
      <c r="AQ77">
        <f>survey_responses[[#This Row],[Tôi thấy mức thuế tôi phải đóng theo phương án mới là công bằng (người thu nhập như tôi đóng mức này là hợp lý). - HUMAN-TRU2]]</f>
        <v>5</v>
      </c>
      <c r="AR77">
        <f t="shared" si="42"/>
        <v>0.44444444444444442</v>
      </c>
      <c r="AS77">
        <f>step3_validation[[#This Row],[AI_TRU3]]</f>
        <v>8</v>
      </c>
      <c r="AT77">
        <f t="shared" si="43"/>
        <v>0.77777777777777779</v>
      </c>
      <c r="AU77">
        <f>survey_responses[[#This Row],[Tôi tin tưởng số tiền thuế tôi đóng sẽ được Nhà nước sử dụng hiệu quả để cải thiện dịch vụ công (y tế, đường xá...). - HUMAN-TRU3]]</f>
        <v>5</v>
      </c>
      <c r="AV77">
        <f t="shared" si="44"/>
        <v>0.44444444444444442</v>
      </c>
      <c r="AW77">
        <f>step3_validation[[#This Row],[AI_TRU4]]</f>
        <v>9</v>
      </c>
      <c r="AX77">
        <f t="shared" si="45"/>
        <v>0.88888888888888884</v>
      </c>
      <c r="AY77">
        <f>survey_responses[[#This Row],[Tôi thấy Nhà nước đã giải thích rõ ràng, minh bạch về lý do và mục tiêu của việc sửa đổi thuế lần này. - HUMAN-TRU4]]</f>
        <v>5</v>
      </c>
      <c r="AZ77">
        <f t="shared" si="46"/>
        <v>0.44444444444444442</v>
      </c>
      <c r="BA77" s="32">
        <f t="shared" si="47"/>
        <v>0.86111111111111105</v>
      </c>
      <c r="BB77" s="32">
        <f t="shared" si="48"/>
        <v>0.44444444444444442</v>
      </c>
      <c r="BC77" s="7">
        <f t="shared" si="49"/>
        <v>0.84259259259259256</v>
      </c>
      <c r="BD77" s="7">
        <f t="shared" si="50"/>
        <v>0.44444444444444442</v>
      </c>
      <c r="BE77">
        <f>step3_validation[[#This Row],[AI_OUT1]]</f>
        <v>10</v>
      </c>
      <c r="BF77">
        <f t="shared" si="51"/>
        <v>1</v>
      </c>
      <c r="BG77">
        <f>survey_responses[[#This Row],[Sau khi xem xét các quyền lợi và nghĩa vụ, bạn có ủng hộ và tuân thủ chính sách mới hiện nay? - HUMAN-OUT1]]</f>
        <v>5</v>
      </c>
      <c r="BH77">
        <f t="shared" si="52"/>
        <v>0.44444444444444442</v>
      </c>
      <c r="BI77" s="32">
        <f t="shared" si="53"/>
        <v>5</v>
      </c>
    </row>
    <row r="78" spans="1:61" x14ac:dyDescent="0.45">
      <c r="A78" s="30">
        <f>step3_validation[[#This Row],[Persona_ID]]</f>
        <v>77</v>
      </c>
      <c r="B78" s="31">
        <f>step3_validation[[#This Row],[Used_Seed]]</f>
        <v>77</v>
      </c>
      <c r="C78" t="str">
        <f>step3_validation[[#This Row],[Gender]]</f>
        <v>Nữ</v>
      </c>
      <c r="D78" t="str">
        <f>survey_responses[[#This Row],[Giới tính của bạn:]]</f>
        <v>Nữ</v>
      </c>
      <c r="E78" t="str">
        <f>step3_validation[[#This Row],[Age_Group]]</f>
        <v>50 - 54</v>
      </c>
      <c r="F78" t="str">
        <f>survey_responses[[#This Row],[Độ tuổi của bạn:]]</f>
        <v>50 - 54</v>
      </c>
      <c r="G78" t="str">
        <f>step3_validation[[#This Row],[Region]]</f>
        <v>Thành thị</v>
      </c>
      <c r="H78" t="str">
        <f>survey_responses[[#This Row],[Khu vực bạn đang sinh sống:]]</f>
        <v>Thành thị</v>
      </c>
      <c r="I78" t="str">
        <f>step3_validation[[#This Row],[Education]]</f>
        <v>Đại học</v>
      </c>
      <c r="J78" t="str">
        <f>survey_responses[[#This Row],[Trình độ học vấn cao nhất:]]</f>
        <v>Đại học</v>
      </c>
      <c r="K78" t="str">
        <f>step3_validation[[#This Row],[Employment]]</f>
        <v>Chính thức</v>
      </c>
      <c r="L78" t="str">
        <f>survey_responses[[#This Row],[Tình trạng việc làm chính:]]</f>
        <v>Khu vực chính thức (Có Hợp đồng lao động, đóng BHXH)</v>
      </c>
      <c r="M78">
        <f>step3_validation[[#This Row],[Income_Mil]]</f>
        <v>15.929661542712465</v>
      </c>
      <c r="N78" t="str">
        <f>survey_responses[[#This Row],[Thu nhập bình quân tháng theo Hợp đồng lao động của bạn là bao nhiêu? (Vui lòng điền tổng thu nhập trước khi khấu trừ các loại Bảo hiểm (BHXH, BHYT, BHTN) và Thuế TNCN)]]</f>
        <v>Từ 12 - 18 triệu VNĐ</v>
      </c>
      <c r="O78">
        <f>step3_validation[[#This Row],[Dependents]]</f>
        <v>2</v>
      </c>
      <c r="P78" t="str">
        <f>survey_responses[[#This Row],[Số người phụ thuộc (con nhỏ, cha mẹ già...) đủ điều kiện giảm trừ gia cảnh:]]</f>
        <v>2 người</v>
      </c>
      <c r="Q78">
        <f>step3_validation[[#This Row],[AI_ENF1]]</f>
        <v>9</v>
      </c>
      <c r="R78">
        <f t="shared" si="27"/>
        <v>0.88888888888888884</v>
      </c>
      <c r="S78">
        <f>survey_responses[[#This Row],[Tôi tin rằng với các quy định quản lý thuế hiện nay, hành vi gian lận hoặc trốn thuế sẽ dễ dàng bị phát hiện và xử lý nghiêm. - HUMAN-ENF1]]</f>
        <v>8</v>
      </c>
      <c r="T78">
        <f t="shared" si="28"/>
        <v>0.77777777777777779</v>
      </c>
      <c r="U78">
        <f>step3_validation[[#This Row],[AI_ENF2]]</f>
        <v>7</v>
      </c>
      <c r="V78">
        <f t="shared" si="29"/>
        <v>0.66666666666666663</v>
      </c>
      <c r="W78">
        <f>survey_responses[[#This Row],[Tôi tin rằng Nhà nước, cơ quan thuế có đủ khả năng và công nghệ để phát hiện, xử lý nghiêm các hành vi trốn thuế. - HUMAN-ENF2]]</f>
        <v>8</v>
      </c>
      <c r="X78">
        <f t="shared" si="30"/>
        <v>0.77777777777777779</v>
      </c>
      <c r="Y78" s="32">
        <f t="shared" si="31"/>
        <v>0.77777777777777768</v>
      </c>
      <c r="Z78" s="32">
        <f t="shared" si="32"/>
        <v>0.77777777777777779</v>
      </c>
      <c r="AA78">
        <f>step3_validation[[#This Row],[AI_FAC1]]</f>
        <v>9</v>
      </c>
      <c r="AB78">
        <f t="shared" si="33"/>
        <v>0.88888888888888884</v>
      </c>
      <c r="AC78">
        <f>survey_responses[[#This Row],[Các thủ tục khai báo thuế VÀ/HOẶC quy trình làm việc với cơ quan thuế đơn giản, tiện lợi, nhanh chóng hơn so với trước đây. - HUMAN-FAC1]]</f>
        <v>8</v>
      </c>
      <c r="AD78">
        <f t="shared" si="34"/>
        <v>0.77777777777777779</v>
      </c>
      <c r="AE78">
        <f>step3_validation[[#This Row],[AI_FAC2]]</f>
        <v>8</v>
      </c>
      <c r="AF78">
        <f t="shared" si="35"/>
        <v>0.77777777777777779</v>
      </c>
      <c r="AG78">
        <f>survey_responses[[#This Row],[So với trước đây, tôi thấy cách tính thuế và các bậc thuế trong phương án mới đơn giản, dễ hiểu và dễ thực hiện hơn. - HUMAN-FAC2]]</f>
        <v>8</v>
      </c>
      <c r="AH78">
        <f t="shared" si="36"/>
        <v>0.77777777777777779</v>
      </c>
      <c r="AI78" s="32">
        <f t="shared" si="37"/>
        <v>0.83333333333333326</v>
      </c>
      <c r="AJ78" s="32">
        <f t="shared" si="38"/>
        <v>0.77777777777777779</v>
      </c>
      <c r="AK78">
        <f>step3_validation[[#This Row],[AI_TRU1]]</f>
        <v>9</v>
      </c>
      <c r="AL78">
        <f t="shared" si="39"/>
        <v>0.88888888888888884</v>
      </c>
      <c r="AM78">
        <f>survey_responses[[#This Row],[Tôi tin rằng Nhà nước, cơ quan thuế sẽ thực thi chính sách mới một cách khách quan, công tâm và đối xử bình đẳng với mọi người nộp thuế.  - HUMAN-TRU1]]</f>
        <v>9</v>
      </c>
      <c r="AN78">
        <f t="shared" si="40"/>
        <v>0.88888888888888884</v>
      </c>
      <c r="AO78">
        <f>step3_validation[[#This Row],[AI_TRU2]]</f>
        <v>8</v>
      </c>
      <c r="AP78">
        <f t="shared" si="41"/>
        <v>0.77777777777777779</v>
      </c>
      <c r="AQ78">
        <f>survey_responses[[#This Row],[Tôi thấy mức thuế tôi phải đóng theo phương án mới là công bằng (người thu nhập như tôi đóng mức này là hợp lý). - HUMAN-TRU2]]</f>
        <v>7</v>
      </c>
      <c r="AR78">
        <f t="shared" si="42"/>
        <v>0.66666666666666663</v>
      </c>
      <c r="AS78">
        <f>step3_validation[[#This Row],[AI_TRU3]]</f>
        <v>9</v>
      </c>
      <c r="AT78">
        <f t="shared" si="43"/>
        <v>0.88888888888888884</v>
      </c>
      <c r="AU78">
        <f>survey_responses[[#This Row],[Tôi tin tưởng số tiền thuế tôi đóng sẽ được Nhà nước sử dụng hiệu quả để cải thiện dịch vụ công (y tế, đường xá...). - HUMAN-TRU3]]</f>
        <v>9</v>
      </c>
      <c r="AV78">
        <f t="shared" si="44"/>
        <v>0.88888888888888884</v>
      </c>
      <c r="AW78">
        <f>step3_validation[[#This Row],[AI_TRU4]]</f>
        <v>7</v>
      </c>
      <c r="AX78">
        <f t="shared" si="45"/>
        <v>0.66666666666666663</v>
      </c>
      <c r="AY78">
        <f>survey_responses[[#This Row],[Tôi thấy Nhà nước đã giải thích rõ ràng, minh bạch về lý do và mục tiêu của việc sửa đổi thuế lần này. - HUMAN-TRU4]]</f>
        <v>10</v>
      </c>
      <c r="AZ78">
        <f t="shared" si="46"/>
        <v>1</v>
      </c>
      <c r="BA78" s="32">
        <f t="shared" si="47"/>
        <v>0.80555555555555547</v>
      </c>
      <c r="BB78" s="32">
        <f t="shared" si="48"/>
        <v>0.86111111111111105</v>
      </c>
      <c r="BC78" s="7">
        <f t="shared" si="49"/>
        <v>0.80555555555555547</v>
      </c>
      <c r="BD78" s="7">
        <f t="shared" si="50"/>
        <v>0.80555555555555547</v>
      </c>
      <c r="BE78">
        <f>step3_validation[[#This Row],[AI_OUT1]]</f>
        <v>9</v>
      </c>
      <c r="BF78">
        <f t="shared" si="51"/>
        <v>0.88888888888888884</v>
      </c>
      <c r="BG78">
        <f>survey_responses[[#This Row],[Sau khi xem xét các quyền lợi và nghĩa vụ, bạn có ủng hộ và tuân thủ chính sách mới hiện nay? - HUMAN-OUT1]]</f>
        <v>8</v>
      </c>
      <c r="BH78">
        <f t="shared" si="52"/>
        <v>0.77777777777777779</v>
      </c>
      <c r="BI78" s="32">
        <f t="shared" si="53"/>
        <v>1</v>
      </c>
    </row>
    <row r="79" spans="1:61" x14ac:dyDescent="0.45">
      <c r="A79" s="30">
        <f>step3_validation[[#This Row],[Persona_ID]]</f>
        <v>78</v>
      </c>
      <c r="B79" s="31">
        <f>step3_validation[[#This Row],[Used_Seed]]</f>
        <v>78</v>
      </c>
      <c r="C79" t="str">
        <f>step3_validation[[#This Row],[Gender]]</f>
        <v>Nữ</v>
      </c>
      <c r="D79" t="str">
        <f>survey_responses[[#This Row],[Giới tính của bạn:]]</f>
        <v>Nữ</v>
      </c>
      <c r="E79" t="str">
        <f>step3_validation[[#This Row],[Age_Group]]</f>
        <v>30 - 39</v>
      </c>
      <c r="F79" t="str">
        <f>survey_responses[[#This Row],[Độ tuổi của bạn:]]</f>
        <v>30 - 39</v>
      </c>
      <c r="G79" t="str">
        <f>step3_validation[[#This Row],[Region]]</f>
        <v>Thành thị</v>
      </c>
      <c r="H79" t="str">
        <f>survey_responses[[#This Row],[Khu vực bạn đang sinh sống:]]</f>
        <v>Thành thị</v>
      </c>
      <c r="I79" t="str">
        <f>step3_validation[[#This Row],[Education]]</f>
        <v>Sau Đại học</v>
      </c>
      <c r="J79" t="str">
        <f>survey_responses[[#This Row],[Trình độ học vấn cao nhất:]]</f>
        <v>Sau Đại học</v>
      </c>
      <c r="K79" t="str">
        <f>step3_validation[[#This Row],[Employment]]</f>
        <v>Chính thức</v>
      </c>
      <c r="L79" t="str">
        <f>survey_responses[[#This Row],[Tình trạng việc làm chính:]]</f>
        <v>Khu vực chính thức (Có Hợp đồng lao động, đóng BHXH)</v>
      </c>
      <c r="M79">
        <f>step3_validation[[#This Row],[Income_Mil]]</f>
        <v>38.282946317454829</v>
      </c>
      <c r="N79" t="str">
        <f>survey_responses[[#This Row],[Thu nhập bình quân tháng theo Hợp đồng lao động của bạn là bao nhiêu? (Vui lòng điền tổng thu nhập trước khi khấu trừ các loại Bảo hiểm (BHXH, BHYT, BHTN) và Thuế TNCN)]]</f>
        <v>Từ 32 - 48 triệu VNĐ</v>
      </c>
      <c r="O79">
        <f>step3_validation[[#This Row],[Dependents]]</f>
        <v>2</v>
      </c>
      <c r="P79" t="str">
        <f>survey_responses[[#This Row],[Số người phụ thuộc (con nhỏ, cha mẹ già...) đủ điều kiện giảm trừ gia cảnh:]]</f>
        <v>2 người</v>
      </c>
      <c r="Q79">
        <f>step3_validation[[#This Row],[AI_ENF1]]</f>
        <v>7</v>
      </c>
      <c r="R79">
        <f t="shared" si="27"/>
        <v>0.66666666666666663</v>
      </c>
      <c r="S79">
        <f>survey_responses[[#This Row],[Tôi tin rằng với các quy định quản lý thuế hiện nay, hành vi gian lận hoặc trốn thuế sẽ dễ dàng bị phát hiện và xử lý nghiêm. - HUMAN-ENF1]]</f>
        <v>8</v>
      </c>
      <c r="T79">
        <f t="shared" si="28"/>
        <v>0.77777777777777779</v>
      </c>
      <c r="U79">
        <f>step3_validation[[#This Row],[AI_ENF2]]</f>
        <v>6</v>
      </c>
      <c r="V79">
        <f t="shared" si="29"/>
        <v>0.55555555555555558</v>
      </c>
      <c r="W79">
        <f>survey_responses[[#This Row],[Tôi tin rằng Nhà nước, cơ quan thuế có đủ khả năng và công nghệ để phát hiện, xử lý nghiêm các hành vi trốn thuế. - HUMAN-ENF2]]</f>
        <v>7</v>
      </c>
      <c r="X79">
        <f t="shared" si="30"/>
        <v>0.66666666666666663</v>
      </c>
      <c r="Y79" s="32">
        <f t="shared" si="31"/>
        <v>0.61111111111111116</v>
      </c>
      <c r="Z79" s="32">
        <f t="shared" si="32"/>
        <v>0.72222222222222221</v>
      </c>
      <c r="AA79">
        <f>step3_validation[[#This Row],[AI_FAC1]]</f>
        <v>7</v>
      </c>
      <c r="AB79">
        <f t="shared" si="33"/>
        <v>0.66666666666666663</v>
      </c>
      <c r="AC79">
        <f>survey_responses[[#This Row],[Các thủ tục khai báo thuế VÀ/HOẶC quy trình làm việc với cơ quan thuế đơn giản, tiện lợi, nhanh chóng hơn so với trước đây. - HUMAN-FAC1]]</f>
        <v>9</v>
      </c>
      <c r="AD79">
        <f t="shared" si="34"/>
        <v>0.88888888888888884</v>
      </c>
      <c r="AE79">
        <f>step3_validation[[#This Row],[AI_FAC2]]</f>
        <v>9</v>
      </c>
      <c r="AF79">
        <f t="shared" si="35"/>
        <v>0.88888888888888884</v>
      </c>
      <c r="AG79">
        <f>survey_responses[[#This Row],[So với trước đây, tôi thấy cách tính thuế và các bậc thuế trong phương án mới đơn giản, dễ hiểu và dễ thực hiện hơn. - HUMAN-FAC2]]</f>
        <v>8</v>
      </c>
      <c r="AH79">
        <f t="shared" si="36"/>
        <v>0.77777777777777779</v>
      </c>
      <c r="AI79" s="32">
        <f t="shared" si="37"/>
        <v>0.77777777777777768</v>
      </c>
      <c r="AJ79" s="32">
        <f t="shared" si="38"/>
        <v>0.83333333333333326</v>
      </c>
      <c r="AK79">
        <f>step3_validation[[#This Row],[AI_TRU1]]</f>
        <v>8</v>
      </c>
      <c r="AL79">
        <f t="shared" si="39"/>
        <v>0.77777777777777779</v>
      </c>
      <c r="AM79">
        <f>survey_responses[[#This Row],[Tôi tin rằng Nhà nước, cơ quan thuế sẽ thực thi chính sách mới một cách khách quan, công tâm và đối xử bình đẳng với mọi người nộp thuế.  - HUMAN-TRU1]]</f>
        <v>8</v>
      </c>
      <c r="AN79">
        <f t="shared" si="40"/>
        <v>0.77777777777777779</v>
      </c>
      <c r="AO79">
        <f>step3_validation[[#This Row],[AI_TRU2]]</f>
        <v>9</v>
      </c>
      <c r="AP79">
        <f t="shared" si="41"/>
        <v>0.88888888888888884</v>
      </c>
      <c r="AQ79">
        <f>survey_responses[[#This Row],[Tôi thấy mức thuế tôi phải đóng theo phương án mới là công bằng (người thu nhập như tôi đóng mức này là hợp lý). - HUMAN-TRU2]]</f>
        <v>8</v>
      </c>
      <c r="AR79">
        <f t="shared" si="42"/>
        <v>0.77777777777777779</v>
      </c>
      <c r="AS79">
        <f>step3_validation[[#This Row],[AI_TRU3]]</f>
        <v>8</v>
      </c>
      <c r="AT79">
        <f t="shared" si="43"/>
        <v>0.77777777777777779</v>
      </c>
      <c r="AU79">
        <f>survey_responses[[#This Row],[Tôi tin tưởng số tiền thuế tôi đóng sẽ được Nhà nước sử dụng hiệu quả để cải thiện dịch vụ công (y tế, đường xá...). - HUMAN-TRU3]]</f>
        <v>6</v>
      </c>
      <c r="AV79">
        <f t="shared" si="44"/>
        <v>0.55555555555555558</v>
      </c>
      <c r="AW79">
        <f>step3_validation[[#This Row],[AI_TRU4]]</f>
        <v>9</v>
      </c>
      <c r="AX79">
        <f t="shared" si="45"/>
        <v>0.88888888888888884</v>
      </c>
      <c r="AY79">
        <f>survey_responses[[#This Row],[Tôi thấy Nhà nước đã giải thích rõ ràng, minh bạch về lý do và mục tiêu của việc sửa đổi thuế lần này. - HUMAN-TRU4]]</f>
        <v>6</v>
      </c>
      <c r="AZ79">
        <f t="shared" si="46"/>
        <v>0.55555555555555558</v>
      </c>
      <c r="BA79" s="32">
        <f t="shared" si="47"/>
        <v>0.83333333333333326</v>
      </c>
      <c r="BB79" s="32">
        <f t="shared" si="48"/>
        <v>0.66666666666666674</v>
      </c>
      <c r="BC79" s="7">
        <f t="shared" si="49"/>
        <v>0.74074074074074081</v>
      </c>
      <c r="BD79" s="7">
        <f t="shared" si="50"/>
        <v>0.74074074074074081</v>
      </c>
      <c r="BE79">
        <f>step3_validation[[#This Row],[AI_OUT1]]</f>
        <v>8</v>
      </c>
      <c r="BF79">
        <f t="shared" si="51"/>
        <v>0.77777777777777779</v>
      </c>
      <c r="BG79">
        <f>survey_responses[[#This Row],[Sau khi xem xét các quyền lợi và nghĩa vụ, bạn có ủng hộ và tuân thủ chính sách mới hiện nay? - HUMAN-OUT1]]</f>
        <v>7</v>
      </c>
      <c r="BH79">
        <f t="shared" si="52"/>
        <v>0.66666666666666663</v>
      </c>
      <c r="BI79" s="32">
        <f t="shared" si="53"/>
        <v>1</v>
      </c>
    </row>
    <row r="80" spans="1:61" x14ac:dyDescent="0.45">
      <c r="A80" s="30">
        <f>step3_validation[[#This Row],[Persona_ID]]</f>
        <v>79</v>
      </c>
      <c r="B80" s="31">
        <f>step3_validation[[#This Row],[Used_Seed]]</f>
        <v>79</v>
      </c>
      <c r="C80" t="str">
        <f>step3_validation[[#This Row],[Gender]]</f>
        <v>Nữ</v>
      </c>
      <c r="D80" t="str">
        <f>survey_responses[[#This Row],[Giới tính của bạn:]]</f>
        <v>Nữ</v>
      </c>
      <c r="E80" t="str">
        <f>step3_validation[[#This Row],[Age_Group]]</f>
        <v>55 - 64</v>
      </c>
      <c r="F80" t="str">
        <f>survey_responses[[#This Row],[Độ tuổi của bạn:]]</f>
        <v>55 - 64</v>
      </c>
      <c r="G80" t="str">
        <f>step3_validation[[#This Row],[Region]]</f>
        <v>Thành thị</v>
      </c>
      <c r="H80" t="str">
        <f>survey_responses[[#This Row],[Khu vực bạn đang sinh sống:]]</f>
        <v>Thành thị</v>
      </c>
      <c r="I80" t="str">
        <f>step3_validation[[#This Row],[Education]]</f>
        <v>Trung học phổ thông</v>
      </c>
      <c r="J80" t="str">
        <f>survey_responses[[#This Row],[Trình độ học vấn cao nhất:]]</f>
        <v>Trung học phổ thông</v>
      </c>
      <c r="K80" t="str">
        <f>step3_validation[[#This Row],[Employment]]</f>
        <v>Phi chính thức</v>
      </c>
      <c r="L80" t="str">
        <f>survey_responses[[#This Row],[Tình trạng việc làm chính:]]</f>
        <v>Khác (Về hưu, nội trợ, sinh viên)</v>
      </c>
      <c r="M80">
        <f>step3_validation[[#This Row],[Income_Mil]]</f>
        <v>16.598011936884276</v>
      </c>
      <c r="N80" t="str">
        <f>survey_responses[[#This Row],[Thu nhập bình quân tháng theo Hợp đồng lao động của bạn là bao nhiêu? (Vui lòng điền tổng thu nhập trước khi khấu trừ các loại Bảo hiểm (BHXH, BHYT, BHTN) và Thuế TNCN)]]</f>
        <v>Từ 12 - 18 triệu VNĐ</v>
      </c>
      <c r="O80">
        <f>step3_validation[[#This Row],[Dependents]]</f>
        <v>0</v>
      </c>
      <c r="P80" t="str">
        <f>survey_responses[[#This Row],[Số người phụ thuộc (con nhỏ, cha mẹ già...) đủ điều kiện giảm trừ gia cảnh:]]</f>
        <v>0 người</v>
      </c>
      <c r="Q80">
        <f>step3_validation[[#This Row],[AI_ENF1]]</f>
        <v>6</v>
      </c>
      <c r="R80">
        <f t="shared" si="27"/>
        <v>0.55555555555555558</v>
      </c>
      <c r="S80">
        <f>survey_responses[[#This Row],[Tôi tin rằng với các quy định quản lý thuế hiện nay, hành vi gian lận hoặc trốn thuế sẽ dễ dàng bị phát hiện và xử lý nghiêm. - HUMAN-ENF1]]</f>
        <v>6</v>
      </c>
      <c r="T80">
        <f t="shared" si="28"/>
        <v>0.55555555555555558</v>
      </c>
      <c r="U80">
        <f>step3_validation[[#This Row],[AI_ENF2]]</f>
        <v>5</v>
      </c>
      <c r="V80">
        <f t="shared" si="29"/>
        <v>0.44444444444444442</v>
      </c>
      <c r="W80">
        <f>survey_responses[[#This Row],[Tôi tin rằng Nhà nước, cơ quan thuế có đủ khả năng và công nghệ để phát hiện, xử lý nghiêm các hành vi trốn thuế. - HUMAN-ENF2]]</f>
        <v>2</v>
      </c>
      <c r="X80">
        <f t="shared" si="30"/>
        <v>0.1111111111111111</v>
      </c>
      <c r="Y80" s="32">
        <f t="shared" si="31"/>
        <v>0.5</v>
      </c>
      <c r="Z80" s="32">
        <f t="shared" si="32"/>
        <v>0.33333333333333337</v>
      </c>
      <c r="AA80">
        <f>step3_validation[[#This Row],[AI_FAC1]]</f>
        <v>8</v>
      </c>
      <c r="AB80">
        <f t="shared" si="33"/>
        <v>0.77777777777777779</v>
      </c>
      <c r="AC80">
        <f>survey_responses[[#This Row],[Các thủ tục khai báo thuế VÀ/HOẶC quy trình làm việc với cơ quan thuế đơn giản, tiện lợi, nhanh chóng hơn so với trước đây. - HUMAN-FAC1]]</f>
        <v>3</v>
      </c>
      <c r="AD80">
        <f t="shared" si="34"/>
        <v>0.22222222222222221</v>
      </c>
      <c r="AE80">
        <f>step3_validation[[#This Row],[AI_FAC2]]</f>
        <v>9</v>
      </c>
      <c r="AF80">
        <f t="shared" si="35"/>
        <v>0.88888888888888884</v>
      </c>
      <c r="AG80">
        <f>survey_responses[[#This Row],[So với trước đây, tôi thấy cách tính thuế và các bậc thuế trong phương án mới đơn giản, dễ hiểu và dễ thực hiện hơn. - HUMAN-FAC2]]</f>
        <v>2</v>
      </c>
      <c r="AH80">
        <f t="shared" si="36"/>
        <v>0.1111111111111111</v>
      </c>
      <c r="AI80" s="32">
        <f t="shared" si="37"/>
        <v>0.83333333333333326</v>
      </c>
      <c r="AJ80" s="32">
        <f t="shared" si="38"/>
        <v>0.16666666666666666</v>
      </c>
      <c r="AK80">
        <f>step3_validation[[#This Row],[AI_TRU1]]</f>
        <v>7</v>
      </c>
      <c r="AL80">
        <f t="shared" si="39"/>
        <v>0.66666666666666663</v>
      </c>
      <c r="AM80">
        <f>survey_responses[[#This Row],[Tôi tin rằng Nhà nước, cơ quan thuế sẽ thực thi chính sách mới một cách khách quan, công tâm và đối xử bình đẳng với mọi người nộp thuế.  - HUMAN-TRU1]]</f>
        <v>3</v>
      </c>
      <c r="AN80">
        <f t="shared" si="40"/>
        <v>0.22222222222222221</v>
      </c>
      <c r="AO80">
        <f>step3_validation[[#This Row],[AI_TRU2]]</f>
        <v>8</v>
      </c>
      <c r="AP80">
        <f t="shared" si="41"/>
        <v>0.77777777777777779</v>
      </c>
      <c r="AQ80">
        <f>survey_responses[[#This Row],[Tôi thấy mức thuế tôi phải đóng theo phương án mới là công bằng (người thu nhập như tôi đóng mức này là hợp lý). - HUMAN-TRU2]]</f>
        <v>7</v>
      </c>
      <c r="AR80">
        <f t="shared" si="42"/>
        <v>0.66666666666666663</v>
      </c>
      <c r="AS80">
        <f>step3_validation[[#This Row],[AI_TRU3]]</f>
        <v>7</v>
      </c>
      <c r="AT80">
        <f t="shared" si="43"/>
        <v>0.66666666666666663</v>
      </c>
      <c r="AU80">
        <f>survey_responses[[#This Row],[Tôi tin tưởng số tiền thuế tôi đóng sẽ được Nhà nước sử dụng hiệu quả để cải thiện dịch vụ công (y tế, đường xá...). - HUMAN-TRU3]]</f>
        <v>5</v>
      </c>
      <c r="AV80">
        <f t="shared" si="44"/>
        <v>0.44444444444444442</v>
      </c>
      <c r="AW80">
        <f>step3_validation[[#This Row],[AI_TRU4]]</f>
        <v>6</v>
      </c>
      <c r="AX80">
        <f t="shared" si="45"/>
        <v>0.55555555555555558</v>
      </c>
      <c r="AY80">
        <f>survey_responses[[#This Row],[Tôi thấy Nhà nước đã giải thích rõ ràng, minh bạch về lý do và mục tiêu của việc sửa đổi thuế lần này. - HUMAN-TRU4]]</f>
        <v>5</v>
      </c>
      <c r="AZ80">
        <f t="shared" si="46"/>
        <v>0.44444444444444442</v>
      </c>
      <c r="BA80" s="32">
        <f t="shared" si="47"/>
        <v>0.66666666666666674</v>
      </c>
      <c r="BB80" s="32">
        <f t="shared" si="48"/>
        <v>0.44444444444444442</v>
      </c>
      <c r="BC80" s="7">
        <f t="shared" si="49"/>
        <v>0.66666666666666663</v>
      </c>
      <c r="BD80" s="7">
        <f t="shared" si="50"/>
        <v>0.31481481481481483</v>
      </c>
      <c r="BE80">
        <f>step3_validation[[#This Row],[AI_OUT1]]</f>
        <v>9</v>
      </c>
      <c r="BF80">
        <f t="shared" si="51"/>
        <v>0.88888888888888884</v>
      </c>
      <c r="BG80">
        <f>survey_responses[[#This Row],[Sau khi xem xét các quyền lợi và nghĩa vụ, bạn có ủng hộ và tuân thủ chính sách mới hiện nay? - HUMAN-OUT1]]</f>
        <v>7</v>
      </c>
      <c r="BH80">
        <f t="shared" si="52"/>
        <v>0.66666666666666663</v>
      </c>
      <c r="BI80" s="32">
        <f t="shared" si="53"/>
        <v>2</v>
      </c>
    </row>
    <row r="81" spans="1:61" x14ac:dyDescent="0.45">
      <c r="A81" s="30">
        <f>step3_validation[[#This Row],[Persona_ID]]</f>
        <v>80</v>
      </c>
      <c r="B81" s="31">
        <f>step3_validation[[#This Row],[Used_Seed]]</f>
        <v>80</v>
      </c>
      <c r="C81" t="str">
        <f>step3_validation[[#This Row],[Gender]]</f>
        <v>Nam</v>
      </c>
      <c r="D81" t="str">
        <f>survey_responses[[#This Row],[Giới tính của bạn:]]</f>
        <v>Nam</v>
      </c>
      <c r="E81" t="str">
        <f>step3_validation[[#This Row],[Age_Group]]</f>
        <v>25 - 29</v>
      </c>
      <c r="F81" t="str">
        <f>survey_responses[[#This Row],[Độ tuổi của bạn:]]</f>
        <v>25 - 29</v>
      </c>
      <c r="G81" t="str">
        <f>step3_validation[[#This Row],[Region]]</f>
        <v>Thành thị</v>
      </c>
      <c r="H81" t="str">
        <f>survey_responses[[#This Row],[Khu vực bạn đang sinh sống:]]</f>
        <v>Thành thị</v>
      </c>
      <c r="I81" t="str">
        <f>step3_validation[[#This Row],[Education]]</f>
        <v>Đại học</v>
      </c>
      <c r="J81" t="str">
        <f>survey_responses[[#This Row],[Trình độ học vấn cao nhất:]]</f>
        <v>Đại học</v>
      </c>
      <c r="K81" t="str">
        <f>step3_validation[[#This Row],[Employment]]</f>
        <v>Chính thức</v>
      </c>
      <c r="L81" t="str">
        <f>survey_responses[[#This Row],[Tình trạng việc làm chính:]]</f>
        <v>Khu vực chính thức (Có Hợp đồng lao động, đóng BHXH)</v>
      </c>
      <c r="M81">
        <f>step3_validation[[#This Row],[Income_Mil]]</f>
        <v>15.682456656717269</v>
      </c>
      <c r="N81" t="str">
        <f>survey_responses[[#This Row],[Thu nhập bình quân tháng theo Hợp đồng lao động của bạn là bao nhiêu? (Vui lòng điền tổng thu nhập trước khi khấu trừ các loại Bảo hiểm (BHXH, BHYT, BHTN) và Thuế TNCN)]]</f>
        <v>Từ 12 - 18 triệu VNĐ</v>
      </c>
      <c r="O81">
        <f>step3_validation[[#This Row],[Dependents]]</f>
        <v>0</v>
      </c>
      <c r="P81" t="str">
        <f>survey_responses[[#This Row],[Số người phụ thuộc (con nhỏ, cha mẹ già...) đủ điều kiện giảm trừ gia cảnh:]]</f>
        <v>0 người</v>
      </c>
      <c r="Q81">
        <f>step3_validation[[#This Row],[AI_ENF1]]</f>
        <v>7</v>
      </c>
      <c r="R81">
        <f t="shared" si="27"/>
        <v>0.66666666666666663</v>
      </c>
      <c r="S81">
        <f>survey_responses[[#This Row],[Tôi tin rằng với các quy định quản lý thuế hiện nay, hành vi gian lận hoặc trốn thuế sẽ dễ dàng bị phát hiện và xử lý nghiêm. - HUMAN-ENF1]]</f>
        <v>8</v>
      </c>
      <c r="T81">
        <f t="shared" si="28"/>
        <v>0.77777777777777779</v>
      </c>
      <c r="U81">
        <f>step3_validation[[#This Row],[AI_ENF2]]</f>
        <v>6</v>
      </c>
      <c r="V81">
        <f t="shared" si="29"/>
        <v>0.55555555555555558</v>
      </c>
      <c r="W81">
        <f>survey_responses[[#This Row],[Tôi tin rằng Nhà nước, cơ quan thuế có đủ khả năng và công nghệ để phát hiện, xử lý nghiêm các hành vi trốn thuế. - HUMAN-ENF2]]</f>
        <v>8</v>
      </c>
      <c r="X81">
        <f t="shared" si="30"/>
        <v>0.77777777777777779</v>
      </c>
      <c r="Y81" s="32">
        <f t="shared" si="31"/>
        <v>0.61111111111111116</v>
      </c>
      <c r="Z81" s="32">
        <f t="shared" si="32"/>
        <v>0.77777777777777779</v>
      </c>
      <c r="AA81">
        <f>step3_validation[[#This Row],[AI_FAC1]]</f>
        <v>9</v>
      </c>
      <c r="AB81">
        <f t="shared" si="33"/>
        <v>0.88888888888888884</v>
      </c>
      <c r="AC81">
        <f>survey_responses[[#This Row],[Các thủ tục khai báo thuế VÀ/HOẶC quy trình làm việc với cơ quan thuế đơn giản, tiện lợi, nhanh chóng hơn so với trước đây. - HUMAN-FAC1]]</f>
        <v>8</v>
      </c>
      <c r="AD81">
        <f t="shared" si="34"/>
        <v>0.77777777777777779</v>
      </c>
      <c r="AE81">
        <f>step3_validation[[#This Row],[AI_FAC2]]</f>
        <v>9</v>
      </c>
      <c r="AF81">
        <f t="shared" si="35"/>
        <v>0.88888888888888884</v>
      </c>
      <c r="AG81">
        <f>survey_responses[[#This Row],[So với trước đây, tôi thấy cách tính thuế và các bậc thuế trong phương án mới đơn giản, dễ hiểu và dễ thực hiện hơn. - HUMAN-FAC2]]</f>
        <v>8</v>
      </c>
      <c r="AH81">
        <f t="shared" si="36"/>
        <v>0.77777777777777779</v>
      </c>
      <c r="AI81" s="32">
        <f t="shared" si="37"/>
        <v>0.88888888888888884</v>
      </c>
      <c r="AJ81" s="32">
        <f t="shared" si="38"/>
        <v>0.77777777777777779</v>
      </c>
      <c r="AK81">
        <f>step3_validation[[#This Row],[AI_TRU1]]</f>
        <v>7</v>
      </c>
      <c r="AL81">
        <f t="shared" si="39"/>
        <v>0.66666666666666663</v>
      </c>
      <c r="AM81">
        <f>survey_responses[[#This Row],[Tôi tin rằng Nhà nước, cơ quan thuế sẽ thực thi chính sách mới một cách khách quan, công tâm và đối xử bình đẳng với mọi người nộp thuế.  - HUMAN-TRU1]]</f>
        <v>8</v>
      </c>
      <c r="AN81">
        <f t="shared" si="40"/>
        <v>0.77777777777777779</v>
      </c>
      <c r="AO81">
        <f>step3_validation[[#This Row],[AI_TRU2]]</f>
        <v>8</v>
      </c>
      <c r="AP81">
        <f t="shared" si="41"/>
        <v>0.77777777777777779</v>
      </c>
      <c r="AQ81">
        <f>survey_responses[[#This Row],[Tôi thấy mức thuế tôi phải đóng theo phương án mới là công bằng (người thu nhập như tôi đóng mức này là hợp lý). - HUMAN-TRU2]]</f>
        <v>8</v>
      </c>
      <c r="AR81">
        <f t="shared" si="42"/>
        <v>0.77777777777777779</v>
      </c>
      <c r="AS81">
        <f>step3_validation[[#This Row],[AI_TRU3]]</f>
        <v>7</v>
      </c>
      <c r="AT81">
        <f t="shared" si="43"/>
        <v>0.66666666666666663</v>
      </c>
      <c r="AU81">
        <f>survey_responses[[#This Row],[Tôi tin tưởng số tiền thuế tôi đóng sẽ được Nhà nước sử dụng hiệu quả để cải thiện dịch vụ công (y tế, đường xá...). - HUMAN-TRU3]]</f>
        <v>8</v>
      </c>
      <c r="AV81">
        <f t="shared" si="44"/>
        <v>0.77777777777777779</v>
      </c>
      <c r="AW81">
        <f>step3_validation[[#This Row],[AI_TRU4]]</f>
        <v>6</v>
      </c>
      <c r="AX81">
        <f t="shared" si="45"/>
        <v>0.55555555555555558</v>
      </c>
      <c r="AY81">
        <f>survey_responses[[#This Row],[Tôi thấy Nhà nước đã giải thích rõ ràng, minh bạch về lý do và mục tiêu của việc sửa đổi thuế lần này. - HUMAN-TRU4]]</f>
        <v>8</v>
      </c>
      <c r="AZ81">
        <f t="shared" si="46"/>
        <v>0.77777777777777779</v>
      </c>
      <c r="BA81" s="32">
        <f t="shared" si="47"/>
        <v>0.66666666666666674</v>
      </c>
      <c r="BB81" s="32">
        <f t="shared" si="48"/>
        <v>0.77777777777777779</v>
      </c>
      <c r="BC81" s="7">
        <f t="shared" si="49"/>
        <v>0.72222222222222232</v>
      </c>
      <c r="BD81" s="7">
        <f t="shared" si="50"/>
        <v>0.77777777777777779</v>
      </c>
      <c r="BE81">
        <f>step3_validation[[#This Row],[AI_OUT1]]</f>
        <v>8</v>
      </c>
      <c r="BF81">
        <f t="shared" si="51"/>
        <v>0.77777777777777779</v>
      </c>
      <c r="BG81">
        <f>survey_responses[[#This Row],[Sau khi xem xét các quyền lợi và nghĩa vụ, bạn có ủng hộ và tuân thủ chính sách mới hiện nay? - HUMAN-OUT1]]</f>
        <v>8</v>
      </c>
      <c r="BH81">
        <f t="shared" si="52"/>
        <v>0.77777777777777779</v>
      </c>
      <c r="BI81" s="32">
        <f t="shared" si="53"/>
        <v>0</v>
      </c>
    </row>
    <row r="82" spans="1:61" x14ac:dyDescent="0.45">
      <c r="A82" s="30">
        <f>step3_validation[[#This Row],[Persona_ID]]</f>
        <v>81</v>
      </c>
      <c r="B82" s="31">
        <f>step3_validation[[#This Row],[Used_Seed]]</f>
        <v>81</v>
      </c>
      <c r="C82" t="str">
        <f>step3_validation[[#This Row],[Gender]]</f>
        <v>Nam</v>
      </c>
      <c r="D82" t="str">
        <f>survey_responses[[#This Row],[Giới tính của bạn:]]</f>
        <v>Nam</v>
      </c>
      <c r="E82" t="str">
        <f>step3_validation[[#This Row],[Age_Group]]</f>
        <v>55 - 64</v>
      </c>
      <c r="F82" t="str">
        <f>survey_responses[[#This Row],[Độ tuổi của bạn:]]</f>
        <v>55 - 64</v>
      </c>
      <c r="G82" t="str">
        <f>step3_validation[[#This Row],[Region]]</f>
        <v>Thành thị</v>
      </c>
      <c r="H82" t="str">
        <f>survey_responses[[#This Row],[Khu vực bạn đang sinh sống:]]</f>
        <v>Thành thị</v>
      </c>
      <c r="I82" t="str">
        <f>step3_validation[[#This Row],[Education]]</f>
        <v>Sau Đại học</v>
      </c>
      <c r="J82" t="str">
        <f>survey_responses[[#This Row],[Trình độ học vấn cao nhất:]]</f>
        <v>Sau Đại học</v>
      </c>
      <c r="K82" t="str">
        <f>step3_validation[[#This Row],[Employment]]</f>
        <v>Phi chính thức</v>
      </c>
      <c r="L82" t="str">
        <f>survey_responses[[#This Row],[Tình trạng việc làm chính:]]</f>
        <v>Khác (Về hưu, nội trợ, sinh viên)</v>
      </c>
      <c r="M82">
        <f>step3_validation[[#This Row],[Income_Mil]]</f>
        <v>12</v>
      </c>
      <c r="N82" t="str">
        <f>survey_responses[[#This Row],[Thu nhập bình quân tháng theo Hợp đồng lao động của bạn là bao nhiêu? (Vui lòng điền tổng thu nhập trước khi khấu trừ các loại Bảo hiểm (BHXH, BHYT, BHTN) và Thuế TNCN)]]</f>
        <v>Dưới 12 triệu VNĐ</v>
      </c>
      <c r="O82">
        <f>step3_validation[[#This Row],[Dependents]]</f>
        <v>0</v>
      </c>
      <c r="P82" t="str">
        <f>survey_responses[[#This Row],[Số người phụ thuộc (con nhỏ, cha mẹ già...) đủ điều kiện giảm trừ gia cảnh:]]</f>
        <v>0 người</v>
      </c>
      <c r="Q82">
        <f>step3_validation[[#This Row],[AI_ENF1]]</f>
        <v>6</v>
      </c>
      <c r="R82">
        <f t="shared" si="27"/>
        <v>0.55555555555555558</v>
      </c>
      <c r="S82">
        <f>survey_responses[[#This Row],[Tôi tin rằng với các quy định quản lý thuế hiện nay, hành vi gian lận hoặc trốn thuế sẽ dễ dàng bị phát hiện và xử lý nghiêm. - HUMAN-ENF1]]</f>
        <v>7</v>
      </c>
      <c r="T82">
        <f t="shared" si="28"/>
        <v>0.66666666666666663</v>
      </c>
      <c r="U82">
        <f>step3_validation[[#This Row],[AI_ENF2]]</f>
        <v>7</v>
      </c>
      <c r="V82">
        <f t="shared" si="29"/>
        <v>0.66666666666666663</v>
      </c>
      <c r="W82">
        <f>survey_responses[[#This Row],[Tôi tin rằng Nhà nước, cơ quan thuế có đủ khả năng và công nghệ để phát hiện, xử lý nghiêm các hành vi trốn thuế. - HUMAN-ENF2]]</f>
        <v>7</v>
      </c>
      <c r="X82">
        <f t="shared" si="30"/>
        <v>0.66666666666666663</v>
      </c>
      <c r="Y82" s="32">
        <f t="shared" si="31"/>
        <v>0.61111111111111116</v>
      </c>
      <c r="Z82" s="32">
        <f t="shared" si="32"/>
        <v>0.66666666666666663</v>
      </c>
      <c r="AA82">
        <f>step3_validation[[#This Row],[AI_FAC1]]</f>
        <v>9</v>
      </c>
      <c r="AB82">
        <f t="shared" si="33"/>
        <v>0.88888888888888884</v>
      </c>
      <c r="AC82">
        <f>survey_responses[[#This Row],[Các thủ tục khai báo thuế VÀ/HOẶC quy trình làm việc với cơ quan thuế đơn giản, tiện lợi, nhanh chóng hơn so với trước đây. - HUMAN-FAC1]]</f>
        <v>5</v>
      </c>
      <c r="AD82">
        <f t="shared" si="34"/>
        <v>0.44444444444444442</v>
      </c>
      <c r="AE82">
        <f>step3_validation[[#This Row],[AI_FAC2]]</f>
        <v>8</v>
      </c>
      <c r="AF82">
        <f t="shared" si="35"/>
        <v>0.77777777777777779</v>
      </c>
      <c r="AG82">
        <f>survey_responses[[#This Row],[So với trước đây, tôi thấy cách tính thuế và các bậc thuế trong phương án mới đơn giản, dễ hiểu và dễ thực hiện hơn. - HUMAN-FAC2]]</f>
        <v>5</v>
      </c>
      <c r="AH82">
        <f t="shared" si="36"/>
        <v>0.44444444444444442</v>
      </c>
      <c r="AI82" s="32">
        <f t="shared" si="37"/>
        <v>0.83333333333333326</v>
      </c>
      <c r="AJ82" s="32">
        <f t="shared" si="38"/>
        <v>0.44444444444444442</v>
      </c>
      <c r="AK82">
        <f>step3_validation[[#This Row],[AI_TRU1]]</f>
        <v>9</v>
      </c>
      <c r="AL82">
        <f t="shared" si="39"/>
        <v>0.88888888888888884</v>
      </c>
      <c r="AM82">
        <f>survey_responses[[#This Row],[Tôi tin rằng Nhà nước, cơ quan thuế sẽ thực thi chính sách mới một cách khách quan, công tâm và đối xử bình đẳng với mọi người nộp thuế.  - HUMAN-TRU1]]</f>
        <v>6</v>
      </c>
      <c r="AN82">
        <f t="shared" si="40"/>
        <v>0.55555555555555558</v>
      </c>
      <c r="AO82">
        <f>step3_validation[[#This Row],[AI_TRU2]]</f>
        <v>8</v>
      </c>
      <c r="AP82">
        <f t="shared" si="41"/>
        <v>0.77777777777777779</v>
      </c>
      <c r="AQ82">
        <f>survey_responses[[#This Row],[Tôi thấy mức thuế tôi phải đóng theo phương án mới là công bằng (người thu nhập như tôi đóng mức này là hợp lý). - HUMAN-TRU2]]</f>
        <v>5</v>
      </c>
      <c r="AR82">
        <f t="shared" si="42"/>
        <v>0.44444444444444442</v>
      </c>
      <c r="AS82">
        <f>step3_validation[[#This Row],[AI_TRU3]]</f>
        <v>9</v>
      </c>
      <c r="AT82">
        <f t="shared" si="43"/>
        <v>0.88888888888888884</v>
      </c>
      <c r="AU82">
        <f>survey_responses[[#This Row],[Tôi tin tưởng số tiền thuế tôi đóng sẽ được Nhà nước sử dụng hiệu quả để cải thiện dịch vụ công (y tế, đường xá...). - HUMAN-TRU3]]</f>
        <v>8</v>
      </c>
      <c r="AV82">
        <f t="shared" si="44"/>
        <v>0.77777777777777779</v>
      </c>
      <c r="AW82">
        <f>step3_validation[[#This Row],[AI_TRU4]]</f>
        <v>8</v>
      </c>
      <c r="AX82">
        <f t="shared" si="45"/>
        <v>0.77777777777777779</v>
      </c>
      <c r="AY82">
        <f>survey_responses[[#This Row],[Tôi thấy Nhà nước đã giải thích rõ ràng, minh bạch về lý do và mục tiêu của việc sửa đổi thuế lần này. - HUMAN-TRU4]]</f>
        <v>6</v>
      </c>
      <c r="AZ82">
        <f t="shared" si="46"/>
        <v>0.55555555555555558</v>
      </c>
      <c r="BA82" s="32">
        <f t="shared" si="47"/>
        <v>0.83333333333333326</v>
      </c>
      <c r="BB82" s="32">
        <f t="shared" si="48"/>
        <v>0.58333333333333326</v>
      </c>
      <c r="BC82" s="7">
        <f t="shared" si="49"/>
        <v>0.75925925925925919</v>
      </c>
      <c r="BD82" s="7">
        <f t="shared" si="50"/>
        <v>0.56481481481481477</v>
      </c>
      <c r="BE82">
        <f>step3_validation[[#This Row],[AI_OUT1]]</f>
        <v>9</v>
      </c>
      <c r="BF82">
        <f t="shared" si="51"/>
        <v>0.88888888888888884</v>
      </c>
      <c r="BG82">
        <f>survey_responses[[#This Row],[Sau khi xem xét các quyền lợi và nghĩa vụ, bạn có ủng hộ và tuân thủ chính sách mới hiện nay? - HUMAN-OUT1]]</f>
        <v>8</v>
      </c>
      <c r="BH82">
        <f t="shared" si="52"/>
        <v>0.77777777777777779</v>
      </c>
      <c r="BI82" s="32">
        <f t="shared" si="53"/>
        <v>1</v>
      </c>
    </row>
    <row r="83" spans="1:61" x14ac:dyDescent="0.45">
      <c r="A83" s="30">
        <f>step3_validation[[#This Row],[Persona_ID]]</f>
        <v>82</v>
      </c>
      <c r="B83" s="31">
        <f>step3_validation[[#This Row],[Used_Seed]]</f>
        <v>82</v>
      </c>
      <c r="C83" t="str">
        <f>step3_validation[[#This Row],[Gender]]</f>
        <v>Nữ</v>
      </c>
      <c r="D83" t="str">
        <f>survey_responses[[#This Row],[Giới tính của bạn:]]</f>
        <v>Nữ</v>
      </c>
      <c r="E83" t="str">
        <f>step3_validation[[#This Row],[Age_Group]]</f>
        <v>55 - 64</v>
      </c>
      <c r="F83" t="str">
        <f>survey_responses[[#This Row],[Độ tuổi của bạn:]]</f>
        <v>55 - 64</v>
      </c>
      <c r="G83" t="str">
        <f>step3_validation[[#This Row],[Region]]</f>
        <v>Thành thị</v>
      </c>
      <c r="H83" t="str">
        <f>survey_responses[[#This Row],[Khu vực bạn đang sinh sống:]]</f>
        <v>Thành thị</v>
      </c>
      <c r="I83" t="str">
        <f>step3_validation[[#This Row],[Education]]</f>
        <v>Đại học</v>
      </c>
      <c r="J83" t="str">
        <f>survey_responses[[#This Row],[Trình độ học vấn cao nhất:]]</f>
        <v>Đại học</v>
      </c>
      <c r="K83" t="str">
        <f>step3_validation[[#This Row],[Employment]]</f>
        <v>Phi chính thức</v>
      </c>
      <c r="L83" t="str">
        <f>survey_responses[[#This Row],[Tình trạng việc làm chính:]]</f>
        <v>Khác (Về hưu, nội trợ, sinh viên)</v>
      </c>
      <c r="M83">
        <f>step3_validation[[#This Row],[Income_Mil]]</f>
        <v>16.988193761926325</v>
      </c>
      <c r="N83" t="str">
        <f>survey_responses[[#This Row],[Thu nhập bình quân tháng theo Hợp đồng lao động của bạn là bao nhiêu? (Vui lòng điền tổng thu nhập trước khi khấu trừ các loại Bảo hiểm (BHXH, BHYT, BHTN) và Thuế TNCN)]]</f>
        <v>Từ 12 - 18 triệu VNĐ</v>
      </c>
      <c r="O83">
        <f>step3_validation[[#This Row],[Dependents]]</f>
        <v>1</v>
      </c>
      <c r="P83" t="str">
        <f>survey_responses[[#This Row],[Số người phụ thuộc (con nhỏ, cha mẹ già...) đủ điều kiện giảm trừ gia cảnh:]]</f>
        <v>1 người</v>
      </c>
      <c r="Q83">
        <f>step3_validation[[#This Row],[AI_ENF1]]</f>
        <v>5</v>
      </c>
      <c r="R83">
        <f t="shared" si="27"/>
        <v>0.44444444444444442</v>
      </c>
      <c r="S83">
        <f>survey_responses[[#This Row],[Tôi tin rằng với các quy định quản lý thuế hiện nay, hành vi gian lận hoặc trốn thuế sẽ dễ dàng bị phát hiện và xử lý nghiêm. - HUMAN-ENF1]]</f>
        <v>8</v>
      </c>
      <c r="T83">
        <f t="shared" si="28"/>
        <v>0.77777777777777779</v>
      </c>
      <c r="U83">
        <f>step3_validation[[#This Row],[AI_ENF2]]</f>
        <v>6</v>
      </c>
      <c r="V83">
        <f t="shared" si="29"/>
        <v>0.55555555555555558</v>
      </c>
      <c r="W83">
        <f>survey_responses[[#This Row],[Tôi tin rằng Nhà nước, cơ quan thuế có đủ khả năng và công nghệ để phát hiện, xử lý nghiêm các hành vi trốn thuế. - HUMAN-ENF2]]</f>
        <v>9</v>
      </c>
      <c r="X83">
        <f t="shared" si="30"/>
        <v>0.88888888888888884</v>
      </c>
      <c r="Y83" s="32">
        <f t="shared" si="31"/>
        <v>0.5</v>
      </c>
      <c r="Z83" s="32">
        <f t="shared" si="32"/>
        <v>0.83333333333333326</v>
      </c>
      <c r="AA83">
        <f>step3_validation[[#This Row],[AI_FAC1]]</f>
        <v>7</v>
      </c>
      <c r="AB83">
        <f t="shared" si="33"/>
        <v>0.66666666666666663</v>
      </c>
      <c r="AC83">
        <f>survey_responses[[#This Row],[Các thủ tục khai báo thuế VÀ/HOẶC quy trình làm việc với cơ quan thuế đơn giản, tiện lợi, nhanh chóng hơn so với trước đây. - HUMAN-FAC1]]</f>
        <v>5</v>
      </c>
      <c r="AD83">
        <f t="shared" si="34"/>
        <v>0.44444444444444442</v>
      </c>
      <c r="AE83">
        <f>step3_validation[[#This Row],[AI_FAC2]]</f>
        <v>9</v>
      </c>
      <c r="AF83">
        <f t="shared" si="35"/>
        <v>0.88888888888888884</v>
      </c>
      <c r="AG83">
        <f>survey_responses[[#This Row],[So với trước đây, tôi thấy cách tính thuế và các bậc thuế trong phương án mới đơn giản, dễ hiểu và dễ thực hiện hơn. - HUMAN-FAC2]]</f>
        <v>5</v>
      </c>
      <c r="AH83">
        <f t="shared" si="36"/>
        <v>0.44444444444444442</v>
      </c>
      <c r="AI83" s="32">
        <f t="shared" si="37"/>
        <v>0.77777777777777768</v>
      </c>
      <c r="AJ83" s="32">
        <f t="shared" si="38"/>
        <v>0.44444444444444442</v>
      </c>
      <c r="AK83">
        <f>step3_validation[[#This Row],[AI_TRU1]]</f>
        <v>6</v>
      </c>
      <c r="AL83">
        <f t="shared" si="39"/>
        <v>0.55555555555555558</v>
      </c>
      <c r="AM83">
        <f>survey_responses[[#This Row],[Tôi tin rằng Nhà nước, cơ quan thuế sẽ thực thi chính sách mới một cách khách quan, công tâm và đối xử bình đẳng với mọi người nộp thuế.  - HUMAN-TRU1]]</f>
        <v>5</v>
      </c>
      <c r="AN83">
        <f t="shared" si="40"/>
        <v>0.44444444444444442</v>
      </c>
      <c r="AO83">
        <f>step3_validation[[#This Row],[AI_TRU2]]</f>
        <v>9</v>
      </c>
      <c r="AP83">
        <f t="shared" si="41"/>
        <v>0.88888888888888884</v>
      </c>
      <c r="AQ83">
        <f>survey_responses[[#This Row],[Tôi thấy mức thuế tôi phải đóng theo phương án mới là công bằng (người thu nhập như tôi đóng mức này là hợp lý). - HUMAN-TRU2]]</f>
        <v>5</v>
      </c>
      <c r="AR83">
        <f t="shared" si="42"/>
        <v>0.44444444444444442</v>
      </c>
      <c r="AS83">
        <f>step3_validation[[#This Row],[AI_TRU3]]</f>
        <v>7</v>
      </c>
      <c r="AT83">
        <f t="shared" si="43"/>
        <v>0.66666666666666663</v>
      </c>
      <c r="AU83">
        <f>survey_responses[[#This Row],[Tôi tin tưởng số tiền thuế tôi đóng sẽ được Nhà nước sử dụng hiệu quả để cải thiện dịch vụ công (y tế, đường xá...). - HUMAN-TRU3]]</f>
        <v>1</v>
      </c>
      <c r="AV83">
        <f t="shared" si="44"/>
        <v>0</v>
      </c>
      <c r="AW83">
        <f>step3_validation[[#This Row],[AI_TRU4]]</f>
        <v>8</v>
      </c>
      <c r="AX83">
        <f t="shared" si="45"/>
        <v>0.77777777777777779</v>
      </c>
      <c r="AY83">
        <f>survey_responses[[#This Row],[Tôi thấy Nhà nước đã giải thích rõ ràng, minh bạch về lý do và mục tiêu của việc sửa đổi thuế lần này. - HUMAN-TRU4]]</f>
        <v>5</v>
      </c>
      <c r="AZ83">
        <f t="shared" si="46"/>
        <v>0.44444444444444442</v>
      </c>
      <c r="BA83" s="32">
        <f t="shared" si="47"/>
        <v>0.72222222222222221</v>
      </c>
      <c r="BB83" s="32">
        <f t="shared" si="48"/>
        <v>0.33333333333333331</v>
      </c>
      <c r="BC83" s="7">
        <f t="shared" si="49"/>
        <v>0.66666666666666663</v>
      </c>
      <c r="BD83" s="7">
        <f t="shared" si="50"/>
        <v>0.53703703703703698</v>
      </c>
      <c r="BE83">
        <f>step3_validation[[#This Row],[AI_OUT1]]</f>
        <v>7</v>
      </c>
      <c r="BF83">
        <f t="shared" si="51"/>
        <v>0.66666666666666663</v>
      </c>
      <c r="BG83">
        <f>survey_responses[[#This Row],[Sau khi xem xét các quyền lợi và nghĩa vụ, bạn có ủng hộ và tuân thủ chính sách mới hiện nay? - HUMAN-OUT1]]</f>
        <v>5</v>
      </c>
      <c r="BH83">
        <f t="shared" si="52"/>
        <v>0.44444444444444442</v>
      </c>
      <c r="BI83" s="32">
        <f t="shared" si="53"/>
        <v>2</v>
      </c>
    </row>
    <row r="84" spans="1:61" x14ac:dyDescent="0.45">
      <c r="A84" s="30">
        <f>step3_validation[[#This Row],[Persona_ID]]</f>
        <v>83</v>
      </c>
      <c r="B84" s="31">
        <f>step3_validation[[#This Row],[Used_Seed]]</f>
        <v>83</v>
      </c>
      <c r="C84" t="str">
        <f>step3_validation[[#This Row],[Gender]]</f>
        <v>Nữ</v>
      </c>
      <c r="D84" t="str">
        <f>survey_responses[[#This Row],[Giới tính của bạn:]]</f>
        <v>Nữ</v>
      </c>
      <c r="E84" t="str">
        <f>step3_validation[[#This Row],[Age_Group]]</f>
        <v>40 - 49</v>
      </c>
      <c r="F84" t="str">
        <f>survey_responses[[#This Row],[Độ tuổi của bạn:]]</f>
        <v>40 - 49</v>
      </c>
      <c r="G84" t="str">
        <f>step3_validation[[#This Row],[Region]]</f>
        <v>Thành thị</v>
      </c>
      <c r="H84" t="str">
        <f>survey_responses[[#This Row],[Khu vực bạn đang sinh sống:]]</f>
        <v>Thành thị</v>
      </c>
      <c r="I84" t="str">
        <f>step3_validation[[#This Row],[Education]]</f>
        <v>Sau Đại học</v>
      </c>
      <c r="J84" t="str">
        <f>survey_responses[[#This Row],[Trình độ học vấn cao nhất:]]</f>
        <v>Sau Đại học</v>
      </c>
      <c r="K84" t="str">
        <f>step3_validation[[#This Row],[Employment]]</f>
        <v>Chính thức</v>
      </c>
      <c r="L84" t="str">
        <f>survey_responses[[#This Row],[Tình trạng việc làm chính:]]</f>
        <v>Khu vực chính thức (Có Hợp đồng lao động, đóng BHXH)</v>
      </c>
      <c r="M84">
        <f>step3_validation[[#This Row],[Income_Mil]]</f>
        <v>13.582071599255009</v>
      </c>
      <c r="N84" t="str">
        <f>survey_responses[[#This Row],[Thu nhập bình quân tháng theo Hợp đồng lao động của bạn là bao nhiêu? (Vui lòng điền tổng thu nhập trước khi khấu trừ các loại Bảo hiểm (BHXH, BHYT, BHTN) và Thuế TNCN)]]</f>
        <v>Từ 12 - 18 triệu VNĐ</v>
      </c>
      <c r="O84">
        <f>step3_validation[[#This Row],[Dependents]]</f>
        <v>2</v>
      </c>
      <c r="P84" t="str">
        <f>survey_responses[[#This Row],[Số người phụ thuộc (con nhỏ, cha mẹ già...) đủ điều kiện giảm trừ gia cảnh:]]</f>
        <v>2 người</v>
      </c>
      <c r="Q84">
        <f>step3_validation[[#This Row],[AI_ENF1]]</f>
        <v>7</v>
      </c>
      <c r="R84">
        <f t="shared" si="27"/>
        <v>0.66666666666666663</v>
      </c>
      <c r="S84">
        <f>survey_responses[[#This Row],[Tôi tin rằng với các quy định quản lý thuế hiện nay, hành vi gian lận hoặc trốn thuế sẽ dễ dàng bị phát hiện và xử lý nghiêm. - HUMAN-ENF1]]</f>
        <v>10</v>
      </c>
      <c r="T84">
        <f t="shared" si="28"/>
        <v>1</v>
      </c>
      <c r="U84">
        <f>step3_validation[[#This Row],[AI_ENF2]]</f>
        <v>8</v>
      </c>
      <c r="V84">
        <f t="shared" si="29"/>
        <v>0.77777777777777779</v>
      </c>
      <c r="W84">
        <f>survey_responses[[#This Row],[Tôi tin rằng Nhà nước, cơ quan thuế có đủ khả năng và công nghệ để phát hiện, xử lý nghiêm các hành vi trốn thuế. - HUMAN-ENF2]]</f>
        <v>8</v>
      </c>
      <c r="X84">
        <f t="shared" si="30"/>
        <v>0.77777777777777779</v>
      </c>
      <c r="Y84" s="32">
        <f t="shared" si="31"/>
        <v>0.72222222222222221</v>
      </c>
      <c r="Z84" s="32">
        <f t="shared" si="32"/>
        <v>0.88888888888888884</v>
      </c>
      <c r="AA84">
        <f>step3_validation[[#This Row],[AI_FAC1]]</f>
        <v>6</v>
      </c>
      <c r="AB84">
        <f t="shared" si="33"/>
        <v>0.55555555555555558</v>
      </c>
      <c r="AC84">
        <f>survey_responses[[#This Row],[Các thủ tục khai báo thuế VÀ/HOẶC quy trình làm việc với cơ quan thuế đơn giản, tiện lợi, nhanh chóng hơn so với trước đây. - HUMAN-FAC1]]</f>
        <v>8</v>
      </c>
      <c r="AD84">
        <f t="shared" si="34"/>
        <v>0.77777777777777779</v>
      </c>
      <c r="AE84">
        <f>step3_validation[[#This Row],[AI_FAC2]]</f>
        <v>9</v>
      </c>
      <c r="AF84">
        <f t="shared" si="35"/>
        <v>0.88888888888888884</v>
      </c>
      <c r="AG84">
        <f>survey_responses[[#This Row],[So với trước đây, tôi thấy cách tính thuế và các bậc thuế trong phương án mới đơn giản, dễ hiểu và dễ thực hiện hơn. - HUMAN-FAC2]]</f>
        <v>7</v>
      </c>
      <c r="AH84">
        <f t="shared" si="36"/>
        <v>0.66666666666666663</v>
      </c>
      <c r="AI84" s="32">
        <f t="shared" si="37"/>
        <v>0.72222222222222221</v>
      </c>
      <c r="AJ84" s="32">
        <f t="shared" si="38"/>
        <v>0.72222222222222221</v>
      </c>
      <c r="AK84">
        <f>step3_validation[[#This Row],[AI_TRU1]]</f>
        <v>8</v>
      </c>
      <c r="AL84">
        <f t="shared" si="39"/>
        <v>0.77777777777777779</v>
      </c>
      <c r="AM84">
        <f>survey_responses[[#This Row],[Tôi tin rằng Nhà nước, cơ quan thuế sẽ thực thi chính sách mới một cách khách quan, công tâm và đối xử bình đẳng với mọi người nộp thuế.  - HUMAN-TRU1]]</f>
        <v>7</v>
      </c>
      <c r="AN84">
        <f t="shared" si="40"/>
        <v>0.66666666666666663</v>
      </c>
      <c r="AO84">
        <f>step3_validation[[#This Row],[AI_TRU2]]</f>
        <v>9</v>
      </c>
      <c r="AP84">
        <f t="shared" si="41"/>
        <v>0.88888888888888884</v>
      </c>
      <c r="AQ84">
        <f>survey_responses[[#This Row],[Tôi thấy mức thuế tôi phải đóng theo phương án mới là công bằng (người thu nhập như tôi đóng mức này là hợp lý). - HUMAN-TRU2]]</f>
        <v>6</v>
      </c>
      <c r="AR84">
        <f t="shared" si="42"/>
        <v>0.55555555555555558</v>
      </c>
      <c r="AS84">
        <f>step3_validation[[#This Row],[AI_TRU3]]</f>
        <v>8</v>
      </c>
      <c r="AT84">
        <f t="shared" si="43"/>
        <v>0.77777777777777779</v>
      </c>
      <c r="AU84">
        <f>survey_responses[[#This Row],[Tôi tin tưởng số tiền thuế tôi đóng sẽ được Nhà nước sử dụng hiệu quả để cải thiện dịch vụ công (y tế, đường xá...). - HUMAN-TRU3]]</f>
        <v>7</v>
      </c>
      <c r="AV84">
        <f t="shared" si="44"/>
        <v>0.66666666666666663</v>
      </c>
      <c r="AW84">
        <f>step3_validation[[#This Row],[AI_TRU4]]</f>
        <v>7</v>
      </c>
      <c r="AX84">
        <f t="shared" si="45"/>
        <v>0.66666666666666663</v>
      </c>
      <c r="AY84">
        <f>survey_responses[[#This Row],[Tôi thấy Nhà nước đã giải thích rõ ràng, minh bạch về lý do và mục tiêu của việc sửa đổi thuế lần này. - HUMAN-TRU4]]</f>
        <v>6</v>
      </c>
      <c r="AZ84">
        <f t="shared" si="46"/>
        <v>0.55555555555555558</v>
      </c>
      <c r="BA84" s="32">
        <f t="shared" si="47"/>
        <v>0.77777777777777768</v>
      </c>
      <c r="BB84" s="32">
        <f t="shared" si="48"/>
        <v>0.61111111111111116</v>
      </c>
      <c r="BC84" s="7">
        <f t="shared" si="49"/>
        <v>0.74074074074074081</v>
      </c>
      <c r="BD84" s="7">
        <f t="shared" si="50"/>
        <v>0.74074074074074081</v>
      </c>
      <c r="BE84">
        <f>step3_validation[[#This Row],[AI_OUT1]]</f>
        <v>9</v>
      </c>
      <c r="BF84">
        <f t="shared" si="51"/>
        <v>0.88888888888888884</v>
      </c>
      <c r="BG84">
        <f>survey_responses[[#This Row],[Sau khi xem xét các quyền lợi và nghĩa vụ, bạn có ủng hộ và tuân thủ chính sách mới hiện nay? - HUMAN-OUT1]]</f>
        <v>8</v>
      </c>
      <c r="BH84">
        <f t="shared" si="52"/>
        <v>0.77777777777777779</v>
      </c>
      <c r="BI84" s="32">
        <f t="shared" si="53"/>
        <v>1</v>
      </c>
    </row>
    <row r="85" spans="1:61" x14ac:dyDescent="0.45">
      <c r="A85" s="30">
        <f>step3_validation[[#This Row],[Persona_ID]]</f>
        <v>84</v>
      </c>
      <c r="B85" s="31">
        <f>step3_validation[[#This Row],[Used_Seed]]</f>
        <v>84</v>
      </c>
      <c r="C85" t="str">
        <f>step3_validation[[#This Row],[Gender]]</f>
        <v>Nữ</v>
      </c>
      <c r="D85" t="str">
        <f>survey_responses[[#This Row],[Giới tính của bạn:]]</f>
        <v>Nữ</v>
      </c>
      <c r="E85" t="str">
        <f>step3_validation[[#This Row],[Age_Group]]</f>
        <v>30 - 39</v>
      </c>
      <c r="F85" t="str">
        <f>survey_responses[[#This Row],[Độ tuổi của bạn:]]</f>
        <v>30 - 39</v>
      </c>
      <c r="G85" t="str">
        <f>step3_validation[[#This Row],[Region]]</f>
        <v>Thành thị</v>
      </c>
      <c r="H85" t="str">
        <f>survey_responses[[#This Row],[Khu vực bạn đang sinh sống:]]</f>
        <v>Thành thị</v>
      </c>
      <c r="I85" t="str">
        <f>step3_validation[[#This Row],[Education]]</f>
        <v>Cao đẳng</v>
      </c>
      <c r="J85" t="str">
        <f>survey_responses[[#This Row],[Trình độ học vấn cao nhất:]]</f>
        <v>Cao đẳng</v>
      </c>
      <c r="K85" t="str">
        <f>step3_validation[[#This Row],[Employment]]</f>
        <v>Chính thức</v>
      </c>
      <c r="L85" t="str">
        <f>survey_responses[[#This Row],[Tình trạng việc làm chính:]]</f>
        <v>Khu vực chính thức (Có Hợp đồng lao động, đóng BHXH)</v>
      </c>
      <c r="M85">
        <f>step3_validation[[#This Row],[Income_Mil]]</f>
        <v>15.660491194639578</v>
      </c>
      <c r="N85" t="str">
        <f>survey_responses[[#This Row],[Thu nhập bình quân tháng theo Hợp đồng lao động của bạn là bao nhiêu? (Vui lòng điền tổng thu nhập trước khi khấu trừ các loại Bảo hiểm (BHXH, BHYT, BHTN) và Thuế TNCN)]]</f>
        <v>Từ 12 - 18 triệu VNĐ</v>
      </c>
      <c r="O85">
        <f>step3_validation[[#This Row],[Dependents]]</f>
        <v>1</v>
      </c>
      <c r="P85" t="str">
        <f>survey_responses[[#This Row],[Số người phụ thuộc (con nhỏ, cha mẹ già...) đủ điều kiện giảm trừ gia cảnh:]]</f>
        <v>1 người</v>
      </c>
      <c r="Q85">
        <f>step3_validation[[#This Row],[AI_ENF1]]</f>
        <v>8</v>
      </c>
      <c r="R85">
        <f t="shared" si="27"/>
        <v>0.77777777777777779</v>
      </c>
      <c r="S85">
        <f>survey_responses[[#This Row],[Tôi tin rằng với các quy định quản lý thuế hiện nay, hành vi gian lận hoặc trốn thuế sẽ dễ dàng bị phát hiện và xử lý nghiêm. - HUMAN-ENF1]]</f>
        <v>6</v>
      </c>
      <c r="T85">
        <f t="shared" si="28"/>
        <v>0.55555555555555558</v>
      </c>
      <c r="U85">
        <f>step3_validation[[#This Row],[AI_ENF2]]</f>
        <v>7</v>
      </c>
      <c r="V85">
        <f t="shared" si="29"/>
        <v>0.66666666666666663</v>
      </c>
      <c r="W85">
        <f>survey_responses[[#This Row],[Tôi tin rằng Nhà nước, cơ quan thuế có đủ khả năng và công nghệ để phát hiện, xử lý nghiêm các hành vi trốn thuế. - HUMAN-ENF2]]</f>
        <v>7</v>
      </c>
      <c r="X85">
        <f t="shared" si="30"/>
        <v>0.66666666666666663</v>
      </c>
      <c r="Y85" s="32">
        <f t="shared" si="31"/>
        <v>0.72222222222222221</v>
      </c>
      <c r="Z85" s="32">
        <f t="shared" si="32"/>
        <v>0.61111111111111116</v>
      </c>
      <c r="AA85">
        <f>step3_validation[[#This Row],[AI_FAC1]]</f>
        <v>9</v>
      </c>
      <c r="AB85">
        <f t="shared" si="33"/>
        <v>0.88888888888888884</v>
      </c>
      <c r="AC85">
        <f>survey_responses[[#This Row],[Các thủ tục khai báo thuế VÀ/HOẶC quy trình làm việc với cơ quan thuế đơn giản, tiện lợi, nhanh chóng hơn so với trước đây. - HUMAN-FAC1]]</f>
        <v>5</v>
      </c>
      <c r="AD85">
        <f t="shared" si="34"/>
        <v>0.44444444444444442</v>
      </c>
      <c r="AE85">
        <f>step3_validation[[#This Row],[AI_FAC2]]</f>
        <v>9</v>
      </c>
      <c r="AF85">
        <f t="shared" si="35"/>
        <v>0.88888888888888884</v>
      </c>
      <c r="AG85">
        <f>survey_responses[[#This Row],[So với trước đây, tôi thấy cách tính thuế và các bậc thuế trong phương án mới đơn giản, dễ hiểu và dễ thực hiện hơn. - HUMAN-FAC2]]</f>
        <v>5</v>
      </c>
      <c r="AH85">
        <f t="shared" si="36"/>
        <v>0.44444444444444442</v>
      </c>
      <c r="AI85" s="32">
        <f t="shared" si="37"/>
        <v>0.88888888888888884</v>
      </c>
      <c r="AJ85" s="32">
        <f t="shared" si="38"/>
        <v>0.44444444444444442</v>
      </c>
      <c r="AK85">
        <f>step3_validation[[#This Row],[AI_TRU1]]</f>
        <v>8</v>
      </c>
      <c r="AL85">
        <f t="shared" si="39"/>
        <v>0.77777777777777779</v>
      </c>
      <c r="AM85">
        <f>survey_responses[[#This Row],[Tôi tin rằng Nhà nước, cơ quan thuế sẽ thực thi chính sách mới một cách khách quan, công tâm và đối xử bình đẳng với mọi người nộp thuế.  - HUMAN-TRU1]]</f>
        <v>5</v>
      </c>
      <c r="AN85">
        <f t="shared" si="40"/>
        <v>0.44444444444444442</v>
      </c>
      <c r="AO85">
        <f>step3_validation[[#This Row],[AI_TRU2]]</f>
        <v>9</v>
      </c>
      <c r="AP85">
        <f t="shared" si="41"/>
        <v>0.88888888888888884</v>
      </c>
      <c r="AQ85">
        <f>survey_responses[[#This Row],[Tôi thấy mức thuế tôi phải đóng theo phương án mới là công bằng (người thu nhập như tôi đóng mức này là hợp lý). - HUMAN-TRU2]]</f>
        <v>5</v>
      </c>
      <c r="AR85">
        <f t="shared" si="42"/>
        <v>0.44444444444444442</v>
      </c>
      <c r="AS85">
        <f>step3_validation[[#This Row],[AI_TRU3]]</f>
        <v>8</v>
      </c>
      <c r="AT85">
        <f t="shared" si="43"/>
        <v>0.77777777777777779</v>
      </c>
      <c r="AU85">
        <f>survey_responses[[#This Row],[Tôi tin tưởng số tiền thuế tôi đóng sẽ được Nhà nước sử dụng hiệu quả để cải thiện dịch vụ công (y tế, đường xá...). - HUMAN-TRU3]]</f>
        <v>5</v>
      </c>
      <c r="AV85">
        <f t="shared" si="44"/>
        <v>0.44444444444444442</v>
      </c>
      <c r="AW85">
        <f>step3_validation[[#This Row],[AI_TRU4]]</f>
        <v>7</v>
      </c>
      <c r="AX85">
        <f t="shared" si="45"/>
        <v>0.66666666666666663</v>
      </c>
      <c r="AY85">
        <f>survey_responses[[#This Row],[Tôi thấy Nhà nước đã giải thích rõ ràng, minh bạch về lý do và mục tiêu của việc sửa đổi thuế lần này. - HUMAN-TRU4]]</f>
        <v>5</v>
      </c>
      <c r="AZ85">
        <f t="shared" si="46"/>
        <v>0.44444444444444442</v>
      </c>
      <c r="BA85" s="32">
        <f t="shared" si="47"/>
        <v>0.77777777777777768</v>
      </c>
      <c r="BB85" s="32">
        <f t="shared" si="48"/>
        <v>0.44444444444444442</v>
      </c>
      <c r="BC85" s="7">
        <f t="shared" si="49"/>
        <v>0.79629629629629628</v>
      </c>
      <c r="BD85" s="7">
        <f t="shared" si="50"/>
        <v>0.5</v>
      </c>
      <c r="BE85">
        <f>step3_validation[[#This Row],[AI_OUT1]]</f>
        <v>9</v>
      </c>
      <c r="BF85">
        <f t="shared" si="51"/>
        <v>0.88888888888888884</v>
      </c>
      <c r="BG85">
        <f>survey_responses[[#This Row],[Sau khi xem xét các quyền lợi và nghĩa vụ, bạn có ủng hộ và tuân thủ chính sách mới hiện nay? - HUMAN-OUT1]]</f>
        <v>5</v>
      </c>
      <c r="BH85">
        <f t="shared" si="52"/>
        <v>0.44444444444444442</v>
      </c>
      <c r="BI85" s="32">
        <f t="shared" si="53"/>
        <v>4</v>
      </c>
    </row>
    <row r="86" spans="1:61" x14ac:dyDescent="0.45">
      <c r="A86" s="30">
        <f>step3_validation[[#This Row],[Persona_ID]]</f>
        <v>85</v>
      </c>
      <c r="B86" s="31">
        <f>step3_validation[[#This Row],[Used_Seed]]</f>
        <v>85</v>
      </c>
      <c r="C86" t="str">
        <f>step3_validation[[#This Row],[Gender]]</f>
        <v>Nữ</v>
      </c>
      <c r="D86" t="str">
        <f>survey_responses[[#This Row],[Giới tính của bạn:]]</f>
        <v>Nữ</v>
      </c>
      <c r="E86" t="str">
        <f>step3_validation[[#This Row],[Age_Group]]</f>
        <v>40 - 49</v>
      </c>
      <c r="F86" t="str">
        <f>survey_responses[[#This Row],[Độ tuổi của bạn:]]</f>
        <v>40 - 49</v>
      </c>
      <c r="G86" t="str">
        <f>step3_validation[[#This Row],[Region]]</f>
        <v>Thành thị</v>
      </c>
      <c r="H86" t="str">
        <f>survey_responses[[#This Row],[Khu vực bạn đang sinh sống:]]</f>
        <v>Thành thị</v>
      </c>
      <c r="I86" t="str">
        <f>step3_validation[[#This Row],[Education]]</f>
        <v>Đại học</v>
      </c>
      <c r="J86" t="str">
        <f>survey_responses[[#This Row],[Trình độ học vấn cao nhất:]]</f>
        <v>Đại học</v>
      </c>
      <c r="K86" t="str">
        <f>step3_validation[[#This Row],[Employment]]</f>
        <v>Chính thức</v>
      </c>
      <c r="L86" t="str">
        <f>survey_responses[[#This Row],[Tình trạng việc làm chính:]]</f>
        <v>Khu vực chính thức (Có Hợp đồng lao động, đóng BHXH)</v>
      </c>
      <c r="M86">
        <f>step3_validation[[#This Row],[Income_Mil]]</f>
        <v>12.221614956054998</v>
      </c>
      <c r="N86" t="str">
        <f>survey_responses[[#This Row],[Thu nhập bình quân tháng theo Hợp đồng lao động của bạn là bao nhiêu? (Vui lòng điền tổng thu nhập trước khi khấu trừ các loại Bảo hiểm (BHXH, BHYT, BHTN) và Thuế TNCN)]]</f>
        <v>Từ 12 - 18 triệu VNĐ</v>
      </c>
      <c r="O86">
        <f>step3_validation[[#This Row],[Dependents]]</f>
        <v>2</v>
      </c>
      <c r="P86" t="str">
        <f>survey_responses[[#This Row],[Số người phụ thuộc (con nhỏ, cha mẹ già...) đủ điều kiện giảm trừ gia cảnh:]]</f>
        <v>2 người</v>
      </c>
      <c r="Q86">
        <f>step3_validation[[#This Row],[AI_ENF1]]</f>
        <v>7</v>
      </c>
      <c r="R86">
        <f t="shared" si="27"/>
        <v>0.66666666666666663</v>
      </c>
      <c r="S86">
        <f>survey_responses[[#This Row],[Tôi tin rằng với các quy định quản lý thuế hiện nay, hành vi gian lận hoặc trốn thuế sẽ dễ dàng bị phát hiện và xử lý nghiêm. - HUMAN-ENF1]]</f>
        <v>9</v>
      </c>
      <c r="T86">
        <f t="shared" si="28"/>
        <v>0.88888888888888884</v>
      </c>
      <c r="U86">
        <f>step3_validation[[#This Row],[AI_ENF2]]</f>
        <v>6</v>
      </c>
      <c r="V86">
        <f t="shared" si="29"/>
        <v>0.55555555555555558</v>
      </c>
      <c r="W86">
        <f>survey_responses[[#This Row],[Tôi tin rằng Nhà nước, cơ quan thuế có đủ khả năng và công nghệ để phát hiện, xử lý nghiêm các hành vi trốn thuế. - HUMAN-ENF2]]</f>
        <v>9</v>
      </c>
      <c r="X86">
        <f t="shared" si="30"/>
        <v>0.88888888888888884</v>
      </c>
      <c r="Y86" s="32">
        <f t="shared" si="31"/>
        <v>0.61111111111111116</v>
      </c>
      <c r="Z86" s="32">
        <f t="shared" si="32"/>
        <v>0.88888888888888884</v>
      </c>
      <c r="AA86">
        <f>step3_validation[[#This Row],[AI_FAC1]]</f>
        <v>9</v>
      </c>
      <c r="AB86">
        <f t="shared" si="33"/>
        <v>0.88888888888888884</v>
      </c>
      <c r="AC86">
        <f>survey_responses[[#This Row],[Các thủ tục khai báo thuế VÀ/HOẶC quy trình làm việc với cơ quan thuế đơn giản, tiện lợi, nhanh chóng hơn so với trước đây. - HUMAN-FAC1]]</f>
        <v>8</v>
      </c>
      <c r="AD86">
        <f t="shared" si="34"/>
        <v>0.77777777777777779</v>
      </c>
      <c r="AE86">
        <f>step3_validation[[#This Row],[AI_FAC2]]</f>
        <v>9</v>
      </c>
      <c r="AF86">
        <f t="shared" si="35"/>
        <v>0.88888888888888884</v>
      </c>
      <c r="AG86">
        <f>survey_responses[[#This Row],[So với trước đây, tôi thấy cách tính thuế và các bậc thuế trong phương án mới đơn giản, dễ hiểu và dễ thực hiện hơn. - HUMAN-FAC2]]</f>
        <v>9</v>
      </c>
      <c r="AH86">
        <f t="shared" si="36"/>
        <v>0.88888888888888884</v>
      </c>
      <c r="AI86" s="32">
        <f t="shared" si="37"/>
        <v>0.88888888888888884</v>
      </c>
      <c r="AJ86" s="32">
        <f t="shared" si="38"/>
        <v>0.83333333333333326</v>
      </c>
      <c r="AK86">
        <f>step3_validation[[#This Row],[AI_TRU1]]</f>
        <v>7</v>
      </c>
      <c r="AL86">
        <f t="shared" si="39"/>
        <v>0.66666666666666663</v>
      </c>
      <c r="AM86">
        <f>survey_responses[[#This Row],[Tôi tin rằng Nhà nước, cơ quan thuế sẽ thực thi chính sách mới một cách khách quan, công tâm và đối xử bình đẳng với mọi người nộp thuế.  - HUMAN-TRU1]]</f>
        <v>9</v>
      </c>
      <c r="AN86">
        <f t="shared" si="40"/>
        <v>0.88888888888888884</v>
      </c>
      <c r="AO86">
        <f>step3_validation[[#This Row],[AI_TRU2]]</f>
        <v>8</v>
      </c>
      <c r="AP86">
        <f t="shared" si="41"/>
        <v>0.77777777777777779</v>
      </c>
      <c r="AQ86">
        <f>survey_responses[[#This Row],[Tôi thấy mức thuế tôi phải đóng theo phương án mới là công bằng (người thu nhập như tôi đóng mức này là hợp lý). - HUMAN-TRU2]]</f>
        <v>9</v>
      </c>
      <c r="AR86">
        <f t="shared" si="42"/>
        <v>0.88888888888888884</v>
      </c>
      <c r="AS86">
        <f>step3_validation[[#This Row],[AI_TRU3]]</f>
        <v>7</v>
      </c>
      <c r="AT86">
        <f t="shared" si="43"/>
        <v>0.66666666666666663</v>
      </c>
      <c r="AU86">
        <f>survey_responses[[#This Row],[Tôi tin tưởng số tiền thuế tôi đóng sẽ được Nhà nước sử dụng hiệu quả để cải thiện dịch vụ công (y tế, đường xá...). - HUMAN-TRU3]]</f>
        <v>7</v>
      </c>
      <c r="AV86">
        <f t="shared" si="44"/>
        <v>0.66666666666666663</v>
      </c>
      <c r="AW86">
        <f>step3_validation[[#This Row],[AI_TRU4]]</f>
        <v>6</v>
      </c>
      <c r="AX86">
        <f t="shared" si="45"/>
        <v>0.55555555555555558</v>
      </c>
      <c r="AY86">
        <f>survey_responses[[#This Row],[Tôi thấy Nhà nước đã giải thích rõ ràng, minh bạch về lý do và mục tiêu của việc sửa đổi thuế lần này. - HUMAN-TRU4]]</f>
        <v>8</v>
      </c>
      <c r="AZ86">
        <f t="shared" si="46"/>
        <v>0.77777777777777779</v>
      </c>
      <c r="BA86" s="32">
        <f t="shared" si="47"/>
        <v>0.66666666666666674</v>
      </c>
      <c r="BB86" s="32">
        <f t="shared" si="48"/>
        <v>0.80555555555555547</v>
      </c>
      <c r="BC86" s="7">
        <f t="shared" si="49"/>
        <v>0.72222222222222232</v>
      </c>
      <c r="BD86" s="7">
        <f t="shared" si="50"/>
        <v>0.84259259259259256</v>
      </c>
      <c r="BE86">
        <f>step3_validation[[#This Row],[AI_OUT1]]</f>
        <v>9</v>
      </c>
      <c r="BF86">
        <f t="shared" si="51"/>
        <v>0.88888888888888884</v>
      </c>
      <c r="BG86">
        <f>survey_responses[[#This Row],[Sau khi xem xét các quyền lợi và nghĩa vụ, bạn có ủng hộ và tuân thủ chính sách mới hiện nay? - HUMAN-OUT1]]</f>
        <v>8</v>
      </c>
      <c r="BH86">
        <f t="shared" si="52"/>
        <v>0.77777777777777779</v>
      </c>
      <c r="BI86" s="32">
        <f t="shared" si="53"/>
        <v>1</v>
      </c>
    </row>
    <row r="87" spans="1:61" x14ac:dyDescent="0.45">
      <c r="A87" s="30">
        <f>step3_validation[[#This Row],[Persona_ID]]</f>
        <v>86</v>
      </c>
      <c r="B87" s="31">
        <f>step3_validation[[#This Row],[Used_Seed]]</f>
        <v>86</v>
      </c>
      <c r="C87" t="str">
        <f>step3_validation[[#This Row],[Gender]]</f>
        <v>Nam</v>
      </c>
      <c r="D87" t="str">
        <f>survey_responses[[#This Row],[Giới tính của bạn:]]</f>
        <v>Nam</v>
      </c>
      <c r="E87" t="str">
        <f>step3_validation[[#This Row],[Age_Group]]</f>
        <v>30 - 39</v>
      </c>
      <c r="F87" t="str">
        <f>survey_responses[[#This Row],[Độ tuổi của bạn:]]</f>
        <v>30 - 39</v>
      </c>
      <c r="G87" t="str">
        <f>step3_validation[[#This Row],[Region]]</f>
        <v>Nông thôn</v>
      </c>
      <c r="H87" t="str">
        <f>survey_responses[[#This Row],[Khu vực bạn đang sinh sống:]]</f>
        <v>Nông thôn</v>
      </c>
      <c r="I87" t="str">
        <f>step3_validation[[#This Row],[Education]]</f>
        <v>Đại học</v>
      </c>
      <c r="J87" t="str">
        <f>survey_responses[[#This Row],[Trình độ học vấn cao nhất:]]</f>
        <v>Đại học</v>
      </c>
      <c r="K87" t="str">
        <f>step3_validation[[#This Row],[Employment]]</f>
        <v>Chính thức</v>
      </c>
      <c r="L87" t="str">
        <f>survey_responses[[#This Row],[Tình trạng việc làm chính:]]</f>
        <v>Khu vực chính thức (Có Hợp đồng lao động, đóng BHXH)</v>
      </c>
      <c r="M87">
        <f>step3_validation[[#This Row],[Income_Mil]]</f>
        <v>15.077311591428918</v>
      </c>
      <c r="N87" t="str">
        <f>survey_responses[[#This Row],[Thu nhập bình quân tháng theo Hợp đồng lao động của bạn là bao nhiêu? (Vui lòng điền tổng thu nhập trước khi khấu trừ các loại Bảo hiểm (BHXH, BHYT, BHTN) và Thuế TNCN)]]</f>
        <v>Từ 12 - 18 triệu VNĐ</v>
      </c>
      <c r="O87">
        <f>step3_validation[[#This Row],[Dependents]]</f>
        <v>0</v>
      </c>
      <c r="P87" t="str">
        <f>survey_responses[[#This Row],[Số người phụ thuộc (con nhỏ, cha mẹ già...) đủ điều kiện giảm trừ gia cảnh:]]</f>
        <v>0 người</v>
      </c>
      <c r="Q87">
        <f>step3_validation[[#This Row],[AI_ENF1]]</f>
        <v>6</v>
      </c>
      <c r="R87">
        <f t="shared" si="27"/>
        <v>0.55555555555555558</v>
      </c>
      <c r="S87">
        <f>survey_responses[[#This Row],[Tôi tin rằng với các quy định quản lý thuế hiện nay, hành vi gian lận hoặc trốn thuế sẽ dễ dàng bị phát hiện và xử lý nghiêm. - HUMAN-ENF1]]</f>
        <v>5</v>
      </c>
      <c r="T87">
        <f t="shared" si="28"/>
        <v>0.44444444444444442</v>
      </c>
      <c r="U87">
        <f>step3_validation[[#This Row],[AI_ENF2]]</f>
        <v>6</v>
      </c>
      <c r="V87">
        <f t="shared" si="29"/>
        <v>0.55555555555555558</v>
      </c>
      <c r="W87">
        <f>survey_responses[[#This Row],[Tôi tin rằng Nhà nước, cơ quan thuế có đủ khả năng và công nghệ để phát hiện, xử lý nghiêm các hành vi trốn thuế. - HUMAN-ENF2]]</f>
        <v>5</v>
      </c>
      <c r="X87">
        <f t="shared" si="30"/>
        <v>0.44444444444444442</v>
      </c>
      <c r="Y87" s="32">
        <f t="shared" si="31"/>
        <v>0.55555555555555558</v>
      </c>
      <c r="Z87" s="32">
        <f t="shared" si="32"/>
        <v>0.44444444444444442</v>
      </c>
      <c r="AA87">
        <f>step3_validation[[#This Row],[AI_FAC1]]</f>
        <v>9</v>
      </c>
      <c r="AB87">
        <f t="shared" si="33"/>
        <v>0.88888888888888884</v>
      </c>
      <c r="AC87">
        <f>survey_responses[[#This Row],[Các thủ tục khai báo thuế VÀ/HOẶC quy trình làm việc với cơ quan thuế đơn giản, tiện lợi, nhanh chóng hơn so với trước đây. - HUMAN-FAC1]]</f>
        <v>10</v>
      </c>
      <c r="AD87">
        <f t="shared" si="34"/>
        <v>1</v>
      </c>
      <c r="AE87">
        <f>step3_validation[[#This Row],[AI_FAC2]]</f>
        <v>9</v>
      </c>
      <c r="AF87">
        <f t="shared" si="35"/>
        <v>0.88888888888888884</v>
      </c>
      <c r="AG87">
        <f>survey_responses[[#This Row],[So với trước đây, tôi thấy cách tính thuế và các bậc thuế trong phương án mới đơn giản, dễ hiểu và dễ thực hiện hơn. - HUMAN-FAC2]]</f>
        <v>4</v>
      </c>
      <c r="AH87">
        <f t="shared" si="36"/>
        <v>0.33333333333333331</v>
      </c>
      <c r="AI87" s="32">
        <f t="shared" si="37"/>
        <v>0.88888888888888884</v>
      </c>
      <c r="AJ87" s="32">
        <f t="shared" si="38"/>
        <v>0.66666666666666663</v>
      </c>
      <c r="AK87">
        <f>step3_validation[[#This Row],[AI_TRU1]]</f>
        <v>8</v>
      </c>
      <c r="AL87">
        <f t="shared" si="39"/>
        <v>0.77777777777777779</v>
      </c>
      <c r="AM87">
        <f>survey_responses[[#This Row],[Tôi tin rằng Nhà nước, cơ quan thuế sẽ thực thi chính sách mới một cách khách quan, công tâm và đối xử bình đẳng với mọi người nộp thuế.  - HUMAN-TRU1]]</f>
        <v>4</v>
      </c>
      <c r="AN87">
        <f t="shared" si="40"/>
        <v>0.33333333333333331</v>
      </c>
      <c r="AO87">
        <f>step3_validation[[#This Row],[AI_TRU2]]</f>
        <v>7</v>
      </c>
      <c r="AP87">
        <f t="shared" si="41"/>
        <v>0.66666666666666663</v>
      </c>
      <c r="AQ87">
        <f>survey_responses[[#This Row],[Tôi thấy mức thuế tôi phải đóng theo phương án mới là công bằng (người thu nhập như tôi đóng mức này là hợp lý). - HUMAN-TRU2]]</f>
        <v>5</v>
      </c>
      <c r="AR87">
        <f t="shared" si="42"/>
        <v>0.44444444444444442</v>
      </c>
      <c r="AS87">
        <f>step3_validation[[#This Row],[AI_TRU3]]</f>
        <v>8</v>
      </c>
      <c r="AT87">
        <f t="shared" si="43"/>
        <v>0.77777777777777779</v>
      </c>
      <c r="AU87">
        <f>survey_responses[[#This Row],[Tôi tin tưởng số tiền thuế tôi đóng sẽ được Nhà nước sử dụng hiệu quả để cải thiện dịch vụ công (y tế, đường xá...). - HUMAN-TRU3]]</f>
        <v>5</v>
      </c>
      <c r="AV87">
        <f t="shared" si="44"/>
        <v>0.44444444444444442</v>
      </c>
      <c r="AW87">
        <f>step3_validation[[#This Row],[AI_TRU4]]</f>
        <v>7</v>
      </c>
      <c r="AX87">
        <f t="shared" si="45"/>
        <v>0.66666666666666663</v>
      </c>
      <c r="AY87">
        <f>survey_responses[[#This Row],[Tôi thấy Nhà nước đã giải thích rõ ràng, minh bạch về lý do và mục tiêu của việc sửa đổi thuế lần này. - HUMAN-TRU4]]</f>
        <v>8</v>
      </c>
      <c r="AZ87">
        <f t="shared" si="46"/>
        <v>0.77777777777777779</v>
      </c>
      <c r="BA87" s="32">
        <f t="shared" si="47"/>
        <v>0.72222222222222221</v>
      </c>
      <c r="BB87" s="32">
        <f t="shared" si="48"/>
        <v>0.5</v>
      </c>
      <c r="BC87" s="7">
        <f t="shared" si="49"/>
        <v>0.72222222222222221</v>
      </c>
      <c r="BD87" s="7">
        <f t="shared" si="50"/>
        <v>0.53703703703703709</v>
      </c>
      <c r="BE87">
        <f>step3_validation[[#This Row],[AI_OUT1]]</f>
        <v>9</v>
      </c>
      <c r="BF87">
        <f t="shared" si="51"/>
        <v>0.88888888888888884</v>
      </c>
      <c r="BG87">
        <f>survey_responses[[#This Row],[Sau khi xem xét các quyền lợi và nghĩa vụ, bạn có ủng hộ và tuân thủ chính sách mới hiện nay? - HUMAN-OUT1]]</f>
        <v>8</v>
      </c>
      <c r="BH87">
        <f t="shared" si="52"/>
        <v>0.77777777777777779</v>
      </c>
      <c r="BI87" s="32">
        <f t="shared" si="53"/>
        <v>1</v>
      </c>
    </row>
    <row r="88" spans="1:61" x14ac:dyDescent="0.45">
      <c r="A88" s="30">
        <f>step3_validation[[#This Row],[Persona_ID]]</f>
        <v>87</v>
      </c>
      <c r="B88" s="31">
        <f>step3_validation[[#This Row],[Used_Seed]]</f>
        <v>87</v>
      </c>
      <c r="C88" t="str">
        <f>step3_validation[[#This Row],[Gender]]</f>
        <v>Nam</v>
      </c>
      <c r="D88" t="str">
        <f>survey_responses[[#This Row],[Giới tính của bạn:]]</f>
        <v>Nam</v>
      </c>
      <c r="E88" t="str">
        <f>step3_validation[[#This Row],[Age_Group]]</f>
        <v>40 - 49</v>
      </c>
      <c r="F88" t="str">
        <f>survey_responses[[#This Row],[Độ tuổi của bạn:]]</f>
        <v>40 - 49</v>
      </c>
      <c r="G88" t="str">
        <f>step3_validation[[#This Row],[Region]]</f>
        <v>Thành thị</v>
      </c>
      <c r="H88" t="str">
        <f>survey_responses[[#This Row],[Khu vực bạn đang sinh sống:]]</f>
        <v>Thành thị</v>
      </c>
      <c r="I88" t="str">
        <f>step3_validation[[#This Row],[Education]]</f>
        <v>Đại học</v>
      </c>
      <c r="J88" t="str">
        <f>survey_responses[[#This Row],[Trình độ học vấn cao nhất:]]</f>
        <v>Đại học</v>
      </c>
      <c r="K88" t="str">
        <f>step3_validation[[#This Row],[Employment]]</f>
        <v>Chính thức</v>
      </c>
      <c r="L88" t="str">
        <f>survey_responses[[#This Row],[Tình trạng việc làm chính:]]</f>
        <v>Khu vực chính thức (Có Hợp đồng lao động, đóng BHXH)</v>
      </c>
      <c r="M88">
        <f>step3_validation[[#This Row],[Income_Mil]]</f>
        <v>14.853782152076599</v>
      </c>
      <c r="N88" t="str">
        <f>survey_responses[[#This Row],[Thu nhập bình quân tháng theo Hợp đồng lao động của bạn là bao nhiêu? (Vui lòng điền tổng thu nhập trước khi khấu trừ các loại Bảo hiểm (BHXH, BHYT, BHTN) và Thuế TNCN)]]</f>
        <v>Từ 12 - 18 triệu VNĐ</v>
      </c>
      <c r="O88">
        <f>step3_validation[[#This Row],[Dependents]]</f>
        <v>2</v>
      </c>
      <c r="P88" t="str">
        <f>survey_responses[[#This Row],[Số người phụ thuộc (con nhỏ, cha mẹ già...) đủ điều kiện giảm trừ gia cảnh:]]</f>
        <v>2 người</v>
      </c>
      <c r="Q88">
        <f>step3_validation[[#This Row],[AI_ENF1]]</f>
        <v>7</v>
      </c>
      <c r="R88">
        <f t="shared" si="27"/>
        <v>0.66666666666666663</v>
      </c>
      <c r="S88">
        <f>survey_responses[[#This Row],[Tôi tin rằng với các quy định quản lý thuế hiện nay, hành vi gian lận hoặc trốn thuế sẽ dễ dàng bị phát hiện và xử lý nghiêm. - HUMAN-ENF1]]</f>
        <v>10</v>
      </c>
      <c r="T88">
        <f t="shared" si="28"/>
        <v>1</v>
      </c>
      <c r="U88">
        <f>step3_validation[[#This Row],[AI_ENF2]]</f>
        <v>6</v>
      </c>
      <c r="V88">
        <f t="shared" si="29"/>
        <v>0.55555555555555558</v>
      </c>
      <c r="W88">
        <f>survey_responses[[#This Row],[Tôi tin rằng Nhà nước, cơ quan thuế có đủ khả năng và công nghệ để phát hiện, xử lý nghiêm các hành vi trốn thuế. - HUMAN-ENF2]]</f>
        <v>9</v>
      </c>
      <c r="X88">
        <f t="shared" si="30"/>
        <v>0.88888888888888884</v>
      </c>
      <c r="Y88" s="32">
        <f t="shared" si="31"/>
        <v>0.61111111111111116</v>
      </c>
      <c r="Z88" s="32">
        <f t="shared" si="32"/>
        <v>0.94444444444444442</v>
      </c>
      <c r="AA88">
        <f>step3_validation[[#This Row],[AI_FAC1]]</f>
        <v>8</v>
      </c>
      <c r="AB88">
        <f t="shared" si="33"/>
        <v>0.77777777777777779</v>
      </c>
      <c r="AC88">
        <f>survey_responses[[#This Row],[Các thủ tục khai báo thuế VÀ/HOẶC quy trình làm việc với cơ quan thuế đơn giản, tiện lợi, nhanh chóng hơn so với trước đây. - HUMAN-FAC1]]</f>
        <v>9</v>
      </c>
      <c r="AD88">
        <f t="shared" si="34"/>
        <v>0.88888888888888884</v>
      </c>
      <c r="AE88">
        <f>step3_validation[[#This Row],[AI_FAC2]]</f>
        <v>9</v>
      </c>
      <c r="AF88">
        <f t="shared" si="35"/>
        <v>0.88888888888888884</v>
      </c>
      <c r="AG88">
        <f>survey_responses[[#This Row],[So với trước đây, tôi thấy cách tính thuế và các bậc thuế trong phương án mới đơn giản, dễ hiểu và dễ thực hiện hơn. - HUMAN-FAC2]]</f>
        <v>9</v>
      </c>
      <c r="AH88">
        <f t="shared" si="36"/>
        <v>0.88888888888888884</v>
      </c>
      <c r="AI88" s="32">
        <f t="shared" si="37"/>
        <v>0.83333333333333326</v>
      </c>
      <c r="AJ88" s="32">
        <f t="shared" si="38"/>
        <v>0.88888888888888884</v>
      </c>
      <c r="AK88">
        <f>step3_validation[[#This Row],[AI_TRU1]]</f>
        <v>7</v>
      </c>
      <c r="AL88">
        <f t="shared" si="39"/>
        <v>0.66666666666666663</v>
      </c>
      <c r="AM88">
        <f>survey_responses[[#This Row],[Tôi tin rằng Nhà nước, cơ quan thuế sẽ thực thi chính sách mới một cách khách quan, công tâm và đối xử bình đẳng với mọi người nộp thuế.  - HUMAN-TRU1]]</f>
        <v>9</v>
      </c>
      <c r="AN88">
        <f t="shared" si="40"/>
        <v>0.88888888888888884</v>
      </c>
      <c r="AO88">
        <f>step3_validation[[#This Row],[AI_TRU2]]</f>
        <v>8</v>
      </c>
      <c r="AP88">
        <f t="shared" si="41"/>
        <v>0.77777777777777779</v>
      </c>
      <c r="AQ88">
        <f>survey_responses[[#This Row],[Tôi thấy mức thuế tôi phải đóng theo phương án mới là công bằng (người thu nhập như tôi đóng mức này là hợp lý). - HUMAN-TRU2]]</f>
        <v>9</v>
      </c>
      <c r="AR88">
        <f t="shared" si="42"/>
        <v>0.88888888888888884</v>
      </c>
      <c r="AS88">
        <f>step3_validation[[#This Row],[AI_TRU3]]</f>
        <v>7</v>
      </c>
      <c r="AT88">
        <f t="shared" si="43"/>
        <v>0.66666666666666663</v>
      </c>
      <c r="AU88">
        <f>survey_responses[[#This Row],[Tôi tin tưởng số tiền thuế tôi đóng sẽ được Nhà nước sử dụng hiệu quả để cải thiện dịch vụ công (y tế, đường xá...). - HUMAN-TRU3]]</f>
        <v>10</v>
      </c>
      <c r="AV88">
        <f t="shared" si="44"/>
        <v>1</v>
      </c>
      <c r="AW88">
        <f>step3_validation[[#This Row],[AI_TRU4]]</f>
        <v>8</v>
      </c>
      <c r="AX88">
        <f t="shared" si="45"/>
        <v>0.77777777777777779</v>
      </c>
      <c r="AY88">
        <f>survey_responses[[#This Row],[Tôi thấy Nhà nước đã giải thích rõ ràng, minh bạch về lý do và mục tiêu của việc sửa đổi thuế lần này. - HUMAN-TRU4]]</f>
        <v>9</v>
      </c>
      <c r="AZ88">
        <f t="shared" si="46"/>
        <v>0.88888888888888884</v>
      </c>
      <c r="BA88" s="32">
        <f t="shared" si="47"/>
        <v>0.72222222222222221</v>
      </c>
      <c r="BB88" s="32">
        <f t="shared" si="48"/>
        <v>0.91666666666666663</v>
      </c>
      <c r="BC88" s="7">
        <f t="shared" si="49"/>
        <v>0.72222222222222221</v>
      </c>
      <c r="BD88" s="7">
        <f t="shared" si="50"/>
        <v>0.91666666666666663</v>
      </c>
      <c r="BE88">
        <f>step3_validation[[#This Row],[AI_OUT1]]</f>
        <v>7</v>
      </c>
      <c r="BF88">
        <f t="shared" si="51"/>
        <v>0.66666666666666663</v>
      </c>
      <c r="BG88">
        <f>survey_responses[[#This Row],[Sau khi xem xét các quyền lợi và nghĩa vụ, bạn có ủng hộ và tuân thủ chính sách mới hiện nay? - HUMAN-OUT1]]</f>
        <v>10</v>
      </c>
      <c r="BH88">
        <f t="shared" si="52"/>
        <v>1</v>
      </c>
      <c r="BI88" s="32">
        <f t="shared" si="53"/>
        <v>3</v>
      </c>
    </row>
    <row r="89" spans="1:61" x14ac:dyDescent="0.45">
      <c r="A89" s="30">
        <f>step3_validation[[#This Row],[Persona_ID]]</f>
        <v>88</v>
      </c>
      <c r="B89" s="31">
        <f>step3_validation[[#This Row],[Used_Seed]]</f>
        <v>88</v>
      </c>
      <c r="C89" t="str">
        <f>step3_validation[[#This Row],[Gender]]</f>
        <v>Nữ</v>
      </c>
      <c r="D89" t="str">
        <f>survey_responses[[#This Row],[Giới tính của bạn:]]</f>
        <v>Nữ</v>
      </c>
      <c r="E89" t="str">
        <f>step3_validation[[#This Row],[Age_Group]]</f>
        <v>40 - 49</v>
      </c>
      <c r="F89" t="str">
        <f>survey_responses[[#This Row],[Độ tuổi của bạn:]]</f>
        <v>40 - 49</v>
      </c>
      <c r="G89" t="str">
        <f>step3_validation[[#This Row],[Region]]</f>
        <v>Thành thị</v>
      </c>
      <c r="H89" t="str">
        <f>survey_responses[[#This Row],[Khu vực bạn đang sinh sống:]]</f>
        <v>Thành thị</v>
      </c>
      <c r="I89" t="str">
        <f>step3_validation[[#This Row],[Education]]</f>
        <v>Trung học phổ thông</v>
      </c>
      <c r="J89" t="str">
        <f>survey_responses[[#This Row],[Trình độ học vấn cao nhất:]]</f>
        <v>Trung học phổ thông</v>
      </c>
      <c r="K89" t="str">
        <f>step3_validation[[#This Row],[Employment]]</f>
        <v>Chính thức</v>
      </c>
      <c r="L89" t="str">
        <f>survey_responses[[#This Row],[Tình trạng việc làm chính:]]</f>
        <v>Khu vực chính thức (Có Hợp đồng lao động, đóng BHXH)</v>
      </c>
      <c r="M89">
        <f>step3_validation[[#This Row],[Income_Mil]]</f>
        <v>12</v>
      </c>
      <c r="N89" t="str">
        <f>survey_responses[[#This Row],[Thu nhập bình quân tháng theo Hợp đồng lao động của bạn là bao nhiêu? (Vui lòng điền tổng thu nhập trước khi khấu trừ các loại Bảo hiểm (BHXH, BHYT, BHTN) và Thuế TNCN)]]</f>
        <v>Dưới 12 triệu VNĐ</v>
      </c>
      <c r="O89">
        <f>step3_validation[[#This Row],[Dependents]]</f>
        <v>2</v>
      </c>
      <c r="P89" t="str">
        <f>survey_responses[[#This Row],[Số người phụ thuộc (con nhỏ, cha mẹ già...) đủ điều kiện giảm trừ gia cảnh:]]</f>
        <v>2 người</v>
      </c>
      <c r="Q89">
        <f>step3_validation[[#This Row],[AI_ENF1]]</f>
        <v>8</v>
      </c>
      <c r="R89">
        <f t="shared" si="27"/>
        <v>0.77777777777777779</v>
      </c>
      <c r="S89">
        <f>survey_responses[[#This Row],[Tôi tin rằng với các quy định quản lý thuế hiện nay, hành vi gian lận hoặc trốn thuế sẽ dễ dàng bị phát hiện và xử lý nghiêm. - HUMAN-ENF1]]</f>
        <v>10</v>
      </c>
      <c r="T89">
        <f t="shared" si="28"/>
        <v>1</v>
      </c>
      <c r="U89">
        <f>step3_validation[[#This Row],[AI_ENF2]]</f>
        <v>9</v>
      </c>
      <c r="V89">
        <f t="shared" si="29"/>
        <v>0.88888888888888884</v>
      </c>
      <c r="W89">
        <f>survey_responses[[#This Row],[Tôi tin rằng Nhà nước, cơ quan thuế có đủ khả năng và công nghệ để phát hiện, xử lý nghiêm các hành vi trốn thuế. - HUMAN-ENF2]]</f>
        <v>10</v>
      </c>
      <c r="X89">
        <f t="shared" si="30"/>
        <v>1</v>
      </c>
      <c r="Y89" s="32">
        <f t="shared" si="31"/>
        <v>0.83333333333333326</v>
      </c>
      <c r="Z89" s="32">
        <f t="shared" si="32"/>
        <v>1</v>
      </c>
      <c r="AA89">
        <f>step3_validation[[#This Row],[AI_FAC1]]</f>
        <v>8</v>
      </c>
      <c r="AB89">
        <f t="shared" si="33"/>
        <v>0.77777777777777779</v>
      </c>
      <c r="AC89">
        <f>survey_responses[[#This Row],[Các thủ tục khai báo thuế VÀ/HOẶC quy trình làm việc với cơ quan thuế đơn giản, tiện lợi, nhanh chóng hơn so với trước đây. - HUMAN-FAC1]]</f>
        <v>10</v>
      </c>
      <c r="AD89">
        <f t="shared" si="34"/>
        <v>1</v>
      </c>
      <c r="AE89">
        <f>step3_validation[[#This Row],[AI_FAC2]]</f>
        <v>9</v>
      </c>
      <c r="AF89">
        <f t="shared" si="35"/>
        <v>0.88888888888888884</v>
      </c>
      <c r="AG89">
        <f>survey_responses[[#This Row],[So với trước đây, tôi thấy cách tính thuế và các bậc thuế trong phương án mới đơn giản, dễ hiểu và dễ thực hiện hơn. - HUMAN-FAC2]]</f>
        <v>10</v>
      </c>
      <c r="AH89">
        <f t="shared" si="36"/>
        <v>1</v>
      </c>
      <c r="AI89" s="32">
        <f t="shared" si="37"/>
        <v>0.83333333333333326</v>
      </c>
      <c r="AJ89" s="32">
        <f t="shared" si="38"/>
        <v>1</v>
      </c>
      <c r="AK89">
        <f>step3_validation[[#This Row],[AI_TRU1]]</f>
        <v>8</v>
      </c>
      <c r="AL89">
        <f t="shared" si="39"/>
        <v>0.77777777777777779</v>
      </c>
      <c r="AM89">
        <f>survey_responses[[#This Row],[Tôi tin rằng Nhà nước, cơ quan thuế sẽ thực thi chính sách mới một cách khách quan, công tâm và đối xử bình đẳng với mọi người nộp thuế.  - HUMAN-TRU1]]</f>
        <v>10</v>
      </c>
      <c r="AN89">
        <f t="shared" si="40"/>
        <v>1</v>
      </c>
      <c r="AO89">
        <f>step3_validation[[#This Row],[AI_TRU2]]</f>
        <v>9</v>
      </c>
      <c r="AP89">
        <f t="shared" si="41"/>
        <v>0.88888888888888884</v>
      </c>
      <c r="AQ89">
        <f>survey_responses[[#This Row],[Tôi thấy mức thuế tôi phải đóng theo phương án mới là công bằng (người thu nhập như tôi đóng mức này là hợp lý). - HUMAN-TRU2]]</f>
        <v>10</v>
      </c>
      <c r="AR89">
        <f t="shared" si="42"/>
        <v>1</v>
      </c>
      <c r="AS89">
        <f>step3_validation[[#This Row],[AI_TRU3]]</f>
        <v>8</v>
      </c>
      <c r="AT89">
        <f t="shared" si="43"/>
        <v>0.77777777777777779</v>
      </c>
      <c r="AU89">
        <f>survey_responses[[#This Row],[Tôi tin tưởng số tiền thuế tôi đóng sẽ được Nhà nước sử dụng hiệu quả để cải thiện dịch vụ công (y tế, đường xá...). - HUMAN-TRU3]]</f>
        <v>10</v>
      </c>
      <c r="AV89">
        <f t="shared" si="44"/>
        <v>1</v>
      </c>
      <c r="AW89">
        <f>step3_validation[[#This Row],[AI_TRU4]]</f>
        <v>9</v>
      </c>
      <c r="AX89">
        <f t="shared" si="45"/>
        <v>0.88888888888888884</v>
      </c>
      <c r="AY89">
        <f>survey_responses[[#This Row],[Tôi thấy Nhà nước đã giải thích rõ ràng, minh bạch về lý do và mục tiêu của việc sửa đổi thuế lần này. - HUMAN-TRU4]]</f>
        <v>10</v>
      </c>
      <c r="AZ89">
        <f t="shared" si="46"/>
        <v>1</v>
      </c>
      <c r="BA89" s="32">
        <f t="shared" si="47"/>
        <v>0.83333333333333326</v>
      </c>
      <c r="BB89" s="32">
        <f t="shared" si="48"/>
        <v>1</v>
      </c>
      <c r="BC89" s="7">
        <f t="shared" si="49"/>
        <v>0.83333333333333337</v>
      </c>
      <c r="BD89" s="7">
        <f t="shared" si="50"/>
        <v>1</v>
      </c>
      <c r="BE89">
        <f>step3_validation[[#This Row],[AI_OUT1]]</f>
        <v>9</v>
      </c>
      <c r="BF89">
        <f t="shared" si="51"/>
        <v>0.88888888888888884</v>
      </c>
      <c r="BG89">
        <f>survey_responses[[#This Row],[Sau khi xem xét các quyền lợi và nghĩa vụ, bạn có ủng hộ và tuân thủ chính sách mới hiện nay? - HUMAN-OUT1]]</f>
        <v>10</v>
      </c>
      <c r="BH89">
        <f t="shared" si="52"/>
        <v>1</v>
      </c>
      <c r="BI89" s="32">
        <f t="shared" si="53"/>
        <v>1</v>
      </c>
    </row>
    <row r="90" spans="1:61" x14ac:dyDescent="0.45">
      <c r="A90" s="30">
        <f>step3_validation[[#This Row],[Persona_ID]]</f>
        <v>89</v>
      </c>
      <c r="B90" s="31">
        <f>step3_validation[[#This Row],[Used_Seed]]</f>
        <v>89</v>
      </c>
      <c r="C90" t="str">
        <f>step3_validation[[#This Row],[Gender]]</f>
        <v>Nữ</v>
      </c>
      <c r="D90" t="str">
        <f>survey_responses[[#This Row],[Giới tính của bạn:]]</f>
        <v>Nữ</v>
      </c>
      <c r="E90" t="str">
        <f>step3_validation[[#This Row],[Age_Group]]</f>
        <v>30 - 39</v>
      </c>
      <c r="F90" t="str">
        <f>survey_responses[[#This Row],[Độ tuổi của bạn:]]</f>
        <v>30 - 39</v>
      </c>
      <c r="G90" t="str">
        <f>step3_validation[[#This Row],[Region]]</f>
        <v>Thành thị</v>
      </c>
      <c r="H90" t="str">
        <f>survey_responses[[#This Row],[Khu vực bạn đang sinh sống:]]</f>
        <v>Thành thị</v>
      </c>
      <c r="I90" t="str">
        <f>step3_validation[[#This Row],[Education]]</f>
        <v>Cao đẳng</v>
      </c>
      <c r="J90" t="str">
        <f>survey_responses[[#This Row],[Trình độ học vấn cao nhất:]]</f>
        <v>Cao đẳng</v>
      </c>
      <c r="K90" t="str">
        <f>step3_validation[[#This Row],[Employment]]</f>
        <v>Chính thức</v>
      </c>
      <c r="L90" t="str">
        <f>survey_responses[[#This Row],[Tình trạng việc làm chính:]]</f>
        <v>Khu vực chính thức (Có Hợp đồng lao động, đóng BHXH)</v>
      </c>
      <c r="M90">
        <f>step3_validation[[#This Row],[Income_Mil]]</f>
        <v>12</v>
      </c>
      <c r="N90" t="str">
        <f>survey_responses[[#This Row],[Thu nhập bình quân tháng theo Hợp đồng lao động của bạn là bao nhiêu? (Vui lòng điền tổng thu nhập trước khi khấu trừ các loại Bảo hiểm (BHXH, BHYT, BHTN) và Thuế TNCN)]]</f>
        <v>Dưới 12 triệu VNĐ</v>
      </c>
      <c r="O90">
        <f>step3_validation[[#This Row],[Dependents]]</f>
        <v>1</v>
      </c>
      <c r="P90" t="str">
        <f>survey_responses[[#This Row],[Số người phụ thuộc (con nhỏ, cha mẹ già...) đủ điều kiện giảm trừ gia cảnh:]]</f>
        <v>1 người</v>
      </c>
      <c r="Q90">
        <f>step3_validation[[#This Row],[AI_ENF1]]</f>
        <v>7</v>
      </c>
      <c r="R90">
        <f t="shared" si="27"/>
        <v>0.66666666666666663</v>
      </c>
      <c r="S90">
        <f>survey_responses[[#This Row],[Tôi tin rằng với các quy định quản lý thuế hiện nay, hành vi gian lận hoặc trốn thuế sẽ dễ dàng bị phát hiện và xử lý nghiêm. - HUMAN-ENF1]]</f>
        <v>10</v>
      </c>
      <c r="T90">
        <f t="shared" si="28"/>
        <v>1</v>
      </c>
      <c r="U90">
        <f>step3_validation[[#This Row],[AI_ENF2]]</f>
        <v>6</v>
      </c>
      <c r="V90">
        <f t="shared" si="29"/>
        <v>0.55555555555555558</v>
      </c>
      <c r="W90">
        <f>survey_responses[[#This Row],[Tôi tin rằng Nhà nước, cơ quan thuế có đủ khả năng và công nghệ để phát hiện, xử lý nghiêm các hành vi trốn thuế. - HUMAN-ENF2]]</f>
        <v>9</v>
      </c>
      <c r="X90">
        <f t="shared" si="30"/>
        <v>0.88888888888888884</v>
      </c>
      <c r="Y90" s="32">
        <f t="shared" si="31"/>
        <v>0.61111111111111116</v>
      </c>
      <c r="Z90" s="32">
        <f t="shared" si="32"/>
        <v>0.94444444444444442</v>
      </c>
      <c r="AA90">
        <f>step3_validation[[#This Row],[AI_FAC1]]</f>
        <v>8</v>
      </c>
      <c r="AB90">
        <f t="shared" si="33"/>
        <v>0.77777777777777779</v>
      </c>
      <c r="AC90">
        <f>survey_responses[[#This Row],[Các thủ tục khai báo thuế VÀ/HOẶC quy trình làm việc với cơ quan thuế đơn giản, tiện lợi, nhanh chóng hơn so với trước đây. - HUMAN-FAC1]]</f>
        <v>9</v>
      </c>
      <c r="AD90">
        <f t="shared" si="34"/>
        <v>0.88888888888888884</v>
      </c>
      <c r="AE90">
        <f>step3_validation[[#This Row],[AI_FAC2]]</f>
        <v>9</v>
      </c>
      <c r="AF90">
        <f t="shared" si="35"/>
        <v>0.88888888888888884</v>
      </c>
      <c r="AG90">
        <f>survey_responses[[#This Row],[So với trước đây, tôi thấy cách tính thuế và các bậc thuế trong phương án mới đơn giản, dễ hiểu và dễ thực hiện hơn. - HUMAN-FAC2]]</f>
        <v>9</v>
      </c>
      <c r="AH90">
        <f t="shared" si="36"/>
        <v>0.88888888888888884</v>
      </c>
      <c r="AI90" s="32">
        <f t="shared" si="37"/>
        <v>0.83333333333333326</v>
      </c>
      <c r="AJ90" s="32">
        <f t="shared" si="38"/>
        <v>0.88888888888888884</v>
      </c>
      <c r="AK90">
        <f>step3_validation[[#This Row],[AI_TRU1]]</f>
        <v>8</v>
      </c>
      <c r="AL90">
        <f t="shared" si="39"/>
        <v>0.77777777777777779</v>
      </c>
      <c r="AM90">
        <f>survey_responses[[#This Row],[Tôi tin rằng Nhà nước, cơ quan thuế sẽ thực thi chính sách mới một cách khách quan, công tâm và đối xử bình đẳng với mọi người nộp thuế.  - HUMAN-TRU1]]</f>
        <v>10</v>
      </c>
      <c r="AN90">
        <f t="shared" si="40"/>
        <v>1</v>
      </c>
      <c r="AO90">
        <f>step3_validation[[#This Row],[AI_TRU2]]</f>
        <v>9</v>
      </c>
      <c r="AP90">
        <f t="shared" si="41"/>
        <v>0.88888888888888884</v>
      </c>
      <c r="AQ90">
        <f>survey_responses[[#This Row],[Tôi thấy mức thuế tôi phải đóng theo phương án mới là công bằng (người thu nhập như tôi đóng mức này là hợp lý). - HUMAN-TRU2]]</f>
        <v>9</v>
      </c>
      <c r="AR90">
        <f t="shared" si="42"/>
        <v>0.88888888888888884</v>
      </c>
      <c r="AS90">
        <f>step3_validation[[#This Row],[AI_TRU3]]</f>
        <v>8</v>
      </c>
      <c r="AT90">
        <f t="shared" si="43"/>
        <v>0.77777777777777779</v>
      </c>
      <c r="AU90">
        <f>survey_responses[[#This Row],[Tôi tin tưởng số tiền thuế tôi đóng sẽ được Nhà nước sử dụng hiệu quả để cải thiện dịch vụ công (y tế, đường xá...). - HUMAN-TRU3]]</f>
        <v>9</v>
      </c>
      <c r="AV90">
        <f t="shared" si="44"/>
        <v>0.88888888888888884</v>
      </c>
      <c r="AW90">
        <f>step3_validation[[#This Row],[AI_TRU4]]</f>
        <v>7</v>
      </c>
      <c r="AX90">
        <f t="shared" si="45"/>
        <v>0.66666666666666663</v>
      </c>
      <c r="AY90">
        <f>survey_responses[[#This Row],[Tôi thấy Nhà nước đã giải thích rõ ràng, minh bạch về lý do và mục tiêu của việc sửa đổi thuế lần này. - HUMAN-TRU4]]</f>
        <v>8</v>
      </c>
      <c r="AZ90">
        <f t="shared" si="46"/>
        <v>0.77777777777777779</v>
      </c>
      <c r="BA90" s="32">
        <f t="shared" si="47"/>
        <v>0.77777777777777768</v>
      </c>
      <c r="BB90" s="32">
        <f t="shared" si="48"/>
        <v>0.88888888888888884</v>
      </c>
      <c r="BC90" s="7">
        <f t="shared" si="49"/>
        <v>0.74074074074074081</v>
      </c>
      <c r="BD90" s="7">
        <f t="shared" si="50"/>
        <v>0.90740740740740744</v>
      </c>
      <c r="BE90">
        <f>step3_validation[[#This Row],[AI_OUT1]]</f>
        <v>9</v>
      </c>
      <c r="BF90">
        <f t="shared" si="51"/>
        <v>0.88888888888888884</v>
      </c>
      <c r="BG90">
        <f>survey_responses[[#This Row],[Sau khi xem xét các quyền lợi và nghĩa vụ, bạn có ủng hộ và tuân thủ chính sách mới hiện nay? - HUMAN-OUT1]]</f>
        <v>9</v>
      </c>
      <c r="BH90">
        <f t="shared" si="52"/>
        <v>0.88888888888888884</v>
      </c>
      <c r="BI90" s="32">
        <f t="shared" si="53"/>
        <v>0</v>
      </c>
    </row>
    <row r="91" spans="1:61" x14ac:dyDescent="0.45">
      <c r="A91" s="30">
        <f>step3_validation[[#This Row],[Persona_ID]]</f>
        <v>90</v>
      </c>
      <c r="B91" s="31">
        <f>step3_validation[[#This Row],[Used_Seed]]</f>
        <v>90</v>
      </c>
      <c r="C91" t="str">
        <f>step3_validation[[#This Row],[Gender]]</f>
        <v>Nữ</v>
      </c>
      <c r="D91" t="str">
        <f>survey_responses[[#This Row],[Giới tính của bạn:]]</f>
        <v>Nữ</v>
      </c>
      <c r="E91" t="str">
        <f>step3_validation[[#This Row],[Age_Group]]</f>
        <v>30 - 39</v>
      </c>
      <c r="F91" t="str">
        <f>survey_responses[[#This Row],[Độ tuổi của bạn:]]</f>
        <v>30 - 39</v>
      </c>
      <c r="G91" t="str">
        <f>step3_validation[[#This Row],[Region]]</f>
        <v>Nông thôn</v>
      </c>
      <c r="H91" t="str">
        <f>survey_responses[[#This Row],[Khu vực bạn đang sinh sống:]]</f>
        <v>Nông thôn</v>
      </c>
      <c r="I91" t="str">
        <f>step3_validation[[#This Row],[Education]]</f>
        <v>Đại học</v>
      </c>
      <c r="J91" t="str">
        <f>survey_responses[[#This Row],[Trình độ học vấn cao nhất:]]</f>
        <v>Đại học</v>
      </c>
      <c r="K91" t="str">
        <f>step3_validation[[#This Row],[Employment]]</f>
        <v>Chính thức</v>
      </c>
      <c r="L91" t="str">
        <f>survey_responses[[#This Row],[Tình trạng việc làm chính:]]</f>
        <v>Khu vực chính thức (Có Hợp đồng lao động, đóng BHXH)</v>
      </c>
      <c r="M91">
        <f>step3_validation[[#This Row],[Income_Mil]]</f>
        <v>12</v>
      </c>
      <c r="N91" t="str">
        <f>survey_responses[[#This Row],[Thu nhập bình quân tháng theo Hợp đồng lao động của bạn là bao nhiêu? (Vui lòng điền tổng thu nhập trước khi khấu trừ các loại Bảo hiểm (BHXH, BHYT, BHTN) và Thuế TNCN)]]</f>
        <v>Dưới 12 triệu VNĐ</v>
      </c>
      <c r="O91">
        <f>step3_validation[[#This Row],[Dependents]]</f>
        <v>4</v>
      </c>
      <c r="P91" t="str">
        <f>survey_responses[[#This Row],[Số người phụ thuộc (con nhỏ, cha mẹ già...) đủ điều kiện giảm trừ gia cảnh:]]</f>
        <v>4 người trở lên</v>
      </c>
      <c r="Q91">
        <f>step3_validation[[#This Row],[AI_ENF1]]</f>
        <v>7</v>
      </c>
      <c r="R91">
        <f t="shared" si="27"/>
        <v>0.66666666666666663</v>
      </c>
      <c r="S91">
        <f>survey_responses[[#This Row],[Tôi tin rằng với các quy định quản lý thuế hiện nay, hành vi gian lận hoặc trốn thuế sẽ dễ dàng bị phát hiện và xử lý nghiêm. - HUMAN-ENF1]]</f>
        <v>6</v>
      </c>
      <c r="T91">
        <f t="shared" si="28"/>
        <v>0.55555555555555558</v>
      </c>
      <c r="U91">
        <f>step3_validation[[#This Row],[AI_ENF2]]</f>
        <v>8</v>
      </c>
      <c r="V91">
        <f t="shared" si="29"/>
        <v>0.77777777777777779</v>
      </c>
      <c r="W91">
        <f>survey_responses[[#This Row],[Tôi tin rằng Nhà nước, cơ quan thuế có đủ khả năng và công nghệ để phát hiện, xử lý nghiêm các hành vi trốn thuế. - HUMAN-ENF2]]</f>
        <v>10</v>
      </c>
      <c r="X91">
        <f t="shared" si="30"/>
        <v>1</v>
      </c>
      <c r="Y91" s="32">
        <f t="shared" si="31"/>
        <v>0.72222222222222221</v>
      </c>
      <c r="Z91" s="32">
        <f t="shared" si="32"/>
        <v>0.77777777777777779</v>
      </c>
      <c r="AA91">
        <f>step3_validation[[#This Row],[AI_FAC1]]</f>
        <v>9</v>
      </c>
      <c r="AB91">
        <f t="shared" si="33"/>
        <v>0.88888888888888884</v>
      </c>
      <c r="AC91">
        <f>survey_responses[[#This Row],[Các thủ tục khai báo thuế VÀ/HOẶC quy trình làm việc với cơ quan thuế đơn giản, tiện lợi, nhanh chóng hơn so với trước đây. - HUMAN-FAC1]]</f>
        <v>8</v>
      </c>
      <c r="AD91">
        <f t="shared" si="34"/>
        <v>0.77777777777777779</v>
      </c>
      <c r="AE91">
        <f>step3_validation[[#This Row],[AI_FAC2]]</f>
        <v>9</v>
      </c>
      <c r="AF91">
        <f t="shared" si="35"/>
        <v>0.88888888888888884</v>
      </c>
      <c r="AG91">
        <f>survey_responses[[#This Row],[So với trước đây, tôi thấy cách tính thuế và các bậc thuế trong phương án mới đơn giản, dễ hiểu và dễ thực hiện hơn. - HUMAN-FAC2]]</f>
        <v>9</v>
      </c>
      <c r="AH91">
        <f t="shared" si="36"/>
        <v>0.88888888888888884</v>
      </c>
      <c r="AI91" s="32">
        <f t="shared" si="37"/>
        <v>0.88888888888888884</v>
      </c>
      <c r="AJ91" s="32">
        <f t="shared" si="38"/>
        <v>0.83333333333333326</v>
      </c>
      <c r="AK91">
        <f>step3_validation[[#This Row],[AI_TRU1]]</f>
        <v>8</v>
      </c>
      <c r="AL91">
        <f t="shared" si="39"/>
        <v>0.77777777777777779</v>
      </c>
      <c r="AM91">
        <f>survey_responses[[#This Row],[Tôi tin rằng Nhà nước, cơ quan thuế sẽ thực thi chính sách mới một cách khách quan, công tâm và đối xử bình đẳng với mọi người nộp thuế.  - HUMAN-TRU1]]</f>
        <v>9</v>
      </c>
      <c r="AN91">
        <f t="shared" si="40"/>
        <v>0.88888888888888884</v>
      </c>
      <c r="AO91">
        <f>step3_validation[[#This Row],[AI_TRU2]]</f>
        <v>9</v>
      </c>
      <c r="AP91">
        <f t="shared" si="41"/>
        <v>0.88888888888888884</v>
      </c>
      <c r="AQ91">
        <f>survey_responses[[#This Row],[Tôi thấy mức thuế tôi phải đóng theo phương án mới là công bằng (người thu nhập như tôi đóng mức này là hợp lý). - HUMAN-TRU2]]</f>
        <v>9</v>
      </c>
      <c r="AR91">
        <f t="shared" si="42"/>
        <v>0.88888888888888884</v>
      </c>
      <c r="AS91">
        <f>step3_validation[[#This Row],[AI_TRU3]]</f>
        <v>8</v>
      </c>
      <c r="AT91">
        <f t="shared" si="43"/>
        <v>0.77777777777777779</v>
      </c>
      <c r="AU91">
        <f>survey_responses[[#This Row],[Tôi tin tưởng số tiền thuế tôi đóng sẽ được Nhà nước sử dụng hiệu quả để cải thiện dịch vụ công (y tế, đường xá...). - HUMAN-TRU3]]</f>
        <v>8</v>
      </c>
      <c r="AV91">
        <f t="shared" si="44"/>
        <v>0.77777777777777779</v>
      </c>
      <c r="AW91">
        <f>step3_validation[[#This Row],[AI_TRU4]]</f>
        <v>9</v>
      </c>
      <c r="AX91">
        <f t="shared" si="45"/>
        <v>0.88888888888888884</v>
      </c>
      <c r="AY91">
        <f>survey_responses[[#This Row],[Tôi thấy Nhà nước đã giải thích rõ ràng, minh bạch về lý do và mục tiêu của việc sửa đổi thuế lần này. - HUMAN-TRU4]]</f>
        <v>8</v>
      </c>
      <c r="AZ91">
        <f t="shared" si="46"/>
        <v>0.77777777777777779</v>
      </c>
      <c r="BA91" s="32">
        <f t="shared" si="47"/>
        <v>0.83333333333333326</v>
      </c>
      <c r="BB91" s="32">
        <f t="shared" si="48"/>
        <v>0.83333333333333326</v>
      </c>
      <c r="BC91" s="7">
        <f t="shared" si="49"/>
        <v>0.81481481481481488</v>
      </c>
      <c r="BD91" s="7">
        <f t="shared" si="50"/>
        <v>0.81481481481481488</v>
      </c>
      <c r="BE91">
        <f>step3_validation[[#This Row],[AI_OUT1]]</f>
        <v>10</v>
      </c>
      <c r="BF91">
        <f t="shared" si="51"/>
        <v>1</v>
      </c>
      <c r="BG91">
        <f>survey_responses[[#This Row],[Sau khi xem xét các quyền lợi và nghĩa vụ, bạn có ủng hộ và tuân thủ chính sách mới hiện nay? - HUMAN-OUT1]]</f>
        <v>9</v>
      </c>
      <c r="BH91">
        <f t="shared" si="52"/>
        <v>0.88888888888888884</v>
      </c>
      <c r="BI91" s="32">
        <f t="shared" si="53"/>
        <v>1</v>
      </c>
    </row>
    <row r="92" spans="1:61" x14ac:dyDescent="0.45">
      <c r="A92" s="30">
        <f>step3_validation[[#This Row],[Persona_ID]]</f>
        <v>91</v>
      </c>
      <c r="B92" s="31">
        <f>step3_validation[[#This Row],[Used_Seed]]</f>
        <v>91</v>
      </c>
      <c r="C92" t="str">
        <f>step3_validation[[#This Row],[Gender]]</f>
        <v>Nữ</v>
      </c>
      <c r="D92" t="str">
        <f>survey_responses[[#This Row],[Giới tính của bạn:]]</f>
        <v>Nữ</v>
      </c>
      <c r="E92" t="str">
        <f>step3_validation[[#This Row],[Age_Group]]</f>
        <v>30 - 39</v>
      </c>
      <c r="F92" t="str">
        <f>survey_responses[[#This Row],[Độ tuổi của bạn:]]</f>
        <v>30 - 39</v>
      </c>
      <c r="G92" t="str">
        <f>step3_validation[[#This Row],[Region]]</f>
        <v>Thành thị</v>
      </c>
      <c r="H92" t="str">
        <f>survey_responses[[#This Row],[Khu vực bạn đang sinh sống:]]</f>
        <v>Thành thị</v>
      </c>
      <c r="I92" t="str">
        <f>step3_validation[[#This Row],[Education]]</f>
        <v>Đại học</v>
      </c>
      <c r="J92" t="str">
        <f>survey_responses[[#This Row],[Trình độ học vấn cao nhất:]]</f>
        <v>Đại học</v>
      </c>
      <c r="K92" t="str">
        <f>step3_validation[[#This Row],[Employment]]</f>
        <v>Chính thức</v>
      </c>
      <c r="L92" t="str">
        <f>survey_responses[[#This Row],[Tình trạng việc làm chính:]]</f>
        <v>Khu vực chính thức (Có Hợp đồng lao động, đóng BHXH)</v>
      </c>
      <c r="M92">
        <f>step3_validation[[#This Row],[Income_Mil]]</f>
        <v>12</v>
      </c>
      <c r="N92" t="str">
        <f>survey_responses[[#This Row],[Thu nhập bình quân tháng theo Hợp đồng lao động của bạn là bao nhiêu? (Vui lòng điền tổng thu nhập trước khi khấu trừ các loại Bảo hiểm (BHXH, BHYT, BHTN) và Thuế TNCN)]]</f>
        <v>Dưới 12 triệu VNĐ</v>
      </c>
      <c r="O92">
        <f>step3_validation[[#This Row],[Dependents]]</f>
        <v>2</v>
      </c>
      <c r="P92" t="str">
        <f>survey_responses[[#This Row],[Số người phụ thuộc (con nhỏ, cha mẹ già...) đủ điều kiện giảm trừ gia cảnh:]]</f>
        <v>2 người</v>
      </c>
      <c r="Q92">
        <f>step3_validation[[#This Row],[AI_ENF1]]</f>
        <v>4</v>
      </c>
      <c r="R92">
        <f t="shared" si="27"/>
        <v>0.33333333333333331</v>
      </c>
      <c r="S92">
        <f>survey_responses[[#This Row],[Tôi tin rằng với các quy định quản lý thuế hiện nay, hành vi gian lận hoặc trốn thuế sẽ dễ dàng bị phát hiện và xử lý nghiêm. - HUMAN-ENF1]]</f>
        <v>10</v>
      </c>
      <c r="T92">
        <f t="shared" si="28"/>
        <v>1</v>
      </c>
      <c r="U92">
        <f>step3_validation[[#This Row],[AI_ENF2]]</f>
        <v>5</v>
      </c>
      <c r="V92">
        <f t="shared" si="29"/>
        <v>0.44444444444444442</v>
      </c>
      <c r="W92">
        <f>survey_responses[[#This Row],[Tôi tin rằng Nhà nước, cơ quan thuế có đủ khả năng và công nghệ để phát hiện, xử lý nghiêm các hành vi trốn thuế. - HUMAN-ENF2]]</f>
        <v>9</v>
      </c>
      <c r="X92">
        <f t="shared" si="30"/>
        <v>0.88888888888888884</v>
      </c>
      <c r="Y92" s="32">
        <f t="shared" si="31"/>
        <v>0.38888888888888884</v>
      </c>
      <c r="Z92" s="32">
        <f t="shared" si="32"/>
        <v>0.94444444444444442</v>
      </c>
      <c r="AA92">
        <f>step3_validation[[#This Row],[AI_FAC1]]</f>
        <v>7</v>
      </c>
      <c r="AB92">
        <f t="shared" si="33"/>
        <v>0.66666666666666663</v>
      </c>
      <c r="AC92">
        <f>survey_responses[[#This Row],[Các thủ tục khai báo thuế VÀ/HOẶC quy trình làm việc với cơ quan thuế đơn giản, tiện lợi, nhanh chóng hơn so với trước đây. - HUMAN-FAC1]]</f>
        <v>9</v>
      </c>
      <c r="AD92">
        <f t="shared" si="34"/>
        <v>0.88888888888888884</v>
      </c>
      <c r="AE92">
        <f>step3_validation[[#This Row],[AI_FAC2]]</f>
        <v>8</v>
      </c>
      <c r="AF92">
        <f t="shared" si="35"/>
        <v>0.77777777777777779</v>
      </c>
      <c r="AG92">
        <f>survey_responses[[#This Row],[So với trước đây, tôi thấy cách tính thuế và các bậc thuế trong phương án mới đơn giản, dễ hiểu và dễ thực hiện hơn. - HUMAN-FAC2]]</f>
        <v>9</v>
      </c>
      <c r="AH92">
        <f t="shared" si="36"/>
        <v>0.88888888888888884</v>
      </c>
      <c r="AI92" s="32">
        <f t="shared" si="37"/>
        <v>0.72222222222222221</v>
      </c>
      <c r="AJ92" s="32">
        <f t="shared" si="38"/>
        <v>0.88888888888888884</v>
      </c>
      <c r="AK92">
        <f>step3_validation[[#This Row],[AI_TRU1]]</f>
        <v>9</v>
      </c>
      <c r="AL92">
        <f t="shared" si="39"/>
        <v>0.88888888888888884</v>
      </c>
      <c r="AM92">
        <f>survey_responses[[#This Row],[Tôi tin rằng Nhà nước, cơ quan thuế sẽ thực thi chính sách mới một cách khách quan, công tâm và đối xử bình đẳng với mọi người nộp thuế.  - HUMAN-TRU1]]</f>
        <v>10</v>
      </c>
      <c r="AN92">
        <f t="shared" si="40"/>
        <v>1</v>
      </c>
      <c r="AO92">
        <f>step3_validation[[#This Row],[AI_TRU2]]</f>
        <v>8</v>
      </c>
      <c r="AP92">
        <f t="shared" si="41"/>
        <v>0.77777777777777779</v>
      </c>
      <c r="AQ92">
        <f>survey_responses[[#This Row],[Tôi thấy mức thuế tôi phải đóng theo phương án mới là công bằng (người thu nhập như tôi đóng mức này là hợp lý). - HUMAN-TRU2]]</f>
        <v>9</v>
      </c>
      <c r="AR92">
        <f t="shared" si="42"/>
        <v>0.88888888888888884</v>
      </c>
      <c r="AS92">
        <f>step3_validation[[#This Row],[AI_TRU3]]</f>
        <v>9</v>
      </c>
      <c r="AT92">
        <f t="shared" si="43"/>
        <v>0.88888888888888884</v>
      </c>
      <c r="AU92">
        <f>survey_responses[[#This Row],[Tôi tin tưởng số tiền thuế tôi đóng sẽ được Nhà nước sử dụng hiệu quả để cải thiện dịch vụ công (y tế, đường xá...). - HUMAN-TRU3]]</f>
        <v>8</v>
      </c>
      <c r="AV92">
        <f t="shared" si="44"/>
        <v>0.77777777777777779</v>
      </c>
      <c r="AW92">
        <f>step3_validation[[#This Row],[AI_TRU4]]</f>
        <v>7</v>
      </c>
      <c r="AX92">
        <f t="shared" si="45"/>
        <v>0.66666666666666663</v>
      </c>
      <c r="AY92">
        <f>survey_responses[[#This Row],[Tôi thấy Nhà nước đã giải thích rõ ràng, minh bạch về lý do và mục tiêu của việc sửa đổi thuế lần này. - HUMAN-TRU4]]</f>
        <v>8</v>
      </c>
      <c r="AZ92">
        <f t="shared" si="46"/>
        <v>0.77777777777777779</v>
      </c>
      <c r="BA92" s="32">
        <f t="shared" si="47"/>
        <v>0.80555555555555547</v>
      </c>
      <c r="BB92" s="32">
        <f t="shared" si="48"/>
        <v>0.86111111111111105</v>
      </c>
      <c r="BC92" s="7">
        <f t="shared" si="49"/>
        <v>0.63888888888888884</v>
      </c>
      <c r="BD92" s="7">
        <f t="shared" si="50"/>
        <v>0.89814814814814803</v>
      </c>
      <c r="BE92">
        <f>step3_validation[[#This Row],[AI_OUT1]]</f>
        <v>9</v>
      </c>
      <c r="BF92">
        <f t="shared" si="51"/>
        <v>0.88888888888888884</v>
      </c>
      <c r="BG92">
        <f>survey_responses[[#This Row],[Sau khi xem xét các quyền lợi và nghĩa vụ, bạn có ủng hộ và tuân thủ chính sách mới hiện nay? - HUMAN-OUT1]]</f>
        <v>10</v>
      </c>
      <c r="BH92">
        <f t="shared" si="52"/>
        <v>1</v>
      </c>
      <c r="BI92" s="32">
        <f t="shared" si="53"/>
        <v>1</v>
      </c>
    </row>
    <row r="93" spans="1:61" x14ac:dyDescent="0.45">
      <c r="A93" s="30">
        <f>step3_validation[[#This Row],[Persona_ID]]</f>
        <v>92</v>
      </c>
      <c r="B93" s="31">
        <f>step3_validation[[#This Row],[Used_Seed]]</f>
        <v>92</v>
      </c>
      <c r="C93" t="str">
        <f>step3_validation[[#This Row],[Gender]]</f>
        <v>Nam</v>
      </c>
      <c r="D93" t="str">
        <f>survey_responses[[#This Row],[Giới tính của bạn:]]</f>
        <v>Nam</v>
      </c>
      <c r="E93" t="str">
        <f>step3_validation[[#This Row],[Age_Group]]</f>
        <v>30 - 39</v>
      </c>
      <c r="F93" t="str">
        <f>survey_responses[[#This Row],[Độ tuổi của bạn:]]</f>
        <v>30 - 39</v>
      </c>
      <c r="G93" t="str">
        <f>step3_validation[[#This Row],[Region]]</f>
        <v>Thành thị</v>
      </c>
      <c r="H93" t="str">
        <f>survey_responses[[#This Row],[Khu vực bạn đang sinh sống:]]</f>
        <v>Thành thị</v>
      </c>
      <c r="I93" t="str">
        <f>step3_validation[[#This Row],[Education]]</f>
        <v>Đại học</v>
      </c>
      <c r="J93" t="str">
        <f>survey_responses[[#This Row],[Trình độ học vấn cao nhất:]]</f>
        <v>Đại học</v>
      </c>
      <c r="K93" t="str">
        <f>step3_validation[[#This Row],[Employment]]</f>
        <v>Chính thức</v>
      </c>
      <c r="L93" t="str">
        <f>survey_responses[[#This Row],[Tình trạng việc làm chính:]]</f>
        <v>Khu vực chính thức (Có Hợp đồng lao động, đóng BHXH)</v>
      </c>
      <c r="M93">
        <f>step3_validation[[#This Row],[Income_Mil]]</f>
        <v>12</v>
      </c>
      <c r="N93" t="str">
        <f>survey_responses[[#This Row],[Thu nhập bình quân tháng theo Hợp đồng lao động của bạn là bao nhiêu? (Vui lòng điền tổng thu nhập trước khi khấu trừ các loại Bảo hiểm (BHXH, BHYT, BHTN) và Thuế TNCN)]]</f>
        <v>Dưới 12 triệu VNĐ</v>
      </c>
      <c r="O93">
        <f>step3_validation[[#This Row],[Dependents]]</f>
        <v>2</v>
      </c>
      <c r="P93" t="str">
        <f>survey_responses[[#This Row],[Số người phụ thuộc (con nhỏ, cha mẹ già...) đủ điều kiện giảm trừ gia cảnh:]]</f>
        <v>2 người</v>
      </c>
      <c r="Q93">
        <f>step3_validation[[#This Row],[AI_ENF1]]</f>
        <v>6</v>
      </c>
      <c r="R93">
        <f t="shared" si="27"/>
        <v>0.55555555555555558</v>
      </c>
      <c r="S93">
        <f>survey_responses[[#This Row],[Tôi tin rằng với các quy định quản lý thuế hiện nay, hành vi gian lận hoặc trốn thuế sẽ dễ dàng bị phát hiện và xử lý nghiêm. - HUMAN-ENF1]]</f>
        <v>10</v>
      </c>
      <c r="T93">
        <f t="shared" si="28"/>
        <v>1</v>
      </c>
      <c r="U93">
        <f>step3_validation[[#This Row],[AI_ENF2]]</f>
        <v>7</v>
      </c>
      <c r="V93">
        <f t="shared" si="29"/>
        <v>0.66666666666666663</v>
      </c>
      <c r="W93">
        <f>survey_responses[[#This Row],[Tôi tin rằng Nhà nước, cơ quan thuế có đủ khả năng và công nghệ để phát hiện, xử lý nghiêm các hành vi trốn thuế. - HUMAN-ENF2]]</f>
        <v>10</v>
      </c>
      <c r="X93">
        <f t="shared" si="30"/>
        <v>1</v>
      </c>
      <c r="Y93" s="32">
        <f t="shared" si="31"/>
        <v>0.61111111111111116</v>
      </c>
      <c r="Z93" s="32">
        <f t="shared" si="32"/>
        <v>1</v>
      </c>
      <c r="AA93">
        <f>step3_validation[[#This Row],[AI_FAC1]]</f>
        <v>5</v>
      </c>
      <c r="AB93">
        <f t="shared" si="33"/>
        <v>0.44444444444444442</v>
      </c>
      <c r="AC93">
        <f>survey_responses[[#This Row],[Các thủ tục khai báo thuế VÀ/HOẶC quy trình làm việc với cơ quan thuế đơn giản, tiện lợi, nhanh chóng hơn so với trước đây. - HUMAN-FAC1]]</f>
        <v>10</v>
      </c>
      <c r="AD93">
        <f t="shared" si="34"/>
        <v>1</v>
      </c>
      <c r="AE93">
        <f>step3_validation[[#This Row],[AI_FAC2]]</f>
        <v>8</v>
      </c>
      <c r="AF93">
        <f t="shared" si="35"/>
        <v>0.77777777777777779</v>
      </c>
      <c r="AG93">
        <f>survey_responses[[#This Row],[So với trước đây, tôi thấy cách tính thuế và các bậc thuế trong phương án mới đơn giản, dễ hiểu và dễ thực hiện hơn. - HUMAN-FAC2]]</f>
        <v>10</v>
      </c>
      <c r="AH93">
        <f t="shared" si="36"/>
        <v>1</v>
      </c>
      <c r="AI93" s="32">
        <f t="shared" si="37"/>
        <v>0.61111111111111116</v>
      </c>
      <c r="AJ93" s="32">
        <f t="shared" si="38"/>
        <v>1</v>
      </c>
      <c r="AK93">
        <f>step3_validation[[#This Row],[AI_TRU1]]</f>
        <v>9</v>
      </c>
      <c r="AL93">
        <f t="shared" si="39"/>
        <v>0.88888888888888884</v>
      </c>
      <c r="AM93">
        <f>survey_responses[[#This Row],[Tôi tin rằng Nhà nước, cơ quan thuế sẽ thực thi chính sách mới một cách khách quan, công tâm và đối xử bình đẳng với mọi người nộp thuế.  - HUMAN-TRU1]]</f>
        <v>10</v>
      </c>
      <c r="AN93">
        <f t="shared" si="40"/>
        <v>1</v>
      </c>
      <c r="AO93">
        <f>step3_validation[[#This Row],[AI_TRU2]]</f>
        <v>8</v>
      </c>
      <c r="AP93">
        <f t="shared" si="41"/>
        <v>0.77777777777777779</v>
      </c>
      <c r="AQ93">
        <f>survey_responses[[#This Row],[Tôi thấy mức thuế tôi phải đóng theo phương án mới là công bằng (người thu nhập như tôi đóng mức này là hợp lý). - HUMAN-TRU2]]</f>
        <v>1</v>
      </c>
      <c r="AR93">
        <f t="shared" si="42"/>
        <v>0</v>
      </c>
      <c r="AS93">
        <f>step3_validation[[#This Row],[AI_TRU3]]</f>
        <v>9</v>
      </c>
      <c r="AT93">
        <f t="shared" si="43"/>
        <v>0.88888888888888884</v>
      </c>
      <c r="AU93">
        <f>survey_responses[[#This Row],[Tôi tin tưởng số tiền thuế tôi đóng sẽ được Nhà nước sử dụng hiệu quả để cải thiện dịch vụ công (y tế, đường xá...). - HUMAN-TRU3]]</f>
        <v>10</v>
      </c>
      <c r="AV93">
        <f t="shared" si="44"/>
        <v>1</v>
      </c>
      <c r="AW93">
        <f>step3_validation[[#This Row],[AI_TRU4]]</f>
        <v>8</v>
      </c>
      <c r="AX93">
        <f t="shared" si="45"/>
        <v>0.77777777777777779</v>
      </c>
      <c r="AY93">
        <f>survey_responses[[#This Row],[Tôi thấy Nhà nước đã giải thích rõ ràng, minh bạch về lý do và mục tiêu của việc sửa đổi thuế lần này. - HUMAN-TRU4]]</f>
        <v>10</v>
      </c>
      <c r="AZ93">
        <f t="shared" si="46"/>
        <v>1</v>
      </c>
      <c r="BA93" s="32">
        <f t="shared" si="47"/>
        <v>0.83333333333333326</v>
      </c>
      <c r="BB93" s="32">
        <f t="shared" si="48"/>
        <v>0.75</v>
      </c>
      <c r="BC93" s="7">
        <f t="shared" si="49"/>
        <v>0.68518518518518512</v>
      </c>
      <c r="BD93" s="7">
        <f t="shared" si="50"/>
        <v>0.91666666666666663</v>
      </c>
      <c r="BE93">
        <f>step3_validation[[#This Row],[AI_OUT1]]</f>
        <v>9</v>
      </c>
      <c r="BF93">
        <f t="shared" si="51"/>
        <v>0.88888888888888884</v>
      </c>
      <c r="BG93">
        <f>survey_responses[[#This Row],[Sau khi xem xét các quyền lợi và nghĩa vụ, bạn có ủng hộ và tuân thủ chính sách mới hiện nay? - HUMAN-OUT1]]</f>
        <v>10</v>
      </c>
      <c r="BH93">
        <f t="shared" si="52"/>
        <v>1</v>
      </c>
      <c r="BI93" s="32">
        <f t="shared" si="53"/>
        <v>1</v>
      </c>
    </row>
    <row r="94" spans="1:61" x14ac:dyDescent="0.45">
      <c r="A94" s="30">
        <f>step3_validation[[#This Row],[Persona_ID]]</f>
        <v>93</v>
      </c>
      <c r="B94" s="31">
        <f>step3_validation[[#This Row],[Used_Seed]]</f>
        <v>93</v>
      </c>
      <c r="C94" t="str">
        <f>step3_validation[[#This Row],[Gender]]</f>
        <v>Nam</v>
      </c>
      <c r="D94" t="str">
        <f>survey_responses[[#This Row],[Giới tính của bạn:]]</f>
        <v>Nam</v>
      </c>
      <c r="E94" t="str">
        <f>step3_validation[[#This Row],[Age_Group]]</f>
        <v>30 - 39</v>
      </c>
      <c r="F94" t="str">
        <f>survey_responses[[#This Row],[Độ tuổi của bạn:]]</f>
        <v>30 - 39</v>
      </c>
      <c r="G94" t="str">
        <f>step3_validation[[#This Row],[Region]]</f>
        <v>Thành thị</v>
      </c>
      <c r="H94" t="str">
        <f>survey_responses[[#This Row],[Khu vực bạn đang sinh sống:]]</f>
        <v>Thành thị</v>
      </c>
      <c r="I94" t="str">
        <f>step3_validation[[#This Row],[Education]]</f>
        <v>Đại học</v>
      </c>
      <c r="J94" t="str">
        <f>survey_responses[[#This Row],[Trình độ học vấn cao nhất:]]</f>
        <v>Đại học</v>
      </c>
      <c r="K94" t="str">
        <f>step3_validation[[#This Row],[Employment]]</f>
        <v>Chính thức</v>
      </c>
      <c r="L94" t="str">
        <f>survey_responses[[#This Row],[Tình trạng việc làm chính:]]</f>
        <v>Khu vực chính thức (Có Hợp đồng lao động, đóng BHXH)</v>
      </c>
      <c r="M94">
        <f>step3_validation[[#This Row],[Income_Mil]]</f>
        <v>46.782355645283822</v>
      </c>
      <c r="N94" t="str">
        <f>survey_responses[[#This Row],[Thu nhập bình quân tháng theo Hợp đồng lao động của bạn là bao nhiêu? (Vui lòng điền tổng thu nhập trước khi khấu trừ các loại Bảo hiểm (BHXH, BHYT, BHTN) và Thuế TNCN)]]</f>
        <v>Từ 32 - 48 triệu VNĐ</v>
      </c>
      <c r="O94">
        <f>step3_validation[[#This Row],[Dependents]]</f>
        <v>2</v>
      </c>
      <c r="P94" t="str">
        <f>survey_responses[[#This Row],[Số người phụ thuộc (con nhỏ, cha mẹ già...) đủ điều kiện giảm trừ gia cảnh:]]</f>
        <v>2 người</v>
      </c>
      <c r="Q94">
        <f>step3_validation[[#This Row],[AI_ENF1]]</f>
        <v>7</v>
      </c>
      <c r="R94">
        <f t="shared" si="27"/>
        <v>0.66666666666666663</v>
      </c>
      <c r="S94">
        <f>survey_responses[[#This Row],[Tôi tin rằng với các quy định quản lý thuế hiện nay, hành vi gian lận hoặc trốn thuế sẽ dễ dàng bị phát hiện và xử lý nghiêm. - HUMAN-ENF1]]</f>
        <v>5</v>
      </c>
      <c r="T94">
        <f t="shared" si="28"/>
        <v>0.44444444444444442</v>
      </c>
      <c r="U94">
        <f>step3_validation[[#This Row],[AI_ENF2]]</f>
        <v>7</v>
      </c>
      <c r="V94">
        <f t="shared" si="29"/>
        <v>0.66666666666666663</v>
      </c>
      <c r="W94">
        <f>survey_responses[[#This Row],[Tôi tin rằng Nhà nước, cơ quan thuế có đủ khả năng và công nghệ để phát hiện, xử lý nghiêm các hành vi trốn thuế. - HUMAN-ENF2]]</f>
        <v>8</v>
      </c>
      <c r="X94">
        <f t="shared" si="30"/>
        <v>0.77777777777777779</v>
      </c>
      <c r="Y94" s="32">
        <f t="shared" si="31"/>
        <v>0.66666666666666663</v>
      </c>
      <c r="Z94" s="32">
        <f t="shared" si="32"/>
        <v>0.61111111111111116</v>
      </c>
      <c r="AA94">
        <f>step3_validation[[#This Row],[AI_FAC1]]</f>
        <v>8</v>
      </c>
      <c r="AB94">
        <f t="shared" si="33"/>
        <v>0.77777777777777779</v>
      </c>
      <c r="AC94">
        <f>survey_responses[[#This Row],[Các thủ tục khai báo thuế VÀ/HOẶC quy trình làm việc với cơ quan thuế đơn giản, tiện lợi, nhanh chóng hơn so với trước đây. - HUMAN-FAC1]]</f>
        <v>4</v>
      </c>
      <c r="AD94">
        <f t="shared" si="34"/>
        <v>0.33333333333333331</v>
      </c>
      <c r="AE94">
        <f>step3_validation[[#This Row],[AI_FAC2]]</f>
        <v>9</v>
      </c>
      <c r="AF94">
        <f t="shared" si="35"/>
        <v>0.88888888888888884</v>
      </c>
      <c r="AG94">
        <f>survey_responses[[#This Row],[So với trước đây, tôi thấy cách tính thuế và các bậc thuế trong phương án mới đơn giản, dễ hiểu và dễ thực hiện hơn. - HUMAN-FAC2]]</f>
        <v>9</v>
      </c>
      <c r="AH94">
        <f t="shared" si="36"/>
        <v>0.88888888888888884</v>
      </c>
      <c r="AI94" s="32">
        <f t="shared" si="37"/>
        <v>0.83333333333333326</v>
      </c>
      <c r="AJ94" s="32">
        <f t="shared" si="38"/>
        <v>0.61111111111111105</v>
      </c>
      <c r="AK94">
        <f>step3_validation[[#This Row],[AI_TRU1]]</f>
        <v>7</v>
      </c>
      <c r="AL94">
        <f t="shared" si="39"/>
        <v>0.66666666666666663</v>
      </c>
      <c r="AM94">
        <f>survey_responses[[#This Row],[Tôi tin rằng Nhà nước, cơ quan thuế sẽ thực thi chính sách mới một cách khách quan, công tâm và đối xử bình đẳng với mọi người nộp thuế.  - HUMAN-TRU1]]</f>
        <v>7</v>
      </c>
      <c r="AN94">
        <f t="shared" si="40"/>
        <v>0.66666666666666663</v>
      </c>
      <c r="AO94">
        <f>step3_validation[[#This Row],[AI_TRU2]]</f>
        <v>9</v>
      </c>
      <c r="AP94">
        <f t="shared" si="41"/>
        <v>0.88888888888888884</v>
      </c>
      <c r="AQ94">
        <f>survey_responses[[#This Row],[Tôi thấy mức thuế tôi phải đóng theo phương án mới là công bằng (người thu nhập như tôi đóng mức này là hợp lý). - HUMAN-TRU2]]</f>
        <v>5</v>
      </c>
      <c r="AR94">
        <f t="shared" si="42"/>
        <v>0.44444444444444442</v>
      </c>
      <c r="AS94">
        <f>step3_validation[[#This Row],[AI_TRU3]]</f>
        <v>7</v>
      </c>
      <c r="AT94">
        <f t="shared" si="43"/>
        <v>0.66666666666666663</v>
      </c>
      <c r="AU94">
        <f>survey_responses[[#This Row],[Tôi tin tưởng số tiền thuế tôi đóng sẽ được Nhà nước sử dụng hiệu quả để cải thiện dịch vụ công (y tế, đường xá...). - HUMAN-TRU3]]</f>
        <v>7</v>
      </c>
      <c r="AV94">
        <f t="shared" si="44"/>
        <v>0.66666666666666663</v>
      </c>
      <c r="AW94">
        <f>step3_validation[[#This Row],[AI_TRU4]]</f>
        <v>8</v>
      </c>
      <c r="AX94">
        <f t="shared" si="45"/>
        <v>0.77777777777777779</v>
      </c>
      <c r="AY94">
        <f>survey_responses[[#This Row],[Tôi thấy Nhà nước đã giải thích rõ ràng, minh bạch về lý do và mục tiêu của việc sửa đổi thuế lần này. - HUMAN-TRU4]]</f>
        <v>8</v>
      </c>
      <c r="AZ94">
        <f t="shared" si="46"/>
        <v>0.77777777777777779</v>
      </c>
      <c r="BA94" s="32">
        <f t="shared" si="47"/>
        <v>0.74999999999999989</v>
      </c>
      <c r="BB94" s="32">
        <f t="shared" si="48"/>
        <v>0.63888888888888884</v>
      </c>
      <c r="BC94" s="7">
        <f t="shared" si="49"/>
        <v>0.75</v>
      </c>
      <c r="BD94" s="7">
        <f t="shared" si="50"/>
        <v>0.62037037037037035</v>
      </c>
      <c r="BE94">
        <f>step3_validation[[#This Row],[AI_OUT1]]</f>
        <v>9</v>
      </c>
      <c r="BF94">
        <f t="shared" si="51"/>
        <v>0.88888888888888884</v>
      </c>
      <c r="BG94">
        <f>survey_responses[[#This Row],[Sau khi xem xét các quyền lợi và nghĩa vụ, bạn có ủng hộ và tuân thủ chính sách mới hiện nay? - HUMAN-OUT1]]</f>
        <v>10</v>
      </c>
      <c r="BH94">
        <f t="shared" si="52"/>
        <v>1</v>
      </c>
      <c r="BI94" s="32">
        <f t="shared" si="53"/>
        <v>1</v>
      </c>
    </row>
    <row r="95" spans="1:61" x14ac:dyDescent="0.45">
      <c r="A95" s="30">
        <f>step3_validation[[#This Row],[Persona_ID]]</f>
        <v>94</v>
      </c>
      <c r="B95" s="31">
        <f>step3_validation[[#This Row],[Used_Seed]]</f>
        <v>94</v>
      </c>
      <c r="C95" t="str">
        <f>step3_validation[[#This Row],[Gender]]</f>
        <v>Nữ</v>
      </c>
      <c r="D95" t="str">
        <f>survey_responses[[#This Row],[Giới tính của bạn:]]</f>
        <v>Nữ</v>
      </c>
      <c r="E95" t="str">
        <f>step3_validation[[#This Row],[Age_Group]]</f>
        <v>30 - 39</v>
      </c>
      <c r="F95" t="str">
        <f>survey_responses[[#This Row],[Độ tuổi của bạn:]]</f>
        <v>30 - 39</v>
      </c>
      <c r="G95" t="str">
        <f>step3_validation[[#This Row],[Region]]</f>
        <v>Thành thị</v>
      </c>
      <c r="H95" t="str">
        <f>survey_responses[[#This Row],[Khu vực bạn đang sinh sống:]]</f>
        <v>Thành thị</v>
      </c>
      <c r="I95" t="str">
        <f>step3_validation[[#This Row],[Education]]</f>
        <v>Sau Đại học</v>
      </c>
      <c r="J95" t="str">
        <f>survey_responses[[#This Row],[Trình độ học vấn cao nhất:]]</f>
        <v>Sau Đại học</v>
      </c>
      <c r="K95" t="str">
        <f>step3_validation[[#This Row],[Employment]]</f>
        <v>Chính thức</v>
      </c>
      <c r="L95" t="str">
        <f>survey_responses[[#This Row],[Tình trạng việc làm chính:]]</f>
        <v>Khu vực chính thức (Có Hợp đồng lao động, đóng BHXH)</v>
      </c>
      <c r="M95">
        <f>step3_validation[[#This Row],[Income_Mil]]</f>
        <v>12</v>
      </c>
      <c r="N95" t="str">
        <f>survey_responses[[#This Row],[Thu nhập bình quân tháng theo Hợp đồng lao động của bạn là bao nhiêu? (Vui lòng điền tổng thu nhập trước khi khấu trừ các loại Bảo hiểm (BHXH, BHYT, BHTN) và Thuế TNCN)]]</f>
        <v>Dưới 12 triệu VNĐ</v>
      </c>
      <c r="O95">
        <f>step3_validation[[#This Row],[Dependents]]</f>
        <v>0</v>
      </c>
      <c r="P95" t="str">
        <f>survey_responses[[#This Row],[Số người phụ thuộc (con nhỏ, cha mẹ già...) đủ điều kiện giảm trừ gia cảnh:]]</f>
        <v>0 người</v>
      </c>
      <c r="Q95">
        <f>step3_validation[[#This Row],[AI_ENF1]]</f>
        <v>7</v>
      </c>
      <c r="R95">
        <f t="shared" si="27"/>
        <v>0.66666666666666663</v>
      </c>
      <c r="S95">
        <f>survey_responses[[#This Row],[Tôi tin rằng với các quy định quản lý thuế hiện nay, hành vi gian lận hoặc trốn thuế sẽ dễ dàng bị phát hiện và xử lý nghiêm. - HUMAN-ENF1]]</f>
        <v>9</v>
      </c>
      <c r="T95">
        <f t="shared" si="28"/>
        <v>0.88888888888888884</v>
      </c>
      <c r="U95">
        <f>step3_validation[[#This Row],[AI_ENF2]]</f>
        <v>8</v>
      </c>
      <c r="V95">
        <f t="shared" si="29"/>
        <v>0.77777777777777779</v>
      </c>
      <c r="W95">
        <f>survey_responses[[#This Row],[Tôi tin rằng Nhà nước, cơ quan thuế có đủ khả năng và công nghệ để phát hiện, xử lý nghiêm các hành vi trốn thuế. - HUMAN-ENF2]]</f>
        <v>7</v>
      </c>
      <c r="X95">
        <f t="shared" si="30"/>
        <v>0.66666666666666663</v>
      </c>
      <c r="Y95" s="32">
        <f t="shared" si="31"/>
        <v>0.72222222222222221</v>
      </c>
      <c r="Z95" s="32">
        <f t="shared" si="32"/>
        <v>0.77777777777777768</v>
      </c>
      <c r="AA95">
        <f>step3_validation[[#This Row],[AI_FAC1]]</f>
        <v>9</v>
      </c>
      <c r="AB95">
        <f t="shared" si="33"/>
        <v>0.88888888888888884</v>
      </c>
      <c r="AC95">
        <f>survey_responses[[#This Row],[Các thủ tục khai báo thuế VÀ/HOẶC quy trình làm việc với cơ quan thuế đơn giản, tiện lợi, nhanh chóng hơn so với trước đây. - HUMAN-FAC1]]</f>
        <v>5</v>
      </c>
      <c r="AD95">
        <f t="shared" si="34"/>
        <v>0.44444444444444442</v>
      </c>
      <c r="AE95">
        <f>step3_validation[[#This Row],[AI_FAC2]]</f>
        <v>10</v>
      </c>
      <c r="AF95">
        <f t="shared" si="35"/>
        <v>1</v>
      </c>
      <c r="AG95">
        <f>survey_responses[[#This Row],[So với trước đây, tôi thấy cách tính thuế và các bậc thuế trong phương án mới đơn giản, dễ hiểu và dễ thực hiện hơn. - HUMAN-FAC2]]</f>
        <v>7</v>
      </c>
      <c r="AH95">
        <f t="shared" si="36"/>
        <v>0.66666666666666663</v>
      </c>
      <c r="AI95" s="32">
        <f t="shared" si="37"/>
        <v>0.94444444444444442</v>
      </c>
      <c r="AJ95" s="32">
        <f t="shared" si="38"/>
        <v>0.55555555555555558</v>
      </c>
      <c r="AK95">
        <f>step3_validation[[#This Row],[AI_TRU1]]</f>
        <v>9</v>
      </c>
      <c r="AL95">
        <f t="shared" si="39"/>
        <v>0.88888888888888884</v>
      </c>
      <c r="AM95">
        <f>survey_responses[[#This Row],[Tôi tin rằng Nhà nước, cơ quan thuế sẽ thực thi chính sách mới một cách khách quan, công tâm và đối xử bình đẳng với mọi người nộp thuế.  - HUMAN-TRU1]]</f>
        <v>5</v>
      </c>
      <c r="AN95">
        <f t="shared" si="40"/>
        <v>0.44444444444444442</v>
      </c>
      <c r="AO95">
        <f>step3_validation[[#This Row],[AI_TRU2]]</f>
        <v>8</v>
      </c>
      <c r="AP95">
        <f t="shared" si="41"/>
        <v>0.77777777777777779</v>
      </c>
      <c r="AQ95">
        <f>survey_responses[[#This Row],[Tôi thấy mức thuế tôi phải đóng theo phương án mới là công bằng (người thu nhập như tôi đóng mức này là hợp lý). - HUMAN-TRU2]]</f>
        <v>8</v>
      </c>
      <c r="AR95">
        <f t="shared" si="42"/>
        <v>0.77777777777777779</v>
      </c>
      <c r="AS95">
        <f>step3_validation[[#This Row],[AI_TRU3]]</f>
        <v>9</v>
      </c>
      <c r="AT95">
        <f t="shared" si="43"/>
        <v>0.88888888888888884</v>
      </c>
      <c r="AU95">
        <f>survey_responses[[#This Row],[Tôi tin tưởng số tiền thuế tôi đóng sẽ được Nhà nước sử dụng hiệu quả để cải thiện dịch vụ công (y tế, đường xá...). - HUMAN-TRU3]]</f>
        <v>5</v>
      </c>
      <c r="AV95">
        <f t="shared" si="44"/>
        <v>0.44444444444444442</v>
      </c>
      <c r="AW95">
        <f>step3_validation[[#This Row],[AI_TRU4]]</f>
        <v>8</v>
      </c>
      <c r="AX95">
        <f t="shared" si="45"/>
        <v>0.77777777777777779</v>
      </c>
      <c r="AY95">
        <f>survey_responses[[#This Row],[Tôi thấy Nhà nước đã giải thích rõ ràng, minh bạch về lý do và mục tiêu của việc sửa đổi thuế lần này. - HUMAN-TRU4]]</f>
        <v>5</v>
      </c>
      <c r="AZ95">
        <f t="shared" si="46"/>
        <v>0.44444444444444442</v>
      </c>
      <c r="BA95" s="32">
        <f t="shared" si="47"/>
        <v>0.83333333333333326</v>
      </c>
      <c r="BB95" s="32">
        <f t="shared" si="48"/>
        <v>0.52777777777777779</v>
      </c>
      <c r="BC95" s="7">
        <f t="shared" si="49"/>
        <v>0.83333333333333337</v>
      </c>
      <c r="BD95" s="7">
        <f t="shared" si="50"/>
        <v>0.62037037037037035</v>
      </c>
      <c r="BE95">
        <f>step3_validation[[#This Row],[AI_OUT1]]</f>
        <v>9</v>
      </c>
      <c r="BF95">
        <f t="shared" si="51"/>
        <v>0.88888888888888884</v>
      </c>
      <c r="BG95">
        <f>survey_responses[[#This Row],[Sau khi xem xét các quyền lợi và nghĩa vụ, bạn có ủng hộ và tuân thủ chính sách mới hiện nay? - HUMAN-OUT1]]</f>
        <v>7</v>
      </c>
      <c r="BH95">
        <f t="shared" si="52"/>
        <v>0.66666666666666663</v>
      </c>
      <c r="BI95" s="32">
        <f t="shared" si="53"/>
        <v>2</v>
      </c>
    </row>
    <row r="96" spans="1:61" x14ac:dyDescent="0.45">
      <c r="A96" s="30">
        <f>step3_validation[[#This Row],[Persona_ID]]</f>
        <v>95</v>
      </c>
      <c r="B96" s="31">
        <f>step3_validation[[#This Row],[Used_Seed]]</f>
        <v>95</v>
      </c>
      <c r="C96" t="str">
        <f>step3_validation[[#This Row],[Gender]]</f>
        <v>Nữ</v>
      </c>
      <c r="D96" t="str">
        <f>survey_responses[[#This Row],[Giới tính của bạn:]]</f>
        <v>Nữ</v>
      </c>
      <c r="E96" t="str">
        <f>step3_validation[[#This Row],[Age_Group]]</f>
        <v>40 - 49</v>
      </c>
      <c r="F96" t="str">
        <f>survey_responses[[#This Row],[Độ tuổi của bạn:]]</f>
        <v>40 - 49</v>
      </c>
      <c r="G96" t="str">
        <f>step3_validation[[#This Row],[Region]]</f>
        <v>Thành thị</v>
      </c>
      <c r="H96" t="str">
        <f>survey_responses[[#This Row],[Khu vực bạn đang sinh sống:]]</f>
        <v>Thành thị</v>
      </c>
      <c r="I96" t="str">
        <f>step3_validation[[#This Row],[Education]]</f>
        <v>Đại học</v>
      </c>
      <c r="J96" t="str">
        <f>survey_responses[[#This Row],[Trình độ học vấn cao nhất:]]</f>
        <v>Đại học</v>
      </c>
      <c r="K96" t="str">
        <f>step3_validation[[#This Row],[Employment]]</f>
        <v>Chính thức</v>
      </c>
      <c r="L96" t="str">
        <f>survey_responses[[#This Row],[Tình trạng việc làm chính:]]</f>
        <v>Khu vực chính thức (Có Hợp đồng lao động, đóng BHXH)</v>
      </c>
      <c r="M96">
        <f>step3_validation[[#This Row],[Income_Mil]]</f>
        <v>40.121847610861892</v>
      </c>
      <c r="N96" t="str">
        <f>survey_responses[[#This Row],[Thu nhập bình quân tháng theo Hợp đồng lao động của bạn là bao nhiêu? (Vui lòng điền tổng thu nhập trước khi khấu trừ các loại Bảo hiểm (BHXH, BHYT, BHTN) và Thuế TNCN)]]</f>
        <v>Từ 32 - 48 triệu VNĐ</v>
      </c>
      <c r="O96">
        <f>step3_validation[[#This Row],[Dependents]]</f>
        <v>3</v>
      </c>
      <c r="P96" t="str">
        <f>survey_responses[[#This Row],[Số người phụ thuộc (con nhỏ, cha mẹ già...) đủ điều kiện giảm trừ gia cảnh:]]</f>
        <v>3 người</v>
      </c>
      <c r="Q96">
        <f>step3_validation[[#This Row],[AI_ENF1]]</f>
        <v>7</v>
      </c>
      <c r="R96">
        <f t="shared" si="27"/>
        <v>0.66666666666666663</v>
      </c>
      <c r="S96">
        <f>survey_responses[[#This Row],[Tôi tin rằng với các quy định quản lý thuế hiện nay, hành vi gian lận hoặc trốn thuế sẽ dễ dàng bị phát hiện và xử lý nghiêm. - HUMAN-ENF1]]</f>
        <v>4</v>
      </c>
      <c r="T96">
        <f t="shared" si="28"/>
        <v>0.33333333333333331</v>
      </c>
      <c r="U96">
        <f>step3_validation[[#This Row],[AI_ENF2]]</f>
        <v>8</v>
      </c>
      <c r="V96">
        <f t="shared" si="29"/>
        <v>0.77777777777777779</v>
      </c>
      <c r="W96">
        <f>survey_responses[[#This Row],[Tôi tin rằng Nhà nước, cơ quan thuế có đủ khả năng và công nghệ để phát hiện, xử lý nghiêm các hành vi trốn thuế. - HUMAN-ENF2]]</f>
        <v>6</v>
      </c>
      <c r="X96">
        <f t="shared" si="30"/>
        <v>0.55555555555555558</v>
      </c>
      <c r="Y96" s="32">
        <f t="shared" si="31"/>
        <v>0.72222222222222221</v>
      </c>
      <c r="Z96" s="32">
        <f t="shared" si="32"/>
        <v>0.44444444444444442</v>
      </c>
      <c r="AA96">
        <f>step3_validation[[#This Row],[AI_FAC1]]</f>
        <v>6</v>
      </c>
      <c r="AB96">
        <f t="shared" si="33"/>
        <v>0.55555555555555558</v>
      </c>
      <c r="AC96">
        <f>survey_responses[[#This Row],[Các thủ tục khai báo thuế VÀ/HOẶC quy trình làm việc với cơ quan thuế đơn giản, tiện lợi, nhanh chóng hơn so với trước đây. - HUMAN-FAC1]]</f>
        <v>5</v>
      </c>
      <c r="AD96">
        <f t="shared" si="34"/>
        <v>0.44444444444444442</v>
      </c>
      <c r="AE96">
        <f>step3_validation[[#This Row],[AI_FAC2]]</f>
        <v>9</v>
      </c>
      <c r="AF96">
        <f t="shared" si="35"/>
        <v>0.88888888888888884</v>
      </c>
      <c r="AG96">
        <f>survey_responses[[#This Row],[So với trước đây, tôi thấy cách tính thuế và các bậc thuế trong phương án mới đơn giản, dễ hiểu và dễ thực hiện hơn. - HUMAN-FAC2]]</f>
        <v>5</v>
      </c>
      <c r="AH96">
        <f t="shared" si="36"/>
        <v>0.44444444444444442</v>
      </c>
      <c r="AI96" s="32">
        <f t="shared" si="37"/>
        <v>0.72222222222222221</v>
      </c>
      <c r="AJ96" s="32">
        <f t="shared" si="38"/>
        <v>0.44444444444444442</v>
      </c>
      <c r="AK96">
        <f>step3_validation[[#This Row],[AI_TRU1]]</f>
        <v>7</v>
      </c>
      <c r="AL96">
        <f t="shared" si="39"/>
        <v>0.66666666666666663</v>
      </c>
      <c r="AM96">
        <f>survey_responses[[#This Row],[Tôi tin rằng Nhà nước, cơ quan thuế sẽ thực thi chính sách mới một cách khách quan, công tâm và đối xử bình đẳng với mọi người nộp thuế.  - HUMAN-TRU1]]</f>
        <v>4</v>
      </c>
      <c r="AN96">
        <f t="shared" si="40"/>
        <v>0.33333333333333331</v>
      </c>
      <c r="AO96">
        <f>step3_validation[[#This Row],[AI_TRU2]]</f>
        <v>9</v>
      </c>
      <c r="AP96">
        <f t="shared" si="41"/>
        <v>0.88888888888888884</v>
      </c>
      <c r="AQ96">
        <f>survey_responses[[#This Row],[Tôi thấy mức thuế tôi phải đóng theo phương án mới là công bằng (người thu nhập như tôi đóng mức này là hợp lý). - HUMAN-TRU2]]</f>
        <v>4</v>
      </c>
      <c r="AR96">
        <f t="shared" si="42"/>
        <v>0.33333333333333331</v>
      </c>
      <c r="AS96">
        <f>step3_validation[[#This Row],[AI_TRU3]]</f>
        <v>7</v>
      </c>
      <c r="AT96">
        <f t="shared" si="43"/>
        <v>0.66666666666666663</v>
      </c>
      <c r="AU96">
        <f>survey_responses[[#This Row],[Tôi tin tưởng số tiền thuế tôi đóng sẽ được Nhà nước sử dụng hiệu quả để cải thiện dịch vụ công (y tế, đường xá...). - HUMAN-TRU3]]</f>
        <v>3</v>
      </c>
      <c r="AV96">
        <f t="shared" si="44"/>
        <v>0.22222222222222221</v>
      </c>
      <c r="AW96">
        <f>step3_validation[[#This Row],[AI_TRU4]]</f>
        <v>6</v>
      </c>
      <c r="AX96">
        <f t="shared" si="45"/>
        <v>0.55555555555555558</v>
      </c>
      <c r="AY96">
        <f>survey_responses[[#This Row],[Tôi thấy Nhà nước đã giải thích rõ ràng, minh bạch về lý do và mục tiêu của việc sửa đổi thuế lần này. - HUMAN-TRU4]]</f>
        <v>4</v>
      </c>
      <c r="AZ96">
        <f t="shared" si="46"/>
        <v>0.33333333333333331</v>
      </c>
      <c r="BA96" s="32">
        <f t="shared" si="47"/>
        <v>0.69444444444444442</v>
      </c>
      <c r="BB96" s="32">
        <f t="shared" si="48"/>
        <v>0.30555555555555552</v>
      </c>
      <c r="BC96" s="7">
        <f t="shared" si="49"/>
        <v>0.71296296296296291</v>
      </c>
      <c r="BD96" s="7">
        <f t="shared" si="50"/>
        <v>0.39814814814814814</v>
      </c>
      <c r="BE96">
        <f>step3_validation[[#This Row],[AI_OUT1]]</f>
        <v>8</v>
      </c>
      <c r="BF96">
        <f t="shared" si="51"/>
        <v>0.77777777777777779</v>
      </c>
      <c r="BG96">
        <f>survey_responses[[#This Row],[Sau khi xem xét các quyền lợi và nghĩa vụ, bạn có ủng hộ và tuân thủ chính sách mới hiện nay? - HUMAN-OUT1]]</f>
        <v>3</v>
      </c>
      <c r="BH96">
        <f t="shared" si="52"/>
        <v>0.22222222222222221</v>
      </c>
      <c r="BI96" s="32">
        <f t="shared" si="53"/>
        <v>5</v>
      </c>
    </row>
    <row r="97" spans="1:61" x14ac:dyDescent="0.45">
      <c r="A97" s="30">
        <f>step3_validation[[#This Row],[Persona_ID]]</f>
        <v>96</v>
      </c>
      <c r="B97" s="31">
        <f>step3_validation[[#This Row],[Used_Seed]]</f>
        <v>96</v>
      </c>
      <c r="C97" t="str">
        <f>step3_validation[[#This Row],[Gender]]</f>
        <v>Nam</v>
      </c>
      <c r="D97" t="str">
        <f>survey_responses[[#This Row],[Giới tính của bạn:]]</f>
        <v>Nam</v>
      </c>
      <c r="E97" t="str">
        <f>step3_validation[[#This Row],[Age_Group]]</f>
        <v>18 - 24</v>
      </c>
      <c r="F97" t="str">
        <f>survey_responses[[#This Row],[Độ tuổi của bạn:]]</f>
        <v>18 - 24</v>
      </c>
      <c r="G97" t="str">
        <f>step3_validation[[#This Row],[Region]]</f>
        <v>Thành thị</v>
      </c>
      <c r="H97" t="str">
        <f>survey_responses[[#This Row],[Khu vực bạn đang sinh sống:]]</f>
        <v>Thành thị</v>
      </c>
      <c r="I97" t="str">
        <f>step3_validation[[#This Row],[Education]]</f>
        <v>Đại học</v>
      </c>
      <c r="J97" t="str">
        <f>survey_responses[[#This Row],[Trình độ học vấn cao nhất:]]</f>
        <v>Đại học</v>
      </c>
      <c r="K97" t="str">
        <f>step3_validation[[#This Row],[Employment]]</f>
        <v>Chính thức</v>
      </c>
      <c r="L97" t="str">
        <f>survey_responses[[#This Row],[Tình trạng việc làm chính:]]</f>
        <v>Khu vực chính thức (Có Hợp đồng lao động, đóng BHXH)</v>
      </c>
      <c r="M97">
        <f>step3_validation[[#This Row],[Income_Mil]]</f>
        <v>12</v>
      </c>
      <c r="N97" t="str">
        <f>survey_responses[[#This Row],[Thu nhập bình quân tháng theo Hợp đồng lao động của bạn là bao nhiêu? (Vui lòng điền tổng thu nhập trước khi khấu trừ các loại Bảo hiểm (BHXH, BHYT, BHTN) và Thuế TNCN)]]</f>
        <v>Dưới 12 triệu VNĐ</v>
      </c>
      <c r="O97">
        <f>step3_validation[[#This Row],[Dependents]]</f>
        <v>0</v>
      </c>
      <c r="P97" t="str">
        <f>survey_responses[[#This Row],[Số người phụ thuộc (con nhỏ, cha mẹ già...) đủ điều kiện giảm trừ gia cảnh:]]</f>
        <v>0 người</v>
      </c>
      <c r="Q97">
        <f>step3_validation[[#This Row],[AI_ENF1]]</f>
        <v>7</v>
      </c>
      <c r="R97">
        <f t="shared" si="27"/>
        <v>0.66666666666666663</v>
      </c>
      <c r="S97">
        <f>survey_responses[[#This Row],[Tôi tin rằng với các quy định quản lý thuế hiện nay, hành vi gian lận hoặc trốn thuế sẽ dễ dàng bị phát hiện và xử lý nghiêm. - HUMAN-ENF1]]</f>
        <v>8</v>
      </c>
      <c r="T97">
        <f t="shared" si="28"/>
        <v>0.77777777777777779</v>
      </c>
      <c r="U97">
        <f>step3_validation[[#This Row],[AI_ENF2]]</f>
        <v>8</v>
      </c>
      <c r="V97">
        <f t="shared" si="29"/>
        <v>0.77777777777777779</v>
      </c>
      <c r="W97">
        <f>survey_responses[[#This Row],[Tôi tin rằng Nhà nước, cơ quan thuế có đủ khả năng và công nghệ để phát hiện, xử lý nghiêm các hành vi trốn thuế. - HUMAN-ENF2]]</f>
        <v>7</v>
      </c>
      <c r="X97">
        <f t="shared" si="30"/>
        <v>0.66666666666666663</v>
      </c>
      <c r="Y97" s="32">
        <f t="shared" si="31"/>
        <v>0.72222222222222221</v>
      </c>
      <c r="Z97" s="32">
        <f t="shared" si="32"/>
        <v>0.72222222222222221</v>
      </c>
      <c r="AA97">
        <f>step3_validation[[#This Row],[AI_FAC1]]</f>
        <v>9</v>
      </c>
      <c r="AB97">
        <f t="shared" si="33"/>
        <v>0.88888888888888884</v>
      </c>
      <c r="AC97">
        <f>survey_responses[[#This Row],[Các thủ tục khai báo thuế VÀ/HOẶC quy trình làm việc với cơ quan thuế đơn giản, tiện lợi, nhanh chóng hơn so với trước đây. - HUMAN-FAC1]]</f>
        <v>5</v>
      </c>
      <c r="AD97">
        <f t="shared" si="34"/>
        <v>0.44444444444444442</v>
      </c>
      <c r="AE97">
        <f>step3_validation[[#This Row],[AI_FAC2]]</f>
        <v>10</v>
      </c>
      <c r="AF97">
        <f t="shared" si="35"/>
        <v>1</v>
      </c>
      <c r="AG97">
        <f>survey_responses[[#This Row],[So với trước đây, tôi thấy cách tính thuế và các bậc thuế trong phương án mới đơn giản, dễ hiểu và dễ thực hiện hơn. - HUMAN-FAC2]]</f>
        <v>7</v>
      </c>
      <c r="AH97">
        <f t="shared" si="36"/>
        <v>0.66666666666666663</v>
      </c>
      <c r="AI97" s="32">
        <f t="shared" si="37"/>
        <v>0.94444444444444442</v>
      </c>
      <c r="AJ97" s="32">
        <f t="shared" si="38"/>
        <v>0.55555555555555558</v>
      </c>
      <c r="AK97">
        <f>step3_validation[[#This Row],[AI_TRU1]]</f>
        <v>7</v>
      </c>
      <c r="AL97">
        <f t="shared" si="39"/>
        <v>0.66666666666666663</v>
      </c>
      <c r="AM97">
        <f>survey_responses[[#This Row],[Tôi tin rằng Nhà nước, cơ quan thuế sẽ thực thi chính sách mới một cách khách quan, công tâm và đối xử bình đẳng với mọi người nộp thuế.  - HUMAN-TRU1]]</f>
        <v>7</v>
      </c>
      <c r="AN97">
        <f t="shared" si="40"/>
        <v>0.66666666666666663</v>
      </c>
      <c r="AO97">
        <f>step3_validation[[#This Row],[AI_TRU2]]</f>
        <v>9</v>
      </c>
      <c r="AP97">
        <f t="shared" si="41"/>
        <v>0.88888888888888884</v>
      </c>
      <c r="AQ97">
        <f>survey_responses[[#This Row],[Tôi thấy mức thuế tôi phải đóng theo phương án mới là công bằng (người thu nhập như tôi đóng mức này là hợp lý). - HUMAN-TRU2]]</f>
        <v>5</v>
      </c>
      <c r="AR97">
        <f t="shared" si="42"/>
        <v>0.44444444444444442</v>
      </c>
      <c r="AS97">
        <f>step3_validation[[#This Row],[AI_TRU3]]</f>
        <v>7</v>
      </c>
      <c r="AT97">
        <f t="shared" si="43"/>
        <v>0.66666666666666663</v>
      </c>
      <c r="AU97">
        <f>survey_responses[[#This Row],[Tôi tin tưởng số tiền thuế tôi đóng sẽ được Nhà nước sử dụng hiệu quả để cải thiện dịch vụ công (y tế, đường xá...). - HUMAN-TRU3]]</f>
        <v>5</v>
      </c>
      <c r="AV97">
        <f t="shared" si="44"/>
        <v>0.44444444444444442</v>
      </c>
      <c r="AW97">
        <f>step3_validation[[#This Row],[AI_TRU4]]</f>
        <v>8</v>
      </c>
      <c r="AX97">
        <f t="shared" si="45"/>
        <v>0.77777777777777779</v>
      </c>
      <c r="AY97">
        <f>survey_responses[[#This Row],[Tôi thấy Nhà nước đã giải thích rõ ràng, minh bạch về lý do và mục tiêu của việc sửa đổi thuế lần này. - HUMAN-TRU4]]</f>
        <v>7</v>
      </c>
      <c r="AZ97">
        <f t="shared" si="46"/>
        <v>0.66666666666666663</v>
      </c>
      <c r="BA97" s="32">
        <f t="shared" si="47"/>
        <v>0.74999999999999989</v>
      </c>
      <c r="BB97" s="32">
        <f t="shared" si="48"/>
        <v>0.55555555555555558</v>
      </c>
      <c r="BC97" s="7">
        <f t="shared" si="49"/>
        <v>0.80555555555555547</v>
      </c>
      <c r="BD97" s="7">
        <f t="shared" si="50"/>
        <v>0.61111111111111105</v>
      </c>
      <c r="BE97">
        <f>step3_validation[[#This Row],[AI_OUT1]]</f>
        <v>9</v>
      </c>
      <c r="BF97">
        <f t="shared" si="51"/>
        <v>0.88888888888888884</v>
      </c>
      <c r="BG97">
        <f>survey_responses[[#This Row],[Sau khi xem xét các quyền lợi và nghĩa vụ, bạn có ủng hộ và tuân thủ chính sách mới hiện nay? - HUMAN-OUT1]]</f>
        <v>7</v>
      </c>
      <c r="BH97">
        <f t="shared" si="52"/>
        <v>0.66666666666666663</v>
      </c>
      <c r="BI97" s="32">
        <f t="shared" si="53"/>
        <v>2</v>
      </c>
    </row>
    <row r="98" spans="1:61" x14ac:dyDescent="0.45">
      <c r="A98" s="30">
        <f>step3_validation[[#This Row],[Persona_ID]]</f>
        <v>97</v>
      </c>
      <c r="B98" s="31">
        <f>step3_validation[[#This Row],[Used_Seed]]</f>
        <v>97</v>
      </c>
      <c r="C98" t="str">
        <f>step3_validation[[#This Row],[Gender]]</f>
        <v>Nữ</v>
      </c>
      <c r="D98" t="str">
        <f>survey_responses[[#This Row],[Giới tính của bạn:]]</f>
        <v>Nữ</v>
      </c>
      <c r="E98" t="str">
        <f>step3_validation[[#This Row],[Age_Group]]</f>
        <v>55 - 64</v>
      </c>
      <c r="F98" t="str">
        <f>survey_responses[[#This Row],[Độ tuổi của bạn:]]</f>
        <v>55 - 64</v>
      </c>
      <c r="G98" t="str">
        <f>step3_validation[[#This Row],[Region]]</f>
        <v>Thành thị</v>
      </c>
      <c r="H98" t="str">
        <f>survey_responses[[#This Row],[Khu vực bạn đang sinh sống:]]</f>
        <v>Thành thị</v>
      </c>
      <c r="I98" t="str">
        <f>step3_validation[[#This Row],[Education]]</f>
        <v>Đại học</v>
      </c>
      <c r="J98" t="str">
        <f>survey_responses[[#This Row],[Trình độ học vấn cao nhất:]]</f>
        <v>Đại học</v>
      </c>
      <c r="K98" t="str">
        <f>step3_validation[[#This Row],[Employment]]</f>
        <v>Phi chính thức</v>
      </c>
      <c r="L98" t="str">
        <f>survey_responses[[#This Row],[Tình trạng việc làm chính:]]</f>
        <v>Khu vực phi chính thức (Lao động tự do, không có HĐLĐ)</v>
      </c>
      <c r="M98">
        <f>step3_validation[[#This Row],[Income_Mil]]</f>
        <v>201.79246404683141</v>
      </c>
      <c r="N98" t="str">
        <f>survey_responses[[#This Row],[Thu nhập bình quân tháng theo Hợp đồng lao động của bạn là bao nhiêu? (Vui lòng điền tổng thu nhập trước khi khấu trừ các loại Bảo hiểm (BHXH, BHYT, BHTN) và Thuế TNCN)]]</f>
        <v>Trên 102 triệu VNĐ</v>
      </c>
      <c r="O98">
        <f>step3_validation[[#This Row],[Dependents]]</f>
        <v>4</v>
      </c>
      <c r="P98" t="str">
        <f>survey_responses[[#This Row],[Số người phụ thuộc (con nhỏ, cha mẹ già...) đủ điều kiện giảm trừ gia cảnh:]]</f>
        <v>4 người trở lên</v>
      </c>
      <c r="Q98">
        <f>step3_validation[[#This Row],[AI_ENF1]]</f>
        <v>8</v>
      </c>
      <c r="R98">
        <f t="shared" si="27"/>
        <v>0.77777777777777779</v>
      </c>
      <c r="S98">
        <f>survey_responses[[#This Row],[Tôi tin rằng với các quy định quản lý thuế hiện nay, hành vi gian lận hoặc trốn thuế sẽ dễ dàng bị phát hiện và xử lý nghiêm. - HUMAN-ENF1]]</f>
        <v>6</v>
      </c>
      <c r="T98">
        <f t="shared" si="28"/>
        <v>0.55555555555555558</v>
      </c>
      <c r="U98">
        <f>step3_validation[[#This Row],[AI_ENF2]]</f>
        <v>7</v>
      </c>
      <c r="V98">
        <f t="shared" si="29"/>
        <v>0.66666666666666663</v>
      </c>
      <c r="W98">
        <f>survey_responses[[#This Row],[Tôi tin rằng Nhà nước, cơ quan thuế có đủ khả năng và công nghệ để phát hiện, xử lý nghiêm các hành vi trốn thuế. - HUMAN-ENF2]]</f>
        <v>6</v>
      </c>
      <c r="X98">
        <f t="shared" si="30"/>
        <v>0.55555555555555558</v>
      </c>
      <c r="Y98" s="32">
        <f t="shared" si="31"/>
        <v>0.72222222222222221</v>
      </c>
      <c r="Z98" s="32">
        <f t="shared" si="32"/>
        <v>0.55555555555555558</v>
      </c>
      <c r="AA98">
        <f>step3_validation[[#This Row],[AI_FAC1]]</f>
        <v>9</v>
      </c>
      <c r="AB98">
        <f t="shared" si="33"/>
        <v>0.88888888888888884</v>
      </c>
      <c r="AC98">
        <f>survey_responses[[#This Row],[Các thủ tục khai báo thuế VÀ/HOẶC quy trình làm việc với cơ quan thuế đơn giản, tiện lợi, nhanh chóng hơn so với trước đây. - HUMAN-FAC1]]</f>
        <v>5</v>
      </c>
      <c r="AD98">
        <f t="shared" si="34"/>
        <v>0.44444444444444442</v>
      </c>
      <c r="AE98">
        <f>step3_validation[[#This Row],[AI_FAC2]]</f>
        <v>8</v>
      </c>
      <c r="AF98">
        <f t="shared" si="35"/>
        <v>0.77777777777777779</v>
      </c>
      <c r="AG98">
        <f>survey_responses[[#This Row],[So với trước đây, tôi thấy cách tính thuế và các bậc thuế trong phương án mới đơn giản, dễ hiểu và dễ thực hiện hơn. - HUMAN-FAC2]]</f>
        <v>5</v>
      </c>
      <c r="AH98">
        <f t="shared" si="36"/>
        <v>0.44444444444444442</v>
      </c>
      <c r="AI98" s="32">
        <f t="shared" si="37"/>
        <v>0.83333333333333326</v>
      </c>
      <c r="AJ98" s="32">
        <f t="shared" si="38"/>
        <v>0.44444444444444442</v>
      </c>
      <c r="AK98">
        <f>step3_validation[[#This Row],[AI_TRU1]]</f>
        <v>9</v>
      </c>
      <c r="AL98">
        <f t="shared" si="39"/>
        <v>0.88888888888888884</v>
      </c>
      <c r="AM98">
        <f>survey_responses[[#This Row],[Tôi tin rằng Nhà nước, cơ quan thuế sẽ thực thi chính sách mới một cách khách quan, công tâm và đối xử bình đẳng với mọi người nộp thuế.  - HUMAN-TRU1]]</f>
        <v>5</v>
      </c>
      <c r="AN98">
        <f t="shared" si="40"/>
        <v>0.44444444444444442</v>
      </c>
      <c r="AO98">
        <f>step3_validation[[#This Row],[AI_TRU2]]</f>
        <v>8</v>
      </c>
      <c r="AP98">
        <f t="shared" si="41"/>
        <v>0.77777777777777779</v>
      </c>
      <c r="AQ98">
        <f>survey_responses[[#This Row],[Tôi thấy mức thuế tôi phải đóng theo phương án mới là công bằng (người thu nhập như tôi đóng mức này là hợp lý). - HUMAN-TRU2]]</f>
        <v>5</v>
      </c>
      <c r="AR98">
        <f t="shared" si="42"/>
        <v>0.44444444444444442</v>
      </c>
      <c r="AS98">
        <f>step3_validation[[#This Row],[AI_TRU3]]</f>
        <v>9</v>
      </c>
      <c r="AT98">
        <f t="shared" si="43"/>
        <v>0.88888888888888884</v>
      </c>
      <c r="AU98">
        <f>survey_responses[[#This Row],[Tôi tin tưởng số tiền thuế tôi đóng sẽ được Nhà nước sử dụng hiệu quả để cải thiện dịch vụ công (y tế, đường xá...). - HUMAN-TRU3]]</f>
        <v>5</v>
      </c>
      <c r="AV98">
        <f t="shared" si="44"/>
        <v>0.44444444444444442</v>
      </c>
      <c r="AW98">
        <f>step3_validation[[#This Row],[AI_TRU4]]</f>
        <v>8</v>
      </c>
      <c r="AX98">
        <f t="shared" si="45"/>
        <v>0.77777777777777779</v>
      </c>
      <c r="AY98">
        <f>survey_responses[[#This Row],[Tôi thấy Nhà nước đã giải thích rõ ràng, minh bạch về lý do và mục tiêu của việc sửa đổi thuế lần này. - HUMAN-TRU4]]</f>
        <v>5</v>
      </c>
      <c r="AZ98">
        <f t="shared" si="46"/>
        <v>0.44444444444444442</v>
      </c>
      <c r="BA98" s="32">
        <f t="shared" si="47"/>
        <v>0.83333333333333326</v>
      </c>
      <c r="BB98" s="32">
        <f t="shared" si="48"/>
        <v>0.44444444444444442</v>
      </c>
      <c r="BC98" s="7">
        <f t="shared" si="49"/>
        <v>0.79629629629629617</v>
      </c>
      <c r="BD98" s="7">
        <f t="shared" si="50"/>
        <v>0.48148148148148145</v>
      </c>
      <c r="BE98">
        <f>step3_validation[[#This Row],[AI_OUT1]]</f>
        <v>9</v>
      </c>
      <c r="BF98">
        <f t="shared" si="51"/>
        <v>0.88888888888888884</v>
      </c>
      <c r="BG98">
        <f>survey_responses[[#This Row],[Sau khi xem xét các quyền lợi và nghĩa vụ, bạn có ủng hộ và tuân thủ chính sách mới hiện nay? - HUMAN-OUT1]]</f>
        <v>5</v>
      </c>
      <c r="BH98">
        <f t="shared" si="52"/>
        <v>0.44444444444444442</v>
      </c>
      <c r="BI98" s="32">
        <f t="shared" si="53"/>
        <v>4</v>
      </c>
    </row>
    <row r="99" spans="1:61" x14ac:dyDescent="0.45">
      <c r="A99" s="30">
        <f>step3_validation[[#This Row],[Persona_ID]]</f>
        <v>98</v>
      </c>
      <c r="B99" s="31">
        <f>step3_validation[[#This Row],[Used_Seed]]</f>
        <v>98</v>
      </c>
      <c r="C99" t="str">
        <f>step3_validation[[#This Row],[Gender]]</f>
        <v>Nữ</v>
      </c>
      <c r="D99" t="str">
        <f>survey_responses[[#This Row],[Giới tính của bạn:]]</f>
        <v>Nữ</v>
      </c>
      <c r="E99" t="str">
        <f>step3_validation[[#This Row],[Age_Group]]</f>
        <v>30 - 39</v>
      </c>
      <c r="F99" t="str">
        <f>survey_responses[[#This Row],[Độ tuổi của bạn:]]</f>
        <v>30 - 39</v>
      </c>
      <c r="G99" t="str">
        <f>step3_validation[[#This Row],[Region]]</f>
        <v>Nông thôn</v>
      </c>
      <c r="H99" t="str">
        <f>survey_responses[[#This Row],[Khu vực bạn đang sinh sống:]]</f>
        <v>Nông thôn</v>
      </c>
      <c r="I99" t="str">
        <f>step3_validation[[#This Row],[Education]]</f>
        <v>Đại học</v>
      </c>
      <c r="J99" t="str">
        <f>survey_responses[[#This Row],[Trình độ học vấn cao nhất:]]</f>
        <v>Đại học</v>
      </c>
      <c r="K99" t="str">
        <f>step3_validation[[#This Row],[Employment]]</f>
        <v>Chính thức</v>
      </c>
      <c r="L99" t="str">
        <f>survey_responses[[#This Row],[Tình trạng việc làm chính:]]</f>
        <v>Khu vực chính thức (Có Hợp đồng lao động, đóng BHXH)</v>
      </c>
      <c r="M99">
        <f>step3_validation[[#This Row],[Income_Mil]]</f>
        <v>21.77462216404718</v>
      </c>
      <c r="N99" t="str">
        <f>survey_responses[[#This Row],[Thu nhập bình quân tháng theo Hợp đồng lao động của bạn là bao nhiêu? (Vui lòng điền tổng thu nhập trước khi khấu trừ các loại Bảo hiểm (BHXH, BHYT, BHTN) và Thuế TNCN)]]</f>
        <v>Từ 18 - 23 triệu VNĐ</v>
      </c>
      <c r="O99">
        <f>step3_validation[[#This Row],[Dependents]]</f>
        <v>0</v>
      </c>
      <c r="P99" t="str">
        <f>survey_responses[[#This Row],[Số người phụ thuộc (con nhỏ, cha mẹ già...) đủ điều kiện giảm trừ gia cảnh:]]</f>
        <v>0 người</v>
      </c>
      <c r="Q99">
        <f>step3_validation[[#This Row],[AI_ENF1]]</f>
        <v>9</v>
      </c>
      <c r="R99">
        <f t="shared" si="27"/>
        <v>0.88888888888888884</v>
      </c>
      <c r="S99">
        <f>survey_responses[[#This Row],[Tôi tin rằng với các quy định quản lý thuế hiện nay, hành vi gian lận hoặc trốn thuế sẽ dễ dàng bị phát hiện và xử lý nghiêm. - HUMAN-ENF1]]</f>
        <v>8</v>
      </c>
      <c r="T99">
        <f t="shared" si="28"/>
        <v>0.77777777777777779</v>
      </c>
      <c r="U99">
        <f>step3_validation[[#This Row],[AI_ENF2]]</f>
        <v>8</v>
      </c>
      <c r="V99">
        <f t="shared" si="29"/>
        <v>0.77777777777777779</v>
      </c>
      <c r="W99">
        <f>survey_responses[[#This Row],[Tôi tin rằng Nhà nước, cơ quan thuế có đủ khả năng và công nghệ để phát hiện, xử lý nghiêm các hành vi trốn thuế. - HUMAN-ENF2]]</f>
        <v>8</v>
      </c>
      <c r="X99">
        <f t="shared" si="30"/>
        <v>0.77777777777777779</v>
      </c>
      <c r="Y99" s="32">
        <f t="shared" si="31"/>
        <v>0.83333333333333326</v>
      </c>
      <c r="Z99" s="32">
        <f t="shared" si="32"/>
        <v>0.77777777777777779</v>
      </c>
      <c r="AA99">
        <f>step3_validation[[#This Row],[AI_FAC1]]</f>
        <v>7</v>
      </c>
      <c r="AB99">
        <f t="shared" si="33"/>
        <v>0.66666666666666663</v>
      </c>
      <c r="AC99">
        <f>survey_responses[[#This Row],[Các thủ tục khai báo thuế VÀ/HOẶC quy trình làm việc với cơ quan thuế đơn giản, tiện lợi, nhanh chóng hơn so với trước đây. - HUMAN-FAC1]]</f>
        <v>5</v>
      </c>
      <c r="AD99">
        <f t="shared" si="34"/>
        <v>0.44444444444444442</v>
      </c>
      <c r="AE99">
        <f>step3_validation[[#This Row],[AI_FAC2]]</f>
        <v>6</v>
      </c>
      <c r="AF99">
        <f t="shared" si="35"/>
        <v>0.55555555555555558</v>
      </c>
      <c r="AG99">
        <f>survey_responses[[#This Row],[So với trước đây, tôi thấy cách tính thuế và các bậc thuế trong phương án mới đơn giản, dễ hiểu và dễ thực hiện hơn. - HUMAN-FAC2]]</f>
        <v>8</v>
      </c>
      <c r="AH99">
        <f t="shared" si="36"/>
        <v>0.77777777777777779</v>
      </c>
      <c r="AI99" s="32">
        <f t="shared" si="37"/>
        <v>0.61111111111111116</v>
      </c>
      <c r="AJ99" s="32">
        <f t="shared" si="38"/>
        <v>0.61111111111111116</v>
      </c>
      <c r="AK99">
        <f>step3_validation[[#This Row],[AI_TRU1]]</f>
        <v>9</v>
      </c>
      <c r="AL99">
        <f t="shared" si="39"/>
        <v>0.88888888888888884</v>
      </c>
      <c r="AM99">
        <f>survey_responses[[#This Row],[Tôi tin rằng Nhà nước, cơ quan thuế sẽ thực thi chính sách mới một cách khách quan, công tâm và đối xử bình đẳng với mọi người nộp thuế.  - HUMAN-TRU1]]</f>
        <v>6</v>
      </c>
      <c r="AN99">
        <f t="shared" si="40"/>
        <v>0.55555555555555558</v>
      </c>
      <c r="AO99">
        <f>step3_validation[[#This Row],[AI_TRU2]]</f>
        <v>8</v>
      </c>
      <c r="AP99">
        <f t="shared" si="41"/>
        <v>0.77777777777777779</v>
      </c>
      <c r="AQ99">
        <f>survey_responses[[#This Row],[Tôi thấy mức thuế tôi phải đóng theo phương án mới là công bằng (người thu nhập như tôi đóng mức này là hợp lý). - HUMAN-TRU2]]</f>
        <v>9</v>
      </c>
      <c r="AR99">
        <f t="shared" si="42"/>
        <v>0.88888888888888884</v>
      </c>
      <c r="AS99">
        <f>step3_validation[[#This Row],[AI_TRU3]]</f>
        <v>7</v>
      </c>
      <c r="AT99">
        <f t="shared" si="43"/>
        <v>0.66666666666666663</v>
      </c>
      <c r="AU99">
        <f>survey_responses[[#This Row],[Tôi tin tưởng số tiền thuế tôi đóng sẽ được Nhà nước sử dụng hiệu quả để cải thiện dịch vụ công (y tế, đường xá...). - HUMAN-TRU3]]</f>
        <v>5</v>
      </c>
      <c r="AV99">
        <f t="shared" si="44"/>
        <v>0.44444444444444442</v>
      </c>
      <c r="AW99">
        <f>step3_validation[[#This Row],[AI_TRU4]]</f>
        <v>8</v>
      </c>
      <c r="AX99">
        <f t="shared" si="45"/>
        <v>0.77777777777777779</v>
      </c>
      <c r="AY99">
        <f>survey_responses[[#This Row],[Tôi thấy Nhà nước đã giải thích rõ ràng, minh bạch về lý do và mục tiêu của việc sửa đổi thuế lần này. - HUMAN-TRU4]]</f>
        <v>7</v>
      </c>
      <c r="AZ99">
        <f t="shared" si="46"/>
        <v>0.66666666666666663</v>
      </c>
      <c r="BA99" s="32">
        <f t="shared" si="47"/>
        <v>0.77777777777777768</v>
      </c>
      <c r="BB99" s="32">
        <f t="shared" si="48"/>
        <v>0.63888888888888884</v>
      </c>
      <c r="BC99" s="7">
        <f t="shared" si="49"/>
        <v>0.74074074074074081</v>
      </c>
      <c r="BD99" s="7">
        <f t="shared" si="50"/>
        <v>0.67592592592592593</v>
      </c>
      <c r="BE99">
        <f>step3_validation[[#This Row],[AI_OUT1]]</f>
        <v>9</v>
      </c>
      <c r="BF99">
        <f t="shared" si="51"/>
        <v>0.88888888888888884</v>
      </c>
      <c r="BG99">
        <f>survey_responses[[#This Row],[Sau khi xem xét các quyền lợi và nghĩa vụ, bạn có ủng hộ và tuân thủ chính sách mới hiện nay? - HUMAN-OUT1]]</f>
        <v>8</v>
      </c>
      <c r="BH99">
        <f t="shared" si="52"/>
        <v>0.77777777777777779</v>
      </c>
      <c r="BI99" s="32">
        <f t="shared" si="53"/>
        <v>1</v>
      </c>
    </row>
    <row r="100" spans="1:61" x14ac:dyDescent="0.45">
      <c r="A100" s="30">
        <f>step3_validation[[#This Row],[Persona_ID]]</f>
        <v>99</v>
      </c>
      <c r="B100" s="31">
        <f>step3_validation[[#This Row],[Used_Seed]]</f>
        <v>99</v>
      </c>
      <c r="C100" t="str">
        <f>step3_validation[[#This Row],[Gender]]</f>
        <v>Nam</v>
      </c>
      <c r="D100" t="str">
        <f>survey_responses[[#This Row],[Giới tính của bạn:]]</f>
        <v>Nam</v>
      </c>
      <c r="E100" t="str">
        <f>step3_validation[[#This Row],[Age_Group]]</f>
        <v>25 - 29</v>
      </c>
      <c r="F100" t="str">
        <f>survey_responses[[#This Row],[Độ tuổi của bạn:]]</f>
        <v>25 - 29</v>
      </c>
      <c r="G100" t="str">
        <f>step3_validation[[#This Row],[Region]]</f>
        <v>Thành thị</v>
      </c>
      <c r="H100" t="str">
        <f>survey_responses[[#This Row],[Khu vực bạn đang sinh sống:]]</f>
        <v>Thành thị</v>
      </c>
      <c r="I100" t="str">
        <f>step3_validation[[#This Row],[Education]]</f>
        <v>Đại học</v>
      </c>
      <c r="J100" t="str">
        <f>survey_responses[[#This Row],[Trình độ học vấn cao nhất:]]</f>
        <v>Đại học</v>
      </c>
      <c r="K100" t="str">
        <f>step3_validation[[#This Row],[Employment]]</f>
        <v>Chính thức</v>
      </c>
      <c r="L100" t="str">
        <f>survey_responses[[#This Row],[Tình trạng việc làm chính:]]</f>
        <v>Khu vực chính thức (Có Hợp đồng lao động, đóng BHXH)</v>
      </c>
      <c r="M100">
        <f>step3_validation[[#This Row],[Income_Mil]]</f>
        <v>27.048245396387156</v>
      </c>
      <c r="N100" t="str">
        <f>survey_responses[[#This Row],[Thu nhập bình quân tháng theo Hợp đồng lao động của bạn là bao nhiêu? (Vui lòng điền tổng thu nhập trước khi khấu trừ các loại Bảo hiểm (BHXH, BHYT, BHTN) và Thuế TNCN)]]</f>
        <v>Từ 23 - 32 triệu VNĐ</v>
      </c>
      <c r="O100">
        <f>step3_validation[[#This Row],[Dependents]]</f>
        <v>1</v>
      </c>
      <c r="P100" t="str">
        <f>survey_responses[[#This Row],[Số người phụ thuộc (con nhỏ, cha mẹ già...) đủ điều kiện giảm trừ gia cảnh:]]</f>
        <v>1 người</v>
      </c>
      <c r="Q100">
        <f>step3_validation[[#This Row],[AI_ENF1]]</f>
        <v>7</v>
      </c>
      <c r="R100">
        <f t="shared" si="27"/>
        <v>0.66666666666666663</v>
      </c>
      <c r="S100">
        <f>survey_responses[[#This Row],[Tôi tin rằng với các quy định quản lý thuế hiện nay, hành vi gian lận hoặc trốn thuế sẽ dễ dàng bị phát hiện và xử lý nghiêm. - HUMAN-ENF1]]</f>
        <v>6</v>
      </c>
      <c r="T100">
        <f t="shared" si="28"/>
        <v>0.55555555555555558</v>
      </c>
      <c r="U100">
        <f>step3_validation[[#This Row],[AI_ENF2]]</f>
        <v>8</v>
      </c>
      <c r="V100">
        <f t="shared" si="29"/>
        <v>0.77777777777777779</v>
      </c>
      <c r="W100">
        <f>survey_responses[[#This Row],[Tôi tin rằng Nhà nước, cơ quan thuế có đủ khả năng và công nghệ để phát hiện, xử lý nghiêm các hành vi trốn thuế. - HUMAN-ENF2]]</f>
        <v>6</v>
      </c>
      <c r="X100">
        <f t="shared" si="30"/>
        <v>0.55555555555555558</v>
      </c>
      <c r="Y100" s="32">
        <f t="shared" si="31"/>
        <v>0.72222222222222221</v>
      </c>
      <c r="Z100" s="32">
        <f t="shared" si="32"/>
        <v>0.55555555555555558</v>
      </c>
      <c r="AA100">
        <f>step3_validation[[#This Row],[AI_FAC1]]</f>
        <v>9</v>
      </c>
      <c r="AB100">
        <f t="shared" si="33"/>
        <v>0.88888888888888884</v>
      </c>
      <c r="AC100">
        <f>survey_responses[[#This Row],[Các thủ tục khai báo thuế VÀ/HOẶC quy trình làm việc với cơ quan thuế đơn giản, tiện lợi, nhanh chóng hơn so với trước đây. - HUMAN-FAC1]]</f>
        <v>3</v>
      </c>
      <c r="AD100">
        <f t="shared" si="34"/>
        <v>0.22222222222222221</v>
      </c>
      <c r="AE100">
        <f>step3_validation[[#This Row],[AI_FAC2]]</f>
        <v>9</v>
      </c>
      <c r="AF100">
        <f t="shared" si="35"/>
        <v>0.88888888888888884</v>
      </c>
      <c r="AG100">
        <f>survey_responses[[#This Row],[So với trước đây, tôi thấy cách tính thuế và các bậc thuế trong phương án mới đơn giản, dễ hiểu và dễ thực hiện hơn. - HUMAN-FAC2]]</f>
        <v>6</v>
      </c>
      <c r="AH100">
        <f t="shared" si="36"/>
        <v>0.55555555555555558</v>
      </c>
      <c r="AI100" s="32">
        <f t="shared" si="37"/>
        <v>0.88888888888888884</v>
      </c>
      <c r="AJ100" s="32">
        <f t="shared" si="38"/>
        <v>0.3888888888888889</v>
      </c>
      <c r="AK100">
        <f>step3_validation[[#This Row],[AI_TRU1]]</f>
        <v>6</v>
      </c>
      <c r="AL100">
        <f t="shared" si="39"/>
        <v>0.55555555555555558</v>
      </c>
      <c r="AM100">
        <f>survey_responses[[#This Row],[Tôi tin rằng Nhà nước, cơ quan thuế sẽ thực thi chính sách mới một cách khách quan, công tâm và đối xử bình đẳng với mọi người nộp thuế.  - HUMAN-TRU1]]</f>
        <v>5</v>
      </c>
      <c r="AN100">
        <f t="shared" si="40"/>
        <v>0.44444444444444442</v>
      </c>
      <c r="AO100">
        <f>step3_validation[[#This Row],[AI_TRU2]]</f>
        <v>9</v>
      </c>
      <c r="AP100">
        <f t="shared" si="41"/>
        <v>0.88888888888888884</v>
      </c>
      <c r="AQ100">
        <f>survey_responses[[#This Row],[Tôi thấy mức thuế tôi phải đóng theo phương án mới là công bằng (người thu nhập như tôi đóng mức này là hợp lý). - HUMAN-TRU2]]</f>
        <v>6</v>
      </c>
      <c r="AR100">
        <f t="shared" si="42"/>
        <v>0.55555555555555558</v>
      </c>
      <c r="AS100">
        <f>step3_validation[[#This Row],[AI_TRU3]]</f>
        <v>5</v>
      </c>
      <c r="AT100">
        <f t="shared" si="43"/>
        <v>0.44444444444444442</v>
      </c>
      <c r="AU100">
        <f>survey_responses[[#This Row],[Tôi tin tưởng số tiền thuế tôi đóng sẽ được Nhà nước sử dụng hiệu quả để cải thiện dịch vụ công (y tế, đường xá...). - HUMAN-TRU3]]</f>
        <v>5</v>
      </c>
      <c r="AV100">
        <f t="shared" si="44"/>
        <v>0.44444444444444442</v>
      </c>
      <c r="AW100">
        <f>step3_validation[[#This Row],[AI_TRU4]]</f>
        <v>7</v>
      </c>
      <c r="AX100">
        <f t="shared" si="45"/>
        <v>0.66666666666666663</v>
      </c>
      <c r="AY100">
        <f>survey_responses[[#This Row],[Tôi thấy Nhà nước đã giải thích rõ ràng, minh bạch về lý do và mục tiêu của việc sửa đổi thuế lần này. - HUMAN-TRU4]]</f>
        <v>6</v>
      </c>
      <c r="AZ100">
        <f t="shared" si="46"/>
        <v>0.55555555555555558</v>
      </c>
      <c r="BA100" s="32">
        <f t="shared" si="47"/>
        <v>0.63888888888888884</v>
      </c>
      <c r="BB100" s="32">
        <f t="shared" si="48"/>
        <v>0.5</v>
      </c>
      <c r="BC100" s="7">
        <f t="shared" si="49"/>
        <v>0.75</v>
      </c>
      <c r="BD100" s="7">
        <f t="shared" si="50"/>
        <v>0.48148148148148145</v>
      </c>
      <c r="BE100">
        <f>step3_validation[[#This Row],[AI_OUT1]]</f>
        <v>9</v>
      </c>
      <c r="BF100">
        <f t="shared" si="51"/>
        <v>0.88888888888888884</v>
      </c>
      <c r="BG100">
        <f>survey_responses[[#This Row],[Sau khi xem xét các quyền lợi và nghĩa vụ, bạn có ủng hộ và tuân thủ chính sách mới hiện nay? - HUMAN-OUT1]]</f>
        <v>6</v>
      </c>
      <c r="BH100">
        <f t="shared" si="52"/>
        <v>0.55555555555555558</v>
      </c>
      <c r="BI100" s="32">
        <f t="shared" si="53"/>
        <v>3</v>
      </c>
    </row>
    <row r="101" spans="1:61" x14ac:dyDescent="0.45">
      <c r="A101" s="30">
        <f>step3_validation[[#This Row],[Persona_ID]]</f>
        <v>100</v>
      </c>
      <c r="B101" s="31">
        <f>step3_validation[[#This Row],[Used_Seed]]</f>
        <v>100</v>
      </c>
      <c r="C101" t="str">
        <f>step3_validation[[#This Row],[Gender]]</f>
        <v>Nữ</v>
      </c>
      <c r="D101" t="str">
        <f>survey_responses[[#This Row],[Giới tính của bạn:]]</f>
        <v>Nữ</v>
      </c>
      <c r="E101" t="str">
        <f>step3_validation[[#This Row],[Age_Group]]</f>
        <v>55 - 64</v>
      </c>
      <c r="F101" t="str">
        <f>survey_responses[[#This Row],[Độ tuổi của bạn:]]</f>
        <v>55 - 64</v>
      </c>
      <c r="G101" t="str">
        <f>step3_validation[[#This Row],[Region]]</f>
        <v>Thành thị</v>
      </c>
      <c r="H101" t="str">
        <f>survey_responses[[#This Row],[Khu vực bạn đang sinh sống:]]</f>
        <v>Thành thị</v>
      </c>
      <c r="I101" t="str">
        <f>step3_validation[[#This Row],[Education]]</f>
        <v>Đại học</v>
      </c>
      <c r="J101" t="str">
        <f>survey_responses[[#This Row],[Trình độ học vấn cao nhất:]]</f>
        <v>Đại học</v>
      </c>
      <c r="K101" t="str">
        <f>step3_validation[[#This Row],[Employment]]</f>
        <v>Chính thức</v>
      </c>
      <c r="L101" t="str">
        <f>survey_responses[[#This Row],[Tình trạng việc làm chính:]]</f>
        <v>Khu vực chính thức (Có Hợp đồng lao động, đóng BHXH)</v>
      </c>
      <c r="M101">
        <f>step3_validation[[#This Row],[Income_Mil]]</f>
        <v>16.174908152510046</v>
      </c>
      <c r="N101" t="str">
        <f>survey_responses[[#This Row],[Thu nhập bình quân tháng theo Hợp đồng lao động của bạn là bao nhiêu? (Vui lòng điền tổng thu nhập trước khi khấu trừ các loại Bảo hiểm (BHXH, BHYT, BHTN) và Thuế TNCN)]]</f>
        <v>Từ 12 - 18 triệu VNĐ</v>
      </c>
      <c r="O101">
        <f>step3_validation[[#This Row],[Dependents]]</f>
        <v>1</v>
      </c>
      <c r="P101" t="str">
        <f>survey_responses[[#This Row],[Số người phụ thuộc (con nhỏ, cha mẹ già...) đủ điều kiện giảm trừ gia cảnh:]]</f>
        <v>1 người</v>
      </c>
      <c r="Q101">
        <f>step3_validation[[#This Row],[AI_ENF1]]</f>
        <v>7</v>
      </c>
      <c r="R101">
        <f t="shared" si="27"/>
        <v>0.66666666666666663</v>
      </c>
      <c r="S101">
        <f>survey_responses[[#This Row],[Tôi tin rằng với các quy định quản lý thuế hiện nay, hành vi gian lận hoặc trốn thuế sẽ dễ dàng bị phát hiện và xử lý nghiêm. - HUMAN-ENF1]]</f>
        <v>8</v>
      </c>
      <c r="T101">
        <f t="shared" si="28"/>
        <v>0.77777777777777779</v>
      </c>
      <c r="U101">
        <f>step3_validation[[#This Row],[AI_ENF2]]</f>
        <v>6</v>
      </c>
      <c r="V101">
        <f t="shared" si="29"/>
        <v>0.55555555555555558</v>
      </c>
      <c r="W101">
        <f>survey_responses[[#This Row],[Tôi tin rằng Nhà nước, cơ quan thuế có đủ khả năng và công nghệ để phát hiện, xử lý nghiêm các hành vi trốn thuế. - HUMAN-ENF2]]</f>
        <v>8</v>
      </c>
      <c r="X101">
        <f t="shared" si="30"/>
        <v>0.77777777777777779</v>
      </c>
      <c r="Y101" s="32">
        <f t="shared" si="31"/>
        <v>0.61111111111111116</v>
      </c>
      <c r="Z101" s="32">
        <f t="shared" si="32"/>
        <v>0.77777777777777779</v>
      </c>
      <c r="AA101">
        <f>step3_validation[[#This Row],[AI_FAC1]]</f>
        <v>5</v>
      </c>
      <c r="AB101">
        <f t="shared" si="33"/>
        <v>0.44444444444444442</v>
      </c>
      <c r="AC101">
        <f>survey_responses[[#This Row],[Các thủ tục khai báo thuế VÀ/HOẶC quy trình làm việc với cơ quan thuế đơn giản, tiện lợi, nhanh chóng hơn so với trước đây. - HUMAN-FAC1]]</f>
        <v>8</v>
      </c>
      <c r="AD101">
        <f t="shared" si="34"/>
        <v>0.77777777777777779</v>
      </c>
      <c r="AE101">
        <f>step3_validation[[#This Row],[AI_FAC2]]</f>
        <v>8</v>
      </c>
      <c r="AF101">
        <f t="shared" si="35"/>
        <v>0.77777777777777779</v>
      </c>
      <c r="AG101">
        <f>survey_responses[[#This Row],[So với trước đây, tôi thấy cách tính thuế và các bậc thuế trong phương án mới đơn giản, dễ hiểu và dễ thực hiện hơn. - HUMAN-FAC2]]</f>
        <v>10</v>
      </c>
      <c r="AH101">
        <f t="shared" si="36"/>
        <v>1</v>
      </c>
      <c r="AI101" s="32">
        <f t="shared" si="37"/>
        <v>0.61111111111111116</v>
      </c>
      <c r="AJ101" s="32">
        <f t="shared" si="38"/>
        <v>0.88888888888888884</v>
      </c>
      <c r="AK101">
        <f>step3_validation[[#This Row],[AI_TRU1]]</f>
        <v>6</v>
      </c>
      <c r="AL101">
        <f t="shared" si="39"/>
        <v>0.55555555555555558</v>
      </c>
      <c r="AM101">
        <f>survey_responses[[#This Row],[Tôi tin rằng Nhà nước, cơ quan thuế sẽ thực thi chính sách mới một cách khách quan, công tâm và đối xử bình đẳng với mọi người nộp thuế.  - HUMAN-TRU1]]</f>
        <v>10</v>
      </c>
      <c r="AN101">
        <f t="shared" si="40"/>
        <v>1</v>
      </c>
      <c r="AO101">
        <f>step3_validation[[#This Row],[AI_TRU2]]</f>
        <v>9</v>
      </c>
      <c r="AP101">
        <f t="shared" si="41"/>
        <v>0.88888888888888884</v>
      </c>
      <c r="AQ101">
        <f>survey_responses[[#This Row],[Tôi thấy mức thuế tôi phải đóng theo phương án mới là công bằng (người thu nhập như tôi đóng mức này là hợp lý). - HUMAN-TRU2]]</f>
        <v>10</v>
      </c>
      <c r="AR101">
        <f t="shared" si="42"/>
        <v>1</v>
      </c>
      <c r="AS101">
        <f>step3_validation[[#This Row],[AI_TRU3]]</f>
        <v>6</v>
      </c>
      <c r="AT101">
        <f t="shared" si="43"/>
        <v>0.55555555555555558</v>
      </c>
      <c r="AU101">
        <f>survey_responses[[#This Row],[Tôi tin tưởng số tiền thuế tôi đóng sẽ được Nhà nước sử dụng hiệu quả để cải thiện dịch vụ công (y tế, đường xá...). - HUMAN-TRU3]]</f>
        <v>10</v>
      </c>
      <c r="AV101">
        <f t="shared" si="44"/>
        <v>1</v>
      </c>
      <c r="AW101">
        <f>step3_validation[[#This Row],[AI_TRU4]]</f>
        <v>7</v>
      </c>
      <c r="AX101">
        <f t="shared" si="45"/>
        <v>0.66666666666666663</v>
      </c>
      <c r="AY101">
        <f>survey_responses[[#This Row],[Tôi thấy Nhà nước đã giải thích rõ ràng, minh bạch về lý do và mục tiêu của việc sửa đổi thuế lần này. - HUMAN-TRU4]]</f>
        <v>10</v>
      </c>
      <c r="AZ101">
        <f t="shared" si="46"/>
        <v>1</v>
      </c>
      <c r="BA101" s="32">
        <f t="shared" si="47"/>
        <v>0.66666666666666663</v>
      </c>
      <c r="BB101" s="32">
        <f t="shared" si="48"/>
        <v>1</v>
      </c>
      <c r="BC101" s="7">
        <f t="shared" si="49"/>
        <v>0.62962962962962965</v>
      </c>
      <c r="BD101" s="7">
        <f t="shared" si="50"/>
        <v>0.88888888888888884</v>
      </c>
      <c r="BE101">
        <f>step3_validation[[#This Row],[AI_OUT1]]</f>
        <v>8</v>
      </c>
      <c r="BF101">
        <f t="shared" si="51"/>
        <v>0.77777777777777779</v>
      </c>
      <c r="BG101">
        <f>survey_responses[[#This Row],[Sau khi xem xét các quyền lợi và nghĩa vụ, bạn có ủng hộ và tuân thủ chính sách mới hiện nay? - HUMAN-OUT1]]</f>
        <v>10</v>
      </c>
      <c r="BH101">
        <f t="shared" si="52"/>
        <v>1</v>
      </c>
      <c r="BI101" s="32">
        <f t="shared" si="53"/>
        <v>2</v>
      </c>
    </row>
    <row r="102" spans="1:61" x14ac:dyDescent="0.45">
      <c r="A102" s="30">
        <f>step3_validation[[#This Row],[Persona_ID]]</f>
        <v>101</v>
      </c>
      <c r="B102" s="31">
        <f>step3_validation[[#This Row],[Used_Seed]]</f>
        <v>101</v>
      </c>
      <c r="C102" t="str">
        <f>step3_validation[[#This Row],[Gender]]</f>
        <v>Nữ</v>
      </c>
      <c r="D102" t="str">
        <f>survey_responses[[#This Row],[Giới tính của bạn:]]</f>
        <v>Nữ</v>
      </c>
      <c r="E102" t="str">
        <f>step3_validation[[#This Row],[Age_Group]]</f>
        <v>50 - 54</v>
      </c>
      <c r="F102" t="str">
        <f>survey_responses[[#This Row],[Độ tuổi của bạn:]]</f>
        <v>50 - 54</v>
      </c>
      <c r="G102" t="str">
        <f>step3_validation[[#This Row],[Region]]</f>
        <v>Thành thị</v>
      </c>
      <c r="H102" t="str">
        <f>survey_responses[[#This Row],[Khu vực bạn đang sinh sống:]]</f>
        <v>Thành thị</v>
      </c>
      <c r="I102" t="str">
        <f>step3_validation[[#This Row],[Education]]</f>
        <v>Sau Đại học</v>
      </c>
      <c r="J102" t="str">
        <f>survey_responses[[#This Row],[Trình độ học vấn cao nhất:]]</f>
        <v>Sau Đại học</v>
      </c>
      <c r="K102" t="str">
        <f>step3_validation[[#This Row],[Employment]]</f>
        <v>Chính thức</v>
      </c>
      <c r="L102" t="str">
        <f>survey_responses[[#This Row],[Tình trạng việc làm chính:]]</f>
        <v>Khu vực chính thức (Có Hợp đồng lao động, đóng BHXH)</v>
      </c>
      <c r="M102">
        <f>step3_validation[[#This Row],[Income_Mil]]</f>
        <v>99.24950767392717</v>
      </c>
      <c r="N102" t="str">
        <f>survey_responses[[#This Row],[Thu nhập bình quân tháng theo Hợp đồng lao động của bạn là bao nhiêu? (Vui lòng điền tổng thu nhập trước khi khấu trừ các loại Bảo hiểm (BHXH, BHYT, BHTN) và Thuế TNCN)]]</f>
        <v>Từ 70 - 102 triệu VNĐ</v>
      </c>
      <c r="O102">
        <f>step3_validation[[#This Row],[Dependents]]</f>
        <v>4</v>
      </c>
      <c r="P102" t="str">
        <f>survey_responses[[#This Row],[Số người phụ thuộc (con nhỏ, cha mẹ già...) đủ điều kiện giảm trừ gia cảnh:]]</f>
        <v>4 người trở lên</v>
      </c>
      <c r="Q102">
        <f>step3_validation[[#This Row],[AI_ENF1]]</f>
        <v>8</v>
      </c>
      <c r="R102">
        <f t="shared" si="27"/>
        <v>0.77777777777777779</v>
      </c>
      <c r="S102">
        <f>survey_responses[[#This Row],[Tôi tin rằng với các quy định quản lý thuế hiện nay, hành vi gian lận hoặc trốn thuế sẽ dễ dàng bị phát hiện và xử lý nghiêm. - HUMAN-ENF1]]</f>
        <v>8</v>
      </c>
      <c r="T102">
        <f t="shared" si="28"/>
        <v>0.77777777777777779</v>
      </c>
      <c r="U102">
        <f>step3_validation[[#This Row],[AI_ENF2]]</f>
        <v>9</v>
      </c>
      <c r="V102">
        <f t="shared" si="29"/>
        <v>0.88888888888888884</v>
      </c>
      <c r="W102">
        <f>survey_responses[[#This Row],[Tôi tin rằng Nhà nước, cơ quan thuế có đủ khả năng và công nghệ để phát hiện, xử lý nghiêm các hành vi trốn thuế. - HUMAN-ENF2]]</f>
        <v>8</v>
      </c>
      <c r="X102">
        <f t="shared" si="30"/>
        <v>0.77777777777777779</v>
      </c>
      <c r="Y102" s="32">
        <f t="shared" si="31"/>
        <v>0.83333333333333326</v>
      </c>
      <c r="Z102" s="32">
        <f t="shared" si="32"/>
        <v>0.77777777777777779</v>
      </c>
      <c r="AA102">
        <f>step3_validation[[#This Row],[AI_FAC1]]</f>
        <v>9</v>
      </c>
      <c r="AB102">
        <f t="shared" si="33"/>
        <v>0.88888888888888884</v>
      </c>
      <c r="AC102">
        <f>survey_responses[[#This Row],[Các thủ tục khai báo thuế VÀ/HOẶC quy trình làm việc với cơ quan thuế đơn giản, tiện lợi, nhanh chóng hơn so với trước đây. - HUMAN-FAC1]]</f>
        <v>7</v>
      </c>
      <c r="AD102">
        <f t="shared" si="34"/>
        <v>0.66666666666666663</v>
      </c>
      <c r="AE102">
        <f>step3_validation[[#This Row],[AI_FAC2]]</f>
        <v>8</v>
      </c>
      <c r="AF102">
        <f t="shared" si="35"/>
        <v>0.77777777777777779</v>
      </c>
      <c r="AG102">
        <f>survey_responses[[#This Row],[So với trước đây, tôi thấy cách tính thuế và các bậc thuế trong phương án mới đơn giản, dễ hiểu và dễ thực hiện hơn. - HUMAN-FAC2]]</f>
        <v>8</v>
      </c>
      <c r="AH102">
        <f t="shared" si="36"/>
        <v>0.77777777777777779</v>
      </c>
      <c r="AI102" s="32">
        <f t="shared" si="37"/>
        <v>0.83333333333333326</v>
      </c>
      <c r="AJ102" s="32">
        <f t="shared" si="38"/>
        <v>0.72222222222222221</v>
      </c>
      <c r="AK102">
        <f>step3_validation[[#This Row],[AI_TRU1]]</f>
        <v>9</v>
      </c>
      <c r="AL102">
        <f t="shared" si="39"/>
        <v>0.88888888888888884</v>
      </c>
      <c r="AM102">
        <f>survey_responses[[#This Row],[Tôi tin rằng Nhà nước, cơ quan thuế sẽ thực thi chính sách mới một cách khách quan, công tâm và đối xử bình đẳng với mọi người nộp thuế.  - HUMAN-TRU1]]</f>
        <v>8</v>
      </c>
      <c r="AN102">
        <f t="shared" si="40"/>
        <v>0.77777777777777779</v>
      </c>
      <c r="AO102">
        <f>step3_validation[[#This Row],[AI_TRU2]]</f>
        <v>8</v>
      </c>
      <c r="AP102">
        <f t="shared" si="41"/>
        <v>0.77777777777777779</v>
      </c>
      <c r="AQ102">
        <f>survey_responses[[#This Row],[Tôi thấy mức thuế tôi phải đóng theo phương án mới là công bằng (người thu nhập như tôi đóng mức này là hợp lý). - HUMAN-TRU2]]</f>
        <v>7</v>
      </c>
      <c r="AR102">
        <f t="shared" si="42"/>
        <v>0.66666666666666663</v>
      </c>
      <c r="AS102">
        <f>step3_validation[[#This Row],[AI_TRU3]]</f>
        <v>9</v>
      </c>
      <c r="AT102">
        <f t="shared" si="43"/>
        <v>0.88888888888888884</v>
      </c>
      <c r="AU102">
        <f>survey_responses[[#This Row],[Tôi tin tưởng số tiền thuế tôi đóng sẽ được Nhà nước sử dụng hiệu quả để cải thiện dịch vụ công (y tế, đường xá...). - HUMAN-TRU3]]</f>
        <v>7</v>
      </c>
      <c r="AV102">
        <f t="shared" si="44"/>
        <v>0.66666666666666663</v>
      </c>
      <c r="AW102">
        <f>step3_validation[[#This Row],[AI_TRU4]]</f>
        <v>7</v>
      </c>
      <c r="AX102">
        <f t="shared" si="45"/>
        <v>0.66666666666666663</v>
      </c>
      <c r="AY102">
        <f>survey_responses[[#This Row],[Tôi thấy Nhà nước đã giải thích rõ ràng, minh bạch về lý do và mục tiêu của việc sửa đổi thuế lần này. - HUMAN-TRU4]]</f>
        <v>7</v>
      </c>
      <c r="AZ102">
        <f t="shared" si="46"/>
        <v>0.66666666666666663</v>
      </c>
      <c r="BA102" s="32">
        <f t="shared" si="47"/>
        <v>0.80555555555555547</v>
      </c>
      <c r="BB102" s="32">
        <f t="shared" si="48"/>
        <v>0.69444444444444442</v>
      </c>
      <c r="BC102" s="7">
        <f t="shared" si="49"/>
        <v>0.82407407407407396</v>
      </c>
      <c r="BD102" s="7">
        <f t="shared" si="50"/>
        <v>0.73148148148148151</v>
      </c>
      <c r="BE102">
        <f>step3_validation[[#This Row],[AI_OUT1]]</f>
        <v>8</v>
      </c>
      <c r="BF102">
        <f t="shared" si="51"/>
        <v>0.77777777777777779</v>
      </c>
      <c r="BG102">
        <f>survey_responses[[#This Row],[Sau khi xem xét các quyền lợi và nghĩa vụ, bạn có ủng hộ và tuân thủ chính sách mới hiện nay? - HUMAN-OUT1]]</f>
        <v>8</v>
      </c>
      <c r="BH102">
        <f t="shared" si="52"/>
        <v>0.77777777777777779</v>
      </c>
      <c r="BI102" s="32">
        <f t="shared" si="53"/>
        <v>0</v>
      </c>
    </row>
    <row r="103" spans="1:61" x14ac:dyDescent="0.45">
      <c r="A103" s="30">
        <f>step3_validation[[#This Row],[Persona_ID]]</f>
        <v>102</v>
      </c>
      <c r="B103" s="31">
        <f>step3_validation[[#This Row],[Used_Seed]]</f>
        <v>102</v>
      </c>
      <c r="C103" t="str">
        <f>step3_validation[[#This Row],[Gender]]</f>
        <v>Nam</v>
      </c>
      <c r="D103" t="str">
        <f>survey_responses[[#This Row],[Giới tính của bạn:]]</f>
        <v>Nam</v>
      </c>
      <c r="E103" t="str">
        <f>step3_validation[[#This Row],[Age_Group]]</f>
        <v>18 - 24</v>
      </c>
      <c r="F103" t="str">
        <f>survey_responses[[#This Row],[Độ tuổi của bạn:]]</f>
        <v>18 - 24</v>
      </c>
      <c r="G103" t="str">
        <f>step3_validation[[#This Row],[Region]]</f>
        <v>Thành thị</v>
      </c>
      <c r="H103" t="str">
        <f>survey_responses[[#This Row],[Khu vực bạn đang sinh sống:]]</f>
        <v>Thành thị</v>
      </c>
      <c r="I103" t="str">
        <f>step3_validation[[#This Row],[Education]]</f>
        <v>Đại học</v>
      </c>
      <c r="J103" t="str">
        <f>survey_responses[[#This Row],[Trình độ học vấn cao nhất:]]</f>
        <v>Đại học</v>
      </c>
      <c r="K103" t="str">
        <f>step3_validation[[#This Row],[Employment]]</f>
        <v>Chính thức</v>
      </c>
      <c r="L103" t="str">
        <f>survey_responses[[#This Row],[Tình trạng việc làm chính:]]</f>
        <v>Khu vực chính thức (Có Hợp đồng lao động, đóng BHXH)</v>
      </c>
      <c r="M103">
        <f>step3_validation[[#This Row],[Income_Mil]]</f>
        <v>12.799955725021519</v>
      </c>
      <c r="N103" t="str">
        <f>survey_responses[[#This Row],[Thu nhập bình quân tháng theo Hợp đồng lao động của bạn là bao nhiêu? (Vui lòng điền tổng thu nhập trước khi khấu trừ các loại Bảo hiểm (BHXH, BHYT, BHTN) và Thuế TNCN)]]</f>
        <v>Từ 12 - 18 triệu VNĐ</v>
      </c>
      <c r="O103">
        <f>step3_validation[[#This Row],[Dependents]]</f>
        <v>0</v>
      </c>
      <c r="P103" t="str">
        <f>survey_responses[[#This Row],[Số người phụ thuộc (con nhỏ, cha mẹ già...) đủ điều kiện giảm trừ gia cảnh:]]</f>
        <v>0 người</v>
      </c>
      <c r="Q103">
        <f>step3_validation[[#This Row],[AI_ENF1]]</f>
        <v>7</v>
      </c>
      <c r="R103">
        <f t="shared" si="27"/>
        <v>0.66666666666666663</v>
      </c>
      <c r="S103">
        <f>survey_responses[[#This Row],[Tôi tin rằng với các quy định quản lý thuế hiện nay, hành vi gian lận hoặc trốn thuế sẽ dễ dàng bị phát hiện và xử lý nghiêm. - HUMAN-ENF1]]</f>
        <v>5</v>
      </c>
      <c r="T103">
        <f t="shared" si="28"/>
        <v>0.44444444444444442</v>
      </c>
      <c r="U103">
        <f>step3_validation[[#This Row],[AI_ENF2]]</f>
        <v>7</v>
      </c>
      <c r="V103">
        <f t="shared" si="29"/>
        <v>0.66666666666666663</v>
      </c>
      <c r="W103">
        <f>survey_responses[[#This Row],[Tôi tin rằng Nhà nước, cơ quan thuế có đủ khả năng và công nghệ để phát hiện, xử lý nghiêm các hành vi trốn thuế. - HUMAN-ENF2]]</f>
        <v>5</v>
      </c>
      <c r="X103">
        <f t="shared" si="30"/>
        <v>0.44444444444444442</v>
      </c>
      <c r="Y103" s="32">
        <f t="shared" si="31"/>
        <v>0.66666666666666663</v>
      </c>
      <c r="Z103" s="32">
        <f t="shared" si="32"/>
        <v>0.44444444444444442</v>
      </c>
      <c r="AA103">
        <f>step3_validation[[#This Row],[AI_FAC1]]</f>
        <v>9</v>
      </c>
      <c r="AB103">
        <f t="shared" si="33"/>
        <v>0.88888888888888884</v>
      </c>
      <c r="AC103">
        <f>survey_responses[[#This Row],[Các thủ tục khai báo thuế VÀ/HOẶC quy trình làm việc với cơ quan thuế đơn giản, tiện lợi, nhanh chóng hơn so với trước đây. - HUMAN-FAC1]]</f>
        <v>5</v>
      </c>
      <c r="AD103">
        <f t="shared" si="34"/>
        <v>0.44444444444444442</v>
      </c>
      <c r="AE103">
        <f>step3_validation[[#This Row],[AI_FAC2]]</f>
        <v>9</v>
      </c>
      <c r="AF103">
        <f t="shared" si="35"/>
        <v>0.88888888888888884</v>
      </c>
      <c r="AG103">
        <f>survey_responses[[#This Row],[So với trước đây, tôi thấy cách tính thuế và các bậc thuế trong phương án mới đơn giản, dễ hiểu và dễ thực hiện hơn. - HUMAN-FAC2]]</f>
        <v>5</v>
      </c>
      <c r="AH103">
        <f t="shared" si="36"/>
        <v>0.44444444444444442</v>
      </c>
      <c r="AI103" s="32">
        <f t="shared" si="37"/>
        <v>0.88888888888888884</v>
      </c>
      <c r="AJ103" s="32">
        <f t="shared" si="38"/>
        <v>0.44444444444444442</v>
      </c>
      <c r="AK103">
        <f>step3_validation[[#This Row],[AI_TRU1]]</f>
        <v>7</v>
      </c>
      <c r="AL103">
        <f t="shared" si="39"/>
        <v>0.66666666666666663</v>
      </c>
      <c r="AM103">
        <f>survey_responses[[#This Row],[Tôi tin rằng Nhà nước, cơ quan thuế sẽ thực thi chính sách mới một cách khách quan, công tâm và đối xử bình đẳng với mọi người nộp thuế.  - HUMAN-TRU1]]</f>
        <v>5</v>
      </c>
      <c r="AN103">
        <f t="shared" si="40"/>
        <v>0.44444444444444442</v>
      </c>
      <c r="AO103">
        <f>step3_validation[[#This Row],[AI_TRU2]]</f>
        <v>8</v>
      </c>
      <c r="AP103">
        <f t="shared" si="41"/>
        <v>0.77777777777777779</v>
      </c>
      <c r="AQ103">
        <f>survey_responses[[#This Row],[Tôi thấy mức thuế tôi phải đóng theo phương án mới là công bằng (người thu nhập như tôi đóng mức này là hợp lý). - HUMAN-TRU2]]</f>
        <v>5</v>
      </c>
      <c r="AR103">
        <f t="shared" si="42"/>
        <v>0.44444444444444442</v>
      </c>
      <c r="AS103">
        <f>step3_validation[[#This Row],[AI_TRU3]]</f>
        <v>6</v>
      </c>
      <c r="AT103">
        <f t="shared" si="43"/>
        <v>0.55555555555555558</v>
      </c>
      <c r="AU103">
        <f>survey_responses[[#This Row],[Tôi tin tưởng số tiền thuế tôi đóng sẽ được Nhà nước sử dụng hiệu quả để cải thiện dịch vụ công (y tế, đường xá...). - HUMAN-TRU3]]</f>
        <v>5</v>
      </c>
      <c r="AV103">
        <f t="shared" si="44"/>
        <v>0.44444444444444442</v>
      </c>
      <c r="AW103">
        <f>step3_validation[[#This Row],[AI_TRU4]]</f>
        <v>7</v>
      </c>
      <c r="AX103">
        <f t="shared" si="45"/>
        <v>0.66666666666666663</v>
      </c>
      <c r="AY103">
        <f>survey_responses[[#This Row],[Tôi thấy Nhà nước đã giải thích rõ ràng, minh bạch về lý do và mục tiêu của việc sửa đổi thuế lần này. - HUMAN-TRU4]]</f>
        <v>5</v>
      </c>
      <c r="AZ103">
        <f t="shared" si="46"/>
        <v>0.44444444444444442</v>
      </c>
      <c r="BA103" s="32">
        <f t="shared" si="47"/>
        <v>0.66666666666666663</v>
      </c>
      <c r="BB103" s="32">
        <f t="shared" si="48"/>
        <v>0.44444444444444442</v>
      </c>
      <c r="BC103" s="7">
        <f t="shared" si="49"/>
        <v>0.74074074074074059</v>
      </c>
      <c r="BD103" s="7">
        <f t="shared" si="50"/>
        <v>0.44444444444444442</v>
      </c>
      <c r="BE103">
        <f>step3_validation[[#This Row],[AI_OUT1]]</f>
        <v>8</v>
      </c>
      <c r="BF103">
        <f t="shared" si="51"/>
        <v>0.77777777777777779</v>
      </c>
      <c r="BG103">
        <f>survey_responses[[#This Row],[Sau khi xem xét các quyền lợi và nghĩa vụ, bạn có ủng hộ và tuân thủ chính sách mới hiện nay? - HUMAN-OUT1]]</f>
        <v>5</v>
      </c>
      <c r="BH103">
        <f t="shared" si="52"/>
        <v>0.44444444444444442</v>
      </c>
      <c r="BI103" s="32">
        <f t="shared" si="53"/>
        <v>3</v>
      </c>
    </row>
    <row r="104" spans="1:61" x14ac:dyDescent="0.45">
      <c r="A104" s="30">
        <f>step3_validation[[#This Row],[Persona_ID]]</f>
        <v>103</v>
      </c>
      <c r="B104" s="31">
        <f>step3_validation[[#This Row],[Used_Seed]]</f>
        <v>103</v>
      </c>
      <c r="C104" t="str">
        <f>step3_validation[[#This Row],[Gender]]</f>
        <v>Nữ</v>
      </c>
      <c r="D104" t="str">
        <f>survey_responses[[#This Row],[Giới tính của bạn:]]</f>
        <v>Nữ</v>
      </c>
      <c r="E104" t="str">
        <f>step3_validation[[#This Row],[Age_Group]]</f>
        <v>55 - 64</v>
      </c>
      <c r="F104" t="str">
        <f>survey_responses[[#This Row],[Độ tuổi của bạn:]]</f>
        <v>55 - 64</v>
      </c>
      <c r="G104" t="str">
        <f>step3_validation[[#This Row],[Region]]</f>
        <v>Thành thị</v>
      </c>
      <c r="H104" t="str">
        <f>survey_responses[[#This Row],[Khu vực bạn đang sinh sống:]]</f>
        <v>Thành thị</v>
      </c>
      <c r="I104" t="str">
        <f>step3_validation[[#This Row],[Education]]</f>
        <v>Đại học</v>
      </c>
      <c r="J104" t="str">
        <f>survey_responses[[#This Row],[Trình độ học vấn cao nhất:]]</f>
        <v>Đại học</v>
      </c>
      <c r="K104" t="str">
        <f>step3_validation[[#This Row],[Employment]]</f>
        <v>Chính thức</v>
      </c>
      <c r="L104" t="str">
        <f>survey_responses[[#This Row],[Tình trạng việc làm chính:]]</f>
        <v>Khu vực chính thức (Có Hợp đồng lao động, đóng BHXH)</v>
      </c>
      <c r="M104">
        <f>step3_validation[[#This Row],[Income_Mil]]</f>
        <v>36.690248490844212</v>
      </c>
      <c r="N104" t="str">
        <f>survey_responses[[#This Row],[Thu nhập bình quân tháng theo Hợp đồng lao động của bạn là bao nhiêu? (Vui lòng điền tổng thu nhập trước khi khấu trừ các loại Bảo hiểm (BHXH, BHYT, BHTN) và Thuế TNCN)]]</f>
        <v>Từ 32 - 48 triệu VNĐ</v>
      </c>
      <c r="O104">
        <f>step3_validation[[#This Row],[Dependents]]</f>
        <v>2</v>
      </c>
      <c r="P104" t="str">
        <f>survey_responses[[#This Row],[Số người phụ thuộc (con nhỏ, cha mẹ già...) đủ điều kiện giảm trừ gia cảnh:]]</f>
        <v>2 người</v>
      </c>
      <c r="Q104">
        <f>step3_validation[[#This Row],[AI_ENF1]]</f>
        <v>9</v>
      </c>
      <c r="R104">
        <f t="shared" si="27"/>
        <v>0.88888888888888884</v>
      </c>
      <c r="S104">
        <f>survey_responses[[#This Row],[Tôi tin rằng với các quy định quản lý thuế hiện nay, hành vi gian lận hoặc trốn thuế sẽ dễ dàng bị phát hiện và xử lý nghiêm. - HUMAN-ENF1]]</f>
        <v>8</v>
      </c>
      <c r="T104">
        <f t="shared" si="28"/>
        <v>0.77777777777777779</v>
      </c>
      <c r="U104">
        <f>step3_validation[[#This Row],[AI_ENF2]]</f>
        <v>8</v>
      </c>
      <c r="V104">
        <f t="shared" si="29"/>
        <v>0.77777777777777779</v>
      </c>
      <c r="W104">
        <f>survey_responses[[#This Row],[Tôi tin rằng Nhà nước, cơ quan thuế có đủ khả năng và công nghệ để phát hiện, xử lý nghiêm các hành vi trốn thuế. - HUMAN-ENF2]]</f>
        <v>8</v>
      </c>
      <c r="X104">
        <f t="shared" si="30"/>
        <v>0.77777777777777779</v>
      </c>
      <c r="Y104" s="32">
        <f t="shared" si="31"/>
        <v>0.83333333333333326</v>
      </c>
      <c r="Z104" s="32">
        <f t="shared" si="32"/>
        <v>0.77777777777777779</v>
      </c>
      <c r="AA104">
        <f>step3_validation[[#This Row],[AI_FAC1]]</f>
        <v>9</v>
      </c>
      <c r="AB104">
        <f t="shared" si="33"/>
        <v>0.88888888888888884</v>
      </c>
      <c r="AC104">
        <f>survey_responses[[#This Row],[Các thủ tục khai báo thuế VÀ/HOẶC quy trình làm việc với cơ quan thuế đơn giản, tiện lợi, nhanh chóng hơn so với trước đây. - HUMAN-FAC1]]</f>
        <v>5</v>
      </c>
      <c r="AD104">
        <f t="shared" si="34"/>
        <v>0.44444444444444442</v>
      </c>
      <c r="AE104">
        <f>step3_validation[[#This Row],[AI_FAC2]]</f>
        <v>10</v>
      </c>
      <c r="AF104">
        <f t="shared" si="35"/>
        <v>1</v>
      </c>
      <c r="AG104">
        <f>survey_responses[[#This Row],[So với trước đây, tôi thấy cách tính thuế và các bậc thuế trong phương án mới đơn giản, dễ hiểu và dễ thực hiện hơn. - HUMAN-FAC2]]</f>
        <v>8</v>
      </c>
      <c r="AH104">
        <f t="shared" si="36"/>
        <v>0.77777777777777779</v>
      </c>
      <c r="AI104" s="32">
        <f t="shared" si="37"/>
        <v>0.94444444444444442</v>
      </c>
      <c r="AJ104" s="32">
        <f t="shared" si="38"/>
        <v>0.61111111111111116</v>
      </c>
      <c r="AK104">
        <f>step3_validation[[#This Row],[AI_TRU1]]</f>
        <v>9</v>
      </c>
      <c r="AL104">
        <f t="shared" si="39"/>
        <v>0.88888888888888884</v>
      </c>
      <c r="AM104">
        <f>survey_responses[[#This Row],[Tôi tin rằng Nhà nước, cơ quan thuế sẽ thực thi chính sách mới một cách khách quan, công tâm và đối xử bình đẳng với mọi người nộp thuế.  - HUMAN-TRU1]]</f>
        <v>5</v>
      </c>
      <c r="AN104">
        <f t="shared" si="40"/>
        <v>0.44444444444444442</v>
      </c>
      <c r="AO104">
        <f>step3_validation[[#This Row],[AI_TRU2]]</f>
        <v>8</v>
      </c>
      <c r="AP104">
        <f t="shared" si="41"/>
        <v>0.77777777777777779</v>
      </c>
      <c r="AQ104">
        <f>survey_responses[[#This Row],[Tôi thấy mức thuế tôi phải đóng theo phương án mới là công bằng (người thu nhập như tôi đóng mức này là hợp lý). - HUMAN-TRU2]]</f>
        <v>5</v>
      </c>
      <c r="AR104">
        <f t="shared" si="42"/>
        <v>0.44444444444444442</v>
      </c>
      <c r="AS104">
        <f>step3_validation[[#This Row],[AI_TRU3]]</f>
        <v>9</v>
      </c>
      <c r="AT104">
        <f t="shared" si="43"/>
        <v>0.88888888888888884</v>
      </c>
      <c r="AU104">
        <f>survey_responses[[#This Row],[Tôi tin tưởng số tiền thuế tôi đóng sẽ được Nhà nước sử dụng hiệu quả để cải thiện dịch vụ công (y tế, đường xá...). - HUMAN-TRU3]]</f>
        <v>6</v>
      </c>
      <c r="AV104">
        <f t="shared" si="44"/>
        <v>0.55555555555555558</v>
      </c>
      <c r="AW104">
        <f>step3_validation[[#This Row],[AI_TRU4]]</f>
        <v>7</v>
      </c>
      <c r="AX104">
        <f t="shared" si="45"/>
        <v>0.66666666666666663</v>
      </c>
      <c r="AY104">
        <f>survey_responses[[#This Row],[Tôi thấy Nhà nước đã giải thích rõ ràng, minh bạch về lý do và mục tiêu của việc sửa đổi thuế lần này. - HUMAN-TRU4]]</f>
        <v>6</v>
      </c>
      <c r="AZ104">
        <f t="shared" si="46"/>
        <v>0.55555555555555558</v>
      </c>
      <c r="BA104" s="32">
        <f t="shared" si="47"/>
        <v>0.80555555555555547</v>
      </c>
      <c r="BB104" s="32">
        <f t="shared" si="48"/>
        <v>0.5</v>
      </c>
      <c r="BC104" s="7">
        <f t="shared" si="49"/>
        <v>0.86111111111111105</v>
      </c>
      <c r="BD104" s="7">
        <f t="shared" si="50"/>
        <v>0.62962962962962965</v>
      </c>
      <c r="BE104">
        <f>step3_validation[[#This Row],[AI_OUT1]]</f>
        <v>9</v>
      </c>
      <c r="BF104">
        <f t="shared" si="51"/>
        <v>0.88888888888888884</v>
      </c>
      <c r="BG104">
        <f>survey_responses[[#This Row],[Sau khi xem xét các quyền lợi và nghĩa vụ, bạn có ủng hộ và tuân thủ chính sách mới hiện nay? - HUMAN-OUT1]]</f>
        <v>5</v>
      </c>
      <c r="BH104">
        <f t="shared" si="52"/>
        <v>0.44444444444444442</v>
      </c>
      <c r="BI104" s="32">
        <f t="shared" si="53"/>
        <v>4</v>
      </c>
    </row>
    <row r="105" spans="1:61" x14ac:dyDescent="0.45">
      <c r="A105" s="30">
        <f>step3_validation[[#This Row],[Persona_ID]]</f>
        <v>104</v>
      </c>
      <c r="B105" s="31">
        <f>step3_validation[[#This Row],[Used_Seed]]</f>
        <v>104</v>
      </c>
      <c r="C105" t="str">
        <f>step3_validation[[#This Row],[Gender]]</f>
        <v>Nam</v>
      </c>
      <c r="D105" t="str">
        <f>survey_responses[[#This Row],[Giới tính của bạn:]]</f>
        <v>Nam</v>
      </c>
      <c r="E105" t="str">
        <f>step3_validation[[#This Row],[Age_Group]]</f>
        <v>30 - 39</v>
      </c>
      <c r="F105" t="str">
        <f>survey_responses[[#This Row],[Độ tuổi của bạn:]]</f>
        <v>30 - 39</v>
      </c>
      <c r="G105" t="str">
        <f>step3_validation[[#This Row],[Region]]</f>
        <v>Thành thị</v>
      </c>
      <c r="H105" t="str">
        <f>survey_responses[[#This Row],[Khu vực bạn đang sinh sống:]]</f>
        <v>Thành thị</v>
      </c>
      <c r="I105" t="str">
        <f>step3_validation[[#This Row],[Education]]</f>
        <v>Đại học</v>
      </c>
      <c r="J105" t="str">
        <f>survey_responses[[#This Row],[Trình độ học vấn cao nhất:]]</f>
        <v>Đại học</v>
      </c>
      <c r="K105" t="str">
        <f>step3_validation[[#This Row],[Employment]]</f>
        <v>Chính thức</v>
      </c>
      <c r="L105" t="str">
        <f>survey_responses[[#This Row],[Tình trạng việc làm chính:]]</f>
        <v>Khu vực chính thức (Có Hợp đồng lao động, đóng BHXH)</v>
      </c>
      <c r="M105">
        <f>step3_validation[[#This Row],[Income_Mil]]</f>
        <v>21.354259249478144</v>
      </c>
      <c r="N105" t="str">
        <f>survey_responses[[#This Row],[Thu nhập bình quân tháng theo Hợp đồng lao động của bạn là bao nhiêu? (Vui lòng điền tổng thu nhập trước khi khấu trừ các loại Bảo hiểm (BHXH, BHYT, BHTN) và Thuế TNCN)]]</f>
        <v>Từ 18 - 23 triệu VNĐ</v>
      </c>
      <c r="O105">
        <f>step3_validation[[#This Row],[Dependents]]</f>
        <v>0</v>
      </c>
      <c r="P105" t="str">
        <f>survey_responses[[#This Row],[Số người phụ thuộc (con nhỏ, cha mẹ già...) đủ điều kiện giảm trừ gia cảnh:]]</f>
        <v>0 người</v>
      </c>
      <c r="Q105">
        <f>step3_validation[[#This Row],[AI_ENF1]]</f>
        <v>8</v>
      </c>
      <c r="R105">
        <f t="shared" si="27"/>
        <v>0.77777777777777779</v>
      </c>
      <c r="S105">
        <f>survey_responses[[#This Row],[Tôi tin rằng với các quy định quản lý thuế hiện nay, hành vi gian lận hoặc trốn thuế sẽ dễ dàng bị phát hiện và xử lý nghiêm. - HUMAN-ENF1]]</f>
        <v>6</v>
      </c>
      <c r="T105">
        <f t="shared" si="28"/>
        <v>0.55555555555555558</v>
      </c>
      <c r="U105">
        <f>step3_validation[[#This Row],[AI_ENF2]]</f>
        <v>9</v>
      </c>
      <c r="V105">
        <f t="shared" si="29"/>
        <v>0.88888888888888884</v>
      </c>
      <c r="W105">
        <f>survey_responses[[#This Row],[Tôi tin rằng Nhà nước, cơ quan thuế có đủ khả năng và công nghệ để phát hiện, xử lý nghiêm các hành vi trốn thuế. - HUMAN-ENF2]]</f>
        <v>7</v>
      </c>
      <c r="X105">
        <f t="shared" si="30"/>
        <v>0.66666666666666663</v>
      </c>
      <c r="Y105" s="32">
        <f t="shared" si="31"/>
        <v>0.83333333333333326</v>
      </c>
      <c r="Z105" s="32">
        <f t="shared" si="32"/>
        <v>0.61111111111111116</v>
      </c>
      <c r="AA105">
        <f>step3_validation[[#This Row],[AI_FAC1]]</f>
        <v>8</v>
      </c>
      <c r="AB105">
        <f t="shared" si="33"/>
        <v>0.77777777777777779</v>
      </c>
      <c r="AC105">
        <f>survey_responses[[#This Row],[Các thủ tục khai báo thuế VÀ/HOẶC quy trình làm việc với cơ quan thuế đơn giản, tiện lợi, nhanh chóng hơn so với trước đây. - HUMAN-FAC1]]</f>
        <v>6</v>
      </c>
      <c r="AD105">
        <f t="shared" si="34"/>
        <v>0.55555555555555558</v>
      </c>
      <c r="AE105">
        <f>step3_validation[[#This Row],[AI_FAC2]]</f>
        <v>9</v>
      </c>
      <c r="AF105">
        <f t="shared" si="35"/>
        <v>0.88888888888888884</v>
      </c>
      <c r="AG105">
        <f>survey_responses[[#This Row],[So với trước đây, tôi thấy cách tính thuế và các bậc thuế trong phương án mới đơn giản, dễ hiểu và dễ thực hiện hơn. - HUMAN-FAC2]]</f>
        <v>8</v>
      </c>
      <c r="AH105">
        <f t="shared" si="36"/>
        <v>0.77777777777777779</v>
      </c>
      <c r="AI105" s="32">
        <f t="shared" si="37"/>
        <v>0.83333333333333326</v>
      </c>
      <c r="AJ105" s="32">
        <f t="shared" si="38"/>
        <v>0.66666666666666674</v>
      </c>
      <c r="AK105">
        <f>step3_validation[[#This Row],[AI_TRU1]]</f>
        <v>8</v>
      </c>
      <c r="AL105">
        <f t="shared" si="39"/>
        <v>0.77777777777777779</v>
      </c>
      <c r="AM105">
        <f>survey_responses[[#This Row],[Tôi tin rằng Nhà nước, cơ quan thuế sẽ thực thi chính sách mới một cách khách quan, công tâm và đối xử bình đẳng với mọi người nộp thuế.  - HUMAN-TRU1]]</f>
        <v>6</v>
      </c>
      <c r="AN105">
        <f t="shared" si="40"/>
        <v>0.55555555555555558</v>
      </c>
      <c r="AO105">
        <f>step3_validation[[#This Row],[AI_TRU2]]</f>
        <v>8</v>
      </c>
      <c r="AP105">
        <f t="shared" si="41"/>
        <v>0.77777777777777779</v>
      </c>
      <c r="AQ105">
        <f>survey_responses[[#This Row],[Tôi thấy mức thuế tôi phải đóng theo phương án mới là công bằng (người thu nhập như tôi đóng mức này là hợp lý). - HUMAN-TRU2]]</f>
        <v>7</v>
      </c>
      <c r="AR105">
        <f t="shared" si="42"/>
        <v>0.66666666666666663</v>
      </c>
      <c r="AS105">
        <f>step3_validation[[#This Row],[AI_TRU3]]</f>
        <v>9</v>
      </c>
      <c r="AT105">
        <f t="shared" si="43"/>
        <v>0.88888888888888884</v>
      </c>
      <c r="AU105">
        <f>survey_responses[[#This Row],[Tôi tin tưởng số tiền thuế tôi đóng sẽ được Nhà nước sử dụng hiệu quả để cải thiện dịch vụ công (y tế, đường xá...). - HUMAN-TRU3]]</f>
        <v>6</v>
      </c>
      <c r="AV105">
        <f t="shared" si="44"/>
        <v>0.55555555555555558</v>
      </c>
      <c r="AW105">
        <f>step3_validation[[#This Row],[AI_TRU4]]</f>
        <v>8</v>
      </c>
      <c r="AX105">
        <f t="shared" si="45"/>
        <v>0.77777777777777779</v>
      </c>
      <c r="AY105">
        <f>survey_responses[[#This Row],[Tôi thấy Nhà nước đã giải thích rõ ràng, minh bạch về lý do và mục tiêu của việc sửa đổi thuế lần này. - HUMAN-TRU4]]</f>
        <v>6</v>
      </c>
      <c r="AZ105">
        <f t="shared" si="46"/>
        <v>0.55555555555555558</v>
      </c>
      <c r="BA105" s="32">
        <f t="shared" si="47"/>
        <v>0.80555555555555558</v>
      </c>
      <c r="BB105" s="32">
        <f t="shared" si="48"/>
        <v>0.58333333333333337</v>
      </c>
      <c r="BC105" s="7">
        <f t="shared" si="49"/>
        <v>0.82407407407407407</v>
      </c>
      <c r="BD105" s="7">
        <f t="shared" si="50"/>
        <v>0.62037037037037035</v>
      </c>
      <c r="BE105">
        <f>step3_validation[[#This Row],[AI_OUT1]]</f>
        <v>9</v>
      </c>
      <c r="BF105">
        <f t="shared" si="51"/>
        <v>0.88888888888888884</v>
      </c>
      <c r="BG105">
        <f>survey_responses[[#This Row],[Sau khi xem xét các quyền lợi và nghĩa vụ, bạn có ủng hộ và tuân thủ chính sách mới hiện nay? - HUMAN-OUT1]]</f>
        <v>7</v>
      </c>
      <c r="BH105">
        <f t="shared" si="52"/>
        <v>0.66666666666666663</v>
      </c>
      <c r="BI105" s="32">
        <f t="shared" si="53"/>
        <v>2</v>
      </c>
    </row>
    <row r="106" spans="1:61" x14ac:dyDescent="0.45">
      <c r="A106" s="30">
        <f>step3_validation[[#This Row],[Persona_ID]]</f>
        <v>105</v>
      </c>
      <c r="B106" s="31">
        <f>step3_validation[[#This Row],[Used_Seed]]</f>
        <v>105</v>
      </c>
      <c r="C106" t="str">
        <f>step3_validation[[#This Row],[Gender]]</f>
        <v>Nam</v>
      </c>
      <c r="D106" t="str">
        <f>survey_responses[[#This Row],[Giới tính của bạn:]]</f>
        <v>Nam</v>
      </c>
      <c r="E106" t="str">
        <f>step3_validation[[#This Row],[Age_Group]]</f>
        <v>25 - 29</v>
      </c>
      <c r="F106" t="str">
        <f>survey_responses[[#This Row],[Độ tuổi của bạn:]]</f>
        <v>25 - 29</v>
      </c>
      <c r="G106" t="str">
        <f>step3_validation[[#This Row],[Region]]</f>
        <v>Thành thị</v>
      </c>
      <c r="H106" t="str">
        <f>survey_responses[[#This Row],[Khu vực bạn đang sinh sống:]]</f>
        <v>Thành thị</v>
      </c>
      <c r="I106" t="str">
        <f>step3_validation[[#This Row],[Education]]</f>
        <v>Đại học</v>
      </c>
      <c r="J106" t="str">
        <f>survey_responses[[#This Row],[Trình độ học vấn cao nhất:]]</f>
        <v>Đại học</v>
      </c>
      <c r="K106" t="str">
        <f>step3_validation[[#This Row],[Employment]]</f>
        <v>Chính thức</v>
      </c>
      <c r="L106" t="str">
        <f>survey_responses[[#This Row],[Tình trạng việc làm chính:]]</f>
        <v>Khu vực chính thức (Có Hợp đồng lao động, đóng BHXH)</v>
      </c>
      <c r="M106">
        <f>step3_validation[[#This Row],[Income_Mil]]</f>
        <v>15.190976668007723</v>
      </c>
      <c r="N106" t="str">
        <f>survey_responses[[#This Row],[Thu nhập bình quân tháng theo Hợp đồng lao động của bạn là bao nhiêu? (Vui lòng điền tổng thu nhập trước khi khấu trừ các loại Bảo hiểm (BHXH, BHYT, BHTN) và Thuế TNCN)]]</f>
        <v>Từ 12 - 18 triệu VNĐ</v>
      </c>
      <c r="O106">
        <f>step3_validation[[#This Row],[Dependents]]</f>
        <v>1</v>
      </c>
      <c r="P106" t="str">
        <f>survey_responses[[#This Row],[Số người phụ thuộc (con nhỏ, cha mẹ già...) đủ điều kiện giảm trừ gia cảnh:]]</f>
        <v>1 người</v>
      </c>
      <c r="Q106">
        <f>step3_validation[[#This Row],[AI_ENF1]]</f>
        <v>8</v>
      </c>
      <c r="R106">
        <f t="shared" si="27"/>
        <v>0.77777777777777779</v>
      </c>
      <c r="S106">
        <f>survey_responses[[#This Row],[Tôi tin rằng với các quy định quản lý thuế hiện nay, hành vi gian lận hoặc trốn thuế sẽ dễ dàng bị phát hiện và xử lý nghiêm. - HUMAN-ENF1]]</f>
        <v>9</v>
      </c>
      <c r="T106">
        <f t="shared" si="28"/>
        <v>0.88888888888888884</v>
      </c>
      <c r="U106">
        <f>step3_validation[[#This Row],[AI_ENF2]]</f>
        <v>8</v>
      </c>
      <c r="V106">
        <f t="shared" si="29"/>
        <v>0.77777777777777779</v>
      </c>
      <c r="W106">
        <f>survey_responses[[#This Row],[Tôi tin rằng Nhà nước, cơ quan thuế có đủ khả năng và công nghệ để phát hiện, xử lý nghiêm các hành vi trốn thuế. - HUMAN-ENF2]]</f>
        <v>10</v>
      </c>
      <c r="X106">
        <f t="shared" si="30"/>
        <v>1</v>
      </c>
      <c r="Y106" s="32">
        <f t="shared" si="31"/>
        <v>0.77777777777777779</v>
      </c>
      <c r="Z106" s="32">
        <f t="shared" si="32"/>
        <v>0.94444444444444442</v>
      </c>
      <c r="AA106">
        <f>step3_validation[[#This Row],[AI_FAC1]]</f>
        <v>7</v>
      </c>
      <c r="AB106">
        <f t="shared" si="33"/>
        <v>0.66666666666666663</v>
      </c>
      <c r="AC106">
        <f>survey_responses[[#This Row],[Các thủ tục khai báo thuế VÀ/HOẶC quy trình làm việc với cơ quan thuế đơn giản, tiện lợi, nhanh chóng hơn so với trước đây. - HUMAN-FAC1]]</f>
        <v>8</v>
      </c>
      <c r="AD106">
        <f t="shared" si="34"/>
        <v>0.77777777777777779</v>
      </c>
      <c r="AE106">
        <f>step3_validation[[#This Row],[AI_FAC2]]</f>
        <v>7</v>
      </c>
      <c r="AF106">
        <f t="shared" si="35"/>
        <v>0.66666666666666663</v>
      </c>
      <c r="AG106">
        <f>survey_responses[[#This Row],[So với trước đây, tôi thấy cách tính thuế và các bậc thuế trong phương án mới đơn giản, dễ hiểu và dễ thực hiện hơn. - HUMAN-FAC2]]</f>
        <v>8</v>
      </c>
      <c r="AH106">
        <f t="shared" si="36"/>
        <v>0.77777777777777779</v>
      </c>
      <c r="AI106" s="32">
        <f t="shared" si="37"/>
        <v>0.66666666666666663</v>
      </c>
      <c r="AJ106" s="32">
        <f t="shared" si="38"/>
        <v>0.77777777777777779</v>
      </c>
      <c r="AK106">
        <f>step3_validation[[#This Row],[AI_TRU1]]</f>
        <v>6</v>
      </c>
      <c r="AL106">
        <f t="shared" si="39"/>
        <v>0.55555555555555558</v>
      </c>
      <c r="AM106">
        <f>survey_responses[[#This Row],[Tôi tin rằng Nhà nước, cơ quan thuế sẽ thực thi chính sách mới một cách khách quan, công tâm và đối xử bình đẳng với mọi người nộp thuế.  - HUMAN-TRU1]]</f>
        <v>9</v>
      </c>
      <c r="AN106">
        <f t="shared" si="40"/>
        <v>0.88888888888888884</v>
      </c>
      <c r="AO106">
        <f>step3_validation[[#This Row],[AI_TRU2]]</f>
        <v>6</v>
      </c>
      <c r="AP106">
        <f t="shared" si="41"/>
        <v>0.55555555555555558</v>
      </c>
      <c r="AQ106">
        <f>survey_responses[[#This Row],[Tôi thấy mức thuế tôi phải đóng theo phương án mới là công bằng (người thu nhập như tôi đóng mức này là hợp lý). - HUMAN-TRU2]]</f>
        <v>9</v>
      </c>
      <c r="AR106">
        <f t="shared" si="42"/>
        <v>0.88888888888888884</v>
      </c>
      <c r="AS106">
        <f>step3_validation[[#This Row],[AI_TRU3]]</f>
        <v>6</v>
      </c>
      <c r="AT106">
        <f t="shared" si="43"/>
        <v>0.55555555555555558</v>
      </c>
      <c r="AU106">
        <f>survey_responses[[#This Row],[Tôi tin tưởng số tiền thuế tôi đóng sẽ được Nhà nước sử dụng hiệu quả để cải thiện dịch vụ công (y tế, đường xá...). - HUMAN-TRU3]]</f>
        <v>8</v>
      </c>
      <c r="AV106">
        <f t="shared" si="44"/>
        <v>0.77777777777777779</v>
      </c>
      <c r="AW106">
        <f>step3_validation[[#This Row],[AI_TRU4]]</f>
        <v>6</v>
      </c>
      <c r="AX106">
        <f t="shared" si="45"/>
        <v>0.55555555555555558</v>
      </c>
      <c r="AY106">
        <f>survey_responses[[#This Row],[Tôi thấy Nhà nước đã giải thích rõ ràng, minh bạch về lý do và mục tiêu của việc sửa đổi thuế lần này. - HUMAN-TRU4]]</f>
        <v>6</v>
      </c>
      <c r="AZ106">
        <f t="shared" si="46"/>
        <v>0.55555555555555558</v>
      </c>
      <c r="BA106" s="32">
        <f t="shared" si="47"/>
        <v>0.55555555555555558</v>
      </c>
      <c r="BB106" s="32">
        <f t="shared" si="48"/>
        <v>0.77777777777777768</v>
      </c>
      <c r="BC106" s="7">
        <f t="shared" si="49"/>
        <v>0.66666666666666663</v>
      </c>
      <c r="BD106" s="7">
        <f t="shared" si="50"/>
        <v>0.83333333333333337</v>
      </c>
      <c r="BE106">
        <f>step3_validation[[#This Row],[AI_OUT1]]</f>
        <v>7</v>
      </c>
      <c r="BF106">
        <f t="shared" si="51"/>
        <v>0.66666666666666663</v>
      </c>
      <c r="BG106">
        <f>survey_responses[[#This Row],[Sau khi xem xét các quyền lợi và nghĩa vụ, bạn có ủng hộ và tuân thủ chính sách mới hiện nay? - HUMAN-OUT1]]</f>
        <v>9</v>
      </c>
      <c r="BH106">
        <f t="shared" si="52"/>
        <v>0.88888888888888884</v>
      </c>
      <c r="BI106" s="32">
        <f t="shared" si="53"/>
        <v>2</v>
      </c>
    </row>
    <row r="107" spans="1:61" x14ac:dyDescent="0.45">
      <c r="A107" s="30">
        <f>step3_validation[[#This Row],[Persona_ID]]</f>
        <v>106</v>
      </c>
      <c r="B107" s="31">
        <f>step3_validation[[#This Row],[Used_Seed]]</f>
        <v>106</v>
      </c>
      <c r="C107" t="str">
        <f>step3_validation[[#This Row],[Gender]]</f>
        <v>Nữ</v>
      </c>
      <c r="D107" t="str">
        <f>survey_responses[[#This Row],[Giới tính của bạn:]]</f>
        <v>Nữ</v>
      </c>
      <c r="E107" t="str">
        <f>step3_validation[[#This Row],[Age_Group]]</f>
        <v>25 - 29</v>
      </c>
      <c r="F107" t="str">
        <f>survey_responses[[#This Row],[Độ tuổi của bạn:]]</f>
        <v>25 - 29</v>
      </c>
      <c r="G107" t="str">
        <f>step3_validation[[#This Row],[Region]]</f>
        <v>Thành thị</v>
      </c>
      <c r="H107" t="str">
        <f>survey_responses[[#This Row],[Khu vực bạn đang sinh sống:]]</f>
        <v>Thành thị</v>
      </c>
      <c r="I107" t="str">
        <f>step3_validation[[#This Row],[Education]]</f>
        <v>Đại học</v>
      </c>
      <c r="J107" t="str">
        <f>survey_responses[[#This Row],[Trình độ học vấn cao nhất:]]</f>
        <v>Đại học</v>
      </c>
      <c r="K107" t="str">
        <f>step3_validation[[#This Row],[Employment]]</f>
        <v>Chính thức</v>
      </c>
      <c r="L107" t="str">
        <f>survey_responses[[#This Row],[Tình trạng việc làm chính:]]</f>
        <v>Khu vực chính thức (Có Hợp đồng lao động, đóng BHXH)</v>
      </c>
      <c r="M107">
        <f>step3_validation[[#This Row],[Income_Mil]]</f>
        <v>12</v>
      </c>
      <c r="N107" t="str">
        <f>survey_responses[[#This Row],[Thu nhập bình quân tháng theo Hợp đồng lao động của bạn là bao nhiêu? (Vui lòng điền tổng thu nhập trước khi khấu trừ các loại Bảo hiểm (BHXH, BHYT, BHTN) và Thuế TNCN)]]</f>
        <v>Dưới 12 triệu VNĐ</v>
      </c>
      <c r="O107">
        <f>step3_validation[[#This Row],[Dependents]]</f>
        <v>0</v>
      </c>
      <c r="P107" t="str">
        <f>survey_responses[[#This Row],[Số người phụ thuộc (con nhỏ, cha mẹ già...) đủ điều kiện giảm trừ gia cảnh:]]</f>
        <v>0 người</v>
      </c>
      <c r="Q107">
        <f>step3_validation[[#This Row],[AI_ENF1]]</f>
        <v>7</v>
      </c>
      <c r="R107">
        <f t="shared" si="27"/>
        <v>0.66666666666666663</v>
      </c>
      <c r="S107">
        <f>survey_responses[[#This Row],[Tôi tin rằng với các quy định quản lý thuế hiện nay, hành vi gian lận hoặc trốn thuế sẽ dễ dàng bị phát hiện và xử lý nghiêm. - HUMAN-ENF1]]</f>
        <v>10</v>
      </c>
      <c r="T107">
        <f t="shared" si="28"/>
        <v>1</v>
      </c>
      <c r="U107">
        <f>step3_validation[[#This Row],[AI_ENF2]]</f>
        <v>8</v>
      </c>
      <c r="V107">
        <f t="shared" si="29"/>
        <v>0.77777777777777779</v>
      </c>
      <c r="W107">
        <f>survey_responses[[#This Row],[Tôi tin rằng Nhà nước, cơ quan thuế có đủ khả năng và công nghệ để phát hiện, xử lý nghiêm các hành vi trốn thuế. - HUMAN-ENF2]]</f>
        <v>5</v>
      </c>
      <c r="X107">
        <f t="shared" si="30"/>
        <v>0.44444444444444442</v>
      </c>
      <c r="Y107" s="32">
        <f t="shared" si="31"/>
        <v>0.72222222222222221</v>
      </c>
      <c r="Z107" s="32">
        <f t="shared" si="32"/>
        <v>0.72222222222222221</v>
      </c>
      <c r="AA107">
        <f>step3_validation[[#This Row],[AI_FAC1]]</f>
        <v>7</v>
      </c>
      <c r="AB107">
        <f t="shared" si="33"/>
        <v>0.66666666666666663</v>
      </c>
      <c r="AC107">
        <f>survey_responses[[#This Row],[Các thủ tục khai báo thuế VÀ/HOẶC quy trình làm việc với cơ quan thuế đơn giản, tiện lợi, nhanh chóng hơn so với trước đây. - HUMAN-FAC1]]</f>
        <v>8</v>
      </c>
      <c r="AD107">
        <f t="shared" si="34"/>
        <v>0.77777777777777779</v>
      </c>
      <c r="AE107">
        <f>step3_validation[[#This Row],[AI_FAC2]]</f>
        <v>9</v>
      </c>
      <c r="AF107">
        <f t="shared" si="35"/>
        <v>0.88888888888888884</v>
      </c>
      <c r="AG107">
        <f>survey_responses[[#This Row],[So với trước đây, tôi thấy cách tính thuế và các bậc thuế trong phương án mới đơn giản, dễ hiểu và dễ thực hiện hơn. - HUMAN-FAC2]]</f>
        <v>8</v>
      </c>
      <c r="AH107">
        <f t="shared" si="36"/>
        <v>0.77777777777777779</v>
      </c>
      <c r="AI107" s="32">
        <f t="shared" si="37"/>
        <v>0.77777777777777768</v>
      </c>
      <c r="AJ107" s="32">
        <f t="shared" si="38"/>
        <v>0.77777777777777779</v>
      </c>
      <c r="AK107">
        <f>step3_validation[[#This Row],[AI_TRU1]]</f>
        <v>6</v>
      </c>
      <c r="AL107">
        <f t="shared" si="39"/>
        <v>0.55555555555555558</v>
      </c>
      <c r="AM107">
        <f>survey_responses[[#This Row],[Tôi tin rằng Nhà nước, cơ quan thuế sẽ thực thi chính sách mới một cách khách quan, công tâm và đối xử bình đẳng với mọi người nộp thuế.  - HUMAN-TRU1]]</f>
        <v>10</v>
      </c>
      <c r="AN107">
        <f t="shared" si="40"/>
        <v>1</v>
      </c>
      <c r="AO107">
        <f>step3_validation[[#This Row],[AI_TRU2]]</f>
        <v>8</v>
      </c>
      <c r="AP107">
        <f t="shared" si="41"/>
        <v>0.77777777777777779</v>
      </c>
      <c r="AQ107">
        <f>survey_responses[[#This Row],[Tôi thấy mức thuế tôi phải đóng theo phương án mới là công bằng (người thu nhập như tôi đóng mức này là hợp lý). - HUMAN-TRU2]]</f>
        <v>10</v>
      </c>
      <c r="AR107">
        <f t="shared" si="42"/>
        <v>1</v>
      </c>
      <c r="AS107">
        <f>step3_validation[[#This Row],[AI_TRU3]]</f>
        <v>7</v>
      </c>
      <c r="AT107">
        <f t="shared" si="43"/>
        <v>0.66666666666666663</v>
      </c>
      <c r="AU107">
        <f>survey_responses[[#This Row],[Tôi tin tưởng số tiền thuế tôi đóng sẽ được Nhà nước sử dụng hiệu quả để cải thiện dịch vụ công (y tế, đường xá...). - HUMAN-TRU3]]</f>
        <v>10</v>
      </c>
      <c r="AV107">
        <f t="shared" si="44"/>
        <v>1</v>
      </c>
      <c r="AW107">
        <f>step3_validation[[#This Row],[AI_TRU4]]</f>
        <v>8</v>
      </c>
      <c r="AX107">
        <f t="shared" si="45"/>
        <v>0.77777777777777779</v>
      </c>
      <c r="AY107">
        <f>survey_responses[[#This Row],[Tôi thấy Nhà nước đã giải thích rõ ràng, minh bạch về lý do và mục tiêu của việc sửa đổi thuế lần này. - HUMAN-TRU4]]</f>
        <v>10</v>
      </c>
      <c r="AZ107">
        <f t="shared" si="46"/>
        <v>1</v>
      </c>
      <c r="BA107" s="32">
        <f t="shared" si="47"/>
        <v>0.69444444444444442</v>
      </c>
      <c r="BB107" s="32">
        <f t="shared" si="48"/>
        <v>1</v>
      </c>
      <c r="BC107" s="7">
        <f t="shared" si="49"/>
        <v>0.73148148148148151</v>
      </c>
      <c r="BD107" s="7">
        <f t="shared" si="50"/>
        <v>0.83333333333333337</v>
      </c>
      <c r="BE107">
        <f>step3_validation[[#This Row],[AI_OUT1]]</f>
        <v>9</v>
      </c>
      <c r="BF107">
        <f t="shared" si="51"/>
        <v>0.88888888888888884</v>
      </c>
      <c r="BG107">
        <f>survey_responses[[#This Row],[Sau khi xem xét các quyền lợi và nghĩa vụ, bạn có ủng hộ và tuân thủ chính sách mới hiện nay? - HUMAN-OUT1]]</f>
        <v>10</v>
      </c>
      <c r="BH107">
        <f t="shared" si="52"/>
        <v>1</v>
      </c>
      <c r="BI107" s="32">
        <f t="shared" si="53"/>
        <v>1</v>
      </c>
    </row>
    <row r="108" spans="1:61" x14ac:dyDescent="0.45">
      <c r="A108" s="30">
        <f>step3_validation[[#This Row],[Persona_ID]]</f>
        <v>107</v>
      </c>
      <c r="B108" s="31">
        <f>step3_validation[[#This Row],[Used_Seed]]</f>
        <v>107</v>
      </c>
      <c r="C108" t="str">
        <f>step3_validation[[#This Row],[Gender]]</f>
        <v>Nữ</v>
      </c>
      <c r="D108" t="str">
        <f>survey_responses[[#This Row],[Giới tính của bạn:]]</f>
        <v>Nữ</v>
      </c>
      <c r="E108" t="str">
        <f>step3_validation[[#This Row],[Age_Group]]</f>
        <v>40 - 49</v>
      </c>
      <c r="F108" t="str">
        <f>survey_responses[[#This Row],[Độ tuổi của bạn:]]</f>
        <v>40 - 49</v>
      </c>
      <c r="G108" t="str">
        <f>step3_validation[[#This Row],[Region]]</f>
        <v>Thành thị</v>
      </c>
      <c r="H108" t="str">
        <f>survey_responses[[#This Row],[Khu vực bạn đang sinh sống:]]</f>
        <v>Thành thị</v>
      </c>
      <c r="I108" t="str">
        <f>step3_validation[[#This Row],[Education]]</f>
        <v>Đại học</v>
      </c>
      <c r="J108" t="str">
        <f>survey_responses[[#This Row],[Trình độ học vấn cao nhất:]]</f>
        <v>Đại học</v>
      </c>
      <c r="K108" t="str">
        <f>step3_validation[[#This Row],[Employment]]</f>
        <v>Chính thức</v>
      </c>
      <c r="L108" t="str">
        <f>survey_responses[[#This Row],[Tình trạng việc làm chính:]]</f>
        <v>Khu vực chính thức (Có Hợp đồng lao động, đóng BHXH)</v>
      </c>
      <c r="M108">
        <f>step3_validation[[#This Row],[Income_Mil]]</f>
        <v>28.188287355202064</v>
      </c>
      <c r="N108" t="str">
        <f>survey_responses[[#This Row],[Thu nhập bình quân tháng theo Hợp đồng lao động của bạn là bao nhiêu? (Vui lòng điền tổng thu nhập trước khi khấu trừ các loại Bảo hiểm (BHXH, BHYT, BHTN) và Thuế TNCN)]]</f>
        <v>Từ 23 - 32 triệu VNĐ</v>
      </c>
      <c r="O108">
        <f>step3_validation[[#This Row],[Dependents]]</f>
        <v>1</v>
      </c>
      <c r="P108" t="str">
        <f>survey_responses[[#This Row],[Số người phụ thuộc (con nhỏ, cha mẹ già...) đủ điều kiện giảm trừ gia cảnh:]]</f>
        <v>1 người</v>
      </c>
      <c r="Q108">
        <f>step3_validation[[#This Row],[AI_ENF1]]</f>
        <v>7</v>
      </c>
      <c r="R108">
        <f t="shared" si="27"/>
        <v>0.66666666666666663</v>
      </c>
      <c r="S108">
        <f>survey_responses[[#This Row],[Tôi tin rằng với các quy định quản lý thuế hiện nay, hành vi gian lận hoặc trốn thuế sẽ dễ dàng bị phát hiện và xử lý nghiêm. - HUMAN-ENF1]]</f>
        <v>7</v>
      </c>
      <c r="T108">
        <f t="shared" si="28"/>
        <v>0.66666666666666663</v>
      </c>
      <c r="U108">
        <f>step3_validation[[#This Row],[AI_ENF2]]</f>
        <v>8</v>
      </c>
      <c r="V108">
        <f t="shared" si="29"/>
        <v>0.77777777777777779</v>
      </c>
      <c r="W108">
        <f>survey_responses[[#This Row],[Tôi tin rằng Nhà nước, cơ quan thuế có đủ khả năng và công nghệ để phát hiện, xử lý nghiêm các hành vi trốn thuế. - HUMAN-ENF2]]</f>
        <v>7</v>
      </c>
      <c r="X108">
        <f t="shared" si="30"/>
        <v>0.66666666666666663</v>
      </c>
      <c r="Y108" s="32">
        <f t="shared" si="31"/>
        <v>0.72222222222222221</v>
      </c>
      <c r="Z108" s="32">
        <f t="shared" si="32"/>
        <v>0.66666666666666663</v>
      </c>
      <c r="AA108">
        <f>step3_validation[[#This Row],[AI_FAC1]]</f>
        <v>9</v>
      </c>
      <c r="AB108">
        <f t="shared" si="33"/>
        <v>0.88888888888888884</v>
      </c>
      <c r="AC108">
        <f>survey_responses[[#This Row],[Các thủ tục khai báo thuế VÀ/HOẶC quy trình làm việc với cơ quan thuế đơn giản, tiện lợi, nhanh chóng hơn so với trước đây. - HUMAN-FAC1]]</f>
        <v>7</v>
      </c>
      <c r="AD108">
        <f t="shared" si="34"/>
        <v>0.66666666666666663</v>
      </c>
      <c r="AE108">
        <f>step3_validation[[#This Row],[AI_FAC2]]</f>
        <v>10</v>
      </c>
      <c r="AF108">
        <f t="shared" si="35"/>
        <v>1</v>
      </c>
      <c r="AG108">
        <f>survey_responses[[#This Row],[So với trước đây, tôi thấy cách tính thuế và các bậc thuế trong phương án mới đơn giản, dễ hiểu và dễ thực hiện hơn. - HUMAN-FAC2]]</f>
        <v>7</v>
      </c>
      <c r="AH108">
        <f t="shared" si="36"/>
        <v>0.66666666666666663</v>
      </c>
      <c r="AI108" s="32">
        <f t="shared" si="37"/>
        <v>0.94444444444444442</v>
      </c>
      <c r="AJ108" s="32">
        <f t="shared" si="38"/>
        <v>0.66666666666666663</v>
      </c>
      <c r="AK108">
        <f>step3_validation[[#This Row],[AI_TRU1]]</f>
        <v>6</v>
      </c>
      <c r="AL108">
        <f t="shared" si="39"/>
        <v>0.55555555555555558</v>
      </c>
      <c r="AM108">
        <f>survey_responses[[#This Row],[Tôi tin rằng Nhà nước, cơ quan thuế sẽ thực thi chính sách mới một cách khách quan, công tâm và đối xử bình đẳng với mọi người nộp thuế.  - HUMAN-TRU1]]</f>
        <v>7</v>
      </c>
      <c r="AN108">
        <f t="shared" si="40"/>
        <v>0.66666666666666663</v>
      </c>
      <c r="AO108">
        <f>step3_validation[[#This Row],[AI_TRU2]]</f>
        <v>9</v>
      </c>
      <c r="AP108">
        <f t="shared" si="41"/>
        <v>0.88888888888888884</v>
      </c>
      <c r="AQ108">
        <f>survey_responses[[#This Row],[Tôi thấy mức thuế tôi phải đóng theo phương án mới là công bằng (người thu nhập như tôi đóng mức này là hợp lý). - HUMAN-TRU2]]</f>
        <v>7</v>
      </c>
      <c r="AR108">
        <f t="shared" si="42"/>
        <v>0.66666666666666663</v>
      </c>
      <c r="AS108">
        <f>step3_validation[[#This Row],[AI_TRU3]]</f>
        <v>8</v>
      </c>
      <c r="AT108">
        <f t="shared" si="43"/>
        <v>0.77777777777777779</v>
      </c>
      <c r="AU108">
        <f>survey_responses[[#This Row],[Tôi tin tưởng số tiền thuế tôi đóng sẽ được Nhà nước sử dụng hiệu quả để cải thiện dịch vụ công (y tế, đường xá...). - HUMAN-TRU3]]</f>
        <v>7</v>
      </c>
      <c r="AV108">
        <f t="shared" si="44"/>
        <v>0.66666666666666663</v>
      </c>
      <c r="AW108">
        <f>step3_validation[[#This Row],[AI_TRU4]]</f>
        <v>7</v>
      </c>
      <c r="AX108">
        <f t="shared" si="45"/>
        <v>0.66666666666666663</v>
      </c>
      <c r="AY108">
        <f>survey_responses[[#This Row],[Tôi thấy Nhà nước đã giải thích rõ ràng, minh bạch về lý do và mục tiêu của việc sửa đổi thuế lần này. - HUMAN-TRU4]]</f>
        <v>7</v>
      </c>
      <c r="AZ108">
        <f t="shared" si="46"/>
        <v>0.66666666666666663</v>
      </c>
      <c r="BA108" s="32">
        <f t="shared" si="47"/>
        <v>0.72222222222222221</v>
      </c>
      <c r="BB108" s="32">
        <f t="shared" si="48"/>
        <v>0.66666666666666663</v>
      </c>
      <c r="BC108" s="7">
        <f t="shared" si="49"/>
        <v>0.79629629629629628</v>
      </c>
      <c r="BD108" s="7">
        <f t="shared" si="50"/>
        <v>0.66666666666666663</v>
      </c>
      <c r="BE108">
        <f>step3_validation[[#This Row],[AI_OUT1]]</f>
        <v>9</v>
      </c>
      <c r="BF108">
        <f t="shared" si="51"/>
        <v>0.88888888888888884</v>
      </c>
      <c r="BG108">
        <f>survey_responses[[#This Row],[Sau khi xem xét các quyền lợi và nghĩa vụ, bạn có ủng hộ và tuân thủ chính sách mới hiện nay? - HUMAN-OUT1]]</f>
        <v>8</v>
      </c>
      <c r="BH108">
        <f t="shared" si="52"/>
        <v>0.77777777777777779</v>
      </c>
      <c r="BI108" s="32">
        <f t="shared" si="53"/>
        <v>1</v>
      </c>
    </row>
    <row r="109" spans="1:61" x14ac:dyDescent="0.45">
      <c r="A109" s="30">
        <f>step3_validation[[#This Row],[Persona_ID]]</f>
        <v>108</v>
      </c>
      <c r="B109" s="31">
        <f>step3_validation[[#This Row],[Used_Seed]]</f>
        <v>108</v>
      </c>
      <c r="C109" t="str">
        <f>step3_validation[[#This Row],[Gender]]</f>
        <v>Nữ</v>
      </c>
      <c r="D109" t="str">
        <f>survey_responses[[#This Row],[Giới tính của bạn:]]</f>
        <v>Nữ</v>
      </c>
      <c r="E109" t="str">
        <f>step3_validation[[#This Row],[Age_Group]]</f>
        <v>40 - 49</v>
      </c>
      <c r="F109" t="str">
        <f>survey_responses[[#This Row],[Độ tuổi của bạn:]]</f>
        <v>40 - 49</v>
      </c>
      <c r="G109" t="str">
        <f>step3_validation[[#This Row],[Region]]</f>
        <v>Thành thị</v>
      </c>
      <c r="H109" t="str">
        <f>survey_responses[[#This Row],[Khu vực bạn đang sinh sống:]]</f>
        <v>Thành thị</v>
      </c>
      <c r="I109" t="str">
        <f>step3_validation[[#This Row],[Education]]</f>
        <v>Đại học</v>
      </c>
      <c r="J109" t="str">
        <f>survey_responses[[#This Row],[Trình độ học vấn cao nhất:]]</f>
        <v>Đại học</v>
      </c>
      <c r="K109" t="str">
        <f>step3_validation[[#This Row],[Employment]]</f>
        <v>Chính thức</v>
      </c>
      <c r="L109" t="str">
        <f>survey_responses[[#This Row],[Tình trạng việc làm chính:]]</f>
        <v>Khu vực chính thức (Có Hợp đồng lao động, đóng BHXH)</v>
      </c>
      <c r="M109">
        <f>step3_validation[[#This Row],[Income_Mil]]</f>
        <v>16.279969086642975</v>
      </c>
      <c r="N109" t="str">
        <f>survey_responses[[#This Row],[Thu nhập bình quân tháng theo Hợp đồng lao động của bạn là bao nhiêu? (Vui lòng điền tổng thu nhập trước khi khấu trừ các loại Bảo hiểm (BHXH, BHYT, BHTN) và Thuế TNCN)]]</f>
        <v>Từ 12 - 18 triệu VNĐ</v>
      </c>
      <c r="O109">
        <f>step3_validation[[#This Row],[Dependents]]</f>
        <v>1</v>
      </c>
      <c r="P109" t="str">
        <f>survey_responses[[#This Row],[Số người phụ thuộc (con nhỏ, cha mẹ già...) đủ điều kiện giảm trừ gia cảnh:]]</f>
        <v>1 người</v>
      </c>
      <c r="Q109">
        <f>step3_validation[[#This Row],[AI_ENF1]]</f>
        <v>9</v>
      </c>
      <c r="R109">
        <f t="shared" si="27"/>
        <v>0.88888888888888884</v>
      </c>
      <c r="S109">
        <f>survey_responses[[#This Row],[Tôi tin rằng với các quy định quản lý thuế hiện nay, hành vi gian lận hoặc trốn thuế sẽ dễ dàng bị phát hiện và xử lý nghiêm. - HUMAN-ENF1]]</f>
        <v>5</v>
      </c>
      <c r="T109">
        <f t="shared" si="28"/>
        <v>0.44444444444444442</v>
      </c>
      <c r="U109">
        <f>step3_validation[[#This Row],[AI_ENF2]]</f>
        <v>8</v>
      </c>
      <c r="V109">
        <f t="shared" si="29"/>
        <v>0.77777777777777779</v>
      </c>
      <c r="W109">
        <f>survey_responses[[#This Row],[Tôi tin rằng Nhà nước, cơ quan thuế có đủ khả năng và công nghệ để phát hiện, xử lý nghiêm các hành vi trốn thuế. - HUMAN-ENF2]]</f>
        <v>10</v>
      </c>
      <c r="X109">
        <f t="shared" si="30"/>
        <v>1</v>
      </c>
      <c r="Y109" s="32">
        <f t="shared" si="31"/>
        <v>0.83333333333333326</v>
      </c>
      <c r="Z109" s="32">
        <f t="shared" si="32"/>
        <v>0.72222222222222221</v>
      </c>
      <c r="AA109">
        <f>step3_validation[[#This Row],[AI_FAC1]]</f>
        <v>9</v>
      </c>
      <c r="AB109">
        <f t="shared" si="33"/>
        <v>0.88888888888888884</v>
      </c>
      <c r="AC109">
        <f>survey_responses[[#This Row],[Các thủ tục khai báo thuế VÀ/HOẶC quy trình làm việc với cơ quan thuế đơn giản, tiện lợi, nhanh chóng hơn so với trước đây. - HUMAN-FAC1]]</f>
        <v>5</v>
      </c>
      <c r="AD109">
        <f t="shared" si="34"/>
        <v>0.44444444444444442</v>
      </c>
      <c r="AE109">
        <f>step3_validation[[#This Row],[AI_FAC2]]</f>
        <v>8</v>
      </c>
      <c r="AF109">
        <f t="shared" si="35"/>
        <v>0.77777777777777779</v>
      </c>
      <c r="AG109">
        <f>survey_responses[[#This Row],[So với trước đây, tôi thấy cách tính thuế và các bậc thuế trong phương án mới đơn giản, dễ hiểu và dễ thực hiện hơn. - HUMAN-FAC2]]</f>
        <v>5</v>
      </c>
      <c r="AH109">
        <f t="shared" si="36"/>
        <v>0.44444444444444442</v>
      </c>
      <c r="AI109" s="32">
        <f t="shared" si="37"/>
        <v>0.83333333333333326</v>
      </c>
      <c r="AJ109" s="32">
        <f t="shared" si="38"/>
        <v>0.44444444444444442</v>
      </c>
      <c r="AK109">
        <f>step3_validation[[#This Row],[AI_TRU1]]</f>
        <v>9</v>
      </c>
      <c r="AL109">
        <f t="shared" si="39"/>
        <v>0.88888888888888884</v>
      </c>
      <c r="AM109">
        <f>survey_responses[[#This Row],[Tôi tin rằng Nhà nước, cơ quan thuế sẽ thực thi chính sách mới một cách khách quan, công tâm và đối xử bình đẳng với mọi người nộp thuế.  - HUMAN-TRU1]]</f>
        <v>5</v>
      </c>
      <c r="AN109">
        <f t="shared" si="40"/>
        <v>0.44444444444444442</v>
      </c>
      <c r="AO109">
        <f>step3_validation[[#This Row],[AI_TRU2]]</f>
        <v>8</v>
      </c>
      <c r="AP109">
        <f t="shared" si="41"/>
        <v>0.77777777777777779</v>
      </c>
      <c r="AQ109">
        <f>survey_responses[[#This Row],[Tôi thấy mức thuế tôi phải đóng theo phương án mới là công bằng (người thu nhập như tôi đóng mức này là hợp lý). - HUMAN-TRU2]]</f>
        <v>5</v>
      </c>
      <c r="AR109">
        <f t="shared" si="42"/>
        <v>0.44444444444444442</v>
      </c>
      <c r="AS109">
        <f>step3_validation[[#This Row],[AI_TRU3]]</f>
        <v>9</v>
      </c>
      <c r="AT109">
        <f t="shared" si="43"/>
        <v>0.88888888888888884</v>
      </c>
      <c r="AU109">
        <f>survey_responses[[#This Row],[Tôi tin tưởng số tiền thuế tôi đóng sẽ được Nhà nước sử dụng hiệu quả để cải thiện dịch vụ công (y tế, đường xá...). - HUMAN-TRU3]]</f>
        <v>8</v>
      </c>
      <c r="AV109">
        <f t="shared" si="44"/>
        <v>0.77777777777777779</v>
      </c>
      <c r="AW109">
        <f>step3_validation[[#This Row],[AI_TRU4]]</f>
        <v>8</v>
      </c>
      <c r="AX109">
        <f t="shared" si="45"/>
        <v>0.77777777777777779</v>
      </c>
      <c r="AY109">
        <f>survey_responses[[#This Row],[Tôi thấy Nhà nước đã giải thích rõ ràng, minh bạch về lý do và mục tiêu của việc sửa đổi thuế lần này. - HUMAN-TRU4]]</f>
        <v>5</v>
      </c>
      <c r="AZ109">
        <f t="shared" si="46"/>
        <v>0.44444444444444442</v>
      </c>
      <c r="BA109" s="32">
        <f t="shared" si="47"/>
        <v>0.83333333333333326</v>
      </c>
      <c r="BB109" s="32">
        <f t="shared" si="48"/>
        <v>0.52777777777777768</v>
      </c>
      <c r="BC109" s="7">
        <f t="shared" si="49"/>
        <v>0.83333333333333337</v>
      </c>
      <c r="BD109" s="7">
        <f t="shared" si="50"/>
        <v>0.56481481481481477</v>
      </c>
      <c r="BE109">
        <f>step3_validation[[#This Row],[AI_OUT1]]</f>
        <v>9</v>
      </c>
      <c r="BF109">
        <f t="shared" si="51"/>
        <v>0.88888888888888884</v>
      </c>
      <c r="BG109">
        <f>survey_responses[[#This Row],[Sau khi xem xét các quyền lợi và nghĩa vụ, bạn có ủng hộ và tuân thủ chính sách mới hiện nay? - HUMAN-OUT1]]</f>
        <v>6</v>
      </c>
      <c r="BH109">
        <f t="shared" si="52"/>
        <v>0.55555555555555558</v>
      </c>
      <c r="BI109" s="32">
        <f t="shared" si="53"/>
        <v>3</v>
      </c>
    </row>
    <row r="110" spans="1:61" x14ac:dyDescent="0.45">
      <c r="A110" s="30">
        <f>step3_validation[[#This Row],[Persona_ID]]</f>
        <v>109</v>
      </c>
      <c r="B110" s="31">
        <f>step3_validation[[#This Row],[Used_Seed]]</f>
        <v>109</v>
      </c>
      <c r="C110" t="str">
        <f>step3_validation[[#This Row],[Gender]]</f>
        <v>Nữ</v>
      </c>
      <c r="D110" t="str">
        <f>survey_responses[[#This Row],[Giới tính của bạn:]]</f>
        <v>Nữ</v>
      </c>
      <c r="E110" t="str">
        <f>step3_validation[[#This Row],[Age_Group]]</f>
        <v>40 - 49</v>
      </c>
      <c r="F110" t="str">
        <f>survey_responses[[#This Row],[Độ tuổi của bạn:]]</f>
        <v>40 - 49</v>
      </c>
      <c r="G110" t="str">
        <f>step3_validation[[#This Row],[Region]]</f>
        <v>Thành thị</v>
      </c>
      <c r="H110" t="str">
        <f>survey_responses[[#This Row],[Khu vực bạn đang sinh sống:]]</f>
        <v>Thành thị</v>
      </c>
      <c r="I110" t="str">
        <f>step3_validation[[#This Row],[Education]]</f>
        <v>Đại học</v>
      </c>
      <c r="J110" t="str">
        <f>survey_responses[[#This Row],[Trình độ học vấn cao nhất:]]</f>
        <v>Đại học</v>
      </c>
      <c r="K110" t="str">
        <f>step3_validation[[#This Row],[Employment]]</f>
        <v>Chính thức</v>
      </c>
      <c r="L110" t="str">
        <f>survey_responses[[#This Row],[Tình trạng việc làm chính:]]</f>
        <v>Khu vực chính thức (Có Hợp đồng lao động, đóng BHXH)</v>
      </c>
      <c r="M110">
        <f>step3_validation[[#This Row],[Income_Mil]]</f>
        <v>14.718711244588896</v>
      </c>
      <c r="N110" t="str">
        <f>survey_responses[[#This Row],[Thu nhập bình quân tháng theo Hợp đồng lao động của bạn là bao nhiêu? (Vui lòng điền tổng thu nhập trước khi khấu trừ các loại Bảo hiểm (BHXH, BHYT, BHTN) và Thuế TNCN)]]</f>
        <v>Từ 12 - 18 triệu VNĐ</v>
      </c>
      <c r="O110">
        <f>step3_validation[[#This Row],[Dependents]]</f>
        <v>1</v>
      </c>
      <c r="P110" t="str">
        <f>survey_responses[[#This Row],[Số người phụ thuộc (con nhỏ, cha mẹ già...) đủ điều kiện giảm trừ gia cảnh:]]</f>
        <v>1 người</v>
      </c>
      <c r="Q110">
        <f>step3_validation[[#This Row],[AI_ENF1]]</f>
        <v>7</v>
      </c>
      <c r="R110">
        <f t="shared" si="27"/>
        <v>0.66666666666666663</v>
      </c>
      <c r="S110">
        <f>survey_responses[[#This Row],[Tôi tin rằng với các quy định quản lý thuế hiện nay, hành vi gian lận hoặc trốn thuế sẽ dễ dàng bị phát hiện và xử lý nghiêm. - HUMAN-ENF1]]</f>
        <v>10</v>
      </c>
      <c r="T110">
        <f t="shared" si="28"/>
        <v>1</v>
      </c>
      <c r="U110">
        <f>step3_validation[[#This Row],[AI_ENF2]]</f>
        <v>8</v>
      </c>
      <c r="V110">
        <f t="shared" si="29"/>
        <v>0.77777777777777779</v>
      </c>
      <c r="W110">
        <f>survey_responses[[#This Row],[Tôi tin rằng Nhà nước, cơ quan thuế có đủ khả năng và công nghệ để phát hiện, xử lý nghiêm các hành vi trốn thuế. - HUMAN-ENF2]]</f>
        <v>10</v>
      </c>
      <c r="X110">
        <f t="shared" si="30"/>
        <v>1</v>
      </c>
      <c r="Y110" s="32">
        <f t="shared" si="31"/>
        <v>0.72222222222222221</v>
      </c>
      <c r="Z110" s="32">
        <f t="shared" si="32"/>
        <v>1</v>
      </c>
      <c r="AA110">
        <f>step3_validation[[#This Row],[AI_FAC1]]</f>
        <v>9</v>
      </c>
      <c r="AB110">
        <f t="shared" si="33"/>
        <v>0.88888888888888884</v>
      </c>
      <c r="AC110">
        <f>survey_responses[[#This Row],[Các thủ tục khai báo thuế VÀ/HOẶC quy trình làm việc với cơ quan thuế đơn giản, tiện lợi, nhanh chóng hơn so với trước đây. - HUMAN-FAC1]]</f>
        <v>10</v>
      </c>
      <c r="AD110">
        <f t="shared" si="34"/>
        <v>1</v>
      </c>
      <c r="AE110">
        <f>step3_validation[[#This Row],[AI_FAC2]]</f>
        <v>10</v>
      </c>
      <c r="AF110">
        <f t="shared" si="35"/>
        <v>1</v>
      </c>
      <c r="AG110">
        <f>survey_responses[[#This Row],[So với trước đây, tôi thấy cách tính thuế và các bậc thuế trong phương án mới đơn giản, dễ hiểu và dễ thực hiện hơn. - HUMAN-FAC2]]</f>
        <v>10</v>
      </c>
      <c r="AH110">
        <f t="shared" si="36"/>
        <v>1</v>
      </c>
      <c r="AI110" s="32">
        <f t="shared" si="37"/>
        <v>0.94444444444444442</v>
      </c>
      <c r="AJ110" s="32">
        <f t="shared" si="38"/>
        <v>1</v>
      </c>
      <c r="AK110">
        <f>step3_validation[[#This Row],[AI_TRU1]]</f>
        <v>9</v>
      </c>
      <c r="AL110">
        <f t="shared" si="39"/>
        <v>0.88888888888888884</v>
      </c>
      <c r="AM110">
        <f>survey_responses[[#This Row],[Tôi tin rằng Nhà nước, cơ quan thuế sẽ thực thi chính sách mới một cách khách quan, công tâm và đối xử bình đẳng với mọi người nộp thuế.  - HUMAN-TRU1]]</f>
        <v>10</v>
      </c>
      <c r="AN110">
        <f t="shared" si="40"/>
        <v>1</v>
      </c>
      <c r="AO110">
        <f>step3_validation[[#This Row],[AI_TRU2]]</f>
        <v>9</v>
      </c>
      <c r="AP110">
        <f t="shared" si="41"/>
        <v>0.88888888888888884</v>
      </c>
      <c r="AQ110">
        <f>survey_responses[[#This Row],[Tôi thấy mức thuế tôi phải đóng theo phương án mới là công bằng (người thu nhập như tôi đóng mức này là hợp lý). - HUMAN-TRU2]]</f>
        <v>10</v>
      </c>
      <c r="AR110">
        <f t="shared" si="42"/>
        <v>1</v>
      </c>
      <c r="AS110">
        <f>step3_validation[[#This Row],[AI_TRU3]]</f>
        <v>8</v>
      </c>
      <c r="AT110">
        <f t="shared" si="43"/>
        <v>0.77777777777777779</v>
      </c>
      <c r="AU110">
        <f>survey_responses[[#This Row],[Tôi tin tưởng số tiền thuế tôi đóng sẽ được Nhà nước sử dụng hiệu quả để cải thiện dịch vụ công (y tế, đường xá...). - HUMAN-TRU3]]</f>
        <v>10</v>
      </c>
      <c r="AV110">
        <f t="shared" si="44"/>
        <v>1</v>
      </c>
      <c r="AW110">
        <f>step3_validation[[#This Row],[AI_TRU4]]</f>
        <v>9</v>
      </c>
      <c r="AX110">
        <f t="shared" si="45"/>
        <v>0.88888888888888884</v>
      </c>
      <c r="AY110">
        <f>survey_responses[[#This Row],[Tôi thấy Nhà nước đã giải thích rõ ràng, minh bạch về lý do và mục tiêu của việc sửa đổi thuế lần này. - HUMAN-TRU4]]</f>
        <v>10</v>
      </c>
      <c r="AZ110">
        <f t="shared" si="46"/>
        <v>1</v>
      </c>
      <c r="BA110" s="32">
        <f t="shared" si="47"/>
        <v>0.86111111111111105</v>
      </c>
      <c r="BB110" s="32">
        <f t="shared" si="48"/>
        <v>1</v>
      </c>
      <c r="BC110" s="7">
        <f t="shared" si="49"/>
        <v>0.84259259259259256</v>
      </c>
      <c r="BD110" s="7">
        <f t="shared" si="50"/>
        <v>1</v>
      </c>
      <c r="BE110">
        <f>step3_validation[[#This Row],[AI_OUT1]]</f>
        <v>9</v>
      </c>
      <c r="BF110">
        <f t="shared" si="51"/>
        <v>0.88888888888888884</v>
      </c>
      <c r="BG110">
        <f>survey_responses[[#This Row],[Sau khi xem xét các quyền lợi và nghĩa vụ, bạn có ủng hộ và tuân thủ chính sách mới hiện nay? - HUMAN-OUT1]]</f>
        <v>10</v>
      </c>
      <c r="BH110">
        <f t="shared" si="52"/>
        <v>1</v>
      </c>
      <c r="BI110" s="32">
        <f t="shared" si="53"/>
        <v>1</v>
      </c>
    </row>
    <row r="111" spans="1:61" x14ac:dyDescent="0.45">
      <c r="A111" s="30">
        <f>step3_validation[[#This Row],[Persona_ID]]</f>
        <v>110</v>
      </c>
      <c r="B111" s="31">
        <f>step3_validation[[#This Row],[Used_Seed]]</f>
        <v>110</v>
      </c>
      <c r="C111" t="str">
        <f>step3_validation[[#This Row],[Gender]]</f>
        <v>Nam</v>
      </c>
      <c r="D111" t="str">
        <f>survey_responses[[#This Row],[Giới tính của bạn:]]</f>
        <v>Nam</v>
      </c>
      <c r="E111" t="str">
        <f>step3_validation[[#This Row],[Age_Group]]</f>
        <v>30 - 39</v>
      </c>
      <c r="F111" t="str">
        <f>survey_responses[[#This Row],[Độ tuổi của bạn:]]</f>
        <v>30 - 39</v>
      </c>
      <c r="G111" t="str">
        <f>step3_validation[[#This Row],[Region]]</f>
        <v>Thành thị</v>
      </c>
      <c r="H111" t="str">
        <f>survey_responses[[#This Row],[Khu vực bạn đang sinh sống:]]</f>
        <v>Thành thị</v>
      </c>
      <c r="I111" t="str">
        <f>step3_validation[[#This Row],[Education]]</f>
        <v>Đại học</v>
      </c>
      <c r="J111" t="str">
        <f>survey_responses[[#This Row],[Trình độ học vấn cao nhất:]]</f>
        <v>Đại học</v>
      </c>
      <c r="K111" t="str">
        <f>step3_validation[[#This Row],[Employment]]</f>
        <v>Chính thức</v>
      </c>
      <c r="L111" t="str">
        <f>survey_responses[[#This Row],[Tình trạng việc làm chính:]]</f>
        <v>Khu vực chính thức (Có Hợp đồng lao động, đóng BHXH)</v>
      </c>
      <c r="M111">
        <f>step3_validation[[#This Row],[Income_Mil]]</f>
        <v>67.540349041716297</v>
      </c>
      <c r="N111" t="str">
        <f>survey_responses[[#This Row],[Thu nhập bình quân tháng theo Hợp đồng lao động của bạn là bao nhiêu? (Vui lòng điền tổng thu nhập trước khi khấu trừ các loại Bảo hiểm (BHXH, BHYT, BHTN) và Thuế TNCN)]]</f>
        <v>Từ 48 - 70 triệu VNĐ</v>
      </c>
      <c r="O111">
        <f>step3_validation[[#This Row],[Dependents]]</f>
        <v>2</v>
      </c>
      <c r="P111" t="str">
        <f>survey_responses[[#This Row],[Số người phụ thuộc (con nhỏ, cha mẹ già...) đủ điều kiện giảm trừ gia cảnh:]]</f>
        <v>2 người</v>
      </c>
      <c r="Q111">
        <f>step3_validation[[#This Row],[AI_ENF1]]</f>
        <v>9</v>
      </c>
      <c r="R111">
        <f t="shared" si="27"/>
        <v>0.88888888888888884</v>
      </c>
      <c r="S111">
        <f>survey_responses[[#This Row],[Tôi tin rằng với các quy định quản lý thuế hiện nay, hành vi gian lận hoặc trốn thuế sẽ dễ dàng bị phát hiện và xử lý nghiêm. - HUMAN-ENF1]]</f>
        <v>7</v>
      </c>
      <c r="T111">
        <f t="shared" si="28"/>
        <v>0.66666666666666663</v>
      </c>
      <c r="U111">
        <f>step3_validation[[#This Row],[AI_ENF2]]</f>
        <v>8</v>
      </c>
      <c r="V111">
        <f t="shared" si="29"/>
        <v>0.77777777777777779</v>
      </c>
      <c r="W111">
        <f>survey_responses[[#This Row],[Tôi tin rằng Nhà nước, cơ quan thuế có đủ khả năng và công nghệ để phát hiện, xử lý nghiêm các hành vi trốn thuế. - HUMAN-ENF2]]</f>
        <v>6</v>
      </c>
      <c r="X111">
        <f t="shared" si="30"/>
        <v>0.55555555555555558</v>
      </c>
      <c r="Y111" s="32">
        <f t="shared" si="31"/>
        <v>0.83333333333333326</v>
      </c>
      <c r="Z111" s="32">
        <f t="shared" si="32"/>
        <v>0.61111111111111116</v>
      </c>
      <c r="AA111">
        <f>step3_validation[[#This Row],[AI_FAC1]]</f>
        <v>9</v>
      </c>
      <c r="AB111">
        <f t="shared" si="33"/>
        <v>0.88888888888888884</v>
      </c>
      <c r="AC111">
        <f>survey_responses[[#This Row],[Các thủ tục khai báo thuế VÀ/HOẶC quy trình làm việc với cơ quan thuế đơn giản, tiện lợi, nhanh chóng hơn so với trước đây. - HUMAN-FAC1]]</f>
        <v>8</v>
      </c>
      <c r="AD111">
        <f t="shared" si="34"/>
        <v>0.77777777777777779</v>
      </c>
      <c r="AE111">
        <f>step3_validation[[#This Row],[AI_FAC2]]</f>
        <v>8</v>
      </c>
      <c r="AF111">
        <f t="shared" si="35"/>
        <v>0.77777777777777779</v>
      </c>
      <c r="AG111">
        <f>survey_responses[[#This Row],[So với trước đây, tôi thấy cách tính thuế và các bậc thuế trong phương án mới đơn giản, dễ hiểu và dễ thực hiện hơn. - HUMAN-FAC2]]</f>
        <v>8</v>
      </c>
      <c r="AH111">
        <f t="shared" si="36"/>
        <v>0.77777777777777779</v>
      </c>
      <c r="AI111" s="32">
        <f t="shared" si="37"/>
        <v>0.83333333333333326</v>
      </c>
      <c r="AJ111" s="32">
        <f t="shared" si="38"/>
        <v>0.77777777777777779</v>
      </c>
      <c r="AK111">
        <f>step3_validation[[#This Row],[AI_TRU1]]</f>
        <v>9</v>
      </c>
      <c r="AL111">
        <f t="shared" si="39"/>
        <v>0.88888888888888884</v>
      </c>
      <c r="AM111">
        <f>survey_responses[[#This Row],[Tôi tin rằng Nhà nước, cơ quan thuế sẽ thực thi chính sách mới một cách khách quan, công tâm và đối xử bình đẳng với mọi người nộp thuế.  - HUMAN-TRU1]]</f>
        <v>7</v>
      </c>
      <c r="AN111">
        <f t="shared" si="40"/>
        <v>0.66666666666666663</v>
      </c>
      <c r="AO111">
        <f>step3_validation[[#This Row],[AI_TRU2]]</f>
        <v>8</v>
      </c>
      <c r="AP111">
        <f t="shared" si="41"/>
        <v>0.77777777777777779</v>
      </c>
      <c r="AQ111">
        <f>survey_responses[[#This Row],[Tôi thấy mức thuế tôi phải đóng theo phương án mới là công bằng (người thu nhập như tôi đóng mức này là hợp lý). - HUMAN-TRU2]]</f>
        <v>6</v>
      </c>
      <c r="AR111">
        <f t="shared" si="42"/>
        <v>0.55555555555555558</v>
      </c>
      <c r="AS111">
        <f>step3_validation[[#This Row],[AI_TRU3]]</f>
        <v>9</v>
      </c>
      <c r="AT111">
        <f t="shared" si="43"/>
        <v>0.88888888888888884</v>
      </c>
      <c r="AU111">
        <f>survey_responses[[#This Row],[Tôi tin tưởng số tiền thuế tôi đóng sẽ được Nhà nước sử dụng hiệu quả để cải thiện dịch vụ công (y tế, đường xá...). - HUMAN-TRU3]]</f>
        <v>5</v>
      </c>
      <c r="AV111">
        <f t="shared" si="44"/>
        <v>0.44444444444444442</v>
      </c>
      <c r="AW111">
        <f>step3_validation[[#This Row],[AI_TRU4]]</f>
        <v>8</v>
      </c>
      <c r="AX111">
        <f t="shared" si="45"/>
        <v>0.77777777777777779</v>
      </c>
      <c r="AY111">
        <f>survey_responses[[#This Row],[Tôi thấy Nhà nước đã giải thích rõ ràng, minh bạch về lý do và mục tiêu của việc sửa đổi thuế lần này. - HUMAN-TRU4]]</f>
        <v>5</v>
      </c>
      <c r="AZ111">
        <f t="shared" si="46"/>
        <v>0.44444444444444442</v>
      </c>
      <c r="BA111" s="32">
        <f t="shared" si="47"/>
        <v>0.83333333333333326</v>
      </c>
      <c r="BB111" s="32">
        <f t="shared" si="48"/>
        <v>0.52777777777777779</v>
      </c>
      <c r="BC111" s="7">
        <f t="shared" si="49"/>
        <v>0.83333333333333337</v>
      </c>
      <c r="BD111" s="7">
        <f t="shared" si="50"/>
        <v>0.63888888888888884</v>
      </c>
      <c r="BE111">
        <f>step3_validation[[#This Row],[AI_OUT1]]</f>
        <v>9</v>
      </c>
      <c r="BF111">
        <f t="shared" si="51"/>
        <v>0.88888888888888884</v>
      </c>
      <c r="BG111">
        <f>survey_responses[[#This Row],[Sau khi xem xét các quyền lợi và nghĩa vụ, bạn có ủng hộ và tuân thủ chính sách mới hiện nay? - HUMAN-OUT1]]</f>
        <v>8</v>
      </c>
      <c r="BH111">
        <f t="shared" si="52"/>
        <v>0.77777777777777779</v>
      </c>
      <c r="BI111" s="32">
        <f t="shared" si="53"/>
        <v>1</v>
      </c>
    </row>
    <row r="112" spans="1:61" x14ac:dyDescent="0.45">
      <c r="A112" s="30">
        <f>step3_validation[[#This Row],[Persona_ID]]</f>
        <v>111</v>
      </c>
      <c r="B112" s="31">
        <f>step3_validation[[#This Row],[Used_Seed]]</f>
        <v>111</v>
      </c>
      <c r="C112" t="str">
        <f>step3_validation[[#This Row],[Gender]]</f>
        <v>Nam</v>
      </c>
      <c r="D112" t="str">
        <f>survey_responses[[#This Row],[Giới tính của bạn:]]</f>
        <v>Nam</v>
      </c>
      <c r="E112" t="str">
        <f>step3_validation[[#This Row],[Age_Group]]</f>
        <v>50 - 54</v>
      </c>
      <c r="F112" t="str">
        <f>survey_responses[[#This Row],[Độ tuổi của bạn:]]</f>
        <v>50 - 54</v>
      </c>
      <c r="G112" t="str">
        <f>step3_validation[[#This Row],[Region]]</f>
        <v>Thành thị</v>
      </c>
      <c r="H112" t="str">
        <f>survey_responses[[#This Row],[Khu vực bạn đang sinh sống:]]</f>
        <v>Thành thị</v>
      </c>
      <c r="I112" t="str">
        <f>step3_validation[[#This Row],[Education]]</f>
        <v>Đại học</v>
      </c>
      <c r="J112" t="str">
        <f>survey_responses[[#This Row],[Trình độ học vấn cao nhất:]]</f>
        <v>Đại học</v>
      </c>
      <c r="K112" t="str">
        <f>step3_validation[[#This Row],[Employment]]</f>
        <v>Chính thức</v>
      </c>
      <c r="L112" t="str">
        <f>survey_responses[[#This Row],[Tình trạng việc làm chính:]]</f>
        <v>Khu vực chính thức (Có Hợp đồng lao động, đóng BHXH)</v>
      </c>
      <c r="M112">
        <f>step3_validation[[#This Row],[Income_Mil]]</f>
        <v>24.229290847618664</v>
      </c>
      <c r="N112" t="str">
        <f>survey_responses[[#This Row],[Thu nhập bình quân tháng theo Hợp đồng lao động của bạn là bao nhiêu? (Vui lòng điền tổng thu nhập trước khi khấu trừ các loại Bảo hiểm (BHXH, BHYT, BHTN) và Thuế TNCN)]]</f>
        <v>Từ 23 - 32 triệu VNĐ</v>
      </c>
      <c r="O112">
        <f>step3_validation[[#This Row],[Dependents]]</f>
        <v>1</v>
      </c>
      <c r="P112" t="str">
        <f>survey_responses[[#This Row],[Số người phụ thuộc (con nhỏ, cha mẹ già...) đủ điều kiện giảm trừ gia cảnh:]]</f>
        <v>1 người</v>
      </c>
      <c r="Q112">
        <f>step3_validation[[#This Row],[AI_ENF1]]</f>
        <v>5</v>
      </c>
      <c r="R112">
        <f t="shared" si="27"/>
        <v>0.44444444444444442</v>
      </c>
      <c r="S112">
        <f>survey_responses[[#This Row],[Tôi tin rằng với các quy định quản lý thuế hiện nay, hành vi gian lận hoặc trốn thuế sẽ dễ dàng bị phát hiện và xử lý nghiêm. - HUMAN-ENF1]]</f>
        <v>8</v>
      </c>
      <c r="T112">
        <f t="shared" si="28"/>
        <v>0.77777777777777779</v>
      </c>
      <c r="U112">
        <f>step3_validation[[#This Row],[AI_ENF2]]</f>
        <v>6</v>
      </c>
      <c r="V112">
        <f t="shared" si="29"/>
        <v>0.55555555555555558</v>
      </c>
      <c r="W112">
        <f>survey_responses[[#This Row],[Tôi tin rằng Nhà nước, cơ quan thuế có đủ khả năng và công nghệ để phát hiện, xử lý nghiêm các hành vi trốn thuế. - HUMAN-ENF2]]</f>
        <v>8</v>
      </c>
      <c r="X112">
        <f t="shared" si="30"/>
        <v>0.77777777777777779</v>
      </c>
      <c r="Y112" s="32">
        <f t="shared" si="31"/>
        <v>0.5</v>
      </c>
      <c r="Z112" s="32">
        <f t="shared" si="32"/>
        <v>0.77777777777777779</v>
      </c>
      <c r="AA112">
        <f>step3_validation[[#This Row],[AI_FAC1]]</f>
        <v>9</v>
      </c>
      <c r="AB112">
        <f t="shared" si="33"/>
        <v>0.88888888888888884</v>
      </c>
      <c r="AC112">
        <f>survey_responses[[#This Row],[Các thủ tục khai báo thuế VÀ/HOẶC quy trình làm việc với cơ quan thuế đơn giản, tiện lợi, nhanh chóng hơn so với trước đây. - HUMAN-FAC1]]</f>
        <v>6</v>
      </c>
      <c r="AD112">
        <f t="shared" si="34"/>
        <v>0.55555555555555558</v>
      </c>
      <c r="AE112">
        <f>step3_validation[[#This Row],[AI_FAC2]]</f>
        <v>8</v>
      </c>
      <c r="AF112">
        <f t="shared" si="35"/>
        <v>0.77777777777777779</v>
      </c>
      <c r="AG112">
        <f>survey_responses[[#This Row],[So với trước đây, tôi thấy cách tính thuế và các bậc thuế trong phương án mới đơn giản, dễ hiểu và dễ thực hiện hơn. - HUMAN-FAC2]]</f>
        <v>7</v>
      </c>
      <c r="AH112">
        <f t="shared" si="36"/>
        <v>0.66666666666666663</v>
      </c>
      <c r="AI112" s="32">
        <f t="shared" si="37"/>
        <v>0.83333333333333326</v>
      </c>
      <c r="AJ112" s="32">
        <f t="shared" si="38"/>
        <v>0.61111111111111116</v>
      </c>
      <c r="AK112">
        <f>step3_validation[[#This Row],[AI_TRU1]]</f>
        <v>7</v>
      </c>
      <c r="AL112">
        <f t="shared" si="39"/>
        <v>0.66666666666666663</v>
      </c>
      <c r="AM112">
        <f>survey_responses[[#This Row],[Tôi tin rằng Nhà nước, cơ quan thuế sẽ thực thi chính sách mới một cách khách quan, công tâm và đối xử bình đẳng với mọi người nộp thuế.  - HUMAN-TRU1]]</f>
        <v>6</v>
      </c>
      <c r="AN112">
        <f t="shared" si="40"/>
        <v>0.55555555555555558</v>
      </c>
      <c r="AO112">
        <f>step3_validation[[#This Row],[AI_TRU2]]</f>
        <v>8</v>
      </c>
      <c r="AP112">
        <f t="shared" si="41"/>
        <v>0.77777777777777779</v>
      </c>
      <c r="AQ112">
        <f>survey_responses[[#This Row],[Tôi thấy mức thuế tôi phải đóng theo phương án mới là công bằng (người thu nhập như tôi đóng mức này là hợp lý). - HUMAN-TRU2]]</f>
        <v>7</v>
      </c>
      <c r="AR112">
        <f t="shared" si="42"/>
        <v>0.66666666666666663</v>
      </c>
      <c r="AS112">
        <f>step3_validation[[#This Row],[AI_TRU3]]</f>
        <v>6</v>
      </c>
      <c r="AT112">
        <f t="shared" si="43"/>
        <v>0.55555555555555558</v>
      </c>
      <c r="AU112">
        <f>survey_responses[[#This Row],[Tôi tin tưởng số tiền thuế tôi đóng sẽ được Nhà nước sử dụng hiệu quả để cải thiện dịch vụ công (y tế, đường xá...). - HUMAN-TRU3]]</f>
        <v>5</v>
      </c>
      <c r="AV112">
        <f t="shared" si="44"/>
        <v>0.44444444444444442</v>
      </c>
      <c r="AW112">
        <f>step3_validation[[#This Row],[AI_TRU4]]</f>
        <v>8</v>
      </c>
      <c r="AX112">
        <f t="shared" si="45"/>
        <v>0.77777777777777779</v>
      </c>
      <c r="AY112">
        <f>survey_responses[[#This Row],[Tôi thấy Nhà nước đã giải thích rõ ràng, minh bạch về lý do và mục tiêu của việc sửa đổi thuế lần này. - HUMAN-TRU4]]</f>
        <v>5</v>
      </c>
      <c r="AZ112">
        <f t="shared" si="46"/>
        <v>0.44444444444444442</v>
      </c>
      <c r="BA112" s="32">
        <f t="shared" si="47"/>
        <v>0.69444444444444442</v>
      </c>
      <c r="BB112" s="32">
        <f t="shared" si="48"/>
        <v>0.52777777777777779</v>
      </c>
      <c r="BC112" s="7">
        <f t="shared" si="49"/>
        <v>0.67592592592592593</v>
      </c>
      <c r="BD112" s="7">
        <f t="shared" si="50"/>
        <v>0.63888888888888884</v>
      </c>
      <c r="BE112">
        <f>step3_validation[[#This Row],[AI_OUT1]]</f>
        <v>9</v>
      </c>
      <c r="BF112">
        <f t="shared" si="51"/>
        <v>0.88888888888888884</v>
      </c>
      <c r="BG112">
        <f>survey_responses[[#This Row],[Sau khi xem xét các quyền lợi và nghĩa vụ, bạn có ủng hộ và tuân thủ chính sách mới hiện nay? - HUMAN-OUT1]]</f>
        <v>5</v>
      </c>
      <c r="BH112">
        <f t="shared" si="52"/>
        <v>0.44444444444444442</v>
      </c>
      <c r="BI112" s="32">
        <f t="shared" si="53"/>
        <v>4</v>
      </c>
    </row>
    <row r="113" spans="1:61" x14ac:dyDescent="0.45">
      <c r="A113" s="30">
        <f>step3_validation[[#This Row],[Persona_ID]]</f>
        <v>112</v>
      </c>
      <c r="B113" s="31">
        <f>step3_validation[[#This Row],[Used_Seed]]</f>
        <v>112</v>
      </c>
      <c r="C113" t="str">
        <f>step3_validation[[#This Row],[Gender]]</f>
        <v>Nữ</v>
      </c>
      <c r="D113" t="str">
        <f>survey_responses[[#This Row],[Giới tính của bạn:]]</f>
        <v>Nữ</v>
      </c>
      <c r="E113" t="str">
        <f>step3_validation[[#This Row],[Age_Group]]</f>
        <v>40 - 49</v>
      </c>
      <c r="F113" t="str">
        <f>survey_responses[[#This Row],[Độ tuổi của bạn:]]</f>
        <v>40 - 49</v>
      </c>
      <c r="G113" t="str">
        <f>step3_validation[[#This Row],[Region]]</f>
        <v>Thành thị</v>
      </c>
      <c r="H113" t="str">
        <f>survey_responses[[#This Row],[Khu vực bạn đang sinh sống:]]</f>
        <v>Thành thị</v>
      </c>
      <c r="I113" t="str">
        <f>step3_validation[[#This Row],[Education]]</f>
        <v>Đại học</v>
      </c>
      <c r="J113" t="str">
        <f>survey_responses[[#This Row],[Trình độ học vấn cao nhất:]]</f>
        <v>Đại học</v>
      </c>
      <c r="K113" t="str">
        <f>step3_validation[[#This Row],[Employment]]</f>
        <v>Chính thức</v>
      </c>
      <c r="L113" t="str">
        <f>survey_responses[[#This Row],[Tình trạng việc làm chính:]]</f>
        <v>Khu vực chính thức (Có Hợp đồng lao động, đóng BHXH)</v>
      </c>
      <c r="M113">
        <f>step3_validation[[#This Row],[Income_Mil]]</f>
        <v>18.465836052030621</v>
      </c>
      <c r="N113" t="str">
        <f>survey_responses[[#This Row],[Thu nhập bình quân tháng theo Hợp đồng lao động của bạn là bao nhiêu? (Vui lòng điền tổng thu nhập trước khi khấu trừ các loại Bảo hiểm (BHXH, BHYT, BHTN) và Thuế TNCN)]]</f>
        <v>Từ 18 - 23 triệu VNĐ</v>
      </c>
      <c r="O113">
        <f>step3_validation[[#This Row],[Dependents]]</f>
        <v>2</v>
      </c>
      <c r="P113" t="str">
        <f>survey_responses[[#This Row],[Số người phụ thuộc (con nhỏ, cha mẹ già...) đủ điều kiện giảm trừ gia cảnh:]]</f>
        <v>2 người</v>
      </c>
      <c r="Q113">
        <f>step3_validation[[#This Row],[AI_ENF1]]</f>
        <v>8</v>
      </c>
      <c r="R113">
        <f t="shared" si="27"/>
        <v>0.77777777777777779</v>
      </c>
      <c r="S113">
        <f>survey_responses[[#This Row],[Tôi tin rằng với các quy định quản lý thuế hiện nay, hành vi gian lận hoặc trốn thuế sẽ dễ dàng bị phát hiện và xử lý nghiêm. - HUMAN-ENF1]]</f>
        <v>7</v>
      </c>
      <c r="T113">
        <f t="shared" si="28"/>
        <v>0.66666666666666663</v>
      </c>
      <c r="U113">
        <f>step3_validation[[#This Row],[AI_ENF2]]</f>
        <v>7</v>
      </c>
      <c r="V113">
        <f t="shared" si="29"/>
        <v>0.66666666666666663</v>
      </c>
      <c r="W113">
        <f>survey_responses[[#This Row],[Tôi tin rằng Nhà nước, cơ quan thuế có đủ khả năng và công nghệ để phát hiện, xử lý nghiêm các hành vi trốn thuế. - HUMAN-ENF2]]</f>
        <v>8</v>
      </c>
      <c r="X113">
        <f t="shared" si="30"/>
        <v>0.77777777777777779</v>
      </c>
      <c r="Y113" s="32">
        <f t="shared" si="31"/>
        <v>0.72222222222222221</v>
      </c>
      <c r="Z113" s="32">
        <f t="shared" si="32"/>
        <v>0.72222222222222221</v>
      </c>
      <c r="AA113">
        <f>step3_validation[[#This Row],[AI_FAC1]]</f>
        <v>9</v>
      </c>
      <c r="AB113">
        <f t="shared" si="33"/>
        <v>0.88888888888888884</v>
      </c>
      <c r="AC113">
        <f>survey_responses[[#This Row],[Các thủ tục khai báo thuế VÀ/HOẶC quy trình làm việc với cơ quan thuế đơn giản, tiện lợi, nhanh chóng hơn so với trước đây. - HUMAN-FAC1]]</f>
        <v>8</v>
      </c>
      <c r="AD113">
        <f t="shared" si="34"/>
        <v>0.77777777777777779</v>
      </c>
      <c r="AE113">
        <f>step3_validation[[#This Row],[AI_FAC2]]</f>
        <v>8</v>
      </c>
      <c r="AF113">
        <f t="shared" si="35"/>
        <v>0.77777777777777779</v>
      </c>
      <c r="AG113">
        <f>survey_responses[[#This Row],[So với trước đây, tôi thấy cách tính thuế và các bậc thuế trong phương án mới đơn giản, dễ hiểu và dễ thực hiện hơn. - HUMAN-FAC2]]</f>
        <v>8</v>
      </c>
      <c r="AH113">
        <f t="shared" si="36"/>
        <v>0.77777777777777779</v>
      </c>
      <c r="AI113" s="32">
        <f t="shared" si="37"/>
        <v>0.83333333333333326</v>
      </c>
      <c r="AJ113" s="32">
        <f t="shared" si="38"/>
        <v>0.77777777777777779</v>
      </c>
      <c r="AK113">
        <f>step3_validation[[#This Row],[AI_TRU1]]</f>
        <v>9</v>
      </c>
      <c r="AL113">
        <f t="shared" si="39"/>
        <v>0.88888888888888884</v>
      </c>
      <c r="AM113">
        <f>survey_responses[[#This Row],[Tôi tin rằng Nhà nước, cơ quan thuế sẽ thực thi chính sách mới một cách khách quan, công tâm và đối xử bình đẳng với mọi người nộp thuế.  - HUMAN-TRU1]]</f>
        <v>8</v>
      </c>
      <c r="AN113">
        <f t="shared" si="40"/>
        <v>0.77777777777777779</v>
      </c>
      <c r="AO113">
        <f>step3_validation[[#This Row],[AI_TRU2]]</f>
        <v>8</v>
      </c>
      <c r="AP113">
        <f t="shared" si="41"/>
        <v>0.77777777777777779</v>
      </c>
      <c r="AQ113">
        <f>survey_responses[[#This Row],[Tôi thấy mức thuế tôi phải đóng theo phương án mới là công bằng (người thu nhập như tôi đóng mức này là hợp lý). - HUMAN-TRU2]]</f>
        <v>8</v>
      </c>
      <c r="AR113">
        <f t="shared" si="42"/>
        <v>0.77777777777777779</v>
      </c>
      <c r="AS113">
        <f>step3_validation[[#This Row],[AI_TRU3]]</f>
        <v>9</v>
      </c>
      <c r="AT113">
        <f t="shared" si="43"/>
        <v>0.88888888888888884</v>
      </c>
      <c r="AU113">
        <f>survey_responses[[#This Row],[Tôi tin tưởng số tiền thuế tôi đóng sẽ được Nhà nước sử dụng hiệu quả để cải thiện dịch vụ công (y tế, đường xá...). - HUMAN-TRU3]]</f>
        <v>8</v>
      </c>
      <c r="AV113">
        <f t="shared" si="44"/>
        <v>0.77777777777777779</v>
      </c>
      <c r="AW113">
        <f>step3_validation[[#This Row],[AI_TRU4]]</f>
        <v>7</v>
      </c>
      <c r="AX113">
        <f t="shared" si="45"/>
        <v>0.66666666666666663</v>
      </c>
      <c r="AY113">
        <f>survey_responses[[#This Row],[Tôi thấy Nhà nước đã giải thích rõ ràng, minh bạch về lý do và mục tiêu của việc sửa đổi thuế lần này. - HUMAN-TRU4]]</f>
        <v>8</v>
      </c>
      <c r="AZ113">
        <f t="shared" si="46"/>
        <v>0.77777777777777779</v>
      </c>
      <c r="BA113" s="32">
        <f t="shared" si="47"/>
        <v>0.80555555555555547</v>
      </c>
      <c r="BB113" s="32">
        <f t="shared" si="48"/>
        <v>0.77777777777777779</v>
      </c>
      <c r="BC113" s="7">
        <f t="shared" si="49"/>
        <v>0.78703703703703687</v>
      </c>
      <c r="BD113" s="7">
        <f t="shared" si="50"/>
        <v>0.75925925925925919</v>
      </c>
      <c r="BE113">
        <f>step3_validation[[#This Row],[AI_OUT1]]</f>
        <v>9</v>
      </c>
      <c r="BF113">
        <f t="shared" si="51"/>
        <v>0.88888888888888884</v>
      </c>
      <c r="BG113">
        <f>survey_responses[[#This Row],[Sau khi xem xét các quyền lợi và nghĩa vụ, bạn có ủng hộ và tuân thủ chính sách mới hiện nay? - HUMAN-OUT1]]</f>
        <v>8</v>
      </c>
      <c r="BH113">
        <f t="shared" si="52"/>
        <v>0.77777777777777779</v>
      </c>
      <c r="BI113" s="32">
        <f t="shared" si="53"/>
        <v>1</v>
      </c>
    </row>
    <row r="114" spans="1:61" x14ac:dyDescent="0.45">
      <c r="A114" s="30">
        <f>step3_validation[[#This Row],[Persona_ID]]</f>
        <v>113</v>
      </c>
      <c r="B114" s="31">
        <f>step3_validation[[#This Row],[Used_Seed]]</f>
        <v>113</v>
      </c>
      <c r="C114" t="str">
        <f>step3_validation[[#This Row],[Gender]]</f>
        <v>Nữ</v>
      </c>
      <c r="D114" t="str">
        <f>survey_responses[[#This Row],[Giới tính của bạn:]]</f>
        <v>Nữ</v>
      </c>
      <c r="E114" t="str">
        <f>step3_validation[[#This Row],[Age_Group]]</f>
        <v>30 - 39</v>
      </c>
      <c r="F114" t="str">
        <f>survey_responses[[#This Row],[Độ tuổi của bạn:]]</f>
        <v>30 - 39</v>
      </c>
      <c r="G114" t="str">
        <f>step3_validation[[#This Row],[Region]]</f>
        <v>Thành thị</v>
      </c>
      <c r="H114" t="str">
        <f>survey_responses[[#This Row],[Khu vực bạn đang sinh sống:]]</f>
        <v>Thành thị</v>
      </c>
      <c r="I114" t="str">
        <f>step3_validation[[#This Row],[Education]]</f>
        <v>Đại học</v>
      </c>
      <c r="J114" t="str">
        <f>survey_responses[[#This Row],[Trình độ học vấn cao nhất:]]</f>
        <v>Đại học</v>
      </c>
      <c r="K114" t="str">
        <f>step3_validation[[#This Row],[Employment]]</f>
        <v>Chính thức</v>
      </c>
      <c r="L114" t="str">
        <f>survey_responses[[#This Row],[Tình trạng việc làm chính:]]</f>
        <v>Khu vực chính thức (Có Hợp đồng lao động, đóng BHXH)</v>
      </c>
      <c r="M114">
        <f>step3_validation[[#This Row],[Income_Mil]]</f>
        <v>12</v>
      </c>
      <c r="N114" t="str">
        <f>survey_responses[[#This Row],[Thu nhập bình quân tháng theo Hợp đồng lao động của bạn là bao nhiêu? (Vui lòng điền tổng thu nhập trước khi khấu trừ các loại Bảo hiểm (BHXH, BHYT, BHTN) và Thuế TNCN)]]</f>
        <v>Dưới 12 triệu VNĐ</v>
      </c>
      <c r="O114">
        <f>step3_validation[[#This Row],[Dependents]]</f>
        <v>3</v>
      </c>
      <c r="P114" t="str">
        <f>survey_responses[[#This Row],[Số người phụ thuộc (con nhỏ, cha mẹ già...) đủ điều kiện giảm trừ gia cảnh:]]</f>
        <v>3 người</v>
      </c>
      <c r="Q114">
        <f>step3_validation[[#This Row],[AI_ENF1]]</f>
        <v>6</v>
      </c>
      <c r="R114">
        <f t="shared" si="27"/>
        <v>0.55555555555555558</v>
      </c>
      <c r="S114">
        <f>survey_responses[[#This Row],[Tôi tin rằng với các quy định quản lý thuế hiện nay, hành vi gian lận hoặc trốn thuế sẽ dễ dàng bị phát hiện và xử lý nghiêm. - HUMAN-ENF1]]</f>
        <v>1</v>
      </c>
      <c r="T114">
        <f t="shared" si="28"/>
        <v>0</v>
      </c>
      <c r="U114">
        <f>step3_validation[[#This Row],[AI_ENF2]]</f>
        <v>8</v>
      </c>
      <c r="V114">
        <f t="shared" si="29"/>
        <v>0.77777777777777779</v>
      </c>
      <c r="W114">
        <f>survey_responses[[#This Row],[Tôi tin rằng Nhà nước, cơ quan thuế có đủ khả năng và công nghệ để phát hiện, xử lý nghiêm các hành vi trốn thuế. - HUMAN-ENF2]]</f>
        <v>1</v>
      </c>
      <c r="X114">
        <f t="shared" si="30"/>
        <v>0</v>
      </c>
      <c r="Y114" s="32">
        <f t="shared" si="31"/>
        <v>0.66666666666666674</v>
      </c>
      <c r="Z114" s="32">
        <f t="shared" si="32"/>
        <v>0</v>
      </c>
      <c r="AA114">
        <f>step3_validation[[#This Row],[AI_FAC1]]</f>
        <v>9</v>
      </c>
      <c r="AB114">
        <f t="shared" si="33"/>
        <v>0.88888888888888884</v>
      </c>
      <c r="AC114">
        <f>survey_responses[[#This Row],[Các thủ tục khai báo thuế VÀ/HOẶC quy trình làm việc với cơ quan thuế đơn giản, tiện lợi, nhanh chóng hơn so với trước đây. - HUMAN-FAC1]]</f>
        <v>1</v>
      </c>
      <c r="AD114">
        <f t="shared" si="34"/>
        <v>0</v>
      </c>
      <c r="AE114">
        <f>step3_validation[[#This Row],[AI_FAC2]]</f>
        <v>10</v>
      </c>
      <c r="AF114">
        <f t="shared" si="35"/>
        <v>1</v>
      </c>
      <c r="AG114">
        <f>survey_responses[[#This Row],[So với trước đây, tôi thấy cách tính thuế và các bậc thuế trong phương án mới đơn giản, dễ hiểu và dễ thực hiện hơn. - HUMAN-FAC2]]</f>
        <v>1</v>
      </c>
      <c r="AH114">
        <f t="shared" si="36"/>
        <v>0</v>
      </c>
      <c r="AI114" s="32">
        <f t="shared" si="37"/>
        <v>0.94444444444444442</v>
      </c>
      <c r="AJ114" s="32">
        <f t="shared" si="38"/>
        <v>0</v>
      </c>
      <c r="AK114">
        <f>step3_validation[[#This Row],[AI_TRU1]]</f>
        <v>8</v>
      </c>
      <c r="AL114">
        <f t="shared" si="39"/>
        <v>0.77777777777777779</v>
      </c>
      <c r="AM114">
        <f>survey_responses[[#This Row],[Tôi tin rằng Nhà nước, cơ quan thuế sẽ thực thi chính sách mới một cách khách quan, công tâm và đối xử bình đẳng với mọi người nộp thuế.  - HUMAN-TRU1]]</f>
        <v>1</v>
      </c>
      <c r="AN114">
        <f t="shared" si="40"/>
        <v>0</v>
      </c>
      <c r="AO114">
        <f>step3_validation[[#This Row],[AI_TRU2]]</f>
        <v>9</v>
      </c>
      <c r="AP114">
        <f t="shared" si="41"/>
        <v>0.88888888888888884</v>
      </c>
      <c r="AQ114">
        <f>survey_responses[[#This Row],[Tôi thấy mức thuế tôi phải đóng theo phương án mới là công bằng (người thu nhập như tôi đóng mức này là hợp lý). - HUMAN-TRU2]]</f>
        <v>1</v>
      </c>
      <c r="AR114">
        <f t="shared" si="42"/>
        <v>0</v>
      </c>
      <c r="AS114">
        <f>step3_validation[[#This Row],[AI_TRU3]]</f>
        <v>8</v>
      </c>
      <c r="AT114">
        <f t="shared" si="43"/>
        <v>0.77777777777777779</v>
      </c>
      <c r="AU114">
        <f>survey_responses[[#This Row],[Tôi tin tưởng số tiền thuế tôi đóng sẽ được Nhà nước sử dụng hiệu quả để cải thiện dịch vụ công (y tế, đường xá...). - HUMAN-TRU3]]</f>
        <v>1</v>
      </c>
      <c r="AV114">
        <f t="shared" si="44"/>
        <v>0</v>
      </c>
      <c r="AW114">
        <f>step3_validation[[#This Row],[AI_TRU4]]</f>
        <v>9</v>
      </c>
      <c r="AX114">
        <f t="shared" si="45"/>
        <v>0.88888888888888884</v>
      </c>
      <c r="AY114">
        <f>survey_responses[[#This Row],[Tôi thấy Nhà nước đã giải thích rõ ràng, minh bạch về lý do và mục tiêu của việc sửa đổi thuế lần này. - HUMAN-TRU4]]</f>
        <v>1</v>
      </c>
      <c r="AZ114">
        <f t="shared" si="46"/>
        <v>0</v>
      </c>
      <c r="BA114" s="32">
        <f t="shared" si="47"/>
        <v>0.83333333333333326</v>
      </c>
      <c r="BB114" s="32">
        <f t="shared" si="48"/>
        <v>0</v>
      </c>
      <c r="BC114" s="7">
        <f t="shared" si="49"/>
        <v>0.81481481481481488</v>
      </c>
      <c r="BD114" s="7">
        <f t="shared" si="50"/>
        <v>0</v>
      </c>
      <c r="BE114">
        <f>step3_validation[[#This Row],[AI_OUT1]]</f>
        <v>9</v>
      </c>
      <c r="BF114">
        <f t="shared" si="51"/>
        <v>0.88888888888888884</v>
      </c>
      <c r="BG114">
        <f>survey_responses[[#This Row],[Sau khi xem xét các quyền lợi và nghĩa vụ, bạn có ủng hộ và tuân thủ chính sách mới hiện nay? - HUMAN-OUT1]]</f>
        <v>1</v>
      </c>
      <c r="BH114">
        <f t="shared" si="52"/>
        <v>0</v>
      </c>
      <c r="BI114" s="32">
        <f t="shared" si="53"/>
        <v>8</v>
      </c>
    </row>
    <row r="115" spans="1:61" x14ac:dyDescent="0.45">
      <c r="A115" s="30">
        <f>step3_validation[[#This Row],[Persona_ID]]</f>
        <v>114</v>
      </c>
      <c r="B115" s="31">
        <f>step3_validation[[#This Row],[Used_Seed]]</f>
        <v>114</v>
      </c>
      <c r="C115" t="str">
        <f>step3_validation[[#This Row],[Gender]]</f>
        <v>Nữ</v>
      </c>
      <c r="D115" t="str">
        <f>survey_responses[[#This Row],[Giới tính của bạn:]]</f>
        <v>Nữ</v>
      </c>
      <c r="E115" t="str">
        <f>step3_validation[[#This Row],[Age_Group]]</f>
        <v>40 - 49</v>
      </c>
      <c r="F115" t="str">
        <f>survey_responses[[#This Row],[Độ tuổi của bạn:]]</f>
        <v>40 - 49</v>
      </c>
      <c r="G115" t="str">
        <f>step3_validation[[#This Row],[Region]]</f>
        <v>Thành thị</v>
      </c>
      <c r="H115" t="str">
        <f>survey_responses[[#This Row],[Khu vực bạn đang sinh sống:]]</f>
        <v>Thành thị</v>
      </c>
      <c r="I115" t="str">
        <f>step3_validation[[#This Row],[Education]]</f>
        <v>Đại học</v>
      </c>
      <c r="J115" t="str">
        <f>survey_responses[[#This Row],[Trình độ học vấn cao nhất:]]</f>
        <v>Đại học</v>
      </c>
      <c r="K115" t="str">
        <f>step3_validation[[#This Row],[Employment]]</f>
        <v>Chính thức</v>
      </c>
      <c r="L115" t="str">
        <f>survey_responses[[#This Row],[Tình trạng việc làm chính:]]</f>
        <v>Khu vực chính thức (Có Hợp đồng lao động, đóng BHXH)</v>
      </c>
      <c r="M115">
        <f>step3_validation[[#This Row],[Income_Mil]]</f>
        <v>20.911553098038741</v>
      </c>
      <c r="N115" t="str">
        <f>survey_responses[[#This Row],[Thu nhập bình quân tháng theo Hợp đồng lao động của bạn là bao nhiêu? (Vui lòng điền tổng thu nhập trước khi khấu trừ các loại Bảo hiểm (BHXH, BHYT, BHTN) và Thuế TNCN)]]</f>
        <v>Từ 18 - 23 triệu VNĐ</v>
      </c>
      <c r="O115">
        <f>step3_validation[[#This Row],[Dependents]]</f>
        <v>4</v>
      </c>
      <c r="P115" t="str">
        <f>survey_responses[[#This Row],[Số người phụ thuộc (con nhỏ, cha mẹ già...) đủ điều kiện giảm trừ gia cảnh:]]</f>
        <v>4 người trở lên</v>
      </c>
      <c r="Q115">
        <f>step3_validation[[#This Row],[AI_ENF1]]</f>
        <v>8</v>
      </c>
      <c r="R115">
        <f t="shared" si="27"/>
        <v>0.77777777777777779</v>
      </c>
      <c r="S115">
        <f>survey_responses[[#This Row],[Tôi tin rằng với các quy định quản lý thuế hiện nay, hành vi gian lận hoặc trốn thuế sẽ dễ dàng bị phát hiện và xử lý nghiêm. - HUMAN-ENF1]]</f>
        <v>10</v>
      </c>
      <c r="T115">
        <f t="shared" si="28"/>
        <v>1</v>
      </c>
      <c r="U115">
        <f>step3_validation[[#This Row],[AI_ENF2]]</f>
        <v>9</v>
      </c>
      <c r="V115">
        <f t="shared" si="29"/>
        <v>0.88888888888888884</v>
      </c>
      <c r="W115">
        <f>survey_responses[[#This Row],[Tôi tin rằng Nhà nước, cơ quan thuế có đủ khả năng và công nghệ để phát hiện, xử lý nghiêm các hành vi trốn thuế. - HUMAN-ENF2]]</f>
        <v>10</v>
      </c>
      <c r="X115">
        <f t="shared" si="30"/>
        <v>1</v>
      </c>
      <c r="Y115" s="32">
        <f t="shared" si="31"/>
        <v>0.83333333333333326</v>
      </c>
      <c r="Z115" s="32">
        <f t="shared" si="32"/>
        <v>1</v>
      </c>
      <c r="AA115">
        <f>step3_validation[[#This Row],[AI_FAC1]]</f>
        <v>6</v>
      </c>
      <c r="AB115">
        <f t="shared" si="33"/>
        <v>0.55555555555555558</v>
      </c>
      <c r="AC115">
        <f>survey_responses[[#This Row],[Các thủ tục khai báo thuế VÀ/HOẶC quy trình làm việc với cơ quan thuế đơn giản, tiện lợi, nhanh chóng hơn so với trước đây. - HUMAN-FAC1]]</f>
        <v>10</v>
      </c>
      <c r="AD115">
        <f t="shared" si="34"/>
        <v>1</v>
      </c>
      <c r="AE115">
        <f>step3_validation[[#This Row],[AI_FAC2]]</f>
        <v>8</v>
      </c>
      <c r="AF115">
        <f t="shared" si="35"/>
        <v>0.77777777777777779</v>
      </c>
      <c r="AG115">
        <f>survey_responses[[#This Row],[So với trước đây, tôi thấy cách tính thuế và các bậc thuế trong phương án mới đơn giản, dễ hiểu và dễ thực hiện hơn. - HUMAN-FAC2]]</f>
        <v>10</v>
      </c>
      <c r="AH115">
        <f t="shared" si="36"/>
        <v>1</v>
      </c>
      <c r="AI115" s="32">
        <f t="shared" si="37"/>
        <v>0.66666666666666674</v>
      </c>
      <c r="AJ115" s="32">
        <f t="shared" si="38"/>
        <v>1</v>
      </c>
      <c r="AK115">
        <f>step3_validation[[#This Row],[AI_TRU1]]</f>
        <v>7</v>
      </c>
      <c r="AL115">
        <f t="shared" si="39"/>
        <v>0.66666666666666663</v>
      </c>
      <c r="AM115">
        <f>survey_responses[[#This Row],[Tôi tin rằng Nhà nước, cơ quan thuế sẽ thực thi chính sách mới một cách khách quan, công tâm và đối xử bình đẳng với mọi người nộp thuế.  - HUMAN-TRU1]]</f>
        <v>10</v>
      </c>
      <c r="AN115">
        <f t="shared" si="40"/>
        <v>1</v>
      </c>
      <c r="AO115">
        <f>step3_validation[[#This Row],[AI_TRU2]]</f>
        <v>8</v>
      </c>
      <c r="AP115">
        <f t="shared" si="41"/>
        <v>0.77777777777777779</v>
      </c>
      <c r="AQ115">
        <f>survey_responses[[#This Row],[Tôi thấy mức thuế tôi phải đóng theo phương án mới là công bằng (người thu nhập như tôi đóng mức này là hợp lý). - HUMAN-TRU2]]</f>
        <v>10</v>
      </c>
      <c r="AR115">
        <f t="shared" si="42"/>
        <v>1</v>
      </c>
      <c r="AS115">
        <f>step3_validation[[#This Row],[AI_TRU3]]</f>
        <v>7</v>
      </c>
      <c r="AT115">
        <f t="shared" si="43"/>
        <v>0.66666666666666663</v>
      </c>
      <c r="AU115">
        <f>survey_responses[[#This Row],[Tôi tin tưởng số tiền thuế tôi đóng sẽ được Nhà nước sử dụng hiệu quả để cải thiện dịch vụ công (y tế, đường xá...). - HUMAN-TRU3]]</f>
        <v>10</v>
      </c>
      <c r="AV115">
        <f t="shared" si="44"/>
        <v>1</v>
      </c>
      <c r="AW115">
        <f>step3_validation[[#This Row],[AI_TRU4]]</f>
        <v>6</v>
      </c>
      <c r="AX115">
        <f t="shared" si="45"/>
        <v>0.55555555555555558</v>
      </c>
      <c r="AY115">
        <f>survey_responses[[#This Row],[Tôi thấy Nhà nước đã giải thích rõ ràng, minh bạch về lý do và mục tiêu của việc sửa đổi thuế lần này. - HUMAN-TRU4]]</f>
        <v>10</v>
      </c>
      <c r="AZ115">
        <f t="shared" si="46"/>
        <v>1</v>
      </c>
      <c r="BA115" s="32">
        <f t="shared" si="47"/>
        <v>0.66666666666666674</v>
      </c>
      <c r="BB115" s="32">
        <f t="shared" si="48"/>
        <v>1</v>
      </c>
      <c r="BC115" s="7">
        <f t="shared" si="49"/>
        <v>0.72222222222222232</v>
      </c>
      <c r="BD115" s="7">
        <f t="shared" si="50"/>
        <v>1</v>
      </c>
      <c r="BE115">
        <f>step3_validation[[#This Row],[AI_OUT1]]</f>
        <v>9</v>
      </c>
      <c r="BF115">
        <f t="shared" si="51"/>
        <v>0.88888888888888884</v>
      </c>
      <c r="BG115">
        <f>survey_responses[[#This Row],[Sau khi xem xét các quyền lợi và nghĩa vụ, bạn có ủng hộ và tuân thủ chính sách mới hiện nay? - HUMAN-OUT1]]</f>
        <v>10</v>
      </c>
      <c r="BH115">
        <f t="shared" si="52"/>
        <v>1</v>
      </c>
      <c r="BI115" s="32">
        <f t="shared" si="53"/>
        <v>1</v>
      </c>
    </row>
    <row r="116" spans="1:61" x14ac:dyDescent="0.45">
      <c r="A116" s="30">
        <f>step3_validation[[#This Row],[Persona_ID]]</f>
        <v>115</v>
      </c>
      <c r="B116" s="31">
        <f>step3_validation[[#This Row],[Used_Seed]]</f>
        <v>115</v>
      </c>
      <c r="C116" t="str">
        <f>step3_validation[[#This Row],[Gender]]</f>
        <v>Nữ</v>
      </c>
      <c r="D116" t="str">
        <f>survey_responses[[#This Row],[Giới tính của bạn:]]</f>
        <v>Nữ</v>
      </c>
      <c r="E116" t="str">
        <f>step3_validation[[#This Row],[Age_Group]]</f>
        <v>40 - 49</v>
      </c>
      <c r="F116" t="str">
        <f>survey_responses[[#This Row],[Độ tuổi của bạn:]]</f>
        <v>40 - 49</v>
      </c>
      <c r="G116" t="str">
        <f>step3_validation[[#This Row],[Region]]</f>
        <v>Thành thị</v>
      </c>
      <c r="H116" t="str">
        <f>survey_responses[[#This Row],[Khu vực bạn đang sinh sống:]]</f>
        <v>Thành thị</v>
      </c>
      <c r="I116" t="str">
        <f>step3_validation[[#This Row],[Education]]</f>
        <v>Sau Đại học</v>
      </c>
      <c r="J116" t="str">
        <f>survey_responses[[#This Row],[Trình độ học vấn cao nhất:]]</f>
        <v>Sau Đại học</v>
      </c>
      <c r="K116" t="str">
        <f>step3_validation[[#This Row],[Employment]]</f>
        <v>Chính thức</v>
      </c>
      <c r="L116" t="str">
        <f>survey_responses[[#This Row],[Tình trạng việc làm chính:]]</f>
        <v>Khu vực chính thức (Có Hợp đồng lao động, đóng BHXH)</v>
      </c>
      <c r="M116">
        <f>step3_validation[[#This Row],[Income_Mil]]</f>
        <v>15.511690120943902</v>
      </c>
      <c r="N116" t="str">
        <f>survey_responses[[#This Row],[Thu nhập bình quân tháng theo Hợp đồng lao động của bạn là bao nhiêu? (Vui lòng điền tổng thu nhập trước khi khấu trừ các loại Bảo hiểm (BHXH, BHYT, BHTN) và Thuế TNCN)]]</f>
        <v>Từ 12 - 18 triệu VNĐ</v>
      </c>
      <c r="O116">
        <f>step3_validation[[#This Row],[Dependents]]</f>
        <v>4</v>
      </c>
      <c r="P116" t="str">
        <f>survey_responses[[#This Row],[Số người phụ thuộc (con nhỏ, cha mẹ già...) đủ điều kiện giảm trừ gia cảnh:]]</f>
        <v>4 người trở lên</v>
      </c>
      <c r="Q116">
        <f>step3_validation[[#This Row],[AI_ENF1]]</f>
        <v>5</v>
      </c>
      <c r="R116">
        <f t="shared" si="27"/>
        <v>0.44444444444444442</v>
      </c>
      <c r="S116">
        <f>survey_responses[[#This Row],[Tôi tin rằng với các quy định quản lý thuế hiện nay, hành vi gian lận hoặc trốn thuế sẽ dễ dàng bị phát hiện và xử lý nghiêm. - HUMAN-ENF1]]</f>
        <v>1</v>
      </c>
      <c r="T116">
        <f t="shared" si="28"/>
        <v>0</v>
      </c>
      <c r="U116">
        <f>step3_validation[[#This Row],[AI_ENF2]]</f>
        <v>6</v>
      </c>
      <c r="V116">
        <f t="shared" si="29"/>
        <v>0.55555555555555558</v>
      </c>
      <c r="W116">
        <f>survey_responses[[#This Row],[Tôi tin rằng Nhà nước, cơ quan thuế có đủ khả năng và công nghệ để phát hiện, xử lý nghiêm các hành vi trốn thuế. - HUMAN-ENF2]]</f>
        <v>1</v>
      </c>
      <c r="X116">
        <f t="shared" si="30"/>
        <v>0</v>
      </c>
      <c r="Y116" s="32">
        <f t="shared" si="31"/>
        <v>0.5</v>
      </c>
      <c r="Z116" s="32">
        <f t="shared" si="32"/>
        <v>0</v>
      </c>
      <c r="AA116">
        <f>step3_validation[[#This Row],[AI_FAC1]]</f>
        <v>8</v>
      </c>
      <c r="AB116">
        <f t="shared" si="33"/>
        <v>0.77777777777777779</v>
      </c>
      <c r="AC116">
        <f>survey_responses[[#This Row],[Các thủ tục khai báo thuế VÀ/HOẶC quy trình làm việc với cơ quan thuế đơn giản, tiện lợi, nhanh chóng hơn so với trước đây. - HUMAN-FAC1]]</f>
        <v>1</v>
      </c>
      <c r="AD116">
        <f t="shared" si="34"/>
        <v>0</v>
      </c>
      <c r="AE116">
        <f>step3_validation[[#This Row],[AI_FAC2]]</f>
        <v>7</v>
      </c>
      <c r="AF116">
        <f t="shared" si="35"/>
        <v>0.66666666666666663</v>
      </c>
      <c r="AG116">
        <f>survey_responses[[#This Row],[So với trước đây, tôi thấy cách tính thuế và các bậc thuế trong phương án mới đơn giản, dễ hiểu và dễ thực hiện hơn. - HUMAN-FAC2]]</f>
        <v>1</v>
      </c>
      <c r="AH116">
        <f t="shared" si="36"/>
        <v>0</v>
      </c>
      <c r="AI116" s="32">
        <f t="shared" si="37"/>
        <v>0.72222222222222221</v>
      </c>
      <c r="AJ116" s="32">
        <f t="shared" si="38"/>
        <v>0</v>
      </c>
      <c r="AK116">
        <f>step3_validation[[#This Row],[AI_TRU1]]</f>
        <v>8</v>
      </c>
      <c r="AL116">
        <f t="shared" si="39"/>
        <v>0.77777777777777779</v>
      </c>
      <c r="AM116">
        <f>survey_responses[[#This Row],[Tôi tin rằng Nhà nước, cơ quan thuế sẽ thực thi chính sách mới một cách khách quan, công tâm và đối xử bình đẳng với mọi người nộp thuế.  - HUMAN-TRU1]]</f>
        <v>1</v>
      </c>
      <c r="AN116">
        <f t="shared" si="40"/>
        <v>0</v>
      </c>
      <c r="AO116">
        <f>step3_validation[[#This Row],[AI_TRU2]]</f>
        <v>9</v>
      </c>
      <c r="AP116">
        <f t="shared" si="41"/>
        <v>0.88888888888888884</v>
      </c>
      <c r="AQ116">
        <f>survey_responses[[#This Row],[Tôi thấy mức thuế tôi phải đóng theo phương án mới là công bằng (người thu nhập như tôi đóng mức này là hợp lý). - HUMAN-TRU2]]</f>
        <v>1</v>
      </c>
      <c r="AR116">
        <f t="shared" si="42"/>
        <v>0</v>
      </c>
      <c r="AS116">
        <f>step3_validation[[#This Row],[AI_TRU3]]</f>
        <v>8</v>
      </c>
      <c r="AT116">
        <f t="shared" si="43"/>
        <v>0.77777777777777779</v>
      </c>
      <c r="AU116">
        <f>survey_responses[[#This Row],[Tôi tin tưởng số tiền thuế tôi đóng sẽ được Nhà nước sử dụng hiệu quả để cải thiện dịch vụ công (y tế, đường xá...). - HUMAN-TRU3]]</f>
        <v>1</v>
      </c>
      <c r="AV116">
        <f t="shared" si="44"/>
        <v>0</v>
      </c>
      <c r="AW116">
        <f>step3_validation[[#This Row],[AI_TRU4]]</f>
        <v>9</v>
      </c>
      <c r="AX116">
        <f t="shared" si="45"/>
        <v>0.88888888888888884</v>
      </c>
      <c r="AY116">
        <f>survey_responses[[#This Row],[Tôi thấy Nhà nước đã giải thích rõ ràng, minh bạch về lý do và mục tiêu của việc sửa đổi thuế lần này. - HUMAN-TRU4]]</f>
        <v>1</v>
      </c>
      <c r="AZ116">
        <f t="shared" si="46"/>
        <v>0</v>
      </c>
      <c r="BA116" s="32">
        <f t="shared" si="47"/>
        <v>0.83333333333333326</v>
      </c>
      <c r="BB116" s="32">
        <f t="shared" si="48"/>
        <v>0</v>
      </c>
      <c r="BC116" s="7">
        <f t="shared" si="49"/>
        <v>0.68518518518518512</v>
      </c>
      <c r="BD116" s="7">
        <f t="shared" si="50"/>
        <v>0</v>
      </c>
      <c r="BE116">
        <f>step3_validation[[#This Row],[AI_OUT1]]</f>
        <v>9</v>
      </c>
      <c r="BF116">
        <f t="shared" si="51"/>
        <v>0.88888888888888884</v>
      </c>
      <c r="BG116">
        <f>survey_responses[[#This Row],[Sau khi xem xét các quyền lợi và nghĩa vụ, bạn có ủng hộ và tuân thủ chính sách mới hiện nay? - HUMAN-OUT1]]</f>
        <v>1</v>
      </c>
      <c r="BH116">
        <f t="shared" si="52"/>
        <v>0</v>
      </c>
      <c r="BI116" s="32">
        <f t="shared" si="53"/>
        <v>8</v>
      </c>
    </row>
    <row r="117" spans="1:61" x14ac:dyDescent="0.45">
      <c r="A117" s="30">
        <f>step3_validation[[#This Row],[Persona_ID]]</f>
        <v>116</v>
      </c>
      <c r="B117" s="31">
        <f>step3_validation[[#This Row],[Used_Seed]]</f>
        <v>116</v>
      </c>
      <c r="C117" t="str">
        <f>step3_validation[[#This Row],[Gender]]</f>
        <v>Nữ</v>
      </c>
      <c r="D117" t="str">
        <f>survey_responses[[#This Row],[Giới tính của bạn:]]</f>
        <v>Nữ</v>
      </c>
      <c r="E117" t="str">
        <f>step3_validation[[#This Row],[Age_Group]]</f>
        <v>40 - 49</v>
      </c>
      <c r="F117" t="str">
        <f>survey_responses[[#This Row],[Độ tuổi của bạn:]]</f>
        <v>40 - 49</v>
      </c>
      <c r="G117" t="str">
        <f>step3_validation[[#This Row],[Region]]</f>
        <v>Thành thị</v>
      </c>
      <c r="H117" t="str">
        <f>survey_responses[[#This Row],[Khu vực bạn đang sinh sống:]]</f>
        <v>Thành thị</v>
      </c>
      <c r="I117" t="str">
        <f>step3_validation[[#This Row],[Education]]</f>
        <v>Sau Đại học</v>
      </c>
      <c r="J117" t="str">
        <f>survey_responses[[#This Row],[Trình độ học vấn cao nhất:]]</f>
        <v>Sau Đại học</v>
      </c>
      <c r="K117" t="str">
        <f>step3_validation[[#This Row],[Employment]]</f>
        <v>Chính thức</v>
      </c>
      <c r="L117" t="str">
        <f>survey_responses[[#This Row],[Tình trạng việc làm chính:]]</f>
        <v>Khu vực chính thức (Có Hợp đồng lao động, đóng BHXH)</v>
      </c>
      <c r="M117">
        <f>step3_validation[[#This Row],[Income_Mil]]</f>
        <v>12.861848829356802</v>
      </c>
      <c r="N117" t="str">
        <f>survey_responses[[#This Row],[Thu nhập bình quân tháng theo Hợp đồng lao động của bạn là bao nhiêu? (Vui lòng điền tổng thu nhập trước khi khấu trừ các loại Bảo hiểm (BHXH, BHYT, BHTN) và Thuế TNCN)]]</f>
        <v>Từ 12 - 18 triệu VNĐ</v>
      </c>
      <c r="O117">
        <f>step3_validation[[#This Row],[Dependents]]</f>
        <v>0</v>
      </c>
      <c r="P117" t="str">
        <f>survey_responses[[#This Row],[Số người phụ thuộc (con nhỏ, cha mẹ già...) đủ điều kiện giảm trừ gia cảnh:]]</f>
        <v>0 người</v>
      </c>
      <c r="Q117">
        <f>step3_validation[[#This Row],[AI_ENF1]]</f>
        <v>7</v>
      </c>
      <c r="R117">
        <f t="shared" si="27"/>
        <v>0.66666666666666663</v>
      </c>
      <c r="S117">
        <f>survey_responses[[#This Row],[Tôi tin rằng với các quy định quản lý thuế hiện nay, hành vi gian lận hoặc trốn thuế sẽ dễ dàng bị phát hiện và xử lý nghiêm. - HUMAN-ENF1]]</f>
        <v>9</v>
      </c>
      <c r="T117">
        <f t="shared" si="28"/>
        <v>0.88888888888888884</v>
      </c>
      <c r="U117">
        <f>step3_validation[[#This Row],[AI_ENF2]]</f>
        <v>7</v>
      </c>
      <c r="V117">
        <f t="shared" si="29"/>
        <v>0.66666666666666663</v>
      </c>
      <c r="W117">
        <f>survey_responses[[#This Row],[Tôi tin rằng Nhà nước, cơ quan thuế có đủ khả năng và công nghệ để phát hiện, xử lý nghiêm các hành vi trốn thuế. - HUMAN-ENF2]]</f>
        <v>9</v>
      </c>
      <c r="X117">
        <f t="shared" si="30"/>
        <v>0.88888888888888884</v>
      </c>
      <c r="Y117" s="32">
        <f t="shared" si="31"/>
        <v>0.66666666666666663</v>
      </c>
      <c r="Z117" s="32">
        <f t="shared" si="32"/>
        <v>0.88888888888888884</v>
      </c>
      <c r="AA117">
        <f>step3_validation[[#This Row],[AI_FAC1]]</f>
        <v>8</v>
      </c>
      <c r="AB117">
        <f t="shared" si="33"/>
        <v>0.77777777777777779</v>
      </c>
      <c r="AC117">
        <f>survey_responses[[#This Row],[Các thủ tục khai báo thuế VÀ/HOẶC quy trình làm việc với cơ quan thuế đơn giản, tiện lợi, nhanh chóng hơn so với trước đây. - HUMAN-FAC1]]</f>
        <v>9</v>
      </c>
      <c r="AD117">
        <f t="shared" si="34"/>
        <v>0.88888888888888884</v>
      </c>
      <c r="AE117">
        <f>step3_validation[[#This Row],[AI_FAC2]]</f>
        <v>9</v>
      </c>
      <c r="AF117">
        <f t="shared" si="35"/>
        <v>0.88888888888888884</v>
      </c>
      <c r="AG117">
        <f>survey_responses[[#This Row],[So với trước đây, tôi thấy cách tính thuế và các bậc thuế trong phương án mới đơn giản, dễ hiểu và dễ thực hiện hơn. - HUMAN-FAC2]]</f>
        <v>9</v>
      </c>
      <c r="AH117">
        <f t="shared" si="36"/>
        <v>0.88888888888888884</v>
      </c>
      <c r="AI117" s="32">
        <f t="shared" si="37"/>
        <v>0.83333333333333326</v>
      </c>
      <c r="AJ117" s="32">
        <f t="shared" si="38"/>
        <v>0.88888888888888884</v>
      </c>
      <c r="AK117">
        <f>step3_validation[[#This Row],[AI_TRU1]]</f>
        <v>8</v>
      </c>
      <c r="AL117">
        <f t="shared" si="39"/>
        <v>0.77777777777777779</v>
      </c>
      <c r="AM117">
        <f>survey_responses[[#This Row],[Tôi tin rằng Nhà nước, cơ quan thuế sẽ thực thi chính sách mới một cách khách quan, công tâm và đối xử bình đẳng với mọi người nộp thuế.  - HUMAN-TRU1]]</f>
        <v>9</v>
      </c>
      <c r="AN117">
        <f t="shared" si="40"/>
        <v>0.88888888888888884</v>
      </c>
      <c r="AO117">
        <f>step3_validation[[#This Row],[AI_TRU2]]</f>
        <v>7</v>
      </c>
      <c r="AP117">
        <f t="shared" si="41"/>
        <v>0.66666666666666663</v>
      </c>
      <c r="AQ117">
        <f>survey_responses[[#This Row],[Tôi thấy mức thuế tôi phải đóng theo phương án mới là công bằng (người thu nhập như tôi đóng mức này là hợp lý). - HUMAN-TRU2]]</f>
        <v>9</v>
      </c>
      <c r="AR117">
        <f t="shared" si="42"/>
        <v>0.88888888888888884</v>
      </c>
      <c r="AS117">
        <f>step3_validation[[#This Row],[AI_TRU3]]</f>
        <v>8</v>
      </c>
      <c r="AT117">
        <f t="shared" si="43"/>
        <v>0.77777777777777779</v>
      </c>
      <c r="AU117">
        <f>survey_responses[[#This Row],[Tôi tin tưởng số tiền thuế tôi đóng sẽ được Nhà nước sử dụng hiệu quả để cải thiện dịch vụ công (y tế, đường xá...). - HUMAN-TRU3]]</f>
        <v>9</v>
      </c>
      <c r="AV117">
        <f t="shared" si="44"/>
        <v>0.88888888888888884</v>
      </c>
      <c r="AW117">
        <f>step3_validation[[#This Row],[AI_TRU4]]</f>
        <v>9</v>
      </c>
      <c r="AX117">
        <f t="shared" si="45"/>
        <v>0.88888888888888884</v>
      </c>
      <c r="AY117">
        <f>survey_responses[[#This Row],[Tôi thấy Nhà nước đã giải thích rõ ràng, minh bạch về lý do và mục tiêu của việc sửa đổi thuế lần này. - HUMAN-TRU4]]</f>
        <v>8</v>
      </c>
      <c r="AZ117">
        <f t="shared" si="46"/>
        <v>0.77777777777777779</v>
      </c>
      <c r="BA117" s="32">
        <f t="shared" si="47"/>
        <v>0.77777777777777779</v>
      </c>
      <c r="BB117" s="32">
        <f t="shared" si="48"/>
        <v>0.86111111111111105</v>
      </c>
      <c r="BC117" s="7">
        <f t="shared" si="49"/>
        <v>0.75925925925925919</v>
      </c>
      <c r="BD117" s="7">
        <f t="shared" si="50"/>
        <v>0.87962962962962965</v>
      </c>
      <c r="BE117">
        <f>step3_validation[[#This Row],[AI_OUT1]]</f>
        <v>9</v>
      </c>
      <c r="BF117">
        <f t="shared" si="51"/>
        <v>0.88888888888888884</v>
      </c>
      <c r="BG117">
        <f>survey_responses[[#This Row],[Sau khi xem xét các quyền lợi và nghĩa vụ, bạn có ủng hộ và tuân thủ chính sách mới hiện nay? - HUMAN-OUT1]]</f>
        <v>9</v>
      </c>
      <c r="BH117">
        <f t="shared" si="52"/>
        <v>0.88888888888888884</v>
      </c>
      <c r="BI117" s="32">
        <f t="shared" si="53"/>
        <v>0</v>
      </c>
    </row>
    <row r="118" spans="1:61" x14ac:dyDescent="0.45">
      <c r="A118" s="30">
        <f>step3_validation[[#This Row],[Persona_ID]]</f>
        <v>117</v>
      </c>
      <c r="B118" s="31">
        <f>step3_validation[[#This Row],[Used_Seed]]</f>
        <v>117</v>
      </c>
      <c r="C118" t="str">
        <f>step3_validation[[#This Row],[Gender]]</f>
        <v>Nữ</v>
      </c>
      <c r="D118" t="str">
        <f>survey_responses[[#This Row],[Giới tính của bạn:]]</f>
        <v>Nữ</v>
      </c>
      <c r="E118" t="str">
        <f>step3_validation[[#This Row],[Age_Group]]</f>
        <v>40 - 49</v>
      </c>
      <c r="F118" t="str">
        <f>survey_responses[[#This Row],[Độ tuổi của bạn:]]</f>
        <v>40 - 49</v>
      </c>
      <c r="G118" t="str">
        <f>step3_validation[[#This Row],[Region]]</f>
        <v>Thành thị</v>
      </c>
      <c r="H118" t="str">
        <f>survey_responses[[#This Row],[Khu vực bạn đang sinh sống:]]</f>
        <v>Thành thị</v>
      </c>
      <c r="I118" t="str">
        <f>step3_validation[[#This Row],[Education]]</f>
        <v>Đại học</v>
      </c>
      <c r="J118" t="str">
        <f>survey_responses[[#This Row],[Trình độ học vấn cao nhất:]]</f>
        <v>Đại học</v>
      </c>
      <c r="K118" t="str">
        <f>step3_validation[[#This Row],[Employment]]</f>
        <v>Chính thức</v>
      </c>
      <c r="L118" t="str">
        <f>survey_responses[[#This Row],[Tình trạng việc làm chính:]]</f>
        <v>Khu vực chính thức (Có Hợp đồng lao động, đóng BHXH)</v>
      </c>
      <c r="M118">
        <f>step3_validation[[#This Row],[Income_Mil]]</f>
        <v>66.375246961551071</v>
      </c>
      <c r="N118" t="str">
        <f>survey_responses[[#This Row],[Thu nhập bình quân tháng theo Hợp đồng lao động của bạn là bao nhiêu? (Vui lòng điền tổng thu nhập trước khi khấu trừ các loại Bảo hiểm (BHXH, BHYT, BHTN) và Thuế TNCN)]]</f>
        <v>Từ 48 - 70 triệu VNĐ</v>
      </c>
      <c r="O118">
        <f>step3_validation[[#This Row],[Dependents]]</f>
        <v>0</v>
      </c>
      <c r="P118" t="str">
        <f>survey_responses[[#This Row],[Số người phụ thuộc (con nhỏ, cha mẹ già...) đủ điều kiện giảm trừ gia cảnh:]]</f>
        <v>0 người</v>
      </c>
      <c r="Q118">
        <f>step3_validation[[#This Row],[AI_ENF1]]</f>
        <v>6</v>
      </c>
      <c r="R118">
        <f t="shared" si="27"/>
        <v>0.55555555555555558</v>
      </c>
      <c r="S118">
        <f>survey_responses[[#This Row],[Tôi tin rằng với các quy định quản lý thuế hiện nay, hành vi gian lận hoặc trốn thuế sẽ dễ dàng bị phát hiện và xử lý nghiêm. - HUMAN-ENF1]]</f>
        <v>8</v>
      </c>
      <c r="T118">
        <f t="shared" si="28"/>
        <v>0.77777777777777779</v>
      </c>
      <c r="U118">
        <f>step3_validation[[#This Row],[AI_ENF2]]</f>
        <v>7</v>
      </c>
      <c r="V118">
        <f t="shared" si="29"/>
        <v>0.66666666666666663</v>
      </c>
      <c r="W118">
        <f>survey_responses[[#This Row],[Tôi tin rằng Nhà nước, cơ quan thuế có đủ khả năng và công nghệ để phát hiện, xử lý nghiêm các hành vi trốn thuế. - HUMAN-ENF2]]</f>
        <v>9</v>
      </c>
      <c r="X118">
        <f t="shared" si="30"/>
        <v>0.88888888888888884</v>
      </c>
      <c r="Y118" s="32">
        <f t="shared" si="31"/>
        <v>0.61111111111111116</v>
      </c>
      <c r="Z118" s="32">
        <f t="shared" si="32"/>
        <v>0.83333333333333326</v>
      </c>
      <c r="AA118">
        <f>step3_validation[[#This Row],[AI_FAC1]]</f>
        <v>8</v>
      </c>
      <c r="AB118">
        <f t="shared" si="33"/>
        <v>0.77777777777777779</v>
      </c>
      <c r="AC118">
        <f>survey_responses[[#This Row],[Các thủ tục khai báo thuế VÀ/HOẶC quy trình làm việc với cơ quan thuế đơn giản, tiện lợi, nhanh chóng hơn so với trước đây. - HUMAN-FAC1]]</f>
        <v>8</v>
      </c>
      <c r="AD118">
        <f t="shared" si="34"/>
        <v>0.77777777777777779</v>
      </c>
      <c r="AE118">
        <f>step3_validation[[#This Row],[AI_FAC2]]</f>
        <v>9</v>
      </c>
      <c r="AF118">
        <f t="shared" si="35"/>
        <v>0.88888888888888884</v>
      </c>
      <c r="AG118">
        <f>survey_responses[[#This Row],[So với trước đây, tôi thấy cách tính thuế và các bậc thuế trong phương án mới đơn giản, dễ hiểu và dễ thực hiện hơn. - HUMAN-FAC2]]</f>
        <v>6</v>
      </c>
      <c r="AH118">
        <f t="shared" si="36"/>
        <v>0.55555555555555558</v>
      </c>
      <c r="AI118" s="32">
        <f t="shared" si="37"/>
        <v>0.83333333333333326</v>
      </c>
      <c r="AJ118" s="32">
        <f t="shared" si="38"/>
        <v>0.66666666666666674</v>
      </c>
      <c r="AK118">
        <f>step3_validation[[#This Row],[AI_TRU1]]</f>
        <v>8</v>
      </c>
      <c r="AL118">
        <f t="shared" si="39"/>
        <v>0.77777777777777779</v>
      </c>
      <c r="AM118">
        <f>survey_responses[[#This Row],[Tôi tin rằng Nhà nước, cơ quan thuế sẽ thực thi chính sách mới một cách khách quan, công tâm và đối xử bình đẳng với mọi người nộp thuế.  - HUMAN-TRU1]]</f>
        <v>8</v>
      </c>
      <c r="AN118">
        <f t="shared" si="40"/>
        <v>0.77777777777777779</v>
      </c>
      <c r="AO118">
        <f>step3_validation[[#This Row],[AI_TRU2]]</f>
        <v>9</v>
      </c>
      <c r="AP118">
        <f t="shared" si="41"/>
        <v>0.88888888888888884</v>
      </c>
      <c r="AQ118">
        <f>survey_responses[[#This Row],[Tôi thấy mức thuế tôi phải đóng theo phương án mới là công bằng (người thu nhập như tôi đóng mức này là hợp lý). - HUMAN-TRU2]]</f>
        <v>8</v>
      </c>
      <c r="AR118">
        <f t="shared" si="42"/>
        <v>0.77777777777777779</v>
      </c>
      <c r="AS118">
        <f>step3_validation[[#This Row],[AI_TRU3]]</f>
        <v>8</v>
      </c>
      <c r="AT118">
        <f t="shared" si="43"/>
        <v>0.77777777777777779</v>
      </c>
      <c r="AU118">
        <f>survey_responses[[#This Row],[Tôi tin tưởng số tiền thuế tôi đóng sẽ được Nhà nước sử dụng hiệu quả để cải thiện dịch vụ công (y tế, đường xá...). - HUMAN-TRU3]]</f>
        <v>8</v>
      </c>
      <c r="AV118">
        <f t="shared" si="44"/>
        <v>0.77777777777777779</v>
      </c>
      <c r="AW118">
        <f>step3_validation[[#This Row],[AI_TRU4]]</f>
        <v>9</v>
      </c>
      <c r="AX118">
        <f t="shared" si="45"/>
        <v>0.88888888888888884</v>
      </c>
      <c r="AY118">
        <f>survey_responses[[#This Row],[Tôi thấy Nhà nước đã giải thích rõ ràng, minh bạch về lý do và mục tiêu của việc sửa đổi thuế lần này. - HUMAN-TRU4]]</f>
        <v>8</v>
      </c>
      <c r="AZ118">
        <f t="shared" si="46"/>
        <v>0.77777777777777779</v>
      </c>
      <c r="BA118" s="32">
        <f t="shared" si="47"/>
        <v>0.83333333333333326</v>
      </c>
      <c r="BB118" s="32">
        <f t="shared" si="48"/>
        <v>0.77777777777777779</v>
      </c>
      <c r="BC118" s="7">
        <f t="shared" si="49"/>
        <v>0.75925925925925919</v>
      </c>
      <c r="BD118" s="7">
        <f t="shared" si="50"/>
        <v>0.75925925925925919</v>
      </c>
      <c r="BE118">
        <f>step3_validation[[#This Row],[AI_OUT1]]</f>
        <v>8</v>
      </c>
      <c r="BF118">
        <f t="shared" si="51"/>
        <v>0.77777777777777779</v>
      </c>
      <c r="BG118">
        <f>survey_responses[[#This Row],[Sau khi xem xét các quyền lợi và nghĩa vụ, bạn có ủng hộ và tuân thủ chính sách mới hiện nay? - HUMAN-OUT1]]</f>
        <v>6</v>
      </c>
      <c r="BH118">
        <f t="shared" si="52"/>
        <v>0.55555555555555558</v>
      </c>
      <c r="BI118" s="32">
        <f t="shared" si="53"/>
        <v>2</v>
      </c>
    </row>
    <row r="119" spans="1:61" x14ac:dyDescent="0.45">
      <c r="A119" s="30">
        <f>step3_validation[[#This Row],[Persona_ID]]</f>
        <v>118</v>
      </c>
      <c r="B119" s="31">
        <f>step3_validation[[#This Row],[Used_Seed]]</f>
        <v>118</v>
      </c>
      <c r="C119" t="str">
        <f>step3_validation[[#This Row],[Gender]]</f>
        <v>Nam</v>
      </c>
      <c r="D119" t="str">
        <f>survey_responses[[#This Row],[Giới tính của bạn:]]</f>
        <v>Nam</v>
      </c>
      <c r="E119" t="str">
        <f>step3_validation[[#This Row],[Age_Group]]</f>
        <v>30 - 39</v>
      </c>
      <c r="F119" t="str">
        <f>survey_responses[[#This Row],[Độ tuổi của bạn:]]</f>
        <v>30 - 39</v>
      </c>
      <c r="G119" t="str">
        <f>step3_validation[[#This Row],[Region]]</f>
        <v>Thành thị</v>
      </c>
      <c r="H119" t="str">
        <f>survey_responses[[#This Row],[Khu vực bạn đang sinh sống:]]</f>
        <v>Thành thị</v>
      </c>
      <c r="I119" t="str">
        <f>step3_validation[[#This Row],[Education]]</f>
        <v>Sau Đại học</v>
      </c>
      <c r="J119" t="str">
        <f>survey_responses[[#This Row],[Trình độ học vấn cao nhất:]]</f>
        <v>Sau Đại học</v>
      </c>
      <c r="K119" t="str">
        <f>step3_validation[[#This Row],[Employment]]</f>
        <v>Chính thức</v>
      </c>
      <c r="L119" t="str">
        <f>survey_responses[[#This Row],[Tình trạng việc làm chính:]]</f>
        <v>Khu vực chính thức (Có Hợp đồng lao động, đóng BHXH)</v>
      </c>
      <c r="M119">
        <f>step3_validation[[#This Row],[Income_Mil]]</f>
        <v>45.960344669377534</v>
      </c>
      <c r="N119" t="str">
        <f>survey_responses[[#This Row],[Thu nhập bình quân tháng theo Hợp đồng lao động của bạn là bao nhiêu? (Vui lòng điền tổng thu nhập trước khi khấu trừ các loại Bảo hiểm (BHXH, BHYT, BHTN) và Thuế TNCN)]]</f>
        <v>Từ 32 - 48 triệu VNĐ</v>
      </c>
      <c r="O119">
        <f>step3_validation[[#This Row],[Dependents]]</f>
        <v>1</v>
      </c>
      <c r="P119" t="str">
        <f>survey_responses[[#This Row],[Số người phụ thuộc (con nhỏ, cha mẹ già...) đủ điều kiện giảm trừ gia cảnh:]]</f>
        <v>1 người</v>
      </c>
      <c r="Q119">
        <f>step3_validation[[#This Row],[AI_ENF1]]</f>
        <v>6</v>
      </c>
      <c r="R119">
        <f t="shared" si="27"/>
        <v>0.55555555555555558</v>
      </c>
      <c r="S119">
        <f>survey_responses[[#This Row],[Tôi tin rằng với các quy định quản lý thuế hiện nay, hành vi gian lận hoặc trốn thuế sẽ dễ dàng bị phát hiện và xử lý nghiêm. - HUMAN-ENF1]]</f>
        <v>4</v>
      </c>
      <c r="T119">
        <f t="shared" si="28"/>
        <v>0.33333333333333331</v>
      </c>
      <c r="U119">
        <f>step3_validation[[#This Row],[AI_ENF2]]</f>
        <v>7</v>
      </c>
      <c r="V119">
        <f t="shared" si="29"/>
        <v>0.66666666666666663</v>
      </c>
      <c r="W119">
        <f>survey_responses[[#This Row],[Tôi tin rằng Nhà nước, cơ quan thuế có đủ khả năng và công nghệ để phát hiện, xử lý nghiêm các hành vi trốn thuế. - HUMAN-ENF2]]</f>
        <v>1</v>
      </c>
      <c r="X119">
        <f t="shared" si="30"/>
        <v>0</v>
      </c>
      <c r="Y119" s="32">
        <f t="shared" si="31"/>
        <v>0.61111111111111116</v>
      </c>
      <c r="Z119" s="32">
        <f t="shared" si="32"/>
        <v>0.16666666666666666</v>
      </c>
      <c r="AA119">
        <f>step3_validation[[#This Row],[AI_FAC1]]</f>
        <v>9</v>
      </c>
      <c r="AB119">
        <f t="shared" si="33"/>
        <v>0.88888888888888884</v>
      </c>
      <c r="AC119">
        <f>survey_responses[[#This Row],[Các thủ tục khai báo thuế VÀ/HOẶC quy trình làm việc với cơ quan thuế đơn giản, tiện lợi, nhanh chóng hơn so với trước đây. - HUMAN-FAC1]]</f>
        <v>1</v>
      </c>
      <c r="AD119">
        <f t="shared" si="34"/>
        <v>0</v>
      </c>
      <c r="AE119">
        <f>step3_validation[[#This Row],[AI_FAC2]]</f>
        <v>8</v>
      </c>
      <c r="AF119">
        <f t="shared" si="35"/>
        <v>0.77777777777777779</v>
      </c>
      <c r="AG119">
        <f>survey_responses[[#This Row],[So với trước đây, tôi thấy cách tính thuế và các bậc thuế trong phương án mới đơn giản, dễ hiểu và dễ thực hiện hơn. - HUMAN-FAC2]]</f>
        <v>5</v>
      </c>
      <c r="AH119">
        <f t="shared" si="36"/>
        <v>0.44444444444444442</v>
      </c>
      <c r="AI119" s="32">
        <f t="shared" si="37"/>
        <v>0.83333333333333326</v>
      </c>
      <c r="AJ119" s="32">
        <f t="shared" si="38"/>
        <v>0.22222222222222221</v>
      </c>
      <c r="AK119">
        <f>step3_validation[[#This Row],[AI_TRU1]]</f>
        <v>9</v>
      </c>
      <c r="AL119">
        <f t="shared" si="39"/>
        <v>0.88888888888888884</v>
      </c>
      <c r="AM119">
        <f>survey_responses[[#This Row],[Tôi tin rằng Nhà nước, cơ quan thuế sẽ thực thi chính sách mới một cách khách quan, công tâm và đối xử bình đẳng với mọi người nộp thuế.  - HUMAN-TRU1]]</f>
        <v>1</v>
      </c>
      <c r="AN119">
        <f t="shared" si="40"/>
        <v>0</v>
      </c>
      <c r="AO119">
        <f>step3_validation[[#This Row],[AI_TRU2]]</f>
        <v>8</v>
      </c>
      <c r="AP119">
        <f t="shared" si="41"/>
        <v>0.77777777777777779</v>
      </c>
      <c r="AQ119">
        <f>survey_responses[[#This Row],[Tôi thấy mức thuế tôi phải đóng theo phương án mới là công bằng (người thu nhập như tôi đóng mức này là hợp lý). - HUMAN-TRU2]]</f>
        <v>3</v>
      </c>
      <c r="AR119">
        <f t="shared" si="42"/>
        <v>0.22222222222222221</v>
      </c>
      <c r="AS119">
        <f>step3_validation[[#This Row],[AI_TRU3]]</f>
        <v>9</v>
      </c>
      <c r="AT119">
        <f t="shared" si="43"/>
        <v>0.88888888888888884</v>
      </c>
      <c r="AU119">
        <f>survey_responses[[#This Row],[Tôi tin tưởng số tiền thuế tôi đóng sẽ được Nhà nước sử dụng hiệu quả để cải thiện dịch vụ công (y tế, đường xá...). - HUMAN-TRU3]]</f>
        <v>1</v>
      </c>
      <c r="AV119">
        <f t="shared" si="44"/>
        <v>0</v>
      </c>
      <c r="AW119">
        <f>step3_validation[[#This Row],[AI_TRU4]]</f>
        <v>7</v>
      </c>
      <c r="AX119">
        <f t="shared" si="45"/>
        <v>0.66666666666666663</v>
      </c>
      <c r="AY119">
        <f>survey_responses[[#This Row],[Tôi thấy Nhà nước đã giải thích rõ ràng, minh bạch về lý do và mục tiêu của việc sửa đổi thuế lần này. - HUMAN-TRU4]]</f>
        <v>1</v>
      </c>
      <c r="AZ119">
        <f t="shared" si="46"/>
        <v>0</v>
      </c>
      <c r="BA119" s="32">
        <f t="shared" si="47"/>
        <v>0.80555555555555547</v>
      </c>
      <c r="BB119" s="32">
        <f t="shared" si="48"/>
        <v>5.5555555555555552E-2</v>
      </c>
      <c r="BC119" s="7">
        <f t="shared" si="49"/>
        <v>0.75</v>
      </c>
      <c r="BD119" s="7">
        <f t="shared" si="50"/>
        <v>0.14814814814814814</v>
      </c>
      <c r="BE119">
        <f>step3_validation[[#This Row],[AI_OUT1]]</f>
        <v>9</v>
      </c>
      <c r="BF119">
        <f t="shared" si="51"/>
        <v>0.88888888888888884</v>
      </c>
      <c r="BG119">
        <f>survey_responses[[#This Row],[Sau khi xem xét các quyền lợi và nghĩa vụ, bạn có ủng hộ và tuân thủ chính sách mới hiện nay? - HUMAN-OUT1]]</f>
        <v>5</v>
      </c>
      <c r="BH119">
        <f t="shared" si="52"/>
        <v>0.44444444444444442</v>
      </c>
      <c r="BI119" s="32">
        <f t="shared" si="53"/>
        <v>4</v>
      </c>
    </row>
    <row r="120" spans="1:61" x14ac:dyDescent="0.45">
      <c r="A120" s="30">
        <f>step3_validation[[#This Row],[Persona_ID]]</f>
        <v>119</v>
      </c>
      <c r="B120" s="31">
        <f>step3_validation[[#This Row],[Used_Seed]]</f>
        <v>119</v>
      </c>
      <c r="C120" t="str">
        <f>step3_validation[[#This Row],[Gender]]</f>
        <v>Nữ</v>
      </c>
      <c r="D120" t="str">
        <f>survey_responses[[#This Row],[Giới tính của bạn:]]</f>
        <v>Nữ</v>
      </c>
      <c r="E120" t="str">
        <f>step3_validation[[#This Row],[Age_Group]]</f>
        <v>55 - 64</v>
      </c>
      <c r="F120" t="str">
        <f>survey_responses[[#This Row],[Độ tuổi của bạn:]]</f>
        <v>55 - 64</v>
      </c>
      <c r="G120" t="str">
        <f>step3_validation[[#This Row],[Region]]</f>
        <v>Thành thị</v>
      </c>
      <c r="H120" t="str">
        <f>survey_responses[[#This Row],[Khu vực bạn đang sinh sống:]]</f>
        <v>Thành thị</v>
      </c>
      <c r="I120" t="str">
        <f>step3_validation[[#This Row],[Education]]</f>
        <v>Đại học</v>
      </c>
      <c r="J120" t="str">
        <f>survey_responses[[#This Row],[Trình độ học vấn cao nhất:]]</f>
        <v>Đại học</v>
      </c>
      <c r="K120" t="str">
        <f>step3_validation[[#This Row],[Employment]]</f>
        <v>Chính thức</v>
      </c>
      <c r="L120" t="str">
        <f>survey_responses[[#This Row],[Tình trạng việc làm chính:]]</f>
        <v>Khu vực chính thức (Có Hợp đồng lao động, đóng BHXH)</v>
      </c>
      <c r="M120">
        <f>step3_validation[[#This Row],[Income_Mil]]</f>
        <v>68.081048386866811</v>
      </c>
      <c r="N120" t="str">
        <f>survey_responses[[#This Row],[Thu nhập bình quân tháng theo Hợp đồng lao động của bạn là bao nhiêu? (Vui lòng điền tổng thu nhập trước khi khấu trừ các loại Bảo hiểm (BHXH, BHYT, BHTN) và Thuế TNCN)]]</f>
        <v>Từ 48 - 70 triệu VNĐ</v>
      </c>
      <c r="O120">
        <f>step3_validation[[#This Row],[Dependents]]</f>
        <v>4</v>
      </c>
      <c r="P120" t="str">
        <f>survey_responses[[#This Row],[Số người phụ thuộc (con nhỏ, cha mẹ già...) đủ điều kiện giảm trừ gia cảnh:]]</f>
        <v>4 người trở lên</v>
      </c>
      <c r="Q120">
        <f>step3_validation[[#This Row],[AI_ENF1]]</f>
        <v>8</v>
      </c>
      <c r="R120">
        <f t="shared" si="27"/>
        <v>0.77777777777777779</v>
      </c>
      <c r="S120">
        <f>survey_responses[[#This Row],[Tôi tin rằng với các quy định quản lý thuế hiện nay, hành vi gian lận hoặc trốn thuế sẽ dễ dàng bị phát hiện và xử lý nghiêm. - HUMAN-ENF1]]</f>
        <v>8</v>
      </c>
      <c r="T120">
        <f t="shared" si="28"/>
        <v>0.77777777777777779</v>
      </c>
      <c r="U120">
        <f>step3_validation[[#This Row],[AI_ENF2]]</f>
        <v>8</v>
      </c>
      <c r="V120">
        <f t="shared" si="29"/>
        <v>0.77777777777777779</v>
      </c>
      <c r="W120">
        <f>survey_responses[[#This Row],[Tôi tin rằng Nhà nước, cơ quan thuế có đủ khả năng và công nghệ để phát hiện, xử lý nghiêm các hành vi trốn thuế. - HUMAN-ENF2]]</f>
        <v>8</v>
      </c>
      <c r="X120">
        <f t="shared" si="30"/>
        <v>0.77777777777777779</v>
      </c>
      <c r="Y120" s="32">
        <f t="shared" si="31"/>
        <v>0.77777777777777779</v>
      </c>
      <c r="Z120" s="32">
        <f t="shared" si="32"/>
        <v>0.77777777777777779</v>
      </c>
      <c r="AA120">
        <f>step3_validation[[#This Row],[AI_FAC1]]</f>
        <v>9</v>
      </c>
      <c r="AB120">
        <f t="shared" si="33"/>
        <v>0.88888888888888884</v>
      </c>
      <c r="AC120">
        <f>survey_responses[[#This Row],[Các thủ tục khai báo thuế VÀ/HOẶC quy trình làm việc với cơ quan thuế đơn giản, tiện lợi, nhanh chóng hơn so với trước đây. - HUMAN-FAC1]]</f>
        <v>6</v>
      </c>
      <c r="AD120">
        <f t="shared" si="34"/>
        <v>0.55555555555555558</v>
      </c>
      <c r="AE120">
        <f>step3_validation[[#This Row],[AI_FAC2]]</f>
        <v>9</v>
      </c>
      <c r="AF120">
        <f t="shared" si="35"/>
        <v>0.88888888888888884</v>
      </c>
      <c r="AG120">
        <f>survey_responses[[#This Row],[So với trước đây, tôi thấy cách tính thuế và các bậc thuế trong phương án mới đơn giản, dễ hiểu và dễ thực hiện hơn. - HUMAN-FAC2]]</f>
        <v>9</v>
      </c>
      <c r="AH120">
        <f t="shared" si="36"/>
        <v>0.88888888888888884</v>
      </c>
      <c r="AI120" s="32">
        <f t="shared" si="37"/>
        <v>0.88888888888888884</v>
      </c>
      <c r="AJ120" s="32">
        <f t="shared" si="38"/>
        <v>0.72222222222222221</v>
      </c>
      <c r="AK120">
        <f>step3_validation[[#This Row],[AI_TRU1]]</f>
        <v>8</v>
      </c>
      <c r="AL120">
        <f t="shared" si="39"/>
        <v>0.77777777777777779</v>
      </c>
      <c r="AM120">
        <f>survey_responses[[#This Row],[Tôi tin rằng Nhà nước, cơ quan thuế sẽ thực thi chính sách mới một cách khách quan, công tâm và đối xử bình đẳng với mọi người nộp thuế.  - HUMAN-TRU1]]</f>
        <v>8</v>
      </c>
      <c r="AN120">
        <f t="shared" si="40"/>
        <v>0.77777777777777779</v>
      </c>
      <c r="AO120">
        <f>step3_validation[[#This Row],[AI_TRU2]]</f>
        <v>9</v>
      </c>
      <c r="AP120">
        <f t="shared" si="41"/>
        <v>0.88888888888888884</v>
      </c>
      <c r="AQ120">
        <f>survey_responses[[#This Row],[Tôi thấy mức thuế tôi phải đóng theo phương án mới là công bằng (người thu nhập như tôi đóng mức này là hợp lý). - HUMAN-TRU2]]</f>
        <v>7</v>
      </c>
      <c r="AR120">
        <f t="shared" si="42"/>
        <v>0.66666666666666663</v>
      </c>
      <c r="AS120">
        <f>step3_validation[[#This Row],[AI_TRU3]]</f>
        <v>8</v>
      </c>
      <c r="AT120">
        <f t="shared" si="43"/>
        <v>0.77777777777777779</v>
      </c>
      <c r="AU120">
        <f>survey_responses[[#This Row],[Tôi tin tưởng số tiền thuế tôi đóng sẽ được Nhà nước sử dụng hiệu quả để cải thiện dịch vụ công (y tế, đường xá...). - HUMAN-TRU3]]</f>
        <v>7</v>
      </c>
      <c r="AV120">
        <f t="shared" si="44"/>
        <v>0.66666666666666663</v>
      </c>
      <c r="AW120">
        <f>step3_validation[[#This Row],[AI_TRU4]]</f>
        <v>9</v>
      </c>
      <c r="AX120">
        <f t="shared" si="45"/>
        <v>0.88888888888888884</v>
      </c>
      <c r="AY120">
        <f>survey_responses[[#This Row],[Tôi thấy Nhà nước đã giải thích rõ ràng, minh bạch về lý do và mục tiêu của việc sửa đổi thuế lần này. - HUMAN-TRU4]]</f>
        <v>7</v>
      </c>
      <c r="AZ120">
        <f t="shared" si="46"/>
        <v>0.66666666666666663</v>
      </c>
      <c r="BA120" s="32">
        <f t="shared" si="47"/>
        <v>0.83333333333333326</v>
      </c>
      <c r="BB120" s="32">
        <f t="shared" si="48"/>
        <v>0.69444444444444442</v>
      </c>
      <c r="BC120" s="7">
        <f t="shared" si="49"/>
        <v>0.83333333333333337</v>
      </c>
      <c r="BD120" s="7">
        <f t="shared" si="50"/>
        <v>0.73148148148148151</v>
      </c>
      <c r="BE120">
        <f>step3_validation[[#This Row],[AI_OUT1]]</f>
        <v>10</v>
      </c>
      <c r="BF120">
        <f t="shared" si="51"/>
        <v>1</v>
      </c>
      <c r="BG120">
        <f>survey_responses[[#This Row],[Sau khi xem xét các quyền lợi và nghĩa vụ, bạn có ủng hộ và tuân thủ chính sách mới hiện nay? - HUMAN-OUT1]]</f>
        <v>7</v>
      </c>
      <c r="BH120">
        <f t="shared" si="52"/>
        <v>0.66666666666666663</v>
      </c>
      <c r="BI120" s="32">
        <f t="shared" si="53"/>
        <v>3</v>
      </c>
    </row>
    <row r="121" spans="1:61" x14ac:dyDescent="0.45">
      <c r="A121" s="30">
        <f>step3_validation[[#This Row],[Persona_ID]]</f>
        <v>120</v>
      </c>
      <c r="B121" s="31">
        <f>step3_validation[[#This Row],[Used_Seed]]</f>
        <v>120</v>
      </c>
      <c r="C121" t="str">
        <f>step3_validation[[#This Row],[Gender]]</f>
        <v>Nữ</v>
      </c>
      <c r="D121" t="str">
        <f>survey_responses[[#This Row],[Giới tính của bạn:]]</f>
        <v>Nữ</v>
      </c>
      <c r="E121" t="str">
        <f>step3_validation[[#This Row],[Age_Group]]</f>
        <v>40 - 49</v>
      </c>
      <c r="F121" t="str">
        <f>survey_responses[[#This Row],[Độ tuổi của bạn:]]</f>
        <v>40 - 49</v>
      </c>
      <c r="G121" t="str">
        <f>step3_validation[[#This Row],[Region]]</f>
        <v>Nông thôn</v>
      </c>
      <c r="H121" t="str">
        <f>survey_responses[[#This Row],[Khu vực bạn đang sinh sống:]]</f>
        <v>Nông thôn</v>
      </c>
      <c r="I121" t="str">
        <f>step3_validation[[#This Row],[Education]]</f>
        <v>Đại học</v>
      </c>
      <c r="J121" t="str">
        <f>survey_responses[[#This Row],[Trình độ học vấn cao nhất:]]</f>
        <v>Đại học</v>
      </c>
      <c r="K121" t="str">
        <f>step3_validation[[#This Row],[Employment]]</f>
        <v>Chính thức</v>
      </c>
      <c r="L121" t="str">
        <f>survey_responses[[#This Row],[Tình trạng việc làm chính:]]</f>
        <v>Khu vực chính thức (Có Hợp đồng lao động, đóng BHXH)</v>
      </c>
      <c r="M121">
        <f>step3_validation[[#This Row],[Income_Mil]]</f>
        <v>29.829932474204675</v>
      </c>
      <c r="N121" t="str">
        <f>survey_responses[[#This Row],[Thu nhập bình quân tháng theo Hợp đồng lao động của bạn là bao nhiêu? (Vui lòng điền tổng thu nhập trước khi khấu trừ các loại Bảo hiểm (BHXH, BHYT, BHTN) và Thuế TNCN)]]</f>
        <v>Từ 23 - 32 triệu VNĐ</v>
      </c>
      <c r="O121">
        <f>step3_validation[[#This Row],[Dependents]]</f>
        <v>3</v>
      </c>
      <c r="P121" t="str">
        <f>survey_responses[[#This Row],[Số người phụ thuộc (con nhỏ, cha mẹ già...) đủ điều kiện giảm trừ gia cảnh:]]</f>
        <v>3 người</v>
      </c>
      <c r="Q121">
        <f>step3_validation[[#This Row],[AI_ENF1]]</f>
        <v>5</v>
      </c>
      <c r="R121">
        <f t="shared" si="27"/>
        <v>0.44444444444444442</v>
      </c>
      <c r="S121">
        <f>survey_responses[[#This Row],[Tôi tin rằng với các quy định quản lý thuế hiện nay, hành vi gian lận hoặc trốn thuế sẽ dễ dàng bị phát hiện và xử lý nghiêm. - HUMAN-ENF1]]</f>
        <v>6</v>
      </c>
      <c r="T121">
        <f t="shared" si="28"/>
        <v>0.55555555555555558</v>
      </c>
      <c r="U121">
        <f>step3_validation[[#This Row],[AI_ENF2]]</f>
        <v>5</v>
      </c>
      <c r="V121">
        <f t="shared" si="29"/>
        <v>0.44444444444444442</v>
      </c>
      <c r="W121">
        <f>survey_responses[[#This Row],[Tôi tin rằng Nhà nước, cơ quan thuế có đủ khả năng và công nghệ để phát hiện, xử lý nghiêm các hành vi trốn thuế. - HUMAN-ENF2]]</f>
        <v>6</v>
      </c>
      <c r="X121">
        <f t="shared" si="30"/>
        <v>0.55555555555555558</v>
      </c>
      <c r="Y121" s="32">
        <f t="shared" si="31"/>
        <v>0.44444444444444442</v>
      </c>
      <c r="Z121" s="32">
        <f t="shared" si="32"/>
        <v>0.55555555555555558</v>
      </c>
      <c r="AA121">
        <f>step3_validation[[#This Row],[AI_FAC1]]</f>
        <v>7</v>
      </c>
      <c r="AB121">
        <f t="shared" si="33"/>
        <v>0.66666666666666663</v>
      </c>
      <c r="AC121">
        <f>survey_responses[[#This Row],[Các thủ tục khai báo thuế VÀ/HOẶC quy trình làm việc với cơ quan thuế đơn giản, tiện lợi, nhanh chóng hơn so với trước đây. - HUMAN-FAC1]]</f>
        <v>6</v>
      </c>
      <c r="AD121">
        <f t="shared" si="34"/>
        <v>0.55555555555555558</v>
      </c>
      <c r="AE121">
        <f>step3_validation[[#This Row],[AI_FAC2]]</f>
        <v>9</v>
      </c>
      <c r="AF121">
        <f t="shared" si="35"/>
        <v>0.88888888888888884</v>
      </c>
      <c r="AG121">
        <f>survey_responses[[#This Row],[So với trước đây, tôi thấy cách tính thuế và các bậc thuế trong phương án mới đơn giản, dễ hiểu và dễ thực hiện hơn. - HUMAN-FAC2]]</f>
        <v>6</v>
      </c>
      <c r="AH121">
        <f t="shared" si="36"/>
        <v>0.55555555555555558</v>
      </c>
      <c r="AI121" s="32">
        <f t="shared" si="37"/>
        <v>0.77777777777777768</v>
      </c>
      <c r="AJ121" s="32">
        <f t="shared" si="38"/>
        <v>0.55555555555555558</v>
      </c>
      <c r="AK121">
        <f>step3_validation[[#This Row],[AI_TRU1]]</f>
        <v>7</v>
      </c>
      <c r="AL121">
        <f t="shared" si="39"/>
        <v>0.66666666666666663</v>
      </c>
      <c r="AM121">
        <f>survey_responses[[#This Row],[Tôi tin rằng Nhà nước, cơ quan thuế sẽ thực thi chính sách mới một cách khách quan, công tâm và đối xử bình đẳng với mọi người nộp thuế.  - HUMAN-TRU1]]</f>
        <v>6</v>
      </c>
      <c r="AN121">
        <f t="shared" si="40"/>
        <v>0.55555555555555558</v>
      </c>
      <c r="AO121">
        <f>step3_validation[[#This Row],[AI_TRU2]]</f>
        <v>8</v>
      </c>
      <c r="AP121">
        <f t="shared" si="41"/>
        <v>0.77777777777777779</v>
      </c>
      <c r="AQ121">
        <f>survey_responses[[#This Row],[Tôi thấy mức thuế tôi phải đóng theo phương án mới là công bằng (người thu nhập như tôi đóng mức này là hợp lý). - HUMAN-TRU2]]</f>
        <v>6</v>
      </c>
      <c r="AR121">
        <f t="shared" si="42"/>
        <v>0.55555555555555558</v>
      </c>
      <c r="AS121">
        <f>step3_validation[[#This Row],[AI_TRU3]]</f>
        <v>7</v>
      </c>
      <c r="AT121">
        <f t="shared" si="43"/>
        <v>0.66666666666666663</v>
      </c>
      <c r="AU121">
        <f>survey_responses[[#This Row],[Tôi tin tưởng số tiền thuế tôi đóng sẽ được Nhà nước sử dụng hiệu quả để cải thiện dịch vụ công (y tế, đường xá...). - HUMAN-TRU3]]</f>
        <v>6</v>
      </c>
      <c r="AV121">
        <f t="shared" si="44"/>
        <v>0.55555555555555558</v>
      </c>
      <c r="AW121">
        <f>step3_validation[[#This Row],[AI_TRU4]]</f>
        <v>6</v>
      </c>
      <c r="AX121">
        <f t="shared" si="45"/>
        <v>0.55555555555555558</v>
      </c>
      <c r="AY121">
        <f>survey_responses[[#This Row],[Tôi thấy Nhà nước đã giải thích rõ ràng, minh bạch về lý do và mục tiêu của việc sửa đổi thuế lần này. - HUMAN-TRU4]]</f>
        <v>6</v>
      </c>
      <c r="AZ121">
        <f t="shared" si="46"/>
        <v>0.55555555555555558</v>
      </c>
      <c r="BA121" s="32">
        <f t="shared" si="47"/>
        <v>0.66666666666666674</v>
      </c>
      <c r="BB121" s="32">
        <f t="shared" si="48"/>
        <v>0.55555555555555558</v>
      </c>
      <c r="BC121" s="7">
        <f t="shared" si="49"/>
        <v>0.62962962962962965</v>
      </c>
      <c r="BD121" s="7">
        <f t="shared" si="50"/>
        <v>0.55555555555555558</v>
      </c>
      <c r="BE121">
        <f>step3_validation[[#This Row],[AI_OUT1]]</f>
        <v>9</v>
      </c>
      <c r="BF121">
        <f t="shared" si="51"/>
        <v>0.88888888888888884</v>
      </c>
      <c r="BG121">
        <f>survey_responses[[#This Row],[Sau khi xem xét các quyền lợi và nghĩa vụ, bạn có ủng hộ và tuân thủ chính sách mới hiện nay? - HUMAN-OUT1]]</f>
        <v>6</v>
      </c>
      <c r="BH121">
        <f t="shared" si="52"/>
        <v>0.55555555555555558</v>
      </c>
      <c r="BI121" s="32">
        <f t="shared" si="53"/>
        <v>3</v>
      </c>
    </row>
    <row r="122" spans="1:61" x14ac:dyDescent="0.45">
      <c r="A122" s="30">
        <f>step3_validation[[#This Row],[Persona_ID]]</f>
        <v>121</v>
      </c>
      <c r="B122" s="31">
        <f>step3_validation[[#This Row],[Used_Seed]]</f>
        <v>121</v>
      </c>
      <c r="C122" t="str">
        <f>step3_validation[[#This Row],[Gender]]</f>
        <v>Nam</v>
      </c>
      <c r="D122" t="str">
        <f>survey_responses[[#This Row],[Giới tính của bạn:]]</f>
        <v>Nam</v>
      </c>
      <c r="E122" t="str">
        <f>step3_validation[[#This Row],[Age_Group]]</f>
        <v>50 - 54</v>
      </c>
      <c r="F122" t="str">
        <f>survey_responses[[#This Row],[Độ tuổi của bạn:]]</f>
        <v>50 - 54</v>
      </c>
      <c r="G122" t="str">
        <f>step3_validation[[#This Row],[Region]]</f>
        <v>Thành thị</v>
      </c>
      <c r="H122" t="str">
        <f>survey_responses[[#This Row],[Khu vực bạn đang sinh sống:]]</f>
        <v>Thành thị</v>
      </c>
      <c r="I122" t="str">
        <f>step3_validation[[#This Row],[Education]]</f>
        <v>Sau Đại học</v>
      </c>
      <c r="J122" t="str">
        <f>survey_responses[[#This Row],[Trình độ học vấn cao nhất:]]</f>
        <v>Sau Đại học</v>
      </c>
      <c r="K122" t="str">
        <f>step3_validation[[#This Row],[Employment]]</f>
        <v>Phi chính thức</v>
      </c>
      <c r="L122" t="str">
        <f>survey_responses[[#This Row],[Tình trạng việc làm chính:]]</f>
        <v>Khu vực phi chính thức (Lao động tự do, không có HĐLĐ)</v>
      </c>
      <c r="M122">
        <f>step3_validation[[#This Row],[Income_Mil]]</f>
        <v>195.65673970529014</v>
      </c>
      <c r="N122" t="str">
        <f>survey_responses[[#This Row],[Thu nhập bình quân tháng theo Hợp đồng lao động của bạn là bao nhiêu? (Vui lòng điền tổng thu nhập trước khi khấu trừ các loại Bảo hiểm (BHXH, BHYT, BHTN) và Thuế TNCN)]]</f>
        <v>Trên 102 triệu VNĐ</v>
      </c>
      <c r="O122">
        <f>step3_validation[[#This Row],[Dependents]]</f>
        <v>4</v>
      </c>
      <c r="P122" t="str">
        <f>survey_responses[[#This Row],[Số người phụ thuộc (con nhỏ, cha mẹ già...) đủ điều kiện giảm trừ gia cảnh:]]</f>
        <v>4 người trở lên</v>
      </c>
      <c r="Q122">
        <f>step3_validation[[#This Row],[AI_ENF1]]</f>
        <v>7</v>
      </c>
      <c r="R122">
        <f t="shared" si="27"/>
        <v>0.66666666666666663</v>
      </c>
      <c r="S122">
        <f>survey_responses[[#This Row],[Tôi tin rằng với các quy định quản lý thuế hiện nay, hành vi gian lận hoặc trốn thuế sẽ dễ dàng bị phát hiện và xử lý nghiêm. - HUMAN-ENF1]]</f>
        <v>1</v>
      </c>
      <c r="T122">
        <f t="shared" si="28"/>
        <v>0</v>
      </c>
      <c r="U122">
        <f>step3_validation[[#This Row],[AI_ENF2]]</f>
        <v>6</v>
      </c>
      <c r="V122">
        <f t="shared" si="29"/>
        <v>0.55555555555555558</v>
      </c>
      <c r="W122">
        <f>survey_responses[[#This Row],[Tôi tin rằng Nhà nước, cơ quan thuế có đủ khả năng và công nghệ để phát hiện, xử lý nghiêm các hành vi trốn thuế. - HUMAN-ENF2]]</f>
        <v>1</v>
      </c>
      <c r="X122">
        <f t="shared" si="30"/>
        <v>0</v>
      </c>
      <c r="Y122" s="32">
        <f t="shared" si="31"/>
        <v>0.61111111111111116</v>
      </c>
      <c r="Z122" s="32">
        <f t="shared" si="32"/>
        <v>0</v>
      </c>
      <c r="AA122">
        <f>step3_validation[[#This Row],[AI_FAC1]]</f>
        <v>5</v>
      </c>
      <c r="AB122">
        <f t="shared" si="33"/>
        <v>0.44444444444444442</v>
      </c>
      <c r="AC122">
        <f>survey_responses[[#This Row],[Các thủ tục khai báo thuế VÀ/HOẶC quy trình làm việc với cơ quan thuế đơn giản, tiện lợi, nhanh chóng hơn so với trước đây. - HUMAN-FAC1]]</f>
        <v>1</v>
      </c>
      <c r="AD122">
        <f t="shared" si="34"/>
        <v>0</v>
      </c>
      <c r="AE122">
        <f>step3_validation[[#This Row],[AI_FAC2]]</f>
        <v>6</v>
      </c>
      <c r="AF122">
        <f t="shared" si="35"/>
        <v>0.55555555555555558</v>
      </c>
      <c r="AG122">
        <f>survey_responses[[#This Row],[So với trước đây, tôi thấy cách tính thuế và các bậc thuế trong phương án mới đơn giản, dễ hiểu và dễ thực hiện hơn. - HUMAN-FAC2]]</f>
        <v>5</v>
      </c>
      <c r="AH122">
        <f t="shared" si="36"/>
        <v>0.44444444444444442</v>
      </c>
      <c r="AI122" s="32">
        <f t="shared" si="37"/>
        <v>0.5</v>
      </c>
      <c r="AJ122" s="32">
        <f t="shared" si="38"/>
        <v>0.22222222222222221</v>
      </c>
      <c r="AK122">
        <f>step3_validation[[#This Row],[AI_TRU1]]</f>
        <v>7</v>
      </c>
      <c r="AL122">
        <f t="shared" si="39"/>
        <v>0.66666666666666663</v>
      </c>
      <c r="AM122">
        <f>survey_responses[[#This Row],[Tôi tin rằng Nhà nước, cơ quan thuế sẽ thực thi chính sách mới một cách khách quan, công tâm và đối xử bình đẳng với mọi người nộp thuế.  - HUMAN-TRU1]]</f>
        <v>1</v>
      </c>
      <c r="AN122">
        <f t="shared" si="40"/>
        <v>0</v>
      </c>
      <c r="AO122">
        <f>step3_validation[[#This Row],[AI_TRU2]]</f>
        <v>8</v>
      </c>
      <c r="AP122">
        <f t="shared" si="41"/>
        <v>0.77777777777777779</v>
      </c>
      <c r="AQ122">
        <f>survey_responses[[#This Row],[Tôi thấy mức thuế tôi phải đóng theo phương án mới là công bằng (người thu nhập như tôi đóng mức này là hợp lý). - HUMAN-TRU2]]</f>
        <v>1</v>
      </c>
      <c r="AR122">
        <f t="shared" si="42"/>
        <v>0</v>
      </c>
      <c r="AS122">
        <f>step3_validation[[#This Row],[AI_TRU3]]</f>
        <v>6</v>
      </c>
      <c r="AT122">
        <f t="shared" si="43"/>
        <v>0.55555555555555558</v>
      </c>
      <c r="AU122">
        <f>survey_responses[[#This Row],[Tôi tin tưởng số tiền thuế tôi đóng sẽ được Nhà nước sử dụng hiệu quả để cải thiện dịch vụ công (y tế, đường xá...). - HUMAN-TRU3]]</f>
        <v>1</v>
      </c>
      <c r="AV122">
        <f t="shared" si="44"/>
        <v>0</v>
      </c>
      <c r="AW122">
        <f>step3_validation[[#This Row],[AI_TRU4]]</f>
        <v>7</v>
      </c>
      <c r="AX122">
        <f t="shared" si="45"/>
        <v>0.66666666666666663</v>
      </c>
      <c r="AY122">
        <f>survey_responses[[#This Row],[Tôi thấy Nhà nước đã giải thích rõ ràng, minh bạch về lý do và mục tiêu của việc sửa đổi thuế lần này. - HUMAN-TRU4]]</f>
        <v>1</v>
      </c>
      <c r="AZ122">
        <f t="shared" si="46"/>
        <v>0</v>
      </c>
      <c r="BA122" s="32">
        <f t="shared" si="47"/>
        <v>0.66666666666666663</v>
      </c>
      <c r="BB122" s="32">
        <f t="shared" si="48"/>
        <v>0</v>
      </c>
      <c r="BC122" s="7">
        <f t="shared" si="49"/>
        <v>0.59259259259259256</v>
      </c>
      <c r="BD122" s="7">
        <f t="shared" si="50"/>
        <v>7.407407407407407E-2</v>
      </c>
      <c r="BE122">
        <f>step3_validation[[#This Row],[AI_OUT1]]</f>
        <v>9</v>
      </c>
      <c r="BF122">
        <f t="shared" si="51"/>
        <v>0.88888888888888884</v>
      </c>
      <c r="BG122">
        <f>survey_responses[[#This Row],[Sau khi xem xét các quyền lợi và nghĩa vụ, bạn có ủng hộ và tuân thủ chính sách mới hiện nay? - HUMAN-OUT1]]</f>
        <v>5</v>
      </c>
      <c r="BH122">
        <f t="shared" si="52"/>
        <v>0.44444444444444442</v>
      </c>
      <c r="BI122" s="32">
        <f t="shared" si="53"/>
        <v>4</v>
      </c>
    </row>
    <row r="123" spans="1:61" x14ac:dyDescent="0.45">
      <c r="A123" s="30">
        <f>step3_validation[[#This Row],[Persona_ID]]</f>
        <v>122</v>
      </c>
      <c r="B123" s="31">
        <f>step3_validation[[#This Row],[Used_Seed]]</f>
        <v>122</v>
      </c>
      <c r="C123" t="str">
        <f>step3_validation[[#This Row],[Gender]]</f>
        <v>Nam</v>
      </c>
      <c r="D123" t="str">
        <f>survey_responses[[#This Row],[Giới tính của bạn:]]</f>
        <v>Nam</v>
      </c>
      <c r="E123" t="str">
        <f>step3_validation[[#This Row],[Age_Group]]</f>
        <v>40 - 49</v>
      </c>
      <c r="F123" t="str">
        <f>survey_responses[[#This Row],[Độ tuổi của bạn:]]</f>
        <v>40 - 49</v>
      </c>
      <c r="G123" t="str">
        <f>step3_validation[[#This Row],[Region]]</f>
        <v>Thành thị</v>
      </c>
      <c r="H123" t="str">
        <f>survey_responses[[#This Row],[Khu vực bạn đang sinh sống:]]</f>
        <v>Thành thị</v>
      </c>
      <c r="I123" t="str">
        <f>step3_validation[[#This Row],[Education]]</f>
        <v>Đại học</v>
      </c>
      <c r="J123" t="str">
        <f>survey_responses[[#This Row],[Trình độ học vấn cao nhất:]]</f>
        <v>Đại học</v>
      </c>
      <c r="K123" t="str">
        <f>step3_validation[[#This Row],[Employment]]</f>
        <v>Chính thức</v>
      </c>
      <c r="L123" t="str">
        <f>survey_responses[[#This Row],[Tình trạng việc làm chính:]]</f>
        <v>Khu vực chính thức (Có Hợp đồng lao động, đóng BHXH)</v>
      </c>
      <c r="M123">
        <f>step3_validation[[#This Row],[Income_Mil]]</f>
        <v>224.15218139527786</v>
      </c>
      <c r="N123" t="str">
        <f>survey_responses[[#This Row],[Thu nhập bình quân tháng theo Hợp đồng lao động của bạn là bao nhiêu? (Vui lòng điền tổng thu nhập trước khi khấu trừ các loại Bảo hiểm (BHXH, BHYT, BHTN) và Thuế TNCN)]]</f>
        <v>Trên 102 triệu VNĐ</v>
      </c>
      <c r="O123">
        <f>step3_validation[[#This Row],[Dependents]]</f>
        <v>0</v>
      </c>
      <c r="P123" t="str">
        <f>survey_responses[[#This Row],[Số người phụ thuộc (con nhỏ, cha mẹ già...) đủ điều kiện giảm trừ gia cảnh:]]</f>
        <v>0 người</v>
      </c>
      <c r="Q123">
        <f>step3_validation[[#This Row],[AI_ENF1]]</f>
        <v>9</v>
      </c>
      <c r="R123">
        <f t="shared" si="27"/>
        <v>0.88888888888888884</v>
      </c>
      <c r="S123">
        <f>survey_responses[[#This Row],[Tôi tin rằng với các quy định quản lý thuế hiện nay, hành vi gian lận hoặc trốn thuế sẽ dễ dàng bị phát hiện và xử lý nghiêm. - HUMAN-ENF1]]</f>
        <v>4</v>
      </c>
      <c r="T123">
        <f t="shared" si="28"/>
        <v>0.33333333333333331</v>
      </c>
      <c r="U123">
        <f>step3_validation[[#This Row],[AI_ENF2]]</f>
        <v>8</v>
      </c>
      <c r="V123">
        <f t="shared" si="29"/>
        <v>0.77777777777777779</v>
      </c>
      <c r="W123">
        <f>survey_responses[[#This Row],[Tôi tin rằng Nhà nước, cơ quan thuế có đủ khả năng và công nghệ để phát hiện, xử lý nghiêm các hành vi trốn thuế. - HUMAN-ENF2]]</f>
        <v>4</v>
      </c>
      <c r="X123">
        <f t="shared" si="30"/>
        <v>0.33333333333333331</v>
      </c>
      <c r="Y123" s="32">
        <f t="shared" si="31"/>
        <v>0.83333333333333326</v>
      </c>
      <c r="Z123" s="32">
        <f t="shared" si="32"/>
        <v>0.33333333333333331</v>
      </c>
      <c r="AA123">
        <f>step3_validation[[#This Row],[AI_FAC1]]</f>
        <v>9</v>
      </c>
      <c r="AB123">
        <f t="shared" si="33"/>
        <v>0.88888888888888884</v>
      </c>
      <c r="AC123">
        <f>survey_responses[[#This Row],[Các thủ tục khai báo thuế VÀ/HOẶC quy trình làm việc với cơ quan thuế đơn giản, tiện lợi, nhanh chóng hơn so với trước đây. - HUMAN-FAC1]]</f>
        <v>2</v>
      </c>
      <c r="AD123">
        <f t="shared" si="34"/>
        <v>0.1111111111111111</v>
      </c>
      <c r="AE123">
        <f>step3_validation[[#This Row],[AI_FAC2]]</f>
        <v>10</v>
      </c>
      <c r="AF123">
        <f t="shared" si="35"/>
        <v>1</v>
      </c>
      <c r="AG123">
        <f>survey_responses[[#This Row],[So với trước đây, tôi thấy cách tính thuế và các bậc thuế trong phương án mới đơn giản, dễ hiểu và dễ thực hiện hơn. - HUMAN-FAC2]]</f>
        <v>5</v>
      </c>
      <c r="AH123">
        <f t="shared" si="36"/>
        <v>0.44444444444444442</v>
      </c>
      <c r="AI123" s="32">
        <f t="shared" si="37"/>
        <v>0.94444444444444442</v>
      </c>
      <c r="AJ123" s="32">
        <f t="shared" si="38"/>
        <v>0.27777777777777779</v>
      </c>
      <c r="AK123">
        <f>step3_validation[[#This Row],[AI_TRU1]]</f>
        <v>9</v>
      </c>
      <c r="AL123">
        <f t="shared" si="39"/>
        <v>0.88888888888888884</v>
      </c>
      <c r="AM123">
        <f>survey_responses[[#This Row],[Tôi tin rằng Nhà nước, cơ quan thuế sẽ thực thi chính sách mới một cách khách quan, công tâm và đối xử bình đẳng với mọi người nộp thuế.  - HUMAN-TRU1]]</f>
        <v>1</v>
      </c>
      <c r="AN123">
        <f t="shared" si="40"/>
        <v>0</v>
      </c>
      <c r="AO123">
        <f>step3_validation[[#This Row],[AI_TRU2]]</f>
        <v>9</v>
      </c>
      <c r="AP123">
        <f t="shared" si="41"/>
        <v>0.88888888888888884</v>
      </c>
      <c r="AQ123">
        <f>survey_responses[[#This Row],[Tôi thấy mức thuế tôi phải đóng theo phương án mới là công bằng (người thu nhập như tôi đóng mức này là hợp lý). - HUMAN-TRU2]]</f>
        <v>1</v>
      </c>
      <c r="AR123">
        <f t="shared" si="42"/>
        <v>0</v>
      </c>
      <c r="AS123">
        <f>step3_validation[[#This Row],[AI_TRU3]]</f>
        <v>9</v>
      </c>
      <c r="AT123">
        <f t="shared" si="43"/>
        <v>0.88888888888888884</v>
      </c>
      <c r="AU123">
        <f>survey_responses[[#This Row],[Tôi tin tưởng số tiền thuế tôi đóng sẽ được Nhà nước sử dụng hiệu quả để cải thiện dịch vụ công (y tế, đường xá...). - HUMAN-TRU3]]</f>
        <v>1</v>
      </c>
      <c r="AV123">
        <f t="shared" si="44"/>
        <v>0</v>
      </c>
      <c r="AW123">
        <f>step3_validation[[#This Row],[AI_TRU4]]</f>
        <v>8</v>
      </c>
      <c r="AX123">
        <f t="shared" si="45"/>
        <v>0.77777777777777779</v>
      </c>
      <c r="AY123">
        <f>survey_responses[[#This Row],[Tôi thấy Nhà nước đã giải thích rõ ràng, minh bạch về lý do và mục tiêu của việc sửa đổi thuế lần này. - HUMAN-TRU4]]</f>
        <v>4</v>
      </c>
      <c r="AZ123">
        <f t="shared" si="46"/>
        <v>0.33333333333333331</v>
      </c>
      <c r="BA123" s="32">
        <f t="shared" si="47"/>
        <v>0.86111111111111105</v>
      </c>
      <c r="BB123" s="32">
        <f t="shared" si="48"/>
        <v>8.3333333333333329E-2</v>
      </c>
      <c r="BC123" s="7">
        <f t="shared" si="49"/>
        <v>0.87962962962962965</v>
      </c>
      <c r="BD123" s="7">
        <f t="shared" si="50"/>
        <v>0.23148148148148151</v>
      </c>
      <c r="BE123">
        <f>step3_validation[[#This Row],[AI_OUT1]]</f>
        <v>9</v>
      </c>
      <c r="BF123">
        <f t="shared" si="51"/>
        <v>0.88888888888888884</v>
      </c>
      <c r="BG123">
        <f>survey_responses[[#This Row],[Sau khi xem xét các quyền lợi và nghĩa vụ, bạn có ủng hộ và tuân thủ chính sách mới hiện nay? - HUMAN-OUT1]]</f>
        <v>4</v>
      </c>
      <c r="BH123">
        <f t="shared" si="52"/>
        <v>0.33333333333333331</v>
      </c>
      <c r="BI123" s="32">
        <f t="shared" si="53"/>
        <v>5</v>
      </c>
    </row>
    <row r="124" spans="1:61" x14ac:dyDescent="0.45">
      <c r="A124" s="30">
        <f>step3_validation[[#This Row],[Persona_ID]]</f>
        <v>123</v>
      </c>
      <c r="B124" s="31">
        <f>step3_validation[[#This Row],[Used_Seed]]</f>
        <v>123</v>
      </c>
      <c r="C124" t="str">
        <f>step3_validation[[#This Row],[Gender]]</f>
        <v>Nữ</v>
      </c>
      <c r="D124" t="str">
        <f>survey_responses[[#This Row],[Giới tính của bạn:]]</f>
        <v>Nữ</v>
      </c>
      <c r="E124" t="str">
        <f>step3_validation[[#This Row],[Age_Group]]</f>
        <v>18 - 24</v>
      </c>
      <c r="F124" t="str">
        <f>survey_responses[[#This Row],[Độ tuổi của bạn:]]</f>
        <v>18 - 24</v>
      </c>
      <c r="G124" t="str">
        <f>step3_validation[[#This Row],[Region]]</f>
        <v>Thành thị</v>
      </c>
      <c r="H124" t="str">
        <f>survey_responses[[#This Row],[Khu vực bạn đang sinh sống:]]</f>
        <v>Thành thị</v>
      </c>
      <c r="I124" t="str">
        <f>step3_validation[[#This Row],[Education]]</f>
        <v>Đại học</v>
      </c>
      <c r="J124" t="str">
        <f>survey_responses[[#This Row],[Trình độ học vấn cao nhất:]]</f>
        <v>Đại học</v>
      </c>
      <c r="K124" t="str">
        <f>step3_validation[[#This Row],[Employment]]</f>
        <v>Chính thức</v>
      </c>
      <c r="L124" t="str">
        <f>survey_responses[[#This Row],[Tình trạng việc làm chính:]]</f>
        <v>Khu vực chính thức (Có Hợp đồng lao động, đóng BHXH)</v>
      </c>
      <c r="M124">
        <f>step3_validation[[#This Row],[Income_Mil]]</f>
        <v>12</v>
      </c>
      <c r="N124" t="str">
        <f>survey_responses[[#This Row],[Thu nhập bình quân tháng theo Hợp đồng lao động của bạn là bao nhiêu? (Vui lòng điền tổng thu nhập trước khi khấu trừ các loại Bảo hiểm (BHXH, BHYT, BHTN) và Thuế TNCN)]]</f>
        <v>Dưới 12 triệu VNĐ</v>
      </c>
      <c r="O124">
        <f>step3_validation[[#This Row],[Dependents]]</f>
        <v>0</v>
      </c>
      <c r="P124" t="str">
        <f>survey_responses[[#This Row],[Số người phụ thuộc (con nhỏ, cha mẹ già...) đủ điều kiện giảm trừ gia cảnh:]]</f>
        <v>0 người</v>
      </c>
      <c r="Q124">
        <f>step3_validation[[#This Row],[AI_ENF1]]</f>
        <v>7</v>
      </c>
      <c r="R124">
        <f t="shared" si="27"/>
        <v>0.66666666666666663</v>
      </c>
      <c r="S124">
        <f>survey_responses[[#This Row],[Tôi tin rằng với các quy định quản lý thuế hiện nay, hành vi gian lận hoặc trốn thuế sẽ dễ dàng bị phát hiện và xử lý nghiêm. - HUMAN-ENF1]]</f>
        <v>7</v>
      </c>
      <c r="T124">
        <f t="shared" si="28"/>
        <v>0.66666666666666663</v>
      </c>
      <c r="U124">
        <f>step3_validation[[#This Row],[AI_ENF2]]</f>
        <v>8</v>
      </c>
      <c r="V124">
        <f t="shared" si="29"/>
        <v>0.77777777777777779</v>
      </c>
      <c r="W124">
        <f>survey_responses[[#This Row],[Tôi tin rằng Nhà nước, cơ quan thuế có đủ khả năng và công nghệ để phát hiện, xử lý nghiêm các hành vi trốn thuế. - HUMAN-ENF2]]</f>
        <v>7</v>
      </c>
      <c r="X124">
        <f t="shared" si="30"/>
        <v>0.66666666666666663</v>
      </c>
      <c r="Y124" s="32">
        <f t="shared" si="31"/>
        <v>0.72222222222222221</v>
      </c>
      <c r="Z124" s="32">
        <f t="shared" si="32"/>
        <v>0.66666666666666663</v>
      </c>
      <c r="AA124">
        <f>step3_validation[[#This Row],[AI_FAC1]]</f>
        <v>9</v>
      </c>
      <c r="AB124">
        <f t="shared" si="33"/>
        <v>0.88888888888888884</v>
      </c>
      <c r="AC124">
        <f>survey_responses[[#This Row],[Các thủ tục khai báo thuế VÀ/HOẶC quy trình làm việc với cơ quan thuế đơn giản, tiện lợi, nhanh chóng hơn so với trước đây. - HUMAN-FAC1]]</f>
        <v>7</v>
      </c>
      <c r="AD124">
        <f t="shared" si="34"/>
        <v>0.66666666666666663</v>
      </c>
      <c r="AE124">
        <f>step3_validation[[#This Row],[AI_FAC2]]</f>
        <v>10</v>
      </c>
      <c r="AF124">
        <f t="shared" si="35"/>
        <v>1</v>
      </c>
      <c r="AG124">
        <f>survey_responses[[#This Row],[So với trước đây, tôi thấy cách tính thuế và các bậc thuế trong phương án mới đơn giản, dễ hiểu và dễ thực hiện hơn. - HUMAN-FAC2]]</f>
        <v>7</v>
      </c>
      <c r="AH124">
        <f t="shared" si="36"/>
        <v>0.66666666666666663</v>
      </c>
      <c r="AI124" s="32">
        <f t="shared" si="37"/>
        <v>0.94444444444444442</v>
      </c>
      <c r="AJ124" s="32">
        <f t="shared" si="38"/>
        <v>0.66666666666666663</v>
      </c>
      <c r="AK124">
        <f>step3_validation[[#This Row],[AI_TRU1]]</f>
        <v>9</v>
      </c>
      <c r="AL124">
        <f t="shared" si="39"/>
        <v>0.88888888888888884</v>
      </c>
      <c r="AM124">
        <f>survey_responses[[#This Row],[Tôi tin rằng Nhà nước, cơ quan thuế sẽ thực thi chính sách mới một cách khách quan, công tâm và đối xử bình đẳng với mọi người nộp thuế.  - HUMAN-TRU1]]</f>
        <v>7</v>
      </c>
      <c r="AN124">
        <f t="shared" si="40"/>
        <v>0.66666666666666663</v>
      </c>
      <c r="AO124">
        <f>step3_validation[[#This Row],[AI_TRU2]]</f>
        <v>8</v>
      </c>
      <c r="AP124">
        <f t="shared" si="41"/>
        <v>0.77777777777777779</v>
      </c>
      <c r="AQ124">
        <f>survey_responses[[#This Row],[Tôi thấy mức thuế tôi phải đóng theo phương án mới là công bằng (người thu nhập như tôi đóng mức này là hợp lý). - HUMAN-TRU2]]</f>
        <v>7</v>
      </c>
      <c r="AR124">
        <f t="shared" si="42"/>
        <v>0.66666666666666663</v>
      </c>
      <c r="AS124">
        <f>step3_validation[[#This Row],[AI_TRU3]]</f>
        <v>9</v>
      </c>
      <c r="AT124">
        <f t="shared" si="43"/>
        <v>0.88888888888888884</v>
      </c>
      <c r="AU124">
        <f>survey_responses[[#This Row],[Tôi tin tưởng số tiền thuế tôi đóng sẽ được Nhà nước sử dụng hiệu quả để cải thiện dịch vụ công (y tế, đường xá...). - HUMAN-TRU3]]</f>
        <v>7</v>
      </c>
      <c r="AV124">
        <f t="shared" si="44"/>
        <v>0.66666666666666663</v>
      </c>
      <c r="AW124">
        <f>step3_validation[[#This Row],[AI_TRU4]]</f>
        <v>8</v>
      </c>
      <c r="AX124">
        <f t="shared" si="45"/>
        <v>0.77777777777777779</v>
      </c>
      <c r="AY124">
        <f>survey_responses[[#This Row],[Tôi thấy Nhà nước đã giải thích rõ ràng, minh bạch về lý do và mục tiêu của việc sửa đổi thuế lần này. - HUMAN-TRU4]]</f>
        <v>7</v>
      </c>
      <c r="AZ124">
        <f t="shared" si="46"/>
        <v>0.66666666666666663</v>
      </c>
      <c r="BA124" s="32">
        <f t="shared" si="47"/>
        <v>0.83333333333333326</v>
      </c>
      <c r="BB124" s="32">
        <f t="shared" si="48"/>
        <v>0.66666666666666663</v>
      </c>
      <c r="BC124" s="7">
        <f t="shared" si="49"/>
        <v>0.83333333333333337</v>
      </c>
      <c r="BD124" s="7">
        <f t="shared" si="50"/>
        <v>0.66666666666666663</v>
      </c>
      <c r="BE124">
        <f>step3_validation[[#This Row],[AI_OUT1]]</f>
        <v>9</v>
      </c>
      <c r="BF124">
        <f t="shared" si="51"/>
        <v>0.88888888888888884</v>
      </c>
      <c r="BG124">
        <f>survey_responses[[#This Row],[Sau khi xem xét các quyền lợi và nghĩa vụ, bạn có ủng hộ và tuân thủ chính sách mới hiện nay? - HUMAN-OUT1]]</f>
        <v>8</v>
      </c>
      <c r="BH124">
        <f t="shared" si="52"/>
        <v>0.77777777777777779</v>
      </c>
      <c r="BI124" s="32">
        <f t="shared" si="53"/>
        <v>1</v>
      </c>
    </row>
    <row r="125" spans="1:61" x14ac:dyDescent="0.45">
      <c r="A125" s="30">
        <f>step3_validation[[#This Row],[Persona_ID]]</f>
        <v>124</v>
      </c>
      <c r="B125" s="31">
        <f>step3_validation[[#This Row],[Used_Seed]]</f>
        <v>124</v>
      </c>
      <c r="C125" t="str">
        <f>step3_validation[[#This Row],[Gender]]</f>
        <v>Nữ</v>
      </c>
      <c r="D125" t="str">
        <f>survey_responses[[#This Row],[Giới tính của bạn:]]</f>
        <v>Nữ</v>
      </c>
      <c r="E125" t="str">
        <f>step3_validation[[#This Row],[Age_Group]]</f>
        <v>50 - 54</v>
      </c>
      <c r="F125" t="str">
        <f>survey_responses[[#This Row],[Độ tuổi của bạn:]]</f>
        <v>50 - 54</v>
      </c>
      <c r="G125" t="str">
        <f>step3_validation[[#This Row],[Region]]</f>
        <v>Thành thị</v>
      </c>
      <c r="H125" t="str">
        <f>survey_responses[[#This Row],[Khu vực bạn đang sinh sống:]]</f>
        <v>Thành thị</v>
      </c>
      <c r="I125" t="str">
        <f>step3_validation[[#This Row],[Education]]</f>
        <v>Sau Đại học</v>
      </c>
      <c r="J125" t="str">
        <f>survey_responses[[#This Row],[Trình độ học vấn cao nhất:]]</f>
        <v>Sau Đại học</v>
      </c>
      <c r="K125" t="str">
        <f>step3_validation[[#This Row],[Employment]]</f>
        <v>Chính thức</v>
      </c>
      <c r="L125" t="str">
        <f>survey_responses[[#This Row],[Tình trạng việc làm chính:]]</f>
        <v>Khu vực chính thức (Có Hợp đồng lao động, đóng BHXH)</v>
      </c>
      <c r="M125">
        <f>step3_validation[[#This Row],[Income_Mil]]</f>
        <v>43.778796710583769</v>
      </c>
      <c r="N125" t="str">
        <f>survey_responses[[#This Row],[Thu nhập bình quân tháng theo Hợp đồng lao động của bạn là bao nhiêu? (Vui lòng điền tổng thu nhập trước khi khấu trừ các loại Bảo hiểm (BHXH, BHYT, BHTN) và Thuế TNCN)]]</f>
        <v>Từ 32 - 48 triệu VNĐ</v>
      </c>
      <c r="O125">
        <f>step3_validation[[#This Row],[Dependents]]</f>
        <v>1</v>
      </c>
      <c r="P125" t="str">
        <f>survey_responses[[#This Row],[Số người phụ thuộc (con nhỏ, cha mẹ già...) đủ điều kiện giảm trừ gia cảnh:]]</f>
        <v>1 người</v>
      </c>
      <c r="Q125">
        <f>step3_validation[[#This Row],[AI_ENF1]]</f>
        <v>9</v>
      </c>
      <c r="R125">
        <f t="shared" si="27"/>
        <v>0.88888888888888884</v>
      </c>
      <c r="S125">
        <f>survey_responses[[#This Row],[Tôi tin rằng với các quy định quản lý thuế hiện nay, hành vi gian lận hoặc trốn thuế sẽ dễ dàng bị phát hiện và xử lý nghiêm. - HUMAN-ENF1]]</f>
        <v>10</v>
      </c>
      <c r="T125">
        <f t="shared" si="28"/>
        <v>1</v>
      </c>
      <c r="U125">
        <f>step3_validation[[#This Row],[AI_ENF2]]</f>
        <v>8</v>
      </c>
      <c r="V125">
        <f t="shared" si="29"/>
        <v>0.77777777777777779</v>
      </c>
      <c r="W125">
        <f>survey_responses[[#This Row],[Tôi tin rằng Nhà nước, cơ quan thuế có đủ khả năng và công nghệ để phát hiện, xử lý nghiêm các hành vi trốn thuế. - HUMAN-ENF2]]</f>
        <v>9</v>
      </c>
      <c r="X125">
        <f t="shared" si="30"/>
        <v>0.88888888888888884</v>
      </c>
      <c r="Y125" s="32">
        <f t="shared" si="31"/>
        <v>0.83333333333333326</v>
      </c>
      <c r="Z125" s="32">
        <f t="shared" si="32"/>
        <v>0.94444444444444442</v>
      </c>
      <c r="AA125">
        <f>step3_validation[[#This Row],[AI_FAC1]]</f>
        <v>9</v>
      </c>
      <c r="AB125">
        <f t="shared" si="33"/>
        <v>0.88888888888888884</v>
      </c>
      <c r="AC125">
        <f>survey_responses[[#This Row],[Các thủ tục khai báo thuế VÀ/HOẶC quy trình làm việc với cơ quan thuế đơn giản, tiện lợi, nhanh chóng hơn so với trước đây. - HUMAN-FAC1]]</f>
        <v>10</v>
      </c>
      <c r="AD125">
        <f t="shared" si="34"/>
        <v>1</v>
      </c>
      <c r="AE125">
        <f>step3_validation[[#This Row],[AI_FAC2]]</f>
        <v>9</v>
      </c>
      <c r="AF125">
        <f t="shared" si="35"/>
        <v>0.88888888888888884</v>
      </c>
      <c r="AG125">
        <f>survey_responses[[#This Row],[So với trước đây, tôi thấy cách tính thuế và các bậc thuế trong phương án mới đơn giản, dễ hiểu và dễ thực hiện hơn. - HUMAN-FAC2]]</f>
        <v>10</v>
      </c>
      <c r="AH125">
        <f t="shared" si="36"/>
        <v>1</v>
      </c>
      <c r="AI125" s="32">
        <f t="shared" si="37"/>
        <v>0.88888888888888884</v>
      </c>
      <c r="AJ125" s="32">
        <f t="shared" si="38"/>
        <v>1</v>
      </c>
      <c r="AK125">
        <f>step3_validation[[#This Row],[AI_TRU1]]</f>
        <v>9</v>
      </c>
      <c r="AL125">
        <f t="shared" si="39"/>
        <v>0.88888888888888884</v>
      </c>
      <c r="AM125">
        <f>survey_responses[[#This Row],[Tôi tin rằng Nhà nước, cơ quan thuế sẽ thực thi chính sách mới một cách khách quan, công tâm và đối xử bình đẳng với mọi người nộp thuế.  - HUMAN-TRU1]]</f>
        <v>10</v>
      </c>
      <c r="AN125">
        <f t="shared" si="40"/>
        <v>1</v>
      </c>
      <c r="AO125">
        <f>step3_validation[[#This Row],[AI_TRU2]]</f>
        <v>8</v>
      </c>
      <c r="AP125">
        <f t="shared" si="41"/>
        <v>0.77777777777777779</v>
      </c>
      <c r="AQ125">
        <f>survey_responses[[#This Row],[Tôi thấy mức thuế tôi phải đóng theo phương án mới là công bằng (người thu nhập như tôi đóng mức này là hợp lý). - HUMAN-TRU2]]</f>
        <v>8</v>
      </c>
      <c r="AR125">
        <f t="shared" si="42"/>
        <v>0.77777777777777779</v>
      </c>
      <c r="AS125">
        <f>step3_validation[[#This Row],[AI_TRU3]]</f>
        <v>9</v>
      </c>
      <c r="AT125">
        <f t="shared" si="43"/>
        <v>0.88888888888888884</v>
      </c>
      <c r="AU125">
        <f>survey_responses[[#This Row],[Tôi tin tưởng số tiền thuế tôi đóng sẽ được Nhà nước sử dụng hiệu quả để cải thiện dịch vụ công (y tế, đường xá...). - HUMAN-TRU3]]</f>
        <v>9</v>
      </c>
      <c r="AV125">
        <f t="shared" si="44"/>
        <v>0.88888888888888884</v>
      </c>
      <c r="AW125">
        <f>step3_validation[[#This Row],[AI_TRU4]]</f>
        <v>8</v>
      </c>
      <c r="AX125">
        <f t="shared" si="45"/>
        <v>0.77777777777777779</v>
      </c>
      <c r="AY125">
        <f>survey_responses[[#This Row],[Tôi thấy Nhà nước đã giải thích rõ ràng, minh bạch về lý do và mục tiêu của việc sửa đổi thuế lần này. - HUMAN-TRU4]]</f>
        <v>9</v>
      </c>
      <c r="AZ125">
        <f t="shared" si="46"/>
        <v>0.88888888888888884</v>
      </c>
      <c r="BA125" s="32">
        <f t="shared" si="47"/>
        <v>0.83333333333333326</v>
      </c>
      <c r="BB125" s="32">
        <f t="shared" si="48"/>
        <v>0.88888888888888884</v>
      </c>
      <c r="BC125" s="7">
        <f t="shared" si="49"/>
        <v>0.85185185185185175</v>
      </c>
      <c r="BD125" s="7">
        <f t="shared" si="50"/>
        <v>0.94444444444444431</v>
      </c>
      <c r="BE125">
        <f>step3_validation[[#This Row],[AI_OUT1]]</f>
        <v>10</v>
      </c>
      <c r="BF125">
        <f t="shared" si="51"/>
        <v>1</v>
      </c>
      <c r="BG125">
        <f>survey_responses[[#This Row],[Sau khi xem xét các quyền lợi và nghĩa vụ, bạn có ủng hộ và tuân thủ chính sách mới hiện nay? - HUMAN-OUT1]]</f>
        <v>9</v>
      </c>
      <c r="BH125">
        <f t="shared" si="52"/>
        <v>0.88888888888888884</v>
      </c>
      <c r="BI125" s="32">
        <f t="shared" si="53"/>
        <v>1</v>
      </c>
    </row>
    <row r="126" spans="1:61" x14ac:dyDescent="0.45">
      <c r="A126" s="30">
        <f>step3_validation[[#This Row],[Persona_ID]]</f>
        <v>125</v>
      </c>
      <c r="B126" s="31">
        <f>step3_validation[[#This Row],[Used_Seed]]</f>
        <v>125</v>
      </c>
      <c r="C126" t="str">
        <f>step3_validation[[#This Row],[Gender]]</f>
        <v>Nữ</v>
      </c>
      <c r="D126" t="str">
        <f>survey_responses[[#This Row],[Giới tính của bạn:]]</f>
        <v>Nữ</v>
      </c>
      <c r="E126" t="str">
        <f>step3_validation[[#This Row],[Age_Group]]</f>
        <v>18 - 24</v>
      </c>
      <c r="F126" t="str">
        <f>survey_responses[[#This Row],[Độ tuổi của bạn:]]</f>
        <v>18 - 24</v>
      </c>
      <c r="G126" t="str">
        <f>step3_validation[[#This Row],[Region]]</f>
        <v>Thành thị</v>
      </c>
      <c r="H126" t="str">
        <f>survey_responses[[#This Row],[Khu vực bạn đang sinh sống:]]</f>
        <v>Thành thị</v>
      </c>
      <c r="I126" t="str">
        <f>step3_validation[[#This Row],[Education]]</f>
        <v>Đại học</v>
      </c>
      <c r="J126" t="str">
        <f>survey_responses[[#This Row],[Trình độ học vấn cao nhất:]]</f>
        <v>Đại học</v>
      </c>
      <c r="K126" t="str">
        <f>step3_validation[[#This Row],[Employment]]</f>
        <v>Chính thức</v>
      </c>
      <c r="L126" t="str">
        <f>survey_responses[[#This Row],[Tình trạng việc làm chính:]]</f>
        <v>Khu vực chính thức (Có Hợp đồng lao động, đóng BHXH)</v>
      </c>
      <c r="M126">
        <f>step3_validation[[#This Row],[Income_Mil]]</f>
        <v>16.258747418004365</v>
      </c>
      <c r="N126" t="str">
        <f>survey_responses[[#This Row],[Thu nhập bình quân tháng theo Hợp đồng lao động của bạn là bao nhiêu? (Vui lòng điền tổng thu nhập trước khi khấu trừ các loại Bảo hiểm (BHXH, BHYT, BHTN) và Thuế TNCN)]]</f>
        <v>Từ 12 - 18 triệu VNĐ</v>
      </c>
      <c r="O126">
        <f>step3_validation[[#This Row],[Dependents]]</f>
        <v>2</v>
      </c>
      <c r="P126" t="str">
        <f>survey_responses[[#This Row],[Số người phụ thuộc (con nhỏ, cha mẹ già...) đủ điều kiện giảm trừ gia cảnh:]]</f>
        <v>2 người</v>
      </c>
      <c r="Q126">
        <f>step3_validation[[#This Row],[AI_ENF1]]</f>
        <v>6</v>
      </c>
      <c r="R126">
        <f t="shared" si="27"/>
        <v>0.55555555555555558</v>
      </c>
      <c r="S126">
        <f>survey_responses[[#This Row],[Tôi tin rằng với các quy định quản lý thuế hiện nay, hành vi gian lận hoặc trốn thuế sẽ dễ dàng bị phát hiện và xử lý nghiêm. - HUMAN-ENF1]]</f>
        <v>10</v>
      </c>
      <c r="T126">
        <f t="shared" si="28"/>
        <v>1</v>
      </c>
      <c r="U126">
        <f>step3_validation[[#This Row],[AI_ENF2]]</f>
        <v>5</v>
      </c>
      <c r="V126">
        <f t="shared" si="29"/>
        <v>0.44444444444444442</v>
      </c>
      <c r="W126">
        <f>survey_responses[[#This Row],[Tôi tin rằng Nhà nước, cơ quan thuế có đủ khả năng và công nghệ để phát hiện, xử lý nghiêm các hành vi trốn thuế. - HUMAN-ENF2]]</f>
        <v>10</v>
      </c>
      <c r="X126">
        <f t="shared" si="30"/>
        <v>1</v>
      </c>
      <c r="Y126" s="32">
        <f t="shared" si="31"/>
        <v>0.5</v>
      </c>
      <c r="Z126" s="32">
        <f t="shared" si="32"/>
        <v>1</v>
      </c>
      <c r="AA126">
        <f>step3_validation[[#This Row],[AI_FAC1]]</f>
        <v>9</v>
      </c>
      <c r="AB126">
        <f t="shared" si="33"/>
        <v>0.88888888888888884</v>
      </c>
      <c r="AC126">
        <f>survey_responses[[#This Row],[Các thủ tục khai báo thuế VÀ/HOẶC quy trình làm việc với cơ quan thuế đơn giản, tiện lợi, nhanh chóng hơn so với trước đây. - HUMAN-FAC1]]</f>
        <v>10</v>
      </c>
      <c r="AD126">
        <f t="shared" si="34"/>
        <v>1</v>
      </c>
      <c r="AE126">
        <f>step3_validation[[#This Row],[AI_FAC2]]</f>
        <v>8</v>
      </c>
      <c r="AF126">
        <f t="shared" si="35"/>
        <v>0.77777777777777779</v>
      </c>
      <c r="AG126">
        <f>survey_responses[[#This Row],[So với trước đây, tôi thấy cách tính thuế và các bậc thuế trong phương án mới đơn giản, dễ hiểu và dễ thực hiện hơn. - HUMAN-FAC2]]</f>
        <v>10</v>
      </c>
      <c r="AH126">
        <f t="shared" si="36"/>
        <v>1</v>
      </c>
      <c r="AI126" s="32">
        <f t="shared" si="37"/>
        <v>0.83333333333333326</v>
      </c>
      <c r="AJ126" s="32">
        <f t="shared" si="38"/>
        <v>1</v>
      </c>
      <c r="AK126">
        <f>step3_validation[[#This Row],[AI_TRU1]]</f>
        <v>9</v>
      </c>
      <c r="AL126">
        <f t="shared" si="39"/>
        <v>0.88888888888888884</v>
      </c>
      <c r="AM126">
        <f>survey_responses[[#This Row],[Tôi tin rằng Nhà nước, cơ quan thuế sẽ thực thi chính sách mới một cách khách quan, công tâm và đối xử bình đẳng với mọi người nộp thuế.  - HUMAN-TRU1]]</f>
        <v>10</v>
      </c>
      <c r="AN126">
        <f t="shared" si="40"/>
        <v>1</v>
      </c>
      <c r="AO126">
        <f>step3_validation[[#This Row],[AI_TRU2]]</f>
        <v>8</v>
      </c>
      <c r="AP126">
        <f t="shared" si="41"/>
        <v>0.77777777777777779</v>
      </c>
      <c r="AQ126">
        <f>survey_responses[[#This Row],[Tôi thấy mức thuế tôi phải đóng theo phương án mới là công bằng (người thu nhập như tôi đóng mức này là hợp lý). - HUMAN-TRU2]]</f>
        <v>10</v>
      </c>
      <c r="AR126">
        <f t="shared" si="42"/>
        <v>1</v>
      </c>
      <c r="AS126">
        <f>step3_validation[[#This Row],[AI_TRU3]]</f>
        <v>9</v>
      </c>
      <c r="AT126">
        <f t="shared" si="43"/>
        <v>0.88888888888888884</v>
      </c>
      <c r="AU126">
        <f>survey_responses[[#This Row],[Tôi tin tưởng số tiền thuế tôi đóng sẽ được Nhà nước sử dụng hiệu quả để cải thiện dịch vụ công (y tế, đường xá...). - HUMAN-TRU3]]</f>
        <v>10</v>
      </c>
      <c r="AV126">
        <f t="shared" si="44"/>
        <v>1</v>
      </c>
      <c r="AW126">
        <f>step3_validation[[#This Row],[AI_TRU4]]</f>
        <v>8</v>
      </c>
      <c r="AX126">
        <f t="shared" si="45"/>
        <v>0.77777777777777779</v>
      </c>
      <c r="AY126">
        <f>survey_responses[[#This Row],[Tôi thấy Nhà nước đã giải thích rõ ràng, minh bạch về lý do và mục tiêu của việc sửa đổi thuế lần này. - HUMAN-TRU4]]</f>
        <v>10</v>
      </c>
      <c r="AZ126">
        <f t="shared" si="46"/>
        <v>1</v>
      </c>
      <c r="BA126" s="32">
        <f t="shared" si="47"/>
        <v>0.83333333333333326</v>
      </c>
      <c r="BB126" s="32">
        <f t="shared" si="48"/>
        <v>1</v>
      </c>
      <c r="BC126" s="7">
        <f t="shared" si="49"/>
        <v>0.72222222222222221</v>
      </c>
      <c r="BD126" s="7">
        <f t="shared" si="50"/>
        <v>1</v>
      </c>
      <c r="BE126">
        <f>step3_validation[[#This Row],[AI_OUT1]]</f>
        <v>9</v>
      </c>
      <c r="BF126">
        <f t="shared" si="51"/>
        <v>0.88888888888888884</v>
      </c>
      <c r="BG126">
        <f>survey_responses[[#This Row],[Sau khi xem xét các quyền lợi và nghĩa vụ, bạn có ủng hộ và tuân thủ chính sách mới hiện nay? - HUMAN-OUT1]]</f>
        <v>10</v>
      </c>
      <c r="BH126">
        <f t="shared" si="52"/>
        <v>1</v>
      </c>
      <c r="BI126" s="32">
        <f t="shared" si="53"/>
        <v>1</v>
      </c>
    </row>
    <row r="127" spans="1:61" x14ac:dyDescent="0.45">
      <c r="A127" s="30">
        <f>step3_validation[[#This Row],[Persona_ID]]</f>
        <v>126</v>
      </c>
      <c r="B127" s="31">
        <f>step3_validation[[#This Row],[Used_Seed]]</f>
        <v>126</v>
      </c>
      <c r="C127" t="str">
        <f>step3_validation[[#This Row],[Gender]]</f>
        <v>Nam</v>
      </c>
      <c r="D127" t="str">
        <f>survey_responses[[#This Row],[Giới tính của bạn:]]</f>
        <v>Nam</v>
      </c>
      <c r="E127" t="str">
        <f>step3_validation[[#This Row],[Age_Group]]</f>
        <v>25 - 29</v>
      </c>
      <c r="F127" t="str">
        <f>survey_responses[[#This Row],[Độ tuổi của bạn:]]</f>
        <v>25 - 29</v>
      </c>
      <c r="G127" t="str">
        <f>step3_validation[[#This Row],[Region]]</f>
        <v>Thành thị</v>
      </c>
      <c r="H127" t="str">
        <f>survey_responses[[#This Row],[Khu vực bạn đang sinh sống:]]</f>
        <v>Thành thị</v>
      </c>
      <c r="I127" t="str">
        <f>step3_validation[[#This Row],[Education]]</f>
        <v>Đại học</v>
      </c>
      <c r="J127" t="str">
        <f>survey_responses[[#This Row],[Trình độ học vấn cao nhất:]]</f>
        <v>Đại học</v>
      </c>
      <c r="K127" t="str">
        <f>step3_validation[[#This Row],[Employment]]</f>
        <v>Chính thức</v>
      </c>
      <c r="L127" t="str">
        <f>survey_responses[[#This Row],[Tình trạng việc làm chính:]]</f>
        <v>Khu vực chính thức (Có Hợp đồng lao động, đóng BHXH)</v>
      </c>
      <c r="M127">
        <f>step3_validation[[#This Row],[Income_Mil]]</f>
        <v>23.049408607749275</v>
      </c>
      <c r="N127" t="str">
        <f>survey_responses[[#This Row],[Thu nhập bình quân tháng theo Hợp đồng lao động của bạn là bao nhiêu? (Vui lòng điền tổng thu nhập trước khi khấu trừ các loại Bảo hiểm (BHXH, BHYT, BHTN) và Thuế TNCN)]]</f>
        <v>Từ 23 - 32 triệu VNĐ</v>
      </c>
      <c r="O127">
        <f>step3_validation[[#This Row],[Dependents]]</f>
        <v>0</v>
      </c>
      <c r="P127" t="str">
        <f>survey_responses[[#This Row],[Số người phụ thuộc (con nhỏ, cha mẹ già...) đủ điều kiện giảm trừ gia cảnh:]]</f>
        <v>0 người</v>
      </c>
      <c r="Q127">
        <f>step3_validation[[#This Row],[AI_ENF1]]</f>
        <v>8</v>
      </c>
      <c r="R127">
        <f t="shared" si="27"/>
        <v>0.77777777777777779</v>
      </c>
      <c r="S127">
        <f>survey_responses[[#This Row],[Tôi tin rằng với các quy định quản lý thuế hiện nay, hành vi gian lận hoặc trốn thuế sẽ dễ dàng bị phát hiện và xử lý nghiêm. - HUMAN-ENF1]]</f>
        <v>8</v>
      </c>
      <c r="T127">
        <f t="shared" si="28"/>
        <v>0.77777777777777779</v>
      </c>
      <c r="U127">
        <f>step3_validation[[#This Row],[AI_ENF2]]</f>
        <v>9</v>
      </c>
      <c r="V127">
        <f t="shared" si="29"/>
        <v>0.88888888888888884</v>
      </c>
      <c r="W127">
        <f>survey_responses[[#This Row],[Tôi tin rằng Nhà nước, cơ quan thuế có đủ khả năng và công nghệ để phát hiện, xử lý nghiêm các hành vi trốn thuế. - HUMAN-ENF2]]</f>
        <v>8</v>
      </c>
      <c r="X127">
        <f t="shared" si="30"/>
        <v>0.77777777777777779</v>
      </c>
      <c r="Y127" s="32">
        <f t="shared" si="31"/>
        <v>0.83333333333333326</v>
      </c>
      <c r="Z127" s="32">
        <f t="shared" si="32"/>
        <v>0.77777777777777779</v>
      </c>
      <c r="AA127">
        <f>step3_validation[[#This Row],[AI_FAC1]]</f>
        <v>7</v>
      </c>
      <c r="AB127">
        <f t="shared" si="33"/>
        <v>0.66666666666666663</v>
      </c>
      <c r="AC127">
        <f>survey_responses[[#This Row],[Các thủ tục khai báo thuế VÀ/HOẶC quy trình làm việc với cơ quan thuế đơn giản, tiện lợi, nhanh chóng hơn so với trước đây. - HUMAN-FAC1]]</f>
        <v>5</v>
      </c>
      <c r="AD127">
        <f t="shared" si="34"/>
        <v>0.44444444444444442</v>
      </c>
      <c r="AE127">
        <f>step3_validation[[#This Row],[AI_FAC2]]</f>
        <v>9</v>
      </c>
      <c r="AF127">
        <f t="shared" si="35"/>
        <v>0.88888888888888884</v>
      </c>
      <c r="AG127">
        <f>survey_responses[[#This Row],[So với trước đây, tôi thấy cách tính thuế và các bậc thuế trong phương án mới đơn giản, dễ hiểu và dễ thực hiện hơn. - HUMAN-FAC2]]</f>
        <v>8</v>
      </c>
      <c r="AH127">
        <f t="shared" si="36"/>
        <v>0.77777777777777779</v>
      </c>
      <c r="AI127" s="32">
        <f t="shared" si="37"/>
        <v>0.77777777777777768</v>
      </c>
      <c r="AJ127" s="32">
        <f t="shared" si="38"/>
        <v>0.61111111111111116</v>
      </c>
      <c r="AK127">
        <f>step3_validation[[#This Row],[AI_TRU1]]</f>
        <v>7</v>
      </c>
      <c r="AL127">
        <f t="shared" si="39"/>
        <v>0.66666666666666663</v>
      </c>
      <c r="AM127">
        <f>survey_responses[[#This Row],[Tôi tin rằng Nhà nước, cơ quan thuế sẽ thực thi chính sách mới một cách khách quan, công tâm và đối xử bình đẳng với mọi người nộp thuế.  - HUMAN-TRU1]]</f>
        <v>8</v>
      </c>
      <c r="AN127">
        <f t="shared" si="40"/>
        <v>0.77777777777777779</v>
      </c>
      <c r="AO127">
        <f>step3_validation[[#This Row],[AI_TRU2]]</f>
        <v>8</v>
      </c>
      <c r="AP127">
        <f t="shared" si="41"/>
        <v>0.77777777777777779</v>
      </c>
      <c r="AQ127">
        <f>survey_responses[[#This Row],[Tôi thấy mức thuế tôi phải đóng theo phương án mới là công bằng (người thu nhập như tôi đóng mức này là hợp lý). - HUMAN-TRU2]]</f>
        <v>8</v>
      </c>
      <c r="AR127">
        <f t="shared" si="42"/>
        <v>0.77777777777777779</v>
      </c>
      <c r="AS127">
        <f>step3_validation[[#This Row],[AI_TRU3]]</f>
        <v>7</v>
      </c>
      <c r="AT127">
        <f t="shared" si="43"/>
        <v>0.66666666666666663</v>
      </c>
      <c r="AU127">
        <f>survey_responses[[#This Row],[Tôi tin tưởng số tiền thuế tôi đóng sẽ được Nhà nước sử dụng hiệu quả để cải thiện dịch vụ công (y tế, đường xá...). - HUMAN-TRU3]]</f>
        <v>7</v>
      </c>
      <c r="AV127">
        <f t="shared" si="44"/>
        <v>0.66666666666666663</v>
      </c>
      <c r="AW127">
        <f>step3_validation[[#This Row],[AI_TRU4]]</f>
        <v>8</v>
      </c>
      <c r="AX127">
        <f t="shared" si="45"/>
        <v>0.77777777777777779</v>
      </c>
      <c r="AY127">
        <f>survey_responses[[#This Row],[Tôi thấy Nhà nước đã giải thích rõ ràng, minh bạch về lý do và mục tiêu của việc sửa đổi thuế lần này. - HUMAN-TRU4]]</f>
        <v>7</v>
      </c>
      <c r="AZ127">
        <f t="shared" si="46"/>
        <v>0.66666666666666663</v>
      </c>
      <c r="BA127" s="32">
        <f t="shared" si="47"/>
        <v>0.72222222222222221</v>
      </c>
      <c r="BB127" s="32">
        <f t="shared" si="48"/>
        <v>0.72222222222222221</v>
      </c>
      <c r="BC127" s="7">
        <f t="shared" si="49"/>
        <v>0.77777777777777768</v>
      </c>
      <c r="BD127" s="7">
        <f t="shared" si="50"/>
        <v>0.70370370370370372</v>
      </c>
      <c r="BE127">
        <f>step3_validation[[#This Row],[AI_OUT1]]</f>
        <v>9</v>
      </c>
      <c r="BF127">
        <f t="shared" si="51"/>
        <v>0.88888888888888884</v>
      </c>
      <c r="BG127">
        <f>survey_responses[[#This Row],[Sau khi xem xét các quyền lợi và nghĩa vụ, bạn có ủng hộ và tuân thủ chính sách mới hiện nay? - HUMAN-OUT1]]</f>
        <v>8</v>
      </c>
      <c r="BH127">
        <f t="shared" si="52"/>
        <v>0.77777777777777779</v>
      </c>
      <c r="BI127" s="32">
        <f t="shared" si="53"/>
        <v>1</v>
      </c>
    </row>
    <row r="128" spans="1:61" x14ac:dyDescent="0.45">
      <c r="A128" s="30">
        <f>step3_validation[[#This Row],[Persona_ID]]</f>
        <v>127</v>
      </c>
      <c r="B128" s="31">
        <f>step3_validation[[#This Row],[Used_Seed]]</f>
        <v>127</v>
      </c>
      <c r="C128" t="str">
        <f>step3_validation[[#This Row],[Gender]]</f>
        <v>Nữ</v>
      </c>
      <c r="D128" t="str">
        <f>survey_responses[[#This Row],[Giới tính của bạn:]]</f>
        <v>Nữ</v>
      </c>
      <c r="E128" t="str">
        <f>step3_validation[[#This Row],[Age_Group]]</f>
        <v>40 - 49</v>
      </c>
      <c r="F128" t="str">
        <f>survey_responses[[#This Row],[Độ tuổi của bạn:]]</f>
        <v>40 - 49</v>
      </c>
      <c r="G128" t="str">
        <f>step3_validation[[#This Row],[Region]]</f>
        <v>Thành thị</v>
      </c>
      <c r="H128" t="str">
        <f>survey_responses[[#This Row],[Khu vực bạn đang sinh sống:]]</f>
        <v>Thành thị</v>
      </c>
      <c r="I128" t="str">
        <f>step3_validation[[#This Row],[Education]]</f>
        <v>Đại học</v>
      </c>
      <c r="J128" t="str">
        <f>survey_responses[[#This Row],[Trình độ học vấn cao nhất:]]</f>
        <v>Đại học</v>
      </c>
      <c r="K128" t="str">
        <f>step3_validation[[#This Row],[Employment]]</f>
        <v>Chính thức</v>
      </c>
      <c r="L128" t="str">
        <f>survey_responses[[#This Row],[Tình trạng việc làm chính:]]</f>
        <v>Khu vực chính thức (Có Hợp đồng lao động, đóng BHXH)</v>
      </c>
      <c r="M128">
        <f>step3_validation[[#This Row],[Income_Mil]]</f>
        <v>111.24505202453923</v>
      </c>
      <c r="N128" t="str">
        <f>survey_responses[[#This Row],[Thu nhập bình quân tháng theo Hợp đồng lao động của bạn là bao nhiêu? (Vui lòng điền tổng thu nhập trước khi khấu trừ các loại Bảo hiểm (BHXH, BHYT, BHTN) và Thuế TNCN)]]</f>
        <v>Trên 102 triệu VNĐ</v>
      </c>
      <c r="O128">
        <f>step3_validation[[#This Row],[Dependents]]</f>
        <v>4</v>
      </c>
      <c r="P128" t="str">
        <f>survey_responses[[#This Row],[Số người phụ thuộc (con nhỏ, cha mẹ già...) đủ điều kiện giảm trừ gia cảnh:]]</f>
        <v>4 người trở lên</v>
      </c>
      <c r="Q128">
        <f>step3_validation[[#This Row],[AI_ENF1]]</f>
        <v>6</v>
      </c>
      <c r="R128">
        <f t="shared" si="27"/>
        <v>0.55555555555555558</v>
      </c>
      <c r="S128">
        <f>survey_responses[[#This Row],[Tôi tin rằng với các quy định quản lý thuế hiện nay, hành vi gian lận hoặc trốn thuế sẽ dễ dàng bị phát hiện và xử lý nghiêm. - HUMAN-ENF1]]</f>
        <v>1</v>
      </c>
      <c r="T128">
        <f t="shared" si="28"/>
        <v>0</v>
      </c>
      <c r="U128">
        <f>step3_validation[[#This Row],[AI_ENF2]]</f>
        <v>7</v>
      </c>
      <c r="V128">
        <f t="shared" si="29"/>
        <v>0.66666666666666663</v>
      </c>
      <c r="W128">
        <f>survey_responses[[#This Row],[Tôi tin rằng Nhà nước, cơ quan thuế có đủ khả năng và công nghệ để phát hiện, xử lý nghiêm các hành vi trốn thuế. - HUMAN-ENF2]]</f>
        <v>1</v>
      </c>
      <c r="X128">
        <f t="shared" si="30"/>
        <v>0</v>
      </c>
      <c r="Y128" s="32">
        <f t="shared" si="31"/>
        <v>0.61111111111111116</v>
      </c>
      <c r="Z128" s="32">
        <f t="shared" si="32"/>
        <v>0</v>
      </c>
      <c r="AA128">
        <f>step3_validation[[#This Row],[AI_FAC1]]</f>
        <v>8</v>
      </c>
      <c r="AB128">
        <f t="shared" si="33"/>
        <v>0.77777777777777779</v>
      </c>
      <c r="AC128">
        <f>survey_responses[[#This Row],[Các thủ tục khai báo thuế VÀ/HOẶC quy trình làm việc với cơ quan thuế đơn giản, tiện lợi, nhanh chóng hơn so với trước đây. - HUMAN-FAC1]]</f>
        <v>1</v>
      </c>
      <c r="AD128">
        <f t="shared" si="34"/>
        <v>0</v>
      </c>
      <c r="AE128">
        <f>step3_validation[[#This Row],[AI_FAC2]]</f>
        <v>9</v>
      </c>
      <c r="AF128">
        <f t="shared" si="35"/>
        <v>0.88888888888888884</v>
      </c>
      <c r="AG128">
        <f>survey_responses[[#This Row],[So với trước đây, tôi thấy cách tính thuế và các bậc thuế trong phương án mới đơn giản, dễ hiểu và dễ thực hiện hơn. - HUMAN-FAC2]]</f>
        <v>5</v>
      </c>
      <c r="AH128">
        <f t="shared" si="36"/>
        <v>0.44444444444444442</v>
      </c>
      <c r="AI128" s="32">
        <f t="shared" si="37"/>
        <v>0.83333333333333326</v>
      </c>
      <c r="AJ128" s="32">
        <f t="shared" si="38"/>
        <v>0.22222222222222221</v>
      </c>
      <c r="AK128">
        <f>step3_validation[[#This Row],[AI_TRU1]]</f>
        <v>8</v>
      </c>
      <c r="AL128">
        <f t="shared" si="39"/>
        <v>0.77777777777777779</v>
      </c>
      <c r="AM128">
        <f>survey_responses[[#This Row],[Tôi tin rằng Nhà nước, cơ quan thuế sẽ thực thi chính sách mới một cách khách quan, công tâm và đối xử bình đẳng với mọi người nộp thuế.  - HUMAN-TRU1]]</f>
        <v>1</v>
      </c>
      <c r="AN128">
        <f t="shared" si="40"/>
        <v>0</v>
      </c>
      <c r="AO128">
        <f>step3_validation[[#This Row],[AI_TRU2]]</f>
        <v>9</v>
      </c>
      <c r="AP128">
        <f t="shared" si="41"/>
        <v>0.88888888888888884</v>
      </c>
      <c r="AQ128">
        <f>survey_responses[[#This Row],[Tôi thấy mức thuế tôi phải đóng theo phương án mới là công bằng (người thu nhập như tôi đóng mức này là hợp lý). - HUMAN-TRU2]]</f>
        <v>1</v>
      </c>
      <c r="AR128">
        <f t="shared" si="42"/>
        <v>0</v>
      </c>
      <c r="AS128">
        <f>step3_validation[[#This Row],[AI_TRU3]]</f>
        <v>8</v>
      </c>
      <c r="AT128">
        <f t="shared" si="43"/>
        <v>0.77777777777777779</v>
      </c>
      <c r="AU128">
        <f>survey_responses[[#This Row],[Tôi tin tưởng số tiền thuế tôi đóng sẽ được Nhà nước sử dụng hiệu quả để cải thiện dịch vụ công (y tế, đường xá...). - HUMAN-TRU3]]</f>
        <v>1</v>
      </c>
      <c r="AV128">
        <f t="shared" si="44"/>
        <v>0</v>
      </c>
      <c r="AW128">
        <f>step3_validation[[#This Row],[AI_TRU4]]</f>
        <v>7</v>
      </c>
      <c r="AX128">
        <f t="shared" si="45"/>
        <v>0.66666666666666663</v>
      </c>
      <c r="AY128">
        <f>survey_responses[[#This Row],[Tôi thấy Nhà nước đã giải thích rõ ràng, minh bạch về lý do và mục tiêu của việc sửa đổi thuế lần này. - HUMAN-TRU4]]</f>
        <v>5</v>
      </c>
      <c r="AZ128">
        <f t="shared" si="46"/>
        <v>0.44444444444444442</v>
      </c>
      <c r="BA128" s="32">
        <f t="shared" si="47"/>
        <v>0.77777777777777768</v>
      </c>
      <c r="BB128" s="32">
        <f t="shared" si="48"/>
        <v>0.1111111111111111</v>
      </c>
      <c r="BC128" s="7">
        <f t="shared" si="49"/>
        <v>0.74074074074074081</v>
      </c>
      <c r="BD128" s="7">
        <f t="shared" si="50"/>
        <v>0.1111111111111111</v>
      </c>
      <c r="BE128">
        <f>step3_validation[[#This Row],[AI_OUT1]]</f>
        <v>9</v>
      </c>
      <c r="BF128">
        <f t="shared" si="51"/>
        <v>0.88888888888888884</v>
      </c>
      <c r="BG128">
        <f>survey_responses[[#This Row],[Sau khi xem xét các quyền lợi và nghĩa vụ, bạn có ủng hộ và tuân thủ chính sách mới hiện nay? - HUMAN-OUT1]]</f>
        <v>5</v>
      </c>
      <c r="BH128">
        <f t="shared" si="52"/>
        <v>0.44444444444444442</v>
      </c>
      <c r="BI128" s="32">
        <f t="shared" si="53"/>
        <v>4</v>
      </c>
    </row>
    <row r="129" spans="1:61" x14ac:dyDescent="0.45">
      <c r="A129" s="30">
        <f>step3_validation[[#This Row],[Persona_ID]]</f>
        <v>128</v>
      </c>
      <c r="B129" s="31">
        <f>step3_validation[[#This Row],[Used_Seed]]</f>
        <v>128</v>
      </c>
      <c r="C129" t="str">
        <f>step3_validation[[#This Row],[Gender]]</f>
        <v>Nam</v>
      </c>
      <c r="D129" t="str">
        <f>survey_responses[[#This Row],[Giới tính của bạn:]]</f>
        <v>Nam</v>
      </c>
      <c r="E129" t="str">
        <f>step3_validation[[#This Row],[Age_Group]]</f>
        <v>50 - 54</v>
      </c>
      <c r="F129" t="str">
        <f>survey_responses[[#This Row],[Độ tuổi của bạn:]]</f>
        <v>50 - 54</v>
      </c>
      <c r="G129" t="str">
        <f>step3_validation[[#This Row],[Region]]</f>
        <v>Thành thị</v>
      </c>
      <c r="H129" t="str">
        <f>survey_responses[[#This Row],[Khu vực bạn đang sinh sống:]]</f>
        <v>Thành thị</v>
      </c>
      <c r="I129" t="str">
        <f>step3_validation[[#This Row],[Education]]</f>
        <v>Đại học</v>
      </c>
      <c r="J129" t="str">
        <f>survey_responses[[#This Row],[Trình độ học vấn cao nhất:]]</f>
        <v>Đại học</v>
      </c>
      <c r="K129" t="str">
        <f>step3_validation[[#This Row],[Employment]]</f>
        <v>Chính thức</v>
      </c>
      <c r="L129" t="str">
        <f>survey_responses[[#This Row],[Tình trạng việc làm chính:]]</f>
        <v>Khu vực chính thức (Có Hợp đồng lao động, đóng BHXH)</v>
      </c>
      <c r="M129">
        <f>step3_validation[[#This Row],[Income_Mil]]</f>
        <v>199.55853653816797</v>
      </c>
      <c r="N129" t="str">
        <f>survey_responses[[#This Row],[Thu nhập bình quân tháng theo Hợp đồng lao động của bạn là bao nhiêu? (Vui lòng điền tổng thu nhập trước khi khấu trừ các loại Bảo hiểm (BHXH, BHYT, BHTN) và Thuế TNCN)]]</f>
        <v>Trên 102 triệu VNĐ</v>
      </c>
      <c r="O129">
        <f>step3_validation[[#This Row],[Dependents]]</f>
        <v>4</v>
      </c>
      <c r="P129" t="str">
        <f>survey_responses[[#This Row],[Số người phụ thuộc (con nhỏ, cha mẹ già...) đủ điều kiện giảm trừ gia cảnh:]]</f>
        <v>4 người trở lên</v>
      </c>
      <c r="Q129">
        <f>step3_validation[[#This Row],[AI_ENF1]]</f>
        <v>8</v>
      </c>
      <c r="R129">
        <f t="shared" si="27"/>
        <v>0.77777777777777779</v>
      </c>
      <c r="S129">
        <f>survey_responses[[#This Row],[Tôi tin rằng với các quy định quản lý thuế hiện nay, hành vi gian lận hoặc trốn thuế sẽ dễ dàng bị phát hiện và xử lý nghiêm. - HUMAN-ENF1]]</f>
        <v>6</v>
      </c>
      <c r="T129">
        <f t="shared" si="28"/>
        <v>0.55555555555555558</v>
      </c>
      <c r="U129">
        <f>step3_validation[[#This Row],[AI_ENF2]]</f>
        <v>9</v>
      </c>
      <c r="V129">
        <f t="shared" si="29"/>
        <v>0.88888888888888884</v>
      </c>
      <c r="W129">
        <f>survey_responses[[#This Row],[Tôi tin rằng Nhà nước, cơ quan thuế có đủ khả năng và công nghệ để phát hiện, xử lý nghiêm các hành vi trốn thuế. - HUMAN-ENF2]]</f>
        <v>6</v>
      </c>
      <c r="X129">
        <f t="shared" si="30"/>
        <v>0.55555555555555558</v>
      </c>
      <c r="Y129" s="32">
        <f t="shared" si="31"/>
        <v>0.83333333333333326</v>
      </c>
      <c r="Z129" s="32">
        <f t="shared" si="32"/>
        <v>0.55555555555555558</v>
      </c>
      <c r="AA129">
        <f>step3_validation[[#This Row],[AI_FAC1]]</f>
        <v>8</v>
      </c>
      <c r="AB129">
        <f t="shared" si="33"/>
        <v>0.77777777777777779</v>
      </c>
      <c r="AC129">
        <f>survey_responses[[#This Row],[Các thủ tục khai báo thuế VÀ/HOẶC quy trình làm việc với cơ quan thuế đơn giản, tiện lợi, nhanh chóng hơn so với trước đây. - HUMAN-FAC1]]</f>
        <v>6</v>
      </c>
      <c r="AD129">
        <f t="shared" si="34"/>
        <v>0.55555555555555558</v>
      </c>
      <c r="AE129">
        <f>step3_validation[[#This Row],[AI_FAC2]]</f>
        <v>9</v>
      </c>
      <c r="AF129">
        <f t="shared" si="35"/>
        <v>0.88888888888888884</v>
      </c>
      <c r="AG129">
        <f>survey_responses[[#This Row],[So với trước đây, tôi thấy cách tính thuế và các bậc thuế trong phương án mới đơn giản, dễ hiểu và dễ thực hiện hơn. - HUMAN-FAC2]]</f>
        <v>8</v>
      </c>
      <c r="AH129">
        <f t="shared" si="36"/>
        <v>0.77777777777777779</v>
      </c>
      <c r="AI129" s="32">
        <f t="shared" si="37"/>
        <v>0.83333333333333326</v>
      </c>
      <c r="AJ129" s="32">
        <f t="shared" si="38"/>
        <v>0.66666666666666674</v>
      </c>
      <c r="AK129">
        <f>step3_validation[[#This Row],[AI_TRU1]]</f>
        <v>8</v>
      </c>
      <c r="AL129">
        <f t="shared" si="39"/>
        <v>0.77777777777777779</v>
      </c>
      <c r="AM129">
        <f>survey_responses[[#This Row],[Tôi tin rằng Nhà nước, cơ quan thuế sẽ thực thi chính sách mới một cách khách quan, công tâm và đối xử bình đẳng với mọi người nộp thuế.  - HUMAN-TRU1]]</f>
        <v>6</v>
      </c>
      <c r="AN129">
        <f t="shared" si="40"/>
        <v>0.55555555555555558</v>
      </c>
      <c r="AO129">
        <f>step3_validation[[#This Row],[AI_TRU2]]</f>
        <v>9</v>
      </c>
      <c r="AP129">
        <f t="shared" si="41"/>
        <v>0.88888888888888884</v>
      </c>
      <c r="AQ129">
        <f>survey_responses[[#This Row],[Tôi thấy mức thuế tôi phải đóng theo phương án mới là công bằng (người thu nhập như tôi đóng mức này là hợp lý). - HUMAN-TRU2]]</f>
        <v>3</v>
      </c>
      <c r="AR129">
        <f t="shared" si="42"/>
        <v>0.22222222222222221</v>
      </c>
      <c r="AS129">
        <f>step3_validation[[#This Row],[AI_TRU3]]</f>
        <v>8</v>
      </c>
      <c r="AT129">
        <f t="shared" si="43"/>
        <v>0.77777777777777779</v>
      </c>
      <c r="AU129">
        <f>survey_responses[[#This Row],[Tôi tin tưởng số tiền thuế tôi đóng sẽ được Nhà nước sử dụng hiệu quả để cải thiện dịch vụ công (y tế, đường xá...). - HUMAN-TRU3]]</f>
        <v>5</v>
      </c>
      <c r="AV129">
        <f t="shared" si="44"/>
        <v>0.44444444444444442</v>
      </c>
      <c r="AW129">
        <f>step3_validation[[#This Row],[AI_TRU4]]</f>
        <v>9</v>
      </c>
      <c r="AX129">
        <f t="shared" si="45"/>
        <v>0.88888888888888884</v>
      </c>
      <c r="AY129">
        <f>survey_responses[[#This Row],[Tôi thấy Nhà nước đã giải thích rõ ràng, minh bạch về lý do và mục tiêu của việc sửa đổi thuế lần này. - HUMAN-TRU4]]</f>
        <v>5</v>
      </c>
      <c r="AZ129">
        <f t="shared" si="46"/>
        <v>0.44444444444444442</v>
      </c>
      <c r="BA129" s="32">
        <f t="shared" si="47"/>
        <v>0.83333333333333326</v>
      </c>
      <c r="BB129" s="32">
        <f t="shared" si="48"/>
        <v>0.41666666666666669</v>
      </c>
      <c r="BC129" s="7">
        <f t="shared" si="49"/>
        <v>0.83333333333333337</v>
      </c>
      <c r="BD129" s="7">
        <f t="shared" si="50"/>
        <v>0.54629629629629639</v>
      </c>
      <c r="BE129">
        <f>step3_validation[[#This Row],[AI_OUT1]]</f>
        <v>8</v>
      </c>
      <c r="BF129">
        <f t="shared" si="51"/>
        <v>0.77777777777777779</v>
      </c>
      <c r="BG129">
        <f>survey_responses[[#This Row],[Sau khi xem xét các quyền lợi và nghĩa vụ, bạn có ủng hộ và tuân thủ chính sách mới hiện nay? - HUMAN-OUT1]]</f>
        <v>4</v>
      </c>
      <c r="BH129">
        <f t="shared" si="52"/>
        <v>0.33333333333333331</v>
      </c>
      <c r="BI129" s="32">
        <f t="shared" si="53"/>
        <v>4</v>
      </c>
    </row>
    <row r="130" spans="1:61" x14ac:dyDescent="0.45">
      <c r="A130" s="30">
        <f>step3_validation[[#This Row],[Persona_ID]]</f>
        <v>129</v>
      </c>
      <c r="B130" s="31">
        <f>step3_validation[[#This Row],[Used_Seed]]</f>
        <v>129</v>
      </c>
      <c r="C130" t="str">
        <f>step3_validation[[#This Row],[Gender]]</f>
        <v>Nam</v>
      </c>
      <c r="D130" t="str">
        <f>survey_responses[[#This Row],[Giới tính của bạn:]]</f>
        <v>Nam</v>
      </c>
      <c r="E130" t="str">
        <f>step3_validation[[#This Row],[Age_Group]]</f>
        <v>50 - 54</v>
      </c>
      <c r="F130" t="str">
        <f>survey_responses[[#This Row],[Độ tuổi của bạn:]]</f>
        <v>50 - 54</v>
      </c>
      <c r="G130" t="str">
        <f>step3_validation[[#This Row],[Region]]</f>
        <v>Thành thị</v>
      </c>
      <c r="H130" t="str">
        <f>survey_responses[[#This Row],[Khu vực bạn đang sinh sống:]]</f>
        <v>Thành thị</v>
      </c>
      <c r="I130" t="str">
        <f>step3_validation[[#This Row],[Education]]</f>
        <v>Sau Đại học</v>
      </c>
      <c r="J130" t="str">
        <f>survey_responses[[#This Row],[Trình độ học vấn cao nhất:]]</f>
        <v>Sau Đại học</v>
      </c>
      <c r="K130" t="str">
        <f>step3_validation[[#This Row],[Employment]]</f>
        <v>Chính thức</v>
      </c>
      <c r="L130" t="str">
        <f>survey_responses[[#This Row],[Tình trạng việc làm chính:]]</f>
        <v>Khu vực chính thức (Có Hợp đồng lao động, đóng BHXH)</v>
      </c>
      <c r="M130">
        <f>step3_validation[[#This Row],[Income_Mil]]</f>
        <v>158.8788230386815</v>
      </c>
      <c r="N130" t="str">
        <f>survey_responses[[#This Row],[Thu nhập bình quân tháng theo Hợp đồng lao động của bạn là bao nhiêu? (Vui lòng điền tổng thu nhập trước khi khấu trừ các loại Bảo hiểm (BHXH, BHYT, BHTN) và Thuế TNCN)]]</f>
        <v>Trên 102 triệu VNĐ</v>
      </c>
      <c r="O130">
        <f>step3_validation[[#This Row],[Dependents]]</f>
        <v>3</v>
      </c>
      <c r="P130" t="str">
        <f>survey_responses[[#This Row],[Số người phụ thuộc (con nhỏ, cha mẹ già...) đủ điều kiện giảm trừ gia cảnh:]]</f>
        <v>3 người</v>
      </c>
      <c r="Q130">
        <f>step3_validation[[#This Row],[AI_ENF1]]</f>
        <v>6</v>
      </c>
      <c r="R130">
        <f t="shared" si="27"/>
        <v>0.55555555555555558</v>
      </c>
      <c r="S130">
        <f>survey_responses[[#This Row],[Tôi tin rằng với các quy định quản lý thuế hiện nay, hành vi gian lận hoặc trốn thuế sẽ dễ dàng bị phát hiện và xử lý nghiêm. - HUMAN-ENF1]]</f>
        <v>6</v>
      </c>
      <c r="T130">
        <f t="shared" si="28"/>
        <v>0.55555555555555558</v>
      </c>
      <c r="U130">
        <f>step3_validation[[#This Row],[AI_ENF2]]</f>
        <v>7</v>
      </c>
      <c r="V130">
        <f t="shared" si="29"/>
        <v>0.66666666666666663</v>
      </c>
      <c r="W130">
        <f>survey_responses[[#This Row],[Tôi tin rằng Nhà nước, cơ quan thuế có đủ khả năng và công nghệ để phát hiện, xử lý nghiêm các hành vi trốn thuế. - HUMAN-ENF2]]</f>
        <v>6</v>
      </c>
      <c r="X130">
        <f t="shared" si="30"/>
        <v>0.55555555555555558</v>
      </c>
      <c r="Y130" s="32">
        <f t="shared" si="31"/>
        <v>0.61111111111111116</v>
      </c>
      <c r="Z130" s="32">
        <f t="shared" si="32"/>
        <v>0.55555555555555558</v>
      </c>
      <c r="AA130">
        <f>step3_validation[[#This Row],[AI_FAC1]]</f>
        <v>8</v>
      </c>
      <c r="AB130">
        <f t="shared" si="33"/>
        <v>0.77777777777777779</v>
      </c>
      <c r="AC130">
        <f>survey_responses[[#This Row],[Các thủ tục khai báo thuế VÀ/HOẶC quy trình làm việc với cơ quan thuế đơn giản, tiện lợi, nhanh chóng hơn so với trước đây. - HUMAN-FAC1]]</f>
        <v>4</v>
      </c>
      <c r="AD130">
        <f t="shared" si="34"/>
        <v>0.33333333333333331</v>
      </c>
      <c r="AE130">
        <f>step3_validation[[#This Row],[AI_FAC2]]</f>
        <v>9</v>
      </c>
      <c r="AF130">
        <f t="shared" si="35"/>
        <v>0.88888888888888884</v>
      </c>
      <c r="AG130">
        <f>survey_responses[[#This Row],[So với trước đây, tôi thấy cách tính thuế và các bậc thuế trong phương án mới đơn giản, dễ hiểu và dễ thực hiện hơn. - HUMAN-FAC2]]</f>
        <v>5</v>
      </c>
      <c r="AH130">
        <f t="shared" si="36"/>
        <v>0.44444444444444442</v>
      </c>
      <c r="AI130" s="32">
        <f t="shared" si="37"/>
        <v>0.83333333333333326</v>
      </c>
      <c r="AJ130" s="32">
        <f t="shared" si="38"/>
        <v>0.38888888888888884</v>
      </c>
      <c r="AK130">
        <f>step3_validation[[#This Row],[AI_TRU1]]</f>
        <v>7</v>
      </c>
      <c r="AL130">
        <f t="shared" si="39"/>
        <v>0.66666666666666663</v>
      </c>
      <c r="AM130">
        <f>survey_responses[[#This Row],[Tôi tin rằng Nhà nước, cơ quan thuế sẽ thực thi chính sách mới một cách khách quan, công tâm và đối xử bình đẳng với mọi người nộp thuế.  - HUMAN-TRU1]]</f>
        <v>5</v>
      </c>
      <c r="AN130">
        <f t="shared" si="40"/>
        <v>0.44444444444444442</v>
      </c>
      <c r="AO130">
        <f>step3_validation[[#This Row],[AI_TRU2]]</f>
        <v>9</v>
      </c>
      <c r="AP130">
        <f t="shared" si="41"/>
        <v>0.88888888888888884</v>
      </c>
      <c r="AQ130">
        <f>survey_responses[[#This Row],[Tôi thấy mức thuế tôi phải đóng theo phương án mới là công bằng (người thu nhập như tôi đóng mức này là hợp lý). - HUMAN-TRU2]]</f>
        <v>1</v>
      </c>
      <c r="AR130">
        <f t="shared" si="42"/>
        <v>0</v>
      </c>
      <c r="AS130">
        <f>step3_validation[[#This Row],[AI_TRU3]]</f>
        <v>8</v>
      </c>
      <c r="AT130">
        <f t="shared" si="43"/>
        <v>0.77777777777777779</v>
      </c>
      <c r="AU130">
        <f>survey_responses[[#This Row],[Tôi tin tưởng số tiền thuế tôi đóng sẽ được Nhà nước sử dụng hiệu quả để cải thiện dịch vụ công (y tế, đường xá...). - HUMAN-TRU3]]</f>
        <v>5</v>
      </c>
      <c r="AV130">
        <f t="shared" si="44"/>
        <v>0.44444444444444442</v>
      </c>
      <c r="AW130">
        <f>step3_validation[[#This Row],[AI_TRU4]]</f>
        <v>6</v>
      </c>
      <c r="AX130">
        <f t="shared" si="45"/>
        <v>0.55555555555555558</v>
      </c>
      <c r="AY130">
        <f>survey_responses[[#This Row],[Tôi thấy Nhà nước đã giải thích rõ ràng, minh bạch về lý do và mục tiêu của việc sửa đổi thuế lần này. - HUMAN-TRU4]]</f>
        <v>4</v>
      </c>
      <c r="AZ130">
        <f t="shared" si="46"/>
        <v>0.33333333333333331</v>
      </c>
      <c r="BA130" s="32">
        <f t="shared" si="47"/>
        <v>0.7222222222222221</v>
      </c>
      <c r="BB130" s="32">
        <f t="shared" si="48"/>
        <v>0.30555555555555552</v>
      </c>
      <c r="BC130" s="7">
        <f t="shared" si="49"/>
        <v>0.72222222222222221</v>
      </c>
      <c r="BD130" s="7">
        <f t="shared" si="50"/>
        <v>0.41666666666666669</v>
      </c>
      <c r="BE130">
        <f>step3_validation[[#This Row],[AI_OUT1]]</f>
        <v>9</v>
      </c>
      <c r="BF130">
        <f t="shared" si="51"/>
        <v>0.88888888888888884</v>
      </c>
      <c r="BG130">
        <f>survey_responses[[#This Row],[Sau khi xem xét các quyền lợi và nghĩa vụ, bạn có ủng hộ và tuân thủ chính sách mới hiện nay? - HUMAN-OUT1]]</f>
        <v>5</v>
      </c>
      <c r="BH130">
        <f t="shared" si="52"/>
        <v>0.44444444444444442</v>
      </c>
      <c r="BI130" s="32">
        <f t="shared" si="53"/>
        <v>4</v>
      </c>
    </row>
    <row r="131" spans="1:61" x14ac:dyDescent="0.45">
      <c r="A131" s="30">
        <f>step3_validation[[#This Row],[Persona_ID]]</f>
        <v>130</v>
      </c>
      <c r="B131" s="31">
        <f>step3_validation[[#This Row],[Used_Seed]]</f>
        <v>130</v>
      </c>
      <c r="C131" t="str">
        <f>step3_validation[[#This Row],[Gender]]</f>
        <v>Nữ</v>
      </c>
      <c r="D131" t="str">
        <f>survey_responses[[#This Row],[Giới tính của bạn:]]</f>
        <v>Nữ</v>
      </c>
      <c r="E131" t="str">
        <f>step3_validation[[#This Row],[Age_Group]]</f>
        <v>55 - 64</v>
      </c>
      <c r="F131" t="str">
        <f>survey_responses[[#This Row],[Độ tuổi của bạn:]]</f>
        <v>55 - 64</v>
      </c>
      <c r="G131" t="str">
        <f>step3_validation[[#This Row],[Region]]</f>
        <v>Thành thị</v>
      </c>
      <c r="H131" t="str">
        <f>survey_responses[[#This Row],[Khu vực bạn đang sinh sống:]]</f>
        <v>Thành thị</v>
      </c>
      <c r="I131" t="str">
        <f>step3_validation[[#This Row],[Education]]</f>
        <v>Sau Đại học</v>
      </c>
      <c r="J131" t="str">
        <f>survey_responses[[#This Row],[Trình độ học vấn cao nhất:]]</f>
        <v>Sau Đại học</v>
      </c>
      <c r="K131" t="str">
        <f>step3_validation[[#This Row],[Employment]]</f>
        <v>Chính thức</v>
      </c>
      <c r="L131" t="str">
        <f>survey_responses[[#This Row],[Tình trạng việc làm chính:]]</f>
        <v>Khu vực chính thức (Có Hợp đồng lao động, đóng BHXH)</v>
      </c>
      <c r="M131">
        <f>step3_validation[[#This Row],[Income_Mil]]</f>
        <v>84.05169228312495</v>
      </c>
      <c r="N131" t="str">
        <f>survey_responses[[#This Row],[Thu nhập bình quân tháng theo Hợp đồng lao động của bạn là bao nhiêu? (Vui lòng điền tổng thu nhập trước khi khấu trừ các loại Bảo hiểm (BHXH, BHYT, BHTN) và Thuế TNCN)]]</f>
        <v>Từ 70 - 102 triệu VNĐ</v>
      </c>
      <c r="O131">
        <f>step3_validation[[#This Row],[Dependents]]</f>
        <v>2</v>
      </c>
      <c r="P131" t="str">
        <f>survey_responses[[#This Row],[Số người phụ thuộc (con nhỏ, cha mẹ già...) đủ điều kiện giảm trừ gia cảnh:]]</f>
        <v>2 người</v>
      </c>
      <c r="Q131">
        <f>step3_validation[[#This Row],[AI_ENF1]]</f>
        <v>9</v>
      </c>
      <c r="R131">
        <f t="shared" ref="R131:R194" si="54">(Q131-1)/9</f>
        <v>0.88888888888888884</v>
      </c>
      <c r="S131">
        <f>survey_responses[[#This Row],[Tôi tin rằng với các quy định quản lý thuế hiện nay, hành vi gian lận hoặc trốn thuế sẽ dễ dàng bị phát hiện và xử lý nghiêm. - HUMAN-ENF1]]</f>
        <v>5</v>
      </c>
      <c r="T131">
        <f t="shared" ref="T131:T194" si="55">(S131-1)/9</f>
        <v>0.44444444444444442</v>
      </c>
      <c r="U131">
        <f>step3_validation[[#This Row],[AI_ENF2]]</f>
        <v>8</v>
      </c>
      <c r="V131">
        <f t="shared" ref="V131:V194" si="56">(U131-1)/9</f>
        <v>0.77777777777777779</v>
      </c>
      <c r="W131">
        <f>survey_responses[[#This Row],[Tôi tin rằng Nhà nước, cơ quan thuế có đủ khả năng và công nghệ để phát hiện, xử lý nghiêm các hành vi trốn thuế. - HUMAN-ENF2]]</f>
        <v>5</v>
      </c>
      <c r="X131">
        <f t="shared" ref="X131:X194" si="57">(W131-1)/9</f>
        <v>0.44444444444444442</v>
      </c>
      <c r="Y131" s="32">
        <f t="shared" ref="Y131:Y194" si="58">AVERAGE(R131,V131)</f>
        <v>0.83333333333333326</v>
      </c>
      <c r="Z131" s="32">
        <f t="shared" ref="Z131:Z194" si="59">AVERAGE(T131,X131)</f>
        <v>0.44444444444444442</v>
      </c>
      <c r="AA131">
        <f>step3_validation[[#This Row],[AI_FAC1]]</f>
        <v>9</v>
      </c>
      <c r="AB131">
        <f t="shared" ref="AB131:AB194" si="60">(AA131-1)/9</f>
        <v>0.88888888888888884</v>
      </c>
      <c r="AC131">
        <f>survey_responses[[#This Row],[Các thủ tục khai báo thuế VÀ/HOẶC quy trình làm việc với cơ quan thuế đơn giản, tiện lợi, nhanh chóng hơn so với trước đây. - HUMAN-FAC1]]</f>
        <v>1</v>
      </c>
      <c r="AD131">
        <f t="shared" ref="AD131:AD194" si="61">(AC131-1)/9</f>
        <v>0</v>
      </c>
      <c r="AE131">
        <f>step3_validation[[#This Row],[AI_FAC2]]</f>
        <v>10</v>
      </c>
      <c r="AF131">
        <f t="shared" ref="AF131:AF194" si="62">(AE131-1)/9</f>
        <v>1</v>
      </c>
      <c r="AG131">
        <f>survey_responses[[#This Row],[So với trước đây, tôi thấy cách tính thuế và các bậc thuế trong phương án mới đơn giản, dễ hiểu và dễ thực hiện hơn. - HUMAN-FAC2]]</f>
        <v>4</v>
      </c>
      <c r="AH131">
        <f t="shared" ref="AH131:AH194" si="63">(AG131-1)/9</f>
        <v>0.33333333333333331</v>
      </c>
      <c r="AI131" s="32">
        <f t="shared" ref="AI131:AI194" si="64">AVERAGE(AB131,AF131)</f>
        <v>0.94444444444444442</v>
      </c>
      <c r="AJ131" s="32">
        <f t="shared" ref="AJ131:AJ194" si="65">AVERAGE(AD131,AH131)</f>
        <v>0.16666666666666666</v>
      </c>
      <c r="AK131">
        <f>step3_validation[[#This Row],[AI_TRU1]]</f>
        <v>8</v>
      </c>
      <c r="AL131">
        <f t="shared" ref="AL131:AL194" si="66">(AK131-1)/9</f>
        <v>0.77777777777777779</v>
      </c>
      <c r="AM131">
        <f>survey_responses[[#This Row],[Tôi tin rằng Nhà nước, cơ quan thuế sẽ thực thi chính sách mới một cách khách quan, công tâm và đối xử bình đẳng với mọi người nộp thuế.  - HUMAN-TRU1]]</f>
        <v>2</v>
      </c>
      <c r="AN131">
        <f t="shared" ref="AN131:AN194" si="67">(AM131-1)/9</f>
        <v>0.1111111111111111</v>
      </c>
      <c r="AO131">
        <f>step3_validation[[#This Row],[AI_TRU2]]</f>
        <v>9</v>
      </c>
      <c r="AP131">
        <f t="shared" ref="AP131:AP194" si="68">(AO131-1)/9</f>
        <v>0.88888888888888884</v>
      </c>
      <c r="AQ131">
        <f>survey_responses[[#This Row],[Tôi thấy mức thuế tôi phải đóng theo phương án mới là công bằng (người thu nhập như tôi đóng mức này là hợp lý). - HUMAN-TRU2]]</f>
        <v>1</v>
      </c>
      <c r="AR131">
        <f t="shared" ref="AR131:AR194" si="69">(AQ131-1)/9</f>
        <v>0</v>
      </c>
      <c r="AS131">
        <f>step3_validation[[#This Row],[AI_TRU3]]</f>
        <v>8</v>
      </c>
      <c r="AT131">
        <f t="shared" ref="AT131:AT194" si="70">(AS131-1)/9</f>
        <v>0.77777777777777779</v>
      </c>
      <c r="AU131">
        <f>survey_responses[[#This Row],[Tôi tin tưởng số tiền thuế tôi đóng sẽ được Nhà nước sử dụng hiệu quả để cải thiện dịch vụ công (y tế, đường xá...). - HUMAN-TRU3]]</f>
        <v>1</v>
      </c>
      <c r="AV131">
        <f t="shared" ref="AV131:AV194" si="71">(AU131-1)/9</f>
        <v>0</v>
      </c>
      <c r="AW131">
        <f>step3_validation[[#This Row],[AI_TRU4]]</f>
        <v>9</v>
      </c>
      <c r="AX131">
        <f t="shared" ref="AX131:AX194" si="72">(AW131-1)/9</f>
        <v>0.88888888888888884</v>
      </c>
      <c r="AY131">
        <f>survey_responses[[#This Row],[Tôi thấy Nhà nước đã giải thích rõ ràng, minh bạch về lý do và mục tiêu của việc sửa đổi thuế lần này. - HUMAN-TRU4]]</f>
        <v>1</v>
      </c>
      <c r="AZ131">
        <f t="shared" ref="AZ131:AZ194" si="73">(AY131-1)/9</f>
        <v>0</v>
      </c>
      <c r="BA131" s="32">
        <f t="shared" ref="BA131:BA194" si="74">AVERAGE(AL131,AP131,AT131,AX131)</f>
        <v>0.83333333333333326</v>
      </c>
      <c r="BB131" s="32">
        <f t="shared" ref="BB131:BB194" si="75">AVERAGE(AN131,AR131,AV131,AZ131)</f>
        <v>2.7777777777777776E-2</v>
      </c>
      <c r="BC131" s="7">
        <f t="shared" ref="BC131:BC194" si="76">(Y131+AI131+BA131)/3</f>
        <v>0.87037037037037024</v>
      </c>
      <c r="BD131" s="7">
        <f t="shared" ref="BD131:BD194" si="77">(Z131+AJ131+BB131)/3</f>
        <v>0.21296296296296294</v>
      </c>
      <c r="BE131">
        <f>step3_validation[[#This Row],[AI_OUT1]]</f>
        <v>8</v>
      </c>
      <c r="BF131">
        <f t="shared" ref="BF131:BF194" si="78">(BE131-1)/9</f>
        <v>0.77777777777777779</v>
      </c>
      <c r="BG131">
        <f>survey_responses[[#This Row],[Sau khi xem xét các quyền lợi và nghĩa vụ, bạn có ủng hộ và tuân thủ chính sách mới hiện nay? - HUMAN-OUT1]]</f>
        <v>5</v>
      </c>
      <c r="BH131">
        <f t="shared" ref="BH131:BH194" si="79">(BG131-1)/9</f>
        <v>0.44444444444444442</v>
      </c>
      <c r="BI131" s="32">
        <f t="shared" ref="BI131:BI194" si="80">ABS(BG131-BE131)</f>
        <v>3</v>
      </c>
    </row>
    <row r="132" spans="1:61" x14ac:dyDescent="0.45">
      <c r="A132" s="30">
        <f>step3_validation[[#This Row],[Persona_ID]]</f>
        <v>131</v>
      </c>
      <c r="B132" s="31">
        <f>step3_validation[[#This Row],[Used_Seed]]</f>
        <v>131</v>
      </c>
      <c r="C132" t="str">
        <f>step3_validation[[#This Row],[Gender]]</f>
        <v>Nữ</v>
      </c>
      <c r="D132" t="str">
        <f>survey_responses[[#This Row],[Giới tính của bạn:]]</f>
        <v>Nữ</v>
      </c>
      <c r="E132" t="str">
        <f>step3_validation[[#This Row],[Age_Group]]</f>
        <v>30 - 39</v>
      </c>
      <c r="F132" t="str">
        <f>survey_responses[[#This Row],[Độ tuổi của bạn:]]</f>
        <v>30 - 39</v>
      </c>
      <c r="G132" t="str">
        <f>step3_validation[[#This Row],[Region]]</f>
        <v>Thành thị</v>
      </c>
      <c r="H132" t="str">
        <f>survey_responses[[#This Row],[Khu vực bạn đang sinh sống:]]</f>
        <v>Thành thị</v>
      </c>
      <c r="I132" t="str">
        <f>step3_validation[[#This Row],[Education]]</f>
        <v>Sau Đại học</v>
      </c>
      <c r="J132" t="str">
        <f>survey_responses[[#This Row],[Trình độ học vấn cao nhất:]]</f>
        <v>Sau Đại học</v>
      </c>
      <c r="K132" t="str">
        <f>step3_validation[[#This Row],[Employment]]</f>
        <v>Chính thức</v>
      </c>
      <c r="L132" t="str">
        <f>survey_responses[[#This Row],[Tình trạng việc làm chính:]]</f>
        <v>Khu vực chính thức (Có Hợp đồng lao động, đóng BHXH)</v>
      </c>
      <c r="M132">
        <f>step3_validation[[#This Row],[Income_Mil]]</f>
        <v>90.040369437642539</v>
      </c>
      <c r="N132" t="str">
        <f>survey_responses[[#This Row],[Thu nhập bình quân tháng theo Hợp đồng lao động của bạn là bao nhiêu? (Vui lòng điền tổng thu nhập trước khi khấu trừ các loại Bảo hiểm (BHXH, BHYT, BHTN) và Thuế TNCN)]]</f>
        <v>Từ 70 - 102 triệu VNĐ</v>
      </c>
      <c r="O132">
        <f>step3_validation[[#This Row],[Dependents]]</f>
        <v>1</v>
      </c>
      <c r="P132" t="str">
        <f>survey_responses[[#This Row],[Số người phụ thuộc (con nhỏ, cha mẹ già...) đủ điều kiện giảm trừ gia cảnh:]]</f>
        <v>1 người</v>
      </c>
      <c r="Q132">
        <f>step3_validation[[#This Row],[AI_ENF1]]</f>
        <v>7</v>
      </c>
      <c r="R132">
        <f t="shared" si="54"/>
        <v>0.66666666666666663</v>
      </c>
      <c r="S132">
        <f>survey_responses[[#This Row],[Tôi tin rằng với các quy định quản lý thuế hiện nay, hành vi gian lận hoặc trốn thuế sẽ dễ dàng bị phát hiện và xử lý nghiêm. - HUMAN-ENF1]]</f>
        <v>8</v>
      </c>
      <c r="T132">
        <f t="shared" si="55"/>
        <v>0.77777777777777779</v>
      </c>
      <c r="U132">
        <f>step3_validation[[#This Row],[AI_ENF2]]</f>
        <v>7</v>
      </c>
      <c r="V132">
        <f t="shared" si="56"/>
        <v>0.66666666666666663</v>
      </c>
      <c r="W132">
        <f>survey_responses[[#This Row],[Tôi tin rằng Nhà nước, cơ quan thuế có đủ khả năng và công nghệ để phát hiện, xử lý nghiêm các hành vi trốn thuế. - HUMAN-ENF2]]</f>
        <v>9</v>
      </c>
      <c r="X132">
        <f t="shared" si="57"/>
        <v>0.88888888888888884</v>
      </c>
      <c r="Y132" s="32">
        <f t="shared" si="58"/>
        <v>0.66666666666666663</v>
      </c>
      <c r="Z132" s="32">
        <f t="shared" si="59"/>
        <v>0.83333333333333326</v>
      </c>
      <c r="AA132">
        <f>step3_validation[[#This Row],[AI_FAC1]]</f>
        <v>9</v>
      </c>
      <c r="AB132">
        <f t="shared" si="60"/>
        <v>0.88888888888888884</v>
      </c>
      <c r="AC132">
        <f>survey_responses[[#This Row],[Các thủ tục khai báo thuế VÀ/HOẶC quy trình làm việc với cơ quan thuế đơn giản, tiện lợi, nhanh chóng hơn so với trước đây. - HUMAN-FAC1]]</f>
        <v>5</v>
      </c>
      <c r="AD132">
        <f t="shared" si="61"/>
        <v>0.44444444444444442</v>
      </c>
      <c r="AE132">
        <f>step3_validation[[#This Row],[AI_FAC2]]</f>
        <v>8</v>
      </c>
      <c r="AF132">
        <f t="shared" si="62"/>
        <v>0.77777777777777779</v>
      </c>
      <c r="AG132">
        <f>survey_responses[[#This Row],[So với trước đây, tôi thấy cách tính thuế và các bậc thuế trong phương án mới đơn giản, dễ hiểu và dễ thực hiện hơn. - HUMAN-FAC2]]</f>
        <v>5</v>
      </c>
      <c r="AH132">
        <f t="shared" si="63"/>
        <v>0.44444444444444442</v>
      </c>
      <c r="AI132" s="32">
        <f t="shared" si="64"/>
        <v>0.83333333333333326</v>
      </c>
      <c r="AJ132" s="32">
        <f t="shared" si="65"/>
        <v>0.44444444444444442</v>
      </c>
      <c r="AK132">
        <f>step3_validation[[#This Row],[AI_TRU1]]</f>
        <v>9</v>
      </c>
      <c r="AL132">
        <f t="shared" si="66"/>
        <v>0.88888888888888884</v>
      </c>
      <c r="AM132">
        <f>survey_responses[[#This Row],[Tôi tin rằng Nhà nước, cơ quan thuế sẽ thực thi chính sách mới một cách khách quan, công tâm và đối xử bình đẳng với mọi người nộp thuế.  - HUMAN-TRU1]]</f>
        <v>5</v>
      </c>
      <c r="AN132">
        <f t="shared" si="67"/>
        <v>0.44444444444444442</v>
      </c>
      <c r="AO132">
        <f>step3_validation[[#This Row],[AI_TRU2]]</f>
        <v>8</v>
      </c>
      <c r="AP132">
        <f t="shared" si="68"/>
        <v>0.77777777777777779</v>
      </c>
      <c r="AQ132">
        <f>survey_responses[[#This Row],[Tôi thấy mức thuế tôi phải đóng theo phương án mới là công bằng (người thu nhập như tôi đóng mức này là hợp lý). - HUMAN-TRU2]]</f>
        <v>4</v>
      </c>
      <c r="AR132">
        <f t="shared" si="69"/>
        <v>0.33333333333333331</v>
      </c>
      <c r="AS132">
        <f>step3_validation[[#This Row],[AI_TRU3]]</f>
        <v>9</v>
      </c>
      <c r="AT132">
        <f t="shared" si="70"/>
        <v>0.88888888888888884</v>
      </c>
      <c r="AU132">
        <f>survey_responses[[#This Row],[Tôi tin tưởng số tiền thuế tôi đóng sẽ được Nhà nước sử dụng hiệu quả để cải thiện dịch vụ công (y tế, đường xá...). - HUMAN-TRU3]]</f>
        <v>5</v>
      </c>
      <c r="AV132">
        <f t="shared" si="71"/>
        <v>0.44444444444444442</v>
      </c>
      <c r="AW132">
        <f>step3_validation[[#This Row],[AI_TRU4]]</f>
        <v>7</v>
      </c>
      <c r="AX132">
        <f t="shared" si="72"/>
        <v>0.66666666666666663</v>
      </c>
      <c r="AY132">
        <f>survey_responses[[#This Row],[Tôi thấy Nhà nước đã giải thích rõ ràng, minh bạch về lý do và mục tiêu của việc sửa đổi thuế lần này. - HUMAN-TRU4]]</f>
        <v>5</v>
      </c>
      <c r="AZ132">
        <f t="shared" si="73"/>
        <v>0.44444444444444442</v>
      </c>
      <c r="BA132" s="32">
        <f t="shared" si="74"/>
        <v>0.80555555555555547</v>
      </c>
      <c r="BB132" s="32">
        <f t="shared" si="75"/>
        <v>0.41666666666666663</v>
      </c>
      <c r="BC132" s="7">
        <f t="shared" si="76"/>
        <v>0.76851851851851849</v>
      </c>
      <c r="BD132" s="7">
        <f t="shared" si="77"/>
        <v>0.56481481481481477</v>
      </c>
      <c r="BE132">
        <f>step3_validation[[#This Row],[AI_OUT1]]</f>
        <v>9</v>
      </c>
      <c r="BF132">
        <f t="shared" si="78"/>
        <v>0.88888888888888884</v>
      </c>
      <c r="BG132">
        <f>survey_responses[[#This Row],[Sau khi xem xét các quyền lợi và nghĩa vụ, bạn có ủng hộ và tuân thủ chính sách mới hiện nay? - HUMAN-OUT1]]</f>
        <v>5</v>
      </c>
      <c r="BH132">
        <f t="shared" si="79"/>
        <v>0.44444444444444442</v>
      </c>
      <c r="BI132" s="32">
        <f t="shared" si="80"/>
        <v>4</v>
      </c>
    </row>
    <row r="133" spans="1:61" x14ac:dyDescent="0.45">
      <c r="A133" s="30">
        <f>step3_validation[[#This Row],[Persona_ID]]</f>
        <v>132</v>
      </c>
      <c r="B133" s="31">
        <f>step3_validation[[#This Row],[Used_Seed]]</f>
        <v>132</v>
      </c>
      <c r="C133" t="str">
        <f>step3_validation[[#This Row],[Gender]]</f>
        <v>Nam</v>
      </c>
      <c r="D133" t="str">
        <f>survey_responses[[#This Row],[Giới tính của bạn:]]</f>
        <v>Nam</v>
      </c>
      <c r="E133" t="str">
        <f>step3_validation[[#This Row],[Age_Group]]</f>
        <v>18 - 24</v>
      </c>
      <c r="F133" t="str">
        <f>survey_responses[[#This Row],[Độ tuổi của bạn:]]</f>
        <v>18 - 24</v>
      </c>
      <c r="G133" t="str">
        <f>step3_validation[[#This Row],[Region]]</f>
        <v>Thành thị</v>
      </c>
      <c r="H133" t="str">
        <f>survey_responses[[#This Row],[Khu vực bạn đang sinh sống:]]</f>
        <v>Thành thị</v>
      </c>
      <c r="I133" t="str">
        <f>step3_validation[[#This Row],[Education]]</f>
        <v>Đại học</v>
      </c>
      <c r="J133" t="str">
        <f>survey_responses[[#This Row],[Trình độ học vấn cao nhất:]]</f>
        <v>Đại học</v>
      </c>
      <c r="K133" t="str">
        <f>step3_validation[[#This Row],[Employment]]</f>
        <v>Chính thức</v>
      </c>
      <c r="L133" t="str">
        <f>survey_responses[[#This Row],[Tình trạng việc làm chính:]]</f>
        <v>Khu vực chính thức (Có Hợp đồng lao động, đóng BHXH)</v>
      </c>
      <c r="M133">
        <f>step3_validation[[#This Row],[Income_Mil]]</f>
        <v>12.713006622222693</v>
      </c>
      <c r="N133" t="str">
        <f>survey_responses[[#This Row],[Thu nhập bình quân tháng theo Hợp đồng lao động của bạn là bao nhiêu? (Vui lòng điền tổng thu nhập trước khi khấu trừ các loại Bảo hiểm (BHXH, BHYT, BHTN) và Thuế TNCN)]]</f>
        <v>Từ 12 - 18 triệu VNĐ</v>
      </c>
      <c r="O133">
        <f>step3_validation[[#This Row],[Dependents]]</f>
        <v>0</v>
      </c>
      <c r="P133" t="str">
        <f>survey_responses[[#This Row],[Số người phụ thuộc (con nhỏ, cha mẹ già...) đủ điều kiện giảm trừ gia cảnh:]]</f>
        <v>0 người</v>
      </c>
      <c r="Q133">
        <f>step3_validation[[#This Row],[AI_ENF1]]</f>
        <v>6</v>
      </c>
      <c r="R133">
        <f t="shared" si="54"/>
        <v>0.55555555555555558</v>
      </c>
      <c r="S133">
        <f>survey_responses[[#This Row],[Tôi tin rằng với các quy định quản lý thuế hiện nay, hành vi gian lận hoặc trốn thuế sẽ dễ dàng bị phát hiện và xử lý nghiêm. - HUMAN-ENF1]]</f>
        <v>9</v>
      </c>
      <c r="T133">
        <f t="shared" si="55"/>
        <v>0.88888888888888884</v>
      </c>
      <c r="U133">
        <f>step3_validation[[#This Row],[AI_ENF2]]</f>
        <v>6</v>
      </c>
      <c r="V133">
        <f t="shared" si="56"/>
        <v>0.55555555555555558</v>
      </c>
      <c r="W133">
        <f>survey_responses[[#This Row],[Tôi tin rằng Nhà nước, cơ quan thuế có đủ khả năng và công nghệ để phát hiện, xử lý nghiêm các hành vi trốn thuế. - HUMAN-ENF2]]</f>
        <v>9</v>
      </c>
      <c r="X133">
        <f t="shared" si="57"/>
        <v>0.88888888888888884</v>
      </c>
      <c r="Y133" s="32">
        <f t="shared" si="58"/>
        <v>0.55555555555555558</v>
      </c>
      <c r="Z133" s="32">
        <f t="shared" si="59"/>
        <v>0.88888888888888884</v>
      </c>
      <c r="AA133">
        <f>step3_validation[[#This Row],[AI_FAC1]]</f>
        <v>8</v>
      </c>
      <c r="AB133">
        <f t="shared" si="60"/>
        <v>0.77777777777777779</v>
      </c>
      <c r="AC133">
        <f>survey_responses[[#This Row],[Các thủ tục khai báo thuế VÀ/HOẶC quy trình làm việc với cơ quan thuế đơn giản, tiện lợi, nhanh chóng hơn so với trước đây. - HUMAN-FAC1]]</f>
        <v>9</v>
      </c>
      <c r="AD133">
        <f t="shared" si="61"/>
        <v>0.88888888888888884</v>
      </c>
      <c r="AE133">
        <f>step3_validation[[#This Row],[AI_FAC2]]</f>
        <v>7</v>
      </c>
      <c r="AF133">
        <f t="shared" si="62"/>
        <v>0.66666666666666663</v>
      </c>
      <c r="AG133">
        <f>survey_responses[[#This Row],[So với trước đây, tôi thấy cách tính thuế và các bậc thuế trong phương án mới đơn giản, dễ hiểu và dễ thực hiện hơn. - HUMAN-FAC2]]</f>
        <v>9</v>
      </c>
      <c r="AH133">
        <f t="shared" si="63"/>
        <v>0.88888888888888884</v>
      </c>
      <c r="AI133" s="32">
        <f t="shared" si="64"/>
        <v>0.72222222222222221</v>
      </c>
      <c r="AJ133" s="32">
        <f t="shared" si="65"/>
        <v>0.88888888888888884</v>
      </c>
      <c r="AK133">
        <f>step3_validation[[#This Row],[AI_TRU1]]</f>
        <v>8</v>
      </c>
      <c r="AL133">
        <f t="shared" si="66"/>
        <v>0.77777777777777779</v>
      </c>
      <c r="AM133">
        <f>survey_responses[[#This Row],[Tôi tin rằng Nhà nước, cơ quan thuế sẽ thực thi chính sách mới một cách khách quan, công tâm và đối xử bình đẳng với mọi người nộp thuế.  - HUMAN-TRU1]]</f>
        <v>7</v>
      </c>
      <c r="AN133">
        <f t="shared" si="67"/>
        <v>0.66666666666666663</v>
      </c>
      <c r="AO133">
        <f>step3_validation[[#This Row],[AI_TRU2]]</f>
        <v>9</v>
      </c>
      <c r="AP133">
        <f t="shared" si="68"/>
        <v>0.88888888888888884</v>
      </c>
      <c r="AQ133">
        <f>survey_responses[[#This Row],[Tôi thấy mức thuế tôi phải đóng theo phương án mới là công bằng (người thu nhập như tôi đóng mức này là hợp lý). - HUMAN-TRU2]]</f>
        <v>10</v>
      </c>
      <c r="AR133">
        <f t="shared" si="69"/>
        <v>1</v>
      </c>
      <c r="AS133">
        <f>step3_validation[[#This Row],[AI_TRU3]]</f>
        <v>8</v>
      </c>
      <c r="AT133">
        <f t="shared" si="70"/>
        <v>0.77777777777777779</v>
      </c>
      <c r="AU133">
        <f>survey_responses[[#This Row],[Tôi tin tưởng số tiền thuế tôi đóng sẽ được Nhà nước sử dụng hiệu quả để cải thiện dịch vụ công (y tế, đường xá...). - HUMAN-TRU3]]</f>
        <v>5</v>
      </c>
      <c r="AV133">
        <f t="shared" si="71"/>
        <v>0.44444444444444442</v>
      </c>
      <c r="AW133">
        <f>step3_validation[[#This Row],[AI_TRU4]]</f>
        <v>7</v>
      </c>
      <c r="AX133">
        <f t="shared" si="72"/>
        <v>0.66666666666666663</v>
      </c>
      <c r="AY133">
        <f>survey_responses[[#This Row],[Tôi thấy Nhà nước đã giải thích rõ ràng, minh bạch về lý do và mục tiêu của việc sửa đổi thuế lần này. - HUMAN-TRU4]]</f>
        <v>5</v>
      </c>
      <c r="AZ133">
        <f t="shared" si="73"/>
        <v>0.44444444444444442</v>
      </c>
      <c r="BA133" s="32">
        <f t="shared" si="74"/>
        <v>0.77777777777777768</v>
      </c>
      <c r="BB133" s="32">
        <f t="shared" si="75"/>
        <v>0.63888888888888884</v>
      </c>
      <c r="BC133" s="7">
        <f t="shared" si="76"/>
        <v>0.68518518518518512</v>
      </c>
      <c r="BD133" s="7">
        <f t="shared" si="77"/>
        <v>0.80555555555555547</v>
      </c>
      <c r="BE133">
        <f>step3_validation[[#This Row],[AI_OUT1]]</f>
        <v>9</v>
      </c>
      <c r="BF133">
        <f t="shared" si="78"/>
        <v>0.88888888888888884</v>
      </c>
      <c r="BG133">
        <f>survey_responses[[#This Row],[Sau khi xem xét các quyền lợi và nghĩa vụ, bạn có ủng hộ và tuân thủ chính sách mới hiện nay? - HUMAN-OUT1]]</f>
        <v>9</v>
      </c>
      <c r="BH133">
        <f t="shared" si="79"/>
        <v>0.88888888888888884</v>
      </c>
      <c r="BI133" s="32">
        <f t="shared" si="80"/>
        <v>0</v>
      </c>
    </row>
    <row r="134" spans="1:61" x14ac:dyDescent="0.45">
      <c r="A134" s="30">
        <f>step3_validation[[#This Row],[Persona_ID]]</f>
        <v>133</v>
      </c>
      <c r="B134" s="31">
        <f>step3_validation[[#This Row],[Used_Seed]]</f>
        <v>133</v>
      </c>
      <c r="C134" t="str">
        <f>step3_validation[[#This Row],[Gender]]</f>
        <v>Nam</v>
      </c>
      <c r="D134" t="str">
        <f>survey_responses[[#This Row],[Giới tính của bạn:]]</f>
        <v>Nam</v>
      </c>
      <c r="E134" t="str">
        <f>step3_validation[[#This Row],[Age_Group]]</f>
        <v>25 - 29</v>
      </c>
      <c r="F134" t="str">
        <f>survey_responses[[#This Row],[Độ tuổi của bạn:]]</f>
        <v>25 - 29</v>
      </c>
      <c r="G134" t="str">
        <f>step3_validation[[#This Row],[Region]]</f>
        <v>Thành thị</v>
      </c>
      <c r="H134" t="str">
        <f>survey_responses[[#This Row],[Khu vực bạn đang sinh sống:]]</f>
        <v>Thành thị</v>
      </c>
      <c r="I134" t="str">
        <f>step3_validation[[#This Row],[Education]]</f>
        <v>Cao đẳng</v>
      </c>
      <c r="J134" t="str">
        <f>survey_responses[[#This Row],[Trình độ học vấn cao nhất:]]</f>
        <v>Cao đẳng</v>
      </c>
      <c r="K134" t="str">
        <f>step3_validation[[#This Row],[Employment]]</f>
        <v>Chính thức</v>
      </c>
      <c r="L134" t="str">
        <f>survey_responses[[#This Row],[Tình trạng việc làm chính:]]</f>
        <v>Khu vực chính thức (Có Hợp đồng lao động, đóng BHXH)</v>
      </c>
      <c r="M134">
        <f>step3_validation[[#This Row],[Income_Mil]]</f>
        <v>46.62726902282985</v>
      </c>
      <c r="N134" t="str">
        <f>survey_responses[[#This Row],[Thu nhập bình quân tháng theo Hợp đồng lao động của bạn là bao nhiêu? (Vui lòng điền tổng thu nhập trước khi khấu trừ các loại Bảo hiểm (BHXH, BHYT, BHTN) và Thuế TNCN)]]</f>
        <v>Từ 32 - 48 triệu VNĐ</v>
      </c>
      <c r="O134">
        <f>step3_validation[[#This Row],[Dependents]]</f>
        <v>0</v>
      </c>
      <c r="P134" t="str">
        <f>survey_responses[[#This Row],[Số người phụ thuộc (con nhỏ, cha mẹ già...) đủ điều kiện giảm trừ gia cảnh:]]</f>
        <v>0 người</v>
      </c>
      <c r="Q134">
        <f>step3_validation[[#This Row],[AI_ENF1]]</f>
        <v>7</v>
      </c>
      <c r="R134">
        <f t="shared" si="54"/>
        <v>0.66666666666666663</v>
      </c>
      <c r="S134">
        <f>survey_responses[[#This Row],[Tôi tin rằng với các quy định quản lý thuế hiện nay, hành vi gian lận hoặc trốn thuế sẽ dễ dàng bị phát hiện và xử lý nghiêm. - HUMAN-ENF1]]</f>
        <v>5</v>
      </c>
      <c r="T134">
        <f t="shared" si="55"/>
        <v>0.44444444444444442</v>
      </c>
      <c r="U134">
        <f>step3_validation[[#This Row],[AI_ENF2]]</f>
        <v>8</v>
      </c>
      <c r="V134">
        <f t="shared" si="56"/>
        <v>0.77777777777777779</v>
      </c>
      <c r="W134">
        <f>survey_responses[[#This Row],[Tôi tin rằng Nhà nước, cơ quan thuế có đủ khả năng và công nghệ để phát hiện, xử lý nghiêm các hành vi trốn thuế. - HUMAN-ENF2]]</f>
        <v>5</v>
      </c>
      <c r="X134">
        <f t="shared" si="57"/>
        <v>0.44444444444444442</v>
      </c>
      <c r="Y134" s="32">
        <f t="shared" si="58"/>
        <v>0.72222222222222221</v>
      </c>
      <c r="Z134" s="32">
        <f t="shared" si="59"/>
        <v>0.44444444444444442</v>
      </c>
      <c r="AA134">
        <f>step3_validation[[#This Row],[AI_FAC1]]</f>
        <v>6</v>
      </c>
      <c r="AB134">
        <f t="shared" si="60"/>
        <v>0.55555555555555558</v>
      </c>
      <c r="AC134">
        <f>survey_responses[[#This Row],[Các thủ tục khai báo thuế VÀ/HOẶC quy trình làm việc với cơ quan thuế đơn giản, tiện lợi, nhanh chóng hơn so với trước đây. - HUMAN-FAC1]]</f>
        <v>5</v>
      </c>
      <c r="AD134">
        <f t="shared" si="61"/>
        <v>0.44444444444444442</v>
      </c>
      <c r="AE134">
        <f>step3_validation[[#This Row],[AI_FAC2]]</f>
        <v>8</v>
      </c>
      <c r="AF134">
        <f t="shared" si="62"/>
        <v>0.77777777777777779</v>
      </c>
      <c r="AG134">
        <f>survey_responses[[#This Row],[So với trước đây, tôi thấy cách tính thuế và các bậc thuế trong phương án mới đơn giản, dễ hiểu và dễ thực hiện hơn. - HUMAN-FAC2]]</f>
        <v>5</v>
      </c>
      <c r="AH134">
        <f t="shared" si="63"/>
        <v>0.44444444444444442</v>
      </c>
      <c r="AI134" s="32">
        <f t="shared" si="64"/>
        <v>0.66666666666666674</v>
      </c>
      <c r="AJ134" s="32">
        <f t="shared" si="65"/>
        <v>0.44444444444444442</v>
      </c>
      <c r="AK134">
        <f>step3_validation[[#This Row],[AI_TRU1]]</f>
        <v>7</v>
      </c>
      <c r="AL134">
        <f t="shared" si="66"/>
        <v>0.66666666666666663</v>
      </c>
      <c r="AM134">
        <f>survey_responses[[#This Row],[Tôi tin rằng Nhà nước, cơ quan thuế sẽ thực thi chính sách mới một cách khách quan, công tâm và đối xử bình đẳng với mọi người nộp thuế.  - HUMAN-TRU1]]</f>
        <v>5</v>
      </c>
      <c r="AN134">
        <f t="shared" si="67"/>
        <v>0.44444444444444442</v>
      </c>
      <c r="AO134">
        <f>step3_validation[[#This Row],[AI_TRU2]]</f>
        <v>9</v>
      </c>
      <c r="AP134">
        <f t="shared" si="68"/>
        <v>0.88888888888888884</v>
      </c>
      <c r="AQ134">
        <f>survey_responses[[#This Row],[Tôi thấy mức thuế tôi phải đóng theo phương án mới là công bằng (người thu nhập như tôi đóng mức này là hợp lý). - HUMAN-TRU2]]</f>
        <v>5</v>
      </c>
      <c r="AR134">
        <f t="shared" si="69"/>
        <v>0.44444444444444442</v>
      </c>
      <c r="AS134">
        <f>step3_validation[[#This Row],[AI_TRU3]]</f>
        <v>6</v>
      </c>
      <c r="AT134">
        <f t="shared" si="70"/>
        <v>0.55555555555555558</v>
      </c>
      <c r="AU134">
        <f>survey_responses[[#This Row],[Tôi tin tưởng số tiền thuế tôi đóng sẽ được Nhà nước sử dụng hiệu quả để cải thiện dịch vụ công (y tế, đường xá...). - HUMAN-TRU3]]</f>
        <v>5</v>
      </c>
      <c r="AV134">
        <f t="shared" si="71"/>
        <v>0.44444444444444442</v>
      </c>
      <c r="AW134">
        <f>step3_validation[[#This Row],[AI_TRU4]]</f>
        <v>7</v>
      </c>
      <c r="AX134">
        <f t="shared" si="72"/>
        <v>0.66666666666666663</v>
      </c>
      <c r="AY134">
        <f>survey_responses[[#This Row],[Tôi thấy Nhà nước đã giải thích rõ ràng, minh bạch về lý do và mục tiêu của việc sửa đổi thuế lần này. - HUMAN-TRU4]]</f>
        <v>5</v>
      </c>
      <c r="AZ134">
        <f t="shared" si="73"/>
        <v>0.44444444444444442</v>
      </c>
      <c r="BA134" s="32">
        <f t="shared" si="74"/>
        <v>0.69444444444444431</v>
      </c>
      <c r="BB134" s="32">
        <f t="shared" si="75"/>
        <v>0.44444444444444442</v>
      </c>
      <c r="BC134" s="7">
        <f t="shared" si="76"/>
        <v>0.69444444444444431</v>
      </c>
      <c r="BD134" s="7">
        <f t="shared" si="77"/>
        <v>0.44444444444444442</v>
      </c>
      <c r="BE134">
        <f>step3_validation[[#This Row],[AI_OUT1]]</f>
        <v>8</v>
      </c>
      <c r="BF134">
        <f t="shared" si="78"/>
        <v>0.77777777777777779</v>
      </c>
      <c r="BG134">
        <f>survey_responses[[#This Row],[Sau khi xem xét các quyền lợi và nghĩa vụ, bạn có ủng hộ và tuân thủ chính sách mới hiện nay? - HUMAN-OUT1]]</f>
        <v>5</v>
      </c>
      <c r="BH134">
        <f t="shared" si="79"/>
        <v>0.44444444444444442</v>
      </c>
      <c r="BI134" s="32">
        <f t="shared" si="80"/>
        <v>3</v>
      </c>
    </row>
    <row r="135" spans="1:61" x14ac:dyDescent="0.45">
      <c r="A135" s="30">
        <f>step3_validation[[#This Row],[Persona_ID]]</f>
        <v>134</v>
      </c>
      <c r="B135" s="31">
        <f>step3_validation[[#This Row],[Used_Seed]]</f>
        <v>134</v>
      </c>
      <c r="C135" t="str">
        <f>step3_validation[[#This Row],[Gender]]</f>
        <v>Nữ</v>
      </c>
      <c r="D135" t="str">
        <f>survey_responses[[#This Row],[Giới tính của bạn:]]</f>
        <v>Nữ</v>
      </c>
      <c r="E135" t="str">
        <f>step3_validation[[#This Row],[Age_Group]]</f>
        <v>18 - 24</v>
      </c>
      <c r="F135" t="str">
        <f>survey_responses[[#This Row],[Độ tuổi của bạn:]]</f>
        <v>18 - 24</v>
      </c>
      <c r="G135" t="str">
        <f>step3_validation[[#This Row],[Region]]</f>
        <v>Thành thị</v>
      </c>
      <c r="H135" t="str">
        <f>survey_responses[[#This Row],[Khu vực bạn đang sinh sống:]]</f>
        <v>Thành thị</v>
      </c>
      <c r="I135" t="str">
        <f>step3_validation[[#This Row],[Education]]</f>
        <v>Đại học</v>
      </c>
      <c r="J135" t="str">
        <f>survey_responses[[#This Row],[Trình độ học vấn cao nhất:]]</f>
        <v>Đại học</v>
      </c>
      <c r="K135" t="str">
        <f>step3_validation[[#This Row],[Employment]]</f>
        <v>Chính thức</v>
      </c>
      <c r="L135" t="str">
        <f>survey_responses[[#This Row],[Tình trạng việc làm chính:]]</f>
        <v>Khu vực chính thức (Có Hợp đồng lao động, đóng BHXH)</v>
      </c>
      <c r="M135">
        <f>step3_validation[[#This Row],[Income_Mil]]</f>
        <v>21.873889935932151</v>
      </c>
      <c r="N135" t="str">
        <f>survey_responses[[#This Row],[Thu nhập bình quân tháng theo Hợp đồng lao động của bạn là bao nhiêu? (Vui lòng điền tổng thu nhập trước khi khấu trừ các loại Bảo hiểm (BHXH, BHYT, BHTN) và Thuế TNCN)]]</f>
        <v>Từ 18 - 23 triệu VNĐ</v>
      </c>
      <c r="O135">
        <f>step3_validation[[#This Row],[Dependents]]</f>
        <v>0</v>
      </c>
      <c r="P135" t="str">
        <f>survey_responses[[#This Row],[Số người phụ thuộc (con nhỏ, cha mẹ già...) đủ điều kiện giảm trừ gia cảnh:]]</f>
        <v>0 người</v>
      </c>
      <c r="Q135">
        <f>step3_validation[[#This Row],[AI_ENF1]]</f>
        <v>7</v>
      </c>
      <c r="R135">
        <f t="shared" si="54"/>
        <v>0.66666666666666663</v>
      </c>
      <c r="S135">
        <f>survey_responses[[#This Row],[Tôi tin rằng với các quy định quản lý thuế hiện nay, hành vi gian lận hoặc trốn thuế sẽ dễ dàng bị phát hiện và xử lý nghiêm. - HUMAN-ENF1]]</f>
        <v>9</v>
      </c>
      <c r="T135">
        <f t="shared" si="55"/>
        <v>0.88888888888888884</v>
      </c>
      <c r="U135">
        <f>step3_validation[[#This Row],[AI_ENF2]]</f>
        <v>6</v>
      </c>
      <c r="V135">
        <f t="shared" si="56"/>
        <v>0.55555555555555558</v>
      </c>
      <c r="W135">
        <f>survey_responses[[#This Row],[Tôi tin rằng Nhà nước, cơ quan thuế có đủ khả năng và công nghệ để phát hiện, xử lý nghiêm các hành vi trốn thuế. - HUMAN-ENF2]]</f>
        <v>9</v>
      </c>
      <c r="X135">
        <f t="shared" si="57"/>
        <v>0.88888888888888884</v>
      </c>
      <c r="Y135" s="32">
        <f t="shared" si="58"/>
        <v>0.61111111111111116</v>
      </c>
      <c r="Z135" s="32">
        <f t="shared" si="59"/>
        <v>0.88888888888888884</v>
      </c>
      <c r="AA135">
        <f>step3_validation[[#This Row],[AI_FAC1]]</f>
        <v>8</v>
      </c>
      <c r="AB135">
        <f t="shared" si="60"/>
        <v>0.77777777777777779</v>
      </c>
      <c r="AC135">
        <f>survey_responses[[#This Row],[Các thủ tục khai báo thuế VÀ/HOẶC quy trình làm việc với cơ quan thuế đơn giản, tiện lợi, nhanh chóng hơn so với trước đây. - HUMAN-FAC1]]</f>
        <v>5</v>
      </c>
      <c r="AD135">
        <f t="shared" si="61"/>
        <v>0.44444444444444442</v>
      </c>
      <c r="AE135">
        <f>step3_validation[[#This Row],[AI_FAC2]]</f>
        <v>9</v>
      </c>
      <c r="AF135">
        <f t="shared" si="62"/>
        <v>0.88888888888888884</v>
      </c>
      <c r="AG135">
        <f>survey_responses[[#This Row],[So với trước đây, tôi thấy cách tính thuế và các bậc thuế trong phương án mới đơn giản, dễ hiểu và dễ thực hiện hơn. - HUMAN-FAC2]]</f>
        <v>9</v>
      </c>
      <c r="AH135">
        <f t="shared" si="63"/>
        <v>0.88888888888888884</v>
      </c>
      <c r="AI135" s="32">
        <f t="shared" si="64"/>
        <v>0.83333333333333326</v>
      </c>
      <c r="AJ135" s="32">
        <f t="shared" si="65"/>
        <v>0.66666666666666663</v>
      </c>
      <c r="AK135">
        <f>step3_validation[[#This Row],[AI_TRU1]]</f>
        <v>8</v>
      </c>
      <c r="AL135">
        <f t="shared" si="66"/>
        <v>0.77777777777777779</v>
      </c>
      <c r="AM135">
        <f>survey_responses[[#This Row],[Tôi tin rằng Nhà nước, cơ quan thuế sẽ thực thi chính sách mới một cách khách quan, công tâm và đối xử bình đẳng với mọi người nộp thuế.  - HUMAN-TRU1]]</f>
        <v>8</v>
      </c>
      <c r="AN135">
        <f t="shared" si="67"/>
        <v>0.77777777777777779</v>
      </c>
      <c r="AO135">
        <f>step3_validation[[#This Row],[AI_TRU2]]</f>
        <v>9</v>
      </c>
      <c r="AP135">
        <f t="shared" si="68"/>
        <v>0.88888888888888884</v>
      </c>
      <c r="AQ135">
        <f>survey_responses[[#This Row],[Tôi thấy mức thuế tôi phải đóng theo phương án mới là công bằng (người thu nhập như tôi đóng mức này là hợp lý). - HUMAN-TRU2]]</f>
        <v>10</v>
      </c>
      <c r="AR135">
        <f t="shared" si="69"/>
        <v>1</v>
      </c>
      <c r="AS135">
        <f>step3_validation[[#This Row],[AI_TRU3]]</f>
        <v>7</v>
      </c>
      <c r="AT135">
        <f t="shared" si="70"/>
        <v>0.66666666666666663</v>
      </c>
      <c r="AU135">
        <f>survey_responses[[#This Row],[Tôi tin tưởng số tiền thuế tôi đóng sẽ được Nhà nước sử dụng hiệu quả để cải thiện dịch vụ công (y tế, đường xá...). - HUMAN-TRU3]]</f>
        <v>5</v>
      </c>
      <c r="AV135">
        <f t="shared" si="71"/>
        <v>0.44444444444444442</v>
      </c>
      <c r="AW135">
        <f>step3_validation[[#This Row],[AI_TRU4]]</f>
        <v>8</v>
      </c>
      <c r="AX135">
        <f t="shared" si="72"/>
        <v>0.77777777777777779</v>
      </c>
      <c r="AY135">
        <f>survey_responses[[#This Row],[Tôi thấy Nhà nước đã giải thích rõ ràng, minh bạch về lý do và mục tiêu của việc sửa đổi thuế lần này. - HUMAN-TRU4]]</f>
        <v>5</v>
      </c>
      <c r="AZ135">
        <f t="shared" si="73"/>
        <v>0.44444444444444442</v>
      </c>
      <c r="BA135" s="32">
        <f t="shared" si="74"/>
        <v>0.77777777777777768</v>
      </c>
      <c r="BB135" s="32">
        <f t="shared" si="75"/>
        <v>0.66666666666666674</v>
      </c>
      <c r="BC135" s="7">
        <f t="shared" si="76"/>
        <v>0.74074074074074081</v>
      </c>
      <c r="BD135" s="7">
        <f t="shared" si="77"/>
        <v>0.74074074074074081</v>
      </c>
      <c r="BE135">
        <f>step3_validation[[#This Row],[AI_OUT1]]</f>
        <v>9</v>
      </c>
      <c r="BF135">
        <f t="shared" si="78"/>
        <v>0.88888888888888884</v>
      </c>
      <c r="BG135">
        <f>survey_responses[[#This Row],[Sau khi xem xét các quyền lợi và nghĩa vụ, bạn có ủng hộ và tuân thủ chính sách mới hiện nay? - HUMAN-OUT1]]</f>
        <v>7</v>
      </c>
      <c r="BH135">
        <f t="shared" si="79"/>
        <v>0.66666666666666663</v>
      </c>
      <c r="BI135" s="32">
        <f t="shared" si="80"/>
        <v>2</v>
      </c>
    </row>
    <row r="136" spans="1:61" x14ac:dyDescent="0.45">
      <c r="A136" s="30">
        <f>step3_validation[[#This Row],[Persona_ID]]</f>
        <v>135</v>
      </c>
      <c r="B136" s="31">
        <f>step3_validation[[#This Row],[Used_Seed]]</f>
        <v>135</v>
      </c>
      <c r="C136" t="str">
        <f>step3_validation[[#This Row],[Gender]]</f>
        <v>Nam</v>
      </c>
      <c r="D136" t="str">
        <f>survey_responses[[#This Row],[Giới tính của bạn:]]</f>
        <v>Nam</v>
      </c>
      <c r="E136" t="str">
        <f>step3_validation[[#This Row],[Age_Group]]</f>
        <v>18 - 24</v>
      </c>
      <c r="F136" t="str">
        <f>survey_responses[[#This Row],[Độ tuổi của bạn:]]</f>
        <v>18 - 24</v>
      </c>
      <c r="G136" t="str">
        <f>step3_validation[[#This Row],[Region]]</f>
        <v>Thành thị</v>
      </c>
      <c r="H136" t="str">
        <f>survey_responses[[#This Row],[Khu vực bạn đang sinh sống:]]</f>
        <v>Thành thị</v>
      </c>
      <c r="I136" t="str">
        <f>step3_validation[[#This Row],[Education]]</f>
        <v>Đại học</v>
      </c>
      <c r="J136" t="str">
        <f>survey_responses[[#This Row],[Trình độ học vấn cao nhất:]]</f>
        <v>Đại học</v>
      </c>
      <c r="K136" t="str">
        <f>step3_validation[[#This Row],[Employment]]</f>
        <v>Chính thức</v>
      </c>
      <c r="L136" t="str">
        <f>survey_responses[[#This Row],[Tình trạng việc làm chính:]]</f>
        <v>Khu vực chính thức (Có Hợp đồng lao động, đóng BHXH)</v>
      </c>
      <c r="M136">
        <f>step3_validation[[#This Row],[Income_Mil]]</f>
        <v>14.741162032444352</v>
      </c>
      <c r="N136" t="str">
        <f>survey_responses[[#This Row],[Thu nhập bình quân tháng theo Hợp đồng lao động của bạn là bao nhiêu? (Vui lòng điền tổng thu nhập trước khi khấu trừ các loại Bảo hiểm (BHXH, BHYT, BHTN) và Thuế TNCN)]]</f>
        <v>Từ 12 - 18 triệu VNĐ</v>
      </c>
      <c r="O136">
        <f>step3_validation[[#This Row],[Dependents]]</f>
        <v>0</v>
      </c>
      <c r="P136" t="str">
        <f>survey_responses[[#This Row],[Số người phụ thuộc (con nhỏ, cha mẹ già...) đủ điều kiện giảm trừ gia cảnh:]]</f>
        <v>0 người</v>
      </c>
      <c r="Q136">
        <f>step3_validation[[#This Row],[AI_ENF1]]</f>
        <v>6</v>
      </c>
      <c r="R136">
        <f t="shared" si="54"/>
        <v>0.55555555555555558</v>
      </c>
      <c r="S136">
        <f>survey_responses[[#This Row],[Tôi tin rằng với các quy định quản lý thuế hiện nay, hành vi gian lận hoặc trốn thuế sẽ dễ dàng bị phát hiện và xử lý nghiêm. - HUMAN-ENF1]]</f>
        <v>5</v>
      </c>
      <c r="T136">
        <f t="shared" si="55"/>
        <v>0.44444444444444442</v>
      </c>
      <c r="U136">
        <f>step3_validation[[#This Row],[AI_ENF2]]</f>
        <v>7</v>
      </c>
      <c r="V136">
        <f t="shared" si="56"/>
        <v>0.66666666666666663</v>
      </c>
      <c r="W136">
        <f>survey_responses[[#This Row],[Tôi tin rằng Nhà nước, cơ quan thuế có đủ khả năng và công nghệ để phát hiện, xử lý nghiêm các hành vi trốn thuế. - HUMAN-ENF2]]</f>
        <v>5</v>
      </c>
      <c r="X136">
        <f t="shared" si="57"/>
        <v>0.44444444444444442</v>
      </c>
      <c r="Y136" s="32">
        <f t="shared" si="58"/>
        <v>0.61111111111111116</v>
      </c>
      <c r="Z136" s="32">
        <f t="shared" si="59"/>
        <v>0.44444444444444442</v>
      </c>
      <c r="AA136">
        <f>step3_validation[[#This Row],[AI_FAC1]]</f>
        <v>9</v>
      </c>
      <c r="AB136">
        <f t="shared" si="60"/>
        <v>0.88888888888888884</v>
      </c>
      <c r="AC136">
        <f>survey_responses[[#This Row],[Các thủ tục khai báo thuế VÀ/HOẶC quy trình làm việc với cơ quan thuế đơn giản, tiện lợi, nhanh chóng hơn so với trước đây. - HUMAN-FAC1]]</f>
        <v>5</v>
      </c>
      <c r="AD136">
        <f t="shared" si="61"/>
        <v>0.44444444444444442</v>
      </c>
      <c r="AE136">
        <f>step3_validation[[#This Row],[AI_FAC2]]</f>
        <v>8</v>
      </c>
      <c r="AF136">
        <f t="shared" si="62"/>
        <v>0.77777777777777779</v>
      </c>
      <c r="AG136">
        <f>survey_responses[[#This Row],[So với trước đây, tôi thấy cách tính thuế và các bậc thuế trong phương án mới đơn giản, dễ hiểu và dễ thực hiện hơn. - HUMAN-FAC2]]</f>
        <v>6</v>
      </c>
      <c r="AH136">
        <f t="shared" si="63"/>
        <v>0.55555555555555558</v>
      </c>
      <c r="AI136" s="32">
        <f t="shared" si="64"/>
        <v>0.83333333333333326</v>
      </c>
      <c r="AJ136" s="32">
        <f t="shared" si="65"/>
        <v>0.5</v>
      </c>
      <c r="AK136">
        <f>step3_validation[[#This Row],[AI_TRU1]]</f>
        <v>9</v>
      </c>
      <c r="AL136">
        <f t="shared" si="66"/>
        <v>0.88888888888888884</v>
      </c>
      <c r="AM136">
        <f>survey_responses[[#This Row],[Tôi tin rằng Nhà nước, cơ quan thuế sẽ thực thi chính sách mới một cách khách quan, công tâm và đối xử bình đẳng với mọi người nộp thuế.  - HUMAN-TRU1]]</f>
        <v>6</v>
      </c>
      <c r="AN136">
        <f t="shared" si="67"/>
        <v>0.55555555555555558</v>
      </c>
      <c r="AO136">
        <f>step3_validation[[#This Row],[AI_TRU2]]</f>
        <v>8</v>
      </c>
      <c r="AP136">
        <f t="shared" si="68"/>
        <v>0.77777777777777779</v>
      </c>
      <c r="AQ136">
        <f>survey_responses[[#This Row],[Tôi thấy mức thuế tôi phải đóng theo phương án mới là công bằng (người thu nhập như tôi đóng mức này là hợp lý). - HUMAN-TRU2]]</f>
        <v>6</v>
      </c>
      <c r="AR136">
        <f t="shared" si="69"/>
        <v>0.55555555555555558</v>
      </c>
      <c r="AS136">
        <f>step3_validation[[#This Row],[AI_TRU3]]</f>
        <v>9</v>
      </c>
      <c r="AT136">
        <f t="shared" si="70"/>
        <v>0.88888888888888884</v>
      </c>
      <c r="AU136">
        <f>survey_responses[[#This Row],[Tôi tin tưởng số tiền thuế tôi đóng sẽ được Nhà nước sử dụng hiệu quả để cải thiện dịch vụ công (y tế, đường xá...). - HUMAN-TRU3]]</f>
        <v>6</v>
      </c>
      <c r="AV136">
        <f t="shared" si="71"/>
        <v>0.55555555555555558</v>
      </c>
      <c r="AW136">
        <f>step3_validation[[#This Row],[AI_TRU4]]</f>
        <v>7</v>
      </c>
      <c r="AX136">
        <f t="shared" si="72"/>
        <v>0.66666666666666663</v>
      </c>
      <c r="AY136">
        <f>survey_responses[[#This Row],[Tôi thấy Nhà nước đã giải thích rõ ràng, minh bạch về lý do và mục tiêu của việc sửa đổi thuế lần này. - HUMAN-TRU4]]</f>
        <v>6</v>
      </c>
      <c r="AZ136">
        <f t="shared" si="73"/>
        <v>0.55555555555555558</v>
      </c>
      <c r="BA136" s="32">
        <f t="shared" si="74"/>
        <v>0.80555555555555547</v>
      </c>
      <c r="BB136" s="32">
        <f t="shared" si="75"/>
        <v>0.55555555555555558</v>
      </c>
      <c r="BC136" s="7">
        <f t="shared" si="76"/>
        <v>0.75</v>
      </c>
      <c r="BD136" s="7">
        <f t="shared" si="77"/>
        <v>0.5</v>
      </c>
      <c r="BE136">
        <f>step3_validation[[#This Row],[AI_OUT1]]</f>
        <v>9</v>
      </c>
      <c r="BF136">
        <f t="shared" si="78"/>
        <v>0.88888888888888884</v>
      </c>
      <c r="BG136">
        <f>survey_responses[[#This Row],[Sau khi xem xét các quyền lợi và nghĩa vụ, bạn có ủng hộ và tuân thủ chính sách mới hiện nay? - HUMAN-OUT1]]</f>
        <v>6</v>
      </c>
      <c r="BH136">
        <f t="shared" si="79"/>
        <v>0.55555555555555558</v>
      </c>
      <c r="BI136" s="32">
        <f t="shared" si="80"/>
        <v>3</v>
      </c>
    </row>
    <row r="137" spans="1:61" x14ac:dyDescent="0.45">
      <c r="A137" s="30">
        <f>step3_validation[[#This Row],[Persona_ID]]</f>
        <v>136</v>
      </c>
      <c r="B137" s="31">
        <f>step3_validation[[#This Row],[Used_Seed]]</f>
        <v>136</v>
      </c>
      <c r="C137" t="str">
        <f>step3_validation[[#This Row],[Gender]]</f>
        <v>Nữ</v>
      </c>
      <c r="D137" t="str">
        <f>survey_responses[[#This Row],[Giới tính của bạn:]]</f>
        <v>Nữ</v>
      </c>
      <c r="E137" t="str">
        <f>step3_validation[[#This Row],[Age_Group]]</f>
        <v>55 - 64</v>
      </c>
      <c r="F137" t="str">
        <f>survey_responses[[#This Row],[Độ tuổi của bạn:]]</f>
        <v>55 - 64</v>
      </c>
      <c r="G137" t="str">
        <f>step3_validation[[#This Row],[Region]]</f>
        <v>Thành thị</v>
      </c>
      <c r="H137" t="str">
        <f>survey_responses[[#This Row],[Khu vực bạn đang sinh sống:]]</f>
        <v>Thành thị</v>
      </c>
      <c r="I137" t="str">
        <f>step3_validation[[#This Row],[Education]]</f>
        <v>Đại học</v>
      </c>
      <c r="J137" t="str">
        <f>survey_responses[[#This Row],[Trình độ học vấn cao nhất:]]</f>
        <v>Đại học</v>
      </c>
      <c r="K137" t="str">
        <f>step3_validation[[#This Row],[Employment]]</f>
        <v>Phi chính thức</v>
      </c>
      <c r="L137" t="str">
        <f>survey_responses[[#This Row],[Tình trạng việc làm chính:]]</f>
        <v>Khác (Về hưu, nội trợ, sinh viên)</v>
      </c>
      <c r="M137">
        <f>step3_validation[[#This Row],[Income_Mil]]</f>
        <v>12</v>
      </c>
      <c r="N137" t="str">
        <f>survey_responses[[#This Row],[Thu nhập bình quân tháng theo Hợp đồng lao động của bạn là bao nhiêu? (Vui lòng điền tổng thu nhập trước khi khấu trừ các loại Bảo hiểm (BHXH, BHYT, BHTN) và Thuế TNCN)]]</f>
        <v>Dưới 12 triệu VNĐ</v>
      </c>
      <c r="O137">
        <f>step3_validation[[#This Row],[Dependents]]</f>
        <v>0</v>
      </c>
      <c r="P137" t="str">
        <f>survey_responses[[#This Row],[Số người phụ thuộc (con nhỏ, cha mẹ già...) đủ điều kiện giảm trừ gia cảnh:]]</f>
        <v>0 người</v>
      </c>
      <c r="Q137">
        <f>step3_validation[[#This Row],[AI_ENF1]]</f>
        <v>6</v>
      </c>
      <c r="R137">
        <f t="shared" si="54"/>
        <v>0.55555555555555558</v>
      </c>
      <c r="S137">
        <f>survey_responses[[#This Row],[Tôi tin rằng với các quy định quản lý thuế hiện nay, hành vi gian lận hoặc trốn thuế sẽ dễ dàng bị phát hiện và xử lý nghiêm. - HUMAN-ENF1]]</f>
        <v>8</v>
      </c>
      <c r="T137">
        <f t="shared" si="55"/>
        <v>0.77777777777777779</v>
      </c>
      <c r="U137">
        <f>step3_validation[[#This Row],[AI_ENF2]]</f>
        <v>5</v>
      </c>
      <c r="V137">
        <f t="shared" si="56"/>
        <v>0.44444444444444442</v>
      </c>
      <c r="W137">
        <f>survey_responses[[#This Row],[Tôi tin rằng Nhà nước, cơ quan thuế có đủ khả năng và công nghệ để phát hiện, xử lý nghiêm các hành vi trốn thuế. - HUMAN-ENF2]]</f>
        <v>8</v>
      </c>
      <c r="X137">
        <f t="shared" si="57"/>
        <v>0.77777777777777779</v>
      </c>
      <c r="Y137" s="32">
        <f t="shared" si="58"/>
        <v>0.5</v>
      </c>
      <c r="Z137" s="32">
        <f t="shared" si="59"/>
        <v>0.77777777777777779</v>
      </c>
      <c r="AA137">
        <f>step3_validation[[#This Row],[AI_FAC1]]</f>
        <v>8</v>
      </c>
      <c r="AB137">
        <f t="shared" si="60"/>
        <v>0.77777777777777779</v>
      </c>
      <c r="AC137">
        <f>survey_responses[[#This Row],[Các thủ tục khai báo thuế VÀ/HOẶC quy trình làm việc với cơ quan thuế đơn giản, tiện lợi, nhanh chóng hơn so với trước đây. - HUMAN-FAC1]]</f>
        <v>8</v>
      </c>
      <c r="AD137">
        <f t="shared" si="61"/>
        <v>0.77777777777777779</v>
      </c>
      <c r="AE137">
        <f>step3_validation[[#This Row],[AI_FAC2]]</f>
        <v>9</v>
      </c>
      <c r="AF137">
        <f t="shared" si="62"/>
        <v>0.88888888888888884</v>
      </c>
      <c r="AG137">
        <f>survey_responses[[#This Row],[So với trước đây, tôi thấy cách tính thuế và các bậc thuế trong phương án mới đơn giản, dễ hiểu và dễ thực hiện hơn. - HUMAN-FAC2]]</f>
        <v>8</v>
      </c>
      <c r="AH137">
        <f t="shared" si="63"/>
        <v>0.77777777777777779</v>
      </c>
      <c r="AI137" s="32">
        <f t="shared" si="64"/>
        <v>0.83333333333333326</v>
      </c>
      <c r="AJ137" s="32">
        <f t="shared" si="65"/>
        <v>0.77777777777777779</v>
      </c>
      <c r="AK137">
        <f>step3_validation[[#This Row],[AI_TRU1]]</f>
        <v>8</v>
      </c>
      <c r="AL137">
        <f t="shared" si="66"/>
        <v>0.77777777777777779</v>
      </c>
      <c r="AM137">
        <f>survey_responses[[#This Row],[Tôi tin rằng Nhà nước, cơ quan thuế sẽ thực thi chính sách mới một cách khách quan, công tâm và đối xử bình đẳng với mọi người nộp thuế.  - HUMAN-TRU1]]</f>
        <v>10</v>
      </c>
      <c r="AN137">
        <f t="shared" si="67"/>
        <v>1</v>
      </c>
      <c r="AO137">
        <f>step3_validation[[#This Row],[AI_TRU2]]</f>
        <v>9</v>
      </c>
      <c r="AP137">
        <f t="shared" si="68"/>
        <v>0.88888888888888884</v>
      </c>
      <c r="AQ137">
        <f>survey_responses[[#This Row],[Tôi thấy mức thuế tôi phải đóng theo phương án mới là công bằng (người thu nhập như tôi đóng mức này là hợp lý). - HUMAN-TRU2]]</f>
        <v>10</v>
      </c>
      <c r="AR137">
        <f t="shared" si="69"/>
        <v>1</v>
      </c>
      <c r="AS137">
        <f>step3_validation[[#This Row],[AI_TRU3]]</f>
        <v>8</v>
      </c>
      <c r="AT137">
        <f t="shared" si="70"/>
        <v>0.77777777777777779</v>
      </c>
      <c r="AU137">
        <f>survey_responses[[#This Row],[Tôi tin tưởng số tiền thuế tôi đóng sẽ được Nhà nước sử dụng hiệu quả để cải thiện dịch vụ công (y tế, đường xá...). - HUMAN-TRU3]]</f>
        <v>10</v>
      </c>
      <c r="AV137">
        <f t="shared" si="71"/>
        <v>1</v>
      </c>
      <c r="AW137">
        <f>step3_validation[[#This Row],[AI_TRU4]]</f>
        <v>7</v>
      </c>
      <c r="AX137">
        <f t="shared" si="72"/>
        <v>0.66666666666666663</v>
      </c>
      <c r="AY137">
        <f>survey_responses[[#This Row],[Tôi thấy Nhà nước đã giải thích rõ ràng, minh bạch về lý do và mục tiêu của việc sửa đổi thuế lần này. - HUMAN-TRU4]]</f>
        <v>10</v>
      </c>
      <c r="AZ137">
        <f t="shared" si="73"/>
        <v>1</v>
      </c>
      <c r="BA137" s="32">
        <f t="shared" si="74"/>
        <v>0.77777777777777768</v>
      </c>
      <c r="BB137" s="32">
        <f t="shared" si="75"/>
        <v>1</v>
      </c>
      <c r="BC137" s="7">
        <f t="shared" si="76"/>
        <v>0.70370370370370361</v>
      </c>
      <c r="BD137" s="7">
        <f t="shared" si="77"/>
        <v>0.85185185185185175</v>
      </c>
      <c r="BE137">
        <f>step3_validation[[#This Row],[AI_OUT1]]</f>
        <v>8</v>
      </c>
      <c r="BF137">
        <f t="shared" si="78"/>
        <v>0.77777777777777779</v>
      </c>
      <c r="BG137">
        <f>survey_responses[[#This Row],[Sau khi xem xét các quyền lợi và nghĩa vụ, bạn có ủng hộ và tuân thủ chính sách mới hiện nay? - HUMAN-OUT1]]</f>
        <v>10</v>
      </c>
      <c r="BH137">
        <f t="shared" si="79"/>
        <v>1</v>
      </c>
      <c r="BI137" s="32">
        <f t="shared" si="80"/>
        <v>2</v>
      </c>
    </row>
    <row r="138" spans="1:61" x14ac:dyDescent="0.45">
      <c r="A138" s="30">
        <f>step3_validation[[#This Row],[Persona_ID]]</f>
        <v>137</v>
      </c>
      <c r="B138" s="31">
        <f>step3_validation[[#This Row],[Used_Seed]]</f>
        <v>137</v>
      </c>
      <c r="C138" t="str">
        <f>step3_validation[[#This Row],[Gender]]</f>
        <v>Nam</v>
      </c>
      <c r="D138" t="str">
        <f>survey_responses[[#This Row],[Giới tính của bạn:]]</f>
        <v>Nam</v>
      </c>
      <c r="E138" t="str">
        <f>step3_validation[[#This Row],[Age_Group]]</f>
        <v>50 - 54</v>
      </c>
      <c r="F138" t="str">
        <f>survey_responses[[#This Row],[Độ tuổi của bạn:]]</f>
        <v>50 - 54</v>
      </c>
      <c r="G138" t="str">
        <f>step3_validation[[#This Row],[Region]]</f>
        <v>Thành thị</v>
      </c>
      <c r="H138" t="str">
        <f>survey_responses[[#This Row],[Khu vực bạn đang sinh sống:]]</f>
        <v>Thành thị</v>
      </c>
      <c r="I138" t="str">
        <f>step3_validation[[#This Row],[Education]]</f>
        <v>Đại học</v>
      </c>
      <c r="J138" t="str">
        <f>survey_responses[[#This Row],[Trình độ học vấn cao nhất:]]</f>
        <v>Đại học</v>
      </c>
      <c r="K138" t="str">
        <f>step3_validation[[#This Row],[Employment]]</f>
        <v>Chính thức</v>
      </c>
      <c r="L138" t="str">
        <f>survey_responses[[#This Row],[Tình trạng việc làm chính:]]</f>
        <v>Khu vực chính thức (Có Hợp đồng lao động, đóng BHXH)</v>
      </c>
      <c r="M138">
        <f>step3_validation[[#This Row],[Income_Mil]]</f>
        <v>229.01094363180181</v>
      </c>
      <c r="N138" t="str">
        <f>survey_responses[[#This Row],[Thu nhập bình quân tháng theo Hợp đồng lao động của bạn là bao nhiêu? (Vui lòng điền tổng thu nhập trước khi khấu trừ các loại Bảo hiểm (BHXH, BHYT, BHTN) và Thuế TNCN)]]</f>
        <v>Trên 102 triệu VNĐ</v>
      </c>
      <c r="O138">
        <f>step3_validation[[#This Row],[Dependents]]</f>
        <v>4</v>
      </c>
      <c r="P138" t="str">
        <f>survey_responses[[#This Row],[Số người phụ thuộc (con nhỏ, cha mẹ già...) đủ điều kiện giảm trừ gia cảnh:]]</f>
        <v>4 người trở lên</v>
      </c>
      <c r="Q138">
        <f>step3_validation[[#This Row],[AI_ENF1]]</f>
        <v>7</v>
      </c>
      <c r="R138">
        <f t="shared" si="54"/>
        <v>0.66666666666666663</v>
      </c>
      <c r="S138">
        <f>survey_responses[[#This Row],[Tôi tin rằng với các quy định quản lý thuế hiện nay, hành vi gian lận hoặc trốn thuế sẽ dễ dàng bị phát hiện và xử lý nghiêm. - HUMAN-ENF1]]</f>
        <v>8</v>
      </c>
      <c r="T138">
        <f t="shared" si="55"/>
        <v>0.77777777777777779</v>
      </c>
      <c r="U138">
        <f>step3_validation[[#This Row],[AI_ENF2]]</f>
        <v>8</v>
      </c>
      <c r="V138">
        <f t="shared" si="56"/>
        <v>0.77777777777777779</v>
      </c>
      <c r="W138">
        <f>survey_responses[[#This Row],[Tôi tin rằng Nhà nước, cơ quan thuế có đủ khả năng và công nghệ để phát hiện, xử lý nghiêm các hành vi trốn thuế. - HUMAN-ENF2]]</f>
        <v>8</v>
      </c>
      <c r="X138">
        <f t="shared" si="57"/>
        <v>0.77777777777777779</v>
      </c>
      <c r="Y138" s="32">
        <f t="shared" si="58"/>
        <v>0.72222222222222221</v>
      </c>
      <c r="Z138" s="32">
        <f t="shared" si="59"/>
        <v>0.77777777777777779</v>
      </c>
      <c r="AA138">
        <f>step3_validation[[#This Row],[AI_FAC1]]</f>
        <v>7</v>
      </c>
      <c r="AB138">
        <f t="shared" si="60"/>
        <v>0.66666666666666663</v>
      </c>
      <c r="AC138">
        <f>survey_responses[[#This Row],[Các thủ tục khai báo thuế VÀ/HOẶC quy trình làm việc với cơ quan thuế đơn giản, tiện lợi, nhanh chóng hơn so với trước đây. - HUMAN-FAC1]]</f>
        <v>8</v>
      </c>
      <c r="AD138">
        <f t="shared" si="61"/>
        <v>0.77777777777777779</v>
      </c>
      <c r="AE138">
        <f>step3_validation[[#This Row],[AI_FAC2]]</f>
        <v>9</v>
      </c>
      <c r="AF138">
        <f t="shared" si="62"/>
        <v>0.88888888888888884</v>
      </c>
      <c r="AG138">
        <f>survey_responses[[#This Row],[So với trước đây, tôi thấy cách tính thuế và các bậc thuế trong phương án mới đơn giản, dễ hiểu và dễ thực hiện hơn. - HUMAN-FAC2]]</f>
        <v>8</v>
      </c>
      <c r="AH138">
        <f t="shared" si="63"/>
        <v>0.77777777777777779</v>
      </c>
      <c r="AI138" s="32">
        <f t="shared" si="64"/>
        <v>0.77777777777777768</v>
      </c>
      <c r="AJ138" s="32">
        <f t="shared" si="65"/>
        <v>0.77777777777777779</v>
      </c>
      <c r="AK138">
        <f>step3_validation[[#This Row],[AI_TRU1]]</f>
        <v>7</v>
      </c>
      <c r="AL138">
        <f t="shared" si="66"/>
        <v>0.66666666666666663</v>
      </c>
      <c r="AM138">
        <f>survey_responses[[#This Row],[Tôi tin rằng Nhà nước, cơ quan thuế sẽ thực thi chính sách mới một cách khách quan, công tâm và đối xử bình đẳng với mọi người nộp thuế.  - HUMAN-TRU1]]</f>
        <v>8</v>
      </c>
      <c r="AN138">
        <f t="shared" si="67"/>
        <v>0.77777777777777779</v>
      </c>
      <c r="AO138">
        <f>step3_validation[[#This Row],[AI_TRU2]]</f>
        <v>9</v>
      </c>
      <c r="AP138">
        <f t="shared" si="68"/>
        <v>0.88888888888888884</v>
      </c>
      <c r="AQ138">
        <f>survey_responses[[#This Row],[Tôi thấy mức thuế tôi phải đóng theo phương án mới là công bằng (người thu nhập như tôi đóng mức này là hợp lý). - HUMAN-TRU2]]</f>
        <v>8</v>
      </c>
      <c r="AR138">
        <f t="shared" si="69"/>
        <v>0.77777777777777779</v>
      </c>
      <c r="AS138">
        <f>step3_validation[[#This Row],[AI_TRU3]]</f>
        <v>8</v>
      </c>
      <c r="AT138">
        <f t="shared" si="70"/>
        <v>0.77777777777777779</v>
      </c>
      <c r="AU138">
        <f>survey_responses[[#This Row],[Tôi tin tưởng số tiền thuế tôi đóng sẽ được Nhà nước sử dụng hiệu quả để cải thiện dịch vụ công (y tế, đường xá...). - HUMAN-TRU3]]</f>
        <v>5</v>
      </c>
      <c r="AV138">
        <f t="shared" si="71"/>
        <v>0.44444444444444442</v>
      </c>
      <c r="AW138">
        <f>step3_validation[[#This Row],[AI_TRU4]]</f>
        <v>9</v>
      </c>
      <c r="AX138">
        <f t="shared" si="72"/>
        <v>0.88888888888888884</v>
      </c>
      <c r="AY138">
        <f>survey_responses[[#This Row],[Tôi thấy Nhà nước đã giải thích rõ ràng, minh bạch về lý do và mục tiêu của việc sửa đổi thuế lần này. - HUMAN-TRU4]]</f>
        <v>7</v>
      </c>
      <c r="AZ138">
        <f t="shared" si="73"/>
        <v>0.66666666666666663</v>
      </c>
      <c r="BA138" s="32">
        <f t="shared" si="74"/>
        <v>0.80555555555555547</v>
      </c>
      <c r="BB138" s="32">
        <f t="shared" si="75"/>
        <v>0.66666666666666663</v>
      </c>
      <c r="BC138" s="7">
        <f t="shared" si="76"/>
        <v>0.76851851851851849</v>
      </c>
      <c r="BD138" s="7">
        <f t="shared" si="77"/>
        <v>0.74074074074074081</v>
      </c>
      <c r="BE138">
        <f>step3_validation[[#This Row],[AI_OUT1]]</f>
        <v>10</v>
      </c>
      <c r="BF138">
        <f t="shared" si="78"/>
        <v>1</v>
      </c>
      <c r="BG138">
        <f>survey_responses[[#This Row],[Sau khi xem xét các quyền lợi và nghĩa vụ, bạn có ủng hộ và tuân thủ chính sách mới hiện nay? - HUMAN-OUT1]]</f>
        <v>8</v>
      </c>
      <c r="BH138">
        <f t="shared" si="79"/>
        <v>0.77777777777777779</v>
      </c>
      <c r="BI138" s="32">
        <f t="shared" si="80"/>
        <v>2</v>
      </c>
    </row>
    <row r="139" spans="1:61" x14ac:dyDescent="0.45">
      <c r="A139" s="30">
        <f>step3_validation[[#This Row],[Persona_ID]]</f>
        <v>138</v>
      </c>
      <c r="B139" s="31">
        <f>step3_validation[[#This Row],[Used_Seed]]</f>
        <v>138</v>
      </c>
      <c r="C139" t="str">
        <f>step3_validation[[#This Row],[Gender]]</f>
        <v>Nữ</v>
      </c>
      <c r="D139" t="str">
        <f>survey_responses[[#This Row],[Giới tính của bạn:]]</f>
        <v>Nữ</v>
      </c>
      <c r="E139" t="str">
        <f>step3_validation[[#This Row],[Age_Group]]</f>
        <v>25 - 29</v>
      </c>
      <c r="F139" t="str">
        <f>survey_responses[[#This Row],[Độ tuổi của bạn:]]</f>
        <v>25 - 29</v>
      </c>
      <c r="G139" t="str">
        <f>step3_validation[[#This Row],[Region]]</f>
        <v>Thành thị</v>
      </c>
      <c r="H139" t="str">
        <f>survey_responses[[#This Row],[Khu vực bạn đang sinh sống:]]</f>
        <v>Thành thị</v>
      </c>
      <c r="I139" t="str">
        <f>step3_validation[[#This Row],[Education]]</f>
        <v>Sau Đại học</v>
      </c>
      <c r="J139" t="str">
        <f>survey_responses[[#This Row],[Trình độ học vấn cao nhất:]]</f>
        <v>Sau Đại học</v>
      </c>
      <c r="K139" t="str">
        <f>step3_validation[[#This Row],[Employment]]</f>
        <v>Chính thức</v>
      </c>
      <c r="L139" t="str">
        <f>survey_responses[[#This Row],[Tình trạng việc làm chính:]]</f>
        <v>Khu vực chính thức (Có Hợp đồng lao động, đóng BHXH)</v>
      </c>
      <c r="M139">
        <f>step3_validation[[#This Row],[Income_Mil]]</f>
        <v>14.865600921963605</v>
      </c>
      <c r="N139" t="str">
        <f>survey_responses[[#This Row],[Thu nhập bình quân tháng theo Hợp đồng lao động của bạn là bao nhiêu? (Vui lòng điền tổng thu nhập trước khi khấu trừ các loại Bảo hiểm (BHXH, BHYT, BHTN) và Thuế TNCN)]]</f>
        <v>Từ 12 - 18 triệu VNĐ</v>
      </c>
      <c r="O139">
        <f>step3_validation[[#This Row],[Dependents]]</f>
        <v>0</v>
      </c>
      <c r="P139" t="str">
        <f>survey_responses[[#This Row],[Số người phụ thuộc (con nhỏ, cha mẹ già...) đủ điều kiện giảm trừ gia cảnh:]]</f>
        <v>0 người</v>
      </c>
      <c r="Q139">
        <f>step3_validation[[#This Row],[AI_ENF1]]</f>
        <v>7</v>
      </c>
      <c r="R139">
        <f t="shared" si="54"/>
        <v>0.66666666666666663</v>
      </c>
      <c r="S139">
        <f>survey_responses[[#This Row],[Tôi tin rằng với các quy định quản lý thuế hiện nay, hành vi gian lận hoặc trốn thuế sẽ dễ dàng bị phát hiện và xử lý nghiêm. - HUMAN-ENF1]]</f>
        <v>8</v>
      </c>
      <c r="T139">
        <f t="shared" si="55"/>
        <v>0.77777777777777779</v>
      </c>
      <c r="U139">
        <f>step3_validation[[#This Row],[AI_ENF2]]</f>
        <v>8</v>
      </c>
      <c r="V139">
        <f t="shared" si="56"/>
        <v>0.77777777777777779</v>
      </c>
      <c r="W139">
        <f>survey_responses[[#This Row],[Tôi tin rằng Nhà nước, cơ quan thuế có đủ khả năng và công nghệ để phát hiện, xử lý nghiêm các hành vi trốn thuế. - HUMAN-ENF2]]</f>
        <v>9</v>
      </c>
      <c r="X139">
        <f t="shared" si="57"/>
        <v>0.88888888888888884</v>
      </c>
      <c r="Y139" s="32">
        <f t="shared" si="58"/>
        <v>0.72222222222222221</v>
      </c>
      <c r="Z139" s="32">
        <f t="shared" si="59"/>
        <v>0.83333333333333326</v>
      </c>
      <c r="AA139">
        <f>step3_validation[[#This Row],[AI_FAC1]]</f>
        <v>9</v>
      </c>
      <c r="AB139">
        <f t="shared" si="60"/>
        <v>0.88888888888888884</v>
      </c>
      <c r="AC139">
        <f>survey_responses[[#This Row],[Các thủ tục khai báo thuế VÀ/HOẶC quy trình làm việc với cơ quan thuế đơn giản, tiện lợi, nhanh chóng hơn so với trước đây. - HUMAN-FAC1]]</f>
        <v>7</v>
      </c>
      <c r="AD139">
        <f t="shared" si="61"/>
        <v>0.66666666666666663</v>
      </c>
      <c r="AE139">
        <f>step3_validation[[#This Row],[AI_FAC2]]</f>
        <v>9</v>
      </c>
      <c r="AF139">
        <f t="shared" si="62"/>
        <v>0.88888888888888884</v>
      </c>
      <c r="AG139">
        <f>survey_responses[[#This Row],[So với trước đây, tôi thấy cách tính thuế và các bậc thuế trong phương án mới đơn giản, dễ hiểu và dễ thực hiện hơn. - HUMAN-FAC2]]</f>
        <v>7</v>
      </c>
      <c r="AH139">
        <f t="shared" si="63"/>
        <v>0.66666666666666663</v>
      </c>
      <c r="AI139" s="32">
        <f t="shared" si="64"/>
        <v>0.88888888888888884</v>
      </c>
      <c r="AJ139" s="32">
        <f t="shared" si="65"/>
        <v>0.66666666666666663</v>
      </c>
      <c r="AK139">
        <f>step3_validation[[#This Row],[AI_TRU1]]</f>
        <v>6</v>
      </c>
      <c r="AL139">
        <f t="shared" si="66"/>
        <v>0.55555555555555558</v>
      </c>
      <c r="AM139">
        <f>survey_responses[[#This Row],[Tôi tin rằng Nhà nước, cơ quan thuế sẽ thực thi chính sách mới một cách khách quan, công tâm và đối xử bình đẳng với mọi người nộp thuế.  - HUMAN-TRU1]]</f>
        <v>6</v>
      </c>
      <c r="AN139">
        <f t="shared" si="67"/>
        <v>0.55555555555555558</v>
      </c>
      <c r="AO139">
        <f>step3_validation[[#This Row],[AI_TRU2]]</f>
        <v>9</v>
      </c>
      <c r="AP139">
        <f t="shared" si="68"/>
        <v>0.88888888888888884</v>
      </c>
      <c r="AQ139">
        <f>survey_responses[[#This Row],[Tôi thấy mức thuế tôi phải đóng theo phương án mới là công bằng (người thu nhập như tôi đóng mức này là hợp lý). - HUMAN-TRU2]]</f>
        <v>6</v>
      </c>
      <c r="AR139">
        <f t="shared" si="69"/>
        <v>0.55555555555555558</v>
      </c>
      <c r="AS139">
        <f>step3_validation[[#This Row],[AI_TRU3]]</f>
        <v>8</v>
      </c>
      <c r="AT139">
        <f t="shared" si="70"/>
        <v>0.77777777777777779</v>
      </c>
      <c r="AU139">
        <f>survey_responses[[#This Row],[Tôi tin tưởng số tiền thuế tôi đóng sẽ được Nhà nước sử dụng hiệu quả để cải thiện dịch vụ công (y tế, đường xá...). - HUMAN-TRU3]]</f>
        <v>2</v>
      </c>
      <c r="AV139">
        <f t="shared" si="71"/>
        <v>0.1111111111111111</v>
      </c>
      <c r="AW139">
        <f>step3_validation[[#This Row],[AI_TRU4]]</f>
        <v>7</v>
      </c>
      <c r="AX139">
        <f t="shared" si="72"/>
        <v>0.66666666666666663</v>
      </c>
      <c r="AY139">
        <f>survey_responses[[#This Row],[Tôi thấy Nhà nước đã giải thích rõ ràng, minh bạch về lý do và mục tiêu của việc sửa đổi thuế lần này. - HUMAN-TRU4]]</f>
        <v>5</v>
      </c>
      <c r="AZ139">
        <f t="shared" si="73"/>
        <v>0.44444444444444442</v>
      </c>
      <c r="BA139" s="32">
        <f t="shared" si="74"/>
        <v>0.72222222222222221</v>
      </c>
      <c r="BB139" s="32">
        <f t="shared" si="75"/>
        <v>0.41666666666666669</v>
      </c>
      <c r="BC139" s="7">
        <f t="shared" si="76"/>
        <v>0.77777777777777779</v>
      </c>
      <c r="BD139" s="7">
        <f t="shared" si="77"/>
        <v>0.63888888888888895</v>
      </c>
      <c r="BE139">
        <f>step3_validation[[#This Row],[AI_OUT1]]</f>
        <v>9</v>
      </c>
      <c r="BF139">
        <f t="shared" si="78"/>
        <v>0.88888888888888884</v>
      </c>
      <c r="BG139">
        <f>survey_responses[[#This Row],[Sau khi xem xét các quyền lợi và nghĩa vụ, bạn có ủng hộ và tuân thủ chính sách mới hiện nay? - HUMAN-OUT1]]</f>
        <v>6</v>
      </c>
      <c r="BH139">
        <f t="shared" si="79"/>
        <v>0.55555555555555558</v>
      </c>
      <c r="BI139" s="32">
        <f t="shared" si="80"/>
        <v>3</v>
      </c>
    </row>
    <row r="140" spans="1:61" x14ac:dyDescent="0.45">
      <c r="A140" s="30">
        <f>step3_validation[[#This Row],[Persona_ID]]</f>
        <v>139</v>
      </c>
      <c r="B140" s="31">
        <f>step3_validation[[#This Row],[Used_Seed]]</f>
        <v>139</v>
      </c>
      <c r="C140" t="str">
        <f>step3_validation[[#This Row],[Gender]]</f>
        <v>Nữ</v>
      </c>
      <c r="D140" t="str">
        <f>survey_responses[[#This Row],[Giới tính của bạn:]]</f>
        <v>Nữ</v>
      </c>
      <c r="E140" t="str">
        <f>step3_validation[[#This Row],[Age_Group]]</f>
        <v>40 - 49</v>
      </c>
      <c r="F140" t="str">
        <f>survey_responses[[#This Row],[Độ tuổi của bạn:]]</f>
        <v>40 - 49</v>
      </c>
      <c r="G140" t="str">
        <f>step3_validation[[#This Row],[Region]]</f>
        <v>Thành thị</v>
      </c>
      <c r="H140" t="str">
        <f>survey_responses[[#This Row],[Khu vực bạn đang sinh sống:]]</f>
        <v>Thành thị</v>
      </c>
      <c r="I140" t="str">
        <f>step3_validation[[#This Row],[Education]]</f>
        <v>Sau Đại học</v>
      </c>
      <c r="J140" t="str">
        <f>survey_responses[[#This Row],[Trình độ học vấn cao nhất:]]</f>
        <v>Sau Đại học</v>
      </c>
      <c r="K140" t="str">
        <f>step3_validation[[#This Row],[Employment]]</f>
        <v>Chính thức</v>
      </c>
      <c r="L140" t="str">
        <f>survey_responses[[#This Row],[Tình trạng việc làm chính:]]</f>
        <v>Khu vực chính thức (Có Hợp đồng lao động, đóng BHXH)</v>
      </c>
      <c r="M140">
        <f>step3_validation[[#This Row],[Income_Mil]]</f>
        <v>163.68085030130771</v>
      </c>
      <c r="N140" t="str">
        <f>survey_responses[[#This Row],[Thu nhập bình quân tháng theo Hợp đồng lao động của bạn là bao nhiêu? (Vui lòng điền tổng thu nhập trước khi khấu trừ các loại Bảo hiểm (BHXH, BHYT, BHTN) và Thuế TNCN)]]</f>
        <v>Trên 102 triệu VNĐ</v>
      </c>
      <c r="O140">
        <f>step3_validation[[#This Row],[Dependents]]</f>
        <v>2</v>
      </c>
      <c r="P140" t="str">
        <f>survey_responses[[#This Row],[Số người phụ thuộc (con nhỏ, cha mẹ già...) đủ điều kiện giảm trừ gia cảnh:]]</f>
        <v>2 người</v>
      </c>
      <c r="Q140">
        <f>step3_validation[[#This Row],[AI_ENF1]]</f>
        <v>6</v>
      </c>
      <c r="R140">
        <f t="shared" si="54"/>
        <v>0.55555555555555558</v>
      </c>
      <c r="S140">
        <f>survey_responses[[#This Row],[Tôi tin rằng với các quy định quản lý thuế hiện nay, hành vi gian lận hoặc trốn thuế sẽ dễ dàng bị phát hiện và xử lý nghiêm. - HUMAN-ENF1]]</f>
        <v>5</v>
      </c>
      <c r="T140">
        <f t="shared" si="55"/>
        <v>0.44444444444444442</v>
      </c>
      <c r="U140">
        <f>step3_validation[[#This Row],[AI_ENF2]]</f>
        <v>6</v>
      </c>
      <c r="V140">
        <f t="shared" si="56"/>
        <v>0.55555555555555558</v>
      </c>
      <c r="W140">
        <f>survey_responses[[#This Row],[Tôi tin rằng Nhà nước, cơ quan thuế có đủ khả năng và công nghệ để phát hiện, xử lý nghiêm các hành vi trốn thuế. - HUMAN-ENF2]]</f>
        <v>4</v>
      </c>
      <c r="X140">
        <f t="shared" si="57"/>
        <v>0.33333333333333331</v>
      </c>
      <c r="Y140" s="32">
        <f t="shared" si="58"/>
        <v>0.55555555555555558</v>
      </c>
      <c r="Z140" s="32">
        <f t="shared" si="59"/>
        <v>0.38888888888888884</v>
      </c>
      <c r="AA140">
        <f>step3_validation[[#This Row],[AI_FAC1]]</f>
        <v>8</v>
      </c>
      <c r="AB140">
        <f t="shared" si="60"/>
        <v>0.77777777777777779</v>
      </c>
      <c r="AC140">
        <f>survey_responses[[#This Row],[Các thủ tục khai báo thuế VÀ/HOẶC quy trình làm việc với cơ quan thuế đơn giản, tiện lợi, nhanh chóng hơn so với trước đây. - HUMAN-FAC1]]</f>
        <v>7</v>
      </c>
      <c r="AD140">
        <f t="shared" si="61"/>
        <v>0.66666666666666663</v>
      </c>
      <c r="AE140">
        <f>step3_validation[[#This Row],[AI_FAC2]]</f>
        <v>7</v>
      </c>
      <c r="AF140">
        <f t="shared" si="62"/>
        <v>0.66666666666666663</v>
      </c>
      <c r="AG140">
        <f>survey_responses[[#This Row],[So với trước đây, tôi thấy cách tính thuế và các bậc thuế trong phương án mới đơn giản, dễ hiểu và dễ thực hiện hơn. - HUMAN-FAC2]]</f>
        <v>6</v>
      </c>
      <c r="AH140">
        <f t="shared" si="63"/>
        <v>0.55555555555555558</v>
      </c>
      <c r="AI140" s="32">
        <f t="shared" si="64"/>
        <v>0.72222222222222221</v>
      </c>
      <c r="AJ140" s="32">
        <f t="shared" si="65"/>
        <v>0.61111111111111116</v>
      </c>
      <c r="AK140">
        <f>step3_validation[[#This Row],[AI_TRU1]]</f>
        <v>8</v>
      </c>
      <c r="AL140">
        <f t="shared" si="66"/>
        <v>0.77777777777777779</v>
      </c>
      <c r="AM140">
        <f>survey_responses[[#This Row],[Tôi tin rằng Nhà nước, cơ quan thuế sẽ thực thi chính sách mới một cách khách quan, công tâm và đối xử bình đẳng với mọi người nộp thuế.  - HUMAN-TRU1]]</f>
        <v>3</v>
      </c>
      <c r="AN140">
        <f t="shared" si="67"/>
        <v>0.22222222222222221</v>
      </c>
      <c r="AO140">
        <f>step3_validation[[#This Row],[AI_TRU2]]</f>
        <v>9</v>
      </c>
      <c r="AP140">
        <f t="shared" si="68"/>
        <v>0.88888888888888884</v>
      </c>
      <c r="AQ140">
        <f>survey_responses[[#This Row],[Tôi thấy mức thuế tôi phải đóng theo phương án mới là công bằng (người thu nhập như tôi đóng mức này là hợp lý). - HUMAN-TRU2]]</f>
        <v>4</v>
      </c>
      <c r="AR140">
        <f t="shared" si="69"/>
        <v>0.33333333333333331</v>
      </c>
      <c r="AS140">
        <f>step3_validation[[#This Row],[AI_TRU3]]</f>
        <v>8</v>
      </c>
      <c r="AT140">
        <f t="shared" si="70"/>
        <v>0.77777777777777779</v>
      </c>
      <c r="AU140">
        <f>survey_responses[[#This Row],[Tôi tin tưởng số tiền thuế tôi đóng sẽ được Nhà nước sử dụng hiệu quả để cải thiện dịch vụ công (y tế, đường xá...). - HUMAN-TRU3]]</f>
        <v>4</v>
      </c>
      <c r="AV140">
        <f t="shared" si="71"/>
        <v>0.33333333333333331</v>
      </c>
      <c r="AW140">
        <f>step3_validation[[#This Row],[AI_TRU4]]</f>
        <v>7</v>
      </c>
      <c r="AX140">
        <f t="shared" si="72"/>
        <v>0.66666666666666663</v>
      </c>
      <c r="AY140">
        <f>survey_responses[[#This Row],[Tôi thấy Nhà nước đã giải thích rõ ràng, minh bạch về lý do và mục tiêu của việc sửa đổi thuế lần này. - HUMAN-TRU4]]</f>
        <v>5</v>
      </c>
      <c r="AZ140">
        <f t="shared" si="73"/>
        <v>0.44444444444444442</v>
      </c>
      <c r="BA140" s="32">
        <f t="shared" si="74"/>
        <v>0.77777777777777768</v>
      </c>
      <c r="BB140" s="32">
        <f t="shared" si="75"/>
        <v>0.33333333333333331</v>
      </c>
      <c r="BC140" s="7">
        <f t="shared" si="76"/>
        <v>0.68518518518518512</v>
      </c>
      <c r="BD140" s="7">
        <f t="shared" si="77"/>
        <v>0.44444444444444442</v>
      </c>
      <c r="BE140">
        <f>step3_validation[[#This Row],[AI_OUT1]]</f>
        <v>9</v>
      </c>
      <c r="BF140">
        <f t="shared" si="78"/>
        <v>0.88888888888888884</v>
      </c>
      <c r="BG140">
        <f>survey_responses[[#This Row],[Sau khi xem xét các quyền lợi và nghĩa vụ, bạn có ủng hộ và tuân thủ chính sách mới hiện nay? - HUMAN-OUT1]]</f>
        <v>5</v>
      </c>
      <c r="BH140">
        <f t="shared" si="79"/>
        <v>0.44444444444444442</v>
      </c>
      <c r="BI140" s="32">
        <f t="shared" si="80"/>
        <v>4</v>
      </c>
    </row>
    <row r="141" spans="1:61" x14ac:dyDescent="0.45">
      <c r="A141" s="30">
        <f>step3_validation[[#This Row],[Persona_ID]]</f>
        <v>140</v>
      </c>
      <c r="B141" s="31">
        <f>step3_validation[[#This Row],[Used_Seed]]</f>
        <v>140</v>
      </c>
      <c r="C141" t="str">
        <f>step3_validation[[#This Row],[Gender]]</f>
        <v>Nữ</v>
      </c>
      <c r="D141" t="str">
        <f>survey_responses[[#This Row],[Giới tính của bạn:]]</f>
        <v>Nữ</v>
      </c>
      <c r="E141" t="str">
        <f>step3_validation[[#This Row],[Age_Group]]</f>
        <v>30 - 39</v>
      </c>
      <c r="F141" t="str">
        <f>survey_responses[[#This Row],[Độ tuổi của bạn:]]</f>
        <v>30 - 39</v>
      </c>
      <c r="G141" t="str">
        <f>step3_validation[[#This Row],[Region]]</f>
        <v>Thành thị</v>
      </c>
      <c r="H141" t="str">
        <f>survey_responses[[#This Row],[Khu vực bạn đang sinh sống:]]</f>
        <v>Thành thị</v>
      </c>
      <c r="I141" t="str">
        <f>step3_validation[[#This Row],[Education]]</f>
        <v>Đại học</v>
      </c>
      <c r="J141" t="str">
        <f>survey_responses[[#This Row],[Trình độ học vấn cao nhất:]]</f>
        <v>Đại học</v>
      </c>
      <c r="K141" t="str">
        <f>step3_validation[[#This Row],[Employment]]</f>
        <v>Chính thức</v>
      </c>
      <c r="L141" t="str">
        <f>survey_responses[[#This Row],[Tình trạng việc làm chính:]]</f>
        <v>Khu vực chính thức (Có Hợp đồng lao động, đóng BHXH)</v>
      </c>
      <c r="M141">
        <f>step3_validation[[#This Row],[Income_Mil]]</f>
        <v>28.340960399484587</v>
      </c>
      <c r="N141" t="str">
        <f>survey_responses[[#This Row],[Thu nhập bình quân tháng theo Hợp đồng lao động của bạn là bao nhiêu? (Vui lòng điền tổng thu nhập trước khi khấu trừ các loại Bảo hiểm (BHXH, BHYT, BHTN) và Thuế TNCN)]]</f>
        <v>Từ 23 - 32 triệu VNĐ</v>
      </c>
      <c r="O141">
        <f>step3_validation[[#This Row],[Dependents]]</f>
        <v>1</v>
      </c>
      <c r="P141" t="str">
        <f>survey_responses[[#This Row],[Số người phụ thuộc (con nhỏ, cha mẹ già...) đủ điều kiện giảm trừ gia cảnh:]]</f>
        <v>1 người</v>
      </c>
      <c r="Q141">
        <f>step3_validation[[#This Row],[AI_ENF1]]</f>
        <v>6</v>
      </c>
      <c r="R141">
        <f t="shared" si="54"/>
        <v>0.55555555555555558</v>
      </c>
      <c r="S141">
        <f>survey_responses[[#This Row],[Tôi tin rằng với các quy định quản lý thuế hiện nay, hành vi gian lận hoặc trốn thuế sẽ dễ dàng bị phát hiện và xử lý nghiêm. - HUMAN-ENF1]]</f>
        <v>10</v>
      </c>
      <c r="T141">
        <f t="shared" si="55"/>
        <v>1</v>
      </c>
      <c r="U141">
        <f>step3_validation[[#This Row],[AI_ENF2]]</f>
        <v>5</v>
      </c>
      <c r="V141">
        <f t="shared" si="56"/>
        <v>0.44444444444444442</v>
      </c>
      <c r="W141">
        <f>survey_responses[[#This Row],[Tôi tin rằng Nhà nước, cơ quan thuế có đủ khả năng và công nghệ để phát hiện, xử lý nghiêm các hành vi trốn thuế. - HUMAN-ENF2]]</f>
        <v>9</v>
      </c>
      <c r="X141">
        <f t="shared" si="57"/>
        <v>0.88888888888888884</v>
      </c>
      <c r="Y141" s="32">
        <f t="shared" si="58"/>
        <v>0.5</v>
      </c>
      <c r="Z141" s="32">
        <f t="shared" si="59"/>
        <v>0.94444444444444442</v>
      </c>
      <c r="AA141">
        <f>step3_validation[[#This Row],[AI_FAC1]]</f>
        <v>8</v>
      </c>
      <c r="AB141">
        <f t="shared" si="60"/>
        <v>0.77777777777777779</v>
      </c>
      <c r="AC141">
        <f>survey_responses[[#This Row],[Các thủ tục khai báo thuế VÀ/HOẶC quy trình làm việc với cơ quan thuế đơn giản, tiện lợi, nhanh chóng hơn so với trước đây. - HUMAN-FAC1]]</f>
        <v>9</v>
      </c>
      <c r="AD141">
        <f t="shared" si="61"/>
        <v>0.88888888888888884</v>
      </c>
      <c r="AE141">
        <f>step3_validation[[#This Row],[AI_FAC2]]</f>
        <v>9</v>
      </c>
      <c r="AF141">
        <f t="shared" si="62"/>
        <v>0.88888888888888884</v>
      </c>
      <c r="AG141">
        <f>survey_responses[[#This Row],[So với trước đây, tôi thấy cách tính thuế và các bậc thuế trong phương án mới đơn giản, dễ hiểu và dễ thực hiện hơn. - HUMAN-FAC2]]</f>
        <v>9</v>
      </c>
      <c r="AH141">
        <f t="shared" si="63"/>
        <v>0.88888888888888884</v>
      </c>
      <c r="AI141" s="32">
        <f t="shared" si="64"/>
        <v>0.83333333333333326</v>
      </c>
      <c r="AJ141" s="32">
        <f t="shared" si="65"/>
        <v>0.88888888888888884</v>
      </c>
      <c r="AK141">
        <f>step3_validation[[#This Row],[AI_TRU1]]</f>
        <v>8</v>
      </c>
      <c r="AL141">
        <f t="shared" si="66"/>
        <v>0.77777777777777779</v>
      </c>
      <c r="AM141">
        <f>survey_responses[[#This Row],[Tôi tin rằng Nhà nước, cơ quan thuế sẽ thực thi chính sách mới một cách khách quan, công tâm và đối xử bình đẳng với mọi người nộp thuế.  - HUMAN-TRU1]]</f>
        <v>8</v>
      </c>
      <c r="AN141">
        <f t="shared" si="67"/>
        <v>0.77777777777777779</v>
      </c>
      <c r="AO141">
        <f>step3_validation[[#This Row],[AI_TRU2]]</f>
        <v>9</v>
      </c>
      <c r="AP141">
        <f t="shared" si="68"/>
        <v>0.88888888888888884</v>
      </c>
      <c r="AQ141">
        <f>survey_responses[[#This Row],[Tôi thấy mức thuế tôi phải đóng theo phương án mới là công bằng (người thu nhập như tôi đóng mức này là hợp lý). - HUMAN-TRU2]]</f>
        <v>8</v>
      </c>
      <c r="AR141">
        <f t="shared" si="69"/>
        <v>0.77777777777777779</v>
      </c>
      <c r="AS141">
        <f>step3_validation[[#This Row],[AI_TRU3]]</f>
        <v>7</v>
      </c>
      <c r="AT141">
        <f t="shared" si="70"/>
        <v>0.66666666666666663</v>
      </c>
      <c r="AU141">
        <f>survey_responses[[#This Row],[Tôi tin tưởng số tiền thuế tôi đóng sẽ được Nhà nước sử dụng hiệu quả để cải thiện dịch vụ công (y tế, đường xá...). - HUMAN-TRU3]]</f>
        <v>8</v>
      </c>
      <c r="AV141">
        <f t="shared" si="71"/>
        <v>0.77777777777777779</v>
      </c>
      <c r="AW141">
        <f>step3_validation[[#This Row],[AI_TRU4]]</f>
        <v>6</v>
      </c>
      <c r="AX141">
        <f t="shared" si="72"/>
        <v>0.55555555555555558</v>
      </c>
      <c r="AY141">
        <f>survey_responses[[#This Row],[Tôi thấy Nhà nước đã giải thích rõ ràng, minh bạch về lý do và mục tiêu của việc sửa đổi thuế lần này. - HUMAN-TRU4]]</f>
        <v>8</v>
      </c>
      <c r="AZ141">
        <f t="shared" si="73"/>
        <v>0.77777777777777779</v>
      </c>
      <c r="BA141" s="32">
        <f t="shared" si="74"/>
        <v>0.7222222222222221</v>
      </c>
      <c r="BB141" s="32">
        <f t="shared" si="75"/>
        <v>0.77777777777777779</v>
      </c>
      <c r="BC141" s="7">
        <f t="shared" si="76"/>
        <v>0.68518518518518512</v>
      </c>
      <c r="BD141" s="7">
        <f t="shared" si="77"/>
        <v>0.87037037037037035</v>
      </c>
      <c r="BE141">
        <f>step3_validation[[#This Row],[AI_OUT1]]</f>
        <v>8</v>
      </c>
      <c r="BF141">
        <f t="shared" si="78"/>
        <v>0.77777777777777779</v>
      </c>
      <c r="BG141">
        <f>survey_responses[[#This Row],[Sau khi xem xét các quyền lợi và nghĩa vụ, bạn có ủng hộ và tuân thủ chính sách mới hiện nay? - HUMAN-OUT1]]</f>
        <v>10</v>
      </c>
      <c r="BH141">
        <f t="shared" si="79"/>
        <v>1</v>
      </c>
      <c r="BI141" s="32">
        <f t="shared" si="80"/>
        <v>2</v>
      </c>
    </row>
    <row r="142" spans="1:61" x14ac:dyDescent="0.45">
      <c r="A142" s="30">
        <f>step3_validation[[#This Row],[Persona_ID]]</f>
        <v>141</v>
      </c>
      <c r="B142" s="31">
        <f>step3_validation[[#This Row],[Used_Seed]]</f>
        <v>141</v>
      </c>
      <c r="C142" t="str">
        <f>step3_validation[[#This Row],[Gender]]</f>
        <v>Nam</v>
      </c>
      <c r="D142" t="str">
        <f>survey_responses[[#This Row],[Giới tính của bạn:]]</f>
        <v>Nam</v>
      </c>
      <c r="E142" t="str">
        <f>step3_validation[[#This Row],[Age_Group]]</f>
        <v>30 - 39</v>
      </c>
      <c r="F142" t="str">
        <f>survey_responses[[#This Row],[Độ tuổi của bạn:]]</f>
        <v>30 - 39</v>
      </c>
      <c r="G142" t="str">
        <f>step3_validation[[#This Row],[Region]]</f>
        <v>Thành thị</v>
      </c>
      <c r="H142" t="str">
        <f>survey_responses[[#This Row],[Khu vực bạn đang sinh sống:]]</f>
        <v>Thành thị</v>
      </c>
      <c r="I142" t="str">
        <f>step3_validation[[#This Row],[Education]]</f>
        <v>Đại học</v>
      </c>
      <c r="J142" t="str">
        <f>survey_responses[[#This Row],[Trình độ học vấn cao nhất:]]</f>
        <v>Đại học</v>
      </c>
      <c r="K142" t="str">
        <f>step3_validation[[#This Row],[Employment]]</f>
        <v>Chính thức</v>
      </c>
      <c r="L142" t="str">
        <f>survey_responses[[#This Row],[Tình trạng việc làm chính:]]</f>
        <v>Khu vực chính thức (Có Hợp đồng lao động, đóng BHXH)</v>
      </c>
      <c r="M142">
        <f>step3_validation[[#This Row],[Income_Mil]]</f>
        <v>28.890372059104706</v>
      </c>
      <c r="N142" t="str">
        <f>survey_responses[[#This Row],[Thu nhập bình quân tháng theo Hợp đồng lao động của bạn là bao nhiêu? (Vui lòng điền tổng thu nhập trước khi khấu trừ các loại Bảo hiểm (BHXH, BHYT, BHTN) và Thuế TNCN)]]</f>
        <v>Từ 23 - 32 triệu VNĐ</v>
      </c>
      <c r="O142">
        <f>step3_validation[[#This Row],[Dependents]]</f>
        <v>1</v>
      </c>
      <c r="P142" t="str">
        <f>survey_responses[[#This Row],[Số người phụ thuộc (con nhỏ, cha mẹ già...) đủ điều kiện giảm trừ gia cảnh:]]</f>
        <v>1 người</v>
      </c>
      <c r="Q142">
        <f>step3_validation[[#This Row],[AI_ENF1]]</f>
        <v>7</v>
      </c>
      <c r="R142">
        <f t="shared" si="54"/>
        <v>0.66666666666666663</v>
      </c>
      <c r="S142">
        <f>survey_responses[[#This Row],[Tôi tin rằng với các quy định quản lý thuế hiện nay, hành vi gian lận hoặc trốn thuế sẽ dễ dàng bị phát hiện và xử lý nghiêm. - HUMAN-ENF1]]</f>
        <v>8</v>
      </c>
      <c r="T142">
        <f t="shared" si="55"/>
        <v>0.77777777777777779</v>
      </c>
      <c r="U142">
        <f>step3_validation[[#This Row],[AI_ENF2]]</f>
        <v>6</v>
      </c>
      <c r="V142">
        <f t="shared" si="56"/>
        <v>0.55555555555555558</v>
      </c>
      <c r="W142">
        <f>survey_responses[[#This Row],[Tôi tin rằng Nhà nước, cơ quan thuế có đủ khả năng và công nghệ để phát hiện, xử lý nghiêm các hành vi trốn thuế. - HUMAN-ENF2]]</f>
        <v>7</v>
      </c>
      <c r="X142">
        <f t="shared" si="57"/>
        <v>0.66666666666666663</v>
      </c>
      <c r="Y142" s="32">
        <f t="shared" si="58"/>
        <v>0.61111111111111116</v>
      </c>
      <c r="Z142" s="32">
        <f t="shared" si="59"/>
        <v>0.72222222222222221</v>
      </c>
      <c r="AA142">
        <f>step3_validation[[#This Row],[AI_FAC1]]</f>
        <v>9</v>
      </c>
      <c r="AB142">
        <f t="shared" si="60"/>
        <v>0.88888888888888884</v>
      </c>
      <c r="AC142">
        <f>survey_responses[[#This Row],[Các thủ tục khai báo thuế VÀ/HOẶC quy trình làm việc với cơ quan thuế đơn giản, tiện lợi, nhanh chóng hơn so với trước đây. - HUMAN-FAC1]]</f>
        <v>6</v>
      </c>
      <c r="AD142">
        <f t="shared" si="61"/>
        <v>0.55555555555555558</v>
      </c>
      <c r="AE142">
        <f>step3_validation[[#This Row],[AI_FAC2]]</f>
        <v>8</v>
      </c>
      <c r="AF142">
        <f t="shared" si="62"/>
        <v>0.77777777777777779</v>
      </c>
      <c r="AG142">
        <f>survey_responses[[#This Row],[So với trước đây, tôi thấy cách tính thuế và các bậc thuế trong phương án mới đơn giản, dễ hiểu và dễ thực hiện hơn. - HUMAN-FAC2]]</f>
        <v>6</v>
      </c>
      <c r="AH142">
        <f t="shared" si="63"/>
        <v>0.55555555555555558</v>
      </c>
      <c r="AI142" s="32">
        <f t="shared" si="64"/>
        <v>0.83333333333333326</v>
      </c>
      <c r="AJ142" s="32">
        <f t="shared" si="65"/>
        <v>0.55555555555555558</v>
      </c>
      <c r="AK142">
        <f>step3_validation[[#This Row],[AI_TRU1]]</f>
        <v>7</v>
      </c>
      <c r="AL142">
        <f t="shared" si="66"/>
        <v>0.66666666666666663</v>
      </c>
      <c r="AM142">
        <f>survey_responses[[#This Row],[Tôi tin rằng Nhà nước, cơ quan thuế sẽ thực thi chính sách mới một cách khách quan, công tâm và đối xử bình đẳng với mọi người nộp thuế.  - HUMAN-TRU1]]</f>
        <v>5</v>
      </c>
      <c r="AN142">
        <f t="shared" si="67"/>
        <v>0.44444444444444442</v>
      </c>
      <c r="AO142">
        <f>step3_validation[[#This Row],[AI_TRU2]]</f>
        <v>8</v>
      </c>
      <c r="AP142">
        <f t="shared" si="68"/>
        <v>0.77777777777777779</v>
      </c>
      <c r="AQ142">
        <f>survey_responses[[#This Row],[Tôi thấy mức thuế tôi phải đóng theo phương án mới là công bằng (người thu nhập như tôi đóng mức này là hợp lý). - HUMAN-TRU2]]</f>
        <v>5</v>
      </c>
      <c r="AR142">
        <f t="shared" si="69"/>
        <v>0.44444444444444442</v>
      </c>
      <c r="AS142">
        <f>step3_validation[[#This Row],[AI_TRU3]]</f>
        <v>7</v>
      </c>
      <c r="AT142">
        <f t="shared" si="70"/>
        <v>0.66666666666666663</v>
      </c>
      <c r="AU142">
        <f>survey_responses[[#This Row],[Tôi tin tưởng số tiền thuế tôi đóng sẽ được Nhà nước sử dụng hiệu quả để cải thiện dịch vụ công (y tế, đường xá...). - HUMAN-TRU3]]</f>
        <v>3</v>
      </c>
      <c r="AV142">
        <f t="shared" si="71"/>
        <v>0.22222222222222221</v>
      </c>
      <c r="AW142">
        <f>step3_validation[[#This Row],[AI_TRU4]]</f>
        <v>6</v>
      </c>
      <c r="AX142">
        <f t="shared" si="72"/>
        <v>0.55555555555555558</v>
      </c>
      <c r="AY142">
        <f>survey_responses[[#This Row],[Tôi thấy Nhà nước đã giải thích rõ ràng, minh bạch về lý do và mục tiêu của việc sửa đổi thuế lần này. - HUMAN-TRU4]]</f>
        <v>3</v>
      </c>
      <c r="AZ142">
        <f t="shared" si="73"/>
        <v>0.22222222222222221</v>
      </c>
      <c r="BA142" s="32">
        <f t="shared" si="74"/>
        <v>0.66666666666666674</v>
      </c>
      <c r="BB142" s="32">
        <f t="shared" si="75"/>
        <v>0.33333333333333337</v>
      </c>
      <c r="BC142" s="7">
        <f t="shared" si="76"/>
        <v>0.70370370370370372</v>
      </c>
      <c r="BD142" s="7">
        <f t="shared" si="77"/>
        <v>0.53703703703703709</v>
      </c>
      <c r="BE142">
        <f>step3_validation[[#This Row],[AI_OUT1]]</f>
        <v>9</v>
      </c>
      <c r="BF142">
        <f t="shared" si="78"/>
        <v>0.88888888888888884</v>
      </c>
      <c r="BG142">
        <f>survey_responses[[#This Row],[Sau khi xem xét các quyền lợi và nghĩa vụ, bạn có ủng hộ và tuân thủ chính sách mới hiện nay? - HUMAN-OUT1]]</f>
        <v>5</v>
      </c>
      <c r="BH142">
        <f t="shared" si="79"/>
        <v>0.44444444444444442</v>
      </c>
      <c r="BI142" s="32">
        <f t="shared" si="80"/>
        <v>4</v>
      </c>
    </row>
    <row r="143" spans="1:61" x14ac:dyDescent="0.45">
      <c r="A143" s="30">
        <f>step3_validation[[#This Row],[Persona_ID]]</f>
        <v>142</v>
      </c>
      <c r="B143" s="31">
        <f>step3_validation[[#This Row],[Used_Seed]]</f>
        <v>142</v>
      </c>
      <c r="C143" t="str">
        <f>step3_validation[[#This Row],[Gender]]</f>
        <v>Nam</v>
      </c>
      <c r="D143" t="str">
        <f>survey_responses[[#This Row],[Giới tính của bạn:]]</f>
        <v>Nam</v>
      </c>
      <c r="E143" t="str">
        <f>step3_validation[[#This Row],[Age_Group]]</f>
        <v>40 - 49</v>
      </c>
      <c r="F143" t="str">
        <f>survey_responses[[#This Row],[Độ tuổi của bạn:]]</f>
        <v>40 - 49</v>
      </c>
      <c r="G143" t="str">
        <f>step3_validation[[#This Row],[Region]]</f>
        <v>Thành thị</v>
      </c>
      <c r="H143" t="str">
        <f>survey_responses[[#This Row],[Khu vực bạn đang sinh sống:]]</f>
        <v>Thành thị</v>
      </c>
      <c r="I143" t="str">
        <f>step3_validation[[#This Row],[Education]]</f>
        <v>Sau Đại học</v>
      </c>
      <c r="J143" t="str">
        <f>survey_responses[[#This Row],[Trình độ học vấn cao nhất:]]</f>
        <v>Sau Đại học</v>
      </c>
      <c r="K143" t="str">
        <f>step3_validation[[#This Row],[Employment]]</f>
        <v>Chính thức</v>
      </c>
      <c r="L143" t="str">
        <f>survey_responses[[#This Row],[Tình trạng việc làm chính:]]</f>
        <v>Khu vực chính thức (Có Hợp đồng lao động, đóng BHXH)</v>
      </c>
      <c r="M143">
        <f>step3_validation[[#This Row],[Income_Mil]]</f>
        <v>12</v>
      </c>
      <c r="N143" t="str">
        <f>survey_responses[[#This Row],[Thu nhập bình quân tháng theo Hợp đồng lao động của bạn là bao nhiêu? (Vui lòng điền tổng thu nhập trước khi khấu trừ các loại Bảo hiểm (BHXH, BHYT, BHTN) và Thuế TNCN)]]</f>
        <v>Dưới 12 triệu VNĐ</v>
      </c>
      <c r="O143">
        <f>step3_validation[[#This Row],[Dependents]]</f>
        <v>1</v>
      </c>
      <c r="P143" t="str">
        <f>survey_responses[[#This Row],[Số người phụ thuộc (con nhỏ, cha mẹ già...) đủ điều kiện giảm trừ gia cảnh:]]</f>
        <v>1 người</v>
      </c>
      <c r="Q143">
        <f>step3_validation[[#This Row],[AI_ENF1]]</f>
        <v>6</v>
      </c>
      <c r="R143">
        <f t="shared" si="54"/>
        <v>0.55555555555555558</v>
      </c>
      <c r="S143">
        <f>survey_responses[[#This Row],[Tôi tin rằng với các quy định quản lý thuế hiện nay, hành vi gian lận hoặc trốn thuế sẽ dễ dàng bị phát hiện và xử lý nghiêm. - HUMAN-ENF1]]</f>
        <v>5</v>
      </c>
      <c r="T143">
        <f t="shared" si="55"/>
        <v>0.44444444444444442</v>
      </c>
      <c r="U143">
        <f>step3_validation[[#This Row],[AI_ENF2]]</f>
        <v>5</v>
      </c>
      <c r="V143">
        <f t="shared" si="56"/>
        <v>0.44444444444444442</v>
      </c>
      <c r="W143">
        <f>survey_responses[[#This Row],[Tôi tin rằng Nhà nước, cơ quan thuế có đủ khả năng và công nghệ để phát hiện, xử lý nghiêm các hành vi trốn thuế. - HUMAN-ENF2]]</f>
        <v>6</v>
      </c>
      <c r="X143">
        <f t="shared" si="57"/>
        <v>0.55555555555555558</v>
      </c>
      <c r="Y143" s="32">
        <f t="shared" si="58"/>
        <v>0.5</v>
      </c>
      <c r="Z143" s="32">
        <f t="shared" si="59"/>
        <v>0.5</v>
      </c>
      <c r="AA143">
        <f>step3_validation[[#This Row],[AI_FAC1]]</f>
        <v>7</v>
      </c>
      <c r="AB143">
        <f t="shared" si="60"/>
        <v>0.66666666666666663</v>
      </c>
      <c r="AC143">
        <f>survey_responses[[#This Row],[Các thủ tục khai báo thuế VÀ/HOẶC quy trình làm việc với cơ quan thuế đơn giản, tiện lợi, nhanh chóng hơn so với trước đây. - HUMAN-FAC1]]</f>
        <v>5</v>
      </c>
      <c r="AD143">
        <f t="shared" si="61"/>
        <v>0.44444444444444442</v>
      </c>
      <c r="AE143">
        <f>step3_validation[[#This Row],[AI_FAC2]]</f>
        <v>8</v>
      </c>
      <c r="AF143">
        <f t="shared" si="62"/>
        <v>0.77777777777777779</v>
      </c>
      <c r="AG143">
        <f>survey_responses[[#This Row],[So với trước đây, tôi thấy cách tính thuế và các bậc thuế trong phương án mới đơn giản, dễ hiểu và dễ thực hiện hơn. - HUMAN-FAC2]]</f>
        <v>7</v>
      </c>
      <c r="AH143">
        <f t="shared" si="63"/>
        <v>0.66666666666666663</v>
      </c>
      <c r="AI143" s="32">
        <f t="shared" si="64"/>
        <v>0.72222222222222221</v>
      </c>
      <c r="AJ143" s="32">
        <f t="shared" si="65"/>
        <v>0.55555555555555558</v>
      </c>
      <c r="AK143">
        <f>step3_validation[[#This Row],[AI_TRU1]]</f>
        <v>9</v>
      </c>
      <c r="AL143">
        <f t="shared" si="66"/>
        <v>0.88888888888888884</v>
      </c>
      <c r="AM143">
        <f>survey_responses[[#This Row],[Tôi tin rằng Nhà nước, cơ quan thuế sẽ thực thi chính sách mới một cách khách quan, công tâm và đối xử bình đẳng với mọi người nộp thuế.  - HUMAN-TRU1]]</f>
        <v>6</v>
      </c>
      <c r="AN143">
        <f t="shared" si="67"/>
        <v>0.55555555555555558</v>
      </c>
      <c r="AO143">
        <f>step3_validation[[#This Row],[AI_TRU2]]</f>
        <v>8</v>
      </c>
      <c r="AP143">
        <f t="shared" si="68"/>
        <v>0.77777777777777779</v>
      </c>
      <c r="AQ143">
        <f>survey_responses[[#This Row],[Tôi thấy mức thuế tôi phải đóng theo phương án mới là công bằng (người thu nhập như tôi đóng mức này là hợp lý). - HUMAN-TRU2]]</f>
        <v>6</v>
      </c>
      <c r="AR143">
        <f t="shared" si="69"/>
        <v>0.55555555555555558</v>
      </c>
      <c r="AS143">
        <f>step3_validation[[#This Row],[AI_TRU3]]</f>
        <v>7</v>
      </c>
      <c r="AT143">
        <f t="shared" si="70"/>
        <v>0.66666666666666663</v>
      </c>
      <c r="AU143">
        <f>survey_responses[[#This Row],[Tôi tin tưởng số tiền thuế tôi đóng sẽ được Nhà nước sử dụng hiệu quả để cải thiện dịch vụ công (y tế, đường xá...). - HUMAN-TRU3]]</f>
        <v>6</v>
      </c>
      <c r="AV143">
        <f t="shared" si="71"/>
        <v>0.55555555555555558</v>
      </c>
      <c r="AW143">
        <f>step3_validation[[#This Row],[AI_TRU4]]</f>
        <v>6</v>
      </c>
      <c r="AX143">
        <f t="shared" si="72"/>
        <v>0.55555555555555558</v>
      </c>
      <c r="AY143">
        <f>survey_responses[[#This Row],[Tôi thấy Nhà nước đã giải thích rõ ràng, minh bạch về lý do và mục tiêu của việc sửa đổi thuế lần này. - HUMAN-TRU4]]</f>
        <v>7</v>
      </c>
      <c r="AZ143">
        <f t="shared" si="73"/>
        <v>0.66666666666666663</v>
      </c>
      <c r="BA143" s="32">
        <f t="shared" si="74"/>
        <v>0.7222222222222221</v>
      </c>
      <c r="BB143" s="32">
        <f t="shared" si="75"/>
        <v>0.58333333333333337</v>
      </c>
      <c r="BC143" s="7">
        <f t="shared" si="76"/>
        <v>0.64814814814814814</v>
      </c>
      <c r="BD143" s="7">
        <f t="shared" si="77"/>
        <v>0.54629629629629628</v>
      </c>
      <c r="BE143">
        <f>step3_validation[[#This Row],[AI_OUT1]]</f>
        <v>9</v>
      </c>
      <c r="BF143">
        <f t="shared" si="78"/>
        <v>0.88888888888888884</v>
      </c>
      <c r="BG143">
        <f>survey_responses[[#This Row],[Sau khi xem xét các quyền lợi và nghĩa vụ, bạn có ủng hộ và tuân thủ chính sách mới hiện nay? - HUMAN-OUT1]]</f>
        <v>7</v>
      </c>
      <c r="BH143">
        <f t="shared" si="79"/>
        <v>0.66666666666666663</v>
      </c>
      <c r="BI143" s="32">
        <f t="shared" si="80"/>
        <v>2</v>
      </c>
    </row>
    <row r="144" spans="1:61" x14ac:dyDescent="0.45">
      <c r="A144" s="30">
        <f>step3_validation[[#This Row],[Persona_ID]]</f>
        <v>143</v>
      </c>
      <c r="B144" s="31">
        <f>step3_validation[[#This Row],[Used_Seed]]</f>
        <v>143</v>
      </c>
      <c r="C144" t="str">
        <f>step3_validation[[#This Row],[Gender]]</f>
        <v>Nam</v>
      </c>
      <c r="D144" t="str">
        <f>survey_responses[[#This Row],[Giới tính của bạn:]]</f>
        <v>Nam</v>
      </c>
      <c r="E144" t="str">
        <f>step3_validation[[#This Row],[Age_Group]]</f>
        <v>30 - 39</v>
      </c>
      <c r="F144" t="str">
        <f>survey_responses[[#This Row],[Độ tuổi của bạn:]]</f>
        <v>30 - 39</v>
      </c>
      <c r="G144" t="str">
        <f>step3_validation[[#This Row],[Region]]</f>
        <v>Thành thị</v>
      </c>
      <c r="H144" t="str">
        <f>survey_responses[[#This Row],[Khu vực bạn đang sinh sống:]]</f>
        <v>Thành thị</v>
      </c>
      <c r="I144" t="str">
        <f>step3_validation[[#This Row],[Education]]</f>
        <v>Sau Đại học</v>
      </c>
      <c r="J144" t="str">
        <f>survey_responses[[#This Row],[Trình độ học vấn cao nhất:]]</f>
        <v>Sau Đại học</v>
      </c>
      <c r="K144" t="str">
        <f>step3_validation[[#This Row],[Employment]]</f>
        <v>Chính thức</v>
      </c>
      <c r="L144" t="str">
        <f>survey_responses[[#This Row],[Tình trạng việc làm chính:]]</f>
        <v>Khu vực chính thức (Có Hợp đồng lao động, đóng BHXH)</v>
      </c>
      <c r="M144">
        <f>step3_validation[[#This Row],[Income_Mil]]</f>
        <v>163.17138364369816</v>
      </c>
      <c r="N144" t="str">
        <f>survey_responses[[#This Row],[Thu nhập bình quân tháng theo Hợp đồng lao động của bạn là bao nhiêu? (Vui lòng điền tổng thu nhập trước khi khấu trừ các loại Bảo hiểm (BHXH, BHYT, BHTN) và Thuế TNCN)]]</f>
        <v>Trên 102 triệu VNĐ</v>
      </c>
      <c r="O144">
        <f>step3_validation[[#This Row],[Dependents]]</f>
        <v>0</v>
      </c>
      <c r="P144" t="str">
        <f>survey_responses[[#This Row],[Số người phụ thuộc (con nhỏ, cha mẹ già...) đủ điều kiện giảm trừ gia cảnh:]]</f>
        <v>0 người</v>
      </c>
      <c r="Q144">
        <f>step3_validation[[#This Row],[AI_ENF1]]</f>
        <v>7</v>
      </c>
      <c r="R144">
        <f t="shared" si="54"/>
        <v>0.66666666666666663</v>
      </c>
      <c r="S144">
        <f>survey_responses[[#This Row],[Tôi tin rằng với các quy định quản lý thuế hiện nay, hành vi gian lận hoặc trốn thuế sẽ dễ dàng bị phát hiện và xử lý nghiêm. - HUMAN-ENF1]]</f>
        <v>1</v>
      </c>
      <c r="T144">
        <f t="shared" si="55"/>
        <v>0</v>
      </c>
      <c r="U144">
        <f>step3_validation[[#This Row],[AI_ENF2]]</f>
        <v>8</v>
      </c>
      <c r="V144">
        <f t="shared" si="56"/>
        <v>0.77777777777777779</v>
      </c>
      <c r="W144">
        <f>survey_responses[[#This Row],[Tôi tin rằng Nhà nước, cơ quan thuế có đủ khả năng và công nghệ để phát hiện, xử lý nghiêm các hành vi trốn thuế. - HUMAN-ENF2]]</f>
        <v>1</v>
      </c>
      <c r="X144">
        <f t="shared" si="57"/>
        <v>0</v>
      </c>
      <c r="Y144" s="32">
        <f t="shared" si="58"/>
        <v>0.72222222222222221</v>
      </c>
      <c r="Z144" s="32">
        <f t="shared" si="59"/>
        <v>0</v>
      </c>
      <c r="AA144">
        <f>step3_validation[[#This Row],[AI_FAC1]]</f>
        <v>7</v>
      </c>
      <c r="AB144">
        <f t="shared" si="60"/>
        <v>0.66666666666666663</v>
      </c>
      <c r="AC144">
        <f>survey_responses[[#This Row],[Các thủ tục khai báo thuế VÀ/HOẶC quy trình làm việc với cơ quan thuế đơn giản, tiện lợi, nhanh chóng hơn so với trước đây. - HUMAN-FAC1]]</f>
        <v>8</v>
      </c>
      <c r="AD144">
        <f t="shared" si="61"/>
        <v>0.77777777777777779</v>
      </c>
      <c r="AE144">
        <f>step3_validation[[#This Row],[AI_FAC2]]</f>
        <v>9</v>
      </c>
      <c r="AF144">
        <f t="shared" si="62"/>
        <v>0.88888888888888884</v>
      </c>
      <c r="AG144">
        <f>survey_responses[[#This Row],[So với trước đây, tôi thấy cách tính thuế và các bậc thuế trong phương án mới đơn giản, dễ hiểu và dễ thực hiện hơn. - HUMAN-FAC2]]</f>
        <v>8</v>
      </c>
      <c r="AH144">
        <f t="shared" si="63"/>
        <v>0.77777777777777779</v>
      </c>
      <c r="AI144" s="32">
        <f t="shared" si="64"/>
        <v>0.77777777777777768</v>
      </c>
      <c r="AJ144" s="32">
        <f t="shared" si="65"/>
        <v>0.77777777777777779</v>
      </c>
      <c r="AK144">
        <f>step3_validation[[#This Row],[AI_TRU1]]</f>
        <v>7</v>
      </c>
      <c r="AL144">
        <f t="shared" si="66"/>
        <v>0.66666666666666663</v>
      </c>
      <c r="AM144">
        <f>survey_responses[[#This Row],[Tôi tin rằng Nhà nước, cơ quan thuế sẽ thực thi chính sách mới một cách khách quan, công tâm và đối xử bình đẳng với mọi người nộp thuế.  - HUMAN-TRU1]]</f>
        <v>8</v>
      </c>
      <c r="AN144">
        <f t="shared" si="67"/>
        <v>0.77777777777777779</v>
      </c>
      <c r="AO144">
        <f>step3_validation[[#This Row],[AI_TRU2]]</f>
        <v>8</v>
      </c>
      <c r="AP144">
        <f t="shared" si="68"/>
        <v>0.77777777777777779</v>
      </c>
      <c r="AQ144">
        <f>survey_responses[[#This Row],[Tôi thấy mức thuế tôi phải đóng theo phương án mới là công bằng (người thu nhập như tôi đóng mức này là hợp lý). - HUMAN-TRU2]]</f>
        <v>8</v>
      </c>
      <c r="AR144">
        <f t="shared" si="69"/>
        <v>0.77777777777777779</v>
      </c>
      <c r="AS144">
        <f>step3_validation[[#This Row],[AI_TRU3]]</f>
        <v>7</v>
      </c>
      <c r="AT144">
        <f t="shared" si="70"/>
        <v>0.66666666666666663</v>
      </c>
      <c r="AU144">
        <f>survey_responses[[#This Row],[Tôi tin tưởng số tiền thuế tôi đóng sẽ được Nhà nước sử dụng hiệu quả để cải thiện dịch vụ công (y tế, đường xá...). - HUMAN-TRU3]]</f>
        <v>8</v>
      </c>
      <c r="AV144">
        <f t="shared" si="71"/>
        <v>0.77777777777777779</v>
      </c>
      <c r="AW144">
        <f>step3_validation[[#This Row],[AI_TRU4]]</f>
        <v>8</v>
      </c>
      <c r="AX144">
        <f t="shared" si="72"/>
        <v>0.77777777777777779</v>
      </c>
      <c r="AY144">
        <f>survey_responses[[#This Row],[Tôi thấy Nhà nước đã giải thích rõ ràng, minh bạch về lý do và mục tiêu của việc sửa đổi thuế lần này. - HUMAN-TRU4]]</f>
        <v>8</v>
      </c>
      <c r="AZ144">
        <f t="shared" si="73"/>
        <v>0.77777777777777779</v>
      </c>
      <c r="BA144" s="32">
        <f t="shared" si="74"/>
        <v>0.72222222222222221</v>
      </c>
      <c r="BB144" s="32">
        <f t="shared" si="75"/>
        <v>0.77777777777777779</v>
      </c>
      <c r="BC144" s="7">
        <f t="shared" si="76"/>
        <v>0.74074074074074081</v>
      </c>
      <c r="BD144" s="7">
        <f t="shared" si="77"/>
        <v>0.51851851851851849</v>
      </c>
      <c r="BE144">
        <f>step3_validation[[#This Row],[AI_OUT1]]</f>
        <v>9</v>
      </c>
      <c r="BF144">
        <f t="shared" si="78"/>
        <v>0.88888888888888884</v>
      </c>
      <c r="BG144">
        <f>survey_responses[[#This Row],[Sau khi xem xét các quyền lợi và nghĩa vụ, bạn có ủng hộ và tuân thủ chính sách mới hiện nay? - HUMAN-OUT1]]</f>
        <v>8</v>
      </c>
      <c r="BH144">
        <f t="shared" si="79"/>
        <v>0.77777777777777779</v>
      </c>
      <c r="BI144" s="32">
        <f t="shared" si="80"/>
        <v>1</v>
      </c>
    </row>
    <row r="145" spans="1:61" x14ac:dyDescent="0.45">
      <c r="A145" s="30">
        <f>step3_validation[[#This Row],[Persona_ID]]</f>
        <v>144</v>
      </c>
      <c r="B145" s="31">
        <f>step3_validation[[#This Row],[Used_Seed]]</f>
        <v>144</v>
      </c>
      <c r="C145" t="str">
        <f>step3_validation[[#This Row],[Gender]]</f>
        <v>Nữ</v>
      </c>
      <c r="D145" t="str">
        <f>survey_responses[[#This Row],[Giới tính của bạn:]]</f>
        <v>Nữ</v>
      </c>
      <c r="E145" t="str">
        <f>step3_validation[[#This Row],[Age_Group]]</f>
        <v>50 - 54</v>
      </c>
      <c r="F145" t="str">
        <f>survey_responses[[#This Row],[Độ tuổi của bạn:]]</f>
        <v>50 - 54</v>
      </c>
      <c r="G145" t="str">
        <f>step3_validation[[#This Row],[Region]]</f>
        <v>Thành thị</v>
      </c>
      <c r="H145" t="str">
        <f>survey_responses[[#This Row],[Khu vực bạn đang sinh sống:]]</f>
        <v>Thành thị</v>
      </c>
      <c r="I145" t="str">
        <f>step3_validation[[#This Row],[Education]]</f>
        <v>Đại học</v>
      </c>
      <c r="J145" t="str">
        <f>survey_responses[[#This Row],[Trình độ học vấn cao nhất:]]</f>
        <v>Đại học</v>
      </c>
      <c r="K145" t="str">
        <f>step3_validation[[#This Row],[Employment]]</f>
        <v>Chính thức</v>
      </c>
      <c r="L145" t="str">
        <f>survey_responses[[#This Row],[Tình trạng việc làm chính:]]</f>
        <v>Khu vực chính thức (Có Hợp đồng lao động, đóng BHXH)</v>
      </c>
      <c r="M145">
        <f>step3_validation[[#This Row],[Income_Mil]]</f>
        <v>64.647998639983996</v>
      </c>
      <c r="N145" t="str">
        <f>survey_responses[[#This Row],[Thu nhập bình quân tháng theo Hợp đồng lao động của bạn là bao nhiêu? (Vui lòng điền tổng thu nhập trước khi khấu trừ các loại Bảo hiểm (BHXH, BHYT, BHTN) và Thuế TNCN)]]</f>
        <v>Từ 48 - 70 triệu VNĐ</v>
      </c>
      <c r="O145">
        <f>step3_validation[[#This Row],[Dependents]]</f>
        <v>2</v>
      </c>
      <c r="P145" t="str">
        <f>survey_responses[[#This Row],[Số người phụ thuộc (con nhỏ, cha mẹ già...) đủ điều kiện giảm trừ gia cảnh:]]</f>
        <v>2 người</v>
      </c>
      <c r="Q145">
        <f>step3_validation[[#This Row],[AI_ENF1]]</f>
        <v>7</v>
      </c>
      <c r="R145">
        <f t="shared" si="54"/>
        <v>0.66666666666666663</v>
      </c>
      <c r="S145">
        <f>survey_responses[[#This Row],[Tôi tin rằng với các quy định quản lý thuế hiện nay, hành vi gian lận hoặc trốn thuế sẽ dễ dàng bị phát hiện và xử lý nghiêm. - HUMAN-ENF1]]</f>
        <v>9</v>
      </c>
      <c r="T145">
        <f t="shared" si="55"/>
        <v>0.88888888888888884</v>
      </c>
      <c r="U145">
        <f>step3_validation[[#This Row],[AI_ENF2]]</f>
        <v>8</v>
      </c>
      <c r="V145">
        <f t="shared" si="56"/>
        <v>0.77777777777777779</v>
      </c>
      <c r="W145">
        <f>survey_responses[[#This Row],[Tôi tin rằng Nhà nước, cơ quan thuế có đủ khả năng và công nghệ để phát hiện, xử lý nghiêm các hành vi trốn thuế. - HUMAN-ENF2]]</f>
        <v>9</v>
      </c>
      <c r="X145">
        <f t="shared" si="57"/>
        <v>0.88888888888888884</v>
      </c>
      <c r="Y145" s="32">
        <f t="shared" si="58"/>
        <v>0.72222222222222221</v>
      </c>
      <c r="Z145" s="32">
        <f t="shared" si="59"/>
        <v>0.88888888888888884</v>
      </c>
      <c r="AA145">
        <f>step3_validation[[#This Row],[AI_FAC1]]</f>
        <v>9</v>
      </c>
      <c r="AB145">
        <f t="shared" si="60"/>
        <v>0.88888888888888884</v>
      </c>
      <c r="AC145">
        <f>survey_responses[[#This Row],[Các thủ tục khai báo thuế VÀ/HOẶC quy trình làm việc với cơ quan thuế đơn giản, tiện lợi, nhanh chóng hơn so với trước đây. - HUMAN-FAC1]]</f>
        <v>9</v>
      </c>
      <c r="AD145">
        <f t="shared" si="61"/>
        <v>0.88888888888888884</v>
      </c>
      <c r="AE145">
        <f>step3_validation[[#This Row],[AI_FAC2]]</f>
        <v>8</v>
      </c>
      <c r="AF145">
        <f t="shared" si="62"/>
        <v>0.77777777777777779</v>
      </c>
      <c r="AG145">
        <f>survey_responses[[#This Row],[So với trước đây, tôi thấy cách tính thuế và các bậc thuế trong phương án mới đơn giản, dễ hiểu và dễ thực hiện hơn. - HUMAN-FAC2]]</f>
        <v>9</v>
      </c>
      <c r="AH145">
        <f t="shared" si="63"/>
        <v>0.88888888888888884</v>
      </c>
      <c r="AI145" s="32">
        <f t="shared" si="64"/>
        <v>0.83333333333333326</v>
      </c>
      <c r="AJ145" s="32">
        <f t="shared" si="65"/>
        <v>0.88888888888888884</v>
      </c>
      <c r="AK145">
        <f>step3_validation[[#This Row],[AI_TRU1]]</f>
        <v>9</v>
      </c>
      <c r="AL145">
        <f t="shared" si="66"/>
        <v>0.88888888888888884</v>
      </c>
      <c r="AM145">
        <f>survey_responses[[#This Row],[Tôi tin rằng Nhà nước, cơ quan thuế sẽ thực thi chính sách mới một cách khách quan, công tâm và đối xử bình đẳng với mọi người nộp thuế.  - HUMAN-TRU1]]</f>
        <v>10</v>
      </c>
      <c r="AN145">
        <f t="shared" si="67"/>
        <v>1</v>
      </c>
      <c r="AO145">
        <f>step3_validation[[#This Row],[AI_TRU2]]</f>
        <v>9</v>
      </c>
      <c r="AP145">
        <f t="shared" si="68"/>
        <v>0.88888888888888884</v>
      </c>
      <c r="AQ145">
        <f>survey_responses[[#This Row],[Tôi thấy mức thuế tôi phải đóng theo phương án mới là công bằng (người thu nhập như tôi đóng mức này là hợp lý). - HUMAN-TRU2]]</f>
        <v>5</v>
      </c>
      <c r="AR145">
        <f t="shared" si="69"/>
        <v>0.44444444444444442</v>
      </c>
      <c r="AS145">
        <f>step3_validation[[#This Row],[AI_TRU3]]</f>
        <v>8</v>
      </c>
      <c r="AT145">
        <f t="shared" si="70"/>
        <v>0.77777777777777779</v>
      </c>
      <c r="AU145">
        <f>survey_responses[[#This Row],[Tôi tin tưởng số tiền thuế tôi đóng sẽ được Nhà nước sử dụng hiệu quả để cải thiện dịch vụ công (y tế, đường xá...). - HUMAN-TRU3]]</f>
        <v>9</v>
      </c>
      <c r="AV145">
        <f t="shared" si="71"/>
        <v>0.88888888888888884</v>
      </c>
      <c r="AW145">
        <f>step3_validation[[#This Row],[AI_TRU4]]</f>
        <v>7</v>
      </c>
      <c r="AX145">
        <f t="shared" si="72"/>
        <v>0.66666666666666663</v>
      </c>
      <c r="AY145">
        <f>survey_responses[[#This Row],[Tôi thấy Nhà nước đã giải thích rõ ràng, minh bạch về lý do và mục tiêu của việc sửa đổi thuế lần này. - HUMAN-TRU4]]</f>
        <v>9</v>
      </c>
      <c r="AZ145">
        <f t="shared" si="73"/>
        <v>0.88888888888888884</v>
      </c>
      <c r="BA145" s="32">
        <f t="shared" si="74"/>
        <v>0.80555555555555547</v>
      </c>
      <c r="BB145" s="32">
        <f t="shared" si="75"/>
        <v>0.80555555555555547</v>
      </c>
      <c r="BC145" s="7">
        <f t="shared" si="76"/>
        <v>0.78703703703703687</v>
      </c>
      <c r="BD145" s="7">
        <f t="shared" si="77"/>
        <v>0.86111111111111105</v>
      </c>
      <c r="BE145">
        <f>step3_validation[[#This Row],[AI_OUT1]]</f>
        <v>9</v>
      </c>
      <c r="BF145">
        <f t="shared" si="78"/>
        <v>0.88888888888888884</v>
      </c>
      <c r="BG145">
        <f>survey_responses[[#This Row],[Sau khi xem xét các quyền lợi và nghĩa vụ, bạn có ủng hộ và tuân thủ chính sách mới hiện nay? - HUMAN-OUT1]]</f>
        <v>10</v>
      </c>
      <c r="BH145">
        <f t="shared" si="79"/>
        <v>1</v>
      </c>
      <c r="BI145" s="32">
        <f t="shared" si="80"/>
        <v>1</v>
      </c>
    </row>
    <row r="146" spans="1:61" x14ac:dyDescent="0.45">
      <c r="A146" s="30">
        <f>step3_validation[[#This Row],[Persona_ID]]</f>
        <v>145</v>
      </c>
      <c r="B146" s="31">
        <f>step3_validation[[#This Row],[Used_Seed]]</f>
        <v>145</v>
      </c>
      <c r="C146" t="str">
        <f>step3_validation[[#This Row],[Gender]]</f>
        <v>Nữ</v>
      </c>
      <c r="D146" t="str">
        <f>survey_responses[[#This Row],[Giới tính của bạn:]]</f>
        <v>Nữ</v>
      </c>
      <c r="E146" t="str">
        <f>step3_validation[[#This Row],[Age_Group]]</f>
        <v>40 - 49</v>
      </c>
      <c r="F146" t="str">
        <f>survey_responses[[#This Row],[Độ tuổi của bạn:]]</f>
        <v>40 - 49</v>
      </c>
      <c r="G146" t="str">
        <f>step3_validation[[#This Row],[Region]]</f>
        <v>Thành thị</v>
      </c>
      <c r="H146" t="str">
        <f>survey_responses[[#This Row],[Khu vực bạn đang sinh sống:]]</f>
        <v>Thành thị</v>
      </c>
      <c r="I146" t="str">
        <f>step3_validation[[#This Row],[Education]]</f>
        <v>Đại học</v>
      </c>
      <c r="J146" t="str">
        <f>survey_responses[[#This Row],[Trình độ học vấn cao nhất:]]</f>
        <v>Đại học</v>
      </c>
      <c r="K146" t="str">
        <f>step3_validation[[#This Row],[Employment]]</f>
        <v>Chính thức</v>
      </c>
      <c r="L146" t="str">
        <f>survey_responses[[#This Row],[Tình trạng việc làm chính:]]</f>
        <v>Khu vực chính thức (Có Hợp đồng lao động, đóng BHXH)</v>
      </c>
      <c r="M146">
        <f>step3_validation[[#This Row],[Income_Mil]]</f>
        <v>60.613241688350683</v>
      </c>
      <c r="N146" t="str">
        <f>survey_responses[[#This Row],[Thu nhập bình quân tháng theo Hợp đồng lao động của bạn là bao nhiêu? (Vui lòng điền tổng thu nhập trước khi khấu trừ các loại Bảo hiểm (BHXH, BHYT, BHTN) và Thuế TNCN)]]</f>
        <v>Từ 48 - 70 triệu VNĐ</v>
      </c>
      <c r="O146">
        <f>step3_validation[[#This Row],[Dependents]]</f>
        <v>2</v>
      </c>
      <c r="P146" t="str">
        <f>survey_responses[[#This Row],[Số người phụ thuộc (con nhỏ, cha mẹ già...) đủ điều kiện giảm trừ gia cảnh:]]</f>
        <v>2 người</v>
      </c>
      <c r="Q146">
        <f>step3_validation[[#This Row],[AI_ENF1]]</f>
        <v>7</v>
      </c>
      <c r="R146">
        <f t="shared" si="54"/>
        <v>0.66666666666666663</v>
      </c>
      <c r="S146">
        <f>survey_responses[[#This Row],[Tôi tin rằng với các quy định quản lý thuế hiện nay, hành vi gian lận hoặc trốn thuế sẽ dễ dàng bị phát hiện và xử lý nghiêm. - HUMAN-ENF1]]</f>
        <v>10</v>
      </c>
      <c r="T146">
        <f t="shared" si="55"/>
        <v>1</v>
      </c>
      <c r="U146">
        <f>step3_validation[[#This Row],[AI_ENF2]]</f>
        <v>6</v>
      </c>
      <c r="V146">
        <f t="shared" si="56"/>
        <v>0.55555555555555558</v>
      </c>
      <c r="W146">
        <f>survey_responses[[#This Row],[Tôi tin rằng Nhà nước, cơ quan thuế có đủ khả năng và công nghệ để phát hiện, xử lý nghiêm các hành vi trốn thuế. - HUMAN-ENF2]]</f>
        <v>10</v>
      </c>
      <c r="X146">
        <f t="shared" si="57"/>
        <v>1</v>
      </c>
      <c r="Y146" s="32">
        <f t="shared" si="58"/>
        <v>0.61111111111111116</v>
      </c>
      <c r="Z146" s="32">
        <f t="shared" si="59"/>
        <v>1</v>
      </c>
      <c r="AA146">
        <f>step3_validation[[#This Row],[AI_FAC1]]</f>
        <v>9</v>
      </c>
      <c r="AB146">
        <f t="shared" si="60"/>
        <v>0.88888888888888884</v>
      </c>
      <c r="AC146">
        <f>survey_responses[[#This Row],[Các thủ tục khai báo thuế VÀ/HOẶC quy trình làm việc với cơ quan thuế đơn giản, tiện lợi, nhanh chóng hơn so với trước đây. - HUMAN-FAC1]]</f>
        <v>9</v>
      </c>
      <c r="AD146">
        <f t="shared" si="61"/>
        <v>0.88888888888888884</v>
      </c>
      <c r="AE146">
        <f>step3_validation[[#This Row],[AI_FAC2]]</f>
        <v>8</v>
      </c>
      <c r="AF146">
        <f t="shared" si="62"/>
        <v>0.77777777777777779</v>
      </c>
      <c r="AG146">
        <f>survey_responses[[#This Row],[So với trước đây, tôi thấy cách tính thuế và các bậc thuế trong phương án mới đơn giản, dễ hiểu và dễ thực hiện hơn. - HUMAN-FAC2]]</f>
        <v>6</v>
      </c>
      <c r="AH146">
        <f t="shared" si="63"/>
        <v>0.55555555555555558</v>
      </c>
      <c r="AI146" s="32">
        <f t="shared" si="64"/>
        <v>0.83333333333333326</v>
      </c>
      <c r="AJ146" s="32">
        <f t="shared" si="65"/>
        <v>0.72222222222222221</v>
      </c>
      <c r="AK146">
        <f>step3_validation[[#This Row],[AI_TRU1]]</f>
        <v>9</v>
      </c>
      <c r="AL146">
        <f t="shared" si="66"/>
        <v>0.88888888888888884</v>
      </c>
      <c r="AM146">
        <f>survey_responses[[#This Row],[Tôi tin rằng Nhà nước, cơ quan thuế sẽ thực thi chính sách mới một cách khách quan, công tâm và đối xử bình đẳng với mọi người nộp thuế.  - HUMAN-TRU1]]</f>
        <v>6</v>
      </c>
      <c r="AN146">
        <f t="shared" si="67"/>
        <v>0.55555555555555558</v>
      </c>
      <c r="AO146">
        <f>step3_validation[[#This Row],[AI_TRU2]]</f>
        <v>8</v>
      </c>
      <c r="AP146">
        <f t="shared" si="68"/>
        <v>0.77777777777777779</v>
      </c>
      <c r="AQ146">
        <f>survey_responses[[#This Row],[Tôi thấy mức thuế tôi phải đóng theo phương án mới là công bằng (người thu nhập như tôi đóng mức này là hợp lý). - HUMAN-TRU2]]</f>
        <v>3</v>
      </c>
      <c r="AR146">
        <f t="shared" si="69"/>
        <v>0.22222222222222221</v>
      </c>
      <c r="AS146">
        <f>step3_validation[[#This Row],[AI_TRU3]]</f>
        <v>9</v>
      </c>
      <c r="AT146">
        <f t="shared" si="70"/>
        <v>0.88888888888888884</v>
      </c>
      <c r="AU146">
        <f>survey_responses[[#This Row],[Tôi tin tưởng số tiền thuế tôi đóng sẽ được Nhà nước sử dụng hiệu quả để cải thiện dịch vụ công (y tế, đường xá...). - HUMAN-TRU3]]</f>
        <v>5</v>
      </c>
      <c r="AV146">
        <f t="shared" si="71"/>
        <v>0.44444444444444442</v>
      </c>
      <c r="AW146">
        <f>step3_validation[[#This Row],[AI_TRU4]]</f>
        <v>8</v>
      </c>
      <c r="AX146">
        <f t="shared" si="72"/>
        <v>0.77777777777777779</v>
      </c>
      <c r="AY146">
        <f>survey_responses[[#This Row],[Tôi thấy Nhà nước đã giải thích rõ ràng, minh bạch về lý do và mục tiêu của việc sửa đổi thuế lần này. - HUMAN-TRU4]]</f>
        <v>5</v>
      </c>
      <c r="AZ146">
        <f t="shared" si="73"/>
        <v>0.44444444444444442</v>
      </c>
      <c r="BA146" s="32">
        <f t="shared" si="74"/>
        <v>0.83333333333333326</v>
      </c>
      <c r="BB146" s="32">
        <f t="shared" si="75"/>
        <v>0.41666666666666669</v>
      </c>
      <c r="BC146" s="7">
        <f t="shared" si="76"/>
        <v>0.75925925925925919</v>
      </c>
      <c r="BD146" s="7">
        <f t="shared" si="77"/>
        <v>0.71296296296296291</v>
      </c>
      <c r="BE146">
        <f>step3_validation[[#This Row],[AI_OUT1]]</f>
        <v>9</v>
      </c>
      <c r="BF146">
        <f t="shared" si="78"/>
        <v>0.88888888888888884</v>
      </c>
      <c r="BG146">
        <f>survey_responses[[#This Row],[Sau khi xem xét các quyền lợi và nghĩa vụ, bạn có ủng hộ và tuân thủ chính sách mới hiện nay? - HUMAN-OUT1]]</f>
        <v>1</v>
      </c>
      <c r="BH146">
        <f t="shared" si="79"/>
        <v>0</v>
      </c>
      <c r="BI146" s="32">
        <f t="shared" si="80"/>
        <v>8</v>
      </c>
    </row>
    <row r="147" spans="1:61" x14ac:dyDescent="0.45">
      <c r="A147" s="30">
        <f>step3_validation[[#This Row],[Persona_ID]]</f>
        <v>146</v>
      </c>
      <c r="B147" s="31">
        <f>step3_validation[[#This Row],[Used_Seed]]</f>
        <v>146</v>
      </c>
      <c r="C147" t="str">
        <f>step3_validation[[#This Row],[Gender]]</f>
        <v>Nữ</v>
      </c>
      <c r="D147" t="str">
        <f>survey_responses[[#This Row],[Giới tính của bạn:]]</f>
        <v>Nữ</v>
      </c>
      <c r="E147" t="str">
        <f>step3_validation[[#This Row],[Age_Group]]</f>
        <v>40 - 49</v>
      </c>
      <c r="F147" t="str">
        <f>survey_responses[[#This Row],[Độ tuổi của bạn:]]</f>
        <v>40 - 49</v>
      </c>
      <c r="G147" t="str">
        <f>step3_validation[[#This Row],[Region]]</f>
        <v>Thành thị</v>
      </c>
      <c r="H147" t="str">
        <f>survey_responses[[#This Row],[Khu vực bạn đang sinh sống:]]</f>
        <v>Thành thị</v>
      </c>
      <c r="I147" t="str">
        <f>step3_validation[[#This Row],[Education]]</f>
        <v>Đại học</v>
      </c>
      <c r="J147" t="str">
        <f>survey_responses[[#This Row],[Trình độ học vấn cao nhất:]]</f>
        <v>Đại học</v>
      </c>
      <c r="K147" t="str">
        <f>step3_validation[[#This Row],[Employment]]</f>
        <v>Chính thức</v>
      </c>
      <c r="L147" t="str">
        <f>survey_responses[[#This Row],[Tình trạng việc làm chính:]]</f>
        <v>Khu vực chính thức (Có Hợp đồng lao động, đóng BHXH)</v>
      </c>
      <c r="M147">
        <f>step3_validation[[#This Row],[Income_Mil]]</f>
        <v>94.815625324874532</v>
      </c>
      <c r="N147" t="str">
        <f>survey_responses[[#This Row],[Thu nhập bình quân tháng theo Hợp đồng lao động của bạn là bao nhiêu? (Vui lòng điền tổng thu nhập trước khi khấu trừ các loại Bảo hiểm (BHXH, BHYT, BHTN) và Thuế TNCN)]]</f>
        <v>Từ 70 - 102 triệu VNĐ</v>
      </c>
      <c r="O147">
        <f>step3_validation[[#This Row],[Dependents]]</f>
        <v>3</v>
      </c>
      <c r="P147" t="str">
        <f>survey_responses[[#This Row],[Số người phụ thuộc (con nhỏ, cha mẹ già...) đủ điều kiện giảm trừ gia cảnh:]]</f>
        <v>3 người</v>
      </c>
      <c r="Q147">
        <f>step3_validation[[#This Row],[AI_ENF1]]</f>
        <v>8</v>
      </c>
      <c r="R147">
        <f t="shared" si="54"/>
        <v>0.77777777777777779</v>
      </c>
      <c r="S147">
        <f>survey_responses[[#This Row],[Tôi tin rằng với các quy định quản lý thuế hiện nay, hành vi gian lận hoặc trốn thuế sẽ dễ dàng bị phát hiện và xử lý nghiêm. - HUMAN-ENF1]]</f>
        <v>8</v>
      </c>
      <c r="T147">
        <f t="shared" si="55"/>
        <v>0.77777777777777779</v>
      </c>
      <c r="U147">
        <f>step3_validation[[#This Row],[AI_ENF2]]</f>
        <v>9</v>
      </c>
      <c r="V147">
        <f t="shared" si="56"/>
        <v>0.88888888888888884</v>
      </c>
      <c r="W147">
        <f>survey_responses[[#This Row],[Tôi tin rằng Nhà nước, cơ quan thuế có đủ khả năng và công nghệ để phát hiện, xử lý nghiêm các hành vi trốn thuế. - HUMAN-ENF2]]</f>
        <v>8</v>
      </c>
      <c r="X147">
        <f t="shared" si="57"/>
        <v>0.77777777777777779</v>
      </c>
      <c r="Y147" s="32">
        <f t="shared" si="58"/>
        <v>0.83333333333333326</v>
      </c>
      <c r="Z147" s="32">
        <f t="shared" si="59"/>
        <v>0.77777777777777779</v>
      </c>
      <c r="AA147">
        <f>step3_validation[[#This Row],[AI_FAC1]]</f>
        <v>8</v>
      </c>
      <c r="AB147">
        <f t="shared" si="60"/>
        <v>0.77777777777777779</v>
      </c>
      <c r="AC147">
        <f>survey_responses[[#This Row],[Các thủ tục khai báo thuế VÀ/HOẶC quy trình làm việc với cơ quan thuế đơn giản, tiện lợi, nhanh chóng hơn so với trước đây. - HUMAN-FAC1]]</f>
        <v>5</v>
      </c>
      <c r="AD147">
        <f t="shared" si="61"/>
        <v>0.44444444444444442</v>
      </c>
      <c r="AE147">
        <f>step3_validation[[#This Row],[AI_FAC2]]</f>
        <v>9</v>
      </c>
      <c r="AF147">
        <f t="shared" si="62"/>
        <v>0.88888888888888884</v>
      </c>
      <c r="AG147">
        <f>survey_responses[[#This Row],[So với trước đây, tôi thấy cách tính thuế và các bậc thuế trong phương án mới đơn giản, dễ hiểu và dễ thực hiện hơn. - HUMAN-FAC2]]</f>
        <v>5</v>
      </c>
      <c r="AH147">
        <f t="shared" si="63"/>
        <v>0.44444444444444442</v>
      </c>
      <c r="AI147" s="32">
        <f t="shared" si="64"/>
        <v>0.83333333333333326</v>
      </c>
      <c r="AJ147" s="32">
        <f t="shared" si="65"/>
        <v>0.44444444444444442</v>
      </c>
      <c r="AK147">
        <f>step3_validation[[#This Row],[AI_TRU1]]</f>
        <v>8</v>
      </c>
      <c r="AL147">
        <f t="shared" si="66"/>
        <v>0.77777777777777779</v>
      </c>
      <c r="AM147">
        <f>survey_responses[[#This Row],[Tôi tin rằng Nhà nước, cơ quan thuế sẽ thực thi chính sách mới một cách khách quan, công tâm và đối xử bình đẳng với mọi người nộp thuế.  - HUMAN-TRU1]]</f>
        <v>5</v>
      </c>
      <c r="AN147">
        <f t="shared" si="67"/>
        <v>0.44444444444444442</v>
      </c>
      <c r="AO147">
        <f>step3_validation[[#This Row],[AI_TRU2]]</f>
        <v>9</v>
      </c>
      <c r="AP147">
        <f t="shared" si="68"/>
        <v>0.88888888888888884</v>
      </c>
      <c r="AQ147">
        <f>survey_responses[[#This Row],[Tôi thấy mức thuế tôi phải đóng theo phương án mới là công bằng (người thu nhập như tôi đóng mức này là hợp lý). - HUMAN-TRU2]]</f>
        <v>3</v>
      </c>
      <c r="AR147">
        <f t="shared" si="69"/>
        <v>0.22222222222222221</v>
      </c>
      <c r="AS147">
        <f>step3_validation[[#This Row],[AI_TRU3]]</f>
        <v>8</v>
      </c>
      <c r="AT147">
        <f t="shared" si="70"/>
        <v>0.77777777777777779</v>
      </c>
      <c r="AU147">
        <f>survey_responses[[#This Row],[Tôi tin tưởng số tiền thuế tôi đóng sẽ được Nhà nước sử dụng hiệu quả để cải thiện dịch vụ công (y tế, đường xá...). - HUMAN-TRU3]]</f>
        <v>5</v>
      </c>
      <c r="AV147">
        <f t="shared" si="71"/>
        <v>0.44444444444444442</v>
      </c>
      <c r="AW147">
        <f>step3_validation[[#This Row],[AI_TRU4]]</f>
        <v>9</v>
      </c>
      <c r="AX147">
        <f t="shared" si="72"/>
        <v>0.88888888888888884</v>
      </c>
      <c r="AY147">
        <f>survey_responses[[#This Row],[Tôi thấy Nhà nước đã giải thích rõ ràng, minh bạch về lý do và mục tiêu của việc sửa đổi thuế lần này. - HUMAN-TRU4]]</f>
        <v>5</v>
      </c>
      <c r="AZ147">
        <f t="shared" si="73"/>
        <v>0.44444444444444442</v>
      </c>
      <c r="BA147" s="32">
        <f t="shared" si="74"/>
        <v>0.83333333333333326</v>
      </c>
      <c r="BB147" s="32">
        <f t="shared" si="75"/>
        <v>0.3888888888888889</v>
      </c>
      <c r="BC147" s="7">
        <f t="shared" si="76"/>
        <v>0.83333333333333337</v>
      </c>
      <c r="BD147" s="7">
        <f t="shared" si="77"/>
        <v>0.53703703703703709</v>
      </c>
      <c r="BE147">
        <f>step3_validation[[#This Row],[AI_OUT1]]</f>
        <v>9</v>
      </c>
      <c r="BF147">
        <f t="shared" si="78"/>
        <v>0.88888888888888884</v>
      </c>
      <c r="BG147">
        <f>survey_responses[[#This Row],[Sau khi xem xét các quyền lợi và nghĩa vụ, bạn có ủng hộ và tuân thủ chính sách mới hiện nay? - HUMAN-OUT1]]</f>
        <v>5</v>
      </c>
      <c r="BH147">
        <f t="shared" si="79"/>
        <v>0.44444444444444442</v>
      </c>
      <c r="BI147" s="32">
        <f t="shared" si="80"/>
        <v>4</v>
      </c>
    </row>
    <row r="148" spans="1:61" x14ac:dyDescent="0.45">
      <c r="A148" s="30">
        <f>step3_validation[[#This Row],[Persona_ID]]</f>
        <v>147</v>
      </c>
      <c r="B148" s="31">
        <f>step3_validation[[#This Row],[Used_Seed]]</f>
        <v>147</v>
      </c>
      <c r="C148" t="str">
        <f>step3_validation[[#This Row],[Gender]]</f>
        <v>Nữ</v>
      </c>
      <c r="D148" t="str">
        <f>survey_responses[[#This Row],[Giới tính của bạn:]]</f>
        <v>Nữ</v>
      </c>
      <c r="E148" t="str">
        <f>step3_validation[[#This Row],[Age_Group]]</f>
        <v>55 - 64</v>
      </c>
      <c r="F148" t="str">
        <f>survey_responses[[#This Row],[Độ tuổi của bạn:]]</f>
        <v>55 - 64</v>
      </c>
      <c r="G148" t="str">
        <f>step3_validation[[#This Row],[Region]]</f>
        <v>Thành thị</v>
      </c>
      <c r="H148" t="str">
        <f>survey_responses[[#This Row],[Khu vực bạn đang sinh sống:]]</f>
        <v>Thành thị</v>
      </c>
      <c r="I148" t="str">
        <f>step3_validation[[#This Row],[Education]]</f>
        <v>Sau Đại học</v>
      </c>
      <c r="J148" t="str">
        <f>survey_responses[[#This Row],[Trình độ học vấn cao nhất:]]</f>
        <v>Sau Đại học</v>
      </c>
      <c r="K148" t="str">
        <f>step3_validation[[#This Row],[Employment]]</f>
        <v>Chính thức</v>
      </c>
      <c r="L148" t="str">
        <f>survey_responses[[#This Row],[Tình trạng việc làm chính:]]</f>
        <v>Khu vực chính thức (Có Hợp đồng lao động, đóng BHXH)</v>
      </c>
      <c r="M148">
        <f>step3_validation[[#This Row],[Income_Mil]]</f>
        <v>248.44402883398766</v>
      </c>
      <c r="N148" t="str">
        <f>survey_responses[[#This Row],[Thu nhập bình quân tháng theo Hợp đồng lao động của bạn là bao nhiêu? (Vui lòng điền tổng thu nhập trước khi khấu trừ các loại Bảo hiểm (BHXH, BHYT, BHTN) và Thuế TNCN)]]</f>
        <v>Trên 102 triệu VNĐ</v>
      </c>
      <c r="O148">
        <f>step3_validation[[#This Row],[Dependents]]</f>
        <v>0</v>
      </c>
      <c r="P148" t="str">
        <f>survey_responses[[#This Row],[Số người phụ thuộc (con nhỏ, cha mẹ già...) đủ điều kiện giảm trừ gia cảnh:]]</f>
        <v>0 người</v>
      </c>
      <c r="Q148">
        <f>step3_validation[[#This Row],[AI_ENF1]]</f>
        <v>8</v>
      </c>
      <c r="R148">
        <f t="shared" si="54"/>
        <v>0.77777777777777779</v>
      </c>
      <c r="S148">
        <f>survey_responses[[#This Row],[Tôi tin rằng với các quy định quản lý thuế hiện nay, hành vi gian lận hoặc trốn thuế sẽ dễ dàng bị phát hiện và xử lý nghiêm. - HUMAN-ENF1]]</f>
        <v>7</v>
      </c>
      <c r="T148">
        <f t="shared" si="55"/>
        <v>0.66666666666666663</v>
      </c>
      <c r="U148">
        <f>step3_validation[[#This Row],[AI_ENF2]]</f>
        <v>9</v>
      </c>
      <c r="V148">
        <f t="shared" si="56"/>
        <v>0.88888888888888884</v>
      </c>
      <c r="W148">
        <f>survey_responses[[#This Row],[Tôi tin rằng Nhà nước, cơ quan thuế có đủ khả năng và công nghệ để phát hiện, xử lý nghiêm các hành vi trốn thuế. - HUMAN-ENF2]]</f>
        <v>7</v>
      </c>
      <c r="X148">
        <f t="shared" si="57"/>
        <v>0.66666666666666663</v>
      </c>
      <c r="Y148" s="32">
        <f t="shared" si="58"/>
        <v>0.83333333333333326</v>
      </c>
      <c r="Z148" s="32">
        <f t="shared" si="59"/>
        <v>0.66666666666666663</v>
      </c>
      <c r="AA148">
        <f>step3_validation[[#This Row],[AI_FAC1]]</f>
        <v>9</v>
      </c>
      <c r="AB148">
        <f t="shared" si="60"/>
        <v>0.88888888888888884</v>
      </c>
      <c r="AC148">
        <f>survey_responses[[#This Row],[Các thủ tục khai báo thuế VÀ/HOẶC quy trình làm việc với cơ quan thuế đơn giản, tiện lợi, nhanh chóng hơn so với trước đây. - HUMAN-FAC1]]</f>
        <v>1</v>
      </c>
      <c r="AD148">
        <f t="shared" si="61"/>
        <v>0</v>
      </c>
      <c r="AE148">
        <f>step3_validation[[#This Row],[AI_FAC2]]</f>
        <v>8</v>
      </c>
      <c r="AF148">
        <f t="shared" si="62"/>
        <v>0.77777777777777779</v>
      </c>
      <c r="AG148">
        <f>survey_responses[[#This Row],[So với trước đây, tôi thấy cách tính thuế và các bậc thuế trong phương án mới đơn giản, dễ hiểu và dễ thực hiện hơn. - HUMAN-FAC2]]</f>
        <v>6</v>
      </c>
      <c r="AH148">
        <f t="shared" si="63"/>
        <v>0.55555555555555558</v>
      </c>
      <c r="AI148" s="32">
        <f t="shared" si="64"/>
        <v>0.83333333333333326</v>
      </c>
      <c r="AJ148" s="32">
        <f t="shared" si="65"/>
        <v>0.27777777777777779</v>
      </c>
      <c r="AK148">
        <f>step3_validation[[#This Row],[AI_TRU1]]</f>
        <v>9</v>
      </c>
      <c r="AL148">
        <f t="shared" si="66"/>
        <v>0.88888888888888884</v>
      </c>
      <c r="AM148">
        <f>survey_responses[[#This Row],[Tôi tin rằng Nhà nước, cơ quan thuế sẽ thực thi chính sách mới một cách khách quan, công tâm và đối xử bình đẳng với mọi người nộp thuế.  - HUMAN-TRU1]]</f>
        <v>3</v>
      </c>
      <c r="AN148">
        <f t="shared" si="67"/>
        <v>0.22222222222222221</v>
      </c>
      <c r="AO148">
        <f>step3_validation[[#This Row],[AI_TRU2]]</f>
        <v>8</v>
      </c>
      <c r="AP148">
        <f t="shared" si="68"/>
        <v>0.77777777777777779</v>
      </c>
      <c r="AQ148">
        <f>survey_responses[[#This Row],[Tôi thấy mức thuế tôi phải đóng theo phương án mới là công bằng (người thu nhập như tôi đóng mức này là hợp lý). - HUMAN-TRU2]]</f>
        <v>5</v>
      </c>
      <c r="AR148">
        <f t="shared" si="69"/>
        <v>0.44444444444444442</v>
      </c>
      <c r="AS148">
        <f>step3_validation[[#This Row],[AI_TRU3]]</f>
        <v>9</v>
      </c>
      <c r="AT148">
        <f t="shared" si="70"/>
        <v>0.88888888888888884</v>
      </c>
      <c r="AU148">
        <f>survey_responses[[#This Row],[Tôi tin tưởng số tiền thuế tôi đóng sẽ được Nhà nước sử dụng hiệu quả để cải thiện dịch vụ công (y tế, đường xá...). - HUMAN-TRU3]]</f>
        <v>1</v>
      </c>
      <c r="AV148">
        <f t="shared" si="71"/>
        <v>0</v>
      </c>
      <c r="AW148">
        <f>step3_validation[[#This Row],[AI_TRU4]]</f>
        <v>8</v>
      </c>
      <c r="AX148">
        <f t="shared" si="72"/>
        <v>0.77777777777777779</v>
      </c>
      <c r="AY148">
        <f>survey_responses[[#This Row],[Tôi thấy Nhà nước đã giải thích rõ ràng, minh bạch về lý do và mục tiêu của việc sửa đổi thuế lần này. - HUMAN-TRU4]]</f>
        <v>4</v>
      </c>
      <c r="AZ148">
        <f t="shared" si="73"/>
        <v>0.33333333333333331</v>
      </c>
      <c r="BA148" s="32">
        <f t="shared" si="74"/>
        <v>0.83333333333333326</v>
      </c>
      <c r="BB148" s="32">
        <f t="shared" si="75"/>
        <v>0.25</v>
      </c>
      <c r="BC148" s="7">
        <f t="shared" si="76"/>
        <v>0.83333333333333337</v>
      </c>
      <c r="BD148" s="7">
        <f t="shared" si="77"/>
        <v>0.39814814814814814</v>
      </c>
      <c r="BE148">
        <f>step3_validation[[#This Row],[AI_OUT1]]</f>
        <v>9</v>
      </c>
      <c r="BF148">
        <f t="shared" si="78"/>
        <v>0.88888888888888884</v>
      </c>
      <c r="BG148">
        <f>survey_responses[[#This Row],[Sau khi xem xét các quyền lợi và nghĩa vụ, bạn có ủng hộ và tuân thủ chính sách mới hiện nay? - HUMAN-OUT1]]</f>
        <v>5</v>
      </c>
      <c r="BH148">
        <f t="shared" si="79"/>
        <v>0.44444444444444442</v>
      </c>
      <c r="BI148" s="32">
        <f t="shared" si="80"/>
        <v>4</v>
      </c>
    </row>
    <row r="149" spans="1:61" x14ac:dyDescent="0.45">
      <c r="A149" s="30">
        <f>step3_validation[[#This Row],[Persona_ID]]</f>
        <v>148</v>
      </c>
      <c r="B149" s="31">
        <f>step3_validation[[#This Row],[Used_Seed]]</f>
        <v>148</v>
      </c>
      <c r="C149" t="str">
        <f>step3_validation[[#This Row],[Gender]]</f>
        <v>Nam</v>
      </c>
      <c r="D149" t="str">
        <f>survey_responses[[#This Row],[Giới tính của bạn:]]</f>
        <v>Nam</v>
      </c>
      <c r="E149" t="str">
        <f>step3_validation[[#This Row],[Age_Group]]</f>
        <v>25 - 29</v>
      </c>
      <c r="F149" t="str">
        <f>survey_responses[[#This Row],[Độ tuổi của bạn:]]</f>
        <v>25 - 29</v>
      </c>
      <c r="G149" t="str">
        <f>step3_validation[[#This Row],[Region]]</f>
        <v>Thành thị</v>
      </c>
      <c r="H149" t="str">
        <f>survey_responses[[#This Row],[Khu vực bạn đang sinh sống:]]</f>
        <v>Thành thị</v>
      </c>
      <c r="I149" t="str">
        <f>step3_validation[[#This Row],[Education]]</f>
        <v>Đại học</v>
      </c>
      <c r="J149" t="str">
        <f>survey_responses[[#This Row],[Trình độ học vấn cao nhất:]]</f>
        <v>Đại học</v>
      </c>
      <c r="K149" t="str">
        <f>step3_validation[[#This Row],[Employment]]</f>
        <v>Chính thức</v>
      </c>
      <c r="L149" t="str">
        <f>survey_responses[[#This Row],[Tình trạng việc làm chính:]]</f>
        <v>Khu vực chính thức (Có Hợp đồng lao động, đóng BHXH)</v>
      </c>
      <c r="M149">
        <f>step3_validation[[#This Row],[Income_Mil]]</f>
        <v>20.549796990208112</v>
      </c>
      <c r="N149" t="str">
        <f>survey_responses[[#This Row],[Thu nhập bình quân tháng theo Hợp đồng lao động của bạn là bao nhiêu? (Vui lòng điền tổng thu nhập trước khi khấu trừ các loại Bảo hiểm (BHXH, BHYT, BHTN) và Thuế TNCN)]]</f>
        <v>Từ 18 - 23 triệu VNĐ</v>
      </c>
      <c r="O149">
        <f>step3_validation[[#This Row],[Dependents]]</f>
        <v>0</v>
      </c>
      <c r="P149" t="str">
        <f>survey_responses[[#This Row],[Số người phụ thuộc (con nhỏ, cha mẹ già...) đủ điều kiện giảm trừ gia cảnh:]]</f>
        <v>0 người</v>
      </c>
      <c r="Q149">
        <f>step3_validation[[#This Row],[AI_ENF1]]</f>
        <v>5</v>
      </c>
      <c r="R149">
        <f t="shared" si="54"/>
        <v>0.44444444444444442</v>
      </c>
      <c r="S149">
        <f>survey_responses[[#This Row],[Tôi tin rằng với các quy định quản lý thuế hiện nay, hành vi gian lận hoặc trốn thuế sẽ dễ dàng bị phát hiện và xử lý nghiêm. - HUMAN-ENF1]]</f>
        <v>6</v>
      </c>
      <c r="T149">
        <f t="shared" si="55"/>
        <v>0.55555555555555558</v>
      </c>
      <c r="U149">
        <f>step3_validation[[#This Row],[AI_ENF2]]</f>
        <v>6</v>
      </c>
      <c r="V149">
        <f t="shared" si="56"/>
        <v>0.55555555555555558</v>
      </c>
      <c r="W149">
        <f>survey_responses[[#This Row],[Tôi tin rằng Nhà nước, cơ quan thuế có đủ khả năng và công nghệ để phát hiện, xử lý nghiêm các hành vi trốn thuế. - HUMAN-ENF2]]</f>
        <v>6</v>
      </c>
      <c r="X149">
        <f t="shared" si="57"/>
        <v>0.55555555555555558</v>
      </c>
      <c r="Y149" s="32">
        <f t="shared" si="58"/>
        <v>0.5</v>
      </c>
      <c r="Z149" s="32">
        <f t="shared" si="59"/>
        <v>0.55555555555555558</v>
      </c>
      <c r="AA149">
        <f>step3_validation[[#This Row],[AI_FAC1]]</f>
        <v>8</v>
      </c>
      <c r="AB149">
        <f t="shared" si="60"/>
        <v>0.77777777777777779</v>
      </c>
      <c r="AC149">
        <f>survey_responses[[#This Row],[Các thủ tục khai báo thuế VÀ/HOẶC quy trình làm việc với cơ quan thuế đơn giản, tiện lợi, nhanh chóng hơn so với trước đây. - HUMAN-FAC1]]</f>
        <v>5</v>
      </c>
      <c r="AD149">
        <f t="shared" si="61"/>
        <v>0.44444444444444442</v>
      </c>
      <c r="AE149">
        <f>step3_validation[[#This Row],[AI_FAC2]]</f>
        <v>9</v>
      </c>
      <c r="AF149">
        <f t="shared" si="62"/>
        <v>0.88888888888888884</v>
      </c>
      <c r="AG149">
        <f>survey_responses[[#This Row],[So với trước đây, tôi thấy cách tính thuế và các bậc thuế trong phương án mới đơn giản, dễ hiểu và dễ thực hiện hơn. - HUMAN-FAC2]]</f>
        <v>7</v>
      </c>
      <c r="AH149">
        <f t="shared" si="63"/>
        <v>0.66666666666666663</v>
      </c>
      <c r="AI149" s="32">
        <f t="shared" si="64"/>
        <v>0.83333333333333326</v>
      </c>
      <c r="AJ149" s="32">
        <f t="shared" si="65"/>
        <v>0.55555555555555558</v>
      </c>
      <c r="AK149">
        <f>step3_validation[[#This Row],[AI_TRU1]]</f>
        <v>7</v>
      </c>
      <c r="AL149">
        <f t="shared" si="66"/>
        <v>0.66666666666666663</v>
      </c>
      <c r="AM149">
        <f>survey_responses[[#This Row],[Tôi tin rằng Nhà nước, cơ quan thuế sẽ thực thi chính sách mới một cách khách quan, công tâm và đối xử bình đẳng với mọi người nộp thuế.  - HUMAN-TRU1]]</f>
        <v>5</v>
      </c>
      <c r="AN149">
        <f t="shared" si="67"/>
        <v>0.44444444444444442</v>
      </c>
      <c r="AO149">
        <f>step3_validation[[#This Row],[AI_TRU2]]</f>
        <v>8</v>
      </c>
      <c r="AP149">
        <f t="shared" si="68"/>
        <v>0.77777777777777779</v>
      </c>
      <c r="AQ149">
        <f>survey_responses[[#This Row],[Tôi thấy mức thuế tôi phải đóng theo phương án mới là công bằng (người thu nhập như tôi đóng mức này là hợp lý). - HUMAN-TRU2]]</f>
        <v>7</v>
      </c>
      <c r="AR149">
        <f t="shared" si="69"/>
        <v>0.66666666666666663</v>
      </c>
      <c r="AS149">
        <f>step3_validation[[#This Row],[AI_TRU3]]</f>
        <v>6</v>
      </c>
      <c r="AT149">
        <f t="shared" si="70"/>
        <v>0.55555555555555558</v>
      </c>
      <c r="AU149">
        <f>survey_responses[[#This Row],[Tôi tin tưởng số tiền thuế tôi đóng sẽ được Nhà nước sử dụng hiệu quả để cải thiện dịch vụ công (y tế, đường xá...). - HUMAN-TRU3]]</f>
        <v>5</v>
      </c>
      <c r="AV149">
        <f t="shared" si="71"/>
        <v>0.44444444444444442</v>
      </c>
      <c r="AW149">
        <f>step3_validation[[#This Row],[AI_TRU4]]</f>
        <v>7</v>
      </c>
      <c r="AX149">
        <f t="shared" si="72"/>
        <v>0.66666666666666663</v>
      </c>
      <c r="AY149">
        <f>survey_responses[[#This Row],[Tôi thấy Nhà nước đã giải thích rõ ràng, minh bạch về lý do và mục tiêu của việc sửa đổi thuế lần này. - HUMAN-TRU4]]</f>
        <v>6</v>
      </c>
      <c r="AZ149">
        <f t="shared" si="73"/>
        <v>0.55555555555555558</v>
      </c>
      <c r="BA149" s="32">
        <f t="shared" si="74"/>
        <v>0.66666666666666663</v>
      </c>
      <c r="BB149" s="32">
        <f t="shared" si="75"/>
        <v>0.52777777777777779</v>
      </c>
      <c r="BC149" s="7">
        <f t="shared" si="76"/>
        <v>0.66666666666666663</v>
      </c>
      <c r="BD149" s="7">
        <f t="shared" si="77"/>
        <v>0.54629629629629628</v>
      </c>
      <c r="BE149">
        <f>step3_validation[[#This Row],[AI_OUT1]]</f>
        <v>8</v>
      </c>
      <c r="BF149">
        <f t="shared" si="78"/>
        <v>0.77777777777777779</v>
      </c>
      <c r="BG149">
        <f>survey_responses[[#This Row],[Sau khi xem xét các quyền lợi và nghĩa vụ, bạn có ủng hộ và tuân thủ chính sách mới hiện nay? - HUMAN-OUT1]]</f>
        <v>7</v>
      </c>
      <c r="BH149">
        <f t="shared" si="79"/>
        <v>0.66666666666666663</v>
      </c>
      <c r="BI149" s="32">
        <f t="shared" si="80"/>
        <v>1</v>
      </c>
    </row>
    <row r="150" spans="1:61" x14ac:dyDescent="0.45">
      <c r="A150" s="30">
        <f>step3_validation[[#This Row],[Persona_ID]]</f>
        <v>149</v>
      </c>
      <c r="B150" s="31">
        <f>step3_validation[[#This Row],[Used_Seed]]</f>
        <v>149</v>
      </c>
      <c r="C150" t="str">
        <f>step3_validation[[#This Row],[Gender]]</f>
        <v>Nữ</v>
      </c>
      <c r="D150" t="str">
        <f>survey_responses[[#This Row],[Giới tính của bạn:]]</f>
        <v>Nữ</v>
      </c>
      <c r="E150" t="str">
        <f>step3_validation[[#This Row],[Age_Group]]</f>
        <v>40 - 49</v>
      </c>
      <c r="F150" t="str">
        <f>survey_responses[[#This Row],[Độ tuổi của bạn:]]</f>
        <v>40 - 49</v>
      </c>
      <c r="G150" t="str">
        <f>step3_validation[[#This Row],[Region]]</f>
        <v>Thành thị</v>
      </c>
      <c r="H150" t="str">
        <f>survey_responses[[#This Row],[Khu vực bạn đang sinh sống:]]</f>
        <v>Thành thị</v>
      </c>
      <c r="I150" t="str">
        <f>step3_validation[[#This Row],[Education]]</f>
        <v>Đại học</v>
      </c>
      <c r="J150" t="str">
        <f>survey_responses[[#This Row],[Trình độ học vấn cao nhất:]]</f>
        <v>Đại học</v>
      </c>
      <c r="K150" t="str">
        <f>step3_validation[[#This Row],[Employment]]</f>
        <v>Chính thức</v>
      </c>
      <c r="L150" t="str">
        <f>survey_responses[[#This Row],[Tình trạng việc làm chính:]]</f>
        <v>Khu vực chính thức (Có Hợp đồng lao động, đóng BHXH)</v>
      </c>
      <c r="M150">
        <f>step3_validation[[#This Row],[Income_Mil]]</f>
        <v>114.13980357854491</v>
      </c>
      <c r="N150" t="str">
        <f>survey_responses[[#This Row],[Thu nhập bình quân tháng theo Hợp đồng lao động của bạn là bao nhiêu? (Vui lòng điền tổng thu nhập trước khi khấu trừ các loại Bảo hiểm (BHXH, BHYT, BHTN) và Thuế TNCN)]]</f>
        <v>Trên 102 triệu VNĐ</v>
      </c>
      <c r="O150">
        <f>step3_validation[[#This Row],[Dependents]]</f>
        <v>3</v>
      </c>
      <c r="P150" t="str">
        <f>survey_responses[[#This Row],[Số người phụ thuộc (con nhỏ, cha mẹ già...) đủ điều kiện giảm trừ gia cảnh:]]</f>
        <v>3 người</v>
      </c>
      <c r="Q150">
        <f>step3_validation[[#This Row],[AI_ENF1]]</f>
        <v>8</v>
      </c>
      <c r="R150">
        <f t="shared" si="54"/>
        <v>0.77777777777777779</v>
      </c>
      <c r="S150">
        <f>survey_responses[[#This Row],[Tôi tin rằng với các quy định quản lý thuế hiện nay, hành vi gian lận hoặc trốn thuế sẽ dễ dàng bị phát hiện và xử lý nghiêm. - HUMAN-ENF1]]</f>
        <v>10</v>
      </c>
      <c r="T150">
        <f t="shared" si="55"/>
        <v>1</v>
      </c>
      <c r="U150">
        <f>step3_validation[[#This Row],[AI_ENF2]]</f>
        <v>7</v>
      </c>
      <c r="V150">
        <f t="shared" si="56"/>
        <v>0.66666666666666663</v>
      </c>
      <c r="W150">
        <f>survey_responses[[#This Row],[Tôi tin rằng Nhà nước, cơ quan thuế có đủ khả năng và công nghệ để phát hiện, xử lý nghiêm các hành vi trốn thuế. - HUMAN-ENF2]]</f>
        <v>10</v>
      </c>
      <c r="X150">
        <f t="shared" si="57"/>
        <v>1</v>
      </c>
      <c r="Y150" s="32">
        <f t="shared" si="58"/>
        <v>0.72222222222222221</v>
      </c>
      <c r="Z150" s="32">
        <f t="shared" si="59"/>
        <v>1</v>
      </c>
      <c r="AA150">
        <f>step3_validation[[#This Row],[AI_FAC1]]</f>
        <v>9</v>
      </c>
      <c r="AB150">
        <f t="shared" si="60"/>
        <v>0.88888888888888884</v>
      </c>
      <c r="AC150">
        <f>survey_responses[[#This Row],[Các thủ tục khai báo thuế VÀ/HOẶC quy trình làm việc với cơ quan thuế đơn giản, tiện lợi, nhanh chóng hơn so với trước đây. - HUMAN-FAC1]]</f>
        <v>7</v>
      </c>
      <c r="AD150">
        <f t="shared" si="61"/>
        <v>0.66666666666666663</v>
      </c>
      <c r="AE150">
        <f>step3_validation[[#This Row],[AI_FAC2]]</f>
        <v>8</v>
      </c>
      <c r="AF150">
        <f t="shared" si="62"/>
        <v>0.77777777777777779</v>
      </c>
      <c r="AG150">
        <f>survey_responses[[#This Row],[So với trước đây, tôi thấy cách tính thuế và các bậc thuế trong phương án mới đơn giản, dễ hiểu và dễ thực hiện hơn. - HUMAN-FAC2]]</f>
        <v>8</v>
      </c>
      <c r="AH150">
        <f t="shared" si="63"/>
        <v>0.77777777777777779</v>
      </c>
      <c r="AI150" s="32">
        <f t="shared" si="64"/>
        <v>0.83333333333333326</v>
      </c>
      <c r="AJ150" s="32">
        <f t="shared" si="65"/>
        <v>0.72222222222222221</v>
      </c>
      <c r="AK150">
        <f>step3_validation[[#This Row],[AI_TRU1]]</f>
        <v>9</v>
      </c>
      <c r="AL150">
        <f t="shared" si="66"/>
        <v>0.88888888888888884</v>
      </c>
      <c r="AM150">
        <f>survey_responses[[#This Row],[Tôi tin rằng Nhà nước, cơ quan thuế sẽ thực thi chính sách mới một cách khách quan, công tâm và đối xử bình đẳng với mọi người nộp thuế.  - HUMAN-TRU1]]</f>
        <v>8</v>
      </c>
      <c r="AN150">
        <f t="shared" si="67"/>
        <v>0.77777777777777779</v>
      </c>
      <c r="AO150">
        <f>step3_validation[[#This Row],[AI_TRU2]]</f>
        <v>8</v>
      </c>
      <c r="AP150">
        <f t="shared" si="68"/>
        <v>0.77777777777777779</v>
      </c>
      <c r="AQ150">
        <f>survey_responses[[#This Row],[Tôi thấy mức thuế tôi phải đóng theo phương án mới là công bằng (người thu nhập như tôi đóng mức này là hợp lý). - HUMAN-TRU2]]</f>
        <v>4</v>
      </c>
      <c r="AR150">
        <f t="shared" si="69"/>
        <v>0.33333333333333331</v>
      </c>
      <c r="AS150">
        <f>step3_validation[[#This Row],[AI_TRU3]]</f>
        <v>7</v>
      </c>
      <c r="AT150">
        <f t="shared" si="70"/>
        <v>0.66666666666666663</v>
      </c>
      <c r="AU150">
        <f>survey_responses[[#This Row],[Tôi tin tưởng số tiền thuế tôi đóng sẽ được Nhà nước sử dụng hiệu quả để cải thiện dịch vụ công (y tế, đường xá...). - HUMAN-TRU3]]</f>
        <v>1</v>
      </c>
      <c r="AV150">
        <f t="shared" si="71"/>
        <v>0</v>
      </c>
      <c r="AW150">
        <f>step3_validation[[#This Row],[AI_TRU4]]</f>
        <v>6</v>
      </c>
      <c r="AX150">
        <f t="shared" si="72"/>
        <v>0.55555555555555558</v>
      </c>
      <c r="AY150">
        <f>survey_responses[[#This Row],[Tôi thấy Nhà nước đã giải thích rõ ràng, minh bạch về lý do và mục tiêu của việc sửa đổi thuế lần này. - HUMAN-TRU4]]</f>
        <v>3</v>
      </c>
      <c r="AZ150">
        <f t="shared" si="73"/>
        <v>0.22222222222222221</v>
      </c>
      <c r="BA150" s="32">
        <f t="shared" si="74"/>
        <v>0.7222222222222221</v>
      </c>
      <c r="BB150" s="32">
        <f t="shared" si="75"/>
        <v>0.33333333333333337</v>
      </c>
      <c r="BC150" s="7">
        <f t="shared" si="76"/>
        <v>0.75925925925925919</v>
      </c>
      <c r="BD150" s="7">
        <f t="shared" si="77"/>
        <v>0.68518518518518523</v>
      </c>
      <c r="BE150">
        <f>step3_validation[[#This Row],[AI_OUT1]]</f>
        <v>9</v>
      </c>
      <c r="BF150">
        <f t="shared" si="78"/>
        <v>0.88888888888888884</v>
      </c>
      <c r="BG150">
        <f>survey_responses[[#This Row],[Sau khi xem xét các quyền lợi và nghĩa vụ, bạn có ủng hộ và tuân thủ chính sách mới hiện nay? - HUMAN-OUT1]]</f>
        <v>6</v>
      </c>
      <c r="BH150">
        <f t="shared" si="79"/>
        <v>0.55555555555555558</v>
      </c>
      <c r="BI150" s="32">
        <f t="shared" si="80"/>
        <v>3</v>
      </c>
    </row>
    <row r="151" spans="1:61" x14ac:dyDescent="0.45">
      <c r="A151" s="30">
        <f>step3_validation[[#This Row],[Persona_ID]]</f>
        <v>150</v>
      </c>
      <c r="B151" s="31">
        <f>step3_validation[[#This Row],[Used_Seed]]</f>
        <v>150</v>
      </c>
      <c r="C151" t="str">
        <f>step3_validation[[#This Row],[Gender]]</f>
        <v>Nữ</v>
      </c>
      <c r="D151" t="str">
        <f>survey_responses[[#This Row],[Giới tính của bạn:]]</f>
        <v>Nữ</v>
      </c>
      <c r="E151" t="str">
        <f>step3_validation[[#This Row],[Age_Group]]</f>
        <v>40 - 49</v>
      </c>
      <c r="F151" t="str">
        <f>survey_responses[[#This Row],[Độ tuổi của bạn:]]</f>
        <v>40 - 49</v>
      </c>
      <c r="G151" t="str">
        <f>step3_validation[[#This Row],[Region]]</f>
        <v>Thành thị</v>
      </c>
      <c r="H151" t="str">
        <f>survey_responses[[#This Row],[Khu vực bạn đang sinh sống:]]</f>
        <v>Thành thị</v>
      </c>
      <c r="I151" t="str">
        <f>step3_validation[[#This Row],[Education]]</f>
        <v>Đại học</v>
      </c>
      <c r="J151" t="str">
        <f>survey_responses[[#This Row],[Trình độ học vấn cao nhất:]]</f>
        <v>Đại học</v>
      </c>
      <c r="K151" t="str">
        <f>step3_validation[[#This Row],[Employment]]</f>
        <v>Chính thức</v>
      </c>
      <c r="L151" t="str">
        <f>survey_responses[[#This Row],[Tình trạng việc làm chính:]]</f>
        <v>Khu vực chính thức (Có Hợp đồng lao động, đóng BHXH)</v>
      </c>
      <c r="M151">
        <f>step3_validation[[#This Row],[Income_Mil]]</f>
        <v>48.101262925188834</v>
      </c>
      <c r="N151" t="str">
        <f>survey_responses[[#This Row],[Thu nhập bình quân tháng theo Hợp đồng lao động của bạn là bao nhiêu? (Vui lòng điền tổng thu nhập trước khi khấu trừ các loại Bảo hiểm (BHXH, BHYT, BHTN) và Thuế TNCN)]]</f>
        <v>Từ 48 - 70 triệu VNĐ</v>
      </c>
      <c r="O151">
        <f>step3_validation[[#This Row],[Dependents]]</f>
        <v>2</v>
      </c>
      <c r="P151" t="str">
        <f>survey_responses[[#This Row],[Số người phụ thuộc (con nhỏ, cha mẹ già...) đủ điều kiện giảm trừ gia cảnh:]]</f>
        <v>2 người</v>
      </c>
      <c r="Q151">
        <f>step3_validation[[#This Row],[AI_ENF1]]</f>
        <v>9</v>
      </c>
      <c r="R151">
        <f t="shared" si="54"/>
        <v>0.88888888888888884</v>
      </c>
      <c r="S151">
        <f>survey_responses[[#This Row],[Tôi tin rằng với các quy định quản lý thuế hiện nay, hành vi gian lận hoặc trốn thuế sẽ dễ dàng bị phát hiện và xử lý nghiêm. - HUMAN-ENF1]]</f>
        <v>7</v>
      </c>
      <c r="T151">
        <f t="shared" si="55"/>
        <v>0.66666666666666663</v>
      </c>
      <c r="U151">
        <f>step3_validation[[#This Row],[AI_ENF2]]</f>
        <v>8</v>
      </c>
      <c r="V151">
        <f t="shared" si="56"/>
        <v>0.77777777777777779</v>
      </c>
      <c r="W151">
        <f>survey_responses[[#This Row],[Tôi tin rằng Nhà nước, cơ quan thuế có đủ khả năng và công nghệ để phát hiện, xử lý nghiêm các hành vi trốn thuế. - HUMAN-ENF2]]</f>
        <v>10</v>
      </c>
      <c r="X151">
        <f t="shared" si="57"/>
        <v>1</v>
      </c>
      <c r="Y151" s="32">
        <f t="shared" si="58"/>
        <v>0.83333333333333326</v>
      </c>
      <c r="Z151" s="32">
        <f t="shared" si="59"/>
        <v>0.83333333333333326</v>
      </c>
      <c r="AA151">
        <f>step3_validation[[#This Row],[AI_FAC1]]</f>
        <v>9</v>
      </c>
      <c r="AB151">
        <f t="shared" si="60"/>
        <v>0.88888888888888884</v>
      </c>
      <c r="AC151">
        <f>survey_responses[[#This Row],[Các thủ tục khai báo thuế VÀ/HOẶC quy trình làm việc với cơ quan thuế đơn giản, tiện lợi, nhanh chóng hơn so với trước đây. - HUMAN-FAC1]]</f>
        <v>5</v>
      </c>
      <c r="AD151">
        <f t="shared" si="61"/>
        <v>0.44444444444444442</v>
      </c>
      <c r="AE151">
        <f>step3_validation[[#This Row],[AI_FAC2]]</f>
        <v>9</v>
      </c>
      <c r="AF151">
        <f t="shared" si="62"/>
        <v>0.88888888888888884</v>
      </c>
      <c r="AG151">
        <f>survey_responses[[#This Row],[So với trước đây, tôi thấy cách tính thuế và các bậc thuế trong phương án mới đơn giản, dễ hiểu và dễ thực hiện hơn. - HUMAN-FAC2]]</f>
        <v>7</v>
      </c>
      <c r="AH151">
        <f t="shared" si="63"/>
        <v>0.66666666666666663</v>
      </c>
      <c r="AI151" s="32">
        <f t="shared" si="64"/>
        <v>0.88888888888888884</v>
      </c>
      <c r="AJ151" s="32">
        <f t="shared" si="65"/>
        <v>0.55555555555555558</v>
      </c>
      <c r="AK151">
        <f>step3_validation[[#This Row],[AI_TRU1]]</f>
        <v>8</v>
      </c>
      <c r="AL151">
        <f t="shared" si="66"/>
        <v>0.77777777777777779</v>
      </c>
      <c r="AM151">
        <f>survey_responses[[#This Row],[Tôi tin rằng Nhà nước, cơ quan thuế sẽ thực thi chính sách mới một cách khách quan, công tâm và đối xử bình đẳng với mọi người nộp thuế.  - HUMAN-TRU1]]</f>
        <v>7</v>
      </c>
      <c r="AN151">
        <f t="shared" si="67"/>
        <v>0.66666666666666663</v>
      </c>
      <c r="AO151">
        <f>step3_validation[[#This Row],[AI_TRU2]]</f>
        <v>9</v>
      </c>
      <c r="AP151">
        <f t="shared" si="68"/>
        <v>0.88888888888888884</v>
      </c>
      <c r="AQ151">
        <f>survey_responses[[#This Row],[Tôi thấy mức thuế tôi phải đóng theo phương án mới là công bằng (người thu nhập như tôi đóng mức này là hợp lý). - HUMAN-TRU2]]</f>
        <v>7</v>
      </c>
      <c r="AR151">
        <f t="shared" si="69"/>
        <v>0.66666666666666663</v>
      </c>
      <c r="AS151">
        <f>step3_validation[[#This Row],[AI_TRU3]]</f>
        <v>8</v>
      </c>
      <c r="AT151">
        <f t="shared" si="70"/>
        <v>0.77777777777777779</v>
      </c>
      <c r="AU151">
        <f>survey_responses[[#This Row],[Tôi tin tưởng số tiền thuế tôi đóng sẽ được Nhà nước sử dụng hiệu quả để cải thiện dịch vụ công (y tế, đường xá...). - HUMAN-TRU3]]</f>
        <v>7</v>
      </c>
      <c r="AV151">
        <f t="shared" si="71"/>
        <v>0.66666666666666663</v>
      </c>
      <c r="AW151">
        <f>step3_validation[[#This Row],[AI_TRU4]]</f>
        <v>7</v>
      </c>
      <c r="AX151">
        <f t="shared" si="72"/>
        <v>0.66666666666666663</v>
      </c>
      <c r="AY151">
        <f>survey_responses[[#This Row],[Tôi thấy Nhà nước đã giải thích rõ ràng, minh bạch về lý do và mục tiêu của việc sửa đổi thuế lần này. - HUMAN-TRU4]]</f>
        <v>7</v>
      </c>
      <c r="AZ151">
        <f t="shared" si="73"/>
        <v>0.66666666666666663</v>
      </c>
      <c r="BA151" s="32">
        <f t="shared" si="74"/>
        <v>0.77777777777777768</v>
      </c>
      <c r="BB151" s="32">
        <f t="shared" si="75"/>
        <v>0.66666666666666663</v>
      </c>
      <c r="BC151" s="7">
        <f t="shared" si="76"/>
        <v>0.83333333333333337</v>
      </c>
      <c r="BD151" s="7">
        <f t="shared" si="77"/>
        <v>0.68518518518518512</v>
      </c>
      <c r="BE151">
        <f>step3_validation[[#This Row],[AI_OUT1]]</f>
        <v>9</v>
      </c>
      <c r="BF151">
        <f t="shared" si="78"/>
        <v>0.88888888888888884</v>
      </c>
      <c r="BG151">
        <f>survey_responses[[#This Row],[Sau khi xem xét các quyền lợi và nghĩa vụ, bạn có ủng hộ và tuân thủ chính sách mới hiện nay? - HUMAN-OUT1]]</f>
        <v>10</v>
      </c>
      <c r="BH151">
        <f t="shared" si="79"/>
        <v>1</v>
      </c>
      <c r="BI151" s="32">
        <f t="shared" si="80"/>
        <v>1</v>
      </c>
    </row>
    <row r="152" spans="1:61" x14ac:dyDescent="0.45">
      <c r="A152" s="30">
        <f>step3_validation[[#This Row],[Persona_ID]]</f>
        <v>151</v>
      </c>
      <c r="B152" s="31">
        <f>step3_validation[[#This Row],[Used_Seed]]</f>
        <v>151</v>
      </c>
      <c r="C152" t="str">
        <f>step3_validation[[#This Row],[Gender]]</f>
        <v>Nữ</v>
      </c>
      <c r="D152" t="str">
        <f>survey_responses[[#This Row],[Giới tính của bạn:]]</f>
        <v>Nữ</v>
      </c>
      <c r="E152" t="str">
        <f>step3_validation[[#This Row],[Age_Group]]</f>
        <v>30 - 39</v>
      </c>
      <c r="F152" t="str">
        <f>survey_responses[[#This Row],[Độ tuổi của bạn:]]</f>
        <v>30 - 39</v>
      </c>
      <c r="G152" t="str">
        <f>step3_validation[[#This Row],[Region]]</f>
        <v>Thành thị</v>
      </c>
      <c r="H152" t="str">
        <f>survey_responses[[#This Row],[Khu vực bạn đang sinh sống:]]</f>
        <v>Thành thị</v>
      </c>
      <c r="I152" t="str">
        <f>step3_validation[[#This Row],[Education]]</f>
        <v>Đại học</v>
      </c>
      <c r="J152" t="str">
        <f>survey_responses[[#This Row],[Trình độ học vấn cao nhất:]]</f>
        <v>Đại học</v>
      </c>
      <c r="K152" t="str">
        <f>step3_validation[[#This Row],[Employment]]</f>
        <v>Chính thức</v>
      </c>
      <c r="L152" t="str">
        <f>survey_responses[[#This Row],[Tình trạng việc làm chính:]]</f>
        <v>Khu vực chính thức (Có Hợp đồng lao động, đóng BHXH)</v>
      </c>
      <c r="M152">
        <f>step3_validation[[#This Row],[Income_Mil]]</f>
        <v>85.245609116171011</v>
      </c>
      <c r="N152" t="str">
        <f>survey_responses[[#This Row],[Thu nhập bình quân tháng theo Hợp đồng lao động của bạn là bao nhiêu? (Vui lòng điền tổng thu nhập trước khi khấu trừ các loại Bảo hiểm (BHXH, BHYT, BHTN) và Thuế TNCN)]]</f>
        <v>Từ 70 - 102 triệu VNĐ</v>
      </c>
      <c r="O152">
        <f>step3_validation[[#This Row],[Dependents]]</f>
        <v>2</v>
      </c>
      <c r="P152" t="str">
        <f>survey_responses[[#This Row],[Số người phụ thuộc (con nhỏ, cha mẹ già...) đủ điều kiện giảm trừ gia cảnh:]]</f>
        <v>2 người</v>
      </c>
      <c r="Q152">
        <f>step3_validation[[#This Row],[AI_ENF1]]</f>
        <v>9</v>
      </c>
      <c r="R152">
        <f t="shared" si="54"/>
        <v>0.88888888888888884</v>
      </c>
      <c r="S152">
        <f>survey_responses[[#This Row],[Tôi tin rằng với các quy định quản lý thuế hiện nay, hành vi gian lận hoặc trốn thuế sẽ dễ dàng bị phát hiện và xử lý nghiêm. - HUMAN-ENF1]]</f>
        <v>8</v>
      </c>
      <c r="T152">
        <f t="shared" si="55"/>
        <v>0.77777777777777779</v>
      </c>
      <c r="U152">
        <f>step3_validation[[#This Row],[AI_ENF2]]</f>
        <v>8</v>
      </c>
      <c r="V152">
        <f t="shared" si="56"/>
        <v>0.77777777777777779</v>
      </c>
      <c r="W152">
        <f>survey_responses[[#This Row],[Tôi tin rằng Nhà nước, cơ quan thuế có đủ khả năng và công nghệ để phát hiện, xử lý nghiêm các hành vi trốn thuế. - HUMAN-ENF2]]</f>
        <v>8</v>
      </c>
      <c r="X152">
        <f t="shared" si="57"/>
        <v>0.77777777777777779</v>
      </c>
      <c r="Y152" s="32">
        <f t="shared" si="58"/>
        <v>0.83333333333333326</v>
      </c>
      <c r="Z152" s="32">
        <f t="shared" si="59"/>
        <v>0.77777777777777779</v>
      </c>
      <c r="AA152">
        <f>step3_validation[[#This Row],[AI_FAC1]]</f>
        <v>8</v>
      </c>
      <c r="AB152">
        <f t="shared" si="60"/>
        <v>0.77777777777777779</v>
      </c>
      <c r="AC152">
        <f>survey_responses[[#This Row],[Các thủ tục khai báo thuế VÀ/HOẶC quy trình làm việc với cơ quan thuế đơn giản, tiện lợi, nhanh chóng hơn so với trước đây. - HUMAN-FAC1]]</f>
        <v>8</v>
      </c>
      <c r="AD152">
        <f t="shared" si="61"/>
        <v>0.77777777777777779</v>
      </c>
      <c r="AE152">
        <f>step3_validation[[#This Row],[AI_FAC2]]</f>
        <v>9</v>
      </c>
      <c r="AF152">
        <f t="shared" si="62"/>
        <v>0.88888888888888884</v>
      </c>
      <c r="AG152">
        <f>survey_responses[[#This Row],[So với trước đây, tôi thấy cách tính thuế và các bậc thuế trong phương án mới đơn giản, dễ hiểu và dễ thực hiện hơn. - HUMAN-FAC2]]</f>
        <v>8</v>
      </c>
      <c r="AH152">
        <f t="shared" si="63"/>
        <v>0.77777777777777779</v>
      </c>
      <c r="AI152" s="32">
        <f t="shared" si="64"/>
        <v>0.83333333333333326</v>
      </c>
      <c r="AJ152" s="32">
        <f t="shared" si="65"/>
        <v>0.77777777777777779</v>
      </c>
      <c r="AK152">
        <f>step3_validation[[#This Row],[AI_TRU1]]</f>
        <v>8</v>
      </c>
      <c r="AL152">
        <f t="shared" si="66"/>
        <v>0.77777777777777779</v>
      </c>
      <c r="AM152">
        <f>survey_responses[[#This Row],[Tôi tin rằng Nhà nước, cơ quan thuế sẽ thực thi chính sách mới một cách khách quan, công tâm và đối xử bình đẳng với mọi người nộp thuế.  - HUMAN-TRU1]]</f>
        <v>8</v>
      </c>
      <c r="AN152">
        <f t="shared" si="67"/>
        <v>0.77777777777777779</v>
      </c>
      <c r="AO152">
        <f>step3_validation[[#This Row],[AI_TRU2]]</f>
        <v>9</v>
      </c>
      <c r="AP152">
        <f t="shared" si="68"/>
        <v>0.88888888888888884</v>
      </c>
      <c r="AQ152">
        <f>survey_responses[[#This Row],[Tôi thấy mức thuế tôi phải đóng theo phương án mới là công bằng (người thu nhập như tôi đóng mức này là hợp lý). - HUMAN-TRU2]]</f>
        <v>8</v>
      </c>
      <c r="AR152">
        <f t="shared" si="69"/>
        <v>0.77777777777777779</v>
      </c>
      <c r="AS152">
        <f>step3_validation[[#This Row],[AI_TRU3]]</f>
        <v>8</v>
      </c>
      <c r="AT152">
        <f t="shared" si="70"/>
        <v>0.77777777777777779</v>
      </c>
      <c r="AU152">
        <f>survey_responses[[#This Row],[Tôi tin tưởng số tiền thuế tôi đóng sẽ được Nhà nước sử dụng hiệu quả để cải thiện dịch vụ công (y tế, đường xá...). - HUMAN-TRU3]]</f>
        <v>8</v>
      </c>
      <c r="AV152">
        <f t="shared" si="71"/>
        <v>0.77777777777777779</v>
      </c>
      <c r="AW152">
        <f>step3_validation[[#This Row],[AI_TRU4]]</f>
        <v>9</v>
      </c>
      <c r="AX152">
        <f t="shared" si="72"/>
        <v>0.88888888888888884</v>
      </c>
      <c r="AY152">
        <f>survey_responses[[#This Row],[Tôi thấy Nhà nước đã giải thích rõ ràng, minh bạch về lý do và mục tiêu của việc sửa đổi thuế lần này. - HUMAN-TRU4]]</f>
        <v>8</v>
      </c>
      <c r="AZ152">
        <f t="shared" si="73"/>
        <v>0.77777777777777779</v>
      </c>
      <c r="BA152" s="32">
        <f t="shared" si="74"/>
        <v>0.83333333333333326</v>
      </c>
      <c r="BB152" s="32">
        <f t="shared" si="75"/>
        <v>0.77777777777777779</v>
      </c>
      <c r="BC152" s="7">
        <f t="shared" si="76"/>
        <v>0.83333333333333337</v>
      </c>
      <c r="BD152" s="7">
        <f t="shared" si="77"/>
        <v>0.77777777777777779</v>
      </c>
      <c r="BE152">
        <f>step3_validation[[#This Row],[AI_OUT1]]</f>
        <v>8</v>
      </c>
      <c r="BF152">
        <f t="shared" si="78"/>
        <v>0.77777777777777779</v>
      </c>
      <c r="BG152">
        <f>survey_responses[[#This Row],[Sau khi xem xét các quyền lợi và nghĩa vụ, bạn có ủng hộ và tuân thủ chính sách mới hiện nay? - HUMAN-OUT1]]</f>
        <v>8</v>
      </c>
      <c r="BH152">
        <f t="shared" si="79"/>
        <v>0.77777777777777779</v>
      </c>
      <c r="BI152" s="32">
        <f t="shared" si="80"/>
        <v>0</v>
      </c>
    </row>
    <row r="153" spans="1:61" x14ac:dyDescent="0.45">
      <c r="A153" s="30">
        <f>step3_validation[[#This Row],[Persona_ID]]</f>
        <v>152</v>
      </c>
      <c r="B153" s="31">
        <f>step3_validation[[#This Row],[Used_Seed]]</f>
        <v>152</v>
      </c>
      <c r="C153" t="str">
        <f>step3_validation[[#This Row],[Gender]]</f>
        <v>Nữ</v>
      </c>
      <c r="D153" t="str">
        <f>survey_responses[[#This Row],[Giới tính của bạn:]]</f>
        <v>Nữ</v>
      </c>
      <c r="E153" t="str">
        <f>step3_validation[[#This Row],[Age_Group]]</f>
        <v>40 - 49</v>
      </c>
      <c r="F153" t="str">
        <f>survey_responses[[#This Row],[Độ tuổi của bạn:]]</f>
        <v>40 - 49</v>
      </c>
      <c r="G153" t="str">
        <f>step3_validation[[#This Row],[Region]]</f>
        <v>Thành thị</v>
      </c>
      <c r="H153" t="str">
        <f>survey_responses[[#This Row],[Khu vực bạn đang sinh sống:]]</f>
        <v>Thành thị</v>
      </c>
      <c r="I153" t="str">
        <f>step3_validation[[#This Row],[Education]]</f>
        <v>Sau Đại học</v>
      </c>
      <c r="J153" t="str">
        <f>survey_responses[[#This Row],[Trình độ học vấn cao nhất:]]</f>
        <v>Sau Đại học</v>
      </c>
      <c r="K153" t="str">
        <f>step3_validation[[#This Row],[Employment]]</f>
        <v>Chính thức</v>
      </c>
      <c r="L153" t="str">
        <f>survey_responses[[#This Row],[Tình trạng việc làm chính:]]</f>
        <v>Khu vực chính thức (Có Hợp đồng lao động, đóng BHXH)</v>
      </c>
      <c r="M153">
        <f>step3_validation[[#This Row],[Income_Mil]]</f>
        <v>76.77451375109446</v>
      </c>
      <c r="N153" t="str">
        <f>survey_responses[[#This Row],[Thu nhập bình quân tháng theo Hợp đồng lao động của bạn là bao nhiêu? (Vui lòng điền tổng thu nhập trước khi khấu trừ các loại Bảo hiểm (BHXH, BHYT, BHTN) và Thuế TNCN)]]</f>
        <v>Từ 70 - 102 triệu VNĐ</v>
      </c>
      <c r="O153">
        <f>step3_validation[[#This Row],[Dependents]]</f>
        <v>2</v>
      </c>
      <c r="P153" t="str">
        <f>survey_responses[[#This Row],[Số người phụ thuộc (con nhỏ, cha mẹ già...) đủ điều kiện giảm trừ gia cảnh:]]</f>
        <v>2 người</v>
      </c>
      <c r="Q153">
        <f>step3_validation[[#This Row],[AI_ENF1]]</f>
        <v>7</v>
      </c>
      <c r="R153">
        <f t="shared" si="54"/>
        <v>0.66666666666666663</v>
      </c>
      <c r="S153">
        <f>survey_responses[[#This Row],[Tôi tin rằng với các quy định quản lý thuế hiện nay, hành vi gian lận hoặc trốn thuế sẽ dễ dàng bị phát hiện và xử lý nghiêm. - HUMAN-ENF1]]</f>
        <v>10</v>
      </c>
      <c r="T153">
        <f t="shared" si="55"/>
        <v>1</v>
      </c>
      <c r="U153">
        <f>step3_validation[[#This Row],[AI_ENF2]]</f>
        <v>7</v>
      </c>
      <c r="V153">
        <f t="shared" si="56"/>
        <v>0.66666666666666663</v>
      </c>
      <c r="W153">
        <f>survey_responses[[#This Row],[Tôi tin rằng Nhà nước, cơ quan thuế có đủ khả năng và công nghệ để phát hiện, xử lý nghiêm các hành vi trốn thuế. - HUMAN-ENF2]]</f>
        <v>10</v>
      </c>
      <c r="X153">
        <f t="shared" si="57"/>
        <v>1</v>
      </c>
      <c r="Y153" s="32">
        <f t="shared" si="58"/>
        <v>0.66666666666666663</v>
      </c>
      <c r="Z153" s="32">
        <f t="shared" si="59"/>
        <v>1</v>
      </c>
      <c r="AA153">
        <f>step3_validation[[#This Row],[AI_FAC1]]</f>
        <v>8</v>
      </c>
      <c r="AB153">
        <f t="shared" si="60"/>
        <v>0.77777777777777779</v>
      </c>
      <c r="AC153">
        <f>survey_responses[[#This Row],[Các thủ tục khai báo thuế VÀ/HOẶC quy trình làm việc với cơ quan thuế đơn giản, tiện lợi, nhanh chóng hơn so với trước đây. - HUMAN-FAC1]]</f>
        <v>10</v>
      </c>
      <c r="AD153">
        <f t="shared" si="61"/>
        <v>1</v>
      </c>
      <c r="AE153">
        <f>step3_validation[[#This Row],[AI_FAC2]]</f>
        <v>9</v>
      </c>
      <c r="AF153">
        <f t="shared" si="62"/>
        <v>0.88888888888888884</v>
      </c>
      <c r="AG153">
        <f>survey_responses[[#This Row],[So với trước đây, tôi thấy cách tính thuế và các bậc thuế trong phương án mới đơn giản, dễ hiểu và dễ thực hiện hơn. - HUMAN-FAC2]]</f>
        <v>10</v>
      </c>
      <c r="AH153">
        <f t="shared" si="63"/>
        <v>1</v>
      </c>
      <c r="AI153" s="32">
        <f t="shared" si="64"/>
        <v>0.83333333333333326</v>
      </c>
      <c r="AJ153" s="32">
        <f t="shared" si="65"/>
        <v>1</v>
      </c>
      <c r="AK153">
        <f>step3_validation[[#This Row],[AI_TRU1]]</f>
        <v>7</v>
      </c>
      <c r="AL153">
        <f t="shared" si="66"/>
        <v>0.66666666666666663</v>
      </c>
      <c r="AM153">
        <f>survey_responses[[#This Row],[Tôi tin rằng Nhà nước, cơ quan thuế sẽ thực thi chính sách mới một cách khách quan, công tâm và đối xử bình đẳng với mọi người nộp thuế.  - HUMAN-TRU1]]</f>
        <v>10</v>
      </c>
      <c r="AN153">
        <f t="shared" si="67"/>
        <v>1</v>
      </c>
      <c r="AO153">
        <f>step3_validation[[#This Row],[AI_TRU2]]</f>
        <v>9</v>
      </c>
      <c r="AP153">
        <f t="shared" si="68"/>
        <v>0.88888888888888884</v>
      </c>
      <c r="AQ153">
        <f>survey_responses[[#This Row],[Tôi thấy mức thuế tôi phải đóng theo phương án mới là công bằng (người thu nhập như tôi đóng mức này là hợp lý). - HUMAN-TRU2]]</f>
        <v>10</v>
      </c>
      <c r="AR153">
        <f t="shared" si="69"/>
        <v>1</v>
      </c>
      <c r="AS153">
        <f>step3_validation[[#This Row],[AI_TRU3]]</f>
        <v>7</v>
      </c>
      <c r="AT153">
        <f t="shared" si="70"/>
        <v>0.66666666666666663</v>
      </c>
      <c r="AU153">
        <f>survey_responses[[#This Row],[Tôi tin tưởng số tiền thuế tôi đóng sẽ được Nhà nước sử dụng hiệu quả để cải thiện dịch vụ công (y tế, đường xá...). - HUMAN-TRU3]]</f>
        <v>10</v>
      </c>
      <c r="AV153">
        <f t="shared" si="71"/>
        <v>1</v>
      </c>
      <c r="AW153">
        <f>step3_validation[[#This Row],[AI_TRU4]]</f>
        <v>8</v>
      </c>
      <c r="AX153">
        <f t="shared" si="72"/>
        <v>0.77777777777777779</v>
      </c>
      <c r="AY153">
        <f>survey_responses[[#This Row],[Tôi thấy Nhà nước đã giải thích rõ ràng, minh bạch về lý do và mục tiêu của việc sửa đổi thuế lần này. - HUMAN-TRU4]]</f>
        <v>10</v>
      </c>
      <c r="AZ153">
        <f t="shared" si="73"/>
        <v>1</v>
      </c>
      <c r="BA153" s="32">
        <f t="shared" si="74"/>
        <v>0.74999999999999989</v>
      </c>
      <c r="BB153" s="32">
        <f t="shared" si="75"/>
        <v>1</v>
      </c>
      <c r="BC153" s="7">
        <f t="shared" si="76"/>
        <v>0.75</v>
      </c>
      <c r="BD153" s="7">
        <f t="shared" si="77"/>
        <v>1</v>
      </c>
      <c r="BE153">
        <f>step3_validation[[#This Row],[AI_OUT1]]</f>
        <v>9</v>
      </c>
      <c r="BF153">
        <f t="shared" si="78"/>
        <v>0.88888888888888884</v>
      </c>
      <c r="BG153">
        <f>survey_responses[[#This Row],[Sau khi xem xét các quyền lợi và nghĩa vụ, bạn có ủng hộ và tuân thủ chính sách mới hiện nay? - HUMAN-OUT1]]</f>
        <v>10</v>
      </c>
      <c r="BH153">
        <f t="shared" si="79"/>
        <v>1</v>
      </c>
      <c r="BI153" s="32">
        <f t="shared" si="80"/>
        <v>1</v>
      </c>
    </row>
    <row r="154" spans="1:61" x14ac:dyDescent="0.45">
      <c r="A154" s="30">
        <f>step3_validation[[#This Row],[Persona_ID]]</f>
        <v>153</v>
      </c>
      <c r="B154" s="31">
        <f>step3_validation[[#This Row],[Used_Seed]]</f>
        <v>153</v>
      </c>
      <c r="C154" t="str">
        <f>step3_validation[[#This Row],[Gender]]</f>
        <v>Nam</v>
      </c>
      <c r="D154" t="str">
        <f>survey_responses[[#This Row],[Giới tính của bạn:]]</f>
        <v>Nam</v>
      </c>
      <c r="E154" t="str">
        <f>step3_validation[[#This Row],[Age_Group]]</f>
        <v>30 - 39</v>
      </c>
      <c r="F154" t="str">
        <f>survey_responses[[#This Row],[Độ tuổi của bạn:]]</f>
        <v>30 - 39</v>
      </c>
      <c r="G154" t="str">
        <f>step3_validation[[#This Row],[Region]]</f>
        <v>Thành thị</v>
      </c>
      <c r="H154" t="str">
        <f>survey_responses[[#This Row],[Khu vực bạn đang sinh sống:]]</f>
        <v>Thành thị</v>
      </c>
      <c r="I154" t="str">
        <f>step3_validation[[#This Row],[Education]]</f>
        <v>Đại học</v>
      </c>
      <c r="J154" t="str">
        <f>survey_responses[[#This Row],[Trình độ học vấn cao nhất:]]</f>
        <v>Đại học</v>
      </c>
      <c r="K154" t="str">
        <f>step3_validation[[#This Row],[Employment]]</f>
        <v>Chính thức</v>
      </c>
      <c r="L154" t="str">
        <f>survey_responses[[#This Row],[Tình trạng việc làm chính:]]</f>
        <v>Khu vực chính thức (Có Hợp đồng lao động, đóng BHXH)</v>
      </c>
      <c r="M154">
        <f>step3_validation[[#This Row],[Income_Mil]]</f>
        <v>12</v>
      </c>
      <c r="N154" t="str">
        <f>survey_responses[[#This Row],[Thu nhập bình quân tháng theo Hợp đồng lao động của bạn là bao nhiêu? (Vui lòng điền tổng thu nhập trước khi khấu trừ các loại Bảo hiểm (BHXH, BHYT, BHTN) và Thuế TNCN)]]</f>
        <v>Dưới 12 triệu VNĐ</v>
      </c>
      <c r="O154">
        <f>step3_validation[[#This Row],[Dependents]]</f>
        <v>1</v>
      </c>
      <c r="P154" t="str">
        <f>survey_responses[[#This Row],[Số người phụ thuộc (con nhỏ, cha mẹ già...) đủ điều kiện giảm trừ gia cảnh:]]</f>
        <v>1 người</v>
      </c>
      <c r="Q154">
        <f>step3_validation[[#This Row],[AI_ENF1]]</f>
        <v>5</v>
      </c>
      <c r="R154">
        <f t="shared" si="54"/>
        <v>0.44444444444444442</v>
      </c>
      <c r="S154">
        <f>survey_responses[[#This Row],[Tôi tin rằng với các quy định quản lý thuế hiện nay, hành vi gian lận hoặc trốn thuế sẽ dễ dàng bị phát hiện và xử lý nghiêm. - HUMAN-ENF1]]</f>
        <v>7</v>
      </c>
      <c r="T154">
        <f t="shared" si="55"/>
        <v>0.66666666666666663</v>
      </c>
      <c r="U154">
        <f>step3_validation[[#This Row],[AI_ENF2]]</f>
        <v>6</v>
      </c>
      <c r="V154">
        <f t="shared" si="56"/>
        <v>0.55555555555555558</v>
      </c>
      <c r="W154">
        <f>survey_responses[[#This Row],[Tôi tin rằng Nhà nước, cơ quan thuế có đủ khả năng và công nghệ để phát hiện, xử lý nghiêm các hành vi trốn thuế. - HUMAN-ENF2]]</f>
        <v>7</v>
      </c>
      <c r="X154">
        <f t="shared" si="57"/>
        <v>0.66666666666666663</v>
      </c>
      <c r="Y154" s="32">
        <f t="shared" si="58"/>
        <v>0.5</v>
      </c>
      <c r="Z154" s="32">
        <f t="shared" si="59"/>
        <v>0.66666666666666663</v>
      </c>
      <c r="AA154">
        <f>step3_validation[[#This Row],[AI_FAC1]]</f>
        <v>7</v>
      </c>
      <c r="AB154">
        <f t="shared" si="60"/>
        <v>0.66666666666666663</v>
      </c>
      <c r="AC154">
        <f>survey_responses[[#This Row],[Các thủ tục khai báo thuế VÀ/HOẶC quy trình làm việc với cơ quan thuế đơn giản, tiện lợi, nhanh chóng hơn so với trước đây. - HUMAN-FAC1]]</f>
        <v>5</v>
      </c>
      <c r="AD154">
        <f t="shared" si="61"/>
        <v>0.44444444444444442</v>
      </c>
      <c r="AE154">
        <f>step3_validation[[#This Row],[AI_FAC2]]</f>
        <v>8</v>
      </c>
      <c r="AF154">
        <f t="shared" si="62"/>
        <v>0.77777777777777779</v>
      </c>
      <c r="AG154">
        <f>survey_responses[[#This Row],[So với trước đây, tôi thấy cách tính thuế và các bậc thuế trong phương án mới đơn giản, dễ hiểu và dễ thực hiện hơn. - HUMAN-FAC2]]</f>
        <v>7</v>
      </c>
      <c r="AH154">
        <f t="shared" si="63"/>
        <v>0.66666666666666663</v>
      </c>
      <c r="AI154" s="32">
        <f t="shared" si="64"/>
        <v>0.72222222222222221</v>
      </c>
      <c r="AJ154" s="32">
        <f t="shared" si="65"/>
        <v>0.55555555555555558</v>
      </c>
      <c r="AK154">
        <f>step3_validation[[#This Row],[AI_TRU1]]</f>
        <v>7</v>
      </c>
      <c r="AL154">
        <f t="shared" si="66"/>
        <v>0.66666666666666663</v>
      </c>
      <c r="AM154">
        <f>survey_responses[[#This Row],[Tôi tin rằng Nhà nước, cơ quan thuế sẽ thực thi chính sách mới một cách khách quan, công tâm và đối xử bình đẳng với mọi người nộp thuế.  - HUMAN-TRU1]]</f>
        <v>7</v>
      </c>
      <c r="AN154">
        <f t="shared" si="67"/>
        <v>0.66666666666666663</v>
      </c>
      <c r="AO154">
        <f>step3_validation[[#This Row],[AI_TRU2]]</f>
        <v>9</v>
      </c>
      <c r="AP154">
        <f t="shared" si="68"/>
        <v>0.88888888888888884</v>
      </c>
      <c r="AQ154">
        <f>survey_responses[[#This Row],[Tôi thấy mức thuế tôi phải đóng theo phương án mới là công bằng (người thu nhập như tôi đóng mức này là hợp lý). - HUMAN-TRU2]]</f>
        <v>7</v>
      </c>
      <c r="AR154">
        <f t="shared" si="69"/>
        <v>0.66666666666666663</v>
      </c>
      <c r="AS154">
        <f>step3_validation[[#This Row],[AI_TRU3]]</f>
        <v>8</v>
      </c>
      <c r="AT154">
        <f t="shared" si="70"/>
        <v>0.77777777777777779</v>
      </c>
      <c r="AU154">
        <f>survey_responses[[#This Row],[Tôi tin tưởng số tiền thuế tôi đóng sẽ được Nhà nước sử dụng hiệu quả để cải thiện dịch vụ công (y tế, đường xá...). - HUMAN-TRU3]]</f>
        <v>7</v>
      </c>
      <c r="AV154">
        <f t="shared" si="71"/>
        <v>0.66666666666666663</v>
      </c>
      <c r="AW154">
        <f>step3_validation[[#This Row],[AI_TRU4]]</f>
        <v>7</v>
      </c>
      <c r="AX154">
        <f t="shared" si="72"/>
        <v>0.66666666666666663</v>
      </c>
      <c r="AY154">
        <f>survey_responses[[#This Row],[Tôi thấy Nhà nước đã giải thích rõ ràng, minh bạch về lý do và mục tiêu của việc sửa đổi thuế lần này. - HUMAN-TRU4]]</f>
        <v>7</v>
      </c>
      <c r="AZ154">
        <f t="shared" si="73"/>
        <v>0.66666666666666663</v>
      </c>
      <c r="BA154" s="32">
        <f t="shared" si="74"/>
        <v>0.74999999999999989</v>
      </c>
      <c r="BB154" s="32">
        <f t="shared" si="75"/>
        <v>0.66666666666666663</v>
      </c>
      <c r="BC154" s="7">
        <f t="shared" si="76"/>
        <v>0.65740740740740744</v>
      </c>
      <c r="BD154" s="7">
        <f t="shared" si="77"/>
        <v>0.62962962962962965</v>
      </c>
      <c r="BE154">
        <f>step3_validation[[#This Row],[AI_OUT1]]</f>
        <v>8</v>
      </c>
      <c r="BF154">
        <f t="shared" si="78"/>
        <v>0.77777777777777779</v>
      </c>
      <c r="BG154">
        <f>survey_responses[[#This Row],[Sau khi xem xét các quyền lợi và nghĩa vụ, bạn có ủng hộ và tuân thủ chính sách mới hiện nay? - HUMAN-OUT1]]</f>
        <v>7</v>
      </c>
      <c r="BH154">
        <f t="shared" si="79"/>
        <v>0.66666666666666663</v>
      </c>
      <c r="BI154" s="32">
        <f t="shared" si="80"/>
        <v>1</v>
      </c>
    </row>
    <row r="155" spans="1:61" x14ac:dyDescent="0.45">
      <c r="A155" s="30">
        <f>step3_validation[[#This Row],[Persona_ID]]</f>
        <v>154</v>
      </c>
      <c r="B155" s="31">
        <f>step3_validation[[#This Row],[Used_Seed]]</f>
        <v>154</v>
      </c>
      <c r="C155" t="str">
        <f>step3_validation[[#This Row],[Gender]]</f>
        <v>Nữ</v>
      </c>
      <c r="D155" t="str">
        <f>survey_responses[[#This Row],[Giới tính của bạn:]]</f>
        <v>Nữ</v>
      </c>
      <c r="E155" t="str">
        <f>step3_validation[[#This Row],[Age_Group]]</f>
        <v>25 - 29</v>
      </c>
      <c r="F155" t="str">
        <f>survey_responses[[#This Row],[Độ tuổi của bạn:]]</f>
        <v>25 - 29</v>
      </c>
      <c r="G155" t="str">
        <f>step3_validation[[#This Row],[Region]]</f>
        <v>Thành thị</v>
      </c>
      <c r="H155" t="str">
        <f>survey_responses[[#This Row],[Khu vực bạn đang sinh sống:]]</f>
        <v>Thành thị</v>
      </c>
      <c r="I155" t="str">
        <f>step3_validation[[#This Row],[Education]]</f>
        <v>Đại học</v>
      </c>
      <c r="J155" t="str">
        <f>survey_responses[[#This Row],[Trình độ học vấn cao nhất:]]</f>
        <v>Đại học</v>
      </c>
      <c r="K155" t="str">
        <f>step3_validation[[#This Row],[Employment]]</f>
        <v>Chính thức</v>
      </c>
      <c r="L155" t="str">
        <f>survey_responses[[#This Row],[Tình trạng việc làm chính:]]</f>
        <v>Khu vực chính thức (Có Hợp đồng lao động, đóng BHXH)</v>
      </c>
      <c r="M155">
        <f>step3_validation[[#This Row],[Income_Mil]]</f>
        <v>12</v>
      </c>
      <c r="N155" t="str">
        <f>survey_responses[[#This Row],[Thu nhập bình quân tháng theo Hợp đồng lao động của bạn là bao nhiêu? (Vui lòng điền tổng thu nhập trước khi khấu trừ các loại Bảo hiểm (BHXH, BHYT, BHTN) và Thuế TNCN)]]</f>
        <v>Dưới 12 triệu VNĐ</v>
      </c>
      <c r="O155">
        <f>step3_validation[[#This Row],[Dependents]]</f>
        <v>2</v>
      </c>
      <c r="P155" t="str">
        <f>survey_responses[[#This Row],[Số người phụ thuộc (con nhỏ, cha mẹ già...) đủ điều kiện giảm trừ gia cảnh:]]</f>
        <v>2 người</v>
      </c>
      <c r="Q155">
        <f>step3_validation[[#This Row],[AI_ENF1]]</f>
        <v>9</v>
      </c>
      <c r="R155">
        <f t="shared" si="54"/>
        <v>0.88888888888888884</v>
      </c>
      <c r="S155">
        <f>survey_responses[[#This Row],[Tôi tin rằng với các quy định quản lý thuế hiện nay, hành vi gian lận hoặc trốn thuế sẽ dễ dàng bị phát hiện và xử lý nghiêm. - HUMAN-ENF1]]</f>
        <v>7</v>
      </c>
      <c r="T155">
        <f t="shared" si="55"/>
        <v>0.66666666666666663</v>
      </c>
      <c r="U155">
        <f>step3_validation[[#This Row],[AI_ENF2]]</f>
        <v>8</v>
      </c>
      <c r="V155">
        <f t="shared" si="56"/>
        <v>0.77777777777777779</v>
      </c>
      <c r="W155">
        <f>survey_responses[[#This Row],[Tôi tin rằng Nhà nước, cơ quan thuế có đủ khả năng và công nghệ để phát hiện, xử lý nghiêm các hành vi trốn thuế. - HUMAN-ENF2]]</f>
        <v>8</v>
      </c>
      <c r="X155">
        <f t="shared" si="57"/>
        <v>0.77777777777777779</v>
      </c>
      <c r="Y155" s="32">
        <f t="shared" si="58"/>
        <v>0.83333333333333326</v>
      </c>
      <c r="Z155" s="32">
        <f t="shared" si="59"/>
        <v>0.72222222222222221</v>
      </c>
      <c r="AA155">
        <f>step3_validation[[#This Row],[AI_FAC1]]</f>
        <v>9</v>
      </c>
      <c r="AB155">
        <f t="shared" si="60"/>
        <v>0.88888888888888884</v>
      </c>
      <c r="AC155">
        <f>survey_responses[[#This Row],[Các thủ tục khai báo thuế VÀ/HOẶC quy trình làm việc với cơ quan thuế đơn giản, tiện lợi, nhanh chóng hơn so với trước đây. - HUMAN-FAC1]]</f>
        <v>8</v>
      </c>
      <c r="AD155">
        <f t="shared" si="61"/>
        <v>0.77777777777777779</v>
      </c>
      <c r="AE155">
        <f>step3_validation[[#This Row],[AI_FAC2]]</f>
        <v>8</v>
      </c>
      <c r="AF155">
        <f t="shared" si="62"/>
        <v>0.77777777777777779</v>
      </c>
      <c r="AG155">
        <f>survey_responses[[#This Row],[So với trước đây, tôi thấy cách tính thuế và các bậc thuế trong phương án mới đơn giản, dễ hiểu và dễ thực hiện hơn. - HUMAN-FAC2]]</f>
        <v>8</v>
      </c>
      <c r="AH155">
        <f t="shared" si="63"/>
        <v>0.77777777777777779</v>
      </c>
      <c r="AI155" s="32">
        <f t="shared" si="64"/>
        <v>0.83333333333333326</v>
      </c>
      <c r="AJ155" s="32">
        <f t="shared" si="65"/>
        <v>0.77777777777777779</v>
      </c>
      <c r="AK155">
        <f>step3_validation[[#This Row],[AI_TRU1]]</f>
        <v>9</v>
      </c>
      <c r="AL155">
        <f t="shared" si="66"/>
        <v>0.88888888888888884</v>
      </c>
      <c r="AM155">
        <f>survey_responses[[#This Row],[Tôi tin rằng Nhà nước, cơ quan thuế sẽ thực thi chính sách mới một cách khách quan, công tâm và đối xử bình đẳng với mọi người nộp thuế.  - HUMAN-TRU1]]</f>
        <v>6</v>
      </c>
      <c r="AN155">
        <f t="shared" si="67"/>
        <v>0.55555555555555558</v>
      </c>
      <c r="AO155">
        <f>step3_validation[[#This Row],[AI_TRU2]]</f>
        <v>8</v>
      </c>
      <c r="AP155">
        <f t="shared" si="68"/>
        <v>0.77777777777777779</v>
      </c>
      <c r="AQ155">
        <f>survey_responses[[#This Row],[Tôi thấy mức thuế tôi phải đóng theo phương án mới là công bằng (người thu nhập như tôi đóng mức này là hợp lý). - HUMAN-TRU2]]</f>
        <v>8</v>
      </c>
      <c r="AR155">
        <f t="shared" si="69"/>
        <v>0.77777777777777779</v>
      </c>
      <c r="AS155">
        <f>step3_validation[[#This Row],[AI_TRU3]]</f>
        <v>7</v>
      </c>
      <c r="AT155">
        <f t="shared" si="70"/>
        <v>0.66666666666666663</v>
      </c>
      <c r="AU155">
        <f>survey_responses[[#This Row],[Tôi tin tưởng số tiền thuế tôi đóng sẽ được Nhà nước sử dụng hiệu quả để cải thiện dịch vụ công (y tế, đường xá...). - HUMAN-TRU3]]</f>
        <v>5</v>
      </c>
      <c r="AV155">
        <f t="shared" si="71"/>
        <v>0.44444444444444442</v>
      </c>
      <c r="AW155">
        <f>step3_validation[[#This Row],[AI_TRU4]]</f>
        <v>8</v>
      </c>
      <c r="AX155">
        <f t="shared" si="72"/>
        <v>0.77777777777777779</v>
      </c>
      <c r="AY155">
        <f>survey_responses[[#This Row],[Tôi thấy Nhà nước đã giải thích rõ ràng, minh bạch về lý do và mục tiêu của việc sửa đổi thuế lần này. - HUMAN-TRU4]]</f>
        <v>8</v>
      </c>
      <c r="AZ155">
        <f t="shared" si="73"/>
        <v>0.77777777777777779</v>
      </c>
      <c r="BA155" s="32">
        <f t="shared" si="74"/>
        <v>0.77777777777777768</v>
      </c>
      <c r="BB155" s="32">
        <f t="shared" si="75"/>
        <v>0.63888888888888895</v>
      </c>
      <c r="BC155" s="7">
        <f t="shared" si="76"/>
        <v>0.81481481481481477</v>
      </c>
      <c r="BD155" s="7">
        <f t="shared" si="77"/>
        <v>0.71296296296296291</v>
      </c>
      <c r="BE155">
        <f>step3_validation[[#This Row],[AI_OUT1]]</f>
        <v>9</v>
      </c>
      <c r="BF155">
        <f t="shared" si="78"/>
        <v>0.88888888888888884</v>
      </c>
      <c r="BG155">
        <f>survey_responses[[#This Row],[Sau khi xem xét các quyền lợi và nghĩa vụ, bạn có ủng hộ và tuân thủ chính sách mới hiện nay? - HUMAN-OUT1]]</f>
        <v>8</v>
      </c>
      <c r="BH155">
        <f t="shared" si="79"/>
        <v>0.77777777777777779</v>
      </c>
      <c r="BI155" s="32">
        <f t="shared" si="80"/>
        <v>1</v>
      </c>
    </row>
    <row r="156" spans="1:61" x14ac:dyDescent="0.45">
      <c r="A156" s="30">
        <f>step3_validation[[#This Row],[Persona_ID]]</f>
        <v>155</v>
      </c>
      <c r="B156" s="31">
        <f>step3_validation[[#This Row],[Used_Seed]]</f>
        <v>155</v>
      </c>
      <c r="C156" t="str">
        <f>step3_validation[[#This Row],[Gender]]</f>
        <v>Nữ</v>
      </c>
      <c r="D156" t="str">
        <f>survey_responses[[#This Row],[Giới tính của bạn:]]</f>
        <v>Nữ</v>
      </c>
      <c r="E156" t="str">
        <f>step3_validation[[#This Row],[Age_Group]]</f>
        <v>30 - 39</v>
      </c>
      <c r="F156" t="str">
        <f>survey_responses[[#This Row],[Độ tuổi của bạn:]]</f>
        <v>30 - 39</v>
      </c>
      <c r="G156" t="str">
        <f>step3_validation[[#This Row],[Region]]</f>
        <v>Thành thị</v>
      </c>
      <c r="H156" t="str">
        <f>survey_responses[[#This Row],[Khu vực bạn đang sinh sống:]]</f>
        <v>Thành thị</v>
      </c>
      <c r="I156" t="str">
        <f>step3_validation[[#This Row],[Education]]</f>
        <v>Sau Đại học</v>
      </c>
      <c r="J156" t="str">
        <f>survey_responses[[#This Row],[Trình độ học vấn cao nhất:]]</f>
        <v>Sau Đại học</v>
      </c>
      <c r="K156" t="str">
        <f>step3_validation[[#This Row],[Employment]]</f>
        <v>Chính thức</v>
      </c>
      <c r="L156" t="str">
        <f>survey_responses[[#This Row],[Tình trạng việc làm chính:]]</f>
        <v>Khu vực chính thức (Có Hợp đồng lao động, đóng BHXH)</v>
      </c>
      <c r="M156">
        <f>step3_validation[[#This Row],[Income_Mil]]</f>
        <v>54.541076385514671</v>
      </c>
      <c r="N156" t="str">
        <f>survey_responses[[#This Row],[Thu nhập bình quân tháng theo Hợp đồng lao động của bạn là bao nhiêu? (Vui lòng điền tổng thu nhập trước khi khấu trừ các loại Bảo hiểm (BHXH, BHYT, BHTN) và Thuế TNCN)]]</f>
        <v>Từ 48 - 70 triệu VNĐ</v>
      </c>
      <c r="O156">
        <f>step3_validation[[#This Row],[Dependents]]</f>
        <v>1</v>
      </c>
      <c r="P156" t="str">
        <f>survey_responses[[#This Row],[Số người phụ thuộc (con nhỏ, cha mẹ già...) đủ điều kiện giảm trừ gia cảnh:]]</f>
        <v>1 người</v>
      </c>
      <c r="Q156">
        <f>step3_validation[[#This Row],[AI_ENF1]]</f>
        <v>7</v>
      </c>
      <c r="R156">
        <f t="shared" si="54"/>
        <v>0.66666666666666663</v>
      </c>
      <c r="S156">
        <f>survey_responses[[#This Row],[Tôi tin rằng với các quy định quản lý thuế hiện nay, hành vi gian lận hoặc trốn thuế sẽ dễ dàng bị phát hiện và xử lý nghiêm. - HUMAN-ENF1]]</f>
        <v>10</v>
      </c>
      <c r="T156">
        <f t="shared" si="55"/>
        <v>1</v>
      </c>
      <c r="U156">
        <f>step3_validation[[#This Row],[AI_ENF2]]</f>
        <v>8</v>
      </c>
      <c r="V156">
        <f t="shared" si="56"/>
        <v>0.77777777777777779</v>
      </c>
      <c r="W156">
        <f>survey_responses[[#This Row],[Tôi tin rằng Nhà nước, cơ quan thuế có đủ khả năng và công nghệ để phát hiện, xử lý nghiêm các hành vi trốn thuế. - HUMAN-ENF2]]</f>
        <v>10</v>
      </c>
      <c r="X156">
        <f t="shared" si="57"/>
        <v>1</v>
      </c>
      <c r="Y156" s="32">
        <f t="shared" si="58"/>
        <v>0.72222222222222221</v>
      </c>
      <c r="Z156" s="32">
        <f t="shared" si="59"/>
        <v>1</v>
      </c>
      <c r="AA156">
        <f>step3_validation[[#This Row],[AI_FAC1]]</f>
        <v>9</v>
      </c>
      <c r="AB156">
        <f t="shared" si="60"/>
        <v>0.88888888888888884</v>
      </c>
      <c r="AC156">
        <f>survey_responses[[#This Row],[Các thủ tục khai báo thuế VÀ/HOẶC quy trình làm việc với cơ quan thuế đơn giản, tiện lợi, nhanh chóng hơn so với trước đây. - HUMAN-FAC1]]</f>
        <v>10</v>
      </c>
      <c r="AD156">
        <f t="shared" si="61"/>
        <v>1</v>
      </c>
      <c r="AE156">
        <f>step3_validation[[#This Row],[AI_FAC2]]</f>
        <v>9</v>
      </c>
      <c r="AF156">
        <f t="shared" si="62"/>
        <v>0.88888888888888884</v>
      </c>
      <c r="AG156">
        <f>survey_responses[[#This Row],[So với trước đây, tôi thấy cách tính thuế và các bậc thuế trong phương án mới đơn giản, dễ hiểu và dễ thực hiện hơn. - HUMAN-FAC2]]</f>
        <v>10</v>
      </c>
      <c r="AH156">
        <f t="shared" si="63"/>
        <v>1</v>
      </c>
      <c r="AI156" s="32">
        <f t="shared" si="64"/>
        <v>0.88888888888888884</v>
      </c>
      <c r="AJ156" s="32">
        <f t="shared" si="65"/>
        <v>1</v>
      </c>
      <c r="AK156">
        <f>step3_validation[[#This Row],[AI_TRU1]]</f>
        <v>6</v>
      </c>
      <c r="AL156">
        <f t="shared" si="66"/>
        <v>0.55555555555555558</v>
      </c>
      <c r="AM156">
        <f>survey_responses[[#This Row],[Tôi tin rằng Nhà nước, cơ quan thuế sẽ thực thi chính sách mới một cách khách quan, công tâm và đối xử bình đẳng với mọi người nộp thuế.  - HUMAN-TRU1]]</f>
        <v>10</v>
      </c>
      <c r="AN156">
        <f t="shared" si="67"/>
        <v>1</v>
      </c>
      <c r="AO156">
        <f>step3_validation[[#This Row],[AI_TRU2]]</f>
        <v>9</v>
      </c>
      <c r="AP156">
        <f t="shared" si="68"/>
        <v>0.88888888888888884</v>
      </c>
      <c r="AQ156">
        <f>survey_responses[[#This Row],[Tôi thấy mức thuế tôi phải đóng theo phương án mới là công bằng (người thu nhập như tôi đóng mức này là hợp lý). - HUMAN-TRU2]]</f>
        <v>10</v>
      </c>
      <c r="AR156">
        <f t="shared" si="69"/>
        <v>1</v>
      </c>
      <c r="AS156">
        <f>step3_validation[[#This Row],[AI_TRU3]]</f>
        <v>8</v>
      </c>
      <c r="AT156">
        <f t="shared" si="70"/>
        <v>0.77777777777777779</v>
      </c>
      <c r="AU156">
        <f>survey_responses[[#This Row],[Tôi tin tưởng số tiền thuế tôi đóng sẽ được Nhà nước sử dụng hiệu quả để cải thiện dịch vụ công (y tế, đường xá...). - HUMAN-TRU3]]</f>
        <v>10</v>
      </c>
      <c r="AV156">
        <f t="shared" si="71"/>
        <v>1</v>
      </c>
      <c r="AW156">
        <f>step3_validation[[#This Row],[AI_TRU4]]</f>
        <v>7</v>
      </c>
      <c r="AX156">
        <f t="shared" si="72"/>
        <v>0.66666666666666663</v>
      </c>
      <c r="AY156">
        <f>survey_responses[[#This Row],[Tôi thấy Nhà nước đã giải thích rõ ràng, minh bạch về lý do và mục tiêu của việc sửa đổi thuế lần này. - HUMAN-TRU4]]</f>
        <v>10</v>
      </c>
      <c r="AZ156">
        <f t="shared" si="73"/>
        <v>1</v>
      </c>
      <c r="BA156" s="32">
        <f t="shared" si="74"/>
        <v>0.72222222222222221</v>
      </c>
      <c r="BB156" s="32">
        <f t="shared" si="75"/>
        <v>1</v>
      </c>
      <c r="BC156" s="7">
        <f t="shared" si="76"/>
        <v>0.77777777777777779</v>
      </c>
      <c r="BD156" s="7">
        <f t="shared" si="77"/>
        <v>1</v>
      </c>
      <c r="BE156">
        <f>step3_validation[[#This Row],[AI_OUT1]]</f>
        <v>9</v>
      </c>
      <c r="BF156">
        <f t="shared" si="78"/>
        <v>0.88888888888888884</v>
      </c>
      <c r="BG156">
        <f>survey_responses[[#This Row],[Sau khi xem xét các quyền lợi và nghĩa vụ, bạn có ủng hộ và tuân thủ chính sách mới hiện nay? - HUMAN-OUT1]]</f>
        <v>10</v>
      </c>
      <c r="BH156">
        <f t="shared" si="79"/>
        <v>1</v>
      </c>
      <c r="BI156" s="32">
        <f t="shared" si="80"/>
        <v>1</v>
      </c>
    </row>
    <row r="157" spans="1:61" x14ac:dyDescent="0.45">
      <c r="A157" s="30">
        <f>step3_validation[[#This Row],[Persona_ID]]</f>
        <v>156</v>
      </c>
      <c r="B157" s="31">
        <f>step3_validation[[#This Row],[Used_Seed]]</f>
        <v>156</v>
      </c>
      <c r="C157" t="str">
        <f>step3_validation[[#This Row],[Gender]]</f>
        <v>Nữ</v>
      </c>
      <c r="D157" t="str">
        <f>survey_responses[[#This Row],[Giới tính của bạn:]]</f>
        <v>Nữ</v>
      </c>
      <c r="E157" t="str">
        <f>step3_validation[[#This Row],[Age_Group]]</f>
        <v>30 - 39</v>
      </c>
      <c r="F157" t="str">
        <f>survey_responses[[#This Row],[Độ tuổi của bạn:]]</f>
        <v>30 - 39</v>
      </c>
      <c r="G157" t="str">
        <f>step3_validation[[#This Row],[Region]]</f>
        <v>Thành thị</v>
      </c>
      <c r="H157" t="str">
        <f>survey_responses[[#This Row],[Khu vực bạn đang sinh sống:]]</f>
        <v>Thành thị</v>
      </c>
      <c r="I157" t="str">
        <f>step3_validation[[#This Row],[Education]]</f>
        <v>Sau Đại học</v>
      </c>
      <c r="J157" t="str">
        <f>survey_responses[[#This Row],[Trình độ học vấn cao nhất:]]</f>
        <v>Sau Đại học</v>
      </c>
      <c r="K157" t="str">
        <f>step3_validation[[#This Row],[Employment]]</f>
        <v>Chính thức</v>
      </c>
      <c r="L157" t="str">
        <f>survey_responses[[#This Row],[Tình trạng việc làm chính:]]</f>
        <v>Khu vực chính thức (Có Hợp đồng lao động, đóng BHXH)</v>
      </c>
      <c r="M157">
        <f>step3_validation[[#This Row],[Income_Mil]]</f>
        <v>24.109760833859287</v>
      </c>
      <c r="N157" t="str">
        <f>survey_responses[[#This Row],[Thu nhập bình quân tháng theo Hợp đồng lao động của bạn là bao nhiêu? (Vui lòng điền tổng thu nhập trước khi khấu trừ các loại Bảo hiểm (BHXH, BHYT, BHTN) và Thuế TNCN)]]</f>
        <v>Từ 23 - 32 triệu VNĐ</v>
      </c>
      <c r="O157">
        <f>step3_validation[[#This Row],[Dependents]]</f>
        <v>1</v>
      </c>
      <c r="P157" t="str">
        <f>survey_responses[[#This Row],[Số người phụ thuộc (con nhỏ, cha mẹ già...) đủ điều kiện giảm trừ gia cảnh:]]</f>
        <v>1 người</v>
      </c>
      <c r="Q157">
        <f>step3_validation[[#This Row],[AI_ENF1]]</f>
        <v>7</v>
      </c>
      <c r="R157">
        <f t="shared" si="54"/>
        <v>0.66666666666666663</v>
      </c>
      <c r="S157">
        <f>survey_responses[[#This Row],[Tôi tin rằng với các quy định quản lý thuế hiện nay, hành vi gian lận hoặc trốn thuế sẽ dễ dàng bị phát hiện và xử lý nghiêm. - HUMAN-ENF1]]</f>
        <v>10</v>
      </c>
      <c r="T157">
        <f t="shared" si="55"/>
        <v>1</v>
      </c>
      <c r="U157">
        <f>step3_validation[[#This Row],[AI_ENF2]]</f>
        <v>8</v>
      </c>
      <c r="V157">
        <f t="shared" si="56"/>
        <v>0.77777777777777779</v>
      </c>
      <c r="W157">
        <f>survey_responses[[#This Row],[Tôi tin rằng Nhà nước, cơ quan thuế có đủ khả năng và công nghệ để phát hiện, xử lý nghiêm các hành vi trốn thuế. - HUMAN-ENF2]]</f>
        <v>10</v>
      </c>
      <c r="X157">
        <f t="shared" si="57"/>
        <v>1</v>
      </c>
      <c r="Y157" s="32">
        <f t="shared" si="58"/>
        <v>0.72222222222222221</v>
      </c>
      <c r="Z157" s="32">
        <f t="shared" si="59"/>
        <v>1</v>
      </c>
      <c r="AA157">
        <f>step3_validation[[#This Row],[AI_FAC1]]</f>
        <v>9</v>
      </c>
      <c r="AB157">
        <f t="shared" si="60"/>
        <v>0.88888888888888884</v>
      </c>
      <c r="AC157">
        <f>survey_responses[[#This Row],[Các thủ tục khai báo thuế VÀ/HOẶC quy trình làm việc với cơ quan thuế đơn giản, tiện lợi, nhanh chóng hơn so với trước đây. - HUMAN-FAC1]]</f>
        <v>10</v>
      </c>
      <c r="AD157">
        <f t="shared" si="61"/>
        <v>1</v>
      </c>
      <c r="AE157">
        <f>step3_validation[[#This Row],[AI_FAC2]]</f>
        <v>9</v>
      </c>
      <c r="AF157">
        <f t="shared" si="62"/>
        <v>0.88888888888888884</v>
      </c>
      <c r="AG157">
        <f>survey_responses[[#This Row],[So với trước đây, tôi thấy cách tính thuế và các bậc thuế trong phương án mới đơn giản, dễ hiểu và dễ thực hiện hơn. - HUMAN-FAC2]]</f>
        <v>10</v>
      </c>
      <c r="AH157">
        <f t="shared" si="63"/>
        <v>1</v>
      </c>
      <c r="AI157" s="32">
        <f t="shared" si="64"/>
        <v>0.88888888888888884</v>
      </c>
      <c r="AJ157" s="32">
        <f t="shared" si="65"/>
        <v>1</v>
      </c>
      <c r="AK157">
        <f>step3_validation[[#This Row],[AI_TRU1]]</f>
        <v>8</v>
      </c>
      <c r="AL157">
        <f t="shared" si="66"/>
        <v>0.77777777777777779</v>
      </c>
      <c r="AM157">
        <f>survey_responses[[#This Row],[Tôi tin rằng Nhà nước, cơ quan thuế sẽ thực thi chính sách mới một cách khách quan, công tâm và đối xử bình đẳng với mọi người nộp thuế.  - HUMAN-TRU1]]</f>
        <v>10</v>
      </c>
      <c r="AN157">
        <f t="shared" si="67"/>
        <v>1</v>
      </c>
      <c r="AO157">
        <f>step3_validation[[#This Row],[AI_TRU2]]</f>
        <v>9</v>
      </c>
      <c r="AP157">
        <f t="shared" si="68"/>
        <v>0.88888888888888884</v>
      </c>
      <c r="AQ157">
        <f>survey_responses[[#This Row],[Tôi thấy mức thuế tôi phải đóng theo phương án mới là công bằng (người thu nhập như tôi đóng mức này là hợp lý). - HUMAN-TRU2]]</f>
        <v>10</v>
      </c>
      <c r="AR157">
        <f t="shared" si="69"/>
        <v>1</v>
      </c>
      <c r="AS157">
        <f>step3_validation[[#This Row],[AI_TRU3]]</f>
        <v>8</v>
      </c>
      <c r="AT157">
        <f t="shared" si="70"/>
        <v>0.77777777777777779</v>
      </c>
      <c r="AU157">
        <f>survey_responses[[#This Row],[Tôi tin tưởng số tiền thuế tôi đóng sẽ được Nhà nước sử dụng hiệu quả để cải thiện dịch vụ công (y tế, đường xá...). - HUMAN-TRU3]]</f>
        <v>10</v>
      </c>
      <c r="AV157">
        <f t="shared" si="71"/>
        <v>1</v>
      </c>
      <c r="AW157">
        <f>step3_validation[[#This Row],[AI_TRU4]]</f>
        <v>7</v>
      </c>
      <c r="AX157">
        <f t="shared" si="72"/>
        <v>0.66666666666666663</v>
      </c>
      <c r="AY157">
        <f>survey_responses[[#This Row],[Tôi thấy Nhà nước đã giải thích rõ ràng, minh bạch về lý do và mục tiêu của việc sửa đổi thuế lần này. - HUMAN-TRU4]]</f>
        <v>10</v>
      </c>
      <c r="AZ157">
        <f t="shared" si="73"/>
        <v>1</v>
      </c>
      <c r="BA157" s="32">
        <f t="shared" si="74"/>
        <v>0.77777777777777768</v>
      </c>
      <c r="BB157" s="32">
        <f t="shared" si="75"/>
        <v>1</v>
      </c>
      <c r="BC157" s="7">
        <f t="shared" si="76"/>
        <v>0.79629629629629628</v>
      </c>
      <c r="BD157" s="7">
        <f t="shared" si="77"/>
        <v>1</v>
      </c>
      <c r="BE157">
        <f>step3_validation[[#This Row],[AI_OUT1]]</f>
        <v>9</v>
      </c>
      <c r="BF157">
        <f t="shared" si="78"/>
        <v>0.88888888888888884</v>
      </c>
      <c r="BG157">
        <f>survey_responses[[#This Row],[Sau khi xem xét các quyền lợi và nghĩa vụ, bạn có ủng hộ và tuân thủ chính sách mới hiện nay? - HUMAN-OUT1]]</f>
        <v>10</v>
      </c>
      <c r="BH157">
        <f t="shared" si="79"/>
        <v>1</v>
      </c>
      <c r="BI157" s="32">
        <f t="shared" si="80"/>
        <v>1</v>
      </c>
    </row>
    <row r="158" spans="1:61" x14ac:dyDescent="0.45">
      <c r="A158" s="30">
        <f>step3_validation[[#This Row],[Persona_ID]]</f>
        <v>157</v>
      </c>
      <c r="B158" s="31">
        <f>step3_validation[[#This Row],[Used_Seed]]</f>
        <v>157</v>
      </c>
      <c r="C158" t="str">
        <f>step3_validation[[#This Row],[Gender]]</f>
        <v>Nam</v>
      </c>
      <c r="D158" t="str">
        <f>survey_responses[[#This Row],[Giới tính của bạn:]]</f>
        <v>Nam</v>
      </c>
      <c r="E158" t="str">
        <f>step3_validation[[#This Row],[Age_Group]]</f>
        <v>30 - 39</v>
      </c>
      <c r="F158" t="str">
        <f>survey_responses[[#This Row],[Độ tuổi của bạn:]]</f>
        <v>30 - 39</v>
      </c>
      <c r="G158" t="str">
        <f>step3_validation[[#This Row],[Region]]</f>
        <v>Thành thị</v>
      </c>
      <c r="H158" t="str">
        <f>survey_responses[[#This Row],[Khu vực bạn đang sinh sống:]]</f>
        <v>Thành thị</v>
      </c>
      <c r="I158" t="str">
        <f>step3_validation[[#This Row],[Education]]</f>
        <v>Đại học</v>
      </c>
      <c r="J158" t="str">
        <f>survey_responses[[#This Row],[Trình độ học vấn cao nhất:]]</f>
        <v>Đại học</v>
      </c>
      <c r="K158" t="str">
        <f>step3_validation[[#This Row],[Employment]]</f>
        <v>Chính thức</v>
      </c>
      <c r="L158" t="str">
        <f>survey_responses[[#This Row],[Tình trạng việc làm chính:]]</f>
        <v>Khu vực chính thức (Có Hợp đồng lao động, đóng BHXH)</v>
      </c>
      <c r="M158">
        <f>step3_validation[[#This Row],[Income_Mil]]</f>
        <v>78.155843210214599</v>
      </c>
      <c r="N158" t="str">
        <f>survey_responses[[#This Row],[Thu nhập bình quân tháng theo Hợp đồng lao động của bạn là bao nhiêu? (Vui lòng điền tổng thu nhập trước khi khấu trừ các loại Bảo hiểm (BHXH, BHYT, BHTN) và Thuế TNCN)]]</f>
        <v>Từ 70 - 102 triệu VNĐ</v>
      </c>
      <c r="O158">
        <f>step3_validation[[#This Row],[Dependents]]</f>
        <v>4</v>
      </c>
      <c r="P158" t="str">
        <f>survey_responses[[#This Row],[Số người phụ thuộc (con nhỏ, cha mẹ già...) đủ điều kiện giảm trừ gia cảnh:]]</f>
        <v>4 người trở lên</v>
      </c>
      <c r="Q158">
        <f>step3_validation[[#This Row],[AI_ENF1]]</f>
        <v>6</v>
      </c>
      <c r="R158">
        <f t="shared" si="54"/>
        <v>0.55555555555555558</v>
      </c>
      <c r="S158">
        <f>survey_responses[[#This Row],[Tôi tin rằng với các quy định quản lý thuế hiện nay, hành vi gian lận hoặc trốn thuế sẽ dễ dàng bị phát hiện và xử lý nghiêm. - HUMAN-ENF1]]</f>
        <v>10</v>
      </c>
      <c r="T158">
        <f t="shared" si="55"/>
        <v>1</v>
      </c>
      <c r="U158">
        <f>step3_validation[[#This Row],[AI_ENF2]]</f>
        <v>7</v>
      </c>
      <c r="V158">
        <f t="shared" si="56"/>
        <v>0.66666666666666663</v>
      </c>
      <c r="W158">
        <f>survey_responses[[#This Row],[Tôi tin rằng Nhà nước, cơ quan thuế có đủ khả năng và công nghệ để phát hiện, xử lý nghiêm các hành vi trốn thuế. - HUMAN-ENF2]]</f>
        <v>10</v>
      </c>
      <c r="X158">
        <f t="shared" si="57"/>
        <v>1</v>
      </c>
      <c r="Y158" s="32">
        <f t="shared" si="58"/>
        <v>0.61111111111111116</v>
      </c>
      <c r="Z158" s="32">
        <f t="shared" si="59"/>
        <v>1</v>
      </c>
      <c r="AA158">
        <f>step3_validation[[#This Row],[AI_FAC1]]</f>
        <v>9</v>
      </c>
      <c r="AB158">
        <f t="shared" si="60"/>
        <v>0.88888888888888884</v>
      </c>
      <c r="AC158">
        <f>survey_responses[[#This Row],[Các thủ tục khai báo thuế VÀ/HOẶC quy trình làm việc với cơ quan thuế đơn giản, tiện lợi, nhanh chóng hơn so với trước đây. - HUMAN-FAC1]]</f>
        <v>1</v>
      </c>
      <c r="AD158">
        <f t="shared" si="61"/>
        <v>0</v>
      </c>
      <c r="AE158">
        <f>step3_validation[[#This Row],[AI_FAC2]]</f>
        <v>8</v>
      </c>
      <c r="AF158">
        <f t="shared" si="62"/>
        <v>0.77777777777777779</v>
      </c>
      <c r="AG158">
        <f>survey_responses[[#This Row],[So với trước đây, tôi thấy cách tính thuế và các bậc thuế trong phương án mới đơn giản, dễ hiểu và dễ thực hiện hơn. - HUMAN-FAC2]]</f>
        <v>10</v>
      </c>
      <c r="AH158">
        <f t="shared" si="63"/>
        <v>1</v>
      </c>
      <c r="AI158" s="32">
        <f t="shared" si="64"/>
        <v>0.83333333333333326</v>
      </c>
      <c r="AJ158" s="32">
        <f t="shared" si="65"/>
        <v>0.5</v>
      </c>
      <c r="AK158">
        <f>step3_validation[[#This Row],[AI_TRU1]]</f>
        <v>9</v>
      </c>
      <c r="AL158">
        <f t="shared" si="66"/>
        <v>0.88888888888888884</v>
      </c>
      <c r="AM158">
        <f>survey_responses[[#This Row],[Tôi tin rằng Nhà nước, cơ quan thuế sẽ thực thi chính sách mới một cách khách quan, công tâm và đối xử bình đẳng với mọi người nộp thuế.  - HUMAN-TRU1]]</f>
        <v>1</v>
      </c>
      <c r="AN158">
        <f t="shared" si="67"/>
        <v>0</v>
      </c>
      <c r="AO158">
        <f>step3_validation[[#This Row],[AI_TRU2]]</f>
        <v>8</v>
      </c>
      <c r="AP158">
        <f t="shared" si="68"/>
        <v>0.77777777777777779</v>
      </c>
      <c r="AQ158">
        <f>survey_responses[[#This Row],[Tôi thấy mức thuế tôi phải đóng theo phương án mới là công bằng (người thu nhập như tôi đóng mức này là hợp lý). - HUMAN-TRU2]]</f>
        <v>1</v>
      </c>
      <c r="AR158">
        <f t="shared" si="69"/>
        <v>0</v>
      </c>
      <c r="AS158">
        <f>step3_validation[[#This Row],[AI_TRU3]]</f>
        <v>7</v>
      </c>
      <c r="AT158">
        <f t="shared" si="70"/>
        <v>0.66666666666666663</v>
      </c>
      <c r="AU158">
        <f>survey_responses[[#This Row],[Tôi tin tưởng số tiền thuế tôi đóng sẽ được Nhà nước sử dụng hiệu quả để cải thiện dịch vụ công (y tế, đường xá...). - HUMAN-TRU3]]</f>
        <v>1</v>
      </c>
      <c r="AV158">
        <f t="shared" si="71"/>
        <v>0</v>
      </c>
      <c r="AW158">
        <f>step3_validation[[#This Row],[AI_TRU4]]</f>
        <v>6</v>
      </c>
      <c r="AX158">
        <f t="shared" si="72"/>
        <v>0.55555555555555558</v>
      </c>
      <c r="AY158">
        <f>survey_responses[[#This Row],[Tôi thấy Nhà nước đã giải thích rõ ràng, minh bạch về lý do và mục tiêu của việc sửa đổi thuế lần này. - HUMAN-TRU4]]</f>
        <v>1</v>
      </c>
      <c r="AZ158">
        <f t="shared" si="73"/>
        <v>0</v>
      </c>
      <c r="BA158" s="32">
        <f t="shared" si="74"/>
        <v>0.7222222222222221</v>
      </c>
      <c r="BB158" s="32">
        <f t="shared" si="75"/>
        <v>0</v>
      </c>
      <c r="BC158" s="7">
        <f t="shared" si="76"/>
        <v>0.72222222222222221</v>
      </c>
      <c r="BD158" s="7">
        <f t="shared" si="77"/>
        <v>0.5</v>
      </c>
      <c r="BE158">
        <f>step3_validation[[#This Row],[AI_OUT1]]</f>
        <v>9</v>
      </c>
      <c r="BF158">
        <f t="shared" si="78"/>
        <v>0.88888888888888884</v>
      </c>
      <c r="BG158">
        <f>survey_responses[[#This Row],[Sau khi xem xét các quyền lợi và nghĩa vụ, bạn có ủng hộ và tuân thủ chính sách mới hiện nay? - HUMAN-OUT1]]</f>
        <v>6</v>
      </c>
      <c r="BH158">
        <f t="shared" si="79"/>
        <v>0.55555555555555558</v>
      </c>
      <c r="BI158" s="32">
        <f t="shared" si="80"/>
        <v>3</v>
      </c>
    </row>
    <row r="159" spans="1:61" x14ac:dyDescent="0.45">
      <c r="A159" s="30">
        <f>step3_validation[[#This Row],[Persona_ID]]</f>
        <v>158</v>
      </c>
      <c r="B159" s="31">
        <f>step3_validation[[#This Row],[Used_Seed]]</f>
        <v>158</v>
      </c>
      <c r="C159" t="str">
        <f>step3_validation[[#This Row],[Gender]]</f>
        <v>Nữ</v>
      </c>
      <c r="D159" t="str">
        <f>survey_responses[[#This Row],[Giới tính của bạn:]]</f>
        <v>Nữ</v>
      </c>
      <c r="E159" t="str">
        <f>step3_validation[[#This Row],[Age_Group]]</f>
        <v>30 - 39</v>
      </c>
      <c r="F159" t="str">
        <f>survey_responses[[#This Row],[Độ tuổi của bạn:]]</f>
        <v>30 - 39</v>
      </c>
      <c r="G159" t="str">
        <f>step3_validation[[#This Row],[Region]]</f>
        <v>Thành thị</v>
      </c>
      <c r="H159" t="str">
        <f>survey_responses[[#This Row],[Khu vực bạn đang sinh sống:]]</f>
        <v>Thành thị</v>
      </c>
      <c r="I159" t="str">
        <f>step3_validation[[#This Row],[Education]]</f>
        <v>Đại học</v>
      </c>
      <c r="J159" t="str">
        <f>survey_responses[[#This Row],[Trình độ học vấn cao nhất:]]</f>
        <v>Đại học</v>
      </c>
      <c r="K159" t="str">
        <f>step3_validation[[#This Row],[Employment]]</f>
        <v>Chính thức</v>
      </c>
      <c r="L159" t="str">
        <f>survey_responses[[#This Row],[Tình trạng việc làm chính:]]</f>
        <v>Khu vực chính thức (Có Hợp đồng lao động, đóng BHXH)</v>
      </c>
      <c r="M159">
        <f>step3_validation[[#This Row],[Income_Mil]]</f>
        <v>100.04307549236735</v>
      </c>
      <c r="N159" t="str">
        <f>survey_responses[[#This Row],[Thu nhập bình quân tháng theo Hợp đồng lao động của bạn là bao nhiêu? (Vui lòng điền tổng thu nhập trước khi khấu trừ các loại Bảo hiểm (BHXH, BHYT, BHTN) và Thuế TNCN)]]</f>
        <v>Từ 70 - 102 triệu VNĐ</v>
      </c>
      <c r="O159">
        <f>step3_validation[[#This Row],[Dependents]]</f>
        <v>2</v>
      </c>
      <c r="P159" t="str">
        <f>survey_responses[[#This Row],[Số người phụ thuộc (con nhỏ, cha mẹ già...) đủ điều kiện giảm trừ gia cảnh:]]</f>
        <v>2 người</v>
      </c>
      <c r="Q159">
        <f>step3_validation[[#This Row],[AI_ENF1]]</f>
        <v>9</v>
      </c>
      <c r="R159">
        <f t="shared" si="54"/>
        <v>0.88888888888888884</v>
      </c>
      <c r="S159">
        <f>survey_responses[[#This Row],[Tôi tin rằng với các quy định quản lý thuế hiện nay, hành vi gian lận hoặc trốn thuế sẽ dễ dàng bị phát hiện và xử lý nghiêm. - HUMAN-ENF1]]</f>
        <v>7</v>
      </c>
      <c r="T159">
        <f t="shared" si="55"/>
        <v>0.66666666666666663</v>
      </c>
      <c r="U159">
        <f>step3_validation[[#This Row],[AI_ENF2]]</f>
        <v>8</v>
      </c>
      <c r="V159">
        <f t="shared" si="56"/>
        <v>0.77777777777777779</v>
      </c>
      <c r="W159">
        <f>survey_responses[[#This Row],[Tôi tin rằng Nhà nước, cơ quan thuế có đủ khả năng và công nghệ để phát hiện, xử lý nghiêm các hành vi trốn thuế. - HUMAN-ENF2]]</f>
        <v>8</v>
      </c>
      <c r="X159">
        <f t="shared" si="57"/>
        <v>0.77777777777777779</v>
      </c>
      <c r="Y159" s="32">
        <f t="shared" si="58"/>
        <v>0.83333333333333326</v>
      </c>
      <c r="Z159" s="32">
        <f t="shared" si="59"/>
        <v>0.72222222222222221</v>
      </c>
      <c r="AA159">
        <f>step3_validation[[#This Row],[AI_FAC1]]</f>
        <v>8</v>
      </c>
      <c r="AB159">
        <f t="shared" si="60"/>
        <v>0.77777777777777779</v>
      </c>
      <c r="AC159">
        <f>survey_responses[[#This Row],[Các thủ tục khai báo thuế VÀ/HOẶC quy trình làm việc với cơ quan thuế đơn giản, tiện lợi, nhanh chóng hơn so với trước đây. - HUMAN-FAC1]]</f>
        <v>6</v>
      </c>
      <c r="AD159">
        <f t="shared" si="61"/>
        <v>0.55555555555555558</v>
      </c>
      <c r="AE159">
        <f>step3_validation[[#This Row],[AI_FAC2]]</f>
        <v>9</v>
      </c>
      <c r="AF159">
        <f t="shared" si="62"/>
        <v>0.88888888888888884</v>
      </c>
      <c r="AG159">
        <f>survey_responses[[#This Row],[So với trước đây, tôi thấy cách tính thuế và các bậc thuế trong phương án mới đơn giản, dễ hiểu và dễ thực hiện hơn. - HUMAN-FAC2]]</f>
        <v>6</v>
      </c>
      <c r="AH159">
        <f t="shared" si="63"/>
        <v>0.55555555555555558</v>
      </c>
      <c r="AI159" s="32">
        <f t="shared" si="64"/>
        <v>0.83333333333333326</v>
      </c>
      <c r="AJ159" s="32">
        <f t="shared" si="65"/>
        <v>0.55555555555555558</v>
      </c>
      <c r="AK159">
        <f>step3_validation[[#This Row],[AI_TRU1]]</f>
        <v>8</v>
      </c>
      <c r="AL159">
        <f t="shared" si="66"/>
        <v>0.77777777777777779</v>
      </c>
      <c r="AM159">
        <f>survey_responses[[#This Row],[Tôi tin rằng Nhà nước, cơ quan thuế sẽ thực thi chính sách mới một cách khách quan, công tâm và đối xử bình đẳng với mọi người nộp thuế.  - HUMAN-TRU1]]</f>
        <v>7</v>
      </c>
      <c r="AN159">
        <f t="shared" si="67"/>
        <v>0.66666666666666663</v>
      </c>
      <c r="AO159">
        <f>step3_validation[[#This Row],[AI_TRU2]]</f>
        <v>8</v>
      </c>
      <c r="AP159">
        <f t="shared" si="68"/>
        <v>0.77777777777777779</v>
      </c>
      <c r="AQ159">
        <f>survey_responses[[#This Row],[Tôi thấy mức thuế tôi phải đóng theo phương án mới là công bằng (người thu nhập như tôi đóng mức này là hợp lý). - HUMAN-TRU2]]</f>
        <v>5</v>
      </c>
      <c r="AR159">
        <f t="shared" si="69"/>
        <v>0.44444444444444442</v>
      </c>
      <c r="AS159">
        <f>step3_validation[[#This Row],[AI_TRU3]]</f>
        <v>9</v>
      </c>
      <c r="AT159">
        <f t="shared" si="70"/>
        <v>0.88888888888888884</v>
      </c>
      <c r="AU159">
        <f>survey_responses[[#This Row],[Tôi tin tưởng số tiền thuế tôi đóng sẽ được Nhà nước sử dụng hiệu quả để cải thiện dịch vụ công (y tế, đường xá...). - HUMAN-TRU3]]</f>
        <v>6</v>
      </c>
      <c r="AV159">
        <f t="shared" si="71"/>
        <v>0.55555555555555558</v>
      </c>
      <c r="AW159">
        <f>step3_validation[[#This Row],[AI_TRU4]]</f>
        <v>8</v>
      </c>
      <c r="AX159">
        <f t="shared" si="72"/>
        <v>0.77777777777777779</v>
      </c>
      <c r="AY159">
        <f>survey_responses[[#This Row],[Tôi thấy Nhà nước đã giải thích rõ ràng, minh bạch về lý do và mục tiêu của việc sửa đổi thuế lần này. - HUMAN-TRU4]]</f>
        <v>7</v>
      </c>
      <c r="AZ159">
        <f t="shared" si="73"/>
        <v>0.66666666666666663</v>
      </c>
      <c r="BA159" s="32">
        <f t="shared" si="74"/>
        <v>0.80555555555555558</v>
      </c>
      <c r="BB159" s="32">
        <f t="shared" si="75"/>
        <v>0.58333333333333337</v>
      </c>
      <c r="BC159" s="7">
        <f t="shared" si="76"/>
        <v>0.82407407407407407</v>
      </c>
      <c r="BD159" s="7">
        <f t="shared" si="77"/>
        <v>0.62037037037037035</v>
      </c>
      <c r="BE159">
        <f>step3_validation[[#This Row],[AI_OUT1]]</f>
        <v>9</v>
      </c>
      <c r="BF159">
        <f t="shared" si="78"/>
        <v>0.88888888888888884</v>
      </c>
      <c r="BG159">
        <f>survey_responses[[#This Row],[Sau khi xem xét các quyền lợi và nghĩa vụ, bạn có ủng hộ và tuân thủ chính sách mới hiện nay? - HUMAN-OUT1]]</f>
        <v>7</v>
      </c>
      <c r="BH159">
        <f t="shared" si="79"/>
        <v>0.66666666666666663</v>
      </c>
      <c r="BI159" s="32">
        <f t="shared" si="80"/>
        <v>2</v>
      </c>
    </row>
    <row r="160" spans="1:61" x14ac:dyDescent="0.45">
      <c r="A160" s="30">
        <f>step3_validation[[#This Row],[Persona_ID]]</f>
        <v>159</v>
      </c>
      <c r="B160" s="31">
        <f>step3_validation[[#This Row],[Used_Seed]]</f>
        <v>159</v>
      </c>
      <c r="C160" t="str">
        <f>step3_validation[[#This Row],[Gender]]</f>
        <v>Nam</v>
      </c>
      <c r="D160" t="str">
        <f>survey_responses[[#This Row],[Giới tính của bạn:]]</f>
        <v>Nam</v>
      </c>
      <c r="E160" t="str">
        <f>step3_validation[[#This Row],[Age_Group]]</f>
        <v>40 - 49</v>
      </c>
      <c r="F160" t="str">
        <f>survey_responses[[#This Row],[Độ tuổi của bạn:]]</f>
        <v>40 - 49</v>
      </c>
      <c r="G160" t="str">
        <f>step3_validation[[#This Row],[Region]]</f>
        <v>Thành thị</v>
      </c>
      <c r="H160" t="str">
        <f>survey_responses[[#This Row],[Khu vực bạn đang sinh sống:]]</f>
        <v>Thành thị</v>
      </c>
      <c r="I160" t="str">
        <f>step3_validation[[#This Row],[Education]]</f>
        <v>Đại học</v>
      </c>
      <c r="J160" t="str">
        <f>survey_responses[[#This Row],[Trình độ học vấn cao nhất:]]</f>
        <v>Đại học</v>
      </c>
      <c r="K160" t="str">
        <f>step3_validation[[#This Row],[Employment]]</f>
        <v>Chính thức</v>
      </c>
      <c r="L160" t="str">
        <f>survey_responses[[#This Row],[Tình trạng việc làm chính:]]</f>
        <v>Khu vực chính thức (Có Hợp đồng lao động, đóng BHXH)</v>
      </c>
      <c r="M160">
        <f>step3_validation[[#This Row],[Income_Mil]]</f>
        <v>44.14911621603617</v>
      </c>
      <c r="N160" t="str">
        <f>survey_responses[[#This Row],[Thu nhập bình quân tháng theo Hợp đồng lao động của bạn là bao nhiêu? (Vui lòng điền tổng thu nhập trước khi khấu trừ các loại Bảo hiểm (BHXH, BHYT, BHTN) và Thuế TNCN)]]</f>
        <v>Từ 32 - 48 triệu VNĐ</v>
      </c>
      <c r="O160">
        <f>step3_validation[[#This Row],[Dependents]]</f>
        <v>0</v>
      </c>
      <c r="P160" t="str">
        <f>survey_responses[[#This Row],[Số người phụ thuộc (con nhỏ, cha mẹ già...) đủ điều kiện giảm trừ gia cảnh:]]</f>
        <v>0 người</v>
      </c>
      <c r="Q160">
        <f>step3_validation[[#This Row],[AI_ENF1]]</f>
        <v>5</v>
      </c>
      <c r="R160">
        <f t="shared" si="54"/>
        <v>0.44444444444444442</v>
      </c>
      <c r="S160">
        <f>survey_responses[[#This Row],[Tôi tin rằng với các quy định quản lý thuế hiện nay, hành vi gian lận hoặc trốn thuế sẽ dễ dàng bị phát hiện và xử lý nghiêm. - HUMAN-ENF1]]</f>
        <v>2</v>
      </c>
      <c r="T160">
        <f t="shared" si="55"/>
        <v>0.1111111111111111</v>
      </c>
      <c r="U160">
        <f>step3_validation[[#This Row],[AI_ENF2]]</f>
        <v>6</v>
      </c>
      <c r="V160">
        <f t="shared" si="56"/>
        <v>0.55555555555555558</v>
      </c>
      <c r="W160">
        <f>survey_responses[[#This Row],[Tôi tin rằng Nhà nước, cơ quan thuế có đủ khả năng và công nghệ để phát hiện, xử lý nghiêm các hành vi trốn thuế. - HUMAN-ENF2]]</f>
        <v>7</v>
      </c>
      <c r="X160">
        <f t="shared" si="57"/>
        <v>0.66666666666666663</v>
      </c>
      <c r="Y160" s="32">
        <f t="shared" si="58"/>
        <v>0.5</v>
      </c>
      <c r="Z160" s="32">
        <f t="shared" si="59"/>
        <v>0.38888888888888884</v>
      </c>
      <c r="AA160">
        <f>step3_validation[[#This Row],[AI_FAC1]]</f>
        <v>9</v>
      </c>
      <c r="AB160">
        <f t="shared" si="60"/>
        <v>0.88888888888888884</v>
      </c>
      <c r="AC160">
        <f>survey_responses[[#This Row],[Các thủ tục khai báo thuế VÀ/HOẶC quy trình làm việc với cơ quan thuế đơn giản, tiện lợi, nhanh chóng hơn so với trước đây. - HUMAN-FAC1]]</f>
        <v>10</v>
      </c>
      <c r="AD160">
        <f t="shared" si="61"/>
        <v>1</v>
      </c>
      <c r="AE160">
        <f>step3_validation[[#This Row],[AI_FAC2]]</f>
        <v>8</v>
      </c>
      <c r="AF160">
        <f t="shared" si="62"/>
        <v>0.77777777777777779</v>
      </c>
      <c r="AG160">
        <f>survey_responses[[#This Row],[So với trước đây, tôi thấy cách tính thuế và các bậc thuế trong phương án mới đơn giản, dễ hiểu và dễ thực hiện hơn. - HUMAN-FAC2]]</f>
        <v>2</v>
      </c>
      <c r="AH160">
        <f t="shared" si="63"/>
        <v>0.1111111111111111</v>
      </c>
      <c r="AI160" s="32">
        <f t="shared" si="64"/>
        <v>0.83333333333333326</v>
      </c>
      <c r="AJ160" s="32">
        <f t="shared" si="65"/>
        <v>0.55555555555555558</v>
      </c>
      <c r="AK160">
        <f>step3_validation[[#This Row],[AI_TRU1]]</f>
        <v>7</v>
      </c>
      <c r="AL160">
        <f t="shared" si="66"/>
        <v>0.66666666666666663</v>
      </c>
      <c r="AM160">
        <f>survey_responses[[#This Row],[Tôi tin rằng Nhà nước, cơ quan thuế sẽ thực thi chính sách mới một cách khách quan, công tâm và đối xử bình đẳng với mọi người nộp thuế.  - HUMAN-TRU1]]</f>
        <v>10</v>
      </c>
      <c r="AN160">
        <f t="shared" si="67"/>
        <v>1</v>
      </c>
      <c r="AO160">
        <f>step3_validation[[#This Row],[AI_TRU2]]</f>
        <v>9</v>
      </c>
      <c r="AP160">
        <f t="shared" si="68"/>
        <v>0.88888888888888884</v>
      </c>
      <c r="AQ160">
        <f>survey_responses[[#This Row],[Tôi thấy mức thuế tôi phải đóng theo phương án mới là công bằng (người thu nhập như tôi đóng mức này là hợp lý). - HUMAN-TRU2]]</f>
        <v>5</v>
      </c>
      <c r="AR160">
        <f t="shared" si="69"/>
        <v>0.44444444444444442</v>
      </c>
      <c r="AS160">
        <f>step3_validation[[#This Row],[AI_TRU3]]</f>
        <v>7</v>
      </c>
      <c r="AT160">
        <f t="shared" si="70"/>
        <v>0.66666666666666663</v>
      </c>
      <c r="AU160">
        <f>survey_responses[[#This Row],[Tôi tin tưởng số tiền thuế tôi đóng sẽ được Nhà nước sử dụng hiệu quả để cải thiện dịch vụ công (y tế, đường xá...). - HUMAN-TRU3]]</f>
        <v>10</v>
      </c>
      <c r="AV160">
        <f t="shared" si="71"/>
        <v>1</v>
      </c>
      <c r="AW160">
        <f>step3_validation[[#This Row],[AI_TRU4]]</f>
        <v>8</v>
      </c>
      <c r="AX160">
        <f t="shared" si="72"/>
        <v>0.77777777777777779</v>
      </c>
      <c r="AY160">
        <f>survey_responses[[#This Row],[Tôi thấy Nhà nước đã giải thích rõ ràng, minh bạch về lý do và mục tiêu của việc sửa đổi thuế lần này. - HUMAN-TRU4]]</f>
        <v>3</v>
      </c>
      <c r="AZ160">
        <f t="shared" si="73"/>
        <v>0.22222222222222221</v>
      </c>
      <c r="BA160" s="32">
        <f t="shared" si="74"/>
        <v>0.74999999999999989</v>
      </c>
      <c r="BB160" s="32">
        <f t="shared" si="75"/>
        <v>0.66666666666666674</v>
      </c>
      <c r="BC160" s="7">
        <f t="shared" si="76"/>
        <v>0.69444444444444431</v>
      </c>
      <c r="BD160" s="7">
        <f t="shared" si="77"/>
        <v>0.53703703703703709</v>
      </c>
      <c r="BE160">
        <f>step3_validation[[#This Row],[AI_OUT1]]</f>
        <v>9</v>
      </c>
      <c r="BF160">
        <f t="shared" si="78"/>
        <v>0.88888888888888884</v>
      </c>
      <c r="BG160">
        <f>survey_responses[[#This Row],[Sau khi xem xét các quyền lợi và nghĩa vụ, bạn có ủng hộ và tuân thủ chính sách mới hiện nay? - HUMAN-OUT1]]</f>
        <v>3</v>
      </c>
      <c r="BH160">
        <f t="shared" si="79"/>
        <v>0.22222222222222221</v>
      </c>
      <c r="BI160" s="32">
        <f t="shared" si="80"/>
        <v>6</v>
      </c>
    </row>
    <row r="161" spans="1:61" x14ac:dyDescent="0.45">
      <c r="A161" s="30">
        <f>step3_validation[[#This Row],[Persona_ID]]</f>
        <v>160</v>
      </c>
      <c r="B161" s="31">
        <f>step3_validation[[#This Row],[Used_Seed]]</f>
        <v>160</v>
      </c>
      <c r="C161" t="str">
        <f>step3_validation[[#This Row],[Gender]]</f>
        <v>Nữ</v>
      </c>
      <c r="D161" t="str">
        <f>survey_responses[[#This Row],[Giới tính của bạn:]]</f>
        <v>Nữ</v>
      </c>
      <c r="E161" t="str">
        <f>step3_validation[[#This Row],[Age_Group]]</f>
        <v>30 - 39</v>
      </c>
      <c r="F161" t="str">
        <f>survey_responses[[#This Row],[Độ tuổi của bạn:]]</f>
        <v>30 - 39</v>
      </c>
      <c r="G161" t="str">
        <f>step3_validation[[#This Row],[Region]]</f>
        <v>Thành thị</v>
      </c>
      <c r="H161" t="str">
        <f>survey_responses[[#This Row],[Khu vực bạn đang sinh sống:]]</f>
        <v>Thành thị</v>
      </c>
      <c r="I161" t="str">
        <f>step3_validation[[#This Row],[Education]]</f>
        <v>Sau Đại học</v>
      </c>
      <c r="J161" t="str">
        <f>survey_responses[[#This Row],[Trình độ học vấn cao nhất:]]</f>
        <v>Sau Đại học</v>
      </c>
      <c r="K161" t="str">
        <f>step3_validation[[#This Row],[Employment]]</f>
        <v>Chính thức</v>
      </c>
      <c r="L161" t="str">
        <f>survey_responses[[#This Row],[Tình trạng việc làm chính:]]</f>
        <v>Khu vực chính thức (Có Hợp đồng lao động, đóng BHXH)</v>
      </c>
      <c r="M161">
        <f>step3_validation[[#This Row],[Income_Mil]]</f>
        <v>40.318998811515655</v>
      </c>
      <c r="N161" t="str">
        <f>survey_responses[[#This Row],[Thu nhập bình quân tháng theo Hợp đồng lao động của bạn là bao nhiêu? (Vui lòng điền tổng thu nhập trước khi khấu trừ các loại Bảo hiểm (BHXH, BHYT, BHTN) và Thuế TNCN)]]</f>
        <v>Từ 32 - 48 triệu VNĐ</v>
      </c>
      <c r="O161">
        <f>step3_validation[[#This Row],[Dependents]]</f>
        <v>0</v>
      </c>
      <c r="P161" t="str">
        <f>survey_responses[[#This Row],[Số người phụ thuộc (con nhỏ, cha mẹ già...) đủ điều kiện giảm trừ gia cảnh:]]</f>
        <v>0 người</v>
      </c>
      <c r="Q161">
        <f>step3_validation[[#This Row],[AI_ENF1]]</f>
        <v>6</v>
      </c>
      <c r="R161">
        <f t="shared" si="54"/>
        <v>0.55555555555555558</v>
      </c>
      <c r="S161">
        <f>survey_responses[[#This Row],[Tôi tin rằng với các quy định quản lý thuế hiện nay, hành vi gian lận hoặc trốn thuế sẽ dễ dàng bị phát hiện và xử lý nghiêm. - HUMAN-ENF1]]</f>
        <v>9</v>
      </c>
      <c r="T161">
        <f t="shared" si="55"/>
        <v>0.88888888888888884</v>
      </c>
      <c r="U161">
        <f>step3_validation[[#This Row],[AI_ENF2]]</f>
        <v>7</v>
      </c>
      <c r="V161">
        <f t="shared" si="56"/>
        <v>0.66666666666666663</v>
      </c>
      <c r="W161">
        <f>survey_responses[[#This Row],[Tôi tin rằng Nhà nước, cơ quan thuế có đủ khả năng và công nghệ để phát hiện, xử lý nghiêm các hành vi trốn thuế. - HUMAN-ENF2]]</f>
        <v>9</v>
      </c>
      <c r="X161">
        <f t="shared" si="57"/>
        <v>0.88888888888888884</v>
      </c>
      <c r="Y161" s="32">
        <f t="shared" si="58"/>
        <v>0.61111111111111116</v>
      </c>
      <c r="Z161" s="32">
        <f t="shared" si="59"/>
        <v>0.88888888888888884</v>
      </c>
      <c r="AA161">
        <f>step3_validation[[#This Row],[AI_FAC1]]</f>
        <v>8</v>
      </c>
      <c r="AB161">
        <f t="shared" si="60"/>
        <v>0.77777777777777779</v>
      </c>
      <c r="AC161">
        <f>survey_responses[[#This Row],[Các thủ tục khai báo thuế VÀ/HOẶC quy trình làm việc với cơ quan thuế đơn giản, tiện lợi, nhanh chóng hơn so với trước đây. - HUMAN-FAC1]]</f>
        <v>10</v>
      </c>
      <c r="AD161">
        <f t="shared" si="61"/>
        <v>1</v>
      </c>
      <c r="AE161">
        <f>step3_validation[[#This Row],[AI_FAC2]]</f>
        <v>9</v>
      </c>
      <c r="AF161">
        <f t="shared" si="62"/>
        <v>0.88888888888888884</v>
      </c>
      <c r="AG161">
        <f>survey_responses[[#This Row],[So với trước đây, tôi thấy cách tính thuế và các bậc thuế trong phương án mới đơn giản, dễ hiểu và dễ thực hiện hơn. - HUMAN-FAC2]]</f>
        <v>2</v>
      </c>
      <c r="AH161">
        <f t="shared" si="63"/>
        <v>0.1111111111111111</v>
      </c>
      <c r="AI161" s="32">
        <f t="shared" si="64"/>
        <v>0.83333333333333326</v>
      </c>
      <c r="AJ161" s="32">
        <f t="shared" si="65"/>
        <v>0.55555555555555558</v>
      </c>
      <c r="AK161">
        <f>step3_validation[[#This Row],[AI_TRU1]]</f>
        <v>7</v>
      </c>
      <c r="AL161">
        <f t="shared" si="66"/>
        <v>0.66666666666666663</v>
      </c>
      <c r="AM161">
        <f>survey_responses[[#This Row],[Tôi tin rằng Nhà nước, cơ quan thuế sẽ thực thi chính sách mới một cách khách quan, công tâm và đối xử bình đẳng với mọi người nộp thuế.  - HUMAN-TRU1]]</f>
        <v>9</v>
      </c>
      <c r="AN161">
        <f t="shared" si="67"/>
        <v>0.88888888888888884</v>
      </c>
      <c r="AO161">
        <f>step3_validation[[#This Row],[AI_TRU2]]</f>
        <v>9</v>
      </c>
      <c r="AP161">
        <f t="shared" si="68"/>
        <v>0.88888888888888884</v>
      </c>
      <c r="AQ161">
        <f>survey_responses[[#This Row],[Tôi thấy mức thuế tôi phải đóng theo phương án mới là công bằng (người thu nhập như tôi đóng mức này là hợp lý). - HUMAN-TRU2]]</f>
        <v>9</v>
      </c>
      <c r="AR161">
        <f t="shared" si="69"/>
        <v>0.88888888888888884</v>
      </c>
      <c r="AS161">
        <f>step3_validation[[#This Row],[AI_TRU3]]</f>
        <v>8</v>
      </c>
      <c r="AT161">
        <f t="shared" si="70"/>
        <v>0.77777777777777779</v>
      </c>
      <c r="AU161">
        <f>survey_responses[[#This Row],[Tôi tin tưởng số tiền thuế tôi đóng sẽ được Nhà nước sử dụng hiệu quả để cải thiện dịch vụ công (y tế, đường xá...). - HUMAN-TRU3]]</f>
        <v>6</v>
      </c>
      <c r="AV161">
        <f t="shared" si="71"/>
        <v>0.55555555555555558</v>
      </c>
      <c r="AW161">
        <f>step3_validation[[#This Row],[AI_TRU4]]</f>
        <v>6</v>
      </c>
      <c r="AX161">
        <f t="shared" si="72"/>
        <v>0.55555555555555558</v>
      </c>
      <c r="AY161">
        <f>survey_responses[[#This Row],[Tôi thấy Nhà nước đã giải thích rõ ràng, minh bạch về lý do và mục tiêu của việc sửa đổi thuế lần này. - HUMAN-TRU4]]</f>
        <v>8</v>
      </c>
      <c r="AZ161">
        <f t="shared" si="73"/>
        <v>0.77777777777777779</v>
      </c>
      <c r="BA161" s="32">
        <f t="shared" si="74"/>
        <v>0.7222222222222221</v>
      </c>
      <c r="BB161" s="32">
        <f t="shared" si="75"/>
        <v>0.77777777777777768</v>
      </c>
      <c r="BC161" s="7">
        <f t="shared" si="76"/>
        <v>0.72222222222222221</v>
      </c>
      <c r="BD161" s="7">
        <f t="shared" si="77"/>
        <v>0.74074074074074081</v>
      </c>
      <c r="BE161">
        <f>step3_validation[[#This Row],[AI_OUT1]]</f>
        <v>9</v>
      </c>
      <c r="BF161">
        <f t="shared" si="78"/>
        <v>0.88888888888888884</v>
      </c>
      <c r="BG161">
        <f>survey_responses[[#This Row],[Sau khi xem xét các quyền lợi và nghĩa vụ, bạn có ủng hộ và tuân thủ chính sách mới hiện nay? - HUMAN-OUT1]]</f>
        <v>10</v>
      </c>
      <c r="BH161">
        <f t="shared" si="79"/>
        <v>1</v>
      </c>
      <c r="BI161" s="32">
        <f t="shared" si="80"/>
        <v>1</v>
      </c>
    </row>
    <row r="162" spans="1:61" x14ac:dyDescent="0.45">
      <c r="A162" s="30">
        <f>step3_validation[[#This Row],[Persona_ID]]</f>
        <v>161</v>
      </c>
      <c r="B162" s="31">
        <f>step3_validation[[#This Row],[Used_Seed]]</f>
        <v>161</v>
      </c>
      <c r="C162" t="str">
        <f>step3_validation[[#This Row],[Gender]]</f>
        <v>Nữ</v>
      </c>
      <c r="D162" t="str">
        <f>survey_responses[[#This Row],[Giới tính của bạn:]]</f>
        <v>Nữ</v>
      </c>
      <c r="E162" t="str">
        <f>step3_validation[[#This Row],[Age_Group]]</f>
        <v>30 - 39</v>
      </c>
      <c r="F162" t="str">
        <f>survey_responses[[#This Row],[Độ tuổi của bạn:]]</f>
        <v>30 - 39</v>
      </c>
      <c r="G162" t="str">
        <f>step3_validation[[#This Row],[Region]]</f>
        <v>Thành thị</v>
      </c>
      <c r="H162" t="str">
        <f>survey_responses[[#This Row],[Khu vực bạn đang sinh sống:]]</f>
        <v>Thành thị</v>
      </c>
      <c r="I162" t="str">
        <f>step3_validation[[#This Row],[Education]]</f>
        <v>Đại học</v>
      </c>
      <c r="J162" t="str">
        <f>survey_responses[[#This Row],[Trình độ học vấn cao nhất:]]</f>
        <v>Đại học</v>
      </c>
      <c r="K162" t="str">
        <f>step3_validation[[#This Row],[Employment]]</f>
        <v>Chính thức</v>
      </c>
      <c r="L162" t="str">
        <f>survey_responses[[#This Row],[Tình trạng việc làm chính:]]</f>
        <v>Khu vực chính thức (Có Hợp đồng lao động, đóng BHXH)</v>
      </c>
      <c r="M162">
        <f>step3_validation[[#This Row],[Income_Mil]]</f>
        <v>14.343048030730964</v>
      </c>
      <c r="N162" t="str">
        <f>survey_responses[[#This Row],[Thu nhập bình quân tháng theo Hợp đồng lao động của bạn là bao nhiêu? (Vui lòng điền tổng thu nhập trước khi khấu trừ các loại Bảo hiểm (BHXH, BHYT, BHTN) và Thuế TNCN)]]</f>
        <v>Từ 12 - 18 triệu VNĐ</v>
      </c>
      <c r="O162">
        <f>step3_validation[[#This Row],[Dependents]]</f>
        <v>0</v>
      </c>
      <c r="P162" t="str">
        <f>survey_responses[[#This Row],[Số người phụ thuộc (con nhỏ, cha mẹ già...) đủ điều kiện giảm trừ gia cảnh:]]</f>
        <v>0 người</v>
      </c>
      <c r="Q162">
        <f>step3_validation[[#This Row],[AI_ENF1]]</f>
        <v>7</v>
      </c>
      <c r="R162">
        <f t="shared" si="54"/>
        <v>0.66666666666666663</v>
      </c>
      <c r="S162">
        <f>survey_responses[[#This Row],[Tôi tin rằng với các quy định quản lý thuế hiện nay, hành vi gian lận hoặc trốn thuế sẽ dễ dàng bị phát hiện và xử lý nghiêm. - HUMAN-ENF1]]</f>
        <v>7</v>
      </c>
      <c r="T162">
        <f t="shared" si="55"/>
        <v>0.66666666666666663</v>
      </c>
      <c r="U162">
        <f>step3_validation[[#This Row],[AI_ENF2]]</f>
        <v>8</v>
      </c>
      <c r="V162">
        <f t="shared" si="56"/>
        <v>0.77777777777777779</v>
      </c>
      <c r="W162">
        <f>survey_responses[[#This Row],[Tôi tin rằng Nhà nước, cơ quan thuế có đủ khả năng và công nghệ để phát hiện, xử lý nghiêm các hành vi trốn thuế. - HUMAN-ENF2]]</f>
        <v>5</v>
      </c>
      <c r="X162">
        <f t="shared" si="57"/>
        <v>0.44444444444444442</v>
      </c>
      <c r="Y162" s="32">
        <f t="shared" si="58"/>
        <v>0.72222222222222221</v>
      </c>
      <c r="Z162" s="32">
        <f t="shared" si="59"/>
        <v>0.55555555555555558</v>
      </c>
      <c r="AA162">
        <f>step3_validation[[#This Row],[AI_FAC1]]</f>
        <v>9</v>
      </c>
      <c r="AB162">
        <f t="shared" si="60"/>
        <v>0.88888888888888884</v>
      </c>
      <c r="AC162">
        <f>survey_responses[[#This Row],[Các thủ tục khai báo thuế VÀ/HOẶC quy trình làm việc với cơ quan thuế đơn giản, tiện lợi, nhanh chóng hơn so với trước đây. - HUMAN-FAC1]]</f>
        <v>7</v>
      </c>
      <c r="AD162">
        <f t="shared" si="61"/>
        <v>0.66666666666666663</v>
      </c>
      <c r="AE162">
        <f>step3_validation[[#This Row],[AI_FAC2]]</f>
        <v>10</v>
      </c>
      <c r="AF162">
        <f t="shared" si="62"/>
        <v>1</v>
      </c>
      <c r="AG162">
        <f>survey_responses[[#This Row],[So với trước đây, tôi thấy cách tính thuế và các bậc thuế trong phương án mới đơn giản, dễ hiểu và dễ thực hiện hơn. - HUMAN-FAC2]]</f>
        <v>5</v>
      </c>
      <c r="AH162">
        <f t="shared" si="63"/>
        <v>0.44444444444444442</v>
      </c>
      <c r="AI162" s="32">
        <f t="shared" si="64"/>
        <v>0.94444444444444442</v>
      </c>
      <c r="AJ162" s="32">
        <f t="shared" si="65"/>
        <v>0.55555555555555558</v>
      </c>
      <c r="AK162">
        <f>step3_validation[[#This Row],[AI_TRU1]]</f>
        <v>9</v>
      </c>
      <c r="AL162">
        <f t="shared" si="66"/>
        <v>0.88888888888888884</v>
      </c>
      <c r="AM162">
        <f>survey_responses[[#This Row],[Tôi tin rằng Nhà nước, cơ quan thuế sẽ thực thi chính sách mới một cách khách quan, công tâm và đối xử bình đẳng với mọi người nộp thuế.  - HUMAN-TRU1]]</f>
        <v>3</v>
      </c>
      <c r="AN162">
        <f t="shared" si="67"/>
        <v>0.22222222222222221</v>
      </c>
      <c r="AO162">
        <f>step3_validation[[#This Row],[AI_TRU2]]</f>
        <v>8</v>
      </c>
      <c r="AP162">
        <f t="shared" si="68"/>
        <v>0.77777777777777779</v>
      </c>
      <c r="AQ162">
        <f>survey_responses[[#This Row],[Tôi thấy mức thuế tôi phải đóng theo phương án mới là công bằng (người thu nhập như tôi đóng mức này là hợp lý). - HUMAN-TRU2]]</f>
        <v>4</v>
      </c>
      <c r="AR162">
        <f t="shared" si="69"/>
        <v>0.33333333333333331</v>
      </c>
      <c r="AS162">
        <f>step3_validation[[#This Row],[AI_TRU3]]</f>
        <v>9</v>
      </c>
      <c r="AT162">
        <f t="shared" si="70"/>
        <v>0.88888888888888884</v>
      </c>
      <c r="AU162">
        <f>survey_responses[[#This Row],[Tôi tin tưởng số tiền thuế tôi đóng sẽ được Nhà nước sử dụng hiệu quả để cải thiện dịch vụ công (y tế, đường xá...). - HUMAN-TRU3]]</f>
        <v>1</v>
      </c>
      <c r="AV162">
        <f t="shared" si="71"/>
        <v>0</v>
      </c>
      <c r="AW162">
        <f>step3_validation[[#This Row],[AI_TRU4]]</f>
        <v>8</v>
      </c>
      <c r="AX162">
        <f t="shared" si="72"/>
        <v>0.77777777777777779</v>
      </c>
      <c r="AY162">
        <f>survey_responses[[#This Row],[Tôi thấy Nhà nước đã giải thích rõ ràng, minh bạch về lý do và mục tiêu của việc sửa đổi thuế lần này. - HUMAN-TRU4]]</f>
        <v>5</v>
      </c>
      <c r="AZ162">
        <f t="shared" si="73"/>
        <v>0.44444444444444442</v>
      </c>
      <c r="BA162" s="32">
        <f t="shared" si="74"/>
        <v>0.83333333333333326</v>
      </c>
      <c r="BB162" s="32">
        <f t="shared" si="75"/>
        <v>0.25</v>
      </c>
      <c r="BC162" s="7">
        <f t="shared" si="76"/>
        <v>0.83333333333333337</v>
      </c>
      <c r="BD162" s="7">
        <f t="shared" si="77"/>
        <v>0.45370370370370372</v>
      </c>
      <c r="BE162">
        <f>step3_validation[[#This Row],[AI_OUT1]]</f>
        <v>9</v>
      </c>
      <c r="BF162">
        <f t="shared" si="78"/>
        <v>0.88888888888888884</v>
      </c>
      <c r="BG162">
        <f>survey_responses[[#This Row],[Sau khi xem xét các quyền lợi và nghĩa vụ, bạn có ủng hộ và tuân thủ chính sách mới hiện nay? - HUMAN-OUT1]]</f>
        <v>5</v>
      </c>
      <c r="BH162">
        <f t="shared" si="79"/>
        <v>0.44444444444444442</v>
      </c>
      <c r="BI162" s="32">
        <f t="shared" si="80"/>
        <v>4</v>
      </c>
    </row>
    <row r="163" spans="1:61" x14ac:dyDescent="0.45">
      <c r="A163" s="30">
        <f>step3_validation[[#This Row],[Persona_ID]]</f>
        <v>162</v>
      </c>
      <c r="B163" s="31">
        <f>step3_validation[[#This Row],[Used_Seed]]</f>
        <v>162</v>
      </c>
      <c r="C163" t="str">
        <f>step3_validation[[#This Row],[Gender]]</f>
        <v>Nữ</v>
      </c>
      <c r="D163" t="str">
        <f>survey_responses[[#This Row],[Giới tính của bạn:]]</f>
        <v>Nữ</v>
      </c>
      <c r="E163" t="str">
        <f>step3_validation[[#This Row],[Age_Group]]</f>
        <v>25 - 29</v>
      </c>
      <c r="F163" t="str">
        <f>survey_responses[[#This Row],[Độ tuổi của bạn:]]</f>
        <v>25 - 29</v>
      </c>
      <c r="G163" t="str">
        <f>step3_validation[[#This Row],[Region]]</f>
        <v>Thành thị</v>
      </c>
      <c r="H163" t="str">
        <f>survey_responses[[#This Row],[Khu vực bạn đang sinh sống:]]</f>
        <v>Thành thị</v>
      </c>
      <c r="I163" t="str">
        <f>step3_validation[[#This Row],[Education]]</f>
        <v>Đại học</v>
      </c>
      <c r="J163" t="str">
        <f>survey_responses[[#This Row],[Trình độ học vấn cao nhất:]]</f>
        <v>Đại học</v>
      </c>
      <c r="K163" t="str">
        <f>step3_validation[[#This Row],[Employment]]</f>
        <v>Chính thức</v>
      </c>
      <c r="L163" t="str">
        <f>survey_responses[[#This Row],[Tình trạng việc làm chính:]]</f>
        <v>Khu vực chính thức (Có Hợp đồng lao động, đóng BHXH)</v>
      </c>
      <c r="M163">
        <f>step3_validation[[#This Row],[Income_Mil]]</f>
        <v>12</v>
      </c>
      <c r="N163" t="str">
        <f>survey_responses[[#This Row],[Thu nhập bình quân tháng theo Hợp đồng lao động của bạn là bao nhiêu? (Vui lòng điền tổng thu nhập trước khi khấu trừ các loại Bảo hiểm (BHXH, BHYT, BHTN) và Thuế TNCN)]]</f>
        <v>Dưới 12 triệu VNĐ</v>
      </c>
      <c r="O163">
        <f>step3_validation[[#This Row],[Dependents]]</f>
        <v>0</v>
      </c>
      <c r="P163" t="str">
        <f>survey_responses[[#This Row],[Số người phụ thuộc (con nhỏ, cha mẹ già...) đủ điều kiện giảm trừ gia cảnh:]]</f>
        <v>0 người</v>
      </c>
      <c r="Q163">
        <f>step3_validation[[#This Row],[AI_ENF1]]</f>
        <v>8</v>
      </c>
      <c r="R163">
        <f t="shared" si="54"/>
        <v>0.77777777777777779</v>
      </c>
      <c r="S163">
        <f>survey_responses[[#This Row],[Tôi tin rằng với các quy định quản lý thuế hiện nay, hành vi gian lận hoặc trốn thuế sẽ dễ dàng bị phát hiện và xử lý nghiêm. - HUMAN-ENF1]]</f>
        <v>3</v>
      </c>
      <c r="T163">
        <f t="shared" si="55"/>
        <v>0.22222222222222221</v>
      </c>
      <c r="U163">
        <f>step3_validation[[#This Row],[AI_ENF2]]</f>
        <v>9</v>
      </c>
      <c r="V163">
        <f t="shared" si="56"/>
        <v>0.88888888888888884</v>
      </c>
      <c r="W163">
        <f>survey_responses[[#This Row],[Tôi tin rằng Nhà nước, cơ quan thuế có đủ khả năng và công nghệ để phát hiện, xử lý nghiêm các hành vi trốn thuế. - HUMAN-ENF2]]</f>
        <v>8</v>
      </c>
      <c r="X163">
        <f t="shared" si="57"/>
        <v>0.77777777777777779</v>
      </c>
      <c r="Y163" s="32">
        <f t="shared" si="58"/>
        <v>0.83333333333333326</v>
      </c>
      <c r="Z163" s="32">
        <f t="shared" si="59"/>
        <v>0.5</v>
      </c>
      <c r="AA163">
        <f>step3_validation[[#This Row],[AI_FAC1]]</f>
        <v>8</v>
      </c>
      <c r="AB163">
        <f t="shared" si="60"/>
        <v>0.77777777777777779</v>
      </c>
      <c r="AC163">
        <f>survey_responses[[#This Row],[Các thủ tục khai báo thuế VÀ/HOẶC quy trình làm việc với cơ quan thuế đơn giản, tiện lợi, nhanh chóng hơn so với trước đây. - HUMAN-FAC1]]</f>
        <v>4</v>
      </c>
      <c r="AD163">
        <f t="shared" si="61"/>
        <v>0.33333333333333331</v>
      </c>
      <c r="AE163">
        <f>step3_validation[[#This Row],[AI_FAC2]]</f>
        <v>9</v>
      </c>
      <c r="AF163">
        <f t="shared" si="62"/>
        <v>0.88888888888888884</v>
      </c>
      <c r="AG163">
        <f>survey_responses[[#This Row],[So với trước đây, tôi thấy cách tính thuế và các bậc thuế trong phương án mới đơn giản, dễ hiểu và dễ thực hiện hơn. - HUMAN-FAC2]]</f>
        <v>5</v>
      </c>
      <c r="AH163">
        <f t="shared" si="63"/>
        <v>0.44444444444444442</v>
      </c>
      <c r="AI163" s="32">
        <f t="shared" si="64"/>
        <v>0.83333333333333326</v>
      </c>
      <c r="AJ163" s="32">
        <f t="shared" si="65"/>
        <v>0.38888888888888884</v>
      </c>
      <c r="AK163">
        <f>step3_validation[[#This Row],[AI_TRU1]]</f>
        <v>8</v>
      </c>
      <c r="AL163">
        <f t="shared" si="66"/>
        <v>0.77777777777777779</v>
      </c>
      <c r="AM163">
        <f>survey_responses[[#This Row],[Tôi tin rằng Nhà nước, cơ quan thuế sẽ thực thi chính sách mới một cách khách quan, công tâm và đối xử bình đẳng với mọi người nộp thuế.  - HUMAN-TRU1]]</f>
        <v>5</v>
      </c>
      <c r="AN163">
        <f t="shared" si="67"/>
        <v>0.44444444444444442</v>
      </c>
      <c r="AO163">
        <f>step3_validation[[#This Row],[AI_TRU2]]</f>
        <v>9</v>
      </c>
      <c r="AP163">
        <f t="shared" si="68"/>
        <v>0.88888888888888884</v>
      </c>
      <c r="AQ163">
        <f>survey_responses[[#This Row],[Tôi thấy mức thuế tôi phải đóng theo phương án mới là công bằng (người thu nhập như tôi đóng mức này là hợp lý). - HUMAN-TRU2]]</f>
        <v>5</v>
      </c>
      <c r="AR163">
        <f t="shared" si="69"/>
        <v>0.44444444444444442</v>
      </c>
      <c r="AS163">
        <f>step3_validation[[#This Row],[AI_TRU3]]</f>
        <v>8</v>
      </c>
      <c r="AT163">
        <f t="shared" si="70"/>
        <v>0.77777777777777779</v>
      </c>
      <c r="AU163">
        <f>survey_responses[[#This Row],[Tôi tin tưởng số tiền thuế tôi đóng sẽ được Nhà nước sử dụng hiệu quả để cải thiện dịch vụ công (y tế, đường xá...). - HUMAN-TRU3]]</f>
        <v>5</v>
      </c>
      <c r="AV163">
        <f t="shared" si="71"/>
        <v>0.44444444444444442</v>
      </c>
      <c r="AW163">
        <f>step3_validation[[#This Row],[AI_TRU4]]</f>
        <v>9</v>
      </c>
      <c r="AX163">
        <f t="shared" si="72"/>
        <v>0.88888888888888884</v>
      </c>
      <c r="AY163">
        <f>survey_responses[[#This Row],[Tôi thấy Nhà nước đã giải thích rõ ràng, minh bạch về lý do và mục tiêu của việc sửa đổi thuế lần này. - HUMAN-TRU4]]</f>
        <v>5</v>
      </c>
      <c r="AZ163">
        <f t="shared" si="73"/>
        <v>0.44444444444444442</v>
      </c>
      <c r="BA163" s="32">
        <f t="shared" si="74"/>
        <v>0.83333333333333326</v>
      </c>
      <c r="BB163" s="32">
        <f t="shared" si="75"/>
        <v>0.44444444444444442</v>
      </c>
      <c r="BC163" s="7">
        <f t="shared" si="76"/>
        <v>0.83333333333333337</v>
      </c>
      <c r="BD163" s="7">
        <f t="shared" si="77"/>
        <v>0.44444444444444442</v>
      </c>
      <c r="BE163">
        <f>step3_validation[[#This Row],[AI_OUT1]]</f>
        <v>8</v>
      </c>
      <c r="BF163">
        <f t="shared" si="78"/>
        <v>0.77777777777777779</v>
      </c>
      <c r="BG163">
        <f>survey_responses[[#This Row],[Sau khi xem xét các quyền lợi và nghĩa vụ, bạn có ủng hộ và tuân thủ chính sách mới hiện nay? - HUMAN-OUT1]]</f>
        <v>5</v>
      </c>
      <c r="BH163">
        <f t="shared" si="79"/>
        <v>0.44444444444444442</v>
      </c>
      <c r="BI163" s="32">
        <f t="shared" si="80"/>
        <v>3</v>
      </c>
    </row>
    <row r="164" spans="1:61" x14ac:dyDescent="0.45">
      <c r="A164" s="30">
        <f>step3_validation[[#This Row],[Persona_ID]]</f>
        <v>163</v>
      </c>
      <c r="B164" s="31">
        <f>step3_validation[[#This Row],[Used_Seed]]</f>
        <v>163</v>
      </c>
      <c r="C164" t="str">
        <f>step3_validation[[#This Row],[Gender]]</f>
        <v>Nữ</v>
      </c>
      <c r="D164" t="str">
        <f>survey_responses[[#This Row],[Giới tính của bạn:]]</f>
        <v>Nữ</v>
      </c>
      <c r="E164" t="str">
        <f>step3_validation[[#This Row],[Age_Group]]</f>
        <v>25 - 29</v>
      </c>
      <c r="F164" t="str">
        <f>survey_responses[[#This Row],[Độ tuổi của bạn:]]</f>
        <v>25 - 29</v>
      </c>
      <c r="G164" t="str">
        <f>step3_validation[[#This Row],[Region]]</f>
        <v>Thành thị</v>
      </c>
      <c r="H164" t="str">
        <f>survey_responses[[#This Row],[Khu vực bạn đang sinh sống:]]</f>
        <v>Thành thị</v>
      </c>
      <c r="I164" t="str">
        <f>step3_validation[[#This Row],[Education]]</f>
        <v>Đại học</v>
      </c>
      <c r="J164" t="str">
        <f>survey_responses[[#This Row],[Trình độ học vấn cao nhất:]]</f>
        <v>Đại học</v>
      </c>
      <c r="K164" t="str">
        <f>step3_validation[[#This Row],[Employment]]</f>
        <v>Chính thức</v>
      </c>
      <c r="L164" t="str">
        <f>survey_responses[[#This Row],[Tình trạng việc làm chính:]]</f>
        <v>Khu vực chính thức (Có Hợp đồng lao động, đóng BHXH)</v>
      </c>
      <c r="M164">
        <f>step3_validation[[#This Row],[Income_Mil]]</f>
        <v>16.033205565585785</v>
      </c>
      <c r="N164" t="str">
        <f>survey_responses[[#This Row],[Thu nhập bình quân tháng theo Hợp đồng lao động của bạn là bao nhiêu? (Vui lòng điền tổng thu nhập trước khi khấu trừ các loại Bảo hiểm (BHXH, BHYT, BHTN) và Thuế TNCN)]]</f>
        <v>Từ 12 - 18 triệu VNĐ</v>
      </c>
      <c r="O164">
        <f>step3_validation[[#This Row],[Dependents]]</f>
        <v>0</v>
      </c>
      <c r="P164" t="str">
        <f>survey_responses[[#This Row],[Số người phụ thuộc (con nhỏ, cha mẹ già...) đủ điều kiện giảm trừ gia cảnh:]]</f>
        <v>0 người</v>
      </c>
      <c r="Q164">
        <f>step3_validation[[#This Row],[AI_ENF1]]</f>
        <v>8</v>
      </c>
      <c r="R164">
        <f t="shared" si="54"/>
        <v>0.77777777777777779</v>
      </c>
      <c r="S164">
        <f>survey_responses[[#This Row],[Tôi tin rằng với các quy định quản lý thuế hiện nay, hành vi gian lận hoặc trốn thuế sẽ dễ dàng bị phát hiện và xử lý nghiêm. - HUMAN-ENF1]]</f>
        <v>10</v>
      </c>
      <c r="T164">
        <f t="shared" si="55"/>
        <v>1</v>
      </c>
      <c r="U164">
        <f>step3_validation[[#This Row],[AI_ENF2]]</f>
        <v>9</v>
      </c>
      <c r="V164">
        <f t="shared" si="56"/>
        <v>0.88888888888888884</v>
      </c>
      <c r="W164">
        <f>survey_responses[[#This Row],[Tôi tin rằng Nhà nước, cơ quan thuế có đủ khả năng và công nghệ để phát hiện, xử lý nghiêm các hành vi trốn thuế. - HUMAN-ENF2]]</f>
        <v>10</v>
      </c>
      <c r="X164">
        <f t="shared" si="57"/>
        <v>1</v>
      </c>
      <c r="Y164" s="32">
        <f t="shared" si="58"/>
        <v>0.83333333333333326</v>
      </c>
      <c r="Z164" s="32">
        <f t="shared" si="59"/>
        <v>1</v>
      </c>
      <c r="AA164">
        <f>step3_validation[[#This Row],[AI_FAC1]]</f>
        <v>8</v>
      </c>
      <c r="AB164">
        <f t="shared" si="60"/>
        <v>0.77777777777777779</v>
      </c>
      <c r="AC164">
        <f>survey_responses[[#This Row],[Các thủ tục khai báo thuế VÀ/HOẶC quy trình làm việc với cơ quan thuế đơn giản, tiện lợi, nhanh chóng hơn so với trước đây. - HUMAN-FAC1]]</f>
        <v>10</v>
      </c>
      <c r="AD164">
        <f t="shared" si="61"/>
        <v>1</v>
      </c>
      <c r="AE164">
        <f>step3_validation[[#This Row],[AI_FAC2]]</f>
        <v>9</v>
      </c>
      <c r="AF164">
        <f t="shared" si="62"/>
        <v>0.88888888888888884</v>
      </c>
      <c r="AG164">
        <f>survey_responses[[#This Row],[So với trước đây, tôi thấy cách tính thuế và các bậc thuế trong phương án mới đơn giản, dễ hiểu và dễ thực hiện hơn. - HUMAN-FAC2]]</f>
        <v>10</v>
      </c>
      <c r="AH164">
        <f t="shared" si="63"/>
        <v>1</v>
      </c>
      <c r="AI164" s="32">
        <f t="shared" si="64"/>
        <v>0.83333333333333326</v>
      </c>
      <c r="AJ164" s="32">
        <f t="shared" si="65"/>
        <v>1</v>
      </c>
      <c r="AK164">
        <f>step3_validation[[#This Row],[AI_TRU1]]</f>
        <v>8</v>
      </c>
      <c r="AL164">
        <f t="shared" si="66"/>
        <v>0.77777777777777779</v>
      </c>
      <c r="AM164">
        <f>survey_responses[[#This Row],[Tôi tin rằng Nhà nước, cơ quan thuế sẽ thực thi chính sách mới một cách khách quan, công tâm và đối xử bình đẳng với mọi người nộp thuế.  - HUMAN-TRU1]]</f>
        <v>10</v>
      </c>
      <c r="AN164">
        <f t="shared" si="67"/>
        <v>1</v>
      </c>
      <c r="AO164">
        <f>step3_validation[[#This Row],[AI_TRU2]]</f>
        <v>9</v>
      </c>
      <c r="AP164">
        <f t="shared" si="68"/>
        <v>0.88888888888888884</v>
      </c>
      <c r="AQ164">
        <f>survey_responses[[#This Row],[Tôi thấy mức thuế tôi phải đóng theo phương án mới là công bằng (người thu nhập như tôi đóng mức này là hợp lý). - HUMAN-TRU2]]</f>
        <v>10</v>
      </c>
      <c r="AR164">
        <f t="shared" si="69"/>
        <v>1</v>
      </c>
      <c r="AS164">
        <f>step3_validation[[#This Row],[AI_TRU3]]</f>
        <v>8</v>
      </c>
      <c r="AT164">
        <f t="shared" si="70"/>
        <v>0.77777777777777779</v>
      </c>
      <c r="AU164">
        <f>survey_responses[[#This Row],[Tôi tin tưởng số tiền thuế tôi đóng sẽ được Nhà nước sử dụng hiệu quả để cải thiện dịch vụ công (y tế, đường xá...). - HUMAN-TRU3]]</f>
        <v>10</v>
      </c>
      <c r="AV164">
        <f t="shared" si="71"/>
        <v>1</v>
      </c>
      <c r="AW164">
        <f>step3_validation[[#This Row],[AI_TRU4]]</f>
        <v>9</v>
      </c>
      <c r="AX164">
        <f t="shared" si="72"/>
        <v>0.88888888888888884</v>
      </c>
      <c r="AY164">
        <f>survey_responses[[#This Row],[Tôi thấy Nhà nước đã giải thích rõ ràng, minh bạch về lý do và mục tiêu của việc sửa đổi thuế lần này. - HUMAN-TRU4]]</f>
        <v>10</v>
      </c>
      <c r="AZ164">
        <f t="shared" si="73"/>
        <v>1</v>
      </c>
      <c r="BA164" s="32">
        <f t="shared" si="74"/>
        <v>0.83333333333333326</v>
      </c>
      <c r="BB164" s="32">
        <f t="shared" si="75"/>
        <v>1</v>
      </c>
      <c r="BC164" s="7">
        <f t="shared" si="76"/>
        <v>0.83333333333333337</v>
      </c>
      <c r="BD164" s="7">
        <f t="shared" si="77"/>
        <v>1</v>
      </c>
      <c r="BE164">
        <f>step3_validation[[#This Row],[AI_OUT1]]</f>
        <v>8</v>
      </c>
      <c r="BF164">
        <f t="shared" si="78"/>
        <v>0.77777777777777779</v>
      </c>
      <c r="BG164">
        <f>survey_responses[[#This Row],[Sau khi xem xét các quyền lợi và nghĩa vụ, bạn có ủng hộ và tuân thủ chính sách mới hiện nay? - HUMAN-OUT1]]</f>
        <v>10</v>
      </c>
      <c r="BH164">
        <f t="shared" si="79"/>
        <v>1</v>
      </c>
      <c r="BI164" s="32">
        <f t="shared" si="80"/>
        <v>2</v>
      </c>
    </row>
    <row r="165" spans="1:61" x14ac:dyDescent="0.45">
      <c r="A165" s="30">
        <f>step3_validation[[#This Row],[Persona_ID]]</f>
        <v>164</v>
      </c>
      <c r="B165" s="31">
        <f>step3_validation[[#This Row],[Used_Seed]]</f>
        <v>164</v>
      </c>
      <c r="C165" t="str">
        <f>step3_validation[[#This Row],[Gender]]</f>
        <v>Nữ</v>
      </c>
      <c r="D165" t="str">
        <f>survey_responses[[#This Row],[Giới tính của bạn:]]</f>
        <v>Nữ</v>
      </c>
      <c r="E165" t="str">
        <f>step3_validation[[#This Row],[Age_Group]]</f>
        <v>40 - 49</v>
      </c>
      <c r="F165" t="str">
        <f>survey_responses[[#This Row],[Độ tuổi của bạn:]]</f>
        <v>40 - 49</v>
      </c>
      <c r="G165" t="str">
        <f>step3_validation[[#This Row],[Region]]</f>
        <v>Thành thị</v>
      </c>
      <c r="H165" t="str">
        <f>survey_responses[[#This Row],[Khu vực bạn đang sinh sống:]]</f>
        <v>Thành thị</v>
      </c>
      <c r="I165" t="str">
        <f>step3_validation[[#This Row],[Education]]</f>
        <v>Đại học</v>
      </c>
      <c r="J165" t="str">
        <f>survey_responses[[#This Row],[Trình độ học vấn cao nhất:]]</f>
        <v>Đại học</v>
      </c>
      <c r="K165" t="str">
        <f>step3_validation[[#This Row],[Employment]]</f>
        <v>Chính thức</v>
      </c>
      <c r="L165" t="str">
        <f>survey_responses[[#This Row],[Tình trạng việc làm chính:]]</f>
        <v>Khu vực chính thức (Có Hợp đồng lao động, đóng BHXH)</v>
      </c>
      <c r="M165">
        <f>step3_validation[[#This Row],[Income_Mil]]</f>
        <v>33.095604191859664</v>
      </c>
      <c r="N165" t="str">
        <f>survey_responses[[#This Row],[Thu nhập bình quân tháng theo Hợp đồng lao động của bạn là bao nhiêu? (Vui lòng điền tổng thu nhập trước khi khấu trừ các loại Bảo hiểm (BHXH, BHYT, BHTN) và Thuế TNCN)]]</f>
        <v>Từ 32 - 48 triệu VNĐ</v>
      </c>
      <c r="O165">
        <f>step3_validation[[#This Row],[Dependents]]</f>
        <v>2</v>
      </c>
      <c r="P165" t="str">
        <f>survey_responses[[#This Row],[Số người phụ thuộc (con nhỏ, cha mẹ già...) đủ điều kiện giảm trừ gia cảnh:]]</f>
        <v>2 người</v>
      </c>
      <c r="Q165">
        <f>step3_validation[[#This Row],[AI_ENF1]]</f>
        <v>8</v>
      </c>
      <c r="R165">
        <f t="shared" si="54"/>
        <v>0.77777777777777779</v>
      </c>
      <c r="S165">
        <f>survey_responses[[#This Row],[Tôi tin rằng với các quy định quản lý thuế hiện nay, hành vi gian lận hoặc trốn thuế sẽ dễ dàng bị phát hiện và xử lý nghiêm. - HUMAN-ENF1]]</f>
        <v>8</v>
      </c>
      <c r="T165">
        <f t="shared" si="55"/>
        <v>0.77777777777777779</v>
      </c>
      <c r="U165">
        <f>step3_validation[[#This Row],[AI_ENF2]]</f>
        <v>9</v>
      </c>
      <c r="V165">
        <f t="shared" si="56"/>
        <v>0.88888888888888884</v>
      </c>
      <c r="W165">
        <f>survey_responses[[#This Row],[Tôi tin rằng Nhà nước, cơ quan thuế có đủ khả năng và công nghệ để phát hiện, xử lý nghiêm các hành vi trốn thuế. - HUMAN-ENF2]]</f>
        <v>9</v>
      </c>
      <c r="X165">
        <f t="shared" si="57"/>
        <v>0.88888888888888884</v>
      </c>
      <c r="Y165" s="32">
        <f t="shared" si="58"/>
        <v>0.83333333333333326</v>
      </c>
      <c r="Z165" s="32">
        <f t="shared" si="59"/>
        <v>0.83333333333333326</v>
      </c>
      <c r="AA165">
        <f>step3_validation[[#This Row],[AI_FAC1]]</f>
        <v>8</v>
      </c>
      <c r="AB165">
        <f t="shared" si="60"/>
        <v>0.77777777777777779</v>
      </c>
      <c r="AC165">
        <f>survey_responses[[#This Row],[Các thủ tục khai báo thuế VÀ/HOẶC quy trình làm việc với cơ quan thuế đơn giản, tiện lợi, nhanh chóng hơn so với trước đây. - HUMAN-FAC1]]</f>
        <v>9</v>
      </c>
      <c r="AD165">
        <f t="shared" si="61"/>
        <v>0.88888888888888884</v>
      </c>
      <c r="AE165">
        <f>step3_validation[[#This Row],[AI_FAC2]]</f>
        <v>9</v>
      </c>
      <c r="AF165">
        <f t="shared" si="62"/>
        <v>0.88888888888888884</v>
      </c>
      <c r="AG165">
        <f>survey_responses[[#This Row],[So với trước đây, tôi thấy cách tính thuế và các bậc thuế trong phương án mới đơn giản, dễ hiểu và dễ thực hiện hơn. - HUMAN-FAC2]]</f>
        <v>9</v>
      </c>
      <c r="AH165">
        <f t="shared" si="63"/>
        <v>0.88888888888888884</v>
      </c>
      <c r="AI165" s="32">
        <f t="shared" si="64"/>
        <v>0.83333333333333326</v>
      </c>
      <c r="AJ165" s="32">
        <f t="shared" si="65"/>
        <v>0.88888888888888884</v>
      </c>
      <c r="AK165">
        <f>step3_validation[[#This Row],[AI_TRU1]]</f>
        <v>7</v>
      </c>
      <c r="AL165">
        <f t="shared" si="66"/>
        <v>0.66666666666666663</v>
      </c>
      <c r="AM165">
        <f>survey_responses[[#This Row],[Tôi tin rằng Nhà nước, cơ quan thuế sẽ thực thi chính sách mới một cách khách quan, công tâm và đối xử bình đẳng với mọi người nộp thuế.  - HUMAN-TRU1]]</f>
        <v>5</v>
      </c>
      <c r="AN165">
        <f t="shared" si="67"/>
        <v>0.44444444444444442</v>
      </c>
      <c r="AO165">
        <f>step3_validation[[#This Row],[AI_TRU2]]</f>
        <v>9</v>
      </c>
      <c r="AP165">
        <f t="shared" si="68"/>
        <v>0.88888888888888884</v>
      </c>
      <c r="AQ165">
        <f>survey_responses[[#This Row],[Tôi thấy mức thuế tôi phải đóng theo phương án mới là công bằng (người thu nhập như tôi đóng mức này là hợp lý). - HUMAN-TRU2]]</f>
        <v>7</v>
      </c>
      <c r="AR165">
        <f t="shared" si="69"/>
        <v>0.66666666666666663</v>
      </c>
      <c r="AS165">
        <f>step3_validation[[#This Row],[AI_TRU3]]</f>
        <v>7</v>
      </c>
      <c r="AT165">
        <f t="shared" si="70"/>
        <v>0.66666666666666663</v>
      </c>
      <c r="AU165">
        <f>survey_responses[[#This Row],[Tôi tin tưởng số tiền thuế tôi đóng sẽ được Nhà nước sử dụng hiệu quả để cải thiện dịch vụ công (y tế, đường xá...). - HUMAN-TRU3]]</f>
        <v>5</v>
      </c>
      <c r="AV165">
        <f t="shared" si="71"/>
        <v>0.44444444444444442</v>
      </c>
      <c r="AW165">
        <f>step3_validation[[#This Row],[AI_TRU4]]</f>
        <v>8</v>
      </c>
      <c r="AX165">
        <f t="shared" si="72"/>
        <v>0.77777777777777779</v>
      </c>
      <c r="AY165">
        <f>survey_responses[[#This Row],[Tôi thấy Nhà nước đã giải thích rõ ràng, minh bạch về lý do và mục tiêu của việc sửa đổi thuế lần này. - HUMAN-TRU4]]</f>
        <v>7</v>
      </c>
      <c r="AZ165">
        <f t="shared" si="73"/>
        <v>0.66666666666666663</v>
      </c>
      <c r="BA165" s="32">
        <f t="shared" si="74"/>
        <v>0.74999999999999989</v>
      </c>
      <c r="BB165" s="32">
        <f t="shared" si="75"/>
        <v>0.55555555555555558</v>
      </c>
      <c r="BC165" s="7">
        <f t="shared" si="76"/>
        <v>0.80555555555555547</v>
      </c>
      <c r="BD165" s="7">
        <f t="shared" si="77"/>
        <v>0.75925925925925919</v>
      </c>
      <c r="BE165">
        <f>step3_validation[[#This Row],[AI_OUT1]]</f>
        <v>7</v>
      </c>
      <c r="BF165">
        <f t="shared" si="78"/>
        <v>0.66666666666666663</v>
      </c>
      <c r="BG165">
        <f>survey_responses[[#This Row],[Sau khi xem xét các quyền lợi và nghĩa vụ, bạn có ủng hộ và tuân thủ chính sách mới hiện nay? - HUMAN-OUT1]]</f>
        <v>7</v>
      </c>
      <c r="BH165">
        <f t="shared" si="79"/>
        <v>0.66666666666666663</v>
      </c>
      <c r="BI165" s="32">
        <f t="shared" si="80"/>
        <v>0</v>
      </c>
    </row>
    <row r="166" spans="1:61" x14ac:dyDescent="0.45">
      <c r="A166" s="30">
        <f>step3_validation[[#This Row],[Persona_ID]]</f>
        <v>165</v>
      </c>
      <c r="B166" s="31">
        <f>step3_validation[[#This Row],[Used_Seed]]</f>
        <v>165</v>
      </c>
      <c r="C166" t="str">
        <f>step3_validation[[#This Row],[Gender]]</f>
        <v>Nữ</v>
      </c>
      <c r="D166" t="str">
        <f>survey_responses[[#This Row],[Giới tính của bạn:]]</f>
        <v>Nữ</v>
      </c>
      <c r="E166" t="str">
        <f>step3_validation[[#This Row],[Age_Group]]</f>
        <v>30 - 39</v>
      </c>
      <c r="F166" t="str">
        <f>survey_responses[[#This Row],[Độ tuổi của bạn:]]</f>
        <v>30 - 39</v>
      </c>
      <c r="G166" t="str">
        <f>step3_validation[[#This Row],[Region]]</f>
        <v>Thành thị</v>
      </c>
      <c r="H166" t="str">
        <f>survey_responses[[#This Row],[Khu vực bạn đang sinh sống:]]</f>
        <v>Thành thị</v>
      </c>
      <c r="I166" t="str">
        <f>step3_validation[[#This Row],[Education]]</f>
        <v>Sau Đại học</v>
      </c>
      <c r="J166" t="str">
        <f>survey_responses[[#This Row],[Trình độ học vấn cao nhất:]]</f>
        <v>Sau Đại học</v>
      </c>
      <c r="K166" t="str">
        <f>step3_validation[[#This Row],[Employment]]</f>
        <v>Chính thức</v>
      </c>
      <c r="L166" t="str">
        <f>survey_responses[[#This Row],[Tình trạng việc làm chính:]]</f>
        <v>Khu vực chính thức (Có Hợp đồng lao động, đóng BHXH)</v>
      </c>
      <c r="M166">
        <f>step3_validation[[#This Row],[Income_Mil]]</f>
        <v>38.94022557203845</v>
      </c>
      <c r="N166" t="str">
        <f>survey_responses[[#This Row],[Thu nhập bình quân tháng theo Hợp đồng lao động của bạn là bao nhiêu? (Vui lòng điền tổng thu nhập trước khi khấu trừ các loại Bảo hiểm (BHXH, BHYT, BHTN) và Thuế TNCN)]]</f>
        <v>Từ 32 - 48 triệu VNĐ</v>
      </c>
      <c r="O166">
        <f>step3_validation[[#This Row],[Dependents]]</f>
        <v>0</v>
      </c>
      <c r="P166" t="str">
        <f>survey_responses[[#This Row],[Số người phụ thuộc (con nhỏ, cha mẹ già...) đủ điều kiện giảm trừ gia cảnh:]]</f>
        <v>0 người</v>
      </c>
      <c r="Q166">
        <f>step3_validation[[#This Row],[AI_ENF1]]</f>
        <v>6</v>
      </c>
      <c r="R166">
        <f t="shared" si="54"/>
        <v>0.55555555555555558</v>
      </c>
      <c r="S166">
        <f>survey_responses[[#This Row],[Tôi tin rằng với các quy định quản lý thuế hiện nay, hành vi gian lận hoặc trốn thuế sẽ dễ dàng bị phát hiện và xử lý nghiêm. - HUMAN-ENF1]]</f>
        <v>5</v>
      </c>
      <c r="T166">
        <f t="shared" si="55"/>
        <v>0.44444444444444442</v>
      </c>
      <c r="U166">
        <f>step3_validation[[#This Row],[AI_ENF2]]</f>
        <v>6</v>
      </c>
      <c r="V166">
        <f t="shared" si="56"/>
        <v>0.55555555555555558</v>
      </c>
      <c r="W166">
        <f>survey_responses[[#This Row],[Tôi tin rằng Nhà nước, cơ quan thuế có đủ khả năng và công nghệ để phát hiện, xử lý nghiêm các hành vi trốn thuế. - HUMAN-ENF2]]</f>
        <v>5</v>
      </c>
      <c r="X166">
        <f t="shared" si="57"/>
        <v>0.44444444444444442</v>
      </c>
      <c r="Y166" s="32">
        <f t="shared" si="58"/>
        <v>0.55555555555555558</v>
      </c>
      <c r="Z166" s="32">
        <f t="shared" si="59"/>
        <v>0.44444444444444442</v>
      </c>
      <c r="AA166">
        <f>step3_validation[[#This Row],[AI_FAC1]]</f>
        <v>8</v>
      </c>
      <c r="AB166">
        <f t="shared" si="60"/>
        <v>0.77777777777777779</v>
      </c>
      <c r="AC166">
        <f>survey_responses[[#This Row],[Các thủ tục khai báo thuế VÀ/HOẶC quy trình làm việc với cơ quan thuế đơn giản, tiện lợi, nhanh chóng hơn so với trước đây. - HUMAN-FAC1]]</f>
        <v>6</v>
      </c>
      <c r="AD166">
        <f t="shared" si="61"/>
        <v>0.55555555555555558</v>
      </c>
      <c r="AE166">
        <f>step3_validation[[#This Row],[AI_FAC2]]</f>
        <v>8</v>
      </c>
      <c r="AF166">
        <f t="shared" si="62"/>
        <v>0.77777777777777779</v>
      </c>
      <c r="AG166">
        <f>survey_responses[[#This Row],[So với trước đây, tôi thấy cách tính thuế và các bậc thuế trong phương án mới đơn giản, dễ hiểu và dễ thực hiện hơn. - HUMAN-FAC2]]</f>
        <v>6</v>
      </c>
      <c r="AH166">
        <f t="shared" si="63"/>
        <v>0.55555555555555558</v>
      </c>
      <c r="AI166" s="32">
        <f t="shared" si="64"/>
        <v>0.77777777777777779</v>
      </c>
      <c r="AJ166" s="32">
        <f t="shared" si="65"/>
        <v>0.55555555555555558</v>
      </c>
      <c r="AK166">
        <f>step3_validation[[#This Row],[AI_TRU1]]</f>
        <v>9</v>
      </c>
      <c r="AL166">
        <f t="shared" si="66"/>
        <v>0.88888888888888884</v>
      </c>
      <c r="AM166">
        <f>survey_responses[[#This Row],[Tôi tin rằng Nhà nước, cơ quan thuế sẽ thực thi chính sách mới một cách khách quan, công tâm và đối xử bình đẳng với mọi người nộp thuế.  - HUMAN-TRU1]]</f>
        <v>6</v>
      </c>
      <c r="AN166">
        <f t="shared" si="67"/>
        <v>0.55555555555555558</v>
      </c>
      <c r="AO166">
        <f>step3_validation[[#This Row],[AI_TRU2]]</f>
        <v>8</v>
      </c>
      <c r="AP166">
        <f t="shared" si="68"/>
        <v>0.77777777777777779</v>
      </c>
      <c r="AQ166">
        <f>survey_responses[[#This Row],[Tôi thấy mức thuế tôi phải đóng theo phương án mới là công bằng (người thu nhập như tôi đóng mức này là hợp lý). - HUMAN-TRU2]]</f>
        <v>6</v>
      </c>
      <c r="AR166">
        <f t="shared" si="69"/>
        <v>0.55555555555555558</v>
      </c>
      <c r="AS166">
        <f>step3_validation[[#This Row],[AI_TRU3]]</f>
        <v>9</v>
      </c>
      <c r="AT166">
        <f t="shared" si="70"/>
        <v>0.88888888888888884</v>
      </c>
      <c r="AU166">
        <f>survey_responses[[#This Row],[Tôi tin tưởng số tiền thuế tôi đóng sẽ được Nhà nước sử dụng hiệu quả để cải thiện dịch vụ công (y tế, đường xá...). - HUMAN-TRU3]]</f>
        <v>5</v>
      </c>
      <c r="AV166">
        <f t="shared" si="71"/>
        <v>0.44444444444444442</v>
      </c>
      <c r="AW166">
        <f>step3_validation[[#This Row],[AI_TRU4]]</f>
        <v>7</v>
      </c>
      <c r="AX166">
        <f t="shared" si="72"/>
        <v>0.66666666666666663</v>
      </c>
      <c r="AY166">
        <f>survey_responses[[#This Row],[Tôi thấy Nhà nước đã giải thích rõ ràng, minh bạch về lý do và mục tiêu của việc sửa đổi thuế lần này. - HUMAN-TRU4]]</f>
        <v>7</v>
      </c>
      <c r="AZ166">
        <f t="shared" si="73"/>
        <v>0.66666666666666663</v>
      </c>
      <c r="BA166" s="32">
        <f t="shared" si="74"/>
        <v>0.80555555555555547</v>
      </c>
      <c r="BB166" s="32">
        <f t="shared" si="75"/>
        <v>0.55555555555555558</v>
      </c>
      <c r="BC166" s="7">
        <f t="shared" si="76"/>
        <v>0.71296296296296291</v>
      </c>
      <c r="BD166" s="7">
        <f t="shared" si="77"/>
        <v>0.51851851851851849</v>
      </c>
      <c r="BE166">
        <f>step3_validation[[#This Row],[AI_OUT1]]</f>
        <v>9</v>
      </c>
      <c r="BF166">
        <f t="shared" si="78"/>
        <v>0.88888888888888884</v>
      </c>
      <c r="BG166">
        <f>survey_responses[[#This Row],[Sau khi xem xét các quyền lợi và nghĩa vụ, bạn có ủng hộ và tuân thủ chính sách mới hiện nay? - HUMAN-OUT1]]</f>
        <v>8</v>
      </c>
      <c r="BH166">
        <f t="shared" si="79"/>
        <v>0.77777777777777779</v>
      </c>
      <c r="BI166" s="32">
        <f t="shared" si="80"/>
        <v>1</v>
      </c>
    </row>
    <row r="167" spans="1:61" x14ac:dyDescent="0.45">
      <c r="A167" s="30">
        <f>step3_validation[[#This Row],[Persona_ID]]</f>
        <v>166</v>
      </c>
      <c r="B167" s="31">
        <f>step3_validation[[#This Row],[Used_Seed]]</f>
        <v>166</v>
      </c>
      <c r="C167" t="str">
        <f>step3_validation[[#This Row],[Gender]]</f>
        <v>Nữ</v>
      </c>
      <c r="D167" t="str">
        <f>survey_responses[[#This Row],[Giới tính của bạn:]]</f>
        <v>Nữ</v>
      </c>
      <c r="E167" t="str">
        <f>step3_validation[[#This Row],[Age_Group]]</f>
        <v>30 - 39</v>
      </c>
      <c r="F167" t="str">
        <f>survey_responses[[#This Row],[Độ tuổi của bạn:]]</f>
        <v>30 - 39</v>
      </c>
      <c r="G167" t="str">
        <f>step3_validation[[#This Row],[Region]]</f>
        <v>Thành thị</v>
      </c>
      <c r="H167" t="str">
        <f>survey_responses[[#This Row],[Khu vực bạn đang sinh sống:]]</f>
        <v>Thành thị</v>
      </c>
      <c r="I167" t="str">
        <f>step3_validation[[#This Row],[Education]]</f>
        <v>Sau Đại học</v>
      </c>
      <c r="J167" t="str">
        <f>survey_responses[[#This Row],[Trình độ học vấn cao nhất:]]</f>
        <v>Sau Đại học</v>
      </c>
      <c r="K167" t="str">
        <f>step3_validation[[#This Row],[Employment]]</f>
        <v>Chính thức</v>
      </c>
      <c r="L167" t="str">
        <f>survey_responses[[#This Row],[Tình trạng việc làm chính:]]</f>
        <v>Khu vực chính thức (Có Hợp đồng lao động, đóng BHXH)</v>
      </c>
      <c r="M167">
        <f>step3_validation[[#This Row],[Income_Mil]]</f>
        <v>42.743619026359475</v>
      </c>
      <c r="N167" t="str">
        <f>survey_responses[[#This Row],[Thu nhập bình quân tháng theo Hợp đồng lao động của bạn là bao nhiêu? (Vui lòng điền tổng thu nhập trước khi khấu trừ các loại Bảo hiểm (BHXH, BHYT, BHTN) và Thuế TNCN)]]</f>
        <v>Từ 32 - 48 triệu VNĐ</v>
      </c>
      <c r="O167">
        <f>step3_validation[[#This Row],[Dependents]]</f>
        <v>1</v>
      </c>
      <c r="P167" t="str">
        <f>survey_responses[[#This Row],[Số người phụ thuộc (con nhỏ, cha mẹ già...) đủ điều kiện giảm trừ gia cảnh:]]</f>
        <v>1 người</v>
      </c>
      <c r="Q167">
        <f>step3_validation[[#This Row],[AI_ENF1]]</f>
        <v>6</v>
      </c>
      <c r="R167">
        <f t="shared" si="54"/>
        <v>0.55555555555555558</v>
      </c>
      <c r="S167">
        <f>survey_responses[[#This Row],[Tôi tin rằng với các quy định quản lý thuế hiện nay, hành vi gian lận hoặc trốn thuế sẽ dễ dàng bị phát hiện và xử lý nghiêm. - HUMAN-ENF1]]</f>
        <v>10</v>
      </c>
      <c r="T167">
        <f t="shared" si="55"/>
        <v>1</v>
      </c>
      <c r="U167">
        <f>step3_validation[[#This Row],[AI_ENF2]]</f>
        <v>7</v>
      </c>
      <c r="V167">
        <f t="shared" si="56"/>
        <v>0.66666666666666663</v>
      </c>
      <c r="W167">
        <f>survey_responses[[#This Row],[Tôi tin rằng Nhà nước, cơ quan thuế có đủ khả năng và công nghệ để phát hiện, xử lý nghiêm các hành vi trốn thuế. - HUMAN-ENF2]]</f>
        <v>8</v>
      </c>
      <c r="X167">
        <f t="shared" si="57"/>
        <v>0.77777777777777779</v>
      </c>
      <c r="Y167" s="32">
        <f t="shared" si="58"/>
        <v>0.61111111111111116</v>
      </c>
      <c r="Z167" s="32">
        <f t="shared" si="59"/>
        <v>0.88888888888888884</v>
      </c>
      <c r="AA167">
        <f>step3_validation[[#This Row],[AI_FAC1]]</f>
        <v>9</v>
      </c>
      <c r="AB167">
        <f t="shared" si="60"/>
        <v>0.88888888888888884</v>
      </c>
      <c r="AC167">
        <f>survey_responses[[#This Row],[Các thủ tục khai báo thuế VÀ/HOẶC quy trình làm việc với cơ quan thuế đơn giản, tiện lợi, nhanh chóng hơn so với trước đây. - HUMAN-FAC1]]</f>
        <v>10</v>
      </c>
      <c r="AD167">
        <f t="shared" si="61"/>
        <v>1</v>
      </c>
      <c r="AE167">
        <f>step3_validation[[#This Row],[AI_FAC2]]</f>
        <v>8</v>
      </c>
      <c r="AF167">
        <f t="shared" si="62"/>
        <v>0.77777777777777779</v>
      </c>
      <c r="AG167">
        <f>survey_responses[[#This Row],[So với trước đây, tôi thấy cách tính thuế và các bậc thuế trong phương án mới đơn giản, dễ hiểu và dễ thực hiện hơn. - HUMAN-FAC2]]</f>
        <v>10</v>
      </c>
      <c r="AH167">
        <f t="shared" si="63"/>
        <v>1</v>
      </c>
      <c r="AI167" s="32">
        <f t="shared" si="64"/>
        <v>0.83333333333333326</v>
      </c>
      <c r="AJ167" s="32">
        <f t="shared" si="65"/>
        <v>1</v>
      </c>
      <c r="AK167">
        <f>step3_validation[[#This Row],[AI_TRU1]]</f>
        <v>7</v>
      </c>
      <c r="AL167">
        <f t="shared" si="66"/>
        <v>0.66666666666666663</v>
      </c>
      <c r="AM167">
        <f>survey_responses[[#This Row],[Tôi tin rằng Nhà nước, cơ quan thuế sẽ thực thi chính sách mới một cách khách quan, công tâm và đối xử bình đẳng với mọi người nộp thuế.  - HUMAN-TRU1]]</f>
        <v>10</v>
      </c>
      <c r="AN167">
        <f t="shared" si="67"/>
        <v>1</v>
      </c>
      <c r="AO167">
        <f>step3_validation[[#This Row],[AI_TRU2]]</f>
        <v>9</v>
      </c>
      <c r="AP167">
        <f t="shared" si="68"/>
        <v>0.88888888888888884</v>
      </c>
      <c r="AQ167">
        <f>survey_responses[[#This Row],[Tôi thấy mức thuế tôi phải đóng theo phương án mới là công bằng (người thu nhập như tôi đóng mức này là hợp lý). - HUMAN-TRU2]]</f>
        <v>10</v>
      </c>
      <c r="AR167">
        <f t="shared" si="69"/>
        <v>1</v>
      </c>
      <c r="AS167">
        <f>step3_validation[[#This Row],[AI_TRU3]]</f>
        <v>8</v>
      </c>
      <c r="AT167">
        <f t="shared" si="70"/>
        <v>0.77777777777777779</v>
      </c>
      <c r="AU167">
        <f>survey_responses[[#This Row],[Tôi tin tưởng số tiền thuế tôi đóng sẽ được Nhà nước sử dụng hiệu quả để cải thiện dịch vụ công (y tế, đường xá...). - HUMAN-TRU3]]</f>
        <v>10</v>
      </c>
      <c r="AV167">
        <f t="shared" si="71"/>
        <v>1</v>
      </c>
      <c r="AW167">
        <f>step3_validation[[#This Row],[AI_TRU4]]</f>
        <v>7</v>
      </c>
      <c r="AX167">
        <f t="shared" si="72"/>
        <v>0.66666666666666663</v>
      </c>
      <c r="AY167">
        <f>survey_responses[[#This Row],[Tôi thấy Nhà nước đã giải thích rõ ràng, minh bạch về lý do và mục tiêu của việc sửa đổi thuế lần này. - HUMAN-TRU4]]</f>
        <v>10</v>
      </c>
      <c r="AZ167">
        <f t="shared" si="73"/>
        <v>1</v>
      </c>
      <c r="BA167" s="32">
        <f t="shared" si="74"/>
        <v>0.74999999999999989</v>
      </c>
      <c r="BB167" s="32">
        <f t="shared" si="75"/>
        <v>1</v>
      </c>
      <c r="BC167" s="7">
        <f t="shared" si="76"/>
        <v>0.7314814814814814</v>
      </c>
      <c r="BD167" s="7">
        <f t="shared" si="77"/>
        <v>0.96296296296296291</v>
      </c>
      <c r="BE167">
        <f>step3_validation[[#This Row],[AI_OUT1]]</f>
        <v>8</v>
      </c>
      <c r="BF167">
        <f t="shared" si="78"/>
        <v>0.77777777777777779</v>
      </c>
      <c r="BG167">
        <f>survey_responses[[#This Row],[Sau khi xem xét các quyền lợi và nghĩa vụ, bạn có ủng hộ và tuân thủ chính sách mới hiện nay? - HUMAN-OUT1]]</f>
        <v>8</v>
      </c>
      <c r="BH167">
        <f t="shared" si="79"/>
        <v>0.77777777777777779</v>
      </c>
      <c r="BI167" s="32">
        <f t="shared" si="80"/>
        <v>0</v>
      </c>
    </row>
    <row r="168" spans="1:61" x14ac:dyDescent="0.45">
      <c r="A168" s="30">
        <f>step3_validation[[#This Row],[Persona_ID]]</f>
        <v>167</v>
      </c>
      <c r="B168" s="31">
        <f>step3_validation[[#This Row],[Used_Seed]]</f>
        <v>167</v>
      </c>
      <c r="C168" t="str">
        <f>step3_validation[[#This Row],[Gender]]</f>
        <v>Nam</v>
      </c>
      <c r="D168" t="str">
        <f>survey_responses[[#This Row],[Giới tính của bạn:]]</f>
        <v>Nam</v>
      </c>
      <c r="E168" t="str">
        <f>step3_validation[[#This Row],[Age_Group]]</f>
        <v>30 - 39</v>
      </c>
      <c r="F168" t="str">
        <f>survey_responses[[#This Row],[Độ tuổi của bạn:]]</f>
        <v>30 - 39</v>
      </c>
      <c r="G168" t="str">
        <f>step3_validation[[#This Row],[Region]]</f>
        <v>Thành thị</v>
      </c>
      <c r="H168" t="str">
        <f>survey_responses[[#This Row],[Khu vực bạn đang sinh sống:]]</f>
        <v>Thành thị</v>
      </c>
      <c r="I168" t="str">
        <f>step3_validation[[#This Row],[Education]]</f>
        <v>Sau Đại học</v>
      </c>
      <c r="J168" t="str">
        <f>survey_responses[[#This Row],[Trình độ học vấn cao nhất:]]</f>
        <v>Sau Đại học</v>
      </c>
      <c r="K168" t="str">
        <f>step3_validation[[#This Row],[Employment]]</f>
        <v>Chính thức</v>
      </c>
      <c r="L168" t="str">
        <f>survey_responses[[#This Row],[Tình trạng việc làm chính:]]</f>
        <v>Khu vực chính thức (Có Hợp đồng lao động, đóng BHXH)</v>
      </c>
      <c r="M168">
        <f>step3_validation[[#This Row],[Income_Mil]]</f>
        <v>73.585283968546051</v>
      </c>
      <c r="N168" t="str">
        <f>survey_responses[[#This Row],[Thu nhập bình quân tháng theo Hợp đồng lao động của bạn là bao nhiêu? (Vui lòng điền tổng thu nhập trước khi khấu trừ các loại Bảo hiểm (BHXH, BHYT, BHTN) và Thuế TNCN)]]</f>
        <v>Từ 70 - 102 triệu VNĐ</v>
      </c>
      <c r="O168">
        <f>step3_validation[[#This Row],[Dependents]]</f>
        <v>0</v>
      </c>
      <c r="P168" t="str">
        <f>survey_responses[[#This Row],[Số người phụ thuộc (con nhỏ, cha mẹ già...) đủ điều kiện giảm trừ gia cảnh:]]</f>
        <v>0 người</v>
      </c>
      <c r="Q168">
        <f>step3_validation[[#This Row],[AI_ENF1]]</f>
        <v>6</v>
      </c>
      <c r="R168">
        <f t="shared" si="54"/>
        <v>0.55555555555555558</v>
      </c>
      <c r="S168">
        <f>survey_responses[[#This Row],[Tôi tin rằng với các quy định quản lý thuế hiện nay, hành vi gian lận hoặc trốn thuế sẽ dễ dàng bị phát hiện và xử lý nghiêm. - HUMAN-ENF1]]</f>
        <v>5</v>
      </c>
      <c r="T168">
        <f t="shared" si="55"/>
        <v>0.44444444444444442</v>
      </c>
      <c r="U168">
        <f>step3_validation[[#This Row],[AI_ENF2]]</f>
        <v>8</v>
      </c>
      <c r="V168">
        <f t="shared" si="56"/>
        <v>0.77777777777777779</v>
      </c>
      <c r="W168">
        <f>survey_responses[[#This Row],[Tôi tin rằng Nhà nước, cơ quan thuế có đủ khả năng và công nghệ để phát hiện, xử lý nghiêm các hành vi trốn thuế. - HUMAN-ENF2]]</f>
        <v>8</v>
      </c>
      <c r="X168">
        <f t="shared" si="57"/>
        <v>0.77777777777777779</v>
      </c>
      <c r="Y168" s="32">
        <f t="shared" si="58"/>
        <v>0.66666666666666674</v>
      </c>
      <c r="Z168" s="32">
        <f t="shared" si="59"/>
        <v>0.61111111111111116</v>
      </c>
      <c r="AA168">
        <f>step3_validation[[#This Row],[AI_FAC1]]</f>
        <v>9</v>
      </c>
      <c r="AB168">
        <f t="shared" si="60"/>
        <v>0.88888888888888884</v>
      </c>
      <c r="AC168">
        <f>survey_responses[[#This Row],[Các thủ tục khai báo thuế VÀ/HOẶC quy trình làm việc với cơ quan thuế đơn giản, tiện lợi, nhanh chóng hơn so với trước đây. - HUMAN-FAC1]]</f>
        <v>5</v>
      </c>
      <c r="AD168">
        <f t="shared" si="61"/>
        <v>0.44444444444444442</v>
      </c>
      <c r="AE168">
        <f>step3_validation[[#This Row],[AI_FAC2]]</f>
        <v>9</v>
      </c>
      <c r="AF168">
        <f t="shared" si="62"/>
        <v>0.88888888888888884</v>
      </c>
      <c r="AG168">
        <f>survey_responses[[#This Row],[So với trước đây, tôi thấy cách tính thuế và các bậc thuế trong phương án mới đơn giản, dễ hiểu và dễ thực hiện hơn. - HUMAN-FAC2]]</f>
        <v>8</v>
      </c>
      <c r="AH168">
        <f t="shared" si="63"/>
        <v>0.77777777777777779</v>
      </c>
      <c r="AI168" s="32">
        <f t="shared" si="64"/>
        <v>0.88888888888888884</v>
      </c>
      <c r="AJ168" s="32">
        <f t="shared" si="65"/>
        <v>0.61111111111111116</v>
      </c>
      <c r="AK168">
        <f>step3_validation[[#This Row],[AI_TRU1]]</f>
        <v>7</v>
      </c>
      <c r="AL168">
        <f t="shared" si="66"/>
        <v>0.66666666666666663</v>
      </c>
      <c r="AM168">
        <f>survey_responses[[#This Row],[Tôi tin rằng Nhà nước, cơ quan thuế sẽ thực thi chính sách mới một cách khách quan, công tâm và đối xử bình đẳng với mọi người nộp thuế.  - HUMAN-TRU1]]</f>
        <v>4</v>
      </c>
      <c r="AN168">
        <f t="shared" si="67"/>
        <v>0.33333333333333331</v>
      </c>
      <c r="AO168">
        <f>step3_validation[[#This Row],[AI_TRU2]]</f>
        <v>8</v>
      </c>
      <c r="AP168">
        <f t="shared" si="68"/>
        <v>0.77777777777777779</v>
      </c>
      <c r="AQ168">
        <f>survey_responses[[#This Row],[Tôi thấy mức thuế tôi phải đóng theo phương án mới là công bằng (người thu nhập như tôi đóng mức này là hợp lý). - HUMAN-TRU2]]</f>
        <v>5</v>
      </c>
      <c r="AR168">
        <f t="shared" si="69"/>
        <v>0.44444444444444442</v>
      </c>
      <c r="AS168">
        <f>step3_validation[[#This Row],[AI_TRU3]]</f>
        <v>7</v>
      </c>
      <c r="AT168">
        <f t="shared" si="70"/>
        <v>0.66666666666666663</v>
      </c>
      <c r="AU168">
        <f>survey_responses[[#This Row],[Tôi tin tưởng số tiền thuế tôi đóng sẽ được Nhà nước sử dụng hiệu quả để cải thiện dịch vụ công (y tế, đường xá...). - HUMAN-TRU3]]</f>
        <v>1</v>
      </c>
      <c r="AV168">
        <f t="shared" si="71"/>
        <v>0</v>
      </c>
      <c r="AW168">
        <f>step3_validation[[#This Row],[AI_TRU4]]</f>
        <v>6</v>
      </c>
      <c r="AX168">
        <f t="shared" si="72"/>
        <v>0.55555555555555558</v>
      </c>
      <c r="AY168">
        <f>survey_responses[[#This Row],[Tôi thấy Nhà nước đã giải thích rõ ràng, minh bạch về lý do và mục tiêu của việc sửa đổi thuế lần này. - HUMAN-TRU4]]</f>
        <v>5</v>
      </c>
      <c r="AZ168">
        <f t="shared" si="73"/>
        <v>0.44444444444444442</v>
      </c>
      <c r="BA168" s="32">
        <f t="shared" si="74"/>
        <v>0.66666666666666674</v>
      </c>
      <c r="BB168" s="32">
        <f t="shared" si="75"/>
        <v>0.30555555555555552</v>
      </c>
      <c r="BC168" s="7">
        <f t="shared" si="76"/>
        <v>0.74074074074074081</v>
      </c>
      <c r="BD168" s="7">
        <f t="shared" si="77"/>
        <v>0.5092592592592593</v>
      </c>
      <c r="BE168">
        <f>step3_validation[[#This Row],[AI_OUT1]]</f>
        <v>9</v>
      </c>
      <c r="BF168">
        <f t="shared" si="78"/>
        <v>0.88888888888888884</v>
      </c>
      <c r="BG168">
        <f>survey_responses[[#This Row],[Sau khi xem xét các quyền lợi và nghĩa vụ, bạn có ủng hộ và tuân thủ chính sách mới hiện nay? - HUMAN-OUT1]]</f>
        <v>5</v>
      </c>
      <c r="BH168">
        <f t="shared" si="79"/>
        <v>0.44444444444444442</v>
      </c>
      <c r="BI168" s="32">
        <f t="shared" si="80"/>
        <v>4</v>
      </c>
    </row>
    <row r="169" spans="1:61" x14ac:dyDescent="0.45">
      <c r="A169" s="30">
        <f>step3_validation[[#This Row],[Persona_ID]]</f>
        <v>168</v>
      </c>
      <c r="B169" s="31">
        <f>step3_validation[[#This Row],[Used_Seed]]</f>
        <v>168</v>
      </c>
      <c r="C169" t="str">
        <f>step3_validation[[#This Row],[Gender]]</f>
        <v>Nữ</v>
      </c>
      <c r="D169" t="str">
        <f>survey_responses[[#This Row],[Giới tính của bạn:]]</f>
        <v>Nữ</v>
      </c>
      <c r="E169" t="str">
        <f>step3_validation[[#This Row],[Age_Group]]</f>
        <v>25 - 29</v>
      </c>
      <c r="F169" t="str">
        <f>survey_responses[[#This Row],[Độ tuổi của bạn:]]</f>
        <v>25 - 29</v>
      </c>
      <c r="G169" t="str">
        <f>step3_validation[[#This Row],[Region]]</f>
        <v>Thành thị</v>
      </c>
      <c r="H169" t="str">
        <f>survey_responses[[#This Row],[Khu vực bạn đang sinh sống:]]</f>
        <v>Thành thị</v>
      </c>
      <c r="I169" t="str">
        <f>step3_validation[[#This Row],[Education]]</f>
        <v>Đại học</v>
      </c>
      <c r="J169" t="str">
        <f>survey_responses[[#This Row],[Trình độ học vấn cao nhất:]]</f>
        <v>Đại học</v>
      </c>
      <c r="K169" t="str">
        <f>step3_validation[[#This Row],[Employment]]</f>
        <v>Chính thức</v>
      </c>
      <c r="L169" t="str">
        <f>survey_responses[[#This Row],[Tình trạng việc làm chính:]]</f>
        <v>Khu vực chính thức (Có Hợp đồng lao động, đóng BHXH)</v>
      </c>
      <c r="M169">
        <f>step3_validation[[#This Row],[Income_Mil]]</f>
        <v>19.080898315075295</v>
      </c>
      <c r="N169" t="str">
        <f>survey_responses[[#This Row],[Thu nhập bình quân tháng theo Hợp đồng lao động của bạn là bao nhiêu? (Vui lòng điền tổng thu nhập trước khi khấu trừ các loại Bảo hiểm (BHXH, BHYT, BHTN) và Thuế TNCN)]]</f>
        <v>Từ 18 - 23 triệu VNĐ</v>
      </c>
      <c r="O169">
        <f>step3_validation[[#This Row],[Dependents]]</f>
        <v>0</v>
      </c>
      <c r="P169" t="str">
        <f>survey_responses[[#This Row],[Số người phụ thuộc (con nhỏ, cha mẹ già...) đủ điều kiện giảm trừ gia cảnh:]]</f>
        <v>0 người</v>
      </c>
      <c r="Q169">
        <f>step3_validation[[#This Row],[AI_ENF1]]</f>
        <v>6</v>
      </c>
      <c r="R169">
        <f t="shared" si="54"/>
        <v>0.55555555555555558</v>
      </c>
      <c r="S169">
        <f>survey_responses[[#This Row],[Tôi tin rằng với các quy định quản lý thuế hiện nay, hành vi gian lận hoặc trốn thuế sẽ dễ dàng bị phát hiện và xử lý nghiêm. - HUMAN-ENF1]]</f>
        <v>7</v>
      </c>
      <c r="T169">
        <f t="shared" si="55"/>
        <v>0.66666666666666663</v>
      </c>
      <c r="U169">
        <f>step3_validation[[#This Row],[AI_ENF2]]</f>
        <v>7</v>
      </c>
      <c r="V169">
        <f t="shared" si="56"/>
        <v>0.66666666666666663</v>
      </c>
      <c r="W169">
        <f>survey_responses[[#This Row],[Tôi tin rằng Nhà nước, cơ quan thuế có đủ khả năng và công nghệ để phát hiện, xử lý nghiêm các hành vi trốn thuế. - HUMAN-ENF2]]</f>
        <v>7</v>
      </c>
      <c r="X169">
        <f t="shared" si="57"/>
        <v>0.66666666666666663</v>
      </c>
      <c r="Y169" s="32">
        <f t="shared" si="58"/>
        <v>0.61111111111111116</v>
      </c>
      <c r="Z169" s="32">
        <f t="shared" si="59"/>
        <v>0.66666666666666663</v>
      </c>
      <c r="AA169">
        <f>step3_validation[[#This Row],[AI_FAC1]]</f>
        <v>9</v>
      </c>
      <c r="AB169">
        <f t="shared" si="60"/>
        <v>0.88888888888888884</v>
      </c>
      <c r="AC169">
        <f>survey_responses[[#This Row],[Các thủ tục khai báo thuế VÀ/HOẶC quy trình làm việc với cơ quan thuế đơn giản, tiện lợi, nhanh chóng hơn so với trước đây. - HUMAN-FAC1]]</f>
        <v>8</v>
      </c>
      <c r="AD169">
        <f t="shared" si="61"/>
        <v>0.77777777777777779</v>
      </c>
      <c r="AE169">
        <f>step3_validation[[#This Row],[AI_FAC2]]</f>
        <v>10</v>
      </c>
      <c r="AF169">
        <f t="shared" si="62"/>
        <v>1</v>
      </c>
      <c r="AG169">
        <f>survey_responses[[#This Row],[So với trước đây, tôi thấy cách tính thuế và các bậc thuế trong phương án mới đơn giản, dễ hiểu và dễ thực hiện hơn. - HUMAN-FAC2]]</f>
        <v>8</v>
      </c>
      <c r="AH169">
        <f t="shared" si="63"/>
        <v>0.77777777777777779</v>
      </c>
      <c r="AI169" s="32">
        <f t="shared" si="64"/>
        <v>0.94444444444444442</v>
      </c>
      <c r="AJ169" s="32">
        <f t="shared" si="65"/>
        <v>0.77777777777777779</v>
      </c>
      <c r="AK169">
        <f>step3_validation[[#This Row],[AI_TRU1]]</f>
        <v>7</v>
      </c>
      <c r="AL169">
        <f t="shared" si="66"/>
        <v>0.66666666666666663</v>
      </c>
      <c r="AM169">
        <f>survey_responses[[#This Row],[Tôi tin rằng Nhà nước, cơ quan thuế sẽ thực thi chính sách mới một cách khách quan, công tâm và đối xử bình đẳng với mọi người nộp thuế.  - HUMAN-TRU1]]</f>
        <v>7</v>
      </c>
      <c r="AN169">
        <f t="shared" si="67"/>
        <v>0.66666666666666663</v>
      </c>
      <c r="AO169">
        <f>step3_validation[[#This Row],[AI_TRU2]]</f>
        <v>9</v>
      </c>
      <c r="AP169">
        <f t="shared" si="68"/>
        <v>0.88888888888888884</v>
      </c>
      <c r="AQ169">
        <f>survey_responses[[#This Row],[Tôi thấy mức thuế tôi phải đóng theo phương án mới là công bằng (người thu nhập như tôi đóng mức này là hợp lý). - HUMAN-TRU2]]</f>
        <v>8</v>
      </c>
      <c r="AR169">
        <f t="shared" si="69"/>
        <v>0.77777777777777779</v>
      </c>
      <c r="AS169">
        <f>step3_validation[[#This Row],[AI_TRU3]]</f>
        <v>8</v>
      </c>
      <c r="AT169">
        <f t="shared" si="70"/>
        <v>0.77777777777777779</v>
      </c>
      <c r="AU169">
        <f>survey_responses[[#This Row],[Tôi tin tưởng số tiền thuế tôi đóng sẽ được Nhà nước sử dụng hiệu quả để cải thiện dịch vụ công (y tế, đường xá...). - HUMAN-TRU3]]</f>
        <v>8</v>
      </c>
      <c r="AV169">
        <f t="shared" si="71"/>
        <v>0.77777777777777779</v>
      </c>
      <c r="AW169">
        <f>step3_validation[[#This Row],[AI_TRU4]]</f>
        <v>7</v>
      </c>
      <c r="AX169">
        <f t="shared" si="72"/>
        <v>0.66666666666666663</v>
      </c>
      <c r="AY169">
        <f>survey_responses[[#This Row],[Tôi thấy Nhà nước đã giải thích rõ ràng, minh bạch về lý do và mục tiêu của việc sửa đổi thuế lần này. - HUMAN-TRU4]]</f>
        <v>8</v>
      </c>
      <c r="AZ169">
        <f t="shared" si="73"/>
        <v>0.77777777777777779</v>
      </c>
      <c r="BA169" s="32">
        <f t="shared" si="74"/>
        <v>0.74999999999999989</v>
      </c>
      <c r="BB169" s="32">
        <f t="shared" si="75"/>
        <v>0.75</v>
      </c>
      <c r="BC169" s="7">
        <f t="shared" si="76"/>
        <v>0.76851851851851849</v>
      </c>
      <c r="BD169" s="7">
        <f t="shared" si="77"/>
        <v>0.73148148148148151</v>
      </c>
      <c r="BE169">
        <f>step3_validation[[#This Row],[AI_OUT1]]</f>
        <v>9</v>
      </c>
      <c r="BF169">
        <f t="shared" si="78"/>
        <v>0.88888888888888884</v>
      </c>
      <c r="BG169">
        <f>survey_responses[[#This Row],[Sau khi xem xét các quyền lợi và nghĩa vụ, bạn có ủng hộ và tuân thủ chính sách mới hiện nay? - HUMAN-OUT1]]</f>
        <v>9</v>
      </c>
      <c r="BH169">
        <f t="shared" si="79"/>
        <v>0.88888888888888884</v>
      </c>
      <c r="BI169" s="32">
        <f t="shared" si="80"/>
        <v>0</v>
      </c>
    </row>
    <row r="170" spans="1:61" x14ac:dyDescent="0.45">
      <c r="A170" s="30">
        <f>step3_validation[[#This Row],[Persona_ID]]</f>
        <v>169</v>
      </c>
      <c r="B170" s="31">
        <f>step3_validation[[#This Row],[Used_Seed]]</f>
        <v>169</v>
      </c>
      <c r="C170" t="str">
        <f>step3_validation[[#This Row],[Gender]]</f>
        <v>Nam</v>
      </c>
      <c r="D170" t="str">
        <f>survey_responses[[#This Row],[Giới tính của bạn:]]</f>
        <v>Nam</v>
      </c>
      <c r="E170" t="str">
        <f>step3_validation[[#This Row],[Age_Group]]</f>
        <v>40 - 49</v>
      </c>
      <c r="F170" t="str">
        <f>survey_responses[[#This Row],[Độ tuổi của bạn:]]</f>
        <v>40 - 49</v>
      </c>
      <c r="G170" t="str">
        <f>step3_validation[[#This Row],[Region]]</f>
        <v>Thành thị</v>
      </c>
      <c r="H170" t="str">
        <f>survey_responses[[#This Row],[Khu vực bạn đang sinh sống:]]</f>
        <v>Thành thị</v>
      </c>
      <c r="I170" t="str">
        <f>step3_validation[[#This Row],[Education]]</f>
        <v>Đại học</v>
      </c>
      <c r="J170" t="str">
        <f>survey_responses[[#This Row],[Trình độ học vấn cao nhất:]]</f>
        <v>Đại học</v>
      </c>
      <c r="K170" t="str">
        <f>step3_validation[[#This Row],[Employment]]</f>
        <v>Chính thức</v>
      </c>
      <c r="L170" t="str">
        <f>survey_responses[[#This Row],[Tình trạng việc làm chính:]]</f>
        <v>Khu vực chính thức (Có Hợp đồng lao động, đóng BHXH)</v>
      </c>
      <c r="M170">
        <f>step3_validation[[#This Row],[Income_Mil]]</f>
        <v>39.147503326078819</v>
      </c>
      <c r="N170" t="str">
        <f>survey_responses[[#This Row],[Thu nhập bình quân tháng theo Hợp đồng lao động của bạn là bao nhiêu? (Vui lòng điền tổng thu nhập trước khi khấu trừ các loại Bảo hiểm (BHXH, BHYT, BHTN) và Thuế TNCN)]]</f>
        <v>Từ 32 - 48 triệu VNĐ</v>
      </c>
      <c r="O170">
        <f>step3_validation[[#This Row],[Dependents]]</f>
        <v>0</v>
      </c>
      <c r="P170" t="str">
        <f>survey_responses[[#This Row],[Số người phụ thuộc (con nhỏ, cha mẹ già...) đủ điều kiện giảm trừ gia cảnh:]]</f>
        <v>0 người</v>
      </c>
      <c r="Q170">
        <f>step3_validation[[#This Row],[AI_ENF1]]</f>
        <v>7</v>
      </c>
      <c r="R170">
        <f t="shared" si="54"/>
        <v>0.66666666666666663</v>
      </c>
      <c r="S170">
        <f>survey_responses[[#This Row],[Tôi tin rằng với các quy định quản lý thuế hiện nay, hành vi gian lận hoặc trốn thuế sẽ dễ dàng bị phát hiện và xử lý nghiêm. - HUMAN-ENF1]]</f>
        <v>8</v>
      </c>
      <c r="T170">
        <f t="shared" si="55"/>
        <v>0.77777777777777779</v>
      </c>
      <c r="U170">
        <f>step3_validation[[#This Row],[AI_ENF2]]</f>
        <v>8</v>
      </c>
      <c r="V170">
        <f t="shared" si="56"/>
        <v>0.77777777777777779</v>
      </c>
      <c r="W170">
        <f>survey_responses[[#This Row],[Tôi tin rằng Nhà nước, cơ quan thuế có đủ khả năng và công nghệ để phát hiện, xử lý nghiêm các hành vi trốn thuế. - HUMAN-ENF2]]</f>
        <v>8</v>
      </c>
      <c r="X170">
        <f t="shared" si="57"/>
        <v>0.77777777777777779</v>
      </c>
      <c r="Y170" s="32">
        <f t="shared" si="58"/>
        <v>0.72222222222222221</v>
      </c>
      <c r="Z170" s="32">
        <f t="shared" si="59"/>
        <v>0.77777777777777779</v>
      </c>
      <c r="AA170">
        <f>step3_validation[[#This Row],[AI_FAC1]]</f>
        <v>6</v>
      </c>
      <c r="AB170">
        <f t="shared" si="60"/>
        <v>0.55555555555555558</v>
      </c>
      <c r="AC170">
        <f>survey_responses[[#This Row],[Các thủ tục khai báo thuế VÀ/HOẶC quy trình làm việc với cơ quan thuế đơn giản, tiện lợi, nhanh chóng hơn so với trước đây. - HUMAN-FAC1]]</f>
        <v>7</v>
      </c>
      <c r="AD170">
        <f t="shared" si="61"/>
        <v>0.66666666666666663</v>
      </c>
      <c r="AE170">
        <f>step3_validation[[#This Row],[AI_FAC2]]</f>
        <v>8</v>
      </c>
      <c r="AF170">
        <f t="shared" si="62"/>
        <v>0.77777777777777779</v>
      </c>
      <c r="AG170">
        <f>survey_responses[[#This Row],[So với trước đây, tôi thấy cách tính thuế và các bậc thuế trong phương án mới đơn giản, dễ hiểu và dễ thực hiện hơn. - HUMAN-FAC2]]</f>
        <v>8</v>
      </c>
      <c r="AH170">
        <f t="shared" si="63"/>
        <v>0.77777777777777779</v>
      </c>
      <c r="AI170" s="32">
        <f t="shared" si="64"/>
        <v>0.66666666666666674</v>
      </c>
      <c r="AJ170" s="32">
        <f t="shared" si="65"/>
        <v>0.72222222222222221</v>
      </c>
      <c r="AK170">
        <f>step3_validation[[#This Row],[AI_TRU1]]</f>
        <v>7</v>
      </c>
      <c r="AL170">
        <f t="shared" si="66"/>
        <v>0.66666666666666663</v>
      </c>
      <c r="AM170">
        <f>survey_responses[[#This Row],[Tôi tin rằng Nhà nước, cơ quan thuế sẽ thực thi chính sách mới một cách khách quan, công tâm và đối xử bình đẳng với mọi người nộp thuế.  - HUMAN-TRU1]]</f>
        <v>7</v>
      </c>
      <c r="AN170">
        <f t="shared" si="67"/>
        <v>0.66666666666666663</v>
      </c>
      <c r="AO170">
        <f>step3_validation[[#This Row],[AI_TRU2]]</f>
        <v>9</v>
      </c>
      <c r="AP170">
        <f t="shared" si="68"/>
        <v>0.88888888888888884</v>
      </c>
      <c r="AQ170">
        <f>survey_responses[[#This Row],[Tôi thấy mức thuế tôi phải đóng theo phương án mới là công bằng (người thu nhập như tôi đóng mức này là hợp lý). - HUMAN-TRU2]]</f>
        <v>7</v>
      </c>
      <c r="AR170">
        <f t="shared" si="69"/>
        <v>0.66666666666666663</v>
      </c>
      <c r="AS170">
        <f>step3_validation[[#This Row],[AI_TRU3]]</f>
        <v>8</v>
      </c>
      <c r="AT170">
        <f t="shared" si="70"/>
        <v>0.77777777777777779</v>
      </c>
      <c r="AU170">
        <f>survey_responses[[#This Row],[Tôi tin tưởng số tiền thuế tôi đóng sẽ được Nhà nước sử dụng hiệu quả để cải thiện dịch vụ công (y tế, đường xá...). - HUMAN-TRU3]]</f>
        <v>7</v>
      </c>
      <c r="AV170">
        <f t="shared" si="71"/>
        <v>0.66666666666666663</v>
      </c>
      <c r="AW170">
        <f>step3_validation[[#This Row],[AI_TRU4]]</f>
        <v>7</v>
      </c>
      <c r="AX170">
        <f t="shared" si="72"/>
        <v>0.66666666666666663</v>
      </c>
      <c r="AY170">
        <f>survey_responses[[#This Row],[Tôi thấy Nhà nước đã giải thích rõ ràng, minh bạch về lý do và mục tiêu của việc sửa đổi thuế lần này. - HUMAN-TRU4]]</f>
        <v>8</v>
      </c>
      <c r="AZ170">
        <f t="shared" si="73"/>
        <v>0.77777777777777779</v>
      </c>
      <c r="BA170" s="32">
        <f t="shared" si="74"/>
        <v>0.74999999999999989</v>
      </c>
      <c r="BB170" s="32">
        <f t="shared" si="75"/>
        <v>0.69444444444444442</v>
      </c>
      <c r="BC170" s="7">
        <f t="shared" si="76"/>
        <v>0.71296296296296291</v>
      </c>
      <c r="BD170" s="7">
        <f t="shared" si="77"/>
        <v>0.73148148148148151</v>
      </c>
      <c r="BE170">
        <f>step3_validation[[#This Row],[AI_OUT1]]</f>
        <v>9</v>
      </c>
      <c r="BF170">
        <f t="shared" si="78"/>
        <v>0.88888888888888884</v>
      </c>
      <c r="BG170">
        <f>survey_responses[[#This Row],[Sau khi xem xét các quyền lợi và nghĩa vụ, bạn có ủng hộ và tuân thủ chính sách mới hiện nay? - HUMAN-OUT1]]</f>
        <v>8</v>
      </c>
      <c r="BH170">
        <f t="shared" si="79"/>
        <v>0.77777777777777779</v>
      </c>
      <c r="BI170" s="32">
        <f t="shared" si="80"/>
        <v>1</v>
      </c>
    </row>
    <row r="171" spans="1:61" x14ac:dyDescent="0.45">
      <c r="A171" s="30">
        <f>step3_validation[[#This Row],[Persona_ID]]</f>
        <v>170</v>
      </c>
      <c r="B171" s="31">
        <f>step3_validation[[#This Row],[Used_Seed]]</f>
        <v>170</v>
      </c>
      <c r="C171" t="str">
        <f>step3_validation[[#This Row],[Gender]]</f>
        <v>Nam</v>
      </c>
      <c r="D171" t="str">
        <f>survey_responses[[#This Row],[Giới tính của bạn:]]</f>
        <v>Nam</v>
      </c>
      <c r="E171" t="str">
        <f>step3_validation[[#This Row],[Age_Group]]</f>
        <v>25 - 29</v>
      </c>
      <c r="F171" t="str">
        <f>survey_responses[[#This Row],[Độ tuổi của bạn:]]</f>
        <v>25 - 29</v>
      </c>
      <c r="G171" t="str">
        <f>step3_validation[[#This Row],[Region]]</f>
        <v>Thành thị</v>
      </c>
      <c r="H171" t="str">
        <f>survey_responses[[#This Row],[Khu vực bạn đang sinh sống:]]</f>
        <v>Thành thị</v>
      </c>
      <c r="I171" t="str">
        <f>step3_validation[[#This Row],[Education]]</f>
        <v>Đại học</v>
      </c>
      <c r="J171" t="str">
        <f>survey_responses[[#This Row],[Trình độ học vấn cao nhất:]]</f>
        <v>Đại học</v>
      </c>
      <c r="K171" t="str">
        <f>step3_validation[[#This Row],[Employment]]</f>
        <v>Phi chính thức</v>
      </c>
      <c r="L171" t="str">
        <f>survey_responses[[#This Row],[Tình trạng việc làm chính:]]</f>
        <v>Khu vực phi chính thức (Lao động tự do, không có HĐLĐ)</v>
      </c>
      <c r="M171">
        <f>step3_validation[[#This Row],[Income_Mil]]</f>
        <v>15.937092510514027</v>
      </c>
      <c r="N171" t="str">
        <f>survey_responses[[#This Row],[Thu nhập bình quân tháng theo Hợp đồng lao động của bạn là bao nhiêu? (Vui lòng điền tổng thu nhập trước khi khấu trừ các loại Bảo hiểm (BHXH, BHYT, BHTN) và Thuế TNCN)]]</f>
        <v>Từ 12 - 18 triệu VNĐ</v>
      </c>
      <c r="O171">
        <f>step3_validation[[#This Row],[Dependents]]</f>
        <v>0</v>
      </c>
      <c r="P171" t="str">
        <f>survey_responses[[#This Row],[Số người phụ thuộc (con nhỏ, cha mẹ già...) đủ điều kiện giảm trừ gia cảnh:]]</f>
        <v>0 người</v>
      </c>
      <c r="Q171">
        <f>step3_validation[[#This Row],[AI_ENF1]]</f>
        <v>7</v>
      </c>
      <c r="R171">
        <f t="shared" si="54"/>
        <v>0.66666666666666663</v>
      </c>
      <c r="S171">
        <f>survey_responses[[#This Row],[Tôi tin rằng với các quy định quản lý thuế hiện nay, hành vi gian lận hoặc trốn thuế sẽ dễ dàng bị phát hiện và xử lý nghiêm. - HUMAN-ENF1]]</f>
        <v>5</v>
      </c>
      <c r="T171">
        <f t="shared" si="55"/>
        <v>0.44444444444444442</v>
      </c>
      <c r="U171">
        <f>step3_validation[[#This Row],[AI_ENF2]]</f>
        <v>6</v>
      </c>
      <c r="V171">
        <f t="shared" si="56"/>
        <v>0.55555555555555558</v>
      </c>
      <c r="W171">
        <f>survey_responses[[#This Row],[Tôi tin rằng Nhà nước, cơ quan thuế có đủ khả năng và công nghệ để phát hiện, xử lý nghiêm các hành vi trốn thuế. - HUMAN-ENF2]]</f>
        <v>8</v>
      </c>
      <c r="X171">
        <f t="shared" si="57"/>
        <v>0.77777777777777779</v>
      </c>
      <c r="Y171" s="32">
        <f t="shared" si="58"/>
        <v>0.61111111111111116</v>
      </c>
      <c r="Z171" s="32">
        <f t="shared" si="59"/>
        <v>0.61111111111111116</v>
      </c>
      <c r="AA171">
        <f>step3_validation[[#This Row],[AI_FAC1]]</f>
        <v>8</v>
      </c>
      <c r="AB171">
        <f t="shared" si="60"/>
        <v>0.77777777777777779</v>
      </c>
      <c r="AC171">
        <f>survey_responses[[#This Row],[Các thủ tục khai báo thuế VÀ/HOẶC quy trình làm việc với cơ quan thuế đơn giản, tiện lợi, nhanh chóng hơn so với trước đây. - HUMAN-FAC1]]</f>
        <v>7</v>
      </c>
      <c r="AD171">
        <f t="shared" si="61"/>
        <v>0.66666666666666663</v>
      </c>
      <c r="AE171">
        <f>step3_validation[[#This Row],[AI_FAC2]]</f>
        <v>9</v>
      </c>
      <c r="AF171">
        <f t="shared" si="62"/>
        <v>0.88888888888888884</v>
      </c>
      <c r="AG171">
        <f>survey_responses[[#This Row],[So với trước đây, tôi thấy cách tính thuế và các bậc thuế trong phương án mới đơn giản, dễ hiểu và dễ thực hiện hơn. - HUMAN-FAC2]]</f>
        <v>8</v>
      </c>
      <c r="AH171">
        <f t="shared" si="63"/>
        <v>0.77777777777777779</v>
      </c>
      <c r="AI171" s="32">
        <f t="shared" si="64"/>
        <v>0.83333333333333326</v>
      </c>
      <c r="AJ171" s="32">
        <f t="shared" si="65"/>
        <v>0.72222222222222221</v>
      </c>
      <c r="AK171">
        <f>step3_validation[[#This Row],[AI_TRU1]]</f>
        <v>6</v>
      </c>
      <c r="AL171">
        <f t="shared" si="66"/>
        <v>0.55555555555555558</v>
      </c>
      <c r="AM171">
        <f>survey_responses[[#This Row],[Tôi tin rằng Nhà nước, cơ quan thuế sẽ thực thi chính sách mới một cách khách quan, công tâm và đối xử bình đẳng với mọi người nộp thuế.  - HUMAN-TRU1]]</f>
        <v>1</v>
      </c>
      <c r="AN171">
        <f t="shared" si="67"/>
        <v>0</v>
      </c>
      <c r="AO171">
        <f>step3_validation[[#This Row],[AI_TRU2]]</f>
        <v>9</v>
      </c>
      <c r="AP171">
        <f t="shared" si="68"/>
        <v>0.88888888888888884</v>
      </c>
      <c r="AQ171">
        <f>survey_responses[[#This Row],[Tôi thấy mức thuế tôi phải đóng theo phương án mới là công bằng (người thu nhập như tôi đóng mức này là hợp lý). - HUMAN-TRU2]]</f>
        <v>2</v>
      </c>
      <c r="AR171">
        <f t="shared" si="69"/>
        <v>0.1111111111111111</v>
      </c>
      <c r="AS171">
        <f>step3_validation[[#This Row],[AI_TRU3]]</f>
        <v>5</v>
      </c>
      <c r="AT171">
        <f t="shared" si="70"/>
        <v>0.44444444444444442</v>
      </c>
      <c r="AU171">
        <f>survey_responses[[#This Row],[Tôi tin tưởng số tiền thuế tôi đóng sẽ được Nhà nước sử dụng hiệu quả để cải thiện dịch vụ công (y tế, đường xá...). - HUMAN-TRU3]]</f>
        <v>3</v>
      </c>
      <c r="AV171">
        <f t="shared" si="71"/>
        <v>0.22222222222222221</v>
      </c>
      <c r="AW171">
        <f>step3_validation[[#This Row],[AI_TRU4]]</f>
        <v>7</v>
      </c>
      <c r="AX171">
        <f t="shared" si="72"/>
        <v>0.66666666666666663</v>
      </c>
      <c r="AY171">
        <f>survey_responses[[#This Row],[Tôi thấy Nhà nước đã giải thích rõ ràng, minh bạch về lý do và mục tiêu của việc sửa đổi thuế lần này. - HUMAN-TRU4]]</f>
        <v>3</v>
      </c>
      <c r="AZ171">
        <f t="shared" si="73"/>
        <v>0.22222222222222221</v>
      </c>
      <c r="BA171" s="32">
        <f t="shared" si="74"/>
        <v>0.63888888888888884</v>
      </c>
      <c r="BB171" s="32">
        <f t="shared" si="75"/>
        <v>0.1388888888888889</v>
      </c>
      <c r="BC171" s="7">
        <f t="shared" si="76"/>
        <v>0.69444444444444431</v>
      </c>
      <c r="BD171" s="7">
        <f t="shared" si="77"/>
        <v>0.49074074074074076</v>
      </c>
      <c r="BE171">
        <f>step3_validation[[#This Row],[AI_OUT1]]</f>
        <v>8</v>
      </c>
      <c r="BF171">
        <f t="shared" si="78"/>
        <v>0.77777777777777779</v>
      </c>
      <c r="BG171">
        <f>survey_responses[[#This Row],[Sau khi xem xét các quyền lợi và nghĩa vụ, bạn có ủng hộ và tuân thủ chính sách mới hiện nay? - HUMAN-OUT1]]</f>
        <v>7</v>
      </c>
      <c r="BH171">
        <f t="shared" si="79"/>
        <v>0.66666666666666663</v>
      </c>
      <c r="BI171" s="32">
        <f t="shared" si="80"/>
        <v>1</v>
      </c>
    </row>
    <row r="172" spans="1:61" x14ac:dyDescent="0.45">
      <c r="A172" s="30">
        <f>step3_validation[[#This Row],[Persona_ID]]</f>
        <v>171</v>
      </c>
      <c r="B172" s="31">
        <f>step3_validation[[#This Row],[Used_Seed]]</f>
        <v>171</v>
      </c>
      <c r="C172" t="str">
        <f>step3_validation[[#This Row],[Gender]]</f>
        <v>Nam</v>
      </c>
      <c r="D172" t="str">
        <f>survey_responses[[#This Row],[Giới tính của bạn:]]</f>
        <v>Nam</v>
      </c>
      <c r="E172" t="str">
        <f>step3_validation[[#This Row],[Age_Group]]</f>
        <v>18 - 24</v>
      </c>
      <c r="F172" t="str">
        <f>survey_responses[[#This Row],[Độ tuổi của bạn:]]</f>
        <v>18 - 24</v>
      </c>
      <c r="G172" t="str">
        <f>step3_validation[[#This Row],[Region]]</f>
        <v>Thành thị</v>
      </c>
      <c r="H172" t="str">
        <f>survey_responses[[#This Row],[Khu vực bạn đang sinh sống:]]</f>
        <v>Thành thị</v>
      </c>
      <c r="I172" t="str">
        <f>step3_validation[[#This Row],[Education]]</f>
        <v>Đại học</v>
      </c>
      <c r="J172" t="str">
        <f>survey_responses[[#This Row],[Trình độ học vấn cao nhất:]]</f>
        <v>Đại học</v>
      </c>
      <c r="K172" t="str">
        <f>step3_validation[[#This Row],[Employment]]</f>
        <v>Chính thức</v>
      </c>
      <c r="L172" t="str">
        <f>survey_responses[[#This Row],[Tình trạng việc làm chính:]]</f>
        <v>Khu vực chính thức (Có Hợp đồng lao động, đóng BHXH)</v>
      </c>
      <c r="M172">
        <f>step3_validation[[#This Row],[Income_Mil]]</f>
        <v>12</v>
      </c>
      <c r="N172" t="str">
        <f>survey_responses[[#This Row],[Thu nhập bình quân tháng theo Hợp đồng lao động của bạn là bao nhiêu? (Vui lòng điền tổng thu nhập trước khi khấu trừ các loại Bảo hiểm (BHXH, BHYT, BHTN) và Thuế TNCN)]]</f>
        <v>Dưới 12 triệu VNĐ</v>
      </c>
      <c r="O172">
        <f>step3_validation[[#This Row],[Dependents]]</f>
        <v>0</v>
      </c>
      <c r="P172" t="str">
        <f>survey_responses[[#This Row],[Số người phụ thuộc (con nhỏ, cha mẹ già...) đủ điều kiện giảm trừ gia cảnh:]]</f>
        <v>0 người</v>
      </c>
      <c r="Q172">
        <f>step3_validation[[#This Row],[AI_ENF1]]</f>
        <v>7</v>
      </c>
      <c r="R172">
        <f t="shared" si="54"/>
        <v>0.66666666666666663</v>
      </c>
      <c r="S172">
        <f>survey_responses[[#This Row],[Tôi tin rằng với các quy định quản lý thuế hiện nay, hành vi gian lận hoặc trốn thuế sẽ dễ dàng bị phát hiện và xử lý nghiêm. - HUMAN-ENF1]]</f>
        <v>6</v>
      </c>
      <c r="T172">
        <f t="shared" si="55"/>
        <v>0.55555555555555558</v>
      </c>
      <c r="U172">
        <f>step3_validation[[#This Row],[AI_ENF2]]</f>
        <v>8</v>
      </c>
      <c r="V172">
        <f t="shared" si="56"/>
        <v>0.77777777777777779</v>
      </c>
      <c r="W172">
        <f>survey_responses[[#This Row],[Tôi tin rằng Nhà nước, cơ quan thuế có đủ khả năng và công nghệ để phát hiện, xử lý nghiêm các hành vi trốn thuế. - HUMAN-ENF2]]</f>
        <v>7</v>
      </c>
      <c r="X172">
        <f t="shared" si="57"/>
        <v>0.66666666666666663</v>
      </c>
      <c r="Y172" s="32">
        <f t="shared" si="58"/>
        <v>0.72222222222222221</v>
      </c>
      <c r="Z172" s="32">
        <f t="shared" si="59"/>
        <v>0.61111111111111116</v>
      </c>
      <c r="AA172">
        <f>step3_validation[[#This Row],[AI_FAC1]]</f>
        <v>9</v>
      </c>
      <c r="AB172">
        <f t="shared" si="60"/>
        <v>0.88888888888888884</v>
      </c>
      <c r="AC172">
        <f>survey_responses[[#This Row],[Các thủ tục khai báo thuế VÀ/HOẶC quy trình làm việc với cơ quan thuế đơn giản, tiện lợi, nhanh chóng hơn so với trước đây. - HUMAN-FAC1]]</f>
        <v>5</v>
      </c>
      <c r="AD172">
        <f t="shared" si="61"/>
        <v>0.44444444444444442</v>
      </c>
      <c r="AE172">
        <f>step3_validation[[#This Row],[AI_FAC2]]</f>
        <v>9</v>
      </c>
      <c r="AF172">
        <f t="shared" si="62"/>
        <v>0.88888888888888884</v>
      </c>
      <c r="AG172">
        <f>survey_responses[[#This Row],[So với trước đây, tôi thấy cách tính thuế và các bậc thuế trong phương án mới đơn giản, dễ hiểu và dễ thực hiện hơn. - HUMAN-FAC2]]</f>
        <v>7</v>
      </c>
      <c r="AH172">
        <f t="shared" si="63"/>
        <v>0.66666666666666663</v>
      </c>
      <c r="AI172" s="32">
        <f t="shared" si="64"/>
        <v>0.88888888888888884</v>
      </c>
      <c r="AJ172" s="32">
        <f t="shared" si="65"/>
        <v>0.55555555555555558</v>
      </c>
      <c r="AK172">
        <f>step3_validation[[#This Row],[AI_TRU1]]</f>
        <v>7</v>
      </c>
      <c r="AL172">
        <f t="shared" si="66"/>
        <v>0.66666666666666663</v>
      </c>
      <c r="AM172">
        <f>survey_responses[[#This Row],[Tôi tin rằng Nhà nước, cơ quan thuế sẽ thực thi chính sách mới một cách khách quan, công tâm và đối xử bình đẳng với mọi người nộp thuế.  - HUMAN-TRU1]]</f>
        <v>7</v>
      </c>
      <c r="AN172">
        <f t="shared" si="67"/>
        <v>0.66666666666666663</v>
      </c>
      <c r="AO172">
        <f>step3_validation[[#This Row],[AI_TRU2]]</f>
        <v>9</v>
      </c>
      <c r="AP172">
        <f t="shared" si="68"/>
        <v>0.88888888888888884</v>
      </c>
      <c r="AQ172">
        <f>survey_responses[[#This Row],[Tôi thấy mức thuế tôi phải đóng theo phương án mới là công bằng (người thu nhập như tôi đóng mức này là hợp lý). - HUMAN-TRU2]]</f>
        <v>7</v>
      </c>
      <c r="AR172">
        <f t="shared" si="69"/>
        <v>0.66666666666666663</v>
      </c>
      <c r="AS172">
        <f>step3_validation[[#This Row],[AI_TRU3]]</f>
        <v>8</v>
      </c>
      <c r="AT172">
        <f t="shared" si="70"/>
        <v>0.77777777777777779</v>
      </c>
      <c r="AU172">
        <f>survey_responses[[#This Row],[Tôi tin tưởng số tiền thuế tôi đóng sẽ được Nhà nước sử dụng hiệu quả để cải thiện dịch vụ công (y tế, đường xá...). - HUMAN-TRU3]]</f>
        <v>5</v>
      </c>
      <c r="AV172">
        <f t="shared" si="71"/>
        <v>0.44444444444444442</v>
      </c>
      <c r="AW172">
        <f>step3_validation[[#This Row],[AI_TRU4]]</f>
        <v>7</v>
      </c>
      <c r="AX172">
        <f t="shared" si="72"/>
        <v>0.66666666666666663</v>
      </c>
      <c r="AY172">
        <f>survey_responses[[#This Row],[Tôi thấy Nhà nước đã giải thích rõ ràng, minh bạch về lý do và mục tiêu của việc sửa đổi thuế lần này. - HUMAN-TRU4]]</f>
        <v>7</v>
      </c>
      <c r="AZ172">
        <f t="shared" si="73"/>
        <v>0.66666666666666663</v>
      </c>
      <c r="BA172" s="32">
        <f t="shared" si="74"/>
        <v>0.74999999999999989</v>
      </c>
      <c r="BB172" s="32">
        <f t="shared" si="75"/>
        <v>0.61111111111111105</v>
      </c>
      <c r="BC172" s="7">
        <f t="shared" si="76"/>
        <v>0.78703703703703709</v>
      </c>
      <c r="BD172" s="7">
        <f t="shared" si="77"/>
        <v>0.59259259259259256</v>
      </c>
      <c r="BE172">
        <f>step3_validation[[#This Row],[AI_OUT1]]</f>
        <v>9</v>
      </c>
      <c r="BF172">
        <f t="shared" si="78"/>
        <v>0.88888888888888884</v>
      </c>
      <c r="BG172">
        <f>survey_responses[[#This Row],[Sau khi xem xét các quyền lợi và nghĩa vụ, bạn có ủng hộ và tuân thủ chính sách mới hiện nay? - HUMAN-OUT1]]</f>
        <v>7</v>
      </c>
      <c r="BH172">
        <f t="shared" si="79"/>
        <v>0.66666666666666663</v>
      </c>
      <c r="BI172" s="32">
        <f t="shared" si="80"/>
        <v>2</v>
      </c>
    </row>
    <row r="173" spans="1:61" x14ac:dyDescent="0.45">
      <c r="A173" s="30">
        <f>step3_validation[[#This Row],[Persona_ID]]</f>
        <v>172</v>
      </c>
      <c r="B173" s="31">
        <f>step3_validation[[#This Row],[Used_Seed]]</f>
        <v>172</v>
      </c>
      <c r="C173" t="str">
        <f>step3_validation[[#This Row],[Gender]]</f>
        <v>Nam</v>
      </c>
      <c r="D173" t="str">
        <f>survey_responses[[#This Row],[Giới tính của bạn:]]</f>
        <v>Nam</v>
      </c>
      <c r="E173" t="str">
        <f>step3_validation[[#This Row],[Age_Group]]</f>
        <v>50 - 54</v>
      </c>
      <c r="F173" t="str">
        <f>survey_responses[[#This Row],[Độ tuổi của bạn:]]</f>
        <v>50 - 54</v>
      </c>
      <c r="G173" t="str">
        <f>step3_validation[[#This Row],[Region]]</f>
        <v>Thành thị</v>
      </c>
      <c r="H173" t="str">
        <f>survey_responses[[#This Row],[Khu vực bạn đang sinh sống:]]</f>
        <v>Thành thị</v>
      </c>
      <c r="I173" t="str">
        <f>step3_validation[[#This Row],[Education]]</f>
        <v>Sau Đại học</v>
      </c>
      <c r="J173" t="str">
        <f>survey_responses[[#This Row],[Trình độ học vấn cao nhất:]]</f>
        <v>Sau Đại học</v>
      </c>
      <c r="K173" t="str">
        <f>step3_validation[[#This Row],[Employment]]</f>
        <v>Chính thức</v>
      </c>
      <c r="L173" t="str">
        <f>survey_responses[[#This Row],[Tình trạng việc làm chính:]]</f>
        <v>Khu vực chính thức (Có Hợp đồng lao động, đóng BHXH)</v>
      </c>
      <c r="M173">
        <f>step3_validation[[#This Row],[Income_Mil]]</f>
        <v>127.19394880567462</v>
      </c>
      <c r="N173" t="str">
        <f>survey_responses[[#This Row],[Thu nhập bình quân tháng theo Hợp đồng lao động của bạn là bao nhiêu? (Vui lòng điền tổng thu nhập trước khi khấu trừ các loại Bảo hiểm (BHXH, BHYT, BHTN) và Thuế TNCN)]]</f>
        <v>Trên 102 triệu VNĐ</v>
      </c>
      <c r="O173">
        <f>step3_validation[[#This Row],[Dependents]]</f>
        <v>4</v>
      </c>
      <c r="P173" t="str">
        <f>survey_responses[[#This Row],[Số người phụ thuộc (con nhỏ, cha mẹ già...) đủ điều kiện giảm trừ gia cảnh:]]</f>
        <v>4 người trở lên</v>
      </c>
      <c r="Q173">
        <f>step3_validation[[#This Row],[AI_ENF1]]</f>
        <v>5</v>
      </c>
      <c r="R173">
        <f t="shared" si="54"/>
        <v>0.44444444444444442</v>
      </c>
      <c r="S173">
        <f>survey_responses[[#This Row],[Tôi tin rằng với các quy định quản lý thuế hiện nay, hành vi gian lận hoặc trốn thuế sẽ dễ dàng bị phát hiện và xử lý nghiêm. - HUMAN-ENF1]]</f>
        <v>8</v>
      </c>
      <c r="T173">
        <f t="shared" si="55"/>
        <v>0.77777777777777779</v>
      </c>
      <c r="U173">
        <f>step3_validation[[#This Row],[AI_ENF2]]</f>
        <v>4</v>
      </c>
      <c r="V173">
        <f t="shared" si="56"/>
        <v>0.33333333333333331</v>
      </c>
      <c r="W173">
        <f>survey_responses[[#This Row],[Tôi tin rằng Nhà nước, cơ quan thuế có đủ khả năng và công nghệ để phát hiện, xử lý nghiêm các hành vi trốn thuế. - HUMAN-ENF2]]</f>
        <v>8</v>
      </c>
      <c r="X173">
        <f t="shared" si="57"/>
        <v>0.77777777777777779</v>
      </c>
      <c r="Y173" s="32">
        <f t="shared" si="58"/>
        <v>0.38888888888888884</v>
      </c>
      <c r="Z173" s="32">
        <f t="shared" si="59"/>
        <v>0.77777777777777779</v>
      </c>
      <c r="AA173">
        <f>step3_validation[[#This Row],[AI_FAC1]]</f>
        <v>9</v>
      </c>
      <c r="AB173">
        <f t="shared" si="60"/>
        <v>0.88888888888888884</v>
      </c>
      <c r="AC173">
        <f>survey_responses[[#This Row],[Các thủ tục khai báo thuế VÀ/HOẶC quy trình làm việc với cơ quan thuế đơn giản, tiện lợi, nhanh chóng hơn so với trước đây. - HUMAN-FAC1]]</f>
        <v>8</v>
      </c>
      <c r="AD173">
        <f t="shared" si="61"/>
        <v>0.77777777777777779</v>
      </c>
      <c r="AE173">
        <f>step3_validation[[#This Row],[AI_FAC2]]</f>
        <v>8</v>
      </c>
      <c r="AF173">
        <f t="shared" si="62"/>
        <v>0.77777777777777779</v>
      </c>
      <c r="AG173">
        <f>survey_responses[[#This Row],[So với trước đây, tôi thấy cách tính thuế và các bậc thuế trong phương án mới đơn giản, dễ hiểu và dễ thực hiện hơn. - HUMAN-FAC2]]</f>
        <v>9</v>
      </c>
      <c r="AH173">
        <f t="shared" si="63"/>
        <v>0.88888888888888884</v>
      </c>
      <c r="AI173" s="32">
        <f t="shared" si="64"/>
        <v>0.83333333333333326</v>
      </c>
      <c r="AJ173" s="32">
        <f t="shared" si="65"/>
        <v>0.83333333333333326</v>
      </c>
      <c r="AK173">
        <f>step3_validation[[#This Row],[AI_TRU1]]</f>
        <v>6</v>
      </c>
      <c r="AL173">
        <f t="shared" si="66"/>
        <v>0.55555555555555558</v>
      </c>
      <c r="AM173">
        <f>survey_responses[[#This Row],[Tôi tin rằng Nhà nước, cơ quan thuế sẽ thực thi chính sách mới một cách khách quan, công tâm và đối xử bình đẳng với mọi người nộp thuế.  - HUMAN-TRU1]]</f>
        <v>9</v>
      </c>
      <c r="AN173">
        <f t="shared" si="67"/>
        <v>0.88888888888888884</v>
      </c>
      <c r="AO173">
        <f>step3_validation[[#This Row],[AI_TRU2]]</f>
        <v>7</v>
      </c>
      <c r="AP173">
        <f t="shared" si="68"/>
        <v>0.66666666666666663</v>
      </c>
      <c r="AQ173">
        <f>survey_responses[[#This Row],[Tôi thấy mức thuế tôi phải đóng theo phương án mới là công bằng (người thu nhập như tôi đóng mức này là hợp lý). - HUMAN-TRU2]]</f>
        <v>5</v>
      </c>
      <c r="AR173">
        <f t="shared" si="69"/>
        <v>0.44444444444444442</v>
      </c>
      <c r="AS173">
        <f>step3_validation[[#This Row],[AI_TRU3]]</f>
        <v>6</v>
      </c>
      <c r="AT173">
        <f t="shared" si="70"/>
        <v>0.55555555555555558</v>
      </c>
      <c r="AU173">
        <f>survey_responses[[#This Row],[Tôi tin tưởng số tiền thuế tôi đóng sẽ được Nhà nước sử dụng hiệu quả để cải thiện dịch vụ công (y tế, đường xá...). - HUMAN-TRU3]]</f>
        <v>5</v>
      </c>
      <c r="AV173">
        <f t="shared" si="71"/>
        <v>0.44444444444444442</v>
      </c>
      <c r="AW173">
        <f>step3_validation[[#This Row],[AI_TRU4]]</f>
        <v>7</v>
      </c>
      <c r="AX173">
        <f t="shared" si="72"/>
        <v>0.66666666666666663</v>
      </c>
      <c r="AY173">
        <f>survey_responses[[#This Row],[Tôi thấy Nhà nước đã giải thích rõ ràng, minh bạch về lý do và mục tiêu của việc sửa đổi thuế lần này. - HUMAN-TRU4]]</f>
        <v>8</v>
      </c>
      <c r="AZ173">
        <f t="shared" si="73"/>
        <v>0.77777777777777779</v>
      </c>
      <c r="BA173" s="32">
        <f t="shared" si="74"/>
        <v>0.61111111111111116</v>
      </c>
      <c r="BB173" s="32">
        <f t="shared" si="75"/>
        <v>0.63888888888888884</v>
      </c>
      <c r="BC173" s="7">
        <f t="shared" si="76"/>
        <v>0.61111111111111105</v>
      </c>
      <c r="BD173" s="7">
        <f t="shared" si="77"/>
        <v>0.75</v>
      </c>
      <c r="BE173">
        <f>step3_validation[[#This Row],[AI_OUT1]]</f>
        <v>8</v>
      </c>
      <c r="BF173">
        <f t="shared" si="78"/>
        <v>0.77777777777777779</v>
      </c>
      <c r="BG173">
        <f>survey_responses[[#This Row],[Sau khi xem xét các quyền lợi và nghĩa vụ, bạn có ủng hộ và tuân thủ chính sách mới hiện nay? - HUMAN-OUT1]]</f>
        <v>6</v>
      </c>
      <c r="BH173">
        <f t="shared" si="79"/>
        <v>0.55555555555555558</v>
      </c>
      <c r="BI173" s="32">
        <f t="shared" si="80"/>
        <v>2</v>
      </c>
    </row>
    <row r="174" spans="1:61" x14ac:dyDescent="0.45">
      <c r="A174" s="30">
        <f>step3_validation[[#This Row],[Persona_ID]]</f>
        <v>173</v>
      </c>
      <c r="B174" s="31">
        <f>step3_validation[[#This Row],[Used_Seed]]</f>
        <v>173</v>
      </c>
      <c r="C174" t="str">
        <f>step3_validation[[#This Row],[Gender]]</f>
        <v>Nữ</v>
      </c>
      <c r="D174" t="str">
        <f>survey_responses[[#This Row],[Giới tính của bạn:]]</f>
        <v>Nữ</v>
      </c>
      <c r="E174" t="str">
        <f>step3_validation[[#This Row],[Age_Group]]</f>
        <v>40 - 49</v>
      </c>
      <c r="F174" t="str">
        <f>survey_responses[[#This Row],[Độ tuổi của bạn:]]</f>
        <v>40 - 49</v>
      </c>
      <c r="G174" t="str">
        <f>step3_validation[[#This Row],[Region]]</f>
        <v>Thành thị</v>
      </c>
      <c r="H174" t="str">
        <f>survey_responses[[#This Row],[Khu vực bạn đang sinh sống:]]</f>
        <v>Thành thị</v>
      </c>
      <c r="I174" t="str">
        <f>step3_validation[[#This Row],[Education]]</f>
        <v>Đại học</v>
      </c>
      <c r="J174" t="str">
        <f>survey_responses[[#This Row],[Trình độ học vấn cao nhất:]]</f>
        <v>Đại học</v>
      </c>
      <c r="K174" t="str">
        <f>step3_validation[[#This Row],[Employment]]</f>
        <v>Chính thức</v>
      </c>
      <c r="L174" t="str">
        <f>survey_responses[[#This Row],[Tình trạng việc làm chính:]]</f>
        <v>Khu vực chính thức (Có Hợp đồng lao động, đóng BHXH)</v>
      </c>
      <c r="M174">
        <f>step3_validation[[#This Row],[Income_Mil]]</f>
        <v>72.117498715596824</v>
      </c>
      <c r="N174" t="str">
        <f>survey_responses[[#This Row],[Thu nhập bình quân tháng theo Hợp đồng lao động của bạn là bao nhiêu? (Vui lòng điền tổng thu nhập trước khi khấu trừ các loại Bảo hiểm (BHXH, BHYT, BHTN) và Thuế TNCN)]]</f>
        <v>Từ 70 - 102 triệu VNĐ</v>
      </c>
      <c r="O174">
        <f>step3_validation[[#This Row],[Dependents]]</f>
        <v>3</v>
      </c>
      <c r="P174" t="str">
        <f>survey_responses[[#This Row],[Số người phụ thuộc (con nhỏ, cha mẹ già...) đủ điều kiện giảm trừ gia cảnh:]]</f>
        <v>3 người</v>
      </c>
      <c r="Q174">
        <f>step3_validation[[#This Row],[AI_ENF1]]</f>
        <v>7</v>
      </c>
      <c r="R174">
        <f t="shared" si="54"/>
        <v>0.66666666666666663</v>
      </c>
      <c r="S174">
        <f>survey_responses[[#This Row],[Tôi tin rằng với các quy định quản lý thuế hiện nay, hành vi gian lận hoặc trốn thuế sẽ dễ dàng bị phát hiện và xử lý nghiêm. - HUMAN-ENF1]]</f>
        <v>5</v>
      </c>
      <c r="T174">
        <f t="shared" si="55"/>
        <v>0.44444444444444442</v>
      </c>
      <c r="U174">
        <f>step3_validation[[#This Row],[AI_ENF2]]</f>
        <v>6</v>
      </c>
      <c r="V174">
        <f t="shared" si="56"/>
        <v>0.55555555555555558</v>
      </c>
      <c r="W174">
        <f>survey_responses[[#This Row],[Tôi tin rằng Nhà nước, cơ quan thuế có đủ khả năng và công nghệ để phát hiện, xử lý nghiêm các hành vi trốn thuế. - HUMAN-ENF2]]</f>
        <v>5</v>
      </c>
      <c r="X174">
        <f t="shared" si="57"/>
        <v>0.44444444444444442</v>
      </c>
      <c r="Y174" s="32">
        <f t="shared" si="58"/>
        <v>0.61111111111111116</v>
      </c>
      <c r="Z174" s="32">
        <f t="shared" si="59"/>
        <v>0.44444444444444442</v>
      </c>
      <c r="AA174">
        <f>step3_validation[[#This Row],[AI_FAC1]]</f>
        <v>8</v>
      </c>
      <c r="AB174">
        <f t="shared" si="60"/>
        <v>0.77777777777777779</v>
      </c>
      <c r="AC174">
        <f>survey_responses[[#This Row],[Các thủ tục khai báo thuế VÀ/HOẶC quy trình làm việc với cơ quan thuế đơn giản, tiện lợi, nhanh chóng hơn so với trước đây. - HUMAN-FAC1]]</f>
        <v>4</v>
      </c>
      <c r="AD174">
        <f t="shared" si="61"/>
        <v>0.33333333333333331</v>
      </c>
      <c r="AE174">
        <f>step3_validation[[#This Row],[AI_FAC2]]</f>
        <v>9</v>
      </c>
      <c r="AF174">
        <f t="shared" si="62"/>
        <v>0.88888888888888884</v>
      </c>
      <c r="AG174">
        <f>survey_responses[[#This Row],[So với trước đây, tôi thấy cách tính thuế và các bậc thuế trong phương án mới đơn giản, dễ hiểu và dễ thực hiện hơn. - HUMAN-FAC2]]</f>
        <v>6</v>
      </c>
      <c r="AH174">
        <f t="shared" si="63"/>
        <v>0.55555555555555558</v>
      </c>
      <c r="AI174" s="32">
        <f t="shared" si="64"/>
        <v>0.83333333333333326</v>
      </c>
      <c r="AJ174" s="32">
        <f t="shared" si="65"/>
        <v>0.44444444444444442</v>
      </c>
      <c r="AK174">
        <f>step3_validation[[#This Row],[AI_TRU1]]</f>
        <v>8</v>
      </c>
      <c r="AL174">
        <f t="shared" si="66"/>
        <v>0.77777777777777779</v>
      </c>
      <c r="AM174">
        <f>survey_responses[[#This Row],[Tôi tin rằng Nhà nước, cơ quan thuế sẽ thực thi chính sách mới một cách khách quan, công tâm và đối xử bình đẳng với mọi người nộp thuế.  - HUMAN-TRU1]]</f>
        <v>5</v>
      </c>
      <c r="AN174">
        <f t="shared" si="67"/>
        <v>0.44444444444444442</v>
      </c>
      <c r="AO174">
        <f>step3_validation[[#This Row],[AI_TRU2]]</f>
        <v>9</v>
      </c>
      <c r="AP174">
        <f t="shared" si="68"/>
        <v>0.88888888888888884</v>
      </c>
      <c r="AQ174">
        <f>survey_responses[[#This Row],[Tôi thấy mức thuế tôi phải đóng theo phương án mới là công bằng (người thu nhập như tôi đóng mức này là hợp lý). - HUMAN-TRU2]]</f>
        <v>4</v>
      </c>
      <c r="AR174">
        <f t="shared" si="69"/>
        <v>0.33333333333333331</v>
      </c>
      <c r="AS174">
        <f>step3_validation[[#This Row],[AI_TRU3]]</f>
        <v>8</v>
      </c>
      <c r="AT174">
        <f t="shared" si="70"/>
        <v>0.77777777777777779</v>
      </c>
      <c r="AU174">
        <f>survey_responses[[#This Row],[Tôi tin tưởng số tiền thuế tôi đóng sẽ được Nhà nước sử dụng hiệu quả để cải thiện dịch vụ công (y tế, đường xá...). - HUMAN-TRU3]]</f>
        <v>4</v>
      </c>
      <c r="AV174">
        <f t="shared" si="71"/>
        <v>0.33333333333333331</v>
      </c>
      <c r="AW174">
        <f>step3_validation[[#This Row],[AI_TRU4]]</f>
        <v>7</v>
      </c>
      <c r="AX174">
        <f t="shared" si="72"/>
        <v>0.66666666666666663</v>
      </c>
      <c r="AY174">
        <f>survey_responses[[#This Row],[Tôi thấy Nhà nước đã giải thích rõ ràng, minh bạch về lý do và mục tiêu của việc sửa đổi thuế lần này. - HUMAN-TRU4]]</f>
        <v>5</v>
      </c>
      <c r="AZ174">
        <f t="shared" si="73"/>
        <v>0.44444444444444442</v>
      </c>
      <c r="BA174" s="32">
        <f t="shared" si="74"/>
        <v>0.77777777777777768</v>
      </c>
      <c r="BB174" s="32">
        <f t="shared" si="75"/>
        <v>0.38888888888888884</v>
      </c>
      <c r="BC174" s="7">
        <f t="shared" si="76"/>
        <v>0.74074074074074081</v>
      </c>
      <c r="BD174" s="7">
        <f t="shared" si="77"/>
        <v>0.42592592592592587</v>
      </c>
      <c r="BE174">
        <f>step3_validation[[#This Row],[AI_OUT1]]</f>
        <v>9</v>
      </c>
      <c r="BF174">
        <f t="shared" si="78"/>
        <v>0.88888888888888884</v>
      </c>
      <c r="BG174">
        <f>survey_responses[[#This Row],[Sau khi xem xét các quyền lợi và nghĩa vụ, bạn có ủng hộ và tuân thủ chính sách mới hiện nay? - HUMAN-OUT1]]</f>
        <v>5</v>
      </c>
      <c r="BH174">
        <f t="shared" si="79"/>
        <v>0.44444444444444442</v>
      </c>
      <c r="BI174" s="32">
        <f t="shared" si="80"/>
        <v>4</v>
      </c>
    </row>
    <row r="175" spans="1:61" x14ac:dyDescent="0.45">
      <c r="A175" s="30">
        <f>step3_validation[[#This Row],[Persona_ID]]</f>
        <v>174</v>
      </c>
      <c r="B175" s="31">
        <f>step3_validation[[#This Row],[Used_Seed]]</f>
        <v>174</v>
      </c>
      <c r="C175" t="str">
        <f>step3_validation[[#This Row],[Gender]]</f>
        <v>Nữ</v>
      </c>
      <c r="D175" t="str">
        <f>survey_responses[[#This Row],[Giới tính của bạn:]]</f>
        <v>Nữ</v>
      </c>
      <c r="E175" t="str">
        <f>step3_validation[[#This Row],[Age_Group]]</f>
        <v>25 - 29</v>
      </c>
      <c r="F175" t="str">
        <f>survey_responses[[#This Row],[Độ tuổi của bạn:]]</f>
        <v>25 - 29</v>
      </c>
      <c r="G175" t="str">
        <f>step3_validation[[#This Row],[Region]]</f>
        <v>Thành thị</v>
      </c>
      <c r="H175" t="str">
        <f>survey_responses[[#This Row],[Khu vực bạn đang sinh sống:]]</f>
        <v>Thành thị</v>
      </c>
      <c r="I175" t="str">
        <f>step3_validation[[#This Row],[Education]]</f>
        <v>Đại học</v>
      </c>
      <c r="J175" t="str">
        <f>survey_responses[[#This Row],[Trình độ học vấn cao nhất:]]</f>
        <v>Đại học</v>
      </c>
      <c r="K175" t="str">
        <f>step3_validation[[#This Row],[Employment]]</f>
        <v>Chính thức</v>
      </c>
      <c r="L175" t="str">
        <f>survey_responses[[#This Row],[Tình trạng việc làm chính:]]</f>
        <v>Khu vực chính thức (Có Hợp đồng lao động, đóng BHXH)</v>
      </c>
      <c r="M175">
        <f>step3_validation[[#This Row],[Income_Mil]]</f>
        <v>45.811267624915253</v>
      </c>
      <c r="N175" t="str">
        <f>survey_responses[[#This Row],[Thu nhập bình quân tháng theo Hợp đồng lao động của bạn là bao nhiêu? (Vui lòng điền tổng thu nhập trước khi khấu trừ các loại Bảo hiểm (BHXH, BHYT, BHTN) và Thuế TNCN)]]</f>
        <v>Từ 32 - 48 triệu VNĐ</v>
      </c>
      <c r="O175">
        <f>step3_validation[[#This Row],[Dependents]]</f>
        <v>1</v>
      </c>
      <c r="P175" t="str">
        <f>survey_responses[[#This Row],[Số người phụ thuộc (con nhỏ, cha mẹ già...) đủ điều kiện giảm trừ gia cảnh:]]</f>
        <v>1 người</v>
      </c>
      <c r="Q175">
        <f>step3_validation[[#This Row],[AI_ENF1]]</f>
        <v>7</v>
      </c>
      <c r="R175">
        <f t="shared" si="54"/>
        <v>0.66666666666666663</v>
      </c>
      <c r="S175">
        <f>survey_responses[[#This Row],[Tôi tin rằng với các quy định quản lý thuế hiện nay, hành vi gian lận hoặc trốn thuế sẽ dễ dàng bị phát hiện và xử lý nghiêm. - HUMAN-ENF1]]</f>
        <v>6</v>
      </c>
      <c r="T175">
        <f t="shared" si="55"/>
        <v>0.55555555555555558</v>
      </c>
      <c r="U175">
        <f>step3_validation[[#This Row],[AI_ENF2]]</f>
        <v>6</v>
      </c>
      <c r="V175">
        <f t="shared" si="56"/>
        <v>0.55555555555555558</v>
      </c>
      <c r="W175">
        <f>survey_responses[[#This Row],[Tôi tin rằng Nhà nước, cơ quan thuế có đủ khả năng và công nghệ để phát hiện, xử lý nghiêm các hành vi trốn thuế. - HUMAN-ENF2]]</f>
        <v>6</v>
      </c>
      <c r="X175">
        <f t="shared" si="57"/>
        <v>0.55555555555555558</v>
      </c>
      <c r="Y175" s="32">
        <f t="shared" si="58"/>
        <v>0.61111111111111116</v>
      </c>
      <c r="Z175" s="32">
        <f t="shared" si="59"/>
        <v>0.55555555555555558</v>
      </c>
      <c r="AA175">
        <f>step3_validation[[#This Row],[AI_FAC1]]</f>
        <v>9</v>
      </c>
      <c r="AB175">
        <f t="shared" si="60"/>
        <v>0.88888888888888884</v>
      </c>
      <c r="AC175">
        <f>survey_responses[[#This Row],[Các thủ tục khai báo thuế VÀ/HOẶC quy trình làm việc với cơ quan thuế đơn giản, tiện lợi, nhanh chóng hơn so với trước đây. - HUMAN-FAC1]]</f>
        <v>6</v>
      </c>
      <c r="AD175">
        <f t="shared" si="61"/>
        <v>0.55555555555555558</v>
      </c>
      <c r="AE175">
        <f>step3_validation[[#This Row],[AI_FAC2]]</f>
        <v>8</v>
      </c>
      <c r="AF175">
        <f t="shared" si="62"/>
        <v>0.77777777777777779</v>
      </c>
      <c r="AG175">
        <f>survey_responses[[#This Row],[So với trước đây, tôi thấy cách tính thuế và các bậc thuế trong phương án mới đơn giản, dễ hiểu và dễ thực hiện hơn. - HUMAN-FAC2]]</f>
        <v>6</v>
      </c>
      <c r="AH175">
        <f t="shared" si="63"/>
        <v>0.55555555555555558</v>
      </c>
      <c r="AI175" s="32">
        <f t="shared" si="64"/>
        <v>0.83333333333333326</v>
      </c>
      <c r="AJ175" s="32">
        <f t="shared" si="65"/>
        <v>0.55555555555555558</v>
      </c>
      <c r="AK175">
        <f>step3_validation[[#This Row],[AI_TRU1]]</f>
        <v>7</v>
      </c>
      <c r="AL175">
        <f t="shared" si="66"/>
        <v>0.66666666666666663</v>
      </c>
      <c r="AM175">
        <f>survey_responses[[#This Row],[Tôi tin rằng Nhà nước, cơ quan thuế sẽ thực thi chính sách mới một cách khách quan, công tâm và đối xử bình đẳng với mọi người nộp thuế.  - HUMAN-TRU1]]</f>
        <v>7</v>
      </c>
      <c r="AN175">
        <f t="shared" si="67"/>
        <v>0.66666666666666663</v>
      </c>
      <c r="AO175">
        <f>step3_validation[[#This Row],[AI_TRU2]]</f>
        <v>8</v>
      </c>
      <c r="AP175">
        <f t="shared" si="68"/>
        <v>0.77777777777777779</v>
      </c>
      <c r="AQ175">
        <f>survey_responses[[#This Row],[Tôi thấy mức thuế tôi phải đóng theo phương án mới là công bằng (người thu nhập như tôi đóng mức này là hợp lý). - HUMAN-TRU2]]</f>
        <v>7</v>
      </c>
      <c r="AR175">
        <f t="shared" si="69"/>
        <v>0.66666666666666663</v>
      </c>
      <c r="AS175">
        <f>step3_validation[[#This Row],[AI_TRU3]]</f>
        <v>7</v>
      </c>
      <c r="AT175">
        <f t="shared" si="70"/>
        <v>0.66666666666666663</v>
      </c>
      <c r="AU175">
        <f>survey_responses[[#This Row],[Tôi tin tưởng số tiền thuế tôi đóng sẽ được Nhà nước sử dụng hiệu quả để cải thiện dịch vụ công (y tế, đường xá...). - HUMAN-TRU3]]</f>
        <v>5</v>
      </c>
      <c r="AV175">
        <f t="shared" si="71"/>
        <v>0.44444444444444442</v>
      </c>
      <c r="AW175">
        <f>step3_validation[[#This Row],[AI_TRU4]]</f>
        <v>6</v>
      </c>
      <c r="AX175">
        <f t="shared" si="72"/>
        <v>0.55555555555555558</v>
      </c>
      <c r="AY175">
        <f>survey_responses[[#This Row],[Tôi thấy Nhà nước đã giải thích rõ ràng, minh bạch về lý do và mục tiêu của việc sửa đổi thuế lần này. - HUMAN-TRU4]]</f>
        <v>7</v>
      </c>
      <c r="AZ175">
        <f t="shared" si="73"/>
        <v>0.66666666666666663</v>
      </c>
      <c r="BA175" s="32">
        <f t="shared" si="74"/>
        <v>0.66666666666666674</v>
      </c>
      <c r="BB175" s="32">
        <f t="shared" si="75"/>
        <v>0.61111111111111105</v>
      </c>
      <c r="BC175" s="7">
        <f t="shared" si="76"/>
        <v>0.70370370370370372</v>
      </c>
      <c r="BD175" s="7">
        <f t="shared" si="77"/>
        <v>0.57407407407407407</v>
      </c>
      <c r="BE175">
        <f>step3_validation[[#This Row],[AI_OUT1]]</f>
        <v>9</v>
      </c>
      <c r="BF175">
        <f t="shared" si="78"/>
        <v>0.88888888888888884</v>
      </c>
      <c r="BG175">
        <f>survey_responses[[#This Row],[Sau khi xem xét các quyền lợi và nghĩa vụ, bạn có ủng hộ và tuân thủ chính sách mới hiện nay? - HUMAN-OUT1]]</f>
        <v>6</v>
      </c>
      <c r="BH175">
        <f t="shared" si="79"/>
        <v>0.55555555555555558</v>
      </c>
      <c r="BI175" s="32">
        <f t="shared" si="80"/>
        <v>3</v>
      </c>
    </row>
    <row r="176" spans="1:61" x14ac:dyDescent="0.45">
      <c r="A176" s="30">
        <f>step3_validation[[#This Row],[Persona_ID]]</f>
        <v>175</v>
      </c>
      <c r="B176" s="31">
        <f>step3_validation[[#This Row],[Used_Seed]]</f>
        <v>175</v>
      </c>
      <c r="C176" t="str">
        <f>step3_validation[[#This Row],[Gender]]</f>
        <v>Nữ</v>
      </c>
      <c r="D176" t="str">
        <f>survey_responses[[#This Row],[Giới tính của bạn:]]</f>
        <v>Nữ</v>
      </c>
      <c r="E176" t="str">
        <f>step3_validation[[#This Row],[Age_Group]]</f>
        <v>50 - 54</v>
      </c>
      <c r="F176" t="str">
        <f>survey_responses[[#This Row],[Độ tuổi của bạn:]]</f>
        <v>50 - 54</v>
      </c>
      <c r="G176" t="str">
        <f>step3_validation[[#This Row],[Region]]</f>
        <v>Thành thị</v>
      </c>
      <c r="H176" t="str">
        <f>survey_responses[[#This Row],[Khu vực bạn đang sinh sống:]]</f>
        <v>Thành thị</v>
      </c>
      <c r="I176" t="str">
        <f>step3_validation[[#This Row],[Education]]</f>
        <v>Sau Đại học</v>
      </c>
      <c r="J176" t="str">
        <f>survey_responses[[#This Row],[Trình độ học vấn cao nhất:]]</f>
        <v>Sau Đại học</v>
      </c>
      <c r="K176" t="str">
        <f>step3_validation[[#This Row],[Employment]]</f>
        <v>Chính thức</v>
      </c>
      <c r="L176" t="str">
        <f>survey_responses[[#This Row],[Tình trạng việc làm chính:]]</f>
        <v>Khu vực chính thức (Có Hợp đồng lao động, đóng BHXH)</v>
      </c>
      <c r="M176">
        <f>step3_validation[[#This Row],[Income_Mil]]</f>
        <v>185.36544145619655</v>
      </c>
      <c r="N176" t="str">
        <f>survey_responses[[#This Row],[Thu nhập bình quân tháng theo Hợp đồng lao động của bạn là bao nhiêu? (Vui lòng điền tổng thu nhập trước khi khấu trừ các loại Bảo hiểm (BHXH, BHYT, BHTN) và Thuế TNCN)]]</f>
        <v>Trên 102 triệu VNĐ</v>
      </c>
      <c r="O176">
        <f>step3_validation[[#This Row],[Dependents]]</f>
        <v>3</v>
      </c>
      <c r="P176" t="str">
        <f>survey_responses[[#This Row],[Số người phụ thuộc (con nhỏ, cha mẹ già...) đủ điều kiện giảm trừ gia cảnh:]]</f>
        <v>3 người</v>
      </c>
      <c r="Q176">
        <f>step3_validation[[#This Row],[AI_ENF1]]</f>
        <v>9</v>
      </c>
      <c r="R176">
        <f t="shared" si="54"/>
        <v>0.88888888888888884</v>
      </c>
      <c r="S176">
        <f>survey_responses[[#This Row],[Tôi tin rằng với các quy định quản lý thuế hiện nay, hành vi gian lận hoặc trốn thuế sẽ dễ dàng bị phát hiện và xử lý nghiêm. - HUMAN-ENF1]]</f>
        <v>4</v>
      </c>
      <c r="T176">
        <f t="shared" si="55"/>
        <v>0.33333333333333331</v>
      </c>
      <c r="U176">
        <f>step3_validation[[#This Row],[AI_ENF2]]</f>
        <v>8</v>
      </c>
      <c r="V176">
        <f t="shared" si="56"/>
        <v>0.77777777777777779</v>
      </c>
      <c r="W176">
        <f>survey_responses[[#This Row],[Tôi tin rằng Nhà nước, cơ quan thuế có đủ khả năng và công nghệ để phát hiện, xử lý nghiêm các hành vi trốn thuế. - HUMAN-ENF2]]</f>
        <v>5</v>
      </c>
      <c r="X176">
        <f t="shared" si="57"/>
        <v>0.44444444444444442</v>
      </c>
      <c r="Y176" s="32">
        <f t="shared" si="58"/>
        <v>0.83333333333333326</v>
      </c>
      <c r="Z176" s="32">
        <f t="shared" si="59"/>
        <v>0.38888888888888884</v>
      </c>
      <c r="AA176">
        <f>step3_validation[[#This Row],[AI_FAC1]]</f>
        <v>9</v>
      </c>
      <c r="AB176">
        <f t="shared" si="60"/>
        <v>0.88888888888888884</v>
      </c>
      <c r="AC176">
        <f>survey_responses[[#This Row],[Các thủ tục khai báo thuế VÀ/HOẶC quy trình làm việc với cơ quan thuế đơn giản, tiện lợi, nhanh chóng hơn so với trước đây. - HUMAN-FAC1]]</f>
        <v>4</v>
      </c>
      <c r="AD176">
        <f t="shared" si="61"/>
        <v>0.33333333333333331</v>
      </c>
      <c r="AE176">
        <f>step3_validation[[#This Row],[AI_FAC2]]</f>
        <v>8</v>
      </c>
      <c r="AF176">
        <f t="shared" si="62"/>
        <v>0.77777777777777779</v>
      </c>
      <c r="AG176">
        <f>survey_responses[[#This Row],[So với trước đây, tôi thấy cách tính thuế và các bậc thuế trong phương án mới đơn giản, dễ hiểu và dễ thực hiện hơn. - HUMAN-FAC2]]</f>
        <v>6</v>
      </c>
      <c r="AH176">
        <f t="shared" si="63"/>
        <v>0.55555555555555558</v>
      </c>
      <c r="AI176" s="32">
        <f t="shared" si="64"/>
        <v>0.83333333333333326</v>
      </c>
      <c r="AJ176" s="32">
        <f t="shared" si="65"/>
        <v>0.44444444444444442</v>
      </c>
      <c r="AK176">
        <f>step3_validation[[#This Row],[AI_TRU1]]</f>
        <v>9</v>
      </c>
      <c r="AL176">
        <f t="shared" si="66"/>
        <v>0.88888888888888884</v>
      </c>
      <c r="AM176">
        <f>survey_responses[[#This Row],[Tôi tin rằng Nhà nước, cơ quan thuế sẽ thực thi chính sách mới một cách khách quan, công tâm và đối xử bình đẳng với mọi người nộp thuế.  - HUMAN-TRU1]]</f>
        <v>4</v>
      </c>
      <c r="AN176">
        <f t="shared" si="67"/>
        <v>0.33333333333333331</v>
      </c>
      <c r="AO176">
        <f>step3_validation[[#This Row],[AI_TRU2]]</f>
        <v>8</v>
      </c>
      <c r="AP176">
        <f t="shared" si="68"/>
        <v>0.77777777777777779</v>
      </c>
      <c r="AQ176">
        <f>survey_responses[[#This Row],[Tôi thấy mức thuế tôi phải đóng theo phương án mới là công bằng (người thu nhập như tôi đóng mức này là hợp lý). - HUMAN-TRU2]]</f>
        <v>4</v>
      </c>
      <c r="AR176">
        <f t="shared" si="69"/>
        <v>0.33333333333333331</v>
      </c>
      <c r="AS176">
        <f>step3_validation[[#This Row],[AI_TRU3]]</f>
        <v>9</v>
      </c>
      <c r="AT176">
        <f t="shared" si="70"/>
        <v>0.88888888888888884</v>
      </c>
      <c r="AU176">
        <f>survey_responses[[#This Row],[Tôi tin tưởng số tiền thuế tôi đóng sẽ được Nhà nước sử dụng hiệu quả để cải thiện dịch vụ công (y tế, đường xá...). - HUMAN-TRU3]]</f>
        <v>4</v>
      </c>
      <c r="AV176">
        <f t="shared" si="71"/>
        <v>0.33333333333333331</v>
      </c>
      <c r="AW176">
        <f>step3_validation[[#This Row],[AI_TRU4]]</f>
        <v>8</v>
      </c>
      <c r="AX176">
        <f t="shared" si="72"/>
        <v>0.77777777777777779</v>
      </c>
      <c r="AY176">
        <f>survey_responses[[#This Row],[Tôi thấy Nhà nước đã giải thích rõ ràng, minh bạch về lý do và mục tiêu của việc sửa đổi thuế lần này. - HUMAN-TRU4]]</f>
        <v>5</v>
      </c>
      <c r="AZ176">
        <f t="shared" si="73"/>
        <v>0.44444444444444442</v>
      </c>
      <c r="BA176" s="32">
        <f t="shared" si="74"/>
        <v>0.83333333333333326</v>
      </c>
      <c r="BB176" s="32">
        <f t="shared" si="75"/>
        <v>0.3611111111111111</v>
      </c>
      <c r="BC176" s="7">
        <f t="shared" si="76"/>
        <v>0.83333333333333337</v>
      </c>
      <c r="BD176" s="7">
        <f t="shared" si="77"/>
        <v>0.39814814814814814</v>
      </c>
      <c r="BE176">
        <f>step3_validation[[#This Row],[AI_OUT1]]</f>
        <v>9</v>
      </c>
      <c r="BF176">
        <f t="shared" si="78"/>
        <v>0.88888888888888884</v>
      </c>
      <c r="BG176">
        <f>survey_responses[[#This Row],[Sau khi xem xét các quyền lợi và nghĩa vụ, bạn có ủng hộ và tuân thủ chính sách mới hiện nay? - HUMAN-OUT1]]</f>
        <v>4</v>
      </c>
      <c r="BH176">
        <f t="shared" si="79"/>
        <v>0.33333333333333331</v>
      </c>
      <c r="BI176" s="32">
        <f t="shared" si="80"/>
        <v>5</v>
      </c>
    </row>
    <row r="177" spans="1:61" x14ac:dyDescent="0.45">
      <c r="A177" s="30">
        <f>step3_validation[[#This Row],[Persona_ID]]</f>
        <v>176</v>
      </c>
      <c r="B177" s="31">
        <f>step3_validation[[#This Row],[Used_Seed]]</f>
        <v>176</v>
      </c>
      <c r="C177" t="str">
        <f>step3_validation[[#This Row],[Gender]]</f>
        <v>Nữ</v>
      </c>
      <c r="D177" t="str">
        <f>survey_responses[[#This Row],[Giới tính của bạn:]]</f>
        <v>Nữ</v>
      </c>
      <c r="E177" t="str">
        <f>step3_validation[[#This Row],[Age_Group]]</f>
        <v>55 - 64</v>
      </c>
      <c r="F177" t="str">
        <f>survey_responses[[#This Row],[Độ tuổi của bạn:]]</f>
        <v>55 - 64</v>
      </c>
      <c r="G177" t="str">
        <f>step3_validation[[#This Row],[Region]]</f>
        <v>Nông thôn</v>
      </c>
      <c r="H177" t="str">
        <f>survey_responses[[#This Row],[Khu vực bạn đang sinh sống:]]</f>
        <v>Nông thôn</v>
      </c>
      <c r="I177" t="str">
        <f>step3_validation[[#This Row],[Education]]</f>
        <v>Sau Đại học</v>
      </c>
      <c r="J177" t="str">
        <f>survey_responses[[#This Row],[Trình độ học vấn cao nhất:]]</f>
        <v>Sau Đại học</v>
      </c>
      <c r="K177" t="str">
        <f>step3_validation[[#This Row],[Employment]]</f>
        <v>Chính thức</v>
      </c>
      <c r="L177" t="str">
        <f>survey_responses[[#This Row],[Tình trạng việc làm chính:]]</f>
        <v>Khu vực chính thức (Có Hợp đồng lao động, đóng BHXH)</v>
      </c>
      <c r="M177">
        <f>step3_validation[[#This Row],[Income_Mil]]</f>
        <v>236.50189251008163</v>
      </c>
      <c r="N177" t="str">
        <f>survey_responses[[#This Row],[Thu nhập bình quân tháng theo Hợp đồng lao động của bạn là bao nhiêu? (Vui lòng điền tổng thu nhập trước khi khấu trừ các loại Bảo hiểm (BHXH, BHYT, BHTN) và Thuế TNCN)]]</f>
        <v>Trên 102 triệu VNĐ</v>
      </c>
      <c r="O177">
        <f>step3_validation[[#This Row],[Dependents]]</f>
        <v>0</v>
      </c>
      <c r="P177" t="str">
        <f>survey_responses[[#This Row],[Số người phụ thuộc (con nhỏ, cha mẹ già...) đủ điều kiện giảm trừ gia cảnh:]]</f>
        <v>0 người</v>
      </c>
      <c r="Q177">
        <f>step3_validation[[#This Row],[AI_ENF1]]</f>
        <v>8</v>
      </c>
      <c r="R177">
        <f t="shared" si="54"/>
        <v>0.77777777777777779</v>
      </c>
      <c r="S177">
        <f>survey_responses[[#This Row],[Tôi tin rằng với các quy định quản lý thuế hiện nay, hành vi gian lận hoặc trốn thuế sẽ dễ dàng bị phát hiện và xử lý nghiêm. - HUMAN-ENF1]]</f>
        <v>2</v>
      </c>
      <c r="T177">
        <f t="shared" si="55"/>
        <v>0.1111111111111111</v>
      </c>
      <c r="U177">
        <f>step3_validation[[#This Row],[AI_ENF2]]</f>
        <v>9</v>
      </c>
      <c r="V177">
        <f t="shared" si="56"/>
        <v>0.88888888888888884</v>
      </c>
      <c r="W177">
        <f>survey_responses[[#This Row],[Tôi tin rằng Nhà nước, cơ quan thuế có đủ khả năng và công nghệ để phát hiện, xử lý nghiêm các hành vi trốn thuế. - HUMAN-ENF2]]</f>
        <v>4</v>
      </c>
      <c r="X177">
        <f t="shared" si="57"/>
        <v>0.33333333333333331</v>
      </c>
      <c r="Y177" s="32">
        <f t="shared" si="58"/>
        <v>0.83333333333333326</v>
      </c>
      <c r="Z177" s="32">
        <f t="shared" si="59"/>
        <v>0.22222222222222221</v>
      </c>
      <c r="AA177">
        <f>step3_validation[[#This Row],[AI_FAC1]]</f>
        <v>7</v>
      </c>
      <c r="AB177">
        <f t="shared" si="60"/>
        <v>0.66666666666666663</v>
      </c>
      <c r="AC177">
        <f>survey_responses[[#This Row],[Các thủ tục khai báo thuế VÀ/HOẶC quy trình làm việc với cơ quan thuế đơn giản, tiện lợi, nhanh chóng hơn so với trước đây. - HUMAN-FAC1]]</f>
        <v>3</v>
      </c>
      <c r="AD177">
        <f t="shared" si="61"/>
        <v>0.22222222222222221</v>
      </c>
      <c r="AE177">
        <f>step3_validation[[#This Row],[AI_FAC2]]</f>
        <v>9</v>
      </c>
      <c r="AF177">
        <f t="shared" si="62"/>
        <v>0.88888888888888884</v>
      </c>
      <c r="AG177">
        <f>survey_responses[[#This Row],[So với trước đây, tôi thấy cách tính thuế và các bậc thuế trong phương án mới đơn giản, dễ hiểu và dễ thực hiện hơn. - HUMAN-FAC2]]</f>
        <v>5</v>
      </c>
      <c r="AH177">
        <f t="shared" si="63"/>
        <v>0.44444444444444442</v>
      </c>
      <c r="AI177" s="32">
        <f t="shared" si="64"/>
        <v>0.77777777777777768</v>
      </c>
      <c r="AJ177" s="32">
        <f t="shared" si="65"/>
        <v>0.33333333333333331</v>
      </c>
      <c r="AK177">
        <f>step3_validation[[#This Row],[AI_TRU1]]</f>
        <v>7</v>
      </c>
      <c r="AL177">
        <f t="shared" si="66"/>
        <v>0.66666666666666663</v>
      </c>
      <c r="AM177">
        <f>survey_responses[[#This Row],[Tôi tin rằng Nhà nước, cơ quan thuế sẽ thực thi chính sách mới một cách khách quan, công tâm và đối xử bình đẳng với mọi người nộp thuế.  - HUMAN-TRU1]]</f>
        <v>4</v>
      </c>
      <c r="AN177">
        <f t="shared" si="67"/>
        <v>0.33333333333333331</v>
      </c>
      <c r="AO177">
        <f>step3_validation[[#This Row],[AI_TRU2]]</f>
        <v>9</v>
      </c>
      <c r="AP177">
        <f t="shared" si="68"/>
        <v>0.88888888888888884</v>
      </c>
      <c r="AQ177">
        <f>survey_responses[[#This Row],[Tôi thấy mức thuế tôi phải đóng theo phương án mới là công bằng (người thu nhập như tôi đóng mức này là hợp lý). - HUMAN-TRU2]]</f>
        <v>1</v>
      </c>
      <c r="AR177">
        <f t="shared" si="69"/>
        <v>0</v>
      </c>
      <c r="AS177">
        <f>step3_validation[[#This Row],[AI_TRU3]]</f>
        <v>8</v>
      </c>
      <c r="AT177">
        <f t="shared" si="70"/>
        <v>0.77777777777777779</v>
      </c>
      <c r="AU177">
        <f>survey_responses[[#This Row],[Tôi tin tưởng số tiền thuế tôi đóng sẽ được Nhà nước sử dụng hiệu quả để cải thiện dịch vụ công (y tế, đường xá...). - HUMAN-TRU3]]</f>
        <v>1</v>
      </c>
      <c r="AV177">
        <f t="shared" si="71"/>
        <v>0</v>
      </c>
      <c r="AW177">
        <f>step3_validation[[#This Row],[AI_TRU4]]</f>
        <v>9</v>
      </c>
      <c r="AX177">
        <f t="shared" si="72"/>
        <v>0.88888888888888884</v>
      </c>
      <c r="AY177">
        <f>survey_responses[[#This Row],[Tôi thấy Nhà nước đã giải thích rõ ràng, minh bạch về lý do và mục tiêu của việc sửa đổi thuế lần này. - HUMAN-TRU4]]</f>
        <v>4</v>
      </c>
      <c r="AZ177">
        <f t="shared" si="73"/>
        <v>0.33333333333333331</v>
      </c>
      <c r="BA177" s="32">
        <f t="shared" si="74"/>
        <v>0.80555555555555547</v>
      </c>
      <c r="BB177" s="32">
        <f t="shared" si="75"/>
        <v>0.16666666666666666</v>
      </c>
      <c r="BC177" s="7">
        <f t="shared" si="76"/>
        <v>0.80555555555555547</v>
      </c>
      <c r="BD177" s="7">
        <f t="shared" si="77"/>
        <v>0.24074074074074073</v>
      </c>
      <c r="BE177">
        <f>step3_validation[[#This Row],[AI_OUT1]]</f>
        <v>8</v>
      </c>
      <c r="BF177">
        <f t="shared" si="78"/>
        <v>0.77777777777777779</v>
      </c>
      <c r="BG177">
        <f>survey_responses[[#This Row],[Sau khi xem xét các quyền lợi và nghĩa vụ, bạn có ủng hộ và tuân thủ chính sách mới hiện nay? - HUMAN-OUT1]]</f>
        <v>4</v>
      </c>
      <c r="BH177">
        <f t="shared" si="79"/>
        <v>0.33333333333333331</v>
      </c>
      <c r="BI177" s="32">
        <f t="shared" si="80"/>
        <v>4</v>
      </c>
    </row>
    <row r="178" spans="1:61" x14ac:dyDescent="0.45">
      <c r="A178" s="30">
        <f>step3_validation[[#This Row],[Persona_ID]]</f>
        <v>177</v>
      </c>
      <c r="B178" s="31">
        <f>step3_validation[[#This Row],[Used_Seed]]</f>
        <v>177</v>
      </c>
      <c r="C178" t="str">
        <f>step3_validation[[#This Row],[Gender]]</f>
        <v>Nữ</v>
      </c>
      <c r="D178" t="str">
        <f>survey_responses[[#This Row],[Giới tính của bạn:]]</f>
        <v>Nữ</v>
      </c>
      <c r="E178" t="str">
        <f>step3_validation[[#This Row],[Age_Group]]</f>
        <v>50 - 54</v>
      </c>
      <c r="F178" t="str">
        <f>survey_responses[[#This Row],[Độ tuổi của bạn:]]</f>
        <v>50 - 54</v>
      </c>
      <c r="G178" t="str">
        <f>step3_validation[[#This Row],[Region]]</f>
        <v>Thành thị</v>
      </c>
      <c r="H178" t="str">
        <f>survey_responses[[#This Row],[Khu vực bạn đang sinh sống:]]</f>
        <v>Thành thị</v>
      </c>
      <c r="I178" t="str">
        <f>step3_validation[[#This Row],[Education]]</f>
        <v>Sau Đại học</v>
      </c>
      <c r="J178" t="str">
        <f>survey_responses[[#This Row],[Trình độ học vấn cao nhất:]]</f>
        <v>Sau Đại học</v>
      </c>
      <c r="K178" t="str">
        <f>step3_validation[[#This Row],[Employment]]</f>
        <v>Chính thức</v>
      </c>
      <c r="L178" t="str">
        <f>survey_responses[[#This Row],[Tình trạng việc làm chính:]]</f>
        <v>Khu vực chính thức (Có Hợp đồng lao động, đóng BHXH)</v>
      </c>
      <c r="M178">
        <f>step3_validation[[#This Row],[Income_Mil]]</f>
        <v>85.065936424859103</v>
      </c>
      <c r="N178" t="str">
        <f>survey_responses[[#This Row],[Thu nhập bình quân tháng theo Hợp đồng lao động của bạn là bao nhiêu? (Vui lòng điền tổng thu nhập trước khi khấu trừ các loại Bảo hiểm (BHXH, BHYT, BHTN) và Thuế TNCN)]]</f>
        <v>Từ 70 - 102 triệu VNĐ</v>
      </c>
      <c r="O178">
        <f>step3_validation[[#This Row],[Dependents]]</f>
        <v>2</v>
      </c>
      <c r="P178" t="str">
        <f>survey_responses[[#This Row],[Số người phụ thuộc (con nhỏ, cha mẹ già...) đủ điều kiện giảm trừ gia cảnh:]]</f>
        <v>2 người</v>
      </c>
      <c r="Q178">
        <f>step3_validation[[#This Row],[AI_ENF1]]</f>
        <v>7</v>
      </c>
      <c r="R178">
        <f t="shared" si="54"/>
        <v>0.66666666666666663</v>
      </c>
      <c r="S178">
        <f>survey_responses[[#This Row],[Tôi tin rằng với các quy định quản lý thuế hiện nay, hành vi gian lận hoặc trốn thuế sẽ dễ dàng bị phát hiện và xử lý nghiêm. - HUMAN-ENF1]]</f>
        <v>4</v>
      </c>
      <c r="T178">
        <f t="shared" si="55"/>
        <v>0.33333333333333331</v>
      </c>
      <c r="U178">
        <f>step3_validation[[#This Row],[AI_ENF2]]</f>
        <v>6</v>
      </c>
      <c r="V178">
        <f t="shared" si="56"/>
        <v>0.55555555555555558</v>
      </c>
      <c r="W178">
        <f>survey_responses[[#This Row],[Tôi tin rằng Nhà nước, cơ quan thuế có đủ khả năng và công nghệ để phát hiện, xử lý nghiêm các hành vi trốn thuế. - HUMAN-ENF2]]</f>
        <v>4</v>
      </c>
      <c r="X178">
        <f t="shared" si="57"/>
        <v>0.33333333333333331</v>
      </c>
      <c r="Y178" s="32">
        <f t="shared" si="58"/>
        <v>0.61111111111111116</v>
      </c>
      <c r="Z178" s="32">
        <f t="shared" si="59"/>
        <v>0.33333333333333331</v>
      </c>
      <c r="AA178">
        <f>step3_validation[[#This Row],[AI_FAC1]]</f>
        <v>8</v>
      </c>
      <c r="AB178">
        <f t="shared" si="60"/>
        <v>0.77777777777777779</v>
      </c>
      <c r="AC178">
        <f>survey_responses[[#This Row],[Các thủ tục khai báo thuế VÀ/HOẶC quy trình làm việc với cơ quan thuế đơn giản, tiện lợi, nhanh chóng hơn so với trước đây. - HUMAN-FAC1]]</f>
        <v>3</v>
      </c>
      <c r="AD178">
        <f t="shared" si="61"/>
        <v>0.22222222222222221</v>
      </c>
      <c r="AE178">
        <f>step3_validation[[#This Row],[AI_FAC2]]</f>
        <v>9</v>
      </c>
      <c r="AF178">
        <f t="shared" si="62"/>
        <v>0.88888888888888884</v>
      </c>
      <c r="AG178">
        <f>survey_responses[[#This Row],[So với trước đây, tôi thấy cách tính thuế và các bậc thuế trong phương án mới đơn giản, dễ hiểu và dễ thực hiện hơn. - HUMAN-FAC2]]</f>
        <v>5</v>
      </c>
      <c r="AH178">
        <f t="shared" si="63"/>
        <v>0.44444444444444442</v>
      </c>
      <c r="AI178" s="32">
        <f t="shared" si="64"/>
        <v>0.83333333333333326</v>
      </c>
      <c r="AJ178" s="32">
        <f t="shared" si="65"/>
        <v>0.33333333333333331</v>
      </c>
      <c r="AK178">
        <f>step3_validation[[#This Row],[AI_TRU1]]</f>
        <v>7</v>
      </c>
      <c r="AL178">
        <f t="shared" si="66"/>
        <v>0.66666666666666663</v>
      </c>
      <c r="AM178">
        <f>survey_responses[[#This Row],[Tôi tin rằng Nhà nước, cơ quan thuế sẽ thực thi chính sách mới một cách khách quan, công tâm và đối xử bình đẳng với mọi người nộp thuế.  - HUMAN-TRU1]]</f>
        <v>3</v>
      </c>
      <c r="AN178">
        <f t="shared" si="67"/>
        <v>0.22222222222222221</v>
      </c>
      <c r="AO178">
        <f>step3_validation[[#This Row],[AI_TRU2]]</f>
        <v>9</v>
      </c>
      <c r="AP178">
        <f t="shared" si="68"/>
        <v>0.88888888888888884</v>
      </c>
      <c r="AQ178">
        <f>survey_responses[[#This Row],[Tôi thấy mức thuế tôi phải đóng theo phương án mới là công bằng (người thu nhập như tôi đóng mức này là hợp lý). - HUMAN-TRU2]]</f>
        <v>2</v>
      </c>
      <c r="AR178">
        <f t="shared" si="69"/>
        <v>0.1111111111111111</v>
      </c>
      <c r="AS178">
        <f>step3_validation[[#This Row],[AI_TRU3]]</f>
        <v>7</v>
      </c>
      <c r="AT178">
        <f t="shared" si="70"/>
        <v>0.66666666666666663</v>
      </c>
      <c r="AU178">
        <f>survey_responses[[#This Row],[Tôi tin tưởng số tiền thuế tôi đóng sẽ được Nhà nước sử dụng hiệu quả để cải thiện dịch vụ công (y tế, đường xá...). - HUMAN-TRU3]]</f>
        <v>1</v>
      </c>
      <c r="AV178">
        <f t="shared" si="71"/>
        <v>0</v>
      </c>
      <c r="AW178">
        <f>step3_validation[[#This Row],[AI_TRU4]]</f>
        <v>8</v>
      </c>
      <c r="AX178">
        <f t="shared" si="72"/>
        <v>0.77777777777777779</v>
      </c>
      <c r="AY178">
        <f>survey_responses[[#This Row],[Tôi thấy Nhà nước đã giải thích rõ ràng, minh bạch về lý do và mục tiêu của việc sửa đổi thuế lần này. - HUMAN-TRU4]]</f>
        <v>1</v>
      </c>
      <c r="AZ178">
        <f t="shared" si="73"/>
        <v>0</v>
      </c>
      <c r="BA178" s="32">
        <f t="shared" si="74"/>
        <v>0.74999999999999989</v>
      </c>
      <c r="BB178" s="32">
        <f t="shared" si="75"/>
        <v>8.3333333333333329E-2</v>
      </c>
      <c r="BC178" s="7">
        <f t="shared" si="76"/>
        <v>0.7314814814814814</v>
      </c>
      <c r="BD178" s="7">
        <f t="shared" si="77"/>
        <v>0.25</v>
      </c>
      <c r="BE178">
        <f>step3_validation[[#This Row],[AI_OUT1]]</f>
        <v>9</v>
      </c>
      <c r="BF178">
        <f t="shared" si="78"/>
        <v>0.88888888888888884</v>
      </c>
      <c r="BG178">
        <f>survey_responses[[#This Row],[Sau khi xem xét các quyền lợi và nghĩa vụ, bạn có ủng hộ và tuân thủ chính sách mới hiện nay? - HUMAN-OUT1]]</f>
        <v>1</v>
      </c>
      <c r="BH178">
        <f t="shared" si="79"/>
        <v>0</v>
      </c>
      <c r="BI178" s="32">
        <f t="shared" si="80"/>
        <v>8</v>
      </c>
    </row>
    <row r="179" spans="1:61" x14ac:dyDescent="0.45">
      <c r="A179" s="30">
        <f>step3_validation[[#This Row],[Persona_ID]]</f>
        <v>178</v>
      </c>
      <c r="B179" s="31">
        <f>step3_validation[[#This Row],[Used_Seed]]</f>
        <v>178</v>
      </c>
      <c r="C179" t="str">
        <f>step3_validation[[#This Row],[Gender]]</f>
        <v>Nữ</v>
      </c>
      <c r="D179" t="str">
        <f>survey_responses[[#This Row],[Giới tính của bạn:]]</f>
        <v>Nữ</v>
      </c>
      <c r="E179" t="str">
        <f>step3_validation[[#This Row],[Age_Group]]</f>
        <v>55 - 64</v>
      </c>
      <c r="F179" t="str">
        <f>survey_responses[[#This Row],[Độ tuổi của bạn:]]</f>
        <v>55 - 64</v>
      </c>
      <c r="G179" t="str">
        <f>step3_validation[[#This Row],[Region]]</f>
        <v>Thành thị</v>
      </c>
      <c r="H179" t="str">
        <f>survey_responses[[#This Row],[Khu vực bạn đang sinh sống:]]</f>
        <v>Thành thị</v>
      </c>
      <c r="I179" t="str">
        <f>step3_validation[[#This Row],[Education]]</f>
        <v>Đại học</v>
      </c>
      <c r="J179" t="str">
        <f>survey_responses[[#This Row],[Trình độ học vấn cao nhất:]]</f>
        <v>Đại học</v>
      </c>
      <c r="K179" t="str">
        <f>step3_validation[[#This Row],[Employment]]</f>
        <v>Chính thức</v>
      </c>
      <c r="L179" t="str">
        <f>survey_responses[[#This Row],[Tình trạng việc làm chính:]]</f>
        <v>Khu vực chính thức (Có Hợp đồng lao động, đóng BHXH)</v>
      </c>
      <c r="M179">
        <f>step3_validation[[#This Row],[Income_Mil]]</f>
        <v>43.412413537834013</v>
      </c>
      <c r="N179" t="str">
        <f>survey_responses[[#This Row],[Thu nhập bình quân tháng theo Hợp đồng lao động của bạn là bao nhiêu? (Vui lòng điền tổng thu nhập trước khi khấu trừ các loại Bảo hiểm (BHXH, BHYT, BHTN) và Thuế TNCN)]]</f>
        <v>Từ 32 - 48 triệu VNĐ</v>
      </c>
      <c r="O179">
        <f>step3_validation[[#This Row],[Dependents]]</f>
        <v>4</v>
      </c>
      <c r="P179" t="str">
        <f>survey_responses[[#This Row],[Số người phụ thuộc (con nhỏ, cha mẹ già...) đủ điều kiện giảm trừ gia cảnh:]]</f>
        <v>4 người trở lên</v>
      </c>
      <c r="Q179">
        <f>step3_validation[[#This Row],[AI_ENF1]]</f>
        <v>8</v>
      </c>
      <c r="R179">
        <f t="shared" si="54"/>
        <v>0.77777777777777779</v>
      </c>
      <c r="S179">
        <f>survey_responses[[#This Row],[Tôi tin rằng với các quy định quản lý thuế hiện nay, hành vi gian lận hoặc trốn thuế sẽ dễ dàng bị phát hiện và xử lý nghiêm. - HUMAN-ENF1]]</f>
        <v>6</v>
      </c>
      <c r="T179">
        <f t="shared" si="55"/>
        <v>0.55555555555555558</v>
      </c>
      <c r="U179">
        <f>step3_validation[[#This Row],[AI_ENF2]]</f>
        <v>9</v>
      </c>
      <c r="V179">
        <f t="shared" si="56"/>
        <v>0.88888888888888884</v>
      </c>
      <c r="W179">
        <f>survey_responses[[#This Row],[Tôi tin rằng Nhà nước, cơ quan thuế có đủ khả năng và công nghệ để phát hiện, xử lý nghiêm các hành vi trốn thuế. - HUMAN-ENF2]]</f>
        <v>7</v>
      </c>
      <c r="X179">
        <f t="shared" si="57"/>
        <v>0.66666666666666663</v>
      </c>
      <c r="Y179" s="32">
        <f t="shared" si="58"/>
        <v>0.83333333333333326</v>
      </c>
      <c r="Z179" s="32">
        <f t="shared" si="59"/>
        <v>0.61111111111111116</v>
      </c>
      <c r="AA179">
        <f>step3_validation[[#This Row],[AI_FAC1]]</f>
        <v>8</v>
      </c>
      <c r="AB179">
        <f t="shared" si="60"/>
        <v>0.77777777777777779</v>
      </c>
      <c r="AC179">
        <f>survey_responses[[#This Row],[Các thủ tục khai báo thuế VÀ/HOẶC quy trình làm việc với cơ quan thuế đơn giản, tiện lợi, nhanh chóng hơn so với trước đây. - HUMAN-FAC1]]</f>
        <v>6</v>
      </c>
      <c r="AD179">
        <f t="shared" si="61"/>
        <v>0.55555555555555558</v>
      </c>
      <c r="AE179">
        <f>step3_validation[[#This Row],[AI_FAC2]]</f>
        <v>9</v>
      </c>
      <c r="AF179">
        <f t="shared" si="62"/>
        <v>0.88888888888888884</v>
      </c>
      <c r="AG179">
        <f>survey_responses[[#This Row],[So với trước đây, tôi thấy cách tính thuế và các bậc thuế trong phương án mới đơn giản, dễ hiểu và dễ thực hiện hơn. - HUMAN-FAC2]]</f>
        <v>6</v>
      </c>
      <c r="AH179">
        <f t="shared" si="63"/>
        <v>0.55555555555555558</v>
      </c>
      <c r="AI179" s="32">
        <f t="shared" si="64"/>
        <v>0.83333333333333326</v>
      </c>
      <c r="AJ179" s="32">
        <f t="shared" si="65"/>
        <v>0.55555555555555558</v>
      </c>
      <c r="AK179">
        <f>step3_validation[[#This Row],[AI_TRU1]]</f>
        <v>8</v>
      </c>
      <c r="AL179">
        <f t="shared" si="66"/>
        <v>0.77777777777777779</v>
      </c>
      <c r="AM179">
        <f>survey_responses[[#This Row],[Tôi tin rằng Nhà nước, cơ quan thuế sẽ thực thi chính sách mới một cách khách quan, công tâm và đối xử bình đẳng với mọi người nộp thuế.  - HUMAN-TRU1]]</f>
        <v>6</v>
      </c>
      <c r="AN179">
        <f t="shared" si="67"/>
        <v>0.55555555555555558</v>
      </c>
      <c r="AO179">
        <f>step3_validation[[#This Row],[AI_TRU2]]</f>
        <v>9</v>
      </c>
      <c r="AP179">
        <f t="shared" si="68"/>
        <v>0.88888888888888884</v>
      </c>
      <c r="AQ179">
        <f>survey_responses[[#This Row],[Tôi thấy mức thuế tôi phải đóng theo phương án mới là công bằng (người thu nhập như tôi đóng mức này là hợp lý). - HUMAN-TRU2]]</f>
        <v>7</v>
      </c>
      <c r="AR179">
        <f t="shared" si="69"/>
        <v>0.66666666666666663</v>
      </c>
      <c r="AS179">
        <f>step3_validation[[#This Row],[AI_TRU3]]</f>
        <v>8</v>
      </c>
      <c r="AT179">
        <f t="shared" si="70"/>
        <v>0.77777777777777779</v>
      </c>
      <c r="AU179">
        <f>survey_responses[[#This Row],[Tôi tin tưởng số tiền thuế tôi đóng sẽ được Nhà nước sử dụng hiệu quả để cải thiện dịch vụ công (y tế, đường xá...). - HUMAN-TRU3]]</f>
        <v>5</v>
      </c>
      <c r="AV179">
        <f t="shared" si="71"/>
        <v>0.44444444444444442</v>
      </c>
      <c r="AW179">
        <f>step3_validation[[#This Row],[AI_TRU4]]</f>
        <v>9</v>
      </c>
      <c r="AX179">
        <f t="shared" si="72"/>
        <v>0.88888888888888884</v>
      </c>
      <c r="AY179">
        <f>survey_responses[[#This Row],[Tôi thấy Nhà nước đã giải thích rõ ràng, minh bạch về lý do và mục tiêu của việc sửa đổi thuế lần này. - HUMAN-TRU4]]</f>
        <v>6</v>
      </c>
      <c r="AZ179">
        <f t="shared" si="73"/>
        <v>0.55555555555555558</v>
      </c>
      <c r="BA179" s="32">
        <f t="shared" si="74"/>
        <v>0.83333333333333326</v>
      </c>
      <c r="BB179" s="32">
        <f t="shared" si="75"/>
        <v>0.55555555555555558</v>
      </c>
      <c r="BC179" s="7">
        <f t="shared" si="76"/>
        <v>0.83333333333333337</v>
      </c>
      <c r="BD179" s="7">
        <f t="shared" si="77"/>
        <v>0.57407407407407407</v>
      </c>
      <c r="BE179">
        <f>step3_validation[[#This Row],[AI_OUT1]]</f>
        <v>8</v>
      </c>
      <c r="BF179">
        <f t="shared" si="78"/>
        <v>0.77777777777777779</v>
      </c>
      <c r="BG179">
        <f>survey_responses[[#This Row],[Sau khi xem xét các quyền lợi và nghĩa vụ, bạn có ủng hộ và tuân thủ chính sách mới hiện nay? - HUMAN-OUT1]]</f>
        <v>7</v>
      </c>
      <c r="BH179">
        <f t="shared" si="79"/>
        <v>0.66666666666666663</v>
      </c>
      <c r="BI179" s="32">
        <f t="shared" si="80"/>
        <v>1</v>
      </c>
    </row>
    <row r="180" spans="1:61" x14ac:dyDescent="0.45">
      <c r="A180" s="30">
        <f>step3_validation[[#This Row],[Persona_ID]]</f>
        <v>179</v>
      </c>
      <c r="B180" s="31">
        <f>step3_validation[[#This Row],[Used_Seed]]</f>
        <v>179</v>
      </c>
      <c r="C180" t="str">
        <f>step3_validation[[#This Row],[Gender]]</f>
        <v>Nữ</v>
      </c>
      <c r="D180" t="str">
        <f>survey_responses[[#This Row],[Giới tính của bạn:]]</f>
        <v>Nữ</v>
      </c>
      <c r="E180" t="str">
        <f>step3_validation[[#This Row],[Age_Group]]</f>
        <v>30 - 39</v>
      </c>
      <c r="F180" t="str">
        <f>survey_responses[[#This Row],[Độ tuổi của bạn:]]</f>
        <v>30 - 39</v>
      </c>
      <c r="G180" t="str">
        <f>step3_validation[[#This Row],[Region]]</f>
        <v>Thành thị</v>
      </c>
      <c r="H180" t="str">
        <f>survey_responses[[#This Row],[Khu vực bạn đang sinh sống:]]</f>
        <v>Thành thị</v>
      </c>
      <c r="I180" t="str">
        <f>step3_validation[[#This Row],[Education]]</f>
        <v>Sau Đại học</v>
      </c>
      <c r="J180" t="str">
        <f>survey_responses[[#This Row],[Trình độ học vấn cao nhất:]]</f>
        <v>Sau Đại học</v>
      </c>
      <c r="K180" t="str">
        <f>step3_validation[[#This Row],[Employment]]</f>
        <v>Chính thức</v>
      </c>
      <c r="L180" t="str">
        <f>survey_responses[[#This Row],[Tình trạng việc làm chính:]]</f>
        <v>Khu vực chính thức (Có Hợp đồng lao động, đóng BHXH)</v>
      </c>
      <c r="M180">
        <f>step3_validation[[#This Row],[Income_Mil]]</f>
        <v>30.344556229156154</v>
      </c>
      <c r="N180" t="str">
        <f>survey_responses[[#This Row],[Thu nhập bình quân tháng theo Hợp đồng lao động của bạn là bao nhiêu? (Vui lòng điền tổng thu nhập trước khi khấu trừ các loại Bảo hiểm (BHXH, BHYT, BHTN) và Thuế TNCN)]]</f>
        <v>Từ 23 - 32 triệu VNĐ</v>
      </c>
      <c r="O180">
        <f>step3_validation[[#This Row],[Dependents]]</f>
        <v>1</v>
      </c>
      <c r="P180" t="str">
        <f>survey_responses[[#This Row],[Số người phụ thuộc (con nhỏ, cha mẹ già...) đủ điều kiện giảm trừ gia cảnh:]]</f>
        <v>1 người</v>
      </c>
      <c r="Q180">
        <f>step3_validation[[#This Row],[AI_ENF1]]</f>
        <v>6</v>
      </c>
      <c r="R180">
        <f t="shared" si="54"/>
        <v>0.55555555555555558</v>
      </c>
      <c r="S180">
        <f>survey_responses[[#This Row],[Tôi tin rằng với các quy định quản lý thuế hiện nay, hành vi gian lận hoặc trốn thuế sẽ dễ dàng bị phát hiện và xử lý nghiêm. - HUMAN-ENF1]]</f>
        <v>7</v>
      </c>
      <c r="T180">
        <f t="shared" si="55"/>
        <v>0.66666666666666663</v>
      </c>
      <c r="U180">
        <f>step3_validation[[#This Row],[AI_ENF2]]</f>
        <v>7</v>
      </c>
      <c r="V180">
        <f t="shared" si="56"/>
        <v>0.66666666666666663</v>
      </c>
      <c r="W180">
        <f>survey_responses[[#This Row],[Tôi tin rằng Nhà nước, cơ quan thuế có đủ khả năng và công nghệ để phát hiện, xử lý nghiêm các hành vi trốn thuế. - HUMAN-ENF2]]</f>
        <v>7</v>
      </c>
      <c r="X180">
        <f t="shared" si="57"/>
        <v>0.66666666666666663</v>
      </c>
      <c r="Y180" s="32">
        <f t="shared" si="58"/>
        <v>0.61111111111111116</v>
      </c>
      <c r="Z180" s="32">
        <f t="shared" si="59"/>
        <v>0.66666666666666663</v>
      </c>
      <c r="AA180">
        <f>step3_validation[[#This Row],[AI_FAC1]]</f>
        <v>5</v>
      </c>
      <c r="AB180">
        <f t="shared" si="60"/>
        <v>0.44444444444444442</v>
      </c>
      <c r="AC180">
        <f>survey_responses[[#This Row],[Các thủ tục khai báo thuế VÀ/HOẶC quy trình làm việc với cơ quan thuế đơn giản, tiện lợi, nhanh chóng hơn so với trước đây. - HUMAN-FAC1]]</f>
        <v>7</v>
      </c>
      <c r="AD180">
        <f t="shared" si="61"/>
        <v>0.66666666666666663</v>
      </c>
      <c r="AE180">
        <f>step3_validation[[#This Row],[AI_FAC2]]</f>
        <v>8</v>
      </c>
      <c r="AF180">
        <f t="shared" si="62"/>
        <v>0.77777777777777779</v>
      </c>
      <c r="AG180">
        <f>survey_responses[[#This Row],[So với trước đây, tôi thấy cách tính thuế và các bậc thuế trong phương án mới đơn giản, dễ hiểu và dễ thực hiện hơn. - HUMAN-FAC2]]</f>
        <v>8</v>
      </c>
      <c r="AH180">
        <f t="shared" si="63"/>
        <v>0.77777777777777779</v>
      </c>
      <c r="AI180" s="32">
        <f t="shared" si="64"/>
        <v>0.61111111111111116</v>
      </c>
      <c r="AJ180" s="32">
        <f t="shared" si="65"/>
        <v>0.72222222222222221</v>
      </c>
      <c r="AK180">
        <f>step3_validation[[#This Row],[AI_TRU1]]</f>
        <v>7</v>
      </c>
      <c r="AL180">
        <f t="shared" si="66"/>
        <v>0.66666666666666663</v>
      </c>
      <c r="AM180">
        <f>survey_responses[[#This Row],[Tôi tin rằng Nhà nước, cơ quan thuế sẽ thực thi chính sách mới một cách khách quan, công tâm và đối xử bình đẳng với mọi người nộp thuế.  - HUMAN-TRU1]]</f>
        <v>7</v>
      </c>
      <c r="AN180">
        <f t="shared" si="67"/>
        <v>0.66666666666666663</v>
      </c>
      <c r="AO180">
        <f>step3_validation[[#This Row],[AI_TRU2]]</f>
        <v>8</v>
      </c>
      <c r="AP180">
        <f t="shared" si="68"/>
        <v>0.77777777777777779</v>
      </c>
      <c r="AQ180">
        <f>survey_responses[[#This Row],[Tôi thấy mức thuế tôi phải đóng theo phương án mới là công bằng (người thu nhập như tôi đóng mức này là hợp lý). - HUMAN-TRU2]]</f>
        <v>8</v>
      </c>
      <c r="AR180">
        <f t="shared" si="69"/>
        <v>0.77777777777777779</v>
      </c>
      <c r="AS180">
        <f>step3_validation[[#This Row],[AI_TRU3]]</f>
        <v>6</v>
      </c>
      <c r="AT180">
        <f t="shared" si="70"/>
        <v>0.55555555555555558</v>
      </c>
      <c r="AU180">
        <f>survey_responses[[#This Row],[Tôi tin tưởng số tiền thuế tôi đóng sẽ được Nhà nước sử dụng hiệu quả để cải thiện dịch vụ công (y tế, đường xá...). - HUMAN-TRU3]]</f>
        <v>7</v>
      </c>
      <c r="AV180">
        <f t="shared" si="71"/>
        <v>0.66666666666666663</v>
      </c>
      <c r="AW180">
        <f>step3_validation[[#This Row],[AI_TRU4]]</f>
        <v>7</v>
      </c>
      <c r="AX180">
        <f t="shared" si="72"/>
        <v>0.66666666666666663</v>
      </c>
      <c r="AY180">
        <f>survey_responses[[#This Row],[Tôi thấy Nhà nước đã giải thích rõ ràng, minh bạch về lý do và mục tiêu của việc sửa đổi thuế lần này. - HUMAN-TRU4]]</f>
        <v>7</v>
      </c>
      <c r="AZ180">
        <f t="shared" si="73"/>
        <v>0.66666666666666663</v>
      </c>
      <c r="BA180" s="32">
        <f t="shared" si="74"/>
        <v>0.66666666666666663</v>
      </c>
      <c r="BB180" s="32">
        <f t="shared" si="75"/>
        <v>0.69444444444444442</v>
      </c>
      <c r="BC180" s="7">
        <f t="shared" si="76"/>
        <v>0.62962962962962965</v>
      </c>
      <c r="BD180" s="7">
        <f t="shared" si="77"/>
        <v>0.69444444444444431</v>
      </c>
      <c r="BE180">
        <f>step3_validation[[#This Row],[AI_OUT1]]</f>
        <v>9</v>
      </c>
      <c r="BF180">
        <f t="shared" si="78"/>
        <v>0.88888888888888884</v>
      </c>
      <c r="BG180">
        <f>survey_responses[[#This Row],[Sau khi xem xét các quyền lợi và nghĩa vụ, bạn có ủng hộ và tuân thủ chính sách mới hiện nay? - HUMAN-OUT1]]</f>
        <v>8</v>
      </c>
      <c r="BH180">
        <f t="shared" si="79"/>
        <v>0.77777777777777779</v>
      </c>
      <c r="BI180" s="32">
        <f t="shared" si="80"/>
        <v>1</v>
      </c>
    </row>
    <row r="181" spans="1:61" x14ac:dyDescent="0.45">
      <c r="A181" s="30">
        <f>step3_validation[[#This Row],[Persona_ID]]</f>
        <v>180</v>
      </c>
      <c r="B181" s="31">
        <f>step3_validation[[#This Row],[Used_Seed]]</f>
        <v>180</v>
      </c>
      <c r="C181" t="str">
        <f>step3_validation[[#This Row],[Gender]]</f>
        <v>Nữ</v>
      </c>
      <c r="D181" t="str">
        <f>survey_responses[[#This Row],[Giới tính của bạn:]]</f>
        <v>Nữ</v>
      </c>
      <c r="E181" t="str">
        <f>step3_validation[[#This Row],[Age_Group]]</f>
        <v>40 - 49</v>
      </c>
      <c r="F181" t="str">
        <f>survey_responses[[#This Row],[Độ tuổi của bạn:]]</f>
        <v>40 - 49</v>
      </c>
      <c r="G181" t="str">
        <f>step3_validation[[#This Row],[Region]]</f>
        <v>Thành thị</v>
      </c>
      <c r="H181" t="str">
        <f>survey_responses[[#This Row],[Khu vực bạn đang sinh sống:]]</f>
        <v>Thành thị</v>
      </c>
      <c r="I181" t="str">
        <f>step3_validation[[#This Row],[Education]]</f>
        <v>Đại học</v>
      </c>
      <c r="J181" t="str">
        <f>survey_responses[[#This Row],[Trình độ học vấn cao nhất:]]</f>
        <v>Đại học</v>
      </c>
      <c r="K181" t="str">
        <f>step3_validation[[#This Row],[Employment]]</f>
        <v>Chính thức</v>
      </c>
      <c r="L181" t="str">
        <f>survey_responses[[#This Row],[Tình trạng việc làm chính:]]</f>
        <v>Khu vực chính thức (Có Hợp đồng lao động, đóng BHXH)</v>
      </c>
      <c r="M181">
        <f>step3_validation[[#This Row],[Income_Mil]]</f>
        <v>60.097183385871624</v>
      </c>
      <c r="N181" t="str">
        <f>survey_responses[[#This Row],[Thu nhập bình quân tháng theo Hợp đồng lao động của bạn là bao nhiêu? (Vui lòng điền tổng thu nhập trước khi khấu trừ các loại Bảo hiểm (BHXH, BHYT, BHTN) và Thuế TNCN)]]</f>
        <v>Từ 48 - 70 triệu VNĐ</v>
      </c>
      <c r="O181">
        <f>step3_validation[[#This Row],[Dependents]]</f>
        <v>1</v>
      </c>
      <c r="P181" t="str">
        <f>survey_responses[[#This Row],[Số người phụ thuộc (con nhỏ, cha mẹ già...) đủ điều kiện giảm trừ gia cảnh:]]</f>
        <v>1 người</v>
      </c>
      <c r="Q181">
        <f>step3_validation[[#This Row],[AI_ENF1]]</f>
        <v>7</v>
      </c>
      <c r="R181">
        <f t="shared" si="54"/>
        <v>0.66666666666666663</v>
      </c>
      <c r="S181">
        <f>survey_responses[[#This Row],[Tôi tin rằng với các quy định quản lý thuế hiện nay, hành vi gian lận hoặc trốn thuế sẽ dễ dàng bị phát hiện và xử lý nghiêm. - HUMAN-ENF1]]</f>
        <v>5</v>
      </c>
      <c r="T181">
        <f t="shared" si="55"/>
        <v>0.44444444444444442</v>
      </c>
      <c r="U181">
        <f>step3_validation[[#This Row],[AI_ENF2]]</f>
        <v>8</v>
      </c>
      <c r="V181">
        <f t="shared" si="56"/>
        <v>0.77777777777777779</v>
      </c>
      <c r="W181">
        <f>survey_responses[[#This Row],[Tôi tin rằng Nhà nước, cơ quan thuế có đủ khả năng và công nghệ để phát hiện, xử lý nghiêm các hành vi trốn thuế. - HUMAN-ENF2]]</f>
        <v>5</v>
      </c>
      <c r="X181">
        <f t="shared" si="57"/>
        <v>0.44444444444444442</v>
      </c>
      <c r="Y181" s="32">
        <f t="shared" si="58"/>
        <v>0.72222222222222221</v>
      </c>
      <c r="Z181" s="32">
        <f t="shared" si="59"/>
        <v>0.44444444444444442</v>
      </c>
      <c r="AA181">
        <f>step3_validation[[#This Row],[AI_FAC1]]</f>
        <v>9</v>
      </c>
      <c r="AB181">
        <f t="shared" si="60"/>
        <v>0.88888888888888884</v>
      </c>
      <c r="AC181">
        <f>survey_responses[[#This Row],[Các thủ tục khai báo thuế VÀ/HOẶC quy trình làm việc với cơ quan thuế đơn giản, tiện lợi, nhanh chóng hơn so với trước đây. - HUMAN-FAC1]]</f>
        <v>5</v>
      </c>
      <c r="AD181">
        <f t="shared" si="61"/>
        <v>0.44444444444444442</v>
      </c>
      <c r="AE181">
        <f>step3_validation[[#This Row],[AI_FAC2]]</f>
        <v>9</v>
      </c>
      <c r="AF181">
        <f t="shared" si="62"/>
        <v>0.88888888888888884</v>
      </c>
      <c r="AG181">
        <f>survey_responses[[#This Row],[So với trước đây, tôi thấy cách tính thuế và các bậc thuế trong phương án mới đơn giản, dễ hiểu và dễ thực hiện hơn. - HUMAN-FAC2]]</f>
        <v>7</v>
      </c>
      <c r="AH181">
        <f t="shared" si="63"/>
        <v>0.66666666666666663</v>
      </c>
      <c r="AI181" s="32">
        <f t="shared" si="64"/>
        <v>0.88888888888888884</v>
      </c>
      <c r="AJ181" s="32">
        <f t="shared" si="65"/>
        <v>0.55555555555555558</v>
      </c>
      <c r="AK181">
        <f>step3_validation[[#This Row],[AI_TRU1]]</f>
        <v>8</v>
      </c>
      <c r="AL181">
        <f t="shared" si="66"/>
        <v>0.77777777777777779</v>
      </c>
      <c r="AM181">
        <f>survey_responses[[#This Row],[Tôi tin rằng Nhà nước, cơ quan thuế sẽ thực thi chính sách mới một cách khách quan, công tâm và đối xử bình đẳng với mọi người nộp thuế.  - HUMAN-TRU1]]</f>
        <v>5</v>
      </c>
      <c r="AN181">
        <f t="shared" si="67"/>
        <v>0.44444444444444442</v>
      </c>
      <c r="AO181">
        <f>step3_validation[[#This Row],[AI_TRU2]]</f>
        <v>9</v>
      </c>
      <c r="AP181">
        <f t="shared" si="68"/>
        <v>0.88888888888888884</v>
      </c>
      <c r="AQ181">
        <f>survey_responses[[#This Row],[Tôi thấy mức thuế tôi phải đóng theo phương án mới là công bằng (người thu nhập như tôi đóng mức này là hợp lý). - HUMAN-TRU2]]</f>
        <v>6</v>
      </c>
      <c r="AR181">
        <f t="shared" si="69"/>
        <v>0.55555555555555558</v>
      </c>
      <c r="AS181">
        <f>step3_validation[[#This Row],[AI_TRU3]]</f>
        <v>8</v>
      </c>
      <c r="AT181">
        <f t="shared" si="70"/>
        <v>0.77777777777777779</v>
      </c>
      <c r="AU181">
        <f>survey_responses[[#This Row],[Tôi tin tưởng số tiền thuế tôi đóng sẽ được Nhà nước sử dụng hiệu quả để cải thiện dịch vụ công (y tế, đường xá...). - HUMAN-TRU3]]</f>
        <v>5</v>
      </c>
      <c r="AV181">
        <f t="shared" si="71"/>
        <v>0.44444444444444442</v>
      </c>
      <c r="AW181">
        <f>step3_validation[[#This Row],[AI_TRU4]]</f>
        <v>7</v>
      </c>
      <c r="AX181">
        <f t="shared" si="72"/>
        <v>0.66666666666666663</v>
      </c>
      <c r="AY181">
        <f>survey_responses[[#This Row],[Tôi thấy Nhà nước đã giải thích rõ ràng, minh bạch về lý do và mục tiêu của việc sửa đổi thuế lần này. - HUMAN-TRU4]]</f>
        <v>7</v>
      </c>
      <c r="AZ181">
        <f t="shared" si="73"/>
        <v>0.66666666666666663</v>
      </c>
      <c r="BA181" s="32">
        <f t="shared" si="74"/>
        <v>0.77777777777777768</v>
      </c>
      <c r="BB181" s="32">
        <f t="shared" si="75"/>
        <v>0.52777777777777779</v>
      </c>
      <c r="BC181" s="7">
        <f t="shared" si="76"/>
        <v>0.79629629629629628</v>
      </c>
      <c r="BD181" s="7">
        <f t="shared" si="77"/>
        <v>0.50925925925925919</v>
      </c>
      <c r="BE181">
        <f>step3_validation[[#This Row],[AI_OUT1]]</f>
        <v>9</v>
      </c>
      <c r="BF181">
        <f t="shared" si="78"/>
        <v>0.88888888888888884</v>
      </c>
      <c r="BG181">
        <f>survey_responses[[#This Row],[Sau khi xem xét các quyền lợi và nghĩa vụ, bạn có ủng hộ và tuân thủ chính sách mới hiện nay? - HUMAN-OUT1]]</f>
        <v>7</v>
      </c>
      <c r="BH181">
        <f t="shared" si="79"/>
        <v>0.66666666666666663</v>
      </c>
      <c r="BI181" s="32">
        <f t="shared" si="80"/>
        <v>2</v>
      </c>
    </row>
    <row r="182" spans="1:61" x14ac:dyDescent="0.45">
      <c r="A182" s="30">
        <f>step3_validation[[#This Row],[Persona_ID]]</f>
        <v>181</v>
      </c>
      <c r="B182" s="31">
        <f>step3_validation[[#This Row],[Used_Seed]]</f>
        <v>181</v>
      </c>
      <c r="C182" t="str">
        <f>step3_validation[[#This Row],[Gender]]</f>
        <v>Nữ</v>
      </c>
      <c r="D182" t="str">
        <f>survey_responses[[#This Row],[Giới tính của bạn:]]</f>
        <v>Nữ</v>
      </c>
      <c r="E182" t="str">
        <f>step3_validation[[#This Row],[Age_Group]]</f>
        <v>30 - 39</v>
      </c>
      <c r="F182" t="str">
        <f>survey_responses[[#This Row],[Độ tuổi của bạn:]]</f>
        <v>30 - 39</v>
      </c>
      <c r="G182" t="str">
        <f>step3_validation[[#This Row],[Region]]</f>
        <v>Thành thị</v>
      </c>
      <c r="H182" t="str">
        <f>survey_responses[[#This Row],[Khu vực bạn đang sinh sống:]]</f>
        <v>Thành thị</v>
      </c>
      <c r="I182" t="str">
        <f>step3_validation[[#This Row],[Education]]</f>
        <v>Sau Đại học</v>
      </c>
      <c r="J182" t="str">
        <f>survey_responses[[#This Row],[Trình độ học vấn cao nhất:]]</f>
        <v>Sau Đại học</v>
      </c>
      <c r="K182" t="str">
        <f>step3_validation[[#This Row],[Employment]]</f>
        <v>Chính thức</v>
      </c>
      <c r="L182" t="str">
        <f>survey_responses[[#This Row],[Tình trạng việc làm chính:]]</f>
        <v>Khu vực chính thức (Có Hợp đồng lao động, đóng BHXH)</v>
      </c>
      <c r="M182">
        <f>step3_validation[[#This Row],[Income_Mil]]</f>
        <v>64.510814561887784</v>
      </c>
      <c r="N182" t="str">
        <f>survey_responses[[#This Row],[Thu nhập bình quân tháng theo Hợp đồng lao động của bạn là bao nhiêu? (Vui lòng điền tổng thu nhập trước khi khấu trừ các loại Bảo hiểm (BHXH, BHYT, BHTN) và Thuế TNCN)]]</f>
        <v>Từ 48 - 70 triệu VNĐ</v>
      </c>
      <c r="O182">
        <f>step3_validation[[#This Row],[Dependents]]</f>
        <v>2</v>
      </c>
      <c r="P182" t="str">
        <f>survey_responses[[#This Row],[Số người phụ thuộc (con nhỏ, cha mẹ già...) đủ điều kiện giảm trừ gia cảnh:]]</f>
        <v>2 người</v>
      </c>
      <c r="Q182">
        <f>step3_validation[[#This Row],[AI_ENF1]]</f>
        <v>6</v>
      </c>
      <c r="R182">
        <f t="shared" si="54"/>
        <v>0.55555555555555558</v>
      </c>
      <c r="S182">
        <f>survey_responses[[#This Row],[Tôi tin rằng với các quy định quản lý thuế hiện nay, hành vi gian lận hoặc trốn thuế sẽ dễ dàng bị phát hiện và xử lý nghiêm. - HUMAN-ENF1]]</f>
        <v>6</v>
      </c>
      <c r="T182">
        <f t="shared" si="55"/>
        <v>0.55555555555555558</v>
      </c>
      <c r="U182">
        <f>step3_validation[[#This Row],[AI_ENF2]]</f>
        <v>7</v>
      </c>
      <c r="V182">
        <f t="shared" si="56"/>
        <v>0.66666666666666663</v>
      </c>
      <c r="W182">
        <f>survey_responses[[#This Row],[Tôi tin rằng Nhà nước, cơ quan thuế có đủ khả năng và công nghệ để phát hiện, xử lý nghiêm các hành vi trốn thuế. - HUMAN-ENF2]]</f>
        <v>7</v>
      </c>
      <c r="X182">
        <f t="shared" si="57"/>
        <v>0.66666666666666663</v>
      </c>
      <c r="Y182" s="32">
        <f t="shared" si="58"/>
        <v>0.61111111111111116</v>
      </c>
      <c r="Z182" s="32">
        <f t="shared" si="59"/>
        <v>0.61111111111111116</v>
      </c>
      <c r="AA182">
        <f>step3_validation[[#This Row],[AI_FAC1]]</f>
        <v>9</v>
      </c>
      <c r="AB182">
        <f t="shared" si="60"/>
        <v>0.88888888888888884</v>
      </c>
      <c r="AC182">
        <f>survey_responses[[#This Row],[Các thủ tục khai báo thuế VÀ/HOẶC quy trình làm việc với cơ quan thuế đơn giản, tiện lợi, nhanh chóng hơn so với trước đây. - HUMAN-FAC1]]</f>
        <v>7</v>
      </c>
      <c r="AD182">
        <f t="shared" si="61"/>
        <v>0.66666666666666663</v>
      </c>
      <c r="AE182">
        <f>step3_validation[[#This Row],[AI_FAC2]]</f>
        <v>10</v>
      </c>
      <c r="AF182">
        <f t="shared" si="62"/>
        <v>1</v>
      </c>
      <c r="AG182">
        <f>survey_responses[[#This Row],[So với trước đây, tôi thấy cách tính thuế và các bậc thuế trong phương án mới đơn giản, dễ hiểu và dễ thực hiện hơn. - HUMAN-FAC2]]</f>
        <v>8</v>
      </c>
      <c r="AH182">
        <f t="shared" si="63"/>
        <v>0.77777777777777779</v>
      </c>
      <c r="AI182" s="32">
        <f t="shared" si="64"/>
        <v>0.94444444444444442</v>
      </c>
      <c r="AJ182" s="32">
        <f t="shared" si="65"/>
        <v>0.72222222222222221</v>
      </c>
      <c r="AK182">
        <f>step3_validation[[#This Row],[AI_TRU1]]</f>
        <v>8</v>
      </c>
      <c r="AL182">
        <f t="shared" si="66"/>
        <v>0.77777777777777779</v>
      </c>
      <c r="AM182">
        <f>survey_responses[[#This Row],[Tôi tin rằng Nhà nước, cơ quan thuế sẽ thực thi chính sách mới một cách khách quan, công tâm và đối xử bình đẳng với mọi người nộp thuế.  - HUMAN-TRU1]]</f>
        <v>8</v>
      </c>
      <c r="AN182">
        <f t="shared" si="67"/>
        <v>0.77777777777777779</v>
      </c>
      <c r="AO182">
        <f>step3_validation[[#This Row],[AI_TRU2]]</f>
        <v>9</v>
      </c>
      <c r="AP182">
        <f t="shared" si="68"/>
        <v>0.88888888888888884</v>
      </c>
      <c r="AQ182">
        <f>survey_responses[[#This Row],[Tôi thấy mức thuế tôi phải đóng theo phương án mới là công bằng (người thu nhập như tôi đóng mức này là hợp lý). - HUMAN-TRU2]]</f>
        <v>7</v>
      </c>
      <c r="AR182">
        <f t="shared" si="69"/>
        <v>0.66666666666666663</v>
      </c>
      <c r="AS182">
        <f>step3_validation[[#This Row],[AI_TRU3]]</f>
        <v>7</v>
      </c>
      <c r="AT182">
        <f t="shared" si="70"/>
        <v>0.66666666666666663</v>
      </c>
      <c r="AU182">
        <f>survey_responses[[#This Row],[Tôi tin tưởng số tiền thuế tôi đóng sẽ được Nhà nước sử dụng hiệu quả để cải thiện dịch vụ công (y tế, đường xá...). - HUMAN-TRU3]]</f>
        <v>5</v>
      </c>
      <c r="AV182">
        <f t="shared" si="71"/>
        <v>0.44444444444444442</v>
      </c>
      <c r="AW182">
        <f>step3_validation[[#This Row],[AI_TRU4]]</f>
        <v>6</v>
      </c>
      <c r="AX182">
        <f t="shared" si="72"/>
        <v>0.55555555555555558</v>
      </c>
      <c r="AY182">
        <f>survey_responses[[#This Row],[Tôi thấy Nhà nước đã giải thích rõ ràng, minh bạch về lý do và mục tiêu của việc sửa đổi thuế lần này. - HUMAN-TRU4]]</f>
        <v>7</v>
      </c>
      <c r="AZ182">
        <f t="shared" si="73"/>
        <v>0.66666666666666663</v>
      </c>
      <c r="BA182" s="32">
        <f t="shared" si="74"/>
        <v>0.7222222222222221</v>
      </c>
      <c r="BB182" s="32">
        <f t="shared" si="75"/>
        <v>0.63888888888888884</v>
      </c>
      <c r="BC182" s="7">
        <f t="shared" si="76"/>
        <v>0.75925925925925919</v>
      </c>
      <c r="BD182" s="7">
        <f t="shared" si="77"/>
        <v>0.65740740740740744</v>
      </c>
      <c r="BE182">
        <f>step3_validation[[#This Row],[AI_OUT1]]</f>
        <v>8</v>
      </c>
      <c r="BF182">
        <f t="shared" si="78"/>
        <v>0.77777777777777779</v>
      </c>
      <c r="BG182">
        <f>survey_responses[[#This Row],[Sau khi xem xét các quyền lợi và nghĩa vụ, bạn có ủng hộ và tuân thủ chính sách mới hiện nay? - HUMAN-OUT1]]</f>
        <v>7</v>
      </c>
      <c r="BH182">
        <f t="shared" si="79"/>
        <v>0.66666666666666663</v>
      </c>
      <c r="BI182" s="32">
        <f t="shared" si="80"/>
        <v>1</v>
      </c>
    </row>
    <row r="183" spans="1:61" x14ac:dyDescent="0.45">
      <c r="A183" s="30">
        <f>step3_validation[[#This Row],[Persona_ID]]</f>
        <v>182</v>
      </c>
      <c r="B183" s="31">
        <f>step3_validation[[#This Row],[Used_Seed]]</f>
        <v>182</v>
      </c>
      <c r="C183" t="str">
        <f>step3_validation[[#This Row],[Gender]]</f>
        <v>Nữ</v>
      </c>
      <c r="D183" t="str">
        <f>survey_responses[[#This Row],[Giới tính của bạn:]]</f>
        <v>Nữ</v>
      </c>
      <c r="E183" t="str">
        <f>step3_validation[[#This Row],[Age_Group]]</f>
        <v>25 - 29</v>
      </c>
      <c r="F183" t="str">
        <f>survey_responses[[#This Row],[Độ tuổi của bạn:]]</f>
        <v>25 - 29</v>
      </c>
      <c r="G183" t="str">
        <f>step3_validation[[#This Row],[Region]]</f>
        <v>Thành thị</v>
      </c>
      <c r="H183" t="str">
        <f>survey_responses[[#This Row],[Khu vực bạn đang sinh sống:]]</f>
        <v>Thành thị</v>
      </c>
      <c r="I183" t="str">
        <f>step3_validation[[#This Row],[Education]]</f>
        <v>Đại học</v>
      </c>
      <c r="J183" t="str">
        <f>survey_responses[[#This Row],[Trình độ học vấn cao nhất:]]</f>
        <v>Đại học</v>
      </c>
      <c r="K183" t="str">
        <f>step3_validation[[#This Row],[Employment]]</f>
        <v>Chính thức</v>
      </c>
      <c r="L183" t="str">
        <f>survey_responses[[#This Row],[Tình trạng việc làm chính:]]</f>
        <v>Khu vực chính thức (Có Hợp đồng lao động, đóng BHXH)</v>
      </c>
      <c r="M183">
        <f>step3_validation[[#This Row],[Income_Mil]]</f>
        <v>24.327818242433288</v>
      </c>
      <c r="N183" t="str">
        <f>survey_responses[[#This Row],[Thu nhập bình quân tháng theo Hợp đồng lao động của bạn là bao nhiêu? (Vui lòng điền tổng thu nhập trước khi khấu trừ các loại Bảo hiểm (BHXH, BHYT, BHTN) và Thuế TNCN)]]</f>
        <v>Từ 23 - 32 triệu VNĐ</v>
      </c>
      <c r="O183">
        <f>step3_validation[[#This Row],[Dependents]]</f>
        <v>0</v>
      </c>
      <c r="P183" t="str">
        <f>survey_responses[[#This Row],[Số người phụ thuộc (con nhỏ, cha mẹ già...) đủ điều kiện giảm trừ gia cảnh:]]</f>
        <v>0 người</v>
      </c>
      <c r="Q183">
        <f>step3_validation[[#This Row],[AI_ENF1]]</f>
        <v>9</v>
      </c>
      <c r="R183">
        <f t="shared" si="54"/>
        <v>0.88888888888888884</v>
      </c>
      <c r="S183">
        <f>survey_responses[[#This Row],[Tôi tin rằng với các quy định quản lý thuế hiện nay, hành vi gian lận hoặc trốn thuế sẽ dễ dàng bị phát hiện và xử lý nghiêm. - HUMAN-ENF1]]</f>
        <v>8</v>
      </c>
      <c r="T183">
        <f t="shared" si="55"/>
        <v>0.77777777777777779</v>
      </c>
      <c r="U183">
        <f>step3_validation[[#This Row],[AI_ENF2]]</f>
        <v>8</v>
      </c>
      <c r="V183">
        <f t="shared" si="56"/>
        <v>0.77777777777777779</v>
      </c>
      <c r="W183">
        <f>survey_responses[[#This Row],[Tôi tin rằng Nhà nước, cơ quan thuế có đủ khả năng và công nghệ để phát hiện, xử lý nghiêm các hành vi trốn thuế. - HUMAN-ENF2]]</f>
        <v>8</v>
      </c>
      <c r="X183">
        <f t="shared" si="57"/>
        <v>0.77777777777777779</v>
      </c>
      <c r="Y183" s="32">
        <f t="shared" si="58"/>
        <v>0.83333333333333326</v>
      </c>
      <c r="Z183" s="32">
        <f t="shared" si="59"/>
        <v>0.77777777777777779</v>
      </c>
      <c r="AA183">
        <f>step3_validation[[#This Row],[AI_FAC1]]</f>
        <v>9</v>
      </c>
      <c r="AB183">
        <f t="shared" si="60"/>
        <v>0.88888888888888884</v>
      </c>
      <c r="AC183">
        <f>survey_responses[[#This Row],[Các thủ tục khai báo thuế VÀ/HOẶC quy trình làm việc với cơ quan thuế đơn giản, tiện lợi, nhanh chóng hơn so với trước đây. - HUMAN-FAC1]]</f>
        <v>5</v>
      </c>
      <c r="AD183">
        <f t="shared" si="61"/>
        <v>0.44444444444444442</v>
      </c>
      <c r="AE183">
        <f>step3_validation[[#This Row],[AI_FAC2]]</f>
        <v>9</v>
      </c>
      <c r="AF183">
        <f t="shared" si="62"/>
        <v>0.88888888888888884</v>
      </c>
      <c r="AG183">
        <f>survey_responses[[#This Row],[So với trước đây, tôi thấy cách tính thuế và các bậc thuế trong phương án mới đơn giản, dễ hiểu và dễ thực hiện hơn. - HUMAN-FAC2]]</f>
        <v>8</v>
      </c>
      <c r="AH183">
        <f t="shared" si="63"/>
        <v>0.77777777777777779</v>
      </c>
      <c r="AI183" s="32">
        <f t="shared" si="64"/>
        <v>0.88888888888888884</v>
      </c>
      <c r="AJ183" s="32">
        <f t="shared" si="65"/>
        <v>0.61111111111111116</v>
      </c>
      <c r="AK183">
        <f>step3_validation[[#This Row],[AI_TRU1]]</f>
        <v>9</v>
      </c>
      <c r="AL183">
        <f t="shared" si="66"/>
        <v>0.88888888888888884</v>
      </c>
      <c r="AM183">
        <f>survey_responses[[#This Row],[Tôi tin rằng Nhà nước, cơ quan thuế sẽ thực thi chính sách mới một cách khách quan, công tâm và đối xử bình đẳng với mọi người nộp thuế.  - HUMAN-TRU1]]</f>
        <v>6</v>
      </c>
      <c r="AN183">
        <f t="shared" si="67"/>
        <v>0.55555555555555558</v>
      </c>
      <c r="AO183">
        <f>step3_validation[[#This Row],[AI_TRU2]]</f>
        <v>8</v>
      </c>
      <c r="AP183">
        <f t="shared" si="68"/>
        <v>0.77777777777777779</v>
      </c>
      <c r="AQ183">
        <f>survey_responses[[#This Row],[Tôi thấy mức thuế tôi phải đóng theo phương án mới là công bằng (người thu nhập như tôi đóng mức này là hợp lý). - HUMAN-TRU2]]</f>
        <v>8</v>
      </c>
      <c r="AR183">
        <f t="shared" si="69"/>
        <v>0.77777777777777779</v>
      </c>
      <c r="AS183">
        <f>step3_validation[[#This Row],[AI_TRU3]]</f>
        <v>9</v>
      </c>
      <c r="AT183">
        <f t="shared" si="70"/>
        <v>0.88888888888888884</v>
      </c>
      <c r="AU183">
        <f>survey_responses[[#This Row],[Tôi tin tưởng số tiền thuế tôi đóng sẽ được Nhà nước sử dụng hiệu quả để cải thiện dịch vụ công (y tế, đường xá...). - HUMAN-TRU3]]</f>
        <v>6</v>
      </c>
      <c r="AV183">
        <f t="shared" si="71"/>
        <v>0.55555555555555558</v>
      </c>
      <c r="AW183">
        <f>step3_validation[[#This Row],[AI_TRU4]]</f>
        <v>9</v>
      </c>
      <c r="AX183">
        <f t="shared" si="72"/>
        <v>0.88888888888888884</v>
      </c>
      <c r="AY183">
        <f>survey_responses[[#This Row],[Tôi thấy Nhà nước đã giải thích rõ ràng, minh bạch về lý do và mục tiêu của việc sửa đổi thuế lần này. - HUMAN-TRU4]]</f>
        <v>7</v>
      </c>
      <c r="AZ183">
        <f t="shared" si="73"/>
        <v>0.66666666666666663</v>
      </c>
      <c r="BA183" s="32">
        <f t="shared" si="74"/>
        <v>0.86111111111111105</v>
      </c>
      <c r="BB183" s="32">
        <f t="shared" si="75"/>
        <v>0.63888888888888895</v>
      </c>
      <c r="BC183" s="7">
        <f t="shared" si="76"/>
        <v>0.86111111111111105</v>
      </c>
      <c r="BD183" s="7">
        <f t="shared" si="77"/>
        <v>0.67592592592592593</v>
      </c>
      <c r="BE183">
        <f>step3_validation[[#This Row],[AI_OUT1]]</f>
        <v>9</v>
      </c>
      <c r="BF183">
        <f t="shared" si="78"/>
        <v>0.88888888888888884</v>
      </c>
      <c r="BG183">
        <f>survey_responses[[#This Row],[Sau khi xem xét các quyền lợi và nghĩa vụ, bạn có ủng hộ và tuân thủ chính sách mới hiện nay? - HUMAN-OUT1]]</f>
        <v>7</v>
      </c>
      <c r="BH183">
        <f t="shared" si="79"/>
        <v>0.66666666666666663</v>
      </c>
      <c r="BI183" s="32">
        <f t="shared" si="80"/>
        <v>2</v>
      </c>
    </row>
    <row r="184" spans="1:61" x14ac:dyDescent="0.45">
      <c r="A184" s="30">
        <f>step3_validation[[#This Row],[Persona_ID]]</f>
        <v>183</v>
      </c>
      <c r="B184" s="31">
        <f>step3_validation[[#This Row],[Used_Seed]]</f>
        <v>183</v>
      </c>
      <c r="C184" t="str">
        <f>step3_validation[[#This Row],[Gender]]</f>
        <v>Nam</v>
      </c>
      <c r="D184" t="str">
        <f>survey_responses[[#This Row],[Giới tính của bạn:]]</f>
        <v>Nam</v>
      </c>
      <c r="E184" t="str">
        <f>step3_validation[[#This Row],[Age_Group]]</f>
        <v>55 - 64</v>
      </c>
      <c r="F184" t="str">
        <f>survey_responses[[#This Row],[Độ tuổi của bạn:]]</f>
        <v>55 - 64</v>
      </c>
      <c r="G184" t="str">
        <f>step3_validation[[#This Row],[Region]]</f>
        <v>Thành thị</v>
      </c>
      <c r="H184" t="str">
        <f>survey_responses[[#This Row],[Khu vực bạn đang sinh sống:]]</f>
        <v>Thành thị</v>
      </c>
      <c r="I184" t="str">
        <f>step3_validation[[#This Row],[Education]]</f>
        <v>Sau Đại học</v>
      </c>
      <c r="J184" t="str">
        <f>survey_responses[[#This Row],[Trình độ học vấn cao nhất:]]</f>
        <v>Sau Đại học</v>
      </c>
      <c r="K184" t="str">
        <f>step3_validation[[#This Row],[Employment]]</f>
        <v>Chính thức</v>
      </c>
      <c r="L184" t="str">
        <f>survey_responses[[#This Row],[Tình trạng việc làm chính:]]</f>
        <v>Khu vực chính thức (Có Hợp đồng lao động, đóng BHXH)</v>
      </c>
      <c r="M184">
        <f>step3_validation[[#This Row],[Income_Mil]]</f>
        <v>242.81408680964296</v>
      </c>
      <c r="N184" t="str">
        <f>survey_responses[[#This Row],[Thu nhập bình quân tháng theo Hợp đồng lao động của bạn là bao nhiêu? (Vui lòng điền tổng thu nhập trước khi khấu trừ các loại Bảo hiểm (BHXH, BHYT, BHTN) và Thuế TNCN)]]</f>
        <v>Trên 102 triệu VNĐ</v>
      </c>
      <c r="O184">
        <f>step3_validation[[#This Row],[Dependents]]</f>
        <v>3</v>
      </c>
      <c r="P184" t="str">
        <f>survey_responses[[#This Row],[Số người phụ thuộc (con nhỏ, cha mẹ già...) đủ điều kiện giảm trừ gia cảnh:]]</f>
        <v>3 người</v>
      </c>
      <c r="Q184">
        <f>step3_validation[[#This Row],[AI_ENF1]]</f>
        <v>8</v>
      </c>
      <c r="R184">
        <f t="shared" si="54"/>
        <v>0.77777777777777779</v>
      </c>
      <c r="S184">
        <f>survey_responses[[#This Row],[Tôi tin rằng với các quy định quản lý thuế hiện nay, hành vi gian lận hoặc trốn thuế sẽ dễ dàng bị phát hiện và xử lý nghiêm. - HUMAN-ENF1]]</f>
        <v>2</v>
      </c>
      <c r="T184">
        <f t="shared" si="55"/>
        <v>0.1111111111111111</v>
      </c>
      <c r="U184">
        <f>step3_validation[[#This Row],[AI_ENF2]]</f>
        <v>8</v>
      </c>
      <c r="V184">
        <f t="shared" si="56"/>
        <v>0.77777777777777779</v>
      </c>
      <c r="W184">
        <f>survey_responses[[#This Row],[Tôi tin rằng Nhà nước, cơ quan thuế có đủ khả năng và công nghệ để phát hiện, xử lý nghiêm các hành vi trốn thuế. - HUMAN-ENF2]]</f>
        <v>5</v>
      </c>
      <c r="X184">
        <f t="shared" si="57"/>
        <v>0.44444444444444442</v>
      </c>
      <c r="Y184" s="32">
        <f t="shared" si="58"/>
        <v>0.77777777777777779</v>
      </c>
      <c r="Z184" s="32">
        <f t="shared" si="59"/>
        <v>0.27777777777777779</v>
      </c>
      <c r="AA184">
        <f>step3_validation[[#This Row],[AI_FAC1]]</f>
        <v>7</v>
      </c>
      <c r="AB184">
        <f t="shared" si="60"/>
        <v>0.66666666666666663</v>
      </c>
      <c r="AC184">
        <f>survey_responses[[#This Row],[Các thủ tục khai báo thuế VÀ/HOẶC quy trình làm việc với cơ quan thuế đơn giản, tiện lợi, nhanh chóng hơn so với trước đây. - HUMAN-FAC1]]</f>
        <v>3</v>
      </c>
      <c r="AD184">
        <f t="shared" si="61"/>
        <v>0.22222222222222221</v>
      </c>
      <c r="AE184">
        <f>step3_validation[[#This Row],[AI_FAC2]]</f>
        <v>9</v>
      </c>
      <c r="AF184">
        <f t="shared" si="62"/>
        <v>0.88888888888888884</v>
      </c>
      <c r="AG184">
        <f>survey_responses[[#This Row],[So với trước đây, tôi thấy cách tính thuế và các bậc thuế trong phương án mới đơn giản, dễ hiểu và dễ thực hiện hơn. - HUMAN-FAC2]]</f>
        <v>5</v>
      </c>
      <c r="AH184">
        <f t="shared" si="63"/>
        <v>0.44444444444444442</v>
      </c>
      <c r="AI184" s="32">
        <f t="shared" si="64"/>
        <v>0.77777777777777768</v>
      </c>
      <c r="AJ184" s="32">
        <f t="shared" si="65"/>
        <v>0.33333333333333331</v>
      </c>
      <c r="AK184">
        <f>step3_validation[[#This Row],[AI_TRU1]]</f>
        <v>8</v>
      </c>
      <c r="AL184">
        <f t="shared" si="66"/>
        <v>0.77777777777777779</v>
      </c>
      <c r="AM184">
        <f>survey_responses[[#This Row],[Tôi tin rằng Nhà nước, cơ quan thuế sẽ thực thi chính sách mới một cách khách quan, công tâm và đối xử bình đẳng với mọi người nộp thuế.  - HUMAN-TRU1]]</f>
        <v>3</v>
      </c>
      <c r="AN184">
        <f t="shared" si="67"/>
        <v>0.22222222222222221</v>
      </c>
      <c r="AO184">
        <f>step3_validation[[#This Row],[AI_TRU2]]</f>
        <v>9</v>
      </c>
      <c r="AP184">
        <f t="shared" si="68"/>
        <v>0.88888888888888884</v>
      </c>
      <c r="AQ184">
        <f>survey_responses[[#This Row],[Tôi thấy mức thuế tôi phải đóng theo phương án mới là công bằng (người thu nhập như tôi đóng mức này là hợp lý). - HUMAN-TRU2]]</f>
        <v>2</v>
      </c>
      <c r="AR184">
        <f t="shared" si="69"/>
        <v>0.1111111111111111</v>
      </c>
      <c r="AS184">
        <f>step3_validation[[#This Row],[AI_TRU3]]</f>
        <v>8</v>
      </c>
      <c r="AT184">
        <f t="shared" si="70"/>
        <v>0.77777777777777779</v>
      </c>
      <c r="AU184">
        <f>survey_responses[[#This Row],[Tôi tin tưởng số tiền thuế tôi đóng sẽ được Nhà nước sử dụng hiệu quả để cải thiện dịch vụ công (y tế, đường xá...). - HUMAN-TRU3]]</f>
        <v>1</v>
      </c>
      <c r="AV184">
        <f t="shared" si="71"/>
        <v>0</v>
      </c>
      <c r="AW184">
        <f>step3_validation[[#This Row],[AI_TRU4]]</f>
        <v>7</v>
      </c>
      <c r="AX184">
        <f t="shared" si="72"/>
        <v>0.66666666666666663</v>
      </c>
      <c r="AY184">
        <f>survey_responses[[#This Row],[Tôi thấy Nhà nước đã giải thích rõ ràng, minh bạch về lý do và mục tiêu của việc sửa đổi thuế lần này. - HUMAN-TRU4]]</f>
        <v>5</v>
      </c>
      <c r="AZ184">
        <f t="shared" si="73"/>
        <v>0.44444444444444442</v>
      </c>
      <c r="BA184" s="32">
        <f t="shared" si="74"/>
        <v>0.77777777777777768</v>
      </c>
      <c r="BB184" s="32">
        <f t="shared" si="75"/>
        <v>0.19444444444444442</v>
      </c>
      <c r="BC184" s="7">
        <f t="shared" si="76"/>
        <v>0.77777777777777768</v>
      </c>
      <c r="BD184" s="7">
        <f t="shared" si="77"/>
        <v>0.26851851851851855</v>
      </c>
      <c r="BE184">
        <f>step3_validation[[#This Row],[AI_OUT1]]</f>
        <v>9</v>
      </c>
      <c r="BF184">
        <f t="shared" si="78"/>
        <v>0.88888888888888884</v>
      </c>
      <c r="BG184">
        <f>survey_responses[[#This Row],[Sau khi xem xét các quyền lợi và nghĩa vụ, bạn có ủng hộ và tuân thủ chính sách mới hiện nay? - HUMAN-OUT1]]</f>
        <v>5</v>
      </c>
      <c r="BH184">
        <f t="shared" si="79"/>
        <v>0.44444444444444442</v>
      </c>
      <c r="BI184" s="32">
        <f t="shared" si="80"/>
        <v>4</v>
      </c>
    </row>
    <row r="185" spans="1:61" x14ac:dyDescent="0.45">
      <c r="A185" s="30">
        <f>step3_validation[[#This Row],[Persona_ID]]</f>
        <v>184</v>
      </c>
      <c r="B185" s="31">
        <f>step3_validation[[#This Row],[Used_Seed]]</f>
        <v>184</v>
      </c>
      <c r="C185" t="str">
        <f>step3_validation[[#This Row],[Gender]]</f>
        <v>Nam</v>
      </c>
      <c r="D185" t="str">
        <f>survey_responses[[#This Row],[Giới tính của bạn:]]</f>
        <v>Nam</v>
      </c>
      <c r="E185" t="str">
        <f>step3_validation[[#This Row],[Age_Group]]</f>
        <v>18 - 24</v>
      </c>
      <c r="F185" t="str">
        <f>survey_responses[[#This Row],[Độ tuổi của bạn:]]</f>
        <v>18 - 24</v>
      </c>
      <c r="G185" t="str">
        <f>step3_validation[[#This Row],[Region]]</f>
        <v>Thành thị</v>
      </c>
      <c r="H185" t="str">
        <f>survey_responses[[#This Row],[Khu vực bạn đang sinh sống:]]</f>
        <v>Thành thị</v>
      </c>
      <c r="I185" t="str">
        <f>step3_validation[[#This Row],[Education]]</f>
        <v>Đại học</v>
      </c>
      <c r="J185" t="str">
        <f>survey_responses[[#This Row],[Trình độ học vấn cao nhất:]]</f>
        <v>Đại học</v>
      </c>
      <c r="K185" t="str">
        <f>step3_validation[[#This Row],[Employment]]</f>
        <v>Chính thức</v>
      </c>
      <c r="L185" t="str">
        <f>survey_responses[[#This Row],[Tình trạng việc làm chính:]]</f>
        <v>Khu vực chính thức (Có Hợp đồng lao động, đóng BHXH)</v>
      </c>
      <c r="M185">
        <f>step3_validation[[#This Row],[Income_Mil]]</f>
        <v>12.088908296731857</v>
      </c>
      <c r="N185" t="str">
        <f>survey_responses[[#This Row],[Thu nhập bình quân tháng theo Hợp đồng lao động của bạn là bao nhiêu? (Vui lòng điền tổng thu nhập trước khi khấu trừ các loại Bảo hiểm (BHXH, BHYT, BHTN) và Thuế TNCN)]]</f>
        <v>Từ 12 - 18 triệu VNĐ</v>
      </c>
      <c r="O185">
        <f>step3_validation[[#This Row],[Dependents]]</f>
        <v>0</v>
      </c>
      <c r="P185" t="str">
        <f>survey_responses[[#This Row],[Số người phụ thuộc (con nhỏ, cha mẹ già...) đủ điều kiện giảm trừ gia cảnh:]]</f>
        <v>0 người</v>
      </c>
      <c r="Q185">
        <f>step3_validation[[#This Row],[AI_ENF1]]</f>
        <v>9</v>
      </c>
      <c r="R185">
        <f t="shared" si="54"/>
        <v>0.88888888888888884</v>
      </c>
      <c r="S185">
        <f>survey_responses[[#This Row],[Tôi tin rằng với các quy định quản lý thuế hiện nay, hành vi gian lận hoặc trốn thuế sẽ dễ dàng bị phát hiện và xử lý nghiêm. - HUMAN-ENF1]]</f>
        <v>6</v>
      </c>
      <c r="T185">
        <f t="shared" si="55"/>
        <v>0.55555555555555558</v>
      </c>
      <c r="U185">
        <f>step3_validation[[#This Row],[AI_ENF2]]</f>
        <v>8</v>
      </c>
      <c r="V185">
        <f t="shared" si="56"/>
        <v>0.77777777777777779</v>
      </c>
      <c r="W185">
        <f>survey_responses[[#This Row],[Tôi tin rằng Nhà nước, cơ quan thuế có đủ khả năng và công nghệ để phát hiện, xử lý nghiêm các hành vi trốn thuế. - HUMAN-ENF2]]</f>
        <v>6</v>
      </c>
      <c r="X185">
        <f t="shared" si="57"/>
        <v>0.55555555555555558</v>
      </c>
      <c r="Y185" s="32">
        <f t="shared" si="58"/>
        <v>0.83333333333333326</v>
      </c>
      <c r="Z185" s="32">
        <f t="shared" si="59"/>
        <v>0.55555555555555558</v>
      </c>
      <c r="AA185">
        <f>step3_validation[[#This Row],[AI_FAC1]]</f>
        <v>9</v>
      </c>
      <c r="AB185">
        <f t="shared" si="60"/>
        <v>0.88888888888888884</v>
      </c>
      <c r="AC185">
        <f>survey_responses[[#This Row],[Các thủ tục khai báo thuế VÀ/HOẶC quy trình làm việc với cơ quan thuế đơn giản, tiện lợi, nhanh chóng hơn so với trước đây. - HUMAN-FAC1]]</f>
        <v>5</v>
      </c>
      <c r="AD185">
        <f t="shared" si="61"/>
        <v>0.44444444444444442</v>
      </c>
      <c r="AE185">
        <f>step3_validation[[#This Row],[AI_FAC2]]</f>
        <v>8</v>
      </c>
      <c r="AF185">
        <f t="shared" si="62"/>
        <v>0.77777777777777779</v>
      </c>
      <c r="AG185">
        <f>survey_responses[[#This Row],[So với trước đây, tôi thấy cách tính thuế và các bậc thuế trong phương án mới đơn giản, dễ hiểu và dễ thực hiện hơn. - HUMAN-FAC2]]</f>
        <v>9</v>
      </c>
      <c r="AH185">
        <f t="shared" si="63"/>
        <v>0.88888888888888884</v>
      </c>
      <c r="AI185" s="32">
        <f t="shared" si="64"/>
        <v>0.83333333333333326</v>
      </c>
      <c r="AJ185" s="32">
        <f t="shared" si="65"/>
        <v>0.66666666666666663</v>
      </c>
      <c r="AK185">
        <f>step3_validation[[#This Row],[AI_TRU1]]</f>
        <v>9</v>
      </c>
      <c r="AL185">
        <f t="shared" si="66"/>
        <v>0.88888888888888884</v>
      </c>
      <c r="AM185">
        <f>survey_responses[[#This Row],[Tôi tin rằng Nhà nước, cơ quan thuế sẽ thực thi chính sách mới một cách khách quan, công tâm và đối xử bình đẳng với mọi người nộp thuế.  - HUMAN-TRU1]]</f>
        <v>7</v>
      </c>
      <c r="AN185">
        <f t="shared" si="67"/>
        <v>0.66666666666666663</v>
      </c>
      <c r="AO185">
        <f>step3_validation[[#This Row],[AI_TRU2]]</f>
        <v>9</v>
      </c>
      <c r="AP185">
        <f t="shared" si="68"/>
        <v>0.88888888888888884</v>
      </c>
      <c r="AQ185">
        <f>survey_responses[[#This Row],[Tôi thấy mức thuế tôi phải đóng theo phương án mới là công bằng (người thu nhập như tôi đóng mức này là hợp lý). - HUMAN-TRU2]]</f>
        <v>8</v>
      </c>
      <c r="AR185">
        <f t="shared" si="69"/>
        <v>0.77777777777777779</v>
      </c>
      <c r="AS185">
        <f>step3_validation[[#This Row],[AI_TRU3]]</f>
        <v>8</v>
      </c>
      <c r="AT185">
        <f t="shared" si="70"/>
        <v>0.77777777777777779</v>
      </c>
      <c r="AU185">
        <f>survey_responses[[#This Row],[Tôi tin tưởng số tiền thuế tôi đóng sẽ được Nhà nước sử dụng hiệu quả để cải thiện dịch vụ công (y tế, đường xá...). - HUMAN-TRU3]]</f>
        <v>5</v>
      </c>
      <c r="AV185">
        <f t="shared" si="71"/>
        <v>0.44444444444444442</v>
      </c>
      <c r="AW185">
        <f>step3_validation[[#This Row],[AI_TRU4]]</f>
        <v>9</v>
      </c>
      <c r="AX185">
        <f t="shared" si="72"/>
        <v>0.88888888888888884</v>
      </c>
      <c r="AY185">
        <f>survey_responses[[#This Row],[Tôi thấy Nhà nước đã giải thích rõ ràng, minh bạch về lý do và mục tiêu của việc sửa đổi thuế lần này. - HUMAN-TRU4]]</f>
        <v>7</v>
      </c>
      <c r="AZ185">
        <f t="shared" si="73"/>
        <v>0.66666666666666663</v>
      </c>
      <c r="BA185" s="32">
        <f t="shared" si="74"/>
        <v>0.86111111111111105</v>
      </c>
      <c r="BB185" s="32">
        <f t="shared" si="75"/>
        <v>0.63888888888888884</v>
      </c>
      <c r="BC185" s="7">
        <f t="shared" si="76"/>
        <v>0.84259259259259256</v>
      </c>
      <c r="BD185" s="7">
        <f t="shared" si="77"/>
        <v>0.62037037037037035</v>
      </c>
      <c r="BE185">
        <f>step3_validation[[#This Row],[AI_OUT1]]</f>
        <v>8</v>
      </c>
      <c r="BF185">
        <f t="shared" si="78"/>
        <v>0.77777777777777779</v>
      </c>
      <c r="BG185">
        <f>survey_responses[[#This Row],[Sau khi xem xét các quyền lợi và nghĩa vụ, bạn có ủng hộ và tuân thủ chính sách mới hiện nay? - HUMAN-OUT1]]</f>
        <v>7</v>
      </c>
      <c r="BH185">
        <f t="shared" si="79"/>
        <v>0.66666666666666663</v>
      </c>
      <c r="BI185" s="32">
        <f t="shared" si="80"/>
        <v>1</v>
      </c>
    </row>
    <row r="186" spans="1:61" x14ac:dyDescent="0.45">
      <c r="A186" s="30">
        <f>step3_validation[[#This Row],[Persona_ID]]</f>
        <v>185</v>
      </c>
      <c r="B186" s="31">
        <f>step3_validation[[#This Row],[Used_Seed]]</f>
        <v>185</v>
      </c>
      <c r="C186" t="str">
        <f>step3_validation[[#This Row],[Gender]]</f>
        <v>Nữ</v>
      </c>
      <c r="D186" t="str">
        <f>survey_responses[[#This Row],[Giới tính của bạn:]]</f>
        <v>Nữ</v>
      </c>
      <c r="E186" t="str">
        <f>step3_validation[[#This Row],[Age_Group]]</f>
        <v>40 - 49</v>
      </c>
      <c r="F186" t="str">
        <f>survey_responses[[#This Row],[Độ tuổi của bạn:]]</f>
        <v>40 - 49</v>
      </c>
      <c r="G186" t="str">
        <f>step3_validation[[#This Row],[Region]]</f>
        <v>Nông thôn</v>
      </c>
      <c r="H186" t="str">
        <f>survey_responses[[#This Row],[Khu vực bạn đang sinh sống:]]</f>
        <v>Nông thôn</v>
      </c>
      <c r="I186" t="str">
        <f>step3_validation[[#This Row],[Education]]</f>
        <v>Đại học</v>
      </c>
      <c r="J186" t="str">
        <f>survey_responses[[#This Row],[Trình độ học vấn cao nhất:]]</f>
        <v>Đại học</v>
      </c>
      <c r="K186" t="str">
        <f>step3_validation[[#This Row],[Employment]]</f>
        <v>Phi chính thức</v>
      </c>
      <c r="L186" t="str">
        <f>survey_responses[[#This Row],[Tình trạng việc làm chính:]]</f>
        <v>Khu vực phi chính thức (Lao động tự do, không có HĐLĐ)</v>
      </c>
      <c r="M186">
        <f>step3_validation[[#This Row],[Income_Mil]]</f>
        <v>35.293671475084075</v>
      </c>
      <c r="N186" t="str">
        <f>survey_responses[[#This Row],[Thu nhập bình quân tháng theo Hợp đồng lao động của bạn là bao nhiêu? (Vui lòng điền tổng thu nhập trước khi khấu trừ các loại Bảo hiểm (BHXH, BHYT, BHTN) và Thuế TNCN)]]</f>
        <v>Từ 32 - 48 triệu VNĐ</v>
      </c>
      <c r="O186">
        <f>step3_validation[[#This Row],[Dependents]]</f>
        <v>3</v>
      </c>
      <c r="P186" t="str">
        <f>survey_responses[[#This Row],[Số người phụ thuộc (con nhỏ, cha mẹ già...) đủ điều kiện giảm trừ gia cảnh:]]</f>
        <v>3 người</v>
      </c>
      <c r="Q186">
        <f>step3_validation[[#This Row],[AI_ENF1]]</f>
        <v>6</v>
      </c>
      <c r="R186">
        <f t="shared" si="54"/>
        <v>0.55555555555555558</v>
      </c>
      <c r="S186">
        <f>survey_responses[[#This Row],[Tôi tin rằng với các quy định quản lý thuế hiện nay, hành vi gian lận hoặc trốn thuế sẽ dễ dàng bị phát hiện và xử lý nghiêm. - HUMAN-ENF1]]</f>
        <v>7</v>
      </c>
      <c r="T186">
        <f t="shared" si="55"/>
        <v>0.66666666666666663</v>
      </c>
      <c r="U186">
        <f>step3_validation[[#This Row],[AI_ENF2]]</f>
        <v>8</v>
      </c>
      <c r="V186">
        <f t="shared" si="56"/>
        <v>0.77777777777777779</v>
      </c>
      <c r="W186">
        <f>survey_responses[[#This Row],[Tôi tin rằng Nhà nước, cơ quan thuế có đủ khả năng và công nghệ để phát hiện, xử lý nghiêm các hành vi trốn thuế. - HUMAN-ENF2]]</f>
        <v>7</v>
      </c>
      <c r="X186">
        <f t="shared" si="57"/>
        <v>0.66666666666666663</v>
      </c>
      <c r="Y186" s="32">
        <f t="shared" si="58"/>
        <v>0.66666666666666674</v>
      </c>
      <c r="Z186" s="32">
        <f t="shared" si="59"/>
        <v>0.66666666666666663</v>
      </c>
      <c r="AA186">
        <f>step3_validation[[#This Row],[AI_FAC1]]</f>
        <v>9</v>
      </c>
      <c r="AB186">
        <f t="shared" si="60"/>
        <v>0.88888888888888884</v>
      </c>
      <c r="AC186">
        <f>survey_responses[[#This Row],[Các thủ tục khai báo thuế VÀ/HOẶC quy trình làm việc với cơ quan thuế đơn giản, tiện lợi, nhanh chóng hơn so với trước đây. - HUMAN-FAC1]]</f>
        <v>6</v>
      </c>
      <c r="AD186">
        <f t="shared" si="61"/>
        <v>0.55555555555555558</v>
      </c>
      <c r="AE186">
        <f>step3_validation[[#This Row],[AI_FAC2]]</f>
        <v>8</v>
      </c>
      <c r="AF186">
        <f t="shared" si="62"/>
        <v>0.77777777777777779</v>
      </c>
      <c r="AG186">
        <f>survey_responses[[#This Row],[So với trước đây, tôi thấy cách tính thuế và các bậc thuế trong phương án mới đơn giản, dễ hiểu và dễ thực hiện hơn. - HUMAN-FAC2]]</f>
        <v>8</v>
      </c>
      <c r="AH186">
        <f t="shared" si="63"/>
        <v>0.77777777777777779</v>
      </c>
      <c r="AI186" s="32">
        <f t="shared" si="64"/>
        <v>0.83333333333333326</v>
      </c>
      <c r="AJ186" s="32">
        <f t="shared" si="65"/>
        <v>0.66666666666666674</v>
      </c>
      <c r="AK186">
        <f>step3_validation[[#This Row],[AI_TRU1]]</f>
        <v>9</v>
      </c>
      <c r="AL186">
        <f t="shared" si="66"/>
        <v>0.88888888888888884</v>
      </c>
      <c r="AM186">
        <f>survey_responses[[#This Row],[Tôi tin rằng Nhà nước, cơ quan thuế sẽ thực thi chính sách mới một cách khách quan, công tâm và đối xử bình đẳng với mọi người nộp thuế.  - HUMAN-TRU1]]</f>
        <v>5</v>
      </c>
      <c r="AN186">
        <f t="shared" si="67"/>
        <v>0.44444444444444442</v>
      </c>
      <c r="AO186">
        <f>step3_validation[[#This Row],[AI_TRU2]]</f>
        <v>8</v>
      </c>
      <c r="AP186">
        <f t="shared" si="68"/>
        <v>0.77777777777777779</v>
      </c>
      <c r="AQ186">
        <f>survey_responses[[#This Row],[Tôi thấy mức thuế tôi phải đóng theo phương án mới là công bằng (người thu nhập như tôi đóng mức này là hợp lý). - HUMAN-TRU2]]</f>
        <v>5</v>
      </c>
      <c r="AR186">
        <f t="shared" si="69"/>
        <v>0.44444444444444442</v>
      </c>
      <c r="AS186">
        <f>step3_validation[[#This Row],[AI_TRU3]]</f>
        <v>9</v>
      </c>
      <c r="AT186">
        <f t="shared" si="70"/>
        <v>0.88888888888888884</v>
      </c>
      <c r="AU186">
        <f>survey_responses[[#This Row],[Tôi tin tưởng số tiền thuế tôi đóng sẽ được Nhà nước sử dụng hiệu quả để cải thiện dịch vụ công (y tế, đường xá...). - HUMAN-TRU3]]</f>
        <v>5</v>
      </c>
      <c r="AV186">
        <f t="shared" si="71"/>
        <v>0.44444444444444442</v>
      </c>
      <c r="AW186">
        <f>step3_validation[[#This Row],[AI_TRU4]]</f>
        <v>10</v>
      </c>
      <c r="AX186">
        <f t="shared" si="72"/>
        <v>1</v>
      </c>
      <c r="AY186">
        <f>survey_responses[[#This Row],[Tôi thấy Nhà nước đã giải thích rõ ràng, minh bạch về lý do và mục tiêu của việc sửa đổi thuế lần này. - HUMAN-TRU4]]</f>
        <v>6</v>
      </c>
      <c r="AZ186">
        <f t="shared" si="73"/>
        <v>0.55555555555555558</v>
      </c>
      <c r="BA186" s="32">
        <f t="shared" si="74"/>
        <v>0.88888888888888884</v>
      </c>
      <c r="BB186" s="32">
        <f t="shared" si="75"/>
        <v>0.47222222222222221</v>
      </c>
      <c r="BC186" s="7">
        <f t="shared" si="76"/>
        <v>0.79629629629629628</v>
      </c>
      <c r="BD186" s="7">
        <f t="shared" si="77"/>
        <v>0.60185185185185197</v>
      </c>
      <c r="BE186">
        <f>step3_validation[[#This Row],[AI_OUT1]]</f>
        <v>9</v>
      </c>
      <c r="BF186">
        <f t="shared" si="78"/>
        <v>0.88888888888888884</v>
      </c>
      <c r="BG186">
        <f>survey_responses[[#This Row],[Sau khi xem xét các quyền lợi và nghĩa vụ, bạn có ủng hộ và tuân thủ chính sách mới hiện nay? - HUMAN-OUT1]]</f>
        <v>5</v>
      </c>
      <c r="BH186">
        <f t="shared" si="79"/>
        <v>0.44444444444444442</v>
      </c>
      <c r="BI186" s="32">
        <f t="shared" si="80"/>
        <v>4</v>
      </c>
    </row>
    <row r="187" spans="1:61" x14ac:dyDescent="0.45">
      <c r="A187" s="30">
        <f>step3_validation[[#This Row],[Persona_ID]]</f>
        <v>186</v>
      </c>
      <c r="B187" s="31">
        <f>step3_validation[[#This Row],[Used_Seed]]</f>
        <v>186</v>
      </c>
      <c r="C187" t="str">
        <f>step3_validation[[#This Row],[Gender]]</f>
        <v>Nữ</v>
      </c>
      <c r="D187" t="str">
        <f>survey_responses[[#This Row],[Giới tính của bạn:]]</f>
        <v>Nữ</v>
      </c>
      <c r="E187" t="str">
        <f>step3_validation[[#This Row],[Age_Group]]</f>
        <v>55 - 64</v>
      </c>
      <c r="F187" t="str">
        <f>survey_responses[[#This Row],[Độ tuổi của bạn:]]</f>
        <v>55 - 64</v>
      </c>
      <c r="G187" t="str">
        <f>step3_validation[[#This Row],[Region]]</f>
        <v>Thành thị</v>
      </c>
      <c r="H187" t="str">
        <f>survey_responses[[#This Row],[Khu vực bạn đang sinh sống:]]</f>
        <v>Thành thị</v>
      </c>
      <c r="I187" t="str">
        <f>step3_validation[[#This Row],[Education]]</f>
        <v>Đại học</v>
      </c>
      <c r="J187" t="str">
        <f>survey_responses[[#This Row],[Trình độ học vấn cao nhất:]]</f>
        <v>Đại học</v>
      </c>
      <c r="K187" t="str">
        <f>step3_validation[[#This Row],[Employment]]</f>
        <v>Phi chính thức</v>
      </c>
      <c r="L187" t="str">
        <f>survey_responses[[#This Row],[Tình trạng việc làm chính:]]</f>
        <v>Khác (Về hưu, nội trợ, sinh viên)</v>
      </c>
      <c r="M187">
        <f>step3_validation[[#This Row],[Income_Mil]]</f>
        <v>14.73627216463114</v>
      </c>
      <c r="N187" t="str">
        <f>survey_responses[[#This Row],[Thu nhập bình quân tháng theo Hợp đồng lao động của bạn là bao nhiêu? (Vui lòng điền tổng thu nhập trước khi khấu trừ các loại Bảo hiểm (BHXH, BHYT, BHTN) và Thuế TNCN)]]</f>
        <v>Từ 12 - 18 triệu VNĐ</v>
      </c>
      <c r="O187">
        <f>step3_validation[[#This Row],[Dependents]]</f>
        <v>0</v>
      </c>
      <c r="P187" t="str">
        <f>survey_responses[[#This Row],[Số người phụ thuộc (con nhỏ, cha mẹ già...) đủ điều kiện giảm trừ gia cảnh:]]</f>
        <v>0 người</v>
      </c>
      <c r="Q187">
        <f>step3_validation[[#This Row],[AI_ENF1]]</f>
        <v>5</v>
      </c>
      <c r="R187">
        <f t="shared" si="54"/>
        <v>0.44444444444444442</v>
      </c>
      <c r="S187">
        <f>survey_responses[[#This Row],[Tôi tin rằng với các quy định quản lý thuế hiện nay, hành vi gian lận hoặc trốn thuế sẽ dễ dàng bị phát hiện và xử lý nghiêm. - HUMAN-ENF1]]</f>
        <v>7</v>
      </c>
      <c r="T187">
        <f t="shared" si="55"/>
        <v>0.66666666666666663</v>
      </c>
      <c r="U187">
        <f>step3_validation[[#This Row],[AI_ENF2]]</f>
        <v>6</v>
      </c>
      <c r="V187">
        <f t="shared" si="56"/>
        <v>0.55555555555555558</v>
      </c>
      <c r="W187">
        <f>survey_responses[[#This Row],[Tôi tin rằng Nhà nước, cơ quan thuế có đủ khả năng và công nghệ để phát hiện, xử lý nghiêm các hành vi trốn thuế. - HUMAN-ENF2]]</f>
        <v>7</v>
      </c>
      <c r="X187">
        <f t="shared" si="57"/>
        <v>0.66666666666666663</v>
      </c>
      <c r="Y187" s="32">
        <f t="shared" si="58"/>
        <v>0.5</v>
      </c>
      <c r="Z187" s="32">
        <f t="shared" si="59"/>
        <v>0.66666666666666663</v>
      </c>
      <c r="AA187">
        <f>step3_validation[[#This Row],[AI_FAC1]]</f>
        <v>8</v>
      </c>
      <c r="AB187">
        <f t="shared" si="60"/>
        <v>0.77777777777777779</v>
      </c>
      <c r="AC187">
        <f>survey_responses[[#This Row],[Các thủ tục khai báo thuế VÀ/HOẶC quy trình làm việc với cơ quan thuế đơn giản, tiện lợi, nhanh chóng hơn so với trước đây. - HUMAN-FAC1]]</f>
        <v>5</v>
      </c>
      <c r="AD187">
        <f t="shared" si="61"/>
        <v>0.44444444444444442</v>
      </c>
      <c r="AE187">
        <f>step3_validation[[#This Row],[AI_FAC2]]</f>
        <v>7</v>
      </c>
      <c r="AF187">
        <f t="shared" si="62"/>
        <v>0.66666666666666663</v>
      </c>
      <c r="AG187">
        <f>survey_responses[[#This Row],[So với trước đây, tôi thấy cách tính thuế và các bậc thuế trong phương án mới đơn giản, dễ hiểu và dễ thực hiện hơn. - HUMAN-FAC2]]</f>
        <v>7</v>
      </c>
      <c r="AH187">
        <f t="shared" si="63"/>
        <v>0.66666666666666663</v>
      </c>
      <c r="AI187" s="32">
        <f t="shared" si="64"/>
        <v>0.72222222222222221</v>
      </c>
      <c r="AJ187" s="32">
        <f t="shared" si="65"/>
        <v>0.55555555555555558</v>
      </c>
      <c r="AK187">
        <f>step3_validation[[#This Row],[AI_TRU1]]</f>
        <v>6</v>
      </c>
      <c r="AL187">
        <f t="shared" si="66"/>
        <v>0.55555555555555558</v>
      </c>
      <c r="AM187">
        <f>survey_responses[[#This Row],[Tôi tin rằng Nhà nước, cơ quan thuế sẽ thực thi chính sách mới một cách khách quan, công tâm và đối xử bình đẳng với mọi người nộp thuế.  - HUMAN-TRU1]]</f>
        <v>5</v>
      </c>
      <c r="AN187">
        <f t="shared" si="67"/>
        <v>0.44444444444444442</v>
      </c>
      <c r="AO187">
        <f>step3_validation[[#This Row],[AI_TRU2]]</f>
        <v>9</v>
      </c>
      <c r="AP187">
        <f t="shared" si="68"/>
        <v>0.88888888888888884</v>
      </c>
      <c r="AQ187">
        <f>survey_responses[[#This Row],[Tôi thấy mức thuế tôi phải đóng theo phương án mới là công bằng (người thu nhập như tôi đóng mức này là hợp lý). - HUMAN-TRU2]]</f>
        <v>5</v>
      </c>
      <c r="AR187">
        <f t="shared" si="69"/>
        <v>0.44444444444444442</v>
      </c>
      <c r="AS187">
        <f>step3_validation[[#This Row],[AI_TRU3]]</f>
        <v>8</v>
      </c>
      <c r="AT187">
        <f t="shared" si="70"/>
        <v>0.77777777777777779</v>
      </c>
      <c r="AU187">
        <f>survey_responses[[#This Row],[Tôi tin tưởng số tiền thuế tôi đóng sẽ được Nhà nước sử dụng hiệu quả để cải thiện dịch vụ công (y tế, đường xá...). - HUMAN-TRU3]]</f>
        <v>5</v>
      </c>
      <c r="AV187">
        <f t="shared" si="71"/>
        <v>0.44444444444444442</v>
      </c>
      <c r="AW187">
        <f>step3_validation[[#This Row],[AI_TRU4]]</f>
        <v>7</v>
      </c>
      <c r="AX187">
        <f t="shared" si="72"/>
        <v>0.66666666666666663</v>
      </c>
      <c r="AY187">
        <f>survey_responses[[#This Row],[Tôi thấy Nhà nước đã giải thích rõ ràng, minh bạch về lý do và mục tiêu của việc sửa đổi thuế lần này. - HUMAN-TRU4]]</f>
        <v>5</v>
      </c>
      <c r="AZ187">
        <f t="shared" si="73"/>
        <v>0.44444444444444442</v>
      </c>
      <c r="BA187" s="32">
        <f t="shared" si="74"/>
        <v>0.72222222222222221</v>
      </c>
      <c r="BB187" s="32">
        <f t="shared" si="75"/>
        <v>0.44444444444444442</v>
      </c>
      <c r="BC187" s="7">
        <f t="shared" si="76"/>
        <v>0.64814814814814825</v>
      </c>
      <c r="BD187" s="7">
        <f t="shared" si="77"/>
        <v>0.55555555555555558</v>
      </c>
      <c r="BE187">
        <f>step3_validation[[#This Row],[AI_OUT1]]</f>
        <v>9</v>
      </c>
      <c r="BF187">
        <f t="shared" si="78"/>
        <v>0.88888888888888884</v>
      </c>
      <c r="BG187">
        <f>survey_responses[[#This Row],[Sau khi xem xét các quyền lợi và nghĩa vụ, bạn có ủng hộ và tuân thủ chính sách mới hiện nay? - HUMAN-OUT1]]</f>
        <v>6</v>
      </c>
      <c r="BH187">
        <f t="shared" si="79"/>
        <v>0.55555555555555558</v>
      </c>
      <c r="BI187" s="32">
        <f t="shared" si="80"/>
        <v>3</v>
      </c>
    </row>
    <row r="188" spans="1:61" x14ac:dyDescent="0.45">
      <c r="A188" s="30">
        <f>step3_validation[[#This Row],[Persona_ID]]</f>
        <v>187</v>
      </c>
      <c r="B188" s="31">
        <f>step3_validation[[#This Row],[Used_Seed]]</f>
        <v>187</v>
      </c>
      <c r="C188" t="str">
        <f>step3_validation[[#This Row],[Gender]]</f>
        <v>Nam</v>
      </c>
      <c r="D188" t="str">
        <f>survey_responses[[#This Row],[Giới tính của bạn:]]</f>
        <v>Nam</v>
      </c>
      <c r="E188" t="str">
        <f>step3_validation[[#This Row],[Age_Group]]</f>
        <v>40 - 49</v>
      </c>
      <c r="F188" t="str">
        <f>survey_responses[[#This Row],[Độ tuổi của bạn:]]</f>
        <v>40 - 49</v>
      </c>
      <c r="G188" t="str">
        <f>step3_validation[[#This Row],[Region]]</f>
        <v>Thành thị</v>
      </c>
      <c r="H188" t="str">
        <f>survey_responses[[#This Row],[Khu vực bạn đang sinh sống:]]</f>
        <v>Thành thị</v>
      </c>
      <c r="I188" t="str">
        <f>step3_validation[[#This Row],[Education]]</f>
        <v>Sau Đại học</v>
      </c>
      <c r="J188" t="str">
        <f>survey_responses[[#This Row],[Trình độ học vấn cao nhất:]]</f>
        <v>Sau Đại học</v>
      </c>
      <c r="K188" t="str">
        <f>step3_validation[[#This Row],[Employment]]</f>
        <v>Chính thức</v>
      </c>
      <c r="L188" t="str">
        <f>survey_responses[[#This Row],[Tình trạng việc làm chính:]]</f>
        <v>Khu vực chính thức (Có Hợp đồng lao động, đóng BHXH)</v>
      </c>
      <c r="M188">
        <f>step3_validation[[#This Row],[Income_Mil]]</f>
        <v>35.813089483558045</v>
      </c>
      <c r="N188" t="str">
        <f>survey_responses[[#This Row],[Thu nhập bình quân tháng theo Hợp đồng lao động của bạn là bao nhiêu? (Vui lòng điền tổng thu nhập trước khi khấu trừ các loại Bảo hiểm (BHXH, BHYT, BHTN) và Thuế TNCN)]]</f>
        <v>Từ 32 - 48 triệu VNĐ</v>
      </c>
      <c r="O188">
        <f>step3_validation[[#This Row],[Dependents]]</f>
        <v>2</v>
      </c>
      <c r="P188" t="str">
        <f>survey_responses[[#This Row],[Số người phụ thuộc (con nhỏ, cha mẹ già...) đủ điều kiện giảm trừ gia cảnh:]]</f>
        <v>2 người</v>
      </c>
      <c r="Q188">
        <f>step3_validation[[#This Row],[AI_ENF1]]</f>
        <v>7</v>
      </c>
      <c r="R188">
        <f t="shared" si="54"/>
        <v>0.66666666666666663</v>
      </c>
      <c r="S188">
        <f>survey_responses[[#This Row],[Tôi tin rằng với các quy định quản lý thuế hiện nay, hành vi gian lận hoặc trốn thuế sẽ dễ dàng bị phát hiện và xử lý nghiêm. - HUMAN-ENF1]]</f>
        <v>6</v>
      </c>
      <c r="T188">
        <f t="shared" si="55"/>
        <v>0.55555555555555558</v>
      </c>
      <c r="U188">
        <f>step3_validation[[#This Row],[AI_ENF2]]</f>
        <v>8</v>
      </c>
      <c r="V188">
        <f t="shared" si="56"/>
        <v>0.77777777777777779</v>
      </c>
      <c r="W188">
        <f>survey_responses[[#This Row],[Tôi tin rằng Nhà nước, cơ quan thuế có đủ khả năng và công nghệ để phát hiện, xử lý nghiêm các hành vi trốn thuế. - HUMAN-ENF2]]</f>
        <v>7</v>
      </c>
      <c r="X188">
        <f t="shared" si="57"/>
        <v>0.66666666666666663</v>
      </c>
      <c r="Y188" s="32">
        <f t="shared" si="58"/>
        <v>0.72222222222222221</v>
      </c>
      <c r="Z188" s="32">
        <f t="shared" si="59"/>
        <v>0.61111111111111116</v>
      </c>
      <c r="AA188">
        <f>step3_validation[[#This Row],[AI_FAC1]]</f>
        <v>6</v>
      </c>
      <c r="AB188">
        <f t="shared" si="60"/>
        <v>0.55555555555555558</v>
      </c>
      <c r="AC188">
        <f>survey_responses[[#This Row],[Các thủ tục khai báo thuế VÀ/HOẶC quy trình làm việc với cơ quan thuế đơn giản, tiện lợi, nhanh chóng hơn so với trước đây. - HUMAN-FAC1]]</f>
        <v>6</v>
      </c>
      <c r="AD188">
        <f t="shared" si="61"/>
        <v>0.55555555555555558</v>
      </c>
      <c r="AE188">
        <f>step3_validation[[#This Row],[AI_FAC2]]</f>
        <v>9</v>
      </c>
      <c r="AF188">
        <f t="shared" si="62"/>
        <v>0.88888888888888884</v>
      </c>
      <c r="AG188">
        <f>survey_responses[[#This Row],[So với trước đây, tôi thấy cách tính thuế và các bậc thuế trong phương án mới đơn giản, dễ hiểu và dễ thực hiện hơn. - HUMAN-FAC2]]</f>
        <v>7</v>
      </c>
      <c r="AH188">
        <f t="shared" si="63"/>
        <v>0.66666666666666663</v>
      </c>
      <c r="AI188" s="32">
        <f t="shared" si="64"/>
        <v>0.72222222222222221</v>
      </c>
      <c r="AJ188" s="32">
        <f t="shared" si="65"/>
        <v>0.61111111111111116</v>
      </c>
      <c r="AK188">
        <f>step3_validation[[#This Row],[AI_TRU1]]</f>
        <v>8</v>
      </c>
      <c r="AL188">
        <f t="shared" si="66"/>
        <v>0.77777777777777779</v>
      </c>
      <c r="AM188">
        <f>survey_responses[[#This Row],[Tôi tin rằng Nhà nước, cơ quan thuế sẽ thực thi chính sách mới một cách khách quan, công tâm và đối xử bình đẳng với mọi người nộp thuế.  - HUMAN-TRU1]]</f>
        <v>6</v>
      </c>
      <c r="AN188">
        <f t="shared" si="67"/>
        <v>0.55555555555555558</v>
      </c>
      <c r="AO188">
        <f>step3_validation[[#This Row],[AI_TRU2]]</f>
        <v>9</v>
      </c>
      <c r="AP188">
        <f t="shared" si="68"/>
        <v>0.88888888888888884</v>
      </c>
      <c r="AQ188">
        <f>survey_responses[[#This Row],[Tôi thấy mức thuế tôi phải đóng theo phương án mới là công bằng (người thu nhập như tôi đóng mức này là hợp lý). - HUMAN-TRU2]]</f>
        <v>6</v>
      </c>
      <c r="AR188">
        <f t="shared" si="69"/>
        <v>0.55555555555555558</v>
      </c>
      <c r="AS188">
        <f>step3_validation[[#This Row],[AI_TRU3]]</f>
        <v>8</v>
      </c>
      <c r="AT188">
        <f t="shared" si="70"/>
        <v>0.77777777777777779</v>
      </c>
      <c r="AU188">
        <f>survey_responses[[#This Row],[Tôi tin tưởng số tiền thuế tôi đóng sẽ được Nhà nước sử dụng hiệu quả để cải thiện dịch vụ công (y tế, đường xá...). - HUMAN-TRU3]]</f>
        <v>5</v>
      </c>
      <c r="AV188">
        <f t="shared" si="71"/>
        <v>0.44444444444444442</v>
      </c>
      <c r="AW188">
        <f>step3_validation[[#This Row],[AI_TRU4]]</f>
        <v>7</v>
      </c>
      <c r="AX188">
        <f t="shared" si="72"/>
        <v>0.66666666666666663</v>
      </c>
      <c r="AY188">
        <f>survey_responses[[#This Row],[Tôi thấy Nhà nước đã giải thích rõ ràng, minh bạch về lý do và mục tiêu của việc sửa đổi thuế lần này. - HUMAN-TRU4]]</f>
        <v>5</v>
      </c>
      <c r="AZ188">
        <f t="shared" si="73"/>
        <v>0.44444444444444442</v>
      </c>
      <c r="BA188" s="32">
        <f t="shared" si="74"/>
        <v>0.77777777777777768</v>
      </c>
      <c r="BB188" s="32">
        <f t="shared" si="75"/>
        <v>0.5</v>
      </c>
      <c r="BC188" s="7">
        <f t="shared" si="76"/>
        <v>0.74074074074074081</v>
      </c>
      <c r="BD188" s="7">
        <f t="shared" si="77"/>
        <v>0.57407407407407407</v>
      </c>
      <c r="BE188">
        <f>step3_validation[[#This Row],[AI_OUT1]]</f>
        <v>9</v>
      </c>
      <c r="BF188">
        <f t="shared" si="78"/>
        <v>0.88888888888888884</v>
      </c>
      <c r="BG188">
        <f>survey_responses[[#This Row],[Sau khi xem xét các quyền lợi và nghĩa vụ, bạn có ủng hộ và tuân thủ chính sách mới hiện nay? - HUMAN-OUT1]]</f>
        <v>6</v>
      </c>
      <c r="BH188">
        <f t="shared" si="79"/>
        <v>0.55555555555555558</v>
      </c>
      <c r="BI188" s="32">
        <f t="shared" si="80"/>
        <v>3</v>
      </c>
    </row>
    <row r="189" spans="1:61" x14ac:dyDescent="0.45">
      <c r="A189" s="30">
        <f>step3_validation[[#This Row],[Persona_ID]]</f>
        <v>188</v>
      </c>
      <c r="B189" s="31">
        <f>step3_validation[[#This Row],[Used_Seed]]</f>
        <v>188</v>
      </c>
      <c r="C189" t="str">
        <f>step3_validation[[#This Row],[Gender]]</f>
        <v>Nam</v>
      </c>
      <c r="D189" t="str">
        <f>survey_responses[[#This Row],[Giới tính của bạn:]]</f>
        <v>Nam</v>
      </c>
      <c r="E189" t="str">
        <f>step3_validation[[#This Row],[Age_Group]]</f>
        <v>25 - 29</v>
      </c>
      <c r="F189" t="str">
        <f>survey_responses[[#This Row],[Độ tuổi của bạn:]]</f>
        <v>25 - 29</v>
      </c>
      <c r="G189" t="str">
        <f>step3_validation[[#This Row],[Region]]</f>
        <v>Thành thị</v>
      </c>
      <c r="H189" t="str">
        <f>survey_responses[[#This Row],[Khu vực bạn đang sinh sống:]]</f>
        <v>Thành thị</v>
      </c>
      <c r="I189" t="str">
        <f>step3_validation[[#This Row],[Education]]</f>
        <v>Đại học</v>
      </c>
      <c r="J189" t="str">
        <f>survey_responses[[#This Row],[Trình độ học vấn cao nhất:]]</f>
        <v>Đại học</v>
      </c>
      <c r="K189" t="str">
        <f>step3_validation[[#This Row],[Employment]]</f>
        <v>Chính thức</v>
      </c>
      <c r="L189" t="str">
        <f>survey_responses[[#This Row],[Tình trạng việc làm chính:]]</f>
        <v>Khu vực chính thức (Có Hợp đồng lao động, đóng BHXH)</v>
      </c>
      <c r="M189">
        <f>step3_validation[[#This Row],[Income_Mil]]</f>
        <v>23.768887801891765</v>
      </c>
      <c r="N189" t="str">
        <f>survey_responses[[#This Row],[Thu nhập bình quân tháng theo Hợp đồng lao động của bạn là bao nhiêu? (Vui lòng điền tổng thu nhập trước khi khấu trừ các loại Bảo hiểm (BHXH, BHYT, BHTN) và Thuế TNCN)]]</f>
        <v>Từ 23 - 32 triệu VNĐ</v>
      </c>
      <c r="O189">
        <f>step3_validation[[#This Row],[Dependents]]</f>
        <v>1</v>
      </c>
      <c r="P189" t="str">
        <f>survey_responses[[#This Row],[Số người phụ thuộc (con nhỏ, cha mẹ già...) đủ điều kiện giảm trừ gia cảnh:]]</f>
        <v>1 người</v>
      </c>
      <c r="Q189">
        <f>step3_validation[[#This Row],[AI_ENF1]]</f>
        <v>7</v>
      </c>
      <c r="R189">
        <f t="shared" si="54"/>
        <v>0.66666666666666663</v>
      </c>
      <c r="S189">
        <f>survey_responses[[#This Row],[Tôi tin rằng với các quy định quản lý thuế hiện nay, hành vi gian lận hoặc trốn thuế sẽ dễ dàng bị phát hiện và xử lý nghiêm. - HUMAN-ENF1]]</f>
        <v>5</v>
      </c>
      <c r="T189">
        <f t="shared" si="55"/>
        <v>0.44444444444444442</v>
      </c>
      <c r="U189">
        <f>step3_validation[[#This Row],[AI_ENF2]]</f>
        <v>6</v>
      </c>
      <c r="V189">
        <f t="shared" si="56"/>
        <v>0.55555555555555558</v>
      </c>
      <c r="W189">
        <f>survey_responses[[#This Row],[Tôi tin rằng Nhà nước, cơ quan thuế có đủ khả năng và công nghệ để phát hiện, xử lý nghiêm các hành vi trốn thuế. - HUMAN-ENF2]]</f>
        <v>5</v>
      </c>
      <c r="X189">
        <f t="shared" si="57"/>
        <v>0.44444444444444442</v>
      </c>
      <c r="Y189" s="32">
        <f t="shared" si="58"/>
        <v>0.61111111111111116</v>
      </c>
      <c r="Z189" s="32">
        <f t="shared" si="59"/>
        <v>0.44444444444444442</v>
      </c>
      <c r="AA189">
        <f>step3_validation[[#This Row],[AI_FAC1]]</f>
        <v>8</v>
      </c>
      <c r="AB189">
        <f t="shared" si="60"/>
        <v>0.77777777777777779</v>
      </c>
      <c r="AC189">
        <f>survey_responses[[#This Row],[Các thủ tục khai báo thuế VÀ/HOẶC quy trình làm việc với cơ quan thuế đơn giản, tiện lợi, nhanh chóng hơn so với trước đây. - HUMAN-FAC1]]</f>
        <v>4</v>
      </c>
      <c r="AD189">
        <f t="shared" si="61"/>
        <v>0.33333333333333331</v>
      </c>
      <c r="AE189">
        <f>step3_validation[[#This Row],[AI_FAC2]]</f>
        <v>9</v>
      </c>
      <c r="AF189">
        <f t="shared" si="62"/>
        <v>0.88888888888888884</v>
      </c>
      <c r="AG189">
        <f>survey_responses[[#This Row],[So với trước đây, tôi thấy cách tính thuế và các bậc thuế trong phương án mới đơn giản, dễ hiểu và dễ thực hiện hơn. - HUMAN-FAC2]]</f>
        <v>6</v>
      </c>
      <c r="AH189">
        <f t="shared" si="63"/>
        <v>0.55555555555555558</v>
      </c>
      <c r="AI189" s="32">
        <f t="shared" si="64"/>
        <v>0.83333333333333326</v>
      </c>
      <c r="AJ189" s="32">
        <f t="shared" si="65"/>
        <v>0.44444444444444442</v>
      </c>
      <c r="AK189">
        <f>step3_validation[[#This Row],[AI_TRU1]]</f>
        <v>5</v>
      </c>
      <c r="AL189">
        <f t="shared" si="66"/>
        <v>0.44444444444444442</v>
      </c>
      <c r="AM189">
        <f>survey_responses[[#This Row],[Tôi tin rằng Nhà nước, cơ quan thuế sẽ thực thi chính sách mới một cách khách quan, công tâm và đối xử bình đẳng với mọi người nộp thuế.  - HUMAN-TRU1]]</f>
        <v>5</v>
      </c>
      <c r="AN189">
        <f t="shared" si="67"/>
        <v>0.44444444444444442</v>
      </c>
      <c r="AO189">
        <f>step3_validation[[#This Row],[AI_TRU2]]</f>
        <v>9</v>
      </c>
      <c r="AP189">
        <f t="shared" si="68"/>
        <v>0.88888888888888884</v>
      </c>
      <c r="AQ189">
        <f>survey_responses[[#This Row],[Tôi thấy mức thuế tôi phải đóng theo phương án mới là công bằng (người thu nhập như tôi đóng mức này là hợp lý). - HUMAN-TRU2]]</f>
        <v>5</v>
      </c>
      <c r="AR189">
        <f t="shared" si="69"/>
        <v>0.44444444444444442</v>
      </c>
      <c r="AS189">
        <f>step3_validation[[#This Row],[AI_TRU3]]</f>
        <v>6</v>
      </c>
      <c r="AT189">
        <f t="shared" si="70"/>
        <v>0.55555555555555558</v>
      </c>
      <c r="AU189">
        <f>survey_responses[[#This Row],[Tôi tin tưởng số tiền thuế tôi đóng sẽ được Nhà nước sử dụng hiệu quả để cải thiện dịch vụ công (y tế, đường xá...). - HUMAN-TRU3]]</f>
        <v>5</v>
      </c>
      <c r="AV189">
        <f t="shared" si="71"/>
        <v>0.44444444444444442</v>
      </c>
      <c r="AW189">
        <f>step3_validation[[#This Row],[AI_TRU4]]</f>
        <v>7</v>
      </c>
      <c r="AX189">
        <f t="shared" si="72"/>
        <v>0.66666666666666663</v>
      </c>
      <c r="AY189">
        <f>survey_responses[[#This Row],[Tôi thấy Nhà nước đã giải thích rõ ràng, minh bạch về lý do và mục tiêu của việc sửa đổi thuế lần này. - HUMAN-TRU4]]</f>
        <v>5</v>
      </c>
      <c r="AZ189">
        <f t="shared" si="73"/>
        <v>0.44444444444444442</v>
      </c>
      <c r="BA189" s="32">
        <f t="shared" si="74"/>
        <v>0.63888888888888884</v>
      </c>
      <c r="BB189" s="32">
        <f t="shared" si="75"/>
        <v>0.44444444444444442</v>
      </c>
      <c r="BC189" s="7">
        <f t="shared" si="76"/>
        <v>0.69444444444444431</v>
      </c>
      <c r="BD189" s="7">
        <f t="shared" si="77"/>
        <v>0.44444444444444442</v>
      </c>
      <c r="BE189">
        <f>step3_validation[[#This Row],[AI_OUT1]]</f>
        <v>8</v>
      </c>
      <c r="BF189">
        <f t="shared" si="78"/>
        <v>0.77777777777777779</v>
      </c>
      <c r="BG189">
        <f>survey_responses[[#This Row],[Sau khi xem xét các quyền lợi và nghĩa vụ, bạn có ủng hộ và tuân thủ chính sách mới hiện nay? - HUMAN-OUT1]]</f>
        <v>5</v>
      </c>
      <c r="BH189">
        <f t="shared" si="79"/>
        <v>0.44444444444444442</v>
      </c>
      <c r="BI189" s="32">
        <f t="shared" si="80"/>
        <v>3</v>
      </c>
    </row>
    <row r="190" spans="1:61" x14ac:dyDescent="0.45">
      <c r="A190" s="30">
        <f>step3_validation[[#This Row],[Persona_ID]]</f>
        <v>189</v>
      </c>
      <c r="B190" s="31">
        <f>step3_validation[[#This Row],[Used_Seed]]</f>
        <v>189</v>
      </c>
      <c r="C190" t="str">
        <f>step3_validation[[#This Row],[Gender]]</f>
        <v>Nam</v>
      </c>
      <c r="D190" t="str">
        <f>survey_responses[[#This Row],[Giới tính của bạn:]]</f>
        <v>Nam</v>
      </c>
      <c r="E190" t="str">
        <f>step3_validation[[#This Row],[Age_Group]]</f>
        <v>40 - 49</v>
      </c>
      <c r="F190" t="str">
        <f>survey_responses[[#This Row],[Độ tuổi của bạn:]]</f>
        <v>40 - 49</v>
      </c>
      <c r="G190" t="str">
        <f>step3_validation[[#This Row],[Region]]</f>
        <v>Thành thị</v>
      </c>
      <c r="H190" t="str">
        <f>survey_responses[[#This Row],[Khu vực bạn đang sinh sống:]]</f>
        <v>Thành thị</v>
      </c>
      <c r="I190" t="str">
        <f>step3_validation[[#This Row],[Education]]</f>
        <v>Đại học</v>
      </c>
      <c r="J190" t="str">
        <f>survey_responses[[#This Row],[Trình độ học vấn cao nhất:]]</f>
        <v>Đại học</v>
      </c>
      <c r="K190" t="str">
        <f>step3_validation[[#This Row],[Employment]]</f>
        <v>Chính thức</v>
      </c>
      <c r="L190" t="str">
        <f>survey_responses[[#This Row],[Tình trạng việc làm chính:]]</f>
        <v>Khu vực chính thức (Có Hợp đồng lao động, đóng BHXH)</v>
      </c>
      <c r="M190">
        <f>step3_validation[[#This Row],[Income_Mil]]</f>
        <v>58.224129325799318</v>
      </c>
      <c r="N190" t="str">
        <f>survey_responses[[#This Row],[Thu nhập bình quân tháng theo Hợp đồng lao động của bạn là bao nhiêu? (Vui lòng điền tổng thu nhập trước khi khấu trừ các loại Bảo hiểm (BHXH, BHYT, BHTN) và Thuế TNCN)]]</f>
        <v>Từ 48 - 70 triệu VNĐ</v>
      </c>
      <c r="O190">
        <f>step3_validation[[#This Row],[Dependents]]</f>
        <v>2</v>
      </c>
      <c r="P190" t="str">
        <f>survey_responses[[#This Row],[Số người phụ thuộc (con nhỏ, cha mẹ già...) đủ điều kiện giảm trừ gia cảnh:]]</f>
        <v>2 người</v>
      </c>
      <c r="Q190">
        <f>step3_validation[[#This Row],[AI_ENF1]]</f>
        <v>8</v>
      </c>
      <c r="R190">
        <f t="shared" si="54"/>
        <v>0.77777777777777779</v>
      </c>
      <c r="S190">
        <f>survey_responses[[#This Row],[Tôi tin rằng với các quy định quản lý thuế hiện nay, hành vi gian lận hoặc trốn thuế sẽ dễ dàng bị phát hiện và xử lý nghiêm. - HUMAN-ENF1]]</f>
        <v>8</v>
      </c>
      <c r="T190">
        <f t="shared" si="55"/>
        <v>0.77777777777777779</v>
      </c>
      <c r="U190">
        <f>step3_validation[[#This Row],[AI_ENF2]]</f>
        <v>7</v>
      </c>
      <c r="V190">
        <f t="shared" si="56"/>
        <v>0.66666666666666663</v>
      </c>
      <c r="W190">
        <f>survey_responses[[#This Row],[Tôi tin rằng Nhà nước, cơ quan thuế có đủ khả năng và công nghệ để phát hiện, xử lý nghiêm các hành vi trốn thuế. - HUMAN-ENF2]]</f>
        <v>8</v>
      </c>
      <c r="X190">
        <f t="shared" si="57"/>
        <v>0.77777777777777779</v>
      </c>
      <c r="Y190" s="32">
        <f t="shared" si="58"/>
        <v>0.72222222222222221</v>
      </c>
      <c r="Z190" s="32">
        <f t="shared" si="59"/>
        <v>0.77777777777777779</v>
      </c>
      <c r="AA190">
        <f>step3_validation[[#This Row],[AI_FAC1]]</f>
        <v>6</v>
      </c>
      <c r="AB190">
        <f t="shared" si="60"/>
        <v>0.55555555555555558</v>
      </c>
      <c r="AC190">
        <f>survey_responses[[#This Row],[Các thủ tục khai báo thuế VÀ/HOẶC quy trình làm việc với cơ quan thuế đơn giản, tiện lợi, nhanh chóng hơn so với trước đây. - HUMAN-FAC1]]</f>
        <v>5</v>
      </c>
      <c r="AD190">
        <f t="shared" si="61"/>
        <v>0.44444444444444442</v>
      </c>
      <c r="AE190">
        <f>step3_validation[[#This Row],[AI_FAC2]]</f>
        <v>7</v>
      </c>
      <c r="AF190">
        <f t="shared" si="62"/>
        <v>0.66666666666666663</v>
      </c>
      <c r="AG190">
        <f>survey_responses[[#This Row],[So với trước đây, tôi thấy cách tính thuế và các bậc thuế trong phương án mới đơn giản, dễ hiểu và dễ thực hiện hơn. - HUMAN-FAC2]]</f>
        <v>7</v>
      </c>
      <c r="AH190">
        <f t="shared" si="63"/>
        <v>0.66666666666666663</v>
      </c>
      <c r="AI190" s="32">
        <f t="shared" si="64"/>
        <v>0.61111111111111116</v>
      </c>
      <c r="AJ190" s="32">
        <f t="shared" si="65"/>
        <v>0.55555555555555558</v>
      </c>
      <c r="AK190">
        <f>step3_validation[[#This Row],[AI_TRU1]]</f>
        <v>8</v>
      </c>
      <c r="AL190">
        <f t="shared" si="66"/>
        <v>0.77777777777777779</v>
      </c>
      <c r="AM190">
        <f>survey_responses[[#This Row],[Tôi tin rằng Nhà nước, cơ quan thuế sẽ thực thi chính sách mới một cách khách quan, công tâm và đối xử bình đẳng với mọi người nộp thuế.  - HUMAN-TRU1]]</f>
        <v>6</v>
      </c>
      <c r="AN190">
        <f t="shared" si="67"/>
        <v>0.55555555555555558</v>
      </c>
      <c r="AO190">
        <f>step3_validation[[#This Row],[AI_TRU2]]</f>
        <v>9</v>
      </c>
      <c r="AP190">
        <f t="shared" si="68"/>
        <v>0.88888888888888884</v>
      </c>
      <c r="AQ190">
        <f>survey_responses[[#This Row],[Tôi thấy mức thuế tôi phải đóng theo phương án mới là công bằng (người thu nhập như tôi đóng mức này là hợp lý). - HUMAN-TRU2]]</f>
        <v>8</v>
      </c>
      <c r="AR190">
        <f t="shared" si="69"/>
        <v>0.77777777777777779</v>
      </c>
      <c r="AS190">
        <f>step3_validation[[#This Row],[AI_TRU3]]</f>
        <v>8</v>
      </c>
      <c r="AT190">
        <f t="shared" si="70"/>
        <v>0.77777777777777779</v>
      </c>
      <c r="AU190">
        <f>survey_responses[[#This Row],[Tôi tin tưởng số tiền thuế tôi đóng sẽ được Nhà nước sử dụng hiệu quả để cải thiện dịch vụ công (y tế, đường xá...). - HUMAN-TRU3]]</f>
        <v>5</v>
      </c>
      <c r="AV190">
        <f t="shared" si="71"/>
        <v>0.44444444444444442</v>
      </c>
      <c r="AW190">
        <f>step3_validation[[#This Row],[AI_TRU4]]</f>
        <v>6</v>
      </c>
      <c r="AX190">
        <f t="shared" si="72"/>
        <v>0.55555555555555558</v>
      </c>
      <c r="AY190">
        <f>survey_responses[[#This Row],[Tôi thấy Nhà nước đã giải thích rõ ràng, minh bạch về lý do và mục tiêu của việc sửa đổi thuế lần này. - HUMAN-TRU4]]</f>
        <v>7</v>
      </c>
      <c r="AZ190">
        <f t="shared" si="73"/>
        <v>0.66666666666666663</v>
      </c>
      <c r="BA190" s="32">
        <f t="shared" si="74"/>
        <v>0.75</v>
      </c>
      <c r="BB190" s="32">
        <f t="shared" si="75"/>
        <v>0.61111111111111116</v>
      </c>
      <c r="BC190" s="7">
        <f t="shared" si="76"/>
        <v>0.69444444444444453</v>
      </c>
      <c r="BD190" s="7">
        <f t="shared" si="77"/>
        <v>0.64814814814814825</v>
      </c>
      <c r="BE190">
        <f>step3_validation[[#This Row],[AI_OUT1]]</f>
        <v>8</v>
      </c>
      <c r="BF190">
        <f t="shared" si="78"/>
        <v>0.77777777777777779</v>
      </c>
      <c r="BG190">
        <f>survey_responses[[#This Row],[Sau khi xem xét các quyền lợi và nghĩa vụ, bạn có ủng hộ và tuân thủ chính sách mới hiện nay? - HUMAN-OUT1]]</f>
        <v>8</v>
      </c>
      <c r="BH190">
        <f t="shared" si="79"/>
        <v>0.77777777777777779</v>
      </c>
      <c r="BI190" s="32">
        <f t="shared" si="80"/>
        <v>0</v>
      </c>
    </row>
    <row r="191" spans="1:61" x14ac:dyDescent="0.45">
      <c r="A191" s="30">
        <f>step3_validation[[#This Row],[Persona_ID]]</f>
        <v>190</v>
      </c>
      <c r="B191" s="31">
        <f>step3_validation[[#This Row],[Used_Seed]]</f>
        <v>190</v>
      </c>
      <c r="C191" t="str">
        <f>step3_validation[[#This Row],[Gender]]</f>
        <v>Nam</v>
      </c>
      <c r="D191" t="str">
        <f>survey_responses[[#This Row],[Giới tính của bạn:]]</f>
        <v>Nam</v>
      </c>
      <c r="E191" t="str">
        <f>step3_validation[[#This Row],[Age_Group]]</f>
        <v>25 - 29</v>
      </c>
      <c r="F191" t="str">
        <f>survey_responses[[#This Row],[Độ tuổi của bạn:]]</f>
        <v>25 - 29</v>
      </c>
      <c r="G191" t="str">
        <f>step3_validation[[#This Row],[Region]]</f>
        <v>Thành thị</v>
      </c>
      <c r="H191" t="str">
        <f>survey_responses[[#This Row],[Khu vực bạn đang sinh sống:]]</f>
        <v>Thành thị</v>
      </c>
      <c r="I191" t="str">
        <f>step3_validation[[#This Row],[Education]]</f>
        <v>Sau Đại học</v>
      </c>
      <c r="J191" t="str">
        <f>survey_responses[[#This Row],[Trình độ học vấn cao nhất:]]</f>
        <v>Sau Đại học</v>
      </c>
      <c r="K191" t="str">
        <f>step3_validation[[#This Row],[Employment]]</f>
        <v>Chính thức</v>
      </c>
      <c r="L191" t="str">
        <f>survey_responses[[#This Row],[Tình trạng việc làm chính:]]</f>
        <v>Khu vực chính thức (Có Hợp đồng lao động, đóng BHXH)</v>
      </c>
      <c r="M191">
        <f>step3_validation[[#This Row],[Income_Mil]]</f>
        <v>27.253152914906629</v>
      </c>
      <c r="N191" t="str">
        <f>survey_responses[[#This Row],[Thu nhập bình quân tháng theo Hợp đồng lao động của bạn là bao nhiêu? (Vui lòng điền tổng thu nhập trước khi khấu trừ các loại Bảo hiểm (BHXH, BHYT, BHTN) và Thuế TNCN)]]</f>
        <v>Từ 23 - 32 triệu VNĐ</v>
      </c>
      <c r="O191">
        <f>step3_validation[[#This Row],[Dependents]]</f>
        <v>0</v>
      </c>
      <c r="P191" t="str">
        <f>survey_responses[[#This Row],[Số người phụ thuộc (con nhỏ, cha mẹ già...) đủ điều kiện giảm trừ gia cảnh:]]</f>
        <v>0 người</v>
      </c>
      <c r="Q191">
        <f>step3_validation[[#This Row],[AI_ENF1]]</f>
        <v>8</v>
      </c>
      <c r="R191">
        <f t="shared" si="54"/>
        <v>0.77777777777777779</v>
      </c>
      <c r="S191">
        <f>survey_responses[[#This Row],[Tôi tin rằng với các quy định quản lý thuế hiện nay, hành vi gian lận hoặc trốn thuế sẽ dễ dàng bị phát hiện và xử lý nghiêm. - HUMAN-ENF1]]</f>
        <v>7</v>
      </c>
      <c r="T191">
        <f t="shared" si="55"/>
        <v>0.66666666666666663</v>
      </c>
      <c r="U191">
        <f>step3_validation[[#This Row],[AI_ENF2]]</f>
        <v>9</v>
      </c>
      <c r="V191">
        <f t="shared" si="56"/>
        <v>0.88888888888888884</v>
      </c>
      <c r="W191">
        <f>survey_responses[[#This Row],[Tôi tin rằng Nhà nước, cơ quan thuế có đủ khả năng và công nghệ để phát hiện, xử lý nghiêm các hành vi trốn thuế. - HUMAN-ENF2]]</f>
        <v>7</v>
      </c>
      <c r="X191">
        <f t="shared" si="57"/>
        <v>0.66666666666666663</v>
      </c>
      <c r="Y191" s="32">
        <f t="shared" si="58"/>
        <v>0.83333333333333326</v>
      </c>
      <c r="Z191" s="32">
        <f t="shared" si="59"/>
        <v>0.66666666666666663</v>
      </c>
      <c r="AA191">
        <f>step3_validation[[#This Row],[AI_FAC1]]</f>
        <v>8</v>
      </c>
      <c r="AB191">
        <f t="shared" si="60"/>
        <v>0.77777777777777779</v>
      </c>
      <c r="AC191">
        <f>survey_responses[[#This Row],[Các thủ tục khai báo thuế VÀ/HOẶC quy trình làm việc với cơ quan thuế đơn giản, tiện lợi, nhanh chóng hơn so với trước đây. - HUMAN-FAC1]]</f>
        <v>7</v>
      </c>
      <c r="AD191">
        <f t="shared" si="61"/>
        <v>0.66666666666666663</v>
      </c>
      <c r="AE191">
        <f>step3_validation[[#This Row],[AI_FAC2]]</f>
        <v>9</v>
      </c>
      <c r="AF191">
        <f t="shared" si="62"/>
        <v>0.88888888888888884</v>
      </c>
      <c r="AG191">
        <f>survey_responses[[#This Row],[So với trước đây, tôi thấy cách tính thuế và các bậc thuế trong phương án mới đơn giản, dễ hiểu và dễ thực hiện hơn. - HUMAN-FAC2]]</f>
        <v>8</v>
      </c>
      <c r="AH191">
        <f t="shared" si="63"/>
        <v>0.77777777777777779</v>
      </c>
      <c r="AI191" s="32">
        <f t="shared" si="64"/>
        <v>0.83333333333333326</v>
      </c>
      <c r="AJ191" s="32">
        <f t="shared" si="65"/>
        <v>0.72222222222222221</v>
      </c>
      <c r="AK191">
        <f>step3_validation[[#This Row],[AI_TRU1]]</f>
        <v>8</v>
      </c>
      <c r="AL191">
        <f t="shared" si="66"/>
        <v>0.77777777777777779</v>
      </c>
      <c r="AM191">
        <f>survey_responses[[#This Row],[Tôi tin rằng Nhà nước, cơ quan thuế sẽ thực thi chính sách mới một cách khách quan, công tâm và đối xử bình đẳng với mọi người nộp thuế.  - HUMAN-TRU1]]</f>
        <v>3</v>
      </c>
      <c r="AN191">
        <f t="shared" si="67"/>
        <v>0.22222222222222221</v>
      </c>
      <c r="AO191">
        <f>step3_validation[[#This Row],[AI_TRU2]]</f>
        <v>9</v>
      </c>
      <c r="AP191">
        <f t="shared" si="68"/>
        <v>0.88888888888888884</v>
      </c>
      <c r="AQ191">
        <f>survey_responses[[#This Row],[Tôi thấy mức thuế tôi phải đóng theo phương án mới là công bằng (người thu nhập như tôi đóng mức này là hợp lý). - HUMAN-TRU2]]</f>
        <v>3</v>
      </c>
      <c r="AR191">
        <f t="shared" si="69"/>
        <v>0.22222222222222221</v>
      </c>
      <c r="AS191">
        <f>step3_validation[[#This Row],[AI_TRU3]]</f>
        <v>8</v>
      </c>
      <c r="AT191">
        <f t="shared" si="70"/>
        <v>0.77777777777777779</v>
      </c>
      <c r="AU191">
        <f>survey_responses[[#This Row],[Tôi tin tưởng số tiền thuế tôi đóng sẽ được Nhà nước sử dụng hiệu quả để cải thiện dịch vụ công (y tế, đường xá...). - HUMAN-TRU3]]</f>
        <v>2</v>
      </c>
      <c r="AV191">
        <f t="shared" si="71"/>
        <v>0.1111111111111111</v>
      </c>
      <c r="AW191">
        <f>step3_validation[[#This Row],[AI_TRU4]]</f>
        <v>9</v>
      </c>
      <c r="AX191">
        <f t="shared" si="72"/>
        <v>0.88888888888888884</v>
      </c>
      <c r="AY191">
        <f>survey_responses[[#This Row],[Tôi thấy Nhà nước đã giải thích rõ ràng, minh bạch về lý do và mục tiêu của việc sửa đổi thuế lần này. - HUMAN-TRU4]]</f>
        <v>3</v>
      </c>
      <c r="AZ191">
        <f t="shared" si="73"/>
        <v>0.22222222222222221</v>
      </c>
      <c r="BA191" s="32">
        <f t="shared" si="74"/>
        <v>0.83333333333333326</v>
      </c>
      <c r="BB191" s="32">
        <f t="shared" si="75"/>
        <v>0.19444444444444445</v>
      </c>
      <c r="BC191" s="7">
        <f t="shared" si="76"/>
        <v>0.83333333333333337</v>
      </c>
      <c r="BD191" s="7">
        <f t="shared" si="77"/>
        <v>0.52777777777777779</v>
      </c>
      <c r="BE191">
        <f>step3_validation[[#This Row],[AI_OUT1]]</f>
        <v>9</v>
      </c>
      <c r="BF191">
        <f t="shared" si="78"/>
        <v>0.88888888888888884</v>
      </c>
      <c r="BG191">
        <f>survey_responses[[#This Row],[Sau khi xem xét các quyền lợi và nghĩa vụ, bạn có ủng hộ và tuân thủ chính sách mới hiện nay? - HUMAN-OUT1]]</f>
        <v>8</v>
      </c>
      <c r="BH191">
        <f t="shared" si="79"/>
        <v>0.77777777777777779</v>
      </c>
      <c r="BI191" s="32">
        <f t="shared" si="80"/>
        <v>1</v>
      </c>
    </row>
    <row r="192" spans="1:61" x14ac:dyDescent="0.45">
      <c r="A192" s="30">
        <f>step3_validation[[#This Row],[Persona_ID]]</f>
        <v>191</v>
      </c>
      <c r="B192" s="31">
        <f>step3_validation[[#This Row],[Used_Seed]]</f>
        <v>191</v>
      </c>
      <c r="C192" t="str">
        <f>step3_validation[[#This Row],[Gender]]</f>
        <v>Nam</v>
      </c>
      <c r="D192" t="str">
        <f>survey_responses[[#This Row],[Giới tính của bạn:]]</f>
        <v>Nam</v>
      </c>
      <c r="E192" t="str">
        <f>step3_validation[[#This Row],[Age_Group]]</f>
        <v>30 - 39</v>
      </c>
      <c r="F192" t="str">
        <f>survey_responses[[#This Row],[Độ tuổi của bạn:]]</f>
        <v>30 - 39</v>
      </c>
      <c r="G192" t="str">
        <f>step3_validation[[#This Row],[Region]]</f>
        <v>Thành thị</v>
      </c>
      <c r="H192" t="str">
        <f>survey_responses[[#This Row],[Khu vực bạn đang sinh sống:]]</f>
        <v>Thành thị</v>
      </c>
      <c r="I192" t="str">
        <f>step3_validation[[#This Row],[Education]]</f>
        <v>Sau Đại học</v>
      </c>
      <c r="J192" t="str">
        <f>survey_responses[[#This Row],[Trình độ học vấn cao nhất:]]</f>
        <v>Sau Đại học</v>
      </c>
      <c r="K192" t="str">
        <f>step3_validation[[#This Row],[Employment]]</f>
        <v>Chính thức</v>
      </c>
      <c r="L192" t="str">
        <f>survey_responses[[#This Row],[Tình trạng việc làm chính:]]</f>
        <v>Khu vực chính thức (Có Hợp đồng lao động, đóng BHXH)</v>
      </c>
      <c r="M192">
        <f>step3_validation[[#This Row],[Income_Mil]]</f>
        <v>68.424416201008498</v>
      </c>
      <c r="N192" t="str">
        <f>survey_responses[[#This Row],[Thu nhập bình quân tháng theo Hợp đồng lao động của bạn là bao nhiêu? (Vui lòng điền tổng thu nhập trước khi khấu trừ các loại Bảo hiểm (BHXH, BHYT, BHTN) và Thuế TNCN)]]</f>
        <v>Từ 48 - 70 triệu VNĐ</v>
      </c>
      <c r="O192">
        <f>step3_validation[[#This Row],[Dependents]]</f>
        <v>3</v>
      </c>
      <c r="P192" t="str">
        <f>survey_responses[[#This Row],[Số người phụ thuộc (con nhỏ, cha mẹ già...) đủ điều kiện giảm trừ gia cảnh:]]</f>
        <v>3 người</v>
      </c>
      <c r="Q192">
        <f>step3_validation[[#This Row],[AI_ENF1]]</f>
        <v>7</v>
      </c>
      <c r="R192">
        <f t="shared" si="54"/>
        <v>0.66666666666666663</v>
      </c>
      <c r="S192">
        <f>survey_responses[[#This Row],[Tôi tin rằng với các quy định quản lý thuế hiện nay, hành vi gian lận hoặc trốn thuế sẽ dễ dàng bị phát hiện và xử lý nghiêm. - HUMAN-ENF1]]</f>
        <v>7</v>
      </c>
      <c r="T192">
        <f t="shared" si="55"/>
        <v>0.66666666666666663</v>
      </c>
      <c r="U192">
        <f>step3_validation[[#This Row],[AI_ENF2]]</f>
        <v>8</v>
      </c>
      <c r="V192">
        <f t="shared" si="56"/>
        <v>0.77777777777777779</v>
      </c>
      <c r="W192">
        <f>survey_responses[[#This Row],[Tôi tin rằng Nhà nước, cơ quan thuế có đủ khả năng và công nghệ để phát hiện, xử lý nghiêm các hành vi trốn thuế. - HUMAN-ENF2]]</f>
        <v>7</v>
      </c>
      <c r="X192">
        <f t="shared" si="57"/>
        <v>0.66666666666666663</v>
      </c>
      <c r="Y192" s="32">
        <f t="shared" si="58"/>
        <v>0.72222222222222221</v>
      </c>
      <c r="Z192" s="32">
        <f t="shared" si="59"/>
        <v>0.66666666666666663</v>
      </c>
      <c r="AA192">
        <f>step3_validation[[#This Row],[AI_FAC1]]</f>
        <v>9</v>
      </c>
      <c r="AB192">
        <f t="shared" si="60"/>
        <v>0.88888888888888884</v>
      </c>
      <c r="AC192">
        <f>survey_responses[[#This Row],[Các thủ tục khai báo thuế VÀ/HOẶC quy trình làm việc với cơ quan thuế đơn giản, tiện lợi, nhanh chóng hơn so với trước đây. - HUMAN-FAC1]]</f>
        <v>6</v>
      </c>
      <c r="AD192">
        <f t="shared" si="61"/>
        <v>0.55555555555555558</v>
      </c>
      <c r="AE192">
        <f>step3_validation[[#This Row],[AI_FAC2]]</f>
        <v>10</v>
      </c>
      <c r="AF192">
        <f t="shared" si="62"/>
        <v>1</v>
      </c>
      <c r="AG192">
        <f>survey_responses[[#This Row],[So với trước đây, tôi thấy cách tính thuế và các bậc thuế trong phương án mới đơn giản, dễ hiểu và dễ thực hiện hơn. - HUMAN-FAC2]]</f>
        <v>8</v>
      </c>
      <c r="AH192">
        <f t="shared" si="63"/>
        <v>0.77777777777777779</v>
      </c>
      <c r="AI192" s="32">
        <f t="shared" si="64"/>
        <v>0.94444444444444442</v>
      </c>
      <c r="AJ192" s="32">
        <f t="shared" si="65"/>
        <v>0.66666666666666674</v>
      </c>
      <c r="AK192">
        <f>step3_validation[[#This Row],[AI_TRU1]]</f>
        <v>6</v>
      </c>
      <c r="AL192">
        <f t="shared" si="66"/>
        <v>0.55555555555555558</v>
      </c>
      <c r="AM192">
        <f>survey_responses[[#This Row],[Tôi tin rằng Nhà nước, cơ quan thuế sẽ thực thi chính sách mới một cách khách quan, công tâm và đối xử bình đẳng với mọi người nộp thuế.  - HUMAN-TRU1]]</f>
        <v>7</v>
      </c>
      <c r="AN192">
        <f t="shared" si="67"/>
        <v>0.66666666666666663</v>
      </c>
      <c r="AO192">
        <f>step3_validation[[#This Row],[AI_TRU2]]</f>
        <v>7</v>
      </c>
      <c r="AP192">
        <f t="shared" si="68"/>
        <v>0.66666666666666663</v>
      </c>
      <c r="AQ192">
        <f>survey_responses[[#This Row],[Tôi thấy mức thuế tôi phải đóng theo phương án mới là công bằng (người thu nhập như tôi đóng mức này là hợp lý). - HUMAN-TRU2]]</f>
        <v>8</v>
      </c>
      <c r="AR192">
        <f t="shared" si="69"/>
        <v>0.77777777777777779</v>
      </c>
      <c r="AS192">
        <f>step3_validation[[#This Row],[AI_TRU3]]</f>
        <v>6</v>
      </c>
      <c r="AT192">
        <f t="shared" si="70"/>
        <v>0.55555555555555558</v>
      </c>
      <c r="AU192">
        <f>survey_responses[[#This Row],[Tôi tin tưởng số tiền thuế tôi đóng sẽ được Nhà nước sử dụng hiệu quả để cải thiện dịch vụ công (y tế, đường xá...). - HUMAN-TRU3]]</f>
        <v>7</v>
      </c>
      <c r="AV192">
        <f t="shared" si="71"/>
        <v>0.66666666666666663</v>
      </c>
      <c r="AW192">
        <f>step3_validation[[#This Row],[AI_TRU4]]</f>
        <v>6</v>
      </c>
      <c r="AX192">
        <f t="shared" si="72"/>
        <v>0.55555555555555558</v>
      </c>
      <c r="AY192">
        <f>survey_responses[[#This Row],[Tôi thấy Nhà nước đã giải thích rõ ràng, minh bạch về lý do và mục tiêu của việc sửa đổi thuế lần này. - HUMAN-TRU4]]</f>
        <v>7</v>
      </c>
      <c r="AZ192">
        <f t="shared" si="73"/>
        <v>0.66666666666666663</v>
      </c>
      <c r="BA192" s="32">
        <f t="shared" si="74"/>
        <v>0.58333333333333337</v>
      </c>
      <c r="BB192" s="32">
        <f t="shared" si="75"/>
        <v>0.69444444444444442</v>
      </c>
      <c r="BC192" s="7">
        <f t="shared" si="76"/>
        <v>0.75</v>
      </c>
      <c r="BD192" s="7">
        <f t="shared" si="77"/>
        <v>0.67592592592592593</v>
      </c>
      <c r="BE192">
        <f>step3_validation[[#This Row],[AI_OUT1]]</f>
        <v>8</v>
      </c>
      <c r="BF192">
        <f t="shared" si="78"/>
        <v>0.77777777777777779</v>
      </c>
      <c r="BG192">
        <f>survey_responses[[#This Row],[Sau khi xem xét các quyền lợi và nghĩa vụ, bạn có ủng hộ và tuân thủ chính sách mới hiện nay? - HUMAN-OUT1]]</f>
        <v>7</v>
      </c>
      <c r="BH192">
        <f t="shared" si="79"/>
        <v>0.66666666666666663</v>
      </c>
      <c r="BI192" s="32">
        <f t="shared" si="80"/>
        <v>1</v>
      </c>
    </row>
    <row r="193" spans="1:61" x14ac:dyDescent="0.45">
      <c r="A193" s="30">
        <f>step3_validation[[#This Row],[Persona_ID]]</f>
        <v>192</v>
      </c>
      <c r="B193" s="31">
        <f>step3_validation[[#This Row],[Used_Seed]]</f>
        <v>192</v>
      </c>
      <c r="C193" t="str">
        <f>step3_validation[[#This Row],[Gender]]</f>
        <v>Nữ</v>
      </c>
      <c r="D193" t="str">
        <f>survey_responses[[#This Row],[Giới tính của bạn:]]</f>
        <v>Nữ</v>
      </c>
      <c r="E193" t="str">
        <f>step3_validation[[#This Row],[Age_Group]]</f>
        <v>18 - 24</v>
      </c>
      <c r="F193" t="str">
        <f>survey_responses[[#This Row],[Độ tuổi của bạn:]]</f>
        <v>18 - 24</v>
      </c>
      <c r="G193" t="str">
        <f>step3_validation[[#This Row],[Region]]</f>
        <v>Thành thị</v>
      </c>
      <c r="H193" t="str">
        <f>survey_responses[[#This Row],[Khu vực bạn đang sinh sống:]]</f>
        <v>Thành thị</v>
      </c>
      <c r="I193" t="str">
        <f>step3_validation[[#This Row],[Education]]</f>
        <v>Đại học</v>
      </c>
      <c r="J193" t="str">
        <f>survey_responses[[#This Row],[Trình độ học vấn cao nhất:]]</f>
        <v>Đại học</v>
      </c>
      <c r="K193" t="str">
        <f>step3_validation[[#This Row],[Employment]]</f>
        <v>Chính thức</v>
      </c>
      <c r="L193" t="str">
        <f>survey_responses[[#This Row],[Tình trạng việc làm chính:]]</f>
        <v>Khu vực chính thức (Có Hợp đồng lao động, đóng BHXH)</v>
      </c>
      <c r="M193">
        <f>step3_validation[[#This Row],[Income_Mil]]</f>
        <v>20.636174683295685</v>
      </c>
      <c r="N193" t="str">
        <f>survey_responses[[#This Row],[Thu nhập bình quân tháng theo Hợp đồng lao động của bạn là bao nhiêu? (Vui lòng điền tổng thu nhập trước khi khấu trừ các loại Bảo hiểm (BHXH, BHYT, BHTN) và Thuế TNCN)]]</f>
        <v>Từ 18 - 23 triệu VNĐ</v>
      </c>
      <c r="O193">
        <f>step3_validation[[#This Row],[Dependents]]</f>
        <v>0</v>
      </c>
      <c r="P193" t="str">
        <f>survey_responses[[#This Row],[Số người phụ thuộc (con nhỏ, cha mẹ già...) đủ điều kiện giảm trừ gia cảnh:]]</f>
        <v>0 người</v>
      </c>
      <c r="Q193">
        <f>step3_validation[[#This Row],[AI_ENF1]]</f>
        <v>6</v>
      </c>
      <c r="R193">
        <f t="shared" si="54"/>
        <v>0.55555555555555558</v>
      </c>
      <c r="S193">
        <f>survey_responses[[#This Row],[Tôi tin rằng với các quy định quản lý thuế hiện nay, hành vi gian lận hoặc trốn thuế sẽ dễ dàng bị phát hiện và xử lý nghiêm. - HUMAN-ENF1]]</f>
        <v>8</v>
      </c>
      <c r="T193">
        <f t="shared" si="55"/>
        <v>0.77777777777777779</v>
      </c>
      <c r="U193">
        <f>step3_validation[[#This Row],[AI_ENF2]]</f>
        <v>6</v>
      </c>
      <c r="V193">
        <f t="shared" si="56"/>
        <v>0.55555555555555558</v>
      </c>
      <c r="W193">
        <f>survey_responses[[#This Row],[Tôi tin rằng Nhà nước, cơ quan thuế có đủ khả năng và công nghệ để phát hiện, xử lý nghiêm các hành vi trốn thuế. - HUMAN-ENF2]]</f>
        <v>8</v>
      </c>
      <c r="X193">
        <f t="shared" si="57"/>
        <v>0.77777777777777779</v>
      </c>
      <c r="Y193" s="32">
        <f t="shared" si="58"/>
        <v>0.55555555555555558</v>
      </c>
      <c r="Z193" s="32">
        <f t="shared" si="59"/>
        <v>0.77777777777777779</v>
      </c>
      <c r="AA193">
        <f>step3_validation[[#This Row],[AI_FAC1]]</f>
        <v>8</v>
      </c>
      <c r="AB193">
        <f t="shared" si="60"/>
        <v>0.77777777777777779</v>
      </c>
      <c r="AC193">
        <f>survey_responses[[#This Row],[Các thủ tục khai báo thuế VÀ/HOẶC quy trình làm việc với cơ quan thuế đơn giản, tiện lợi, nhanh chóng hơn so với trước đây. - HUMAN-FAC1]]</f>
        <v>9</v>
      </c>
      <c r="AD193">
        <f t="shared" si="61"/>
        <v>0.88888888888888884</v>
      </c>
      <c r="AE193">
        <f>step3_validation[[#This Row],[AI_FAC2]]</f>
        <v>9</v>
      </c>
      <c r="AF193">
        <f t="shared" si="62"/>
        <v>0.88888888888888884</v>
      </c>
      <c r="AG193">
        <f>survey_responses[[#This Row],[So với trước đây, tôi thấy cách tính thuế và các bậc thuế trong phương án mới đơn giản, dễ hiểu và dễ thực hiện hơn. - HUMAN-FAC2]]</f>
        <v>9</v>
      </c>
      <c r="AH193">
        <f t="shared" si="63"/>
        <v>0.88888888888888884</v>
      </c>
      <c r="AI193" s="32">
        <f t="shared" si="64"/>
        <v>0.83333333333333326</v>
      </c>
      <c r="AJ193" s="32">
        <f t="shared" si="65"/>
        <v>0.88888888888888884</v>
      </c>
      <c r="AK193">
        <f>step3_validation[[#This Row],[AI_TRU1]]</f>
        <v>7</v>
      </c>
      <c r="AL193">
        <f t="shared" si="66"/>
        <v>0.66666666666666663</v>
      </c>
      <c r="AM193">
        <f>survey_responses[[#This Row],[Tôi tin rằng Nhà nước, cơ quan thuế sẽ thực thi chính sách mới một cách khách quan, công tâm và đối xử bình đẳng với mọi người nộp thuế.  - HUMAN-TRU1]]</f>
        <v>9</v>
      </c>
      <c r="AN193">
        <f t="shared" si="67"/>
        <v>0.88888888888888884</v>
      </c>
      <c r="AO193">
        <f>step3_validation[[#This Row],[AI_TRU2]]</f>
        <v>9</v>
      </c>
      <c r="AP193">
        <f t="shared" si="68"/>
        <v>0.88888888888888884</v>
      </c>
      <c r="AQ193">
        <f>survey_responses[[#This Row],[Tôi thấy mức thuế tôi phải đóng theo phương án mới là công bằng (người thu nhập như tôi đóng mức này là hợp lý). - HUMAN-TRU2]]</f>
        <v>9</v>
      </c>
      <c r="AR193">
        <f t="shared" si="69"/>
        <v>0.88888888888888884</v>
      </c>
      <c r="AS193">
        <f>step3_validation[[#This Row],[AI_TRU3]]</f>
        <v>8</v>
      </c>
      <c r="AT193">
        <f t="shared" si="70"/>
        <v>0.77777777777777779</v>
      </c>
      <c r="AU193">
        <f>survey_responses[[#This Row],[Tôi tin tưởng số tiền thuế tôi đóng sẽ được Nhà nước sử dụng hiệu quả để cải thiện dịch vụ công (y tế, đường xá...). - HUMAN-TRU3]]</f>
        <v>8</v>
      </c>
      <c r="AV193">
        <f t="shared" si="71"/>
        <v>0.77777777777777779</v>
      </c>
      <c r="AW193">
        <f>step3_validation[[#This Row],[AI_TRU4]]</f>
        <v>7</v>
      </c>
      <c r="AX193">
        <f t="shared" si="72"/>
        <v>0.66666666666666663</v>
      </c>
      <c r="AY193">
        <f>survey_responses[[#This Row],[Tôi thấy Nhà nước đã giải thích rõ ràng, minh bạch về lý do và mục tiêu của việc sửa đổi thuế lần này. - HUMAN-TRU4]]</f>
        <v>8</v>
      </c>
      <c r="AZ193">
        <f t="shared" si="73"/>
        <v>0.77777777777777779</v>
      </c>
      <c r="BA193" s="32">
        <f t="shared" si="74"/>
        <v>0.74999999999999989</v>
      </c>
      <c r="BB193" s="32">
        <f t="shared" si="75"/>
        <v>0.83333333333333326</v>
      </c>
      <c r="BC193" s="7">
        <f t="shared" si="76"/>
        <v>0.71296296296296291</v>
      </c>
      <c r="BD193" s="7">
        <f t="shared" si="77"/>
        <v>0.83333333333333337</v>
      </c>
      <c r="BE193">
        <f>step3_validation[[#This Row],[AI_OUT1]]</f>
        <v>8</v>
      </c>
      <c r="BF193">
        <f t="shared" si="78"/>
        <v>0.77777777777777779</v>
      </c>
      <c r="BG193">
        <f>survey_responses[[#This Row],[Sau khi xem xét các quyền lợi và nghĩa vụ, bạn có ủng hộ và tuân thủ chính sách mới hiện nay? - HUMAN-OUT1]]</f>
        <v>9</v>
      </c>
      <c r="BH193">
        <f t="shared" si="79"/>
        <v>0.88888888888888884</v>
      </c>
      <c r="BI193" s="32">
        <f t="shared" si="80"/>
        <v>1</v>
      </c>
    </row>
    <row r="194" spans="1:61" x14ac:dyDescent="0.45">
      <c r="A194" s="30">
        <f>step3_validation[[#This Row],[Persona_ID]]</f>
        <v>193</v>
      </c>
      <c r="B194" s="31">
        <f>step3_validation[[#This Row],[Used_Seed]]</f>
        <v>193</v>
      </c>
      <c r="C194" t="str">
        <f>step3_validation[[#This Row],[Gender]]</f>
        <v>Nữ</v>
      </c>
      <c r="D194" t="str">
        <f>survey_responses[[#This Row],[Giới tính của bạn:]]</f>
        <v>Nữ</v>
      </c>
      <c r="E194" t="str">
        <f>step3_validation[[#This Row],[Age_Group]]</f>
        <v>40 - 49</v>
      </c>
      <c r="F194" t="str">
        <f>survey_responses[[#This Row],[Độ tuổi của bạn:]]</f>
        <v>40 - 49</v>
      </c>
      <c r="G194" t="str">
        <f>step3_validation[[#This Row],[Region]]</f>
        <v>Thành thị</v>
      </c>
      <c r="H194" t="str">
        <f>survey_responses[[#This Row],[Khu vực bạn đang sinh sống:]]</f>
        <v>Thành thị</v>
      </c>
      <c r="I194" t="str">
        <f>step3_validation[[#This Row],[Education]]</f>
        <v>Đại học</v>
      </c>
      <c r="J194" t="str">
        <f>survey_responses[[#This Row],[Trình độ học vấn cao nhất:]]</f>
        <v>Đại học</v>
      </c>
      <c r="K194" t="str">
        <f>step3_validation[[#This Row],[Employment]]</f>
        <v>Chính thức</v>
      </c>
      <c r="L194" t="str">
        <f>survey_responses[[#This Row],[Tình trạng việc làm chính:]]</f>
        <v>Khu vực chính thức (Có Hợp đồng lao động, đóng BHXH)</v>
      </c>
      <c r="M194">
        <f>step3_validation[[#This Row],[Income_Mil]]</f>
        <v>27.048079160288843</v>
      </c>
      <c r="N194" t="str">
        <f>survey_responses[[#This Row],[Thu nhập bình quân tháng theo Hợp đồng lao động của bạn là bao nhiêu? (Vui lòng điền tổng thu nhập trước khi khấu trừ các loại Bảo hiểm (BHXH, BHYT, BHTN) và Thuế TNCN)]]</f>
        <v>Từ 23 - 32 triệu VNĐ</v>
      </c>
      <c r="O194">
        <f>step3_validation[[#This Row],[Dependents]]</f>
        <v>2</v>
      </c>
      <c r="P194" t="str">
        <f>survey_responses[[#This Row],[Số người phụ thuộc (con nhỏ, cha mẹ già...) đủ điều kiện giảm trừ gia cảnh:]]</f>
        <v>2 người</v>
      </c>
      <c r="Q194">
        <f>step3_validation[[#This Row],[AI_ENF1]]</f>
        <v>6</v>
      </c>
      <c r="R194">
        <f t="shared" si="54"/>
        <v>0.55555555555555558</v>
      </c>
      <c r="S194">
        <f>survey_responses[[#This Row],[Tôi tin rằng với các quy định quản lý thuế hiện nay, hành vi gian lận hoặc trốn thuế sẽ dễ dàng bị phát hiện và xử lý nghiêm. - HUMAN-ENF1]]</f>
        <v>1</v>
      </c>
      <c r="T194">
        <f t="shared" si="55"/>
        <v>0</v>
      </c>
      <c r="U194">
        <f>step3_validation[[#This Row],[AI_ENF2]]</f>
        <v>7</v>
      </c>
      <c r="V194">
        <f t="shared" si="56"/>
        <v>0.66666666666666663</v>
      </c>
      <c r="W194">
        <f>survey_responses[[#This Row],[Tôi tin rằng Nhà nước, cơ quan thuế có đủ khả năng và công nghệ để phát hiện, xử lý nghiêm các hành vi trốn thuế. - HUMAN-ENF2]]</f>
        <v>1</v>
      </c>
      <c r="X194">
        <f t="shared" si="57"/>
        <v>0</v>
      </c>
      <c r="Y194" s="32">
        <f t="shared" si="58"/>
        <v>0.61111111111111116</v>
      </c>
      <c r="Z194" s="32">
        <f t="shared" si="59"/>
        <v>0</v>
      </c>
      <c r="AA194">
        <f>step3_validation[[#This Row],[AI_FAC1]]</f>
        <v>9</v>
      </c>
      <c r="AB194">
        <f t="shared" si="60"/>
        <v>0.88888888888888884</v>
      </c>
      <c r="AC194">
        <f>survey_responses[[#This Row],[Các thủ tục khai báo thuế VÀ/HOẶC quy trình làm việc với cơ quan thuế đơn giản, tiện lợi, nhanh chóng hơn so với trước đây. - HUMAN-FAC1]]</f>
        <v>7</v>
      </c>
      <c r="AD194">
        <f t="shared" si="61"/>
        <v>0.66666666666666663</v>
      </c>
      <c r="AE194">
        <f>step3_validation[[#This Row],[AI_FAC2]]</f>
        <v>8</v>
      </c>
      <c r="AF194">
        <f t="shared" si="62"/>
        <v>0.77777777777777779</v>
      </c>
      <c r="AG194">
        <f>survey_responses[[#This Row],[So với trước đây, tôi thấy cách tính thuế và các bậc thuế trong phương án mới đơn giản, dễ hiểu và dễ thực hiện hơn. - HUMAN-FAC2]]</f>
        <v>5</v>
      </c>
      <c r="AH194">
        <f t="shared" si="63"/>
        <v>0.44444444444444442</v>
      </c>
      <c r="AI194" s="32">
        <f t="shared" si="64"/>
        <v>0.83333333333333326</v>
      </c>
      <c r="AJ194" s="32">
        <f t="shared" si="65"/>
        <v>0.55555555555555558</v>
      </c>
      <c r="AK194">
        <f>step3_validation[[#This Row],[AI_TRU1]]</f>
        <v>7</v>
      </c>
      <c r="AL194">
        <f t="shared" si="66"/>
        <v>0.66666666666666663</v>
      </c>
      <c r="AM194">
        <f>survey_responses[[#This Row],[Tôi tin rằng Nhà nước, cơ quan thuế sẽ thực thi chính sách mới một cách khách quan, công tâm và đối xử bình đẳng với mọi người nộp thuế.  - HUMAN-TRU1]]</f>
        <v>5</v>
      </c>
      <c r="AN194">
        <f t="shared" si="67"/>
        <v>0.44444444444444442</v>
      </c>
      <c r="AO194">
        <f>step3_validation[[#This Row],[AI_TRU2]]</f>
        <v>8</v>
      </c>
      <c r="AP194">
        <f t="shared" si="68"/>
        <v>0.77777777777777779</v>
      </c>
      <c r="AQ194">
        <f>survey_responses[[#This Row],[Tôi thấy mức thuế tôi phải đóng theo phương án mới là công bằng (người thu nhập như tôi đóng mức này là hợp lý). - HUMAN-TRU2]]</f>
        <v>7</v>
      </c>
      <c r="AR194">
        <f t="shared" si="69"/>
        <v>0.66666666666666663</v>
      </c>
      <c r="AS194">
        <f>step3_validation[[#This Row],[AI_TRU3]]</f>
        <v>7</v>
      </c>
      <c r="AT194">
        <f t="shared" si="70"/>
        <v>0.66666666666666663</v>
      </c>
      <c r="AU194">
        <f>survey_responses[[#This Row],[Tôi tin tưởng số tiền thuế tôi đóng sẽ được Nhà nước sử dụng hiệu quả để cải thiện dịch vụ công (y tế, đường xá...). - HUMAN-TRU3]]</f>
        <v>2</v>
      </c>
      <c r="AV194">
        <f t="shared" si="71"/>
        <v>0.1111111111111111</v>
      </c>
      <c r="AW194">
        <f>step3_validation[[#This Row],[AI_TRU4]]</f>
        <v>8</v>
      </c>
      <c r="AX194">
        <f t="shared" si="72"/>
        <v>0.77777777777777779</v>
      </c>
      <c r="AY194">
        <f>survey_responses[[#This Row],[Tôi thấy Nhà nước đã giải thích rõ ràng, minh bạch về lý do và mục tiêu của việc sửa đổi thuế lần này. - HUMAN-TRU4]]</f>
        <v>5</v>
      </c>
      <c r="AZ194">
        <f t="shared" si="73"/>
        <v>0.44444444444444442</v>
      </c>
      <c r="BA194" s="32">
        <f t="shared" si="74"/>
        <v>0.72222222222222221</v>
      </c>
      <c r="BB194" s="32">
        <f t="shared" si="75"/>
        <v>0.41666666666666669</v>
      </c>
      <c r="BC194" s="7">
        <f t="shared" si="76"/>
        <v>0.72222222222222221</v>
      </c>
      <c r="BD194" s="7">
        <f t="shared" si="77"/>
        <v>0.32407407407407413</v>
      </c>
      <c r="BE194">
        <f>step3_validation[[#This Row],[AI_OUT1]]</f>
        <v>9</v>
      </c>
      <c r="BF194">
        <f t="shared" si="78"/>
        <v>0.88888888888888884</v>
      </c>
      <c r="BG194">
        <f>survey_responses[[#This Row],[Sau khi xem xét các quyền lợi và nghĩa vụ, bạn có ủng hộ và tuân thủ chính sách mới hiện nay? - HUMAN-OUT1]]</f>
        <v>5</v>
      </c>
      <c r="BH194">
        <f t="shared" si="79"/>
        <v>0.44444444444444442</v>
      </c>
      <c r="BI194" s="32">
        <f t="shared" si="80"/>
        <v>4</v>
      </c>
    </row>
    <row r="195" spans="1:61" x14ac:dyDescent="0.45">
      <c r="A195" s="30">
        <f>step3_validation[[#This Row],[Persona_ID]]</f>
        <v>194</v>
      </c>
      <c r="B195" s="31">
        <f>step3_validation[[#This Row],[Used_Seed]]</f>
        <v>194</v>
      </c>
      <c r="C195" t="str">
        <f>step3_validation[[#This Row],[Gender]]</f>
        <v>Nữ</v>
      </c>
      <c r="D195" t="str">
        <f>survey_responses[[#This Row],[Giới tính của bạn:]]</f>
        <v>Nữ</v>
      </c>
      <c r="E195" t="str">
        <f>step3_validation[[#This Row],[Age_Group]]</f>
        <v>30 - 39</v>
      </c>
      <c r="F195" t="str">
        <f>survey_responses[[#This Row],[Độ tuổi của bạn:]]</f>
        <v>30 - 39</v>
      </c>
      <c r="G195" t="str">
        <f>step3_validation[[#This Row],[Region]]</f>
        <v>Thành thị</v>
      </c>
      <c r="H195" t="str">
        <f>survey_responses[[#This Row],[Khu vực bạn đang sinh sống:]]</f>
        <v>Thành thị</v>
      </c>
      <c r="I195" t="str">
        <f>step3_validation[[#This Row],[Education]]</f>
        <v>Đại học</v>
      </c>
      <c r="J195" t="str">
        <f>survey_responses[[#This Row],[Trình độ học vấn cao nhất:]]</f>
        <v>Đại học</v>
      </c>
      <c r="K195" t="str">
        <f>step3_validation[[#This Row],[Employment]]</f>
        <v>Chính thức</v>
      </c>
      <c r="L195" t="str">
        <f>survey_responses[[#This Row],[Tình trạng việc làm chính:]]</f>
        <v>Khu vực chính thức (Có Hợp đồng lao động, đóng BHXH)</v>
      </c>
      <c r="M195">
        <f>step3_validation[[#This Row],[Income_Mil]]</f>
        <v>21.458917256386954</v>
      </c>
      <c r="N195" t="str">
        <f>survey_responses[[#This Row],[Thu nhập bình quân tháng theo Hợp đồng lao động của bạn là bao nhiêu? (Vui lòng điền tổng thu nhập trước khi khấu trừ các loại Bảo hiểm (BHXH, BHYT, BHTN) và Thuế TNCN)]]</f>
        <v>Từ 18 - 23 triệu VNĐ</v>
      </c>
      <c r="O195">
        <f>step3_validation[[#This Row],[Dependents]]</f>
        <v>1</v>
      </c>
      <c r="P195" t="str">
        <f>survey_responses[[#This Row],[Số người phụ thuộc (con nhỏ, cha mẹ già...) đủ điều kiện giảm trừ gia cảnh:]]</f>
        <v>1 người</v>
      </c>
      <c r="Q195">
        <f>step3_validation[[#This Row],[AI_ENF1]]</f>
        <v>7</v>
      </c>
      <c r="R195">
        <f t="shared" ref="R195:R258" si="81">(Q195-1)/9</f>
        <v>0.66666666666666663</v>
      </c>
      <c r="S195">
        <f>survey_responses[[#This Row],[Tôi tin rằng với các quy định quản lý thuế hiện nay, hành vi gian lận hoặc trốn thuế sẽ dễ dàng bị phát hiện và xử lý nghiêm. - HUMAN-ENF1]]</f>
        <v>10</v>
      </c>
      <c r="T195">
        <f t="shared" ref="T195:T258" si="82">(S195-1)/9</f>
        <v>1</v>
      </c>
      <c r="U195">
        <f>step3_validation[[#This Row],[AI_ENF2]]</f>
        <v>8</v>
      </c>
      <c r="V195">
        <f t="shared" ref="V195:V258" si="83">(U195-1)/9</f>
        <v>0.77777777777777779</v>
      </c>
      <c r="W195">
        <f>survey_responses[[#This Row],[Tôi tin rằng Nhà nước, cơ quan thuế có đủ khả năng và công nghệ để phát hiện, xử lý nghiêm các hành vi trốn thuế. - HUMAN-ENF2]]</f>
        <v>10</v>
      </c>
      <c r="X195">
        <f t="shared" ref="X195:X258" si="84">(W195-1)/9</f>
        <v>1</v>
      </c>
      <c r="Y195" s="32">
        <f t="shared" ref="Y195:Y258" si="85">AVERAGE(R195,V195)</f>
        <v>0.72222222222222221</v>
      </c>
      <c r="Z195" s="32">
        <f t="shared" ref="Z195:Z258" si="86">AVERAGE(T195,X195)</f>
        <v>1</v>
      </c>
      <c r="AA195">
        <f>step3_validation[[#This Row],[AI_FAC1]]</f>
        <v>6</v>
      </c>
      <c r="AB195">
        <f t="shared" ref="AB195:AB258" si="87">(AA195-1)/9</f>
        <v>0.55555555555555558</v>
      </c>
      <c r="AC195">
        <f>survey_responses[[#This Row],[Các thủ tục khai báo thuế VÀ/HOẶC quy trình làm việc với cơ quan thuế đơn giản, tiện lợi, nhanh chóng hơn so với trước đây. - HUMAN-FAC1]]</f>
        <v>6</v>
      </c>
      <c r="AD195">
        <f t="shared" ref="AD195:AD258" si="88">(AC195-1)/9</f>
        <v>0.55555555555555558</v>
      </c>
      <c r="AE195">
        <f>step3_validation[[#This Row],[AI_FAC2]]</f>
        <v>9</v>
      </c>
      <c r="AF195">
        <f t="shared" ref="AF195:AF258" si="89">(AE195-1)/9</f>
        <v>0.88888888888888884</v>
      </c>
      <c r="AG195">
        <f>survey_responses[[#This Row],[So với trước đây, tôi thấy cách tính thuế và các bậc thuế trong phương án mới đơn giản, dễ hiểu và dễ thực hiện hơn. - HUMAN-FAC2]]</f>
        <v>4</v>
      </c>
      <c r="AH195">
        <f t="shared" ref="AH195:AH258" si="90">(AG195-1)/9</f>
        <v>0.33333333333333331</v>
      </c>
      <c r="AI195" s="32">
        <f t="shared" ref="AI195:AI258" si="91">AVERAGE(AB195,AF195)</f>
        <v>0.72222222222222221</v>
      </c>
      <c r="AJ195" s="32">
        <f t="shared" ref="AJ195:AJ258" si="92">AVERAGE(AD195,AH195)</f>
        <v>0.44444444444444442</v>
      </c>
      <c r="AK195">
        <f>step3_validation[[#This Row],[AI_TRU1]]</f>
        <v>8</v>
      </c>
      <c r="AL195">
        <f t="shared" ref="AL195:AL258" si="93">(AK195-1)/9</f>
        <v>0.77777777777777779</v>
      </c>
      <c r="AM195">
        <f>survey_responses[[#This Row],[Tôi tin rằng Nhà nước, cơ quan thuế sẽ thực thi chính sách mới một cách khách quan, công tâm và đối xử bình đẳng với mọi người nộp thuế.  - HUMAN-TRU1]]</f>
        <v>8</v>
      </c>
      <c r="AN195">
        <f t="shared" ref="AN195:AN258" si="94">(AM195-1)/9</f>
        <v>0.77777777777777779</v>
      </c>
      <c r="AO195">
        <f>step3_validation[[#This Row],[AI_TRU2]]</f>
        <v>9</v>
      </c>
      <c r="AP195">
        <f t="shared" ref="AP195:AP258" si="95">(AO195-1)/9</f>
        <v>0.88888888888888884</v>
      </c>
      <c r="AQ195">
        <f>survey_responses[[#This Row],[Tôi thấy mức thuế tôi phải đóng theo phương án mới là công bằng (người thu nhập như tôi đóng mức này là hợp lý). - HUMAN-TRU2]]</f>
        <v>3</v>
      </c>
      <c r="AR195">
        <f t="shared" ref="AR195:AR258" si="96">(AQ195-1)/9</f>
        <v>0.22222222222222221</v>
      </c>
      <c r="AS195">
        <f>step3_validation[[#This Row],[AI_TRU3]]</f>
        <v>7</v>
      </c>
      <c r="AT195">
        <f t="shared" ref="AT195:AT258" si="97">(AS195-1)/9</f>
        <v>0.66666666666666663</v>
      </c>
      <c r="AU195">
        <f>survey_responses[[#This Row],[Tôi tin tưởng số tiền thuế tôi đóng sẽ được Nhà nước sử dụng hiệu quả để cải thiện dịch vụ công (y tế, đường xá...). - HUMAN-TRU3]]</f>
        <v>10</v>
      </c>
      <c r="AV195">
        <f t="shared" ref="AV195:AV258" si="98">(AU195-1)/9</f>
        <v>1</v>
      </c>
      <c r="AW195">
        <f>step3_validation[[#This Row],[AI_TRU4]]</f>
        <v>8</v>
      </c>
      <c r="AX195">
        <f t="shared" ref="AX195:AX258" si="99">(AW195-1)/9</f>
        <v>0.77777777777777779</v>
      </c>
      <c r="AY195">
        <f>survey_responses[[#This Row],[Tôi thấy Nhà nước đã giải thích rõ ràng, minh bạch về lý do và mục tiêu của việc sửa đổi thuế lần này. - HUMAN-TRU4]]</f>
        <v>10</v>
      </c>
      <c r="AZ195">
        <f t="shared" ref="AZ195:AZ258" si="100">(AY195-1)/9</f>
        <v>1</v>
      </c>
      <c r="BA195" s="32">
        <f t="shared" ref="BA195:BA258" si="101">AVERAGE(AL195,AP195,AT195,AX195)</f>
        <v>0.77777777777777768</v>
      </c>
      <c r="BB195" s="32">
        <f t="shared" ref="BB195:BB258" si="102">AVERAGE(AN195,AR195,AV195,AZ195)</f>
        <v>0.75</v>
      </c>
      <c r="BC195" s="7">
        <f t="shared" ref="BC195:BC258" si="103">(Y195+AI195+BA195)/3</f>
        <v>0.74074074074074081</v>
      </c>
      <c r="BD195" s="7">
        <f t="shared" ref="BD195:BD258" si="104">(Z195+AJ195+BB195)/3</f>
        <v>0.73148148148148151</v>
      </c>
      <c r="BE195">
        <f>step3_validation[[#This Row],[AI_OUT1]]</f>
        <v>9</v>
      </c>
      <c r="BF195">
        <f t="shared" ref="BF195:BF258" si="105">(BE195-1)/9</f>
        <v>0.88888888888888884</v>
      </c>
      <c r="BG195">
        <f>survey_responses[[#This Row],[Sau khi xem xét các quyền lợi và nghĩa vụ, bạn có ủng hộ và tuân thủ chính sách mới hiện nay? - HUMAN-OUT1]]</f>
        <v>10</v>
      </c>
      <c r="BH195">
        <f t="shared" ref="BH195:BH258" si="106">(BG195-1)/9</f>
        <v>1</v>
      </c>
      <c r="BI195" s="32">
        <f t="shared" ref="BI195:BI258" si="107">ABS(BG195-BE195)</f>
        <v>1</v>
      </c>
    </row>
    <row r="196" spans="1:61" x14ac:dyDescent="0.45">
      <c r="A196" s="30">
        <f>step3_validation[[#This Row],[Persona_ID]]</f>
        <v>195</v>
      </c>
      <c r="B196" s="31">
        <f>step3_validation[[#This Row],[Used_Seed]]</f>
        <v>195</v>
      </c>
      <c r="C196" t="str">
        <f>step3_validation[[#This Row],[Gender]]</f>
        <v>Nữ</v>
      </c>
      <c r="D196" t="str">
        <f>survey_responses[[#This Row],[Giới tính của bạn:]]</f>
        <v>Nữ</v>
      </c>
      <c r="E196" t="str">
        <f>step3_validation[[#This Row],[Age_Group]]</f>
        <v>25 - 29</v>
      </c>
      <c r="F196" t="str">
        <f>survey_responses[[#This Row],[Độ tuổi của bạn:]]</f>
        <v>25 - 29</v>
      </c>
      <c r="G196" t="str">
        <f>step3_validation[[#This Row],[Region]]</f>
        <v>Thành thị</v>
      </c>
      <c r="H196" t="str">
        <f>survey_responses[[#This Row],[Khu vực bạn đang sinh sống:]]</f>
        <v>Thành thị</v>
      </c>
      <c r="I196" t="str">
        <f>step3_validation[[#This Row],[Education]]</f>
        <v>Đại học</v>
      </c>
      <c r="J196" t="str">
        <f>survey_responses[[#This Row],[Trình độ học vấn cao nhất:]]</f>
        <v>Đại học</v>
      </c>
      <c r="K196" t="str">
        <f>step3_validation[[#This Row],[Employment]]</f>
        <v>Chính thức</v>
      </c>
      <c r="L196" t="str">
        <f>survey_responses[[#This Row],[Tình trạng việc làm chính:]]</f>
        <v>Khu vực chính thức (Có Hợp đồng lao động, đóng BHXH)</v>
      </c>
      <c r="M196">
        <f>step3_validation[[#This Row],[Income_Mil]]</f>
        <v>12.171751942560043</v>
      </c>
      <c r="N196" t="str">
        <f>survey_responses[[#This Row],[Thu nhập bình quân tháng theo Hợp đồng lao động của bạn là bao nhiêu? (Vui lòng điền tổng thu nhập trước khi khấu trừ các loại Bảo hiểm (BHXH, BHYT, BHTN) và Thuế TNCN)]]</f>
        <v>Từ 12 - 18 triệu VNĐ</v>
      </c>
      <c r="O196">
        <f>step3_validation[[#This Row],[Dependents]]</f>
        <v>1</v>
      </c>
      <c r="P196" t="str">
        <f>survey_responses[[#This Row],[Số người phụ thuộc (con nhỏ, cha mẹ già...) đủ điều kiện giảm trừ gia cảnh:]]</f>
        <v>1 người</v>
      </c>
      <c r="Q196">
        <f>step3_validation[[#This Row],[AI_ENF1]]</f>
        <v>8</v>
      </c>
      <c r="R196">
        <f t="shared" si="81"/>
        <v>0.77777777777777779</v>
      </c>
      <c r="S196">
        <f>survey_responses[[#This Row],[Tôi tin rằng với các quy định quản lý thuế hiện nay, hành vi gian lận hoặc trốn thuế sẽ dễ dàng bị phát hiện và xử lý nghiêm. - HUMAN-ENF1]]</f>
        <v>9</v>
      </c>
      <c r="T196">
        <f t="shared" si="82"/>
        <v>0.88888888888888884</v>
      </c>
      <c r="U196">
        <f>step3_validation[[#This Row],[AI_ENF2]]</f>
        <v>7</v>
      </c>
      <c r="V196">
        <f t="shared" si="83"/>
        <v>0.66666666666666663</v>
      </c>
      <c r="W196">
        <f>survey_responses[[#This Row],[Tôi tin rằng Nhà nước, cơ quan thuế có đủ khả năng và công nghệ để phát hiện, xử lý nghiêm các hành vi trốn thuế. - HUMAN-ENF2]]</f>
        <v>9</v>
      </c>
      <c r="X196">
        <f t="shared" si="84"/>
        <v>0.88888888888888884</v>
      </c>
      <c r="Y196" s="32">
        <f t="shared" si="85"/>
        <v>0.72222222222222221</v>
      </c>
      <c r="Z196" s="32">
        <f t="shared" si="86"/>
        <v>0.88888888888888884</v>
      </c>
      <c r="AA196">
        <f>step3_validation[[#This Row],[AI_FAC1]]</f>
        <v>9</v>
      </c>
      <c r="AB196">
        <f t="shared" si="87"/>
        <v>0.88888888888888884</v>
      </c>
      <c r="AC196">
        <f>survey_responses[[#This Row],[Các thủ tục khai báo thuế VÀ/HOẶC quy trình làm việc với cơ quan thuế đơn giản, tiện lợi, nhanh chóng hơn so với trước đây. - HUMAN-FAC1]]</f>
        <v>5</v>
      </c>
      <c r="AD196">
        <f t="shared" si="88"/>
        <v>0.44444444444444442</v>
      </c>
      <c r="AE196">
        <f>step3_validation[[#This Row],[AI_FAC2]]</f>
        <v>8</v>
      </c>
      <c r="AF196">
        <f t="shared" si="89"/>
        <v>0.77777777777777779</v>
      </c>
      <c r="AG196">
        <f>survey_responses[[#This Row],[So với trước đây, tôi thấy cách tính thuế và các bậc thuế trong phương án mới đơn giản, dễ hiểu và dễ thực hiện hơn. - HUMAN-FAC2]]</f>
        <v>5</v>
      </c>
      <c r="AH196">
        <f t="shared" si="90"/>
        <v>0.44444444444444442</v>
      </c>
      <c r="AI196" s="32">
        <f t="shared" si="91"/>
        <v>0.83333333333333326</v>
      </c>
      <c r="AJ196" s="32">
        <f t="shared" si="92"/>
        <v>0.44444444444444442</v>
      </c>
      <c r="AK196">
        <f>step3_validation[[#This Row],[AI_TRU1]]</f>
        <v>9</v>
      </c>
      <c r="AL196">
        <f t="shared" si="93"/>
        <v>0.88888888888888884</v>
      </c>
      <c r="AM196">
        <f>survey_responses[[#This Row],[Tôi tin rằng Nhà nước, cơ quan thuế sẽ thực thi chính sách mới một cách khách quan, công tâm và đối xử bình đẳng với mọi người nộp thuế.  - HUMAN-TRU1]]</f>
        <v>7</v>
      </c>
      <c r="AN196">
        <f t="shared" si="94"/>
        <v>0.66666666666666663</v>
      </c>
      <c r="AO196">
        <f>step3_validation[[#This Row],[AI_TRU2]]</f>
        <v>9</v>
      </c>
      <c r="AP196">
        <f t="shared" si="95"/>
        <v>0.88888888888888884</v>
      </c>
      <c r="AQ196">
        <f>survey_responses[[#This Row],[Tôi thấy mức thuế tôi phải đóng theo phương án mới là công bằng (người thu nhập như tôi đóng mức này là hợp lý). - HUMAN-TRU2]]</f>
        <v>7</v>
      </c>
      <c r="AR196">
        <f t="shared" si="96"/>
        <v>0.66666666666666663</v>
      </c>
      <c r="AS196">
        <f>step3_validation[[#This Row],[AI_TRU3]]</f>
        <v>8</v>
      </c>
      <c r="AT196">
        <f t="shared" si="97"/>
        <v>0.77777777777777779</v>
      </c>
      <c r="AU196">
        <f>survey_responses[[#This Row],[Tôi tin tưởng số tiền thuế tôi đóng sẽ được Nhà nước sử dụng hiệu quả để cải thiện dịch vụ công (y tế, đường xá...). - HUMAN-TRU3]]</f>
        <v>8</v>
      </c>
      <c r="AV196">
        <f t="shared" si="98"/>
        <v>0.77777777777777779</v>
      </c>
      <c r="AW196">
        <f>step3_validation[[#This Row],[AI_TRU4]]</f>
        <v>9</v>
      </c>
      <c r="AX196">
        <f t="shared" si="99"/>
        <v>0.88888888888888884</v>
      </c>
      <c r="AY196">
        <f>survey_responses[[#This Row],[Tôi thấy Nhà nước đã giải thích rõ ràng, minh bạch về lý do và mục tiêu của việc sửa đổi thuế lần này. - HUMAN-TRU4]]</f>
        <v>8</v>
      </c>
      <c r="AZ196">
        <f t="shared" si="100"/>
        <v>0.77777777777777779</v>
      </c>
      <c r="BA196" s="32">
        <f t="shared" si="101"/>
        <v>0.86111111111111105</v>
      </c>
      <c r="BB196" s="32">
        <f t="shared" si="102"/>
        <v>0.72222222222222221</v>
      </c>
      <c r="BC196" s="7">
        <f t="shared" si="103"/>
        <v>0.80555555555555547</v>
      </c>
      <c r="BD196" s="7">
        <f t="shared" si="104"/>
        <v>0.68518518518518512</v>
      </c>
      <c r="BE196">
        <f>step3_validation[[#This Row],[AI_OUT1]]</f>
        <v>9</v>
      </c>
      <c r="BF196">
        <f t="shared" si="105"/>
        <v>0.88888888888888884</v>
      </c>
      <c r="BG196">
        <f>survey_responses[[#This Row],[Sau khi xem xét các quyền lợi và nghĩa vụ, bạn có ủng hộ và tuân thủ chính sách mới hiện nay? - HUMAN-OUT1]]</f>
        <v>8</v>
      </c>
      <c r="BH196">
        <f t="shared" si="106"/>
        <v>0.77777777777777779</v>
      </c>
      <c r="BI196" s="32">
        <f t="shared" si="107"/>
        <v>1</v>
      </c>
    </row>
    <row r="197" spans="1:61" x14ac:dyDescent="0.45">
      <c r="A197" s="30">
        <f>step3_validation[[#This Row],[Persona_ID]]</f>
        <v>196</v>
      </c>
      <c r="B197" s="31">
        <f>step3_validation[[#This Row],[Used_Seed]]</f>
        <v>196</v>
      </c>
      <c r="C197" t="str">
        <f>step3_validation[[#This Row],[Gender]]</f>
        <v>Nam</v>
      </c>
      <c r="D197" t="str">
        <f>survey_responses[[#This Row],[Giới tính của bạn:]]</f>
        <v>Nam</v>
      </c>
      <c r="E197" t="str">
        <f>step3_validation[[#This Row],[Age_Group]]</f>
        <v>40 - 49</v>
      </c>
      <c r="F197" t="str">
        <f>survey_responses[[#This Row],[Độ tuổi của bạn:]]</f>
        <v>40 - 49</v>
      </c>
      <c r="G197" t="str">
        <f>step3_validation[[#This Row],[Region]]</f>
        <v>Thành thị</v>
      </c>
      <c r="H197" t="str">
        <f>survey_responses[[#This Row],[Khu vực bạn đang sinh sống:]]</f>
        <v>Thành thị</v>
      </c>
      <c r="I197" t="str">
        <f>step3_validation[[#This Row],[Education]]</f>
        <v>Đại học</v>
      </c>
      <c r="J197" t="str">
        <f>survey_responses[[#This Row],[Trình độ học vấn cao nhất:]]</f>
        <v>Đại học</v>
      </c>
      <c r="K197" t="str">
        <f>step3_validation[[#This Row],[Employment]]</f>
        <v>Chính thức</v>
      </c>
      <c r="L197" t="str">
        <f>survey_responses[[#This Row],[Tình trạng việc làm chính:]]</f>
        <v>Khu vực chính thức (Có Hợp đồng lao động, đóng BHXH)</v>
      </c>
      <c r="M197">
        <f>step3_validation[[#This Row],[Income_Mil]]</f>
        <v>16.410210423237253</v>
      </c>
      <c r="N197" t="str">
        <f>survey_responses[[#This Row],[Thu nhập bình quân tháng theo Hợp đồng lao động của bạn là bao nhiêu? (Vui lòng điền tổng thu nhập trước khi khấu trừ các loại Bảo hiểm (BHXH, BHYT, BHTN) và Thuế TNCN)]]</f>
        <v>Từ 12 - 18 triệu VNĐ</v>
      </c>
      <c r="O197">
        <f>step3_validation[[#This Row],[Dependents]]</f>
        <v>2</v>
      </c>
      <c r="P197" t="str">
        <f>survey_responses[[#This Row],[Số người phụ thuộc (con nhỏ, cha mẹ già...) đủ điều kiện giảm trừ gia cảnh:]]</f>
        <v>2 người</v>
      </c>
      <c r="Q197">
        <f>step3_validation[[#This Row],[AI_ENF1]]</f>
        <v>5</v>
      </c>
      <c r="R197">
        <f t="shared" si="81"/>
        <v>0.44444444444444442</v>
      </c>
      <c r="S197">
        <f>survey_responses[[#This Row],[Tôi tin rằng với các quy định quản lý thuế hiện nay, hành vi gian lận hoặc trốn thuế sẽ dễ dàng bị phát hiện và xử lý nghiêm. - HUMAN-ENF1]]</f>
        <v>9</v>
      </c>
      <c r="T197">
        <f t="shared" si="82"/>
        <v>0.88888888888888884</v>
      </c>
      <c r="U197">
        <f>step3_validation[[#This Row],[AI_ENF2]]</f>
        <v>6</v>
      </c>
      <c r="V197">
        <f t="shared" si="83"/>
        <v>0.55555555555555558</v>
      </c>
      <c r="W197">
        <f>survey_responses[[#This Row],[Tôi tin rằng Nhà nước, cơ quan thuế có đủ khả năng và công nghệ để phát hiện, xử lý nghiêm các hành vi trốn thuế. - HUMAN-ENF2]]</f>
        <v>9</v>
      </c>
      <c r="X197">
        <f t="shared" si="84"/>
        <v>0.88888888888888884</v>
      </c>
      <c r="Y197" s="32">
        <f t="shared" si="85"/>
        <v>0.5</v>
      </c>
      <c r="Z197" s="32">
        <f t="shared" si="86"/>
        <v>0.88888888888888884</v>
      </c>
      <c r="AA197">
        <f>step3_validation[[#This Row],[AI_FAC1]]</f>
        <v>7</v>
      </c>
      <c r="AB197">
        <f t="shared" si="87"/>
        <v>0.66666666666666663</v>
      </c>
      <c r="AC197">
        <f>survey_responses[[#This Row],[Các thủ tục khai báo thuế VÀ/HOẶC quy trình làm việc với cơ quan thuế đơn giản, tiện lợi, nhanh chóng hơn so với trước đây. - HUMAN-FAC1]]</f>
        <v>9</v>
      </c>
      <c r="AD197">
        <f t="shared" si="88"/>
        <v>0.88888888888888884</v>
      </c>
      <c r="AE197">
        <f>step3_validation[[#This Row],[AI_FAC2]]</f>
        <v>8</v>
      </c>
      <c r="AF197">
        <f t="shared" si="89"/>
        <v>0.77777777777777779</v>
      </c>
      <c r="AG197">
        <f>survey_responses[[#This Row],[So với trước đây, tôi thấy cách tính thuế và các bậc thuế trong phương án mới đơn giản, dễ hiểu và dễ thực hiện hơn. - HUMAN-FAC2]]</f>
        <v>9</v>
      </c>
      <c r="AH197">
        <f t="shared" si="90"/>
        <v>0.88888888888888884</v>
      </c>
      <c r="AI197" s="32">
        <f t="shared" si="91"/>
        <v>0.72222222222222221</v>
      </c>
      <c r="AJ197" s="32">
        <f t="shared" si="92"/>
        <v>0.88888888888888884</v>
      </c>
      <c r="AK197">
        <f>step3_validation[[#This Row],[AI_TRU1]]</f>
        <v>9</v>
      </c>
      <c r="AL197">
        <f t="shared" si="93"/>
        <v>0.88888888888888884</v>
      </c>
      <c r="AM197">
        <f>survey_responses[[#This Row],[Tôi tin rằng Nhà nước, cơ quan thuế sẽ thực thi chính sách mới một cách khách quan, công tâm và đối xử bình đẳng với mọi người nộp thuế.  - HUMAN-TRU1]]</f>
        <v>9</v>
      </c>
      <c r="AN197">
        <f t="shared" si="94"/>
        <v>0.88888888888888884</v>
      </c>
      <c r="AO197">
        <f>step3_validation[[#This Row],[AI_TRU2]]</f>
        <v>9</v>
      </c>
      <c r="AP197">
        <f t="shared" si="95"/>
        <v>0.88888888888888884</v>
      </c>
      <c r="AQ197">
        <f>survey_responses[[#This Row],[Tôi thấy mức thuế tôi phải đóng theo phương án mới là công bằng (người thu nhập như tôi đóng mức này là hợp lý). - HUMAN-TRU2]]</f>
        <v>9</v>
      </c>
      <c r="AR197">
        <f t="shared" si="96"/>
        <v>0.88888888888888884</v>
      </c>
      <c r="AS197">
        <f>step3_validation[[#This Row],[AI_TRU3]]</f>
        <v>8</v>
      </c>
      <c r="AT197">
        <f t="shared" si="97"/>
        <v>0.77777777777777779</v>
      </c>
      <c r="AU197">
        <f>survey_responses[[#This Row],[Tôi tin tưởng số tiền thuế tôi đóng sẽ được Nhà nước sử dụng hiệu quả để cải thiện dịch vụ công (y tế, đường xá...). - HUMAN-TRU3]]</f>
        <v>9</v>
      </c>
      <c r="AV197">
        <f t="shared" si="98"/>
        <v>0.88888888888888884</v>
      </c>
      <c r="AW197">
        <f>step3_validation[[#This Row],[AI_TRU4]]</f>
        <v>9</v>
      </c>
      <c r="AX197">
        <f t="shared" si="99"/>
        <v>0.88888888888888884</v>
      </c>
      <c r="AY197">
        <f>survey_responses[[#This Row],[Tôi thấy Nhà nước đã giải thích rõ ràng, minh bạch về lý do và mục tiêu của việc sửa đổi thuế lần này. - HUMAN-TRU4]]</f>
        <v>9</v>
      </c>
      <c r="AZ197">
        <f t="shared" si="100"/>
        <v>0.88888888888888884</v>
      </c>
      <c r="BA197" s="32">
        <f t="shared" si="101"/>
        <v>0.86111111111111105</v>
      </c>
      <c r="BB197" s="32">
        <f t="shared" si="102"/>
        <v>0.88888888888888884</v>
      </c>
      <c r="BC197" s="7">
        <f t="shared" si="103"/>
        <v>0.69444444444444453</v>
      </c>
      <c r="BD197" s="7">
        <f t="shared" si="104"/>
        <v>0.88888888888888884</v>
      </c>
      <c r="BE197">
        <f>step3_validation[[#This Row],[AI_OUT1]]</f>
        <v>7</v>
      </c>
      <c r="BF197">
        <f t="shared" si="105"/>
        <v>0.66666666666666663</v>
      </c>
      <c r="BG197">
        <f>survey_responses[[#This Row],[Sau khi xem xét các quyền lợi và nghĩa vụ, bạn có ủng hộ và tuân thủ chính sách mới hiện nay? - HUMAN-OUT1]]</f>
        <v>9</v>
      </c>
      <c r="BH197">
        <f t="shared" si="106"/>
        <v>0.88888888888888884</v>
      </c>
      <c r="BI197" s="32">
        <f t="shared" si="107"/>
        <v>2</v>
      </c>
    </row>
    <row r="198" spans="1:61" x14ac:dyDescent="0.45">
      <c r="A198" s="30">
        <f>step3_validation[[#This Row],[Persona_ID]]</f>
        <v>197</v>
      </c>
      <c r="B198" s="31">
        <f>step3_validation[[#This Row],[Used_Seed]]</f>
        <v>197</v>
      </c>
      <c r="C198" t="str">
        <f>step3_validation[[#This Row],[Gender]]</f>
        <v>Nữ</v>
      </c>
      <c r="D198" t="str">
        <f>survey_responses[[#This Row],[Giới tính của bạn:]]</f>
        <v>Nữ</v>
      </c>
      <c r="E198" t="str">
        <f>step3_validation[[#This Row],[Age_Group]]</f>
        <v>40 - 49</v>
      </c>
      <c r="F198" t="str">
        <f>survey_responses[[#This Row],[Độ tuổi của bạn:]]</f>
        <v>40 - 49</v>
      </c>
      <c r="G198" t="str">
        <f>step3_validation[[#This Row],[Region]]</f>
        <v>Thành thị</v>
      </c>
      <c r="H198" t="str">
        <f>survey_responses[[#This Row],[Khu vực bạn đang sinh sống:]]</f>
        <v>Thành thị</v>
      </c>
      <c r="I198" t="str">
        <f>step3_validation[[#This Row],[Education]]</f>
        <v>Sau Đại học</v>
      </c>
      <c r="J198" t="str">
        <f>survey_responses[[#This Row],[Trình độ học vấn cao nhất:]]</f>
        <v>Sau Đại học</v>
      </c>
      <c r="K198" t="str">
        <f>step3_validation[[#This Row],[Employment]]</f>
        <v>Chính thức</v>
      </c>
      <c r="L198" t="str">
        <f>survey_responses[[#This Row],[Tình trạng việc làm chính:]]</f>
        <v>Khu vực chính thức (Có Hợp đồng lao động, đóng BHXH)</v>
      </c>
      <c r="M198">
        <f>step3_validation[[#This Row],[Income_Mil]]</f>
        <v>16.67283069148586</v>
      </c>
      <c r="N198" t="str">
        <f>survey_responses[[#This Row],[Thu nhập bình quân tháng theo Hợp đồng lao động của bạn là bao nhiêu? (Vui lòng điền tổng thu nhập trước khi khấu trừ các loại Bảo hiểm (BHXH, BHYT, BHTN) và Thuế TNCN)]]</f>
        <v>Từ 12 - 18 triệu VNĐ</v>
      </c>
      <c r="O198">
        <f>step3_validation[[#This Row],[Dependents]]</f>
        <v>3</v>
      </c>
      <c r="P198" t="str">
        <f>survey_responses[[#This Row],[Số người phụ thuộc (con nhỏ, cha mẹ già...) đủ điều kiện giảm trừ gia cảnh:]]</f>
        <v>3 người</v>
      </c>
      <c r="Q198">
        <f>step3_validation[[#This Row],[AI_ENF1]]</f>
        <v>8</v>
      </c>
      <c r="R198">
        <f t="shared" si="81"/>
        <v>0.77777777777777779</v>
      </c>
      <c r="S198">
        <f>survey_responses[[#This Row],[Tôi tin rằng với các quy định quản lý thuế hiện nay, hành vi gian lận hoặc trốn thuế sẽ dễ dàng bị phát hiện và xử lý nghiêm. - HUMAN-ENF1]]</f>
        <v>9</v>
      </c>
      <c r="T198">
        <f t="shared" si="82"/>
        <v>0.88888888888888884</v>
      </c>
      <c r="U198">
        <f>step3_validation[[#This Row],[AI_ENF2]]</f>
        <v>7</v>
      </c>
      <c r="V198">
        <f t="shared" si="83"/>
        <v>0.66666666666666663</v>
      </c>
      <c r="W198">
        <f>survey_responses[[#This Row],[Tôi tin rằng Nhà nước, cơ quan thuế có đủ khả năng và công nghệ để phát hiện, xử lý nghiêm các hành vi trốn thuế. - HUMAN-ENF2]]</f>
        <v>10</v>
      </c>
      <c r="X198">
        <f t="shared" si="84"/>
        <v>1</v>
      </c>
      <c r="Y198" s="32">
        <f t="shared" si="85"/>
        <v>0.72222222222222221</v>
      </c>
      <c r="Z198" s="32">
        <f t="shared" si="86"/>
        <v>0.94444444444444442</v>
      </c>
      <c r="AA198">
        <f>step3_validation[[#This Row],[AI_FAC1]]</f>
        <v>9</v>
      </c>
      <c r="AB198">
        <f t="shared" si="87"/>
        <v>0.88888888888888884</v>
      </c>
      <c r="AC198">
        <f>survey_responses[[#This Row],[Các thủ tục khai báo thuế VÀ/HOẶC quy trình làm việc với cơ quan thuế đơn giản, tiện lợi, nhanh chóng hơn so với trước đây. - HUMAN-FAC1]]</f>
        <v>10</v>
      </c>
      <c r="AD198">
        <f t="shared" si="88"/>
        <v>1</v>
      </c>
      <c r="AE198">
        <f>step3_validation[[#This Row],[AI_FAC2]]</f>
        <v>9</v>
      </c>
      <c r="AF198">
        <f t="shared" si="89"/>
        <v>0.88888888888888884</v>
      </c>
      <c r="AG198">
        <f>survey_responses[[#This Row],[So với trước đây, tôi thấy cách tính thuế và các bậc thuế trong phương án mới đơn giản, dễ hiểu và dễ thực hiện hơn. - HUMAN-FAC2]]</f>
        <v>9</v>
      </c>
      <c r="AH198">
        <f t="shared" si="90"/>
        <v>0.88888888888888884</v>
      </c>
      <c r="AI198" s="32">
        <f t="shared" si="91"/>
        <v>0.88888888888888884</v>
      </c>
      <c r="AJ198" s="32">
        <f t="shared" si="92"/>
        <v>0.94444444444444442</v>
      </c>
      <c r="AK198">
        <f>step3_validation[[#This Row],[AI_TRU1]]</f>
        <v>9</v>
      </c>
      <c r="AL198">
        <f t="shared" si="93"/>
        <v>0.88888888888888884</v>
      </c>
      <c r="AM198">
        <f>survey_responses[[#This Row],[Tôi tin rằng Nhà nước, cơ quan thuế sẽ thực thi chính sách mới một cách khách quan, công tâm và đối xử bình đẳng với mọi người nộp thuế.  - HUMAN-TRU1]]</f>
        <v>10</v>
      </c>
      <c r="AN198">
        <f t="shared" si="94"/>
        <v>1</v>
      </c>
      <c r="AO198">
        <f>step3_validation[[#This Row],[AI_TRU2]]</f>
        <v>9</v>
      </c>
      <c r="AP198">
        <f t="shared" si="95"/>
        <v>0.88888888888888884</v>
      </c>
      <c r="AQ198">
        <f>survey_responses[[#This Row],[Tôi thấy mức thuế tôi phải đóng theo phương án mới là công bằng (người thu nhập như tôi đóng mức này là hợp lý). - HUMAN-TRU2]]</f>
        <v>10</v>
      </c>
      <c r="AR198">
        <f t="shared" si="96"/>
        <v>1</v>
      </c>
      <c r="AS198">
        <f>step3_validation[[#This Row],[AI_TRU3]]</f>
        <v>8</v>
      </c>
      <c r="AT198">
        <f t="shared" si="97"/>
        <v>0.77777777777777779</v>
      </c>
      <c r="AU198">
        <f>survey_responses[[#This Row],[Tôi tin tưởng số tiền thuế tôi đóng sẽ được Nhà nước sử dụng hiệu quả để cải thiện dịch vụ công (y tế, đường xá...). - HUMAN-TRU3]]</f>
        <v>10</v>
      </c>
      <c r="AV198">
        <f t="shared" si="98"/>
        <v>1</v>
      </c>
      <c r="AW198">
        <f>step3_validation[[#This Row],[AI_TRU4]]</f>
        <v>7</v>
      </c>
      <c r="AX198">
        <f t="shared" si="99"/>
        <v>0.66666666666666663</v>
      </c>
      <c r="AY198">
        <f>survey_responses[[#This Row],[Tôi thấy Nhà nước đã giải thích rõ ràng, minh bạch về lý do và mục tiêu của việc sửa đổi thuế lần này. - HUMAN-TRU4]]</f>
        <v>9</v>
      </c>
      <c r="AZ198">
        <f t="shared" si="100"/>
        <v>0.88888888888888884</v>
      </c>
      <c r="BA198" s="32">
        <f t="shared" si="101"/>
        <v>0.80555555555555547</v>
      </c>
      <c r="BB198" s="32">
        <f t="shared" si="102"/>
        <v>0.97222222222222221</v>
      </c>
      <c r="BC198" s="7">
        <f t="shared" si="103"/>
        <v>0.80555555555555547</v>
      </c>
      <c r="BD198" s="7">
        <f t="shared" si="104"/>
        <v>0.95370370370370372</v>
      </c>
      <c r="BE198">
        <f>step3_validation[[#This Row],[AI_OUT1]]</f>
        <v>9</v>
      </c>
      <c r="BF198">
        <f t="shared" si="105"/>
        <v>0.88888888888888884</v>
      </c>
      <c r="BG198">
        <f>survey_responses[[#This Row],[Sau khi xem xét các quyền lợi và nghĩa vụ, bạn có ủng hộ và tuân thủ chính sách mới hiện nay? - HUMAN-OUT1]]</f>
        <v>10</v>
      </c>
      <c r="BH198">
        <f t="shared" si="106"/>
        <v>1</v>
      </c>
      <c r="BI198" s="32">
        <f t="shared" si="107"/>
        <v>1</v>
      </c>
    </row>
    <row r="199" spans="1:61" x14ac:dyDescent="0.45">
      <c r="A199" s="30">
        <f>step3_validation[[#This Row],[Persona_ID]]</f>
        <v>198</v>
      </c>
      <c r="B199" s="31">
        <f>step3_validation[[#This Row],[Used_Seed]]</f>
        <v>198</v>
      </c>
      <c r="C199" t="str">
        <f>step3_validation[[#This Row],[Gender]]</f>
        <v>Nữ</v>
      </c>
      <c r="D199" t="str">
        <f>survey_responses[[#This Row],[Giới tính của bạn:]]</f>
        <v>Nữ</v>
      </c>
      <c r="E199" t="str">
        <f>step3_validation[[#This Row],[Age_Group]]</f>
        <v>40 - 49</v>
      </c>
      <c r="F199" t="str">
        <f>survey_responses[[#This Row],[Độ tuổi của bạn:]]</f>
        <v>40 - 49</v>
      </c>
      <c r="G199" t="str">
        <f>step3_validation[[#This Row],[Region]]</f>
        <v>Thành thị</v>
      </c>
      <c r="H199" t="str">
        <f>survey_responses[[#This Row],[Khu vực bạn đang sinh sống:]]</f>
        <v>Thành thị</v>
      </c>
      <c r="I199" t="str">
        <f>step3_validation[[#This Row],[Education]]</f>
        <v>Sau Đại học</v>
      </c>
      <c r="J199" t="str">
        <f>survey_responses[[#This Row],[Trình độ học vấn cao nhất:]]</f>
        <v>Sau Đại học</v>
      </c>
      <c r="K199" t="str">
        <f>step3_validation[[#This Row],[Employment]]</f>
        <v>Chính thức</v>
      </c>
      <c r="L199" t="str">
        <f>survey_responses[[#This Row],[Tình trạng việc làm chính:]]</f>
        <v>Khu vực chính thức (Có Hợp đồng lao động, đóng BHXH)</v>
      </c>
      <c r="M199">
        <f>step3_validation[[#This Row],[Income_Mil]]</f>
        <v>15.992929684930616</v>
      </c>
      <c r="N199" t="str">
        <f>survey_responses[[#This Row],[Thu nhập bình quân tháng theo Hợp đồng lao động của bạn là bao nhiêu? (Vui lòng điền tổng thu nhập trước khi khấu trừ các loại Bảo hiểm (BHXH, BHYT, BHTN) và Thuế TNCN)]]</f>
        <v>Từ 12 - 18 triệu VNĐ</v>
      </c>
      <c r="O199">
        <f>step3_validation[[#This Row],[Dependents]]</f>
        <v>2</v>
      </c>
      <c r="P199" t="str">
        <f>survey_responses[[#This Row],[Số người phụ thuộc (con nhỏ, cha mẹ già...) đủ điều kiện giảm trừ gia cảnh:]]</f>
        <v>2 người</v>
      </c>
      <c r="Q199">
        <f>step3_validation[[#This Row],[AI_ENF1]]</f>
        <v>9</v>
      </c>
      <c r="R199">
        <f t="shared" si="81"/>
        <v>0.88888888888888884</v>
      </c>
      <c r="S199">
        <f>survey_responses[[#This Row],[Tôi tin rằng với các quy định quản lý thuế hiện nay, hành vi gian lận hoặc trốn thuế sẽ dễ dàng bị phát hiện và xử lý nghiêm. - HUMAN-ENF1]]</f>
        <v>5</v>
      </c>
      <c r="T199">
        <f t="shared" si="82"/>
        <v>0.44444444444444442</v>
      </c>
      <c r="U199">
        <f>step3_validation[[#This Row],[AI_ENF2]]</f>
        <v>8</v>
      </c>
      <c r="V199">
        <f t="shared" si="83"/>
        <v>0.77777777777777779</v>
      </c>
      <c r="W199">
        <f>survey_responses[[#This Row],[Tôi tin rằng Nhà nước, cơ quan thuế có đủ khả năng và công nghệ để phát hiện, xử lý nghiêm các hành vi trốn thuế. - HUMAN-ENF2]]</f>
        <v>5</v>
      </c>
      <c r="X199">
        <f t="shared" si="84"/>
        <v>0.44444444444444442</v>
      </c>
      <c r="Y199" s="32">
        <f t="shared" si="85"/>
        <v>0.83333333333333326</v>
      </c>
      <c r="Z199" s="32">
        <f t="shared" si="86"/>
        <v>0.44444444444444442</v>
      </c>
      <c r="AA199">
        <f>step3_validation[[#This Row],[AI_FAC1]]</f>
        <v>9</v>
      </c>
      <c r="AB199">
        <f t="shared" si="87"/>
        <v>0.88888888888888884</v>
      </c>
      <c r="AC199">
        <f>survey_responses[[#This Row],[Các thủ tục khai báo thuế VÀ/HOẶC quy trình làm việc với cơ quan thuế đơn giản, tiện lợi, nhanh chóng hơn so với trước đây. - HUMAN-FAC1]]</f>
        <v>5</v>
      </c>
      <c r="AD199">
        <f t="shared" si="88"/>
        <v>0.44444444444444442</v>
      </c>
      <c r="AE199">
        <f>step3_validation[[#This Row],[AI_FAC2]]</f>
        <v>8</v>
      </c>
      <c r="AF199">
        <f t="shared" si="89"/>
        <v>0.77777777777777779</v>
      </c>
      <c r="AG199">
        <f>survey_responses[[#This Row],[So với trước đây, tôi thấy cách tính thuế và các bậc thuế trong phương án mới đơn giản, dễ hiểu và dễ thực hiện hơn. - HUMAN-FAC2]]</f>
        <v>5</v>
      </c>
      <c r="AH199">
        <f t="shared" si="90"/>
        <v>0.44444444444444442</v>
      </c>
      <c r="AI199" s="32">
        <f t="shared" si="91"/>
        <v>0.83333333333333326</v>
      </c>
      <c r="AJ199" s="32">
        <f t="shared" si="92"/>
        <v>0.44444444444444442</v>
      </c>
      <c r="AK199">
        <f>step3_validation[[#This Row],[AI_TRU1]]</f>
        <v>9</v>
      </c>
      <c r="AL199">
        <f t="shared" si="93"/>
        <v>0.88888888888888884</v>
      </c>
      <c r="AM199">
        <f>survey_responses[[#This Row],[Tôi tin rằng Nhà nước, cơ quan thuế sẽ thực thi chính sách mới một cách khách quan, công tâm và đối xử bình đẳng với mọi người nộp thuế.  - HUMAN-TRU1]]</f>
        <v>5</v>
      </c>
      <c r="AN199">
        <f t="shared" si="94"/>
        <v>0.44444444444444442</v>
      </c>
      <c r="AO199">
        <f>step3_validation[[#This Row],[AI_TRU2]]</f>
        <v>8</v>
      </c>
      <c r="AP199">
        <f t="shared" si="95"/>
        <v>0.77777777777777779</v>
      </c>
      <c r="AQ199">
        <f>survey_responses[[#This Row],[Tôi thấy mức thuế tôi phải đóng theo phương án mới là công bằng (người thu nhập như tôi đóng mức này là hợp lý). - HUMAN-TRU2]]</f>
        <v>5</v>
      </c>
      <c r="AR199">
        <f t="shared" si="96"/>
        <v>0.44444444444444442</v>
      </c>
      <c r="AS199">
        <f>step3_validation[[#This Row],[AI_TRU3]]</f>
        <v>9</v>
      </c>
      <c r="AT199">
        <f t="shared" si="97"/>
        <v>0.88888888888888884</v>
      </c>
      <c r="AU199">
        <f>survey_responses[[#This Row],[Tôi tin tưởng số tiền thuế tôi đóng sẽ được Nhà nước sử dụng hiệu quả để cải thiện dịch vụ công (y tế, đường xá...). - HUMAN-TRU3]]</f>
        <v>5</v>
      </c>
      <c r="AV199">
        <f t="shared" si="98"/>
        <v>0.44444444444444442</v>
      </c>
      <c r="AW199">
        <f>step3_validation[[#This Row],[AI_TRU4]]</f>
        <v>8</v>
      </c>
      <c r="AX199">
        <f t="shared" si="99"/>
        <v>0.77777777777777779</v>
      </c>
      <c r="AY199">
        <f>survey_responses[[#This Row],[Tôi thấy Nhà nước đã giải thích rõ ràng, minh bạch về lý do và mục tiêu của việc sửa đổi thuế lần này. - HUMAN-TRU4]]</f>
        <v>4</v>
      </c>
      <c r="AZ199">
        <f t="shared" si="100"/>
        <v>0.33333333333333331</v>
      </c>
      <c r="BA199" s="32">
        <f t="shared" si="101"/>
        <v>0.83333333333333326</v>
      </c>
      <c r="BB199" s="32">
        <f t="shared" si="102"/>
        <v>0.41666666666666663</v>
      </c>
      <c r="BC199" s="7">
        <f t="shared" si="103"/>
        <v>0.83333333333333337</v>
      </c>
      <c r="BD199" s="7">
        <f t="shared" si="104"/>
        <v>0.43518518518518512</v>
      </c>
      <c r="BE199">
        <f>step3_validation[[#This Row],[AI_OUT1]]</f>
        <v>9</v>
      </c>
      <c r="BF199">
        <f t="shared" si="105"/>
        <v>0.88888888888888884</v>
      </c>
      <c r="BG199">
        <f>survey_responses[[#This Row],[Sau khi xem xét các quyền lợi và nghĩa vụ, bạn có ủng hộ và tuân thủ chính sách mới hiện nay? - HUMAN-OUT1]]</f>
        <v>5</v>
      </c>
      <c r="BH199">
        <f t="shared" si="106"/>
        <v>0.44444444444444442</v>
      </c>
      <c r="BI199" s="32">
        <f t="shared" si="107"/>
        <v>4</v>
      </c>
    </row>
    <row r="200" spans="1:61" x14ac:dyDescent="0.45">
      <c r="A200" s="30">
        <f>step3_validation[[#This Row],[Persona_ID]]</f>
        <v>199</v>
      </c>
      <c r="B200" s="31">
        <f>step3_validation[[#This Row],[Used_Seed]]</f>
        <v>199</v>
      </c>
      <c r="C200" t="str">
        <f>step3_validation[[#This Row],[Gender]]</f>
        <v>Nữ</v>
      </c>
      <c r="D200" t="str">
        <f>survey_responses[[#This Row],[Giới tính của bạn:]]</f>
        <v>Nữ</v>
      </c>
      <c r="E200" t="str">
        <f>step3_validation[[#This Row],[Age_Group]]</f>
        <v>55 - 64</v>
      </c>
      <c r="F200" t="str">
        <f>survey_responses[[#This Row],[Độ tuổi của bạn:]]</f>
        <v>55 - 64</v>
      </c>
      <c r="G200" t="str">
        <f>step3_validation[[#This Row],[Region]]</f>
        <v>Thành thị</v>
      </c>
      <c r="H200" t="str">
        <f>survey_responses[[#This Row],[Khu vực bạn đang sinh sống:]]</f>
        <v>Thành thị</v>
      </c>
      <c r="I200" t="str">
        <f>step3_validation[[#This Row],[Education]]</f>
        <v>Sau Đại học</v>
      </c>
      <c r="J200" t="str">
        <f>survey_responses[[#This Row],[Trình độ học vấn cao nhất:]]</f>
        <v>Sau Đại học</v>
      </c>
      <c r="K200" t="str">
        <f>step3_validation[[#This Row],[Employment]]</f>
        <v>Phi chính thức</v>
      </c>
      <c r="L200" t="str">
        <f>survey_responses[[#This Row],[Tình trạng việc làm chính:]]</f>
        <v>Khác (Về hưu, nội trợ, sinh viên)</v>
      </c>
      <c r="M200">
        <f>step3_validation[[#This Row],[Income_Mil]]</f>
        <v>12</v>
      </c>
      <c r="N200" t="str">
        <f>survey_responses[[#This Row],[Thu nhập bình quân tháng theo Hợp đồng lao động của bạn là bao nhiêu? (Vui lòng điền tổng thu nhập trước khi khấu trừ các loại Bảo hiểm (BHXH, BHYT, BHTN) và Thuế TNCN)]]</f>
        <v>Dưới 12 triệu VNĐ</v>
      </c>
      <c r="O200">
        <f>step3_validation[[#This Row],[Dependents]]</f>
        <v>1</v>
      </c>
      <c r="P200" t="str">
        <f>survey_responses[[#This Row],[Số người phụ thuộc (con nhỏ, cha mẹ già...) đủ điều kiện giảm trừ gia cảnh:]]</f>
        <v>1 người</v>
      </c>
      <c r="Q200">
        <f>step3_validation[[#This Row],[AI_ENF1]]</f>
        <v>8</v>
      </c>
      <c r="R200">
        <f t="shared" si="81"/>
        <v>0.77777777777777779</v>
      </c>
      <c r="S200">
        <f>survey_responses[[#This Row],[Tôi tin rằng với các quy định quản lý thuế hiện nay, hành vi gian lận hoặc trốn thuế sẽ dễ dàng bị phát hiện và xử lý nghiêm. - HUMAN-ENF1]]</f>
        <v>9</v>
      </c>
      <c r="T200">
        <f t="shared" si="82"/>
        <v>0.88888888888888884</v>
      </c>
      <c r="U200">
        <f>step3_validation[[#This Row],[AI_ENF2]]</f>
        <v>7</v>
      </c>
      <c r="V200">
        <f t="shared" si="83"/>
        <v>0.66666666666666663</v>
      </c>
      <c r="W200">
        <f>survey_responses[[#This Row],[Tôi tin rằng Nhà nước, cơ quan thuế có đủ khả năng và công nghệ để phát hiện, xử lý nghiêm các hành vi trốn thuế. - HUMAN-ENF2]]</f>
        <v>8</v>
      </c>
      <c r="X200">
        <f t="shared" si="84"/>
        <v>0.77777777777777779</v>
      </c>
      <c r="Y200" s="32">
        <f t="shared" si="85"/>
        <v>0.72222222222222221</v>
      </c>
      <c r="Z200" s="32">
        <f t="shared" si="86"/>
        <v>0.83333333333333326</v>
      </c>
      <c r="AA200">
        <f>step3_validation[[#This Row],[AI_FAC1]]</f>
        <v>9</v>
      </c>
      <c r="AB200">
        <f t="shared" si="87"/>
        <v>0.88888888888888884</v>
      </c>
      <c r="AC200">
        <f>survey_responses[[#This Row],[Các thủ tục khai báo thuế VÀ/HOẶC quy trình làm việc với cơ quan thuế đơn giản, tiện lợi, nhanh chóng hơn so với trước đây. - HUMAN-FAC1]]</f>
        <v>9</v>
      </c>
      <c r="AD200">
        <f t="shared" si="88"/>
        <v>0.88888888888888884</v>
      </c>
      <c r="AE200">
        <f>step3_validation[[#This Row],[AI_FAC2]]</f>
        <v>9</v>
      </c>
      <c r="AF200">
        <f t="shared" si="89"/>
        <v>0.88888888888888884</v>
      </c>
      <c r="AG200">
        <f>survey_responses[[#This Row],[So với trước đây, tôi thấy cách tính thuế và các bậc thuế trong phương án mới đơn giản, dễ hiểu và dễ thực hiện hơn. - HUMAN-FAC2]]</f>
        <v>9</v>
      </c>
      <c r="AH200">
        <f t="shared" si="90"/>
        <v>0.88888888888888884</v>
      </c>
      <c r="AI200" s="32">
        <f t="shared" si="91"/>
        <v>0.88888888888888884</v>
      </c>
      <c r="AJ200" s="32">
        <f t="shared" si="92"/>
        <v>0.88888888888888884</v>
      </c>
      <c r="AK200">
        <f>step3_validation[[#This Row],[AI_TRU1]]</f>
        <v>8</v>
      </c>
      <c r="AL200">
        <f t="shared" si="93"/>
        <v>0.77777777777777779</v>
      </c>
      <c r="AM200">
        <f>survey_responses[[#This Row],[Tôi tin rằng Nhà nước, cơ quan thuế sẽ thực thi chính sách mới một cách khách quan, công tâm và đối xử bình đẳng với mọi người nộp thuế.  - HUMAN-TRU1]]</f>
        <v>8</v>
      </c>
      <c r="AN200">
        <f t="shared" si="94"/>
        <v>0.77777777777777779</v>
      </c>
      <c r="AO200">
        <f>step3_validation[[#This Row],[AI_TRU2]]</f>
        <v>9</v>
      </c>
      <c r="AP200">
        <f t="shared" si="95"/>
        <v>0.88888888888888884</v>
      </c>
      <c r="AQ200">
        <f>survey_responses[[#This Row],[Tôi thấy mức thuế tôi phải đóng theo phương án mới là công bằng (người thu nhập như tôi đóng mức này là hợp lý). - HUMAN-TRU2]]</f>
        <v>9</v>
      </c>
      <c r="AR200">
        <f t="shared" si="96"/>
        <v>0.88888888888888884</v>
      </c>
      <c r="AS200">
        <f>step3_validation[[#This Row],[AI_TRU3]]</f>
        <v>8</v>
      </c>
      <c r="AT200">
        <f t="shared" si="97"/>
        <v>0.77777777777777779</v>
      </c>
      <c r="AU200">
        <f>survey_responses[[#This Row],[Tôi tin tưởng số tiền thuế tôi đóng sẽ được Nhà nước sử dụng hiệu quả để cải thiện dịch vụ công (y tế, đường xá...). - HUMAN-TRU3]]</f>
        <v>10</v>
      </c>
      <c r="AV200">
        <f t="shared" si="98"/>
        <v>1</v>
      </c>
      <c r="AW200">
        <f>step3_validation[[#This Row],[AI_TRU4]]</f>
        <v>6</v>
      </c>
      <c r="AX200">
        <f t="shared" si="99"/>
        <v>0.55555555555555558</v>
      </c>
      <c r="AY200">
        <f>survey_responses[[#This Row],[Tôi thấy Nhà nước đã giải thích rõ ràng, minh bạch về lý do và mục tiêu của việc sửa đổi thuế lần này. - HUMAN-TRU4]]</f>
        <v>9</v>
      </c>
      <c r="AZ200">
        <f t="shared" si="100"/>
        <v>0.88888888888888884</v>
      </c>
      <c r="BA200" s="32">
        <f t="shared" si="101"/>
        <v>0.75</v>
      </c>
      <c r="BB200" s="32">
        <f t="shared" si="102"/>
        <v>0.88888888888888884</v>
      </c>
      <c r="BC200" s="7">
        <f t="shared" si="103"/>
        <v>0.78703703703703709</v>
      </c>
      <c r="BD200" s="7">
        <f t="shared" si="104"/>
        <v>0.87037037037037024</v>
      </c>
      <c r="BE200">
        <f>step3_validation[[#This Row],[AI_OUT1]]</f>
        <v>9</v>
      </c>
      <c r="BF200">
        <f t="shared" si="105"/>
        <v>0.88888888888888884</v>
      </c>
      <c r="BG200">
        <f>survey_responses[[#This Row],[Sau khi xem xét các quyền lợi và nghĩa vụ, bạn có ủng hộ và tuân thủ chính sách mới hiện nay? - HUMAN-OUT1]]</f>
        <v>10</v>
      </c>
      <c r="BH200">
        <f t="shared" si="106"/>
        <v>1</v>
      </c>
      <c r="BI200" s="32">
        <f t="shared" si="107"/>
        <v>1</v>
      </c>
    </row>
    <row r="201" spans="1:61" x14ac:dyDescent="0.45">
      <c r="A201" s="30">
        <f>step3_validation[[#This Row],[Persona_ID]]</f>
        <v>200</v>
      </c>
      <c r="B201" s="31">
        <f>step3_validation[[#This Row],[Used_Seed]]</f>
        <v>200</v>
      </c>
      <c r="C201" t="str">
        <f>step3_validation[[#This Row],[Gender]]</f>
        <v>Nam</v>
      </c>
      <c r="D201" t="str">
        <f>survey_responses[[#This Row],[Giới tính của bạn:]]</f>
        <v>Nam</v>
      </c>
      <c r="E201" t="str">
        <f>step3_validation[[#This Row],[Age_Group]]</f>
        <v>50 - 54</v>
      </c>
      <c r="F201" t="str">
        <f>survey_responses[[#This Row],[Độ tuổi của bạn:]]</f>
        <v>50 - 54</v>
      </c>
      <c r="G201" t="str">
        <f>step3_validation[[#This Row],[Region]]</f>
        <v>Thành thị</v>
      </c>
      <c r="H201" t="str">
        <f>survey_responses[[#This Row],[Khu vực bạn đang sinh sống:]]</f>
        <v>Thành thị</v>
      </c>
      <c r="I201" t="str">
        <f>step3_validation[[#This Row],[Education]]</f>
        <v>Đại học</v>
      </c>
      <c r="J201" t="str">
        <f>survey_responses[[#This Row],[Trình độ học vấn cao nhất:]]</f>
        <v>Đại học</v>
      </c>
      <c r="K201" t="str">
        <f>step3_validation[[#This Row],[Employment]]</f>
        <v>Chính thức</v>
      </c>
      <c r="L201" t="str">
        <f>survey_responses[[#This Row],[Tình trạng việc làm chính:]]</f>
        <v>Khu vực chính thức (Có Hợp đồng lao động, đóng BHXH)</v>
      </c>
      <c r="M201">
        <f>step3_validation[[#This Row],[Income_Mil]]</f>
        <v>90.051858454053274</v>
      </c>
      <c r="N201" t="str">
        <f>survey_responses[[#This Row],[Thu nhập bình quân tháng theo Hợp đồng lao động của bạn là bao nhiêu? (Vui lòng điền tổng thu nhập trước khi khấu trừ các loại Bảo hiểm (BHXH, BHYT, BHTN) và Thuế TNCN)]]</f>
        <v>Từ 70 - 102 triệu VNĐ</v>
      </c>
      <c r="O201">
        <f>step3_validation[[#This Row],[Dependents]]</f>
        <v>3</v>
      </c>
      <c r="P201" t="str">
        <f>survey_responses[[#This Row],[Số người phụ thuộc (con nhỏ, cha mẹ già...) đủ điều kiện giảm trừ gia cảnh:]]</f>
        <v>3 người</v>
      </c>
      <c r="Q201">
        <f>step3_validation[[#This Row],[AI_ENF1]]</f>
        <v>8</v>
      </c>
      <c r="R201">
        <f t="shared" si="81"/>
        <v>0.77777777777777779</v>
      </c>
      <c r="S201">
        <f>survey_responses[[#This Row],[Tôi tin rằng với các quy định quản lý thuế hiện nay, hành vi gian lận hoặc trốn thuế sẽ dễ dàng bị phát hiện và xử lý nghiêm. - HUMAN-ENF1]]</f>
        <v>4</v>
      </c>
      <c r="T201">
        <f t="shared" si="82"/>
        <v>0.33333333333333331</v>
      </c>
      <c r="U201">
        <f>step3_validation[[#This Row],[AI_ENF2]]</f>
        <v>7</v>
      </c>
      <c r="V201">
        <f t="shared" si="83"/>
        <v>0.66666666666666663</v>
      </c>
      <c r="W201">
        <f>survey_responses[[#This Row],[Tôi tin rằng Nhà nước, cơ quan thuế có đủ khả năng và công nghệ để phát hiện, xử lý nghiêm các hành vi trốn thuế. - HUMAN-ENF2]]</f>
        <v>4</v>
      </c>
      <c r="X201">
        <f t="shared" si="84"/>
        <v>0.33333333333333331</v>
      </c>
      <c r="Y201" s="32">
        <f t="shared" si="85"/>
        <v>0.72222222222222221</v>
      </c>
      <c r="Z201" s="32">
        <f t="shared" si="86"/>
        <v>0.33333333333333331</v>
      </c>
      <c r="AA201">
        <f>step3_validation[[#This Row],[AI_FAC1]]</f>
        <v>9</v>
      </c>
      <c r="AB201">
        <f t="shared" si="87"/>
        <v>0.88888888888888884</v>
      </c>
      <c r="AC201">
        <f>survey_responses[[#This Row],[Các thủ tục khai báo thuế VÀ/HOẶC quy trình làm việc với cơ quan thuế đơn giản, tiện lợi, nhanh chóng hơn so với trước đây. - HUMAN-FAC1]]</f>
        <v>3</v>
      </c>
      <c r="AD201">
        <f t="shared" si="88"/>
        <v>0.22222222222222221</v>
      </c>
      <c r="AE201">
        <f>step3_validation[[#This Row],[AI_FAC2]]</f>
        <v>8</v>
      </c>
      <c r="AF201">
        <f t="shared" si="89"/>
        <v>0.77777777777777779</v>
      </c>
      <c r="AG201">
        <f>survey_responses[[#This Row],[So với trước đây, tôi thấy cách tính thuế và các bậc thuế trong phương án mới đơn giản, dễ hiểu và dễ thực hiện hơn. - HUMAN-FAC2]]</f>
        <v>5</v>
      </c>
      <c r="AH201">
        <f t="shared" si="90"/>
        <v>0.44444444444444442</v>
      </c>
      <c r="AI201" s="32">
        <f t="shared" si="91"/>
        <v>0.83333333333333326</v>
      </c>
      <c r="AJ201" s="32">
        <f t="shared" si="92"/>
        <v>0.33333333333333331</v>
      </c>
      <c r="AK201">
        <f>step3_validation[[#This Row],[AI_TRU1]]</f>
        <v>9</v>
      </c>
      <c r="AL201">
        <f t="shared" si="93"/>
        <v>0.88888888888888884</v>
      </c>
      <c r="AM201">
        <f>survey_responses[[#This Row],[Tôi tin rằng Nhà nước, cơ quan thuế sẽ thực thi chính sách mới một cách khách quan, công tâm và đối xử bình đẳng với mọi người nộp thuế.  - HUMAN-TRU1]]</f>
        <v>4</v>
      </c>
      <c r="AN201">
        <f t="shared" si="94"/>
        <v>0.33333333333333331</v>
      </c>
      <c r="AO201">
        <f>step3_validation[[#This Row],[AI_TRU2]]</f>
        <v>9</v>
      </c>
      <c r="AP201">
        <f t="shared" si="95"/>
        <v>0.88888888888888884</v>
      </c>
      <c r="AQ201">
        <f>survey_responses[[#This Row],[Tôi thấy mức thuế tôi phải đóng theo phương án mới là công bằng (người thu nhập như tôi đóng mức này là hợp lý). - HUMAN-TRU2]]</f>
        <v>5</v>
      </c>
      <c r="AR201">
        <f t="shared" si="96"/>
        <v>0.44444444444444442</v>
      </c>
      <c r="AS201">
        <f>step3_validation[[#This Row],[AI_TRU3]]</f>
        <v>8</v>
      </c>
      <c r="AT201">
        <f t="shared" si="97"/>
        <v>0.77777777777777779</v>
      </c>
      <c r="AU201">
        <f>survey_responses[[#This Row],[Tôi tin tưởng số tiền thuế tôi đóng sẽ được Nhà nước sử dụng hiệu quả để cải thiện dịch vụ công (y tế, đường xá...). - HUMAN-TRU3]]</f>
        <v>1</v>
      </c>
      <c r="AV201">
        <f t="shared" si="98"/>
        <v>0</v>
      </c>
      <c r="AW201">
        <f>step3_validation[[#This Row],[AI_TRU4]]</f>
        <v>7</v>
      </c>
      <c r="AX201">
        <f t="shared" si="99"/>
        <v>0.66666666666666663</v>
      </c>
      <c r="AY201">
        <f>survey_responses[[#This Row],[Tôi thấy Nhà nước đã giải thích rõ ràng, minh bạch về lý do và mục tiêu của việc sửa đổi thuế lần này. - HUMAN-TRU4]]</f>
        <v>5</v>
      </c>
      <c r="AZ201">
        <f t="shared" si="100"/>
        <v>0.44444444444444442</v>
      </c>
      <c r="BA201" s="32">
        <f t="shared" si="101"/>
        <v>0.80555555555555547</v>
      </c>
      <c r="BB201" s="32">
        <f t="shared" si="102"/>
        <v>0.30555555555555552</v>
      </c>
      <c r="BC201" s="7">
        <f t="shared" si="103"/>
        <v>0.78703703703703687</v>
      </c>
      <c r="BD201" s="7">
        <f t="shared" si="104"/>
        <v>0.32407407407407401</v>
      </c>
      <c r="BE201">
        <f>step3_validation[[#This Row],[AI_OUT1]]</f>
        <v>9</v>
      </c>
      <c r="BF201">
        <f t="shared" si="105"/>
        <v>0.88888888888888884</v>
      </c>
      <c r="BG201">
        <f>survey_responses[[#This Row],[Sau khi xem xét các quyền lợi và nghĩa vụ, bạn có ủng hộ và tuân thủ chính sách mới hiện nay? - HUMAN-OUT1]]</f>
        <v>5</v>
      </c>
      <c r="BH201">
        <f t="shared" si="106"/>
        <v>0.44444444444444442</v>
      </c>
      <c r="BI201" s="32">
        <f t="shared" si="107"/>
        <v>4</v>
      </c>
    </row>
    <row r="202" spans="1:61" x14ac:dyDescent="0.45">
      <c r="A202" s="30">
        <f>step3_validation[[#This Row],[Persona_ID]]</f>
        <v>201</v>
      </c>
      <c r="B202" s="31">
        <f>step3_validation[[#This Row],[Used_Seed]]</f>
        <v>201</v>
      </c>
      <c r="C202" t="str">
        <f>step3_validation[[#This Row],[Gender]]</f>
        <v>Nữ</v>
      </c>
      <c r="D202" t="str">
        <f>survey_responses[[#This Row],[Giới tính của bạn:]]</f>
        <v>Nữ</v>
      </c>
      <c r="E202" t="str">
        <f>step3_validation[[#This Row],[Age_Group]]</f>
        <v>55 - 64</v>
      </c>
      <c r="F202" t="str">
        <f>survey_responses[[#This Row],[Độ tuổi của bạn:]]</f>
        <v>55 - 64</v>
      </c>
      <c r="G202" t="str">
        <f>step3_validation[[#This Row],[Region]]</f>
        <v>Thành thị</v>
      </c>
      <c r="H202" t="str">
        <f>survey_responses[[#This Row],[Khu vực bạn đang sinh sống:]]</f>
        <v>Thành thị</v>
      </c>
      <c r="I202" t="str">
        <f>step3_validation[[#This Row],[Education]]</f>
        <v>Sau Đại học</v>
      </c>
      <c r="J202" t="str">
        <f>survey_responses[[#This Row],[Trình độ học vấn cao nhất:]]</f>
        <v>Sau Đại học</v>
      </c>
      <c r="K202" t="str">
        <f>step3_validation[[#This Row],[Employment]]</f>
        <v>Chính thức</v>
      </c>
      <c r="L202" t="str">
        <f>survey_responses[[#This Row],[Tình trạng việc làm chính:]]</f>
        <v>Khu vực chính thức (Có Hợp đồng lao động, đóng BHXH)</v>
      </c>
      <c r="M202">
        <f>step3_validation[[#This Row],[Income_Mil]]</f>
        <v>68.805408642462183</v>
      </c>
      <c r="N202" t="str">
        <f>survey_responses[[#This Row],[Thu nhập bình quân tháng theo Hợp đồng lao động của bạn là bao nhiêu? (Vui lòng điền tổng thu nhập trước khi khấu trừ các loại Bảo hiểm (BHXH, BHYT, BHTN) và Thuế TNCN)]]</f>
        <v>Từ 48 - 70 triệu VNĐ</v>
      </c>
      <c r="O202">
        <f>step3_validation[[#This Row],[Dependents]]</f>
        <v>1</v>
      </c>
      <c r="P202" t="str">
        <f>survey_responses[[#This Row],[Số người phụ thuộc (con nhỏ, cha mẹ già...) đủ điều kiện giảm trừ gia cảnh:]]</f>
        <v>1 người</v>
      </c>
      <c r="Q202">
        <f>step3_validation[[#This Row],[AI_ENF1]]</f>
        <v>9</v>
      </c>
      <c r="R202">
        <f t="shared" si="81"/>
        <v>0.88888888888888884</v>
      </c>
      <c r="S202">
        <f>survey_responses[[#This Row],[Tôi tin rằng với các quy định quản lý thuế hiện nay, hành vi gian lận hoặc trốn thuế sẽ dễ dàng bị phát hiện và xử lý nghiêm. - HUMAN-ENF1]]</f>
        <v>5</v>
      </c>
      <c r="T202">
        <f t="shared" si="82"/>
        <v>0.44444444444444442</v>
      </c>
      <c r="U202">
        <f>step3_validation[[#This Row],[AI_ENF2]]</f>
        <v>8</v>
      </c>
      <c r="V202">
        <f t="shared" si="83"/>
        <v>0.77777777777777779</v>
      </c>
      <c r="W202">
        <f>survey_responses[[#This Row],[Tôi tin rằng Nhà nước, cơ quan thuế có đủ khả năng và công nghệ để phát hiện, xử lý nghiêm các hành vi trốn thuế. - HUMAN-ENF2]]</f>
        <v>5</v>
      </c>
      <c r="X202">
        <f t="shared" si="84"/>
        <v>0.44444444444444442</v>
      </c>
      <c r="Y202" s="32">
        <f t="shared" si="85"/>
        <v>0.83333333333333326</v>
      </c>
      <c r="Z202" s="32">
        <f t="shared" si="86"/>
        <v>0.44444444444444442</v>
      </c>
      <c r="AA202">
        <f>step3_validation[[#This Row],[AI_FAC1]]</f>
        <v>9</v>
      </c>
      <c r="AB202">
        <f t="shared" si="87"/>
        <v>0.88888888888888884</v>
      </c>
      <c r="AC202">
        <f>survey_responses[[#This Row],[Các thủ tục khai báo thuế VÀ/HOẶC quy trình làm việc với cơ quan thuế đơn giản, tiện lợi, nhanh chóng hơn so với trước đây. - HUMAN-FAC1]]</f>
        <v>1</v>
      </c>
      <c r="AD202">
        <f t="shared" si="88"/>
        <v>0</v>
      </c>
      <c r="AE202">
        <f>step3_validation[[#This Row],[AI_FAC2]]</f>
        <v>7</v>
      </c>
      <c r="AF202">
        <f t="shared" si="89"/>
        <v>0.66666666666666663</v>
      </c>
      <c r="AG202">
        <f>survey_responses[[#This Row],[So với trước đây, tôi thấy cách tính thuế và các bậc thuế trong phương án mới đơn giản, dễ hiểu và dễ thực hiện hơn. - HUMAN-FAC2]]</f>
        <v>5</v>
      </c>
      <c r="AH202">
        <f t="shared" si="90"/>
        <v>0.44444444444444442</v>
      </c>
      <c r="AI202" s="32">
        <f t="shared" si="91"/>
        <v>0.77777777777777768</v>
      </c>
      <c r="AJ202" s="32">
        <f t="shared" si="92"/>
        <v>0.22222222222222221</v>
      </c>
      <c r="AK202">
        <f>step3_validation[[#This Row],[AI_TRU1]]</f>
        <v>9</v>
      </c>
      <c r="AL202">
        <f t="shared" si="93"/>
        <v>0.88888888888888884</v>
      </c>
      <c r="AM202">
        <f>survey_responses[[#This Row],[Tôi tin rằng Nhà nước, cơ quan thuế sẽ thực thi chính sách mới một cách khách quan, công tâm và đối xử bình đẳng với mọi người nộp thuế.  - HUMAN-TRU1]]</f>
        <v>4</v>
      </c>
      <c r="AN202">
        <f t="shared" si="94"/>
        <v>0.33333333333333331</v>
      </c>
      <c r="AO202">
        <f>step3_validation[[#This Row],[AI_TRU2]]</f>
        <v>9</v>
      </c>
      <c r="AP202">
        <f t="shared" si="95"/>
        <v>0.88888888888888884</v>
      </c>
      <c r="AQ202">
        <f>survey_responses[[#This Row],[Tôi thấy mức thuế tôi phải đóng theo phương án mới là công bằng (người thu nhập như tôi đóng mức này là hợp lý). - HUMAN-TRU2]]</f>
        <v>2</v>
      </c>
      <c r="AR202">
        <f t="shared" si="96"/>
        <v>0.1111111111111111</v>
      </c>
      <c r="AS202">
        <f>step3_validation[[#This Row],[AI_TRU3]]</f>
        <v>8</v>
      </c>
      <c r="AT202">
        <f t="shared" si="97"/>
        <v>0.77777777777777779</v>
      </c>
      <c r="AU202">
        <f>survey_responses[[#This Row],[Tôi tin tưởng số tiền thuế tôi đóng sẽ được Nhà nước sử dụng hiệu quả để cải thiện dịch vụ công (y tế, đường xá...). - HUMAN-TRU3]]</f>
        <v>2</v>
      </c>
      <c r="AV202">
        <f t="shared" si="98"/>
        <v>0.1111111111111111</v>
      </c>
      <c r="AW202">
        <f>step3_validation[[#This Row],[AI_TRU4]]</f>
        <v>7</v>
      </c>
      <c r="AX202">
        <f t="shared" si="99"/>
        <v>0.66666666666666663</v>
      </c>
      <c r="AY202">
        <f>survey_responses[[#This Row],[Tôi thấy Nhà nước đã giải thích rõ ràng, minh bạch về lý do và mục tiêu của việc sửa đổi thuế lần này. - HUMAN-TRU4]]</f>
        <v>5</v>
      </c>
      <c r="AZ202">
        <f t="shared" si="100"/>
        <v>0.44444444444444442</v>
      </c>
      <c r="BA202" s="32">
        <f t="shared" si="101"/>
        <v>0.80555555555555547</v>
      </c>
      <c r="BB202" s="32">
        <f t="shared" si="102"/>
        <v>0.25</v>
      </c>
      <c r="BC202" s="7">
        <f t="shared" si="103"/>
        <v>0.80555555555555547</v>
      </c>
      <c r="BD202" s="7">
        <f t="shared" si="104"/>
        <v>0.30555555555555552</v>
      </c>
      <c r="BE202">
        <f>step3_validation[[#This Row],[AI_OUT1]]</f>
        <v>9</v>
      </c>
      <c r="BF202">
        <f t="shared" si="105"/>
        <v>0.88888888888888884</v>
      </c>
      <c r="BG202">
        <f>survey_responses[[#This Row],[Sau khi xem xét các quyền lợi và nghĩa vụ, bạn có ủng hộ và tuân thủ chính sách mới hiện nay? - HUMAN-OUT1]]</f>
        <v>4</v>
      </c>
      <c r="BH202">
        <f t="shared" si="106"/>
        <v>0.33333333333333331</v>
      </c>
      <c r="BI202" s="32">
        <f t="shared" si="107"/>
        <v>5</v>
      </c>
    </row>
    <row r="203" spans="1:61" x14ac:dyDescent="0.45">
      <c r="A203" s="30">
        <f>step3_validation[[#This Row],[Persona_ID]]</f>
        <v>202</v>
      </c>
      <c r="B203" s="31">
        <f>step3_validation[[#This Row],[Used_Seed]]</f>
        <v>202</v>
      </c>
      <c r="C203" t="str">
        <f>step3_validation[[#This Row],[Gender]]</f>
        <v>Nữ</v>
      </c>
      <c r="D203" t="str">
        <f>survey_responses[[#This Row],[Giới tính của bạn:]]</f>
        <v>Nữ</v>
      </c>
      <c r="E203" t="str">
        <f>step3_validation[[#This Row],[Age_Group]]</f>
        <v>40 - 49</v>
      </c>
      <c r="F203" t="str">
        <f>survey_responses[[#This Row],[Độ tuổi của bạn:]]</f>
        <v>40 - 49</v>
      </c>
      <c r="G203" t="str">
        <f>step3_validation[[#This Row],[Region]]</f>
        <v>Thành thị</v>
      </c>
      <c r="H203" t="str">
        <f>survey_responses[[#This Row],[Khu vực bạn đang sinh sống:]]</f>
        <v>Thành thị</v>
      </c>
      <c r="I203" t="str">
        <f>step3_validation[[#This Row],[Education]]</f>
        <v>Đại học</v>
      </c>
      <c r="J203" t="str">
        <f>survey_responses[[#This Row],[Trình độ học vấn cao nhất:]]</f>
        <v>Đại học</v>
      </c>
      <c r="K203" t="str">
        <f>step3_validation[[#This Row],[Employment]]</f>
        <v>Chính thức</v>
      </c>
      <c r="L203" t="str">
        <f>survey_responses[[#This Row],[Tình trạng việc làm chính:]]</f>
        <v>Khu vực chính thức (Có Hợp đồng lao động, đóng BHXH)</v>
      </c>
      <c r="M203">
        <f>step3_validation[[#This Row],[Income_Mil]]</f>
        <v>80.734912497636017</v>
      </c>
      <c r="N203" t="str">
        <f>survey_responses[[#This Row],[Thu nhập bình quân tháng theo Hợp đồng lao động của bạn là bao nhiêu? (Vui lòng điền tổng thu nhập trước khi khấu trừ các loại Bảo hiểm (BHXH, BHYT, BHTN) và Thuế TNCN)]]</f>
        <v>Từ 70 - 102 triệu VNĐ</v>
      </c>
      <c r="O203">
        <f>step3_validation[[#This Row],[Dependents]]</f>
        <v>4</v>
      </c>
      <c r="P203" t="str">
        <f>survey_responses[[#This Row],[Số người phụ thuộc (con nhỏ, cha mẹ già...) đủ điều kiện giảm trừ gia cảnh:]]</f>
        <v>4 người trở lên</v>
      </c>
      <c r="Q203">
        <f>step3_validation[[#This Row],[AI_ENF1]]</f>
        <v>5</v>
      </c>
      <c r="R203">
        <f t="shared" si="81"/>
        <v>0.44444444444444442</v>
      </c>
      <c r="S203">
        <f>survey_responses[[#This Row],[Tôi tin rằng với các quy định quản lý thuế hiện nay, hành vi gian lận hoặc trốn thuế sẽ dễ dàng bị phát hiện và xử lý nghiêm. - HUMAN-ENF1]]</f>
        <v>6</v>
      </c>
      <c r="T203">
        <f t="shared" si="82"/>
        <v>0.55555555555555558</v>
      </c>
      <c r="U203">
        <f>step3_validation[[#This Row],[AI_ENF2]]</f>
        <v>6</v>
      </c>
      <c r="V203">
        <f t="shared" si="83"/>
        <v>0.55555555555555558</v>
      </c>
      <c r="W203">
        <f>survey_responses[[#This Row],[Tôi tin rằng Nhà nước, cơ quan thuế có đủ khả năng và công nghệ để phát hiện, xử lý nghiêm các hành vi trốn thuế. - HUMAN-ENF2]]</f>
        <v>8</v>
      </c>
      <c r="X203">
        <f t="shared" si="84"/>
        <v>0.77777777777777779</v>
      </c>
      <c r="Y203" s="32">
        <f t="shared" si="85"/>
        <v>0.5</v>
      </c>
      <c r="Z203" s="32">
        <f t="shared" si="86"/>
        <v>0.66666666666666674</v>
      </c>
      <c r="AA203">
        <f>step3_validation[[#This Row],[AI_FAC1]]</f>
        <v>9</v>
      </c>
      <c r="AB203">
        <f t="shared" si="87"/>
        <v>0.88888888888888884</v>
      </c>
      <c r="AC203">
        <f>survey_responses[[#This Row],[Các thủ tục khai báo thuế VÀ/HOẶC quy trình làm việc với cơ quan thuế đơn giản, tiện lợi, nhanh chóng hơn so với trước đây. - HUMAN-FAC1]]</f>
        <v>8</v>
      </c>
      <c r="AD203">
        <f t="shared" si="88"/>
        <v>0.77777777777777779</v>
      </c>
      <c r="AE203">
        <f>step3_validation[[#This Row],[AI_FAC2]]</f>
        <v>8</v>
      </c>
      <c r="AF203">
        <f t="shared" si="89"/>
        <v>0.77777777777777779</v>
      </c>
      <c r="AG203">
        <f>survey_responses[[#This Row],[So với trước đây, tôi thấy cách tính thuế và các bậc thuế trong phương án mới đơn giản, dễ hiểu và dễ thực hiện hơn. - HUMAN-FAC2]]</f>
        <v>9</v>
      </c>
      <c r="AH203">
        <f t="shared" si="90"/>
        <v>0.88888888888888884</v>
      </c>
      <c r="AI203" s="32">
        <f t="shared" si="91"/>
        <v>0.83333333333333326</v>
      </c>
      <c r="AJ203" s="32">
        <f t="shared" si="92"/>
        <v>0.83333333333333326</v>
      </c>
      <c r="AK203">
        <f>step3_validation[[#This Row],[AI_TRU1]]</f>
        <v>9</v>
      </c>
      <c r="AL203">
        <f t="shared" si="93"/>
        <v>0.88888888888888884</v>
      </c>
      <c r="AM203">
        <f>survey_responses[[#This Row],[Tôi tin rằng Nhà nước, cơ quan thuế sẽ thực thi chính sách mới một cách khách quan, công tâm và đối xử bình đẳng với mọi người nộp thuế.  - HUMAN-TRU1]]</f>
        <v>7</v>
      </c>
      <c r="AN203">
        <f t="shared" si="94"/>
        <v>0.66666666666666663</v>
      </c>
      <c r="AO203">
        <f>step3_validation[[#This Row],[AI_TRU2]]</f>
        <v>8</v>
      </c>
      <c r="AP203">
        <f t="shared" si="95"/>
        <v>0.77777777777777779</v>
      </c>
      <c r="AQ203">
        <f>survey_responses[[#This Row],[Tôi thấy mức thuế tôi phải đóng theo phương án mới là công bằng (người thu nhập như tôi đóng mức này là hợp lý). - HUMAN-TRU2]]</f>
        <v>7</v>
      </c>
      <c r="AR203">
        <f t="shared" si="96"/>
        <v>0.66666666666666663</v>
      </c>
      <c r="AS203">
        <f>step3_validation[[#This Row],[AI_TRU3]]</f>
        <v>9</v>
      </c>
      <c r="AT203">
        <f t="shared" si="97"/>
        <v>0.88888888888888884</v>
      </c>
      <c r="AU203">
        <f>survey_responses[[#This Row],[Tôi tin tưởng số tiền thuế tôi đóng sẽ được Nhà nước sử dụng hiệu quả để cải thiện dịch vụ công (y tế, đường xá...). - HUMAN-TRU3]]</f>
        <v>7</v>
      </c>
      <c r="AV203">
        <f t="shared" si="98"/>
        <v>0.66666666666666663</v>
      </c>
      <c r="AW203">
        <f>step3_validation[[#This Row],[AI_TRU4]]</f>
        <v>8</v>
      </c>
      <c r="AX203">
        <f t="shared" si="99"/>
        <v>0.77777777777777779</v>
      </c>
      <c r="AY203">
        <f>survey_responses[[#This Row],[Tôi thấy Nhà nước đã giải thích rõ ràng, minh bạch về lý do và mục tiêu của việc sửa đổi thuế lần này. - HUMAN-TRU4]]</f>
        <v>8</v>
      </c>
      <c r="AZ203">
        <f t="shared" si="100"/>
        <v>0.77777777777777779</v>
      </c>
      <c r="BA203" s="32">
        <f t="shared" si="101"/>
        <v>0.83333333333333326</v>
      </c>
      <c r="BB203" s="32">
        <f t="shared" si="102"/>
        <v>0.69444444444444442</v>
      </c>
      <c r="BC203" s="7">
        <f t="shared" si="103"/>
        <v>0.72222222222222221</v>
      </c>
      <c r="BD203" s="7">
        <f t="shared" si="104"/>
        <v>0.73148148148148151</v>
      </c>
      <c r="BE203">
        <f>step3_validation[[#This Row],[AI_OUT1]]</f>
        <v>9</v>
      </c>
      <c r="BF203">
        <f t="shared" si="105"/>
        <v>0.88888888888888884</v>
      </c>
      <c r="BG203">
        <f>survey_responses[[#This Row],[Sau khi xem xét các quyền lợi và nghĩa vụ, bạn có ủng hộ và tuân thủ chính sách mới hiện nay? - HUMAN-OUT1]]</f>
        <v>8</v>
      </c>
      <c r="BH203">
        <f t="shared" si="106"/>
        <v>0.77777777777777779</v>
      </c>
      <c r="BI203" s="32">
        <f t="shared" si="107"/>
        <v>1</v>
      </c>
    </row>
    <row r="204" spans="1:61" x14ac:dyDescent="0.45">
      <c r="A204" s="30">
        <f>step3_validation[[#This Row],[Persona_ID]]</f>
        <v>203</v>
      </c>
      <c r="B204" s="31">
        <f>step3_validation[[#This Row],[Used_Seed]]</f>
        <v>203</v>
      </c>
      <c r="C204" t="str">
        <f>step3_validation[[#This Row],[Gender]]</f>
        <v>Nữ</v>
      </c>
      <c r="D204" t="str">
        <f>survey_responses[[#This Row],[Giới tính của bạn:]]</f>
        <v>Nữ</v>
      </c>
      <c r="E204" t="str">
        <f>step3_validation[[#This Row],[Age_Group]]</f>
        <v>50 - 54</v>
      </c>
      <c r="F204" t="str">
        <f>survey_responses[[#This Row],[Độ tuổi của bạn:]]</f>
        <v>50 - 54</v>
      </c>
      <c r="G204" t="str">
        <f>step3_validation[[#This Row],[Region]]</f>
        <v>Thành thị</v>
      </c>
      <c r="H204" t="str">
        <f>survey_responses[[#This Row],[Khu vực bạn đang sinh sống:]]</f>
        <v>Thành thị</v>
      </c>
      <c r="I204" t="str">
        <f>step3_validation[[#This Row],[Education]]</f>
        <v>Sau Đại học</v>
      </c>
      <c r="J204" t="str">
        <f>survey_responses[[#This Row],[Trình độ học vấn cao nhất:]]</f>
        <v>Sau Đại học</v>
      </c>
      <c r="K204" t="str">
        <f>step3_validation[[#This Row],[Employment]]</f>
        <v>Chính thức</v>
      </c>
      <c r="L204" t="str">
        <f>survey_responses[[#This Row],[Tình trạng việc làm chính:]]</f>
        <v>Khu vực chính thức (Có Hợp đồng lao động, đóng BHXH)</v>
      </c>
      <c r="M204">
        <f>step3_validation[[#This Row],[Income_Mil]]</f>
        <v>217.57957131486538</v>
      </c>
      <c r="N204" t="str">
        <f>survey_responses[[#This Row],[Thu nhập bình quân tháng theo Hợp đồng lao động của bạn là bao nhiêu? (Vui lòng điền tổng thu nhập trước khi khấu trừ các loại Bảo hiểm (BHXH, BHYT, BHTN) và Thuế TNCN)]]</f>
        <v>Trên 102 triệu VNĐ</v>
      </c>
      <c r="O204">
        <f>step3_validation[[#This Row],[Dependents]]</f>
        <v>3</v>
      </c>
      <c r="P204" t="str">
        <f>survey_responses[[#This Row],[Số người phụ thuộc (con nhỏ, cha mẹ già...) đủ điều kiện giảm trừ gia cảnh:]]</f>
        <v>3 người</v>
      </c>
      <c r="Q204">
        <f>step3_validation[[#This Row],[AI_ENF1]]</f>
        <v>7</v>
      </c>
      <c r="R204">
        <f t="shared" si="81"/>
        <v>0.66666666666666663</v>
      </c>
      <c r="S204">
        <f>survey_responses[[#This Row],[Tôi tin rằng với các quy định quản lý thuế hiện nay, hành vi gian lận hoặc trốn thuế sẽ dễ dàng bị phát hiện và xử lý nghiêm. - HUMAN-ENF1]]</f>
        <v>5</v>
      </c>
      <c r="T204">
        <f t="shared" si="82"/>
        <v>0.44444444444444442</v>
      </c>
      <c r="U204">
        <f>step3_validation[[#This Row],[AI_ENF2]]</f>
        <v>6</v>
      </c>
      <c r="V204">
        <f t="shared" si="83"/>
        <v>0.55555555555555558</v>
      </c>
      <c r="W204">
        <f>survey_responses[[#This Row],[Tôi tin rằng Nhà nước, cơ quan thuế có đủ khả năng và công nghệ để phát hiện, xử lý nghiêm các hành vi trốn thuế. - HUMAN-ENF2]]</f>
        <v>5</v>
      </c>
      <c r="X204">
        <f t="shared" si="84"/>
        <v>0.44444444444444442</v>
      </c>
      <c r="Y204" s="32">
        <f t="shared" si="85"/>
        <v>0.61111111111111116</v>
      </c>
      <c r="Z204" s="32">
        <f t="shared" si="86"/>
        <v>0.44444444444444442</v>
      </c>
      <c r="AA204">
        <f>step3_validation[[#This Row],[AI_FAC1]]</f>
        <v>8</v>
      </c>
      <c r="AB204">
        <f t="shared" si="87"/>
        <v>0.77777777777777779</v>
      </c>
      <c r="AC204">
        <f>survey_responses[[#This Row],[Các thủ tục khai báo thuế VÀ/HOẶC quy trình làm việc với cơ quan thuế đơn giản, tiện lợi, nhanh chóng hơn so với trước đây. - HUMAN-FAC1]]</f>
        <v>5</v>
      </c>
      <c r="AD204">
        <f t="shared" si="88"/>
        <v>0.44444444444444442</v>
      </c>
      <c r="AE204">
        <f>step3_validation[[#This Row],[AI_FAC2]]</f>
        <v>9</v>
      </c>
      <c r="AF204">
        <f t="shared" si="89"/>
        <v>0.88888888888888884</v>
      </c>
      <c r="AG204">
        <f>survey_responses[[#This Row],[So với trước đây, tôi thấy cách tính thuế và các bậc thuế trong phương án mới đơn giản, dễ hiểu và dễ thực hiện hơn. - HUMAN-FAC2]]</f>
        <v>5</v>
      </c>
      <c r="AH204">
        <f t="shared" si="90"/>
        <v>0.44444444444444442</v>
      </c>
      <c r="AI204" s="32">
        <f t="shared" si="91"/>
        <v>0.83333333333333326</v>
      </c>
      <c r="AJ204" s="32">
        <f t="shared" si="92"/>
        <v>0.44444444444444442</v>
      </c>
      <c r="AK204">
        <f>step3_validation[[#This Row],[AI_TRU1]]</f>
        <v>7</v>
      </c>
      <c r="AL204">
        <f t="shared" si="93"/>
        <v>0.66666666666666663</v>
      </c>
      <c r="AM204">
        <f>survey_responses[[#This Row],[Tôi tin rằng Nhà nước, cơ quan thuế sẽ thực thi chính sách mới một cách khách quan, công tâm và đối xử bình đẳng với mọi người nộp thuế.  - HUMAN-TRU1]]</f>
        <v>5</v>
      </c>
      <c r="AN204">
        <f t="shared" si="94"/>
        <v>0.44444444444444442</v>
      </c>
      <c r="AO204">
        <f>step3_validation[[#This Row],[AI_TRU2]]</f>
        <v>8</v>
      </c>
      <c r="AP204">
        <f t="shared" si="95"/>
        <v>0.77777777777777779</v>
      </c>
      <c r="AQ204">
        <f>survey_responses[[#This Row],[Tôi thấy mức thuế tôi phải đóng theo phương án mới là công bằng (người thu nhập như tôi đóng mức này là hợp lý). - HUMAN-TRU2]]</f>
        <v>5</v>
      </c>
      <c r="AR204">
        <f t="shared" si="96"/>
        <v>0.44444444444444442</v>
      </c>
      <c r="AS204">
        <f>step3_validation[[#This Row],[AI_TRU3]]</f>
        <v>7</v>
      </c>
      <c r="AT204">
        <f t="shared" si="97"/>
        <v>0.66666666666666663</v>
      </c>
      <c r="AU204">
        <f>survey_responses[[#This Row],[Tôi tin tưởng số tiền thuế tôi đóng sẽ được Nhà nước sử dụng hiệu quả để cải thiện dịch vụ công (y tế, đường xá...). - HUMAN-TRU3]]</f>
        <v>5</v>
      </c>
      <c r="AV204">
        <f t="shared" si="98"/>
        <v>0.44444444444444442</v>
      </c>
      <c r="AW204">
        <f>step3_validation[[#This Row],[AI_TRU4]]</f>
        <v>6</v>
      </c>
      <c r="AX204">
        <f t="shared" si="99"/>
        <v>0.55555555555555558</v>
      </c>
      <c r="AY204">
        <f>survey_responses[[#This Row],[Tôi thấy Nhà nước đã giải thích rõ ràng, minh bạch về lý do và mục tiêu của việc sửa đổi thuế lần này. - HUMAN-TRU4]]</f>
        <v>5</v>
      </c>
      <c r="AZ204">
        <f t="shared" si="100"/>
        <v>0.44444444444444442</v>
      </c>
      <c r="BA204" s="32">
        <f t="shared" si="101"/>
        <v>0.66666666666666674</v>
      </c>
      <c r="BB204" s="32">
        <f t="shared" si="102"/>
        <v>0.44444444444444442</v>
      </c>
      <c r="BC204" s="7">
        <f t="shared" si="103"/>
        <v>0.70370370370370372</v>
      </c>
      <c r="BD204" s="7">
        <f t="shared" si="104"/>
        <v>0.44444444444444442</v>
      </c>
      <c r="BE204">
        <f>step3_validation[[#This Row],[AI_OUT1]]</f>
        <v>9</v>
      </c>
      <c r="BF204">
        <f t="shared" si="105"/>
        <v>0.88888888888888884</v>
      </c>
      <c r="BG204">
        <f>survey_responses[[#This Row],[Sau khi xem xét các quyền lợi và nghĩa vụ, bạn có ủng hộ và tuân thủ chính sách mới hiện nay? - HUMAN-OUT1]]</f>
        <v>5</v>
      </c>
      <c r="BH204">
        <f t="shared" si="106"/>
        <v>0.44444444444444442</v>
      </c>
      <c r="BI204" s="32">
        <f t="shared" si="107"/>
        <v>4</v>
      </c>
    </row>
    <row r="205" spans="1:61" x14ac:dyDescent="0.45">
      <c r="A205" s="30">
        <f>step3_validation[[#This Row],[Persona_ID]]</f>
        <v>204</v>
      </c>
      <c r="B205" s="31">
        <f>step3_validation[[#This Row],[Used_Seed]]</f>
        <v>204</v>
      </c>
      <c r="C205" t="str">
        <f>step3_validation[[#This Row],[Gender]]</f>
        <v>Nữ</v>
      </c>
      <c r="D205" t="str">
        <f>survey_responses[[#This Row],[Giới tính của bạn:]]</f>
        <v>Nữ</v>
      </c>
      <c r="E205" t="str">
        <f>step3_validation[[#This Row],[Age_Group]]</f>
        <v>30 - 39</v>
      </c>
      <c r="F205" t="str">
        <f>survey_responses[[#This Row],[Độ tuổi của bạn:]]</f>
        <v>30 - 39</v>
      </c>
      <c r="G205" t="str">
        <f>step3_validation[[#This Row],[Region]]</f>
        <v>Thành thị</v>
      </c>
      <c r="H205" t="str">
        <f>survey_responses[[#This Row],[Khu vực bạn đang sinh sống:]]</f>
        <v>Thành thị</v>
      </c>
      <c r="I205" t="str">
        <f>step3_validation[[#This Row],[Education]]</f>
        <v>Đại học</v>
      </c>
      <c r="J205" t="str">
        <f>survey_responses[[#This Row],[Trình độ học vấn cao nhất:]]</f>
        <v>Đại học</v>
      </c>
      <c r="K205" t="str">
        <f>step3_validation[[#This Row],[Employment]]</f>
        <v>Chính thức</v>
      </c>
      <c r="L205" t="str">
        <f>survey_responses[[#This Row],[Tình trạng việc làm chính:]]</f>
        <v>Khu vực chính thức (Có Hợp đồng lao động, đóng BHXH)</v>
      </c>
      <c r="M205">
        <f>step3_validation[[#This Row],[Income_Mil]]</f>
        <v>40.046526391087738</v>
      </c>
      <c r="N205" t="str">
        <f>survey_responses[[#This Row],[Thu nhập bình quân tháng theo Hợp đồng lao động của bạn là bao nhiêu? (Vui lòng điền tổng thu nhập trước khi khấu trừ các loại Bảo hiểm (BHXH, BHYT, BHTN) và Thuế TNCN)]]</f>
        <v>Từ 32 - 48 triệu VNĐ</v>
      </c>
      <c r="O205">
        <f>step3_validation[[#This Row],[Dependents]]</f>
        <v>1</v>
      </c>
      <c r="P205" t="str">
        <f>survey_responses[[#This Row],[Số người phụ thuộc (con nhỏ, cha mẹ già...) đủ điều kiện giảm trừ gia cảnh:]]</f>
        <v>1 người</v>
      </c>
      <c r="Q205">
        <f>step3_validation[[#This Row],[AI_ENF1]]</f>
        <v>9</v>
      </c>
      <c r="R205">
        <f t="shared" si="81"/>
        <v>0.88888888888888884</v>
      </c>
      <c r="S205">
        <f>survey_responses[[#This Row],[Tôi tin rằng với các quy định quản lý thuế hiện nay, hành vi gian lận hoặc trốn thuế sẽ dễ dàng bị phát hiện và xử lý nghiêm. - HUMAN-ENF1]]</f>
        <v>7</v>
      </c>
      <c r="T205">
        <f t="shared" si="82"/>
        <v>0.66666666666666663</v>
      </c>
      <c r="U205">
        <f>step3_validation[[#This Row],[AI_ENF2]]</f>
        <v>8</v>
      </c>
      <c r="V205">
        <f t="shared" si="83"/>
        <v>0.77777777777777779</v>
      </c>
      <c r="W205">
        <f>survey_responses[[#This Row],[Tôi tin rằng Nhà nước, cơ quan thuế có đủ khả năng và công nghệ để phát hiện, xử lý nghiêm các hành vi trốn thuế. - HUMAN-ENF2]]</f>
        <v>7</v>
      </c>
      <c r="X205">
        <f t="shared" si="84"/>
        <v>0.66666666666666663</v>
      </c>
      <c r="Y205" s="32">
        <f t="shared" si="85"/>
        <v>0.83333333333333326</v>
      </c>
      <c r="Z205" s="32">
        <f t="shared" si="86"/>
        <v>0.66666666666666663</v>
      </c>
      <c r="AA205">
        <f>step3_validation[[#This Row],[AI_FAC1]]</f>
        <v>9</v>
      </c>
      <c r="AB205">
        <f t="shared" si="87"/>
        <v>0.88888888888888884</v>
      </c>
      <c r="AC205">
        <f>survey_responses[[#This Row],[Các thủ tục khai báo thuế VÀ/HOẶC quy trình làm việc với cơ quan thuế đơn giản, tiện lợi, nhanh chóng hơn so với trước đây. - HUMAN-FAC1]]</f>
        <v>7</v>
      </c>
      <c r="AD205">
        <f t="shared" si="88"/>
        <v>0.66666666666666663</v>
      </c>
      <c r="AE205">
        <f>step3_validation[[#This Row],[AI_FAC2]]</f>
        <v>8</v>
      </c>
      <c r="AF205">
        <f t="shared" si="89"/>
        <v>0.77777777777777779</v>
      </c>
      <c r="AG205">
        <f>survey_responses[[#This Row],[So với trước đây, tôi thấy cách tính thuế và các bậc thuế trong phương án mới đơn giản, dễ hiểu và dễ thực hiện hơn. - HUMAN-FAC2]]</f>
        <v>8</v>
      </c>
      <c r="AH205">
        <f t="shared" si="90"/>
        <v>0.77777777777777779</v>
      </c>
      <c r="AI205" s="32">
        <f t="shared" si="91"/>
        <v>0.83333333333333326</v>
      </c>
      <c r="AJ205" s="32">
        <f t="shared" si="92"/>
        <v>0.72222222222222221</v>
      </c>
      <c r="AK205">
        <f>step3_validation[[#This Row],[AI_TRU1]]</f>
        <v>9</v>
      </c>
      <c r="AL205">
        <f t="shared" si="93"/>
        <v>0.88888888888888884</v>
      </c>
      <c r="AM205">
        <f>survey_responses[[#This Row],[Tôi tin rằng Nhà nước, cơ quan thuế sẽ thực thi chính sách mới một cách khách quan, công tâm và đối xử bình đẳng với mọi người nộp thuế.  - HUMAN-TRU1]]</f>
        <v>7</v>
      </c>
      <c r="AN205">
        <f t="shared" si="94"/>
        <v>0.66666666666666663</v>
      </c>
      <c r="AO205">
        <f>step3_validation[[#This Row],[AI_TRU2]]</f>
        <v>8</v>
      </c>
      <c r="AP205">
        <f t="shared" si="95"/>
        <v>0.77777777777777779</v>
      </c>
      <c r="AQ205">
        <f>survey_responses[[#This Row],[Tôi thấy mức thuế tôi phải đóng theo phương án mới là công bằng (người thu nhập như tôi đóng mức này là hợp lý). - HUMAN-TRU2]]</f>
        <v>7</v>
      </c>
      <c r="AR205">
        <f t="shared" si="96"/>
        <v>0.66666666666666663</v>
      </c>
      <c r="AS205">
        <f>step3_validation[[#This Row],[AI_TRU3]]</f>
        <v>9</v>
      </c>
      <c r="AT205">
        <f t="shared" si="97"/>
        <v>0.88888888888888884</v>
      </c>
      <c r="AU205">
        <f>survey_responses[[#This Row],[Tôi tin tưởng số tiền thuế tôi đóng sẽ được Nhà nước sử dụng hiệu quả để cải thiện dịch vụ công (y tế, đường xá...). - HUMAN-TRU3]]</f>
        <v>7</v>
      </c>
      <c r="AV205">
        <f t="shared" si="98"/>
        <v>0.66666666666666663</v>
      </c>
      <c r="AW205">
        <f>step3_validation[[#This Row],[AI_TRU4]]</f>
        <v>8</v>
      </c>
      <c r="AX205">
        <f t="shared" si="99"/>
        <v>0.77777777777777779</v>
      </c>
      <c r="AY205">
        <f>survey_responses[[#This Row],[Tôi thấy Nhà nước đã giải thích rõ ràng, minh bạch về lý do và mục tiêu của việc sửa đổi thuế lần này. - HUMAN-TRU4]]</f>
        <v>7</v>
      </c>
      <c r="AZ205">
        <f t="shared" si="100"/>
        <v>0.66666666666666663</v>
      </c>
      <c r="BA205" s="32">
        <f t="shared" si="101"/>
        <v>0.83333333333333326</v>
      </c>
      <c r="BB205" s="32">
        <f t="shared" si="102"/>
        <v>0.66666666666666663</v>
      </c>
      <c r="BC205" s="7">
        <f t="shared" si="103"/>
        <v>0.83333333333333337</v>
      </c>
      <c r="BD205" s="7">
        <f t="shared" si="104"/>
        <v>0.68518518518518512</v>
      </c>
      <c r="BE205">
        <f>step3_validation[[#This Row],[AI_OUT1]]</f>
        <v>9</v>
      </c>
      <c r="BF205">
        <f t="shared" si="105"/>
        <v>0.88888888888888884</v>
      </c>
      <c r="BG205">
        <f>survey_responses[[#This Row],[Sau khi xem xét các quyền lợi và nghĩa vụ, bạn có ủng hộ và tuân thủ chính sách mới hiện nay? - HUMAN-OUT1]]</f>
        <v>7</v>
      </c>
      <c r="BH205">
        <f t="shared" si="106"/>
        <v>0.66666666666666663</v>
      </c>
      <c r="BI205" s="32">
        <f t="shared" si="107"/>
        <v>2</v>
      </c>
    </row>
    <row r="206" spans="1:61" x14ac:dyDescent="0.45">
      <c r="A206" s="30">
        <f>step3_validation[[#This Row],[Persona_ID]]</f>
        <v>205</v>
      </c>
      <c r="B206" s="31">
        <f>step3_validation[[#This Row],[Used_Seed]]</f>
        <v>205</v>
      </c>
      <c r="C206" t="str">
        <f>step3_validation[[#This Row],[Gender]]</f>
        <v>Nữ</v>
      </c>
      <c r="D206" t="str">
        <f>survey_responses[[#This Row],[Giới tính của bạn:]]</f>
        <v>Nữ</v>
      </c>
      <c r="E206" t="str">
        <f>step3_validation[[#This Row],[Age_Group]]</f>
        <v>30 - 39</v>
      </c>
      <c r="F206" t="str">
        <f>survey_responses[[#This Row],[Độ tuổi của bạn:]]</f>
        <v>30 - 39</v>
      </c>
      <c r="G206" t="str">
        <f>step3_validation[[#This Row],[Region]]</f>
        <v>Thành thị</v>
      </c>
      <c r="H206" t="str">
        <f>survey_responses[[#This Row],[Khu vực bạn đang sinh sống:]]</f>
        <v>Thành thị</v>
      </c>
      <c r="I206" t="str">
        <f>step3_validation[[#This Row],[Education]]</f>
        <v>Sau Đại học</v>
      </c>
      <c r="J206" t="str">
        <f>survey_responses[[#This Row],[Trình độ học vấn cao nhất:]]</f>
        <v>Sau Đại học</v>
      </c>
      <c r="K206" t="str">
        <f>step3_validation[[#This Row],[Employment]]</f>
        <v>Chính thức</v>
      </c>
      <c r="L206" t="str">
        <f>survey_responses[[#This Row],[Tình trạng việc làm chính:]]</f>
        <v>Khu vực chính thức (Có Hợp đồng lao động, đóng BHXH)</v>
      </c>
      <c r="M206">
        <f>step3_validation[[#This Row],[Income_Mil]]</f>
        <v>30.265484920775709</v>
      </c>
      <c r="N206" t="str">
        <f>survey_responses[[#This Row],[Thu nhập bình quân tháng theo Hợp đồng lao động của bạn là bao nhiêu? (Vui lòng điền tổng thu nhập trước khi khấu trừ các loại Bảo hiểm (BHXH, BHYT, BHTN) và Thuế TNCN)]]</f>
        <v>Từ 23 - 32 triệu VNĐ</v>
      </c>
      <c r="O206">
        <f>step3_validation[[#This Row],[Dependents]]</f>
        <v>0</v>
      </c>
      <c r="P206" t="str">
        <f>survey_responses[[#This Row],[Số người phụ thuộc (con nhỏ, cha mẹ già...) đủ điều kiện giảm trừ gia cảnh:]]</f>
        <v>0 người</v>
      </c>
      <c r="Q206">
        <f>step3_validation[[#This Row],[AI_ENF1]]</f>
        <v>4</v>
      </c>
      <c r="R206">
        <f t="shared" si="81"/>
        <v>0.33333333333333331</v>
      </c>
      <c r="S206">
        <f>survey_responses[[#This Row],[Tôi tin rằng với các quy định quản lý thuế hiện nay, hành vi gian lận hoặc trốn thuế sẽ dễ dàng bị phát hiện và xử lý nghiêm. - HUMAN-ENF1]]</f>
        <v>3</v>
      </c>
      <c r="T206">
        <f t="shared" si="82"/>
        <v>0.22222222222222221</v>
      </c>
      <c r="U206">
        <f>step3_validation[[#This Row],[AI_ENF2]]</f>
        <v>5</v>
      </c>
      <c r="V206">
        <f t="shared" si="83"/>
        <v>0.44444444444444442</v>
      </c>
      <c r="W206">
        <f>survey_responses[[#This Row],[Tôi tin rằng Nhà nước, cơ quan thuế có đủ khả năng và công nghệ để phát hiện, xử lý nghiêm các hành vi trốn thuế. - HUMAN-ENF2]]</f>
        <v>1</v>
      </c>
      <c r="X206">
        <f t="shared" si="84"/>
        <v>0</v>
      </c>
      <c r="Y206" s="32">
        <f t="shared" si="85"/>
        <v>0.38888888888888884</v>
      </c>
      <c r="Z206" s="32">
        <f t="shared" si="86"/>
        <v>0.1111111111111111</v>
      </c>
      <c r="AA206">
        <f>step3_validation[[#This Row],[AI_FAC1]]</f>
        <v>6</v>
      </c>
      <c r="AB206">
        <f t="shared" si="87"/>
        <v>0.55555555555555558</v>
      </c>
      <c r="AC206">
        <f>survey_responses[[#This Row],[Các thủ tục khai báo thuế VÀ/HOẶC quy trình làm việc với cơ quan thuế đơn giản, tiện lợi, nhanh chóng hơn so với trước đây. - HUMAN-FAC1]]</f>
        <v>1</v>
      </c>
      <c r="AD206">
        <f t="shared" si="88"/>
        <v>0</v>
      </c>
      <c r="AE206">
        <f>step3_validation[[#This Row],[AI_FAC2]]</f>
        <v>8</v>
      </c>
      <c r="AF206">
        <f t="shared" si="89"/>
        <v>0.77777777777777779</v>
      </c>
      <c r="AG206">
        <f>survey_responses[[#This Row],[So với trước đây, tôi thấy cách tính thuế và các bậc thuế trong phương án mới đơn giản, dễ hiểu và dễ thực hiện hơn. - HUMAN-FAC2]]</f>
        <v>5</v>
      </c>
      <c r="AH206">
        <f t="shared" si="90"/>
        <v>0.44444444444444442</v>
      </c>
      <c r="AI206" s="32">
        <f t="shared" si="91"/>
        <v>0.66666666666666674</v>
      </c>
      <c r="AJ206" s="32">
        <f t="shared" si="92"/>
        <v>0.22222222222222221</v>
      </c>
      <c r="AK206">
        <f>step3_validation[[#This Row],[AI_TRU1]]</f>
        <v>7</v>
      </c>
      <c r="AL206">
        <f t="shared" si="93"/>
        <v>0.66666666666666663</v>
      </c>
      <c r="AM206">
        <f>survey_responses[[#This Row],[Tôi tin rằng Nhà nước, cơ quan thuế sẽ thực thi chính sách mới một cách khách quan, công tâm và đối xử bình đẳng với mọi người nộp thuế.  - HUMAN-TRU1]]</f>
        <v>1</v>
      </c>
      <c r="AN206">
        <f t="shared" si="94"/>
        <v>0</v>
      </c>
      <c r="AO206">
        <f>step3_validation[[#This Row],[AI_TRU2]]</f>
        <v>6</v>
      </c>
      <c r="AP206">
        <f t="shared" si="95"/>
        <v>0.55555555555555558</v>
      </c>
      <c r="AQ206">
        <f>survey_responses[[#This Row],[Tôi thấy mức thuế tôi phải đóng theo phương án mới là công bằng (người thu nhập như tôi đóng mức này là hợp lý). - HUMAN-TRU2]]</f>
        <v>1</v>
      </c>
      <c r="AR206">
        <f t="shared" si="96"/>
        <v>0</v>
      </c>
      <c r="AS206">
        <f>step3_validation[[#This Row],[AI_TRU3]]</f>
        <v>8</v>
      </c>
      <c r="AT206">
        <f t="shared" si="97"/>
        <v>0.77777777777777779</v>
      </c>
      <c r="AU206">
        <f>survey_responses[[#This Row],[Tôi tin tưởng số tiền thuế tôi đóng sẽ được Nhà nước sử dụng hiệu quả để cải thiện dịch vụ công (y tế, đường xá...). - HUMAN-TRU3]]</f>
        <v>1</v>
      </c>
      <c r="AV206">
        <f t="shared" si="98"/>
        <v>0</v>
      </c>
      <c r="AW206">
        <f>step3_validation[[#This Row],[AI_TRU4]]</f>
        <v>6</v>
      </c>
      <c r="AX206">
        <f t="shared" si="99"/>
        <v>0.55555555555555558</v>
      </c>
      <c r="AY206">
        <f>survey_responses[[#This Row],[Tôi thấy Nhà nước đã giải thích rõ ràng, minh bạch về lý do và mục tiêu của việc sửa đổi thuế lần này. - HUMAN-TRU4]]</f>
        <v>4</v>
      </c>
      <c r="AZ206">
        <f t="shared" si="100"/>
        <v>0.33333333333333331</v>
      </c>
      <c r="BA206" s="32">
        <f t="shared" si="101"/>
        <v>0.63888888888888884</v>
      </c>
      <c r="BB206" s="32">
        <f t="shared" si="102"/>
        <v>8.3333333333333329E-2</v>
      </c>
      <c r="BC206" s="7">
        <f t="shared" si="103"/>
        <v>0.56481481481481477</v>
      </c>
      <c r="BD206" s="7">
        <f t="shared" si="104"/>
        <v>0.13888888888888887</v>
      </c>
      <c r="BE206">
        <f>step3_validation[[#This Row],[AI_OUT1]]</f>
        <v>7</v>
      </c>
      <c r="BF206">
        <f t="shared" si="105"/>
        <v>0.66666666666666663</v>
      </c>
      <c r="BG206">
        <f>survey_responses[[#This Row],[Sau khi xem xét các quyền lợi và nghĩa vụ, bạn có ủng hộ và tuân thủ chính sách mới hiện nay? - HUMAN-OUT1]]</f>
        <v>5</v>
      </c>
      <c r="BH206">
        <f t="shared" si="106"/>
        <v>0.44444444444444442</v>
      </c>
      <c r="BI206" s="32">
        <f t="shared" si="107"/>
        <v>2</v>
      </c>
    </row>
    <row r="207" spans="1:61" x14ac:dyDescent="0.45">
      <c r="A207" s="30">
        <f>step3_validation[[#This Row],[Persona_ID]]</f>
        <v>206</v>
      </c>
      <c r="B207" s="31">
        <f>step3_validation[[#This Row],[Used_Seed]]</f>
        <v>206</v>
      </c>
      <c r="C207" t="str">
        <f>step3_validation[[#This Row],[Gender]]</f>
        <v>Nữ</v>
      </c>
      <c r="D207" t="str">
        <f>survey_responses[[#This Row],[Giới tính của bạn:]]</f>
        <v>Nữ</v>
      </c>
      <c r="E207" t="str">
        <f>step3_validation[[#This Row],[Age_Group]]</f>
        <v>40 - 49</v>
      </c>
      <c r="F207" t="str">
        <f>survey_responses[[#This Row],[Độ tuổi của bạn:]]</f>
        <v>40 - 49</v>
      </c>
      <c r="G207" t="str">
        <f>step3_validation[[#This Row],[Region]]</f>
        <v>Thành thị</v>
      </c>
      <c r="H207" t="str">
        <f>survey_responses[[#This Row],[Khu vực bạn đang sinh sống:]]</f>
        <v>Thành thị</v>
      </c>
      <c r="I207" t="str">
        <f>step3_validation[[#This Row],[Education]]</f>
        <v>Đại học</v>
      </c>
      <c r="J207" t="str">
        <f>survey_responses[[#This Row],[Trình độ học vấn cao nhất:]]</f>
        <v>Đại học</v>
      </c>
      <c r="K207" t="str">
        <f>step3_validation[[#This Row],[Employment]]</f>
        <v>Chính thức</v>
      </c>
      <c r="L207" t="str">
        <f>survey_responses[[#This Row],[Tình trạng việc làm chính:]]</f>
        <v>Khu vực chính thức (Có Hợp đồng lao động, đóng BHXH)</v>
      </c>
      <c r="M207">
        <f>step3_validation[[#This Row],[Income_Mil]]</f>
        <v>66.102197589177678</v>
      </c>
      <c r="N207" t="str">
        <f>survey_responses[[#This Row],[Thu nhập bình quân tháng theo Hợp đồng lao động của bạn là bao nhiêu? (Vui lòng điền tổng thu nhập trước khi khấu trừ các loại Bảo hiểm (BHXH, BHYT, BHTN) và Thuế TNCN)]]</f>
        <v>Từ 48 - 70 triệu VNĐ</v>
      </c>
      <c r="O207">
        <f>step3_validation[[#This Row],[Dependents]]</f>
        <v>1</v>
      </c>
      <c r="P207" t="str">
        <f>survey_responses[[#This Row],[Số người phụ thuộc (con nhỏ, cha mẹ già...) đủ điều kiện giảm trừ gia cảnh:]]</f>
        <v>1 người</v>
      </c>
      <c r="Q207">
        <f>step3_validation[[#This Row],[AI_ENF1]]</f>
        <v>2</v>
      </c>
      <c r="R207">
        <f t="shared" si="81"/>
        <v>0.1111111111111111</v>
      </c>
      <c r="S207">
        <f>survey_responses[[#This Row],[Tôi tin rằng với các quy định quản lý thuế hiện nay, hành vi gian lận hoặc trốn thuế sẽ dễ dàng bị phát hiện và xử lý nghiêm. - HUMAN-ENF1]]</f>
        <v>8</v>
      </c>
      <c r="T207">
        <f t="shared" si="82"/>
        <v>0.77777777777777779</v>
      </c>
      <c r="U207">
        <f>step3_validation[[#This Row],[AI_ENF2]]</f>
        <v>3</v>
      </c>
      <c r="V207">
        <f t="shared" si="83"/>
        <v>0.22222222222222221</v>
      </c>
      <c r="W207">
        <f>survey_responses[[#This Row],[Tôi tin rằng Nhà nước, cơ quan thuế có đủ khả năng và công nghệ để phát hiện, xử lý nghiêm các hành vi trốn thuế. - HUMAN-ENF2]]</f>
        <v>8</v>
      </c>
      <c r="X207">
        <f t="shared" si="84"/>
        <v>0.77777777777777779</v>
      </c>
      <c r="Y207" s="32">
        <f t="shared" si="85"/>
        <v>0.16666666666666666</v>
      </c>
      <c r="Z207" s="32">
        <f t="shared" si="86"/>
        <v>0.77777777777777779</v>
      </c>
      <c r="AA207">
        <f>step3_validation[[#This Row],[AI_FAC1]]</f>
        <v>9</v>
      </c>
      <c r="AB207">
        <f t="shared" si="87"/>
        <v>0.88888888888888884</v>
      </c>
      <c r="AC207">
        <f>survey_responses[[#This Row],[Các thủ tục khai báo thuế VÀ/HOẶC quy trình làm việc với cơ quan thuế đơn giản, tiện lợi, nhanh chóng hơn so với trước đây. - HUMAN-FAC1]]</f>
        <v>5</v>
      </c>
      <c r="AD207">
        <f t="shared" si="88"/>
        <v>0.44444444444444442</v>
      </c>
      <c r="AE207">
        <f>step3_validation[[#This Row],[AI_FAC2]]</f>
        <v>9</v>
      </c>
      <c r="AF207">
        <f t="shared" si="89"/>
        <v>0.88888888888888884</v>
      </c>
      <c r="AG207">
        <f>survey_responses[[#This Row],[So với trước đây, tôi thấy cách tính thuế và các bậc thuế trong phương án mới đơn giản, dễ hiểu và dễ thực hiện hơn. - HUMAN-FAC2]]</f>
        <v>7</v>
      </c>
      <c r="AH207">
        <f t="shared" si="90"/>
        <v>0.66666666666666663</v>
      </c>
      <c r="AI207" s="32">
        <f t="shared" si="91"/>
        <v>0.88888888888888884</v>
      </c>
      <c r="AJ207" s="32">
        <f t="shared" si="92"/>
        <v>0.55555555555555558</v>
      </c>
      <c r="AK207">
        <f>step3_validation[[#This Row],[AI_TRU1]]</f>
        <v>7</v>
      </c>
      <c r="AL207">
        <f t="shared" si="93"/>
        <v>0.66666666666666663</v>
      </c>
      <c r="AM207">
        <f>survey_responses[[#This Row],[Tôi tin rằng Nhà nước, cơ quan thuế sẽ thực thi chính sách mới một cách khách quan, công tâm và đối xử bình đẳng với mọi người nộp thuế.  - HUMAN-TRU1]]</f>
        <v>7</v>
      </c>
      <c r="AN207">
        <f t="shared" si="94"/>
        <v>0.66666666666666663</v>
      </c>
      <c r="AO207">
        <f>step3_validation[[#This Row],[AI_TRU2]]</f>
        <v>8</v>
      </c>
      <c r="AP207">
        <f t="shared" si="95"/>
        <v>0.77777777777777779</v>
      </c>
      <c r="AQ207">
        <f>survey_responses[[#This Row],[Tôi thấy mức thuế tôi phải đóng theo phương án mới là công bằng (người thu nhập như tôi đóng mức này là hợp lý). - HUMAN-TRU2]]</f>
        <v>6</v>
      </c>
      <c r="AR207">
        <f t="shared" si="96"/>
        <v>0.55555555555555558</v>
      </c>
      <c r="AS207">
        <f>step3_validation[[#This Row],[AI_TRU3]]</f>
        <v>6</v>
      </c>
      <c r="AT207">
        <f t="shared" si="97"/>
        <v>0.55555555555555558</v>
      </c>
      <c r="AU207">
        <f>survey_responses[[#This Row],[Tôi tin tưởng số tiền thuế tôi đóng sẽ được Nhà nước sử dụng hiệu quả để cải thiện dịch vụ công (y tế, đường xá...). - HUMAN-TRU3]]</f>
        <v>6</v>
      </c>
      <c r="AV207">
        <f t="shared" si="98"/>
        <v>0.55555555555555558</v>
      </c>
      <c r="AW207">
        <f>step3_validation[[#This Row],[AI_TRU4]]</f>
        <v>7</v>
      </c>
      <c r="AX207">
        <f t="shared" si="99"/>
        <v>0.66666666666666663</v>
      </c>
      <c r="AY207">
        <f>survey_responses[[#This Row],[Tôi thấy Nhà nước đã giải thích rõ ràng, minh bạch về lý do và mục tiêu của việc sửa đổi thuế lần này. - HUMAN-TRU4]]</f>
        <v>7</v>
      </c>
      <c r="AZ207">
        <f t="shared" si="100"/>
        <v>0.66666666666666663</v>
      </c>
      <c r="BA207" s="32">
        <f t="shared" si="101"/>
        <v>0.66666666666666663</v>
      </c>
      <c r="BB207" s="32">
        <f t="shared" si="102"/>
        <v>0.61111111111111116</v>
      </c>
      <c r="BC207" s="7">
        <f t="shared" si="103"/>
        <v>0.57407407407407407</v>
      </c>
      <c r="BD207" s="7">
        <f t="shared" si="104"/>
        <v>0.64814814814814825</v>
      </c>
      <c r="BE207">
        <f>step3_validation[[#This Row],[AI_OUT1]]</f>
        <v>9</v>
      </c>
      <c r="BF207">
        <f t="shared" si="105"/>
        <v>0.88888888888888884</v>
      </c>
      <c r="BG207">
        <f>survey_responses[[#This Row],[Sau khi xem xét các quyền lợi và nghĩa vụ, bạn có ủng hộ và tuân thủ chính sách mới hiện nay? - HUMAN-OUT1]]</f>
        <v>7</v>
      </c>
      <c r="BH207">
        <f t="shared" si="106"/>
        <v>0.66666666666666663</v>
      </c>
      <c r="BI207" s="32">
        <f t="shared" si="107"/>
        <v>2</v>
      </c>
    </row>
    <row r="208" spans="1:61" x14ac:dyDescent="0.45">
      <c r="A208" s="30">
        <f>step3_validation[[#This Row],[Persona_ID]]</f>
        <v>207</v>
      </c>
      <c r="B208" s="31">
        <f>step3_validation[[#This Row],[Used_Seed]]</f>
        <v>207</v>
      </c>
      <c r="C208" t="str">
        <f>step3_validation[[#This Row],[Gender]]</f>
        <v>Nam</v>
      </c>
      <c r="D208" t="str">
        <f>survey_responses[[#This Row],[Giới tính của bạn:]]</f>
        <v>Nam</v>
      </c>
      <c r="E208" t="str">
        <f>step3_validation[[#This Row],[Age_Group]]</f>
        <v>30 - 39</v>
      </c>
      <c r="F208" t="str">
        <f>survey_responses[[#This Row],[Độ tuổi của bạn:]]</f>
        <v>30 - 39</v>
      </c>
      <c r="G208" t="str">
        <f>step3_validation[[#This Row],[Region]]</f>
        <v>Thành thị</v>
      </c>
      <c r="H208" t="str">
        <f>survey_responses[[#This Row],[Khu vực bạn đang sinh sống:]]</f>
        <v>Thành thị</v>
      </c>
      <c r="I208" t="str">
        <f>step3_validation[[#This Row],[Education]]</f>
        <v>Đại học</v>
      </c>
      <c r="J208" t="str">
        <f>survey_responses[[#This Row],[Trình độ học vấn cao nhất:]]</f>
        <v>Đại học</v>
      </c>
      <c r="K208" t="str">
        <f>step3_validation[[#This Row],[Employment]]</f>
        <v>Chính thức</v>
      </c>
      <c r="L208" t="str">
        <f>survey_responses[[#This Row],[Tình trạng việc làm chính:]]</f>
        <v>Khu vực chính thức (Có Hợp đồng lao động, đóng BHXH)</v>
      </c>
      <c r="M208">
        <f>step3_validation[[#This Row],[Income_Mil]]</f>
        <v>53.801388608812857</v>
      </c>
      <c r="N208" t="str">
        <f>survey_responses[[#This Row],[Thu nhập bình quân tháng theo Hợp đồng lao động của bạn là bao nhiêu? (Vui lòng điền tổng thu nhập trước khi khấu trừ các loại Bảo hiểm (BHXH, BHYT, BHTN) và Thuế TNCN)]]</f>
        <v>Từ 48 - 70 triệu VNĐ</v>
      </c>
      <c r="O208">
        <f>step3_validation[[#This Row],[Dependents]]</f>
        <v>2</v>
      </c>
      <c r="P208" t="str">
        <f>survey_responses[[#This Row],[Số người phụ thuộc (con nhỏ, cha mẹ già...) đủ điều kiện giảm trừ gia cảnh:]]</f>
        <v>2 người</v>
      </c>
      <c r="Q208">
        <f>step3_validation[[#This Row],[AI_ENF1]]</f>
        <v>9</v>
      </c>
      <c r="R208">
        <f t="shared" si="81"/>
        <v>0.88888888888888884</v>
      </c>
      <c r="S208">
        <f>survey_responses[[#This Row],[Tôi tin rằng với các quy định quản lý thuế hiện nay, hành vi gian lận hoặc trốn thuế sẽ dễ dàng bị phát hiện và xử lý nghiêm. - HUMAN-ENF1]]</f>
        <v>4</v>
      </c>
      <c r="T208">
        <f t="shared" si="82"/>
        <v>0.33333333333333331</v>
      </c>
      <c r="U208">
        <f>step3_validation[[#This Row],[AI_ENF2]]</f>
        <v>8</v>
      </c>
      <c r="V208">
        <f t="shared" si="83"/>
        <v>0.77777777777777779</v>
      </c>
      <c r="W208">
        <f>survey_responses[[#This Row],[Tôi tin rằng Nhà nước, cơ quan thuế có đủ khả năng và công nghệ để phát hiện, xử lý nghiêm các hành vi trốn thuế. - HUMAN-ENF2]]</f>
        <v>3</v>
      </c>
      <c r="X208">
        <f t="shared" si="84"/>
        <v>0.22222222222222221</v>
      </c>
      <c r="Y208" s="32">
        <f t="shared" si="85"/>
        <v>0.83333333333333326</v>
      </c>
      <c r="Z208" s="32">
        <f t="shared" si="86"/>
        <v>0.27777777777777779</v>
      </c>
      <c r="AA208">
        <f>step3_validation[[#This Row],[AI_FAC1]]</f>
        <v>9</v>
      </c>
      <c r="AB208">
        <f t="shared" si="87"/>
        <v>0.88888888888888884</v>
      </c>
      <c r="AC208">
        <f>survey_responses[[#This Row],[Các thủ tục khai báo thuế VÀ/HOẶC quy trình làm việc với cơ quan thuế đơn giản, tiện lợi, nhanh chóng hơn so với trước đây. - HUMAN-FAC1]]</f>
        <v>1</v>
      </c>
      <c r="AD208">
        <f t="shared" si="88"/>
        <v>0</v>
      </c>
      <c r="AE208">
        <f>step3_validation[[#This Row],[AI_FAC2]]</f>
        <v>8</v>
      </c>
      <c r="AF208">
        <f t="shared" si="89"/>
        <v>0.77777777777777779</v>
      </c>
      <c r="AG208">
        <f>survey_responses[[#This Row],[So với trước đây, tôi thấy cách tính thuế và các bậc thuế trong phương án mới đơn giản, dễ hiểu và dễ thực hiện hơn. - HUMAN-FAC2]]</f>
        <v>2</v>
      </c>
      <c r="AH208">
        <f t="shared" si="90"/>
        <v>0.1111111111111111</v>
      </c>
      <c r="AI208" s="32">
        <f t="shared" si="91"/>
        <v>0.83333333333333326</v>
      </c>
      <c r="AJ208" s="32">
        <f t="shared" si="92"/>
        <v>5.5555555555555552E-2</v>
      </c>
      <c r="AK208">
        <f>step3_validation[[#This Row],[AI_TRU1]]</f>
        <v>9</v>
      </c>
      <c r="AL208">
        <f t="shared" si="93"/>
        <v>0.88888888888888884</v>
      </c>
      <c r="AM208">
        <f>survey_responses[[#This Row],[Tôi tin rằng Nhà nước, cơ quan thuế sẽ thực thi chính sách mới một cách khách quan, công tâm và đối xử bình đẳng với mọi người nộp thuế.  - HUMAN-TRU1]]</f>
        <v>1</v>
      </c>
      <c r="AN208">
        <f t="shared" si="94"/>
        <v>0</v>
      </c>
      <c r="AO208">
        <f>step3_validation[[#This Row],[AI_TRU2]]</f>
        <v>8</v>
      </c>
      <c r="AP208">
        <f t="shared" si="95"/>
        <v>0.77777777777777779</v>
      </c>
      <c r="AQ208">
        <f>survey_responses[[#This Row],[Tôi thấy mức thuế tôi phải đóng theo phương án mới là công bằng (người thu nhập như tôi đóng mức này là hợp lý). - HUMAN-TRU2]]</f>
        <v>1</v>
      </c>
      <c r="AR208">
        <f t="shared" si="96"/>
        <v>0</v>
      </c>
      <c r="AS208">
        <f>step3_validation[[#This Row],[AI_TRU3]]</f>
        <v>9</v>
      </c>
      <c r="AT208">
        <f t="shared" si="97"/>
        <v>0.88888888888888884</v>
      </c>
      <c r="AU208">
        <f>survey_responses[[#This Row],[Tôi tin tưởng số tiền thuế tôi đóng sẽ được Nhà nước sử dụng hiệu quả để cải thiện dịch vụ công (y tế, đường xá...). - HUMAN-TRU3]]</f>
        <v>1</v>
      </c>
      <c r="AV208">
        <f t="shared" si="98"/>
        <v>0</v>
      </c>
      <c r="AW208">
        <f>step3_validation[[#This Row],[AI_TRU4]]</f>
        <v>8</v>
      </c>
      <c r="AX208">
        <f t="shared" si="99"/>
        <v>0.77777777777777779</v>
      </c>
      <c r="AY208">
        <f>survey_responses[[#This Row],[Tôi thấy Nhà nước đã giải thích rõ ràng, minh bạch về lý do và mục tiêu của việc sửa đổi thuế lần này. - HUMAN-TRU4]]</f>
        <v>4</v>
      </c>
      <c r="AZ208">
        <f t="shared" si="100"/>
        <v>0.33333333333333331</v>
      </c>
      <c r="BA208" s="32">
        <f t="shared" si="101"/>
        <v>0.83333333333333326</v>
      </c>
      <c r="BB208" s="32">
        <f t="shared" si="102"/>
        <v>8.3333333333333329E-2</v>
      </c>
      <c r="BC208" s="7">
        <f t="shared" si="103"/>
        <v>0.83333333333333337</v>
      </c>
      <c r="BD208" s="7">
        <f t="shared" si="104"/>
        <v>0.1388888888888889</v>
      </c>
      <c r="BE208">
        <f>step3_validation[[#This Row],[AI_OUT1]]</f>
        <v>9</v>
      </c>
      <c r="BF208">
        <f t="shared" si="105"/>
        <v>0.88888888888888884</v>
      </c>
      <c r="BG208">
        <f>survey_responses[[#This Row],[Sau khi xem xét các quyền lợi và nghĩa vụ, bạn có ủng hộ và tuân thủ chính sách mới hiện nay? - HUMAN-OUT1]]</f>
        <v>2</v>
      </c>
      <c r="BH208">
        <f t="shared" si="106"/>
        <v>0.1111111111111111</v>
      </c>
      <c r="BI208" s="32">
        <f t="shared" si="107"/>
        <v>7</v>
      </c>
    </row>
    <row r="209" spans="1:61" x14ac:dyDescent="0.45">
      <c r="A209" s="30">
        <f>step3_validation[[#This Row],[Persona_ID]]</f>
        <v>208</v>
      </c>
      <c r="B209" s="31">
        <f>step3_validation[[#This Row],[Used_Seed]]</f>
        <v>208</v>
      </c>
      <c r="C209" t="str">
        <f>step3_validation[[#This Row],[Gender]]</f>
        <v>Nữ</v>
      </c>
      <c r="D209" t="str">
        <f>survey_responses[[#This Row],[Giới tính của bạn:]]</f>
        <v>Nữ</v>
      </c>
      <c r="E209" t="str">
        <f>step3_validation[[#This Row],[Age_Group]]</f>
        <v>30 - 39</v>
      </c>
      <c r="F209" t="str">
        <f>survey_responses[[#This Row],[Độ tuổi của bạn:]]</f>
        <v>30 - 39</v>
      </c>
      <c r="G209" t="str">
        <f>step3_validation[[#This Row],[Region]]</f>
        <v>Thành thị</v>
      </c>
      <c r="H209" t="str">
        <f>survey_responses[[#This Row],[Khu vực bạn đang sinh sống:]]</f>
        <v>Thành thị</v>
      </c>
      <c r="I209" t="str">
        <f>step3_validation[[#This Row],[Education]]</f>
        <v>Sau Đại học</v>
      </c>
      <c r="J209" t="str">
        <f>survey_responses[[#This Row],[Trình độ học vấn cao nhất:]]</f>
        <v>Sau Đại học</v>
      </c>
      <c r="K209" t="str">
        <f>step3_validation[[#This Row],[Employment]]</f>
        <v>Chính thức</v>
      </c>
      <c r="L209" t="str">
        <f>survey_responses[[#This Row],[Tình trạng việc làm chính:]]</f>
        <v>Khu vực chính thức (Có Hợp đồng lao động, đóng BHXH)</v>
      </c>
      <c r="M209">
        <f>step3_validation[[#This Row],[Income_Mil]]</f>
        <v>46.313332496295828</v>
      </c>
      <c r="N209" t="str">
        <f>survey_responses[[#This Row],[Thu nhập bình quân tháng theo Hợp đồng lao động của bạn là bao nhiêu? (Vui lòng điền tổng thu nhập trước khi khấu trừ các loại Bảo hiểm (BHXH, BHYT, BHTN) và Thuế TNCN)]]</f>
        <v>Từ 32 - 48 triệu VNĐ</v>
      </c>
      <c r="O209">
        <f>step3_validation[[#This Row],[Dependents]]</f>
        <v>1</v>
      </c>
      <c r="P209" t="str">
        <f>survey_responses[[#This Row],[Số người phụ thuộc (con nhỏ, cha mẹ già...) đủ điều kiện giảm trừ gia cảnh:]]</f>
        <v>1 người</v>
      </c>
      <c r="Q209">
        <f>step3_validation[[#This Row],[AI_ENF1]]</f>
        <v>7</v>
      </c>
      <c r="R209">
        <f t="shared" si="81"/>
        <v>0.66666666666666663</v>
      </c>
      <c r="S209">
        <f>survey_responses[[#This Row],[Tôi tin rằng với các quy định quản lý thuế hiện nay, hành vi gian lận hoặc trốn thuế sẽ dễ dàng bị phát hiện và xử lý nghiêm. - HUMAN-ENF1]]</f>
        <v>7</v>
      </c>
      <c r="T209">
        <f t="shared" si="82"/>
        <v>0.66666666666666663</v>
      </c>
      <c r="U209">
        <f>step3_validation[[#This Row],[AI_ENF2]]</f>
        <v>6</v>
      </c>
      <c r="V209">
        <f t="shared" si="83"/>
        <v>0.55555555555555558</v>
      </c>
      <c r="W209">
        <f>survey_responses[[#This Row],[Tôi tin rằng Nhà nước, cơ quan thuế có đủ khả năng và công nghệ để phát hiện, xử lý nghiêm các hành vi trốn thuế. - HUMAN-ENF2]]</f>
        <v>8</v>
      </c>
      <c r="X209">
        <f t="shared" si="84"/>
        <v>0.77777777777777779</v>
      </c>
      <c r="Y209" s="32">
        <f t="shared" si="85"/>
        <v>0.61111111111111116</v>
      </c>
      <c r="Z209" s="32">
        <f t="shared" si="86"/>
        <v>0.72222222222222221</v>
      </c>
      <c r="AA209">
        <f>step3_validation[[#This Row],[AI_FAC1]]</f>
        <v>8</v>
      </c>
      <c r="AB209">
        <f t="shared" si="87"/>
        <v>0.77777777777777779</v>
      </c>
      <c r="AC209">
        <f>survey_responses[[#This Row],[Các thủ tục khai báo thuế VÀ/HOẶC quy trình làm việc với cơ quan thuế đơn giản, tiện lợi, nhanh chóng hơn so với trước đây. - HUMAN-FAC1]]</f>
        <v>6</v>
      </c>
      <c r="AD209">
        <f t="shared" si="88"/>
        <v>0.55555555555555558</v>
      </c>
      <c r="AE209">
        <f>step3_validation[[#This Row],[AI_FAC2]]</f>
        <v>9</v>
      </c>
      <c r="AF209">
        <f t="shared" si="89"/>
        <v>0.88888888888888884</v>
      </c>
      <c r="AG209">
        <f>survey_responses[[#This Row],[So với trước đây, tôi thấy cách tính thuế và các bậc thuế trong phương án mới đơn giản, dễ hiểu và dễ thực hiện hơn. - HUMAN-FAC2]]</f>
        <v>7</v>
      </c>
      <c r="AH209">
        <f t="shared" si="90"/>
        <v>0.66666666666666663</v>
      </c>
      <c r="AI209" s="32">
        <f t="shared" si="91"/>
        <v>0.83333333333333326</v>
      </c>
      <c r="AJ209" s="32">
        <f t="shared" si="92"/>
        <v>0.61111111111111116</v>
      </c>
      <c r="AK209">
        <f>step3_validation[[#This Row],[AI_TRU1]]</f>
        <v>7</v>
      </c>
      <c r="AL209">
        <f t="shared" si="93"/>
        <v>0.66666666666666663</v>
      </c>
      <c r="AM209">
        <f>survey_responses[[#This Row],[Tôi tin rằng Nhà nước, cơ quan thuế sẽ thực thi chính sách mới một cách khách quan, công tâm và đối xử bình đẳng với mọi người nộp thuế.  - HUMAN-TRU1]]</f>
        <v>6</v>
      </c>
      <c r="AN209">
        <f t="shared" si="94"/>
        <v>0.55555555555555558</v>
      </c>
      <c r="AO209">
        <f>step3_validation[[#This Row],[AI_TRU2]]</f>
        <v>9</v>
      </c>
      <c r="AP209">
        <f t="shared" si="95"/>
        <v>0.88888888888888884</v>
      </c>
      <c r="AQ209">
        <f>survey_responses[[#This Row],[Tôi thấy mức thuế tôi phải đóng theo phương án mới là công bằng (người thu nhập như tôi đóng mức này là hợp lý). - HUMAN-TRU2]]</f>
        <v>7</v>
      </c>
      <c r="AR209">
        <f t="shared" si="96"/>
        <v>0.66666666666666663</v>
      </c>
      <c r="AS209">
        <f>step3_validation[[#This Row],[AI_TRU3]]</f>
        <v>6</v>
      </c>
      <c r="AT209">
        <f t="shared" si="97"/>
        <v>0.55555555555555558</v>
      </c>
      <c r="AU209">
        <f>survey_responses[[#This Row],[Tôi tin tưởng số tiền thuế tôi đóng sẽ được Nhà nước sử dụng hiệu quả để cải thiện dịch vụ công (y tế, đường xá...). - HUMAN-TRU3]]</f>
        <v>6</v>
      </c>
      <c r="AV209">
        <f t="shared" si="98"/>
        <v>0.55555555555555558</v>
      </c>
      <c r="AW209">
        <f>step3_validation[[#This Row],[AI_TRU4]]</f>
        <v>7</v>
      </c>
      <c r="AX209">
        <f t="shared" si="99"/>
        <v>0.66666666666666663</v>
      </c>
      <c r="AY209">
        <f>survey_responses[[#This Row],[Tôi thấy Nhà nước đã giải thích rõ ràng, minh bạch về lý do và mục tiêu của việc sửa đổi thuế lần này. - HUMAN-TRU4]]</f>
        <v>6</v>
      </c>
      <c r="AZ209">
        <f t="shared" si="100"/>
        <v>0.55555555555555558</v>
      </c>
      <c r="BA209" s="32">
        <f t="shared" si="101"/>
        <v>0.69444444444444431</v>
      </c>
      <c r="BB209" s="32">
        <f t="shared" si="102"/>
        <v>0.58333333333333337</v>
      </c>
      <c r="BC209" s="7">
        <f t="shared" si="103"/>
        <v>0.71296296296296291</v>
      </c>
      <c r="BD209" s="7">
        <f t="shared" si="104"/>
        <v>0.63888888888888895</v>
      </c>
      <c r="BE209">
        <f>step3_validation[[#This Row],[AI_OUT1]]</f>
        <v>9</v>
      </c>
      <c r="BF209">
        <f t="shared" si="105"/>
        <v>0.88888888888888884</v>
      </c>
      <c r="BG209">
        <f>survey_responses[[#This Row],[Sau khi xem xét các quyền lợi và nghĩa vụ, bạn có ủng hộ và tuân thủ chính sách mới hiện nay? - HUMAN-OUT1]]</f>
        <v>6</v>
      </c>
      <c r="BH209">
        <f t="shared" si="106"/>
        <v>0.55555555555555558</v>
      </c>
      <c r="BI209" s="32">
        <f t="shared" si="107"/>
        <v>3</v>
      </c>
    </row>
    <row r="210" spans="1:61" x14ac:dyDescent="0.45">
      <c r="A210" s="30">
        <f>step3_validation[[#This Row],[Persona_ID]]</f>
        <v>209</v>
      </c>
      <c r="B210" s="31">
        <f>step3_validation[[#This Row],[Used_Seed]]</f>
        <v>209</v>
      </c>
      <c r="C210" t="str">
        <f>step3_validation[[#This Row],[Gender]]</f>
        <v>Nữ</v>
      </c>
      <c r="D210" t="str">
        <f>survey_responses[[#This Row],[Giới tính của bạn:]]</f>
        <v>Nữ</v>
      </c>
      <c r="E210" t="str">
        <f>step3_validation[[#This Row],[Age_Group]]</f>
        <v>30 - 39</v>
      </c>
      <c r="F210" t="str">
        <f>survey_responses[[#This Row],[Độ tuổi của bạn:]]</f>
        <v>30 - 39</v>
      </c>
      <c r="G210" t="str">
        <f>step3_validation[[#This Row],[Region]]</f>
        <v>Thành thị</v>
      </c>
      <c r="H210" t="str">
        <f>survey_responses[[#This Row],[Khu vực bạn đang sinh sống:]]</f>
        <v>Thành thị</v>
      </c>
      <c r="I210" t="str">
        <f>step3_validation[[#This Row],[Education]]</f>
        <v>Đại học</v>
      </c>
      <c r="J210" t="str">
        <f>survey_responses[[#This Row],[Trình độ học vấn cao nhất:]]</f>
        <v>Đại học</v>
      </c>
      <c r="K210" t="str">
        <f>step3_validation[[#This Row],[Employment]]</f>
        <v>Chính thức</v>
      </c>
      <c r="L210" t="str">
        <f>survey_responses[[#This Row],[Tình trạng việc làm chính:]]</f>
        <v>Khu vực chính thức (Có Hợp đồng lao động, đóng BHXH)</v>
      </c>
      <c r="M210">
        <f>step3_validation[[#This Row],[Income_Mil]]</f>
        <v>36.275674974900241</v>
      </c>
      <c r="N210" t="str">
        <f>survey_responses[[#This Row],[Thu nhập bình quân tháng theo Hợp đồng lao động của bạn là bao nhiêu? (Vui lòng điền tổng thu nhập trước khi khấu trừ các loại Bảo hiểm (BHXH, BHYT, BHTN) và Thuế TNCN)]]</f>
        <v>Từ 32 - 48 triệu VNĐ</v>
      </c>
      <c r="O210">
        <f>step3_validation[[#This Row],[Dependents]]</f>
        <v>0</v>
      </c>
      <c r="P210" t="str">
        <f>survey_responses[[#This Row],[Số người phụ thuộc (con nhỏ, cha mẹ già...) đủ điều kiện giảm trừ gia cảnh:]]</f>
        <v>0 người</v>
      </c>
      <c r="Q210">
        <f>step3_validation[[#This Row],[AI_ENF1]]</f>
        <v>7</v>
      </c>
      <c r="R210">
        <f t="shared" si="81"/>
        <v>0.66666666666666663</v>
      </c>
      <c r="S210">
        <f>survey_responses[[#This Row],[Tôi tin rằng với các quy định quản lý thuế hiện nay, hành vi gian lận hoặc trốn thuế sẽ dễ dàng bị phát hiện và xử lý nghiêm. - HUMAN-ENF1]]</f>
        <v>6</v>
      </c>
      <c r="T210">
        <f t="shared" si="82"/>
        <v>0.55555555555555558</v>
      </c>
      <c r="U210">
        <f>step3_validation[[#This Row],[AI_ENF2]]</f>
        <v>8</v>
      </c>
      <c r="V210">
        <f t="shared" si="83"/>
        <v>0.77777777777777779</v>
      </c>
      <c r="W210">
        <f>survey_responses[[#This Row],[Tôi tin rằng Nhà nước, cơ quan thuế có đủ khả năng và công nghệ để phát hiện, xử lý nghiêm các hành vi trốn thuế. - HUMAN-ENF2]]</f>
        <v>6</v>
      </c>
      <c r="X210">
        <f t="shared" si="84"/>
        <v>0.55555555555555558</v>
      </c>
      <c r="Y210" s="32">
        <f t="shared" si="85"/>
        <v>0.72222222222222221</v>
      </c>
      <c r="Z210" s="32">
        <f t="shared" si="86"/>
        <v>0.55555555555555558</v>
      </c>
      <c r="AA210">
        <f>step3_validation[[#This Row],[AI_FAC1]]</f>
        <v>9</v>
      </c>
      <c r="AB210">
        <f t="shared" si="87"/>
        <v>0.88888888888888884</v>
      </c>
      <c r="AC210">
        <f>survey_responses[[#This Row],[Các thủ tục khai báo thuế VÀ/HOẶC quy trình làm việc với cơ quan thuế đơn giản, tiện lợi, nhanh chóng hơn so với trước đây. - HUMAN-FAC1]]</f>
        <v>6</v>
      </c>
      <c r="AD210">
        <f t="shared" si="88"/>
        <v>0.55555555555555558</v>
      </c>
      <c r="AE210">
        <f>step3_validation[[#This Row],[AI_FAC2]]</f>
        <v>9</v>
      </c>
      <c r="AF210">
        <f t="shared" si="89"/>
        <v>0.88888888888888884</v>
      </c>
      <c r="AG210">
        <f>survey_responses[[#This Row],[So với trước đây, tôi thấy cách tính thuế và các bậc thuế trong phương án mới đơn giản, dễ hiểu và dễ thực hiện hơn. - HUMAN-FAC2]]</f>
        <v>6</v>
      </c>
      <c r="AH210">
        <f t="shared" si="90"/>
        <v>0.55555555555555558</v>
      </c>
      <c r="AI210" s="32">
        <f t="shared" si="91"/>
        <v>0.88888888888888884</v>
      </c>
      <c r="AJ210" s="32">
        <f t="shared" si="92"/>
        <v>0.55555555555555558</v>
      </c>
      <c r="AK210">
        <f>step3_validation[[#This Row],[AI_TRU1]]</f>
        <v>6</v>
      </c>
      <c r="AL210">
        <f t="shared" si="93"/>
        <v>0.55555555555555558</v>
      </c>
      <c r="AM210">
        <f>survey_responses[[#This Row],[Tôi tin rằng Nhà nước, cơ quan thuế sẽ thực thi chính sách mới một cách khách quan, công tâm và đối xử bình đẳng với mọi người nộp thuế.  - HUMAN-TRU1]]</f>
        <v>6</v>
      </c>
      <c r="AN210">
        <f t="shared" si="94"/>
        <v>0.55555555555555558</v>
      </c>
      <c r="AO210">
        <f>step3_validation[[#This Row],[AI_TRU2]]</f>
        <v>8</v>
      </c>
      <c r="AP210">
        <f t="shared" si="95"/>
        <v>0.77777777777777779</v>
      </c>
      <c r="AQ210">
        <f>survey_responses[[#This Row],[Tôi thấy mức thuế tôi phải đóng theo phương án mới là công bằng (người thu nhập như tôi đóng mức này là hợp lý). - HUMAN-TRU2]]</f>
        <v>5</v>
      </c>
      <c r="AR210">
        <f t="shared" si="96"/>
        <v>0.44444444444444442</v>
      </c>
      <c r="AS210">
        <f>step3_validation[[#This Row],[AI_TRU3]]</f>
        <v>6</v>
      </c>
      <c r="AT210">
        <f t="shared" si="97"/>
        <v>0.55555555555555558</v>
      </c>
      <c r="AU210">
        <f>survey_responses[[#This Row],[Tôi tin tưởng số tiền thuế tôi đóng sẽ được Nhà nước sử dụng hiệu quả để cải thiện dịch vụ công (y tế, đường xá...). - HUMAN-TRU3]]</f>
        <v>6</v>
      </c>
      <c r="AV210">
        <f t="shared" si="98"/>
        <v>0.55555555555555558</v>
      </c>
      <c r="AW210">
        <f>step3_validation[[#This Row],[AI_TRU4]]</f>
        <v>7</v>
      </c>
      <c r="AX210">
        <f t="shared" si="99"/>
        <v>0.66666666666666663</v>
      </c>
      <c r="AY210">
        <f>survey_responses[[#This Row],[Tôi thấy Nhà nước đã giải thích rõ ràng, minh bạch về lý do và mục tiêu của việc sửa đổi thuế lần này. - HUMAN-TRU4]]</f>
        <v>6</v>
      </c>
      <c r="AZ210">
        <f t="shared" si="100"/>
        <v>0.55555555555555558</v>
      </c>
      <c r="BA210" s="32">
        <f t="shared" si="101"/>
        <v>0.63888888888888895</v>
      </c>
      <c r="BB210" s="32">
        <f t="shared" si="102"/>
        <v>0.52777777777777779</v>
      </c>
      <c r="BC210" s="7">
        <f t="shared" si="103"/>
        <v>0.75</v>
      </c>
      <c r="BD210" s="7">
        <f t="shared" si="104"/>
        <v>0.54629629629629628</v>
      </c>
      <c r="BE210">
        <f>step3_validation[[#This Row],[AI_OUT1]]</f>
        <v>9</v>
      </c>
      <c r="BF210">
        <f t="shared" si="105"/>
        <v>0.88888888888888884</v>
      </c>
      <c r="BG210">
        <f>survey_responses[[#This Row],[Sau khi xem xét các quyền lợi và nghĩa vụ, bạn có ủng hộ và tuân thủ chính sách mới hiện nay? - HUMAN-OUT1]]</f>
        <v>6</v>
      </c>
      <c r="BH210">
        <f t="shared" si="106"/>
        <v>0.55555555555555558</v>
      </c>
      <c r="BI210" s="32">
        <f t="shared" si="107"/>
        <v>3</v>
      </c>
    </row>
    <row r="211" spans="1:61" x14ac:dyDescent="0.45">
      <c r="A211" s="30">
        <f>step3_validation[[#This Row],[Persona_ID]]</f>
        <v>210</v>
      </c>
      <c r="B211" s="31">
        <f>step3_validation[[#This Row],[Used_Seed]]</f>
        <v>210</v>
      </c>
      <c r="C211" t="str">
        <f>step3_validation[[#This Row],[Gender]]</f>
        <v>Nam</v>
      </c>
      <c r="D211" t="str">
        <f>survey_responses[[#This Row],[Giới tính của bạn:]]</f>
        <v>Nam</v>
      </c>
      <c r="E211" t="str">
        <f>step3_validation[[#This Row],[Age_Group]]</f>
        <v>30 - 39</v>
      </c>
      <c r="F211" t="str">
        <f>survey_responses[[#This Row],[Độ tuổi của bạn:]]</f>
        <v>30 - 39</v>
      </c>
      <c r="G211" t="str">
        <f>step3_validation[[#This Row],[Region]]</f>
        <v>Thành thị</v>
      </c>
      <c r="H211" t="str">
        <f>survey_responses[[#This Row],[Khu vực bạn đang sinh sống:]]</f>
        <v>Thành thị</v>
      </c>
      <c r="I211" t="str">
        <f>step3_validation[[#This Row],[Education]]</f>
        <v>Đại học</v>
      </c>
      <c r="J211" t="str">
        <f>survey_responses[[#This Row],[Trình độ học vấn cao nhất:]]</f>
        <v>Đại học</v>
      </c>
      <c r="K211" t="str">
        <f>step3_validation[[#This Row],[Employment]]</f>
        <v>Chính thức</v>
      </c>
      <c r="L211" t="str">
        <f>survey_responses[[#This Row],[Tình trạng việc làm chính:]]</f>
        <v>Khu vực chính thức (Có Hợp đồng lao động, đóng BHXH)</v>
      </c>
      <c r="M211">
        <f>step3_validation[[#This Row],[Income_Mil]]</f>
        <v>28.775032436976822</v>
      </c>
      <c r="N211" t="str">
        <f>survey_responses[[#This Row],[Thu nhập bình quân tháng theo Hợp đồng lao động của bạn là bao nhiêu? (Vui lòng điền tổng thu nhập trước khi khấu trừ các loại Bảo hiểm (BHXH, BHYT, BHTN) và Thuế TNCN)]]</f>
        <v>Từ 23 - 32 triệu VNĐ</v>
      </c>
      <c r="O211">
        <f>step3_validation[[#This Row],[Dependents]]</f>
        <v>0</v>
      </c>
      <c r="P211" t="str">
        <f>survey_responses[[#This Row],[Số người phụ thuộc (con nhỏ, cha mẹ già...) đủ điều kiện giảm trừ gia cảnh:]]</f>
        <v>0 người</v>
      </c>
      <c r="Q211">
        <f>step3_validation[[#This Row],[AI_ENF1]]</f>
        <v>7</v>
      </c>
      <c r="R211">
        <f t="shared" si="81"/>
        <v>0.66666666666666663</v>
      </c>
      <c r="S211">
        <f>survey_responses[[#This Row],[Tôi tin rằng với các quy định quản lý thuế hiện nay, hành vi gian lận hoặc trốn thuế sẽ dễ dàng bị phát hiện và xử lý nghiêm. - HUMAN-ENF1]]</f>
        <v>7</v>
      </c>
      <c r="T211">
        <f t="shared" si="82"/>
        <v>0.66666666666666663</v>
      </c>
      <c r="U211">
        <f>step3_validation[[#This Row],[AI_ENF2]]</f>
        <v>8</v>
      </c>
      <c r="V211">
        <f t="shared" si="83"/>
        <v>0.77777777777777779</v>
      </c>
      <c r="W211">
        <f>survey_responses[[#This Row],[Tôi tin rằng Nhà nước, cơ quan thuế có đủ khả năng và công nghệ để phát hiện, xử lý nghiêm các hành vi trốn thuế. - HUMAN-ENF2]]</f>
        <v>7</v>
      </c>
      <c r="X211">
        <f t="shared" si="84"/>
        <v>0.66666666666666663</v>
      </c>
      <c r="Y211" s="32">
        <f t="shared" si="85"/>
        <v>0.72222222222222221</v>
      </c>
      <c r="Z211" s="32">
        <f t="shared" si="86"/>
        <v>0.66666666666666663</v>
      </c>
      <c r="AA211">
        <f>step3_validation[[#This Row],[AI_FAC1]]</f>
        <v>9</v>
      </c>
      <c r="AB211">
        <f t="shared" si="87"/>
        <v>0.88888888888888884</v>
      </c>
      <c r="AC211">
        <f>survey_responses[[#This Row],[Các thủ tục khai báo thuế VÀ/HOẶC quy trình làm việc với cơ quan thuế đơn giản, tiện lợi, nhanh chóng hơn so với trước đây. - HUMAN-FAC1]]</f>
        <v>8</v>
      </c>
      <c r="AD211">
        <f t="shared" si="88"/>
        <v>0.77777777777777779</v>
      </c>
      <c r="AE211">
        <f>step3_validation[[#This Row],[AI_FAC2]]</f>
        <v>9</v>
      </c>
      <c r="AF211">
        <f t="shared" si="89"/>
        <v>0.88888888888888884</v>
      </c>
      <c r="AG211">
        <f>survey_responses[[#This Row],[So với trước đây, tôi thấy cách tính thuế và các bậc thuế trong phương án mới đơn giản, dễ hiểu và dễ thực hiện hơn. - HUMAN-FAC2]]</f>
        <v>8</v>
      </c>
      <c r="AH211">
        <f t="shared" si="90"/>
        <v>0.77777777777777779</v>
      </c>
      <c r="AI211" s="32">
        <f t="shared" si="91"/>
        <v>0.88888888888888884</v>
      </c>
      <c r="AJ211" s="32">
        <f t="shared" si="92"/>
        <v>0.77777777777777779</v>
      </c>
      <c r="AK211">
        <f>step3_validation[[#This Row],[AI_TRU1]]</f>
        <v>8</v>
      </c>
      <c r="AL211">
        <f t="shared" si="93"/>
        <v>0.77777777777777779</v>
      </c>
      <c r="AM211">
        <f>survey_responses[[#This Row],[Tôi tin rằng Nhà nước, cơ quan thuế sẽ thực thi chính sách mới một cách khách quan, công tâm và đối xử bình đẳng với mọi người nộp thuế.  - HUMAN-TRU1]]</f>
        <v>8</v>
      </c>
      <c r="AN211">
        <f t="shared" si="94"/>
        <v>0.77777777777777779</v>
      </c>
      <c r="AO211">
        <f>step3_validation[[#This Row],[AI_TRU2]]</f>
        <v>9</v>
      </c>
      <c r="AP211">
        <f t="shared" si="95"/>
        <v>0.88888888888888884</v>
      </c>
      <c r="AQ211">
        <f>survey_responses[[#This Row],[Tôi thấy mức thuế tôi phải đóng theo phương án mới là công bằng (người thu nhập như tôi đóng mức này là hợp lý). - HUMAN-TRU2]]</f>
        <v>9</v>
      </c>
      <c r="AR211">
        <f t="shared" si="96"/>
        <v>0.88888888888888884</v>
      </c>
      <c r="AS211">
        <f>step3_validation[[#This Row],[AI_TRU3]]</f>
        <v>8</v>
      </c>
      <c r="AT211">
        <f t="shared" si="97"/>
        <v>0.77777777777777779</v>
      </c>
      <c r="AU211">
        <f>survey_responses[[#This Row],[Tôi tin tưởng số tiền thuế tôi đóng sẽ được Nhà nước sử dụng hiệu quả để cải thiện dịch vụ công (y tế, đường xá...). - HUMAN-TRU3]]</f>
        <v>8</v>
      </c>
      <c r="AV211">
        <f t="shared" si="98"/>
        <v>0.77777777777777779</v>
      </c>
      <c r="AW211">
        <f>step3_validation[[#This Row],[AI_TRU4]]</f>
        <v>9</v>
      </c>
      <c r="AX211">
        <f t="shared" si="99"/>
        <v>0.88888888888888884</v>
      </c>
      <c r="AY211">
        <f>survey_responses[[#This Row],[Tôi thấy Nhà nước đã giải thích rõ ràng, minh bạch về lý do và mục tiêu của việc sửa đổi thuế lần này. - HUMAN-TRU4]]</f>
        <v>8</v>
      </c>
      <c r="AZ211">
        <f t="shared" si="100"/>
        <v>0.77777777777777779</v>
      </c>
      <c r="BA211" s="32">
        <f t="shared" si="101"/>
        <v>0.83333333333333326</v>
      </c>
      <c r="BB211" s="32">
        <f t="shared" si="102"/>
        <v>0.80555555555555547</v>
      </c>
      <c r="BC211" s="7">
        <f t="shared" si="103"/>
        <v>0.81481481481481488</v>
      </c>
      <c r="BD211" s="7">
        <f t="shared" si="104"/>
        <v>0.75</v>
      </c>
      <c r="BE211">
        <f>step3_validation[[#This Row],[AI_OUT1]]</f>
        <v>9</v>
      </c>
      <c r="BF211">
        <f t="shared" si="105"/>
        <v>0.88888888888888884</v>
      </c>
      <c r="BG211">
        <f>survey_responses[[#This Row],[Sau khi xem xét các quyền lợi và nghĩa vụ, bạn có ủng hộ và tuân thủ chính sách mới hiện nay? - HUMAN-OUT1]]</f>
        <v>8</v>
      </c>
      <c r="BH211">
        <f t="shared" si="106"/>
        <v>0.77777777777777779</v>
      </c>
      <c r="BI211" s="32">
        <f t="shared" si="107"/>
        <v>1</v>
      </c>
    </row>
    <row r="212" spans="1:61" x14ac:dyDescent="0.45">
      <c r="A212" s="30">
        <f>step3_validation[[#This Row],[Persona_ID]]</f>
        <v>211</v>
      </c>
      <c r="B212" s="31">
        <f>step3_validation[[#This Row],[Used_Seed]]</f>
        <v>211</v>
      </c>
      <c r="C212" t="str">
        <f>step3_validation[[#This Row],[Gender]]</f>
        <v>Nữ</v>
      </c>
      <c r="D212" t="str">
        <f>survey_responses[[#This Row],[Giới tính của bạn:]]</f>
        <v>Nữ</v>
      </c>
      <c r="E212" t="str">
        <f>step3_validation[[#This Row],[Age_Group]]</f>
        <v>30 - 39</v>
      </c>
      <c r="F212" t="str">
        <f>survey_responses[[#This Row],[Độ tuổi của bạn:]]</f>
        <v>30 - 39</v>
      </c>
      <c r="G212" t="str">
        <f>step3_validation[[#This Row],[Region]]</f>
        <v>Thành thị</v>
      </c>
      <c r="H212" t="str">
        <f>survey_responses[[#This Row],[Khu vực bạn đang sinh sống:]]</f>
        <v>Thành thị</v>
      </c>
      <c r="I212" t="str">
        <f>step3_validation[[#This Row],[Education]]</f>
        <v>Đại học</v>
      </c>
      <c r="J212" t="str">
        <f>survey_responses[[#This Row],[Trình độ học vấn cao nhất:]]</f>
        <v>Đại học</v>
      </c>
      <c r="K212" t="str">
        <f>step3_validation[[#This Row],[Employment]]</f>
        <v>Chính thức</v>
      </c>
      <c r="L212" t="str">
        <f>survey_responses[[#This Row],[Tình trạng việc làm chính:]]</f>
        <v>Khu vực chính thức (Có Hợp đồng lao động, đóng BHXH)</v>
      </c>
      <c r="M212">
        <f>step3_validation[[#This Row],[Income_Mil]]</f>
        <v>57.380927955810328</v>
      </c>
      <c r="N212" t="str">
        <f>survey_responses[[#This Row],[Thu nhập bình quân tháng theo Hợp đồng lao động của bạn là bao nhiêu? (Vui lòng điền tổng thu nhập trước khi khấu trừ các loại Bảo hiểm (BHXH, BHYT, BHTN) và Thuế TNCN)]]</f>
        <v>Từ 48 - 70 triệu VNĐ</v>
      </c>
      <c r="O212">
        <f>step3_validation[[#This Row],[Dependents]]</f>
        <v>1</v>
      </c>
      <c r="P212" t="str">
        <f>survey_responses[[#This Row],[Số người phụ thuộc (con nhỏ, cha mẹ già...) đủ điều kiện giảm trừ gia cảnh:]]</f>
        <v>1 người</v>
      </c>
      <c r="Q212">
        <f>step3_validation[[#This Row],[AI_ENF1]]</f>
        <v>6</v>
      </c>
      <c r="R212">
        <f t="shared" si="81"/>
        <v>0.55555555555555558</v>
      </c>
      <c r="S212">
        <f>survey_responses[[#This Row],[Tôi tin rằng với các quy định quản lý thuế hiện nay, hành vi gian lận hoặc trốn thuế sẽ dễ dàng bị phát hiện và xử lý nghiêm. - HUMAN-ENF1]]</f>
        <v>7</v>
      </c>
      <c r="T212">
        <f t="shared" si="82"/>
        <v>0.66666666666666663</v>
      </c>
      <c r="U212">
        <f>step3_validation[[#This Row],[AI_ENF2]]</f>
        <v>7</v>
      </c>
      <c r="V212">
        <f t="shared" si="83"/>
        <v>0.66666666666666663</v>
      </c>
      <c r="W212">
        <f>survey_responses[[#This Row],[Tôi tin rằng Nhà nước, cơ quan thuế có đủ khả năng và công nghệ để phát hiện, xử lý nghiêm các hành vi trốn thuế. - HUMAN-ENF2]]</f>
        <v>7</v>
      </c>
      <c r="X212">
        <f t="shared" si="84"/>
        <v>0.66666666666666663</v>
      </c>
      <c r="Y212" s="32">
        <f t="shared" si="85"/>
        <v>0.61111111111111116</v>
      </c>
      <c r="Z212" s="32">
        <f t="shared" si="86"/>
        <v>0.66666666666666663</v>
      </c>
      <c r="AA212">
        <f>step3_validation[[#This Row],[AI_FAC1]]</f>
        <v>9</v>
      </c>
      <c r="AB212">
        <f t="shared" si="87"/>
        <v>0.88888888888888884</v>
      </c>
      <c r="AC212">
        <f>survey_responses[[#This Row],[Các thủ tục khai báo thuế VÀ/HOẶC quy trình làm việc với cơ quan thuế đơn giản, tiện lợi, nhanh chóng hơn so với trước đây. - HUMAN-FAC1]]</f>
        <v>7</v>
      </c>
      <c r="AD212">
        <f t="shared" si="88"/>
        <v>0.66666666666666663</v>
      </c>
      <c r="AE212">
        <f>step3_validation[[#This Row],[AI_FAC2]]</f>
        <v>8</v>
      </c>
      <c r="AF212">
        <f t="shared" si="89"/>
        <v>0.77777777777777779</v>
      </c>
      <c r="AG212">
        <f>survey_responses[[#This Row],[So với trước đây, tôi thấy cách tính thuế và các bậc thuế trong phương án mới đơn giản, dễ hiểu và dễ thực hiện hơn. - HUMAN-FAC2]]</f>
        <v>7</v>
      </c>
      <c r="AH212">
        <f t="shared" si="90"/>
        <v>0.66666666666666663</v>
      </c>
      <c r="AI212" s="32">
        <f t="shared" si="91"/>
        <v>0.83333333333333326</v>
      </c>
      <c r="AJ212" s="32">
        <f t="shared" si="92"/>
        <v>0.66666666666666663</v>
      </c>
      <c r="AK212">
        <f>step3_validation[[#This Row],[AI_TRU1]]</f>
        <v>7</v>
      </c>
      <c r="AL212">
        <f t="shared" si="93"/>
        <v>0.66666666666666663</v>
      </c>
      <c r="AM212">
        <f>survey_responses[[#This Row],[Tôi tin rằng Nhà nước, cơ quan thuế sẽ thực thi chính sách mới một cách khách quan, công tâm và đối xử bình đẳng với mọi người nộp thuế.  - HUMAN-TRU1]]</f>
        <v>7</v>
      </c>
      <c r="AN212">
        <f t="shared" si="94"/>
        <v>0.66666666666666663</v>
      </c>
      <c r="AO212">
        <f>step3_validation[[#This Row],[AI_TRU2]]</f>
        <v>8</v>
      </c>
      <c r="AP212">
        <f t="shared" si="95"/>
        <v>0.77777777777777779</v>
      </c>
      <c r="AQ212">
        <f>survey_responses[[#This Row],[Tôi thấy mức thuế tôi phải đóng theo phương án mới là công bằng (người thu nhập như tôi đóng mức này là hợp lý). - HUMAN-TRU2]]</f>
        <v>7</v>
      </c>
      <c r="AR212">
        <f t="shared" si="96"/>
        <v>0.66666666666666663</v>
      </c>
      <c r="AS212">
        <f>step3_validation[[#This Row],[AI_TRU3]]</f>
        <v>7</v>
      </c>
      <c r="AT212">
        <f t="shared" si="97"/>
        <v>0.66666666666666663</v>
      </c>
      <c r="AU212">
        <f>survey_responses[[#This Row],[Tôi tin tưởng số tiền thuế tôi đóng sẽ được Nhà nước sử dụng hiệu quả để cải thiện dịch vụ công (y tế, đường xá...). - HUMAN-TRU3]]</f>
        <v>7</v>
      </c>
      <c r="AV212">
        <f t="shared" si="98"/>
        <v>0.66666666666666663</v>
      </c>
      <c r="AW212">
        <f>step3_validation[[#This Row],[AI_TRU4]]</f>
        <v>6</v>
      </c>
      <c r="AX212">
        <f t="shared" si="99"/>
        <v>0.55555555555555558</v>
      </c>
      <c r="AY212">
        <f>survey_responses[[#This Row],[Tôi thấy Nhà nước đã giải thích rõ ràng, minh bạch về lý do và mục tiêu của việc sửa đổi thuế lần này. - HUMAN-TRU4]]</f>
        <v>7</v>
      </c>
      <c r="AZ212">
        <f t="shared" si="100"/>
        <v>0.66666666666666663</v>
      </c>
      <c r="BA212" s="32">
        <f t="shared" si="101"/>
        <v>0.66666666666666674</v>
      </c>
      <c r="BB212" s="32">
        <f t="shared" si="102"/>
        <v>0.66666666666666663</v>
      </c>
      <c r="BC212" s="7">
        <f t="shared" si="103"/>
        <v>0.70370370370370372</v>
      </c>
      <c r="BD212" s="7">
        <f t="shared" si="104"/>
        <v>0.66666666666666663</v>
      </c>
      <c r="BE212">
        <f>step3_validation[[#This Row],[AI_OUT1]]</f>
        <v>9</v>
      </c>
      <c r="BF212">
        <f t="shared" si="105"/>
        <v>0.88888888888888884</v>
      </c>
      <c r="BG212">
        <f>survey_responses[[#This Row],[Sau khi xem xét các quyền lợi và nghĩa vụ, bạn có ủng hộ và tuân thủ chính sách mới hiện nay? - HUMAN-OUT1]]</f>
        <v>7</v>
      </c>
      <c r="BH212">
        <f t="shared" si="106"/>
        <v>0.66666666666666663</v>
      </c>
      <c r="BI212" s="32">
        <f t="shared" si="107"/>
        <v>2</v>
      </c>
    </row>
    <row r="213" spans="1:61" x14ac:dyDescent="0.45">
      <c r="A213" s="30">
        <f>step3_validation[[#This Row],[Persona_ID]]</f>
        <v>212</v>
      </c>
      <c r="B213" s="31">
        <f>step3_validation[[#This Row],[Used_Seed]]</f>
        <v>212</v>
      </c>
      <c r="C213" t="str">
        <f>step3_validation[[#This Row],[Gender]]</f>
        <v>Nữ</v>
      </c>
      <c r="D213" t="str">
        <f>survey_responses[[#This Row],[Giới tính của bạn:]]</f>
        <v>Nữ</v>
      </c>
      <c r="E213" t="str">
        <f>step3_validation[[#This Row],[Age_Group]]</f>
        <v>30 - 39</v>
      </c>
      <c r="F213" t="str">
        <f>survey_responses[[#This Row],[Độ tuổi của bạn:]]</f>
        <v>30 - 39</v>
      </c>
      <c r="G213" t="str">
        <f>step3_validation[[#This Row],[Region]]</f>
        <v>Thành thị</v>
      </c>
      <c r="H213" t="str">
        <f>survey_responses[[#This Row],[Khu vực bạn đang sinh sống:]]</f>
        <v>Thành thị</v>
      </c>
      <c r="I213" t="str">
        <f>step3_validation[[#This Row],[Education]]</f>
        <v>Đại học</v>
      </c>
      <c r="J213" t="str">
        <f>survey_responses[[#This Row],[Trình độ học vấn cao nhất:]]</f>
        <v>Đại học</v>
      </c>
      <c r="K213" t="str">
        <f>step3_validation[[#This Row],[Employment]]</f>
        <v>Chính thức</v>
      </c>
      <c r="L213" t="str">
        <f>survey_responses[[#This Row],[Tình trạng việc làm chính:]]</f>
        <v>Khu vực chính thức (Có Hợp đồng lao động, đóng BHXH)</v>
      </c>
      <c r="M213">
        <f>step3_validation[[#This Row],[Income_Mil]]</f>
        <v>60.023674058288861</v>
      </c>
      <c r="N213" t="str">
        <f>survey_responses[[#This Row],[Thu nhập bình quân tháng theo Hợp đồng lao động của bạn là bao nhiêu? (Vui lòng điền tổng thu nhập trước khi khấu trừ các loại Bảo hiểm (BHXH, BHYT, BHTN) và Thuế TNCN)]]</f>
        <v>Từ 48 - 70 triệu VNĐ</v>
      </c>
      <c r="O213">
        <f>step3_validation[[#This Row],[Dependents]]</f>
        <v>0</v>
      </c>
      <c r="P213" t="str">
        <f>survey_responses[[#This Row],[Số người phụ thuộc (con nhỏ, cha mẹ già...) đủ điều kiện giảm trừ gia cảnh:]]</f>
        <v>0 người</v>
      </c>
      <c r="Q213">
        <f>step3_validation[[#This Row],[AI_ENF1]]</f>
        <v>6</v>
      </c>
      <c r="R213">
        <f t="shared" si="81"/>
        <v>0.55555555555555558</v>
      </c>
      <c r="S213">
        <f>survey_responses[[#This Row],[Tôi tin rằng với các quy định quản lý thuế hiện nay, hành vi gian lận hoặc trốn thuế sẽ dễ dàng bị phát hiện và xử lý nghiêm. - HUMAN-ENF1]]</f>
        <v>5</v>
      </c>
      <c r="T213">
        <f t="shared" si="82"/>
        <v>0.44444444444444442</v>
      </c>
      <c r="U213">
        <f>step3_validation[[#This Row],[AI_ENF2]]</f>
        <v>7</v>
      </c>
      <c r="V213">
        <f t="shared" si="83"/>
        <v>0.66666666666666663</v>
      </c>
      <c r="W213">
        <f>survey_responses[[#This Row],[Tôi tin rằng Nhà nước, cơ quan thuế có đủ khả năng và công nghệ để phát hiện, xử lý nghiêm các hành vi trốn thuế. - HUMAN-ENF2]]</f>
        <v>5</v>
      </c>
      <c r="X213">
        <f t="shared" si="84"/>
        <v>0.44444444444444442</v>
      </c>
      <c r="Y213" s="32">
        <f t="shared" si="85"/>
        <v>0.61111111111111116</v>
      </c>
      <c r="Z213" s="32">
        <f t="shared" si="86"/>
        <v>0.44444444444444442</v>
      </c>
      <c r="AA213">
        <f>step3_validation[[#This Row],[AI_FAC1]]</f>
        <v>8</v>
      </c>
      <c r="AB213">
        <f t="shared" si="87"/>
        <v>0.77777777777777779</v>
      </c>
      <c r="AC213">
        <f>survey_responses[[#This Row],[Các thủ tục khai báo thuế VÀ/HOẶC quy trình làm việc với cơ quan thuế đơn giản, tiện lợi, nhanh chóng hơn so với trước đây. - HUMAN-FAC1]]</f>
        <v>1</v>
      </c>
      <c r="AD213">
        <f t="shared" si="88"/>
        <v>0</v>
      </c>
      <c r="AE213">
        <f>step3_validation[[#This Row],[AI_FAC2]]</f>
        <v>9</v>
      </c>
      <c r="AF213">
        <f t="shared" si="89"/>
        <v>0.88888888888888884</v>
      </c>
      <c r="AG213">
        <f>survey_responses[[#This Row],[So với trước đây, tôi thấy cách tính thuế và các bậc thuế trong phương án mới đơn giản, dễ hiểu và dễ thực hiện hơn. - HUMAN-FAC2]]</f>
        <v>5</v>
      </c>
      <c r="AH213">
        <f t="shared" si="90"/>
        <v>0.44444444444444442</v>
      </c>
      <c r="AI213" s="32">
        <f t="shared" si="91"/>
        <v>0.83333333333333326</v>
      </c>
      <c r="AJ213" s="32">
        <f t="shared" si="92"/>
        <v>0.22222222222222221</v>
      </c>
      <c r="AK213">
        <f>step3_validation[[#This Row],[AI_TRU1]]</f>
        <v>8</v>
      </c>
      <c r="AL213">
        <f t="shared" si="93"/>
        <v>0.77777777777777779</v>
      </c>
      <c r="AM213">
        <f>survey_responses[[#This Row],[Tôi tin rằng Nhà nước, cơ quan thuế sẽ thực thi chính sách mới một cách khách quan, công tâm và đối xử bình đẳng với mọi người nộp thuế.  - HUMAN-TRU1]]</f>
        <v>5</v>
      </c>
      <c r="AN213">
        <f t="shared" si="94"/>
        <v>0.44444444444444442</v>
      </c>
      <c r="AO213">
        <f>step3_validation[[#This Row],[AI_TRU2]]</f>
        <v>9</v>
      </c>
      <c r="AP213">
        <f t="shared" si="95"/>
        <v>0.88888888888888884</v>
      </c>
      <c r="AQ213">
        <f>survey_responses[[#This Row],[Tôi thấy mức thuế tôi phải đóng theo phương án mới là công bằng (người thu nhập như tôi đóng mức này là hợp lý). - HUMAN-TRU2]]</f>
        <v>5</v>
      </c>
      <c r="AR213">
        <f t="shared" si="96"/>
        <v>0.44444444444444442</v>
      </c>
      <c r="AS213">
        <f>step3_validation[[#This Row],[AI_TRU3]]</f>
        <v>8</v>
      </c>
      <c r="AT213">
        <f t="shared" si="97"/>
        <v>0.77777777777777779</v>
      </c>
      <c r="AU213">
        <f>survey_responses[[#This Row],[Tôi tin tưởng số tiền thuế tôi đóng sẽ được Nhà nước sử dụng hiệu quả để cải thiện dịch vụ công (y tế, đường xá...). - HUMAN-TRU3]]</f>
        <v>4</v>
      </c>
      <c r="AV213">
        <f t="shared" si="98"/>
        <v>0.33333333333333331</v>
      </c>
      <c r="AW213">
        <f>step3_validation[[#This Row],[AI_TRU4]]</f>
        <v>9</v>
      </c>
      <c r="AX213">
        <f t="shared" si="99"/>
        <v>0.88888888888888884</v>
      </c>
      <c r="AY213">
        <f>survey_responses[[#This Row],[Tôi thấy Nhà nước đã giải thích rõ ràng, minh bạch về lý do và mục tiêu của việc sửa đổi thuế lần này. - HUMAN-TRU4]]</f>
        <v>5</v>
      </c>
      <c r="AZ213">
        <f t="shared" si="100"/>
        <v>0.44444444444444442</v>
      </c>
      <c r="BA213" s="32">
        <f t="shared" si="101"/>
        <v>0.83333333333333326</v>
      </c>
      <c r="BB213" s="32">
        <f t="shared" si="102"/>
        <v>0.41666666666666663</v>
      </c>
      <c r="BC213" s="7">
        <f t="shared" si="103"/>
        <v>0.75925925925925919</v>
      </c>
      <c r="BD213" s="7">
        <f t="shared" si="104"/>
        <v>0.3611111111111111</v>
      </c>
      <c r="BE213">
        <f>step3_validation[[#This Row],[AI_OUT1]]</f>
        <v>8</v>
      </c>
      <c r="BF213">
        <f t="shared" si="105"/>
        <v>0.77777777777777779</v>
      </c>
      <c r="BG213">
        <f>survey_responses[[#This Row],[Sau khi xem xét các quyền lợi và nghĩa vụ, bạn có ủng hộ và tuân thủ chính sách mới hiện nay? - HUMAN-OUT1]]</f>
        <v>5</v>
      </c>
      <c r="BH213">
        <f t="shared" si="106"/>
        <v>0.44444444444444442</v>
      </c>
      <c r="BI213" s="32">
        <f t="shared" si="107"/>
        <v>3</v>
      </c>
    </row>
    <row r="214" spans="1:61" x14ac:dyDescent="0.45">
      <c r="A214" s="30">
        <f>step3_validation[[#This Row],[Persona_ID]]</f>
        <v>213</v>
      </c>
      <c r="B214" s="31">
        <f>step3_validation[[#This Row],[Used_Seed]]</f>
        <v>213</v>
      </c>
      <c r="C214" t="str">
        <f>step3_validation[[#This Row],[Gender]]</f>
        <v>Nữ</v>
      </c>
      <c r="D214" t="str">
        <f>survey_responses[[#This Row],[Giới tính của bạn:]]</f>
        <v>Nữ</v>
      </c>
      <c r="E214" t="str">
        <f>step3_validation[[#This Row],[Age_Group]]</f>
        <v>30 - 39</v>
      </c>
      <c r="F214" t="str">
        <f>survey_responses[[#This Row],[Độ tuổi của bạn:]]</f>
        <v>30 - 39</v>
      </c>
      <c r="G214" t="str">
        <f>step3_validation[[#This Row],[Region]]</f>
        <v>Thành thị</v>
      </c>
      <c r="H214" t="str">
        <f>survey_responses[[#This Row],[Khu vực bạn đang sinh sống:]]</f>
        <v>Thành thị</v>
      </c>
      <c r="I214" t="str">
        <f>step3_validation[[#This Row],[Education]]</f>
        <v>Đại học</v>
      </c>
      <c r="J214" t="str">
        <f>survey_responses[[#This Row],[Trình độ học vấn cao nhất:]]</f>
        <v>Đại học</v>
      </c>
      <c r="K214" t="str">
        <f>step3_validation[[#This Row],[Employment]]</f>
        <v>Chính thức</v>
      </c>
      <c r="L214" t="str">
        <f>survey_responses[[#This Row],[Tình trạng việc làm chính:]]</f>
        <v>Khu vực chính thức (Có Hợp đồng lao động, đóng BHXH)</v>
      </c>
      <c r="M214">
        <f>step3_validation[[#This Row],[Income_Mil]]</f>
        <v>61.668074252236785</v>
      </c>
      <c r="N214" t="str">
        <f>survey_responses[[#This Row],[Thu nhập bình quân tháng theo Hợp đồng lao động của bạn là bao nhiêu? (Vui lòng điền tổng thu nhập trước khi khấu trừ các loại Bảo hiểm (BHXH, BHYT, BHTN) và Thuế TNCN)]]</f>
        <v>Từ 48 - 70 triệu VNĐ</v>
      </c>
      <c r="O214">
        <f>step3_validation[[#This Row],[Dependents]]</f>
        <v>4</v>
      </c>
      <c r="P214" t="str">
        <f>survey_responses[[#This Row],[Số người phụ thuộc (con nhỏ, cha mẹ già...) đủ điều kiện giảm trừ gia cảnh:]]</f>
        <v>4 người trở lên</v>
      </c>
      <c r="Q214">
        <f>step3_validation[[#This Row],[AI_ENF1]]</f>
        <v>8</v>
      </c>
      <c r="R214">
        <f t="shared" si="81"/>
        <v>0.77777777777777779</v>
      </c>
      <c r="S214">
        <f>survey_responses[[#This Row],[Tôi tin rằng với các quy định quản lý thuế hiện nay, hành vi gian lận hoặc trốn thuế sẽ dễ dàng bị phát hiện và xử lý nghiêm. - HUMAN-ENF1]]</f>
        <v>7</v>
      </c>
      <c r="T214">
        <f t="shared" si="82"/>
        <v>0.66666666666666663</v>
      </c>
      <c r="U214">
        <f>step3_validation[[#This Row],[AI_ENF2]]</f>
        <v>9</v>
      </c>
      <c r="V214">
        <f t="shared" si="83"/>
        <v>0.88888888888888884</v>
      </c>
      <c r="W214">
        <f>survey_responses[[#This Row],[Tôi tin rằng Nhà nước, cơ quan thuế có đủ khả năng và công nghệ để phát hiện, xử lý nghiêm các hành vi trốn thuế. - HUMAN-ENF2]]</f>
        <v>8</v>
      </c>
      <c r="X214">
        <f t="shared" si="84"/>
        <v>0.77777777777777779</v>
      </c>
      <c r="Y214" s="32">
        <f t="shared" si="85"/>
        <v>0.83333333333333326</v>
      </c>
      <c r="Z214" s="32">
        <f t="shared" si="86"/>
        <v>0.72222222222222221</v>
      </c>
      <c r="AA214">
        <f>step3_validation[[#This Row],[AI_FAC1]]</f>
        <v>7</v>
      </c>
      <c r="AB214">
        <f t="shared" si="87"/>
        <v>0.66666666666666663</v>
      </c>
      <c r="AC214">
        <f>survey_responses[[#This Row],[Các thủ tục khai báo thuế VÀ/HOẶC quy trình làm việc với cơ quan thuế đơn giản, tiện lợi, nhanh chóng hơn so với trước đây. - HUMAN-FAC1]]</f>
        <v>8</v>
      </c>
      <c r="AD214">
        <f t="shared" si="88"/>
        <v>0.77777777777777779</v>
      </c>
      <c r="AE214">
        <f>step3_validation[[#This Row],[AI_FAC2]]</f>
        <v>9</v>
      </c>
      <c r="AF214">
        <f t="shared" si="89"/>
        <v>0.88888888888888884</v>
      </c>
      <c r="AG214">
        <f>survey_responses[[#This Row],[So với trước đây, tôi thấy cách tính thuế và các bậc thuế trong phương án mới đơn giản, dễ hiểu và dễ thực hiện hơn. - HUMAN-FAC2]]</f>
        <v>8</v>
      </c>
      <c r="AH214">
        <f t="shared" si="90"/>
        <v>0.77777777777777779</v>
      </c>
      <c r="AI214" s="32">
        <f t="shared" si="91"/>
        <v>0.77777777777777768</v>
      </c>
      <c r="AJ214" s="32">
        <f t="shared" si="92"/>
        <v>0.77777777777777779</v>
      </c>
      <c r="AK214">
        <f>step3_validation[[#This Row],[AI_TRU1]]</f>
        <v>7</v>
      </c>
      <c r="AL214">
        <f t="shared" si="93"/>
        <v>0.66666666666666663</v>
      </c>
      <c r="AM214">
        <f>survey_responses[[#This Row],[Tôi tin rằng Nhà nước, cơ quan thuế sẽ thực thi chính sách mới một cách khách quan, công tâm và đối xử bình đẳng với mọi người nộp thuế.  - HUMAN-TRU1]]</f>
        <v>8</v>
      </c>
      <c r="AN214">
        <f t="shared" si="94"/>
        <v>0.77777777777777779</v>
      </c>
      <c r="AO214">
        <f>step3_validation[[#This Row],[AI_TRU2]]</f>
        <v>8</v>
      </c>
      <c r="AP214">
        <f t="shared" si="95"/>
        <v>0.77777777777777779</v>
      </c>
      <c r="AQ214">
        <f>survey_responses[[#This Row],[Tôi thấy mức thuế tôi phải đóng theo phương án mới là công bằng (người thu nhập như tôi đóng mức này là hợp lý). - HUMAN-TRU2]]</f>
        <v>8</v>
      </c>
      <c r="AR214">
        <f t="shared" si="96"/>
        <v>0.77777777777777779</v>
      </c>
      <c r="AS214">
        <f>step3_validation[[#This Row],[AI_TRU3]]</f>
        <v>6</v>
      </c>
      <c r="AT214">
        <f t="shared" si="97"/>
        <v>0.55555555555555558</v>
      </c>
      <c r="AU214">
        <f>survey_responses[[#This Row],[Tôi tin tưởng số tiền thuế tôi đóng sẽ được Nhà nước sử dụng hiệu quả để cải thiện dịch vụ công (y tế, đường xá...). - HUMAN-TRU3]]</f>
        <v>8</v>
      </c>
      <c r="AV214">
        <f t="shared" si="98"/>
        <v>0.77777777777777779</v>
      </c>
      <c r="AW214">
        <f>step3_validation[[#This Row],[AI_TRU4]]</f>
        <v>7</v>
      </c>
      <c r="AX214">
        <f t="shared" si="99"/>
        <v>0.66666666666666663</v>
      </c>
      <c r="AY214">
        <f>survey_responses[[#This Row],[Tôi thấy Nhà nước đã giải thích rõ ràng, minh bạch về lý do và mục tiêu của việc sửa đổi thuế lần này. - HUMAN-TRU4]]</f>
        <v>8</v>
      </c>
      <c r="AZ214">
        <f t="shared" si="100"/>
        <v>0.77777777777777779</v>
      </c>
      <c r="BA214" s="32">
        <f t="shared" si="101"/>
        <v>0.66666666666666663</v>
      </c>
      <c r="BB214" s="32">
        <f t="shared" si="102"/>
        <v>0.77777777777777779</v>
      </c>
      <c r="BC214" s="7">
        <f t="shared" si="103"/>
        <v>0.75925925925925919</v>
      </c>
      <c r="BD214" s="7">
        <f t="shared" si="104"/>
        <v>0.75925925925925919</v>
      </c>
      <c r="BE214">
        <f>step3_validation[[#This Row],[AI_OUT1]]</f>
        <v>8</v>
      </c>
      <c r="BF214">
        <f t="shared" si="105"/>
        <v>0.77777777777777779</v>
      </c>
      <c r="BG214">
        <f>survey_responses[[#This Row],[Sau khi xem xét các quyền lợi và nghĩa vụ, bạn có ủng hộ và tuân thủ chính sách mới hiện nay? - HUMAN-OUT1]]</f>
        <v>8</v>
      </c>
      <c r="BH214">
        <f t="shared" si="106"/>
        <v>0.77777777777777779</v>
      </c>
      <c r="BI214" s="32">
        <f t="shared" si="107"/>
        <v>0</v>
      </c>
    </row>
    <row r="215" spans="1:61" x14ac:dyDescent="0.45">
      <c r="A215" s="30">
        <f>step3_validation[[#This Row],[Persona_ID]]</f>
        <v>214</v>
      </c>
      <c r="B215" s="31">
        <f>step3_validation[[#This Row],[Used_Seed]]</f>
        <v>214</v>
      </c>
      <c r="C215" t="str">
        <f>step3_validation[[#This Row],[Gender]]</f>
        <v>Nữ</v>
      </c>
      <c r="D215" t="str">
        <f>survey_responses[[#This Row],[Giới tính của bạn:]]</f>
        <v>Nữ</v>
      </c>
      <c r="E215" t="str">
        <f>step3_validation[[#This Row],[Age_Group]]</f>
        <v>30 - 39</v>
      </c>
      <c r="F215" t="str">
        <f>survey_responses[[#This Row],[Độ tuổi của bạn:]]</f>
        <v>30 - 39</v>
      </c>
      <c r="G215" t="str">
        <f>step3_validation[[#This Row],[Region]]</f>
        <v>Thành thị</v>
      </c>
      <c r="H215" t="str">
        <f>survey_responses[[#This Row],[Khu vực bạn đang sinh sống:]]</f>
        <v>Thành thị</v>
      </c>
      <c r="I215" t="str">
        <f>step3_validation[[#This Row],[Education]]</f>
        <v>Sau Đại học</v>
      </c>
      <c r="J215" t="str">
        <f>survey_responses[[#This Row],[Trình độ học vấn cao nhất:]]</f>
        <v>Sau Đại học</v>
      </c>
      <c r="K215" t="str">
        <f>step3_validation[[#This Row],[Employment]]</f>
        <v>Chính thức</v>
      </c>
      <c r="L215" t="str">
        <f>survey_responses[[#This Row],[Tình trạng việc làm chính:]]</f>
        <v>Khu vực chính thức (Có Hợp đồng lao động, đóng BHXH)</v>
      </c>
      <c r="M215">
        <f>step3_validation[[#This Row],[Income_Mil]]</f>
        <v>49.984617050979359</v>
      </c>
      <c r="N215" t="str">
        <f>survey_responses[[#This Row],[Thu nhập bình quân tháng theo Hợp đồng lao động của bạn là bao nhiêu? (Vui lòng điền tổng thu nhập trước khi khấu trừ các loại Bảo hiểm (BHXH, BHYT, BHTN) và Thuế TNCN)]]</f>
        <v>Từ 48 - 70 triệu VNĐ</v>
      </c>
      <c r="O215">
        <f>step3_validation[[#This Row],[Dependents]]</f>
        <v>4</v>
      </c>
      <c r="P215" t="str">
        <f>survey_responses[[#This Row],[Số người phụ thuộc (con nhỏ, cha mẹ già...) đủ điều kiện giảm trừ gia cảnh:]]</f>
        <v>4 người trở lên</v>
      </c>
      <c r="Q215">
        <f>step3_validation[[#This Row],[AI_ENF1]]</f>
        <v>9</v>
      </c>
      <c r="R215">
        <f t="shared" si="81"/>
        <v>0.88888888888888884</v>
      </c>
      <c r="S215">
        <f>survey_responses[[#This Row],[Tôi tin rằng với các quy định quản lý thuế hiện nay, hành vi gian lận hoặc trốn thuế sẽ dễ dàng bị phát hiện và xử lý nghiêm. - HUMAN-ENF1]]</f>
        <v>9</v>
      </c>
      <c r="T215">
        <f t="shared" si="82"/>
        <v>0.88888888888888884</v>
      </c>
      <c r="U215">
        <f>step3_validation[[#This Row],[AI_ENF2]]</f>
        <v>8</v>
      </c>
      <c r="V215">
        <f t="shared" si="83"/>
        <v>0.77777777777777779</v>
      </c>
      <c r="W215">
        <f>survey_responses[[#This Row],[Tôi tin rằng Nhà nước, cơ quan thuế có đủ khả năng và công nghệ để phát hiện, xử lý nghiêm các hành vi trốn thuế. - HUMAN-ENF2]]</f>
        <v>9</v>
      </c>
      <c r="X215">
        <f t="shared" si="84"/>
        <v>0.88888888888888884</v>
      </c>
      <c r="Y215" s="32">
        <f t="shared" si="85"/>
        <v>0.83333333333333326</v>
      </c>
      <c r="Z215" s="32">
        <f t="shared" si="86"/>
        <v>0.88888888888888884</v>
      </c>
      <c r="AA215">
        <f>step3_validation[[#This Row],[AI_FAC1]]</f>
        <v>9</v>
      </c>
      <c r="AB215">
        <f t="shared" si="87"/>
        <v>0.88888888888888884</v>
      </c>
      <c r="AC215">
        <f>survey_responses[[#This Row],[Các thủ tục khai báo thuế VÀ/HOẶC quy trình làm việc với cơ quan thuế đơn giản, tiện lợi, nhanh chóng hơn so với trước đây. - HUMAN-FAC1]]</f>
        <v>9</v>
      </c>
      <c r="AD215">
        <f t="shared" si="88"/>
        <v>0.88888888888888884</v>
      </c>
      <c r="AE215">
        <f>step3_validation[[#This Row],[AI_FAC2]]</f>
        <v>8</v>
      </c>
      <c r="AF215">
        <f t="shared" si="89"/>
        <v>0.77777777777777779</v>
      </c>
      <c r="AG215">
        <f>survey_responses[[#This Row],[So với trước đây, tôi thấy cách tính thuế và các bậc thuế trong phương án mới đơn giản, dễ hiểu và dễ thực hiện hơn. - HUMAN-FAC2]]</f>
        <v>9</v>
      </c>
      <c r="AH215">
        <f t="shared" si="90"/>
        <v>0.88888888888888884</v>
      </c>
      <c r="AI215" s="32">
        <f t="shared" si="91"/>
        <v>0.83333333333333326</v>
      </c>
      <c r="AJ215" s="32">
        <f t="shared" si="92"/>
        <v>0.88888888888888884</v>
      </c>
      <c r="AK215">
        <f>step3_validation[[#This Row],[AI_TRU1]]</f>
        <v>9</v>
      </c>
      <c r="AL215">
        <f t="shared" si="93"/>
        <v>0.88888888888888884</v>
      </c>
      <c r="AM215">
        <f>survey_responses[[#This Row],[Tôi tin rằng Nhà nước, cơ quan thuế sẽ thực thi chính sách mới một cách khách quan, công tâm và đối xử bình đẳng với mọi người nộp thuế.  - HUMAN-TRU1]]</f>
        <v>9</v>
      </c>
      <c r="AN215">
        <f t="shared" si="94"/>
        <v>0.88888888888888884</v>
      </c>
      <c r="AO215">
        <f>step3_validation[[#This Row],[AI_TRU2]]</f>
        <v>8</v>
      </c>
      <c r="AP215">
        <f t="shared" si="95"/>
        <v>0.77777777777777779</v>
      </c>
      <c r="AQ215">
        <f>survey_responses[[#This Row],[Tôi thấy mức thuế tôi phải đóng theo phương án mới là công bằng (người thu nhập như tôi đóng mức này là hợp lý). - HUMAN-TRU2]]</f>
        <v>9</v>
      </c>
      <c r="AR215">
        <f t="shared" si="96"/>
        <v>0.88888888888888884</v>
      </c>
      <c r="AS215">
        <f>step3_validation[[#This Row],[AI_TRU3]]</f>
        <v>9</v>
      </c>
      <c r="AT215">
        <f t="shared" si="97"/>
        <v>0.88888888888888884</v>
      </c>
      <c r="AU215">
        <f>survey_responses[[#This Row],[Tôi tin tưởng số tiền thuế tôi đóng sẽ được Nhà nước sử dụng hiệu quả để cải thiện dịch vụ công (y tế, đường xá...). - HUMAN-TRU3]]</f>
        <v>9</v>
      </c>
      <c r="AV215">
        <f t="shared" si="98"/>
        <v>0.88888888888888884</v>
      </c>
      <c r="AW215">
        <f>step3_validation[[#This Row],[AI_TRU4]]</f>
        <v>8</v>
      </c>
      <c r="AX215">
        <f t="shared" si="99"/>
        <v>0.77777777777777779</v>
      </c>
      <c r="AY215">
        <f>survey_responses[[#This Row],[Tôi thấy Nhà nước đã giải thích rõ ràng, minh bạch về lý do và mục tiêu của việc sửa đổi thuế lần này. - HUMAN-TRU4]]</f>
        <v>9</v>
      </c>
      <c r="AZ215">
        <f t="shared" si="100"/>
        <v>0.88888888888888884</v>
      </c>
      <c r="BA215" s="32">
        <f t="shared" si="101"/>
        <v>0.83333333333333326</v>
      </c>
      <c r="BB215" s="32">
        <f t="shared" si="102"/>
        <v>0.88888888888888884</v>
      </c>
      <c r="BC215" s="7">
        <f t="shared" si="103"/>
        <v>0.83333333333333337</v>
      </c>
      <c r="BD215" s="7">
        <f t="shared" si="104"/>
        <v>0.88888888888888884</v>
      </c>
      <c r="BE215">
        <f>step3_validation[[#This Row],[AI_OUT1]]</f>
        <v>9</v>
      </c>
      <c r="BF215">
        <f t="shared" si="105"/>
        <v>0.88888888888888884</v>
      </c>
      <c r="BG215">
        <f>survey_responses[[#This Row],[Sau khi xem xét các quyền lợi và nghĩa vụ, bạn có ủng hộ và tuân thủ chính sách mới hiện nay? - HUMAN-OUT1]]</f>
        <v>9</v>
      </c>
      <c r="BH215">
        <f t="shared" si="106"/>
        <v>0.88888888888888884</v>
      </c>
      <c r="BI215" s="32">
        <f t="shared" si="107"/>
        <v>0</v>
      </c>
    </row>
    <row r="216" spans="1:61" x14ac:dyDescent="0.45">
      <c r="A216" s="30">
        <f>step3_validation[[#This Row],[Persona_ID]]</f>
        <v>215</v>
      </c>
      <c r="B216" s="31">
        <f>step3_validation[[#This Row],[Used_Seed]]</f>
        <v>215</v>
      </c>
      <c r="C216" t="str">
        <f>step3_validation[[#This Row],[Gender]]</f>
        <v>Nữ</v>
      </c>
      <c r="D216" t="str">
        <f>survey_responses[[#This Row],[Giới tính của bạn:]]</f>
        <v>Nữ</v>
      </c>
      <c r="E216" t="str">
        <f>step3_validation[[#This Row],[Age_Group]]</f>
        <v>30 - 39</v>
      </c>
      <c r="F216" t="str">
        <f>survey_responses[[#This Row],[Độ tuổi của bạn:]]</f>
        <v>30 - 39</v>
      </c>
      <c r="G216" t="str">
        <f>step3_validation[[#This Row],[Region]]</f>
        <v>Thành thị</v>
      </c>
      <c r="H216" t="str">
        <f>survey_responses[[#This Row],[Khu vực bạn đang sinh sống:]]</f>
        <v>Thành thị</v>
      </c>
      <c r="I216" t="str">
        <f>step3_validation[[#This Row],[Education]]</f>
        <v>Sau Đại học</v>
      </c>
      <c r="J216" t="str">
        <f>survey_responses[[#This Row],[Trình độ học vấn cao nhất:]]</f>
        <v>Sau Đại học</v>
      </c>
      <c r="K216" t="str">
        <f>step3_validation[[#This Row],[Employment]]</f>
        <v>Chính thức</v>
      </c>
      <c r="L216" t="str">
        <f>survey_responses[[#This Row],[Tình trạng việc làm chính:]]</f>
        <v>Khu vực chính thức (Có Hợp đồng lao động, đóng BHXH)</v>
      </c>
      <c r="M216">
        <f>step3_validation[[#This Row],[Income_Mil]]</f>
        <v>21.643834659705703</v>
      </c>
      <c r="N216" t="str">
        <f>survey_responses[[#This Row],[Thu nhập bình quân tháng theo Hợp đồng lao động của bạn là bao nhiêu? (Vui lòng điền tổng thu nhập trước khi khấu trừ các loại Bảo hiểm (BHXH, BHYT, BHTN) và Thuế TNCN)]]</f>
        <v>Từ 18 - 23 triệu VNĐ</v>
      </c>
      <c r="O216">
        <f>step3_validation[[#This Row],[Dependents]]</f>
        <v>2</v>
      </c>
      <c r="P216" t="str">
        <f>survey_responses[[#This Row],[Số người phụ thuộc (con nhỏ, cha mẹ già...) đủ điều kiện giảm trừ gia cảnh:]]</f>
        <v>2 người</v>
      </c>
      <c r="Q216">
        <f>step3_validation[[#This Row],[AI_ENF1]]</f>
        <v>7</v>
      </c>
      <c r="R216">
        <f t="shared" si="81"/>
        <v>0.66666666666666663</v>
      </c>
      <c r="S216">
        <f>survey_responses[[#This Row],[Tôi tin rằng với các quy định quản lý thuế hiện nay, hành vi gian lận hoặc trốn thuế sẽ dễ dàng bị phát hiện và xử lý nghiêm. - HUMAN-ENF1]]</f>
        <v>5</v>
      </c>
      <c r="T216">
        <f t="shared" si="82"/>
        <v>0.44444444444444442</v>
      </c>
      <c r="U216">
        <f>step3_validation[[#This Row],[AI_ENF2]]</f>
        <v>7</v>
      </c>
      <c r="V216">
        <f t="shared" si="83"/>
        <v>0.66666666666666663</v>
      </c>
      <c r="W216">
        <f>survey_responses[[#This Row],[Tôi tin rằng Nhà nước, cơ quan thuế có đủ khả năng và công nghệ để phát hiện, xử lý nghiêm các hành vi trốn thuế. - HUMAN-ENF2]]</f>
        <v>5</v>
      </c>
      <c r="X216">
        <f t="shared" si="84"/>
        <v>0.44444444444444442</v>
      </c>
      <c r="Y216" s="32">
        <f t="shared" si="85"/>
        <v>0.66666666666666663</v>
      </c>
      <c r="Z216" s="32">
        <f t="shared" si="86"/>
        <v>0.44444444444444442</v>
      </c>
      <c r="AA216">
        <f>step3_validation[[#This Row],[AI_FAC1]]</f>
        <v>9</v>
      </c>
      <c r="AB216">
        <f t="shared" si="87"/>
        <v>0.88888888888888884</v>
      </c>
      <c r="AC216">
        <f>survey_responses[[#This Row],[Các thủ tục khai báo thuế VÀ/HOẶC quy trình làm việc với cơ quan thuế đơn giản, tiện lợi, nhanh chóng hơn so với trước đây. - HUMAN-FAC1]]</f>
        <v>5</v>
      </c>
      <c r="AD216">
        <f t="shared" si="88"/>
        <v>0.44444444444444442</v>
      </c>
      <c r="AE216">
        <f>step3_validation[[#This Row],[AI_FAC2]]</f>
        <v>8</v>
      </c>
      <c r="AF216">
        <f t="shared" si="89"/>
        <v>0.77777777777777779</v>
      </c>
      <c r="AG216">
        <f>survey_responses[[#This Row],[So với trước đây, tôi thấy cách tính thuế và các bậc thuế trong phương án mới đơn giản, dễ hiểu và dễ thực hiện hơn. - HUMAN-FAC2]]</f>
        <v>5</v>
      </c>
      <c r="AH216">
        <f t="shared" si="90"/>
        <v>0.44444444444444442</v>
      </c>
      <c r="AI216" s="32">
        <f t="shared" si="91"/>
        <v>0.83333333333333326</v>
      </c>
      <c r="AJ216" s="32">
        <f t="shared" si="92"/>
        <v>0.44444444444444442</v>
      </c>
      <c r="AK216">
        <f>step3_validation[[#This Row],[AI_TRU1]]</f>
        <v>7</v>
      </c>
      <c r="AL216">
        <f t="shared" si="93"/>
        <v>0.66666666666666663</v>
      </c>
      <c r="AM216">
        <f>survey_responses[[#This Row],[Tôi tin rằng Nhà nước, cơ quan thuế sẽ thực thi chính sách mới một cách khách quan, công tâm và đối xử bình đẳng với mọi người nộp thuế.  - HUMAN-TRU1]]</f>
        <v>5</v>
      </c>
      <c r="AN216">
        <f t="shared" si="94"/>
        <v>0.44444444444444442</v>
      </c>
      <c r="AO216">
        <f>step3_validation[[#This Row],[AI_TRU2]]</f>
        <v>9</v>
      </c>
      <c r="AP216">
        <f t="shared" si="95"/>
        <v>0.88888888888888884</v>
      </c>
      <c r="AQ216">
        <f>survey_responses[[#This Row],[Tôi thấy mức thuế tôi phải đóng theo phương án mới là công bằng (người thu nhập như tôi đóng mức này là hợp lý). - HUMAN-TRU2]]</f>
        <v>5</v>
      </c>
      <c r="AR216">
        <f t="shared" si="96"/>
        <v>0.44444444444444442</v>
      </c>
      <c r="AS216">
        <f>step3_validation[[#This Row],[AI_TRU3]]</f>
        <v>6</v>
      </c>
      <c r="AT216">
        <f t="shared" si="97"/>
        <v>0.55555555555555558</v>
      </c>
      <c r="AU216">
        <f>survey_responses[[#This Row],[Tôi tin tưởng số tiền thuế tôi đóng sẽ được Nhà nước sử dụng hiệu quả để cải thiện dịch vụ công (y tế, đường xá...). - HUMAN-TRU3]]</f>
        <v>5</v>
      </c>
      <c r="AV216">
        <f t="shared" si="98"/>
        <v>0.44444444444444442</v>
      </c>
      <c r="AW216">
        <f>step3_validation[[#This Row],[AI_TRU4]]</f>
        <v>8</v>
      </c>
      <c r="AX216">
        <f t="shared" si="99"/>
        <v>0.77777777777777779</v>
      </c>
      <c r="AY216">
        <f>survey_responses[[#This Row],[Tôi thấy Nhà nước đã giải thích rõ ràng, minh bạch về lý do và mục tiêu của việc sửa đổi thuế lần này. - HUMAN-TRU4]]</f>
        <v>5</v>
      </c>
      <c r="AZ216">
        <f t="shared" si="100"/>
        <v>0.44444444444444442</v>
      </c>
      <c r="BA216" s="32">
        <f t="shared" si="101"/>
        <v>0.7222222222222221</v>
      </c>
      <c r="BB216" s="32">
        <f t="shared" si="102"/>
        <v>0.44444444444444442</v>
      </c>
      <c r="BC216" s="7">
        <f t="shared" si="103"/>
        <v>0.74074074074074081</v>
      </c>
      <c r="BD216" s="7">
        <f t="shared" si="104"/>
        <v>0.44444444444444442</v>
      </c>
      <c r="BE216">
        <f>step3_validation[[#This Row],[AI_OUT1]]</f>
        <v>0</v>
      </c>
      <c r="BF216">
        <f t="shared" si="105"/>
        <v>-0.1111111111111111</v>
      </c>
      <c r="BG216">
        <f>survey_responses[[#This Row],[Sau khi xem xét các quyền lợi và nghĩa vụ, bạn có ủng hộ và tuân thủ chính sách mới hiện nay? - HUMAN-OUT1]]</f>
        <v>5</v>
      </c>
      <c r="BH216">
        <f t="shared" si="106"/>
        <v>0.44444444444444442</v>
      </c>
      <c r="BI216" s="32">
        <f t="shared" si="107"/>
        <v>5</v>
      </c>
    </row>
    <row r="217" spans="1:61" x14ac:dyDescent="0.45">
      <c r="A217" s="30">
        <f>step3_validation[[#This Row],[Persona_ID]]</f>
        <v>216</v>
      </c>
      <c r="B217" s="31">
        <f>step3_validation[[#This Row],[Used_Seed]]</f>
        <v>216</v>
      </c>
      <c r="C217" t="str">
        <f>step3_validation[[#This Row],[Gender]]</f>
        <v>Nữ</v>
      </c>
      <c r="D217" t="str">
        <f>survey_responses[[#This Row],[Giới tính của bạn:]]</f>
        <v>Nữ</v>
      </c>
      <c r="E217" t="str">
        <f>step3_validation[[#This Row],[Age_Group]]</f>
        <v>30 - 39</v>
      </c>
      <c r="F217" t="str">
        <f>survey_responses[[#This Row],[Độ tuổi của bạn:]]</f>
        <v>30 - 39</v>
      </c>
      <c r="G217" t="str">
        <f>step3_validation[[#This Row],[Region]]</f>
        <v>Thành thị</v>
      </c>
      <c r="H217" t="str">
        <f>survey_responses[[#This Row],[Khu vực bạn đang sinh sống:]]</f>
        <v>Thành thị</v>
      </c>
      <c r="I217" t="str">
        <f>step3_validation[[#This Row],[Education]]</f>
        <v>Sau Đại học</v>
      </c>
      <c r="J217" t="str">
        <f>survey_responses[[#This Row],[Trình độ học vấn cao nhất:]]</f>
        <v>Sau Đại học</v>
      </c>
      <c r="K217" t="str">
        <f>step3_validation[[#This Row],[Employment]]</f>
        <v>Chính thức</v>
      </c>
      <c r="L217" t="str">
        <f>survey_responses[[#This Row],[Tình trạng việc làm chính:]]</f>
        <v>Khu vực chính thức (Có Hợp đồng lao động, đóng BHXH)</v>
      </c>
      <c r="M217">
        <f>step3_validation[[#This Row],[Income_Mil]]</f>
        <v>45.796058094524604</v>
      </c>
      <c r="N217" t="str">
        <f>survey_responses[[#This Row],[Thu nhập bình quân tháng theo Hợp đồng lao động của bạn là bao nhiêu? (Vui lòng điền tổng thu nhập trước khi khấu trừ các loại Bảo hiểm (BHXH, BHYT, BHTN) và Thuế TNCN)]]</f>
        <v>Từ 32 - 48 triệu VNĐ</v>
      </c>
      <c r="O217">
        <f>step3_validation[[#This Row],[Dependents]]</f>
        <v>1</v>
      </c>
      <c r="P217" t="str">
        <f>survey_responses[[#This Row],[Số người phụ thuộc (con nhỏ, cha mẹ già...) đủ điều kiện giảm trừ gia cảnh:]]</f>
        <v>1 người</v>
      </c>
      <c r="Q217">
        <f>step3_validation[[#This Row],[AI_ENF1]]</f>
        <v>7</v>
      </c>
      <c r="R217">
        <f t="shared" si="81"/>
        <v>0.66666666666666663</v>
      </c>
      <c r="S217">
        <f>survey_responses[[#This Row],[Tôi tin rằng với các quy định quản lý thuế hiện nay, hành vi gian lận hoặc trốn thuế sẽ dễ dàng bị phát hiện và xử lý nghiêm. - HUMAN-ENF1]]</f>
        <v>6</v>
      </c>
      <c r="T217">
        <f t="shared" si="82"/>
        <v>0.55555555555555558</v>
      </c>
      <c r="U217">
        <f>step3_validation[[#This Row],[AI_ENF2]]</f>
        <v>8</v>
      </c>
      <c r="V217">
        <f t="shared" si="83"/>
        <v>0.77777777777777779</v>
      </c>
      <c r="W217">
        <f>survey_responses[[#This Row],[Tôi tin rằng Nhà nước, cơ quan thuế có đủ khả năng và công nghệ để phát hiện, xử lý nghiêm các hành vi trốn thuế. - HUMAN-ENF2]]</f>
        <v>7</v>
      </c>
      <c r="X217">
        <f t="shared" si="84"/>
        <v>0.66666666666666663</v>
      </c>
      <c r="Y217" s="32">
        <f t="shared" si="85"/>
        <v>0.72222222222222221</v>
      </c>
      <c r="Z217" s="32">
        <f t="shared" si="86"/>
        <v>0.61111111111111116</v>
      </c>
      <c r="AA217">
        <f>step3_validation[[#This Row],[AI_FAC1]]</f>
        <v>9</v>
      </c>
      <c r="AB217">
        <f t="shared" si="87"/>
        <v>0.88888888888888884</v>
      </c>
      <c r="AC217">
        <f>survey_responses[[#This Row],[Các thủ tục khai báo thuế VÀ/HOẶC quy trình làm việc với cơ quan thuế đơn giản, tiện lợi, nhanh chóng hơn so với trước đây. - HUMAN-FAC1]]</f>
        <v>7</v>
      </c>
      <c r="AD217">
        <f t="shared" si="88"/>
        <v>0.66666666666666663</v>
      </c>
      <c r="AE217">
        <f>step3_validation[[#This Row],[AI_FAC2]]</f>
        <v>8</v>
      </c>
      <c r="AF217">
        <f t="shared" si="89"/>
        <v>0.77777777777777779</v>
      </c>
      <c r="AG217">
        <f>survey_responses[[#This Row],[So với trước đây, tôi thấy cách tính thuế và các bậc thuế trong phương án mới đơn giản, dễ hiểu và dễ thực hiện hơn. - HUMAN-FAC2]]</f>
        <v>7</v>
      </c>
      <c r="AH217">
        <f t="shared" si="90"/>
        <v>0.66666666666666663</v>
      </c>
      <c r="AI217" s="32">
        <f t="shared" si="91"/>
        <v>0.83333333333333326</v>
      </c>
      <c r="AJ217" s="32">
        <f t="shared" si="92"/>
        <v>0.66666666666666663</v>
      </c>
      <c r="AK217">
        <f>step3_validation[[#This Row],[AI_TRU1]]</f>
        <v>6</v>
      </c>
      <c r="AL217">
        <f t="shared" si="93"/>
        <v>0.55555555555555558</v>
      </c>
      <c r="AM217">
        <f>survey_responses[[#This Row],[Tôi tin rằng Nhà nước, cơ quan thuế sẽ thực thi chính sách mới một cách khách quan, công tâm và đối xử bình đẳng với mọi người nộp thuế.  - HUMAN-TRU1]]</f>
        <v>6</v>
      </c>
      <c r="AN217">
        <f t="shared" si="94"/>
        <v>0.55555555555555558</v>
      </c>
      <c r="AO217">
        <f>step3_validation[[#This Row],[AI_TRU2]]</f>
        <v>9</v>
      </c>
      <c r="AP217">
        <f t="shared" si="95"/>
        <v>0.88888888888888884</v>
      </c>
      <c r="AQ217">
        <f>survey_responses[[#This Row],[Tôi thấy mức thuế tôi phải đóng theo phương án mới là công bằng (người thu nhập như tôi đóng mức này là hợp lý). - HUMAN-TRU2]]</f>
        <v>7</v>
      </c>
      <c r="AR217">
        <f t="shared" si="96"/>
        <v>0.66666666666666663</v>
      </c>
      <c r="AS217">
        <f>step3_validation[[#This Row],[AI_TRU3]]</f>
        <v>7</v>
      </c>
      <c r="AT217">
        <f t="shared" si="97"/>
        <v>0.66666666666666663</v>
      </c>
      <c r="AU217">
        <f>survey_responses[[#This Row],[Tôi tin tưởng số tiền thuế tôi đóng sẽ được Nhà nước sử dụng hiệu quả để cải thiện dịch vụ công (y tế, đường xá...). - HUMAN-TRU3]]</f>
        <v>7</v>
      </c>
      <c r="AV217">
        <f t="shared" si="98"/>
        <v>0.66666666666666663</v>
      </c>
      <c r="AW217">
        <f>step3_validation[[#This Row],[AI_TRU4]]</f>
        <v>6</v>
      </c>
      <c r="AX217">
        <f t="shared" si="99"/>
        <v>0.55555555555555558</v>
      </c>
      <c r="AY217">
        <f>survey_responses[[#This Row],[Tôi thấy Nhà nước đã giải thích rõ ràng, minh bạch về lý do và mục tiêu của việc sửa đổi thuế lần này. - HUMAN-TRU4]]</f>
        <v>7</v>
      </c>
      <c r="AZ217">
        <f t="shared" si="100"/>
        <v>0.66666666666666663</v>
      </c>
      <c r="BA217" s="32">
        <f t="shared" si="101"/>
        <v>0.66666666666666674</v>
      </c>
      <c r="BB217" s="32">
        <f t="shared" si="102"/>
        <v>0.63888888888888884</v>
      </c>
      <c r="BC217" s="7">
        <f t="shared" si="103"/>
        <v>0.74074074074074081</v>
      </c>
      <c r="BD217" s="7">
        <f t="shared" si="104"/>
        <v>0.63888888888888884</v>
      </c>
      <c r="BE217">
        <f>step3_validation[[#This Row],[AI_OUT1]]</f>
        <v>8</v>
      </c>
      <c r="BF217">
        <f t="shared" si="105"/>
        <v>0.77777777777777779</v>
      </c>
      <c r="BG217">
        <f>survey_responses[[#This Row],[Sau khi xem xét các quyền lợi và nghĩa vụ, bạn có ủng hộ và tuân thủ chính sách mới hiện nay? - HUMAN-OUT1]]</f>
        <v>7</v>
      </c>
      <c r="BH217">
        <f t="shared" si="106"/>
        <v>0.66666666666666663</v>
      </c>
      <c r="BI217" s="32">
        <f t="shared" si="107"/>
        <v>1</v>
      </c>
    </row>
    <row r="218" spans="1:61" x14ac:dyDescent="0.45">
      <c r="A218" s="30">
        <f>step3_validation[[#This Row],[Persona_ID]]</f>
        <v>217</v>
      </c>
      <c r="B218" s="31">
        <f>step3_validation[[#This Row],[Used_Seed]]</f>
        <v>217</v>
      </c>
      <c r="C218" t="str">
        <f>step3_validation[[#This Row],[Gender]]</f>
        <v>Nam</v>
      </c>
      <c r="D218" t="str">
        <f>survey_responses[[#This Row],[Giới tính của bạn:]]</f>
        <v>Nam</v>
      </c>
      <c r="E218" t="str">
        <f>step3_validation[[#This Row],[Age_Group]]</f>
        <v>30 - 39</v>
      </c>
      <c r="F218" t="str">
        <f>survey_responses[[#This Row],[Độ tuổi của bạn:]]</f>
        <v>30 - 39</v>
      </c>
      <c r="G218" t="str">
        <f>step3_validation[[#This Row],[Region]]</f>
        <v>Thành thị</v>
      </c>
      <c r="H218" t="str">
        <f>survey_responses[[#This Row],[Khu vực bạn đang sinh sống:]]</f>
        <v>Thành thị</v>
      </c>
      <c r="I218" t="str">
        <f>step3_validation[[#This Row],[Education]]</f>
        <v>Đại học</v>
      </c>
      <c r="J218" t="str">
        <f>survey_responses[[#This Row],[Trình độ học vấn cao nhất:]]</f>
        <v>Đại học</v>
      </c>
      <c r="K218" t="str">
        <f>step3_validation[[#This Row],[Employment]]</f>
        <v>Chính thức</v>
      </c>
      <c r="L218" t="str">
        <f>survey_responses[[#This Row],[Tình trạng việc làm chính:]]</f>
        <v>Khu vực chính thức (Có Hợp đồng lao động, đóng BHXH)</v>
      </c>
      <c r="M218">
        <f>step3_validation[[#This Row],[Income_Mil]]</f>
        <v>44.87867531438576</v>
      </c>
      <c r="N218" t="str">
        <f>survey_responses[[#This Row],[Thu nhập bình quân tháng theo Hợp đồng lao động của bạn là bao nhiêu? (Vui lòng điền tổng thu nhập trước khi khấu trừ các loại Bảo hiểm (BHXH, BHYT, BHTN) và Thuế TNCN)]]</f>
        <v>Từ 32 - 48 triệu VNĐ</v>
      </c>
      <c r="O218">
        <f>step3_validation[[#This Row],[Dependents]]</f>
        <v>0</v>
      </c>
      <c r="P218" t="str">
        <f>survey_responses[[#This Row],[Số người phụ thuộc (con nhỏ, cha mẹ già...) đủ điều kiện giảm trừ gia cảnh:]]</f>
        <v>0 người</v>
      </c>
      <c r="Q218">
        <f>step3_validation[[#This Row],[AI_ENF1]]</f>
        <v>7</v>
      </c>
      <c r="R218">
        <f t="shared" si="81"/>
        <v>0.66666666666666663</v>
      </c>
      <c r="S218">
        <f>survey_responses[[#This Row],[Tôi tin rằng với các quy định quản lý thuế hiện nay, hành vi gian lận hoặc trốn thuế sẽ dễ dàng bị phát hiện và xử lý nghiêm. - HUMAN-ENF1]]</f>
        <v>5</v>
      </c>
      <c r="T218">
        <f t="shared" si="82"/>
        <v>0.44444444444444442</v>
      </c>
      <c r="U218">
        <f>step3_validation[[#This Row],[AI_ENF2]]</f>
        <v>8</v>
      </c>
      <c r="V218">
        <f t="shared" si="83"/>
        <v>0.77777777777777779</v>
      </c>
      <c r="W218">
        <f>survey_responses[[#This Row],[Tôi tin rằng Nhà nước, cơ quan thuế có đủ khả năng và công nghệ để phát hiện, xử lý nghiêm các hành vi trốn thuế. - HUMAN-ENF2]]</f>
        <v>5</v>
      </c>
      <c r="X218">
        <f t="shared" si="84"/>
        <v>0.44444444444444442</v>
      </c>
      <c r="Y218" s="32">
        <f t="shared" si="85"/>
        <v>0.72222222222222221</v>
      </c>
      <c r="Z218" s="32">
        <f t="shared" si="86"/>
        <v>0.44444444444444442</v>
      </c>
      <c r="AA218">
        <f>step3_validation[[#This Row],[AI_FAC1]]</f>
        <v>9</v>
      </c>
      <c r="AB218">
        <f t="shared" si="87"/>
        <v>0.88888888888888884</v>
      </c>
      <c r="AC218">
        <f>survey_responses[[#This Row],[Các thủ tục khai báo thuế VÀ/HOẶC quy trình làm việc với cơ quan thuế đơn giản, tiện lợi, nhanh chóng hơn so với trước đây. - HUMAN-FAC1]]</f>
        <v>5</v>
      </c>
      <c r="AD218">
        <f t="shared" si="88"/>
        <v>0.44444444444444442</v>
      </c>
      <c r="AE218">
        <f>step3_validation[[#This Row],[AI_FAC2]]</f>
        <v>10</v>
      </c>
      <c r="AF218">
        <f t="shared" si="89"/>
        <v>1</v>
      </c>
      <c r="AG218">
        <f>survey_responses[[#This Row],[So với trước đây, tôi thấy cách tính thuế và các bậc thuế trong phương án mới đơn giản, dễ hiểu và dễ thực hiện hơn. - HUMAN-FAC2]]</f>
        <v>6</v>
      </c>
      <c r="AH218">
        <f t="shared" si="90"/>
        <v>0.55555555555555558</v>
      </c>
      <c r="AI218" s="32">
        <f t="shared" si="91"/>
        <v>0.94444444444444442</v>
      </c>
      <c r="AJ218" s="32">
        <f t="shared" si="92"/>
        <v>0.5</v>
      </c>
      <c r="AK218">
        <f>step3_validation[[#This Row],[AI_TRU1]]</f>
        <v>7</v>
      </c>
      <c r="AL218">
        <f t="shared" si="93"/>
        <v>0.66666666666666663</v>
      </c>
      <c r="AM218">
        <f>survey_responses[[#This Row],[Tôi tin rằng Nhà nước, cơ quan thuế sẽ thực thi chính sách mới một cách khách quan, công tâm và đối xử bình đẳng với mọi người nộp thuế.  - HUMAN-TRU1]]</f>
        <v>5</v>
      </c>
      <c r="AN218">
        <f t="shared" si="94"/>
        <v>0.44444444444444442</v>
      </c>
      <c r="AO218">
        <f>step3_validation[[#This Row],[AI_TRU2]]</f>
        <v>9</v>
      </c>
      <c r="AP218">
        <f t="shared" si="95"/>
        <v>0.88888888888888884</v>
      </c>
      <c r="AQ218">
        <f>survey_responses[[#This Row],[Tôi thấy mức thuế tôi phải đóng theo phương án mới là công bằng (người thu nhập như tôi đóng mức này là hợp lý). - HUMAN-TRU2]]</f>
        <v>5</v>
      </c>
      <c r="AR218">
        <f t="shared" si="96"/>
        <v>0.44444444444444442</v>
      </c>
      <c r="AS218">
        <f>step3_validation[[#This Row],[AI_TRU3]]</f>
        <v>7</v>
      </c>
      <c r="AT218">
        <f t="shared" si="97"/>
        <v>0.66666666666666663</v>
      </c>
      <c r="AU218">
        <f>survey_responses[[#This Row],[Tôi tin tưởng số tiền thuế tôi đóng sẽ được Nhà nước sử dụng hiệu quả để cải thiện dịch vụ công (y tế, đường xá...). - HUMAN-TRU3]]</f>
        <v>5</v>
      </c>
      <c r="AV218">
        <f t="shared" si="98"/>
        <v>0.44444444444444442</v>
      </c>
      <c r="AW218">
        <f>step3_validation[[#This Row],[AI_TRU4]]</f>
        <v>9</v>
      </c>
      <c r="AX218">
        <f t="shared" si="99"/>
        <v>0.88888888888888884</v>
      </c>
      <c r="AY218">
        <f>survey_responses[[#This Row],[Tôi thấy Nhà nước đã giải thích rõ ràng, minh bạch về lý do và mục tiêu của việc sửa đổi thuế lần này. - HUMAN-TRU4]]</f>
        <v>5</v>
      </c>
      <c r="AZ218">
        <f t="shared" si="100"/>
        <v>0.44444444444444442</v>
      </c>
      <c r="BA218" s="32">
        <f t="shared" si="101"/>
        <v>0.77777777777777768</v>
      </c>
      <c r="BB218" s="32">
        <f t="shared" si="102"/>
        <v>0.44444444444444442</v>
      </c>
      <c r="BC218" s="7">
        <f t="shared" si="103"/>
        <v>0.81481481481481477</v>
      </c>
      <c r="BD218" s="7">
        <f t="shared" si="104"/>
        <v>0.46296296296296297</v>
      </c>
      <c r="BE218">
        <f>step3_validation[[#This Row],[AI_OUT1]]</f>
        <v>8</v>
      </c>
      <c r="BF218">
        <f t="shared" si="105"/>
        <v>0.77777777777777779</v>
      </c>
      <c r="BG218">
        <f>survey_responses[[#This Row],[Sau khi xem xét các quyền lợi và nghĩa vụ, bạn có ủng hộ và tuân thủ chính sách mới hiện nay? - HUMAN-OUT1]]</f>
        <v>5</v>
      </c>
      <c r="BH218">
        <f t="shared" si="106"/>
        <v>0.44444444444444442</v>
      </c>
      <c r="BI218" s="32">
        <f t="shared" si="107"/>
        <v>3</v>
      </c>
    </row>
    <row r="219" spans="1:61" x14ac:dyDescent="0.45">
      <c r="A219" s="30">
        <f>step3_validation[[#This Row],[Persona_ID]]</f>
        <v>218</v>
      </c>
      <c r="B219" s="31">
        <f>step3_validation[[#This Row],[Used_Seed]]</f>
        <v>218</v>
      </c>
      <c r="C219" t="str">
        <f>step3_validation[[#This Row],[Gender]]</f>
        <v>Nữ</v>
      </c>
      <c r="D219" t="str">
        <f>survey_responses[[#This Row],[Giới tính của bạn:]]</f>
        <v>Nữ</v>
      </c>
      <c r="E219" t="str">
        <f>step3_validation[[#This Row],[Age_Group]]</f>
        <v>30 - 39</v>
      </c>
      <c r="F219" t="str">
        <f>survey_responses[[#This Row],[Độ tuổi của bạn:]]</f>
        <v>30 - 39</v>
      </c>
      <c r="G219" t="str">
        <f>step3_validation[[#This Row],[Region]]</f>
        <v>Thành thị</v>
      </c>
      <c r="H219" t="str">
        <f>survey_responses[[#This Row],[Khu vực bạn đang sinh sống:]]</f>
        <v>Thành thị</v>
      </c>
      <c r="I219" t="str">
        <f>step3_validation[[#This Row],[Education]]</f>
        <v>Đại học</v>
      </c>
      <c r="J219" t="str">
        <f>survey_responses[[#This Row],[Trình độ học vấn cao nhất:]]</f>
        <v>Đại học</v>
      </c>
      <c r="K219" t="str">
        <f>step3_validation[[#This Row],[Employment]]</f>
        <v>Chính thức</v>
      </c>
      <c r="L219" t="str">
        <f>survey_responses[[#This Row],[Tình trạng việc làm chính:]]</f>
        <v>Khu vực chính thức (Có Hợp đồng lao động, đóng BHXH)</v>
      </c>
      <c r="M219">
        <f>step3_validation[[#This Row],[Income_Mil]]</f>
        <v>68.590372311478617</v>
      </c>
      <c r="N219" t="str">
        <f>survey_responses[[#This Row],[Thu nhập bình quân tháng theo Hợp đồng lao động của bạn là bao nhiêu? (Vui lòng điền tổng thu nhập trước khi khấu trừ các loại Bảo hiểm (BHXH, BHYT, BHTN) và Thuế TNCN)]]</f>
        <v>Từ 48 - 70 triệu VNĐ</v>
      </c>
      <c r="O219">
        <f>step3_validation[[#This Row],[Dependents]]</f>
        <v>3</v>
      </c>
      <c r="P219" t="str">
        <f>survey_responses[[#This Row],[Số người phụ thuộc (con nhỏ, cha mẹ già...) đủ điều kiện giảm trừ gia cảnh:]]</f>
        <v>3 người</v>
      </c>
      <c r="Q219">
        <f>step3_validation[[#This Row],[AI_ENF1]]</f>
        <v>9</v>
      </c>
      <c r="R219">
        <f t="shared" si="81"/>
        <v>0.88888888888888884</v>
      </c>
      <c r="S219">
        <f>survey_responses[[#This Row],[Tôi tin rằng với các quy định quản lý thuế hiện nay, hành vi gian lận hoặc trốn thuế sẽ dễ dàng bị phát hiện và xử lý nghiêm. - HUMAN-ENF1]]</f>
        <v>6</v>
      </c>
      <c r="T219">
        <f t="shared" si="82"/>
        <v>0.55555555555555558</v>
      </c>
      <c r="U219">
        <f>step3_validation[[#This Row],[AI_ENF2]]</f>
        <v>8</v>
      </c>
      <c r="V219">
        <f t="shared" si="83"/>
        <v>0.77777777777777779</v>
      </c>
      <c r="W219">
        <f>survey_responses[[#This Row],[Tôi tin rằng Nhà nước, cơ quan thuế có đủ khả năng và công nghệ để phát hiện, xử lý nghiêm các hành vi trốn thuế. - HUMAN-ENF2]]</f>
        <v>7</v>
      </c>
      <c r="X219">
        <f t="shared" si="84"/>
        <v>0.66666666666666663</v>
      </c>
      <c r="Y219" s="32">
        <f t="shared" si="85"/>
        <v>0.83333333333333326</v>
      </c>
      <c r="Z219" s="32">
        <f t="shared" si="86"/>
        <v>0.61111111111111116</v>
      </c>
      <c r="AA219">
        <f>step3_validation[[#This Row],[AI_FAC1]]</f>
        <v>9</v>
      </c>
      <c r="AB219">
        <f t="shared" si="87"/>
        <v>0.88888888888888884</v>
      </c>
      <c r="AC219">
        <f>survey_responses[[#This Row],[Các thủ tục khai báo thuế VÀ/HOẶC quy trình làm việc với cơ quan thuế đơn giản, tiện lợi, nhanh chóng hơn so với trước đây. - HUMAN-FAC1]]</f>
        <v>7</v>
      </c>
      <c r="AD219">
        <f t="shared" si="88"/>
        <v>0.66666666666666663</v>
      </c>
      <c r="AE219">
        <f>step3_validation[[#This Row],[AI_FAC2]]</f>
        <v>8</v>
      </c>
      <c r="AF219">
        <f t="shared" si="89"/>
        <v>0.77777777777777779</v>
      </c>
      <c r="AG219">
        <f>survey_responses[[#This Row],[So với trước đây, tôi thấy cách tính thuế và các bậc thuế trong phương án mới đơn giản, dễ hiểu và dễ thực hiện hơn. - HUMAN-FAC2]]</f>
        <v>7</v>
      </c>
      <c r="AH219">
        <f t="shared" si="90"/>
        <v>0.66666666666666663</v>
      </c>
      <c r="AI219" s="32">
        <f t="shared" si="91"/>
        <v>0.83333333333333326</v>
      </c>
      <c r="AJ219" s="32">
        <f t="shared" si="92"/>
        <v>0.66666666666666663</v>
      </c>
      <c r="AK219">
        <f>step3_validation[[#This Row],[AI_TRU1]]</f>
        <v>9</v>
      </c>
      <c r="AL219">
        <f t="shared" si="93"/>
        <v>0.88888888888888884</v>
      </c>
      <c r="AM219">
        <f>survey_responses[[#This Row],[Tôi tin rằng Nhà nước, cơ quan thuế sẽ thực thi chính sách mới một cách khách quan, công tâm và đối xử bình đẳng với mọi người nộp thuế.  - HUMAN-TRU1]]</f>
        <v>7</v>
      </c>
      <c r="AN219">
        <f t="shared" si="94"/>
        <v>0.66666666666666663</v>
      </c>
      <c r="AO219">
        <f>step3_validation[[#This Row],[AI_TRU2]]</f>
        <v>8</v>
      </c>
      <c r="AP219">
        <f t="shared" si="95"/>
        <v>0.77777777777777779</v>
      </c>
      <c r="AQ219">
        <f>survey_responses[[#This Row],[Tôi thấy mức thuế tôi phải đóng theo phương án mới là công bằng (người thu nhập như tôi đóng mức này là hợp lý). - HUMAN-TRU2]]</f>
        <v>7</v>
      </c>
      <c r="AR219">
        <f t="shared" si="96"/>
        <v>0.66666666666666663</v>
      </c>
      <c r="AS219">
        <f>step3_validation[[#This Row],[AI_TRU3]]</f>
        <v>9</v>
      </c>
      <c r="AT219">
        <f t="shared" si="97"/>
        <v>0.88888888888888884</v>
      </c>
      <c r="AU219">
        <f>survey_responses[[#This Row],[Tôi tin tưởng số tiền thuế tôi đóng sẽ được Nhà nước sử dụng hiệu quả để cải thiện dịch vụ công (y tế, đường xá...). - HUMAN-TRU3]]</f>
        <v>7</v>
      </c>
      <c r="AV219">
        <f t="shared" si="98"/>
        <v>0.66666666666666663</v>
      </c>
      <c r="AW219">
        <f>step3_validation[[#This Row],[AI_TRU4]]</f>
        <v>8</v>
      </c>
      <c r="AX219">
        <f t="shared" si="99"/>
        <v>0.77777777777777779</v>
      </c>
      <c r="AY219">
        <f>survey_responses[[#This Row],[Tôi thấy Nhà nước đã giải thích rõ ràng, minh bạch về lý do và mục tiêu của việc sửa đổi thuế lần này. - HUMAN-TRU4]]</f>
        <v>7</v>
      </c>
      <c r="AZ219">
        <f t="shared" si="100"/>
        <v>0.66666666666666663</v>
      </c>
      <c r="BA219" s="32">
        <f t="shared" si="101"/>
        <v>0.83333333333333326</v>
      </c>
      <c r="BB219" s="32">
        <f t="shared" si="102"/>
        <v>0.66666666666666663</v>
      </c>
      <c r="BC219" s="7">
        <f t="shared" si="103"/>
        <v>0.83333333333333337</v>
      </c>
      <c r="BD219" s="7">
        <f t="shared" si="104"/>
        <v>0.64814814814814803</v>
      </c>
      <c r="BE219">
        <f>step3_validation[[#This Row],[AI_OUT1]]</f>
        <v>9</v>
      </c>
      <c r="BF219">
        <f t="shared" si="105"/>
        <v>0.88888888888888884</v>
      </c>
      <c r="BG219">
        <f>survey_responses[[#This Row],[Sau khi xem xét các quyền lợi và nghĩa vụ, bạn có ủng hộ và tuân thủ chính sách mới hiện nay? - HUMAN-OUT1]]</f>
        <v>7</v>
      </c>
      <c r="BH219">
        <f t="shared" si="106"/>
        <v>0.66666666666666663</v>
      </c>
      <c r="BI219" s="32">
        <f t="shared" si="107"/>
        <v>2</v>
      </c>
    </row>
    <row r="220" spans="1:61" x14ac:dyDescent="0.45">
      <c r="A220" s="30">
        <f>step3_validation[[#This Row],[Persona_ID]]</f>
        <v>219</v>
      </c>
      <c r="B220" s="31">
        <f>step3_validation[[#This Row],[Used_Seed]]</f>
        <v>219</v>
      </c>
      <c r="C220" t="str">
        <f>step3_validation[[#This Row],[Gender]]</f>
        <v>Nam</v>
      </c>
      <c r="D220" t="str">
        <f>survey_responses[[#This Row],[Giới tính của bạn:]]</f>
        <v>Nam</v>
      </c>
      <c r="E220" t="str">
        <f>step3_validation[[#This Row],[Age_Group]]</f>
        <v>55 - 64</v>
      </c>
      <c r="F220" t="str">
        <f>survey_responses[[#This Row],[Độ tuổi của bạn:]]</f>
        <v>55 - 64</v>
      </c>
      <c r="G220" t="str">
        <f>step3_validation[[#This Row],[Region]]</f>
        <v>Thành thị</v>
      </c>
      <c r="H220" t="str">
        <f>survey_responses[[#This Row],[Khu vực bạn đang sinh sống:]]</f>
        <v>Thành thị</v>
      </c>
      <c r="I220" t="str">
        <f>step3_validation[[#This Row],[Education]]</f>
        <v>Sau Đại học</v>
      </c>
      <c r="J220" t="str">
        <f>survey_responses[[#This Row],[Trình độ học vấn cao nhất:]]</f>
        <v>Sau Đại học</v>
      </c>
      <c r="K220" t="str">
        <f>step3_validation[[#This Row],[Employment]]</f>
        <v>Chính thức</v>
      </c>
      <c r="L220" t="str">
        <f>survey_responses[[#This Row],[Tình trạng việc làm chính:]]</f>
        <v>Khu vực chính thức (Có Hợp đồng lao động, đóng BHXH)</v>
      </c>
      <c r="M220">
        <f>step3_validation[[#This Row],[Income_Mil]]</f>
        <v>203.83778934601204</v>
      </c>
      <c r="N220" t="str">
        <f>survey_responses[[#This Row],[Thu nhập bình quân tháng theo Hợp đồng lao động của bạn là bao nhiêu? (Vui lòng điền tổng thu nhập trước khi khấu trừ các loại Bảo hiểm (BHXH, BHYT, BHTN) và Thuế TNCN)]]</f>
        <v>Trên 102 triệu VNĐ</v>
      </c>
      <c r="O220">
        <f>step3_validation[[#This Row],[Dependents]]</f>
        <v>2</v>
      </c>
      <c r="P220" t="str">
        <f>survey_responses[[#This Row],[Số người phụ thuộc (con nhỏ, cha mẹ già...) đủ điều kiện giảm trừ gia cảnh:]]</f>
        <v>2 người</v>
      </c>
      <c r="Q220">
        <f>step3_validation[[#This Row],[AI_ENF1]]</f>
        <v>6</v>
      </c>
      <c r="R220">
        <f t="shared" si="81"/>
        <v>0.55555555555555558</v>
      </c>
      <c r="S220">
        <f>survey_responses[[#This Row],[Tôi tin rằng với các quy định quản lý thuế hiện nay, hành vi gian lận hoặc trốn thuế sẽ dễ dàng bị phát hiện và xử lý nghiêm. - HUMAN-ENF1]]</f>
        <v>7</v>
      </c>
      <c r="T220">
        <f t="shared" si="82"/>
        <v>0.66666666666666663</v>
      </c>
      <c r="U220">
        <f>step3_validation[[#This Row],[AI_ENF2]]</f>
        <v>7</v>
      </c>
      <c r="V220">
        <f t="shared" si="83"/>
        <v>0.66666666666666663</v>
      </c>
      <c r="W220">
        <f>survey_responses[[#This Row],[Tôi tin rằng Nhà nước, cơ quan thuế có đủ khả năng và công nghệ để phát hiện, xử lý nghiêm các hành vi trốn thuế. - HUMAN-ENF2]]</f>
        <v>8</v>
      </c>
      <c r="X220">
        <f t="shared" si="84"/>
        <v>0.77777777777777779</v>
      </c>
      <c r="Y220" s="32">
        <f t="shared" si="85"/>
        <v>0.61111111111111116</v>
      </c>
      <c r="Z220" s="32">
        <f t="shared" si="86"/>
        <v>0.72222222222222221</v>
      </c>
      <c r="AA220">
        <f>step3_validation[[#This Row],[AI_FAC1]]</f>
        <v>8</v>
      </c>
      <c r="AB220">
        <f t="shared" si="87"/>
        <v>0.77777777777777779</v>
      </c>
      <c r="AC220">
        <f>survey_responses[[#This Row],[Các thủ tục khai báo thuế VÀ/HOẶC quy trình làm việc với cơ quan thuế đơn giản, tiện lợi, nhanh chóng hơn so với trước đây. - HUMAN-FAC1]]</f>
        <v>8</v>
      </c>
      <c r="AD220">
        <f t="shared" si="88"/>
        <v>0.77777777777777779</v>
      </c>
      <c r="AE220">
        <f>step3_validation[[#This Row],[AI_FAC2]]</f>
        <v>9</v>
      </c>
      <c r="AF220">
        <f t="shared" si="89"/>
        <v>0.88888888888888884</v>
      </c>
      <c r="AG220">
        <f>survey_responses[[#This Row],[So với trước đây, tôi thấy cách tính thuế và các bậc thuế trong phương án mới đơn giản, dễ hiểu và dễ thực hiện hơn. - HUMAN-FAC2]]</f>
        <v>8</v>
      </c>
      <c r="AH220">
        <f t="shared" si="90"/>
        <v>0.77777777777777779</v>
      </c>
      <c r="AI220" s="32">
        <f t="shared" si="91"/>
        <v>0.83333333333333326</v>
      </c>
      <c r="AJ220" s="32">
        <f t="shared" si="92"/>
        <v>0.77777777777777779</v>
      </c>
      <c r="AK220">
        <f>step3_validation[[#This Row],[AI_TRU1]]</f>
        <v>7</v>
      </c>
      <c r="AL220">
        <f t="shared" si="93"/>
        <v>0.66666666666666663</v>
      </c>
      <c r="AM220">
        <f>survey_responses[[#This Row],[Tôi tin rằng Nhà nước, cơ quan thuế sẽ thực thi chính sách mới một cách khách quan, công tâm và đối xử bình đẳng với mọi người nộp thuế.  - HUMAN-TRU1]]</f>
        <v>8</v>
      </c>
      <c r="AN220">
        <f t="shared" si="94"/>
        <v>0.77777777777777779</v>
      </c>
      <c r="AO220">
        <f>step3_validation[[#This Row],[AI_TRU2]]</f>
        <v>9</v>
      </c>
      <c r="AP220">
        <f t="shared" si="95"/>
        <v>0.88888888888888884</v>
      </c>
      <c r="AQ220">
        <f>survey_responses[[#This Row],[Tôi thấy mức thuế tôi phải đóng theo phương án mới là công bằng (người thu nhập như tôi đóng mức này là hợp lý). - HUMAN-TRU2]]</f>
        <v>5</v>
      </c>
      <c r="AR220">
        <f t="shared" si="96"/>
        <v>0.44444444444444442</v>
      </c>
      <c r="AS220">
        <f>step3_validation[[#This Row],[AI_TRU3]]</f>
        <v>7</v>
      </c>
      <c r="AT220">
        <f t="shared" si="97"/>
        <v>0.66666666666666663</v>
      </c>
      <c r="AU220">
        <f>survey_responses[[#This Row],[Tôi tin tưởng số tiền thuế tôi đóng sẽ được Nhà nước sử dụng hiệu quả để cải thiện dịch vụ công (y tế, đường xá...). - HUMAN-TRU3]]</f>
        <v>5</v>
      </c>
      <c r="AV220">
        <f t="shared" si="98"/>
        <v>0.44444444444444442</v>
      </c>
      <c r="AW220">
        <f>step3_validation[[#This Row],[AI_TRU4]]</f>
        <v>8</v>
      </c>
      <c r="AX220">
        <f t="shared" si="99"/>
        <v>0.77777777777777779</v>
      </c>
      <c r="AY220">
        <f>survey_responses[[#This Row],[Tôi thấy Nhà nước đã giải thích rõ ràng, minh bạch về lý do và mục tiêu của việc sửa đổi thuế lần này. - HUMAN-TRU4]]</f>
        <v>7</v>
      </c>
      <c r="AZ220">
        <f t="shared" si="100"/>
        <v>0.66666666666666663</v>
      </c>
      <c r="BA220" s="32">
        <f t="shared" si="101"/>
        <v>0.74999999999999989</v>
      </c>
      <c r="BB220" s="32">
        <f t="shared" si="102"/>
        <v>0.58333333333333337</v>
      </c>
      <c r="BC220" s="7">
        <f t="shared" si="103"/>
        <v>0.7314814814814814</v>
      </c>
      <c r="BD220" s="7">
        <f t="shared" si="104"/>
        <v>0.69444444444444453</v>
      </c>
      <c r="BE220">
        <f>step3_validation[[#This Row],[AI_OUT1]]</f>
        <v>9</v>
      </c>
      <c r="BF220">
        <f t="shared" si="105"/>
        <v>0.88888888888888884</v>
      </c>
      <c r="BG220">
        <f>survey_responses[[#This Row],[Sau khi xem xét các quyền lợi và nghĩa vụ, bạn có ủng hộ và tuân thủ chính sách mới hiện nay? - HUMAN-OUT1]]</f>
        <v>6</v>
      </c>
      <c r="BH220">
        <f t="shared" si="106"/>
        <v>0.55555555555555558</v>
      </c>
      <c r="BI220" s="32">
        <f t="shared" si="107"/>
        <v>3</v>
      </c>
    </row>
    <row r="221" spans="1:61" x14ac:dyDescent="0.45">
      <c r="A221" s="30">
        <f>step3_validation[[#This Row],[Persona_ID]]</f>
        <v>220</v>
      </c>
      <c r="B221" s="31">
        <f>step3_validation[[#This Row],[Used_Seed]]</f>
        <v>220</v>
      </c>
      <c r="C221" t="str">
        <f>step3_validation[[#This Row],[Gender]]</f>
        <v>Nữ</v>
      </c>
      <c r="D221" t="str">
        <f>survey_responses[[#This Row],[Giới tính của bạn:]]</f>
        <v>Nữ</v>
      </c>
      <c r="E221" t="str">
        <f>step3_validation[[#This Row],[Age_Group]]</f>
        <v>50 - 54</v>
      </c>
      <c r="F221" t="str">
        <f>survey_responses[[#This Row],[Độ tuổi của bạn:]]</f>
        <v>50 - 54</v>
      </c>
      <c r="G221" t="str">
        <f>step3_validation[[#This Row],[Region]]</f>
        <v>Thành thị</v>
      </c>
      <c r="H221" t="str">
        <f>survey_responses[[#This Row],[Khu vực bạn đang sinh sống:]]</f>
        <v>Thành thị</v>
      </c>
      <c r="I221" t="str">
        <f>step3_validation[[#This Row],[Education]]</f>
        <v>Sau Đại học</v>
      </c>
      <c r="J221" t="str">
        <f>survey_responses[[#This Row],[Trình độ học vấn cao nhất:]]</f>
        <v>Sau Đại học</v>
      </c>
      <c r="K221" t="str">
        <f>step3_validation[[#This Row],[Employment]]</f>
        <v>Chính thức</v>
      </c>
      <c r="L221" t="str">
        <f>survey_responses[[#This Row],[Tình trạng việc làm chính:]]</f>
        <v>Khu vực chính thức (Có Hợp đồng lao động, đóng BHXH)</v>
      </c>
      <c r="M221">
        <f>step3_validation[[#This Row],[Income_Mil]]</f>
        <v>233.81504568104771</v>
      </c>
      <c r="N221" t="str">
        <f>survey_responses[[#This Row],[Thu nhập bình quân tháng theo Hợp đồng lao động của bạn là bao nhiêu? (Vui lòng điền tổng thu nhập trước khi khấu trừ các loại Bảo hiểm (BHXH, BHYT, BHTN) và Thuế TNCN)]]</f>
        <v>Trên 102 triệu VNĐ</v>
      </c>
      <c r="O221">
        <f>step3_validation[[#This Row],[Dependents]]</f>
        <v>1</v>
      </c>
      <c r="P221" t="str">
        <f>survey_responses[[#This Row],[Số người phụ thuộc (con nhỏ, cha mẹ già...) đủ điều kiện giảm trừ gia cảnh:]]</f>
        <v>1 người</v>
      </c>
      <c r="Q221">
        <f>step3_validation[[#This Row],[AI_ENF1]]</f>
        <v>7</v>
      </c>
      <c r="R221">
        <f t="shared" si="81"/>
        <v>0.66666666666666663</v>
      </c>
      <c r="S221">
        <f>survey_responses[[#This Row],[Tôi tin rằng với các quy định quản lý thuế hiện nay, hành vi gian lận hoặc trốn thuế sẽ dễ dàng bị phát hiện và xử lý nghiêm. - HUMAN-ENF1]]</f>
        <v>10</v>
      </c>
      <c r="T221">
        <f t="shared" si="82"/>
        <v>1</v>
      </c>
      <c r="U221">
        <f>step3_validation[[#This Row],[AI_ENF2]]</f>
        <v>7</v>
      </c>
      <c r="V221">
        <f t="shared" si="83"/>
        <v>0.66666666666666663</v>
      </c>
      <c r="W221">
        <f>survey_responses[[#This Row],[Tôi tin rằng Nhà nước, cơ quan thuế có đủ khả năng và công nghệ để phát hiện, xử lý nghiêm các hành vi trốn thuế. - HUMAN-ENF2]]</f>
        <v>10</v>
      </c>
      <c r="X221">
        <f t="shared" si="84"/>
        <v>1</v>
      </c>
      <c r="Y221" s="32">
        <f t="shared" si="85"/>
        <v>0.66666666666666663</v>
      </c>
      <c r="Z221" s="32">
        <f t="shared" si="86"/>
        <v>1</v>
      </c>
      <c r="AA221">
        <f>step3_validation[[#This Row],[AI_FAC1]]</f>
        <v>8</v>
      </c>
      <c r="AB221">
        <f t="shared" si="87"/>
        <v>0.77777777777777779</v>
      </c>
      <c r="AC221">
        <f>survey_responses[[#This Row],[Các thủ tục khai báo thuế VÀ/HOẶC quy trình làm việc với cơ quan thuế đơn giản, tiện lợi, nhanh chóng hơn so với trước đây. - HUMAN-FAC1]]</f>
        <v>6</v>
      </c>
      <c r="AD221">
        <f t="shared" si="88"/>
        <v>0.55555555555555558</v>
      </c>
      <c r="AE221">
        <f>step3_validation[[#This Row],[AI_FAC2]]</f>
        <v>9</v>
      </c>
      <c r="AF221">
        <f t="shared" si="89"/>
        <v>0.88888888888888884</v>
      </c>
      <c r="AG221">
        <f>survey_responses[[#This Row],[So với trước đây, tôi thấy cách tính thuế và các bậc thuế trong phương án mới đơn giản, dễ hiểu và dễ thực hiện hơn. - HUMAN-FAC2]]</f>
        <v>9</v>
      </c>
      <c r="AH221">
        <f t="shared" si="90"/>
        <v>0.88888888888888884</v>
      </c>
      <c r="AI221" s="32">
        <f t="shared" si="91"/>
        <v>0.83333333333333326</v>
      </c>
      <c r="AJ221" s="32">
        <f t="shared" si="92"/>
        <v>0.72222222222222221</v>
      </c>
      <c r="AK221">
        <f>step3_validation[[#This Row],[AI_TRU1]]</f>
        <v>8</v>
      </c>
      <c r="AL221">
        <f t="shared" si="93"/>
        <v>0.77777777777777779</v>
      </c>
      <c r="AM221">
        <f>survey_responses[[#This Row],[Tôi tin rằng Nhà nước, cơ quan thuế sẽ thực thi chính sách mới một cách khách quan, công tâm và đối xử bình đẳng với mọi người nộp thuế.  - HUMAN-TRU1]]</f>
        <v>9</v>
      </c>
      <c r="AN221">
        <f t="shared" si="94"/>
        <v>0.88888888888888884</v>
      </c>
      <c r="AO221">
        <f>step3_validation[[#This Row],[AI_TRU2]]</f>
        <v>9</v>
      </c>
      <c r="AP221">
        <f t="shared" si="95"/>
        <v>0.88888888888888884</v>
      </c>
      <c r="AQ221">
        <f>survey_responses[[#This Row],[Tôi thấy mức thuế tôi phải đóng theo phương án mới là công bằng (người thu nhập như tôi đóng mức này là hợp lý). - HUMAN-TRU2]]</f>
        <v>9</v>
      </c>
      <c r="AR221">
        <f t="shared" si="96"/>
        <v>0.88888888888888884</v>
      </c>
      <c r="AS221">
        <f>step3_validation[[#This Row],[AI_TRU3]]</f>
        <v>8</v>
      </c>
      <c r="AT221">
        <f t="shared" si="97"/>
        <v>0.77777777777777779</v>
      </c>
      <c r="AU221">
        <f>survey_responses[[#This Row],[Tôi tin tưởng số tiền thuế tôi đóng sẽ được Nhà nước sử dụng hiệu quả để cải thiện dịch vụ công (y tế, đường xá...). - HUMAN-TRU3]]</f>
        <v>9</v>
      </c>
      <c r="AV221">
        <f t="shared" si="98"/>
        <v>0.88888888888888884</v>
      </c>
      <c r="AW221">
        <f>step3_validation[[#This Row],[AI_TRU4]]</f>
        <v>7</v>
      </c>
      <c r="AX221">
        <f t="shared" si="99"/>
        <v>0.66666666666666663</v>
      </c>
      <c r="AY221">
        <f>survey_responses[[#This Row],[Tôi thấy Nhà nước đã giải thích rõ ràng, minh bạch về lý do và mục tiêu của việc sửa đổi thuế lần này. - HUMAN-TRU4]]</f>
        <v>8</v>
      </c>
      <c r="AZ221">
        <f t="shared" si="100"/>
        <v>0.77777777777777779</v>
      </c>
      <c r="BA221" s="32">
        <f t="shared" si="101"/>
        <v>0.77777777777777768</v>
      </c>
      <c r="BB221" s="32">
        <f t="shared" si="102"/>
        <v>0.86111111111111105</v>
      </c>
      <c r="BC221" s="7">
        <f t="shared" si="103"/>
        <v>0.75925925925925919</v>
      </c>
      <c r="BD221" s="7">
        <f t="shared" si="104"/>
        <v>0.86111111111111116</v>
      </c>
      <c r="BE221">
        <f>step3_validation[[#This Row],[AI_OUT1]]</f>
        <v>9</v>
      </c>
      <c r="BF221">
        <f t="shared" si="105"/>
        <v>0.88888888888888884</v>
      </c>
      <c r="BG221">
        <f>survey_responses[[#This Row],[Sau khi xem xét các quyền lợi và nghĩa vụ, bạn có ủng hộ và tuân thủ chính sách mới hiện nay? - HUMAN-OUT1]]</f>
        <v>8</v>
      </c>
      <c r="BH221">
        <f t="shared" si="106"/>
        <v>0.77777777777777779</v>
      </c>
      <c r="BI221" s="32">
        <f t="shared" si="107"/>
        <v>1</v>
      </c>
    </row>
    <row r="222" spans="1:61" x14ac:dyDescent="0.45">
      <c r="A222" s="30">
        <f>step3_validation[[#This Row],[Persona_ID]]</f>
        <v>221</v>
      </c>
      <c r="B222" s="31">
        <f>step3_validation[[#This Row],[Used_Seed]]</f>
        <v>221</v>
      </c>
      <c r="C222" t="str">
        <f>step3_validation[[#This Row],[Gender]]</f>
        <v>Nữ</v>
      </c>
      <c r="D222" t="str">
        <f>survey_responses[[#This Row],[Giới tính của bạn:]]</f>
        <v>Nữ</v>
      </c>
      <c r="E222" t="str">
        <f>step3_validation[[#This Row],[Age_Group]]</f>
        <v>40 - 49</v>
      </c>
      <c r="F222" t="str">
        <f>survey_responses[[#This Row],[Độ tuổi của bạn:]]</f>
        <v>40 - 49</v>
      </c>
      <c r="G222" t="str">
        <f>step3_validation[[#This Row],[Region]]</f>
        <v>Thành thị</v>
      </c>
      <c r="H222" t="str">
        <f>survey_responses[[#This Row],[Khu vực bạn đang sinh sống:]]</f>
        <v>Thành thị</v>
      </c>
      <c r="I222" t="str">
        <f>step3_validation[[#This Row],[Education]]</f>
        <v>Đại học</v>
      </c>
      <c r="J222" t="str">
        <f>survey_responses[[#This Row],[Trình độ học vấn cao nhất:]]</f>
        <v>Đại học</v>
      </c>
      <c r="K222" t="str">
        <f>step3_validation[[#This Row],[Employment]]</f>
        <v>Chính thức</v>
      </c>
      <c r="L222" t="str">
        <f>survey_responses[[#This Row],[Tình trạng việc làm chính:]]</f>
        <v>Khu vực chính thức (Có Hợp đồng lao động, đóng BHXH)</v>
      </c>
      <c r="M222">
        <f>step3_validation[[#This Row],[Income_Mil]]</f>
        <v>57.553725956128737</v>
      </c>
      <c r="N222" t="str">
        <f>survey_responses[[#This Row],[Thu nhập bình quân tháng theo Hợp đồng lao động của bạn là bao nhiêu? (Vui lòng điền tổng thu nhập trước khi khấu trừ các loại Bảo hiểm (BHXH, BHYT, BHTN) và Thuế TNCN)]]</f>
        <v>Từ 48 - 70 triệu VNĐ</v>
      </c>
      <c r="O222">
        <f>step3_validation[[#This Row],[Dependents]]</f>
        <v>1</v>
      </c>
      <c r="P222" t="str">
        <f>survey_responses[[#This Row],[Số người phụ thuộc (con nhỏ, cha mẹ già...) đủ điều kiện giảm trừ gia cảnh:]]</f>
        <v>1 người</v>
      </c>
      <c r="Q222">
        <f>step3_validation[[#This Row],[AI_ENF1]]</f>
        <v>6</v>
      </c>
      <c r="R222">
        <f t="shared" si="81"/>
        <v>0.55555555555555558</v>
      </c>
      <c r="S222">
        <f>survey_responses[[#This Row],[Tôi tin rằng với các quy định quản lý thuế hiện nay, hành vi gian lận hoặc trốn thuế sẽ dễ dàng bị phát hiện và xử lý nghiêm. - HUMAN-ENF1]]</f>
        <v>4</v>
      </c>
      <c r="T222">
        <f t="shared" si="82"/>
        <v>0.33333333333333331</v>
      </c>
      <c r="U222">
        <f>step3_validation[[#This Row],[AI_ENF2]]</f>
        <v>7</v>
      </c>
      <c r="V222">
        <f t="shared" si="83"/>
        <v>0.66666666666666663</v>
      </c>
      <c r="W222">
        <f>survey_responses[[#This Row],[Tôi tin rằng Nhà nước, cơ quan thuế có đủ khả năng và công nghệ để phát hiện, xử lý nghiêm các hành vi trốn thuế. - HUMAN-ENF2]]</f>
        <v>4</v>
      </c>
      <c r="X222">
        <f t="shared" si="84"/>
        <v>0.33333333333333331</v>
      </c>
      <c r="Y222" s="32">
        <f t="shared" si="85"/>
        <v>0.61111111111111116</v>
      </c>
      <c r="Z222" s="32">
        <f t="shared" si="86"/>
        <v>0.33333333333333331</v>
      </c>
      <c r="AA222">
        <f>step3_validation[[#This Row],[AI_FAC1]]</f>
        <v>9</v>
      </c>
      <c r="AB222">
        <f t="shared" si="87"/>
        <v>0.88888888888888884</v>
      </c>
      <c r="AC222">
        <f>survey_responses[[#This Row],[Các thủ tục khai báo thuế VÀ/HOẶC quy trình làm việc với cơ quan thuế đơn giản, tiện lợi, nhanh chóng hơn so với trước đây. - HUMAN-FAC1]]</f>
        <v>4</v>
      </c>
      <c r="AD222">
        <f t="shared" si="88"/>
        <v>0.33333333333333331</v>
      </c>
      <c r="AE222">
        <f>step3_validation[[#This Row],[AI_FAC2]]</f>
        <v>8</v>
      </c>
      <c r="AF222">
        <f t="shared" si="89"/>
        <v>0.77777777777777779</v>
      </c>
      <c r="AG222">
        <f>survey_responses[[#This Row],[So với trước đây, tôi thấy cách tính thuế và các bậc thuế trong phương án mới đơn giản, dễ hiểu và dễ thực hiện hơn. - HUMAN-FAC2]]</f>
        <v>6</v>
      </c>
      <c r="AH222">
        <f t="shared" si="90"/>
        <v>0.55555555555555558</v>
      </c>
      <c r="AI222" s="32">
        <f t="shared" si="91"/>
        <v>0.83333333333333326</v>
      </c>
      <c r="AJ222" s="32">
        <f t="shared" si="92"/>
        <v>0.44444444444444442</v>
      </c>
      <c r="AK222">
        <f>step3_validation[[#This Row],[AI_TRU1]]</f>
        <v>7</v>
      </c>
      <c r="AL222">
        <f t="shared" si="93"/>
        <v>0.66666666666666663</v>
      </c>
      <c r="AM222">
        <f>survey_responses[[#This Row],[Tôi tin rằng Nhà nước, cơ quan thuế sẽ thực thi chính sách mới một cách khách quan, công tâm và đối xử bình đẳng với mọi người nộp thuế.  - HUMAN-TRU1]]</f>
        <v>5</v>
      </c>
      <c r="AN222">
        <f t="shared" si="94"/>
        <v>0.44444444444444442</v>
      </c>
      <c r="AO222">
        <f>step3_validation[[#This Row],[AI_TRU2]]</f>
        <v>9</v>
      </c>
      <c r="AP222">
        <f t="shared" si="95"/>
        <v>0.88888888888888884</v>
      </c>
      <c r="AQ222">
        <f>survey_responses[[#This Row],[Tôi thấy mức thuế tôi phải đóng theo phương án mới là công bằng (người thu nhập như tôi đóng mức này là hợp lý). - HUMAN-TRU2]]</f>
        <v>6</v>
      </c>
      <c r="AR222">
        <f t="shared" si="96"/>
        <v>0.55555555555555558</v>
      </c>
      <c r="AS222">
        <f>step3_validation[[#This Row],[AI_TRU3]]</f>
        <v>8</v>
      </c>
      <c r="AT222">
        <f t="shared" si="97"/>
        <v>0.77777777777777779</v>
      </c>
      <c r="AU222">
        <f>survey_responses[[#This Row],[Tôi tin tưởng số tiền thuế tôi đóng sẽ được Nhà nước sử dụng hiệu quả để cải thiện dịch vụ công (y tế, đường xá...). - HUMAN-TRU3]]</f>
        <v>5</v>
      </c>
      <c r="AV222">
        <f t="shared" si="98"/>
        <v>0.44444444444444442</v>
      </c>
      <c r="AW222">
        <f>step3_validation[[#This Row],[AI_TRU4]]</f>
        <v>7</v>
      </c>
      <c r="AX222">
        <f t="shared" si="99"/>
        <v>0.66666666666666663</v>
      </c>
      <c r="AY222">
        <f>survey_responses[[#This Row],[Tôi thấy Nhà nước đã giải thích rõ ràng, minh bạch về lý do và mục tiêu của việc sửa đổi thuế lần này. - HUMAN-TRU4]]</f>
        <v>6</v>
      </c>
      <c r="AZ222">
        <f t="shared" si="100"/>
        <v>0.55555555555555558</v>
      </c>
      <c r="BA222" s="32">
        <f t="shared" si="101"/>
        <v>0.74999999999999989</v>
      </c>
      <c r="BB222" s="32">
        <f t="shared" si="102"/>
        <v>0.5</v>
      </c>
      <c r="BC222" s="7">
        <f t="shared" si="103"/>
        <v>0.7314814814814814</v>
      </c>
      <c r="BD222" s="7">
        <f t="shared" si="104"/>
        <v>0.42592592592592587</v>
      </c>
      <c r="BE222">
        <f>step3_validation[[#This Row],[AI_OUT1]]</f>
        <v>8</v>
      </c>
      <c r="BF222">
        <f t="shared" si="105"/>
        <v>0.77777777777777779</v>
      </c>
      <c r="BG222">
        <f>survey_responses[[#This Row],[Sau khi xem xét các quyền lợi và nghĩa vụ, bạn có ủng hộ và tuân thủ chính sách mới hiện nay? - HUMAN-OUT1]]</f>
        <v>5</v>
      </c>
      <c r="BH222">
        <f t="shared" si="106"/>
        <v>0.44444444444444442</v>
      </c>
      <c r="BI222" s="32">
        <f t="shared" si="107"/>
        <v>3</v>
      </c>
    </row>
    <row r="223" spans="1:61" x14ac:dyDescent="0.45">
      <c r="A223" s="30">
        <f>step3_validation[[#This Row],[Persona_ID]]</f>
        <v>222</v>
      </c>
      <c r="B223" s="31">
        <f>step3_validation[[#This Row],[Used_Seed]]</f>
        <v>222</v>
      </c>
      <c r="C223" t="str">
        <f>step3_validation[[#This Row],[Gender]]</f>
        <v>Nữ</v>
      </c>
      <c r="D223" t="str">
        <f>survey_responses[[#This Row],[Giới tính của bạn:]]</f>
        <v>Nữ</v>
      </c>
      <c r="E223" t="str">
        <f>step3_validation[[#This Row],[Age_Group]]</f>
        <v>50 - 54</v>
      </c>
      <c r="F223" t="str">
        <f>survey_responses[[#This Row],[Độ tuổi của bạn:]]</f>
        <v>50 - 54</v>
      </c>
      <c r="G223" t="str">
        <f>step3_validation[[#This Row],[Region]]</f>
        <v>Thành thị</v>
      </c>
      <c r="H223" t="str">
        <f>survey_responses[[#This Row],[Khu vực bạn đang sinh sống:]]</f>
        <v>Thành thị</v>
      </c>
      <c r="I223" t="str">
        <f>step3_validation[[#This Row],[Education]]</f>
        <v>Đại học</v>
      </c>
      <c r="J223" t="str">
        <f>survey_responses[[#This Row],[Trình độ học vấn cao nhất:]]</f>
        <v>Đại học</v>
      </c>
      <c r="K223" t="str">
        <f>step3_validation[[#This Row],[Employment]]</f>
        <v>Chính thức</v>
      </c>
      <c r="L223" t="str">
        <f>survey_responses[[#This Row],[Tình trạng việc làm chính:]]</f>
        <v>Khu vực chính thức (Có Hợp đồng lao động, đóng BHXH)</v>
      </c>
      <c r="M223">
        <f>step3_validation[[#This Row],[Income_Mil]]</f>
        <v>55.921388157311412</v>
      </c>
      <c r="N223" t="str">
        <f>survey_responses[[#This Row],[Thu nhập bình quân tháng theo Hợp đồng lao động của bạn là bao nhiêu? (Vui lòng điền tổng thu nhập trước khi khấu trừ các loại Bảo hiểm (BHXH, BHYT, BHTN) và Thuế TNCN)]]</f>
        <v>Từ 48 - 70 triệu VNĐ</v>
      </c>
      <c r="O223">
        <f>step3_validation[[#This Row],[Dependents]]</f>
        <v>2</v>
      </c>
      <c r="P223" t="str">
        <f>survey_responses[[#This Row],[Số người phụ thuộc (con nhỏ, cha mẹ già...) đủ điều kiện giảm trừ gia cảnh:]]</f>
        <v>2 người</v>
      </c>
      <c r="Q223">
        <f>step3_validation[[#This Row],[AI_ENF1]]</f>
        <v>8</v>
      </c>
      <c r="R223">
        <f t="shared" si="81"/>
        <v>0.77777777777777779</v>
      </c>
      <c r="S223">
        <f>survey_responses[[#This Row],[Tôi tin rằng với các quy định quản lý thuế hiện nay, hành vi gian lận hoặc trốn thuế sẽ dễ dàng bị phát hiện và xử lý nghiêm. - HUMAN-ENF1]]</f>
        <v>4</v>
      </c>
      <c r="T223">
        <f t="shared" si="82"/>
        <v>0.33333333333333331</v>
      </c>
      <c r="U223">
        <f>step3_validation[[#This Row],[AI_ENF2]]</f>
        <v>9</v>
      </c>
      <c r="V223">
        <f t="shared" si="83"/>
        <v>0.88888888888888884</v>
      </c>
      <c r="W223">
        <f>survey_responses[[#This Row],[Tôi tin rằng Nhà nước, cơ quan thuế có đủ khả năng và công nghệ để phát hiện, xử lý nghiêm các hành vi trốn thuế. - HUMAN-ENF2]]</f>
        <v>5</v>
      </c>
      <c r="X223">
        <f t="shared" si="84"/>
        <v>0.44444444444444442</v>
      </c>
      <c r="Y223" s="32">
        <f t="shared" si="85"/>
        <v>0.83333333333333326</v>
      </c>
      <c r="Z223" s="32">
        <f t="shared" si="86"/>
        <v>0.38888888888888884</v>
      </c>
      <c r="AA223">
        <f>step3_validation[[#This Row],[AI_FAC1]]</f>
        <v>8</v>
      </c>
      <c r="AB223">
        <f t="shared" si="87"/>
        <v>0.77777777777777779</v>
      </c>
      <c r="AC223">
        <f>survey_responses[[#This Row],[Các thủ tục khai báo thuế VÀ/HOẶC quy trình làm việc với cơ quan thuế đơn giản, tiện lợi, nhanh chóng hơn so với trước đây. - HUMAN-FAC1]]</f>
        <v>4</v>
      </c>
      <c r="AD223">
        <f t="shared" si="88"/>
        <v>0.33333333333333331</v>
      </c>
      <c r="AE223">
        <f>step3_validation[[#This Row],[AI_FAC2]]</f>
        <v>9</v>
      </c>
      <c r="AF223">
        <f t="shared" si="89"/>
        <v>0.88888888888888884</v>
      </c>
      <c r="AG223">
        <f>survey_responses[[#This Row],[So với trước đây, tôi thấy cách tính thuế và các bậc thuế trong phương án mới đơn giản, dễ hiểu và dễ thực hiện hơn. - HUMAN-FAC2]]</f>
        <v>5</v>
      </c>
      <c r="AH223">
        <f t="shared" si="90"/>
        <v>0.44444444444444442</v>
      </c>
      <c r="AI223" s="32">
        <f t="shared" si="91"/>
        <v>0.83333333333333326</v>
      </c>
      <c r="AJ223" s="32">
        <f t="shared" si="92"/>
        <v>0.38888888888888884</v>
      </c>
      <c r="AK223">
        <f>step3_validation[[#This Row],[AI_TRU1]]</f>
        <v>8</v>
      </c>
      <c r="AL223">
        <f t="shared" si="93"/>
        <v>0.77777777777777779</v>
      </c>
      <c r="AM223">
        <f>survey_responses[[#This Row],[Tôi tin rằng Nhà nước, cơ quan thuế sẽ thực thi chính sách mới một cách khách quan, công tâm và đối xử bình đẳng với mọi người nộp thuế.  - HUMAN-TRU1]]</f>
        <v>5</v>
      </c>
      <c r="AN223">
        <f t="shared" si="94"/>
        <v>0.44444444444444442</v>
      </c>
      <c r="AO223">
        <f>step3_validation[[#This Row],[AI_TRU2]]</f>
        <v>9</v>
      </c>
      <c r="AP223">
        <f t="shared" si="95"/>
        <v>0.88888888888888884</v>
      </c>
      <c r="AQ223">
        <f>survey_responses[[#This Row],[Tôi thấy mức thuế tôi phải đóng theo phương án mới là công bằng (người thu nhập như tôi đóng mức này là hợp lý). - HUMAN-TRU2]]</f>
        <v>5</v>
      </c>
      <c r="AR223">
        <f t="shared" si="96"/>
        <v>0.44444444444444442</v>
      </c>
      <c r="AS223">
        <f>step3_validation[[#This Row],[AI_TRU3]]</f>
        <v>8</v>
      </c>
      <c r="AT223">
        <f t="shared" si="97"/>
        <v>0.77777777777777779</v>
      </c>
      <c r="AU223">
        <f>survey_responses[[#This Row],[Tôi tin tưởng số tiền thuế tôi đóng sẽ được Nhà nước sử dụng hiệu quả để cải thiện dịch vụ công (y tế, đường xá...). - HUMAN-TRU3]]</f>
        <v>5</v>
      </c>
      <c r="AV223">
        <f t="shared" si="98"/>
        <v>0.44444444444444442</v>
      </c>
      <c r="AW223">
        <f>step3_validation[[#This Row],[AI_TRU4]]</f>
        <v>9</v>
      </c>
      <c r="AX223">
        <f t="shared" si="99"/>
        <v>0.88888888888888884</v>
      </c>
      <c r="AY223">
        <f>survey_responses[[#This Row],[Tôi thấy Nhà nước đã giải thích rõ ràng, minh bạch về lý do và mục tiêu của việc sửa đổi thuế lần này. - HUMAN-TRU4]]</f>
        <v>5</v>
      </c>
      <c r="AZ223">
        <f t="shared" si="100"/>
        <v>0.44444444444444442</v>
      </c>
      <c r="BA223" s="32">
        <f t="shared" si="101"/>
        <v>0.83333333333333326</v>
      </c>
      <c r="BB223" s="32">
        <f t="shared" si="102"/>
        <v>0.44444444444444442</v>
      </c>
      <c r="BC223" s="7">
        <f t="shared" si="103"/>
        <v>0.83333333333333337</v>
      </c>
      <c r="BD223" s="7">
        <f t="shared" si="104"/>
        <v>0.40740740740740738</v>
      </c>
      <c r="BE223">
        <f>step3_validation[[#This Row],[AI_OUT1]]</f>
        <v>9</v>
      </c>
      <c r="BF223">
        <f t="shared" si="105"/>
        <v>0.88888888888888884</v>
      </c>
      <c r="BG223">
        <f>survey_responses[[#This Row],[Sau khi xem xét các quyền lợi và nghĩa vụ, bạn có ủng hộ và tuân thủ chính sách mới hiện nay? - HUMAN-OUT1]]</f>
        <v>5</v>
      </c>
      <c r="BH223">
        <f t="shared" si="106"/>
        <v>0.44444444444444442</v>
      </c>
      <c r="BI223" s="32">
        <f t="shared" si="107"/>
        <v>4</v>
      </c>
    </row>
    <row r="224" spans="1:61" x14ac:dyDescent="0.45">
      <c r="A224" s="30">
        <f>step3_validation[[#This Row],[Persona_ID]]</f>
        <v>223</v>
      </c>
      <c r="B224" s="31">
        <f>step3_validation[[#This Row],[Used_Seed]]</f>
        <v>223</v>
      </c>
      <c r="C224" t="str">
        <f>step3_validation[[#This Row],[Gender]]</f>
        <v>Nam</v>
      </c>
      <c r="D224" t="str">
        <f>survey_responses[[#This Row],[Giới tính của bạn:]]</f>
        <v>Nam</v>
      </c>
      <c r="E224" t="str">
        <f>step3_validation[[#This Row],[Age_Group]]</f>
        <v>30 - 39</v>
      </c>
      <c r="F224" t="str">
        <f>survey_responses[[#This Row],[Độ tuổi của bạn:]]</f>
        <v>30 - 39</v>
      </c>
      <c r="G224" t="str">
        <f>step3_validation[[#This Row],[Region]]</f>
        <v>Thành thị</v>
      </c>
      <c r="H224" t="str">
        <f>survey_responses[[#This Row],[Khu vực bạn đang sinh sống:]]</f>
        <v>Thành thị</v>
      </c>
      <c r="I224" t="str">
        <f>step3_validation[[#This Row],[Education]]</f>
        <v>Đại học</v>
      </c>
      <c r="J224" t="str">
        <f>survey_responses[[#This Row],[Trình độ học vấn cao nhất:]]</f>
        <v>Đại học</v>
      </c>
      <c r="K224" t="str">
        <f>step3_validation[[#This Row],[Employment]]</f>
        <v>Chính thức</v>
      </c>
      <c r="L224" t="str">
        <f>survey_responses[[#This Row],[Tình trạng việc làm chính:]]</f>
        <v>Khu vực chính thức (Có Hợp đồng lao động, đóng BHXH)</v>
      </c>
      <c r="M224">
        <f>step3_validation[[#This Row],[Income_Mil]]</f>
        <v>66.621487048726294</v>
      </c>
      <c r="N224" t="str">
        <f>survey_responses[[#This Row],[Thu nhập bình quân tháng theo Hợp đồng lao động của bạn là bao nhiêu? (Vui lòng điền tổng thu nhập trước khi khấu trừ các loại Bảo hiểm (BHXH, BHYT, BHTN) và Thuế TNCN)]]</f>
        <v>Từ 48 - 70 triệu VNĐ</v>
      </c>
      <c r="O224">
        <f>step3_validation[[#This Row],[Dependents]]</f>
        <v>2</v>
      </c>
      <c r="P224" t="str">
        <f>survey_responses[[#This Row],[Số người phụ thuộc (con nhỏ, cha mẹ già...) đủ điều kiện giảm trừ gia cảnh:]]</f>
        <v>2 người</v>
      </c>
      <c r="Q224">
        <f>step3_validation[[#This Row],[AI_ENF1]]</f>
        <v>7</v>
      </c>
      <c r="R224">
        <f t="shared" si="81"/>
        <v>0.66666666666666663</v>
      </c>
      <c r="S224">
        <f>survey_responses[[#This Row],[Tôi tin rằng với các quy định quản lý thuế hiện nay, hành vi gian lận hoặc trốn thuế sẽ dễ dàng bị phát hiện và xử lý nghiêm. - HUMAN-ENF1]]</f>
        <v>6</v>
      </c>
      <c r="T224">
        <f t="shared" si="82"/>
        <v>0.55555555555555558</v>
      </c>
      <c r="U224">
        <f>step3_validation[[#This Row],[AI_ENF2]]</f>
        <v>8</v>
      </c>
      <c r="V224">
        <f t="shared" si="83"/>
        <v>0.77777777777777779</v>
      </c>
      <c r="W224">
        <f>survey_responses[[#This Row],[Tôi tin rằng Nhà nước, cơ quan thuế có đủ khả năng và công nghệ để phát hiện, xử lý nghiêm các hành vi trốn thuế. - HUMAN-ENF2]]</f>
        <v>6</v>
      </c>
      <c r="X224">
        <f t="shared" si="84"/>
        <v>0.55555555555555558</v>
      </c>
      <c r="Y224" s="32">
        <f t="shared" si="85"/>
        <v>0.72222222222222221</v>
      </c>
      <c r="Z224" s="32">
        <f t="shared" si="86"/>
        <v>0.55555555555555558</v>
      </c>
      <c r="AA224">
        <f>step3_validation[[#This Row],[AI_FAC1]]</f>
        <v>9</v>
      </c>
      <c r="AB224">
        <f t="shared" si="87"/>
        <v>0.88888888888888884</v>
      </c>
      <c r="AC224">
        <f>survey_responses[[#This Row],[Các thủ tục khai báo thuế VÀ/HOẶC quy trình làm việc với cơ quan thuế đơn giản, tiện lợi, nhanh chóng hơn so với trước đây. - HUMAN-FAC1]]</f>
        <v>7</v>
      </c>
      <c r="AD224">
        <f t="shared" si="88"/>
        <v>0.66666666666666663</v>
      </c>
      <c r="AE224">
        <f>step3_validation[[#This Row],[AI_FAC2]]</f>
        <v>10</v>
      </c>
      <c r="AF224">
        <f t="shared" si="89"/>
        <v>1</v>
      </c>
      <c r="AG224">
        <f>survey_responses[[#This Row],[So với trước đây, tôi thấy cách tính thuế và các bậc thuế trong phương án mới đơn giản, dễ hiểu và dễ thực hiện hơn. - HUMAN-FAC2]]</f>
        <v>7</v>
      </c>
      <c r="AH224">
        <f t="shared" si="90"/>
        <v>0.66666666666666663</v>
      </c>
      <c r="AI224" s="32">
        <f t="shared" si="91"/>
        <v>0.94444444444444442</v>
      </c>
      <c r="AJ224" s="32">
        <f t="shared" si="92"/>
        <v>0.66666666666666663</v>
      </c>
      <c r="AK224">
        <f>step3_validation[[#This Row],[AI_TRU1]]</f>
        <v>9</v>
      </c>
      <c r="AL224">
        <f t="shared" si="93"/>
        <v>0.88888888888888884</v>
      </c>
      <c r="AM224">
        <f>survey_responses[[#This Row],[Tôi tin rằng Nhà nước, cơ quan thuế sẽ thực thi chính sách mới một cách khách quan, công tâm và đối xử bình đẳng với mọi người nộp thuế.  - HUMAN-TRU1]]</f>
        <v>6</v>
      </c>
      <c r="AN224">
        <f t="shared" si="94"/>
        <v>0.55555555555555558</v>
      </c>
      <c r="AO224">
        <f>step3_validation[[#This Row],[AI_TRU2]]</f>
        <v>8</v>
      </c>
      <c r="AP224">
        <f t="shared" si="95"/>
        <v>0.77777777777777779</v>
      </c>
      <c r="AQ224">
        <f>survey_responses[[#This Row],[Tôi thấy mức thuế tôi phải đóng theo phương án mới là công bằng (người thu nhập như tôi đóng mức này là hợp lý). - HUMAN-TRU2]]</f>
        <v>6</v>
      </c>
      <c r="AR224">
        <f t="shared" si="96"/>
        <v>0.55555555555555558</v>
      </c>
      <c r="AS224">
        <f>step3_validation[[#This Row],[AI_TRU3]]</f>
        <v>9</v>
      </c>
      <c r="AT224">
        <f t="shared" si="97"/>
        <v>0.88888888888888884</v>
      </c>
      <c r="AU224">
        <f>survey_responses[[#This Row],[Tôi tin tưởng số tiền thuế tôi đóng sẽ được Nhà nước sử dụng hiệu quả để cải thiện dịch vụ công (y tế, đường xá...). - HUMAN-TRU3]]</f>
        <v>8</v>
      </c>
      <c r="AV224">
        <f t="shared" si="98"/>
        <v>0.77777777777777779</v>
      </c>
      <c r="AW224">
        <f>step3_validation[[#This Row],[AI_TRU4]]</f>
        <v>8</v>
      </c>
      <c r="AX224">
        <f t="shared" si="99"/>
        <v>0.77777777777777779</v>
      </c>
      <c r="AY224">
        <f>survey_responses[[#This Row],[Tôi thấy Nhà nước đã giải thích rõ ràng, minh bạch về lý do và mục tiêu của việc sửa đổi thuế lần này. - HUMAN-TRU4]]</f>
        <v>8</v>
      </c>
      <c r="AZ224">
        <f t="shared" si="100"/>
        <v>0.77777777777777779</v>
      </c>
      <c r="BA224" s="32">
        <f t="shared" si="101"/>
        <v>0.83333333333333326</v>
      </c>
      <c r="BB224" s="32">
        <f t="shared" si="102"/>
        <v>0.66666666666666663</v>
      </c>
      <c r="BC224" s="7">
        <f t="shared" si="103"/>
        <v>0.83333333333333337</v>
      </c>
      <c r="BD224" s="7">
        <f t="shared" si="104"/>
        <v>0.62962962962962965</v>
      </c>
      <c r="BE224">
        <f>step3_validation[[#This Row],[AI_OUT1]]</f>
        <v>9</v>
      </c>
      <c r="BF224">
        <f t="shared" si="105"/>
        <v>0.88888888888888884</v>
      </c>
      <c r="BG224">
        <f>survey_responses[[#This Row],[Sau khi xem xét các quyền lợi và nghĩa vụ, bạn có ủng hộ và tuân thủ chính sách mới hiện nay? - HUMAN-OUT1]]</f>
        <v>7</v>
      </c>
      <c r="BH224">
        <f t="shared" si="106"/>
        <v>0.66666666666666663</v>
      </c>
      <c r="BI224" s="32">
        <f t="shared" si="107"/>
        <v>2</v>
      </c>
    </row>
    <row r="225" spans="1:61" x14ac:dyDescent="0.45">
      <c r="A225" s="30">
        <f>step3_validation[[#This Row],[Persona_ID]]</f>
        <v>224</v>
      </c>
      <c r="B225" s="31">
        <f>step3_validation[[#This Row],[Used_Seed]]</f>
        <v>224</v>
      </c>
      <c r="C225" t="str">
        <f>step3_validation[[#This Row],[Gender]]</f>
        <v>Nữ</v>
      </c>
      <c r="D225" t="str">
        <f>survey_responses[[#This Row],[Giới tính của bạn:]]</f>
        <v>Nữ</v>
      </c>
      <c r="E225" t="str">
        <f>step3_validation[[#This Row],[Age_Group]]</f>
        <v>30 - 39</v>
      </c>
      <c r="F225" t="str">
        <f>survey_responses[[#This Row],[Độ tuổi của bạn:]]</f>
        <v>30 - 39</v>
      </c>
      <c r="G225" t="str">
        <f>step3_validation[[#This Row],[Region]]</f>
        <v>Thành thị</v>
      </c>
      <c r="H225" t="str">
        <f>survey_responses[[#This Row],[Khu vực bạn đang sinh sống:]]</f>
        <v>Thành thị</v>
      </c>
      <c r="I225" t="str">
        <f>step3_validation[[#This Row],[Education]]</f>
        <v>Sau Đại học</v>
      </c>
      <c r="J225" t="str">
        <f>survey_responses[[#This Row],[Trình độ học vấn cao nhất:]]</f>
        <v>Sau Đại học</v>
      </c>
      <c r="K225" t="str">
        <f>step3_validation[[#This Row],[Employment]]</f>
        <v>Chính thức</v>
      </c>
      <c r="L225" t="str">
        <f>survey_responses[[#This Row],[Tình trạng việc làm chính:]]</f>
        <v>Khu vực chính thức (Có Hợp đồng lao động, đóng BHXH)</v>
      </c>
      <c r="M225">
        <f>step3_validation[[#This Row],[Income_Mil]]</f>
        <v>59.358022038913234</v>
      </c>
      <c r="N225" t="str">
        <f>survey_responses[[#This Row],[Thu nhập bình quân tháng theo Hợp đồng lao động của bạn là bao nhiêu? (Vui lòng điền tổng thu nhập trước khi khấu trừ các loại Bảo hiểm (BHXH, BHYT, BHTN) và Thuế TNCN)]]</f>
        <v>Từ 48 - 70 triệu VNĐ</v>
      </c>
      <c r="O225">
        <f>step3_validation[[#This Row],[Dependents]]</f>
        <v>0</v>
      </c>
      <c r="P225" t="str">
        <f>survey_responses[[#This Row],[Số người phụ thuộc (con nhỏ, cha mẹ già...) đủ điều kiện giảm trừ gia cảnh:]]</f>
        <v>0 người</v>
      </c>
      <c r="Q225">
        <f>step3_validation[[#This Row],[AI_ENF1]]</f>
        <v>7</v>
      </c>
      <c r="R225">
        <f t="shared" si="81"/>
        <v>0.66666666666666663</v>
      </c>
      <c r="S225">
        <f>survey_responses[[#This Row],[Tôi tin rằng với các quy định quản lý thuế hiện nay, hành vi gian lận hoặc trốn thuế sẽ dễ dàng bị phát hiện và xử lý nghiêm. - HUMAN-ENF1]]</f>
        <v>7</v>
      </c>
      <c r="T225">
        <f t="shared" si="82"/>
        <v>0.66666666666666663</v>
      </c>
      <c r="U225">
        <f>step3_validation[[#This Row],[AI_ENF2]]</f>
        <v>6</v>
      </c>
      <c r="V225">
        <f t="shared" si="83"/>
        <v>0.55555555555555558</v>
      </c>
      <c r="W225">
        <f>survey_responses[[#This Row],[Tôi tin rằng Nhà nước, cơ quan thuế có đủ khả năng và công nghệ để phát hiện, xử lý nghiêm các hành vi trốn thuế. - HUMAN-ENF2]]</f>
        <v>7</v>
      </c>
      <c r="X225">
        <f t="shared" si="84"/>
        <v>0.66666666666666663</v>
      </c>
      <c r="Y225" s="32">
        <f t="shared" si="85"/>
        <v>0.61111111111111116</v>
      </c>
      <c r="Z225" s="32">
        <f t="shared" si="86"/>
        <v>0.66666666666666663</v>
      </c>
      <c r="AA225">
        <f>step3_validation[[#This Row],[AI_FAC1]]</f>
        <v>9</v>
      </c>
      <c r="AB225">
        <f t="shared" si="87"/>
        <v>0.88888888888888884</v>
      </c>
      <c r="AC225">
        <f>survey_responses[[#This Row],[Các thủ tục khai báo thuế VÀ/HOẶC quy trình làm việc với cơ quan thuế đơn giản, tiện lợi, nhanh chóng hơn so với trước đây. - HUMAN-FAC1]]</f>
        <v>7</v>
      </c>
      <c r="AD225">
        <f t="shared" si="88"/>
        <v>0.66666666666666663</v>
      </c>
      <c r="AE225">
        <f>step3_validation[[#This Row],[AI_FAC2]]</f>
        <v>8</v>
      </c>
      <c r="AF225">
        <f t="shared" si="89"/>
        <v>0.77777777777777779</v>
      </c>
      <c r="AG225">
        <f>survey_responses[[#This Row],[So với trước đây, tôi thấy cách tính thuế và các bậc thuế trong phương án mới đơn giản, dễ hiểu và dễ thực hiện hơn. - HUMAN-FAC2]]</f>
        <v>7</v>
      </c>
      <c r="AH225">
        <f t="shared" si="90"/>
        <v>0.66666666666666663</v>
      </c>
      <c r="AI225" s="32">
        <f t="shared" si="91"/>
        <v>0.83333333333333326</v>
      </c>
      <c r="AJ225" s="32">
        <f t="shared" si="92"/>
        <v>0.66666666666666663</v>
      </c>
      <c r="AK225">
        <f>step3_validation[[#This Row],[AI_TRU1]]</f>
        <v>9</v>
      </c>
      <c r="AL225">
        <f t="shared" si="93"/>
        <v>0.88888888888888884</v>
      </c>
      <c r="AM225">
        <f>survey_responses[[#This Row],[Tôi tin rằng Nhà nước, cơ quan thuế sẽ thực thi chính sách mới một cách khách quan, công tâm và đối xử bình đẳng với mọi người nộp thuế.  - HUMAN-TRU1]]</f>
        <v>7</v>
      </c>
      <c r="AN225">
        <f t="shared" si="94"/>
        <v>0.66666666666666663</v>
      </c>
      <c r="AO225">
        <f>step3_validation[[#This Row],[AI_TRU2]]</f>
        <v>8</v>
      </c>
      <c r="AP225">
        <f t="shared" si="95"/>
        <v>0.77777777777777779</v>
      </c>
      <c r="AQ225">
        <f>survey_responses[[#This Row],[Tôi thấy mức thuế tôi phải đóng theo phương án mới là công bằng (người thu nhập như tôi đóng mức này là hợp lý). - HUMAN-TRU2]]</f>
        <v>7</v>
      </c>
      <c r="AR225">
        <f t="shared" si="96"/>
        <v>0.66666666666666663</v>
      </c>
      <c r="AS225">
        <f>step3_validation[[#This Row],[AI_TRU3]]</f>
        <v>9</v>
      </c>
      <c r="AT225">
        <f t="shared" si="97"/>
        <v>0.88888888888888884</v>
      </c>
      <c r="AU225">
        <f>survey_responses[[#This Row],[Tôi tin tưởng số tiền thuế tôi đóng sẽ được Nhà nước sử dụng hiệu quả để cải thiện dịch vụ công (y tế, đường xá...). - HUMAN-TRU3]]</f>
        <v>7</v>
      </c>
      <c r="AV225">
        <f t="shared" si="98"/>
        <v>0.66666666666666663</v>
      </c>
      <c r="AW225">
        <f>step3_validation[[#This Row],[AI_TRU4]]</f>
        <v>8</v>
      </c>
      <c r="AX225">
        <f t="shared" si="99"/>
        <v>0.77777777777777779</v>
      </c>
      <c r="AY225">
        <f>survey_responses[[#This Row],[Tôi thấy Nhà nước đã giải thích rõ ràng, minh bạch về lý do và mục tiêu của việc sửa đổi thuế lần này. - HUMAN-TRU4]]</f>
        <v>7</v>
      </c>
      <c r="AZ225">
        <f t="shared" si="100"/>
        <v>0.66666666666666663</v>
      </c>
      <c r="BA225" s="32">
        <f t="shared" si="101"/>
        <v>0.83333333333333326</v>
      </c>
      <c r="BB225" s="32">
        <f t="shared" si="102"/>
        <v>0.66666666666666663</v>
      </c>
      <c r="BC225" s="7">
        <f t="shared" si="103"/>
        <v>0.75925925925925919</v>
      </c>
      <c r="BD225" s="7">
        <f t="shared" si="104"/>
        <v>0.66666666666666663</v>
      </c>
      <c r="BE225">
        <f>step3_validation[[#This Row],[AI_OUT1]]</f>
        <v>9</v>
      </c>
      <c r="BF225">
        <f t="shared" si="105"/>
        <v>0.88888888888888884</v>
      </c>
      <c r="BG225">
        <f>survey_responses[[#This Row],[Sau khi xem xét các quyền lợi và nghĩa vụ, bạn có ủng hộ và tuân thủ chính sách mới hiện nay? - HUMAN-OUT1]]</f>
        <v>7</v>
      </c>
      <c r="BH225">
        <f t="shared" si="106"/>
        <v>0.66666666666666663</v>
      </c>
      <c r="BI225" s="32">
        <f t="shared" si="107"/>
        <v>2</v>
      </c>
    </row>
    <row r="226" spans="1:61" x14ac:dyDescent="0.45">
      <c r="A226" s="30">
        <f>step3_validation[[#This Row],[Persona_ID]]</f>
        <v>225</v>
      </c>
      <c r="B226" s="31">
        <f>step3_validation[[#This Row],[Used_Seed]]</f>
        <v>225</v>
      </c>
      <c r="C226" t="str">
        <f>step3_validation[[#This Row],[Gender]]</f>
        <v>Nữ</v>
      </c>
      <c r="D226" t="str">
        <f>survey_responses[[#This Row],[Giới tính của bạn:]]</f>
        <v>Nữ</v>
      </c>
      <c r="E226" t="str">
        <f>step3_validation[[#This Row],[Age_Group]]</f>
        <v>30 - 39</v>
      </c>
      <c r="F226" t="str">
        <f>survey_responses[[#This Row],[Độ tuổi của bạn:]]</f>
        <v>30 - 39</v>
      </c>
      <c r="G226" t="str">
        <f>step3_validation[[#This Row],[Region]]</f>
        <v>Thành thị</v>
      </c>
      <c r="H226" t="str">
        <f>survey_responses[[#This Row],[Khu vực bạn đang sinh sống:]]</f>
        <v>Thành thị</v>
      </c>
      <c r="I226" t="str">
        <f>step3_validation[[#This Row],[Education]]</f>
        <v>Đại học</v>
      </c>
      <c r="J226" t="str">
        <f>survey_responses[[#This Row],[Trình độ học vấn cao nhất:]]</f>
        <v>Đại học</v>
      </c>
      <c r="K226" t="str">
        <f>step3_validation[[#This Row],[Employment]]</f>
        <v>Chính thức</v>
      </c>
      <c r="L226" t="str">
        <f>survey_responses[[#This Row],[Tình trạng việc làm chính:]]</f>
        <v>Khu vực chính thức (Có Hợp đồng lao động, đóng BHXH)</v>
      </c>
      <c r="M226">
        <f>step3_validation[[#This Row],[Income_Mil]]</f>
        <v>41.037929170978728</v>
      </c>
      <c r="N226" t="str">
        <f>survey_responses[[#This Row],[Thu nhập bình quân tháng theo Hợp đồng lao động của bạn là bao nhiêu? (Vui lòng điền tổng thu nhập trước khi khấu trừ các loại Bảo hiểm (BHXH, BHYT, BHTN) và Thuế TNCN)]]</f>
        <v>Từ 32 - 48 triệu VNĐ</v>
      </c>
      <c r="O226">
        <f>step3_validation[[#This Row],[Dependents]]</f>
        <v>1</v>
      </c>
      <c r="P226" t="str">
        <f>survey_responses[[#This Row],[Số người phụ thuộc (con nhỏ, cha mẹ già...) đủ điều kiện giảm trừ gia cảnh:]]</f>
        <v>1 người</v>
      </c>
      <c r="Q226">
        <f>step3_validation[[#This Row],[AI_ENF1]]</f>
        <v>7</v>
      </c>
      <c r="R226">
        <f t="shared" si="81"/>
        <v>0.66666666666666663</v>
      </c>
      <c r="S226">
        <f>survey_responses[[#This Row],[Tôi tin rằng với các quy định quản lý thuế hiện nay, hành vi gian lận hoặc trốn thuế sẽ dễ dàng bị phát hiện và xử lý nghiêm. - HUMAN-ENF1]]</f>
        <v>6</v>
      </c>
      <c r="T226">
        <f t="shared" si="82"/>
        <v>0.55555555555555558</v>
      </c>
      <c r="U226">
        <f>step3_validation[[#This Row],[AI_ENF2]]</f>
        <v>6</v>
      </c>
      <c r="V226">
        <f t="shared" si="83"/>
        <v>0.55555555555555558</v>
      </c>
      <c r="W226">
        <f>survey_responses[[#This Row],[Tôi tin rằng Nhà nước, cơ quan thuế có đủ khả năng và công nghệ để phát hiện, xử lý nghiêm các hành vi trốn thuế. - HUMAN-ENF2]]</f>
        <v>6</v>
      </c>
      <c r="X226">
        <f t="shared" si="84"/>
        <v>0.55555555555555558</v>
      </c>
      <c r="Y226" s="32">
        <f t="shared" si="85"/>
        <v>0.61111111111111116</v>
      </c>
      <c r="Z226" s="32">
        <f t="shared" si="86"/>
        <v>0.55555555555555558</v>
      </c>
      <c r="AA226">
        <f>step3_validation[[#This Row],[AI_FAC1]]</f>
        <v>8</v>
      </c>
      <c r="AB226">
        <f t="shared" si="87"/>
        <v>0.77777777777777779</v>
      </c>
      <c r="AC226">
        <f>survey_responses[[#This Row],[Các thủ tục khai báo thuế VÀ/HOẶC quy trình làm việc với cơ quan thuế đơn giản, tiện lợi, nhanh chóng hơn so với trước đây. - HUMAN-FAC1]]</f>
        <v>7</v>
      </c>
      <c r="AD226">
        <f t="shared" si="88"/>
        <v>0.66666666666666663</v>
      </c>
      <c r="AE226">
        <f>step3_validation[[#This Row],[AI_FAC2]]</f>
        <v>7</v>
      </c>
      <c r="AF226">
        <f t="shared" si="89"/>
        <v>0.66666666666666663</v>
      </c>
      <c r="AG226">
        <f>survey_responses[[#This Row],[So với trước đây, tôi thấy cách tính thuế và các bậc thuế trong phương án mới đơn giản, dễ hiểu và dễ thực hiện hơn. - HUMAN-FAC2]]</f>
        <v>7</v>
      </c>
      <c r="AH226">
        <f t="shared" si="90"/>
        <v>0.66666666666666663</v>
      </c>
      <c r="AI226" s="32">
        <f t="shared" si="91"/>
        <v>0.72222222222222221</v>
      </c>
      <c r="AJ226" s="32">
        <f t="shared" si="92"/>
        <v>0.66666666666666663</v>
      </c>
      <c r="AK226">
        <f>step3_validation[[#This Row],[AI_TRU1]]</f>
        <v>8</v>
      </c>
      <c r="AL226">
        <f t="shared" si="93"/>
        <v>0.77777777777777779</v>
      </c>
      <c r="AM226">
        <f>survey_responses[[#This Row],[Tôi tin rằng Nhà nước, cơ quan thuế sẽ thực thi chính sách mới một cách khách quan, công tâm và đối xử bình đẳng với mọi người nộp thuế.  - HUMAN-TRU1]]</f>
        <v>5</v>
      </c>
      <c r="AN226">
        <f t="shared" si="94"/>
        <v>0.44444444444444442</v>
      </c>
      <c r="AO226">
        <f>step3_validation[[#This Row],[AI_TRU2]]</f>
        <v>9</v>
      </c>
      <c r="AP226">
        <f t="shared" si="95"/>
        <v>0.88888888888888884</v>
      </c>
      <c r="AQ226">
        <f>survey_responses[[#This Row],[Tôi thấy mức thuế tôi phải đóng theo phương án mới là công bằng (người thu nhập như tôi đóng mức này là hợp lý). - HUMAN-TRU2]]</f>
        <v>6</v>
      </c>
      <c r="AR226">
        <f t="shared" si="96"/>
        <v>0.55555555555555558</v>
      </c>
      <c r="AS226">
        <f>step3_validation[[#This Row],[AI_TRU3]]</f>
        <v>7</v>
      </c>
      <c r="AT226">
        <f t="shared" si="97"/>
        <v>0.66666666666666663</v>
      </c>
      <c r="AU226">
        <f>survey_responses[[#This Row],[Tôi tin tưởng số tiền thuế tôi đóng sẽ được Nhà nước sử dụng hiệu quả để cải thiện dịch vụ công (y tế, đường xá...). - HUMAN-TRU3]]</f>
        <v>6</v>
      </c>
      <c r="AV226">
        <f t="shared" si="98"/>
        <v>0.55555555555555558</v>
      </c>
      <c r="AW226">
        <f>step3_validation[[#This Row],[AI_TRU4]]</f>
        <v>6</v>
      </c>
      <c r="AX226">
        <f t="shared" si="99"/>
        <v>0.55555555555555558</v>
      </c>
      <c r="AY226">
        <f>survey_responses[[#This Row],[Tôi thấy Nhà nước đã giải thích rõ ràng, minh bạch về lý do và mục tiêu của việc sửa đổi thuế lần này. - HUMAN-TRU4]]</f>
        <v>6</v>
      </c>
      <c r="AZ226">
        <f t="shared" si="100"/>
        <v>0.55555555555555558</v>
      </c>
      <c r="BA226" s="32">
        <f t="shared" si="101"/>
        <v>0.7222222222222221</v>
      </c>
      <c r="BB226" s="32">
        <f t="shared" si="102"/>
        <v>0.52777777777777779</v>
      </c>
      <c r="BC226" s="7">
        <f t="shared" si="103"/>
        <v>0.68518518518518512</v>
      </c>
      <c r="BD226" s="7">
        <f t="shared" si="104"/>
        <v>0.58333333333333337</v>
      </c>
      <c r="BE226">
        <f>step3_validation[[#This Row],[AI_OUT1]]</f>
        <v>8</v>
      </c>
      <c r="BF226">
        <f t="shared" si="105"/>
        <v>0.77777777777777779</v>
      </c>
      <c r="BG226">
        <f>survey_responses[[#This Row],[Sau khi xem xét các quyền lợi và nghĩa vụ, bạn có ủng hộ và tuân thủ chính sách mới hiện nay? - HUMAN-OUT1]]</f>
        <v>7</v>
      </c>
      <c r="BH226">
        <f t="shared" si="106"/>
        <v>0.66666666666666663</v>
      </c>
      <c r="BI226" s="32">
        <f t="shared" si="107"/>
        <v>1</v>
      </c>
    </row>
    <row r="227" spans="1:61" x14ac:dyDescent="0.45">
      <c r="A227" s="30">
        <f>step3_validation[[#This Row],[Persona_ID]]</f>
        <v>226</v>
      </c>
      <c r="B227" s="31">
        <f>step3_validation[[#This Row],[Used_Seed]]</f>
        <v>226</v>
      </c>
      <c r="C227" t="str">
        <f>step3_validation[[#This Row],[Gender]]</f>
        <v>Nữ</v>
      </c>
      <c r="D227" t="str">
        <f>survey_responses[[#This Row],[Giới tính của bạn:]]</f>
        <v>Nữ</v>
      </c>
      <c r="E227" t="str">
        <f>step3_validation[[#This Row],[Age_Group]]</f>
        <v>55 - 64</v>
      </c>
      <c r="F227" t="str">
        <f>survey_responses[[#This Row],[Độ tuổi của bạn:]]</f>
        <v>55 - 64</v>
      </c>
      <c r="G227" t="str">
        <f>step3_validation[[#This Row],[Region]]</f>
        <v>Thành thị</v>
      </c>
      <c r="H227" t="str">
        <f>survey_responses[[#This Row],[Khu vực bạn đang sinh sống:]]</f>
        <v>Thành thị</v>
      </c>
      <c r="I227" t="str">
        <f>step3_validation[[#This Row],[Education]]</f>
        <v>Sau Đại học</v>
      </c>
      <c r="J227" t="str">
        <f>survey_responses[[#This Row],[Trình độ học vấn cao nhất:]]</f>
        <v>Sau Đại học</v>
      </c>
      <c r="K227" t="str">
        <f>step3_validation[[#This Row],[Employment]]</f>
        <v>Chính thức</v>
      </c>
      <c r="L227" t="str">
        <f>survey_responses[[#This Row],[Tình trạng việc làm chính:]]</f>
        <v>Khu vực chính thức (Có Hợp đồng lao động, đóng BHXH)</v>
      </c>
      <c r="M227">
        <f>step3_validation[[#This Row],[Income_Mil]]</f>
        <v>90.832829853445816</v>
      </c>
      <c r="N227" t="str">
        <f>survey_responses[[#This Row],[Thu nhập bình quân tháng theo Hợp đồng lao động của bạn là bao nhiêu? (Vui lòng điền tổng thu nhập trước khi khấu trừ các loại Bảo hiểm (BHXH, BHYT, BHTN) và Thuế TNCN)]]</f>
        <v>Từ 70 - 102 triệu VNĐ</v>
      </c>
      <c r="O227">
        <f>step3_validation[[#This Row],[Dependents]]</f>
        <v>2</v>
      </c>
      <c r="P227" t="str">
        <f>survey_responses[[#This Row],[Số người phụ thuộc (con nhỏ, cha mẹ già...) đủ điều kiện giảm trừ gia cảnh:]]</f>
        <v>2 người</v>
      </c>
      <c r="Q227">
        <f>step3_validation[[#This Row],[AI_ENF1]]</f>
        <v>8</v>
      </c>
      <c r="R227">
        <f t="shared" si="81"/>
        <v>0.77777777777777779</v>
      </c>
      <c r="S227">
        <f>survey_responses[[#This Row],[Tôi tin rằng với các quy định quản lý thuế hiện nay, hành vi gian lận hoặc trốn thuế sẽ dễ dàng bị phát hiện và xử lý nghiêm. - HUMAN-ENF1]]</f>
        <v>7</v>
      </c>
      <c r="T227">
        <f t="shared" si="82"/>
        <v>0.66666666666666663</v>
      </c>
      <c r="U227">
        <f>step3_validation[[#This Row],[AI_ENF2]]</f>
        <v>7</v>
      </c>
      <c r="V227">
        <f t="shared" si="83"/>
        <v>0.66666666666666663</v>
      </c>
      <c r="W227">
        <f>survey_responses[[#This Row],[Tôi tin rằng Nhà nước, cơ quan thuế có đủ khả năng và công nghệ để phát hiện, xử lý nghiêm các hành vi trốn thuế. - HUMAN-ENF2]]</f>
        <v>7</v>
      </c>
      <c r="X227">
        <f t="shared" si="84"/>
        <v>0.66666666666666663</v>
      </c>
      <c r="Y227" s="32">
        <f t="shared" si="85"/>
        <v>0.72222222222222221</v>
      </c>
      <c r="Z227" s="32">
        <f t="shared" si="86"/>
        <v>0.66666666666666663</v>
      </c>
      <c r="AA227">
        <f>step3_validation[[#This Row],[AI_FAC1]]</f>
        <v>6</v>
      </c>
      <c r="AB227">
        <f t="shared" si="87"/>
        <v>0.55555555555555558</v>
      </c>
      <c r="AC227">
        <f>survey_responses[[#This Row],[Các thủ tục khai báo thuế VÀ/HOẶC quy trình làm việc với cơ quan thuế đơn giản, tiện lợi, nhanh chóng hơn so với trước đây. - HUMAN-FAC1]]</f>
        <v>6</v>
      </c>
      <c r="AD227">
        <f t="shared" si="88"/>
        <v>0.55555555555555558</v>
      </c>
      <c r="AE227">
        <f>step3_validation[[#This Row],[AI_FAC2]]</f>
        <v>8</v>
      </c>
      <c r="AF227">
        <f t="shared" si="89"/>
        <v>0.77777777777777779</v>
      </c>
      <c r="AG227">
        <f>survey_responses[[#This Row],[So với trước đây, tôi thấy cách tính thuế và các bậc thuế trong phương án mới đơn giản, dễ hiểu và dễ thực hiện hơn. - HUMAN-FAC2]]</f>
        <v>7</v>
      </c>
      <c r="AH227">
        <f t="shared" si="90"/>
        <v>0.66666666666666663</v>
      </c>
      <c r="AI227" s="32">
        <f t="shared" si="91"/>
        <v>0.66666666666666674</v>
      </c>
      <c r="AJ227" s="32">
        <f t="shared" si="92"/>
        <v>0.61111111111111116</v>
      </c>
      <c r="AK227">
        <f>step3_validation[[#This Row],[AI_TRU1]]</f>
        <v>7</v>
      </c>
      <c r="AL227">
        <f t="shared" si="93"/>
        <v>0.66666666666666663</v>
      </c>
      <c r="AM227">
        <f>survey_responses[[#This Row],[Tôi tin rằng Nhà nước, cơ quan thuế sẽ thực thi chính sách mới một cách khách quan, công tâm và đối xử bình đẳng với mọi người nộp thuế.  - HUMAN-TRU1]]</f>
        <v>7</v>
      </c>
      <c r="AN227">
        <f t="shared" si="94"/>
        <v>0.66666666666666663</v>
      </c>
      <c r="AO227">
        <f>step3_validation[[#This Row],[AI_TRU2]]</f>
        <v>9</v>
      </c>
      <c r="AP227">
        <f t="shared" si="95"/>
        <v>0.88888888888888884</v>
      </c>
      <c r="AQ227">
        <f>survey_responses[[#This Row],[Tôi thấy mức thuế tôi phải đóng theo phương án mới là công bằng (người thu nhập như tôi đóng mức này là hợp lý). - HUMAN-TRU2]]</f>
        <v>7</v>
      </c>
      <c r="AR227">
        <f t="shared" si="96"/>
        <v>0.66666666666666663</v>
      </c>
      <c r="AS227">
        <f>step3_validation[[#This Row],[AI_TRU3]]</f>
        <v>8</v>
      </c>
      <c r="AT227">
        <f t="shared" si="97"/>
        <v>0.77777777777777779</v>
      </c>
      <c r="AU227">
        <f>survey_responses[[#This Row],[Tôi tin tưởng số tiền thuế tôi đóng sẽ được Nhà nước sử dụng hiệu quả để cải thiện dịch vụ công (y tế, đường xá...). - HUMAN-TRU3]]</f>
        <v>7</v>
      </c>
      <c r="AV227">
        <f t="shared" si="98"/>
        <v>0.66666666666666663</v>
      </c>
      <c r="AW227">
        <f>step3_validation[[#This Row],[AI_TRU4]]</f>
        <v>7</v>
      </c>
      <c r="AX227">
        <f t="shared" si="99"/>
        <v>0.66666666666666663</v>
      </c>
      <c r="AY227">
        <f>survey_responses[[#This Row],[Tôi thấy Nhà nước đã giải thích rõ ràng, minh bạch về lý do và mục tiêu của việc sửa đổi thuế lần này. - HUMAN-TRU4]]</f>
        <v>7</v>
      </c>
      <c r="AZ227">
        <f t="shared" si="100"/>
        <v>0.66666666666666663</v>
      </c>
      <c r="BA227" s="32">
        <f t="shared" si="101"/>
        <v>0.74999999999999989</v>
      </c>
      <c r="BB227" s="32">
        <f t="shared" si="102"/>
        <v>0.66666666666666663</v>
      </c>
      <c r="BC227" s="7">
        <f t="shared" si="103"/>
        <v>0.71296296296296291</v>
      </c>
      <c r="BD227" s="7">
        <f t="shared" si="104"/>
        <v>0.64814814814814803</v>
      </c>
      <c r="BE227">
        <f>step3_validation[[#This Row],[AI_OUT1]]</f>
        <v>9</v>
      </c>
      <c r="BF227">
        <f t="shared" si="105"/>
        <v>0.88888888888888884</v>
      </c>
      <c r="BG227">
        <f>survey_responses[[#This Row],[Sau khi xem xét các quyền lợi và nghĩa vụ, bạn có ủng hộ và tuân thủ chính sách mới hiện nay? - HUMAN-OUT1]]</f>
        <v>7</v>
      </c>
      <c r="BH227">
        <f t="shared" si="106"/>
        <v>0.66666666666666663</v>
      </c>
      <c r="BI227" s="32">
        <f t="shared" si="107"/>
        <v>2</v>
      </c>
    </row>
    <row r="228" spans="1:61" x14ac:dyDescent="0.45">
      <c r="A228" s="30">
        <f>step3_validation[[#This Row],[Persona_ID]]</f>
        <v>227</v>
      </c>
      <c r="B228" s="31">
        <f>step3_validation[[#This Row],[Used_Seed]]</f>
        <v>227</v>
      </c>
      <c r="C228" t="str">
        <f>step3_validation[[#This Row],[Gender]]</f>
        <v>Nữ</v>
      </c>
      <c r="D228" t="str">
        <f>survey_responses[[#This Row],[Giới tính của bạn:]]</f>
        <v>Nữ</v>
      </c>
      <c r="E228" t="str">
        <f>step3_validation[[#This Row],[Age_Group]]</f>
        <v>25 - 29</v>
      </c>
      <c r="F228" t="str">
        <f>survey_responses[[#This Row],[Độ tuổi của bạn:]]</f>
        <v>25 - 29</v>
      </c>
      <c r="G228" t="str">
        <f>step3_validation[[#This Row],[Region]]</f>
        <v>Thành thị</v>
      </c>
      <c r="H228" t="str">
        <f>survey_responses[[#This Row],[Khu vực bạn đang sinh sống:]]</f>
        <v>Thành thị</v>
      </c>
      <c r="I228" t="str">
        <f>step3_validation[[#This Row],[Education]]</f>
        <v>Đại học</v>
      </c>
      <c r="J228" t="str">
        <f>survey_responses[[#This Row],[Trình độ học vấn cao nhất:]]</f>
        <v>Đại học</v>
      </c>
      <c r="K228" t="str">
        <f>step3_validation[[#This Row],[Employment]]</f>
        <v>Chính thức</v>
      </c>
      <c r="L228" t="str">
        <f>survey_responses[[#This Row],[Tình trạng việc làm chính:]]</f>
        <v>Khu vực chính thức (Có Hợp đồng lao động, đóng BHXH)</v>
      </c>
      <c r="M228">
        <f>step3_validation[[#This Row],[Income_Mil]]</f>
        <v>26.974894647314343</v>
      </c>
      <c r="N228" t="str">
        <f>survey_responses[[#This Row],[Thu nhập bình quân tháng theo Hợp đồng lao động của bạn là bao nhiêu? (Vui lòng điền tổng thu nhập trước khi khấu trừ các loại Bảo hiểm (BHXH, BHYT, BHTN) và Thuế TNCN)]]</f>
        <v>Từ 23 - 32 triệu VNĐ</v>
      </c>
      <c r="O228">
        <f>step3_validation[[#This Row],[Dependents]]</f>
        <v>0</v>
      </c>
      <c r="P228" t="str">
        <f>survey_responses[[#This Row],[Số người phụ thuộc (con nhỏ, cha mẹ già...) đủ điều kiện giảm trừ gia cảnh:]]</f>
        <v>0 người</v>
      </c>
      <c r="Q228">
        <f>step3_validation[[#This Row],[AI_ENF1]]</f>
        <v>6</v>
      </c>
      <c r="R228">
        <f t="shared" si="81"/>
        <v>0.55555555555555558</v>
      </c>
      <c r="S228">
        <f>survey_responses[[#This Row],[Tôi tin rằng với các quy định quản lý thuế hiện nay, hành vi gian lận hoặc trốn thuế sẽ dễ dàng bị phát hiện và xử lý nghiêm. - HUMAN-ENF1]]</f>
        <v>6</v>
      </c>
      <c r="T228">
        <f t="shared" si="82"/>
        <v>0.55555555555555558</v>
      </c>
      <c r="U228">
        <f>step3_validation[[#This Row],[AI_ENF2]]</f>
        <v>7</v>
      </c>
      <c r="V228">
        <f t="shared" si="83"/>
        <v>0.66666666666666663</v>
      </c>
      <c r="W228">
        <f>survey_responses[[#This Row],[Tôi tin rằng Nhà nước, cơ quan thuế có đủ khả năng và công nghệ để phát hiện, xử lý nghiêm các hành vi trốn thuế. - HUMAN-ENF2]]</f>
        <v>6</v>
      </c>
      <c r="X228">
        <f t="shared" si="84"/>
        <v>0.55555555555555558</v>
      </c>
      <c r="Y228" s="32">
        <f t="shared" si="85"/>
        <v>0.61111111111111116</v>
      </c>
      <c r="Z228" s="32">
        <f t="shared" si="86"/>
        <v>0.55555555555555558</v>
      </c>
      <c r="AA228">
        <f>step3_validation[[#This Row],[AI_FAC1]]</f>
        <v>9</v>
      </c>
      <c r="AB228">
        <f t="shared" si="87"/>
        <v>0.88888888888888884</v>
      </c>
      <c r="AC228">
        <f>survey_responses[[#This Row],[Các thủ tục khai báo thuế VÀ/HOẶC quy trình làm việc với cơ quan thuế đơn giản, tiện lợi, nhanh chóng hơn so với trước đây. - HUMAN-FAC1]]</f>
        <v>6</v>
      </c>
      <c r="AD228">
        <f t="shared" si="88"/>
        <v>0.55555555555555558</v>
      </c>
      <c r="AE228">
        <f>step3_validation[[#This Row],[AI_FAC2]]</f>
        <v>8</v>
      </c>
      <c r="AF228">
        <f t="shared" si="89"/>
        <v>0.77777777777777779</v>
      </c>
      <c r="AG228">
        <f>survey_responses[[#This Row],[So với trước đây, tôi thấy cách tính thuế và các bậc thuế trong phương án mới đơn giản, dễ hiểu và dễ thực hiện hơn. - HUMAN-FAC2]]</f>
        <v>6</v>
      </c>
      <c r="AH228">
        <f t="shared" si="90"/>
        <v>0.55555555555555558</v>
      </c>
      <c r="AI228" s="32">
        <f t="shared" si="91"/>
        <v>0.83333333333333326</v>
      </c>
      <c r="AJ228" s="32">
        <f t="shared" si="92"/>
        <v>0.55555555555555558</v>
      </c>
      <c r="AK228">
        <f>step3_validation[[#This Row],[AI_TRU1]]</f>
        <v>7</v>
      </c>
      <c r="AL228">
        <f t="shared" si="93"/>
        <v>0.66666666666666663</v>
      </c>
      <c r="AM228">
        <f>survey_responses[[#This Row],[Tôi tin rằng Nhà nước, cơ quan thuế sẽ thực thi chính sách mới một cách khách quan, công tâm và đối xử bình đẳng với mọi người nộp thuế.  - HUMAN-TRU1]]</f>
        <v>6</v>
      </c>
      <c r="AN228">
        <f t="shared" si="94"/>
        <v>0.55555555555555558</v>
      </c>
      <c r="AO228">
        <f>step3_validation[[#This Row],[AI_TRU2]]</f>
        <v>8</v>
      </c>
      <c r="AP228">
        <f t="shared" si="95"/>
        <v>0.77777777777777779</v>
      </c>
      <c r="AQ228">
        <f>survey_responses[[#This Row],[Tôi thấy mức thuế tôi phải đóng theo phương án mới là công bằng (người thu nhập như tôi đóng mức này là hợp lý). - HUMAN-TRU2]]</f>
        <v>6</v>
      </c>
      <c r="AR228">
        <f t="shared" si="96"/>
        <v>0.55555555555555558</v>
      </c>
      <c r="AS228">
        <f>step3_validation[[#This Row],[AI_TRU3]]</f>
        <v>7</v>
      </c>
      <c r="AT228">
        <f t="shared" si="97"/>
        <v>0.66666666666666663</v>
      </c>
      <c r="AU228">
        <f>survey_responses[[#This Row],[Tôi tin tưởng số tiền thuế tôi đóng sẽ được Nhà nước sử dụng hiệu quả để cải thiện dịch vụ công (y tế, đường xá...). - HUMAN-TRU3]]</f>
        <v>6</v>
      </c>
      <c r="AV228">
        <f t="shared" si="98"/>
        <v>0.55555555555555558</v>
      </c>
      <c r="AW228">
        <f>step3_validation[[#This Row],[AI_TRU4]]</f>
        <v>8</v>
      </c>
      <c r="AX228">
        <f t="shared" si="99"/>
        <v>0.77777777777777779</v>
      </c>
      <c r="AY228">
        <f>survey_responses[[#This Row],[Tôi thấy Nhà nước đã giải thích rõ ràng, minh bạch về lý do và mục tiêu của việc sửa đổi thuế lần này. - HUMAN-TRU4]]</f>
        <v>6</v>
      </c>
      <c r="AZ228">
        <f t="shared" si="100"/>
        <v>0.55555555555555558</v>
      </c>
      <c r="BA228" s="32">
        <f t="shared" si="101"/>
        <v>0.72222222222222221</v>
      </c>
      <c r="BB228" s="32">
        <f t="shared" si="102"/>
        <v>0.55555555555555558</v>
      </c>
      <c r="BC228" s="7">
        <f t="shared" si="103"/>
        <v>0.72222222222222221</v>
      </c>
      <c r="BD228" s="7">
        <f t="shared" si="104"/>
        <v>0.55555555555555558</v>
      </c>
      <c r="BE228">
        <f>step3_validation[[#This Row],[AI_OUT1]]</f>
        <v>9</v>
      </c>
      <c r="BF228">
        <f t="shared" si="105"/>
        <v>0.88888888888888884</v>
      </c>
      <c r="BG228">
        <f>survey_responses[[#This Row],[Sau khi xem xét các quyền lợi và nghĩa vụ, bạn có ủng hộ và tuân thủ chính sách mới hiện nay? - HUMAN-OUT1]]</f>
        <v>6</v>
      </c>
      <c r="BH228">
        <f t="shared" si="106"/>
        <v>0.55555555555555558</v>
      </c>
      <c r="BI228" s="32">
        <f t="shared" si="107"/>
        <v>3</v>
      </c>
    </row>
    <row r="229" spans="1:61" x14ac:dyDescent="0.45">
      <c r="A229" s="30">
        <f>step3_validation[[#This Row],[Persona_ID]]</f>
        <v>228</v>
      </c>
      <c r="B229" s="31">
        <f>step3_validation[[#This Row],[Used_Seed]]</f>
        <v>228</v>
      </c>
      <c r="C229" t="str">
        <f>step3_validation[[#This Row],[Gender]]</f>
        <v>Nữ</v>
      </c>
      <c r="D229" t="str">
        <f>survey_responses[[#This Row],[Giới tính của bạn:]]</f>
        <v>Nữ</v>
      </c>
      <c r="E229" t="str">
        <f>step3_validation[[#This Row],[Age_Group]]</f>
        <v>25 - 29</v>
      </c>
      <c r="F229" t="str">
        <f>survey_responses[[#This Row],[Độ tuổi của bạn:]]</f>
        <v>25 - 29</v>
      </c>
      <c r="G229" t="str">
        <f>step3_validation[[#This Row],[Region]]</f>
        <v>Thành thị</v>
      </c>
      <c r="H229" t="str">
        <f>survey_responses[[#This Row],[Khu vực bạn đang sinh sống:]]</f>
        <v>Thành thị</v>
      </c>
      <c r="I229" t="str">
        <f>step3_validation[[#This Row],[Education]]</f>
        <v>Đại học</v>
      </c>
      <c r="J229" t="str">
        <f>survey_responses[[#This Row],[Trình độ học vấn cao nhất:]]</f>
        <v>Đại học</v>
      </c>
      <c r="K229" t="str">
        <f>step3_validation[[#This Row],[Employment]]</f>
        <v>Chính thức</v>
      </c>
      <c r="L229" t="str">
        <f>survey_responses[[#This Row],[Tình trạng việc làm chính:]]</f>
        <v>Khu vực chính thức (Có Hợp đồng lao động, đóng BHXH)</v>
      </c>
      <c r="M229">
        <f>step3_validation[[#This Row],[Income_Mil]]</f>
        <v>20.6456373833669</v>
      </c>
      <c r="N229" t="str">
        <f>survey_responses[[#This Row],[Thu nhập bình quân tháng theo Hợp đồng lao động của bạn là bao nhiêu? (Vui lòng điền tổng thu nhập trước khi khấu trừ các loại Bảo hiểm (BHXH, BHYT, BHTN) và Thuế TNCN)]]</f>
        <v>Từ 18 - 23 triệu VNĐ</v>
      </c>
      <c r="O229">
        <f>step3_validation[[#This Row],[Dependents]]</f>
        <v>2</v>
      </c>
      <c r="P229" t="str">
        <f>survey_responses[[#This Row],[Số người phụ thuộc (con nhỏ, cha mẹ già...) đủ điều kiện giảm trừ gia cảnh:]]</f>
        <v>2 người</v>
      </c>
      <c r="Q229">
        <f>step3_validation[[#This Row],[AI_ENF1]]</f>
        <v>8</v>
      </c>
      <c r="R229">
        <f t="shared" si="81"/>
        <v>0.77777777777777779</v>
      </c>
      <c r="S229">
        <f>survey_responses[[#This Row],[Tôi tin rằng với các quy định quản lý thuế hiện nay, hành vi gian lận hoặc trốn thuế sẽ dễ dàng bị phát hiện và xử lý nghiêm. - HUMAN-ENF1]]</f>
        <v>8</v>
      </c>
      <c r="T229">
        <f t="shared" si="82"/>
        <v>0.77777777777777779</v>
      </c>
      <c r="U229">
        <f>step3_validation[[#This Row],[AI_ENF2]]</f>
        <v>7</v>
      </c>
      <c r="V229">
        <f t="shared" si="83"/>
        <v>0.66666666666666663</v>
      </c>
      <c r="W229">
        <f>survey_responses[[#This Row],[Tôi tin rằng Nhà nước, cơ quan thuế có đủ khả năng và công nghệ để phát hiện, xử lý nghiêm các hành vi trốn thuế. - HUMAN-ENF2]]</f>
        <v>9</v>
      </c>
      <c r="X229">
        <f t="shared" si="84"/>
        <v>0.88888888888888884</v>
      </c>
      <c r="Y229" s="32">
        <f t="shared" si="85"/>
        <v>0.72222222222222221</v>
      </c>
      <c r="Z229" s="32">
        <f t="shared" si="86"/>
        <v>0.83333333333333326</v>
      </c>
      <c r="AA229">
        <f>step3_validation[[#This Row],[AI_FAC1]]</f>
        <v>9</v>
      </c>
      <c r="AB229">
        <f t="shared" si="87"/>
        <v>0.88888888888888884</v>
      </c>
      <c r="AC229">
        <f>survey_responses[[#This Row],[Các thủ tục khai báo thuế VÀ/HOẶC quy trình làm việc với cơ quan thuế đơn giản, tiện lợi, nhanh chóng hơn so với trước đây. - HUMAN-FAC1]]</f>
        <v>7</v>
      </c>
      <c r="AD229">
        <f t="shared" si="88"/>
        <v>0.66666666666666663</v>
      </c>
      <c r="AE229">
        <f>step3_validation[[#This Row],[AI_FAC2]]</f>
        <v>10</v>
      </c>
      <c r="AF229">
        <f t="shared" si="89"/>
        <v>1</v>
      </c>
      <c r="AG229">
        <f>survey_responses[[#This Row],[So với trước đây, tôi thấy cách tính thuế và các bậc thuế trong phương án mới đơn giản, dễ hiểu và dễ thực hiện hơn. - HUMAN-FAC2]]</f>
        <v>8</v>
      </c>
      <c r="AH229">
        <f t="shared" si="90"/>
        <v>0.77777777777777779</v>
      </c>
      <c r="AI229" s="32">
        <f t="shared" si="91"/>
        <v>0.94444444444444442</v>
      </c>
      <c r="AJ229" s="32">
        <f t="shared" si="92"/>
        <v>0.72222222222222221</v>
      </c>
      <c r="AK229">
        <f>step3_validation[[#This Row],[AI_TRU1]]</f>
        <v>9</v>
      </c>
      <c r="AL229">
        <f t="shared" si="93"/>
        <v>0.88888888888888884</v>
      </c>
      <c r="AM229">
        <f>survey_responses[[#This Row],[Tôi tin rằng Nhà nước, cơ quan thuế sẽ thực thi chính sách mới một cách khách quan, công tâm và đối xử bình đẳng với mọi người nộp thuế.  - HUMAN-TRU1]]</f>
        <v>9</v>
      </c>
      <c r="AN229">
        <f t="shared" si="94"/>
        <v>0.88888888888888884</v>
      </c>
      <c r="AO229">
        <f>step3_validation[[#This Row],[AI_TRU2]]</f>
        <v>10</v>
      </c>
      <c r="AP229">
        <f t="shared" si="95"/>
        <v>1</v>
      </c>
      <c r="AQ229">
        <f>survey_responses[[#This Row],[Tôi thấy mức thuế tôi phải đóng theo phương án mới là công bằng (người thu nhập như tôi đóng mức này là hợp lý). - HUMAN-TRU2]]</f>
        <v>8</v>
      </c>
      <c r="AR229">
        <f t="shared" si="96"/>
        <v>0.77777777777777779</v>
      </c>
      <c r="AS229">
        <f>step3_validation[[#This Row],[AI_TRU3]]</f>
        <v>9</v>
      </c>
      <c r="AT229">
        <f t="shared" si="97"/>
        <v>0.88888888888888884</v>
      </c>
      <c r="AU229">
        <f>survey_responses[[#This Row],[Tôi tin tưởng số tiền thuế tôi đóng sẽ được Nhà nước sử dụng hiệu quả để cải thiện dịch vụ công (y tế, đường xá...). - HUMAN-TRU3]]</f>
        <v>8</v>
      </c>
      <c r="AV229">
        <f t="shared" si="98"/>
        <v>0.77777777777777779</v>
      </c>
      <c r="AW229">
        <f>step3_validation[[#This Row],[AI_TRU4]]</f>
        <v>8</v>
      </c>
      <c r="AX229">
        <f t="shared" si="99"/>
        <v>0.77777777777777779</v>
      </c>
      <c r="AY229">
        <f>survey_responses[[#This Row],[Tôi thấy Nhà nước đã giải thích rõ ràng, minh bạch về lý do và mục tiêu của việc sửa đổi thuế lần này. - HUMAN-TRU4]]</f>
        <v>8</v>
      </c>
      <c r="AZ229">
        <f t="shared" si="100"/>
        <v>0.77777777777777779</v>
      </c>
      <c r="BA229" s="32">
        <f t="shared" si="101"/>
        <v>0.88888888888888884</v>
      </c>
      <c r="BB229" s="32">
        <f t="shared" si="102"/>
        <v>0.80555555555555547</v>
      </c>
      <c r="BC229" s="7">
        <f t="shared" si="103"/>
        <v>0.85185185185185175</v>
      </c>
      <c r="BD229" s="7">
        <f t="shared" si="104"/>
        <v>0.78703703703703687</v>
      </c>
      <c r="BE229">
        <f>step3_validation[[#This Row],[AI_OUT1]]</f>
        <v>9</v>
      </c>
      <c r="BF229">
        <f t="shared" si="105"/>
        <v>0.88888888888888884</v>
      </c>
      <c r="BG229">
        <f>survey_responses[[#This Row],[Sau khi xem xét các quyền lợi và nghĩa vụ, bạn có ủng hộ và tuân thủ chính sách mới hiện nay? - HUMAN-OUT1]]</f>
        <v>8</v>
      </c>
      <c r="BH229">
        <f t="shared" si="106"/>
        <v>0.77777777777777779</v>
      </c>
      <c r="BI229" s="32">
        <f t="shared" si="107"/>
        <v>1</v>
      </c>
    </row>
    <row r="230" spans="1:61" x14ac:dyDescent="0.45">
      <c r="A230" s="30">
        <f>step3_validation[[#This Row],[Persona_ID]]</f>
        <v>229</v>
      </c>
      <c r="B230" s="31">
        <f>step3_validation[[#This Row],[Used_Seed]]</f>
        <v>229</v>
      </c>
      <c r="C230" t="str">
        <f>step3_validation[[#This Row],[Gender]]</f>
        <v>Nữ</v>
      </c>
      <c r="D230" t="str">
        <f>survey_responses[[#This Row],[Giới tính của bạn:]]</f>
        <v>Nữ</v>
      </c>
      <c r="E230" t="str">
        <f>step3_validation[[#This Row],[Age_Group]]</f>
        <v>30 - 39</v>
      </c>
      <c r="F230" t="str">
        <f>survey_responses[[#This Row],[Độ tuổi của bạn:]]</f>
        <v>30 - 39</v>
      </c>
      <c r="G230" t="str">
        <f>step3_validation[[#This Row],[Region]]</f>
        <v>Thành thị</v>
      </c>
      <c r="H230" t="str">
        <f>survey_responses[[#This Row],[Khu vực bạn đang sinh sống:]]</f>
        <v>Thành thị</v>
      </c>
      <c r="I230" t="str">
        <f>step3_validation[[#This Row],[Education]]</f>
        <v>Đại học</v>
      </c>
      <c r="J230" t="str">
        <f>survey_responses[[#This Row],[Trình độ học vấn cao nhất:]]</f>
        <v>Đại học</v>
      </c>
      <c r="K230" t="str">
        <f>step3_validation[[#This Row],[Employment]]</f>
        <v>Chính thức</v>
      </c>
      <c r="L230" t="str">
        <f>survey_responses[[#This Row],[Tình trạng việc làm chính:]]</f>
        <v>Khu vực chính thức (Có Hợp đồng lao động, đóng BHXH)</v>
      </c>
      <c r="M230">
        <f>step3_validation[[#This Row],[Income_Mil]]</f>
        <v>66.507290492829924</v>
      </c>
      <c r="N230" t="str">
        <f>survey_responses[[#This Row],[Thu nhập bình quân tháng theo Hợp đồng lao động của bạn là bao nhiêu? (Vui lòng điền tổng thu nhập trước khi khấu trừ các loại Bảo hiểm (BHXH, BHYT, BHTN) và Thuế TNCN)]]</f>
        <v>Từ 48 - 70 triệu VNĐ</v>
      </c>
      <c r="O230">
        <f>step3_validation[[#This Row],[Dependents]]</f>
        <v>2</v>
      </c>
      <c r="P230" t="str">
        <f>survey_responses[[#This Row],[Số người phụ thuộc (con nhỏ, cha mẹ già...) đủ điều kiện giảm trừ gia cảnh:]]</f>
        <v>2 người</v>
      </c>
      <c r="Q230">
        <f>step3_validation[[#This Row],[AI_ENF1]]</f>
        <v>9</v>
      </c>
      <c r="R230">
        <f t="shared" si="81"/>
        <v>0.88888888888888884</v>
      </c>
      <c r="S230">
        <f>survey_responses[[#This Row],[Tôi tin rằng với các quy định quản lý thuế hiện nay, hành vi gian lận hoặc trốn thuế sẽ dễ dàng bị phát hiện và xử lý nghiêm. - HUMAN-ENF1]]</f>
        <v>6</v>
      </c>
      <c r="T230">
        <f t="shared" si="82"/>
        <v>0.55555555555555558</v>
      </c>
      <c r="U230">
        <f>step3_validation[[#This Row],[AI_ENF2]]</f>
        <v>8</v>
      </c>
      <c r="V230">
        <f t="shared" si="83"/>
        <v>0.77777777777777779</v>
      </c>
      <c r="W230">
        <f>survey_responses[[#This Row],[Tôi tin rằng Nhà nước, cơ quan thuế có đủ khả năng và công nghệ để phát hiện, xử lý nghiêm các hành vi trốn thuế. - HUMAN-ENF2]]</f>
        <v>6</v>
      </c>
      <c r="X230">
        <f t="shared" si="84"/>
        <v>0.55555555555555558</v>
      </c>
      <c r="Y230" s="32">
        <f t="shared" si="85"/>
        <v>0.83333333333333326</v>
      </c>
      <c r="Z230" s="32">
        <f t="shared" si="86"/>
        <v>0.55555555555555558</v>
      </c>
      <c r="AA230">
        <f>step3_validation[[#This Row],[AI_FAC1]]</f>
        <v>9</v>
      </c>
      <c r="AB230">
        <f t="shared" si="87"/>
        <v>0.88888888888888884</v>
      </c>
      <c r="AC230">
        <f>survey_responses[[#This Row],[Các thủ tục khai báo thuế VÀ/HOẶC quy trình làm việc với cơ quan thuế đơn giản, tiện lợi, nhanh chóng hơn so với trước đây. - HUMAN-FAC1]]</f>
        <v>6</v>
      </c>
      <c r="AD230">
        <f t="shared" si="88"/>
        <v>0.55555555555555558</v>
      </c>
      <c r="AE230">
        <f>step3_validation[[#This Row],[AI_FAC2]]</f>
        <v>8</v>
      </c>
      <c r="AF230">
        <f t="shared" si="89"/>
        <v>0.77777777777777779</v>
      </c>
      <c r="AG230">
        <f>survey_responses[[#This Row],[So với trước đây, tôi thấy cách tính thuế và các bậc thuế trong phương án mới đơn giản, dễ hiểu và dễ thực hiện hơn. - HUMAN-FAC2]]</f>
        <v>6</v>
      </c>
      <c r="AH230">
        <f t="shared" si="90"/>
        <v>0.55555555555555558</v>
      </c>
      <c r="AI230" s="32">
        <f t="shared" si="91"/>
        <v>0.83333333333333326</v>
      </c>
      <c r="AJ230" s="32">
        <f t="shared" si="92"/>
        <v>0.55555555555555558</v>
      </c>
      <c r="AK230">
        <f>step3_validation[[#This Row],[AI_TRU1]]</f>
        <v>9</v>
      </c>
      <c r="AL230">
        <f t="shared" si="93"/>
        <v>0.88888888888888884</v>
      </c>
      <c r="AM230">
        <f>survey_responses[[#This Row],[Tôi tin rằng Nhà nước, cơ quan thuế sẽ thực thi chính sách mới một cách khách quan, công tâm và đối xử bình đẳng với mọi người nộp thuế.  - HUMAN-TRU1]]</f>
        <v>6</v>
      </c>
      <c r="AN230">
        <f t="shared" si="94"/>
        <v>0.55555555555555558</v>
      </c>
      <c r="AO230">
        <f>step3_validation[[#This Row],[AI_TRU2]]</f>
        <v>8</v>
      </c>
      <c r="AP230">
        <f t="shared" si="95"/>
        <v>0.77777777777777779</v>
      </c>
      <c r="AQ230">
        <f>survey_responses[[#This Row],[Tôi thấy mức thuế tôi phải đóng theo phương án mới là công bằng (người thu nhập như tôi đóng mức này là hợp lý). - HUMAN-TRU2]]</f>
        <v>7</v>
      </c>
      <c r="AR230">
        <f t="shared" si="96"/>
        <v>0.66666666666666663</v>
      </c>
      <c r="AS230">
        <f>step3_validation[[#This Row],[AI_TRU3]]</f>
        <v>9</v>
      </c>
      <c r="AT230">
        <f t="shared" si="97"/>
        <v>0.88888888888888884</v>
      </c>
      <c r="AU230">
        <f>survey_responses[[#This Row],[Tôi tin tưởng số tiền thuế tôi đóng sẽ được Nhà nước sử dụng hiệu quả để cải thiện dịch vụ công (y tế, đường xá...). - HUMAN-TRU3]]</f>
        <v>6</v>
      </c>
      <c r="AV230">
        <f t="shared" si="98"/>
        <v>0.55555555555555558</v>
      </c>
      <c r="AW230">
        <f>step3_validation[[#This Row],[AI_TRU4]]</f>
        <v>8</v>
      </c>
      <c r="AX230">
        <f t="shared" si="99"/>
        <v>0.77777777777777779</v>
      </c>
      <c r="AY230">
        <f>survey_responses[[#This Row],[Tôi thấy Nhà nước đã giải thích rõ ràng, minh bạch về lý do và mục tiêu của việc sửa đổi thuế lần này. - HUMAN-TRU4]]</f>
        <v>6</v>
      </c>
      <c r="AZ230">
        <f t="shared" si="100"/>
        <v>0.55555555555555558</v>
      </c>
      <c r="BA230" s="32">
        <f t="shared" si="101"/>
        <v>0.83333333333333326</v>
      </c>
      <c r="BB230" s="32">
        <f t="shared" si="102"/>
        <v>0.58333333333333337</v>
      </c>
      <c r="BC230" s="7">
        <f t="shared" si="103"/>
        <v>0.83333333333333337</v>
      </c>
      <c r="BD230" s="7">
        <f t="shared" si="104"/>
        <v>0.56481481481481488</v>
      </c>
      <c r="BE230">
        <f>step3_validation[[#This Row],[AI_OUT1]]</f>
        <v>9</v>
      </c>
      <c r="BF230">
        <f t="shared" si="105"/>
        <v>0.88888888888888884</v>
      </c>
      <c r="BG230">
        <f>survey_responses[[#This Row],[Sau khi xem xét các quyền lợi và nghĩa vụ, bạn có ủng hộ và tuân thủ chính sách mới hiện nay? - HUMAN-OUT1]]</f>
        <v>7</v>
      </c>
      <c r="BH230">
        <f t="shared" si="106"/>
        <v>0.66666666666666663</v>
      </c>
      <c r="BI230" s="32">
        <f t="shared" si="107"/>
        <v>2</v>
      </c>
    </row>
    <row r="231" spans="1:61" x14ac:dyDescent="0.45">
      <c r="A231" s="30">
        <f>step3_validation[[#This Row],[Persona_ID]]</f>
        <v>230</v>
      </c>
      <c r="B231" s="31">
        <f>step3_validation[[#This Row],[Used_Seed]]</f>
        <v>230</v>
      </c>
      <c r="C231" t="str">
        <f>step3_validation[[#This Row],[Gender]]</f>
        <v>Nữ</v>
      </c>
      <c r="D231" t="str">
        <f>survey_responses[[#This Row],[Giới tính của bạn:]]</f>
        <v>Nữ</v>
      </c>
      <c r="E231" t="str">
        <f>step3_validation[[#This Row],[Age_Group]]</f>
        <v>40 - 49</v>
      </c>
      <c r="F231" t="str">
        <f>survey_responses[[#This Row],[Độ tuổi của bạn:]]</f>
        <v>40 - 49</v>
      </c>
      <c r="G231" t="str">
        <f>step3_validation[[#This Row],[Region]]</f>
        <v>Thành thị</v>
      </c>
      <c r="H231" t="str">
        <f>survey_responses[[#This Row],[Khu vực bạn đang sinh sống:]]</f>
        <v>Thành thị</v>
      </c>
      <c r="I231" t="str">
        <f>step3_validation[[#This Row],[Education]]</f>
        <v>Sau Đại học</v>
      </c>
      <c r="J231" t="str">
        <f>survey_responses[[#This Row],[Trình độ học vấn cao nhất:]]</f>
        <v>Sau Đại học</v>
      </c>
      <c r="K231" t="str">
        <f>step3_validation[[#This Row],[Employment]]</f>
        <v>Chính thức</v>
      </c>
      <c r="L231" t="str">
        <f>survey_responses[[#This Row],[Tình trạng việc làm chính:]]</f>
        <v>Khu vực chính thức (Có Hợp đồng lao động, đóng BHXH)</v>
      </c>
      <c r="M231">
        <f>step3_validation[[#This Row],[Income_Mil]]</f>
        <v>70.256058518416509</v>
      </c>
      <c r="N231" t="str">
        <f>survey_responses[[#This Row],[Thu nhập bình quân tháng theo Hợp đồng lao động của bạn là bao nhiêu? (Vui lòng điền tổng thu nhập trước khi khấu trừ các loại Bảo hiểm (BHXH, BHYT, BHTN) và Thuế TNCN)]]</f>
        <v>Từ 70 - 102 triệu VNĐ</v>
      </c>
      <c r="O231">
        <f>step3_validation[[#This Row],[Dependents]]</f>
        <v>4</v>
      </c>
      <c r="P231" t="str">
        <f>survey_responses[[#This Row],[Số người phụ thuộc (con nhỏ, cha mẹ già...) đủ điều kiện giảm trừ gia cảnh:]]</f>
        <v>4 người trở lên</v>
      </c>
      <c r="Q231">
        <f>step3_validation[[#This Row],[AI_ENF1]]</f>
        <v>7</v>
      </c>
      <c r="R231">
        <f t="shared" si="81"/>
        <v>0.66666666666666663</v>
      </c>
      <c r="S231">
        <f>survey_responses[[#This Row],[Tôi tin rằng với các quy định quản lý thuế hiện nay, hành vi gian lận hoặc trốn thuế sẽ dễ dàng bị phát hiện và xử lý nghiêm. - HUMAN-ENF1]]</f>
        <v>4</v>
      </c>
      <c r="T231">
        <f t="shared" si="82"/>
        <v>0.33333333333333331</v>
      </c>
      <c r="U231">
        <f>step3_validation[[#This Row],[AI_ENF2]]</f>
        <v>8</v>
      </c>
      <c r="V231">
        <f t="shared" si="83"/>
        <v>0.77777777777777779</v>
      </c>
      <c r="W231">
        <f>survey_responses[[#This Row],[Tôi tin rằng Nhà nước, cơ quan thuế có đủ khả năng và công nghệ để phát hiện, xử lý nghiêm các hành vi trốn thuế. - HUMAN-ENF2]]</f>
        <v>5</v>
      </c>
      <c r="X231">
        <f t="shared" si="84"/>
        <v>0.44444444444444442</v>
      </c>
      <c r="Y231" s="32">
        <f t="shared" si="85"/>
        <v>0.72222222222222221</v>
      </c>
      <c r="Z231" s="32">
        <f t="shared" si="86"/>
        <v>0.38888888888888884</v>
      </c>
      <c r="AA231">
        <f>step3_validation[[#This Row],[AI_FAC1]]</f>
        <v>9</v>
      </c>
      <c r="AB231">
        <f t="shared" si="87"/>
        <v>0.88888888888888884</v>
      </c>
      <c r="AC231">
        <f>survey_responses[[#This Row],[Các thủ tục khai báo thuế VÀ/HOẶC quy trình làm việc với cơ quan thuế đơn giản, tiện lợi, nhanh chóng hơn so với trước đây. - HUMAN-FAC1]]</f>
        <v>1</v>
      </c>
      <c r="AD231">
        <f t="shared" si="88"/>
        <v>0</v>
      </c>
      <c r="AE231">
        <f>step3_validation[[#This Row],[AI_FAC2]]</f>
        <v>8</v>
      </c>
      <c r="AF231">
        <f t="shared" si="89"/>
        <v>0.77777777777777779</v>
      </c>
      <c r="AG231">
        <f>survey_responses[[#This Row],[So với trước đây, tôi thấy cách tính thuế và các bậc thuế trong phương án mới đơn giản, dễ hiểu và dễ thực hiện hơn. - HUMAN-FAC2]]</f>
        <v>6</v>
      </c>
      <c r="AH231">
        <f t="shared" si="90"/>
        <v>0.55555555555555558</v>
      </c>
      <c r="AI231" s="32">
        <f t="shared" si="91"/>
        <v>0.83333333333333326</v>
      </c>
      <c r="AJ231" s="32">
        <f t="shared" si="92"/>
        <v>0.27777777777777779</v>
      </c>
      <c r="AK231">
        <f>step3_validation[[#This Row],[AI_TRU1]]</f>
        <v>7</v>
      </c>
      <c r="AL231">
        <f t="shared" si="93"/>
        <v>0.66666666666666663</v>
      </c>
      <c r="AM231">
        <f>survey_responses[[#This Row],[Tôi tin rằng Nhà nước, cơ quan thuế sẽ thực thi chính sách mới một cách khách quan, công tâm và đối xử bình đẳng với mọi người nộp thuế.  - HUMAN-TRU1]]</f>
        <v>4</v>
      </c>
      <c r="AN231">
        <f t="shared" si="94"/>
        <v>0.33333333333333331</v>
      </c>
      <c r="AO231">
        <f>step3_validation[[#This Row],[AI_TRU2]]</f>
        <v>9</v>
      </c>
      <c r="AP231">
        <f t="shared" si="95"/>
        <v>0.88888888888888884</v>
      </c>
      <c r="AQ231">
        <f>survey_responses[[#This Row],[Tôi thấy mức thuế tôi phải đóng theo phương án mới là công bằng (người thu nhập như tôi đóng mức này là hợp lý). - HUMAN-TRU2]]</f>
        <v>4</v>
      </c>
      <c r="AR231">
        <f t="shared" si="96"/>
        <v>0.33333333333333331</v>
      </c>
      <c r="AS231">
        <f>step3_validation[[#This Row],[AI_TRU3]]</f>
        <v>8</v>
      </c>
      <c r="AT231">
        <f t="shared" si="97"/>
        <v>0.77777777777777779</v>
      </c>
      <c r="AU231">
        <f>survey_responses[[#This Row],[Tôi tin tưởng số tiền thuế tôi đóng sẽ được Nhà nước sử dụng hiệu quả để cải thiện dịch vụ công (y tế, đường xá...). - HUMAN-TRU3]]</f>
        <v>5</v>
      </c>
      <c r="AV231">
        <f t="shared" si="98"/>
        <v>0.44444444444444442</v>
      </c>
      <c r="AW231">
        <f>step3_validation[[#This Row],[AI_TRU4]]</f>
        <v>6</v>
      </c>
      <c r="AX231">
        <f t="shared" si="99"/>
        <v>0.55555555555555558</v>
      </c>
      <c r="AY231">
        <f>survey_responses[[#This Row],[Tôi thấy Nhà nước đã giải thích rõ ràng, minh bạch về lý do và mục tiêu của việc sửa đổi thuế lần này. - HUMAN-TRU4]]</f>
        <v>5</v>
      </c>
      <c r="AZ231">
        <f t="shared" si="100"/>
        <v>0.44444444444444442</v>
      </c>
      <c r="BA231" s="32">
        <f t="shared" si="101"/>
        <v>0.7222222222222221</v>
      </c>
      <c r="BB231" s="32">
        <f t="shared" si="102"/>
        <v>0.3888888888888889</v>
      </c>
      <c r="BC231" s="7">
        <f t="shared" si="103"/>
        <v>0.75925925925925919</v>
      </c>
      <c r="BD231" s="7">
        <f t="shared" si="104"/>
        <v>0.35185185185185186</v>
      </c>
      <c r="BE231">
        <f>step3_validation[[#This Row],[AI_OUT1]]</f>
        <v>9</v>
      </c>
      <c r="BF231">
        <f t="shared" si="105"/>
        <v>0.88888888888888884</v>
      </c>
      <c r="BG231">
        <f>survey_responses[[#This Row],[Sau khi xem xét các quyền lợi và nghĩa vụ, bạn có ủng hộ và tuân thủ chính sách mới hiện nay? - HUMAN-OUT1]]</f>
        <v>5</v>
      </c>
      <c r="BH231">
        <f t="shared" si="106"/>
        <v>0.44444444444444442</v>
      </c>
      <c r="BI231" s="32">
        <f t="shared" si="107"/>
        <v>4</v>
      </c>
    </row>
    <row r="232" spans="1:61" x14ac:dyDescent="0.45">
      <c r="A232" s="30">
        <f>step3_validation[[#This Row],[Persona_ID]]</f>
        <v>231</v>
      </c>
      <c r="B232" s="31">
        <f>step3_validation[[#This Row],[Used_Seed]]</f>
        <v>231</v>
      </c>
      <c r="C232" t="str">
        <f>step3_validation[[#This Row],[Gender]]</f>
        <v>Nam</v>
      </c>
      <c r="D232" t="str">
        <f>survey_responses[[#This Row],[Giới tính của bạn:]]</f>
        <v>Nam</v>
      </c>
      <c r="E232" t="str">
        <f>step3_validation[[#This Row],[Age_Group]]</f>
        <v>55 - 64</v>
      </c>
      <c r="F232" t="str">
        <f>survey_responses[[#This Row],[Độ tuổi của bạn:]]</f>
        <v>55 - 64</v>
      </c>
      <c r="G232" t="str">
        <f>step3_validation[[#This Row],[Region]]</f>
        <v>Thành thị</v>
      </c>
      <c r="H232" t="str">
        <f>survey_responses[[#This Row],[Khu vực bạn đang sinh sống:]]</f>
        <v>Thành thị</v>
      </c>
      <c r="I232" t="str">
        <f>step3_validation[[#This Row],[Education]]</f>
        <v>Sau Đại học</v>
      </c>
      <c r="J232" t="str">
        <f>survey_responses[[#This Row],[Trình độ học vấn cao nhất:]]</f>
        <v>Sau Đại học</v>
      </c>
      <c r="K232" t="str">
        <f>step3_validation[[#This Row],[Employment]]</f>
        <v>Chính thức</v>
      </c>
      <c r="L232" t="str">
        <f>survey_responses[[#This Row],[Tình trạng việc làm chính:]]</f>
        <v>Khu vực chính thức (Có Hợp đồng lao động, đóng BHXH)</v>
      </c>
      <c r="M232">
        <f>step3_validation[[#This Row],[Income_Mil]]</f>
        <v>183.06966084391595</v>
      </c>
      <c r="N232" t="str">
        <f>survey_responses[[#This Row],[Thu nhập bình quân tháng theo Hợp đồng lao động của bạn là bao nhiêu? (Vui lòng điền tổng thu nhập trước khi khấu trừ các loại Bảo hiểm (BHXH, BHYT, BHTN) và Thuế TNCN)]]</f>
        <v>Trên 102 triệu VNĐ</v>
      </c>
      <c r="O232">
        <f>step3_validation[[#This Row],[Dependents]]</f>
        <v>4</v>
      </c>
      <c r="P232" t="str">
        <f>survey_responses[[#This Row],[Số người phụ thuộc (con nhỏ, cha mẹ già...) đủ điều kiện giảm trừ gia cảnh:]]</f>
        <v>4 người trở lên</v>
      </c>
      <c r="Q232">
        <f>step3_validation[[#This Row],[AI_ENF1]]</f>
        <v>7</v>
      </c>
      <c r="R232">
        <f t="shared" si="81"/>
        <v>0.66666666666666663</v>
      </c>
      <c r="S232">
        <f>survey_responses[[#This Row],[Tôi tin rằng với các quy định quản lý thuế hiện nay, hành vi gian lận hoặc trốn thuế sẽ dễ dàng bị phát hiện và xử lý nghiêm. - HUMAN-ENF1]]</f>
        <v>8</v>
      </c>
      <c r="T232">
        <f t="shared" si="82"/>
        <v>0.77777777777777779</v>
      </c>
      <c r="U232">
        <f>step3_validation[[#This Row],[AI_ENF2]]</f>
        <v>7</v>
      </c>
      <c r="V232">
        <f t="shared" si="83"/>
        <v>0.66666666666666663</v>
      </c>
      <c r="W232">
        <f>survey_responses[[#This Row],[Tôi tin rằng Nhà nước, cơ quan thuế có đủ khả năng và công nghệ để phát hiện, xử lý nghiêm các hành vi trốn thuế. - HUMAN-ENF2]]</f>
        <v>8</v>
      </c>
      <c r="X232">
        <f t="shared" si="84"/>
        <v>0.77777777777777779</v>
      </c>
      <c r="Y232" s="32">
        <f t="shared" si="85"/>
        <v>0.66666666666666663</v>
      </c>
      <c r="Z232" s="32">
        <f t="shared" si="86"/>
        <v>0.77777777777777779</v>
      </c>
      <c r="AA232">
        <f>step3_validation[[#This Row],[AI_FAC1]]</f>
        <v>9</v>
      </c>
      <c r="AB232">
        <f t="shared" si="87"/>
        <v>0.88888888888888884</v>
      </c>
      <c r="AC232">
        <f>survey_responses[[#This Row],[Các thủ tục khai báo thuế VÀ/HOẶC quy trình làm việc với cơ quan thuế đơn giản, tiện lợi, nhanh chóng hơn so với trước đây. - HUMAN-FAC1]]</f>
        <v>8</v>
      </c>
      <c r="AD232">
        <f t="shared" si="88"/>
        <v>0.77777777777777779</v>
      </c>
      <c r="AE232">
        <f>step3_validation[[#This Row],[AI_FAC2]]</f>
        <v>9</v>
      </c>
      <c r="AF232">
        <f t="shared" si="89"/>
        <v>0.88888888888888884</v>
      </c>
      <c r="AG232">
        <f>survey_responses[[#This Row],[So với trước đây, tôi thấy cách tính thuế và các bậc thuế trong phương án mới đơn giản, dễ hiểu và dễ thực hiện hơn. - HUMAN-FAC2]]</f>
        <v>8</v>
      </c>
      <c r="AH232">
        <f t="shared" si="90"/>
        <v>0.77777777777777779</v>
      </c>
      <c r="AI232" s="32">
        <f t="shared" si="91"/>
        <v>0.88888888888888884</v>
      </c>
      <c r="AJ232" s="32">
        <f t="shared" si="92"/>
        <v>0.77777777777777779</v>
      </c>
      <c r="AK232">
        <f>step3_validation[[#This Row],[AI_TRU1]]</f>
        <v>8</v>
      </c>
      <c r="AL232">
        <f t="shared" si="93"/>
        <v>0.77777777777777779</v>
      </c>
      <c r="AM232">
        <f>survey_responses[[#This Row],[Tôi tin rằng Nhà nước, cơ quan thuế sẽ thực thi chính sách mới một cách khách quan, công tâm và đối xử bình đẳng với mọi người nộp thuế.  - HUMAN-TRU1]]</f>
        <v>7</v>
      </c>
      <c r="AN232">
        <f t="shared" si="94"/>
        <v>0.66666666666666663</v>
      </c>
      <c r="AO232">
        <f>step3_validation[[#This Row],[AI_TRU2]]</f>
        <v>9</v>
      </c>
      <c r="AP232">
        <f t="shared" si="95"/>
        <v>0.88888888888888884</v>
      </c>
      <c r="AQ232">
        <f>survey_responses[[#This Row],[Tôi thấy mức thuế tôi phải đóng theo phương án mới là công bằng (người thu nhập như tôi đóng mức này là hợp lý). - HUMAN-TRU2]]</f>
        <v>7</v>
      </c>
      <c r="AR232">
        <f t="shared" si="96"/>
        <v>0.66666666666666663</v>
      </c>
      <c r="AS232">
        <f>step3_validation[[#This Row],[AI_TRU3]]</f>
        <v>8</v>
      </c>
      <c r="AT232">
        <f t="shared" si="97"/>
        <v>0.77777777777777779</v>
      </c>
      <c r="AU232">
        <f>survey_responses[[#This Row],[Tôi tin tưởng số tiền thuế tôi đóng sẽ được Nhà nước sử dụng hiệu quả để cải thiện dịch vụ công (y tế, đường xá...). - HUMAN-TRU3]]</f>
        <v>8</v>
      </c>
      <c r="AV232">
        <f t="shared" si="98"/>
        <v>0.77777777777777779</v>
      </c>
      <c r="AW232">
        <f>step3_validation[[#This Row],[AI_TRU4]]</f>
        <v>7</v>
      </c>
      <c r="AX232">
        <f t="shared" si="99"/>
        <v>0.66666666666666663</v>
      </c>
      <c r="AY232">
        <f>survey_responses[[#This Row],[Tôi thấy Nhà nước đã giải thích rõ ràng, minh bạch về lý do và mục tiêu của việc sửa đổi thuế lần này. - HUMAN-TRU4]]</f>
        <v>7</v>
      </c>
      <c r="AZ232">
        <f t="shared" si="100"/>
        <v>0.66666666666666663</v>
      </c>
      <c r="BA232" s="32">
        <f t="shared" si="101"/>
        <v>0.77777777777777768</v>
      </c>
      <c r="BB232" s="32">
        <f t="shared" si="102"/>
        <v>0.69444444444444442</v>
      </c>
      <c r="BC232" s="7">
        <f t="shared" si="103"/>
        <v>0.77777777777777768</v>
      </c>
      <c r="BD232" s="7">
        <f t="shared" si="104"/>
        <v>0.75</v>
      </c>
      <c r="BE232">
        <f>step3_validation[[#This Row],[AI_OUT1]]</f>
        <v>9</v>
      </c>
      <c r="BF232">
        <f t="shared" si="105"/>
        <v>0.88888888888888884</v>
      </c>
      <c r="BG232">
        <f>survey_responses[[#This Row],[Sau khi xem xét các quyền lợi và nghĩa vụ, bạn có ủng hộ và tuân thủ chính sách mới hiện nay? - HUMAN-OUT1]]</f>
        <v>8</v>
      </c>
      <c r="BH232">
        <f t="shared" si="106"/>
        <v>0.77777777777777779</v>
      </c>
      <c r="BI232" s="32">
        <f t="shared" si="107"/>
        <v>1</v>
      </c>
    </row>
    <row r="233" spans="1:61" x14ac:dyDescent="0.45">
      <c r="A233" s="30">
        <f>step3_validation[[#This Row],[Persona_ID]]</f>
        <v>232</v>
      </c>
      <c r="B233" s="31">
        <f>step3_validation[[#This Row],[Used_Seed]]</f>
        <v>232</v>
      </c>
      <c r="C233" t="str">
        <f>step3_validation[[#This Row],[Gender]]</f>
        <v>Nam</v>
      </c>
      <c r="D233" t="str">
        <f>survey_responses[[#This Row],[Giới tính của bạn:]]</f>
        <v>Nam</v>
      </c>
      <c r="E233" t="str">
        <f>step3_validation[[#This Row],[Age_Group]]</f>
        <v>30 - 39</v>
      </c>
      <c r="F233" t="str">
        <f>survey_responses[[#This Row],[Độ tuổi của bạn:]]</f>
        <v>30 - 39</v>
      </c>
      <c r="G233" t="str">
        <f>step3_validation[[#This Row],[Region]]</f>
        <v>Thành thị</v>
      </c>
      <c r="H233" t="str">
        <f>survey_responses[[#This Row],[Khu vực bạn đang sinh sống:]]</f>
        <v>Thành thị</v>
      </c>
      <c r="I233" t="str">
        <f>step3_validation[[#This Row],[Education]]</f>
        <v>Đại học</v>
      </c>
      <c r="J233" t="str">
        <f>survey_responses[[#This Row],[Trình độ học vấn cao nhất:]]</f>
        <v>Đại học</v>
      </c>
      <c r="K233" t="str">
        <f>step3_validation[[#This Row],[Employment]]</f>
        <v>Chính thức</v>
      </c>
      <c r="L233" t="str">
        <f>survey_responses[[#This Row],[Tình trạng việc làm chính:]]</f>
        <v>Khu vực chính thức (Có Hợp đồng lao động, đóng BHXH)</v>
      </c>
      <c r="M233">
        <f>step3_validation[[#This Row],[Income_Mil]]</f>
        <v>60.170666301539462</v>
      </c>
      <c r="N233" t="str">
        <f>survey_responses[[#This Row],[Thu nhập bình quân tháng theo Hợp đồng lao động của bạn là bao nhiêu? (Vui lòng điền tổng thu nhập trước khi khấu trừ các loại Bảo hiểm (BHXH, BHYT, BHTN) và Thuế TNCN)]]</f>
        <v>Từ 48 - 70 triệu VNĐ</v>
      </c>
      <c r="O233">
        <f>step3_validation[[#This Row],[Dependents]]</f>
        <v>2</v>
      </c>
      <c r="P233" t="str">
        <f>survey_responses[[#This Row],[Số người phụ thuộc (con nhỏ, cha mẹ già...) đủ điều kiện giảm trừ gia cảnh:]]</f>
        <v>2 người</v>
      </c>
      <c r="Q233">
        <f>step3_validation[[#This Row],[AI_ENF1]]</f>
        <v>7</v>
      </c>
      <c r="R233">
        <f t="shared" si="81"/>
        <v>0.66666666666666663</v>
      </c>
      <c r="S233">
        <f>survey_responses[[#This Row],[Tôi tin rằng với các quy định quản lý thuế hiện nay, hành vi gian lận hoặc trốn thuế sẽ dễ dàng bị phát hiện và xử lý nghiêm. - HUMAN-ENF1]]</f>
        <v>6</v>
      </c>
      <c r="T233">
        <f t="shared" si="82"/>
        <v>0.55555555555555558</v>
      </c>
      <c r="U233">
        <f>step3_validation[[#This Row],[AI_ENF2]]</f>
        <v>6</v>
      </c>
      <c r="V233">
        <f t="shared" si="83"/>
        <v>0.55555555555555558</v>
      </c>
      <c r="W233">
        <f>survey_responses[[#This Row],[Tôi tin rằng Nhà nước, cơ quan thuế có đủ khả năng và công nghệ để phát hiện, xử lý nghiêm các hành vi trốn thuế. - HUMAN-ENF2]]</f>
        <v>6</v>
      </c>
      <c r="X233">
        <f t="shared" si="84"/>
        <v>0.55555555555555558</v>
      </c>
      <c r="Y233" s="32">
        <f t="shared" si="85"/>
        <v>0.61111111111111116</v>
      </c>
      <c r="Z233" s="32">
        <f t="shared" si="86"/>
        <v>0.55555555555555558</v>
      </c>
      <c r="AA233">
        <f>step3_validation[[#This Row],[AI_FAC1]]</f>
        <v>9</v>
      </c>
      <c r="AB233">
        <f t="shared" si="87"/>
        <v>0.88888888888888884</v>
      </c>
      <c r="AC233">
        <f>survey_responses[[#This Row],[Các thủ tục khai báo thuế VÀ/HOẶC quy trình làm việc với cơ quan thuế đơn giản, tiện lợi, nhanh chóng hơn so với trước đây. - HUMAN-FAC1]]</f>
        <v>6</v>
      </c>
      <c r="AD233">
        <f t="shared" si="88"/>
        <v>0.55555555555555558</v>
      </c>
      <c r="AE233">
        <f>step3_validation[[#This Row],[AI_FAC2]]</f>
        <v>8</v>
      </c>
      <c r="AF233">
        <f t="shared" si="89"/>
        <v>0.77777777777777779</v>
      </c>
      <c r="AG233">
        <f>survey_responses[[#This Row],[So với trước đây, tôi thấy cách tính thuế và các bậc thuế trong phương án mới đơn giản, dễ hiểu và dễ thực hiện hơn. - HUMAN-FAC2]]</f>
        <v>6</v>
      </c>
      <c r="AH233">
        <f t="shared" si="90"/>
        <v>0.55555555555555558</v>
      </c>
      <c r="AI233" s="32">
        <f t="shared" si="91"/>
        <v>0.83333333333333326</v>
      </c>
      <c r="AJ233" s="32">
        <f t="shared" si="92"/>
        <v>0.55555555555555558</v>
      </c>
      <c r="AK233">
        <f>step3_validation[[#This Row],[AI_TRU1]]</f>
        <v>7</v>
      </c>
      <c r="AL233">
        <f t="shared" si="93"/>
        <v>0.66666666666666663</v>
      </c>
      <c r="AM233">
        <f>survey_responses[[#This Row],[Tôi tin rằng Nhà nước, cơ quan thuế sẽ thực thi chính sách mới một cách khách quan, công tâm và đối xử bình đẳng với mọi người nộp thuế.  - HUMAN-TRU1]]</f>
        <v>6</v>
      </c>
      <c r="AN233">
        <f t="shared" si="94"/>
        <v>0.55555555555555558</v>
      </c>
      <c r="AO233">
        <f>step3_validation[[#This Row],[AI_TRU2]]</f>
        <v>9</v>
      </c>
      <c r="AP233">
        <f t="shared" si="95"/>
        <v>0.88888888888888884</v>
      </c>
      <c r="AQ233">
        <f>survey_responses[[#This Row],[Tôi thấy mức thuế tôi phải đóng theo phương án mới là công bằng (người thu nhập như tôi đóng mức này là hợp lý). - HUMAN-TRU2]]</f>
        <v>6</v>
      </c>
      <c r="AR233">
        <f t="shared" si="96"/>
        <v>0.55555555555555558</v>
      </c>
      <c r="AS233">
        <f>step3_validation[[#This Row],[AI_TRU3]]</f>
        <v>7</v>
      </c>
      <c r="AT233">
        <f t="shared" si="97"/>
        <v>0.66666666666666663</v>
      </c>
      <c r="AU233">
        <f>survey_responses[[#This Row],[Tôi tin tưởng số tiền thuế tôi đóng sẽ được Nhà nước sử dụng hiệu quả để cải thiện dịch vụ công (y tế, đường xá...). - HUMAN-TRU3]]</f>
        <v>6</v>
      </c>
      <c r="AV233">
        <f t="shared" si="98"/>
        <v>0.55555555555555558</v>
      </c>
      <c r="AW233">
        <f>step3_validation[[#This Row],[AI_TRU4]]</f>
        <v>8</v>
      </c>
      <c r="AX233">
        <f t="shared" si="99"/>
        <v>0.77777777777777779</v>
      </c>
      <c r="AY233">
        <f>survey_responses[[#This Row],[Tôi thấy Nhà nước đã giải thích rõ ràng, minh bạch về lý do và mục tiêu của việc sửa đổi thuế lần này. - HUMAN-TRU4]]</f>
        <v>6</v>
      </c>
      <c r="AZ233">
        <f t="shared" si="100"/>
        <v>0.55555555555555558</v>
      </c>
      <c r="BA233" s="32">
        <f t="shared" si="101"/>
        <v>0.74999999999999989</v>
      </c>
      <c r="BB233" s="32">
        <f t="shared" si="102"/>
        <v>0.55555555555555558</v>
      </c>
      <c r="BC233" s="7">
        <f t="shared" si="103"/>
        <v>0.7314814814814814</v>
      </c>
      <c r="BD233" s="7">
        <f t="shared" si="104"/>
        <v>0.55555555555555558</v>
      </c>
      <c r="BE233">
        <f>step3_validation[[#This Row],[AI_OUT1]]</f>
        <v>9</v>
      </c>
      <c r="BF233">
        <f t="shared" si="105"/>
        <v>0.88888888888888884</v>
      </c>
      <c r="BG233">
        <f>survey_responses[[#This Row],[Sau khi xem xét các quyền lợi và nghĩa vụ, bạn có ủng hộ và tuân thủ chính sách mới hiện nay? - HUMAN-OUT1]]</f>
        <v>6</v>
      </c>
      <c r="BH233">
        <f t="shared" si="106"/>
        <v>0.55555555555555558</v>
      </c>
      <c r="BI233" s="32">
        <f t="shared" si="107"/>
        <v>3</v>
      </c>
    </row>
    <row r="234" spans="1:61" x14ac:dyDescent="0.45">
      <c r="A234" s="30">
        <f>step3_validation[[#This Row],[Persona_ID]]</f>
        <v>233</v>
      </c>
      <c r="B234" s="31">
        <f>step3_validation[[#This Row],[Used_Seed]]</f>
        <v>233</v>
      </c>
      <c r="C234" t="str">
        <f>step3_validation[[#This Row],[Gender]]</f>
        <v>Nữ</v>
      </c>
      <c r="D234" t="str">
        <f>survey_responses[[#This Row],[Giới tính của bạn:]]</f>
        <v>Nữ</v>
      </c>
      <c r="E234" t="str">
        <f>step3_validation[[#This Row],[Age_Group]]</f>
        <v>40 - 49</v>
      </c>
      <c r="F234" t="str">
        <f>survey_responses[[#This Row],[Độ tuổi của bạn:]]</f>
        <v>40 - 49</v>
      </c>
      <c r="G234" t="str">
        <f>step3_validation[[#This Row],[Region]]</f>
        <v>Thành thị</v>
      </c>
      <c r="H234" t="str">
        <f>survey_responses[[#This Row],[Khu vực bạn đang sinh sống:]]</f>
        <v>Thành thị</v>
      </c>
      <c r="I234" t="str">
        <f>step3_validation[[#This Row],[Education]]</f>
        <v>Đại học</v>
      </c>
      <c r="J234" t="str">
        <f>survey_responses[[#This Row],[Trình độ học vấn cao nhất:]]</f>
        <v>Đại học</v>
      </c>
      <c r="K234" t="str">
        <f>step3_validation[[#This Row],[Employment]]</f>
        <v>Chính thức</v>
      </c>
      <c r="L234" t="str">
        <f>survey_responses[[#This Row],[Tình trạng việc làm chính:]]</f>
        <v>Khu vực chính thức (Có Hợp đồng lao động, đóng BHXH)</v>
      </c>
      <c r="M234">
        <f>step3_validation[[#This Row],[Income_Mil]]</f>
        <v>12.472569462260202</v>
      </c>
      <c r="N234" t="str">
        <f>survey_responses[[#This Row],[Thu nhập bình quân tháng theo Hợp đồng lao động của bạn là bao nhiêu? (Vui lòng điền tổng thu nhập trước khi khấu trừ các loại Bảo hiểm (BHXH, BHYT, BHTN) và Thuế TNCN)]]</f>
        <v>Từ 12 - 18 triệu VNĐ</v>
      </c>
      <c r="O234">
        <f>step3_validation[[#This Row],[Dependents]]</f>
        <v>1</v>
      </c>
      <c r="P234" t="str">
        <f>survey_responses[[#This Row],[Số người phụ thuộc (con nhỏ, cha mẹ già...) đủ điều kiện giảm trừ gia cảnh:]]</f>
        <v>1 người</v>
      </c>
      <c r="Q234">
        <f>step3_validation[[#This Row],[AI_ENF1]]</f>
        <v>6</v>
      </c>
      <c r="R234">
        <f t="shared" si="81"/>
        <v>0.55555555555555558</v>
      </c>
      <c r="S234">
        <f>survey_responses[[#This Row],[Tôi tin rằng với các quy định quản lý thuế hiện nay, hành vi gian lận hoặc trốn thuế sẽ dễ dàng bị phát hiện và xử lý nghiêm. - HUMAN-ENF1]]</f>
        <v>8</v>
      </c>
      <c r="T234">
        <f t="shared" si="82"/>
        <v>0.77777777777777779</v>
      </c>
      <c r="U234">
        <f>step3_validation[[#This Row],[AI_ENF2]]</f>
        <v>7</v>
      </c>
      <c r="V234">
        <f t="shared" si="83"/>
        <v>0.66666666666666663</v>
      </c>
      <c r="W234">
        <f>survey_responses[[#This Row],[Tôi tin rằng Nhà nước, cơ quan thuế có đủ khả năng và công nghệ để phát hiện, xử lý nghiêm các hành vi trốn thuế. - HUMAN-ENF2]]</f>
        <v>8</v>
      </c>
      <c r="X234">
        <f t="shared" si="84"/>
        <v>0.77777777777777779</v>
      </c>
      <c r="Y234" s="32">
        <f t="shared" si="85"/>
        <v>0.61111111111111116</v>
      </c>
      <c r="Z234" s="32">
        <f t="shared" si="86"/>
        <v>0.77777777777777779</v>
      </c>
      <c r="AA234">
        <f>step3_validation[[#This Row],[AI_FAC1]]</f>
        <v>9</v>
      </c>
      <c r="AB234">
        <f t="shared" si="87"/>
        <v>0.88888888888888884</v>
      </c>
      <c r="AC234">
        <f>survey_responses[[#This Row],[Các thủ tục khai báo thuế VÀ/HOẶC quy trình làm việc với cơ quan thuế đơn giản, tiện lợi, nhanh chóng hơn so với trước đây. - HUMAN-FAC1]]</f>
        <v>8</v>
      </c>
      <c r="AD234">
        <f t="shared" si="88"/>
        <v>0.77777777777777779</v>
      </c>
      <c r="AE234">
        <f>step3_validation[[#This Row],[AI_FAC2]]</f>
        <v>8</v>
      </c>
      <c r="AF234">
        <f t="shared" si="89"/>
        <v>0.77777777777777779</v>
      </c>
      <c r="AG234">
        <f>survey_responses[[#This Row],[So với trước đây, tôi thấy cách tính thuế và các bậc thuế trong phương án mới đơn giản, dễ hiểu và dễ thực hiện hơn. - HUMAN-FAC2]]</f>
        <v>8</v>
      </c>
      <c r="AH234">
        <f t="shared" si="90"/>
        <v>0.77777777777777779</v>
      </c>
      <c r="AI234" s="32">
        <f t="shared" si="91"/>
        <v>0.83333333333333326</v>
      </c>
      <c r="AJ234" s="32">
        <f t="shared" si="92"/>
        <v>0.77777777777777779</v>
      </c>
      <c r="AK234">
        <f>step3_validation[[#This Row],[AI_TRU1]]</f>
        <v>9</v>
      </c>
      <c r="AL234">
        <f t="shared" si="93"/>
        <v>0.88888888888888884</v>
      </c>
      <c r="AM234">
        <f>survey_responses[[#This Row],[Tôi tin rằng Nhà nước, cơ quan thuế sẽ thực thi chính sách mới một cách khách quan, công tâm và đối xử bình đẳng với mọi người nộp thuế.  - HUMAN-TRU1]]</f>
        <v>9</v>
      </c>
      <c r="AN234">
        <f t="shared" si="94"/>
        <v>0.88888888888888884</v>
      </c>
      <c r="AO234">
        <f>step3_validation[[#This Row],[AI_TRU2]]</f>
        <v>8</v>
      </c>
      <c r="AP234">
        <f t="shared" si="95"/>
        <v>0.77777777777777779</v>
      </c>
      <c r="AQ234">
        <f>survey_responses[[#This Row],[Tôi thấy mức thuế tôi phải đóng theo phương án mới là công bằng (người thu nhập như tôi đóng mức này là hợp lý). - HUMAN-TRU2]]</f>
        <v>8</v>
      </c>
      <c r="AR234">
        <f t="shared" si="96"/>
        <v>0.77777777777777779</v>
      </c>
      <c r="AS234">
        <f>step3_validation[[#This Row],[AI_TRU3]]</f>
        <v>9</v>
      </c>
      <c r="AT234">
        <f t="shared" si="97"/>
        <v>0.88888888888888884</v>
      </c>
      <c r="AU234">
        <f>survey_responses[[#This Row],[Tôi tin tưởng số tiền thuế tôi đóng sẽ được Nhà nước sử dụng hiệu quả để cải thiện dịch vụ công (y tế, đường xá...). - HUMAN-TRU3]]</f>
        <v>8</v>
      </c>
      <c r="AV234">
        <f t="shared" si="98"/>
        <v>0.77777777777777779</v>
      </c>
      <c r="AW234">
        <f>step3_validation[[#This Row],[AI_TRU4]]</f>
        <v>7</v>
      </c>
      <c r="AX234">
        <f t="shared" si="99"/>
        <v>0.66666666666666663</v>
      </c>
      <c r="AY234">
        <f>survey_responses[[#This Row],[Tôi thấy Nhà nước đã giải thích rõ ràng, minh bạch về lý do và mục tiêu của việc sửa đổi thuế lần này. - HUMAN-TRU4]]</f>
        <v>8</v>
      </c>
      <c r="AZ234">
        <f t="shared" si="100"/>
        <v>0.77777777777777779</v>
      </c>
      <c r="BA234" s="32">
        <f t="shared" si="101"/>
        <v>0.80555555555555547</v>
      </c>
      <c r="BB234" s="32">
        <f t="shared" si="102"/>
        <v>0.80555555555555547</v>
      </c>
      <c r="BC234" s="7">
        <f t="shared" si="103"/>
        <v>0.75</v>
      </c>
      <c r="BD234" s="7">
        <f t="shared" si="104"/>
        <v>0.78703703703703709</v>
      </c>
      <c r="BE234">
        <f>step3_validation[[#This Row],[AI_OUT1]]</f>
        <v>9</v>
      </c>
      <c r="BF234">
        <f t="shared" si="105"/>
        <v>0.88888888888888884</v>
      </c>
      <c r="BG234">
        <f>survey_responses[[#This Row],[Sau khi xem xét các quyền lợi và nghĩa vụ, bạn có ủng hộ và tuân thủ chính sách mới hiện nay? - HUMAN-OUT1]]</f>
        <v>10</v>
      </c>
      <c r="BH234">
        <f t="shared" si="106"/>
        <v>1</v>
      </c>
      <c r="BI234" s="32">
        <f t="shared" si="107"/>
        <v>1</v>
      </c>
    </row>
    <row r="235" spans="1:61" x14ac:dyDescent="0.45">
      <c r="A235" s="30">
        <f>step3_validation[[#This Row],[Persona_ID]]</f>
        <v>234</v>
      </c>
      <c r="B235" s="31">
        <f>step3_validation[[#This Row],[Used_Seed]]</f>
        <v>234</v>
      </c>
      <c r="C235" t="str">
        <f>step3_validation[[#This Row],[Gender]]</f>
        <v>Nữ</v>
      </c>
      <c r="D235" t="str">
        <f>survey_responses[[#This Row],[Giới tính của bạn:]]</f>
        <v>Nữ</v>
      </c>
      <c r="E235" t="str">
        <f>step3_validation[[#This Row],[Age_Group]]</f>
        <v>50 - 54</v>
      </c>
      <c r="F235" t="str">
        <f>survey_responses[[#This Row],[Độ tuổi của bạn:]]</f>
        <v>50 - 54</v>
      </c>
      <c r="G235" t="str">
        <f>step3_validation[[#This Row],[Region]]</f>
        <v>Thành thị</v>
      </c>
      <c r="H235" t="str">
        <f>survey_responses[[#This Row],[Khu vực bạn đang sinh sống:]]</f>
        <v>Thành thị</v>
      </c>
      <c r="I235" t="str">
        <f>step3_validation[[#This Row],[Education]]</f>
        <v>Sau Đại học</v>
      </c>
      <c r="J235" t="str">
        <f>survey_responses[[#This Row],[Trình độ học vấn cao nhất:]]</f>
        <v>Sau Đại học</v>
      </c>
      <c r="K235" t="str">
        <f>step3_validation[[#This Row],[Employment]]</f>
        <v>Chính thức</v>
      </c>
      <c r="L235" t="str">
        <f>survey_responses[[#This Row],[Tình trạng việc làm chính:]]</f>
        <v>Khu vực chính thức (Có Hợp đồng lao động, đóng BHXH)</v>
      </c>
      <c r="M235">
        <f>step3_validation[[#This Row],[Income_Mil]]</f>
        <v>94.813030735606816</v>
      </c>
      <c r="N235" t="str">
        <f>survey_responses[[#This Row],[Thu nhập bình quân tháng theo Hợp đồng lao động của bạn là bao nhiêu? (Vui lòng điền tổng thu nhập trước khi khấu trừ các loại Bảo hiểm (BHXH, BHYT, BHTN) và Thuế TNCN)]]</f>
        <v>Từ 70 - 102 triệu VNĐ</v>
      </c>
      <c r="O235">
        <f>step3_validation[[#This Row],[Dependents]]</f>
        <v>3</v>
      </c>
      <c r="P235" t="str">
        <f>survey_responses[[#This Row],[Số người phụ thuộc (con nhỏ, cha mẹ già...) đủ điều kiện giảm trừ gia cảnh:]]</f>
        <v>3 người</v>
      </c>
      <c r="Q235">
        <f>step3_validation[[#This Row],[AI_ENF1]]</f>
        <v>9</v>
      </c>
      <c r="R235">
        <f t="shared" si="81"/>
        <v>0.88888888888888884</v>
      </c>
      <c r="S235">
        <f>survey_responses[[#This Row],[Tôi tin rằng với các quy định quản lý thuế hiện nay, hành vi gian lận hoặc trốn thuế sẽ dễ dàng bị phát hiện và xử lý nghiêm. - HUMAN-ENF1]]</f>
        <v>4</v>
      </c>
      <c r="T235">
        <f t="shared" si="82"/>
        <v>0.33333333333333331</v>
      </c>
      <c r="U235">
        <f>step3_validation[[#This Row],[AI_ENF2]]</f>
        <v>8</v>
      </c>
      <c r="V235">
        <f t="shared" si="83"/>
        <v>0.77777777777777779</v>
      </c>
      <c r="W235">
        <f>survey_responses[[#This Row],[Tôi tin rằng Nhà nước, cơ quan thuế có đủ khả năng và công nghệ để phát hiện, xử lý nghiêm các hành vi trốn thuế. - HUMAN-ENF2]]</f>
        <v>4</v>
      </c>
      <c r="X235">
        <f t="shared" si="84"/>
        <v>0.33333333333333331</v>
      </c>
      <c r="Y235" s="32">
        <f t="shared" si="85"/>
        <v>0.83333333333333326</v>
      </c>
      <c r="Z235" s="32">
        <f t="shared" si="86"/>
        <v>0.33333333333333331</v>
      </c>
      <c r="AA235">
        <f>step3_validation[[#This Row],[AI_FAC1]]</f>
        <v>9</v>
      </c>
      <c r="AB235">
        <f t="shared" si="87"/>
        <v>0.88888888888888884</v>
      </c>
      <c r="AC235">
        <f>survey_responses[[#This Row],[Các thủ tục khai báo thuế VÀ/HOẶC quy trình làm việc với cơ quan thuế đơn giản, tiện lợi, nhanh chóng hơn so với trước đây. - HUMAN-FAC1]]</f>
        <v>4</v>
      </c>
      <c r="AD235">
        <f t="shared" si="88"/>
        <v>0.33333333333333331</v>
      </c>
      <c r="AE235">
        <f>step3_validation[[#This Row],[AI_FAC2]]</f>
        <v>8</v>
      </c>
      <c r="AF235">
        <f t="shared" si="89"/>
        <v>0.77777777777777779</v>
      </c>
      <c r="AG235">
        <f>survey_responses[[#This Row],[So với trước đây, tôi thấy cách tính thuế và các bậc thuế trong phương án mới đơn giản, dễ hiểu và dễ thực hiện hơn. - HUMAN-FAC2]]</f>
        <v>4</v>
      </c>
      <c r="AH235">
        <f t="shared" si="90"/>
        <v>0.33333333333333331</v>
      </c>
      <c r="AI235" s="32">
        <f t="shared" si="91"/>
        <v>0.83333333333333326</v>
      </c>
      <c r="AJ235" s="32">
        <f t="shared" si="92"/>
        <v>0.33333333333333331</v>
      </c>
      <c r="AK235">
        <f>step3_validation[[#This Row],[AI_TRU1]]</f>
        <v>9</v>
      </c>
      <c r="AL235">
        <f t="shared" si="93"/>
        <v>0.88888888888888884</v>
      </c>
      <c r="AM235">
        <f>survey_responses[[#This Row],[Tôi tin rằng Nhà nước, cơ quan thuế sẽ thực thi chính sách mới một cách khách quan, công tâm và đối xử bình đẳng với mọi người nộp thuế.  - HUMAN-TRU1]]</f>
        <v>1</v>
      </c>
      <c r="AN235">
        <f t="shared" si="94"/>
        <v>0</v>
      </c>
      <c r="AO235">
        <f>step3_validation[[#This Row],[AI_TRU2]]</f>
        <v>9</v>
      </c>
      <c r="AP235">
        <f t="shared" si="95"/>
        <v>0.88888888888888884</v>
      </c>
      <c r="AQ235">
        <f>survey_responses[[#This Row],[Tôi thấy mức thuế tôi phải đóng theo phương án mới là công bằng (người thu nhập như tôi đóng mức này là hợp lý). - HUMAN-TRU2]]</f>
        <v>3</v>
      </c>
      <c r="AR235">
        <f t="shared" si="96"/>
        <v>0.22222222222222221</v>
      </c>
      <c r="AS235">
        <f>step3_validation[[#This Row],[AI_TRU3]]</f>
        <v>8</v>
      </c>
      <c r="AT235">
        <f t="shared" si="97"/>
        <v>0.77777777777777779</v>
      </c>
      <c r="AU235">
        <f>survey_responses[[#This Row],[Tôi tin tưởng số tiền thuế tôi đóng sẽ được Nhà nước sử dụng hiệu quả để cải thiện dịch vụ công (y tế, đường xá...). - HUMAN-TRU3]]</f>
        <v>1</v>
      </c>
      <c r="AV235">
        <f t="shared" si="98"/>
        <v>0</v>
      </c>
      <c r="AW235">
        <f>step3_validation[[#This Row],[AI_TRU4]]</f>
        <v>9</v>
      </c>
      <c r="AX235">
        <f t="shared" si="99"/>
        <v>0.88888888888888884</v>
      </c>
      <c r="AY235">
        <f>survey_responses[[#This Row],[Tôi thấy Nhà nước đã giải thích rõ ràng, minh bạch về lý do và mục tiêu của việc sửa đổi thuế lần này. - HUMAN-TRU4]]</f>
        <v>1</v>
      </c>
      <c r="AZ235">
        <f t="shared" si="100"/>
        <v>0</v>
      </c>
      <c r="BA235" s="32">
        <f t="shared" si="101"/>
        <v>0.86111111111111105</v>
      </c>
      <c r="BB235" s="32">
        <f t="shared" si="102"/>
        <v>5.5555555555555552E-2</v>
      </c>
      <c r="BC235" s="7">
        <f t="shared" si="103"/>
        <v>0.84259259259259256</v>
      </c>
      <c r="BD235" s="7">
        <f t="shared" si="104"/>
        <v>0.24074074074074073</v>
      </c>
      <c r="BE235">
        <f>step3_validation[[#This Row],[AI_OUT1]]</f>
        <v>8</v>
      </c>
      <c r="BF235">
        <f t="shared" si="105"/>
        <v>0.77777777777777779</v>
      </c>
      <c r="BG235">
        <f>survey_responses[[#This Row],[Sau khi xem xét các quyền lợi và nghĩa vụ, bạn có ủng hộ và tuân thủ chính sách mới hiện nay? - HUMAN-OUT1]]</f>
        <v>1</v>
      </c>
      <c r="BH235">
        <f t="shared" si="106"/>
        <v>0</v>
      </c>
      <c r="BI235" s="32">
        <f t="shared" si="107"/>
        <v>7</v>
      </c>
    </row>
    <row r="236" spans="1:61" x14ac:dyDescent="0.45">
      <c r="A236" s="30">
        <f>step3_validation[[#This Row],[Persona_ID]]</f>
        <v>235</v>
      </c>
      <c r="B236" s="31">
        <f>step3_validation[[#This Row],[Used_Seed]]</f>
        <v>235</v>
      </c>
      <c r="C236" t="str">
        <f>step3_validation[[#This Row],[Gender]]</f>
        <v>Nữ</v>
      </c>
      <c r="D236" t="str">
        <f>survey_responses[[#This Row],[Giới tính của bạn:]]</f>
        <v>Nữ</v>
      </c>
      <c r="E236" t="str">
        <f>step3_validation[[#This Row],[Age_Group]]</f>
        <v>30 - 39</v>
      </c>
      <c r="F236" t="str">
        <f>survey_responses[[#This Row],[Độ tuổi của bạn:]]</f>
        <v>30 - 39</v>
      </c>
      <c r="G236" t="str">
        <f>step3_validation[[#This Row],[Region]]</f>
        <v>Thành thị</v>
      </c>
      <c r="H236" t="str">
        <f>survey_responses[[#This Row],[Khu vực bạn đang sinh sống:]]</f>
        <v>Thành thị</v>
      </c>
      <c r="I236" t="str">
        <f>step3_validation[[#This Row],[Education]]</f>
        <v>Đại học</v>
      </c>
      <c r="J236" t="str">
        <f>survey_responses[[#This Row],[Trình độ học vấn cao nhất:]]</f>
        <v>Đại học</v>
      </c>
      <c r="K236" t="str">
        <f>step3_validation[[#This Row],[Employment]]</f>
        <v>Chính thức</v>
      </c>
      <c r="L236" t="str">
        <f>survey_responses[[#This Row],[Tình trạng việc làm chính:]]</f>
        <v>Khu vực chính thức (Có Hợp đồng lao động, đóng BHXH)</v>
      </c>
      <c r="M236">
        <f>step3_validation[[#This Row],[Income_Mil]]</f>
        <v>39.483836675556802</v>
      </c>
      <c r="N236" t="str">
        <f>survey_responses[[#This Row],[Thu nhập bình quân tháng theo Hợp đồng lao động của bạn là bao nhiêu? (Vui lòng điền tổng thu nhập trước khi khấu trừ các loại Bảo hiểm (BHXH, BHYT, BHTN) và Thuế TNCN)]]</f>
        <v>Từ 32 - 48 triệu VNĐ</v>
      </c>
      <c r="O236">
        <f>step3_validation[[#This Row],[Dependents]]</f>
        <v>0</v>
      </c>
      <c r="P236" t="str">
        <f>survey_responses[[#This Row],[Số người phụ thuộc (con nhỏ, cha mẹ già...) đủ điều kiện giảm trừ gia cảnh:]]</f>
        <v>0 người</v>
      </c>
      <c r="Q236">
        <f>step3_validation[[#This Row],[AI_ENF1]]</f>
        <v>6</v>
      </c>
      <c r="R236">
        <f t="shared" si="81"/>
        <v>0.55555555555555558</v>
      </c>
      <c r="S236">
        <f>survey_responses[[#This Row],[Tôi tin rằng với các quy định quản lý thuế hiện nay, hành vi gian lận hoặc trốn thuế sẽ dễ dàng bị phát hiện và xử lý nghiêm. - HUMAN-ENF1]]</f>
        <v>6</v>
      </c>
      <c r="T236">
        <f t="shared" si="82"/>
        <v>0.55555555555555558</v>
      </c>
      <c r="U236">
        <f>step3_validation[[#This Row],[AI_ENF2]]</f>
        <v>7</v>
      </c>
      <c r="V236">
        <f t="shared" si="83"/>
        <v>0.66666666666666663</v>
      </c>
      <c r="W236">
        <f>survey_responses[[#This Row],[Tôi tin rằng Nhà nước, cơ quan thuế có đủ khả năng và công nghệ để phát hiện, xử lý nghiêm các hành vi trốn thuế. - HUMAN-ENF2]]</f>
        <v>6</v>
      </c>
      <c r="X236">
        <f t="shared" si="84"/>
        <v>0.55555555555555558</v>
      </c>
      <c r="Y236" s="32">
        <f t="shared" si="85"/>
        <v>0.61111111111111116</v>
      </c>
      <c r="Z236" s="32">
        <f t="shared" si="86"/>
        <v>0.55555555555555558</v>
      </c>
      <c r="AA236">
        <f>step3_validation[[#This Row],[AI_FAC1]]</f>
        <v>9</v>
      </c>
      <c r="AB236">
        <f t="shared" si="87"/>
        <v>0.88888888888888884</v>
      </c>
      <c r="AC236">
        <f>survey_responses[[#This Row],[Các thủ tục khai báo thuế VÀ/HOẶC quy trình làm việc với cơ quan thuế đơn giản, tiện lợi, nhanh chóng hơn so với trước đây. - HUMAN-FAC1]]</f>
        <v>1</v>
      </c>
      <c r="AD236">
        <f t="shared" si="88"/>
        <v>0</v>
      </c>
      <c r="AE236">
        <f>step3_validation[[#This Row],[AI_FAC2]]</f>
        <v>10</v>
      </c>
      <c r="AF236">
        <f t="shared" si="89"/>
        <v>1</v>
      </c>
      <c r="AG236">
        <f>survey_responses[[#This Row],[So với trước đây, tôi thấy cách tính thuế và các bậc thuế trong phương án mới đơn giản, dễ hiểu và dễ thực hiện hơn. - HUMAN-FAC2]]</f>
        <v>6</v>
      </c>
      <c r="AH236">
        <f t="shared" si="90"/>
        <v>0.55555555555555558</v>
      </c>
      <c r="AI236" s="32">
        <f t="shared" si="91"/>
        <v>0.94444444444444442</v>
      </c>
      <c r="AJ236" s="32">
        <f t="shared" si="92"/>
        <v>0.27777777777777779</v>
      </c>
      <c r="AK236">
        <f>step3_validation[[#This Row],[AI_TRU1]]</f>
        <v>9</v>
      </c>
      <c r="AL236">
        <f t="shared" si="93"/>
        <v>0.88888888888888884</v>
      </c>
      <c r="AM236">
        <f>survey_responses[[#This Row],[Tôi tin rằng Nhà nước, cơ quan thuế sẽ thực thi chính sách mới một cách khách quan, công tâm và đối xử bình đẳng với mọi người nộp thuế.  - HUMAN-TRU1]]</f>
        <v>5</v>
      </c>
      <c r="AN236">
        <f t="shared" si="94"/>
        <v>0.44444444444444442</v>
      </c>
      <c r="AO236">
        <f>step3_validation[[#This Row],[AI_TRU2]]</f>
        <v>8</v>
      </c>
      <c r="AP236">
        <f t="shared" si="95"/>
        <v>0.77777777777777779</v>
      </c>
      <c r="AQ236">
        <f>survey_responses[[#This Row],[Tôi thấy mức thuế tôi phải đóng theo phương án mới là công bằng (người thu nhập như tôi đóng mức này là hợp lý). - HUMAN-TRU2]]</f>
        <v>6</v>
      </c>
      <c r="AR236">
        <f t="shared" si="96"/>
        <v>0.55555555555555558</v>
      </c>
      <c r="AS236">
        <f>step3_validation[[#This Row],[AI_TRU3]]</f>
        <v>9</v>
      </c>
      <c r="AT236">
        <f t="shared" si="97"/>
        <v>0.88888888888888884</v>
      </c>
      <c r="AU236">
        <f>survey_responses[[#This Row],[Tôi tin tưởng số tiền thuế tôi đóng sẽ được Nhà nước sử dụng hiệu quả để cải thiện dịch vụ công (y tế, đường xá...). - HUMAN-TRU3]]</f>
        <v>5</v>
      </c>
      <c r="AV236">
        <f t="shared" si="98"/>
        <v>0.44444444444444442</v>
      </c>
      <c r="AW236">
        <f>step3_validation[[#This Row],[AI_TRU4]]</f>
        <v>8</v>
      </c>
      <c r="AX236">
        <f t="shared" si="99"/>
        <v>0.77777777777777779</v>
      </c>
      <c r="AY236">
        <f>survey_responses[[#This Row],[Tôi thấy Nhà nước đã giải thích rõ ràng, minh bạch về lý do và mục tiêu của việc sửa đổi thuế lần này. - HUMAN-TRU4]]</f>
        <v>6</v>
      </c>
      <c r="AZ236">
        <f t="shared" si="100"/>
        <v>0.55555555555555558</v>
      </c>
      <c r="BA236" s="32">
        <f t="shared" si="101"/>
        <v>0.83333333333333326</v>
      </c>
      <c r="BB236" s="32">
        <f t="shared" si="102"/>
        <v>0.5</v>
      </c>
      <c r="BC236" s="7">
        <f t="shared" si="103"/>
        <v>0.79629629629629628</v>
      </c>
      <c r="BD236" s="7">
        <f t="shared" si="104"/>
        <v>0.44444444444444448</v>
      </c>
      <c r="BE236">
        <f>step3_validation[[#This Row],[AI_OUT1]]</f>
        <v>9</v>
      </c>
      <c r="BF236">
        <f t="shared" si="105"/>
        <v>0.88888888888888884</v>
      </c>
      <c r="BG236">
        <f>survey_responses[[#This Row],[Sau khi xem xét các quyền lợi và nghĩa vụ, bạn có ủng hộ và tuân thủ chính sách mới hiện nay? - HUMAN-OUT1]]</f>
        <v>6</v>
      </c>
      <c r="BH236">
        <f t="shared" si="106"/>
        <v>0.55555555555555558</v>
      </c>
      <c r="BI236" s="32">
        <f t="shared" si="107"/>
        <v>3</v>
      </c>
    </row>
    <row r="237" spans="1:61" x14ac:dyDescent="0.45">
      <c r="A237" s="30">
        <f>step3_validation[[#This Row],[Persona_ID]]</f>
        <v>236</v>
      </c>
      <c r="B237" s="31">
        <f>step3_validation[[#This Row],[Used_Seed]]</f>
        <v>236</v>
      </c>
      <c r="C237" t="str">
        <f>step3_validation[[#This Row],[Gender]]</f>
        <v>Nữ</v>
      </c>
      <c r="D237" t="str">
        <f>survey_responses[[#This Row],[Giới tính của bạn:]]</f>
        <v>Nữ</v>
      </c>
      <c r="E237" t="str">
        <f>step3_validation[[#This Row],[Age_Group]]</f>
        <v>30 - 39</v>
      </c>
      <c r="F237" t="str">
        <f>survey_responses[[#This Row],[Độ tuổi của bạn:]]</f>
        <v>30 - 39</v>
      </c>
      <c r="G237" t="str">
        <f>step3_validation[[#This Row],[Region]]</f>
        <v>Thành thị</v>
      </c>
      <c r="H237" t="str">
        <f>survey_responses[[#This Row],[Khu vực bạn đang sinh sống:]]</f>
        <v>Thành thị</v>
      </c>
      <c r="I237" t="str">
        <f>step3_validation[[#This Row],[Education]]</f>
        <v>Sau Đại học</v>
      </c>
      <c r="J237" t="str">
        <f>survey_responses[[#This Row],[Trình độ học vấn cao nhất:]]</f>
        <v>Sau Đại học</v>
      </c>
      <c r="K237" t="str">
        <f>step3_validation[[#This Row],[Employment]]</f>
        <v>Chính thức</v>
      </c>
      <c r="L237" t="str">
        <f>survey_responses[[#This Row],[Tình trạng việc làm chính:]]</f>
        <v>Khu vực chính thức (Có Hợp đồng lao động, đóng BHXH)</v>
      </c>
      <c r="M237">
        <f>step3_validation[[#This Row],[Income_Mil]]</f>
        <v>65.380288499002674</v>
      </c>
      <c r="N237" t="str">
        <f>survey_responses[[#This Row],[Thu nhập bình quân tháng theo Hợp đồng lao động của bạn là bao nhiêu? (Vui lòng điền tổng thu nhập trước khi khấu trừ các loại Bảo hiểm (BHXH, BHYT, BHTN) và Thuế TNCN)]]</f>
        <v>Từ 48 - 70 triệu VNĐ</v>
      </c>
      <c r="O237">
        <f>step3_validation[[#This Row],[Dependents]]</f>
        <v>3</v>
      </c>
      <c r="P237" t="str">
        <f>survey_responses[[#This Row],[Số người phụ thuộc (con nhỏ, cha mẹ già...) đủ điều kiện giảm trừ gia cảnh:]]</f>
        <v>3 người</v>
      </c>
      <c r="Q237">
        <f>step3_validation[[#This Row],[AI_ENF1]]</f>
        <v>7</v>
      </c>
      <c r="R237">
        <f t="shared" si="81"/>
        <v>0.66666666666666663</v>
      </c>
      <c r="S237">
        <f>survey_responses[[#This Row],[Tôi tin rằng với các quy định quản lý thuế hiện nay, hành vi gian lận hoặc trốn thuế sẽ dễ dàng bị phát hiện và xử lý nghiêm. - HUMAN-ENF1]]</f>
        <v>7</v>
      </c>
      <c r="T237">
        <f t="shared" si="82"/>
        <v>0.66666666666666663</v>
      </c>
      <c r="U237">
        <f>step3_validation[[#This Row],[AI_ENF2]]</f>
        <v>7</v>
      </c>
      <c r="V237">
        <f t="shared" si="83"/>
        <v>0.66666666666666663</v>
      </c>
      <c r="W237">
        <f>survey_responses[[#This Row],[Tôi tin rằng Nhà nước, cơ quan thuế có đủ khả năng và công nghệ để phát hiện, xử lý nghiêm các hành vi trốn thuế. - HUMAN-ENF2]]</f>
        <v>7</v>
      </c>
      <c r="X237">
        <f t="shared" si="84"/>
        <v>0.66666666666666663</v>
      </c>
      <c r="Y237" s="32">
        <f t="shared" si="85"/>
        <v>0.66666666666666663</v>
      </c>
      <c r="Z237" s="32">
        <f t="shared" si="86"/>
        <v>0.66666666666666663</v>
      </c>
      <c r="AA237">
        <f>step3_validation[[#This Row],[AI_FAC1]]</f>
        <v>6</v>
      </c>
      <c r="AB237">
        <f t="shared" si="87"/>
        <v>0.55555555555555558</v>
      </c>
      <c r="AC237">
        <f>survey_responses[[#This Row],[Các thủ tục khai báo thuế VÀ/HOẶC quy trình làm việc với cơ quan thuế đơn giản, tiện lợi, nhanh chóng hơn so với trước đây. - HUMAN-FAC1]]</f>
        <v>7</v>
      </c>
      <c r="AD237">
        <f t="shared" si="88"/>
        <v>0.66666666666666663</v>
      </c>
      <c r="AE237">
        <f>step3_validation[[#This Row],[AI_FAC2]]</f>
        <v>8</v>
      </c>
      <c r="AF237">
        <f t="shared" si="89"/>
        <v>0.77777777777777779</v>
      </c>
      <c r="AG237">
        <f>survey_responses[[#This Row],[So với trước đây, tôi thấy cách tính thuế và các bậc thuế trong phương án mới đơn giản, dễ hiểu và dễ thực hiện hơn. - HUMAN-FAC2]]</f>
        <v>7</v>
      </c>
      <c r="AH237">
        <f t="shared" si="90"/>
        <v>0.66666666666666663</v>
      </c>
      <c r="AI237" s="32">
        <f t="shared" si="91"/>
        <v>0.66666666666666674</v>
      </c>
      <c r="AJ237" s="32">
        <f t="shared" si="92"/>
        <v>0.66666666666666663</v>
      </c>
      <c r="AK237">
        <f>step3_validation[[#This Row],[AI_TRU1]]</f>
        <v>7</v>
      </c>
      <c r="AL237">
        <f t="shared" si="93"/>
        <v>0.66666666666666663</v>
      </c>
      <c r="AM237">
        <f>survey_responses[[#This Row],[Tôi tin rằng Nhà nước, cơ quan thuế sẽ thực thi chính sách mới một cách khách quan, công tâm và đối xử bình đẳng với mọi người nộp thuế.  - HUMAN-TRU1]]</f>
        <v>7</v>
      </c>
      <c r="AN237">
        <f t="shared" si="94"/>
        <v>0.66666666666666663</v>
      </c>
      <c r="AO237">
        <f>step3_validation[[#This Row],[AI_TRU2]]</f>
        <v>8</v>
      </c>
      <c r="AP237">
        <f t="shared" si="95"/>
        <v>0.77777777777777779</v>
      </c>
      <c r="AQ237">
        <f>survey_responses[[#This Row],[Tôi thấy mức thuế tôi phải đóng theo phương án mới là công bằng (người thu nhập như tôi đóng mức này là hợp lý). - HUMAN-TRU2]]</f>
        <v>7</v>
      </c>
      <c r="AR237">
        <f t="shared" si="96"/>
        <v>0.66666666666666663</v>
      </c>
      <c r="AS237">
        <f>step3_validation[[#This Row],[AI_TRU3]]</f>
        <v>7</v>
      </c>
      <c r="AT237">
        <f t="shared" si="97"/>
        <v>0.66666666666666663</v>
      </c>
      <c r="AU237">
        <f>survey_responses[[#This Row],[Tôi tin tưởng số tiền thuế tôi đóng sẽ được Nhà nước sử dụng hiệu quả để cải thiện dịch vụ công (y tế, đường xá...). - HUMAN-TRU3]]</f>
        <v>7</v>
      </c>
      <c r="AV237">
        <f t="shared" si="98"/>
        <v>0.66666666666666663</v>
      </c>
      <c r="AW237">
        <f>step3_validation[[#This Row],[AI_TRU4]]</f>
        <v>6</v>
      </c>
      <c r="AX237">
        <f t="shared" si="99"/>
        <v>0.55555555555555558</v>
      </c>
      <c r="AY237">
        <f>survey_responses[[#This Row],[Tôi thấy Nhà nước đã giải thích rõ ràng, minh bạch về lý do và mục tiêu của việc sửa đổi thuế lần này. - HUMAN-TRU4]]</f>
        <v>7</v>
      </c>
      <c r="AZ237">
        <f t="shared" si="100"/>
        <v>0.66666666666666663</v>
      </c>
      <c r="BA237" s="32">
        <f t="shared" si="101"/>
        <v>0.66666666666666674</v>
      </c>
      <c r="BB237" s="32">
        <f t="shared" si="102"/>
        <v>0.66666666666666663</v>
      </c>
      <c r="BC237" s="7">
        <f t="shared" si="103"/>
        <v>0.66666666666666663</v>
      </c>
      <c r="BD237" s="7">
        <f t="shared" si="104"/>
        <v>0.66666666666666663</v>
      </c>
      <c r="BE237">
        <f>step3_validation[[#This Row],[AI_OUT1]]</f>
        <v>9</v>
      </c>
      <c r="BF237">
        <f t="shared" si="105"/>
        <v>0.88888888888888884</v>
      </c>
      <c r="BG237">
        <f>survey_responses[[#This Row],[Sau khi xem xét các quyền lợi và nghĩa vụ, bạn có ủng hộ và tuân thủ chính sách mới hiện nay? - HUMAN-OUT1]]</f>
        <v>7</v>
      </c>
      <c r="BH237">
        <f t="shared" si="106"/>
        <v>0.66666666666666663</v>
      </c>
      <c r="BI237" s="32">
        <f t="shared" si="107"/>
        <v>2</v>
      </c>
    </row>
    <row r="238" spans="1:61" x14ac:dyDescent="0.45">
      <c r="A238" s="30">
        <f>step3_validation[[#This Row],[Persona_ID]]</f>
        <v>237</v>
      </c>
      <c r="B238" s="31">
        <f>step3_validation[[#This Row],[Used_Seed]]</f>
        <v>237</v>
      </c>
      <c r="C238" t="str">
        <f>step3_validation[[#This Row],[Gender]]</f>
        <v>Nam</v>
      </c>
      <c r="D238" t="str">
        <f>survey_responses[[#This Row],[Giới tính của bạn:]]</f>
        <v>Nam</v>
      </c>
      <c r="E238" t="str">
        <f>step3_validation[[#This Row],[Age_Group]]</f>
        <v>30 - 39</v>
      </c>
      <c r="F238" t="str">
        <f>survey_responses[[#This Row],[Độ tuổi của bạn:]]</f>
        <v>30 - 39</v>
      </c>
      <c r="G238" t="str">
        <f>step3_validation[[#This Row],[Region]]</f>
        <v>Thành thị</v>
      </c>
      <c r="H238" t="str">
        <f>survey_responses[[#This Row],[Khu vực bạn đang sinh sống:]]</f>
        <v>Thành thị</v>
      </c>
      <c r="I238" t="str">
        <f>step3_validation[[#This Row],[Education]]</f>
        <v>Sau Đại học</v>
      </c>
      <c r="J238" t="str">
        <f>survey_responses[[#This Row],[Trình độ học vấn cao nhất:]]</f>
        <v>Sau Đại học</v>
      </c>
      <c r="K238" t="str">
        <f>step3_validation[[#This Row],[Employment]]</f>
        <v>Phi chính thức</v>
      </c>
      <c r="L238" t="str">
        <f>survey_responses[[#This Row],[Tình trạng việc làm chính:]]</f>
        <v>Khu vực phi chính thức (Lao động tự do, không có HĐLĐ)</v>
      </c>
      <c r="M238">
        <f>step3_validation[[#This Row],[Income_Mil]]</f>
        <v>14.388269521510457</v>
      </c>
      <c r="N238" t="str">
        <f>survey_responses[[#This Row],[Thu nhập bình quân tháng theo Hợp đồng lao động của bạn là bao nhiêu? (Vui lòng điền tổng thu nhập trước khi khấu trừ các loại Bảo hiểm (BHXH, BHYT, BHTN) và Thuế TNCN)]]</f>
        <v>Từ 12 - 18 triệu VNĐ</v>
      </c>
      <c r="O238">
        <f>step3_validation[[#This Row],[Dependents]]</f>
        <v>3</v>
      </c>
      <c r="P238" t="str">
        <f>survey_responses[[#This Row],[Số người phụ thuộc (con nhỏ, cha mẹ già...) đủ điều kiện giảm trừ gia cảnh:]]</f>
        <v>3 người</v>
      </c>
      <c r="Q238">
        <f>step3_validation[[#This Row],[AI_ENF1]]</f>
        <v>7</v>
      </c>
      <c r="R238">
        <f t="shared" si="81"/>
        <v>0.66666666666666663</v>
      </c>
      <c r="S238">
        <f>survey_responses[[#This Row],[Tôi tin rằng với các quy định quản lý thuế hiện nay, hành vi gian lận hoặc trốn thuế sẽ dễ dàng bị phát hiện và xử lý nghiêm. - HUMAN-ENF1]]</f>
        <v>10</v>
      </c>
      <c r="T238">
        <f t="shared" si="82"/>
        <v>1</v>
      </c>
      <c r="U238">
        <f>step3_validation[[#This Row],[AI_ENF2]]</f>
        <v>6</v>
      </c>
      <c r="V238">
        <f t="shared" si="83"/>
        <v>0.55555555555555558</v>
      </c>
      <c r="W238">
        <f>survey_responses[[#This Row],[Tôi tin rằng Nhà nước, cơ quan thuế có đủ khả năng và công nghệ để phát hiện, xử lý nghiêm các hành vi trốn thuế. - HUMAN-ENF2]]</f>
        <v>10</v>
      </c>
      <c r="X238">
        <f t="shared" si="84"/>
        <v>1</v>
      </c>
      <c r="Y238" s="32">
        <f t="shared" si="85"/>
        <v>0.61111111111111116</v>
      </c>
      <c r="Z238" s="32">
        <f t="shared" si="86"/>
        <v>1</v>
      </c>
      <c r="AA238">
        <f>step3_validation[[#This Row],[AI_FAC1]]</f>
        <v>8</v>
      </c>
      <c r="AB238">
        <f t="shared" si="87"/>
        <v>0.77777777777777779</v>
      </c>
      <c r="AC238">
        <f>survey_responses[[#This Row],[Các thủ tục khai báo thuế VÀ/HOẶC quy trình làm việc với cơ quan thuế đơn giản, tiện lợi, nhanh chóng hơn so với trước đây. - HUMAN-FAC1]]</f>
        <v>4</v>
      </c>
      <c r="AD238">
        <f t="shared" si="88"/>
        <v>0.33333333333333331</v>
      </c>
      <c r="AE238">
        <f>step3_validation[[#This Row],[AI_FAC2]]</f>
        <v>9</v>
      </c>
      <c r="AF238">
        <f t="shared" si="89"/>
        <v>0.88888888888888884</v>
      </c>
      <c r="AG238">
        <f>survey_responses[[#This Row],[So với trước đây, tôi thấy cách tính thuế và các bậc thuế trong phương án mới đơn giản, dễ hiểu và dễ thực hiện hơn. - HUMAN-FAC2]]</f>
        <v>6</v>
      </c>
      <c r="AH238">
        <f t="shared" si="90"/>
        <v>0.55555555555555558</v>
      </c>
      <c r="AI238" s="32">
        <f t="shared" si="91"/>
        <v>0.83333333333333326</v>
      </c>
      <c r="AJ238" s="32">
        <f t="shared" si="92"/>
        <v>0.44444444444444442</v>
      </c>
      <c r="AK238">
        <f>step3_validation[[#This Row],[AI_TRU1]]</f>
        <v>8</v>
      </c>
      <c r="AL238">
        <f t="shared" si="93"/>
        <v>0.77777777777777779</v>
      </c>
      <c r="AM238">
        <f>survey_responses[[#This Row],[Tôi tin rằng Nhà nước, cơ quan thuế sẽ thực thi chính sách mới một cách khách quan, công tâm và đối xử bình đẳng với mọi người nộp thuế.  - HUMAN-TRU1]]</f>
        <v>3</v>
      </c>
      <c r="AN238">
        <f t="shared" si="94"/>
        <v>0.22222222222222221</v>
      </c>
      <c r="AO238">
        <f>step3_validation[[#This Row],[AI_TRU2]]</f>
        <v>9</v>
      </c>
      <c r="AP238">
        <f t="shared" si="95"/>
        <v>0.88888888888888884</v>
      </c>
      <c r="AQ238">
        <f>survey_responses[[#This Row],[Tôi thấy mức thuế tôi phải đóng theo phương án mới là công bằng (người thu nhập như tôi đóng mức này là hợp lý). - HUMAN-TRU2]]</f>
        <v>1</v>
      </c>
      <c r="AR238">
        <f t="shared" si="96"/>
        <v>0</v>
      </c>
      <c r="AS238">
        <f>step3_validation[[#This Row],[AI_TRU3]]</f>
        <v>7</v>
      </c>
      <c r="AT238">
        <f t="shared" si="97"/>
        <v>0.66666666666666663</v>
      </c>
      <c r="AU238">
        <f>survey_responses[[#This Row],[Tôi tin tưởng số tiền thuế tôi đóng sẽ được Nhà nước sử dụng hiệu quả để cải thiện dịch vụ công (y tế, đường xá...). - HUMAN-TRU3]]</f>
        <v>1</v>
      </c>
      <c r="AV238">
        <f t="shared" si="98"/>
        <v>0</v>
      </c>
      <c r="AW238">
        <f>step3_validation[[#This Row],[AI_TRU4]]</f>
        <v>8</v>
      </c>
      <c r="AX238">
        <f t="shared" si="99"/>
        <v>0.77777777777777779</v>
      </c>
      <c r="AY238">
        <f>survey_responses[[#This Row],[Tôi thấy Nhà nước đã giải thích rõ ràng, minh bạch về lý do và mục tiêu của việc sửa đổi thuế lần này. - HUMAN-TRU4]]</f>
        <v>3</v>
      </c>
      <c r="AZ238">
        <f t="shared" si="100"/>
        <v>0.22222222222222221</v>
      </c>
      <c r="BA238" s="32">
        <f t="shared" si="101"/>
        <v>0.77777777777777768</v>
      </c>
      <c r="BB238" s="32">
        <f t="shared" si="102"/>
        <v>0.1111111111111111</v>
      </c>
      <c r="BC238" s="7">
        <f t="shared" si="103"/>
        <v>0.74074074074074081</v>
      </c>
      <c r="BD238" s="7">
        <f t="shared" si="104"/>
        <v>0.51851851851851849</v>
      </c>
      <c r="BE238">
        <f>step3_validation[[#This Row],[AI_OUT1]]</f>
        <v>9</v>
      </c>
      <c r="BF238">
        <f t="shared" si="105"/>
        <v>0.88888888888888884</v>
      </c>
      <c r="BG238">
        <f>survey_responses[[#This Row],[Sau khi xem xét các quyền lợi và nghĩa vụ, bạn có ủng hộ và tuân thủ chính sách mới hiện nay? - HUMAN-OUT1]]</f>
        <v>1</v>
      </c>
      <c r="BH238">
        <f t="shared" si="106"/>
        <v>0</v>
      </c>
      <c r="BI238" s="32">
        <f t="shared" si="107"/>
        <v>8</v>
      </c>
    </row>
    <row r="239" spans="1:61" x14ac:dyDescent="0.45">
      <c r="A239" s="30">
        <f>step3_validation[[#This Row],[Persona_ID]]</f>
        <v>238</v>
      </c>
      <c r="B239" s="31">
        <f>step3_validation[[#This Row],[Used_Seed]]</f>
        <v>238</v>
      </c>
      <c r="C239" t="str">
        <f>step3_validation[[#This Row],[Gender]]</f>
        <v>Nữ</v>
      </c>
      <c r="D239" t="str">
        <f>survey_responses[[#This Row],[Giới tính của bạn:]]</f>
        <v>Nữ</v>
      </c>
      <c r="E239" t="str">
        <f>step3_validation[[#This Row],[Age_Group]]</f>
        <v>30 - 39</v>
      </c>
      <c r="F239" t="str">
        <f>survey_responses[[#This Row],[Độ tuổi của bạn:]]</f>
        <v>30 - 39</v>
      </c>
      <c r="G239" t="str">
        <f>step3_validation[[#This Row],[Region]]</f>
        <v>Thành thị</v>
      </c>
      <c r="H239" t="str">
        <f>survey_responses[[#This Row],[Khu vực bạn đang sinh sống:]]</f>
        <v>Thành thị</v>
      </c>
      <c r="I239" t="str">
        <f>step3_validation[[#This Row],[Education]]</f>
        <v>Sau Đại học</v>
      </c>
      <c r="J239" t="str">
        <f>survey_responses[[#This Row],[Trình độ học vấn cao nhất:]]</f>
        <v>Sau Đại học</v>
      </c>
      <c r="K239" t="str">
        <f>step3_validation[[#This Row],[Employment]]</f>
        <v>Chính thức</v>
      </c>
      <c r="L239" t="str">
        <f>survey_responses[[#This Row],[Tình trạng việc làm chính:]]</f>
        <v>Khu vực chính thức (Có Hợp đồng lao động, đóng BHXH)</v>
      </c>
      <c r="M239">
        <f>step3_validation[[#This Row],[Income_Mil]]</f>
        <v>26.295136099030909</v>
      </c>
      <c r="N239" t="str">
        <f>survey_responses[[#This Row],[Thu nhập bình quân tháng theo Hợp đồng lao động của bạn là bao nhiêu? (Vui lòng điền tổng thu nhập trước khi khấu trừ các loại Bảo hiểm (BHXH, BHYT, BHTN) và Thuế TNCN)]]</f>
        <v>Từ 23 - 32 triệu VNĐ</v>
      </c>
      <c r="O239">
        <f>step3_validation[[#This Row],[Dependents]]</f>
        <v>1</v>
      </c>
      <c r="P239" t="str">
        <f>survey_responses[[#This Row],[Số người phụ thuộc (con nhỏ, cha mẹ già...) đủ điều kiện giảm trừ gia cảnh:]]</f>
        <v>1 người</v>
      </c>
      <c r="Q239">
        <f>step3_validation[[#This Row],[AI_ENF1]]</f>
        <v>6</v>
      </c>
      <c r="R239">
        <f t="shared" si="81"/>
        <v>0.55555555555555558</v>
      </c>
      <c r="S239">
        <f>survey_responses[[#This Row],[Tôi tin rằng với các quy định quản lý thuế hiện nay, hành vi gian lận hoặc trốn thuế sẽ dễ dàng bị phát hiện và xử lý nghiêm. - HUMAN-ENF1]]</f>
        <v>8</v>
      </c>
      <c r="T239">
        <f t="shared" si="82"/>
        <v>0.77777777777777779</v>
      </c>
      <c r="U239">
        <f>step3_validation[[#This Row],[AI_ENF2]]</f>
        <v>5</v>
      </c>
      <c r="V239">
        <f t="shared" si="83"/>
        <v>0.44444444444444442</v>
      </c>
      <c r="W239">
        <f>survey_responses[[#This Row],[Tôi tin rằng Nhà nước, cơ quan thuế có đủ khả năng và công nghệ để phát hiện, xử lý nghiêm các hành vi trốn thuế. - HUMAN-ENF2]]</f>
        <v>10</v>
      </c>
      <c r="X239">
        <f t="shared" si="84"/>
        <v>1</v>
      </c>
      <c r="Y239" s="32">
        <f t="shared" si="85"/>
        <v>0.5</v>
      </c>
      <c r="Z239" s="32">
        <f t="shared" si="86"/>
        <v>0.88888888888888884</v>
      </c>
      <c r="AA239">
        <f>step3_validation[[#This Row],[AI_FAC1]]</f>
        <v>8</v>
      </c>
      <c r="AB239">
        <f t="shared" si="87"/>
        <v>0.77777777777777779</v>
      </c>
      <c r="AC239">
        <f>survey_responses[[#This Row],[Các thủ tục khai báo thuế VÀ/HOẶC quy trình làm việc với cơ quan thuế đơn giản, tiện lợi, nhanh chóng hơn so với trước đây. - HUMAN-FAC1]]</f>
        <v>8</v>
      </c>
      <c r="AD239">
        <f t="shared" si="88"/>
        <v>0.77777777777777779</v>
      </c>
      <c r="AE239">
        <f>step3_validation[[#This Row],[AI_FAC2]]</f>
        <v>9</v>
      </c>
      <c r="AF239">
        <f t="shared" si="89"/>
        <v>0.88888888888888884</v>
      </c>
      <c r="AG239">
        <f>survey_responses[[#This Row],[So với trước đây, tôi thấy cách tính thuế và các bậc thuế trong phương án mới đơn giản, dễ hiểu và dễ thực hiện hơn. - HUMAN-FAC2]]</f>
        <v>10</v>
      </c>
      <c r="AH239">
        <f t="shared" si="90"/>
        <v>1</v>
      </c>
      <c r="AI239" s="32">
        <f t="shared" si="91"/>
        <v>0.83333333333333326</v>
      </c>
      <c r="AJ239" s="32">
        <f t="shared" si="92"/>
        <v>0.88888888888888884</v>
      </c>
      <c r="AK239">
        <f>step3_validation[[#This Row],[AI_TRU1]]</f>
        <v>4</v>
      </c>
      <c r="AL239">
        <f t="shared" si="93"/>
        <v>0.33333333333333331</v>
      </c>
      <c r="AM239">
        <f>survey_responses[[#This Row],[Tôi tin rằng Nhà nước, cơ quan thuế sẽ thực thi chính sách mới một cách khách quan, công tâm và đối xử bình đẳng với mọi người nộp thuế.  - HUMAN-TRU1]]</f>
        <v>9</v>
      </c>
      <c r="AN239">
        <f t="shared" si="94"/>
        <v>0.88888888888888884</v>
      </c>
      <c r="AO239">
        <f>step3_validation[[#This Row],[AI_TRU2]]</f>
        <v>7</v>
      </c>
      <c r="AP239">
        <f t="shared" si="95"/>
        <v>0.66666666666666663</v>
      </c>
      <c r="AQ239">
        <f>survey_responses[[#This Row],[Tôi thấy mức thuế tôi phải đóng theo phương án mới là công bằng (người thu nhập như tôi đóng mức này là hợp lý). - HUMAN-TRU2]]</f>
        <v>8</v>
      </c>
      <c r="AR239">
        <f t="shared" si="96"/>
        <v>0.77777777777777779</v>
      </c>
      <c r="AS239">
        <f>step3_validation[[#This Row],[AI_TRU3]]</f>
        <v>6</v>
      </c>
      <c r="AT239">
        <f t="shared" si="97"/>
        <v>0.55555555555555558</v>
      </c>
      <c r="AU239">
        <f>survey_responses[[#This Row],[Tôi tin tưởng số tiền thuế tôi đóng sẽ được Nhà nước sử dụng hiệu quả để cải thiện dịch vụ công (y tế, đường xá...). - HUMAN-TRU3]]</f>
        <v>7</v>
      </c>
      <c r="AV239">
        <f t="shared" si="98"/>
        <v>0.66666666666666663</v>
      </c>
      <c r="AW239">
        <f>step3_validation[[#This Row],[AI_TRU4]]</f>
        <v>8</v>
      </c>
      <c r="AX239">
        <f t="shared" si="99"/>
        <v>0.77777777777777779</v>
      </c>
      <c r="AY239">
        <f>survey_responses[[#This Row],[Tôi thấy Nhà nước đã giải thích rõ ràng, minh bạch về lý do và mục tiêu của việc sửa đổi thuế lần này. - HUMAN-TRU4]]</f>
        <v>9</v>
      </c>
      <c r="AZ239">
        <f t="shared" si="100"/>
        <v>0.88888888888888884</v>
      </c>
      <c r="BA239" s="32">
        <f t="shared" si="101"/>
        <v>0.58333333333333337</v>
      </c>
      <c r="BB239" s="32">
        <f t="shared" si="102"/>
        <v>0.80555555555555547</v>
      </c>
      <c r="BC239" s="7">
        <f t="shared" si="103"/>
        <v>0.63888888888888884</v>
      </c>
      <c r="BD239" s="7">
        <f t="shared" si="104"/>
        <v>0.86111111111111105</v>
      </c>
      <c r="BE239">
        <f>step3_validation[[#This Row],[AI_OUT1]]</f>
        <v>9</v>
      </c>
      <c r="BF239">
        <f t="shared" si="105"/>
        <v>0.88888888888888884</v>
      </c>
      <c r="BG239">
        <f>survey_responses[[#This Row],[Sau khi xem xét các quyền lợi và nghĩa vụ, bạn có ủng hộ và tuân thủ chính sách mới hiện nay? - HUMAN-OUT1]]</f>
        <v>9</v>
      </c>
      <c r="BH239">
        <f t="shared" si="106"/>
        <v>0.88888888888888884</v>
      </c>
      <c r="BI239" s="32">
        <f t="shared" si="107"/>
        <v>0</v>
      </c>
    </row>
    <row r="240" spans="1:61" x14ac:dyDescent="0.45">
      <c r="A240" s="30">
        <f>step3_validation[[#This Row],[Persona_ID]]</f>
        <v>239</v>
      </c>
      <c r="B240" s="31">
        <f>step3_validation[[#This Row],[Used_Seed]]</f>
        <v>239</v>
      </c>
      <c r="C240" t="str">
        <f>step3_validation[[#This Row],[Gender]]</f>
        <v>Nam</v>
      </c>
      <c r="D240" t="str">
        <f>survey_responses[[#This Row],[Giới tính của bạn:]]</f>
        <v>Nam</v>
      </c>
      <c r="E240" t="str">
        <f>step3_validation[[#This Row],[Age_Group]]</f>
        <v>55 - 64</v>
      </c>
      <c r="F240" t="str">
        <f>survey_responses[[#This Row],[Độ tuổi của bạn:]]</f>
        <v>55 - 64</v>
      </c>
      <c r="G240" t="str">
        <f>step3_validation[[#This Row],[Region]]</f>
        <v>Thành thị</v>
      </c>
      <c r="H240" t="str">
        <f>survey_responses[[#This Row],[Khu vực bạn đang sinh sống:]]</f>
        <v>Thành thị</v>
      </c>
      <c r="I240" t="str">
        <f>step3_validation[[#This Row],[Education]]</f>
        <v>Sau Đại học</v>
      </c>
      <c r="J240" t="str">
        <f>survey_responses[[#This Row],[Trình độ học vấn cao nhất:]]</f>
        <v>Sau Đại học</v>
      </c>
      <c r="K240" t="str">
        <f>step3_validation[[#This Row],[Employment]]</f>
        <v>Chính thức</v>
      </c>
      <c r="L240" t="str">
        <f>survey_responses[[#This Row],[Tình trạng việc làm chính:]]</f>
        <v>Khu vực chính thức (Có Hợp đồng lao động, đóng BHXH)</v>
      </c>
      <c r="M240">
        <f>step3_validation[[#This Row],[Income_Mil]]</f>
        <v>70.470156933587049</v>
      </c>
      <c r="N240" t="str">
        <f>survey_responses[[#This Row],[Thu nhập bình quân tháng theo Hợp đồng lao động của bạn là bao nhiêu? (Vui lòng điền tổng thu nhập trước khi khấu trừ các loại Bảo hiểm (BHXH, BHYT, BHTN) và Thuế TNCN)]]</f>
        <v>Từ 70 - 102 triệu VNĐ</v>
      </c>
      <c r="O240">
        <f>step3_validation[[#This Row],[Dependents]]</f>
        <v>4</v>
      </c>
      <c r="P240" t="str">
        <f>survey_responses[[#This Row],[Số người phụ thuộc (con nhỏ, cha mẹ già...) đủ điều kiện giảm trừ gia cảnh:]]</f>
        <v>4 người trở lên</v>
      </c>
      <c r="Q240">
        <f>step3_validation[[#This Row],[AI_ENF1]]</f>
        <v>7</v>
      </c>
      <c r="R240">
        <f t="shared" si="81"/>
        <v>0.66666666666666663</v>
      </c>
      <c r="S240">
        <f>survey_responses[[#This Row],[Tôi tin rằng với các quy định quản lý thuế hiện nay, hành vi gian lận hoặc trốn thuế sẽ dễ dàng bị phát hiện và xử lý nghiêm. - HUMAN-ENF1]]</f>
        <v>6</v>
      </c>
      <c r="T240">
        <f t="shared" si="82"/>
        <v>0.55555555555555558</v>
      </c>
      <c r="U240">
        <f>step3_validation[[#This Row],[AI_ENF2]]</f>
        <v>6</v>
      </c>
      <c r="V240">
        <f t="shared" si="83"/>
        <v>0.55555555555555558</v>
      </c>
      <c r="W240">
        <f>survey_responses[[#This Row],[Tôi tin rằng Nhà nước, cơ quan thuế có đủ khả năng và công nghệ để phát hiện, xử lý nghiêm các hành vi trốn thuế. - HUMAN-ENF2]]</f>
        <v>6</v>
      </c>
      <c r="X240">
        <f t="shared" si="84"/>
        <v>0.55555555555555558</v>
      </c>
      <c r="Y240" s="32">
        <f t="shared" si="85"/>
        <v>0.61111111111111116</v>
      </c>
      <c r="Z240" s="32">
        <f t="shared" si="86"/>
        <v>0.55555555555555558</v>
      </c>
      <c r="AA240">
        <f>step3_validation[[#This Row],[AI_FAC1]]</f>
        <v>8</v>
      </c>
      <c r="AB240">
        <f t="shared" si="87"/>
        <v>0.77777777777777779</v>
      </c>
      <c r="AC240">
        <f>survey_responses[[#This Row],[Các thủ tục khai báo thuế VÀ/HOẶC quy trình làm việc với cơ quan thuế đơn giản, tiện lợi, nhanh chóng hơn so với trước đây. - HUMAN-FAC1]]</f>
        <v>6</v>
      </c>
      <c r="AD240">
        <f t="shared" si="88"/>
        <v>0.55555555555555558</v>
      </c>
      <c r="AE240">
        <f>step3_validation[[#This Row],[AI_FAC2]]</f>
        <v>9</v>
      </c>
      <c r="AF240">
        <f t="shared" si="89"/>
        <v>0.88888888888888884</v>
      </c>
      <c r="AG240">
        <f>survey_responses[[#This Row],[So với trước đây, tôi thấy cách tính thuế và các bậc thuế trong phương án mới đơn giản, dễ hiểu và dễ thực hiện hơn. - HUMAN-FAC2]]</f>
        <v>6</v>
      </c>
      <c r="AH240">
        <f t="shared" si="90"/>
        <v>0.55555555555555558</v>
      </c>
      <c r="AI240" s="32">
        <f t="shared" si="91"/>
        <v>0.83333333333333326</v>
      </c>
      <c r="AJ240" s="32">
        <f t="shared" si="92"/>
        <v>0.55555555555555558</v>
      </c>
      <c r="AK240">
        <f>step3_validation[[#This Row],[AI_TRU1]]</f>
        <v>6</v>
      </c>
      <c r="AL240">
        <f t="shared" si="93"/>
        <v>0.55555555555555558</v>
      </c>
      <c r="AM240">
        <f>survey_responses[[#This Row],[Tôi tin rằng Nhà nước, cơ quan thuế sẽ thực thi chính sách mới một cách khách quan, công tâm và đối xử bình đẳng với mọi người nộp thuế.  - HUMAN-TRU1]]</f>
        <v>6</v>
      </c>
      <c r="AN240">
        <f t="shared" si="94"/>
        <v>0.55555555555555558</v>
      </c>
      <c r="AO240">
        <f>step3_validation[[#This Row],[AI_TRU2]]</f>
        <v>9</v>
      </c>
      <c r="AP240">
        <f t="shared" si="95"/>
        <v>0.88888888888888884</v>
      </c>
      <c r="AQ240">
        <f>survey_responses[[#This Row],[Tôi thấy mức thuế tôi phải đóng theo phương án mới là công bằng (người thu nhập như tôi đóng mức này là hợp lý). - HUMAN-TRU2]]</f>
        <v>6</v>
      </c>
      <c r="AR240">
        <f t="shared" si="96"/>
        <v>0.55555555555555558</v>
      </c>
      <c r="AS240">
        <f>step3_validation[[#This Row],[AI_TRU3]]</f>
        <v>7</v>
      </c>
      <c r="AT240">
        <f t="shared" si="97"/>
        <v>0.66666666666666663</v>
      </c>
      <c r="AU240">
        <f>survey_responses[[#This Row],[Tôi tin tưởng số tiền thuế tôi đóng sẽ được Nhà nước sử dụng hiệu quả để cải thiện dịch vụ công (y tế, đường xá...). - HUMAN-TRU3]]</f>
        <v>6</v>
      </c>
      <c r="AV240">
        <f t="shared" si="98"/>
        <v>0.55555555555555558</v>
      </c>
      <c r="AW240">
        <f>step3_validation[[#This Row],[AI_TRU4]]</f>
        <v>8</v>
      </c>
      <c r="AX240">
        <f t="shared" si="99"/>
        <v>0.77777777777777779</v>
      </c>
      <c r="AY240">
        <f>survey_responses[[#This Row],[Tôi thấy Nhà nước đã giải thích rõ ràng, minh bạch về lý do và mục tiêu của việc sửa đổi thuế lần này. - HUMAN-TRU4]]</f>
        <v>7</v>
      </c>
      <c r="AZ240">
        <f t="shared" si="100"/>
        <v>0.66666666666666663</v>
      </c>
      <c r="BA240" s="32">
        <f t="shared" si="101"/>
        <v>0.72222222222222221</v>
      </c>
      <c r="BB240" s="32">
        <f t="shared" si="102"/>
        <v>0.58333333333333337</v>
      </c>
      <c r="BC240" s="7">
        <f t="shared" si="103"/>
        <v>0.72222222222222221</v>
      </c>
      <c r="BD240" s="7">
        <f t="shared" si="104"/>
        <v>0.56481481481481488</v>
      </c>
      <c r="BE240">
        <f>step3_validation[[#This Row],[AI_OUT1]]</f>
        <v>9</v>
      </c>
      <c r="BF240">
        <f t="shared" si="105"/>
        <v>0.88888888888888884</v>
      </c>
      <c r="BG240">
        <f>survey_responses[[#This Row],[Sau khi xem xét các quyền lợi và nghĩa vụ, bạn có ủng hộ và tuân thủ chính sách mới hiện nay? - HUMAN-OUT1]]</f>
        <v>6</v>
      </c>
      <c r="BH240">
        <f t="shared" si="106"/>
        <v>0.55555555555555558</v>
      </c>
      <c r="BI240" s="32">
        <f t="shared" si="107"/>
        <v>3</v>
      </c>
    </row>
    <row r="241" spans="1:61" x14ac:dyDescent="0.45">
      <c r="A241" s="30">
        <f>step3_validation[[#This Row],[Persona_ID]]</f>
        <v>240</v>
      </c>
      <c r="B241" s="31">
        <f>step3_validation[[#This Row],[Used_Seed]]</f>
        <v>240</v>
      </c>
      <c r="C241" t="str">
        <f>step3_validation[[#This Row],[Gender]]</f>
        <v>Nữ</v>
      </c>
      <c r="D241" t="str">
        <f>survey_responses[[#This Row],[Giới tính của bạn:]]</f>
        <v>Nữ</v>
      </c>
      <c r="E241" t="str">
        <f>step3_validation[[#This Row],[Age_Group]]</f>
        <v>30 - 39</v>
      </c>
      <c r="F241" t="str">
        <f>survey_responses[[#This Row],[Độ tuổi của bạn:]]</f>
        <v>30 - 39</v>
      </c>
      <c r="G241" t="str">
        <f>step3_validation[[#This Row],[Region]]</f>
        <v>Thành thị</v>
      </c>
      <c r="H241" t="str">
        <f>survey_responses[[#This Row],[Khu vực bạn đang sinh sống:]]</f>
        <v>Thành thị</v>
      </c>
      <c r="I241" t="str">
        <f>step3_validation[[#This Row],[Education]]</f>
        <v>Đại học</v>
      </c>
      <c r="J241" t="str">
        <f>survey_responses[[#This Row],[Trình độ học vấn cao nhất:]]</f>
        <v>Đại học</v>
      </c>
      <c r="K241" t="str">
        <f>step3_validation[[#This Row],[Employment]]</f>
        <v>Chính thức</v>
      </c>
      <c r="L241" t="str">
        <f>survey_responses[[#This Row],[Tình trạng việc làm chính:]]</f>
        <v>Khu vực chính thức (Có Hợp đồng lao động, đóng BHXH)</v>
      </c>
      <c r="M241">
        <f>step3_validation[[#This Row],[Income_Mil]]</f>
        <v>61.841398241850868</v>
      </c>
      <c r="N241" t="str">
        <f>survey_responses[[#This Row],[Thu nhập bình quân tháng theo Hợp đồng lao động của bạn là bao nhiêu? (Vui lòng điền tổng thu nhập trước khi khấu trừ các loại Bảo hiểm (BHXH, BHYT, BHTN) và Thuế TNCN)]]</f>
        <v>Từ 48 - 70 triệu VNĐ</v>
      </c>
      <c r="O241">
        <f>step3_validation[[#This Row],[Dependents]]</f>
        <v>3</v>
      </c>
      <c r="P241" t="str">
        <f>survey_responses[[#This Row],[Số người phụ thuộc (con nhỏ, cha mẹ già...) đủ điều kiện giảm trừ gia cảnh:]]</f>
        <v>3 người</v>
      </c>
      <c r="Q241">
        <f>step3_validation[[#This Row],[AI_ENF1]]</f>
        <v>8</v>
      </c>
      <c r="R241">
        <f t="shared" si="81"/>
        <v>0.77777777777777779</v>
      </c>
      <c r="S241">
        <f>survey_responses[[#This Row],[Tôi tin rằng với các quy định quản lý thuế hiện nay, hành vi gian lận hoặc trốn thuế sẽ dễ dàng bị phát hiện và xử lý nghiêm. - HUMAN-ENF1]]</f>
        <v>8</v>
      </c>
      <c r="T241">
        <f t="shared" si="82"/>
        <v>0.77777777777777779</v>
      </c>
      <c r="U241">
        <f>step3_validation[[#This Row],[AI_ENF2]]</f>
        <v>7</v>
      </c>
      <c r="V241">
        <f t="shared" si="83"/>
        <v>0.66666666666666663</v>
      </c>
      <c r="W241">
        <f>survey_responses[[#This Row],[Tôi tin rằng Nhà nước, cơ quan thuế có đủ khả năng và công nghệ để phát hiện, xử lý nghiêm các hành vi trốn thuế. - HUMAN-ENF2]]</f>
        <v>8</v>
      </c>
      <c r="X241">
        <f t="shared" si="84"/>
        <v>0.77777777777777779</v>
      </c>
      <c r="Y241" s="32">
        <f t="shared" si="85"/>
        <v>0.72222222222222221</v>
      </c>
      <c r="Z241" s="32">
        <f t="shared" si="86"/>
        <v>0.77777777777777779</v>
      </c>
      <c r="AA241">
        <f>step3_validation[[#This Row],[AI_FAC1]]</f>
        <v>8</v>
      </c>
      <c r="AB241">
        <f t="shared" si="87"/>
        <v>0.77777777777777779</v>
      </c>
      <c r="AC241">
        <f>survey_responses[[#This Row],[Các thủ tục khai báo thuế VÀ/HOẶC quy trình làm việc với cơ quan thuế đơn giản, tiện lợi, nhanh chóng hơn so với trước đây. - HUMAN-FAC1]]</f>
        <v>8</v>
      </c>
      <c r="AD241">
        <f t="shared" si="88"/>
        <v>0.77777777777777779</v>
      </c>
      <c r="AE241">
        <f>step3_validation[[#This Row],[AI_FAC2]]</f>
        <v>9</v>
      </c>
      <c r="AF241">
        <f t="shared" si="89"/>
        <v>0.88888888888888884</v>
      </c>
      <c r="AG241">
        <f>survey_responses[[#This Row],[So với trước đây, tôi thấy cách tính thuế và các bậc thuế trong phương án mới đơn giản, dễ hiểu và dễ thực hiện hơn. - HUMAN-FAC2]]</f>
        <v>8</v>
      </c>
      <c r="AH241">
        <f t="shared" si="90"/>
        <v>0.77777777777777779</v>
      </c>
      <c r="AI241" s="32">
        <f t="shared" si="91"/>
        <v>0.83333333333333326</v>
      </c>
      <c r="AJ241" s="32">
        <f t="shared" si="92"/>
        <v>0.77777777777777779</v>
      </c>
      <c r="AK241">
        <f>step3_validation[[#This Row],[AI_TRU1]]</f>
        <v>7</v>
      </c>
      <c r="AL241">
        <f t="shared" si="93"/>
        <v>0.66666666666666663</v>
      </c>
      <c r="AM241">
        <f>survey_responses[[#This Row],[Tôi tin rằng Nhà nước, cơ quan thuế sẽ thực thi chính sách mới một cách khách quan, công tâm và đối xử bình đẳng với mọi người nộp thuế.  - HUMAN-TRU1]]</f>
        <v>8</v>
      </c>
      <c r="AN241">
        <f t="shared" si="94"/>
        <v>0.77777777777777779</v>
      </c>
      <c r="AO241">
        <f>step3_validation[[#This Row],[AI_TRU2]]</f>
        <v>9</v>
      </c>
      <c r="AP241">
        <f t="shared" si="95"/>
        <v>0.88888888888888884</v>
      </c>
      <c r="AQ241">
        <f>survey_responses[[#This Row],[Tôi thấy mức thuế tôi phải đóng theo phương án mới là công bằng (người thu nhập như tôi đóng mức này là hợp lý). - HUMAN-TRU2]]</f>
        <v>8</v>
      </c>
      <c r="AR241">
        <f t="shared" si="96"/>
        <v>0.77777777777777779</v>
      </c>
      <c r="AS241">
        <f>step3_validation[[#This Row],[AI_TRU3]]</f>
        <v>6</v>
      </c>
      <c r="AT241">
        <f t="shared" si="97"/>
        <v>0.55555555555555558</v>
      </c>
      <c r="AU241">
        <f>survey_responses[[#This Row],[Tôi tin tưởng số tiền thuế tôi đóng sẽ được Nhà nước sử dụng hiệu quả để cải thiện dịch vụ công (y tế, đường xá...). - HUMAN-TRU3]]</f>
        <v>8</v>
      </c>
      <c r="AV241">
        <f t="shared" si="98"/>
        <v>0.77777777777777779</v>
      </c>
      <c r="AW241">
        <f>step3_validation[[#This Row],[AI_TRU4]]</f>
        <v>7</v>
      </c>
      <c r="AX241">
        <f t="shared" si="99"/>
        <v>0.66666666666666663</v>
      </c>
      <c r="AY241">
        <f>survey_responses[[#This Row],[Tôi thấy Nhà nước đã giải thích rõ ràng, minh bạch về lý do và mục tiêu của việc sửa đổi thuế lần này. - HUMAN-TRU4]]</f>
        <v>8</v>
      </c>
      <c r="AZ241">
        <f t="shared" si="100"/>
        <v>0.77777777777777779</v>
      </c>
      <c r="BA241" s="32">
        <f t="shared" si="101"/>
        <v>0.69444444444444431</v>
      </c>
      <c r="BB241" s="32">
        <f t="shared" si="102"/>
        <v>0.77777777777777779</v>
      </c>
      <c r="BC241" s="7">
        <f t="shared" si="103"/>
        <v>0.74999999999999989</v>
      </c>
      <c r="BD241" s="7">
        <f t="shared" si="104"/>
        <v>0.77777777777777779</v>
      </c>
      <c r="BE241">
        <f>step3_validation[[#This Row],[AI_OUT1]]</f>
        <v>9</v>
      </c>
      <c r="BF241">
        <f t="shared" si="105"/>
        <v>0.88888888888888884</v>
      </c>
      <c r="BG241">
        <f>survey_responses[[#This Row],[Sau khi xem xét các quyền lợi và nghĩa vụ, bạn có ủng hộ và tuân thủ chính sách mới hiện nay? - HUMAN-OUT1]]</f>
        <v>8</v>
      </c>
      <c r="BH241">
        <f t="shared" si="106"/>
        <v>0.77777777777777779</v>
      </c>
      <c r="BI241" s="32">
        <f t="shared" si="107"/>
        <v>1</v>
      </c>
    </row>
    <row r="242" spans="1:61" x14ac:dyDescent="0.45">
      <c r="A242" s="30">
        <f>step3_validation[[#This Row],[Persona_ID]]</f>
        <v>241</v>
      </c>
      <c r="B242" s="31">
        <f>step3_validation[[#This Row],[Used_Seed]]</f>
        <v>241</v>
      </c>
      <c r="C242" t="str">
        <f>step3_validation[[#This Row],[Gender]]</f>
        <v>Nữ</v>
      </c>
      <c r="D242" t="str">
        <f>survey_responses[[#This Row],[Giới tính của bạn:]]</f>
        <v>Nữ</v>
      </c>
      <c r="E242" t="str">
        <f>step3_validation[[#This Row],[Age_Group]]</f>
        <v>30 - 39</v>
      </c>
      <c r="F242" t="str">
        <f>survey_responses[[#This Row],[Độ tuổi của bạn:]]</f>
        <v>30 - 39</v>
      </c>
      <c r="G242" t="str">
        <f>step3_validation[[#This Row],[Region]]</f>
        <v>Thành thị</v>
      </c>
      <c r="H242" t="str">
        <f>survey_responses[[#This Row],[Khu vực bạn đang sinh sống:]]</f>
        <v>Thành thị</v>
      </c>
      <c r="I242" t="str">
        <f>step3_validation[[#This Row],[Education]]</f>
        <v>Sau Đại học</v>
      </c>
      <c r="J242" t="str">
        <f>survey_responses[[#This Row],[Trình độ học vấn cao nhất:]]</f>
        <v>Sau Đại học</v>
      </c>
      <c r="K242" t="str">
        <f>step3_validation[[#This Row],[Employment]]</f>
        <v>Chính thức</v>
      </c>
      <c r="L242" t="str">
        <f>survey_responses[[#This Row],[Tình trạng việc làm chính:]]</f>
        <v>Khu vực chính thức (Có Hợp đồng lao động, đóng BHXH)</v>
      </c>
      <c r="M242">
        <f>step3_validation[[#This Row],[Income_Mil]]</f>
        <v>52.63148829676858</v>
      </c>
      <c r="N242" t="str">
        <f>survey_responses[[#This Row],[Thu nhập bình quân tháng theo Hợp đồng lao động của bạn là bao nhiêu? (Vui lòng điền tổng thu nhập trước khi khấu trừ các loại Bảo hiểm (BHXH, BHYT, BHTN) và Thuế TNCN)]]</f>
        <v>Từ 48 - 70 triệu VNĐ</v>
      </c>
      <c r="O242">
        <f>step3_validation[[#This Row],[Dependents]]</f>
        <v>1</v>
      </c>
      <c r="P242" t="str">
        <f>survey_responses[[#This Row],[Số người phụ thuộc (con nhỏ, cha mẹ già...) đủ điều kiện giảm trừ gia cảnh:]]</f>
        <v>1 người</v>
      </c>
      <c r="Q242">
        <f>step3_validation[[#This Row],[AI_ENF1]]</f>
        <v>7</v>
      </c>
      <c r="R242">
        <f t="shared" si="81"/>
        <v>0.66666666666666663</v>
      </c>
      <c r="S242">
        <f>survey_responses[[#This Row],[Tôi tin rằng với các quy định quản lý thuế hiện nay, hành vi gian lận hoặc trốn thuế sẽ dễ dàng bị phát hiện và xử lý nghiêm. - HUMAN-ENF1]]</f>
        <v>7</v>
      </c>
      <c r="T242">
        <f t="shared" si="82"/>
        <v>0.66666666666666663</v>
      </c>
      <c r="U242">
        <f>step3_validation[[#This Row],[AI_ENF2]]</f>
        <v>6</v>
      </c>
      <c r="V242">
        <f t="shared" si="83"/>
        <v>0.55555555555555558</v>
      </c>
      <c r="W242">
        <f>survey_responses[[#This Row],[Tôi tin rằng Nhà nước, cơ quan thuế có đủ khả năng và công nghệ để phát hiện, xử lý nghiêm các hành vi trốn thuế. - HUMAN-ENF2]]</f>
        <v>6</v>
      </c>
      <c r="X242">
        <f t="shared" si="84"/>
        <v>0.55555555555555558</v>
      </c>
      <c r="Y242" s="32">
        <f t="shared" si="85"/>
        <v>0.61111111111111116</v>
      </c>
      <c r="Z242" s="32">
        <f t="shared" si="86"/>
        <v>0.61111111111111116</v>
      </c>
      <c r="AA242">
        <f>step3_validation[[#This Row],[AI_FAC1]]</f>
        <v>8</v>
      </c>
      <c r="AB242">
        <f t="shared" si="87"/>
        <v>0.77777777777777779</v>
      </c>
      <c r="AC242">
        <f>survey_responses[[#This Row],[Các thủ tục khai báo thuế VÀ/HOẶC quy trình làm việc với cơ quan thuế đơn giản, tiện lợi, nhanh chóng hơn so với trước đây. - HUMAN-FAC1]]</f>
        <v>7</v>
      </c>
      <c r="AD242">
        <f t="shared" si="88"/>
        <v>0.66666666666666663</v>
      </c>
      <c r="AE242">
        <f>step3_validation[[#This Row],[AI_FAC2]]</f>
        <v>9</v>
      </c>
      <c r="AF242">
        <f t="shared" si="89"/>
        <v>0.88888888888888884</v>
      </c>
      <c r="AG242">
        <f>survey_responses[[#This Row],[So với trước đây, tôi thấy cách tính thuế và các bậc thuế trong phương án mới đơn giản, dễ hiểu và dễ thực hiện hơn. - HUMAN-FAC2]]</f>
        <v>7</v>
      </c>
      <c r="AH242">
        <f t="shared" si="90"/>
        <v>0.66666666666666663</v>
      </c>
      <c r="AI242" s="32">
        <f t="shared" si="91"/>
        <v>0.83333333333333326</v>
      </c>
      <c r="AJ242" s="32">
        <f t="shared" si="92"/>
        <v>0.66666666666666663</v>
      </c>
      <c r="AK242">
        <f>step3_validation[[#This Row],[AI_TRU1]]</f>
        <v>7</v>
      </c>
      <c r="AL242">
        <f t="shared" si="93"/>
        <v>0.66666666666666663</v>
      </c>
      <c r="AM242">
        <f>survey_responses[[#This Row],[Tôi tin rằng Nhà nước, cơ quan thuế sẽ thực thi chính sách mới một cách khách quan, công tâm và đối xử bình đẳng với mọi người nộp thuế.  - HUMAN-TRU1]]</f>
        <v>8</v>
      </c>
      <c r="AN242">
        <f t="shared" si="94"/>
        <v>0.77777777777777779</v>
      </c>
      <c r="AO242">
        <f>step3_validation[[#This Row],[AI_TRU2]]</f>
        <v>8</v>
      </c>
      <c r="AP242">
        <f t="shared" si="95"/>
        <v>0.77777777777777779</v>
      </c>
      <c r="AQ242">
        <f>survey_responses[[#This Row],[Tôi thấy mức thuế tôi phải đóng theo phương án mới là công bằng (người thu nhập như tôi đóng mức này là hợp lý). - HUMAN-TRU2]]</f>
        <v>8</v>
      </c>
      <c r="AR242">
        <f t="shared" si="96"/>
        <v>0.77777777777777779</v>
      </c>
      <c r="AS242">
        <f>step3_validation[[#This Row],[AI_TRU3]]</f>
        <v>6</v>
      </c>
      <c r="AT242">
        <f t="shared" si="97"/>
        <v>0.55555555555555558</v>
      </c>
      <c r="AU242">
        <f>survey_responses[[#This Row],[Tôi tin tưởng số tiền thuế tôi đóng sẽ được Nhà nước sử dụng hiệu quả để cải thiện dịch vụ công (y tế, đường xá...). - HUMAN-TRU3]]</f>
        <v>8</v>
      </c>
      <c r="AV242">
        <f t="shared" si="98"/>
        <v>0.77777777777777779</v>
      </c>
      <c r="AW242">
        <f>step3_validation[[#This Row],[AI_TRU4]]</f>
        <v>8</v>
      </c>
      <c r="AX242">
        <f t="shared" si="99"/>
        <v>0.77777777777777779</v>
      </c>
      <c r="AY242">
        <f>survey_responses[[#This Row],[Tôi thấy Nhà nước đã giải thích rõ ràng, minh bạch về lý do và mục tiêu của việc sửa đổi thuế lần này. - HUMAN-TRU4]]</f>
        <v>8</v>
      </c>
      <c r="AZ242">
        <f t="shared" si="100"/>
        <v>0.77777777777777779</v>
      </c>
      <c r="BA242" s="32">
        <f t="shared" si="101"/>
        <v>0.69444444444444442</v>
      </c>
      <c r="BB242" s="32">
        <f t="shared" si="102"/>
        <v>0.77777777777777779</v>
      </c>
      <c r="BC242" s="7">
        <f t="shared" si="103"/>
        <v>0.71296296296296291</v>
      </c>
      <c r="BD242" s="7">
        <f t="shared" si="104"/>
        <v>0.68518518518518512</v>
      </c>
      <c r="BE242">
        <f>step3_validation[[#This Row],[AI_OUT1]]</f>
        <v>9</v>
      </c>
      <c r="BF242">
        <f t="shared" si="105"/>
        <v>0.88888888888888884</v>
      </c>
      <c r="BG242">
        <f>survey_responses[[#This Row],[Sau khi xem xét các quyền lợi và nghĩa vụ, bạn có ủng hộ và tuân thủ chính sách mới hiện nay? - HUMAN-OUT1]]</f>
        <v>8</v>
      </c>
      <c r="BH242">
        <f t="shared" si="106"/>
        <v>0.77777777777777779</v>
      </c>
      <c r="BI242" s="32">
        <f t="shared" si="107"/>
        <v>1</v>
      </c>
    </row>
    <row r="243" spans="1:61" x14ac:dyDescent="0.45">
      <c r="A243" s="30">
        <f>step3_validation[[#This Row],[Persona_ID]]</f>
        <v>242</v>
      </c>
      <c r="B243" s="31">
        <f>step3_validation[[#This Row],[Used_Seed]]</f>
        <v>242</v>
      </c>
      <c r="C243" t="str">
        <f>step3_validation[[#This Row],[Gender]]</f>
        <v>Nam</v>
      </c>
      <c r="D243" t="str">
        <f>survey_responses[[#This Row],[Giới tính của bạn:]]</f>
        <v>Nam</v>
      </c>
      <c r="E243" t="str">
        <f>step3_validation[[#This Row],[Age_Group]]</f>
        <v>30 - 39</v>
      </c>
      <c r="F243" t="str">
        <f>survey_responses[[#This Row],[Độ tuổi của bạn:]]</f>
        <v>30 - 39</v>
      </c>
      <c r="G243" t="str">
        <f>step3_validation[[#This Row],[Region]]</f>
        <v>Thành thị</v>
      </c>
      <c r="H243" t="str">
        <f>survey_responses[[#This Row],[Khu vực bạn đang sinh sống:]]</f>
        <v>Thành thị</v>
      </c>
      <c r="I243" t="str">
        <f>step3_validation[[#This Row],[Education]]</f>
        <v>Đại học</v>
      </c>
      <c r="J243" t="str">
        <f>survey_responses[[#This Row],[Trình độ học vấn cao nhất:]]</f>
        <v>Đại học</v>
      </c>
      <c r="K243" t="str">
        <f>step3_validation[[#This Row],[Employment]]</f>
        <v>Chính thức</v>
      </c>
      <c r="L243" t="str">
        <f>survey_responses[[#This Row],[Tình trạng việc làm chính:]]</f>
        <v>Khu vực chính thức (Có Hợp đồng lao động, đóng BHXH)</v>
      </c>
      <c r="M243">
        <f>step3_validation[[#This Row],[Income_Mil]]</f>
        <v>49.814620100080369</v>
      </c>
      <c r="N243" t="str">
        <f>survey_responses[[#This Row],[Thu nhập bình quân tháng theo Hợp đồng lao động của bạn là bao nhiêu? (Vui lòng điền tổng thu nhập trước khi khấu trừ các loại Bảo hiểm (BHXH, BHYT, BHTN) và Thuế TNCN)]]</f>
        <v>Từ 48 - 70 triệu VNĐ</v>
      </c>
      <c r="O243">
        <f>step3_validation[[#This Row],[Dependents]]</f>
        <v>2</v>
      </c>
      <c r="P243" t="str">
        <f>survey_responses[[#This Row],[Số người phụ thuộc (con nhỏ, cha mẹ già...) đủ điều kiện giảm trừ gia cảnh:]]</f>
        <v>2 người</v>
      </c>
      <c r="Q243">
        <f>step3_validation[[#This Row],[AI_ENF1]]</f>
        <v>7</v>
      </c>
      <c r="R243">
        <f t="shared" si="81"/>
        <v>0.66666666666666663</v>
      </c>
      <c r="S243">
        <f>survey_responses[[#This Row],[Tôi tin rằng với các quy định quản lý thuế hiện nay, hành vi gian lận hoặc trốn thuế sẽ dễ dàng bị phát hiện và xử lý nghiêm. - HUMAN-ENF1]]</f>
        <v>6</v>
      </c>
      <c r="T243">
        <f t="shared" si="82"/>
        <v>0.55555555555555558</v>
      </c>
      <c r="U243">
        <f>step3_validation[[#This Row],[AI_ENF2]]</f>
        <v>8</v>
      </c>
      <c r="V243">
        <f t="shared" si="83"/>
        <v>0.77777777777777779</v>
      </c>
      <c r="W243">
        <f>survey_responses[[#This Row],[Tôi tin rằng Nhà nước, cơ quan thuế có đủ khả năng và công nghệ để phát hiện, xử lý nghiêm các hành vi trốn thuế. - HUMAN-ENF2]]</f>
        <v>5</v>
      </c>
      <c r="X243">
        <f t="shared" si="84"/>
        <v>0.44444444444444442</v>
      </c>
      <c r="Y243" s="32">
        <f t="shared" si="85"/>
        <v>0.72222222222222221</v>
      </c>
      <c r="Z243" s="32">
        <f t="shared" si="86"/>
        <v>0.5</v>
      </c>
      <c r="AA243">
        <f>step3_validation[[#This Row],[AI_FAC1]]</f>
        <v>9</v>
      </c>
      <c r="AB243">
        <f t="shared" si="87"/>
        <v>0.88888888888888884</v>
      </c>
      <c r="AC243">
        <f>survey_responses[[#This Row],[Các thủ tục khai báo thuế VÀ/HOẶC quy trình làm việc với cơ quan thuế đơn giản, tiện lợi, nhanh chóng hơn so với trước đây. - HUMAN-FAC1]]</f>
        <v>5</v>
      </c>
      <c r="AD243">
        <f t="shared" si="88"/>
        <v>0.44444444444444442</v>
      </c>
      <c r="AE243">
        <f>step3_validation[[#This Row],[AI_FAC2]]</f>
        <v>10</v>
      </c>
      <c r="AF243">
        <f t="shared" si="89"/>
        <v>1</v>
      </c>
      <c r="AG243">
        <f>survey_responses[[#This Row],[So với trước đây, tôi thấy cách tính thuế và các bậc thuế trong phương án mới đơn giản, dễ hiểu và dễ thực hiện hơn. - HUMAN-FAC2]]</f>
        <v>7</v>
      </c>
      <c r="AH243">
        <f t="shared" si="90"/>
        <v>0.66666666666666663</v>
      </c>
      <c r="AI243" s="32">
        <f t="shared" si="91"/>
        <v>0.94444444444444442</v>
      </c>
      <c r="AJ243" s="32">
        <f t="shared" si="92"/>
        <v>0.55555555555555558</v>
      </c>
      <c r="AK243">
        <f>step3_validation[[#This Row],[AI_TRU1]]</f>
        <v>9</v>
      </c>
      <c r="AL243">
        <f t="shared" si="93"/>
        <v>0.88888888888888884</v>
      </c>
      <c r="AM243">
        <f>survey_responses[[#This Row],[Tôi tin rằng Nhà nước, cơ quan thuế sẽ thực thi chính sách mới một cách khách quan, công tâm và đối xử bình đẳng với mọi người nộp thuế.  - HUMAN-TRU1]]</f>
        <v>7</v>
      </c>
      <c r="AN243">
        <f t="shared" si="94"/>
        <v>0.66666666666666663</v>
      </c>
      <c r="AO243">
        <f>step3_validation[[#This Row],[AI_TRU2]]</f>
        <v>8</v>
      </c>
      <c r="AP243">
        <f t="shared" si="95"/>
        <v>0.77777777777777779</v>
      </c>
      <c r="AQ243">
        <f>survey_responses[[#This Row],[Tôi thấy mức thuế tôi phải đóng theo phương án mới là công bằng (người thu nhập như tôi đóng mức này là hợp lý). - HUMAN-TRU2]]</f>
        <v>7</v>
      </c>
      <c r="AR243">
        <f t="shared" si="96"/>
        <v>0.66666666666666663</v>
      </c>
      <c r="AS243">
        <f>step3_validation[[#This Row],[AI_TRU3]]</f>
        <v>9</v>
      </c>
      <c r="AT243">
        <f t="shared" si="97"/>
        <v>0.88888888888888884</v>
      </c>
      <c r="AU243">
        <f>survey_responses[[#This Row],[Tôi tin tưởng số tiền thuế tôi đóng sẽ được Nhà nước sử dụng hiệu quả để cải thiện dịch vụ công (y tế, đường xá...). - HUMAN-TRU3]]</f>
        <v>7</v>
      </c>
      <c r="AV243">
        <f t="shared" si="98"/>
        <v>0.66666666666666663</v>
      </c>
      <c r="AW243">
        <f>step3_validation[[#This Row],[AI_TRU4]]</f>
        <v>7</v>
      </c>
      <c r="AX243">
        <f t="shared" si="99"/>
        <v>0.66666666666666663</v>
      </c>
      <c r="AY243">
        <f>survey_responses[[#This Row],[Tôi thấy Nhà nước đã giải thích rõ ràng, minh bạch về lý do và mục tiêu của việc sửa đổi thuế lần này. - HUMAN-TRU4]]</f>
        <v>8</v>
      </c>
      <c r="AZ243">
        <f t="shared" si="100"/>
        <v>0.77777777777777779</v>
      </c>
      <c r="BA243" s="32">
        <f t="shared" si="101"/>
        <v>0.80555555555555547</v>
      </c>
      <c r="BB243" s="32">
        <f t="shared" si="102"/>
        <v>0.69444444444444442</v>
      </c>
      <c r="BC243" s="7">
        <f t="shared" si="103"/>
        <v>0.82407407407407396</v>
      </c>
      <c r="BD243" s="7">
        <f t="shared" si="104"/>
        <v>0.58333333333333337</v>
      </c>
      <c r="BE243">
        <f>step3_validation[[#This Row],[AI_OUT1]]</f>
        <v>9</v>
      </c>
      <c r="BF243">
        <f t="shared" si="105"/>
        <v>0.88888888888888884</v>
      </c>
      <c r="BG243">
        <f>survey_responses[[#This Row],[Sau khi xem xét các quyền lợi và nghĩa vụ, bạn có ủng hộ và tuân thủ chính sách mới hiện nay? - HUMAN-OUT1]]</f>
        <v>8</v>
      </c>
      <c r="BH243">
        <f t="shared" si="106"/>
        <v>0.77777777777777779</v>
      </c>
      <c r="BI243" s="32">
        <f t="shared" si="107"/>
        <v>1</v>
      </c>
    </row>
    <row r="244" spans="1:61" x14ac:dyDescent="0.45">
      <c r="A244" s="30">
        <f>step3_validation[[#This Row],[Persona_ID]]</f>
        <v>243</v>
      </c>
      <c r="B244" s="31">
        <f>step3_validation[[#This Row],[Used_Seed]]</f>
        <v>243</v>
      </c>
      <c r="C244" t="str">
        <f>step3_validation[[#This Row],[Gender]]</f>
        <v>Nam</v>
      </c>
      <c r="D244" t="str">
        <f>survey_responses[[#This Row],[Giới tính của bạn:]]</f>
        <v>Nam</v>
      </c>
      <c r="E244" t="str">
        <f>step3_validation[[#This Row],[Age_Group]]</f>
        <v>50 - 54</v>
      </c>
      <c r="F244" t="str">
        <f>survey_responses[[#This Row],[Độ tuổi của bạn:]]</f>
        <v>50 - 54</v>
      </c>
      <c r="G244" t="str">
        <f>step3_validation[[#This Row],[Region]]</f>
        <v>Thành thị</v>
      </c>
      <c r="H244" t="str">
        <f>survey_responses[[#This Row],[Khu vực bạn đang sinh sống:]]</f>
        <v>Thành thị</v>
      </c>
      <c r="I244" t="str">
        <f>step3_validation[[#This Row],[Education]]</f>
        <v>Đại học</v>
      </c>
      <c r="J244" t="str">
        <f>survey_responses[[#This Row],[Trình độ học vấn cao nhất:]]</f>
        <v>Đại học</v>
      </c>
      <c r="K244" t="str">
        <f>step3_validation[[#This Row],[Employment]]</f>
        <v>Chính thức</v>
      </c>
      <c r="L244" t="str">
        <f>survey_responses[[#This Row],[Tình trạng việc làm chính:]]</f>
        <v>Khu vực chính thức (Có Hợp đồng lao động, đóng BHXH)</v>
      </c>
      <c r="M244">
        <f>step3_validation[[#This Row],[Income_Mil]]</f>
        <v>84.584914020711025</v>
      </c>
      <c r="N244" t="str">
        <f>survey_responses[[#This Row],[Thu nhập bình quân tháng theo Hợp đồng lao động của bạn là bao nhiêu? (Vui lòng điền tổng thu nhập trước khi khấu trừ các loại Bảo hiểm (BHXH, BHYT, BHTN) và Thuế TNCN)]]</f>
        <v>Từ 70 - 102 triệu VNĐ</v>
      </c>
      <c r="O244">
        <f>step3_validation[[#This Row],[Dependents]]</f>
        <v>2</v>
      </c>
      <c r="P244" t="str">
        <f>survey_responses[[#This Row],[Số người phụ thuộc (con nhỏ, cha mẹ già...) đủ điều kiện giảm trừ gia cảnh:]]</f>
        <v>2 người</v>
      </c>
      <c r="Q244">
        <f>step3_validation[[#This Row],[AI_ENF1]]</f>
        <v>7</v>
      </c>
      <c r="R244">
        <f t="shared" si="81"/>
        <v>0.66666666666666663</v>
      </c>
      <c r="S244">
        <f>survey_responses[[#This Row],[Tôi tin rằng với các quy định quản lý thuế hiện nay, hành vi gian lận hoặc trốn thuế sẽ dễ dàng bị phát hiện và xử lý nghiêm. - HUMAN-ENF1]]</f>
        <v>6</v>
      </c>
      <c r="T244">
        <f t="shared" si="82"/>
        <v>0.55555555555555558</v>
      </c>
      <c r="U244">
        <f>step3_validation[[#This Row],[AI_ENF2]]</f>
        <v>8</v>
      </c>
      <c r="V244">
        <f t="shared" si="83"/>
        <v>0.77777777777777779</v>
      </c>
      <c r="W244">
        <f>survey_responses[[#This Row],[Tôi tin rằng Nhà nước, cơ quan thuế có đủ khả năng và công nghệ để phát hiện, xử lý nghiêm các hành vi trốn thuế. - HUMAN-ENF2]]</f>
        <v>6</v>
      </c>
      <c r="X244">
        <f t="shared" si="84"/>
        <v>0.55555555555555558</v>
      </c>
      <c r="Y244" s="32">
        <f t="shared" si="85"/>
        <v>0.72222222222222221</v>
      </c>
      <c r="Z244" s="32">
        <f t="shared" si="86"/>
        <v>0.55555555555555558</v>
      </c>
      <c r="AA244">
        <f>step3_validation[[#This Row],[AI_FAC1]]</f>
        <v>9</v>
      </c>
      <c r="AB244">
        <f t="shared" si="87"/>
        <v>0.88888888888888884</v>
      </c>
      <c r="AC244">
        <f>survey_responses[[#This Row],[Các thủ tục khai báo thuế VÀ/HOẶC quy trình làm việc với cơ quan thuế đơn giản, tiện lợi, nhanh chóng hơn so với trước đây. - HUMAN-FAC1]]</f>
        <v>6</v>
      </c>
      <c r="AD244">
        <f t="shared" si="88"/>
        <v>0.55555555555555558</v>
      </c>
      <c r="AE244">
        <f>step3_validation[[#This Row],[AI_FAC2]]</f>
        <v>10</v>
      </c>
      <c r="AF244">
        <f t="shared" si="89"/>
        <v>1</v>
      </c>
      <c r="AG244">
        <f>survey_responses[[#This Row],[So với trước đây, tôi thấy cách tính thuế và các bậc thuế trong phương án mới đơn giản, dễ hiểu và dễ thực hiện hơn. - HUMAN-FAC2]]</f>
        <v>6</v>
      </c>
      <c r="AH244">
        <f t="shared" si="90"/>
        <v>0.55555555555555558</v>
      </c>
      <c r="AI244" s="32">
        <f t="shared" si="91"/>
        <v>0.94444444444444442</v>
      </c>
      <c r="AJ244" s="32">
        <f t="shared" si="92"/>
        <v>0.55555555555555558</v>
      </c>
      <c r="AK244">
        <f>step3_validation[[#This Row],[AI_TRU1]]</f>
        <v>6</v>
      </c>
      <c r="AL244">
        <f t="shared" si="93"/>
        <v>0.55555555555555558</v>
      </c>
      <c r="AM244">
        <f>survey_responses[[#This Row],[Tôi tin rằng Nhà nước, cơ quan thuế sẽ thực thi chính sách mới một cách khách quan, công tâm và đối xử bình đẳng với mọi người nộp thuế.  - HUMAN-TRU1]]</f>
        <v>6</v>
      </c>
      <c r="AN244">
        <f t="shared" si="94"/>
        <v>0.55555555555555558</v>
      </c>
      <c r="AO244">
        <f>step3_validation[[#This Row],[AI_TRU2]]</f>
        <v>8</v>
      </c>
      <c r="AP244">
        <f t="shared" si="95"/>
        <v>0.77777777777777779</v>
      </c>
      <c r="AQ244">
        <f>survey_responses[[#This Row],[Tôi thấy mức thuế tôi phải đóng theo phương án mới là công bằng (người thu nhập như tôi đóng mức này là hợp lý). - HUMAN-TRU2]]</f>
        <v>6</v>
      </c>
      <c r="AR244">
        <f t="shared" si="96"/>
        <v>0.55555555555555558</v>
      </c>
      <c r="AS244">
        <f>step3_validation[[#This Row],[AI_TRU3]]</f>
        <v>7</v>
      </c>
      <c r="AT244">
        <f t="shared" si="97"/>
        <v>0.66666666666666663</v>
      </c>
      <c r="AU244">
        <f>survey_responses[[#This Row],[Tôi tin tưởng số tiền thuế tôi đóng sẽ được Nhà nước sử dụng hiệu quả để cải thiện dịch vụ công (y tế, đường xá...). - HUMAN-TRU3]]</f>
        <v>6</v>
      </c>
      <c r="AV244">
        <f t="shared" si="98"/>
        <v>0.55555555555555558</v>
      </c>
      <c r="AW244">
        <f>step3_validation[[#This Row],[AI_TRU4]]</f>
        <v>5</v>
      </c>
      <c r="AX244">
        <f t="shared" si="99"/>
        <v>0.44444444444444442</v>
      </c>
      <c r="AY244">
        <f>survey_responses[[#This Row],[Tôi thấy Nhà nước đã giải thích rõ ràng, minh bạch về lý do và mục tiêu của việc sửa đổi thuế lần này. - HUMAN-TRU4]]</f>
        <v>6</v>
      </c>
      <c r="AZ244">
        <f t="shared" si="100"/>
        <v>0.55555555555555558</v>
      </c>
      <c r="BA244" s="32">
        <f t="shared" si="101"/>
        <v>0.61111111111111116</v>
      </c>
      <c r="BB244" s="32">
        <f t="shared" si="102"/>
        <v>0.55555555555555558</v>
      </c>
      <c r="BC244" s="7">
        <f t="shared" si="103"/>
        <v>0.75925925925925919</v>
      </c>
      <c r="BD244" s="7">
        <f t="shared" si="104"/>
        <v>0.55555555555555558</v>
      </c>
      <c r="BE244">
        <f>step3_validation[[#This Row],[AI_OUT1]]</f>
        <v>8</v>
      </c>
      <c r="BF244">
        <f t="shared" si="105"/>
        <v>0.77777777777777779</v>
      </c>
      <c r="BG244">
        <f>survey_responses[[#This Row],[Sau khi xem xét các quyền lợi và nghĩa vụ, bạn có ủng hộ và tuân thủ chính sách mới hiện nay? - HUMAN-OUT1]]</f>
        <v>6</v>
      </c>
      <c r="BH244">
        <f t="shared" si="106"/>
        <v>0.55555555555555558</v>
      </c>
      <c r="BI244" s="32">
        <f t="shared" si="107"/>
        <v>2</v>
      </c>
    </row>
    <row r="245" spans="1:61" x14ac:dyDescent="0.45">
      <c r="A245" s="30">
        <f>step3_validation[[#This Row],[Persona_ID]]</f>
        <v>244</v>
      </c>
      <c r="B245" s="31">
        <f>step3_validation[[#This Row],[Used_Seed]]</f>
        <v>244</v>
      </c>
      <c r="C245" t="str">
        <f>step3_validation[[#This Row],[Gender]]</f>
        <v>Nữ</v>
      </c>
      <c r="D245" t="str">
        <f>survey_responses[[#This Row],[Giới tính của bạn:]]</f>
        <v>Nữ</v>
      </c>
      <c r="E245" t="str">
        <f>step3_validation[[#This Row],[Age_Group]]</f>
        <v>40 - 49</v>
      </c>
      <c r="F245" t="str">
        <f>survey_responses[[#This Row],[Độ tuổi của bạn:]]</f>
        <v>40 - 49</v>
      </c>
      <c r="G245" t="str">
        <f>step3_validation[[#This Row],[Region]]</f>
        <v>Thành thị</v>
      </c>
      <c r="H245" t="str">
        <f>survey_responses[[#This Row],[Khu vực bạn đang sinh sống:]]</f>
        <v>Thành thị</v>
      </c>
      <c r="I245" t="str">
        <f>step3_validation[[#This Row],[Education]]</f>
        <v>Sau Đại học</v>
      </c>
      <c r="J245" t="str">
        <f>survey_responses[[#This Row],[Trình độ học vấn cao nhất:]]</f>
        <v>Sau Đại học</v>
      </c>
      <c r="K245" t="str">
        <f>step3_validation[[#This Row],[Employment]]</f>
        <v>Chính thức</v>
      </c>
      <c r="L245" t="str">
        <f>survey_responses[[#This Row],[Tình trạng việc làm chính:]]</f>
        <v>Khu vực chính thức (Có Hợp đồng lao động, đóng BHXH)</v>
      </c>
      <c r="M245">
        <f>step3_validation[[#This Row],[Income_Mil]]</f>
        <v>49.935272439762663</v>
      </c>
      <c r="N245" t="str">
        <f>survey_responses[[#This Row],[Thu nhập bình quân tháng theo Hợp đồng lao động của bạn là bao nhiêu? (Vui lòng điền tổng thu nhập trước khi khấu trừ các loại Bảo hiểm (BHXH, BHYT, BHTN) và Thuế TNCN)]]</f>
        <v>Từ 48 - 70 triệu VNĐ</v>
      </c>
      <c r="O245">
        <f>step3_validation[[#This Row],[Dependents]]</f>
        <v>3</v>
      </c>
      <c r="P245" t="str">
        <f>survey_responses[[#This Row],[Số người phụ thuộc (con nhỏ, cha mẹ già...) đủ điều kiện giảm trừ gia cảnh:]]</f>
        <v>3 người</v>
      </c>
      <c r="Q245">
        <f>step3_validation[[#This Row],[AI_ENF1]]</f>
        <v>7</v>
      </c>
      <c r="R245">
        <f t="shared" si="81"/>
        <v>0.66666666666666663</v>
      </c>
      <c r="S245">
        <f>survey_responses[[#This Row],[Tôi tin rằng với các quy định quản lý thuế hiện nay, hành vi gian lận hoặc trốn thuế sẽ dễ dàng bị phát hiện và xử lý nghiêm. - HUMAN-ENF1]]</f>
        <v>7</v>
      </c>
      <c r="T245">
        <f t="shared" si="82"/>
        <v>0.66666666666666663</v>
      </c>
      <c r="U245">
        <f>step3_validation[[#This Row],[AI_ENF2]]</f>
        <v>6</v>
      </c>
      <c r="V245">
        <f t="shared" si="83"/>
        <v>0.55555555555555558</v>
      </c>
      <c r="W245">
        <f>survey_responses[[#This Row],[Tôi tin rằng Nhà nước, cơ quan thuế có đủ khả năng và công nghệ để phát hiện, xử lý nghiêm các hành vi trốn thuế. - HUMAN-ENF2]]</f>
        <v>6</v>
      </c>
      <c r="X245">
        <f t="shared" si="84"/>
        <v>0.55555555555555558</v>
      </c>
      <c r="Y245" s="32">
        <f t="shared" si="85"/>
        <v>0.61111111111111116</v>
      </c>
      <c r="Z245" s="32">
        <f t="shared" si="86"/>
        <v>0.61111111111111116</v>
      </c>
      <c r="AA245">
        <f>step3_validation[[#This Row],[AI_FAC1]]</f>
        <v>9</v>
      </c>
      <c r="AB245">
        <f t="shared" si="87"/>
        <v>0.88888888888888884</v>
      </c>
      <c r="AC245">
        <f>survey_responses[[#This Row],[Các thủ tục khai báo thuế VÀ/HOẶC quy trình làm việc với cơ quan thuế đơn giản, tiện lợi, nhanh chóng hơn so với trước đây. - HUMAN-FAC1]]</f>
        <v>6</v>
      </c>
      <c r="AD245">
        <f t="shared" si="88"/>
        <v>0.55555555555555558</v>
      </c>
      <c r="AE245">
        <f>step3_validation[[#This Row],[AI_FAC2]]</f>
        <v>10</v>
      </c>
      <c r="AF245">
        <f t="shared" si="89"/>
        <v>1</v>
      </c>
      <c r="AG245">
        <f>survey_responses[[#This Row],[So với trước đây, tôi thấy cách tính thuế và các bậc thuế trong phương án mới đơn giản, dễ hiểu và dễ thực hiện hơn. - HUMAN-FAC2]]</f>
        <v>8</v>
      </c>
      <c r="AH245">
        <f t="shared" si="90"/>
        <v>0.77777777777777779</v>
      </c>
      <c r="AI245" s="32">
        <f t="shared" si="91"/>
        <v>0.94444444444444442</v>
      </c>
      <c r="AJ245" s="32">
        <f t="shared" si="92"/>
        <v>0.66666666666666674</v>
      </c>
      <c r="AK245">
        <f>step3_validation[[#This Row],[AI_TRU1]]</f>
        <v>9</v>
      </c>
      <c r="AL245">
        <f t="shared" si="93"/>
        <v>0.88888888888888884</v>
      </c>
      <c r="AM245">
        <f>survey_responses[[#This Row],[Tôi tin rằng Nhà nước, cơ quan thuế sẽ thực thi chính sách mới một cách khách quan, công tâm và đối xử bình đẳng với mọi người nộp thuế.  - HUMAN-TRU1]]</f>
        <v>6</v>
      </c>
      <c r="AN245">
        <f t="shared" si="94"/>
        <v>0.55555555555555558</v>
      </c>
      <c r="AO245">
        <f>step3_validation[[#This Row],[AI_TRU2]]</f>
        <v>8</v>
      </c>
      <c r="AP245">
        <f t="shared" si="95"/>
        <v>0.77777777777777779</v>
      </c>
      <c r="AQ245">
        <f>survey_responses[[#This Row],[Tôi thấy mức thuế tôi phải đóng theo phương án mới là công bằng (người thu nhập như tôi đóng mức này là hợp lý). - HUMAN-TRU2]]</f>
        <v>6</v>
      </c>
      <c r="AR245">
        <f t="shared" si="96"/>
        <v>0.55555555555555558</v>
      </c>
      <c r="AS245">
        <f>step3_validation[[#This Row],[AI_TRU3]]</f>
        <v>9</v>
      </c>
      <c r="AT245">
        <f t="shared" si="97"/>
        <v>0.88888888888888884</v>
      </c>
      <c r="AU245">
        <f>survey_responses[[#This Row],[Tôi tin tưởng số tiền thuế tôi đóng sẽ được Nhà nước sử dụng hiệu quả để cải thiện dịch vụ công (y tế, đường xá...). - HUMAN-TRU3]]</f>
        <v>6</v>
      </c>
      <c r="AV245">
        <f t="shared" si="98"/>
        <v>0.55555555555555558</v>
      </c>
      <c r="AW245">
        <f>step3_validation[[#This Row],[AI_TRU4]]</f>
        <v>8</v>
      </c>
      <c r="AX245">
        <f t="shared" si="99"/>
        <v>0.77777777777777779</v>
      </c>
      <c r="AY245">
        <f>survey_responses[[#This Row],[Tôi thấy Nhà nước đã giải thích rõ ràng, minh bạch về lý do và mục tiêu của việc sửa đổi thuế lần này. - HUMAN-TRU4]]</f>
        <v>6</v>
      </c>
      <c r="AZ245">
        <f t="shared" si="100"/>
        <v>0.55555555555555558</v>
      </c>
      <c r="BA245" s="32">
        <f t="shared" si="101"/>
        <v>0.83333333333333326</v>
      </c>
      <c r="BB245" s="32">
        <f t="shared" si="102"/>
        <v>0.55555555555555558</v>
      </c>
      <c r="BC245" s="7">
        <f t="shared" si="103"/>
        <v>0.79629629629629628</v>
      </c>
      <c r="BD245" s="7">
        <f t="shared" si="104"/>
        <v>0.61111111111111116</v>
      </c>
      <c r="BE245">
        <f>step3_validation[[#This Row],[AI_OUT1]]</f>
        <v>9</v>
      </c>
      <c r="BF245">
        <f t="shared" si="105"/>
        <v>0.88888888888888884</v>
      </c>
      <c r="BG245">
        <f>survey_responses[[#This Row],[Sau khi xem xét các quyền lợi và nghĩa vụ, bạn có ủng hộ và tuân thủ chính sách mới hiện nay? - HUMAN-OUT1]]</f>
        <v>6</v>
      </c>
      <c r="BH245">
        <f t="shared" si="106"/>
        <v>0.55555555555555558</v>
      </c>
      <c r="BI245" s="32">
        <f t="shared" si="107"/>
        <v>3</v>
      </c>
    </row>
    <row r="246" spans="1:61" x14ac:dyDescent="0.45">
      <c r="A246" s="30">
        <f>step3_validation[[#This Row],[Persona_ID]]</f>
        <v>245</v>
      </c>
      <c r="B246" s="31">
        <f>step3_validation[[#This Row],[Used_Seed]]</f>
        <v>245</v>
      </c>
      <c r="C246" t="str">
        <f>step3_validation[[#This Row],[Gender]]</f>
        <v>Nam</v>
      </c>
      <c r="D246" t="str">
        <f>survey_responses[[#This Row],[Giới tính của bạn:]]</f>
        <v>Nam</v>
      </c>
      <c r="E246" t="str">
        <f>step3_validation[[#This Row],[Age_Group]]</f>
        <v>40 - 49</v>
      </c>
      <c r="F246" t="str">
        <f>survey_responses[[#This Row],[Độ tuổi của bạn:]]</f>
        <v>40 - 49</v>
      </c>
      <c r="G246" t="str">
        <f>step3_validation[[#This Row],[Region]]</f>
        <v>Thành thị</v>
      </c>
      <c r="H246" t="str">
        <f>survey_responses[[#This Row],[Khu vực bạn đang sinh sống:]]</f>
        <v>Thành thị</v>
      </c>
      <c r="I246" t="str">
        <f>step3_validation[[#This Row],[Education]]</f>
        <v>Sau Đại học</v>
      </c>
      <c r="J246" t="str">
        <f>survey_responses[[#This Row],[Trình độ học vấn cao nhất:]]</f>
        <v>Sau Đại học</v>
      </c>
      <c r="K246" t="str">
        <f>step3_validation[[#This Row],[Employment]]</f>
        <v>Chính thức</v>
      </c>
      <c r="L246" t="str">
        <f>survey_responses[[#This Row],[Tình trạng việc làm chính:]]</f>
        <v>Khu vực chính thức (Có Hợp đồng lao động, đóng BHXH)</v>
      </c>
      <c r="M246">
        <f>step3_validation[[#This Row],[Income_Mil]]</f>
        <v>162.31476821611571</v>
      </c>
      <c r="N246" t="str">
        <f>survey_responses[[#This Row],[Thu nhập bình quân tháng theo Hợp đồng lao động của bạn là bao nhiêu? (Vui lòng điền tổng thu nhập trước khi khấu trừ các loại Bảo hiểm (BHXH, BHYT, BHTN) và Thuế TNCN)]]</f>
        <v>Trên 102 triệu VNĐ</v>
      </c>
      <c r="O246">
        <f>step3_validation[[#This Row],[Dependents]]</f>
        <v>0</v>
      </c>
      <c r="P246" t="str">
        <f>survey_responses[[#This Row],[Số người phụ thuộc (con nhỏ, cha mẹ già...) đủ điều kiện giảm trừ gia cảnh:]]</f>
        <v>0 người</v>
      </c>
      <c r="Q246">
        <f>step3_validation[[#This Row],[AI_ENF1]]</f>
        <v>6</v>
      </c>
      <c r="R246">
        <f t="shared" si="81"/>
        <v>0.55555555555555558</v>
      </c>
      <c r="S246">
        <f>survey_responses[[#This Row],[Tôi tin rằng với các quy định quản lý thuế hiện nay, hành vi gian lận hoặc trốn thuế sẽ dễ dàng bị phát hiện và xử lý nghiêm. - HUMAN-ENF1]]</f>
        <v>4</v>
      </c>
      <c r="T246">
        <f t="shared" si="82"/>
        <v>0.33333333333333331</v>
      </c>
      <c r="U246">
        <f>step3_validation[[#This Row],[AI_ENF2]]</f>
        <v>8</v>
      </c>
      <c r="V246">
        <f t="shared" si="83"/>
        <v>0.77777777777777779</v>
      </c>
      <c r="W246">
        <f>survey_responses[[#This Row],[Tôi tin rằng Nhà nước, cơ quan thuế có đủ khả năng và công nghệ để phát hiện, xử lý nghiêm các hành vi trốn thuế. - HUMAN-ENF2]]</f>
        <v>4</v>
      </c>
      <c r="X246">
        <f t="shared" si="84"/>
        <v>0.33333333333333331</v>
      </c>
      <c r="Y246" s="32">
        <f t="shared" si="85"/>
        <v>0.66666666666666674</v>
      </c>
      <c r="Z246" s="32">
        <f t="shared" si="86"/>
        <v>0.33333333333333331</v>
      </c>
      <c r="AA246">
        <f>step3_validation[[#This Row],[AI_FAC1]]</f>
        <v>7</v>
      </c>
      <c r="AB246">
        <f t="shared" si="87"/>
        <v>0.66666666666666663</v>
      </c>
      <c r="AC246">
        <f>survey_responses[[#This Row],[Các thủ tục khai báo thuế VÀ/HOẶC quy trình làm việc với cơ quan thuế đơn giản, tiện lợi, nhanh chóng hơn so với trước đây. - HUMAN-FAC1]]</f>
        <v>1</v>
      </c>
      <c r="AD246">
        <f t="shared" si="88"/>
        <v>0</v>
      </c>
      <c r="AE246">
        <f>step3_validation[[#This Row],[AI_FAC2]]</f>
        <v>8</v>
      </c>
      <c r="AF246">
        <f t="shared" si="89"/>
        <v>0.77777777777777779</v>
      </c>
      <c r="AG246">
        <f>survey_responses[[#This Row],[So với trước đây, tôi thấy cách tính thuế và các bậc thuế trong phương án mới đơn giản, dễ hiểu và dễ thực hiện hơn. - HUMAN-FAC2]]</f>
        <v>4</v>
      </c>
      <c r="AH246">
        <f t="shared" si="90"/>
        <v>0.33333333333333331</v>
      </c>
      <c r="AI246" s="32">
        <f t="shared" si="91"/>
        <v>0.72222222222222221</v>
      </c>
      <c r="AJ246" s="32">
        <f t="shared" si="92"/>
        <v>0.16666666666666666</v>
      </c>
      <c r="AK246">
        <f>step3_validation[[#This Row],[AI_TRU1]]</f>
        <v>7</v>
      </c>
      <c r="AL246">
        <f t="shared" si="93"/>
        <v>0.66666666666666663</v>
      </c>
      <c r="AM246">
        <f>survey_responses[[#This Row],[Tôi tin rằng Nhà nước, cơ quan thuế sẽ thực thi chính sách mới một cách khách quan, công tâm và đối xử bình đẳng với mọi người nộp thuế.  - HUMAN-TRU1]]</f>
        <v>4</v>
      </c>
      <c r="AN246">
        <f t="shared" si="94"/>
        <v>0.33333333333333331</v>
      </c>
      <c r="AO246">
        <f>step3_validation[[#This Row],[AI_TRU2]]</f>
        <v>8</v>
      </c>
      <c r="AP246">
        <f t="shared" si="95"/>
        <v>0.77777777777777779</v>
      </c>
      <c r="AQ246">
        <f>survey_responses[[#This Row],[Tôi thấy mức thuế tôi phải đóng theo phương án mới là công bằng (người thu nhập như tôi đóng mức này là hợp lý). - HUMAN-TRU2]]</f>
        <v>4</v>
      </c>
      <c r="AR246">
        <f t="shared" si="96"/>
        <v>0.33333333333333331</v>
      </c>
      <c r="AS246">
        <f>step3_validation[[#This Row],[AI_TRU3]]</f>
        <v>7</v>
      </c>
      <c r="AT246">
        <f t="shared" si="97"/>
        <v>0.66666666666666663</v>
      </c>
      <c r="AU246">
        <f>survey_responses[[#This Row],[Tôi tin tưởng số tiền thuế tôi đóng sẽ được Nhà nước sử dụng hiệu quả để cải thiện dịch vụ công (y tế, đường xá...). - HUMAN-TRU3]]</f>
        <v>5</v>
      </c>
      <c r="AV246">
        <f t="shared" si="98"/>
        <v>0.44444444444444442</v>
      </c>
      <c r="AW246">
        <f>step3_validation[[#This Row],[AI_TRU4]]</f>
        <v>6</v>
      </c>
      <c r="AX246">
        <f t="shared" si="99"/>
        <v>0.55555555555555558</v>
      </c>
      <c r="AY246">
        <f>survey_responses[[#This Row],[Tôi thấy Nhà nước đã giải thích rõ ràng, minh bạch về lý do và mục tiêu của việc sửa đổi thuế lần này. - HUMAN-TRU4]]</f>
        <v>5</v>
      </c>
      <c r="AZ246">
        <f t="shared" si="100"/>
        <v>0.44444444444444442</v>
      </c>
      <c r="BA246" s="32">
        <f t="shared" si="101"/>
        <v>0.66666666666666674</v>
      </c>
      <c r="BB246" s="32">
        <f t="shared" si="102"/>
        <v>0.3888888888888889</v>
      </c>
      <c r="BC246" s="7">
        <f t="shared" si="103"/>
        <v>0.68518518518518512</v>
      </c>
      <c r="BD246" s="7">
        <f t="shared" si="104"/>
        <v>0.29629629629629628</v>
      </c>
      <c r="BE246">
        <f>step3_validation[[#This Row],[AI_OUT1]]</f>
        <v>9</v>
      </c>
      <c r="BF246">
        <f t="shared" si="105"/>
        <v>0.88888888888888884</v>
      </c>
      <c r="BG246">
        <f>survey_responses[[#This Row],[Sau khi xem xét các quyền lợi và nghĩa vụ, bạn có ủng hộ và tuân thủ chính sách mới hiện nay? - HUMAN-OUT1]]</f>
        <v>5</v>
      </c>
      <c r="BH246">
        <f t="shared" si="106"/>
        <v>0.44444444444444442</v>
      </c>
      <c r="BI246" s="32">
        <f t="shared" si="107"/>
        <v>4</v>
      </c>
    </row>
    <row r="247" spans="1:61" x14ac:dyDescent="0.45">
      <c r="A247" s="30">
        <f>step3_validation[[#This Row],[Persona_ID]]</f>
        <v>246</v>
      </c>
      <c r="B247" s="31">
        <f>step3_validation[[#This Row],[Used_Seed]]</f>
        <v>246</v>
      </c>
      <c r="C247" t="str">
        <f>step3_validation[[#This Row],[Gender]]</f>
        <v>Nam</v>
      </c>
      <c r="D247" t="str">
        <f>survey_responses[[#This Row],[Giới tính của bạn:]]</f>
        <v>Nam</v>
      </c>
      <c r="E247" t="str">
        <f>step3_validation[[#This Row],[Age_Group]]</f>
        <v>30 - 39</v>
      </c>
      <c r="F247" t="str">
        <f>survey_responses[[#This Row],[Độ tuổi của bạn:]]</f>
        <v>30 - 39</v>
      </c>
      <c r="G247" t="str">
        <f>step3_validation[[#This Row],[Region]]</f>
        <v>Thành thị</v>
      </c>
      <c r="H247" t="str">
        <f>survey_responses[[#This Row],[Khu vực bạn đang sinh sống:]]</f>
        <v>Thành thị</v>
      </c>
      <c r="I247" t="str">
        <f>step3_validation[[#This Row],[Education]]</f>
        <v>Đại học</v>
      </c>
      <c r="J247" t="str">
        <f>survey_responses[[#This Row],[Trình độ học vấn cao nhất:]]</f>
        <v>Đại học</v>
      </c>
      <c r="K247" t="str">
        <f>step3_validation[[#This Row],[Employment]]</f>
        <v>Chính thức</v>
      </c>
      <c r="L247" t="str">
        <f>survey_responses[[#This Row],[Tình trạng việc làm chính:]]</f>
        <v>Khu vực chính thức (Có Hợp đồng lao động, đóng BHXH)</v>
      </c>
      <c r="M247">
        <f>step3_validation[[#This Row],[Income_Mil]]</f>
        <v>25.019283739312534</v>
      </c>
      <c r="N247" t="str">
        <f>survey_responses[[#This Row],[Thu nhập bình quân tháng theo Hợp đồng lao động của bạn là bao nhiêu? (Vui lòng điền tổng thu nhập trước khi khấu trừ các loại Bảo hiểm (BHXH, BHYT, BHTN) và Thuế TNCN)]]</f>
        <v>Từ 23 - 32 triệu VNĐ</v>
      </c>
      <c r="O247">
        <f>step3_validation[[#This Row],[Dependents]]</f>
        <v>0</v>
      </c>
      <c r="P247" t="str">
        <f>survey_responses[[#This Row],[Số người phụ thuộc (con nhỏ, cha mẹ già...) đủ điều kiện giảm trừ gia cảnh:]]</f>
        <v>0 người</v>
      </c>
      <c r="Q247">
        <f>step3_validation[[#This Row],[AI_ENF1]]</f>
        <v>7</v>
      </c>
      <c r="R247">
        <f t="shared" si="81"/>
        <v>0.66666666666666663</v>
      </c>
      <c r="S247">
        <f>survey_responses[[#This Row],[Tôi tin rằng với các quy định quản lý thuế hiện nay, hành vi gian lận hoặc trốn thuế sẽ dễ dàng bị phát hiện và xử lý nghiêm. - HUMAN-ENF1]]</f>
        <v>6</v>
      </c>
      <c r="T247">
        <f t="shared" si="82"/>
        <v>0.55555555555555558</v>
      </c>
      <c r="U247">
        <f>step3_validation[[#This Row],[AI_ENF2]]</f>
        <v>8</v>
      </c>
      <c r="V247">
        <f t="shared" si="83"/>
        <v>0.77777777777777779</v>
      </c>
      <c r="W247">
        <f>survey_responses[[#This Row],[Tôi tin rằng Nhà nước, cơ quan thuế có đủ khả năng và công nghệ để phát hiện, xử lý nghiêm các hành vi trốn thuế. - HUMAN-ENF2]]</f>
        <v>7</v>
      </c>
      <c r="X247">
        <f t="shared" si="84"/>
        <v>0.66666666666666663</v>
      </c>
      <c r="Y247" s="32">
        <f t="shared" si="85"/>
        <v>0.72222222222222221</v>
      </c>
      <c r="Z247" s="32">
        <f t="shared" si="86"/>
        <v>0.61111111111111116</v>
      </c>
      <c r="AA247">
        <f>step3_validation[[#This Row],[AI_FAC1]]</f>
        <v>9</v>
      </c>
      <c r="AB247">
        <f t="shared" si="87"/>
        <v>0.88888888888888884</v>
      </c>
      <c r="AC247">
        <f>survey_responses[[#This Row],[Các thủ tục khai báo thuế VÀ/HOẶC quy trình làm việc với cơ quan thuế đơn giản, tiện lợi, nhanh chóng hơn so với trước đây. - HUMAN-FAC1]]</f>
        <v>7</v>
      </c>
      <c r="AD247">
        <f t="shared" si="88"/>
        <v>0.66666666666666663</v>
      </c>
      <c r="AE247">
        <f>step3_validation[[#This Row],[AI_FAC2]]</f>
        <v>10</v>
      </c>
      <c r="AF247">
        <f t="shared" si="89"/>
        <v>1</v>
      </c>
      <c r="AG247">
        <f>survey_responses[[#This Row],[So với trước đây, tôi thấy cách tính thuế và các bậc thuế trong phương án mới đơn giản, dễ hiểu và dễ thực hiện hơn. - HUMAN-FAC2]]</f>
        <v>7</v>
      </c>
      <c r="AH247">
        <f t="shared" si="90"/>
        <v>0.66666666666666663</v>
      </c>
      <c r="AI247" s="32">
        <f t="shared" si="91"/>
        <v>0.94444444444444442</v>
      </c>
      <c r="AJ247" s="32">
        <f t="shared" si="92"/>
        <v>0.66666666666666663</v>
      </c>
      <c r="AK247">
        <f>step3_validation[[#This Row],[AI_TRU1]]</f>
        <v>9</v>
      </c>
      <c r="AL247">
        <f t="shared" si="93"/>
        <v>0.88888888888888884</v>
      </c>
      <c r="AM247">
        <f>survey_responses[[#This Row],[Tôi tin rằng Nhà nước, cơ quan thuế sẽ thực thi chính sách mới một cách khách quan, công tâm và đối xử bình đẳng với mọi người nộp thuế.  - HUMAN-TRU1]]</f>
        <v>7</v>
      </c>
      <c r="AN247">
        <f t="shared" si="94"/>
        <v>0.66666666666666663</v>
      </c>
      <c r="AO247">
        <f>step3_validation[[#This Row],[AI_TRU2]]</f>
        <v>9</v>
      </c>
      <c r="AP247">
        <f t="shared" si="95"/>
        <v>0.88888888888888884</v>
      </c>
      <c r="AQ247">
        <f>survey_responses[[#This Row],[Tôi thấy mức thuế tôi phải đóng theo phương án mới là công bằng (người thu nhập như tôi đóng mức này là hợp lý). - HUMAN-TRU2]]</f>
        <v>7</v>
      </c>
      <c r="AR247">
        <f t="shared" si="96"/>
        <v>0.66666666666666663</v>
      </c>
      <c r="AS247">
        <f>step3_validation[[#This Row],[AI_TRU3]]</f>
        <v>7</v>
      </c>
      <c r="AT247">
        <f t="shared" si="97"/>
        <v>0.66666666666666663</v>
      </c>
      <c r="AU247">
        <f>survey_responses[[#This Row],[Tôi tin tưởng số tiền thuế tôi đóng sẽ được Nhà nước sử dụng hiệu quả để cải thiện dịch vụ công (y tế, đường xá...). - HUMAN-TRU3]]</f>
        <v>7</v>
      </c>
      <c r="AV247">
        <f t="shared" si="98"/>
        <v>0.66666666666666663</v>
      </c>
      <c r="AW247">
        <f>step3_validation[[#This Row],[AI_TRU4]]</f>
        <v>8</v>
      </c>
      <c r="AX247">
        <f t="shared" si="99"/>
        <v>0.77777777777777779</v>
      </c>
      <c r="AY247">
        <f>survey_responses[[#This Row],[Tôi thấy Nhà nước đã giải thích rõ ràng, minh bạch về lý do và mục tiêu của việc sửa đổi thuế lần này. - HUMAN-TRU4]]</f>
        <v>7</v>
      </c>
      <c r="AZ247">
        <f t="shared" si="100"/>
        <v>0.66666666666666663</v>
      </c>
      <c r="BA247" s="32">
        <f t="shared" si="101"/>
        <v>0.80555555555555547</v>
      </c>
      <c r="BB247" s="32">
        <f t="shared" si="102"/>
        <v>0.66666666666666663</v>
      </c>
      <c r="BC247" s="7">
        <f t="shared" si="103"/>
        <v>0.82407407407407396</v>
      </c>
      <c r="BD247" s="7">
        <f t="shared" si="104"/>
        <v>0.64814814814814803</v>
      </c>
      <c r="BE247">
        <f>step3_validation[[#This Row],[AI_OUT1]]</f>
        <v>9</v>
      </c>
      <c r="BF247">
        <f t="shared" si="105"/>
        <v>0.88888888888888884</v>
      </c>
      <c r="BG247">
        <f>survey_responses[[#This Row],[Sau khi xem xét các quyền lợi và nghĩa vụ, bạn có ủng hộ và tuân thủ chính sách mới hiện nay? - HUMAN-OUT1]]</f>
        <v>7</v>
      </c>
      <c r="BH247">
        <f t="shared" si="106"/>
        <v>0.66666666666666663</v>
      </c>
      <c r="BI247" s="32">
        <f t="shared" si="107"/>
        <v>2</v>
      </c>
    </row>
    <row r="248" spans="1:61" x14ac:dyDescent="0.45">
      <c r="A248" s="30">
        <f>step3_validation[[#This Row],[Persona_ID]]</f>
        <v>247</v>
      </c>
      <c r="B248" s="31">
        <f>step3_validation[[#This Row],[Used_Seed]]</f>
        <v>247</v>
      </c>
      <c r="C248" t="str">
        <f>step3_validation[[#This Row],[Gender]]</f>
        <v>Nữ</v>
      </c>
      <c r="D248" t="str">
        <f>survey_responses[[#This Row],[Giới tính của bạn:]]</f>
        <v>Nữ</v>
      </c>
      <c r="E248" t="str">
        <f>step3_validation[[#This Row],[Age_Group]]</f>
        <v>50 - 54</v>
      </c>
      <c r="F248" t="str">
        <f>survey_responses[[#This Row],[Độ tuổi của bạn:]]</f>
        <v>50 - 54</v>
      </c>
      <c r="G248" t="str">
        <f>step3_validation[[#This Row],[Region]]</f>
        <v>Thành thị</v>
      </c>
      <c r="H248" t="str">
        <f>survey_responses[[#This Row],[Khu vực bạn đang sinh sống:]]</f>
        <v>Thành thị</v>
      </c>
      <c r="I248" t="str">
        <f>step3_validation[[#This Row],[Education]]</f>
        <v>Sau Đại học</v>
      </c>
      <c r="J248" t="str">
        <f>survey_responses[[#This Row],[Trình độ học vấn cao nhất:]]</f>
        <v>Sau Đại học</v>
      </c>
      <c r="K248" t="str">
        <f>step3_validation[[#This Row],[Employment]]</f>
        <v>Chính thức</v>
      </c>
      <c r="L248" t="str">
        <f>survey_responses[[#This Row],[Tình trạng việc làm chính:]]</f>
        <v>Khu vực chính thức (Có Hợp đồng lao động, đóng BHXH)</v>
      </c>
      <c r="M248">
        <f>step3_validation[[#This Row],[Income_Mil]]</f>
        <v>63.930872936395865</v>
      </c>
      <c r="N248" t="str">
        <f>survey_responses[[#This Row],[Thu nhập bình quân tháng theo Hợp đồng lao động của bạn là bao nhiêu? (Vui lòng điền tổng thu nhập trước khi khấu trừ các loại Bảo hiểm (BHXH, BHYT, BHTN) và Thuế TNCN)]]</f>
        <v>Từ 48 - 70 triệu VNĐ</v>
      </c>
      <c r="O248">
        <f>step3_validation[[#This Row],[Dependents]]</f>
        <v>4</v>
      </c>
      <c r="P248" t="str">
        <f>survey_responses[[#This Row],[Số người phụ thuộc (con nhỏ, cha mẹ già...) đủ điều kiện giảm trừ gia cảnh:]]</f>
        <v>4 người trở lên</v>
      </c>
      <c r="Q248">
        <f>step3_validation[[#This Row],[AI_ENF1]]</f>
        <v>7</v>
      </c>
      <c r="R248">
        <f t="shared" si="81"/>
        <v>0.66666666666666663</v>
      </c>
      <c r="S248">
        <f>survey_responses[[#This Row],[Tôi tin rằng với các quy định quản lý thuế hiện nay, hành vi gian lận hoặc trốn thuế sẽ dễ dàng bị phát hiện và xử lý nghiêm. - HUMAN-ENF1]]</f>
        <v>8</v>
      </c>
      <c r="T248">
        <f t="shared" si="82"/>
        <v>0.77777777777777779</v>
      </c>
      <c r="U248">
        <f>step3_validation[[#This Row],[AI_ENF2]]</f>
        <v>6</v>
      </c>
      <c r="V248">
        <f t="shared" si="83"/>
        <v>0.55555555555555558</v>
      </c>
      <c r="W248">
        <f>survey_responses[[#This Row],[Tôi tin rằng Nhà nước, cơ quan thuế có đủ khả năng và công nghệ để phát hiện, xử lý nghiêm các hành vi trốn thuế. - HUMAN-ENF2]]</f>
        <v>8</v>
      </c>
      <c r="X248">
        <f t="shared" si="84"/>
        <v>0.77777777777777779</v>
      </c>
      <c r="Y248" s="32">
        <f t="shared" si="85"/>
        <v>0.61111111111111116</v>
      </c>
      <c r="Z248" s="32">
        <f t="shared" si="86"/>
        <v>0.77777777777777779</v>
      </c>
      <c r="AA248">
        <f>step3_validation[[#This Row],[AI_FAC1]]</f>
        <v>8</v>
      </c>
      <c r="AB248">
        <f t="shared" si="87"/>
        <v>0.77777777777777779</v>
      </c>
      <c r="AC248">
        <f>survey_responses[[#This Row],[Các thủ tục khai báo thuế VÀ/HOẶC quy trình làm việc với cơ quan thuế đơn giản, tiện lợi, nhanh chóng hơn so với trước đây. - HUMAN-FAC1]]</f>
        <v>8</v>
      </c>
      <c r="AD248">
        <f t="shared" si="88"/>
        <v>0.77777777777777779</v>
      </c>
      <c r="AE248">
        <f>step3_validation[[#This Row],[AI_FAC2]]</f>
        <v>9</v>
      </c>
      <c r="AF248">
        <f t="shared" si="89"/>
        <v>0.88888888888888884</v>
      </c>
      <c r="AG248">
        <f>survey_responses[[#This Row],[So với trước đây, tôi thấy cách tính thuế và các bậc thuế trong phương án mới đơn giản, dễ hiểu và dễ thực hiện hơn. - HUMAN-FAC2]]</f>
        <v>8</v>
      </c>
      <c r="AH248">
        <f t="shared" si="90"/>
        <v>0.77777777777777779</v>
      </c>
      <c r="AI248" s="32">
        <f t="shared" si="91"/>
        <v>0.83333333333333326</v>
      </c>
      <c r="AJ248" s="32">
        <f t="shared" si="92"/>
        <v>0.77777777777777779</v>
      </c>
      <c r="AK248">
        <f>step3_validation[[#This Row],[AI_TRU1]]</f>
        <v>7</v>
      </c>
      <c r="AL248">
        <f t="shared" si="93"/>
        <v>0.66666666666666663</v>
      </c>
      <c r="AM248">
        <f>survey_responses[[#This Row],[Tôi tin rằng Nhà nước, cơ quan thuế sẽ thực thi chính sách mới một cách khách quan, công tâm và đối xử bình đẳng với mọi người nộp thuế.  - HUMAN-TRU1]]</f>
        <v>8</v>
      </c>
      <c r="AN248">
        <f t="shared" si="94"/>
        <v>0.77777777777777779</v>
      </c>
      <c r="AO248">
        <f>step3_validation[[#This Row],[AI_TRU2]]</f>
        <v>9</v>
      </c>
      <c r="AP248">
        <f t="shared" si="95"/>
        <v>0.88888888888888884</v>
      </c>
      <c r="AQ248">
        <f>survey_responses[[#This Row],[Tôi thấy mức thuế tôi phải đóng theo phương án mới là công bằng (người thu nhập như tôi đóng mức này là hợp lý). - HUMAN-TRU2]]</f>
        <v>8</v>
      </c>
      <c r="AR248">
        <f t="shared" si="96"/>
        <v>0.77777777777777779</v>
      </c>
      <c r="AS248">
        <f>step3_validation[[#This Row],[AI_TRU3]]</f>
        <v>7</v>
      </c>
      <c r="AT248">
        <f t="shared" si="97"/>
        <v>0.66666666666666663</v>
      </c>
      <c r="AU248">
        <f>survey_responses[[#This Row],[Tôi tin tưởng số tiền thuế tôi đóng sẽ được Nhà nước sử dụng hiệu quả để cải thiện dịch vụ công (y tế, đường xá...). - HUMAN-TRU3]]</f>
        <v>8</v>
      </c>
      <c r="AV248">
        <f t="shared" si="98"/>
        <v>0.77777777777777779</v>
      </c>
      <c r="AW248">
        <f>step3_validation[[#This Row],[AI_TRU4]]</f>
        <v>8</v>
      </c>
      <c r="AX248">
        <f t="shared" si="99"/>
        <v>0.77777777777777779</v>
      </c>
      <c r="AY248">
        <f>survey_responses[[#This Row],[Tôi thấy Nhà nước đã giải thích rõ ràng, minh bạch về lý do và mục tiêu của việc sửa đổi thuế lần này. - HUMAN-TRU4]]</f>
        <v>8</v>
      </c>
      <c r="AZ248">
        <f t="shared" si="100"/>
        <v>0.77777777777777779</v>
      </c>
      <c r="BA248" s="32">
        <f t="shared" si="101"/>
        <v>0.74999999999999989</v>
      </c>
      <c r="BB248" s="32">
        <f t="shared" si="102"/>
        <v>0.77777777777777779</v>
      </c>
      <c r="BC248" s="7">
        <f t="shared" si="103"/>
        <v>0.7314814814814814</v>
      </c>
      <c r="BD248" s="7">
        <f t="shared" si="104"/>
        <v>0.77777777777777779</v>
      </c>
      <c r="BE248">
        <f>step3_validation[[#This Row],[AI_OUT1]]</f>
        <v>7</v>
      </c>
      <c r="BF248">
        <f t="shared" si="105"/>
        <v>0.66666666666666663</v>
      </c>
      <c r="BG248">
        <f>survey_responses[[#This Row],[Sau khi xem xét các quyền lợi và nghĩa vụ, bạn có ủng hộ và tuân thủ chính sách mới hiện nay? - HUMAN-OUT1]]</f>
        <v>8</v>
      </c>
      <c r="BH248">
        <f t="shared" si="106"/>
        <v>0.77777777777777779</v>
      </c>
      <c r="BI248" s="32">
        <f t="shared" si="107"/>
        <v>1</v>
      </c>
    </row>
    <row r="249" spans="1:61" x14ac:dyDescent="0.45">
      <c r="A249" s="30">
        <f>step3_validation[[#This Row],[Persona_ID]]</f>
        <v>248</v>
      </c>
      <c r="B249" s="31">
        <f>step3_validation[[#This Row],[Used_Seed]]</f>
        <v>248</v>
      </c>
      <c r="C249" t="str">
        <f>step3_validation[[#This Row],[Gender]]</f>
        <v>Nữ</v>
      </c>
      <c r="D249" t="str">
        <f>survey_responses[[#This Row],[Giới tính của bạn:]]</f>
        <v>Nữ</v>
      </c>
      <c r="E249" t="str">
        <f>step3_validation[[#This Row],[Age_Group]]</f>
        <v>40 - 49</v>
      </c>
      <c r="F249" t="str">
        <f>survey_responses[[#This Row],[Độ tuổi của bạn:]]</f>
        <v>40 - 49</v>
      </c>
      <c r="G249" t="str">
        <f>step3_validation[[#This Row],[Region]]</f>
        <v>Thành thị</v>
      </c>
      <c r="H249" t="str">
        <f>survey_responses[[#This Row],[Khu vực bạn đang sinh sống:]]</f>
        <v>Thành thị</v>
      </c>
      <c r="I249" t="str">
        <f>step3_validation[[#This Row],[Education]]</f>
        <v>Đại học</v>
      </c>
      <c r="J249" t="str">
        <f>survey_responses[[#This Row],[Trình độ học vấn cao nhất:]]</f>
        <v>Đại học</v>
      </c>
      <c r="K249" t="str">
        <f>step3_validation[[#This Row],[Employment]]</f>
        <v>Chính thức</v>
      </c>
      <c r="L249" t="str">
        <f>survey_responses[[#This Row],[Tình trạng việc làm chính:]]</f>
        <v>Khu vực chính thức (Có Hợp đồng lao động, đóng BHXH)</v>
      </c>
      <c r="M249">
        <f>step3_validation[[#This Row],[Income_Mil]]</f>
        <v>41.805944185442748</v>
      </c>
      <c r="N249" t="str">
        <f>survey_responses[[#This Row],[Thu nhập bình quân tháng theo Hợp đồng lao động của bạn là bao nhiêu? (Vui lòng điền tổng thu nhập trước khi khấu trừ các loại Bảo hiểm (BHXH, BHYT, BHTN) và Thuế TNCN)]]</f>
        <v>Từ 32 - 48 triệu VNĐ</v>
      </c>
      <c r="O249">
        <f>step3_validation[[#This Row],[Dependents]]</f>
        <v>1</v>
      </c>
      <c r="P249" t="str">
        <f>survey_responses[[#This Row],[Số người phụ thuộc (con nhỏ, cha mẹ già...) đủ điều kiện giảm trừ gia cảnh:]]</f>
        <v>1 người</v>
      </c>
      <c r="Q249">
        <f>step3_validation[[#This Row],[AI_ENF1]]</f>
        <v>7</v>
      </c>
      <c r="R249">
        <f t="shared" si="81"/>
        <v>0.66666666666666663</v>
      </c>
      <c r="S249">
        <f>survey_responses[[#This Row],[Tôi tin rằng với các quy định quản lý thuế hiện nay, hành vi gian lận hoặc trốn thuế sẽ dễ dàng bị phát hiện và xử lý nghiêm. - HUMAN-ENF1]]</f>
        <v>7</v>
      </c>
      <c r="T249">
        <f t="shared" si="82"/>
        <v>0.66666666666666663</v>
      </c>
      <c r="U249">
        <f>step3_validation[[#This Row],[AI_ENF2]]</f>
        <v>8</v>
      </c>
      <c r="V249">
        <f t="shared" si="83"/>
        <v>0.77777777777777779</v>
      </c>
      <c r="W249">
        <f>survey_responses[[#This Row],[Tôi tin rằng Nhà nước, cơ quan thuế có đủ khả năng và công nghệ để phát hiện, xử lý nghiêm các hành vi trốn thuế. - HUMAN-ENF2]]</f>
        <v>7</v>
      </c>
      <c r="X249">
        <f t="shared" si="84"/>
        <v>0.66666666666666663</v>
      </c>
      <c r="Y249" s="32">
        <f t="shared" si="85"/>
        <v>0.72222222222222221</v>
      </c>
      <c r="Z249" s="32">
        <f t="shared" si="86"/>
        <v>0.66666666666666663</v>
      </c>
      <c r="AA249">
        <f>step3_validation[[#This Row],[AI_FAC1]]</f>
        <v>9</v>
      </c>
      <c r="AB249">
        <f t="shared" si="87"/>
        <v>0.88888888888888884</v>
      </c>
      <c r="AC249">
        <f>survey_responses[[#This Row],[Các thủ tục khai báo thuế VÀ/HOẶC quy trình làm việc với cơ quan thuế đơn giản, tiện lợi, nhanh chóng hơn so với trước đây. - HUMAN-FAC1]]</f>
        <v>7</v>
      </c>
      <c r="AD249">
        <f t="shared" si="88"/>
        <v>0.66666666666666663</v>
      </c>
      <c r="AE249">
        <f>step3_validation[[#This Row],[AI_FAC2]]</f>
        <v>8</v>
      </c>
      <c r="AF249">
        <f t="shared" si="89"/>
        <v>0.77777777777777779</v>
      </c>
      <c r="AG249">
        <f>survey_responses[[#This Row],[So với trước đây, tôi thấy cách tính thuế và các bậc thuế trong phương án mới đơn giản, dễ hiểu và dễ thực hiện hơn. - HUMAN-FAC2]]</f>
        <v>7</v>
      </c>
      <c r="AH249">
        <f t="shared" si="90"/>
        <v>0.66666666666666663</v>
      </c>
      <c r="AI249" s="32">
        <f t="shared" si="91"/>
        <v>0.83333333333333326</v>
      </c>
      <c r="AJ249" s="32">
        <f t="shared" si="92"/>
        <v>0.66666666666666663</v>
      </c>
      <c r="AK249">
        <f>step3_validation[[#This Row],[AI_TRU1]]</f>
        <v>7</v>
      </c>
      <c r="AL249">
        <f t="shared" si="93"/>
        <v>0.66666666666666663</v>
      </c>
      <c r="AM249">
        <f>survey_responses[[#This Row],[Tôi tin rằng Nhà nước, cơ quan thuế sẽ thực thi chính sách mới một cách khách quan, công tâm và đối xử bình đẳng với mọi người nộp thuế.  - HUMAN-TRU1]]</f>
        <v>7</v>
      </c>
      <c r="AN249">
        <f t="shared" si="94"/>
        <v>0.66666666666666663</v>
      </c>
      <c r="AO249">
        <f>step3_validation[[#This Row],[AI_TRU2]]</f>
        <v>9</v>
      </c>
      <c r="AP249">
        <f t="shared" si="95"/>
        <v>0.88888888888888884</v>
      </c>
      <c r="AQ249">
        <f>survey_responses[[#This Row],[Tôi thấy mức thuế tôi phải đóng theo phương án mới là công bằng (người thu nhập như tôi đóng mức này là hợp lý). - HUMAN-TRU2]]</f>
        <v>7</v>
      </c>
      <c r="AR249">
        <f t="shared" si="96"/>
        <v>0.66666666666666663</v>
      </c>
      <c r="AS249">
        <f>step3_validation[[#This Row],[AI_TRU3]]</f>
        <v>6</v>
      </c>
      <c r="AT249">
        <f t="shared" si="97"/>
        <v>0.55555555555555558</v>
      </c>
      <c r="AU249">
        <f>survey_responses[[#This Row],[Tôi tin tưởng số tiền thuế tôi đóng sẽ được Nhà nước sử dụng hiệu quả để cải thiện dịch vụ công (y tế, đường xá...). - HUMAN-TRU3]]</f>
        <v>7</v>
      </c>
      <c r="AV249">
        <f t="shared" si="98"/>
        <v>0.66666666666666663</v>
      </c>
      <c r="AW249">
        <f>step3_validation[[#This Row],[AI_TRU4]]</f>
        <v>7</v>
      </c>
      <c r="AX249">
        <f t="shared" si="99"/>
        <v>0.66666666666666663</v>
      </c>
      <c r="AY249">
        <f>survey_responses[[#This Row],[Tôi thấy Nhà nước đã giải thích rõ ràng, minh bạch về lý do và mục tiêu của việc sửa đổi thuế lần này. - HUMAN-TRU4]]</f>
        <v>7</v>
      </c>
      <c r="AZ249">
        <f t="shared" si="100"/>
        <v>0.66666666666666663</v>
      </c>
      <c r="BA249" s="32">
        <f t="shared" si="101"/>
        <v>0.69444444444444431</v>
      </c>
      <c r="BB249" s="32">
        <f t="shared" si="102"/>
        <v>0.66666666666666663</v>
      </c>
      <c r="BC249" s="7">
        <f t="shared" si="103"/>
        <v>0.74999999999999989</v>
      </c>
      <c r="BD249" s="7">
        <f t="shared" si="104"/>
        <v>0.66666666666666663</v>
      </c>
      <c r="BE249">
        <f>step3_validation[[#This Row],[AI_OUT1]]</f>
        <v>9</v>
      </c>
      <c r="BF249">
        <f t="shared" si="105"/>
        <v>0.88888888888888884</v>
      </c>
      <c r="BG249">
        <f>survey_responses[[#This Row],[Sau khi xem xét các quyền lợi và nghĩa vụ, bạn có ủng hộ và tuân thủ chính sách mới hiện nay? - HUMAN-OUT1]]</f>
        <v>7</v>
      </c>
      <c r="BH249">
        <f t="shared" si="106"/>
        <v>0.66666666666666663</v>
      </c>
      <c r="BI249" s="32">
        <f t="shared" si="107"/>
        <v>2</v>
      </c>
    </row>
    <row r="250" spans="1:61" x14ac:dyDescent="0.45">
      <c r="A250" s="30">
        <f>step3_validation[[#This Row],[Persona_ID]]</f>
        <v>249</v>
      </c>
      <c r="B250" s="31">
        <f>step3_validation[[#This Row],[Used_Seed]]</f>
        <v>249</v>
      </c>
      <c r="C250" t="str">
        <f>step3_validation[[#This Row],[Gender]]</f>
        <v>Nam</v>
      </c>
      <c r="D250" t="str">
        <f>survey_responses[[#This Row],[Giới tính của bạn:]]</f>
        <v>Nam</v>
      </c>
      <c r="E250" t="str">
        <f>step3_validation[[#This Row],[Age_Group]]</f>
        <v>55 - 64</v>
      </c>
      <c r="F250" t="str">
        <f>survey_responses[[#This Row],[Độ tuổi của bạn:]]</f>
        <v>55 - 64</v>
      </c>
      <c r="G250" t="str">
        <f>step3_validation[[#This Row],[Region]]</f>
        <v>Thành thị</v>
      </c>
      <c r="H250" t="str">
        <f>survey_responses[[#This Row],[Khu vực bạn đang sinh sống:]]</f>
        <v>Thành thị</v>
      </c>
      <c r="I250" t="str">
        <f>step3_validation[[#This Row],[Education]]</f>
        <v>Sau Đại học</v>
      </c>
      <c r="J250" t="str">
        <f>survey_responses[[#This Row],[Trình độ học vấn cao nhất:]]</f>
        <v>Sau Đại học</v>
      </c>
      <c r="K250" t="str">
        <f>step3_validation[[#This Row],[Employment]]</f>
        <v>Chính thức</v>
      </c>
      <c r="L250" t="str">
        <f>survey_responses[[#This Row],[Tình trạng việc làm chính:]]</f>
        <v>Khu vực chính thức (Có Hợp đồng lao động, đóng BHXH)</v>
      </c>
      <c r="M250">
        <f>step3_validation[[#This Row],[Income_Mil]]</f>
        <v>99.422613853804336</v>
      </c>
      <c r="N250" t="str">
        <f>survey_responses[[#This Row],[Thu nhập bình quân tháng theo Hợp đồng lao động của bạn là bao nhiêu? (Vui lòng điền tổng thu nhập trước khi khấu trừ các loại Bảo hiểm (BHXH, BHYT, BHTN) và Thuế TNCN)]]</f>
        <v>Từ 70 - 102 triệu VNĐ</v>
      </c>
      <c r="O250">
        <f>step3_validation[[#This Row],[Dependents]]</f>
        <v>3</v>
      </c>
      <c r="P250" t="str">
        <f>survey_responses[[#This Row],[Số người phụ thuộc (con nhỏ, cha mẹ già...) đủ điều kiện giảm trừ gia cảnh:]]</f>
        <v>3 người</v>
      </c>
      <c r="Q250">
        <f>step3_validation[[#This Row],[AI_ENF1]]</f>
        <v>7</v>
      </c>
      <c r="R250">
        <f t="shared" si="81"/>
        <v>0.66666666666666663</v>
      </c>
      <c r="S250">
        <f>survey_responses[[#This Row],[Tôi tin rằng với các quy định quản lý thuế hiện nay, hành vi gian lận hoặc trốn thuế sẽ dễ dàng bị phát hiện và xử lý nghiêm. - HUMAN-ENF1]]</f>
        <v>9</v>
      </c>
      <c r="T250">
        <f t="shared" si="82"/>
        <v>0.88888888888888884</v>
      </c>
      <c r="U250">
        <f>step3_validation[[#This Row],[AI_ENF2]]</f>
        <v>6</v>
      </c>
      <c r="V250">
        <f t="shared" si="83"/>
        <v>0.55555555555555558</v>
      </c>
      <c r="W250">
        <f>survey_responses[[#This Row],[Tôi tin rằng Nhà nước, cơ quan thuế có đủ khả năng và công nghệ để phát hiện, xử lý nghiêm các hành vi trốn thuế. - HUMAN-ENF2]]</f>
        <v>9</v>
      </c>
      <c r="X250">
        <f t="shared" si="84"/>
        <v>0.88888888888888884</v>
      </c>
      <c r="Y250" s="32">
        <f t="shared" si="85"/>
        <v>0.61111111111111116</v>
      </c>
      <c r="Z250" s="32">
        <f t="shared" si="86"/>
        <v>0.88888888888888884</v>
      </c>
      <c r="AA250">
        <f>step3_validation[[#This Row],[AI_FAC1]]</f>
        <v>8</v>
      </c>
      <c r="AB250">
        <f t="shared" si="87"/>
        <v>0.77777777777777779</v>
      </c>
      <c r="AC250">
        <f>survey_responses[[#This Row],[Các thủ tục khai báo thuế VÀ/HOẶC quy trình làm việc với cơ quan thuế đơn giản, tiện lợi, nhanh chóng hơn so với trước đây. - HUMAN-FAC1]]</f>
        <v>9</v>
      </c>
      <c r="AD250">
        <f t="shared" si="88"/>
        <v>0.88888888888888884</v>
      </c>
      <c r="AE250">
        <f>step3_validation[[#This Row],[AI_FAC2]]</f>
        <v>9</v>
      </c>
      <c r="AF250">
        <f t="shared" si="89"/>
        <v>0.88888888888888884</v>
      </c>
      <c r="AG250">
        <f>survey_responses[[#This Row],[So với trước đây, tôi thấy cách tính thuế và các bậc thuế trong phương án mới đơn giản, dễ hiểu và dễ thực hiện hơn. - HUMAN-FAC2]]</f>
        <v>9</v>
      </c>
      <c r="AH250">
        <f t="shared" si="90"/>
        <v>0.88888888888888884</v>
      </c>
      <c r="AI250" s="32">
        <f t="shared" si="91"/>
        <v>0.83333333333333326</v>
      </c>
      <c r="AJ250" s="32">
        <f t="shared" si="92"/>
        <v>0.88888888888888884</v>
      </c>
      <c r="AK250">
        <f>step3_validation[[#This Row],[AI_TRU1]]</f>
        <v>9</v>
      </c>
      <c r="AL250">
        <f t="shared" si="93"/>
        <v>0.88888888888888884</v>
      </c>
      <c r="AM250">
        <f>survey_responses[[#This Row],[Tôi tin rằng Nhà nước, cơ quan thuế sẽ thực thi chính sách mới một cách khách quan, công tâm và đối xử bình đẳng với mọi người nộp thuế.  - HUMAN-TRU1]]</f>
        <v>9</v>
      </c>
      <c r="AN250">
        <f t="shared" si="94"/>
        <v>0.88888888888888884</v>
      </c>
      <c r="AO250">
        <f>step3_validation[[#This Row],[AI_TRU2]]</f>
        <v>8</v>
      </c>
      <c r="AP250">
        <f t="shared" si="95"/>
        <v>0.77777777777777779</v>
      </c>
      <c r="AQ250">
        <f>survey_responses[[#This Row],[Tôi thấy mức thuế tôi phải đóng theo phương án mới là công bằng (người thu nhập như tôi đóng mức này là hợp lý). - HUMAN-TRU2]]</f>
        <v>9</v>
      </c>
      <c r="AR250">
        <f t="shared" si="96"/>
        <v>0.88888888888888884</v>
      </c>
      <c r="AS250">
        <f>step3_validation[[#This Row],[AI_TRU3]]</f>
        <v>9</v>
      </c>
      <c r="AT250">
        <f t="shared" si="97"/>
        <v>0.88888888888888884</v>
      </c>
      <c r="AU250">
        <f>survey_responses[[#This Row],[Tôi tin tưởng số tiền thuế tôi đóng sẽ được Nhà nước sử dụng hiệu quả để cải thiện dịch vụ công (y tế, đường xá...). - HUMAN-TRU3]]</f>
        <v>9</v>
      </c>
      <c r="AV250">
        <f t="shared" si="98"/>
        <v>0.88888888888888884</v>
      </c>
      <c r="AW250">
        <f>step3_validation[[#This Row],[AI_TRU4]]</f>
        <v>7</v>
      </c>
      <c r="AX250">
        <f t="shared" si="99"/>
        <v>0.66666666666666663</v>
      </c>
      <c r="AY250">
        <f>survey_responses[[#This Row],[Tôi thấy Nhà nước đã giải thích rõ ràng, minh bạch về lý do và mục tiêu của việc sửa đổi thuế lần này. - HUMAN-TRU4]]</f>
        <v>9</v>
      </c>
      <c r="AZ250">
        <f t="shared" si="100"/>
        <v>0.88888888888888884</v>
      </c>
      <c r="BA250" s="32">
        <f t="shared" si="101"/>
        <v>0.80555555555555547</v>
      </c>
      <c r="BB250" s="32">
        <f t="shared" si="102"/>
        <v>0.88888888888888884</v>
      </c>
      <c r="BC250" s="7">
        <f t="shared" si="103"/>
        <v>0.75</v>
      </c>
      <c r="BD250" s="7">
        <f t="shared" si="104"/>
        <v>0.88888888888888884</v>
      </c>
      <c r="BE250">
        <f>step3_validation[[#This Row],[AI_OUT1]]</f>
        <v>9</v>
      </c>
      <c r="BF250">
        <f t="shared" si="105"/>
        <v>0.88888888888888884</v>
      </c>
      <c r="BG250">
        <f>survey_responses[[#This Row],[Sau khi xem xét các quyền lợi và nghĩa vụ, bạn có ủng hộ và tuân thủ chính sách mới hiện nay? - HUMAN-OUT1]]</f>
        <v>9</v>
      </c>
      <c r="BH250">
        <f t="shared" si="106"/>
        <v>0.88888888888888884</v>
      </c>
      <c r="BI250" s="32">
        <f t="shared" si="107"/>
        <v>0</v>
      </c>
    </row>
    <row r="251" spans="1:61" x14ac:dyDescent="0.45">
      <c r="A251" s="30">
        <f>step3_validation[[#This Row],[Persona_ID]]</f>
        <v>250</v>
      </c>
      <c r="B251" s="31">
        <f>step3_validation[[#This Row],[Used_Seed]]</f>
        <v>250</v>
      </c>
      <c r="C251" t="str">
        <f>step3_validation[[#This Row],[Gender]]</f>
        <v>Nữ</v>
      </c>
      <c r="D251" t="str">
        <f>survey_responses[[#This Row],[Giới tính của bạn:]]</f>
        <v>Nữ</v>
      </c>
      <c r="E251" t="str">
        <f>step3_validation[[#This Row],[Age_Group]]</f>
        <v>30 - 39</v>
      </c>
      <c r="F251" t="str">
        <f>survey_responses[[#This Row],[Độ tuổi của bạn:]]</f>
        <v>30 - 39</v>
      </c>
      <c r="G251" t="str">
        <f>step3_validation[[#This Row],[Region]]</f>
        <v>Thành thị</v>
      </c>
      <c r="H251" t="str">
        <f>survey_responses[[#This Row],[Khu vực bạn đang sinh sống:]]</f>
        <v>Thành thị</v>
      </c>
      <c r="I251" t="str">
        <f>step3_validation[[#This Row],[Education]]</f>
        <v>Đại học</v>
      </c>
      <c r="J251" t="str">
        <f>survey_responses[[#This Row],[Trình độ học vấn cao nhất:]]</f>
        <v>Đại học</v>
      </c>
      <c r="K251" t="str">
        <f>step3_validation[[#This Row],[Employment]]</f>
        <v>Chính thức</v>
      </c>
      <c r="L251" t="str">
        <f>survey_responses[[#This Row],[Tình trạng việc làm chính:]]</f>
        <v>Khu vực chính thức (Có Hợp đồng lao động, đóng BHXH)</v>
      </c>
      <c r="M251">
        <f>step3_validation[[#This Row],[Income_Mil]]</f>
        <v>52.283106028882841</v>
      </c>
      <c r="N251" t="str">
        <f>survey_responses[[#This Row],[Thu nhập bình quân tháng theo Hợp đồng lao động của bạn là bao nhiêu? (Vui lòng điền tổng thu nhập trước khi khấu trừ các loại Bảo hiểm (BHXH, BHYT, BHTN) và Thuế TNCN)]]</f>
        <v>Từ 48 - 70 triệu VNĐ</v>
      </c>
      <c r="O251">
        <f>step3_validation[[#This Row],[Dependents]]</f>
        <v>3</v>
      </c>
      <c r="P251" t="str">
        <f>survey_responses[[#This Row],[Số người phụ thuộc (con nhỏ, cha mẹ già...) đủ điều kiện giảm trừ gia cảnh:]]</f>
        <v>3 người</v>
      </c>
      <c r="Q251">
        <f>step3_validation[[#This Row],[AI_ENF1]]</f>
        <v>7</v>
      </c>
      <c r="R251">
        <f t="shared" si="81"/>
        <v>0.66666666666666663</v>
      </c>
      <c r="S251">
        <f>survey_responses[[#This Row],[Tôi tin rằng với các quy định quản lý thuế hiện nay, hành vi gian lận hoặc trốn thuế sẽ dễ dàng bị phát hiện và xử lý nghiêm. - HUMAN-ENF1]]</f>
        <v>7</v>
      </c>
      <c r="T251">
        <f t="shared" si="82"/>
        <v>0.66666666666666663</v>
      </c>
      <c r="U251">
        <f>step3_validation[[#This Row],[AI_ENF2]]</f>
        <v>6</v>
      </c>
      <c r="V251">
        <f t="shared" si="83"/>
        <v>0.55555555555555558</v>
      </c>
      <c r="W251">
        <f>survey_responses[[#This Row],[Tôi tin rằng Nhà nước, cơ quan thuế có đủ khả năng và công nghệ để phát hiện, xử lý nghiêm các hành vi trốn thuế. - HUMAN-ENF2]]</f>
        <v>6</v>
      </c>
      <c r="X251">
        <f t="shared" si="84"/>
        <v>0.55555555555555558</v>
      </c>
      <c r="Y251" s="32">
        <f t="shared" si="85"/>
        <v>0.61111111111111116</v>
      </c>
      <c r="Z251" s="32">
        <f t="shared" si="86"/>
        <v>0.61111111111111116</v>
      </c>
      <c r="AA251">
        <f>step3_validation[[#This Row],[AI_FAC1]]</f>
        <v>8</v>
      </c>
      <c r="AB251">
        <f t="shared" si="87"/>
        <v>0.77777777777777779</v>
      </c>
      <c r="AC251">
        <f>survey_responses[[#This Row],[Các thủ tục khai báo thuế VÀ/HOẶC quy trình làm việc với cơ quan thuế đơn giản, tiện lợi, nhanh chóng hơn so với trước đây. - HUMAN-FAC1]]</f>
        <v>5</v>
      </c>
      <c r="AD251">
        <f t="shared" si="88"/>
        <v>0.44444444444444442</v>
      </c>
      <c r="AE251">
        <f>step3_validation[[#This Row],[AI_FAC2]]</f>
        <v>9</v>
      </c>
      <c r="AF251">
        <f t="shared" si="89"/>
        <v>0.88888888888888884</v>
      </c>
      <c r="AG251">
        <f>survey_responses[[#This Row],[So với trước đây, tôi thấy cách tính thuế và các bậc thuế trong phương án mới đơn giản, dễ hiểu và dễ thực hiện hơn. - HUMAN-FAC2]]</f>
        <v>6</v>
      </c>
      <c r="AH251">
        <f t="shared" si="90"/>
        <v>0.55555555555555558</v>
      </c>
      <c r="AI251" s="32">
        <f t="shared" si="91"/>
        <v>0.83333333333333326</v>
      </c>
      <c r="AJ251" s="32">
        <f t="shared" si="92"/>
        <v>0.5</v>
      </c>
      <c r="AK251">
        <f>step3_validation[[#This Row],[AI_TRU1]]</f>
        <v>8</v>
      </c>
      <c r="AL251">
        <f t="shared" si="93"/>
        <v>0.77777777777777779</v>
      </c>
      <c r="AM251">
        <f>survey_responses[[#This Row],[Tôi tin rằng Nhà nước, cơ quan thuế sẽ thực thi chính sách mới một cách khách quan, công tâm và đối xử bình đẳng với mọi người nộp thuế.  - HUMAN-TRU1]]</f>
        <v>6</v>
      </c>
      <c r="AN251">
        <f t="shared" si="94"/>
        <v>0.55555555555555558</v>
      </c>
      <c r="AO251">
        <f>step3_validation[[#This Row],[AI_TRU2]]</f>
        <v>9</v>
      </c>
      <c r="AP251">
        <f t="shared" si="95"/>
        <v>0.88888888888888884</v>
      </c>
      <c r="AQ251">
        <f>survey_responses[[#This Row],[Tôi thấy mức thuế tôi phải đóng theo phương án mới là công bằng (người thu nhập như tôi đóng mức này là hợp lý). - HUMAN-TRU2]]</f>
        <v>6</v>
      </c>
      <c r="AR251">
        <f t="shared" si="96"/>
        <v>0.55555555555555558</v>
      </c>
      <c r="AS251">
        <f>step3_validation[[#This Row],[AI_TRU3]]</f>
        <v>8</v>
      </c>
      <c r="AT251">
        <f t="shared" si="97"/>
        <v>0.77777777777777779</v>
      </c>
      <c r="AU251">
        <f>survey_responses[[#This Row],[Tôi tin tưởng số tiền thuế tôi đóng sẽ được Nhà nước sử dụng hiệu quả để cải thiện dịch vụ công (y tế, đường xá...). - HUMAN-TRU3]]</f>
        <v>6</v>
      </c>
      <c r="AV251">
        <f t="shared" si="98"/>
        <v>0.55555555555555558</v>
      </c>
      <c r="AW251">
        <f>step3_validation[[#This Row],[AI_TRU4]]</f>
        <v>9</v>
      </c>
      <c r="AX251">
        <f t="shared" si="99"/>
        <v>0.88888888888888884</v>
      </c>
      <c r="AY251">
        <f>survey_responses[[#This Row],[Tôi thấy Nhà nước đã giải thích rõ ràng, minh bạch về lý do và mục tiêu của việc sửa đổi thuế lần này. - HUMAN-TRU4]]</f>
        <v>6</v>
      </c>
      <c r="AZ251">
        <f t="shared" si="100"/>
        <v>0.55555555555555558</v>
      </c>
      <c r="BA251" s="32">
        <f t="shared" si="101"/>
        <v>0.83333333333333326</v>
      </c>
      <c r="BB251" s="32">
        <f t="shared" si="102"/>
        <v>0.55555555555555558</v>
      </c>
      <c r="BC251" s="7">
        <f t="shared" si="103"/>
        <v>0.75925925925925919</v>
      </c>
      <c r="BD251" s="7">
        <f t="shared" si="104"/>
        <v>0.55555555555555558</v>
      </c>
      <c r="BE251">
        <f>step3_validation[[#This Row],[AI_OUT1]]</f>
        <v>9</v>
      </c>
      <c r="BF251">
        <f t="shared" si="105"/>
        <v>0.88888888888888884</v>
      </c>
      <c r="BG251">
        <f>survey_responses[[#This Row],[Sau khi xem xét các quyền lợi và nghĩa vụ, bạn có ủng hộ và tuân thủ chính sách mới hiện nay? - HUMAN-OUT1]]</f>
        <v>7</v>
      </c>
      <c r="BH251">
        <f t="shared" si="106"/>
        <v>0.66666666666666663</v>
      </c>
      <c r="BI251" s="32">
        <f t="shared" si="107"/>
        <v>2</v>
      </c>
    </row>
    <row r="252" spans="1:61" x14ac:dyDescent="0.45">
      <c r="A252" s="30">
        <f>step3_validation[[#This Row],[Persona_ID]]</f>
        <v>251</v>
      </c>
      <c r="B252" s="31">
        <f>step3_validation[[#This Row],[Used_Seed]]</f>
        <v>251</v>
      </c>
      <c r="C252" t="str">
        <f>step3_validation[[#This Row],[Gender]]</f>
        <v>Nữ</v>
      </c>
      <c r="D252" t="str">
        <f>survey_responses[[#This Row],[Giới tính của bạn:]]</f>
        <v>Nữ</v>
      </c>
      <c r="E252" t="str">
        <f>step3_validation[[#This Row],[Age_Group]]</f>
        <v>30 - 39</v>
      </c>
      <c r="F252" t="str">
        <f>survey_responses[[#This Row],[Độ tuổi của bạn:]]</f>
        <v>30 - 39</v>
      </c>
      <c r="G252" t="str">
        <f>step3_validation[[#This Row],[Region]]</f>
        <v>Thành thị</v>
      </c>
      <c r="H252" t="str">
        <f>survey_responses[[#This Row],[Khu vực bạn đang sinh sống:]]</f>
        <v>Thành thị</v>
      </c>
      <c r="I252" t="str">
        <f>step3_validation[[#This Row],[Education]]</f>
        <v>Đại học</v>
      </c>
      <c r="J252" t="str">
        <f>survey_responses[[#This Row],[Trình độ học vấn cao nhất:]]</f>
        <v>Đại học</v>
      </c>
      <c r="K252" t="str">
        <f>step3_validation[[#This Row],[Employment]]</f>
        <v>Chính thức</v>
      </c>
      <c r="L252" t="str">
        <f>survey_responses[[#This Row],[Tình trạng việc làm chính:]]</f>
        <v>Khu vực chính thức (Có Hợp đồng lao động, đóng BHXH)</v>
      </c>
      <c r="M252">
        <f>step3_validation[[#This Row],[Income_Mil]]</f>
        <v>40.265534018039197</v>
      </c>
      <c r="N252" t="str">
        <f>survey_responses[[#This Row],[Thu nhập bình quân tháng theo Hợp đồng lao động của bạn là bao nhiêu? (Vui lòng điền tổng thu nhập trước khi khấu trừ các loại Bảo hiểm (BHXH, BHYT, BHTN) và Thuế TNCN)]]</f>
        <v>Từ 32 - 48 triệu VNĐ</v>
      </c>
      <c r="O252">
        <f>step3_validation[[#This Row],[Dependents]]</f>
        <v>4</v>
      </c>
      <c r="P252" t="str">
        <f>survey_responses[[#This Row],[Số người phụ thuộc (con nhỏ, cha mẹ già...) đủ điều kiện giảm trừ gia cảnh:]]</f>
        <v>4 người trở lên</v>
      </c>
      <c r="Q252">
        <f>step3_validation[[#This Row],[AI_ENF1]]</f>
        <v>7</v>
      </c>
      <c r="R252">
        <f t="shared" si="81"/>
        <v>0.66666666666666663</v>
      </c>
      <c r="S252">
        <f>survey_responses[[#This Row],[Tôi tin rằng với các quy định quản lý thuế hiện nay, hành vi gian lận hoặc trốn thuế sẽ dễ dàng bị phát hiện và xử lý nghiêm. - HUMAN-ENF1]]</f>
        <v>8</v>
      </c>
      <c r="T252">
        <f t="shared" si="82"/>
        <v>0.77777777777777779</v>
      </c>
      <c r="U252">
        <f>step3_validation[[#This Row],[AI_ENF2]]</f>
        <v>6</v>
      </c>
      <c r="V252">
        <f t="shared" si="83"/>
        <v>0.55555555555555558</v>
      </c>
      <c r="W252">
        <f>survey_responses[[#This Row],[Tôi tin rằng Nhà nước, cơ quan thuế có đủ khả năng và công nghệ để phát hiện, xử lý nghiêm các hành vi trốn thuế. - HUMAN-ENF2]]</f>
        <v>8</v>
      </c>
      <c r="X252">
        <f t="shared" si="84"/>
        <v>0.77777777777777779</v>
      </c>
      <c r="Y252" s="32">
        <f t="shared" si="85"/>
        <v>0.61111111111111116</v>
      </c>
      <c r="Z252" s="32">
        <f t="shared" si="86"/>
        <v>0.77777777777777779</v>
      </c>
      <c r="AA252">
        <f>step3_validation[[#This Row],[AI_FAC1]]</f>
        <v>9</v>
      </c>
      <c r="AB252">
        <f t="shared" si="87"/>
        <v>0.88888888888888884</v>
      </c>
      <c r="AC252">
        <f>survey_responses[[#This Row],[Các thủ tục khai báo thuế VÀ/HOẶC quy trình làm việc với cơ quan thuế đơn giản, tiện lợi, nhanh chóng hơn so với trước đây. - HUMAN-FAC1]]</f>
        <v>8</v>
      </c>
      <c r="AD252">
        <f t="shared" si="88"/>
        <v>0.77777777777777779</v>
      </c>
      <c r="AE252">
        <f>step3_validation[[#This Row],[AI_FAC2]]</f>
        <v>8</v>
      </c>
      <c r="AF252">
        <f t="shared" si="89"/>
        <v>0.77777777777777779</v>
      </c>
      <c r="AG252">
        <f>survey_responses[[#This Row],[So với trước đây, tôi thấy cách tính thuế và các bậc thuế trong phương án mới đơn giản, dễ hiểu và dễ thực hiện hơn. - HUMAN-FAC2]]</f>
        <v>9</v>
      </c>
      <c r="AH252">
        <f t="shared" si="90"/>
        <v>0.88888888888888884</v>
      </c>
      <c r="AI252" s="32">
        <f t="shared" si="91"/>
        <v>0.83333333333333326</v>
      </c>
      <c r="AJ252" s="32">
        <f t="shared" si="92"/>
        <v>0.83333333333333326</v>
      </c>
      <c r="AK252">
        <f>step3_validation[[#This Row],[AI_TRU1]]</f>
        <v>9</v>
      </c>
      <c r="AL252">
        <f t="shared" si="93"/>
        <v>0.88888888888888884</v>
      </c>
      <c r="AM252">
        <f>survey_responses[[#This Row],[Tôi tin rằng Nhà nước, cơ quan thuế sẽ thực thi chính sách mới một cách khách quan, công tâm và đối xử bình đẳng với mọi người nộp thuế.  - HUMAN-TRU1]]</f>
        <v>8</v>
      </c>
      <c r="AN252">
        <f t="shared" si="94"/>
        <v>0.77777777777777779</v>
      </c>
      <c r="AO252">
        <f>step3_validation[[#This Row],[AI_TRU2]]</f>
        <v>8</v>
      </c>
      <c r="AP252">
        <f t="shared" si="95"/>
        <v>0.77777777777777779</v>
      </c>
      <c r="AQ252">
        <f>survey_responses[[#This Row],[Tôi thấy mức thuế tôi phải đóng theo phương án mới là công bằng (người thu nhập như tôi đóng mức này là hợp lý). - HUMAN-TRU2]]</f>
        <v>10</v>
      </c>
      <c r="AR252">
        <f t="shared" si="96"/>
        <v>1</v>
      </c>
      <c r="AS252">
        <f>step3_validation[[#This Row],[AI_TRU3]]</f>
        <v>9</v>
      </c>
      <c r="AT252">
        <f t="shared" si="97"/>
        <v>0.88888888888888884</v>
      </c>
      <c r="AU252">
        <f>survey_responses[[#This Row],[Tôi tin tưởng số tiền thuế tôi đóng sẽ được Nhà nước sử dụng hiệu quả để cải thiện dịch vụ công (y tế, đường xá...). - HUMAN-TRU3]]</f>
        <v>7</v>
      </c>
      <c r="AV252">
        <f t="shared" si="98"/>
        <v>0.66666666666666663</v>
      </c>
      <c r="AW252">
        <f>step3_validation[[#This Row],[AI_TRU4]]</f>
        <v>7</v>
      </c>
      <c r="AX252">
        <f t="shared" si="99"/>
        <v>0.66666666666666663</v>
      </c>
      <c r="AY252">
        <f>survey_responses[[#This Row],[Tôi thấy Nhà nước đã giải thích rõ ràng, minh bạch về lý do và mục tiêu của việc sửa đổi thuế lần này. - HUMAN-TRU4]]</f>
        <v>7</v>
      </c>
      <c r="AZ252">
        <f t="shared" si="100"/>
        <v>0.66666666666666663</v>
      </c>
      <c r="BA252" s="32">
        <f t="shared" si="101"/>
        <v>0.80555555555555547</v>
      </c>
      <c r="BB252" s="32">
        <f t="shared" si="102"/>
        <v>0.77777777777777768</v>
      </c>
      <c r="BC252" s="7">
        <f t="shared" si="103"/>
        <v>0.75</v>
      </c>
      <c r="BD252" s="7">
        <f t="shared" si="104"/>
        <v>0.79629629629629628</v>
      </c>
      <c r="BE252">
        <f>step3_validation[[#This Row],[AI_OUT1]]</f>
        <v>9</v>
      </c>
      <c r="BF252">
        <f t="shared" si="105"/>
        <v>0.88888888888888884</v>
      </c>
      <c r="BG252">
        <f>survey_responses[[#This Row],[Sau khi xem xét các quyền lợi và nghĩa vụ, bạn có ủng hộ và tuân thủ chính sách mới hiện nay? - HUMAN-OUT1]]</f>
        <v>10</v>
      </c>
      <c r="BH252">
        <f t="shared" si="106"/>
        <v>1</v>
      </c>
      <c r="BI252" s="32">
        <f t="shared" si="107"/>
        <v>1</v>
      </c>
    </row>
    <row r="253" spans="1:61" x14ac:dyDescent="0.45">
      <c r="A253" s="30">
        <f>step3_validation[[#This Row],[Persona_ID]]</f>
        <v>252</v>
      </c>
      <c r="B253" s="31">
        <f>step3_validation[[#This Row],[Used_Seed]]</f>
        <v>252</v>
      </c>
      <c r="C253" t="str">
        <f>step3_validation[[#This Row],[Gender]]</f>
        <v>Nữ</v>
      </c>
      <c r="D253" t="str">
        <f>survey_responses[[#This Row],[Giới tính của bạn:]]</f>
        <v>Nữ</v>
      </c>
      <c r="E253" t="str">
        <f>step3_validation[[#This Row],[Age_Group]]</f>
        <v>50 - 54</v>
      </c>
      <c r="F253" t="str">
        <f>survey_responses[[#This Row],[Độ tuổi của bạn:]]</f>
        <v>50 - 54</v>
      </c>
      <c r="G253" t="str">
        <f>step3_validation[[#This Row],[Region]]</f>
        <v>Thành thị</v>
      </c>
      <c r="H253" t="str">
        <f>survey_responses[[#This Row],[Khu vực bạn đang sinh sống:]]</f>
        <v>Thành thị</v>
      </c>
      <c r="I253" t="str">
        <f>step3_validation[[#This Row],[Education]]</f>
        <v>Đại học</v>
      </c>
      <c r="J253" t="str">
        <f>survey_responses[[#This Row],[Trình độ học vấn cao nhất:]]</f>
        <v>Đại học</v>
      </c>
      <c r="K253" t="str">
        <f>step3_validation[[#This Row],[Employment]]</f>
        <v>Chính thức</v>
      </c>
      <c r="L253" t="str">
        <f>survey_responses[[#This Row],[Tình trạng việc làm chính:]]</f>
        <v>Khu vực chính thức (Có Hợp đồng lao động, đóng BHXH)</v>
      </c>
      <c r="M253">
        <f>step3_validation[[#This Row],[Income_Mil]]</f>
        <v>59.815604243370466</v>
      </c>
      <c r="N253" t="str">
        <f>survey_responses[[#This Row],[Thu nhập bình quân tháng theo Hợp đồng lao động của bạn là bao nhiêu? (Vui lòng điền tổng thu nhập trước khi khấu trừ các loại Bảo hiểm (BHXH, BHYT, BHTN) và Thuế TNCN)]]</f>
        <v>Từ 48 - 70 triệu VNĐ</v>
      </c>
      <c r="O253">
        <f>step3_validation[[#This Row],[Dependents]]</f>
        <v>3</v>
      </c>
      <c r="P253" t="str">
        <f>survey_responses[[#This Row],[Số người phụ thuộc (con nhỏ, cha mẹ già...) đủ điều kiện giảm trừ gia cảnh:]]</f>
        <v>3 người</v>
      </c>
      <c r="Q253">
        <f>step3_validation[[#This Row],[AI_ENF1]]</f>
        <v>6</v>
      </c>
      <c r="R253">
        <f t="shared" si="81"/>
        <v>0.55555555555555558</v>
      </c>
      <c r="S253">
        <f>survey_responses[[#This Row],[Tôi tin rằng với các quy định quản lý thuế hiện nay, hành vi gian lận hoặc trốn thuế sẽ dễ dàng bị phát hiện và xử lý nghiêm. - HUMAN-ENF1]]</f>
        <v>6</v>
      </c>
      <c r="T253">
        <f t="shared" si="82"/>
        <v>0.55555555555555558</v>
      </c>
      <c r="U253">
        <f>step3_validation[[#This Row],[AI_ENF2]]</f>
        <v>7</v>
      </c>
      <c r="V253">
        <f t="shared" si="83"/>
        <v>0.66666666666666663</v>
      </c>
      <c r="W253">
        <f>survey_responses[[#This Row],[Tôi tin rằng Nhà nước, cơ quan thuế có đủ khả năng và công nghệ để phát hiện, xử lý nghiêm các hành vi trốn thuế. - HUMAN-ENF2]]</f>
        <v>6</v>
      </c>
      <c r="X253">
        <f t="shared" si="84"/>
        <v>0.55555555555555558</v>
      </c>
      <c r="Y253" s="32">
        <f t="shared" si="85"/>
        <v>0.61111111111111116</v>
      </c>
      <c r="Z253" s="32">
        <f t="shared" si="86"/>
        <v>0.55555555555555558</v>
      </c>
      <c r="AA253">
        <f>step3_validation[[#This Row],[AI_FAC1]]</f>
        <v>8</v>
      </c>
      <c r="AB253">
        <f t="shared" si="87"/>
        <v>0.77777777777777779</v>
      </c>
      <c r="AC253">
        <f>survey_responses[[#This Row],[Các thủ tục khai báo thuế VÀ/HOẶC quy trình làm việc với cơ quan thuế đơn giản, tiện lợi, nhanh chóng hơn so với trước đây. - HUMAN-FAC1]]</f>
        <v>1</v>
      </c>
      <c r="AD253">
        <f t="shared" si="88"/>
        <v>0</v>
      </c>
      <c r="AE253">
        <f>step3_validation[[#This Row],[AI_FAC2]]</f>
        <v>9</v>
      </c>
      <c r="AF253">
        <f t="shared" si="89"/>
        <v>0.88888888888888884</v>
      </c>
      <c r="AG253">
        <f>survey_responses[[#This Row],[So với trước đây, tôi thấy cách tính thuế và các bậc thuế trong phương án mới đơn giản, dễ hiểu và dễ thực hiện hơn. - HUMAN-FAC2]]</f>
        <v>6</v>
      </c>
      <c r="AH253">
        <f t="shared" si="90"/>
        <v>0.55555555555555558</v>
      </c>
      <c r="AI253" s="32">
        <f t="shared" si="91"/>
        <v>0.83333333333333326</v>
      </c>
      <c r="AJ253" s="32">
        <f t="shared" si="92"/>
        <v>0.27777777777777779</v>
      </c>
      <c r="AK253">
        <f>step3_validation[[#This Row],[AI_TRU1]]</f>
        <v>7</v>
      </c>
      <c r="AL253">
        <f t="shared" si="93"/>
        <v>0.66666666666666663</v>
      </c>
      <c r="AM253">
        <f>survey_responses[[#This Row],[Tôi tin rằng Nhà nước, cơ quan thuế sẽ thực thi chính sách mới một cách khách quan, công tâm và đối xử bình đẳng với mọi người nộp thuế.  - HUMAN-TRU1]]</f>
        <v>5</v>
      </c>
      <c r="AN253">
        <f t="shared" si="94"/>
        <v>0.44444444444444442</v>
      </c>
      <c r="AO253">
        <f>step3_validation[[#This Row],[AI_TRU2]]</f>
        <v>8</v>
      </c>
      <c r="AP253">
        <f t="shared" si="95"/>
        <v>0.77777777777777779</v>
      </c>
      <c r="AQ253">
        <f>survey_responses[[#This Row],[Tôi thấy mức thuế tôi phải đóng theo phương án mới là công bằng (người thu nhập như tôi đóng mức này là hợp lý). - HUMAN-TRU2]]</f>
        <v>6</v>
      </c>
      <c r="AR253">
        <f t="shared" si="96"/>
        <v>0.55555555555555558</v>
      </c>
      <c r="AS253">
        <f>step3_validation[[#This Row],[AI_TRU3]]</f>
        <v>7</v>
      </c>
      <c r="AT253">
        <f t="shared" si="97"/>
        <v>0.66666666666666663</v>
      </c>
      <c r="AU253">
        <f>survey_responses[[#This Row],[Tôi tin tưởng số tiền thuế tôi đóng sẽ được Nhà nước sử dụng hiệu quả để cải thiện dịch vụ công (y tế, đường xá...). - HUMAN-TRU3]]</f>
        <v>6</v>
      </c>
      <c r="AV253">
        <f t="shared" si="98"/>
        <v>0.55555555555555558</v>
      </c>
      <c r="AW253">
        <f>step3_validation[[#This Row],[AI_TRU4]]</f>
        <v>8</v>
      </c>
      <c r="AX253">
        <f t="shared" si="99"/>
        <v>0.77777777777777779</v>
      </c>
      <c r="AY253">
        <f>survey_responses[[#This Row],[Tôi thấy Nhà nước đã giải thích rõ ràng, minh bạch về lý do và mục tiêu của việc sửa đổi thuế lần này. - HUMAN-TRU4]]</f>
        <v>6</v>
      </c>
      <c r="AZ253">
        <f t="shared" si="100"/>
        <v>0.55555555555555558</v>
      </c>
      <c r="BA253" s="32">
        <f t="shared" si="101"/>
        <v>0.72222222222222221</v>
      </c>
      <c r="BB253" s="32">
        <f t="shared" si="102"/>
        <v>0.52777777777777779</v>
      </c>
      <c r="BC253" s="7">
        <f t="shared" si="103"/>
        <v>0.72222222222222221</v>
      </c>
      <c r="BD253" s="7">
        <f t="shared" si="104"/>
        <v>0.45370370370370372</v>
      </c>
      <c r="BE253">
        <f>step3_validation[[#This Row],[AI_OUT1]]</f>
        <v>9</v>
      </c>
      <c r="BF253">
        <f t="shared" si="105"/>
        <v>0.88888888888888884</v>
      </c>
      <c r="BG253">
        <f>survey_responses[[#This Row],[Sau khi xem xét các quyền lợi và nghĩa vụ, bạn có ủng hộ và tuân thủ chính sách mới hiện nay? - HUMAN-OUT1]]</f>
        <v>6</v>
      </c>
      <c r="BH253">
        <f t="shared" si="106"/>
        <v>0.55555555555555558</v>
      </c>
      <c r="BI253" s="32">
        <f t="shared" si="107"/>
        <v>3</v>
      </c>
    </row>
    <row r="254" spans="1:61" x14ac:dyDescent="0.45">
      <c r="A254" s="30">
        <f>step3_validation[[#This Row],[Persona_ID]]</f>
        <v>253</v>
      </c>
      <c r="B254" s="31">
        <f>step3_validation[[#This Row],[Used_Seed]]</f>
        <v>253</v>
      </c>
      <c r="C254" t="str">
        <f>step3_validation[[#This Row],[Gender]]</f>
        <v>Nam</v>
      </c>
      <c r="D254" t="str">
        <f>survey_responses[[#This Row],[Giới tính của bạn:]]</f>
        <v>Nam</v>
      </c>
      <c r="E254" t="str">
        <f>step3_validation[[#This Row],[Age_Group]]</f>
        <v>40 - 49</v>
      </c>
      <c r="F254" t="str">
        <f>survey_responses[[#This Row],[Độ tuổi của bạn:]]</f>
        <v>40 - 49</v>
      </c>
      <c r="G254" t="str">
        <f>step3_validation[[#This Row],[Region]]</f>
        <v>Thành thị</v>
      </c>
      <c r="H254" t="str">
        <f>survey_responses[[#This Row],[Khu vực bạn đang sinh sống:]]</f>
        <v>Thành thị</v>
      </c>
      <c r="I254" t="str">
        <f>step3_validation[[#This Row],[Education]]</f>
        <v>Sau Đại học</v>
      </c>
      <c r="J254" t="str">
        <f>survey_responses[[#This Row],[Trình độ học vấn cao nhất:]]</f>
        <v>Sau Đại học</v>
      </c>
      <c r="K254" t="str">
        <f>step3_validation[[#This Row],[Employment]]</f>
        <v>Chính thức</v>
      </c>
      <c r="L254" t="str">
        <f>survey_responses[[#This Row],[Tình trạng việc làm chính:]]</f>
        <v>Khu vực chính thức (Có Hợp đồng lao động, đóng BHXH)</v>
      </c>
      <c r="M254">
        <f>step3_validation[[#This Row],[Income_Mil]]</f>
        <v>77.907329175891746</v>
      </c>
      <c r="N254" t="str">
        <f>survey_responses[[#This Row],[Thu nhập bình quân tháng theo Hợp đồng lao động của bạn là bao nhiêu? (Vui lòng điền tổng thu nhập trước khi khấu trừ các loại Bảo hiểm (BHXH, BHYT, BHTN) và Thuế TNCN)]]</f>
        <v>Từ 70 - 102 triệu VNĐ</v>
      </c>
      <c r="O254">
        <f>step3_validation[[#This Row],[Dependents]]</f>
        <v>4</v>
      </c>
      <c r="P254" t="str">
        <f>survey_responses[[#This Row],[Số người phụ thuộc (con nhỏ, cha mẹ già...) đủ điều kiện giảm trừ gia cảnh:]]</f>
        <v>4 người trở lên</v>
      </c>
      <c r="Q254">
        <f>step3_validation[[#This Row],[AI_ENF1]]</f>
        <v>7</v>
      </c>
      <c r="R254">
        <f t="shared" si="81"/>
        <v>0.66666666666666663</v>
      </c>
      <c r="S254">
        <f>survey_responses[[#This Row],[Tôi tin rằng với các quy định quản lý thuế hiện nay, hành vi gian lận hoặc trốn thuế sẽ dễ dàng bị phát hiện và xử lý nghiêm. - HUMAN-ENF1]]</f>
        <v>8</v>
      </c>
      <c r="T254">
        <f t="shared" si="82"/>
        <v>0.77777777777777779</v>
      </c>
      <c r="U254">
        <f>step3_validation[[#This Row],[AI_ENF2]]</f>
        <v>6</v>
      </c>
      <c r="V254">
        <f t="shared" si="83"/>
        <v>0.55555555555555558</v>
      </c>
      <c r="W254">
        <f>survey_responses[[#This Row],[Tôi tin rằng Nhà nước, cơ quan thuế có đủ khả năng và công nghệ để phát hiện, xử lý nghiêm các hành vi trốn thuế. - HUMAN-ENF2]]</f>
        <v>8</v>
      </c>
      <c r="X254">
        <f t="shared" si="84"/>
        <v>0.77777777777777779</v>
      </c>
      <c r="Y254" s="32">
        <f t="shared" si="85"/>
        <v>0.61111111111111116</v>
      </c>
      <c r="Z254" s="32">
        <f t="shared" si="86"/>
        <v>0.77777777777777779</v>
      </c>
      <c r="AA254">
        <f>step3_validation[[#This Row],[AI_FAC1]]</f>
        <v>9</v>
      </c>
      <c r="AB254">
        <f t="shared" si="87"/>
        <v>0.88888888888888884</v>
      </c>
      <c r="AC254">
        <f>survey_responses[[#This Row],[Các thủ tục khai báo thuế VÀ/HOẶC quy trình làm việc với cơ quan thuế đơn giản, tiện lợi, nhanh chóng hơn so với trước đây. - HUMAN-FAC1]]</f>
        <v>3</v>
      </c>
      <c r="AD254">
        <f t="shared" si="88"/>
        <v>0.22222222222222221</v>
      </c>
      <c r="AE254">
        <f>step3_validation[[#This Row],[AI_FAC2]]</f>
        <v>8</v>
      </c>
      <c r="AF254">
        <f t="shared" si="89"/>
        <v>0.77777777777777779</v>
      </c>
      <c r="AG254">
        <f>survey_responses[[#This Row],[So với trước đây, tôi thấy cách tính thuế và các bậc thuế trong phương án mới đơn giản, dễ hiểu và dễ thực hiện hơn. - HUMAN-FAC2]]</f>
        <v>9</v>
      </c>
      <c r="AH254">
        <f t="shared" si="90"/>
        <v>0.88888888888888884</v>
      </c>
      <c r="AI254" s="32">
        <f t="shared" si="91"/>
        <v>0.83333333333333326</v>
      </c>
      <c r="AJ254" s="32">
        <f t="shared" si="92"/>
        <v>0.55555555555555558</v>
      </c>
      <c r="AK254">
        <f>step3_validation[[#This Row],[AI_TRU1]]</f>
        <v>9</v>
      </c>
      <c r="AL254">
        <f t="shared" si="93"/>
        <v>0.88888888888888884</v>
      </c>
      <c r="AM254">
        <f>survey_responses[[#This Row],[Tôi tin rằng Nhà nước, cơ quan thuế sẽ thực thi chính sách mới một cách khách quan, công tâm và đối xử bình đẳng với mọi người nộp thuế.  - HUMAN-TRU1]]</f>
        <v>8</v>
      </c>
      <c r="AN254">
        <f t="shared" si="94"/>
        <v>0.77777777777777779</v>
      </c>
      <c r="AO254">
        <f>step3_validation[[#This Row],[AI_TRU2]]</f>
        <v>8</v>
      </c>
      <c r="AP254">
        <f t="shared" si="95"/>
        <v>0.77777777777777779</v>
      </c>
      <c r="AQ254">
        <f>survey_responses[[#This Row],[Tôi thấy mức thuế tôi phải đóng theo phương án mới là công bằng (người thu nhập như tôi đóng mức này là hợp lý). - HUMAN-TRU2]]</f>
        <v>8</v>
      </c>
      <c r="AR254">
        <f t="shared" si="96"/>
        <v>0.77777777777777779</v>
      </c>
      <c r="AS254">
        <f>step3_validation[[#This Row],[AI_TRU3]]</f>
        <v>7</v>
      </c>
      <c r="AT254">
        <f t="shared" si="97"/>
        <v>0.66666666666666663</v>
      </c>
      <c r="AU254">
        <f>survey_responses[[#This Row],[Tôi tin tưởng số tiền thuế tôi đóng sẽ được Nhà nước sử dụng hiệu quả để cải thiện dịch vụ công (y tế, đường xá...). - HUMAN-TRU3]]</f>
        <v>8</v>
      </c>
      <c r="AV254">
        <f t="shared" si="98"/>
        <v>0.77777777777777779</v>
      </c>
      <c r="AW254">
        <f>step3_validation[[#This Row],[AI_TRU4]]</f>
        <v>8</v>
      </c>
      <c r="AX254">
        <f t="shared" si="99"/>
        <v>0.77777777777777779</v>
      </c>
      <c r="AY254">
        <f>survey_responses[[#This Row],[Tôi thấy Nhà nước đã giải thích rõ ràng, minh bạch về lý do và mục tiêu của việc sửa đổi thuế lần này. - HUMAN-TRU4]]</f>
        <v>8</v>
      </c>
      <c r="AZ254">
        <f t="shared" si="100"/>
        <v>0.77777777777777779</v>
      </c>
      <c r="BA254" s="32">
        <f t="shared" si="101"/>
        <v>0.77777777777777768</v>
      </c>
      <c r="BB254" s="32">
        <f t="shared" si="102"/>
        <v>0.77777777777777779</v>
      </c>
      <c r="BC254" s="7">
        <f t="shared" si="103"/>
        <v>0.74074074074074081</v>
      </c>
      <c r="BD254" s="7">
        <f t="shared" si="104"/>
        <v>0.70370370370370372</v>
      </c>
      <c r="BE254">
        <f>step3_validation[[#This Row],[AI_OUT1]]</f>
        <v>9</v>
      </c>
      <c r="BF254">
        <f t="shared" si="105"/>
        <v>0.88888888888888884</v>
      </c>
      <c r="BG254">
        <f>survey_responses[[#This Row],[Sau khi xem xét các quyền lợi và nghĩa vụ, bạn có ủng hộ và tuân thủ chính sách mới hiện nay? - HUMAN-OUT1]]</f>
        <v>8</v>
      </c>
      <c r="BH254">
        <f t="shared" si="106"/>
        <v>0.77777777777777779</v>
      </c>
      <c r="BI254" s="32">
        <f t="shared" si="107"/>
        <v>1</v>
      </c>
    </row>
    <row r="255" spans="1:61" x14ac:dyDescent="0.45">
      <c r="A255" s="30">
        <f>step3_validation[[#This Row],[Persona_ID]]</f>
        <v>254</v>
      </c>
      <c r="B255" s="31">
        <f>step3_validation[[#This Row],[Used_Seed]]</f>
        <v>254</v>
      </c>
      <c r="C255" t="str">
        <f>step3_validation[[#This Row],[Gender]]</f>
        <v>Nam</v>
      </c>
      <c r="D255" t="str">
        <f>survey_responses[[#This Row],[Giới tính của bạn:]]</f>
        <v>Nam</v>
      </c>
      <c r="E255" t="str">
        <f>step3_validation[[#This Row],[Age_Group]]</f>
        <v>40 - 49</v>
      </c>
      <c r="F255" t="str">
        <f>survey_responses[[#This Row],[Độ tuổi của bạn:]]</f>
        <v>40 - 49</v>
      </c>
      <c r="G255" t="str">
        <f>step3_validation[[#This Row],[Region]]</f>
        <v>Thành thị</v>
      </c>
      <c r="H255" t="str">
        <f>survey_responses[[#This Row],[Khu vực bạn đang sinh sống:]]</f>
        <v>Thành thị</v>
      </c>
      <c r="I255" t="str">
        <f>step3_validation[[#This Row],[Education]]</f>
        <v>Sau Đại học</v>
      </c>
      <c r="J255" t="str">
        <f>survey_responses[[#This Row],[Trình độ học vấn cao nhất:]]</f>
        <v>Sau Đại học</v>
      </c>
      <c r="K255" t="str">
        <f>step3_validation[[#This Row],[Employment]]</f>
        <v>Chính thức</v>
      </c>
      <c r="L255" t="str">
        <f>survey_responses[[#This Row],[Tình trạng việc làm chính:]]</f>
        <v>Khu vực chính thức (Có Hợp đồng lao động, đóng BHXH)</v>
      </c>
      <c r="M255">
        <f>step3_validation[[#This Row],[Income_Mil]]</f>
        <v>83.778642121472771</v>
      </c>
      <c r="N255" t="str">
        <f>survey_responses[[#This Row],[Thu nhập bình quân tháng theo Hợp đồng lao động của bạn là bao nhiêu? (Vui lòng điền tổng thu nhập trước khi khấu trừ các loại Bảo hiểm (BHXH, BHYT, BHTN) và Thuế TNCN)]]</f>
        <v>Từ 70 - 102 triệu VNĐ</v>
      </c>
      <c r="O255">
        <f>step3_validation[[#This Row],[Dependents]]</f>
        <v>1</v>
      </c>
      <c r="P255" t="str">
        <f>survey_responses[[#This Row],[Số người phụ thuộc (con nhỏ, cha mẹ già...) đủ điều kiện giảm trừ gia cảnh:]]</f>
        <v>1 người</v>
      </c>
      <c r="Q255">
        <f>step3_validation[[#This Row],[AI_ENF1]]</f>
        <v>9</v>
      </c>
      <c r="R255">
        <f t="shared" si="81"/>
        <v>0.88888888888888884</v>
      </c>
      <c r="S255">
        <f>survey_responses[[#This Row],[Tôi tin rằng với các quy định quản lý thuế hiện nay, hành vi gian lận hoặc trốn thuế sẽ dễ dàng bị phát hiện và xử lý nghiêm. - HUMAN-ENF1]]</f>
        <v>4</v>
      </c>
      <c r="T255">
        <f t="shared" si="82"/>
        <v>0.33333333333333331</v>
      </c>
      <c r="U255">
        <f>step3_validation[[#This Row],[AI_ENF2]]</f>
        <v>9</v>
      </c>
      <c r="V255">
        <f t="shared" si="83"/>
        <v>0.88888888888888884</v>
      </c>
      <c r="W255">
        <f>survey_responses[[#This Row],[Tôi tin rằng Nhà nước, cơ quan thuế có đủ khả năng và công nghệ để phát hiện, xử lý nghiêm các hành vi trốn thuế. - HUMAN-ENF2]]</f>
        <v>3</v>
      </c>
      <c r="X255">
        <f t="shared" si="84"/>
        <v>0.22222222222222221</v>
      </c>
      <c r="Y255" s="32">
        <f t="shared" si="85"/>
        <v>0.88888888888888884</v>
      </c>
      <c r="Z255" s="32">
        <f t="shared" si="86"/>
        <v>0.27777777777777779</v>
      </c>
      <c r="AA255">
        <f>step3_validation[[#This Row],[AI_FAC1]]</f>
        <v>8</v>
      </c>
      <c r="AB255">
        <f t="shared" si="87"/>
        <v>0.77777777777777779</v>
      </c>
      <c r="AC255">
        <f>survey_responses[[#This Row],[Các thủ tục khai báo thuế VÀ/HOẶC quy trình làm việc với cơ quan thuế đơn giản, tiện lợi, nhanh chóng hơn so với trước đây. - HUMAN-FAC1]]</f>
        <v>1</v>
      </c>
      <c r="AD255">
        <f t="shared" si="88"/>
        <v>0</v>
      </c>
      <c r="AE255">
        <f>step3_validation[[#This Row],[AI_FAC2]]</f>
        <v>8</v>
      </c>
      <c r="AF255">
        <f t="shared" si="89"/>
        <v>0.77777777777777779</v>
      </c>
      <c r="AG255">
        <f>survey_responses[[#This Row],[So với trước đây, tôi thấy cách tính thuế và các bậc thuế trong phương án mới đơn giản, dễ hiểu và dễ thực hiện hơn. - HUMAN-FAC2]]</f>
        <v>7</v>
      </c>
      <c r="AH255">
        <f t="shared" si="90"/>
        <v>0.66666666666666663</v>
      </c>
      <c r="AI255" s="32">
        <f t="shared" si="91"/>
        <v>0.77777777777777779</v>
      </c>
      <c r="AJ255" s="32">
        <f t="shared" si="92"/>
        <v>0.33333333333333331</v>
      </c>
      <c r="AK255">
        <f>step3_validation[[#This Row],[AI_TRU1]]</f>
        <v>9</v>
      </c>
      <c r="AL255">
        <f t="shared" si="93"/>
        <v>0.88888888888888884</v>
      </c>
      <c r="AM255">
        <f>survey_responses[[#This Row],[Tôi tin rằng Nhà nước, cơ quan thuế sẽ thực thi chính sách mới một cách khách quan, công tâm và đối xử bình đẳng với mọi người nộp thuế.  - HUMAN-TRU1]]</f>
        <v>3</v>
      </c>
      <c r="AN255">
        <f t="shared" si="94"/>
        <v>0.22222222222222221</v>
      </c>
      <c r="AO255">
        <f>step3_validation[[#This Row],[AI_TRU2]]</f>
        <v>9</v>
      </c>
      <c r="AP255">
        <f t="shared" si="95"/>
        <v>0.88888888888888884</v>
      </c>
      <c r="AQ255">
        <f>survey_responses[[#This Row],[Tôi thấy mức thuế tôi phải đóng theo phương án mới là công bằng (người thu nhập như tôi đóng mức này là hợp lý). - HUMAN-TRU2]]</f>
        <v>6</v>
      </c>
      <c r="AR255">
        <f t="shared" si="96"/>
        <v>0.55555555555555558</v>
      </c>
      <c r="AS255">
        <f>step3_validation[[#This Row],[AI_TRU3]]</f>
        <v>9</v>
      </c>
      <c r="AT255">
        <f t="shared" si="97"/>
        <v>0.88888888888888884</v>
      </c>
      <c r="AU255">
        <f>survey_responses[[#This Row],[Tôi tin tưởng số tiền thuế tôi đóng sẽ được Nhà nước sử dụng hiệu quả để cải thiện dịch vụ công (y tế, đường xá...). - HUMAN-TRU3]]</f>
        <v>5</v>
      </c>
      <c r="AV255">
        <f t="shared" si="98"/>
        <v>0.44444444444444442</v>
      </c>
      <c r="AW255">
        <f>step3_validation[[#This Row],[AI_TRU4]]</f>
        <v>8</v>
      </c>
      <c r="AX255">
        <f t="shared" si="99"/>
        <v>0.77777777777777779</v>
      </c>
      <c r="AY255">
        <f>survey_responses[[#This Row],[Tôi thấy Nhà nước đã giải thích rõ ràng, minh bạch về lý do và mục tiêu của việc sửa đổi thuế lần này. - HUMAN-TRU4]]</f>
        <v>6</v>
      </c>
      <c r="AZ255">
        <f t="shared" si="100"/>
        <v>0.55555555555555558</v>
      </c>
      <c r="BA255" s="32">
        <f t="shared" si="101"/>
        <v>0.86111111111111105</v>
      </c>
      <c r="BB255" s="32">
        <f t="shared" si="102"/>
        <v>0.44444444444444448</v>
      </c>
      <c r="BC255" s="7">
        <f t="shared" si="103"/>
        <v>0.84259259259259256</v>
      </c>
      <c r="BD255" s="7">
        <f t="shared" si="104"/>
        <v>0.35185185185185186</v>
      </c>
      <c r="BE255">
        <f>step3_validation[[#This Row],[AI_OUT1]]</f>
        <v>9</v>
      </c>
      <c r="BF255">
        <f t="shared" si="105"/>
        <v>0.88888888888888884</v>
      </c>
      <c r="BG255">
        <f>survey_responses[[#This Row],[Sau khi xem xét các quyền lợi và nghĩa vụ, bạn có ủng hộ và tuân thủ chính sách mới hiện nay? - HUMAN-OUT1]]</f>
        <v>6</v>
      </c>
      <c r="BH255">
        <f t="shared" si="106"/>
        <v>0.55555555555555558</v>
      </c>
      <c r="BI255" s="32">
        <f t="shared" si="107"/>
        <v>3</v>
      </c>
    </row>
    <row r="256" spans="1:61" x14ac:dyDescent="0.45">
      <c r="A256" s="30">
        <f>step3_validation[[#This Row],[Persona_ID]]</f>
        <v>255</v>
      </c>
      <c r="B256" s="31">
        <f>step3_validation[[#This Row],[Used_Seed]]</f>
        <v>255</v>
      </c>
      <c r="C256" t="str">
        <f>step3_validation[[#This Row],[Gender]]</f>
        <v>Nữ</v>
      </c>
      <c r="D256" t="str">
        <f>survey_responses[[#This Row],[Giới tính của bạn:]]</f>
        <v>Nữ</v>
      </c>
      <c r="E256" t="str">
        <f>step3_validation[[#This Row],[Age_Group]]</f>
        <v>30 - 39</v>
      </c>
      <c r="F256" t="str">
        <f>survey_responses[[#This Row],[Độ tuổi của bạn:]]</f>
        <v>30 - 39</v>
      </c>
      <c r="G256" t="str">
        <f>step3_validation[[#This Row],[Region]]</f>
        <v>Thành thị</v>
      </c>
      <c r="H256" t="str">
        <f>survey_responses[[#This Row],[Khu vực bạn đang sinh sống:]]</f>
        <v>Thành thị</v>
      </c>
      <c r="I256" t="str">
        <f>step3_validation[[#This Row],[Education]]</f>
        <v>Sau Đại học</v>
      </c>
      <c r="J256" t="str">
        <f>survey_responses[[#This Row],[Trình độ học vấn cao nhất:]]</f>
        <v>Sau Đại học</v>
      </c>
      <c r="K256" t="str">
        <f>step3_validation[[#This Row],[Employment]]</f>
        <v>Chính thức</v>
      </c>
      <c r="L256" t="str">
        <f>survey_responses[[#This Row],[Tình trạng việc làm chính:]]</f>
        <v>Khu vực chính thức (Có Hợp đồng lao động, đóng BHXH)</v>
      </c>
      <c r="M256">
        <f>step3_validation[[#This Row],[Income_Mil]]</f>
        <v>64.979775667352939</v>
      </c>
      <c r="N256" t="str">
        <f>survey_responses[[#This Row],[Thu nhập bình quân tháng theo Hợp đồng lao động của bạn là bao nhiêu? (Vui lòng điền tổng thu nhập trước khi khấu trừ các loại Bảo hiểm (BHXH, BHYT, BHTN) và Thuế TNCN)]]</f>
        <v>Từ 48 - 70 triệu VNĐ</v>
      </c>
      <c r="O256">
        <f>step3_validation[[#This Row],[Dependents]]</f>
        <v>1</v>
      </c>
      <c r="P256" t="str">
        <f>survey_responses[[#This Row],[Số người phụ thuộc (con nhỏ, cha mẹ già...) đủ điều kiện giảm trừ gia cảnh:]]</f>
        <v>1 người</v>
      </c>
      <c r="Q256">
        <f>step3_validation[[#This Row],[AI_ENF1]]</f>
        <v>7</v>
      </c>
      <c r="R256">
        <f t="shared" si="81"/>
        <v>0.66666666666666663</v>
      </c>
      <c r="S256">
        <f>survey_responses[[#This Row],[Tôi tin rằng với các quy định quản lý thuế hiện nay, hành vi gian lận hoặc trốn thuế sẽ dễ dàng bị phát hiện và xử lý nghiêm. - HUMAN-ENF1]]</f>
        <v>6</v>
      </c>
      <c r="T256">
        <f t="shared" si="82"/>
        <v>0.55555555555555558</v>
      </c>
      <c r="U256">
        <f>step3_validation[[#This Row],[AI_ENF2]]</f>
        <v>8</v>
      </c>
      <c r="V256">
        <f t="shared" si="83"/>
        <v>0.77777777777777779</v>
      </c>
      <c r="W256">
        <f>survey_responses[[#This Row],[Tôi tin rằng Nhà nước, cơ quan thuế có đủ khả năng và công nghệ để phát hiện, xử lý nghiêm các hành vi trốn thuế. - HUMAN-ENF2]]</f>
        <v>6</v>
      </c>
      <c r="X256">
        <f t="shared" si="84"/>
        <v>0.55555555555555558</v>
      </c>
      <c r="Y256" s="32">
        <f t="shared" si="85"/>
        <v>0.72222222222222221</v>
      </c>
      <c r="Z256" s="32">
        <f t="shared" si="86"/>
        <v>0.55555555555555558</v>
      </c>
      <c r="AA256">
        <f>step3_validation[[#This Row],[AI_FAC1]]</f>
        <v>9</v>
      </c>
      <c r="AB256">
        <f t="shared" si="87"/>
        <v>0.88888888888888884</v>
      </c>
      <c r="AC256">
        <f>survey_responses[[#This Row],[Các thủ tục khai báo thuế VÀ/HOẶC quy trình làm việc với cơ quan thuế đơn giản, tiện lợi, nhanh chóng hơn so với trước đây. - HUMAN-FAC1]]</f>
        <v>1</v>
      </c>
      <c r="AD256">
        <f t="shared" si="88"/>
        <v>0</v>
      </c>
      <c r="AE256">
        <f>step3_validation[[#This Row],[AI_FAC2]]</f>
        <v>10</v>
      </c>
      <c r="AF256">
        <f t="shared" si="89"/>
        <v>1</v>
      </c>
      <c r="AG256">
        <f>survey_responses[[#This Row],[So với trước đây, tôi thấy cách tính thuế và các bậc thuế trong phương án mới đơn giản, dễ hiểu và dễ thực hiện hơn. - HUMAN-FAC2]]</f>
        <v>7</v>
      </c>
      <c r="AH256">
        <f t="shared" si="90"/>
        <v>0.66666666666666663</v>
      </c>
      <c r="AI256" s="32">
        <f t="shared" si="91"/>
        <v>0.94444444444444442</v>
      </c>
      <c r="AJ256" s="32">
        <f t="shared" si="92"/>
        <v>0.33333333333333331</v>
      </c>
      <c r="AK256">
        <f>step3_validation[[#This Row],[AI_TRU1]]</f>
        <v>9</v>
      </c>
      <c r="AL256">
        <f t="shared" si="93"/>
        <v>0.88888888888888884</v>
      </c>
      <c r="AM256">
        <f>survey_responses[[#This Row],[Tôi tin rằng Nhà nước, cơ quan thuế sẽ thực thi chính sách mới một cách khách quan, công tâm và đối xử bình đẳng với mọi người nộp thuế.  - HUMAN-TRU1]]</f>
        <v>5</v>
      </c>
      <c r="AN256">
        <f t="shared" si="94"/>
        <v>0.44444444444444442</v>
      </c>
      <c r="AO256">
        <f>step3_validation[[#This Row],[AI_TRU2]]</f>
        <v>8</v>
      </c>
      <c r="AP256">
        <f t="shared" si="95"/>
        <v>0.77777777777777779</v>
      </c>
      <c r="AQ256">
        <f>survey_responses[[#This Row],[Tôi thấy mức thuế tôi phải đóng theo phương án mới là công bằng (người thu nhập như tôi đóng mức này là hợp lý). - HUMAN-TRU2]]</f>
        <v>6</v>
      </c>
      <c r="AR256">
        <f t="shared" si="96"/>
        <v>0.55555555555555558</v>
      </c>
      <c r="AS256">
        <f>step3_validation[[#This Row],[AI_TRU3]]</f>
        <v>9</v>
      </c>
      <c r="AT256">
        <f t="shared" si="97"/>
        <v>0.88888888888888884</v>
      </c>
      <c r="AU256">
        <f>survey_responses[[#This Row],[Tôi tin tưởng số tiền thuế tôi đóng sẽ được Nhà nước sử dụng hiệu quả để cải thiện dịch vụ công (y tế, đường xá...). - HUMAN-TRU3]]</f>
        <v>6</v>
      </c>
      <c r="AV256">
        <f t="shared" si="98"/>
        <v>0.55555555555555558</v>
      </c>
      <c r="AW256">
        <f>step3_validation[[#This Row],[AI_TRU4]]</f>
        <v>7</v>
      </c>
      <c r="AX256">
        <f t="shared" si="99"/>
        <v>0.66666666666666663</v>
      </c>
      <c r="AY256">
        <f>survey_responses[[#This Row],[Tôi thấy Nhà nước đã giải thích rõ ràng, minh bạch về lý do và mục tiêu của việc sửa đổi thuế lần này. - HUMAN-TRU4]]</f>
        <v>6</v>
      </c>
      <c r="AZ256">
        <f t="shared" si="100"/>
        <v>0.55555555555555558</v>
      </c>
      <c r="BA256" s="32">
        <f t="shared" si="101"/>
        <v>0.80555555555555547</v>
      </c>
      <c r="BB256" s="32">
        <f t="shared" si="102"/>
        <v>0.52777777777777779</v>
      </c>
      <c r="BC256" s="7">
        <f t="shared" si="103"/>
        <v>0.82407407407407396</v>
      </c>
      <c r="BD256" s="7">
        <f t="shared" si="104"/>
        <v>0.47222222222222215</v>
      </c>
      <c r="BE256">
        <f>step3_validation[[#This Row],[AI_OUT1]]</f>
        <v>9</v>
      </c>
      <c r="BF256">
        <f t="shared" si="105"/>
        <v>0.88888888888888884</v>
      </c>
      <c r="BG256">
        <f>survey_responses[[#This Row],[Sau khi xem xét các quyền lợi và nghĩa vụ, bạn có ủng hộ và tuân thủ chính sách mới hiện nay? - HUMAN-OUT1]]</f>
        <v>6</v>
      </c>
      <c r="BH256">
        <f t="shared" si="106"/>
        <v>0.55555555555555558</v>
      </c>
      <c r="BI256" s="32">
        <f t="shared" si="107"/>
        <v>3</v>
      </c>
    </row>
    <row r="257" spans="1:61" x14ac:dyDescent="0.45">
      <c r="A257" s="30">
        <f>step3_validation[[#This Row],[Persona_ID]]</f>
        <v>256</v>
      </c>
      <c r="B257" s="31">
        <f>step3_validation[[#This Row],[Used_Seed]]</f>
        <v>256</v>
      </c>
      <c r="C257" t="str">
        <f>step3_validation[[#This Row],[Gender]]</f>
        <v>Nữ</v>
      </c>
      <c r="D257" t="str">
        <f>survey_responses[[#This Row],[Giới tính của bạn:]]</f>
        <v>Nữ</v>
      </c>
      <c r="E257" t="str">
        <f>step3_validation[[#This Row],[Age_Group]]</f>
        <v>50 - 54</v>
      </c>
      <c r="F257" t="str">
        <f>survey_responses[[#This Row],[Độ tuổi của bạn:]]</f>
        <v>50 - 54</v>
      </c>
      <c r="G257" t="str">
        <f>step3_validation[[#This Row],[Region]]</f>
        <v>Thành thị</v>
      </c>
      <c r="H257" t="str">
        <f>survey_responses[[#This Row],[Khu vực bạn đang sinh sống:]]</f>
        <v>Thành thị</v>
      </c>
      <c r="I257" t="str">
        <f>step3_validation[[#This Row],[Education]]</f>
        <v>Đại học</v>
      </c>
      <c r="J257" t="str">
        <f>survey_responses[[#This Row],[Trình độ học vấn cao nhất:]]</f>
        <v>Đại học</v>
      </c>
      <c r="K257" t="str">
        <f>step3_validation[[#This Row],[Employment]]</f>
        <v>Chính thức</v>
      </c>
      <c r="L257" t="str">
        <f>survey_responses[[#This Row],[Tình trạng việc làm chính:]]</f>
        <v>Khu vực chính thức (Có Hợp đồng lao động, đóng BHXH)</v>
      </c>
      <c r="M257">
        <f>step3_validation[[#This Row],[Income_Mil]]</f>
        <v>207.96539685166721</v>
      </c>
      <c r="N257" t="str">
        <f>survey_responses[[#This Row],[Thu nhập bình quân tháng theo Hợp đồng lao động của bạn là bao nhiêu? (Vui lòng điền tổng thu nhập trước khi khấu trừ các loại Bảo hiểm (BHXH, BHYT, BHTN) và Thuế TNCN)]]</f>
        <v>Trên 102 triệu VNĐ</v>
      </c>
      <c r="O257">
        <f>step3_validation[[#This Row],[Dependents]]</f>
        <v>4</v>
      </c>
      <c r="P257" t="str">
        <f>survey_responses[[#This Row],[Số người phụ thuộc (con nhỏ, cha mẹ già...) đủ điều kiện giảm trừ gia cảnh:]]</f>
        <v>4 người trở lên</v>
      </c>
      <c r="Q257">
        <f>step3_validation[[#This Row],[AI_ENF1]]</f>
        <v>7</v>
      </c>
      <c r="R257">
        <f t="shared" si="81"/>
        <v>0.66666666666666663</v>
      </c>
      <c r="S257">
        <f>survey_responses[[#This Row],[Tôi tin rằng với các quy định quản lý thuế hiện nay, hành vi gian lận hoặc trốn thuế sẽ dễ dàng bị phát hiện và xử lý nghiêm. - HUMAN-ENF1]]</f>
        <v>8</v>
      </c>
      <c r="T257">
        <f t="shared" si="82"/>
        <v>0.77777777777777779</v>
      </c>
      <c r="U257">
        <f>step3_validation[[#This Row],[AI_ENF2]]</f>
        <v>6</v>
      </c>
      <c r="V257">
        <f t="shared" si="83"/>
        <v>0.55555555555555558</v>
      </c>
      <c r="W257">
        <f>survey_responses[[#This Row],[Tôi tin rằng Nhà nước, cơ quan thuế có đủ khả năng và công nghệ để phát hiện, xử lý nghiêm các hành vi trốn thuế. - HUMAN-ENF2]]</f>
        <v>8</v>
      </c>
      <c r="X257">
        <f t="shared" si="84"/>
        <v>0.77777777777777779</v>
      </c>
      <c r="Y257" s="32">
        <f t="shared" si="85"/>
        <v>0.61111111111111116</v>
      </c>
      <c r="Z257" s="32">
        <f t="shared" si="86"/>
        <v>0.77777777777777779</v>
      </c>
      <c r="AA257">
        <f>step3_validation[[#This Row],[AI_FAC1]]</f>
        <v>5</v>
      </c>
      <c r="AB257">
        <f t="shared" si="87"/>
        <v>0.44444444444444442</v>
      </c>
      <c r="AC257">
        <f>survey_responses[[#This Row],[Các thủ tục khai báo thuế VÀ/HOẶC quy trình làm việc với cơ quan thuế đơn giản, tiện lợi, nhanh chóng hơn so với trước đây. - HUMAN-FAC1]]</f>
        <v>5</v>
      </c>
      <c r="AD257">
        <f t="shared" si="88"/>
        <v>0.44444444444444442</v>
      </c>
      <c r="AE257">
        <f>step3_validation[[#This Row],[AI_FAC2]]</f>
        <v>7</v>
      </c>
      <c r="AF257">
        <f t="shared" si="89"/>
        <v>0.66666666666666663</v>
      </c>
      <c r="AG257">
        <f>survey_responses[[#This Row],[So với trước đây, tôi thấy cách tính thuế và các bậc thuế trong phương án mới đơn giản, dễ hiểu và dễ thực hiện hơn. - HUMAN-FAC2]]</f>
        <v>8</v>
      </c>
      <c r="AH257">
        <f t="shared" si="90"/>
        <v>0.77777777777777779</v>
      </c>
      <c r="AI257" s="32">
        <f t="shared" si="91"/>
        <v>0.55555555555555558</v>
      </c>
      <c r="AJ257" s="32">
        <f t="shared" si="92"/>
        <v>0.61111111111111116</v>
      </c>
      <c r="AK257">
        <f>step3_validation[[#This Row],[AI_TRU1]]</f>
        <v>6</v>
      </c>
      <c r="AL257">
        <f t="shared" si="93"/>
        <v>0.55555555555555558</v>
      </c>
      <c r="AM257">
        <f>survey_responses[[#This Row],[Tôi tin rằng Nhà nước, cơ quan thuế sẽ thực thi chính sách mới một cách khách quan, công tâm và đối xử bình đẳng với mọi người nộp thuế.  - HUMAN-TRU1]]</f>
        <v>8</v>
      </c>
      <c r="AN257">
        <f t="shared" si="94"/>
        <v>0.77777777777777779</v>
      </c>
      <c r="AO257">
        <f>step3_validation[[#This Row],[AI_TRU2]]</f>
        <v>5</v>
      </c>
      <c r="AP257">
        <f t="shared" si="95"/>
        <v>0.44444444444444442</v>
      </c>
      <c r="AQ257">
        <f>survey_responses[[#This Row],[Tôi thấy mức thuế tôi phải đóng theo phương án mới là công bằng (người thu nhập như tôi đóng mức này là hợp lý). - HUMAN-TRU2]]</f>
        <v>7</v>
      </c>
      <c r="AR257">
        <f t="shared" si="96"/>
        <v>0.66666666666666663</v>
      </c>
      <c r="AS257">
        <f>step3_validation[[#This Row],[AI_TRU3]]</f>
        <v>6</v>
      </c>
      <c r="AT257">
        <f t="shared" si="97"/>
        <v>0.55555555555555558</v>
      </c>
      <c r="AU257">
        <f>survey_responses[[#This Row],[Tôi tin tưởng số tiền thuế tôi đóng sẽ được Nhà nước sử dụng hiệu quả để cải thiện dịch vụ công (y tế, đường xá...). - HUMAN-TRU3]]</f>
        <v>7</v>
      </c>
      <c r="AV257">
        <f t="shared" si="98"/>
        <v>0.66666666666666663</v>
      </c>
      <c r="AW257">
        <f>step3_validation[[#This Row],[AI_TRU4]]</f>
        <v>5</v>
      </c>
      <c r="AX257">
        <f t="shared" si="99"/>
        <v>0.44444444444444442</v>
      </c>
      <c r="AY257">
        <f>survey_responses[[#This Row],[Tôi thấy Nhà nước đã giải thích rõ ràng, minh bạch về lý do và mục tiêu của việc sửa đổi thuế lần này. - HUMAN-TRU4]]</f>
        <v>7</v>
      </c>
      <c r="AZ257">
        <f t="shared" si="100"/>
        <v>0.66666666666666663</v>
      </c>
      <c r="BA257" s="32">
        <f t="shared" si="101"/>
        <v>0.5</v>
      </c>
      <c r="BB257" s="32">
        <f t="shared" si="102"/>
        <v>0.69444444444444442</v>
      </c>
      <c r="BC257" s="7">
        <f t="shared" si="103"/>
        <v>0.55555555555555558</v>
      </c>
      <c r="BD257" s="7">
        <f t="shared" si="104"/>
        <v>0.69444444444444431</v>
      </c>
      <c r="BE257">
        <f>step3_validation[[#This Row],[AI_OUT1]]</f>
        <v>7</v>
      </c>
      <c r="BF257">
        <f t="shared" si="105"/>
        <v>0.66666666666666663</v>
      </c>
      <c r="BG257">
        <f>survey_responses[[#This Row],[Sau khi xem xét các quyền lợi và nghĩa vụ, bạn có ủng hộ và tuân thủ chính sách mới hiện nay? - HUMAN-OUT1]]</f>
        <v>7</v>
      </c>
      <c r="BH257">
        <f t="shared" si="106"/>
        <v>0.66666666666666663</v>
      </c>
      <c r="BI257" s="32">
        <f t="shared" si="107"/>
        <v>0</v>
      </c>
    </row>
    <row r="258" spans="1:61" x14ac:dyDescent="0.45">
      <c r="A258" s="30">
        <f>step3_validation[[#This Row],[Persona_ID]]</f>
        <v>257</v>
      </c>
      <c r="B258" s="31">
        <f>step3_validation[[#This Row],[Used_Seed]]</f>
        <v>257</v>
      </c>
      <c r="C258" t="str">
        <f>step3_validation[[#This Row],[Gender]]</f>
        <v>Nữ</v>
      </c>
      <c r="D258" t="str">
        <f>survey_responses[[#This Row],[Giới tính của bạn:]]</f>
        <v>Nữ</v>
      </c>
      <c r="E258" t="str">
        <f>step3_validation[[#This Row],[Age_Group]]</f>
        <v>25 - 29</v>
      </c>
      <c r="F258" t="str">
        <f>survey_responses[[#This Row],[Độ tuổi của bạn:]]</f>
        <v>25 - 29</v>
      </c>
      <c r="G258" t="str">
        <f>step3_validation[[#This Row],[Region]]</f>
        <v>Thành thị</v>
      </c>
      <c r="H258" t="str">
        <f>survey_responses[[#This Row],[Khu vực bạn đang sinh sống:]]</f>
        <v>Thành thị</v>
      </c>
      <c r="I258" t="str">
        <f>step3_validation[[#This Row],[Education]]</f>
        <v>Đại học</v>
      </c>
      <c r="J258" t="str">
        <f>survey_responses[[#This Row],[Trình độ học vấn cao nhất:]]</f>
        <v>Đại học</v>
      </c>
      <c r="K258" t="str">
        <f>step3_validation[[#This Row],[Employment]]</f>
        <v>Chính thức</v>
      </c>
      <c r="L258" t="str">
        <f>survey_responses[[#This Row],[Tình trạng việc làm chính:]]</f>
        <v>Khu vực chính thức (Có Hợp đồng lao động, đóng BHXH)</v>
      </c>
      <c r="M258">
        <f>step3_validation[[#This Row],[Income_Mil]]</f>
        <v>43.203266373214916</v>
      </c>
      <c r="N258" t="str">
        <f>survey_responses[[#This Row],[Thu nhập bình quân tháng theo Hợp đồng lao động của bạn là bao nhiêu? (Vui lòng điền tổng thu nhập trước khi khấu trừ các loại Bảo hiểm (BHXH, BHYT, BHTN) và Thuế TNCN)]]</f>
        <v>Từ 32 - 48 triệu VNĐ</v>
      </c>
      <c r="O258">
        <f>step3_validation[[#This Row],[Dependents]]</f>
        <v>1</v>
      </c>
      <c r="P258" t="str">
        <f>survey_responses[[#This Row],[Số người phụ thuộc (con nhỏ, cha mẹ già...) đủ điều kiện giảm trừ gia cảnh:]]</f>
        <v>1 người</v>
      </c>
      <c r="Q258">
        <f>step3_validation[[#This Row],[AI_ENF1]]</f>
        <v>7</v>
      </c>
      <c r="R258">
        <f t="shared" si="81"/>
        <v>0.66666666666666663</v>
      </c>
      <c r="S258">
        <f>survey_responses[[#This Row],[Tôi tin rằng với các quy định quản lý thuế hiện nay, hành vi gian lận hoặc trốn thuế sẽ dễ dàng bị phát hiện và xử lý nghiêm. - HUMAN-ENF1]]</f>
        <v>7</v>
      </c>
      <c r="T258">
        <f t="shared" si="82"/>
        <v>0.66666666666666663</v>
      </c>
      <c r="U258">
        <f>step3_validation[[#This Row],[AI_ENF2]]</f>
        <v>6</v>
      </c>
      <c r="V258">
        <f t="shared" si="83"/>
        <v>0.55555555555555558</v>
      </c>
      <c r="W258">
        <f>survey_responses[[#This Row],[Tôi tin rằng Nhà nước, cơ quan thuế có đủ khả năng và công nghệ để phát hiện, xử lý nghiêm các hành vi trốn thuế. - HUMAN-ENF2]]</f>
        <v>8</v>
      </c>
      <c r="X258">
        <f t="shared" si="84"/>
        <v>0.77777777777777779</v>
      </c>
      <c r="Y258" s="32">
        <f t="shared" si="85"/>
        <v>0.61111111111111116</v>
      </c>
      <c r="Z258" s="32">
        <f t="shared" si="86"/>
        <v>0.72222222222222221</v>
      </c>
      <c r="AA258">
        <f>step3_validation[[#This Row],[AI_FAC1]]</f>
        <v>8</v>
      </c>
      <c r="AB258">
        <f t="shared" si="87"/>
        <v>0.77777777777777779</v>
      </c>
      <c r="AC258">
        <f>survey_responses[[#This Row],[Các thủ tục khai báo thuế VÀ/HOẶC quy trình làm việc với cơ quan thuế đơn giản, tiện lợi, nhanh chóng hơn so với trước đây. - HUMAN-FAC1]]</f>
        <v>4</v>
      </c>
      <c r="AD258">
        <f t="shared" si="88"/>
        <v>0.33333333333333331</v>
      </c>
      <c r="AE258">
        <f>step3_validation[[#This Row],[AI_FAC2]]</f>
        <v>9</v>
      </c>
      <c r="AF258">
        <f t="shared" si="89"/>
        <v>0.88888888888888884</v>
      </c>
      <c r="AG258">
        <f>survey_responses[[#This Row],[So với trước đây, tôi thấy cách tính thuế và các bậc thuế trong phương án mới đơn giản, dễ hiểu và dễ thực hiện hơn. - HUMAN-FAC2]]</f>
        <v>8</v>
      </c>
      <c r="AH258">
        <f t="shared" si="90"/>
        <v>0.77777777777777779</v>
      </c>
      <c r="AI258" s="32">
        <f t="shared" si="91"/>
        <v>0.83333333333333326</v>
      </c>
      <c r="AJ258" s="32">
        <f t="shared" si="92"/>
        <v>0.55555555555555558</v>
      </c>
      <c r="AK258">
        <f>step3_validation[[#This Row],[AI_TRU1]]</f>
        <v>7</v>
      </c>
      <c r="AL258">
        <f t="shared" si="93"/>
        <v>0.66666666666666663</v>
      </c>
      <c r="AM258">
        <f>survey_responses[[#This Row],[Tôi tin rằng Nhà nước, cơ quan thuế sẽ thực thi chính sách mới một cách khách quan, công tâm và đối xử bình đẳng với mọi người nộp thuế.  - HUMAN-TRU1]]</f>
        <v>5</v>
      </c>
      <c r="AN258">
        <f t="shared" si="94"/>
        <v>0.44444444444444442</v>
      </c>
      <c r="AO258">
        <f>step3_validation[[#This Row],[AI_TRU2]]</f>
        <v>8</v>
      </c>
      <c r="AP258">
        <f t="shared" si="95"/>
        <v>0.77777777777777779</v>
      </c>
      <c r="AQ258">
        <f>survey_responses[[#This Row],[Tôi thấy mức thuế tôi phải đóng theo phương án mới là công bằng (người thu nhập như tôi đóng mức này là hợp lý). - HUMAN-TRU2]]</f>
        <v>7</v>
      </c>
      <c r="AR258">
        <f t="shared" si="96"/>
        <v>0.66666666666666663</v>
      </c>
      <c r="AS258">
        <f>step3_validation[[#This Row],[AI_TRU3]]</f>
        <v>7</v>
      </c>
      <c r="AT258">
        <f t="shared" si="97"/>
        <v>0.66666666666666663</v>
      </c>
      <c r="AU258">
        <f>survey_responses[[#This Row],[Tôi tin tưởng số tiền thuế tôi đóng sẽ được Nhà nước sử dụng hiệu quả để cải thiện dịch vụ công (y tế, đường xá...). - HUMAN-TRU3]]</f>
        <v>5</v>
      </c>
      <c r="AV258">
        <f t="shared" si="98"/>
        <v>0.44444444444444442</v>
      </c>
      <c r="AW258">
        <f>step3_validation[[#This Row],[AI_TRU4]]</f>
        <v>6</v>
      </c>
      <c r="AX258">
        <f t="shared" si="99"/>
        <v>0.55555555555555558</v>
      </c>
      <c r="AY258">
        <f>survey_responses[[#This Row],[Tôi thấy Nhà nước đã giải thích rõ ràng, minh bạch về lý do và mục tiêu của việc sửa đổi thuế lần này. - HUMAN-TRU4]]</f>
        <v>6</v>
      </c>
      <c r="AZ258">
        <f t="shared" si="100"/>
        <v>0.55555555555555558</v>
      </c>
      <c r="BA258" s="32">
        <f t="shared" si="101"/>
        <v>0.66666666666666674</v>
      </c>
      <c r="BB258" s="32">
        <f t="shared" si="102"/>
        <v>0.52777777777777779</v>
      </c>
      <c r="BC258" s="7">
        <f t="shared" si="103"/>
        <v>0.70370370370370372</v>
      </c>
      <c r="BD258" s="7">
        <f t="shared" si="104"/>
        <v>0.60185185185185175</v>
      </c>
      <c r="BE258">
        <f>step3_validation[[#This Row],[AI_OUT1]]</f>
        <v>9</v>
      </c>
      <c r="BF258">
        <f t="shared" si="105"/>
        <v>0.88888888888888884</v>
      </c>
      <c r="BG258">
        <f>survey_responses[[#This Row],[Sau khi xem xét các quyền lợi và nghĩa vụ, bạn có ủng hộ và tuân thủ chính sách mới hiện nay? - HUMAN-OUT1]]</f>
        <v>6</v>
      </c>
      <c r="BH258">
        <f t="shared" si="106"/>
        <v>0.55555555555555558</v>
      </c>
      <c r="BI258" s="32">
        <f t="shared" si="107"/>
        <v>3</v>
      </c>
    </row>
    <row r="259" spans="1:61" x14ac:dyDescent="0.45">
      <c r="A259" s="30">
        <f>step3_validation[[#This Row],[Persona_ID]]</f>
        <v>258</v>
      </c>
      <c r="B259" s="31">
        <f>step3_validation[[#This Row],[Used_Seed]]</f>
        <v>258</v>
      </c>
      <c r="C259" t="str">
        <f>step3_validation[[#This Row],[Gender]]</f>
        <v>Nam</v>
      </c>
      <c r="D259" t="str">
        <f>survey_responses[[#This Row],[Giới tính của bạn:]]</f>
        <v>Nam</v>
      </c>
      <c r="E259" t="str">
        <f>step3_validation[[#This Row],[Age_Group]]</f>
        <v>40 - 49</v>
      </c>
      <c r="F259" t="str">
        <f>survey_responses[[#This Row],[Độ tuổi của bạn:]]</f>
        <v>40 - 49</v>
      </c>
      <c r="G259" t="str">
        <f>step3_validation[[#This Row],[Region]]</f>
        <v>Thành thị</v>
      </c>
      <c r="H259" t="str">
        <f>survey_responses[[#This Row],[Khu vực bạn đang sinh sống:]]</f>
        <v>Thành thị</v>
      </c>
      <c r="I259" t="str">
        <f>step3_validation[[#This Row],[Education]]</f>
        <v>Đại học</v>
      </c>
      <c r="J259" t="str">
        <f>survey_responses[[#This Row],[Trình độ học vấn cao nhất:]]</f>
        <v>Đại học</v>
      </c>
      <c r="K259" t="str">
        <f>step3_validation[[#This Row],[Employment]]</f>
        <v>Chính thức</v>
      </c>
      <c r="L259" t="str">
        <f>survey_responses[[#This Row],[Tình trạng việc làm chính:]]</f>
        <v>Khu vực chính thức (Có Hợp đồng lao động, đóng BHXH)</v>
      </c>
      <c r="M259">
        <f>step3_validation[[#This Row],[Income_Mil]]</f>
        <v>55.376590294432937</v>
      </c>
      <c r="N259" t="str">
        <f>survey_responses[[#This Row],[Thu nhập bình quân tháng theo Hợp đồng lao động của bạn là bao nhiêu? (Vui lòng điền tổng thu nhập trước khi khấu trừ các loại Bảo hiểm (BHXH, BHYT, BHTN) và Thuế TNCN)]]</f>
        <v>Từ 48 - 70 triệu VNĐ</v>
      </c>
      <c r="O259">
        <f>step3_validation[[#This Row],[Dependents]]</f>
        <v>2</v>
      </c>
      <c r="P259" t="str">
        <f>survey_responses[[#This Row],[Số người phụ thuộc (con nhỏ, cha mẹ già...) đủ điều kiện giảm trừ gia cảnh:]]</f>
        <v>2 người</v>
      </c>
      <c r="Q259">
        <f>step3_validation[[#This Row],[AI_ENF1]]</f>
        <v>8</v>
      </c>
      <c r="R259">
        <f t="shared" ref="R259:R322" si="108">(Q259-1)/9</f>
        <v>0.77777777777777779</v>
      </c>
      <c r="S259">
        <f>survey_responses[[#This Row],[Tôi tin rằng với các quy định quản lý thuế hiện nay, hành vi gian lận hoặc trốn thuế sẽ dễ dàng bị phát hiện và xử lý nghiêm. - HUMAN-ENF1]]</f>
        <v>6</v>
      </c>
      <c r="T259">
        <f t="shared" ref="T259:T322" si="109">(S259-1)/9</f>
        <v>0.55555555555555558</v>
      </c>
      <c r="U259">
        <f>step3_validation[[#This Row],[AI_ENF2]]</f>
        <v>9</v>
      </c>
      <c r="V259">
        <f t="shared" ref="V259:V322" si="110">(U259-1)/9</f>
        <v>0.88888888888888884</v>
      </c>
      <c r="W259">
        <f>survey_responses[[#This Row],[Tôi tin rằng Nhà nước, cơ quan thuế có đủ khả năng và công nghệ để phát hiện, xử lý nghiêm các hành vi trốn thuế. - HUMAN-ENF2]]</f>
        <v>7</v>
      </c>
      <c r="X259">
        <f t="shared" ref="X259:X322" si="111">(W259-1)/9</f>
        <v>0.66666666666666663</v>
      </c>
      <c r="Y259" s="32">
        <f t="shared" ref="Y259:Y322" si="112">AVERAGE(R259,V259)</f>
        <v>0.83333333333333326</v>
      </c>
      <c r="Z259" s="32">
        <f t="shared" ref="Z259:Z322" si="113">AVERAGE(T259,X259)</f>
        <v>0.61111111111111116</v>
      </c>
      <c r="AA259">
        <f>step3_validation[[#This Row],[AI_FAC1]]</f>
        <v>8</v>
      </c>
      <c r="AB259">
        <f t="shared" ref="AB259:AB322" si="114">(AA259-1)/9</f>
        <v>0.77777777777777779</v>
      </c>
      <c r="AC259">
        <f>survey_responses[[#This Row],[Các thủ tục khai báo thuế VÀ/HOẶC quy trình làm việc với cơ quan thuế đơn giản, tiện lợi, nhanh chóng hơn so với trước đây. - HUMAN-FAC1]]</f>
        <v>2</v>
      </c>
      <c r="AD259">
        <f t="shared" ref="AD259:AD322" si="115">(AC259-1)/9</f>
        <v>0.1111111111111111</v>
      </c>
      <c r="AE259">
        <f>step3_validation[[#This Row],[AI_FAC2]]</f>
        <v>9</v>
      </c>
      <c r="AF259">
        <f t="shared" ref="AF259:AF322" si="116">(AE259-1)/9</f>
        <v>0.88888888888888884</v>
      </c>
      <c r="AG259">
        <f>survey_responses[[#This Row],[So với trước đây, tôi thấy cách tính thuế và các bậc thuế trong phương án mới đơn giản, dễ hiểu và dễ thực hiện hơn. - HUMAN-FAC2]]</f>
        <v>7</v>
      </c>
      <c r="AH259">
        <f t="shared" ref="AH259:AH322" si="117">(AG259-1)/9</f>
        <v>0.66666666666666663</v>
      </c>
      <c r="AI259" s="32">
        <f t="shared" ref="AI259:AI322" si="118">AVERAGE(AB259,AF259)</f>
        <v>0.83333333333333326</v>
      </c>
      <c r="AJ259" s="32">
        <f t="shared" ref="AJ259:AJ322" si="119">AVERAGE(AD259,AH259)</f>
        <v>0.38888888888888884</v>
      </c>
      <c r="AK259">
        <f>step3_validation[[#This Row],[AI_TRU1]]</f>
        <v>8</v>
      </c>
      <c r="AL259">
        <f t="shared" ref="AL259:AL322" si="120">(AK259-1)/9</f>
        <v>0.77777777777777779</v>
      </c>
      <c r="AM259">
        <f>survey_responses[[#This Row],[Tôi tin rằng Nhà nước, cơ quan thuế sẽ thực thi chính sách mới một cách khách quan, công tâm và đối xử bình đẳng với mọi người nộp thuế.  - HUMAN-TRU1]]</f>
        <v>5</v>
      </c>
      <c r="AN259">
        <f t="shared" ref="AN259:AN322" si="121">(AM259-1)/9</f>
        <v>0.44444444444444442</v>
      </c>
      <c r="AO259">
        <f>step3_validation[[#This Row],[AI_TRU2]]</f>
        <v>9</v>
      </c>
      <c r="AP259">
        <f t="shared" ref="AP259:AP322" si="122">(AO259-1)/9</f>
        <v>0.88888888888888884</v>
      </c>
      <c r="AQ259">
        <f>survey_responses[[#This Row],[Tôi thấy mức thuế tôi phải đóng theo phương án mới là công bằng (người thu nhập như tôi đóng mức này là hợp lý). - HUMAN-TRU2]]</f>
        <v>5</v>
      </c>
      <c r="AR259">
        <f t="shared" ref="AR259:AR322" si="123">(AQ259-1)/9</f>
        <v>0.44444444444444442</v>
      </c>
      <c r="AS259">
        <f>step3_validation[[#This Row],[AI_TRU3]]</f>
        <v>8</v>
      </c>
      <c r="AT259">
        <f t="shared" ref="AT259:AT322" si="124">(AS259-1)/9</f>
        <v>0.77777777777777779</v>
      </c>
      <c r="AU259">
        <f>survey_responses[[#This Row],[Tôi tin tưởng số tiền thuế tôi đóng sẽ được Nhà nước sử dụng hiệu quả để cải thiện dịch vụ công (y tế, đường xá...). - HUMAN-TRU3]]</f>
        <v>5</v>
      </c>
      <c r="AV259">
        <f t="shared" ref="AV259:AV322" si="125">(AU259-1)/9</f>
        <v>0.44444444444444442</v>
      </c>
      <c r="AW259">
        <f>step3_validation[[#This Row],[AI_TRU4]]</f>
        <v>9</v>
      </c>
      <c r="AX259">
        <f t="shared" ref="AX259:AX322" si="126">(AW259-1)/9</f>
        <v>0.88888888888888884</v>
      </c>
      <c r="AY259">
        <f>survey_responses[[#This Row],[Tôi thấy Nhà nước đã giải thích rõ ràng, minh bạch về lý do và mục tiêu của việc sửa đổi thuế lần này. - HUMAN-TRU4]]</f>
        <v>6</v>
      </c>
      <c r="AZ259">
        <f t="shared" ref="AZ259:AZ322" si="127">(AY259-1)/9</f>
        <v>0.55555555555555558</v>
      </c>
      <c r="BA259" s="32">
        <f t="shared" ref="BA259:BA322" si="128">AVERAGE(AL259,AP259,AT259,AX259)</f>
        <v>0.83333333333333326</v>
      </c>
      <c r="BB259" s="32">
        <f t="shared" ref="BB259:BB322" si="129">AVERAGE(AN259,AR259,AV259,AZ259)</f>
        <v>0.47222222222222221</v>
      </c>
      <c r="BC259" s="7">
        <f t="shared" ref="BC259:BC322" si="130">(Y259+AI259+BA259)/3</f>
        <v>0.83333333333333337</v>
      </c>
      <c r="BD259" s="7">
        <f t="shared" ref="BD259:BD322" si="131">(Z259+AJ259+BB259)/3</f>
        <v>0.49074074074074076</v>
      </c>
      <c r="BE259">
        <f>step3_validation[[#This Row],[AI_OUT1]]</f>
        <v>8</v>
      </c>
      <c r="BF259">
        <f t="shared" ref="BF259:BF322" si="132">(BE259-1)/9</f>
        <v>0.77777777777777779</v>
      </c>
      <c r="BG259">
        <f>survey_responses[[#This Row],[Sau khi xem xét các quyền lợi và nghĩa vụ, bạn có ủng hộ và tuân thủ chính sách mới hiện nay? - HUMAN-OUT1]]</f>
        <v>5</v>
      </c>
      <c r="BH259">
        <f t="shared" ref="BH259:BH322" si="133">(BG259-1)/9</f>
        <v>0.44444444444444442</v>
      </c>
      <c r="BI259" s="32">
        <f t="shared" ref="BI259:BI322" si="134">ABS(BG259-BE259)</f>
        <v>3</v>
      </c>
    </row>
    <row r="260" spans="1:61" x14ac:dyDescent="0.45">
      <c r="A260" s="30">
        <f>step3_validation[[#This Row],[Persona_ID]]</f>
        <v>259</v>
      </c>
      <c r="B260" s="31">
        <f>step3_validation[[#This Row],[Used_Seed]]</f>
        <v>259</v>
      </c>
      <c r="C260" t="str">
        <f>step3_validation[[#This Row],[Gender]]</f>
        <v>Nam</v>
      </c>
      <c r="D260" t="str">
        <f>survey_responses[[#This Row],[Giới tính của bạn:]]</f>
        <v>Nam</v>
      </c>
      <c r="E260" t="str">
        <f>step3_validation[[#This Row],[Age_Group]]</f>
        <v>50 - 54</v>
      </c>
      <c r="F260" t="str">
        <f>survey_responses[[#This Row],[Độ tuổi của bạn:]]</f>
        <v>50 - 54</v>
      </c>
      <c r="G260" t="str">
        <f>step3_validation[[#This Row],[Region]]</f>
        <v>Thành thị</v>
      </c>
      <c r="H260" t="str">
        <f>survey_responses[[#This Row],[Khu vực bạn đang sinh sống:]]</f>
        <v>Thành thị</v>
      </c>
      <c r="I260" t="str">
        <f>step3_validation[[#This Row],[Education]]</f>
        <v>Sau Đại học</v>
      </c>
      <c r="J260" t="str">
        <f>survey_responses[[#This Row],[Trình độ học vấn cao nhất:]]</f>
        <v>Sau Đại học</v>
      </c>
      <c r="K260" t="str">
        <f>step3_validation[[#This Row],[Employment]]</f>
        <v>Chính thức</v>
      </c>
      <c r="L260" t="str">
        <f>survey_responses[[#This Row],[Tình trạng việc làm chính:]]</f>
        <v>Khu vực chính thức (Có Hợp đồng lao động, đóng BHXH)</v>
      </c>
      <c r="M260">
        <f>step3_validation[[#This Row],[Income_Mil]]</f>
        <v>190.76012117741774</v>
      </c>
      <c r="N260" t="str">
        <f>survey_responses[[#This Row],[Thu nhập bình quân tháng theo Hợp đồng lao động của bạn là bao nhiêu? (Vui lòng điền tổng thu nhập trước khi khấu trừ các loại Bảo hiểm (BHXH, BHYT, BHTN) và Thuế TNCN)]]</f>
        <v>Trên 102 triệu VNĐ</v>
      </c>
      <c r="O260">
        <f>step3_validation[[#This Row],[Dependents]]</f>
        <v>4</v>
      </c>
      <c r="P260" t="str">
        <f>survey_responses[[#This Row],[Số người phụ thuộc (con nhỏ, cha mẹ già...) đủ điều kiện giảm trừ gia cảnh:]]</f>
        <v>4 người trở lên</v>
      </c>
      <c r="Q260">
        <f>step3_validation[[#This Row],[AI_ENF1]]</f>
        <v>7</v>
      </c>
      <c r="R260">
        <f t="shared" si="108"/>
        <v>0.66666666666666663</v>
      </c>
      <c r="S260">
        <f>survey_responses[[#This Row],[Tôi tin rằng với các quy định quản lý thuế hiện nay, hành vi gian lận hoặc trốn thuế sẽ dễ dàng bị phát hiện và xử lý nghiêm. - HUMAN-ENF1]]</f>
        <v>2</v>
      </c>
      <c r="T260">
        <f t="shared" si="109"/>
        <v>0.1111111111111111</v>
      </c>
      <c r="U260">
        <f>step3_validation[[#This Row],[AI_ENF2]]</f>
        <v>8</v>
      </c>
      <c r="V260">
        <f t="shared" si="110"/>
        <v>0.77777777777777779</v>
      </c>
      <c r="W260">
        <f>survey_responses[[#This Row],[Tôi tin rằng Nhà nước, cơ quan thuế có đủ khả năng và công nghệ để phát hiện, xử lý nghiêm các hành vi trốn thuế. - HUMAN-ENF2]]</f>
        <v>1</v>
      </c>
      <c r="X260">
        <f t="shared" si="111"/>
        <v>0</v>
      </c>
      <c r="Y260" s="32">
        <f t="shared" si="112"/>
        <v>0.72222222222222221</v>
      </c>
      <c r="Z260" s="32">
        <f t="shared" si="113"/>
        <v>5.5555555555555552E-2</v>
      </c>
      <c r="AA260">
        <f>step3_validation[[#This Row],[AI_FAC1]]</f>
        <v>9</v>
      </c>
      <c r="AB260">
        <f t="shared" si="114"/>
        <v>0.88888888888888884</v>
      </c>
      <c r="AC260">
        <f>survey_responses[[#This Row],[Các thủ tục khai báo thuế VÀ/HOẶC quy trình làm việc với cơ quan thuế đơn giản, tiện lợi, nhanh chóng hơn so với trước đây. - HUMAN-FAC1]]</f>
        <v>1</v>
      </c>
      <c r="AD260">
        <f t="shared" si="115"/>
        <v>0</v>
      </c>
      <c r="AE260">
        <f>step3_validation[[#This Row],[AI_FAC2]]</f>
        <v>8</v>
      </c>
      <c r="AF260">
        <f t="shared" si="116"/>
        <v>0.77777777777777779</v>
      </c>
      <c r="AG260">
        <f>survey_responses[[#This Row],[So với trước đây, tôi thấy cách tính thuế và các bậc thuế trong phương án mới đơn giản, dễ hiểu và dễ thực hiện hơn. - HUMAN-FAC2]]</f>
        <v>6</v>
      </c>
      <c r="AH260">
        <f t="shared" si="117"/>
        <v>0.55555555555555558</v>
      </c>
      <c r="AI260" s="32">
        <f t="shared" si="118"/>
        <v>0.83333333333333326</v>
      </c>
      <c r="AJ260" s="32">
        <f t="shared" si="119"/>
        <v>0.27777777777777779</v>
      </c>
      <c r="AK260">
        <f>step3_validation[[#This Row],[AI_TRU1]]</f>
        <v>9</v>
      </c>
      <c r="AL260">
        <f t="shared" si="120"/>
        <v>0.88888888888888884</v>
      </c>
      <c r="AM260">
        <f>survey_responses[[#This Row],[Tôi tin rằng Nhà nước, cơ quan thuế sẽ thực thi chính sách mới một cách khách quan, công tâm và đối xử bình đẳng với mọi người nộp thuế.  - HUMAN-TRU1]]</f>
        <v>2</v>
      </c>
      <c r="AN260">
        <f t="shared" si="121"/>
        <v>0.1111111111111111</v>
      </c>
      <c r="AO260">
        <f>step3_validation[[#This Row],[AI_TRU2]]</f>
        <v>8</v>
      </c>
      <c r="AP260">
        <f t="shared" si="122"/>
        <v>0.77777777777777779</v>
      </c>
      <c r="AQ260">
        <f>survey_responses[[#This Row],[Tôi thấy mức thuế tôi phải đóng theo phương án mới là công bằng (người thu nhập như tôi đóng mức này là hợp lý). - HUMAN-TRU2]]</f>
        <v>3</v>
      </c>
      <c r="AR260">
        <f t="shared" si="123"/>
        <v>0.22222222222222221</v>
      </c>
      <c r="AS260">
        <f>step3_validation[[#This Row],[AI_TRU3]]</f>
        <v>9</v>
      </c>
      <c r="AT260">
        <f t="shared" si="124"/>
        <v>0.88888888888888884</v>
      </c>
      <c r="AU260">
        <f>survey_responses[[#This Row],[Tôi tin tưởng số tiền thuế tôi đóng sẽ được Nhà nước sử dụng hiệu quả để cải thiện dịch vụ công (y tế, đường xá...). - HUMAN-TRU3]]</f>
        <v>1</v>
      </c>
      <c r="AV260">
        <f t="shared" si="125"/>
        <v>0</v>
      </c>
      <c r="AW260">
        <f>step3_validation[[#This Row],[AI_TRU4]]</f>
        <v>8</v>
      </c>
      <c r="AX260">
        <f t="shared" si="126"/>
        <v>0.77777777777777779</v>
      </c>
      <c r="AY260">
        <f>survey_responses[[#This Row],[Tôi thấy Nhà nước đã giải thích rõ ràng, minh bạch về lý do và mục tiêu của việc sửa đổi thuế lần này. - HUMAN-TRU4]]</f>
        <v>5</v>
      </c>
      <c r="AZ260">
        <f t="shared" si="127"/>
        <v>0.44444444444444442</v>
      </c>
      <c r="BA260" s="32">
        <f t="shared" si="128"/>
        <v>0.83333333333333326</v>
      </c>
      <c r="BB260" s="32">
        <f t="shared" si="129"/>
        <v>0.19444444444444442</v>
      </c>
      <c r="BC260" s="7">
        <f t="shared" si="130"/>
        <v>0.79629629629629617</v>
      </c>
      <c r="BD260" s="7">
        <f t="shared" si="131"/>
        <v>0.17592592592592593</v>
      </c>
      <c r="BE260">
        <f>step3_validation[[#This Row],[AI_OUT1]]</f>
        <v>9</v>
      </c>
      <c r="BF260">
        <f t="shared" si="132"/>
        <v>0.88888888888888884</v>
      </c>
      <c r="BG260">
        <f>survey_responses[[#This Row],[Sau khi xem xét các quyền lợi và nghĩa vụ, bạn có ủng hộ và tuân thủ chính sách mới hiện nay? - HUMAN-OUT1]]</f>
        <v>4</v>
      </c>
      <c r="BH260">
        <f t="shared" si="133"/>
        <v>0.33333333333333331</v>
      </c>
      <c r="BI260" s="32">
        <f t="shared" si="134"/>
        <v>5</v>
      </c>
    </row>
    <row r="261" spans="1:61" x14ac:dyDescent="0.45">
      <c r="A261" s="30">
        <f>step3_validation[[#This Row],[Persona_ID]]</f>
        <v>260</v>
      </c>
      <c r="B261" s="31">
        <f>step3_validation[[#This Row],[Used_Seed]]</f>
        <v>260</v>
      </c>
      <c r="C261" t="str">
        <f>step3_validation[[#This Row],[Gender]]</f>
        <v>Nữ</v>
      </c>
      <c r="D261" t="str">
        <f>survey_responses[[#This Row],[Giới tính của bạn:]]</f>
        <v>Nữ</v>
      </c>
      <c r="E261" t="str">
        <f>step3_validation[[#This Row],[Age_Group]]</f>
        <v>30 - 39</v>
      </c>
      <c r="F261" t="str">
        <f>survey_responses[[#This Row],[Độ tuổi của bạn:]]</f>
        <v>30 - 39</v>
      </c>
      <c r="G261" t="str">
        <f>step3_validation[[#This Row],[Region]]</f>
        <v>Nông thôn</v>
      </c>
      <c r="H261" t="str">
        <f>survey_responses[[#This Row],[Khu vực bạn đang sinh sống:]]</f>
        <v>Nông thôn</v>
      </c>
      <c r="I261" t="str">
        <f>step3_validation[[#This Row],[Education]]</f>
        <v>Đại học</v>
      </c>
      <c r="J261" t="str">
        <f>survey_responses[[#This Row],[Trình độ học vấn cao nhất:]]</f>
        <v>Đại học</v>
      </c>
      <c r="K261" t="str">
        <f>step3_validation[[#This Row],[Employment]]</f>
        <v>Chính thức</v>
      </c>
      <c r="L261" t="str">
        <f>survey_responses[[#This Row],[Tình trạng việc làm chính:]]</f>
        <v>Khu vực chính thức (Có Hợp đồng lao động, đóng BHXH)</v>
      </c>
      <c r="M261">
        <f>step3_validation[[#This Row],[Income_Mil]]</f>
        <v>45.973154475493331</v>
      </c>
      <c r="N261" t="str">
        <f>survey_responses[[#This Row],[Thu nhập bình quân tháng theo Hợp đồng lao động của bạn là bao nhiêu? (Vui lòng điền tổng thu nhập trước khi khấu trừ các loại Bảo hiểm (BHXH, BHYT, BHTN) và Thuế TNCN)]]</f>
        <v>Từ 32 - 48 triệu VNĐ</v>
      </c>
      <c r="O261">
        <f>step3_validation[[#This Row],[Dependents]]</f>
        <v>2</v>
      </c>
      <c r="P261" t="str">
        <f>survey_responses[[#This Row],[Số người phụ thuộc (con nhỏ, cha mẹ già...) đủ điều kiện giảm trừ gia cảnh:]]</f>
        <v>2 người</v>
      </c>
      <c r="Q261">
        <f>step3_validation[[#This Row],[AI_ENF1]]</f>
        <v>5</v>
      </c>
      <c r="R261">
        <f t="shared" si="108"/>
        <v>0.44444444444444442</v>
      </c>
      <c r="S261">
        <f>survey_responses[[#This Row],[Tôi tin rằng với các quy định quản lý thuế hiện nay, hành vi gian lận hoặc trốn thuế sẽ dễ dàng bị phát hiện và xử lý nghiêm. - HUMAN-ENF1]]</f>
        <v>6</v>
      </c>
      <c r="T261">
        <f t="shared" si="109"/>
        <v>0.55555555555555558</v>
      </c>
      <c r="U261">
        <f>step3_validation[[#This Row],[AI_ENF2]]</f>
        <v>5</v>
      </c>
      <c r="V261">
        <f t="shared" si="110"/>
        <v>0.44444444444444442</v>
      </c>
      <c r="W261">
        <f>survey_responses[[#This Row],[Tôi tin rằng Nhà nước, cơ quan thuế có đủ khả năng và công nghệ để phát hiện, xử lý nghiêm các hành vi trốn thuế. - HUMAN-ENF2]]</f>
        <v>6</v>
      </c>
      <c r="X261">
        <f t="shared" si="111"/>
        <v>0.55555555555555558</v>
      </c>
      <c r="Y261" s="32">
        <f t="shared" si="112"/>
        <v>0.44444444444444442</v>
      </c>
      <c r="Z261" s="32">
        <f t="shared" si="113"/>
        <v>0.55555555555555558</v>
      </c>
      <c r="AA261">
        <f>step3_validation[[#This Row],[AI_FAC1]]</f>
        <v>8</v>
      </c>
      <c r="AB261">
        <f t="shared" si="114"/>
        <v>0.77777777777777779</v>
      </c>
      <c r="AC261">
        <f>survey_responses[[#This Row],[Các thủ tục khai báo thuế VÀ/HOẶC quy trình làm việc với cơ quan thuế đơn giản, tiện lợi, nhanh chóng hơn so với trước đây. - HUMAN-FAC1]]</f>
        <v>7</v>
      </c>
      <c r="AD261">
        <f t="shared" si="115"/>
        <v>0.66666666666666663</v>
      </c>
      <c r="AE261">
        <f>step3_validation[[#This Row],[AI_FAC2]]</f>
        <v>7</v>
      </c>
      <c r="AF261">
        <f t="shared" si="116"/>
        <v>0.66666666666666663</v>
      </c>
      <c r="AG261">
        <f>survey_responses[[#This Row],[So với trước đây, tôi thấy cách tính thuế và các bậc thuế trong phương án mới đơn giản, dễ hiểu và dễ thực hiện hơn. - HUMAN-FAC2]]</f>
        <v>6</v>
      </c>
      <c r="AH261">
        <f t="shared" si="117"/>
        <v>0.55555555555555558</v>
      </c>
      <c r="AI261" s="32">
        <f t="shared" si="118"/>
        <v>0.72222222222222221</v>
      </c>
      <c r="AJ261" s="32">
        <f t="shared" si="119"/>
        <v>0.61111111111111116</v>
      </c>
      <c r="AK261">
        <f>step3_validation[[#This Row],[AI_TRU1]]</f>
        <v>9</v>
      </c>
      <c r="AL261">
        <f t="shared" si="120"/>
        <v>0.88888888888888884</v>
      </c>
      <c r="AM261">
        <f>survey_responses[[#This Row],[Tôi tin rằng Nhà nước, cơ quan thuế sẽ thực thi chính sách mới một cách khách quan, công tâm và đối xử bình đẳng với mọi người nộp thuế.  - HUMAN-TRU1]]</f>
        <v>5</v>
      </c>
      <c r="AN261">
        <f t="shared" si="121"/>
        <v>0.44444444444444442</v>
      </c>
      <c r="AO261">
        <f>step3_validation[[#This Row],[AI_TRU2]]</f>
        <v>8</v>
      </c>
      <c r="AP261">
        <f t="shared" si="122"/>
        <v>0.77777777777777779</v>
      </c>
      <c r="AQ261">
        <f>survey_responses[[#This Row],[Tôi thấy mức thuế tôi phải đóng theo phương án mới là công bằng (người thu nhập như tôi đóng mức này là hợp lý). - HUMAN-TRU2]]</f>
        <v>6</v>
      </c>
      <c r="AR261">
        <f t="shared" si="123"/>
        <v>0.55555555555555558</v>
      </c>
      <c r="AS261">
        <f>step3_validation[[#This Row],[AI_TRU3]]</f>
        <v>9</v>
      </c>
      <c r="AT261">
        <f t="shared" si="124"/>
        <v>0.88888888888888884</v>
      </c>
      <c r="AU261">
        <f>survey_responses[[#This Row],[Tôi tin tưởng số tiền thuế tôi đóng sẽ được Nhà nước sử dụng hiệu quả để cải thiện dịch vụ công (y tế, đường xá...). - HUMAN-TRU3]]</f>
        <v>5</v>
      </c>
      <c r="AV261">
        <f t="shared" si="125"/>
        <v>0.44444444444444442</v>
      </c>
      <c r="AW261">
        <f>step3_validation[[#This Row],[AI_TRU4]]</f>
        <v>7</v>
      </c>
      <c r="AX261">
        <f t="shared" si="126"/>
        <v>0.66666666666666663</v>
      </c>
      <c r="AY261">
        <f>survey_responses[[#This Row],[Tôi thấy Nhà nước đã giải thích rõ ràng, minh bạch về lý do và mục tiêu của việc sửa đổi thuế lần này. - HUMAN-TRU4]]</f>
        <v>6</v>
      </c>
      <c r="AZ261">
        <f t="shared" si="127"/>
        <v>0.55555555555555558</v>
      </c>
      <c r="BA261" s="32">
        <f t="shared" si="128"/>
        <v>0.80555555555555547</v>
      </c>
      <c r="BB261" s="32">
        <f t="shared" si="129"/>
        <v>0.5</v>
      </c>
      <c r="BC261" s="7">
        <f t="shared" si="130"/>
        <v>0.65740740740740733</v>
      </c>
      <c r="BD261" s="7">
        <f t="shared" si="131"/>
        <v>0.55555555555555558</v>
      </c>
      <c r="BE261">
        <f>step3_validation[[#This Row],[AI_OUT1]]</f>
        <v>9</v>
      </c>
      <c r="BF261">
        <f t="shared" si="132"/>
        <v>0.88888888888888884</v>
      </c>
      <c r="BG261">
        <f>survey_responses[[#This Row],[Sau khi xem xét các quyền lợi và nghĩa vụ, bạn có ủng hộ và tuân thủ chính sách mới hiện nay? - HUMAN-OUT1]]</f>
        <v>6</v>
      </c>
      <c r="BH261">
        <f t="shared" si="133"/>
        <v>0.55555555555555558</v>
      </c>
      <c r="BI261" s="32">
        <f t="shared" si="134"/>
        <v>3</v>
      </c>
    </row>
    <row r="262" spans="1:61" x14ac:dyDescent="0.45">
      <c r="A262" s="30">
        <f>step3_validation[[#This Row],[Persona_ID]]</f>
        <v>261</v>
      </c>
      <c r="B262" s="31">
        <f>step3_validation[[#This Row],[Used_Seed]]</f>
        <v>261</v>
      </c>
      <c r="C262" t="str">
        <f>step3_validation[[#This Row],[Gender]]</f>
        <v>Nam</v>
      </c>
      <c r="D262" t="str">
        <f>survey_responses[[#This Row],[Giới tính của bạn:]]</f>
        <v>Nam</v>
      </c>
      <c r="E262" t="str">
        <f>step3_validation[[#This Row],[Age_Group]]</f>
        <v>30 - 39</v>
      </c>
      <c r="F262" t="str">
        <f>survey_responses[[#This Row],[Độ tuổi của bạn:]]</f>
        <v>30 - 39</v>
      </c>
      <c r="G262" t="str">
        <f>step3_validation[[#This Row],[Region]]</f>
        <v>Thành thị</v>
      </c>
      <c r="H262" t="str">
        <f>survey_responses[[#This Row],[Khu vực bạn đang sinh sống:]]</f>
        <v>Thành thị</v>
      </c>
      <c r="I262" t="str">
        <f>step3_validation[[#This Row],[Education]]</f>
        <v>Đại học</v>
      </c>
      <c r="J262" t="str">
        <f>survey_responses[[#This Row],[Trình độ học vấn cao nhất:]]</f>
        <v>Đại học</v>
      </c>
      <c r="K262" t="str">
        <f>step3_validation[[#This Row],[Employment]]</f>
        <v>Chính thức</v>
      </c>
      <c r="L262" t="str">
        <f>survey_responses[[#This Row],[Tình trạng việc làm chính:]]</f>
        <v>Khu vực chính thức (Có Hợp đồng lao động, đóng BHXH)</v>
      </c>
      <c r="M262">
        <f>step3_validation[[#This Row],[Income_Mil]]</f>
        <v>37.152700796536251</v>
      </c>
      <c r="N262" t="str">
        <f>survey_responses[[#This Row],[Thu nhập bình quân tháng theo Hợp đồng lao động của bạn là bao nhiêu? (Vui lòng điền tổng thu nhập trước khi khấu trừ các loại Bảo hiểm (BHXH, BHYT, BHTN) và Thuế TNCN)]]</f>
        <v>Từ 32 - 48 triệu VNĐ</v>
      </c>
      <c r="O262">
        <f>step3_validation[[#This Row],[Dependents]]</f>
        <v>1</v>
      </c>
      <c r="P262" t="str">
        <f>survey_responses[[#This Row],[Số người phụ thuộc (con nhỏ, cha mẹ già...) đủ điều kiện giảm trừ gia cảnh:]]</f>
        <v>1 người</v>
      </c>
      <c r="Q262">
        <f>step3_validation[[#This Row],[AI_ENF1]]</f>
        <v>4</v>
      </c>
      <c r="R262">
        <f t="shared" si="108"/>
        <v>0.33333333333333331</v>
      </c>
      <c r="S262">
        <f>survey_responses[[#This Row],[Tôi tin rằng với các quy định quản lý thuế hiện nay, hành vi gian lận hoặc trốn thuế sẽ dễ dàng bị phát hiện và xử lý nghiêm. - HUMAN-ENF1]]</f>
        <v>6</v>
      </c>
      <c r="T262">
        <f t="shared" si="109"/>
        <v>0.55555555555555558</v>
      </c>
      <c r="U262">
        <f>step3_validation[[#This Row],[AI_ENF2]]</f>
        <v>5</v>
      </c>
      <c r="V262">
        <f t="shared" si="110"/>
        <v>0.44444444444444442</v>
      </c>
      <c r="W262">
        <f>survey_responses[[#This Row],[Tôi tin rằng Nhà nước, cơ quan thuế có đủ khả năng và công nghệ để phát hiện, xử lý nghiêm các hành vi trốn thuế. - HUMAN-ENF2]]</f>
        <v>7</v>
      </c>
      <c r="X262">
        <f t="shared" si="111"/>
        <v>0.66666666666666663</v>
      </c>
      <c r="Y262" s="32">
        <f t="shared" si="112"/>
        <v>0.38888888888888884</v>
      </c>
      <c r="Z262" s="32">
        <f t="shared" si="113"/>
        <v>0.61111111111111116</v>
      </c>
      <c r="AA262">
        <f>step3_validation[[#This Row],[AI_FAC1]]</f>
        <v>7</v>
      </c>
      <c r="AB262">
        <f t="shared" si="114"/>
        <v>0.66666666666666663</v>
      </c>
      <c r="AC262">
        <f>survey_responses[[#This Row],[Các thủ tục khai báo thuế VÀ/HOẶC quy trình làm việc với cơ quan thuế đơn giản, tiện lợi, nhanh chóng hơn so với trước đây. - HUMAN-FAC1]]</f>
        <v>1</v>
      </c>
      <c r="AD262">
        <f t="shared" si="115"/>
        <v>0</v>
      </c>
      <c r="AE262">
        <f>step3_validation[[#This Row],[AI_FAC2]]</f>
        <v>9</v>
      </c>
      <c r="AF262">
        <f t="shared" si="116"/>
        <v>0.88888888888888884</v>
      </c>
      <c r="AG262">
        <f>survey_responses[[#This Row],[So với trước đây, tôi thấy cách tính thuế và các bậc thuế trong phương án mới đơn giản, dễ hiểu và dễ thực hiện hơn. - HUMAN-FAC2]]</f>
        <v>9</v>
      </c>
      <c r="AH262">
        <f t="shared" si="117"/>
        <v>0.88888888888888884</v>
      </c>
      <c r="AI262" s="32">
        <f t="shared" si="118"/>
        <v>0.77777777777777768</v>
      </c>
      <c r="AJ262" s="32">
        <f t="shared" si="119"/>
        <v>0.44444444444444442</v>
      </c>
      <c r="AK262">
        <f>step3_validation[[#This Row],[AI_TRU1]]</f>
        <v>6</v>
      </c>
      <c r="AL262">
        <f t="shared" si="120"/>
        <v>0.55555555555555558</v>
      </c>
      <c r="AM262">
        <f>survey_responses[[#This Row],[Tôi tin rằng Nhà nước, cơ quan thuế sẽ thực thi chính sách mới một cách khách quan, công tâm và đối xử bình đẳng với mọi người nộp thuế.  - HUMAN-TRU1]]</f>
        <v>5</v>
      </c>
      <c r="AN262">
        <f t="shared" si="121"/>
        <v>0.44444444444444442</v>
      </c>
      <c r="AO262">
        <f>step3_validation[[#This Row],[AI_TRU2]]</f>
        <v>8</v>
      </c>
      <c r="AP262">
        <f t="shared" si="122"/>
        <v>0.77777777777777779</v>
      </c>
      <c r="AQ262">
        <f>survey_responses[[#This Row],[Tôi thấy mức thuế tôi phải đóng theo phương án mới là công bằng (người thu nhập như tôi đóng mức này là hợp lý). - HUMAN-TRU2]]</f>
        <v>4</v>
      </c>
      <c r="AR262">
        <f t="shared" si="123"/>
        <v>0.33333333333333331</v>
      </c>
      <c r="AS262">
        <f>step3_validation[[#This Row],[AI_TRU3]]</f>
        <v>7</v>
      </c>
      <c r="AT262">
        <f t="shared" si="124"/>
        <v>0.66666666666666663</v>
      </c>
      <c r="AU262">
        <f>survey_responses[[#This Row],[Tôi tin tưởng số tiền thuế tôi đóng sẽ được Nhà nước sử dụng hiệu quả để cải thiện dịch vụ công (y tế, đường xá...). - HUMAN-TRU3]]</f>
        <v>4</v>
      </c>
      <c r="AV262">
        <f t="shared" si="125"/>
        <v>0.33333333333333331</v>
      </c>
      <c r="AW262">
        <f>step3_validation[[#This Row],[AI_TRU4]]</f>
        <v>6</v>
      </c>
      <c r="AX262">
        <f t="shared" si="126"/>
        <v>0.55555555555555558</v>
      </c>
      <c r="AY262">
        <f>survey_responses[[#This Row],[Tôi thấy Nhà nước đã giải thích rõ ràng, minh bạch về lý do và mục tiêu của việc sửa đổi thuế lần này. - HUMAN-TRU4]]</f>
        <v>5</v>
      </c>
      <c r="AZ262">
        <f t="shared" si="127"/>
        <v>0.44444444444444442</v>
      </c>
      <c r="BA262" s="32">
        <f t="shared" si="128"/>
        <v>0.63888888888888884</v>
      </c>
      <c r="BB262" s="32">
        <f t="shared" si="129"/>
        <v>0.38888888888888884</v>
      </c>
      <c r="BC262" s="7">
        <f t="shared" si="130"/>
        <v>0.60185185185185175</v>
      </c>
      <c r="BD262" s="7">
        <f t="shared" si="131"/>
        <v>0.48148148148148145</v>
      </c>
      <c r="BE262">
        <f>step3_validation[[#This Row],[AI_OUT1]]</f>
        <v>8</v>
      </c>
      <c r="BF262">
        <f t="shared" si="132"/>
        <v>0.77777777777777779</v>
      </c>
      <c r="BG262">
        <f>survey_responses[[#This Row],[Sau khi xem xét các quyền lợi và nghĩa vụ, bạn có ủng hộ và tuân thủ chính sách mới hiện nay? - HUMAN-OUT1]]</f>
        <v>5</v>
      </c>
      <c r="BH262">
        <f t="shared" si="133"/>
        <v>0.44444444444444442</v>
      </c>
      <c r="BI262" s="32">
        <f t="shared" si="134"/>
        <v>3</v>
      </c>
    </row>
    <row r="263" spans="1:61" x14ac:dyDescent="0.45">
      <c r="A263" s="30">
        <f>step3_validation[[#This Row],[Persona_ID]]</f>
        <v>262</v>
      </c>
      <c r="B263" s="31">
        <f>step3_validation[[#This Row],[Used_Seed]]</f>
        <v>262</v>
      </c>
      <c r="C263" t="str">
        <f>step3_validation[[#This Row],[Gender]]</f>
        <v>Nam</v>
      </c>
      <c r="D263" t="str">
        <f>survey_responses[[#This Row],[Giới tính của bạn:]]</f>
        <v>Nam</v>
      </c>
      <c r="E263" t="str">
        <f>step3_validation[[#This Row],[Age_Group]]</f>
        <v>30 - 39</v>
      </c>
      <c r="F263" t="str">
        <f>survey_responses[[#This Row],[Độ tuổi của bạn:]]</f>
        <v>30 - 39</v>
      </c>
      <c r="G263" t="str">
        <f>step3_validation[[#This Row],[Region]]</f>
        <v>Thành thị</v>
      </c>
      <c r="H263" t="str">
        <f>survey_responses[[#This Row],[Khu vực bạn đang sinh sống:]]</f>
        <v>Thành thị</v>
      </c>
      <c r="I263" t="str">
        <f>step3_validation[[#This Row],[Education]]</f>
        <v>Đại học</v>
      </c>
      <c r="J263" t="str">
        <f>survey_responses[[#This Row],[Trình độ học vấn cao nhất:]]</f>
        <v>Đại học</v>
      </c>
      <c r="K263" t="str">
        <f>step3_validation[[#This Row],[Employment]]</f>
        <v>Chính thức</v>
      </c>
      <c r="L263" t="str">
        <f>survey_responses[[#This Row],[Tình trạng việc làm chính:]]</f>
        <v>Khu vực chính thức (Có Hợp đồng lao động, đóng BHXH)</v>
      </c>
      <c r="M263">
        <f>step3_validation[[#This Row],[Income_Mil]]</f>
        <v>65.651705954147928</v>
      </c>
      <c r="N263" t="str">
        <f>survey_responses[[#This Row],[Thu nhập bình quân tháng theo Hợp đồng lao động của bạn là bao nhiêu? (Vui lòng điền tổng thu nhập trước khi khấu trừ các loại Bảo hiểm (BHXH, BHYT, BHTN) và Thuế TNCN)]]</f>
        <v>Từ 48 - 70 triệu VNĐ</v>
      </c>
      <c r="O263">
        <f>step3_validation[[#This Row],[Dependents]]</f>
        <v>4</v>
      </c>
      <c r="P263" t="str">
        <f>survey_responses[[#This Row],[Số người phụ thuộc (con nhỏ, cha mẹ già...) đủ điều kiện giảm trừ gia cảnh:]]</f>
        <v>4 người trở lên</v>
      </c>
      <c r="Q263">
        <f>step3_validation[[#This Row],[AI_ENF1]]</f>
        <v>7</v>
      </c>
      <c r="R263">
        <f t="shared" si="108"/>
        <v>0.66666666666666663</v>
      </c>
      <c r="S263">
        <f>survey_responses[[#This Row],[Tôi tin rằng với các quy định quản lý thuế hiện nay, hành vi gian lận hoặc trốn thuế sẽ dễ dàng bị phát hiện và xử lý nghiêm. - HUMAN-ENF1]]</f>
        <v>9</v>
      </c>
      <c r="T263">
        <f t="shared" si="109"/>
        <v>0.88888888888888884</v>
      </c>
      <c r="U263">
        <f>step3_validation[[#This Row],[AI_ENF2]]</f>
        <v>6</v>
      </c>
      <c r="V263">
        <f t="shared" si="110"/>
        <v>0.55555555555555558</v>
      </c>
      <c r="W263">
        <f>survey_responses[[#This Row],[Tôi tin rằng Nhà nước, cơ quan thuế có đủ khả năng và công nghệ để phát hiện, xử lý nghiêm các hành vi trốn thuế. - HUMAN-ENF2]]</f>
        <v>9</v>
      </c>
      <c r="X263">
        <f t="shared" si="111"/>
        <v>0.88888888888888884</v>
      </c>
      <c r="Y263" s="32">
        <f t="shared" si="112"/>
        <v>0.61111111111111116</v>
      </c>
      <c r="Z263" s="32">
        <f t="shared" si="113"/>
        <v>0.88888888888888884</v>
      </c>
      <c r="AA263">
        <f>step3_validation[[#This Row],[AI_FAC1]]</f>
        <v>5</v>
      </c>
      <c r="AB263">
        <f t="shared" si="114"/>
        <v>0.44444444444444442</v>
      </c>
      <c r="AC263">
        <f>survey_responses[[#This Row],[Các thủ tục khai báo thuế VÀ/HOẶC quy trình làm việc với cơ quan thuế đơn giản, tiện lợi, nhanh chóng hơn so với trước đây. - HUMAN-FAC1]]</f>
        <v>8</v>
      </c>
      <c r="AD263">
        <f t="shared" si="115"/>
        <v>0.77777777777777779</v>
      </c>
      <c r="AE263">
        <f>step3_validation[[#This Row],[AI_FAC2]]</f>
        <v>7</v>
      </c>
      <c r="AF263">
        <f t="shared" si="116"/>
        <v>0.66666666666666663</v>
      </c>
      <c r="AG263">
        <f>survey_responses[[#This Row],[So với trước đây, tôi thấy cách tính thuế và các bậc thuế trong phương án mới đơn giản, dễ hiểu và dễ thực hiện hơn. - HUMAN-FAC2]]</f>
        <v>9</v>
      </c>
      <c r="AH263">
        <f t="shared" si="117"/>
        <v>0.88888888888888884</v>
      </c>
      <c r="AI263" s="32">
        <f t="shared" si="118"/>
        <v>0.55555555555555558</v>
      </c>
      <c r="AJ263" s="32">
        <f t="shared" si="119"/>
        <v>0.83333333333333326</v>
      </c>
      <c r="AK263">
        <f>step3_validation[[#This Row],[AI_TRU1]]</f>
        <v>6</v>
      </c>
      <c r="AL263">
        <f t="shared" si="120"/>
        <v>0.55555555555555558</v>
      </c>
      <c r="AM263">
        <f>survey_responses[[#This Row],[Tôi tin rằng Nhà nước, cơ quan thuế sẽ thực thi chính sách mới một cách khách quan, công tâm và đối xử bình đẳng với mọi người nộp thuế.  - HUMAN-TRU1]]</f>
        <v>8</v>
      </c>
      <c r="AN263">
        <f t="shared" si="121"/>
        <v>0.77777777777777779</v>
      </c>
      <c r="AO263">
        <f>step3_validation[[#This Row],[AI_TRU2]]</f>
        <v>7</v>
      </c>
      <c r="AP263">
        <f t="shared" si="122"/>
        <v>0.66666666666666663</v>
      </c>
      <c r="AQ263">
        <f>survey_responses[[#This Row],[Tôi thấy mức thuế tôi phải đóng theo phương án mới là công bằng (người thu nhập như tôi đóng mức này là hợp lý). - HUMAN-TRU2]]</f>
        <v>9</v>
      </c>
      <c r="AR263">
        <f t="shared" si="123"/>
        <v>0.88888888888888884</v>
      </c>
      <c r="AS263">
        <f>step3_validation[[#This Row],[AI_TRU3]]</f>
        <v>6</v>
      </c>
      <c r="AT263">
        <f t="shared" si="124"/>
        <v>0.55555555555555558</v>
      </c>
      <c r="AU263">
        <f>survey_responses[[#This Row],[Tôi tin tưởng số tiền thuế tôi đóng sẽ được Nhà nước sử dụng hiệu quả để cải thiện dịch vụ công (y tế, đường xá...). - HUMAN-TRU3]]</f>
        <v>9</v>
      </c>
      <c r="AV263">
        <f t="shared" si="125"/>
        <v>0.88888888888888884</v>
      </c>
      <c r="AW263">
        <f>step3_validation[[#This Row],[AI_TRU4]]</f>
        <v>7</v>
      </c>
      <c r="AX263">
        <f t="shared" si="126"/>
        <v>0.66666666666666663</v>
      </c>
      <c r="AY263">
        <f>survey_responses[[#This Row],[Tôi thấy Nhà nước đã giải thích rõ ràng, minh bạch về lý do và mục tiêu của việc sửa đổi thuế lần này. - HUMAN-TRU4]]</f>
        <v>8</v>
      </c>
      <c r="AZ263">
        <f t="shared" si="127"/>
        <v>0.77777777777777779</v>
      </c>
      <c r="BA263" s="32">
        <f t="shared" si="128"/>
        <v>0.61111111111111116</v>
      </c>
      <c r="BB263" s="32">
        <f t="shared" si="129"/>
        <v>0.83333333333333326</v>
      </c>
      <c r="BC263" s="7">
        <f t="shared" si="130"/>
        <v>0.59259259259259267</v>
      </c>
      <c r="BD263" s="7">
        <f t="shared" si="131"/>
        <v>0.85185185185185175</v>
      </c>
      <c r="BE263">
        <f>step3_validation[[#This Row],[AI_OUT1]]</f>
        <v>8</v>
      </c>
      <c r="BF263">
        <f t="shared" si="132"/>
        <v>0.77777777777777779</v>
      </c>
      <c r="BG263">
        <f>survey_responses[[#This Row],[Sau khi xem xét các quyền lợi và nghĩa vụ, bạn có ủng hộ và tuân thủ chính sách mới hiện nay? - HUMAN-OUT1]]</f>
        <v>8</v>
      </c>
      <c r="BH263">
        <f t="shared" si="133"/>
        <v>0.77777777777777779</v>
      </c>
      <c r="BI263" s="32">
        <f t="shared" si="134"/>
        <v>0</v>
      </c>
    </row>
    <row r="264" spans="1:61" x14ac:dyDescent="0.45">
      <c r="A264" s="30">
        <f>step3_validation[[#This Row],[Persona_ID]]</f>
        <v>263</v>
      </c>
      <c r="B264" s="31">
        <f>step3_validation[[#This Row],[Used_Seed]]</f>
        <v>263</v>
      </c>
      <c r="C264" t="str">
        <f>step3_validation[[#This Row],[Gender]]</f>
        <v>Nam</v>
      </c>
      <c r="D264" t="str">
        <f>survey_responses[[#This Row],[Giới tính của bạn:]]</f>
        <v>Nam</v>
      </c>
      <c r="E264" t="str">
        <f>step3_validation[[#This Row],[Age_Group]]</f>
        <v>30 - 39</v>
      </c>
      <c r="F264" t="str">
        <f>survey_responses[[#This Row],[Độ tuổi của bạn:]]</f>
        <v>30 - 39</v>
      </c>
      <c r="G264" t="str">
        <f>step3_validation[[#This Row],[Region]]</f>
        <v>Thành thị</v>
      </c>
      <c r="H264" t="str">
        <f>survey_responses[[#This Row],[Khu vực bạn đang sinh sống:]]</f>
        <v>Thành thị</v>
      </c>
      <c r="I264" t="str">
        <f>step3_validation[[#This Row],[Education]]</f>
        <v>Sau Đại học</v>
      </c>
      <c r="J264" t="str">
        <f>survey_responses[[#This Row],[Trình độ học vấn cao nhất:]]</f>
        <v>Sau Đại học</v>
      </c>
      <c r="K264" t="str">
        <f>step3_validation[[#This Row],[Employment]]</f>
        <v>Chính thức</v>
      </c>
      <c r="L264" t="str">
        <f>survey_responses[[#This Row],[Tình trạng việc làm chính:]]</f>
        <v>Khu vực chính thức (Có Hợp đồng lao động, đóng BHXH)</v>
      </c>
      <c r="M264">
        <f>step3_validation[[#This Row],[Income_Mil]]</f>
        <v>80.455584186141479</v>
      </c>
      <c r="N264" t="str">
        <f>survey_responses[[#This Row],[Thu nhập bình quân tháng theo Hợp đồng lao động của bạn là bao nhiêu? (Vui lòng điền tổng thu nhập trước khi khấu trừ các loại Bảo hiểm (BHXH, BHYT, BHTN) và Thuế TNCN)]]</f>
        <v>Từ 70 - 102 triệu VNĐ</v>
      </c>
      <c r="O264">
        <f>step3_validation[[#This Row],[Dependents]]</f>
        <v>3</v>
      </c>
      <c r="P264" t="str">
        <f>survey_responses[[#This Row],[Số người phụ thuộc (con nhỏ, cha mẹ già...) đủ điều kiện giảm trừ gia cảnh:]]</f>
        <v>3 người</v>
      </c>
      <c r="Q264">
        <f>step3_validation[[#This Row],[AI_ENF1]]</f>
        <v>8</v>
      </c>
      <c r="R264">
        <f t="shared" si="108"/>
        <v>0.77777777777777779</v>
      </c>
      <c r="S264">
        <f>survey_responses[[#This Row],[Tôi tin rằng với các quy định quản lý thuế hiện nay, hành vi gian lận hoặc trốn thuế sẽ dễ dàng bị phát hiện và xử lý nghiêm. - HUMAN-ENF1]]</f>
        <v>8</v>
      </c>
      <c r="T264">
        <f t="shared" si="109"/>
        <v>0.77777777777777779</v>
      </c>
      <c r="U264">
        <f>step3_validation[[#This Row],[AI_ENF2]]</f>
        <v>9</v>
      </c>
      <c r="V264">
        <f t="shared" si="110"/>
        <v>0.88888888888888884</v>
      </c>
      <c r="W264">
        <f>survey_responses[[#This Row],[Tôi tin rằng Nhà nước, cơ quan thuế có đủ khả năng và công nghệ để phát hiện, xử lý nghiêm các hành vi trốn thuế. - HUMAN-ENF2]]</f>
        <v>8</v>
      </c>
      <c r="X264">
        <f t="shared" si="111"/>
        <v>0.77777777777777779</v>
      </c>
      <c r="Y264" s="32">
        <f t="shared" si="112"/>
        <v>0.83333333333333326</v>
      </c>
      <c r="Z264" s="32">
        <f t="shared" si="113"/>
        <v>0.77777777777777779</v>
      </c>
      <c r="AA264">
        <f>step3_validation[[#This Row],[AI_FAC1]]</f>
        <v>9</v>
      </c>
      <c r="AB264">
        <f t="shared" si="114"/>
        <v>0.88888888888888884</v>
      </c>
      <c r="AC264">
        <f>survey_responses[[#This Row],[Các thủ tục khai báo thuế VÀ/HOẶC quy trình làm việc với cơ quan thuế đơn giản, tiện lợi, nhanh chóng hơn so với trước đây. - HUMAN-FAC1]]</f>
        <v>5</v>
      </c>
      <c r="AD264">
        <f t="shared" si="115"/>
        <v>0.44444444444444442</v>
      </c>
      <c r="AE264">
        <f>step3_validation[[#This Row],[AI_FAC2]]</f>
        <v>9</v>
      </c>
      <c r="AF264">
        <f t="shared" si="116"/>
        <v>0.88888888888888884</v>
      </c>
      <c r="AG264">
        <f>survey_responses[[#This Row],[So với trước đây, tôi thấy cách tính thuế và các bậc thuế trong phương án mới đơn giản, dễ hiểu và dễ thực hiện hơn. - HUMAN-FAC2]]</f>
        <v>7</v>
      </c>
      <c r="AH264">
        <f t="shared" si="117"/>
        <v>0.66666666666666663</v>
      </c>
      <c r="AI264" s="32">
        <f t="shared" si="118"/>
        <v>0.88888888888888884</v>
      </c>
      <c r="AJ264" s="32">
        <f t="shared" si="119"/>
        <v>0.55555555555555558</v>
      </c>
      <c r="AK264">
        <f>step3_validation[[#This Row],[AI_TRU1]]</f>
        <v>8</v>
      </c>
      <c r="AL264">
        <f t="shared" si="120"/>
        <v>0.77777777777777779</v>
      </c>
      <c r="AM264">
        <f>survey_responses[[#This Row],[Tôi tin rằng Nhà nước, cơ quan thuế sẽ thực thi chính sách mới một cách khách quan, công tâm và đối xử bình đẳng với mọi người nộp thuế.  - HUMAN-TRU1]]</f>
        <v>7</v>
      </c>
      <c r="AN264">
        <f t="shared" si="121"/>
        <v>0.66666666666666663</v>
      </c>
      <c r="AO264">
        <f>step3_validation[[#This Row],[AI_TRU2]]</f>
        <v>9</v>
      </c>
      <c r="AP264">
        <f t="shared" si="122"/>
        <v>0.88888888888888884</v>
      </c>
      <c r="AQ264">
        <f>survey_responses[[#This Row],[Tôi thấy mức thuế tôi phải đóng theo phương án mới là công bằng (người thu nhập như tôi đóng mức này là hợp lý). - HUMAN-TRU2]]</f>
        <v>5</v>
      </c>
      <c r="AR264">
        <f t="shared" si="123"/>
        <v>0.44444444444444442</v>
      </c>
      <c r="AS264">
        <f>step3_validation[[#This Row],[AI_TRU3]]</f>
        <v>7</v>
      </c>
      <c r="AT264">
        <f t="shared" si="124"/>
        <v>0.66666666666666663</v>
      </c>
      <c r="AU264">
        <f>survey_responses[[#This Row],[Tôi tin tưởng số tiền thuế tôi đóng sẽ được Nhà nước sử dụng hiệu quả để cải thiện dịch vụ công (y tế, đường xá...). - HUMAN-TRU3]]</f>
        <v>5</v>
      </c>
      <c r="AV264">
        <f t="shared" si="125"/>
        <v>0.44444444444444442</v>
      </c>
      <c r="AW264">
        <f>step3_validation[[#This Row],[AI_TRU4]]</f>
        <v>8</v>
      </c>
      <c r="AX264">
        <f t="shared" si="126"/>
        <v>0.77777777777777779</v>
      </c>
      <c r="AY264">
        <f>survey_responses[[#This Row],[Tôi thấy Nhà nước đã giải thích rõ ràng, minh bạch về lý do và mục tiêu của việc sửa đổi thuế lần này. - HUMAN-TRU4]]</f>
        <v>6</v>
      </c>
      <c r="AZ264">
        <f t="shared" si="127"/>
        <v>0.55555555555555558</v>
      </c>
      <c r="BA264" s="32">
        <f t="shared" si="128"/>
        <v>0.77777777777777768</v>
      </c>
      <c r="BB264" s="32">
        <f t="shared" si="129"/>
        <v>0.52777777777777779</v>
      </c>
      <c r="BC264" s="7">
        <f t="shared" si="130"/>
        <v>0.83333333333333337</v>
      </c>
      <c r="BD264" s="7">
        <f t="shared" si="131"/>
        <v>0.62037037037037035</v>
      </c>
      <c r="BE264">
        <f>step3_validation[[#This Row],[AI_OUT1]]</f>
        <v>9</v>
      </c>
      <c r="BF264">
        <f t="shared" si="132"/>
        <v>0.88888888888888884</v>
      </c>
      <c r="BG264">
        <f>survey_responses[[#This Row],[Sau khi xem xét các quyền lợi và nghĩa vụ, bạn có ủng hộ và tuân thủ chính sách mới hiện nay? - HUMAN-OUT1]]</f>
        <v>6</v>
      </c>
      <c r="BH264">
        <f t="shared" si="133"/>
        <v>0.55555555555555558</v>
      </c>
      <c r="BI264" s="32">
        <f t="shared" si="134"/>
        <v>3</v>
      </c>
    </row>
    <row r="265" spans="1:61" x14ac:dyDescent="0.45">
      <c r="A265" s="30">
        <f>step3_validation[[#This Row],[Persona_ID]]</f>
        <v>264</v>
      </c>
      <c r="B265" s="31">
        <f>step3_validation[[#This Row],[Used_Seed]]</f>
        <v>264</v>
      </c>
      <c r="C265" t="str">
        <f>step3_validation[[#This Row],[Gender]]</f>
        <v>Nam</v>
      </c>
      <c r="D265" t="str">
        <f>survey_responses[[#This Row],[Giới tính của bạn:]]</f>
        <v>Nam</v>
      </c>
      <c r="E265" t="str">
        <f>step3_validation[[#This Row],[Age_Group]]</f>
        <v>40 - 49</v>
      </c>
      <c r="F265" t="str">
        <f>survey_responses[[#This Row],[Độ tuổi của bạn:]]</f>
        <v>40 - 49</v>
      </c>
      <c r="G265" t="str">
        <f>step3_validation[[#This Row],[Region]]</f>
        <v>Thành thị</v>
      </c>
      <c r="H265" t="str">
        <f>survey_responses[[#This Row],[Khu vực bạn đang sinh sống:]]</f>
        <v>Thành thị</v>
      </c>
      <c r="I265" t="str">
        <f>step3_validation[[#This Row],[Education]]</f>
        <v>Sau Đại học</v>
      </c>
      <c r="J265" t="str">
        <f>survey_responses[[#This Row],[Trình độ học vấn cao nhất:]]</f>
        <v>Sau Đại học</v>
      </c>
      <c r="K265" t="str">
        <f>step3_validation[[#This Row],[Employment]]</f>
        <v>Chính thức</v>
      </c>
      <c r="L265" t="str">
        <f>survey_responses[[#This Row],[Tình trạng việc làm chính:]]</f>
        <v>Khu vực chính thức (Có Hợp đồng lao động, đóng BHXH)</v>
      </c>
      <c r="M265">
        <f>step3_validation[[#This Row],[Income_Mil]]</f>
        <v>158.11475674745648</v>
      </c>
      <c r="N265" t="str">
        <f>survey_responses[[#This Row],[Thu nhập bình quân tháng theo Hợp đồng lao động của bạn là bao nhiêu? (Vui lòng điền tổng thu nhập trước khi khấu trừ các loại Bảo hiểm (BHXH, BHYT, BHTN) và Thuế TNCN)]]</f>
        <v>Trên 102 triệu VNĐ</v>
      </c>
      <c r="O265">
        <f>step3_validation[[#This Row],[Dependents]]</f>
        <v>3</v>
      </c>
      <c r="P265" t="str">
        <f>survey_responses[[#This Row],[Số người phụ thuộc (con nhỏ, cha mẹ già...) đủ điều kiện giảm trừ gia cảnh:]]</f>
        <v>3 người</v>
      </c>
      <c r="Q265">
        <f>step3_validation[[#This Row],[AI_ENF1]]</f>
        <v>7</v>
      </c>
      <c r="R265">
        <f t="shared" si="108"/>
        <v>0.66666666666666663</v>
      </c>
      <c r="S265">
        <f>survey_responses[[#This Row],[Tôi tin rằng với các quy định quản lý thuế hiện nay, hành vi gian lận hoặc trốn thuế sẽ dễ dàng bị phát hiện và xử lý nghiêm. - HUMAN-ENF1]]</f>
        <v>7</v>
      </c>
      <c r="T265">
        <f t="shared" si="109"/>
        <v>0.66666666666666663</v>
      </c>
      <c r="U265">
        <f>step3_validation[[#This Row],[AI_ENF2]]</f>
        <v>8</v>
      </c>
      <c r="V265">
        <f t="shared" si="110"/>
        <v>0.77777777777777779</v>
      </c>
      <c r="W265">
        <f>survey_responses[[#This Row],[Tôi tin rằng Nhà nước, cơ quan thuế có đủ khả năng và công nghệ để phát hiện, xử lý nghiêm các hành vi trốn thuế. - HUMAN-ENF2]]</f>
        <v>7</v>
      </c>
      <c r="X265">
        <f t="shared" si="111"/>
        <v>0.66666666666666663</v>
      </c>
      <c r="Y265" s="32">
        <f t="shared" si="112"/>
        <v>0.72222222222222221</v>
      </c>
      <c r="Z265" s="32">
        <f t="shared" si="113"/>
        <v>0.66666666666666663</v>
      </c>
      <c r="AA265">
        <f>step3_validation[[#This Row],[AI_FAC1]]</f>
        <v>9</v>
      </c>
      <c r="AB265">
        <f t="shared" si="114"/>
        <v>0.88888888888888884</v>
      </c>
      <c r="AC265">
        <f>survey_responses[[#This Row],[Các thủ tục khai báo thuế VÀ/HOẶC quy trình làm việc với cơ quan thuế đơn giản, tiện lợi, nhanh chóng hơn so với trước đây. - HUMAN-FAC1]]</f>
        <v>7</v>
      </c>
      <c r="AD265">
        <f t="shared" si="115"/>
        <v>0.66666666666666663</v>
      </c>
      <c r="AE265">
        <f>step3_validation[[#This Row],[AI_FAC2]]</f>
        <v>9</v>
      </c>
      <c r="AF265">
        <f t="shared" si="116"/>
        <v>0.88888888888888884</v>
      </c>
      <c r="AG265">
        <f>survey_responses[[#This Row],[So với trước đây, tôi thấy cách tính thuế và các bậc thuế trong phương án mới đơn giản, dễ hiểu và dễ thực hiện hơn. - HUMAN-FAC2]]</f>
        <v>8</v>
      </c>
      <c r="AH265">
        <f t="shared" si="117"/>
        <v>0.77777777777777779</v>
      </c>
      <c r="AI265" s="32">
        <f t="shared" si="118"/>
        <v>0.88888888888888884</v>
      </c>
      <c r="AJ265" s="32">
        <f t="shared" si="119"/>
        <v>0.72222222222222221</v>
      </c>
      <c r="AK265">
        <f>step3_validation[[#This Row],[AI_TRU1]]</f>
        <v>8</v>
      </c>
      <c r="AL265">
        <f t="shared" si="120"/>
        <v>0.77777777777777779</v>
      </c>
      <c r="AM265">
        <f>survey_responses[[#This Row],[Tôi tin rằng Nhà nước, cơ quan thuế sẽ thực thi chính sách mới một cách khách quan, công tâm và đối xử bình đẳng với mọi người nộp thuế.  - HUMAN-TRU1]]</f>
        <v>7</v>
      </c>
      <c r="AN265">
        <f t="shared" si="121"/>
        <v>0.66666666666666663</v>
      </c>
      <c r="AO265">
        <f>step3_validation[[#This Row],[AI_TRU2]]</f>
        <v>9</v>
      </c>
      <c r="AP265">
        <f t="shared" si="122"/>
        <v>0.88888888888888884</v>
      </c>
      <c r="AQ265">
        <f>survey_responses[[#This Row],[Tôi thấy mức thuế tôi phải đóng theo phương án mới là công bằng (người thu nhập như tôi đóng mức này là hợp lý). - HUMAN-TRU2]]</f>
        <v>7</v>
      </c>
      <c r="AR265">
        <f t="shared" si="123"/>
        <v>0.66666666666666663</v>
      </c>
      <c r="AS265">
        <f>step3_validation[[#This Row],[AI_TRU3]]</f>
        <v>8</v>
      </c>
      <c r="AT265">
        <f t="shared" si="124"/>
        <v>0.77777777777777779</v>
      </c>
      <c r="AU265">
        <f>survey_responses[[#This Row],[Tôi tin tưởng số tiền thuế tôi đóng sẽ được Nhà nước sử dụng hiệu quả để cải thiện dịch vụ công (y tế, đường xá...). - HUMAN-TRU3]]</f>
        <v>7</v>
      </c>
      <c r="AV265">
        <f t="shared" si="125"/>
        <v>0.66666666666666663</v>
      </c>
      <c r="AW265">
        <f>step3_validation[[#This Row],[AI_TRU4]]</f>
        <v>7</v>
      </c>
      <c r="AX265">
        <f t="shared" si="126"/>
        <v>0.66666666666666663</v>
      </c>
      <c r="AY265">
        <f>survey_responses[[#This Row],[Tôi thấy Nhà nước đã giải thích rõ ràng, minh bạch về lý do và mục tiêu của việc sửa đổi thuế lần này. - HUMAN-TRU4]]</f>
        <v>7</v>
      </c>
      <c r="AZ265">
        <f t="shared" si="127"/>
        <v>0.66666666666666663</v>
      </c>
      <c r="BA265" s="32">
        <f t="shared" si="128"/>
        <v>0.77777777777777768</v>
      </c>
      <c r="BB265" s="32">
        <f t="shared" si="129"/>
        <v>0.66666666666666663</v>
      </c>
      <c r="BC265" s="7">
        <f t="shared" si="130"/>
        <v>0.79629629629629628</v>
      </c>
      <c r="BD265" s="7">
        <f t="shared" si="131"/>
        <v>0.68518518518518512</v>
      </c>
      <c r="BE265">
        <f>step3_validation[[#This Row],[AI_OUT1]]</f>
        <v>9</v>
      </c>
      <c r="BF265">
        <f t="shared" si="132"/>
        <v>0.88888888888888884</v>
      </c>
      <c r="BG265">
        <f>survey_responses[[#This Row],[Sau khi xem xét các quyền lợi và nghĩa vụ, bạn có ủng hộ và tuân thủ chính sách mới hiện nay? - HUMAN-OUT1]]</f>
        <v>7</v>
      </c>
      <c r="BH265">
        <f t="shared" si="133"/>
        <v>0.66666666666666663</v>
      </c>
      <c r="BI265" s="32">
        <f t="shared" si="134"/>
        <v>2</v>
      </c>
    </row>
    <row r="266" spans="1:61" x14ac:dyDescent="0.45">
      <c r="A266" s="30">
        <f>step3_validation[[#This Row],[Persona_ID]]</f>
        <v>265</v>
      </c>
      <c r="B266" s="31">
        <f>step3_validation[[#This Row],[Used_Seed]]</f>
        <v>265</v>
      </c>
      <c r="C266" t="str">
        <f>step3_validation[[#This Row],[Gender]]</f>
        <v>Nữ</v>
      </c>
      <c r="D266" t="str">
        <f>survey_responses[[#This Row],[Giới tính của bạn:]]</f>
        <v>Nữ</v>
      </c>
      <c r="E266" t="str">
        <f>step3_validation[[#This Row],[Age_Group]]</f>
        <v>30 - 39</v>
      </c>
      <c r="F266" t="str">
        <f>survey_responses[[#This Row],[Độ tuổi của bạn:]]</f>
        <v>30 - 39</v>
      </c>
      <c r="G266" t="str">
        <f>step3_validation[[#This Row],[Region]]</f>
        <v>Thành thị</v>
      </c>
      <c r="H266" t="str">
        <f>survey_responses[[#This Row],[Khu vực bạn đang sinh sống:]]</f>
        <v>Thành thị</v>
      </c>
      <c r="I266" t="str">
        <f>step3_validation[[#This Row],[Education]]</f>
        <v>Đại học</v>
      </c>
      <c r="J266" t="str">
        <f>survey_responses[[#This Row],[Trình độ học vấn cao nhất:]]</f>
        <v>Đại học</v>
      </c>
      <c r="K266" t="str">
        <f>step3_validation[[#This Row],[Employment]]</f>
        <v>Chính thức</v>
      </c>
      <c r="L266" t="str">
        <f>survey_responses[[#This Row],[Tình trạng việc làm chính:]]</f>
        <v>Khu vực chính thức (Có Hợp đồng lao động, đóng BHXH)</v>
      </c>
      <c r="M266">
        <f>step3_validation[[#This Row],[Income_Mil]]</f>
        <v>25.524431595110439</v>
      </c>
      <c r="N266" t="str">
        <f>survey_responses[[#This Row],[Thu nhập bình quân tháng theo Hợp đồng lao động của bạn là bao nhiêu? (Vui lòng điền tổng thu nhập trước khi khấu trừ các loại Bảo hiểm (BHXH, BHYT, BHTN) và Thuế TNCN)]]</f>
        <v>Từ 23 - 32 triệu VNĐ</v>
      </c>
      <c r="O266">
        <f>step3_validation[[#This Row],[Dependents]]</f>
        <v>0</v>
      </c>
      <c r="P266" t="str">
        <f>survey_responses[[#This Row],[Số người phụ thuộc (con nhỏ, cha mẹ già...) đủ điều kiện giảm trừ gia cảnh:]]</f>
        <v>0 người</v>
      </c>
      <c r="Q266">
        <f>step3_validation[[#This Row],[AI_ENF1]]</f>
        <v>8</v>
      </c>
      <c r="R266">
        <f t="shared" si="108"/>
        <v>0.77777777777777779</v>
      </c>
      <c r="S266">
        <f>survey_responses[[#This Row],[Tôi tin rằng với các quy định quản lý thuế hiện nay, hành vi gian lận hoặc trốn thuế sẽ dễ dàng bị phát hiện và xử lý nghiêm. - HUMAN-ENF1]]</f>
        <v>6</v>
      </c>
      <c r="T266">
        <f t="shared" si="109"/>
        <v>0.55555555555555558</v>
      </c>
      <c r="U266">
        <f>step3_validation[[#This Row],[AI_ENF2]]</f>
        <v>8</v>
      </c>
      <c r="V266">
        <f t="shared" si="110"/>
        <v>0.77777777777777779</v>
      </c>
      <c r="W266">
        <f>survey_responses[[#This Row],[Tôi tin rằng Nhà nước, cơ quan thuế có đủ khả năng và công nghệ để phát hiện, xử lý nghiêm các hành vi trốn thuế. - HUMAN-ENF2]]</f>
        <v>5</v>
      </c>
      <c r="X266">
        <f t="shared" si="111"/>
        <v>0.44444444444444442</v>
      </c>
      <c r="Y266" s="32">
        <f t="shared" si="112"/>
        <v>0.77777777777777779</v>
      </c>
      <c r="Z266" s="32">
        <f t="shared" si="113"/>
        <v>0.5</v>
      </c>
      <c r="AA266">
        <f>step3_validation[[#This Row],[AI_FAC1]]</f>
        <v>9</v>
      </c>
      <c r="AB266">
        <f t="shared" si="114"/>
        <v>0.88888888888888884</v>
      </c>
      <c r="AC266">
        <f>survey_responses[[#This Row],[Các thủ tục khai báo thuế VÀ/HOẶC quy trình làm việc với cơ quan thuế đơn giản, tiện lợi, nhanh chóng hơn so với trước đây. - HUMAN-FAC1]]</f>
        <v>5</v>
      </c>
      <c r="AD266">
        <f t="shared" si="115"/>
        <v>0.44444444444444442</v>
      </c>
      <c r="AE266">
        <f>step3_validation[[#This Row],[AI_FAC2]]</f>
        <v>9</v>
      </c>
      <c r="AF266">
        <f t="shared" si="116"/>
        <v>0.88888888888888884</v>
      </c>
      <c r="AG266">
        <f>survey_responses[[#This Row],[So với trước đây, tôi thấy cách tính thuế và các bậc thuế trong phương án mới đơn giản, dễ hiểu và dễ thực hiện hơn. - HUMAN-FAC2]]</f>
        <v>7</v>
      </c>
      <c r="AH266">
        <f t="shared" si="117"/>
        <v>0.66666666666666663</v>
      </c>
      <c r="AI266" s="32">
        <f t="shared" si="118"/>
        <v>0.88888888888888884</v>
      </c>
      <c r="AJ266" s="32">
        <f t="shared" si="119"/>
        <v>0.55555555555555558</v>
      </c>
      <c r="AK266">
        <f>step3_validation[[#This Row],[AI_TRU1]]</f>
        <v>7</v>
      </c>
      <c r="AL266">
        <f t="shared" si="120"/>
        <v>0.66666666666666663</v>
      </c>
      <c r="AM266">
        <f>survey_responses[[#This Row],[Tôi tin rằng Nhà nước, cơ quan thuế sẽ thực thi chính sách mới một cách khách quan, công tâm và đối xử bình đẳng với mọi người nộp thuế.  - HUMAN-TRU1]]</f>
        <v>6</v>
      </c>
      <c r="AN266">
        <f t="shared" si="121"/>
        <v>0.55555555555555558</v>
      </c>
      <c r="AO266">
        <f>step3_validation[[#This Row],[AI_TRU2]]</f>
        <v>8</v>
      </c>
      <c r="AP266">
        <f t="shared" si="122"/>
        <v>0.77777777777777779</v>
      </c>
      <c r="AQ266">
        <f>survey_responses[[#This Row],[Tôi thấy mức thuế tôi phải đóng theo phương án mới là công bằng (người thu nhập như tôi đóng mức này là hợp lý). - HUMAN-TRU2]]</f>
        <v>7</v>
      </c>
      <c r="AR266">
        <f t="shared" si="123"/>
        <v>0.66666666666666663</v>
      </c>
      <c r="AS266">
        <f>step3_validation[[#This Row],[AI_TRU3]]</f>
        <v>7</v>
      </c>
      <c r="AT266">
        <f t="shared" si="124"/>
        <v>0.66666666666666663</v>
      </c>
      <c r="AU266">
        <f>survey_responses[[#This Row],[Tôi tin tưởng số tiền thuế tôi đóng sẽ được Nhà nước sử dụng hiệu quả để cải thiện dịch vụ công (y tế, đường xá...). - HUMAN-TRU3]]</f>
        <v>5</v>
      </c>
      <c r="AV266">
        <f t="shared" si="125"/>
        <v>0.44444444444444442</v>
      </c>
      <c r="AW266">
        <f>step3_validation[[#This Row],[AI_TRU4]]</f>
        <v>8</v>
      </c>
      <c r="AX266">
        <f t="shared" si="126"/>
        <v>0.77777777777777779</v>
      </c>
      <c r="AY266">
        <f>survey_responses[[#This Row],[Tôi thấy Nhà nước đã giải thích rõ ràng, minh bạch về lý do và mục tiêu của việc sửa đổi thuế lần này. - HUMAN-TRU4]]</f>
        <v>6</v>
      </c>
      <c r="AZ266">
        <f t="shared" si="127"/>
        <v>0.55555555555555558</v>
      </c>
      <c r="BA266" s="32">
        <f t="shared" si="128"/>
        <v>0.72222222222222221</v>
      </c>
      <c r="BB266" s="32">
        <f t="shared" si="129"/>
        <v>0.55555555555555558</v>
      </c>
      <c r="BC266" s="7">
        <f t="shared" si="130"/>
        <v>0.79629629629629628</v>
      </c>
      <c r="BD266" s="7">
        <f t="shared" si="131"/>
        <v>0.53703703703703709</v>
      </c>
      <c r="BE266">
        <f>step3_validation[[#This Row],[AI_OUT1]]</f>
        <v>9</v>
      </c>
      <c r="BF266">
        <f t="shared" si="132"/>
        <v>0.88888888888888884</v>
      </c>
      <c r="BG266">
        <f>survey_responses[[#This Row],[Sau khi xem xét các quyền lợi và nghĩa vụ, bạn có ủng hộ và tuân thủ chính sách mới hiện nay? - HUMAN-OUT1]]</f>
        <v>6</v>
      </c>
      <c r="BH266">
        <f t="shared" si="133"/>
        <v>0.55555555555555558</v>
      </c>
      <c r="BI266" s="32">
        <f t="shared" si="134"/>
        <v>3</v>
      </c>
    </row>
    <row r="267" spans="1:61" x14ac:dyDescent="0.45">
      <c r="A267" s="30">
        <f>step3_validation[[#This Row],[Persona_ID]]</f>
        <v>266</v>
      </c>
      <c r="B267" s="31">
        <f>step3_validation[[#This Row],[Used_Seed]]</f>
        <v>266</v>
      </c>
      <c r="C267" t="str">
        <f>step3_validation[[#This Row],[Gender]]</f>
        <v>Nữ</v>
      </c>
      <c r="D267" t="str">
        <f>survey_responses[[#This Row],[Giới tính của bạn:]]</f>
        <v>Nữ</v>
      </c>
      <c r="E267" t="str">
        <f>step3_validation[[#This Row],[Age_Group]]</f>
        <v>50 - 54</v>
      </c>
      <c r="F267" t="str">
        <f>survey_responses[[#This Row],[Độ tuổi của bạn:]]</f>
        <v>50 - 54</v>
      </c>
      <c r="G267" t="str">
        <f>step3_validation[[#This Row],[Region]]</f>
        <v>Thành thị</v>
      </c>
      <c r="H267" t="str">
        <f>survey_responses[[#This Row],[Khu vực bạn đang sinh sống:]]</f>
        <v>Thành thị</v>
      </c>
      <c r="I267" t="str">
        <f>step3_validation[[#This Row],[Education]]</f>
        <v>Đại học</v>
      </c>
      <c r="J267" t="str">
        <f>survey_responses[[#This Row],[Trình độ học vấn cao nhất:]]</f>
        <v>Đại học</v>
      </c>
      <c r="K267" t="str">
        <f>step3_validation[[#This Row],[Employment]]</f>
        <v>Chính thức</v>
      </c>
      <c r="L267" t="str">
        <f>survey_responses[[#This Row],[Tình trạng việc làm chính:]]</f>
        <v>Khu vực chính thức (Có Hợp đồng lao động, đóng BHXH)</v>
      </c>
      <c r="M267">
        <f>step3_validation[[#This Row],[Income_Mil]]</f>
        <v>52.313587113142795</v>
      </c>
      <c r="N267" t="str">
        <f>survey_responses[[#This Row],[Thu nhập bình quân tháng theo Hợp đồng lao động của bạn là bao nhiêu? (Vui lòng điền tổng thu nhập trước khi khấu trừ các loại Bảo hiểm (BHXH, BHYT, BHTN) và Thuế TNCN)]]</f>
        <v>Từ 48 - 70 triệu VNĐ</v>
      </c>
      <c r="O267">
        <f>step3_validation[[#This Row],[Dependents]]</f>
        <v>3</v>
      </c>
      <c r="P267" t="str">
        <f>survey_responses[[#This Row],[Số người phụ thuộc (con nhỏ, cha mẹ già...) đủ điều kiện giảm trừ gia cảnh:]]</f>
        <v>3 người</v>
      </c>
      <c r="Q267">
        <f>step3_validation[[#This Row],[AI_ENF1]]</f>
        <v>7</v>
      </c>
      <c r="R267">
        <f t="shared" si="108"/>
        <v>0.66666666666666663</v>
      </c>
      <c r="S267">
        <f>survey_responses[[#This Row],[Tôi tin rằng với các quy định quản lý thuế hiện nay, hành vi gian lận hoặc trốn thuế sẽ dễ dàng bị phát hiện và xử lý nghiêm. - HUMAN-ENF1]]</f>
        <v>7</v>
      </c>
      <c r="T267">
        <f t="shared" si="109"/>
        <v>0.66666666666666663</v>
      </c>
      <c r="U267">
        <f>step3_validation[[#This Row],[AI_ENF2]]</f>
        <v>8</v>
      </c>
      <c r="V267">
        <f t="shared" si="110"/>
        <v>0.77777777777777779</v>
      </c>
      <c r="W267">
        <f>survey_responses[[#This Row],[Tôi tin rằng Nhà nước, cơ quan thuế có đủ khả năng và công nghệ để phát hiện, xử lý nghiêm các hành vi trốn thuế. - HUMAN-ENF2]]</f>
        <v>6</v>
      </c>
      <c r="X267">
        <f t="shared" si="111"/>
        <v>0.55555555555555558</v>
      </c>
      <c r="Y267" s="32">
        <f t="shared" si="112"/>
        <v>0.72222222222222221</v>
      </c>
      <c r="Z267" s="32">
        <f t="shared" si="113"/>
        <v>0.61111111111111116</v>
      </c>
      <c r="AA267">
        <f>step3_validation[[#This Row],[AI_FAC1]]</f>
        <v>6</v>
      </c>
      <c r="AB267">
        <f t="shared" si="114"/>
        <v>0.55555555555555558</v>
      </c>
      <c r="AC267">
        <f>survey_responses[[#This Row],[Các thủ tục khai báo thuế VÀ/HOẶC quy trình làm việc với cơ quan thuế đơn giản, tiện lợi, nhanh chóng hơn so với trước đây. - HUMAN-FAC1]]</f>
        <v>6</v>
      </c>
      <c r="AD267">
        <f t="shared" si="115"/>
        <v>0.55555555555555558</v>
      </c>
      <c r="AE267">
        <f>step3_validation[[#This Row],[AI_FAC2]]</f>
        <v>9</v>
      </c>
      <c r="AF267">
        <f t="shared" si="116"/>
        <v>0.88888888888888884</v>
      </c>
      <c r="AG267">
        <f>survey_responses[[#This Row],[So với trước đây, tôi thấy cách tính thuế và các bậc thuế trong phương án mới đơn giản, dễ hiểu và dễ thực hiện hơn. - HUMAN-FAC2]]</f>
        <v>6</v>
      </c>
      <c r="AH267">
        <f t="shared" si="117"/>
        <v>0.55555555555555558</v>
      </c>
      <c r="AI267" s="32">
        <f t="shared" si="118"/>
        <v>0.72222222222222221</v>
      </c>
      <c r="AJ267" s="32">
        <f t="shared" si="119"/>
        <v>0.55555555555555558</v>
      </c>
      <c r="AK267">
        <f>step3_validation[[#This Row],[AI_TRU1]]</f>
        <v>7</v>
      </c>
      <c r="AL267">
        <f t="shared" si="120"/>
        <v>0.66666666666666663</v>
      </c>
      <c r="AM267">
        <f>survey_responses[[#This Row],[Tôi tin rằng Nhà nước, cơ quan thuế sẽ thực thi chính sách mới một cách khách quan, công tâm và đối xử bình đẳng với mọi người nộp thuế.  - HUMAN-TRU1]]</f>
        <v>7</v>
      </c>
      <c r="AN267">
        <f t="shared" si="121"/>
        <v>0.66666666666666663</v>
      </c>
      <c r="AO267">
        <f>step3_validation[[#This Row],[AI_TRU2]]</f>
        <v>9</v>
      </c>
      <c r="AP267">
        <f t="shared" si="122"/>
        <v>0.88888888888888884</v>
      </c>
      <c r="AQ267">
        <f>survey_responses[[#This Row],[Tôi thấy mức thuế tôi phải đóng theo phương án mới là công bằng (người thu nhập như tôi đóng mức này là hợp lý). - HUMAN-TRU2]]</f>
        <v>7</v>
      </c>
      <c r="AR267">
        <f t="shared" si="123"/>
        <v>0.66666666666666663</v>
      </c>
      <c r="AS267">
        <f>step3_validation[[#This Row],[AI_TRU3]]</f>
        <v>8</v>
      </c>
      <c r="AT267">
        <f t="shared" si="124"/>
        <v>0.77777777777777779</v>
      </c>
      <c r="AU267">
        <f>survey_responses[[#This Row],[Tôi tin tưởng số tiền thuế tôi đóng sẽ được Nhà nước sử dụng hiệu quả để cải thiện dịch vụ công (y tế, đường xá...). - HUMAN-TRU3]]</f>
        <v>7</v>
      </c>
      <c r="AV267">
        <f t="shared" si="125"/>
        <v>0.66666666666666663</v>
      </c>
      <c r="AW267">
        <f>step3_validation[[#This Row],[AI_TRU4]]</f>
        <v>7</v>
      </c>
      <c r="AX267">
        <f t="shared" si="126"/>
        <v>0.66666666666666663</v>
      </c>
      <c r="AY267">
        <f>survey_responses[[#This Row],[Tôi thấy Nhà nước đã giải thích rõ ràng, minh bạch về lý do và mục tiêu của việc sửa đổi thuế lần này. - HUMAN-TRU4]]</f>
        <v>7</v>
      </c>
      <c r="AZ267">
        <f t="shared" si="127"/>
        <v>0.66666666666666663</v>
      </c>
      <c r="BA267" s="32">
        <f t="shared" si="128"/>
        <v>0.74999999999999989</v>
      </c>
      <c r="BB267" s="32">
        <f t="shared" si="129"/>
        <v>0.66666666666666663</v>
      </c>
      <c r="BC267" s="7">
        <f t="shared" si="130"/>
        <v>0.7314814814814814</v>
      </c>
      <c r="BD267" s="7">
        <f t="shared" si="131"/>
        <v>0.61111111111111116</v>
      </c>
      <c r="BE267">
        <f>step3_validation[[#This Row],[AI_OUT1]]</f>
        <v>9</v>
      </c>
      <c r="BF267">
        <f t="shared" si="132"/>
        <v>0.88888888888888884</v>
      </c>
      <c r="BG267">
        <f>survey_responses[[#This Row],[Sau khi xem xét các quyền lợi và nghĩa vụ, bạn có ủng hộ và tuân thủ chính sách mới hiện nay? - HUMAN-OUT1]]</f>
        <v>7</v>
      </c>
      <c r="BH267">
        <f t="shared" si="133"/>
        <v>0.66666666666666663</v>
      </c>
      <c r="BI267" s="32">
        <f t="shared" si="134"/>
        <v>2</v>
      </c>
    </row>
    <row r="268" spans="1:61" x14ac:dyDescent="0.45">
      <c r="A268" s="30">
        <f>step3_validation[[#This Row],[Persona_ID]]</f>
        <v>267</v>
      </c>
      <c r="B268" s="31">
        <f>step3_validation[[#This Row],[Used_Seed]]</f>
        <v>267</v>
      </c>
      <c r="C268" t="str">
        <f>step3_validation[[#This Row],[Gender]]</f>
        <v>Nam</v>
      </c>
      <c r="D268" t="str">
        <f>survey_responses[[#This Row],[Giới tính của bạn:]]</f>
        <v>Nam</v>
      </c>
      <c r="E268" t="str">
        <f>step3_validation[[#This Row],[Age_Group]]</f>
        <v>40 - 49</v>
      </c>
      <c r="F268" t="str">
        <f>survey_responses[[#This Row],[Độ tuổi của bạn:]]</f>
        <v>40 - 49</v>
      </c>
      <c r="G268" t="str">
        <f>step3_validation[[#This Row],[Region]]</f>
        <v>Thành thị</v>
      </c>
      <c r="H268" t="str">
        <f>survey_responses[[#This Row],[Khu vực bạn đang sinh sống:]]</f>
        <v>Thành thị</v>
      </c>
      <c r="I268" t="str">
        <f>step3_validation[[#This Row],[Education]]</f>
        <v>Sau Đại học</v>
      </c>
      <c r="J268" t="str">
        <f>survey_responses[[#This Row],[Trình độ học vấn cao nhất:]]</f>
        <v>Sau Đại học</v>
      </c>
      <c r="K268" t="str">
        <f>step3_validation[[#This Row],[Employment]]</f>
        <v>Chính thức</v>
      </c>
      <c r="L268" t="str">
        <f>survey_responses[[#This Row],[Tình trạng việc làm chính:]]</f>
        <v>Khu vực chính thức (Có Hợp đồng lao động, đóng BHXH)</v>
      </c>
      <c r="M268">
        <f>step3_validation[[#This Row],[Income_Mil]]</f>
        <v>60.141322354788841</v>
      </c>
      <c r="N268" t="str">
        <f>survey_responses[[#This Row],[Thu nhập bình quân tháng theo Hợp đồng lao động của bạn là bao nhiêu? (Vui lòng điền tổng thu nhập trước khi khấu trừ các loại Bảo hiểm (BHXH, BHYT, BHTN) và Thuế TNCN)]]</f>
        <v>Từ 48 - 70 triệu VNĐ</v>
      </c>
      <c r="O268">
        <f>step3_validation[[#This Row],[Dependents]]</f>
        <v>2</v>
      </c>
      <c r="P268" t="str">
        <f>survey_responses[[#This Row],[Số người phụ thuộc (con nhỏ, cha mẹ già...) đủ điều kiện giảm trừ gia cảnh:]]</f>
        <v>2 người</v>
      </c>
      <c r="Q268">
        <f>step3_validation[[#This Row],[AI_ENF1]]</f>
        <v>6</v>
      </c>
      <c r="R268">
        <f t="shared" si="108"/>
        <v>0.55555555555555558</v>
      </c>
      <c r="S268">
        <f>survey_responses[[#This Row],[Tôi tin rằng với các quy định quản lý thuế hiện nay, hành vi gian lận hoặc trốn thuế sẽ dễ dàng bị phát hiện và xử lý nghiêm. - HUMAN-ENF1]]</f>
        <v>6</v>
      </c>
      <c r="T268">
        <f t="shared" si="109"/>
        <v>0.55555555555555558</v>
      </c>
      <c r="U268">
        <f>step3_validation[[#This Row],[AI_ENF2]]</f>
        <v>6</v>
      </c>
      <c r="V268">
        <f t="shared" si="110"/>
        <v>0.55555555555555558</v>
      </c>
      <c r="W268">
        <f>survey_responses[[#This Row],[Tôi tin rằng Nhà nước, cơ quan thuế có đủ khả năng và công nghệ để phát hiện, xử lý nghiêm các hành vi trốn thuế. - HUMAN-ENF2]]</f>
        <v>7</v>
      </c>
      <c r="X268">
        <f t="shared" si="111"/>
        <v>0.66666666666666663</v>
      </c>
      <c r="Y268" s="32">
        <f t="shared" si="112"/>
        <v>0.55555555555555558</v>
      </c>
      <c r="Z268" s="32">
        <f t="shared" si="113"/>
        <v>0.61111111111111116</v>
      </c>
      <c r="AA268">
        <f>step3_validation[[#This Row],[AI_FAC1]]</f>
        <v>9</v>
      </c>
      <c r="AB268">
        <f t="shared" si="114"/>
        <v>0.88888888888888884</v>
      </c>
      <c r="AC268">
        <f>survey_responses[[#This Row],[Các thủ tục khai báo thuế VÀ/HOẶC quy trình làm việc với cơ quan thuế đơn giản, tiện lợi, nhanh chóng hơn so với trước đây. - HUMAN-FAC1]]</f>
        <v>7</v>
      </c>
      <c r="AD268">
        <f t="shared" si="115"/>
        <v>0.66666666666666663</v>
      </c>
      <c r="AE268">
        <f>step3_validation[[#This Row],[AI_FAC2]]</f>
        <v>8</v>
      </c>
      <c r="AF268">
        <f t="shared" si="116"/>
        <v>0.77777777777777779</v>
      </c>
      <c r="AG268">
        <f>survey_responses[[#This Row],[So với trước đây, tôi thấy cách tính thuế và các bậc thuế trong phương án mới đơn giản, dễ hiểu và dễ thực hiện hơn. - HUMAN-FAC2]]</f>
        <v>6</v>
      </c>
      <c r="AH268">
        <f t="shared" si="117"/>
        <v>0.55555555555555558</v>
      </c>
      <c r="AI268" s="32">
        <f t="shared" si="118"/>
        <v>0.83333333333333326</v>
      </c>
      <c r="AJ268" s="32">
        <f t="shared" si="119"/>
        <v>0.61111111111111116</v>
      </c>
      <c r="AK268">
        <f>step3_validation[[#This Row],[AI_TRU1]]</f>
        <v>0</v>
      </c>
      <c r="AL268">
        <f t="shared" si="120"/>
        <v>-0.1111111111111111</v>
      </c>
      <c r="AM268">
        <f>survey_responses[[#This Row],[Tôi tin rằng Nhà nước, cơ quan thuế sẽ thực thi chính sách mới một cách khách quan, công tâm và đối xử bình đẳng với mọi người nộp thuế.  - HUMAN-TRU1]]</f>
        <v>6</v>
      </c>
      <c r="AN268">
        <f t="shared" si="121"/>
        <v>0.55555555555555558</v>
      </c>
      <c r="AO268">
        <f>step3_validation[[#This Row],[AI_TRU2]]</f>
        <v>0</v>
      </c>
      <c r="AP268">
        <f t="shared" si="122"/>
        <v>-0.1111111111111111</v>
      </c>
      <c r="AQ268">
        <f>survey_responses[[#This Row],[Tôi thấy mức thuế tôi phải đóng theo phương án mới là công bằng (người thu nhập như tôi đóng mức này là hợp lý). - HUMAN-TRU2]]</f>
        <v>6</v>
      </c>
      <c r="AR268">
        <f t="shared" si="123"/>
        <v>0.55555555555555558</v>
      </c>
      <c r="AS268">
        <f>step3_validation[[#This Row],[AI_TRU3]]</f>
        <v>0</v>
      </c>
      <c r="AT268">
        <f t="shared" si="124"/>
        <v>-0.1111111111111111</v>
      </c>
      <c r="AU268">
        <f>survey_responses[[#This Row],[Tôi tin tưởng số tiền thuế tôi đóng sẽ được Nhà nước sử dụng hiệu quả để cải thiện dịch vụ công (y tế, đường xá...). - HUMAN-TRU3]]</f>
        <v>6</v>
      </c>
      <c r="AV268">
        <f t="shared" si="125"/>
        <v>0.55555555555555558</v>
      </c>
      <c r="AW268">
        <f>step3_validation[[#This Row],[AI_TRU4]]</f>
        <v>0</v>
      </c>
      <c r="AX268">
        <f t="shared" si="126"/>
        <v>-0.1111111111111111</v>
      </c>
      <c r="AY268">
        <f>survey_responses[[#This Row],[Tôi thấy Nhà nước đã giải thích rõ ràng, minh bạch về lý do và mục tiêu của việc sửa đổi thuế lần này. - HUMAN-TRU4]]</f>
        <v>7</v>
      </c>
      <c r="AZ268">
        <f t="shared" si="127"/>
        <v>0.66666666666666663</v>
      </c>
      <c r="BA268" s="32">
        <f t="shared" si="128"/>
        <v>-0.1111111111111111</v>
      </c>
      <c r="BB268" s="32">
        <f t="shared" si="129"/>
        <v>0.58333333333333337</v>
      </c>
      <c r="BC268" s="7">
        <f t="shared" si="130"/>
        <v>0.42592592592592587</v>
      </c>
      <c r="BD268" s="7">
        <f t="shared" si="131"/>
        <v>0.60185185185185197</v>
      </c>
      <c r="BE268">
        <f>step3_validation[[#This Row],[AI_OUT1]]</f>
        <v>0</v>
      </c>
      <c r="BF268">
        <f t="shared" si="132"/>
        <v>-0.1111111111111111</v>
      </c>
      <c r="BG268">
        <f>survey_responses[[#This Row],[Sau khi xem xét các quyền lợi và nghĩa vụ, bạn có ủng hộ và tuân thủ chính sách mới hiện nay? - HUMAN-OUT1]]</f>
        <v>7</v>
      </c>
      <c r="BH268">
        <f t="shared" si="133"/>
        <v>0.66666666666666663</v>
      </c>
      <c r="BI268" s="32">
        <f t="shared" si="134"/>
        <v>7</v>
      </c>
    </row>
    <row r="269" spans="1:61" x14ac:dyDescent="0.45">
      <c r="A269" s="30">
        <f>step3_validation[[#This Row],[Persona_ID]]</f>
        <v>268</v>
      </c>
      <c r="B269" s="31">
        <f>step3_validation[[#This Row],[Used_Seed]]</f>
        <v>268</v>
      </c>
      <c r="C269" t="str">
        <f>step3_validation[[#This Row],[Gender]]</f>
        <v>Nữ</v>
      </c>
      <c r="D269" t="str">
        <f>survey_responses[[#This Row],[Giới tính của bạn:]]</f>
        <v>Nữ</v>
      </c>
      <c r="E269" t="str">
        <f>step3_validation[[#This Row],[Age_Group]]</f>
        <v>25 - 29</v>
      </c>
      <c r="F269" t="str">
        <f>survey_responses[[#This Row],[Độ tuổi của bạn:]]</f>
        <v>25 - 29</v>
      </c>
      <c r="G269" t="str">
        <f>step3_validation[[#This Row],[Region]]</f>
        <v>Thành thị</v>
      </c>
      <c r="H269" t="str">
        <f>survey_responses[[#This Row],[Khu vực bạn đang sinh sống:]]</f>
        <v>Thành thị</v>
      </c>
      <c r="I269" t="str">
        <f>step3_validation[[#This Row],[Education]]</f>
        <v>Đại học</v>
      </c>
      <c r="J269" t="str">
        <f>survey_responses[[#This Row],[Trình độ học vấn cao nhất:]]</f>
        <v>Đại học</v>
      </c>
      <c r="K269" t="str">
        <f>step3_validation[[#This Row],[Employment]]</f>
        <v>Chính thức</v>
      </c>
      <c r="L269" t="str">
        <f>survey_responses[[#This Row],[Tình trạng việc làm chính:]]</f>
        <v>Khu vực chính thức (Có Hợp đồng lao động, đóng BHXH)</v>
      </c>
      <c r="M269">
        <f>step3_validation[[#This Row],[Income_Mil]]</f>
        <v>30.701534518360898</v>
      </c>
      <c r="N269" t="str">
        <f>survey_responses[[#This Row],[Thu nhập bình quân tháng theo Hợp đồng lao động của bạn là bao nhiêu? (Vui lòng điền tổng thu nhập trước khi khấu trừ các loại Bảo hiểm (BHXH, BHYT, BHTN) và Thuế TNCN)]]</f>
        <v>Từ 23 - 32 triệu VNĐ</v>
      </c>
      <c r="O269">
        <f>step3_validation[[#This Row],[Dependents]]</f>
        <v>2</v>
      </c>
      <c r="P269" t="str">
        <f>survey_responses[[#This Row],[Số người phụ thuộc (con nhỏ, cha mẹ già...) đủ điều kiện giảm trừ gia cảnh:]]</f>
        <v>2 người</v>
      </c>
      <c r="Q269">
        <f>step3_validation[[#This Row],[AI_ENF1]]</f>
        <v>7</v>
      </c>
      <c r="R269">
        <f t="shared" si="108"/>
        <v>0.66666666666666663</v>
      </c>
      <c r="S269">
        <f>survey_responses[[#This Row],[Tôi tin rằng với các quy định quản lý thuế hiện nay, hành vi gian lận hoặc trốn thuế sẽ dễ dàng bị phát hiện và xử lý nghiêm. - HUMAN-ENF1]]</f>
        <v>7</v>
      </c>
      <c r="T269">
        <f t="shared" si="109"/>
        <v>0.66666666666666663</v>
      </c>
      <c r="U269">
        <f>step3_validation[[#This Row],[AI_ENF2]]</f>
        <v>8</v>
      </c>
      <c r="V269">
        <f t="shared" si="110"/>
        <v>0.77777777777777779</v>
      </c>
      <c r="W269">
        <f>survey_responses[[#This Row],[Tôi tin rằng Nhà nước, cơ quan thuế có đủ khả năng và công nghệ để phát hiện, xử lý nghiêm các hành vi trốn thuế. - HUMAN-ENF2]]</f>
        <v>7</v>
      </c>
      <c r="X269">
        <f t="shared" si="111"/>
        <v>0.66666666666666663</v>
      </c>
      <c r="Y269" s="32">
        <f t="shared" si="112"/>
        <v>0.72222222222222221</v>
      </c>
      <c r="Z269" s="32">
        <f t="shared" si="113"/>
        <v>0.66666666666666663</v>
      </c>
      <c r="AA269">
        <f>step3_validation[[#This Row],[AI_FAC1]]</f>
        <v>9</v>
      </c>
      <c r="AB269">
        <f t="shared" si="114"/>
        <v>0.88888888888888884</v>
      </c>
      <c r="AC269">
        <f>survey_responses[[#This Row],[Các thủ tục khai báo thuế VÀ/HOẶC quy trình làm việc với cơ quan thuế đơn giản, tiện lợi, nhanh chóng hơn so với trước đây. - HUMAN-FAC1]]</f>
        <v>2</v>
      </c>
      <c r="AD269">
        <f t="shared" si="115"/>
        <v>0.1111111111111111</v>
      </c>
      <c r="AE269">
        <f>step3_validation[[#This Row],[AI_FAC2]]</f>
        <v>10</v>
      </c>
      <c r="AF269">
        <f t="shared" si="116"/>
        <v>1</v>
      </c>
      <c r="AG269">
        <f>survey_responses[[#This Row],[So với trước đây, tôi thấy cách tính thuế và các bậc thuế trong phương án mới đơn giản, dễ hiểu và dễ thực hiện hơn. - HUMAN-FAC2]]</f>
        <v>7</v>
      </c>
      <c r="AH269">
        <f t="shared" si="117"/>
        <v>0.66666666666666663</v>
      </c>
      <c r="AI269" s="32">
        <f t="shared" si="118"/>
        <v>0.94444444444444442</v>
      </c>
      <c r="AJ269" s="32">
        <f t="shared" si="119"/>
        <v>0.38888888888888884</v>
      </c>
      <c r="AK269">
        <f>step3_validation[[#This Row],[AI_TRU1]]</f>
        <v>8</v>
      </c>
      <c r="AL269">
        <f t="shared" si="120"/>
        <v>0.77777777777777779</v>
      </c>
      <c r="AM269">
        <f>survey_responses[[#This Row],[Tôi tin rằng Nhà nước, cơ quan thuế sẽ thực thi chính sách mới một cách khách quan, công tâm và đối xử bình đẳng với mọi người nộp thuế.  - HUMAN-TRU1]]</f>
        <v>7</v>
      </c>
      <c r="AN269">
        <f t="shared" si="121"/>
        <v>0.66666666666666663</v>
      </c>
      <c r="AO269">
        <f>step3_validation[[#This Row],[AI_TRU2]]</f>
        <v>9</v>
      </c>
      <c r="AP269">
        <f t="shared" si="122"/>
        <v>0.88888888888888884</v>
      </c>
      <c r="AQ269">
        <f>survey_responses[[#This Row],[Tôi thấy mức thuế tôi phải đóng theo phương án mới là công bằng (người thu nhập như tôi đóng mức này là hợp lý). - HUMAN-TRU2]]</f>
        <v>7</v>
      </c>
      <c r="AR269">
        <f t="shared" si="123"/>
        <v>0.66666666666666663</v>
      </c>
      <c r="AS269">
        <f>step3_validation[[#This Row],[AI_TRU3]]</f>
        <v>8</v>
      </c>
      <c r="AT269">
        <f t="shared" si="124"/>
        <v>0.77777777777777779</v>
      </c>
      <c r="AU269">
        <f>survey_responses[[#This Row],[Tôi tin tưởng số tiền thuế tôi đóng sẽ được Nhà nước sử dụng hiệu quả để cải thiện dịch vụ công (y tế, đường xá...). - HUMAN-TRU3]]</f>
        <v>7</v>
      </c>
      <c r="AV269">
        <f t="shared" si="125"/>
        <v>0.66666666666666663</v>
      </c>
      <c r="AW269">
        <f>step3_validation[[#This Row],[AI_TRU4]]</f>
        <v>9</v>
      </c>
      <c r="AX269">
        <f t="shared" si="126"/>
        <v>0.88888888888888884</v>
      </c>
      <c r="AY269">
        <f>survey_responses[[#This Row],[Tôi thấy Nhà nước đã giải thích rõ ràng, minh bạch về lý do và mục tiêu của việc sửa đổi thuế lần này. - HUMAN-TRU4]]</f>
        <v>7</v>
      </c>
      <c r="AZ269">
        <f t="shared" si="127"/>
        <v>0.66666666666666663</v>
      </c>
      <c r="BA269" s="32">
        <f t="shared" si="128"/>
        <v>0.83333333333333326</v>
      </c>
      <c r="BB269" s="32">
        <f t="shared" si="129"/>
        <v>0.66666666666666663</v>
      </c>
      <c r="BC269" s="7">
        <f t="shared" si="130"/>
        <v>0.83333333333333337</v>
      </c>
      <c r="BD269" s="7">
        <f t="shared" si="131"/>
        <v>0.57407407407407396</v>
      </c>
      <c r="BE269">
        <f>step3_validation[[#This Row],[AI_OUT1]]</f>
        <v>10</v>
      </c>
      <c r="BF269">
        <f t="shared" si="132"/>
        <v>1</v>
      </c>
      <c r="BG269">
        <f>survey_responses[[#This Row],[Sau khi xem xét các quyền lợi và nghĩa vụ, bạn có ủng hộ và tuân thủ chính sách mới hiện nay? - HUMAN-OUT1]]</f>
        <v>7</v>
      </c>
      <c r="BH269">
        <f t="shared" si="133"/>
        <v>0.66666666666666663</v>
      </c>
      <c r="BI269" s="32">
        <f t="shared" si="134"/>
        <v>3</v>
      </c>
    </row>
    <row r="270" spans="1:61" x14ac:dyDescent="0.45">
      <c r="A270" s="30">
        <f>step3_validation[[#This Row],[Persona_ID]]</f>
        <v>269</v>
      </c>
      <c r="B270" s="31">
        <f>step3_validation[[#This Row],[Used_Seed]]</f>
        <v>269</v>
      </c>
      <c r="C270" t="str">
        <f>step3_validation[[#This Row],[Gender]]</f>
        <v>Nam</v>
      </c>
      <c r="D270" t="str">
        <f>survey_responses[[#This Row],[Giới tính của bạn:]]</f>
        <v>Nam</v>
      </c>
      <c r="E270" t="str">
        <f>step3_validation[[#This Row],[Age_Group]]</f>
        <v>40 - 49</v>
      </c>
      <c r="F270" t="str">
        <f>survey_responses[[#This Row],[Độ tuổi của bạn:]]</f>
        <v>40 - 49</v>
      </c>
      <c r="G270" t="str">
        <f>step3_validation[[#This Row],[Region]]</f>
        <v>Thành thị</v>
      </c>
      <c r="H270" t="str">
        <f>survey_responses[[#This Row],[Khu vực bạn đang sinh sống:]]</f>
        <v>Thành thị</v>
      </c>
      <c r="I270" t="str">
        <f>step3_validation[[#This Row],[Education]]</f>
        <v>Sau Đại học</v>
      </c>
      <c r="J270" t="str">
        <f>survey_responses[[#This Row],[Trình độ học vấn cao nhất:]]</f>
        <v>Sau Đại học</v>
      </c>
      <c r="K270" t="str">
        <f>step3_validation[[#This Row],[Employment]]</f>
        <v>Chính thức</v>
      </c>
      <c r="L270" t="str">
        <f>survey_responses[[#This Row],[Tình trạng việc làm chính:]]</f>
        <v>Khu vực chính thức (Có Hợp đồng lao động, đóng BHXH)</v>
      </c>
      <c r="M270">
        <f>step3_validation[[#This Row],[Income_Mil]]</f>
        <v>79.630551540935556</v>
      </c>
      <c r="N270" t="str">
        <f>survey_responses[[#This Row],[Thu nhập bình quân tháng theo Hợp đồng lao động của bạn là bao nhiêu? (Vui lòng điền tổng thu nhập trước khi khấu trừ các loại Bảo hiểm (BHXH, BHYT, BHTN) và Thuế TNCN)]]</f>
        <v>Từ 70 - 102 triệu VNĐ</v>
      </c>
      <c r="O270">
        <f>step3_validation[[#This Row],[Dependents]]</f>
        <v>4</v>
      </c>
      <c r="P270" t="str">
        <f>survey_responses[[#This Row],[Số người phụ thuộc (con nhỏ, cha mẹ già...) đủ điều kiện giảm trừ gia cảnh:]]</f>
        <v>4 người trở lên</v>
      </c>
      <c r="Q270">
        <f>step3_validation[[#This Row],[AI_ENF1]]</f>
        <v>8</v>
      </c>
      <c r="R270">
        <f t="shared" si="108"/>
        <v>0.77777777777777779</v>
      </c>
      <c r="S270">
        <f>survey_responses[[#This Row],[Tôi tin rằng với các quy định quản lý thuế hiện nay, hành vi gian lận hoặc trốn thuế sẽ dễ dàng bị phát hiện và xử lý nghiêm. - HUMAN-ENF1]]</f>
        <v>4</v>
      </c>
      <c r="T270">
        <f t="shared" si="109"/>
        <v>0.33333333333333331</v>
      </c>
      <c r="U270">
        <f>step3_validation[[#This Row],[AI_ENF2]]</f>
        <v>7</v>
      </c>
      <c r="V270">
        <f t="shared" si="110"/>
        <v>0.66666666666666663</v>
      </c>
      <c r="W270">
        <f>survey_responses[[#This Row],[Tôi tin rằng Nhà nước, cơ quan thuế có đủ khả năng và công nghệ để phát hiện, xử lý nghiêm các hành vi trốn thuế. - HUMAN-ENF2]]</f>
        <v>5</v>
      </c>
      <c r="X270">
        <f t="shared" si="111"/>
        <v>0.44444444444444442</v>
      </c>
      <c r="Y270" s="32">
        <f t="shared" si="112"/>
        <v>0.72222222222222221</v>
      </c>
      <c r="Z270" s="32">
        <f t="shared" si="113"/>
        <v>0.38888888888888884</v>
      </c>
      <c r="AA270">
        <f>step3_validation[[#This Row],[AI_FAC1]]</f>
        <v>9</v>
      </c>
      <c r="AB270">
        <f t="shared" si="114"/>
        <v>0.88888888888888884</v>
      </c>
      <c r="AC270">
        <f>survey_responses[[#This Row],[Các thủ tục khai báo thuế VÀ/HOẶC quy trình làm việc với cơ quan thuế đơn giản, tiện lợi, nhanh chóng hơn so với trước đây. - HUMAN-FAC1]]</f>
        <v>2</v>
      </c>
      <c r="AD270">
        <f t="shared" si="115"/>
        <v>0.1111111111111111</v>
      </c>
      <c r="AE270">
        <f>step3_validation[[#This Row],[AI_FAC2]]</f>
        <v>8</v>
      </c>
      <c r="AF270">
        <f t="shared" si="116"/>
        <v>0.77777777777777779</v>
      </c>
      <c r="AG270">
        <f>survey_responses[[#This Row],[So với trước đây, tôi thấy cách tính thuế và các bậc thuế trong phương án mới đơn giản, dễ hiểu và dễ thực hiện hơn. - HUMAN-FAC2]]</f>
        <v>6</v>
      </c>
      <c r="AH270">
        <f t="shared" si="117"/>
        <v>0.55555555555555558</v>
      </c>
      <c r="AI270" s="32">
        <f t="shared" si="118"/>
        <v>0.83333333333333326</v>
      </c>
      <c r="AJ270" s="32">
        <f t="shared" si="119"/>
        <v>0.33333333333333337</v>
      </c>
      <c r="AK270">
        <f>step3_validation[[#This Row],[AI_TRU1]]</f>
        <v>9</v>
      </c>
      <c r="AL270">
        <f t="shared" si="120"/>
        <v>0.88888888888888884</v>
      </c>
      <c r="AM270">
        <f>survey_responses[[#This Row],[Tôi tin rằng Nhà nước, cơ quan thuế sẽ thực thi chính sách mới một cách khách quan, công tâm và đối xử bình đẳng với mọi người nộp thuế.  - HUMAN-TRU1]]</f>
        <v>3</v>
      </c>
      <c r="AN270">
        <f t="shared" si="121"/>
        <v>0.22222222222222221</v>
      </c>
      <c r="AO270">
        <f>step3_validation[[#This Row],[AI_TRU2]]</f>
        <v>8</v>
      </c>
      <c r="AP270">
        <f t="shared" si="122"/>
        <v>0.77777777777777779</v>
      </c>
      <c r="AQ270">
        <f>survey_responses[[#This Row],[Tôi thấy mức thuế tôi phải đóng theo phương án mới là công bằng (người thu nhập như tôi đóng mức này là hợp lý). - HUMAN-TRU2]]</f>
        <v>3</v>
      </c>
      <c r="AR270">
        <f t="shared" si="123"/>
        <v>0.22222222222222221</v>
      </c>
      <c r="AS270">
        <f>step3_validation[[#This Row],[AI_TRU3]]</f>
        <v>7</v>
      </c>
      <c r="AT270">
        <f t="shared" si="124"/>
        <v>0.66666666666666663</v>
      </c>
      <c r="AU270">
        <f>survey_responses[[#This Row],[Tôi tin tưởng số tiền thuế tôi đóng sẽ được Nhà nước sử dụng hiệu quả để cải thiện dịch vụ công (y tế, đường xá...). - HUMAN-TRU3]]</f>
        <v>1</v>
      </c>
      <c r="AV270">
        <f t="shared" si="125"/>
        <v>0</v>
      </c>
      <c r="AW270">
        <f>step3_validation[[#This Row],[AI_TRU4]]</f>
        <v>6</v>
      </c>
      <c r="AX270">
        <f t="shared" si="126"/>
        <v>0.55555555555555558</v>
      </c>
      <c r="AY270">
        <f>survey_responses[[#This Row],[Tôi thấy Nhà nước đã giải thích rõ ràng, minh bạch về lý do và mục tiêu của việc sửa đổi thuế lần này. - HUMAN-TRU4]]</f>
        <v>3</v>
      </c>
      <c r="AZ270">
        <f t="shared" si="127"/>
        <v>0.22222222222222221</v>
      </c>
      <c r="BA270" s="32">
        <f t="shared" si="128"/>
        <v>0.7222222222222221</v>
      </c>
      <c r="BB270" s="32">
        <f t="shared" si="129"/>
        <v>0.16666666666666666</v>
      </c>
      <c r="BC270" s="7">
        <f t="shared" si="130"/>
        <v>0.75925925925925919</v>
      </c>
      <c r="BD270" s="7">
        <f t="shared" si="131"/>
        <v>0.29629629629629628</v>
      </c>
      <c r="BE270">
        <f>step3_validation[[#This Row],[AI_OUT1]]</f>
        <v>8</v>
      </c>
      <c r="BF270">
        <f t="shared" si="132"/>
        <v>0.77777777777777779</v>
      </c>
      <c r="BG270">
        <f>survey_responses[[#This Row],[Sau khi xem xét các quyền lợi và nghĩa vụ, bạn có ủng hộ và tuân thủ chính sách mới hiện nay? - HUMAN-OUT1]]</f>
        <v>1</v>
      </c>
      <c r="BH270">
        <f t="shared" si="133"/>
        <v>0</v>
      </c>
      <c r="BI270" s="32">
        <f t="shared" si="134"/>
        <v>7</v>
      </c>
    </row>
    <row r="271" spans="1:61" x14ac:dyDescent="0.45">
      <c r="A271" s="30">
        <f>step3_validation[[#This Row],[Persona_ID]]</f>
        <v>270</v>
      </c>
      <c r="B271" s="31">
        <f>step3_validation[[#This Row],[Used_Seed]]</f>
        <v>270</v>
      </c>
      <c r="C271" t="str">
        <f>step3_validation[[#This Row],[Gender]]</f>
        <v>Nữ</v>
      </c>
      <c r="D271" t="str">
        <f>survey_responses[[#This Row],[Giới tính của bạn:]]</f>
        <v>Nữ</v>
      </c>
      <c r="E271" t="str">
        <f>step3_validation[[#This Row],[Age_Group]]</f>
        <v>30 - 39</v>
      </c>
      <c r="F271" t="str">
        <f>survey_responses[[#This Row],[Độ tuổi của bạn:]]</f>
        <v>30 - 39</v>
      </c>
      <c r="G271" t="str">
        <f>step3_validation[[#This Row],[Region]]</f>
        <v>Thành thị</v>
      </c>
      <c r="H271" t="str">
        <f>survey_responses[[#This Row],[Khu vực bạn đang sinh sống:]]</f>
        <v>Thành thị</v>
      </c>
      <c r="I271" t="str">
        <f>step3_validation[[#This Row],[Education]]</f>
        <v>Sau Đại học</v>
      </c>
      <c r="J271" t="str">
        <f>survey_responses[[#This Row],[Trình độ học vấn cao nhất:]]</f>
        <v>Sau Đại học</v>
      </c>
      <c r="K271" t="str">
        <f>step3_validation[[#This Row],[Employment]]</f>
        <v>Phi chính thức</v>
      </c>
      <c r="L271" t="str">
        <f>survey_responses[[#This Row],[Tình trạng việc làm chính:]]</f>
        <v>Khu vực phi chính thức (Lao động tự do, không có HĐLĐ)</v>
      </c>
      <c r="M271">
        <f>step3_validation[[#This Row],[Income_Mil]]</f>
        <v>56.160676013012015</v>
      </c>
      <c r="N271" t="str">
        <f>survey_responses[[#This Row],[Thu nhập bình quân tháng theo Hợp đồng lao động của bạn là bao nhiêu? (Vui lòng điền tổng thu nhập trước khi khấu trừ các loại Bảo hiểm (BHXH, BHYT, BHTN) và Thuế TNCN)]]</f>
        <v>Từ 48 - 70 triệu VNĐ</v>
      </c>
      <c r="O271">
        <f>step3_validation[[#This Row],[Dependents]]</f>
        <v>0</v>
      </c>
      <c r="P271" t="str">
        <f>survey_responses[[#This Row],[Số người phụ thuộc (con nhỏ, cha mẹ già...) đủ điều kiện giảm trừ gia cảnh:]]</f>
        <v>0 người</v>
      </c>
      <c r="Q271">
        <f>step3_validation[[#This Row],[AI_ENF1]]</f>
        <v>7</v>
      </c>
      <c r="R271">
        <f t="shared" si="108"/>
        <v>0.66666666666666663</v>
      </c>
      <c r="S271">
        <f>survey_responses[[#This Row],[Tôi tin rằng với các quy định quản lý thuế hiện nay, hành vi gian lận hoặc trốn thuế sẽ dễ dàng bị phát hiện và xử lý nghiêm. - HUMAN-ENF1]]</f>
        <v>8</v>
      </c>
      <c r="T271">
        <f t="shared" si="109"/>
        <v>0.77777777777777779</v>
      </c>
      <c r="U271">
        <f>step3_validation[[#This Row],[AI_ENF2]]</f>
        <v>8</v>
      </c>
      <c r="V271">
        <f t="shared" si="110"/>
        <v>0.77777777777777779</v>
      </c>
      <c r="W271">
        <f>survey_responses[[#This Row],[Tôi tin rằng Nhà nước, cơ quan thuế có đủ khả năng và công nghệ để phát hiện, xử lý nghiêm các hành vi trốn thuế. - HUMAN-ENF2]]</f>
        <v>8</v>
      </c>
      <c r="X271">
        <f t="shared" si="111"/>
        <v>0.77777777777777779</v>
      </c>
      <c r="Y271" s="32">
        <f t="shared" si="112"/>
        <v>0.72222222222222221</v>
      </c>
      <c r="Z271" s="32">
        <f t="shared" si="113"/>
        <v>0.77777777777777779</v>
      </c>
      <c r="AA271">
        <f>step3_validation[[#This Row],[AI_FAC1]]</f>
        <v>9</v>
      </c>
      <c r="AB271">
        <f t="shared" si="114"/>
        <v>0.88888888888888884</v>
      </c>
      <c r="AC271">
        <f>survey_responses[[#This Row],[Các thủ tục khai báo thuế VÀ/HOẶC quy trình làm việc với cơ quan thuế đơn giản, tiện lợi, nhanh chóng hơn so với trước đây. - HUMAN-FAC1]]</f>
        <v>3</v>
      </c>
      <c r="AD271">
        <f t="shared" si="115"/>
        <v>0.22222222222222221</v>
      </c>
      <c r="AE271">
        <f>step3_validation[[#This Row],[AI_FAC2]]</f>
        <v>9</v>
      </c>
      <c r="AF271">
        <f t="shared" si="116"/>
        <v>0.88888888888888884</v>
      </c>
      <c r="AG271">
        <f>survey_responses[[#This Row],[So với trước đây, tôi thấy cách tính thuế và các bậc thuế trong phương án mới đơn giản, dễ hiểu và dễ thực hiện hơn. - HUMAN-FAC2]]</f>
        <v>8</v>
      </c>
      <c r="AH271">
        <f t="shared" si="117"/>
        <v>0.77777777777777779</v>
      </c>
      <c r="AI271" s="32">
        <f t="shared" si="118"/>
        <v>0.88888888888888884</v>
      </c>
      <c r="AJ271" s="32">
        <f t="shared" si="119"/>
        <v>0.5</v>
      </c>
      <c r="AK271">
        <f>step3_validation[[#This Row],[AI_TRU1]]</f>
        <v>6</v>
      </c>
      <c r="AL271">
        <f t="shared" si="120"/>
        <v>0.55555555555555558</v>
      </c>
      <c r="AM271">
        <f>survey_responses[[#This Row],[Tôi tin rằng Nhà nước, cơ quan thuế sẽ thực thi chính sách mới một cách khách quan, công tâm và đối xử bình đẳng với mọi người nộp thuế.  - HUMAN-TRU1]]</f>
        <v>3</v>
      </c>
      <c r="AN271">
        <f t="shared" si="121"/>
        <v>0.22222222222222221</v>
      </c>
      <c r="AO271">
        <f>step3_validation[[#This Row],[AI_TRU2]]</f>
        <v>9</v>
      </c>
      <c r="AP271">
        <f t="shared" si="122"/>
        <v>0.88888888888888884</v>
      </c>
      <c r="AQ271">
        <f>survey_responses[[#This Row],[Tôi thấy mức thuế tôi phải đóng theo phương án mới là công bằng (người thu nhập như tôi đóng mức này là hợp lý). - HUMAN-TRU2]]</f>
        <v>1</v>
      </c>
      <c r="AR271">
        <f t="shared" si="123"/>
        <v>0</v>
      </c>
      <c r="AS271">
        <f>step3_validation[[#This Row],[AI_TRU3]]</f>
        <v>7</v>
      </c>
      <c r="AT271">
        <f t="shared" si="124"/>
        <v>0.66666666666666663</v>
      </c>
      <c r="AU271">
        <f>survey_responses[[#This Row],[Tôi tin tưởng số tiền thuế tôi đóng sẽ được Nhà nước sử dụng hiệu quả để cải thiện dịch vụ công (y tế, đường xá...). - HUMAN-TRU3]]</f>
        <v>8</v>
      </c>
      <c r="AV271">
        <f t="shared" si="125"/>
        <v>0.77777777777777779</v>
      </c>
      <c r="AW271">
        <f>step3_validation[[#This Row],[AI_TRU4]]</f>
        <v>6</v>
      </c>
      <c r="AX271">
        <f t="shared" si="126"/>
        <v>0.55555555555555558</v>
      </c>
      <c r="AY271">
        <f>survey_responses[[#This Row],[Tôi thấy Nhà nước đã giải thích rõ ràng, minh bạch về lý do và mục tiêu của việc sửa đổi thuế lần này. - HUMAN-TRU4]]</f>
        <v>6</v>
      </c>
      <c r="AZ271">
        <f t="shared" si="127"/>
        <v>0.55555555555555558</v>
      </c>
      <c r="BA271" s="32">
        <f t="shared" si="128"/>
        <v>0.66666666666666674</v>
      </c>
      <c r="BB271" s="32">
        <f t="shared" si="129"/>
        <v>0.3888888888888889</v>
      </c>
      <c r="BC271" s="7">
        <f t="shared" si="130"/>
        <v>0.75925925925925919</v>
      </c>
      <c r="BD271" s="7">
        <f t="shared" si="131"/>
        <v>0.55555555555555547</v>
      </c>
      <c r="BE271">
        <f>step3_validation[[#This Row],[AI_OUT1]]</f>
        <v>8</v>
      </c>
      <c r="BF271">
        <f t="shared" si="132"/>
        <v>0.77777777777777779</v>
      </c>
      <c r="BG271">
        <f>survey_responses[[#This Row],[Sau khi xem xét các quyền lợi và nghĩa vụ, bạn có ủng hộ và tuân thủ chính sách mới hiện nay? - HUMAN-OUT1]]</f>
        <v>7</v>
      </c>
      <c r="BH271">
        <f t="shared" si="133"/>
        <v>0.66666666666666663</v>
      </c>
      <c r="BI271" s="32">
        <f t="shared" si="134"/>
        <v>1</v>
      </c>
    </row>
    <row r="272" spans="1:61" x14ac:dyDescent="0.45">
      <c r="A272" s="30">
        <f>step3_validation[[#This Row],[Persona_ID]]</f>
        <v>271</v>
      </c>
      <c r="B272" s="31">
        <f>step3_validation[[#This Row],[Used_Seed]]</f>
        <v>271</v>
      </c>
      <c r="C272" t="str">
        <f>step3_validation[[#This Row],[Gender]]</f>
        <v>Nữ</v>
      </c>
      <c r="D272" t="str">
        <f>survey_responses[[#This Row],[Giới tính của bạn:]]</f>
        <v>Nữ</v>
      </c>
      <c r="E272" t="str">
        <f>step3_validation[[#This Row],[Age_Group]]</f>
        <v>30 - 39</v>
      </c>
      <c r="F272" t="str">
        <f>survey_responses[[#This Row],[Độ tuổi của bạn:]]</f>
        <v>30 - 39</v>
      </c>
      <c r="G272" t="str">
        <f>step3_validation[[#This Row],[Region]]</f>
        <v>Thành thị</v>
      </c>
      <c r="H272" t="str">
        <f>survey_responses[[#This Row],[Khu vực bạn đang sinh sống:]]</f>
        <v>Thành thị</v>
      </c>
      <c r="I272" t="str">
        <f>step3_validation[[#This Row],[Education]]</f>
        <v>Sau Đại học</v>
      </c>
      <c r="J272" t="str">
        <f>survey_responses[[#This Row],[Trình độ học vấn cao nhất:]]</f>
        <v>Sau Đại học</v>
      </c>
      <c r="K272" t="str">
        <f>step3_validation[[#This Row],[Employment]]</f>
        <v>Chính thức</v>
      </c>
      <c r="L272" t="str">
        <f>survey_responses[[#This Row],[Tình trạng việc làm chính:]]</f>
        <v>Khu vực chính thức (Có Hợp đồng lao động, đóng BHXH)</v>
      </c>
      <c r="M272">
        <f>step3_validation[[#This Row],[Income_Mil]]</f>
        <v>64.42156962880361</v>
      </c>
      <c r="N272" t="str">
        <f>survey_responses[[#This Row],[Thu nhập bình quân tháng theo Hợp đồng lao động của bạn là bao nhiêu? (Vui lòng điền tổng thu nhập trước khi khấu trừ các loại Bảo hiểm (BHXH, BHYT, BHTN) và Thuế TNCN)]]</f>
        <v>Từ 48 - 70 triệu VNĐ</v>
      </c>
      <c r="O272">
        <f>step3_validation[[#This Row],[Dependents]]</f>
        <v>2</v>
      </c>
      <c r="P272" t="str">
        <f>survey_responses[[#This Row],[Số người phụ thuộc (con nhỏ, cha mẹ già...) đủ điều kiện giảm trừ gia cảnh:]]</f>
        <v>2 người</v>
      </c>
      <c r="Q272">
        <f>step3_validation[[#This Row],[AI_ENF1]]</f>
        <v>8</v>
      </c>
      <c r="R272">
        <f t="shared" si="108"/>
        <v>0.77777777777777779</v>
      </c>
      <c r="S272">
        <f>survey_responses[[#This Row],[Tôi tin rằng với các quy định quản lý thuế hiện nay, hành vi gian lận hoặc trốn thuế sẽ dễ dàng bị phát hiện và xử lý nghiêm. - HUMAN-ENF1]]</f>
        <v>7</v>
      </c>
      <c r="T272">
        <f t="shared" si="109"/>
        <v>0.66666666666666663</v>
      </c>
      <c r="U272">
        <f>step3_validation[[#This Row],[AI_ENF2]]</f>
        <v>8</v>
      </c>
      <c r="V272">
        <f t="shared" si="110"/>
        <v>0.77777777777777779</v>
      </c>
      <c r="W272">
        <f>survey_responses[[#This Row],[Tôi tin rằng Nhà nước, cơ quan thuế có đủ khả năng và công nghệ để phát hiện, xử lý nghiêm các hành vi trốn thuế. - HUMAN-ENF2]]</f>
        <v>7</v>
      </c>
      <c r="X272">
        <f t="shared" si="111"/>
        <v>0.66666666666666663</v>
      </c>
      <c r="Y272" s="32">
        <f t="shared" si="112"/>
        <v>0.77777777777777779</v>
      </c>
      <c r="Z272" s="32">
        <f t="shared" si="113"/>
        <v>0.66666666666666663</v>
      </c>
      <c r="AA272">
        <f>step3_validation[[#This Row],[AI_FAC1]]</f>
        <v>9</v>
      </c>
      <c r="AB272">
        <f t="shared" si="114"/>
        <v>0.88888888888888884</v>
      </c>
      <c r="AC272">
        <f>survey_responses[[#This Row],[Các thủ tục khai báo thuế VÀ/HOẶC quy trình làm việc với cơ quan thuế đơn giản, tiện lợi, nhanh chóng hơn so với trước đây. - HUMAN-FAC1]]</f>
        <v>4</v>
      </c>
      <c r="AD272">
        <f t="shared" si="115"/>
        <v>0.33333333333333331</v>
      </c>
      <c r="AE272">
        <f>step3_validation[[#This Row],[AI_FAC2]]</f>
        <v>10</v>
      </c>
      <c r="AF272">
        <f t="shared" si="116"/>
        <v>1</v>
      </c>
      <c r="AG272">
        <f>survey_responses[[#This Row],[So với trước đây, tôi thấy cách tính thuế và các bậc thuế trong phương án mới đơn giản, dễ hiểu và dễ thực hiện hơn. - HUMAN-FAC2]]</f>
        <v>7</v>
      </c>
      <c r="AH272">
        <f t="shared" si="117"/>
        <v>0.66666666666666663</v>
      </c>
      <c r="AI272" s="32">
        <f t="shared" si="118"/>
        <v>0.94444444444444442</v>
      </c>
      <c r="AJ272" s="32">
        <f t="shared" si="119"/>
        <v>0.5</v>
      </c>
      <c r="AK272">
        <f>step3_validation[[#This Row],[AI_TRU1]]</f>
        <v>9</v>
      </c>
      <c r="AL272">
        <f t="shared" si="120"/>
        <v>0.88888888888888884</v>
      </c>
      <c r="AM272">
        <f>survey_responses[[#This Row],[Tôi tin rằng Nhà nước, cơ quan thuế sẽ thực thi chính sách mới một cách khách quan, công tâm và đối xử bình đẳng với mọi người nộp thuế.  - HUMAN-TRU1]]</f>
        <v>7</v>
      </c>
      <c r="AN272">
        <f t="shared" si="121"/>
        <v>0.66666666666666663</v>
      </c>
      <c r="AO272">
        <f>step3_validation[[#This Row],[AI_TRU2]]</f>
        <v>10</v>
      </c>
      <c r="AP272">
        <f t="shared" si="122"/>
        <v>1</v>
      </c>
      <c r="AQ272">
        <f>survey_responses[[#This Row],[Tôi thấy mức thuế tôi phải đóng theo phương án mới là công bằng (người thu nhập như tôi đóng mức này là hợp lý). - HUMAN-TRU2]]</f>
        <v>6</v>
      </c>
      <c r="AR272">
        <f t="shared" si="123"/>
        <v>0.55555555555555558</v>
      </c>
      <c r="AS272">
        <f>step3_validation[[#This Row],[AI_TRU3]]</f>
        <v>9</v>
      </c>
      <c r="AT272">
        <f t="shared" si="124"/>
        <v>0.88888888888888884</v>
      </c>
      <c r="AU272">
        <f>survey_responses[[#This Row],[Tôi tin tưởng số tiền thuế tôi đóng sẽ được Nhà nước sử dụng hiệu quả để cải thiện dịch vụ công (y tế, đường xá...). - HUMAN-TRU3]]</f>
        <v>5</v>
      </c>
      <c r="AV272">
        <f t="shared" si="125"/>
        <v>0.44444444444444442</v>
      </c>
      <c r="AW272">
        <f>step3_validation[[#This Row],[AI_TRU4]]</f>
        <v>8</v>
      </c>
      <c r="AX272">
        <f t="shared" si="126"/>
        <v>0.77777777777777779</v>
      </c>
      <c r="AY272">
        <f>survey_responses[[#This Row],[Tôi thấy Nhà nước đã giải thích rõ ràng, minh bạch về lý do và mục tiêu của việc sửa đổi thuế lần này. - HUMAN-TRU4]]</f>
        <v>7</v>
      </c>
      <c r="AZ272">
        <f t="shared" si="127"/>
        <v>0.66666666666666663</v>
      </c>
      <c r="BA272" s="32">
        <f t="shared" si="128"/>
        <v>0.88888888888888884</v>
      </c>
      <c r="BB272" s="32">
        <f t="shared" si="129"/>
        <v>0.58333333333333337</v>
      </c>
      <c r="BC272" s="7">
        <f t="shared" si="130"/>
        <v>0.87037037037037035</v>
      </c>
      <c r="BD272" s="7">
        <f t="shared" si="131"/>
        <v>0.58333333333333337</v>
      </c>
      <c r="BE272">
        <f>step3_validation[[#This Row],[AI_OUT1]]</f>
        <v>9</v>
      </c>
      <c r="BF272">
        <f t="shared" si="132"/>
        <v>0.88888888888888884</v>
      </c>
      <c r="BG272">
        <f>survey_responses[[#This Row],[Sau khi xem xét các quyền lợi và nghĩa vụ, bạn có ủng hộ và tuân thủ chính sách mới hiện nay? - HUMAN-OUT1]]</f>
        <v>6</v>
      </c>
      <c r="BH272">
        <f t="shared" si="133"/>
        <v>0.55555555555555558</v>
      </c>
      <c r="BI272" s="32">
        <f t="shared" si="134"/>
        <v>3</v>
      </c>
    </row>
    <row r="273" spans="1:61" x14ac:dyDescent="0.45">
      <c r="A273" s="30">
        <f>step3_validation[[#This Row],[Persona_ID]]</f>
        <v>272</v>
      </c>
      <c r="B273" s="31">
        <f>step3_validation[[#This Row],[Used_Seed]]</f>
        <v>272</v>
      </c>
      <c r="C273" t="str">
        <f>step3_validation[[#This Row],[Gender]]</f>
        <v>Nam</v>
      </c>
      <c r="D273" t="str">
        <f>survey_responses[[#This Row],[Giới tính của bạn:]]</f>
        <v>Nam</v>
      </c>
      <c r="E273" t="str">
        <f>step3_validation[[#This Row],[Age_Group]]</f>
        <v>30 - 39</v>
      </c>
      <c r="F273" t="str">
        <f>survey_responses[[#This Row],[Độ tuổi của bạn:]]</f>
        <v>30 - 39</v>
      </c>
      <c r="G273" t="str">
        <f>step3_validation[[#This Row],[Region]]</f>
        <v>Thành thị</v>
      </c>
      <c r="H273" t="str">
        <f>survey_responses[[#This Row],[Khu vực bạn đang sinh sống:]]</f>
        <v>Thành thị</v>
      </c>
      <c r="I273" t="str">
        <f>step3_validation[[#This Row],[Education]]</f>
        <v>Đại học</v>
      </c>
      <c r="J273" t="str">
        <f>survey_responses[[#This Row],[Trình độ học vấn cao nhất:]]</f>
        <v>Đại học</v>
      </c>
      <c r="K273" t="str">
        <f>step3_validation[[#This Row],[Employment]]</f>
        <v>Chính thức</v>
      </c>
      <c r="L273" t="str">
        <f>survey_responses[[#This Row],[Tình trạng việc làm chính:]]</f>
        <v>Khu vực chính thức (Có Hợp đồng lao động, đóng BHXH)</v>
      </c>
      <c r="M273">
        <f>step3_validation[[#This Row],[Income_Mil]]</f>
        <v>38.512080893520256</v>
      </c>
      <c r="N273" t="str">
        <f>survey_responses[[#This Row],[Thu nhập bình quân tháng theo Hợp đồng lao động của bạn là bao nhiêu? (Vui lòng điền tổng thu nhập trước khi khấu trừ các loại Bảo hiểm (BHXH, BHYT, BHTN) và Thuế TNCN)]]</f>
        <v>Từ 32 - 48 triệu VNĐ</v>
      </c>
      <c r="O273">
        <f>step3_validation[[#This Row],[Dependents]]</f>
        <v>1</v>
      </c>
      <c r="P273" t="str">
        <f>survey_responses[[#This Row],[Số người phụ thuộc (con nhỏ, cha mẹ già...) đủ điều kiện giảm trừ gia cảnh:]]</f>
        <v>1 người</v>
      </c>
      <c r="Q273">
        <f>step3_validation[[#This Row],[AI_ENF1]]</f>
        <v>9</v>
      </c>
      <c r="R273">
        <f t="shared" si="108"/>
        <v>0.88888888888888884</v>
      </c>
      <c r="S273">
        <f>survey_responses[[#This Row],[Tôi tin rằng với các quy định quản lý thuế hiện nay, hành vi gian lận hoặc trốn thuế sẽ dễ dàng bị phát hiện và xử lý nghiêm. - HUMAN-ENF1]]</f>
        <v>7</v>
      </c>
      <c r="T273">
        <f t="shared" si="109"/>
        <v>0.66666666666666663</v>
      </c>
      <c r="U273">
        <f>step3_validation[[#This Row],[AI_ENF2]]</f>
        <v>8</v>
      </c>
      <c r="V273">
        <f t="shared" si="110"/>
        <v>0.77777777777777779</v>
      </c>
      <c r="W273">
        <f>survey_responses[[#This Row],[Tôi tin rằng Nhà nước, cơ quan thuế có đủ khả năng và công nghệ để phát hiện, xử lý nghiêm các hành vi trốn thuế. - HUMAN-ENF2]]</f>
        <v>8</v>
      </c>
      <c r="X273">
        <f t="shared" si="111"/>
        <v>0.77777777777777779</v>
      </c>
      <c r="Y273" s="32">
        <f t="shared" si="112"/>
        <v>0.83333333333333326</v>
      </c>
      <c r="Z273" s="32">
        <f t="shared" si="113"/>
        <v>0.72222222222222221</v>
      </c>
      <c r="AA273">
        <f>step3_validation[[#This Row],[AI_FAC1]]</f>
        <v>9</v>
      </c>
      <c r="AB273">
        <f t="shared" si="114"/>
        <v>0.88888888888888884</v>
      </c>
      <c r="AC273">
        <f>survey_responses[[#This Row],[Các thủ tục khai báo thuế VÀ/HOẶC quy trình làm việc với cơ quan thuế đơn giản, tiện lợi, nhanh chóng hơn so với trước đây. - HUMAN-FAC1]]</f>
        <v>2</v>
      </c>
      <c r="AD273">
        <f t="shared" si="115"/>
        <v>0.1111111111111111</v>
      </c>
      <c r="AE273">
        <f>step3_validation[[#This Row],[AI_FAC2]]</f>
        <v>8</v>
      </c>
      <c r="AF273">
        <f t="shared" si="116"/>
        <v>0.77777777777777779</v>
      </c>
      <c r="AG273">
        <f>survey_responses[[#This Row],[So với trước đây, tôi thấy cách tính thuế và các bậc thuế trong phương án mới đơn giản, dễ hiểu và dễ thực hiện hơn. - HUMAN-FAC2]]</f>
        <v>6</v>
      </c>
      <c r="AH273">
        <f t="shared" si="117"/>
        <v>0.55555555555555558</v>
      </c>
      <c r="AI273" s="32">
        <f t="shared" si="118"/>
        <v>0.83333333333333326</v>
      </c>
      <c r="AJ273" s="32">
        <f t="shared" si="119"/>
        <v>0.33333333333333337</v>
      </c>
      <c r="AK273">
        <f>step3_validation[[#This Row],[AI_TRU1]]</f>
        <v>9</v>
      </c>
      <c r="AL273">
        <f t="shared" si="120"/>
        <v>0.88888888888888884</v>
      </c>
      <c r="AM273">
        <f>survey_responses[[#This Row],[Tôi tin rằng Nhà nước, cơ quan thuế sẽ thực thi chính sách mới một cách khách quan, công tâm và đối xử bình đẳng với mọi người nộp thuế.  - HUMAN-TRU1]]</f>
        <v>6</v>
      </c>
      <c r="AN273">
        <f t="shared" si="121"/>
        <v>0.55555555555555558</v>
      </c>
      <c r="AO273">
        <f>step3_validation[[#This Row],[AI_TRU2]]</f>
        <v>8</v>
      </c>
      <c r="AP273">
        <f t="shared" si="122"/>
        <v>0.77777777777777779</v>
      </c>
      <c r="AQ273">
        <f>survey_responses[[#This Row],[Tôi thấy mức thuế tôi phải đóng theo phương án mới là công bằng (người thu nhập như tôi đóng mức này là hợp lý). - HUMAN-TRU2]]</f>
        <v>6</v>
      </c>
      <c r="AR273">
        <f t="shared" si="123"/>
        <v>0.55555555555555558</v>
      </c>
      <c r="AS273">
        <f>step3_validation[[#This Row],[AI_TRU3]]</f>
        <v>9</v>
      </c>
      <c r="AT273">
        <f t="shared" si="124"/>
        <v>0.88888888888888884</v>
      </c>
      <c r="AU273">
        <f>survey_responses[[#This Row],[Tôi tin tưởng số tiền thuế tôi đóng sẽ được Nhà nước sử dụng hiệu quả để cải thiện dịch vụ công (y tế, đường xá...). - HUMAN-TRU3]]</f>
        <v>5</v>
      </c>
      <c r="AV273">
        <f t="shared" si="125"/>
        <v>0.44444444444444442</v>
      </c>
      <c r="AW273">
        <f>step3_validation[[#This Row],[AI_TRU4]]</f>
        <v>8</v>
      </c>
      <c r="AX273">
        <f t="shared" si="126"/>
        <v>0.77777777777777779</v>
      </c>
      <c r="AY273">
        <f>survey_responses[[#This Row],[Tôi thấy Nhà nước đã giải thích rõ ràng, minh bạch về lý do và mục tiêu của việc sửa đổi thuế lần này. - HUMAN-TRU4]]</f>
        <v>5</v>
      </c>
      <c r="AZ273">
        <f t="shared" si="127"/>
        <v>0.44444444444444442</v>
      </c>
      <c r="BA273" s="32">
        <f t="shared" si="128"/>
        <v>0.83333333333333326</v>
      </c>
      <c r="BB273" s="32">
        <f t="shared" si="129"/>
        <v>0.5</v>
      </c>
      <c r="BC273" s="7">
        <f t="shared" si="130"/>
        <v>0.83333333333333337</v>
      </c>
      <c r="BD273" s="7">
        <f t="shared" si="131"/>
        <v>0.51851851851851849</v>
      </c>
      <c r="BE273">
        <f>step3_validation[[#This Row],[AI_OUT1]]</f>
        <v>9</v>
      </c>
      <c r="BF273">
        <f t="shared" si="132"/>
        <v>0.88888888888888884</v>
      </c>
      <c r="BG273">
        <f>survey_responses[[#This Row],[Sau khi xem xét các quyền lợi và nghĩa vụ, bạn có ủng hộ và tuân thủ chính sách mới hiện nay? - HUMAN-OUT1]]</f>
        <v>6</v>
      </c>
      <c r="BH273">
        <f t="shared" si="133"/>
        <v>0.55555555555555558</v>
      </c>
      <c r="BI273" s="32">
        <f t="shared" si="134"/>
        <v>3</v>
      </c>
    </row>
    <row r="274" spans="1:61" x14ac:dyDescent="0.45">
      <c r="A274" s="30">
        <f>step3_validation[[#This Row],[Persona_ID]]</f>
        <v>273</v>
      </c>
      <c r="B274" s="31">
        <f>step3_validation[[#This Row],[Used_Seed]]</f>
        <v>273</v>
      </c>
      <c r="C274" t="str">
        <f>step3_validation[[#This Row],[Gender]]</f>
        <v>Nữ</v>
      </c>
      <c r="D274" t="str">
        <f>survey_responses[[#This Row],[Giới tính của bạn:]]</f>
        <v>Nữ</v>
      </c>
      <c r="E274" t="str">
        <f>step3_validation[[#This Row],[Age_Group]]</f>
        <v>50 - 54</v>
      </c>
      <c r="F274" t="str">
        <f>survey_responses[[#This Row],[Độ tuổi của bạn:]]</f>
        <v>50 - 54</v>
      </c>
      <c r="G274" t="str">
        <f>step3_validation[[#This Row],[Region]]</f>
        <v>Thành thị</v>
      </c>
      <c r="H274" t="str">
        <f>survey_responses[[#This Row],[Khu vực bạn đang sinh sống:]]</f>
        <v>Thành thị</v>
      </c>
      <c r="I274" t="str">
        <f>step3_validation[[#This Row],[Education]]</f>
        <v>Sau Đại học</v>
      </c>
      <c r="J274" t="str">
        <f>survey_responses[[#This Row],[Trình độ học vấn cao nhất:]]</f>
        <v>Sau Đại học</v>
      </c>
      <c r="K274" t="str">
        <f>step3_validation[[#This Row],[Employment]]</f>
        <v>Chính thức</v>
      </c>
      <c r="L274" t="str">
        <f>survey_responses[[#This Row],[Tình trạng việc làm chính:]]</f>
        <v>Khu vực chính thức (Có Hợp đồng lao động, đóng BHXH)</v>
      </c>
      <c r="M274">
        <f>step3_validation[[#This Row],[Income_Mil]]</f>
        <v>75.957681973763229</v>
      </c>
      <c r="N274" t="str">
        <f>survey_responses[[#This Row],[Thu nhập bình quân tháng theo Hợp đồng lao động của bạn là bao nhiêu? (Vui lòng điền tổng thu nhập trước khi khấu trừ các loại Bảo hiểm (BHXH, BHYT, BHTN) và Thuế TNCN)]]</f>
        <v>Từ 70 - 102 triệu VNĐ</v>
      </c>
      <c r="O274">
        <f>step3_validation[[#This Row],[Dependents]]</f>
        <v>4</v>
      </c>
      <c r="P274" t="str">
        <f>survey_responses[[#This Row],[Số người phụ thuộc (con nhỏ, cha mẹ già...) đủ điều kiện giảm trừ gia cảnh:]]</f>
        <v>4 người trở lên</v>
      </c>
      <c r="Q274">
        <f>step3_validation[[#This Row],[AI_ENF1]]</f>
        <v>7</v>
      </c>
      <c r="R274">
        <f t="shared" si="108"/>
        <v>0.66666666666666663</v>
      </c>
      <c r="S274">
        <f>survey_responses[[#This Row],[Tôi tin rằng với các quy định quản lý thuế hiện nay, hành vi gian lận hoặc trốn thuế sẽ dễ dàng bị phát hiện và xử lý nghiêm. - HUMAN-ENF1]]</f>
        <v>3</v>
      </c>
      <c r="T274">
        <f t="shared" si="109"/>
        <v>0.22222222222222221</v>
      </c>
      <c r="U274">
        <f>step3_validation[[#This Row],[AI_ENF2]]</f>
        <v>6</v>
      </c>
      <c r="V274">
        <f t="shared" si="110"/>
        <v>0.55555555555555558</v>
      </c>
      <c r="W274">
        <f>survey_responses[[#This Row],[Tôi tin rằng Nhà nước, cơ quan thuế có đủ khả năng và công nghệ để phát hiện, xử lý nghiêm các hành vi trốn thuế. - HUMAN-ENF2]]</f>
        <v>3</v>
      </c>
      <c r="X274">
        <f t="shared" si="111"/>
        <v>0.22222222222222221</v>
      </c>
      <c r="Y274" s="32">
        <f t="shared" si="112"/>
        <v>0.61111111111111116</v>
      </c>
      <c r="Z274" s="32">
        <f t="shared" si="113"/>
        <v>0.22222222222222221</v>
      </c>
      <c r="AA274">
        <f>step3_validation[[#This Row],[AI_FAC1]]</f>
        <v>8</v>
      </c>
      <c r="AB274">
        <f t="shared" si="114"/>
        <v>0.77777777777777779</v>
      </c>
      <c r="AC274">
        <f>survey_responses[[#This Row],[Các thủ tục khai báo thuế VÀ/HOẶC quy trình làm việc với cơ quan thuế đơn giản, tiện lợi, nhanh chóng hơn so với trước đây. - HUMAN-FAC1]]</f>
        <v>1</v>
      </c>
      <c r="AD274">
        <f t="shared" si="115"/>
        <v>0</v>
      </c>
      <c r="AE274">
        <f>step3_validation[[#This Row],[AI_FAC2]]</f>
        <v>9</v>
      </c>
      <c r="AF274">
        <f t="shared" si="116"/>
        <v>0.88888888888888884</v>
      </c>
      <c r="AG274">
        <f>survey_responses[[#This Row],[So với trước đây, tôi thấy cách tính thuế và các bậc thuế trong phương án mới đơn giản, dễ hiểu và dễ thực hiện hơn. - HUMAN-FAC2]]</f>
        <v>6</v>
      </c>
      <c r="AH274">
        <f t="shared" si="117"/>
        <v>0.55555555555555558</v>
      </c>
      <c r="AI274" s="32">
        <f t="shared" si="118"/>
        <v>0.83333333333333326</v>
      </c>
      <c r="AJ274" s="32">
        <f t="shared" si="119"/>
        <v>0.27777777777777779</v>
      </c>
      <c r="AK274">
        <f>step3_validation[[#This Row],[AI_TRU1]]</f>
        <v>7</v>
      </c>
      <c r="AL274">
        <f t="shared" si="120"/>
        <v>0.66666666666666663</v>
      </c>
      <c r="AM274">
        <f>survey_responses[[#This Row],[Tôi tin rằng Nhà nước, cơ quan thuế sẽ thực thi chính sách mới một cách khách quan, công tâm và đối xử bình đẳng với mọi người nộp thuế.  - HUMAN-TRU1]]</f>
        <v>1</v>
      </c>
      <c r="AN274">
        <f t="shared" si="121"/>
        <v>0</v>
      </c>
      <c r="AO274">
        <f>step3_validation[[#This Row],[AI_TRU2]]</f>
        <v>8</v>
      </c>
      <c r="AP274">
        <f t="shared" si="122"/>
        <v>0.77777777777777779</v>
      </c>
      <c r="AQ274">
        <f>survey_responses[[#This Row],[Tôi thấy mức thuế tôi phải đóng theo phương án mới là công bằng (người thu nhập như tôi đóng mức này là hợp lý). - HUMAN-TRU2]]</f>
        <v>1</v>
      </c>
      <c r="AR274">
        <f t="shared" si="123"/>
        <v>0</v>
      </c>
      <c r="AS274">
        <f>step3_validation[[#This Row],[AI_TRU3]]</f>
        <v>6</v>
      </c>
      <c r="AT274">
        <f t="shared" si="124"/>
        <v>0.55555555555555558</v>
      </c>
      <c r="AU274">
        <f>survey_responses[[#This Row],[Tôi tin tưởng số tiền thuế tôi đóng sẽ được Nhà nước sử dụng hiệu quả để cải thiện dịch vụ công (y tế, đường xá...). - HUMAN-TRU3]]</f>
        <v>1</v>
      </c>
      <c r="AV274">
        <f t="shared" si="125"/>
        <v>0</v>
      </c>
      <c r="AW274">
        <f>step3_validation[[#This Row],[AI_TRU4]]</f>
        <v>5</v>
      </c>
      <c r="AX274">
        <f t="shared" si="126"/>
        <v>0.44444444444444442</v>
      </c>
      <c r="AY274">
        <f>survey_responses[[#This Row],[Tôi thấy Nhà nước đã giải thích rõ ràng, minh bạch về lý do và mục tiêu của việc sửa đổi thuế lần này. - HUMAN-TRU4]]</f>
        <v>1</v>
      </c>
      <c r="AZ274">
        <f t="shared" si="127"/>
        <v>0</v>
      </c>
      <c r="BA274" s="32">
        <f t="shared" si="128"/>
        <v>0.61111111111111116</v>
      </c>
      <c r="BB274" s="32">
        <f t="shared" si="129"/>
        <v>0</v>
      </c>
      <c r="BC274" s="7">
        <f t="shared" si="130"/>
        <v>0.68518518518518512</v>
      </c>
      <c r="BD274" s="7">
        <f t="shared" si="131"/>
        <v>0.16666666666666666</v>
      </c>
      <c r="BE274">
        <f>step3_validation[[#This Row],[AI_OUT1]]</f>
        <v>7</v>
      </c>
      <c r="BF274">
        <f t="shared" si="132"/>
        <v>0.66666666666666663</v>
      </c>
      <c r="BG274">
        <f>survey_responses[[#This Row],[Sau khi xem xét các quyền lợi và nghĩa vụ, bạn có ủng hộ và tuân thủ chính sách mới hiện nay? - HUMAN-OUT1]]</f>
        <v>1</v>
      </c>
      <c r="BH274">
        <f t="shared" si="133"/>
        <v>0</v>
      </c>
      <c r="BI274" s="32">
        <f t="shared" si="134"/>
        <v>6</v>
      </c>
    </row>
    <row r="275" spans="1:61" x14ac:dyDescent="0.45">
      <c r="A275" s="30">
        <f>step3_validation[[#This Row],[Persona_ID]]</f>
        <v>274</v>
      </c>
      <c r="B275" s="31">
        <f>step3_validation[[#This Row],[Used_Seed]]</f>
        <v>274</v>
      </c>
      <c r="C275" t="str">
        <f>step3_validation[[#This Row],[Gender]]</f>
        <v>Nữ</v>
      </c>
      <c r="D275" t="str">
        <f>survey_responses[[#This Row],[Giới tính của bạn:]]</f>
        <v>Nữ</v>
      </c>
      <c r="E275" t="str">
        <f>step3_validation[[#This Row],[Age_Group]]</f>
        <v>30 - 39</v>
      </c>
      <c r="F275" t="str">
        <f>survey_responses[[#This Row],[Độ tuổi của bạn:]]</f>
        <v>30 - 39</v>
      </c>
      <c r="G275" t="str">
        <f>step3_validation[[#This Row],[Region]]</f>
        <v>Thành thị</v>
      </c>
      <c r="H275" t="str">
        <f>survey_responses[[#This Row],[Khu vực bạn đang sinh sống:]]</f>
        <v>Thành thị</v>
      </c>
      <c r="I275" t="str">
        <f>step3_validation[[#This Row],[Education]]</f>
        <v>Đại học</v>
      </c>
      <c r="J275" t="str">
        <f>survey_responses[[#This Row],[Trình độ học vấn cao nhất:]]</f>
        <v>Đại học</v>
      </c>
      <c r="K275" t="str">
        <f>step3_validation[[#This Row],[Employment]]</f>
        <v>Chính thức</v>
      </c>
      <c r="L275" t="str">
        <f>survey_responses[[#This Row],[Tình trạng việc làm chính:]]</f>
        <v>Khu vực chính thức (Có Hợp đồng lao động, đóng BHXH)</v>
      </c>
      <c r="M275">
        <f>step3_validation[[#This Row],[Income_Mil]]</f>
        <v>68.498095344756464</v>
      </c>
      <c r="N275" t="str">
        <f>survey_responses[[#This Row],[Thu nhập bình quân tháng theo Hợp đồng lao động của bạn là bao nhiêu? (Vui lòng điền tổng thu nhập trước khi khấu trừ các loại Bảo hiểm (BHXH, BHYT, BHTN) và Thuế TNCN)]]</f>
        <v>Từ 48 - 70 triệu VNĐ</v>
      </c>
      <c r="O275">
        <f>step3_validation[[#This Row],[Dependents]]</f>
        <v>2</v>
      </c>
      <c r="P275" t="str">
        <f>survey_responses[[#This Row],[Số người phụ thuộc (con nhỏ, cha mẹ già...) đủ điều kiện giảm trừ gia cảnh:]]</f>
        <v>2 người</v>
      </c>
      <c r="Q275">
        <f>step3_validation[[#This Row],[AI_ENF1]]</f>
        <v>5</v>
      </c>
      <c r="R275">
        <f t="shared" si="108"/>
        <v>0.44444444444444442</v>
      </c>
      <c r="S275">
        <f>survey_responses[[#This Row],[Tôi tin rằng với các quy định quản lý thuế hiện nay, hành vi gian lận hoặc trốn thuế sẽ dễ dàng bị phát hiện và xử lý nghiêm. - HUMAN-ENF1]]</f>
        <v>6</v>
      </c>
      <c r="T275">
        <f t="shared" si="109"/>
        <v>0.55555555555555558</v>
      </c>
      <c r="U275">
        <f>step3_validation[[#This Row],[AI_ENF2]]</f>
        <v>6</v>
      </c>
      <c r="V275">
        <f t="shared" si="110"/>
        <v>0.55555555555555558</v>
      </c>
      <c r="W275">
        <f>survey_responses[[#This Row],[Tôi tin rằng Nhà nước, cơ quan thuế có đủ khả năng và công nghệ để phát hiện, xử lý nghiêm các hành vi trốn thuế. - HUMAN-ENF2]]</f>
        <v>6</v>
      </c>
      <c r="X275">
        <f t="shared" si="111"/>
        <v>0.55555555555555558</v>
      </c>
      <c r="Y275" s="32">
        <f t="shared" si="112"/>
        <v>0.5</v>
      </c>
      <c r="Z275" s="32">
        <f t="shared" si="113"/>
        <v>0.55555555555555558</v>
      </c>
      <c r="AA275">
        <f>step3_validation[[#This Row],[AI_FAC1]]</f>
        <v>8</v>
      </c>
      <c r="AB275">
        <f t="shared" si="114"/>
        <v>0.77777777777777779</v>
      </c>
      <c r="AC275">
        <f>survey_responses[[#This Row],[Các thủ tục khai báo thuế VÀ/HOẶC quy trình làm việc với cơ quan thuế đơn giản, tiện lợi, nhanh chóng hơn so với trước đây. - HUMAN-FAC1]]</f>
        <v>5</v>
      </c>
      <c r="AD275">
        <f t="shared" si="115"/>
        <v>0.44444444444444442</v>
      </c>
      <c r="AE275">
        <f>step3_validation[[#This Row],[AI_FAC2]]</f>
        <v>9</v>
      </c>
      <c r="AF275">
        <f t="shared" si="116"/>
        <v>0.88888888888888884</v>
      </c>
      <c r="AG275">
        <f>survey_responses[[#This Row],[So với trước đây, tôi thấy cách tính thuế và các bậc thuế trong phương án mới đơn giản, dễ hiểu và dễ thực hiện hơn. - HUMAN-FAC2]]</f>
        <v>6</v>
      </c>
      <c r="AH275">
        <f t="shared" si="117"/>
        <v>0.55555555555555558</v>
      </c>
      <c r="AI275" s="32">
        <f t="shared" si="118"/>
        <v>0.83333333333333326</v>
      </c>
      <c r="AJ275" s="32">
        <f t="shared" si="119"/>
        <v>0.5</v>
      </c>
      <c r="AK275">
        <f>step3_validation[[#This Row],[AI_TRU1]]</f>
        <v>7</v>
      </c>
      <c r="AL275">
        <f t="shared" si="120"/>
        <v>0.66666666666666663</v>
      </c>
      <c r="AM275">
        <f>survey_responses[[#This Row],[Tôi tin rằng Nhà nước, cơ quan thuế sẽ thực thi chính sách mới một cách khách quan, công tâm và đối xử bình đẳng với mọi người nộp thuế.  - HUMAN-TRU1]]</f>
        <v>6</v>
      </c>
      <c r="AN275">
        <f t="shared" si="121"/>
        <v>0.55555555555555558</v>
      </c>
      <c r="AO275">
        <f>step3_validation[[#This Row],[AI_TRU2]]</f>
        <v>9</v>
      </c>
      <c r="AP275">
        <f t="shared" si="122"/>
        <v>0.88888888888888884</v>
      </c>
      <c r="AQ275">
        <f>survey_responses[[#This Row],[Tôi thấy mức thuế tôi phải đóng theo phương án mới là công bằng (người thu nhập như tôi đóng mức này là hợp lý). - HUMAN-TRU2]]</f>
        <v>6</v>
      </c>
      <c r="AR275">
        <f t="shared" si="123"/>
        <v>0.55555555555555558</v>
      </c>
      <c r="AS275">
        <f>step3_validation[[#This Row],[AI_TRU3]]</f>
        <v>7</v>
      </c>
      <c r="AT275">
        <f t="shared" si="124"/>
        <v>0.66666666666666663</v>
      </c>
      <c r="AU275">
        <f>survey_responses[[#This Row],[Tôi tin tưởng số tiền thuế tôi đóng sẽ được Nhà nước sử dụng hiệu quả để cải thiện dịch vụ công (y tế, đường xá...). - HUMAN-TRU3]]</f>
        <v>6</v>
      </c>
      <c r="AV275">
        <f t="shared" si="125"/>
        <v>0.55555555555555558</v>
      </c>
      <c r="AW275">
        <f>step3_validation[[#This Row],[AI_TRU4]]</f>
        <v>8</v>
      </c>
      <c r="AX275">
        <f t="shared" si="126"/>
        <v>0.77777777777777779</v>
      </c>
      <c r="AY275">
        <f>survey_responses[[#This Row],[Tôi thấy Nhà nước đã giải thích rõ ràng, minh bạch về lý do và mục tiêu của việc sửa đổi thuế lần này. - HUMAN-TRU4]]</f>
        <v>6</v>
      </c>
      <c r="AZ275">
        <f t="shared" si="127"/>
        <v>0.55555555555555558</v>
      </c>
      <c r="BA275" s="32">
        <f t="shared" si="128"/>
        <v>0.74999999999999989</v>
      </c>
      <c r="BB275" s="32">
        <f t="shared" si="129"/>
        <v>0.55555555555555558</v>
      </c>
      <c r="BC275" s="7">
        <f t="shared" si="130"/>
        <v>0.69444444444444431</v>
      </c>
      <c r="BD275" s="7">
        <f t="shared" si="131"/>
        <v>0.53703703703703709</v>
      </c>
      <c r="BE275">
        <f>step3_validation[[#This Row],[AI_OUT1]]</f>
        <v>9</v>
      </c>
      <c r="BF275">
        <f t="shared" si="132"/>
        <v>0.88888888888888884</v>
      </c>
      <c r="BG275">
        <f>survey_responses[[#This Row],[Sau khi xem xét các quyền lợi và nghĩa vụ, bạn có ủng hộ và tuân thủ chính sách mới hiện nay? - HUMAN-OUT1]]</f>
        <v>6</v>
      </c>
      <c r="BH275">
        <f t="shared" si="133"/>
        <v>0.55555555555555558</v>
      </c>
      <c r="BI275" s="32">
        <f t="shared" si="134"/>
        <v>3</v>
      </c>
    </row>
    <row r="276" spans="1:61" x14ac:dyDescent="0.45">
      <c r="A276" s="30">
        <f>step3_validation[[#This Row],[Persona_ID]]</f>
        <v>275</v>
      </c>
      <c r="B276" s="31">
        <f>step3_validation[[#This Row],[Used_Seed]]</f>
        <v>275</v>
      </c>
      <c r="C276" t="str">
        <f>step3_validation[[#This Row],[Gender]]</f>
        <v>Nữ</v>
      </c>
      <c r="D276" t="str">
        <f>survey_responses[[#This Row],[Giới tính của bạn:]]</f>
        <v>Nữ</v>
      </c>
      <c r="E276" t="str">
        <f>step3_validation[[#This Row],[Age_Group]]</f>
        <v>40 - 49</v>
      </c>
      <c r="F276" t="str">
        <f>survey_responses[[#This Row],[Độ tuổi của bạn:]]</f>
        <v>40 - 49</v>
      </c>
      <c r="G276" t="str">
        <f>step3_validation[[#This Row],[Region]]</f>
        <v>Thành thị</v>
      </c>
      <c r="H276" t="str">
        <f>survey_responses[[#This Row],[Khu vực bạn đang sinh sống:]]</f>
        <v>Thành thị</v>
      </c>
      <c r="I276" t="str">
        <f>step3_validation[[#This Row],[Education]]</f>
        <v>Sau Đại học</v>
      </c>
      <c r="J276" t="str">
        <f>survey_responses[[#This Row],[Trình độ học vấn cao nhất:]]</f>
        <v>Sau Đại học</v>
      </c>
      <c r="K276" t="str">
        <f>step3_validation[[#This Row],[Employment]]</f>
        <v>Chính thức</v>
      </c>
      <c r="L276" t="str">
        <f>survey_responses[[#This Row],[Tình trạng việc làm chính:]]</f>
        <v>Khu vực chính thức (Có Hợp đồng lao động, đóng BHXH)</v>
      </c>
      <c r="M276">
        <f>step3_validation[[#This Row],[Income_Mil]]</f>
        <v>67.423306240152883</v>
      </c>
      <c r="N276" t="str">
        <f>survey_responses[[#This Row],[Thu nhập bình quân tháng theo Hợp đồng lao động của bạn là bao nhiêu? (Vui lòng điền tổng thu nhập trước khi khấu trừ các loại Bảo hiểm (BHXH, BHYT, BHTN) và Thuế TNCN)]]</f>
        <v>Từ 48 - 70 triệu VNĐ</v>
      </c>
      <c r="O276">
        <f>step3_validation[[#This Row],[Dependents]]</f>
        <v>2</v>
      </c>
      <c r="P276" t="str">
        <f>survey_responses[[#This Row],[Số người phụ thuộc (con nhỏ, cha mẹ già...) đủ điều kiện giảm trừ gia cảnh:]]</f>
        <v>2 người</v>
      </c>
      <c r="Q276">
        <f>step3_validation[[#This Row],[AI_ENF1]]</f>
        <v>7</v>
      </c>
      <c r="R276">
        <f t="shared" si="108"/>
        <v>0.66666666666666663</v>
      </c>
      <c r="S276">
        <f>survey_responses[[#This Row],[Tôi tin rằng với các quy định quản lý thuế hiện nay, hành vi gian lận hoặc trốn thuế sẽ dễ dàng bị phát hiện và xử lý nghiêm. - HUMAN-ENF1]]</f>
        <v>8</v>
      </c>
      <c r="T276">
        <f t="shared" si="109"/>
        <v>0.77777777777777779</v>
      </c>
      <c r="U276">
        <f>step3_validation[[#This Row],[AI_ENF2]]</f>
        <v>6</v>
      </c>
      <c r="V276">
        <f t="shared" si="110"/>
        <v>0.55555555555555558</v>
      </c>
      <c r="W276">
        <f>survey_responses[[#This Row],[Tôi tin rằng Nhà nước, cơ quan thuế có đủ khả năng và công nghệ để phát hiện, xử lý nghiêm các hành vi trốn thuế. - HUMAN-ENF2]]</f>
        <v>9</v>
      </c>
      <c r="X276">
        <f t="shared" si="111"/>
        <v>0.88888888888888884</v>
      </c>
      <c r="Y276" s="32">
        <f t="shared" si="112"/>
        <v>0.61111111111111116</v>
      </c>
      <c r="Z276" s="32">
        <f t="shared" si="113"/>
        <v>0.83333333333333326</v>
      </c>
      <c r="AA276">
        <f>step3_validation[[#This Row],[AI_FAC1]]</f>
        <v>7</v>
      </c>
      <c r="AB276">
        <f t="shared" si="114"/>
        <v>0.66666666666666663</v>
      </c>
      <c r="AC276">
        <f>survey_responses[[#This Row],[Các thủ tục khai báo thuế VÀ/HOẶC quy trình làm việc với cơ quan thuế đơn giản, tiện lợi, nhanh chóng hơn so với trước đây. - HUMAN-FAC1]]</f>
        <v>5</v>
      </c>
      <c r="AD276">
        <f t="shared" si="115"/>
        <v>0.44444444444444442</v>
      </c>
      <c r="AE276">
        <f>step3_validation[[#This Row],[AI_FAC2]]</f>
        <v>8</v>
      </c>
      <c r="AF276">
        <f t="shared" si="116"/>
        <v>0.77777777777777779</v>
      </c>
      <c r="AG276">
        <f>survey_responses[[#This Row],[So với trước đây, tôi thấy cách tính thuế và các bậc thuế trong phương án mới đơn giản, dễ hiểu và dễ thực hiện hơn. - HUMAN-FAC2]]</f>
        <v>7</v>
      </c>
      <c r="AH276">
        <f t="shared" si="117"/>
        <v>0.66666666666666663</v>
      </c>
      <c r="AI276" s="32">
        <f t="shared" si="118"/>
        <v>0.72222222222222221</v>
      </c>
      <c r="AJ276" s="32">
        <f t="shared" si="119"/>
        <v>0.55555555555555558</v>
      </c>
      <c r="AK276">
        <f>step3_validation[[#This Row],[AI_TRU1]]</f>
        <v>7</v>
      </c>
      <c r="AL276">
        <f t="shared" si="120"/>
        <v>0.66666666666666663</v>
      </c>
      <c r="AM276">
        <f>survey_responses[[#This Row],[Tôi tin rằng Nhà nước, cơ quan thuế sẽ thực thi chính sách mới một cách khách quan, công tâm và đối xử bình đẳng với mọi người nộp thuế.  - HUMAN-TRU1]]</f>
        <v>6</v>
      </c>
      <c r="AN276">
        <f t="shared" si="121"/>
        <v>0.55555555555555558</v>
      </c>
      <c r="AO276">
        <f>step3_validation[[#This Row],[AI_TRU2]]</f>
        <v>9</v>
      </c>
      <c r="AP276">
        <f t="shared" si="122"/>
        <v>0.88888888888888884</v>
      </c>
      <c r="AQ276">
        <f>survey_responses[[#This Row],[Tôi thấy mức thuế tôi phải đóng theo phương án mới là công bằng (người thu nhập như tôi đóng mức này là hợp lý). - HUMAN-TRU2]]</f>
        <v>7</v>
      </c>
      <c r="AR276">
        <f t="shared" si="123"/>
        <v>0.66666666666666663</v>
      </c>
      <c r="AS276">
        <f>step3_validation[[#This Row],[AI_TRU3]]</f>
        <v>8</v>
      </c>
      <c r="AT276">
        <f t="shared" si="124"/>
        <v>0.77777777777777779</v>
      </c>
      <c r="AU276">
        <f>survey_responses[[#This Row],[Tôi tin tưởng số tiền thuế tôi đóng sẽ được Nhà nước sử dụng hiệu quả để cải thiện dịch vụ công (y tế, đường xá...). - HUMAN-TRU3]]</f>
        <v>7</v>
      </c>
      <c r="AV276">
        <f t="shared" si="125"/>
        <v>0.66666666666666663</v>
      </c>
      <c r="AW276">
        <f>step3_validation[[#This Row],[AI_TRU4]]</f>
        <v>7</v>
      </c>
      <c r="AX276">
        <f t="shared" si="126"/>
        <v>0.66666666666666663</v>
      </c>
      <c r="AY276">
        <f>survey_responses[[#This Row],[Tôi thấy Nhà nước đã giải thích rõ ràng, minh bạch về lý do và mục tiêu của việc sửa đổi thuế lần này. - HUMAN-TRU4]]</f>
        <v>7</v>
      </c>
      <c r="AZ276">
        <f t="shared" si="127"/>
        <v>0.66666666666666663</v>
      </c>
      <c r="BA276" s="32">
        <f t="shared" si="128"/>
        <v>0.74999999999999989</v>
      </c>
      <c r="BB276" s="32">
        <f t="shared" si="129"/>
        <v>0.63888888888888884</v>
      </c>
      <c r="BC276" s="7">
        <f t="shared" si="130"/>
        <v>0.69444444444444453</v>
      </c>
      <c r="BD276" s="7">
        <f t="shared" si="131"/>
        <v>0.67592592592592593</v>
      </c>
      <c r="BE276">
        <f>step3_validation[[#This Row],[AI_OUT1]]</f>
        <v>9</v>
      </c>
      <c r="BF276">
        <f t="shared" si="132"/>
        <v>0.88888888888888884</v>
      </c>
      <c r="BG276">
        <f>survey_responses[[#This Row],[Sau khi xem xét các quyền lợi và nghĩa vụ, bạn có ủng hộ và tuân thủ chính sách mới hiện nay? - HUMAN-OUT1]]</f>
        <v>7</v>
      </c>
      <c r="BH276">
        <f t="shared" si="133"/>
        <v>0.66666666666666663</v>
      </c>
      <c r="BI276" s="32">
        <f t="shared" si="134"/>
        <v>2</v>
      </c>
    </row>
    <row r="277" spans="1:61" x14ac:dyDescent="0.45">
      <c r="A277" s="30">
        <f>step3_validation[[#This Row],[Persona_ID]]</f>
        <v>276</v>
      </c>
      <c r="B277" s="31">
        <f>step3_validation[[#This Row],[Used_Seed]]</f>
        <v>276</v>
      </c>
      <c r="C277" t="str">
        <f>step3_validation[[#This Row],[Gender]]</f>
        <v>Nam</v>
      </c>
      <c r="D277" t="str">
        <f>survey_responses[[#This Row],[Giới tính của bạn:]]</f>
        <v>Nam</v>
      </c>
      <c r="E277" t="str">
        <f>step3_validation[[#This Row],[Age_Group]]</f>
        <v>30 - 39</v>
      </c>
      <c r="F277" t="str">
        <f>survey_responses[[#This Row],[Độ tuổi của bạn:]]</f>
        <v>30 - 39</v>
      </c>
      <c r="G277" t="str">
        <f>step3_validation[[#This Row],[Region]]</f>
        <v>Thành thị</v>
      </c>
      <c r="H277" t="str">
        <f>survey_responses[[#This Row],[Khu vực bạn đang sinh sống:]]</f>
        <v>Thành thị</v>
      </c>
      <c r="I277" t="str">
        <f>step3_validation[[#This Row],[Education]]</f>
        <v>Đại học</v>
      </c>
      <c r="J277" t="str">
        <f>survey_responses[[#This Row],[Trình độ học vấn cao nhất:]]</f>
        <v>Đại học</v>
      </c>
      <c r="K277" t="str">
        <f>step3_validation[[#This Row],[Employment]]</f>
        <v>Chính thức</v>
      </c>
      <c r="L277" t="str">
        <f>survey_responses[[#This Row],[Tình trạng việc làm chính:]]</f>
        <v>Khu vực chính thức (Có Hợp đồng lao động, đóng BHXH)</v>
      </c>
      <c r="M277">
        <f>step3_validation[[#This Row],[Income_Mil]]</f>
        <v>44.331175625937327</v>
      </c>
      <c r="N277" t="str">
        <f>survey_responses[[#This Row],[Thu nhập bình quân tháng theo Hợp đồng lao động của bạn là bao nhiêu? (Vui lòng điền tổng thu nhập trước khi khấu trừ các loại Bảo hiểm (BHXH, BHYT, BHTN) và Thuế TNCN)]]</f>
        <v>Từ 32 - 48 triệu VNĐ</v>
      </c>
      <c r="O277">
        <f>step3_validation[[#This Row],[Dependents]]</f>
        <v>1</v>
      </c>
      <c r="P277" t="str">
        <f>survey_responses[[#This Row],[Số người phụ thuộc (con nhỏ, cha mẹ già...) đủ điều kiện giảm trừ gia cảnh:]]</f>
        <v>1 người</v>
      </c>
      <c r="Q277">
        <f>step3_validation[[#This Row],[AI_ENF1]]</f>
        <v>7</v>
      </c>
      <c r="R277">
        <f t="shared" si="108"/>
        <v>0.66666666666666663</v>
      </c>
      <c r="S277">
        <f>survey_responses[[#This Row],[Tôi tin rằng với các quy định quản lý thuế hiện nay, hành vi gian lận hoặc trốn thuế sẽ dễ dàng bị phát hiện và xử lý nghiêm. - HUMAN-ENF1]]</f>
        <v>6</v>
      </c>
      <c r="T277">
        <f t="shared" si="109"/>
        <v>0.55555555555555558</v>
      </c>
      <c r="U277">
        <f>step3_validation[[#This Row],[AI_ENF2]]</f>
        <v>8</v>
      </c>
      <c r="V277">
        <f t="shared" si="110"/>
        <v>0.77777777777777779</v>
      </c>
      <c r="W277">
        <f>survey_responses[[#This Row],[Tôi tin rằng Nhà nước, cơ quan thuế có đủ khả năng và công nghệ để phát hiện, xử lý nghiêm các hành vi trốn thuế. - HUMAN-ENF2]]</f>
        <v>6</v>
      </c>
      <c r="X277">
        <f t="shared" si="111"/>
        <v>0.55555555555555558</v>
      </c>
      <c r="Y277" s="32">
        <f t="shared" si="112"/>
        <v>0.72222222222222221</v>
      </c>
      <c r="Z277" s="32">
        <f t="shared" si="113"/>
        <v>0.55555555555555558</v>
      </c>
      <c r="AA277">
        <f>step3_validation[[#This Row],[AI_FAC1]]</f>
        <v>9</v>
      </c>
      <c r="AB277">
        <f t="shared" si="114"/>
        <v>0.88888888888888884</v>
      </c>
      <c r="AC277">
        <f>survey_responses[[#This Row],[Các thủ tục khai báo thuế VÀ/HOẶC quy trình làm việc với cơ quan thuế đơn giản, tiện lợi, nhanh chóng hơn so với trước đây. - HUMAN-FAC1]]</f>
        <v>3</v>
      </c>
      <c r="AD277">
        <f t="shared" si="115"/>
        <v>0.22222222222222221</v>
      </c>
      <c r="AE277">
        <f>step3_validation[[#This Row],[AI_FAC2]]</f>
        <v>9</v>
      </c>
      <c r="AF277">
        <f t="shared" si="116"/>
        <v>0.88888888888888884</v>
      </c>
      <c r="AG277">
        <f>survey_responses[[#This Row],[So với trước đây, tôi thấy cách tính thuế và các bậc thuế trong phương án mới đơn giản, dễ hiểu và dễ thực hiện hơn. - HUMAN-FAC2]]</f>
        <v>7</v>
      </c>
      <c r="AH277">
        <f t="shared" si="117"/>
        <v>0.66666666666666663</v>
      </c>
      <c r="AI277" s="32">
        <f t="shared" si="118"/>
        <v>0.88888888888888884</v>
      </c>
      <c r="AJ277" s="32">
        <f t="shared" si="119"/>
        <v>0.44444444444444442</v>
      </c>
      <c r="AK277">
        <f>step3_validation[[#This Row],[AI_TRU1]]</f>
        <v>7</v>
      </c>
      <c r="AL277">
        <f t="shared" si="120"/>
        <v>0.66666666666666663</v>
      </c>
      <c r="AM277">
        <f>survey_responses[[#This Row],[Tôi tin rằng Nhà nước, cơ quan thuế sẽ thực thi chính sách mới một cách khách quan, công tâm và đối xử bình đẳng với mọi người nộp thuế.  - HUMAN-TRU1]]</f>
        <v>7</v>
      </c>
      <c r="AN277">
        <f t="shared" si="121"/>
        <v>0.66666666666666663</v>
      </c>
      <c r="AO277">
        <f>step3_validation[[#This Row],[AI_TRU2]]</f>
        <v>8</v>
      </c>
      <c r="AP277">
        <f t="shared" si="122"/>
        <v>0.77777777777777779</v>
      </c>
      <c r="AQ277">
        <f>survey_responses[[#This Row],[Tôi thấy mức thuế tôi phải đóng theo phương án mới là công bằng (người thu nhập như tôi đóng mức này là hợp lý). - HUMAN-TRU2]]</f>
        <v>7</v>
      </c>
      <c r="AR277">
        <f t="shared" si="123"/>
        <v>0.66666666666666663</v>
      </c>
      <c r="AS277">
        <f>step3_validation[[#This Row],[AI_TRU3]]</f>
        <v>6</v>
      </c>
      <c r="AT277">
        <f t="shared" si="124"/>
        <v>0.55555555555555558</v>
      </c>
      <c r="AU277">
        <f>survey_responses[[#This Row],[Tôi tin tưởng số tiền thuế tôi đóng sẽ được Nhà nước sử dụng hiệu quả để cải thiện dịch vụ công (y tế, đường xá...). - HUMAN-TRU3]]</f>
        <v>5</v>
      </c>
      <c r="AV277">
        <f t="shared" si="125"/>
        <v>0.44444444444444442</v>
      </c>
      <c r="AW277">
        <f>step3_validation[[#This Row],[AI_TRU4]]</f>
        <v>7</v>
      </c>
      <c r="AX277">
        <f t="shared" si="126"/>
        <v>0.66666666666666663</v>
      </c>
      <c r="AY277">
        <f>survey_responses[[#This Row],[Tôi thấy Nhà nước đã giải thích rõ ràng, minh bạch về lý do và mục tiêu của việc sửa đổi thuế lần này. - HUMAN-TRU4]]</f>
        <v>7</v>
      </c>
      <c r="AZ277">
        <f t="shared" si="127"/>
        <v>0.66666666666666663</v>
      </c>
      <c r="BA277" s="32">
        <f t="shared" si="128"/>
        <v>0.66666666666666663</v>
      </c>
      <c r="BB277" s="32">
        <f t="shared" si="129"/>
        <v>0.61111111111111105</v>
      </c>
      <c r="BC277" s="7">
        <f t="shared" si="130"/>
        <v>0.75925925925925919</v>
      </c>
      <c r="BD277" s="7">
        <f t="shared" si="131"/>
        <v>0.53703703703703709</v>
      </c>
      <c r="BE277">
        <f>step3_validation[[#This Row],[AI_OUT1]]</f>
        <v>8</v>
      </c>
      <c r="BF277">
        <f t="shared" si="132"/>
        <v>0.77777777777777779</v>
      </c>
      <c r="BG277">
        <f>survey_responses[[#This Row],[Sau khi xem xét các quyền lợi và nghĩa vụ, bạn có ủng hộ và tuân thủ chính sách mới hiện nay? - HUMAN-OUT1]]</f>
        <v>7</v>
      </c>
      <c r="BH277">
        <f t="shared" si="133"/>
        <v>0.66666666666666663</v>
      </c>
      <c r="BI277" s="32">
        <f t="shared" si="134"/>
        <v>1</v>
      </c>
    </row>
    <row r="278" spans="1:61" x14ac:dyDescent="0.45">
      <c r="A278" s="30">
        <f>step3_validation[[#This Row],[Persona_ID]]</f>
        <v>277</v>
      </c>
      <c r="B278" s="31">
        <f>step3_validation[[#This Row],[Used_Seed]]</f>
        <v>277</v>
      </c>
      <c r="C278" t="str">
        <f>step3_validation[[#This Row],[Gender]]</f>
        <v>Nữ</v>
      </c>
      <c r="D278" t="str">
        <f>survey_responses[[#This Row],[Giới tính của bạn:]]</f>
        <v>Nữ</v>
      </c>
      <c r="E278" t="str">
        <f>step3_validation[[#This Row],[Age_Group]]</f>
        <v>40 - 49</v>
      </c>
      <c r="F278" t="str">
        <f>survey_responses[[#This Row],[Độ tuổi của bạn:]]</f>
        <v>40 - 49</v>
      </c>
      <c r="G278" t="str">
        <f>step3_validation[[#This Row],[Region]]</f>
        <v>Thành thị</v>
      </c>
      <c r="H278" t="str">
        <f>survey_responses[[#This Row],[Khu vực bạn đang sinh sống:]]</f>
        <v>Thành thị</v>
      </c>
      <c r="I278" t="str">
        <f>step3_validation[[#This Row],[Education]]</f>
        <v>Đại học</v>
      </c>
      <c r="J278" t="str">
        <f>survey_responses[[#This Row],[Trình độ học vấn cao nhất:]]</f>
        <v>Đại học</v>
      </c>
      <c r="K278" t="str">
        <f>step3_validation[[#This Row],[Employment]]</f>
        <v>Chính thức</v>
      </c>
      <c r="L278" t="str">
        <f>survey_responses[[#This Row],[Tình trạng việc làm chính:]]</f>
        <v>Khu vực chính thức (Có Hợp đồng lao động, đóng BHXH)</v>
      </c>
      <c r="M278">
        <f>step3_validation[[#This Row],[Income_Mil]]</f>
        <v>85.91440479024341</v>
      </c>
      <c r="N278" t="str">
        <f>survey_responses[[#This Row],[Thu nhập bình quân tháng theo Hợp đồng lao động của bạn là bao nhiêu? (Vui lòng điền tổng thu nhập trước khi khấu trừ các loại Bảo hiểm (BHXH, BHYT, BHTN) và Thuế TNCN)]]</f>
        <v>Từ 70 - 102 triệu VNĐ</v>
      </c>
      <c r="O278">
        <f>step3_validation[[#This Row],[Dependents]]</f>
        <v>4</v>
      </c>
      <c r="P278" t="str">
        <f>survey_responses[[#This Row],[Số người phụ thuộc (con nhỏ, cha mẹ già...) đủ điều kiện giảm trừ gia cảnh:]]</f>
        <v>4 người trở lên</v>
      </c>
      <c r="Q278">
        <f>step3_validation[[#This Row],[AI_ENF1]]</f>
        <v>6</v>
      </c>
      <c r="R278">
        <f t="shared" si="108"/>
        <v>0.55555555555555558</v>
      </c>
      <c r="S278">
        <f>survey_responses[[#This Row],[Tôi tin rằng với các quy định quản lý thuế hiện nay, hành vi gian lận hoặc trốn thuế sẽ dễ dàng bị phát hiện và xử lý nghiêm. - HUMAN-ENF1]]</f>
        <v>8</v>
      </c>
      <c r="T278">
        <f t="shared" si="109"/>
        <v>0.77777777777777779</v>
      </c>
      <c r="U278">
        <f>step3_validation[[#This Row],[AI_ENF2]]</f>
        <v>8</v>
      </c>
      <c r="V278">
        <f t="shared" si="110"/>
        <v>0.77777777777777779</v>
      </c>
      <c r="W278">
        <f>survey_responses[[#This Row],[Tôi tin rằng Nhà nước, cơ quan thuế có đủ khả năng và công nghệ để phát hiện, xử lý nghiêm các hành vi trốn thuế. - HUMAN-ENF2]]</f>
        <v>8</v>
      </c>
      <c r="X278">
        <f t="shared" si="111"/>
        <v>0.77777777777777779</v>
      </c>
      <c r="Y278" s="32">
        <f t="shared" si="112"/>
        <v>0.66666666666666674</v>
      </c>
      <c r="Z278" s="32">
        <f t="shared" si="113"/>
        <v>0.77777777777777779</v>
      </c>
      <c r="AA278">
        <f>step3_validation[[#This Row],[AI_FAC1]]</f>
        <v>9</v>
      </c>
      <c r="AB278">
        <f t="shared" si="114"/>
        <v>0.88888888888888884</v>
      </c>
      <c r="AC278">
        <f>survey_responses[[#This Row],[Các thủ tục khai báo thuế VÀ/HOẶC quy trình làm việc với cơ quan thuế đơn giản, tiện lợi, nhanh chóng hơn so với trước đây. - HUMAN-FAC1]]</f>
        <v>6</v>
      </c>
      <c r="AD278">
        <f t="shared" si="115"/>
        <v>0.55555555555555558</v>
      </c>
      <c r="AE278">
        <f>step3_validation[[#This Row],[AI_FAC2]]</f>
        <v>8</v>
      </c>
      <c r="AF278">
        <f t="shared" si="116"/>
        <v>0.77777777777777779</v>
      </c>
      <c r="AG278">
        <f>survey_responses[[#This Row],[So với trước đây, tôi thấy cách tính thuế và các bậc thuế trong phương án mới đơn giản, dễ hiểu và dễ thực hiện hơn. - HUMAN-FAC2]]</f>
        <v>7</v>
      </c>
      <c r="AH278">
        <f t="shared" si="117"/>
        <v>0.66666666666666663</v>
      </c>
      <c r="AI278" s="32">
        <f t="shared" si="118"/>
        <v>0.83333333333333326</v>
      </c>
      <c r="AJ278" s="32">
        <f t="shared" si="119"/>
        <v>0.61111111111111116</v>
      </c>
      <c r="AK278">
        <f>step3_validation[[#This Row],[AI_TRU1]]</f>
        <v>7</v>
      </c>
      <c r="AL278">
        <f t="shared" si="120"/>
        <v>0.66666666666666663</v>
      </c>
      <c r="AM278">
        <f>survey_responses[[#This Row],[Tôi tin rằng Nhà nước, cơ quan thuế sẽ thực thi chính sách mới một cách khách quan, công tâm và đối xử bình đẳng với mọi người nộp thuế.  - HUMAN-TRU1]]</f>
        <v>7</v>
      </c>
      <c r="AN278">
        <f t="shared" si="121"/>
        <v>0.66666666666666663</v>
      </c>
      <c r="AO278">
        <f>step3_validation[[#This Row],[AI_TRU2]]</f>
        <v>9</v>
      </c>
      <c r="AP278">
        <f t="shared" si="122"/>
        <v>0.88888888888888884</v>
      </c>
      <c r="AQ278">
        <f>survey_responses[[#This Row],[Tôi thấy mức thuế tôi phải đóng theo phương án mới là công bằng (người thu nhập như tôi đóng mức này là hợp lý). - HUMAN-TRU2]]</f>
        <v>4</v>
      </c>
      <c r="AR278">
        <f t="shared" si="123"/>
        <v>0.33333333333333331</v>
      </c>
      <c r="AS278">
        <f>step3_validation[[#This Row],[AI_TRU3]]</f>
        <v>7</v>
      </c>
      <c r="AT278">
        <f t="shared" si="124"/>
        <v>0.66666666666666663</v>
      </c>
      <c r="AU278">
        <f>survey_responses[[#This Row],[Tôi tin tưởng số tiền thuế tôi đóng sẽ được Nhà nước sử dụng hiệu quả để cải thiện dịch vụ công (y tế, đường xá...). - HUMAN-TRU3]]</f>
        <v>5</v>
      </c>
      <c r="AV278">
        <f t="shared" si="125"/>
        <v>0.44444444444444442</v>
      </c>
      <c r="AW278">
        <f>step3_validation[[#This Row],[AI_TRU4]]</f>
        <v>8</v>
      </c>
      <c r="AX278">
        <f t="shared" si="126"/>
        <v>0.77777777777777779</v>
      </c>
      <c r="AY278">
        <f>survey_responses[[#This Row],[Tôi thấy Nhà nước đã giải thích rõ ràng, minh bạch về lý do và mục tiêu của việc sửa đổi thuế lần này. - HUMAN-TRU4]]</f>
        <v>5</v>
      </c>
      <c r="AZ278">
        <f t="shared" si="127"/>
        <v>0.44444444444444442</v>
      </c>
      <c r="BA278" s="32">
        <f t="shared" si="128"/>
        <v>0.74999999999999989</v>
      </c>
      <c r="BB278" s="32">
        <f t="shared" si="129"/>
        <v>0.47222222222222221</v>
      </c>
      <c r="BC278" s="7">
        <f t="shared" si="130"/>
        <v>0.75</v>
      </c>
      <c r="BD278" s="7">
        <f t="shared" si="131"/>
        <v>0.62037037037037035</v>
      </c>
      <c r="BE278">
        <f>step3_validation[[#This Row],[AI_OUT1]]</f>
        <v>9</v>
      </c>
      <c r="BF278">
        <f t="shared" si="132"/>
        <v>0.88888888888888884</v>
      </c>
      <c r="BG278">
        <f>survey_responses[[#This Row],[Sau khi xem xét các quyền lợi và nghĩa vụ, bạn có ủng hộ và tuân thủ chính sách mới hiện nay? - HUMAN-OUT1]]</f>
        <v>5</v>
      </c>
      <c r="BH278">
        <f t="shared" si="133"/>
        <v>0.44444444444444442</v>
      </c>
      <c r="BI278" s="32">
        <f t="shared" si="134"/>
        <v>4</v>
      </c>
    </row>
    <row r="279" spans="1:61" x14ac:dyDescent="0.45">
      <c r="A279" s="30">
        <f>step3_validation[[#This Row],[Persona_ID]]</f>
        <v>278</v>
      </c>
      <c r="B279" s="31">
        <f>step3_validation[[#This Row],[Used_Seed]]</f>
        <v>278</v>
      </c>
      <c r="C279" t="str">
        <f>step3_validation[[#This Row],[Gender]]</f>
        <v>Nữ</v>
      </c>
      <c r="D279" t="str">
        <f>survey_responses[[#This Row],[Giới tính của bạn:]]</f>
        <v>Nữ</v>
      </c>
      <c r="E279" t="str">
        <f>step3_validation[[#This Row],[Age_Group]]</f>
        <v>30 - 39</v>
      </c>
      <c r="F279" t="str">
        <f>survey_responses[[#This Row],[Độ tuổi của bạn:]]</f>
        <v>30 - 39</v>
      </c>
      <c r="G279" t="str">
        <f>step3_validation[[#This Row],[Region]]</f>
        <v>Thành thị</v>
      </c>
      <c r="H279" t="str">
        <f>survey_responses[[#This Row],[Khu vực bạn đang sinh sống:]]</f>
        <v>Thành thị</v>
      </c>
      <c r="I279" t="str">
        <f>step3_validation[[#This Row],[Education]]</f>
        <v>Đại học</v>
      </c>
      <c r="J279" t="str">
        <f>survey_responses[[#This Row],[Trình độ học vấn cao nhất:]]</f>
        <v>Đại học</v>
      </c>
      <c r="K279" t="str">
        <f>step3_validation[[#This Row],[Employment]]</f>
        <v>Chính thức</v>
      </c>
      <c r="L279" t="str">
        <f>survey_responses[[#This Row],[Tình trạng việc làm chính:]]</f>
        <v>Khu vực chính thức (Có Hợp đồng lao động, đóng BHXH)</v>
      </c>
      <c r="M279">
        <f>step3_validation[[#This Row],[Income_Mil]]</f>
        <v>62.681749190444862</v>
      </c>
      <c r="N279" t="str">
        <f>survey_responses[[#This Row],[Thu nhập bình quân tháng theo Hợp đồng lao động của bạn là bao nhiêu? (Vui lòng điền tổng thu nhập trước khi khấu trừ các loại Bảo hiểm (BHXH, BHYT, BHTN) và Thuế TNCN)]]</f>
        <v>Từ 48 - 70 triệu VNĐ</v>
      </c>
      <c r="O279">
        <f>step3_validation[[#This Row],[Dependents]]</f>
        <v>3</v>
      </c>
      <c r="P279" t="str">
        <f>survey_responses[[#This Row],[Số người phụ thuộc (con nhỏ, cha mẹ già...) đủ điều kiện giảm trừ gia cảnh:]]</f>
        <v>3 người</v>
      </c>
      <c r="Q279">
        <f>step3_validation[[#This Row],[AI_ENF1]]</f>
        <v>8</v>
      </c>
      <c r="R279">
        <f t="shared" si="108"/>
        <v>0.77777777777777779</v>
      </c>
      <c r="S279">
        <f>survey_responses[[#This Row],[Tôi tin rằng với các quy định quản lý thuế hiện nay, hành vi gian lận hoặc trốn thuế sẽ dễ dàng bị phát hiện và xử lý nghiêm. - HUMAN-ENF1]]</f>
        <v>6</v>
      </c>
      <c r="T279">
        <f t="shared" si="109"/>
        <v>0.55555555555555558</v>
      </c>
      <c r="U279">
        <f>step3_validation[[#This Row],[AI_ENF2]]</f>
        <v>9</v>
      </c>
      <c r="V279">
        <f t="shared" si="110"/>
        <v>0.88888888888888884</v>
      </c>
      <c r="W279">
        <f>survey_responses[[#This Row],[Tôi tin rằng Nhà nước, cơ quan thuế có đủ khả năng và công nghệ để phát hiện, xử lý nghiêm các hành vi trốn thuế. - HUMAN-ENF2]]</f>
        <v>7</v>
      </c>
      <c r="X279">
        <f t="shared" si="111"/>
        <v>0.66666666666666663</v>
      </c>
      <c r="Y279" s="32">
        <f t="shared" si="112"/>
        <v>0.83333333333333326</v>
      </c>
      <c r="Z279" s="32">
        <f t="shared" si="113"/>
        <v>0.61111111111111116</v>
      </c>
      <c r="AA279">
        <f>step3_validation[[#This Row],[AI_FAC1]]</f>
        <v>7</v>
      </c>
      <c r="AB279">
        <f t="shared" si="114"/>
        <v>0.66666666666666663</v>
      </c>
      <c r="AC279">
        <f>survey_responses[[#This Row],[Các thủ tục khai báo thuế VÀ/HOẶC quy trình làm việc với cơ quan thuế đơn giản, tiện lợi, nhanh chóng hơn so với trước đây. - HUMAN-FAC1]]</f>
        <v>5</v>
      </c>
      <c r="AD279">
        <f t="shared" si="115"/>
        <v>0.44444444444444442</v>
      </c>
      <c r="AE279">
        <f>step3_validation[[#This Row],[AI_FAC2]]</f>
        <v>9</v>
      </c>
      <c r="AF279">
        <f t="shared" si="116"/>
        <v>0.88888888888888884</v>
      </c>
      <c r="AG279">
        <f>survey_responses[[#This Row],[So với trước đây, tôi thấy cách tính thuế và các bậc thuế trong phương án mới đơn giản, dễ hiểu và dễ thực hiện hơn. - HUMAN-FAC2]]</f>
        <v>7</v>
      </c>
      <c r="AH279">
        <f t="shared" si="117"/>
        <v>0.66666666666666663</v>
      </c>
      <c r="AI279" s="32">
        <f t="shared" si="118"/>
        <v>0.77777777777777768</v>
      </c>
      <c r="AJ279" s="32">
        <f t="shared" si="119"/>
        <v>0.55555555555555558</v>
      </c>
      <c r="AK279">
        <f>step3_validation[[#This Row],[AI_TRU1]]</f>
        <v>8</v>
      </c>
      <c r="AL279">
        <f t="shared" si="120"/>
        <v>0.77777777777777779</v>
      </c>
      <c r="AM279">
        <f>survey_responses[[#This Row],[Tôi tin rằng Nhà nước, cơ quan thuế sẽ thực thi chính sách mới một cách khách quan, công tâm và đối xử bình đẳng với mọi người nộp thuế.  - HUMAN-TRU1]]</f>
        <v>6</v>
      </c>
      <c r="AN279">
        <f t="shared" si="121"/>
        <v>0.55555555555555558</v>
      </c>
      <c r="AO279">
        <f>step3_validation[[#This Row],[AI_TRU2]]</f>
        <v>9</v>
      </c>
      <c r="AP279">
        <f t="shared" si="122"/>
        <v>0.88888888888888884</v>
      </c>
      <c r="AQ279">
        <f>survey_responses[[#This Row],[Tôi thấy mức thuế tôi phải đóng theo phương án mới là công bằng (người thu nhập như tôi đóng mức này là hợp lý). - HUMAN-TRU2]]</f>
        <v>6</v>
      </c>
      <c r="AR279">
        <f t="shared" si="123"/>
        <v>0.55555555555555558</v>
      </c>
      <c r="AS279">
        <f>step3_validation[[#This Row],[AI_TRU3]]</f>
        <v>8</v>
      </c>
      <c r="AT279">
        <f t="shared" si="124"/>
        <v>0.77777777777777779</v>
      </c>
      <c r="AU279">
        <f>survey_responses[[#This Row],[Tôi tin tưởng số tiền thuế tôi đóng sẽ được Nhà nước sử dụng hiệu quả để cải thiện dịch vụ công (y tế, đường xá...). - HUMAN-TRU3]]</f>
        <v>6</v>
      </c>
      <c r="AV279">
        <f t="shared" si="125"/>
        <v>0.55555555555555558</v>
      </c>
      <c r="AW279">
        <f>step3_validation[[#This Row],[AI_TRU4]]</f>
        <v>7</v>
      </c>
      <c r="AX279">
        <f t="shared" si="126"/>
        <v>0.66666666666666663</v>
      </c>
      <c r="AY279">
        <f>survey_responses[[#This Row],[Tôi thấy Nhà nước đã giải thích rõ ràng, minh bạch về lý do và mục tiêu của việc sửa đổi thuế lần này. - HUMAN-TRU4]]</f>
        <v>6</v>
      </c>
      <c r="AZ279">
        <f t="shared" si="127"/>
        <v>0.55555555555555558</v>
      </c>
      <c r="BA279" s="32">
        <f t="shared" si="128"/>
        <v>0.77777777777777768</v>
      </c>
      <c r="BB279" s="32">
        <f t="shared" si="129"/>
        <v>0.55555555555555558</v>
      </c>
      <c r="BC279" s="7">
        <f t="shared" si="130"/>
        <v>0.79629629629629617</v>
      </c>
      <c r="BD279" s="7">
        <f t="shared" si="131"/>
        <v>0.57407407407407407</v>
      </c>
      <c r="BE279">
        <f>step3_validation[[#This Row],[AI_OUT1]]</f>
        <v>9</v>
      </c>
      <c r="BF279">
        <f t="shared" si="132"/>
        <v>0.88888888888888884</v>
      </c>
      <c r="BG279">
        <f>survey_responses[[#This Row],[Sau khi xem xét các quyền lợi và nghĩa vụ, bạn có ủng hộ và tuân thủ chính sách mới hiện nay? - HUMAN-OUT1]]</f>
        <v>6</v>
      </c>
      <c r="BH279">
        <f t="shared" si="133"/>
        <v>0.55555555555555558</v>
      </c>
      <c r="BI279" s="32">
        <f t="shared" si="134"/>
        <v>3</v>
      </c>
    </row>
    <row r="280" spans="1:61" x14ac:dyDescent="0.45">
      <c r="A280" s="30">
        <f>step3_validation[[#This Row],[Persona_ID]]</f>
        <v>279</v>
      </c>
      <c r="B280" s="31">
        <f>step3_validation[[#This Row],[Used_Seed]]</f>
        <v>279</v>
      </c>
      <c r="C280" t="str">
        <f>step3_validation[[#This Row],[Gender]]</f>
        <v>Nam</v>
      </c>
      <c r="D280" t="str">
        <f>survey_responses[[#This Row],[Giới tính của bạn:]]</f>
        <v>Nam</v>
      </c>
      <c r="E280" t="str">
        <f>step3_validation[[#This Row],[Age_Group]]</f>
        <v>30 - 39</v>
      </c>
      <c r="F280" t="str">
        <f>survey_responses[[#This Row],[Độ tuổi của bạn:]]</f>
        <v>30 - 39</v>
      </c>
      <c r="G280" t="str">
        <f>step3_validation[[#This Row],[Region]]</f>
        <v>Thành thị</v>
      </c>
      <c r="H280" t="str">
        <f>survey_responses[[#This Row],[Khu vực bạn đang sinh sống:]]</f>
        <v>Thành thị</v>
      </c>
      <c r="I280" t="str">
        <f>step3_validation[[#This Row],[Education]]</f>
        <v>Sau Đại học</v>
      </c>
      <c r="J280" t="str">
        <f>survey_responses[[#This Row],[Trình độ học vấn cao nhất:]]</f>
        <v>Sau Đại học</v>
      </c>
      <c r="K280" t="str">
        <f>step3_validation[[#This Row],[Employment]]</f>
        <v>Phi chính thức</v>
      </c>
      <c r="L280" t="str">
        <f>survey_responses[[#This Row],[Tình trạng việc làm chính:]]</f>
        <v>Khu vực phi chính thức (Lao động tự do, không có HĐLĐ)</v>
      </c>
      <c r="M280">
        <f>step3_validation[[#This Row],[Income_Mil]]</f>
        <v>71.565827852767939</v>
      </c>
      <c r="N280" t="str">
        <f>survey_responses[[#This Row],[Thu nhập bình quân tháng theo Hợp đồng lao động của bạn là bao nhiêu? (Vui lòng điền tổng thu nhập trước khi khấu trừ các loại Bảo hiểm (BHXH, BHYT, BHTN) và Thuế TNCN)]]</f>
        <v>Từ 70 - 102 triệu VNĐ</v>
      </c>
      <c r="O280">
        <f>step3_validation[[#This Row],[Dependents]]</f>
        <v>0</v>
      </c>
      <c r="P280" t="str">
        <f>survey_responses[[#This Row],[Số người phụ thuộc (con nhỏ, cha mẹ già...) đủ điều kiện giảm trừ gia cảnh:]]</f>
        <v>0 người</v>
      </c>
      <c r="Q280">
        <f>step3_validation[[#This Row],[AI_ENF1]]</f>
        <v>7</v>
      </c>
      <c r="R280">
        <f t="shared" si="108"/>
        <v>0.66666666666666663</v>
      </c>
      <c r="S280">
        <f>survey_responses[[#This Row],[Tôi tin rằng với các quy định quản lý thuế hiện nay, hành vi gian lận hoặc trốn thuế sẽ dễ dàng bị phát hiện và xử lý nghiêm. - HUMAN-ENF1]]</f>
        <v>6</v>
      </c>
      <c r="T280">
        <f t="shared" si="109"/>
        <v>0.55555555555555558</v>
      </c>
      <c r="U280">
        <f>step3_validation[[#This Row],[AI_ENF2]]</f>
        <v>6</v>
      </c>
      <c r="V280">
        <f t="shared" si="110"/>
        <v>0.55555555555555558</v>
      </c>
      <c r="W280">
        <f>survey_responses[[#This Row],[Tôi tin rằng Nhà nước, cơ quan thuế có đủ khả năng và công nghệ để phát hiện, xử lý nghiêm các hành vi trốn thuế. - HUMAN-ENF2]]</f>
        <v>7</v>
      </c>
      <c r="X280">
        <f t="shared" si="111"/>
        <v>0.66666666666666663</v>
      </c>
      <c r="Y280" s="32">
        <f t="shared" si="112"/>
        <v>0.61111111111111116</v>
      </c>
      <c r="Z280" s="32">
        <f t="shared" si="113"/>
        <v>0.61111111111111116</v>
      </c>
      <c r="AA280">
        <f>step3_validation[[#This Row],[AI_FAC1]]</f>
        <v>8</v>
      </c>
      <c r="AB280">
        <f t="shared" si="114"/>
        <v>0.77777777777777779</v>
      </c>
      <c r="AC280">
        <f>survey_responses[[#This Row],[Các thủ tục khai báo thuế VÀ/HOẶC quy trình làm việc với cơ quan thuế đơn giản, tiện lợi, nhanh chóng hơn so với trước đây. - HUMAN-FAC1]]</f>
        <v>5</v>
      </c>
      <c r="AD280">
        <f t="shared" si="115"/>
        <v>0.44444444444444442</v>
      </c>
      <c r="AE280">
        <f>step3_validation[[#This Row],[AI_FAC2]]</f>
        <v>9</v>
      </c>
      <c r="AF280">
        <f t="shared" si="116"/>
        <v>0.88888888888888884</v>
      </c>
      <c r="AG280">
        <f>survey_responses[[#This Row],[So với trước đây, tôi thấy cách tính thuế và các bậc thuế trong phương án mới đơn giản, dễ hiểu và dễ thực hiện hơn. - HUMAN-FAC2]]</f>
        <v>8</v>
      </c>
      <c r="AH280">
        <f t="shared" si="117"/>
        <v>0.77777777777777779</v>
      </c>
      <c r="AI280" s="32">
        <f t="shared" si="118"/>
        <v>0.83333333333333326</v>
      </c>
      <c r="AJ280" s="32">
        <f t="shared" si="119"/>
        <v>0.61111111111111116</v>
      </c>
      <c r="AK280">
        <f>step3_validation[[#This Row],[AI_TRU1]]</f>
        <v>7</v>
      </c>
      <c r="AL280">
        <f t="shared" si="120"/>
        <v>0.66666666666666663</v>
      </c>
      <c r="AM280">
        <f>survey_responses[[#This Row],[Tôi tin rằng Nhà nước, cơ quan thuế sẽ thực thi chính sách mới một cách khách quan, công tâm và đối xử bình đẳng với mọi người nộp thuế.  - HUMAN-TRU1]]</f>
        <v>6</v>
      </c>
      <c r="AN280">
        <f t="shared" si="121"/>
        <v>0.55555555555555558</v>
      </c>
      <c r="AO280">
        <f>step3_validation[[#This Row],[AI_TRU2]]</f>
        <v>8</v>
      </c>
      <c r="AP280">
        <f t="shared" si="122"/>
        <v>0.77777777777777779</v>
      </c>
      <c r="AQ280">
        <f>survey_responses[[#This Row],[Tôi thấy mức thuế tôi phải đóng theo phương án mới là công bằng (người thu nhập như tôi đóng mức này là hợp lý). - HUMAN-TRU2]]</f>
        <v>3</v>
      </c>
      <c r="AR280">
        <f t="shared" si="123"/>
        <v>0.22222222222222221</v>
      </c>
      <c r="AS280">
        <f>step3_validation[[#This Row],[AI_TRU3]]</f>
        <v>7</v>
      </c>
      <c r="AT280">
        <f t="shared" si="124"/>
        <v>0.66666666666666663</v>
      </c>
      <c r="AU280">
        <f>survey_responses[[#This Row],[Tôi tin tưởng số tiền thuế tôi đóng sẽ được Nhà nước sử dụng hiệu quả để cải thiện dịch vụ công (y tế, đường xá...). - HUMAN-TRU3]]</f>
        <v>6</v>
      </c>
      <c r="AV280">
        <f t="shared" si="125"/>
        <v>0.55555555555555558</v>
      </c>
      <c r="AW280">
        <f>step3_validation[[#This Row],[AI_TRU4]]</f>
        <v>8</v>
      </c>
      <c r="AX280">
        <f t="shared" si="126"/>
        <v>0.77777777777777779</v>
      </c>
      <c r="AY280">
        <f>survey_responses[[#This Row],[Tôi thấy Nhà nước đã giải thích rõ ràng, minh bạch về lý do và mục tiêu của việc sửa đổi thuế lần này. - HUMAN-TRU4]]</f>
        <v>8</v>
      </c>
      <c r="AZ280">
        <f t="shared" si="127"/>
        <v>0.77777777777777779</v>
      </c>
      <c r="BA280" s="32">
        <f t="shared" si="128"/>
        <v>0.72222222222222221</v>
      </c>
      <c r="BB280" s="32">
        <f t="shared" si="129"/>
        <v>0.52777777777777779</v>
      </c>
      <c r="BC280" s="7">
        <f t="shared" si="130"/>
        <v>0.72222222222222221</v>
      </c>
      <c r="BD280" s="7">
        <f t="shared" si="131"/>
        <v>0.58333333333333337</v>
      </c>
      <c r="BE280">
        <f>step3_validation[[#This Row],[AI_OUT1]]</f>
        <v>9</v>
      </c>
      <c r="BF280">
        <f t="shared" si="132"/>
        <v>0.88888888888888884</v>
      </c>
      <c r="BG280">
        <f>survey_responses[[#This Row],[Sau khi xem xét các quyền lợi và nghĩa vụ, bạn có ủng hộ và tuân thủ chính sách mới hiện nay? - HUMAN-OUT1]]</f>
        <v>6</v>
      </c>
      <c r="BH280">
        <f t="shared" si="133"/>
        <v>0.55555555555555558</v>
      </c>
      <c r="BI280" s="32">
        <f t="shared" si="134"/>
        <v>3</v>
      </c>
    </row>
    <row r="281" spans="1:61" x14ac:dyDescent="0.45">
      <c r="A281" s="30">
        <f>step3_validation[[#This Row],[Persona_ID]]</f>
        <v>280</v>
      </c>
      <c r="B281" s="31">
        <f>step3_validation[[#This Row],[Used_Seed]]</f>
        <v>280</v>
      </c>
      <c r="C281" t="str">
        <f>step3_validation[[#This Row],[Gender]]</f>
        <v>Nữ</v>
      </c>
      <c r="D281" t="str">
        <f>survey_responses[[#This Row],[Giới tính của bạn:]]</f>
        <v>Nữ</v>
      </c>
      <c r="E281" t="str">
        <f>step3_validation[[#This Row],[Age_Group]]</f>
        <v>30 - 39</v>
      </c>
      <c r="F281" t="str">
        <f>survey_responses[[#This Row],[Độ tuổi của bạn:]]</f>
        <v>30 - 39</v>
      </c>
      <c r="G281" t="str">
        <f>step3_validation[[#This Row],[Region]]</f>
        <v>Thành thị</v>
      </c>
      <c r="H281" t="str">
        <f>survey_responses[[#This Row],[Khu vực bạn đang sinh sống:]]</f>
        <v>Thành thị</v>
      </c>
      <c r="I281" t="str">
        <f>step3_validation[[#This Row],[Education]]</f>
        <v>Sau Đại học</v>
      </c>
      <c r="J281" t="str">
        <f>survey_responses[[#This Row],[Trình độ học vấn cao nhất:]]</f>
        <v>Sau Đại học</v>
      </c>
      <c r="K281" t="str">
        <f>step3_validation[[#This Row],[Employment]]</f>
        <v>Chính thức</v>
      </c>
      <c r="L281" t="str">
        <f>survey_responses[[#This Row],[Tình trạng việc làm chính:]]</f>
        <v>Khu vực chính thức (Có Hợp đồng lao động, đóng BHXH)</v>
      </c>
      <c r="M281">
        <f>step3_validation[[#This Row],[Income_Mil]]</f>
        <v>100.92429770064602</v>
      </c>
      <c r="N281" t="str">
        <f>survey_responses[[#This Row],[Thu nhập bình quân tháng theo Hợp đồng lao động của bạn là bao nhiêu? (Vui lòng điền tổng thu nhập trước khi khấu trừ các loại Bảo hiểm (BHXH, BHYT, BHTN) và Thuế TNCN)]]</f>
        <v>Từ 70 - 102 triệu VNĐ</v>
      </c>
      <c r="O281">
        <f>step3_validation[[#This Row],[Dependents]]</f>
        <v>2</v>
      </c>
      <c r="P281" t="str">
        <f>survey_responses[[#This Row],[Số người phụ thuộc (con nhỏ, cha mẹ già...) đủ điều kiện giảm trừ gia cảnh:]]</f>
        <v>2 người</v>
      </c>
      <c r="Q281">
        <f>step3_validation[[#This Row],[AI_ENF1]]</f>
        <v>8</v>
      </c>
      <c r="R281">
        <f t="shared" si="108"/>
        <v>0.77777777777777779</v>
      </c>
      <c r="S281">
        <f>survey_responses[[#This Row],[Tôi tin rằng với các quy định quản lý thuế hiện nay, hành vi gian lận hoặc trốn thuế sẽ dễ dàng bị phát hiện và xử lý nghiêm. - HUMAN-ENF1]]</f>
        <v>4</v>
      </c>
      <c r="T281">
        <f t="shared" si="109"/>
        <v>0.33333333333333331</v>
      </c>
      <c r="U281">
        <f>step3_validation[[#This Row],[AI_ENF2]]</f>
        <v>9</v>
      </c>
      <c r="V281">
        <f t="shared" si="110"/>
        <v>0.88888888888888884</v>
      </c>
      <c r="W281">
        <f>survey_responses[[#This Row],[Tôi tin rằng Nhà nước, cơ quan thuế có đủ khả năng và công nghệ để phát hiện, xử lý nghiêm các hành vi trốn thuế. - HUMAN-ENF2]]</f>
        <v>4</v>
      </c>
      <c r="X281">
        <f t="shared" si="111"/>
        <v>0.33333333333333331</v>
      </c>
      <c r="Y281" s="32">
        <f t="shared" si="112"/>
        <v>0.83333333333333326</v>
      </c>
      <c r="Z281" s="32">
        <f t="shared" si="113"/>
        <v>0.33333333333333331</v>
      </c>
      <c r="AA281">
        <f>step3_validation[[#This Row],[AI_FAC1]]</f>
        <v>7</v>
      </c>
      <c r="AB281">
        <f t="shared" si="114"/>
        <v>0.66666666666666663</v>
      </c>
      <c r="AC281">
        <f>survey_responses[[#This Row],[Các thủ tục khai báo thuế VÀ/HOẶC quy trình làm việc với cơ quan thuế đơn giản, tiện lợi, nhanh chóng hơn so với trước đây. - HUMAN-FAC1]]</f>
        <v>1</v>
      </c>
      <c r="AD281">
        <f t="shared" si="115"/>
        <v>0</v>
      </c>
      <c r="AE281">
        <f>step3_validation[[#This Row],[AI_FAC2]]</f>
        <v>9</v>
      </c>
      <c r="AF281">
        <f t="shared" si="116"/>
        <v>0.88888888888888884</v>
      </c>
      <c r="AG281">
        <f>survey_responses[[#This Row],[So với trước đây, tôi thấy cách tính thuế và các bậc thuế trong phương án mới đơn giản, dễ hiểu và dễ thực hiện hơn. - HUMAN-FAC2]]</f>
        <v>6</v>
      </c>
      <c r="AH281">
        <f t="shared" si="117"/>
        <v>0.55555555555555558</v>
      </c>
      <c r="AI281" s="32">
        <f t="shared" si="118"/>
        <v>0.77777777777777768</v>
      </c>
      <c r="AJ281" s="32">
        <f t="shared" si="119"/>
        <v>0.27777777777777779</v>
      </c>
      <c r="AK281">
        <f>step3_validation[[#This Row],[AI_TRU1]]</f>
        <v>7</v>
      </c>
      <c r="AL281">
        <f t="shared" si="120"/>
        <v>0.66666666666666663</v>
      </c>
      <c r="AM281">
        <f>survey_responses[[#This Row],[Tôi tin rằng Nhà nước, cơ quan thuế sẽ thực thi chính sách mới một cách khách quan, công tâm và đối xử bình đẳng với mọi người nộp thuế.  - HUMAN-TRU1]]</f>
        <v>3</v>
      </c>
      <c r="AN281">
        <f t="shared" si="121"/>
        <v>0.22222222222222221</v>
      </c>
      <c r="AO281">
        <f>step3_validation[[#This Row],[AI_TRU2]]</f>
        <v>8</v>
      </c>
      <c r="AP281">
        <f t="shared" si="122"/>
        <v>0.77777777777777779</v>
      </c>
      <c r="AQ281">
        <f>survey_responses[[#This Row],[Tôi thấy mức thuế tôi phải đóng theo phương án mới là công bằng (người thu nhập như tôi đóng mức này là hợp lý). - HUMAN-TRU2]]</f>
        <v>2</v>
      </c>
      <c r="AR281">
        <f t="shared" si="123"/>
        <v>0.1111111111111111</v>
      </c>
      <c r="AS281">
        <f>step3_validation[[#This Row],[AI_TRU3]]</f>
        <v>7</v>
      </c>
      <c r="AT281">
        <f t="shared" si="124"/>
        <v>0.66666666666666663</v>
      </c>
      <c r="AU281">
        <f>survey_responses[[#This Row],[Tôi tin tưởng số tiền thuế tôi đóng sẽ được Nhà nước sử dụng hiệu quả để cải thiện dịch vụ công (y tế, đường xá...). - HUMAN-TRU3]]</f>
        <v>1</v>
      </c>
      <c r="AV281">
        <f t="shared" si="125"/>
        <v>0</v>
      </c>
      <c r="AW281">
        <f>step3_validation[[#This Row],[AI_TRU4]]</f>
        <v>6</v>
      </c>
      <c r="AX281">
        <f t="shared" si="126"/>
        <v>0.55555555555555558</v>
      </c>
      <c r="AY281">
        <f>survey_responses[[#This Row],[Tôi thấy Nhà nước đã giải thích rõ ràng, minh bạch về lý do và mục tiêu của việc sửa đổi thuế lần này. - HUMAN-TRU4]]</f>
        <v>5</v>
      </c>
      <c r="AZ281">
        <f t="shared" si="127"/>
        <v>0.44444444444444442</v>
      </c>
      <c r="BA281" s="32">
        <f t="shared" si="128"/>
        <v>0.66666666666666674</v>
      </c>
      <c r="BB281" s="32">
        <f t="shared" si="129"/>
        <v>0.19444444444444442</v>
      </c>
      <c r="BC281" s="7">
        <f t="shared" si="130"/>
        <v>0.75925925925925919</v>
      </c>
      <c r="BD281" s="7">
        <f t="shared" si="131"/>
        <v>0.26851851851851855</v>
      </c>
      <c r="BE281">
        <f>step3_validation[[#This Row],[AI_OUT1]]</f>
        <v>8</v>
      </c>
      <c r="BF281">
        <f t="shared" si="132"/>
        <v>0.77777777777777779</v>
      </c>
      <c r="BG281">
        <f>survey_responses[[#This Row],[Sau khi xem xét các quyền lợi và nghĩa vụ, bạn có ủng hộ và tuân thủ chính sách mới hiện nay? - HUMAN-OUT1]]</f>
        <v>4</v>
      </c>
      <c r="BH281">
        <f t="shared" si="133"/>
        <v>0.33333333333333331</v>
      </c>
      <c r="BI281" s="32">
        <f t="shared" si="134"/>
        <v>4</v>
      </c>
    </row>
    <row r="282" spans="1:61" x14ac:dyDescent="0.45">
      <c r="A282" s="30">
        <f>step3_validation[[#This Row],[Persona_ID]]</f>
        <v>281</v>
      </c>
      <c r="B282" s="31">
        <f>step3_validation[[#This Row],[Used_Seed]]</f>
        <v>281</v>
      </c>
      <c r="C282" t="str">
        <f>step3_validation[[#This Row],[Gender]]</f>
        <v>Nữ</v>
      </c>
      <c r="D282" t="str">
        <f>survey_responses[[#This Row],[Giới tính của bạn:]]</f>
        <v>Nữ</v>
      </c>
      <c r="E282" t="str">
        <f>step3_validation[[#This Row],[Age_Group]]</f>
        <v>40 - 49</v>
      </c>
      <c r="F282" t="str">
        <f>survey_responses[[#This Row],[Độ tuổi của bạn:]]</f>
        <v>40 - 49</v>
      </c>
      <c r="G282" t="str">
        <f>step3_validation[[#This Row],[Region]]</f>
        <v>Thành thị</v>
      </c>
      <c r="H282" t="str">
        <f>survey_responses[[#This Row],[Khu vực bạn đang sinh sống:]]</f>
        <v>Thành thị</v>
      </c>
      <c r="I282" t="str">
        <f>step3_validation[[#This Row],[Education]]</f>
        <v>Sau Đại học</v>
      </c>
      <c r="J282" t="str">
        <f>survey_responses[[#This Row],[Trình độ học vấn cao nhất:]]</f>
        <v>Sau Đại học</v>
      </c>
      <c r="K282" t="str">
        <f>step3_validation[[#This Row],[Employment]]</f>
        <v>Chính thức</v>
      </c>
      <c r="L282" t="str">
        <f>survey_responses[[#This Row],[Tình trạng việc làm chính:]]</f>
        <v>Khu vực chính thức (Có Hợp đồng lao động, đóng BHXH)</v>
      </c>
      <c r="M282">
        <f>step3_validation[[#This Row],[Income_Mil]]</f>
        <v>83.770364150577592</v>
      </c>
      <c r="N282" t="str">
        <f>survey_responses[[#This Row],[Thu nhập bình quân tháng theo Hợp đồng lao động của bạn là bao nhiêu? (Vui lòng điền tổng thu nhập trước khi khấu trừ các loại Bảo hiểm (BHXH, BHYT, BHTN) và Thuế TNCN)]]</f>
        <v>Từ 70 - 102 triệu VNĐ</v>
      </c>
      <c r="O282">
        <f>step3_validation[[#This Row],[Dependents]]</f>
        <v>3</v>
      </c>
      <c r="P282" t="str">
        <f>survey_responses[[#This Row],[Số người phụ thuộc (con nhỏ, cha mẹ già...) đủ điều kiện giảm trừ gia cảnh:]]</f>
        <v>3 người</v>
      </c>
      <c r="Q282">
        <f>step3_validation[[#This Row],[AI_ENF1]]</f>
        <v>7</v>
      </c>
      <c r="R282">
        <f t="shared" si="108"/>
        <v>0.66666666666666663</v>
      </c>
      <c r="S282">
        <f>survey_responses[[#This Row],[Tôi tin rằng với các quy định quản lý thuế hiện nay, hành vi gian lận hoặc trốn thuế sẽ dễ dàng bị phát hiện và xử lý nghiêm. - HUMAN-ENF1]]</f>
        <v>6</v>
      </c>
      <c r="T282">
        <f t="shared" si="109"/>
        <v>0.55555555555555558</v>
      </c>
      <c r="U282">
        <f>step3_validation[[#This Row],[AI_ENF2]]</f>
        <v>9</v>
      </c>
      <c r="V282">
        <f t="shared" si="110"/>
        <v>0.88888888888888884</v>
      </c>
      <c r="W282">
        <f>survey_responses[[#This Row],[Tôi tin rằng Nhà nước, cơ quan thuế có đủ khả năng và công nghệ để phát hiện, xử lý nghiêm các hành vi trốn thuế. - HUMAN-ENF2]]</f>
        <v>7</v>
      </c>
      <c r="X282">
        <f t="shared" si="111"/>
        <v>0.66666666666666663</v>
      </c>
      <c r="Y282" s="32">
        <f t="shared" si="112"/>
        <v>0.77777777777777768</v>
      </c>
      <c r="Z282" s="32">
        <f t="shared" si="113"/>
        <v>0.61111111111111116</v>
      </c>
      <c r="AA282">
        <f>step3_validation[[#This Row],[AI_FAC1]]</f>
        <v>8</v>
      </c>
      <c r="AB282">
        <f t="shared" si="114"/>
        <v>0.77777777777777779</v>
      </c>
      <c r="AC282">
        <f>survey_responses[[#This Row],[Các thủ tục khai báo thuế VÀ/HOẶC quy trình làm việc với cơ quan thuế đơn giản, tiện lợi, nhanh chóng hơn so với trước đây. - HUMAN-FAC1]]</f>
        <v>4</v>
      </c>
      <c r="AD282">
        <f t="shared" si="115"/>
        <v>0.33333333333333331</v>
      </c>
      <c r="AE282">
        <f>step3_validation[[#This Row],[AI_FAC2]]</f>
        <v>9</v>
      </c>
      <c r="AF282">
        <f t="shared" si="116"/>
        <v>0.88888888888888884</v>
      </c>
      <c r="AG282">
        <f>survey_responses[[#This Row],[So với trước đây, tôi thấy cách tính thuế và các bậc thuế trong phương án mới đơn giản, dễ hiểu và dễ thực hiện hơn. - HUMAN-FAC2]]</f>
        <v>8</v>
      </c>
      <c r="AH282">
        <f t="shared" si="117"/>
        <v>0.77777777777777779</v>
      </c>
      <c r="AI282" s="32">
        <f t="shared" si="118"/>
        <v>0.83333333333333326</v>
      </c>
      <c r="AJ282" s="32">
        <f t="shared" si="119"/>
        <v>0.55555555555555558</v>
      </c>
      <c r="AK282">
        <f>step3_validation[[#This Row],[AI_TRU1]]</f>
        <v>8</v>
      </c>
      <c r="AL282">
        <f t="shared" si="120"/>
        <v>0.77777777777777779</v>
      </c>
      <c r="AM282">
        <f>survey_responses[[#This Row],[Tôi tin rằng Nhà nước, cơ quan thuế sẽ thực thi chính sách mới một cách khách quan, công tâm và đối xử bình đẳng với mọi người nộp thuế.  - HUMAN-TRU1]]</f>
        <v>6</v>
      </c>
      <c r="AN282">
        <f t="shared" si="121"/>
        <v>0.55555555555555558</v>
      </c>
      <c r="AO282">
        <f>step3_validation[[#This Row],[AI_TRU2]]</f>
        <v>9</v>
      </c>
      <c r="AP282">
        <f t="shared" si="122"/>
        <v>0.88888888888888884</v>
      </c>
      <c r="AQ282">
        <f>survey_responses[[#This Row],[Tôi thấy mức thuế tôi phải đóng theo phương án mới là công bằng (người thu nhập như tôi đóng mức này là hợp lý). - HUMAN-TRU2]]</f>
        <v>6</v>
      </c>
      <c r="AR282">
        <f t="shared" si="123"/>
        <v>0.55555555555555558</v>
      </c>
      <c r="AS282">
        <f>step3_validation[[#This Row],[AI_TRU3]]</f>
        <v>8</v>
      </c>
      <c r="AT282">
        <f t="shared" si="124"/>
        <v>0.77777777777777779</v>
      </c>
      <c r="AU282">
        <f>survey_responses[[#This Row],[Tôi tin tưởng số tiền thuế tôi đóng sẽ được Nhà nước sử dụng hiệu quả để cải thiện dịch vụ công (y tế, đường xá...). - HUMAN-TRU3]]</f>
        <v>5</v>
      </c>
      <c r="AV282">
        <f t="shared" si="125"/>
        <v>0.44444444444444442</v>
      </c>
      <c r="AW282">
        <f>step3_validation[[#This Row],[AI_TRU4]]</f>
        <v>9</v>
      </c>
      <c r="AX282">
        <f t="shared" si="126"/>
        <v>0.88888888888888884</v>
      </c>
      <c r="AY282">
        <f>survey_responses[[#This Row],[Tôi thấy Nhà nước đã giải thích rõ ràng, minh bạch về lý do và mục tiêu của việc sửa đổi thuế lần này. - HUMAN-TRU4]]</f>
        <v>7</v>
      </c>
      <c r="AZ282">
        <f t="shared" si="127"/>
        <v>0.66666666666666663</v>
      </c>
      <c r="BA282" s="32">
        <f t="shared" si="128"/>
        <v>0.83333333333333326</v>
      </c>
      <c r="BB282" s="32">
        <f t="shared" si="129"/>
        <v>0.55555555555555558</v>
      </c>
      <c r="BC282" s="7">
        <f t="shared" si="130"/>
        <v>0.81481481481481477</v>
      </c>
      <c r="BD282" s="7">
        <f t="shared" si="131"/>
        <v>0.57407407407407407</v>
      </c>
      <c r="BE282">
        <f>step3_validation[[#This Row],[AI_OUT1]]</f>
        <v>9</v>
      </c>
      <c r="BF282">
        <f t="shared" si="132"/>
        <v>0.88888888888888884</v>
      </c>
      <c r="BG282">
        <f>survey_responses[[#This Row],[Sau khi xem xét các quyền lợi và nghĩa vụ, bạn có ủng hộ và tuân thủ chính sách mới hiện nay? - HUMAN-OUT1]]</f>
        <v>6</v>
      </c>
      <c r="BH282">
        <f t="shared" si="133"/>
        <v>0.55555555555555558</v>
      </c>
      <c r="BI282" s="32">
        <f t="shared" si="134"/>
        <v>3</v>
      </c>
    </row>
    <row r="283" spans="1:61" x14ac:dyDescent="0.45">
      <c r="A283" s="30">
        <f>step3_validation[[#This Row],[Persona_ID]]</f>
        <v>282</v>
      </c>
      <c r="B283" s="31">
        <f>step3_validation[[#This Row],[Used_Seed]]</f>
        <v>282</v>
      </c>
      <c r="C283" t="str">
        <f>step3_validation[[#This Row],[Gender]]</f>
        <v>Nữ</v>
      </c>
      <c r="D283" t="str">
        <f>survey_responses[[#This Row],[Giới tính của bạn:]]</f>
        <v>Nữ</v>
      </c>
      <c r="E283" t="str">
        <f>step3_validation[[#This Row],[Age_Group]]</f>
        <v>55 - 64</v>
      </c>
      <c r="F283" t="str">
        <f>survey_responses[[#This Row],[Độ tuổi của bạn:]]</f>
        <v>55 - 64</v>
      </c>
      <c r="G283" t="str">
        <f>step3_validation[[#This Row],[Region]]</f>
        <v>Thành thị</v>
      </c>
      <c r="H283" t="str">
        <f>survey_responses[[#This Row],[Khu vực bạn đang sinh sống:]]</f>
        <v>Thành thị</v>
      </c>
      <c r="I283" t="str">
        <f>step3_validation[[#This Row],[Education]]</f>
        <v>Sau Đại học</v>
      </c>
      <c r="J283" t="str">
        <f>survey_responses[[#This Row],[Trình độ học vấn cao nhất:]]</f>
        <v>Sau Đại học</v>
      </c>
      <c r="K283" t="str">
        <f>step3_validation[[#This Row],[Employment]]</f>
        <v>Chính thức</v>
      </c>
      <c r="L283" t="str">
        <f>survey_responses[[#This Row],[Tình trạng việc làm chính:]]</f>
        <v>Khu vực chính thức (Có Hợp đồng lao động, đóng BHXH)</v>
      </c>
      <c r="M283">
        <f>step3_validation[[#This Row],[Income_Mil]]</f>
        <v>194.43030062739999</v>
      </c>
      <c r="N283" t="str">
        <f>survey_responses[[#This Row],[Thu nhập bình quân tháng theo Hợp đồng lao động của bạn là bao nhiêu? (Vui lòng điền tổng thu nhập trước khi khấu trừ các loại Bảo hiểm (BHXH, BHYT, BHTN) và Thuế TNCN)]]</f>
        <v>Trên 102 triệu VNĐ</v>
      </c>
      <c r="O283">
        <f>step3_validation[[#This Row],[Dependents]]</f>
        <v>4</v>
      </c>
      <c r="P283" t="str">
        <f>survey_responses[[#This Row],[Số người phụ thuộc (con nhỏ, cha mẹ già...) đủ điều kiện giảm trừ gia cảnh:]]</f>
        <v>4 người trở lên</v>
      </c>
      <c r="Q283">
        <f>step3_validation[[#This Row],[AI_ENF1]]</f>
        <v>6</v>
      </c>
      <c r="R283">
        <f t="shared" si="108"/>
        <v>0.55555555555555558</v>
      </c>
      <c r="S283">
        <f>survey_responses[[#This Row],[Tôi tin rằng với các quy định quản lý thuế hiện nay, hành vi gian lận hoặc trốn thuế sẽ dễ dàng bị phát hiện và xử lý nghiêm. - HUMAN-ENF1]]</f>
        <v>8</v>
      </c>
      <c r="T283">
        <f t="shared" si="109"/>
        <v>0.77777777777777779</v>
      </c>
      <c r="U283">
        <f>step3_validation[[#This Row],[AI_ENF2]]</f>
        <v>5</v>
      </c>
      <c r="V283">
        <f t="shared" si="110"/>
        <v>0.44444444444444442</v>
      </c>
      <c r="W283">
        <f>survey_responses[[#This Row],[Tôi tin rằng Nhà nước, cơ quan thuế có đủ khả năng và công nghệ để phát hiện, xử lý nghiêm các hành vi trốn thuế. - HUMAN-ENF2]]</f>
        <v>8</v>
      </c>
      <c r="X283">
        <f t="shared" si="111"/>
        <v>0.77777777777777779</v>
      </c>
      <c r="Y283" s="32">
        <f t="shared" si="112"/>
        <v>0.5</v>
      </c>
      <c r="Z283" s="32">
        <f t="shared" si="113"/>
        <v>0.77777777777777779</v>
      </c>
      <c r="AA283">
        <f>step3_validation[[#This Row],[AI_FAC1]]</f>
        <v>8</v>
      </c>
      <c r="AB283">
        <f t="shared" si="114"/>
        <v>0.77777777777777779</v>
      </c>
      <c r="AC283">
        <f>survey_responses[[#This Row],[Các thủ tục khai báo thuế VÀ/HOẶC quy trình làm việc với cơ quan thuế đơn giản, tiện lợi, nhanh chóng hơn so với trước đây. - HUMAN-FAC1]]</f>
        <v>9</v>
      </c>
      <c r="AD283">
        <f t="shared" si="115"/>
        <v>0.88888888888888884</v>
      </c>
      <c r="AE283">
        <f>step3_validation[[#This Row],[AI_FAC2]]</f>
        <v>9</v>
      </c>
      <c r="AF283">
        <f t="shared" si="116"/>
        <v>0.88888888888888884</v>
      </c>
      <c r="AG283">
        <f>survey_responses[[#This Row],[So với trước đây, tôi thấy cách tính thuế và các bậc thuế trong phương án mới đơn giản, dễ hiểu và dễ thực hiện hơn. - HUMAN-FAC2]]</f>
        <v>9</v>
      </c>
      <c r="AH283">
        <f t="shared" si="117"/>
        <v>0.88888888888888884</v>
      </c>
      <c r="AI283" s="32">
        <f t="shared" si="118"/>
        <v>0.83333333333333326</v>
      </c>
      <c r="AJ283" s="32">
        <f t="shared" si="119"/>
        <v>0.88888888888888884</v>
      </c>
      <c r="AK283">
        <f>step3_validation[[#This Row],[AI_TRU1]]</f>
        <v>7</v>
      </c>
      <c r="AL283">
        <f t="shared" si="120"/>
        <v>0.66666666666666663</v>
      </c>
      <c r="AM283">
        <f>survey_responses[[#This Row],[Tôi tin rằng Nhà nước, cơ quan thuế sẽ thực thi chính sách mới một cách khách quan, công tâm và đối xử bình đẳng với mọi người nộp thuế.  - HUMAN-TRU1]]</f>
        <v>7</v>
      </c>
      <c r="AN283">
        <f t="shared" si="121"/>
        <v>0.66666666666666663</v>
      </c>
      <c r="AO283">
        <f>step3_validation[[#This Row],[AI_TRU2]]</f>
        <v>8</v>
      </c>
      <c r="AP283">
        <f t="shared" si="122"/>
        <v>0.77777777777777779</v>
      </c>
      <c r="AQ283">
        <f>survey_responses[[#This Row],[Tôi thấy mức thuế tôi phải đóng theo phương án mới là công bằng (người thu nhập như tôi đóng mức này là hợp lý). - HUMAN-TRU2]]</f>
        <v>8</v>
      </c>
      <c r="AR283">
        <f t="shared" si="123"/>
        <v>0.77777777777777779</v>
      </c>
      <c r="AS283">
        <f>step3_validation[[#This Row],[AI_TRU3]]</f>
        <v>7</v>
      </c>
      <c r="AT283">
        <f t="shared" si="124"/>
        <v>0.66666666666666663</v>
      </c>
      <c r="AU283">
        <f>survey_responses[[#This Row],[Tôi tin tưởng số tiền thuế tôi đóng sẽ được Nhà nước sử dụng hiệu quả để cải thiện dịch vụ công (y tế, đường xá...). - HUMAN-TRU3]]</f>
        <v>8</v>
      </c>
      <c r="AV283">
        <f t="shared" si="125"/>
        <v>0.77777777777777779</v>
      </c>
      <c r="AW283">
        <f>step3_validation[[#This Row],[AI_TRU4]]</f>
        <v>8</v>
      </c>
      <c r="AX283">
        <f t="shared" si="126"/>
        <v>0.77777777777777779</v>
      </c>
      <c r="AY283">
        <f>survey_responses[[#This Row],[Tôi thấy Nhà nước đã giải thích rõ ràng, minh bạch về lý do và mục tiêu của việc sửa đổi thuế lần này. - HUMAN-TRU4]]</f>
        <v>8</v>
      </c>
      <c r="AZ283">
        <f t="shared" si="127"/>
        <v>0.77777777777777779</v>
      </c>
      <c r="BA283" s="32">
        <f t="shared" si="128"/>
        <v>0.72222222222222221</v>
      </c>
      <c r="BB283" s="32">
        <f t="shared" si="129"/>
        <v>0.75</v>
      </c>
      <c r="BC283" s="7">
        <f t="shared" si="130"/>
        <v>0.68518518518518512</v>
      </c>
      <c r="BD283" s="7">
        <f t="shared" si="131"/>
        <v>0.80555555555555547</v>
      </c>
      <c r="BE283">
        <f>step3_validation[[#This Row],[AI_OUT1]]</f>
        <v>9</v>
      </c>
      <c r="BF283">
        <f t="shared" si="132"/>
        <v>0.88888888888888884</v>
      </c>
      <c r="BG283">
        <f>survey_responses[[#This Row],[Sau khi xem xét các quyền lợi và nghĩa vụ, bạn có ủng hộ và tuân thủ chính sách mới hiện nay? - HUMAN-OUT1]]</f>
        <v>7</v>
      </c>
      <c r="BH283">
        <f t="shared" si="133"/>
        <v>0.66666666666666663</v>
      </c>
      <c r="BI283" s="32">
        <f t="shared" si="134"/>
        <v>2</v>
      </c>
    </row>
    <row r="284" spans="1:61" x14ac:dyDescent="0.45">
      <c r="A284" s="30">
        <f>step3_validation[[#This Row],[Persona_ID]]</f>
        <v>283</v>
      </c>
      <c r="B284" s="31">
        <f>step3_validation[[#This Row],[Used_Seed]]</f>
        <v>283</v>
      </c>
      <c r="C284" t="str">
        <f>step3_validation[[#This Row],[Gender]]</f>
        <v>Nữ</v>
      </c>
      <c r="D284" t="str">
        <f>survey_responses[[#This Row],[Giới tính của bạn:]]</f>
        <v>Nữ</v>
      </c>
      <c r="E284" t="str">
        <f>step3_validation[[#This Row],[Age_Group]]</f>
        <v>40 - 49</v>
      </c>
      <c r="F284" t="str">
        <f>survey_responses[[#This Row],[Độ tuổi của bạn:]]</f>
        <v>40 - 49</v>
      </c>
      <c r="G284" t="str">
        <f>step3_validation[[#This Row],[Region]]</f>
        <v>Thành thị</v>
      </c>
      <c r="H284" t="str">
        <f>survey_responses[[#This Row],[Khu vực bạn đang sinh sống:]]</f>
        <v>Thành thị</v>
      </c>
      <c r="I284" t="str">
        <f>step3_validation[[#This Row],[Education]]</f>
        <v>Đại học</v>
      </c>
      <c r="J284" t="str">
        <f>survey_responses[[#This Row],[Trình độ học vấn cao nhất:]]</f>
        <v>Đại học</v>
      </c>
      <c r="K284" t="str">
        <f>step3_validation[[#This Row],[Employment]]</f>
        <v>Chính thức</v>
      </c>
      <c r="L284" t="str">
        <f>survey_responses[[#This Row],[Tình trạng việc làm chính:]]</f>
        <v>Khu vực chính thức (Có Hợp đồng lao động, đóng BHXH)</v>
      </c>
      <c r="M284">
        <f>step3_validation[[#This Row],[Income_Mil]]</f>
        <v>63.658553002604641</v>
      </c>
      <c r="N284" t="str">
        <f>survey_responses[[#This Row],[Thu nhập bình quân tháng theo Hợp đồng lao động của bạn là bao nhiêu? (Vui lòng điền tổng thu nhập trước khi khấu trừ các loại Bảo hiểm (BHXH, BHYT, BHTN) và Thuế TNCN)]]</f>
        <v>Từ 48 - 70 triệu VNĐ</v>
      </c>
      <c r="O284">
        <f>step3_validation[[#This Row],[Dependents]]</f>
        <v>2</v>
      </c>
      <c r="P284" t="str">
        <f>survey_responses[[#This Row],[Số người phụ thuộc (con nhỏ, cha mẹ già...) đủ điều kiện giảm trừ gia cảnh:]]</f>
        <v>2 người</v>
      </c>
      <c r="Q284">
        <f>step3_validation[[#This Row],[AI_ENF1]]</f>
        <v>7</v>
      </c>
      <c r="R284">
        <f t="shared" si="108"/>
        <v>0.66666666666666663</v>
      </c>
      <c r="S284">
        <f>survey_responses[[#This Row],[Tôi tin rằng với các quy định quản lý thuế hiện nay, hành vi gian lận hoặc trốn thuế sẽ dễ dàng bị phát hiện và xử lý nghiêm. - HUMAN-ENF1]]</f>
        <v>5</v>
      </c>
      <c r="T284">
        <f t="shared" si="109"/>
        <v>0.44444444444444442</v>
      </c>
      <c r="U284">
        <f>step3_validation[[#This Row],[AI_ENF2]]</f>
        <v>8</v>
      </c>
      <c r="V284">
        <f t="shared" si="110"/>
        <v>0.77777777777777779</v>
      </c>
      <c r="W284">
        <f>survey_responses[[#This Row],[Tôi tin rằng Nhà nước, cơ quan thuế có đủ khả năng và công nghệ để phát hiện, xử lý nghiêm các hành vi trốn thuế. - HUMAN-ENF2]]</f>
        <v>5</v>
      </c>
      <c r="X284">
        <f t="shared" si="111"/>
        <v>0.44444444444444442</v>
      </c>
      <c r="Y284" s="32">
        <f t="shared" si="112"/>
        <v>0.72222222222222221</v>
      </c>
      <c r="Z284" s="32">
        <f t="shared" si="113"/>
        <v>0.44444444444444442</v>
      </c>
      <c r="AA284">
        <f>step3_validation[[#This Row],[AI_FAC1]]</f>
        <v>9</v>
      </c>
      <c r="AB284">
        <f t="shared" si="114"/>
        <v>0.88888888888888884</v>
      </c>
      <c r="AC284">
        <f>survey_responses[[#This Row],[Các thủ tục khai báo thuế VÀ/HOẶC quy trình làm việc với cơ quan thuế đơn giản, tiện lợi, nhanh chóng hơn so với trước đây. - HUMAN-FAC1]]</f>
        <v>2</v>
      </c>
      <c r="AD284">
        <f t="shared" si="115"/>
        <v>0.1111111111111111</v>
      </c>
      <c r="AE284">
        <f>step3_validation[[#This Row],[AI_FAC2]]</f>
        <v>8</v>
      </c>
      <c r="AF284">
        <f t="shared" si="116"/>
        <v>0.77777777777777779</v>
      </c>
      <c r="AG284">
        <f>survey_responses[[#This Row],[So với trước đây, tôi thấy cách tính thuế và các bậc thuế trong phương án mới đơn giản, dễ hiểu và dễ thực hiện hơn. - HUMAN-FAC2]]</f>
        <v>6</v>
      </c>
      <c r="AH284">
        <f t="shared" si="117"/>
        <v>0.55555555555555558</v>
      </c>
      <c r="AI284" s="32">
        <f t="shared" si="118"/>
        <v>0.83333333333333326</v>
      </c>
      <c r="AJ284" s="32">
        <f t="shared" si="119"/>
        <v>0.33333333333333337</v>
      </c>
      <c r="AK284">
        <f>step3_validation[[#This Row],[AI_TRU1]]</f>
        <v>9</v>
      </c>
      <c r="AL284">
        <f t="shared" si="120"/>
        <v>0.88888888888888884</v>
      </c>
      <c r="AM284">
        <f>survey_responses[[#This Row],[Tôi tin rằng Nhà nước, cơ quan thuế sẽ thực thi chính sách mới một cách khách quan, công tâm và đối xử bình đẳng với mọi người nộp thuế.  - HUMAN-TRU1]]</f>
        <v>5</v>
      </c>
      <c r="AN284">
        <f t="shared" si="121"/>
        <v>0.44444444444444442</v>
      </c>
      <c r="AO284">
        <f>step3_validation[[#This Row],[AI_TRU2]]</f>
        <v>9</v>
      </c>
      <c r="AP284">
        <f t="shared" si="122"/>
        <v>0.88888888888888884</v>
      </c>
      <c r="AQ284">
        <f>survey_responses[[#This Row],[Tôi thấy mức thuế tôi phải đóng theo phương án mới là công bằng (người thu nhập như tôi đóng mức này là hợp lý). - HUMAN-TRU2]]</f>
        <v>4</v>
      </c>
      <c r="AR284">
        <f t="shared" si="123"/>
        <v>0.33333333333333331</v>
      </c>
      <c r="AS284">
        <f>step3_validation[[#This Row],[AI_TRU3]]</f>
        <v>8</v>
      </c>
      <c r="AT284">
        <f t="shared" si="124"/>
        <v>0.77777777777777779</v>
      </c>
      <c r="AU284">
        <f>survey_responses[[#This Row],[Tôi tin tưởng số tiền thuế tôi đóng sẽ được Nhà nước sử dụng hiệu quả để cải thiện dịch vụ công (y tế, đường xá...). - HUMAN-TRU3]]</f>
        <v>5</v>
      </c>
      <c r="AV284">
        <f t="shared" si="125"/>
        <v>0.44444444444444442</v>
      </c>
      <c r="AW284">
        <f>step3_validation[[#This Row],[AI_TRU4]]</f>
        <v>9</v>
      </c>
      <c r="AX284">
        <f t="shared" si="126"/>
        <v>0.88888888888888884</v>
      </c>
      <c r="AY284">
        <f>survey_responses[[#This Row],[Tôi thấy Nhà nước đã giải thích rõ ràng, minh bạch về lý do và mục tiêu của việc sửa đổi thuế lần này. - HUMAN-TRU4]]</f>
        <v>5</v>
      </c>
      <c r="AZ284">
        <f t="shared" si="127"/>
        <v>0.44444444444444442</v>
      </c>
      <c r="BA284" s="32">
        <f t="shared" si="128"/>
        <v>0.86111111111111105</v>
      </c>
      <c r="BB284" s="32">
        <f t="shared" si="129"/>
        <v>0.41666666666666663</v>
      </c>
      <c r="BC284" s="7">
        <f t="shared" si="130"/>
        <v>0.80555555555555547</v>
      </c>
      <c r="BD284" s="7">
        <f t="shared" si="131"/>
        <v>0.39814814814814814</v>
      </c>
      <c r="BE284">
        <f>step3_validation[[#This Row],[AI_OUT1]]</f>
        <v>9</v>
      </c>
      <c r="BF284">
        <f t="shared" si="132"/>
        <v>0.88888888888888884</v>
      </c>
      <c r="BG284">
        <f>survey_responses[[#This Row],[Sau khi xem xét các quyền lợi và nghĩa vụ, bạn có ủng hộ và tuân thủ chính sách mới hiện nay? - HUMAN-OUT1]]</f>
        <v>4</v>
      </c>
      <c r="BH284">
        <f t="shared" si="133"/>
        <v>0.33333333333333331</v>
      </c>
      <c r="BI284" s="32">
        <f t="shared" si="134"/>
        <v>5</v>
      </c>
    </row>
    <row r="285" spans="1:61" x14ac:dyDescent="0.45">
      <c r="A285" s="30">
        <f>step3_validation[[#This Row],[Persona_ID]]</f>
        <v>284</v>
      </c>
      <c r="B285" s="31">
        <f>step3_validation[[#This Row],[Used_Seed]]</f>
        <v>284</v>
      </c>
      <c r="C285" t="str">
        <f>step3_validation[[#This Row],[Gender]]</f>
        <v>Nam</v>
      </c>
      <c r="D285" t="str">
        <f>survey_responses[[#This Row],[Giới tính của bạn:]]</f>
        <v>Nam</v>
      </c>
      <c r="E285" t="str">
        <f>step3_validation[[#This Row],[Age_Group]]</f>
        <v>30 - 39</v>
      </c>
      <c r="F285" t="str">
        <f>survey_responses[[#This Row],[Độ tuổi của bạn:]]</f>
        <v>30 - 39</v>
      </c>
      <c r="G285" t="str">
        <f>step3_validation[[#This Row],[Region]]</f>
        <v>Thành thị</v>
      </c>
      <c r="H285" t="str">
        <f>survey_responses[[#This Row],[Khu vực bạn đang sinh sống:]]</f>
        <v>Thành thị</v>
      </c>
      <c r="I285" t="str">
        <f>step3_validation[[#This Row],[Education]]</f>
        <v>Đại học</v>
      </c>
      <c r="J285" t="str">
        <f>survey_responses[[#This Row],[Trình độ học vấn cao nhất:]]</f>
        <v>Đại học</v>
      </c>
      <c r="K285" t="str">
        <f>step3_validation[[#This Row],[Employment]]</f>
        <v>Chính thức</v>
      </c>
      <c r="L285" t="str">
        <f>survey_responses[[#This Row],[Tình trạng việc làm chính:]]</f>
        <v>Khu vực chính thức (Có Hợp đồng lao động, đóng BHXH)</v>
      </c>
      <c r="M285">
        <f>step3_validation[[#This Row],[Income_Mil]]</f>
        <v>61.233136034132372</v>
      </c>
      <c r="N285" t="str">
        <f>survey_responses[[#This Row],[Thu nhập bình quân tháng theo Hợp đồng lao động của bạn là bao nhiêu? (Vui lòng điền tổng thu nhập trước khi khấu trừ các loại Bảo hiểm (BHXH, BHYT, BHTN) và Thuế TNCN)]]</f>
        <v>Từ 48 - 70 triệu VNĐ</v>
      </c>
      <c r="O285">
        <f>step3_validation[[#This Row],[Dependents]]</f>
        <v>2</v>
      </c>
      <c r="P285" t="str">
        <f>survey_responses[[#This Row],[Số người phụ thuộc (con nhỏ, cha mẹ già...) đủ điều kiện giảm trừ gia cảnh:]]</f>
        <v>2 người</v>
      </c>
      <c r="Q285">
        <f>step3_validation[[#This Row],[AI_ENF1]]</f>
        <v>6</v>
      </c>
      <c r="R285">
        <f t="shared" si="108"/>
        <v>0.55555555555555558</v>
      </c>
      <c r="S285">
        <f>survey_responses[[#This Row],[Tôi tin rằng với các quy định quản lý thuế hiện nay, hành vi gian lận hoặc trốn thuế sẽ dễ dàng bị phát hiện và xử lý nghiêm. - HUMAN-ENF1]]</f>
        <v>7</v>
      </c>
      <c r="T285">
        <f t="shared" si="109"/>
        <v>0.66666666666666663</v>
      </c>
      <c r="U285">
        <f>step3_validation[[#This Row],[AI_ENF2]]</f>
        <v>7</v>
      </c>
      <c r="V285">
        <f t="shared" si="110"/>
        <v>0.66666666666666663</v>
      </c>
      <c r="W285">
        <f>survey_responses[[#This Row],[Tôi tin rằng Nhà nước, cơ quan thuế có đủ khả năng và công nghệ để phát hiện, xử lý nghiêm các hành vi trốn thuế. - HUMAN-ENF2]]</f>
        <v>7</v>
      </c>
      <c r="X285">
        <f t="shared" si="111"/>
        <v>0.66666666666666663</v>
      </c>
      <c r="Y285" s="32">
        <f t="shared" si="112"/>
        <v>0.61111111111111116</v>
      </c>
      <c r="Z285" s="32">
        <f t="shared" si="113"/>
        <v>0.66666666666666663</v>
      </c>
      <c r="AA285">
        <f>step3_validation[[#This Row],[AI_FAC1]]</f>
        <v>9</v>
      </c>
      <c r="AB285">
        <f t="shared" si="114"/>
        <v>0.88888888888888884</v>
      </c>
      <c r="AC285">
        <f>survey_responses[[#This Row],[Các thủ tục khai báo thuế VÀ/HOẶC quy trình làm việc với cơ quan thuế đơn giản, tiện lợi, nhanh chóng hơn so với trước đây. - HUMAN-FAC1]]</f>
        <v>5</v>
      </c>
      <c r="AD285">
        <f t="shared" si="115"/>
        <v>0.44444444444444442</v>
      </c>
      <c r="AE285">
        <f>step3_validation[[#This Row],[AI_FAC2]]</f>
        <v>8</v>
      </c>
      <c r="AF285">
        <f t="shared" si="116"/>
        <v>0.77777777777777779</v>
      </c>
      <c r="AG285">
        <f>survey_responses[[#This Row],[So với trước đây, tôi thấy cách tính thuế và các bậc thuế trong phương án mới đơn giản, dễ hiểu và dễ thực hiện hơn. - HUMAN-FAC2]]</f>
        <v>7</v>
      </c>
      <c r="AH285">
        <f t="shared" si="117"/>
        <v>0.66666666666666663</v>
      </c>
      <c r="AI285" s="32">
        <f t="shared" si="118"/>
        <v>0.83333333333333326</v>
      </c>
      <c r="AJ285" s="32">
        <f t="shared" si="119"/>
        <v>0.55555555555555558</v>
      </c>
      <c r="AK285">
        <f>step3_validation[[#This Row],[AI_TRU1]]</f>
        <v>9</v>
      </c>
      <c r="AL285">
        <f t="shared" si="120"/>
        <v>0.88888888888888884</v>
      </c>
      <c r="AM285">
        <f>survey_responses[[#This Row],[Tôi tin rằng Nhà nước, cơ quan thuế sẽ thực thi chính sách mới một cách khách quan, công tâm và đối xử bình đẳng với mọi người nộp thuế.  - HUMAN-TRU1]]</f>
        <v>5</v>
      </c>
      <c r="AN285">
        <f t="shared" si="121"/>
        <v>0.44444444444444442</v>
      </c>
      <c r="AO285">
        <f>step3_validation[[#This Row],[AI_TRU2]]</f>
        <v>8</v>
      </c>
      <c r="AP285">
        <f t="shared" si="122"/>
        <v>0.77777777777777779</v>
      </c>
      <c r="AQ285">
        <f>survey_responses[[#This Row],[Tôi thấy mức thuế tôi phải đóng theo phương án mới là công bằng (người thu nhập như tôi đóng mức này là hợp lý). - HUMAN-TRU2]]</f>
        <v>6</v>
      </c>
      <c r="AR285">
        <f t="shared" si="123"/>
        <v>0.55555555555555558</v>
      </c>
      <c r="AS285">
        <f>step3_validation[[#This Row],[AI_TRU3]]</f>
        <v>7</v>
      </c>
      <c r="AT285">
        <f t="shared" si="124"/>
        <v>0.66666666666666663</v>
      </c>
      <c r="AU285">
        <f>survey_responses[[#This Row],[Tôi tin tưởng số tiền thuế tôi đóng sẽ được Nhà nước sử dụng hiệu quả để cải thiện dịch vụ công (y tế, đường xá...). - HUMAN-TRU3]]</f>
        <v>5</v>
      </c>
      <c r="AV285">
        <f t="shared" si="125"/>
        <v>0.44444444444444442</v>
      </c>
      <c r="AW285">
        <f>step3_validation[[#This Row],[AI_TRU4]]</f>
        <v>6</v>
      </c>
      <c r="AX285">
        <f t="shared" si="126"/>
        <v>0.55555555555555558</v>
      </c>
      <c r="AY285">
        <f>survey_responses[[#This Row],[Tôi thấy Nhà nước đã giải thích rõ ràng, minh bạch về lý do và mục tiêu của việc sửa đổi thuế lần này. - HUMAN-TRU4]]</f>
        <v>7</v>
      </c>
      <c r="AZ285">
        <f t="shared" si="127"/>
        <v>0.66666666666666663</v>
      </c>
      <c r="BA285" s="32">
        <f t="shared" si="128"/>
        <v>0.7222222222222221</v>
      </c>
      <c r="BB285" s="32">
        <f t="shared" si="129"/>
        <v>0.52777777777777779</v>
      </c>
      <c r="BC285" s="7">
        <f t="shared" si="130"/>
        <v>0.72222222222222221</v>
      </c>
      <c r="BD285" s="7">
        <f t="shared" si="131"/>
        <v>0.58333333333333337</v>
      </c>
      <c r="BE285">
        <f>step3_validation[[#This Row],[AI_OUT1]]</f>
        <v>8</v>
      </c>
      <c r="BF285">
        <f t="shared" si="132"/>
        <v>0.77777777777777779</v>
      </c>
      <c r="BG285">
        <f>survey_responses[[#This Row],[Sau khi xem xét các quyền lợi và nghĩa vụ, bạn có ủng hộ và tuân thủ chính sách mới hiện nay? - HUMAN-OUT1]]</f>
        <v>6</v>
      </c>
      <c r="BH285">
        <f t="shared" si="133"/>
        <v>0.55555555555555558</v>
      </c>
      <c r="BI285" s="32">
        <f t="shared" si="134"/>
        <v>2</v>
      </c>
    </row>
    <row r="286" spans="1:61" x14ac:dyDescent="0.45">
      <c r="A286" s="30">
        <f>step3_validation[[#This Row],[Persona_ID]]</f>
        <v>285</v>
      </c>
      <c r="B286" s="31">
        <f>step3_validation[[#This Row],[Used_Seed]]</f>
        <v>285</v>
      </c>
      <c r="C286" t="str">
        <f>step3_validation[[#This Row],[Gender]]</f>
        <v>Nam</v>
      </c>
      <c r="D286" t="str">
        <f>survey_responses[[#This Row],[Giới tính của bạn:]]</f>
        <v>Nam</v>
      </c>
      <c r="E286" t="str">
        <f>step3_validation[[#This Row],[Age_Group]]</f>
        <v>50 - 54</v>
      </c>
      <c r="F286" t="str">
        <f>survey_responses[[#This Row],[Độ tuổi của bạn:]]</f>
        <v>50 - 54</v>
      </c>
      <c r="G286" t="str">
        <f>step3_validation[[#This Row],[Region]]</f>
        <v>Thành thị</v>
      </c>
      <c r="H286" t="str">
        <f>survey_responses[[#This Row],[Khu vực bạn đang sinh sống:]]</f>
        <v>Thành thị</v>
      </c>
      <c r="I286" t="str">
        <f>step3_validation[[#This Row],[Education]]</f>
        <v>Đại học</v>
      </c>
      <c r="J286" t="str">
        <f>survey_responses[[#This Row],[Trình độ học vấn cao nhất:]]</f>
        <v>Đại học</v>
      </c>
      <c r="K286" t="str">
        <f>step3_validation[[#This Row],[Employment]]</f>
        <v>Chính thức</v>
      </c>
      <c r="L286" t="str">
        <f>survey_responses[[#This Row],[Tình trạng việc làm chính:]]</f>
        <v>Khu vực chính thức (Có Hợp đồng lao động, đóng BHXH)</v>
      </c>
      <c r="M286">
        <f>step3_validation[[#This Row],[Income_Mil]]</f>
        <v>71.295028341445573</v>
      </c>
      <c r="N286" t="str">
        <f>survey_responses[[#This Row],[Thu nhập bình quân tháng theo Hợp đồng lao động của bạn là bao nhiêu? (Vui lòng điền tổng thu nhập trước khi khấu trừ các loại Bảo hiểm (BHXH, BHYT, BHTN) và Thuế TNCN)]]</f>
        <v>Từ 70 - 102 triệu VNĐ</v>
      </c>
      <c r="O286">
        <f>step3_validation[[#This Row],[Dependents]]</f>
        <v>3</v>
      </c>
      <c r="P286" t="str">
        <f>survey_responses[[#This Row],[Số người phụ thuộc (con nhỏ, cha mẹ già...) đủ điều kiện giảm trừ gia cảnh:]]</f>
        <v>3 người</v>
      </c>
      <c r="Q286">
        <f>step3_validation[[#This Row],[AI_ENF1]]</f>
        <v>9</v>
      </c>
      <c r="R286">
        <f t="shared" si="108"/>
        <v>0.88888888888888884</v>
      </c>
      <c r="S286">
        <f>survey_responses[[#This Row],[Tôi tin rằng với các quy định quản lý thuế hiện nay, hành vi gian lận hoặc trốn thuế sẽ dễ dàng bị phát hiện và xử lý nghiêm. - HUMAN-ENF1]]</f>
        <v>7</v>
      </c>
      <c r="T286">
        <f t="shared" si="109"/>
        <v>0.66666666666666663</v>
      </c>
      <c r="U286">
        <f>step3_validation[[#This Row],[AI_ENF2]]</f>
        <v>8</v>
      </c>
      <c r="V286">
        <f t="shared" si="110"/>
        <v>0.77777777777777779</v>
      </c>
      <c r="W286">
        <f>survey_responses[[#This Row],[Tôi tin rằng Nhà nước, cơ quan thuế có đủ khả năng và công nghệ để phát hiện, xử lý nghiêm các hành vi trốn thuế. - HUMAN-ENF2]]</f>
        <v>7</v>
      </c>
      <c r="X286">
        <f t="shared" si="111"/>
        <v>0.66666666666666663</v>
      </c>
      <c r="Y286" s="32">
        <f t="shared" si="112"/>
        <v>0.83333333333333326</v>
      </c>
      <c r="Z286" s="32">
        <f t="shared" si="113"/>
        <v>0.66666666666666663</v>
      </c>
      <c r="AA286">
        <f>step3_validation[[#This Row],[AI_FAC1]]</f>
        <v>7</v>
      </c>
      <c r="AB286">
        <f t="shared" si="114"/>
        <v>0.66666666666666663</v>
      </c>
      <c r="AC286">
        <f>survey_responses[[#This Row],[Các thủ tục khai báo thuế VÀ/HOẶC quy trình làm việc với cơ quan thuế đơn giản, tiện lợi, nhanh chóng hơn so với trước đây. - HUMAN-FAC1]]</f>
        <v>5</v>
      </c>
      <c r="AD286">
        <f t="shared" si="115"/>
        <v>0.44444444444444442</v>
      </c>
      <c r="AE286">
        <f>step3_validation[[#This Row],[AI_FAC2]]</f>
        <v>8</v>
      </c>
      <c r="AF286">
        <f t="shared" si="116"/>
        <v>0.77777777777777779</v>
      </c>
      <c r="AG286">
        <f>survey_responses[[#This Row],[So với trước đây, tôi thấy cách tính thuế và các bậc thuế trong phương án mới đơn giản, dễ hiểu và dễ thực hiện hơn. - HUMAN-FAC2]]</f>
        <v>8</v>
      </c>
      <c r="AH286">
        <f t="shared" si="117"/>
        <v>0.77777777777777779</v>
      </c>
      <c r="AI286" s="32">
        <f t="shared" si="118"/>
        <v>0.72222222222222221</v>
      </c>
      <c r="AJ286" s="32">
        <f t="shared" si="119"/>
        <v>0.61111111111111116</v>
      </c>
      <c r="AK286">
        <f>step3_validation[[#This Row],[AI_TRU1]]</f>
        <v>9</v>
      </c>
      <c r="AL286">
        <f t="shared" si="120"/>
        <v>0.88888888888888884</v>
      </c>
      <c r="AM286">
        <f>survey_responses[[#This Row],[Tôi tin rằng Nhà nước, cơ quan thuế sẽ thực thi chính sách mới một cách khách quan, công tâm và đối xử bình đẳng với mọi người nộp thuế.  - HUMAN-TRU1]]</f>
        <v>6</v>
      </c>
      <c r="AN286">
        <f t="shared" si="121"/>
        <v>0.55555555555555558</v>
      </c>
      <c r="AO286">
        <f>step3_validation[[#This Row],[AI_TRU2]]</f>
        <v>8</v>
      </c>
      <c r="AP286">
        <f t="shared" si="122"/>
        <v>0.77777777777777779</v>
      </c>
      <c r="AQ286">
        <f>survey_responses[[#This Row],[Tôi thấy mức thuế tôi phải đóng theo phương án mới là công bằng (người thu nhập như tôi đóng mức này là hợp lý). - HUMAN-TRU2]]</f>
        <v>6</v>
      </c>
      <c r="AR286">
        <f t="shared" si="123"/>
        <v>0.55555555555555558</v>
      </c>
      <c r="AS286">
        <f>step3_validation[[#This Row],[AI_TRU3]]</f>
        <v>9</v>
      </c>
      <c r="AT286">
        <f t="shared" si="124"/>
        <v>0.88888888888888884</v>
      </c>
      <c r="AU286">
        <f>survey_responses[[#This Row],[Tôi tin tưởng số tiền thuế tôi đóng sẽ được Nhà nước sử dụng hiệu quả để cải thiện dịch vụ công (y tế, đường xá...). - HUMAN-TRU3]]</f>
        <v>6</v>
      </c>
      <c r="AV286">
        <f t="shared" si="125"/>
        <v>0.55555555555555558</v>
      </c>
      <c r="AW286">
        <f>step3_validation[[#This Row],[AI_TRU4]]</f>
        <v>8</v>
      </c>
      <c r="AX286">
        <f t="shared" si="126"/>
        <v>0.77777777777777779</v>
      </c>
      <c r="AY286">
        <f>survey_responses[[#This Row],[Tôi thấy Nhà nước đã giải thích rõ ràng, minh bạch về lý do và mục tiêu của việc sửa đổi thuế lần này. - HUMAN-TRU4]]</f>
        <v>7</v>
      </c>
      <c r="AZ286">
        <f t="shared" si="127"/>
        <v>0.66666666666666663</v>
      </c>
      <c r="BA286" s="32">
        <f t="shared" si="128"/>
        <v>0.83333333333333326</v>
      </c>
      <c r="BB286" s="32">
        <f t="shared" si="129"/>
        <v>0.58333333333333337</v>
      </c>
      <c r="BC286" s="7">
        <f t="shared" si="130"/>
        <v>0.79629629629629617</v>
      </c>
      <c r="BD286" s="7">
        <f t="shared" si="131"/>
        <v>0.62037037037037035</v>
      </c>
      <c r="BE286">
        <f>step3_validation[[#This Row],[AI_OUT1]]</f>
        <v>9</v>
      </c>
      <c r="BF286">
        <f t="shared" si="132"/>
        <v>0.88888888888888884</v>
      </c>
      <c r="BG286">
        <f>survey_responses[[#This Row],[Sau khi xem xét các quyền lợi và nghĩa vụ, bạn có ủng hộ và tuân thủ chính sách mới hiện nay? - HUMAN-OUT1]]</f>
        <v>7</v>
      </c>
      <c r="BH286">
        <f t="shared" si="133"/>
        <v>0.66666666666666663</v>
      </c>
      <c r="BI286" s="32">
        <f t="shared" si="134"/>
        <v>2</v>
      </c>
    </row>
    <row r="287" spans="1:61" x14ac:dyDescent="0.45">
      <c r="A287" s="30">
        <f>step3_validation[[#This Row],[Persona_ID]]</f>
        <v>286</v>
      </c>
      <c r="B287" s="31">
        <f>step3_validation[[#This Row],[Used_Seed]]</f>
        <v>286</v>
      </c>
      <c r="C287" t="str">
        <f>step3_validation[[#This Row],[Gender]]</f>
        <v>Nữ</v>
      </c>
      <c r="D287" t="str">
        <f>survey_responses[[#This Row],[Giới tính của bạn:]]</f>
        <v>Nữ</v>
      </c>
      <c r="E287" t="str">
        <f>step3_validation[[#This Row],[Age_Group]]</f>
        <v>30 - 39</v>
      </c>
      <c r="F287" t="str">
        <f>survey_responses[[#This Row],[Độ tuổi của bạn:]]</f>
        <v>30 - 39</v>
      </c>
      <c r="G287" t="str">
        <f>step3_validation[[#This Row],[Region]]</f>
        <v>Thành thị</v>
      </c>
      <c r="H287" t="str">
        <f>survey_responses[[#This Row],[Khu vực bạn đang sinh sống:]]</f>
        <v>Thành thị</v>
      </c>
      <c r="I287" t="str">
        <f>step3_validation[[#This Row],[Education]]</f>
        <v>Đại học</v>
      </c>
      <c r="J287" t="str">
        <f>survey_responses[[#This Row],[Trình độ học vấn cao nhất:]]</f>
        <v>Đại học</v>
      </c>
      <c r="K287" t="str">
        <f>step3_validation[[#This Row],[Employment]]</f>
        <v>Chính thức</v>
      </c>
      <c r="L287" t="str">
        <f>survey_responses[[#This Row],[Tình trạng việc làm chính:]]</f>
        <v>Khu vực chính thức (Có Hợp đồng lao động, đóng BHXH)</v>
      </c>
      <c r="M287">
        <f>step3_validation[[#This Row],[Income_Mil]]</f>
        <v>38.411929580978878</v>
      </c>
      <c r="N287" t="str">
        <f>survey_responses[[#This Row],[Thu nhập bình quân tháng theo Hợp đồng lao động của bạn là bao nhiêu? (Vui lòng điền tổng thu nhập trước khi khấu trừ các loại Bảo hiểm (BHXH, BHYT, BHTN) và Thuế TNCN)]]</f>
        <v>Từ 32 - 48 triệu VNĐ</v>
      </c>
      <c r="O287">
        <f>step3_validation[[#This Row],[Dependents]]</f>
        <v>0</v>
      </c>
      <c r="P287" t="str">
        <f>survey_responses[[#This Row],[Số người phụ thuộc (con nhỏ, cha mẹ già...) đủ điều kiện giảm trừ gia cảnh:]]</f>
        <v>0 người</v>
      </c>
      <c r="Q287">
        <f>step3_validation[[#This Row],[AI_ENF1]]</f>
        <v>9</v>
      </c>
      <c r="R287">
        <f t="shared" si="108"/>
        <v>0.88888888888888884</v>
      </c>
      <c r="S287">
        <f>survey_responses[[#This Row],[Tôi tin rằng với các quy định quản lý thuế hiện nay, hành vi gian lận hoặc trốn thuế sẽ dễ dàng bị phát hiện và xử lý nghiêm. - HUMAN-ENF1]]</f>
        <v>4</v>
      </c>
      <c r="T287">
        <f t="shared" si="109"/>
        <v>0.33333333333333331</v>
      </c>
      <c r="U287">
        <f>step3_validation[[#This Row],[AI_ENF2]]</f>
        <v>8</v>
      </c>
      <c r="V287">
        <f t="shared" si="110"/>
        <v>0.77777777777777779</v>
      </c>
      <c r="W287">
        <f>survey_responses[[#This Row],[Tôi tin rằng Nhà nước, cơ quan thuế có đủ khả năng và công nghệ để phát hiện, xử lý nghiêm các hành vi trốn thuế. - HUMAN-ENF2]]</f>
        <v>4</v>
      </c>
      <c r="X287">
        <f t="shared" si="111"/>
        <v>0.33333333333333331</v>
      </c>
      <c r="Y287" s="32">
        <f t="shared" si="112"/>
        <v>0.83333333333333326</v>
      </c>
      <c r="Z287" s="32">
        <f t="shared" si="113"/>
        <v>0.33333333333333331</v>
      </c>
      <c r="AA287">
        <f>step3_validation[[#This Row],[AI_FAC1]]</f>
        <v>9</v>
      </c>
      <c r="AB287">
        <f t="shared" si="114"/>
        <v>0.88888888888888884</v>
      </c>
      <c r="AC287">
        <f>survey_responses[[#This Row],[Các thủ tục khai báo thuế VÀ/HOẶC quy trình làm việc với cơ quan thuế đơn giản, tiện lợi, nhanh chóng hơn so với trước đây. - HUMAN-FAC1]]</f>
        <v>2</v>
      </c>
      <c r="AD287">
        <f t="shared" si="115"/>
        <v>0.1111111111111111</v>
      </c>
      <c r="AE287">
        <f>step3_validation[[#This Row],[AI_FAC2]]</f>
        <v>8</v>
      </c>
      <c r="AF287">
        <f t="shared" si="116"/>
        <v>0.77777777777777779</v>
      </c>
      <c r="AG287">
        <f>survey_responses[[#This Row],[So với trước đây, tôi thấy cách tính thuế và các bậc thuế trong phương án mới đơn giản, dễ hiểu và dễ thực hiện hơn. - HUMAN-FAC2]]</f>
        <v>8</v>
      </c>
      <c r="AH287">
        <f t="shared" si="117"/>
        <v>0.77777777777777779</v>
      </c>
      <c r="AI287" s="32">
        <f t="shared" si="118"/>
        <v>0.83333333333333326</v>
      </c>
      <c r="AJ287" s="32">
        <f t="shared" si="119"/>
        <v>0.44444444444444442</v>
      </c>
      <c r="AK287">
        <f>step3_validation[[#This Row],[AI_TRU1]]</f>
        <v>7</v>
      </c>
      <c r="AL287">
        <f t="shared" si="120"/>
        <v>0.66666666666666663</v>
      </c>
      <c r="AM287">
        <f>survey_responses[[#This Row],[Tôi tin rằng Nhà nước, cơ quan thuế sẽ thực thi chính sách mới một cách khách quan, công tâm và đối xử bình đẳng với mọi người nộp thuế.  - HUMAN-TRU1]]</f>
        <v>5</v>
      </c>
      <c r="AN287">
        <f t="shared" si="121"/>
        <v>0.44444444444444442</v>
      </c>
      <c r="AO287">
        <f>step3_validation[[#This Row],[AI_TRU2]]</f>
        <v>9</v>
      </c>
      <c r="AP287">
        <f t="shared" si="122"/>
        <v>0.88888888888888884</v>
      </c>
      <c r="AQ287">
        <f>survey_responses[[#This Row],[Tôi thấy mức thuế tôi phải đóng theo phương án mới là công bằng (người thu nhập như tôi đóng mức này là hợp lý). - HUMAN-TRU2]]</f>
        <v>5</v>
      </c>
      <c r="AR287">
        <f t="shared" si="123"/>
        <v>0.44444444444444442</v>
      </c>
      <c r="AS287">
        <f>step3_validation[[#This Row],[AI_TRU3]]</f>
        <v>7</v>
      </c>
      <c r="AT287">
        <f t="shared" si="124"/>
        <v>0.66666666666666663</v>
      </c>
      <c r="AU287">
        <f>survey_responses[[#This Row],[Tôi tin tưởng số tiền thuế tôi đóng sẽ được Nhà nước sử dụng hiệu quả để cải thiện dịch vụ công (y tế, đường xá...). - HUMAN-TRU3]]</f>
        <v>4</v>
      </c>
      <c r="AV287">
        <f t="shared" si="125"/>
        <v>0.33333333333333331</v>
      </c>
      <c r="AW287">
        <f>step3_validation[[#This Row],[AI_TRU4]]</f>
        <v>6</v>
      </c>
      <c r="AX287">
        <f t="shared" si="126"/>
        <v>0.55555555555555558</v>
      </c>
      <c r="AY287">
        <f>survey_responses[[#This Row],[Tôi thấy Nhà nước đã giải thích rõ ràng, minh bạch về lý do và mục tiêu của việc sửa đổi thuế lần này. - HUMAN-TRU4]]</f>
        <v>6</v>
      </c>
      <c r="AZ287">
        <f t="shared" si="127"/>
        <v>0.55555555555555558</v>
      </c>
      <c r="BA287" s="32">
        <f t="shared" si="128"/>
        <v>0.69444444444444442</v>
      </c>
      <c r="BB287" s="32">
        <f t="shared" si="129"/>
        <v>0.44444444444444442</v>
      </c>
      <c r="BC287" s="7">
        <f t="shared" si="130"/>
        <v>0.78703703703703687</v>
      </c>
      <c r="BD287" s="7">
        <f t="shared" si="131"/>
        <v>0.40740740740740738</v>
      </c>
      <c r="BE287">
        <f>step3_validation[[#This Row],[AI_OUT1]]</f>
        <v>8</v>
      </c>
      <c r="BF287">
        <f t="shared" si="132"/>
        <v>0.77777777777777779</v>
      </c>
      <c r="BG287">
        <f>survey_responses[[#This Row],[Sau khi xem xét các quyền lợi và nghĩa vụ, bạn có ủng hộ và tuân thủ chính sách mới hiện nay? - HUMAN-OUT1]]</f>
        <v>5</v>
      </c>
      <c r="BH287">
        <f t="shared" si="133"/>
        <v>0.44444444444444442</v>
      </c>
      <c r="BI287" s="32">
        <f t="shared" si="134"/>
        <v>3</v>
      </c>
    </row>
    <row r="288" spans="1:61" x14ac:dyDescent="0.45">
      <c r="A288" s="30">
        <f>step3_validation[[#This Row],[Persona_ID]]</f>
        <v>287</v>
      </c>
      <c r="B288" s="31">
        <f>step3_validation[[#This Row],[Used_Seed]]</f>
        <v>287</v>
      </c>
      <c r="C288" t="str">
        <f>step3_validation[[#This Row],[Gender]]</f>
        <v>Nữ</v>
      </c>
      <c r="D288" t="str">
        <f>survey_responses[[#This Row],[Giới tính của bạn:]]</f>
        <v>Nữ</v>
      </c>
      <c r="E288" t="str">
        <f>step3_validation[[#This Row],[Age_Group]]</f>
        <v>50 - 54</v>
      </c>
      <c r="F288" t="str">
        <f>survey_responses[[#This Row],[Độ tuổi của bạn:]]</f>
        <v>50 - 54</v>
      </c>
      <c r="G288" t="str">
        <f>step3_validation[[#This Row],[Region]]</f>
        <v>Thành thị</v>
      </c>
      <c r="H288" t="str">
        <f>survey_responses[[#This Row],[Khu vực bạn đang sinh sống:]]</f>
        <v>Thành thị</v>
      </c>
      <c r="I288" t="str">
        <f>step3_validation[[#This Row],[Education]]</f>
        <v>Đại học</v>
      </c>
      <c r="J288" t="str">
        <f>survey_responses[[#This Row],[Trình độ học vấn cao nhất:]]</f>
        <v>Đại học</v>
      </c>
      <c r="K288" t="str">
        <f>step3_validation[[#This Row],[Employment]]</f>
        <v>Chính thức</v>
      </c>
      <c r="L288" t="str">
        <f>survey_responses[[#This Row],[Tình trạng việc làm chính:]]</f>
        <v>Khu vực chính thức (Có Hợp đồng lao động, đóng BHXH)</v>
      </c>
      <c r="M288">
        <f>step3_validation[[#This Row],[Income_Mil]]</f>
        <v>65.877277380656821</v>
      </c>
      <c r="N288" t="str">
        <f>survey_responses[[#This Row],[Thu nhập bình quân tháng theo Hợp đồng lao động của bạn là bao nhiêu? (Vui lòng điền tổng thu nhập trước khi khấu trừ các loại Bảo hiểm (BHXH, BHYT, BHTN) và Thuế TNCN)]]</f>
        <v>Từ 48 - 70 triệu VNĐ</v>
      </c>
      <c r="O288">
        <f>step3_validation[[#This Row],[Dependents]]</f>
        <v>4</v>
      </c>
      <c r="P288" t="str">
        <f>survey_responses[[#This Row],[Số người phụ thuộc (con nhỏ, cha mẹ già...) đủ điều kiện giảm trừ gia cảnh:]]</f>
        <v>4 người trở lên</v>
      </c>
      <c r="Q288">
        <f>step3_validation[[#This Row],[AI_ENF1]]</f>
        <v>8</v>
      </c>
      <c r="R288">
        <f t="shared" si="108"/>
        <v>0.77777777777777779</v>
      </c>
      <c r="S288">
        <f>survey_responses[[#This Row],[Tôi tin rằng với các quy định quản lý thuế hiện nay, hành vi gian lận hoặc trốn thuế sẽ dễ dàng bị phát hiện và xử lý nghiêm. - HUMAN-ENF1]]</f>
        <v>10</v>
      </c>
      <c r="T288">
        <f t="shared" si="109"/>
        <v>1</v>
      </c>
      <c r="U288">
        <f>step3_validation[[#This Row],[AI_ENF2]]</f>
        <v>9</v>
      </c>
      <c r="V288">
        <f t="shared" si="110"/>
        <v>0.88888888888888884</v>
      </c>
      <c r="W288">
        <f>survey_responses[[#This Row],[Tôi tin rằng Nhà nước, cơ quan thuế có đủ khả năng và công nghệ để phát hiện, xử lý nghiêm các hành vi trốn thuế. - HUMAN-ENF2]]</f>
        <v>10</v>
      </c>
      <c r="X288">
        <f t="shared" si="111"/>
        <v>1</v>
      </c>
      <c r="Y288" s="32">
        <f t="shared" si="112"/>
        <v>0.83333333333333326</v>
      </c>
      <c r="Z288" s="32">
        <f t="shared" si="113"/>
        <v>1</v>
      </c>
      <c r="AA288">
        <f>step3_validation[[#This Row],[AI_FAC1]]</f>
        <v>7</v>
      </c>
      <c r="AB288">
        <f t="shared" si="114"/>
        <v>0.66666666666666663</v>
      </c>
      <c r="AC288">
        <f>survey_responses[[#This Row],[Các thủ tục khai báo thuế VÀ/HOẶC quy trình làm việc với cơ quan thuế đơn giản, tiện lợi, nhanh chóng hơn so với trước đây. - HUMAN-FAC1]]</f>
        <v>7</v>
      </c>
      <c r="AD288">
        <f t="shared" si="115"/>
        <v>0.66666666666666663</v>
      </c>
      <c r="AE288">
        <f>step3_validation[[#This Row],[AI_FAC2]]</f>
        <v>9</v>
      </c>
      <c r="AF288">
        <f t="shared" si="116"/>
        <v>0.88888888888888884</v>
      </c>
      <c r="AG288">
        <f>survey_responses[[#This Row],[So với trước đây, tôi thấy cách tính thuế và các bậc thuế trong phương án mới đơn giản, dễ hiểu và dễ thực hiện hơn. - HUMAN-FAC2]]</f>
        <v>7</v>
      </c>
      <c r="AH288">
        <f t="shared" si="117"/>
        <v>0.66666666666666663</v>
      </c>
      <c r="AI288" s="32">
        <f t="shared" si="118"/>
        <v>0.77777777777777768</v>
      </c>
      <c r="AJ288" s="32">
        <f t="shared" si="119"/>
        <v>0.66666666666666663</v>
      </c>
      <c r="AK288">
        <f>step3_validation[[#This Row],[AI_TRU1]]</f>
        <v>7</v>
      </c>
      <c r="AL288">
        <f t="shared" si="120"/>
        <v>0.66666666666666663</v>
      </c>
      <c r="AM288">
        <f>survey_responses[[#This Row],[Tôi tin rằng Nhà nước, cơ quan thuế sẽ thực thi chính sách mới một cách khách quan, công tâm và đối xử bình đẳng với mọi người nộp thuế.  - HUMAN-TRU1]]</f>
        <v>8</v>
      </c>
      <c r="AN288">
        <f t="shared" si="121"/>
        <v>0.77777777777777779</v>
      </c>
      <c r="AO288">
        <f>step3_validation[[#This Row],[AI_TRU2]]</f>
        <v>9</v>
      </c>
      <c r="AP288">
        <f t="shared" si="122"/>
        <v>0.88888888888888884</v>
      </c>
      <c r="AQ288">
        <f>survey_responses[[#This Row],[Tôi thấy mức thuế tôi phải đóng theo phương án mới là công bằng (người thu nhập như tôi đóng mức này là hợp lý). - HUMAN-TRU2]]</f>
        <v>7</v>
      </c>
      <c r="AR288">
        <f t="shared" si="123"/>
        <v>0.66666666666666663</v>
      </c>
      <c r="AS288">
        <f>step3_validation[[#This Row],[AI_TRU3]]</f>
        <v>7</v>
      </c>
      <c r="AT288">
        <f t="shared" si="124"/>
        <v>0.66666666666666663</v>
      </c>
      <c r="AU288">
        <f>survey_responses[[#This Row],[Tôi tin tưởng số tiền thuế tôi đóng sẽ được Nhà nước sử dụng hiệu quả để cải thiện dịch vụ công (y tế, đường xá...). - HUMAN-TRU3]]</f>
        <v>8</v>
      </c>
      <c r="AV288">
        <f t="shared" si="125"/>
        <v>0.77777777777777779</v>
      </c>
      <c r="AW288">
        <f>step3_validation[[#This Row],[AI_TRU4]]</f>
        <v>6</v>
      </c>
      <c r="AX288">
        <f t="shared" si="126"/>
        <v>0.55555555555555558</v>
      </c>
      <c r="AY288">
        <f>survey_responses[[#This Row],[Tôi thấy Nhà nước đã giải thích rõ ràng, minh bạch về lý do và mục tiêu của việc sửa đổi thuế lần này. - HUMAN-TRU4]]</f>
        <v>8</v>
      </c>
      <c r="AZ288">
        <f t="shared" si="127"/>
        <v>0.77777777777777779</v>
      </c>
      <c r="BA288" s="32">
        <f t="shared" si="128"/>
        <v>0.69444444444444442</v>
      </c>
      <c r="BB288" s="32">
        <f t="shared" si="129"/>
        <v>0.75</v>
      </c>
      <c r="BC288" s="7">
        <f t="shared" si="130"/>
        <v>0.76851851851851849</v>
      </c>
      <c r="BD288" s="7">
        <f t="shared" si="131"/>
        <v>0.80555555555555547</v>
      </c>
      <c r="BE288">
        <f>step3_validation[[#This Row],[AI_OUT1]]</f>
        <v>8</v>
      </c>
      <c r="BF288">
        <f t="shared" si="132"/>
        <v>0.77777777777777779</v>
      </c>
      <c r="BG288">
        <f>survey_responses[[#This Row],[Sau khi xem xét các quyền lợi và nghĩa vụ, bạn có ủng hộ và tuân thủ chính sách mới hiện nay? - HUMAN-OUT1]]</f>
        <v>8</v>
      </c>
      <c r="BH288">
        <f t="shared" si="133"/>
        <v>0.77777777777777779</v>
      </c>
      <c r="BI288" s="32">
        <f t="shared" si="134"/>
        <v>0</v>
      </c>
    </row>
    <row r="289" spans="1:61" x14ac:dyDescent="0.45">
      <c r="A289" s="30">
        <f>step3_validation[[#This Row],[Persona_ID]]</f>
        <v>288</v>
      </c>
      <c r="B289" s="31">
        <f>step3_validation[[#This Row],[Used_Seed]]</f>
        <v>288</v>
      </c>
      <c r="C289" t="str">
        <f>step3_validation[[#This Row],[Gender]]</f>
        <v>Nam</v>
      </c>
      <c r="D289" t="str">
        <f>survey_responses[[#This Row],[Giới tính của bạn:]]</f>
        <v>Nam</v>
      </c>
      <c r="E289" t="str">
        <f>step3_validation[[#This Row],[Age_Group]]</f>
        <v>25 - 29</v>
      </c>
      <c r="F289" t="str">
        <f>survey_responses[[#This Row],[Độ tuổi của bạn:]]</f>
        <v>25 - 29</v>
      </c>
      <c r="G289" t="str">
        <f>step3_validation[[#This Row],[Region]]</f>
        <v>Thành thị</v>
      </c>
      <c r="H289" t="str">
        <f>survey_responses[[#This Row],[Khu vực bạn đang sinh sống:]]</f>
        <v>Thành thị</v>
      </c>
      <c r="I289" t="str">
        <f>step3_validation[[#This Row],[Education]]</f>
        <v>Đại học</v>
      </c>
      <c r="J289" t="str">
        <f>survey_responses[[#This Row],[Trình độ học vấn cao nhất:]]</f>
        <v>Đại học</v>
      </c>
      <c r="K289" t="str">
        <f>step3_validation[[#This Row],[Employment]]</f>
        <v>Chính thức</v>
      </c>
      <c r="L289" t="str">
        <f>survey_responses[[#This Row],[Tình trạng việc làm chính:]]</f>
        <v>Khu vực chính thức (Có Hợp đồng lao động, đóng BHXH)</v>
      </c>
      <c r="M289">
        <f>step3_validation[[#This Row],[Income_Mil]]</f>
        <v>28.867180053564908</v>
      </c>
      <c r="N289" t="str">
        <f>survey_responses[[#This Row],[Thu nhập bình quân tháng theo Hợp đồng lao động của bạn là bao nhiêu? (Vui lòng điền tổng thu nhập trước khi khấu trừ các loại Bảo hiểm (BHXH, BHYT, BHTN) và Thuế TNCN)]]</f>
        <v>Từ 23 - 32 triệu VNĐ</v>
      </c>
      <c r="O289">
        <f>step3_validation[[#This Row],[Dependents]]</f>
        <v>0</v>
      </c>
      <c r="P289" t="str">
        <f>survey_responses[[#This Row],[Số người phụ thuộc (con nhỏ, cha mẹ già...) đủ điều kiện giảm trừ gia cảnh:]]</f>
        <v>0 người</v>
      </c>
      <c r="Q289">
        <f>step3_validation[[#This Row],[AI_ENF1]]</f>
        <v>7</v>
      </c>
      <c r="R289">
        <f t="shared" si="108"/>
        <v>0.66666666666666663</v>
      </c>
      <c r="S289">
        <f>survey_responses[[#This Row],[Tôi tin rằng với các quy định quản lý thuế hiện nay, hành vi gian lận hoặc trốn thuế sẽ dễ dàng bị phát hiện và xử lý nghiêm. - HUMAN-ENF1]]</f>
        <v>8</v>
      </c>
      <c r="T289">
        <f t="shared" si="109"/>
        <v>0.77777777777777779</v>
      </c>
      <c r="U289">
        <f>step3_validation[[#This Row],[AI_ENF2]]</f>
        <v>8</v>
      </c>
      <c r="V289">
        <f t="shared" si="110"/>
        <v>0.77777777777777779</v>
      </c>
      <c r="W289">
        <f>survey_responses[[#This Row],[Tôi tin rằng Nhà nước, cơ quan thuế có đủ khả năng và công nghệ để phát hiện, xử lý nghiêm các hành vi trốn thuế. - HUMAN-ENF2]]</f>
        <v>8</v>
      </c>
      <c r="X289">
        <f t="shared" si="111"/>
        <v>0.77777777777777779</v>
      </c>
      <c r="Y289" s="32">
        <f t="shared" si="112"/>
        <v>0.72222222222222221</v>
      </c>
      <c r="Z289" s="32">
        <f t="shared" si="113"/>
        <v>0.77777777777777779</v>
      </c>
      <c r="AA289">
        <f>step3_validation[[#This Row],[AI_FAC1]]</f>
        <v>7</v>
      </c>
      <c r="AB289">
        <f t="shared" si="114"/>
        <v>0.66666666666666663</v>
      </c>
      <c r="AC289">
        <f>survey_responses[[#This Row],[Các thủ tục khai báo thuế VÀ/HOẶC quy trình làm việc với cơ quan thuế đơn giản, tiện lợi, nhanh chóng hơn so với trước đây. - HUMAN-FAC1]]</f>
        <v>5</v>
      </c>
      <c r="AD289">
        <f t="shared" si="115"/>
        <v>0.44444444444444442</v>
      </c>
      <c r="AE289">
        <f>step3_validation[[#This Row],[AI_FAC2]]</f>
        <v>9</v>
      </c>
      <c r="AF289">
        <f t="shared" si="116"/>
        <v>0.88888888888888884</v>
      </c>
      <c r="AG289">
        <f>survey_responses[[#This Row],[So với trước đây, tôi thấy cách tính thuế và các bậc thuế trong phương án mới đơn giản, dễ hiểu và dễ thực hiện hơn. - HUMAN-FAC2]]</f>
        <v>9</v>
      </c>
      <c r="AH289">
        <f t="shared" si="117"/>
        <v>0.88888888888888884</v>
      </c>
      <c r="AI289" s="32">
        <f t="shared" si="118"/>
        <v>0.77777777777777768</v>
      </c>
      <c r="AJ289" s="32">
        <f t="shared" si="119"/>
        <v>0.66666666666666663</v>
      </c>
      <c r="AK289">
        <f>step3_validation[[#This Row],[AI_TRU1]]</f>
        <v>7</v>
      </c>
      <c r="AL289">
        <f t="shared" si="120"/>
        <v>0.66666666666666663</v>
      </c>
      <c r="AM289">
        <f>survey_responses[[#This Row],[Tôi tin rằng Nhà nước, cơ quan thuế sẽ thực thi chính sách mới một cách khách quan, công tâm và đối xử bình đẳng với mọi người nộp thuế.  - HUMAN-TRU1]]</f>
        <v>10</v>
      </c>
      <c r="AN289">
        <f t="shared" si="121"/>
        <v>1</v>
      </c>
      <c r="AO289">
        <f>step3_validation[[#This Row],[AI_TRU2]]</f>
        <v>9</v>
      </c>
      <c r="AP289">
        <f t="shared" si="122"/>
        <v>0.88888888888888884</v>
      </c>
      <c r="AQ289">
        <f>survey_responses[[#This Row],[Tôi thấy mức thuế tôi phải đóng theo phương án mới là công bằng (người thu nhập như tôi đóng mức này là hợp lý). - HUMAN-TRU2]]</f>
        <v>10</v>
      </c>
      <c r="AR289">
        <f t="shared" si="123"/>
        <v>1</v>
      </c>
      <c r="AS289">
        <f>step3_validation[[#This Row],[AI_TRU3]]</f>
        <v>7</v>
      </c>
      <c r="AT289">
        <f t="shared" si="124"/>
        <v>0.66666666666666663</v>
      </c>
      <c r="AU289">
        <f>survey_responses[[#This Row],[Tôi tin tưởng số tiền thuế tôi đóng sẽ được Nhà nước sử dụng hiệu quả để cải thiện dịch vụ công (y tế, đường xá...). - HUMAN-TRU3]]</f>
        <v>9</v>
      </c>
      <c r="AV289">
        <f t="shared" si="125"/>
        <v>0.88888888888888884</v>
      </c>
      <c r="AW289">
        <f>step3_validation[[#This Row],[AI_TRU4]]</f>
        <v>9</v>
      </c>
      <c r="AX289">
        <f t="shared" si="126"/>
        <v>0.88888888888888884</v>
      </c>
      <c r="AY289">
        <f>survey_responses[[#This Row],[Tôi thấy Nhà nước đã giải thích rõ ràng, minh bạch về lý do và mục tiêu của việc sửa đổi thuế lần này. - HUMAN-TRU4]]</f>
        <v>9</v>
      </c>
      <c r="AZ289">
        <f t="shared" si="127"/>
        <v>0.88888888888888884</v>
      </c>
      <c r="BA289" s="32">
        <f t="shared" si="128"/>
        <v>0.77777777777777768</v>
      </c>
      <c r="BB289" s="32">
        <f t="shared" si="129"/>
        <v>0.94444444444444442</v>
      </c>
      <c r="BC289" s="7">
        <f t="shared" si="130"/>
        <v>0.75925925925925919</v>
      </c>
      <c r="BD289" s="7">
        <f t="shared" si="131"/>
        <v>0.79629629629629628</v>
      </c>
      <c r="BE289">
        <f>step3_validation[[#This Row],[AI_OUT1]]</f>
        <v>8</v>
      </c>
      <c r="BF289">
        <f t="shared" si="132"/>
        <v>0.77777777777777779</v>
      </c>
      <c r="BG289">
        <f>survey_responses[[#This Row],[Sau khi xem xét các quyền lợi và nghĩa vụ, bạn có ủng hộ và tuân thủ chính sách mới hiện nay? - HUMAN-OUT1]]</f>
        <v>10</v>
      </c>
      <c r="BH289">
        <f t="shared" si="133"/>
        <v>1</v>
      </c>
      <c r="BI289" s="32">
        <f t="shared" si="134"/>
        <v>2</v>
      </c>
    </row>
    <row r="290" spans="1:61" x14ac:dyDescent="0.45">
      <c r="A290" s="30">
        <f>step3_validation[[#This Row],[Persona_ID]]</f>
        <v>289</v>
      </c>
      <c r="B290" s="31">
        <f>step3_validation[[#This Row],[Used_Seed]]</f>
        <v>289</v>
      </c>
      <c r="C290" t="str">
        <f>step3_validation[[#This Row],[Gender]]</f>
        <v>Nữ</v>
      </c>
      <c r="D290" t="str">
        <f>survey_responses[[#This Row],[Giới tính của bạn:]]</f>
        <v>Nữ</v>
      </c>
      <c r="E290" t="str">
        <f>step3_validation[[#This Row],[Age_Group]]</f>
        <v>30 - 39</v>
      </c>
      <c r="F290" t="str">
        <f>survey_responses[[#This Row],[Độ tuổi của bạn:]]</f>
        <v>30 - 39</v>
      </c>
      <c r="G290" t="str">
        <f>step3_validation[[#This Row],[Region]]</f>
        <v>Thành thị</v>
      </c>
      <c r="H290" t="str">
        <f>survey_responses[[#This Row],[Khu vực bạn đang sinh sống:]]</f>
        <v>Thành thị</v>
      </c>
      <c r="I290" t="str">
        <f>step3_validation[[#This Row],[Education]]</f>
        <v>Cao đẳng</v>
      </c>
      <c r="J290" t="str">
        <f>survey_responses[[#This Row],[Trình độ học vấn cao nhất:]]</f>
        <v>Cao đẳng</v>
      </c>
      <c r="K290" t="str">
        <f>step3_validation[[#This Row],[Employment]]</f>
        <v>Chính thức</v>
      </c>
      <c r="L290" t="str">
        <f>survey_responses[[#This Row],[Tình trạng việc làm chính:]]</f>
        <v>Khu vực chính thức (Có Hợp đồng lao động, đóng BHXH)</v>
      </c>
      <c r="M290">
        <f>step3_validation[[#This Row],[Income_Mil]]</f>
        <v>29.742602209868721</v>
      </c>
      <c r="N290" t="str">
        <f>survey_responses[[#This Row],[Thu nhập bình quân tháng theo Hợp đồng lao động của bạn là bao nhiêu? (Vui lòng điền tổng thu nhập trước khi khấu trừ các loại Bảo hiểm (BHXH, BHYT, BHTN) và Thuế TNCN)]]</f>
        <v>Từ 23 - 32 triệu VNĐ</v>
      </c>
      <c r="O290">
        <f>step3_validation[[#This Row],[Dependents]]</f>
        <v>1</v>
      </c>
      <c r="P290" t="str">
        <f>survey_responses[[#This Row],[Số người phụ thuộc (con nhỏ, cha mẹ già...) đủ điều kiện giảm trừ gia cảnh:]]</f>
        <v>1 người</v>
      </c>
      <c r="Q290">
        <f>step3_validation[[#This Row],[AI_ENF1]]</f>
        <v>5</v>
      </c>
      <c r="R290">
        <f t="shared" si="108"/>
        <v>0.44444444444444442</v>
      </c>
      <c r="S290">
        <f>survey_responses[[#This Row],[Tôi tin rằng với các quy định quản lý thuế hiện nay, hành vi gian lận hoặc trốn thuế sẽ dễ dàng bị phát hiện và xử lý nghiêm. - HUMAN-ENF1]]</f>
        <v>7</v>
      </c>
      <c r="T290">
        <f t="shared" si="109"/>
        <v>0.66666666666666663</v>
      </c>
      <c r="U290">
        <f>step3_validation[[#This Row],[AI_ENF2]]</f>
        <v>6</v>
      </c>
      <c r="V290">
        <f t="shared" si="110"/>
        <v>0.55555555555555558</v>
      </c>
      <c r="W290">
        <f>survey_responses[[#This Row],[Tôi tin rằng Nhà nước, cơ quan thuế có đủ khả năng và công nghệ để phát hiện, xử lý nghiêm các hành vi trốn thuế. - HUMAN-ENF2]]</f>
        <v>7</v>
      </c>
      <c r="X290">
        <f t="shared" si="111"/>
        <v>0.66666666666666663</v>
      </c>
      <c r="Y290" s="32">
        <f t="shared" si="112"/>
        <v>0.5</v>
      </c>
      <c r="Z290" s="32">
        <f t="shared" si="113"/>
        <v>0.66666666666666663</v>
      </c>
      <c r="AA290">
        <f>step3_validation[[#This Row],[AI_FAC1]]</f>
        <v>8</v>
      </c>
      <c r="AB290">
        <f t="shared" si="114"/>
        <v>0.77777777777777779</v>
      </c>
      <c r="AC290">
        <f>survey_responses[[#This Row],[Các thủ tục khai báo thuế VÀ/HOẶC quy trình làm việc với cơ quan thuế đơn giản, tiện lợi, nhanh chóng hơn so với trước đây. - HUMAN-FAC1]]</f>
        <v>5</v>
      </c>
      <c r="AD290">
        <f t="shared" si="115"/>
        <v>0.44444444444444442</v>
      </c>
      <c r="AE290">
        <f>step3_validation[[#This Row],[AI_FAC2]]</f>
        <v>9</v>
      </c>
      <c r="AF290">
        <f t="shared" si="116"/>
        <v>0.88888888888888884</v>
      </c>
      <c r="AG290">
        <f>survey_responses[[#This Row],[So với trước đây, tôi thấy cách tính thuế và các bậc thuế trong phương án mới đơn giản, dễ hiểu và dễ thực hiện hơn. - HUMAN-FAC2]]</f>
        <v>6</v>
      </c>
      <c r="AH290">
        <f t="shared" si="117"/>
        <v>0.55555555555555558</v>
      </c>
      <c r="AI290" s="32">
        <f t="shared" si="118"/>
        <v>0.83333333333333326</v>
      </c>
      <c r="AJ290" s="32">
        <f t="shared" si="119"/>
        <v>0.5</v>
      </c>
      <c r="AK290">
        <f>step3_validation[[#This Row],[AI_TRU1]]</f>
        <v>7</v>
      </c>
      <c r="AL290">
        <f t="shared" si="120"/>
        <v>0.66666666666666663</v>
      </c>
      <c r="AM290">
        <f>survey_responses[[#This Row],[Tôi tin rằng Nhà nước, cơ quan thuế sẽ thực thi chính sách mới một cách khách quan, công tâm và đối xử bình đẳng với mọi người nộp thuế.  - HUMAN-TRU1]]</f>
        <v>5</v>
      </c>
      <c r="AN290">
        <f t="shared" si="121"/>
        <v>0.44444444444444442</v>
      </c>
      <c r="AO290">
        <f>step3_validation[[#This Row],[AI_TRU2]]</f>
        <v>9</v>
      </c>
      <c r="AP290">
        <f t="shared" si="122"/>
        <v>0.88888888888888884</v>
      </c>
      <c r="AQ290">
        <f>survey_responses[[#This Row],[Tôi thấy mức thuế tôi phải đóng theo phương án mới là công bằng (người thu nhập như tôi đóng mức này là hợp lý). - HUMAN-TRU2]]</f>
        <v>5</v>
      </c>
      <c r="AR290">
        <f t="shared" si="123"/>
        <v>0.44444444444444442</v>
      </c>
      <c r="AS290">
        <f>step3_validation[[#This Row],[AI_TRU3]]</f>
        <v>7</v>
      </c>
      <c r="AT290">
        <f t="shared" si="124"/>
        <v>0.66666666666666663</v>
      </c>
      <c r="AU290">
        <f>survey_responses[[#This Row],[Tôi tin tưởng số tiền thuế tôi đóng sẽ được Nhà nước sử dụng hiệu quả để cải thiện dịch vụ công (y tế, đường xá...). - HUMAN-TRU3]]</f>
        <v>5</v>
      </c>
      <c r="AV290">
        <f t="shared" si="125"/>
        <v>0.44444444444444442</v>
      </c>
      <c r="AW290">
        <f>step3_validation[[#This Row],[AI_TRU4]]</f>
        <v>8</v>
      </c>
      <c r="AX290">
        <f t="shared" si="126"/>
        <v>0.77777777777777779</v>
      </c>
      <c r="AY290">
        <f>survey_responses[[#This Row],[Tôi thấy Nhà nước đã giải thích rõ ràng, minh bạch về lý do và mục tiêu của việc sửa đổi thuế lần này. - HUMAN-TRU4]]</f>
        <v>5</v>
      </c>
      <c r="AZ290">
        <f t="shared" si="127"/>
        <v>0.44444444444444442</v>
      </c>
      <c r="BA290" s="32">
        <f t="shared" si="128"/>
        <v>0.74999999999999989</v>
      </c>
      <c r="BB290" s="32">
        <f t="shared" si="129"/>
        <v>0.44444444444444442</v>
      </c>
      <c r="BC290" s="7">
        <f t="shared" si="130"/>
        <v>0.69444444444444431</v>
      </c>
      <c r="BD290" s="7">
        <f t="shared" si="131"/>
        <v>0.53703703703703698</v>
      </c>
      <c r="BE290">
        <f>step3_validation[[#This Row],[AI_OUT1]]</f>
        <v>7</v>
      </c>
      <c r="BF290">
        <f t="shared" si="132"/>
        <v>0.66666666666666663</v>
      </c>
      <c r="BG290">
        <f>survey_responses[[#This Row],[Sau khi xem xét các quyền lợi và nghĩa vụ, bạn có ủng hộ và tuân thủ chính sách mới hiện nay? - HUMAN-OUT1]]</f>
        <v>6</v>
      </c>
      <c r="BH290">
        <f t="shared" si="133"/>
        <v>0.55555555555555558</v>
      </c>
      <c r="BI290" s="32">
        <f t="shared" si="134"/>
        <v>1</v>
      </c>
    </row>
    <row r="291" spans="1:61" x14ac:dyDescent="0.45">
      <c r="A291" s="30">
        <f>step3_validation[[#This Row],[Persona_ID]]</f>
        <v>290</v>
      </c>
      <c r="B291" s="31">
        <f>step3_validation[[#This Row],[Used_Seed]]</f>
        <v>290</v>
      </c>
      <c r="C291" t="str">
        <f>step3_validation[[#This Row],[Gender]]</f>
        <v>Nam</v>
      </c>
      <c r="D291" t="str">
        <f>survey_responses[[#This Row],[Giới tính của bạn:]]</f>
        <v>Nam</v>
      </c>
      <c r="E291" t="str">
        <f>step3_validation[[#This Row],[Age_Group]]</f>
        <v>30 - 39</v>
      </c>
      <c r="F291" t="str">
        <f>survey_responses[[#This Row],[Độ tuổi của bạn:]]</f>
        <v>30 - 39</v>
      </c>
      <c r="G291" t="str">
        <f>step3_validation[[#This Row],[Region]]</f>
        <v>Thành thị</v>
      </c>
      <c r="H291" t="str">
        <f>survey_responses[[#This Row],[Khu vực bạn đang sinh sống:]]</f>
        <v>Thành thị</v>
      </c>
      <c r="I291" t="str">
        <f>step3_validation[[#This Row],[Education]]</f>
        <v>Đại học</v>
      </c>
      <c r="J291" t="str">
        <f>survey_responses[[#This Row],[Trình độ học vấn cao nhất:]]</f>
        <v>Đại học</v>
      </c>
      <c r="K291" t="str">
        <f>step3_validation[[#This Row],[Employment]]</f>
        <v>Chính thức</v>
      </c>
      <c r="L291" t="str">
        <f>survey_responses[[#This Row],[Tình trạng việc làm chính:]]</f>
        <v>Khu vực chính thức (Có Hợp đồng lao động, đóng BHXH)</v>
      </c>
      <c r="M291">
        <f>step3_validation[[#This Row],[Income_Mil]]</f>
        <v>37.891430492980653</v>
      </c>
      <c r="N291" t="str">
        <f>survey_responses[[#This Row],[Thu nhập bình quân tháng theo Hợp đồng lao động của bạn là bao nhiêu? (Vui lòng điền tổng thu nhập trước khi khấu trừ các loại Bảo hiểm (BHXH, BHYT, BHTN) và Thuế TNCN)]]</f>
        <v>Từ 32 - 48 triệu VNĐ</v>
      </c>
      <c r="O291">
        <f>step3_validation[[#This Row],[Dependents]]</f>
        <v>2</v>
      </c>
      <c r="P291" t="str">
        <f>survey_responses[[#This Row],[Số người phụ thuộc (con nhỏ, cha mẹ già...) đủ điều kiện giảm trừ gia cảnh:]]</f>
        <v>2 người</v>
      </c>
      <c r="Q291">
        <f>step3_validation[[#This Row],[AI_ENF1]]</f>
        <v>6</v>
      </c>
      <c r="R291">
        <f t="shared" si="108"/>
        <v>0.55555555555555558</v>
      </c>
      <c r="S291">
        <f>survey_responses[[#This Row],[Tôi tin rằng với các quy định quản lý thuế hiện nay, hành vi gian lận hoặc trốn thuế sẽ dễ dàng bị phát hiện và xử lý nghiêm. - HUMAN-ENF1]]</f>
        <v>8</v>
      </c>
      <c r="T291">
        <f t="shared" si="109"/>
        <v>0.77777777777777779</v>
      </c>
      <c r="U291">
        <f>step3_validation[[#This Row],[AI_ENF2]]</f>
        <v>6</v>
      </c>
      <c r="V291">
        <f t="shared" si="110"/>
        <v>0.55555555555555558</v>
      </c>
      <c r="W291">
        <f>survey_responses[[#This Row],[Tôi tin rằng Nhà nước, cơ quan thuế có đủ khả năng và công nghệ để phát hiện, xử lý nghiêm các hành vi trốn thuế. - HUMAN-ENF2]]</f>
        <v>8</v>
      </c>
      <c r="X291">
        <f t="shared" si="111"/>
        <v>0.77777777777777779</v>
      </c>
      <c r="Y291" s="32">
        <f t="shared" si="112"/>
        <v>0.55555555555555558</v>
      </c>
      <c r="Z291" s="32">
        <f t="shared" si="113"/>
        <v>0.77777777777777779</v>
      </c>
      <c r="AA291">
        <f>step3_validation[[#This Row],[AI_FAC1]]</f>
        <v>8</v>
      </c>
      <c r="AB291">
        <f t="shared" si="114"/>
        <v>0.77777777777777779</v>
      </c>
      <c r="AC291">
        <f>survey_responses[[#This Row],[Các thủ tục khai báo thuế VÀ/HOẶC quy trình làm việc với cơ quan thuế đơn giản, tiện lợi, nhanh chóng hơn so với trước đây. - HUMAN-FAC1]]</f>
        <v>8</v>
      </c>
      <c r="AD291">
        <f t="shared" si="115"/>
        <v>0.77777777777777779</v>
      </c>
      <c r="AE291">
        <f>step3_validation[[#This Row],[AI_FAC2]]</f>
        <v>7</v>
      </c>
      <c r="AF291">
        <f t="shared" si="116"/>
        <v>0.66666666666666663</v>
      </c>
      <c r="AG291">
        <f>survey_responses[[#This Row],[So với trước đây, tôi thấy cách tính thuế và các bậc thuế trong phương án mới đơn giản, dễ hiểu và dễ thực hiện hơn. - HUMAN-FAC2]]</f>
        <v>8</v>
      </c>
      <c r="AH291">
        <f t="shared" si="117"/>
        <v>0.77777777777777779</v>
      </c>
      <c r="AI291" s="32">
        <f t="shared" si="118"/>
        <v>0.72222222222222221</v>
      </c>
      <c r="AJ291" s="32">
        <f t="shared" si="119"/>
        <v>0.77777777777777779</v>
      </c>
      <c r="AK291">
        <f>step3_validation[[#This Row],[AI_TRU1]]</f>
        <v>6</v>
      </c>
      <c r="AL291">
        <f t="shared" si="120"/>
        <v>0.55555555555555558</v>
      </c>
      <c r="AM291">
        <f>survey_responses[[#This Row],[Tôi tin rằng Nhà nước, cơ quan thuế sẽ thực thi chính sách mới một cách khách quan, công tâm và đối xử bình đẳng với mọi người nộp thuế.  - HUMAN-TRU1]]</f>
        <v>8</v>
      </c>
      <c r="AN291">
        <f t="shared" si="121"/>
        <v>0.77777777777777779</v>
      </c>
      <c r="AO291">
        <f>step3_validation[[#This Row],[AI_TRU2]]</f>
        <v>8</v>
      </c>
      <c r="AP291">
        <f t="shared" si="122"/>
        <v>0.77777777777777779</v>
      </c>
      <c r="AQ291">
        <f>survey_responses[[#This Row],[Tôi thấy mức thuế tôi phải đóng theo phương án mới là công bằng (người thu nhập như tôi đóng mức này là hợp lý). - HUMAN-TRU2]]</f>
        <v>8</v>
      </c>
      <c r="AR291">
        <f t="shared" si="123"/>
        <v>0.77777777777777779</v>
      </c>
      <c r="AS291">
        <f>step3_validation[[#This Row],[AI_TRU3]]</f>
        <v>6</v>
      </c>
      <c r="AT291">
        <f t="shared" si="124"/>
        <v>0.55555555555555558</v>
      </c>
      <c r="AU291">
        <f>survey_responses[[#This Row],[Tôi tin tưởng số tiền thuế tôi đóng sẽ được Nhà nước sử dụng hiệu quả để cải thiện dịch vụ công (y tế, đường xá...). - HUMAN-TRU3]]</f>
        <v>8</v>
      </c>
      <c r="AV291">
        <f t="shared" si="125"/>
        <v>0.77777777777777779</v>
      </c>
      <c r="AW291">
        <f>step3_validation[[#This Row],[AI_TRU4]]</f>
        <v>7</v>
      </c>
      <c r="AX291">
        <f t="shared" si="126"/>
        <v>0.66666666666666663</v>
      </c>
      <c r="AY291">
        <f>survey_responses[[#This Row],[Tôi thấy Nhà nước đã giải thích rõ ràng, minh bạch về lý do và mục tiêu của việc sửa đổi thuế lần này. - HUMAN-TRU4]]</f>
        <v>8</v>
      </c>
      <c r="AZ291">
        <f t="shared" si="127"/>
        <v>0.77777777777777779</v>
      </c>
      <c r="BA291" s="32">
        <f t="shared" si="128"/>
        <v>0.63888888888888895</v>
      </c>
      <c r="BB291" s="32">
        <f t="shared" si="129"/>
        <v>0.77777777777777779</v>
      </c>
      <c r="BC291" s="7">
        <f t="shared" si="130"/>
        <v>0.63888888888888884</v>
      </c>
      <c r="BD291" s="7">
        <f t="shared" si="131"/>
        <v>0.77777777777777779</v>
      </c>
      <c r="BE291">
        <f>step3_validation[[#This Row],[AI_OUT1]]</f>
        <v>8</v>
      </c>
      <c r="BF291">
        <f t="shared" si="132"/>
        <v>0.77777777777777779</v>
      </c>
      <c r="BG291">
        <f>survey_responses[[#This Row],[Sau khi xem xét các quyền lợi và nghĩa vụ, bạn có ủng hộ và tuân thủ chính sách mới hiện nay? - HUMAN-OUT1]]</f>
        <v>8</v>
      </c>
      <c r="BH291">
        <f t="shared" si="133"/>
        <v>0.77777777777777779</v>
      </c>
      <c r="BI291" s="32">
        <f t="shared" si="134"/>
        <v>0</v>
      </c>
    </row>
    <row r="292" spans="1:61" x14ac:dyDescent="0.45">
      <c r="A292" s="30">
        <f>step3_validation[[#This Row],[Persona_ID]]</f>
        <v>291</v>
      </c>
      <c r="B292" s="31">
        <f>step3_validation[[#This Row],[Used_Seed]]</f>
        <v>291</v>
      </c>
      <c r="C292" t="str">
        <f>step3_validation[[#This Row],[Gender]]</f>
        <v>Nam</v>
      </c>
      <c r="D292" t="str">
        <f>survey_responses[[#This Row],[Giới tính của bạn:]]</f>
        <v>Nam</v>
      </c>
      <c r="E292" t="str">
        <f>step3_validation[[#This Row],[Age_Group]]</f>
        <v>25 - 29</v>
      </c>
      <c r="F292" t="str">
        <f>survey_responses[[#This Row],[Độ tuổi của bạn:]]</f>
        <v>25 - 29</v>
      </c>
      <c r="G292" t="str">
        <f>step3_validation[[#This Row],[Region]]</f>
        <v>Thành thị</v>
      </c>
      <c r="H292" t="str">
        <f>survey_responses[[#This Row],[Khu vực bạn đang sinh sống:]]</f>
        <v>Thành thị</v>
      </c>
      <c r="I292" t="str">
        <f>step3_validation[[#This Row],[Education]]</f>
        <v>Đại học</v>
      </c>
      <c r="J292" t="str">
        <f>survey_responses[[#This Row],[Trình độ học vấn cao nhất:]]</f>
        <v>Đại học</v>
      </c>
      <c r="K292" t="str">
        <f>step3_validation[[#This Row],[Employment]]</f>
        <v>Chính thức</v>
      </c>
      <c r="L292" t="str">
        <f>survey_responses[[#This Row],[Tình trạng việc làm chính:]]</f>
        <v>Khu vực chính thức (Có Hợp đồng lao động, đóng BHXH)</v>
      </c>
      <c r="M292">
        <f>step3_validation[[#This Row],[Income_Mil]]</f>
        <v>52.054939407172547</v>
      </c>
      <c r="N292" t="str">
        <f>survey_responses[[#This Row],[Thu nhập bình quân tháng theo Hợp đồng lao động của bạn là bao nhiêu? (Vui lòng điền tổng thu nhập trước khi khấu trừ các loại Bảo hiểm (BHXH, BHYT, BHTN) và Thuế TNCN)]]</f>
        <v>Từ 48 - 70 triệu VNĐ</v>
      </c>
      <c r="O292">
        <f>step3_validation[[#This Row],[Dependents]]</f>
        <v>2</v>
      </c>
      <c r="P292" t="str">
        <f>survey_responses[[#This Row],[Số người phụ thuộc (con nhỏ, cha mẹ già...) đủ điều kiện giảm trừ gia cảnh:]]</f>
        <v>2 người</v>
      </c>
      <c r="Q292">
        <f>step3_validation[[#This Row],[AI_ENF1]]</f>
        <v>7</v>
      </c>
      <c r="R292">
        <f t="shared" si="108"/>
        <v>0.66666666666666663</v>
      </c>
      <c r="S292">
        <f>survey_responses[[#This Row],[Tôi tin rằng với các quy định quản lý thuế hiện nay, hành vi gian lận hoặc trốn thuế sẽ dễ dàng bị phát hiện và xử lý nghiêm. - HUMAN-ENF1]]</f>
        <v>9</v>
      </c>
      <c r="T292">
        <f t="shared" si="109"/>
        <v>0.88888888888888884</v>
      </c>
      <c r="U292">
        <f>step3_validation[[#This Row],[AI_ENF2]]</f>
        <v>6</v>
      </c>
      <c r="V292">
        <f t="shared" si="110"/>
        <v>0.55555555555555558</v>
      </c>
      <c r="W292">
        <f>survey_responses[[#This Row],[Tôi tin rằng Nhà nước, cơ quan thuế có đủ khả năng và công nghệ để phát hiện, xử lý nghiêm các hành vi trốn thuế. - HUMAN-ENF2]]</f>
        <v>9</v>
      </c>
      <c r="X292">
        <f t="shared" si="111"/>
        <v>0.88888888888888884</v>
      </c>
      <c r="Y292" s="32">
        <f t="shared" si="112"/>
        <v>0.61111111111111116</v>
      </c>
      <c r="Z292" s="32">
        <f t="shared" si="113"/>
        <v>0.88888888888888884</v>
      </c>
      <c r="AA292">
        <f>step3_validation[[#This Row],[AI_FAC1]]</f>
        <v>8</v>
      </c>
      <c r="AB292">
        <f t="shared" si="114"/>
        <v>0.77777777777777779</v>
      </c>
      <c r="AC292">
        <f>survey_responses[[#This Row],[Các thủ tục khai báo thuế VÀ/HOẶC quy trình làm việc với cơ quan thuế đơn giản, tiện lợi, nhanh chóng hơn so với trước đây. - HUMAN-FAC1]]</f>
        <v>3</v>
      </c>
      <c r="AD292">
        <f t="shared" si="115"/>
        <v>0.22222222222222221</v>
      </c>
      <c r="AE292">
        <f>step3_validation[[#This Row],[AI_FAC2]]</f>
        <v>9</v>
      </c>
      <c r="AF292">
        <f t="shared" si="116"/>
        <v>0.88888888888888884</v>
      </c>
      <c r="AG292">
        <f>survey_responses[[#This Row],[So với trước đây, tôi thấy cách tính thuế và các bậc thuế trong phương án mới đơn giản, dễ hiểu và dễ thực hiện hơn. - HUMAN-FAC2]]</f>
        <v>10</v>
      </c>
      <c r="AH292">
        <f t="shared" si="117"/>
        <v>1</v>
      </c>
      <c r="AI292" s="32">
        <f t="shared" si="118"/>
        <v>0.83333333333333326</v>
      </c>
      <c r="AJ292" s="32">
        <f t="shared" si="119"/>
        <v>0.61111111111111116</v>
      </c>
      <c r="AK292">
        <f>step3_validation[[#This Row],[AI_TRU1]]</f>
        <v>7</v>
      </c>
      <c r="AL292">
        <f t="shared" si="120"/>
        <v>0.66666666666666663</v>
      </c>
      <c r="AM292">
        <f>survey_responses[[#This Row],[Tôi tin rằng Nhà nước, cơ quan thuế sẽ thực thi chính sách mới một cách khách quan, công tâm và đối xử bình đẳng với mọi người nộp thuế.  - HUMAN-TRU1]]</f>
        <v>8</v>
      </c>
      <c r="AN292">
        <f t="shared" si="121"/>
        <v>0.77777777777777779</v>
      </c>
      <c r="AO292">
        <f>step3_validation[[#This Row],[AI_TRU2]]</f>
        <v>9</v>
      </c>
      <c r="AP292">
        <f t="shared" si="122"/>
        <v>0.88888888888888884</v>
      </c>
      <c r="AQ292">
        <f>survey_responses[[#This Row],[Tôi thấy mức thuế tôi phải đóng theo phương án mới là công bằng (người thu nhập như tôi đóng mức này là hợp lý). - HUMAN-TRU2]]</f>
        <v>8</v>
      </c>
      <c r="AR292">
        <f t="shared" si="123"/>
        <v>0.77777777777777779</v>
      </c>
      <c r="AS292">
        <f>step3_validation[[#This Row],[AI_TRU3]]</f>
        <v>8</v>
      </c>
      <c r="AT292">
        <f t="shared" si="124"/>
        <v>0.77777777777777779</v>
      </c>
      <c r="AU292">
        <f>survey_responses[[#This Row],[Tôi tin tưởng số tiền thuế tôi đóng sẽ được Nhà nước sử dụng hiệu quả để cải thiện dịch vụ công (y tế, đường xá...). - HUMAN-TRU3]]</f>
        <v>6</v>
      </c>
      <c r="AV292">
        <f t="shared" si="125"/>
        <v>0.55555555555555558</v>
      </c>
      <c r="AW292">
        <f>step3_validation[[#This Row],[AI_TRU4]]</f>
        <v>6</v>
      </c>
      <c r="AX292">
        <f t="shared" si="126"/>
        <v>0.55555555555555558</v>
      </c>
      <c r="AY292">
        <f>survey_responses[[#This Row],[Tôi thấy Nhà nước đã giải thích rõ ràng, minh bạch về lý do và mục tiêu của việc sửa đổi thuế lần này. - HUMAN-TRU4]]</f>
        <v>8</v>
      </c>
      <c r="AZ292">
        <f t="shared" si="127"/>
        <v>0.77777777777777779</v>
      </c>
      <c r="BA292" s="32">
        <f t="shared" si="128"/>
        <v>0.7222222222222221</v>
      </c>
      <c r="BB292" s="32">
        <f t="shared" si="129"/>
        <v>0.72222222222222221</v>
      </c>
      <c r="BC292" s="7">
        <f t="shared" si="130"/>
        <v>0.72222222222222221</v>
      </c>
      <c r="BD292" s="7">
        <f t="shared" si="131"/>
        <v>0.74074074074074081</v>
      </c>
      <c r="BE292">
        <f>step3_validation[[#This Row],[AI_OUT1]]</f>
        <v>9</v>
      </c>
      <c r="BF292">
        <f t="shared" si="132"/>
        <v>0.88888888888888884</v>
      </c>
      <c r="BG292">
        <f>survey_responses[[#This Row],[Sau khi xem xét các quyền lợi và nghĩa vụ, bạn có ủng hộ và tuân thủ chính sách mới hiện nay? - HUMAN-OUT1]]</f>
        <v>8</v>
      </c>
      <c r="BH292">
        <f t="shared" si="133"/>
        <v>0.77777777777777779</v>
      </c>
      <c r="BI292" s="32">
        <f t="shared" si="134"/>
        <v>1</v>
      </c>
    </row>
    <row r="293" spans="1:61" x14ac:dyDescent="0.45">
      <c r="A293" s="30">
        <f>step3_validation[[#This Row],[Persona_ID]]</f>
        <v>292</v>
      </c>
      <c r="B293" s="31">
        <f>step3_validation[[#This Row],[Used_Seed]]</f>
        <v>292</v>
      </c>
      <c r="C293" t="str">
        <f>step3_validation[[#This Row],[Gender]]</f>
        <v>Nữ</v>
      </c>
      <c r="D293" t="str">
        <f>survey_responses[[#This Row],[Giới tính của bạn:]]</f>
        <v>Nữ</v>
      </c>
      <c r="E293" t="str">
        <f>step3_validation[[#This Row],[Age_Group]]</f>
        <v>55 - 64</v>
      </c>
      <c r="F293" t="str">
        <f>survey_responses[[#This Row],[Độ tuổi của bạn:]]</f>
        <v>55 - 64</v>
      </c>
      <c r="G293" t="str">
        <f>step3_validation[[#This Row],[Region]]</f>
        <v>Thành thị</v>
      </c>
      <c r="H293" t="str">
        <f>survey_responses[[#This Row],[Khu vực bạn đang sinh sống:]]</f>
        <v>Thành thị</v>
      </c>
      <c r="I293" t="str">
        <f>step3_validation[[#This Row],[Education]]</f>
        <v>Sau Đại học</v>
      </c>
      <c r="J293" t="str">
        <f>survey_responses[[#This Row],[Trình độ học vấn cao nhất:]]</f>
        <v>Sau Đại học</v>
      </c>
      <c r="K293" t="str">
        <f>step3_validation[[#This Row],[Employment]]</f>
        <v>Phi chính thức</v>
      </c>
      <c r="L293" t="str">
        <f>survey_responses[[#This Row],[Tình trạng việc làm chính:]]</f>
        <v>Khác (Về hưu, nội trợ, sinh viên)</v>
      </c>
      <c r="M293">
        <f>step3_validation[[#This Row],[Income_Mil]]</f>
        <v>63.37037289255899</v>
      </c>
      <c r="N293" t="str">
        <f>survey_responses[[#This Row],[Thu nhập bình quân tháng theo Hợp đồng lao động của bạn là bao nhiêu? (Vui lòng điền tổng thu nhập trước khi khấu trừ các loại Bảo hiểm (BHXH, BHYT, BHTN) và Thuế TNCN)]]</f>
        <v>Từ 48 - 70 triệu VNĐ</v>
      </c>
      <c r="O293">
        <f>step3_validation[[#This Row],[Dependents]]</f>
        <v>2</v>
      </c>
      <c r="P293" t="str">
        <f>survey_responses[[#This Row],[Số người phụ thuộc (con nhỏ, cha mẹ già...) đủ điều kiện giảm trừ gia cảnh:]]</f>
        <v>2 người</v>
      </c>
      <c r="Q293">
        <f>step3_validation[[#This Row],[AI_ENF1]]</f>
        <v>7</v>
      </c>
      <c r="R293">
        <f t="shared" si="108"/>
        <v>0.66666666666666663</v>
      </c>
      <c r="S293">
        <f>survey_responses[[#This Row],[Tôi tin rằng với các quy định quản lý thuế hiện nay, hành vi gian lận hoặc trốn thuế sẽ dễ dàng bị phát hiện và xử lý nghiêm. - HUMAN-ENF1]]</f>
        <v>6</v>
      </c>
      <c r="T293">
        <f t="shared" si="109"/>
        <v>0.55555555555555558</v>
      </c>
      <c r="U293">
        <f>step3_validation[[#This Row],[AI_ENF2]]</f>
        <v>8</v>
      </c>
      <c r="V293">
        <f t="shared" si="110"/>
        <v>0.77777777777777779</v>
      </c>
      <c r="W293">
        <f>survey_responses[[#This Row],[Tôi tin rằng Nhà nước, cơ quan thuế có đủ khả năng và công nghệ để phát hiện, xử lý nghiêm các hành vi trốn thuế. - HUMAN-ENF2]]</f>
        <v>6</v>
      </c>
      <c r="X293">
        <f t="shared" si="111"/>
        <v>0.55555555555555558</v>
      </c>
      <c r="Y293" s="32">
        <f t="shared" si="112"/>
        <v>0.72222222222222221</v>
      </c>
      <c r="Z293" s="32">
        <f t="shared" si="113"/>
        <v>0.55555555555555558</v>
      </c>
      <c r="AA293">
        <f>step3_validation[[#This Row],[AI_FAC1]]</f>
        <v>9</v>
      </c>
      <c r="AB293">
        <f t="shared" si="114"/>
        <v>0.88888888888888884</v>
      </c>
      <c r="AC293">
        <f>survey_responses[[#This Row],[Các thủ tục khai báo thuế VÀ/HOẶC quy trình làm việc với cơ quan thuế đơn giản, tiện lợi, nhanh chóng hơn so với trước đây. - HUMAN-FAC1]]</f>
        <v>1</v>
      </c>
      <c r="AD293">
        <f t="shared" si="115"/>
        <v>0</v>
      </c>
      <c r="AE293">
        <f>step3_validation[[#This Row],[AI_FAC2]]</f>
        <v>9</v>
      </c>
      <c r="AF293">
        <f t="shared" si="116"/>
        <v>0.88888888888888884</v>
      </c>
      <c r="AG293">
        <f>survey_responses[[#This Row],[So với trước đây, tôi thấy cách tính thuế và các bậc thuế trong phương án mới đơn giản, dễ hiểu và dễ thực hiện hơn. - HUMAN-FAC2]]</f>
        <v>6</v>
      </c>
      <c r="AH293">
        <f t="shared" si="117"/>
        <v>0.55555555555555558</v>
      </c>
      <c r="AI293" s="32">
        <f t="shared" si="118"/>
        <v>0.88888888888888884</v>
      </c>
      <c r="AJ293" s="32">
        <f t="shared" si="119"/>
        <v>0.27777777777777779</v>
      </c>
      <c r="AK293">
        <f>step3_validation[[#This Row],[AI_TRU1]]</f>
        <v>6</v>
      </c>
      <c r="AL293">
        <f t="shared" si="120"/>
        <v>0.55555555555555558</v>
      </c>
      <c r="AM293">
        <f>survey_responses[[#This Row],[Tôi tin rằng Nhà nước, cơ quan thuế sẽ thực thi chính sách mới một cách khách quan, công tâm và đối xử bình đẳng với mọi người nộp thuế.  - HUMAN-TRU1]]</f>
        <v>5</v>
      </c>
      <c r="AN293">
        <f t="shared" si="121"/>
        <v>0.44444444444444442</v>
      </c>
      <c r="AO293">
        <f>step3_validation[[#This Row],[AI_TRU2]]</f>
        <v>8</v>
      </c>
      <c r="AP293">
        <f t="shared" si="122"/>
        <v>0.77777777777777779</v>
      </c>
      <c r="AQ293">
        <f>survey_responses[[#This Row],[Tôi thấy mức thuế tôi phải đóng theo phương án mới là công bằng (người thu nhập như tôi đóng mức này là hợp lý). - HUMAN-TRU2]]</f>
        <v>6</v>
      </c>
      <c r="AR293">
        <f t="shared" si="123"/>
        <v>0.55555555555555558</v>
      </c>
      <c r="AS293">
        <f>step3_validation[[#This Row],[AI_TRU3]]</f>
        <v>7</v>
      </c>
      <c r="AT293">
        <f t="shared" si="124"/>
        <v>0.66666666666666663</v>
      </c>
      <c r="AU293">
        <f>survey_responses[[#This Row],[Tôi tin tưởng số tiền thuế tôi đóng sẽ được Nhà nước sử dụng hiệu quả để cải thiện dịch vụ công (y tế, đường xá...). - HUMAN-TRU3]]</f>
        <v>5</v>
      </c>
      <c r="AV293">
        <f t="shared" si="125"/>
        <v>0.44444444444444442</v>
      </c>
      <c r="AW293">
        <f>step3_validation[[#This Row],[AI_TRU4]]</f>
        <v>8</v>
      </c>
      <c r="AX293">
        <f t="shared" si="126"/>
        <v>0.77777777777777779</v>
      </c>
      <c r="AY293">
        <f>survey_responses[[#This Row],[Tôi thấy Nhà nước đã giải thích rõ ràng, minh bạch về lý do và mục tiêu của việc sửa đổi thuế lần này. - HUMAN-TRU4]]</f>
        <v>6</v>
      </c>
      <c r="AZ293">
        <f t="shared" si="127"/>
        <v>0.55555555555555558</v>
      </c>
      <c r="BA293" s="32">
        <f t="shared" si="128"/>
        <v>0.69444444444444442</v>
      </c>
      <c r="BB293" s="32">
        <f t="shared" si="129"/>
        <v>0.5</v>
      </c>
      <c r="BC293" s="7">
        <f t="shared" si="130"/>
        <v>0.76851851851851849</v>
      </c>
      <c r="BD293" s="7">
        <f t="shared" si="131"/>
        <v>0.44444444444444448</v>
      </c>
      <c r="BE293">
        <f>step3_validation[[#This Row],[AI_OUT1]]</f>
        <v>7</v>
      </c>
      <c r="BF293">
        <f t="shared" si="132"/>
        <v>0.66666666666666663</v>
      </c>
      <c r="BG293">
        <f>survey_responses[[#This Row],[Sau khi xem xét các quyền lợi và nghĩa vụ, bạn có ủng hộ và tuân thủ chính sách mới hiện nay? - HUMAN-OUT1]]</f>
        <v>6</v>
      </c>
      <c r="BH293">
        <f t="shared" si="133"/>
        <v>0.55555555555555558</v>
      </c>
      <c r="BI293" s="32">
        <f t="shared" si="134"/>
        <v>1</v>
      </c>
    </row>
    <row r="294" spans="1:61" x14ac:dyDescent="0.45">
      <c r="A294" s="30">
        <f>step3_validation[[#This Row],[Persona_ID]]</f>
        <v>293</v>
      </c>
      <c r="B294" s="31">
        <f>step3_validation[[#This Row],[Used_Seed]]</f>
        <v>293</v>
      </c>
      <c r="C294" t="str">
        <f>step3_validation[[#This Row],[Gender]]</f>
        <v>Nữ</v>
      </c>
      <c r="D294" t="str">
        <f>survey_responses[[#This Row],[Giới tính của bạn:]]</f>
        <v>Nữ</v>
      </c>
      <c r="E294" t="str">
        <f>step3_validation[[#This Row],[Age_Group]]</f>
        <v>25 - 29</v>
      </c>
      <c r="F294" t="str">
        <f>survey_responses[[#This Row],[Độ tuổi của bạn:]]</f>
        <v>25 - 29</v>
      </c>
      <c r="G294" t="str">
        <f>step3_validation[[#This Row],[Region]]</f>
        <v>Thành thị</v>
      </c>
      <c r="H294" t="str">
        <f>survey_responses[[#This Row],[Khu vực bạn đang sinh sống:]]</f>
        <v>Thành thị</v>
      </c>
      <c r="I294" t="str">
        <f>step3_validation[[#This Row],[Education]]</f>
        <v>Đại học</v>
      </c>
      <c r="J294" t="str">
        <f>survey_responses[[#This Row],[Trình độ học vấn cao nhất:]]</f>
        <v>Đại học</v>
      </c>
      <c r="K294" t="str">
        <f>step3_validation[[#This Row],[Employment]]</f>
        <v>Chính thức</v>
      </c>
      <c r="L294" t="str">
        <f>survey_responses[[#This Row],[Tình trạng việc làm chính:]]</f>
        <v>Khu vực chính thức (Có Hợp đồng lao động, đóng BHXH)</v>
      </c>
      <c r="M294">
        <f>step3_validation[[#This Row],[Income_Mil]]</f>
        <v>42.383862759103813</v>
      </c>
      <c r="N294" t="str">
        <f>survey_responses[[#This Row],[Thu nhập bình quân tháng theo Hợp đồng lao động của bạn là bao nhiêu? (Vui lòng điền tổng thu nhập trước khi khấu trừ các loại Bảo hiểm (BHXH, BHYT, BHTN) và Thuế TNCN)]]</f>
        <v>Từ 32 - 48 triệu VNĐ</v>
      </c>
      <c r="O294">
        <f>step3_validation[[#This Row],[Dependents]]</f>
        <v>1</v>
      </c>
      <c r="P294" t="str">
        <f>survey_responses[[#This Row],[Số người phụ thuộc (con nhỏ, cha mẹ già...) đủ điều kiện giảm trừ gia cảnh:]]</f>
        <v>1 người</v>
      </c>
      <c r="Q294">
        <f>step3_validation[[#This Row],[AI_ENF1]]</f>
        <v>7</v>
      </c>
      <c r="R294">
        <f t="shared" si="108"/>
        <v>0.66666666666666663</v>
      </c>
      <c r="S294">
        <f>survey_responses[[#This Row],[Tôi tin rằng với các quy định quản lý thuế hiện nay, hành vi gian lận hoặc trốn thuế sẽ dễ dàng bị phát hiện và xử lý nghiêm. - HUMAN-ENF1]]</f>
        <v>8</v>
      </c>
      <c r="T294">
        <f t="shared" si="109"/>
        <v>0.77777777777777779</v>
      </c>
      <c r="U294">
        <f>step3_validation[[#This Row],[AI_ENF2]]</f>
        <v>7</v>
      </c>
      <c r="V294">
        <f t="shared" si="110"/>
        <v>0.66666666666666663</v>
      </c>
      <c r="W294">
        <f>survey_responses[[#This Row],[Tôi tin rằng Nhà nước, cơ quan thuế có đủ khả năng và công nghệ để phát hiện, xử lý nghiêm các hành vi trốn thuế. - HUMAN-ENF2]]</f>
        <v>8</v>
      </c>
      <c r="X294">
        <f t="shared" si="111"/>
        <v>0.77777777777777779</v>
      </c>
      <c r="Y294" s="32">
        <f t="shared" si="112"/>
        <v>0.66666666666666663</v>
      </c>
      <c r="Z294" s="32">
        <f t="shared" si="113"/>
        <v>0.77777777777777779</v>
      </c>
      <c r="AA294">
        <f>step3_validation[[#This Row],[AI_FAC1]]</f>
        <v>8</v>
      </c>
      <c r="AB294">
        <f t="shared" si="114"/>
        <v>0.77777777777777779</v>
      </c>
      <c r="AC294">
        <f>survey_responses[[#This Row],[Các thủ tục khai báo thuế VÀ/HOẶC quy trình làm việc với cơ quan thuế đơn giản, tiện lợi, nhanh chóng hơn so với trước đây. - HUMAN-FAC1]]</f>
        <v>5</v>
      </c>
      <c r="AD294">
        <f t="shared" si="115"/>
        <v>0.44444444444444442</v>
      </c>
      <c r="AE294">
        <f>step3_validation[[#This Row],[AI_FAC2]]</f>
        <v>8</v>
      </c>
      <c r="AF294">
        <f t="shared" si="116"/>
        <v>0.77777777777777779</v>
      </c>
      <c r="AG294">
        <f>survey_responses[[#This Row],[So với trước đây, tôi thấy cách tính thuế và các bậc thuế trong phương án mới đơn giản, dễ hiểu và dễ thực hiện hơn. - HUMAN-FAC2]]</f>
        <v>8</v>
      </c>
      <c r="AH294">
        <f t="shared" si="117"/>
        <v>0.77777777777777779</v>
      </c>
      <c r="AI294" s="32">
        <f t="shared" si="118"/>
        <v>0.77777777777777779</v>
      </c>
      <c r="AJ294" s="32">
        <f t="shared" si="119"/>
        <v>0.61111111111111116</v>
      </c>
      <c r="AK294">
        <f>step3_validation[[#This Row],[AI_TRU1]]</f>
        <v>9</v>
      </c>
      <c r="AL294">
        <f t="shared" si="120"/>
        <v>0.88888888888888884</v>
      </c>
      <c r="AM294">
        <f>survey_responses[[#This Row],[Tôi tin rằng Nhà nước, cơ quan thuế sẽ thực thi chính sách mới một cách khách quan, công tâm và đối xử bình đẳng với mọi người nộp thuế.  - HUMAN-TRU1]]</f>
        <v>5</v>
      </c>
      <c r="AN294">
        <f t="shared" si="121"/>
        <v>0.44444444444444442</v>
      </c>
      <c r="AO294">
        <f>step3_validation[[#This Row],[AI_TRU2]]</f>
        <v>9</v>
      </c>
      <c r="AP294">
        <f t="shared" si="122"/>
        <v>0.88888888888888884</v>
      </c>
      <c r="AQ294">
        <f>survey_responses[[#This Row],[Tôi thấy mức thuế tôi phải đóng theo phương án mới là công bằng (người thu nhập như tôi đóng mức này là hợp lý). - HUMAN-TRU2]]</f>
        <v>6</v>
      </c>
      <c r="AR294">
        <f t="shared" si="123"/>
        <v>0.55555555555555558</v>
      </c>
      <c r="AS294">
        <f>step3_validation[[#This Row],[AI_TRU3]]</f>
        <v>8</v>
      </c>
      <c r="AT294">
        <f t="shared" si="124"/>
        <v>0.77777777777777779</v>
      </c>
      <c r="AU294">
        <f>survey_responses[[#This Row],[Tôi tin tưởng số tiền thuế tôi đóng sẽ được Nhà nước sử dụng hiệu quả để cải thiện dịch vụ công (y tế, đường xá...). - HUMAN-TRU3]]</f>
        <v>5</v>
      </c>
      <c r="AV294">
        <f t="shared" si="125"/>
        <v>0.44444444444444442</v>
      </c>
      <c r="AW294">
        <f>step3_validation[[#This Row],[AI_TRU4]]</f>
        <v>9</v>
      </c>
      <c r="AX294">
        <f t="shared" si="126"/>
        <v>0.88888888888888884</v>
      </c>
      <c r="AY294">
        <f>survey_responses[[#This Row],[Tôi thấy Nhà nước đã giải thích rõ ràng, minh bạch về lý do và mục tiêu của việc sửa đổi thuế lần này. - HUMAN-TRU4]]</f>
        <v>6</v>
      </c>
      <c r="AZ294">
        <f t="shared" si="127"/>
        <v>0.55555555555555558</v>
      </c>
      <c r="BA294" s="32">
        <f t="shared" si="128"/>
        <v>0.86111111111111105</v>
      </c>
      <c r="BB294" s="32">
        <f t="shared" si="129"/>
        <v>0.5</v>
      </c>
      <c r="BC294" s="7">
        <f t="shared" si="130"/>
        <v>0.76851851851851849</v>
      </c>
      <c r="BD294" s="7">
        <f t="shared" si="131"/>
        <v>0.62962962962962965</v>
      </c>
      <c r="BE294">
        <f>step3_validation[[#This Row],[AI_OUT1]]</f>
        <v>9</v>
      </c>
      <c r="BF294">
        <f t="shared" si="132"/>
        <v>0.88888888888888884</v>
      </c>
      <c r="BG294">
        <f>survey_responses[[#This Row],[Sau khi xem xét các quyền lợi và nghĩa vụ, bạn có ủng hộ và tuân thủ chính sách mới hiện nay? - HUMAN-OUT1]]</f>
        <v>6</v>
      </c>
      <c r="BH294">
        <f t="shared" si="133"/>
        <v>0.55555555555555558</v>
      </c>
      <c r="BI294" s="32">
        <f t="shared" si="134"/>
        <v>3</v>
      </c>
    </row>
    <row r="295" spans="1:61" x14ac:dyDescent="0.45">
      <c r="A295" s="30">
        <f>step3_validation[[#This Row],[Persona_ID]]</f>
        <v>294</v>
      </c>
      <c r="B295" s="31">
        <f>step3_validation[[#This Row],[Used_Seed]]</f>
        <v>294</v>
      </c>
      <c r="C295" t="str">
        <f>step3_validation[[#This Row],[Gender]]</f>
        <v>Nữ</v>
      </c>
      <c r="D295" t="str">
        <f>survey_responses[[#This Row],[Giới tính của bạn:]]</f>
        <v>Nữ</v>
      </c>
      <c r="E295" t="str">
        <f>step3_validation[[#This Row],[Age_Group]]</f>
        <v>25 - 29</v>
      </c>
      <c r="F295" t="str">
        <f>survey_responses[[#This Row],[Độ tuổi của bạn:]]</f>
        <v>25 - 29</v>
      </c>
      <c r="G295" t="str">
        <f>step3_validation[[#This Row],[Region]]</f>
        <v>Thành thị</v>
      </c>
      <c r="H295" t="str">
        <f>survey_responses[[#This Row],[Khu vực bạn đang sinh sống:]]</f>
        <v>Thành thị</v>
      </c>
      <c r="I295" t="str">
        <f>step3_validation[[#This Row],[Education]]</f>
        <v>Đại học</v>
      </c>
      <c r="J295" t="str">
        <f>survey_responses[[#This Row],[Trình độ học vấn cao nhất:]]</f>
        <v>Đại học</v>
      </c>
      <c r="K295" t="str">
        <f>step3_validation[[#This Row],[Employment]]</f>
        <v>Chính thức</v>
      </c>
      <c r="L295" t="str">
        <f>survey_responses[[#This Row],[Tình trạng việc làm chính:]]</f>
        <v>Khu vực chính thức (Có Hợp đồng lao động, đóng BHXH)</v>
      </c>
      <c r="M295">
        <f>step3_validation[[#This Row],[Income_Mil]]</f>
        <v>61.581465715174531</v>
      </c>
      <c r="N295" t="str">
        <f>survey_responses[[#This Row],[Thu nhập bình quân tháng theo Hợp đồng lao động của bạn là bao nhiêu? (Vui lòng điền tổng thu nhập trước khi khấu trừ các loại Bảo hiểm (BHXH, BHYT, BHTN) và Thuế TNCN)]]</f>
        <v>Từ 48 - 70 triệu VNĐ</v>
      </c>
      <c r="O295">
        <f>step3_validation[[#This Row],[Dependents]]</f>
        <v>3</v>
      </c>
      <c r="P295" t="str">
        <f>survey_responses[[#This Row],[Số người phụ thuộc (con nhỏ, cha mẹ già...) đủ điều kiện giảm trừ gia cảnh:]]</f>
        <v>3 người</v>
      </c>
      <c r="Q295">
        <f>step3_validation[[#This Row],[AI_ENF1]]</f>
        <v>8</v>
      </c>
      <c r="R295">
        <f t="shared" si="108"/>
        <v>0.77777777777777779</v>
      </c>
      <c r="S295">
        <f>survey_responses[[#This Row],[Tôi tin rằng với các quy định quản lý thuế hiện nay, hành vi gian lận hoặc trốn thuế sẽ dễ dàng bị phát hiện và xử lý nghiêm. - HUMAN-ENF1]]</f>
        <v>6</v>
      </c>
      <c r="T295">
        <f t="shared" si="109"/>
        <v>0.55555555555555558</v>
      </c>
      <c r="U295">
        <f>step3_validation[[#This Row],[AI_ENF2]]</f>
        <v>9</v>
      </c>
      <c r="V295">
        <f t="shared" si="110"/>
        <v>0.88888888888888884</v>
      </c>
      <c r="W295">
        <f>survey_responses[[#This Row],[Tôi tin rằng Nhà nước, cơ quan thuế có đủ khả năng và công nghệ để phát hiện, xử lý nghiêm các hành vi trốn thuế. - HUMAN-ENF2]]</f>
        <v>6</v>
      </c>
      <c r="X295">
        <f t="shared" si="111"/>
        <v>0.55555555555555558</v>
      </c>
      <c r="Y295" s="32">
        <f t="shared" si="112"/>
        <v>0.83333333333333326</v>
      </c>
      <c r="Z295" s="32">
        <f t="shared" si="113"/>
        <v>0.55555555555555558</v>
      </c>
      <c r="AA295">
        <f>step3_validation[[#This Row],[AI_FAC1]]</f>
        <v>8</v>
      </c>
      <c r="AB295">
        <f t="shared" si="114"/>
        <v>0.77777777777777779</v>
      </c>
      <c r="AC295">
        <f>survey_responses[[#This Row],[Các thủ tục khai báo thuế VÀ/HOẶC quy trình làm việc với cơ quan thuế đơn giản, tiện lợi, nhanh chóng hơn so với trước đây. - HUMAN-FAC1]]</f>
        <v>3</v>
      </c>
      <c r="AD295">
        <f t="shared" si="115"/>
        <v>0.22222222222222221</v>
      </c>
      <c r="AE295">
        <f>step3_validation[[#This Row],[AI_FAC2]]</f>
        <v>9</v>
      </c>
      <c r="AF295">
        <f t="shared" si="116"/>
        <v>0.88888888888888884</v>
      </c>
      <c r="AG295">
        <f>survey_responses[[#This Row],[So với trước đây, tôi thấy cách tính thuế và các bậc thuế trong phương án mới đơn giản, dễ hiểu và dễ thực hiện hơn. - HUMAN-FAC2]]</f>
        <v>7</v>
      </c>
      <c r="AH295">
        <f t="shared" si="117"/>
        <v>0.66666666666666663</v>
      </c>
      <c r="AI295" s="32">
        <f t="shared" si="118"/>
        <v>0.83333333333333326</v>
      </c>
      <c r="AJ295" s="32">
        <f t="shared" si="119"/>
        <v>0.44444444444444442</v>
      </c>
      <c r="AK295">
        <f>step3_validation[[#This Row],[AI_TRU1]]</f>
        <v>8</v>
      </c>
      <c r="AL295">
        <f t="shared" si="120"/>
        <v>0.77777777777777779</v>
      </c>
      <c r="AM295">
        <f>survey_responses[[#This Row],[Tôi tin rằng Nhà nước, cơ quan thuế sẽ thực thi chính sách mới một cách khách quan, công tâm và đối xử bình đẳng với mọi người nộp thuế.  - HUMAN-TRU1]]</f>
        <v>5</v>
      </c>
      <c r="AN295">
        <f t="shared" si="121"/>
        <v>0.44444444444444442</v>
      </c>
      <c r="AO295">
        <f>step3_validation[[#This Row],[AI_TRU2]]</f>
        <v>9</v>
      </c>
      <c r="AP295">
        <f t="shared" si="122"/>
        <v>0.88888888888888884</v>
      </c>
      <c r="AQ295">
        <f>survey_responses[[#This Row],[Tôi thấy mức thuế tôi phải đóng theo phương án mới là công bằng (người thu nhập như tôi đóng mức này là hợp lý). - HUMAN-TRU2]]</f>
        <v>6</v>
      </c>
      <c r="AR295">
        <f t="shared" si="123"/>
        <v>0.55555555555555558</v>
      </c>
      <c r="AS295">
        <f>step3_validation[[#This Row],[AI_TRU3]]</f>
        <v>8</v>
      </c>
      <c r="AT295">
        <f t="shared" si="124"/>
        <v>0.77777777777777779</v>
      </c>
      <c r="AU295">
        <f>survey_responses[[#This Row],[Tôi tin tưởng số tiền thuế tôi đóng sẽ được Nhà nước sử dụng hiệu quả để cải thiện dịch vụ công (y tế, đường xá...). - HUMAN-TRU3]]</f>
        <v>5</v>
      </c>
      <c r="AV295">
        <f t="shared" si="125"/>
        <v>0.44444444444444442</v>
      </c>
      <c r="AW295">
        <f>step3_validation[[#This Row],[AI_TRU4]]</f>
        <v>7</v>
      </c>
      <c r="AX295">
        <f t="shared" si="126"/>
        <v>0.66666666666666663</v>
      </c>
      <c r="AY295">
        <f>survey_responses[[#This Row],[Tôi thấy Nhà nước đã giải thích rõ ràng, minh bạch về lý do và mục tiêu của việc sửa đổi thuế lần này. - HUMAN-TRU4]]</f>
        <v>5</v>
      </c>
      <c r="AZ295">
        <f t="shared" si="127"/>
        <v>0.44444444444444442</v>
      </c>
      <c r="BA295" s="32">
        <f t="shared" si="128"/>
        <v>0.77777777777777768</v>
      </c>
      <c r="BB295" s="32">
        <f t="shared" si="129"/>
        <v>0.47222222222222221</v>
      </c>
      <c r="BC295" s="7">
        <f t="shared" si="130"/>
        <v>0.81481481481481477</v>
      </c>
      <c r="BD295" s="7">
        <f t="shared" si="131"/>
        <v>0.49074074074074076</v>
      </c>
      <c r="BE295">
        <f>step3_validation[[#This Row],[AI_OUT1]]</f>
        <v>8</v>
      </c>
      <c r="BF295">
        <f t="shared" si="132"/>
        <v>0.77777777777777779</v>
      </c>
      <c r="BG295">
        <f>survey_responses[[#This Row],[Sau khi xem xét các quyền lợi và nghĩa vụ, bạn có ủng hộ và tuân thủ chính sách mới hiện nay? - HUMAN-OUT1]]</f>
        <v>6</v>
      </c>
      <c r="BH295">
        <f t="shared" si="133"/>
        <v>0.55555555555555558</v>
      </c>
      <c r="BI295" s="32">
        <f t="shared" si="134"/>
        <v>2</v>
      </c>
    </row>
    <row r="296" spans="1:61" x14ac:dyDescent="0.45">
      <c r="A296" s="30">
        <f>step3_validation[[#This Row],[Persona_ID]]</f>
        <v>295</v>
      </c>
      <c r="B296" s="31">
        <f>step3_validation[[#This Row],[Used_Seed]]</f>
        <v>295</v>
      </c>
      <c r="C296" t="str">
        <f>step3_validation[[#This Row],[Gender]]</f>
        <v>Nam</v>
      </c>
      <c r="D296" t="str">
        <f>survey_responses[[#This Row],[Giới tính của bạn:]]</f>
        <v>Nam</v>
      </c>
      <c r="E296" t="str">
        <f>step3_validation[[#This Row],[Age_Group]]</f>
        <v>18 - 24</v>
      </c>
      <c r="F296" t="str">
        <f>survey_responses[[#This Row],[Độ tuổi của bạn:]]</f>
        <v>18 - 24</v>
      </c>
      <c r="G296" t="str">
        <f>step3_validation[[#This Row],[Region]]</f>
        <v>Thành thị</v>
      </c>
      <c r="H296" t="str">
        <f>survey_responses[[#This Row],[Khu vực bạn đang sinh sống:]]</f>
        <v>Thành thị</v>
      </c>
      <c r="I296" t="str">
        <f>step3_validation[[#This Row],[Education]]</f>
        <v>Đại học</v>
      </c>
      <c r="J296" t="str">
        <f>survey_responses[[#This Row],[Trình độ học vấn cao nhất:]]</f>
        <v>Đại học</v>
      </c>
      <c r="K296" t="str">
        <f>step3_validation[[#This Row],[Employment]]</f>
        <v>Chính thức</v>
      </c>
      <c r="L296" t="str">
        <f>survey_responses[[#This Row],[Tình trạng việc làm chính:]]</f>
        <v>Khu vực chính thức (Có Hợp đồng lao động, đóng BHXH)</v>
      </c>
      <c r="M296">
        <f>step3_validation[[#This Row],[Income_Mil]]</f>
        <v>24.130267283277423</v>
      </c>
      <c r="N296" t="str">
        <f>survey_responses[[#This Row],[Thu nhập bình quân tháng theo Hợp đồng lao động của bạn là bao nhiêu? (Vui lòng điền tổng thu nhập trước khi khấu trừ các loại Bảo hiểm (BHXH, BHYT, BHTN) và Thuế TNCN)]]</f>
        <v>Từ 23 - 32 triệu VNĐ</v>
      </c>
      <c r="O296">
        <f>step3_validation[[#This Row],[Dependents]]</f>
        <v>0</v>
      </c>
      <c r="P296" t="str">
        <f>survey_responses[[#This Row],[Số người phụ thuộc (con nhỏ, cha mẹ già...) đủ điều kiện giảm trừ gia cảnh:]]</f>
        <v>0 người</v>
      </c>
      <c r="Q296">
        <f>step3_validation[[#This Row],[AI_ENF1]]</f>
        <v>9</v>
      </c>
      <c r="R296">
        <f t="shared" si="108"/>
        <v>0.88888888888888884</v>
      </c>
      <c r="S296">
        <f>survey_responses[[#This Row],[Tôi tin rằng với các quy định quản lý thuế hiện nay, hành vi gian lận hoặc trốn thuế sẽ dễ dàng bị phát hiện và xử lý nghiêm. - HUMAN-ENF1]]</f>
        <v>8</v>
      </c>
      <c r="T296">
        <f t="shared" si="109"/>
        <v>0.77777777777777779</v>
      </c>
      <c r="U296">
        <f>step3_validation[[#This Row],[AI_ENF2]]</f>
        <v>9</v>
      </c>
      <c r="V296">
        <f t="shared" si="110"/>
        <v>0.88888888888888884</v>
      </c>
      <c r="W296">
        <f>survey_responses[[#This Row],[Tôi tin rằng Nhà nước, cơ quan thuế có đủ khả năng và công nghệ để phát hiện, xử lý nghiêm các hành vi trốn thuế. - HUMAN-ENF2]]</f>
        <v>9</v>
      </c>
      <c r="X296">
        <f t="shared" si="111"/>
        <v>0.88888888888888884</v>
      </c>
      <c r="Y296" s="32">
        <f t="shared" si="112"/>
        <v>0.88888888888888884</v>
      </c>
      <c r="Z296" s="32">
        <f t="shared" si="113"/>
        <v>0.83333333333333326</v>
      </c>
      <c r="AA296">
        <f>step3_validation[[#This Row],[AI_FAC1]]</f>
        <v>8</v>
      </c>
      <c r="AB296">
        <f t="shared" si="114"/>
        <v>0.77777777777777779</v>
      </c>
      <c r="AC296">
        <f>survey_responses[[#This Row],[Các thủ tục khai báo thuế VÀ/HOẶC quy trình làm việc với cơ quan thuế đơn giản, tiện lợi, nhanh chóng hơn so với trước đây. - HUMAN-FAC1]]</f>
        <v>9</v>
      </c>
      <c r="AD296">
        <f t="shared" si="115"/>
        <v>0.88888888888888884</v>
      </c>
      <c r="AE296">
        <f>step3_validation[[#This Row],[AI_FAC2]]</f>
        <v>9</v>
      </c>
      <c r="AF296">
        <f t="shared" si="116"/>
        <v>0.88888888888888884</v>
      </c>
      <c r="AG296">
        <f>survey_responses[[#This Row],[So với trước đây, tôi thấy cách tính thuế và các bậc thuế trong phương án mới đơn giản, dễ hiểu và dễ thực hiện hơn. - HUMAN-FAC2]]</f>
        <v>10</v>
      </c>
      <c r="AH296">
        <f t="shared" si="117"/>
        <v>1</v>
      </c>
      <c r="AI296" s="32">
        <f t="shared" si="118"/>
        <v>0.83333333333333326</v>
      </c>
      <c r="AJ296" s="32">
        <f t="shared" si="119"/>
        <v>0.94444444444444442</v>
      </c>
      <c r="AK296">
        <f>step3_validation[[#This Row],[AI_TRU1]]</f>
        <v>8</v>
      </c>
      <c r="AL296">
        <f t="shared" si="120"/>
        <v>0.77777777777777779</v>
      </c>
      <c r="AM296">
        <f>survey_responses[[#This Row],[Tôi tin rằng Nhà nước, cơ quan thuế sẽ thực thi chính sách mới một cách khách quan, công tâm và đối xử bình đẳng với mọi người nộp thuế.  - HUMAN-TRU1]]</f>
        <v>8</v>
      </c>
      <c r="AN296">
        <f t="shared" si="121"/>
        <v>0.77777777777777779</v>
      </c>
      <c r="AO296">
        <f>step3_validation[[#This Row],[AI_TRU2]]</f>
        <v>9</v>
      </c>
      <c r="AP296">
        <f t="shared" si="122"/>
        <v>0.88888888888888884</v>
      </c>
      <c r="AQ296">
        <f>survey_responses[[#This Row],[Tôi thấy mức thuế tôi phải đóng theo phương án mới là công bằng (người thu nhập như tôi đóng mức này là hợp lý). - HUMAN-TRU2]]</f>
        <v>8</v>
      </c>
      <c r="AR296">
        <f t="shared" si="123"/>
        <v>0.77777777777777779</v>
      </c>
      <c r="AS296">
        <f>step3_validation[[#This Row],[AI_TRU3]]</f>
        <v>8</v>
      </c>
      <c r="AT296">
        <f t="shared" si="124"/>
        <v>0.77777777777777779</v>
      </c>
      <c r="AU296">
        <f>survey_responses[[#This Row],[Tôi tin tưởng số tiền thuế tôi đóng sẽ được Nhà nước sử dụng hiệu quả để cải thiện dịch vụ công (y tế, đường xá...). - HUMAN-TRU3]]</f>
        <v>9</v>
      </c>
      <c r="AV296">
        <f t="shared" si="125"/>
        <v>0.88888888888888884</v>
      </c>
      <c r="AW296">
        <f>step3_validation[[#This Row],[AI_TRU4]]</f>
        <v>9</v>
      </c>
      <c r="AX296">
        <f t="shared" si="126"/>
        <v>0.88888888888888884</v>
      </c>
      <c r="AY296">
        <f>survey_responses[[#This Row],[Tôi thấy Nhà nước đã giải thích rõ ràng, minh bạch về lý do và mục tiêu của việc sửa đổi thuế lần này. - HUMAN-TRU4]]</f>
        <v>10</v>
      </c>
      <c r="AZ296">
        <f t="shared" si="127"/>
        <v>1</v>
      </c>
      <c r="BA296" s="32">
        <f t="shared" si="128"/>
        <v>0.83333333333333326</v>
      </c>
      <c r="BB296" s="32">
        <f t="shared" si="129"/>
        <v>0.86111111111111116</v>
      </c>
      <c r="BC296" s="7">
        <f t="shared" si="130"/>
        <v>0.85185185185185175</v>
      </c>
      <c r="BD296" s="7">
        <f t="shared" si="131"/>
        <v>0.87962962962962965</v>
      </c>
      <c r="BE296">
        <f>step3_validation[[#This Row],[AI_OUT1]]</f>
        <v>9</v>
      </c>
      <c r="BF296">
        <f t="shared" si="132"/>
        <v>0.88888888888888884</v>
      </c>
      <c r="BG296">
        <f>survey_responses[[#This Row],[Sau khi xem xét các quyền lợi và nghĩa vụ, bạn có ủng hộ và tuân thủ chính sách mới hiện nay? - HUMAN-OUT1]]</f>
        <v>10</v>
      </c>
      <c r="BH296">
        <f t="shared" si="133"/>
        <v>1</v>
      </c>
      <c r="BI296" s="32">
        <f t="shared" si="134"/>
        <v>1</v>
      </c>
    </row>
    <row r="297" spans="1:61" x14ac:dyDescent="0.45">
      <c r="A297" s="30">
        <f>step3_validation[[#This Row],[Persona_ID]]</f>
        <v>296</v>
      </c>
      <c r="B297" s="31">
        <f>step3_validation[[#This Row],[Used_Seed]]</f>
        <v>296</v>
      </c>
      <c r="C297" t="str">
        <f>step3_validation[[#This Row],[Gender]]</f>
        <v>Nam</v>
      </c>
      <c r="D297" t="str">
        <f>survey_responses[[#This Row],[Giới tính của bạn:]]</f>
        <v>Nam</v>
      </c>
      <c r="E297" t="str">
        <f>step3_validation[[#This Row],[Age_Group]]</f>
        <v>55 - 64</v>
      </c>
      <c r="F297" t="str">
        <f>survey_responses[[#This Row],[Độ tuổi của bạn:]]</f>
        <v>55 - 64</v>
      </c>
      <c r="G297" t="str">
        <f>step3_validation[[#This Row],[Region]]</f>
        <v>Thành thị</v>
      </c>
      <c r="H297" t="str">
        <f>survey_responses[[#This Row],[Khu vực bạn đang sinh sống:]]</f>
        <v>Thành thị</v>
      </c>
      <c r="I297" t="str">
        <f>step3_validation[[#This Row],[Education]]</f>
        <v>Đại học</v>
      </c>
      <c r="J297" t="str">
        <f>survey_responses[[#This Row],[Trình độ học vấn cao nhất:]]</f>
        <v>Đại học</v>
      </c>
      <c r="K297" t="str">
        <f>step3_validation[[#This Row],[Employment]]</f>
        <v>Chính thức</v>
      </c>
      <c r="L297" t="str">
        <f>survey_responses[[#This Row],[Tình trạng việc làm chính:]]</f>
        <v>Khu vực chính thức (Có Hợp đồng lao động, đóng BHXH)</v>
      </c>
      <c r="M297">
        <f>step3_validation[[#This Row],[Income_Mil]]</f>
        <v>12</v>
      </c>
      <c r="N297" t="str">
        <f>survey_responses[[#This Row],[Thu nhập bình quân tháng theo Hợp đồng lao động của bạn là bao nhiêu? (Vui lòng điền tổng thu nhập trước khi khấu trừ các loại Bảo hiểm (BHXH, BHYT, BHTN) và Thuế TNCN)]]</f>
        <v>Dưới 12 triệu VNĐ</v>
      </c>
      <c r="O297">
        <f>step3_validation[[#This Row],[Dependents]]</f>
        <v>0</v>
      </c>
      <c r="P297" t="str">
        <f>survey_responses[[#This Row],[Số người phụ thuộc (con nhỏ, cha mẹ già...) đủ điều kiện giảm trừ gia cảnh:]]</f>
        <v>0 người</v>
      </c>
      <c r="Q297">
        <f>step3_validation[[#This Row],[AI_ENF1]]</f>
        <v>9</v>
      </c>
      <c r="R297">
        <f t="shared" si="108"/>
        <v>0.88888888888888884</v>
      </c>
      <c r="S297">
        <f>survey_responses[[#This Row],[Tôi tin rằng với các quy định quản lý thuế hiện nay, hành vi gian lận hoặc trốn thuế sẽ dễ dàng bị phát hiện và xử lý nghiêm. - HUMAN-ENF1]]</f>
        <v>7</v>
      </c>
      <c r="T297">
        <f t="shared" si="109"/>
        <v>0.66666666666666663</v>
      </c>
      <c r="U297">
        <f>step3_validation[[#This Row],[AI_ENF2]]</f>
        <v>8</v>
      </c>
      <c r="V297">
        <f t="shared" si="110"/>
        <v>0.77777777777777779</v>
      </c>
      <c r="W297">
        <f>survey_responses[[#This Row],[Tôi tin rằng Nhà nước, cơ quan thuế có đủ khả năng và công nghệ để phát hiện, xử lý nghiêm các hành vi trốn thuế. - HUMAN-ENF2]]</f>
        <v>7</v>
      </c>
      <c r="X297">
        <f t="shared" si="111"/>
        <v>0.66666666666666663</v>
      </c>
      <c r="Y297" s="32">
        <f t="shared" si="112"/>
        <v>0.83333333333333326</v>
      </c>
      <c r="Z297" s="32">
        <f t="shared" si="113"/>
        <v>0.66666666666666663</v>
      </c>
      <c r="AA297">
        <f>step3_validation[[#This Row],[AI_FAC1]]</f>
        <v>9</v>
      </c>
      <c r="AB297">
        <f t="shared" si="114"/>
        <v>0.88888888888888884</v>
      </c>
      <c r="AC297">
        <f>survey_responses[[#This Row],[Các thủ tục khai báo thuế VÀ/HOẶC quy trình làm việc với cơ quan thuế đơn giản, tiện lợi, nhanh chóng hơn so với trước đây. - HUMAN-FAC1]]</f>
        <v>6</v>
      </c>
      <c r="AD297">
        <f t="shared" si="115"/>
        <v>0.55555555555555558</v>
      </c>
      <c r="AE297">
        <f>step3_validation[[#This Row],[AI_FAC2]]</f>
        <v>8</v>
      </c>
      <c r="AF297">
        <f t="shared" si="116"/>
        <v>0.77777777777777779</v>
      </c>
      <c r="AG297">
        <f>survey_responses[[#This Row],[So với trước đây, tôi thấy cách tính thuế và các bậc thuế trong phương án mới đơn giản, dễ hiểu và dễ thực hiện hơn. - HUMAN-FAC2]]</f>
        <v>7</v>
      </c>
      <c r="AH297">
        <f t="shared" si="117"/>
        <v>0.66666666666666663</v>
      </c>
      <c r="AI297" s="32">
        <f t="shared" si="118"/>
        <v>0.83333333333333326</v>
      </c>
      <c r="AJ297" s="32">
        <f t="shared" si="119"/>
        <v>0.61111111111111116</v>
      </c>
      <c r="AK297">
        <f>step3_validation[[#This Row],[AI_TRU1]]</f>
        <v>9</v>
      </c>
      <c r="AL297">
        <f t="shared" si="120"/>
        <v>0.88888888888888884</v>
      </c>
      <c r="AM297">
        <f>survey_responses[[#This Row],[Tôi tin rằng Nhà nước, cơ quan thuế sẽ thực thi chính sách mới một cách khách quan, công tâm và đối xử bình đẳng với mọi người nộp thuế.  - HUMAN-TRU1]]</f>
        <v>7</v>
      </c>
      <c r="AN297">
        <f t="shared" si="121"/>
        <v>0.66666666666666663</v>
      </c>
      <c r="AO297">
        <f>step3_validation[[#This Row],[AI_TRU2]]</f>
        <v>8</v>
      </c>
      <c r="AP297">
        <f t="shared" si="122"/>
        <v>0.77777777777777779</v>
      </c>
      <c r="AQ297">
        <f>survey_responses[[#This Row],[Tôi thấy mức thuế tôi phải đóng theo phương án mới là công bằng (người thu nhập như tôi đóng mức này là hợp lý). - HUMAN-TRU2]]</f>
        <v>1</v>
      </c>
      <c r="AR297">
        <f t="shared" si="123"/>
        <v>0</v>
      </c>
      <c r="AS297">
        <f>step3_validation[[#This Row],[AI_TRU3]]</f>
        <v>9</v>
      </c>
      <c r="AT297">
        <f t="shared" si="124"/>
        <v>0.88888888888888884</v>
      </c>
      <c r="AU297">
        <f>survey_responses[[#This Row],[Tôi tin tưởng số tiền thuế tôi đóng sẽ được Nhà nước sử dụng hiệu quả để cải thiện dịch vụ công (y tế, đường xá...). - HUMAN-TRU3]]</f>
        <v>5</v>
      </c>
      <c r="AV297">
        <f t="shared" si="125"/>
        <v>0.44444444444444442</v>
      </c>
      <c r="AW297">
        <f>step3_validation[[#This Row],[AI_TRU4]]</f>
        <v>8</v>
      </c>
      <c r="AX297">
        <f t="shared" si="126"/>
        <v>0.77777777777777779</v>
      </c>
      <c r="AY297">
        <f>survey_responses[[#This Row],[Tôi thấy Nhà nước đã giải thích rõ ràng, minh bạch về lý do và mục tiêu của việc sửa đổi thuế lần này. - HUMAN-TRU4]]</f>
        <v>7</v>
      </c>
      <c r="AZ297">
        <f t="shared" si="127"/>
        <v>0.66666666666666663</v>
      </c>
      <c r="BA297" s="32">
        <f t="shared" si="128"/>
        <v>0.83333333333333326</v>
      </c>
      <c r="BB297" s="32">
        <f t="shared" si="129"/>
        <v>0.44444444444444442</v>
      </c>
      <c r="BC297" s="7">
        <f t="shared" si="130"/>
        <v>0.83333333333333337</v>
      </c>
      <c r="BD297" s="7">
        <f t="shared" si="131"/>
        <v>0.57407407407407407</v>
      </c>
      <c r="BE297">
        <f>step3_validation[[#This Row],[AI_OUT1]]</f>
        <v>9</v>
      </c>
      <c r="BF297">
        <f t="shared" si="132"/>
        <v>0.88888888888888884</v>
      </c>
      <c r="BG297">
        <f>survey_responses[[#This Row],[Sau khi xem xét các quyền lợi và nghĩa vụ, bạn có ủng hộ và tuân thủ chính sách mới hiện nay? - HUMAN-OUT1]]</f>
        <v>7</v>
      </c>
      <c r="BH297">
        <f t="shared" si="133"/>
        <v>0.66666666666666663</v>
      </c>
      <c r="BI297" s="32">
        <f t="shared" si="134"/>
        <v>2</v>
      </c>
    </row>
    <row r="298" spans="1:61" x14ac:dyDescent="0.45">
      <c r="A298" s="30">
        <f>step3_validation[[#This Row],[Persona_ID]]</f>
        <v>297</v>
      </c>
      <c r="B298" s="31">
        <f>step3_validation[[#This Row],[Used_Seed]]</f>
        <v>297</v>
      </c>
      <c r="C298" t="str">
        <f>step3_validation[[#This Row],[Gender]]</f>
        <v>Nữ</v>
      </c>
      <c r="D298" t="str">
        <f>survey_responses[[#This Row],[Giới tính của bạn:]]</f>
        <v>Nữ</v>
      </c>
      <c r="E298" t="str">
        <f>step3_validation[[#This Row],[Age_Group]]</f>
        <v>30 - 39</v>
      </c>
      <c r="F298" t="str">
        <f>survey_responses[[#This Row],[Độ tuổi của bạn:]]</f>
        <v>30 - 39</v>
      </c>
      <c r="G298" t="str">
        <f>step3_validation[[#This Row],[Region]]</f>
        <v>Thành thị</v>
      </c>
      <c r="H298" t="str">
        <f>survey_responses[[#This Row],[Khu vực bạn đang sinh sống:]]</f>
        <v>Thành thị</v>
      </c>
      <c r="I298" t="str">
        <f>step3_validation[[#This Row],[Education]]</f>
        <v>Đại học</v>
      </c>
      <c r="J298" t="str">
        <f>survey_responses[[#This Row],[Trình độ học vấn cao nhất:]]</f>
        <v>Đại học</v>
      </c>
      <c r="K298" t="str">
        <f>step3_validation[[#This Row],[Employment]]</f>
        <v>Chính thức</v>
      </c>
      <c r="L298" t="str">
        <f>survey_responses[[#This Row],[Tình trạng việc làm chính:]]</f>
        <v>Khu vực chính thức (Có Hợp đồng lao động, đóng BHXH)</v>
      </c>
      <c r="M298">
        <f>step3_validation[[#This Row],[Income_Mil]]</f>
        <v>49.565552314063524</v>
      </c>
      <c r="N298" t="str">
        <f>survey_responses[[#This Row],[Thu nhập bình quân tháng theo Hợp đồng lao động của bạn là bao nhiêu? (Vui lòng điền tổng thu nhập trước khi khấu trừ các loại Bảo hiểm (BHXH, BHYT, BHTN) và Thuế TNCN)]]</f>
        <v>Từ 48 - 70 triệu VNĐ</v>
      </c>
      <c r="O298">
        <f>step3_validation[[#This Row],[Dependents]]</f>
        <v>2</v>
      </c>
      <c r="P298" t="str">
        <f>survey_responses[[#This Row],[Số người phụ thuộc (con nhỏ, cha mẹ già...) đủ điều kiện giảm trừ gia cảnh:]]</f>
        <v>2 người</v>
      </c>
      <c r="Q298">
        <f>step3_validation[[#This Row],[AI_ENF1]]</f>
        <v>8</v>
      </c>
      <c r="R298">
        <f t="shared" si="108"/>
        <v>0.77777777777777779</v>
      </c>
      <c r="S298">
        <f>survey_responses[[#This Row],[Tôi tin rằng với các quy định quản lý thuế hiện nay, hành vi gian lận hoặc trốn thuế sẽ dễ dàng bị phát hiện và xử lý nghiêm. - HUMAN-ENF1]]</f>
        <v>5</v>
      </c>
      <c r="T298">
        <f t="shared" si="109"/>
        <v>0.44444444444444442</v>
      </c>
      <c r="U298">
        <f>step3_validation[[#This Row],[AI_ENF2]]</f>
        <v>9</v>
      </c>
      <c r="V298">
        <f t="shared" si="110"/>
        <v>0.88888888888888884</v>
      </c>
      <c r="W298">
        <f>survey_responses[[#This Row],[Tôi tin rằng Nhà nước, cơ quan thuế có đủ khả năng và công nghệ để phát hiện, xử lý nghiêm các hành vi trốn thuế. - HUMAN-ENF2]]</f>
        <v>10</v>
      </c>
      <c r="X298">
        <f t="shared" si="111"/>
        <v>1</v>
      </c>
      <c r="Y298" s="32">
        <f t="shared" si="112"/>
        <v>0.83333333333333326</v>
      </c>
      <c r="Z298" s="32">
        <f t="shared" si="113"/>
        <v>0.72222222222222221</v>
      </c>
      <c r="AA298">
        <f>step3_validation[[#This Row],[AI_FAC1]]</f>
        <v>9</v>
      </c>
      <c r="AB298">
        <f t="shared" si="114"/>
        <v>0.88888888888888884</v>
      </c>
      <c r="AC298">
        <f>survey_responses[[#This Row],[Các thủ tục khai báo thuế VÀ/HOẶC quy trình làm việc với cơ quan thuế đơn giản, tiện lợi, nhanh chóng hơn so với trước đây. - HUMAN-FAC1]]</f>
        <v>5</v>
      </c>
      <c r="AD298">
        <f t="shared" si="115"/>
        <v>0.44444444444444442</v>
      </c>
      <c r="AE298">
        <f>step3_validation[[#This Row],[AI_FAC2]]</f>
        <v>8</v>
      </c>
      <c r="AF298">
        <f t="shared" si="116"/>
        <v>0.77777777777777779</v>
      </c>
      <c r="AG298">
        <f>survey_responses[[#This Row],[So với trước đây, tôi thấy cách tính thuế và các bậc thuế trong phương án mới đơn giản, dễ hiểu và dễ thực hiện hơn. - HUMAN-FAC2]]</f>
        <v>5</v>
      </c>
      <c r="AH298">
        <f t="shared" si="117"/>
        <v>0.44444444444444442</v>
      </c>
      <c r="AI298" s="32">
        <f t="shared" si="118"/>
        <v>0.83333333333333326</v>
      </c>
      <c r="AJ298" s="32">
        <f t="shared" si="119"/>
        <v>0.44444444444444442</v>
      </c>
      <c r="AK298">
        <f>step3_validation[[#This Row],[AI_TRU1]]</f>
        <v>8</v>
      </c>
      <c r="AL298">
        <f t="shared" si="120"/>
        <v>0.77777777777777779</v>
      </c>
      <c r="AM298">
        <f>survey_responses[[#This Row],[Tôi tin rằng Nhà nước, cơ quan thuế sẽ thực thi chính sách mới một cách khách quan, công tâm và đối xử bình đẳng với mọi người nộp thuế.  - HUMAN-TRU1]]</f>
        <v>2</v>
      </c>
      <c r="AN298">
        <f t="shared" si="121"/>
        <v>0.1111111111111111</v>
      </c>
      <c r="AO298">
        <f>step3_validation[[#This Row],[AI_TRU2]]</f>
        <v>9</v>
      </c>
      <c r="AP298">
        <f t="shared" si="122"/>
        <v>0.88888888888888884</v>
      </c>
      <c r="AQ298">
        <f>survey_responses[[#This Row],[Tôi thấy mức thuế tôi phải đóng theo phương án mới là công bằng (người thu nhập như tôi đóng mức này là hợp lý). - HUMAN-TRU2]]</f>
        <v>3</v>
      </c>
      <c r="AR298">
        <f t="shared" si="123"/>
        <v>0.22222222222222221</v>
      </c>
      <c r="AS298">
        <f>step3_validation[[#This Row],[AI_TRU3]]</f>
        <v>8</v>
      </c>
      <c r="AT298">
        <f t="shared" si="124"/>
        <v>0.77777777777777779</v>
      </c>
      <c r="AU298">
        <f>survey_responses[[#This Row],[Tôi tin tưởng số tiền thuế tôi đóng sẽ được Nhà nước sử dụng hiệu quả để cải thiện dịch vụ công (y tế, đường xá...). - HUMAN-TRU3]]</f>
        <v>2</v>
      </c>
      <c r="AV298">
        <f t="shared" si="125"/>
        <v>0.1111111111111111</v>
      </c>
      <c r="AW298">
        <f>step3_validation[[#This Row],[AI_TRU4]]</f>
        <v>7</v>
      </c>
      <c r="AX298">
        <f t="shared" si="126"/>
        <v>0.66666666666666663</v>
      </c>
      <c r="AY298">
        <f>survey_responses[[#This Row],[Tôi thấy Nhà nước đã giải thích rõ ràng, minh bạch về lý do và mục tiêu của việc sửa đổi thuế lần này. - HUMAN-TRU4]]</f>
        <v>5</v>
      </c>
      <c r="AZ298">
        <f t="shared" si="127"/>
        <v>0.44444444444444442</v>
      </c>
      <c r="BA298" s="32">
        <f t="shared" si="128"/>
        <v>0.77777777777777768</v>
      </c>
      <c r="BB298" s="32">
        <f t="shared" si="129"/>
        <v>0.22222222222222221</v>
      </c>
      <c r="BC298" s="7">
        <f t="shared" si="130"/>
        <v>0.81481481481481477</v>
      </c>
      <c r="BD298" s="7">
        <f t="shared" si="131"/>
        <v>0.46296296296296297</v>
      </c>
      <c r="BE298">
        <f>step3_validation[[#This Row],[AI_OUT1]]</f>
        <v>9</v>
      </c>
      <c r="BF298">
        <f t="shared" si="132"/>
        <v>0.88888888888888884</v>
      </c>
      <c r="BG298">
        <f>survey_responses[[#This Row],[Sau khi xem xét các quyền lợi và nghĩa vụ, bạn có ủng hộ và tuân thủ chính sách mới hiện nay? - HUMAN-OUT1]]</f>
        <v>5</v>
      </c>
      <c r="BH298">
        <f t="shared" si="133"/>
        <v>0.44444444444444442</v>
      </c>
      <c r="BI298" s="32">
        <f t="shared" si="134"/>
        <v>4</v>
      </c>
    </row>
    <row r="299" spans="1:61" x14ac:dyDescent="0.45">
      <c r="A299" s="30">
        <f>step3_validation[[#This Row],[Persona_ID]]</f>
        <v>298</v>
      </c>
      <c r="B299" s="31">
        <f>step3_validation[[#This Row],[Used_Seed]]</f>
        <v>298</v>
      </c>
      <c r="C299" t="str">
        <f>step3_validation[[#This Row],[Gender]]</f>
        <v>Nam</v>
      </c>
      <c r="D299" t="str">
        <f>survey_responses[[#This Row],[Giới tính của bạn:]]</f>
        <v>Nam</v>
      </c>
      <c r="E299" t="str">
        <f>step3_validation[[#This Row],[Age_Group]]</f>
        <v>30 - 39</v>
      </c>
      <c r="F299" t="str">
        <f>survey_responses[[#This Row],[Độ tuổi của bạn:]]</f>
        <v>30 - 39</v>
      </c>
      <c r="G299" t="str">
        <f>step3_validation[[#This Row],[Region]]</f>
        <v>Thành thị</v>
      </c>
      <c r="H299" t="str">
        <f>survey_responses[[#This Row],[Khu vực bạn đang sinh sống:]]</f>
        <v>Thành thị</v>
      </c>
      <c r="I299" t="str">
        <f>step3_validation[[#This Row],[Education]]</f>
        <v>Đại học</v>
      </c>
      <c r="J299" t="str">
        <f>survey_responses[[#This Row],[Trình độ học vấn cao nhất:]]</f>
        <v>Đại học</v>
      </c>
      <c r="K299" t="str">
        <f>step3_validation[[#This Row],[Employment]]</f>
        <v>Phi chính thức</v>
      </c>
      <c r="L299" t="str">
        <f>survey_responses[[#This Row],[Tình trạng việc làm chính:]]</f>
        <v>Khác (Về hưu, nội trợ, sinh viên)</v>
      </c>
      <c r="M299">
        <f>step3_validation[[#This Row],[Income_Mil]]</f>
        <v>12</v>
      </c>
      <c r="N299" t="str">
        <f>survey_responses[[#This Row],[Thu nhập bình quân tháng theo Hợp đồng lao động của bạn là bao nhiêu? (Vui lòng điền tổng thu nhập trước khi khấu trừ các loại Bảo hiểm (BHXH, BHYT, BHTN) và Thuế TNCN)]]</f>
        <v>Dưới 12 triệu VNĐ</v>
      </c>
      <c r="O299">
        <f>step3_validation[[#This Row],[Dependents]]</f>
        <v>0</v>
      </c>
      <c r="P299" t="str">
        <f>survey_responses[[#This Row],[Số người phụ thuộc (con nhỏ, cha mẹ già...) đủ điều kiện giảm trừ gia cảnh:]]</f>
        <v>0 người</v>
      </c>
      <c r="Q299">
        <f>step3_validation[[#This Row],[AI_ENF1]]</f>
        <v>6</v>
      </c>
      <c r="R299">
        <f t="shared" si="108"/>
        <v>0.55555555555555558</v>
      </c>
      <c r="S299">
        <f>survey_responses[[#This Row],[Tôi tin rằng với các quy định quản lý thuế hiện nay, hành vi gian lận hoặc trốn thuế sẽ dễ dàng bị phát hiện và xử lý nghiêm. - HUMAN-ENF1]]</f>
        <v>5</v>
      </c>
      <c r="T299">
        <f t="shared" si="109"/>
        <v>0.44444444444444442</v>
      </c>
      <c r="U299">
        <f>step3_validation[[#This Row],[AI_ENF2]]</f>
        <v>7</v>
      </c>
      <c r="V299">
        <f t="shared" si="110"/>
        <v>0.66666666666666663</v>
      </c>
      <c r="W299">
        <f>survey_responses[[#This Row],[Tôi tin rằng Nhà nước, cơ quan thuế có đủ khả năng và công nghệ để phát hiện, xử lý nghiêm các hành vi trốn thuế. - HUMAN-ENF2]]</f>
        <v>5</v>
      </c>
      <c r="X299">
        <f t="shared" si="111"/>
        <v>0.44444444444444442</v>
      </c>
      <c r="Y299" s="32">
        <f t="shared" si="112"/>
        <v>0.61111111111111116</v>
      </c>
      <c r="Z299" s="32">
        <f t="shared" si="113"/>
        <v>0.44444444444444442</v>
      </c>
      <c r="AA299">
        <f>step3_validation[[#This Row],[AI_FAC1]]</f>
        <v>9</v>
      </c>
      <c r="AB299">
        <f t="shared" si="114"/>
        <v>0.88888888888888884</v>
      </c>
      <c r="AC299">
        <f>survey_responses[[#This Row],[Các thủ tục khai báo thuế VÀ/HOẶC quy trình làm việc với cơ quan thuế đơn giản, tiện lợi, nhanh chóng hơn so với trước đây. - HUMAN-FAC1]]</f>
        <v>5</v>
      </c>
      <c r="AD299">
        <f t="shared" si="115"/>
        <v>0.44444444444444442</v>
      </c>
      <c r="AE299">
        <f>step3_validation[[#This Row],[AI_FAC2]]</f>
        <v>8</v>
      </c>
      <c r="AF299">
        <f t="shared" si="116"/>
        <v>0.77777777777777779</v>
      </c>
      <c r="AG299">
        <f>survey_responses[[#This Row],[So với trước đây, tôi thấy cách tính thuế và các bậc thuế trong phương án mới đơn giản, dễ hiểu và dễ thực hiện hơn. - HUMAN-FAC2]]</f>
        <v>10</v>
      </c>
      <c r="AH299">
        <f t="shared" si="117"/>
        <v>1</v>
      </c>
      <c r="AI299" s="32">
        <f t="shared" si="118"/>
        <v>0.83333333333333326</v>
      </c>
      <c r="AJ299" s="32">
        <f t="shared" si="119"/>
        <v>0.72222222222222221</v>
      </c>
      <c r="AK299">
        <f>step3_validation[[#This Row],[AI_TRU1]]</f>
        <v>7</v>
      </c>
      <c r="AL299">
        <f t="shared" si="120"/>
        <v>0.66666666666666663</v>
      </c>
      <c r="AM299">
        <f>survey_responses[[#This Row],[Tôi tin rằng Nhà nước, cơ quan thuế sẽ thực thi chính sách mới một cách khách quan, công tâm và đối xử bình đẳng với mọi người nộp thuế.  - HUMAN-TRU1]]</f>
        <v>10</v>
      </c>
      <c r="AN299">
        <f t="shared" si="121"/>
        <v>1</v>
      </c>
      <c r="AO299">
        <f>step3_validation[[#This Row],[AI_TRU2]]</f>
        <v>9</v>
      </c>
      <c r="AP299">
        <f t="shared" si="122"/>
        <v>0.88888888888888884</v>
      </c>
      <c r="AQ299">
        <f>survey_responses[[#This Row],[Tôi thấy mức thuế tôi phải đóng theo phương án mới là công bằng (người thu nhập như tôi đóng mức này là hợp lý). - HUMAN-TRU2]]</f>
        <v>5</v>
      </c>
      <c r="AR299">
        <f t="shared" si="123"/>
        <v>0.44444444444444442</v>
      </c>
      <c r="AS299">
        <f>step3_validation[[#This Row],[AI_TRU3]]</f>
        <v>8</v>
      </c>
      <c r="AT299">
        <f t="shared" si="124"/>
        <v>0.77777777777777779</v>
      </c>
      <c r="AU299">
        <f>survey_responses[[#This Row],[Tôi tin tưởng số tiền thuế tôi đóng sẽ được Nhà nước sử dụng hiệu quả để cải thiện dịch vụ công (y tế, đường xá...). - HUMAN-TRU3]]</f>
        <v>5</v>
      </c>
      <c r="AV299">
        <f t="shared" si="125"/>
        <v>0.44444444444444442</v>
      </c>
      <c r="AW299">
        <f>step3_validation[[#This Row],[AI_TRU4]]</f>
        <v>7</v>
      </c>
      <c r="AX299">
        <f t="shared" si="126"/>
        <v>0.66666666666666663</v>
      </c>
      <c r="AY299">
        <f>survey_responses[[#This Row],[Tôi thấy Nhà nước đã giải thích rõ ràng, minh bạch về lý do và mục tiêu của việc sửa đổi thuế lần này. - HUMAN-TRU4]]</f>
        <v>5</v>
      </c>
      <c r="AZ299">
        <f t="shared" si="127"/>
        <v>0.44444444444444442</v>
      </c>
      <c r="BA299" s="32">
        <f t="shared" si="128"/>
        <v>0.74999999999999989</v>
      </c>
      <c r="BB299" s="32">
        <f t="shared" si="129"/>
        <v>0.58333333333333326</v>
      </c>
      <c r="BC299" s="7">
        <f t="shared" si="130"/>
        <v>0.7314814814814814</v>
      </c>
      <c r="BD299" s="7">
        <f t="shared" si="131"/>
        <v>0.58333333333333326</v>
      </c>
      <c r="BE299">
        <f>step3_validation[[#This Row],[AI_OUT1]]</f>
        <v>9</v>
      </c>
      <c r="BF299">
        <f t="shared" si="132"/>
        <v>0.88888888888888884</v>
      </c>
      <c r="BG299">
        <f>survey_responses[[#This Row],[Sau khi xem xét các quyền lợi và nghĩa vụ, bạn có ủng hộ và tuân thủ chính sách mới hiện nay? - HUMAN-OUT1]]</f>
        <v>5</v>
      </c>
      <c r="BH299">
        <f t="shared" si="133"/>
        <v>0.44444444444444442</v>
      </c>
      <c r="BI299" s="32">
        <f t="shared" si="134"/>
        <v>4</v>
      </c>
    </row>
    <row r="300" spans="1:61" x14ac:dyDescent="0.45">
      <c r="A300" s="30">
        <f>step3_validation[[#This Row],[Persona_ID]]</f>
        <v>299</v>
      </c>
      <c r="B300" s="31">
        <f>step3_validation[[#This Row],[Used_Seed]]</f>
        <v>299</v>
      </c>
      <c r="C300" t="str">
        <f>step3_validation[[#This Row],[Gender]]</f>
        <v>Nam</v>
      </c>
      <c r="D300" t="str">
        <f>survey_responses[[#This Row],[Giới tính của bạn:]]</f>
        <v>Nam</v>
      </c>
      <c r="E300" t="str">
        <f>step3_validation[[#This Row],[Age_Group]]</f>
        <v>30 - 39</v>
      </c>
      <c r="F300" t="str">
        <f>survey_responses[[#This Row],[Độ tuổi của bạn:]]</f>
        <v>30 - 39</v>
      </c>
      <c r="G300" t="str">
        <f>step3_validation[[#This Row],[Region]]</f>
        <v>Thành thị</v>
      </c>
      <c r="H300" t="str">
        <f>survey_responses[[#This Row],[Khu vực bạn đang sinh sống:]]</f>
        <v>Thành thị</v>
      </c>
      <c r="I300" t="str">
        <f>step3_validation[[#This Row],[Education]]</f>
        <v>Sau Đại học</v>
      </c>
      <c r="J300" t="str">
        <f>survey_responses[[#This Row],[Trình độ học vấn cao nhất:]]</f>
        <v>Sau Đại học</v>
      </c>
      <c r="K300" t="str">
        <f>step3_validation[[#This Row],[Employment]]</f>
        <v>Chính thức</v>
      </c>
      <c r="L300" t="str">
        <f>survey_responses[[#This Row],[Tình trạng việc làm chính:]]</f>
        <v>Khu vực chính thức (Có Hợp đồng lao động, đóng BHXH)</v>
      </c>
      <c r="M300">
        <f>step3_validation[[#This Row],[Income_Mil]]</f>
        <v>42.67982978471175</v>
      </c>
      <c r="N300" t="str">
        <f>survey_responses[[#This Row],[Thu nhập bình quân tháng theo Hợp đồng lao động của bạn là bao nhiêu? (Vui lòng điền tổng thu nhập trước khi khấu trừ các loại Bảo hiểm (BHXH, BHYT, BHTN) và Thuế TNCN)]]</f>
        <v>Từ 32 - 48 triệu VNĐ</v>
      </c>
      <c r="O300">
        <f>step3_validation[[#This Row],[Dependents]]</f>
        <v>0</v>
      </c>
      <c r="P300" t="str">
        <f>survey_responses[[#This Row],[Số người phụ thuộc (con nhỏ, cha mẹ già...) đủ điều kiện giảm trừ gia cảnh:]]</f>
        <v>0 người</v>
      </c>
      <c r="Q300">
        <f>step3_validation[[#This Row],[AI_ENF1]]</f>
        <v>6</v>
      </c>
      <c r="R300">
        <f t="shared" si="108"/>
        <v>0.55555555555555558</v>
      </c>
      <c r="S300">
        <f>survey_responses[[#This Row],[Tôi tin rằng với các quy định quản lý thuế hiện nay, hành vi gian lận hoặc trốn thuế sẽ dễ dàng bị phát hiện và xử lý nghiêm. - HUMAN-ENF1]]</f>
        <v>10</v>
      </c>
      <c r="T300">
        <f t="shared" si="109"/>
        <v>1</v>
      </c>
      <c r="U300">
        <f>step3_validation[[#This Row],[AI_ENF2]]</f>
        <v>6</v>
      </c>
      <c r="V300">
        <f t="shared" si="110"/>
        <v>0.55555555555555558</v>
      </c>
      <c r="W300">
        <f>survey_responses[[#This Row],[Tôi tin rằng Nhà nước, cơ quan thuế có đủ khả năng và công nghệ để phát hiện, xử lý nghiêm các hành vi trốn thuế. - HUMAN-ENF2]]</f>
        <v>10</v>
      </c>
      <c r="X300">
        <f t="shared" si="111"/>
        <v>1</v>
      </c>
      <c r="Y300" s="32">
        <f t="shared" si="112"/>
        <v>0.55555555555555558</v>
      </c>
      <c r="Z300" s="32">
        <f t="shared" si="113"/>
        <v>1</v>
      </c>
      <c r="AA300">
        <f>step3_validation[[#This Row],[AI_FAC1]]</f>
        <v>9</v>
      </c>
      <c r="AB300">
        <f t="shared" si="114"/>
        <v>0.88888888888888884</v>
      </c>
      <c r="AC300">
        <f>survey_responses[[#This Row],[Các thủ tục khai báo thuế VÀ/HOẶC quy trình làm việc với cơ quan thuế đơn giản, tiện lợi, nhanh chóng hơn so với trước đây. - HUMAN-FAC1]]</f>
        <v>10</v>
      </c>
      <c r="AD300">
        <f t="shared" si="115"/>
        <v>1</v>
      </c>
      <c r="AE300">
        <f>step3_validation[[#This Row],[AI_FAC2]]</f>
        <v>8</v>
      </c>
      <c r="AF300">
        <f t="shared" si="116"/>
        <v>0.77777777777777779</v>
      </c>
      <c r="AG300">
        <f>survey_responses[[#This Row],[So với trước đây, tôi thấy cách tính thuế và các bậc thuế trong phương án mới đơn giản, dễ hiểu và dễ thực hiện hơn. - HUMAN-FAC2]]</f>
        <v>10</v>
      </c>
      <c r="AH300">
        <f t="shared" si="117"/>
        <v>1</v>
      </c>
      <c r="AI300" s="32">
        <f t="shared" si="118"/>
        <v>0.83333333333333326</v>
      </c>
      <c r="AJ300" s="32">
        <f t="shared" si="119"/>
        <v>1</v>
      </c>
      <c r="AK300">
        <f>step3_validation[[#This Row],[AI_TRU1]]</f>
        <v>7</v>
      </c>
      <c r="AL300">
        <f t="shared" si="120"/>
        <v>0.66666666666666663</v>
      </c>
      <c r="AM300">
        <f>survey_responses[[#This Row],[Tôi tin rằng Nhà nước, cơ quan thuế sẽ thực thi chính sách mới một cách khách quan, công tâm và đối xử bình đẳng với mọi người nộp thuế.  - HUMAN-TRU1]]</f>
        <v>10</v>
      </c>
      <c r="AN300">
        <f t="shared" si="121"/>
        <v>1</v>
      </c>
      <c r="AO300">
        <f>step3_validation[[#This Row],[AI_TRU2]]</f>
        <v>8</v>
      </c>
      <c r="AP300">
        <f t="shared" si="122"/>
        <v>0.77777777777777779</v>
      </c>
      <c r="AQ300">
        <f>survey_responses[[#This Row],[Tôi thấy mức thuế tôi phải đóng theo phương án mới là công bằng (người thu nhập như tôi đóng mức này là hợp lý). - HUMAN-TRU2]]</f>
        <v>10</v>
      </c>
      <c r="AR300">
        <f t="shared" si="123"/>
        <v>1</v>
      </c>
      <c r="AS300">
        <f>step3_validation[[#This Row],[AI_TRU3]]</f>
        <v>7</v>
      </c>
      <c r="AT300">
        <f t="shared" si="124"/>
        <v>0.66666666666666663</v>
      </c>
      <c r="AU300">
        <f>survey_responses[[#This Row],[Tôi tin tưởng số tiền thuế tôi đóng sẽ được Nhà nước sử dụng hiệu quả để cải thiện dịch vụ công (y tế, đường xá...). - HUMAN-TRU3]]</f>
        <v>10</v>
      </c>
      <c r="AV300">
        <f t="shared" si="125"/>
        <v>1</v>
      </c>
      <c r="AW300">
        <f>step3_validation[[#This Row],[AI_TRU4]]</f>
        <v>6</v>
      </c>
      <c r="AX300">
        <f t="shared" si="126"/>
        <v>0.55555555555555558</v>
      </c>
      <c r="AY300">
        <f>survey_responses[[#This Row],[Tôi thấy Nhà nước đã giải thích rõ ràng, minh bạch về lý do và mục tiêu của việc sửa đổi thuế lần này. - HUMAN-TRU4]]</f>
        <v>10</v>
      </c>
      <c r="AZ300">
        <f t="shared" si="127"/>
        <v>1</v>
      </c>
      <c r="BA300" s="32">
        <f t="shared" si="128"/>
        <v>0.66666666666666674</v>
      </c>
      <c r="BB300" s="32">
        <f t="shared" si="129"/>
        <v>1</v>
      </c>
      <c r="BC300" s="7">
        <f t="shared" si="130"/>
        <v>0.68518518518518512</v>
      </c>
      <c r="BD300" s="7">
        <f t="shared" si="131"/>
        <v>1</v>
      </c>
      <c r="BE300">
        <f>step3_validation[[#This Row],[AI_OUT1]]</f>
        <v>8</v>
      </c>
      <c r="BF300">
        <f t="shared" si="132"/>
        <v>0.77777777777777779</v>
      </c>
      <c r="BG300">
        <f>survey_responses[[#This Row],[Sau khi xem xét các quyền lợi và nghĩa vụ, bạn có ủng hộ và tuân thủ chính sách mới hiện nay? - HUMAN-OUT1]]</f>
        <v>10</v>
      </c>
      <c r="BH300">
        <f t="shared" si="133"/>
        <v>1</v>
      </c>
      <c r="BI300" s="32">
        <f t="shared" si="134"/>
        <v>2</v>
      </c>
    </row>
    <row r="301" spans="1:61" x14ac:dyDescent="0.45">
      <c r="A301" s="30">
        <f>step3_validation[[#This Row],[Persona_ID]]</f>
        <v>300</v>
      </c>
      <c r="B301" s="31">
        <f>step3_validation[[#This Row],[Used_Seed]]</f>
        <v>300</v>
      </c>
      <c r="C301" t="str">
        <f>step3_validation[[#This Row],[Gender]]</f>
        <v>Nam</v>
      </c>
      <c r="D301" t="str">
        <f>survey_responses[[#This Row],[Giới tính của bạn:]]</f>
        <v>Nam</v>
      </c>
      <c r="E301" t="str">
        <f>step3_validation[[#This Row],[Age_Group]]</f>
        <v>30 - 39</v>
      </c>
      <c r="F301" t="str">
        <f>survey_responses[[#This Row],[Độ tuổi của bạn:]]</f>
        <v>30 - 39</v>
      </c>
      <c r="G301" t="str">
        <f>step3_validation[[#This Row],[Region]]</f>
        <v>Thành thị</v>
      </c>
      <c r="H301" t="str">
        <f>survey_responses[[#This Row],[Khu vực bạn đang sinh sống:]]</f>
        <v>Thành thị</v>
      </c>
      <c r="I301" t="str">
        <f>step3_validation[[#This Row],[Education]]</f>
        <v>Đại học</v>
      </c>
      <c r="J301" t="str">
        <f>survey_responses[[#This Row],[Trình độ học vấn cao nhất:]]</f>
        <v>Đại học</v>
      </c>
      <c r="K301" t="str">
        <f>step3_validation[[#This Row],[Employment]]</f>
        <v>Chính thức</v>
      </c>
      <c r="L301" t="str">
        <f>survey_responses[[#This Row],[Tình trạng việc làm chính:]]</f>
        <v>Khu vực chính thức (Có Hợp đồng lao động, đóng BHXH)</v>
      </c>
      <c r="M301">
        <f>step3_validation[[#This Row],[Income_Mil]]</f>
        <v>28.362960709350027</v>
      </c>
      <c r="N301" t="str">
        <f>survey_responses[[#This Row],[Thu nhập bình quân tháng theo Hợp đồng lao động của bạn là bao nhiêu? (Vui lòng điền tổng thu nhập trước khi khấu trừ các loại Bảo hiểm (BHXH, BHYT, BHTN) và Thuế TNCN)]]</f>
        <v>Từ 23 - 32 triệu VNĐ</v>
      </c>
      <c r="O301">
        <f>step3_validation[[#This Row],[Dependents]]</f>
        <v>1</v>
      </c>
      <c r="P301" t="str">
        <f>survey_responses[[#This Row],[Số người phụ thuộc (con nhỏ, cha mẹ già...) đủ điều kiện giảm trừ gia cảnh:]]</f>
        <v>1 người</v>
      </c>
      <c r="Q301">
        <f>step3_validation[[#This Row],[AI_ENF1]]</f>
        <v>6</v>
      </c>
      <c r="R301">
        <f t="shared" si="108"/>
        <v>0.55555555555555558</v>
      </c>
      <c r="S301">
        <f>survey_responses[[#This Row],[Tôi tin rằng với các quy định quản lý thuế hiện nay, hành vi gian lận hoặc trốn thuế sẽ dễ dàng bị phát hiện và xử lý nghiêm. - HUMAN-ENF1]]</f>
        <v>9</v>
      </c>
      <c r="T301">
        <f t="shared" si="109"/>
        <v>0.88888888888888884</v>
      </c>
      <c r="U301">
        <f>step3_validation[[#This Row],[AI_ENF2]]</f>
        <v>7</v>
      </c>
      <c r="V301">
        <f t="shared" si="110"/>
        <v>0.66666666666666663</v>
      </c>
      <c r="W301">
        <f>survey_responses[[#This Row],[Tôi tin rằng Nhà nước, cơ quan thuế có đủ khả năng và công nghệ để phát hiện, xử lý nghiêm các hành vi trốn thuế. - HUMAN-ENF2]]</f>
        <v>9</v>
      </c>
      <c r="X301">
        <f t="shared" si="111"/>
        <v>0.88888888888888884</v>
      </c>
      <c r="Y301" s="32">
        <f t="shared" si="112"/>
        <v>0.61111111111111116</v>
      </c>
      <c r="Z301" s="32">
        <f t="shared" si="113"/>
        <v>0.88888888888888884</v>
      </c>
      <c r="AA301">
        <f>step3_validation[[#This Row],[AI_FAC1]]</f>
        <v>9</v>
      </c>
      <c r="AB301">
        <f t="shared" si="114"/>
        <v>0.88888888888888884</v>
      </c>
      <c r="AC301">
        <f>survey_responses[[#This Row],[Các thủ tục khai báo thuế VÀ/HOẶC quy trình làm việc với cơ quan thuế đơn giản, tiện lợi, nhanh chóng hơn so với trước đây. - HUMAN-FAC1]]</f>
        <v>8</v>
      </c>
      <c r="AD301">
        <f t="shared" si="115"/>
        <v>0.77777777777777779</v>
      </c>
      <c r="AE301">
        <f>step3_validation[[#This Row],[AI_FAC2]]</f>
        <v>8</v>
      </c>
      <c r="AF301">
        <f t="shared" si="116"/>
        <v>0.77777777777777779</v>
      </c>
      <c r="AG301">
        <f>survey_responses[[#This Row],[So với trước đây, tôi thấy cách tính thuế và các bậc thuế trong phương án mới đơn giản, dễ hiểu và dễ thực hiện hơn. - HUMAN-FAC2]]</f>
        <v>10</v>
      </c>
      <c r="AH301">
        <f t="shared" si="117"/>
        <v>1</v>
      </c>
      <c r="AI301" s="32">
        <f t="shared" si="118"/>
        <v>0.83333333333333326</v>
      </c>
      <c r="AJ301" s="32">
        <f t="shared" si="119"/>
        <v>0.88888888888888884</v>
      </c>
      <c r="AK301">
        <f>step3_validation[[#This Row],[AI_TRU1]]</f>
        <v>7</v>
      </c>
      <c r="AL301">
        <f t="shared" si="120"/>
        <v>0.66666666666666663</v>
      </c>
      <c r="AM301">
        <f>survey_responses[[#This Row],[Tôi tin rằng Nhà nước, cơ quan thuế sẽ thực thi chính sách mới một cách khách quan, công tâm và đối xử bình đẳng với mọi người nộp thuế.  - HUMAN-TRU1]]</f>
        <v>8</v>
      </c>
      <c r="AN301">
        <f t="shared" si="121"/>
        <v>0.77777777777777779</v>
      </c>
      <c r="AO301">
        <f>step3_validation[[#This Row],[AI_TRU2]]</f>
        <v>8</v>
      </c>
      <c r="AP301">
        <f t="shared" si="122"/>
        <v>0.77777777777777779</v>
      </c>
      <c r="AQ301">
        <f>survey_responses[[#This Row],[Tôi thấy mức thuế tôi phải đóng theo phương án mới là công bằng (người thu nhập như tôi đóng mức này là hợp lý). - HUMAN-TRU2]]</f>
        <v>8</v>
      </c>
      <c r="AR301">
        <f t="shared" si="123"/>
        <v>0.77777777777777779</v>
      </c>
      <c r="AS301">
        <f>step3_validation[[#This Row],[AI_TRU3]]</f>
        <v>7</v>
      </c>
      <c r="AT301">
        <f t="shared" si="124"/>
        <v>0.66666666666666663</v>
      </c>
      <c r="AU301">
        <f>survey_responses[[#This Row],[Tôi tin tưởng số tiền thuế tôi đóng sẽ được Nhà nước sử dụng hiệu quả để cải thiện dịch vụ công (y tế, đường xá...). - HUMAN-TRU3]]</f>
        <v>10</v>
      </c>
      <c r="AV301">
        <f t="shared" si="125"/>
        <v>1</v>
      </c>
      <c r="AW301">
        <f>step3_validation[[#This Row],[AI_TRU4]]</f>
        <v>6</v>
      </c>
      <c r="AX301">
        <f t="shared" si="126"/>
        <v>0.55555555555555558</v>
      </c>
      <c r="AY301">
        <f>survey_responses[[#This Row],[Tôi thấy Nhà nước đã giải thích rõ ràng, minh bạch về lý do và mục tiêu của việc sửa đổi thuế lần này. - HUMAN-TRU4]]</f>
        <v>9</v>
      </c>
      <c r="AZ301">
        <f t="shared" si="127"/>
        <v>0.88888888888888884</v>
      </c>
      <c r="BA301" s="32">
        <f t="shared" si="128"/>
        <v>0.66666666666666674</v>
      </c>
      <c r="BB301" s="32">
        <f t="shared" si="129"/>
        <v>0.86111111111111105</v>
      </c>
      <c r="BC301" s="7">
        <f t="shared" si="130"/>
        <v>0.70370370370370372</v>
      </c>
      <c r="BD301" s="7">
        <f t="shared" si="131"/>
        <v>0.87962962962962965</v>
      </c>
      <c r="BE301">
        <f>step3_validation[[#This Row],[AI_OUT1]]</f>
        <v>9</v>
      </c>
      <c r="BF301">
        <f t="shared" si="132"/>
        <v>0.88888888888888884</v>
      </c>
      <c r="BG301">
        <f>survey_responses[[#This Row],[Sau khi xem xét các quyền lợi và nghĩa vụ, bạn có ủng hộ và tuân thủ chính sách mới hiện nay? - HUMAN-OUT1]]</f>
        <v>9</v>
      </c>
      <c r="BH301">
        <f t="shared" si="133"/>
        <v>0.88888888888888884</v>
      </c>
      <c r="BI301" s="32">
        <f t="shared" si="134"/>
        <v>0</v>
      </c>
    </row>
    <row r="302" spans="1:61" x14ac:dyDescent="0.45">
      <c r="A302" s="30">
        <f>step3_validation[[#This Row],[Persona_ID]]</f>
        <v>301</v>
      </c>
      <c r="B302" s="31">
        <f>step3_validation[[#This Row],[Used_Seed]]</f>
        <v>301</v>
      </c>
      <c r="C302" t="str">
        <f>step3_validation[[#This Row],[Gender]]</f>
        <v>Nam</v>
      </c>
      <c r="D302" t="str">
        <f>survey_responses[[#This Row],[Giới tính của bạn:]]</f>
        <v>Nam</v>
      </c>
      <c r="E302" t="str">
        <f>step3_validation[[#This Row],[Age_Group]]</f>
        <v>25 - 29</v>
      </c>
      <c r="F302" t="str">
        <f>survey_responses[[#This Row],[Độ tuổi của bạn:]]</f>
        <v>25 - 29</v>
      </c>
      <c r="G302" t="str">
        <f>step3_validation[[#This Row],[Region]]</f>
        <v>Thành thị</v>
      </c>
      <c r="H302" t="str">
        <f>survey_responses[[#This Row],[Khu vực bạn đang sinh sống:]]</f>
        <v>Thành thị</v>
      </c>
      <c r="I302" t="str">
        <f>step3_validation[[#This Row],[Education]]</f>
        <v>Đại học</v>
      </c>
      <c r="J302" t="str">
        <f>survey_responses[[#This Row],[Trình độ học vấn cao nhất:]]</f>
        <v>Đại học</v>
      </c>
      <c r="K302" t="str">
        <f>step3_validation[[#This Row],[Employment]]</f>
        <v>Chính thức</v>
      </c>
      <c r="L302" t="str">
        <f>survey_responses[[#This Row],[Tình trạng việc làm chính:]]</f>
        <v>Khu vực chính thức (Có Hợp đồng lao động, đóng BHXH)</v>
      </c>
      <c r="M302">
        <f>step3_validation[[#This Row],[Income_Mil]]</f>
        <v>12</v>
      </c>
      <c r="N302" t="str">
        <f>survey_responses[[#This Row],[Thu nhập bình quân tháng theo Hợp đồng lao động của bạn là bao nhiêu? (Vui lòng điền tổng thu nhập trước khi khấu trừ các loại Bảo hiểm (BHXH, BHYT, BHTN) và Thuế TNCN)]]</f>
        <v>Dưới 12 triệu VNĐ</v>
      </c>
      <c r="O302">
        <f>step3_validation[[#This Row],[Dependents]]</f>
        <v>0</v>
      </c>
      <c r="P302" t="str">
        <f>survey_responses[[#This Row],[Số người phụ thuộc (con nhỏ, cha mẹ già...) đủ điều kiện giảm trừ gia cảnh:]]</f>
        <v>0 người</v>
      </c>
      <c r="Q302">
        <f>step3_validation[[#This Row],[AI_ENF1]]</f>
        <v>7</v>
      </c>
      <c r="R302">
        <f t="shared" si="108"/>
        <v>0.66666666666666663</v>
      </c>
      <c r="S302">
        <f>survey_responses[[#This Row],[Tôi tin rằng với các quy định quản lý thuế hiện nay, hành vi gian lận hoặc trốn thuế sẽ dễ dàng bị phát hiện và xử lý nghiêm. - HUMAN-ENF1]]</f>
        <v>8</v>
      </c>
      <c r="T302">
        <f t="shared" si="109"/>
        <v>0.77777777777777779</v>
      </c>
      <c r="U302">
        <f>step3_validation[[#This Row],[AI_ENF2]]</f>
        <v>8</v>
      </c>
      <c r="V302">
        <f t="shared" si="110"/>
        <v>0.77777777777777779</v>
      </c>
      <c r="W302">
        <f>survey_responses[[#This Row],[Tôi tin rằng Nhà nước, cơ quan thuế có đủ khả năng và công nghệ để phát hiện, xử lý nghiêm các hành vi trốn thuế. - HUMAN-ENF2]]</f>
        <v>7</v>
      </c>
      <c r="X302">
        <f t="shared" si="111"/>
        <v>0.66666666666666663</v>
      </c>
      <c r="Y302" s="32">
        <f t="shared" si="112"/>
        <v>0.72222222222222221</v>
      </c>
      <c r="Z302" s="32">
        <f t="shared" si="113"/>
        <v>0.72222222222222221</v>
      </c>
      <c r="AA302">
        <f>step3_validation[[#This Row],[AI_FAC1]]</f>
        <v>9</v>
      </c>
      <c r="AB302">
        <f t="shared" si="114"/>
        <v>0.88888888888888884</v>
      </c>
      <c r="AC302">
        <f>survey_responses[[#This Row],[Các thủ tục khai báo thuế VÀ/HOẶC quy trình làm việc với cơ quan thuế đơn giản, tiện lợi, nhanh chóng hơn so với trước đây. - HUMAN-FAC1]]</f>
        <v>9</v>
      </c>
      <c r="AD302">
        <f t="shared" si="115"/>
        <v>0.88888888888888884</v>
      </c>
      <c r="AE302">
        <f>step3_validation[[#This Row],[AI_FAC2]]</f>
        <v>9</v>
      </c>
      <c r="AF302">
        <f t="shared" si="116"/>
        <v>0.88888888888888884</v>
      </c>
      <c r="AG302">
        <f>survey_responses[[#This Row],[So với trước đây, tôi thấy cách tính thuế và các bậc thuế trong phương án mới đơn giản, dễ hiểu và dễ thực hiện hơn. - HUMAN-FAC2]]</f>
        <v>5</v>
      </c>
      <c r="AH302">
        <f t="shared" si="117"/>
        <v>0.44444444444444442</v>
      </c>
      <c r="AI302" s="32">
        <f t="shared" si="118"/>
        <v>0.88888888888888884</v>
      </c>
      <c r="AJ302" s="32">
        <f t="shared" si="119"/>
        <v>0.66666666666666663</v>
      </c>
      <c r="AK302">
        <f>step3_validation[[#This Row],[AI_TRU1]]</f>
        <v>8</v>
      </c>
      <c r="AL302">
        <f t="shared" si="120"/>
        <v>0.77777777777777779</v>
      </c>
      <c r="AM302">
        <f>survey_responses[[#This Row],[Tôi tin rằng Nhà nước, cơ quan thuế sẽ thực thi chính sách mới một cách khách quan, công tâm và đối xử bình đẳng với mọi người nộp thuế.  - HUMAN-TRU1]]</f>
        <v>7</v>
      </c>
      <c r="AN302">
        <f t="shared" si="121"/>
        <v>0.66666666666666663</v>
      </c>
      <c r="AO302">
        <f>step3_validation[[#This Row],[AI_TRU2]]</f>
        <v>9</v>
      </c>
      <c r="AP302">
        <f t="shared" si="122"/>
        <v>0.88888888888888884</v>
      </c>
      <c r="AQ302">
        <f>survey_responses[[#This Row],[Tôi thấy mức thuế tôi phải đóng theo phương án mới là công bằng (người thu nhập như tôi đóng mức này là hợp lý). - HUMAN-TRU2]]</f>
        <v>7</v>
      </c>
      <c r="AR302">
        <f t="shared" si="123"/>
        <v>0.66666666666666663</v>
      </c>
      <c r="AS302">
        <f>step3_validation[[#This Row],[AI_TRU3]]</f>
        <v>8</v>
      </c>
      <c r="AT302">
        <f t="shared" si="124"/>
        <v>0.77777777777777779</v>
      </c>
      <c r="AU302">
        <f>survey_responses[[#This Row],[Tôi tin tưởng số tiền thuế tôi đóng sẽ được Nhà nước sử dụng hiệu quả để cải thiện dịch vụ công (y tế, đường xá...). - HUMAN-TRU3]]</f>
        <v>7</v>
      </c>
      <c r="AV302">
        <f t="shared" si="125"/>
        <v>0.66666666666666663</v>
      </c>
      <c r="AW302">
        <f>step3_validation[[#This Row],[AI_TRU4]]</f>
        <v>7</v>
      </c>
      <c r="AX302">
        <f t="shared" si="126"/>
        <v>0.66666666666666663</v>
      </c>
      <c r="AY302">
        <f>survey_responses[[#This Row],[Tôi thấy Nhà nước đã giải thích rõ ràng, minh bạch về lý do và mục tiêu của việc sửa đổi thuế lần này. - HUMAN-TRU4]]</f>
        <v>6</v>
      </c>
      <c r="AZ302">
        <f t="shared" si="127"/>
        <v>0.55555555555555558</v>
      </c>
      <c r="BA302" s="32">
        <f t="shared" si="128"/>
        <v>0.77777777777777768</v>
      </c>
      <c r="BB302" s="32">
        <f t="shared" si="129"/>
        <v>0.63888888888888884</v>
      </c>
      <c r="BC302" s="7">
        <f t="shared" si="130"/>
        <v>0.79629629629629628</v>
      </c>
      <c r="BD302" s="7">
        <f t="shared" si="131"/>
        <v>0.67592592592592593</v>
      </c>
      <c r="BE302">
        <f>step3_validation[[#This Row],[AI_OUT1]]</f>
        <v>9</v>
      </c>
      <c r="BF302">
        <f t="shared" si="132"/>
        <v>0.88888888888888884</v>
      </c>
      <c r="BG302">
        <f>survey_responses[[#This Row],[Sau khi xem xét các quyền lợi và nghĩa vụ, bạn có ủng hộ và tuân thủ chính sách mới hiện nay? - HUMAN-OUT1]]</f>
        <v>7</v>
      </c>
      <c r="BH302">
        <f t="shared" si="133"/>
        <v>0.66666666666666663</v>
      </c>
      <c r="BI302" s="32">
        <f t="shared" si="134"/>
        <v>2</v>
      </c>
    </row>
    <row r="303" spans="1:61" x14ac:dyDescent="0.45">
      <c r="A303" s="30">
        <f>step3_validation[[#This Row],[Persona_ID]]</f>
        <v>302</v>
      </c>
      <c r="B303" s="31">
        <f>step3_validation[[#This Row],[Used_Seed]]</f>
        <v>302</v>
      </c>
      <c r="C303" t="str">
        <f>step3_validation[[#This Row],[Gender]]</f>
        <v>Nữ</v>
      </c>
      <c r="D303" t="str">
        <f>survey_responses[[#This Row],[Giới tính của bạn:]]</f>
        <v>Nữ</v>
      </c>
      <c r="E303" t="str">
        <f>step3_validation[[#This Row],[Age_Group]]</f>
        <v>30 - 39</v>
      </c>
      <c r="F303" t="str">
        <f>survey_responses[[#This Row],[Độ tuổi của bạn:]]</f>
        <v>30 - 39</v>
      </c>
      <c r="G303" t="str">
        <f>step3_validation[[#This Row],[Region]]</f>
        <v>Thành thị</v>
      </c>
      <c r="H303" t="str">
        <f>survey_responses[[#This Row],[Khu vực bạn đang sinh sống:]]</f>
        <v>Thành thị</v>
      </c>
      <c r="I303" t="str">
        <f>step3_validation[[#This Row],[Education]]</f>
        <v>Đại học</v>
      </c>
      <c r="J303" t="str">
        <f>survey_responses[[#This Row],[Trình độ học vấn cao nhất:]]</f>
        <v>Đại học</v>
      </c>
      <c r="K303" t="str">
        <f>step3_validation[[#This Row],[Employment]]</f>
        <v>Chính thức</v>
      </c>
      <c r="L303" t="str">
        <f>survey_responses[[#This Row],[Tình trạng việc làm chính:]]</f>
        <v>Khu vực chính thức (Có Hợp đồng lao động, đóng BHXH)</v>
      </c>
      <c r="M303">
        <f>step3_validation[[#This Row],[Income_Mil]]</f>
        <v>29.07797034792781</v>
      </c>
      <c r="N303" t="str">
        <f>survey_responses[[#This Row],[Thu nhập bình quân tháng theo Hợp đồng lao động của bạn là bao nhiêu? (Vui lòng điền tổng thu nhập trước khi khấu trừ các loại Bảo hiểm (BHXH, BHYT, BHTN) và Thuế TNCN)]]</f>
        <v>Từ 23 - 32 triệu VNĐ</v>
      </c>
      <c r="O303">
        <f>step3_validation[[#This Row],[Dependents]]</f>
        <v>0</v>
      </c>
      <c r="P303" t="str">
        <f>survey_responses[[#This Row],[Số người phụ thuộc (con nhỏ, cha mẹ già...) đủ điều kiện giảm trừ gia cảnh:]]</f>
        <v>0 người</v>
      </c>
      <c r="Q303">
        <f>step3_validation[[#This Row],[AI_ENF1]]</f>
        <v>7</v>
      </c>
      <c r="R303">
        <f t="shared" si="108"/>
        <v>0.66666666666666663</v>
      </c>
      <c r="S303">
        <f>survey_responses[[#This Row],[Tôi tin rằng với các quy định quản lý thuế hiện nay, hành vi gian lận hoặc trốn thuế sẽ dễ dàng bị phát hiện và xử lý nghiêm. - HUMAN-ENF1]]</f>
        <v>7</v>
      </c>
      <c r="T303">
        <f t="shared" si="109"/>
        <v>0.66666666666666663</v>
      </c>
      <c r="U303">
        <f>step3_validation[[#This Row],[AI_ENF2]]</f>
        <v>6</v>
      </c>
      <c r="V303">
        <f t="shared" si="110"/>
        <v>0.55555555555555558</v>
      </c>
      <c r="W303">
        <f>survey_responses[[#This Row],[Tôi tin rằng Nhà nước, cơ quan thuế có đủ khả năng và công nghệ để phát hiện, xử lý nghiêm các hành vi trốn thuế. - HUMAN-ENF2]]</f>
        <v>7</v>
      </c>
      <c r="X303">
        <f t="shared" si="111"/>
        <v>0.66666666666666663</v>
      </c>
      <c r="Y303" s="32">
        <f t="shared" si="112"/>
        <v>0.61111111111111116</v>
      </c>
      <c r="Z303" s="32">
        <f t="shared" si="113"/>
        <v>0.66666666666666663</v>
      </c>
      <c r="AA303">
        <f>step3_validation[[#This Row],[AI_FAC1]]</f>
        <v>5</v>
      </c>
      <c r="AB303">
        <f t="shared" si="114"/>
        <v>0.44444444444444442</v>
      </c>
      <c r="AC303">
        <f>survey_responses[[#This Row],[Các thủ tục khai báo thuế VÀ/HOẶC quy trình làm việc với cơ quan thuế đơn giản, tiện lợi, nhanh chóng hơn so với trước đây. - HUMAN-FAC1]]</f>
        <v>4</v>
      </c>
      <c r="AD303">
        <f t="shared" si="115"/>
        <v>0.33333333333333331</v>
      </c>
      <c r="AE303">
        <f>step3_validation[[#This Row],[AI_FAC2]]</f>
        <v>9</v>
      </c>
      <c r="AF303">
        <f t="shared" si="116"/>
        <v>0.88888888888888884</v>
      </c>
      <c r="AG303">
        <f>survey_responses[[#This Row],[So với trước đây, tôi thấy cách tính thuế và các bậc thuế trong phương án mới đơn giản, dễ hiểu và dễ thực hiện hơn. - HUMAN-FAC2]]</f>
        <v>8</v>
      </c>
      <c r="AH303">
        <f t="shared" si="117"/>
        <v>0.77777777777777779</v>
      </c>
      <c r="AI303" s="32">
        <f t="shared" si="118"/>
        <v>0.66666666666666663</v>
      </c>
      <c r="AJ303" s="32">
        <f t="shared" si="119"/>
        <v>0.55555555555555558</v>
      </c>
      <c r="AK303">
        <f>step3_validation[[#This Row],[AI_TRU1]]</f>
        <v>7</v>
      </c>
      <c r="AL303">
        <f t="shared" si="120"/>
        <v>0.66666666666666663</v>
      </c>
      <c r="AM303">
        <f>survey_responses[[#This Row],[Tôi tin rằng Nhà nước, cơ quan thuế sẽ thực thi chính sách mới một cách khách quan, công tâm và đối xử bình đẳng với mọi người nộp thuế.  - HUMAN-TRU1]]</f>
        <v>7</v>
      </c>
      <c r="AN303">
        <f t="shared" si="121"/>
        <v>0.66666666666666663</v>
      </c>
      <c r="AO303">
        <f>step3_validation[[#This Row],[AI_TRU2]]</f>
        <v>8</v>
      </c>
      <c r="AP303">
        <f t="shared" si="122"/>
        <v>0.77777777777777779</v>
      </c>
      <c r="AQ303">
        <f>survey_responses[[#This Row],[Tôi thấy mức thuế tôi phải đóng theo phương án mới là công bằng (người thu nhập như tôi đóng mức này là hợp lý). - HUMAN-TRU2]]</f>
        <v>7</v>
      </c>
      <c r="AR303">
        <f t="shared" si="123"/>
        <v>0.66666666666666663</v>
      </c>
      <c r="AS303">
        <f>step3_validation[[#This Row],[AI_TRU3]]</f>
        <v>7</v>
      </c>
      <c r="AT303">
        <f t="shared" si="124"/>
        <v>0.66666666666666663</v>
      </c>
      <c r="AU303">
        <f>survey_responses[[#This Row],[Tôi tin tưởng số tiền thuế tôi đóng sẽ được Nhà nước sử dụng hiệu quả để cải thiện dịch vụ công (y tế, đường xá...). - HUMAN-TRU3]]</f>
        <v>5</v>
      </c>
      <c r="AV303">
        <f t="shared" si="125"/>
        <v>0.44444444444444442</v>
      </c>
      <c r="AW303">
        <f>step3_validation[[#This Row],[AI_TRU4]]</f>
        <v>6</v>
      </c>
      <c r="AX303">
        <f t="shared" si="126"/>
        <v>0.55555555555555558</v>
      </c>
      <c r="AY303">
        <f>survey_responses[[#This Row],[Tôi thấy Nhà nước đã giải thích rõ ràng, minh bạch về lý do và mục tiêu của việc sửa đổi thuế lần này. - HUMAN-TRU4]]</f>
        <v>5</v>
      </c>
      <c r="AZ303">
        <f t="shared" si="127"/>
        <v>0.44444444444444442</v>
      </c>
      <c r="BA303" s="32">
        <f t="shared" si="128"/>
        <v>0.66666666666666674</v>
      </c>
      <c r="BB303" s="32">
        <f t="shared" si="129"/>
        <v>0.55555555555555558</v>
      </c>
      <c r="BC303" s="7">
        <f t="shared" si="130"/>
        <v>0.64814814814814814</v>
      </c>
      <c r="BD303" s="7">
        <f t="shared" si="131"/>
        <v>0.59259259259259267</v>
      </c>
      <c r="BE303">
        <f>step3_validation[[#This Row],[AI_OUT1]]</f>
        <v>8</v>
      </c>
      <c r="BF303">
        <f t="shared" si="132"/>
        <v>0.77777777777777779</v>
      </c>
      <c r="BG303">
        <f>survey_responses[[#This Row],[Sau khi xem xét các quyền lợi và nghĩa vụ, bạn có ủng hộ và tuân thủ chính sách mới hiện nay? - HUMAN-OUT1]]</f>
        <v>7</v>
      </c>
      <c r="BH303">
        <f t="shared" si="133"/>
        <v>0.66666666666666663</v>
      </c>
      <c r="BI303" s="32">
        <f t="shared" si="134"/>
        <v>1</v>
      </c>
    </row>
    <row r="304" spans="1:61" x14ac:dyDescent="0.45">
      <c r="A304" s="30">
        <f>step3_validation[[#This Row],[Persona_ID]]</f>
        <v>303</v>
      </c>
      <c r="B304" s="31">
        <f>step3_validation[[#This Row],[Used_Seed]]</f>
        <v>303</v>
      </c>
      <c r="C304" t="str">
        <f>step3_validation[[#This Row],[Gender]]</f>
        <v>Nam</v>
      </c>
      <c r="D304" t="str">
        <f>survey_responses[[#This Row],[Giới tính của bạn:]]</f>
        <v>Nam</v>
      </c>
      <c r="E304" t="str">
        <f>step3_validation[[#This Row],[Age_Group]]</f>
        <v>30 - 39</v>
      </c>
      <c r="F304" t="str">
        <f>survey_responses[[#This Row],[Độ tuổi của bạn:]]</f>
        <v>30 - 39</v>
      </c>
      <c r="G304" t="str">
        <f>step3_validation[[#This Row],[Region]]</f>
        <v>Thành thị</v>
      </c>
      <c r="H304" t="str">
        <f>survey_responses[[#This Row],[Khu vực bạn đang sinh sống:]]</f>
        <v>Thành thị</v>
      </c>
      <c r="I304" t="str">
        <f>step3_validation[[#This Row],[Education]]</f>
        <v>Đại học</v>
      </c>
      <c r="J304" t="str">
        <f>survey_responses[[#This Row],[Trình độ học vấn cao nhất:]]</f>
        <v>Đại học</v>
      </c>
      <c r="K304" t="str">
        <f>step3_validation[[#This Row],[Employment]]</f>
        <v>Chính thức</v>
      </c>
      <c r="L304" t="str">
        <f>survey_responses[[#This Row],[Tình trạng việc làm chính:]]</f>
        <v>Khu vực chính thức (Có Hợp đồng lao động, đóng BHXH)</v>
      </c>
      <c r="M304">
        <f>step3_validation[[#This Row],[Income_Mil]]</f>
        <v>24.715459353125222</v>
      </c>
      <c r="N304" t="str">
        <f>survey_responses[[#This Row],[Thu nhập bình quân tháng theo Hợp đồng lao động của bạn là bao nhiêu? (Vui lòng điền tổng thu nhập trước khi khấu trừ các loại Bảo hiểm (BHXH, BHYT, BHTN) và Thuế TNCN)]]</f>
        <v>Từ 23 - 32 triệu VNĐ</v>
      </c>
      <c r="O304">
        <f>step3_validation[[#This Row],[Dependents]]</f>
        <v>2</v>
      </c>
      <c r="P304" t="str">
        <f>survey_responses[[#This Row],[Số người phụ thuộc (con nhỏ, cha mẹ già...) đủ điều kiện giảm trừ gia cảnh:]]</f>
        <v>2 người</v>
      </c>
      <c r="Q304">
        <f>step3_validation[[#This Row],[AI_ENF1]]</f>
        <v>7</v>
      </c>
      <c r="R304">
        <f t="shared" si="108"/>
        <v>0.66666666666666663</v>
      </c>
      <c r="S304">
        <f>survey_responses[[#This Row],[Tôi tin rằng với các quy định quản lý thuế hiện nay, hành vi gian lận hoặc trốn thuế sẽ dễ dàng bị phát hiện và xử lý nghiêm. - HUMAN-ENF1]]</f>
        <v>6</v>
      </c>
      <c r="T304">
        <f t="shared" si="109"/>
        <v>0.55555555555555558</v>
      </c>
      <c r="U304">
        <f>step3_validation[[#This Row],[AI_ENF2]]</f>
        <v>8</v>
      </c>
      <c r="V304">
        <f t="shared" si="110"/>
        <v>0.77777777777777779</v>
      </c>
      <c r="W304">
        <f>survey_responses[[#This Row],[Tôi tin rằng Nhà nước, cơ quan thuế có đủ khả năng và công nghệ để phát hiện, xử lý nghiêm các hành vi trốn thuế. - HUMAN-ENF2]]</f>
        <v>10</v>
      </c>
      <c r="X304">
        <f t="shared" si="111"/>
        <v>1</v>
      </c>
      <c r="Y304" s="32">
        <f t="shared" si="112"/>
        <v>0.72222222222222221</v>
      </c>
      <c r="Z304" s="32">
        <f t="shared" si="113"/>
        <v>0.77777777777777779</v>
      </c>
      <c r="AA304">
        <f>step3_validation[[#This Row],[AI_FAC1]]</f>
        <v>9</v>
      </c>
      <c r="AB304">
        <f t="shared" si="114"/>
        <v>0.88888888888888884</v>
      </c>
      <c r="AC304">
        <f>survey_responses[[#This Row],[Các thủ tục khai báo thuế VÀ/HOẶC quy trình làm việc với cơ quan thuế đơn giản, tiện lợi, nhanh chóng hơn so với trước đây. - HUMAN-FAC1]]</f>
        <v>5</v>
      </c>
      <c r="AD304">
        <f t="shared" si="115"/>
        <v>0.44444444444444442</v>
      </c>
      <c r="AE304">
        <f>step3_validation[[#This Row],[AI_FAC2]]</f>
        <v>10</v>
      </c>
      <c r="AF304">
        <f t="shared" si="116"/>
        <v>1</v>
      </c>
      <c r="AG304">
        <f>survey_responses[[#This Row],[So với trước đây, tôi thấy cách tính thuế và các bậc thuế trong phương án mới đơn giản, dễ hiểu và dễ thực hiện hơn. - HUMAN-FAC2]]</f>
        <v>4</v>
      </c>
      <c r="AH304">
        <f t="shared" si="117"/>
        <v>0.33333333333333331</v>
      </c>
      <c r="AI304" s="32">
        <f t="shared" si="118"/>
        <v>0.94444444444444442</v>
      </c>
      <c r="AJ304" s="32">
        <f t="shared" si="119"/>
        <v>0.38888888888888884</v>
      </c>
      <c r="AK304">
        <f>step3_validation[[#This Row],[AI_TRU1]]</f>
        <v>9</v>
      </c>
      <c r="AL304">
        <f t="shared" si="120"/>
        <v>0.88888888888888884</v>
      </c>
      <c r="AM304">
        <f>survey_responses[[#This Row],[Tôi tin rằng Nhà nước, cơ quan thuế sẽ thực thi chính sách mới một cách khách quan, công tâm và đối xử bình đẳng với mọi người nộp thuế.  - HUMAN-TRU1]]</f>
        <v>3</v>
      </c>
      <c r="AN304">
        <f t="shared" si="121"/>
        <v>0.22222222222222221</v>
      </c>
      <c r="AO304">
        <f>step3_validation[[#This Row],[AI_TRU2]]</f>
        <v>9</v>
      </c>
      <c r="AP304">
        <f t="shared" si="122"/>
        <v>0.88888888888888884</v>
      </c>
      <c r="AQ304">
        <f>survey_responses[[#This Row],[Tôi thấy mức thuế tôi phải đóng theo phương án mới là công bằng (người thu nhập như tôi đóng mức này là hợp lý). - HUMAN-TRU2]]</f>
        <v>7</v>
      </c>
      <c r="AR304">
        <f t="shared" si="123"/>
        <v>0.66666666666666663</v>
      </c>
      <c r="AS304">
        <f>step3_validation[[#This Row],[AI_TRU3]]</f>
        <v>8</v>
      </c>
      <c r="AT304">
        <f t="shared" si="124"/>
        <v>0.77777777777777779</v>
      </c>
      <c r="AU304">
        <f>survey_responses[[#This Row],[Tôi tin tưởng số tiền thuế tôi đóng sẽ được Nhà nước sử dụng hiệu quả để cải thiện dịch vụ công (y tế, đường xá...). - HUMAN-TRU3]]</f>
        <v>4</v>
      </c>
      <c r="AV304">
        <f t="shared" si="125"/>
        <v>0.33333333333333331</v>
      </c>
      <c r="AW304">
        <f>step3_validation[[#This Row],[AI_TRU4]]</f>
        <v>9</v>
      </c>
      <c r="AX304">
        <f t="shared" si="126"/>
        <v>0.88888888888888884</v>
      </c>
      <c r="AY304">
        <f>survey_responses[[#This Row],[Tôi thấy Nhà nước đã giải thích rõ ràng, minh bạch về lý do và mục tiêu của việc sửa đổi thuế lần này. - HUMAN-TRU4]]</f>
        <v>4</v>
      </c>
      <c r="AZ304">
        <f t="shared" si="127"/>
        <v>0.33333333333333331</v>
      </c>
      <c r="BA304" s="32">
        <f t="shared" si="128"/>
        <v>0.86111111111111105</v>
      </c>
      <c r="BB304" s="32">
        <f t="shared" si="129"/>
        <v>0.38888888888888884</v>
      </c>
      <c r="BC304" s="7">
        <f t="shared" si="130"/>
        <v>0.84259259259259256</v>
      </c>
      <c r="BD304" s="7">
        <f t="shared" si="131"/>
        <v>0.51851851851851849</v>
      </c>
      <c r="BE304">
        <f>step3_validation[[#This Row],[AI_OUT1]]</f>
        <v>10</v>
      </c>
      <c r="BF304">
        <f t="shared" si="132"/>
        <v>1</v>
      </c>
      <c r="BG304">
        <f>survey_responses[[#This Row],[Sau khi xem xét các quyền lợi và nghĩa vụ, bạn có ủng hộ và tuân thủ chính sách mới hiện nay? - HUMAN-OUT1]]</f>
        <v>5</v>
      </c>
      <c r="BH304">
        <f t="shared" si="133"/>
        <v>0.44444444444444442</v>
      </c>
      <c r="BI304" s="32">
        <f t="shared" si="134"/>
        <v>5</v>
      </c>
    </row>
    <row r="305" spans="1:61" x14ac:dyDescent="0.45">
      <c r="A305" s="30">
        <f>step3_validation[[#This Row],[Persona_ID]]</f>
        <v>304</v>
      </c>
      <c r="B305" s="31">
        <f>step3_validation[[#This Row],[Used_Seed]]</f>
        <v>304</v>
      </c>
      <c r="C305" t="str">
        <f>step3_validation[[#This Row],[Gender]]</f>
        <v>Nam</v>
      </c>
      <c r="D305" t="str">
        <f>survey_responses[[#This Row],[Giới tính của bạn:]]</f>
        <v>Nam</v>
      </c>
      <c r="E305" t="str">
        <f>step3_validation[[#This Row],[Age_Group]]</f>
        <v>25 - 29</v>
      </c>
      <c r="F305" t="str">
        <f>survey_responses[[#This Row],[Độ tuổi của bạn:]]</f>
        <v>25 - 29</v>
      </c>
      <c r="G305" t="str">
        <f>step3_validation[[#This Row],[Region]]</f>
        <v>Thành thị</v>
      </c>
      <c r="H305" t="str">
        <f>survey_responses[[#This Row],[Khu vực bạn đang sinh sống:]]</f>
        <v>Thành thị</v>
      </c>
      <c r="I305" t="str">
        <f>step3_validation[[#This Row],[Education]]</f>
        <v>Sau Đại học</v>
      </c>
      <c r="J305" t="str">
        <f>survey_responses[[#This Row],[Trình độ học vấn cao nhất:]]</f>
        <v>Sau Đại học</v>
      </c>
      <c r="K305" t="str">
        <f>step3_validation[[#This Row],[Employment]]</f>
        <v>Chính thức</v>
      </c>
      <c r="L305" t="str">
        <f>survey_responses[[#This Row],[Tình trạng việc làm chính:]]</f>
        <v>Khu vực chính thức (Có Hợp đồng lao động, đóng BHXH)</v>
      </c>
      <c r="M305">
        <f>step3_validation[[#This Row],[Income_Mil]]</f>
        <v>12</v>
      </c>
      <c r="N305" t="str">
        <f>survey_responses[[#This Row],[Thu nhập bình quân tháng theo Hợp đồng lao động của bạn là bao nhiêu? (Vui lòng điền tổng thu nhập trước khi khấu trừ các loại Bảo hiểm (BHXH, BHYT, BHTN) và Thuế TNCN)]]</f>
        <v>Dưới 12 triệu VNĐ</v>
      </c>
      <c r="O305">
        <f>step3_validation[[#This Row],[Dependents]]</f>
        <v>0</v>
      </c>
      <c r="P305" t="str">
        <f>survey_responses[[#This Row],[Số người phụ thuộc (con nhỏ, cha mẹ già...) đủ điều kiện giảm trừ gia cảnh:]]</f>
        <v>0 người</v>
      </c>
      <c r="Q305">
        <f>step3_validation[[#This Row],[AI_ENF1]]</f>
        <v>6</v>
      </c>
      <c r="R305">
        <f t="shared" si="108"/>
        <v>0.55555555555555558</v>
      </c>
      <c r="S305">
        <f>survey_responses[[#This Row],[Tôi tin rằng với các quy định quản lý thuế hiện nay, hành vi gian lận hoặc trốn thuế sẽ dễ dàng bị phát hiện và xử lý nghiêm. - HUMAN-ENF1]]</f>
        <v>10</v>
      </c>
      <c r="T305">
        <f t="shared" si="109"/>
        <v>1</v>
      </c>
      <c r="U305">
        <f>step3_validation[[#This Row],[AI_ENF2]]</f>
        <v>7</v>
      </c>
      <c r="V305">
        <f t="shared" si="110"/>
        <v>0.66666666666666663</v>
      </c>
      <c r="W305">
        <f>survey_responses[[#This Row],[Tôi tin rằng Nhà nước, cơ quan thuế có đủ khả năng và công nghệ để phát hiện, xử lý nghiêm các hành vi trốn thuế. - HUMAN-ENF2]]</f>
        <v>10</v>
      </c>
      <c r="X305">
        <f t="shared" si="111"/>
        <v>1</v>
      </c>
      <c r="Y305" s="32">
        <f t="shared" si="112"/>
        <v>0.61111111111111116</v>
      </c>
      <c r="Z305" s="32">
        <f t="shared" si="113"/>
        <v>1</v>
      </c>
      <c r="AA305">
        <f>step3_validation[[#This Row],[AI_FAC1]]</f>
        <v>9</v>
      </c>
      <c r="AB305">
        <f t="shared" si="114"/>
        <v>0.88888888888888884</v>
      </c>
      <c r="AC305">
        <f>survey_responses[[#This Row],[Các thủ tục khai báo thuế VÀ/HOẶC quy trình làm việc với cơ quan thuế đơn giản, tiện lợi, nhanh chóng hơn so với trước đây. - HUMAN-FAC1]]</f>
        <v>10</v>
      </c>
      <c r="AD305">
        <f t="shared" si="115"/>
        <v>1</v>
      </c>
      <c r="AE305">
        <f>step3_validation[[#This Row],[AI_FAC2]]</f>
        <v>8</v>
      </c>
      <c r="AF305">
        <f t="shared" si="116"/>
        <v>0.77777777777777779</v>
      </c>
      <c r="AG305">
        <f>survey_responses[[#This Row],[So với trước đây, tôi thấy cách tính thuế và các bậc thuế trong phương án mới đơn giản, dễ hiểu và dễ thực hiện hơn. - HUMAN-FAC2]]</f>
        <v>10</v>
      </c>
      <c r="AH305">
        <f t="shared" si="117"/>
        <v>1</v>
      </c>
      <c r="AI305" s="32">
        <f t="shared" si="118"/>
        <v>0.83333333333333326</v>
      </c>
      <c r="AJ305" s="32">
        <f t="shared" si="119"/>
        <v>1</v>
      </c>
      <c r="AK305">
        <f>step3_validation[[#This Row],[AI_TRU1]]</f>
        <v>7</v>
      </c>
      <c r="AL305">
        <f t="shared" si="120"/>
        <v>0.66666666666666663</v>
      </c>
      <c r="AM305">
        <f>survey_responses[[#This Row],[Tôi tin rằng Nhà nước, cơ quan thuế sẽ thực thi chính sách mới một cách khách quan, công tâm và đối xử bình đẳng với mọi người nộp thuế.  - HUMAN-TRU1]]</f>
        <v>10</v>
      </c>
      <c r="AN305">
        <f t="shared" si="121"/>
        <v>1</v>
      </c>
      <c r="AO305">
        <f>step3_validation[[#This Row],[AI_TRU2]]</f>
        <v>8</v>
      </c>
      <c r="AP305">
        <f t="shared" si="122"/>
        <v>0.77777777777777779</v>
      </c>
      <c r="AQ305">
        <f>survey_responses[[#This Row],[Tôi thấy mức thuế tôi phải đóng theo phương án mới là công bằng (người thu nhập như tôi đóng mức này là hợp lý). - HUMAN-TRU2]]</f>
        <v>10</v>
      </c>
      <c r="AR305">
        <f t="shared" si="123"/>
        <v>1</v>
      </c>
      <c r="AS305">
        <f>step3_validation[[#This Row],[AI_TRU3]]</f>
        <v>6</v>
      </c>
      <c r="AT305">
        <f t="shared" si="124"/>
        <v>0.55555555555555558</v>
      </c>
      <c r="AU305">
        <f>survey_responses[[#This Row],[Tôi tin tưởng số tiền thuế tôi đóng sẽ được Nhà nước sử dụng hiệu quả để cải thiện dịch vụ công (y tế, đường xá...). - HUMAN-TRU3]]</f>
        <v>10</v>
      </c>
      <c r="AV305">
        <f t="shared" si="125"/>
        <v>1</v>
      </c>
      <c r="AW305">
        <f>step3_validation[[#This Row],[AI_TRU4]]</f>
        <v>7</v>
      </c>
      <c r="AX305">
        <f t="shared" si="126"/>
        <v>0.66666666666666663</v>
      </c>
      <c r="AY305">
        <f>survey_responses[[#This Row],[Tôi thấy Nhà nước đã giải thích rõ ràng, minh bạch về lý do và mục tiêu của việc sửa đổi thuế lần này. - HUMAN-TRU4]]</f>
        <v>10</v>
      </c>
      <c r="AZ305">
        <f t="shared" si="127"/>
        <v>1</v>
      </c>
      <c r="BA305" s="32">
        <f t="shared" si="128"/>
        <v>0.66666666666666663</v>
      </c>
      <c r="BB305" s="32">
        <f t="shared" si="129"/>
        <v>1</v>
      </c>
      <c r="BC305" s="7">
        <f t="shared" si="130"/>
        <v>0.70370370370370372</v>
      </c>
      <c r="BD305" s="7">
        <f t="shared" si="131"/>
        <v>1</v>
      </c>
      <c r="BE305">
        <f>step3_validation[[#This Row],[AI_OUT1]]</f>
        <v>8</v>
      </c>
      <c r="BF305">
        <f t="shared" si="132"/>
        <v>0.77777777777777779</v>
      </c>
      <c r="BG305">
        <f>survey_responses[[#This Row],[Sau khi xem xét các quyền lợi và nghĩa vụ, bạn có ủng hộ và tuân thủ chính sách mới hiện nay? - HUMAN-OUT1]]</f>
        <v>10</v>
      </c>
      <c r="BH305">
        <f t="shared" si="133"/>
        <v>1</v>
      </c>
      <c r="BI305" s="32">
        <f t="shared" si="134"/>
        <v>2</v>
      </c>
    </row>
    <row r="306" spans="1:61" x14ac:dyDescent="0.45">
      <c r="A306" s="30">
        <f>step3_validation[[#This Row],[Persona_ID]]</f>
        <v>305</v>
      </c>
      <c r="B306" s="31">
        <f>step3_validation[[#This Row],[Used_Seed]]</f>
        <v>305</v>
      </c>
      <c r="C306" t="str">
        <f>step3_validation[[#This Row],[Gender]]</f>
        <v>Nam</v>
      </c>
      <c r="D306" t="str">
        <f>survey_responses[[#This Row],[Giới tính của bạn:]]</f>
        <v>Nam</v>
      </c>
      <c r="E306" t="str">
        <f>step3_validation[[#This Row],[Age_Group]]</f>
        <v>30 - 39</v>
      </c>
      <c r="F306" t="str">
        <f>survey_responses[[#This Row],[Độ tuổi của bạn:]]</f>
        <v>30 - 39</v>
      </c>
      <c r="G306" t="str">
        <f>step3_validation[[#This Row],[Region]]</f>
        <v>Thành thị</v>
      </c>
      <c r="H306" t="str">
        <f>survey_responses[[#This Row],[Khu vực bạn đang sinh sống:]]</f>
        <v>Thành thị</v>
      </c>
      <c r="I306" t="str">
        <f>step3_validation[[#This Row],[Education]]</f>
        <v>Đại học</v>
      </c>
      <c r="J306" t="str">
        <f>survey_responses[[#This Row],[Trình độ học vấn cao nhất:]]</f>
        <v>Đại học</v>
      </c>
      <c r="K306" t="str">
        <f>step3_validation[[#This Row],[Employment]]</f>
        <v>Chính thức</v>
      </c>
      <c r="L306" t="str">
        <f>survey_responses[[#This Row],[Tình trạng việc làm chính:]]</f>
        <v>Khu vực chính thức (Có Hợp đồng lao động, đóng BHXH)</v>
      </c>
      <c r="M306">
        <f>step3_validation[[#This Row],[Income_Mil]]</f>
        <v>42.728402126060701</v>
      </c>
      <c r="N306" t="str">
        <f>survey_responses[[#This Row],[Thu nhập bình quân tháng theo Hợp đồng lao động của bạn là bao nhiêu? (Vui lòng điền tổng thu nhập trước khi khấu trừ các loại Bảo hiểm (BHXH, BHYT, BHTN) và Thuế TNCN)]]</f>
        <v>Từ 32 - 48 triệu VNĐ</v>
      </c>
      <c r="O306">
        <f>step3_validation[[#This Row],[Dependents]]</f>
        <v>0</v>
      </c>
      <c r="P306" t="str">
        <f>survey_responses[[#This Row],[Số người phụ thuộc (con nhỏ, cha mẹ già...) đủ điều kiện giảm trừ gia cảnh:]]</f>
        <v>0 người</v>
      </c>
      <c r="Q306">
        <f>step3_validation[[#This Row],[AI_ENF1]]</f>
        <v>9</v>
      </c>
      <c r="R306">
        <f t="shared" si="108"/>
        <v>0.88888888888888884</v>
      </c>
      <c r="S306">
        <f>survey_responses[[#This Row],[Tôi tin rằng với các quy định quản lý thuế hiện nay, hành vi gian lận hoặc trốn thuế sẽ dễ dàng bị phát hiện và xử lý nghiêm. - HUMAN-ENF1]]</f>
        <v>7</v>
      </c>
      <c r="T306">
        <f t="shared" si="109"/>
        <v>0.66666666666666663</v>
      </c>
      <c r="U306">
        <f>step3_validation[[#This Row],[AI_ENF2]]</f>
        <v>8</v>
      </c>
      <c r="V306">
        <f t="shared" si="110"/>
        <v>0.77777777777777779</v>
      </c>
      <c r="W306">
        <f>survey_responses[[#This Row],[Tôi tin rằng Nhà nước, cơ quan thuế có đủ khả năng và công nghệ để phát hiện, xử lý nghiêm các hành vi trốn thuế. - HUMAN-ENF2]]</f>
        <v>9</v>
      </c>
      <c r="X306">
        <f t="shared" si="111"/>
        <v>0.88888888888888884</v>
      </c>
      <c r="Y306" s="32">
        <f t="shared" si="112"/>
        <v>0.83333333333333326</v>
      </c>
      <c r="Z306" s="32">
        <f t="shared" si="113"/>
        <v>0.77777777777777768</v>
      </c>
      <c r="AA306">
        <f>step3_validation[[#This Row],[AI_FAC1]]</f>
        <v>9</v>
      </c>
      <c r="AB306">
        <f t="shared" si="114"/>
        <v>0.88888888888888884</v>
      </c>
      <c r="AC306">
        <f>survey_responses[[#This Row],[Các thủ tục khai báo thuế VÀ/HOẶC quy trình làm việc với cơ quan thuế đơn giản, tiện lợi, nhanh chóng hơn so với trước đây. - HUMAN-FAC1]]</f>
        <v>8</v>
      </c>
      <c r="AD306">
        <f t="shared" si="115"/>
        <v>0.77777777777777779</v>
      </c>
      <c r="AE306">
        <f>step3_validation[[#This Row],[AI_FAC2]]</f>
        <v>8</v>
      </c>
      <c r="AF306">
        <f t="shared" si="116"/>
        <v>0.77777777777777779</v>
      </c>
      <c r="AG306">
        <f>survey_responses[[#This Row],[So với trước đây, tôi thấy cách tính thuế và các bậc thuế trong phương án mới đơn giản, dễ hiểu và dễ thực hiện hơn. - HUMAN-FAC2]]</f>
        <v>6</v>
      </c>
      <c r="AH306">
        <f t="shared" si="117"/>
        <v>0.55555555555555558</v>
      </c>
      <c r="AI306" s="32">
        <f t="shared" si="118"/>
        <v>0.83333333333333326</v>
      </c>
      <c r="AJ306" s="32">
        <f t="shared" si="119"/>
        <v>0.66666666666666674</v>
      </c>
      <c r="AK306">
        <f>step3_validation[[#This Row],[AI_TRU1]]</f>
        <v>9</v>
      </c>
      <c r="AL306">
        <f t="shared" si="120"/>
        <v>0.88888888888888884</v>
      </c>
      <c r="AM306">
        <f>survey_responses[[#This Row],[Tôi tin rằng Nhà nước, cơ quan thuế sẽ thực thi chính sách mới một cách khách quan, công tâm và đối xử bình đẳng với mọi người nộp thuế.  - HUMAN-TRU1]]</f>
        <v>5</v>
      </c>
      <c r="AN306">
        <f t="shared" si="121"/>
        <v>0.44444444444444442</v>
      </c>
      <c r="AO306">
        <f>step3_validation[[#This Row],[AI_TRU2]]</f>
        <v>8</v>
      </c>
      <c r="AP306">
        <f t="shared" si="122"/>
        <v>0.77777777777777779</v>
      </c>
      <c r="AQ306">
        <f>survey_responses[[#This Row],[Tôi thấy mức thuế tôi phải đóng theo phương án mới là công bằng (người thu nhập như tôi đóng mức này là hợp lý). - HUMAN-TRU2]]</f>
        <v>3</v>
      </c>
      <c r="AR306">
        <f t="shared" si="123"/>
        <v>0.22222222222222221</v>
      </c>
      <c r="AS306">
        <f>step3_validation[[#This Row],[AI_TRU3]]</f>
        <v>9</v>
      </c>
      <c r="AT306">
        <f t="shared" si="124"/>
        <v>0.88888888888888884</v>
      </c>
      <c r="AU306">
        <f>survey_responses[[#This Row],[Tôi tin tưởng số tiền thuế tôi đóng sẽ được Nhà nước sử dụng hiệu quả để cải thiện dịch vụ công (y tế, đường xá...). - HUMAN-TRU3]]</f>
        <v>9</v>
      </c>
      <c r="AV306">
        <f t="shared" si="125"/>
        <v>0.88888888888888884</v>
      </c>
      <c r="AW306">
        <f>step3_validation[[#This Row],[AI_TRU4]]</f>
        <v>8</v>
      </c>
      <c r="AX306">
        <f t="shared" si="126"/>
        <v>0.77777777777777779</v>
      </c>
      <c r="AY306">
        <f>survey_responses[[#This Row],[Tôi thấy Nhà nước đã giải thích rõ ràng, minh bạch về lý do và mục tiêu của việc sửa đổi thuế lần này. - HUMAN-TRU4]]</f>
        <v>3</v>
      </c>
      <c r="AZ306">
        <f t="shared" si="127"/>
        <v>0.22222222222222221</v>
      </c>
      <c r="BA306" s="32">
        <f t="shared" si="128"/>
        <v>0.83333333333333326</v>
      </c>
      <c r="BB306" s="32">
        <f t="shared" si="129"/>
        <v>0.44444444444444442</v>
      </c>
      <c r="BC306" s="7">
        <f t="shared" si="130"/>
        <v>0.83333333333333337</v>
      </c>
      <c r="BD306" s="7">
        <f t="shared" si="131"/>
        <v>0.62962962962962965</v>
      </c>
      <c r="BE306">
        <f>step3_validation[[#This Row],[AI_OUT1]]</f>
        <v>9</v>
      </c>
      <c r="BF306">
        <f t="shared" si="132"/>
        <v>0.88888888888888884</v>
      </c>
      <c r="BG306">
        <f>survey_responses[[#This Row],[Sau khi xem xét các quyền lợi và nghĩa vụ, bạn có ủng hộ và tuân thủ chính sách mới hiện nay? - HUMAN-OUT1]]</f>
        <v>4</v>
      </c>
      <c r="BH306">
        <f t="shared" si="133"/>
        <v>0.33333333333333331</v>
      </c>
      <c r="BI306" s="32">
        <f t="shared" si="134"/>
        <v>5</v>
      </c>
    </row>
    <row r="307" spans="1:61" x14ac:dyDescent="0.45">
      <c r="A307" s="30">
        <f>step3_validation[[#This Row],[Persona_ID]]</f>
        <v>306</v>
      </c>
      <c r="B307" s="31">
        <f>step3_validation[[#This Row],[Used_Seed]]</f>
        <v>306</v>
      </c>
      <c r="C307" t="str">
        <f>step3_validation[[#This Row],[Gender]]</f>
        <v>Nữ</v>
      </c>
      <c r="D307" t="str">
        <f>survey_responses[[#This Row],[Giới tính của bạn:]]</f>
        <v>Nữ</v>
      </c>
      <c r="E307" t="str">
        <f>step3_validation[[#This Row],[Age_Group]]</f>
        <v>40 - 49</v>
      </c>
      <c r="F307" t="str">
        <f>survey_responses[[#This Row],[Độ tuổi của bạn:]]</f>
        <v>40 - 49</v>
      </c>
      <c r="G307" t="str">
        <f>step3_validation[[#This Row],[Region]]</f>
        <v>Thành thị</v>
      </c>
      <c r="H307" t="str">
        <f>survey_responses[[#This Row],[Khu vực bạn đang sinh sống:]]</f>
        <v>Thành thị</v>
      </c>
      <c r="I307" t="str">
        <f>step3_validation[[#This Row],[Education]]</f>
        <v>Đại học</v>
      </c>
      <c r="J307" t="str">
        <f>survey_responses[[#This Row],[Trình độ học vấn cao nhất:]]</f>
        <v>Đại học</v>
      </c>
      <c r="K307" t="str">
        <f>step3_validation[[#This Row],[Employment]]</f>
        <v>Chính thức</v>
      </c>
      <c r="L307" t="str">
        <f>survey_responses[[#This Row],[Tình trạng việc làm chính:]]</f>
        <v>Khu vực chính thức (Có Hợp đồng lao động, đóng BHXH)</v>
      </c>
      <c r="M307">
        <f>step3_validation[[#This Row],[Income_Mil]]</f>
        <v>49.219903849791024</v>
      </c>
      <c r="N307" t="str">
        <f>survey_responses[[#This Row],[Thu nhập bình quân tháng theo Hợp đồng lao động của bạn là bao nhiêu? (Vui lòng điền tổng thu nhập trước khi khấu trừ các loại Bảo hiểm (BHXH, BHYT, BHTN) và Thuế TNCN)]]</f>
        <v>Từ 48 - 70 triệu VNĐ</v>
      </c>
      <c r="O307">
        <f>step3_validation[[#This Row],[Dependents]]</f>
        <v>3</v>
      </c>
      <c r="P307" t="str">
        <f>survey_responses[[#This Row],[Số người phụ thuộc (con nhỏ, cha mẹ già...) đủ điều kiện giảm trừ gia cảnh:]]</f>
        <v>3 người</v>
      </c>
      <c r="Q307">
        <f>step3_validation[[#This Row],[AI_ENF1]]</f>
        <v>6</v>
      </c>
      <c r="R307">
        <f t="shared" si="108"/>
        <v>0.55555555555555558</v>
      </c>
      <c r="S307">
        <f>survey_responses[[#This Row],[Tôi tin rằng với các quy định quản lý thuế hiện nay, hành vi gian lận hoặc trốn thuế sẽ dễ dàng bị phát hiện và xử lý nghiêm. - HUMAN-ENF1]]</f>
        <v>3</v>
      </c>
      <c r="T307">
        <f t="shared" si="109"/>
        <v>0.22222222222222221</v>
      </c>
      <c r="U307">
        <f>step3_validation[[#This Row],[AI_ENF2]]</f>
        <v>7</v>
      </c>
      <c r="V307">
        <f t="shared" si="110"/>
        <v>0.66666666666666663</v>
      </c>
      <c r="W307">
        <f>survey_responses[[#This Row],[Tôi tin rằng Nhà nước, cơ quan thuế có đủ khả năng và công nghệ để phát hiện, xử lý nghiêm các hành vi trốn thuế. - HUMAN-ENF2]]</f>
        <v>8</v>
      </c>
      <c r="X307">
        <f t="shared" si="111"/>
        <v>0.77777777777777779</v>
      </c>
      <c r="Y307" s="32">
        <f t="shared" si="112"/>
        <v>0.61111111111111116</v>
      </c>
      <c r="Z307" s="32">
        <f t="shared" si="113"/>
        <v>0.5</v>
      </c>
      <c r="AA307">
        <f>step3_validation[[#This Row],[AI_FAC1]]</f>
        <v>8</v>
      </c>
      <c r="AB307">
        <f t="shared" si="114"/>
        <v>0.77777777777777779</v>
      </c>
      <c r="AC307">
        <f>survey_responses[[#This Row],[Các thủ tục khai báo thuế VÀ/HOẶC quy trình làm việc với cơ quan thuế đơn giản, tiện lợi, nhanh chóng hơn so với trước đây. - HUMAN-FAC1]]</f>
        <v>8</v>
      </c>
      <c r="AD307">
        <f t="shared" si="115"/>
        <v>0.77777777777777779</v>
      </c>
      <c r="AE307">
        <f>step3_validation[[#This Row],[AI_FAC2]]</f>
        <v>9</v>
      </c>
      <c r="AF307">
        <f t="shared" si="116"/>
        <v>0.88888888888888884</v>
      </c>
      <c r="AG307">
        <f>survey_responses[[#This Row],[So với trước đây, tôi thấy cách tính thuế và các bậc thuế trong phương án mới đơn giản, dễ hiểu và dễ thực hiện hơn. - HUMAN-FAC2]]</f>
        <v>4</v>
      </c>
      <c r="AH307">
        <f t="shared" si="117"/>
        <v>0.33333333333333331</v>
      </c>
      <c r="AI307" s="32">
        <f t="shared" si="118"/>
        <v>0.83333333333333326</v>
      </c>
      <c r="AJ307" s="32">
        <f t="shared" si="119"/>
        <v>0.55555555555555558</v>
      </c>
      <c r="AK307">
        <f>step3_validation[[#This Row],[AI_TRU1]]</f>
        <v>7</v>
      </c>
      <c r="AL307">
        <f t="shared" si="120"/>
        <v>0.66666666666666663</v>
      </c>
      <c r="AM307">
        <f>survey_responses[[#This Row],[Tôi tin rằng Nhà nước, cơ quan thuế sẽ thực thi chính sách mới một cách khách quan, công tâm và đối xử bình đẳng với mọi người nộp thuế.  - HUMAN-TRU1]]</f>
        <v>4</v>
      </c>
      <c r="AN307">
        <f t="shared" si="121"/>
        <v>0.33333333333333331</v>
      </c>
      <c r="AO307">
        <f>step3_validation[[#This Row],[AI_TRU2]]</f>
        <v>9</v>
      </c>
      <c r="AP307">
        <f t="shared" si="122"/>
        <v>0.88888888888888884</v>
      </c>
      <c r="AQ307">
        <f>survey_responses[[#This Row],[Tôi thấy mức thuế tôi phải đóng theo phương án mới là công bằng (người thu nhập như tôi đóng mức này là hợp lý). - HUMAN-TRU2]]</f>
        <v>3</v>
      </c>
      <c r="AR307">
        <f t="shared" si="123"/>
        <v>0.22222222222222221</v>
      </c>
      <c r="AS307">
        <f>step3_validation[[#This Row],[AI_TRU3]]</f>
        <v>8</v>
      </c>
      <c r="AT307">
        <f t="shared" si="124"/>
        <v>0.77777777777777779</v>
      </c>
      <c r="AU307">
        <f>survey_responses[[#This Row],[Tôi tin tưởng số tiền thuế tôi đóng sẽ được Nhà nước sử dụng hiệu quả để cải thiện dịch vụ công (y tế, đường xá...). - HUMAN-TRU3]]</f>
        <v>7</v>
      </c>
      <c r="AV307">
        <f t="shared" si="125"/>
        <v>0.66666666666666663</v>
      </c>
      <c r="AW307">
        <f>step3_validation[[#This Row],[AI_TRU4]]</f>
        <v>7</v>
      </c>
      <c r="AX307">
        <f t="shared" si="126"/>
        <v>0.66666666666666663</v>
      </c>
      <c r="AY307">
        <f>survey_responses[[#This Row],[Tôi thấy Nhà nước đã giải thích rõ ràng, minh bạch về lý do và mục tiêu của việc sửa đổi thuế lần này. - HUMAN-TRU4]]</f>
        <v>5</v>
      </c>
      <c r="AZ307">
        <f t="shared" si="127"/>
        <v>0.44444444444444442</v>
      </c>
      <c r="BA307" s="32">
        <f t="shared" si="128"/>
        <v>0.74999999999999989</v>
      </c>
      <c r="BB307" s="32">
        <f t="shared" si="129"/>
        <v>0.41666666666666669</v>
      </c>
      <c r="BC307" s="7">
        <f t="shared" si="130"/>
        <v>0.7314814814814814</v>
      </c>
      <c r="BD307" s="7">
        <f t="shared" si="131"/>
        <v>0.49074074074074076</v>
      </c>
      <c r="BE307">
        <f>step3_validation[[#This Row],[AI_OUT1]]</f>
        <v>9</v>
      </c>
      <c r="BF307">
        <f t="shared" si="132"/>
        <v>0.88888888888888884</v>
      </c>
      <c r="BG307">
        <f>survey_responses[[#This Row],[Sau khi xem xét các quyền lợi và nghĩa vụ, bạn có ủng hộ và tuân thủ chính sách mới hiện nay? - HUMAN-OUT1]]</f>
        <v>5</v>
      </c>
      <c r="BH307">
        <f t="shared" si="133"/>
        <v>0.44444444444444442</v>
      </c>
      <c r="BI307" s="32">
        <f t="shared" si="134"/>
        <v>4</v>
      </c>
    </row>
    <row r="308" spans="1:61" x14ac:dyDescent="0.45">
      <c r="A308" s="30">
        <f>step3_validation[[#This Row],[Persona_ID]]</f>
        <v>307</v>
      </c>
      <c r="B308" s="31">
        <f>step3_validation[[#This Row],[Used_Seed]]</f>
        <v>307</v>
      </c>
      <c r="C308" t="str">
        <f>step3_validation[[#This Row],[Gender]]</f>
        <v>Nữ</v>
      </c>
      <c r="D308" t="str">
        <f>survey_responses[[#This Row],[Giới tính của bạn:]]</f>
        <v>Nữ</v>
      </c>
      <c r="E308" t="str">
        <f>step3_validation[[#This Row],[Age_Group]]</f>
        <v>55 - 64</v>
      </c>
      <c r="F308" t="str">
        <f>survey_responses[[#This Row],[Độ tuổi của bạn:]]</f>
        <v>55 - 64</v>
      </c>
      <c r="G308" t="str">
        <f>step3_validation[[#This Row],[Region]]</f>
        <v>Thành thị</v>
      </c>
      <c r="H308" t="str">
        <f>survey_responses[[#This Row],[Khu vực bạn đang sinh sống:]]</f>
        <v>Thành thị</v>
      </c>
      <c r="I308" t="str">
        <f>step3_validation[[#This Row],[Education]]</f>
        <v>Sau Đại học</v>
      </c>
      <c r="J308" t="str">
        <f>survey_responses[[#This Row],[Trình độ học vấn cao nhất:]]</f>
        <v>Sau Đại học</v>
      </c>
      <c r="K308" t="str">
        <f>step3_validation[[#This Row],[Employment]]</f>
        <v>Phi chính thức</v>
      </c>
      <c r="L308" t="str">
        <f>survey_responses[[#This Row],[Tình trạng việc làm chính:]]</f>
        <v>Khác (Về hưu, nội trợ, sinh viên)</v>
      </c>
      <c r="M308">
        <f>step3_validation[[#This Row],[Income_Mil]]</f>
        <v>15.164601648423663</v>
      </c>
      <c r="N308" t="str">
        <f>survey_responses[[#This Row],[Thu nhập bình quân tháng theo Hợp đồng lao động của bạn là bao nhiêu? (Vui lòng điền tổng thu nhập trước khi khấu trừ các loại Bảo hiểm (BHXH, BHYT, BHTN) và Thuế TNCN)]]</f>
        <v>Từ 12 - 18 triệu VNĐ</v>
      </c>
      <c r="O308">
        <f>step3_validation[[#This Row],[Dependents]]</f>
        <v>2</v>
      </c>
      <c r="P308" t="str">
        <f>survey_responses[[#This Row],[Số người phụ thuộc (con nhỏ, cha mẹ già...) đủ điều kiện giảm trừ gia cảnh:]]</f>
        <v>2 người</v>
      </c>
      <c r="Q308">
        <f>step3_validation[[#This Row],[AI_ENF1]]</f>
        <v>6</v>
      </c>
      <c r="R308">
        <f t="shared" si="108"/>
        <v>0.55555555555555558</v>
      </c>
      <c r="S308">
        <f>survey_responses[[#This Row],[Tôi tin rằng với các quy định quản lý thuế hiện nay, hành vi gian lận hoặc trốn thuế sẽ dễ dàng bị phát hiện và xử lý nghiêm. - HUMAN-ENF1]]</f>
        <v>2</v>
      </c>
      <c r="T308">
        <f t="shared" si="109"/>
        <v>0.1111111111111111</v>
      </c>
      <c r="U308">
        <f>step3_validation[[#This Row],[AI_ENF2]]</f>
        <v>8</v>
      </c>
      <c r="V308">
        <f t="shared" si="110"/>
        <v>0.77777777777777779</v>
      </c>
      <c r="W308">
        <f>survey_responses[[#This Row],[Tôi tin rằng Nhà nước, cơ quan thuế có đủ khả năng và công nghệ để phát hiện, xử lý nghiêm các hành vi trốn thuế. - HUMAN-ENF2]]</f>
        <v>2</v>
      </c>
      <c r="X308">
        <f t="shared" si="111"/>
        <v>0.1111111111111111</v>
      </c>
      <c r="Y308" s="32">
        <f t="shared" si="112"/>
        <v>0.66666666666666674</v>
      </c>
      <c r="Z308" s="32">
        <f t="shared" si="113"/>
        <v>0.1111111111111111</v>
      </c>
      <c r="AA308">
        <f>step3_validation[[#This Row],[AI_FAC1]]</f>
        <v>7</v>
      </c>
      <c r="AB308">
        <f t="shared" si="114"/>
        <v>0.66666666666666663</v>
      </c>
      <c r="AC308">
        <f>survey_responses[[#This Row],[Các thủ tục khai báo thuế VÀ/HOẶC quy trình làm việc với cơ quan thuế đơn giản, tiện lợi, nhanh chóng hơn so với trước đây. - HUMAN-FAC1]]</f>
        <v>2</v>
      </c>
      <c r="AD308">
        <f t="shared" si="115"/>
        <v>0.1111111111111111</v>
      </c>
      <c r="AE308">
        <f>step3_validation[[#This Row],[AI_FAC2]]</f>
        <v>9</v>
      </c>
      <c r="AF308">
        <f t="shared" si="116"/>
        <v>0.88888888888888884</v>
      </c>
      <c r="AG308">
        <f>survey_responses[[#This Row],[So với trước đây, tôi thấy cách tính thuế và các bậc thuế trong phương án mới đơn giản, dễ hiểu và dễ thực hiện hơn. - HUMAN-FAC2]]</f>
        <v>1</v>
      </c>
      <c r="AH308">
        <f t="shared" si="117"/>
        <v>0</v>
      </c>
      <c r="AI308" s="32">
        <f t="shared" si="118"/>
        <v>0.77777777777777768</v>
      </c>
      <c r="AJ308" s="32">
        <f t="shared" si="119"/>
        <v>5.5555555555555552E-2</v>
      </c>
      <c r="AK308">
        <f>step3_validation[[#This Row],[AI_TRU1]]</f>
        <v>8</v>
      </c>
      <c r="AL308">
        <f t="shared" si="120"/>
        <v>0.77777777777777779</v>
      </c>
      <c r="AM308">
        <f>survey_responses[[#This Row],[Tôi tin rằng Nhà nước, cơ quan thuế sẽ thực thi chính sách mới một cách khách quan, công tâm và đối xử bình đẳng với mọi người nộp thuế.  - HUMAN-TRU1]]</f>
        <v>2</v>
      </c>
      <c r="AN308">
        <f t="shared" si="121"/>
        <v>0.1111111111111111</v>
      </c>
      <c r="AO308">
        <f>step3_validation[[#This Row],[AI_TRU2]]</f>
        <v>9</v>
      </c>
      <c r="AP308">
        <f t="shared" si="122"/>
        <v>0.88888888888888884</v>
      </c>
      <c r="AQ308">
        <f>survey_responses[[#This Row],[Tôi thấy mức thuế tôi phải đóng theo phương án mới là công bằng (người thu nhập như tôi đóng mức này là hợp lý). - HUMAN-TRU2]]</f>
        <v>2</v>
      </c>
      <c r="AR308">
        <f t="shared" si="123"/>
        <v>0.1111111111111111</v>
      </c>
      <c r="AS308">
        <f>step3_validation[[#This Row],[AI_TRU3]]</f>
        <v>8</v>
      </c>
      <c r="AT308">
        <f t="shared" si="124"/>
        <v>0.77777777777777779</v>
      </c>
      <c r="AU308">
        <f>survey_responses[[#This Row],[Tôi tin tưởng số tiền thuế tôi đóng sẽ được Nhà nước sử dụng hiệu quả để cải thiện dịch vụ công (y tế, đường xá...). - HUMAN-TRU3]]</f>
        <v>2</v>
      </c>
      <c r="AV308">
        <f t="shared" si="125"/>
        <v>0.1111111111111111</v>
      </c>
      <c r="AW308">
        <f>step3_validation[[#This Row],[AI_TRU4]]</f>
        <v>7</v>
      </c>
      <c r="AX308">
        <f t="shared" si="126"/>
        <v>0.66666666666666663</v>
      </c>
      <c r="AY308">
        <f>survey_responses[[#This Row],[Tôi thấy Nhà nước đã giải thích rõ ràng, minh bạch về lý do và mục tiêu của việc sửa đổi thuế lần này. - HUMAN-TRU4]]</f>
        <v>2</v>
      </c>
      <c r="AZ308">
        <f t="shared" si="127"/>
        <v>0.1111111111111111</v>
      </c>
      <c r="BA308" s="32">
        <f t="shared" si="128"/>
        <v>0.77777777777777768</v>
      </c>
      <c r="BB308" s="32">
        <f t="shared" si="129"/>
        <v>0.1111111111111111</v>
      </c>
      <c r="BC308" s="7">
        <f t="shared" si="130"/>
        <v>0.74074074074074081</v>
      </c>
      <c r="BD308" s="7">
        <f t="shared" si="131"/>
        <v>9.2592592592592601E-2</v>
      </c>
      <c r="BE308">
        <f>step3_validation[[#This Row],[AI_OUT1]]</f>
        <v>9</v>
      </c>
      <c r="BF308">
        <f t="shared" si="132"/>
        <v>0.88888888888888884</v>
      </c>
      <c r="BG308">
        <f>survey_responses[[#This Row],[Sau khi xem xét các quyền lợi và nghĩa vụ, bạn có ủng hộ và tuân thủ chính sách mới hiện nay? - HUMAN-OUT1]]</f>
        <v>2</v>
      </c>
      <c r="BH308">
        <f t="shared" si="133"/>
        <v>0.1111111111111111</v>
      </c>
      <c r="BI308" s="32">
        <f t="shared" si="134"/>
        <v>7</v>
      </c>
    </row>
    <row r="309" spans="1:61" x14ac:dyDescent="0.45">
      <c r="A309" s="30">
        <f>step3_validation[[#This Row],[Persona_ID]]</f>
        <v>308</v>
      </c>
      <c r="B309" s="31">
        <f>step3_validation[[#This Row],[Used_Seed]]</f>
        <v>308</v>
      </c>
      <c r="C309" t="str">
        <f>step3_validation[[#This Row],[Gender]]</f>
        <v>Nữ</v>
      </c>
      <c r="D309" t="str">
        <f>survey_responses[[#This Row],[Giới tính của bạn:]]</f>
        <v>Nữ</v>
      </c>
      <c r="E309" t="str">
        <f>step3_validation[[#This Row],[Age_Group]]</f>
        <v>40 - 49</v>
      </c>
      <c r="F309" t="str">
        <f>survey_responses[[#This Row],[Độ tuổi của bạn:]]</f>
        <v>40 - 49</v>
      </c>
      <c r="G309" t="str">
        <f>step3_validation[[#This Row],[Region]]</f>
        <v>Thành thị</v>
      </c>
      <c r="H309" t="str">
        <f>survey_responses[[#This Row],[Khu vực bạn đang sinh sống:]]</f>
        <v>Thành thị</v>
      </c>
      <c r="I309" t="str">
        <f>step3_validation[[#This Row],[Education]]</f>
        <v>Sau Đại học</v>
      </c>
      <c r="J309" t="str">
        <f>survey_responses[[#This Row],[Trình độ học vấn cao nhất:]]</f>
        <v>Sau Đại học</v>
      </c>
      <c r="K309" t="str">
        <f>step3_validation[[#This Row],[Employment]]</f>
        <v>Chính thức</v>
      </c>
      <c r="L309" t="str">
        <f>survey_responses[[#This Row],[Tình trạng việc làm chính:]]</f>
        <v>Khu vực chính thức (Có Hợp đồng lao động, đóng BHXH)</v>
      </c>
      <c r="M309">
        <f>step3_validation[[#This Row],[Income_Mil]]</f>
        <v>203.57795655092536</v>
      </c>
      <c r="N309" t="str">
        <f>survey_responses[[#This Row],[Thu nhập bình quân tháng theo Hợp đồng lao động của bạn là bao nhiêu? (Vui lòng điền tổng thu nhập trước khi khấu trừ các loại Bảo hiểm (BHXH, BHYT, BHTN) và Thuế TNCN)]]</f>
        <v>Trên 102 triệu VNĐ</v>
      </c>
      <c r="O309">
        <f>step3_validation[[#This Row],[Dependents]]</f>
        <v>2</v>
      </c>
      <c r="P309" t="str">
        <f>survey_responses[[#This Row],[Số người phụ thuộc (con nhỏ, cha mẹ già...) đủ điều kiện giảm trừ gia cảnh:]]</f>
        <v>2 người</v>
      </c>
      <c r="Q309">
        <f>step3_validation[[#This Row],[AI_ENF1]]</f>
        <v>7</v>
      </c>
      <c r="R309">
        <f t="shared" si="108"/>
        <v>0.66666666666666663</v>
      </c>
      <c r="S309">
        <f>survey_responses[[#This Row],[Tôi tin rằng với các quy định quản lý thuế hiện nay, hành vi gian lận hoặc trốn thuế sẽ dễ dàng bị phát hiện và xử lý nghiêm. - HUMAN-ENF1]]</f>
        <v>10</v>
      </c>
      <c r="T309">
        <f t="shared" si="109"/>
        <v>1</v>
      </c>
      <c r="U309">
        <f>step3_validation[[#This Row],[AI_ENF2]]</f>
        <v>6</v>
      </c>
      <c r="V309">
        <f t="shared" si="110"/>
        <v>0.55555555555555558</v>
      </c>
      <c r="W309">
        <f>survey_responses[[#This Row],[Tôi tin rằng Nhà nước, cơ quan thuế có đủ khả năng và công nghệ để phát hiện, xử lý nghiêm các hành vi trốn thuế. - HUMAN-ENF2]]</f>
        <v>8</v>
      </c>
      <c r="X309">
        <f t="shared" si="111"/>
        <v>0.77777777777777779</v>
      </c>
      <c r="Y309" s="32">
        <f t="shared" si="112"/>
        <v>0.61111111111111116</v>
      </c>
      <c r="Z309" s="32">
        <f t="shared" si="113"/>
        <v>0.88888888888888884</v>
      </c>
      <c r="AA309">
        <f>step3_validation[[#This Row],[AI_FAC1]]</f>
        <v>9</v>
      </c>
      <c r="AB309">
        <f t="shared" si="114"/>
        <v>0.88888888888888884</v>
      </c>
      <c r="AC309">
        <f>survey_responses[[#This Row],[Các thủ tục khai báo thuế VÀ/HOẶC quy trình làm việc với cơ quan thuế đơn giản, tiện lợi, nhanh chóng hơn so với trước đây. - HUMAN-FAC1]]</f>
        <v>8</v>
      </c>
      <c r="AD309">
        <f t="shared" si="115"/>
        <v>0.77777777777777779</v>
      </c>
      <c r="AE309">
        <f>step3_validation[[#This Row],[AI_FAC2]]</f>
        <v>8</v>
      </c>
      <c r="AF309">
        <f t="shared" si="116"/>
        <v>0.77777777777777779</v>
      </c>
      <c r="AG309">
        <f>survey_responses[[#This Row],[So với trước đây, tôi thấy cách tính thuế và các bậc thuế trong phương án mới đơn giản, dễ hiểu và dễ thực hiện hơn. - HUMAN-FAC2]]</f>
        <v>8</v>
      </c>
      <c r="AH309">
        <f t="shared" si="117"/>
        <v>0.77777777777777779</v>
      </c>
      <c r="AI309" s="32">
        <f t="shared" si="118"/>
        <v>0.83333333333333326</v>
      </c>
      <c r="AJ309" s="32">
        <f t="shared" si="119"/>
        <v>0.77777777777777779</v>
      </c>
      <c r="AK309">
        <f>step3_validation[[#This Row],[AI_TRU1]]</f>
        <v>7</v>
      </c>
      <c r="AL309">
        <f t="shared" si="120"/>
        <v>0.66666666666666663</v>
      </c>
      <c r="AM309">
        <f>survey_responses[[#This Row],[Tôi tin rằng Nhà nước, cơ quan thuế sẽ thực thi chính sách mới một cách khách quan, công tâm và đối xử bình đẳng với mọi người nộp thuế.  - HUMAN-TRU1]]</f>
        <v>10</v>
      </c>
      <c r="AN309">
        <f t="shared" si="121"/>
        <v>1</v>
      </c>
      <c r="AO309">
        <f>step3_validation[[#This Row],[AI_TRU2]]</f>
        <v>8</v>
      </c>
      <c r="AP309">
        <f t="shared" si="122"/>
        <v>0.77777777777777779</v>
      </c>
      <c r="AQ309">
        <f>survey_responses[[#This Row],[Tôi thấy mức thuế tôi phải đóng theo phương án mới là công bằng (người thu nhập như tôi đóng mức này là hợp lý). - HUMAN-TRU2]]</f>
        <v>10</v>
      </c>
      <c r="AR309">
        <f t="shared" si="123"/>
        <v>1</v>
      </c>
      <c r="AS309">
        <f>step3_validation[[#This Row],[AI_TRU3]]</f>
        <v>7</v>
      </c>
      <c r="AT309">
        <f t="shared" si="124"/>
        <v>0.66666666666666663</v>
      </c>
      <c r="AU309">
        <f>survey_responses[[#This Row],[Tôi tin tưởng số tiền thuế tôi đóng sẽ được Nhà nước sử dụng hiệu quả để cải thiện dịch vụ công (y tế, đường xá...). - HUMAN-TRU3]]</f>
        <v>6</v>
      </c>
      <c r="AV309">
        <f t="shared" si="125"/>
        <v>0.55555555555555558</v>
      </c>
      <c r="AW309">
        <f>step3_validation[[#This Row],[AI_TRU4]]</f>
        <v>6</v>
      </c>
      <c r="AX309">
        <f t="shared" si="126"/>
        <v>0.55555555555555558</v>
      </c>
      <c r="AY309">
        <f>survey_responses[[#This Row],[Tôi thấy Nhà nước đã giải thích rõ ràng, minh bạch về lý do và mục tiêu của việc sửa đổi thuế lần này. - HUMAN-TRU4]]</f>
        <v>8</v>
      </c>
      <c r="AZ309">
        <f t="shared" si="127"/>
        <v>0.77777777777777779</v>
      </c>
      <c r="BA309" s="32">
        <f t="shared" si="128"/>
        <v>0.66666666666666674</v>
      </c>
      <c r="BB309" s="32">
        <f t="shared" si="129"/>
        <v>0.83333333333333326</v>
      </c>
      <c r="BC309" s="7">
        <f t="shared" si="130"/>
        <v>0.70370370370370372</v>
      </c>
      <c r="BD309" s="7">
        <f t="shared" si="131"/>
        <v>0.83333333333333337</v>
      </c>
      <c r="BE309">
        <f>step3_validation[[#This Row],[AI_OUT1]]</f>
        <v>8</v>
      </c>
      <c r="BF309">
        <f t="shared" si="132"/>
        <v>0.77777777777777779</v>
      </c>
      <c r="BG309">
        <f>survey_responses[[#This Row],[Sau khi xem xét các quyền lợi và nghĩa vụ, bạn có ủng hộ và tuân thủ chính sách mới hiện nay? - HUMAN-OUT1]]</f>
        <v>8</v>
      </c>
      <c r="BH309">
        <f t="shared" si="133"/>
        <v>0.77777777777777779</v>
      </c>
      <c r="BI309" s="32">
        <f t="shared" si="134"/>
        <v>0</v>
      </c>
    </row>
    <row r="310" spans="1:61" x14ac:dyDescent="0.45">
      <c r="A310" s="30">
        <f>step3_validation[[#This Row],[Persona_ID]]</f>
        <v>309</v>
      </c>
      <c r="B310" s="31">
        <f>step3_validation[[#This Row],[Used_Seed]]</f>
        <v>309</v>
      </c>
      <c r="C310" t="str">
        <f>step3_validation[[#This Row],[Gender]]</f>
        <v>Nam</v>
      </c>
      <c r="D310" t="str">
        <f>survey_responses[[#This Row],[Giới tính của bạn:]]</f>
        <v>Nam</v>
      </c>
      <c r="E310" t="str">
        <f>step3_validation[[#This Row],[Age_Group]]</f>
        <v>30 - 39</v>
      </c>
      <c r="F310" t="str">
        <f>survey_responses[[#This Row],[Độ tuổi của bạn:]]</f>
        <v>30 - 39</v>
      </c>
      <c r="G310" t="str">
        <f>step3_validation[[#This Row],[Region]]</f>
        <v>Thành thị</v>
      </c>
      <c r="H310" t="str">
        <f>survey_responses[[#This Row],[Khu vực bạn đang sinh sống:]]</f>
        <v>Thành thị</v>
      </c>
      <c r="I310" t="str">
        <f>step3_validation[[#This Row],[Education]]</f>
        <v>Đại học</v>
      </c>
      <c r="J310" t="str">
        <f>survey_responses[[#This Row],[Trình độ học vấn cao nhất:]]</f>
        <v>Đại học</v>
      </c>
      <c r="K310" t="str">
        <f>step3_validation[[#This Row],[Employment]]</f>
        <v>Chính thức</v>
      </c>
      <c r="L310" t="str">
        <f>survey_responses[[#This Row],[Tình trạng việc làm chính:]]</f>
        <v>Khu vực chính thức (Có Hợp đồng lao động, đóng BHXH)</v>
      </c>
      <c r="M310">
        <f>step3_validation[[#This Row],[Income_Mil]]</f>
        <v>52.904460482162236</v>
      </c>
      <c r="N310" t="str">
        <f>survey_responses[[#This Row],[Thu nhập bình quân tháng theo Hợp đồng lao động của bạn là bao nhiêu? (Vui lòng điền tổng thu nhập trước khi khấu trừ các loại Bảo hiểm (BHXH, BHYT, BHTN) và Thuế TNCN)]]</f>
        <v>Từ 48 - 70 triệu VNĐ</v>
      </c>
      <c r="O310">
        <f>step3_validation[[#This Row],[Dependents]]</f>
        <v>1</v>
      </c>
      <c r="P310" t="str">
        <f>survey_responses[[#This Row],[Số người phụ thuộc (con nhỏ, cha mẹ già...) đủ điều kiện giảm trừ gia cảnh:]]</f>
        <v>1 người</v>
      </c>
      <c r="Q310">
        <f>step3_validation[[#This Row],[AI_ENF1]]</f>
        <v>7</v>
      </c>
      <c r="R310">
        <f t="shared" si="108"/>
        <v>0.66666666666666663</v>
      </c>
      <c r="S310">
        <f>survey_responses[[#This Row],[Tôi tin rằng với các quy định quản lý thuế hiện nay, hành vi gian lận hoặc trốn thuế sẽ dễ dàng bị phát hiện và xử lý nghiêm. - HUMAN-ENF1]]</f>
        <v>10</v>
      </c>
      <c r="T310">
        <f t="shared" si="109"/>
        <v>1</v>
      </c>
      <c r="U310">
        <f>step3_validation[[#This Row],[AI_ENF2]]</f>
        <v>8</v>
      </c>
      <c r="V310">
        <f t="shared" si="110"/>
        <v>0.77777777777777779</v>
      </c>
      <c r="W310">
        <f>survey_responses[[#This Row],[Tôi tin rằng Nhà nước, cơ quan thuế có đủ khả năng và công nghệ để phát hiện, xử lý nghiêm các hành vi trốn thuế. - HUMAN-ENF2]]</f>
        <v>10</v>
      </c>
      <c r="X310">
        <f t="shared" si="111"/>
        <v>1</v>
      </c>
      <c r="Y310" s="32">
        <f t="shared" si="112"/>
        <v>0.72222222222222221</v>
      </c>
      <c r="Z310" s="32">
        <f t="shared" si="113"/>
        <v>1</v>
      </c>
      <c r="AA310">
        <f>step3_validation[[#This Row],[AI_FAC1]]</f>
        <v>6</v>
      </c>
      <c r="AB310">
        <f t="shared" si="114"/>
        <v>0.55555555555555558</v>
      </c>
      <c r="AC310">
        <f>survey_responses[[#This Row],[Các thủ tục khai báo thuế VÀ/HOẶC quy trình làm việc với cơ quan thuế đơn giản, tiện lợi, nhanh chóng hơn so với trước đây. - HUMAN-FAC1]]</f>
        <v>10</v>
      </c>
      <c r="AD310">
        <f t="shared" si="115"/>
        <v>1</v>
      </c>
      <c r="AE310">
        <f>step3_validation[[#This Row],[AI_FAC2]]</f>
        <v>9</v>
      </c>
      <c r="AF310">
        <f t="shared" si="116"/>
        <v>0.88888888888888884</v>
      </c>
      <c r="AG310">
        <f>survey_responses[[#This Row],[So với trước đây, tôi thấy cách tính thuế và các bậc thuế trong phương án mới đơn giản, dễ hiểu và dễ thực hiện hơn. - HUMAN-FAC2]]</f>
        <v>10</v>
      </c>
      <c r="AH310">
        <f t="shared" si="117"/>
        <v>1</v>
      </c>
      <c r="AI310" s="32">
        <f t="shared" si="118"/>
        <v>0.72222222222222221</v>
      </c>
      <c r="AJ310" s="32">
        <f t="shared" si="119"/>
        <v>1</v>
      </c>
      <c r="AK310">
        <f>step3_validation[[#This Row],[AI_TRU1]]</f>
        <v>6</v>
      </c>
      <c r="AL310">
        <f t="shared" si="120"/>
        <v>0.55555555555555558</v>
      </c>
      <c r="AM310">
        <f>survey_responses[[#This Row],[Tôi tin rằng Nhà nước, cơ quan thuế sẽ thực thi chính sách mới một cách khách quan, công tâm và đối xử bình đẳng với mọi người nộp thuế.  - HUMAN-TRU1]]</f>
        <v>10</v>
      </c>
      <c r="AN310">
        <f t="shared" si="121"/>
        <v>1</v>
      </c>
      <c r="AO310">
        <f>step3_validation[[#This Row],[AI_TRU2]]</f>
        <v>8</v>
      </c>
      <c r="AP310">
        <f t="shared" si="122"/>
        <v>0.77777777777777779</v>
      </c>
      <c r="AQ310">
        <f>survey_responses[[#This Row],[Tôi thấy mức thuế tôi phải đóng theo phương án mới là công bằng (người thu nhập như tôi đóng mức này là hợp lý). - HUMAN-TRU2]]</f>
        <v>9</v>
      </c>
      <c r="AR310">
        <f t="shared" si="123"/>
        <v>0.88888888888888884</v>
      </c>
      <c r="AS310">
        <f>step3_validation[[#This Row],[AI_TRU3]]</f>
        <v>6</v>
      </c>
      <c r="AT310">
        <f t="shared" si="124"/>
        <v>0.55555555555555558</v>
      </c>
      <c r="AU310">
        <f>survey_responses[[#This Row],[Tôi tin tưởng số tiền thuế tôi đóng sẽ được Nhà nước sử dụng hiệu quả để cải thiện dịch vụ công (y tế, đường xá...). - HUMAN-TRU3]]</f>
        <v>9</v>
      </c>
      <c r="AV310">
        <f t="shared" si="125"/>
        <v>0.88888888888888884</v>
      </c>
      <c r="AW310">
        <f>step3_validation[[#This Row],[AI_TRU4]]</f>
        <v>6</v>
      </c>
      <c r="AX310">
        <f t="shared" si="126"/>
        <v>0.55555555555555558</v>
      </c>
      <c r="AY310">
        <f>survey_responses[[#This Row],[Tôi thấy Nhà nước đã giải thích rõ ràng, minh bạch về lý do và mục tiêu của việc sửa đổi thuế lần này. - HUMAN-TRU4]]</f>
        <v>10</v>
      </c>
      <c r="AZ310">
        <f t="shared" si="127"/>
        <v>1</v>
      </c>
      <c r="BA310" s="32">
        <f t="shared" si="128"/>
        <v>0.61111111111111116</v>
      </c>
      <c r="BB310" s="32">
        <f t="shared" si="129"/>
        <v>0.94444444444444442</v>
      </c>
      <c r="BC310" s="7">
        <f t="shared" si="130"/>
        <v>0.68518518518518512</v>
      </c>
      <c r="BD310" s="7">
        <f t="shared" si="131"/>
        <v>0.98148148148148151</v>
      </c>
      <c r="BE310">
        <f>step3_validation[[#This Row],[AI_OUT1]]</f>
        <v>7</v>
      </c>
      <c r="BF310">
        <f t="shared" si="132"/>
        <v>0.66666666666666663</v>
      </c>
      <c r="BG310">
        <f>survey_responses[[#This Row],[Sau khi xem xét các quyền lợi và nghĩa vụ, bạn có ủng hộ và tuân thủ chính sách mới hiện nay? - HUMAN-OUT1]]</f>
        <v>10</v>
      </c>
      <c r="BH310">
        <f t="shared" si="133"/>
        <v>1</v>
      </c>
      <c r="BI310" s="32">
        <f t="shared" si="134"/>
        <v>3</v>
      </c>
    </row>
    <row r="311" spans="1:61" x14ac:dyDescent="0.45">
      <c r="A311" s="30">
        <f>step3_validation[[#This Row],[Persona_ID]]</f>
        <v>310</v>
      </c>
      <c r="B311" s="31">
        <f>step3_validation[[#This Row],[Used_Seed]]</f>
        <v>310</v>
      </c>
      <c r="C311" t="str">
        <f>step3_validation[[#This Row],[Gender]]</f>
        <v>Nữ</v>
      </c>
      <c r="D311" t="str">
        <f>survey_responses[[#This Row],[Giới tính của bạn:]]</f>
        <v>Nữ</v>
      </c>
      <c r="E311" t="str">
        <f>step3_validation[[#This Row],[Age_Group]]</f>
        <v>18 - 24</v>
      </c>
      <c r="F311" t="str">
        <f>survey_responses[[#This Row],[Độ tuổi của bạn:]]</f>
        <v>18 - 24</v>
      </c>
      <c r="G311" t="str">
        <f>step3_validation[[#This Row],[Region]]</f>
        <v>Thành thị</v>
      </c>
      <c r="H311" t="str">
        <f>survey_responses[[#This Row],[Khu vực bạn đang sinh sống:]]</f>
        <v>Thành thị</v>
      </c>
      <c r="I311" t="str">
        <f>step3_validation[[#This Row],[Education]]</f>
        <v>Đại học</v>
      </c>
      <c r="J311" t="str">
        <f>survey_responses[[#This Row],[Trình độ học vấn cao nhất:]]</f>
        <v>Đại học</v>
      </c>
      <c r="K311" t="str">
        <f>step3_validation[[#This Row],[Employment]]</f>
        <v>Chính thức</v>
      </c>
      <c r="L311" t="str">
        <f>survey_responses[[#This Row],[Tình trạng việc làm chính:]]</f>
        <v>Khu vực chính thức (Có Hợp đồng lao động, đóng BHXH)</v>
      </c>
      <c r="M311">
        <f>step3_validation[[#This Row],[Income_Mil]]</f>
        <v>20.074371497271354</v>
      </c>
      <c r="N311" t="str">
        <f>survey_responses[[#This Row],[Thu nhập bình quân tháng theo Hợp đồng lao động của bạn là bao nhiêu? (Vui lòng điền tổng thu nhập trước khi khấu trừ các loại Bảo hiểm (BHXH, BHYT, BHTN) và Thuế TNCN)]]</f>
        <v>Từ 18 - 23 triệu VNĐ</v>
      </c>
      <c r="O311">
        <f>step3_validation[[#This Row],[Dependents]]</f>
        <v>0</v>
      </c>
      <c r="P311" t="str">
        <f>survey_responses[[#This Row],[Số người phụ thuộc (con nhỏ, cha mẹ già...) đủ điều kiện giảm trừ gia cảnh:]]</f>
        <v>0 người</v>
      </c>
      <c r="Q311">
        <f>step3_validation[[#This Row],[AI_ENF1]]</f>
        <v>8</v>
      </c>
      <c r="R311">
        <f t="shared" si="108"/>
        <v>0.77777777777777779</v>
      </c>
      <c r="S311">
        <f>survey_responses[[#This Row],[Tôi tin rằng với các quy định quản lý thuế hiện nay, hành vi gian lận hoặc trốn thuế sẽ dễ dàng bị phát hiện và xử lý nghiêm. - HUMAN-ENF1]]</f>
        <v>7</v>
      </c>
      <c r="T311">
        <f t="shared" si="109"/>
        <v>0.66666666666666663</v>
      </c>
      <c r="U311">
        <f>step3_validation[[#This Row],[AI_ENF2]]</f>
        <v>9</v>
      </c>
      <c r="V311">
        <f t="shared" si="110"/>
        <v>0.88888888888888884</v>
      </c>
      <c r="W311">
        <f>survey_responses[[#This Row],[Tôi tin rằng Nhà nước, cơ quan thuế có đủ khả năng và công nghệ để phát hiện, xử lý nghiêm các hành vi trốn thuế. - HUMAN-ENF2]]</f>
        <v>7</v>
      </c>
      <c r="X311">
        <f t="shared" si="111"/>
        <v>0.66666666666666663</v>
      </c>
      <c r="Y311" s="32">
        <f t="shared" si="112"/>
        <v>0.83333333333333326</v>
      </c>
      <c r="Z311" s="32">
        <f t="shared" si="113"/>
        <v>0.66666666666666663</v>
      </c>
      <c r="AA311">
        <f>step3_validation[[#This Row],[AI_FAC1]]</f>
        <v>8</v>
      </c>
      <c r="AB311">
        <f t="shared" si="114"/>
        <v>0.77777777777777779</v>
      </c>
      <c r="AC311">
        <f>survey_responses[[#This Row],[Các thủ tục khai báo thuế VÀ/HOẶC quy trình làm việc với cơ quan thuế đơn giản, tiện lợi, nhanh chóng hơn so với trước đây. - HUMAN-FAC1]]</f>
        <v>5</v>
      </c>
      <c r="AD311">
        <f t="shared" si="115"/>
        <v>0.44444444444444442</v>
      </c>
      <c r="AE311">
        <f>step3_validation[[#This Row],[AI_FAC2]]</f>
        <v>9</v>
      </c>
      <c r="AF311">
        <f t="shared" si="116"/>
        <v>0.88888888888888884</v>
      </c>
      <c r="AG311">
        <f>survey_responses[[#This Row],[So với trước đây, tôi thấy cách tính thuế và các bậc thuế trong phương án mới đơn giản, dễ hiểu và dễ thực hiện hơn. - HUMAN-FAC2]]</f>
        <v>8</v>
      </c>
      <c r="AH311">
        <f t="shared" si="117"/>
        <v>0.77777777777777779</v>
      </c>
      <c r="AI311" s="32">
        <f t="shared" si="118"/>
        <v>0.83333333333333326</v>
      </c>
      <c r="AJ311" s="32">
        <f t="shared" si="119"/>
        <v>0.61111111111111116</v>
      </c>
      <c r="AK311">
        <f>step3_validation[[#This Row],[AI_TRU1]]</f>
        <v>7</v>
      </c>
      <c r="AL311">
        <f t="shared" si="120"/>
        <v>0.66666666666666663</v>
      </c>
      <c r="AM311">
        <f>survey_responses[[#This Row],[Tôi tin rằng Nhà nước, cơ quan thuế sẽ thực thi chính sách mới một cách khách quan, công tâm và đối xử bình đẳng với mọi người nộp thuế.  - HUMAN-TRU1]]</f>
        <v>8</v>
      </c>
      <c r="AN311">
        <f t="shared" si="121"/>
        <v>0.77777777777777779</v>
      </c>
      <c r="AO311">
        <f>step3_validation[[#This Row],[AI_TRU2]]</f>
        <v>9</v>
      </c>
      <c r="AP311">
        <f t="shared" si="122"/>
        <v>0.88888888888888884</v>
      </c>
      <c r="AQ311">
        <f>survey_responses[[#This Row],[Tôi thấy mức thuế tôi phải đóng theo phương án mới là công bằng (người thu nhập như tôi đóng mức này là hợp lý). - HUMAN-TRU2]]</f>
        <v>9</v>
      </c>
      <c r="AR311">
        <f t="shared" si="123"/>
        <v>0.88888888888888884</v>
      </c>
      <c r="AS311">
        <f>step3_validation[[#This Row],[AI_TRU3]]</f>
        <v>8</v>
      </c>
      <c r="AT311">
        <f t="shared" si="124"/>
        <v>0.77777777777777779</v>
      </c>
      <c r="AU311">
        <f>survey_responses[[#This Row],[Tôi tin tưởng số tiền thuế tôi đóng sẽ được Nhà nước sử dụng hiệu quả để cải thiện dịch vụ công (y tế, đường xá...). - HUMAN-TRU3]]</f>
        <v>9</v>
      </c>
      <c r="AV311">
        <f t="shared" si="125"/>
        <v>0.88888888888888884</v>
      </c>
      <c r="AW311">
        <f>step3_validation[[#This Row],[AI_TRU4]]</f>
        <v>7</v>
      </c>
      <c r="AX311">
        <f t="shared" si="126"/>
        <v>0.66666666666666663</v>
      </c>
      <c r="AY311">
        <f>survey_responses[[#This Row],[Tôi thấy Nhà nước đã giải thích rõ ràng, minh bạch về lý do và mục tiêu của việc sửa đổi thuế lần này. - HUMAN-TRU4]]</f>
        <v>9</v>
      </c>
      <c r="AZ311">
        <f t="shared" si="127"/>
        <v>0.88888888888888884</v>
      </c>
      <c r="BA311" s="32">
        <f t="shared" si="128"/>
        <v>0.74999999999999989</v>
      </c>
      <c r="BB311" s="32">
        <f t="shared" si="129"/>
        <v>0.86111111111111105</v>
      </c>
      <c r="BC311" s="7">
        <f t="shared" si="130"/>
        <v>0.80555555555555547</v>
      </c>
      <c r="BD311" s="7">
        <f t="shared" si="131"/>
        <v>0.71296296296296291</v>
      </c>
      <c r="BE311">
        <f>step3_validation[[#This Row],[AI_OUT1]]</f>
        <v>9</v>
      </c>
      <c r="BF311">
        <f t="shared" si="132"/>
        <v>0.88888888888888884</v>
      </c>
      <c r="BG311">
        <f>survey_responses[[#This Row],[Sau khi xem xét các quyền lợi và nghĩa vụ, bạn có ủng hộ và tuân thủ chính sách mới hiện nay? - HUMAN-OUT1]]</f>
        <v>10</v>
      </c>
      <c r="BH311">
        <f t="shared" si="133"/>
        <v>1</v>
      </c>
      <c r="BI311" s="32">
        <f t="shared" si="134"/>
        <v>1</v>
      </c>
    </row>
    <row r="312" spans="1:61" x14ac:dyDescent="0.45">
      <c r="A312" s="30">
        <f>step3_validation[[#This Row],[Persona_ID]]</f>
        <v>311</v>
      </c>
      <c r="B312" s="31">
        <f>step3_validation[[#This Row],[Used_Seed]]</f>
        <v>311</v>
      </c>
      <c r="C312" t="str">
        <f>step3_validation[[#This Row],[Gender]]</f>
        <v>Nữ</v>
      </c>
      <c r="D312" t="str">
        <f>survey_responses[[#This Row],[Giới tính của bạn:]]</f>
        <v>Nữ</v>
      </c>
      <c r="E312" t="str">
        <f>step3_validation[[#This Row],[Age_Group]]</f>
        <v>18 - 24</v>
      </c>
      <c r="F312" t="str">
        <f>survey_responses[[#This Row],[Độ tuổi của bạn:]]</f>
        <v>18 - 24</v>
      </c>
      <c r="G312" t="str">
        <f>step3_validation[[#This Row],[Region]]</f>
        <v>Thành thị</v>
      </c>
      <c r="H312" t="str">
        <f>survey_responses[[#This Row],[Khu vực bạn đang sinh sống:]]</f>
        <v>Thành thị</v>
      </c>
      <c r="I312" t="str">
        <f>step3_validation[[#This Row],[Education]]</f>
        <v>Đại học</v>
      </c>
      <c r="J312" t="str">
        <f>survey_responses[[#This Row],[Trình độ học vấn cao nhất:]]</f>
        <v>Đại học</v>
      </c>
      <c r="K312" t="str">
        <f>step3_validation[[#This Row],[Employment]]</f>
        <v>Chính thức</v>
      </c>
      <c r="L312" t="str">
        <f>survey_responses[[#This Row],[Tình trạng việc làm chính:]]</f>
        <v>Khu vực chính thức (Có Hợp đồng lao động, đóng BHXH)</v>
      </c>
      <c r="M312">
        <f>step3_validation[[#This Row],[Income_Mil]]</f>
        <v>12.753292211271582</v>
      </c>
      <c r="N312" t="str">
        <f>survey_responses[[#This Row],[Thu nhập bình quân tháng theo Hợp đồng lao động của bạn là bao nhiêu? (Vui lòng điền tổng thu nhập trước khi khấu trừ các loại Bảo hiểm (BHXH, BHYT, BHTN) và Thuế TNCN)]]</f>
        <v>Từ 12 - 18 triệu VNĐ</v>
      </c>
      <c r="O312">
        <f>step3_validation[[#This Row],[Dependents]]</f>
        <v>0</v>
      </c>
      <c r="P312" t="str">
        <f>survey_responses[[#This Row],[Số người phụ thuộc (con nhỏ, cha mẹ già...) đủ điều kiện giảm trừ gia cảnh:]]</f>
        <v>0 người</v>
      </c>
      <c r="Q312">
        <f>step3_validation[[#This Row],[AI_ENF1]]</f>
        <v>8</v>
      </c>
      <c r="R312">
        <f t="shared" si="108"/>
        <v>0.77777777777777779</v>
      </c>
      <c r="S312">
        <f>survey_responses[[#This Row],[Tôi tin rằng với các quy định quản lý thuế hiện nay, hành vi gian lận hoặc trốn thuế sẽ dễ dàng bị phát hiện và xử lý nghiêm. - HUMAN-ENF1]]</f>
        <v>6</v>
      </c>
      <c r="T312">
        <f t="shared" si="109"/>
        <v>0.55555555555555558</v>
      </c>
      <c r="U312">
        <f>step3_validation[[#This Row],[AI_ENF2]]</f>
        <v>9</v>
      </c>
      <c r="V312">
        <f t="shared" si="110"/>
        <v>0.88888888888888884</v>
      </c>
      <c r="W312">
        <f>survey_responses[[#This Row],[Tôi tin rằng Nhà nước, cơ quan thuế có đủ khả năng và công nghệ để phát hiện, xử lý nghiêm các hành vi trốn thuế. - HUMAN-ENF2]]</f>
        <v>5</v>
      </c>
      <c r="X312">
        <f t="shared" si="111"/>
        <v>0.44444444444444442</v>
      </c>
      <c r="Y312" s="32">
        <f t="shared" si="112"/>
        <v>0.83333333333333326</v>
      </c>
      <c r="Z312" s="32">
        <f t="shared" si="113"/>
        <v>0.5</v>
      </c>
      <c r="AA312">
        <f>step3_validation[[#This Row],[AI_FAC1]]</f>
        <v>7</v>
      </c>
      <c r="AB312">
        <f t="shared" si="114"/>
        <v>0.66666666666666663</v>
      </c>
      <c r="AC312">
        <f>survey_responses[[#This Row],[Các thủ tục khai báo thuế VÀ/HOẶC quy trình làm việc với cơ quan thuế đơn giản, tiện lợi, nhanh chóng hơn so với trước đây. - HUMAN-FAC1]]</f>
        <v>4</v>
      </c>
      <c r="AD312">
        <f t="shared" si="115"/>
        <v>0.33333333333333331</v>
      </c>
      <c r="AE312">
        <f>step3_validation[[#This Row],[AI_FAC2]]</f>
        <v>9</v>
      </c>
      <c r="AF312">
        <f t="shared" si="116"/>
        <v>0.88888888888888884</v>
      </c>
      <c r="AG312">
        <f>survey_responses[[#This Row],[So với trước đây, tôi thấy cách tính thuế và các bậc thuế trong phương án mới đơn giản, dễ hiểu và dễ thực hiện hơn. - HUMAN-FAC2]]</f>
        <v>7</v>
      </c>
      <c r="AH312">
        <f t="shared" si="117"/>
        <v>0.66666666666666663</v>
      </c>
      <c r="AI312" s="32">
        <f t="shared" si="118"/>
        <v>0.77777777777777768</v>
      </c>
      <c r="AJ312" s="32">
        <f t="shared" si="119"/>
        <v>0.5</v>
      </c>
      <c r="AK312">
        <f>step3_validation[[#This Row],[AI_TRU1]]</f>
        <v>7</v>
      </c>
      <c r="AL312">
        <f t="shared" si="120"/>
        <v>0.66666666666666663</v>
      </c>
      <c r="AM312">
        <f>survey_responses[[#This Row],[Tôi tin rằng Nhà nước, cơ quan thuế sẽ thực thi chính sách mới một cách khách quan, công tâm và đối xử bình đẳng với mọi người nộp thuế.  - HUMAN-TRU1]]</f>
        <v>5</v>
      </c>
      <c r="AN312">
        <f t="shared" si="121"/>
        <v>0.44444444444444442</v>
      </c>
      <c r="AO312">
        <f>step3_validation[[#This Row],[AI_TRU2]]</f>
        <v>9</v>
      </c>
      <c r="AP312">
        <f t="shared" si="122"/>
        <v>0.88888888888888884</v>
      </c>
      <c r="AQ312">
        <f>survey_responses[[#This Row],[Tôi thấy mức thuế tôi phải đóng theo phương án mới là công bằng (người thu nhập như tôi đóng mức này là hợp lý). - HUMAN-TRU2]]</f>
        <v>6</v>
      </c>
      <c r="AR312">
        <f t="shared" si="123"/>
        <v>0.55555555555555558</v>
      </c>
      <c r="AS312">
        <f>step3_validation[[#This Row],[AI_TRU3]]</f>
        <v>8</v>
      </c>
      <c r="AT312">
        <f t="shared" si="124"/>
        <v>0.77777777777777779</v>
      </c>
      <c r="AU312">
        <f>survey_responses[[#This Row],[Tôi tin tưởng số tiền thuế tôi đóng sẽ được Nhà nước sử dụng hiệu quả để cải thiện dịch vụ công (y tế, đường xá...). - HUMAN-TRU3]]</f>
        <v>6</v>
      </c>
      <c r="AV312">
        <f t="shared" si="125"/>
        <v>0.55555555555555558</v>
      </c>
      <c r="AW312">
        <f>step3_validation[[#This Row],[AI_TRU4]]</f>
        <v>6</v>
      </c>
      <c r="AX312">
        <f t="shared" si="126"/>
        <v>0.55555555555555558</v>
      </c>
      <c r="AY312">
        <f>survey_responses[[#This Row],[Tôi thấy Nhà nước đã giải thích rõ ràng, minh bạch về lý do và mục tiêu của việc sửa đổi thuế lần này. - HUMAN-TRU4]]</f>
        <v>7</v>
      </c>
      <c r="AZ312">
        <f t="shared" si="127"/>
        <v>0.66666666666666663</v>
      </c>
      <c r="BA312" s="32">
        <f t="shared" si="128"/>
        <v>0.7222222222222221</v>
      </c>
      <c r="BB312" s="32">
        <f t="shared" si="129"/>
        <v>0.55555555555555558</v>
      </c>
      <c r="BC312" s="7">
        <f t="shared" si="130"/>
        <v>0.77777777777777768</v>
      </c>
      <c r="BD312" s="7">
        <f t="shared" si="131"/>
        <v>0.51851851851851849</v>
      </c>
      <c r="BE312">
        <f>step3_validation[[#This Row],[AI_OUT1]]</f>
        <v>7</v>
      </c>
      <c r="BF312">
        <f t="shared" si="132"/>
        <v>0.66666666666666663</v>
      </c>
      <c r="BG312">
        <f>survey_responses[[#This Row],[Sau khi xem xét các quyền lợi và nghĩa vụ, bạn có ủng hộ và tuân thủ chính sách mới hiện nay? - HUMAN-OUT1]]</f>
        <v>7</v>
      </c>
      <c r="BH312">
        <f t="shared" si="133"/>
        <v>0.66666666666666663</v>
      </c>
      <c r="BI312" s="32">
        <f t="shared" si="134"/>
        <v>0</v>
      </c>
    </row>
    <row r="313" spans="1:61" x14ac:dyDescent="0.45">
      <c r="A313" s="30">
        <f>step3_validation[[#This Row],[Persona_ID]]</f>
        <v>312</v>
      </c>
      <c r="B313" s="31">
        <f>step3_validation[[#This Row],[Used_Seed]]</f>
        <v>312</v>
      </c>
      <c r="C313" t="str">
        <f>step3_validation[[#This Row],[Gender]]</f>
        <v>Nam</v>
      </c>
      <c r="D313" t="str">
        <f>survey_responses[[#This Row],[Giới tính của bạn:]]</f>
        <v>Nam</v>
      </c>
      <c r="E313" t="str">
        <f>step3_validation[[#This Row],[Age_Group]]</f>
        <v>25 - 29</v>
      </c>
      <c r="F313" t="str">
        <f>survey_responses[[#This Row],[Độ tuổi của bạn:]]</f>
        <v>25 - 29</v>
      </c>
      <c r="G313" t="str">
        <f>step3_validation[[#This Row],[Region]]</f>
        <v>Thành thị</v>
      </c>
      <c r="H313" t="str">
        <f>survey_responses[[#This Row],[Khu vực bạn đang sinh sống:]]</f>
        <v>Thành thị</v>
      </c>
      <c r="I313" t="str">
        <f>step3_validation[[#This Row],[Education]]</f>
        <v>Đại học</v>
      </c>
      <c r="J313" t="str">
        <f>survey_responses[[#This Row],[Trình độ học vấn cao nhất:]]</f>
        <v>Đại học</v>
      </c>
      <c r="K313" t="str">
        <f>step3_validation[[#This Row],[Employment]]</f>
        <v>Chính thức</v>
      </c>
      <c r="L313" t="str">
        <f>survey_responses[[#This Row],[Tình trạng việc làm chính:]]</f>
        <v>Khu vực chính thức (Có Hợp đồng lao động, đóng BHXH)</v>
      </c>
      <c r="M313">
        <f>step3_validation[[#This Row],[Income_Mil]]</f>
        <v>20.197435196503189</v>
      </c>
      <c r="N313" t="str">
        <f>survey_responses[[#This Row],[Thu nhập bình quân tháng theo Hợp đồng lao động của bạn là bao nhiêu? (Vui lòng điền tổng thu nhập trước khi khấu trừ các loại Bảo hiểm (BHXH, BHYT, BHTN) và Thuế TNCN)]]</f>
        <v>Từ 18 - 23 triệu VNĐ</v>
      </c>
      <c r="O313">
        <f>step3_validation[[#This Row],[Dependents]]</f>
        <v>0</v>
      </c>
      <c r="P313" t="str">
        <f>survey_responses[[#This Row],[Số người phụ thuộc (con nhỏ, cha mẹ già...) đủ điều kiện giảm trừ gia cảnh:]]</f>
        <v>0 người</v>
      </c>
      <c r="Q313">
        <f>step3_validation[[#This Row],[AI_ENF1]]</f>
        <v>8</v>
      </c>
      <c r="R313">
        <f t="shared" si="108"/>
        <v>0.77777777777777779</v>
      </c>
      <c r="S313">
        <f>survey_responses[[#This Row],[Tôi tin rằng với các quy định quản lý thuế hiện nay, hành vi gian lận hoặc trốn thuế sẽ dễ dàng bị phát hiện và xử lý nghiêm. - HUMAN-ENF1]]</f>
        <v>8</v>
      </c>
      <c r="T313">
        <f t="shared" si="109"/>
        <v>0.77777777777777779</v>
      </c>
      <c r="U313">
        <f>step3_validation[[#This Row],[AI_ENF2]]</f>
        <v>9</v>
      </c>
      <c r="V313">
        <f t="shared" si="110"/>
        <v>0.88888888888888884</v>
      </c>
      <c r="W313">
        <f>survey_responses[[#This Row],[Tôi tin rằng Nhà nước, cơ quan thuế có đủ khả năng và công nghệ để phát hiện, xử lý nghiêm các hành vi trốn thuế. - HUMAN-ENF2]]</f>
        <v>9</v>
      </c>
      <c r="X313">
        <f t="shared" si="111"/>
        <v>0.88888888888888884</v>
      </c>
      <c r="Y313" s="32">
        <f t="shared" si="112"/>
        <v>0.83333333333333326</v>
      </c>
      <c r="Z313" s="32">
        <f t="shared" si="113"/>
        <v>0.83333333333333326</v>
      </c>
      <c r="AA313">
        <f>step3_validation[[#This Row],[AI_FAC1]]</f>
        <v>7</v>
      </c>
      <c r="AB313">
        <f t="shared" si="114"/>
        <v>0.66666666666666663</v>
      </c>
      <c r="AC313">
        <f>survey_responses[[#This Row],[Các thủ tục khai báo thuế VÀ/HOẶC quy trình làm việc với cơ quan thuế đơn giản, tiện lợi, nhanh chóng hơn so với trước đây. - HUMAN-FAC1]]</f>
        <v>10</v>
      </c>
      <c r="AD313">
        <f t="shared" si="115"/>
        <v>1</v>
      </c>
      <c r="AE313">
        <f>step3_validation[[#This Row],[AI_FAC2]]</f>
        <v>8</v>
      </c>
      <c r="AF313">
        <f t="shared" si="116"/>
        <v>0.77777777777777779</v>
      </c>
      <c r="AG313">
        <f>survey_responses[[#This Row],[So với trước đây, tôi thấy cách tính thuế và các bậc thuế trong phương án mới đơn giản, dễ hiểu và dễ thực hiện hơn. - HUMAN-FAC2]]</f>
        <v>10</v>
      </c>
      <c r="AH313">
        <f t="shared" si="117"/>
        <v>1</v>
      </c>
      <c r="AI313" s="32">
        <f t="shared" si="118"/>
        <v>0.72222222222222221</v>
      </c>
      <c r="AJ313" s="32">
        <f t="shared" si="119"/>
        <v>1</v>
      </c>
      <c r="AK313">
        <f>step3_validation[[#This Row],[AI_TRU1]]</f>
        <v>6</v>
      </c>
      <c r="AL313">
        <f t="shared" si="120"/>
        <v>0.55555555555555558</v>
      </c>
      <c r="AM313">
        <f>survey_responses[[#This Row],[Tôi tin rằng Nhà nước, cơ quan thuế sẽ thực thi chính sách mới một cách khách quan, công tâm và đối xử bình đẳng với mọi người nộp thuế.  - HUMAN-TRU1]]</f>
        <v>8</v>
      </c>
      <c r="AN313">
        <f t="shared" si="121"/>
        <v>0.77777777777777779</v>
      </c>
      <c r="AO313">
        <f>step3_validation[[#This Row],[AI_TRU2]]</f>
        <v>8</v>
      </c>
      <c r="AP313">
        <f t="shared" si="122"/>
        <v>0.77777777777777779</v>
      </c>
      <c r="AQ313">
        <f>survey_responses[[#This Row],[Tôi thấy mức thuế tôi phải đóng theo phương án mới là công bằng (người thu nhập như tôi đóng mức này là hợp lý). - HUMAN-TRU2]]</f>
        <v>9</v>
      </c>
      <c r="AR313">
        <f t="shared" si="123"/>
        <v>0.88888888888888884</v>
      </c>
      <c r="AS313">
        <f>step3_validation[[#This Row],[AI_TRU3]]</f>
        <v>6</v>
      </c>
      <c r="AT313">
        <f t="shared" si="124"/>
        <v>0.55555555555555558</v>
      </c>
      <c r="AU313">
        <f>survey_responses[[#This Row],[Tôi tin tưởng số tiền thuế tôi đóng sẽ được Nhà nước sử dụng hiệu quả để cải thiện dịch vụ công (y tế, đường xá...). - HUMAN-TRU3]]</f>
        <v>8</v>
      </c>
      <c r="AV313">
        <f t="shared" si="125"/>
        <v>0.77777777777777779</v>
      </c>
      <c r="AW313">
        <f>step3_validation[[#This Row],[AI_TRU4]]</f>
        <v>7</v>
      </c>
      <c r="AX313">
        <f t="shared" si="126"/>
        <v>0.66666666666666663</v>
      </c>
      <c r="AY313">
        <f>survey_responses[[#This Row],[Tôi thấy Nhà nước đã giải thích rõ ràng, minh bạch về lý do và mục tiêu của việc sửa đổi thuế lần này. - HUMAN-TRU4]]</f>
        <v>8</v>
      </c>
      <c r="AZ313">
        <f t="shared" si="127"/>
        <v>0.77777777777777779</v>
      </c>
      <c r="BA313" s="32">
        <f t="shared" si="128"/>
        <v>0.63888888888888895</v>
      </c>
      <c r="BB313" s="32">
        <f t="shared" si="129"/>
        <v>0.80555555555555547</v>
      </c>
      <c r="BC313" s="7">
        <f t="shared" si="130"/>
        <v>0.7314814814814814</v>
      </c>
      <c r="BD313" s="7">
        <f t="shared" si="131"/>
        <v>0.87962962962962965</v>
      </c>
      <c r="BE313">
        <f>step3_validation[[#This Row],[AI_OUT1]]</f>
        <v>9</v>
      </c>
      <c r="BF313">
        <f t="shared" si="132"/>
        <v>0.88888888888888884</v>
      </c>
      <c r="BG313">
        <f>survey_responses[[#This Row],[Sau khi xem xét các quyền lợi và nghĩa vụ, bạn có ủng hộ và tuân thủ chính sách mới hiện nay? - HUMAN-OUT1]]</f>
        <v>10</v>
      </c>
      <c r="BH313">
        <f t="shared" si="133"/>
        <v>1</v>
      </c>
      <c r="BI313" s="32">
        <f t="shared" si="134"/>
        <v>1</v>
      </c>
    </row>
    <row r="314" spans="1:61" x14ac:dyDescent="0.45">
      <c r="A314" s="30">
        <f>step3_validation[[#This Row],[Persona_ID]]</f>
        <v>313</v>
      </c>
      <c r="B314" s="31">
        <f>step3_validation[[#This Row],[Used_Seed]]</f>
        <v>313</v>
      </c>
      <c r="C314" t="str">
        <f>step3_validation[[#This Row],[Gender]]</f>
        <v>Nam</v>
      </c>
      <c r="D314" t="str">
        <f>survey_responses[[#This Row],[Giới tính của bạn:]]</f>
        <v>Nam</v>
      </c>
      <c r="E314" t="str">
        <f>step3_validation[[#This Row],[Age_Group]]</f>
        <v>18 - 24</v>
      </c>
      <c r="F314" t="str">
        <f>survey_responses[[#This Row],[Độ tuổi của bạn:]]</f>
        <v>18 - 24</v>
      </c>
      <c r="G314" t="str">
        <f>step3_validation[[#This Row],[Region]]</f>
        <v>Thành thị</v>
      </c>
      <c r="H314" t="str">
        <f>survey_responses[[#This Row],[Khu vực bạn đang sinh sống:]]</f>
        <v>Thành thị</v>
      </c>
      <c r="I314" t="str">
        <f>step3_validation[[#This Row],[Education]]</f>
        <v>Đại học</v>
      </c>
      <c r="J314" t="str">
        <f>survey_responses[[#This Row],[Trình độ học vấn cao nhất:]]</f>
        <v>Đại học</v>
      </c>
      <c r="K314" t="str">
        <f>step3_validation[[#This Row],[Employment]]</f>
        <v>Chính thức</v>
      </c>
      <c r="L314" t="str">
        <f>survey_responses[[#This Row],[Tình trạng việc làm chính:]]</f>
        <v>Khu vực chính thức (Có Hợp đồng lao động, đóng BHXH)</v>
      </c>
      <c r="M314">
        <f>step3_validation[[#This Row],[Income_Mil]]</f>
        <v>15.159112113428503</v>
      </c>
      <c r="N314" t="str">
        <f>survey_responses[[#This Row],[Thu nhập bình quân tháng theo Hợp đồng lao động của bạn là bao nhiêu? (Vui lòng điền tổng thu nhập trước khi khấu trừ các loại Bảo hiểm (BHXH, BHYT, BHTN) và Thuế TNCN)]]</f>
        <v>Từ 12 - 18 triệu VNĐ</v>
      </c>
      <c r="O314">
        <f>step3_validation[[#This Row],[Dependents]]</f>
        <v>0</v>
      </c>
      <c r="P314" t="str">
        <f>survey_responses[[#This Row],[Số người phụ thuộc (con nhỏ, cha mẹ già...) đủ điều kiện giảm trừ gia cảnh:]]</f>
        <v>0 người</v>
      </c>
      <c r="Q314">
        <f>step3_validation[[#This Row],[AI_ENF1]]</f>
        <v>8</v>
      </c>
      <c r="R314">
        <f t="shared" si="108"/>
        <v>0.77777777777777779</v>
      </c>
      <c r="S314">
        <f>survey_responses[[#This Row],[Tôi tin rằng với các quy định quản lý thuế hiện nay, hành vi gian lận hoặc trốn thuế sẽ dễ dàng bị phát hiện và xử lý nghiêm. - HUMAN-ENF1]]</f>
        <v>6</v>
      </c>
      <c r="T314">
        <f t="shared" si="109"/>
        <v>0.55555555555555558</v>
      </c>
      <c r="U314">
        <f>step3_validation[[#This Row],[AI_ENF2]]</f>
        <v>9</v>
      </c>
      <c r="V314">
        <f t="shared" si="110"/>
        <v>0.88888888888888884</v>
      </c>
      <c r="W314">
        <f>survey_responses[[#This Row],[Tôi tin rằng Nhà nước, cơ quan thuế có đủ khả năng và công nghệ để phát hiện, xử lý nghiêm các hành vi trốn thuế. - HUMAN-ENF2]]</f>
        <v>6</v>
      </c>
      <c r="X314">
        <f t="shared" si="111"/>
        <v>0.55555555555555558</v>
      </c>
      <c r="Y314" s="32">
        <f t="shared" si="112"/>
        <v>0.83333333333333326</v>
      </c>
      <c r="Z314" s="32">
        <f t="shared" si="113"/>
        <v>0.55555555555555558</v>
      </c>
      <c r="AA314">
        <f>step3_validation[[#This Row],[AI_FAC1]]</f>
        <v>8</v>
      </c>
      <c r="AB314">
        <f t="shared" si="114"/>
        <v>0.77777777777777779</v>
      </c>
      <c r="AC314">
        <f>survey_responses[[#This Row],[Các thủ tục khai báo thuế VÀ/HOẶC quy trình làm việc với cơ quan thuế đơn giản, tiện lợi, nhanh chóng hơn so với trước đây. - HUMAN-FAC1]]</f>
        <v>7</v>
      </c>
      <c r="AD314">
        <f t="shared" si="115"/>
        <v>0.66666666666666663</v>
      </c>
      <c r="AE314">
        <f>step3_validation[[#This Row],[AI_FAC2]]</f>
        <v>9</v>
      </c>
      <c r="AF314">
        <f t="shared" si="116"/>
        <v>0.88888888888888884</v>
      </c>
      <c r="AG314">
        <f>survey_responses[[#This Row],[So với trước đây, tôi thấy cách tính thuế và các bậc thuế trong phương án mới đơn giản, dễ hiểu và dễ thực hiện hơn. - HUMAN-FAC2]]</f>
        <v>7</v>
      </c>
      <c r="AH314">
        <f t="shared" si="117"/>
        <v>0.66666666666666663</v>
      </c>
      <c r="AI314" s="32">
        <f t="shared" si="118"/>
        <v>0.83333333333333326</v>
      </c>
      <c r="AJ314" s="32">
        <f t="shared" si="119"/>
        <v>0.66666666666666663</v>
      </c>
      <c r="AK314">
        <f>step3_validation[[#This Row],[AI_TRU1]]</f>
        <v>8</v>
      </c>
      <c r="AL314">
        <f t="shared" si="120"/>
        <v>0.77777777777777779</v>
      </c>
      <c r="AM314">
        <f>survey_responses[[#This Row],[Tôi tin rằng Nhà nước, cơ quan thuế sẽ thực thi chính sách mới một cách khách quan, công tâm và đối xử bình đẳng với mọi người nộp thuế.  - HUMAN-TRU1]]</f>
        <v>7</v>
      </c>
      <c r="AN314">
        <f t="shared" si="121"/>
        <v>0.66666666666666663</v>
      </c>
      <c r="AO314">
        <f>step3_validation[[#This Row],[AI_TRU2]]</f>
        <v>9</v>
      </c>
      <c r="AP314">
        <f t="shared" si="122"/>
        <v>0.88888888888888884</v>
      </c>
      <c r="AQ314">
        <f>survey_responses[[#This Row],[Tôi thấy mức thuế tôi phải đóng theo phương án mới là công bằng (người thu nhập như tôi đóng mức này là hợp lý). - HUMAN-TRU2]]</f>
        <v>8</v>
      </c>
      <c r="AR314">
        <f t="shared" si="123"/>
        <v>0.77777777777777779</v>
      </c>
      <c r="AS314">
        <f>step3_validation[[#This Row],[AI_TRU3]]</f>
        <v>8</v>
      </c>
      <c r="AT314">
        <f t="shared" si="124"/>
        <v>0.77777777777777779</v>
      </c>
      <c r="AU314">
        <f>survey_responses[[#This Row],[Tôi tin tưởng số tiền thuế tôi đóng sẽ được Nhà nước sử dụng hiệu quả để cải thiện dịch vụ công (y tế, đường xá...). - HUMAN-TRU3]]</f>
        <v>5</v>
      </c>
      <c r="AV314">
        <f t="shared" si="125"/>
        <v>0.44444444444444442</v>
      </c>
      <c r="AW314">
        <f>step3_validation[[#This Row],[AI_TRU4]]</f>
        <v>9</v>
      </c>
      <c r="AX314">
        <f t="shared" si="126"/>
        <v>0.88888888888888884</v>
      </c>
      <c r="AY314">
        <f>survey_responses[[#This Row],[Tôi thấy Nhà nước đã giải thích rõ ràng, minh bạch về lý do và mục tiêu của việc sửa đổi thuế lần này. - HUMAN-TRU4]]</f>
        <v>5</v>
      </c>
      <c r="AZ314">
        <f t="shared" si="127"/>
        <v>0.44444444444444442</v>
      </c>
      <c r="BA314" s="32">
        <f t="shared" si="128"/>
        <v>0.83333333333333326</v>
      </c>
      <c r="BB314" s="32">
        <f t="shared" si="129"/>
        <v>0.58333333333333326</v>
      </c>
      <c r="BC314" s="7">
        <f t="shared" si="130"/>
        <v>0.83333333333333337</v>
      </c>
      <c r="BD314" s="7">
        <f t="shared" si="131"/>
        <v>0.60185185185185186</v>
      </c>
      <c r="BE314">
        <f>step3_validation[[#This Row],[AI_OUT1]]</f>
        <v>8</v>
      </c>
      <c r="BF314">
        <f t="shared" si="132"/>
        <v>0.77777777777777779</v>
      </c>
      <c r="BG314">
        <f>survey_responses[[#This Row],[Sau khi xem xét các quyền lợi và nghĩa vụ, bạn có ủng hộ và tuân thủ chính sách mới hiện nay? - HUMAN-OUT1]]</f>
        <v>8</v>
      </c>
      <c r="BH314">
        <f t="shared" si="133"/>
        <v>0.77777777777777779</v>
      </c>
      <c r="BI314" s="32">
        <f t="shared" si="134"/>
        <v>0</v>
      </c>
    </row>
    <row r="315" spans="1:61" x14ac:dyDescent="0.45">
      <c r="A315" s="30">
        <f>step3_validation[[#This Row],[Persona_ID]]</f>
        <v>314</v>
      </c>
      <c r="B315" s="31">
        <f>step3_validation[[#This Row],[Used_Seed]]</f>
        <v>314</v>
      </c>
      <c r="C315" t="str">
        <f>step3_validation[[#This Row],[Gender]]</f>
        <v>Nữ</v>
      </c>
      <c r="D315" t="str">
        <f>survey_responses[[#This Row],[Giới tính của bạn:]]</f>
        <v>Nữ</v>
      </c>
      <c r="E315" t="str">
        <f>step3_validation[[#This Row],[Age_Group]]</f>
        <v>18 - 24</v>
      </c>
      <c r="F315" t="str">
        <f>survey_responses[[#This Row],[Độ tuổi của bạn:]]</f>
        <v>18 - 24</v>
      </c>
      <c r="G315" t="str">
        <f>step3_validation[[#This Row],[Region]]</f>
        <v>Thành thị</v>
      </c>
      <c r="H315" t="str">
        <f>survey_responses[[#This Row],[Khu vực bạn đang sinh sống:]]</f>
        <v>Thành thị</v>
      </c>
      <c r="I315" t="str">
        <f>step3_validation[[#This Row],[Education]]</f>
        <v>Đại học</v>
      </c>
      <c r="J315" t="str">
        <f>survey_responses[[#This Row],[Trình độ học vấn cao nhất:]]</f>
        <v>Đại học</v>
      </c>
      <c r="K315" t="str">
        <f>step3_validation[[#This Row],[Employment]]</f>
        <v>Chính thức</v>
      </c>
      <c r="L315" t="str">
        <f>survey_responses[[#This Row],[Tình trạng việc làm chính:]]</f>
        <v>Khu vực chính thức (Có Hợp đồng lao động, đóng BHXH)</v>
      </c>
      <c r="M315">
        <f>step3_validation[[#This Row],[Income_Mil]]</f>
        <v>16.612710869942756</v>
      </c>
      <c r="N315" t="str">
        <f>survey_responses[[#This Row],[Thu nhập bình quân tháng theo Hợp đồng lao động của bạn là bao nhiêu? (Vui lòng điền tổng thu nhập trước khi khấu trừ các loại Bảo hiểm (BHXH, BHYT, BHTN) và Thuế TNCN)]]</f>
        <v>Từ 12 - 18 triệu VNĐ</v>
      </c>
      <c r="O315">
        <f>step3_validation[[#This Row],[Dependents]]</f>
        <v>0</v>
      </c>
      <c r="P315" t="str">
        <f>survey_responses[[#This Row],[Số người phụ thuộc (con nhỏ, cha mẹ già...) đủ điều kiện giảm trừ gia cảnh:]]</f>
        <v>0 người</v>
      </c>
      <c r="Q315">
        <f>step3_validation[[#This Row],[AI_ENF1]]</f>
        <v>8</v>
      </c>
      <c r="R315">
        <f t="shared" si="108"/>
        <v>0.77777777777777779</v>
      </c>
      <c r="S315">
        <f>survey_responses[[#This Row],[Tôi tin rằng với các quy định quản lý thuế hiện nay, hành vi gian lận hoặc trốn thuế sẽ dễ dàng bị phát hiện và xử lý nghiêm. - HUMAN-ENF1]]</f>
        <v>7</v>
      </c>
      <c r="T315">
        <f t="shared" si="109"/>
        <v>0.66666666666666663</v>
      </c>
      <c r="U315">
        <f>step3_validation[[#This Row],[AI_ENF2]]</f>
        <v>9</v>
      </c>
      <c r="V315">
        <f t="shared" si="110"/>
        <v>0.88888888888888884</v>
      </c>
      <c r="W315">
        <f>survey_responses[[#This Row],[Tôi tin rằng Nhà nước, cơ quan thuế có đủ khả năng và công nghệ để phát hiện, xử lý nghiêm các hành vi trốn thuế. - HUMAN-ENF2]]</f>
        <v>8</v>
      </c>
      <c r="X315">
        <f t="shared" si="111"/>
        <v>0.77777777777777779</v>
      </c>
      <c r="Y315" s="32">
        <f t="shared" si="112"/>
        <v>0.83333333333333326</v>
      </c>
      <c r="Z315" s="32">
        <f t="shared" si="113"/>
        <v>0.72222222222222221</v>
      </c>
      <c r="AA315">
        <f>step3_validation[[#This Row],[AI_FAC1]]</f>
        <v>7</v>
      </c>
      <c r="AB315">
        <f t="shared" si="114"/>
        <v>0.66666666666666663</v>
      </c>
      <c r="AC315">
        <f>survey_responses[[#This Row],[Các thủ tục khai báo thuế VÀ/HOẶC quy trình làm việc với cơ quan thuế đơn giản, tiện lợi, nhanh chóng hơn so với trước đây. - HUMAN-FAC1]]</f>
        <v>8</v>
      </c>
      <c r="AD315">
        <f t="shared" si="115"/>
        <v>0.77777777777777779</v>
      </c>
      <c r="AE315">
        <f>step3_validation[[#This Row],[AI_FAC2]]</f>
        <v>9</v>
      </c>
      <c r="AF315">
        <f t="shared" si="116"/>
        <v>0.88888888888888884</v>
      </c>
      <c r="AG315">
        <f>survey_responses[[#This Row],[So với trước đây, tôi thấy cách tính thuế và các bậc thuế trong phương án mới đơn giản, dễ hiểu và dễ thực hiện hơn. - HUMAN-FAC2]]</f>
        <v>8</v>
      </c>
      <c r="AH315">
        <f t="shared" si="117"/>
        <v>0.77777777777777779</v>
      </c>
      <c r="AI315" s="32">
        <f t="shared" si="118"/>
        <v>0.77777777777777768</v>
      </c>
      <c r="AJ315" s="32">
        <f t="shared" si="119"/>
        <v>0.77777777777777779</v>
      </c>
      <c r="AK315">
        <f>step3_validation[[#This Row],[AI_TRU1]]</f>
        <v>8</v>
      </c>
      <c r="AL315">
        <f t="shared" si="120"/>
        <v>0.77777777777777779</v>
      </c>
      <c r="AM315">
        <f>survey_responses[[#This Row],[Tôi tin rằng Nhà nước, cơ quan thuế sẽ thực thi chính sách mới một cách khách quan, công tâm và đối xử bình đẳng với mọi người nộp thuế.  - HUMAN-TRU1]]</f>
        <v>5</v>
      </c>
      <c r="AN315">
        <f t="shared" si="121"/>
        <v>0.44444444444444442</v>
      </c>
      <c r="AO315">
        <f>step3_validation[[#This Row],[AI_TRU2]]</f>
        <v>9</v>
      </c>
      <c r="AP315">
        <f t="shared" si="122"/>
        <v>0.88888888888888884</v>
      </c>
      <c r="AQ315">
        <f>survey_responses[[#This Row],[Tôi thấy mức thuế tôi phải đóng theo phương án mới là công bằng (người thu nhập như tôi đóng mức này là hợp lý). - HUMAN-TRU2]]</f>
        <v>8</v>
      </c>
      <c r="AR315">
        <f t="shared" si="123"/>
        <v>0.77777777777777779</v>
      </c>
      <c r="AS315">
        <f>step3_validation[[#This Row],[AI_TRU3]]</f>
        <v>7</v>
      </c>
      <c r="AT315">
        <f t="shared" si="124"/>
        <v>0.66666666666666663</v>
      </c>
      <c r="AU315">
        <f>survey_responses[[#This Row],[Tôi tin tưởng số tiền thuế tôi đóng sẽ được Nhà nước sử dụng hiệu quả để cải thiện dịch vụ công (y tế, đường xá...). - HUMAN-TRU3]]</f>
        <v>6</v>
      </c>
      <c r="AV315">
        <f t="shared" si="125"/>
        <v>0.55555555555555558</v>
      </c>
      <c r="AW315">
        <f>step3_validation[[#This Row],[AI_TRU4]]</f>
        <v>8</v>
      </c>
      <c r="AX315">
        <f t="shared" si="126"/>
        <v>0.77777777777777779</v>
      </c>
      <c r="AY315">
        <f>survey_responses[[#This Row],[Tôi thấy Nhà nước đã giải thích rõ ràng, minh bạch về lý do và mục tiêu của việc sửa đổi thuế lần này. - HUMAN-TRU4]]</f>
        <v>6</v>
      </c>
      <c r="AZ315">
        <f t="shared" si="127"/>
        <v>0.55555555555555558</v>
      </c>
      <c r="BA315" s="32">
        <f t="shared" si="128"/>
        <v>0.77777777777777768</v>
      </c>
      <c r="BB315" s="32">
        <f t="shared" si="129"/>
        <v>0.58333333333333337</v>
      </c>
      <c r="BC315" s="7">
        <f t="shared" si="130"/>
        <v>0.79629629629629617</v>
      </c>
      <c r="BD315" s="7">
        <f t="shared" si="131"/>
        <v>0.69444444444444453</v>
      </c>
      <c r="BE315">
        <f>step3_validation[[#This Row],[AI_OUT1]]</f>
        <v>9</v>
      </c>
      <c r="BF315">
        <f t="shared" si="132"/>
        <v>0.88888888888888884</v>
      </c>
      <c r="BG315">
        <f>survey_responses[[#This Row],[Sau khi xem xét các quyền lợi và nghĩa vụ, bạn có ủng hộ và tuân thủ chính sách mới hiện nay? - HUMAN-OUT1]]</f>
        <v>8</v>
      </c>
      <c r="BH315">
        <f t="shared" si="133"/>
        <v>0.77777777777777779</v>
      </c>
      <c r="BI315" s="32">
        <f t="shared" si="134"/>
        <v>1</v>
      </c>
    </row>
    <row r="316" spans="1:61" x14ac:dyDescent="0.45">
      <c r="A316" s="30">
        <f>step3_validation[[#This Row],[Persona_ID]]</f>
        <v>315</v>
      </c>
      <c r="B316" s="31">
        <f>step3_validation[[#This Row],[Used_Seed]]</f>
        <v>315</v>
      </c>
      <c r="C316" t="str">
        <f>step3_validation[[#This Row],[Gender]]</f>
        <v>Nam</v>
      </c>
      <c r="D316" t="str">
        <f>survey_responses[[#This Row],[Giới tính của bạn:]]</f>
        <v>Nam</v>
      </c>
      <c r="E316" t="str">
        <f>step3_validation[[#This Row],[Age_Group]]</f>
        <v>18 - 24</v>
      </c>
      <c r="F316" t="str">
        <f>survey_responses[[#This Row],[Độ tuổi của bạn:]]</f>
        <v>18 - 24</v>
      </c>
      <c r="G316" t="str">
        <f>step3_validation[[#This Row],[Region]]</f>
        <v>Thành thị</v>
      </c>
      <c r="H316" t="str">
        <f>survey_responses[[#This Row],[Khu vực bạn đang sinh sống:]]</f>
        <v>Thành thị</v>
      </c>
      <c r="I316" t="str">
        <f>step3_validation[[#This Row],[Education]]</f>
        <v>Đại học</v>
      </c>
      <c r="J316" t="str">
        <f>survey_responses[[#This Row],[Trình độ học vấn cao nhất:]]</f>
        <v>Đại học</v>
      </c>
      <c r="K316" t="str">
        <f>step3_validation[[#This Row],[Employment]]</f>
        <v>Chính thức</v>
      </c>
      <c r="L316" t="str">
        <f>survey_responses[[#This Row],[Tình trạng việc làm chính:]]</f>
        <v>Khu vực chính thức (Có Hợp đồng lao động, đóng BHXH)</v>
      </c>
      <c r="M316">
        <f>step3_validation[[#This Row],[Income_Mil]]</f>
        <v>21.141950445844426</v>
      </c>
      <c r="N316" t="str">
        <f>survey_responses[[#This Row],[Thu nhập bình quân tháng theo Hợp đồng lao động của bạn là bao nhiêu? (Vui lòng điền tổng thu nhập trước khi khấu trừ các loại Bảo hiểm (BHXH, BHYT, BHTN) và Thuế TNCN)]]</f>
        <v>Từ 18 - 23 triệu VNĐ</v>
      </c>
      <c r="O316">
        <f>step3_validation[[#This Row],[Dependents]]</f>
        <v>0</v>
      </c>
      <c r="P316" t="str">
        <f>survey_responses[[#This Row],[Số người phụ thuộc (con nhỏ, cha mẹ già...) đủ điều kiện giảm trừ gia cảnh:]]</f>
        <v>0 người</v>
      </c>
      <c r="Q316">
        <f>step3_validation[[#This Row],[AI_ENF1]]</f>
        <v>7</v>
      </c>
      <c r="R316">
        <f t="shared" si="108"/>
        <v>0.66666666666666663</v>
      </c>
      <c r="S316">
        <f>survey_responses[[#This Row],[Tôi tin rằng với các quy định quản lý thuế hiện nay, hành vi gian lận hoặc trốn thuế sẽ dễ dàng bị phát hiện và xử lý nghiêm. - HUMAN-ENF1]]</f>
        <v>4</v>
      </c>
      <c r="T316">
        <f t="shared" si="109"/>
        <v>0.33333333333333331</v>
      </c>
      <c r="U316">
        <f>step3_validation[[#This Row],[AI_ENF2]]</f>
        <v>6</v>
      </c>
      <c r="V316">
        <f t="shared" si="110"/>
        <v>0.55555555555555558</v>
      </c>
      <c r="W316">
        <f>survey_responses[[#This Row],[Tôi tin rằng Nhà nước, cơ quan thuế có đủ khả năng và công nghệ để phát hiện, xử lý nghiêm các hành vi trốn thuế. - HUMAN-ENF2]]</f>
        <v>5</v>
      </c>
      <c r="X316">
        <f t="shared" si="111"/>
        <v>0.44444444444444442</v>
      </c>
      <c r="Y316" s="32">
        <f t="shared" si="112"/>
        <v>0.61111111111111116</v>
      </c>
      <c r="Z316" s="32">
        <f t="shared" si="113"/>
        <v>0.38888888888888884</v>
      </c>
      <c r="AA316">
        <f>step3_validation[[#This Row],[AI_FAC1]]</f>
        <v>9</v>
      </c>
      <c r="AB316">
        <f t="shared" si="114"/>
        <v>0.88888888888888884</v>
      </c>
      <c r="AC316">
        <f>survey_responses[[#This Row],[Các thủ tục khai báo thuế VÀ/HOẶC quy trình làm việc với cơ quan thuế đơn giản, tiện lợi, nhanh chóng hơn so với trước đây. - HUMAN-FAC1]]</f>
        <v>5</v>
      </c>
      <c r="AD316">
        <f t="shared" si="115"/>
        <v>0.44444444444444442</v>
      </c>
      <c r="AE316">
        <f>step3_validation[[#This Row],[AI_FAC2]]</f>
        <v>8</v>
      </c>
      <c r="AF316">
        <f t="shared" si="116"/>
        <v>0.77777777777777779</v>
      </c>
      <c r="AG316">
        <f>survey_responses[[#This Row],[So với trước đây, tôi thấy cách tính thuế và các bậc thuế trong phương án mới đơn giản, dễ hiểu và dễ thực hiện hơn. - HUMAN-FAC2]]</f>
        <v>7</v>
      </c>
      <c r="AH316">
        <f t="shared" si="117"/>
        <v>0.66666666666666663</v>
      </c>
      <c r="AI316" s="32">
        <f t="shared" si="118"/>
        <v>0.83333333333333326</v>
      </c>
      <c r="AJ316" s="32">
        <f t="shared" si="119"/>
        <v>0.55555555555555558</v>
      </c>
      <c r="AK316">
        <f>step3_validation[[#This Row],[AI_TRU1]]</f>
        <v>7</v>
      </c>
      <c r="AL316">
        <f t="shared" si="120"/>
        <v>0.66666666666666663</v>
      </c>
      <c r="AM316">
        <f>survey_responses[[#This Row],[Tôi tin rằng Nhà nước, cơ quan thuế sẽ thực thi chính sách mới một cách khách quan, công tâm và đối xử bình đẳng với mọi người nộp thuế.  - HUMAN-TRU1]]</f>
        <v>5</v>
      </c>
      <c r="AN316">
        <f t="shared" si="121"/>
        <v>0.44444444444444442</v>
      </c>
      <c r="AO316">
        <f>step3_validation[[#This Row],[AI_TRU2]]</f>
        <v>8</v>
      </c>
      <c r="AP316">
        <f t="shared" si="122"/>
        <v>0.77777777777777779</v>
      </c>
      <c r="AQ316">
        <f>survey_responses[[#This Row],[Tôi thấy mức thuế tôi phải đóng theo phương án mới là công bằng (người thu nhập như tôi đóng mức này là hợp lý). - HUMAN-TRU2]]</f>
        <v>8</v>
      </c>
      <c r="AR316">
        <f t="shared" si="123"/>
        <v>0.77777777777777779</v>
      </c>
      <c r="AS316">
        <f>step3_validation[[#This Row],[AI_TRU3]]</f>
        <v>7</v>
      </c>
      <c r="AT316">
        <f t="shared" si="124"/>
        <v>0.66666666666666663</v>
      </c>
      <c r="AU316">
        <f>survey_responses[[#This Row],[Tôi tin tưởng số tiền thuế tôi đóng sẽ được Nhà nước sử dụng hiệu quả để cải thiện dịch vụ công (y tế, đường xá...). - HUMAN-TRU3]]</f>
        <v>5</v>
      </c>
      <c r="AV316">
        <f t="shared" si="125"/>
        <v>0.44444444444444442</v>
      </c>
      <c r="AW316">
        <f>step3_validation[[#This Row],[AI_TRU4]]</f>
        <v>8</v>
      </c>
      <c r="AX316">
        <f t="shared" si="126"/>
        <v>0.77777777777777779</v>
      </c>
      <c r="AY316">
        <f>survey_responses[[#This Row],[Tôi thấy Nhà nước đã giải thích rõ ràng, minh bạch về lý do và mục tiêu của việc sửa đổi thuế lần này. - HUMAN-TRU4]]</f>
        <v>6</v>
      </c>
      <c r="AZ316">
        <f t="shared" si="127"/>
        <v>0.55555555555555558</v>
      </c>
      <c r="BA316" s="32">
        <f t="shared" si="128"/>
        <v>0.72222222222222221</v>
      </c>
      <c r="BB316" s="32">
        <f t="shared" si="129"/>
        <v>0.55555555555555558</v>
      </c>
      <c r="BC316" s="7">
        <f t="shared" si="130"/>
        <v>0.72222222222222221</v>
      </c>
      <c r="BD316" s="7">
        <f t="shared" si="131"/>
        <v>0.5</v>
      </c>
      <c r="BE316">
        <f>step3_validation[[#This Row],[AI_OUT1]]</f>
        <v>9</v>
      </c>
      <c r="BF316">
        <f t="shared" si="132"/>
        <v>0.88888888888888884</v>
      </c>
      <c r="BG316">
        <f>survey_responses[[#This Row],[Sau khi xem xét các quyền lợi và nghĩa vụ, bạn có ủng hộ và tuân thủ chính sách mới hiện nay? - HUMAN-OUT1]]</f>
        <v>8</v>
      </c>
      <c r="BH316">
        <f t="shared" si="133"/>
        <v>0.77777777777777779</v>
      </c>
      <c r="BI316" s="32">
        <f t="shared" si="134"/>
        <v>1</v>
      </c>
    </row>
    <row r="317" spans="1:61" x14ac:dyDescent="0.45">
      <c r="A317" s="30">
        <f>step3_validation[[#This Row],[Persona_ID]]</f>
        <v>316</v>
      </c>
      <c r="B317" s="31">
        <f>step3_validation[[#This Row],[Used_Seed]]</f>
        <v>316</v>
      </c>
      <c r="C317" t="str">
        <f>step3_validation[[#This Row],[Gender]]</f>
        <v>Nữ</v>
      </c>
      <c r="D317" t="str">
        <f>survey_responses[[#This Row],[Giới tính của bạn:]]</f>
        <v>Nữ</v>
      </c>
      <c r="E317" t="str">
        <f>step3_validation[[#This Row],[Age_Group]]</f>
        <v>25 - 29</v>
      </c>
      <c r="F317" t="str">
        <f>survey_responses[[#This Row],[Độ tuổi của bạn:]]</f>
        <v>25 - 29</v>
      </c>
      <c r="G317" t="str">
        <f>step3_validation[[#This Row],[Region]]</f>
        <v>Thành thị</v>
      </c>
      <c r="H317" t="str">
        <f>survey_responses[[#This Row],[Khu vực bạn đang sinh sống:]]</f>
        <v>Thành thị</v>
      </c>
      <c r="I317" t="str">
        <f>step3_validation[[#This Row],[Education]]</f>
        <v>Đại học</v>
      </c>
      <c r="J317" t="str">
        <f>survey_responses[[#This Row],[Trình độ học vấn cao nhất:]]</f>
        <v>Đại học</v>
      </c>
      <c r="K317" t="str">
        <f>step3_validation[[#This Row],[Employment]]</f>
        <v>Chính thức</v>
      </c>
      <c r="L317" t="str">
        <f>survey_responses[[#This Row],[Tình trạng việc làm chính:]]</f>
        <v>Khu vực chính thức (Có Hợp đồng lao động, đóng BHXH)</v>
      </c>
      <c r="M317">
        <f>step3_validation[[#This Row],[Income_Mil]]</f>
        <v>30.972212370503371</v>
      </c>
      <c r="N317" t="str">
        <f>survey_responses[[#This Row],[Thu nhập bình quân tháng theo Hợp đồng lao động của bạn là bao nhiêu? (Vui lòng điền tổng thu nhập trước khi khấu trừ các loại Bảo hiểm (BHXH, BHYT, BHTN) và Thuế TNCN)]]</f>
        <v>Từ 23 - 32 triệu VNĐ</v>
      </c>
      <c r="O317">
        <f>step3_validation[[#This Row],[Dependents]]</f>
        <v>0</v>
      </c>
      <c r="P317" t="str">
        <f>survey_responses[[#This Row],[Số người phụ thuộc (con nhỏ, cha mẹ già...) đủ điều kiện giảm trừ gia cảnh:]]</f>
        <v>0 người</v>
      </c>
      <c r="Q317">
        <f>step3_validation[[#This Row],[AI_ENF1]]</f>
        <v>6</v>
      </c>
      <c r="R317">
        <f t="shared" si="108"/>
        <v>0.55555555555555558</v>
      </c>
      <c r="S317">
        <f>survey_responses[[#This Row],[Tôi tin rằng với các quy định quản lý thuế hiện nay, hành vi gian lận hoặc trốn thuế sẽ dễ dàng bị phát hiện và xử lý nghiêm. - HUMAN-ENF1]]</f>
        <v>6</v>
      </c>
      <c r="T317">
        <f t="shared" si="109"/>
        <v>0.55555555555555558</v>
      </c>
      <c r="U317">
        <f>step3_validation[[#This Row],[AI_ENF2]]</f>
        <v>7</v>
      </c>
      <c r="V317">
        <f t="shared" si="110"/>
        <v>0.66666666666666663</v>
      </c>
      <c r="W317">
        <f>survey_responses[[#This Row],[Tôi tin rằng Nhà nước, cơ quan thuế có đủ khả năng và công nghệ để phát hiện, xử lý nghiêm các hành vi trốn thuế. - HUMAN-ENF2]]</f>
        <v>8</v>
      </c>
      <c r="X317">
        <f t="shared" si="111"/>
        <v>0.77777777777777779</v>
      </c>
      <c r="Y317" s="32">
        <f t="shared" si="112"/>
        <v>0.61111111111111116</v>
      </c>
      <c r="Z317" s="32">
        <f t="shared" si="113"/>
        <v>0.66666666666666674</v>
      </c>
      <c r="AA317">
        <f>step3_validation[[#This Row],[AI_FAC1]]</f>
        <v>8</v>
      </c>
      <c r="AB317">
        <f t="shared" si="114"/>
        <v>0.77777777777777779</v>
      </c>
      <c r="AC317">
        <f>survey_responses[[#This Row],[Các thủ tục khai báo thuế VÀ/HOẶC quy trình làm việc với cơ quan thuế đơn giản, tiện lợi, nhanh chóng hơn so với trước đây. - HUMAN-FAC1]]</f>
        <v>5</v>
      </c>
      <c r="AD317">
        <f t="shared" si="115"/>
        <v>0.44444444444444442</v>
      </c>
      <c r="AE317">
        <f>step3_validation[[#This Row],[AI_FAC2]]</f>
        <v>9</v>
      </c>
      <c r="AF317">
        <f t="shared" si="116"/>
        <v>0.88888888888888884</v>
      </c>
      <c r="AG317">
        <f>survey_responses[[#This Row],[So với trước đây, tôi thấy cách tính thuế và các bậc thuế trong phương án mới đơn giản, dễ hiểu và dễ thực hiện hơn. - HUMAN-FAC2]]</f>
        <v>6</v>
      </c>
      <c r="AH317">
        <f t="shared" si="117"/>
        <v>0.55555555555555558</v>
      </c>
      <c r="AI317" s="32">
        <f t="shared" si="118"/>
        <v>0.83333333333333326</v>
      </c>
      <c r="AJ317" s="32">
        <f t="shared" si="119"/>
        <v>0.5</v>
      </c>
      <c r="AK317">
        <f>step3_validation[[#This Row],[AI_TRU1]]</f>
        <v>7</v>
      </c>
      <c r="AL317">
        <f t="shared" si="120"/>
        <v>0.66666666666666663</v>
      </c>
      <c r="AM317">
        <f>survey_responses[[#This Row],[Tôi tin rằng Nhà nước, cơ quan thuế sẽ thực thi chính sách mới một cách khách quan, công tâm và đối xử bình đẳng với mọi người nộp thuế.  - HUMAN-TRU1]]</f>
        <v>6</v>
      </c>
      <c r="AN317">
        <f t="shared" si="121"/>
        <v>0.55555555555555558</v>
      </c>
      <c r="AO317">
        <f>step3_validation[[#This Row],[AI_TRU2]]</f>
        <v>9</v>
      </c>
      <c r="AP317">
        <f t="shared" si="122"/>
        <v>0.88888888888888884</v>
      </c>
      <c r="AQ317">
        <f>survey_responses[[#This Row],[Tôi thấy mức thuế tôi phải đóng theo phương án mới là công bằng (người thu nhập như tôi đóng mức này là hợp lý). - HUMAN-TRU2]]</f>
        <v>7</v>
      </c>
      <c r="AR317">
        <f t="shared" si="123"/>
        <v>0.66666666666666663</v>
      </c>
      <c r="AS317">
        <f>step3_validation[[#This Row],[AI_TRU3]]</f>
        <v>7</v>
      </c>
      <c r="AT317">
        <f t="shared" si="124"/>
        <v>0.66666666666666663</v>
      </c>
      <c r="AU317">
        <f>survey_responses[[#This Row],[Tôi tin tưởng số tiền thuế tôi đóng sẽ được Nhà nước sử dụng hiệu quả để cải thiện dịch vụ công (y tế, đường xá...). - HUMAN-TRU3]]</f>
        <v>6</v>
      </c>
      <c r="AV317">
        <f t="shared" si="125"/>
        <v>0.55555555555555558</v>
      </c>
      <c r="AW317">
        <f>step3_validation[[#This Row],[AI_TRU4]]</f>
        <v>8</v>
      </c>
      <c r="AX317">
        <f t="shared" si="126"/>
        <v>0.77777777777777779</v>
      </c>
      <c r="AY317">
        <f>survey_responses[[#This Row],[Tôi thấy Nhà nước đã giải thích rõ ràng, minh bạch về lý do và mục tiêu của việc sửa đổi thuế lần này. - HUMAN-TRU4]]</f>
        <v>7</v>
      </c>
      <c r="AZ317">
        <f t="shared" si="127"/>
        <v>0.66666666666666663</v>
      </c>
      <c r="BA317" s="32">
        <f t="shared" si="128"/>
        <v>0.74999999999999989</v>
      </c>
      <c r="BB317" s="32">
        <f t="shared" si="129"/>
        <v>0.61111111111111116</v>
      </c>
      <c r="BC317" s="7">
        <f t="shared" si="130"/>
        <v>0.7314814814814814</v>
      </c>
      <c r="BD317" s="7">
        <f t="shared" si="131"/>
        <v>0.59259259259259267</v>
      </c>
      <c r="BE317">
        <f>step3_validation[[#This Row],[AI_OUT1]]</f>
        <v>9</v>
      </c>
      <c r="BF317">
        <f t="shared" si="132"/>
        <v>0.88888888888888884</v>
      </c>
      <c r="BG317">
        <f>survey_responses[[#This Row],[Sau khi xem xét các quyền lợi và nghĩa vụ, bạn có ủng hộ và tuân thủ chính sách mới hiện nay? - HUMAN-OUT1]]</f>
        <v>7</v>
      </c>
      <c r="BH317">
        <f t="shared" si="133"/>
        <v>0.66666666666666663</v>
      </c>
      <c r="BI317" s="32">
        <f t="shared" si="134"/>
        <v>2</v>
      </c>
    </row>
    <row r="318" spans="1:61" x14ac:dyDescent="0.45">
      <c r="A318" s="30">
        <f>step3_validation[[#This Row],[Persona_ID]]</f>
        <v>317</v>
      </c>
      <c r="B318" s="31">
        <f>step3_validation[[#This Row],[Used_Seed]]</f>
        <v>317</v>
      </c>
      <c r="C318" t="str">
        <f>step3_validation[[#This Row],[Gender]]</f>
        <v>Nữ</v>
      </c>
      <c r="D318" t="str">
        <f>survey_responses[[#This Row],[Giới tính của bạn:]]</f>
        <v>Nữ</v>
      </c>
      <c r="E318" t="str">
        <f>step3_validation[[#This Row],[Age_Group]]</f>
        <v>18 - 24</v>
      </c>
      <c r="F318" t="str">
        <f>survey_responses[[#This Row],[Độ tuổi của bạn:]]</f>
        <v>18 - 24</v>
      </c>
      <c r="G318" t="str">
        <f>step3_validation[[#This Row],[Region]]</f>
        <v>Thành thị</v>
      </c>
      <c r="H318" t="str">
        <f>survey_responses[[#This Row],[Khu vực bạn đang sinh sống:]]</f>
        <v>Thành thị</v>
      </c>
      <c r="I318" t="str">
        <f>step3_validation[[#This Row],[Education]]</f>
        <v>Đại học</v>
      </c>
      <c r="J318" t="str">
        <f>survey_responses[[#This Row],[Trình độ học vấn cao nhất:]]</f>
        <v>Đại học</v>
      </c>
      <c r="K318" t="str">
        <f>step3_validation[[#This Row],[Employment]]</f>
        <v>Chính thức</v>
      </c>
      <c r="L318" t="str">
        <f>survey_responses[[#This Row],[Tình trạng việc làm chính:]]</f>
        <v>Khu vực chính thức (Có Hợp đồng lao động, đóng BHXH)</v>
      </c>
      <c r="M318">
        <f>step3_validation[[#This Row],[Income_Mil]]</f>
        <v>16.671452398413898</v>
      </c>
      <c r="N318" t="str">
        <f>survey_responses[[#This Row],[Thu nhập bình quân tháng theo Hợp đồng lao động của bạn là bao nhiêu? (Vui lòng điền tổng thu nhập trước khi khấu trừ các loại Bảo hiểm (BHXH, BHYT, BHTN) và Thuế TNCN)]]</f>
        <v>Từ 12 - 18 triệu VNĐ</v>
      </c>
      <c r="O318">
        <f>step3_validation[[#This Row],[Dependents]]</f>
        <v>0</v>
      </c>
      <c r="P318" t="str">
        <f>survey_responses[[#This Row],[Số người phụ thuộc (con nhỏ, cha mẹ già...) đủ điều kiện giảm trừ gia cảnh:]]</f>
        <v>0 người</v>
      </c>
      <c r="Q318">
        <f>step3_validation[[#This Row],[AI_ENF1]]</f>
        <v>7</v>
      </c>
      <c r="R318">
        <f t="shared" si="108"/>
        <v>0.66666666666666663</v>
      </c>
      <c r="S318">
        <f>survey_responses[[#This Row],[Tôi tin rằng với các quy định quản lý thuế hiện nay, hành vi gian lận hoặc trốn thuế sẽ dễ dàng bị phát hiện và xử lý nghiêm. - HUMAN-ENF1]]</f>
        <v>7</v>
      </c>
      <c r="T318">
        <f t="shared" si="109"/>
        <v>0.66666666666666663</v>
      </c>
      <c r="U318">
        <f>step3_validation[[#This Row],[AI_ENF2]]</f>
        <v>8</v>
      </c>
      <c r="V318">
        <f t="shared" si="110"/>
        <v>0.77777777777777779</v>
      </c>
      <c r="W318">
        <f>survey_responses[[#This Row],[Tôi tin rằng Nhà nước, cơ quan thuế có đủ khả năng và công nghệ để phát hiện, xử lý nghiêm các hành vi trốn thuế. - HUMAN-ENF2]]</f>
        <v>7</v>
      </c>
      <c r="X318">
        <f t="shared" si="111"/>
        <v>0.66666666666666663</v>
      </c>
      <c r="Y318" s="32">
        <f t="shared" si="112"/>
        <v>0.72222222222222221</v>
      </c>
      <c r="Z318" s="32">
        <f t="shared" si="113"/>
        <v>0.66666666666666663</v>
      </c>
      <c r="AA318">
        <f>step3_validation[[#This Row],[AI_FAC1]]</f>
        <v>9</v>
      </c>
      <c r="AB318">
        <f t="shared" si="114"/>
        <v>0.88888888888888884</v>
      </c>
      <c r="AC318">
        <f>survey_responses[[#This Row],[Các thủ tục khai báo thuế VÀ/HOẶC quy trình làm việc với cơ quan thuế đơn giản, tiện lợi, nhanh chóng hơn so với trước đây. - HUMAN-FAC1]]</f>
        <v>5</v>
      </c>
      <c r="AD318">
        <f t="shared" si="115"/>
        <v>0.44444444444444442</v>
      </c>
      <c r="AE318">
        <f>step3_validation[[#This Row],[AI_FAC2]]</f>
        <v>8</v>
      </c>
      <c r="AF318">
        <f t="shared" si="116"/>
        <v>0.77777777777777779</v>
      </c>
      <c r="AG318">
        <f>survey_responses[[#This Row],[So với trước đây, tôi thấy cách tính thuế và các bậc thuế trong phương án mới đơn giản, dễ hiểu và dễ thực hiện hơn. - HUMAN-FAC2]]</f>
        <v>8</v>
      </c>
      <c r="AH318">
        <f t="shared" si="117"/>
        <v>0.77777777777777779</v>
      </c>
      <c r="AI318" s="32">
        <f t="shared" si="118"/>
        <v>0.83333333333333326</v>
      </c>
      <c r="AJ318" s="32">
        <f t="shared" si="119"/>
        <v>0.61111111111111116</v>
      </c>
      <c r="AK318">
        <f>step3_validation[[#This Row],[AI_TRU1]]</f>
        <v>6</v>
      </c>
      <c r="AL318">
        <f t="shared" si="120"/>
        <v>0.55555555555555558</v>
      </c>
      <c r="AM318">
        <f>survey_responses[[#This Row],[Tôi tin rằng Nhà nước, cơ quan thuế sẽ thực thi chính sách mới một cách khách quan, công tâm và đối xử bình đẳng với mọi người nộp thuế.  - HUMAN-TRU1]]</f>
        <v>5</v>
      </c>
      <c r="AN318">
        <f t="shared" si="121"/>
        <v>0.44444444444444442</v>
      </c>
      <c r="AO318">
        <f>step3_validation[[#This Row],[AI_TRU2]]</f>
        <v>9</v>
      </c>
      <c r="AP318">
        <f t="shared" si="122"/>
        <v>0.88888888888888884</v>
      </c>
      <c r="AQ318">
        <f>survey_responses[[#This Row],[Tôi thấy mức thuế tôi phải đóng theo phương án mới là công bằng (người thu nhập như tôi đóng mức này là hợp lý). - HUMAN-TRU2]]</f>
        <v>8</v>
      </c>
      <c r="AR318">
        <f t="shared" si="123"/>
        <v>0.77777777777777779</v>
      </c>
      <c r="AS318">
        <f>step3_validation[[#This Row],[AI_TRU3]]</f>
        <v>7</v>
      </c>
      <c r="AT318">
        <f t="shared" si="124"/>
        <v>0.66666666666666663</v>
      </c>
      <c r="AU318">
        <f>survey_responses[[#This Row],[Tôi tin tưởng số tiền thuế tôi đóng sẽ được Nhà nước sử dụng hiệu quả để cải thiện dịch vụ công (y tế, đường xá...). - HUMAN-TRU3]]</f>
        <v>5</v>
      </c>
      <c r="AV318">
        <f t="shared" si="125"/>
        <v>0.44444444444444442</v>
      </c>
      <c r="AW318">
        <f>step3_validation[[#This Row],[AI_TRU4]]</f>
        <v>8</v>
      </c>
      <c r="AX318">
        <f t="shared" si="126"/>
        <v>0.77777777777777779</v>
      </c>
      <c r="AY318">
        <f>survey_responses[[#This Row],[Tôi thấy Nhà nước đã giải thích rõ ràng, minh bạch về lý do và mục tiêu của việc sửa đổi thuế lần này. - HUMAN-TRU4]]</f>
        <v>7</v>
      </c>
      <c r="AZ318">
        <f t="shared" si="127"/>
        <v>0.66666666666666663</v>
      </c>
      <c r="BA318" s="32">
        <f t="shared" si="128"/>
        <v>0.72222222222222221</v>
      </c>
      <c r="BB318" s="32">
        <f t="shared" si="129"/>
        <v>0.58333333333333337</v>
      </c>
      <c r="BC318" s="7">
        <f t="shared" si="130"/>
        <v>0.75925925925925919</v>
      </c>
      <c r="BD318" s="7">
        <f t="shared" si="131"/>
        <v>0.62037037037037035</v>
      </c>
      <c r="BE318">
        <f>step3_validation[[#This Row],[AI_OUT1]]</f>
        <v>9</v>
      </c>
      <c r="BF318">
        <f t="shared" si="132"/>
        <v>0.88888888888888884</v>
      </c>
      <c r="BG318">
        <f>survey_responses[[#This Row],[Sau khi xem xét các quyền lợi và nghĩa vụ, bạn có ủng hộ và tuân thủ chính sách mới hiện nay? - HUMAN-OUT1]]</f>
        <v>8</v>
      </c>
      <c r="BH318">
        <f t="shared" si="133"/>
        <v>0.77777777777777779</v>
      </c>
      <c r="BI318" s="32">
        <f t="shared" si="134"/>
        <v>1</v>
      </c>
    </row>
    <row r="319" spans="1:61" x14ac:dyDescent="0.45">
      <c r="A319" s="30">
        <f>step3_validation[[#This Row],[Persona_ID]]</f>
        <v>318</v>
      </c>
      <c r="B319" s="31">
        <f>step3_validation[[#This Row],[Used_Seed]]</f>
        <v>318</v>
      </c>
      <c r="C319" t="str">
        <f>step3_validation[[#This Row],[Gender]]</f>
        <v>Nữ</v>
      </c>
      <c r="D319" t="str">
        <f>survey_responses[[#This Row],[Giới tính của bạn:]]</f>
        <v>Nữ</v>
      </c>
      <c r="E319" t="str">
        <f>step3_validation[[#This Row],[Age_Group]]</f>
        <v>25 - 29</v>
      </c>
      <c r="F319" t="str">
        <f>survey_responses[[#This Row],[Độ tuổi của bạn:]]</f>
        <v>25 - 29</v>
      </c>
      <c r="G319" t="str">
        <f>step3_validation[[#This Row],[Region]]</f>
        <v>Thành thị</v>
      </c>
      <c r="H319" t="str">
        <f>survey_responses[[#This Row],[Khu vực bạn đang sinh sống:]]</f>
        <v>Thành thị</v>
      </c>
      <c r="I319" t="str">
        <f>step3_validation[[#This Row],[Education]]</f>
        <v>Sau Đại học</v>
      </c>
      <c r="J319" t="str">
        <f>survey_responses[[#This Row],[Trình độ học vấn cao nhất:]]</f>
        <v>Sau Đại học</v>
      </c>
      <c r="K319" t="str">
        <f>step3_validation[[#This Row],[Employment]]</f>
        <v>Chính thức</v>
      </c>
      <c r="L319" t="str">
        <f>survey_responses[[#This Row],[Tình trạng việc làm chính:]]</f>
        <v>Khu vực chính thức (Có Hợp đồng lao động, đóng BHXH)</v>
      </c>
      <c r="M319">
        <f>step3_validation[[#This Row],[Income_Mil]]</f>
        <v>21.835617624332528</v>
      </c>
      <c r="N319" t="str">
        <f>survey_responses[[#This Row],[Thu nhập bình quân tháng theo Hợp đồng lao động của bạn là bao nhiêu? (Vui lòng điền tổng thu nhập trước khi khấu trừ các loại Bảo hiểm (BHXH, BHYT, BHTN) và Thuế TNCN)]]</f>
        <v>Từ 18 - 23 triệu VNĐ</v>
      </c>
      <c r="O319">
        <f>step3_validation[[#This Row],[Dependents]]</f>
        <v>0</v>
      </c>
      <c r="P319" t="str">
        <f>survey_responses[[#This Row],[Số người phụ thuộc (con nhỏ, cha mẹ già...) đủ điều kiện giảm trừ gia cảnh:]]</f>
        <v>0 người</v>
      </c>
      <c r="Q319">
        <f>step3_validation[[#This Row],[AI_ENF1]]</f>
        <v>9</v>
      </c>
      <c r="R319">
        <f t="shared" si="108"/>
        <v>0.88888888888888884</v>
      </c>
      <c r="S319">
        <f>survey_responses[[#This Row],[Tôi tin rằng với các quy định quản lý thuế hiện nay, hành vi gian lận hoặc trốn thuế sẽ dễ dàng bị phát hiện và xử lý nghiêm. - HUMAN-ENF1]]</f>
        <v>4</v>
      </c>
      <c r="T319">
        <f t="shared" si="109"/>
        <v>0.33333333333333331</v>
      </c>
      <c r="U319">
        <f>step3_validation[[#This Row],[AI_ENF2]]</f>
        <v>8</v>
      </c>
      <c r="V319">
        <f t="shared" si="110"/>
        <v>0.77777777777777779</v>
      </c>
      <c r="W319">
        <f>survey_responses[[#This Row],[Tôi tin rằng Nhà nước, cơ quan thuế có đủ khả năng và công nghệ để phát hiện, xử lý nghiêm các hành vi trốn thuế. - HUMAN-ENF2]]</f>
        <v>4</v>
      </c>
      <c r="X319">
        <f t="shared" si="111"/>
        <v>0.33333333333333331</v>
      </c>
      <c r="Y319" s="32">
        <f t="shared" si="112"/>
        <v>0.83333333333333326</v>
      </c>
      <c r="Z319" s="32">
        <f t="shared" si="113"/>
        <v>0.33333333333333331</v>
      </c>
      <c r="AA319">
        <f>step3_validation[[#This Row],[AI_FAC1]]</f>
        <v>8</v>
      </c>
      <c r="AB319">
        <f t="shared" si="114"/>
        <v>0.77777777777777779</v>
      </c>
      <c r="AC319">
        <f>survey_responses[[#This Row],[Các thủ tục khai báo thuế VÀ/HOẶC quy trình làm việc với cơ quan thuế đơn giản, tiện lợi, nhanh chóng hơn so với trước đây. - HUMAN-FAC1]]</f>
        <v>6</v>
      </c>
      <c r="AD319">
        <f t="shared" si="115"/>
        <v>0.55555555555555558</v>
      </c>
      <c r="AE319">
        <f>step3_validation[[#This Row],[AI_FAC2]]</f>
        <v>9</v>
      </c>
      <c r="AF319">
        <f t="shared" si="116"/>
        <v>0.88888888888888884</v>
      </c>
      <c r="AG319">
        <f>survey_responses[[#This Row],[So với trước đây, tôi thấy cách tính thuế và các bậc thuế trong phương án mới đơn giản, dễ hiểu và dễ thực hiện hơn. - HUMAN-FAC2]]</f>
        <v>7</v>
      </c>
      <c r="AH319">
        <f t="shared" si="117"/>
        <v>0.66666666666666663</v>
      </c>
      <c r="AI319" s="32">
        <f t="shared" si="118"/>
        <v>0.83333333333333326</v>
      </c>
      <c r="AJ319" s="32">
        <f t="shared" si="119"/>
        <v>0.61111111111111116</v>
      </c>
      <c r="AK319">
        <f>step3_validation[[#This Row],[AI_TRU1]]</f>
        <v>8</v>
      </c>
      <c r="AL319">
        <f t="shared" si="120"/>
        <v>0.77777777777777779</v>
      </c>
      <c r="AM319">
        <f>survey_responses[[#This Row],[Tôi tin rằng Nhà nước, cơ quan thuế sẽ thực thi chính sách mới một cách khách quan, công tâm và đối xử bình đẳng với mọi người nộp thuế.  - HUMAN-TRU1]]</f>
        <v>5</v>
      </c>
      <c r="AN319">
        <f t="shared" si="121"/>
        <v>0.44444444444444442</v>
      </c>
      <c r="AO319">
        <f>step3_validation[[#This Row],[AI_TRU2]]</f>
        <v>9</v>
      </c>
      <c r="AP319">
        <f t="shared" si="122"/>
        <v>0.88888888888888884</v>
      </c>
      <c r="AQ319">
        <f>survey_responses[[#This Row],[Tôi thấy mức thuế tôi phải đóng theo phương án mới là công bằng (người thu nhập như tôi đóng mức này là hợp lý). - HUMAN-TRU2]]</f>
        <v>8</v>
      </c>
      <c r="AR319">
        <f t="shared" si="123"/>
        <v>0.77777777777777779</v>
      </c>
      <c r="AS319">
        <f>step3_validation[[#This Row],[AI_TRU3]]</f>
        <v>8</v>
      </c>
      <c r="AT319">
        <f t="shared" si="124"/>
        <v>0.77777777777777779</v>
      </c>
      <c r="AU319">
        <f>survey_responses[[#This Row],[Tôi tin tưởng số tiền thuế tôi đóng sẽ được Nhà nước sử dụng hiệu quả để cải thiện dịch vụ công (y tế, đường xá...). - HUMAN-TRU3]]</f>
        <v>5</v>
      </c>
      <c r="AV319">
        <f t="shared" si="125"/>
        <v>0.44444444444444442</v>
      </c>
      <c r="AW319">
        <f>step3_validation[[#This Row],[AI_TRU4]]</f>
        <v>8</v>
      </c>
      <c r="AX319">
        <f t="shared" si="126"/>
        <v>0.77777777777777779</v>
      </c>
      <c r="AY319">
        <f>survey_responses[[#This Row],[Tôi thấy Nhà nước đã giải thích rõ ràng, minh bạch về lý do và mục tiêu của việc sửa đổi thuế lần này. - HUMAN-TRU4]]</f>
        <v>5</v>
      </c>
      <c r="AZ319">
        <f t="shared" si="127"/>
        <v>0.44444444444444442</v>
      </c>
      <c r="BA319" s="32">
        <f t="shared" si="128"/>
        <v>0.80555555555555547</v>
      </c>
      <c r="BB319" s="32">
        <f t="shared" si="129"/>
        <v>0.52777777777777779</v>
      </c>
      <c r="BC319" s="7">
        <f t="shared" si="130"/>
        <v>0.82407407407407396</v>
      </c>
      <c r="BD319" s="7">
        <f t="shared" si="131"/>
        <v>0.49074074074074076</v>
      </c>
      <c r="BE319">
        <f>step3_validation[[#This Row],[AI_OUT1]]</f>
        <v>9</v>
      </c>
      <c r="BF319">
        <f t="shared" si="132"/>
        <v>0.88888888888888884</v>
      </c>
      <c r="BG319">
        <f>survey_responses[[#This Row],[Sau khi xem xét các quyền lợi và nghĩa vụ, bạn có ủng hộ và tuân thủ chính sách mới hiện nay? - HUMAN-OUT1]]</f>
        <v>8</v>
      </c>
      <c r="BH319">
        <f t="shared" si="133"/>
        <v>0.77777777777777779</v>
      </c>
      <c r="BI319" s="32">
        <f t="shared" si="134"/>
        <v>1</v>
      </c>
    </row>
    <row r="320" spans="1:61" x14ac:dyDescent="0.45">
      <c r="A320" s="30">
        <f>step3_validation[[#This Row],[Persona_ID]]</f>
        <v>319</v>
      </c>
      <c r="B320" s="31">
        <f>step3_validation[[#This Row],[Used_Seed]]</f>
        <v>319</v>
      </c>
      <c r="C320" t="str">
        <f>step3_validation[[#This Row],[Gender]]</f>
        <v>Nữ</v>
      </c>
      <c r="D320" t="str">
        <f>survey_responses[[#This Row],[Giới tính của bạn:]]</f>
        <v>Nữ</v>
      </c>
      <c r="E320" t="str">
        <f>step3_validation[[#This Row],[Age_Group]]</f>
        <v>18 - 24</v>
      </c>
      <c r="F320" t="str">
        <f>survey_responses[[#This Row],[Độ tuổi của bạn:]]</f>
        <v>18 - 24</v>
      </c>
      <c r="G320" t="str">
        <f>step3_validation[[#This Row],[Region]]</f>
        <v>Thành thị</v>
      </c>
      <c r="H320" t="str">
        <f>survey_responses[[#This Row],[Khu vực bạn đang sinh sống:]]</f>
        <v>Thành thị</v>
      </c>
      <c r="I320" t="str">
        <f>step3_validation[[#This Row],[Education]]</f>
        <v>Đại học</v>
      </c>
      <c r="J320" t="str">
        <f>survey_responses[[#This Row],[Trình độ học vấn cao nhất:]]</f>
        <v>Đại học</v>
      </c>
      <c r="K320" t="str">
        <f>step3_validation[[#This Row],[Employment]]</f>
        <v>Chính thức</v>
      </c>
      <c r="L320" t="str">
        <f>survey_responses[[#This Row],[Tình trạng việc làm chính:]]</f>
        <v>Khu vực chính thức (Có Hợp đồng lao động, đóng BHXH)</v>
      </c>
      <c r="M320">
        <f>step3_validation[[#This Row],[Income_Mil]]</f>
        <v>13.058809425338124</v>
      </c>
      <c r="N320" t="str">
        <f>survey_responses[[#This Row],[Thu nhập bình quân tháng theo Hợp đồng lao động của bạn là bao nhiêu? (Vui lòng điền tổng thu nhập trước khi khấu trừ các loại Bảo hiểm (BHXH, BHYT, BHTN) và Thuế TNCN)]]</f>
        <v>Từ 12 - 18 triệu VNĐ</v>
      </c>
      <c r="O320">
        <f>step3_validation[[#This Row],[Dependents]]</f>
        <v>0</v>
      </c>
      <c r="P320" t="str">
        <f>survey_responses[[#This Row],[Số người phụ thuộc (con nhỏ, cha mẹ già...) đủ điều kiện giảm trừ gia cảnh:]]</f>
        <v>0 người</v>
      </c>
      <c r="Q320">
        <f>step3_validation[[#This Row],[AI_ENF1]]</f>
        <v>9</v>
      </c>
      <c r="R320">
        <f t="shared" si="108"/>
        <v>0.88888888888888884</v>
      </c>
      <c r="S320">
        <f>survey_responses[[#This Row],[Tôi tin rằng với các quy định quản lý thuế hiện nay, hành vi gian lận hoặc trốn thuế sẽ dễ dàng bị phát hiện và xử lý nghiêm. - HUMAN-ENF1]]</f>
        <v>8</v>
      </c>
      <c r="T320">
        <f t="shared" si="109"/>
        <v>0.77777777777777779</v>
      </c>
      <c r="U320">
        <f>step3_validation[[#This Row],[AI_ENF2]]</f>
        <v>8</v>
      </c>
      <c r="V320">
        <f t="shared" si="110"/>
        <v>0.77777777777777779</v>
      </c>
      <c r="W320">
        <f>survey_responses[[#This Row],[Tôi tin rằng Nhà nước, cơ quan thuế có đủ khả năng và công nghệ để phát hiện, xử lý nghiêm các hành vi trốn thuế. - HUMAN-ENF2]]</f>
        <v>8</v>
      </c>
      <c r="X320">
        <f t="shared" si="111"/>
        <v>0.77777777777777779</v>
      </c>
      <c r="Y320" s="32">
        <f t="shared" si="112"/>
        <v>0.83333333333333326</v>
      </c>
      <c r="Z320" s="32">
        <f t="shared" si="113"/>
        <v>0.77777777777777779</v>
      </c>
      <c r="AA320">
        <f>step3_validation[[#This Row],[AI_FAC1]]</f>
        <v>9</v>
      </c>
      <c r="AB320">
        <f t="shared" si="114"/>
        <v>0.88888888888888884</v>
      </c>
      <c r="AC320">
        <f>survey_responses[[#This Row],[Các thủ tục khai báo thuế VÀ/HOẶC quy trình làm việc với cơ quan thuế đơn giản, tiện lợi, nhanh chóng hơn so với trước đây. - HUMAN-FAC1]]</f>
        <v>10</v>
      </c>
      <c r="AD320">
        <f t="shared" si="115"/>
        <v>1</v>
      </c>
      <c r="AE320">
        <f>step3_validation[[#This Row],[AI_FAC2]]</f>
        <v>8</v>
      </c>
      <c r="AF320">
        <f t="shared" si="116"/>
        <v>0.77777777777777779</v>
      </c>
      <c r="AG320">
        <f>survey_responses[[#This Row],[So với trước đây, tôi thấy cách tính thuế và các bậc thuế trong phương án mới đơn giản, dễ hiểu và dễ thực hiện hơn. - HUMAN-FAC2]]</f>
        <v>10</v>
      </c>
      <c r="AH320">
        <f t="shared" si="117"/>
        <v>1</v>
      </c>
      <c r="AI320" s="32">
        <f t="shared" si="118"/>
        <v>0.83333333333333326</v>
      </c>
      <c r="AJ320" s="32">
        <f t="shared" si="119"/>
        <v>1</v>
      </c>
      <c r="AK320">
        <f>step3_validation[[#This Row],[AI_TRU1]]</f>
        <v>9</v>
      </c>
      <c r="AL320">
        <f t="shared" si="120"/>
        <v>0.88888888888888884</v>
      </c>
      <c r="AM320">
        <f>survey_responses[[#This Row],[Tôi tin rằng Nhà nước, cơ quan thuế sẽ thực thi chính sách mới một cách khách quan, công tâm và đối xử bình đẳng với mọi người nộp thuế.  - HUMAN-TRU1]]</f>
        <v>9</v>
      </c>
      <c r="AN320">
        <f t="shared" si="121"/>
        <v>0.88888888888888884</v>
      </c>
      <c r="AO320">
        <f>step3_validation[[#This Row],[AI_TRU2]]</f>
        <v>8</v>
      </c>
      <c r="AP320">
        <f t="shared" si="122"/>
        <v>0.77777777777777779</v>
      </c>
      <c r="AQ320">
        <f>survey_responses[[#This Row],[Tôi thấy mức thuế tôi phải đóng theo phương án mới là công bằng (người thu nhập như tôi đóng mức này là hợp lý). - HUMAN-TRU2]]</f>
        <v>10</v>
      </c>
      <c r="AR320">
        <f t="shared" si="123"/>
        <v>1</v>
      </c>
      <c r="AS320">
        <f>step3_validation[[#This Row],[AI_TRU3]]</f>
        <v>9</v>
      </c>
      <c r="AT320">
        <f t="shared" si="124"/>
        <v>0.88888888888888884</v>
      </c>
      <c r="AU320">
        <f>survey_responses[[#This Row],[Tôi tin tưởng số tiền thuế tôi đóng sẽ được Nhà nước sử dụng hiệu quả để cải thiện dịch vụ công (y tế, đường xá...). - HUMAN-TRU3]]</f>
        <v>8</v>
      </c>
      <c r="AV320">
        <f t="shared" si="125"/>
        <v>0.77777777777777779</v>
      </c>
      <c r="AW320">
        <f>step3_validation[[#This Row],[AI_TRU4]]</f>
        <v>8</v>
      </c>
      <c r="AX320">
        <f t="shared" si="126"/>
        <v>0.77777777777777779</v>
      </c>
      <c r="AY320">
        <f>survey_responses[[#This Row],[Tôi thấy Nhà nước đã giải thích rõ ràng, minh bạch về lý do và mục tiêu của việc sửa đổi thuế lần này. - HUMAN-TRU4]]</f>
        <v>8</v>
      </c>
      <c r="AZ320">
        <f t="shared" si="127"/>
        <v>0.77777777777777779</v>
      </c>
      <c r="BA320" s="32">
        <f t="shared" si="128"/>
        <v>0.83333333333333326</v>
      </c>
      <c r="BB320" s="32">
        <f t="shared" si="129"/>
        <v>0.86111111111111105</v>
      </c>
      <c r="BC320" s="7">
        <f t="shared" si="130"/>
        <v>0.83333333333333337</v>
      </c>
      <c r="BD320" s="7">
        <f t="shared" si="131"/>
        <v>0.87962962962962965</v>
      </c>
      <c r="BE320">
        <f>step3_validation[[#This Row],[AI_OUT1]]</f>
        <v>9</v>
      </c>
      <c r="BF320">
        <f t="shared" si="132"/>
        <v>0.88888888888888884</v>
      </c>
      <c r="BG320">
        <f>survey_responses[[#This Row],[Sau khi xem xét các quyền lợi và nghĩa vụ, bạn có ủng hộ và tuân thủ chính sách mới hiện nay? - HUMAN-OUT1]]</f>
        <v>10</v>
      </c>
      <c r="BH320">
        <f t="shared" si="133"/>
        <v>1</v>
      </c>
      <c r="BI320" s="32">
        <f t="shared" si="134"/>
        <v>1</v>
      </c>
    </row>
    <row r="321" spans="1:61" x14ac:dyDescent="0.45">
      <c r="A321" s="30">
        <f>step3_validation[[#This Row],[Persona_ID]]</f>
        <v>320</v>
      </c>
      <c r="B321" s="31">
        <f>step3_validation[[#This Row],[Used_Seed]]</f>
        <v>320</v>
      </c>
      <c r="C321" t="str">
        <f>step3_validation[[#This Row],[Gender]]</f>
        <v>Nam</v>
      </c>
      <c r="D321" t="str">
        <f>survey_responses[[#This Row],[Giới tính của bạn:]]</f>
        <v>Nam</v>
      </c>
      <c r="E321" t="str">
        <f>step3_validation[[#This Row],[Age_Group]]</f>
        <v>30 - 39</v>
      </c>
      <c r="F321" t="str">
        <f>survey_responses[[#This Row],[Độ tuổi của bạn:]]</f>
        <v>30 - 39</v>
      </c>
      <c r="G321" t="str">
        <f>step3_validation[[#This Row],[Region]]</f>
        <v>Thành thị</v>
      </c>
      <c r="H321" t="str">
        <f>survey_responses[[#This Row],[Khu vực bạn đang sinh sống:]]</f>
        <v>Thành thị</v>
      </c>
      <c r="I321" t="str">
        <f>step3_validation[[#This Row],[Education]]</f>
        <v>Sau Đại học</v>
      </c>
      <c r="J321" t="str">
        <f>survey_responses[[#This Row],[Trình độ học vấn cao nhất:]]</f>
        <v>Sau Đại học</v>
      </c>
      <c r="K321" t="str">
        <f>step3_validation[[#This Row],[Employment]]</f>
        <v>Chính thức</v>
      </c>
      <c r="L321" t="str">
        <f>survey_responses[[#This Row],[Tình trạng việc làm chính:]]</f>
        <v>Khu vực chính thức (Có Hợp đồng lao động, đóng BHXH)</v>
      </c>
      <c r="M321">
        <f>step3_validation[[#This Row],[Income_Mil]]</f>
        <v>29.511085792070379</v>
      </c>
      <c r="N321" t="str">
        <f>survey_responses[[#This Row],[Thu nhập bình quân tháng theo Hợp đồng lao động của bạn là bao nhiêu? (Vui lòng điền tổng thu nhập trước khi khấu trừ các loại Bảo hiểm (BHXH, BHYT, BHTN) và Thuế TNCN)]]</f>
        <v>Từ 23 - 32 triệu VNĐ</v>
      </c>
      <c r="O321">
        <f>step3_validation[[#This Row],[Dependents]]</f>
        <v>0</v>
      </c>
      <c r="P321" t="str">
        <f>survey_responses[[#This Row],[Số người phụ thuộc (con nhỏ, cha mẹ già...) đủ điều kiện giảm trừ gia cảnh:]]</f>
        <v>0 người</v>
      </c>
      <c r="Q321">
        <f>step3_validation[[#This Row],[AI_ENF1]]</f>
        <v>9</v>
      </c>
      <c r="R321">
        <f t="shared" si="108"/>
        <v>0.88888888888888884</v>
      </c>
      <c r="S321">
        <f>survey_responses[[#This Row],[Tôi tin rằng với các quy định quản lý thuế hiện nay, hành vi gian lận hoặc trốn thuế sẽ dễ dàng bị phát hiện và xử lý nghiêm. - HUMAN-ENF1]]</f>
        <v>5</v>
      </c>
      <c r="T321">
        <f t="shared" si="109"/>
        <v>0.44444444444444442</v>
      </c>
      <c r="U321">
        <f>step3_validation[[#This Row],[AI_ENF2]]</f>
        <v>8</v>
      </c>
      <c r="V321">
        <f t="shared" si="110"/>
        <v>0.77777777777777779</v>
      </c>
      <c r="W321">
        <f>survey_responses[[#This Row],[Tôi tin rằng Nhà nước, cơ quan thuế có đủ khả năng và công nghệ để phát hiện, xử lý nghiêm các hành vi trốn thuế. - HUMAN-ENF2]]</f>
        <v>7</v>
      </c>
      <c r="X321">
        <f t="shared" si="111"/>
        <v>0.66666666666666663</v>
      </c>
      <c r="Y321" s="32">
        <f t="shared" si="112"/>
        <v>0.83333333333333326</v>
      </c>
      <c r="Z321" s="32">
        <f t="shared" si="113"/>
        <v>0.55555555555555558</v>
      </c>
      <c r="AA321">
        <f>step3_validation[[#This Row],[AI_FAC1]]</f>
        <v>9</v>
      </c>
      <c r="AB321">
        <f t="shared" si="114"/>
        <v>0.88888888888888884</v>
      </c>
      <c r="AC321">
        <f>survey_responses[[#This Row],[Các thủ tục khai báo thuế VÀ/HOẶC quy trình làm việc với cơ quan thuế đơn giản, tiện lợi, nhanh chóng hơn so với trước đây. - HUMAN-FAC1]]</f>
        <v>7</v>
      </c>
      <c r="AD321">
        <f t="shared" si="115"/>
        <v>0.66666666666666663</v>
      </c>
      <c r="AE321">
        <f>step3_validation[[#This Row],[AI_FAC2]]</f>
        <v>8</v>
      </c>
      <c r="AF321">
        <f t="shared" si="116"/>
        <v>0.77777777777777779</v>
      </c>
      <c r="AG321">
        <f>survey_responses[[#This Row],[So với trước đây, tôi thấy cách tính thuế và các bậc thuế trong phương án mới đơn giản, dễ hiểu và dễ thực hiện hơn. - HUMAN-FAC2]]</f>
        <v>9</v>
      </c>
      <c r="AH321">
        <f t="shared" si="117"/>
        <v>0.88888888888888884</v>
      </c>
      <c r="AI321" s="32">
        <f t="shared" si="118"/>
        <v>0.83333333333333326</v>
      </c>
      <c r="AJ321" s="32">
        <f t="shared" si="119"/>
        <v>0.77777777777777768</v>
      </c>
      <c r="AK321">
        <f>step3_validation[[#This Row],[AI_TRU1]]</f>
        <v>9</v>
      </c>
      <c r="AL321">
        <f t="shared" si="120"/>
        <v>0.88888888888888884</v>
      </c>
      <c r="AM321">
        <f>survey_responses[[#This Row],[Tôi tin rằng Nhà nước, cơ quan thuế sẽ thực thi chính sách mới một cách khách quan, công tâm và đối xử bình đẳng với mọi người nộp thuế.  - HUMAN-TRU1]]</f>
        <v>5</v>
      </c>
      <c r="AN321">
        <f t="shared" si="121"/>
        <v>0.44444444444444442</v>
      </c>
      <c r="AO321">
        <f>step3_validation[[#This Row],[AI_TRU2]]</f>
        <v>8</v>
      </c>
      <c r="AP321">
        <f t="shared" si="122"/>
        <v>0.77777777777777779</v>
      </c>
      <c r="AQ321">
        <f>survey_responses[[#This Row],[Tôi thấy mức thuế tôi phải đóng theo phương án mới là công bằng (người thu nhập như tôi đóng mức này là hợp lý). - HUMAN-TRU2]]</f>
        <v>6</v>
      </c>
      <c r="AR321">
        <f t="shared" si="123"/>
        <v>0.55555555555555558</v>
      </c>
      <c r="AS321">
        <f>step3_validation[[#This Row],[AI_TRU3]]</f>
        <v>9</v>
      </c>
      <c r="AT321">
        <f t="shared" si="124"/>
        <v>0.88888888888888884</v>
      </c>
      <c r="AU321">
        <f>survey_responses[[#This Row],[Tôi tin tưởng số tiền thuế tôi đóng sẽ được Nhà nước sử dụng hiệu quả để cải thiện dịch vụ công (y tế, đường xá...). - HUMAN-TRU3]]</f>
        <v>5</v>
      </c>
      <c r="AV321">
        <f t="shared" si="125"/>
        <v>0.44444444444444442</v>
      </c>
      <c r="AW321">
        <f>step3_validation[[#This Row],[AI_TRU4]]</f>
        <v>8</v>
      </c>
      <c r="AX321">
        <f t="shared" si="126"/>
        <v>0.77777777777777779</v>
      </c>
      <c r="AY321">
        <f>survey_responses[[#This Row],[Tôi thấy Nhà nước đã giải thích rõ ràng, minh bạch về lý do và mục tiêu của việc sửa đổi thuế lần này. - HUMAN-TRU4]]</f>
        <v>7</v>
      </c>
      <c r="AZ321">
        <f t="shared" si="127"/>
        <v>0.66666666666666663</v>
      </c>
      <c r="BA321" s="32">
        <f t="shared" si="128"/>
        <v>0.83333333333333326</v>
      </c>
      <c r="BB321" s="32">
        <f t="shared" si="129"/>
        <v>0.52777777777777779</v>
      </c>
      <c r="BC321" s="7">
        <f t="shared" si="130"/>
        <v>0.83333333333333337</v>
      </c>
      <c r="BD321" s="7">
        <f t="shared" si="131"/>
        <v>0.62037037037037035</v>
      </c>
      <c r="BE321">
        <f>step3_validation[[#This Row],[AI_OUT1]]</f>
        <v>9</v>
      </c>
      <c r="BF321">
        <f t="shared" si="132"/>
        <v>0.88888888888888884</v>
      </c>
      <c r="BG321">
        <f>survey_responses[[#This Row],[Sau khi xem xét các quyền lợi và nghĩa vụ, bạn có ủng hộ và tuân thủ chính sách mới hiện nay? - HUMAN-OUT1]]</f>
        <v>7</v>
      </c>
      <c r="BH321">
        <f t="shared" si="133"/>
        <v>0.66666666666666663</v>
      </c>
      <c r="BI321" s="32">
        <f t="shared" si="134"/>
        <v>2</v>
      </c>
    </row>
    <row r="322" spans="1:61" x14ac:dyDescent="0.45">
      <c r="A322" s="30">
        <f>step3_validation[[#This Row],[Persona_ID]]</f>
        <v>321</v>
      </c>
      <c r="B322" s="31">
        <f>step3_validation[[#This Row],[Used_Seed]]</f>
        <v>321</v>
      </c>
      <c r="C322" t="str">
        <f>step3_validation[[#This Row],[Gender]]</f>
        <v>Nữ</v>
      </c>
      <c r="D322" t="str">
        <f>survey_responses[[#This Row],[Giới tính của bạn:]]</f>
        <v>Nữ</v>
      </c>
      <c r="E322" t="str">
        <f>step3_validation[[#This Row],[Age_Group]]</f>
        <v>18 - 24</v>
      </c>
      <c r="F322" t="str">
        <f>survey_responses[[#This Row],[Độ tuổi của bạn:]]</f>
        <v>18 - 24</v>
      </c>
      <c r="G322" t="str">
        <f>step3_validation[[#This Row],[Region]]</f>
        <v>Thành thị</v>
      </c>
      <c r="H322" t="str">
        <f>survey_responses[[#This Row],[Khu vực bạn đang sinh sống:]]</f>
        <v>Thành thị</v>
      </c>
      <c r="I322" t="str">
        <f>step3_validation[[#This Row],[Education]]</f>
        <v>Đại học</v>
      </c>
      <c r="J322" t="str">
        <f>survey_responses[[#This Row],[Trình độ học vấn cao nhất:]]</f>
        <v>Đại học</v>
      </c>
      <c r="K322" t="str">
        <f>step3_validation[[#This Row],[Employment]]</f>
        <v>Chính thức</v>
      </c>
      <c r="L322" t="str">
        <f>survey_responses[[#This Row],[Tình trạng việc làm chính:]]</f>
        <v>Khu vực chính thức (Có Hợp đồng lao động, đóng BHXH)</v>
      </c>
      <c r="M322">
        <f>step3_validation[[#This Row],[Income_Mil]]</f>
        <v>15.293833476933116</v>
      </c>
      <c r="N322" t="str">
        <f>survey_responses[[#This Row],[Thu nhập bình quân tháng theo Hợp đồng lao động của bạn là bao nhiêu? (Vui lòng điền tổng thu nhập trước khi khấu trừ các loại Bảo hiểm (BHXH, BHYT, BHTN) và Thuế TNCN)]]</f>
        <v>Từ 12 - 18 triệu VNĐ</v>
      </c>
      <c r="O322">
        <f>step3_validation[[#This Row],[Dependents]]</f>
        <v>0</v>
      </c>
      <c r="P322" t="str">
        <f>survey_responses[[#This Row],[Số người phụ thuộc (con nhỏ, cha mẹ già...) đủ điều kiện giảm trừ gia cảnh:]]</f>
        <v>0 người</v>
      </c>
      <c r="Q322">
        <f>step3_validation[[#This Row],[AI_ENF1]]</f>
        <v>6</v>
      </c>
      <c r="R322">
        <f t="shared" si="108"/>
        <v>0.55555555555555558</v>
      </c>
      <c r="S322">
        <f>survey_responses[[#This Row],[Tôi tin rằng với các quy định quản lý thuế hiện nay, hành vi gian lận hoặc trốn thuế sẽ dễ dàng bị phát hiện và xử lý nghiêm. - HUMAN-ENF1]]</f>
        <v>8</v>
      </c>
      <c r="T322">
        <f t="shared" si="109"/>
        <v>0.77777777777777779</v>
      </c>
      <c r="U322">
        <f>step3_validation[[#This Row],[AI_ENF2]]</f>
        <v>7</v>
      </c>
      <c r="V322">
        <f t="shared" si="110"/>
        <v>0.66666666666666663</v>
      </c>
      <c r="W322">
        <f>survey_responses[[#This Row],[Tôi tin rằng Nhà nước, cơ quan thuế có đủ khả năng và công nghệ để phát hiện, xử lý nghiêm các hành vi trốn thuế. - HUMAN-ENF2]]</f>
        <v>8</v>
      </c>
      <c r="X322">
        <f t="shared" si="111"/>
        <v>0.77777777777777779</v>
      </c>
      <c r="Y322" s="32">
        <f t="shared" si="112"/>
        <v>0.61111111111111116</v>
      </c>
      <c r="Z322" s="32">
        <f t="shared" si="113"/>
        <v>0.77777777777777779</v>
      </c>
      <c r="AA322">
        <f>step3_validation[[#This Row],[AI_FAC1]]</f>
        <v>9</v>
      </c>
      <c r="AB322">
        <f t="shared" si="114"/>
        <v>0.88888888888888884</v>
      </c>
      <c r="AC322">
        <f>survey_responses[[#This Row],[Các thủ tục khai báo thuế VÀ/HOẶC quy trình làm việc với cơ quan thuế đơn giản, tiện lợi, nhanh chóng hơn so với trước đây. - HUMAN-FAC1]]</f>
        <v>7</v>
      </c>
      <c r="AD322">
        <f t="shared" si="115"/>
        <v>0.66666666666666663</v>
      </c>
      <c r="AE322">
        <f>step3_validation[[#This Row],[AI_FAC2]]</f>
        <v>8</v>
      </c>
      <c r="AF322">
        <f t="shared" si="116"/>
        <v>0.77777777777777779</v>
      </c>
      <c r="AG322">
        <f>survey_responses[[#This Row],[So với trước đây, tôi thấy cách tính thuế và các bậc thuế trong phương án mới đơn giản, dễ hiểu và dễ thực hiện hơn. - HUMAN-FAC2]]</f>
        <v>9</v>
      </c>
      <c r="AH322">
        <f t="shared" si="117"/>
        <v>0.88888888888888884</v>
      </c>
      <c r="AI322" s="32">
        <f t="shared" si="118"/>
        <v>0.83333333333333326</v>
      </c>
      <c r="AJ322" s="32">
        <f t="shared" si="119"/>
        <v>0.77777777777777768</v>
      </c>
      <c r="AK322">
        <f>step3_validation[[#This Row],[AI_TRU1]]</f>
        <v>7</v>
      </c>
      <c r="AL322">
        <f t="shared" si="120"/>
        <v>0.66666666666666663</v>
      </c>
      <c r="AM322">
        <f>survey_responses[[#This Row],[Tôi tin rằng Nhà nước, cơ quan thuế sẽ thực thi chính sách mới một cách khách quan, công tâm và đối xử bình đẳng với mọi người nộp thuế.  - HUMAN-TRU1]]</f>
        <v>9</v>
      </c>
      <c r="AN322">
        <f t="shared" si="121"/>
        <v>0.88888888888888884</v>
      </c>
      <c r="AO322">
        <f>step3_validation[[#This Row],[AI_TRU2]]</f>
        <v>9</v>
      </c>
      <c r="AP322">
        <f t="shared" si="122"/>
        <v>0.88888888888888884</v>
      </c>
      <c r="AQ322">
        <f>survey_responses[[#This Row],[Tôi thấy mức thuế tôi phải đóng theo phương án mới là công bằng (người thu nhập như tôi đóng mức này là hợp lý). - HUMAN-TRU2]]</f>
        <v>9</v>
      </c>
      <c r="AR322">
        <f t="shared" si="123"/>
        <v>0.88888888888888884</v>
      </c>
      <c r="AS322">
        <f>step3_validation[[#This Row],[AI_TRU3]]</f>
        <v>8</v>
      </c>
      <c r="AT322">
        <f t="shared" si="124"/>
        <v>0.77777777777777779</v>
      </c>
      <c r="AU322">
        <f>survey_responses[[#This Row],[Tôi tin tưởng số tiền thuế tôi đóng sẽ được Nhà nước sử dụng hiệu quả để cải thiện dịch vụ công (y tế, đường xá...). - HUMAN-TRU3]]</f>
        <v>7</v>
      </c>
      <c r="AV322">
        <f t="shared" si="125"/>
        <v>0.66666666666666663</v>
      </c>
      <c r="AW322">
        <f>step3_validation[[#This Row],[AI_TRU4]]</f>
        <v>7</v>
      </c>
      <c r="AX322">
        <f t="shared" si="126"/>
        <v>0.66666666666666663</v>
      </c>
      <c r="AY322">
        <f>survey_responses[[#This Row],[Tôi thấy Nhà nước đã giải thích rõ ràng, minh bạch về lý do và mục tiêu của việc sửa đổi thuế lần này. - HUMAN-TRU4]]</f>
        <v>9</v>
      </c>
      <c r="AZ322">
        <f t="shared" si="127"/>
        <v>0.88888888888888884</v>
      </c>
      <c r="BA322" s="32">
        <f t="shared" si="128"/>
        <v>0.74999999999999989</v>
      </c>
      <c r="BB322" s="32">
        <f t="shared" si="129"/>
        <v>0.83333333333333326</v>
      </c>
      <c r="BC322" s="7">
        <f t="shared" si="130"/>
        <v>0.7314814814814814</v>
      </c>
      <c r="BD322" s="7">
        <f t="shared" si="131"/>
        <v>0.79629629629629617</v>
      </c>
      <c r="BE322">
        <f>step3_validation[[#This Row],[AI_OUT1]]</f>
        <v>9</v>
      </c>
      <c r="BF322">
        <f t="shared" si="132"/>
        <v>0.88888888888888884</v>
      </c>
      <c r="BG322">
        <f>survey_responses[[#This Row],[Sau khi xem xét các quyền lợi và nghĩa vụ, bạn có ủng hộ và tuân thủ chính sách mới hiện nay? - HUMAN-OUT1]]</f>
        <v>9</v>
      </c>
      <c r="BH322">
        <f t="shared" si="133"/>
        <v>0.88888888888888884</v>
      </c>
      <c r="BI322" s="32">
        <f t="shared" si="134"/>
        <v>0</v>
      </c>
    </row>
    <row r="323" spans="1:61" x14ac:dyDescent="0.45">
      <c r="A323" s="30">
        <f>step3_validation[[#This Row],[Persona_ID]]</f>
        <v>322</v>
      </c>
      <c r="B323" s="31">
        <f>step3_validation[[#This Row],[Used_Seed]]</f>
        <v>322</v>
      </c>
      <c r="C323" t="str">
        <f>step3_validation[[#This Row],[Gender]]</f>
        <v>Nam</v>
      </c>
      <c r="D323" t="str">
        <f>survey_responses[[#This Row],[Giới tính của bạn:]]</f>
        <v>Nam</v>
      </c>
      <c r="E323" t="str">
        <f>step3_validation[[#This Row],[Age_Group]]</f>
        <v>25 - 29</v>
      </c>
      <c r="F323" t="str">
        <f>survey_responses[[#This Row],[Độ tuổi của bạn:]]</f>
        <v>25 - 29</v>
      </c>
      <c r="G323" t="str">
        <f>step3_validation[[#This Row],[Region]]</f>
        <v>Thành thị</v>
      </c>
      <c r="H323" t="str">
        <f>survey_responses[[#This Row],[Khu vực bạn đang sinh sống:]]</f>
        <v>Thành thị</v>
      </c>
      <c r="I323" t="str">
        <f>step3_validation[[#This Row],[Education]]</f>
        <v>Đại học</v>
      </c>
      <c r="J323" t="str">
        <f>survey_responses[[#This Row],[Trình độ học vấn cao nhất:]]</f>
        <v>Đại học</v>
      </c>
      <c r="K323" t="str">
        <f>step3_validation[[#This Row],[Employment]]</f>
        <v>Chính thức</v>
      </c>
      <c r="L323" t="str">
        <f>survey_responses[[#This Row],[Tình trạng việc làm chính:]]</f>
        <v>Khu vực chính thức (Có Hợp đồng lao động, đóng BHXH)</v>
      </c>
      <c r="M323">
        <f>step3_validation[[#This Row],[Income_Mil]]</f>
        <v>25.469267344285235</v>
      </c>
      <c r="N323" t="str">
        <f>survey_responses[[#This Row],[Thu nhập bình quân tháng theo Hợp đồng lao động của bạn là bao nhiêu? (Vui lòng điền tổng thu nhập trước khi khấu trừ các loại Bảo hiểm (BHXH, BHYT, BHTN) và Thuế TNCN)]]</f>
        <v>Từ 23 - 32 triệu VNĐ</v>
      </c>
      <c r="O323">
        <f>step3_validation[[#This Row],[Dependents]]</f>
        <v>0</v>
      </c>
      <c r="P323" t="str">
        <f>survey_responses[[#This Row],[Số người phụ thuộc (con nhỏ, cha mẹ già...) đủ điều kiện giảm trừ gia cảnh:]]</f>
        <v>0 người</v>
      </c>
      <c r="Q323">
        <f>step3_validation[[#This Row],[AI_ENF1]]</f>
        <v>9</v>
      </c>
      <c r="R323">
        <f t="shared" ref="R323:R386" si="135">(Q323-1)/9</f>
        <v>0.88888888888888884</v>
      </c>
      <c r="S323">
        <f>survey_responses[[#This Row],[Tôi tin rằng với các quy định quản lý thuế hiện nay, hành vi gian lận hoặc trốn thuế sẽ dễ dàng bị phát hiện và xử lý nghiêm. - HUMAN-ENF1]]</f>
        <v>5</v>
      </c>
      <c r="T323">
        <f t="shared" ref="T323:T386" si="136">(S323-1)/9</f>
        <v>0.44444444444444442</v>
      </c>
      <c r="U323">
        <f>step3_validation[[#This Row],[AI_ENF2]]</f>
        <v>8</v>
      </c>
      <c r="V323">
        <f t="shared" ref="V323:V386" si="137">(U323-1)/9</f>
        <v>0.77777777777777779</v>
      </c>
      <c r="W323">
        <f>survey_responses[[#This Row],[Tôi tin rằng Nhà nước, cơ quan thuế có đủ khả năng và công nghệ để phát hiện, xử lý nghiêm các hành vi trốn thuế. - HUMAN-ENF2]]</f>
        <v>5</v>
      </c>
      <c r="X323">
        <f t="shared" ref="X323:X386" si="138">(W323-1)/9</f>
        <v>0.44444444444444442</v>
      </c>
      <c r="Y323" s="32">
        <f t="shared" ref="Y323:Y386" si="139">AVERAGE(R323,V323)</f>
        <v>0.83333333333333326</v>
      </c>
      <c r="Z323" s="32">
        <f t="shared" ref="Z323:Z386" si="140">AVERAGE(T323,X323)</f>
        <v>0.44444444444444442</v>
      </c>
      <c r="AA323">
        <f>step3_validation[[#This Row],[AI_FAC1]]</f>
        <v>9</v>
      </c>
      <c r="AB323">
        <f t="shared" ref="AB323:AB386" si="141">(AA323-1)/9</f>
        <v>0.88888888888888884</v>
      </c>
      <c r="AC323">
        <f>survey_responses[[#This Row],[Các thủ tục khai báo thuế VÀ/HOẶC quy trình làm việc với cơ quan thuế đơn giản, tiện lợi, nhanh chóng hơn so với trước đây. - HUMAN-FAC1]]</f>
        <v>5</v>
      </c>
      <c r="AD323">
        <f t="shared" ref="AD323:AD386" si="142">(AC323-1)/9</f>
        <v>0.44444444444444442</v>
      </c>
      <c r="AE323">
        <f>step3_validation[[#This Row],[AI_FAC2]]</f>
        <v>8</v>
      </c>
      <c r="AF323">
        <f t="shared" ref="AF323:AF386" si="143">(AE323-1)/9</f>
        <v>0.77777777777777779</v>
      </c>
      <c r="AG323">
        <f>survey_responses[[#This Row],[So với trước đây, tôi thấy cách tính thuế và các bậc thuế trong phương án mới đơn giản, dễ hiểu và dễ thực hiện hơn. - HUMAN-FAC2]]</f>
        <v>7</v>
      </c>
      <c r="AH323">
        <f t="shared" ref="AH323:AH386" si="144">(AG323-1)/9</f>
        <v>0.66666666666666663</v>
      </c>
      <c r="AI323" s="32">
        <f t="shared" ref="AI323:AI386" si="145">AVERAGE(AB323,AF323)</f>
        <v>0.83333333333333326</v>
      </c>
      <c r="AJ323" s="32">
        <f t="shared" ref="AJ323:AJ386" si="146">AVERAGE(AD323,AH323)</f>
        <v>0.55555555555555558</v>
      </c>
      <c r="AK323">
        <f>step3_validation[[#This Row],[AI_TRU1]]</f>
        <v>9</v>
      </c>
      <c r="AL323">
        <f t="shared" ref="AL323:AL386" si="147">(AK323-1)/9</f>
        <v>0.88888888888888884</v>
      </c>
      <c r="AM323">
        <f>survey_responses[[#This Row],[Tôi tin rằng Nhà nước, cơ quan thuế sẽ thực thi chính sách mới một cách khách quan, công tâm và đối xử bình đẳng với mọi người nộp thuế.  - HUMAN-TRU1]]</f>
        <v>5</v>
      </c>
      <c r="AN323">
        <f t="shared" ref="AN323:AN386" si="148">(AM323-1)/9</f>
        <v>0.44444444444444442</v>
      </c>
      <c r="AO323">
        <f>step3_validation[[#This Row],[AI_TRU2]]</f>
        <v>8</v>
      </c>
      <c r="AP323">
        <f t="shared" ref="AP323:AP386" si="149">(AO323-1)/9</f>
        <v>0.77777777777777779</v>
      </c>
      <c r="AQ323">
        <f>survey_responses[[#This Row],[Tôi thấy mức thuế tôi phải đóng theo phương án mới là công bằng (người thu nhập như tôi đóng mức này là hợp lý). - HUMAN-TRU2]]</f>
        <v>7</v>
      </c>
      <c r="AR323">
        <f t="shared" ref="AR323:AR386" si="150">(AQ323-1)/9</f>
        <v>0.66666666666666663</v>
      </c>
      <c r="AS323">
        <f>step3_validation[[#This Row],[AI_TRU3]]</f>
        <v>9</v>
      </c>
      <c r="AT323">
        <f t="shared" ref="AT323:AT386" si="151">(AS323-1)/9</f>
        <v>0.88888888888888884</v>
      </c>
      <c r="AU323">
        <f>survey_responses[[#This Row],[Tôi tin tưởng số tiền thuế tôi đóng sẽ được Nhà nước sử dụng hiệu quả để cải thiện dịch vụ công (y tế, đường xá...). - HUMAN-TRU3]]</f>
        <v>5</v>
      </c>
      <c r="AV323">
        <f t="shared" ref="AV323:AV386" si="152">(AU323-1)/9</f>
        <v>0.44444444444444442</v>
      </c>
      <c r="AW323">
        <f>step3_validation[[#This Row],[AI_TRU4]]</f>
        <v>8</v>
      </c>
      <c r="AX323">
        <f t="shared" ref="AX323:AX386" si="153">(AW323-1)/9</f>
        <v>0.77777777777777779</v>
      </c>
      <c r="AY323">
        <f>survey_responses[[#This Row],[Tôi thấy Nhà nước đã giải thích rõ ràng, minh bạch về lý do và mục tiêu của việc sửa đổi thuế lần này. - HUMAN-TRU4]]</f>
        <v>5</v>
      </c>
      <c r="AZ323">
        <f t="shared" ref="AZ323:AZ386" si="154">(AY323-1)/9</f>
        <v>0.44444444444444442</v>
      </c>
      <c r="BA323" s="32">
        <f t="shared" ref="BA323:BA386" si="155">AVERAGE(AL323,AP323,AT323,AX323)</f>
        <v>0.83333333333333326</v>
      </c>
      <c r="BB323" s="32">
        <f t="shared" ref="BB323:BB386" si="156">AVERAGE(AN323,AR323,AV323,AZ323)</f>
        <v>0.5</v>
      </c>
      <c r="BC323" s="7">
        <f t="shared" ref="BC323:BC386" si="157">(Y323+AI323+BA323)/3</f>
        <v>0.83333333333333337</v>
      </c>
      <c r="BD323" s="7">
        <f t="shared" ref="BD323:BD386" si="158">(Z323+AJ323+BB323)/3</f>
        <v>0.5</v>
      </c>
      <c r="BE323">
        <f>step3_validation[[#This Row],[AI_OUT1]]</f>
        <v>9</v>
      </c>
      <c r="BF323">
        <f t="shared" ref="BF323:BF386" si="159">(BE323-1)/9</f>
        <v>0.88888888888888884</v>
      </c>
      <c r="BG323">
        <f>survey_responses[[#This Row],[Sau khi xem xét các quyền lợi và nghĩa vụ, bạn có ủng hộ và tuân thủ chính sách mới hiện nay? - HUMAN-OUT1]]</f>
        <v>7</v>
      </c>
      <c r="BH323">
        <f t="shared" ref="BH323:BH386" si="160">(BG323-1)/9</f>
        <v>0.66666666666666663</v>
      </c>
      <c r="BI323" s="32">
        <f t="shared" ref="BI323:BI386" si="161">ABS(BG323-BE323)</f>
        <v>2</v>
      </c>
    </row>
    <row r="324" spans="1:61" x14ac:dyDescent="0.45">
      <c r="A324" s="30">
        <f>step3_validation[[#This Row],[Persona_ID]]</f>
        <v>323</v>
      </c>
      <c r="B324" s="31">
        <f>step3_validation[[#This Row],[Used_Seed]]</f>
        <v>323</v>
      </c>
      <c r="C324" t="str">
        <f>step3_validation[[#This Row],[Gender]]</f>
        <v>Nam</v>
      </c>
      <c r="D324" t="str">
        <f>survey_responses[[#This Row],[Giới tính của bạn:]]</f>
        <v>Nam</v>
      </c>
      <c r="E324" t="str">
        <f>step3_validation[[#This Row],[Age_Group]]</f>
        <v>25 - 29</v>
      </c>
      <c r="F324" t="str">
        <f>survey_responses[[#This Row],[Độ tuổi của bạn:]]</f>
        <v>25 - 29</v>
      </c>
      <c r="G324" t="str">
        <f>step3_validation[[#This Row],[Region]]</f>
        <v>Thành thị</v>
      </c>
      <c r="H324" t="str">
        <f>survey_responses[[#This Row],[Khu vực bạn đang sinh sống:]]</f>
        <v>Thành thị</v>
      </c>
      <c r="I324" t="str">
        <f>step3_validation[[#This Row],[Education]]</f>
        <v>Sau Đại học</v>
      </c>
      <c r="J324" t="str">
        <f>survey_responses[[#This Row],[Trình độ học vấn cao nhất:]]</f>
        <v>Sau Đại học</v>
      </c>
      <c r="K324" t="str">
        <f>step3_validation[[#This Row],[Employment]]</f>
        <v>Chính thức</v>
      </c>
      <c r="L324" t="str">
        <f>survey_responses[[#This Row],[Tình trạng việc làm chính:]]</f>
        <v>Khu vực chính thức (Có Hợp đồng lao động, đóng BHXH)</v>
      </c>
      <c r="M324">
        <f>step3_validation[[#This Row],[Income_Mil]]</f>
        <v>25.230501772508106</v>
      </c>
      <c r="N324" t="str">
        <f>survey_responses[[#This Row],[Thu nhập bình quân tháng theo Hợp đồng lao động của bạn là bao nhiêu? (Vui lòng điền tổng thu nhập trước khi khấu trừ các loại Bảo hiểm (BHXH, BHYT, BHTN) và Thuế TNCN)]]</f>
        <v>Từ 23 - 32 triệu VNĐ</v>
      </c>
      <c r="O324">
        <f>step3_validation[[#This Row],[Dependents]]</f>
        <v>0</v>
      </c>
      <c r="P324" t="str">
        <f>survey_responses[[#This Row],[Số người phụ thuộc (con nhỏ, cha mẹ già...) đủ điều kiện giảm trừ gia cảnh:]]</f>
        <v>0 người</v>
      </c>
      <c r="Q324">
        <f>step3_validation[[#This Row],[AI_ENF1]]</f>
        <v>8</v>
      </c>
      <c r="R324">
        <f t="shared" si="135"/>
        <v>0.77777777777777779</v>
      </c>
      <c r="S324">
        <f>survey_responses[[#This Row],[Tôi tin rằng với các quy định quản lý thuế hiện nay, hành vi gian lận hoặc trốn thuế sẽ dễ dàng bị phát hiện và xử lý nghiêm. - HUMAN-ENF1]]</f>
        <v>7</v>
      </c>
      <c r="T324">
        <f t="shared" si="136"/>
        <v>0.66666666666666663</v>
      </c>
      <c r="U324">
        <f>step3_validation[[#This Row],[AI_ENF2]]</f>
        <v>9</v>
      </c>
      <c r="V324">
        <f t="shared" si="137"/>
        <v>0.88888888888888884</v>
      </c>
      <c r="W324">
        <f>survey_responses[[#This Row],[Tôi tin rằng Nhà nước, cơ quan thuế có đủ khả năng và công nghệ để phát hiện, xử lý nghiêm các hành vi trốn thuế. - HUMAN-ENF2]]</f>
        <v>7</v>
      </c>
      <c r="X324">
        <f t="shared" si="138"/>
        <v>0.66666666666666663</v>
      </c>
      <c r="Y324" s="32">
        <f t="shared" si="139"/>
        <v>0.83333333333333326</v>
      </c>
      <c r="Z324" s="32">
        <f t="shared" si="140"/>
        <v>0.66666666666666663</v>
      </c>
      <c r="AA324">
        <f>step3_validation[[#This Row],[AI_FAC1]]</f>
        <v>8</v>
      </c>
      <c r="AB324">
        <f t="shared" si="141"/>
        <v>0.77777777777777779</v>
      </c>
      <c r="AC324">
        <f>survey_responses[[#This Row],[Các thủ tục khai báo thuế VÀ/HOẶC quy trình làm việc với cơ quan thuế đơn giản, tiện lợi, nhanh chóng hơn so với trước đây. - HUMAN-FAC1]]</f>
        <v>8</v>
      </c>
      <c r="AD324">
        <f t="shared" si="142"/>
        <v>0.77777777777777779</v>
      </c>
      <c r="AE324">
        <f>step3_validation[[#This Row],[AI_FAC2]]</f>
        <v>9</v>
      </c>
      <c r="AF324">
        <f t="shared" si="143"/>
        <v>0.88888888888888884</v>
      </c>
      <c r="AG324">
        <f>survey_responses[[#This Row],[So với trước đây, tôi thấy cách tính thuế và các bậc thuế trong phương án mới đơn giản, dễ hiểu và dễ thực hiện hơn. - HUMAN-FAC2]]</f>
        <v>8</v>
      </c>
      <c r="AH324">
        <f t="shared" si="144"/>
        <v>0.77777777777777779</v>
      </c>
      <c r="AI324" s="32">
        <f t="shared" si="145"/>
        <v>0.83333333333333326</v>
      </c>
      <c r="AJ324" s="32">
        <f t="shared" si="146"/>
        <v>0.77777777777777779</v>
      </c>
      <c r="AK324">
        <f>step3_validation[[#This Row],[AI_TRU1]]</f>
        <v>7</v>
      </c>
      <c r="AL324">
        <f t="shared" si="147"/>
        <v>0.66666666666666663</v>
      </c>
      <c r="AM324">
        <f>survey_responses[[#This Row],[Tôi tin rằng Nhà nước, cơ quan thuế sẽ thực thi chính sách mới một cách khách quan, công tâm và đối xử bình đẳng với mọi người nộp thuế.  - HUMAN-TRU1]]</f>
        <v>6</v>
      </c>
      <c r="AN324">
        <f t="shared" si="148"/>
        <v>0.55555555555555558</v>
      </c>
      <c r="AO324">
        <f>step3_validation[[#This Row],[AI_TRU2]]</f>
        <v>9</v>
      </c>
      <c r="AP324">
        <f t="shared" si="149"/>
        <v>0.88888888888888884</v>
      </c>
      <c r="AQ324">
        <f>survey_responses[[#This Row],[Tôi thấy mức thuế tôi phải đóng theo phương án mới là công bằng (người thu nhập như tôi đóng mức này là hợp lý). - HUMAN-TRU2]]</f>
        <v>7</v>
      </c>
      <c r="AR324">
        <f t="shared" si="150"/>
        <v>0.66666666666666663</v>
      </c>
      <c r="AS324">
        <f>step3_validation[[#This Row],[AI_TRU3]]</f>
        <v>6</v>
      </c>
      <c r="AT324">
        <f t="shared" si="151"/>
        <v>0.55555555555555558</v>
      </c>
      <c r="AU324">
        <f>survey_responses[[#This Row],[Tôi tin tưởng số tiền thuế tôi đóng sẽ được Nhà nước sử dụng hiệu quả để cải thiện dịch vụ công (y tế, đường xá...). - HUMAN-TRU3]]</f>
        <v>6</v>
      </c>
      <c r="AV324">
        <f t="shared" si="152"/>
        <v>0.55555555555555558</v>
      </c>
      <c r="AW324">
        <f>step3_validation[[#This Row],[AI_TRU4]]</f>
        <v>8</v>
      </c>
      <c r="AX324">
        <f t="shared" si="153"/>
        <v>0.77777777777777779</v>
      </c>
      <c r="AY324">
        <f>survey_responses[[#This Row],[Tôi thấy Nhà nước đã giải thích rõ ràng, minh bạch về lý do và mục tiêu của việc sửa đổi thuế lần này. - HUMAN-TRU4]]</f>
        <v>7</v>
      </c>
      <c r="AZ324">
        <f t="shared" si="154"/>
        <v>0.66666666666666663</v>
      </c>
      <c r="BA324" s="32">
        <f t="shared" si="155"/>
        <v>0.7222222222222221</v>
      </c>
      <c r="BB324" s="32">
        <f t="shared" si="156"/>
        <v>0.61111111111111116</v>
      </c>
      <c r="BC324" s="7">
        <f t="shared" si="157"/>
        <v>0.79629629629629617</v>
      </c>
      <c r="BD324" s="7">
        <f t="shared" si="158"/>
        <v>0.68518518518518512</v>
      </c>
      <c r="BE324">
        <f>step3_validation[[#This Row],[AI_OUT1]]</f>
        <v>7</v>
      </c>
      <c r="BF324">
        <f t="shared" si="159"/>
        <v>0.66666666666666663</v>
      </c>
      <c r="BG324">
        <f>survey_responses[[#This Row],[Sau khi xem xét các quyền lợi và nghĩa vụ, bạn có ủng hộ và tuân thủ chính sách mới hiện nay? - HUMAN-OUT1]]</f>
        <v>7</v>
      </c>
      <c r="BH324">
        <f t="shared" si="160"/>
        <v>0.66666666666666663</v>
      </c>
      <c r="BI324" s="32">
        <f t="shared" si="161"/>
        <v>0</v>
      </c>
    </row>
    <row r="325" spans="1:61" x14ac:dyDescent="0.45">
      <c r="A325" s="30">
        <f>step3_validation[[#This Row],[Persona_ID]]</f>
        <v>324</v>
      </c>
      <c r="B325" s="31">
        <f>step3_validation[[#This Row],[Used_Seed]]</f>
        <v>324</v>
      </c>
      <c r="C325" t="str">
        <f>step3_validation[[#This Row],[Gender]]</f>
        <v>Nữ</v>
      </c>
      <c r="D325" t="str">
        <f>survey_responses[[#This Row],[Giới tính của bạn:]]</f>
        <v>Nữ</v>
      </c>
      <c r="E325" t="str">
        <f>step3_validation[[#This Row],[Age_Group]]</f>
        <v>18 - 24</v>
      </c>
      <c r="F325" t="str">
        <f>survey_responses[[#This Row],[Độ tuổi của bạn:]]</f>
        <v>18 - 24</v>
      </c>
      <c r="G325" t="str">
        <f>step3_validation[[#This Row],[Region]]</f>
        <v>Thành thị</v>
      </c>
      <c r="H325" t="str">
        <f>survey_responses[[#This Row],[Khu vực bạn đang sinh sống:]]</f>
        <v>Thành thị</v>
      </c>
      <c r="I325" t="str">
        <f>step3_validation[[#This Row],[Education]]</f>
        <v>Đại học</v>
      </c>
      <c r="J325" t="str">
        <f>survey_responses[[#This Row],[Trình độ học vấn cao nhất:]]</f>
        <v>Đại học</v>
      </c>
      <c r="K325" t="str">
        <f>step3_validation[[#This Row],[Employment]]</f>
        <v>Chính thức</v>
      </c>
      <c r="L325" t="str">
        <f>survey_responses[[#This Row],[Tình trạng việc làm chính:]]</f>
        <v>Khu vực chính thức (Có Hợp đồng lao động, đóng BHXH)</v>
      </c>
      <c r="M325">
        <f>step3_validation[[#This Row],[Income_Mil]]</f>
        <v>12</v>
      </c>
      <c r="N325" t="str">
        <f>survey_responses[[#This Row],[Thu nhập bình quân tháng theo Hợp đồng lao động của bạn là bao nhiêu? (Vui lòng điền tổng thu nhập trước khi khấu trừ các loại Bảo hiểm (BHXH, BHYT, BHTN) và Thuế TNCN)]]</f>
        <v>Dưới 12 triệu VNĐ</v>
      </c>
      <c r="O325">
        <f>step3_validation[[#This Row],[Dependents]]</f>
        <v>0</v>
      </c>
      <c r="P325" t="str">
        <f>survey_responses[[#This Row],[Số người phụ thuộc (con nhỏ, cha mẹ già...) đủ điều kiện giảm trừ gia cảnh:]]</f>
        <v>0 người</v>
      </c>
      <c r="Q325">
        <f>step3_validation[[#This Row],[AI_ENF1]]</f>
        <v>7</v>
      </c>
      <c r="R325">
        <f t="shared" si="135"/>
        <v>0.66666666666666663</v>
      </c>
      <c r="S325">
        <f>survey_responses[[#This Row],[Tôi tin rằng với các quy định quản lý thuế hiện nay, hành vi gian lận hoặc trốn thuế sẽ dễ dàng bị phát hiện và xử lý nghiêm. - HUMAN-ENF1]]</f>
        <v>7</v>
      </c>
      <c r="T325">
        <f t="shared" si="136"/>
        <v>0.66666666666666663</v>
      </c>
      <c r="U325">
        <f>step3_validation[[#This Row],[AI_ENF2]]</f>
        <v>8</v>
      </c>
      <c r="V325">
        <f t="shared" si="137"/>
        <v>0.77777777777777779</v>
      </c>
      <c r="W325">
        <f>survey_responses[[#This Row],[Tôi tin rằng Nhà nước, cơ quan thuế có đủ khả năng và công nghệ để phát hiện, xử lý nghiêm các hành vi trốn thuế. - HUMAN-ENF2]]</f>
        <v>7</v>
      </c>
      <c r="X325">
        <f t="shared" si="138"/>
        <v>0.66666666666666663</v>
      </c>
      <c r="Y325" s="32">
        <f t="shared" si="139"/>
        <v>0.72222222222222221</v>
      </c>
      <c r="Z325" s="32">
        <f t="shared" si="140"/>
        <v>0.66666666666666663</v>
      </c>
      <c r="AA325">
        <f>step3_validation[[#This Row],[AI_FAC1]]</f>
        <v>9</v>
      </c>
      <c r="AB325">
        <f t="shared" si="141"/>
        <v>0.88888888888888884</v>
      </c>
      <c r="AC325">
        <f>survey_responses[[#This Row],[Các thủ tục khai báo thuế VÀ/HOẶC quy trình làm việc với cơ quan thuế đơn giản, tiện lợi, nhanh chóng hơn so với trước đây. - HUMAN-FAC1]]</f>
        <v>5</v>
      </c>
      <c r="AD325">
        <f t="shared" si="142"/>
        <v>0.44444444444444442</v>
      </c>
      <c r="AE325">
        <f>step3_validation[[#This Row],[AI_FAC2]]</f>
        <v>8</v>
      </c>
      <c r="AF325">
        <f t="shared" si="143"/>
        <v>0.77777777777777779</v>
      </c>
      <c r="AG325">
        <f>survey_responses[[#This Row],[So với trước đây, tôi thấy cách tính thuế và các bậc thuế trong phương án mới đơn giản, dễ hiểu và dễ thực hiện hơn. - HUMAN-FAC2]]</f>
        <v>7</v>
      </c>
      <c r="AH325">
        <f t="shared" si="144"/>
        <v>0.66666666666666663</v>
      </c>
      <c r="AI325" s="32">
        <f t="shared" si="145"/>
        <v>0.83333333333333326</v>
      </c>
      <c r="AJ325" s="32">
        <f t="shared" si="146"/>
        <v>0.55555555555555558</v>
      </c>
      <c r="AK325">
        <f>step3_validation[[#This Row],[AI_TRU1]]</f>
        <v>9</v>
      </c>
      <c r="AL325">
        <f t="shared" si="147"/>
        <v>0.88888888888888884</v>
      </c>
      <c r="AM325">
        <f>survey_responses[[#This Row],[Tôi tin rằng Nhà nước, cơ quan thuế sẽ thực thi chính sách mới một cách khách quan, công tâm và đối xử bình đẳng với mọi người nộp thuế.  - HUMAN-TRU1]]</f>
        <v>7</v>
      </c>
      <c r="AN325">
        <f t="shared" si="148"/>
        <v>0.66666666666666663</v>
      </c>
      <c r="AO325">
        <f>step3_validation[[#This Row],[AI_TRU2]]</f>
        <v>8</v>
      </c>
      <c r="AP325">
        <f t="shared" si="149"/>
        <v>0.77777777777777779</v>
      </c>
      <c r="AQ325">
        <f>survey_responses[[#This Row],[Tôi thấy mức thuế tôi phải đóng theo phương án mới là công bằng (người thu nhập như tôi đóng mức này là hợp lý). - HUMAN-TRU2]]</f>
        <v>7</v>
      </c>
      <c r="AR325">
        <f t="shared" si="150"/>
        <v>0.66666666666666663</v>
      </c>
      <c r="AS325">
        <f>step3_validation[[#This Row],[AI_TRU3]]</f>
        <v>9</v>
      </c>
      <c r="AT325">
        <f t="shared" si="151"/>
        <v>0.88888888888888884</v>
      </c>
      <c r="AU325">
        <f>survey_responses[[#This Row],[Tôi tin tưởng số tiền thuế tôi đóng sẽ được Nhà nước sử dụng hiệu quả để cải thiện dịch vụ công (y tế, đường xá...). - HUMAN-TRU3]]</f>
        <v>5</v>
      </c>
      <c r="AV325">
        <f t="shared" si="152"/>
        <v>0.44444444444444442</v>
      </c>
      <c r="AW325">
        <f>step3_validation[[#This Row],[AI_TRU4]]</f>
        <v>7</v>
      </c>
      <c r="AX325">
        <f t="shared" si="153"/>
        <v>0.66666666666666663</v>
      </c>
      <c r="AY325">
        <f>survey_responses[[#This Row],[Tôi thấy Nhà nước đã giải thích rõ ràng, minh bạch về lý do và mục tiêu của việc sửa đổi thuế lần này. - HUMAN-TRU4]]</f>
        <v>5</v>
      </c>
      <c r="AZ325">
        <f t="shared" si="154"/>
        <v>0.44444444444444442</v>
      </c>
      <c r="BA325" s="32">
        <f t="shared" si="155"/>
        <v>0.80555555555555547</v>
      </c>
      <c r="BB325" s="32">
        <f t="shared" si="156"/>
        <v>0.55555555555555558</v>
      </c>
      <c r="BC325" s="7">
        <f t="shared" si="157"/>
        <v>0.78703703703703687</v>
      </c>
      <c r="BD325" s="7">
        <f t="shared" si="158"/>
        <v>0.59259259259259267</v>
      </c>
      <c r="BE325">
        <f>step3_validation[[#This Row],[AI_OUT1]]</f>
        <v>8</v>
      </c>
      <c r="BF325">
        <f t="shared" si="159"/>
        <v>0.77777777777777779</v>
      </c>
      <c r="BG325">
        <f>survey_responses[[#This Row],[Sau khi xem xét các quyền lợi và nghĩa vụ, bạn có ủng hộ và tuân thủ chính sách mới hiện nay? - HUMAN-OUT1]]</f>
        <v>8</v>
      </c>
      <c r="BH325">
        <f t="shared" si="160"/>
        <v>0.77777777777777779</v>
      </c>
      <c r="BI325" s="32">
        <f t="shared" si="161"/>
        <v>0</v>
      </c>
    </row>
    <row r="326" spans="1:61" x14ac:dyDescent="0.45">
      <c r="A326" s="30">
        <f>step3_validation[[#This Row],[Persona_ID]]</f>
        <v>325</v>
      </c>
      <c r="B326" s="31">
        <f>step3_validation[[#This Row],[Used_Seed]]</f>
        <v>325</v>
      </c>
      <c r="C326" t="str">
        <f>step3_validation[[#This Row],[Gender]]</f>
        <v>Nam</v>
      </c>
      <c r="D326" t="str">
        <f>survey_responses[[#This Row],[Giới tính của bạn:]]</f>
        <v>Nam</v>
      </c>
      <c r="E326" t="str">
        <f>step3_validation[[#This Row],[Age_Group]]</f>
        <v>30 - 39</v>
      </c>
      <c r="F326" t="str">
        <f>survey_responses[[#This Row],[Độ tuổi của bạn:]]</f>
        <v>30 - 39</v>
      </c>
      <c r="G326" t="str">
        <f>step3_validation[[#This Row],[Region]]</f>
        <v>Thành thị</v>
      </c>
      <c r="H326" t="str">
        <f>survey_responses[[#This Row],[Khu vực bạn đang sinh sống:]]</f>
        <v>Thành thị</v>
      </c>
      <c r="I326" t="str">
        <f>step3_validation[[#This Row],[Education]]</f>
        <v>Đại học</v>
      </c>
      <c r="J326" t="str">
        <f>survey_responses[[#This Row],[Trình độ học vấn cao nhất:]]</f>
        <v>Đại học</v>
      </c>
      <c r="K326" t="str">
        <f>step3_validation[[#This Row],[Employment]]</f>
        <v>Chính thức</v>
      </c>
      <c r="L326" t="str">
        <f>survey_responses[[#This Row],[Tình trạng việc làm chính:]]</f>
        <v>Khu vực chính thức (Có Hợp đồng lao động, đóng BHXH)</v>
      </c>
      <c r="M326">
        <f>step3_validation[[#This Row],[Income_Mil]]</f>
        <v>39.02837314926937</v>
      </c>
      <c r="N326" t="str">
        <f>survey_responses[[#This Row],[Thu nhập bình quân tháng theo Hợp đồng lao động của bạn là bao nhiêu? (Vui lòng điền tổng thu nhập trước khi khấu trừ các loại Bảo hiểm (BHXH, BHYT, BHTN) và Thuế TNCN)]]</f>
        <v>Từ 32 - 48 triệu VNĐ</v>
      </c>
      <c r="O326">
        <f>step3_validation[[#This Row],[Dependents]]</f>
        <v>1</v>
      </c>
      <c r="P326" t="str">
        <f>survey_responses[[#This Row],[Số người phụ thuộc (con nhỏ, cha mẹ già...) đủ điều kiện giảm trừ gia cảnh:]]</f>
        <v>1 người</v>
      </c>
      <c r="Q326">
        <f>step3_validation[[#This Row],[AI_ENF1]]</f>
        <v>8</v>
      </c>
      <c r="R326">
        <f t="shared" si="135"/>
        <v>0.77777777777777779</v>
      </c>
      <c r="S326">
        <f>survey_responses[[#This Row],[Tôi tin rằng với các quy định quản lý thuế hiện nay, hành vi gian lận hoặc trốn thuế sẽ dễ dàng bị phát hiện và xử lý nghiêm. - HUMAN-ENF1]]</f>
        <v>2</v>
      </c>
      <c r="T326">
        <f t="shared" si="136"/>
        <v>0.1111111111111111</v>
      </c>
      <c r="U326">
        <f>step3_validation[[#This Row],[AI_ENF2]]</f>
        <v>9</v>
      </c>
      <c r="V326">
        <f t="shared" si="137"/>
        <v>0.88888888888888884</v>
      </c>
      <c r="W326">
        <f>survey_responses[[#This Row],[Tôi tin rằng Nhà nước, cơ quan thuế có đủ khả năng và công nghệ để phát hiện, xử lý nghiêm các hành vi trốn thuế. - HUMAN-ENF2]]</f>
        <v>2</v>
      </c>
      <c r="X326">
        <f t="shared" si="138"/>
        <v>0.1111111111111111</v>
      </c>
      <c r="Y326" s="32">
        <f t="shared" si="139"/>
        <v>0.83333333333333326</v>
      </c>
      <c r="Z326" s="32">
        <f t="shared" si="140"/>
        <v>0.1111111111111111</v>
      </c>
      <c r="AA326">
        <f>step3_validation[[#This Row],[AI_FAC1]]</f>
        <v>7</v>
      </c>
      <c r="AB326">
        <f t="shared" si="141"/>
        <v>0.66666666666666663</v>
      </c>
      <c r="AC326">
        <f>survey_responses[[#This Row],[Các thủ tục khai báo thuế VÀ/HOẶC quy trình làm việc với cơ quan thuế đơn giản, tiện lợi, nhanh chóng hơn so với trước đây. - HUMAN-FAC1]]</f>
        <v>6</v>
      </c>
      <c r="AD326">
        <f t="shared" si="142"/>
        <v>0.55555555555555558</v>
      </c>
      <c r="AE326">
        <f>step3_validation[[#This Row],[AI_FAC2]]</f>
        <v>9</v>
      </c>
      <c r="AF326">
        <f t="shared" si="143"/>
        <v>0.88888888888888884</v>
      </c>
      <c r="AG326">
        <f>survey_responses[[#This Row],[So với trước đây, tôi thấy cách tính thuế và các bậc thuế trong phương án mới đơn giản, dễ hiểu và dễ thực hiện hơn. - HUMAN-FAC2]]</f>
        <v>7</v>
      </c>
      <c r="AH326">
        <f t="shared" si="144"/>
        <v>0.66666666666666663</v>
      </c>
      <c r="AI326" s="32">
        <f t="shared" si="145"/>
        <v>0.77777777777777768</v>
      </c>
      <c r="AJ326" s="32">
        <f t="shared" si="146"/>
        <v>0.61111111111111116</v>
      </c>
      <c r="AK326">
        <f>step3_validation[[#This Row],[AI_TRU1]]</f>
        <v>8</v>
      </c>
      <c r="AL326">
        <f t="shared" si="147"/>
        <v>0.77777777777777779</v>
      </c>
      <c r="AM326">
        <f>survey_responses[[#This Row],[Tôi tin rằng Nhà nước, cơ quan thuế sẽ thực thi chính sách mới một cách khách quan, công tâm và đối xử bình đẳng với mọi người nộp thuế.  - HUMAN-TRU1]]</f>
        <v>2</v>
      </c>
      <c r="AN326">
        <f t="shared" si="148"/>
        <v>0.1111111111111111</v>
      </c>
      <c r="AO326">
        <f>step3_validation[[#This Row],[AI_TRU2]]</f>
        <v>9</v>
      </c>
      <c r="AP326">
        <f t="shared" si="149"/>
        <v>0.88888888888888884</v>
      </c>
      <c r="AQ326">
        <f>survey_responses[[#This Row],[Tôi thấy mức thuế tôi phải đóng theo phương án mới là công bằng (người thu nhập như tôi đóng mức này là hợp lý). - HUMAN-TRU2]]</f>
        <v>5</v>
      </c>
      <c r="AR326">
        <f t="shared" si="150"/>
        <v>0.44444444444444442</v>
      </c>
      <c r="AS326">
        <f>step3_validation[[#This Row],[AI_TRU3]]</f>
        <v>8</v>
      </c>
      <c r="AT326">
        <f t="shared" si="151"/>
        <v>0.77777777777777779</v>
      </c>
      <c r="AU326">
        <f>survey_responses[[#This Row],[Tôi tin tưởng số tiền thuế tôi đóng sẽ được Nhà nước sử dụng hiệu quả để cải thiện dịch vụ công (y tế, đường xá...). - HUMAN-TRU3]]</f>
        <v>5</v>
      </c>
      <c r="AV326">
        <f t="shared" si="152"/>
        <v>0.44444444444444442</v>
      </c>
      <c r="AW326">
        <f>step3_validation[[#This Row],[AI_TRU4]]</f>
        <v>9</v>
      </c>
      <c r="AX326">
        <f t="shared" si="153"/>
        <v>0.88888888888888884</v>
      </c>
      <c r="AY326">
        <f>survey_responses[[#This Row],[Tôi thấy Nhà nước đã giải thích rõ ràng, minh bạch về lý do và mục tiêu của việc sửa đổi thuế lần này. - HUMAN-TRU4]]</f>
        <v>6</v>
      </c>
      <c r="AZ326">
        <f t="shared" si="154"/>
        <v>0.55555555555555558</v>
      </c>
      <c r="BA326" s="32">
        <f t="shared" si="155"/>
        <v>0.83333333333333326</v>
      </c>
      <c r="BB326" s="32">
        <f t="shared" si="156"/>
        <v>0.3888888888888889</v>
      </c>
      <c r="BC326" s="7">
        <f t="shared" si="157"/>
        <v>0.81481481481481477</v>
      </c>
      <c r="BD326" s="7">
        <f t="shared" si="158"/>
        <v>0.37037037037037041</v>
      </c>
      <c r="BE326">
        <f>step3_validation[[#This Row],[AI_OUT1]]</f>
        <v>10</v>
      </c>
      <c r="BF326">
        <f t="shared" si="159"/>
        <v>1</v>
      </c>
      <c r="BG326">
        <f>survey_responses[[#This Row],[Sau khi xem xét các quyền lợi và nghĩa vụ, bạn có ủng hộ và tuân thủ chính sách mới hiện nay? - HUMAN-OUT1]]</f>
        <v>5</v>
      </c>
      <c r="BH326">
        <f t="shared" si="160"/>
        <v>0.44444444444444442</v>
      </c>
      <c r="BI326" s="32">
        <f t="shared" si="161"/>
        <v>5</v>
      </c>
    </row>
    <row r="327" spans="1:61" x14ac:dyDescent="0.45">
      <c r="A327" s="30">
        <f>step3_validation[[#This Row],[Persona_ID]]</f>
        <v>326</v>
      </c>
      <c r="B327" s="31">
        <f>step3_validation[[#This Row],[Used_Seed]]</f>
        <v>326</v>
      </c>
      <c r="C327" t="str">
        <f>step3_validation[[#This Row],[Gender]]</f>
        <v>Nữ</v>
      </c>
      <c r="D327" t="str">
        <f>survey_responses[[#This Row],[Giới tính của bạn:]]</f>
        <v>Nữ</v>
      </c>
      <c r="E327" t="str">
        <f>step3_validation[[#This Row],[Age_Group]]</f>
        <v>40 - 49</v>
      </c>
      <c r="F327" t="str">
        <f>survey_responses[[#This Row],[Độ tuổi của bạn:]]</f>
        <v>40 - 49</v>
      </c>
      <c r="G327" t="str">
        <f>step3_validation[[#This Row],[Region]]</f>
        <v>Thành thị</v>
      </c>
      <c r="H327" t="str">
        <f>survey_responses[[#This Row],[Khu vực bạn đang sinh sống:]]</f>
        <v>Thành thị</v>
      </c>
      <c r="I327" t="str">
        <f>step3_validation[[#This Row],[Education]]</f>
        <v>Đại học</v>
      </c>
      <c r="J327" t="str">
        <f>survey_responses[[#This Row],[Trình độ học vấn cao nhất:]]</f>
        <v>Đại học</v>
      </c>
      <c r="K327" t="str">
        <f>step3_validation[[#This Row],[Employment]]</f>
        <v>Chính thức</v>
      </c>
      <c r="L327" t="str">
        <f>survey_responses[[#This Row],[Tình trạng việc làm chính:]]</f>
        <v>Khu vực chính thức (Có Hợp đồng lao động, đóng BHXH)</v>
      </c>
      <c r="M327">
        <f>step3_validation[[#This Row],[Income_Mil]]</f>
        <v>49.001467292806382</v>
      </c>
      <c r="N327" t="str">
        <f>survey_responses[[#This Row],[Thu nhập bình quân tháng theo Hợp đồng lao động của bạn là bao nhiêu? (Vui lòng điền tổng thu nhập trước khi khấu trừ các loại Bảo hiểm (BHXH, BHYT, BHTN) và Thuế TNCN)]]</f>
        <v>Từ 48 - 70 triệu VNĐ</v>
      </c>
      <c r="O327">
        <f>step3_validation[[#This Row],[Dependents]]</f>
        <v>2</v>
      </c>
      <c r="P327" t="str">
        <f>survey_responses[[#This Row],[Số người phụ thuộc (con nhỏ, cha mẹ già...) đủ điều kiện giảm trừ gia cảnh:]]</f>
        <v>2 người</v>
      </c>
      <c r="Q327">
        <f>step3_validation[[#This Row],[AI_ENF1]]</f>
        <v>6</v>
      </c>
      <c r="R327">
        <f t="shared" si="135"/>
        <v>0.55555555555555558</v>
      </c>
      <c r="S327">
        <f>survey_responses[[#This Row],[Tôi tin rằng với các quy định quản lý thuế hiện nay, hành vi gian lận hoặc trốn thuế sẽ dễ dàng bị phát hiện và xử lý nghiêm. - HUMAN-ENF1]]</f>
        <v>8</v>
      </c>
      <c r="T327">
        <f t="shared" si="136"/>
        <v>0.77777777777777779</v>
      </c>
      <c r="U327">
        <f>step3_validation[[#This Row],[AI_ENF2]]</f>
        <v>7</v>
      </c>
      <c r="V327">
        <f t="shared" si="137"/>
        <v>0.66666666666666663</v>
      </c>
      <c r="W327">
        <f>survey_responses[[#This Row],[Tôi tin rằng Nhà nước, cơ quan thuế có đủ khả năng và công nghệ để phát hiện, xử lý nghiêm các hành vi trốn thuế. - HUMAN-ENF2]]</f>
        <v>9</v>
      </c>
      <c r="X327">
        <f t="shared" si="138"/>
        <v>0.88888888888888884</v>
      </c>
      <c r="Y327" s="32">
        <f t="shared" si="139"/>
        <v>0.61111111111111116</v>
      </c>
      <c r="Z327" s="32">
        <f t="shared" si="140"/>
        <v>0.83333333333333326</v>
      </c>
      <c r="AA327">
        <f>step3_validation[[#This Row],[AI_FAC1]]</f>
        <v>8</v>
      </c>
      <c r="AB327">
        <f t="shared" si="141"/>
        <v>0.77777777777777779</v>
      </c>
      <c r="AC327">
        <f>survey_responses[[#This Row],[Các thủ tục khai báo thuế VÀ/HOẶC quy trình làm việc với cơ quan thuế đơn giản, tiện lợi, nhanh chóng hơn so với trước đây. - HUMAN-FAC1]]</f>
        <v>9</v>
      </c>
      <c r="AD327">
        <f t="shared" si="142"/>
        <v>0.88888888888888884</v>
      </c>
      <c r="AE327">
        <f>step3_validation[[#This Row],[AI_FAC2]]</f>
        <v>7</v>
      </c>
      <c r="AF327">
        <f t="shared" si="143"/>
        <v>0.66666666666666663</v>
      </c>
      <c r="AG327">
        <f>survey_responses[[#This Row],[So với trước đây, tôi thấy cách tính thuế và các bậc thuế trong phương án mới đơn giản, dễ hiểu và dễ thực hiện hơn. - HUMAN-FAC2]]</f>
        <v>10</v>
      </c>
      <c r="AH327">
        <f t="shared" si="144"/>
        <v>1</v>
      </c>
      <c r="AI327" s="32">
        <f t="shared" si="145"/>
        <v>0.72222222222222221</v>
      </c>
      <c r="AJ327" s="32">
        <f t="shared" si="146"/>
        <v>0.94444444444444442</v>
      </c>
      <c r="AK327">
        <f>step3_validation[[#This Row],[AI_TRU1]]</f>
        <v>8</v>
      </c>
      <c r="AL327">
        <f t="shared" si="147"/>
        <v>0.77777777777777779</v>
      </c>
      <c r="AM327">
        <f>survey_responses[[#This Row],[Tôi tin rằng Nhà nước, cơ quan thuế sẽ thực thi chính sách mới một cách khách quan, công tâm và đối xử bình đẳng với mọi người nộp thuế.  - HUMAN-TRU1]]</f>
        <v>8</v>
      </c>
      <c r="AN327">
        <f t="shared" si="148"/>
        <v>0.77777777777777779</v>
      </c>
      <c r="AO327">
        <f>step3_validation[[#This Row],[AI_TRU2]]</f>
        <v>9</v>
      </c>
      <c r="AP327">
        <f t="shared" si="149"/>
        <v>0.88888888888888884</v>
      </c>
      <c r="AQ327">
        <f>survey_responses[[#This Row],[Tôi thấy mức thuế tôi phải đóng theo phương án mới là công bằng (người thu nhập như tôi đóng mức này là hợp lý). - HUMAN-TRU2]]</f>
        <v>10</v>
      </c>
      <c r="AR327">
        <f t="shared" si="150"/>
        <v>1</v>
      </c>
      <c r="AS327">
        <f>step3_validation[[#This Row],[AI_TRU3]]</f>
        <v>8</v>
      </c>
      <c r="AT327">
        <f t="shared" si="151"/>
        <v>0.77777777777777779</v>
      </c>
      <c r="AU327">
        <f>survey_responses[[#This Row],[Tôi tin tưởng số tiền thuế tôi đóng sẽ được Nhà nước sử dụng hiệu quả để cải thiện dịch vụ công (y tế, đường xá...). - HUMAN-TRU3]]</f>
        <v>9</v>
      </c>
      <c r="AV327">
        <f t="shared" si="152"/>
        <v>0.88888888888888884</v>
      </c>
      <c r="AW327">
        <f>step3_validation[[#This Row],[AI_TRU4]]</f>
        <v>7</v>
      </c>
      <c r="AX327">
        <f t="shared" si="153"/>
        <v>0.66666666666666663</v>
      </c>
      <c r="AY327">
        <f>survey_responses[[#This Row],[Tôi thấy Nhà nước đã giải thích rõ ràng, minh bạch về lý do và mục tiêu của việc sửa đổi thuế lần này. - HUMAN-TRU4]]</f>
        <v>9</v>
      </c>
      <c r="AZ327">
        <f t="shared" si="154"/>
        <v>0.88888888888888884</v>
      </c>
      <c r="BA327" s="32">
        <f t="shared" si="155"/>
        <v>0.77777777777777768</v>
      </c>
      <c r="BB327" s="32">
        <f t="shared" si="156"/>
        <v>0.88888888888888884</v>
      </c>
      <c r="BC327" s="7">
        <f t="shared" si="157"/>
        <v>0.70370370370370372</v>
      </c>
      <c r="BD327" s="7">
        <f t="shared" si="158"/>
        <v>0.88888888888888884</v>
      </c>
      <c r="BE327">
        <f>step3_validation[[#This Row],[AI_OUT1]]</f>
        <v>9</v>
      </c>
      <c r="BF327">
        <f t="shared" si="159"/>
        <v>0.88888888888888884</v>
      </c>
      <c r="BG327">
        <f>survey_responses[[#This Row],[Sau khi xem xét các quyền lợi và nghĩa vụ, bạn có ủng hộ và tuân thủ chính sách mới hiện nay? - HUMAN-OUT1]]</f>
        <v>10</v>
      </c>
      <c r="BH327">
        <f t="shared" si="160"/>
        <v>1</v>
      </c>
      <c r="BI327" s="32">
        <f t="shared" si="161"/>
        <v>1</v>
      </c>
    </row>
    <row r="328" spans="1:61" x14ac:dyDescent="0.45">
      <c r="A328" s="30">
        <f>step3_validation[[#This Row],[Persona_ID]]</f>
        <v>327</v>
      </c>
      <c r="B328" s="31">
        <f>step3_validation[[#This Row],[Used_Seed]]</f>
        <v>327</v>
      </c>
      <c r="C328" t="str">
        <f>step3_validation[[#This Row],[Gender]]</f>
        <v>Nữ</v>
      </c>
      <c r="D328" t="str">
        <f>survey_responses[[#This Row],[Giới tính của bạn:]]</f>
        <v>Nữ</v>
      </c>
      <c r="E328" t="str">
        <f>step3_validation[[#This Row],[Age_Group]]</f>
        <v>25 - 29</v>
      </c>
      <c r="F328" t="str">
        <f>survey_responses[[#This Row],[Độ tuổi của bạn:]]</f>
        <v>25 - 29</v>
      </c>
      <c r="G328" t="str">
        <f>step3_validation[[#This Row],[Region]]</f>
        <v>Thành thị</v>
      </c>
      <c r="H328" t="str">
        <f>survey_responses[[#This Row],[Khu vực bạn đang sinh sống:]]</f>
        <v>Thành thị</v>
      </c>
      <c r="I328" t="str">
        <f>step3_validation[[#This Row],[Education]]</f>
        <v>Đại học</v>
      </c>
      <c r="J328" t="str">
        <f>survey_responses[[#This Row],[Trình độ học vấn cao nhất:]]</f>
        <v>Đại học</v>
      </c>
      <c r="K328" t="str">
        <f>step3_validation[[#This Row],[Employment]]</f>
        <v>Chính thức</v>
      </c>
      <c r="L328" t="str">
        <f>survey_responses[[#This Row],[Tình trạng việc làm chính:]]</f>
        <v>Khu vực chính thức (Có Hợp đồng lao động, đóng BHXH)</v>
      </c>
      <c r="M328">
        <f>step3_validation[[#This Row],[Income_Mil]]</f>
        <v>20.548640143487589</v>
      </c>
      <c r="N328" t="str">
        <f>survey_responses[[#This Row],[Thu nhập bình quân tháng theo Hợp đồng lao động của bạn là bao nhiêu? (Vui lòng điền tổng thu nhập trước khi khấu trừ các loại Bảo hiểm (BHXH, BHYT, BHTN) và Thuế TNCN)]]</f>
        <v>Từ 18 - 23 triệu VNĐ</v>
      </c>
      <c r="O328">
        <f>step3_validation[[#This Row],[Dependents]]</f>
        <v>0</v>
      </c>
      <c r="P328" t="str">
        <f>survey_responses[[#This Row],[Số người phụ thuộc (con nhỏ, cha mẹ già...) đủ điều kiện giảm trừ gia cảnh:]]</f>
        <v>0 người</v>
      </c>
      <c r="Q328">
        <f>step3_validation[[#This Row],[AI_ENF1]]</f>
        <v>6</v>
      </c>
      <c r="R328">
        <f t="shared" si="135"/>
        <v>0.55555555555555558</v>
      </c>
      <c r="S328">
        <f>survey_responses[[#This Row],[Tôi tin rằng với các quy định quản lý thuế hiện nay, hành vi gian lận hoặc trốn thuế sẽ dễ dàng bị phát hiện và xử lý nghiêm. - HUMAN-ENF1]]</f>
        <v>7</v>
      </c>
      <c r="T328">
        <f t="shared" si="136"/>
        <v>0.66666666666666663</v>
      </c>
      <c r="U328">
        <f>step3_validation[[#This Row],[AI_ENF2]]</f>
        <v>7</v>
      </c>
      <c r="V328">
        <f t="shared" si="137"/>
        <v>0.66666666666666663</v>
      </c>
      <c r="W328">
        <f>survey_responses[[#This Row],[Tôi tin rằng Nhà nước, cơ quan thuế có đủ khả năng và công nghệ để phát hiện, xử lý nghiêm các hành vi trốn thuế. - HUMAN-ENF2]]</f>
        <v>7</v>
      </c>
      <c r="X328">
        <f t="shared" si="138"/>
        <v>0.66666666666666663</v>
      </c>
      <c r="Y328" s="32">
        <f t="shared" si="139"/>
        <v>0.61111111111111116</v>
      </c>
      <c r="Z328" s="32">
        <f t="shared" si="140"/>
        <v>0.66666666666666663</v>
      </c>
      <c r="AA328">
        <f>step3_validation[[#This Row],[AI_FAC1]]</f>
        <v>9</v>
      </c>
      <c r="AB328">
        <f t="shared" si="141"/>
        <v>0.88888888888888884</v>
      </c>
      <c r="AC328">
        <f>survey_responses[[#This Row],[Các thủ tục khai báo thuế VÀ/HOẶC quy trình làm việc với cơ quan thuế đơn giản, tiện lợi, nhanh chóng hơn so với trước đây. - HUMAN-FAC1]]</f>
        <v>7</v>
      </c>
      <c r="AD328">
        <f t="shared" si="142"/>
        <v>0.66666666666666663</v>
      </c>
      <c r="AE328">
        <f>step3_validation[[#This Row],[AI_FAC2]]</f>
        <v>8</v>
      </c>
      <c r="AF328">
        <f t="shared" si="143"/>
        <v>0.77777777777777779</v>
      </c>
      <c r="AG328">
        <f>survey_responses[[#This Row],[So với trước đây, tôi thấy cách tính thuế và các bậc thuế trong phương án mới đơn giản, dễ hiểu và dễ thực hiện hơn. - HUMAN-FAC2]]</f>
        <v>9</v>
      </c>
      <c r="AH328">
        <f t="shared" si="144"/>
        <v>0.88888888888888884</v>
      </c>
      <c r="AI328" s="32">
        <f t="shared" si="145"/>
        <v>0.83333333333333326</v>
      </c>
      <c r="AJ328" s="32">
        <f t="shared" si="146"/>
        <v>0.77777777777777768</v>
      </c>
      <c r="AK328">
        <f>step3_validation[[#This Row],[AI_TRU1]]</f>
        <v>7</v>
      </c>
      <c r="AL328">
        <f t="shared" si="147"/>
        <v>0.66666666666666663</v>
      </c>
      <c r="AM328">
        <f>survey_responses[[#This Row],[Tôi tin rằng Nhà nước, cơ quan thuế sẽ thực thi chính sách mới một cách khách quan, công tâm và đối xử bình đẳng với mọi người nộp thuế.  - HUMAN-TRU1]]</f>
        <v>7</v>
      </c>
      <c r="AN328">
        <f t="shared" si="148"/>
        <v>0.66666666666666663</v>
      </c>
      <c r="AO328">
        <f>step3_validation[[#This Row],[AI_TRU2]]</f>
        <v>9</v>
      </c>
      <c r="AP328">
        <f t="shared" si="149"/>
        <v>0.88888888888888884</v>
      </c>
      <c r="AQ328">
        <f>survey_responses[[#This Row],[Tôi thấy mức thuế tôi phải đóng theo phương án mới là công bằng (người thu nhập như tôi đóng mức này là hợp lý). - HUMAN-TRU2]]</f>
        <v>8</v>
      </c>
      <c r="AR328">
        <f t="shared" si="150"/>
        <v>0.77777777777777779</v>
      </c>
      <c r="AS328">
        <f>step3_validation[[#This Row],[AI_TRU3]]</f>
        <v>7</v>
      </c>
      <c r="AT328">
        <f t="shared" si="151"/>
        <v>0.66666666666666663</v>
      </c>
      <c r="AU328">
        <f>survey_responses[[#This Row],[Tôi tin tưởng số tiền thuế tôi đóng sẽ được Nhà nước sử dụng hiệu quả để cải thiện dịch vụ công (y tế, đường xá...). - HUMAN-TRU3]]</f>
        <v>5</v>
      </c>
      <c r="AV328">
        <f t="shared" si="152"/>
        <v>0.44444444444444442</v>
      </c>
      <c r="AW328">
        <f>step3_validation[[#This Row],[AI_TRU4]]</f>
        <v>6</v>
      </c>
      <c r="AX328">
        <f t="shared" si="153"/>
        <v>0.55555555555555558</v>
      </c>
      <c r="AY328">
        <f>survey_responses[[#This Row],[Tôi thấy Nhà nước đã giải thích rõ ràng, minh bạch về lý do và mục tiêu của việc sửa đổi thuế lần này. - HUMAN-TRU4]]</f>
        <v>7</v>
      </c>
      <c r="AZ328">
        <f t="shared" si="154"/>
        <v>0.66666666666666663</v>
      </c>
      <c r="BA328" s="32">
        <f t="shared" si="155"/>
        <v>0.69444444444444442</v>
      </c>
      <c r="BB328" s="32">
        <f t="shared" si="156"/>
        <v>0.63888888888888884</v>
      </c>
      <c r="BC328" s="7">
        <f t="shared" si="157"/>
        <v>0.71296296296296291</v>
      </c>
      <c r="BD328" s="7">
        <f t="shared" si="158"/>
        <v>0.69444444444444431</v>
      </c>
      <c r="BE328">
        <f>step3_validation[[#This Row],[AI_OUT1]]</f>
        <v>9</v>
      </c>
      <c r="BF328">
        <f t="shared" si="159"/>
        <v>0.88888888888888884</v>
      </c>
      <c r="BG328">
        <f>survey_responses[[#This Row],[Sau khi xem xét các quyền lợi và nghĩa vụ, bạn có ủng hộ và tuân thủ chính sách mới hiện nay? - HUMAN-OUT1]]</f>
        <v>8</v>
      </c>
      <c r="BH328">
        <f t="shared" si="160"/>
        <v>0.77777777777777779</v>
      </c>
      <c r="BI328" s="32">
        <f t="shared" si="161"/>
        <v>1</v>
      </c>
    </row>
    <row r="329" spans="1:61" x14ac:dyDescent="0.45">
      <c r="A329" s="30">
        <f>step3_validation[[#This Row],[Persona_ID]]</f>
        <v>328</v>
      </c>
      <c r="B329" s="31">
        <f>step3_validation[[#This Row],[Used_Seed]]</f>
        <v>328</v>
      </c>
      <c r="C329" t="str">
        <f>step3_validation[[#This Row],[Gender]]</f>
        <v>Nam</v>
      </c>
      <c r="D329" t="str">
        <f>survey_responses[[#This Row],[Giới tính của bạn:]]</f>
        <v>Nam</v>
      </c>
      <c r="E329" t="str">
        <f>step3_validation[[#This Row],[Age_Group]]</f>
        <v>40 - 49</v>
      </c>
      <c r="F329" t="str">
        <f>survey_responses[[#This Row],[Độ tuổi của bạn:]]</f>
        <v>40 - 49</v>
      </c>
      <c r="G329" t="str">
        <f>step3_validation[[#This Row],[Region]]</f>
        <v>Thành thị</v>
      </c>
      <c r="H329" t="str">
        <f>survey_responses[[#This Row],[Khu vực bạn đang sinh sống:]]</f>
        <v>Thành thị</v>
      </c>
      <c r="I329" t="str">
        <f>step3_validation[[#This Row],[Education]]</f>
        <v>Sau Đại học</v>
      </c>
      <c r="J329" t="str">
        <f>survey_responses[[#This Row],[Trình độ học vấn cao nhất:]]</f>
        <v>Sau Đại học</v>
      </c>
      <c r="K329" t="str">
        <f>step3_validation[[#This Row],[Employment]]</f>
        <v>Chính thức</v>
      </c>
      <c r="L329" t="str">
        <f>survey_responses[[#This Row],[Tình trạng việc làm chính:]]</f>
        <v>Khu vực chính thức (Có Hợp đồng lao động, đóng BHXH)</v>
      </c>
      <c r="M329">
        <f>step3_validation[[#This Row],[Income_Mil]]</f>
        <v>98.760086419882256</v>
      </c>
      <c r="N329" t="str">
        <f>survey_responses[[#This Row],[Thu nhập bình quân tháng theo Hợp đồng lao động của bạn là bao nhiêu? (Vui lòng điền tổng thu nhập trước khi khấu trừ các loại Bảo hiểm (BHXH, BHYT, BHTN) và Thuế TNCN)]]</f>
        <v>Từ 70 - 102 triệu VNĐ</v>
      </c>
      <c r="O329">
        <f>step3_validation[[#This Row],[Dependents]]</f>
        <v>3</v>
      </c>
      <c r="P329" t="str">
        <f>survey_responses[[#This Row],[Số người phụ thuộc (con nhỏ, cha mẹ già...) đủ điều kiện giảm trừ gia cảnh:]]</f>
        <v>3 người</v>
      </c>
      <c r="Q329">
        <f>step3_validation[[#This Row],[AI_ENF1]]</f>
        <v>8</v>
      </c>
      <c r="R329">
        <f t="shared" si="135"/>
        <v>0.77777777777777779</v>
      </c>
      <c r="S329">
        <f>survey_responses[[#This Row],[Tôi tin rằng với các quy định quản lý thuế hiện nay, hành vi gian lận hoặc trốn thuế sẽ dễ dàng bị phát hiện và xử lý nghiêm. - HUMAN-ENF1]]</f>
        <v>7</v>
      </c>
      <c r="T329">
        <f t="shared" si="136"/>
        <v>0.66666666666666663</v>
      </c>
      <c r="U329">
        <f>step3_validation[[#This Row],[AI_ENF2]]</f>
        <v>8</v>
      </c>
      <c r="V329">
        <f t="shared" si="137"/>
        <v>0.77777777777777779</v>
      </c>
      <c r="W329">
        <f>survey_responses[[#This Row],[Tôi tin rằng Nhà nước, cơ quan thuế có đủ khả năng và công nghệ để phát hiện, xử lý nghiêm các hành vi trốn thuế. - HUMAN-ENF2]]</f>
        <v>8</v>
      </c>
      <c r="X329">
        <f t="shared" si="138"/>
        <v>0.77777777777777779</v>
      </c>
      <c r="Y329" s="32">
        <f t="shared" si="139"/>
        <v>0.77777777777777779</v>
      </c>
      <c r="Z329" s="32">
        <f t="shared" si="140"/>
        <v>0.72222222222222221</v>
      </c>
      <c r="AA329">
        <f>step3_validation[[#This Row],[AI_FAC1]]</f>
        <v>6</v>
      </c>
      <c r="AB329">
        <f t="shared" si="141"/>
        <v>0.55555555555555558</v>
      </c>
      <c r="AC329">
        <f>survey_responses[[#This Row],[Các thủ tục khai báo thuế VÀ/HOẶC quy trình làm việc với cơ quan thuế đơn giản, tiện lợi, nhanh chóng hơn so với trước đây. - HUMAN-FAC1]]</f>
        <v>9</v>
      </c>
      <c r="AD329">
        <f t="shared" si="142"/>
        <v>0.88888888888888884</v>
      </c>
      <c r="AE329">
        <f>step3_validation[[#This Row],[AI_FAC2]]</f>
        <v>8</v>
      </c>
      <c r="AF329">
        <f t="shared" si="143"/>
        <v>0.77777777777777779</v>
      </c>
      <c r="AG329">
        <f>survey_responses[[#This Row],[So với trước đây, tôi thấy cách tính thuế và các bậc thuế trong phương án mới đơn giản, dễ hiểu và dễ thực hiện hơn. - HUMAN-FAC2]]</f>
        <v>9</v>
      </c>
      <c r="AH329">
        <f t="shared" si="144"/>
        <v>0.88888888888888884</v>
      </c>
      <c r="AI329" s="32">
        <f t="shared" si="145"/>
        <v>0.66666666666666674</v>
      </c>
      <c r="AJ329" s="32">
        <f t="shared" si="146"/>
        <v>0.88888888888888884</v>
      </c>
      <c r="AK329">
        <f>step3_validation[[#This Row],[AI_TRU1]]</f>
        <v>9</v>
      </c>
      <c r="AL329">
        <f t="shared" si="147"/>
        <v>0.88888888888888884</v>
      </c>
      <c r="AM329">
        <f>survey_responses[[#This Row],[Tôi tin rằng Nhà nước, cơ quan thuế sẽ thực thi chính sách mới một cách khách quan, công tâm và đối xử bình đẳng với mọi người nộp thuế.  - HUMAN-TRU1]]</f>
        <v>9</v>
      </c>
      <c r="AN329">
        <f t="shared" si="148"/>
        <v>0.88888888888888884</v>
      </c>
      <c r="AO329">
        <f>step3_validation[[#This Row],[AI_TRU2]]</f>
        <v>9</v>
      </c>
      <c r="AP329">
        <f t="shared" si="149"/>
        <v>0.88888888888888884</v>
      </c>
      <c r="AQ329">
        <f>survey_responses[[#This Row],[Tôi thấy mức thuế tôi phải đóng theo phương án mới là công bằng (người thu nhập như tôi đóng mức này là hợp lý). - HUMAN-TRU2]]</f>
        <v>8</v>
      </c>
      <c r="AR329">
        <f t="shared" si="150"/>
        <v>0.77777777777777779</v>
      </c>
      <c r="AS329">
        <f>step3_validation[[#This Row],[AI_TRU3]]</f>
        <v>8</v>
      </c>
      <c r="AT329">
        <f t="shared" si="151"/>
        <v>0.77777777777777779</v>
      </c>
      <c r="AU329">
        <f>survey_responses[[#This Row],[Tôi tin tưởng số tiền thuế tôi đóng sẽ được Nhà nước sử dụng hiệu quả để cải thiện dịch vụ công (y tế, đường xá...). - HUMAN-TRU3]]</f>
        <v>7</v>
      </c>
      <c r="AV329">
        <f t="shared" si="152"/>
        <v>0.66666666666666663</v>
      </c>
      <c r="AW329">
        <f>step3_validation[[#This Row],[AI_TRU4]]</f>
        <v>9</v>
      </c>
      <c r="AX329">
        <f t="shared" si="153"/>
        <v>0.88888888888888884</v>
      </c>
      <c r="AY329">
        <f>survey_responses[[#This Row],[Tôi thấy Nhà nước đã giải thích rõ ràng, minh bạch về lý do và mục tiêu của việc sửa đổi thuế lần này. - HUMAN-TRU4]]</f>
        <v>7</v>
      </c>
      <c r="AZ329">
        <f t="shared" si="154"/>
        <v>0.66666666666666663</v>
      </c>
      <c r="BA329" s="32">
        <f t="shared" si="155"/>
        <v>0.86111111111111105</v>
      </c>
      <c r="BB329" s="32">
        <f t="shared" si="156"/>
        <v>0.74999999999999989</v>
      </c>
      <c r="BC329" s="7">
        <f t="shared" si="157"/>
        <v>0.7685185185185186</v>
      </c>
      <c r="BD329" s="7">
        <f t="shared" si="158"/>
        <v>0.78703703703703709</v>
      </c>
      <c r="BE329">
        <f>step3_validation[[#This Row],[AI_OUT1]]</f>
        <v>8</v>
      </c>
      <c r="BF329">
        <f t="shared" si="159"/>
        <v>0.77777777777777779</v>
      </c>
      <c r="BG329">
        <f>survey_responses[[#This Row],[Sau khi xem xét các quyền lợi và nghĩa vụ, bạn có ủng hộ và tuân thủ chính sách mới hiện nay? - HUMAN-OUT1]]</f>
        <v>9</v>
      </c>
      <c r="BH329">
        <f t="shared" si="160"/>
        <v>0.88888888888888884</v>
      </c>
      <c r="BI329" s="32">
        <f t="shared" si="161"/>
        <v>1</v>
      </c>
    </row>
    <row r="330" spans="1:61" x14ac:dyDescent="0.45">
      <c r="A330" s="30">
        <f>step3_validation[[#This Row],[Persona_ID]]</f>
        <v>329</v>
      </c>
      <c r="B330" s="31">
        <f>step3_validation[[#This Row],[Used_Seed]]</f>
        <v>329</v>
      </c>
      <c r="C330" t="str">
        <f>step3_validation[[#This Row],[Gender]]</f>
        <v>Nữ</v>
      </c>
      <c r="D330" t="str">
        <f>survey_responses[[#This Row],[Giới tính của bạn:]]</f>
        <v>Nữ</v>
      </c>
      <c r="E330" t="str">
        <f>step3_validation[[#This Row],[Age_Group]]</f>
        <v>25 - 29</v>
      </c>
      <c r="F330" t="str">
        <f>survey_responses[[#This Row],[Độ tuổi của bạn:]]</f>
        <v>25 - 29</v>
      </c>
      <c r="G330" t="str">
        <f>step3_validation[[#This Row],[Region]]</f>
        <v>Thành thị</v>
      </c>
      <c r="H330" t="str">
        <f>survey_responses[[#This Row],[Khu vực bạn đang sinh sống:]]</f>
        <v>Thành thị</v>
      </c>
      <c r="I330" t="str">
        <f>step3_validation[[#This Row],[Education]]</f>
        <v>Đại học</v>
      </c>
      <c r="J330" t="str">
        <f>survey_responses[[#This Row],[Trình độ học vấn cao nhất:]]</f>
        <v>Đại học</v>
      </c>
      <c r="K330" t="str">
        <f>step3_validation[[#This Row],[Employment]]</f>
        <v>Chính thức</v>
      </c>
      <c r="L330" t="str">
        <f>survey_responses[[#This Row],[Tình trạng việc làm chính:]]</f>
        <v>Khu vực chính thức (Có Hợp đồng lao động, đóng BHXH)</v>
      </c>
      <c r="M330">
        <f>step3_validation[[#This Row],[Income_Mil]]</f>
        <v>13.191345338799664</v>
      </c>
      <c r="N330" t="str">
        <f>survey_responses[[#This Row],[Thu nhập bình quân tháng theo Hợp đồng lao động của bạn là bao nhiêu? (Vui lòng điền tổng thu nhập trước khi khấu trừ các loại Bảo hiểm (BHXH, BHYT, BHTN) và Thuế TNCN)]]</f>
        <v>Từ 12 - 18 triệu VNĐ</v>
      </c>
      <c r="O330">
        <f>step3_validation[[#This Row],[Dependents]]</f>
        <v>0</v>
      </c>
      <c r="P330" t="str">
        <f>survey_responses[[#This Row],[Số người phụ thuộc (con nhỏ, cha mẹ già...) đủ điều kiện giảm trừ gia cảnh:]]</f>
        <v>0 người</v>
      </c>
      <c r="Q330">
        <f>step3_validation[[#This Row],[AI_ENF1]]</f>
        <v>9</v>
      </c>
      <c r="R330">
        <f t="shared" si="135"/>
        <v>0.88888888888888884</v>
      </c>
      <c r="S330">
        <f>survey_responses[[#This Row],[Tôi tin rằng với các quy định quản lý thuế hiện nay, hành vi gian lận hoặc trốn thuế sẽ dễ dàng bị phát hiện và xử lý nghiêm. - HUMAN-ENF1]]</f>
        <v>7</v>
      </c>
      <c r="T330">
        <f t="shared" si="136"/>
        <v>0.66666666666666663</v>
      </c>
      <c r="U330">
        <f>step3_validation[[#This Row],[AI_ENF2]]</f>
        <v>8</v>
      </c>
      <c r="V330">
        <f t="shared" si="137"/>
        <v>0.77777777777777779</v>
      </c>
      <c r="W330">
        <f>survey_responses[[#This Row],[Tôi tin rằng Nhà nước, cơ quan thuế có đủ khả năng và công nghệ để phát hiện, xử lý nghiêm các hành vi trốn thuế. - HUMAN-ENF2]]</f>
        <v>7</v>
      </c>
      <c r="X330">
        <f t="shared" si="138"/>
        <v>0.66666666666666663</v>
      </c>
      <c r="Y330" s="32">
        <f t="shared" si="139"/>
        <v>0.83333333333333326</v>
      </c>
      <c r="Z330" s="32">
        <f t="shared" si="140"/>
        <v>0.66666666666666663</v>
      </c>
      <c r="AA330">
        <f>step3_validation[[#This Row],[AI_FAC1]]</f>
        <v>9</v>
      </c>
      <c r="AB330">
        <f t="shared" si="141"/>
        <v>0.88888888888888884</v>
      </c>
      <c r="AC330">
        <f>survey_responses[[#This Row],[Các thủ tục khai báo thuế VÀ/HOẶC quy trình làm việc với cơ quan thuế đơn giản, tiện lợi, nhanh chóng hơn so với trước đây. - HUMAN-FAC1]]</f>
        <v>9</v>
      </c>
      <c r="AD330">
        <f t="shared" si="142"/>
        <v>0.88888888888888884</v>
      </c>
      <c r="AE330">
        <f>step3_validation[[#This Row],[AI_FAC2]]</f>
        <v>8</v>
      </c>
      <c r="AF330">
        <f t="shared" si="143"/>
        <v>0.77777777777777779</v>
      </c>
      <c r="AG330">
        <f>survey_responses[[#This Row],[So với trước đây, tôi thấy cách tính thuế và các bậc thuế trong phương án mới đơn giản, dễ hiểu và dễ thực hiện hơn. - HUMAN-FAC2]]</f>
        <v>9</v>
      </c>
      <c r="AH330">
        <f t="shared" si="144"/>
        <v>0.88888888888888884</v>
      </c>
      <c r="AI330" s="32">
        <f t="shared" si="145"/>
        <v>0.83333333333333326</v>
      </c>
      <c r="AJ330" s="32">
        <f t="shared" si="146"/>
        <v>0.88888888888888884</v>
      </c>
      <c r="AK330">
        <f>step3_validation[[#This Row],[AI_TRU1]]</f>
        <v>9</v>
      </c>
      <c r="AL330">
        <f t="shared" si="147"/>
        <v>0.88888888888888884</v>
      </c>
      <c r="AM330">
        <f>survey_responses[[#This Row],[Tôi tin rằng Nhà nước, cơ quan thuế sẽ thực thi chính sách mới một cách khách quan, công tâm và đối xử bình đẳng với mọi người nộp thuế.  - HUMAN-TRU1]]</f>
        <v>9</v>
      </c>
      <c r="AN330">
        <f t="shared" si="148"/>
        <v>0.88888888888888884</v>
      </c>
      <c r="AO330">
        <f>step3_validation[[#This Row],[AI_TRU2]]</f>
        <v>9</v>
      </c>
      <c r="AP330">
        <f t="shared" si="149"/>
        <v>0.88888888888888884</v>
      </c>
      <c r="AQ330">
        <f>survey_responses[[#This Row],[Tôi thấy mức thuế tôi phải đóng theo phương án mới là công bằng (người thu nhập như tôi đóng mức này là hợp lý). - HUMAN-TRU2]]</f>
        <v>9</v>
      </c>
      <c r="AR330">
        <f t="shared" si="150"/>
        <v>0.88888888888888884</v>
      </c>
      <c r="AS330">
        <f>step3_validation[[#This Row],[AI_TRU3]]</f>
        <v>8</v>
      </c>
      <c r="AT330">
        <f t="shared" si="151"/>
        <v>0.77777777777777779</v>
      </c>
      <c r="AU330">
        <f>survey_responses[[#This Row],[Tôi tin tưởng số tiền thuế tôi đóng sẽ được Nhà nước sử dụng hiệu quả để cải thiện dịch vụ công (y tế, đường xá...). - HUMAN-TRU3]]</f>
        <v>5</v>
      </c>
      <c r="AV330">
        <f t="shared" si="152"/>
        <v>0.44444444444444442</v>
      </c>
      <c r="AW330">
        <f>step3_validation[[#This Row],[AI_TRU4]]</f>
        <v>9</v>
      </c>
      <c r="AX330">
        <f t="shared" si="153"/>
        <v>0.88888888888888884</v>
      </c>
      <c r="AY330">
        <f>survey_responses[[#This Row],[Tôi thấy Nhà nước đã giải thích rõ ràng, minh bạch về lý do và mục tiêu của việc sửa đổi thuế lần này. - HUMAN-TRU4]]</f>
        <v>6</v>
      </c>
      <c r="AZ330">
        <f t="shared" si="154"/>
        <v>0.55555555555555558</v>
      </c>
      <c r="BA330" s="32">
        <f t="shared" si="155"/>
        <v>0.86111111111111105</v>
      </c>
      <c r="BB330" s="32">
        <f t="shared" si="156"/>
        <v>0.69444444444444442</v>
      </c>
      <c r="BC330" s="7">
        <f t="shared" si="157"/>
        <v>0.84259259259259256</v>
      </c>
      <c r="BD330" s="7">
        <f t="shared" si="158"/>
        <v>0.75</v>
      </c>
      <c r="BE330">
        <f>step3_validation[[#This Row],[AI_OUT1]]</f>
        <v>8</v>
      </c>
      <c r="BF330">
        <f t="shared" si="159"/>
        <v>0.77777777777777779</v>
      </c>
      <c r="BG330">
        <f>survey_responses[[#This Row],[Sau khi xem xét các quyền lợi và nghĩa vụ, bạn có ủng hộ và tuân thủ chính sách mới hiện nay? - HUMAN-OUT1]]</f>
        <v>9</v>
      </c>
      <c r="BH330">
        <f t="shared" si="160"/>
        <v>0.88888888888888884</v>
      </c>
      <c r="BI330" s="32">
        <f t="shared" si="161"/>
        <v>1</v>
      </c>
    </row>
    <row r="331" spans="1:61" x14ac:dyDescent="0.45">
      <c r="A331" s="30">
        <f>step3_validation[[#This Row],[Persona_ID]]</f>
        <v>330</v>
      </c>
      <c r="B331" s="31">
        <f>step3_validation[[#This Row],[Used_Seed]]</f>
        <v>330</v>
      </c>
      <c r="C331" t="str">
        <f>step3_validation[[#This Row],[Gender]]</f>
        <v>Nam</v>
      </c>
      <c r="D331" t="str">
        <f>survey_responses[[#This Row],[Giới tính của bạn:]]</f>
        <v>Nam</v>
      </c>
      <c r="E331" t="str">
        <f>step3_validation[[#This Row],[Age_Group]]</f>
        <v>18 - 24</v>
      </c>
      <c r="F331" t="str">
        <f>survey_responses[[#This Row],[Độ tuổi của bạn:]]</f>
        <v>18 - 24</v>
      </c>
      <c r="G331" t="str">
        <f>step3_validation[[#This Row],[Region]]</f>
        <v>Thành thị</v>
      </c>
      <c r="H331" t="str">
        <f>survey_responses[[#This Row],[Khu vực bạn đang sinh sống:]]</f>
        <v>Thành thị</v>
      </c>
      <c r="I331" t="str">
        <f>step3_validation[[#This Row],[Education]]</f>
        <v>Đại học</v>
      </c>
      <c r="J331" t="str">
        <f>survey_responses[[#This Row],[Trình độ học vấn cao nhất:]]</f>
        <v>Đại học</v>
      </c>
      <c r="K331" t="str">
        <f>step3_validation[[#This Row],[Employment]]</f>
        <v>Chính thức</v>
      </c>
      <c r="L331" t="str">
        <f>survey_responses[[#This Row],[Tình trạng việc làm chính:]]</f>
        <v>Khu vực chính thức (Có Hợp đồng lao động, đóng BHXH)</v>
      </c>
      <c r="M331">
        <f>step3_validation[[#This Row],[Income_Mil]]</f>
        <v>16.92035462580569</v>
      </c>
      <c r="N331" t="str">
        <f>survey_responses[[#This Row],[Thu nhập bình quân tháng theo Hợp đồng lao động của bạn là bao nhiêu? (Vui lòng điền tổng thu nhập trước khi khấu trừ các loại Bảo hiểm (BHXH, BHYT, BHTN) và Thuế TNCN)]]</f>
        <v>Từ 12 - 18 triệu VNĐ</v>
      </c>
      <c r="O331">
        <f>step3_validation[[#This Row],[Dependents]]</f>
        <v>0</v>
      </c>
      <c r="P331" t="str">
        <f>survey_responses[[#This Row],[Số người phụ thuộc (con nhỏ, cha mẹ già...) đủ điều kiện giảm trừ gia cảnh:]]</f>
        <v>0 người</v>
      </c>
      <c r="Q331">
        <f>step3_validation[[#This Row],[AI_ENF1]]</f>
        <v>7</v>
      </c>
      <c r="R331">
        <f t="shared" si="135"/>
        <v>0.66666666666666663</v>
      </c>
      <c r="S331">
        <f>survey_responses[[#This Row],[Tôi tin rằng với các quy định quản lý thuế hiện nay, hành vi gian lận hoặc trốn thuế sẽ dễ dàng bị phát hiện và xử lý nghiêm. - HUMAN-ENF1]]</f>
        <v>3</v>
      </c>
      <c r="T331">
        <f t="shared" si="136"/>
        <v>0.22222222222222221</v>
      </c>
      <c r="U331">
        <f>step3_validation[[#This Row],[AI_ENF2]]</f>
        <v>6</v>
      </c>
      <c r="V331">
        <f t="shared" si="137"/>
        <v>0.55555555555555558</v>
      </c>
      <c r="W331">
        <f>survey_responses[[#This Row],[Tôi tin rằng Nhà nước, cơ quan thuế có đủ khả năng và công nghệ để phát hiện, xử lý nghiêm các hành vi trốn thuế. - HUMAN-ENF2]]</f>
        <v>3</v>
      </c>
      <c r="X331">
        <f t="shared" si="138"/>
        <v>0.22222222222222221</v>
      </c>
      <c r="Y331" s="32">
        <f t="shared" si="139"/>
        <v>0.61111111111111116</v>
      </c>
      <c r="Z331" s="32">
        <f t="shared" si="140"/>
        <v>0.22222222222222221</v>
      </c>
      <c r="AA331">
        <f>step3_validation[[#This Row],[AI_FAC1]]</f>
        <v>9</v>
      </c>
      <c r="AB331">
        <f t="shared" si="141"/>
        <v>0.88888888888888884</v>
      </c>
      <c r="AC331">
        <f>survey_responses[[#This Row],[Các thủ tục khai báo thuế VÀ/HOẶC quy trình làm việc với cơ quan thuế đơn giản, tiện lợi, nhanh chóng hơn so với trước đây. - HUMAN-FAC1]]</f>
        <v>5</v>
      </c>
      <c r="AD331">
        <f t="shared" si="142"/>
        <v>0.44444444444444442</v>
      </c>
      <c r="AE331">
        <f>step3_validation[[#This Row],[AI_FAC2]]</f>
        <v>10</v>
      </c>
      <c r="AF331">
        <f t="shared" si="143"/>
        <v>1</v>
      </c>
      <c r="AG331">
        <f>survey_responses[[#This Row],[So với trước đây, tôi thấy cách tính thuế và các bậc thuế trong phương án mới đơn giản, dễ hiểu và dễ thực hiện hơn. - HUMAN-FAC2]]</f>
        <v>6</v>
      </c>
      <c r="AH331">
        <f t="shared" si="144"/>
        <v>0.55555555555555558</v>
      </c>
      <c r="AI331" s="32">
        <f t="shared" si="145"/>
        <v>0.94444444444444442</v>
      </c>
      <c r="AJ331" s="32">
        <f t="shared" si="146"/>
        <v>0.5</v>
      </c>
      <c r="AK331">
        <f>step3_validation[[#This Row],[AI_TRU1]]</f>
        <v>9</v>
      </c>
      <c r="AL331">
        <f t="shared" si="147"/>
        <v>0.88888888888888884</v>
      </c>
      <c r="AM331">
        <f>survey_responses[[#This Row],[Tôi tin rằng Nhà nước, cơ quan thuế sẽ thực thi chính sách mới một cách khách quan, công tâm và đối xử bình đẳng với mọi người nộp thuế.  - HUMAN-TRU1]]</f>
        <v>4</v>
      </c>
      <c r="AN331">
        <f t="shared" si="148"/>
        <v>0.33333333333333331</v>
      </c>
      <c r="AO331">
        <f>step3_validation[[#This Row],[AI_TRU2]]</f>
        <v>10</v>
      </c>
      <c r="AP331">
        <f t="shared" si="149"/>
        <v>1</v>
      </c>
      <c r="AQ331">
        <f>survey_responses[[#This Row],[Tôi thấy mức thuế tôi phải đóng theo phương án mới là công bằng (người thu nhập như tôi đóng mức này là hợp lý). - HUMAN-TRU2]]</f>
        <v>5</v>
      </c>
      <c r="AR331">
        <f t="shared" si="150"/>
        <v>0.44444444444444442</v>
      </c>
      <c r="AS331">
        <f>step3_validation[[#This Row],[AI_TRU3]]</f>
        <v>9</v>
      </c>
      <c r="AT331">
        <f t="shared" si="151"/>
        <v>0.88888888888888884</v>
      </c>
      <c r="AU331">
        <f>survey_responses[[#This Row],[Tôi tin tưởng số tiền thuế tôi đóng sẽ được Nhà nước sử dụng hiệu quả để cải thiện dịch vụ công (y tế, đường xá...). - HUMAN-TRU3]]</f>
        <v>5</v>
      </c>
      <c r="AV331">
        <f t="shared" si="152"/>
        <v>0.44444444444444442</v>
      </c>
      <c r="AW331">
        <f>step3_validation[[#This Row],[AI_TRU4]]</f>
        <v>8</v>
      </c>
      <c r="AX331">
        <f t="shared" si="153"/>
        <v>0.77777777777777779</v>
      </c>
      <c r="AY331">
        <f>survey_responses[[#This Row],[Tôi thấy Nhà nước đã giải thích rõ ràng, minh bạch về lý do và mục tiêu của việc sửa đổi thuế lần này. - HUMAN-TRU4]]</f>
        <v>5</v>
      </c>
      <c r="AZ331">
        <f t="shared" si="154"/>
        <v>0.44444444444444442</v>
      </c>
      <c r="BA331" s="32">
        <f t="shared" si="155"/>
        <v>0.88888888888888884</v>
      </c>
      <c r="BB331" s="32">
        <f t="shared" si="156"/>
        <v>0.41666666666666663</v>
      </c>
      <c r="BC331" s="7">
        <f t="shared" si="157"/>
        <v>0.81481481481481488</v>
      </c>
      <c r="BD331" s="7">
        <f t="shared" si="158"/>
        <v>0.37962962962962959</v>
      </c>
      <c r="BE331">
        <f>step3_validation[[#This Row],[AI_OUT1]]</f>
        <v>9</v>
      </c>
      <c r="BF331">
        <f t="shared" si="159"/>
        <v>0.88888888888888884</v>
      </c>
      <c r="BG331">
        <f>survey_responses[[#This Row],[Sau khi xem xét các quyền lợi và nghĩa vụ, bạn có ủng hộ và tuân thủ chính sách mới hiện nay? - HUMAN-OUT1]]</f>
        <v>5</v>
      </c>
      <c r="BH331">
        <f t="shared" si="160"/>
        <v>0.44444444444444442</v>
      </c>
      <c r="BI331" s="32">
        <f t="shared" si="161"/>
        <v>4</v>
      </c>
    </row>
    <row r="332" spans="1:61" x14ac:dyDescent="0.45">
      <c r="A332" s="30">
        <f>step3_validation[[#This Row],[Persona_ID]]</f>
        <v>331</v>
      </c>
      <c r="B332" s="31">
        <f>step3_validation[[#This Row],[Used_Seed]]</f>
        <v>331</v>
      </c>
      <c r="C332" t="str">
        <f>step3_validation[[#This Row],[Gender]]</f>
        <v>Nam</v>
      </c>
      <c r="D332" t="str">
        <f>survey_responses[[#This Row],[Giới tính của bạn:]]</f>
        <v>Nam</v>
      </c>
      <c r="E332" t="str">
        <f>step3_validation[[#This Row],[Age_Group]]</f>
        <v>30 - 39</v>
      </c>
      <c r="F332" t="str">
        <f>survey_responses[[#This Row],[Độ tuổi của bạn:]]</f>
        <v>30 - 39</v>
      </c>
      <c r="G332" t="str">
        <f>step3_validation[[#This Row],[Region]]</f>
        <v>Thành thị</v>
      </c>
      <c r="H332" t="str">
        <f>survey_responses[[#This Row],[Khu vực bạn đang sinh sống:]]</f>
        <v>Thành thị</v>
      </c>
      <c r="I332" t="str">
        <f>step3_validation[[#This Row],[Education]]</f>
        <v>Đại học</v>
      </c>
      <c r="J332" t="str">
        <f>survey_responses[[#This Row],[Trình độ học vấn cao nhất:]]</f>
        <v>Đại học</v>
      </c>
      <c r="K332" t="str">
        <f>step3_validation[[#This Row],[Employment]]</f>
        <v>Chính thức</v>
      </c>
      <c r="L332" t="str">
        <f>survey_responses[[#This Row],[Tình trạng việc làm chính:]]</f>
        <v>Khu vực chính thức (Có Hợp đồng lao động, đóng BHXH)</v>
      </c>
      <c r="M332">
        <f>step3_validation[[#This Row],[Income_Mil]]</f>
        <v>25.719913153168079</v>
      </c>
      <c r="N332" t="str">
        <f>survey_responses[[#This Row],[Thu nhập bình quân tháng theo Hợp đồng lao động của bạn là bao nhiêu? (Vui lòng điền tổng thu nhập trước khi khấu trừ các loại Bảo hiểm (BHXH, BHYT, BHTN) và Thuế TNCN)]]</f>
        <v>Từ 23 - 32 triệu VNĐ</v>
      </c>
      <c r="O332">
        <f>step3_validation[[#This Row],[Dependents]]</f>
        <v>1</v>
      </c>
      <c r="P332" t="str">
        <f>survey_responses[[#This Row],[Số người phụ thuộc (con nhỏ, cha mẹ già...) đủ điều kiện giảm trừ gia cảnh:]]</f>
        <v>1 người</v>
      </c>
      <c r="Q332">
        <f>step3_validation[[#This Row],[AI_ENF1]]</f>
        <v>6</v>
      </c>
      <c r="R332">
        <f t="shared" si="135"/>
        <v>0.55555555555555558</v>
      </c>
      <c r="S332">
        <f>survey_responses[[#This Row],[Tôi tin rằng với các quy định quản lý thuế hiện nay, hành vi gian lận hoặc trốn thuế sẽ dễ dàng bị phát hiện và xử lý nghiêm. - HUMAN-ENF1]]</f>
        <v>4</v>
      </c>
      <c r="T332">
        <f t="shared" si="136"/>
        <v>0.33333333333333331</v>
      </c>
      <c r="U332">
        <f>step3_validation[[#This Row],[AI_ENF2]]</f>
        <v>6</v>
      </c>
      <c r="V332">
        <f t="shared" si="137"/>
        <v>0.55555555555555558</v>
      </c>
      <c r="W332">
        <f>survey_responses[[#This Row],[Tôi tin rằng Nhà nước, cơ quan thuế có đủ khả năng và công nghệ để phát hiện, xử lý nghiêm các hành vi trốn thuế. - HUMAN-ENF2]]</f>
        <v>4</v>
      </c>
      <c r="X332">
        <f t="shared" si="138"/>
        <v>0.33333333333333331</v>
      </c>
      <c r="Y332" s="32">
        <f t="shared" si="139"/>
        <v>0.55555555555555558</v>
      </c>
      <c r="Z332" s="32">
        <f t="shared" si="140"/>
        <v>0.33333333333333331</v>
      </c>
      <c r="AA332">
        <f>step3_validation[[#This Row],[AI_FAC1]]</f>
        <v>8</v>
      </c>
      <c r="AB332">
        <f t="shared" si="141"/>
        <v>0.77777777777777779</v>
      </c>
      <c r="AC332">
        <f>survey_responses[[#This Row],[Các thủ tục khai báo thuế VÀ/HOẶC quy trình làm việc với cơ quan thuế đơn giản, tiện lợi, nhanh chóng hơn so với trước đây. - HUMAN-FAC1]]</f>
        <v>5</v>
      </c>
      <c r="AD332">
        <f t="shared" si="142"/>
        <v>0.44444444444444442</v>
      </c>
      <c r="AE332">
        <f>step3_validation[[#This Row],[AI_FAC2]]</f>
        <v>9</v>
      </c>
      <c r="AF332">
        <f t="shared" si="143"/>
        <v>0.88888888888888884</v>
      </c>
      <c r="AG332">
        <f>survey_responses[[#This Row],[So với trước đây, tôi thấy cách tính thuế và các bậc thuế trong phương án mới đơn giản, dễ hiểu và dễ thực hiện hơn. - HUMAN-FAC2]]</f>
        <v>6</v>
      </c>
      <c r="AH332">
        <f t="shared" si="144"/>
        <v>0.55555555555555558</v>
      </c>
      <c r="AI332" s="32">
        <f t="shared" si="145"/>
        <v>0.83333333333333326</v>
      </c>
      <c r="AJ332" s="32">
        <f t="shared" si="146"/>
        <v>0.5</v>
      </c>
      <c r="AK332">
        <f>step3_validation[[#This Row],[AI_TRU1]]</f>
        <v>7</v>
      </c>
      <c r="AL332">
        <f t="shared" si="147"/>
        <v>0.66666666666666663</v>
      </c>
      <c r="AM332">
        <f>survey_responses[[#This Row],[Tôi tin rằng Nhà nước, cơ quan thuế sẽ thực thi chính sách mới một cách khách quan, công tâm và đối xử bình đẳng với mọi người nộp thuế.  - HUMAN-TRU1]]</f>
        <v>4</v>
      </c>
      <c r="AN332">
        <f t="shared" si="148"/>
        <v>0.33333333333333331</v>
      </c>
      <c r="AO332">
        <f>step3_validation[[#This Row],[AI_TRU2]]</f>
        <v>8</v>
      </c>
      <c r="AP332">
        <f t="shared" si="149"/>
        <v>0.77777777777777779</v>
      </c>
      <c r="AQ332">
        <f>survey_responses[[#This Row],[Tôi thấy mức thuế tôi phải đóng theo phương án mới là công bằng (người thu nhập như tôi đóng mức này là hợp lý). - HUMAN-TRU2]]</f>
        <v>5</v>
      </c>
      <c r="AR332">
        <f t="shared" si="150"/>
        <v>0.44444444444444442</v>
      </c>
      <c r="AS332">
        <f>step3_validation[[#This Row],[AI_TRU3]]</f>
        <v>7</v>
      </c>
      <c r="AT332">
        <f t="shared" si="151"/>
        <v>0.66666666666666663</v>
      </c>
      <c r="AU332">
        <f>survey_responses[[#This Row],[Tôi tin tưởng số tiền thuế tôi đóng sẽ được Nhà nước sử dụng hiệu quả để cải thiện dịch vụ công (y tế, đường xá...). - HUMAN-TRU3]]</f>
        <v>3</v>
      </c>
      <c r="AV332">
        <f t="shared" si="152"/>
        <v>0.22222222222222221</v>
      </c>
      <c r="AW332">
        <f>step3_validation[[#This Row],[AI_TRU4]]</f>
        <v>8</v>
      </c>
      <c r="AX332">
        <f t="shared" si="153"/>
        <v>0.77777777777777779</v>
      </c>
      <c r="AY332">
        <f>survey_responses[[#This Row],[Tôi thấy Nhà nước đã giải thích rõ ràng, minh bạch về lý do và mục tiêu của việc sửa đổi thuế lần này. - HUMAN-TRU4]]</f>
        <v>4</v>
      </c>
      <c r="AZ332">
        <f t="shared" si="154"/>
        <v>0.33333333333333331</v>
      </c>
      <c r="BA332" s="32">
        <f t="shared" si="155"/>
        <v>0.72222222222222221</v>
      </c>
      <c r="BB332" s="32">
        <f t="shared" si="156"/>
        <v>0.33333333333333331</v>
      </c>
      <c r="BC332" s="7">
        <f t="shared" si="157"/>
        <v>0.70370370370370372</v>
      </c>
      <c r="BD332" s="7">
        <f t="shared" si="158"/>
        <v>0.38888888888888884</v>
      </c>
      <c r="BE332">
        <f>step3_validation[[#This Row],[AI_OUT1]]</f>
        <v>9</v>
      </c>
      <c r="BF332">
        <f t="shared" si="159"/>
        <v>0.88888888888888884</v>
      </c>
      <c r="BG332">
        <f>survey_responses[[#This Row],[Sau khi xem xét các quyền lợi và nghĩa vụ, bạn có ủng hộ và tuân thủ chính sách mới hiện nay? - HUMAN-OUT1]]</f>
        <v>5</v>
      </c>
      <c r="BH332">
        <f t="shared" si="160"/>
        <v>0.44444444444444442</v>
      </c>
      <c r="BI332" s="32">
        <f t="shared" si="161"/>
        <v>4</v>
      </c>
    </row>
    <row r="333" spans="1:61" x14ac:dyDescent="0.45">
      <c r="A333" s="30">
        <f>step3_validation[[#This Row],[Persona_ID]]</f>
        <v>332</v>
      </c>
      <c r="B333" s="31">
        <f>step3_validation[[#This Row],[Used_Seed]]</f>
        <v>332</v>
      </c>
      <c r="C333" t="str">
        <f>step3_validation[[#This Row],[Gender]]</f>
        <v>Nữ</v>
      </c>
      <c r="D333" t="str">
        <f>survey_responses[[#This Row],[Giới tính của bạn:]]</f>
        <v>Nữ</v>
      </c>
      <c r="E333" t="str">
        <f>step3_validation[[#This Row],[Age_Group]]</f>
        <v>18 - 24</v>
      </c>
      <c r="F333" t="str">
        <f>survey_responses[[#This Row],[Độ tuổi của bạn:]]</f>
        <v>18 - 24</v>
      </c>
      <c r="G333" t="str">
        <f>step3_validation[[#This Row],[Region]]</f>
        <v>Thành thị</v>
      </c>
      <c r="H333" t="str">
        <f>survey_responses[[#This Row],[Khu vực bạn đang sinh sống:]]</f>
        <v>Thành thị</v>
      </c>
      <c r="I333" t="str">
        <f>step3_validation[[#This Row],[Education]]</f>
        <v>Đại học</v>
      </c>
      <c r="J333" t="str">
        <f>survey_responses[[#This Row],[Trình độ học vấn cao nhất:]]</f>
        <v>Đại học</v>
      </c>
      <c r="K333" t="str">
        <f>step3_validation[[#This Row],[Employment]]</f>
        <v>Chính thức</v>
      </c>
      <c r="L333" t="str">
        <f>survey_responses[[#This Row],[Tình trạng việc làm chính:]]</f>
        <v>Khu vực chính thức (Có Hợp đồng lao động, đóng BHXH)</v>
      </c>
      <c r="M333">
        <f>step3_validation[[#This Row],[Income_Mil]]</f>
        <v>18.520405270554065</v>
      </c>
      <c r="N333" t="str">
        <f>survey_responses[[#This Row],[Thu nhập bình quân tháng theo Hợp đồng lao động của bạn là bao nhiêu? (Vui lòng điền tổng thu nhập trước khi khấu trừ các loại Bảo hiểm (BHXH, BHYT, BHTN) và Thuế TNCN)]]</f>
        <v>Từ 18 - 23 triệu VNĐ</v>
      </c>
      <c r="O333">
        <f>step3_validation[[#This Row],[Dependents]]</f>
        <v>0</v>
      </c>
      <c r="P333" t="str">
        <f>survey_responses[[#This Row],[Số người phụ thuộc (con nhỏ, cha mẹ già...) đủ điều kiện giảm trừ gia cảnh:]]</f>
        <v>0 người</v>
      </c>
      <c r="Q333">
        <f>step3_validation[[#This Row],[AI_ENF1]]</f>
        <v>6</v>
      </c>
      <c r="R333">
        <f t="shared" si="135"/>
        <v>0.55555555555555558</v>
      </c>
      <c r="S333">
        <f>survey_responses[[#This Row],[Tôi tin rằng với các quy định quản lý thuế hiện nay, hành vi gian lận hoặc trốn thuế sẽ dễ dàng bị phát hiện và xử lý nghiêm. - HUMAN-ENF1]]</f>
        <v>7</v>
      </c>
      <c r="T333">
        <f t="shared" si="136"/>
        <v>0.66666666666666663</v>
      </c>
      <c r="U333">
        <f>step3_validation[[#This Row],[AI_ENF2]]</f>
        <v>7</v>
      </c>
      <c r="V333">
        <f t="shared" si="137"/>
        <v>0.66666666666666663</v>
      </c>
      <c r="W333">
        <f>survey_responses[[#This Row],[Tôi tin rằng Nhà nước, cơ quan thuế có đủ khả năng và công nghệ để phát hiện, xử lý nghiêm các hành vi trốn thuế. - HUMAN-ENF2]]</f>
        <v>7</v>
      </c>
      <c r="X333">
        <f t="shared" si="138"/>
        <v>0.66666666666666663</v>
      </c>
      <c r="Y333" s="32">
        <f t="shared" si="139"/>
        <v>0.61111111111111116</v>
      </c>
      <c r="Z333" s="32">
        <f t="shared" si="140"/>
        <v>0.66666666666666663</v>
      </c>
      <c r="AA333">
        <f>step3_validation[[#This Row],[AI_FAC1]]</f>
        <v>8</v>
      </c>
      <c r="AB333">
        <f t="shared" si="141"/>
        <v>0.77777777777777779</v>
      </c>
      <c r="AC333">
        <f>survey_responses[[#This Row],[Các thủ tục khai báo thuế VÀ/HOẶC quy trình làm việc với cơ quan thuế đơn giản, tiện lợi, nhanh chóng hơn so với trước đây. - HUMAN-FAC1]]</f>
        <v>9</v>
      </c>
      <c r="AD333">
        <f t="shared" si="142"/>
        <v>0.88888888888888884</v>
      </c>
      <c r="AE333">
        <f>step3_validation[[#This Row],[AI_FAC2]]</f>
        <v>9</v>
      </c>
      <c r="AF333">
        <f t="shared" si="143"/>
        <v>0.88888888888888884</v>
      </c>
      <c r="AG333">
        <f>survey_responses[[#This Row],[So với trước đây, tôi thấy cách tính thuế và các bậc thuế trong phương án mới đơn giản, dễ hiểu và dễ thực hiện hơn. - HUMAN-FAC2]]</f>
        <v>9</v>
      </c>
      <c r="AH333">
        <f t="shared" si="144"/>
        <v>0.88888888888888884</v>
      </c>
      <c r="AI333" s="32">
        <f t="shared" si="145"/>
        <v>0.83333333333333326</v>
      </c>
      <c r="AJ333" s="32">
        <f t="shared" si="146"/>
        <v>0.88888888888888884</v>
      </c>
      <c r="AK333">
        <f>step3_validation[[#This Row],[AI_TRU1]]</f>
        <v>7</v>
      </c>
      <c r="AL333">
        <f t="shared" si="147"/>
        <v>0.66666666666666663</v>
      </c>
      <c r="AM333">
        <f>survey_responses[[#This Row],[Tôi tin rằng Nhà nước, cơ quan thuế sẽ thực thi chính sách mới một cách khách quan, công tâm và đối xử bình đẳng với mọi người nộp thuế.  - HUMAN-TRU1]]</f>
        <v>8</v>
      </c>
      <c r="AN333">
        <f t="shared" si="148"/>
        <v>0.77777777777777779</v>
      </c>
      <c r="AO333">
        <f>step3_validation[[#This Row],[AI_TRU2]]</f>
        <v>9</v>
      </c>
      <c r="AP333">
        <f t="shared" si="149"/>
        <v>0.88888888888888884</v>
      </c>
      <c r="AQ333">
        <f>survey_responses[[#This Row],[Tôi thấy mức thuế tôi phải đóng theo phương án mới là công bằng (người thu nhập như tôi đóng mức này là hợp lý). - HUMAN-TRU2]]</f>
        <v>9</v>
      </c>
      <c r="AR333">
        <f t="shared" si="150"/>
        <v>0.88888888888888884</v>
      </c>
      <c r="AS333">
        <f>step3_validation[[#This Row],[AI_TRU3]]</f>
        <v>8</v>
      </c>
      <c r="AT333">
        <f t="shared" si="151"/>
        <v>0.77777777777777779</v>
      </c>
      <c r="AU333">
        <f>survey_responses[[#This Row],[Tôi tin tưởng số tiền thuế tôi đóng sẽ được Nhà nước sử dụng hiệu quả để cải thiện dịch vụ công (y tế, đường xá...). - HUMAN-TRU3]]</f>
        <v>7</v>
      </c>
      <c r="AV333">
        <f t="shared" si="152"/>
        <v>0.66666666666666663</v>
      </c>
      <c r="AW333">
        <f>step3_validation[[#This Row],[AI_TRU4]]</f>
        <v>7</v>
      </c>
      <c r="AX333">
        <f t="shared" si="153"/>
        <v>0.66666666666666663</v>
      </c>
      <c r="AY333">
        <f>survey_responses[[#This Row],[Tôi thấy Nhà nước đã giải thích rõ ràng, minh bạch về lý do và mục tiêu của việc sửa đổi thuế lần này. - HUMAN-TRU4]]</f>
        <v>9</v>
      </c>
      <c r="AZ333">
        <f t="shared" si="154"/>
        <v>0.88888888888888884</v>
      </c>
      <c r="BA333" s="32">
        <f t="shared" si="155"/>
        <v>0.74999999999999989</v>
      </c>
      <c r="BB333" s="32">
        <f t="shared" si="156"/>
        <v>0.80555555555555547</v>
      </c>
      <c r="BC333" s="7">
        <f t="shared" si="157"/>
        <v>0.7314814814814814</v>
      </c>
      <c r="BD333" s="7">
        <f t="shared" si="158"/>
        <v>0.78703703703703687</v>
      </c>
      <c r="BE333">
        <f>step3_validation[[#This Row],[AI_OUT1]]</f>
        <v>9</v>
      </c>
      <c r="BF333">
        <f t="shared" si="159"/>
        <v>0.88888888888888884</v>
      </c>
      <c r="BG333">
        <f>survey_responses[[#This Row],[Sau khi xem xét các quyền lợi và nghĩa vụ, bạn có ủng hộ và tuân thủ chính sách mới hiện nay? - HUMAN-OUT1]]</f>
        <v>9</v>
      </c>
      <c r="BH333">
        <f t="shared" si="160"/>
        <v>0.88888888888888884</v>
      </c>
      <c r="BI333" s="32">
        <f t="shared" si="161"/>
        <v>0</v>
      </c>
    </row>
    <row r="334" spans="1:61" x14ac:dyDescent="0.45">
      <c r="A334" s="30">
        <f>step3_validation[[#This Row],[Persona_ID]]</f>
        <v>333</v>
      </c>
      <c r="B334" s="31">
        <f>step3_validation[[#This Row],[Used_Seed]]</f>
        <v>333</v>
      </c>
      <c r="C334" t="str">
        <f>step3_validation[[#This Row],[Gender]]</f>
        <v>Nam</v>
      </c>
      <c r="D334" t="str">
        <f>survey_responses[[#This Row],[Giới tính của bạn:]]</f>
        <v>Nam</v>
      </c>
      <c r="E334" t="str">
        <f>step3_validation[[#This Row],[Age_Group]]</f>
        <v>40 - 49</v>
      </c>
      <c r="F334" t="str">
        <f>survey_responses[[#This Row],[Độ tuổi của bạn:]]</f>
        <v>40 - 49</v>
      </c>
      <c r="G334" t="str">
        <f>step3_validation[[#This Row],[Region]]</f>
        <v>Thành thị</v>
      </c>
      <c r="H334" t="str">
        <f>survey_responses[[#This Row],[Khu vực bạn đang sinh sống:]]</f>
        <v>Thành thị</v>
      </c>
      <c r="I334" t="str">
        <f>step3_validation[[#This Row],[Education]]</f>
        <v>Sau Đại học</v>
      </c>
      <c r="J334" t="str">
        <f>survey_responses[[#This Row],[Trình độ học vấn cao nhất:]]</f>
        <v>Sau Đại học</v>
      </c>
      <c r="K334" t="str">
        <f>step3_validation[[#This Row],[Employment]]</f>
        <v>Chính thức</v>
      </c>
      <c r="L334" t="str">
        <f>survey_responses[[#This Row],[Tình trạng việc làm chính:]]</f>
        <v>Khu vực chính thức (Có Hợp đồng lao động, đóng BHXH)</v>
      </c>
      <c r="M334">
        <f>step3_validation[[#This Row],[Income_Mil]]</f>
        <v>98.489056668550887</v>
      </c>
      <c r="N334" t="str">
        <f>survey_responses[[#This Row],[Thu nhập bình quân tháng theo Hợp đồng lao động của bạn là bao nhiêu? (Vui lòng điền tổng thu nhập trước khi khấu trừ các loại Bảo hiểm (BHXH, BHYT, BHTN) và Thuế TNCN)]]</f>
        <v>Từ 70 - 102 triệu VNĐ</v>
      </c>
      <c r="O334">
        <f>step3_validation[[#This Row],[Dependents]]</f>
        <v>1</v>
      </c>
      <c r="P334" t="str">
        <f>survey_responses[[#This Row],[Số người phụ thuộc (con nhỏ, cha mẹ già...) đủ điều kiện giảm trừ gia cảnh:]]</f>
        <v>1 người</v>
      </c>
      <c r="Q334">
        <f>step3_validation[[#This Row],[AI_ENF1]]</f>
        <v>7</v>
      </c>
      <c r="R334">
        <f t="shared" si="135"/>
        <v>0.66666666666666663</v>
      </c>
      <c r="S334">
        <f>survey_responses[[#This Row],[Tôi tin rằng với các quy định quản lý thuế hiện nay, hành vi gian lận hoặc trốn thuế sẽ dễ dàng bị phát hiện và xử lý nghiêm. - HUMAN-ENF1]]</f>
        <v>6</v>
      </c>
      <c r="T334">
        <f t="shared" si="136"/>
        <v>0.55555555555555558</v>
      </c>
      <c r="U334">
        <f>step3_validation[[#This Row],[AI_ENF2]]</f>
        <v>8</v>
      </c>
      <c r="V334">
        <f t="shared" si="137"/>
        <v>0.77777777777777779</v>
      </c>
      <c r="W334">
        <f>survey_responses[[#This Row],[Tôi tin rằng Nhà nước, cơ quan thuế có đủ khả năng và công nghệ để phát hiện, xử lý nghiêm các hành vi trốn thuế. - HUMAN-ENF2]]</f>
        <v>6</v>
      </c>
      <c r="X334">
        <f t="shared" si="138"/>
        <v>0.55555555555555558</v>
      </c>
      <c r="Y334" s="32">
        <f t="shared" si="139"/>
        <v>0.72222222222222221</v>
      </c>
      <c r="Z334" s="32">
        <f t="shared" si="140"/>
        <v>0.55555555555555558</v>
      </c>
      <c r="AA334">
        <f>step3_validation[[#This Row],[AI_FAC1]]</f>
        <v>9</v>
      </c>
      <c r="AB334">
        <f t="shared" si="141"/>
        <v>0.88888888888888884</v>
      </c>
      <c r="AC334">
        <f>survey_responses[[#This Row],[Các thủ tục khai báo thuế VÀ/HOẶC quy trình làm việc với cơ quan thuế đơn giản, tiện lợi, nhanh chóng hơn so với trước đây. - HUMAN-FAC1]]</f>
        <v>8</v>
      </c>
      <c r="AD334">
        <f t="shared" si="142"/>
        <v>0.77777777777777779</v>
      </c>
      <c r="AE334">
        <f>step3_validation[[#This Row],[AI_FAC2]]</f>
        <v>9</v>
      </c>
      <c r="AF334">
        <f t="shared" si="143"/>
        <v>0.88888888888888884</v>
      </c>
      <c r="AG334">
        <f>survey_responses[[#This Row],[So với trước đây, tôi thấy cách tính thuế và các bậc thuế trong phương án mới đơn giản, dễ hiểu và dễ thực hiện hơn. - HUMAN-FAC2]]</f>
        <v>8</v>
      </c>
      <c r="AH334">
        <f t="shared" si="144"/>
        <v>0.77777777777777779</v>
      </c>
      <c r="AI334" s="32">
        <f t="shared" si="145"/>
        <v>0.88888888888888884</v>
      </c>
      <c r="AJ334" s="32">
        <f t="shared" si="146"/>
        <v>0.77777777777777779</v>
      </c>
      <c r="AK334">
        <f>step3_validation[[#This Row],[AI_TRU1]]</f>
        <v>8</v>
      </c>
      <c r="AL334">
        <f t="shared" si="147"/>
        <v>0.77777777777777779</v>
      </c>
      <c r="AM334">
        <f>survey_responses[[#This Row],[Tôi tin rằng Nhà nước, cơ quan thuế sẽ thực thi chính sách mới một cách khách quan, công tâm và đối xử bình đẳng với mọi người nộp thuế.  - HUMAN-TRU1]]</f>
        <v>6</v>
      </c>
      <c r="AN334">
        <f t="shared" si="148"/>
        <v>0.55555555555555558</v>
      </c>
      <c r="AO334">
        <f>step3_validation[[#This Row],[AI_TRU2]]</f>
        <v>9</v>
      </c>
      <c r="AP334">
        <f t="shared" si="149"/>
        <v>0.88888888888888884</v>
      </c>
      <c r="AQ334">
        <f>survey_responses[[#This Row],[Tôi thấy mức thuế tôi phải đóng theo phương án mới là công bằng (người thu nhập như tôi đóng mức này là hợp lý). - HUMAN-TRU2]]</f>
        <v>7</v>
      </c>
      <c r="AR334">
        <f t="shared" si="150"/>
        <v>0.66666666666666663</v>
      </c>
      <c r="AS334">
        <f>step3_validation[[#This Row],[AI_TRU3]]</f>
        <v>8</v>
      </c>
      <c r="AT334">
        <f t="shared" si="151"/>
        <v>0.77777777777777779</v>
      </c>
      <c r="AU334">
        <f>survey_responses[[#This Row],[Tôi tin tưởng số tiền thuế tôi đóng sẽ được Nhà nước sử dụng hiệu quả để cải thiện dịch vụ công (y tế, đường xá...). - HUMAN-TRU3]]</f>
        <v>6</v>
      </c>
      <c r="AV334">
        <f t="shared" si="152"/>
        <v>0.55555555555555558</v>
      </c>
      <c r="AW334">
        <f>step3_validation[[#This Row],[AI_TRU4]]</f>
        <v>7</v>
      </c>
      <c r="AX334">
        <f t="shared" si="153"/>
        <v>0.66666666666666663</v>
      </c>
      <c r="AY334">
        <f>survey_responses[[#This Row],[Tôi thấy Nhà nước đã giải thích rõ ràng, minh bạch về lý do và mục tiêu của việc sửa đổi thuế lần này. - HUMAN-TRU4]]</f>
        <v>7</v>
      </c>
      <c r="AZ334">
        <f t="shared" si="154"/>
        <v>0.66666666666666663</v>
      </c>
      <c r="BA334" s="32">
        <f t="shared" si="155"/>
        <v>0.77777777777777768</v>
      </c>
      <c r="BB334" s="32">
        <f t="shared" si="156"/>
        <v>0.61111111111111116</v>
      </c>
      <c r="BC334" s="7">
        <f t="shared" si="157"/>
        <v>0.79629629629629628</v>
      </c>
      <c r="BD334" s="7">
        <f t="shared" si="158"/>
        <v>0.64814814814814825</v>
      </c>
      <c r="BE334">
        <f>step3_validation[[#This Row],[AI_OUT1]]</f>
        <v>9</v>
      </c>
      <c r="BF334">
        <f t="shared" si="159"/>
        <v>0.88888888888888884</v>
      </c>
      <c r="BG334">
        <f>survey_responses[[#This Row],[Sau khi xem xét các quyền lợi và nghĩa vụ, bạn có ủng hộ và tuân thủ chính sách mới hiện nay? - HUMAN-OUT1]]</f>
        <v>7</v>
      </c>
      <c r="BH334">
        <f t="shared" si="160"/>
        <v>0.66666666666666663</v>
      </c>
      <c r="BI334" s="32">
        <f t="shared" si="161"/>
        <v>2</v>
      </c>
    </row>
    <row r="335" spans="1:61" x14ac:dyDescent="0.45">
      <c r="A335" s="30">
        <f>step3_validation[[#This Row],[Persona_ID]]</f>
        <v>334</v>
      </c>
      <c r="B335" s="31">
        <f>step3_validation[[#This Row],[Used_Seed]]</f>
        <v>334</v>
      </c>
      <c r="C335" t="str">
        <f>step3_validation[[#This Row],[Gender]]</f>
        <v>Nữ</v>
      </c>
      <c r="D335" t="str">
        <f>survey_responses[[#This Row],[Giới tính của bạn:]]</f>
        <v>Nữ</v>
      </c>
      <c r="E335" t="str">
        <f>step3_validation[[#This Row],[Age_Group]]</f>
        <v>50 - 54</v>
      </c>
      <c r="F335" t="str">
        <f>survey_responses[[#This Row],[Độ tuổi của bạn:]]</f>
        <v>50 - 54</v>
      </c>
      <c r="G335" t="str">
        <f>step3_validation[[#This Row],[Region]]</f>
        <v>Thành thị</v>
      </c>
      <c r="H335" t="str">
        <f>survey_responses[[#This Row],[Khu vực bạn đang sinh sống:]]</f>
        <v>Thành thị</v>
      </c>
      <c r="I335" t="str">
        <f>step3_validation[[#This Row],[Education]]</f>
        <v>Sau Đại học</v>
      </c>
      <c r="J335" t="str">
        <f>survey_responses[[#This Row],[Trình độ học vấn cao nhất:]]</f>
        <v>Sau Đại học</v>
      </c>
      <c r="K335" t="str">
        <f>step3_validation[[#This Row],[Employment]]</f>
        <v>Phi chính thức</v>
      </c>
      <c r="L335" t="str">
        <f>survey_responses[[#This Row],[Tình trạng việc làm chính:]]</f>
        <v>Khu vực phi chính thức (Lao động tự do, không có HĐLĐ)</v>
      </c>
      <c r="M335">
        <f>step3_validation[[#This Row],[Income_Mil]]</f>
        <v>167.8991392480718</v>
      </c>
      <c r="N335" t="str">
        <f>survey_responses[[#This Row],[Thu nhập bình quân tháng theo Hợp đồng lao động của bạn là bao nhiêu? (Vui lòng điền tổng thu nhập trước khi khấu trừ các loại Bảo hiểm (BHXH, BHYT, BHTN) và Thuế TNCN)]]</f>
        <v>Trên 102 triệu VNĐ</v>
      </c>
      <c r="O335">
        <f>step3_validation[[#This Row],[Dependents]]</f>
        <v>3</v>
      </c>
      <c r="P335" t="str">
        <f>survey_responses[[#This Row],[Số người phụ thuộc (con nhỏ, cha mẹ già...) đủ điều kiện giảm trừ gia cảnh:]]</f>
        <v>3 người</v>
      </c>
      <c r="Q335">
        <f>step3_validation[[#This Row],[AI_ENF1]]</f>
        <v>6</v>
      </c>
      <c r="R335">
        <f t="shared" si="135"/>
        <v>0.55555555555555558</v>
      </c>
      <c r="S335">
        <f>survey_responses[[#This Row],[Tôi tin rằng với các quy định quản lý thuế hiện nay, hành vi gian lận hoặc trốn thuế sẽ dễ dàng bị phát hiện và xử lý nghiêm. - HUMAN-ENF1]]</f>
        <v>2</v>
      </c>
      <c r="T335">
        <f t="shared" si="136"/>
        <v>0.1111111111111111</v>
      </c>
      <c r="U335">
        <f>step3_validation[[#This Row],[AI_ENF2]]</f>
        <v>6</v>
      </c>
      <c r="V335">
        <f t="shared" si="137"/>
        <v>0.55555555555555558</v>
      </c>
      <c r="W335">
        <f>survey_responses[[#This Row],[Tôi tin rằng Nhà nước, cơ quan thuế có đủ khả năng và công nghệ để phát hiện, xử lý nghiêm các hành vi trốn thuế. - HUMAN-ENF2]]</f>
        <v>2</v>
      </c>
      <c r="X335">
        <f t="shared" si="138"/>
        <v>0.1111111111111111</v>
      </c>
      <c r="Y335" s="32">
        <f t="shared" si="139"/>
        <v>0.55555555555555558</v>
      </c>
      <c r="Z335" s="32">
        <f t="shared" si="140"/>
        <v>0.1111111111111111</v>
      </c>
      <c r="AA335">
        <f>step3_validation[[#This Row],[AI_FAC1]]</f>
        <v>8</v>
      </c>
      <c r="AB335">
        <f t="shared" si="141"/>
        <v>0.77777777777777779</v>
      </c>
      <c r="AC335">
        <f>survey_responses[[#This Row],[Các thủ tục khai báo thuế VÀ/HOẶC quy trình làm việc với cơ quan thuế đơn giản, tiện lợi, nhanh chóng hơn so với trước đây. - HUMAN-FAC1]]</f>
        <v>3</v>
      </c>
      <c r="AD335">
        <f t="shared" si="142"/>
        <v>0.22222222222222221</v>
      </c>
      <c r="AE335">
        <f>step3_validation[[#This Row],[AI_FAC2]]</f>
        <v>9</v>
      </c>
      <c r="AF335">
        <f t="shared" si="143"/>
        <v>0.88888888888888884</v>
      </c>
      <c r="AG335">
        <f>survey_responses[[#This Row],[So với trước đây, tôi thấy cách tính thuế và các bậc thuế trong phương án mới đơn giản, dễ hiểu và dễ thực hiện hơn. - HUMAN-FAC2]]</f>
        <v>5</v>
      </c>
      <c r="AH335">
        <f t="shared" si="144"/>
        <v>0.44444444444444442</v>
      </c>
      <c r="AI335" s="32">
        <f t="shared" si="145"/>
        <v>0.83333333333333326</v>
      </c>
      <c r="AJ335" s="32">
        <f t="shared" si="146"/>
        <v>0.33333333333333331</v>
      </c>
      <c r="AK335">
        <f>step3_validation[[#This Row],[AI_TRU1]]</f>
        <v>7</v>
      </c>
      <c r="AL335">
        <f t="shared" si="147"/>
        <v>0.66666666666666663</v>
      </c>
      <c r="AM335">
        <f>survey_responses[[#This Row],[Tôi tin rằng Nhà nước, cơ quan thuế sẽ thực thi chính sách mới một cách khách quan, công tâm và đối xử bình đẳng với mọi người nộp thuế.  - HUMAN-TRU1]]</f>
        <v>1</v>
      </c>
      <c r="AN335">
        <f t="shared" si="148"/>
        <v>0</v>
      </c>
      <c r="AO335">
        <f>step3_validation[[#This Row],[AI_TRU2]]</f>
        <v>8</v>
      </c>
      <c r="AP335">
        <f t="shared" si="149"/>
        <v>0.77777777777777779</v>
      </c>
      <c r="AQ335">
        <f>survey_responses[[#This Row],[Tôi thấy mức thuế tôi phải đóng theo phương án mới là công bằng (người thu nhập như tôi đóng mức này là hợp lý). - HUMAN-TRU2]]</f>
        <v>1</v>
      </c>
      <c r="AR335">
        <f t="shared" si="150"/>
        <v>0</v>
      </c>
      <c r="AS335">
        <f>step3_validation[[#This Row],[AI_TRU3]]</f>
        <v>7</v>
      </c>
      <c r="AT335">
        <f t="shared" si="151"/>
        <v>0.66666666666666663</v>
      </c>
      <c r="AU335">
        <f>survey_responses[[#This Row],[Tôi tin tưởng số tiền thuế tôi đóng sẽ được Nhà nước sử dụng hiệu quả để cải thiện dịch vụ công (y tế, đường xá...). - HUMAN-TRU3]]</f>
        <v>1</v>
      </c>
      <c r="AV335">
        <f t="shared" si="152"/>
        <v>0</v>
      </c>
      <c r="AW335">
        <f>step3_validation[[#This Row],[AI_TRU4]]</f>
        <v>6</v>
      </c>
      <c r="AX335">
        <f t="shared" si="153"/>
        <v>0.55555555555555558</v>
      </c>
      <c r="AY335">
        <f>survey_responses[[#This Row],[Tôi thấy Nhà nước đã giải thích rõ ràng, minh bạch về lý do và mục tiêu của việc sửa đổi thuế lần này. - HUMAN-TRU4]]</f>
        <v>3</v>
      </c>
      <c r="AZ335">
        <f t="shared" si="154"/>
        <v>0.22222222222222221</v>
      </c>
      <c r="BA335" s="32">
        <f t="shared" si="155"/>
        <v>0.66666666666666674</v>
      </c>
      <c r="BB335" s="32">
        <f t="shared" si="156"/>
        <v>5.5555555555555552E-2</v>
      </c>
      <c r="BC335" s="7">
        <f t="shared" si="157"/>
        <v>0.68518518518518512</v>
      </c>
      <c r="BD335" s="7">
        <f t="shared" si="158"/>
        <v>0.16666666666666666</v>
      </c>
      <c r="BE335">
        <f>step3_validation[[#This Row],[AI_OUT1]]</f>
        <v>8</v>
      </c>
      <c r="BF335">
        <f t="shared" si="159"/>
        <v>0.77777777777777779</v>
      </c>
      <c r="BG335">
        <f>survey_responses[[#This Row],[Sau khi xem xét các quyền lợi và nghĩa vụ, bạn có ủng hộ và tuân thủ chính sách mới hiện nay? - HUMAN-OUT1]]</f>
        <v>1</v>
      </c>
      <c r="BH335">
        <f t="shared" si="160"/>
        <v>0</v>
      </c>
      <c r="BI335" s="32">
        <f t="shared" si="161"/>
        <v>7</v>
      </c>
    </row>
    <row r="336" spans="1:61" x14ac:dyDescent="0.45">
      <c r="A336" s="30">
        <f>step3_validation[[#This Row],[Persona_ID]]</f>
        <v>335</v>
      </c>
      <c r="B336" s="31">
        <f>step3_validation[[#This Row],[Used_Seed]]</f>
        <v>335</v>
      </c>
      <c r="C336" t="str">
        <f>step3_validation[[#This Row],[Gender]]</f>
        <v>Nam</v>
      </c>
      <c r="D336" t="str">
        <f>survey_responses[[#This Row],[Giới tính của bạn:]]</f>
        <v>Nam</v>
      </c>
      <c r="E336" t="str">
        <f>step3_validation[[#This Row],[Age_Group]]</f>
        <v>18 - 24</v>
      </c>
      <c r="F336" t="str">
        <f>survey_responses[[#This Row],[Độ tuổi của bạn:]]</f>
        <v>18 - 24</v>
      </c>
      <c r="G336" t="str">
        <f>step3_validation[[#This Row],[Region]]</f>
        <v>Thành thị</v>
      </c>
      <c r="H336" t="str">
        <f>survey_responses[[#This Row],[Khu vực bạn đang sinh sống:]]</f>
        <v>Thành thị</v>
      </c>
      <c r="I336" t="str">
        <f>step3_validation[[#This Row],[Education]]</f>
        <v>Đại học</v>
      </c>
      <c r="J336" t="str">
        <f>survey_responses[[#This Row],[Trình độ học vấn cao nhất:]]</f>
        <v>Đại học</v>
      </c>
      <c r="K336" t="str">
        <f>step3_validation[[#This Row],[Employment]]</f>
        <v>Chính thức</v>
      </c>
      <c r="L336" t="str">
        <f>survey_responses[[#This Row],[Tình trạng việc làm chính:]]</f>
        <v>Khu vực chính thức (Có Hợp đồng lao động, đóng BHXH)</v>
      </c>
      <c r="M336">
        <f>step3_validation[[#This Row],[Income_Mil]]</f>
        <v>13.638316438911778</v>
      </c>
      <c r="N336" t="str">
        <f>survey_responses[[#This Row],[Thu nhập bình quân tháng theo Hợp đồng lao động của bạn là bao nhiêu? (Vui lòng điền tổng thu nhập trước khi khấu trừ các loại Bảo hiểm (BHXH, BHYT, BHTN) và Thuế TNCN)]]</f>
        <v>Từ 12 - 18 triệu VNĐ</v>
      </c>
      <c r="O336">
        <f>step3_validation[[#This Row],[Dependents]]</f>
        <v>0</v>
      </c>
      <c r="P336" t="str">
        <f>survey_responses[[#This Row],[Số người phụ thuộc (con nhỏ, cha mẹ già...) đủ điều kiện giảm trừ gia cảnh:]]</f>
        <v>0 người</v>
      </c>
      <c r="Q336">
        <f>step3_validation[[#This Row],[AI_ENF1]]</f>
        <v>8</v>
      </c>
      <c r="R336">
        <f t="shared" si="135"/>
        <v>0.77777777777777779</v>
      </c>
      <c r="S336">
        <f>survey_responses[[#This Row],[Tôi tin rằng với các quy định quản lý thuế hiện nay, hành vi gian lận hoặc trốn thuế sẽ dễ dàng bị phát hiện và xử lý nghiêm. - HUMAN-ENF1]]</f>
        <v>7</v>
      </c>
      <c r="T336">
        <f t="shared" si="136"/>
        <v>0.66666666666666663</v>
      </c>
      <c r="U336">
        <f>step3_validation[[#This Row],[AI_ENF2]]</f>
        <v>9</v>
      </c>
      <c r="V336">
        <f t="shared" si="137"/>
        <v>0.88888888888888884</v>
      </c>
      <c r="W336">
        <f>survey_responses[[#This Row],[Tôi tin rằng Nhà nước, cơ quan thuế có đủ khả năng và công nghệ để phát hiện, xử lý nghiêm các hành vi trốn thuế. - HUMAN-ENF2]]</f>
        <v>7</v>
      </c>
      <c r="X336">
        <f t="shared" si="138"/>
        <v>0.66666666666666663</v>
      </c>
      <c r="Y336" s="32">
        <f t="shared" si="139"/>
        <v>0.83333333333333326</v>
      </c>
      <c r="Z336" s="32">
        <f t="shared" si="140"/>
        <v>0.66666666666666663</v>
      </c>
      <c r="AA336">
        <f>step3_validation[[#This Row],[AI_FAC1]]</f>
        <v>8</v>
      </c>
      <c r="AB336">
        <f t="shared" si="141"/>
        <v>0.77777777777777779</v>
      </c>
      <c r="AC336">
        <f>survey_responses[[#This Row],[Các thủ tục khai báo thuế VÀ/HOẶC quy trình làm việc với cơ quan thuế đơn giản, tiện lợi, nhanh chóng hơn so với trước đây. - HUMAN-FAC1]]</f>
        <v>8</v>
      </c>
      <c r="AD336">
        <f t="shared" si="142"/>
        <v>0.77777777777777779</v>
      </c>
      <c r="AE336">
        <f>step3_validation[[#This Row],[AI_FAC2]]</f>
        <v>9</v>
      </c>
      <c r="AF336">
        <f t="shared" si="143"/>
        <v>0.88888888888888884</v>
      </c>
      <c r="AG336">
        <f>survey_responses[[#This Row],[So với trước đây, tôi thấy cách tính thuế và các bậc thuế trong phương án mới đơn giản, dễ hiểu và dễ thực hiện hơn. - HUMAN-FAC2]]</f>
        <v>10</v>
      </c>
      <c r="AH336">
        <f t="shared" si="144"/>
        <v>1</v>
      </c>
      <c r="AI336" s="32">
        <f t="shared" si="145"/>
        <v>0.83333333333333326</v>
      </c>
      <c r="AJ336" s="32">
        <f t="shared" si="146"/>
        <v>0.88888888888888884</v>
      </c>
      <c r="AK336">
        <f>step3_validation[[#This Row],[AI_TRU1]]</f>
        <v>8</v>
      </c>
      <c r="AL336">
        <f t="shared" si="147"/>
        <v>0.77777777777777779</v>
      </c>
      <c r="AM336">
        <f>survey_responses[[#This Row],[Tôi tin rằng Nhà nước, cơ quan thuế sẽ thực thi chính sách mới một cách khách quan, công tâm và đối xử bình đẳng với mọi người nộp thuế.  - HUMAN-TRU1]]</f>
        <v>9</v>
      </c>
      <c r="AN336">
        <f t="shared" si="148"/>
        <v>0.88888888888888884</v>
      </c>
      <c r="AO336">
        <f>step3_validation[[#This Row],[AI_TRU2]]</f>
        <v>9</v>
      </c>
      <c r="AP336">
        <f t="shared" si="149"/>
        <v>0.88888888888888884</v>
      </c>
      <c r="AQ336">
        <f>survey_responses[[#This Row],[Tôi thấy mức thuế tôi phải đóng theo phương án mới là công bằng (người thu nhập như tôi đóng mức này là hợp lý). - HUMAN-TRU2]]</f>
        <v>10</v>
      </c>
      <c r="AR336">
        <f t="shared" si="150"/>
        <v>1</v>
      </c>
      <c r="AS336">
        <f>step3_validation[[#This Row],[AI_TRU3]]</f>
        <v>8</v>
      </c>
      <c r="AT336">
        <f t="shared" si="151"/>
        <v>0.77777777777777779</v>
      </c>
      <c r="AU336">
        <f>survey_responses[[#This Row],[Tôi tin tưởng số tiền thuế tôi đóng sẽ được Nhà nước sử dụng hiệu quả để cải thiện dịch vụ công (y tế, đường xá...). - HUMAN-TRU3]]</f>
        <v>8</v>
      </c>
      <c r="AV336">
        <f t="shared" si="152"/>
        <v>0.77777777777777779</v>
      </c>
      <c r="AW336">
        <f>step3_validation[[#This Row],[AI_TRU4]]</f>
        <v>9</v>
      </c>
      <c r="AX336">
        <f t="shared" si="153"/>
        <v>0.88888888888888884</v>
      </c>
      <c r="AY336">
        <f>survey_responses[[#This Row],[Tôi thấy Nhà nước đã giải thích rõ ràng, minh bạch về lý do và mục tiêu của việc sửa đổi thuế lần này. - HUMAN-TRU4]]</f>
        <v>8</v>
      </c>
      <c r="AZ336">
        <f t="shared" si="154"/>
        <v>0.77777777777777779</v>
      </c>
      <c r="BA336" s="32">
        <f t="shared" si="155"/>
        <v>0.83333333333333326</v>
      </c>
      <c r="BB336" s="32">
        <f t="shared" si="156"/>
        <v>0.86111111111111105</v>
      </c>
      <c r="BC336" s="7">
        <f t="shared" si="157"/>
        <v>0.83333333333333337</v>
      </c>
      <c r="BD336" s="7">
        <f t="shared" si="158"/>
        <v>0.80555555555555547</v>
      </c>
      <c r="BE336">
        <f>step3_validation[[#This Row],[AI_OUT1]]</f>
        <v>8</v>
      </c>
      <c r="BF336">
        <f t="shared" si="159"/>
        <v>0.77777777777777779</v>
      </c>
      <c r="BG336">
        <f>survey_responses[[#This Row],[Sau khi xem xét các quyền lợi và nghĩa vụ, bạn có ủng hộ và tuân thủ chính sách mới hiện nay? - HUMAN-OUT1]]</f>
        <v>10</v>
      </c>
      <c r="BH336">
        <f t="shared" si="160"/>
        <v>1</v>
      </c>
      <c r="BI336" s="32">
        <f t="shared" si="161"/>
        <v>2</v>
      </c>
    </row>
    <row r="337" spans="1:61" x14ac:dyDescent="0.45">
      <c r="A337" s="30">
        <f>step3_validation[[#This Row],[Persona_ID]]</f>
        <v>336</v>
      </c>
      <c r="B337" s="31">
        <f>step3_validation[[#This Row],[Used_Seed]]</f>
        <v>336</v>
      </c>
      <c r="C337" t="str">
        <f>step3_validation[[#This Row],[Gender]]</f>
        <v>Nữ</v>
      </c>
      <c r="D337" t="str">
        <f>survey_responses[[#This Row],[Giới tính của bạn:]]</f>
        <v>Nữ</v>
      </c>
      <c r="E337" t="str">
        <f>step3_validation[[#This Row],[Age_Group]]</f>
        <v>25 - 29</v>
      </c>
      <c r="F337" t="str">
        <f>survey_responses[[#This Row],[Độ tuổi của bạn:]]</f>
        <v>25 - 29</v>
      </c>
      <c r="G337" t="str">
        <f>step3_validation[[#This Row],[Region]]</f>
        <v>Thành thị</v>
      </c>
      <c r="H337" t="str">
        <f>survey_responses[[#This Row],[Khu vực bạn đang sinh sống:]]</f>
        <v>Thành thị</v>
      </c>
      <c r="I337" t="str">
        <f>step3_validation[[#This Row],[Education]]</f>
        <v>Đại học</v>
      </c>
      <c r="J337" t="str">
        <f>survey_responses[[#This Row],[Trình độ học vấn cao nhất:]]</f>
        <v>Đại học</v>
      </c>
      <c r="K337" t="str">
        <f>step3_validation[[#This Row],[Employment]]</f>
        <v>Chính thức</v>
      </c>
      <c r="L337" t="str">
        <f>survey_responses[[#This Row],[Tình trạng việc làm chính:]]</f>
        <v>Khu vực chính thức (Có Hợp đồng lao động, đóng BHXH)</v>
      </c>
      <c r="M337">
        <f>step3_validation[[#This Row],[Income_Mil]]</f>
        <v>21.777965169755465</v>
      </c>
      <c r="N337" t="str">
        <f>survey_responses[[#This Row],[Thu nhập bình quân tháng theo Hợp đồng lao động của bạn là bao nhiêu? (Vui lòng điền tổng thu nhập trước khi khấu trừ các loại Bảo hiểm (BHXH, BHYT, BHTN) và Thuế TNCN)]]</f>
        <v>Từ 18 - 23 triệu VNĐ</v>
      </c>
      <c r="O337">
        <f>step3_validation[[#This Row],[Dependents]]</f>
        <v>0</v>
      </c>
      <c r="P337" t="str">
        <f>survey_responses[[#This Row],[Số người phụ thuộc (con nhỏ, cha mẹ già...) đủ điều kiện giảm trừ gia cảnh:]]</f>
        <v>0 người</v>
      </c>
      <c r="Q337">
        <f>step3_validation[[#This Row],[AI_ENF1]]</f>
        <v>7</v>
      </c>
      <c r="R337">
        <f t="shared" si="135"/>
        <v>0.66666666666666663</v>
      </c>
      <c r="S337">
        <f>survey_responses[[#This Row],[Tôi tin rằng với các quy định quản lý thuế hiện nay, hành vi gian lận hoặc trốn thuế sẽ dễ dàng bị phát hiện và xử lý nghiêm. - HUMAN-ENF1]]</f>
        <v>4</v>
      </c>
      <c r="T337">
        <f t="shared" si="136"/>
        <v>0.33333333333333331</v>
      </c>
      <c r="U337">
        <f>step3_validation[[#This Row],[AI_ENF2]]</f>
        <v>6</v>
      </c>
      <c r="V337">
        <f t="shared" si="137"/>
        <v>0.55555555555555558</v>
      </c>
      <c r="W337">
        <f>survey_responses[[#This Row],[Tôi tin rằng Nhà nước, cơ quan thuế có đủ khả năng và công nghệ để phát hiện, xử lý nghiêm các hành vi trốn thuế. - HUMAN-ENF2]]</f>
        <v>5</v>
      </c>
      <c r="X337">
        <f t="shared" si="138"/>
        <v>0.44444444444444442</v>
      </c>
      <c r="Y337" s="32">
        <f t="shared" si="139"/>
        <v>0.61111111111111116</v>
      </c>
      <c r="Z337" s="32">
        <f t="shared" si="140"/>
        <v>0.38888888888888884</v>
      </c>
      <c r="AA337">
        <f>step3_validation[[#This Row],[AI_FAC1]]</f>
        <v>8</v>
      </c>
      <c r="AB337">
        <f t="shared" si="141"/>
        <v>0.77777777777777779</v>
      </c>
      <c r="AC337">
        <f>survey_responses[[#This Row],[Các thủ tục khai báo thuế VÀ/HOẶC quy trình làm việc với cơ quan thuế đơn giản, tiện lợi, nhanh chóng hơn so với trước đây. - HUMAN-FAC1]]</f>
        <v>5</v>
      </c>
      <c r="AD337">
        <f t="shared" si="142"/>
        <v>0.44444444444444442</v>
      </c>
      <c r="AE337">
        <f>step3_validation[[#This Row],[AI_FAC2]]</f>
        <v>9</v>
      </c>
      <c r="AF337">
        <f t="shared" si="143"/>
        <v>0.88888888888888884</v>
      </c>
      <c r="AG337">
        <f>survey_responses[[#This Row],[So với trước đây, tôi thấy cách tính thuế và các bậc thuế trong phương án mới đơn giản, dễ hiểu và dễ thực hiện hơn. - HUMAN-FAC2]]</f>
        <v>6</v>
      </c>
      <c r="AH337">
        <f t="shared" si="144"/>
        <v>0.55555555555555558</v>
      </c>
      <c r="AI337" s="32">
        <f t="shared" si="145"/>
        <v>0.83333333333333326</v>
      </c>
      <c r="AJ337" s="32">
        <f t="shared" si="146"/>
        <v>0.5</v>
      </c>
      <c r="AK337">
        <f>step3_validation[[#This Row],[AI_TRU1]]</f>
        <v>7</v>
      </c>
      <c r="AL337">
        <f t="shared" si="147"/>
        <v>0.66666666666666663</v>
      </c>
      <c r="AM337">
        <f>survey_responses[[#This Row],[Tôi tin rằng Nhà nước, cơ quan thuế sẽ thực thi chính sách mới một cách khách quan, công tâm và đối xử bình đẳng với mọi người nộp thuế.  - HUMAN-TRU1]]</f>
        <v>5</v>
      </c>
      <c r="AN337">
        <f t="shared" si="148"/>
        <v>0.44444444444444442</v>
      </c>
      <c r="AO337">
        <f>step3_validation[[#This Row],[AI_TRU2]]</f>
        <v>9</v>
      </c>
      <c r="AP337">
        <f t="shared" si="149"/>
        <v>0.88888888888888884</v>
      </c>
      <c r="AQ337">
        <f>survey_responses[[#This Row],[Tôi thấy mức thuế tôi phải đóng theo phương án mới là công bằng (người thu nhập như tôi đóng mức này là hợp lý). - HUMAN-TRU2]]</f>
        <v>6</v>
      </c>
      <c r="AR337">
        <f t="shared" si="150"/>
        <v>0.55555555555555558</v>
      </c>
      <c r="AS337">
        <f>step3_validation[[#This Row],[AI_TRU3]]</f>
        <v>8</v>
      </c>
      <c r="AT337">
        <f t="shared" si="151"/>
        <v>0.77777777777777779</v>
      </c>
      <c r="AU337">
        <f>survey_responses[[#This Row],[Tôi tin tưởng số tiền thuế tôi đóng sẽ được Nhà nước sử dụng hiệu quả để cải thiện dịch vụ công (y tế, đường xá...). - HUMAN-TRU3]]</f>
        <v>5</v>
      </c>
      <c r="AV337">
        <f t="shared" si="152"/>
        <v>0.44444444444444442</v>
      </c>
      <c r="AW337">
        <f>step3_validation[[#This Row],[AI_TRU4]]</f>
        <v>9</v>
      </c>
      <c r="AX337">
        <f t="shared" si="153"/>
        <v>0.88888888888888884</v>
      </c>
      <c r="AY337">
        <f>survey_responses[[#This Row],[Tôi thấy Nhà nước đã giải thích rõ ràng, minh bạch về lý do và mục tiêu của việc sửa đổi thuế lần này. - HUMAN-TRU4]]</f>
        <v>5</v>
      </c>
      <c r="AZ337">
        <f t="shared" si="154"/>
        <v>0.44444444444444442</v>
      </c>
      <c r="BA337" s="32">
        <f t="shared" si="155"/>
        <v>0.80555555555555547</v>
      </c>
      <c r="BB337" s="32">
        <f t="shared" si="156"/>
        <v>0.47222222222222221</v>
      </c>
      <c r="BC337" s="7">
        <f t="shared" si="157"/>
        <v>0.75</v>
      </c>
      <c r="BD337" s="7">
        <f t="shared" si="158"/>
        <v>0.45370370370370372</v>
      </c>
      <c r="BE337">
        <f>step3_validation[[#This Row],[AI_OUT1]]</f>
        <v>8</v>
      </c>
      <c r="BF337">
        <f t="shared" si="159"/>
        <v>0.77777777777777779</v>
      </c>
      <c r="BG337">
        <f>survey_responses[[#This Row],[Sau khi xem xét các quyền lợi và nghĩa vụ, bạn có ủng hộ và tuân thủ chính sách mới hiện nay? - HUMAN-OUT1]]</f>
        <v>6</v>
      </c>
      <c r="BH337">
        <f t="shared" si="160"/>
        <v>0.55555555555555558</v>
      </c>
      <c r="BI337" s="32">
        <f t="shared" si="161"/>
        <v>2</v>
      </c>
    </row>
    <row r="338" spans="1:61" x14ac:dyDescent="0.45">
      <c r="A338" s="30">
        <f>step3_validation[[#This Row],[Persona_ID]]</f>
        <v>337</v>
      </c>
      <c r="B338" s="31">
        <f>step3_validation[[#This Row],[Used_Seed]]</f>
        <v>337</v>
      </c>
      <c r="C338" t="str">
        <f>step3_validation[[#This Row],[Gender]]</f>
        <v>Nam</v>
      </c>
      <c r="D338" t="str">
        <f>survey_responses[[#This Row],[Giới tính của bạn:]]</f>
        <v>Nam</v>
      </c>
      <c r="E338" t="str">
        <f>step3_validation[[#This Row],[Age_Group]]</f>
        <v>30 - 39</v>
      </c>
      <c r="F338" t="str">
        <f>survey_responses[[#This Row],[Độ tuổi của bạn:]]</f>
        <v>30 - 39</v>
      </c>
      <c r="G338" t="str">
        <f>step3_validation[[#This Row],[Region]]</f>
        <v>Thành thị</v>
      </c>
      <c r="H338" t="str">
        <f>survey_responses[[#This Row],[Khu vực bạn đang sinh sống:]]</f>
        <v>Thành thị</v>
      </c>
      <c r="I338" t="str">
        <f>step3_validation[[#This Row],[Education]]</f>
        <v>Đại học</v>
      </c>
      <c r="J338" t="str">
        <f>survey_responses[[#This Row],[Trình độ học vấn cao nhất:]]</f>
        <v>Đại học</v>
      </c>
      <c r="K338" t="str">
        <f>step3_validation[[#This Row],[Employment]]</f>
        <v>Chính thức</v>
      </c>
      <c r="L338" t="str">
        <f>survey_responses[[#This Row],[Tình trạng việc làm chính:]]</f>
        <v>Khu vực chính thức (Có Hợp đồng lao động, đóng BHXH)</v>
      </c>
      <c r="M338">
        <f>step3_validation[[#This Row],[Income_Mil]]</f>
        <v>23.229901331150877</v>
      </c>
      <c r="N338" t="str">
        <f>survey_responses[[#This Row],[Thu nhập bình quân tháng theo Hợp đồng lao động của bạn là bao nhiêu? (Vui lòng điền tổng thu nhập trước khi khấu trừ các loại Bảo hiểm (BHXH, BHYT, BHTN) và Thuế TNCN)]]</f>
        <v>Từ 23 - 32 triệu VNĐ</v>
      </c>
      <c r="O338">
        <f>step3_validation[[#This Row],[Dependents]]</f>
        <v>0</v>
      </c>
      <c r="P338" t="str">
        <f>survey_responses[[#This Row],[Số người phụ thuộc (con nhỏ, cha mẹ già...) đủ điều kiện giảm trừ gia cảnh:]]</f>
        <v>0 người</v>
      </c>
      <c r="Q338">
        <f>step3_validation[[#This Row],[AI_ENF1]]</f>
        <v>8</v>
      </c>
      <c r="R338">
        <f t="shared" si="135"/>
        <v>0.77777777777777779</v>
      </c>
      <c r="S338">
        <f>survey_responses[[#This Row],[Tôi tin rằng với các quy định quản lý thuế hiện nay, hành vi gian lận hoặc trốn thuế sẽ dễ dàng bị phát hiện và xử lý nghiêm. - HUMAN-ENF1]]</f>
        <v>7</v>
      </c>
      <c r="T338">
        <f t="shared" si="136"/>
        <v>0.66666666666666663</v>
      </c>
      <c r="U338">
        <f>step3_validation[[#This Row],[AI_ENF2]]</f>
        <v>8</v>
      </c>
      <c r="V338">
        <f t="shared" si="137"/>
        <v>0.77777777777777779</v>
      </c>
      <c r="W338">
        <f>survey_responses[[#This Row],[Tôi tin rằng Nhà nước, cơ quan thuế có đủ khả năng và công nghệ để phát hiện, xử lý nghiêm các hành vi trốn thuế. - HUMAN-ENF2]]</f>
        <v>8</v>
      </c>
      <c r="X338">
        <f t="shared" si="138"/>
        <v>0.77777777777777779</v>
      </c>
      <c r="Y338" s="32">
        <f t="shared" si="139"/>
        <v>0.77777777777777779</v>
      </c>
      <c r="Z338" s="32">
        <f t="shared" si="140"/>
        <v>0.72222222222222221</v>
      </c>
      <c r="AA338">
        <f>step3_validation[[#This Row],[AI_FAC1]]</f>
        <v>9</v>
      </c>
      <c r="AB338">
        <f t="shared" si="141"/>
        <v>0.88888888888888884</v>
      </c>
      <c r="AC338">
        <f>survey_responses[[#This Row],[Các thủ tục khai báo thuế VÀ/HOẶC quy trình làm việc với cơ quan thuế đơn giản, tiện lợi, nhanh chóng hơn so với trước đây. - HUMAN-FAC1]]</f>
        <v>7</v>
      </c>
      <c r="AD338">
        <f t="shared" si="142"/>
        <v>0.66666666666666663</v>
      </c>
      <c r="AE338">
        <f>step3_validation[[#This Row],[AI_FAC2]]</f>
        <v>9</v>
      </c>
      <c r="AF338">
        <f t="shared" si="143"/>
        <v>0.88888888888888884</v>
      </c>
      <c r="AG338">
        <f>survey_responses[[#This Row],[So với trước đây, tôi thấy cách tính thuế và các bậc thuế trong phương án mới đơn giản, dễ hiểu và dễ thực hiện hơn. - HUMAN-FAC2]]</f>
        <v>7</v>
      </c>
      <c r="AH338">
        <f t="shared" si="144"/>
        <v>0.66666666666666663</v>
      </c>
      <c r="AI338" s="32">
        <f t="shared" si="145"/>
        <v>0.88888888888888884</v>
      </c>
      <c r="AJ338" s="32">
        <f t="shared" si="146"/>
        <v>0.66666666666666663</v>
      </c>
      <c r="AK338">
        <f>step3_validation[[#This Row],[AI_TRU1]]</f>
        <v>8</v>
      </c>
      <c r="AL338">
        <f t="shared" si="147"/>
        <v>0.77777777777777779</v>
      </c>
      <c r="AM338">
        <f>survey_responses[[#This Row],[Tôi tin rằng Nhà nước, cơ quan thuế sẽ thực thi chính sách mới một cách khách quan, công tâm và đối xử bình đẳng với mọi người nộp thuế.  - HUMAN-TRU1]]</f>
        <v>6</v>
      </c>
      <c r="AN338">
        <f t="shared" si="148"/>
        <v>0.55555555555555558</v>
      </c>
      <c r="AO338">
        <f>step3_validation[[#This Row],[AI_TRU2]]</f>
        <v>8</v>
      </c>
      <c r="AP338">
        <f t="shared" si="149"/>
        <v>0.77777777777777779</v>
      </c>
      <c r="AQ338">
        <f>survey_responses[[#This Row],[Tôi thấy mức thuế tôi phải đóng theo phương án mới là công bằng (người thu nhập như tôi đóng mức này là hợp lý). - HUMAN-TRU2]]</f>
        <v>8</v>
      </c>
      <c r="AR338">
        <f t="shared" si="150"/>
        <v>0.77777777777777779</v>
      </c>
      <c r="AS338">
        <f>step3_validation[[#This Row],[AI_TRU3]]</f>
        <v>7</v>
      </c>
      <c r="AT338">
        <f t="shared" si="151"/>
        <v>0.66666666666666663</v>
      </c>
      <c r="AU338">
        <f>survey_responses[[#This Row],[Tôi tin tưởng số tiền thuế tôi đóng sẽ được Nhà nước sử dụng hiệu quả để cải thiện dịch vụ công (y tế, đường xá...). - HUMAN-TRU3]]</f>
        <v>6</v>
      </c>
      <c r="AV338">
        <f t="shared" si="152"/>
        <v>0.55555555555555558</v>
      </c>
      <c r="AW338">
        <f>step3_validation[[#This Row],[AI_TRU4]]</f>
        <v>8</v>
      </c>
      <c r="AX338">
        <f t="shared" si="153"/>
        <v>0.77777777777777779</v>
      </c>
      <c r="AY338">
        <f>survey_responses[[#This Row],[Tôi thấy Nhà nước đã giải thích rõ ràng, minh bạch về lý do và mục tiêu của việc sửa đổi thuế lần này. - HUMAN-TRU4]]</f>
        <v>8</v>
      </c>
      <c r="AZ338">
        <f t="shared" si="154"/>
        <v>0.77777777777777779</v>
      </c>
      <c r="BA338" s="32">
        <f t="shared" si="155"/>
        <v>0.75</v>
      </c>
      <c r="BB338" s="32">
        <f t="shared" si="156"/>
        <v>0.66666666666666674</v>
      </c>
      <c r="BC338" s="7">
        <f t="shared" si="157"/>
        <v>0.80555555555555547</v>
      </c>
      <c r="BD338" s="7">
        <f t="shared" si="158"/>
        <v>0.68518518518518512</v>
      </c>
      <c r="BE338">
        <f>step3_validation[[#This Row],[AI_OUT1]]</f>
        <v>9</v>
      </c>
      <c r="BF338">
        <f t="shared" si="159"/>
        <v>0.88888888888888884</v>
      </c>
      <c r="BG338">
        <f>survey_responses[[#This Row],[Sau khi xem xét các quyền lợi và nghĩa vụ, bạn có ủng hộ và tuân thủ chính sách mới hiện nay? - HUMAN-OUT1]]</f>
        <v>8</v>
      </c>
      <c r="BH338">
        <f t="shared" si="160"/>
        <v>0.77777777777777779</v>
      </c>
      <c r="BI338" s="32">
        <f t="shared" si="161"/>
        <v>1</v>
      </c>
    </row>
    <row r="339" spans="1:61" x14ac:dyDescent="0.45">
      <c r="A339" s="30">
        <f>step3_validation[[#This Row],[Persona_ID]]</f>
        <v>338</v>
      </c>
      <c r="B339" s="31">
        <f>step3_validation[[#This Row],[Used_Seed]]</f>
        <v>338</v>
      </c>
      <c r="C339" t="str">
        <f>step3_validation[[#This Row],[Gender]]</f>
        <v>Nam</v>
      </c>
      <c r="D339" t="str">
        <f>survey_responses[[#This Row],[Giới tính của bạn:]]</f>
        <v>Nam</v>
      </c>
      <c r="E339" t="str">
        <f>step3_validation[[#This Row],[Age_Group]]</f>
        <v>18 - 24</v>
      </c>
      <c r="F339" t="str">
        <f>survey_responses[[#This Row],[Độ tuổi của bạn:]]</f>
        <v>18 - 24</v>
      </c>
      <c r="G339" t="str">
        <f>step3_validation[[#This Row],[Region]]</f>
        <v>Thành thị</v>
      </c>
      <c r="H339" t="str">
        <f>survey_responses[[#This Row],[Khu vực bạn đang sinh sống:]]</f>
        <v>Thành thị</v>
      </c>
      <c r="I339" t="str">
        <f>step3_validation[[#This Row],[Education]]</f>
        <v>Đại học</v>
      </c>
      <c r="J339" t="str">
        <f>survey_responses[[#This Row],[Trình độ học vấn cao nhất:]]</f>
        <v>Đại học</v>
      </c>
      <c r="K339" t="str">
        <f>step3_validation[[#This Row],[Employment]]</f>
        <v>Chính thức</v>
      </c>
      <c r="L339" t="str">
        <f>survey_responses[[#This Row],[Tình trạng việc làm chính:]]</f>
        <v>Khu vực chính thức (Có Hợp đồng lao động, đóng BHXH)</v>
      </c>
      <c r="M339">
        <f>step3_validation[[#This Row],[Income_Mil]]</f>
        <v>15.759082668153212</v>
      </c>
      <c r="N339" t="str">
        <f>survey_responses[[#This Row],[Thu nhập bình quân tháng theo Hợp đồng lao động của bạn là bao nhiêu? (Vui lòng điền tổng thu nhập trước khi khấu trừ các loại Bảo hiểm (BHXH, BHYT, BHTN) và Thuế TNCN)]]</f>
        <v>Từ 12 - 18 triệu VNĐ</v>
      </c>
      <c r="O339">
        <f>step3_validation[[#This Row],[Dependents]]</f>
        <v>0</v>
      </c>
      <c r="P339" t="str">
        <f>survey_responses[[#This Row],[Số người phụ thuộc (con nhỏ, cha mẹ già...) đủ điều kiện giảm trừ gia cảnh:]]</f>
        <v>0 người</v>
      </c>
      <c r="Q339">
        <f>step3_validation[[#This Row],[AI_ENF1]]</f>
        <v>5</v>
      </c>
      <c r="R339">
        <f t="shared" si="135"/>
        <v>0.44444444444444442</v>
      </c>
      <c r="S339">
        <f>survey_responses[[#This Row],[Tôi tin rằng với các quy định quản lý thuế hiện nay, hành vi gian lận hoặc trốn thuế sẽ dễ dàng bị phát hiện và xử lý nghiêm. - HUMAN-ENF1]]</f>
        <v>8</v>
      </c>
      <c r="T339">
        <f t="shared" si="136"/>
        <v>0.77777777777777779</v>
      </c>
      <c r="U339">
        <f>step3_validation[[#This Row],[AI_ENF2]]</f>
        <v>6</v>
      </c>
      <c r="V339">
        <f t="shared" si="137"/>
        <v>0.55555555555555558</v>
      </c>
      <c r="W339">
        <f>survey_responses[[#This Row],[Tôi tin rằng Nhà nước, cơ quan thuế có đủ khả năng và công nghệ để phát hiện, xử lý nghiêm các hành vi trốn thuế. - HUMAN-ENF2]]</f>
        <v>8</v>
      </c>
      <c r="X339">
        <f t="shared" si="138"/>
        <v>0.77777777777777779</v>
      </c>
      <c r="Y339" s="32">
        <f t="shared" si="139"/>
        <v>0.5</v>
      </c>
      <c r="Z339" s="32">
        <f t="shared" si="140"/>
        <v>0.77777777777777779</v>
      </c>
      <c r="AA339">
        <f>step3_validation[[#This Row],[AI_FAC1]]</f>
        <v>8</v>
      </c>
      <c r="AB339">
        <f t="shared" si="141"/>
        <v>0.77777777777777779</v>
      </c>
      <c r="AC339">
        <f>survey_responses[[#This Row],[Các thủ tục khai báo thuế VÀ/HOẶC quy trình làm việc với cơ quan thuế đơn giản, tiện lợi, nhanh chóng hơn so với trước đây. - HUMAN-FAC1]]</f>
        <v>9</v>
      </c>
      <c r="AD339">
        <f t="shared" si="142"/>
        <v>0.88888888888888884</v>
      </c>
      <c r="AE339">
        <f>step3_validation[[#This Row],[AI_FAC2]]</f>
        <v>9</v>
      </c>
      <c r="AF339">
        <f t="shared" si="143"/>
        <v>0.88888888888888884</v>
      </c>
      <c r="AG339">
        <f>survey_responses[[#This Row],[So với trước đây, tôi thấy cách tính thuế và các bậc thuế trong phương án mới đơn giản, dễ hiểu và dễ thực hiện hơn. - HUMAN-FAC2]]</f>
        <v>9</v>
      </c>
      <c r="AH339">
        <f t="shared" si="144"/>
        <v>0.88888888888888884</v>
      </c>
      <c r="AI339" s="32">
        <f t="shared" si="145"/>
        <v>0.83333333333333326</v>
      </c>
      <c r="AJ339" s="32">
        <f t="shared" si="146"/>
        <v>0.88888888888888884</v>
      </c>
      <c r="AK339">
        <f>step3_validation[[#This Row],[AI_TRU1]]</f>
        <v>7</v>
      </c>
      <c r="AL339">
        <f t="shared" si="147"/>
        <v>0.66666666666666663</v>
      </c>
      <c r="AM339">
        <f>survey_responses[[#This Row],[Tôi tin rằng Nhà nước, cơ quan thuế sẽ thực thi chính sách mới một cách khách quan, công tâm và đối xử bình đẳng với mọi người nộp thuế.  - HUMAN-TRU1]]</f>
        <v>8</v>
      </c>
      <c r="AN339">
        <f t="shared" si="148"/>
        <v>0.77777777777777779</v>
      </c>
      <c r="AO339">
        <f>step3_validation[[#This Row],[AI_TRU2]]</f>
        <v>9</v>
      </c>
      <c r="AP339">
        <f t="shared" si="149"/>
        <v>0.88888888888888884</v>
      </c>
      <c r="AQ339">
        <f>survey_responses[[#This Row],[Tôi thấy mức thuế tôi phải đóng theo phương án mới là công bằng (người thu nhập như tôi đóng mức này là hợp lý). - HUMAN-TRU2]]</f>
        <v>9</v>
      </c>
      <c r="AR339">
        <f t="shared" si="150"/>
        <v>0.88888888888888884</v>
      </c>
      <c r="AS339">
        <f>step3_validation[[#This Row],[AI_TRU3]]</f>
        <v>7</v>
      </c>
      <c r="AT339">
        <f t="shared" si="151"/>
        <v>0.66666666666666663</v>
      </c>
      <c r="AU339">
        <f>survey_responses[[#This Row],[Tôi tin tưởng số tiền thuế tôi đóng sẽ được Nhà nước sử dụng hiệu quả để cải thiện dịch vụ công (y tế, đường xá...). - HUMAN-TRU3]]</f>
        <v>10</v>
      </c>
      <c r="AV339">
        <f t="shared" si="152"/>
        <v>1</v>
      </c>
      <c r="AW339">
        <f>step3_validation[[#This Row],[AI_TRU4]]</f>
        <v>6</v>
      </c>
      <c r="AX339">
        <f t="shared" si="153"/>
        <v>0.55555555555555558</v>
      </c>
      <c r="AY339">
        <f>survey_responses[[#This Row],[Tôi thấy Nhà nước đã giải thích rõ ràng, minh bạch về lý do và mục tiêu của việc sửa đổi thuế lần này. - HUMAN-TRU4]]</f>
        <v>9</v>
      </c>
      <c r="AZ339">
        <f t="shared" si="154"/>
        <v>0.88888888888888884</v>
      </c>
      <c r="BA339" s="32">
        <f t="shared" si="155"/>
        <v>0.69444444444444442</v>
      </c>
      <c r="BB339" s="32">
        <f t="shared" si="156"/>
        <v>0.88888888888888884</v>
      </c>
      <c r="BC339" s="7">
        <f t="shared" si="157"/>
        <v>0.67592592592592593</v>
      </c>
      <c r="BD339" s="7">
        <f t="shared" si="158"/>
        <v>0.85185185185185175</v>
      </c>
      <c r="BE339">
        <f>step3_validation[[#This Row],[AI_OUT1]]</f>
        <v>9</v>
      </c>
      <c r="BF339">
        <f t="shared" si="159"/>
        <v>0.88888888888888884</v>
      </c>
      <c r="BG339">
        <f>survey_responses[[#This Row],[Sau khi xem xét các quyền lợi và nghĩa vụ, bạn có ủng hộ và tuân thủ chính sách mới hiện nay? - HUMAN-OUT1]]</f>
        <v>10</v>
      </c>
      <c r="BH339">
        <f t="shared" si="160"/>
        <v>1</v>
      </c>
      <c r="BI339" s="32">
        <f t="shared" si="161"/>
        <v>1</v>
      </c>
    </row>
    <row r="340" spans="1:61" x14ac:dyDescent="0.45">
      <c r="A340" s="30">
        <f>step3_validation[[#This Row],[Persona_ID]]</f>
        <v>339</v>
      </c>
      <c r="B340" s="31">
        <f>step3_validation[[#This Row],[Used_Seed]]</f>
        <v>339</v>
      </c>
      <c r="C340" t="str">
        <f>step3_validation[[#This Row],[Gender]]</f>
        <v>Nữ</v>
      </c>
      <c r="D340" t="str">
        <f>survey_responses[[#This Row],[Giới tính của bạn:]]</f>
        <v>Nữ</v>
      </c>
      <c r="E340" t="str">
        <f>step3_validation[[#This Row],[Age_Group]]</f>
        <v>18 - 24</v>
      </c>
      <c r="F340" t="str">
        <f>survey_responses[[#This Row],[Độ tuổi của bạn:]]</f>
        <v>18 - 24</v>
      </c>
      <c r="G340" t="str">
        <f>step3_validation[[#This Row],[Region]]</f>
        <v>Thành thị</v>
      </c>
      <c r="H340" t="str">
        <f>survey_responses[[#This Row],[Khu vực bạn đang sinh sống:]]</f>
        <v>Thành thị</v>
      </c>
      <c r="I340" t="str">
        <f>step3_validation[[#This Row],[Education]]</f>
        <v>Đại học</v>
      </c>
      <c r="J340" t="str">
        <f>survey_responses[[#This Row],[Trình độ học vấn cao nhất:]]</f>
        <v>Đại học</v>
      </c>
      <c r="K340" t="str">
        <f>step3_validation[[#This Row],[Employment]]</f>
        <v>Chính thức</v>
      </c>
      <c r="L340" t="str">
        <f>survey_responses[[#This Row],[Tình trạng việc làm chính:]]</f>
        <v>Khu vực chính thức (Có Hợp đồng lao động, đóng BHXH)</v>
      </c>
      <c r="M340">
        <f>step3_validation[[#This Row],[Income_Mil]]</f>
        <v>13.462811798582948</v>
      </c>
      <c r="N340" t="str">
        <f>survey_responses[[#This Row],[Thu nhập bình quân tháng theo Hợp đồng lao động của bạn là bao nhiêu? (Vui lòng điền tổng thu nhập trước khi khấu trừ các loại Bảo hiểm (BHXH, BHYT, BHTN) và Thuế TNCN)]]</f>
        <v>Từ 12 - 18 triệu VNĐ</v>
      </c>
      <c r="O340">
        <f>step3_validation[[#This Row],[Dependents]]</f>
        <v>0</v>
      </c>
      <c r="P340" t="str">
        <f>survey_responses[[#This Row],[Số người phụ thuộc (con nhỏ, cha mẹ già...) đủ điều kiện giảm trừ gia cảnh:]]</f>
        <v>0 người</v>
      </c>
      <c r="Q340">
        <f>step3_validation[[#This Row],[AI_ENF1]]</f>
        <v>8</v>
      </c>
      <c r="R340">
        <f t="shared" si="135"/>
        <v>0.77777777777777779</v>
      </c>
      <c r="S340">
        <f>survey_responses[[#This Row],[Tôi tin rằng với các quy định quản lý thuế hiện nay, hành vi gian lận hoặc trốn thuế sẽ dễ dàng bị phát hiện và xử lý nghiêm. - HUMAN-ENF1]]</f>
        <v>7</v>
      </c>
      <c r="T340">
        <f t="shared" si="136"/>
        <v>0.66666666666666663</v>
      </c>
      <c r="U340">
        <f>step3_validation[[#This Row],[AI_ENF2]]</f>
        <v>9</v>
      </c>
      <c r="V340">
        <f t="shared" si="137"/>
        <v>0.88888888888888884</v>
      </c>
      <c r="W340">
        <f>survey_responses[[#This Row],[Tôi tin rằng Nhà nước, cơ quan thuế có đủ khả năng và công nghệ để phát hiện, xử lý nghiêm các hành vi trốn thuế. - HUMAN-ENF2]]</f>
        <v>7</v>
      </c>
      <c r="X340">
        <f t="shared" si="138"/>
        <v>0.66666666666666663</v>
      </c>
      <c r="Y340" s="32">
        <f t="shared" si="139"/>
        <v>0.83333333333333326</v>
      </c>
      <c r="Z340" s="32">
        <f t="shared" si="140"/>
        <v>0.66666666666666663</v>
      </c>
      <c r="AA340">
        <f>step3_validation[[#This Row],[AI_FAC1]]</f>
        <v>7</v>
      </c>
      <c r="AB340">
        <f t="shared" si="141"/>
        <v>0.66666666666666663</v>
      </c>
      <c r="AC340">
        <f>survey_responses[[#This Row],[Các thủ tục khai báo thuế VÀ/HOẶC quy trình làm việc với cơ quan thuế đơn giản, tiện lợi, nhanh chóng hơn so với trước đây. - HUMAN-FAC1]]</f>
        <v>8</v>
      </c>
      <c r="AD340">
        <f t="shared" si="142"/>
        <v>0.77777777777777779</v>
      </c>
      <c r="AE340">
        <f>step3_validation[[#This Row],[AI_FAC2]]</f>
        <v>9</v>
      </c>
      <c r="AF340">
        <f t="shared" si="143"/>
        <v>0.88888888888888884</v>
      </c>
      <c r="AG340">
        <f>survey_responses[[#This Row],[So với trước đây, tôi thấy cách tính thuế và các bậc thuế trong phương án mới đơn giản, dễ hiểu và dễ thực hiện hơn. - HUMAN-FAC2]]</f>
        <v>8</v>
      </c>
      <c r="AH340">
        <f t="shared" si="144"/>
        <v>0.77777777777777779</v>
      </c>
      <c r="AI340" s="32">
        <f t="shared" si="145"/>
        <v>0.77777777777777768</v>
      </c>
      <c r="AJ340" s="32">
        <f t="shared" si="146"/>
        <v>0.77777777777777779</v>
      </c>
      <c r="AK340">
        <f>step3_validation[[#This Row],[AI_TRU1]]</f>
        <v>8</v>
      </c>
      <c r="AL340">
        <f t="shared" si="147"/>
        <v>0.77777777777777779</v>
      </c>
      <c r="AM340">
        <f>survey_responses[[#This Row],[Tôi tin rằng Nhà nước, cơ quan thuế sẽ thực thi chính sách mới một cách khách quan, công tâm và đối xử bình đẳng với mọi người nộp thuế.  - HUMAN-TRU1]]</f>
        <v>6</v>
      </c>
      <c r="AN340">
        <f t="shared" si="148"/>
        <v>0.55555555555555558</v>
      </c>
      <c r="AO340">
        <f>step3_validation[[#This Row],[AI_TRU2]]</f>
        <v>9</v>
      </c>
      <c r="AP340">
        <f t="shared" si="149"/>
        <v>0.88888888888888884</v>
      </c>
      <c r="AQ340">
        <f>survey_responses[[#This Row],[Tôi thấy mức thuế tôi phải đóng theo phương án mới là công bằng (người thu nhập như tôi đóng mức này là hợp lý). - HUMAN-TRU2]]</f>
        <v>7</v>
      </c>
      <c r="AR340">
        <f t="shared" si="150"/>
        <v>0.66666666666666663</v>
      </c>
      <c r="AS340">
        <f>step3_validation[[#This Row],[AI_TRU3]]</f>
        <v>8</v>
      </c>
      <c r="AT340">
        <f t="shared" si="151"/>
        <v>0.77777777777777779</v>
      </c>
      <c r="AU340">
        <f>survey_responses[[#This Row],[Tôi tin tưởng số tiền thuế tôi đóng sẽ được Nhà nước sử dụng hiệu quả để cải thiện dịch vụ công (y tế, đường xá...). - HUMAN-TRU3]]</f>
        <v>6</v>
      </c>
      <c r="AV340">
        <f t="shared" si="152"/>
        <v>0.55555555555555558</v>
      </c>
      <c r="AW340">
        <f>step3_validation[[#This Row],[AI_TRU4]]</f>
        <v>9</v>
      </c>
      <c r="AX340">
        <f t="shared" si="153"/>
        <v>0.88888888888888884</v>
      </c>
      <c r="AY340">
        <f>survey_responses[[#This Row],[Tôi thấy Nhà nước đã giải thích rõ ràng, minh bạch về lý do và mục tiêu của việc sửa đổi thuế lần này. - HUMAN-TRU4]]</f>
        <v>6</v>
      </c>
      <c r="AZ340">
        <f t="shared" si="154"/>
        <v>0.55555555555555558</v>
      </c>
      <c r="BA340" s="32">
        <f t="shared" si="155"/>
        <v>0.83333333333333326</v>
      </c>
      <c r="BB340" s="32">
        <f t="shared" si="156"/>
        <v>0.58333333333333337</v>
      </c>
      <c r="BC340" s="7">
        <f t="shared" si="157"/>
        <v>0.81481481481481477</v>
      </c>
      <c r="BD340" s="7">
        <f t="shared" si="158"/>
        <v>0.67592592592592593</v>
      </c>
      <c r="BE340">
        <f>step3_validation[[#This Row],[AI_OUT1]]</f>
        <v>9</v>
      </c>
      <c r="BF340">
        <f t="shared" si="159"/>
        <v>0.88888888888888884</v>
      </c>
      <c r="BG340">
        <f>survey_responses[[#This Row],[Sau khi xem xét các quyền lợi và nghĩa vụ, bạn có ủng hộ và tuân thủ chính sách mới hiện nay? - HUMAN-OUT1]]</f>
        <v>7</v>
      </c>
      <c r="BH340">
        <f t="shared" si="160"/>
        <v>0.66666666666666663</v>
      </c>
      <c r="BI340" s="32">
        <f t="shared" si="161"/>
        <v>2</v>
      </c>
    </row>
    <row r="341" spans="1:61" x14ac:dyDescent="0.45">
      <c r="A341" s="30">
        <f>step3_validation[[#This Row],[Persona_ID]]</f>
        <v>340</v>
      </c>
      <c r="B341" s="31">
        <f>step3_validation[[#This Row],[Used_Seed]]</f>
        <v>340</v>
      </c>
      <c r="C341" t="str">
        <f>step3_validation[[#This Row],[Gender]]</f>
        <v>Nam</v>
      </c>
      <c r="D341" t="str">
        <f>survey_responses[[#This Row],[Giới tính của bạn:]]</f>
        <v>Nam</v>
      </c>
      <c r="E341" t="str">
        <f>step3_validation[[#This Row],[Age_Group]]</f>
        <v>25 - 29</v>
      </c>
      <c r="F341" t="str">
        <f>survey_responses[[#This Row],[Độ tuổi của bạn:]]</f>
        <v>25 - 29</v>
      </c>
      <c r="G341" t="str">
        <f>step3_validation[[#This Row],[Region]]</f>
        <v>Thành thị</v>
      </c>
      <c r="H341" t="str">
        <f>survey_responses[[#This Row],[Khu vực bạn đang sinh sống:]]</f>
        <v>Thành thị</v>
      </c>
      <c r="I341" t="str">
        <f>step3_validation[[#This Row],[Education]]</f>
        <v>Đại học</v>
      </c>
      <c r="J341" t="str">
        <f>survey_responses[[#This Row],[Trình độ học vấn cao nhất:]]</f>
        <v>Đại học</v>
      </c>
      <c r="K341" t="str">
        <f>step3_validation[[#This Row],[Employment]]</f>
        <v>Chính thức</v>
      </c>
      <c r="L341" t="str">
        <f>survey_responses[[#This Row],[Tình trạng việc làm chính:]]</f>
        <v>Khu vực chính thức (Có Hợp đồng lao động, đóng BHXH)</v>
      </c>
      <c r="M341">
        <f>step3_validation[[#This Row],[Income_Mil]]</f>
        <v>16.141931199763956</v>
      </c>
      <c r="N341" t="str">
        <f>survey_responses[[#This Row],[Thu nhập bình quân tháng theo Hợp đồng lao động của bạn là bao nhiêu? (Vui lòng điền tổng thu nhập trước khi khấu trừ các loại Bảo hiểm (BHXH, BHYT, BHTN) và Thuế TNCN)]]</f>
        <v>Từ 12 - 18 triệu VNĐ</v>
      </c>
      <c r="O341">
        <f>step3_validation[[#This Row],[Dependents]]</f>
        <v>0</v>
      </c>
      <c r="P341" t="str">
        <f>survey_responses[[#This Row],[Số người phụ thuộc (con nhỏ, cha mẹ già...) đủ điều kiện giảm trừ gia cảnh:]]</f>
        <v>0 người</v>
      </c>
      <c r="Q341">
        <f>step3_validation[[#This Row],[AI_ENF1]]</f>
        <v>7</v>
      </c>
      <c r="R341">
        <f t="shared" si="135"/>
        <v>0.66666666666666663</v>
      </c>
      <c r="S341">
        <f>survey_responses[[#This Row],[Tôi tin rằng với các quy định quản lý thuế hiện nay, hành vi gian lận hoặc trốn thuế sẽ dễ dàng bị phát hiện và xử lý nghiêm. - HUMAN-ENF1]]</f>
        <v>7</v>
      </c>
      <c r="T341">
        <f t="shared" si="136"/>
        <v>0.66666666666666663</v>
      </c>
      <c r="U341">
        <f>step3_validation[[#This Row],[AI_ENF2]]</f>
        <v>8</v>
      </c>
      <c r="V341">
        <f t="shared" si="137"/>
        <v>0.77777777777777779</v>
      </c>
      <c r="W341">
        <f>survey_responses[[#This Row],[Tôi tin rằng Nhà nước, cơ quan thuế có đủ khả năng và công nghệ để phát hiện, xử lý nghiêm các hành vi trốn thuế. - HUMAN-ENF2]]</f>
        <v>8</v>
      </c>
      <c r="X341">
        <f t="shared" si="138"/>
        <v>0.77777777777777779</v>
      </c>
      <c r="Y341" s="32">
        <f t="shared" si="139"/>
        <v>0.72222222222222221</v>
      </c>
      <c r="Z341" s="32">
        <f t="shared" si="140"/>
        <v>0.72222222222222221</v>
      </c>
      <c r="AA341">
        <f>step3_validation[[#This Row],[AI_FAC1]]</f>
        <v>9</v>
      </c>
      <c r="AB341">
        <f t="shared" si="141"/>
        <v>0.88888888888888884</v>
      </c>
      <c r="AC341">
        <f>survey_responses[[#This Row],[Các thủ tục khai báo thuế VÀ/HOẶC quy trình làm việc với cơ quan thuế đơn giản, tiện lợi, nhanh chóng hơn so với trước đây. - HUMAN-FAC1]]</f>
        <v>8</v>
      </c>
      <c r="AD341">
        <f t="shared" si="142"/>
        <v>0.77777777777777779</v>
      </c>
      <c r="AE341">
        <f>step3_validation[[#This Row],[AI_FAC2]]</f>
        <v>10</v>
      </c>
      <c r="AF341">
        <f t="shared" si="143"/>
        <v>1</v>
      </c>
      <c r="AG341">
        <f>survey_responses[[#This Row],[So với trước đây, tôi thấy cách tính thuế và các bậc thuế trong phương án mới đơn giản, dễ hiểu và dễ thực hiện hơn. - HUMAN-FAC2]]</f>
        <v>8</v>
      </c>
      <c r="AH341">
        <f t="shared" si="144"/>
        <v>0.77777777777777779</v>
      </c>
      <c r="AI341" s="32">
        <f t="shared" si="145"/>
        <v>0.94444444444444442</v>
      </c>
      <c r="AJ341" s="32">
        <f t="shared" si="146"/>
        <v>0.77777777777777779</v>
      </c>
      <c r="AK341">
        <f>step3_validation[[#This Row],[AI_TRU1]]</f>
        <v>9</v>
      </c>
      <c r="AL341">
        <f t="shared" si="147"/>
        <v>0.88888888888888884</v>
      </c>
      <c r="AM341">
        <f>survey_responses[[#This Row],[Tôi tin rằng Nhà nước, cơ quan thuế sẽ thực thi chính sách mới một cách khách quan, công tâm và đối xử bình đẳng với mọi người nộp thuế.  - HUMAN-TRU1]]</f>
        <v>5</v>
      </c>
      <c r="AN341">
        <f t="shared" si="148"/>
        <v>0.44444444444444442</v>
      </c>
      <c r="AO341">
        <f>step3_validation[[#This Row],[AI_TRU2]]</f>
        <v>8</v>
      </c>
      <c r="AP341">
        <f t="shared" si="149"/>
        <v>0.77777777777777779</v>
      </c>
      <c r="AQ341">
        <f>survey_responses[[#This Row],[Tôi thấy mức thuế tôi phải đóng theo phương án mới là công bằng (người thu nhập như tôi đóng mức này là hợp lý). - HUMAN-TRU2]]</f>
        <v>8</v>
      </c>
      <c r="AR341">
        <f t="shared" si="150"/>
        <v>0.77777777777777779</v>
      </c>
      <c r="AS341">
        <f>step3_validation[[#This Row],[AI_TRU3]]</f>
        <v>9</v>
      </c>
      <c r="AT341">
        <f t="shared" si="151"/>
        <v>0.88888888888888884</v>
      </c>
      <c r="AU341">
        <f>survey_responses[[#This Row],[Tôi tin tưởng số tiền thuế tôi đóng sẽ được Nhà nước sử dụng hiệu quả để cải thiện dịch vụ công (y tế, đường xá...). - HUMAN-TRU3]]</f>
        <v>5</v>
      </c>
      <c r="AV341">
        <f t="shared" si="152"/>
        <v>0.44444444444444442</v>
      </c>
      <c r="AW341">
        <f>step3_validation[[#This Row],[AI_TRU4]]</f>
        <v>8</v>
      </c>
      <c r="AX341">
        <f t="shared" si="153"/>
        <v>0.77777777777777779</v>
      </c>
      <c r="AY341">
        <f>survey_responses[[#This Row],[Tôi thấy Nhà nước đã giải thích rõ ràng, minh bạch về lý do và mục tiêu của việc sửa đổi thuế lần này. - HUMAN-TRU4]]</f>
        <v>8</v>
      </c>
      <c r="AZ341">
        <f t="shared" si="154"/>
        <v>0.77777777777777779</v>
      </c>
      <c r="BA341" s="32">
        <f t="shared" si="155"/>
        <v>0.83333333333333326</v>
      </c>
      <c r="BB341" s="32">
        <f t="shared" si="156"/>
        <v>0.61111111111111116</v>
      </c>
      <c r="BC341" s="7">
        <f t="shared" si="157"/>
        <v>0.83333333333333337</v>
      </c>
      <c r="BD341" s="7">
        <f t="shared" si="158"/>
        <v>0.70370370370370372</v>
      </c>
      <c r="BE341">
        <f>step3_validation[[#This Row],[AI_OUT1]]</f>
        <v>9</v>
      </c>
      <c r="BF341">
        <f t="shared" si="159"/>
        <v>0.88888888888888884</v>
      </c>
      <c r="BG341">
        <f>survey_responses[[#This Row],[Sau khi xem xét các quyền lợi và nghĩa vụ, bạn có ủng hộ và tuân thủ chính sách mới hiện nay? - HUMAN-OUT1]]</f>
        <v>8</v>
      </c>
      <c r="BH341">
        <f t="shared" si="160"/>
        <v>0.77777777777777779</v>
      </c>
      <c r="BI341" s="32">
        <f t="shared" si="161"/>
        <v>1</v>
      </c>
    </row>
    <row r="342" spans="1:61" x14ac:dyDescent="0.45">
      <c r="A342" s="30">
        <f>step3_validation[[#This Row],[Persona_ID]]</f>
        <v>341</v>
      </c>
      <c r="B342" s="31">
        <f>step3_validation[[#This Row],[Used_Seed]]</f>
        <v>341</v>
      </c>
      <c r="C342" t="str">
        <f>step3_validation[[#This Row],[Gender]]</f>
        <v>Nữ</v>
      </c>
      <c r="D342" t="str">
        <f>survey_responses[[#This Row],[Giới tính của bạn:]]</f>
        <v>Nữ</v>
      </c>
      <c r="E342" t="str">
        <f>step3_validation[[#This Row],[Age_Group]]</f>
        <v>18 - 24</v>
      </c>
      <c r="F342" t="str">
        <f>survey_responses[[#This Row],[Độ tuổi của bạn:]]</f>
        <v>18 - 24</v>
      </c>
      <c r="G342" t="str">
        <f>step3_validation[[#This Row],[Region]]</f>
        <v>Thành thị</v>
      </c>
      <c r="H342" t="str">
        <f>survey_responses[[#This Row],[Khu vực bạn đang sinh sống:]]</f>
        <v>Thành thị</v>
      </c>
      <c r="I342" t="str">
        <f>step3_validation[[#This Row],[Education]]</f>
        <v>Đại học</v>
      </c>
      <c r="J342" t="str">
        <f>survey_responses[[#This Row],[Trình độ học vấn cao nhất:]]</f>
        <v>Đại học</v>
      </c>
      <c r="K342" t="str">
        <f>step3_validation[[#This Row],[Employment]]</f>
        <v>Chính thức</v>
      </c>
      <c r="L342" t="str">
        <f>survey_responses[[#This Row],[Tình trạng việc làm chính:]]</f>
        <v>Khu vực chính thức (Có Hợp đồng lao động, đóng BHXH)</v>
      </c>
      <c r="M342">
        <f>step3_validation[[#This Row],[Income_Mil]]</f>
        <v>12</v>
      </c>
      <c r="N342" t="str">
        <f>survey_responses[[#This Row],[Thu nhập bình quân tháng theo Hợp đồng lao động của bạn là bao nhiêu? (Vui lòng điền tổng thu nhập trước khi khấu trừ các loại Bảo hiểm (BHXH, BHYT, BHTN) và Thuế TNCN)]]</f>
        <v>Dưới 12 triệu VNĐ</v>
      </c>
      <c r="O342">
        <f>step3_validation[[#This Row],[Dependents]]</f>
        <v>0</v>
      </c>
      <c r="P342" t="str">
        <f>survey_responses[[#This Row],[Số người phụ thuộc (con nhỏ, cha mẹ già...) đủ điều kiện giảm trừ gia cảnh:]]</f>
        <v>0 người</v>
      </c>
      <c r="Q342">
        <f>step3_validation[[#This Row],[AI_ENF1]]</f>
        <v>9</v>
      </c>
      <c r="R342">
        <f t="shared" si="135"/>
        <v>0.88888888888888884</v>
      </c>
      <c r="S342">
        <f>survey_responses[[#This Row],[Tôi tin rằng với các quy định quản lý thuế hiện nay, hành vi gian lận hoặc trốn thuế sẽ dễ dàng bị phát hiện và xử lý nghiêm. - HUMAN-ENF1]]</f>
        <v>8</v>
      </c>
      <c r="T342">
        <f t="shared" si="136"/>
        <v>0.77777777777777779</v>
      </c>
      <c r="U342">
        <f>step3_validation[[#This Row],[AI_ENF2]]</f>
        <v>8</v>
      </c>
      <c r="V342">
        <f t="shared" si="137"/>
        <v>0.77777777777777779</v>
      </c>
      <c r="W342">
        <f>survey_responses[[#This Row],[Tôi tin rằng Nhà nước, cơ quan thuế có đủ khả năng và công nghệ để phát hiện, xử lý nghiêm các hành vi trốn thuế. - HUMAN-ENF2]]</f>
        <v>8</v>
      </c>
      <c r="X342">
        <f t="shared" si="138"/>
        <v>0.77777777777777779</v>
      </c>
      <c r="Y342" s="32">
        <f t="shared" si="139"/>
        <v>0.83333333333333326</v>
      </c>
      <c r="Z342" s="32">
        <f t="shared" si="140"/>
        <v>0.77777777777777779</v>
      </c>
      <c r="AA342">
        <f>step3_validation[[#This Row],[AI_FAC1]]</f>
        <v>9</v>
      </c>
      <c r="AB342">
        <f t="shared" si="141"/>
        <v>0.88888888888888884</v>
      </c>
      <c r="AC342">
        <f>survey_responses[[#This Row],[Các thủ tục khai báo thuế VÀ/HOẶC quy trình làm việc với cơ quan thuế đơn giản, tiện lợi, nhanh chóng hơn so với trước đây. - HUMAN-FAC1]]</f>
        <v>8</v>
      </c>
      <c r="AD342">
        <f t="shared" si="142"/>
        <v>0.77777777777777779</v>
      </c>
      <c r="AE342">
        <f>step3_validation[[#This Row],[AI_FAC2]]</f>
        <v>8</v>
      </c>
      <c r="AF342">
        <f t="shared" si="143"/>
        <v>0.77777777777777779</v>
      </c>
      <c r="AG342">
        <f>survey_responses[[#This Row],[So với trước đây, tôi thấy cách tính thuế và các bậc thuế trong phương án mới đơn giản, dễ hiểu và dễ thực hiện hơn. - HUMAN-FAC2]]</f>
        <v>9</v>
      </c>
      <c r="AH342">
        <f t="shared" si="144"/>
        <v>0.88888888888888884</v>
      </c>
      <c r="AI342" s="32">
        <f t="shared" si="145"/>
        <v>0.83333333333333326</v>
      </c>
      <c r="AJ342" s="32">
        <f t="shared" si="146"/>
        <v>0.83333333333333326</v>
      </c>
      <c r="AK342">
        <f>step3_validation[[#This Row],[AI_TRU1]]</f>
        <v>7</v>
      </c>
      <c r="AL342">
        <f t="shared" si="147"/>
        <v>0.66666666666666663</v>
      </c>
      <c r="AM342">
        <f>survey_responses[[#This Row],[Tôi tin rằng Nhà nước, cơ quan thuế sẽ thực thi chính sách mới một cách khách quan, công tâm và đối xử bình đẳng với mọi người nộp thuế.  - HUMAN-TRU1]]</f>
        <v>8</v>
      </c>
      <c r="AN342">
        <f t="shared" si="148"/>
        <v>0.77777777777777779</v>
      </c>
      <c r="AO342">
        <f>step3_validation[[#This Row],[AI_TRU2]]</f>
        <v>8</v>
      </c>
      <c r="AP342">
        <f t="shared" si="149"/>
        <v>0.77777777777777779</v>
      </c>
      <c r="AQ342">
        <f>survey_responses[[#This Row],[Tôi thấy mức thuế tôi phải đóng theo phương án mới là công bằng (người thu nhập như tôi đóng mức này là hợp lý). - HUMAN-TRU2]]</f>
        <v>8</v>
      </c>
      <c r="AR342">
        <f t="shared" si="150"/>
        <v>0.77777777777777779</v>
      </c>
      <c r="AS342">
        <f>step3_validation[[#This Row],[AI_TRU3]]</f>
        <v>7</v>
      </c>
      <c r="AT342">
        <f t="shared" si="151"/>
        <v>0.66666666666666663</v>
      </c>
      <c r="AU342">
        <f>survey_responses[[#This Row],[Tôi tin tưởng số tiền thuế tôi đóng sẽ được Nhà nước sử dụng hiệu quả để cải thiện dịch vụ công (y tế, đường xá...). - HUMAN-TRU3]]</f>
        <v>7</v>
      </c>
      <c r="AV342">
        <f t="shared" si="152"/>
        <v>0.66666666666666663</v>
      </c>
      <c r="AW342">
        <f>step3_validation[[#This Row],[AI_TRU4]]</f>
        <v>8</v>
      </c>
      <c r="AX342">
        <f t="shared" si="153"/>
        <v>0.77777777777777779</v>
      </c>
      <c r="AY342">
        <f>survey_responses[[#This Row],[Tôi thấy Nhà nước đã giải thích rõ ràng, minh bạch về lý do và mục tiêu của việc sửa đổi thuế lần này. - HUMAN-TRU4]]</f>
        <v>7</v>
      </c>
      <c r="AZ342">
        <f t="shared" si="154"/>
        <v>0.66666666666666663</v>
      </c>
      <c r="BA342" s="32">
        <f t="shared" si="155"/>
        <v>0.72222222222222221</v>
      </c>
      <c r="BB342" s="32">
        <f t="shared" si="156"/>
        <v>0.72222222222222221</v>
      </c>
      <c r="BC342" s="7">
        <f t="shared" si="157"/>
        <v>0.79629629629629628</v>
      </c>
      <c r="BD342" s="7">
        <f t="shared" si="158"/>
        <v>0.77777777777777779</v>
      </c>
      <c r="BE342">
        <f>step3_validation[[#This Row],[AI_OUT1]]</f>
        <v>9</v>
      </c>
      <c r="BF342">
        <f t="shared" si="159"/>
        <v>0.88888888888888884</v>
      </c>
      <c r="BG342">
        <f>survey_responses[[#This Row],[Sau khi xem xét các quyền lợi và nghĩa vụ, bạn có ủng hộ và tuân thủ chính sách mới hiện nay? - HUMAN-OUT1]]</f>
        <v>8</v>
      </c>
      <c r="BH342">
        <f t="shared" si="160"/>
        <v>0.77777777777777779</v>
      </c>
      <c r="BI342" s="32">
        <f t="shared" si="161"/>
        <v>1</v>
      </c>
    </row>
    <row r="343" spans="1:61" x14ac:dyDescent="0.45">
      <c r="A343" s="30">
        <f>step3_validation[[#This Row],[Persona_ID]]</f>
        <v>342</v>
      </c>
      <c r="B343" s="31">
        <f>step3_validation[[#This Row],[Used_Seed]]</f>
        <v>342</v>
      </c>
      <c r="C343" t="str">
        <f>step3_validation[[#This Row],[Gender]]</f>
        <v>Nam</v>
      </c>
      <c r="D343" t="str">
        <f>survey_responses[[#This Row],[Giới tính của bạn:]]</f>
        <v>Nam</v>
      </c>
      <c r="E343" t="str">
        <f>step3_validation[[#This Row],[Age_Group]]</f>
        <v>18 - 24</v>
      </c>
      <c r="F343" t="str">
        <f>survey_responses[[#This Row],[Độ tuổi của bạn:]]</f>
        <v>18 - 24</v>
      </c>
      <c r="G343" t="str">
        <f>step3_validation[[#This Row],[Region]]</f>
        <v>Thành thị</v>
      </c>
      <c r="H343" t="str">
        <f>survey_responses[[#This Row],[Khu vực bạn đang sinh sống:]]</f>
        <v>Thành thị</v>
      </c>
      <c r="I343" t="str">
        <f>step3_validation[[#This Row],[Education]]</f>
        <v>Đại học</v>
      </c>
      <c r="J343" t="str">
        <f>survey_responses[[#This Row],[Trình độ học vấn cao nhất:]]</f>
        <v>Đại học</v>
      </c>
      <c r="K343" t="str">
        <f>step3_validation[[#This Row],[Employment]]</f>
        <v>Chính thức</v>
      </c>
      <c r="L343" t="str">
        <f>survey_responses[[#This Row],[Tình trạng việc làm chính:]]</f>
        <v>Khu vực chính thức (Có Hợp đồng lao động, đóng BHXH)</v>
      </c>
      <c r="M343">
        <f>step3_validation[[#This Row],[Income_Mil]]</f>
        <v>12</v>
      </c>
      <c r="N343" t="str">
        <f>survey_responses[[#This Row],[Thu nhập bình quân tháng theo Hợp đồng lao động của bạn là bao nhiêu? (Vui lòng điền tổng thu nhập trước khi khấu trừ các loại Bảo hiểm (BHXH, BHYT, BHTN) và Thuế TNCN)]]</f>
        <v>Dưới 12 triệu VNĐ</v>
      </c>
      <c r="O343">
        <f>step3_validation[[#This Row],[Dependents]]</f>
        <v>0</v>
      </c>
      <c r="P343" t="str">
        <f>survey_responses[[#This Row],[Số người phụ thuộc (con nhỏ, cha mẹ già...) đủ điều kiện giảm trừ gia cảnh:]]</f>
        <v>0 người</v>
      </c>
      <c r="Q343">
        <f>step3_validation[[#This Row],[AI_ENF1]]</f>
        <v>7</v>
      </c>
      <c r="R343">
        <f t="shared" si="135"/>
        <v>0.66666666666666663</v>
      </c>
      <c r="S343">
        <f>survey_responses[[#This Row],[Tôi tin rằng với các quy định quản lý thuế hiện nay, hành vi gian lận hoặc trốn thuế sẽ dễ dàng bị phát hiện và xử lý nghiêm. - HUMAN-ENF1]]</f>
        <v>5</v>
      </c>
      <c r="T343">
        <f t="shared" si="136"/>
        <v>0.44444444444444442</v>
      </c>
      <c r="U343">
        <f>step3_validation[[#This Row],[AI_ENF2]]</f>
        <v>8</v>
      </c>
      <c r="V343">
        <f t="shared" si="137"/>
        <v>0.77777777777777779</v>
      </c>
      <c r="W343">
        <f>survey_responses[[#This Row],[Tôi tin rằng Nhà nước, cơ quan thuế có đủ khả năng và công nghệ để phát hiện, xử lý nghiêm các hành vi trốn thuế. - HUMAN-ENF2]]</f>
        <v>5</v>
      </c>
      <c r="X343">
        <f t="shared" si="138"/>
        <v>0.44444444444444442</v>
      </c>
      <c r="Y343" s="32">
        <f t="shared" si="139"/>
        <v>0.72222222222222221</v>
      </c>
      <c r="Z343" s="32">
        <f t="shared" si="140"/>
        <v>0.44444444444444442</v>
      </c>
      <c r="AA343">
        <f>step3_validation[[#This Row],[AI_FAC1]]</f>
        <v>6</v>
      </c>
      <c r="AB343">
        <f t="shared" si="141"/>
        <v>0.55555555555555558</v>
      </c>
      <c r="AC343">
        <f>survey_responses[[#This Row],[Các thủ tục khai báo thuế VÀ/HOẶC quy trình làm việc với cơ quan thuế đơn giản, tiện lợi, nhanh chóng hơn so với trước đây. - HUMAN-FAC1]]</f>
        <v>6</v>
      </c>
      <c r="AD343">
        <f t="shared" si="142"/>
        <v>0.55555555555555558</v>
      </c>
      <c r="AE343">
        <f>step3_validation[[#This Row],[AI_FAC2]]</f>
        <v>9</v>
      </c>
      <c r="AF343">
        <f t="shared" si="143"/>
        <v>0.88888888888888884</v>
      </c>
      <c r="AG343">
        <f>survey_responses[[#This Row],[So với trước đây, tôi thấy cách tính thuế và các bậc thuế trong phương án mới đơn giản, dễ hiểu và dễ thực hiện hơn. - HUMAN-FAC2]]</f>
        <v>7</v>
      </c>
      <c r="AH343">
        <f t="shared" si="144"/>
        <v>0.66666666666666663</v>
      </c>
      <c r="AI343" s="32">
        <f t="shared" si="145"/>
        <v>0.72222222222222221</v>
      </c>
      <c r="AJ343" s="32">
        <f t="shared" si="146"/>
        <v>0.61111111111111116</v>
      </c>
      <c r="AK343">
        <f>step3_validation[[#This Row],[AI_TRU1]]</f>
        <v>7</v>
      </c>
      <c r="AL343">
        <f t="shared" si="147"/>
        <v>0.66666666666666663</v>
      </c>
      <c r="AM343">
        <f>survey_responses[[#This Row],[Tôi tin rằng Nhà nước, cơ quan thuế sẽ thực thi chính sách mới một cách khách quan, công tâm và đối xử bình đẳng với mọi người nộp thuế.  - HUMAN-TRU1]]</f>
        <v>5</v>
      </c>
      <c r="AN343">
        <f t="shared" si="148"/>
        <v>0.44444444444444442</v>
      </c>
      <c r="AO343">
        <f>step3_validation[[#This Row],[AI_TRU2]]</f>
        <v>8</v>
      </c>
      <c r="AP343">
        <f t="shared" si="149"/>
        <v>0.77777777777777779</v>
      </c>
      <c r="AQ343">
        <f>survey_responses[[#This Row],[Tôi thấy mức thuế tôi phải đóng theo phương án mới là công bằng (người thu nhập như tôi đóng mức này là hợp lý). - HUMAN-TRU2]]</f>
        <v>8</v>
      </c>
      <c r="AR343">
        <f t="shared" si="150"/>
        <v>0.77777777777777779</v>
      </c>
      <c r="AS343">
        <f>step3_validation[[#This Row],[AI_TRU3]]</f>
        <v>7</v>
      </c>
      <c r="AT343">
        <f t="shared" si="151"/>
        <v>0.66666666666666663</v>
      </c>
      <c r="AU343">
        <f>survey_responses[[#This Row],[Tôi tin tưởng số tiền thuế tôi đóng sẽ được Nhà nước sử dụng hiệu quả để cải thiện dịch vụ công (y tế, đường xá...). - HUMAN-TRU3]]</f>
        <v>6</v>
      </c>
      <c r="AV343">
        <f t="shared" si="152"/>
        <v>0.55555555555555558</v>
      </c>
      <c r="AW343">
        <f>step3_validation[[#This Row],[AI_TRU4]]</f>
        <v>8</v>
      </c>
      <c r="AX343">
        <f t="shared" si="153"/>
        <v>0.77777777777777779</v>
      </c>
      <c r="AY343">
        <f>survey_responses[[#This Row],[Tôi thấy Nhà nước đã giải thích rõ ràng, minh bạch về lý do và mục tiêu của việc sửa đổi thuế lần này. - HUMAN-TRU4]]</f>
        <v>6</v>
      </c>
      <c r="AZ343">
        <f t="shared" si="154"/>
        <v>0.55555555555555558</v>
      </c>
      <c r="BA343" s="32">
        <f t="shared" si="155"/>
        <v>0.72222222222222221</v>
      </c>
      <c r="BB343" s="32">
        <f t="shared" si="156"/>
        <v>0.58333333333333337</v>
      </c>
      <c r="BC343" s="7">
        <f t="shared" si="157"/>
        <v>0.72222222222222221</v>
      </c>
      <c r="BD343" s="7">
        <f t="shared" si="158"/>
        <v>0.54629629629629628</v>
      </c>
      <c r="BE343">
        <f>step3_validation[[#This Row],[AI_OUT1]]</f>
        <v>9</v>
      </c>
      <c r="BF343">
        <f t="shared" si="159"/>
        <v>0.88888888888888884</v>
      </c>
      <c r="BG343">
        <f>survey_responses[[#This Row],[Sau khi xem xét các quyền lợi và nghĩa vụ, bạn có ủng hộ và tuân thủ chính sách mới hiện nay? - HUMAN-OUT1]]</f>
        <v>7</v>
      </c>
      <c r="BH343">
        <f t="shared" si="160"/>
        <v>0.66666666666666663</v>
      </c>
      <c r="BI343" s="32">
        <f t="shared" si="161"/>
        <v>2</v>
      </c>
    </row>
    <row r="344" spans="1:61" x14ac:dyDescent="0.45">
      <c r="A344" s="30">
        <f>step3_validation[[#This Row],[Persona_ID]]</f>
        <v>343</v>
      </c>
      <c r="B344" s="31">
        <f>step3_validation[[#This Row],[Used_Seed]]</f>
        <v>343</v>
      </c>
      <c r="C344" t="str">
        <f>step3_validation[[#This Row],[Gender]]</f>
        <v>Nam</v>
      </c>
      <c r="D344" t="str">
        <f>survey_responses[[#This Row],[Giới tính của bạn:]]</f>
        <v>Nam</v>
      </c>
      <c r="E344" t="str">
        <f>step3_validation[[#This Row],[Age_Group]]</f>
        <v>25 - 29</v>
      </c>
      <c r="F344" t="str">
        <f>survey_responses[[#This Row],[Độ tuổi của bạn:]]</f>
        <v>25 - 29</v>
      </c>
      <c r="G344" t="str">
        <f>step3_validation[[#This Row],[Region]]</f>
        <v>Thành thị</v>
      </c>
      <c r="H344" t="str">
        <f>survey_responses[[#This Row],[Khu vực bạn đang sinh sống:]]</f>
        <v>Thành thị</v>
      </c>
      <c r="I344" t="str">
        <f>step3_validation[[#This Row],[Education]]</f>
        <v>Đại học</v>
      </c>
      <c r="J344" t="str">
        <f>survey_responses[[#This Row],[Trình độ học vấn cao nhất:]]</f>
        <v>Đại học</v>
      </c>
      <c r="K344" t="str">
        <f>step3_validation[[#This Row],[Employment]]</f>
        <v>Chính thức</v>
      </c>
      <c r="L344" t="str">
        <f>survey_responses[[#This Row],[Tình trạng việc làm chính:]]</f>
        <v>Khu vực chính thức (Có Hợp đồng lao động, đóng BHXH)</v>
      </c>
      <c r="M344">
        <f>step3_validation[[#This Row],[Income_Mil]]</f>
        <v>15.935346764068866</v>
      </c>
      <c r="N344" t="str">
        <f>survey_responses[[#This Row],[Thu nhập bình quân tháng theo Hợp đồng lao động của bạn là bao nhiêu? (Vui lòng điền tổng thu nhập trước khi khấu trừ các loại Bảo hiểm (BHXH, BHYT, BHTN) và Thuế TNCN)]]</f>
        <v>Từ 12 - 18 triệu VNĐ</v>
      </c>
      <c r="O344">
        <f>step3_validation[[#This Row],[Dependents]]</f>
        <v>0</v>
      </c>
      <c r="P344" t="str">
        <f>survey_responses[[#This Row],[Số người phụ thuộc (con nhỏ, cha mẹ già...) đủ điều kiện giảm trừ gia cảnh:]]</f>
        <v>0 người</v>
      </c>
      <c r="Q344">
        <f>step3_validation[[#This Row],[AI_ENF1]]</f>
        <v>6</v>
      </c>
      <c r="R344">
        <f t="shared" si="135"/>
        <v>0.55555555555555558</v>
      </c>
      <c r="S344">
        <f>survey_responses[[#This Row],[Tôi tin rằng với các quy định quản lý thuế hiện nay, hành vi gian lận hoặc trốn thuế sẽ dễ dàng bị phát hiện và xử lý nghiêm. - HUMAN-ENF1]]</f>
        <v>7</v>
      </c>
      <c r="T344">
        <f t="shared" si="136"/>
        <v>0.66666666666666663</v>
      </c>
      <c r="U344">
        <f>step3_validation[[#This Row],[AI_ENF2]]</f>
        <v>7</v>
      </c>
      <c r="V344">
        <f t="shared" si="137"/>
        <v>0.66666666666666663</v>
      </c>
      <c r="W344">
        <f>survey_responses[[#This Row],[Tôi tin rằng Nhà nước, cơ quan thuế có đủ khả năng và công nghệ để phát hiện, xử lý nghiêm các hành vi trốn thuế. - HUMAN-ENF2]]</f>
        <v>7</v>
      </c>
      <c r="X344">
        <f t="shared" si="138"/>
        <v>0.66666666666666663</v>
      </c>
      <c r="Y344" s="32">
        <f t="shared" si="139"/>
        <v>0.61111111111111116</v>
      </c>
      <c r="Z344" s="32">
        <f t="shared" si="140"/>
        <v>0.66666666666666663</v>
      </c>
      <c r="AA344">
        <f>step3_validation[[#This Row],[AI_FAC1]]</f>
        <v>9</v>
      </c>
      <c r="AB344">
        <f t="shared" si="141"/>
        <v>0.88888888888888884</v>
      </c>
      <c r="AC344">
        <f>survey_responses[[#This Row],[Các thủ tục khai báo thuế VÀ/HOẶC quy trình làm việc với cơ quan thuế đơn giản, tiện lợi, nhanh chóng hơn so với trước đây. - HUMAN-FAC1]]</f>
        <v>8</v>
      </c>
      <c r="AD344">
        <f t="shared" si="142"/>
        <v>0.77777777777777779</v>
      </c>
      <c r="AE344">
        <f>step3_validation[[#This Row],[AI_FAC2]]</f>
        <v>10</v>
      </c>
      <c r="AF344">
        <f t="shared" si="143"/>
        <v>1</v>
      </c>
      <c r="AG344">
        <f>survey_responses[[#This Row],[So với trước đây, tôi thấy cách tính thuế và các bậc thuế trong phương án mới đơn giản, dễ hiểu và dễ thực hiện hơn. - HUMAN-FAC2]]</f>
        <v>7</v>
      </c>
      <c r="AH344">
        <f t="shared" si="144"/>
        <v>0.66666666666666663</v>
      </c>
      <c r="AI344" s="32">
        <f t="shared" si="145"/>
        <v>0.94444444444444442</v>
      </c>
      <c r="AJ344" s="32">
        <f t="shared" si="146"/>
        <v>0.72222222222222221</v>
      </c>
      <c r="AK344">
        <f>step3_validation[[#This Row],[AI_TRU1]]</f>
        <v>8</v>
      </c>
      <c r="AL344">
        <f t="shared" si="147"/>
        <v>0.77777777777777779</v>
      </c>
      <c r="AM344">
        <f>survey_responses[[#This Row],[Tôi tin rằng Nhà nước, cơ quan thuế sẽ thực thi chính sách mới một cách khách quan, công tâm và đối xử bình đẳng với mọi người nộp thuế.  - HUMAN-TRU1]]</f>
        <v>8</v>
      </c>
      <c r="AN344">
        <f t="shared" si="148"/>
        <v>0.77777777777777779</v>
      </c>
      <c r="AO344">
        <f>step3_validation[[#This Row],[AI_TRU2]]</f>
        <v>9</v>
      </c>
      <c r="AP344">
        <f t="shared" si="149"/>
        <v>0.88888888888888884</v>
      </c>
      <c r="AQ344">
        <f>survey_responses[[#This Row],[Tôi thấy mức thuế tôi phải đóng theo phương án mới là công bằng (người thu nhập như tôi đóng mức này là hợp lý). - HUMAN-TRU2]]</f>
        <v>8</v>
      </c>
      <c r="AR344">
        <f t="shared" si="150"/>
        <v>0.77777777777777779</v>
      </c>
      <c r="AS344">
        <f>step3_validation[[#This Row],[AI_TRU3]]</f>
        <v>8</v>
      </c>
      <c r="AT344">
        <f t="shared" si="151"/>
        <v>0.77777777777777779</v>
      </c>
      <c r="AU344">
        <f>survey_responses[[#This Row],[Tôi tin tưởng số tiền thuế tôi đóng sẽ được Nhà nước sử dụng hiệu quả để cải thiện dịch vụ công (y tế, đường xá...). - HUMAN-TRU3]]</f>
        <v>8</v>
      </c>
      <c r="AV344">
        <f t="shared" si="152"/>
        <v>0.77777777777777779</v>
      </c>
      <c r="AW344">
        <f>step3_validation[[#This Row],[AI_TRU4]]</f>
        <v>9</v>
      </c>
      <c r="AX344">
        <f t="shared" si="153"/>
        <v>0.88888888888888884</v>
      </c>
      <c r="AY344">
        <f>survey_responses[[#This Row],[Tôi thấy Nhà nước đã giải thích rõ ràng, minh bạch về lý do và mục tiêu của việc sửa đổi thuế lần này. - HUMAN-TRU4]]</f>
        <v>7</v>
      </c>
      <c r="AZ344">
        <f t="shared" si="154"/>
        <v>0.66666666666666663</v>
      </c>
      <c r="BA344" s="32">
        <f t="shared" si="155"/>
        <v>0.83333333333333326</v>
      </c>
      <c r="BB344" s="32">
        <f t="shared" si="156"/>
        <v>0.75</v>
      </c>
      <c r="BC344" s="7">
        <f t="shared" si="157"/>
        <v>0.79629629629629628</v>
      </c>
      <c r="BD344" s="7">
        <f t="shared" si="158"/>
        <v>0.71296296296296291</v>
      </c>
      <c r="BE344">
        <f>step3_validation[[#This Row],[AI_OUT1]]</f>
        <v>10</v>
      </c>
      <c r="BF344">
        <f t="shared" si="159"/>
        <v>1</v>
      </c>
      <c r="BG344">
        <f>survey_responses[[#This Row],[Sau khi xem xét các quyền lợi và nghĩa vụ, bạn có ủng hộ và tuân thủ chính sách mới hiện nay? - HUMAN-OUT1]]</f>
        <v>8</v>
      </c>
      <c r="BH344">
        <f t="shared" si="160"/>
        <v>0.77777777777777779</v>
      </c>
      <c r="BI344" s="32">
        <f t="shared" si="161"/>
        <v>2</v>
      </c>
    </row>
    <row r="345" spans="1:61" x14ac:dyDescent="0.45">
      <c r="A345" s="30">
        <f>step3_validation[[#This Row],[Persona_ID]]</f>
        <v>344</v>
      </c>
      <c r="B345" s="31">
        <f>step3_validation[[#This Row],[Used_Seed]]</f>
        <v>344</v>
      </c>
      <c r="C345" t="str">
        <f>step3_validation[[#This Row],[Gender]]</f>
        <v>Nam</v>
      </c>
      <c r="D345" t="str">
        <f>survey_responses[[#This Row],[Giới tính của bạn:]]</f>
        <v>Nam</v>
      </c>
      <c r="E345" t="str">
        <f>step3_validation[[#This Row],[Age_Group]]</f>
        <v>30 - 39</v>
      </c>
      <c r="F345" t="str">
        <f>survey_responses[[#This Row],[Độ tuổi của bạn:]]</f>
        <v>30 - 39</v>
      </c>
      <c r="G345" t="str">
        <f>step3_validation[[#This Row],[Region]]</f>
        <v>Thành thị</v>
      </c>
      <c r="H345" t="str">
        <f>survey_responses[[#This Row],[Khu vực bạn đang sinh sống:]]</f>
        <v>Thành thị</v>
      </c>
      <c r="I345" t="str">
        <f>step3_validation[[#This Row],[Education]]</f>
        <v>Sau Đại học</v>
      </c>
      <c r="J345" t="str">
        <f>survey_responses[[#This Row],[Trình độ học vấn cao nhất:]]</f>
        <v>Sau Đại học</v>
      </c>
      <c r="K345" t="str">
        <f>step3_validation[[#This Row],[Employment]]</f>
        <v>Chính thức</v>
      </c>
      <c r="L345" t="str">
        <f>survey_responses[[#This Row],[Tình trạng việc làm chính:]]</f>
        <v>Khu vực chính thức (Có Hợp đồng lao động, đóng BHXH)</v>
      </c>
      <c r="M345">
        <f>step3_validation[[#This Row],[Income_Mil]]</f>
        <v>62.675274093811289</v>
      </c>
      <c r="N345" t="str">
        <f>survey_responses[[#This Row],[Thu nhập bình quân tháng theo Hợp đồng lao động của bạn là bao nhiêu? (Vui lòng điền tổng thu nhập trước khi khấu trừ các loại Bảo hiểm (BHXH, BHYT, BHTN) và Thuế TNCN)]]</f>
        <v>Từ 48 - 70 triệu VNĐ</v>
      </c>
      <c r="O345">
        <f>step3_validation[[#This Row],[Dependents]]</f>
        <v>2</v>
      </c>
      <c r="P345" t="str">
        <f>survey_responses[[#This Row],[Số người phụ thuộc (con nhỏ, cha mẹ già...) đủ điều kiện giảm trừ gia cảnh:]]</f>
        <v>2 người</v>
      </c>
      <c r="Q345">
        <f>step3_validation[[#This Row],[AI_ENF1]]</f>
        <v>8</v>
      </c>
      <c r="R345">
        <f t="shared" si="135"/>
        <v>0.77777777777777779</v>
      </c>
      <c r="S345">
        <f>survey_responses[[#This Row],[Tôi tin rằng với các quy định quản lý thuế hiện nay, hành vi gian lận hoặc trốn thuế sẽ dễ dàng bị phát hiện và xử lý nghiêm. - HUMAN-ENF1]]</f>
        <v>7</v>
      </c>
      <c r="T345">
        <f t="shared" si="136"/>
        <v>0.66666666666666663</v>
      </c>
      <c r="U345">
        <f>step3_validation[[#This Row],[AI_ENF2]]</f>
        <v>7</v>
      </c>
      <c r="V345">
        <f t="shared" si="137"/>
        <v>0.66666666666666663</v>
      </c>
      <c r="W345">
        <f>survey_responses[[#This Row],[Tôi tin rằng Nhà nước, cơ quan thuế có đủ khả năng và công nghệ để phát hiện, xử lý nghiêm các hành vi trốn thuế. - HUMAN-ENF2]]</f>
        <v>7</v>
      </c>
      <c r="X345">
        <f t="shared" si="138"/>
        <v>0.66666666666666663</v>
      </c>
      <c r="Y345" s="32">
        <f t="shared" si="139"/>
        <v>0.72222222222222221</v>
      </c>
      <c r="Z345" s="32">
        <f t="shared" si="140"/>
        <v>0.66666666666666663</v>
      </c>
      <c r="AA345">
        <f>step3_validation[[#This Row],[AI_FAC1]]</f>
        <v>9</v>
      </c>
      <c r="AB345">
        <f t="shared" si="141"/>
        <v>0.88888888888888884</v>
      </c>
      <c r="AC345">
        <f>survey_responses[[#This Row],[Các thủ tục khai báo thuế VÀ/HOẶC quy trình làm việc với cơ quan thuế đơn giản, tiện lợi, nhanh chóng hơn so với trước đây. - HUMAN-FAC1]]</f>
        <v>5</v>
      </c>
      <c r="AD345">
        <f t="shared" si="142"/>
        <v>0.44444444444444442</v>
      </c>
      <c r="AE345">
        <f>step3_validation[[#This Row],[AI_FAC2]]</f>
        <v>9</v>
      </c>
      <c r="AF345">
        <f t="shared" si="143"/>
        <v>0.88888888888888884</v>
      </c>
      <c r="AG345">
        <f>survey_responses[[#This Row],[So với trước đây, tôi thấy cách tính thuế và các bậc thuế trong phương án mới đơn giản, dễ hiểu và dễ thực hiện hơn. - HUMAN-FAC2]]</f>
        <v>8</v>
      </c>
      <c r="AH345">
        <f t="shared" si="144"/>
        <v>0.77777777777777779</v>
      </c>
      <c r="AI345" s="32">
        <f t="shared" si="145"/>
        <v>0.88888888888888884</v>
      </c>
      <c r="AJ345" s="32">
        <f t="shared" si="146"/>
        <v>0.61111111111111116</v>
      </c>
      <c r="AK345">
        <f>step3_validation[[#This Row],[AI_TRU1]]</f>
        <v>7</v>
      </c>
      <c r="AL345">
        <f t="shared" si="147"/>
        <v>0.66666666666666663</v>
      </c>
      <c r="AM345">
        <f>survey_responses[[#This Row],[Tôi tin rằng Nhà nước, cơ quan thuế sẽ thực thi chính sách mới một cách khách quan, công tâm và đối xử bình đẳng với mọi người nộp thuế.  - HUMAN-TRU1]]</f>
        <v>6</v>
      </c>
      <c r="AN345">
        <f t="shared" si="148"/>
        <v>0.55555555555555558</v>
      </c>
      <c r="AO345">
        <f>step3_validation[[#This Row],[AI_TRU2]]</f>
        <v>9</v>
      </c>
      <c r="AP345">
        <f t="shared" si="149"/>
        <v>0.88888888888888884</v>
      </c>
      <c r="AQ345">
        <f>survey_responses[[#This Row],[Tôi thấy mức thuế tôi phải đóng theo phương án mới là công bằng (người thu nhập như tôi đóng mức này là hợp lý). - HUMAN-TRU2]]</f>
        <v>5</v>
      </c>
      <c r="AR345">
        <f t="shared" si="150"/>
        <v>0.44444444444444442</v>
      </c>
      <c r="AS345">
        <f>step3_validation[[#This Row],[AI_TRU3]]</f>
        <v>8</v>
      </c>
      <c r="AT345">
        <f t="shared" si="151"/>
        <v>0.77777777777777779</v>
      </c>
      <c r="AU345">
        <f>survey_responses[[#This Row],[Tôi tin tưởng số tiền thuế tôi đóng sẽ được Nhà nước sử dụng hiệu quả để cải thiện dịch vụ công (y tế, đường xá...). - HUMAN-TRU3]]</f>
        <v>5</v>
      </c>
      <c r="AV345">
        <f t="shared" si="152"/>
        <v>0.44444444444444442</v>
      </c>
      <c r="AW345">
        <f>step3_validation[[#This Row],[AI_TRU4]]</f>
        <v>7</v>
      </c>
      <c r="AX345">
        <f t="shared" si="153"/>
        <v>0.66666666666666663</v>
      </c>
      <c r="AY345">
        <f>survey_responses[[#This Row],[Tôi thấy Nhà nước đã giải thích rõ ràng, minh bạch về lý do và mục tiêu của việc sửa đổi thuế lần này. - HUMAN-TRU4]]</f>
        <v>6</v>
      </c>
      <c r="AZ345">
        <f t="shared" si="154"/>
        <v>0.55555555555555558</v>
      </c>
      <c r="BA345" s="32">
        <f t="shared" si="155"/>
        <v>0.74999999999999989</v>
      </c>
      <c r="BB345" s="32">
        <f t="shared" si="156"/>
        <v>0.5</v>
      </c>
      <c r="BC345" s="7">
        <f t="shared" si="157"/>
        <v>0.78703703703703709</v>
      </c>
      <c r="BD345" s="7">
        <f t="shared" si="158"/>
        <v>0.59259259259259256</v>
      </c>
      <c r="BE345">
        <f>step3_validation[[#This Row],[AI_OUT1]]</f>
        <v>9</v>
      </c>
      <c r="BF345">
        <f t="shared" si="159"/>
        <v>0.88888888888888884</v>
      </c>
      <c r="BG345">
        <f>survey_responses[[#This Row],[Sau khi xem xét các quyền lợi và nghĩa vụ, bạn có ủng hộ và tuân thủ chính sách mới hiện nay? - HUMAN-OUT1]]</f>
        <v>5</v>
      </c>
      <c r="BH345">
        <f t="shared" si="160"/>
        <v>0.44444444444444442</v>
      </c>
      <c r="BI345" s="32">
        <f t="shared" si="161"/>
        <v>4</v>
      </c>
    </row>
    <row r="346" spans="1:61" x14ac:dyDescent="0.45">
      <c r="A346" s="30">
        <f>step3_validation[[#This Row],[Persona_ID]]</f>
        <v>345</v>
      </c>
      <c r="B346" s="31">
        <f>step3_validation[[#This Row],[Used_Seed]]</f>
        <v>345</v>
      </c>
      <c r="C346" t="str">
        <f>step3_validation[[#This Row],[Gender]]</f>
        <v>Nữ</v>
      </c>
      <c r="D346" t="str">
        <f>survey_responses[[#This Row],[Giới tính của bạn:]]</f>
        <v>Nữ</v>
      </c>
      <c r="E346" t="str">
        <f>step3_validation[[#This Row],[Age_Group]]</f>
        <v>25 - 29</v>
      </c>
      <c r="F346" t="str">
        <f>survey_responses[[#This Row],[Độ tuổi của bạn:]]</f>
        <v>25 - 29</v>
      </c>
      <c r="G346" t="str">
        <f>step3_validation[[#This Row],[Region]]</f>
        <v>Thành thị</v>
      </c>
      <c r="H346" t="str">
        <f>survey_responses[[#This Row],[Khu vực bạn đang sinh sống:]]</f>
        <v>Thành thị</v>
      </c>
      <c r="I346" t="str">
        <f>step3_validation[[#This Row],[Education]]</f>
        <v>Đại học</v>
      </c>
      <c r="J346" t="str">
        <f>survey_responses[[#This Row],[Trình độ học vấn cao nhất:]]</f>
        <v>Đại học</v>
      </c>
      <c r="K346" t="str">
        <f>step3_validation[[#This Row],[Employment]]</f>
        <v>Chính thức</v>
      </c>
      <c r="L346" t="str">
        <f>survey_responses[[#This Row],[Tình trạng việc làm chính:]]</f>
        <v>Khu vực chính thức (Có Hợp đồng lao động, đóng BHXH)</v>
      </c>
      <c r="M346">
        <f>step3_validation[[#This Row],[Income_Mil]]</f>
        <v>15.243973711850904</v>
      </c>
      <c r="N346" t="str">
        <f>survey_responses[[#This Row],[Thu nhập bình quân tháng theo Hợp đồng lao động của bạn là bao nhiêu? (Vui lòng điền tổng thu nhập trước khi khấu trừ các loại Bảo hiểm (BHXH, BHYT, BHTN) và Thuế TNCN)]]</f>
        <v>Từ 12 - 18 triệu VNĐ</v>
      </c>
      <c r="O346">
        <f>step3_validation[[#This Row],[Dependents]]</f>
        <v>0</v>
      </c>
      <c r="P346" t="str">
        <f>survey_responses[[#This Row],[Số người phụ thuộc (con nhỏ, cha mẹ già...) đủ điều kiện giảm trừ gia cảnh:]]</f>
        <v>0 người</v>
      </c>
      <c r="Q346">
        <f>step3_validation[[#This Row],[AI_ENF1]]</f>
        <v>7</v>
      </c>
      <c r="R346">
        <f t="shared" si="135"/>
        <v>0.66666666666666663</v>
      </c>
      <c r="S346">
        <f>survey_responses[[#This Row],[Tôi tin rằng với các quy định quản lý thuế hiện nay, hành vi gian lận hoặc trốn thuế sẽ dễ dàng bị phát hiện và xử lý nghiêm. - HUMAN-ENF1]]</f>
        <v>7</v>
      </c>
      <c r="T346">
        <f t="shared" si="136"/>
        <v>0.66666666666666663</v>
      </c>
      <c r="U346">
        <f>step3_validation[[#This Row],[AI_ENF2]]</f>
        <v>6</v>
      </c>
      <c r="V346">
        <f t="shared" si="137"/>
        <v>0.55555555555555558</v>
      </c>
      <c r="W346">
        <f>survey_responses[[#This Row],[Tôi tin rằng Nhà nước, cơ quan thuế có đủ khả năng và công nghệ để phát hiện, xử lý nghiêm các hành vi trốn thuế. - HUMAN-ENF2]]</f>
        <v>7</v>
      </c>
      <c r="X346">
        <f t="shared" si="138"/>
        <v>0.66666666666666663</v>
      </c>
      <c r="Y346" s="32">
        <f t="shared" si="139"/>
        <v>0.61111111111111116</v>
      </c>
      <c r="Z346" s="32">
        <f t="shared" si="140"/>
        <v>0.66666666666666663</v>
      </c>
      <c r="AA346">
        <f>step3_validation[[#This Row],[AI_FAC1]]</f>
        <v>9</v>
      </c>
      <c r="AB346">
        <f t="shared" si="141"/>
        <v>0.88888888888888884</v>
      </c>
      <c r="AC346">
        <f>survey_responses[[#This Row],[Các thủ tục khai báo thuế VÀ/HOẶC quy trình làm việc với cơ quan thuế đơn giản, tiện lợi, nhanh chóng hơn so với trước đây. - HUMAN-FAC1]]</f>
        <v>5</v>
      </c>
      <c r="AD346">
        <f t="shared" si="142"/>
        <v>0.44444444444444442</v>
      </c>
      <c r="AE346">
        <f>step3_validation[[#This Row],[AI_FAC2]]</f>
        <v>8</v>
      </c>
      <c r="AF346">
        <f t="shared" si="143"/>
        <v>0.77777777777777779</v>
      </c>
      <c r="AG346">
        <f>survey_responses[[#This Row],[So với trước đây, tôi thấy cách tính thuế và các bậc thuế trong phương án mới đơn giản, dễ hiểu và dễ thực hiện hơn. - HUMAN-FAC2]]</f>
        <v>8</v>
      </c>
      <c r="AH346">
        <f t="shared" si="144"/>
        <v>0.77777777777777779</v>
      </c>
      <c r="AI346" s="32">
        <f t="shared" si="145"/>
        <v>0.83333333333333326</v>
      </c>
      <c r="AJ346" s="32">
        <f t="shared" si="146"/>
        <v>0.61111111111111116</v>
      </c>
      <c r="AK346">
        <f>step3_validation[[#This Row],[AI_TRU1]]</f>
        <v>9</v>
      </c>
      <c r="AL346">
        <f t="shared" si="147"/>
        <v>0.88888888888888884</v>
      </c>
      <c r="AM346">
        <f>survey_responses[[#This Row],[Tôi tin rằng Nhà nước, cơ quan thuế sẽ thực thi chính sách mới một cách khách quan, công tâm và đối xử bình đẳng với mọi người nộp thuế.  - HUMAN-TRU1]]</f>
        <v>7</v>
      </c>
      <c r="AN346">
        <f t="shared" si="148"/>
        <v>0.66666666666666663</v>
      </c>
      <c r="AO346">
        <f>step3_validation[[#This Row],[AI_TRU2]]</f>
        <v>8</v>
      </c>
      <c r="AP346">
        <f t="shared" si="149"/>
        <v>0.77777777777777779</v>
      </c>
      <c r="AQ346">
        <f>survey_responses[[#This Row],[Tôi thấy mức thuế tôi phải đóng theo phương án mới là công bằng (người thu nhập như tôi đóng mức này là hợp lý). - HUMAN-TRU2]]</f>
        <v>7</v>
      </c>
      <c r="AR346">
        <f t="shared" si="150"/>
        <v>0.66666666666666663</v>
      </c>
      <c r="AS346">
        <f>step3_validation[[#This Row],[AI_TRU3]]</f>
        <v>9</v>
      </c>
      <c r="AT346">
        <f t="shared" si="151"/>
        <v>0.88888888888888884</v>
      </c>
      <c r="AU346">
        <f>survey_responses[[#This Row],[Tôi tin tưởng số tiền thuế tôi đóng sẽ được Nhà nước sử dụng hiệu quả để cải thiện dịch vụ công (y tế, đường xá...). - HUMAN-TRU3]]</f>
        <v>6</v>
      </c>
      <c r="AV346">
        <f t="shared" si="152"/>
        <v>0.55555555555555558</v>
      </c>
      <c r="AW346">
        <f>step3_validation[[#This Row],[AI_TRU4]]</f>
        <v>7</v>
      </c>
      <c r="AX346">
        <f t="shared" si="153"/>
        <v>0.66666666666666663</v>
      </c>
      <c r="AY346">
        <f>survey_responses[[#This Row],[Tôi thấy Nhà nước đã giải thích rõ ràng, minh bạch về lý do và mục tiêu của việc sửa đổi thuế lần này. - HUMAN-TRU4]]</f>
        <v>7</v>
      </c>
      <c r="AZ346">
        <f t="shared" si="154"/>
        <v>0.66666666666666663</v>
      </c>
      <c r="BA346" s="32">
        <f t="shared" si="155"/>
        <v>0.80555555555555547</v>
      </c>
      <c r="BB346" s="32">
        <f t="shared" si="156"/>
        <v>0.63888888888888884</v>
      </c>
      <c r="BC346" s="7">
        <f t="shared" si="157"/>
        <v>0.75</v>
      </c>
      <c r="BD346" s="7">
        <f t="shared" si="158"/>
        <v>0.63888888888888884</v>
      </c>
      <c r="BE346">
        <f>step3_validation[[#This Row],[AI_OUT1]]</f>
        <v>9</v>
      </c>
      <c r="BF346">
        <f t="shared" si="159"/>
        <v>0.88888888888888884</v>
      </c>
      <c r="BG346">
        <f>survey_responses[[#This Row],[Sau khi xem xét các quyền lợi và nghĩa vụ, bạn có ủng hộ và tuân thủ chính sách mới hiện nay? - HUMAN-OUT1]]</f>
        <v>7</v>
      </c>
      <c r="BH346">
        <f t="shared" si="160"/>
        <v>0.66666666666666663</v>
      </c>
      <c r="BI346" s="32">
        <f t="shared" si="161"/>
        <v>2</v>
      </c>
    </row>
    <row r="347" spans="1:61" x14ac:dyDescent="0.45">
      <c r="A347" s="30">
        <f>step3_validation[[#This Row],[Persona_ID]]</f>
        <v>346</v>
      </c>
      <c r="B347" s="31">
        <f>step3_validation[[#This Row],[Used_Seed]]</f>
        <v>346</v>
      </c>
      <c r="C347" t="str">
        <f>step3_validation[[#This Row],[Gender]]</f>
        <v>Nữ</v>
      </c>
      <c r="D347" t="str">
        <f>survey_responses[[#This Row],[Giới tính của bạn:]]</f>
        <v>Nữ</v>
      </c>
      <c r="E347" t="str">
        <f>step3_validation[[#This Row],[Age_Group]]</f>
        <v>30 - 39</v>
      </c>
      <c r="F347" t="str">
        <f>survey_responses[[#This Row],[Độ tuổi của bạn:]]</f>
        <v>30 - 39</v>
      </c>
      <c r="G347" t="str">
        <f>step3_validation[[#This Row],[Region]]</f>
        <v>Thành thị</v>
      </c>
      <c r="H347" t="str">
        <f>survey_responses[[#This Row],[Khu vực bạn đang sinh sống:]]</f>
        <v>Thành thị</v>
      </c>
      <c r="I347" t="str">
        <f>step3_validation[[#This Row],[Education]]</f>
        <v>Đại học</v>
      </c>
      <c r="J347" t="str">
        <f>survey_responses[[#This Row],[Trình độ học vấn cao nhất:]]</f>
        <v>Đại học</v>
      </c>
      <c r="K347" t="str">
        <f>step3_validation[[#This Row],[Employment]]</f>
        <v>Chính thức</v>
      </c>
      <c r="L347" t="str">
        <f>survey_responses[[#This Row],[Tình trạng việc làm chính:]]</f>
        <v>Khu vực chính thức (Có Hợp đồng lao động, đóng BHXH)</v>
      </c>
      <c r="M347">
        <f>step3_validation[[#This Row],[Income_Mil]]</f>
        <v>24.89927253229185</v>
      </c>
      <c r="N347" t="str">
        <f>survey_responses[[#This Row],[Thu nhập bình quân tháng theo Hợp đồng lao động của bạn là bao nhiêu? (Vui lòng điền tổng thu nhập trước khi khấu trừ các loại Bảo hiểm (BHXH, BHYT, BHTN) và Thuế TNCN)]]</f>
        <v>Từ 23 - 32 triệu VNĐ</v>
      </c>
      <c r="O347">
        <f>step3_validation[[#This Row],[Dependents]]</f>
        <v>1</v>
      </c>
      <c r="P347" t="str">
        <f>survey_responses[[#This Row],[Số người phụ thuộc (con nhỏ, cha mẹ già...) đủ điều kiện giảm trừ gia cảnh:]]</f>
        <v>1 người</v>
      </c>
      <c r="Q347">
        <f>step3_validation[[#This Row],[AI_ENF1]]</f>
        <v>5</v>
      </c>
      <c r="R347">
        <f t="shared" si="135"/>
        <v>0.44444444444444442</v>
      </c>
      <c r="S347">
        <f>survey_responses[[#This Row],[Tôi tin rằng với các quy định quản lý thuế hiện nay, hành vi gian lận hoặc trốn thuế sẽ dễ dàng bị phát hiện và xử lý nghiêm. - HUMAN-ENF1]]</f>
        <v>9</v>
      </c>
      <c r="T347">
        <f t="shared" si="136"/>
        <v>0.88888888888888884</v>
      </c>
      <c r="U347">
        <f>step3_validation[[#This Row],[AI_ENF2]]</f>
        <v>6</v>
      </c>
      <c r="V347">
        <f t="shared" si="137"/>
        <v>0.55555555555555558</v>
      </c>
      <c r="W347">
        <f>survey_responses[[#This Row],[Tôi tin rằng Nhà nước, cơ quan thuế có đủ khả năng và công nghệ để phát hiện, xử lý nghiêm các hành vi trốn thuế. - HUMAN-ENF2]]</f>
        <v>8</v>
      </c>
      <c r="X347">
        <f t="shared" si="138"/>
        <v>0.77777777777777779</v>
      </c>
      <c r="Y347" s="32">
        <f t="shared" si="139"/>
        <v>0.5</v>
      </c>
      <c r="Z347" s="32">
        <f t="shared" si="140"/>
        <v>0.83333333333333326</v>
      </c>
      <c r="AA347">
        <f>step3_validation[[#This Row],[AI_FAC1]]</f>
        <v>8</v>
      </c>
      <c r="AB347">
        <f t="shared" si="141"/>
        <v>0.77777777777777779</v>
      </c>
      <c r="AC347">
        <f>survey_responses[[#This Row],[Các thủ tục khai báo thuế VÀ/HOẶC quy trình làm việc với cơ quan thuế đơn giản, tiện lợi, nhanh chóng hơn so với trước đây. - HUMAN-FAC1]]</f>
        <v>8</v>
      </c>
      <c r="AD347">
        <f t="shared" si="142"/>
        <v>0.77777777777777779</v>
      </c>
      <c r="AE347">
        <f>step3_validation[[#This Row],[AI_FAC2]]</f>
        <v>9</v>
      </c>
      <c r="AF347">
        <f t="shared" si="143"/>
        <v>0.88888888888888884</v>
      </c>
      <c r="AG347">
        <f>survey_responses[[#This Row],[So với trước đây, tôi thấy cách tính thuế và các bậc thuế trong phương án mới đơn giản, dễ hiểu và dễ thực hiện hơn. - HUMAN-FAC2]]</f>
        <v>9</v>
      </c>
      <c r="AH347">
        <f t="shared" si="144"/>
        <v>0.88888888888888884</v>
      </c>
      <c r="AI347" s="32">
        <f t="shared" si="145"/>
        <v>0.83333333333333326</v>
      </c>
      <c r="AJ347" s="32">
        <f t="shared" si="146"/>
        <v>0.83333333333333326</v>
      </c>
      <c r="AK347">
        <f>step3_validation[[#This Row],[AI_TRU1]]</f>
        <v>7</v>
      </c>
      <c r="AL347">
        <f t="shared" si="147"/>
        <v>0.66666666666666663</v>
      </c>
      <c r="AM347">
        <f>survey_responses[[#This Row],[Tôi tin rằng Nhà nước, cơ quan thuế sẽ thực thi chính sách mới một cách khách quan, công tâm và đối xử bình đẳng với mọi người nộp thuế.  - HUMAN-TRU1]]</f>
        <v>7</v>
      </c>
      <c r="AN347">
        <f t="shared" si="148"/>
        <v>0.66666666666666663</v>
      </c>
      <c r="AO347">
        <f>step3_validation[[#This Row],[AI_TRU2]]</f>
        <v>8</v>
      </c>
      <c r="AP347">
        <f t="shared" si="149"/>
        <v>0.77777777777777779</v>
      </c>
      <c r="AQ347">
        <f>survey_responses[[#This Row],[Tôi thấy mức thuế tôi phải đóng theo phương án mới là công bằng (người thu nhập như tôi đóng mức này là hợp lý). - HUMAN-TRU2]]</f>
        <v>8</v>
      </c>
      <c r="AR347">
        <f t="shared" si="150"/>
        <v>0.77777777777777779</v>
      </c>
      <c r="AS347">
        <f>step3_validation[[#This Row],[AI_TRU3]]</f>
        <v>7</v>
      </c>
      <c r="AT347">
        <f t="shared" si="151"/>
        <v>0.66666666666666663</v>
      </c>
      <c r="AU347">
        <f>survey_responses[[#This Row],[Tôi tin tưởng số tiền thuế tôi đóng sẽ được Nhà nước sử dụng hiệu quả để cải thiện dịch vụ công (y tế, đường xá...). - HUMAN-TRU3]]</f>
        <v>7</v>
      </c>
      <c r="AV347">
        <f t="shared" si="152"/>
        <v>0.66666666666666663</v>
      </c>
      <c r="AW347">
        <f>step3_validation[[#This Row],[AI_TRU4]]</f>
        <v>6</v>
      </c>
      <c r="AX347">
        <f t="shared" si="153"/>
        <v>0.55555555555555558</v>
      </c>
      <c r="AY347">
        <f>survey_responses[[#This Row],[Tôi thấy Nhà nước đã giải thích rõ ràng, minh bạch về lý do và mục tiêu của việc sửa đổi thuế lần này. - HUMAN-TRU4]]</f>
        <v>7</v>
      </c>
      <c r="AZ347">
        <f t="shared" si="154"/>
        <v>0.66666666666666663</v>
      </c>
      <c r="BA347" s="32">
        <f t="shared" si="155"/>
        <v>0.66666666666666674</v>
      </c>
      <c r="BB347" s="32">
        <f t="shared" si="156"/>
        <v>0.69444444444444442</v>
      </c>
      <c r="BC347" s="7">
        <f t="shared" si="157"/>
        <v>0.66666666666666663</v>
      </c>
      <c r="BD347" s="7">
        <f t="shared" si="158"/>
        <v>0.78703703703703687</v>
      </c>
      <c r="BE347">
        <f>step3_validation[[#This Row],[AI_OUT1]]</f>
        <v>7</v>
      </c>
      <c r="BF347">
        <f t="shared" si="159"/>
        <v>0.66666666666666663</v>
      </c>
      <c r="BG347">
        <f>survey_responses[[#This Row],[Sau khi xem xét các quyền lợi và nghĩa vụ, bạn có ủng hộ và tuân thủ chính sách mới hiện nay? - HUMAN-OUT1]]</f>
        <v>8</v>
      </c>
      <c r="BH347">
        <f t="shared" si="160"/>
        <v>0.77777777777777779</v>
      </c>
      <c r="BI347" s="32">
        <f t="shared" si="161"/>
        <v>1</v>
      </c>
    </row>
    <row r="348" spans="1:61" x14ac:dyDescent="0.45">
      <c r="A348" s="30">
        <f>step3_validation[[#This Row],[Persona_ID]]</f>
        <v>347</v>
      </c>
      <c r="B348" s="31">
        <f>step3_validation[[#This Row],[Used_Seed]]</f>
        <v>347</v>
      </c>
      <c r="C348" t="str">
        <f>step3_validation[[#This Row],[Gender]]</f>
        <v>Nữ</v>
      </c>
      <c r="D348" t="str">
        <f>survey_responses[[#This Row],[Giới tính của bạn:]]</f>
        <v>Nữ</v>
      </c>
      <c r="E348" t="str">
        <f>step3_validation[[#This Row],[Age_Group]]</f>
        <v>25 - 29</v>
      </c>
      <c r="F348" t="str">
        <f>survey_responses[[#This Row],[Độ tuổi của bạn:]]</f>
        <v>25 - 29</v>
      </c>
      <c r="G348" t="str">
        <f>step3_validation[[#This Row],[Region]]</f>
        <v>Thành thị</v>
      </c>
      <c r="H348" t="str">
        <f>survey_responses[[#This Row],[Khu vực bạn đang sinh sống:]]</f>
        <v>Thành thị</v>
      </c>
      <c r="I348" t="str">
        <f>step3_validation[[#This Row],[Education]]</f>
        <v>Đại học</v>
      </c>
      <c r="J348" t="str">
        <f>survey_responses[[#This Row],[Trình độ học vấn cao nhất:]]</f>
        <v>Đại học</v>
      </c>
      <c r="K348" t="str">
        <f>step3_validation[[#This Row],[Employment]]</f>
        <v>Chính thức</v>
      </c>
      <c r="L348" t="str">
        <f>survey_responses[[#This Row],[Tình trạng việc làm chính:]]</f>
        <v>Khu vực chính thức (Có Hợp đồng lao động, đóng BHXH)</v>
      </c>
      <c r="M348">
        <f>step3_validation[[#This Row],[Income_Mil]]</f>
        <v>19.121911982713407</v>
      </c>
      <c r="N348" t="str">
        <f>survey_responses[[#This Row],[Thu nhập bình quân tháng theo Hợp đồng lao động của bạn là bao nhiêu? (Vui lòng điền tổng thu nhập trước khi khấu trừ các loại Bảo hiểm (BHXH, BHYT, BHTN) và Thuế TNCN)]]</f>
        <v>Từ 18 - 23 triệu VNĐ</v>
      </c>
      <c r="O348">
        <f>step3_validation[[#This Row],[Dependents]]</f>
        <v>0</v>
      </c>
      <c r="P348" t="str">
        <f>survey_responses[[#This Row],[Số người phụ thuộc (con nhỏ, cha mẹ già...) đủ điều kiện giảm trừ gia cảnh:]]</f>
        <v>0 người</v>
      </c>
      <c r="Q348">
        <f>step3_validation[[#This Row],[AI_ENF1]]</f>
        <v>6</v>
      </c>
      <c r="R348">
        <f t="shared" si="135"/>
        <v>0.55555555555555558</v>
      </c>
      <c r="S348">
        <f>survey_responses[[#This Row],[Tôi tin rằng với các quy định quản lý thuế hiện nay, hành vi gian lận hoặc trốn thuế sẽ dễ dàng bị phát hiện và xử lý nghiêm. - HUMAN-ENF1]]</f>
        <v>8</v>
      </c>
      <c r="T348">
        <f t="shared" si="136"/>
        <v>0.77777777777777779</v>
      </c>
      <c r="U348">
        <f>step3_validation[[#This Row],[AI_ENF2]]</f>
        <v>7</v>
      </c>
      <c r="V348">
        <f t="shared" si="137"/>
        <v>0.66666666666666663</v>
      </c>
      <c r="W348">
        <f>survey_responses[[#This Row],[Tôi tin rằng Nhà nước, cơ quan thuế có đủ khả năng và công nghệ để phát hiện, xử lý nghiêm các hành vi trốn thuế. - HUMAN-ENF2]]</f>
        <v>8</v>
      </c>
      <c r="X348">
        <f t="shared" si="138"/>
        <v>0.77777777777777779</v>
      </c>
      <c r="Y348" s="32">
        <f t="shared" si="139"/>
        <v>0.61111111111111116</v>
      </c>
      <c r="Z348" s="32">
        <f t="shared" si="140"/>
        <v>0.77777777777777779</v>
      </c>
      <c r="AA348">
        <f>step3_validation[[#This Row],[AI_FAC1]]</f>
        <v>8</v>
      </c>
      <c r="AB348">
        <f t="shared" si="141"/>
        <v>0.77777777777777779</v>
      </c>
      <c r="AC348">
        <f>survey_responses[[#This Row],[Các thủ tục khai báo thuế VÀ/HOẶC quy trình làm việc với cơ quan thuế đơn giản, tiện lợi, nhanh chóng hơn so với trước đây. - HUMAN-FAC1]]</f>
        <v>7</v>
      </c>
      <c r="AD348">
        <f t="shared" si="142"/>
        <v>0.66666666666666663</v>
      </c>
      <c r="AE348">
        <f>step3_validation[[#This Row],[AI_FAC2]]</f>
        <v>9</v>
      </c>
      <c r="AF348">
        <f t="shared" si="143"/>
        <v>0.88888888888888884</v>
      </c>
      <c r="AG348">
        <f>survey_responses[[#This Row],[So với trước đây, tôi thấy cách tính thuế và các bậc thuế trong phương án mới đơn giản, dễ hiểu và dễ thực hiện hơn. - HUMAN-FAC2]]</f>
        <v>8</v>
      </c>
      <c r="AH348">
        <f t="shared" si="144"/>
        <v>0.77777777777777779</v>
      </c>
      <c r="AI348" s="32">
        <f t="shared" si="145"/>
        <v>0.83333333333333326</v>
      </c>
      <c r="AJ348" s="32">
        <f t="shared" si="146"/>
        <v>0.72222222222222221</v>
      </c>
      <c r="AK348">
        <f>step3_validation[[#This Row],[AI_TRU1]]</f>
        <v>8</v>
      </c>
      <c r="AL348">
        <f t="shared" si="147"/>
        <v>0.77777777777777779</v>
      </c>
      <c r="AM348">
        <f>survey_responses[[#This Row],[Tôi tin rằng Nhà nước, cơ quan thuế sẽ thực thi chính sách mới một cách khách quan, công tâm và đối xử bình đẳng với mọi người nộp thuế.  - HUMAN-TRU1]]</f>
        <v>6</v>
      </c>
      <c r="AN348">
        <f t="shared" si="148"/>
        <v>0.55555555555555558</v>
      </c>
      <c r="AO348">
        <f>step3_validation[[#This Row],[AI_TRU2]]</f>
        <v>9</v>
      </c>
      <c r="AP348">
        <f t="shared" si="149"/>
        <v>0.88888888888888884</v>
      </c>
      <c r="AQ348">
        <f>survey_responses[[#This Row],[Tôi thấy mức thuế tôi phải đóng theo phương án mới là công bằng (người thu nhập như tôi đóng mức này là hợp lý). - HUMAN-TRU2]]</f>
        <v>8</v>
      </c>
      <c r="AR348">
        <f t="shared" si="150"/>
        <v>0.77777777777777779</v>
      </c>
      <c r="AS348">
        <f>step3_validation[[#This Row],[AI_TRU3]]</f>
        <v>7</v>
      </c>
      <c r="AT348">
        <f t="shared" si="151"/>
        <v>0.66666666666666663</v>
      </c>
      <c r="AU348">
        <f>survey_responses[[#This Row],[Tôi tin tưởng số tiền thuế tôi đóng sẽ được Nhà nước sử dụng hiệu quả để cải thiện dịch vụ công (y tế, đường xá...). - HUMAN-TRU3]]</f>
        <v>6</v>
      </c>
      <c r="AV348">
        <f t="shared" si="152"/>
        <v>0.55555555555555558</v>
      </c>
      <c r="AW348">
        <f>step3_validation[[#This Row],[AI_TRU4]]</f>
        <v>6</v>
      </c>
      <c r="AX348">
        <f t="shared" si="153"/>
        <v>0.55555555555555558</v>
      </c>
      <c r="AY348">
        <f>survey_responses[[#This Row],[Tôi thấy Nhà nước đã giải thích rõ ràng, minh bạch về lý do và mục tiêu của việc sửa đổi thuế lần này. - HUMAN-TRU4]]</f>
        <v>6</v>
      </c>
      <c r="AZ348">
        <f t="shared" si="154"/>
        <v>0.55555555555555558</v>
      </c>
      <c r="BA348" s="32">
        <f t="shared" si="155"/>
        <v>0.7222222222222221</v>
      </c>
      <c r="BB348" s="32">
        <f t="shared" si="156"/>
        <v>0.61111111111111116</v>
      </c>
      <c r="BC348" s="7">
        <f t="shared" si="157"/>
        <v>0.72222222222222221</v>
      </c>
      <c r="BD348" s="7">
        <f t="shared" si="158"/>
        <v>0.70370370370370372</v>
      </c>
      <c r="BE348">
        <f>step3_validation[[#This Row],[AI_OUT1]]</f>
        <v>9</v>
      </c>
      <c r="BF348">
        <f t="shared" si="159"/>
        <v>0.88888888888888884</v>
      </c>
      <c r="BG348">
        <f>survey_responses[[#This Row],[Sau khi xem xét các quyền lợi và nghĩa vụ, bạn có ủng hộ và tuân thủ chính sách mới hiện nay? - HUMAN-OUT1]]</f>
        <v>8</v>
      </c>
      <c r="BH348">
        <f t="shared" si="160"/>
        <v>0.77777777777777779</v>
      </c>
      <c r="BI348" s="32">
        <f t="shared" si="161"/>
        <v>1</v>
      </c>
    </row>
    <row r="349" spans="1:61" x14ac:dyDescent="0.45">
      <c r="A349" s="30">
        <f>step3_validation[[#This Row],[Persona_ID]]</f>
        <v>348</v>
      </c>
      <c r="B349" s="31">
        <f>step3_validation[[#This Row],[Used_Seed]]</f>
        <v>348</v>
      </c>
      <c r="C349" t="str">
        <f>step3_validation[[#This Row],[Gender]]</f>
        <v>Nữ</v>
      </c>
      <c r="D349" t="str">
        <f>survey_responses[[#This Row],[Giới tính của bạn:]]</f>
        <v>Nữ</v>
      </c>
      <c r="E349" t="str">
        <f>step3_validation[[#This Row],[Age_Group]]</f>
        <v>25 - 29</v>
      </c>
      <c r="F349" t="str">
        <f>survey_responses[[#This Row],[Độ tuổi của bạn:]]</f>
        <v>25 - 29</v>
      </c>
      <c r="G349" t="str">
        <f>step3_validation[[#This Row],[Region]]</f>
        <v>Thành thị</v>
      </c>
      <c r="H349" t="str">
        <f>survey_responses[[#This Row],[Khu vực bạn đang sinh sống:]]</f>
        <v>Thành thị</v>
      </c>
      <c r="I349" t="str">
        <f>step3_validation[[#This Row],[Education]]</f>
        <v>Đại học</v>
      </c>
      <c r="J349" t="str">
        <f>survey_responses[[#This Row],[Trình độ học vấn cao nhất:]]</f>
        <v>Đại học</v>
      </c>
      <c r="K349" t="str">
        <f>step3_validation[[#This Row],[Employment]]</f>
        <v>Chính thức</v>
      </c>
      <c r="L349" t="str">
        <f>survey_responses[[#This Row],[Tình trạng việc làm chính:]]</f>
        <v>Khu vực chính thức (Có Hợp đồng lao động, đóng BHXH)</v>
      </c>
      <c r="M349">
        <f>step3_validation[[#This Row],[Income_Mil]]</f>
        <v>18.848836365386781</v>
      </c>
      <c r="N349" t="str">
        <f>survey_responses[[#This Row],[Thu nhập bình quân tháng theo Hợp đồng lao động của bạn là bao nhiêu? (Vui lòng điền tổng thu nhập trước khi khấu trừ các loại Bảo hiểm (BHXH, BHYT, BHTN) và Thuế TNCN)]]</f>
        <v>Từ 18 - 23 triệu VNĐ</v>
      </c>
      <c r="O349">
        <f>step3_validation[[#This Row],[Dependents]]</f>
        <v>0</v>
      </c>
      <c r="P349" t="str">
        <f>survey_responses[[#This Row],[Số người phụ thuộc (con nhỏ, cha mẹ già...) đủ điều kiện giảm trừ gia cảnh:]]</f>
        <v>0 người</v>
      </c>
      <c r="Q349">
        <f>step3_validation[[#This Row],[AI_ENF1]]</f>
        <v>9</v>
      </c>
      <c r="R349">
        <f t="shared" si="135"/>
        <v>0.88888888888888884</v>
      </c>
      <c r="S349">
        <f>survey_responses[[#This Row],[Tôi tin rằng với các quy định quản lý thuế hiện nay, hành vi gian lận hoặc trốn thuế sẽ dễ dàng bị phát hiện và xử lý nghiêm. - HUMAN-ENF1]]</f>
        <v>8</v>
      </c>
      <c r="T349">
        <f t="shared" si="136"/>
        <v>0.77777777777777779</v>
      </c>
      <c r="U349">
        <f>step3_validation[[#This Row],[AI_ENF2]]</f>
        <v>8</v>
      </c>
      <c r="V349">
        <f t="shared" si="137"/>
        <v>0.77777777777777779</v>
      </c>
      <c r="W349">
        <f>survey_responses[[#This Row],[Tôi tin rằng Nhà nước, cơ quan thuế có đủ khả năng và công nghệ để phát hiện, xử lý nghiêm các hành vi trốn thuế. - HUMAN-ENF2]]</f>
        <v>8</v>
      </c>
      <c r="X349">
        <f t="shared" si="138"/>
        <v>0.77777777777777779</v>
      </c>
      <c r="Y349" s="32">
        <f t="shared" si="139"/>
        <v>0.83333333333333326</v>
      </c>
      <c r="Z349" s="32">
        <f t="shared" si="140"/>
        <v>0.77777777777777779</v>
      </c>
      <c r="AA349">
        <f>step3_validation[[#This Row],[AI_FAC1]]</f>
        <v>9</v>
      </c>
      <c r="AB349">
        <f t="shared" si="141"/>
        <v>0.88888888888888884</v>
      </c>
      <c r="AC349">
        <f>survey_responses[[#This Row],[Các thủ tục khai báo thuế VÀ/HOẶC quy trình làm việc với cơ quan thuế đơn giản, tiện lợi, nhanh chóng hơn so với trước đây. - HUMAN-FAC1]]</f>
        <v>7</v>
      </c>
      <c r="AD349">
        <f t="shared" si="142"/>
        <v>0.66666666666666663</v>
      </c>
      <c r="AE349">
        <f>step3_validation[[#This Row],[AI_FAC2]]</f>
        <v>8</v>
      </c>
      <c r="AF349">
        <f t="shared" si="143"/>
        <v>0.77777777777777779</v>
      </c>
      <c r="AG349">
        <f>survey_responses[[#This Row],[So với trước đây, tôi thấy cách tính thuế và các bậc thuế trong phương án mới đơn giản, dễ hiểu và dễ thực hiện hơn. - HUMAN-FAC2]]</f>
        <v>7</v>
      </c>
      <c r="AH349">
        <f t="shared" si="144"/>
        <v>0.66666666666666663</v>
      </c>
      <c r="AI349" s="32">
        <f t="shared" si="145"/>
        <v>0.83333333333333326</v>
      </c>
      <c r="AJ349" s="32">
        <f t="shared" si="146"/>
        <v>0.66666666666666663</v>
      </c>
      <c r="AK349">
        <f>step3_validation[[#This Row],[AI_TRU1]]</f>
        <v>9</v>
      </c>
      <c r="AL349">
        <f t="shared" si="147"/>
        <v>0.88888888888888884</v>
      </c>
      <c r="AM349">
        <f>survey_responses[[#This Row],[Tôi tin rằng Nhà nước, cơ quan thuế sẽ thực thi chính sách mới một cách khách quan, công tâm và đối xử bình đẳng với mọi người nộp thuế.  - HUMAN-TRU1]]</f>
        <v>6</v>
      </c>
      <c r="AN349">
        <f t="shared" si="148"/>
        <v>0.55555555555555558</v>
      </c>
      <c r="AO349">
        <f>step3_validation[[#This Row],[AI_TRU2]]</f>
        <v>8</v>
      </c>
      <c r="AP349">
        <f t="shared" si="149"/>
        <v>0.77777777777777779</v>
      </c>
      <c r="AQ349">
        <f>survey_responses[[#This Row],[Tôi thấy mức thuế tôi phải đóng theo phương án mới là công bằng (người thu nhập như tôi đóng mức này là hợp lý). - HUMAN-TRU2]]</f>
        <v>7</v>
      </c>
      <c r="AR349">
        <f t="shared" si="150"/>
        <v>0.66666666666666663</v>
      </c>
      <c r="AS349">
        <f>step3_validation[[#This Row],[AI_TRU3]]</f>
        <v>9</v>
      </c>
      <c r="AT349">
        <f t="shared" si="151"/>
        <v>0.88888888888888884</v>
      </c>
      <c r="AU349">
        <f>survey_responses[[#This Row],[Tôi tin tưởng số tiền thuế tôi đóng sẽ được Nhà nước sử dụng hiệu quả để cải thiện dịch vụ công (y tế, đường xá...). - HUMAN-TRU3]]</f>
        <v>6</v>
      </c>
      <c r="AV349">
        <f t="shared" si="152"/>
        <v>0.55555555555555558</v>
      </c>
      <c r="AW349">
        <f>step3_validation[[#This Row],[AI_TRU4]]</f>
        <v>8</v>
      </c>
      <c r="AX349">
        <f t="shared" si="153"/>
        <v>0.77777777777777779</v>
      </c>
      <c r="AY349">
        <f>survey_responses[[#This Row],[Tôi thấy Nhà nước đã giải thích rõ ràng, minh bạch về lý do và mục tiêu của việc sửa đổi thuế lần này. - HUMAN-TRU4]]</f>
        <v>6</v>
      </c>
      <c r="AZ349">
        <f t="shared" si="154"/>
        <v>0.55555555555555558</v>
      </c>
      <c r="BA349" s="32">
        <f t="shared" si="155"/>
        <v>0.83333333333333326</v>
      </c>
      <c r="BB349" s="32">
        <f t="shared" si="156"/>
        <v>0.58333333333333337</v>
      </c>
      <c r="BC349" s="7">
        <f t="shared" si="157"/>
        <v>0.83333333333333337</v>
      </c>
      <c r="BD349" s="7">
        <f t="shared" si="158"/>
        <v>0.67592592592592593</v>
      </c>
      <c r="BE349">
        <f>step3_validation[[#This Row],[AI_OUT1]]</f>
        <v>9</v>
      </c>
      <c r="BF349">
        <f t="shared" si="159"/>
        <v>0.88888888888888884</v>
      </c>
      <c r="BG349">
        <f>survey_responses[[#This Row],[Sau khi xem xét các quyền lợi và nghĩa vụ, bạn có ủng hộ và tuân thủ chính sách mới hiện nay? - HUMAN-OUT1]]</f>
        <v>7</v>
      </c>
      <c r="BH349">
        <f t="shared" si="160"/>
        <v>0.66666666666666663</v>
      </c>
      <c r="BI349" s="32">
        <f t="shared" si="161"/>
        <v>2</v>
      </c>
    </row>
    <row r="350" spans="1:61" x14ac:dyDescent="0.45">
      <c r="A350" s="30">
        <f>step3_validation[[#This Row],[Persona_ID]]</f>
        <v>349</v>
      </c>
      <c r="B350" s="31">
        <f>step3_validation[[#This Row],[Used_Seed]]</f>
        <v>349</v>
      </c>
      <c r="C350" t="str">
        <f>step3_validation[[#This Row],[Gender]]</f>
        <v>Nữ</v>
      </c>
      <c r="D350" t="str">
        <f>survey_responses[[#This Row],[Giới tính của bạn:]]</f>
        <v>Nữ</v>
      </c>
      <c r="E350" t="str">
        <f>step3_validation[[#This Row],[Age_Group]]</f>
        <v>25 - 29</v>
      </c>
      <c r="F350" t="str">
        <f>survey_responses[[#This Row],[Độ tuổi của bạn:]]</f>
        <v>25 - 29</v>
      </c>
      <c r="G350" t="str">
        <f>step3_validation[[#This Row],[Region]]</f>
        <v>Thành thị</v>
      </c>
      <c r="H350" t="str">
        <f>survey_responses[[#This Row],[Khu vực bạn đang sinh sống:]]</f>
        <v>Thành thị</v>
      </c>
      <c r="I350" t="str">
        <f>step3_validation[[#This Row],[Education]]</f>
        <v>Đại học</v>
      </c>
      <c r="J350" t="str">
        <f>survey_responses[[#This Row],[Trình độ học vấn cao nhất:]]</f>
        <v>Đại học</v>
      </c>
      <c r="K350" t="str">
        <f>step3_validation[[#This Row],[Employment]]</f>
        <v>Chính thức</v>
      </c>
      <c r="L350" t="str">
        <f>survey_responses[[#This Row],[Tình trạng việc làm chính:]]</f>
        <v>Khu vực chính thức (Có Hợp đồng lao động, đóng BHXH)</v>
      </c>
      <c r="M350">
        <f>step3_validation[[#This Row],[Income_Mil]]</f>
        <v>19.433405004233556</v>
      </c>
      <c r="N350" t="str">
        <f>survey_responses[[#This Row],[Thu nhập bình quân tháng theo Hợp đồng lao động của bạn là bao nhiêu? (Vui lòng điền tổng thu nhập trước khi khấu trừ các loại Bảo hiểm (BHXH, BHYT, BHTN) và Thuế TNCN)]]</f>
        <v>Từ 18 - 23 triệu VNĐ</v>
      </c>
      <c r="O350">
        <f>step3_validation[[#This Row],[Dependents]]</f>
        <v>0</v>
      </c>
      <c r="P350" t="str">
        <f>survey_responses[[#This Row],[Số người phụ thuộc (con nhỏ, cha mẹ già...) đủ điều kiện giảm trừ gia cảnh:]]</f>
        <v>0 người</v>
      </c>
      <c r="Q350">
        <f>step3_validation[[#This Row],[AI_ENF1]]</f>
        <v>7</v>
      </c>
      <c r="R350">
        <f t="shared" si="135"/>
        <v>0.66666666666666663</v>
      </c>
      <c r="S350">
        <f>survey_responses[[#This Row],[Tôi tin rằng với các quy định quản lý thuế hiện nay, hành vi gian lận hoặc trốn thuế sẽ dễ dàng bị phát hiện và xử lý nghiêm. - HUMAN-ENF1]]</f>
        <v>4</v>
      </c>
      <c r="T350">
        <f t="shared" si="136"/>
        <v>0.33333333333333331</v>
      </c>
      <c r="U350">
        <f>step3_validation[[#This Row],[AI_ENF2]]</f>
        <v>8</v>
      </c>
      <c r="V350">
        <f t="shared" si="137"/>
        <v>0.77777777777777779</v>
      </c>
      <c r="W350">
        <f>survey_responses[[#This Row],[Tôi tin rằng Nhà nước, cơ quan thuế có đủ khả năng và công nghệ để phát hiện, xử lý nghiêm các hành vi trốn thuế. - HUMAN-ENF2]]</f>
        <v>4</v>
      </c>
      <c r="X350">
        <f t="shared" si="138"/>
        <v>0.33333333333333331</v>
      </c>
      <c r="Y350" s="32">
        <f t="shared" si="139"/>
        <v>0.72222222222222221</v>
      </c>
      <c r="Z350" s="32">
        <f t="shared" si="140"/>
        <v>0.33333333333333331</v>
      </c>
      <c r="AA350">
        <f>step3_validation[[#This Row],[AI_FAC1]]</f>
        <v>7</v>
      </c>
      <c r="AB350">
        <f t="shared" si="141"/>
        <v>0.66666666666666663</v>
      </c>
      <c r="AC350">
        <f>survey_responses[[#This Row],[Các thủ tục khai báo thuế VÀ/HOẶC quy trình làm việc với cơ quan thuế đơn giản, tiện lợi, nhanh chóng hơn so với trước đây. - HUMAN-FAC1]]</f>
        <v>5</v>
      </c>
      <c r="AD350">
        <f t="shared" si="142"/>
        <v>0.44444444444444442</v>
      </c>
      <c r="AE350">
        <f>step3_validation[[#This Row],[AI_FAC2]]</f>
        <v>9</v>
      </c>
      <c r="AF350">
        <f t="shared" si="143"/>
        <v>0.88888888888888884</v>
      </c>
      <c r="AG350">
        <f>survey_responses[[#This Row],[So với trước đây, tôi thấy cách tính thuế và các bậc thuế trong phương án mới đơn giản, dễ hiểu và dễ thực hiện hơn. - HUMAN-FAC2]]</f>
        <v>7</v>
      </c>
      <c r="AH350">
        <f t="shared" si="144"/>
        <v>0.66666666666666663</v>
      </c>
      <c r="AI350" s="32">
        <f t="shared" si="145"/>
        <v>0.77777777777777768</v>
      </c>
      <c r="AJ350" s="32">
        <f t="shared" si="146"/>
        <v>0.55555555555555558</v>
      </c>
      <c r="AK350">
        <f>step3_validation[[#This Row],[AI_TRU1]]</f>
        <v>6</v>
      </c>
      <c r="AL350">
        <f t="shared" si="147"/>
        <v>0.55555555555555558</v>
      </c>
      <c r="AM350">
        <f>survey_responses[[#This Row],[Tôi tin rằng Nhà nước, cơ quan thuế sẽ thực thi chính sách mới một cách khách quan, công tâm và đối xử bình đẳng với mọi người nộp thuế.  - HUMAN-TRU1]]</f>
        <v>5</v>
      </c>
      <c r="AN350">
        <f t="shared" si="148"/>
        <v>0.44444444444444442</v>
      </c>
      <c r="AO350">
        <f>step3_validation[[#This Row],[AI_TRU2]]</f>
        <v>8</v>
      </c>
      <c r="AP350">
        <f t="shared" si="149"/>
        <v>0.77777777777777779</v>
      </c>
      <c r="AQ350">
        <f>survey_responses[[#This Row],[Tôi thấy mức thuế tôi phải đóng theo phương án mới là công bằng (người thu nhập như tôi đóng mức này là hợp lý). - HUMAN-TRU2]]</f>
        <v>6</v>
      </c>
      <c r="AR350">
        <f t="shared" si="150"/>
        <v>0.55555555555555558</v>
      </c>
      <c r="AS350">
        <f>step3_validation[[#This Row],[AI_TRU3]]</f>
        <v>7</v>
      </c>
      <c r="AT350">
        <f t="shared" si="151"/>
        <v>0.66666666666666663</v>
      </c>
      <c r="AU350">
        <f>survey_responses[[#This Row],[Tôi tin tưởng số tiền thuế tôi đóng sẽ được Nhà nước sử dụng hiệu quả để cải thiện dịch vụ công (y tế, đường xá...). - HUMAN-TRU3]]</f>
        <v>6</v>
      </c>
      <c r="AV350">
        <f t="shared" si="152"/>
        <v>0.55555555555555558</v>
      </c>
      <c r="AW350">
        <f>step3_validation[[#This Row],[AI_TRU4]]</f>
        <v>8</v>
      </c>
      <c r="AX350">
        <f t="shared" si="153"/>
        <v>0.77777777777777779</v>
      </c>
      <c r="AY350">
        <f>survey_responses[[#This Row],[Tôi thấy Nhà nước đã giải thích rõ ràng, minh bạch về lý do và mục tiêu của việc sửa đổi thuế lần này. - HUMAN-TRU4]]</f>
        <v>6</v>
      </c>
      <c r="AZ350">
        <f t="shared" si="154"/>
        <v>0.55555555555555558</v>
      </c>
      <c r="BA350" s="32">
        <f t="shared" si="155"/>
        <v>0.69444444444444442</v>
      </c>
      <c r="BB350" s="32">
        <f t="shared" si="156"/>
        <v>0.52777777777777779</v>
      </c>
      <c r="BC350" s="7">
        <f t="shared" si="157"/>
        <v>0.73148148148148151</v>
      </c>
      <c r="BD350" s="7">
        <f t="shared" si="158"/>
        <v>0.47222222222222215</v>
      </c>
      <c r="BE350">
        <f>step3_validation[[#This Row],[AI_OUT1]]</f>
        <v>9</v>
      </c>
      <c r="BF350">
        <f t="shared" si="159"/>
        <v>0.88888888888888884</v>
      </c>
      <c r="BG350">
        <f>survey_responses[[#This Row],[Sau khi xem xét các quyền lợi và nghĩa vụ, bạn có ủng hộ và tuân thủ chính sách mới hiện nay? - HUMAN-OUT1]]</f>
        <v>6</v>
      </c>
      <c r="BH350">
        <f t="shared" si="160"/>
        <v>0.55555555555555558</v>
      </c>
      <c r="BI350" s="32">
        <f t="shared" si="161"/>
        <v>3</v>
      </c>
    </row>
    <row r="351" spans="1:61" x14ac:dyDescent="0.45">
      <c r="A351" s="30">
        <f>step3_validation[[#This Row],[Persona_ID]]</f>
        <v>350</v>
      </c>
      <c r="B351" s="31">
        <f>step3_validation[[#This Row],[Used_Seed]]</f>
        <v>350</v>
      </c>
      <c r="C351" t="str">
        <f>step3_validation[[#This Row],[Gender]]</f>
        <v>Nữ</v>
      </c>
      <c r="D351" t="str">
        <f>survey_responses[[#This Row],[Giới tính của bạn:]]</f>
        <v>Nữ</v>
      </c>
      <c r="E351" t="str">
        <f>step3_validation[[#This Row],[Age_Group]]</f>
        <v>25 - 29</v>
      </c>
      <c r="F351" t="str">
        <f>survey_responses[[#This Row],[Độ tuổi của bạn:]]</f>
        <v>25 - 29</v>
      </c>
      <c r="G351" t="str">
        <f>step3_validation[[#This Row],[Region]]</f>
        <v>Thành thị</v>
      </c>
      <c r="H351" t="str">
        <f>survey_responses[[#This Row],[Khu vực bạn đang sinh sống:]]</f>
        <v>Thành thị</v>
      </c>
      <c r="I351" t="str">
        <f>step3_validation[[#This Row],[Education]]</f>
        <v>Đại học</v>
      </c>
      <c r="J351" t="str">
        <f>survey_responses[[#This Row],[Trình độ học vấn cao nhất:]]</f>
        <v>Đại học</v>
      </c>
      <c r="K351" t="str">
        <f>step3_validation[[#This Row],[Employment]]</f>
        <v>Chính thức</v>
      </c>
      <c r="L351" t="str">
        <f>survey_responses[[#This Row],[Tình trạng việc làm chính:]]</f>
        <v>Khu vực chính thức (Có Hợp đồng lao động, đóng BHXH)</v>
      </c>
      <c r="M351">
        <f>step3_validation[[#This Row],[Income_Mil]]</f>
        <v>30.175848559176604</v>
      </c>
      <c r="N351" t="str">
        <f>survey_responses[[#This Row],[Thu nhập bình quân tháng theo Hợp đồng lao động của bạn là bao nhiêu? (Vui lòng điền tổng thu nhập trước khi khấu trừ các loại Bảo hiểm (BHXH, BHYT, BHTN) và Thuế TNCN)]]</f>
        <v>Từ 23 - 32 triệu VNĐ</v>
      </c>
      <c r="O351">
        <f>step3_validation[[#This Row],[Dependents]]</f>
        <v>0</v>
      </c>
      <c r="P351" t="str">
        <f>survey_responses[[#This Row],[Số người phụ thuộc (con nhỏ, cha mẹ già...) đủ điều kiện giảm trừ gia cảnh:]]</f>
        <v>0 người</v>
      </c>
      <c r="Q351">
        <f>step3_validation[[#This Row],[AI_ENF1]]</f>
        <v>8</v>
      </c>
      <c r="R351">
        <f t="shared" si="135"/>
        <v>0.77777777777777779</v>
      </c>
      <c r="S351">
        <f>survey_responses[[#This Row],[Tôi tin rằng với các quy định quản lý thuế hiện nay, hành vi gian lận hoặc trốn thuế sẽ dễ dàng bị phát hiện và xử lý nghiêm. - HUMAN-ENF1]]</f>
        <v>7</v>
      </c>
      <c r="T351">
        <f t="shared" si="136"/>
        <v>0.66666666666666663</v>
      </c>
      <c r="U351">
        <f>step3_validation[[#This Row],[AI_ENF2]]</f>
        <v>7</v>
      </c>
      <c r="V351">
        <f t="shared" si="137"/>
        <v>0.66666666666666663</v>
      </c>
      <c r="W351">
        <f>survey_responses[[#This Row],[Tôi tin rằng Nhà nước, cơ quan thuế có đủ khả năng và công nghệ để phát hiện, xử lý nghiêm các hành vi trốn thuế. - HUMAN-ENF2]]</f>
        <v>7</v>
      </c>
      <c r="X351">
        <f t="shared" si="138"/>
        <v>0.66666666666666663</v>
      </c>
      <c r="Y351" s="32">
        <f t="shared" si="139"/>
        <v>0.72222222222222221</v>
      </c>
      <c r="Z351" s="32">
        <f t="shared" si="140"/>
        <v>0.66666666666666663</v>
      </c>
      <c r="AA351">
        <f>step3_validation[[#This Row],[AI_FAC1]]</f>
        <v>9</v>
      </c>
      <c r="AB351">
        <f t="shared" si="141"/>
        <v>0.88888888888888884</v>
      </c>
      <c r="AC351">
        <f>survey_responses[[#This Row],[Các thủ tục khai báo thuế VÀ/HOẶC quy trình làm việc với cơ quan thuế đơn giản, tiện lợi, nhanh chóng hơn so với trước đây. - HUMAN-FAC1]]</f>
        <v>8</v>
      </c>
      <c r="AD351">
        <f t="shared" si="142"/>
        <v>0.77777777777777779</v>
      </c>
      <c r="AE351">
        <f>step3_validation[[#This Row],[AI_FAC2]]</f>
        <v>8</v>
      </c>
      <c r="AF351">
        <f t="shared" si="143"/>
        <v>0.77777777777777779</v>
      </c>
      <c r="AG351">
        <f>survey_responses[[#This Row],[So với trước đây, tôi thấy cách tính thuế và các bậc thuế trong phương án mới đơn giản, dễ hiểu và dễ thực hiện hơn. - HUMAN-FAC2]]</f>
        <v>8</v>
      </c>
      <c r="AH351">
        <f t="shared" si="144"/>
        <v>0.77777777777777779</v>
      </c>
      <c r="AI351" s="32">
        <f t="shared" si="145"/>
        <v>0.83333333333333326</v>
      </c>
      <c r="AJ351" s="32">
        <f t="shared" si="146"/>
        <v>0.77777777777777779</v>
      </c>
      <c r="AK351">
        <f>step3_validation[[#This Row],[AI_TRU1]]</f>
        <v>9</v>
      </c>
      <c r="AL351">
        <f t="shared" si="147"/>
        <v>0.88888888888888884</v>
      </c>
      <c r="AM351">
        <f>survey_responses[[#This Row],[Tôi tin rằng Nhà nước, cơ quan thuế sẽ thực thi chính sách mới một cách khách quan, công tâm và đối xử bình đẳng với mọi người nộp thuế.  - HUMAN-TRU1]]</f>
        <v>7</v>
      </c>
      <c r="AN351">
        <f t="shared" si="148"/>
        <v>0.66666666666666663</v>
      </c>
      <c r="AO351">
        <f>step3_validation[[#This Row],[AI_TRU2]]</f>
        <v>8</v>
      </c>
      <c r="AP351">
        <f t="shared" si="149"/>
        <v>0.77777777777777779</v>
      </c>
      <c r="AQ351">
        <f>survey_responses[[#This Row],[Tôi thấy mức thuế tôi phải đóng theo phương án mới là công bằng (người thu nhập như tôi đóng mức này là hợp lý). - HUMAN-TRU2]]</f>
        <v>7</v>
      </c>
      <c r="AR351">
        <f t="shared" si="150"/>
        <v>0.66666666666666663</v>
      </c>
      <c r="AS351">
        <f>step3_validation[[#This Row],[AI_TRU3]]</f>
        <v>9</v>
      </c>
      <c r="AT351">
        <f t="shared" si="151"/>
        <v>0.88888888888888884</v>
      </c>
      <c r="AU351">
        <f>survey_responses[[#This Row],[Tôi tin tưởng số tiền thuế tôi đóng sẽ được Nhà nước sử dụng hiệu quả để cải thiện dịch vụ công (y tế, đường xá...). - HUMAN-TRU3]]</f>
        <v>8</v>
      </c>
      <c r="AV351">
        <f t="shared" si="152"/>
        <v>0.77777777777777779</v>
      </c>
      <c r="AW351">
        <f>step3_validation[[#This Row],[AI_TRU4]]</f>
        <v>8</v>
      </c>
      <c r="AX351">
        <f t="shared" si="153"/>
        <v>0.77777777777777779</v>
      </c>
      <c r="AY351">
        <f>survey_responses[[#This Row],[Tôi thấy Nhà nước đã giải thích rõ ràng, minh bạch về lý do và mục tiêu của việc sửa đổi thuế lần này. - HUMAN-TRU4]]</f>
        <v>7</v>
      </c>
      <c r="AZ351">
        <f t="shared" si="154"/>
        <v>0.66666666666666663</v>
      </c>
      <c r="BA351" s="32">
        <f t="shared" si="155"/>
        <v>0.83333333333333326</v>
      </c>
      <c r="BB351" s="32">
        <f t="shared" si="156"/>
        <v>0.69444444444444442</v>
      </c>
      <c r="BC351" s="7">
        <f t="shared" si="157"/>
        <v>0.79629629629629617</v>
      </c>
      <c r="BD351" s="7">
        <f t="shared" si="158"/>
        <v>0.71296296296296291</v>
      </c>
      <c r="BE351">
        <f>step3_validation[[#This Row],[AI_OUT1]]</f>
        <v>9</v>
      </c>
      <c r="BF351">
        <f t="shared" si="159"/>
        <v>0.88888888888888884</v>
      </c>
      <c r="BG351">
        <f>survey_responses[[#This Row],[Sau khi xem xét các quyền lợi và nghĩa vụ, bạn có ủng hộ và tuân thủ chính sách mới hiện nay? - HUMAN-OUT1]]</f>
        <v>8</v>
      </c>
      <c r="BH351">
        <f t="shared" si="160"/>
        <v>0.77777777777777779</v>
      </c>
      <c r="BI351" s="32">
        <f t="shared" si="161"/>
        <v>1</v>
      </c>
    </row>
    <row r="352" spans="1:61" x14ac:dyDescent="0.45">
      <c r="A352" s="30">
        <f>step3_validation[[#This Row],[Persona_ID]]</f>
        <v>351</v>
      </c>
      <c r="B352" s="31">
        <f>step3_validation[[#This Row],[Used_Seed]]</f>
        <v>351</v>
      </c>
      <c r="C352" t="str">
        <f>step3_validation[[#This Row],[Gender]]</f>
        <v>Nữ</v>
      </c>
      <c r="D352" t="str">
        <f>survey_responses[[#This Row],[Giới tính của bạn:]]</f>
        <v>Nữ</v>
      </c>
      <c r="E352" t="str">
        <f>step3_validation[[#This Row],[Age_Group]]</f>
        <v>30 - 39</v>
      </c>
      <c r="F352" t="str">
        <f>survey_responses[[#This Row],[Độ tuổi của bạn:]]</f>
        <v>30 - 39</v>
      </c>
      <c r="G352" t="str">
        <f>step3_validation[[#This Row],[Region]]</f>
        <v>Thành thị</v>
      </c>
      <c r="H352" t="str">
        <f>survey_responses[[#This Row],[Khu vực bạn đang sinh sống:]]</f>
        <v>Thành thị</v>
      </c>
      <c r="I352" t="str">
        <f>step3_validation[[#This Row],[Education]]</f>
        <v>Đại học</v>
      </c>
      <c r="J352" t="str">
        <f>survey_responses[[#This Row],[Trình độ học vấn cao nhất:]]</f>
        <v>Đại học</v>
      </c>
      <c r="K352" t="str">
        <f>step3_validation[[#This Row],[Employment]]</f>
        <v>Chính thức</v>
      </c>
      <c r="L352" t="str">
        <f>survey_responses[[#This Row],[Tình trạng việc làm chính:]]</f>
        <v>Khu vực chính thức (Có Hợp đồng lao động, đóng BHXH)</v>
      </c>
      <c r="M352">
        <f>step3_validation[[#This Row],[Income_Mil]]</f>
        <v>41.687752201905596</v>
      </c>
      <c r="N352" t="str">
        <f>survey_responses[[#This Row],[Thu nhập bình quân tháng theo Hợp đồng lao động của bạn là bao nhiêu? (Vui lòng điền tổng thu nhập trước khi khấu trừ các loại Bảo hiểm (BHXH, BHYT, BHTN) và Thuế TNCN)]]</f>
        <v>Từ 32 - 48 triệu VNĐ</v>
      </c>
      <c r="O352">
        <f>step3_validation[[#This Row],[Dependents]]</f>
        <v>2</v>
      </c>
      <c r="P352" t="str">
        <f>survey_responses[[#This Row],[Số người phụ thuộc (con nhỏ, cha mẹ già...) đủ điều kiện giảm trừ gia cảnh:]]</f>
        <v>2 người</v>
      </c>
      <c r="Q352">
        <f>step3_validation[[#This Row],[AI_ENF1]]</f>
        <v>7</v>
      </c>
      <c r="R352">
        <f t="shared" si="135"/>
        <v>0.66666666666666663</v>
      </c>
      <c r="S352">
        <f>survey_responses[[#This Row],[Tôi tin rằng với các quy định quản lý thuế hiện nay, hành vi gian lận hoặc trốn thuế sẽ dễ dàng bị phát hiện và xử lý nghiêm. - HUMAN-ENF1]]</f>
        <v>8</v>
      </c>
      <c r="T352">
        <f t="shared" si="136"/>
        <v>0.77777777777777779</v>
      </c>
      <c r="U352">
        <f>step3_validation[[#This Row],[AI_ENF2]]</f>
        <v>6</v>
      </c>
      <c r="V352">
        <f t="shared" si="137"/>
        <v>0.55555555555555558</v>
      </c>
      <c r="W352">
        <f>survey_responses[[#This Row],[Tôi tin rằng Nhà nước, cơ quan thuế có đủ khả năng và công nghệ để phát hiện, xử lý nghiêm các hành vi trốn thuế. - HUMAN-ENF2]]</f>
        <v>8</v>
      </c>
      <c r="X352">
        <f t="shared" si="138"/>
        <v>0.77777777777777779</v>
      </c>
      <c r="Y352" s="32">
        <f t="shared" si="139"/>
        <v>0.61111111111111116</v>
      </c>
      <c r="Z352" s="32">
        <f t="shared" si="140"/>
        <v>0.77777777777777779</v>
      </c>
      <c r="AA352">
        <f>step3_validation[[#This Row],[AI_FAC1]]</f>
        <v>8</v>
      </c>
      <c r="AB352">
        <f t="shared" si="141"/>
        <v>0.77777777777777779</v>
      </c>
      <c r="AC352">
        <f>survey_responses[[#This Row],[Các thủ tục khai báo thuế VÀ/HOẶC quy trình làm việc với cơ quan thuế đơn giản, tiện lợi, nhanh chóng hơn so với trước đây. - HUMAN-FAC1]]</f>
        <v>6</v>
      </c>
      <c r="AD352">
        <f t="shared" si="142"/>
        <v>0.55555555555555558</v>
      </c>
      <c r="AE352">
        <f>step3_validation[[#This Row],[AI_FAC2]]</f>
        <v>9</v>
      </c>
      <c r="AF352">
        <f t="shared" si="143"/>
        <v>0.88888888888888884</v>
      </c>
      <c r="AG352">
        <f>survey_responses[[#This Row],[So với trước đây, tôi thấy cách tính thuế và các bậc thuế trong phương án mới đơn giản, dễ hiểu và dễ thực hiện hơn. - HUMAN-FAC2]]</f>
        <v>7</v>
      </c>
      <c r="AH352">
        <f t="shared" si="144"/>
        <v>0.66666666666666663</v>
      </c>
      <c r="AI352" s="32">
        <f t="shared" si="145"/>
        <v>0.83333333333333326</v>
      </c>
      <c r="AJ352" s="32">
        <f t="shared" si="146"/>
        <v>0.61111111111111116</v>
      </c>
      <c r="AK352">
        <f>step3_validation[[#This Row],[AI_TRU1]]</f>
        <v>7</v>
      </c>
      <c r="AL352">
        <f t="shared" si="147"/>
        <v>0.66666666666666663</v>
      </c>
      <c r="AM352">
        <f>survey_responses[[#This Row],[Tôi tin rằng Nhà nước, cơ quan thuế sẽ thực thi chính sách mới một cách khách quan, công tâm và đối xử bình đẳng với mọi người nộp thuế.  - HUMAN-TRU1]]</f>
        <v>6</v>
      </c>
      <c r="AN352">
        <f t="shared" si="148"/>
        <v>0.55555555555555558</v>
      </c>
      <c r="AO352">
        <f>step3_validation[[#This Row],[AI_TRU2]]</f>
        <v>8</v>
      </c>
      <c r="AP352">
        <f t="shared" si="149"/>
        <v>0.77777777777777779</v>
      </c>
      <c r="AQ352">
        <f>survey_responses[[#This Row],[Tôi thấy mức thuế tôi phải đóng theo phương án mới là công bằng (người thu nhập như tôi đóng mức này là hợp lý). - HUMAN-TRU2]]</f>
        <v>7</v>
      </c>
      <c r="AR352">
        <f t="shared" si="150"/>
        <v>0.66666666666666663</v>
      </c>
      <c r="AS352">
        <f>step3_validation[[#This Row],[AI_TRU3]]</f>
        <v>6</v>
      </c>
      <c r="AT352">
        <f t="shared" si="151"/>
        <v>0.55555555555555558</v>
      </c>
      <c r="AU352">
        <f>survey_responses[[#This Row],[Tôi tin tưởng số tiền thuế tôi đóng sẽ được Nhà nước sử dụng hiệu quả để cải thiện dịch vụ công (y tế, đường xá...). - HUMAN-TRU3]]</f>
        <v>5</v>
      </c>
      <c r="AV352">
        <f t="shared" si="152"/>
        <v>0.44444444444444442</v>
      </c>
      <c r="AW352">
        <f>step3_validation[[#This Row],[AI_TRU4]]</f>
        <v>8</v>
      </c>
      <c r="AX352">
        <f t="shared" si="153"/>
        <v>0.77777777777777779</v>
      </c>
      <c r="AY352">
        <f>survey_responses[[#This Row],[Tôi thấy Nhà nước đã giải thích rõ ràng, minh bạch về lý do và mục tiêu của việc sửa đổi thuế lần này. - HUMAN-TRU4]]</f>
        <v>7</v>
      </c>
      <c r="AZ352">
        <f t="shared" si="154"/>
        <v>0.66666666666666663</v>
      </c>
      <c r="BA352" s="32">
        <f t="shared" si="155"/>
        <v>0.69444444444444442</v>
      </c>
      <c r="BB352" s="32">
        <f t="shared" si="156"/>
        <v>0.58333333333333337</v>
      </c>
      <c r="BC352" s="7">
        <f t="shared" si="157"/>
        <v>0.71296296296296291</v>
      </c>
      <c r="BD352" s="7">
        <f t="shared" si="158"/>
        <v>0.65740740740740744</v>
      </c>
      <c r="BE352">
        <f>step3_validation[[#This Row],[AI_OUT1]]</f>
        <v>9</v>
      </c>
      <c r="BF352">
        <f t="shared" si="159"/>
        <v>0.88888888888888884</v>
      </c>
      <c r="BG352">
        <f>survey_responses[[#This Row],[Sau khi xem xét các quyền lợi và nghĩa vụ, bạn có ủng hộ và tuân thủ chính sách mới hiện nay? - HUMAN-OUT1]]</f>
        <v>7</v>
      </c>
      <c r="BH352">
        <f t="shared" si="160"/>
        <v>0.66666666666666663</v>
      </c>
      <c r="BI352" s="32">
        <f t="shared" si="161"/>
        <v>2</v>
      </c>
    </row>
    <row r="353" spans="1:61" x14ac:dyDescent="0.45">
      <c r="A353" s="30">
        <f>step3_validation[[#This Row],[Persona_ID]]</f>
        <v>352</v>
      </c>
      <c r="B353" s="31">
        <f>step3_validation[[#This Row],[Used_Seed]]</f>
        <v>352</v>
      </c>
      <c r="C353" t="str">
        <f>step3_validation[[#This Row],[Gender]]</f>
        <v>Nữ</v>
      </c>
      <c r="D353" t="str">
        <f>survey_responses[[#This Row],[Giới tính của bạn:]]</f>
        <v>Nữ</v>
      </c>
      <c r="E353" t="str">
        <f>step3_validation[[#This Row],[Age_Group]]</f>
        <v>30 - 39</v>
      </c>
      <c r="F353" t="str">
        <f>survey_responses[[#This Row],[Độ tuổi của bạn:]]</f>
        <v>30 - 39</v>
      </c>
      <c r="G353" t="str">
        <f>step3_validation[[#This Row],[Region]]</f>
        <v>Thành thị</v>
      </c>
      <c r="H353" t="str">
        <f>survey_responses[[#This Row],[Khu vực bạn đang sinh sống:]]</f>
        <v>Thành thị</v>
      </c>
      <c r="I353" t="str">
        <f>step3_validation[[#This Row],[Education]]</f>
        <v>Đại học</v>
      </c>
      <c r="J353" t="str">
        <f>survey_responses[[#This Row],[Trình độ học vấn cao nhất:]]</f>
        <v>Đại học</v>
      </c>
      <c r="K353" t="str">
        <f>step3_validation[[#This Row],[Employment]]</f>
        <v>Chính thức</v>
      </c>
      <c r="L353" t="str">
        <f>survey_responses[[#This Row],[Tình trạng việc làm chính:]]</f>
        <v>Khu vực chính thức (Có Hợp đồng lao động, đóng BHXH)</v>
      </c>
      <c r="M353">
        <f>step3_validation[[#This Row],[Income_Mil]]</f>
        <v>25.238713197909998</v>
      </c>
      <c r="N353" t="str">
        <f>survey_responses[[#This Row],[Thu nhập bình quân tháng theo Hợp đồng lao động của bạn là bao nhiêu? (Vui lòng điền tổng thu nhập trước khi khấu trừ các loại Bảo hiểm (BHXH, BHYT, BHTN) và Thuế TNCN)]]</f>
        <v>Từ 23 - 32 triệu VNĐ</v>
      </c>
      <c r="O353">
        <f>step3_validation[[#This Row],[Dependents]]</f>
        <v>1</v>
      </c>
      <c r="P353" t="str">
        <f>survey_responses[[#This Row],[Số người phụ thuộc (con nhỏ, cha mẹ già...) đủ điều kiện giảm trừ gia cảnh:]]</f>
        <v>1 người</v>
      </c>
      <c r="Q353">
        <f>step3_validation[[#This Row],[AI_ENF1]]</f>
        <v>6</v>
      </c>
      <c r="R353">
        <f t="shared" si="135"/>
        <v>0.55555555555555558</v>
      </c>
      <c r="S353">
        <f>survey_responses[[#This Row],[Tôi tin rằng với các quy định quản lý thuế hiện nay, hành vi gian lận hoặc trốn thuế sẽ dễ dàng bị phát hiện và xử lý nghiêm. - HUMAN-ENF1]]</f>
        <v>6</v>
      </c>
      <c r="T353">
        <f t="shared" si="136"/>
        <v>0.55555555555555558</v>
      </c>
      <c r="U353">
        <f>step3_validation[[#This Row],[AI_ENF2]]</f>
        <v>8</v>
      </c>
      <c r="V353">
        <f t="shared" si="137"/>
        <v>0.77777777777777779</v>
      </c>
      <c r="W353">
        <f>survey_responses[[#This Row],[Tôi tin rằng Nhà nước, cơ quan thuế có đủ khả năng và công nghệ để phát hiện, xử lý nghiêm các hành vi trốn thuế. - HUMAN-ENF2]]</f>
        <v>6</v>
      </c>
      <c r="X353">
        <f t="shared" si="138"/>
        <v>0.55555555555555558</v>
      </c>
      <c r="Y353" s="32">
        <f t="shared" si="139"/>
        <v>0.66666666666666674</v>
      </c>
      <c r="Z353" s="32">
        <f t="shared" si="140"/>
        <v>0.55555555555555558</v>
      </c>
      <c r="AA353">
        <f>step3_validation[[#This Row],[AI_FAC1]]</f>
        <v>9</v>
      </c>
      <c r="AB353">
        <f t="shared" si="141"/>
        <v>0.88888888888888884</v>
      </c>
      <c r="AC353">
        <f>survey_responses[[#This Row],[Các thủ tục khai báo thuế VÀ/HOẶC quy trình làm việc với cơ quan thuế đơn giản, tiện lợi, nhanh chóng hơn so với trước đây. - HUMAN-FAC1]]</f>
        <v>8</v>
      </c>
      <c r="AD353">
        <f t="shared" si="142"/>
        <v>0.77777777777777779</v>
      </c>
      <c r="AE353">
        <f>step3_validation[[#This Row],[AI_FAC2]]</f>
        <v>8</v>
      </c>
      <c r="AF353">
        <f t="shared" si="143"/>
        <v>0.77777777777777779</v>
      </c>
      <c r="AG353">
        <f>survey_responses[[#This Row],[So với trước đây, tôi thấy cách tính thuế và các bậc thuế trong phương án mới đơn giản, dễ hiểu và dễ thực hiện hơn. - HUMAN-FAC2]]</f>
        <v>7</v>
      </c>
      <c r="AH353">
        <f t="shared" si="144"/>
        <v>0.66666666666666663</v>
      </c>
      <c r="AI353" s="32">
        <f t="shared" si="145"/>
        <v>0.83333333333333326</v>
      </c>
      <c r="AJ353" s="32">
        <f t="shared" si="146"/>
        <v>0.72222222222222221</v>
      </c>
      <c r="AK353">
        <f>step3_validation[[#This Row],[AI_TRU1]]</f>
        <v>9</v>
      </c>
      <c r="AL353">
        <f t="shared" si="147"/>
        <v>0.88888888888888884</v>
      </c>
      <c r="AM353">
        <f>survey_responses[[#This Row],[Tôi tin rằng Nhà nước, cơ quan thuế sẽ thực thi chính sách mới một cách khách quan, công tâm và đối xử bình đẳng với mọi người nộp thuế.  - HUMAN-TRU1]]</f>
        <v>7</v>
      </c>
      <c r="AN353">
        <f t="shared" si="148"/>
        <v>0.66666666666666663</v>
      </c>
      <c r="AO353">
        <f>step3_validation[[#This Row],[AI_TRU2]]</f>
        <v>8</v>
      </c>
      <c r="AP353">
        <f t="shared" si="149"/>
        <v>0.77777777777777779</v>
      </c>
      <c r="AQ353">
        <f>survey_responses[[#This Row],[Tôi thấy mức thuế tôi phải đóng theo phương án mới là công bằng (người thu nhập như tôi đóng mức này là hợp lý). - HUMAN-TRU2]]</f>
        <v>7</v>
      </c>
      <c r="AR353">
        <f t="shared" si="150"/>
        <v>0.66666666666666663</v>
      </c>
      <c r="AS353">
        <f>step3_validation[[#This Row],[AI_TRU3]]</f>
        <v>9</v>
      </c>
      <c r="AT353">
        <f t="shared" si="151"/>
        <v>0.88888888888888884</v>
      </c>
      <c r="AU353">
        <f>survey_responses[[#This Row],[Tôi tin tưởng số tiền thuế tôi đóng sẽ được Nhà nước sử dụng hiệu quả để cải thiện dịch vụ công (y tế, đường xá...). - HUMAN-TRU3]]</f>
        <v>5</v>
      </c>
      <c r="AV353">
        <f t="shared" si="152"/>
        <v>0.44444444444444442</v>
      </c>
      <c r="AW353">
        <f>step3_validation[[#This Row],[AI_TRU4]]</f>
        <v>8</v>
      </c>
      <c r="AX353">
        <f t="shared" si="153"/>
        <v>0.77777777777777779</v>
      </c>
      <c r="AY353">
        <f>survey_responses[[#This Row],[Tôi thấy Nhà nước đã giải thích rõ ràng, minh bạch về lý do và mục tiêu của việc sửa đổi thuế lần này. - HUMAN-TRU4]]</f>
        <v>6</v>
      </c>
      <c r="AZ353">
        <f t="shared" si="154"/>
        <v>0.55555555555555558</v>
      </c>
      <c r="BA353" s="32">
        <f t="shared" si="155"/>
        <v>0.83333333333333326</v>
      </c>
      <c r="BB353" s="32">
        <f t="shared" si="156"/>
        <v>0.58333333333333326</v>
      </c>
      <c r="BC353" s="7">
        <f t="shared" si="157"/>
        <v>0.77777777777777768</v>
      </c>
      <c r="BD353" s="7">
        <f t="shared" si="158"/>
        <v>0.62037037037037035</v>
      </c>
      <c r="BE353">
        <f>step3_validation[[#This Row],[AI_OUT1]]</f>
        <v>9</v>
      </c>
      <c r="BF353">
        <f t="shared" si="159"/>
        <v>0.88888888888888884</v>
      </c>
      <c r="BG353">
        <f>survey_responses[[#This Row],[Sau khi xem xét các quyền lợi và nghĩa vụ, bạn có ủng hộ và tuân thủ chính sách mới hiện nay? - HUMAN-OUT1]]</f>
        <v>7</v>
      </c>
      <c r="BH353">
        <f t="shared" si="160"/>
        <v>0.66666666666666663</v>
      </c>
      <c r="BI353" s="32">
        <f t="shared" si="161"/>
        <v>2</v>
      </c>
    </row>
    <row r="354" spans="1:61" x14ac:dyDescent="0.45">
      <c r="A354" s="30">
        <f>step3_validation[[#This Row],[Persona_ID]]</f>
        <v>353</v>
      </c>
      <c r="B354" s="31">
        <f>step3_validation[[#This Row],[Used_Seed]]</f>
        <v>353</v>
      </c>
      <c r="C354" t="str">
        <f>step3_validation[[#This Row],[Gender]]</f>
        <v>Nam</v>
      </c>
      <c r="D354" t="str">
        <f>survey_responses[[#This Row],[Giới tính của bạn:]]</f>
        <v>Nam</v>
      </c>
      <c r="E354" t="str">
        <f>step3_validation[[#This Row],[Age_Group]]</f>
        <v>40 - 49</v>
      </c>
      <c r="F354" t="str">
        <f>survey_responses[[#This Row],[Độ tuổi của bạn:]]</f>
        <v>40 - 49</v>
      </c>
      <c r="G354" t="str">
        <f>step3_validation[[#This Row],[Region]]</f>
        <v>Thành thị</v>
      </c>
      <c r="H354" t="str">
        <f>survey_responses[[#This Row],[Khu vực bạn đang sinh sống:]]</f>
        <v>Thành thị</v>
      </c>
      <c r="I354" t="str">
        <f>step3_validation[[#This Row],[Education]]</f>
        <v>Đại học</v>
      </c>
      <c r="J354" t="str">
        <f>survey_responses[[#This Row],[Trình độ học vấn cao nhất:]]</f>
        <v>Đại học</v>
      </c>
      <c r="K354" t="str">
        <f>step3_validation[[#This Row],[Employment]]</f>
        <v>Chính thức</v>
      </c>
      <c r="L354" t="str">
        <f>survey_responses[[#This Row],[Tình trạng việc làm chính:]]</f>
        <v>Khu vực chính thức (Có Hợp đồng lao động, đóng BHXH)</v>
      </c>
      <c r="M354">
        <f>step3_validation[[#This Row],[Income_Mil]]</f>
        <v>94.443659947212794</v>
      </c>
      <c r="N354" t="str">
        <f>survey_responses[[#This Row],[Thu nhập bình quân tháng theo Hợp đồng lao động của bạn là bao nhiêu? (Vui lòng điền tổng thu nhập trước khi khấu trừ các loại Bảo hiểm (BHXH, BHYT, BHTN) và Thuế TNCN)]]</f>
        <v>Từ 70 - 102 triệu VNĐ</v>
      </c>
      <c r="O354">
        <f>step3_validation[[#This Row],[Dependents]]</f>
        <v>4</v>
      </c>
      <c r="P354" t="str">
        <f>survey_responses[[#This Row],[Số người phụ thuộc (con nhỏ, cha mẹ già...) đủ điều kiện giảm trừ gia cảnh:]]</f>
        <v>4 người trở lên</v>
      </c>
      <c r="Q354">
        <f>step3_validation[[#This Row],[AI_ENF1]]</f>
        <v>6</v>
      </c>
      <c r="R354">
        <f t="shared" si="135"/>
        <v>0.55555555555555558</v>
      </c>
      <c r="S354">
        <f>survey_responses[[#This Row],[Tôi tin rằng với các quy định quản lý thuế hiện nay, hành vi gian lận hoặc trốn thuế sẽ dễ dàng bị phát hiện và xử lý nghiêm. - HUMAN-ENF1]]</f>
        <v>7</v>
      </c>
      <c r="T354">
        <f t="shared" si="136"/>
        <v>0.66666666666666663</v>
      </c>
      <c r="U354">
        <f>step3_validation[[#This Row],[AI_ENF2]]</f>
        <v>7</v>
      </c>
      <c r="V354">
        <f t="shared" si="137"/>
        <v>0.66666666666666663</v>
      </c>
      <c r="W354">
        <f>survey_responses[[#This Row],[Tôi tin rằng Nhà nước, cơ quan thuế có đủ khả năng và công nghệ để phát hiện, xử lý nghiêm các hành vi trốn thuế. - HUMAN-ENF2]]</f>
        <v>7</v>
      </c>
      <c r="X354">
        <f t="shared" si="138"/>
        <v>0.66666666666666663</v>
      </c>
      <c r="Y354" s="32">
        <f t="shared" si="139"/>
        <v>0.61111111111111116</v>
      </c>
      <c r="Z354" s="32">
        <f t="shared" si="140"/>
        <v>0.66666666666666663</v>
      </c>
      <c r="AA354">
        <f>step3_validation[[#This Row],[AI_FAC1]]</f>
        <v>8</v>
      </c>
      <c r="AB354">
        <f t="shared" si="141"/>
        <v>0.77777777777777779</v>
      </c>
      <c r="AC354">
        <f>survey_responses[[#This Row],[Các thủ tục khai báo thuế VÀ/HOẶC quy trình làm việc với cơ quan thuế đơn giản, tiện lợi, nhanh chóng hơn so với trước đây. - HUMAN-FAC1]]</f>
        <v>8</v>
      </c>
      <c r="AD354">
        <f t="shared" si="142"/>
        <v>0.77777777777777779</v>
      </c>
      <c r="AE354">
        <f>step3_validation[[#This Row],[AI_FAC2]]</f>
        <v>9</v>
      </c>
      <c r="AF354">
        <f t="shared" si="143"/>
        <v>0.88888888888888884</v>
      </c>
      <c r="AG354">
        <f>survey_responses[[#This Row],[So với trước đây, tôi thấy cách tính thuế và các bậc thuế trong phương án mới đơn giản, dễ hiểu và dễ thực hiện hơn. - HUMAN-FAC2]]</f>
        <v>8</v>
      </c>
      <c r="AH354">
        <f t="shared" si="144"/>
        <v>0.77777777777777779</v>
      </c>
      <c r="AI354" s="32">
        <f t="shared" si="145"/>
        <v>0.83333333333333326</v>
      </c>
      <c r="AJ354" s="32">
        <f t="shared" si="146"/>
        <v>0.77777777777777779</v>
      </c>
      <c r="AK354">
        <f>step3_validation[[#This Row],[AI_TRU1]]</f>
        <v>7</v>
      </c>
      <c r="AL354">
        <f t="shared" si="147"/>
        <v>0.66666666666666663</v>
      </c>
      <c r="AM354">
        <f>survey_responses[[#This Row],[Tôi tin rằng Nhà nước, cơ quan thuế sẽ thực thi chính sách mới một cách khách quan, công tâm và đối xử bình đẳng với mọi người nộp thuế.  - HUMAN-TRU1]]</f>
        <v>6</v>
      </c>
      <c r="AN354">
        <f t="shared" si="148"/>
        <v>0.55555555555555558</v>
      </c>
      <c r="AO354">
        <f>step3_validation[[#This Row],[AI_TRU2]]</f>
        <v>8</v>
      </c>
      <c r="AP354">
        <f t="shared" si="149"/>
        <v>0.77777777777777779</v>
      </c>
      <c r="AQ354">
        <f>survey_responses[[#This Row],[Tôi thấy mức thuế tôi phải đóng theo phương án mới là công bằng (người thu nhập như tôi đóng mức này là hợp lý). - HUMAN-TRU2]]</f>
        <v>7</v>
      </c>
      <c r="AR354">
        <f t="shared" si="150"/>
        <v>0.66666666666666663</v>
      </c>
      <c r="AS354">
        <f>step3_validation[[#This Row],[AI_TRU3]]</f>
        <v>9</v>
      </c>
      <c r="AT354">
        <f t="shared" si="151"/>
        <v>0.88888888888888884</v>
      </c>
      <c r="AU354">
        <f>survey_responses[[#This Row],[Tôi tin tưởng số tiền thuế tôi đóng sẽ được Nhà nước sử dụng hiệu quả để cải thiện dịch vụ công (y tế, đường xá...). - HUMAN-TRU3]]</f>
        <v>5</v>
      </c>
      <c r="AV354">
        <f t="shared" si="152"/>
        <v>0.44444444444444442</v>
      </c>
      <c r="AW354">
        <f>step3_validation[[#This Row],[AI_TRU4]]</f>
        <v>7</v>
      </c>
      <c r="AX354">
        <f t="shared" si="153"/>
        <v>0.66666666666666663</v>
      </c>
      <c r="AY354">
        <f>survey_responses[[#This Row],[Tôi thấy Nhà nước đã giải thích rõ ràng, minh bạch về lý do và mục tiêu của việc sửa đổi thuế lần này. - HUMAN-TRU4]]</f>
        <v>7</v>
      </c>
      <c r="AZ354">
        <f t="shared" si="154"/>
        <v>0.66666666666666663</v>
      </c>
      <c r="BA354" s="32">
        <f t="shared" si="155"/>
        <v>0.74999999999999989</v>
      </c>
      <c r="BB354" s="32">
        <f t="shared" si="156"/>
        <v>0.58333333333333337</v>
      </c>
      <c r="BC354" s="7">
        <f t="shared" si="157"/>
        <v>0.7314814814814814</v>
      </c>
      <c r="BD354" s="7">
        <f t="shared" si="158"/>
        <v>0.67592592592592593</v>
      </c>
      <c r="BE354">
        <f>step3_validation[[#This Row],[AI_OUT1]]</f>
        <v>9</v>
      </c>
      <c r="BF354">
        <f t="shared" si="159"/>
        <v>0.88888888888888884</v>
      </c>
      <c r="BG354">
        <f>survey_responses[[#This Row],[Sau khi xem xét các quyền lợi và nghĩa vụ, bạn có ủng hộ và tuân thủ chính sách mới hiện nay? - HUMAN-OUT1]]</f>
        <v>7</v>
      </c>
      <c r="BH354">
        <f t="shared" si="160"/>
        <v>0.66666666666666663</v>
      </c>
      <c r="BI354" s="32">
        <f t="shared" si="161"/>
        <v>2</v>
      </c>
    </row>
    <row r="355" spans="1:61" x14ac:dyDescent="0.45">
      <c r="A355" s="30">
        <f>step3_validation[[#This Row],[Persona_ID]]</f>
        <v>354</v>
      </c>
      <c r="B355" s="31">
        <f>step3_validation[[#This Row],[Used_Seed]]</f>
        <v>354</v>
      </c>
      <c r="C355" t="str">
        <f>step3_validation[[#This Row],[Gender]]</f>
        <v>Nữ</v>
      </c>
      <c r="D355" t="str">
        <f>survey_responses[[#This Row],[Giới tính của bạn:]]</f>
        <v>Nữ</v>
      </c>
      <c r="E355" t="str">
        <f>step3_validation[[#This Row],[Age_Group]]</f>
        <v>18 - 24</v>
      </c>
      <c r="F355" t="str">
        <f>survey_responses[[#This Row],[Độ tuổi của bạn:]]</f>
        <v>18 - 24</v>
      </c>
      <c r="G355" t="str">
        <f>step3_validation[[#This Row],[Region]]</f>
        <v>Thành thị</v>
      </c>
      <c r="H355" t="str">
        <f>survey_responses[[#This Row],[Khu vực bạn đang sinh sống:]]</f>
        <v>Thành thị</v>
      </c>
      <c r="I355" t="str">
        <f>step3_validation[[#This Row],[Education]]</f>
        <v>Đại học</v>
      </c>
      <c r="J355" t="str">
        <f>survey_responses[[#This Row],[Trình độ học vấn cao nhất:]]</f>
        <v>Đại học</v>
      </c>
      <c r="K355" t="str">
        <f>step3_validation[[#This Row],[Employment]]</f>
        <v>Chính thức</v>
      </c>
      <c r="L355" t="str">
        <f>survey_responses[[#This Row],[Tình trạng việc làm chính:]]</f>
        <v>Khu vực chính thức (Có Hợp đồng lao động, đóng BHXH)</v>
      </c>
      <c r="M355">
        <f>step3_validation[[#This Row],[Income_Mil]]</f>
        <v>15.09854392394401</v>
      </c>
      <c r="N355" t="str">
        <f>survey_responses[[#This Row],[Thu nhập bình quân tháng theo Hợp đồng lao động của bạn là bao nhiêu? (Vui lòng điền tổng thu nhập trước khi khấu trừ các loại Bảo hiểm (BHXH, BHYT, BHTN) và Thuế TNCN)]]</f>
        <v>Từ 12 - 18 triệu VNĐ</v>
      </c>
      <c r="O355">
        <f>step3_validation[[#This Row],[Dependents]]</f>
        <v>0</v>
      </c>
      <c r="P355" t="str">
        <f>survey_responses[[#This Row],[Số người phụ thuộc (con nhỏ, cha mẹ già...) đủ điều kiện giảm trừ gia cảnh:]]</f>
        <v>0 người</v>
      </c>
      <c r="Q355">
        <f>step3_validation[[#This Row],[AI_ENF1]]</f>
        <v>8</v>
      </c>
      <c r="R355">
        <f t="shared" si="135"/>
        <v>0.77777777777777779</v>
      </c>
      <c r="S355">
        <f>survey_responses[[#This Row],[Tôi tin rằng với các quy định quản lý thuế hiện nay, hành vi gian lận hoặc trốn thuế sẽ dễ dàng bị phát hiện và xử lý nghiêm. - HUMAN-ENF1]]</f>
        <v>9</v>
      </c>
      <c r="T355">
        <f t="shared" si="136"/>
        <v>0.88888888888888884</v>
      </c>
      <c r="U355">
        <f>step3_validation[[#This Row],[AI_ENF2]]</f>
        <v>9</v>
      </c>
      <c r="V355">
        <f t="shared" si="137"/>
        <v>0.88888888888888884</v>
      </c>
      <c r="W355">
        <f>survey_responses[[#This Row],[Tôi tin rằng Nhà nước, cơ quan thuế có đủ khả năng và công nghệ để phát hiện, xử lý nghiêm các hành vi trốn thuế. - HUMAN-ENF2]]</f>
        <v>9</v>
      </c>
      <c r="X355">
        <f t="shared" si="138"/>
        <v>0.88888888888888884</v>
      </c>
      <c r="Y355" s="32">
        <f t="shared" si="139"/>
        <v>0.83333333333333326</v>
      </c>
      <c r="Z355" s="32">
        <f t="shared" si="140"/>
        <v>0.88888888888888884</v>
      </c>
      <c r="AA355">
        <f>step3_validation[[#This Row],[AI_FAC1]]</f>
        <v>9</v>
      </c>
      <c r="AB355">
        <f t="shared" si="141"/>
        <v>0.88888888888888884</v>
      </c>
      <c r="AC355">
        <f>survey_responses[[#This Row],[Các thủ tục khai báo thuế VÀ/HOẶC quy trình làm việc với cơ quan thuế đơn giản, tiện lợi, nhanh chóng hơn so với trước đây. - HUMAN-FAC1]]</f>
        <v>10</v>
      </c>
      <c r="AD355">
        <f t="shared" si="142"/>
        <v>1</v>
      </c>
      <c r="AE355">
        <f>step3_validation[[#This Row],[AI_FAC2]]</f>
        <v>9</v>
      </c>
      <c r="AF355">
        <f t="shared" si="143"/>
        <v>0.88888888888888884</v>
      </c>
      <c r="AG355">
        <f>survey_responses[[#This Row],[So với trước đây, tôi thấy cách tính thuế và các bậc thuế trong phương án mới đơn giản, dễ hiểu và dễ thực hiện hơn. - HUMAN-FAC2]]</f>
        <v>10</v>
      </c>
      <c r="AH355">
        <f t="shared" si="144"/>
        <v>1</v>
      </c>
      <c r="AI355" s="32">
        <f t="shared" si="145"/>
        <v>0.88888888888888884</v>
      </c>
      <c r="AJ355" s="32">
        <f t="shared" si="146"/>
        <v>1</v>
      </c>
      <c r="AK355">
        <f>step3_validation[[#This Row],[AI_TRU1]]</f>
        <v>8</v>
      </c>
      <c r="AL355">
        <f t="shared" si="147"/>
        <v>0.77777777777777779</v>
      </c>
      <c r="AM355">
        <f>survey_responses[[#This Row],[Tôi tin rằng Nhà nước, cơ quan thuế sẽ thực thi chính sách mới một cách khách quan, công tâm và đối xử bình đẳng với mọi người nộp thuế.  - HUMAN-TRU1]]</f>
        <v>9</v>
      </c>
      <c r="AN355">
        <f t="shared" si="148"/>
        <v>0.88888888888888884</v>
      </c>
      <c r="AO355">
        <f>step3_validation[[#This Row],[AI_TRU2]]</f>
        <v>9</v>
      </c>
      <c r="AP355">
        <f t="shared" si="149"/>
        <v>0.88888888888888884</v>
      </c>
      <c r="AQ355">
        <f>survey_responses[[#This Row],[Tôi thấy mức thuế tôi phải đóng theo phương án mới là công bằng (người thu nhập như tôi đóng mức này là hợp lý). - HUMAN-TRU2]]</f>
        <v>10</v>
      </c>
      <c r="AR355">
        <f t="shared" si="150"/>
        <v>1</v>
      </c>
      <c r="AS355">
        <f>step3_validation[[#This Row],[AI_TRU3]]</f>
        <v>9</v>
      </c>
      <c r="AT355">
        <f t="shared" si="151"/>
        <v>0.88888888888888884</v>
      </c>
      <c r="AU355">
        <f>survey_responses[[#This Row],[Tôi tin tưởng số tiền thuế tôi đóng sẽ được Nhà nước sử dụng hiệu quả để cải thiện dịch vụ công (y tế, đường xá...). - HUMAN-TRU3]]</f>
        <v>8</v>
      </c>
      <c r="AV355">
        <f t="shared" si="152"/>
        <v>0.77777777777777779</v>
      </c>
      <c r="AW355">
        <f>step3_validation[[#This Row],[AI_TRU4]]</f>
        <v>8</v>
      </c>
      <c r="AX355">
        <f t="shared" si="153"/>
        <v>0.77777777777777779</v>
      </c>
      <c r="AY355">
        <f>survey_responses[[#This Row],[Tôi thấy Nhà nước đã giải thích rõ ràng, minh bạch về lý do và mục tiêu của việc sửa đổi thuế lần này. - HUMAN-TRU4]]</f>
        <v>8</v>
      </c>
      <c r="AZ355">
        <f t="shared" si="154"/>
        <v>0.77777777777777779</v>
      </c>
      <c r="BA355" s="32">
        <f t="shared" si="155"/>
        <v>0.83333333333333326</v>
      </c>
      <c r="BB355" s="32">
        <f t="shared" si="156"/>
        <v>0.86111111111111105</v>
      </c>
      <c r="BC355" s="7">
        <f t="shared" si="157"/>
        <v>0.85185185185185175</v>
      </c>
      <c r="BD355" s="7">
        <f t="shared" si="158"/>
        <v>0.91666666666666663</v>
      </c>
      <c r="BE355">
        <f>step3_validation[[#This Row],[AI_OUT1]]</f>
        <v>9</v>
      </c>
      <c r="BF355">
        <f t="shared" si="159"/>
        <v>0.88888888888888884</v>
      </c>
      <c r="BG355">
        <f>survey_responses[[#This Row],[Sau khi xem xét các quyền lợi và nghĩa vụ, bạn có ủng hộ và tuân thủ chính sách mới hiện nay? - HUMAN-OUT1]]</f>
        <v>9</v>
      </c>
      <c r="BH355">
        <f t="shared" si="160"/>
        <v>0.88888888888888884</v>
      </c>
      <c r="BI355" s="32">
        <f t="shared" si="161"/>
        <v>0</v>
      </c>
    </row>
    <row r="356" spans="1:61" x14ac:dyDescent="0.45">
      <c r="A356" s="30">
        <f>step3_validation[[#This Row],[Persona_ID]]</f>
        <v>355</v>
      </c>
      <c r="B356" s="31">
        <f>step3_validation[[#This Row],[Used_Seed]]</f>
        <v>355</v>
      </c>
      <c r="C356" t="str">
        <f>step3_validation[[#This Row],[Gender]]</f>
        <v>Nam</v>
      </c>
      <c r="D356" t="str">
        <f>survey_responses[[#This Row],[Giới tính của bạn:]]</f>
        <v>Nam</v>
      </c>
      <c r="E356" t="str">
        <f>step3_validation[[#This Row],[Age_Group]]</f>
        <v>18 - 24</v>
      </c>
      <c r="F356" t="str">
        <f>survey_responses[[#This Row],[Độ tuổi của bạn:]]</f>
        <v>18 - 24</v>
      </c>
      <c r="G356" t="str">
        <f>step3_validation[[#This Row],[Region]]</f>
        <v>Thành thị</v>
      </c>
      <c r="H356" t="str">
        <f>survey_responses[[#This Row],[Khu vực bạn đang sinh sống:]]</f>
        <v>Thành thị</v>
      </c>
      <c r="I356" t="str">
        <f>step3_validation[[#This Row],[Education]]</f>
        <v>Đại học</v>
      </c>
      <c r="J356" t="str">
        <f>survey_responses[[#This Row],[Trình độ học vấn cao nhất:]]</f>
        <v>Đại học</v>
      </c>
      <c r="K356" t="str">
        <f>step3_validation[[#This Row],[Employment]]</f>
        <v>Chính thức</v>
      </c>
      <c r="L356" t="str">
        <f>survey_responses[[#This Row],[Tình trạng việc làm chính:]]</f>
        <v>Khu vực chính thức (Có Hợp đồng lao động, đóng BHXH)</v>
      </c>
      <c r="M356">
        <f>step3_validation[[#This Row],[Income_Mil]]</f>
        <v>13.048571564590558</v>
      </c>
      <c r="N356" t="str">
        <f>survey_responses[[#This Row],[Thu nhập bình quân tháng theo Hợp đồng lao động của bạn là bao nhiêu? (Vui lòng điền tổng thu nhập trước khi khấu trừ các loại Bảo hiểm (BHXH, BHYT, BHTN) và Thuế TNCN)]]</f>
        <v>Từ 12 - 18 triệu VNĐ</v>
      </c>
      <c r="O356">
        <f>step3_validation[[#This Row],[Dependents]]</f>
        <v>0</v>
      </c>
      <c r="P356" t="str">
        <f>survey_responses[[#This Row],[Số người phụ thuộc (con nhỏ, cha mẹ già...) đủ điều kiện giảm trừ gia cảnh:]]</f>
        <v>0 người</v>
      </c>
      <c r="Q356">
        <f>step3_validation[[#This Row],[AI_ENF1]]</f>
        <v>9</v>
      </c>
      <c r="R356">
        <f t="shared" si="135"/>
        <v>0.88888888888888884</v>
      </c>
      <c r="S356">
        <f>survey_responses[[#This Row],[Tôi tin rằng với các quy định quản lý thuế hiện nay, hành vi gian lận hoặc trốn thuế sẽ dễ dàng bị phát hiện và xử lý nghiêm. - HUMAN-ENF1]]</f>
        <v>7</v>
      </c>
      <c r="T356">
        <f t="shared" si="136"/>
        <v>0.66666666666666663</v>
      </c>
      <c r="U356">
        <f>step3_validation[[#This Row],[AI_ENF2]]</f>
        <v>8</v>
      </c>
      <c r="V356">
        <f t="shared" si="137"/>
        <v>0.77777777777777779</v>
      </c>
      <c r="W356">
        <f>survey_responses[[#This Row],[Tôi tin rằng Nhà nước, cơ quan thuế có đủ khả năng và công nghệ để phát hiện, xử lý nghiêm các hành vi trốn thuế. - HUMAN-ENF2]]</f>
        <v>8</v>
      </c>
      <c r="X356">
        <f t="shared" si="138"/>
        <v>0.77777777777777779</v>
      </c>
      <c r="Y356" s="32">
        <f t="shared" si="139"/>
        <v>0.83333333333333326</v>
      </c>
      <c r="Z356" s="32">
        <f t="shared" si="140"/>
        <v>0.72222222222222221</v>
      </c>
      <c r="AA356">
        <f>step3_validation[[#This Row],[AI_FAC1]]</f>
        <v>9</v>
      </c>
      <c r="AB356">
        <f t="shared" si="141"/>
        <v>0.88888888888888884</v>
      </c>
      <c r="AC356">
        <f>survey_responses[[#This Row],[Các thủ tục khai báo thuế VÀ/HOẶC quy trình làm việc với cơ quan thuế đơn giản, tiện lợi, nhanh chóng hơn so với trước đây. - HUMAN-FAC1]]</f>
        <v>8</v>
      </c>
      <c r="AD356">
        <f t="shared" si="142"/>
        <v>0.77777777777777779</v>
      </c>
      <c r="AE356">
        <f>step3_validation[[#This Row],[AI_FAC2]]</f>
        <v>8</v>
      </c>
      <c r="AF356">
        <f t="shared" si="143"/>
        <v>0.77777777777777779</v>
      </c>
      <c r="AG356">
        <f>survey_responses[[#This Row],[So với trước đây, tôi thấy cách tính thuế và các bậc thuế trong phương án mới đơn giản, dễ hiểu và dễ thực hiện hơn. - HUMAN-FAC2]]</f>
        <v>9</v>
      </c>
      <c r="AH356">
        <f t="shared" si="144"/>
        <v>0.88888888888888884</v>
      </c>
      <c r="AI356" s="32">
        <f t="shared" si="145"/>
        <v>0.83333333333333326</v>
      </c>
      <c r="AJ356" s="32">
        <f t="shared" si="146"/>
        <v>0.83333333333333326</v>
      </c>
      <c r="AK356">
        <f>step3_validation[[#This Row],[AI_TRU1]]</f>
        <v>9</v>
      </c>
      <c r="AL356">
        <f t="shared" si="147"/>
        <v>0.88888888888888884</v>
      </c>
      <c r="AM356">
        <f>survey_responses[[#This Row],[Tôi tin rằng Nhà nước, cơ quan thuế sẽ thực thi chính sách mới một cách khách quan, công tâm và đối xử bình đẳng với mọi người nộp thuế.  - HUMAN-TRU1]]</f>
        <v>8</v>
      </c>
      <c r="AN356">
        <f t="shared" si="148"/>
        <v>0.77777777777777779</v>
      </c>
      <c r="AO356">
        <f>step3_validation[[#This Row],[AI_TRU2]]</f>
        <v>8</v>
      </c>
      <c r="AP356">
        <f t="shared" si="149"/>
        <v>0.77777777777777779</v>
      </c>
      <c r="AQ356">
        <f>survey_responses[[#This Row],[Tôi thấy mức thuế tôi phải đóng theo phương án mới là công bằng (người thu nhập như tôi đóng mức này là hợp lý). - HUMAN-TRU2]]</f>
        <v>10</v>
      </c>
      <c r="AR356">
        <f t="shared" si="150"/>
        <v>1</v>
      </c>
      <c r="AS356">
        <f>step3_validation[[#This Row],[AI_TRU3]]</f>
        <v>9</v>
      </c>
      <c r="AT356">
        <f t="shared" si="151"/>
        <v>0.88888888888888884</v>
      </c>
      <c r="AU356">
        <f>survey_responses[[#This Row],[Tôi tin tưởng số tiền thuế tôi đóng sẽ được Nhà nước sử dụng hiệu quả để cải thiện dịch vụ công (y tế, đường xá...). - HUMAN-TRU3]]</f>
        <v>8</v>
      </c>
      <c r="AV356">
        <f t="shared" si="152"/>
        <v>0.77777777777777779</v>
      </c>
      <c r="AW356">
        <f>step3_validation[[#This Row],[AI_TRU4]]</f>
        <v>8</v>
      </c>
      <c r="AX356">
        <f t="shared" si="153"/>
        <v>0.77777777777777779</v>
      </c>
      <c r="AY356">
        <f>survey_responses[[#This Row],[Tôi thấy Nhà nước đã giải thích rõ ràng, minh bạch về lý do và mục tiêu của việc sửa đổi thuế lần này. - HUMAN-TRU4]]</f>
        <v>8</v>
      </c>
      <c r="AZ356">
        <f t="shared" si="154"/>
        <v>0.77777777777777779</v>
      </c>
      <c r="BA356" s="32">
        <f t="shared" si="155"/>
        <v>0.83333333333333326</v>
      </c>
      <c r="BB356" s="32">
        <f t="shared" si="156"/>
        <v>0.83333333333333326</v>
      </c>
      <c r="BC356" s="7">
        <f t="shared" si="157"/>
        <v>0.83333333333333337</v>
      </c>
      <c r="BD356" s="7">
        <f t="shared" si="158"/>
        <v>0.79629629629629617</v>
      </c>
      <c r="BE356">
        <f>step3_validation[[#This Row],[AI_OUT1]]</f>
        <v>9</v>
      </c>
      <c r="BF356">
        <f t="shared" si="159"/>
        <v>0.88888888888888884</v>
      </c>
      <c r="BG356">
        <f>survey_responses[[#This Row],[Sau khi xem xét các quyền lợi và nghĩa vụ, bạn có ủng hộ và tuân thủ chính sách mới hiện nay? - HUMAN-OUT1]]</f>
        <v>9</v>
      </c>
      <c r="BH356">
        <f t="shared" si="160"/>
        <v>0.88888888888888884</v>
      </c>
      <c r="BI356" s="32">
        <f t="shared" si="161"/>
        <v>0</v>
      </c>
    </row>
    <row r="357" spans="1:61" x14ac:dyDescent="0.45">
      <c r="A357" s="30">
        <f>step3_validation[[#This Row],[Persona_ID]]</f>
        <v>356</v>
      </c>
      <c r="B357" s="31">
        <f>step3_validation[[#This Row],[Used_Seed]]</f>
        <v>356</v>
      </c>
      <c r="C357" t="str">
        <f>step3_validation[[#This Row],[Gender]]</f>
        <v>Nam</v>
      </c>
      <c r="D357" t="str">
        <f>survey_responses[[#This Row],[Giới tính của bạn:]]</f>
        <v>Nam</v>
      </c>
      <c r="E357" t="str">
        <f>step3_validation[[#This Row],[Age_Group]]</f>
        <v>18 - 24</v>
      </c>
      <c r="F357" t="str">
        <f>survey_responses[[#This Row],[Độ tuổi của bạn:]]</f>
        <v>18 - 24</v>
      </c>
      <c r="G357" t="str">
        <f>step3_validation[[#This Row],[Region]]</f>
        <v>Thành thị</v>
      </c>
      <c r="H357" t="str">
        <f>survey_responses[[#This Row],[Khu vực bạn đang sinh sống:]]</f>
        <v>Thành thị</v>
      </c>
      <c r="I357" t="str">
        <f>step3_validation[[#This Row],[Education]]</f>
        <v>Đại học</v>
      </c>
      <c r="J357" t="str">
        <f>survey_responses[[#This Row],[Trình độ học vấn cao nhất:]]</f>
        <v>Đại học</v>
      </c>
      <c r="K357" t="str">
        <f>step3_validation[[#This Row],[Employment]]</f>
        <v>Chính thức</v>
      </c>
      <c r="L357" t="str">
        <f>survey_responses[[#This Row],[Tình trạng việc làm chính:]]</f>
        <v>Khu vực chính thức (Có Hợp đồng lao động, đóng BHXH)</v>
      </c>
      <c r="M357">
        <f>step3_validation[[#This Row],[Income_Mil]]</f>
        <v>13.395097941884634</v>
      </c>
      <c r="N357" t="str">
        <f>survey_responses[[#This Row],[Thu nhập bình quân tháng theo Hợp đồng lao động của bạn là bao nhiêu? (Vui lòng điền tổng thu nhập trước khi khấu trừ các loại Bảo hiểm (BHXH, BHYT, BHTN) và Thuế TNCN)]]</f>
        <v>Từ 12 - 18 triệu VNĐ</v>
      </c>
      <c r="O357">
        <f>step3_validation[[#This Row],[Dependents]]</f>
        <v>0</v>
      </c>
      <c r="P357" t="str">
        <f>survey_responses[[#This Row],[Số người phụ thuộc (con nhỏ, cha mẹ già...) đủ điều kiện giảm trừ gia cảnh:]]</f>
        <v>0 người</v>
      </c>
      <c r="Q357">
        <f>step3_validation[[#This Row],[AI_ENF1]]</f>
        <v>8</v>
      </c>
      <c r="R357">
        <f t="shared" si="135"/>
        <v>0.77777777777777779</v>
      </c>
      <c r="S357">
        <f>survey_responses[[#This Row],[Tôi tin rằng với các quy định quản lý thuế hiện nay, hành vi gian lận hoặc trốn thuế sẽ dễ dàng bị phát hiện và xử lý nghiêm. - HUMAN-ENF1]]</f>
        <v>7</v>
      </c>
      <c r="T357">
        <f t="shared" si="136"/>
        <v>0.66666666666666663</v>
      </c>
      <c r="U357">
        <f>step3_validation[[#This Row],[AI_ENF2]]</f>
        <v>9</v>
      </c>
      <c r="V357">
        <f t="shared" si="137"/>
        <v>0.88888888888888884</v>
      </c>
      <c r="W357">
        <f>survey_responses[[#This Row],[Tôi tin rằng Nhà nước, cơ quan thuế có đủ khả năng và công nghệ để phát hiện, xử lý nghiêm các hành vi trốn thuế. - HUMAN-ENF2]]</f>
        <v>7</v>
      </c>
      <c r="X357">
        <f t="shared" si="138"/>
        <v>0.66666666666666663</v>
      </c>
      <c r="Y357" s="32">
        <f t="shared" si="139"/>
        <v>0.83333333333333326</v>
      </c>
      <c r="Z357" s="32">
        <f t="shared" si="140"/>
        <v>0.66666666666666663</v>
      </c>
      <c r="AA357">
        <f>step3_validation[[#This Row],[AI_FAC1]]</f>
        <v>8</v>
      </c>
      <c r="AB357">
        <f t="shared" si="141"/>
        <v>0.77777777777777779</v>
      </c>
      <c r="AC357">
        <f>survey_responses[[#This Row],[Các thủ tục khai báo thuế VÀ/HOẶC quy trình làm việc với cơ quan thuế đơn giản, tiện lợi, nhanh chóng hơn so với trước đây. - HUMAN-FAC1]]</f>
        <v>8</v>
      </c>
      <c r="AD357">
        <f t="shared" si="142"/>
        <v>0.77777777777777779</v>
      </c>
      <c r="AE357">
        <f>step3_validation[[#This Row],[AI_FAC2]]</f>
        <v>9</v>
      </c>
      <c r="AF357">
        <f t="shared" si="143"/>
        <v>0.88888888888888884</v>
      </c>
      <c r="AG357">
        <f>survey_responses[[#This Row],[So với trước đây, tôi thấy cách tính thuế và các bậc thuế trong phương án mới đơn giản, dễ hiểu và dễ thực hiện hơn. - HUMAN-FAC2]]</f>
        <v>10</v>
      </c>
      <c r="AH357">
        <f t="shared" si="144"/>
        <v>1</v>
      </c>
      <c r="AI357" s="32">
        <f t="shared" si="145"/>
        <v>0.83333333333333326</v>
      </c>
      <c r="AJ357" s="32">
        <f t="shared" si="146"/>
        <v>0.88888888888888884</v>
      </c>
      <c r="AK357">
        <f>step3_validation[[#This Row],[AI_TRU1]]</f>
        <v>8</v>
      </c>
      <c r="AL357">
        <f t="shared" si="147"/>
        <v>0.77777777777777779</v>
      </c>
      <c r="AM357">
        <f>survey_responses[[#This Row],[Tôi tin rằng Nhà nước, cơ quan thuế sẽ thực thi chính sách mới một cách khách quan, công tâm và đối xử bình đẳng với mọi người nộp thuế.  - HUMAN-TRU1]]</f>
        <v>9</v>
      </c>
      <c r="AN357">
        <f t="shared" si="148"/>
        <v>0.88888888888888884</v>
      </c>
      <c r="AO357">
        <f>step3_validation[[#This Row],[AI_TRU2]]</f>
        <v>9</v>
      </c>
      <c r="AP357">
        <f t="shared" si="149"/>
        <v>0.88888888888888884</v>
      </c>
      <c r="AQ357">
        <f>survey_responses[[#This Row],[Tôi thấy mức thuế tôi phải đóng theo phương án mới là công bằng (người thu nhập như tôi đóng mức này là hợp lý). - HUMAN-TRU2]]</f>
        <v>10</v>
      </c>
      <c r="AR357">
        <f t="shared" si="150"/>
        <v>1</v>
      </c>
      <c r="AS357">
        <f>step3_validation[[#This Row],[AI_TRU3]]</f>
        <v>8</v>
      </c>
      <c r="AT357">
        <f t="shared" si="151"/>
        <v>0.77777777777777779</v>
      </c>
      <c r="AU357">
        <f>survey_responses[[#This Row],[Tôi tin tưởng số tiền thuế tôi đóng sẽ được Nhà nước sử dụng hiệu quả để cải thiện dịch vụ công (y tế, đường xá...). - HUMAN-TRU3]]</f>
        <v>8</v>
      </c>
      <c r="AV357">
        <f t="shared" si="152"/>
        <v>0.77777777777777779</v>
      </c>
      <c r="AW357">
        <f>step3_validation[[#This Row],[AI_TRU4]]</f>
        <v>9</v>
      </c>
      <c r="AX357">
        <f t="shared" si="153"/>
        <v>0.88888888888888884</v>
      </c>
      <c r="AY357">
        <f>survey_responses[[#This Row],[Tôi thấy Nhà nước đã giải thích rõ ràng, minh bạch về lý do và mục tiêu của việc sửa đổi thuế lần này. - HUMAN-TRU4]]</f>
        <v>8</v>
      </c>
      <c r="AZ357">
        <f t="shared" si="154"/>
        <v>0.77777777777777779</v>
      </c>
      <c r="BA357" s="32">
        <f t="shared" si="155"/>
        <v>0.83333333333333326</v>
      </c>
      <c r="BB357" s="32">
        <f t="shared" si="156"/>
        <v>0.86111111111111105</v>
      </c>
      <c r="BC357" s="7">
        <f t="shared" si="157"/>
        <v>0.83333333333333337</v>
      </c>
      <c r="BD357" s="7">
        <f t="shared" si="158"/>
        <v>0.80555555555555547</v>
      </c>
      <c r="BE357">
        <f>step3_validation[[#This Row],[AI_OUT1]]</f>
        <v>10</v>
      </c>
      <c r="BF357">
        <f t="shared" si="159"/>
        <v>1</v>
      </c>
      <c r="BG357">
        <f>survey_responses[[#This Row],[Sau khi xem xét các quyền lợi và nghĩa vụ, bạn có ủng hộ và tuân thủ chính sách mới hiện nay? - HUMAN-OUT1]]</f>
        <v>10</v>
      </c>
      <c r="BH357">
        <f t="shared" si="160"/>
        <v>1</v>
      </c>
      <c r="BI357" s="32">
        <f t="shared" si="161"/>
        <v>0</v>
      </c>
    </row>
    <row r="358" spans="1:61" x14ac:dyDescent="0.45">
      <c r="A358" s="30">
        <f>step3_validation[[#This Row],[Persona_ID]]</f>
        <v>357</v>
      </c>
      <c r="B358" s="31">
        <f>step3_validation[[#This Row],[Used_Seed]]</f>
        <v>357</v>
      </c>
      <c r="C358" t="str">
        <f>step3_validation[[#This Row],[Gender]]</f>
        <v>Nam</v>
      </c>
      <c r="D358" t="str">
        <f>survey_responses[[#This Row],[Giới tính của bạn:]]</f>
        <v>Nam</v>
      </c>
      <c r="E358" t="str">
        <f>step3_validation[[#This Row],[Age_Group]]</f>
        <v>25 - 29</v>
      </c>
      <c r="F358" t="str">
        <f>survey_responses[[#This Row],[Độ tuổi của bạn:]]</f>
        <v>25 - 29</v>
      </c>
      <c r="G358" t="str">
        <f>step3_validation[[#This Row],[Region]]</f>
        <v>Thành thị</v>
      </c>
      <c r="H358" t="str">
        <f>survey_responses[[#This Row],[Khu vực bạn đang sinh sống:]]</f>
        <v>Thành thị</v>
      </c>
      <c r="I358" t="str">
        <f>step3_validation[[#This Row],[Education]]</f>
        <v>Đại học</v>
      </c>
      <c r="J358" t="str">
        <f>survey_responses[[#This Row],[Trình độ học vấn cao nhất:]]</f>
        <v>Đại học</v>
      </c>
      <c r="K358" t="str">
        <f>step3_validation[[#This Row],[Employment]]</f>
        <v>Chính thức</v>
      </c>
      <c r="L358" t="str">
        <f>survey_responses[[#This Row],[Tình trạng việc làm chính:]]</f>
        <v>Khu vực chính thức (Có Hợp đồng lao động, đóng BHXH)</v>
      </c>
      <c r="M358">
        <f>step3_validation[[#This Row],[Income_Mil]]</f>
        <v>25.247410838725333</v>
      </c>
      <c r="N358" t="str">
        <f>survey_responses[[#This Row],[Thu nhập bình quân tháng theo Hợp đồng lao động của bạn là bao nhiêu? (Vui lòng điền tổng thu nhập trước khi khấu trừ các loại Bảo hiểm (BHXH, BHYT, BHTN) và Thuế TNCN)]]</f>
        <v>Từ 23 - 32 triệu VNĐ</v>
      </c>
      <c r="O358">
        <f>step3_validation[[#This Row],[Dependents]]</f>
        <v>0</v>
      </c>
      <c r="P358" t="str">
        <f>survey_responses[[#This Row],[Số người phụ thuộc (con nhỏ, cha mẹ già...) đủ điều kiện giảm trừ gia cảnh:]]</f>
        <v>0 người</v>
      </c>
      <c r="Q358">
        <f>step3_validation[[#This Row],[AI_ENF1]]</f>
        <v>7</v>
      </c>
      <c r="R358">
        <f t="shared" si="135"/>
        <v>0.66666666666666663</v>
      </c>
      <c r="S358">
        <f>survey_responses[[#This Row],[Tôi tin rằng với các quy định quản lý thuế hiện nay, hành vi gian lận hoặc trốn thuế sẽ dễ dàng bị phát hiện và xử lý nghiêm. - HUMAN-ENF1]]</f>
        <v>9</v>
      </c>
      <c r="T358">
        <f t="shared" si="136"/>
        <v>0.88888888888888884</v>
      </c>
      <c r="U358">
        <f>step3_validation[[#This Row],[AI_ENF2]]</f>
        <v>8</v>
      </c>
      <c r="V358">
        <f t="shared" si="137"/>
        <v>0.77777777777777779</v>
      </c>
      <c r="W358">
        <f>survey_responses[[#This Row],[Tôi tin rằng Nhà nước, cơ quan thuế có đủ khả năng và công nghệ để phát hiện, xử lý nghiêm các hành vi trốn thuế. - HUMAN-ENF2]]</f>
        <v>9</v>
      </c>
      <c r="X358">
        <f t="shared" si="138"/>
        <v>0.88888888888888884</v>
      </c>
      <c r="Y358" s="32">
        <f t="shared" si="139"/>
        <v>0.72222222222222221</v>
      </c>
      <c r="Z358" s="32">
        <f t="shared" si="140"/>
        <v>0.88888888888888884</v>
      </c>
      <c r="AA358">
        <f>step3_validation[[#This Row],[AI_FAC1]]</f>
        <v>9</v>
      </c>
      <c r="AB358">
        <f t="shared" si="141"/>
        <v>0.88888888888888884</v>
      </c>
      <c r="AC358">
        <f>survey_responses[[#This Row],[Các thủ tục khai báo thuế VÀ/HOẶC quy trình làm việc với cơ quan thuế đơn giản, tiện lợi, nhanh chóng hơn so với trước đây. - HUMAN-FAC1]]</f>
        <v>8</v>
      </c>
      <c r="AD358">
        <f t="shared" si="142"/>
        <v>0.77777777777777779</v>
      </c>
      <c r="AE358">
        <f>step3_validation[[#This Row],[AI_FAC2]]</f>
        <v>8</v>
      </c>
      <c r="AF358">
        <f t="shared" si="143"/>
        <v>0.77777777777777779</v>
      </c>
      <c r="AG358">
        <f>survey_responses[[#This Row],[So với trước đây, tôi thấy cách tính thuế và các bậc thuế trong phương án mới đơn giản, dễ hiểu và dễ thực hiện hơn. - HUMAN-FAC2]]</f>
        <v>9</v>
      </c>
      <c r="AH358">
        <f t="shared" si="144"/>
        <v>0.88888888888888884</v>
      </c>
      <c r="AI358" s="32">
        <f t="shared" si="145"/>
        <v>0.83333333333333326</v>
      </c>
      <c r="AJ358" s="32">
        <f t="shared" si="146"/>
        <v>0.83333333333333326</v>
      </c>
      <c r="AK358">
        <f>step3_validation[[#This Row],[AI_TRU1]]</f>
        <v>9</v>
      </c>
      <c r="AL358">
        <f t="shared" si="147"/>
        <v>0.88888888888888884</v>
      </c>
      <c r="AM358">
        <f>survey_responses[[#This Row],[Tôi tin rằng Nhà nước, cơ quan thuế sẽ thực thi chính sách mới một cách khách quan, công tâm và đối xử bình đẳng với mọi người nộp thuế.  - HUMAN-TRU1]]</f>
        <v>8</v>
      </c>
      <c r="AN358">
        <f t="shared" si="148"/>
        <v>0.77777777777777779</v>
      </c>
      <c r="AO358">
        <f>step3_validation[[#This Row],[AI_TRU2]]</f>
        <v>8</v>
      </c>
      <c r="AP358">
        <f t="shared" si="149"/>
        <v>0.77777777777777779</v>
      </c>
      <c r="AQ358">
        <f>survey_responses[[#This Row],[Tôi thấy mức thuế tôi phải đóng theo phương án mới là công bằng (người thu nhập như tôi đóng mức này là hợp lý). - HUMAN-TRU2]]</f>
        <v>8</v>
      </c>
      <c r="AR358">
        <f t="shared" si="150"/>
        <v>0.77777777777777779</v>
      </c>
      <c r="AS358">
        <f>step3_validation[[#This Row],[AI_TRU3]]</f>
        <v>9</v>
      </c>
      <c r="AT358">
        <f t="shared" si="151"/>
        <v>0.88888888888888884</v>
      </c>
      <c r="AU358">
        <f>survey_responses[[#This Row],[Tôi tin tưởng số tiền thuế tôi đóng sẽ được Nhà nước sử dụng hiệu quả để cải thiện dịch vụ công (y tế, đường xá...). - HUMAN-TRU3]]</f>
        <v>7</v>
      </c>
      <c r="AV358">
        <f t="shared" si="152"/>
        <v>0.66666666666666663</v>
      </c>
      <c r="AW358">
        <f>step3_validation[[#This Row],[AI_TRU4]]</f>
        <v>8</v>
      </c>
      <c r="AX358">
        <f t="shared" si="153"/>
        <v>0.77777777777777779</v>
      </c>
      <c r="AY358">
        <f>survey_responses[[#This Row],[Tôi thấy Nhà nước đã giải thích rõ ràng, minh bạch về lý do và mục tiêu của việc sửa đổi thuế lần này. - HUMAN-TRU4]]</f>
        <v>7</v>
      </c>
      <c r="AZ358">
        <f t="shared" si="154"/>
        <v>0.66666666666666663</v>
      </c>
      <c r="BA358" s="32">
        <f t="shared" si="155"/>
        <v>0.83333333333333326</v>
      </c>
      <c r="BB358" s="32">
        <f t="shared" si="156"/>
        <v>0.72222222222222221</v>
      </c>
      <c r="BC358" s="7">
        <f t="shared" si="157"/>
        <v>0.79629629629629617</v>
      </c>
      <c r="BD358" s="7">
        <f t="shared" si="158"/>
        <v>0.81481481481481477</v>
      </c>
      <c r="BE358">
        <f>step3_validation[[#This Row],[AI_OUT1]]</f>
        <v>9</v>
      </c>
      <c r="BF358">
        <f t="shared" si="159"/>
        <v>0.88888888888888884</v>
      </c>
      <c r="BG358">
        <f>survey_responses[[#This Row],[Sau khi xem xét các quyền lợi và nghĩa vụ, bạn có ủng hộ và tuân thủ chính sách mới hiện nay? - HUMAN-OUT1]]</f>
        <v>8</v>
      </c>
      <c r="BH358">
        <f t="shared" si="160"/>
        <v>0.77777777777777779</v>
      </c>
      <c r="BI358" s="32">
        <f t="shared" si="161"/>
        <v>1</v>
      </c>
    </row>
    <row r="359" spans="1:61" x14ac:dyDescent="0.45">
      <c r="A359" s="30">
        <f>step3_validation[[#This Row],[Persona_ID]]</f>
        <v>358</v>
      </c>
      <c r="B359" s="31">
        <f>step3_validation[[#This Row],[Used_Seed]]</f>
        <v>358</v>
      </c>
      <c r="C359" t="str">
        <f>step3_validation[[#This Row],[Gender]]</f>
        <v>Nữ</v>
      </c>
      <c r="D359" t="str">
        <f>survey_responses[[#This Row],[Giới tính của bạn:]]</f>
        <v>Nữ</v>
      </c>
      <c r="E359" t="str">
        <f>step3_validation[[#This Row],[Age_Group]]</f>
        <v>18 - 24</v>
      </c>
      <c r="F359" t="str">
        <f>survey_responses[[#This Row],[Độ tuổi của bạn:]]</f>
        <v>18 - 24</v>
      </c>
      <c r="G359" t="str">
        <f>step3_validation[[#This Row],[Region]]</f>
        <v>Thành thị</v>
      </c>
      <c r="H359" t="str">
        <f>survey_responses[[#This Row],[Khu vực bạn đang sinh sống:]]</f>
        <v>Thành thị</v>
      </c>
      <c r="I359" t="str">
        <f>step3_validation[[#This Row],[Education]]</f>
        <v>Đại học</v>
      </c>
      <c r="J359" t="str">
        <f>survey_responses[[#This Row],[Trình độ học vấn cao nhất:]]</f>
        <v>Đại học</v>
      </c>
      <c r="K359" t="str">
        <f>step3_validation[[#This Row],[Employment]]</f>
        <v>Chính thức</v>
      </c>
      <c r="L359" t="str">
        <f>survey_responses[[#This Row],[Tình trạng việc làm chính:]]</f>
        <v>Khu vực chính thức (Có Hợp đồng lao động, đóng BHXH)</v>
      </c>
      <c r="M359">
        <f>step3_validation[[#This Row],[Income_Mil]]</f>
        <v>15.035346755924781</v>
      </c>
      <c r="N359" t="str">
        <f>survey_responses[[#This Row],[Thu nhập bình quân tháng theo Hợp đồng lao động của bạn là bao nhiêu? (Vui lòng điền tổng thu nhập trước khi khấu trừ các loại Bảo hiểm (BHXH, BHYT, BHTN) và Thuế TNCN)]]</f>
        <v>Từ 12 - 18 triệu VNĐ</v>
      </c>
      <c r="O359">
        <f>step3_validation[[#This Row],[Dependents]]</f>
        <v>0</v>
      </c>
      <c r="P359" t="str">
        <f>survey_responses[[#This Row],[Số người phụ thuộc (con nhỏ, cha mẹ già...) đủ điều kiện giảm trừ gia cảnh:]]</f>
        <v>0 người</v>
      </c>
      <c r="Q359">
        <f>step3_validation[[#This Row],[AI_ENF1]]</f>
        <v>8</v>
      </c>
      <c r="R359">
        <f t="shared" si="135"/>
        <v>0.77777777777777779</v>
      </c>
      <c r="S359">
        <f>survey_responses[[#This Row],[Tôi tin rằng với các quy định quản lý thuế hiện nay, hành vi gian lận hoặc trốn thuế sẽ dễ dàng bị phát hiện và xử lý nghiêm. - HUMAN-ENF1]]</f>
        <v>7</v>
      </c>
      <c r="T359">
        <f t="shared" si="136"/>
        <v>0.66666666666666663</v>
      </c>
      <c r="U359">
        <f>step3_validation[[#This Row],[AI_ENF2]]</f>
        <v>9</v>
      </c>
      <c r="V359">
        <f t="shared" si="137"/>
        <v>0.88888888888888884</v>
      </c>
      <c r="W359">
        <f>survey_responses[[#This Row],[Tôi tin rằng Nhà nước, cơ quan thuế có đủ khả năng và công nghệ để phát hiện, xử lý nghiêm các hành vi trốn thuế. - HUMAN-ENF2]]</f>
        <v>7</v>
      </c>
      <c r="X359">
        <f t="shared" si="138"/>
        <v>0.66666666666666663</v>
      </c>
      <c r="Y359" s="32">
        <f t="shared" si="139"/>
        <v>0.83333333333333326</v>
      </c>
      <c r="Z359" s="32">
        <f t="shared" si="140"/>
        <v>0.66666666666666663</v>
      </c>
      <c r="AA359">
        <f>step3_validation[[#This Row],[AI_FAC1]]</f>
        <v>8</v>
      </c>
      <c r="AB359">
        <f t="shared" si="141"/>
        <v>0.77777777777777779</v>
      </c>
      <c r="AC359">
        <f>survey_responses[[#This Row],[Các thủ tục khai báo thuế VÀ/HOẶC quy trình làm việc với cơ quan thuế đơn giản, tiện lợi, nhanh chóng hơn so với trước đây. - HUMAN-FAC1]]</f>
        <v>7</v>
      </c>
      <c r="AD359">
        <f t="shared" si="142"/>
        <v>0.66666666666666663</v>
      </c>
      <c r="AE359">
        <f>step3_validation[[#This Row],[AI_FAC2]]</f>
        <v>9</v>
      </c>
      <c r="AF359">
        <f t="shared" si="143"/>
        <v>0.88888888888888884</v>
      </c>
      <c r="AG359">
        <f>survey_responses[[#This Row],[So với trước đây, tôi thấy cách tính thuế và các bậc thuế trong phương án mới đơn giản, dễ hiểu và dễ thực hiện hơn. - HUMAN-FAC2]]</f>
        <v>8</v>
      </c>
      <c r="AH359">
        <f t="shared" si="144"/>
        <v>0.77777777777777779</v>
      </c>
      <c r="AI359" s="32">
        <f t="shared" si="145"/>
        <v>0.83333333333333326</v>
      </c>
      <c r="AJ359" s="32">
        <f t="shared" si="146"/>
        <v>0.72222222222222221</v>
      </c>
      <c r="AK359">
        <f>step3_validation[[#This Row],[AI_TRU1]]</f>
        <v>8</v>
      </c>
      <c r="AL359">
        <f t="shared" si="147"/>
        <v>0.77777777777777779</v>
      </c>
      <c r="AM359">
        <f>survey_responses[[#This Row],[Tôi tin rằng Nhà nước, cơ quan thuế sẽ thực thi chính sách mới một cách khách quan, công tâm và đối xử bình đẳng với mọi người nộp thuế.  - HUMAN-TRU1]]</f>
        <v>7</v>
      </c>
      <c r="AN359">
        <f t="shared" si="148"/>
        <v>0.66666666666666663</v>
      </c>
      <c r="AO359">
        <f>step3_validation[[#This Row],[AI_TRU2]]</f>
        <v>9</v>
      </c>
      <c r="AP359">
        <f t="shared" si="149"/>
        <v>0.88888888888888884</v>
      </c>
      <c r="AQ359">
        <f>survey_responses[[#This Row],[Tôi thấy mức thuế tôi phải đóng theo phương án mới là công bằng (người thu nhập như tôi đóng mức này là hợp lý). - HUMAN-TRU2]]</f>
        <v>9</v>
      </c>
      <c r="AR359">
        <f t="shared" si="150"/>
        <v>0.88888888888888884</v>
      </c>
      <c r="AS359">
        <f>step3_validation[[#This Row],[AI_TRU3]]</f>
        <v>8</v>
      </c>
      <c r="AT359">
        <f t="shared" si="151"/>
        <v>0.77777777777777779</v>
      </c>
      <c r="AU359">
        <f>survey_responses[[#This Row],[Tôi tin tưởng số tiền thuế tôi đóng sẽ được Nhà nước sử dụng hiệu quả để cải thiện dịch vụ công (y tế, đường xá...). - HUMAN-TRU3]]</f>
        <v>8</v>
      </c>
      <c r="AV359">
        <f t="shared" si="152"/>
        <v>0.77777777777777779</v>
      </c>
      <c r="AW359">
        <f>step3_validation[[#This Row],[AI_TRU4]]</f>
        <v>9</v>
      </c>
      <c r="AX359">
        <f t="shared" si="153"/>
        <v>0.88888888888888884</v>
      </c>
      <c r="AY359">
        <f>survey_responses[[#This Row],[Tôi thấy Nhà nước đã giải thích rõ ràng, minh bạch về lý do và mục tiêu của việc sửa đổi thuế lần này. - HUMAN-TRU4]]</f>
        <v>8</v>
      </c>
      <c r="AZ359">
        <f t="shared" si="154"/>
        <v>0.77777777777777779</v>
      </c>
      <c r="BA359" s="32">
        <f t="shared" si="155"/>
        <v>0.83333333333333326</v>
      </c>
      <c r="BB359" s="32">
        <f t="shared" si="156"/>
        <v>0.77777777777777768</v>
      </c>
      <c r="BC359" s="7">
        <f t="shared" si="157"/>
        <v>0.83333333333333337</v>
      </c>
      <c r="BD359" s="7">
        <f t="shared" si="158"/>
        <v>0.72222222222222221</v>
      </c>
      <c r="BE359">
        <f>step3_validation[[#This Row],[AI_OUT1]]</f>
        <v>8</v>
      </c>
      <c r="BF359">
        <f t="shared" si="159"/>
        <v>0.77777777777777779</v>
      </c>
      <c r="BG359">
        <f>survey_responses[[#This Row],[Sau khi xem xét các quyền lợi và nghĩa vụ, bạn có ủng hộ và tuân thủ chính sách mới hiện nay? - HUMAN-OUT1]]</f>
        <v>8</v>
      </c>
      <c r="BH359">
        <f t="shared" si="160"/>
        <v>0.77777777777777779</v>
      </c>
      <c r="BI359" s="32">
        <f t="shared" si="161"/>
        <v>0</v>
      </c>
    </row>
    <row r="360" spans="1:61" x14ac:dyDescent="0.45">
      <c r="A360" s="30">
        <f>step3_validation[[#This Row],[Persona_ID]]</f>
        <v>359</v>
      </c>
      <c r="B360" s="31">
        <f>step3_validation[[#This Row],[Used_Seed]]</f>
        <v>359</v>
      </c>
      <c r="C360" t="str">
        <f>step3_validation[[#This Row],[Gender]]</f>
        <v>Nữ</v>
      </c>
      <c r="D360" t="str">
        <f>survey_responses[[#This Row],[Giới tính của bạn:]]</f>
        <v>Nữ</v>
      </c>
      <c r="E360" t="str">
        <f>step3_validation[[#This Row],[Age_Group]]</f>
        <v>25 - 29</v>
      </c>
      <c r="F360" t="str">
        <f>survey_responses[[#This Row],[Độ tuổi của bạn:]]</f>
        <v>25 - 29</v>
      </c>
      <c r="G360" t="str">
        <f>step3_validation[[#This Row],[Region]]</f>
        <v>Thành thị</v>
      </c>
      <c r="H360" t="str">
        <f>survey_responses[[#This Row],[Khu vực bạn đang sinh sống:]]</f>
        <v>Thành thị</v>
      </c>
      <c r="I360" t="str">
        <f>step3_validation[[#This Row],[Education]]</f>
        <v>Đại học</v>
      </c>
      <c r="J360" t="str">
        <f>survey_responses[[#This Row],[Trình độ học vấn cao nhất:]]</f>
        <v>Đại học</v>
      </c>
      <c r="K360" t="str">
        <f>step3_validation[[#This Row],[Employment]]</f>
        <v>Chính thức</v>
      </c>
      <c r="L360" t="str">
        <f>survey_responses[[#This Row],[Tình trạng việc làm chính:]]</f>
        <v>Khu vực chính thức (Có Hợp đồng lao động, đóng BHXH)</v>
      </c>
      <c r="M360">
        <f>step3_validation[[#This Row],[Income_Mil]]</f>
        <v>19.779826782176841</v>
      </c>
      <c r="N360" t="str">
        <f>survey_responses[[#This Row],[Thu nhập bình quân tháng theo Hợp đồng lao động của bạn là bao nhiêu? (Vui lòng điền tổng thu nhập trước khi khấu trừ các loại Bảo hiểm (BHXH, BHYT, BHTN) và Thuế TNCN)]]</f>
        <v>Từ 18 - 23 triệu VNĐ</v>
      </c>
      <c r="O360">
        <f>step3_validation[[#This Row],[Dependents]]</f>
        <v>1</v>
      </c>
      <c r="P360" t="str">
        <f>survey_responses[[#This Row],[Số người phụ thuộc (con nhỏ, cha mẹ già...) đủ điều kiện giảm trừ gia cảnh:]]</f>
        <v>1 người</v>
      </c>
      <c r="Q360">
        <f>step3_validation[[#This Row],[AI_ENF1]]</f>
        <v>6</v>
      </c>
      <c r="R360">
        <f t="shared" si="135"/>
        <v>0.55555555555555558</v>
      </c>
      <c r="S360">
        <f>survey_responses[[#This Row],[Tôi tin rằng với các quy định quản lý thuế hiện nay, hành vi gian lận hoặc trốn thuế sẽ dễ dàng bị phát hiện và xử lý nghiêm. - HUMAN-ENF1]]</f>
        <v>4</v>
      </c>
      <c r="T360">
        <f t="shared" si="136"/>
        <v>0.33333333333333331</v>
      </c>
      <c r="U360">
        <f>step3_validation[[#This Row],[AI_ENF2]]</f>
        <v>6</v>
      </c>
      <c r="V360">
        <f t="shared" si="137"/>
        <v>0.55555555555555558</v>
      </c>
      <c r="W360">
        <f>survey_responses[[#This Row],[Tôi tin rằng Nhà nước, cơ quan thuế có đủ khả năng và công nghệ để phát hiện, xử lý nghiêm các hành vi trốn thuế. - HUMAN-ENF2]]</f>
        <v>5</v>
      </c>
      <c r="X360">
        <f t="shared" si="138"/>
        <v>0.44444444444444442</v>
      </c>
      <c r="Y360" s="32">
        <f t="shared" si="139"/>
        <v>0.55555555555555558</v>
      </c>
      <c r="Z360" s="32">
        <f t="shared" si="140"/>
        <v>0.38888888888888884</v>
      </c>
      <c r="AA360">
        <f>step3_validation[[#This Row],[AI_FAC1]]</f>
        <v>9</v>
      </c>
      <c r="AB360">
        <f t="shared" si="141"/>
        <v>0.88888888888888884</v>
      </c>
      <c r="AC360">
        <f>survey_responses[[#This Row],[Các thủ tục khai báo thuế VÀ/HOẶC quy trình làm việc với cơ quan thuế đơn giản, tiện lợi, nhanh chóng hơn so với trước đây. - HUMAN-FAC1]]</f>
        <v>6</v>
      </c>
      <c r="AD360">
        <f t="shared" si="142"/>
        <v>0.55555555555555558</v>
      </c>
      <c r="AE360">
        <f>step3_validation[[#This Row],[AI_FAC2]]</f>
        <v>8</v>
      </c>
      <c r="AF360">
        <f t="shared" si="143"/>
        <v>0.77777777777777779</v>
      </c>
      <c r="AG360">
        <f>survey_responses[[#This Row],[So với trước đây, tôi thấy cách tính thuế và các bậc thuế trong phương án mới đơn giản, dễ hiểu và dễ thực hiện hơn. - HUMAN-FAC2]]</f>
        <v>7</v>
      </c>
      <c r="AH360">
        <f t="shared" si="144"/>
        <v>0.66666666666666663</v>
      </c>
      <c r="AI360" s="32">
        <f t="shared" si="145"/>
        <v>0.83333333333333326</v>
      </c>
      <c r="AJ360" s="32">
        <f t="shared" si="146"/>
        <v>0.61111111111111116</v>
      </c>
      <c r="AK360">
        <f>step3_validation[[#This Row],[AI_TRU1]]</f>
        <v>7</v>
      </c>
      <c r="AL360">
        <f t="shared" si="147"/>
        <v>0.66666666666666663</v>
      </c>
      <c r="AM360">
        <f>survey_responses[[#This Row],[Tôi tin rằng Nhà nước, cơ quan thuế sẽ thực thi chính sách mới một cách khách quan, công tâm và đối xử bình đẳng với mọi người nộp thuế.  - HUMAN-TRU1]]</f>
        <v>7</v>
      </c>
      <c r="AN360">
        <f t="shared" si="148"/>
        <v>0.66666666666666663</v>
      </c>
      <c r="AO360">
        <f>step3_validation[[#This Row],[AI_TRU2]]</f>
        <v>8</v>
      </c>
      <c r="AP360">
        <f t="shared" si="149"/>
        <v>0.77777777777777779</v>
      </c>
      <c r="AQ360">
        <f>survey_responses[[#This Row],[Tôi thấy mức thuế tôi phải đóng theo phương án mới là công bằng (người thu nhập như tôi đóng mức này là hợp lý). - HUMAN-TRU2]]</f>
        <v>6</v>
      </c>
      <c r="AR360">
        <f t="shared" si="150"/>
        <v>0.55555555555555558</v>
      </c>
      <c r="AS360">
        <f>step3_validation[[#This Row],[AI_TRU3]]</f>
        <v>7</v>
      </c>
      <c r="AT360">
        <f t="shared" si="151"/>
        <v>0.66666666666666663</v>
      </c>
      <c r="AU360">
        <f>survey_responses[[#This Row],[Tôi tin tưởng số tiền thuế tôi đóng sẽ được Nhà nước sử dụng hiệu quả để cải thiện dịch vụ công (y tế, đường xá...). - HUMAN-TRU3]]</f>
        <v>4</v>
      </c>
      <c r="AV360">
        <f t="shared" si="152"/>
        <v>0.33333333333333331</v>
      </c>
      <c r="AW360">
        <f>step3_validation[[#This Row],[AI_TRU4]]</f>
        <v>6</v>
      </c>
      <c r="AX360">
        <f t="shared" si="153"/>
        <v>0.55555555555555558</v>
      </c>
      <c r="AY360">
        <f>survey_responses[[#This Row],[Tôi thấy Nhà nước đã giải thích rõ ràng, minh bạch về lý do và mục tiêu của việc sửa đổi thuế lần này. - HUMAN-TRU4]]</f>
        <v>6</v>
      </c>
      <c r="AZ360">
        <f t="shared" si="154"/>
        <v>0.55555555555555558</v>
      </c>
      <c r="BA360" s="32">
        <f t="shared" si="155"/>
        <v>0.66666666666666674</v>
      </c>
      <c r="BB360" s="32">
        <f t="shared" si="156"/>
        <v>0.52777777777777779</v>
      </c>
      <c r="BC360" s="7">
        <f t="shared" si="157"/>
        <v>0.68518518518518512</v>
      </c>
      <c r="BD360" s="7">
        <f t="shared" si="158"/>
        <v>0.50925925925925919</v>
      </c>
      <c r="BE360">
        <f>step3_validation[[#This Row],[AI_OUT1]]</f>
        <v>8</v>
      </c>
      <c r="BF360">
        <f t="shared" si="159"/>
        <v>0.77777777777777779</v>
      </c>
      <c r="BG360">
        <f>survey_responses[[#This Row],[Sau khi xem xét các quyền lợi và nghĩa vụ, bạn có ủng hộ và tuân thủ chính sách mới hiện nay? - HUMAN-OUT1]]</f>
        <v>7</v>
      </c>
      <c r="BH360">
        <f t="shared" si="160"/>
        <v>0.66666666666666663</v>
      </c>
      <c r="BI360" s="32">
        <f t="shared" si="161"/>
        <v>1</v>
      </c>
    </row>
    <row r="361" spans="1:61" x14ac:dyDescent="0.45">
      <c r="A361" s="30">
        <f>step3_validation[[#This Row],[Persona_ID]]</f>
        <v>360</v>
      </c>
      <c r="B361" s="31">
        <f>step3_validation[[#This Row],[Used_Seed]]</f>
        <v>360</v>
      </c>
      <c r="C361" t="str">
        <f>step3_validation[[#This Row],[Gender]]</f>
        <v>Nam</v>
      </c>
      <c r="D361" t="str">
        <f>survey_responses[[#This Row],[Giới tính của bạn:]]</f>
        <v>Nam</v>
      </c>
      <c r="E361" t="str">
        <f>step3_validation[[#This Row],[Age_Group]]</f>
        <v>25 - 29</v>
      </c>
      <c r="F361" t="str">
        <f>survey_responses[[#This Row],[Độ tuổi của bạn:]]</f>
        <v>25 - 29</v>
      </c>
      <c r="G361" t="str">
        <f>step3_validation[[#This Row],[Region]]</f>
        <v>Thành thị</v>
      </c>
      <c r="H361" t="str">
        <f>survey_responses[[#This Row],[Khu vực bạn đang sinh sống:]]</f>
        <v>Thành thị</v>
      </c>
      <c r="I361" t="str">
        <f>step3_validation[[#This Row],[Education]]</f>
        <v>Đại học</v>
      </c>
      <c r="J361" t="str">
        <f>survey_responses[[#This Row],[Trình độ học vấn cao nhất:]]</f>
        <v>Đại học</v>
      </c>
      <c r="K361" t="str">
        <f>step3_validation[[#This Row],[Employment]]</f>
        <v>Chính thức</v>
      </c>
      <c r="L361" t="str">
        <f>survey_responses[[#This Row],[Tình trạng việc làm chính:]]</f>
        <v>Khu vực chính thức (Có Hợp đồng lao động, đóng BHXH)</v>
      </c>
      <c r="M361">
        <f>step3_validation[[#This Row],[Income_Mil]]</f>
        <v>21.703133300773874</v>
      </c>
      <c r="N361" t="str">
        <f>survey_responses[[#This Row],[Thu nhập bình quân tháng theo Hợp đồng lao động của bạn là bao nhiêu? (Vui lòng điền tổng thu nhập trước khi khấu trừ các loại Bảo hiểm (BHXH, BHYT, BHTN) và Thuế TNCN)]]</f>
        <v>Từ 18 - 23 triệu VNĐ</v>
      </c>
      <c r="O361">
        <f>step3_validation[[#This Row],[Dependents]]</f>
        <v>0</v>
      </c>
      <c r="P361" t="str">
        <f>survey_responses[[#This Row],[Số người phụ thuộc (con nhỏ, cha mẹ già...) đủ điều kiện giảm trừ gia cảnh:]]</f>
        <v>0 người</v>
      </c>
      <c r="Q361">
        <f>step3_validation[[#This Row],[AI_ENF1]]</f>
        <v>7</v>
      </c>
      <c r="R361">
        <f t="shared" si="135"/>
        <v>0.66666666666666663</v>
      </c>
      <c r="S361">
        <f>survey_responses[[#This Row],[Tôi tin rằng với các quy định quản lý thuế hiện nay, hành vi gian lận hoặc trốn thuế sẽ dễ dàng bị phát hiện và xử lý nghiêm. - HUMAN-ENF1]]</f>
        <v>9</v>
      </c>
      <c r="T361">
        <f t="shared" si="136"/>
        <v>0.88888888888888884</v>
      </c>
      <c r="U361">
        <f>step3_validation[[#This Row],[AI_ENF2]]</f>
        <v>8</v>
      </c>
      <c r="V361">
        <f t="shared" si="137"/>
        <v>0.77777777777777779</v>
      </c>
      <c r="W361">
        <f>survey_responses[[#This Row],[Tôi tin rằng Nhà nước, cơ quan thuế có đủ khả năng và công nghệ để phát hiện, xử lý nghiêm các hành vi trốn thuế. - HUMAN-ENF2]]</f>
        <v>8</v>
      </c>
      <c r="X361">
        <f t="shared" si="138"/>
        <v>0.77777777777777779</v>
      </c>
      <c r="Y361" s="32">
        <f t="shared" si="139"/>
        <v>0.72222222222222221</v>
      </c>
      <c r="Z361" s="32">
        <f t="shared" si="140"/>
        <v>0.83333333333333326</v>
      </c>
      <c r="AA361">
        <f>step3_validation[[#This Row],[AI_FAC1]]</f>
        <v>9</v>
      </c>
      <c r="AB361">
        <f t="shared" si="141"/>
        <v>0.88888888888888884</v>
      </c>
      <c r="AC361">
        <f>survey_responses[[#This Row],[Các thủ tục khai báo thuế VÀ/HOẶC quy trình làm việc với cơ quan thuế đơn giản, tiện lợi, nhanh chóng hơn so với trước đây. - HUMAN-FAC1]]</f>
        <v>8</v>
      </c>
      <c r="AD361">
        <f t="shared" si="142"/>
        <v>0.77777777777777779</v>
      </c>
      <c r="AE361">
        <f>step3_validation[[#This Row],[AI_FAC2]]</f>
        <v>8</v>
      </c>
      <c r="AF361">
        <f t="shared" si="143"/>
        <v>0.77777777777777779</v>
      </c>
      <c r="AG361">
        <f>survey_responses[[#This Row],[So với trước đây, tôi thấy cách tính thuế và các bậc thuế trong phương án mới đơn giản, dễ hiểu và dễ thực hiện hơn. - HUMAN-FAC2]]</f>
        <v>8</v>
      </c>
      <c r="AH361">
        <f t="shared" si="144"/>
        <v>0.77777777777777779</v>
      </c>
      <c r="AI361" s="32">
        <f t="shared" si="145"/>
        <v>0.83333333333333326</v>
      </c>
      <c r="AJ361" s="32">
        <f t="shared" si="146"/>
        <v>0.77777777777777779</v>
      </c>
      <c r="AK361">
        <f>step3_validation[[#This Row],[AI_TRU1]]</f>
        <v>9</v>
      </c>
      <c r="AL361">
        <f t="shared" si="147"/>
        <v>0.88888888888888884</v>
      </c>
      <c r="AM361">
        <f>survey_responses[[#This Row],[Tôi tin rằng Nhà nước, cơ quan thuế sẽ thực thi chính sách mới một cách khách quan, công tâm và đối xử bình đẳng với mọi người nộp thuế.  - HUMAN-TRU1]]</f>
        <v>7</v>
      </c>
      <c r="AN361">
        <f t="shared" si="148"/>
        <v>0.66666666666666663</v>
      </c>
      <c r="AO361">
        <f>step3_validation[[#This Row],[AI_TRU2]]</f>
        <v>8</v>
      </c>
      <c r="AP361">
        <f t="shared" si="149"/>
        <v>0.77777777777777779</v>
      </c>
      <c r="AQ361">
        <f>survey_responses[[#This Row],[Tôi thấy mức thuế tôi phải đóng theo phương án mới là công bằng (người thu nhập như tôi đóng mức này là hợp lý). - HUMAN-TRU2]]</f>
        <v>7</v>
      </c>
      <c r="AR361">
        <f t="shared" si="150"/>
        <v>0.66666666666666663</v>
      </c>
      <c r="AS361">
        <f>step3_validation[[#This Row],[AI_TRU3]]</f>
        <v>9</v>
      </c>
      <c r="AT361">
        <f t="shared" si="151"/>
        <v>0.88888888888888884</v>
      </c>
      <c r="AU361">
        <f>survey_responses[[#This Row],[Tôi tin tưởng số tiền thuế tôi đóng sẽ được Nhà nước sử dụng hiệu quả để cải thiện dịch vụ công (y tế, đường xá...). - HUMAN-TRU3]]</f>
        <v>6</v>
      </c>
      <c r="AV361">
        <f t="shared" si="152"/>
        <v>0.55555555555555558</v>
      </c>
      <c r="AW361">
        <f>step3_validation[[#This Row],[AI_TRU4]]</f>
        <v>8</v>
      </c>
      <c r="AX361">
        <f t="shared" si="153"/>
        <v>0.77777777777777779</v>
      </c>
      <c r="AY361">
        <f>survey_responses[[#This Row],[Tôi thấy Nhà nước đã giải thích rõ ràng, minh bạch về lý do và mục tiêu của việc sửa đổi thuế lần này. - HUMAN-TRU4]]</f>
        <v>7</v>
      </c>
      <c r="AZ361">
        <f t="shared" si="154"/>
        <v>0.66666666666666663</v>
      </c>
      <c r="BA361" s="32">
        <f t="shared" si="155"/>
        <v>0.83333333333333326</v>
      </c>
      <c r="BB361" s="32">
        <f t="shared" si="156"/>
        <v>0.63888888888888884</v>
      </c>
      <c r="BC361" s="7">
        <f t="shared" si="157"/>
        <v>0.79629629629629617</v>
      </c>
      <c r="BD361" s="7">
        <f t="shared" si="158"/>
        <v>0.75</v>
      </c>
      <c r="BE361">
        <f>step3_validation[[#This Row],[AI_OUT1]]</f>
        <v>9</v>
      </c>
      <c r="BF361">
        <f t="shared" si="159"/>
        <v>0.88888888888888884</v>
      </c>
      <c r="BG361">
        <f>survey_responses[[#This Row],[Sau khi xem xét các quyền lợi và nghĩa vụ, bạn có ủng hộ và tuân thủ chính sách mới hiện nay? - HUMAN-OUT1]]</f>
        <v>8</v>
      </c>
      <c r="BH361">
        <f t="shared" si="160"/>
        <v>0.77777777777777779</v>
      </c>
      <c r="BI361" s="32">
        <f t="shared" si="161"/>
        <v>1</v>
      </c>
    </row>
    <row r="362" spans="1:61" x14ac:dyDescent="0.45">
      <c r="A362" s="30">
        <f>step3_validation[[#This Row],[Persona_ID]]</f>
        <v>361</v>
      </c>
      <c r="B362" s="31">
        <f>step3_validation[[#This Row],[Used_Seed]]</f>
        <v>361</v>
      </c>
      <c r="C362" t="str">
        <f>step3_validation[[#This Row],[Gender]]</f>
        <v>Nữ</v>
      </c>
      <c r="D362" t="str">
        <f>survey_responses[[#This Row],[Giới tính của bạn:]]</f>
        <v>Nữ</v>
      </c>
      <c r="E362" t="str">
        <f>step3_validation[[#This Row],[Age_Group]]</f>
        <v>18 - 24</v>
      </c>
      <c r="F362" t="str">
        <f>survey_responses[[#This Row],[Độ tuổi của bạn:]]</f>
        <v>18 - 24</v>
      </c>
      <c r="G362" t="str">
        <f>step3_validation[[#This Row],[Region]]</f>
        <v>Thành thị</v>
      </c>
      <c r="H362" t="str">
        <f>survey_responses[[#This Row],[Khu vực bạn đang sinh sống:]]</f>
        <v>Thành thị</v>
      </c>
      <c r="I362" t="str">
        <f>step3_validation[[#This Row],[Education]]</f>
        <v>Đại học</v>
      </c>
      <c r="J362" t="str">
        <f>survey_responses[[#This Row],[Trình độ học vấn cao nhất:]]</f>
        <v>Đại học</v>
      </c>
      <c r="K362" t="str">
        <f>step3_validation[[#This Row],[Employment]]</f>
        <v>Chính thức</v>
      </c>
      <c r="L362" t="str">
        <f>survey_responses[[#This Row],[Tình trạng việc làm chính:]]</f>
        <v>Khu vực chính thức (Có Hợp đồng lao động, đóng BHXH)</v>
      </c>
      <c r="M362">
        <f>step3_validation[[#This Row],[Income_Mil]]</f>
        <v>12</v>
      </c>
      <c r="N362" t="str">
        <f>survey_responses[[#This Row],[Thu nhập bình quân tháng theo Hợp đồng lao động của bạn là bao nhiêu? (Vui lòng điền tổng thu nhập trước khi khấu trừ các loại Bảo hiểm (BHXH, BHYT, BHTN) và Thuế TNCN)]]</f>
        <v>Dưới 12 triệu VNĐ</v>
      </c>
      <c r="O362">
        <f>step3_validation[[#This Row],[Dependents]]</f>
        <v>0</v>
      </c>
      <c r="P362" t="str">
        <f>survey_responses[[#This Row],[Số người phụ thuộc (con nhỏ, cha mẹ già...) đủ điều kiện giảm trừ gia cảnh:]]</f>
        <v>0 người</v>
      </c>
      <c r="Q362">
        <f>step3_validation[[#This Row],[AI_ENF1]]</f>
        <v>8</v>
      </c>
      <c r="R362">
        <f t="shared" si="135"/>
        <v>0.77777777777777779</v>
      </c>
      <c r="S362">
        <f>survey_responses[[#This Row],[Tôi tin rằng với các quy định quản lý thuế hiện nay, hành vi gian lận hoặc trốn thuế sẽ dễ dàng bị phát hiện và xử lý nghiêm. - HUMAN-ENF1]]</f>
        <v>7</v>
      </c>
      <c r="T362">
        <f t="shared" si="136"/>
        <v>0.66666666666666663</v>
      </c>
      <c r="U362">
        <f>step3_validation[[#This Row],[AI_ENF2]]</f>
        <v>8</v>
      </c>
      <c r="V362">
        <f t="shared" si="137"/>
        <v>0.77777777777777779</v>
      </c>
      <c r="W362">
        <f>survey_responses[[#This Row],[Tôi tin rằng Nhà nước, cơ quan thuế có đủ khả năng và công nghệ để phát hiện, xử lý nghiêm các hành vi trốn thuế. - HUMAN-ENF2]]</f>
        <v>7</v>
      </c>
      <c r="X362">
        <f t="shared" si="138"/>
        <v>0.66666666666666663</v>
      </c>
      <c r="Y362" s="32">
        <f t="shared" si="139"/>
        <v>0.77777777777777779</v>
      </c>
      <c r="Z362" s="32">
        <f t="shared" si="140"/>
        <v>0.66666666666666663</v>
      </c>
      <c r="AA362">
        <f>step3_validation[[#This Row],[AI_FAC1]]</f>
        <v>9</v>
      </c>
      <c r="AB362">
        <f t="shared" si="141"/>
        <v>0.88888888888888884</v>
      </c>
      <c r="AC362">
        <f>survey_responses[[#This Row],[Các thủ tục khai báo thuế VÀ/HOẶC quy trình làm việc với cơ quan thuế đơn giản, tiện lợi, nhanh chóng hơn so với trước đây. - HUMAN-FAC1]]</f>
        <v>8</v>
      </c>
      <c r="AD362">
        <f t="shared" si="142"/>
        <v>0.77777777777777779</v>
      </c>
      <c r="AE362">
        <f>step3_validation[[#This Row],[AI_FAC2]]</f>
        <v>9</v>
      </c>
      <c r="AF362">
        <f t="shared" si="143"/>
        <v>0.88888888888888884</v>
      </c>
      <c r="AG362">
        <f>survey_responses[[#This Row],[So với trước đây, tôi thấy cách tính thuế và các bậc thuế trong phương án mới đơn giản, dễ hiểu và dễ thực hiện hơn. - HUMAN-FAC2]]</f>
        <v>9</v>
      </c>
      <c r="AH362">
        <f t="shared" si="144"/>
        <v>0.88888888888888884</v>
      </c>
      <c r="AI362" s="32">
        <f t="shared" si="145"/>
        <v>0.88888888888888884</v>
      </c>
      <c r="AJ362" s="32">
        <f t="shared" si="146"/>
        <v>0.83333333333333326</v>
      </c>
      <c r="AK362">
        <f>step3_validation[[#This Row],[AI_TRU1]]</f>
        <v>8</v>
      </c>
      <c r="AL362">
        <f t="shared" si="147"/>
        <v>0.77777777777777779</v>
      </c>
      <c r="AM362">
        <f>survey_responses[[#This Row],[Tôi tin rằng Nhà nước, cơ quan thuế sẽ thực thi chính sách mới một cách khách quan, công tâm và đối xử bình đẳng với mọi người nộp thuế.  - HUMAN-TRU1]]</f>
        <v>7</v>
      </c>
      <c r="AN362">
        <f t="shared" si="148"/>
        <v>0.66666666666666663</v>
      </c>
      <c r="AO362">
        <f>step3_validation[[#This Row],[AI_TRU2]]</f>
        <v>9</v>
      </c>
      <c r="AP362">
        <f t="shared" si="149"/>
        <v>0.88888888888888884</v>
      </c>
      <c r="AQ362">
        <f>survey_responses[[#This Row],[Tôi thấy mức thuế tôi phải đóng theo phương án mới là công bằng (người thu nhập như tôi đóng mức này là hợp lý). - HUMAN-TRU2]]</f>
        <v>10</v>
      </c>
      <c r="AR362">
        <f t="shared" si="150"/>
        <v>1</v>
      </c>
      <c r="AS362">
        <f>step3_validation[[#This Row],[AI_TRU3]]</f>
        <v>8</v>
      </c>
      <c r="AT362">
        <f t="shared" si="151"/>
        <v>0.77777777777777779</v>
      </c>
      <c r="AU362">
        <f>survey_responses[[#This Row],[Tôi tin tưởng số tiền thuế tôi đóng sẽ được Nhà nước sử dụng hiệu quả để cải thiện dịch vụ công (y tế, đường xá...). - HUMAN-TRU3]]</f>
        <v>8</v>
      </c>
      <c r="AV362">
        <f t="shared" si="152"/>
        <v>0.77777777777777779</v>
      </c>
      <c r="AW362">
        <f>step3_validation[[#This Row],[AI_TRU4]]</f>
        <v>7</v>
      </c>
      <c r="AX362">
        <f t="shared" si="153"/>
        <v>0.66666666666666663</v>
      </c>
      <c r="AY362">
        <f>survey_responses[[#This Row],[Tôi thấy Nhà nước đã giải thích rõ ràng, minh bạch về lý do và mục tiêu của việc sửa đổi thuế lần này. - HUMAN-TRU4]]</f>
        <v>8</v>
      </c>
      <c r="AZ362">
        <f t="shared" si="154"/>
        <v>0.77777777777777779</v>
      </c>
      <c r="BA362" s="32">
        <f t="shared" si="155"/>
        <v>0.77777777777777768</v>
      </c>
      <c r="BB362" s="32">
        <f t="shared" si="156"/>
        <v>0.80555555555555547</v>
      </c>
      <c r="BC362" s="7">
        <f t="shared" si="157"/>
        <v>0.81481481481481477</v>
      </c>
      <c r="BD362" s="7">
        <f t="shared" si="158"/>
        <v>0.76851851851851849</v>
      </c>
      <c r="BE362">
        <f>step3_validation[[#This Row],[AI_OUT1]]</f>
        <v>9</v>
      </c>
      <c r="BF362">
        <f t="shared" si="159"/>
        <v>0.88888888888888884</v>
      </c>
      <c r="BG362">
        <f>survey_responses[[#This Row],[Sau khi xem xét các quyền lợi và nghĩa vụ, bạn có ủng hộ và tuân thủ chính sách mới hiện nay? - HUMAN-OUT1]]</f>
        <v>10</v>
      </c>
      <c r="BH362">
        <f t="shared" si="160"/>
        <v>1</v>
      </c>
      <c r="BI362" s="32">
        <f t="shared" si="161"/>
        <v>1</v>
      </c>
    </row>
    <row r="363" spans="1:61" x14ac:dyDescent="0.45">
      <c r="A363" s="30">
        <f>step3_validation[[#This Row],[Persona_ID]]</f>
        <v>362</v>
      </c>
      <c r="B363" s="31">
        <f>step3_validation[[#This Row],[Used_Seed]]</f>
        <v>362</v>
      </c>
      <c r="C363" t="str">
        <f>step3_validation[[#This Row],[Gender]]</f>
        <v>Nữ</v>
      </c>
      <c r="D363" t="str">
        <f>survey_responses[[#This Row],[Giới tính của bạn:]]</f>
        <v>Nữ</v>
      </c>
      <c r="E363" t="str">
        <f>step3_validation[[#This Row],[Age_Group]]</f>
        <v>18 - 24</v>
      </c>
      <c r="F363" t="str">
        <f>survey_responses[[#This Row],[Độ tuổi của bạn:]]</f>
        <v>18 - 24</v>
      </c>
      <c r="G363" t="str">
        <f>step3_validation[[#This Row],[Region]]</f>
        <v>Thành thị</v>
      </c>
      <c r="H363" t="str">
        <f>survey_responses[[#This Row],[Khu vực bạn đang sinh sống:]]</f>
        <v>Thành thị</v>
      </c>
      <c r="I363" t="str">
        <f>step3_validation[[#This Row],[Education]]</f>
        <v>Đại học</v>
      </c>
      <c r="J363" t="str">
        <f>survey_responses[[#This Row],[Trình độ học vấn cao nhất:]]</f>
        <v>Đại học</v>
      </c>
      <c r="K363" t="str">
        <f>step3_validation[[#This Row],[Employment]]</f>
        <v>Chính thức</v>
      </c>
      <c r="L363" t="str">
        <f>survey_responses[[#This Row],[Tình trạng việc làm chính:]]</f>
        <v>Khu vực chính thức (Có Hợp đồng lao động, đóng BHXH)</v>
      </c>
      <c r="M363">
        <f>step3_validation[[#This Row],[Income_Mil]]</f>
        <v>12.704507617919734</v>
      </c>
      <c r="N363" t="str">
        <f>survey_responses[[#This Row],[Thu nhập bình quân tháng theo Hợp đồng lao động của bạn là bao nhiêu? (Vui lòng điền tổng thu nhập trước khi khấu trừ các loại Bảo hiểm (BHXH, BHYT, BHTN) và Thuế TNCN)]]</f>
        <v>Từ 12 - 18 triệu VNĐ</v>
      </c>
      <c r="O363">
        <f>step3_validation[[#This Row],[Dependents]]</f>
        <v>0</v>
      </c>
      <c r="P363" t="str">
        <f>survey_responses[[#This Row],[Số người phụ thuộc (con nhỏ, cha mẹ già...) đủ điều kiện giảm trừ gia cảnh:]]</f>
        <v>0 người</v>
      </c>
      <c r="Q363">
        <f>step3_validation[[#This Row],[AI_ENF1]]</f>
        <v>6</v>
      </c>
      <c r="R363">
        <f t="shared" si="135"/>
        <v>0.55555555555555558</v>
      </c>
      <c r="S363">
        <f>survey_responses[[#This Row],[Tôi tin rằng với các quy định quản lý thuế hiện nay, hành vi gian lận hoặc trốn thuế sẽ dễ dàng bị phát hiện và xử lý nghiêm. - HUMAN-ENF1]]</f>
        <v>3</v>
      </c>
      <c r="T363">
        <f t="shared" si="136"/>
        <v>0.22222222222222221</v>
      </c>
      <c r="U363">
        <f>step3_validation[[#This Row],[AI_ENF2]]</f>
        <v>6</v>
      </c>
      <c r="V363">
        <f t="shared" si="137"/>
        <v>0.55555555555555558</v>
      </c>
      <c r="W363">
        <f>survey_responses[[#This Row],[Tôi tin rằng Nhà nước, cơ quan thuế có đủ khả năng và công nghệ để phát hiện, xử lý nghiêm các hành vi trốn thuế. - HUMAN-ENF2]]</f>
        <v>3</v>
      </c>
      <c r="X363">
        <f t="shared" si="138"/>
        <v>0.22222222222222221</v>
      </c>
      <c r="Y363" s="32">
        <f t="shared" si="139"/>
        <v>0.55555555555555558</v>
      </c>
      <c r="Z363" s="32">
        <f t="shared" si="140"/>
        <v>0.22222222222222221</v>
      </c>
      <c r="AA363">
        <f>step3_validation[[#This Row],[AI_FAC1]]</f>
        <v>8</v>
      </c>
      <c r="AB363">
        <f t="shared" si="141"/>
        <v>0.77777777777777779</v>
      </c>
      <c r="AC363">
        <f>survey_responses[[#This Row],[Các thủ tục khai báo thuế VÀ/HOẶC quy trình làm việc với cơ quan thuế đơn giản, tiện lợi, nhanh chóng hơn so với trước đây. - HUMAN-FAC1]]</f>
        <v>5</v>
      </c>
      <c r="AD363">
        <f t="shared" si="142"/>
        <v>0.44444444444444442</v>
      </c>
      <c r="AE363">
        <f>step3_validation[[#This Row],[AI_FAC2]]</f>
        <v>9</v>
      </c>
      <c r="AF363">
        <f t="shared" si="143"/>
        <v>0.88888888888888884</v>
      </c>
      <c r="AG363">
        <f>survey_responses[[#This Row],[So với trước đây, tôi thấy cách tính thuế và các bậc thuế trong phương án mới đơn giản, dễ hiểu và dễ thực hiện hơn. - HUMAN-FAC2]]</f>
        <v>6</v>
      </c>
      <c r="AH363">
        <f t="shared" si="144"/>
        <v>0.55555555555555558</v>
      </c>
      <c r="AI363" s="32">
        <f t="shared" si="145"/>
        <v>0.83333333333333326</v>
      </c>
      <c r="AJ363" s="32">
        <f t="shared" si="146"/>
        <v>0.5</v>
      </c>
      <c r="AK363">
        <f>step3_validation[[#This Row],[AI_TRU1]]</f>
        <v>7</v>
      </c>
      <c r="AL363">
        <f t="shared" si="147"/>
        <v>0.66666666666666663</v>
      </c>
      <c r="AM363">
        <f>survey_responses[[#This Row],[Tôi tin rằng Nhà nước, cơ quan thuế sẽ thực thi chính sách mới một cách khách quan, công tâm và đối xử bình đẳng với mọi người nộp thuế.  - HUMAN-TRU1]]</f>
        <v>5</v>
      </c>
      <c r="AN363">
        <f t="shared" si="148"/>
        <v>0.44444444444444442</v>
      </c>
      <c r="AO363">
        <f>step3_validation[[#This Row],[AI_TRU2]]</f>
        <v>9</v>
      </c>
      <c r="AP363">
        <f t="shared" si="149"/>
        <v>0.88888888888888884</v>
      </c>
      <c r="AQ363">
        <f>survey_responses[[#This Row],[Tôi thấy mức thuế tôi phải đóng theo phương án mới là công bằng (người thu nhập như tôi đóng mức này là hợp lý). - HUMAN-TRU2]]</f>
        <v>6</v>
      </c>
      <c r="AR363">
        <f t="shared" si="150"/>
        <v>0.55555555555555558</v>
      </c>
      <c r="AS363">
        <f>step3_validation[[#This Row],[AI_TRU3]]</f>
        <v>8</v>
      </c>
      <c r="AT363">
        <f t="shared" si="151"/>
        <v>0.77777777777777779</v>
      </c>
      <c r="AU363">
        <f>survey_responses[[#This Row],[Tôi tin tưởng số tiền thuế tôi đóng sẽ được Nhà nước sử dụng hiệu quả để cải thiện dịch vụ công (y tế, đường xá...). - HUMAN-TRU3]]</f>
        <v>4</v>
      </c>
      <c r="AV363">
        <f t="shared" si="152"/>
        <v>0.33333333333333331</v>
      </c>
      <c r="AW363">
        <f>step3_validation[[#This Row],[AI_TRU4]]</f>
        <v>7</v>
      </c>
      <c r="AX363">
        <f t="shared" si="153"/>
        <v>0.66666666666666663</v>
      </c>
      <c r="AY363">
        <f>survey_responses[[#This Row],[Tôi thấy Nhà nước đã giải thích rõ ràng, minh bạch về lý do và mục tiêu của việc sửa đổi thuế lần này. - HUMAN-TRU4]]</f>
        <v>6</v>
      </c>
      <c r="AZ363">
        <f t="shared" si="154"/>
        <v>0.55555555555555558</v>
      </c>
      <c r="BA363" s="32">
        <f t="shared" si="155"/>
        <v>0.74999999999999989</v>
      </c>
      <c r="BB363" s="32">
        <f t="shared" si="156"/>
        <v>0.47222222222222221</v>
      </c>
      <c r="BC363" s="7">
        <f t="shared" si="157"/>
        <v>0.71296296296296291</v>
      </c>
      <c r="BD363" s="7">
        <f t="shared" si="158"/>
        <v>0.39814814814814814</v>
      </c>
      <c r="BE363">
        <f>step3_validation[[#This Row],[AI_OUT1]]</f>
        <v>9</v>
      </c>
      <c r="BF363">
        <f t="shared" si="159"/>
        <v>0.88888888888888884</v>
      </c>
      <c r="BG363">
        <f>survey_responses[[#This Row],[Sau khi xem xét các quyền lợi và nghĩa vụ, bạn có ủng hộ và tuân thủ chính sách mới hiện nay? - HUMAN-OUT1]]</f>
        <v>6</v>
      </c>
      <c r="BH363">
        <f t="shared" si="160"/>
        <v>0.55555555555555558</v>
      </c>
      <c r="BI363" s="32">
        <f t="shared" si="161"/>
        <v>3</v>
      </c>
    </row>
    <row r="364" spans="1:61" x14ac:dyDescent="0.45">
      <c r="A364" s="30">
        <f>step3_validation[[#This Row],[Persona_ID]]</f>
        <v>363</v>
      </c>
      <c r="B364" s="31">
        <f>step3_validation[[#This Row],[Used_Seed]]</f>
        <v>363</v>
      </c>
      <c r="C364" t="str">
        <f>step3_validation[[#This Row],[Gender]]</f>
        <v>Nam</v>
      </c>
      <c r="D364" t="str">
        <f>survey_responses[[#This Row],[Giới tính của bạn:]]</f>
        <v>Nam</v>
      </c>
      <c r="E364" t="str">
        <f>step3_validation[[#This Row],[Age_Group]]</f>
        <v>25 - 29</v>
      </c>
      <c r="F364" t="str">
        <f>survey_responses[[#This Row],[Độ tuổi của bạn:]]</f>
        <v>25 - 29</v>
      </c>
      <c r="G364" t="str">
        <f>step3_validation[[#This Row],[Region]]</f>
        <v>Thành thị</v>
      </c>
      <c r="H364" t="str">
        <f>survey_responses[[#This Row],[Khu vực bạn đang sinh sống:]]</f>
        <v>Thành thị</v>
      </c>
      <c r="I364" t="str">
        <f>step3_validation[[#This Row],[Education]]</f>
        <v>Đại học</v>
      </c>
      <c r="J364" t="str">
        <f>survey_responses[[#This Row],[Trình độ học vấn cao nhất:]]</f>
        <v>Đại học</v>
      </c>
      <c r="K364" t="str">
        <f>step3_validation[[#This Row],[Employment]]</f>
        <v>Chính thức</v>
      </c>
      <c r="L364" t="str">
        <f>survey_responses[[#This Row],[Tình trạng việc làm chính:]]</f>
        <v>Khu vực chính thức (Có Hợp đồng lao động, đóng BHXH)</v>
      </c>
      <c r="M364">
        <f>step3_validation[[#This Row],[Income_Mil]]</f>
        <v>30.604448029933732</v>
      </c>
      <c r="N364" t="str">
        <f>survey_responses[[#This Row],[Thu nhập bình quân tháng theo Hợp đồng lao động của bạn là bao nhiêu? (Vui lòng điền tổng thu nhập trước khi khấu trừ các loại Bảo hiểm (BHXH, BHYT, BHTN) và Thuế TNCN)]]</f>
        <v>Từ 23 - 32 triệu VNĐ</v>
      </c>
      <c r="O364">
        <f>step3_validation[[#This Row],[Dependents]]</f>
        <v>1</v>
      </c>
      <c r="P364" t="str">
        <f>survey_responses[[#This Row],[Số người phụ thuộc (con nhỏ, cha mẹ già...) đủ điều kiện giảm trừ gia cảnh:]]</f>
        <v>1 người</v>
      </c>
      <c r="Q364">
        <f>step3_validation[[#This Row],[AI_ENF1]]</f>
        <v>7</v>
      </c>
      <c r="R364">
        <f t="shared" si="135"/>
        <v>0.66666666666666663</v>
      </c>
      <c r="S364">
        <f>survey_responses[[#This Row],[Tôi tin rằng với các quy định quản lý thuế hiện nay, hành vi gian lận hoặc trốn thuế sẽ dễ dàng bị phát hiện và xử lý nghiêm. - HUMAN-ENF1]]</f>
        <v>8</v>
      </c>
      <c r="T364">
        <f t="shared" si="136"/>
        <v>0.77777777777777779</v>
      </c>
      <c r="U364">
        <f>step3_validation[[#This Row],[AI_ENF2]]</f>
        <v>8</v>
      </c>
      <c r="V364">
        <f t="shared" si="137"/>
        <v>0.77777777777777779</v>
      </c>
      <c r="W364">
        <f>survey_responses[[#This Row],[Tôi tin rằng Nhà nước, cơ quan thuế có đủ khả năng và công nghệ để phát hiện, xử lý nghiêm các hành vi trốn thuế. - HUMAN-ENF2]]</f>
        <v>8</v>
      </c>
      <c r="X364">
        <f t="shared" si="138"/>
        <v>0.77777777777777779</v>
      </c>
      <c r="Y364" s="32">
        <f t="shared" si="139"/>
        <v>0.72222222222222221</v>
      </c>
      <c r="Z364" s="32">
        <f t="shared" si="140"/>
        <v>0.77777777777777779</v>
      </c>
      <c r="AA364">
        <f>step3_validation[[#This Row],[AI_FAC1]]</f>
        <v>6</v>
      </c>
      <c r="AB364">
        <f t="shared" si="141"/>
        <v>0.55555555555555558</v>
      </c>
      <c r="AC364">
        <f>survey_responses[[#This Row],[Các thủ tục khai báo thuế VÀ/HOẶC quy trình làm việc với cơ quan thuế đơn giản, tiện lợi, nhanh chóng hơn so với trước đây. - HUMAN-FAC1]]</f>
        <v>5</v>
      </c>
      <c r="AD364">
        <f t="shared" si="142"/>
        <v>0.44444444444444442</v>
      </c>
      <c r="AE364">
        <f>step3_validation[[#This Row],[AI_FAC2]]</f>
        <v>9</v>
      </c>
      <c r="AF364">
        <f t="shared" si="143"/>
        <v>0.88888888888888884</v>
      </c>
      <c r="AG364">
        <f>survey_responses[[#This Row],[So với trước đây, tôi thấy cách tính thuế và các bậc thuế trong phương án mới đơn giản, dễ hiểu và dễ thực hiện hơn. - HUMAN-FAC2]]</f>
        <v>7</v>
      </c>
      <c r="AH364">
        <f t="shared" si="144"/>
        <v>0.66666666666666663</v>
      </c>
      <c r="AI364" s="32">
        <f t="shared" si="145"/>
        <v>0.72222222222222221</v>
      </c>
      <c r="AJ364" s="32">
        <f t="shared" si="146"/>
        <v>0.55555555555555558</v>
      </c>
      <c r="AK364">
        <f>step3_validation[[#This Row],[AI_TRU1]]</f>
        <v>8</v>
      </c>
      <c r="AL364">
        <f t="shared" si="147"/>
        <v>0.77777777777777779</v>
      </c>
      <c r="AM364">
        <f>survey_responses[[#This Row],[Tôi tin rằng Nhà nước, cơ quan thuế sẽ thực thi chính sách mới một cách khách quan, công tâm và đối xử bình đẳng với mọi người nộp thuế.  - HUMAN-TRU1]]</f>
        <v>5</v>
      </c>
      <c r="AN364">
        <f t="shared" si="148"/>
        <v>0.44444444444444442</v>
      </c>
      <c r="AO364">
        <f>step3_validation[[#This Row],[AI_TRU2]]</f>
        <v>9</v>
      </c>
      <c r="AP364">
        <f t="shared" si="149"/>
        <v>0.88888888888888884</v>
      </c>
      <c r="AQ364">
        <f>survey_responses[[#This Row],[Tôi thấy mức thuế tôi phải đóng theo phương án mới là công bằng (người thu nhập như tôi đóng mức này là hợp lý). - HUMAN-TRU2]]</f>
        <v>8</v>
      </c>
      <c r="AR364">
        <f t="shared" si="150"/>
        <v>0.77777777777777779</v>
      </c>
      <c r="AS364">
        <f>step3_validation[[#This Row],[AI_TRU3]]</f>
        <v>7</v>
      </c>
      <c r="AT364">
        <f t="shared" si="151"/>
        <v>0.66666666666666663</v>
      </c>
      <c r="AU364">
        <f>survey_responses[[#This Row],[Tôi tin tưởng số tiền thuế tôi đóng sẽ được Nhà nước sử dụng hiệu quả để cải thiện dịch vụ công (y tế, đường xá...). - HUMAN-TRU3]]</f>
        <v>5</v>
      </c>
      <c r="AV364">
        <f t="shared" si="152"/>
        <v>0.44444444444444442</v>
      </c>
      <c r="AW364">
        <f>step3_validation[[#This Row],[AI_TRU4]]</f>
        <v>8</v>
      </c>
      <c r="AX364">
        <f t="shared" si="153"/>
        <v>0.77777777777777779</v>
      </c>
      <c r="AY364">
        <f>survey_responses[[#This Row],[Tôi thấy Nhà nước đã giải thích rõ ràng, minh bạch về lý do và mục tiêu của việc sửa đổi thuế lần này. - HUMAN-TRU4]]</f>
        <v>7</v>
      </c>
      <c r="AZ364">
        <f t="shared" si="154"/>
        <v>0.66666666666666663</v>
      </c>
      <c r="BA364" s="32">
        <f t="shared" si="155"/>
        <v>0.77777777777777768</v>
      </c>
      <c r="BB364" s="32">
        <f t="shared" si="156"/>
        <v>0.58333333333333337</v>
      </c>
      <c r="BC364" s="7">
        <f t="shared" si="157"/>
        <v>0.74074074074074081</v>
      </c>
      <c r="BD364" s="7">
        <f t="shared" si="158"/>
        <v>0.63888888888888895</v>
      </c>
      <c r="BE364">
        <f>step3_validation[[#This Row],[AI_OUT1]]</f>
        <v>9</v>
      </c>
      <c r="BF364">
        <f t="shared" si="159"/>
        <v>0.88888888888888884</v>
      </c>
      <c r="BG364">
        <f>survey_responses[[#This Row],[Sau khi xem xét các quyền lợi và nghĩa vụ, bạn có ủng hộ và tuân thủ chính sách mới hiện nay? - HUMAN-OUT1]]</f>
        <v>8</v>
      </c>
      <c r="BH364">
        <f t="shared" si="160"/>
        <v>0.77777777777777779</v>
      </c>
      <c r="BI364" s="32">
        <f t="shared" si="161"/>
        <v>1</v>
      </c>
    </row>
    <row r="365" spans="1:61" x14ac:dyDescent="0.45">
      <c r="A365" s="30">
        <f>step3_validation[[#This Row],[Persona_ID]]</f>
        <v>364</v>
      </c>
      <c r="B365" s="31">
        <f>step3_validation[[#This Row],[Used_Seed]]</f>
        <v>364</v>
      </c>
      <c r="C365" t="str">
        <f>step3_validation[[#This Row],[Gender]]</f>
        <v>Nam</v>
      </c>
      <c r="D365" t="str">
        <f>survey_responses[[#This Row],[Giới tính của bạn:]]</f>
        <v>Nam</v>
      </c>
      <c r="E365" t="str">
        <f>step3_validation[[#This Row],[Age_Group]]</f>
        <v>30 - 39</v>
      </c>
      <c r="F365" t="str">
        <f>survey_responses[[#This Row],[Độ tuổi của bạn:]]</f>
        <v>30 - 39</v>
      </c>
      <c r="G365" t="str">
        <f>step3_validation[[#This Row],[Region]]</f>
        <v>Thành thị</v>
      </c>
      <c r="H365" t="str">
        <f>survey_responses[[#This Row],[Khu vực bạn đang sinh sống:]]</f>
        <v>Thành thị</v>
      </c>
      <c r="I365" t="str">
        <f>step3_validation[[#This Row],[Education]]</f>
        <v>Đại học</v>
      </c>
      <c r="J365" t="str">
        <f>survey_responses[[#This Row],[Trình độ học vấn cao nhất:]]</f>
        <v>Đại học</v>
      </c>
      <c r="K365" t="str">
        <f>step3_validation[[#This Row],[Employment]]</f>
        <v>Chính thức</v>
      </c>
      <c r="L365" t="str">
        <f>survey_responses[[#This Row],[Tình trạng việc làm chính:]]</f>
        <v>Khu vực chính thức (Có Hợp đồng lao động, đóng BHXH)</v>
      </c>
      <c r="M365">
        <f>step3_validation[[#This Row],[Income_Mil]]</f>
        <v>18.218581622984775</v>
      </c>
      <c r="N365" t="str">
        <f>survey_responses[[#This Row],[Thu nhập bình quân tháng theo Hợp đồng lao động của bạn là bao nhiêu? (Vui lòng điền tổng thu nhập trước khi khấu trừ các loại Bảo hiểm (BHXH, BHYT, BHTN) và Thuế TNCN)]]</f>
        <v>Từ 18 - 23 triệu VNĐ</v>
      </c>
      <c r="O365">
        <f>step3_validation[[#This Row],[Dependents]]</f>
        <v>1</v>
      </c>
      <c r="P365" t="str">
        <f>survey_responses[[#This Row],[Số người phụ thuộc (con nhỏ, cha mẹ già...) đủ điều kiện giảm trừ gia cảnh:]]</f>
        <v>1 người</v>
      </c>
      <c r="Q365">
        <f>step3_validation[[#This Row],[AI_ENF1]]</f>
        <v>6</v>
      </c>
      <c r="R365">
        <f t="shared" si="135"/>
        <v>0.55555555555555558</v>
      </c>
      <c r="S365">
        <f>survey_responses[[#This Row],[Tôi tin rằng với các quy định quản lý thuế hiện nay, hành vi gian lận hoặc trốn thuế sẽ dễ dàng bị phát hiện và xử lý nghiêm. - HUMAN-ENF1]]</f>
        <v>4</v>
      </c>
      <c r="T365">
        <f t="shared" si="136"/>
        <v>0.33333333333333331</v>
      </c>
      <c r="U365">
        <f>step3_validation[[#This Row],[AI_ENF2]]</f>
        <v>7</v>
      </c>
      <c r="V365">
        <f t="shared" si="137"/>
        <v>0.66666666666666663</v>
      </c>
      <c r="W365">
        <f>survey_responses[[#This Row],[Tôi tin rằng Nhà nước, cơ quan thuế có đủ khả năng và công nghệ để phát hiện, xử lý nghiêm các hành vi trốn thuế. - HUMAN-ENF2]]</f>
        <v>5</v>
      </c>
      <c r="X365">
        <f t="shared" si="138"/>
        <v>0.44444444444444442</v>
      </c>
      <c r="Y365" s="32">
        <f t="shared" si="139"/>
        <v>0.61111111111111116</v>
      </c>
      <c r="Z365" s="32">
        <f t="shared" si="140"/>
        <v>0.38888888888888884</v>
      </c>
      <c r="AA365">
        <f>step3_validation[[#This Row],[AI_FAC1]]</f>
        <v>8</v>
      </c>
      <c r="AB365">
        <f t="shared" si="141"/>
        <v>0.77777777777777779</v>
      </c>
      <c r="AC365">
        <f>survey_responses[[#This Row],[Các thủ tục khai báo thuế VÀ/HOẶC quy trình làm việc với cơ quan thuế đơn giản, tiện lợi, nhanh chóng hơn so với trước đây. - HUMAN-FAC1]]</f>
        <v>5</v>
      </c>
      <c r="AD365">
        <f t="shared" si="142"/>
        <v>0.44444444444444442</v>
      </c>
      <c r="AE365">
        <f>step3_validation[[#This Row],[AI_FAC2]]</f>
        <v>9</v>
      </c>
      <c r="AF365">
        <f t="shared" si="143"/>
        <v>0.88888888888888884</v>
      </c>
      <c r="AG365">
        <f>survey_responses[[#This Row],[So với trước đây, tôi thấy cách tính thuế và các bậc thuế trong phương án mới đơn giản, dễ hiểu và dễ thực hiện hơn. - HUMAN-FAC2]]</f>
        <v>7</v>
      </c>
      <c r="AH365">
        <f t="shared" si="144"/>
        <v>0.66666666666666663</v>
      </c>
      <c r="AI365" s="32">
        <f t="shared" si="145"/>
        <v>0.83333333333333326</v>
      </c>
      <c r="AJ365" s="32">
        <f t="shared" si="146"/>
        <v>0.55555555555555558</v>
      </c>
      <c r="AK365">
        <f>step3_validation[[#This Row],[AI_TRU1]]</f>
        <v>7</v>
      </c>
      <c r="AL365">
        <f t="shared" si="147"/>
        <v>0.66666666666666663</v>
      </c>
      <c r="AM365">
        <f>survey_responses[[#This Row],[Tôi tin rằng Nhà nước, cơ quan thuế sẽ thực thi chính sách mới một cách khách quan, công tâm và đối xử bình đẳng với mọi người nộp thuế.  - HUMAN-TRU1]]</f>
        <v>5</v>
      </c>
      <c r="AN365">
        <f t="shared" si="148"/>
        <v>0.44444444444444442</v>
      </c>
      <c r="AO365">
        <f>step3_validation[[#This Row],[AI_TRU2]]</f>
        <v>9</v>
      </c>
      <c r="AP365">
        <f t="shared" si="149"/>
        <v>0.88888888888888884</v>
      </c>
      <c r="AQ365">
        <f>survey_responses[[#This Row],[Tôi thấy mức thuế tôi phải đóng theo phương án mới là công bằng (người thu nhập như tôi đóng mức này là hợp lý). - HUMAN-TRU2]]</f>
        <v>7</v>
      </c>
      <c r="AR365">
        <f t="shared" si="150"/>
        <v>0.66666666666666663</v>
      </c>
      <c r="AS365">
        <f>step3_validation[[#This Row],[AI_TRU3]]</f>
        <v>7</v>
      </c>
      <c r="AT365">
        <f t="shared" si="151"/>
        <v>0.66666666666666663</v>
      </c>
      <c r="AU365">
        <f>survey_responses[[#This Row],[Tôi tin tưởng số tiền thuế tôi đóng sẽ được Nhà nước sử dụng hiệu quả để cải thiện dịch vụ công (y tế, đường xá...). - HUMAN-TRU3]]</f>
        <v>5</v>
      </c>
      <c r="AV365">
        <f t="shared" si="152"/>
        <v>0.44444444444444442</v>
      </c>
      <c r="AW365">
        <f>step3_validation[[#This Row],[AI_TRU4]]</f>
        <v>8</v>
      </c>
      <c r="AX365">
        <f t="shared" si="153"/>
        <v>0.77777777777777779</v>
      </c>
      <c r="AY365">
        <f>survey_responses[[#This Row],[Tôi thấy Nhà nước đã giải thích rõ ràng, minh bạch về lý do và mục tiêu của việc sửa đổi thuế lần này. - HUMAN-TRU4]]</f>
        <v>6</v>
      </c>
      <c r="AZ365">
        <f t="shared" si="154"/>
        <v>0.55555555555555558</v>
      </c>
      <c r="BA365" s="32">
        <f t="shared" si="155"/>
        <v>0.74999999999999989</v>
      </c>
      <c r="BB365" s="32">
        <f t="shared" si="156"/>
        <v>0.52777777777777779</v>
      </c>
      <c r="BC365" s="7">
        <f t="shared" si="157"/>
        <v>0.7314814814814814</v>
      </c>
      <c r="BD365" s="7">
        <f t="shared" si="158"/>
        <v>0.49074074074074076</v>
      </c>
      <c r="BE365">
        <f>step3_validation[[#This Row],[AI_OUT1]]</f>
        <v>9</v>
      </c>
      <c r="BF365">
        <f t="shared" si="159"/>
        <v>0.88888888888888884</v>
      </c>
      <c r="BG365">
        <f>survey_responses[[#This Row],[Sau khi xem xét các quyền lợi và nghĩa vụ, bạn có ủng hộ và tuân thủ chính sách mới hiện nay? - HUMAN-OUT1]]</f>
        <v>7</v>
      </c>
      <c r="BH365">
        <f t="shared" si="160"/>
        <v>0.66666666666666663</v>
      </c>
      <c r="BI365" s="32">
        <f t="shared" si="161"/>
        <v>2</v>
      </c>
    </row>
    <row r="366" spans="1:61" x14ac:dyDescent="0.45">
      <c r="A366" s="30">
        <f>step3_validation[[#This Row],[Persona_ID]]</f>
        <v>365</v>
      </c>
      <c r="B366" s="31">
        <f>step3_validation[[#This Row],[Used_Seed]]</f>
        <v>365</v>
      </c>
      <c r="C366" t="str">
        <f>step3_validation[[#This Row],[Gender]]</f>
        <v>Nữ</v>
      </c>
      <c r="D366" t="str">
        <f>survey_responses[[#This Row],[Giới tính của bạn:]]</f>
        <v>Nữ</v>
      </c>
      <c r="E366" t="str">
        <f>step3_validation[[#This Row],[Age_Group]]</f>
        <v>25 - 29</v>
      </c>
      <c r="F366" t="str">
        <f>survey_responses[[#This Row],[Độ tuổi của bạn:]]</f>
        <v>25 - 29</v>
      </c>
      <c r="G366" t="str">
        <f>step3_validation[[#This Row],[Region]]</f>
        <v>Thành thị</v>
      </c>
      <c r="H366" t="str">
        <f>survey_responses[[#This Row],[Khu vực bạn đang sinh sống:]]</f>
        <v>Thành thị</v>
      </c>
      <c r="I366" t="str">
        <f>step3_validation[[#This Row],[Education]]</f>
        <v>Đại học</v>
      </c>
      <c r="J366" t="str">
        <f>survey_responses[[#This Row],[Trình độ học vấn cao nhất:]]</f>
        <v>Đại học</v>
      </c>
      <c r="K366" t="str">
        <f>step3_validation[[#This Row],[Employment]]</f>
        <v>Chính thức</v>
      </c>
      <c r="L366" t="str">
        <f>survey_responses[[#This Row],[Tình trạng việc làm chính:]]</f>
        <v>Khu vực chính thức (Có Hợp đồng lao động, đóng BHXH)</v>
      </c>
      <c r="M366">
        <f>step3_validation[[#This Row],[Income_Mil]]</f>
        <v>43.387360062552752</v>
      </c>
      <c r="N366" t="str">
        <f>survey_responses[[#This Row],[Thu nhập bình quân tháng theo Hợp đồng lao động của bạn là bao nhiêu? (Vui lòng điền tổng thu nhập trước khi khấu trừ các loại Bảo hiểm (BHXH, BHYT, BHTN) và Thuế TNCN)]]</f>
        <v>Từ 32 - 48 triệu VNĐ</v>
      </c>
      <c r="O366">
        <f>step3_validation[[#This Row],[Dependents]]</f>
        <v>0</v>
      </c>
      <c r="P366" t="str">
        <f>survey_responses[[#This Row],[Số người phụ thuộc (con nhỏ, cha mẹ già...) đủ điều kiện giảm trừ gia cảnh:]]</f>
        <v>0 người</v>
      </c>
      <c r="Q366">
        <f>step3_validation[[#This Row],[AI_ENF1]]</f>
        <v>7</v>
      </c>
      <c r="R366">
        <f t="shared" si="135"/>
        <v>0.66666666666666663</v>
      </c>
      <c r="S366">
        <f>survey_responses[[#This Row],[Tôi tin rằng với các quy định quản lý thuế hiện nay, hành vi gian lận hoặc trốn thuế sẽ dễ dàng bị phát hiện và xử lý nghiêm. - HUMAN-ENF1]]</f>
        <v>9</v>
      </c>
      <c r="T366">
        <f t="shared" si="136"/>
        <v>0.88888888888888884</v>
      </c>
      <c r="U366">
        <f>step3_validation[[#This Row],[AI_ENF2]]</f>
        <v>8</v>
      </c>
      <c r="V366">
        <f t="shared" si="137"/>
        <v>0.77777777777777779</v>
      </c>
      <c r="W366">
        <f>survey_responses[[#This Row],[Tôi tin rằng Nhà nước, cơ quan thuế có đủ khả năng và công nghệ để phát hiện, xử lý nghiêm các hành vi trốn thuế. - HUMAN-ENF2]]</f>
        <v>9</v>
      </c>
      <c r="X366">
        <f t="shared" si="138"/>
        <v>0.88888888888888884</v>
      </c>
      <c r="Y366" s="32">
        <f t="shared" si="139"/>
        <v>0.72222222222222221</v>
      </c>
      <c r="Z366" s="32">
        <f t="shared" si="140"/>
        <v>0.88888888888888884</v>
      </c>
      <c r="AA366">
        <f>step3_validation[[#This Row],[AI_FAC1]]</f>
        <v>6</v>
      </c>
      <c r="AB366">
        <f t="shared" si="141"/>
        <v>0.55555555555555558</v>
      </c>
      <c r="AC366">
        <f>survey_responses[[#This Row],[Các thủ tục khai báo thuế VÀ/HOẶC quy trình làm việc với cơ quan thuế đơn giản, tiện lợi, nhanh chóng hơn so với trước đây. - HUMAN-FAC1]]</f>
        <v>8</v>
      </c>
      <c r="AD366">
        <f t="shared" si="142"/>
        <v>0.77777777777777779</v>
      </c>
      <c r="AE366">
        <f>step3_validation[[#This Row],[AI_FAC2]]</f>
        <v>9</v>
      </c>
      <c r="AF366">
        <f t="shared" si="143"/>
        <v>0.88888888888888884</v>
      </c>
      <c r="AG366">
        <f>survey_responses[[#This Row],[So với trước đây, tôi thấy cách tính thuế và các bậc thuế trong phương án mới đơn giản, dễ hiểu và dễ thực hiện hơn. - HUMAN-FAC2]]</f>
        <v>9</v>
      </c>
      <c r="AH366">
        <f t="shared" si="144"/>
        <v>0.88888888888888884</v>
      </c>
      <c r="AI366" s="32">
        <f t="shared" si="145"/>
        <v>0.72222222222222221</v>
      </c>
      <c r="AJ366" s="32">
        <f t="shared" si="146"/>
        <v>0.83333333333333326</v>
      </c>
      <c r="AK366">
        <f>step3_validation[[#This Row],[AI_TRU1]]</f>
        <v>6</v>
      </c>
      <c r="AL366">
        <f t="shared" si="147"/>
        <v>0.55555555555555558</v>
      </c>
      <c r="AM366">
        <f>survey_responses[[#This Row],[Tôi tin rằng Nhà nước, cơ quan thuế sẽ thực thi chính sách mới một cách khách quan, công tâm và đối xử bình đẳng với mọi người nộp thuế.  - HUMAN-TRU1]]</f>
        <v>9</v>
      </c>
      <c r="AN366">
        <f t="shared" si="148"/>
        <v>0.88888888888888884</v>
      </c>
      <c r="AO366">
        <f>step3_validation[[#This Row],[AI_TRU2]]</f>
        <v>9</v>
      </c>
      <c r="AP366">
        <f t="shared" si="149"/>
        <v>0.88888888888888884</v>
      </c>
      <c r="AQ366">
        <f>survey_responses[[#This Row],[Tôi thấy mức thuế tôi phải đóng theo phương án mới là công bằng (người thu nhập như tôi đóng mức này là hợp lý). - HUMAN-TRU2]]</f>
        <v>7</v>
      </c>
      <c r="AR366">
        <f t="shared" si="150"/>
        <v>0.66666666666666663</v>
      </c>
      <c r="AS366">
        <f>step3_validation[[#This Row],[AI_TRU3]]</f>
        <v>7</v>
      </c>
      <c r="AT366">
        <f t="shared" si="151"/>
        <v>0.66666666666666663</v>
      </c>
      <c r="AU366">
        <f>survey_responses[[#This Row],[Tôi tin tưởng số tiền thuế tôi đóng sẽ được Nhà nước sử dụng hiệu quả để cải thiện dịch vụ công (y tế, đường xá...). - HUMAN-TRU3]]</f>
        <v>7</v>
      </c>
      <c r="AV366">
        <f t="shared" si="152"/>
        <v>0.66666666666666663</v>
      </c>
      <c r="AW366">
        <f>step3_validation[[#This Row],[AI_TRU4]]</f>
        <v>6</v>
      </c>
      <c r="AX366">
        <f t="shared" si="153"/>
        <v>0.55555555555555558</v>
      </c>
      <c r="AY366">
        <f>survey_responses[[#This Row],[Tôi thấy Nhà nước đã giải thích rõ ràng, minh bạch về lý do và mục tiêu của việc sửa đổi thuế lần này. - HUMAN-TRU4]]</f>
        <v>7</v>
      </c>
      <c r="AZ366">
        <f t="shared" si="154"/>
        <v>0.66666666666666663</v>
      </c>
      <c r="BA366" s="32">
        <f t="shared" si="155"/>
        <v>0.66666666666666674</v>
      </c>
      <c r="BB366" s="32">
        <f t="shared" si="156"/>
        <v>0.7222222222222221</v>
      </c>
      <c r="BC366" s="7">
        <f t="shared" si="157"/>
        <v>0.70370370370370372</v>
      </c>
      <c r="BD366" s="7">
        <f t="shared" si="158"/>
        <v>0.81481481481481477</v>
      </c>
      <c r="BE366">
        <f>step3_validation[[#This Row],[AI_OUT1]]</f>
        <v>8</v>
      </c>
      <c r="BF366">
        <f t="shared" si="159"/>
        <v>0.77777777777777779</v>
      </c>
      <c r="BG366">
        <f>survey_responses[[#This Row],[Sau khi xem xét các quyền lợi và nghĩa vụ, bạn có ủng hộ và tuân thủ chính sách mới hiện nay? - HUMAN-OUT1]]</f>
        <v>7</v>
      </c>
      <c r="BH366">
        <f t="shared" si="160"/>
        <v>0.66666666666666663</v>
      </c>
      <c r="BI366" s="32">
        <f t="shared" si="161"/>
        <v>1</v>
      </c>
    </row>
    <row r="367" spans="1:61" x14ac:dyDescent="0.45">
      <c r="A367" s="30">
        <f>step3_validation[[#This Row],[Persona_ID]]</f>
        <v>366</v>
      </c>
      <c r="B367" s="31">
        <f>step3_validation[[#This Row],[Used_Seed]]</f>
        <v>366</v>
      </c>
      <c r="C367" t="str">
        <f>step3_validation[[#This Row],[Gender]]</f>
        <v>Nam</v>
      </c>
      <c r="D367" t="str">
        <f>survey_responses[[#This Row],[Giới tính của bạn:]]</f>
        <v>Nam</v>
      </c>
      <c r="E367" t="str">
        <f>step3_validation[[#This Row],[Age_Group]]</f>
        <v>30 - 39</v>
      </c>
      <c r="F367" t="str">
        <f>survey_responses[[#This Row],[Độ tuổi của bạn:]]</f>
        <v>30 - 39</v>
      </c>
      <c r="G367" t="str">
        <f>step3_validation[[#This Row],[Region]]</f>
        <v>Thành thị</v>
      </c>
      <c r="H367" t="str">
        <f>survey_responses[[#This Row],[Khu vực bạn đang sinh sống:]]</f>
        <v>Thành thị</v>
      </c>
      <c r="I367" t="str">
        <f>step3_validation[[#This Row],[Education]]</f>
        <v>Sau Đại học</v>
      </c>
      <c r="J367" t="str">
        <f>survey_responses[[#This Row],[Trình độ học vấn cao nhất:]]</f>
        <v>Sau Đại học</v>
      </c>
      <c r="K367" t="str">
        <f>step3_validation[[#This Row],[Employment]]</f>
        <v>Chính thức</v>
      </c>
      <c r="L367" t="str">
        <f>survey_responses[[#This Row],[Tình trạng việc làm chính:]]</f>
        <v>Khu vực chính thức (Có Hợp đồng lao động, đóng BHXH)</v>
      </c>
      <c r="M367">
        <f>step3_validation[[#This Row],[Income_Mil]]</f>
        <v>51.00939189960431</v>
      </c>
      <c r="N367" t="str">
        <f>survey_responses[[#This Row],[Thu nhập bình quân tháng theo Hợp đồng lao động của bạn là bao nhiêu? (Vui lòng điền tổng thu nhập trước khi khấu trừ các loại Bảo hiểm (BHXH, BHYT, BHTN) và Thuế TNCN)]]</f>
        <v>Từ 48 - 70 triệu VNĐ</v>
      </c>
      <c r="O367">
        <f>step3_validation[[#This Row],[Dependents]]</f>
        <v>1</v>
      </c>
      <c r="P367" t="str">
        <f>survey_responses[[#This Row],[Số người phụ thuộc (con nhỏ, cha mẹ già...) đủ điều kiện giảm trừ gia cảnh:]]</f>
        <v>1 người</v>
      </c>
      <c r="Q367">
        <f>step3_validation[[#This Row],[AI_ENF1]]</f>
        <v>7</v>
      </c>
      <c r="R367">
        <f t="shared" si="135"/>
        <v>0.66666666666666663</v>
      </c>
      <c r="S367">
        <f>survey_responses[[#This Row],[Tôi tin rằng với các quy định quản lý thuế hiện nay, hành vi gian lận hoặc trốn thuế sẽ dễ dàng bị phát hiện và xử lý nghiêm. - HUMAN-ENF1]]</f>
        <v>7</v>
      </c>
      <c r="T367">
        <f t="shared" si="136"/>
        <v>0.66666666666666663</v>
      </c>
      <c r="U367">
        <f>step3_validation[[#This Row],[AI_ENF2]]</f>
        <v>6</v>
      </c>
      <c r="V367">
        <f t="shared" si="137"/>
        <v>0.55555555555555558</v>
      </c>
      <c r="W367">
        <f>survey_responses[[#This Row],[Tôi tin rằng Nhà nước, cơ quan thuế có đủ khả năng và công nghệ để phát hiện, xử lý nghiêm các hành vi trốn thuế. - HUMAN-ENF2]]</f>
        <v>8</v>
      </c>
      <c r="X367">
        <f t="shared" si="138"/>
        <v>0.77777777777777779</v>
      </c>
      <c r="Y367" s="32">
        <f t="shared" si="139"/>
        <v>0.61111111111111116</v>
      </c>
      <c r="Z367" s="32">
        <f t="shared" si="140"/>
        <v>0.72222222222222221</v>
      </c>
      <c r="AA367">
        <f>step3_validation[[#This Row],[AI_FAC1]]</f>
        <v>8</v>
      </c>
      <c r="AB367">
        <f t="shared" si="141"/>
        <v>0.77777777777777779</v>
      </c>
      <c r="AC367">
        <f>survey_responses[[#This Row],[Các thủ tục khai báo thuế VÀ/HOẶC quy trình làm việc với cơ quan thuế đơn giản, tiện lợi, nhanh chóng hơn so với trước đây. - HUMAN-FAC1]]</f>
        <v>8</v>
      </c>
      <c r="AD367">
        <f t="shared" si="142"/>
        <v>0.77777777777777779</v>
      </c>
      <c r="AE367">
        <f>step3_validation[[#This Row],[AI_FAC2]]</f>
        <v>9</v>
      </c>
      <c r="AF367">
        <f t="shared" si="143"/>
        <v>0.88888888888888884</v>
      </c>
      <c r="AG367">
        <f>survey_responses[[#This Row],[So với trước đây, tôi thấy cách tính thuế và các bậc thuế trong phương án mới đơn giản, dễ hiểu và dễ thực hiện hơn. - HUMAN-FAC2]]</f>
        <v>8</v>
      </c>
      <c r="AH367">
        <f t="shared" si="144"/>
        <v>0.77777777777777779</v>
      </c>
      <c r="AI367" s="32">
        <f t="shared" si="145"/>
        <v>0.83333333333333326</v>
      </c>
      <c r="AJ367" s="32">
        <f t="shared" si="146"/>
        <v>0.77777777777777779</v>
      </c>
      <c r="AK367">
        <f>step3_validation[[#This Row],[AI_TRU1]]</f>
        <v>7</v>
      </c>
      <c r="AL367">
        <f t="shared" si="147"/>
        <v>0.66666666666666663</v>
      </c>
      <c r="AM367">
        <f>survey_responses[[#This Row],[Tôi tin rằng Nhà nước, cơ quan thuế sẽ thực thi chính sách mới một cách khách quan, công tâm và đối xử bình đẳng với mọi người nộp thuế.  - HUMAN-TRU1]]</f>
        <v>5</v>
      </c>
      <c r="AN367">
        <f t="shared" si="148"/>
        <v>0.44444444444444442</v>
      </c>
      <c r="AO367">
        <f>step3_validation[[#This Row],[AI_TRU2]]</f>
        <v>9</v>
      </c>
      <c r="AP367">
        <f t="shared" si="149"/>
        <v>0.88888888888888884</v>
      </c>
      <c r="AQ367">
        <f>survey_responses[[#This Row],[Tôi thấy mức thuế tôi phải đóng theo phương án mới là công bằng (người thu nhập như tôi đóng mức này là hợp lý). - HUMAN-TRU2]]</f>
        <v>6</v>
      </c>
      <c r="AR367">
        <f t="shared" si="150"/>
        <v>0.55555555555555558</v>
      </c>
      <c r="AS367">
        <f>step3_validation[[#This Row],[AI_TRU3]]</f>
        <v>7</v>
      </c>
      <c r="AT367">
        <f t="shared" si="151"/>
        <v>0.66666666666666663</v>
      </c>
      <c r="AU367">
        <f>survey_responses[[#This Row],[Tôi tin tưởng số tiền thuế tôi đóng sẽ được Nhà nước sử dụng hiệu quả để cải thiện dịch vụ công (y tế, đường xá...). - HUMAN-TRU3]]</f>
        <v>5</v>
      </c>
      <c r="AV367">
        <f t="shared" si="152"/>
        <v>0.44444444444444442</v>
      </c>
      <c r="AW367">
        <f>step3_validation[[#This Row],[AI_TRU4]]</f>
        <v>8</v>
      </c>
      <c r="AX367">
        <f t="shared" si="153"/>
        <v>0.77777777777777779</v>
      </c>
      <c r="AY367">
        <f>survey_responses[[#This Row],[Tôi thấy Nhà nước đã giải thích rõ ràng, minh bạch về lý do và mục tiêu của việc sửa đổi thuế lần này. - HUMAN-TRU4]]</f>
        <v>6</v>
      </c>
      <c r="AZ367">
        <f t="shared" si="154"/>
        <v>0.55555555555555558</v>
      </c>
      <c r="BA367" s="32">
        <f t="shared" si="155"/>
        <v>0.74999999999999989</v>
      </c>
      <c r="BB367" s="32">
        <f t="shared" si="156"/>
        <v>0.5</v>
      </c>
      <c r="BC367" s="7">
        <f t="shared" si="157"/>
        <v>0.7314814814814814</v>
      </c>
      <c r="BD367" s="7">
        <f t="shared" si="158"/>
        <v>0.66666666666666663</v>
      </c>
      <c r="BE367">
        <f>step3_validation[[#This Row],[AI_OUT1]]</f>
        <v>9</v>
      </c>
      <c r="BF367">
        <f t="shared" si="159"/>
        <v>0.88888888888888884</v>
      </c>
      <c r="BG367">
        <f>survey_responses[[#This Row],[Sau khi xem xét các quyền lợi và nghĩa vụ, bạn có ủng hộ và tuân thủ chính sách mới hiện nay? - HUMAN-OUT1]]</f>
        <v>6</v>
      </c>
      <c r="BH367">
        <f t="shared" si="160"/>
        <v>0.55555555555555558</v>
      </c>
      <c r="BI367" s="32">
        <f t="shared" si="161"/>
        <v>3</v>
      </c>
    </row>
    <row r="368" spans="1:61" x14ac:dyDescent="0.45">
      <c r="A368" s="30">
        <f>step3_validation[[#This Row],[Persona_ID]]</f>
        <v>367</v>
      </c>
      <c r="B368" s="31">
        <f>step3_validation[[#This Row],[Used_Seed]]</f>
        <v>367</v>
      </c>
      <c r="C368" t="str">
        <f>step3_validation[[#This Row],[Gender]]</f>
        <v>Nữ</v>
      </c>
      <c r="D368" t="str">
        <f>survey_responses[[#This Row],[Giới tính của bạn:]]</f>
        <v>Nữ</v>
      </c>
      <c r="E368" t="str">
        <f>step3_validation[[#This Row],[Age_Group]]</f>
        <v>18 - 24</v>
      </c>
      <c r="F368" t="str">
        <f>survey_responses[[#This Row],[Độ tuổi của bạn:]]</f>
        <v>18 - 24</v>
      </c>
      <c r="G368" t="str">
        <f>step3_validation[[#This Row],[Region]]</f>
        <v>Thành thị</v>
      </c>
      <c r="H368" t="str">
        <f>survey_responses[[#This Row],[Khu vực bạn đang sinh sống:]]</f>
        <v>Thành thị</v>
      </c>
      <c r="I368" t="str">
        <f>step3_validation[[#This Row],[Education]]</f>
        <v>Đại học</v>
      </c>
      <c r="J368" t="str">
        <f>survey_responses[[#This Row],[Trình độ học vấn cao nhất:]]</f>
        <v>Đại học</v>
      </c>
      <c r="K368" t="str">
        <f>step3_validation[[#This Row],[Employment]]</f>
        <v>Chính thức</v>
      </c>
      <c r="L368" t="str">
        <f>survey_responses[[#This Row],[Tình trạng việc làm chính:]]</f>
        <v>Khu vực chính thức (Có Hợp đồng lao động, đóng BHXH)</v>
      </c>
      <c r="M368">
        <f>step3_validation[[#This Row],[Income_Mil]]</f>
        <v>13.869246781267227</v>
      </c>
      <c r="N368" t="str">
        <f>survey_responses[[#This Row],[Thu nhập bình quân tháng theo Hợp đồng lao động của bạn là bao nhiêu? (Vui lòng điền tổng thu nhập trước khi khấu trừ các loại Bảo hiểm (BHXH, BHYT, BHTN) và Thuế TNCN)]]</f>
        <v>Từ 12 - 18 triệu VNĐ</v>
      </c>
      <c r="O368">
        <f>step3_validation[[#This Row],[Dependents]]</f>
        <v>0</v>
      </c>
      <c r="P368" t="str">
        <f>survey_responses[[#This Row],[Số người phụ thuộc (con nhỏ, cha mẹ già...) đủ điều kiện giảm trừ gia cảnh:]]</f>
        <v>0 người</v>
      </c>
      <c r="Q368">
        <f>step3_validation[[#This Row],[AI_ENF1]]</f>
        <v>8</v>
      </c>
      <c r="R368">
        <f t="shared" si="135"/>
        <v>0.77777777777777779</v>
      </c>
      <c r="S368">
        <f>survey_responses[[#This Row],[Tôi tin rằng với các quy định quản lý thuế hiện nay, hành vi gian lận hoặc trốn thuế sẽ dễ dàng bị phát hiện và xử lý nghiêm. - HUMAN-ENF1]]</f>
        <v>8</v>
      </c>
      <c r="T368">
        <f t="shared" si="136"/>
        <v>0.77777777777777779</v>
      </c>
      <c r="U368">
        <f>step3_validation[[#This Row],[AI_ENF2]]</f>
        <v>7</v>
      </c>
      <c r="V368">
        <f t="shared" si="137"/>
        <v>0.66666666666666663</v>
      </c>
      <c r="W368">
        <f>survey_responses[[#This Row],[Tôi tin rằng Nhà nước, cơ quan thuế có đủ khả năng và công nghệ để phát hiện, xử lý nghiêm các hành vi trốn thuế. - HUMAN-ENF2]]</f>
        <v>9</v>
      </c>
      <c r="X368">
        <f t="shared" si="138"/>
        <v>0.88888888888888884</v>
      </c>
      <c r="Y368" s="32">
        <f t="shared" si="139"/>
        <v>0.72222222222222221</v>
      </c>
      <c r="Z368" s="32">
        <f t="shared" si="140"/>
        <v>0.83333333333333326</v>
      </c>
      <c r="AA368">
        <f>step3_validation[[#This Row],[AI_FAC1]]</f>
        <v>6</v>
      </c>
      <c r="AB368">
        <f t="shared" si="141"/>
        <v>0.55555555555555558</v>
      </c>
      <c r="AC368">
        <f>survey_responses[[#This Row],[Các thủ tục khai báo thuế VÀ/HOẶC quy trình làm việc với cơ quan thuế đơn giản, tiện lợi, nhanh chóng hơn so với trước đây. - HUMAN-FAC1]]</f>
        <v>8</v>
      </c>
      <c r="AD368">
        <f t="shared" si="142"/>
        <v>0.77777777777777779</v>
      </c>
      <c r="AE368">
        <f>step3_validation[[#This Row],[AI_FAC2]]</f>
        <v>9</v>
      </c>
      <c r="AF368">
        <f t="shared" si="143"/>
        <v>0.88888888888888884</v>
      </c>
      <c r="AG368">
        <f>survey_responses[[#This Row],[So với trước đây, tôi thấy cách tính thuế và các bậc thuế trong phương án mới đơn giản, dễ hiểu và dễ thực hiện hơn. - HUMAN-FAC2]]</f>
        <v>8</v>
      </c>
      <c r="AH368">
        <f t="shared" si="144"/>
        <v>0.77777777777777779</v>
      </c>
      <c r="AI368" s="32">
        <f t="shared" si="145"/>
        <v>0.72222222222222221</v>
      </c>
      <c r="AJ368" s="32">
        <f t="shared" si="146"/>
        <v>0.77777777777777779</v>
      </c>
      <c r="AK368">
        <f>step3_validation[[#This Row],[AI_TRU1]]</f>
        <v>8</v>
      </c>
      <c r="AL368">
        <f t="shared" si="147"/>
        <v>0.77777777777777779</v>
      </c>
      <c r="AM368">
        <f>survey_responses[[#This Row],[Tôi tin rằng Nhà nước, cơ quan thuế sẽ thực thi chính sách mới một cách khách quan, công tâm và đối xử bình đẳng với mọi người nộp thuế.  - HUMAN-TRU1]]</f>
        <v>9</v>
      </c>
      <c r="AN368">
        <f t="shared" si="148"/>
        <v>0.88888888888888884</v>
      </c>
      <c r="AO368">
        <f>step3_validation[[#This Row],[AI_TRU2]]</f>
        <v>9</v>
      </c>
      <c r="AP368">
        <f t="shared" si="149"/>
        <v>0.88888888888888884</v>
      </c>
      <c r="AQ368">
        <f>survey_responses[[#This Row],[Tôi thấy mức thuế tôi phải đóng theo phương án mới là công bằng (người thu nhập như tôi đóng mức này là hợp lý). - HUMAN-TRU2]]</f>
        <v>10</v>
      </c>
      <c r="AR368">
        <f t="shared" si="150"/>
        <v>1</v>
      </c>
      <c r="AS368">
        <f>step3_validation[[#This Row],[AI_TRU3]]</f>
        <v>8</v>
      </c>
      <c r="AT368">
        <f t="shared" si="151"/>
        <v>0.77777777777777779</v>
      </c>
      <c r="AU368">
        <f>survey_responses[[#This Row],[Tôi tin tưởng số tiền thuế tôi đóng sẽ được Nhà nước sử dụng hiệu quả để cải thiện dịch vụ công (y tế, đường xá...). - HUMAN-TRU3]]</f>
        <v>10</v>
      </c>
      <c r="AV368">
        <f t="shared" si="152"/>
        <v>1</v>
      </c>
      <c r="AW368">
        <f>step3_validation[[#This Row],[AI_TRU4]]</f>
        <v>7</v>
      </c>
      <c r="AX368">
        <f t="shared" si="153"/>
        <v>0.66666666666666663</v>
      </c>
      <c r="AY368">
        <f>survey_responses[[#This Row],[Tôi thấy Nhà nước đã giải thích rõ ràng, minh bạch về lý do và mục tiêu của việc sửa đổi thuế lần này. - HUMAN-TRU4]]</f>
        <v>9</v>
      </c>
      <c r="AZ368">
        <f t="shared" si="154"/>
        <v>0.88888888888888884</v>
      </c>
      <c r="BA368" s="32">
        <f t="shared" si="155"/>
        <v>0.77777777777777768</v>
      </c>
      <c r="BB368" s="32">
        <f t="shared" si="156"/>
        <v>0.94444444444444442</v>
      </c>
      <c r="BC368" s="7">
        <f t="shared" si="157"/>
        <v>0.74074074074074081</v>
      </c>
      <c r="BD368" s="7">
        <f t="shared" si="158"/>
        <v>0.85185185185185175</v>
      </c>
      <c r="BE368">
        <f>step3_validation[[#This Row],[AI_OUT1]]</f>
        <v>9</v>
      </c>
      <c r="BF368">
        <f t="shared" si="159"/>
        <v>0.88888888888888884</v>
      </c>
      <c r="BG368">
        <f>survey_responses[[#This Row],[Sau khi xem xét các quyền lợi và nghĩa vụ, bạn có ủng hộ và tuân thủ chính sách mới hiện nay? - HUMAN-OUT1]]</f>
        <v>10</v>
      </c>
      <c r="BH368">
        <f t="shared" si="160"/>
        <v>1</v>
      </c>
      <c r="BI368" s="32">
        <f t="shared" si="161"/>
        <v>1</v>
      </c>
    </row>
    <row r="369" spans="1:61" x14ac:dyDescent="0.45">
      <c r="A369" s="30">
        <f>step3_validation[[#This Row],[Persona_ID]]</f>
        <v>368</v>
      </c>
      <c r="B369" s="31">
        <f>step3_validation[[#This Row],[Used_Seed]]</f>
        <v>368</v>
      </c>
      <c r="C369" t="str">
        <f>step3_validation[[#This Row],[Gender]]</f>
        <v>Nữ</v>
      </c>
      <c r="D369" t="str">
        <f>survey_responses[[#This Row],[Giới tính của bạn:]]</f>
        <v>Nữ</v>
      </c>
      <c r="E369" t="str">
        <f>step3_validation[[#This Row],[Age_Group]]</f>
        <v>25 - 29</v>
      </c>
      <c r="F369" t="str">
        <f>survey_responses[[#This Row],[Độ tuổi của bạn:]]</f>
        <v>25 - 29</v>
      </c>
      <c r="G369" t="str">
        <f>step3_validation[[#This Row],[Region]]</f>
        <v>Thành thị</v>
      </c>
      <c r="H369" t="str">
        <f>survey_responses[[#This Row],[Khu vực bạn đang sinh sống:]]</f>
        <v>Thành thị</v>
      </c>
      <c r="I369" t="str">
        <f>step3_validation[[#This Row],[Education]]</f>
        <v>Sau Đại học</v>
      </c>
      <c r="J369" t="str">
        <f>survey_responses[[#This Row],[Trình độ học vấn cao nhất:]]</f>
        <v>Sau Đại học</v>
      </c>
      <c r="K369" t="str">
        <f>step3_validation[[#This Row],[Employment]]</f>
        <v>Chính thức</v>
      </c>
      <c r="L369" t="str">
        <f>survey_responses[[#This Row],[Tình trạng việc làm chính:]]</f>
        <v>Khu vực chính thức (Có Hợp đồng lao động, đóng BHXH)</v>
      </c>
      <c r="M369">
        <f>step3_validation[[#This Row],[Income_Mil]]</f>
        <v>25.600859286249054</v>
      </c>
      <c r="N369" t="str">
        <f>survey_responses[[#This Row],[Thu nhập bình quân tháng theo Hợp đồng lao động của bạn là bao nhiêu? (Vui lòng điền tổng thu nhập trước khi khấu trừ các loại Bảo hiểm (BHXH, BHYT, BHTN) và Thuế TNCN)]]</f>
        <v>Từ 23 - 32 triệu VNĐ</v>
      </c>
      <c r="O369">
        <f>step3_validation[[#This Row],[Dependents]]</f>
        <v>2</v>
      </c>
      <c r="P369" t="str">
        <f>survey_responses[[#This Row],[Số người phụ thuộc (con nhỏ, cha mẹ già...) đủ điều kiện giảm trừ gia cảnh:]]</f>
        <v>2 người</v>
      </c>
      <c r="Q369">
        <f>step3_validation[[#This Row],[AI_ENF1]]</f>
        <v>6</v>
      </c>
      <c r="R369">
        <f t="shared" si="135"/>
        <v>0.55555555555555558</v>
      </c>
      <c r="S369">
        <f>survey_responses[[#This Row],[Tôi tin rằng với các quy định quản lý thuế hiện nay, hành vi gian lận hoặc trốn thuế sẽ dễ dàng bị phát hiện và xử lý nghiêm. - HUMAN-ENF1]]</f>
        <v>7</v>
      </c>
      <c r="T369">
        <f t="shared" si="136"/>
        <v>0.66666666666666663</v>
      </c>
      <c r="U369">
        <f>step3_validation[[#This Row],[AI_ENF2]]</f>
        <v>7</v>
      </c>
      <c r="V369">
        <f t="shared" si="137"/>
        <v>0.66666666666666663</v>
      </c>
      <c r="W369">
        <f>survey_responses[[#This Row],[Tôi tin rằng Nhà nước, cơ quan thuế có đủ khả năng và công nghệ để phát hiện, xử lý nghiêm các hành vi trốn thuế. - HUMAN-ENF2]]</f>
        <v>7</v>
      </c>
      <c r="X369">
        <f t="shared" si="138"/>
        <v>0.66666666666666663</v>
      </c>
      <c r="Y369" s="32">
        <f t="shared" si="139"/>
        <v>0.61111111111111116</v>
      </c>
      <c r="Z369" s="32">
        <f t="shared" si="140"/>
        <v>0.66666666666666663</v>
      </c>
      <c r="AA369">
        <f>step3_validation[[#This Row],[AI_FAC1]]</f>
        <v>8</v>
      </c>
      <c r="AB369">
        <f t="shared" si="141"/>
        <v>0.77777777777777779</v>
      </c>
      <c r="AC369">
        <f>survey_responses[[#This Row],[Các thủ tục khai báo thuế VÀ/HOẶC quy trình làm việc với cơ quan thuế đơn giản, tiện lợi, nhanh chóng hơn so với trước đây. - HUMAN-FAC1]]</f>
        <v>8</v>
      </c>
      <c r="AD369">
        <f t="shared" si="142"/>
        <v>0.77777777777777779</v>
      </c>
      <c r="AE369">
        <f>step3_validation[[#This Row],[AI_FAC2]]</f>
        <v>9</v>
      </c>
      <c r="AF369">
        <f t="shared" si="143"/>
        <v>0.88888888888888884</v>
      </c>
      <c r="AG369">
        <f>survey_responses[[#This Row],[So với trước đây, tôi thấy cách tính thuế và các bậc thuế trong phương án mới đơn giản, dễ hiểu và dễ thực hiện hơn. - HUMAN-FAC2]]</f>
        <v>8</v>
      </c>
      <c r="AH369">
        <f t="shared" si="144"/>
        <v>0.77777777777777779</v>
      </c>
      <c r="AI369" s="32">
        <f t="shared" si="145"/>
        <v>0.83333333333333326</v>
      </c>
      <c r="AJ369" s="32">
        <f t="shared" si="146"/>
        <v>0.77777777777777779</v>
      </c>
      <c r="AK369">
        <f>step3_validation[[#This Row],[AI_TRU1]]</f>
        <v>8</v>
      </c>
      <c r="AL369">
        <f t="shared" si="147"/>
        <v>0.77777777777777779</v>
      </c>
      <c r="AM369">
        <f>survey_responses[[#This Row],[Tôi tin rằng Nhà nước, cơ quan thuế sẽ thực thi chính sách mới một cách khách quan, công tâm và đối xử bình đẳng với mọi người nộp thuế.  - HUMAN-TRU1]]</f>
        <v>6</v>
      </c>
      <c r="AN369">
        <f t="shared" si="148"/>
        <v>0.55555555555555558</v>
      </c>
      <c r="AO369">
        <f>step3_validation[[#This Row],[AI_TRU2]]</f>
        <v>9</v>
      </c>
      <c r="AP369">
        <f t="shared" si="149"/>
        <v>0.88888888888888884</v>
      </c>
      <c r="AQ369">
        <f>survey_responses[[#This Row],[Tôi thấy mức thuế tôi phải đóng theo phương án mới là công bằng (người thu nhập như tôi đóng mức này là hợp lý). - HUMAN-TRU2]]</f>
        <v>8</v>
      </c>
      <c r="AR369">
        <f t="shared" si="150"/>
        <v>0.77777777777777779</v>
      </c>
      <c r="AS369">
        <f>step3_validation[[#This Row],[AI_TRU3]]</f>
        <v>7</v>
      </c>
      <c r="AT369">
        <f t="shared" si="151"/>
        <v>0.66666666666666663</v>
      </c>
      <c r="AU369">
        <f>survey_responses[[#This Row],[Tôi tin tưởng số tiền thuế tôi đóng sẽ được Nhà nước sử dụng hiệu quả để cải thiện dịch vụ công (y tế, đường xá...). - HUMAN-TRU3]]</f>
        <v>6</v>
      </c>
      <c r="AV369">
        <f t="shared" si="152"/>
        <v>0.55555555555555558</v>
      </c>
      <c r="AW369">
        <f>step3_validation[[#This Row],[AI_TRU4]]</f>
        <v>6</v>
      </c>
      <c r="AX369">
        <f t="shared" si="153"/>
        <v>0.55555555555555558</v>
      </c>
      <c r="AY369">
        <f>survey_responses[[#This Row],[Tôi thấy Nhà nước đã giải thích rõ ràng, minh bạch về lý do và mục tiêu của việc sửa đổi thuế lần này. - HUMAN-TRU4]]</f>
        <v>7</v>
      </c>
      <c r="AZ369">
        <f t="shared" si="154"/>
        <v>0.66666666666666663</v>
      </c>
      <c r="BA369" s="32">
        <f t="shared" si="155"/>
        <v>0.7222222222222221</v>
      </c>
      <c r="BB369" s="32">
        <f t="shared" si="156"/>
        <v>0.63888888888888895</v>
      </c>
      <c r="BC369" s="7">
        <f t="shared" si="157"/>
        <v>0.72222222222222221</v>
      </c>
      <c r="BD369" s="7">
        <f t="shared" si="158"/>
        <v>0.69444444444444453</v>
      </c>
      <c r="BE369">
        <f>step3_validation[[#This Row],[AI_OUT1]]</f>
        <v>9</v>
      </c>
      <c r="BF369">
        <f t="shared" si="159"/>
        <v>0.88888888888888884</v>
      </c>
      <c r="BG369">
        <f>survey_responses[[#This Row],[Sau khi xem xét các quyền lợi và nghĩa vụ, bạn có ủng hộ và tuân thủ chính sách mới hiện nay? - HUMAN-OUT1]]</f>
        <v>8</v>
      </c>
      <c r="BH369">
        <f t="shared" si="160"/>
        <v>0.77777777777777779</v>
      </c>
      <c r="BI369" s="32">
        <f t="shared" si="161"/>
        <v>1</v>
      </c>
    </row>
    <row r="370" spans="1:61" x14ac:dyDescent="0.45">
      <c r="A370" s="30">
        <f>step3_validation[[#This Row],[Persona_ID]]</f>
        <v>369</v>
      </c>
      <c r="B370" s="31">
        <f>step3_validation[[#This Row],[Used_Seed]]</f>
        <v>369</v>
      </c>
      <c r="C370" t="str">
        <f>step3_validation[[#This Row],[Gender]]</f>
        <v>Nam</v>
      </c>
      <c r="D370" t="str">
        <f>survey_responses[[#This Row],[Giới tính của bạn:]]</f>
        <v>Nam</v>
      </c>
      <c r="E370" t="str">
        <f>step3_validation[[#This Row],[Age_Group]]</f>
        <v>25 - 29</v>
      </c>
      <c r="F370" t="str">
        <f>survey_responses[[#This Row],[Độ tuổi của bạn:]]</f>
        <v>25 - 29</v>
      </c>
      <c r="G370" t="str">
        <f>step3_validation[[#This Row],[Region]]</f>
        <v>Thành thị</v>
      </c>
      <c r="H370" t="str">
        <f>survey_responses[[#This Row],[Khu vực bạn đang sinh sống:]]</f>
        <v>Thành thị</v>
      </c>
      <c r="I370" t="str">
        <f>step3_validation[[#This Row],[Education]]</f>
        <v>Đại học</v>
      </c>
      <c r="J370" t="str">
        <f>survey_responses[[#This Row],[Trình độ học vấn cao nhất:]]</f>
        <v>Đại học</v>
      </c>
      <c r="K370" t="str">
        <f>step3_validation[[#This Row],[Employment]]</f>
        <v>Chính thức</v>
      </c>
      <c r="L370" t="str">
        <f>survey_responses[[#This Row],[Tình trạng việc làm chính:]]</f>
        <v>Khu vực chính thức (Có Hợp đồng lao động, đóng BHXH)</v>
      </c>
      <c r="M370">
        <f>step3_validation[[#This Row],[Income_Mil]]</f>
        <v>15.991197944581327</v>
      </c>
      <c r="N370" t="str">
        <f>survey_responses[[#This Row],[Thu nhập bình quân tháng theo Hợp đồng lao động của bạn là bao nhiêu? (Vui lòng điền tổng thu nhập trước khi khấu trừ các loại Bảo hiểm (BHXH, BHYT, BHTN) và Thuế TNCN)]]</f>
        <v>Từ 12 - 18 triệu VNĐ</v>
      </c>
      <c r="O370">
        <f>step3_validation[[#This Row],[Dependents]]</f>
        <v>0</v>
      </c>
      <c r="P370" t="str">
        <f>survey_responses[[#This Row],[Số người phụ thuộc (con nhỏ, cha mẹ già...) đủ điều kiện giảm trừ gia cảnh:]]</f>
        <v>0 người</v>
      </c>
      <c r="Q370">
        <f>step3_validation[[#This Row],[AI_ENF1]]</f>
        <v>7</v>
      </c>
      <c r="R370">
        <f t="shared" si="135"/>
        <v>0.66666666666666663</v>
      </c>
      <c r="S370">
        <f>survey_responses[[#This Row],[Tôi tin rằng với các quy định quản lý thuế hiện nay, hành vi gian lận hoặc trốn thuế sẽ dễ dàng bị phát hiện và xử lý nghiêm. - HUMAN-ENF1]]</f>
        <v>6</v>
      </c>
      <c r="T370">
        <f t="shared" si="136"/>
        <v>0.55555555555555558</v>
      </c>
      <c r="U370">
        <f>step3_validation[[#This Row],[AI_ENF2]]</f>
        <v>8</v>
      </c>
      <c r="V370">
        <f t="shared" si="137"/>
        <v>0.77777777777777779</v>
      </c>
      <c r="W370">
        <f>survey_responses[[#This Row],[Tôi tin rằng Nhà nước, cơ quan thuế có đủ khả năng và công nghệ để phát hiện, xử lý nghiêm các hành vi trốn thuế. - HUMAN-ENF2]]</f>
        <v>6</v>
      </c>
      <c r="X370">
        <f t="shared" si="138"/>
        <v>0.55555555555555558</v>
      </c>
      <c r="Y370" s="32">
        <f t="shared" si="139"/>
        <v>0.72222222222222221</v>
      </c>
      <c r="Z370" s="32">
        <f t="shared" si="140"/>
        <v>0.55555555555555558</v>
      </c>
      <c r="AA370">
        <f>step3_validation[[#This Row],[AI_FAC1]]</f>
        <v>7</v>
      </c>
      <c r="AB370">
        <f t="shared" si="141"/>
        <v>0.66666666666666663</v>
      </c>
      <c r="AC370">
        <f>survey_responses[[#This Row],[Các thủ tục khai báo thuế VÀ/HOẶC quy trình làm việc với cơ quan thuế đơn giản, tiện lợi, nhanh chóng hơn so với trước đây. - HUMAN-FAC1]]</f>
        <v>8</v>
      </c>
      <c r="AD370">
        <f t="shared" si="142"/>
        <v>0.77777777777777779</v>
      </c>
      <c r="AE370">
        <f>step3_validation[[#This Row],[AI_FAC2]]</f>
        <v>9</v>
      </c>
      <c r="AF370">
        <f t="shared" si="143"/>
        <v>0.88888888888888884</v>
      </c>
      <c r="AG370">
        <f>survey_responses[[#This Row],[So với trước đây, tôi thấy cách tính thuế và các bậc thuế trong phương án mới đơn giản, dễ hiểu và dễ thực hiện hơn. - HUMAN-FAC2]]</f>
        <v>9</v>
      </c>
      <c r="AH370">
        <f t="shared" si="144"/>
        <v>0.88888888888888884</v>
      </c>
      <c r="AI370" s="32">
        <f t="shared" si="145"/>
        <v>0.77777777777777768</v>
      </c>
      <c r="AJ370" s="32">
        <f t="shared" si="146"/>
        <v>0.83333333333333326</v>
      </c>
      <c r="AK370">
        <f>step3_validation[[#This Row],[AI_TRU1]]</f>
        <v>6</v>
      </c>
      <c r="AL370">
        <f t="shared" si="147"/>
        <v>0.55555555555555558</v>
      </c>
      <c r="AM370">
        <f>survey_responses[[#This Row],[Tôi tin rằng Nhà nước, cơ quan thuế sẽ thực thi chính sách mới một cách khách quan, công tâm và đối xử bình đẳng với mọi người nộp thuế.  - HUMAN-TRU1]]</f>
        <v>8</v>
      </c>
      <c r="AN370">
        <f t="shared" si="148"/>
        <v>0.77777777777777779</v>
      </c>
      <c r="AO370">
        <f>step3_validation[[#This Row],[AI_TRU2]]</f>
        <v>8</v>
      </c>
      <c r="AP370">
        <f t="shared" si="149"/>
        <v>0.77777777777777779</v>
      </c>
      <c r="AQ370">
        <f>survey_responses[[#This Row],[Tôi thấy mức thuế tôi phải đóng theo phương án mới là công bằng (người thu nhập như tôi đóng mức này là hợp lý). - HUMAN-TRU2]]</f>
        <v>8</v>
      </c>
      <c r="AR370">
        <f t="shared" si="150"/>
        <v>0.77777777777777779</v>
      </c>
      <c r="AS370">
        <f>step3_validation[[#This Row],[AI_TRU3]]</f>
        <v>7</v>
      </c>
      <c r="AT370">
        <f t="shared" si="151"/>
        <v>0.66666666666666663</v>
      </c>
      <c r="AU370">
        <f>survey_responses[[#This Row],[Tôi tin tưởng số tiền thuế tôi đóng sẽ được Nhà nước sử dụng hiệu quả để cải thiện dịch vụ công (y tế, đường xá...). - HUMAN-TRU3]]</f>
        <v>5</v>
      </c>
      <c r="AV370">
        <f t="shared" si="152"/>
        <v>0.44444444444444442</v>
      </c>
      <c r="AW370">
        <f>step3_validation[[#This Row],[AI_TRU4]]</f>
        <v>8</v>
      </c>
      <c r="AX370">
        <f t="shared" si="153"/>
        <v>0.77777777777777779</v>
      </c>
      <c r="AY370">
        <f>survey_responses[[#This Row],[Tôi thấy Nhà nước đã giải thích rõ ràng, minh bạch về lý do và mục tiêu của việc sửa đổi thuế lần này. - HUMAN-TRU4]]</f>
        <v>7</v>
      </c>
      <c r="AZ370">
        <f t="shared" si="154"/>
        <v>0.66666666666666663</v>
      </c>
      <c r="BA370" s="32">
        <f t="shared" si="155"/>
        <v>0.69444444444444442</v>
      </c>
      <c r="BB370" s="32">
        <f t="shared" si="156"/>
        <v>0.66666666666666663</v>
      </c>
      <c r="BC370" s="7">
        <f t="shared" si="157"/>
        <v>0.73148148148148151</v>
      </c>
      <c r="BD370" s="7">
        <f t="shared" si="158"/>
        <v>0.68518518518518512</v>
      </c>
      <c r="BE370">
        <f>step3_validation[[#This Row],[AI_OUT1]]</f>
        <v>9</v>
      </c>
      <c r="BF370">
        <f t="shared" si="159"/>
        <v>0.88888888888888884</v>
      </c>
      <c r="BG370">
        <f>survey_responses[[#This Row],[Sau khi xem xét các quyền lợi và nghĩa vụ, bạn có ủng hộ và tuân thủ chính sách mới hiện nay? - HUMAN-OUT1]]</f>
        <v>8</v>
      </c>
      <c r="BH370">
        <f t="shared" si="160"/>
        <v>0.77777777777777779</v>
      </c>
      <c r="BI370" s="32">
        <f t="shared" si="161"/>
        <v>1</v>
      </c>
    </row>
    <row r="371" spans="1:61" x14ac:dyDescent="0.45">
      <c r="A371" s="30">
        <f>step3_validation[[#This Row],[Persona_ID]]</f>
        <v>370</v>
      </c>
      <c r="B371" s="31">
        <f>step3_validation[[#This Row],[Used_Seed]]</f>
        <v>370</v>
      </c>
      <c r="C371" t="str">
        <f>step3_validation[[#This Row],[Gender]]</f>
        <v>Nam</v>
      </c>
      <c r="D371" t="str">
        <f>survey_responses[[#This Row],[Giới tính của bạn:]]</f>
        <v>Nam</v>
      </c>
      <c r="E371" t="str">
        <f>step3_validation[[#This Row],[Age_Group]]</f>
        <v>18 - 24</v>
      </c>
      <c r="F371" t="str">
        <f>survey_responses[[#This Row],[Độ tuổi của bạn:]]</f>
        <v>18 - 24</v>
      </c>
      <c r="G371" t="str">
        <f>step3_validation[[#This Row],[Region]]</f>
        <v>Thành thị</v>
      </c>
      <c r="H371" t="str">
        <f>survey_responses[[#This Row],[Khu vực bạn đang sinh sống:]]</f>
        <v>Thành thị</v>
      </c>
      <c r="I371" t="str">
        <f>step3_validation[[#This Row],[Education]]</f>
        <v>Đại học</v>
      </c>
      <c r="J371" t="str">
        <f>survey_responses[[#This Row],[Trình độ học vấn cao nhất:]]</f>
        <v>Đại học</v>
      </c>
      <c r="K371" t="str">
        <f>step3_validation[[#This Row],[Employment]]</f>
        <v>Chính thức</v>
      </c>
      <c r="L371" t="str">
        <f>survey_responses[[#This Row],[Tình trạng việc làm chính:]]</f>
        <v>Khu vực chính thức (Có Hợp đồng lao động, đóng BHXH)</v>
      </c>
      <c r="M371">
        <f>step3_validation[[#This Row],[Income_Mil]]</f>
        <v>21.322424191372704</v>
      </c>
      <c r="N371" t="str">
        <f>survey_responses[[#This Row],[Thu nhập bình quân tháng theo Hợp đồng lao động của bạn là bao nhiêu? (Vui lòng điền tổng thu nhập trước khi khấu trừ các loại Bảo hiểm (BHXH, BHYT, BHTN) và Thuế TNCN)]]</f>
        <v>Từ 18 - 23 triệu VNĐ</v>
      </c>
      <c r="O371">
        <f>step3_validation[[#This Row],[Dependents]]</f>
        <v>0</v>
      </c>
      <c r="P371" t="str">
        <f>survey_responses[[#This Row],[Số người phụ thuộc (con nhỏ, cha mẹ già...) đủ điều kiện giảm trừ gia cảnh:]]</f>
        <v>0 người</v>
      </c>
      <c r="Q371">
        <f>step3_validation[[#This Row],[AI_ENF1]]</f>
        <v>8</v>
      </c>
      <c r="R371">
        <f t="shared" si="135"/>
        <v>0.77777777777777779</v>
      </c>
      <c r="S371">
        <f>survey_responses[[#This Row],[Tôi tin rằng với các quy định quản lý thuế hiện nay, hành vi gian lận hoặc trốn thuế sẽ dễ dàng bị phát hiện và xử lý nghiêm. - HUMAN-ENF1]]</f>
        <v>6</v>
      </c>
      <c r="T371">
        <f t="shared" si="136"/>
        <v>0.55555555555555558</v>
      </c>
      <c r="U371">
        <f>step3_validation[[#This Row],[AI_ENF2]]</f>
        <v>7</v>
      </c>
      <c r="V371">
        <f t="shared" si="137"/>
        <v>0.66666666666666663</v>
      </c>
      <c r="W371">
        <f>survey_responses[[#This Row],[Tôi tin rằng Nhà nước, cơ quan thuế có đủ khả năng và công nghệ để phát hiện, xử lý nghiêm các hành vi trốn thuế. - HUMAN-ENF2]]</f>
        <v>7</v>
      </c>
      <c r="X371">
        <f t="shared" si="138"/>
        <v>0.66666666666666663</v>
      </c>
      <c r="Y371" s="32">
        <f t="shared" si="139"/>
        <v>0.72222222222222221</v>
      </c>
      <c r="Z371" s="32">
        <f t="shared" si="140"/>
        <v>0.61111111111111116</v>
      </c>
      <c r="AA371">
        <f>step3_validation[[#This Row],[AI_FAC1]]</f>
        <v>9</v>
      </c>
      <c r="AB371">
        <f t="shared" si="141"/>
        <v>0.88888888888888884</v>
      </c>
      <c r="AC371">
        <f>survey_responses[[#This Row],[Các thủ tục khai báo thuế VÀ/HOẶC quy trình làm việc với cơ quan thuế đơn giản, tiện lợi, nhanh chóng hơn so với trước đây. - HUMAN-FAC1]]</f>
        <v>7</v>
      </c>
      <c r="AD371">
        <f t="shared" si="142"/>
        <v>0.66666666666666663</v>
      </c>
      <c r="AE371">
        <f>step3_validation[[#This Row],[AI_FAC2]]</f>
        <v>9</v>
      </c>
      <c r="AF371">
        <f t="shared" si="143"/>
        <v>0.88888888888888884</v>
      </c>
      <c r="AG371">
        <f>survey_responses[[#This Row],[So với trước đây, tôi thấy cách tính thuế và các bậc thuế trong phương án mới đơn giản, dễ hiểu và dễ thực hiện hơn. - HUMAN-FAC2]]</f>
        <v>9</v>
      </c>
      <c r="AH371">
        <f t="shared" si="144"/>
        <v>0.88888888888888884</v>
      </c>
      <c r="AI371" s="32">
        <f t="shared" si="145"/>
        <v>0.88888888888888884</v>
      </c>
      <c r="AJ371" s="32">
        <f t="shared" si="146"/>
        <v>0.77777777777777768</v>
      </c>
      <c r="AK371">
        <f>step3_validation[[#This Row],[AI_TRU1]]</f>
        <v>8</v>
      </c>
      <c r="AL371">
        <f t="shared" si="147"/>
        <v>0.77777777777777779</v>
      </c>
      <c r="AM371">
        <f>survey_responses[[#This Row],[Tôi tin rằng Nhà nước, cơ quan thuế sẽ thực thi chính sách mới một cách khách quan, công tâm và đối xử bình đẳng với mọi người nộp thuế.  - HUMAN-TRU1]]</f>
        <v>7</v>
      </c>
      <c r="AN371">
        <f t="shared" si="148"/>
        <v>0.66666666666666663</v>
      </c>
      <c r="AO371">
        <f>step3_validation[[#This Row],[AI_TRU2]]</f>
        <v>9</v>
      </c>
      <c r="AP371">
        <f t="shared" si="149"/>
        <v>0.88888888888888884</v>
      </c>
      <c r="AQ371">
        <f>survey_responses[[#This Row],[Tôi thấy mức thuế tôi phải đóng theo phương án mới là công bằng (người thu nhập như tôi đóng mức này là hợp lý). - HUMAN-TRU2]]</f>
        <v>9</v>
      </c>
      <c r="AR371">
        <f t="shared" si="150"/>
        <v>0.88888888888888884</v>
      </c>
      <c r="AS371">
        <f>step3_validation[[#This Row],[AI_TRU3]]</f>
        <v>8</v>
      </c>
      <c r="AT371">
        <f t="shared" si="151"/>
        <v>0.77777777777777779</v>
      </c>
      <c r="AU371">
        <f>survey_responses[[#This Row],[Tôi tin tưởng số tiền thuế tôi đóng sẽ được Nhà nước sử dụng hiệu quả để cải thiện dịch vụ công (y tế, đường xá...). - HUMAN-TRU3]]</f>
        <v>9</v>
      </c>
      <c r="AV371">
        <f t="shared" si="152"/>
        <v>0.88888888888888884</v>
      </c>
      <c r="AW371">
        <f>step3_validation[[#This Row],[AI_TRU4]]</f>
        <v>9</v>
      </c>
      <c r="AX371">
        <f t="shared" si="153"/>
        <v>0.88888888888888884</v>
      </c>
      <c r="AY371">
        <f>survey_responses[[#This Row],[Tôi thấy Nhà nước đã giải thích rõ ràng, minh bạch về lý do và mục tiêu của việc sửa đổi thuế lần này. - HUMAN-TRU4]]</f>
        <v>9</v>
      </c>
      <c r="AZ371">
        <f t="shared" si="154"/>
        <v>0.88888888888888884</v>
      </c>
      <c r="BA371" s="32">
        <f t="shared" si="155"/>
        <v>0.83333333333333326</v>
      </c>
      <c r="BB371" s="32">
        <f t="shared" si="156"/>
        <v>0.83333333333333326</v>
      </c>
      <c r="BC371" s="7">
        <f t="shared" si="157"/>
        <v>0.81481481481481488</v>
      </c>
      <c r="BD371" s="7">
        <f t="shared" si="158"/>
        <v>0.74074074074074081</v>
      </c>
      <c r="BE371">
        <f>step3_validation[[#This Row],[AI_OUT1]]</f>
        <v>9</v>
      </c>
      <c r="BF371">
        <f t="shared" si="159"/>
        <v>0.88888888888888884</v>
      </c>
      <c r="BG371">
        <f>survey_responses[[#This Row],[Sau khi xem xét các quyền lợi và nghĩa vụ, bạn có ủng hộ và tuân thủ chính sách mới hiện nay? - HUMAN-OUT1]]</f>
        <v>9</v>
      </c>
      <c r="BH371">
        <f t="shared" si="160"/>
        <v>0.88888888888888884</v>
      </c>
      <c r="BI371" s="32">
        <f t="shared" si="161"/>
        <v>0</v>
      </c>
    </row>
    <row r="372" spans="1:61" x14ac:dyDescent="0.45">
      <c r="A372" s="30">
        <f>step3_validation[[#This Row],[Persona_ID]]</f>
        <v>371</v>
      </c>
      <c r="B372" s="31">
        <f>step3_validation[[#This Row],[Used_Seed]]</f>
        <v>371</v>
      </c>
      <c r="C372" t="str">
        <f>step3_validation[[#This Row],[Gender]]</f>
        <v>Nam</v>
      </c>
      <c r="D372" t="str">
        <f>survey_responses[[#This Row],[Giới tính của bạn:]]</f>
        <v>Nam</v>
      </c>
      <c r="E372" t="str">
        <f>step3_validation[[#This Row],[Age_Group]]</f>
        <v>40 - 49</v>
      </c>
      <c r="F372" t="str">
        <f>survey_responses[[#This Row],[Độ tuổi của bạn:]]</f>
        <v>40 - 49</v>
      </c>
      <c r="G372" t="str">
        <f>step3_validation[[#This Row],[Region]]</f>
        <v>Thành thị</v>
      </c>
      <c r="H372" t="str">
        <f>survey_responses[[#This Row],[Khu vực bạn đang sinh sống:]]</f>
        <v>Thành thị</v>
      </c>
      <c r="I372" t="str">
        <f>step3_validation[[#This Row],[Education]]</f>
        <v>Sau Đại học</v>
      </c>
      <c r="J372" t="str">
        <f>survey_responses[[#This Row],[Trình độ học vấn cao nhất:]]</f>
        <v>Sau Đại học</v>
      </c>
      <c r="K372" t="str">
        <f>step3_validation[[#This Row],[Employment]]</f>
        <v>Chính thức</v>
      </c>
      <c r="L372" t="str">
        <f>survey_responses[[#This Row],[Tình trạng việc làm chính:]]</f>
        <v>Khu vực chính thức (Có Hợp đồng lao động, đóng BHXH)</v>
      </c>
      <c r="M372">
        <f>step3_validation[[#This Row],[Income_Mil]]</f>
        <v>54.859757913458523</v>
      </c>
      <c r="N372" t="str">
        <f>survey_responses[[#This Row],[Thu nhập bình quân tháng theo Hợp đồng lao động của bạn là bao nhiêu? (Vui lòng điền tổng thu nhập trước khi khấu trừ các loại Bảo hiểm (BHXH, BHYT, BHTN) và Thuế TNCN)]]</f>
        <v>Từ 48 - 70 triệu VNĐ</v>
      </c>
      <c r="O372">
        <f>step3_validation[[#This Row],[Dependents]]</f>
        <v>3</v>
      </c>
      <c r="P372" t="str">
        <f>survey_responses[[#This Row],[Số người phụ thuộc (con nhỏ, cha mẹ già...) đủ điều kiện giảm trừ gia cảnh:]]</f>
        <v>3 người</v>
      </c>
      <c r="Q372">
        <f>step3_validation[[#This Row],[AI_ENF1]]</f>
        <v>8</v>
      </c>
      <c r="R372">
        <f t="shared" si="135"/>
        <v>0.77777777777777779</v>
      </c>
      <c r="S372">
        <f>survey_responses[[#This Row],[Tôi tin rằng với các quy định quản lý thuế hiện nay, hành vi gian lận hoặc trốn thuế sẽ dễ dàng bị phát hiện và xử lý nghiêm. - HUMAN-ENF1]]</f>
        <v>4</v>
      </c>
      <c r="T372">
        <f t="shared" si="136"/>
        <v>0.33333333333333331</v>
      </c>
      <c r="U372">
        <f>step3_validation[[#This Row],[AI_ENF2]]</f>
        <v>8</v>
      </c>
      <c r="V372">
        <f t="shared" si="137"/>
        <v>0.77777777777777779</v>
      </c>
      <c r="W372">
        <f>survey_responses[[#This Row],[Tôi tin rằng Nhà nước, cơ quan thuế có đủ khả năng và công nghệ để phát hiện, xử lý nghiêm các hành vi trốn thuế. - HUMAN-ENF2]]</f>
        <v>4</v>
      </c>
      <c r="X372">
        <f t="shared" si="138"/>
        <v>0.33333333333333331</v>
      </c>
      <c r="Y372" s="32">
        <f t="shared" si="139"/>
        <v>0.77777777777777779</v>
      </c>
      <c r="Z372" s="32">
        <f t="shared" si="140"/>
        <v>0.33333333333333331</v>
      </c>
      <c r="AA372">
        <f>step3_validation[[#This Row],[AI_FAC1]]</f>
        <v>9</v>
      </c>
      <c r="AB372">
        <f t="shared" si="141"/>
        <v>0.88888888888888884</v>
      </c>
      <c r="AC372">
        <f>survey_responses[[#This Row],[Các thủ tục khai báo thuế VÀ/HOẶC quy trình làm việc với cơ quan thuế đơn giản, tiện lợi, nhanh chóng hơn so với trước đây. - HUMAN-FAC1]]</f>
        <v>5</v>
      </c>
      <c r="AD372">
        <f t="shared" si="142"/>
        <v>0.44444444444444442</v>
      </c>
      <c r="AE372">
        <f>step3_validation[[#This Row],[AI_FAC2]]</f>
        <v>9</v>
      </c>
      <c r="AF372">
        <f t="shared" si="143"/>
        <v>0.88888888888888884</v>
      </c>
      <c r="AG372">
        <f>survey_responses[[#This Row],[So với trước đây, tôi thấy cách tính thuế và các bậc thuế trong phương án mới đơn giản, dễ hiểu và dễ thực hiện hơn. - HUMAN-FAC2]]</f>
        <v>5</v>
      </c>
      <c r="AH372">
        <f t="shared" si="144"/>
        <v>0.44444444444444442</v>
      </c>
      <c r="AI372" s="32">
        <f t="shared" si="145"/>
        <v>0.88888888888888884</v>
      </c>
      <c r="AJ372" s="32">
        <f t="shared" si="146"/>
        <v>0.44444444444444442</v>
      </c>
      <c r="AK372">
        <f>step3_validation[[#This Row],[AI_TRU1]]</f>
        <v>8</v>
      </c>
      <c r="AL372">
        <f t="shared" si="147"/>
        <v>0.77777777777777779</v>
      </c>
      <c r="AM372">
        <f>survey_responses[[#This Row],[Tôi tin rằng Nhà nước, cơ quan thuế sẽ thực thi chính sách mới một cách khách quan, công tâm và đối xử bình đẳng với mọi người nộp thuế.  - HUMAN-TRU1]]</f>
        <v>5</v>
      </c>
      <c r="AN372">
        <f t="shared" si="148"/>
        <v>0.44444444444444442</v>
      </c>
      <c r="AO372">
        <f>step3_validation[[#This Row],[AI_TRU2]]</f>
        <v>9</v>
      </c>
      <c r="AP372">
        <f t="shared" si="149"/>
        <v>0.88888888888888884</v>
      </c>
      <c r="AQ372">
        <f>survey_responses[[#This Row],[Tôi thấy mức thuế tôi phải đóng theo phương án mới là công bằng (người thu nhập như tôi đóng mức này là hợp lý). - HUMAN-TRU2]]</f>
        <v>4</v>
      </c>
      <c r="AR372">
        <f t="shared" si="150"/>
        <v>0.33333333333333331</v>
      </c>
      <c r="AS372">
        <f>step3_validation[[#This Row],[AI_TRU3]]</f>
        <v>8</v>
      </c>
      <c r="AT372">
        <f t="shared" si="151"/>
        <v>0.77777777777777779</v>
      </c>
      <c r="AU372">
        <f>survey_responses[[#This Row],[Tôi tin tưởng số tiền thuế tôi đóng sẽ được Nhà nước sử dụng hiệu quả để cải thiện dịch vụ công (y tế, đường xá...). - HUMAN-TRU3]]</f>
        <v>5</v>
      </c>
      <c r="AV372">
        <f t="shared" si="152"/>
        <v>0.44444444444444442</v>
      </c>
      <c r="AW372">
        <f>step3_validation[[#This Row],[AI_TRU4]]</f>
        <v>9</v>
      </c>
      <c r="AX372">
        <f t="shared" si="153"/>
        <v>0.88888888888888884</v>
      </c>
      <c r="AY372">
        <f>survey_responses[[#This Row],[Tôi thấy Nhà nước đã giải thích rõ ràng, minh bạch về lý do và mục tiêu của việc sửa đổi thuế lần này. - HUMAN-TRU4]]</f>
        <v>6</v>
      </c>
      <c r="AZ372">
        <f t="shared" si="154"/>
        <v>0.55555555555555558</v>
      </c>
      <c r="BA372" s="32">
        <f t="shared" si="155"/>
        <v>0.83333333333333326</v>
      </c>
      <c r="BB372" s="32">
        <f t="shared" si="156"/>
        <v>0.44444444444444442</v>
      </c>
      <c r="BC372" s="7">
        <f t="shared" si="157"/>
        <v>0.83333333333333337</v>
      </c>
      <c r="BD372" s="7">
        <f t="shared" si="158"/>
        <v>0.40740740740740738</v>
      </c>
      <c r="BE372">
        <f>step3_validation[[#This Row],[AI_OUT1]]</f>
        <v>8</v>
      </c>
      <c r="BF372">
        <f t="shared" si="159"/>
        <v>0.77777777777777779</v>
      </c>
      <c r="BG372">
        <f>survey_responses[[#This Row],[Sau khi xem xét các quyền lợi và nghĩa vụ, bạn có ủng hộ và tuân thủ chính sách mới hiện nay? - HUMAN-OUT1]]</f>
        <v>5</v>
      </c>
      <c r="BH372">
        <f t="shared" si="160"/>
        <v>0.44444444444444442</v>
      </c>
      <c r="BI372" s="32">
        <f t="shared" si="161"/>
        <v>3</v>
      </c>
    </row>
    <row r="373" spans="1:61" x14ac:dyDescent="0.45">
      <c r="A373" s="30">
        <f>step3_validation[[#This Row],[Persona_ID]]</f>
        <v>372</v>
      </c>
      <c r="B373" s="31">
        <f>step3_validation[[#This Row],[Used_Seed]]</f>
        <v>372</v>
      </c>
      <c r="C373" t="str">
        <f>step3_validation[[#This Row],[Gender]]</f>
        <v>Nữ</v>
      </c>
      <c r="D373" t="str">
        <f>survey_responses[[#This Row],[Giới tính của bạn:]]</f>
        <v>Nữ</v>
      </c>
      <c r="E373" t="str">
        <f>step3_validation[[#This Row],[Age_Group]]</f>
        <v>30 - 39</v>
      </c>
      <c r="F373" t="str">
        <f>survey_responses[[#This Row],[Độ tuổi của bạn:]]</f>
        <v>30 - 39</v>
      </c>
      <c r="G373" t="str">
        <f>step3_validation[[#This Row],[Region]]</f>
        <v>Thành thị</v>
      </c>
      <c r="H373" t="str">
        <f>survey_responses[[#This Row],[Khu vực bạn đang sinh sống:]]</f>
        <v>Thành thị</v>
      </c>
      <c r="I373" t="str">
        <f>step3_validation[[#This Row],[Education]]</f>
        <v>Đại học</v>
      </c>
      <c r="J373" t="str">
        <f>survey_responses[[#This Row],[Trình độ học vấn cao nhất:]]</f>
        <v>Đại học</v>
      </c>
      <c r="K373" t="str">
        <f>step3_validation[[#This Row],[Employment]]</f>
        <v>Chính thức</v>
      </c>
      <c r="L373" t="str">
        <f>survey_responses[[#This Row],[Tình trạng việc làm chính:]]</f>
        <v>Khu vực chính thức (Có Hợp đồng lao động, đóng BHXH)</v>
      </c>
      <c r="M373">
        <f>step3_validation[[#This Row],[Income_Mil]]</f>
        <v>42.511195664059166</v>
      </c>
      <c r="N373" t="str">
        <f>survey_responses[[#This Row],[Thu nhập bình quân tháng theo Hợp đồng lao động của bạn là bao nhiêu? (Vui lòng điền tổng thu nhập trước khi khấu trừ các loại Bảo hiểm (BHXH, BHYT, BHTN) và Thuế TNCN)]]</f>
        <v>Từ 32 - 48 triệu VNĐ</v>
      </c>
      <c r="O373">
        <f>step3_validation[[#This Row],[Dependents]]</f>
        <v>2</v>
      </c>
      <c r="P373" t="str">
        <f>survey_responses[[#This Row],[Số người phụ thuộc (con nhỏ, cha mẹ già...) đủ điều kiện giảm trừ gia cảnh:]]</f>
        <v>2 người</v>
      </c>
      <c r="Q373">
        <f>step3_validation[[#This Row],[AI_ENF1]]</f>
        <v>7</v>
      </c>
      <c r="R373">
        <f t="shared" si="135"/>
        <v>0.66666666666666663</v>
      </c>
      <c r="S373">
        <f>survey_responses[[#This Row],[Tôi tin rằng với các quy định quản lý thuế hiện nay, hành vi gian lận hoặc trốn thuế sẽ dễ dàng bị phát hiện và xử lý nghiêm. - HUMAN-ENF1]]</f>
        <v>6</v>
      </c>
      <c r="T373">
        <f t="shared" si="136"/>
        <v>0.55555555555555558</v>
      </c>
      <c r="U373">
        <f>step3_validation[[#This Row],[AI_ENF2]]</f>
        <v>7</v>
      </c>
      <c r="V373">
        <f t="shared" si="137"/>
        <v>0.66666666666666663</v>
      </c>
      <c r="W373">
        <f>survey_responses[[#This Row],[Tôi tin rằng Nhà nước, cơ quan thuế có đủ khả năng và công nghệ để phát hiện, xử lý nghiêm các hành vi trốn thuế. - HUMAN-ENF2]]</f>
        <v>6</v>
      </c>
      <c r="X373">
        <f t="shared" si="138"/>
        <v>0.55555555555555558</v>
      </c>
      <c r="Y373" s="32">
        <f t="shared" si="139"/>
        <v>0.66666666666666663</v>
      </c>
      <c r="Z373" s="32">
        <f t="shared" si="140"/>
        <v>0.55555555555555558</v>
      </c>
      <c r="AA373">
        <f>step3_validation[[#This Row],[AI_FAC1]]</f>
        <v>8</v>
      </c>
      <c r="AB373">
        <f t="shared" si="141"/>
        <v>0.77777777777777779</v>
      </c>
      <c r="AC373">
        <f>survey_responses[[#This Row],[Các thủ tục khai báo thuế VÀ/HOẶC quy trình làm việc với cơ quan thuế đơn giản, tiện lợi, nhanh chóng hơn so với trước đây. - HUMAN-FAC1]]</f>
        <v>8</v>
      </c>
      <c r="AD373">
        <f t="shared" si="142"/>
        <v>0.77777777777777779</v>
      </c>
      <c r="AE373">
        <f>step3_validation[[#This Row],[AI_FAC2]]</f>
        <v>9</v>
      </c>
      <c r="AF373">
        <f t="shared" si="143"/>
        <v>0.88888888888888884</v>
      </c>
      <c r="AG373">
        <f>survey_responses[[#This Row],[So với trước đây, tôi thấy cách tính thuế và các bậc thuế trong phương án mới đơn giản, dễ hiểu và dễ thực hiện hơn. - HUMAN-FAC2]]</f>
        <v>8</v>
      </c>
      <c r="AH373">
        <f t="shared" si="144"/>
        <v>0.77777777777777779</v>
      </c>
      <c r="AI373" s="32">
        <f t="shared" si="145"/>
        <v>0.83333333333333326</v>
      </c>
      <c r="AJ373" s="32">
        <f t="shared" si="146"/>
        <v>0.77777777777777779</v>
      </c>
      <c r="AK373">
        <f>step3_validation[[#This Row],[AI_TRU1]]</f>
        <v>7</v>
      </c>
      <c r="AL373">
        <f t="shared" si="147"/>
        <v>0.66666666666666663</v>
      </c>
      <c r="AM373">
        <f>survey_responses[[#This Row],[Tôi tin rằng Nhà nước, cơ quan thuế sẽ thực thi chính sách mới một cách khách quan, công tâm và đối xử bình đẳng với mọi người nộp thuế.  - HUMAN-TRU1]]</f>
        <v>6</v>
      </c>
      <c r="AN373">
        <f t="shared" si="148"/>
        <v>0.55555555555555558</v>
      </c>
      <c r="AO373">
        <f>step3_validation[[#This Row],[AI_TRU2]]</f>
        <v>8</v>
      </c>
      <c r="AP373">
        <f t="shared" si="149"/>
        <v>0.77777777777777779</v>
      </c>
      <c r="AQ373">
        <f>survey_responses[[#This Row],[Tôi thấy mức thuế tôi phải đóng theo phương án mới là công bằng (người thu nhập như tôi đóng mức này là hợp lý). - HUMAN-TRU2]]</f>
        <v>7</v>
      </c>
      <c r="AR373">
        <f t="shared" si="150"/>
        <v>0.66666666666666663</v>
      </c>
      <c r="AS373">
        <f>step3_validation[[#This Row],[AI_TRU3]]</f>
        <v>7</v>
      </c>
      <c r="AT373">
        <f t="shared" si="151"/>
        <v>0.66666666666666663</v>
      </c>
      <c r="AU373">
        <f>survey_responses[[#This Row],[Tôi tin tưởng số tiền thuế tôi đóng sẽ được Nhà nước sử dụng hiệu quả để cải thiện dịch vụ công (y tế, đường xá...). - HUMAN-TRU3]]</f>
        <v>5</v>
      </c>
      <c r="AV373">
        <f t="shared" si="152"/>
        <v>0.44444444444444442</v>
      </c>
      <c r="AW373">
        <f>step3_validation[[#This Row],[AI_TRU4]]</f>
        <v>8</v>
      </c>
      <c r="AX373">
        <f t="shared" si="153"/>
        <v>0.77777777777777779</v>
      </c>
      <c r="AY373">
        <f>survey_responses[[#This Row],[Tôi thấy Nhà nước đã giải thích rõ ràng, minh bạch về lý do và mục tiêu của việc sửa đổi thuế lần này. - HUMAN-TRU4]]</f>
        <v>6</v>
      </c>
      <c r="AZ373">
        <f t="shared" si="154"/>
        <v>0.55555555555555558</v>
      </c>
      <c r="BA373" s="32">
        <f t="shared" si="155"/>
        <v>0.72222222222222221</v>
      </c>
      <c r="BB373" s="32">
        <f t="shared" si="156"/>
        <v>0.55555555555555558</v>
      </c>
      <c r="BC373" s="7">
        <f t="shared" si="157"/>
        <v>0.74074074074074081</v>
      </c>
      <c r="BD373" s="7">
        <f t="shared" si="158"/>
        <v>0.62962962962962965</v>
      </c>
      <c r="BE373">
        <f>step3_validation[[#This Row],[AI_OUT1]]</f>
        <v>9</v>
      </c>
      <c r="BF373">
        <f t="shared" si="159"/>
        <v>0.88888888888888884</v>
      </c>
      <c r="BG373">
        <f>survey_responses[[#This Row],[Sau khi xem xét các quyền lợi và nghĩa vụ, bạn có ủng hộ và tuân thủ chính sách mới hiện nay? - HUMAN-OUT1]]</f>
        <v>6</v>
      </c>
      <c r="BH373">
        <f t="shared" si="160"/>
        <v>0.55555555555555558</v>
      </c>
      <c r="BI373" s="32">
        <f t="shared" si="161"/>
        <v>3</v>
      </c>
    </row>
    <row r="374" spans="1:61" x14ac:dyDescent="0.45">
      <c r="A374" s="30">
        <f>step3_validation[[#This Row],[Persona_ID]]</f>
        <v>373</v>
      </c>
      <c r="B374" s="31">
        <f>step3_validation[[#This Row],[Used_Seed]]</f>
        <v>373</v>
      </c>
      <c r="C374" t="str">
        <f>step3_validation[[#This Row],[Gender]]</f>
        <v>Nữ</v>
      </c>
      <c r="D374" t="str">
        <f>survey_responses[[#This Row],[Giới tính của bạn:]]</f>
        <v>Nữ</v>
      </c>
      <c r="E374" t="str">
        <f>step3_validation[[#This Row],[Age_Group]]</f>
        <v>30 - 39</v>
      </c>
      <c r="F374" t="str">
        <f>survey_responses[[#This Row],[Độ tuổi của bạn:]]</f>
        <v>30 - 39</v>
      </c>
      <c r="G374" t="str">
        <f>step3_validation[[#This Row],[Region]]</f>
        <v>Thành thị</v>
      </c>
      <c r="H374" t="str">
        <f>survey_responses[[#This Row],[Khu vực bạn đang sinh sống:]]</f>
        <v>Thành thị</v>
      </c>
      <c r="I374" t="str">
        <f>step3_validation[[#This Row],[Education]]</f>
        <v>Đại học</v>
      </c>
      <c r="J374" t="str">
        <f>survey_responses[[#This Row],[Trình độ học vấn cao nhất:]]</f>
        <v>Đại học</v>
      </c>
      <c r="K374" t="str">
        <f>step3_validation[[#This Row],[Employment]]</f>
        <v>Chính thức</v>
      </c>
      <c r="L374" t="str">
        <f>survey_responses[[#This Row],[Tình trạng việc làm chính:]]</f>
        <v>Khu vực chính thức (Có Hợp đồng lao động, đóng BHXH)</v>
      </c>
      <c r="M374">
        <f>step3_validation[[#This Row],[Income_Mil]]</f>
        <v>99.171194641377014</v>
      </c>
      <c r="N374" t="str">
        <f>survey_responses[[#This Row],[Thu nhập bình quân tháng theo Hợp đồng lao động của bạn là bao nhiêu? (Vui lòng điền tổng thu nhập trước khi khấu trừ các loại Bảo hiểm (BHXH, BHYT, BHTN) và Thuế TNCN)]]</f>
        <v>Từ 70 - 102 triệu VNĐ</v>
      </c>
      <c r="O374">
        <f>step3_validation[[#This Row],[Dependents]]</f>
        <v>2</v>
      </c>
      <c r="P374" t="str">
        <f>survey_responses[[#This Row],[Số người phụ thuộc (con nhỏ, cha mẹ già...) đủ điều kiện giảm trừ gia cảnh:]]</f>
        <v>2 người</v>
      </c>
      <c r="Q374">
        <f>step3_validation[[#This Row],[AI_ENF1]]</f>
        <v>7</v>
      </c>
      <c r="R374">
        <f t="shared" si="135"/>
        <v>0.66666666666666663</v>
      </c>
      <c r="S374">
        <f>survey_responses[[#This Row],[Tôi tin rằng với các quy định quản lý thuế hiện nay, hành vi gian lận hoặc trốn thuế sẽ dễ dàng bị phát hiện và xử lý nghiêm. - HUMAN-ENF1]]</f>
        <v>8</v>
      </c>
      <c r="T374">
        <f t="shared" si="136"/>
        <v>0.77777777777777779</v>
      </c>
      <c r="U374">
        <f>step3_validation[[#This Row],[AI_ENF2]]</f>
        <v>7</v>
      </c>
      <c r="V374">
        <f t="shared" si="137"/>
        <v>0.66666666666666663</v>
      </c>
      <c r="W374">
        <f>survey_responses[[#This Row],[Tôi tin rằng Nhà nước, cơ quan thuế có đủ khả năng và công nghệ để phát hiện, xử lý nghiêm các hành vi trốn thuế. - HUMAN-ENF2]]</f>
        <v>8</v>
      </c>
      <c r="X374">
        <f t="shared" si="138"/>
        <v>0.77777777777777779</v>
      </c>
      <c r="Y374" s="32">
        <f t="shared" si="139"/>
        <v>0.66666666666666663</v>
      </c>
      <c r="Z374" s="32">
        <f t="shared" si="140"/>
        <v>0.77777777777777779</v>
      </c>
      <c r="AA374">
        <f>step3_validation[[#This Row],[AI_FAC1]]</f>
        <v>6</v>
      </c>
      <c r="AB374">
        <f t="shared" si="141"/>
        <v>0.55555555555555558</v>
      </c>
      <c r="AC374">
        <f>survey_responses[[#This Row],[Các thủ tục khai báo thuế VÀ/HOẶC quy trình làm việc với cơ quan thuế đơn giản, tiện lợi, nhanh chóng hơn so với trước đây. - HUMAN-FAC1]]</f>
        <v>9</v>
      </c>
      <c r="AD374">
        <f t="shared" si="142"/>
        <v>0.88888888888888884</v>
      </c>
      <c r="AE374">
        <f>step3_validation[[#This Row],[AI_FAC2]]</f>
        <v>8</v>
      </c>
      <c r="AF374">
        <f t="shared" si="143"/>
        <v>0.77777777777777779</v>
      </c>
      <c r="AG374">
        <f>survey_responses[[#This Row],[So với trước đây, tôi thấy cách tính thuế và các bậc thuế trong phương án mới đơn giản, dễ hiểu và dễ thực hiện hơn. - HUMAN-FAC2]]</f>
        <v>9</v>
      </c>
      <c r="AH374">
        <f t="shared" si="144"/>
        <v>0.88888888888888884</v>
      </c>
      <c r="AI374" s="32">
        <f t="shared" si="145"/>
        <v>0.66666666666666674</v>
      </c>
      <c r="AJ374" s="32">
        <f t="shared" si="146"/>
        <v>0.88888888888888884</v>
      </c>
      <c r="AK374">
        <f>step3_validation[[#This Row],[AI_TRU1]]</f>
        <v>9</v>
      </c>
      <c r="AL374">
        <f t="shared" si="147"/>
        <v>0.88888888888888884</v>
      </c>
      <c r="AM374">
        <f>survey_responses[[#This Row],[Tôi tin rằng Nhà nước, cơ quan thuế sẽ thực thi chính sách mới một cách khách quan, công tâm và đối xử bình đẳng với mọi người nộp thuế.  - HUMAN-TRU1]]</f>
        <v>5</v>
      </c>
      <c r="AN374">
        <f t="shared" si="148"/>
        <v>0.44444444444444442</v>
      </c>
      <c r="AO374">
        <f>step3_validation[[#This Row],[AI_TRU2]]</f>
        <v>8</v>
      </c>
      <c r="AP374">
        <f t="shared" si="149"/>
        <v>0.77777777777777779</v>
      </c>
      <c r="AQ374">
        <f>survey_responses[[#This Row],[Tôi thấy mức thuế tôi phải đóng theo phương án mới là công bằng (người thu nhập như tôi đóng mức này là hợp lý). - HUMAN-TRU2]]</f>
        <v>5</v>
      </c>
      <c r="AR374">
        <f t="shared" si="150"/>
        <v>0.44444444444444442</v>
      </c>
      <c r="AS374">
        <f>step3_validation[[#This Row],[AI_TRU3]]</f>
        <v>9</v>
      </c>
      <c r="AT374">
        <f t="shared" si="151"/>
        <v>0.88888888888888884</v>
      </c>
      <c r="AU374">
        <f>survey_responses[[#This Row],[Tôi tin tưởng số tiền thuế tôi đóng sẽ được Nhà nước sử dụng hiệu quả để cải thiện dịch vụ công (y tế, đường xá...). - HUMAN-TRU3]]</f>
        <v>5</v>
      </c>
      <c r="AV374">
        <f t="shared" si="152"/>
        <v>0.44444444444444442</v>
      </c>
      <c r="AW374">
        <f>step3_validation[[#This Row],[AI_TRU4]]</f>
        <v>7</v>
      </c>
      <c r="AX374">
        <f t="shared" si="153"/>
        <v>0.66666666666666663</v>
      </c>
      <c r="AY374">
        <f>survey_responses[[#This Row],[Tôi thấy Nhà nước đã giải thích rõ ràng, minh bạch về lý do và mục tiêu của việc sửa đổi thuế lần này. - HUMAN-TRU4]]</f>
        <v>6</v>
      </c>
      <c r="AZ374">
        <f t="shared" si="154"/>
        <v>0.55555555555555558</v>
      </c>
      <c r="BA374" s="32">
        <f t="shared" si="155"/>
        <v>0.80555555555555547</v>
      </c>
      <c r="BB374" s="32">
        <f t="shared" si="156"/>
        <v>0.47222222222222221</v>
      </c>
      <c r="BC374" s="7">
        <f t="shared" si="157"/>
        <v>0.71296296296296291</v>
      </c>
      <c r="BD374" s="7">
        <f t="shared" si="158"/>
        <v>0.71296296296296291</v>
      </c>
      <c r="BE374">
        <f>step3_validation[[#This Row],[AI_OUT1]]</f>
        <v>9</v>
      </c>
      <c r="BF374">
        <f t="shared" si="159"/>
        <v>0.88888888888888884</v>
      </c>
      <c r="BG374">
        <f>survey_responses[[#This Row],[Sau khi xem xét các quyền lợi và nghĩa vụ, bạn có ủng hộ và tuân thủ chính sách mới hiện nay? - HUMAN-OUT1]]</f>
        <v>5</v>
      </c>
      <c r="BH374">
        <f t="shared" si="160"/>
        <v>0.44444444444444442</v>
      </c>
      <c r="BI374" s="32">
        <f t="shared" si="161"/>
        <v>4</v>
      </c>
    </row>
    <row r="375" spans="1:61" x14ac:dyDescent="0.45">
      <c r="A375" s="30">
        <f>step3_validation[[#This Row],[Persona_ID]]</f>
        <v>374</v>
      </c>
      <c r="B375" s="31">
        <f>step3_validation[[#This Row],[Used_Seed]]</f>
        <v>374</v>
      </c>
      <c r="C375" t="str">
        <f>step3_validation[[#This Row],[Gender]]</f>
        <v>Nữ</v>
      </c>
      <c r="D375" t="str">
        <f>survey_responses[[#This Row],[Giới tính của bạn:]]</f>
        <v>Nữ</v>
      </c>
      <c r="E375" t="str">
        <f>step3_validation[[#This Row],[Age_Group]]</f>
        <v>30 - 39</v>
      </c>
      <c r="F375" t="str">
        <f>survey_responses[[#This Row],[Độ tuổi của bạn:]]</f>
        <v>30 - 39</v>
      </c>
      <c r="G375" t="str">
        <f>step3_validation[[#This Row],[Region]]</f>
        <v>Thành thị</v>
      </c>
      <c r="H375" t="str">
        <f>survey_responses[[#This Row],[Khu vực bạn đang sinh sống:]]</f>
        <v>Thành thị</v>
      </c>
      <c r="I375" t="str">
        <f>step3_validation[[#This Row],[Education]]</f>
        <v>Đại học</v>
      </c>
      <c r="J375" t="str">
        <f>survey_responses[[#This Row],[Trình độ học vấn cao nhất:]]</f>
        <v>Đại học</v>
      </c>
      <c r="K375" t="str">
        <f>step3_validation[[#This Row],[Employment]]</f>
        <v>Chính thức</v>
      </c>
      <c r="L375" t="str">
        <f>survey_responses[[#This Row],[Tình trạng việc làm chính:]]</f>
        <v>Khu vực chính thức (Có Hợp đồng lao động, đóng BHXH)</v>
      </c>
      <c r="M375">
        <f>step3_validation[[#This Row],[Income_Mil]]</f>
        <v>33.809997672990541</v>
      </c>
      <c r="N375" t="str">
        <f>survey_responses[[#This Row],[Thu nhập bình quân tháng theo Hợp đồng lao động của bạn là bao nhiêu? (Vui lòng điền tổng thu nhập trước khi khấu trừ các loại Bảo hiểm (BHXH, BHYT, BHTN) và Thuế TNCN)]]</f>
        <v>Từ 32 - 48 triệu VNĐ</v>
      </c>
      <c r="O375">
        <f>step3_validation[[#This Row],[Dependents]]</f>
        <v>1</v>
      </c>
      <c r="P375" t="str">
        <f>survey_responses[[#This Row],[Số người phụ thuộc (con nhỏ, cha mẹ già...) đủ điều kiện giảm trừ gia cảnh:]]</f>
        <v>1 người</v>
      </c>
      <c r="Q375">
        <f>step3_validation[[#This Row],[AI_ENF1]]</f>
        <v>7</v>
      </c>
      <c r="R375">
        <f t="shared" si="135"/>
        <v>0.66666666666666663</v>
      </c>
      <c r="S375">
        <f>survey_responses[[#This Row],[Tôi tin rằng với các quy định quản lý thuế hiện nay, hành vi gian lận hoặc trốn thuế sẽ dễ dàng bị phát hiện và xử lý nghiêm. - HUMAN-ENF1]]</f>
        <v>6</v>
      </c>
      <c r="T375">
        <f t="shared" si="136"/>
        <v>0.55555555555555558</v>
      </c>
      <c r="U375">
        <f>step3_validation[[#This Row],[AI_ENF2]]</f>
        <v>8</v>
      </c>
      <c r="V375">
        <f t="shared" si="137"/>
        <v>0.77777777777777779</v>
      </c>
      <c r="W375">
        <f>survey_responses[[#This Row],[Tôi tin rằng Nhà nước, cơ quan thuế có đủ khả năng và công nghệ để phát hiện, xử lý nghiêm các hành vi trốn thuế. - HUMAN-ENF2]]</f>
        <v>6</v>
      </c>
      <c r="X375">
        <f t="shared" si="138"/>
        <v>0.55555555555555558</v>
      </c>
      <c r="Y375" s="32">
        <f t="shared" si="139"/>
        <v>0.72222222222222221</v>
      </c>
      <c r="Z375" s="32">
        <f t="shared" si="140"/>
        <v>0.55555555555555558</v>
      </c>
      <c r="AA375">
        <f>step3_validation[[#This Row],[AI_FAC1]]</f>
        <v>9</v>
      </c>
      <c r="AB375">
        <f t="shared" si="141"/>
        <v>0.88888888888888884</v>
      </c>
      <c r="AC375">
        <f>survey_responses[[#This Row],[Các thủ tục khai báo thuế VÀ/HOẶC quy trình làm việc với cơ quan thuế đơn giản, tiện lợi, nhanh chóng hơn so với trước đây. - HUMAN-FAC1]]</f>
        <v>7</v>
      </c>
      <c r="AD375">
        <f t="shared" si="142"/>
        <v>0.66666666666666663</v>
      </c>
      <c r="AE375">
        <f>step3_validation[[#This Row],[AI_FAC2]]</f>
        <v>10</v>
      </c>
      <c r="AF375">
        <f t="shared" si="143"/>
        <v>1</v>
      </c>
      <c r="AG375">
        <f>survey_responses[[#This Row],[So với trước đây, tôi thấy cách tính thuế và các bậc thuế trong phương án mới đơn giản, dễ hiểu và dễ thực hiện hơn. - HUMAN-FAC2]]</f>
        <v>7</v>
      </c>
      <c r="AH375">
        <f t="shared" si="144"/>
        <v>0.66666666666666663</v>
      </c>
      <c r="AI375" s="32">
        <f t="shared" si="145"/>
        <v>0.94444444444444442</v>
      </c>
      <c r="AJ375" s="32">
        <f t="shared" si="146"/>
        <v>0.66666666666666663</v>
      </c>
      <c r="AK375">
        <f>step3_validation[[#This Row],[AI_TRU1]]</f>
        <v>8</v>
      </c>
      <c r="AL375">
        <f t="shared" si="147"/>
        <v>0.77777777777777779</v>
      </c>
      <c r="AM375">
        <f>survey_responses[[#This Row],[Tôi tin rằng Nhà nước, cơ quan thuế sẽ thực thi chính sách mới một cách khách quan, công tâm và đối xử bình đẳng với mọi người nộp thuế.  - HUMAN-TRU1]]</f>
        <v>6</v>
      </c>
      <c r="AN375">
        <f t="shared" si="148"/>
        <v>0.55555555555555558</v>
      </c>
      <c r="AO375">
        <f>step3_validation[[#This Row],[AI_TRU2]]</f>
        <v>9</v>
      </c>
      <c r="AP375">
        <f t="shared" si="149"/>
        <v>0.88888888888888884</v>
      </c>
      <c r="AQ375">
        <f>survey_responses[[#This Row],[Tôi thấy mức thuế tôi phải đóng theo phương án mới là công bằng (người thu nhập như tôi đóng mức này là hợp lý). - HUMAN-TRU2]]</f>
        <v>6</v>
      </c>
      <c r="AR375">
        <f t="shared" si="150"/>
        <v>0.55555555555555558</v>
      </c>
      <c r="AS375">
        <f>step3_validation[[#This Row],[AI_TRU3]]</f>
        <v>8</v>
      </c>
      <c r="AT375">
        <f t="shared" si="151"/>
        <v>0.77777777777777779</v>
      </c>
      <c r="AU375">
        <f>survey_responses[[#This Row],[Tôi tin tưởng số tiền thuế tôi đóng sẽ được Nhà nước sử dụng hiệu quả để cải thiện dịch vụ công (y tế, đường xá...). - HUMAN-TRU3]]</f>
        <v>6</v>
      </c>
      <c r="AV375">
        <f t="shared" si="152"/>
        <v>0.55555555555555558</v>
      </c>
      <c r="AW375">
        <f>step3_validation[[#This Row],[AI_TRU4]]</f>
        <v>7</v>
      </c>
      <c r="AX375">
        <f t="shared" si="153"/>
        <v>0.66666666666666663</v>
      </c>
      <c r="AY375">
        <f>survey_responses[[#This Row],[Tôi thấy Nhà nước đã giải thích rõ ràng, minh bạch về lý do và mục tiêu của việc sửa đổi thuế lần này. - HUMAN-TRU4]]</f>
        <v>6</v>
      </c>
      <c r="AZ375">
        <f t="shared" si="154"/>
        <v>0.55555555555555558</v>
      </c>
      <c r="BA375" s="32">
        <f t="shared" si="155"/>
        <v>0.77777777777777768</v>
      </c>
      <c r="BB375" s="32">
        <f t="shared" si="156"/>
        <v>0.55555555555555558</v>
      </c>
      <c r="BC375" s="7">
        <f t="shared" si="157"/>
        <v>0.81481481481481477</v>
      </c>
      <c r="BD375" s="7">
        <f t="shared" si="158"/>
        <v>0.59259259259259267</v>
      </c>
      <c r="BE375">
        <f>step3_validation[[#This Row],[AI_OUT1]]</f>
        <v>9</v>
      </c>
      <c r="BF375">
        <f t="shared" si="159"/>
        <v>0.88888888888888884</v>
      </c>
      <c r="BG375">
        <f>survey_responses[[#This Row],[Sau khi xem xét các quyền lợi và nghĩa vụ, bạn có ủng hộ và tuân thủ chính sách mới hiện nay? - HUMAN-OUT1]]</f>
        <v>6</v>
      </c>
      <c r="BH375">
        <f t="shared" si="160"/>
        <v>0.55555555555555558</v>
      </c>
      <c r="BI375" s="32">
        <f t="shared" si="161"/>
        <v>3</v>
      </c>
    </row>
    <row r="376" spans="1:61" x14ac:dyDescent="0.45">
      <c r="A376" s="30">
        <f>step3_validation[[#This Row],[Persona_ID]]</f>
        <v>375</v>
      </c>
      <c r="B376" s="31">
        <f>step3_validation[[#This Row],[Used_Seed]]</f>
        <v>375</v>
      </c>
      <c r="C376" t="str">
        <f>step3_validation[[#This Row],[Gender]]</f>
        <v>Nữ</v>
      </c>
      <c r="D376" t="str">
        <f>survey_responses[[#This Row],[Giới tính của bạn:]]</f>
        <v>Nữ</v>
      </c>
      <c r="E376" t="str">
        <f>step3_validation[[#This Row],[Age_Group]]</f>
        <v>30 - 39</v>
      </c>
      <c r="F376" t="str">
        <f>survey_responses[[#This Row],[Độ tuổi của bạn:]]</f>
        <v>30 - 39</v>
      </c>
      <c r="G376" t="str">
        <f>step3_validation[[#This Row],[Region]]</f>
        <v>Thành thị</v>
      </c>
      <c r="H376" t="str">
        <f>survey_responses[[#This Row],[Khu vực bạn đang sinh sống:]]</f>
        <v>Thành thị</v>
      </c>
      <c r="I376" t="str">
        <f>step3_validation[[#This Row],[Education]]</f>
        <v>Đại học</v>
      </c>
      <c r="J376" t="str">
        <f>survey_responses[[#This Row],[Trình độ học vấn cao nhất:]]</f>
        <v>Đại học</v>
      </c>
      <c r="K376" t="str">
        <f>step3_validation[[#This Row],[Employment]]</f>
        <v>Chính thức</v>
      </c>
      <c r="L376" t="str">
        <f>survey_responses[[#This Row],[Tình trạng việc làm chính:]]</f>
        <v>Khu vực chính thức (Có Hợp đồng lao động, đóng BHXH)</v>
      </c>
      <c r="M376">
        <f>step3_validation[[#This Row],[Income_Mil]]</f>
        <v>67.530610569280057</v>
      </c>
      <c r="N376" t="str">
        <f>survey_responses[[#This Row],[Thu nhập bình quân tháng theo Hợp đồng lao động của bạn là bao nhiêu? (Vui lòng điền tổng thu nhập trước khi khấu trừ các loại Bảo hiểm (BHXH, BHYT, BHTN) và Thuế TNCN)]]</f>
        <v>Từ 48 - 70 triệu VNĐ</v>
      </c>
      <c r="O376">
        <f>step3_validation[[#This Row],[Dependents]]</f>
        <v>1</v>
      </c>
      <c r="P376" t="str">
        <f>survey_responses[[#This Row],[Số người phụ thuộc (con nhỏ, cha mẹ già...) đủ điều kiện giảm trừ gia cảnh:]]</f>
        <v>1 người</v>
      </c>
      <c r="Q376">
        <f>step3_validation[[#This Row],[AI_ENF1]]</f>
        <v>7</v>
      </c>
      <c r="R376">
        <f t="shared" si="135"/>
        <v>0.66666666666666663</v>
      </c>
      <c r="S376">
        <f>survey_responses[[#This Row],[Tôi tin rằng với các quy định quản lý thuế hiện nay, hành vi gian lận hoặc trốn thuế sẽ dễ dàng bị phát hiện và xử lý nghiêm. - HUMAN-ENF1]]</f>
        <v>8</v>
      </c>
      <c r="T376">
        <f t="shared" si="136"/>
        <v>0.77777777777777779</v>
      </c>
      <c r="U376">
        <f>step3_validation[[#This Row],[AI_ENF2]]</f>
        <v>6</v>
      </c>
      <c r="V376">
        <f t="shared" si="137"/>
        <v>0.55555555555555558</v>
      </c>
      <c r="W376">
        <f>survey_responses[[#This Row],[Tôi tin rằng Nhà nước, cơ quan thuế có đủ khả năng và công nghệ để phát hiện, xử lý nghiêm các hành vi trốn thuế. - HUMAN-ENF2]]</f>
        <v>8</v>
      </c>
      <c r="X376">
        <f t="shared" si="138"/>
        <v>0.77777777777777779</v>
      </c>
      <c r="Y376" s="32">
        <f t="shared" si="139"/>
        <v>0.61111111111111116</v>
      </c>
      <c r="Z376" s="32">
        <f t="shared" si="140"/>
        <v>0.77777777777777779</v>
      </c>
      <c r="AA376">
        <f>step3_validation[[#This Row],[AI_FAC1]]</f>
        <v>8</v>
      </c>
      <c r="AB376">
        <f t="shared" si="141"/>
        <v>0.77777777777777779</v>
      </c>
      <c r="AC376">
        <f>survey_responses[[#This Row],[Các thủ tục khai báo thuế VÀ/HOẶC quy trình làm việc với cơ quan thuế đơn giản, tiện lợi, nhanh chóng hơn so với trước đây. - HUMAN-FAC1]]</f>
        <v>8</v>
      </c>
      <c r="AD376">
        <f t="shared" si="142"/>
        <v>0.77777777777777779</v>
      </c>
      <c r="AE376">
        <f>step3_validation[[#This Row],[AI_FAC2]]</f>
        <v>9</v>
      </c>
      <c r="AF376">
        <f t="shared" si="143"/>
        <v>0.88888888888888884</v>
      </c>
      <c r="AG376">
        <f>survey_responses[[#This Row],[So với trước đây, tôi thấy cách tính thuế và các bậc thuế trong phương án mới đơn giản, dễ hiểu và dễ thực hiện hơn. - HUMAN-FAC2]]</f>
        <v>8</v>
      </c>
      <c r="AH376">
        <f t="shared" si="144"/>
        <v>0.77777777777777779</v>
      </c>
      <c r="AI376" s="32">
        <f t="shared" si="145"/>
        <v>0.83333333333333326</v>
      </c>
      <c r="AJ376" s="32">
        <f t="shared" si="146"/>
        <v>0.77777777777777779</v>
      </c>
      <c r="AK376">
        <f>step3_validation[[#This Row],[AI_TRU1]]</f>
        <v>7</v>
      </c>
      <c r="AL376">
        <f t="shared" si="147"/>
        <v>0.66666666666666663</v>
      </c>
      <c r="AM376">
        <f>survey_responses[[#This Row],[Tôi tin rằng Nhà nước, cơ quan thuế sẽ thực thi chính sách mới một cách khách quan, công tâm và đối xử bình đẳng với mọi người nộp thuế.  - HUMAN-TRU1]]</f>
        <v>7</v>
      </c>
      <c r="AN376">
        <f t="shared" si="148"/>
        <v>0.66666666666666663</v>
      </c>
      <c r="AO376">
        <f>step3_validation[[#This Row],[AI_TRU2]]</f>
        <v>8</v>
      </c>
      <c r="AP376">
        <f t="shared" si="149"/>
        <v>0.77777777777777779</v>
      </c>
      <c r="AQ376">
        <f>survey_responses[[#This Row],[Tôi thấy mức thuế tôi phải đóng theo phương án mới là công bằng (người thu nhập như tôi đóng mức này là hợp lý). - HUMAN-TRU2]]</f>
        <v>6</v>
      </c>
      <c r="AR376">
        <f t="shared" si="150"/>
        <v>0.55555555555555558</v>
      </c>
      <c r="AS376">
        <f>step3_validation[[#This Row],[AI_TRU3]]</f>
        <v>6</v>
      </c>
      <c r="AT376">
        <f t="shared" si="151"/>
        <v>0.55555555555555558</v>
      </c>
      <c r="AU376">
        <f>survey_responses[[#This Row],[Tôi tin tưởng số tiền thuế tôi đóng sẽ được Nhà nước sử dụng hiệu quả để cải thiện dịch vụ công (y tế, đường xá...). - HUMAN-TRU3]]</f>
        <v>6</v>
      </c>
      <c r="AV376">
        <f t="shared" si="152"/>
        <v>0.55555555555555558</v>
      </c>
      <c r="AW376">
        <f>step3_validation[[#This Row],[AI_TRU4]]</f>
        <v>7</v>
      </c>
      <c r="AX376">
        <f t="shared" si="153"/>
        <v>0.66666666666666663</v>
      </c>
      <c r="AY376">
        <f>survey_responses[[#This Row],[Tôi thấy Nhà nước đã giải thích rõ ràng, minh bạch về lý do và mục tiêu của việc sửa đổi thuế lần này. - HUMAN-TRU4]]</f>
        <v>5</v>
      </c>
      <c r="AZ376">
        <f t="shared" si="154"/>
        <v>0.44444444444444442</v>
      </c>
      <c r="BA376" s="32">
        <f t="shared" si="155"/>
        <v>0.66666666666666663</v>
      </c>
      <c r="BB376" s="32">
        <f t="shared" si="156"/>
        <v>0.55555555555555558</v>
      </c>
      <c r="BC376" s="7">
        <f t="shared" si="157"/>
        <v>0.70370370370370372</v>
      </c>
      <c r="BD376" s="7">
        <f t="shared" si="158"/>
        <v>0.70370370370370372</v>
      </c>
      <c r="BE376">
        <f>step3_validation[[#This Row],[AI_OUT1]]</f>
        <v>8</v>
      </c>
      <c r="BF376">
        <f t="shared" si="159"/>
        <v>0.77777777777777779</v>
      </c>
      <c r="BG376">
        <f>survey_responses[[#This Row],[Sau khi xem xét các quyền lợi và nghĩa vụ, bạn có ủng hộ và tuân thủ chính sách mới hiện nay? - HUMAN-OUT1]]</f>
        <v>7</v>
      </c>
      <c r="BH376">
        <f t="shared" si="160"/>
        <v>0.66666666666666663</v>
      </c>
      <c r="BI376" s="32">
        <f t="shared" si="161"/>
        <v>1</v>
      </c>
    </row>
    <row r="377" spans="1:61" x14ac:dyDescent="0.45">
      <c r="A377" s="30">
        <f>step3_validation[[#This Row],[Persona_ID]]</f>
        <v>376</v>
      </c>
      <c r="B377" s="31">
        <f>step3_validation[[#This Row],[Used_Seed]]</f>
        <v>376</v>
      </c>
      <c r="C377" t="str">
        <f>step3_validation[[#This Row],[Gender]]</f>
        <v>Nữ</v>
      </c>
      <c r="D377" t="str">
        <f>survey_responses[[#This Row],[Giới tính của bạn:]]</f>
        <v>Nữ</v>
      </c>
      <c r="E377" t="str">
        <f>step3_validation[[#This Row],[Age_Group]]</f>
        <v>25 - 29</v>
      </c>
      <c r="F377" t="str">
        <f>survey_responses[[#This Row],[Độ tuổi của bạn:]]</f>
        <v>25 - 29</v>
      </c>
      <c r="G377" t="str">
        <f>step3_validation[[#This Row],[Region]]</f>
        <v>Thành thị</v>
      </c>
      <c r="H377" t="str">
        <f>survey_responses[[#This Row],[Khu vực bạn đang sinh sống:]]</f>
        <v>Thành thị</v>
      </c>
      <c r="I377" t="str">
        <f>step3_validation[[#This Row],[Education]]</f>
        <v>Đại học</v>
      </c>
      <c r="J377" t="str">
        <f>survey_responses[[#This Row],[Trình độ học vấn cao nhất:]]</f>
        <v>Đại học</v>
      </c>
      <c r="K377" t="str">
        <f>step3_validation[[#This Row],[Employment]]</f>
        <v>Chính thức</v>
      </c>
      <c r="L377" t="str">
        <f>survey_responses[[#This Row],[Tình trạng việc làm chính:]]</f>
        <v>Khu vực chính thức (Có Hợp đồng lao động, đóng BHXH)</v>
      </c>
      <c r="M377">
        <f>step3_validation[[#This Row],[Income_Mil]]</f>
        <v>19.894674786707629</v>
      </c>
      <c r="N377" t="str">
        <f>survey_responses[[#This Row],[Thu nhập bình quân tháng theo Hợp đồng lao động của bạn là bao nhiêu? (Vui lòng điền tổng thu nhập trước khi khấu trừ các loại Bảo hiểm (BHXH, BHYT, BHTN) và Thuế TNCN)]]</f>
        <v>Từ 18 - 23 triệu VNĐ</v>
      </c>
      <c r="O377">
        <f>step3_validation[[#This Row],[Dependents]]</f>
        <v>0</v>
      </c>
      <c r="P377" t="str">
        <f>survey_responses[[#This Row],[Số người phụ thuộc (con nhỏ, cha mẹ già...) đủ điều kiện giảm trừ gia cảnh:]]</f>
        <v>0 người</v>
      </c>
      <c r="Q377">
        <f>step3_validation[[#This Row],[AI_ENF1]]</f>
        <v>9</v>
      </c>
      <c r="R377">
        <f t="shared" si="135"/>
        <v>0.88888888888888884</v>
      </c>
      <c r="S377">
        <f>survey_responses[[#This Row],[Tôi tin rằng với các quy định quản lý thuế hiện nay, hành vi gian lận hoặc trốn thuế sẽ dễ dàng bị phát hiện và xử lý nghiêm. - HUMAN-ENF1]]</f>
        <v>6</v>
      </c>
      <c r="T377">
        <f t="shared" si="136"/>
        <v>0.55555555555555558</v>
      </c>
      <c r="U377">
        <f>step3_validation[[#This Row],[AI_ENF2]]</f>
        <v>8</v>
      </c>
      <c r="V377">
        <f t="shared" si="137"/>
        <v>0.77777777777777779</v>
      </c>
      <c r="W377">
        <f>survey_responses[[#This Row],[Tôi tin rằng Nhà nước, cơ quan thuế có đủ khả năng và công nghệ để phát hiện, xử lý nghiêm các hành vi trốn thuế. - HUMAN-ENF2]]</f>
        <v>6</v>
      </c>
      <c r="X377">
        <f t="shared" si="138"/>
        <v>0.55555555555555558</v>
      </c>
      <c r="Y377" s="32">
        <f t="shared" si="139"/>
        <v>0.83333333333333326</v>
      </c>
      <c r="Z377" s="32">
        <f t="shared" si="140"/>
        <v>0.55555555555555558</v>
      </c>
      <c r="AA377">
        <f>step3_validation[[#This Row],[AI_FAC1]]</f>
        <v>9</v>
      </c>
      <c r="AB377">
        <f t="shared" si="141"/>
        <v>0.88888888888888884</v>
      </c>
      <c r="AC377">
        <f>survey_responses[[#This Row],[Các thủ tục khai báo thuế VÀ/HOẶC quy trình làm việc với cơ quan thuế đơn giản, tiện lợi, nhanh chóng hơn so với trước đây. - HUMAN-FAC1]]</f>
        <v>5</v>
      </c>
      <c r="AD377">
        <f t="shared" si="142"/>
        <v>0.44444444444444442</v>
      </c>
      <c r="AE377">
        <f>step3_validation[[#This Row],[AI_FAC2]]</f>
        <v>8</v>
      </c>
      <c r="AF377">
        <f t="shared" si="143"/>
        <v>0.77777777777777779</v>
      </c>
      <c r="AG377">
        <f>survey_responses[[#This Row],[So với trước đây, tôi thấy cách tính thuế và các bậc thuế trong phương án mới đơn giản, dễ hiểu và dễ thực hiện hơn. - HUMAN-FAC2]]</f>
        <v>7</v>
      </c>
      <c r="AH377">
        <f t="shared" si="144"/>
        <v>0.66666666666666663</v>
      </c>
      <c r="AI377" s="32">
        <f t="shared" si="145"/>
        <v>0.83333333333333326</v>
      </c>
      <c r="AJ377" s="32">
        <f t="shared" si="146"/>
        <v>0.55555555555555558</v>
      </c>
      <c r="AK377">
        <f>step3_validation[[#This Row],[AI_TRU1]]</f>
        <v>9</v>
      </c>
      <c r="AL377">
        <f t="shared" si="147"/>
        <v>0.88888888888888884</v>
      </c>
      <c r="AM377">
        <f>survey_responses[[#This Row],[Tôi tin rằng Nhà nước, cơ quan thuế sẽ thực thi chính sách mới một cách khách quan, công tâm và đối xử bình đẳng với mọi người nộp thuế.  - HUMAN-TRU1]]</f>
        <v>6</v>
      </c>
      <c r="AN377">
        <f t="shared" si="148"/>
        <v>0.55555555555555558</v>
      </c>
      <c r="AO377">
        <f>step3_validation[[#This Row],[AI_TRU2]]</f>
        <v>8</v>
      </c>
      <c r="AP377">
        <f t="shared" si="149"/>
        <v>0.77777777777777779</v>
      </c>
      <c r="AQ377">
        <f>survey_responses[[#This Row],[Tôi thấy mức thuế tôi phải đóng theo phương án mới là công bằng (người thu nhập như tôi đóng mức này là hợp lý). - HUMAN-TRU2]]</f>
        <v>7</v>
      </c>
      <c r="AR377">
        <f t="shared" si="150"/>
        <v>0.66666666666666663</v>
      </c>
      <c r="AS377">
        <f>step3_validation[[#This Row],[AI_TRU3]]</f>
        <v>9</v>
      </c>
      <c r="AT377">
        <f t="shared" si="151"/>
        <v>0.88888888888888884</v>
      </c>
      <c r="AU377">
        <f>survey_responses[[#This Row],[Tôi tin tưởng số tiền thuế tôi đóng sẽ được Nhà nước sử dụng hiệu quả để cải thiện dịch vụ công (y tế, đường xá...). - HUMAN-TRU3]]</f>
        <v>5</v>
      </c>
      <c r="AV377">
        <f t="shared" si="152"/>
        <v>0.44444444444444442</v>
      </c>
      <c r="AW377">
        <f>step3_validation[[#This Row],[AI_TRU4]]</f>
        <v>8</v>
      </c>
      <c r="AX377">
        <f t="shared" si="153"/>
        <v>0.77777777777777779</v>
      </c>
      <c r="AY377">
        <f>survey_responses[[#This Row],[Tôi thấy Nhà nước đã giải thích rõ ràng, minh bạch về lý do và mục tiêu của việc sửa đổi thuế lần này. - HUMAN-TRU4]]</f>
        <v>6</v>
      </c>
      <c r="AZ377">
        <f t="shared" si="154"/>
        <v>0.55555555555555558</v>
      </c>
      <c r="BA377" s="32">
        <f t="shared" si="155"/>
        <v>0.83333333333333326</v>
      </c>
      <c r="BB377" s="32">
        <f t="shared" si="156"/>
        <v>0.55555555555555558</v>
      </c>
      <c r="BC377" s="7">
        <f t="shared" si="157"/>
        <v>0.83333333333333337</v>
      </c>
      <c r="BD377" s="7">
        <f t="shared" si="158"/>
        <v>0.55555555555555558</v>
      </c>
      <c r="BE377">
        <f>step3_validation[[#This Row],[AI_OUT1]]</f>
        <v>9</v>
      </c>
      <c r="BF377">
        <f t="shared" si="159"/>
        <v>0.88888888888888884</v>
      </c>
      <c r="BG377">
        <f>survey_responses[[#This Row],[Sau khi xem xét các quyền lợi và nghĩa vụ, bạn có ủng hộ và tuân thủ chính sách mới hiện nay? - HUMAN-OUT1]]</f>
        <v>7</v>
      </c>
      <c r="BH377">
        <f t="shared" si="160"/>
        <v>0.66666666666666663</v>
      </c>
      <c r="BI377" s="32">
        <f t="shared" si="161"/>
        <v>2</v>
      </c>
    </row>
    <row r="378" spans="1:61" x14ac:dyDescent="0.45">
      <c r="A378" s="30">
        <f>step3_validation[[#This Row],[Persona_ID]]</f>
        <v>377</v>
      </c>
      <c r="B378" s="31">
        <f>step3_validation[[#This Row],[Used_Seed]]</f>
        <v>377</v>
      </c>
      <c r="C378" t="str">
        <f>step3_validation[[#This Row],[Gender]]</f>
        <v>Nam</v>
      </c>
      <c r="D378" t="str">
        <f>survey_responses[[#This Row],[Giới tính của bạn:]]</f>
        <v>Nam</v>
      </c>
      <c r="E378" t="str">
        <f>step3_validation[[#This Row],[Age_Group]]</f>
        <v>25 - 29</v>
      </c>
      <c r="F378" t="str">
        <f>survey_responses[[#This Row],[Độ tuổi của bạn:]]</f>
        <v>25 - 29</v>
      </c>
      <c r="G378" t="str">
        <f>step3_validation[[#This Row],[Region]]</f>
        <v>Thành thị</v>
      </c>
      <c r="H378" t="str">
        <f>survey_responses[[#This Row],[Khu vực bạn đang sinh sống:]]</f>
        <v>Thành thị</v>
      </c>
      <c r="I378" t="str">
        <f>step3_validation[[#This Row],[Education]]</f>
        <v>Đại học</v>
      </c>
      <c r="J378" t="str">
        <f>survey_responses[[#This Row],[Trình độ học vấn cao nhất:]]</f>
        <v>Đại học</v>
      </c>
      <c r="K378" t="str">
        <f>step3_validation[[#This Row],[Employment]]</f>
        <v>Chính thức</v>
      </c>
      <c r="L378" t="str">
        <f>survey_responses[[#This Row],[Tình trạng việc làm chính:]]</f>
        <v>Khu vực chính thức (Có Hợp đồng lao động, đóng BHXH)</v>
      </c>
      <c r="M378">
        <f>step3_validation[[#This Row],[Income_Mil]]</f>
        <v>13.577587217096811</v>
      </c>
      <c r="N378" t="str">
        <f>survey_responses[[#This Row],[Thu nhập bình quân tháng theo Hợp đồng lao động của bạn là bao nhiêu? (Vui lòng điền tổng thu nhập trước khi khấu trừ các loại Bảo hiểm (BHXH, BHYT, BHTN) và Thuế TNCN)]]</f>
        <v>Từ 12 - 18 triệu VNĐ</v>
      </c>
      <c r="O378">
        <f>step3_validation[[#This Row],[Dependents]]</f>
        <v>0</v>
      </c>
      <c r="P378" t="str">
        <f>survey_responses[[#This Row],[Số người phụ thuộc (con nhỏ, cha mẹ già...) đủ điều kiện giảm trừ gia cảnh:]]</f>
        <v>0 người</v>
      </c>
      <c r="Q378">
        <f>step3_validation[[#This Row],[AI_ENF1]]</f>
        <v>6</v>
      </c>
      <c r="R378">
        <f t="shared" si="135"/>
        <v>0.55555555555555558</v>
      </c>
      <c r="S378">
        <f>survey_responses[[#This Row],[Tôi tin rằng với các quy định quản lý thuế hiện nay, hành vi gian lận hoặc trốn thuế sẽ dễ dàng bị phát hiện và xử lý nghiêm. - HUMAN-ENF1]]</f>
        <v>7</v>
      </c>
      <c r="T378">
        <f t="shared" si="136"/>
        <v>0.66666666666666663</v>
      </c>
      <c r="U378">
        <f>step3_validation[[#This Row],[AI_ENF2]]</f>
        <v>7</v>
      </c>
      <c r="V378">
        <f t="shared" si="137"/>
        <v>0.66666666666666663</v>
      </c>
      <c r="W378">
        <f>survey_responses[[#This Row],[Tôi tin rằng Nhà nước, cơ quan thuế có đủ khả năng và công nghệ để phát hiện, xử lý nghiêm các hành vi trốn thuế. - HUMAN-ENF2]]</f>
        <v>8</v>
      </c>
      <c r="X378">
        <f t="shared" si="138"/>
        <v>0.77777777777777779</v>
      </c>
      <c r="Y378" s="32">
        <f t="shared" si="139"/>
        <v>0.61111111111111116</v>
      </c>
      <c r="Z378" s="32">
        <f t="shared" si="140"/>
        <v>0.72222222222222221</v>
      </c>
      <c r="AA378">
        <f>step3_validation[[#This Row],[AI_FAC1]]</f>
        <v>8</v>
      </c>
      <c r="AB378">
        <f t="shared" si="141"/>
        <v>0.77777777777777779</v>
      </c>
      <c r="AC378">
        <f>survey_responses[[#This Row],[Các thủ tục khai báo thuế VÀ/HOẶC quy trình làm việc với cơ quan thuế đơn giản, tiện lợi, nhanh chóng hơn so với trước đây. - HUMAN-FAC1]]</f>
        <v>7</v>
      </c>
      <c r="AD378">
        <f t="shared" si="142"/>
        <v>0.66666666666666663</v>
      </c>
      <c r="AE378">
        <f>step3_validation[[#This Row],[AI_FAC2]]</f>
        <v>9</v>
      </c>
      <c r="AF378">
        <f t="shared" si="143"/>
        <v>0.88888888888888884</v>
      </c>
      <c r="AG378">
        <f>survey_responses[[#This Row],[So với trước đây, tôi thấy cách tính thuế và các bậc thuế trong phương án mới đơn giản, dễ hiểu và dễ thực hiện hơn. - HUMAN-FAC2]]</f>
        <v>7</v>
      </c>
      <c r="AH378">
        <f t="shared" si="144"/>
        <v>0.66666666666666663</v>
      </c>
      <c r="AI378" s="32">
        <f t="shared" si="145"/>
        <v>0.83333333333333326</v>
      </c>
      <c r="AJ378" s="32">
        <f t="shared" si="146"/>
        <v>0.66666666666666663</v>
      </c>
      <c r="AK378">
        <f>step3_validation[[#This Row],[AI_TRU1]]</f>
        <v>8</v>
      </c>
      <c r="AL378">
        <f t="shared" si="147"/>
        <v>0.77777777777777779</v>
      </c>
      <c r="AM378">
        <f>survey_responses[[#This Row],[Tôi tin rằng Nhà nước, cơ quan thuế sẽ thực thi chính sách mới một cách khách quan, công tâm và đối xử bình đẳng với mọi người nộp thuế.  - HUMAN-TRU1]]</f>
        <v>8</v>
      </c>
      <c r="AN378">
        <f t="shared" si="148"/>
        <v>0.77777777777777779</v>
      </c>
      <c r="AO378">
        <f>step3_validation[[#This Row],[AI_TRU2]]</f>
        <v>9</v>
      </c>
      <c r="AP378">
        <f t="shared" si="149"/>
        <v>0.88888888888888884</v>
      </c>
      <c r="AQ378">
        <f>survey_responses[[#This Row],[Tôi thấy mức thuế tôi phải đóng theo phương án mới là công bằng (người thu nhập như tôi đóng mức này là hợp lý). - HUMAN-TRU2]]</f>
        <v>9</v>
      </c>
      <c r="AR378">
        <f t="shared" si="150"/>
        <v>0.88888888888888884</v>
      </c>
      <c r="AS378">
        <f>step3_validation[[#This Row],[AI_TRU3]]</f>
        <v>8</v>
      </c>
      <c r="AT378">
        <f t="shared" si="151"/>
        <v>0.77777777777777779</v>
      </c>
      <c r="AU378">
        <f>survey_responses[[#This Row],[Tôi tin tưởng số tiền thuế tôi đóng sẽ được Nhà nước sử dụng hiệu quả để cải thiện dịch vụ công (y tế, đường xá...). - HUMAN-TRU3]]</f>
        <v>7</v>
      </c>
      <c r="AV378">
        <f t="shared" si="152"/>
        <v>0.66666666666666663</v>
      </c>
      <c r="AW378">
        <f>step3_validation[[#This Row],[AI_TRU4]]</f>
        <v>7</v>
      </c>
      <c r="AX378">
        <f t="shared" si="153"/>
        <v>0.66666666666666663</v>
      </c>
      <c r="AY378">
        <f>survey_responses[[#This Row],[Tôi thấy Nhà nước đã giải thích rõ ràng, minh bạch về lý do và mục tiêu của việc sửa đổi thuế lần này. - HUMAN-TRU4]]</f>
        <v>7</v>
      </c>
      <c r="AZ378">
        <f t="shared" si="154"/>
        <v>0.66666666666666663</v>
      </c>
      <c r="BA378" s="32">
        <f t="shared" si="155"/>
        <v>0.77777777777777768</v>
      </c>
      <c r="BB378" s="32">
        <f t="shared" si="156"/>
        <v>0.74999999999999989</v>
      </c>
      <c r="BC378" s="7">
        <f t="shared" si="157"/>
        <v>0.74074074074074081</v>
      </c>
      <c r="BD378" s="7">
        <f t="shared" si="158"/>
        <v>0.71296296296296291</v>
      </c>
      <c r="BE378">
        <f>step3_validation[[#This Row],[AI_OUT1]]</f>
        <v>8</v>
      </c>
      <c r="BF378">
        <f t="shared" si="159"/>
        <v>0.77777777777777779</v>
      </c>
      <c r="BG378">
        <f>survey_responses[[#This Row],[Sau khi xem xét các quyền lợi và nghĩa vụ, bạn có ủng hộ và tuân thủ chính sách mới hiện nay? - HUMAN-OUT1]]</f>
        <v>8</v>
      </c>
      <c r="BH378">
        <f t="shared" si="160"/>
        <v>0.77777777777777779</v>
      </c>
      <c r="BI378" s="32">
        <f t="shared" si="161"/>
        <v>0</v>
      </c>
    </row>
    <row r="379" spans="1:61" x14ac:dyDescent="0.45">
      <c r="A379" s="30">
        <f>step3_validation[[#This Row],[Persona_ID]]</f>
        <v>378</v>
      </c>
      <c r="B379" s="31">
        <f>step3_validation[[#This Row],[Used_Seed]]</f>
        <v>378</v>
      </c>
      <c r="C379" t="str">
        <f>step3_validation[[#This Row],[Gender]]</f>
        <v>Nữ</v>
      </c>
      <c r="D379" t="str">
        <f>survey_responses[[#This Row],[Giới tính của bạn:]]</f>
        <v>Nữ</v>
      </c>
      <c r="E379" t="str">
        <f>step3_validation[[#This Row],[Age_Group]]</f>
        <v>18 - 24</v>
      </c>
      <c r="F379" t="str">
        <f>survey_responses[[#This Row],[Độ tuổi của bạn:]]</f>
        <v>18 - 24</v>
      </c>
      <c r="G379" t="str">
        <f>step3_validation[[#This Row],[Region]]</f>
        <v>Thành thị</v>
      </c>
      <c r="H379" t="str">
        <f>survey_responses[[#This Row],[Khu vực bạn đang sinh sống:]]</f>
        <v>Thành thị</v>
      </c>
      <c r="I379" t="str">
        <f>step3_validation[[#This Row],[Education]]</f>
        <v>Đại học</v>
      </c>
      <c r="J379" t="str">
        <f>survey_responses[[#This Row],[Trình độ học vấn cao nhất:]]</f>
        <v>Đại học</v>
      </c>
      <c r="K379" t="str">
        <f>step3_validation[[#This Row],[Employment]]</f>
        <v>Chính thức</v>
      </c>
      <c r="L379" t="str">
        <f>survey_responses[[#This Row],[Tình trạng việc làm chính:]]</f>
        <v>Khu vực chính thức (Có Hợp đồng lao động, đóng BHXH)</v>
      </c>
      <c r="M379">
        <f>step3_validation[[#This Row],[Income_Mil]]</f>
        <v>20.257503988832447</v>
      </c>
      <c r="N379" t="str">
        <f>survey_responses[[#This Row],[Thu nhập bình quân tháng theo Hợp đồng lao động của bạn là bao nhiêu? (Vui lòng điền tổng thu nhập trước khi khấu trừ các loại Bảo hiểm (BHXH, BHYT, BHTN) và Thuế TNCN)]]</f>
        <v>Từ 18 - 23 triệu VNĐ</v>
      </c>
      <c r="O379">
        <f>step3_validation[[#This Row],[Dependents]]</f>
        <v>0</v>
      </c>
      <c r="P379" t="str">
        <f>survey_responses[[#This Row],[Số người phụ thuộc (con nhỏ, cha mẹ già...) đủ điều kiện giảm trừ gia cảnh:]]</f>
        <v>0 người</v>
      </c>
      <c r="Q379">
        <f>step3_validation[[#This Row],[AI_ENF1]]</f>
        <v>7</v>
      </c>
      <c r="R379">
        <f t="shared" si="135"/>
        <v>0.66666666666666663</v>
      </c>
      <c r="S379">
        <f>survey_responses[[#This Row],[Tôi tin rằng với các quy định quản lý thuế hiện nay, hành vi gian lận hoặc trốn thuế sẽ dễ dàng bị phát hiện và xử lý nghiêm. - HUMAN-ENF1]]</f>
        <v>6</v>
      </c>
      <c r="T379">
        <f t="shared" si="136"/>
        <v>0.55555555555555558</v>
      </c>
      <c r="U379">
        <f>step3_validation[[#This Row],[AI_ENF2]]</f>
        <v>6</v>
      </c>
      <c r="V379">
        <f t="shared" si="137"/>
        <v>0.55555555555555558</v>
      </c>
      <c r="W379">
        <f>survey_responses[[#This Row],[Tôi tin rằng Nhà nước, cơ quan thuế có đủ khả năng và công nghệ để phát hiện, xử lý nghiêm các hành vi trốn thuế. - HUMAN-ENF2]]</f>
        <v>7</v>
      </c>
      <c r="X379">
        <f t="shared" si="138"/>
        <v>0.66666666666666663</v>
      </c>
      <c r="Y379" s="32">
        <f t="shared" si="139"/>
        <v>0.61111111111111116</v>
      </c>
      <c r="Z379" s="32">
        <f t="shared" si="140"/>
        <v>0.61111111111111116</v>
      </c>
      <c r="AA379">
        <f>step3_validation[[#This Row],[AI_FAC1]]</f>
        <v>8</v>
      </c>
      <c r="AB379">
        <f t="shared" si="141"/>
        <v>0.77777777777777779</v>
      </c>
      <c r="AC379">
        <f>survey_responses[[#This Row],[Các thủ tục khai báo thuế VÀ/HOẶC quy trình làm việc với cơ quan thuế đơn giản, tiện lợi, nhanh chóng hơn so với trước đây. - HUMAN-FAC1]]</f>
        <v>5</v>
      </c>
      <c r="AD379">
        <f t="shared" si="142"/>
        <v>0.44444444444444442</v>
      </c>
      <c r="AE379">
        <f>step3_validation[[#This Row],[AI_FAC2]]</f>
        <v>9</v>
      </c>
      <c r="AF379">
        <f t="shared" si="143"/>
        <v>0.88888888888888884</v>
      </c>
      <c r="AG379">
        <f>survey_responses[[#This Row],[So với trước đây, tôi thấy cách tính thuế và các bậc thuế trong phương án mới đơn giản, dễ hiểu và dễ thực hiện hơn. - HUMAN-FAC2]]</f>
        <v>8</v>
      </c>
      <c r="AH379">
        <f t="shared" si="144"/>
        <v>0.77777777777777779</v>
      </c>
      <c r="AI379" s="32">
        <f t="shared" si="145"/>
        <v>0.83333333333333326</v>
      </c>
      <c r="AJ379" s="32">
        <f t="shared" si="146"/>
        <v>0.61111111111111116</v>
      </c>
      <c r="AK379">
        <f>step3_validation[[#This Row],[AI_TRU1]]</f>
        <v>8</v>
      </c>
      <c r="AL379">
        <f t="shared" si="147"/>
        <v>0.77777777777777779</v>
      </c>
      <c r="AM379">
        <f>survey_responses[[#This Row],[Tôi tin rằng Nhà nước, cơ quan thuế sẽ thực thi chính sách mới một cách khách quan, công tâm và đối xử bình đẳng với mọi người nộp thuế.  - HUMAN-TRU1]]</f>
        <v>7</v>
      </c>
      <c r="AN379">
        <f t="shared" si="148"/>
        <v>0.66666666666666663</v>
      </c>
      <c r="AO379">
        <f>step3_validation[[#This Row],[AI_TRU2]]</f>
        <v>9</v>
      </c>
      <c r="AP379">
        <f t="shared" si="149"/>
        <v>0.88888888888888884</v>
      </c>
      <c r="AQ379">
        <f>survey_responses[[#This Row],[Tôi thấy mức thuế tôi phải đóng theo phương án mới là công bằng (người thu nhập như tôi đóng mức này là hợp lý). - HUMAN-TRU2]]</f>
        <v>7</v>
      </c>
      <c r="AR379">
        <f t="shared" si="150"/>
        <v>0.66666666666666663</v>
      </c>
      <c r="AS379">
        <f>step3_validation[[#This Row],[AI_TRU3]]</f>
        <v>8</v>
      </c>
      <c r="AT379">
        <f t="shared" si="151"/>
        <v>0.77777777777777779</v>
      </c>
      <c r="AU379">
        <f>survey_responses[[#This Row],[Tôi tin tưởng số tiền thuế tôi đóng sẽ được Nhà nước sử dụng hiệu quả để cải thiện dịch vụ công (y tế, đường xá...). - HUMAN-TRU3]]</f>
        <v>7</v>
      </c>
      <c r="AV379">
        <f t="shared" si="152"/>
        <v>0.66666666666666663</v>
      </c>
      <c r="AW379">
        <f>step3_validation[[#This Row],[AI_TRU4]]</f>
        <v>9</v>
      </c>
      <c r="AX379">
        <f t="shared" si="153"/>
        <v>0.88888888888888884</v>
      </c>
      <c r="AY379">
        <f>survey_responses[[#This Row],[Tôi thấy Nhà nước đã giải thích rõ ràng, minh bạch về lý do và mục tiêu của việc sửa đổi thuế lần này. - HUMAN-TRU4]]</f>
        <v>7</v>
      </c>
      <c r="AZ379">
        <f t="shared" si="154"/>
        <v>0.66666666666666663</v>
      </c>
      <c r="BA379" s="32">
        <f t="shared" si="155"/>
        <v>0.83333333333333326</v>
      </c>
      <c r="BB379" s="32">
        <f t="shared" si="156"/>
        <v>0.66666666666666663</v>
      </c>
      <c r="BC379" s="7">
        <f t="shared" si="157"/>
        <v>0.75925925925925919</v>
      </c>
      <c r="BD379" s="7">
        <f t="shared" si="158"/>
        <v>0.62962962962962965</v>
      </c>
      <c r="BE379">
        <f>step3_validation[[#This Row],[AI_OUT1]]</f>
        <v>9</v>
      </c>
      <c r="BF379">
        <f t="shared" si="159"/>
        <v>0.88888888888888884</v>
      </c>
      <c r="BG379">
        <f>survey_responses[[#This Row],[Sau khi xem xét các quyền lợi và nghĩa vụ, bạn có ủng hộ và tuân thủ chính sách mới hiện nay? - HUMAN-OUT1]]</f>
        <v>8</v>
      </c>
      <c r="BH379">
        <f t="shared" si="160"/>
        <v>0.77777777777777779</v>
      </c>
      <c r="BI379" s="32">
        <f t="shared" si="161"/>
        <v>1</v>
      </c>
    </row>
    <row r="380" spans="1:61" x14ac:dyDescent="0.45">
      <c r="A380" s="30">
        <f>step3_validation[[#This Row],[Persona_ID]]</f>
        <v>379</v>
      </c>
      <c r="B380" s="31">
        <f>step3_validation[[#This Row],[Used_Seed]]</f>
        <v>379</v>
      </c>
      <c r="C380" t="str">
        <f>step3_validation[[#This Row],[Gender]]</f>
        <v>Nữ</v>
      </c>
      <c r="D380" t="str">
        <f>survey_responses[[#This Row],[Giới tính của bạn:]]</f>
        <v>Nữ</v>
      </c>
      <c r="E380" t="str">
        <f>step3_validation[[#This Row],[Age_Group]]</f>
        <v>18 - 24</v>
      </c>
      <c r="F380" t="str">
        <f>survey_responses[[#This Row],[Độ tuổi của bạn:]]</f>
        <v>18 - 24</v>
      </c>
      <c r="G380" t="str">
        <f>step3_validation[[#This Row],[Region]]</f>
        <v>Thành thị</v>
      </c>
      <c r="H380" t="str">
        <f>survey_responses[[#This Row],[Khu vực bạn đang sinh sống:]]</f>
        <v>Thành thị</v>
      </c>
      <c r="I380" t="str">
        <f>step3_validation[[#This Row],[Education]]</f>
        <v>Đại học</v>
      </c>
      <c r="J380" t="str">
        <f>survey_responses[[#This Row],[Trình độ học vấn cao nhất:]]</f>
        <v>Đại học</v>
      </c>
      <c r="K380" t="str">
        <f>step3_validation[[#This Row],[Employment]]</f>
        <v>Chính thức</v>
      </c>
      <c r="L380" t="str">
        <f>survey_responses[[#This Row],[Tình trạng việc làm chính:]]</f>
        <v>Khu vực chính thức (Có Hợp đồng lao động, đóng BHXH)</v>
      </c>
      <c r="M380">
        <f>step3_validation[[#This Row],[Income_Mil]]</f>
        <v>15.090531433336762</v>
      </c>
      <c r="N380" t="str">
        <f>survey_responses[[#This Row],[Thu nhập bình quân tháng theo Hợp đồng lao động của bạn là bao nhiêu? (Vui lòng điền tổng thu nhập trước khi khấu trừ các loại Bảo hiểm (BHXH, BHYT, BHTN) và Thuế TNCN)]]</f>
        <v>Từ 12 - 18 triệu VNĐ</v>
      </c>
      <c r="O380">
        <f>step3_validation[[#This Row],[Dependents]]</f>
        <v>0</v>
      </c>
      <c r="P380" t="str">
        <f>survey_responses[[#This Row],[Số người phụ thuộc (con nhỏ, cha mẹ già...) đủ điều kiện giảm trừ gia cảnh:]]</f>
        <v>0 người</v>
      </c>
      <c r="Q380">
        <f>step3_validation[[#This Row],[AI_ENF1]]</f>
        <v>5</v>
      </c>
      <c r="R380">
        <f t="shared" si="135"/>
        <v>0.44444444444444442</v>
      </c>
      <c r="S380">
        <f>survey_responses[[#This Row],[Tôi tin rằng với các quy định quản lý thuế hiện nay, hành vi gian lận hoặc trốn thuế sẽ dễ dàng bị phát hiện và xử lý nghiêm. - HUMAN-ENF1]]</f>
        <v>8</v>
      </c>
      <c r="T380">
        <f t="shared" si="136"/>
        <v>0.77777777777777779</v>
      </c>
      <c r="U380">
        <f>step3_validation[[#This Row],[AI_ENF2]]</f>
        <v>6</v>
      </c>
      <c r="V380">
        <f t="shared" si="137"/>
        <v>0.55555555555555558</v>
      </c>
      <c r="W380">
        <f>survey_responses[[#This Row],[Tôi tin rằng Nhà nước, cơ quan thuế có đủ khả năng và công nghệ để phát hiện, xử lý nghiêm các hành vi trốn thuế. - HUMAN-ENF2]]</f>
        <v>8</v>
      </c>
      <c r="X380">
        <f t="shared" si="138"/>
        <v>0.77777777777777779</v>
      </c>
      <c r="Y380" s="32">
        <f t="shared" si="139"/>
        <v>0.5</v>
      </c>
      <c r="Z380" s="32">
        <f t="shared" si="140"/>
        <v>0.77777777777777779</v>
      </c>
      <c r="AA380">
        <f>step3_validation[[#This Row],[AI_FAC1]]</f>
        <v>8</v>
      </c>
      <c r="AB380">
        <f t="shared" si="141"/>
        <v>0.77777777777777779</v>
      </c>
      <c r="AC380">
        <f>survey_responses[[#This Row],[Các thủ tục khai báo thuế VÀ/HOẶC quy trình làm việc với cơ quan thuế đơn giản, tiện lợi, nhanh chóng hơn so với trước đây. - HUMAN-FAC1]]</f>
        <v>9</v>
      </c>
      <c r="AD380">
        <f t="shared" si="142"/>
        <v>0.88888888888888884</v>
      </c>
      <c r="AE380">
        <f>step3_validation[[#This Row],[AI_FAC2]]</f>
        <v>6</v>
      </c>
      <c r="AF380">
        <f t="shared" si="143"/>
        <v>0.55555555555555558</v>
      </c>
      <c r="AG380">
        <f>survey_responses[[#This Row],[So với trước đây, tôi thấy cách tính thuế và các bậc thuế trong phương án mới đơn giản, dễ hiểu và dễ thực hiện hơn. - HUMAN-FAC2]]</f>
        <v>9</v>
      </c>
      <c r="AH380">
        <f t="shared" si="144"/>
        <v>0.88888888888888884</v>
      </c>
      <c r="AI380" s="32">
        <f t="shared" si="145"/>
        <v>0.66666666666666674</v>
      </c>
      <c r="AJ380" s="32">
        <f t="shared" si="146"/>
        <v>0.88888888888888884</v>
      </c>
      <c r="AK380">
        <f>step3_validation[[#This Row],[AI_TRU1]]</f>
        <v>7</v>
      </c>
      <c r="AL380">
        <f t="shared" si="147"/>
        <v>0.66666666666666663</v>
      </c>
      <c r="AM380">
        <f>survey_responses[[#This Row],[Tôi tin rằng Nhà nước, cơ quan thuế sẽ thực thi chính sách mới một cách khách quan, công tâm và đối xử bình đẳng với mọi người nộp thuế.  - HUMAN-TRU1]]</f>
        <v>7</v>
      </c>
      <c r="AN380">
        <f t="shared" si="148"/>
        <v>0.66666666666666663</v>
      </c>
      <c r="AO380">
        <f>step3_validation[[#This Row],[AI_TRU2]]</f>
        <v>9</v>
      </c>
      <c r="AP380">
        <f t="shared" si="149"/>
        <v>0.88888888888888884</v>
      </c>
      <c r="AQ380">
        <f>survey_responses[[#This Row],[Tôi thấy mức thuế tôi phải đóng theo phương án mới là công bằng (người thu nhập như tôi đóng mức này là hợp lý). - HUMAN-TRU2]]</f>
        <v>9</v>
      </c>
      <c r="AR380">
        <f t="shared" si="150"/>
        <v>0.88888888888888884</v>
      </c>
      <c r="AS380">
        <f>step3_validation[[#This Row],[AI_TRU3]]</f>
        <v>8</v>
      </c>
      <c r="AT380">
        <f t="shared" si="151"/>
        <v>0.77777777777777779</v>
      </c>
      <c r="AU380">
        <f>survey_responses[[#This Row],[Tôi tin tưởng số tiền thuế tôi đóng sẽ được Nhà nước sử dụng hiệu quả để cải thiện dịch vụ công (y tế, đường xá...). - HUMAN-TRU3]]</f>
        <v>7</v>
      </c>
      <c r="AV380">
        <f t="shared" si="152"/>
        <v>0.66666666666666663</v>
      </c>
      <c r="AW380">
        <f>step3_validation[[#This Row],[AI_TRU4]]</f>
        <v>7</v>
      </c>
      <c r="AX380">
        <f t="shared" si="153"/>
        <v>0.66666666666666663</v>
      </c>
      <c r="AY380">
        <f>survey_responses[[#This Row],[Tôi thấy Nhà nước đã giải thích rõ ràng, minh bạch về lý do và mục tiêu của việc sửa đổi thuế lần này. - HUMAN-TRU4]]</f>
        <v>7</v>
      </c>
      <c r="AZ380">
        <f t="shared" si="154"/>
        <v>0.66666666666666663</v>
      </c>
      <c r="BA380" s="32">
        <f t="shared" si="155"/>
        <v>0.74999999999999989</v>
      </c>
      <c r="BB380" s="32">
        <f t="shared" si="156"/>
        <v>0.7222222222222221</v>
      </c>
      <c r="BC380" s="7">
        <f t="shared" si="157"/>
        <v>0.63888888888888884</v>
      </c>
      <c r="BD380" s="7">
        <f t="shared" si="158"/>
        <v>0.79629629629629617</v>
      </c>
      <c r="BE380">
        <f>step3_validation[[#This Row],[AI_OUT1]]</f>
        <v>9</v>
      </c>
      <c r="BF380">
        <f t="shared" si="159"/>
        <v>0.88888888888888884</v>
      </c>
      <c r="BG380">
        <f>survey_responses[[#This Row],[Sau khi xem xét các quyền lợi và nghĩa vụ, bạn có ủng hộ và tuân thủ chính sách mới hiện nay? - HUMAN-OUT1]]</f>
        <v>9</v>
      </c>
      <c r="BH380">
        <f t="shared" si="160"/>
        <v>0.88888888888888884</v>
      </c>
      <c r="BI380" s="32">
        <f t="shared" si="161"/>
        <v>0</v>
      </c>
    </row>
    <row r="381" spans="1:61" x14ac:dyDescent="0.45">
      <c r="A381" s="30">
        <f>step3_validation[[#This Row],[Persona_ID]]</f>
        <v>380</v>
      </c>
      <c r="B381" s="31">
        <f>step3_validation[[#This Row],[Used_Seed]]</f>
        <v>380</v>
      </c>
      <c r="C381" t="str">
        <f>step3_validation[[#This Row],[Gender]]</f>
        <v>Nam</v>
      </c>
      <c r="D381" t="str">
        <f>survey_responses[[#This Row],[Giới tính của bạn:]]</f>
        <v>Nam</v>
      </c>
      <c r="E381" t="str">
        <f>step3_validation[[#This Row],[Age_Group]]</f>
        <v>18 - 24</v>
      </c>
      <c r="F381" t="str">
        <f>survey_responses[[#This Row],[Độ tuổi của bạn:]]</f>
        <v>18 - 24</v>
      </c>
      <c r="G381" t="str">
        <f>step3_validation[[#This Row],[Region]]</f>
        <v>Thành thị</v>
      </c>
      <c r="H381" t="str">
        <f>survey_responses[[#This Row],[Khu vực bạn đang sinh sống:]]</f>
        <v>Thành thị</v>
      </c>
      <c r="I381" t="str">
        <f>step3_validation[[#This Row],[Education]]</f>
        <v>Đại học</v>
      </c>
      <c r="J381" t="str">
        <f>survey_responses[[#This Row],[Trình độ học vấn cao nhất:]]</f>
        <v>Đại học</v>
      </c>
      <c r="K381" t="str">
        <f>step3_validation[[#This Row],[Employment]]</f>
        <v>Chính thức</v>
      </c>
      <c r="L381" t="str">
        <f>survey_responses[[#This Row],[Tình trạng việc làm chính:]]</f>
        <v>Khu vực chính thức (Có Hợp đồng lao động, đóng BHXH)</v>
      </c>
      <c r="M381">
        <f>step3_validation[[#This Row],[Income_Mil]]</f>
        <v>18.87005309998602</v>
      </c>
      <c r="N381" t="str">
        <f>survey_responses[[#This Row],[Thu nhập bình quân tháng theo Hợp đồng lao động của bạn là bao nhiêu? (Vui lòng điền tổng thu nhập trước khi khấu trừ các loại Bảo hiểm (BHXH, BHYT, BHTN) và Thuế TNCN)]]</f>
        <v>Từ 18 - 23 triệu VNĐ</v>
      </c>
      <c r="O381">
        <f>step3_validation[[#This Row],[Dependents]]</f>
        <v>0</v>
      </c>
      <c r="P381" t="str">
        <f>survey_responses[[#This Row],[Số người phụ thuộc (con nhỏ, cha mẹ già...) đủ điều kiện giảm trừ gia cảnh:]]</f>
        <v>0 người</v>
      </c>
      <c r="Q381">
        <f>step3_validation[[#This Row],[AI_ENF1]]</f>
        <v>7</v>
      </c>
      <c r="R381">
        <f t="shared" si="135"/>
        <v>0.66666666666666663</v>
      </c>
      <c r="S381">
        <f>survey_responses[[#This Row],[Tôi tin rằng với các quy định quản lý thuế hiện nay, hành vi gian lận hoặc trốn thuế sẽ dễ dàng bị phát hiện và xử lý nghiêm. - HUMAN-ENF1]]</f>
        <v>8</v>
      </c>
      <c r="T381">
        <f t="shared" si="136"/>
        <v>0.77777777777777779</v>
      </c>
      <c r="U381">
        <f>step3_validation[[#This Row],[AI_ENF2]]</f>
        <v>7</v>
      </c>
      <c r="V381">
        <f t="shared" si="137"/>
        <v>0.66666666666666663</v>
      </c>
      <c r="W381">
        <f>survey_responses[[#This Row],[Tôi tin rằng Nhà nước, cơ quan thuế có đủ khả năng và công nghệ để phát hiện, xử lý nghiêm các hành vi trốn thuế. - HUMAN-ENF2]]</f>
        <v>8</v>
      </c>
      <c r="X381">
        <f t="shared" si="138"/>
        <v>0.77777777777777779</v>
      </c>
      <c r="Y381" s="32">
        <f t="shared" si="139"/>
        <v>0.66666666666666663</v>
      </c>
      <c r="Z381" s="32">
        <f t="shared" si="140"/>
        <v>0.77777777777777779</v>
      </c>
      <c r="AA381">
        <f>step3_validation[[#This Row],[AI_FAC1]]</f>
        <v>8</v>
      </c>
      <c r="AB381">
        <f t="shared" si="141"/>
        <v>0.77777777777777779</v>
      </c>
      <c r="AC381">
        <f>survey_responses[[#This Row],[Các thủ tục khai báo thuế VÀ/HOẶC quy trình làm việc với cơ quan thuế đơn giản, tiện lợi, nhanh chóng hơn so với trước đây. - HUMAN-FAC1]]</f>
        <v>5</v>
      </c>
      <c r="AD381">
        <f t="shared" si="142"/>
        <v>0.44444444444444442</v>
      </c>
      <c r="AE381">
        <f>step3_validation[[#This Row],[AI_FAC2]]</f>
        <v>8</v>
      </c>
      <c r="AF381">
        <f t="shared" si="143"/>
        <v>0.77777777777777779</v>
      </c>
      <c r="AG381">
        <f>survey_responses[[#This Row],[So với trước đây, tôi thấy cách tính thuế và các bậc thuế trong phương án mới đơn giản, dễ hiểu và dễ thực hiện hơn. - HUMAN-FAC2]]</f>
        <v>8</v>
      </c>
      <c r="AH381">
        <f t="shared" si="144"/>
        <v>0.77777777777777779</v>
      </c>
      <c r="AI381" s="32">
        <f t="shared" si="145"/>
        <v>0.77777777777777779</v>
      </c>
      <c r="AJ381" s="32">
        <f t="shared" si="146"/>
        <v>0.61111111111111116</v>
      </c>
      <c r="AK381">
        <f>step3_validation[[#This Row],[AI_TRU1]]</f>
        <v>8</v>
      </c>
      <c r="AL381">
        <f t="shared" si="147"/>
        <v>0.77777777777777779</v>
      </c>
      <c r="AM381">
        <f>survey_responses[[#This Row],[Tôi tin rằng Nhà nước, cơ quan thuế sẽ thực thi chính sách mới một cách khách quan, công tâm và đối xử bình đẳng với mọi người nộp thuế.  - HUMAN-TRU1]]</f>
        <v>6</v>
      </c>
      <c r="AN381">
        <f t="shared" si="148"/>
        <v>0.55555555555555558</v>
      </c>
      <c r="AO381">
        <f>step3_validation[[#This Row],[AI_TRU2]]</f>
        <v>9</v>
      </c>
      <c r="AP381">
        <f t="shared" si="149"/>
        <v>0.88888888888888884</v>
      </c>
      <c r="AQ381">
        <f>survey_responses[[#This Row],[Tôi thấy mức thuế tôi phải đóng theo phương án mới là công bằng (người thu nhập như tôi đóng mức này là hợp lý). - HUMAN-TRU2]]</f>
        <v>9</v>
      </c>
      <c r="AR381">
        <f t="shared" si="150"/>
        <v>0.88888888888888884</v>
      </c>
      <c r="AS381">
        <f>step3_validation[[#This Row],[AI_TRU3]]</f>
        <v>8</v>
      </c>
      <c r="AT381">
        <f t="shared" si="151"/>
        <v>0.77777777777777779</v>
      </c>
      <c r="AU381">
        <f>survey_responses[[#This Row],[Tôi tin tưởng số tiền thuế tôi đóng sẽ được Nhà nước sử dụng hiệu quả để cải thiện dịch vụ công (y tế, đường xá...). - HUMAN-TRU3]]</f>
        <v>5</v>
      </c>
      <c r="AV381">
        <f t="shared" si="152"/>
        <v>0.44444444444444442</v>
      </c>
      <c r="AW381">
        <f>step3_validation[[#This Row],[AI_TRU4]]</f>
        <v>7</v>
      </c>
      <c r="AX381">
        <f t="shared" si="153"/>
        <v>0.66666666666666663</v>
      </c>
      <c r="AY381">
        <f>survey_responses[[#This Row],[Tôi thấy Nhà nước đã giải thích rõ ràng, minh bạch về lý do và mục tiêu của việc sửa đổi thuế lần này. - HUMAN-TRU4]]</f>
        <v>7</v>
      </c>
      <c r="AZ381">
        <f t="shared" si="154"/>
        <v>0.66666666666666663</v>
      </c>
      <c r="BA381" s="32">
        <f t="shared" si="155"/>
        <v>0.77777777777777768</v>
      </c>
      <c r="BB381" s="32">
        <f t="shared" si="156"/>
        <v>0.63888888888888884</v>
      </c>
      <c r="BC381" s="7">
        <f t="shared" si="157"/>
        <v>0.74074074074074081</v>
      </c>
      <c r="BD381" s="7">
        <f t="shared" si="158"/>
        <v>0.67592592592592593</v>
      </c>
      <c r="BE381">
        <f>step3_validation[[#This Row],[AI_OUT1]]</f>
        <v>9</v>
      </c>
      <c r="BF381">
        <f t="shared" si="159"/>
        <v>0.88888888888888884</v>
      </c>
      <c r="BG381">
        <f>survey_responses[[#This Row],[Sau khi xem xét các quyền lợi và nghĩa vụ, bạn có ủng hộ và tuân thủ chính sách mới hiện nay? - HUMAN-OUT1]]</f>
        <v>8</v>
      </c>
      <c r="BH381">
        <f t="shared" si="160"/>
        <v>0.77777777777777779</v>
      </c>
      <c r="BI381" s="32">
        <f t="shared" si="161"/>
        <v>1</v>
      </c>
    </row>
    <row r="382" spans="1:61" x14ac:dyDescent="0.45">
      <c r="A382" s="30">
        <f>step3_validation[[#This Row],[Persona_ID]]</f>
        <v>381</v>
      </c>
      <c r="B382" s="31">
        <f>step3_validation[[#This Row],[Used_Seed]]</f>
        <v>381</v>
      </c>
      <c r="C382" t="str">
        <f>step3_validation[[#This Row],[Gender]]</f>
        <v>Nam</v>
      </c>
      <c r="D382" t="str">
        <f>survey_responses[[#This Row],[Giới tính của bạn:]]</f>
        <v>Nam</v>
      </c>
      <c r="E382" t="str">
        <f>step3_validation[[#This Row],[Age_Group]]</f>
        <v>18 - 24</v>
      </c>
      <c r="F382" t="str">
        <f>survey_responses[[#This Row],[Độ tuổi của bạn:]]</f>
        <v>18 - 24</v>
      </c>
      <c r="G382" t="str">
        <f>step3_validation[[#This Row],[Region]]</f>
        <v>Thành thị</v>
      </c>
      <c r="H382" t="str">
        <f>survey_responses[[#This Row],[Khu vực bạn đang sinh sống:]]</f>
        <v>Thành thị</v>
      </c>
      <c r="I382" t="str">
        <f>step3_validation[[#This Row],[Education]]</f>
        <v>Cao đẳng</v>
      </c>
      <c r="J382" t="str">
        <f>survey_responses[[#This Row],[Trình độ học vấn cao nhất:]]</f>
        <v>Cao đẳng</v>
      </c>
      <c r="K382" t="str">
        <f>step3_validation[[#This Row],[Employment]]</f>
        <v>Chính thức</v>
      </c>
      <c r="L382" t="str">
        <f>survey_responses[[#This Row],[Tình trạng việc làm chính:]]</f>
        <v>Khu vực chính thức (Có Hợp đồng lao động, đóng BHXH)</v>
      </c>
      <c r="M382">
        <f>step3_validation[[#This Row],[Income_Mil]]</f>
        <v>16.038094068857898</v>
      </c>
      <c r="N382" t="str">
        <f>survey_responses[[#This Row],[Thu nhập bình quân tháng theo Hợp đồng lao động của bạn là bao nhiêu? (Vui lòng điền tổng thu nhập trước khi khấu trừ các loại Bảo hiểm (BHXH, BHYT, BHTN) và Thuế TNCN)]]</f>
        <v>Từ 12 - 18 triệu VNĐ</v>
      </c>
      <c r="O382">
        <f>step3_validation[[#This Row],[Dependents]]</f>
        <v>0</v>
      </c>
      <c r="P382" t="str">
        <f>survey_responses[[#This Row],[Số người phụ thuộc (con nhỏ, cha mẹ già...) đủ điều kiện giảm trừ gia cảnh:]]</f>
        <v>0 người</v>
      </c>
      <c r="Q382">
        <f>step3_validation[[#This Row],[AI_ENF1]]</f>
        <v>7</v>
      </c>
      <c r="R382">
        <f t="shared" si="135"/>
        <v>0.66666666666666663</v>
      </c>
      <c r="S382">
        <f>survey_responses[[#This Row],[Tôi tin rằng với các quy định quản lý thuế hiện nay, hành vi gian lận hoặc trốn thuế sẽ dễ dàng bị phát hiện và xử lý nghiêm. - HUMAN-ENF1]]</f>
        <v>9</v>
      </c>
      <c r="T382">
        <f t="shared" si="136"/>
        <v>0.88888888888888884</v>
      </c>
      <c r="U382">
        <f>step3_validation[[#This Row],[AI_ENF2]]</f>
        <v>7</v>
      </c>
      <c r="V382">
        <f t="shared" si="137"/>
        <v>0.66666666666666663</v>
      </c>
      <c r="W382">
        <f>survey_responses[[#This Row],[Tôi tin rằng Nhà nước, cơ quan thuế có đủ khả năng và công nghệ để phát hiện, xử lý nghiêm các hành vi trốn thuế. - HUMAN-ENF2]]</f>
        <v>9</v>
      </c>
      <c r="X382">
        <f t="shared" si="138"/>
        <v>0.88888888888888884</v>
      </c>
      <c r="Y382" s="32">
        <f t="shared" si="139"/>
        <v>0.66666666666666663</v>
      </c>
      <c r="Z382" s="32">
        <f t="shared" si="140"/>
        <v>0.88888888888888884</v>
      </c>
      <c r="AA382">
        <f>step3_validation[[#This Row],[AI_FAC1]]</f>
        <v>6</v>
      </c>
      <c r="AB382">
        <f t="shared" si="141"/>
        <v>0.55555555555555558</v>
      </c>
      <c r="AC382">
        <f>survey_responses[[#This Row],[Các thủ tục khai báo thuế VÀ/HOẶC quy trình làm việc với cơ quan thuế đơn giản, tiện lợi, nhanh chóng hơn so với trước đây. - HUMAN-FAC1]]</f>
        <v>8</v>
      </c>
      <c r="AD382">
        <f t="shared" si="142"/>
        <v>0.77777777777777779</v>
      </c>
      <c r="AE382">
        <f>step3_validation[[#This Row],[AI_FAC2]]</f>
        <v>8</v>
      </c>
      <c r="AF382">
        <f t="shared" si="143"/>
        <v>0.77777777777777779</v>
      </c>
      <c r="AG382">
        <f>survey_responses[[#This Row],[So với trước đây, tôi thấy cách tính thuế và các bậc thuế trong phương án mới đơn giản, dễ hiểu và dễ thực hiện hơn. - HUMAN-FAC2]]</f>
        <v>9</v>
      </c>
      <c r="AH382">
        <f t="shared" si="144"/>
        <v>0.88888888888888884</v>
      </c>
      <c r="AI382" s="32">
        <f t="shared" si="145"/>
        <v>0.66666666666666674</v>
      </c>
      <c r="AJ382" s="32">
        <f t="shared" si="146"/>
        <v>0.83333333333333326</v>
      </c>
      <c r="AK382">
        <f>step3_validation[[#This Row],[AI_TRU1]]</f>
        <v>7</v>
      </c>
      <c r="AL382">
        <f t="shared" si="147"/>
        <v>0.66666666666666663</v>
      </c>
      <c r="AM382">
        <f>survey_responses[[#This Row],[Tôi tin rằng Nhà nước, cơ quan thuế sẽ thực thi chính sách mới một cách khách quan, công tâm và đối xử bình đẳng với mọi người nộp thuế.  - HUMAN-TRU1]]</f>
        <v>8</v>
      </c>
      <c r="AN382">
        <f t="shared" si="148"/>
        <v>0.77777777777777779</v>
      </c>
      <c r="AO382">
        <f>step3_validation[[#This Row],[AI_TRU2]]</f>
        <v>8</v>
      </c>
      <c r="AP382">
        <f t="shared" si="149"/>
        <v>0.77777777777777779</v>
      </c>
      <c r="AQ382">
        <f>survey_responses[[#This Row],[Tôi thấy mức thuế tôi phải đóng theo phương án mới là công bằng (người thu nhập như tôi đóng mức này là hợp lý). - HUMAN-TRU2]]</f>
        <v>10</v>
      </c>
      <c r="AR382">
        <f t="shared" si="150"/>
        <v>1</v>
      </c>
      <c r="AS382">
        <f>step3_validation[[#This Row],[AI_TRU3]]</f>
        <v>7</v>
      </c>
      <c r="AT382">
        <f t="shared" si="151"/>
        <v>0.66666666666666663</v>
      </c>
      <c r="AU382">
        <f>survey_responses[[#This Row],[Tôi tin tưởng số tiền thuế tôi đóng sẽ được Nhà nước sử dụng hiệu quả để cải thiện dịch vụ công (y tế, đường xá...). - HUMAN-TRU3]]</f>
        <v>8</v>
      </c>
      <c r="AV382">
        <f t="shared" si="152"/>
        <v>0.77777777777777779</v>
      </c>
      <c r="AW382">
        <f>step3_validation[[#This Row],[AI_TRU4]]</f>
        <v>6</v>
      </c>
      <c r="AX382">
        <f t="shared" si="153"/>
        <v>0.55555555555555558</v>
      </c>
      <c r="AY382">
        <f>survey_responses[[#This Row],[Tôi thấy Nhà nước đã giải thích rõ ràng, minh bạch về lý do và mục tiêu của việc sửa đổi thuế lần này. - HUMAN-TRU4]]</f>
        <v>8</v>
      </c>
      <c r="AZ382">
        <f t="shared" si="154"/>
        <v>0.77777777777777779</v>
      </c>
      <c r="BA382" s="32">
        <f t="shared" si="155"/>
        <v>0.66666666666666674</v>
      </c>
      <c r="BB382" s="32">
        <f t="shared" si="156"/>
        <v>0.83333333333333326</v>
      </c>
      <c r="BC382" s="7">
        <f t="shared" si="157"/>
        <v>0.66666666666666663</v>
      </c>
      <c r="BD382" s="7">
        <f t="shared" si="158"/>
        <v>0.85185185185185175</v>
      </c>
      <c r="BE382">
        <f>step3_validation[[#This Row],[AI_OUT1]]</f>
        <v>8</v>
      </c>
      <c r="BF382">
        <f t="shared" si="159"/>
        <v>0.77777777777777779</v>
      </c>
      <c r="BG382">
        <f>survey_responses[[#This Row],[Sau khi xem xét các quyền lợi và nghĩa vụ, bạn có ủng hộ và tuân thủ chính sách mới hiện nay? - HUMAN-OUT1]]</f>
        <v>10</v>
      </c>
      <c r="BH382">
        <f t="shared" si="160"/>
        <v>1</v>
      </c>
      <c r="BI382" s="32">
        <f t="shared" si="161"/>
        <v>2</v>
      </c>
    </row>
    <row r="383" spans="1:61" x14ac:dyDescent="0.45">
      <c r="A383" s="30">
        <f>step3_validation[[#This Row],[Persona_ID]]</f>
        <v>382</v>
      </c>
      <c r="B383" s="31">
        <f>step3_validation[[#This Row],[Used_Seed]]</f>
        <v>382</v>
      </c>
      <c r="C383" t="str">
        <f>step3_validation[[#This Row],[Gender]]</f>
        <v>Nữ</v>
      </c>
      <c r="D383" t="str">
        <f>survey_responses[[#This Row],[Giới tính của bạn:]]</f>
        <v>Nữ</v>
      </c>
      <c r="E383" t="str">
        <f>step3_validation[[#This Row],[Age_Group]]</f>
        <v>18 - 24</v>
      </c>
      <c r="F383" t="str">
        <f>survey_responses[[#This Row],[Độ tuổi của bạn:]]</f>
        <v>18 - 24</v>
      </c>
      <c r="G383" t="str">
        <f>step3_validation[[#This Row],[Region]]</f>
        <v>Thành thị</v>
      </c>
      <c r="H383" t="str">
        <f>survey_responses[[#This Row],[Khu vực bạn đang sinh sống:]]</f>
        <v>Thành thị</v>
      </c>
      <c r="I383" t="str">
        <f>step3_validation[[#This Row],[Education]]</f>
        <v>Đại học</v>
      </c>
      <c r="J383" t="str">
        <f>survey_responses[[#This Row],[Trình độ học vấn cao nhất:]]</f>
        <v>Đại học</v>
      </c>
      <c r="K383" t="str">
        <f>step3_validation[[#This Row],[Employment]]</f>
        <v>Chính thức</v>
      </c>
      <c r="L383" t="str">
        <f>survey_responses[[#This Row],[Tình trạng việc làm chính:]]</f>
        <v>Khu vực chính thức (Có Hợp đồng lao động, đóng BHXH)</v>
      </c>
      <c r="M383">
        <f>step3_validation[[#This Row],[Income_Mil]]</f>
        <v>19.06541365759762</v>
      </c>
      <c r="N383" t="str">
        <f>survey_responses[[#This Row],[Thu nhập bình quân tháng theo Hợp đồng lao động của bạn là bao nhiêu? (Vui lòng điền tổng thu nhập trước khi khấu trừ các loại Bảo hiểm (BHXH, BHYT, BHTN) và Thuế TNCN)]]</f>
        <v>Từ 18 - 23 triệu VNĐ</v>
      </c>
      <c r="O383">
        <f>step3_validation[[#This Row],[Dependents]]</f>
        <v>1</v>
      </c>
      <c r="P383" t="str">
        <f>survey_responses[[#This Row],[Số người phụ thuộc (con nhỏ, cha mẹ già...) đủ điều kiện giảm trừ gia cảnh:]]</f>
        <v>1 người</v>
      </c>
      <c r="Q383">
        <f>step3_validation[[#This Row],[AI_ENF1]]</f>
        <v>7</v>
      </c>
      <c r="R383">
        <f t="shared" si="135"/>
        <v>0.66666666666666663</v>
      </c>
      <c r="S383">
        <f>survey_responses[[#This Row],[Tôi tin rằng với các quy định quản lý thuế hiện nay, hành vi gian lận hoặc trốn thuế sẽ dễ dàng bị phát hiện và xử lý nghiêm. - HUMAN-ENF1]]</f>
        <v>5</v>
      </c>
      <c r="T383">
        <f t="shared" si="136"/>
        <v>0.44444444444444442</v>
      </c>
      <c r="U383">
        <f>step3_validation[[#This Row],[AI_ENF2]]</f>
        <v>9</v>
      </c>
      <c r="V383">
        <f t="shared" si="137"/>
        <v>0.88888888888888884</v>
      </c>
      <c r="W383">
        <f>survey_responses[[#This Row],[Tôi tin rằng Nhà nước, cơ quan thuế có đủ khả năng và công nghệ để phát hiện, xử lý nghiêm các hành vi trốn thuế. - HUMAN-ENF2]]</f>
        <v>5</v>
      </c>
      <c r="X383">
        <f t="shared" si="138"/>
        <v>0.44444444444444442</v>
      </c>
      <c r="Y383" s="32">
        <f t="shared" si="139"/>
        <v>0.77777777777777768</v>
      </c>
      <c r="Z383" s="32">
        <f t="shared" si="140"/>
        <v>0.44444444444444442</v>
      </c>
      <c r="AA383">
        <f>step3_validation[[#This Row],[AI_FAC1]]</f>
        <v>8</v>
      </c>
      <c r="AB383">
        <f t="shared" si="141"/>
        <v>0.77777777777777779</v>
      </c>
      <c r="AC383">
        <f>survey_responses[[#This Row],[Các thủ tục khai báo thuế VÀ/HOẶC quy trình làm việc với cơ quan thuế đơn giản, tiện lợi, nhanh chóng hơn so với trước đây. - HUMAN-FAC1]]</f>
        <v>4</v>
      </c>
      <c r="AD383">
        <f t="shared" si="142"/>
        <v>0.33333333333333331</v>
      </c>
      <c r="AE383">
        <f>step3_validation[[#This Row],[AI_FAC2]]</f>
        <v>9</v>
      </c>
      <c r="AF383">
        <f t="shared" si="143"/>
        <v>0.88888888888888884</v>
      </c>
      <c r="AG383">
        <f>survey_responses[[#This Row],[So với trước đây, tôi thấy cách tính thuế và các bậc thuế trong phương án mới đơn giản, dễ hiểu và dễ thực hiện hơn. - HUMAN-FAC2]]</f>
        <v>8</v>
      </c>
      <c r="AH383">
        <f t="shared" si="144"/>
        <v>0.77777777777777779</v>
      </c>
      <c r="AI383" s="32">
        <f t="shared" si="145"/>
        <v>0.83333333333333326</v>
      </c>
      <c r="AJ383" s="32">
        <f t="shared" si="146"/>
        <v>0.55555555555555558</v>
      </c>
      <c r="AK383">
        <f>step3_validation[[#This Row],[AI_TRU1]]</f>
        <v>7</v>
      </c>
      <c r="AL383">
        <f t="shared" si="147"/>
        <v>0.66666666666666663</v>
      </c>
      <c r="AM383">
        <f>survey_responses[[#This Row],[Tôi tin rằng Nhà nước, cơ quan thuế sẽ thực thi chính sách mới một cách khách quan, công tâm và đối xử bình đẳng với mọi người nộp thuế.  - HUMAN-TRU1]]</f>
        <v>4</v>
      </c>
      <c r="AN383">
        <f t="shared" si="148"/>
        <v>0.33333333333333331</v>
      </c>
      <c r="AO383">
        <f>step3_validation[[#This Row],[AI_TRU2]]</f>
        <v>9</v>
      </c>
      <c r="AP383">
        <f t="shared" si="149"/>
        <v>0.88888888888888884</v>
      </c>
      <c r="AQ383">
        <f>survey_responses[[#This Row],[Tôi thấy mức thuế tôi phải đóng theo phương án mới là công bằng (người thu nhập như tôi đóng mức này là hợp lý). - HUMAN-TRU2]]</f>
        <v>8</v>
      </c>
      <c r="AR383">
        <f t="shared" si="150"/>
        <v>0.77777777777777779</v>
      </c>
      <c r="AS383">
        <f>step3_validation[[#This Row],[AI_TRU3]]</f>
        <v>8</v>
      </c>
      <c r="AT383">
        <f t="shared" si="151"/>
        <v>0.77777777777777779</v>
      </c>
      <c r="AU383">
        <f>survey_responses[[#This Row],[Tôi tin tưởng số tiền thuế tôi đóng sẽ được Nhà nước sử dụng hiệu quả để cải thiện dịch vụ công (y tế, đường xá...). - HUMAN-TRU3]]</f>
        <v>4</v>
      </c>
      <c r="AV383">
        <f t="shared" si="152"/>
        <v>0.33333333333333331</v>
      </c>
      <c r="AW383">
        <f>step3_validation[[#This Row],[AI_TRU4]]</f>
        <v>9</v>
      </c>
      <c r="AX383">
        <f t="shared" si="153"/>
        <v>0.88888888888888884</v>
      </c>
      <c r="AY383">
        <f>survey_responses[[#This Row],[Tôi thấy Nhà nước đã giải thích rõ ràng, minh bạch về lý do và mục tiêu của việc sửa đổi thuế lần này. - HUMAN-TRU4]]</f>
        <v>5</v>
      </c>
      <c r="AZ383">
        <f t="shared" si="154"/>
        <v>0.44444444444444442</v>
      </c>
      <c r="BA383" s="32">
        <f t="shared" si="155"/>
        <v>0.80555555555555547</v>
      </c>
      <c r="BB383" s="32">
        <f t="shared" si="156"/>
        <v>0.47222222222222221</v>
      </c>
      <c r="BC383" s="7">
        <f t="shared" si="157"/>
        <v>0.80555555555555547</v>
      </c>
      <c r="BD383" s="7">
        <f t="shared" si="158"/>
        <v>0.49074074074074076</v>
      </c>
      <c r="BE383">
        <f>step3_validation[[#This Row],[AI_OUT1]]</f>
        <v>8</v>
      </c>
      <c r="BF383">
        <f t="shared" si="159"/>
        <v>0.77777777777777779</v>
      </c>
      <c r="BG383">
        <f>survey_responses[[#This Row],[Sau khi xem xét các quyền lợi và nghĩa vụ, bạn có ủng hộ và tuân thủ chính sách mới hiện nay? - HUMAN-OUT1]]</f>
        <v>7</v>
      </c>
      <c r="BH383">
        <f t="shared" si="160"/>
        <v>0.66666666666666663</v>
      </c>
      <c r="BI383" s="32">
        <f t="shared" si="161"/>
        <v>1</v>
      </c>
    </row>
    <row r="384" spans="1:61" x14ac:dyDescent="0.45">
      <c r="A384" s="30">
        <f>step3_validation[[#This Row],[Persona_ID]]</f>
        <v>383</v>
      </c>
      <c r="B384" s="31">
        <f>step3_validation[[#This Row],[Used_Seed]]</f>
        <v>383</v>
      </c>
      <c r="C384" t="str">
        <f>step3_validation[[#This Row],[Gender]]</f>
        <v>Nam</v>
      </c>
      <c r="D384" t="str">
        <f>survey_responses[[#This Row],[Giới tính của bạn:]]</f>
        <v>Nam</v>
      </c>
      <c r="E384" t="str">
        <f>step3_validation[[#This Row],[Age_Group]]</f>
        <v>50 - 54</v>
      </c>
      <c r="F384" t="str">
        <f>survey_responses[[#This Row],[Độ tuổi của bạn:]]</f>
        <v>50 - 54</v>
      </c>
      <c r="G384" t="str">
        <f>step3_validation[[#This Row],[Region]]</f>
        <v>Thành thị</v>
      </c>
      <c r="H384" t="str">
        <f>survey_responses[[#This Row],[Khu vực bạn đang sinh sống:]]</f>
        <v>Thành thị</v>
      </c>
      <c r="I384" t="str">
        <f>step3_validation[[#This Row],[Education]]</f>
        <v>Sau Đại học</v>
      </c>
      <c r="J384" t="str">
        <f>survey_responses[[#This Row],[Trình độ học vấn cao nhất:]]</f>
        <v>Sau Đại học</v>
      </c>
      <c r="K384" t="str">
        <f>step3_validation[[#This Row],[Employment]]</f>
        <v>Chính thức</v>
      </c>
      <c r="L384" t="str">
        <f>survey_responses[[#This Row],[Tình trạng việc làm chính:]]</f>
        <v>Khu vực chính thức (Có Hợp đồng lao động, đóng BHXH)</v>
      </c>
      <c r="M384">
        <f>step3_validation[[#This Row],[Income_Mil]]</f>
        <v>71.204995879058245</v>
      </c>
      <c r="N384" t="str">
        <f>survey_responses[[#This Row],[Thu nhập bình quân tháng theo Hợp đồng lao động của bạn là bao nhiêu? (Vui lòng điền tổng thu nhập trước khi khấu trừ các loại Bảo hiểm (BHXH, BHYT, BHTN) và Thuế TNCN)]]</f>
        <v>Từ 70 - 102 triệu VNĐ</v>
      </c>
      <c r="O384">
        <f>step3_validation[[#This Row],[Dependents]]</f>
        <v>2</v>
      </c>
      <c r="P384" t="str">
        <f>survey_responses[[#This Row],[Số người phụ thuộc (con nhỏ, cha mẹ già...) đủ điều kiện giảm trừ gia cảnh:]]</f>
        <v>2 người</v>
      </c>
      <c r="Q384">
        <f>step3_validation[[#This Row],[AI_ENF1]]</f>
        <v>9</v>
      </c>
      <c r="R384">
        <f t="shared" si="135"/>
        <v>0.88888888888888884</v>
      </c>
      <c r="S384">
        <f>survey_responses[[#This Row],[Tôi tin rằng với các quy định quản lý thuế hiện nay, hành vi gian lận hoặc trốn thuế sẽ dễ dàng bị phát hiện và xử lý nghiêm. - HUMAN-ENF1]]</f>
        <v>1</v>
      </c>
      <c r="T384">
        <f t="shared" si="136"/>
        <v>0</v>
      </c>
      <c r="U384">
        <f>step3_validation[[#This Row],[AI_ENF2]]</f>
        <v>8</v>
      </c>
      <c r="V384">
        <f t="shared" si="137"/>
        <v>0.77777777777777779</v>
      </c>
      <c r="W384">
        <f>survey_responses[[#This Row],[Tôi tin rằng Nhà nước, cơ quan thuế có đủ khả năng và công nghệ để phát hiện, xử lý nghiêm các hành vi trốn thuế. - HUMAN-ENF2]]</f>
        <v>1</v>
      </c>
      <c r="X384">
        <f t="shared" si="138"/>
        <v>0</v>
      </c>
      <c r="Y384" s="32">
        <f t="shared" si="139"/>
        <v>0.83333333333333326</v>
      </c>
      <c r="Z384" s="32">
        <f t="shared" si="140"/>
        <v>0</v>
      </c>
      <c r="AA384">
        <f>step3_validation[[#This Row],[AI_FAC1]]</f>
        <v>9</v>
      </c>
      <c r="AB384">
        <f t="shared" si="141"/>
        <v>0.88888888888888884</v>
      </c>
      <c r="AC384">
        <f>survey_responses[[#This Row],[Các thủ tục khai báo thuế VÀ/HOẶC quy trình làm việc với cơ quan thuế đơn giản, tiện lợi, nhanh chóng hơn so với trước đây. - HUMAN-FAC1]]</f>
        <v>4</v>
      </c>
      <c r="AD384">
        <f t="shared" si="142"/>
        <v>0.33333333333333331</v>
      </c>
      <c r="AE384">
        <f>step3_validation[[#This Row],[AI_FAC2]]</f>
        <v>8</v>
      </c>
      <c r="AF384">
        <f t="shared" si="143"/>
        <v>0.77777777777777779</v>
      </c>
      <c r="AG384">
        <f>survey_responses[[#This Row],[So với trước đây, tôi thấy cách tính thuế và các bậc thuế trong phương án mới đơn giản, dễ hiểu và dễ thực hiện hơn. - HUMAN-FAC2]]</f>
        <v>5</v>
      </c>
      <c r="AH384">
        <f t="shared" si="144"/>
        <v>0.44444444444444442</v>
      </c>
      <c r="AI384" s="32">
        <f t="shared" si="145"/>
        <v>0.83333333333333326</v>
      </c>
      <c r="AJ384" s="32">
        <f t="shared" si="146"/>
        <v>0.38888888888888884</v>
      </c>
      <c r="AK384">
        <f>step3_validation[[#This Row],[AI_TRU1]]</f>
        <v>9</v>
      </c>
      <c r="AL384">
        <f t="shared" si="147"/>
        <v>0.88888888888888884</v>
      </c>
      <c r="AM384">
        <f>survey_responses[[#This Row],[Tôi tin rằng Nhà nước, cơ quan thuế sẽ thực thi chính sách mới một cách khách quan, công tâm và đối xử bình đẳng với mọi người nộp thuế.  - HUMAN-TRU1]]</f>
        <v>5</v>
      </c>
      <c r="AN384">
        <f t="shared" si="148"/>
        <v>0.44444444444444442</v>
      </c>
      <c r="AO384">
        <f>step3_validation[[#This Row],[AI_TRU2]]</f>
        <v>8</v>
      </c>
      <c r="AP384">
        <f t="shared" si="149"/>
        <v>0.77777777777777779</v>
      </c>
      <c r="AQ384">
        <f>survey_responses[[#This Row],[Tôi thấy mức thuế tôi phải đóng theo phương án mới là công bằng (người thu nhập như tôi đóng mức này là hợp lý). - HUMAN-TRU2]]</f>
        <v>4</v>
      </c>
      <c r="AR384">
        <f t="shared" si="150"/>
        <v>0.33333333333333331</v>
      </c>
      <c r="AS384">
        <f>step3_validation[[#This Row],[AI_TRU3]]</f>
        <v>9</v>
      </c>
      <c r="AT384">
        <f t="shared" si="151"/>
        <v>0.88888888888888884</v>
      </c>
      <c r="AU384">
        <f>survey_responses[[#This Row],[Tôi tin tưởng số tiền thuế tôi đóng sẽ được Nhà nước sử dụng hiệu quả để cải thiện dịch vụ công (y tế, đường xá...). - HUMAN-TRU3]]</f>
        <v>4</v>
      </c>
      <c r="AV384">
        <f t="shared" si="152"/>
        <v>0.33333333333333331</v>
      </c>
      <c r="AW384">
        <f>step3_validation[[#This Row],[AI_TRU4]]</f>
        <v>8</v>
      </c>
      <c r="AX384">
        <f t="shared" si="153"/>
        <v>0.77777777777777779</v>
      </c>
      <c r="AY384">
        <f>survey_responses[[#This Row],[Tôi thấy Nhà nước đã giải thích rõ ràng, minh bạch về lý do và mục tiêu của việc sửa đổi thuế lần này. - HUMAN-TRU4]]</f>
        <v>5</v>
      </c>
      <c r="AZ384">
        <f t="shared" si="154"/>
        <v>0.44444444444444442</v>
      </c>
      <c r="BA384" s="32">
        <f t="shared" si="155"/>
        <v>0.83333333333333326</v>
      </c>
      <c r="BB384" s="32">
        <f t="shared" si="156"/>
        <v>0.38888888888888884</v>
      </c>
      <c r="BC384" s="7">
        <f t="shared" si="157"/>
        <v>0.83333333333333337</v>
      </c>
      <c r="BD384" s="7">
        <f t="shared" si="158"/>
        <v>0.25925925925925924</v>
      </c>
      <c r="BE384">
        <f>step3_validation[[#This Row],[AI_OUT1]]</f>
        <v>9</v>
      </c>
      <c r="BF384">
        <f t="shared" si="159"/>
        <v>0.88888888888888884</v>
      </c>
      <c r="BG384">
        <f>survey_responses[[#This Row],[Sau khi xem xét các quyền lợi và nghĩa vụ, bạn có ủng hộ và tuân thủ chính sách mới hiện nay? - HUMAN-OUT1]]</f>
        <v>3</v>
      </c>
      <c r="BH384">
        <f t="shared" si="160"/>
        <v>0.22222222222222221</v>
      </c>
      <c r="BI384" s="32">
        <f t="shared" si="161"/>
        <v>6</v>
      </c>
    </row>
    <row r="385" spans="1:61" x14ac:dyDescent="0.45">
      <c r="A385" s="30">
        <f>step3_validation[[#This Row],[Persona_ID]]</f>
        <v>384</v>
      </c>
      <c r="B385" s="31">
        <f>step3_validation[[#This Row],[Used_Seed]]</f>
        <v>384</v>
      </c>
      <c r="C385" t="str">
        <f>step3_validation[[#This Row],[Gender]]</f>
        <v>Nam</v>
      </c>
      <c r="D385" t="str">
        <f>survey_responses[[#This Row],[Giới tính của bạn:]]</f>
        <v>Nam</v>
      </c>
      <c r="E385" t="str">
        <f>step3_validation[[#This Row],[Age_Group]]</f>
        <v>18 - 24</v>
      </c>
      <c r="F385" t="str">
        <f>survey_responses[[#This Row],[Độ tuổi của bạn:]]</f>
        <v>18 - 24</v>
      </c>
      <c r="G385" t="str">
        <f>step3_validation[[#This Row],[Region]]</f>
        <v>Thành thị</v>
      </c>
      <c r="H385" t="str">
        <f>survey_responses[[#This Row],[Khu vực bạn đang sinh sống:]]</f>
        <v>Thành thị</v>
      </c>
      <c r="I385" t="str">
        <f>step3_validation[[#This Row],[Education]]</f>
        <v>Đại học</v>
      </c>
      <c r="J385" t="str">
        <f>survey_responses[[#This Row],[Trình độ học vấn cao nhất:]]</f>
        <v>Đại học</v>
      </c>
      <c r="K385" t="str">
        <f>step3_validation[[#This Row],[Employment]]</f>
        <v>Chính thức</v>
      </c>
      <c r="L385" t="str">
        <f>survey_responses[[#This Row],[Tình trạng việc làm chính:]]</f>
        <v>Khu vực chính thức (Có Hợp đồng lao động, đóng BHXH)</v>
      </c>
      <c r="M385">
        <f>step3_validation[[#This Row],[Income_Mil]]</f>
        <v>12</v>
      </c>
      <c r="N385" t="str">
        <f>survey_responses[[#This Row],[Thu nhập bình quân tháng theo Hợp đồng lao động của bạn là bao nhiêu? (Vui lòng điền tổng thu nhập trước khi khấu trừ các loại Bảo hiểm (BHXH, BHYT, BHTN) và Thuế TNCN)]]</f>
        <v>Dưới 12 triệu VNĐ</v>
      </c>
      <c r="O385">
        <f>step3_validation[[#This Row],[Dependents]]</f>
        <v>0</v>
      </c>
      <c r="P385" t="str">
        <f>survey_responses[[#This Row],[Số người phụ thuộc (con nhỏ, cha mẹ già...) đủ điều kiện giảm trừ gia cảnh:]]</f>
        <v>0 người</v>
      </c>
      <c r="Q385">
        <f>step3_validation[[#This Row],[AI_ENF1]]</f>
        <v>6</v>
      </c>
      <c r="R385">
        <f t="shared" si="135"/>
        <v>0.55555555555555558</v>
      </c>
      <c r="S385">
        <f>survey_responses[[#This Row],[Tôi tin rằng với các quy định quản lý thuế hiện nay, hành vi gian lận hoặc trốn thuế sẽ dễ dàng bị phát hiện và xử lý nghiêm. - HUMAN-ENF1]]</f>
        <v>7</v>
      </c>
      <c r="T385">
        <f t="shared" si="136"/>
        <v>0.66666666666666663</v>
      </c>
      <c r="U385">
        <f>step3_validation[[#This Row],[AI_ENF2]]</f>
        <v>5</v>
      </c>
      <c r="V385">
        <f t="shared" si="137"/>
        <v>0.44444444444444442</v>
      </c>
      <c r="W385">
        <f>survey_responses[[#This Row],[Tôi tin rằng Nhà nước, cơ quan thuế có đủ khả năng và công nghệ để phát hiện, xử lý nghiêm các hành vi trốn thuế. - HUMAN-ENF2]]</f>
        <v>7</v>
      </c>
      <c r="X385">
        <f t="shared" si="138"/>
        <v>0.66666666666666663</v>
      </c>
      <c r="Y385" s="32">
        <f t="shared" si="139"/>
        <v>0.5</v>
      </c>
      <c r="Z385" s="32">
        <f t="shared" si="140"/>
        <v>0.66666666666666663</v>
      </c>
      <c r="AA385">
        <f>step3_validation[[#This Row],[AI_FAC1]]</f>
        <v>7</v>
      </c>
      <c r="AB385">
        <f t="shared" si="141"/>
        <v>0.66666666666666663</v>
      </c>
      <c r="AC385">
        <f>survey_responses[[#This Row],[Các thủ tục khai báo thuế VÀ/HOẶC quy trình làm việc với cơ quan thuế đơn giản, tiện lợi, nhanh chóng hơn so với trước đây. - HUMAN-FAC1]]</f>
        <v>7</v>
      </c>
      <c r="AD385">
        <f t="shared" si="142"/>
        <v>0.66666666666666663</v>
      </c>
      <c r="AE385">
        <f>step3_validation[[#This Row],[AI_FAC2]]</f>
        <v>9</v>
      </c>
      <c r="AF385">
        <f t="shared" si="143"/>
        <v>0.88888888888888884</v>
      </c>
      <c r="AG385">
        <f>survey_responses[[#This Row],[So với trước đây, tôi thấy cách tính thuế và các bậc thuế trong phương án mới đơn giản, dễ hiểu và dễ thực hiện hơn. - HUMAN-FAC2]]</f>
        <v>9</v>
      </c>
      <c r="AH385">
        <f t="shared" si="144"/>
        <v>0.88888888888888884</v>
      </c>
      <c r="AI385" s="32">
        <f t="shared" si="145"/>
        <v>0.77777777777777768</v>
      </c>
      <c r="AJ385" s="32">
        <f t="shared" si="146"/>
        <v>0.77777777777777768</v>
      </c>
      <c r="AK385">
        <f>step3_validation[[#This Row],[AI_TRU1]]</f>
        <v>7</v>
      </c>
      <c r="AL385">
        <f t="shared" si="147"/>
        <v>0.66666666666666663</v>
      </c>
      <c r="AM385">
        <f>survey_responses[[#This Row],[Tôi tin rằng Nhà nước, cơ quan thuế sẽ thực thi chính sách mới một cách khách quan, công tâm và đối xử bình đẳng với mọi người nộp thuế.  - HUMAN-TRU1]]</f>
        <v>8</v>
      </c>
      <c r="AN385">
        <f t="shared" si="148"/>
        <v>0.77777777777777779</v>
      </c>
      <c r="AO385">
        <f>step3_validation[[#This Row],[AI_TRU2]]</f>
        <v>6</v>
      </c>
      <c r="AP385">
        <f t="shared" si="149"/>
        <v>0.55555555555555558</v>
      </c>
      <c r="AQ385">
        <f>survey_responses[[#This Row],[Tôi thấy mức thuế tôi phải đóng theo phương án mới là công bằng (người thu nhập như tôi đóng mức này là hợp lý). - HUMAN-TRU2]]</f>
        <v>10</v>
      </c>
      <c r="AR385">
        <f t="shared" si="150"/>
        <v>1</v>
      </c>
      <c r="AS385">
        <f>step3_validation[[#This Row],[AI_TRU3]]</f>
        <v>7</v>
      </c>
      <c r="AT385">
        <f t="shared" si="151"/>
        <v>0.66666666666666663</v>
      </c>
      <c r="AU385">
        <f>survey_responses[[#This Row],[Tôi tin tưởng số tiền thuế tôi đóng sẽ được Nhà nước sử dụng hiệu quả để cải thiện dịch vụ công (y tế, đường xá...). - HUMAN-TRU3]]</f>
        <v>8</v>
      </c>
      <c r="AV385">
        <f t="shared" si="152"/>
        <v>0.77777777777777779</v>
      </c>
      <c r="AW385">
        <f>step3_validation[[#This Row],[AI_TRU4]]</f>
        <v>6</v>
      </c>
      <c r="AX385">
        <f t="shared" si="153"/>
        <v>0.55555555555555558</v>
      </c>
      <c r="AY385">
        <f>survey_responses[[#This Row],[Tôi thấy Nhà nước đã giải thích rõ ràng, minh bạch về lý do và mục tiêu của việc sửa đổi thuế lần này. - HUMAN-TRU4]]</f>
        <v>7</v>
      </c>
      <c r="AZ385">
        <f t="shared" si="154"/>
        <v>0.66666666666666663</v>
      </c>
      <c r="BA385" s="32">
        <f t="shared" si="155"/>
        <v>0.61111111111111116</v>
      </c>
      <c r="BB385" s="32">
        <f t="shared" si="156"/>
        <v>0.80555555555555547</v>
      </c>
      <c r="BC385" s="7">
        <f t="shared" si="157"/>
        <v>0.62962962962962965</v>
      </c>
      <c r="BD385" s="7">
        <f t="shared" si="158"/>
        <v>0.74999999999999989</v>
      </c>
      <c r="BE385">
        <f>step3_validation[[#This Row],[AI_OUT1]]</f>
        <v>8</v>
      </c>
      <c r="BF385">
        <f t="shared" si="159"/>
        <v>0.77777777777777779</v>
      </c>
      <c r="BG385">
        <f>survey_responses[[#This Row],[Sau khi xem xét các quyền lợi và nghĩa vụ, bạn có ủng hộ và tuân thủ chính sách mới hiện nay? - HUMAN-OUT1]]</f>
        <v>10</v>
      </c>
      <c r="BH385">
        <f t="shared" si="160"/>
        <v>1</v>
      </c>
      <c r="BI385" s="32">
        <f t="shared" si="161"/>
        <v>2</v>
      </c>
    </row>
    <row r="386" spans="1:61" x14ac:dyDescent="0.45">
      <c r="A386" s="30">
        <f>step3_validation[[#This Row],[Persona_ID]]</f>
        <v>385</v>
      </c>
      <c r="B386" s="31">
        <f>step3_validation[[#This Row],[Used_Seed]]</f>
        <v>385</v>
      </c>
      <c r="C386" t="str">
        <f>step3_validation[[#This Row],[Gender]]</f>
        <v>Nam</v>
      </c>
      <c r="D386" t="str">
        <f>survey_responses[[#This Row],[Giới tính của bạn:]]</f>
        <v>Nam</v>
      </c>
      <c r="E386" t="str">
        <f>step3_validation[[#This Row],[Age_Group]]</f>
        <v>40 - 49</v>
      </c>
      <c r="F386" t="str">
        <f>survey_responses[[#This Row],[Độ tuổi của bạn:]]</f>
        <v>40 - 49</v>
      </c>
      <c r="G386" t="str">
        <f>step3_validation[[#This Row],[Region]]</f>
        <v>Thành thị</v>
      </c>
      <c r="H386" t="str">
        <f>survey_responses[[#This Row],[Khu vực bạn đang sinh sống:]]</f>
        <v>Thành thị</v>
      </c>
      <c r="I386" t="str">
        <f>step3_validation[[#This Row],[Education]]</f>
        <v>Đại học</v>
      </c>
      <c r="J386" t="str">
        <f>survey_responses[[#This Row],[Trình độ học vấn cao nhất:]]</f>
        <v>Đại học</v>
      </c>
      <c r="K386" t="str">
        <f>step3_validation[[#This Row],[Employment]]</f>
        <v>Chính thức</v>
      </c>
      <c r="L386" t="str">
        <f>survey_responses[[#This Row],[Tình trạng việc làm chính:]]</f>
        <v>Khu vực chính thức (Có Hợp đồng lao động, đóng BHXH)</v>
      </c>
      <c r="M386">
        <f>step3_validation[[#This Row],[Income_Mil]]</f>
        <v>36.848120433506317</v>
      </c>
      <c r="N386" t="str">
        <f>survey_responses[[#This Row],[Thu nhập bình quân tháng theo Hợp đồng lao động của bạn là bao nhiêu? (Vui lòng điền tổng thu nhập trước khi khấu trừ các loại Bảo hiểm (BHXH, BHYT, BHTN) và Thuế TNCN)]]</f>
        <v>Từ 32 - 48 triệu VNĐ</v>
      </c>
      <c r="O386">
        <f>step3_validation[[#This Row],[Dependents]]</f>
        <v>2</v>
      </c>
      <c r="P386" t="str">
        <f>survey_responses[[#This Row],[Số người phụ thuộc (con nhỏ, cha mẹ già...) đủ điều kiện giảm trừ gia cảnh:]]</f>
        <v>2 người</v>
      </c>
      <c r="Q386">
        <f>step3_validation[[#This Row],[AI_ENF1]]</f>
        <v>8</v>
      </c>
      <c r="R386">
        <f t="shared" si="135"/>
        <v>0.77777777777777779</v>
      </c>
      <c r="S386">
        <f>survey_responses[[#This Row],[Tôi tin rằng với các quy định quản lý thuế hiện nay, hành vi gian lận hoặc trốn thuế sẽ dễ dàng bị phát hiện và xử lý nghiêm. - HUMAN-ENF1]]</f>
        <v>3</v>
      </c>
      <c r="T386">
        <f t="shared" si="136"/>
        <v>0.22222222222222221</v>
      </c>
      <c r="U386">
        <f>step3_validation[[#This Row],[AI_ENF2]]</f>
        <v>9</v>
      </c>
      <c r="V386">
        <f t="shared" si="137"/>
        <v>0.88888888888888884</v>
      </c>
      <c r="W386">
        <f>survey_responses[[#This Row],[Tôi tin rằng Nhà nước, cơ quan thuế có đủ khả năng và công nghệ để phát hiện, xử lý nghiêm các hành vi trốn thuế. - HUMAN-ENF2]]</f>
        <v>3</v>
      </c>
      <c r="X386">
        <f t="shared" si="138"/>
        <v>0.22222222222222221</v>
      </c>
      <c r="Y386" s="32">
        <f t="shared" si="139"/>
        <v>0.83333333333333326</v>
      </c>
      <c r="Z386" s="32">
        <f t="shared" si="140"/>
        <v>0.22222222222222221</v>
      </c>
      <c r="AA386">
        <f>step3_validation[[#This Row],[AI_FAC1]]</f>
        <v>8</v>
      </c>
      <c r="AB386">
        <f t="shared" si="141"/>
        <v>0.77777777777777779</v>
      </c>
      <c r="AC386">
        <f>survey_responses[[#This Row],[Các thủ tục khai báo thuế VÀ/HOẶC quy trình làm việc với cơ quan thuế đơn giản, tiện lợi, nhanh chóng hơn so với trước đây. - HUMAN-FAC1]]</f>
        <v>4</v>
      </c>
      <c r="AD386">
        <f t="shared" si="142"/>
        <v>0.33333333333333331</v>
      </c>
      <c r="AE386">
        <f>step3_validation[[#This Row],[AI_FAC2]]</f>
        <v>9</v>
      </c>
      <c r="AF386">
        <f t="shared" si="143"/>
        <v>0.88888888888888884</v>
      </c>
      <c r="AG386">
        <f>survey_responses[[#This Row],[So với trước đây, tôi thấy cách tính thuế và các bậc thuế trong phương án mới đơn giản, dễ hiểu và dễ thực hiện hơn. - HUMAN-FAC2]]</f>
        <v>6</v>
      </c>
      <c r="AH386">
        <f t="shared" si="144"/>
        <v>0.55555555555555558</v>
      </c>
      <c r="AI386" s="32">
        <f t="shared" si="145"/>
        <v>0.83333333333333326</v>
      </c>
      <c r="AJ386" s="32">
        <f t="shared" si="146"/>
        <v>0.44444444444444442</v>
      </c>
      <c r="AK386">
        <f>step3_validation[[#This Row],[AI_TRU1]]</f>
        <v>8</v>
      </c>
      <c r="AL386">
        <f t="shared" si="147"/>
        <v>0.77777777777777779</v>
      </c>
      <c r="AM386">
        <f>survey_responses[[#This Row],[Tôi tin rằng Nhà nước, cơ quan thuế sẽ thực thi chính sách mới một cách khách quan, công tâm và đối xử bình đẳng với mọi người nộp thuế.  - HUMAN-TRU1]]</f>
        <v>4</v>
      </c>
      <c r="AN386">
        <f t="shared" si="148"/>
        <v>0.33333333333333331</v>
      </c>
      <c r="AO386">
        <f>step3_validation[[#This Row],[AI_TRU2]]</f>
        <v>9</v>
      </c>
      <c r="AP386">
        <f t="shared" si="149"/>
        <v>0.88888888888888884</v>
      </c>
      <c r="AQ386">
        <f>survey_responses[[#This Row],[Tôi thấy mức thuế tôi phải đóng theo phương án mới là công bằng (người thu nhập như tôi đóng mức này là hợp lý). - HUMAN-TRU2]]</f>
        <v>5</v>
      </c>
      <c r="AR386">
        <f t="shared" si="150"/>
        <v>0.44444444444444442</v>
      </c>
      <c r="AS386">
        <f>step3_validation[[#This Row],[AI_TRU3]]</f>
        <v>8</v>
      </c>
      <c r="AT386">
        <f t="shared" si="151"/>
        <v>0.77777777777777779</v>
      </c>
      <c r="AU386">
        <f>survey_responses[[#This Row],[Tôi tin tưởng số tiền thuế tôi đóng sẽ được Nhà nước sử dụng hiệu quả để cải thiện dịch vụ công (y tế, đường xá...). - HUMAN-TRU3]]</f>
        <v>4</v>
      </c>
      <c r="AV386">
        <f t="shared" si="152"/>
        <v>0.33333333333333331</v>
      </c>
      <c r="AW386">
        <f>step3_validation[[#This Row],[AI_TRU4]]</f>
        <v>9</v>
      </c>
      <c r="AX386">
        <f t="shared" si="153"/>
        <v>0.88888888888888884</v>
      </c>
      <c r="AY386">
        <f>survey_responses[[#This Row],[Tôi thấy Nhà nước đã giải thích rõ ràng, minh bạch về lý do và mục tiêu của việc sửa đổi thuế lần này. - HUMAN-TRU4]]</f>
        <v>5</v>
      </c>
      <c r="AZ386">
        <f t="shared" si="154"/>
        <v>0.44444444444444442</v>
      </c>
      <c r="BA386" s="32">
        <f t="shared" si="155"/>
        <v>0.83333333333333326</v>
      </c>
      <c r="BB386" s="32">
        <f t="shared" si="156"/>
        <v>0.38888888888888884</v>
      </c>
      <c r="BC386" s="7">
        <f t="shared" si="157"/>
        <v>0.83333333333333337</v>
      </c>
      <c r="BD386" s="7">
        <f t="shared" si="158"/>
        <v>0.3518518518518518</v>
      </c>
      <c r="BE386">
        <f>step3_validation[[#This Row],[AI_OUT1]]</f>
        <v>9</v>
      </c>
      <c r="BF386">
        <f t="shared" si="159"/>
        <v>0.88888888888888884</v>
      </c>
      <c r="BG386">
        <f>survey_responses[[#This Row],[Sau khi xem xét các quyền lợi và nghĩa vụ, bạn có ủng hộ và tuân thủ chính sách mới hiện nay? - HUMAN-OUT1]]</f>
        <v>5</v>
      </c>
      <c r="BH386">
        <f t="shared" si="160"/>
        <v>0.44444444444444442</v>
      </c>
      <c r="BI386" s="32">
        <f t="shared" si="161"/>
        <v>4</v>
      </c>
    </row>
    <row r="387" spans="1:61" x14ac:dyDescent="0.45">
      <c r="A387" s="30">
        <f>step3_validation[[#This Row],[Persona_ID]]</f>
        <v>386</v>
      </c>
      <c r="B387" s="31">
        <f>step3_validation[[#This Row],[Used_Seed]]</f>
        <v>386</v>
      </c>
      <c r="C387" t="str">
        <f>step3_validation[[#This Row],[Gender]]</f>
        <v>Nữ</v>
      </c>
      <c r="D387" t="str">
        <f>survey_responses[[#This Row],[Giới tính của bạn:]]</f>
        <v>Nữ</v>
      </c>
      <c r="E387" t="str">
        <f>step3_validation[[#This Row],[Age_Group]]</f>
        <v>25 - 29</v>
      </c>
      <c r="F387" t="str">
        <f>survey_responses[[#This Row],[Độ tuổi của bạn:]]</f>
        <v>25 - 29</v>
      </c>
      <c r="G387" t="str">
        <f>step3_validation[[#This Row],[Region]]</f>
        <v>Thành thị</v>
      </c>
      <c r="H387" t="str">
        <f>survey_responses[[#This Row],[Khu vực bạn đang sinh sống:]]</f>
        <v>Thành thị</v>
      </c>
      <c r="I387" t="str">
        <f>step3_validation[[#This Row],[Education]]</f>
        <v>Sau Đại học</v>
      </c>
      <c r="J387" t="str">
        <f>survey_responses[[#This Row],[Trình độ học vấn cao nhất:]]</f>
        <v>Sau Đại học</v>
      </c>
      <c r="K387" t="str">
        <f>step3_validation[[#This Row],[Employment]]</f>
        <v>Chính thức</v>
      </c>
      <c r="L387" t="str">
        <f>survey_responses[[#This Row],[Tình trạng việc làm chính:]]</f>
        <v>Khu vực chính thức (Có Hợp đồng lao động, đóng BHXH)</v>
      </c>
      <c r="M387">
        <f>step3_validation[[#This Row],[Income_Mil]]</f>
        <v>24.860533737275635</v>
      </c>
      <c r="N387" t="str">
        <f>survey_responses[[#This Row],[Thu nhập bình quân tháng theo Hợp đồng lao động của bạn là bao nhiêu? (Vui lòng điền tổng thu nhập trước khi khấu trừ các loại Bảo hiểm (BHXH, BHYT, BHTN) và Thuế TNCN)]]</f>
        <v>Từ 23 - 32 triệu VNĐ</v>
      </c>
      <c r="O387">
        <f>step3_validation[[#This Row],[Dependents]]</f>
        <v>0</v>
      </c>
      <c r="P387" t="str">
        <f>survey_responses[[#This Row],[Số người phụ thuộc (con nhỏ, cha mẹ già...) đủ điều kiện giảm trừ gia cảnh:]]</f>
        <v>0 người</v>
      </c>
      <c r="Q387">
        <f>step3_validation[[#This Row],[AI_ENF1]]</f>
        <v>8</v>
      </c>
      <c r="R387">
        <f t="shared" ref="R387:R404" si="162">(Q387-1)/9</f>
        <v>0.77777777777777779</v>
      </c>
      <c r="S387">
        <f>survey_responses[[#This Row],[Tôi tin rằng với các quy định quản lý thuế hiện nay, hành vi gian lận hoặc trốn thuế sẽ dễ dàng bị phát hiện và xử lý nghiêm. - HUMAN-ENF1]]</f>
        <v>8</v>
      </c>
      <c r="T387">
        <f t="shared" ref="T387:T404" si="163">(S387-1)/9</f>
        <v>0.77777777777777779</v>
      </c>
      <c r="U387">
        <f>step3_validation[[#This Row],[AI_ENF2]]</f>
        <v>9</v>
      </c>
      <c r="V387">
        <f t="shared" ref="V387:V404" si="164">(U387-1)/9</f>
        <v>0.88888888888888884</v>
      </c>
      <c r="W387">
        <f>survey_responses[[#This Row],[Tôi tin rằng Nhà nước, cơ quan thuế có đủ khả năng và công nghệ để phát hiện, xử lý nghiêm các hành vi trốn thuế. - HUMAN-ENF2]]</f>
        <v>8</v>
      </c>
      <c r="X387">
        <f t="shared" ref="X387:X404" si="165">(W387-1)/9</f>
        <v>0.77777777777777779</v>
      </c>
      <c r="Y387" s="32">
        <f t="shared" ref="Y387:Y404" si="166">AVERAGE(R387,V387)</f>
        <v>0.83333333333333326</v>
      </c>
      <c r="Z387" s="32">
        <f t="shared" ref="Z387:Z404" si="167">AVERAGE(T387,X387)</f>
        <v>0.77777777777777779</v>
      </c>
      <c r="AA387">
        <f>step3_validation[[#This Row],[AI_FAC1]]</f>
        <v>9</v>
      </c>
      <c r="AB387">
        <f t="shared" ref="AB387:AB404" si="168">(AA387-1)/9</f>
        <v>0.88888888888888884</v>
      </c>
      <c r="AC387">
        <f>survey_responses[[#This Row],[Các thủ tục khai báo thuế VÀ/HOẶC quy trình làm việc với cơ quan thuế đơn giản, tiện lợi, nhanh chóng hơn so với trước đây. - HUMAN-FAC1]]</f>
        <v>9</v>
      </c>
      <c r="AD387">
        <f t="shared" ref="AD387:AD404" si="169">(AC387-1)/9</f>
        <v>0.88888888888888884</v>
      </c>
      <c r="AE387">
        <f>step3_validation[[#This Row],[AI_FAC2]]</f>
        <v>9</v>
      </c>
      <c r="AF387">
        <f t="shared" ref="AF387:AF404" si="170">(AE387-1)/9</f>
        <v>0.88888888888888884</v>
      </c>
      <c r="AG387">
        <f>survey_responses[[#This Row],[So với trước đây, tôi thấy cách tính thuế và các bậc thuế trong phương án mới đơn giản, dễ hiểu và dễ thực hiện hơn. - HUMAN-FAC2]]</f>
        <v>8</v>
      </c>
      <c r="AH387">
        <f t="shared" ref="AH387:AH404" si="171">(AG387-1)/9</f>
        <v>0.77777777777777779</v>
      </c>
      <c r="AI387" s="32">
        <f t="shared" ref="AI387:AI404" si="172">AVERAGE(AB387,AF387)</f>
        <v>0.88888888888888884</v>
      </c>
      <c r="AJ387" s="32">
        <f t="shared" ref="AJ387:AJ404" si="173">AVERAGE(AD387,AH387)</f>
        <v>0.83333333333333326</v>
      </c>
      <c r="AK387">
        <f>step3_validation[[#This Row],[AI_TRU1]]</f>
        <v>7</v>
      </c>
      <c r="AL387">
        <f t="shared" ref="AL387:AL404" si="174">(AK387-1)/9</f>
        <v>0.66666666666666663</v>
      </c>
      <c r="AM387">
        <f>survey_responses[[#This Row],[Tôi tin rằng Nhà nước, cơ quan thuế sẽ thực thi chính sách mới một cách khách quan, công tâm và đối xử bình đẳng với mọi người nộp thuế.  - HUMAN-TRU1]]</f>
        <v>7</v>
      </c>
      <c r="AN387">
        <f t="shared" ref="AN387:AN404" si="175">(AM387-1)/9</f>
        <v>0.66666666666666663</v>
      </c>
      <c r="AO387">
        <f>step3_validation[[#This Row],[AI_TRU2]]</f>
        <v>9</v>
      </c>
      <c r="AP387">
        <f t="shared" ref="AP387:AP404" si="176">(AO387-1)/9</f>
        <v>0.88888888888888884</v>
      </c>
      <c r="AQ387">
        <f>survey_responses[[#This Row],[Tôi thấy mức thuế tôi phải đóng theo phương án mới là công bằng (người thu nhập như tôi đóng mức này là hợp lý). - HUMAN-TRU2]]</f>
        <v>8</v>
      </c>
      <c r="AR387">
        <f t="shared" ref="AR387:AR404" si="177">(AQ387-1)/9</f>
        <v>0.77777777777777779</v>
      </c>
      <c r="AS387">
        <f>step3_validation[[#This Row],[AI_TRU3]]</f>
        <v>7</v>
      </c>
      <c r="AT387">
        <f t="shared" ref="AT387:AT404" si="178">(AS387-1)/9</f>
        <v>0.66666666666666663</v>
      </c>
      <c r="AU387">
        <f>survey_responses[[#This Row],[Tôi tin tưởng số tiền thuế tôi đóng sẽ được Nhà nước sử dụng hiệu quả để cải thiện dịch vụ công (y tế, đường xá...). - HUMAN-TRU3]]</f>
        <v>7</v>
      </c>
      <c r="AV387">
        <f t="shared" ref="AV387:AV404" si="179">(AU387-1)/9</f>
        <v>0.66666666666666663</v>
      </c>
      <c r="AW387">
        <f>step3_validation[[#This Row],[AI_TRU4]]</f>
        <v>8</v>
      </c>
      <c r="AX387">
        <f t="shared" ref="AX387:AX404" si="180">(AW387-1)/9</f>
        <v>0.77777777777777779</v>
      </c>
      <c r="AY387">
        <f>survey_responses[[#This Row],[Tôi thấy Nhà nước đã giải thích rõ ràng, minh bạch về lý do và mục tiêu của việc sửa đổi thuế lần này. - HUMAN-TRU4]]</f>
        <v>7</v>
      </c>
      <c r="AZ387">
        <f t="shared" ref="AZ387:AZ404" si="181">(AY387-1)/9</f>
        <v>0.66666666666666663</v>
      </c>
      <c r="BA387" s="32">
        <f t="shared" ref="BA387:BA404" si="182">AVERAGE(AL387,AP387,AT387,AX387)</f>
        <v>0.74999999999999989</v>
      </c>
      <c r="BB387" s="32">
        <f t="shared" ref="BB387:BB404" si="183">AVERAGE(AN387,AR387,AV387,AZ387)</f>
        <v>0.69444444444444442</v>
      </c>
      <c r="BC387" s="7">
        <f t="shared" ref="BC387:BC404" si="184">(Y387+AI387+BA387)/3</f>
        <v>0.82407407407407396</v>
      </c>
      <c r="BD387" s="7">
        <f t="shared" ref="BD387:BD404" si="185">(Z387+AJ387+BB387)/3</f>
        <v>0.76851851851851849</v>
      </c>
      <c r="BE387">
        <f>step3_validation[[#This Row],[AI_OUT1]]</f>
        <v>9</v>
      </c>
      <c r="BF387">
        <f t="shared" ref="BF387:BF404" si="186">(BE387-1)/9</f>
        <v>0.88888888888888884</v>
      </c>
      <c r="BG387">
        <f>survey_responses[[#This Row],[Sau khi xem xét các quyền lợi và nghĩa vụ, bạn có ủng hộ và tuân thủ chính sách mới hiện nay? - HUMAN-OUT1]]</f>
        <v>8</v>
      </c>
      <c r="BH387">
        <f t="shared" ref="BH387:BH404" si="187">(BG387-1)/9</f>
        <v>0.77777777777777779</v>
      </c>
      <c r="BI387" s="32">
        <f t="shared" ref="BI387:BI404" si="188">ABS(BG387-BE387)</f>
        <v>1</v>
      </c>
    </row>
    <row r="388" spans="1:61" x14ac:dyDescent="0.45">
      <c r="A388" s="30">
        <f>step3_validation[[#This Row],[Persona_ID]]</f>
        <v>387</v>
      </c>
      <c r="B388" s="31">
        <f>step3_validation[[#This Row],[Used_Seed]]</f>
        <v>387</v>
      </c>
      <c r="C388" t="str">
        <f>step3_validation[[#This Row],[Gender]]</f>
        <v>Nam</v>
      </c>
      <c r="D388" t="str">
        <f>survey_responses[[#This Row],[Giới tính của bạn:]]</f>
        <v>Nam</v>
      </c>
      <c r="E388" t="str">
        <f>step3_validation[[#This Row],[Age_Group]]</f>
        <v>30 - 39</v>
      </c>
      <c r="F388" t="str">
        <f>survey_responses[[#This Row],[Độ tuổi của bạn:]]</f>
        <v>30 - 39</v>
      </c>
      <c r="G388" t="str">
        <f>step3_validation[[#This Row],[Region]]</f>
        <v>Thành thị</v>
      </c>
      <c r="H388" t="str">
        <f>survey_responses[[#This Row],[Khu vực bạn đang sinh sống:]]</f>
        <v>Thành thị</v>
      </c>
      <c r="I388" t="str">
        <f>step3_validation[[#This Row],[Education]]</f>
        <v>Đại học</v>
      </c>
      <c r="J388" t="str">
        <f>survey_responses[[#This Row],[Trình độ học vấn cao nhất:]]</f>
        <v>Đại học</v>
      </c>
      <c r="K388" t="str">
        <f>step3_validation[[#This Row],[Employment]]</f>
        <v>Chính thức</v>
      </c>
      <c r="L388" t="str">
        <f>survey_responses[[#This Row],[Tình trạng việc làm chính:]]</f>
        <v>Khu vực chính thức (Có Hợp đồng lao động, đóng BHXH)</v>
      </c>
      <c r="M388">
        <f>step3_validation[[#This Row],[Income_Mil]]</f>
        <v>55.457350263983017</v>
      </c>
      <c r="N388" t="str">
        <f>survey_responses[[#This Row],[Thu nhập bình quân tháng theo Hợp đồng lao động của bạn là bao nhiêu? (Vui lòng điền tổng thu nhập trước khi khấu trừ các loại Bảo hiểm (BHXH, BHYT, BHTN) và Thuế TNCN)]]</f>
        <v>Từ 48 - 70 triệu VNĐ</v>
      </c>
      <c r="O388">
        <f>step3_validation[[#This Row],[Dependents]]</f>
        <v>2</v>
      </c>
      <c r="P388" t="str">
        <f>survey_responses[[#This Row],[Số người phụ thuộc (con nhỏ, cha mẹ già...) đủ điều kiện giảm trừ gia cảnh:]]</f>
        <v>2 người</v>
      </c>
      <c r="Q388">
        <f>step3_validation[[#This Row],[AI_ENF1]]</f>
        <v>6</v>
      </c>
      <c r="R388">
        <f t="shared" si="162"/>
        <v>0.55555555555555558</v>
      </c>
      <c r="S388">
        <f>survey_responses[[#This Row],[Tôi tin rằng với các quy định quản lý thuế hiện nay, hành vi gian lận hoặc trốn thuế sẽ dễ dàng bị phát hiện và xử lý nghiêm. - HUMAN-ENF1]]</f>
        <v>5</v>
      </c>
      <c r="T388">
        <f t="shared" si="163"/>
        <v>0.44444444444444442</v>
      </c>
      <c r="U388">
        <f>step3_validation[[#This Row],[AI_ENF2]]</f>
        <v>8</v>
      </c>
      <c r="V388">
        <f t="shared" si="164"/>
        <v>0.77777777777777779</v>
      </c>
      <c r="W388">
        <f>survey_responses[[#This Row],[Tôi tin rằng Nhà nước, cơ quan thuế có đủ khả năng và công nghệ để phát hiện, xử lý nghiêm các hành vi trốn thuế. - HUMAN-ENF2]]</f>
        <v>5</v>
      </c>
      <c r="X388">
        <f t="shared" si="165"/>
        <v>0.44444444444444442</v>
      </c>
      <c r="Y388" s="32">
        <f t="shared" si="166"/>
        <v>0.66666666666666674</v>
      </c>
      <c r="Z388" s="32">
        <f t="shared" si="167"/>
        <v>0.44444444444444442</v>
      </c>
      <c r="AA388">
        <f>step3_validation[[#This Row],[AI_FAC1]]</f>
        <v>9</v>
      </c>
      <c r="AB388">
        <f t="shared" si="168"/>
        <v>0.88888888888888884</v>
      </c>
      <c r="AC388">
        <f>survey_responses[[#This Row],[Các thủ tục khai báo thuế VÀ/HOẶC quy trình làm việc với cơ quan thuế đơn giản, tiện lợi, nhanh chóng hơn so với trước đây. - HUMAN-FAC1]]</f>
        <v>5</v>
      </c>
      <c r="AD388">
        <f t="shared" si="169"/>
        <v>0.44444444444444442</v>
      </c>
      <c r="AE388">
        <f>step3_validation[[#This Row],[AI_FAC2]]</f>
        <v>9</v>
      </c>
      <c r="AF388">
        <f t="shared" si="170"/>
        <v>0.88888888888888884</v>
      </c>
      <c r="AG388">
        <f>survey_responses[[#This Row],[So với trước đây, tôi thấy cách tính thuế và các bậc thuế trong phương án mới đơn giản, dễ hiểu và dễ thực hiện hơn. - HUMAN-FAC2]]</f>
        <v>5</v>
      </c>
      <c r="AH388">
        <f t="shared" si="171"/>
        <v>0.44444444444444442</v>
      </c>
      <c r="AI388" s="32">
        <f t="shared" si="172"/>
        <v>0.88888888888888884</v>
      </c>
      <c r="AJ388" s="32">
        <f t="shared" si="173"/>
        <v>0.44444444444444442</v>
      </c>
      <c r="AK388">
        <f>step3_validation[[#This Row],[AI_TRU1]]</f>
        <v>8</v>
      </c>
      <c r="AL388">
        <f t="shared" si="174"/>
        <v>0.77777777777777779</v>
      </c>
      <c r="AM388">
        <f>survey_responses[[#This Row],[Tôi tin rằng Nhà nước, cơ quan thuế sẽ thực thi chính sách mới một cách khách quan, công tâm và đối xử bình đẳng với mọi người nộp thuế.  - HUMAN-TRU1]]</f>
        <v>5</v>
      </c>
      <c r="AN388">
        <f t="shared" si="175"/>
        <v>0.44444444444444442</v>
      </c>
      <c r="AO388">
        <f>step3_validation[[#This Row],[AI_TRU2]]</f>
        <v>9</v>
      </c>
      <c r="AP388">
        <f t="shared" si="176"/>
        <v>0.88888888888888884</v>
      </c>
      <c r="AQ388">
        <f>survey_responses[[#This Row],[Tôi thấy mức thuế tôi phải đóng theo phương án mới là công bằng (người thu nhập như tôi đóng mức này là hợp lý). - HUMAN-TRU2]]</f>
        <v>5</v>
      </c>
      <c r="AR388">
        <f t="shared" si="177"/>
        <v>0.44444444444444442</v>
      </c>
      <c r="AS388">
        <f>step3_validation[[#This Row],[AI_TRU3]]</f>
        <v>8</v>
      </c>
      <c r="AT388">
        <f t="shared" si="178"/>
        <v>0.77777777777777779</v>
      </c>
      <c r="AU388">
        <f>survey_responses[[#This Row],[Tôi tin tưởng số tiền thuế tôi đóng sẽ được Nhà nước sử dụng hiệu quả để cải thiện dịch vụ công (y tế, đường xá...). - HUMAN-TRU3]]</f>
        <v>5</v>
      </c>
      <c r="AV388">
        <f t="shared" si="179"/>
        <v>0.44444444444444442</v>
      </c>
      <c r="AW388">
        <f>step3_validation[[#This Row],[AI_TRU4]]</f>
        <v>7</v>
      </c>
      <c r="AX388">
        <f t="shared" si="180"/>
        <v>0.66666666666666663</v>
      </c>
      <c r="AY388">
        <f>survey_responses[[#This Row],[Tôi thấy Nhà nước đã giải thích rõ ràng, minh bạch về lý do và mục tiêu của việc sửa đổi thuế lần này. - HUMAN-TRU4]]</f>
        <v>5</v>
      </c>
      <c r="AZ388">
        <f t="shared" si="181"/>
        <v>0.44444444444444442</v>
      </c>
      <c r="BA388" s="32">
        <f t="shared" si="182"/>
        <v>0.77777777777777768</v>
      </c>
      <c r="BB388" s="32">
        <f t="shared" si="183"/>
        <v>0.44444444444444442</v>
      </c>
      <c r="BC388" s="7">
        <f t="shared" si="184"/>
        <v>0.77777777777777768</v>
      </c>
      <c r="BD388" s="7">
        <f t="shared" si="185"/>
        <v>0.44444444444444442</v>
      </c>
      <c r="BE388">
        <f>step3_validation[[#This Row],[AI_OUT1]]</f>
        <v>9</v>
      </c>
      <c r="BF388">
        <f t="shared" si="186"/>
        <v>0.88888888888888884</v>
      </c>
      <c r="BG388">
        <f>survey_responses[[#This Row],[Sau khi xem xét các quyền lợi và nghĩa vụ, bạn có ủng hộ và tuân thủ chính sách mới hiện nay? - HUMAN-OUT1]]</f>
        <v>5</v>
      </c>
      <c r="BH388">
        <f t="shared" si="187"/>
        <v>0.44444444444444442</v>
      </c>
      <c r="BI388" s="32">
        <f t="shared" si="188"/>
        <v>4</v>
      </c>
    </row>
    <row r="389" spans="1:61" x14ac:dyDescent="0.45">
      <c r="A389" s="30">
        <f>step3_validation[[#This Row],[Persona_ID]]</f>
        <v>388</v>
      </c>
      <c r="B389" s="31">
        <f>step3_validation[[#This Row],[Used_Seed]]</f>
        <v>388</v>
      </c>
      <c r="C389" t="str">
        <f>step3_validation[[#This Row],[Gender]]</f>
        <v>Nam</v>
      </c>
      <c r="D389" t="str">
        <f>survey_responses[[#This Row],[Giới tính của bạn:]]</f>
        <v>Nam</v>
      </c>
      <c r="E389" t="str">
        <f>step3_validation[[#This Row],[Age_Group]]</f>
        <v>18 - 24</v>
      </c>
      <c r="F389" t="str">
        <f>survey_responses[[#This Row],[Độ tuổi của bạn:]]</f>
        <v>18 - 24</v>
      </c>
      <c r="G389" t="str">
        <f>step3_validation[[#This Row],[Region]]</f>
        <v>Thành thị</v>
      </c>
      <c r="H389" t="str">
        <f>survey_responses[[#This Row],[Khu vực bạn đang sinh sống:]]</f>
        <v>Thành thị</v>
      </c>
      <c r="I389" t="str">
        <f>step3_validation[[#This Row],[Education]]</f>
        <v>Đại học</v>
      </c>
      <c r="J389" t="str">
        <f>survey_responses[[#This Row],[Trình độ học vấn cao nhất:]]</f>
        <v>Đại học</v>
      </c>
      <c r="K389" t="str">
        <f>step3_validation[[#This Row],[Employment]]</f>
        <v>Chính thức</v>
      </c>
      <c r="L389" t="str">
        <f>survey_responses[[#This Row],[Tình trạng việc làm chính:]]</f>
        <v>Khu vực chính thức (Có Hợp đồng lao động, đóng BHXH)</v>
      </c>
      <c r="M389">
        <f>step3_validation[[#This Row],[Income_Mil]]</f>
        <v>12.961606277266092</v>
      </c>
      <c r="N389" t="str">
        <f>survey_responses[[#This Row],[Thu nhập bình quân tháng theo Hợp đồng lao động của bạn là bao nhiêu? (Vui lòng điền tổng thu nhập trước khi khấu trừ các loại Bảo hiểm (BHXH, BHYT, BHTN) và Thuế TNCN)]]</f>
        <v>Từ 12 - 18 triệu VNĐ</v>
      </c>
      <c r="O389">
        <f>step3_validation[[#This Row],[Dependents]]</f>
        <v>0</v>
      </c>
      <c r="P389" t="str">
        <f>survey_responses[[#This Row],[Số người phụ thuộc (con nhỏ, cha mẹ già...) đủ điều kiện giảm trừ gia cảnh:]]</f>
        <v>0 người</v>
      </c>
      <c r="Q389">
        <f>step3_validation[[#This Row],[AI_ENF1]]</f>
        <v>8</v>
      </c>
      <c r="R389">
        <f t="shared" si="162"/>
        <v>0.77777777777777779</v>
      </c>
      <c r="S389">
        <f>survey_responses[[#This Row],[Tôi tin rằng với các quy định quản lý thuế hiện nay, hành vi gian lận hoặc trốn thuế sẽ dễ dàng bị phát hiện và xử lý nghiêm. - HUMAN-ENF1]]</f>
        <v>7</v>
      </c>
      <c r="T389">
        <f t="shared" si="163"/>
        <v>0.66666666666666663</v>
      </c>
      <c r="U389">
        <f>step3_validation[[#This Row],[AI_ENF2]]</f>
        <v>7</v>
      </c>
      <c r="V389">
        <f t="shared" si="164"/>
        <v>0.66666666666666663</v>
      </c>
      <c r="W389">
        <f>survey_responses[[#This Row],[Tôi tin rằng Nhà nước, cơ quan thuế có đủ khả năng và công nghệ để phát hiện, xử lý nghiêm các hành vi trốn thuế. - HUMAN-ENF2]]</f>
        <v>7</v>
      </c>
      <c r="X389">
        <f t="shared" si="165"/>
        <v>0.66666666666666663</v>
      </c>
      <c r="Y389" s="32">
        <f t="shared" si="166"/>
        <v>0.72222222222222221</v>
      </c>
      <c r="Z389" s="32">
        <f t="shared" si="167"/>
        <v>0.66666666666666663</v>
      </c>
      <c r="AA389">
        <f>step3_validation[[#This Row],[AI_FAC1]]</f>
        <v>9</v>
      </c>
      <c r="AB389">
        <f t="shared" si="168"/>
        <v>0.88888888888888884</v>
      </c>
      <c r="AC389">
        <f>survey_responses[[#This Row],[Các thủ tục khai báo thuế VÀ/HOẶC quy trình làm việc với cơ quan thuế đơn giản, tiện lợi, nhanh chóng hơn so với trước đây. - HUMAN-FAC1]]</f>
        <v>5</v>
      </c>
      <c r="AD389">
        <f t="shared" si="169"/>
        <v>0.44444444444444442</v>
      </c>
      <c r="AE389">
        <f>step3_validation[[#This Row],[AI_FAC2]]</f>
        <v>8</v>
      </c>
      <c r="AF389">
        <f t="shared" si="170"/>
        <v>0.77777777777777779</v>
      </c>
      <c r="AG389">
        <f>survey_responses[[#This Row],[So với trước đây, tôi thấy cách tính thuế và các bậc thuế trong phương án mới đơn giản, dễ hiểu và dễ thực hiện hơn. - HUMAN-FAC2]]</f>
        <v>8</v>
      </c>
      <c r="AH389">
        <f t="shared" si="171"/>
        <v>0.77777777777777779</v>
      </c>
      <c r="AI389" s="32">
        <f t="shared" si="172"/>
        <v>0.83333333333333326</v>
      </c>
      <c r="AJ389" s="32">
        <f t="shared" si="173"/>
        <v>0.61111111111111116</v>
      </c>
      <c r="AK389">
        <f>step3_validation[[#This Row],[AI_TRU1]]</f>
        <v>9</v>
      </c>
      <c r="AL389">
        <f t="shared" si="174"/>
        <v>0.88888888888888884</v>
      </c>
      <c r="AM389">
        <f>survey_responses[[#This Row],[Tôi tin rằng Nhà nước, cơ quan thuế sẽ thực thi chính sách mới một cách khách quan, công tâm và đối xử bình đẳng với mọi người nộp thuế.  - HUMAN-TRU1]]</f>
        <v>6</v>
      </c>
      <c r="AN389">
        <f t="shared" si="175"/>
        <v>0.55555555555555558</v>
      </c>
      <c r="AO389">
        <f>step3_validation[[#This Row],[AI_TRU2]]</f>
        <v>8</v>
      </c>
      <c r="AP389">
        <f t="shared" si="176"/>
        <v>0.77777777777777779</v>
      </c>
      <c r="AQ389">
        <f>survey_responses[[#This Row],[Tôi thấy mức thuế tôi phải đóng theo phương án mới là công bằng (người thu nhập như tôi đóng mức này là hợp lý). - HUMAN-TRU2]]</f>
        <v>8</v>
      </c>
      <c r="AR389">
        <f t="shared" si="177"/>
        <v>0.77777777777777779</v>
      </c>
      <c r="AS389">
        <f>step3_validation[[#This Row],[AI_TRU3]]</f>
        <v>7</v>
      </c>
      <c r="AT389">
        <f t="shared" si="178"/>
        <v>0.66666666666666663</v>
      </c>
      <c r="AU389">
        <f>survey_responses[[#This Row],[Tôi tin tưởng số tiền thuế tôi đóng sẽ được Nhà nước sử dụng hiệu quả để cải thiện dịch vụ công (y tế, đường xá...). - HUMAN-TRU3]]</f>
        <v>5</v>
      </c>
      <c r="AV389">
        <f t="shared" si="179"/>
        <v>0.44444444444444442</v>
      </c>
      <c r="AW389">
        <f>step3_validation[[#This Row],[AI_TRU4]]</f>
        <v>8</v>
      </c>
      <c r="AX389">
        <f t="shared" si="180"/>
        <v>0.77777777777777779</v>
      </c>
      <c r="AY389">
        <f>survey_responses[[#This Row],[Tôi thấy Nhà nước đã giải thích rõ ràng, minh bạch về lý do và mục tiêu của việc sửa đổi thuế lần này. - HUMAN-TRU4]]</f>
        <v>5</v>
      </c>
      <c r="AZ389">
        <f t="shared" si="181"/>
        <v>0.44444444444444442</v>
      </c>
      <c r="BA389" s="32">
        <f t="shared" si="182"/>
        <v>0.77777777777777768</v>
      </c>
      <c r="BB389" s="32">
        <f t="shared" si="183"/>
        <v>0.55555555555555558</v>
      </c>
      <c r="BC389" s="7">
        <f t="shared" si="184"/>
        <v>0.77777777777777768</v>
      </c>
      <c r="BD389" s="7">
        <f t="shared" si="185"/>
        <v>0.61111111111111105</v>
      </c>
      <c r="BE389">
        <f>step3_validation[[#This Row],[AI_OUT1]]</f>
        <v>9</v>
      </c>
      <c r="BF389">
        <f t="shared" si="186"/>
        <v>0.88888888888888884</v>
      </c>
      <c r="BG389">
        <f>survey_responses[[#This Row],[Sau khi xem xét các quyền lợi và nghĩa vụ, bạn có ủng hộ và tuân thủ chính sách mới hiện nay? - HUMAN-OUT1]]</f>
        <v>8</v>
      </c>
      <c r="BH389">
        <f t="shared" si="187"/>
        <v>0.77777777777777779</v>
      </c>
      <c r="BI389" s="32">
        <f t="shared" si="188"/>
        <v>1</v>
      </c>
    </row>
    <row r="390" spans="1:61" x14ac:dyDescent="0.45">
      <c r="A390" s="30">
        <f>step3_validation[[#This Row],[Persona_ID]]</f>
        <v>389</v>
      </c>
      <c r="B390" s="31">
        <f>step3_validation[[#This Row],[Used_Seed]]</f>
        <v>389</v>
      </c>
      <c r="C390" t="str">
        <f>step3_validation[[#This Row],[Gender]]</f>
        <v>Nam</v>
      </c>
      <c r="D390" t="str">
        <f>survey_responses[[#This Row],[Giới tính của bạn:]]</f>
        <v>Nam</v>
      </c>
      <c r="E390" t="str">
        <f>step3_validation[[#This Row],[Age_Group]]</f>
        <v>25 - 29</v>
      </c>
      <c r="F390" t="str">
        <f>survey_responses[[#This Row],[Độ tuổi của bạn:]]</f>
        <v>25 - 29</v>
      </c>
      <c r="G390" t="str">
        <f>step3_validation[[#This Row],[Region]]</f>
        <v>Thành thị</v>
      </c>
      <c r="H390" t="str">
        <f>survey_responses[[#This Row],[Khu vực bạn đang sinh sống:]]</f>
        <v>Thành thị</v>
      </c>
      <c r="I390" t="str">
        <f>step3_validation[[#This Row],[Education]]</f>
        <v>Đại học</v>
      </c>
      <c r="J390" t="str">
        <f>survey_responses[[#This Row],[Trình độ học vấn cao nhất:]]</f>
        <v>Đại học</v>
      </c>
      <c r="K390" t="str">
        <f>step3_validation[[#This Row],[Employment]]</f>
        <v>Chính thức</v>
      </c>
      <c r="L390" t="str">
        <f>survey_responses[[#This Row],[Tình trạng việc làm chính:]]</f>
        <v>Khu vực chính thức (Có Hợp đồng lao động, đóng BHXH)</v>
      </c>
      <c r="M390">
        <f>step3_validation[[#This Row],[Income_Mil]]</f>
        <v>18.038767281149184</v>
      </c>
      <c r="N390" t="str">
        <f>survey_responses[[#This Row],[Thu nhập bình quân tháng theo Hợp đồng lao động của bạn là bao nhiêu? (Vui lòng điền tổng thu nhập trước khi khấu trừ các loại Bảo hiểm (BHXH, BHYT, BHTN) và Thuế TNCN)]]</f>
        <v>Từ 18 - 23 triệu VNĐ</v>
      </c>
      <c r="O390">
        <f>step3_validation[[#This Row],[Dependents]]</f>
        <v>0</v>
      </c>
      <c r="P390" t="str">
        <f>survey_responses[[#This Row],[Số người phụ thuộc (con nhỏ, cha mẹ già...) đủ điều kiện giảm trừ gia cảnh:]]</f>
        <v>0 người</v>
      </c>
      <c r="Q390">
        <f>step3_validation[[#This Row],[AI_ENF1]]</f>
        <v>7</v>
      </c>
      <c r="R390">
        <f t="shared" si="162"/>
        <v>0.66666666666666663</v>
      </c>
      <c r="S390">
        <f>survey_responses[[#This Row],[Tôi tin rằng với các quy định quản lý thuế hiện nay, hành vi gian lận hoặc trốn thuế sẽ dễ dàng bị phát hiện và xử lý nghiêm. - HUMAN-ENF1]]</f>
        <v>6</v>
      </c>
      <c r="T390">
        <f t="shared" si="163"/>
        <v>0.55555555555555558</v>
      </c>
      <c r="U390">
        <f>step3_validation[[#This Row],[AI_ENF2]]</f>
        <v>6</v>
      </c>
      <c r="V390">
        <f t="shared" si="164"/>
        <v>0.55555555555555558</v>
      </c>
      <c r="W390">
        <f>survey_responses[[#This Row],[Tôi tin rằng Nhà nước, cơ quan thuế có đủ khả năng và công nghệ để phát hiện, xử lý nghiêm các hành vi trốn thuế. - HUMAN-ENF2]]</f>
        <v>8</v>
      </c>
      <c r="X390">
        <f t="shared" si="165"/>
        <v>0.77777777777777779</v>
      </c>
      <c r="Y390" s="32">
        <f t="shared" si="166"/>
        <v>0.61111111111111116</v>
      </c>
      <c r="Z390" s="32">
        <f t="shared" si="167"/>
        <v>0.66666666666666674</v>
      </c>
      <c r="AA390">
        <f>step3_validation[[#This Row],[AI_FAC1]]</f>
        <v>8</v>
      </c>
      <c r="AB390">
        <f t="shared" si="168"/>
        <v>0.77777777777777779</v>
      </c>
      <c r="AC390">
        <f>survey_responses[[#This Row],[Các thủ tục khai báo thuế VÀ/HOẶC quy trình làm việc với cơ quan thuế đơn giản, tiện lợi, nhanh chóng hơn so với trước đây. - HUMAN-FAC1]]</f>
        <v>7</v>
      </c>
      <c r="AD390">
        <f t="shared" si="169"/>
        <v>0.66666666666666663</v>
      </c>
      <c r="AE390">
        <f>step3_validation[[#This Row],[AI_FAC2]]</f>
        <v>9</v>
      </c>
      <c r="AF390">
        <f t="shared" si="170"/>
        <v>0.88888888888888884</v>
      </c>
      <c r="AG390">
        <f>survey_responses[[#This Row],[So với trước đây, tôi thấy cách tính thuế và các bậc thuế trong phương án mới đơn giản, dễ hiểu và dễ thực hiện hơn. - HUMAN-FAC2]]</f>
        <v>8</v>
      </c>
      <c r="AH390">
        <f t="shared" si="171"/>
        <v>0.77777777777777779</v>
      </c>
      <c r="AI390" s="32">
        <f t="shared" si="172"/>
        <v>0.83333333333333326</v>
      </c>
      <c r="AJ390" s="32">
        <f t="shared" si="173"/>
        <v>0.72222222222222221</v>
      </c>
      <c r="AK390">
        <f>step3_validation[[#This Row],[AI_TRU1]]</f>
        <v>8</v>
      </c>
      <c r="AL390">
        <f t="shared" si="174"/>
        <v>0.77777777777777779</v>
      </c>
      <c r="AM390">
        <f>survey_responses[[#This Row],[Tôi tin rằng Nhà nước, cơ quan thuế sẽ thực thi chính sách mới một cách khách quan, công tâm và đối xử bình đẳng với mọi người nộp thuế.  - HUMAN-TRU1]]</f>
        <v>6</v>
      </c>
      <c r="AN390">
        <f t="shared" si="175"/>
        <v>0.55555555555555558</v>
      </c>
      <c r="AO390">
        <f>step3_validation[[#This Row],[AI_TRU2]]</f>
        <v>9</v>
      </c>
      <c r="AP390">
        <f t="shared" si="176"/>
        <v>0.88888888888888884</v>
      </c>
      <c r="AQ390">
        <f>survey_responses[[#This Row],[Tôi thấy mức thuế tôi phải đóng theo phương án mới là công bằng (người thu nhập như tôi đóng mức này là hợp lý). - HUMAN-TRU2]]</f>
        <v>8</v>
      </c>
      <c r="AR390">
        <f t="shared" si="177"/>
        <v>0.77777777777777779</v>
      </c>
      <c r="AS390">
        <f>step3_validation[[#This Row],[AI_TRU3]]</f>
        <v>8</v>
      </c>
      <c r="AT390">
        <f t="shared" si="178"/>
        <v>0.77777777777777779</v>
      </c>
      <c r="AU390">
        <f>survey_responses[[#This Row],[Tôi tin tưởng số tiền thuế tôi đóng sẽ được Nhà nước sử dụng hiệu quả để cải thiện dịch vụ công (y tế, đường xá...). - HUMAN-TRU3]]</f>
        <v>5</v>
      </c>
      <c r="AV390">
        <f t="shared" si="179"/>
        <v>0.44444444444444442</v>
      </c>
      <c r="AW390">
        <f>step3_validation[[#This Row],[AI_TRU4]]</f>
        <v>7</v>
      </c>
      <c r="AX390">
        <f t="shared" si="180"/>
        <v>0.66666666666666663</v>
      </c>
      <c r="AY390">
        <f>survey_responses[[#This Row],[Tôi thấy Nhà nước đã giải thích rõ ràng, minh bạch về lý do và mục tiêu của việc sửa đổi thuế lần này. - HUMAN-TRU4]]</f>
        <v>5</v>
      </c>
      <c r="AZ390">
        <f t="shared" si="181"/>
        <v>0.44444444444444442</v>
      </c>
      <c r="BA390" s="32">
        <f t="shared" si="182"/>
        <v>0.77777777777777768</v>
      </c>
      <c r="BB390" s="32">
        <f t="shared" si="183"/>
        <v>0.55555555555555558</v>
      </c>
      <c r="BC390" s="7">
        <f t="shared" si="184"/>
        <v>0.74074074074074081</v>
      </c>
      <c r="BD390" s="7">
        <f t="shared" si="185"/>
        <v>0.64814814814814814</v>
      </c>
      <c r="BE390">
        <f>step3_validation[[#This Row],[AI_OUT1]]</f>
        <v>9</v>
      </c>
      <c r="BF390">
        <f t="shared" si="186"/>
        <v>0.88888888888888884</v>
      </c>
      <c r="BG390">
        <f>survey_responses[[#This Row],[Sau khi xem xét các quyền lợi và nghĩa vụ, bạn có ủng hộ và tuân thủ chính sách mới hiện nay? - HUMAN-OUT1]]</f>
        <v>8</v>
      </c>
      <c r="BH390">
        <f t="shared" si="187"/>
        <v>0.77777777777777779</v>
      </c>
      <c r="BI390" s="32">
        <f t="shared" si="188"/>
        <v>1</v>
      </c>
    </row>
    <row r="391" spans="1:61" x14ac:dyDescent="0.45">
      <c r="A391" s="30">
        <f>step3_validation[[#This Row],[Persona_ID]]</f>
        <v>390</v>
      </c>
      <c r="B391" s="31">
        <f>step3_validation[[#This Row],[Used_Seed]]</f>
        <v>390</v>
      </c>
      <c r="C391" t="str">
        <f>step3_validation[[#This Row],[Gender]]</f>
        <v>Nữ</v>
      </c>
      <c r="D391" t="str">
        <f>survey_responses[[#This Row],[Giới tính của bạn:]]</f>
        <v>Nữ</v>
      </c>
      <c r="E391" t="str">
        <f>step3_validation[[#This Row],[Age_Group]]</f>
        <v>40 - 49</v>
      </c>
      <c r="F391" t="str">
        <f>survey_responses[[#This Row],[Độ tuổi của bạn:]]</f>
        <v>40 - 49</v>
      </c>
      <c r="G391" t="str">
        <f>step3_validation[[#This Row],[Region]]</f>
        <v>Thành thị</v>
      </c>
      <c r="H391" t="str">
        <f>survey_responses[[#This Row],[Khu vực bạn đang sinh sống:]]</f>
        <v>Thành thị</v>
      </c>
      <c r="I391" t="str">
        <f>step3_validation[[#This Row],[Education]]</f>
        <v>Sau Đại học</v>
      </c>
      <c r="J391" t="str">
        <f>survey_responses[[#This Row],[Trình độ học vấn cao nhất:]]</f>
        <v>Sau Đại học</v>
      </c>
      <c r="K391" t="str">
        <f>step3_validation[[#This Row],[Employment]]</f>
        <v>Chính thức</v>
      </c>
      <c r="L391" t="str">
        <f>survey_responses[[#This Row],[Tình trạng việc làm chính:]]</f>
        <v>Khu vực chính thức (Có Hợp đồng lao động, đóng BHXH)</v>
      </c>
      <c r="M391">
        <f>step3_validation[[#This Row],[Income_Mil]]</f>
        <v>41.51685399739646</v>
      </c>
      <c r="N391" t="str">
        <f>survey_responses[[#This Row],[Thu nhập bình quân tháng theo Hợp đồng lao động của bạn là bao nhiêu? (Vui lòng điền tổng thu nhập trước khi khấu trừ các loại Bảo hiểm (BHXH, BHYT, BHTN) và Thuế TNCN)]]</f>
        <v>Từ 32 - 48 triệu VNĐ</v>
      </c>
      <c r="O391">
        <f>step3_validation[[#This Row],[Dependents]]</f>
        <v>3</v>
      </c>
      <c r="P391" t="str">
        <f>survey_responses[[#This Row],[Số người phụ thuộc (con nhỏ, cha mẹ già...) đủ điều kiện giảm trừ gia cảnh:]]</f>
        <v>3 người</v>
      </c>
      <c r="Q391">
        <f>step3_validation[[#This Row],[AI_ENF1]]</f>
        <v>8</v>
      </c>
      <c r="R391">
        <f t="shared" si="162"/>
        <v>0.77777777777777779</v>
      </c>
      <c r="S391">
        <f>survey_responses[[#This Row],[Tôi tin rằng với các quy định quản lý thuế hiện nay, hành vi gian lận hoặc trốn thuế sẽ dễ dàng bị phát hiện và xử lý nghiêm. - HUMAN-ENF1]]</f>
        <v>10</v>
      </c>
      <c r="T391">
        <f t="shared" si="163"/>
        <v>1</v>
      </c>
      <c r="U391">
        <f>step3_validation[[#This Row],[AI_ENF2]]</f>
        <v>7</v>
      </c>
      <c r="V391">
        <f t="shared" si="164"/>
        <v>0.66666666666666663</v>
      </c>
      <c r="W391">
        <f>survey_responses[[#This Row],[Tôi tin rằng Nhà nước, cơ quan thuế có đủ khả năng và công nghệ để phát hiện, xử lý nghiêm các hành vi trốn thuế. - HUMAN-ENF2]]</f>
        <v>10</v>
      </c>
      <c r="X391">
        <f t="shared" si="165"/>
        <v>1</v>
      </c>
      <c r="Y391" s="32">
        <f t="shared" si="166"/>
        <v>0.72222222222222221</v>
      </c>
      <c r="Z391" s="32">
        <f t="shared" si="167"/>
        <v>1</v>
      </c>
      <c r="AA391">
        <f>step3_validation[[#This Row],[AI_FAC1]]</f>
        <v>7</v>
      </c>
      <c r="AB391">
        <f t="shared" si="168"/>
        <v>0.66666666666666663</v>
      </c>
      <c r="AC391">
        <f>survey_responses[[#This Row],[Các thủ tục khai báo thuế VÀ/HOẶC quy trình làm việc với cơ quan thuế đơn giản, tiện lợi, nhanh chóng hơn so với trước đây. - HUMAN-FAC1]]</f>
        <v>5</v>
      </c>
      <c r="AD391">
        <f t="shared" si="169"/>
        <v>0.44444444444444442</v>
      </c>
      <c r="AE391">
        <f>step3_validation[[#This Row],[AI_FAC2]]</f>
        <v>9</v>
      </c>
      <c r="AF391">
        <f t="shared" si="170"/>
        <v>0.88888888888888884</v>
      </c>
      <c r="AG391">
        <f>survey_responses[[#This Row],[So với trước đây, tôi thấy cách tính thuế và các bậc thuế trong phương án mới đơn giản, dễ hiểu và dễ thực hiện hơn. - HUMAN-FAC2]]</f>
        <v>9</v>
      </c>
      <c r="AH391">
        <f t="shared" si="171"/>
        <v>0.88888888888888884</v>
      </c>
      <c r="AI391" s="32">
        <f t="shared" si="172"/>
        <v>0.77777777777777768</v>
      </c>
      <c r="AJ391" s="32">
        <f t="shared" si="173"/>
        <v>0.66666666666666663</v>
      </c>
      <c r="AK391">
        <f>step3_validation[[#This Row],[AI_TRU1]]</f>
        <v>7</v>
      </c>
      <c r="AL391">
        <f t="shared" si="174"/>
        <v>0.66666666666666663</v>
      </c>
      <c r="AM391">
        <f>survey_responses[[#This Row],[Tôi tin rằng Nhà nước, cơ quan thuế sẽ thực thi chính sách mới một cách khách quan, công tâm và đối xử bình đẳng với mọi người nộp thuế.  - HUMAN-TRU1]]</f>
        <v>7</v>
      </c>
      <c r="AN391">
        <f t="shared" si="175"/>
        <v>0.66666666666666663</v>
      </c>
      <c r="AO391">
        <f>step3_validation[[#This Row],[AI_TRU2]]</f>
        <v>8</v>
      </c>
      <c r="AP391">
        <f t="shared" si="176"/>
        <v>0.77777777777777779</v>
      </c>
      <c r="AQ391">
        <f>survey_responses[[#This Row],[Tôi thấy mức thuế tôi phải đóng theo phương án mới là công bằng (người thu nhập như tôi đóng mức này là hợp lý). - HUMAN-TRU2]]</f>
        <v>8</v>
      </c>
      <c r="AR391">
        <f t="shared" si="177"/>
        <v>0.77777777777777779</v>
      </c>
      <c r="AS391">
        <f>step3_validation[[#This Row],[AI_TRU3]]</f>
        <v>7</v>
      </c>
      <c r="AT391">
        <f t="shared" si="178"/>
        <v>0.66666666666666663</v>
      </c>
      <c r="AU391">
        <f>survey_responses[[#This Row],[Tôi tin tưởng số tiền thuế tôi đóng sẽ được Nhà nước sử dụng hiệu quả để cải thiện dịch vụ công (y tế, đường xá...). - HUMAN-TRU3]]</f>
        <v>5</v>
      </c>
      <c r="AV391">
        <f t="shared" si="179"/>
        <v>0.44444444444444442</v>
      </c>
      <c r="AW391">
        <f>step3_validation[[#This Row],[AI_TRU4]]</f>
        <v>6</v>
      </c>
      <c r="AX391">
        <f t="shared" si="180"/>
        <v>0.55555555555555558</v>
      </c>
      <c r="AY391">
        <f>survey_responses[[#This Row],[Tôi thấy Nhà nước đã giải thích rõ ràng, minh bạch về lý do và mục tiêu của việc sửa đổi thuế lần này. - HUMAN-TRU4]]</f>
        <v>5</v>
      </c>
      <c r="AZ391">
        <f t="shared" si="181"/>
        <v>0.44444444444444442</v>
      </c>
      <c r="BA391" s="32">
        <f t="shared" si="182"/>
        <v>0.66666666666666674</v>
      </c>
      <c r="BB391" s="32">
        <f t="shared" si="183"/>
        <v>0.58333333333333326</v>
      </c>
      <c r="BC391" s="7">
        <f t="shared" si="184"/>
        <v>0.72222222222222232</v>
      </c>
      <c r="BD391" s="7">
        <f t="shared" si="185"/>
        <v>0.75</v>
      </c>
      <c r="BE391">
        <f>step3_validation[[#This Row],[AI_OUT1]]</f>
        <v>9</v>
      </c>
      <c r="BF391">
        <f t="shared" si="186"/>
        <v>0.88888888888888884</v>
      </c>
      <c r="BG391">
        <f>survey_responses[[#This Row],[Sau khi xem xét các quyền lợi và nghĩa vụ, bạn có ủng hộ và tuân thủ chính sách mới hiện nay? - HUMAN-OUT1]]</f>
        <v>8</v>
      </c>
      <c r="BH391">
        <f t="shared" si="187"/>
        <v>0.77777777777777779</v>
      </c>
      <c r="BI391" s="32">
        <f t="shared" si="188"/>
        <v>1</v>
      </c>
    </row>
    <row r="392" spans="1:61" x14ac:dyDescent="0.45">
      <c r="A392" s="30">
        <f>step3_validation[[#This Row],[Persona_ID]]</f>
        <v>391</v>
      </c>
      <c r="B392" s="31">
        <f>step3_validation[[#This Row],[Used_Seed]]</f>
        <v>391</v>
      </c>
      <c r="C392" t="str">
        <f>step3_validation[[#This Row],[Gender]]</f>
        <v>Nam</v>
      </c>
      <c r="D392" t="str">
        <f>survey_responses[[#This Row],[Giới tính của bạn:]]</f>
        <v>Nam</v>
      </c>
      <c r="E392" t="str">
        <f>step3_validation[[#This Row],[Age_Group]]</f>
        <v>25 - 29</v>
      </c>
      <c r="F392" t="str">
        <f>survey_responses[[#This Row],[Độ tuổi của bạn:]]</f>
        <v>25 - 29</v>
      </c>
      <c r="G392" t="str">
        <f>step3_validation[[#This Row],[Region]]</f>
        <v>Thành thị</v>
      </c>
      <c r="H392" t="str">
        <f>survey_responses[[#This Row],[Khu vực bạn đang sinh sống:]]</f>
        <v>Thành thị</v>
      </c>
      <c r="I392" t="str">
        <f>step3_validation[[#This Row],[Education]]</f>
        <v>Đại học</v>
      </c>
      <c r="J392" t="str">
        <f>survey_responses[[#This Row],[Trình độ học vấn cao nhất:]]</f>
        <v>Đại học</v>
      </c>
      <c r="K392" t="str">
        <f>step3_validation[[#This Row],[Employment]]</f>
        <v>Chính thức</v>
      </c>
      <c r="L392" t="str">
        <f>survey_responses[[#This Row],[Tình trạng việc làm chính:]]</f>
        <v>Khu vực chính thức (Có Hợp đồng lao động, đóng BHXH)</v>
      </c>
      <c r="M392">
        <f>step3_validation[[#This Row],[Income_Mil]]</f>
        <v>12.02461964633963</v>
      </c>
      <c r="N392" t="str">
        <f>survey_responses[[#This Row],[Thu nhập bình quân tháng theo Hợp đồng lao động của bạn là bao nhiêu? (Vui lòng điền tổng thu nhập trước khi khấu trừ các loại Bảo hiểm (BHXH, BHYT, BHTN) và Thuế TNCN)]]</f>
        <v>Từ 12 - 18 triệu VNĐ</v>
      </c>
      <c r="O392">
        <f>step3_validation[[#This Row],[Dependents]]</f>
        <v>0</v>
      </c>
      <c r="P392" t="str">
        <f>survey_responses[[#This Row],[Số người phụ thuộc (con nhỏ, cha mẹ già...) đủ điều kiện giảm trừ gia cảnh:]]</f>
        <v>0 người</v>
      </c>
      <c r="Q392">
        <f>step3_validation[[#This Row],[AI_ENF1]]</f>
        <v>6</v>
      </c>
      <c r="R392">
        <f t="shared" si="162"/>
        <v>0.55555555555555558</v>
      </c>
      <c r="S392">
        <f>survey_responses[[#This Row],[Tôi tin rằng với các quy định quản lý thuế hiện nay, hành vi gian lận hoặc trốn thuế sẽ dễ dàng bị phát hiện và xử lý nghiêm. - HUMAN-ENF1]]</f>
        <v>4</v>
      </c>
      <c r="T392">
        <f t="shared" si="163"/>
        <v>0.33333333333333331</v>
      </c>
      <c r="U392">
        <f>step3_validation[[#This Row],[AI_ENF2]]</f>
        <v>5</v>
      </c>
      <c r="V392">
        <f t="shared" si="164"/>
        <v>0.44444444444444442</v>
      </c>
      <c r="W392">
        <f>survey_responses[[#This Row],[Tôi tin rằng Nhà nước, cơ quan thuế có đủ khả năng và công nghệ để phát hiện, xử lý nghiêm các hành vi trốn thuế. - HUMAN-ENF2]]</f>
        <v>5</v>
      </c>
      <c r="X392">
        <f t="shared" si="165"/>
        <v>0.44444444444444442</v>
      </c>
      <c r="Y392" s="32">
        <f t="shared" si="166"/>
        <v>0.5</v>
      </c>
      <c r="Z392" s="32">
        <f t="shared" si="167"/>
        <v>0.38888888888888884</v>
      </c>
      <c r="AA392">
        <f>step3_validation[[#This Row],[AI_FAC1]]</f>
        <v>8</v>
      </c>
      <c r="AB392">
        <f t="shared" si="168"/>
        <v>0.77777777777777779</v>
      </c>
      <c r="AC392">
        <f>survey_responses[[#This Row],[Các thủ tục khai báo thuế VÀ/HOẶC quy trình làm việc với cơ quan thuế đơn giản, tiện lợi, nhanh chóng hơn so với trước đây. - HUMAN-FAC1]]</f>
        <v>7</v>
      </c>
      <c r="AD392">
        <f t="shared" si="169"/>
        <v>0.66666666666666663</v>
      </c>
      <c r="AE392">
        <f>step3_validation[[#This Row],[AI_FAC2]]</f>
        <v>9</v>
      </c>
      <c r="AF392">
        <f t="shared" si="170"/>
        <v>0.88888888888888884</v>
      </c>
      <c r="AG392">
        <f>survey_responses[[#This Row],[So với trước đây, tôi thấy cách tính thuế và các bậc thuế trong phương án mới đơn giản, dễ hiểu và dễ thực hiện hơn. - HUMAN-FAC2]]</f>
        <v>7</v>
      </c>
      <c r="AH392">
        <f t="shared" si="171"/>
        <v>0.66666666666666663</v>
      </c>
      <c r="AI392" s="32">
        <f t="shared" si="172"/>
        <v>0.83333333333333326</v>
      </c>
      <c r="AJ392" s="32">
        <f t="shared" si="173"/>
        <v>0.66666666666666663</v>
      </c>
      <c r="AK392">
        <f>step3_validation[[#This Row],[AI_TRU1]]</f>
        <v>7</v>
      </c>
      <c r="AL392">
        <f t="shared" si="174"/>
        <v>0.66666666666666663</v>
      </c>
      <c r="AM392">
        <f>survey_responses[[#This Row],[Tôi tin rằng Nhà nước, cơ quan thuế sẽ thực thi chính sách mới một cách khách quan, công tâm và đối xử bình đẳng với mọi người nộp thuế.  - HUMAN-TRU1]]</f>
        <v>5</v>
      </c>
      <c r="AN392">
        <f t="shared" si="175"/>
        <v>0.44444444444444442</v>
      </c>
      <c r="AO392">
        <f>step3_validation[[#This Row],[AI_TRU2]]</f>
        <v>8</v>
      </c>
      <c r="AP392">
        <f t="shared" si="176"/>
        <v>0.77777777777777779</v>
      </c>
      <c r="AQ392">
        <f>survey_responses[[#This Row],[Tôi thấy mức thuế tôi phải đóng theo phương án mới là công bằng (người thu nhập như tôi đóng mức này là hợp lý). - HUMAN-TRU2]]</f>
        <v>7</v>
      </c>
      <c r="AR392">
        <f t="shared" si="177"/>
        <v>0.66666666666666663</v>
      </c>
      <c r="AS392">
        <f>step3_validation[[#This Row],[AI_TRU3]]</f>
        <v>7</v>
      </c>
      <c r="AT392">
        <f t="shared" si="178"/>
        <v>0.66666666666666663</v>
      </c>
      <c r="AU392">
        <f>survey_responses[[#This Row],[Tôi tin tưởng số tiền thuế tôi đóng sẽ được Nhà nước sử dụng hiệu quả để cải thiện dịch vụ công (y tế, đường xá...). - HUMAN-TRU3]]</f>
        <v>5</v>
      </c>
      <c r="AV392">
        <f t="shared" si="179"/>
        <v>0.44444444444444442</v>
      </c>
      <c r="AW392">
        <f>step3_validation[[#This Row],[AI_TRU4]]</f>
        <v>6</v>
      </c>
      <c r="AX392">
        <f t="shared" si="180"/>
        <v>0.55555555555555558</v>
      </c>
      <c r="AY392">
        <f>survey_responses[[#This Row],[Tôi thấy Nhà nước đã giải thích rõ ràng, minh bạch về lý do và mục tiêu của việc sửa đổi thuế lần này. - HUMAN-TRU4]]</f>
        <v>5</v>
      </c>
      <c r="AZ392">
        <f t="shared" si="181"/>
        <v>0.44444444444444442</v>
      </c>
      <c r="BA392" s="32">
        <f t="shared" si="182"/>
        <v>0.66666666666666674</v>
      </c>
      <c r="BB392" s="32">
        <f t="shared" si="183"/>
        <v>0.5</v>
      </c>
      <c r="BC392" s="7">
        <f t="shared" si="184"/>
        <v>0.66666666666666663</v>
      </c>
      <c r="BD392" s="7">
        <f t="shared" si="185"/>
        <v>0.51851851851851849</v>
      </c>
      <c r="BE392">
        <f>step3_validation[[#This Row],[AI_OUT1]]</f>
        <v>9</v>
      </c>
      <c r="BF392">
        <f t="shared" si="186"/>
        <v>0.88888888888888884</v>
      </c>
      <c r="BG392">
        <f>survey_responses[[#This Row],[Sau khi xem xét các quyền lợi và nghĩa vụ, bạn có ủng hộ và tuân thủ chính sách mới hiện nay? - HUMAN-OUT1]]</f>
        <v>7</v>
      </c>
      <c r="BH392">
        <f t="shared" si="187"/>
        <v>0.66666666666666663</v>
      </c>
      <c r="BI392" s="32">
        <f t="shared" si="188"/>
        <v>2</v>
      </c>
    </row>
    <row r="393" spans="1:61" x14ac:dyDescent="0.45">
      <c r="A393" s="30">
        <f>step3_validation[[#This Row],[Persona_ID]]</f>
        <v>392</v>
      </c>
      <c r="B393" s="31">
        <f>step3_validation[[#This Row],[Used_Seed]]</f>
        <v>392</v>
      </c>
      <c r="C393" t="str">
        <f>step3_validation[[#This Row],[Gender]]</f>
        <v>Nữ</v>
      </c>
      <c r="D393" t="str">
        <f>survey_responses[[#This Row],[Giới tính của bạn:]]</f>
        <v>Nữ</v>
      </c>
      <c r="E393" t="str">
        <f>step3_validation[[#This Row],[Age_Group]]</f>
        <v>55 - 64</v>
      </c>
      <c r="F393" t="str">
        <f>survey_responses[[#This Row],[Độ tuổi của bạn:]]</f>
        <v>55 - 64</v>
      </c>
      <c r="G393" t="str">
        <f>step3_validation[[#This Row],[Region]]</f>
        <v>Thành thị</v>
      </c>
      <c r="H393" t="str">
        <f>survey_responses[[#This Row],[Khu vực bạn đang sinh sống:]]</f>
        <v>Thành thị</v>
      </c>
      <c r="I393" t="str">
        <f>step3_validation[[#This Row],[Education]]</f>
        <v>Sau Đại học</v>
      </c>
      <c r="J393" t="str">
        <f>survey_responses[[#This Row],[Trình độ học vấn cao nhất:]]</f>
        <v>Sau Đại học</v>
      </c>
      <c r="K393" t="str">
        <f>step3_validation[[#This Row],[Employment]]</f>
        <v>Chính thức</v>
      </c>
      <c r="L393" t="str">
        <f>survey_responses[[#This Row],[Tình trạng việc làm chính:]]</f>
        <v>Khu vực chính thức (Có Hợp đồng lao động, đóng BHXH)</v>
      </c>
      <c r="M393">
        <f>step3_validation[[#This Row],[Income_Mil]]</f>
        <v>139.23942274695739</v>
      </c>
      <c r="N393" t="str">
        <f>survey_responses[[#This Row],[Thu nhập bình quân tháng theo Hợp đồng lao động của bạn là bao nhiêu? (Vui lòng điền tổng thu nhập trước khi khấu trừ các loại Bảo hiểm (BHXH, BHYT, BHTN) và Thuế TNCN)]]</f>
        <v>Trên 102 triệu VNĐ</v>
      </c>
      <c r="O393">
        <f>step3_validation[[#This Row],[Dependents]]</f>
        <v>4</v>
      </c>
      <c r="P393" t="str">
        <f>survey_responses[[#This Row],[Số người phụ thuộc (con nhỏ, cha mẹ già...) đủ điều kiện giảm trừ gia cảnh:]]</f>
        <v>4 người trở lên</v>
      </c>
      <c r="Q393">
        <f>step3_validation[[#This Row],[AI_ENF1]]</f>
        <v>6</v>
      </c>
      <c r="R393">
        <f t="shared" si="162"/>
        <v>0.55555555555555558</v>
      </c>
      <c r="S393">
        <f>survey_responses[[#This Row],[Tôi tin rằng với các quy định quản lý thuế hiện nay, hành vi gian lận hoặc trốn thuế sẽ dễ dàng bị phát hiện và xử lý nghiêm. - HUMAN-ENF1]]</f>
        <v>2</v>
      </c>
      <c r="T393">
        <f t="shared" si="163"/>
        <v>0.1111111111111111</v>
      </c>
      <c r="U393">
        <f>step3_validation[[#This Row],[AI_ENF2]]</f>
        <v>6</v>
      </c>
      <c r="V393">
        <f t="shared" si="164"/>
        <v>0.55555555555555558</v>
      </c>
      <c r="W393">
        <f>survey_responses[[#This Row],[Tôi tin rằng Nhà nước, cơ quan thuế có đủ khả năng và công nghệ để phát hiện, xử lý nghiêm các hành vi trốn thuế. - HUMAN-ENF2]]</f>
        <v>3</v>
      </c>
      <c r="X393">
        <f t="shared" si="165"/>
        <v>0.22222222222222221</v>
      </c>
      <c r="Y393" s="32">
        <f t="shared" si="166"/>
        <v>0.55555555555555558</v>
      </c>
      <c r="Z393" s="32">
        <f t="shared" si="167"/>
        <v>0.16666666666666666</v>
      </c>
      <c r="AA393">
        <f>step3_validation[[#This Row],[AI_FAC1]]</f>
        <v>8</v>
      </c>
      <c r="AB393">
        <f t="shared" si="168"/>
        <v>0.77777777777777779</v>
      </c>
      <c r="AC393">
        <f>survey_responses[[#This Row],[Các thủ tục khai báo thuế VÀ/HOẶC quy trình làm việc với cơ quan thuế đơn giản, tiện lợi, nhanh chóng hơn so với trước đây. - HUMAN-FAC1]]</f>
        <v>3</v>
      </c>
      <c r="AD393">
        <f t="shared" si="169"/>
        <v>0.22222222222222221</v>
      </c>
      <c r="AE393">
        <f>step3_validation[[#This Row],[AI_FAC2]]</f>
        <v>7</v>
      </c>
      <c r="AF393">
        <f t="shared" si="170"/>
        <v>0.66666666666666663</v>
      </c>
      <c r="AG393">
        <f>survey_responses[[#This Row],[So với trước đây, tôi thấy cách tính thuế và các bậc thuế trong phương án mới đơn giản, dễ hiểu và dễ thực hiện hơn. - HUMAN-FAC2]]</f>
        <v>6</v>
      </c>
      <c r="AH393">
        <f t="shared" si="171"/>
        <v>0.55555555555555558</v>
      </c>
      <c r="AI393" s="32">
        <f t="shared" si="172"/>
        <v>0.72222222222222221</v>
      </c>
      <c r="AJ393" s="32">
        <f t="shared" si="173"/>
        <v>0.3888888888888889</v>
      </c>
      <c r="AK393">
        <f>step3_validation[[#This Row],[AI_TRU1]]</f>
        <v>6</v>
      </c>
      <c r="AL393">
        <f t="shared" si="174"/>
        <v>0.55555555555555558</v>
      </c>
      <c r="AM393">
        <f>survey_responses[[#This Row],[Tôi tin rằng Nhà nước, cơ quan thuế sẽ thực thi chính sách mới một cách khách quan, công tâm và đối xử bình đẳng với mọi người nộp thuế.  - HUMAN-TRU1]]</f>
        <v>5</v>
      </c>
      <c r="AN393">
        <f t="shared" si="175"/>
        <v>0.44444444444444442</v>
      </c>
      <c r="AO393">
        <f>step3_validation[[#This Row],[AI_TRU2]]</f>
        <v>7</v>
      </c>
      <c r="AP393">
        <f t="shared" si="176"/>
        <v>0.66666666666666663</v>
      </c>
      <c r="AQ393">
        <f>survey_responses[[#This Row],[Tôi thấy mức thuế tôi phải đóng theo phương án mới là công bằng (người thu nhập như tôi đóng mức này là hợp lý). - HUMAN-TRU2]]</f>
        <v>5</v>
      </c>
      <c r="AR393">
        <f t="shared" si="177"/>
        <v>0.44444444444444442</v>
      </c>
      <c r="AS393">
        <f>step3_validation[[#This Row],[AI_TRU3]]</f>
        <v>6</v>
      </c>
      <c r="AT393">
        <f t="shared" si="178"/>
        <v>0.55555555555555558</v>
      </c>
      <c r="AU393">
        <f>survey_responses[[#This Row],[Tôi tin tưởng số tiền thuế tôi đóng sẽ được Nhà nước sử dụng hiệu quả để cải thiện dịch vụ công (y tế, đường xá...). - HUMAN-TRU3]]</f>
        <v>5</v>
      </c>
      <c r="AV393">
        <f t="shared" si="179"/>
        <v>0.44444444444444442</v>
      </c>
      <c r="AW393">
        <f>step3_validation[[#This Row],[AI_TRU4]]</f>
        <v>7</v>
      </c>
      <c r="AX393">
        <f t="shared" si="180"/>
        <v>0.66666666666666663</v>
      </c>
      <c r="AY393">
        <f>survey_responses[[#This Row],[Tôi thấy Nhà nước đã giải thích rõ ràng, minh bạch về lý do và mục tiêu của việc sửa đổi thuế lần này. - HUMAN-TRU4]]</f>
        <v>5</v>
      </c>
      <c r="AZ393">
        <f t="shared" si="181"/>
        <v>0.44444444444444442</v>
      </c>
      <c r="BA393" s="32">
        <f t="shared" si="182"/>
        <v>0.61111111111111116</v>
      </c>
      <c r="BB393" s="32">
        <f t="shared" si="183"/>
        <v>0.44444444444444442</v>
      </c>
      <c r="BC393" s="7">
        <f t="shared" si="184"/>
        <v>0.62962962962962965</v>
      </c>
      <c r="BD393" s="7">
        <f t="shared" si="185"/>
        <v>0.33333333333333331</v>
      </c>
      <c r="BE393">
        <f>step3_validation[[#This Row],[AI_OUT1]]</f>
        <v>8</v>
      </c>
      <c r="BF393">
        <f t="shared" si="186"/>
        <v>0.77777777777777779</v>
      </c>
      <c r="BG393">
        <f>survey_responses[[#This Row],[Sau khi xem xét các quyền lợi và nghĩa vụ, bạn có ủng hộ và tuân thủ chính sách mới hiện nay? - HUMAN-OUT1]]</f>
        <v>5</v>
      </c>
      <c r="BH393">
        <f t="shared" si="187"/>
        <v>0.44444444444444442</v>
      </c>
      <c r="BI393" s="32">
        <f t="shared" si="188"/>
        <v>3</v>
      </c>
    </row>
    <row r="394" spans="1:61" x14ac:dyDescent="0.45">
      <c r="A394" s="30">
        <f>step3_validation[[#This Row],[Persona_ID]]</f>
        <v>393</v>
      </c>
      <c r="B394" s="31">
        <f>step3_validation[[#This Row],[Used_Seed]]</f>
        <v>393</v>
      </c>
      <c r="C394" t="str">
        <f>step3_validation[[#This Row],[Gender]]</f>
        <v>Nữ</v>
      </c>
      <c r="D394" t="str">
        <f>survey_responses[[#This Row],[Giới tính của bạn:]]</f>
        <v>Nữ</v>
      </c>
      <c r="E394" t="str">
        <f>step3_validation[[#This Row],[Age_Group]]</f>
        <v>30 - 39</v>
      </c>
      <c r="F394" t="str">
        <f>survey_responses[[#This Row],[Độ tuổi của bạn:]]</f>
        <v>30 - 39</v>
      </c>
      <c r="G394" t="str">
        <f>step3_validation[[#This Row],[Region]]</f>
        <v>Thành thị</v>
      </c>
      <c r="H394" t="str">
        <f>survey_responses[[#This Row],[Khu vực bạn đang sinh sống:]]</f>
        <v>Thành thị</v>
      </c>
      <c r="I394" t="str">
        <f>step3_validation[[#This Row],[Education]]</f>
        <v>Đại học</v>
      </c>
      <c r="J394" t="str">
        <f>survey_responses[[#This Row],[Trình độ học vấn cao nhất:]]</f>
        <v>Đại học</v>
      </c>
      <c r="K394" t="str">
        <f>step3_validation[[#This Row],[Employment]]</f>
        <v>Chính thức</v>
      </c>
      <c r="L394" t="str">
        <f>survey_responses[[#This Row],[Tình trạng việc làm chính:]]</f>
        <v>Khu vực chính thức (Có Hợp đồng lao động, đóng BHXH)</v>
      </c>
      <c r="M394">
        <f>step3_validation[[#This Row],[Income_Mil]]</f>
        <v>26.043387963779836</v>
      </c>
      <c r="N394" t="str">
        <f>survey_responses[[#This Row],[Thu nhập bình quân tháng theo Hợp đồng lao động của bạn là bao nhiêu? (Vui lòng điền tổng thu nhập trước khi khấu trừ các loại Bảo hiểm (BHXH, BHYT, BHTN) và Thuế TNCN)]]</f>
        <v>Từ 23 - 32 triệu VNĐ</v>
      </c>
      <c r="O394">
        <f>step3_validation[[#This Row],[Dependents]]</f>
        <v>2</v>
      </c>
      <c r="P394" t="str">
        <f>survey_responses[[#This Row],[Số người phụ thuộc (con nhỏ, cha mẹ già...) đủ điều kiện giảm trừ gia cảnh:]]</f>
        <v>2 người</v>
      </c>
      <c r="Q394">
        <f>step3_validation[[#This Row],[AI_ENF1]]</f>
        <v>5</v>
      </c>
      <c r="R394">
        <f t="shared" si="162"/>
        <v>0.44444444444444442</v>
      </c>
      <c r="S394">
        <f>survey_responses[[#This Row],[Tôi tin rằng với các quy định quản lý thuế hiện nay, hành vi gian lận hoặc trốn thuế sẽ dễ dàng bị phát hiện và xử lý nghiêm. - HUMAN-ENF1]]</f>
        <v>7</v>
      </c>
      <c r="T394">
        <f t="shared" si="163"/>
        <v>0.66666666666666663</v>
      </c>
      <c r="U394">
        <f>step3_validation[[#This Row],[AI_ENF2]]</f>
        <v>7</v>
      </c>
      <c r="V394">
        <f t="shared" si="164"/>
        <v>0.66666666666666663</v>
      </c>
      <c r="W394">
        <f>survey_responses[[#This Row],[Tôi tin rằng Nhà nước, cơ quan thuế có đủ khả năng và công nghệ để phát hiện, xử lý nghiêm các hành vi trốn thuế. - HUMAN-ENF2]]</f>
        <v>7</v>
      </c>
      <c r="X394">
        <f t="shared" si="165"/>
        <v>0.66666666666666663</v>
      </c>
      <c r="Y394" s="32">
        <f t="shared" si="166"/>
        <v>0.55555555555555558</v>
      </c>
      <c r="Z394" s="32">
        <f t="shared" si="167"/>
        <v>0.66666666666666663</v>
      </c>
      <c r="AA394">
        <f>step3_validation[[#This Row],[AI_FAC1]]</f>
        <v>9</v>
      </c>
      <c r="AB394">
        <f t="shared" si="168"/>
        <v>0.88888888888888884</v>
      </c>
      <c r="AC394">
        <f>survey_responses[[#This Row],[Các thủ tục khai báo thuế VÀ/HOẶC quy trình làm việc với cơ quan thuế đơn giản, tiện lợi, nhanh chóng hơn so với trước đây. - HUMAN-FAC1]]</f>
        <v>5</v>
      </c>
      <c r="AD394">
        <f t="shared" si="169"/>
        <v>0.44444444444444442</v>
      </c>
      <c r="AE394">
        <f>step3_validation[[#This Row],[AI_FAC2]]</f>
        <v>8</v>
      </c>
      <c r="AF394">
        <f t="shared" si="170"/>
        <v>0.77777777777777779</v>
      </c>
      <c r="AG394">
        <f>survey_responses[[#This Row],[So với trước đây, tôi thấy cách tính thuế và các bậc thuế trong phương án mới đơn giản, dễ hiểu và dễ thực hiện hơn. - HUMAN-FAC2]]</f>
        <v>8</v>
      </c>
      <c r="AH394">
        <f t="shared" si="171"/>
        <v>0.77777777777777779</v>
      </c>
      <c r="AI394" s="32">
        <f t="shared" si="172"/>
        <v>0.83333333333333326</v>
      </c>
      <c r="AJ394" s="32">
        <f t="shared" si="173"/>
        <v>0.61111111111111116</v>
      </c>
      <c r="AK394">
        <f>step3_validation[[#This Row],[AI_TRU1]]</f>
        <v>6</v>
      </c>
      <c r="AL394">
        <f t="shared" si="174"/>
        <v>0.55555555555555558</v>
      </c>
      <c r="AM394">
        <f>survey_responses[[#This Row],[Tôi tin rằng Nhà nước, cơ quan thuế sẽ thực thi chính sách mới một cách khách quan, công tâm và đối xử bình đẳng với mọi người nộp thuế.  - HUMAN-TRU1]]</f>
        <v>7</v>
      </c>
      <c r="AN394">
        <f t="shared" si="175"/>
        <v>0.66666666666666663</v>
      </c>
      <c r="AO394">
        <f>step3_validation[[#This Row],[AI_TRU2]]</f>
        <v>9</v>
      </c>
      <c r="AP394">
        <f t="shared" si="176"/>
        <v>0.88888888888888884</v>
      </c>
      <c r="AQ394">
        <f>survey_responses[[#This Row],[Tôi thấy mức thuế tôi phải đóng theo phương án mới là công bằng (người thu nhập như tôi đóng mức này là hợp lý). - HUMAN-TRU2]]</f>
        <v>7</v>
      </c>
      <c r="AR394">
        <f t="shared" si="177"/>
        <v>0.66666666666666663</v>
      </c>
      <c r="AS394">
        <f>step3_validation[[#This Row],[AI_TRU3]]</f>
        <v>7</v>
      </c>
      <c r="AT394">
        <f t="shared" si="178"/>
        <v>0.66666666666666663</v>
      </c>
      <c r="AU394">
        <f>survey_responses[[#This Row],[Tôi tin tưởng số tiền thuế tôi đóng sẽ được Nhà nước sử dụng hiệu quả để cải thiện dịch vụ công (y tế, đường xá...). - HUMAN-TRU3]]</f>
        <v>5</v>
      </c>
      <c r="AV394">
        <f t="shared" si="179"/>
        <v>0.44444444444444442</v>
      </c>
      <c r="AW394">
        <f>step3_validation[[#This Row],[AI_TRU4]]</f>
        <v>8</v>
      </c>
      <c r="AX394">
        <f t="shared" si="180"/>
        <v>0.77777777777777779</v>
      </c>
      <c r="AY394">
        <f>survey_responses[[#This Row],[Tôi thấy Nhà nước đã giải thích rõ ràng, minh bạch về lý do và mục tiêu của việc sửa đổi thuế lần này. - HUMAN-TRU4]]</f>
        <v>6</v>
      </c>
      <c r="AZ394">
        <f t="shared" si="181"/>
        <v>0.55555555555555558</v>
      </c>
      <c r="BA394" s="32">
        <f t="shared" si="182"/>
        <v>0.72222222222222221</v>
      </c>
      <c r="BB394" s="32">
        <f t="shared" si="183"/>
        <v>0.58333333333333326</v>
      </c>
      <c r="BC394" s="7">
        <f t="shared" si="184"/>
        <v>0.70370370370370372</v>
      </c>
      <c r="BD394" s="7">
        <f t="shared" si="185"/>
        <v>0.62037037037037035</v>
      </c>
      <c r="BE394">
        <f>step3_validation[[#This Row],[AI_OUT1]]</f>
        <v>9</v>
      </c>
      <c r="BF394">
        <f t="shared" si="186"/>
        <v>0.88888888888888884</v>
      </c>
      <c r="BG394">
        <f>survey_responses[[#This Row],[Sau khi xem xét các quyền lợi và nghĩa vụ, bạn có ủng hộ và tuân thủ chính sách mới hiện nay? - HUMAN-OUT1]]</f>
        <v>7</v>
      </c>
      <c r="BH394">
        <f t="shared" si="187"/>
        <v>0.66666666666666663</v>
      </c>
      <c r="BI394" s="32">
        <f t="shared" si="188"/>
        <v>2</v>
      </c>
    </row>
    <row r="395" spans="1:61" x14ac:dyDescent="0.45">
      <c r="A395" s="30">
        <f>step3_validation[[#This Row],[Persona_ID]]</f>
        <v>394</v>
      </c>
      <c r="B395" s="31">
        <f>step3_validation[[#This Row],[Used_Seed]]</f>
        <v>394</v>
      </c>
      <c r="C395" t="str">
        <f>step3_validation[[#This Row],[Gender]]</f>
        <v>Nam</v>
      </c>
      <c r="D395" t="str">
        <f>survey_responses[[#This Row],[Giới tính của bạn:]]</f>
        <v>Nam</v>
      </c>
      <c r="E395" t="str">
        <f>step3_validation[[#This Row],[Age_Group]]</f>
        <v>25 - 29</v>
      </c>
      <c r="F395" t="str">
        <f>survey_responses[[#This Row],[Độ tuổi của bạn:]]</f>
        <v>25 - 29</v>
      </c>
      <c r="G395" t="str">
        <f>step3_validation[[#This Row],[Region]]</f>
        <v>Thành thị</v>
      </c>
      <c r="H395" t="str">
        <f>survey_responses[[#This Row],[Khu vực bạn đang sinh sống:]]</f>
        <v>Thành thị</v>
      </c>
      <c r="I395" t="str">
        <f>step3_validation[[#This Row],[Education]]</f>
        <v>Đại học</v>
      </c>
      <c r="J395" t="str">
        <f>survey_responses[[#This Row],[Trình độ học vấn cao nhất:]]</f>
        <v>Đại học</v>
      </c>
      <c r="K395" t="str">
        <f>step3_validation[[#This Row],[Employment]]</f>
        <v>Chính thức</v>
      </c>
      <c r="L395" t="str">
        <f>survey_responses[[#This Row],[Tình trạng việc làm chính:]]</f>
        <v>Khu vực chính thức (Có Hợp đồng lao động, đóng BHXH)</v>
      </c>
      <c r="M395">
        <f>step3_validation[[#This Row],[Income_Mil]]</f>
        <v>12</v>
      </c>
      <c r="N395" t="str">
        <f>survey_responses[[#This Row],[Thu nhập bình quân tháng theo Hợp đồng lao động của bạn là bao nhiêu? (Vui lòng điền tổng thu nhập trước khi khấu trừ các loại Bảo hiểm (BHXH, BHYT, BHTN) và Thuế TNCN)]]</f>
        <v>Dưới 12 triệu VNĐ</v>
      </c>
      <c r="O395">
        <f>step3_validation[[#This Row],[Dependents]]</f>
        <v>1</v>
      </c>
      <c r="P395" t="str">
        <f>survey_responses[[#This Row],[Số người phụ thuộc (con nhỏ, cha mẹ già...) đủ điều kiện giảm trừ gia cảnh:]]</f>
        <v>1 người</v>
      </c>
      <c r="Q395">
        <f>step3_validation[[#This Row],[AI_ENF1]]</f>
        <v>7</v>
      </c>
      <c r="R395">
        <f t="shared" si="162"/>
        <v>0.66666666666666663</v>
      </c>
      <c r="S395">
        <f>survey_responses[[#This Row],[Tôi tin rằng với các quy định quản lý thuế hiện nay, hành vi gian lận hoặc trốn thuế sẽ dễ dàng bị phát hiện và xử lý nghiêm. - HUMAN-ENF1]]</f>
        <v>9</v>
      </c>
      <c r="T395">
        <f t="shared" si="163"/>
        <v>0.88888888888888884</v>
      </c>
      <c r="U395">
        <f>step3_validation[[#This Row],[AI_ENF2]]</f>
        <v>6</v>
      </c>
      <c r="V395">
        <f t="shared" si="164"/>
        <v>0.55555555555555558</v>
      </c>
      <c r="W395">
        <f>survey_responses[[#This Row],[Tôi tin rằng Nhà nước, cơ quan thuế có đủ khả năng và công nghệ để phát hiện, xử lý nghiêm các hành vi trốn thuế. - HUMAN-ENF2]]</f>
        <v>9</v>
      </c>
      <c r="X395">
        <f t="shared" si="165"/>
        <v>0.88888888888888884</v>
      </c>
      <c r="Y395" s="32">
        <f t="shared" si="166"/>
        <v>0.61111111111111116</v>
      </c>
      <c r="Z395" s="32">
        <f t="shared" si="167"/>
        <v>0.88888888888888884</v>
      </c>
      <c r="AA395">
        <f>step3_validation[[#This Row],[AI_FAC1]]</f>
        <v>8</v>
      </c>
      <c r="AB395">
        <f t="shared" si="168"/>
        <v>0.77777777777777779</v>
      </c>
      <c r="AC395">
        <f>survey_responses[[#This Row],[Các thủ tục khai báo thuế VÀ/HOẶC quy trình làm việc với cơ quan thuế đơn giản, tiện lợi, nhanh chóng hơn so với trước đây. - HUMAN-FAC1]]</f>
        <v>9</v>
      </c>
      <c r="AD395">
        <f t="shared" si="169"/>
        <v>0.88888888888888884</v>
      </c>
      <c r="AE395">
        <f>step3_validation[[#This Row],[AI_FAC2]]</f>
        <v>9</v>
      </c>
      <c r="AF395">
        <f t="shared" si="170"/>
        <v>0.88888888888888884</v>
      </c>
      <c r="AG395">
        <f>survey_responses[[#This Row],[So với trước đây, tôi thấy cách tính thuế và các bậc thuế trong phương án mới đơn giản, dễ hiểu và dễ thực hiện hơn. - HUMAN-FAC2]]</f>
        <v>7</v>
      </c>
      <c r="AH395">
        <f t="shared" si="171"/>
        <v>0.66666666666666663</v>
      </c>
      <c r="AI395" s="32">
        <f t="shared" si="172"/>
        <v>0.83333333333333326</v>
      </c>
      <c r="AJ395" s="32">
        <f t="shared" si="173"/>
        <v>0.77777777777777768</v>
      </c>
      <c r="AK395">
        <f>step3_validation[[#This Row],[AI_TRU1]]</f>
        <v>8</v>
      </c>
      <c r="AL395">
        <f t="shared" si="174"/>
        <v>0.77777777777777779</v>
      </c>
      <c r="AM395">
        <f>survey_responses[[#This Row],[Tôi tin rằng Nhà nước, cơ quan thuế sẽ thực thi chính sách mới một cách khách quan, công tâm và đối xử bình đẳng với mọi người nộp thuế.  - HUMAN-TRU1]]</f>
        <v>8</v>
      </c>
      <c r="AN395">
        <f t="shared" si="175"/>
        <v>0.77777777777777779</v>
      </c>
      <c r="AO395">
        <f>step3_validation[[#This Row],[AI_TRU2]]</f>
        <v>9</v>
      </c>
      <c r="AP395">
        <f t="shared" si="176"/>
        <v>0.88888888888888884</v>
      </c>
      <c r="AQ395">
        <f>survey_responses[[#This Row],[Tôi thấy mức thuế tôi phải đóng theo phương án mới là công bằng (người thu nhập như tôi đóng mức này là hợp lý). - HUMAN-TRU2]]</f>
        <v>6</v>
      </c>
      <c r="AR395">
        <f t="shared" si="177"/>
        <v>0.55555555555555558</v>
      </c>
      <c r="AS395">
        <f>step3_validation[[#This Row],[AI_TRU3]]</f>
        <v>7</v>
      </c>
      <c r="AT395">
        <f t="shared" si="178"/>
        <v>0.66666666666666663</v>
      </c>
      <c r="AU395">
        <f>survey_responses[[#This Row],[Tôi tin tưởng số tiền thuế tôi đóng sẽ được Nhà nước sử dụng hiệu quả để cải thiện dịch vụ công (y tế, đường xá...). - HUMAN-TRU3]]</f>
        <v>8</v>
      </c>
      <c r="AV395">
        <f t="shared" si="179"/>
        <v>0.77777777777777779</v>
      </c>
      <c r="AW395">
        <f>step3_validation[[#This Row],[AI_TRU4]]</f>
        <v>8</v>
      </c>
      <c r="AX395">
        <f t="shared" si="180"/>
        <v>0.77777777777777779</v>
      </c>
      <c r="AY395">
        <f>survey_responses[[#This Row],[Tôi thấy Nhà nước đã giải thích rõ ràng, minh bạch về lý do và mục tiêu của việc sửa đổi thuế lần này. - HUMAN-TRU4]]</f>
        <v>10</v>
      </c>
      <c r="AZ395">
        <f t="shared" si="181"/>
        <v>1</v>
      </c>
      <c r="BA395" s="32">
        <f t="shared" si="182"/>
        <v>0.77777777777777768</v>
      </c>
      <c r="BB395" s="32">
        <f t="shared" si="183"/>
        <v>0.77777777777777779</v>
      </c>
      <c r="BC395" s="7">
        <f t="shared" si="184"/>
        <v>0.74074074074074081</v>
      </c>
      <c r="BD395" s="7">
        <f t="shared" si="185"/>
        <v>0.81481481481481477</v>
      </c>
      <c r="BE395">
        <f>step3_validation[[#This Row],[AI_OUT1]]</f>
        <v>9</v>
      </c>
      <c r="BF395">
        <f t="shared" si="186"/>
        <v>0.88888888888888884</v>
      </c>
      <c r="BG395">
        <f>survey_responses[[#This Row],[Sau khi xem xét các quyền lợi và nghĩa vụ, bạn có ủng hộ và tuân thủ chính sách mới hiện nay? - HUMAN-OUT1]]</f>
        <v>10</v>
      </c>
      <c r="BH395">
        <f t="shared" si="187"/>
        <v>1</v>
      </c>
      <c r="BI395" s="32">
        <f t="shared" si="188"/>
        <v>1</v>
      </c>
    </row>
    <row r="396" spans="1:61" x14ac:dyDescent="0.45">
      <c r="A396" s="30">
        <f>step3_validation[[#This Row],[Persona_ID]]</f>
        <v>395</v>
      </c>
      <c r="B396" s="31">
        <f>step3_validation[[#This Row],[Used_Seed]]</f>
        <v>395</v>
      </c>
      <c r="C396" t="str">
        <f>step3_validation[[#This Row],[Gender]]</f>
        <v>Nam</v>
      </c>
      <c r="D396" t="str">
        <f>survey_responses[[#This Row],[Giới tính của bạn:]]</f>
        <v>Nam</v>
      </c>
      <c r="E396" t="str">
        <f>step3_validation[[#This Row],[Age_Group]]</f>
        <v>50 - 54</v>
      </c>
      <c r="F396" t="str">
        <f>survey_responses[[#This Row],[Độ tuổi của bạn:]]</f>
        <v>50 - 54</v>
      </c>
      <c r="G396" t="str">
        <f>step3_validation[[#This Row],[Region]]</f>
        <v>Thành thị</v>
      </c>
      <c r="H396" t="str">
        <f>survey_responses[[#This Row],[Khu vực bạn đang sinh sống:]]</f>
        <v>Thành thị</v>
      </c>
      <c r="I396" t="str">
        <f>step3_validation[[#This Row],[Education]]</f>
        <v>Đại học</v>
      </c>
      <c r="J396" t="str">
        <f>survey_responses[[#This Row],[Trình độ học vấn cao nhất:]]</f>
        <v>Đại học</v>
      </c>
      <c r="K396" t="str">
        <f>step3_validation[[#This Row],[Employment]]</f>
        <v>Chính thức</v>
      </c>
      <c r="L396" t="str">
        <f>survey_responses[[#This Row],[Tình trạng việc làm chính:]]</f>
        <v>Khu vực chính thức (Có Hợp đồng lao động, đóng BHXH)</v>
      </c>
      <c r="M396">
        <f>step3_validation[[#This Row],[Income_Mil]]</f>
        <v>33.088162908985687</v>
      </c>
      <c r="N396" t="str">
        <f>survey_responses[[#This Row],[Thu nhập bình quân tháng theo Hợp đồng lao động của bạn là bao nhiêu? (Vui lòng điền tổng thu nhập trước khi khấu trừ các loại Bảo hiểm (BHXH, BHYT, BHTN) và Thuế TNCN)]]</f>
        <v>Từ 32 - 48 triệu VNĐ</v>
      </c>
      <c r="O396">
        <f>step3_validation[[#This Row],[Dependents]]</f>
        <v>1</v>
      </c>
      <c r="P396" t="str">
        <f>survey_responses[[#This Row],[Số người phụ thuộc (con nhỏ, cha mẹ già...) đủ điều kiện giảm trừ gia cảnh:]]</f>
        <v>1 người</v>
      </c>
      <c r="Q396">
        <f>step3_validation[[#This Row],[AI_ENF1]]</f>
        <v>5</v>
      </c>
      <c r="R396">
        <f t="shared" si="162"/>
        <v>0.44444444444444442</v>
      </c>
      <c r="S396">
        <f>survey_responses[[#This Row],[Tôi tin rằng với các quy định quản lý thuế hiện nay, hành vi gian lận hoặc trốn thuế sẽ dễ dàng bị phát hiện và xử lý nghiêm. - HUMAN-ENF1]]</f>
        <v>7</v>
      </c>
      <c r="T396">
        <f t="shared" si="163"/>
        <v>0.66666666666666663</v>
      </c>
      <c r="U396">
        <f>step3_validation[[#This Row],[AI_ENF2]]</f>
        <v>6</v>
      </c>
      <c r="V396">
        <f t="shared" si="164"/>
        <v>0.55555555555555558</v>
      </c>
      <c r="W396">
        <f>survey_responses[[#This Row],[Tôi tin rằng Nhà nước, cơ quan thuế có đủ khả năng và công nghệ để phát hiện, xử lý nghiêm các hành vi trốn thuế. - HUMAN-ENF2]]</f>
        <v>7</v>
      </c>
      <c r="X396">
        <f t="shared" si="165"/>
        <v>0.66666666666666663</v>
      </c>
      <c r="Y396" s="32">
        <f t="shared" si="166"/>
        <v>0.5</v>
      </c>
      <c r="Z396" s="32">
        <f t="shared" si="167"/>
        <v>0.66666666666666663</v>
      </c>
      <c r="AA396">
        <f>step3_validation[[#This Row],[AI_FAC1]]</f>
        <v>7</v>
      </c>
      <c r="AB396">
        <f t="shared" si="168"/>
        <v>0.66666666666666663</v>
      </c>
      <c r="AC396">
        <f>survey_responses[[#This Row],[Các thủ tục khai báo thuế VÀ/HOẶC quy trình làm việc với cơ quan thuế đơn giản, tiện lợi, nhanh chóng hơn so với trước đây. - HUMAN-FAC1]]</f>
        <v>5</v>
      </c>
      <c r="AD396">
        <f t="shared" si="169"/>
        <v>0.44444444444444442</v>
      </c>
      <c r="AE396">
        <f>step3_validation[[#This Row],[AI_FAC2]]</f>
        <v>8</v>
      </c>
      <c r="AF396">
        <f t="shared" si="170"/>
        <v>0.77777777777777779</v>
      </c>
      <c r="AG396">
        <f>survey_responses[[#This Row],[So với trước đây, tôi thấy cách tính thuế và các bậc thuế trong phương án mới đơn giản, dễ hiểu và dễ thực hiện hơn. - HUMAN-FAC2]]</f>
        <v>7</v>
      </c>
      <c r="AH396">
        <f t="shared" si="171"/>
        <v>0.66666666666666663</v>
      </c>
      <c r="AI396" s="32">
        <f t="shared" si="172"/>
        <v>0.72222222222222221</v>
      </c>
      <c r="AJ396" s="32">
        <f t="shared" si="173"/>
        <v>0.55555555555555558</v>
      </c>
      <c r="AK396">
        <f>step3_validation[[#This Row],[AI_TRU1]]</f>
        <v>9</v>
      </c>
      <c r="AL396">
        <f t="shared" si="174"/>
        <v>0.88888888888888884</v>
      </c>
      <c r="AM396">
        <f>survey_responses[[#This Row],[Tôi tin rằng Nhà nước, cơ quan thuế sẽ thực thi chính sách mới một cách khách quan, công tâm và đối xử bình đẳng với mọi người nộp thuế.  - HUMAN-TRU1]]</f>
        <v>5</v>
      </c>
      <c r="AN396">
        <f t="shared" si="175"/>
        <v>0.44444444444444442</v>
      </c>
      <c r="AO396">
        <f>step3_validation[[#This Row],[AI_TRU2]]</f>
        <v>7</v>
      </c>
      <c r="AP396">
        <f t="shared" si="176"/>
        <v>0.66666666666666663</v>
      </c>
      <c r="AQ396">
        <f>survey_responses[[#This Row],[Tôi thấy mức thuế tôi phải đóng theo phương án mới là công bằng (người thu nhập như tôi đóng mức này là hợp lý). - HUMAN-TRU2]]</f>
        <v>6</v>
      </c>
      <c r="AR396">
        <f t="shared" si="177"/>
        <v>0.55555555555555558</v>
      </c>
      <c r="AS396">
        <f>step3_validation[[#This Row],[AI_TRU3]]</f>
        <v>6</v>
      </c>
      <c r="AT396">
        <f t="shared" si="178"/>
        <v>0.55555555555555558</v>
      </c>
      <c r="AU396">
        <f>survey_responses[[#This Row],[Tôi tin tưởng số tiền thuế tôi đóng sẽ được Nhà nước sử dụng hiệu quả để cải thiện dịch vụ công (y tế, đường xá...). - HUMAN-TRU3]]</f>
        <v>5</v>
      </c>
      <c r="AV396">
        <f t="shared" si="179"/>
        <v>0.44444444444444442</v>
      </c>
      <c r="AW396">
        <f>step3_validation[[#This Row],[AI_TRU4]]</f>
        <v>8</v>
      </c>
      <c r="AX396">
        <f t="shared" si="180"/>
        <v>0.77777777777777779</v>
      </c>
      <c r="AY396">
        <f>survey_responses[[#This Row],[Tôi thấy Nhà nước đã giải thích rõ ràng, minh bạch về lý do và mục tiêu của việc sửa đổi thuế lần này. - HUMAN-TRU4]]</f>
        <v>6</v>
      </c>
      <c r="AZ396">
        <f t="shared" si="181"/>
        <v>0.55555555555555558</v>
      </c>
      <c r="BA396" s="32">
        <f t="shared" si="182"/>
        <v>0.7222222222222221</v>
      </c>
      <c r="BB396" s="32">
        <f t="shared" si="183"/>
        <v>0.5</v>
      </c>
      <c r="BC396" s="7">
        <f t="shared" si="184"/>
        <v>0.64814814814814814</v>
      </c>
      <c r="BD396" s="7">
        <f t="shared" si="185"/>
        <v>0.57407407407407407</v>
      </c>
      <c r="BE396">
        <f>step3_validation[[#This Row],[AI_OUT1]]</f>
        <v>9</v>
      </c>
      <c r="BF396">
        <f t="shared" si="186"/>
        <v>0.88888888888888884</v>
      </c>
      <c r="BG396">
        <f>survey_responses[[#This Row],[Sau khi xem xét các quyền lợi và nghĩa vụ, bạn có ủng hộ và tuân thủ chính sách mới hiện nay? - HUMAN-OUT1]]</f>
        <v>6</v>
      </c>
      <c r="BH396">
        <f t="shared" si="187"/>
        <v>0.55555555555555558</v>
      </c>
      <c r="BI396" s="32">
        <f t="shared" si="188"/>
        <v>3</v>
      </c>
    </row>
    <row r="397" spans="1:61" x14ac:dyDescent="0.45">
      <c r="A397" s="30">
        <f>step3_validation[[#This Row],[Persona_ID]]</f>
        <v>396</v>
      </c>
      <c r="B397" s="31">
        <f>step3_validation[[#This Row],[Used_Seed]]</f>
        <v>396</v>
      </c>
      <c r="C397" t="str">
        <f>step3_validation[[#This Row],[Gender]]</f>
        <v>Nữ</v>
      </c>
      <c r="D397" t="str">
        <f>survey_responses[[#This Row],[Giới tính của bạn:]]</f>
        <v>Nữ</v>
      </c>
      <c r="E397" t="str">
        <f>step3_validation[[#This Row],[Age_Group]]</f>
        <v>30 - 39</v>
      </c>
      <c r="F397" t="str">
        <f>survey_responses[[#This Row],[Độ tuổi của bạn:]]</f>
        <v>30 - 39</v>
      </c>
      <c r="G397" t="str">
        <f>step3_validation[[#This Row],[Region]]</f>
        <v>Thành thị</v>
      </c>
      <c r="H397" t="str">
        <f>survey_responses[[#This Row],[Khu vực bạn đang sinh sống:]]</f>
        <v>Thành thị</v>
      </c>
      <c r="I397" t="str">
        <f>step3_validation[[#This Row],[Education]]</f>
        <v>Cao đẳng</v>
      </c>
      <c r="J397" t="str">
        <f>survey_responses[[#This Row],[Trình độ học vấn cao nhất:]]</f>
        <v>Cao đẳng</v>
      </c>
      <c r="K397" t="str">
        <f>step3_validation[[#This Row],[Employment]]</f>
        <v>Chính thức</v>
      </c>
      <c r="L397" t="str">
        <f>survey_responses[[#This Row],[Tình trạng việc làm chính:]]</f>
        <v>Khu vực chính thức (Có Hợp đồng lao động, đóng BHXH)</v>
      </c>
      <c r="M397">
        <f>step3_validation[[#This Row],[Income_Mil]]</f>
        <v>26.058606905184021</v>
      </c>
      <c r="N397" t="str">
        <f>survey_responses[[#This Row],[Thu nhập bình quân tháng theo Hợp đồng lao động của bạn là bao nhiêu? (Vui lòng điền tổng thu nhập trước khi khấu trừ các loại Bảo hiểm (BHXH, BHYT, BHTN) và Thuế TNCN)]]</f>
        <v>Từ 23 - 32 triệu VNĐ</v>
      </c>
      <c r="O397">
        <f>step3_validation[[#This Row],[Dependents]]</f>
        <v>1</v>
      </c>
      <c r="P397" t="str">
        <f>survey_responses[[#This Row],[Số người phụ thuộc (con nhỏ, cha mẹ già...) đủ điều kiện giảm trừ gia cảnh:]]</f>
        <v>1 người</v>
      </c>
      <c r="Q397">
        <f>step3_validation[[#This Row],[AI_ENF1]]</f>
        <v>7</v>
      </c>
      <c r="R397">
        <f t="shared" si="162"/>
        <v>0.66666666666666663</v>
      </c>
      <c r="S397">
        <f>survey_responses[[#This Row],[Tôi tin rằng với các quy định quản lý thuế hiện nay, hành vi gian lận hoặc trốn thuế sẽ dễ dàng bị phát hiện và xử lý nghiêm. - HUMAN-ENF1]]</f>
        <v>2</v>
      </c>
      <c r="T397">
        <f t="shared" si="163"/>
        <v>0.1111111111111111</v>
      </c>
      <c r="U397">
        <f>step3_validation[[#This Row],[AI_ENF2]]</f>
        <v>8</v>
      </c>
      <c r="V397">
        <f t="shared" si="164"/>
        <v>0.77777777777777779</v>
      </c>
      <c r="W397">
        <f>survey_responses[[#This Row],[Tôi tin rằng Nhà nước, cơ quan thuế có đủ khả năng và công nghệ để phát hiện, xử lý nghiêm các hành vi trốn thuế. - HUMAN-ENF2]]</f>
        <v>2</v>
      </c>
      <c r="X397">
        <f t="shared" si="165"/>
        <v>0.1111111111111111</v>
      </c>
      <c r="Y397" s="32">
        <f t="shared" si="166"/>
        <v>0.72222222222222221</v>
      </c>
      <c r="Z397" s="32">
        <f t="shared" si="167"/>
        <v>0.1111111111111111</v>
      </c>
      <c r="AA397">
        <f>step3_validation[[#This Row],[AI_FAC1]]</f>
        <v>9</v>
      </c>
      <c r="AB397">
        <f t="shared" si="168"/>
        <v>0.88888888888888884</v>
      </c>
      <c r="AC397">
        <f>survey_responses[[#This Row],[Các thủ tục khai báo thuế VÀ/HOẶC quy trình làm việc với cơ quan thuế đơn giản, tiện lợi, nhanh chóng hơn so với trước đây. - HUMAN-FAC1]]</f>
        <v>4</v>
      </c>
      <c r="AD397">
        <f t="shared" si="169"/>
        <v>0.33333333333333331</v>
      </c>
      <c r="AE397">
        <f>step3_validation[[#This Row],[AI_FAC2]]</f>
        <v>10</v>
      </c>
      <c r="AF397">
        <f t="shared" si="170"/>
        <v>1</v>
      </c>
      <c r="AG397">
        <f>survey_responses[[#This Row],[So với trước đây, tôi thấy cách tính thuế và các bậc thuế trong phương án mới đơn giản, dễ hiểu và dễ thực hiện hơn. - HUMAN-FAC2]]</f>
        <v>5</v>
      </c>
      <c r="AH397">
        <f t="shared" si="171"/>
        <v>0.44444444444444442</v>
      </c>
      <c r="AI397" s="32">
        <f t="shared" si="172"/>
        <v>0.94444444444444442</v>
      </c>
      <c r="AJ397" s="32">
        <f t="shared" si="173"/>
        <v>0.38888888888888884</v>
      </c>
      <c r="AK397">
        <f>step3_validation[[#This Row],[AI_TRU1]]</f>
        <v>9</v>
      </c>
      <c r="AL397">
        <f t="shared" si="174"/>
        <v>0.88888888888888884</v>
      </c>
      <c r="AM397">
        <f>survey_responses[[#This Row],[Tôi tin rằng Nhà nước, cơ quan thuế sẽ thực thi chính sách mới một cách khách quan, công tâm và đối xử bình đẳng với mọi người nộp thuế.  - HUMAN-TRU1]]</f>
        <v>5</v>
      </c>
      <c r="AN397">
        <f t="shared" si="175"/>
        <v>0.44444444444444442</v>
      </c>
      <c r="AO397">
        <f>step3_validation[[#This Row],[AI_TRU2]]</f>
        <v>9</v>
      </c>
      <c r="AP397">
        <f t="shared" si="176"/>
        <v>0.88888888888888884</v>
      </c>
      <c r="AQ397">
        <f>survey_responses[[#This Row],[Tôi thấy mức thuế tôi phải đóng theo phương án mới là công bằng (người thu nhập như tôi đóng mức này là hợp lý). - HUMAN-TRU2]]</f>
        <v>3</v>
      </c>
      <c r="AR397">
        <f t="shared" si="177"/>
        <v>0.22222222222222221</v>
      </c>
      <c r="AS397">
        <f>step3_validation[[#This Row],[AI_TRU3]]</f>
        <v>8</v>
      </c>
      <c r="AT397">
        <f t="shared" si="178"/>
        <v>0.77777777777777779</v>
      </c>
      <c r="AU397">
        <f>survey_responses[[#This Row],[Tôi tin tưởng số tiền thuế tôi đóng sẽ được Nhà nước sử dụng hiệu quả để cải thiện dịch vụ công (y tế, đường xá...). - HUMAN-TRU3]]</f>
        <v>5</v>
      </c>
      <c r="AV397">
        <f t="shared" si="179"/>
        <v>0.44444444444444442</v>
      </c>
      <c r="AW397">
        <f>step3_validation[[#This Row],[AI_TRU4]]</f>
        <v>9</v>
      </c>
      <c r="AX397">
        <f t="shared" si="180"/>
        <v>0.88888888888888884</v>
      </c>
      <c r="AY397">
        <f>survey_responses[[#This Row],[Tôi thấy Nhà nước đã giải thích rõ ràng, minh bạch về lý do và mục tiêu của việc sửa đổi thuế lần này. - HUMAN-TRU4]]</f>
        <v>5</v>
      </c>
      <c r="AZ397">
        <f t="shared" si="181"/>
        <v>0.44444444444444442</v>
      </c>
      <c r="BA397" s="32">
        <f t="shared" si="182"/>
        <v>0.86111111111111105</v>
      </c>
      <c r="BB397" s="32">
        <f t="shared" si="183"/>
        <v>0.3888888888888889</v>
      </c>
      <c r="BC397" s="7">
        <f t="shared" si="184"/>
        <v>0.84259259259259256</v>
      </c>
      <c r="BD397" s="7">
        <f t="shared" si="185"/>
        <v>0.29629629629629628</v>
      </c>
      <c r="BE397">
        <f>step3_validation[[#This Row],[AI_OUT1]]</f>
        <v>9</v>
      </c>
      <c r="BF397">
        <f t="shared" si="186"/>
        <v>0.88888888888888884</v>
      </c>
      <c r="BG397">
        <f>survey_responses[[#This Row],[Sau khi xem xét các quyền lợi và nghĩa vụ, bạn có ủng hộ và tuân thủ chính sách mới hiện nay? - HUMAN-OUT1]]</f>
        <v>5</v>
      </c>
      <c r="BH397">
        <f t="shared" si="187"/>
        <v>0.44444444444444442</v>
      </c>
      <c r="BI397" s="32">
        <f t="shared" si="188"/>
        <v>4</v>
      </c>
    </row>
    <row r="398" spans="1:61" x14ac:dyDescent="0.45">
      <c r="A398" s="30">
        <f>step3_validation[[#This Row],[Persona_ID]]</f>
        <v>397</v>
      </c>
      <c r="B398" s="31">
        <f>step3_validation[[#This Row],[Used_Seed]]</f>
        <v>397</v>
      </c>
      <c r="C398" t="str">
        <f>step3_validation[[#This Row],[Gender]]</f>
        <v>Nữ</v>
      </c>
      <c r="D398" t="str">
        <f>survey_responses[[#This Row],[Giới tính của bạn:]]</f>
        <v>Nữ</v>
      </c>
      <c r="E398" t="str">
        <f>step3_validation[[#This Row],[Age_Group]]</f>
        <v>25 - 29</v>
      </c>
      <c r="F398" t="str">
        <f>survey_responses[[#This Row],[Độ tuổi của bạn:]]</f>
        <v>25 - 29</v>
      </c>
      <c r="G398" t="str">
        <f>step3_validation[[#This Row],[Region]]</f>
        <v>Thành thị</v>
      </c>
      <c r="H398" t="str">
        <f>survey_responses[[#This Row],[Khu vực bạn đang sinh sống:]]</f>
        <v>Thành thị</v>
      </c>
      <c r="I398" t="str">
        <f>step3_validation[[#This Row],[Education]]</f>
        <v>Đại học</v>
      </c>
      <c r="J398" t="str">
        <f>survey_responses[[#This Row],[Trình độ học vấn cao nhất:]]</f>
        <v>Đại học</v>
      </c>
      <c r="K398" t="str">
        <f>step3_validation[[#This Row],[Employment]]</f>
        <v>Chính thức</v>
      </c>
      <c r="L398" t="str">
        <f>survey_responses[[#This Row],[Tình trạng việc làm chính:]]</f>
        <v>Khu vực chính thức (Có Hợp đồng lao động, đóng BHXH)</v>
      </c>
      <c r="M398">
        <f>step3_validation[[#This Row],[Income_Mil]]</f>
        <v>26.430522829138759</v>
      </c>
      <c r="N398" t="str">
        <f>survey_responses[[#This Row],[Thu nhập bình quân tháng theo Hợp đồng lao động của bạn là bao nhiêu? (Vui lòng điền tổng thu nhập trước khi khấu trừ các loại Bảo hiểm (BHXH, BHYT, BHTN) và Thuế TNCN)]]</f>
        <v>Từ 23 - 32 triệu VNĐ</v>
      </c>
      <c r="O398">
        <f>step3_validation[[#This Row],[Dependents]]</f>
        <v>0</v>
      </c>
      <c r="P398" t="str">
        <f>survey_responses[[#This Row],[Số người phụ thuộc (con nhỏ, cha mẹ già...) đủ điều kiện giảm trừ gia cảnh:]]</f>
        <v>0 người</v>
      </c>
      <c r="Q398">
        <f>step3_validation[[#This Row],[AI_ENF1]]</f>
        <v>7</v>
      </c>
      <c r="R398">
        <f t="shared" si="162"/>
        <v>0.66666666666666663</v>
      </c>
      <c r="S398">
        <f>survey_responses[[#This Row],[Tôi tin rằng với các quy định quản lý thuế hiện nay, hành vi gian lận hoặc trốn thuế sẽ dễ dàng bị phát hiện và xử lý nghiêm. - HUMAN-ENF1]]</f>
        <v>8</v>
      </c>
      <c r="T398">
        <f t="shared" si="163"/>
        <v>0.77777777777777779</v>
      </c>
      <c r="U398">
        <f>step3_validation[[#This Row],[AI_ENF2]]</f>
        <v>8</v>
      </c>
      <c r="V398">
        <f t="shared" si="164"/>
        <v>0.77777777777777779</v>
      </c>
      <c r="W398">
        <f>survey_responses[[#This Row],[Tôi tin rằng Nhà nước, cơ quan thuế có đủ khả năng và công nghệ để phát hiện, xử lý nghiêm các hành vi trốn thuế. - HUMAN-ENF2]]</f>
        <v>8</v>
      </c>
      <c r="X398">
        <f t="shared" si="165"/>
        <v>0.77777777777777779</v>
      </c>
      <c r="Y398" s="32">
        <f t="shared" si="166"/>
        <v>0.72222222222222221</v>
      </c>
      <c r="Z398" s="32">
        <f t="shared" si="167"/>
        <v>0.77777777777777779</v>
      </c>
      <c r="AA398">
        <f>step3_validation[[#This Row],[AI_FAC1]]</f>
        <v>9</v>
      </c>
      <c r="AB398">
        <f t="shared" si="168"/>
        <v>0.88888888888888884</v>
      </c>
      <c r="AC398">
        <f>survey_responses[[#This Row],[Các thủ tục khai báo thuế VÀ/HOẶC quy trình làm việc với cơ quan thuế đơn giản, tiện lợi, nhanh chóng hơn so với trước đây. - HUMAN-FAC1]]</f>
        <v>7</v>
      </c>
      <c r="AD398">
        <f t="shared" si="169"/>
        <v>0.66666666666666663</v>
      </c>
      <c r="AE398">
        <f>step3_validation[[#This Row],[AI_FAC2]]</f>
        <v>10</v>
      </c>
      <c r="AF398">
        <f t="shared" si="170"/>
        <v>1</v>
      </c>
      <c r="AG398">
        <f>survey_responses[[#This Row],[So với trước đây, tôi thấy cách tính thuế và các bậc thuế trong phương án mới đơn giản, dễ hiểu và dễ thực hiện hơn. - HUMAN-FAC2]]</f>
        <v>7</v>
      </c>
      <c r="AH398">
        <f t="shared" si="171"/>
        <v>0.66666666666666663</v>
      </c>
      <c r="AI398" s="32">
        <f t="shared" si="172"/>
        <v>0.94444444444444442</v>
      </c>
      <c r="AJ398" s="32">
        <f t="shared" si="173"/>
        <v>0.66666666666666663</v>
      </c>
      <c r="AK398">
        <f>step3_validation[[#This Row],[AI_TRU1]]</f>
        <v>8</v>
      </c>
      <c r="AL398">
        <f t="shared" si="174"/>
        <v>0.77777777777777779</v>
      </c>
      <c r="AM398">
        <f>survey_responses[[#This Row],[Tôi tin rằng Nhà nước, cơ quan thuế sẽ thực thi chính sách mới một cách khách quan, công tâm và đối xử bình đẳng với mọi người nộp thuế.  - HUMAN-TRU1]]</f>
        <v>7</v>
      </c>
      <c r="AN398">
        <f t="shared" si="175"/>
        <v>0.66666666666666663</v>
      </c>
      <c r="AO398">
        <f>step3_validation[[#This Row],[AI_TRU2]]</f>
        <v>9</v>
      </c>
      <c r="AP398">
        <f t="shared" si="176"/>
        <v>0.88888888888888884</v>
      </c>
      <c r="AQ398">
        <f>survey_responses[[#This Row],[Tôi thấy mức thuế tôi phải đóng theo phương án mới là công bằng (người thu nhập như tôi đóng mức này là hợp lý). - HUMAN-TRU2]]</f>
        <v>8</v>
      </c>
      <c r="AR398">
        <f t="shared" si="177"/>
        <v>0.77777777777777779</v>
      </c>
      <c r="AS398">
        <f>step3_validation[[#This Row],[AI_TRU3]]</f>
        <v>8</v>
      </c>
      <c r="AT398">
        <f t="shared" si="178"/>
        <v>0.77777777777777779</v>
      </c>
      <c r="AU398">
        <f>survey_responses[[#This Row],[Tôi tin tưởng số tiền thuế tôi đóng sẽ được Nhà nước sử dụng hiệu quả để cải thiện dịch vụ công (y tế, đường xá...). - HUMAN-TRU3]]</f>
        <v>7</v>
      </c>
      <c r="AV398">
        <f t="shared" si="179"/>
        <v>0.66666666666666663</v>
      </c>
      <c r="AW398">
        <f>step3_validation[[#This Row],[AI_TRU4]]</f>
        <v>7</v>
      </c>
      <c r="AX398">
        <f t="shared" si="180"/>
        <v>0.66666666666666663</v>
      </c>
      <c r="AY398">
        <f>survey_responses[[#This Row],[Tôi thấy Nhà nước đã giải thích rõ ràng, minh bạch về lý do và mục tiêu của việc sửa đổi thuế lần này. - HUMAN-TRU4]]</f>
        <v>8</v>
      </c>
      <c r="AZ398">
        <f t="shared" si="181"/>
        <v>0.77777777777777779</v>
      </c>
      <c r="BA398" s="32">
        <f t="shared" si="182"/>
        <v>0.77777777777777768</v>
      </c>
      <c r="BB398" s="32">
        <f t="shared" si="183"/>
        <v>0.72222222222222221</v>
      </c>
      <c r="BC398" s="7">
        <f t="shared" si="184"/>
        <v>0.81481481481481477</v>
      </c>
      <c r="BD398" s="7">
        <f t="shared" si="185"/>
        <v>0.72222222222222221</v>
      </c>
      <c r="BE398">
        <f>step3_validation[[#This Row],[AI_OUT1]]</f>
        <v>9</v>
      </c>
      <c r="BF398">
        <f t="shared" si="186"/>
        <v>0.88888888888888884</v>
      </c>
      <c r="BG398">
        <f>survey_responses[[#This Row],[Sau khi xem xét các quyền lợi và nghĩa vụ, bạn có ủng hộ và tuân thủ chính sách mới hiện nay? - HUMAN-OUT1]]</f>
        <v>8</v>
      </c>
      <c r="BH398">
        <f t="shared" si="187"/>
        <v>0.77777777777777779</v>
      </c>
      <c r="BI398" s="32">
        <f t="shared" si="188"/>
        <v>1</v>
      </c>
    </row>
    <row r="399" spans="1:61" x14ac:dyDescent="0.45">
      <c r="A399" s="30">
        <f>step3_validation[[#This Row],[Persona_ID]]</f>
        <v>398</v>
      </c>
      <c r="B399" s="31">
        <f>step3_validation[[#This Row],[Used_Seed]]</f>
        <v>398</v>
      </c>
      <c r="C399" t="str">
        <f>step3_validation[[#This Row],[Gender]]</f>
        <v>Nữ</v>
      </c>
      <c r="D399" t="str">
        <f>survey_responses[[#This Row],[Giới tính của bạn:]]</f>
        <v>Nữ</v>
      </c>
      <c r="E399" t="str">
        <f>step3_validation[[#This Row],[Age_Group]]</f>
        <v>18 - 24</v>
      </c>
      <c r="F399" t="str">
        <f>survey_responses[[#This Row],[Độ tuổi của bạn:]]</f>
        <v>18 - 24</v>
      </c>
      <c r="G399" t="str">
        <f>step3_validation[[#This Row],[Region]]</f>
        <v>Thành thị</v>
      </c>
      <c r="H399" t="str">
        <f>survey_responses[[#This Row],[Khu vực bạn đang sinh sống:]]</f>
        <v>Thành thị</v>
      </c>
      <c r="I399" t="str">
        <f>step3_validation[[#This Row],[Education]]</f>
        <v>Đại học</v>
      </c>
      <c r="J399" t="str">
        <f>survey_responses[[#This Row],[Trình độ học vấn cao nhất:]]</f>
        <v>Đại học</v>
      </c>
      <c r="K399" t="str">
        <f>step3_validation[[#This Row],[Employment]]</f>
        <v>Chính thức</v>
      </c>
      <c r="L399" t="str">
        <f>survey_responses[[#This Row],[Tình trạng việc làm chính:]]</f>
        <v>Khu vực chính thức (Có Hợp đồng lao động, đóng BHXH)</v>
      </c>
      <c r="M399">
        <f>step3_validation[[#This Row],[Income_Mil]]</f>
        <v>12</v>
      </c>
      <c r="N399" t="str">
        <f>survey_responses[[#This Row],[Thu nhập bình quân tháng theo Hợp đồng lao động của bạn là bao nhiêu? (Vui lòng điền tổng thu nhập trước khi khấu trừ các loại Bảo hiểm (BHXH, BHYT, BHTN) và Thuế TNCN)]]</f>
        <v>Dưới 12 triệu VNĐ</v>
      </c>
      <c r="O399">
        <f>step3_validation[[#This Row],[Dependents]]</f>
        <v>0</v>
      </c>
      <c r="P399" t="str">
        <f>survey_responses[[#This Row],[Số người phụ thuộc (con nhỏ, cha mẹ già...) đủ điều kiện giảm trừ gia cảnh:]]</f>
        <v>0 người</v>
      </c>
      <c r="Q399">
        <f>step3_validation[[#This Row],[AI_ENF1]]</f>
        <v>7</v>
      </c>
      <c r="R399">
        <f t="shared" si="162"/>
        <v>0.66666666666666663</v>
      </c>
      <c r="S399">
        <f>survey_responses[[#This Row],[Tôi tin rằng với các quy định quản lý thuế hiện nay, hành vi gian lận hoặc trốn thuế sẽ dễ dàng bị phát hiện và xử lý nghiêm. - HUMAN-ENF1]]</f>
        <v>9</v>
      </c>
      <c r="T399">
        <f t="shared" si="163"/>
        <v>0.88888888888888884</v>
      </c>
      <c r="U399">
        <f>step3_validation[[#This Row],[AI_ENF2]]</f>
        <v>8</v>
      </c>
      <c r="V399">
        <f t="shared" si="164"/>
        <v>0.77777777777777779</v>
      </c>
      <c r="W399">
        <f>survey_responses[[#This Row],[Tôi tin rằng Nhà nước, cơ quan thuế có đủ khả năng và công nghệ để phát hiện, xử lý nghiêm các hành vi trốn thuế. - HUMAN-ENF2]]</f>
        <v>9</v>
      </c>
      <c r="X399">
        <f t="shared" si="165"/>
        <v>0.88888888888888884</v>
      </c>
      <c r="Y399" s="32">
        <f t="shared" si="166"/>
        <v>0.72222222222222221</v>
      </c>
      <c r="Z399" s="32">
        <f t="shared" si="167"/>
        <v>0.88888888888888884</v>
      </c>
      <c r="AA399">
        <f>step3_validation[[#This Row],[AI_FAC1]]</f>
        <v>9</v>
      </c>
      <c r="AB399">
        <f t="shared" si="168"/>
        <v>0.88888888888888884</v>
      </c>
      <c r="AC399">
        <f>survey_responses[[#This Row],[Các thủ tục khai báo thuế VÀ/HOẶC quy trình làm việc với cơ quan thuế đơn giản, tiện lợi, nhanh chóng hơn so với trước đây. - HUMAN-FAC1]]</f>
        <v>8</v>
      </c>
      <c r="AD399">
        <f t="shared" si="169"/>
        <v>0.77777777777777779</v>
      </c>
      <c r="AE399">
        <f>step3_validation[[#This Row],[AI_FAC2]]</f>
        <v>10</v>
      </c>
      <c r="AF399">
        <f t="shared" si="170"/>
        <v>1</v>
      </c>
      <c r="AG399">
        <f>survey_responses[[#This Row],[So với trước đây, tôi thấy cách tính thuế và các bậc thuế trong phương án mới đơn giản, dễ hiểu và dễ thực hiện hơn. - HUMAN-FAC2]]</f>
        <v>9</v>
      </c>
      <c r="AH399">
        <f t="shared" si="171"/>
        <v>0.88888888888888884</v>
      </c>
      <c r="AI399" s="32">
        <f t="shared" si="172"/>
        <v>0.94444444444444442</v>
      </c>
      <c r="AJ399" s="32">
        <f t="shared" si="173"/>
        <v>0.83333333333333326</v>
      </c>
      <c r="AK399">
        <f>step3_validation[[#This Row],[AI_TRU1]]</f>
        <v>8</v>
      </c>
      <c r="AL399">
        <f t="shared" si="174"/>
        <v>0.77777777777777779</v>
      </c>
      <c r="AM399">
        <f>survey_responses[[#This Row],[Tôi tin rằng Nhà nước, cơ quan thuế sẽ thực thi chính sách mới một cách khách quan, công tâm và đối xử bình đẳng với mọi người nộp thuế.  - HUMAN-TRU1]]</f>
        <v>7</v>
      </c>
      <c r="AN399">
        <f t="shared" si="175"/>
        <v>0.66666666666666663</v>
      </c>
      <c r="AO399">
        <f>step3_validation[[#This Row],[AI_TRU2]]</f>
        <v>9</v>
      </c>
      <c r="AP399">
        <f t="shared" si="176"/>
        <v>0.88888888888888884</v>
      </c>
      <c r="AQ399">
        <f>survey_responses[[#This Row],[Tôi thấy mức thuế tôi phải đóng theo phương án mới là công bằng (người thu nhập như tôi đóng mức này là hợp lý). - HUMAN-TRU2]]</f>
        <v>9</v>
      </c>
      <c r="AR399">
        <f t="shared" si="177"/>
        <v>0.88888888888888884</v>
      </c>
      <c r="AS399">
        <f>step3_validation[[#This Row],[AI_TRU3]]</f>
        <v>8</v>
      </c>
      <c r="AT399">
        <f t="shared" si="178"/>
        <v>0.77777777777777779</v>
      </c>
      <c r="AU399">
        <f>survey_responses[[#This Row],[Tôi tin tưởng số tiền thuế tôi đóng sẽ được Nhà nước sử dụng hiệu quả để cải thiện dịch vụ công (y tế, đường xá...). - HUMAN-TRU3]]</f>
        <v>8</v>
      </c>
      <c r="AV399">
        <f t="shared" si="179"/>
        <v>0.77777777777777779</v>
      </c>
      <c r="AW399">
        <f>step3_validation[[#This Row],[AI_TRU4]]</f>
        <v>9</v>
      </c>
      <c r="AX399">
        <f t="shared" si="180"/>
        <v>0.88888888888888884</v>
      </c>
      <c r="AY399">
        <f>survey_responses[[#This Row],[Tôi thấy Nhà nước đã giải thích rõ ràng, minh bạch về lý do và mục tiêu của việc sửa đổi thuế lần này. - HUMAN-TRU4]]</f>
        <v>8</v>
      </c>
      <c r="AZ399">
        <f t="shared" si="181"/>
        <v>0.77777777777777779</v>
      </c>
      <c r="BA399" s="32">
        <f t="shared" si="182"/>
        <v>0.83333333333333326</v>
      </c>
      <c r="BB399" s="32">
        <f t="shared" si="183"/>
        <v>0.77777777777777768</v>
      </c>
      <c r="BC399" s="7">
        <f t="shared" si="184"/>
        <v>0.83333333333333337</v>
      </c>
      <c r="BD399" s="7">
        <f t="shared" si="185"/>
        <v>0.83333333333333337</v>
      </c>
      <c r="BE399">
        <f>step3_validation[[#This Row],[AI_OUT1]]</f>
        <v>8</v>
      </c>
      <c r="BF399">
        <f t="shared" si="186"/>
        <v>0.77777777777777779</v>
      </c>
      <c r="BG399">
        <f>survey_responses[[#This Row],[Sau khi xem xét các quyền lợi và nghĩa vụ, bạn có ủng hộ và tuân thủ chính sách mới hiện nay? - HUMAN-OUT1]]</f>
        <v>8</v>
      </c>
      <c r="BH399">
        <f t="shared" si="187"/>
        <v>0.77777777777777779</v>
      </c>
      <c r="BI399" s="32">
        <f t="shared" si="188"/>
        <v>0</v>
      </c>
    </row>
    <row r="400" spans="1:61" x14ac:dyDescent="0.45">
      <c r="A400" s="30">
        <f>step3_validation[[#This Row],[Persona_ID]]</f>
        <v>399</v>
      </c>
      <c r="B400" s="31">
        <f>step3_validation[[#This Row],[Used_Seed]]</f>
        <v>399</v>
      </c>
      <c r="C400" t="str">
        <f>step3_validation[[#This Row],[Gender]]</f>
        <v>Nữ</v>
      </c>
      <c r="D400" t="str">
        <f>survey_responses[[#This Row],[Giới tính của bạn:]]</f>
        <v>Nữ</v>
      </c>
      <c r="E400" t="str">
        <f>step3_validation[[#This Row],[Age_Group]]</f>
        <v>25 - 29</v>
      </c>
      <c r="F400" t="str">
        <f>survey_responses[[#This Row],[Độ tuổi của bạn:]]</f>
        <v>25 - 29</v>
      </c>
      <c r="G400" t="str">
        <f>step3_validation[[#This Row],[Region]]</f>
        <v>Thành thị</v>
      </c>
      <c r="H400" t="str">
        <f>survey_responses[[#This Row],[Khu vực bạn đang sinh sống:]]</f>
        <v>Thành thị</v>
      </c>
      <c r="I400" t="str">
        <f>step3_validation[[#This Row],[Education]]</f>
        <v>Sau Đại học</v>
      </c>
      <c r="J400" t="str">
        <f>survey_responses[[#This Row],[Trình độ học vấn cao nhất:]]</f>
        <v>Sau Đại học</v>
      </c>
      <c r="K400" t="str">
        <f>step3_validation[[#This Row],[Employment]]</f>
        <v>Chính thức</v>
      </c>
      <c r="L400" t="str">
        <f>survey_responses[[#This Row],[Tình trạng việc làm chính:]]</f>
        <v>Khu vực chính thức (Có Hợp đồng lao động, đóng BHXH)</v>
      </c>
      <c r="M400">
        <f>step3_validation[[#This Row],[Income_Mil]]</f>
        <v>28.450488243180487</v>
      </c>
      <c r="N400" t="str">
        <f>survey_responses[[#This Row],[Thu nhập bình quân tháng theo Hợp đồng lao động của bạn là bao nhiêu? (Vui lòng điền tổng thu nhập trước khi khấu trừ các loại Bảo hiểm (BHXH, BHYT, BHTN) và Thuế TNCN)]]</f>
        <v>Từ 23 - 32 triệu VNĐ</v>
      </c>
      <c r="O400">
        <f>step3_validation[[#This Row],[Dependents]]</f>
        <v>0</v>
      </c>
      <c r="P400" t="str">
        <f>survey_responses[[#This Row],[Số người phụ thuộc (con nhỏ, cha mẹ già...) đủ điều kiện giảm trừ gia cảnh:]]</f>
        <v>0 người</v>
      </c>
      <c r="Q400">
        <f>step3_validation[[#This Row],[AI_ENF1]]</f>
        <v>6</v>
      </c>
      <c r="R400">
        <f t="shared" si="162"/>
        <v>0.55555555555555558</v>
      </c>
      <c r="S400">
        <f>survey_responses[[#This Row],[Tôi tin rằng với các quy định quản lý thuế hiện nay, hành vi gian lận hoặc trốn thuế sẽ dễ dàng bị phát hiện và xử lý nghiêm. - HUMAN-ENF1]]</f>
        <v>7</v>
      </c>
      <c r="T400">
        <f t="shared" si="163"/>
        <v>0.66666666666666663</v>
      </c>
      <c r="U400">
        <f>step3_validation[[#This Row],[AI_ENF2]]</f>
        <v>7</v>
      </c>
      <c r="V400">
        <f t="shared" si="164"/>
        <v>0.66666666666666663</v>
      </c>
      <c r="W400">
        <f>survey_responses[[#This Row],[Tôi tin rằng Nhà nước, cơ quan thuế có đủ khả năng và công nghệ để phát hiện, xử lý nghiêm các hành vi trốn thuế. - HUMAN-ENF2]]</f>
        <v>7</v>
      </c>
      <c r="X400">
        <f t="shared" si="165"/>
        <v>0.66666666666666663</v>
      </c>
      <c r="Y400" s="32">
        <f t="shared" si="166"/>
        <v>0.61111111111111116</v>
      </c>
      <c r="Z400" s="32">
        <f t="shared" si="167"/>
        <v>0.66666666666666663</v>
      </c>
      <c r="AA400">
        <f>step3_validation[[#This Row],[AI_FAC1]]</f>
        <v>9</v>
      </c>
      <c r="AB400">
        <f t="shared" si="168"/>
        <v>0.88888888888888884</v>
      </c>
      <c r="AC400">
        <f>survey_responses[[#This Row],[Các thủ tục khai báo thuế VÀ/HOẶC quy trình làm việc với cơ quan thuế đơn giản, tiện lợi, nhanh chóng hơn so với trước đây. - HUMAN-FAC1]]</f>
        <v>5</v>
      </c>
      <c r="AD400">
        <f t="shared" si="169"/>
        <v>0.44444444444444442</v>
      </c>
      <c r="AE400">
        <f>step3_validation[[#This Row],[AI_FAC2]]</f>
        <v>9</v>
      </c>
      <c r="AF400">
        <f t="shared" si="170"/>
        <v>0.88888888888888884</v>
      </c>
      <c r="AG400">
        <f>survey_responses[[#This Row],[So với trước đây, tôi thấy cách tính thuế và các bậc thuế trong phương án mới đơn giản, dễ hiểu và dễ thực hiện hơn. - HUMAN-FAC2]]</f>
        <v>8</v>
      </c>
      <c r="AH400">
        <f t="shared" si="171"/>
        <v>0.77777777777777779</v>
      </c>
      <c r="AI400" s="32">
        <f t="shared" si="172"/>
        <v>0.88888888888888884</v>
      </c>
      <c r="AJ400" s="32">
        <f t="shared" si="173"/>
        <v>0.61111111111111116</v>
      </c>
      <c r="AK400">
        <f>step3_validation[[#This Row],[AI_TRU1]]</f>
        <v>8</v>
      </c>
      <c r="AL400">
        <f t="shared" si="174"/>
        <v>0.77777777777777779</v>
      </c>
      <c r="AM400">
        <f>survey_responses[[#This Row],[Tôi tin rằng Nhà nước, cơ quan thuế sẽ thực thi chính sách mới một cách khách quan, công tâm và đối xử bình đẳng với mọi người nộp thuế.  - HUMAN-TRU1]]</f>
        <v>7</v>
      </c>
      <c r="AN400">
        <f t="shared" si="175"/>
        <v>0.66666666666666663</v>
      </c>
      <c r="AO400">
        <f>step3_validation[[#This Row],[AI_TRU2]]</f>
        <v>9</v>
      </c>
      <c r="AP400">
        <f t="shared" si="176"/>
        <v>0.88888888888888884</v>
      </c>
      <c r="AQ400">
        <f>survey_responses[[#This Row],[Tôi thấy mức thuế tôi phải đóng theo phương án mới là công bằng (người thu nhập như tôi đóng mức này là hợp lý). - HUMAN-TRU2]]</f>
        <v>8</v>
      </c>
      <c r="AR400">
        <f t="shared" si="177"/>
        <v>0.77777777777777779</v>
      </c>
      <c r="AS400">
        <f>step3_validation[[#This Row],[AI_TRU3]]</f>
        <v>8</v>
      </c>
      <c r="AT400">
        <f t="shared" si="178"/>
        <v>0.77777777777777779</v>
      </c>
      <c r="AU400">
        <f>survey_responses[[#This Row],[Tôi tin tưởng số tiền thuế tôi đóng sẽ được Nhà nước sử dụng hiệu quả để cải thiện dịch vụ công (y tế, đường xá...). - HUMAN-TRU3]]</f>
        <v>6</v>
      </c>
      <c r="AV400">
        <f t="shared" si="179"/>
        <v>0.55555555555555558</v>
      </c>
      <c r="AW400">
        <f>step3_validation[[#This Row],[AI_TRU4]]</f>
        <v>9</v>
      </c>
      <c r="AX400">
        <f t="shared" si="180"/>
        <v>0.88888888888888884</v>
      </c>
      <c r="AY400">
        <f>survey_responses[[#This Row],[Tôi thấy Nhà nước đã giải thích rõ ràng, minh bạch về lý do và mục tiêu của việc sửa đổi thuế lần này. - HUMAN-TRU4]]</f>
        <v>6</v>
      </c>
      <c r="AZ400">
        <f t="shared" si="181"/>
        <v>0.55555555555555558</v>
      </c>
      <c r="BA400" s="32">
        <f t="shared" si="182"/>
        <v>0.83333333333333326</v>
      </c>
      <c r="BB400" s="32">
        <f t="shared" si="183"/>
        <v>0.63888888888888884</v>
      </c>
      <c r="BC400" s="7">
        <f t="shared" si="184"/>
        <v>0.77777777777777768</v>
      </c>
      <c r="BD400" s="7">
        <f t="shared" si="185"/>
        <v>0.63888888888888884</v>
      </c>
      <c r="BE400">
        <f>step3_validation[[#This Row],[AI_OUT1]]</f>
        <v>7</v>
      </c>
      <c r="BF400">
        <f t="shared" si="186"/>
        <v>0.66666666666666663</v>
      </c>
      <c r="BG400">
        <f>survey_responses[[#This Row],[Sau khi xem xét các quyền lợi và nghĩa vụ, bạn có ủng hộ và tuân thủ chính sách mới hiện nay? - HUMAN-OUT1]]</f>
        <v>8</v>
      </c>
      <c r="BH400">
        <f t="shared" si="187"/>
        <v>0.77777777777777779</v>
      </c>
      <c r="BI400" s="32">
        <f t="shared" si="188"/>
        <v>1</v>
      </c>
    </row>
    <row r="401" spans="1:61" x14ac:dyDescent="0.45">
      <c r="A401" s="30">
        <f>step3_validation[[#This Row],[Persona_ID]]</f>
        <v>400</v>
      </c>
      <c r="B401" s="31">
        <f>step3_validation[[#This Row],[Used_Seed]]</f>
        <v>400</v>
      </c>
      <c r="C401" t="str">
        <f>step3_validation[[#This Row],[Gender]]</f>
        <v>Nữ</v>
      </c>
      <c r="D401" t="str">
        <f>survey_responses[[#This Row],[Giới tính của bạn:]]</f>
        <v>Nữ</v>
      </c>
      <c r="E401" t="str">
        <f>step3_validation[[#This Row],[Age_Group]]</f>
        <v>40 - 49</v>
      </c>
      <c r="F401" t="str">
        <f>survey_responses[[#This Row],[Độ tuổi của bạn:]]</f>
        <v>40 - 49</v>
      </c>
      <c r="G401" t="str">
        <f>step3_validation[[#This Row],[Region]]</f>
        <v>Thành thị</v>
      </c>
      <c r="H401" t="str">
        <f>survey_responses[[#This Row],[Khu vực bạn đang sinh sống:]]</f>
        <v>Thành thị</v>
      </c>
      <c r="I401" t="str">
        <f>step3_validation[[#This Row],[Education]]</f>
        <v>Đại học</v>
      </c>
      <c r="J401" t="str">
        <f>survey_responses[[#This Row],[Trình độ học vấn cao nhất:]]</f>
        <v>Đại học</v>
      </c>
      <c r="K401" t="str">
        <f>step3_validation[[#This Row],[Employment]]</f>
        <v>Chính thức</v>
      </c>
      <c r="L401" t="str">
        <f>survey_responses[[#This Row],[Tình trạng việc làm chính:]]</f>
        <v>Khu vực chính thức (Có Hợp đồng lao động, đóng BHXH)</v>
      </c>
      <c r="M401">
        <f>step3_validation[[#This Row],[Income_Mil]]</f>
        <v>34.986482164558986</v>
      </c>
      <c r="N401" t="str">
        <f>survey_responses[[#This Row],[Thu nhập bình quân tháng theo Hợp đồng lao động của bạn là bao nhiêu? (Vui lòng điền tổng thu nhập trước khi khấu trừ các loại Bảo hiểm (BHXH, BHYT, BHTN) và Thuế TNCN)]]</f>
        <v>Từ 32 - 48 triệu VNĐ</v>
      </c>
      <c r="O401">
        <f>step3_validation[[#This Row],[Dependents]]</f>
        <v>3</v>
      </c>
      <c r="P401" t="str">
        <f>survey_responses[[#This Row],[Số người phụ thuộc (con nhỏ, cha mẹ già...) đủ điều kiện giảm trừ gia cảnh:]]</f>
        <v>3 người</v>
      </c>
      <c r="Q401">
        <f>step3_validation[[#This Row],[AI_ENF1]]</f>
        <v>7</v>
      </c>
      <c r="R401">
        <f t="shared" si="162"/>
        <v>0.66666666666666663</v>
      </c>
      <c r="S401">
        <f>survey_responses[[#This Row],[Tôi tin rằng với các quy định quản lý thuế hiện nay, hành vi gian lận hoặc trốn thuế sẽ dễ dàng bị phát hiện và xử lý nghiêm. - HUMAN-ENF1]]</f>
        <v>8</v>
      </c>
      <c r="T401">
        <f t="shared" si="163"/>
        <v>0.77777777777777779</v>
      </c>
      <c r="U401">
        <f>step3_validation[[#This Row],[AI_ENF2]]</f>
        <v>7</v>
      </c>
      <c r="V401">
        <f t="shared" si="164"/>
        <v>0.66666666666666663</v>
      </c>
      <c r="W401">
        <f>survey_responses[[#This Row],[Tôi tin rằng Nhà nước, cơ quan thuế có đủ khả năng và công nghệ để phát hiện, xử lý nghiêm các hành vi trốn thuế. - HUMAN-ENF2]]</f>
        <v>9</v>
      </c>
      <c r="X401">
        <f t="shared" si="165"/>
        <v>0.88888888888888884</v>
      </c>
      <c r="Y401" s="32">
        <f t="shared" si="166"/>
        <v>0.66666666666666663</v>
      </c>
      <c r="Z401" s="32">
        <f t="shared" si="167"/>
        <v>0.83333333333333326</v>
      </c>
      <c r="AA401">
        <f>step3_validation[[#This Row],[AI_FAC1]]</f>
        <v>9</v>
      </c>
      <c r="AB401">
        <f t="shared" si="168"/>
        <v>0.88888888888888884</v>
      </c>
      <c r="AC401">
        <f>survey_responses[[#This Row],[Các thủ tục khai báo thuế VÀ/HOẶC quy trình làm việc với cơ quan thuế đơn giản, tiện lợi, nhanh chóng hơn so với trước đây. - HUMAN-FAC1]]</f>
        <v>8</v>
      </c>
      <c r="AD401">
        <f t="shared" si="169"/>
        <v>0.77777777777777779</v>
      </c>
      <c r="AE401">
        <f>step3_validation[[#This Row],[AI_FAC2]]</f>
        <v>10</v>
      </c>
      <c r="AF401">
        <f t="shared" si="170"/>
        <v>1</v>
      </c>
      <c r="AG401">
        <f>survey_responses[[#This Row],[So với trước đây, tôi thấy cách tính thuế và các bậc thuế trong phương án mới đơn giản, dễ hiểu và dễ thực hiện hơn. - HUMAN-FAC2]]</f>
        <v>8</v>
      </c>
      <c r="AH401">
        <f t="shared" si="171"/>
        <v>0.77777777777777779</v>
      </c>
      <c r="AI401" s="32">
        <f t="shared" si="172"/>
        <v>0.94444444444444442</v>
      </c>
      <c r="AJ401" s="32">
        <f t="shared" si="173"/>
        <v>0.77777777777777779</v>
      </c>
      <c r="AK401">
        <f>step3_validation[[#This Row],[AI_TRU1]]</f>
        <v>8</v>
      </c>
      <c r="AL401">
        <f t="shared" si="174"/>
        <v>0.77777777777777779</v>
      </c>
      <c r="AM401">
        <f>survey_responses[[#This Row],[Tôi tin rằng Nhà nước, cơ quan thuế sẽ thực thi chính sách mới một cách khách quan, công tâm và đối xử bình đẳng với mọi người nộp thuế.  - HUMAN-TRU1]]</f>
        <v>7</v>
      </c>
      <c r="AN401">
        <f t="shared" si="175"/>
        <v>0.66666666666666663</v>
      </c>
      <c r="AO401">
        <f>step3_validation[[#This Row],[AI_TRU2]]</f>
        <v>7</v>
      </c>
      <c r="AP401">
        <f t="shared" si="176"/>
        <v>0.66666666666666663</v>
      </c>
      <c r="AQ401">
        <f>survey_responses[[#This Row],[Tôi thấy mức thuế tôi phải đóng theo phương án mới là công bằng (người thu nhập như tôi đóng mức này là hợp lý). - HUMAN-TRU2]]</f>
        <v>7</v>
      </c>
      <c r="AR401">
        <f t="shared" si="177"/>
        <v>0.66666666666666663</v>
      </c>
      <c r="AS401">
        <f>step3_validation[[#This Row],[AI_TRU3]]</f>
        <v>8</v>
      </c>
      <c r="AT401">
        <f t="shared" si="178"/>
        <v>0.77777777777777779</v>
      </c>
      <c r="AU401">
        <f>survey_responses[[#This Row],[Tôi tin tưởng số tiền thuế tôi đóng sẽ được Nhà nước sử dụng hiệu quả để cải thiện dịch vụ công (y tế, đường xá...). - HUMAN-TRU3]]</f>
        <v>7</v>
      </c>
      <c r="AV401">
        <f t="shared" si="179"/>
        <v>0.66666666666666663</v>
      </c>
      <c r="AW401">
        <f>step3_validation[[#This Row],[AI_TRU4]]</f>
        <v>7</v>
      </c>
      <c r="AX401">
        <f t="shared" si="180"/>
        <v>0.66666666666666663</v>
      </c>
      <c r="AY401">
        <f>survey_responses[[#This Row],[Tôi thấy Nhà nước đã giải thích rõ ràng, minh bạch về lý do và mục tiêu của việc sửa đổi thuế lần này. - HUMAN-TRU4]]</f>
        <v>7</v>
      </c>
      <c r="AZ401">
        <f t="shared" si="181"/>
        <v>0.66666666666666663</v>
      </c>
      <c r="BA401" s="32">
        <f t="shared" si="182"/>
        <v>0.72222222222222221</v>
      </c>
      <c r="BB401" s="32">
        <f t="shared" si="183"/>
        <v>0.66666666666666663</v>
      </c>
      <c r="BC401" s="7">
        <f t="shared" si="184"/>
        <v>0.77777777777777779</v>
      </c>
      <c r="BD401" s="7">
        <f t="shared" si="185"/>
        <v>0.75925925925925919</v>
      </c>
      <c r="BE401">
        <f>step3_validation[[#This Row],[AI_OUT1]]</f>
        <v>8</v>
      </c>
      <c r="BF401">
        <f t="shared" si="186"/>
        <v>0.77777777777777779</v>
      </c>
      <c r="BG401">
        <f>survey_responses[[#This Row],[Sau khi xem xét các quyền lợi và nghĩa vụ, bạn có ủng hộ và tuân thủ chính sách mới hiện nay? - HUMAN-OUT1]]</f>
        <v>8</v>
      </c>
      <c r="BH401">
        <f t="shared" si="187"/>
        <v>0.77777777777777779</v>
      </c>
      <c r="BI401" s="32">
        <f t="shared" si="188"/>
        <v>0</v>
      </c>
    </row>
    <row r="402" spans="1:61" x14ac:dyDescent="0.45">
      <c r="A402" s="30">
        <f>step3_validation[[#This Row],[Persona_ID]]</f>
        <v>401</v>
      </c>
      <c r="B402" s="31">
        <f>step3_validation[[#This Row],[Used_Seed]]</f>
        <v>401</v>
      </c>
      <c r="C402" t="str">
        <f>step3_validation[[#This Row],[Gender]]</f>
        <v>Nữ</v>
      </c>
      <c r="D402" t="str">
        <f>survey_responses[[#This Row],[Giới tính của bạn:]]</f>
        <v>Nữ</v>
      </c>
      <c r="E402" t="str">
        <f>step3_validation[[#This Row],[Age_Group]]</f>
        <v>25 - 29</v>
      </c>
      <c r="F402" t="str">
        <f>survey_responses[[#This Row],[Độ tuổi của bạn:]]</f>
        <v>25 - 29</v>
      </c>
      <c r="G402" t="str">
        <f>step3_validation[[#This Row],[Region]]</f>
        <v>Nông thôn</v>
      </c>
      <c r="H402" t="str">
        <f>survey_responses[[#This Row],[Khu vực bạn đang sinh sống:]]</f>
        <v>Nông thôn</v>
      </c>
      <c r="I402" t="str">
        <f>step3_validation[[#This Row],[Education]]</f>
        <v>Đại học</v>
      </c>
      <c r="J402" t="str">
        <f>survey_responses[[#This Row],[Trình độ học vấn cao nhất:]]</f>
        <v>Đại học</v>
      </c>
      <c r="K402" t="str">
        <f>step3_validation[[#This Row],[Employment]]</f>
        <v>Chính thức</v>
      </c>
      <c r="L402" t="str">
        <f>survey_responses[[#This Row],[Tình trạng việc làm chính:]]</f>
        <v>Khu vực chính thức (Có Hợp đồng lao động, đóng BHXH)</v>
      </c>
      <c r="M402">
        <f>step3_validation[[#This Row],[Income_Mil]]</f>
        <v>15.466904501465335</v>
      </c>
      <c r="N402" t="str">
        <f>survey_responses[[#This Row],[Thu nhập bình quân tháng theo Hợp đồng lao động của bạn là bao nhiêu? (Vui lòng điền tổng thu nhập trước khi khấu trừ các loại Bảo hiểm (BHXH, BHYT, BHTN) và Thuế TNCN)]]</f>
        <v>Từ 12 - 18 triệu VNĐ</v>
      </c>
      <c r="O402">
        <f>step3_validation[[#This Row],[Dependents]]</f>
        <v>0</v>
      </c>
      <c r="P402" t="str">
        <f>survey_responses[[#This Row],[Số người phụ thuộc (con nhỏ, cha mẹ già...) đủ điều kiện giảm trừ gia cảnh:]]</f>
        <v>0 người</v>
      </c>
      <c r="Q402">
        <f>step3_validation[[#This Row],[AI_ENF1]]</f>
        <v>6</v>
      </c>
      <c r="R402">
        <f t="shared" si="162"/>
        <v>0.55555555555555558</v>
      </c>
      <c r="S402">
        <f>survey_responses[[#This Row],[Tôi tin rằng với các quy định quản lý thuế hiện nay, hành vi gian lận hoặc trốn thuế sẽ dễ dàng bị phát hiện và xử lý nghiêm. - HUMAN-ENF1]]</f>
        <v>4</v>
      </c>
      <c r="T402">
        <f t="shared" si="163"/>
        <v>0.33333333333333331</v>
      </c>
      <c r="U402">
        <f>step3_validation[[#This Row],[AI_ENF2]]</f>
        <v>6</v>
      </c>
      <c r="V402">
        <f t="shared" si="164"/>
        <v>0.55555555555555558</v>
      </c>
      <c r="W402">
        <f>survey_responses[[#This Row],[Tôi tin rằng Nhà nước, cơ quan thuế có đủ khả năng và công nghệ để phát hiện, xử lý nghiêm các hành vi trốn thuế. - HUMAN-ENF2]]</f>
        <v>4</v>
      </c>
      <c r="X402">
        <f t="shared" si="165"/>
        <v>0.33333333333333331</v>
      </c>
      <c r="Y402" s="32">
        <f t="shared" si="166"/>
        <v>0.55555555555555558</v>
      </c>
      <c r="Z402" s="32">
        <f t="shared" si="167"/>
        <v>0.33333333333333331</v>
      </c>
      <c r="AA402">
        <f>step3_validation[[#This Row],[AI_FAC1]]</f>
        <v>9</v>
      </c>
      <c r="AB402">
        <f t="shared" si="168"/>
        <v>0.88888888888888884</v>
      </c>
      <c r="AC402">
        <f>survey_responses[[#This Row],[Các thủ tục khai báo thuế VÀ/HOẶC quy trình làm việc với cơ quan thuế đơn giản, tiện lợi, nhanh chóng hơn so với trước đây. - HUMAN-FAC1]]</f>
        <v>3</v>
      </c>
      <c r="AD402">
        <f t="shared" si="169"/>
        <v>0.22222222222222221</v>
      </c>
      <c r="AE402">
        <f>step3_validation[[#This Row],[AI_FAC2]]</f>
        <v>9</v>
      </c>
      <c r="AF402">
        <f t="shared" si="170"/>
        <v>0.88888888888888884</v>
      </c>
      <c r="AG402">
        <f>survey_responses[[#This Row],[So với trước đây, tôi thấy cách tính thuế và các bậc thuế trong phương án mới đơn giản, dễ hiểu và dễ thực hiện hơn. - HUMAN-FAC2]]</f>
        <v>5</v>
      </c>
      <c r="AH402">
        <f t="shared" si="171"/>
        <v>0.44444444444444442</v>
      </c>
      <c r="AI402" s="32">
        <f t="shared" si="172"/>
        <v>0.88888888888888884</v>
      </c>
      <c r="AJ402" s="32">
        <f t="shared" si="173"/>
        <v>0.33333333333333331</v>
      </c>
      <c r="AK402">
        <f>step3_validation[[#This Row],[AI_TRU1]]</f>
        <v>7</v>
      </c>
      <c r="AL402">
        <f t="shared" si="174"/>
        <v>0.66666666666666663</v>
      </c>
      <c r="AM402">
        <f>survey_responses[[#This Row],[Tôi tin rằng Nhà nước, cơ quan thuế sẽ thực thi chính sách mới một cách khách quan, công tâm và đối xử bình đẳng với mọi người nộp thuế.  - HUMAN-TRU1]]</f>
        <v>5</v>
      </c>
      <c r="AN402">
        <f t="shared" si="175"/>
        <v>0.44444444444444442</v>
      </c>
      <c r="AO402">
        <f>step3_validation[[#This Row],[AI_TRU2]]</f>
        <v>8</v>
      </c>
      <c r="AP402">
        <f t="shared" si="176"/>
        <v>0.77777777777777779</v>
      </c>
      <c r="AQ402">
        <f>survey_responses[[#This Row],[Tôi thấy mức thuế tôi phải đóng theo phương án mới là công bằng (người thu nhập như tôi đóng mức này là hợp lý). - HUMAN-TRU2]]</f>
        <v>2</v>
      </c>
      <c r="AR402">
        <f t="shared" si="177"/>
        <v>0.1111111111111111</v>
      </c>
      <c r="AS402">
        <f>step3_validation[[#This Row],[AI_TRU3]]</f>
        <v>7</v>
      </c>
      <c r="AT402">
        <f t="shared" si="178"/>
        <v>0.66666666666666663</v>
      </c>
      <c r="AU402">
        <f>survey_responses[[#This Row],[Tôi tin tưởng số tiền thuế tôi đóng sẽ được Nhà nước sử dụng hiệu quả để cải thiện dịch vụ công (y tế, đường xá...). - HUMAN-TRU3]]</f>
        <v>2</v>
      </c>
      <c r="AV402">
        <f t="shared" si="179"/>
        <v>0.1111111111111111</v>
      </c>
      <c r="AW402">
        <f>step3_validation[[#This Row],[AI_TRU4]]</f>
        <v>6</v>
      </c>
      <c r="AX402">
        <f t="shared" si="180"/>
        <v>0.55555555555555558</v>
      </c>
      <c r="AY402">
        <f>survey_responses[[#This Row],[Tôi thấy Nhà nước đã giải thích rõ ràng, minh bạch về lý do và mục tiêu của việc sửa đổi thuế lần này. - HUMAN-TRU4]]</f>
        <v>5</v>
      </c>
      <c r="AZ402">
        <f t="shared" si="181"/>
        <v>0.44444444444444442</v>
      </c>
      <c r="BA402" s="32">
        <f t="shared" si="182"/>
        <v>0.66666666666666674</v>
      </c>
      <c r="BB402" s="32">
        <f t="shared" si="183"/>
        <v>0.27777777777777779</v>
      </c>
      <c r="BC402" s="7">
        <f t="shared" si="184"/>
        <v>0.70370370370370372</v>
      </c>
      <c r="BD402" s="7">
        <f t="shared" si="185"/>
        <v>0.31481481481481483</v>
      </c>
      <c r="BE402">
        <f>step3_validation[[#This Row],[AI_OUT1]]</f>
        <v>8</v>
      </c>
      <c r="BF402">
        <f t="shared" si="186"/>
        <v>0.77777777777777779</v>
      </c>
      <c r="BG402">
        <f>survey_responses[[#This Row],[Sau khi xem xét các quyền lợi và nghĩa vụ, bạn có ủng hộ và tuân thủ chính sách mới hiện nay? - HUMAN-OUT1]]</f>
        <v>2</v>
      </c>
      <c r="BH402">
        <f t="shared" si="187"/>
        <v>0.1111111111111111</v>
      </c>
      <c r="BI402" s="32">
        <f t="shared" si="188"/>
        <v>6</v>
      </c>
    </row>
    <row r="403" spans="1:61" x14ac:dyDescent="0.45">
      <c r="A403" s="30">
        <f>step3_validation[[#This Row],[Persona_ID]]</f>
        <v>402</v>
      </c>
      <c r="B403" s="31">
        <f>step3_validation[[#This Row],[Used_Seed]]</f>
        <v>402</v>
      </c>
      <c r="C403" t="str">
        <f>step3_validation[[#This Row],[Gender]]</f>
        <v>Nam</v>
      </c>
      <c r="D403" t="str">
        <f>survey_responses[[#This Row],[Giới tính của bạn:]]</f>
        <v>Nam</v>
      </c>
      <c r="E403" t="str">
        <f>step3_validation[[#This Row],[Age_Group]]</f>
        <v>55 - 64</v>
      </c>
      <c r="F403" t="str">
        <f>survey_responses[[#This Row],[Độ tuổi của bạn:]]</f>
        <v>55 - 64</v>
      </c>
      <c r="G403" t="str">
        <f>step3_validation[[#This Row],[Region]]</f>
        <v>Thành thị</v>
      </c>
      <c r="H403" t="str">
        <f>survey_responses[[#This Row],[Khu vực bạn đang sinh sống:]]</f>
        <v>Thành thị</v>
      </c>
      <c r="I403" t="str">
        <f>step3_validation[[#This Row],[Education]]</f>
        <v>Sau Đại học</v>
      </c>
      <c r="J403" t="str">
        <f>survey_responses[[#This Row],[Trình độ học vấn cao nhất:]]</f>
        <v>Sau Đại học</v>
      </c>
      <c r="K403" t="str">
        <f>step3_validation[[#This Row],[Employment]]</f>
        <v>Chính thức</v>
      </c>
      <c r="L403" t="str">
        <f>survey_responses[[#This Row],[Tình trạng việc làm chính:]]</f>
        <v>Khu vực chính thức (Có Hợp đồng lao động, đóng BHXH)</v>
      </c>
      <c r="M403">
        <f>step3_validation[[#This Row],[Income_Mil]]</f>
        <v>141.19069464946287</v>
      </c>
      <c r="N403" t="str">
        <f>survey_responses[[#This Row],[Thu nhập bình quân tháng theo Hợp đồng lao động của bạn là bao nhiêu? (Vui lòng điền tổng thu nhập trước khi khấu trừ các loại Bảo hiểm (BHXH, BHYT, BHTN) và Thuế TNCN)]]</f>
        <v>Trên 102 triệu VNĐ</v>
      </c>
      <c r="O403">
        <f>step3_validation[[#This Row],[Dependents]]</f>
        <v>4</v>
      </c>
      <c r="P403" t="str">
        <f>survey_responses[[#This Row],[Số người phụ thuộc (con nhỏ, cha mẹ già...) đủ điều kiện giảm trừ gia cảnh:]]</f>
        <v>4 người trở lên</v>
      </c>
      <c r="Q403">
        <f>step3_validation[[#This Row],[AI_ENF1]]</f>
        <v>7</v>
      </c>
      <c r="R403">
        <f t="shared" si="162"/>
        <v>0.66666666666666663</v>
      </c>
      <c r="S403">
        <f>survey_responses[[#This Row],[Tôi tin rằng với các quy định quản lý thuế hiện nay, hành vi gian lận hoặc trốn thuế sẽ dễ dàng bị phát hiện và xử lý nghiêm. - HUMAN-ENF1]]</f>
        <v>7</v>
      </c>
      <c r="T403">
        <f t="shared" si="163"/>
        <v>0.66666666666666663</v>
      </c>
      <c r="U403">
        <f>step3_validation[[#This Row],[AI_ENF2]]</f>
        <v>7</v>
      </c>
      <c r="V403">
        <f t="shared" si="164"/>
        <v>0.66666666666666663</v>
      </c>
      <c r="W403">
        <f>survey_responses[[#This Row],[Tôi tin rằng Nhà nước, cơ quan thuế có đủ khả năng và công nghệ để phát hiện, xử lý nghiêm các hành vi trốn thuế. - HUMAN-ENF2]]</f>
        <v>7</v>
      </c>
      <c r="X403">
        <f t="shared" si="165"/>
        <v>0.66666666666666663</v>
      </c>
      <c r="Y403" s="32">
        <f t="shared" si="166"/>
        <v>0.66666666666666663</v>
      </c>
      <c r="Z403" s="32">
        <f t="shared" si="167"/>
        <v>0.66666666666666663</v>
      </c>
      <c r="AA403">
        <f>step3_validation[[#This Row],[AI_FAC1]]</f>
        <v>9</v>
      </c>
      <c r="AB403">
        <f t="shared" si="168"/>
        <v>0.88888888888888884</v>
      </c>
      <c r="AC403">
        <f>survey_responses[[#This Row],[Các thủ tục khai báo thuế VÀ/HOẶC quy trình làm việc với cơ quan thuế đơn giản, tiện lợi, nhanh chóng hơn so với trước đây. - HUMAN-FAC1]]</f>
        <v>4</v>
      </c>
      <c r="AD403">
        <f t="shared" si="169"/>
        <v>0.33333333333333331</v>
      </c>
      <c r="AE403">
        <f>step3_validation[[#This Row],[AI_FAC2]]</f>
        <v>8</v>
      </c>
      <c r="AF403">
        <f t="shared" si="170"/>
        <v>0.77777777777777779</v>
      </c>
      <c r="AG403">
        <f>survey_responses[[#This Row],[So với trước đây, tôi thấy cách tính thuế và các bậc thuế trong phương án mới đơn giản, dễ hiểu và dễ thực hiện hơn. - HUMAN-FAC2]]</f>
        <v>6</v>
      </c>
      <c r="AH403">
        <f t="shared" si="171"/>
        <v>0.55555555555555558</v>
      </c>
      <c r="AI403" s="32">
        <f t="shared" si="172"/>
        <v>0.83333333333333326</v>
      </c>
      <c r="AJ403" s="32">
        <f t="shared" si="173"/>
        <v>0.44444444444444442</v>
      </c>
      <c r="AK403">
        <f>step3_validation[[#This Row],[AI_TRU1]]</f>
        <v>9</v>
      </c>
      <c r="AL403">
        <f t="shared" si="174"/>
        <v>0.88888888888888884</v>
      </c>
      <c r="AM403">
        <f>survey_responses[[#This Row],[Tôi tin rằng Nhà nước, cơ quan thuế sẽ thực thi chính sách mới một cách khách quan, công tâm và đối xử bình đẳng với mọi người nộp thuế.  - HUMAN-TRU1]]</f>
        <v>5</v>
      </c>
      <c r="AN403">
        <f t="shared" si="175"/>
        <v>0.44444444444444442</v>
      </c>
      <c r="AO403">
        <f>step3_validation[[#This Row],[AI_TRU2]]</f>
        <v>8</v>
      </c>
      <c r="AP403">
        <f t="shared" si="176"/>
        <v>0.77777777777777779</v>
      </c>
      <c r="AQ403">
        <f>survey_responses[[#This Row],[Tôi thấy mức thuế tôi phải đóng theo phương án mới là công bằng (người thu nhập như tôi đóng mức này là hợp lý). - HUMAN-TRU2]]</f>
        <v>4</v>
      </c>
      <c r="AR403">
        <f t="shared" si="177"/>
        <v>0.33333333333333331</v>
      </c>
      <c r="AS403">
        <f>step3_validation[[#This Row],[AI_TRU3]]</f>
        <v>7</v>
      </c>
      <c r="AT403">
        <f t="shared" si="178"/>
        <v>0.66666666666666663</v>
      </c>
      <c r="AU403">
        <f>survey_responses[[#This Row],[Tôi tin tưởng số tiền thuế tôi đóng sẽ được Nhà nước sử dụng hiệu quả để cải thiện dịch vụ công (y tế, đường xá...). - HUMAN-TRU3]]</f>
        <v>5</v>
      </c>
      <c r="AV403">
        <f t="shared" si="179"/>
        <v>0.44444444444444442</v>
      </c>
      <c r="AW403">
        <f>step3_validation[[#This Row],[AI_TRU4]]</f>
        <v>8</v>
      </c>
      <c r="AX403">
        <f t="shared" si="180"/>
        <v>0.77777777777777779</v>
      </c>
      <c r="AY403">
        <f>survey_responses[[#This Row],[Tôi thấy Nhà nước đã giải thích rõ ràng, minh bạch về lý do và mục tiêu của việc sửa đổi thuế lần này. - HUMAN-TRU4]]</f>
        <v>5</v>
      </c>
      <c r="AZ403">
        <f t="shared" si="181"/>
        <v>0.44444444444444442</v>
      </c>
      <c r="BA403" s="32">
        <f t="shared" si="182"/>
        <v>0.77777777777777768</v>
      </c>
      <c r="BB403" s="32">
        <f t="shared" si="183"/>
        <v>0.41666666666666663</v>
      </c>
      <c r="BC403" s="7">
        <f t="shared" si="184"/>
        <v>0.75925925925925919</v>
      </c>
      <c r="BD403" s="7">
        <f t="shared" si="185"/>
        <v>0.50925925925925919</v>
      </c>
      <c r="BE403">
        <f>step3_validation[[#This Row],[AI_OUT1]]</f>
        <v>9</v>
      </c>
      <c r="BF403">
        <f t="shared" si="186"/>
        <v>0.88888888888888884</v>
      </c>
      <c r="BG403">
        <f>survey_responses[[#This Row],[Sau khi xem xét các quyền lợi và nghĩa vụ, bạn có ủng hộ và tuân thủ chính sách mới hiện nay? - HUMAN-OUT1]]</f>
        <v>5</v>
      </c>
      <c r="BH403">
        <f t="shared" si="187"/>
        <v>0.44444444444444442</v>
      </c>
      <c r="BI403" s="32">
        <f t="shared" si="188"/>
        <v>4</v>
      </c>
    </row>
    <row r="404" spans="1:61" x14ac:dyDescent="0.45">
      <c r="A404" s="30">
        <f>step3_validation[[#This Row],[Persona_ID]]</f>
        <v>403</v>
      </c>
      <c r="B404" s="31">
        <f>step3_validation[[#This Row],[Used_Seed]]</f>
        <v>403</v>
      </c>
      <c r="C404" t="str">
        <f>step3_validation[[#This Row],[Gender]]</f>
        <v>Nữ</v>
      </c>
      <c r="D404" t="str">
        <f>survey_responses[[#This Row],[Giới tính của bạn:]]</f>
        <v>Nữ</v>
      </c>
      <c r="E404" t="str">
        <f>step3_validation[[#This Row],[Age_Group]]</f>
        <v>25 - 29</v>
      </c>
      <c r="F404" t="str">
        <f>survey_responses[[#This Row],[Độ tuổi của bạn:]]</f>
        <v>25 - 29</v>
      </c>
      <c r="G404" t="str">
        <f>step3_validation[[#This Row],[Region]]</f>
        <v>Thành thị</v>
      </c>
      <c r="H404" t="str">
        <f>survey_responses[[#This Row],[Khu vực bạn đang sinh sống:]]</f>
        <v>Thành thị</v>
      </c>
      <c r="I404" t="str">
        <f>step3_validation[[#This Row],[Education]]</f>
        <v>Đại học</v>
      </c>
      <c r="J404" t="str">
        <f>survey_responses[[#This Row],[Trình độ học vấn cao nhất:]]</f>
        <v>Đại học</v>
      </c>
      <c r="K404" t="str">
        <f>step3_validation[[#This Row],[Employment]]</f>
        <v>Chính thức</v>
      </c>
      <c r="L404" t="str">
        <f>survey_responses[[#This Row],[Tình trạng việc làm chính:]]</f>
        <v>Khu vực chính thức (Có Hợp đồng lao động, đóng BHXH)</v>
      </c>
      <c r="M404">
        <f>step3_validation[[#This Row],[Income_Mil]]</f>
        <v>24.420858224223796</v>
      </c>
      <c r="N404" t="str">
        <f>survey_responses[[#This Row],[Thu nhập bình quân tháng theo Hợp đồng lao động của bạn là bao nhiêu? (Vui lòng điền tổng thu nhập trước khi khấu trừ các loại Bảo hiểm (BHXH, BHYT, BHTN) và Thuế TNCN)]]</f>
        <v>Từ 23 - 32 triệu VNĐ</v>
      </c>
      <c r="O404">
        <f>step3_validation[[#This Row],[Dependents]]</f>
        <v>0</v>
      </c>
      <c r="P404" t="str">
        <f>survey_responses[[#This Row],[Số người phụ thuộc (con nhỏ, cha mẹ già...) đủ điều kiện giảm trừ gia cảnh:]]</f>
        <v>0 người</v>
      </c>
      <c r="Q404">
        <f>step3_validation[[#This Row],[AI_ENF1]]</f>
        <v>7</v>
      </c>
      <c r="R404">
        <f t="shared" si="162"/>
        <v>0.66666666666666663</v>
      </c>
      <c r="S404">
        <f>survey_responses[[#This Row],[Tôi tin rằng với các quy định quản lý thuế hiện nay, hành vi gian lận hoặc trốn thuế sẽ dễ dàng bị phát hiện và xử lý nghiêm. - HUMAN-ENF1]]</f>
        <v>7</v>
      </c>
      <c r="T404">
        <f t="shared" si="163"/>
        <v>0.66666666666666663</v>
      </c>
      <c r="U404">
        <f>step3_validation[[#This Row],[AI_ENF2]]</f>
        <v>6</v>
      </c>
      <c r="V404">
        <f t="shared" si="164"/>
        <v>0.55555555555555558</v>
      </c>
      <c r="W404">
        <f>survey_responses[[#This Row],[Tôi tin rằng Nhà nước, cơ quan thuế có đủ khả năng và công nghệ để phát hiện, xử lý nghiêm các hành vi trốn thuế. - HUMAN-ENF2]]</f>
        <v>7</v>
      </c>
      <c r="X404">
        <f t="shared" si="165"/>
        <v>0.66666666666666663</v>
      </c>
      <c r="Y404" s="32">
        <f t="shared" si="166"/>
        <v>0.61111111111111116</v>
      </c>
      <c r="Z404" s="32">
        <f t="shared" si="167"/>
        <v>0.66666666666666663</v>
      </c>
      <c r="AA404">
        <f>step3_validation[[#This Row],[AI_FAC1]]</f>
        <v>8</v>
      </c>
      <c r="AB404">
        <f t="shared" si="168"/>
        <v>0.77777777777777779</v>
      </c>
      <c r="AC404">
        <f>survey_responses[[#This Row],[Các thủ tục khai báo thuế VÀ/HOẶC quy trình làm việc với cơ quan thuế đơn giản, tiện lợi, nhanh chóng hơn so với trước đây. - HUMAN-FAC1]]</f>
        <v>7</v>
      </c>
      <c r="AD404">
        <f t="shared" si="169"/>
        <v>0.66666666666666663</v>
      </c>
      <c r="AE404">
        <f>step3_validation[[#This Row],[AI_FAC2]]</f>
        <v>9</v>
      </c>
      <c r="AF404">
        <f t="shared" si="170"/>
        <v>0.88888888888888884</v>
      </c>
      <c r="AG404">
        <f>survey_responses[[#This Row],[So với trước đây, tôi thấy cách tính thuế và các bậc thuế trong phương án mới đơn giản, dễ hiểu và dễ thực hiện hơn. - HUMAN-FAC2]]</f>
        <v>7</v>
      </c>
      <c r="AH404">
        <f t="shared" si="171"/>
        <v>0.66666666666666663</v>
      </c>
      <c r="AI404" s="32">
        <f t="shared" si="172"/>
        <v>0.83333333333333326</v>
      </c>
      <c r="AJ404" s="32">
        <f t="shared" si="173"/>
        <v>0.66666666666666663</v>
      </c>
      <c r="AK404">
        <f>step3_validation[[#This Row],[AI_TRU1]]</f>
        <v>8</v>
      </c>
      <c r="AL404">
        <f t="shared" si="174"/>
        <v>0.77777777777777779</v>
      </c>
      <c r="AM404">
        <f>survey_responses[[#This Row],[Tôi tin rằng Nhà nước, cơ quan thuế sẽ thực thi chính sách mới một cách khách quan, công tâm và đối xử bình đẳng với mọi người nộp thuế.  - HUMAN-TRU1]]</f>
        <v>7</v>
      </c>
      <c r="AN404">
        <f t="shared" si="175"/>
        <v>0.66666666666666663</v>
      </c>
      <c r="AO404">
        <f>step3_validation[[#This Row],[AI_TRU2]]</f>
        <v>9</v>
      </c>
      <c r="AP404">
        <f t="shared" si="176"/>
        <v>0.88888888888888884</v>
      </c>
      <c r="AQ404">
        <f>survey_responses[[#This Row],[Tôi thấy mức thuế tôi phải đóng theo phương án mới là công bằng (người thu nhập như tôi đóng mức này là hợp lý). - HUMAN-TRU2]]</f>
        <v>7</v>
      </c>
      <c r="AR404">
        <f t="shared" si="177"/>
        <v>0.66666666666666663</v>
      </c>
      <c r="AS404">
        <f>step3_validation[[#This Row],[AI_TRU3]]</f>
        <v>8</v>
      </c>
      <c r="AT404">
        <f t="shared" si="178"/>
        <v>0.77777777777777779</v>
      </c>
      <c r="AU404">
        <f>survey_responses[[#This Row],[Tôi tin tưởng số tiền thuế tôi đóng sẽ được Nhà nước sử dụng hiệu quả để cải thiện dịch vụ công (y tế, đường xá...). - HUMAN-TRU3]]</f>
        <v>7</v>
      </c>
      <c r="AV404">
        <f t="shared" si="179"/>
        <v>0.66666666666666663</v>
      </c>
      <c r="AW404">
        <f>step3_validation[[#This Row],[AI_TRU4]]</f>
        <v>7</v>
      </c>
      <c r="AX404">
        <f t="shared" si="180"/>
        <v>0.66666666666666663</v>
      </c>
      <c r="AY404">
        <f>survey_responses[[#This Row],[Tôi thấy Nhà nước đã giải thích rõ ràng, minh bạch về lý do và mục tiêu của việc sửa đổi thuế lần này. - HUMAN-TRU4]]</f>
        <v>7</v>
      </c>
      <c r="AZ404">
        <f t="shared" si="181"/>
        <v>0.66666666666666663</v>
      </c>
      <c r="BA404" s="32">
        <f t="shared" si="182"/>
        <v>0.77777777777777768</v>
      </c>
      <c r="BB404" s="32">
        <f t="shared" si="183"/>
        <v>0.66666666666666663</v>
      </c>
      <c r="BC404" s="7">
        <f t="shared" si="184"/>
        <v>0.74074074074074081</v>
      </c>
      <c r="BD404" s="7">
        <f t="shared" si="185"/>
        <v>0.66666666666666663</v>
      </c>
      <c r="BE404">
        <f>step3_validation[[#This Row],[AI_OUT1]]</f>
        <v>9</v>
      </c>
      <c r="BF404">
        <f t="shared" si="186"/>
        <v>0.88888888888888884</v>
      </c>
      <c r="BG404">
        <f>survey_responses[[#This Row],[Sau khi xem xét các quyền lợi và nghĩa vụ, bạn có ủng hộ và tuân thủ chính sách mới hiện nay? - HUMAN-OUT1]]</f>
        <v>7</v>
      </c>
      <c r="BH404">
        <f t="shared" si="187"/>
        <v>0.66666666666666663</v>
      </c>
      <c r="BI404" s="32">
        <f t="shared" si="188"/>
        <v>2</v>
      </c>
    </row>
    <row r="405" spans="1:61" x14ac:dyDescent="0.45">
      <c r="BC405" s="7">
        <f>AVERAGE(BC2:BC404)</f>
        <v>0.7564102564102575</v>
      </c>
      <c r="BD405" s="7">
        <f>AVERAGE(BD2:BD404)</f>
        <v>0.62937689550592735</v>
      </c>
      <c r="BF405" s="7">
        <f>AVERAGE(BF2:BF404)</f>
        <v>0.84835952577888252</v>
      </c>
      <c r="BH405" s="7">
        <f>AVERAGE(BH2:BH404)</f>
        <v>0.65977391783843187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16111-E932-45E5-90B2-84E9CE2DA638}">
  <dimension ref="A1:J79"/>
  <sheetViews>
    <sheetView tabSelected="1" workbookViewId="0">
      <selection activeCell="J79" sqref="A1:J79"/>
    </sheetView>
  </sheetViews>
  <sheetFormatPr defaultRowHeight="14.25" x14ac:dyDescent="0.45"/>
  <sheetData>
    <row r="1" spans="1:10" x14ac:dyDescent="0.45">
      <c r="A1" s="41" t="s">
        <v>13</v>
      </c>
      <c r="B1" s="41" t="s">
        <v>1</v>
      </c>
      <c r="C1" s="41" t="s">
        <v>2</v>
      </c>
      <c r="D1" s="41" t="s">
        <v>3</v>
      </c>
      <c r="E1" s="41">
        <f>SUM(E2:E3)</f>
        <v>403</v>
      </c>
      <c r="G1" s="41" t="s">
        <v>13</v>
      </c>
      <c r="H1" s="41" t="s">
        <v>1</v>
      </c>
      <c r="I1" s="41" t="s">
        <v>2</v>
      </c>
      <c r="J1" s="41" t="s">
        <v>3</v>
      </c>
    </row>
    <row r="2" spans="1:10" x14ac:dyDescent="0.45">
      <c r="A2" s="4" t="s">
        <v>76</v>
      </c>
      <c r="B2" s="4">
        <f>COUNTIFS(step3_combined_data!$R$2:$R$404,"Oppose", step3_combined_data!$K$2:$K$404,"Chính thức")</f>
        <v>4</v>
      </c>
      <c r="C2" s="4">
        <f>COUNTIFS(step3_combined_data!$R$2:$R$404,"Neutral", step3_combined_data!$K$2:$K$404,"Chính thức")</f>
        <v>251</v>
      </c>
      <c r="D2" s="4">
        <f>COUNTIFS(step3_combined_data!$R$2:$R$404,"Support", step3_combined_data!$K$2:$K$404,"Chính thức")</f>
        <v>122</v>
      </c>
      <c r="E2" s="4">
        <f>SUM(B2:D2)</f>
        <v>377</v>
      </c>
      <c r="G2" s="4" t="s">
        <v>76</v>
      </c>
      <c r="H2" s="42">
        <f>B2/E2</f>
        <v>1.0610079575596816E-2</v>
      </c>
      <c r="I2" s="42">
        <f>C2/E2</f>
        <v>0.66578249336870021</v>
      </c>
      <c r="J2" s="42">
        <f>D2/E2</f>
        <v>0.32360742705570295</v>
      </c>
    </row>
    <row r="3" spans="1:10" x14ac:dyDescent="0.45">
      <c r="A3" s="4" t="s">
        <v>162</v>
      </c>
      <c r="B3" s="4">
        <f>COUNTIFS(step3_combined_data!$R$2:$R$404,"Oppose", step3_combined_data!$K$2:$K$404,"Phi chính thức")</f>
        <v>2</v>
      </c>
      <c r="C3" s="4">
        <f>COUNTIFS(step3_combined_data!$R$2:$R$404,"Neutral", step3_combined_data!$K$2:$K$404,"Phi chính thức")</f>
        <v>18</v>
      </c>
      <c r="D3" s="4">
        <f>COUNTIFS(step3_combined_data!$R$2:$R$404,"Support", step3_combined_data!$K$2:$K$404,"Phi chính thức")</f>
        <v>6</v>
      </c>
      <c r="E3" s="4">
        <f>SUM(B3:D3)</f>
        <v>26</v>
      </c>
      <c r="G3" s="4" t="s">
        <v>162</v>
      </c>
      <c r="H3" s="42">
        <f>B3/E3</f>
        <v>7.6923076923076927E-2</v>
      </c>
      <c r="I3" s="42">
        <f>C3/E3</f>
        <v>0.69230769230769229</v>
      </c>
      <c r="J3" s="42">
        <f>D3/E3</f>
        <v>0.23076923076923078</v>
      </c>
    </row>
    <row r="5" spans="1:10" x14ac:dyDescent="0.45">
      <c r="A5" s="41" t="s">
        <v>14</v>
      </c>
      <c r="B5" s="41" t="s">
        <v>1</v>
      </c>
      <c r="C5" s="41" t="s">
        <v>2</v>
      </c>
      <c r="D5" s="41" t="s">
        <v>3</v>
      </c>
      <c r="E5" s="41">
        <f>SUM(E6:E7)</f>
        <v>403</v>
      </c>
      <c r="G5" s="41" t="s">
        <v>14</v>
      </c>
      <c r="H5" s="41" t="s">
        <v>1</v>
      </c>
      <c r="I5" s="41" t="s">
        <v>2</v>
      </c>
      <c r="J5" s="41" t="s">
        <v>3</v>
      </c>
    </row>
    <row r="6" spans="1:10" x14ac:dyDescent="0.45">
      <c r="A6" s="4" t="s">
        <v>76</v>
      </c>
      <c r="B6" s="4">
        <f>COUNTIFS(step3_combined_data!$W$2:$W$404,"Oppose", step3_combined_data!$K$2:$K$404,"Chính thức")</f>
        <v>2</v>
      </c>
      <c r="C6" s="4">
        <f>COUNTIFS(step3_combined_data!$W$2:$W$404,"Neutral", step3_combined_data!$K$2:$K$404,"Chính thức")</f>
        <v>187</v>
      </c>
      <c r="D6" s="4">
        <f>COUNTIFS(step3_combined_data!$W$2:$W$404,"Support", step3_combined_data!$K$2:$K$404,"Chính thức")</f>
        <v>188</v>
      </c>
      <c r="E6" s="4">
        <f>SUM(B6:D6)</f>
        <v>377</v>
      </c>
      <c r="G6" s="4" t="s">
        <v>76</v>
      </c>
      <c r="H6" s="42">
        <f>B6/E6</f>
        <v>5.3050397877984082E-3</v>
      </c>
      <c r="I6" s="42">
        <f>C6/E6</f>
        <v>0.49602122015915118</v>
      </c>
      <c r="J6" s="42">
        <f>D6/E6</f>
        <v>0.49867374005305037</v>
      </c>
    </row>
    <row r="7" spans="1:10" x14ac:dyDescent="0.45">
      <c r="A7" s="4" t="s">
        <v>162</v>
      </c>
      <c r="B7" s="4">
        <f>COUNTIFS(step3_combined_data!$W$2:$W$404,"Oppose", step3_combined_data!$K$2:$K$404,"Phi chính thức")</f>
        <v>0</v>
      </c>
      <c r="C7" s="4">
        <f>COUNTIFS(step3_combined_data!$W$2:$W$404,"Neutral", step3_combined_data!$K$2:$K$404,"Phi chính thức")</f>
        <v>17</v>
      </c>
      <c r="D7" s="4">
        <f>COUNTIFS(step3_combined_data!$W$2:$W$404,"Support", step3_combined_data!$K$2:$K$404,"Phi chính thức")</f>
        <v>9</v>
      </c>
      <c r="E7" s="4">
        <f>SUM(B7:D7)</f>
        <v>26</v>
      </c>
      <c r="G7" s="4" t="s">
        <v>162</v>
      </c>
      <c r="H7" s="42">
        <f>B7/E7</f>
        <v>0</v>
      </c>
      <c r="I7" s="42">
        <f>C7/E7</f>
        <v>0.65384615384615385</v>
      </c>
      <c r="J7" s="42">
        <f>D7/E7</f>
        <v>0.34615384615384615</v>
      </c>
    </row>
    <row r="9" spans="1:10" x14ac:dyDescent="0.45">
      <c r="A9" s="41" t="s">
        <v>15</v>
      </c>
      <c r="B9" s="41" t="s">
        <v>1</v>
      </c>
      <c r="C9" s="41" t="s">
        <v>2</v>
      </c>
      <c r="D9" s="41" t="s">
        <v>3</v>
      </c>
      <c r="E9" s="41">
        <f>SUM(E10:E11)</f>
        <v>403</v>
      </c>
      <c r="G9" s="41" t="s">
        <v>15</v>
      </c>
      <c r="H9" s="41" t="s">
        <v>1</v>
      </c>
      <c r="I9" s="41" t="s">
        <v>2</v>
      </c>
      <c r="J9" s="41" t="s">
        <v>3</v>
      </c>
    </row>
    <row r="10" spans="1:10" x14ac:dyDescent="0.45">
      <c r="A10" s="4" t="s">
        <v>76</v>
      </c>
      <c r="B10" s="4">
        <f>COUNTIFS(step3_combined_data!$AB$2:$AB$404,"Oppose", step3_combined_data!$K$2:$K$404,"Chính thức")</f>
        <v>0</v>
      </c>
      <c r="C10" s="4">
        <f>COUNTIFS(step3_combined_data!$AB$2:$AB$404,"Neutral", step3_combined_data!$K$2:$K$404,"Chính thức")</f>
        <v>74</v>
      </c>
      <c r="D10" s="4">
        <f>COUNTIFS(step3_combined_data!$AB$2:$AB$404,"Support", step3_combined_data!$K$2:$K$404,"Chính thức")</f>
        <v>303</v>
      </c>
      <c r="E10" s="4">
        <f>SUM(B10:D10)</f>
        <v>377</v>
      </c>
      <c r="G10" s="4" t="s">
        <v>76</v>
      </c>
      <c r="H10" s="42">
        <f>B10/E10</f>
        <v>0</v>
      </c>
      <c r="I10" s="42">
        <f>C10/E10</f>
        <v>0.19628647214854111</v>
      </c>
      <c r="J10" s="42">
        <f>D10/E10</f>
        <v>0.80371352785145889</v>
      </c>
    </row>
    <row r="11" spans="1:10" x14ac:dyDescent="0.45">
      <c r="A11" s="4" t="s">
        <v>162</v>
      </c>
      <c r="B11" s="4">
        <f>COUNTIFS(step3_combined_data!$AB$2:$AB$404,"Oppose", step3_combined_data!$K$2:$K$404,"Phi chính thức")</f>
        <v>0</v>
      </c>
      <c r="C11" s="4">
        <f>COUNTIFS(step3_combined_data!$AB$2:$AB$404,"Neutral", step3_combined_data!$K$2:$K$404,"Phi chính thức")</f>
        <v>5</v>
      </c>
      <c r="D11" s="4">
        <f>COUNTIFS(step3_combined_data!$AB$2:$AB$404,"Support", step3_combined_data!$K$2:$K$404,"Phi chính thức")</f>
        <v>21</v>
      </c>
      <c r="E11" s="4">
        <f>SUM(B11:D11)</f>
        <v>26</v>
      </c>
      <c r="G11" s="4" t="s">
        <v>162</v>
      </c>
      <c r="H11" s="42">
        <f>B11/E11</f>
        <v>0</v>
      </c>
      <c r="I11" s="42">
        <f>C11/E11</f>
        <v>0.19230769230769232</v>
      </c>
      <c r="J11" s="42">
        <f>D11/E11</f>
        <v>0.80769230769230771</v>
      </c>
    </row>
    <row r="13" spans="1:10" x14ac:dyDescent="0.45">
      <c r="A13" s="41" t="s">
        <v>16</v>
      </c>
      <c r="B13" s="41" t="s">
        <v>1</v>
      </c>
      <c r="C13" s="41" t="s">
        <v>2</v>
      </c>
      <c r="D13" s="41" t="s">
        <v>3</v>
      </c>
      <c r="E13" s="41">
        <f>SUM(E14:E19)</f>
        <v>403</v>
      </c>
      <c r="G13" s="41" t="s">
        <v>16</v>
      </c>
      <c r="H13" s="41" t="s">
        <v>1</v>
      </c>
      <c r="I13" s="41" t="s">
        <v>2</v>
      </c>
      <c r="J13" s="41" t="s">
        <v>3</v>
      </c>
    </row>
    <row r="14" spans="1:10" x14ac:dyDescent="0.45">
      <c r="A14" s="4" t="s">
        <v>189</v>
      </c>
      <c r="B14" s="4">
        <f>COUNTIFS(step3_combined_data!$AG$2:$AG$404,"Oppose", step3_combined_data!$E$2:$E$404,"18 - 24")</f>
        <v>0</v>
      </c>
      <c r="C14" s="4">
        <f>COUNTIFS(step3_combined_data!$AG$2:$AG$404,"Neutral", step3_combined_data!$E$2:$E$404,"18 - 24")</f>
        <v>2</v>
      </c>
      <c r="D14" s="4">
        <f>COUNTIFS(step3_combined_data!$AG$2:$AG$404,"Support", step3_combined_data!$E$2:$E$404,"18 - 24")</f>
        <v>53</v>
      </c>
      <c r="E14" s="4">
        <f>SUM(B14:D14)</f>
        <v>55</v>
      </c>
      <c r="G14" s="4" t="s">
        <v>189</v>
      </c>
      <c r="H14" s="43">
        <f t="shared" ref="H14:H19" si="0">B14/E14</f>
        <v>0</v>
      </c>
      <c r="I14" s="43">
        <f t="shared" ref="I14:I19" si="1">C14/E14</f>
        <v>3.6363636363636362E-2</v>
      </c>
      <c r="J14" s="43">
        <f t="shared" ref="J14:J19" si="2">D14/E14</f>
        <v>0.96363636363636362</v>
      </c>
    </row>
    <row r="15" spans="1:10" x14ac:dyDescent="0.45">
      <c r="A15" s="4" t="s">
        <v>81</v>
      </c>
      <c r="B15" s="4">
        <f>COUNTIFS(step3_combined_data!$AG$2:$AG$404,"Oppose", step3_combined_data!$E$2:$E$404,"25 - 29")</f>
        <v>0</v>
      </c>
      <c r="C15" s="4">
        <f>COUNTIFS(step3_combined_data!$AG$2:$AG$404,"Neutral", step3_combined_data!$E$2:$E$404,"25 - 29")</f>
        <v>1</v>
      </c>
      <c r="D15" s="4">
        <f>COUNTIFS(step3_combined_data!$AG$2:$AG$404,"Support", step3_combined_data!$E$2:$E$404,"25 - 29")</f>
        <v>78</v>
      </c>
      <c r="E15" s="4">
        <f t="shared" ref="E15:E19" si="3">SUM(B15:D15)</f>
        <v>79</v>
      </c>
      <c r="G15" s="4" t="s">
        <v>81</v>
      </c>
      <c r="H15" s="43">
        <f t="shared" si="0"/>
        <v>0</v>
      </c>
      <c r="I15" s="43">
        <f t="shared" si="1"/>
        <v>1.2658227848101266E-2</v>
      </c>
      <c r="J15" s="43">
        <f t="shared" si="2"/>
        <v>0.98734177215189878</v>
      </c>
    </row>
    <row r="16" spans="1:10" x14ac:dyDescent="0.45">
      <c r="A16" s="4" t="s">
        <v>73</v>
      </c>
      <c r="B16" s="4">
        <f>COUNTIFS(step3_combined_data!$AG$2:$AG$404,"Oppose", step3_combined_data!$E$2:$E$404,"30 - 39")</f>
        <v>0</v>
      </c>
      <c r="C16" s="4">
        <f>COUNTIFS(step3_combined_data!$AG$2:$AG$404,"Neutral", step3_combined_data!$E$2:$E$404,"30 - 39")</f>
        <v>7</v>
      </c>
      <c r="D16" s="4">
        <f>COUNTIFS(step3_combined_data!$AG$2:$AG$404,"Support", step3_combined_data!$E$2:$E$404,"30 - 39")</f>
        <v>125</v>
      </c>
      <c r="E16" s="4">
        <f t="shared" si="3"/>
        <v>132</v>
      </c>
      <c r="G16" s="4" t="s">
        <v>73</v>
      </c>
      <c r="H16" s="43">
        <f t="shared" si="0"/>
        <v>0</v>
      </c>
      <c r="I16" s="43">
        <f t="shared" si="1"/>
        <v>5.3030303030303032E-2</v>
      </c>
      <c r="J16" s="43">
        <f t="shared" si="2"/>
        <v>0.94696969696969702</v>
      </c>
    </row>
    <row r="17" spans="1:10" x14ac:dyDescent="0.45">
      <c r="A17" s="4" t="s">
        <v>79</v>
      </c>
      <c r="B17" s="4">
        <f>COUNTIFS(step3_combined_data!$AG$2:$AG$404,"Oppose", step3_combined_data!$E$2:$E$404,"40 - 49")</f>
        <v>0</v>
      </c>
      <c r="C17" s="4">
        <f>COUNTIFS(step3_combined_data!$AG$2:$AG$404,"Neutral", step3_combined_data!$E$2:$E$404,"40 - 49")</f>
        <v>4</v>
      </c>
      <c r="D17" s="4">
        <f>COUNTIFS(step3_combined_data!$AG$2:$AG$404,"Support", step3_combined_data!$E$2:$E$404,"40 - 49")</f>
        <v>75</v>
      </c>
      <c r="E17" s="4">
        <f t="shared" si="3"/>
        <v>79</v>
      </c>
      <c r="G17" s="4" t="s">
        <v>79</v>
      </c>
      <c r="H17" s="43">
        <f t="shared" si="0"/>
        <v>0</v>
      </c>
      <c r="I17" s="43">
        <f t="shared" si="1"/>
        <v>5.0632911392405063E-2</v>
      </c>
      <c r="J17" s="43">
        <f t="shared" si="2"/>
        <v>0.94936708860759489</v>
      </c>
    </row>
    <row r="18" spans="1:10" x14ac:dyDescent="0.45">
      <c r="A18" s="4" t="s">
        <v>191</v>
      </c>
      <c r="B18" s="4">
        <f>COUNTIFS(step3_combined_data!$AG$2:$AG$404,"Oppose", step3_combined_data!$E$2:$E$404,"50 - 54")</f>
        <v>0</v>
      </c>
      <c r="C18" s="4">
        <f>COUNTIFS(step3_combined_data!$AG$2:$AG$404,"Neutral", step3_combined_data!$E$2:$E$404,"50 - 54")</f>
        <v>2</v>
      </c>
      <c r="D18" s="4">
        <f>COUNTIFS(step3_combined_data!$AG$2:$AG$404,"Support", step3_combined_data!$E$2:$E$404,"50 - 54")</f>
        <v>29</v>
      </c>
      <c r="E18" s="4">
        <f t="shared" si="3"/>
        <v>31</v>
      </c>
      <c r="G18" s="4" t="s">
        <v>191</v>
      </c>
      <c r="H18" s="43">
        <f t="shared" si="0"/>
        <v>0</v>
      </c>
      <c r="I18" s="43">
        <f t="shared" si="1"/>
        <v>6.4516129032258063E-2</v>
      </c>
      <c r="J18" s="43">
        <f t="shared" si="2"/>
        <v>0.93548387096774188</v>
      </c>
    </row>
    <row r="19" spans="1:10" x14ac:dyDescent="0.45">
      <c r="A19" s="4" t="s">
        <v>193</v>
      </c>
      <c r="B19" s="4">
        <f>COUNTIFS(step3_combined_data!$AG$2:$AG$404,"Oppose", step3_combined_data!$E$2:$E$404,"55 - 64")</f>
        <v>0</v>
      </c>
      <c r="C19" s="4">
        <f>COUNTIFS(step3_combined_data!$AG$2:$AG$404,"Neutral", step3_combined_data!$E$2:$E$404,"55 - 64")</f>
        <v>3</v>
      </c>
      <c r="D19" s="4">
        <f>COUNTIFS(step3_combined_data!$AG$2:$AG$404,"Support", step3_combined_data!$E$2:$E$404,"55 - 64")</f>
        <v>24</v>
      </c>
      <c r="E19" s="4">
        <f t="shared" si="3"/>
        <v>27</v>
      </c>
      <c r="G19" s="4" t="s">
        <v>193</v>
      </c>
      <c r="H19" s="43">
        <f t="shared" si="0"/>
        <v>0</v>
      </c>
      <c r="I19" s="43">
        <f t="shared" si="1"/>
        <v>0.1111111111111111</v>
      </c>
      <c r="J19" s="43">
        <f t="shared" si="2"/>
        <v>0.88888888888888884</v>
      </c>
    </row>
    <row r="21" spans="1:10" x14ac:dyDescent="0.45">
      <c r="A21" s="41" t="s">
        <v>17</v>
      </c>
      <c r="B21" s="41" t="s">
        <v>1</v>
      </c>
      <c r="C21" s="41" t="s">
        <v>2</v>
      </c>
      <c r="D21" s="41" t="s">
        <v>3</v>
      </c>
      <c r="E21" s="41">
        <f>SUM(E22:E27)</f>
        <v>401</v>
      </c>
      <c r="G21" s="41" t="s">
        <v>17</v>
      </c>
      <c r="H21" s="41" t="s">
        <v>1</v>
      </c>
      <c r="I21" s="41" t="s">
        <v>2</v>
      </c>
      <c r="J21" s="41" t="s">
        <v>3</v>
      </c>
    </row>
    <row r="22" spans="1:10" x14ac:dyDescent="0.45">
      <c r="A22" s="4" t="s">
        <v>189</v>
      </c>
      <c r="B22" s="4">
        <f>COUNTIFS(step3_combined_data!$AL$2:$AL$404,"Oppose", step3_combined_data!$E$2:$E$404,"18 - 24")</f>
        <v>0</v>
      </c>
      <c r="C22" s="4">
        <f>COUNTIFS(step3_combined_data!$AL$2:$AL$404,"Neutral", step3_combined_data!$E$2:$E$404,"18 - 24")</f>
        <v>25</v>
      </c>
      <c r="D22" s="4">
        <f>COUNTIFS(step3_combined_data!$AL$2:$AL$404,"Support", step3_combined_data!$E$2:$E$404,"18 - 24")</f>
        <v>30</v>
      </c>
      <c r="E22" s="4">
        <f>SUM(B22:D22)</f>
        <v>55</v>
      </c>
      <c r="G22" s="4" t="s">
        <v>189</v>
      </c>
      <c r="H22" s="43">
        <f t="shared" ref="H22:H27" si="4">B22/E22</f>
        <v>0</v>
      </c>
      <c r="I22" s="43">
        <f t="shared" ref="I22:I27" si="5">C22/E22</f>
        <v>0.45454545454545453</v>
      </c>
      <c r="J22" s="43">
        <f t="shared" ref="J22:J27" si="6">D22/E22</f>
        <v>0.54545454545454541</v>
      </c>
    </row>
    <row r="23" spans="1:10" x14ac:dyDescent="0.45">
      <c r="A23" s="4" t="s">
        <v>81</v>
      </c>
      <c r="B23" s="4">
        <f>COUNTIFS(step3_combined_data!$AL$2:$AL$404,"Oppose", step3_combined_data!$E$2:$E$404,"25 - 29")</f>
        <v>0</v>
      </c>
      <c r="C23" s="4">
        <f>COUNTIFS(step3_combined_data!$AL$2:$AL$404,"Neutral", step3_combined_data!$E$2:$E$404,"25 - 29")</f>
        <v>38</v>
      </c>
      <c r="D23" s="4">
        <f>COUNTIFS(step3_combined_data!$AL$2:$AL$404,"Support", step3_combined_data!$E$2:$E$404,"25 - 29")</f>
        <v>40</v>
      </c>
      <c r="E23" s="4">
        <f t="shared" ref="E23:E27" si="7">SUM(B23:D23)</f>
        <v>78</v>
      </c>
      <c r="G23" s="4" t="s">
        <v>81</v>
      </c>
      <c r="H23" s="43">
        <f t="shared" si="4"/>
        <v>0</v>
      </c>
      <c r="I23" s="43">
        <f t="shared" si="5"/>
        <v>0.48717948717948717</v>
      </c>
      <c r="J23" s="43">
        <f t="shared" si="6"/>
        <v>0.51282051282051277</v>
      </c>
    </row>
    <row r="24" spans="1:10" x14ac:dyDescent="0.45">
      <c r="A24" s="4" t="s">
        <v>73</v>
      </c>
      <c r="B24" s="4">
        <f>COUNTIFS(step3_combined_data!$AL$2:$AL$404,"Oppose", step3_combined_data!$E$2:$E$404,"30 - 39")</f>
        <v>1</v>
      </c>
      <c r="C24" s="4">
        <f>COUNTIFS(step3_combined_data!$AL$2:$AL$404,"Neutral", step3_combined_data!$E$2:$E$404,"30 - 39")</f>
        <v>54</v>
      </c>
      <c r="D24" s="4">
        <f>COUNTIFS(step3_combined_data!$AL$2:$AL$404,"Support", step3_combined_data!$E$2:$E$404,"30 - 39")</f>
        <v>77</v>
      </c>
      <c r="E24" s="4">
        <f t="shared" si="7"/>
        <v>132</v>
      </c>
      <c r="G24" s="4" t="s">
        <v>73</v>
      </c>
      <c r="H24" s="43">
        <f t="shared" si="4"/>
        <v>7.575757575757576E-3</v>
      </c>
      <c r="I24" s="43">
        <f t="shared" si="5"/>
        <v>0.40909090909090912</v>
      </c>
      <c r="J24" s="43">
        <f t="shared" si="6"/>
        <v>0.58333333333333337</v>
      </c>
    </row>
    <row r="25" spans="1:10" x14ac:dyDescent="0.45">
      <c r="A25" s="4" t="s">
        <v>79</v>
      </c>
      <c r="B25" s="4">
        <f>COUNTIFS(step3_combined_data!$AL$2:$AL$404,"Oppose", step3_combined_data!$E$2:$E$404,"40 - 49")</f>
        <v>0</v>
      </c>
      <c r="C25" s="4">
        <f>COUNTIFS(step3_combined_data!$AL$2:$AL$404,"Neutral", step3_combined_data!$E$2:$E$404,"40 - 49")</f>
        <v>30</v>
      </c>
      <c r="D25" s="4">
        <f>COUNTIFS(step3_combined_data!$AL$2:$AL$404,"Support", step3_combined_data!$E$2:$E$404,"40 - 49")</f>
        <v>48</v>
      </c>
      <c r="E25" s="4">
        <f t="shared" si="7"/>
        <v>78</v>
      </c>
      <c r="G25" s="4" t="s">
        <v>79</v>
      </c>
      <c r="H25" s="43">
        <f t="shared" si="4"/>
        <v>0</v>
      </c>
      <c r="I25" s="43">
        <f t="shared" si="5"/>
        <v>0.38461538461538464</v>
      </c>
      <c r="J25" s="43">
        <f t="shared" si="6"/>
        <v>0.61538461538461542</v>
      </c>
    </row>
    <row r="26" spans="1:10" x14ac:dyDescent="0.45">
      <c r="A26" s="4" t="s">
        <v>191</v>
      </c>
      <c r="B26" s="4">
        <f>COUNTIFS(step3_combined_data!$AL$2:$AL$404,"Oppose", step3_combined_data!$E$2:$E$404,"50 - 54")</f>
        <v>0</v>
      </c>
      <c r="C26" s="4">
        <f>COUNTIFS(step3_combined_data!$AL$2:$AL$404,"Neutral", step3_combined_data!$E$2:$E$404,"50 - 54")</f>
        <v>15</v>
      </c>
      <c r="D26" s="4">
        <f>COUNTIFS(step3_combined_data!$AL$2:$AL$404,"Support", step3_combined_data!$E$2:$E$404,"50 - 54")</f>
        <v>16</v>
      </c>
      <c r="E26" s="4">
        <f t="shared" si="7"/>
        <v>31</v>
      </c>
      <c r="G26" s="4" t="s">
        <v>191</v>
      </c>
      <c r="H26" s="43">
        <f t="shared" si="4"/>
        <v>0</v>
      </c>
      <c r="I26" s="43">
        <f t="shared" si="5"/>
        <v>0.4838709677419355</v>
      </c>
      <c r="J26" s="43">
        <f t="shared" si="6"/>
        <v>0.5161290322580645</v>
      </c>
    </row>
    <row r="27" spans="1:10" x14ac:dyDescent="0.45">
      <c r="A27" s="4" t="s">
        <v>193</v>
      </c>
      <c r="B27" s="4">
        <f>COUNTIFS(step3_combined_data!$AL$2:$AL$404,"Oppose", step3_combined_data!$E$2:$E$404,"55 - 64")</f>
        <v>0</v>
      </c>
      <c r="C27" s="4">
        <f>COUNTIFS(step3_combined_data!$AL$2:$AL$404,"Neutral", step3_combined_data!$E$2:$E$404,"55 - 64")</f>
        <v>11</v>
      </c>
      <c r="D27" s="4">
        <f>COUNTIFS(step3_combined_data!$AL$2:$AL$404,"Support", step3_combined_data!$E$2:$E$404,"55 - 64")</f>
        <v>16</v>
      </c>
      <c r="E27" s="4">
        <f t="shared" si="7"/>
        <v>27</v>
      </c>
      <c r="G27" s="4" t="s">
        <v>193</v>
      </c>
      <c r="H27" s="43">
        <f t="shared" si="4"/>
        <v>0</v>
      </c>
      <c r="I27" s="43">
        <f t="shared" si="5"/>
        <v>0.40740740740740738</v>
      </c>
      <c r="J27" s="43">
        <f t="shared" si="6"/>
        <v>0.59259259259259256</v>
      </c>
    </row>
    <row r="29" spans="1:10" x14ac:dyDescent="0.45">
      <c r="A29" s="41" t="s">
        <v>18</v>
      </c>
      <c r="B29" s="41" t="s">
        <v>1</v>
      </c>
      <c r="C29" s="41" t="s">
        <v>2</v>
      </c>
      <c r="D29" s="41" t="s">
        <v>3</v>
      </c>
      <c r="E29" s="41">
        <f>SUM(E30:E35)</f>
        <v>401</v>
      </c>
      <c r="G29" s="41" t="s">
        <v>18</v>
      </c>
      <c r="H29" s="41" t="s">
        <v>1</v>
      </c>
      <c r="I29" s="41" t="s">
        <v>2</v>
      </c>
      <c r="J29" s="41" t="s">
        <v>3</v>
      </c>
    </row>
    <row r="30" spans="1:10" x14ac:dyDescent="0.45">
      <c r="A30" s="4" t="s">
        <v>189</v>
      </c>
      <c r="B30" s="4">
        <f>COUNTIFS(step3_combined_data!$AQ$2:$AQ$404,"Oppose", step3_combined_data!$E$2:$E$404,"18 - 24")</f>
        <v>0</v>
      </c>
      <c r="C30" s="4">
        <f>COUNTIFS(step3_combined_data!$AQ$2:$AQ$404,"Neutral", step3_combined_data!$E$2:$E$404,"18 - 24")</f>
        <v>2</v>
      </c>
      <c r="D30" s="4">
        <f>COUNTIFS(step3_combined_data!$AQ$2:$AQ$404,"Support", step3_combined_data!$E$2:$E$404,"18 - 24")</f>
        <v>53</v>
      </c>
      <c r="E30" s="4">
        <f>SUM(B30:D30)</f>
        <v>55</v>
      </c>
      <c r="G30" s="4" t="s">
        <v>189</v>
      </c>
      <c r="H30" s="43">
        <f t="shared" ref="H30:H35" si="8">B30/E30</f>
        <v>0</v>
      </c>
      <c r="I30" s="43">
        <f t="shared" ref="I30:I35" si="9">C30/E30</f>
        <v>3.6363636363636362E-2</v>
      </c>
      <c r="J30" s="43">
        <f t="shared" ref="J30:J35" si="10">D30/E30</f>
        <v>0.96363636363636362</v>
      </c>
    </row>
    <row r="31" spans="1:10" x14ac:dyDescent="0.45">
      <c r="A31" s="4" t="s">
        <v>81</v>
      </c>
      <c r="B31" s="4">
        <f>COUNTIFS(step3_combined_data!$AQ$2:$AQ$404,"Oppose", step3_combined_data!$E$2:$E$404,"25 - 29")</f>
        <v>0</v>
      </c>
      <c r="C31" s="4">
        <f>COUNTIFS(step3_combined_data!$AQ$2:$AQ$404,"Neutral", step3_combined_data!$E$2:$E$404,"25 - 29")</f>
        <v>2</v>
      </c>
      <c r="D31" s="4">
        <f>COUNTIFS(step3_combined_data!$AQ$2:$AQ$404,"Support", step3_combined_data!$E$2:$E$404,"25 - 29")</f>
        <v>76</v>
      </c>
      <c r="E31" s="4">
        <f t="shared" ref="E31:E35" si="11">SUM(B31:D31)</f>
        <v>78</v>
      </c>
      <c r="G31" s="4" t="s">
        <v>81</v>
      </c>
      <c r="H31" s="43">
        <f t="shared" si="8"/>
        <v>0</v>
      </c>
      <c r="I31" s="43">
        <f t="shared" si="9"/>
        <v>2.564102564102564E-2</v>
      </c>
      <c r="J31" s="43">
        <f t="shared" si="10"/>
        <v>0.97435897435897434</v>
      </c>
    </row>
    <row r="32" spans="1:10" x14ac:dyDescent="0.45">
      <c r="A32" s="4" t="s">
        <v>73</v>
      </c>
      <c r="B32" s="4">
        <f>COUNTIFS(step3_combined_data!$AQ$2:$AQ$404,"Oppose", step3_combined_data!$E$2:$E$404,"30 - 39")</f>
        <v>0</v>
      </c>
      <c r="C32" s="4">
        <f>COUNTIFS(step3_combined_data!$AQ$2:$AQ$404,"Neutral", step3_combined_data!$E$2:$E$404,"30 - 39")</f>
        <v>6</v>
      </c>
      <c r="D32" s="4">
        <f>COUNTIFS(step3_combined_data!$AQ$2:$AQ$404,"Support", step3_combined_data!$E$2:$E$404,"30 - 39")</f>
        <v>126</v>
      </c>
      <c r="E32" s="4">
        <f t="shared" si="11"/>
        <v>132</v>
      </c>
      <c r="G32" s="4" t="s">
        <v>73</v>
      </c>
      <c r="H32" s="43">
        <f t="shared" si="8"/>
        <v>0</v>
      </c>
      <c r="I32" s="43">
        <f t="shared" si="9"/>
        <v>4.5454545454545456E-2</v>
      </c>
      <c r="J32" s="43">
        <f t="shared" si="10"/>
        <v>0.95454545454545459</v>
      </c>
    </row>
    <row r="33" spans="1:10" x14ac:dyDescent="0.45">
      <c r="A33" s="4" t="s">
        <v>79</v>
      </c>
      <c r="B33" s="4">
        <f>COUNTIFS(step3_combined_data!$AQ$2:$AQ$404,"Oppose", step3_combined_data!$E$2:$E$404,"40 - 49")</f>
        <v>0</v>
      </c>
      <c r="C33" s="4">
        <f>COUNTIFS(step3_combined_data!$AQ$2:$AQ$404,"Neutral", step3_combined_data!$E$2:$E$404,"40 - 49")</f>
        <v>2</v>
      </c>
      <c r="D33" s="4">
        <f>COUNTIFS(step3_combined_data!$AQ$2:$AQ$404,"Support", step3_combined_data!$E$2:$E$404,"40 - 49")</f>
        <v>76</v>
      </c>
      <c r="E33" s="4">
        <f t="shared" si="11"/>
        <v>78</v>
      </c>
      <c r="G33" s="4" t="s">
        <v>79</v>
      </c>
      <c r="H33" s="43">
        <f t="shared" si="8"/>
        <v>0</v>
      </c>
      <c r="I33" s="43">
        <f t="shared" si="9"/>
        <v>2.564102564102564E-2</v>
      </c>
      <c r="J33" s="43">
        <f t="shared" si="10"/>
        <v>0.97435897435897434</v>
      </c>
    </row>
    <row r="34" spans="1:10" x14ac:dyDescent="0.45">
      <c r="A34" s="4" t="s">
        <v>191</v>
      </c>
      <c r="B34" s="4">
        <f>COUNTIFS(step3_combined_data!$AQ$2:$AQ$404,"Oppose", step3_combined_data!$E$2:$E$404,"50 - 54")</f>
        <v>0</v>
      </c>
      <c r="C34" s="4">
        <f>COUNTIFS(step3_combined_data!$AQ$2:$AQ$404,"Neutral", step3_combined_data!$E$2:$E$404,"50 - 54")</f>
        <v>3</v>
      </c>
      <c r="D34" s="4">
        <f>COUNTIFS(step3_combined_data!$AQ$2:$AQ$404,"Support", step3_combined_data!$E$2:$E$404,"50 - 54")</f>
        <v>28</v>
      </c>
      <c r="E34" s="4">
        <f t="shared" si="11"/>
        <v>31</v>
      </c>
      <c r="G34" s="4" t="s">
        <v>191</v>
      </c>
      <c r="H34" s="43">
        <f t="shared" si="8"/>
        <v>0</v>
      </c>
      <c r="I34" s="43">
        <f t="shared" si="9"/>
        <v>9.6774193548387094E-2</v>
      </c>
      <c r="J34" s="43">
        <f t="shared" si="10"/>
        <v>0.90322580645161288</v>
      </c>
    </row>
    <row r="35" spans="1:10" x14ac:dyDescent="0.45">
      <c r="A35" s="4" t="s">
        <v>193</v>
      </c>
      <c r="B35" s="4">
        <f>COUNTIFS(step3_combined_data!$AQ$2:$AQ$404,"Oppose", step3_combined_data!$E$2:$E$404,"55 - 64")</f>
        <v>0</v>
      </c>
      <c r="C35" s="4">
        <f>COUNTIFS(step3_combined_data!$AQ$2:$AQ$404,"Neutral", step3_combined_data!$E$2:$E$404,"55 - 64")</f>
        <v>1</v>
      </c>
      <c r="D35" s="4">
        <f>COUNTIFS(step3_combined_data!$AQ$2:$AQ$404,"Support", step3_combined_data!$E$2:$E$404,"55 - 64")</f>
        <v>26</v>
      </c>
      <c r="E35" s="4">
        <f t="shared" si="11"/>
        <v>27</v>
      </c>
      <c r="G35" s="4" t="s">
        <v>193</v>
      </c>
      <c r="H35" s="43">
        <f t="shared" si="8"/>
        <v>0</v>
      </c>
      <c r="I35" s="43">
        <f t="shared" si="9"/>
        <v>3.7037037037037035E-2</v>
      </c>
      <c r="J35" s="43">
        <f t="shared" si="10"/>
        <v>0.96296296296296291</v>
      </c>
    </row>
    <row r="37" spans="1:10" x14ac:dyDescent="0.45">
      <c r="A37" s="41" t="s">
        <v>19</v>
      </c>
      <c r="B37" s="41" t="s">
        <v>1</v>
      </c>
      <c r="C37" s="41" t="s">
        <v>2</v>
      </c>
      <c r="D37" s="41" t="s">
        <v>3</v>
      </c>
      <c r="E37" s="41">
        <f>SUM(E38:E43)</f>
        <v>401</v>
      </c>
      <c r="G37" s="41" t="s">
        <v>19</v>
      </c>
      <c r="H37" s="41" t="s">
        <v>1</v>
      </c>
      <c r="I37" s="41" t="s">
        <v>2</v>
      </c>
      <c r="J37" s="41" t="s">
        <v>3</v>
      </c>
    </row>
    <row r="38" spans="1:10" x14ac:dyDescent="0.45">
      <c r="A38" s="4" t="s">
        <v>189</v>
      </c>
      <c r="B38" s="4">
        <f>COUNTIFS(step3_combined_data!$AV$2:$AV$404,"Oppose", step3_combined_data!$E$2:$E$404,"18 - 24")</f>
        <v>0</v>
      </c>
      <c r="C38" s="4">
        <f>COUNTIFS(step3_combined_data!$AV$2:$AV$404,"Neutral", step3_combined_data!$E$2:$E$404,"18 - 24")</f>
        <v>19</v>
      </c>
      <c r="D38" s="4">
        <f>COUNTIFS(step3_combined_data!$AV$2:$AV$404,"Support", step3_combined_data!$E$2:$E$404,"18 - 24")</f>
        <v>36</v>
      </c>
      <c r="E38" s="4">
        <f>SUM(B38:D38)</f>
        <v>55</v>
      </c>
      <c r="G38" s="4" t="s">
        <v>189</v>
      </c>
      <c r="H38" s="43">
        <f t="shared" ref="H38:H43" si="12">B38/E38</f>
        <v>0</v>
      </c>
      <c r="I38" s="43">
        <f t="shared" ref="I38:I43" si="13">C38/E38</f>
        <v>0.34545454545454546</v>
      </c>
      <c r="J38" s="43">
        <f t="shared" ref="J38:J43" si="14">D38/E38</f>
        <v>0.65454545454545454</v>
      </c>
    </row>
    <row r="39" spans="1:10" x14ac:dyDescent="0.45">
      <c r="A39" s="4" t="s">
        <v>81</v>
      </c>
      <c r="B39" s="4">
        <f>COUNTIFS(step3_combined_data!$AV$2:$AV$404,"Oppose", step3_combined_data!$E$2:$E$404,"25 - 29")</f>
        <v>0</v>
      </c>
      <c r="C39" s="4">
        <f>COUNTIFS(step3_combined_data!$AV$2:$AV$404,"Neutral", step3_combined_data!$E$2:$E$404,"25 - 29")</f>
        <v>36</v>
      </c>
      <c r="D39" s="4">
        <f>COUNTIFS(step3_combined_data!$AV$2:$AV$404,"Support", step3_combined_data!$E$2:$E$404,"25 - 29")</f>
        <v>42</v>
      </c>
      <c r="E39" s="4">
        <f t="shared" ref="E39:E43" si="15">SUM(B39:D39)</f>
        <v>78</v>
      </c>
      <c r="G39" s="4" t="s">
        <v>81</v>
      </c>
      <c r="H39" s="43">
        <f t="shared" si="12"/>
        <v>0</v>
      </c>
      <c r="I39" s="43">
        <f t="shared" si="13"/>
        <v>0.46153846153846156</v>
      </c>
      <c r="J39" s="43">
        <f t="shared" si="14"/>
        <v>0.53846153846153844</v>
      </c>
    </row>
    <row r="40" spans="1:10" x14ac:dyDescent="0.45">
      <c r="A40" s="4" t="s">
        <v>73</v>
      </c>
      <c r="B40" s="4">
        <f>COUNTIFS(step3_combined_data!$AV$2:$AV$404,"Oppose", step3_combined_data!$E$2:$E$404,"30 - 39")</f>
        <v>0</v>
      </c>
      <c r="C40" s="4">
        <f>COUNTIFS(step3_combined_data!$AV$2:$AV$404,"Neutral", step3_combined_data!$E$2:$E$404,"30 - 39")</f>
        <v>61</v>
      </c>
      <c r="D40" s="4">
        <f>COUNTIFS(step3_combined_data!$AV$2:$AV$404,"Support", step3_combined_data!$E$2:$E$404,"30 - 39")</f>
        <v>71</v>
      </c>
      <c r="E40" s="4">
        <f t="shared" si="15"/>
        <v>132</v>
      </c>
      <c r="G40" s="4" t="s">
        <v>73</v>
      </c>
      <c r="H40" s="43">
        <f t="shared" si="12"/>
        <v>0</v>
      </c>
      <c r="I40" s="43">
        <f t="shared" si="13"/>
        <v>0.4621212121212121</v>
      </c>
      <c r="J40" s="43">
        <f t="shared" si="14"/>
        <v>0.53787878787878785</v>
      </c>
    </row>
    <row r="41" spans="1:10" x14ac:dyDescent="0.45">
      <c r="A41" s="4" t="s">
        <v>79</v>
      </c>
      <c r="B41" s="4">
        <f>COUNTIFS(step3_combined_data!$AV$2:$AV$404,"Oppose", step3_combined_data!$E$2:$E$404,"40 - 49")</f>
        <v>0</v>
      </c>
      <c r="C41" s="4">
        <f>COUNTIFS(step3_combined_data!$AV$2:$AV$404,"Neutral", step3_combined_data!$E$2:$E$404,"40 - 49")</f>
        <v>25</v>
      </c>
      <c r="D41" s="4">
        <f>COUNTIFS(step3_combined_data!$AV$2:$AV$404,"Support", step3_combined_data!$E$2:$E$404,"40 - 49")</f>
        <v>53</v>
      </c>
      <c r="E41" s="4">
        <f t="shared" si="15"/>
        <v>78</v>
      </c>
      <c r="G41" s="4" t="s">
        <v>79</v>
      </c>
      <c r="H41" s="43">
        <f t="shared" si="12"/>
        <v>0</v>
      </c>
      <c r="I41" s="43">
        <f t="shared" si="13"/>
        <v>0.32051282051282054</v>
      </c>
      <c r="J41" s="43">
        <f t="shared" si="14"/>
        <v>0.67948717948717952</v>
      </c>
    </row>
    <row r="42" spans="1:10" x14ac:dyDescent="0.45">
      <c r="A42" s="4" t="s">
        <v>191</v>
      </c>
      <c r="B42" s="4">
        <f>COUNTIFS(step3_combined_data!$AV$2:$AV$404,"Oppose", step3_combined_data!$E$2:$E$404,"50 - 54")</f>
        <v>0</v>
      </c>
      <c r="C42" s="4">
        <f>COUNTIFS(step3_combined_data!$AV$2:$AV$404,"Neutral", step3_combined_data!$E$2:$E$404,"50 - 54")</f>
        <v>13</v>
      </c>
      <c r="D42" s="4">
        <f>COUNTIFS(step3_combined_data!$AV$2:$AV$404,"Support", step3_combined_data!$E$2:$E$404,"50 - 54")</f>
        <v>18</v>
      </c>
      <c r="E42" s="4">
        <f t="shared" si="15"/>
        <v>31</v>
      </c>
      <c r="G42" s="4" t="s">
        <v>191</v>
      </c>
      <c r="H42" s="43">
        <f t="shared" si="12"/>
        <v>0</v>
      </c>
      <c r="I42" s="43">
        <f t="shared" si="13"/>
        <v>0.41935483870967744</v>
      </c>
      <c r="J42" s="43">
        <f t="shared" si="14"/>
        <v>0.58064516129032262</v>
      </c>
    </row>
    <row r="43" spans="1:10" x14ac:dyDescent="0.45">
      <c r="A43" s="4" t="s">
        <v>193</v>
      </c>
      <c r="B43" s="4">
        <f>COUNTIFS(step3_combined_data!$AV$2:$AV$404,"Oppose", step3_combined_data!$E$2:$E$404,"55 - 64")</f>
        <v>0</v>
      </c>
      <c r="C43" s="4">
        <f>COUNTIFS(step3_combined_data!$AV$2:$AV$404,"Neutral", step3_combined_data!$E$2:$E$404,"55 - 64")</f>
        <v>9</v>
      </c>
      <c r="D43" s="4">
        <f>COUNTIFS(step3_combined_data!$AV$2:$AV$404,"Support", step3_combined_data!$E$2:$E$404,"55 - 64")</f>
        <v>18</v>
      </c>
      <c r="E43" s="4">
        <f t="shared" si="15"/>
        <v>27</v>
      </c>
      <c r="G43" s="4" t="s">
        <v>193</v>
      </c>
      <c r="H43" s="43">
        <f t="shared" si="12"/>
        <v>0</v>
      </c>
      <c r="I43" s="43">
        <f t="shared" si="13"/>
        <v>0.33333333333333331</v>
      </c>
      <c r="J43" s="43">
        <f t="shared" si="14"/>
        <v>0.66666666666666663</v>
      </c>
    </row>
    <row r="45" spans="1:10" x14ac:dyDescent="0.45">
      <c r="A45" s="41" t="s">
        <v>20</v>
      </c>
      <c r="B45" s="41" t="s">
        <v>1</v>
      </c>
      <c r="C45" s="41" t="s">
        <v>2</v>
      </c>
      <c r="D45" s="41" t="s">
        <v>3</v>
      </c>
      <c r="E45" s="41">
        <f>SUM(E46:E51)</f>
        <v>401</v>
      </c>
      <c r="G45" s="41" t="s">
        <v>20</v>
      </c>
      <c r="H45" s="41" t="s">
        <v>1</v>
      </c>
      <c r="I45" s="41" t="s">
        <v>2</v>
      </c>
      <c r="J45" s="41" t="s">
        <v>3</v>
      </c>
    </row>
    <row r="46" spans="1:10" x14ac:dyDescent="0.45">
      <c r="A46" s="4" t="s">
        <v>189</v>
      </c>
      <c r="B46" s="4">
        <f>COUNTIFS(step3_combined_data!$BA$2:$BA$404,"Oppose", step3_combined_data!$E$2:$E$404,"18 - 24")</f>
        <v>0</v>
      </c>
      <c r="C46" s="4">
        <f>COUNTIFS(step3_combined_data!$BA$2:$BA$404,"Neutral", step3_combined_data!$E$2:$E$404,"18 - 24")</f>
        <v>26</v>
      </c>
      <c r="D46" s="4">
        <f>COUNTIFS(step3_combined_data!$BA$2:$BA$404,"Support", step3_combined_data!$E$2:$E$404,"18 - 24")</f>
        <v>29</v>
      </c>
      <c r="E46" s="4">
        <f>SUM(B46:D46)</f>
        <v>55</v>
      </c>
      <c r="G46" s="4" t="s">
        <v>189</v>
      </c>
      <c r="H46" s="43">
        <f t="shared" ref="H46:H51" si="16">B46/E46</f>
        <v>0</v>
      </c>
      <c r="I46" s="43">
        <f t="shared" ref="I46:I51" si="17">C46/E46</f>
        <v>0.47272727272727272</v>
      </c>
      <c r="J46" s="43">
        <f t="shared" ref="J46:J51" si="18">D46/E46</f>
        <v>0.52727272727272723</v>
      </c>
    </row>
    <row r="47" spans="1:10" x14ac:dyDescent="0.45">
      <c r="A47" s="4" t="s">
        <v>81</v>
      </c>
      <c r="B47" s="4">
        <f>COUNTIFS(step3_combined_data!$BA$2:$BA$404,"Oppose", step3_combined_data!$E$2:$E$404,"25 - 29")</f>
        <v>0</v>
      </c>
      <c r="C47" s="4">
        <f>COUNTIFS(step3_combined_data!$BA$2:$BA$404,"Neutral", step3_combined_data!$E$2:$E$404,"25 - 29")</f>
        <v>38</v>
      </c>
      <c r="D47" s="4">
        <f>COUNTIFS(step3_combined_data!$BA$2:$BA$404,"Support", step3_combined_data!$E$2:$E$404,"25 - 29")</f>
        <v>40</v>
      </c>
      <c r="E47" s="4">
        <f t="shared" ref="E47:E51" si="19">SUM(B47:D47)</f>
        <v>78</v>
      </c>
      <c r="G47" s="4" t="s">
        <v>81</v>
      </c>
      <c r="H47" s="43">
        <f t="shared" si="16"/>
        <v>0</v>
      </c>
      <c r="I47" s="43">
        <f t="shared" si="17"/>
        <v>0.48717948717948717</v>
      </c>
      <c r="J47" s="43">
        <f t="shared" si="18"/>
        <v>0.51282051282051277</v>
      </c>
    </row>
    <row r="48" spans="1:10" x14ac:dyDescent="0.45">
      <c r="A48" s="4" t="s">
        <v>73</v>
      </c>
      <c r="B48" s="4">
        <f>COUNTIFS(step3_combined_data!$BA$2:$BA$404,"Oppose", step3_combined_data!$E$2:$E$404,"30 - 39")</f>
        <v>0</v>
      </c>
      <c r="C48" s="4">
        <f>COUNTIFS(step3_combined_data!$BA$2:$BA$404,"Neutral", step3_combined_data!$E$2:$E$404,"30 - 39")</f>
        <v>66</v>
      </c>
      <c r="D48" s="4">
        <f>COUNTIFS(step3_combined_data!$BA$2:$BA$404,"Support", step3_combined_data!$E$2:$E$404,"30 - 39")</f>
        <v>66</v>
      </c>
      <c r="E48" s="4">
        <f t="shared" si="19"/>
        <v>132</v>
      </c>
      <c r="G48" s="4" t="s">
        <v>73</v>
      </c>
      <c r="H48" s="43">
        <f t="shared" si="16"/>
        <v>0</v>
      </c>
      <c r="I48" s="43">
        <f t="shared" si="17"/>
        <v>0.5</v>
      </c>
      <c r="J48" s="43">
        <f t="shared" si="18"/>
        <v>0.5</v>
      </c>
    </row>
    <row r="49" spans="1:10" x14ac:dyDescent="0.45">
      <c r="A49" s="4" t="s">
        <v>79</v>
      </c>
      <c r="B49" s="4">
        <f>COUNTIFS(step3_combined_data!$BA$2:$BA$404,"Oppose", step3_combined_data!$E$2:$E$404,"40 - 49")</f>
        <v>0</v>
      </c>
      <c r="C49" s="4">
        <f>COUNTIFS(step3_combined_data!$BA$2:$BA$404,"Neutral", step3_combined_data!$E$2:$E$404,"40 - 49")</f>
        <v>43</v>
      </c>
      <c r="D49" s="4">
        <f>COUNTIFS(step3_combined_data!$BA$2:$BA$404,"Support", step3_combined_data!$E$2:$E$404,"40 - 49")</f>
        <v>35</v>
      </c>
      <c r="E49" s="4">
        <f t="shared" si="19"/>
        <v>78</v>
      </c>
      <c r="G49" s="4" t="s">
        <v>79</v>
      </c>
      <c r="H49" s="43">
        <f t="shared" si="16"/>
        <v>0</v>
      </c>
      <c r="I49" s="43">
        <f t="shared" si="17"/>
        <v>0.55128205128205132</v>
      </c>
      <c r="J49" s="43">
        <f t="shared" si="18"/>
        <v>0.44871794871794873</v>
      </c>
    </row>
    <row r="50" spans="1:10" x14ac:dyDescent="0.45">
      <c r="A50" s="4" t="s">
        <v>191</v>
      </c>
      <c r="B50" s="4">
        <f>COUNTIFS(step3_combined_data!$BA$2:$BA$404,"Oppose", step3_combined_data!$E$2:$E$404,"50 - 54")</f>
        <v>0</v>
      </c>
      <c r="C50" s="4">
        <f>COUNTIFS(step3_combined_data!$BA$2:$BA$404,"Neutral", step3_combined_data!$E$2:$E$404,"50 - 54")</f>
        <v>15</v>
      </c>
      <c r="D50" s="4">
        <f>COUNTIFS(step3_combined_data!$BA$2:$BA$404,"Support", step3_combined_data!$E$2:$E$404,"50 - 54")</f>
        <v>16</v>
      </c>
      <c r="E50" s="4">
        <f t="shared" si="19"/>
        <v>31</v>
      </c>
      <c r="G50" s="4" t="s">
        <v>191</v>
      </c>
      <c r="H50" s="43">
        <f t="shared" si="16"/>
        <v>0</v>
      </c>
      <c r="I50" s="43">
        <f t="shared" si="17"/>
        <v>0.4838709677419355</v>
      </c>
      <c r="J50" s="43">
        <f t="shared" si="18"/>
        <v>0.5161290322580645</v>
      </c>
    </row>
    <row r="51" spans="1:10" x14ac:dyDescent="0.45">
      <c r="A51" s="4" t="s">
        <v>193</v>
      </c>
      <c r="B51" s="4">
        <f>COUNTIFS(step3_combined_data!$BA$2:$BA$404,"Oppose", step3_combined_data!$E$2:$E$404,"55 - 64")</f>
        <v>0</v>
      </c>
      <c r="C51" s="4">
        <f>COUNTIFS(step3_combined_data!$BA$2:$BA$404,"Neutral", step3_combined_data!$E$2:$E$404,"55 - 64")</f>
        <v>13</v>
      </c>
      <c r="D51" s="4">
        <f>COUNTIFS(step3_combined_data!$BA$2:$BA$404,"Support", step3_combined_data!$E$2:$E$404,"55 - 64")</f>
        <v>14</v>
      </c>
      <c r="E51" s="4">
        <f t="shared" si="19"/>
        <v>27</v>
      </c>
      <c r="G51" s="4" t="s">
        <v>193</v>
      </c>
      <c r="H51" s="43">
        <f t="shared" si="16"/>
        <v>0</v>
      </c>
      <c r="I51" s="43">
        <f t="shared" si="17"/>
        <v>0.48148148148148145</v>
      </c>
      <c r="J51" s="43">
        <f t="shared" si="18"/>
        <v>0.51851851851851849</v>
      </c>
    </row>
    <row r="53" spans="1:10" x14ac:dyDescent="0.45">
      <c r="A53" s="41" t="s">
        <v>18</v>
      </c>
      <c r="B53" s="41" t="s">
        <v>1</v>
      </c>
      <c r="C53" s="41" t="s">
        <v>2</v>
      </c>
      <c r="D53" s="41" t="s">
        <v>3</v>
      </c>
      <c r="E53" s="41">
        <f>SUM(E54:E61)</f>
        <v>401</v>
      </c>
      <c r="G53" s="41" t="s">
        <v>18</v>
      </c>
      <c r="H53" s="41" t="s">
        <v>1</v>
      </c>
      <c r="I53" s="41" t="s">
        <v>2</v>
      </c>
      <c r="J53" s="41" t="s">
        <v>3</v>
      </c>
    </row>
    <row r="54" spans="1:10" x14ac:dyDescent="0.45">
      <c r="A54" s="4" t="s">
        <v>194</v>
      </c>
      <c r="B54" s="4">
        <f>COUNTIFS(step3_combined_data!$AQ$2:$AQ$404,"Oppose", step3_combined_data!$N$2:$N$404,"Dưới 12 triệu VNĐ")</f>
        <v>0</v>
      </c>
      <c r="C54" s="4">
        <f>COUNTIFS(step3_combined_data!$AQ$2:$AQ$404,"Neutral", step3_combined_data!$N$2:$N$404,"Dưới 12 triệu VNĐ")</f>
        <v>1</v>
      </c>
      <c r="D54" s="4">
        <f>COUNTIFS(step3_combined_data!$AQ$2:$AQ$404,"Support", step3_combined_data!$N$2:$N$404,"Dưới 12 triệu VNĐ")</f>
        <v>40</v>
      </c>
      <c r="E54" s="4">
        <f>SUM(B54:D54)</f>
        <v>41</v>
      </c>
      <c r="G54" s="4" t="s">
        <v>194</v>
      </c>
      <c r="H54" s="43">
        <f t="shared" ref="H54:H61" si="20">B54/E54</f>
        <v>0</v>
      </c>
      <c r="I54" s="43">
        <f t="shared" ref="I54:I61" si="21">C54/E54</f>
        <v>2.4390243902439025E-2</v>
      </c>
      <c r="J54" s="43">
        <f t="shared" ref="J54:J61" si="22">D54/E54</f>
        <v>0.97560975609756095</v>
      </c>
    </row>
    <row r="55" spans="1:10" x14ac:dyDescent="0.45">
      <c r="A55" s="4" t="s">
        <v>104</v>
      </c>
      <c r="B55" s="4">
        <f>COUNTIFS(step3_combined_data!$AQ$2:$AQ$404,"Oppose", step3_combined_data!$N$2:$N$404,"Từ 12 - 18 triệu VNĐ")</f>
        <v>0</v>
      </c>
      <c r="C55" s="4">
        <f>COUNTIFS(step3_combined_data!$AQ$2:$AQ$404,"Neutral", step3_combined_data!$N$2:$N$404,"Từ 12 - 18 triệu VNĐ")</f>
        <v>4</v>
      </c>
      <c r="D55" s="4">
        <f>COUNTIFS(step3_combined_data!$AQ$2:$AQ$404,"Support", step3_combined_data!$N$2:$N$404,"Từ 12 - 18 triệu VNĐ")</f>
        <v>74</v>
      </c>
      <c r="E55" s="4">
        <f t="shared" ref="E55:E61" si="23">SUM(B55:D55)</f>
        <v>78</v>
      </c>
      <c r="G55" s="4" t="s">
        <v>104</v>
      </c>
      <c r="H55" s="43">
        <f t="shared" si="20"/>
        <v>0</v>
      </c>
      <c r="I55" s="43">
        <f t="shared" si="21"/>
        <v>5.128205128205128E-2</v>
      </c>
      <c r="J55" s="43">
        <f t="shared" si="22"/>
        <v>0.94871794871794868</v>
      </c>
    </row>
    <row r="56" spans="1:10" x14ac:dyDescent="0.45">
      <c r="A56" s="4" t="s">
        <v>196</v>
      </c>
      <c r="B56" s="4">
        <f>COUNTIFS(step3_combined_data!$AQ$2:$AQ$404,"Oppose", step3_combined_data!$N$2:$N$404,"Từ 18 - 23 triệu VNĐ")</f>
        <v>0</v>
      </c>
      <c r="C56" s="4">
        <f>COUNTIFS(step3_combined_data!$AQ$2:$AQ$404,"Neutral", step3_combined_data!$N$2:$N$404,"Từ 18 - 23 triệu VNĐ")</f>
        <v>0</v>
      </c>
      <c r="D56" s="4">
        <f>COUNTIFS(step3_combined_data!$AQ$2:$AQ$404,"Support", step3_combined_data!$N$2:$N$404,"Từ 18 - 23 triệu VNĐ")</f>
        <v>41</v>
      </c>
      <c r="E56" s="4">
        <f t="shared" si="23"/>
        <v>41</v>
      </c>
      <c r="G56" s="4" t="s">
        <v>196</v>
      </c>
      <c r="H56" s="43">
        <f t="shared" si="20"/>
        <v>0</v>
      </c>
      <c r="I56" s="43">
        <f t="shared" si="21"/>
        <v>0</v>
      </c>
      <c r="J56" s="43">
        <f t="shared" si="22"/>
        <v>1</v>
      </c>
    </row>
    <row r="57" spans="1:10" x14ac:dyDescent="0.45">
      <c r="A57" s="4" t="s">
        <v>101</v>
      </c>
      <c r="B57" s="4">
        <f>COUNTIFS(step3_combined_data!$AQ$2:$AQ$404,"Oppose", step3_combined_data!$N$2:$N$404,"Từ 23 - 32 triệu VNĐ")</f>
        <v>0</v>
      </c>
      <c r="C57" s="4">
        <f>COUNTIFS(step3_combined_data!$AQ$2:$AQ$404,"Neutral", step3_combined_data!$N$2:$N$404,"Từ 23 - 32 triệu VNĐ")</f>
        <v>3</v>
      </c>
      <c r="D57" s="4">
        <f>COUNTIFS(step3_combined_data!$AQ$2:$AQ$404,"Support", step3_combined_data!$N$2:$N$404,"Từ 23 - 32 triệu VNĐ")</f>
        <v>50</v>
      </c>
      <c r="E57" s="4">
        <f t="shared" si="23"/>
        <v>53</v>
      </c>
      <c r="G57" s="4" t="s">
        <v>101</v>
      </c>
      <c r="H57" s="43">
        <f t="shared" si="20"/>
        <v>0</v>
      </c>
      <c r="I57" s="43">
        <f t="shared" si="21"/>
        <v>5.6603773584905662E-2</v>
      </c>
      <c r="J57" s="43">
        <f t="shared" si="22"/>
        <v>0.94339622641509435</v>
      </c>
    </row>
    <row r="58" spans="1:10" x14ac:dyDescent="0.45">
      <c r="A58" s="4" t="s">
        <v>109</v>
      </c>
      <c r="B58" s="4">
        <f>COUNTIFS(step3_combined_data!$AQ$2:$AQ$404,"Oppose", step3_combined_data!$N$2:$N$404,"Từ 32 - 48 triệu VNĐ")</f>
        <v>0</v>
      </c>
      <c r="C58" s="4">
        <f>COUNTIFS(step3_combined_data!$AQ$2:$AQ$404,"Neutral", step3_combined_data!$N$2:$N$404,"Từ 32 - 48 triệu VNĐ")</f>
        <v>2</v>
      </c>
      <c r="D58" s="4">
        <f>COUNTIFS(step3_combined_data!$AQ$2:$AQ$404,"Support", step3_combined_data!$N$2:$N$404,"Từ 32 - 48 triệu VNĐ")</f>
        <v>51</v>
      </c>
      <c r="E58" s="4">
        <f t="shared" si="23"/>
        <v>53</v>
      </c>
      <c r="G58" s="4" t="s">
        <v>109</v>
      </c>
      <c r="H58" s="43">
        <f t="shared" si="20"/>
        <v>0</v>
      </c>
      <c r="I58" s="43">
        <f t="shared" si="21"/>
        <v>3.7735849056603772E-2</v>
      </c>
      <c r="J58" s="43">
        <f t="shared" si="22"/>
        <v>0.96226415094339623</v>
      </c>
    </row>
    <row r="59" spans="1:10" x14ac:dyDescent="0.45">
      <c r="A59" s="4" t="s">
        <v>111</v>
      </c>
      <c r="B59" s="4">
        <f>COUNTIFS(step3_combined_data!$AQ$2:$AQ$404,"Oppose", step3_combined_data!$N$2:$N$404,"Từ 48 - 70 triệu VNĐ")</f>
        <v>0</v>
      </c>
      <c r="C59" s="4">
        <f>COUNTIFS(step3_combined_data!$AQ$2:$AQ$404,"Neutral", step3_combined_data!$N$2:$N$404,"Từ 48 - 70 triệu VNĐ")</f>
        <v>2</v>
      </c>
      <c r="D59" s="4">
        <f>COUNTIFS(step3_combined_data!$AQ$2:$AQ$404,"Support", step3_combined_data!$N$2:$N$404,"Từ 48 - 70 triệu VNĐ")</f>
        <v>59</v>
      </c>
      <c r="E59" s="4">
        <f t="shared" si="23"/>
        <v>61</v>
      </c>
      <c r="G59" s="4" t="s">
        <v>111</v>
      </c>
      <c r="H59" s="43">
        <f t="shared" si="20"/>
        <v>0</v>
      </c>
      <c r="I59" s="43">
        <f t="shared" si="21"/>
        <v>3.2786885245901641E-2</v>
      </c>
      <c r="J59" s="43">
        <f t="shared" si="22"/>
        <v>0.96721311475409832</v>
      </c>
    </row>
    <row r="60" spans="1:10" x14ac:dyDescent="0.45">
      <c r="A60" s="4" t="s">
        <v>107</v>
      </c>
      <c r="B60" s="4">
        <f>COUNTIFS(step3_combined_data!$AQ$2:$AQ$404,"Oppose", step3_combined_data!$N$2:$N$404,"Từ 70 - 102 triệu VNĐ")</f>
        <v>0</v>
      </c>
      <c r="C60" s="4">
        <f>COUNTIFS(step3_combined_data!$AQ$2:$AQ$404,"Neutral", step3_combined_data!$N$2:$N$404,"Từ 70 - 102 triệu VNĐ")</f>
        <v>1</v>
      </c>
      <c r="D60" s="4">
        <f>COUNTIFS(step3_combined_data!$AQ$2:$AQ$404,"Support", step3_combined_data!$N$2:$N$404,"Từ 70 - 102 triệu VNĐ")</f>
        <v>38</v>
      </c>
      <c r="E60" s="4">
        <f t="shared" si="23"/>
        <v>39</v>
      </c>
      <c r="G60" s="4" t="s">
        <v>107</v>
      </c>
      <c r="H60" s="43">
        <f t="shared" si="20"/>
        <v>0</v>
      </c>
      <c r="I60" s="43">
        <f t="shared" si="21"/>
        <v>2.564102564102564E-2</v>
      </c>
      <c r="J60" s="43">
        <f t="shared" si="22"/>
        <v>0.97435897435897434</v>
      </c>
    </row>
    <row r="61" spans="1:10" x14ac:dyDescent="0.45">
      <c r="A61" s="4" t="s">
        <v>108</v>
      </c>
      <c r="B61" s="4">
        <f>COUNTIFS(step3_combined_data!$AQ$2:$AQ$404,"Oppose", step3_combined_data!$N$2:$N$404,"Trên 102 triệu VNĐ")</f>
        <v>0</v>
      </c>
      <c r="C61" s="4">
        <f>COUNTIFS(step3_combined_data!$AQ$2:$AQ$404,"Neutral", step3_combined_data!$N$2:$N$404,"Trên 102 triệu VNĐ")</f>
        <v>3</v>
      </c>
      <c r="D61" s="4">
        <f>COUNTIFS(step3_combined_data!$AQ$2:$AQ$404,"Support", step3_combined_data!$N$2:$N$404,"Trên 102 triệu VNĐ")</f>
        <v>32</v>
      </c>
      <c r="E61" s="4">
        <f t="shared" si="23"/>
        <v>35</v>
      </c>
      <c r="G61" s="4" t="s">
        <v>108</v>
      </c>
      <c r="H61" s="43">
        <f t="shared" si="20"/>
        <v>0</v>
      </c>
      <c r="I61" s="43">
        <f t="shared" si="21"/>
        <v>8.5714285714285715E-2</v>
      </c>
      <c r="J61" s="43">
        <f t="shared" si="22"/>
        <v>0.91428571428571426</v>
      </c>
    </row>
    <row r="63" spans="1:10" x14ac:dyDescent="0.45">
      <c r="A63" s="41" t="s">
        <v>19</v>
      </c>
      <c r="B63" s="41" t="s">
        <v>1</v>
      </c>
      <c r="C63" s="41" t="s">
        <v>2</v>
      </c>
      <c r="D63" s="41" t="s">
        <v>3</v>
      </c>
      <c r="E63" s="41">
        <f>SUM(E64:E71)</f>
        <v>401</v>
      </c>
      <c r="G63" s="41" t="s">
        <v>19</v>
      </c>
      <c r="H63" s="41" t="s">
        <v>1</v>
      </c>
      <c r="I63" s="41" t="s">
        <v>2</v>
      </c>
      <c r="J63" s="41" t="s">
        <v>3</v>
      </c>
    </row>
    <row r="64" spans="1:10" x14ac:dyDescent="0.45">
      <c r="A64" s="4" t="s">
        <v>194</v>
      </c>
      <c r="B64" s="4">
        <f>COUNTIFS(step3_combined_data!$AV$2:$AV$404,"Oppose", step3_combined_data!$N$2:$N$404,"Dưới 12 triệu VNĐ")</f>
        <v>0</v>
      </c>
      <c r="C64" s="4">
        <f>COUNTIFS(step3_combined_data!$AV$2:$AV$404,"Neutral", step3_combined_data!$N$2:$N$404,"Dưới 12 triệu VNĐ")</f>
        <v>14</v>
      </c>
      <c r="D64" s="4">
        <f>COUNTIFS(step3_combined_data!$AV$2:$AV$404,"Support", step3_combined_data!$N$2:$N$404,"Dưới 12 triệu VNĐ")</f>
        <v>27</v>
      </c>
      <c r="E64" s="4">
        <f>SUM(B64:D64)</f>
        <v>41</v>
      </c>
      <c r="G64" s="4" t="s">
        <v>194</v>
      </c>
      <c r="H64" s="43">
        <f t="shared" ref="H64:H71" si="24">B64/E64</f>
        <v>0</v>
      </c>
      <c r="I64" s="43">
        <f t="shared" ref="I64:I71" si="25">C64/E64</f>
        <v>0.34146341463414637</v>
      </c>
      <c r="J64" s="43">
        <f t="shared" ref="J64:J71" si="26">D64/E64</f>
        <v>0.65853658536585369</v>
      </c>
    </row>
    <row r="65" spans="1:10" x14ac:dyDescent="0.45">
      <c r="A65" s="4" t="s">
        <v>104</v>
      </c>
      <c r="B65" s="4">
        <f>COUNTIFS(step3_combined_data!$AV$2:$AV$404,"Oppose", step3_combined_data!$N$2:$N$404,"Từ 12 - 18 triệu VNĐ")</f>
        <v>0</v>
      </c>
      <c r="C65" s="4">
        <f>COUNTIFS(step3_combined_data!$AV$2:$AV$404,"Neutral", step3_combined_data!$N$2:$N$404,"Từ 12 - 18 triệu VNĐ")</f>
        <v>26</v>
      </c>
      <c r="D65" s="4">
        <f>COUNTIFS(step3_combined_data!$AV$2:$AV$404,"Support", step3_combined_data!$N$2:$N$404,"Từ 12 - 18 triệu VNĐ")</f>
        <v>52</v>
      </c>
      <c r="E65" s="4">
        <f t="shared" ref="E65:E71" si="27">SUM(B65:D65)</f>
        <v>78</v>
      </c>
      <c r="G65" s="4" t="s">
        <v>104</v>
      </c>
      <c r="H65" s="43">
        <f t="shared" si="24"/>
        <v>0</v>
      </c>
      <c r="I65" s="43">
        <f t="shared" si="25"/>
        <v>0.33333333333333331</v>
      </c>
      <c r="J65" s="43">
        <f t="shared" si="26"/>
        <v>0.66666666666666663</v>
      </c>
    </row>
    <row r="66" spans="1:10" x14ac:dyDescent="0.45">
      <c r="A66" s="4" t="s">
        <v>196</v>
      </c>
      <c r="B66" s="4">
        <f>COUNTIFS(step3_combined_data!$AV$2:$AV$404,"Oppose", step3_combined_data!$N$2:$N$404,"Từ 18 - 23 triệu VNĐ")</f>
        <v>0</v>
      </c>
      <c r="C66" s="4">
        <f>COUNTIFS(step3_combined_data!$AV$2:$AV$404,"Neutral", step3_combined_data!$N$2:$N$404,"Từ 18 - 23 triệu VNĐ")</f>
        <v>16</v>
      </c>
      <c r="D66" s="4">
        <f>COUNTIFS(step3_combined_data!$AV$2:$AV$404,"Support", step3_combined_data!$N$2:$N$404,"Từ 18 - 23 triệu VNĐ")</f>
        <v>25</v>
      </c>
      <c r="E66" s="4">
        <f t="shared" si="27"/>
        <v>41</v>
      </c>
      <c r="G66" s="4" t="s">
        <v>196</v>
      </c>
      <c r="H66" s="43">
        <f t="shared" si="24"/>
        <v>0</v>
      </c>
      <c r="I66" s="43">
        <f t="shared" si="25"/>
        <v>0.3902439024390244</v>
      </c>
      <c r="J66" s="43">
        <f t="shared" si="26"/>
        <v>0.6097560975609756</v>
      </c>
    </row>
    <row r="67" spans="1:10" x14ac:dyDescent="0.45">
      <c r="A67" s="4" t="s">
        <v>101</v>
      </c>
      <c r="B67" s="4">
        <f>COUNTIFS(step3_combined_data!$AV$2:$AV$404,"Oppose", step3_combined_data!$N$2:$N$404,"Từ 23 - 32 triệu VNĐ")</f>
        <v>0</v>
      </c>
      <c r="C67" s="4">
        <f>COUNTIFS(step3_combined_data!$AV$2:$AV$404,"Neutral", step3_combined_data!$N$2:$N$404,"Từ 23 - 32 triệu VNĐ")</f>
        <v>28</v>
      </c>
      <c r="D67" s="4">
        <f>COUNTIFS(step3_combined_data!$AV$2:$AV$404,"Support", step3_combined_data!$N$2:$N$404,"Từ 23 - 32 triệu VNĐ")</f>
        <v>25</v>
      </c>
      <c r="E67" s="4">
        <f t="shared" si="27"/>
        <v>53</v>
      </c>
      <c r="G67" s="4" t="s">
        <v>101</v>
      </c>
      <c r="H67" s="43">
        <f t="shared" si="24"/>
        <v>0</v>
      </c>
      <c r="I67" s="43">
        <f t="shared" si="25"/>
        <v>0.52830188679245282</v>
      </c>
      <c r="J67" s="43">
        <f t="shared" si="26"/>
        <v>0.47169811320754718</v>
      </c>
    </row>
    <row r="68" spans="1:10" x14ac:dyDescent="0.45">
      <c r="A68" s="4" t="s">
        <v>109</v>
      </c>
      <c r="B68" s="4">
        <f>COUNTIFS(step3_combined_data!$AV$2:$AV$404,"Oppose", step3_combined_data!$N$2:$N$404,"Từ 32 - 48 triệu VNĐ")</f>
        <v>0</v>
      </c>
      <c r="C68" s="4">
        <f>COUNTIFS(step3_combined_data!$AV$2:$AV$404,"Neutral", step3_combined_data!$N$2:$N$404,"Từ 32 - 48 triệu VNĐ")</f>
        <v>27</v>
      </c>
      <c r="D68" s="4">
        <f>COUNTIFS(step3_combined_data!$AV$2:$AV$404,"Support", step3_combined_data!$N$2:$N$404,"Từ 32 - 48 triệu VNĐ")</f>
        <v>26</v>
      </c>
      <c r="E68" s="4">
        <f t="shared" si="27"/>
        <v>53</v>
      </c>
      <c r="G68" s="4" t="s">
        <v>109</v>
      </c>
      <c r="H68" s="43">
        <f t="shared" si="24"/>
        <v>0</v>
      </c>
      <c r="I68" s="43">
        <f t="shared" si="25"/>
        <v>0.50943396226415094</v>
      </c>
      <c r="J68" s="43">
        <f t="shared" si="26"/>
        <v>0.49056603773584906</v>
      </c>
    </row>
    <row r="69" spans="1:10" x14ac:dyDescent="0.45">
      <c r="A69" s="4" t="s">
        <v>111</v>
      </c>
      <c r="B69" s="4">
        <f>COUNTIFS(step3_combined_data!$AV$2:$AV$404,"Oppose", step3_combined_data!$N$2:$N$404,"Từ 48 - 70 triệu VNĐ")</f>
        <v>0</v>
      </c>
      <c r="C69" s="4">
        <f>COUNTIFS(step3_combined_data!$AV$2:$AV$404,"Neutral", step3_combined_data!$N$2:$N$404,"Từ 48 - 70 triệu VNĐ")</f>
        <v>21</v>
      </c>
      <c r="D69" s="4">
        <f>COUNTIFS(step3_combined_data!$AV$2:$AV$404,"Support", step3_combined_data!$N$2:$N$404,"Từ 48 - 70 triệu VNĐ")</f>
        <v>40</v>
      </c>
      <c r="E69" s="4">
        <f t="shared" si="27"/>
        <v>61</v>
      </c>
      <c r="G69" s="4" t="s">
        <v>111</v>
      </c>
      <c r="H69" s="43">
        <f t="shared" si="24"/>
        <v>0</v>
      </c>
      <c r="I69" s="43">
        <f t="shared" si="25"/>
        <v>0.34426229508196721</v>
      </c>
      <c r="J69" s="43">
        <f t="shared" si="26"/>
        <v>0.65573770491803274</v>
      </c>
    </row>
    <row r="70" spans="1:10" x14ac:dyDescent="0.45">
      <c r="A70" s="4" t="s">
        <v>107</v>
      </c>
      <c r="B70" s="4">
        <f>COUNTIFS(step3_combined_data!$AV$2:$AV$404,"Oppose", step3_combined_data!$N$2:$N$404,"Từ 70 - 102 triệu VNĐ")</f>
        <v>0</v>
      </c>
      <c r="C70" s="4">
        <f>COUNTIFS(step3_combined_data!$AV$2:$AV$404,"Neutral", step3_combined_data!$N$2:$N$404,"Từ 70 - 102 triệu VNĐ")</f>
        <v>14</v>
      </c>
      <c r="D70" s="4">
        <f>COUNTIFS(step3_combined_data!$AV$2:$AV$404,"Support", step3_combined_data!$N$2:$N$404,"Từ 70 - 102 triệu VNĐ")</f>
        <v>25</v>
      </c>
      <c r="E70" s="4">
        <f t="shared" si="27"/>
        <v>39</v>
      </c>
      <c r="G70" s="4" t="s">
        <v>107</v>
      </c>
      <c r="H70" s="43">
        <f t="shared" si="24"/>
        <v>0</v>
      </c>
      <c r="I70" s="43">
        <f t="shared" si="25"/>
        <v>0.35897435897435898</v>
      </c>
      <c r="J70" s="43">
        <f t="shared" si="26"/>
        <v>0.64102564102564108</v>
      </c>
    </row>
    <row r="71" spans="1:10" x14ac:dyDescent="0.45">
      <c r="A71" s="4" t="s">
        <v>108</v>
      </c>
      <c r="B71" s="4">
        <f>COUNTIFS(step3_combined_data!$AV$2:$AV$404,"Oppose", step3_combined_data!$N$2:$N$404,"Trên 102 triệu VNĐ")</f>
        <v>0</v>
      </c>
      <c r="C71" s="4">
        <f>COUNTIFS(step3_combined_data!$AV$2:$AV$404,"Neutral", step3_combined_data!$N$2:$N$404,"Trên 102 triệu VNĐ")</f>
        <v>17</v>
      </c>
      <c r="D71" s="4">
        <f>COUNTIFS(step3_combined_data!$AV$2:$AV$404,"Support", step3_combined_data!$N$2:$N$404,"Trên 102 triệu VNĐ")</f>
        <v>18</v>
      </c>
      <c r="E71" s="4">
        <f t="shared" si="27"/>
        <v>35</v>
      </c>
      <c r="G71" s="4" t="s">
        <v>108</v>
      </c>
      <c r="H71" s="43">
        <f t="shared" si="24"/>
        <v>0</v>
      </c>
      <c r="I71" s="43">
        <f t="shared" si="25"/>
        <v>0.48571428571428571</v>
      </c>
      <c r="J71" s="43">
        <f t="shared" si="26"/>
        <v>0.51428571428571423</v>
      </c>
    </row>
    <row r="73" spans="1:10" x14ac:dyDescent="0.45">
      <c r="A73" s="41" t="s">
        <v>3835</v>
      </c>
      <c r="B73" s="41" t="s">
        <v>1</v>
      </c>
      <c r="C73" s="41" t="s">
        <v>2</v>
      </c>
      <c r="D73" s="41" t="s">
        <v>3</v>
      </c>
      <c r="E73" s="41">
        <f>SUM(E74:E79)</f>
        <v>400</v>
      </c>
      <c r="G73" s="41" t="s">
        <v>3835</v>
      </c>
      <c r="H73" s="41" t="s">
        <v>1</v>
      </c>
      <c r="I73" s="41" t="s">
        <v>2</v>
      </c>
      <c r="J73" s="41" t="s">
        <v>3</v>
      </c>
    </row>
    <row r="74" spans="1:10" x14ac:dyDescent="0.45">
      <c r="A74" s="4" t="s">
        <v>189</v>
      </c>
      <c r="B74" s="4">
        <f>COUNTIFS(step3_combined_data!$BF$2:$BF$404,"Oppose", step3_combined_data!$E$2:$E$404,"18 - 24")</f>
        <v>0</v>
      </c>
      <c r="C74" s="4">
        <f>COUNTIFS(step3_combined_data!$BF$2:$BF$404,"Neutral", step3_combined_data!$E$2:$E$404,"18 - 24")</f>
        <v>1</v>
      </c>
      <c r="D74" s="4">
        <f>COUNTIFS(step3_combined_data!$BF$2:$BF$404,"Support", step3_combined_data!$E$2:$E$404,"18 - 24")</f>
        <v>54</v>
      </c>
      <c r="E74" s="4">
        <f>SUM(B74:D74)</f>
        <v>55</v>
      </c>
      <c r="G74" s="4" t="s">
        <v>189</v>
      </c>
      <c r="H74" s="43">
        <f t="shared" ref="H74:H79" si="28">B74/E74</f>
        <v>0</v>
      </c>
      <c r="I74" s="43">
        <f t="shared" ref="I74:I79" si="29">C74/E74</f>
        <v>1.8181818181818181E-2</v>
      </c>
      <c r="J74" s="43">
        <f t="shared" ref="J74:J79" si="30">D74/E74</f>
        <v>0.98181818181818181</v>
      </c>
    </row>
    <row r="75" spans="1:10" x14ac:dyDescent="0.45">
      <c r="A75" s="4" t="s">
        <v>81</v>
      </c>
      <c r="B75" s="4">
        <f>COUNTIFS(step3_combined_data!$BF$2:$BF$404,"Oppose", step3_combined_data!$E$2:$E$404,"25 - 29")</f>
        <v>0</v>
      </c>
      <c r="C75" s="4">
        <f>COUNTIFS(step3_combined_data!$BF$2:$BF$404,"Neutral", step3_combined_data!$E$2:$E$404,"25 - 29")</f>
        <v>6</v>
      </c>
      <c r="D75" s="4">
        <f>COUNTIFS(step3_combined_data!$BF$2:$BF$404,"Support", step3_combined_data!$E$2:$E$404,"25 - 29")</f>
        <v>72</v>
      </c>
      <c r="E75" s="4">
        <f t="shared" ref="E75:E79" si="31">SUM(B75:D75)</f>
        <v>78</v>
      </c>
      <c r="G75" s="4" t="s">
        <v>81</v>
      </c>
      <c r="H75" s="43">
        <f t="shared" si="28"/>
        <v>0</v>
      </c>
      <c r="I75" s="43">
        <f t="shared" si="29"/>
        <v>7.6923076923076927E-2</v>
      </c>
      <c r="J75" s="43">
        <f t="shared" si="30"/>
        <v>0.92307692307692313</v>
      </c>
    </row>
    <row r="76" spans="1:10" x14ac:dyDescent="0.45">
      <c r="A76" s="4" t="s">
        <v>73</v>
      </c>
      <c r="B76" s="4">
        <f>COUNTIFS(step3_combined_data!$BF$2:$BF$404,"Oppose", step3_combined_data!$E$2:$E$404,"30 - 39")</f>
        <v>0</v>
      </c>
      <c r="C76" s="4">
        <f>COUNTIFS(step3_combined_data!$BF$2:$BF$404,"Neutral", step3_combined_data!$E$2:$E$404,"30 - 39")</f>
        <v>5</v>
      </c>
      <c r="D76" s="4">
        <f>COUNTIFS(step3_combined_data!$BF$2:$BF$404,"Support", step3_combined_data!$E$2:$E$404,"30 - 39")</f>
        <v>126</v>
      </c>
      <c r="E76" s="4">
        <f t="shared" si="31"/>
        <v>131</v>
      </c>
      <c r="G76" s="4" t="s">
        <v>73</v>
      </c>
      <c r="H76" s="43">
        <f t="shared" si="28"/>
        <v>0</v>
      </c>
      <c r="I76" s="43">
        <f t="shared" si="29"/>
        <v>3.8167938931297711E-2</v>
      </c>
      <c r="J76" s="43">
        <f t="shared" si="30"/>
        <v>0.96183206106870234</v>
      </c>
    </row>
    <row r="77" spans="1:10" x14ac:dyDescent="0.45">
      <c r="A77" s="4" t="s">
        <v>79</v>
      </c>
      <c r="B77" s="4">
        <f>COUNTIFS(step3_combined_data!$BF$2:$BF$404,"Oppose", step3_combined_data!$E$2:$E$404,"40 - 49")</f>
        <v>0</v>
      </c>
      <c r="C77" s="4">
        <f>COUNTIFS(step3_combined_data!$BF$2:$BF$404,"Neutral", step3_combined_data!$E$2:$E$404,"40 - 49")</f>
        <v>3</v>
      </c>
      <c r="D77" s="4">
        <f>COUNTIFS(step3_combined_data!$BF$2:$BF$404,"Support", step3_combined_data!$E$2:$E$404,"40 - 49")</f>
        <v>75</v>
      </c>
      <c r="E77" s="4">
        <f t="shared" si="31"/>
        <v>78</v>
      </c>
      <c r="G77" s="4" t="s">
        <v>79</v>
      </c>
      <c r="H77" s="43">
        <f t="shared" si="28"/>
        <v>0</v>
      </c>
      <c r="I77" s="43">
        <f t="shared" si="29"/>
        <v>3.8461538461538464E-2</v>
      </c>
      <c r="J77" s="43">
        <f t="shared" si="30"/>
        <v>0.96153846153846156</v>
      </c>
    </row>
    <row r="78" spans="1:10" x14ac:dyDescent="0.45">
      <c r="A78" s="4" t="s">
        <v>191</v>
      </c>
      <c r="B78" s="4">
        <f>COUNTIFS(step3_combined_data!$BF$2:$BF$404,"Oppose", step3_combined_data!$E$2:$E$404,"50 - 54")</f>
        <v>0</v>
      </c>
      <c r="C78" s="4">
        <f>COUNTIFS(step3_combined_data!$BF$2:$BF$404,"Neutral", step3_combined_data!$E$2:$E$404,"50 - 54")</f>
        <v>3</v>
      </c>
      <c r="D78" s="4">
        <f>COUNTIFS(step3_combined_data!$BF$2:$BF$404,"Support", step3_combined_data!$E$2:$E$404,"50 - 54")</f>
        <v>28</v>
      </c>
      <c r="E78" s="4">
        <f t="shared" si="31"/>
        <v>31</v>
      </c>
      <c r="G78" s="4" t="s">
        <v>191</v>
      </c>
      <c r="H78" s="43">
        <f t="shared" si="28"/>
        <v>0</v>
      </c>
      <c r="I78" s="43">
        <f t="shared" si="29"/>
        <v>9.6774193548387094E-2</v>
      </c>
      <c r="J78" s="43">
        <f t="shared" si="30"/>
        <v>0.90322580645161288</v>
      </c>
    </row>
    <row r="79" spans="1:10" x14ac:dyDescent="0.45">
      <c r="A79" s="4" t="s">
        <v>193</v>
      </c>
      <c r="B79" s="4">
        <f>COUNTIFS(step3_combined_data!$BF$2:$BF$404,"Oppose", step3_combined_data!$E$2:$E$404,"55 - 64")</f>
        <v>0</v>
      </c>
      <c r="C79" s="4">
        <f>COUNTIFS(step3_combined_data!$BF$2:$BF$404,"Neutral", step3_combined_data!$E$2:$E$404,"55 - 64")</f>
        <v>2</v>
      </c>
      <c r="D79" s="4">
        <f>COUNTIFS(step3_combined_data!$BF$2:$BF$404,"Support", step3_combined_data!$E$2:$E$404,"55 - 64")</f>
        <v>25</v>
      </c>
      <c r="E79" s="4">
        <f t="shared" si="31"/>
        <v>27</v>
      </c>
      <c r="G79" s="4" t="s">
        <v>193</v>
      </c>
      <c r="H79" s="43">
        <f t="shared" si="28"/>
        <v>0</v>
      </c>
      <c r="I79" s="43">
        <f t="shared" si="29"/>
        <v>7.407407407407407E-2</v>
      </c>
      <c r="J79" s="43">
        <f t="shared" si="30"/>
        <v>0.92592592592592593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9FE0A-9457-4FC2-AF15-C2F30908F43C}">
  <dimension ref="A1:AA405"/>
  <sheetViews>
    <sheetView topLeftCell="G1" workbookViewId="0">
      <selection activeCell="Y2" sqref="Y2:Y404"/>
    </sheetView>
  </sheetViews>
  <sheetFormatPr defaultRowHeight="14.25" x14ac:dyDescent="0.45"/>
  <sheetData>
    <row r="1" spans="1:27" x14ac:dyDescent="0.45">
      <c r="A1" s="8" t="s">
        <v>45</v>
      </c>
      <c r="B1" s="35" t="s">
        <v>126</v>
      </c>
      <c r="C1" s="8" t="s">
        <v>204</v>
      </c>
      <c r="D1" s="8" t="s">
        <v>48</v>
      </c>
      <c r="E1" s="8" t="s">
        <v>131</v>
      </c>
      <c r="F1" s="8" t="s">
        <v>205</v>
      </c>
      <c r="G1" s="8" t="s">
        <v>51</v>
      </c>
      <c r="H1" s="8" t="s">
        <v>135</v>
      </c>
      <c r="I1" s="8" t="s">
        <v>206</v>
      </c>
      <c r="J1" s="8" t="s">
        <v>54</v>
      </c>
      <c r="K1" s="8" t="s">
        <v>139</v>
      </c>
      <c r="L1" s="8" t="s">
        <v>207</v>
      </c>
      <c r="M1" t="s">
        <v>57</v>
      </c>
      <c r="N1" t="s">
        <v>143</v>
      </c>
      <c r="O1" s="8" t="s">
        <v>208</v>
      </c>
      <c r="P1" t="s">
        <v>60</v>
      </c>
      <c r="Q1" t="s">
        <v>147</v>
      </c>
      <c r="R1" s="8" t="s">
        <v>209</v>
      </c>
      <c r="S1" t="s">
        <v>63</v>
      </c>
      <c r="T1" t="s">
        <v>151</v>
      </c>
      <c r="U1" s="8" t="s">
        <v>210</v>
      </c>
      <c r="V1" t="s">
        <v>66</v>
      </c>
      <c r="W1" t="s">
        <v>155</v>
      </c>
      <c r="X1" s="8" t="s">
        <v>211</v>
      </c>
      <c r="Y1" t="s">
        <v>69</v>
      </c>
      <c r="Z1" t="s">
        <v>159</v>
      </c>
      <c r="AA1" s="8" t="s">
        <v>212</v>
      </c>
    </row>
    <row r="2" spans="1:27" x14ac:dyDescent="0.45">
      <c r="A2">
        <v>2</v>
      </c>
      <c r="B2" s="36">
        <v>1</v>
      </c>
      <c r="C2" s="32">
        <f>ABS(B2-A2)</f>
        <v>1</v>
      </c>
      <c r="D2">
        <v>2</v>
      </c>
      <c r="E2" s="36">
        <v>1</v>
      </c>
      <c r="F2" s="32">
        <f>ABS(E2-D2)</f>
        <v>1</v>
      </c>
      <c r="G2">
        <v>5</v>
      </c>
      <c r="H2" s="36">
        <v>1</v>
      </c>
      <c r="I2" s="32">
        <f>ABS(H2-G2)</f>
        <v>4</v>
      </c>
      <c r="J2">
        <v>6</v>
      </c>
      <c r="K2" s="36">
        <v>1</v>
      </c>
      <c r="L2" s="32">
        <f>ABS(K2-J2)</f>
        <v>5</v>
      </c>
      <c r="M2">
        <v>0</v>
      </c>
      <c r="N2" s="36">
        <v>1</v>
      </c>
      <c r="O2" s="32">
        <f>ABS(N2-M2)</f>
        <v>1</v>
      </c>
      <c r="P2">
        <v>0</v>
      </c>
      <c r="Q2" s="36">
        <v>1</v>
      </c>
      <c r="R2" s="32">
        <f>ABS(Q2-P2)</f>
        <v>1</v>
      </c>
      <c r="S2">
        <v>0</v>
      </c>
      <c r="T2" s="36">
        <v>1</v>
      </c>
      <c r="U2" s="32">
        <f>ABS(T2-S2)</f>
        <v>1</v>
      </c>
      <c r="V2">
        <v>0</v>
      </c>
      <c r="W2" s="36">
        <v>1</v>
      </c>
      <c r="X2" s="32">
        <f>ABS(W2-V2)</f>
        <v>1</v>
      </c>
      <c r="Y2">
        <v>0</v>
      </c>
      <c r="Z2" s="36">
        <v>1</v>
      </c>
      <c r="AA2" s="32">
        <f>ABS(Z2-Y2)</f>
        <v>1</v>
      </c>
    </row>
    <row r="3" spans="1:27" x14ac:dyDescent="0.45">
      <c r="A3">
        <v>3</v>
      </c>
      <c r="B3" s="36">
        <v>1</v>
      </c>
      <c r="C3" s="32">
        <f t="shared" ref="C3:C66" si="0">ABS(B3-A3)</f>
        <v>2</v>
      </c>
      <c r="D3">
        <v>3</v>
      </c>
      <c r="E3" s="36">
        <v>1</v>
      </c>
      <c r="F3" s="32">
        <f t="shared" ref="F3:F66" si="1">ABS(E3-D3)</f>
        <v>2</v>
      </c>
      <c r="G3">
        <v>5</v>
      </c>
      <c r="H3" s="36">
        <v>1</v>
      </c>
      <c r="I3" s="32">
        <f t="shared" ref="I3:I66" si="2">ABS(H3-G3)</f>
        <v>4</v>
      </c>
      <c r="J3">
        <v>7</v>
      </c>
      <c r="K3" s="36">
        <v>1</v>
      </c>
      <c r="L3" s="32">
        <f t="shared" ref="L3:L66" si="3">ABS(K3-J3)</f>
        <v>6</v>
      </c>
      <c r="M3">
        <v>0</v>
      </c>
      <c r="N3" s="36">
        <v>1</v>
      </c>
      <c r="O3" s="32">
        <f t="shared" ref="O3:O66" si="4">ABS(N3-M3)</f>
        <v>1</v>
      </c>
      <c r="P3">
        <v>0</v>
      </c>
      <c r="Q3" s="36">
        <v>1</v>
      </c>
      <c r="R3" s="32">
        <f t="shared" ref="R3:R66" si="5">ABS(Q3-P3)</f>
        <v>1</v>
      </c>
      <c r="S3">
        <v>0</v>
      </c>
      <c r="T3" s="36">
        <v>1</v>
      </c>
      <c r="U3" s="32">
        <f t="shared" ref="U3:U66" si="6">ABS(T3-S3)</f>
        <v>1</v>
      </c>
      <c r="V3">
        <v>0</v>
      </c>
      <c r="W3" s="36">
        <v>1</v>
      </c>
      <c r="X3" s="32">
        <f t="shared" ref="X3:X66" si="7">ABS(W3-V3)</f>
        <v>1</v>
      </c>
      <c r="Y3">
        <v>0</v>
      </c>
      <c r="Z3" s="36">
        <v>1</v>
      </c>
      <c r="AA3" s="32">
        <f t="shared" ref="AA3:AA66" si="8">ABS(Z3-Y3)</f>
        <v>1</v>
      </c>
    </row>
    <row r="4" spans="1:27" x14ac:dyDescent="0.45">
      <c r="A4">
        <v>4</v>
      </c>
      <c r="B4" s="36">
        <v>1</v>
      </c>
      <c r="C4" s="32">
        <f t="shared" si="0"/>
        <v>3</v>
      </c>
      <c r="D4">
        <v>3</v>
      </c>
      <c r="E4" s="36">
        <v>1</v>
      </c>
      <c r="F4" s="32">
        <f t="shared" si="1"/>
        <v>2</v>
      </c>
      <c r="G4">
        <v>5</v>
      </c>
      <c r="H4" s="36">
        <v>1</v>
      </c>
      <c r="I4" s="32">
        <f t="shared" si="2"/>
        <v>4</v>
      </c>
      <c r="J4">
        <v>7</v>
      </c>
      <c r="K4" s="36">
        <v>1</v>
      </c>
      <c r="L4" s="32">
        <f t="shared" si="3"/>
        <v>6</v>
      </c>
      <c r="M4">
        <v>4</v>
      </c>
      <c r="N4" s="36">
        <v>1</v>
      </c>
      <c r="O4" s="32">
        <f t="shared" si="4"/>
        <v>3</v>
      </c>
      <c r="P4">
        <v>0</v>
      </c>
      <c r="Q4" s="36">
        <v>1</v>
      </c>
      <c r="R4" s="32">
        <f t="shared" si="5"/>
        <v>1</v>
      </c>
      <c r="S4">
        <v>0</v>
      </c>
      <c r="T4" s="36">
        <v>1</v>
      </c>
      <c r="U4" s="32">
        <f t="shared" si="6"/>
        <v>1</v>
      </c>
      <c r="V4">
        <v>0</v>
      </c>
      <c r="W4" s="36">
        <v>1</v>
      </c>
      <c r="X4" s="32">
        <f t="shared" si="7"/>
        <v>1</v>
      </c>
      <c r="Y4">
        <v>0</v>
      </c>
      <c r="Z4" s="36">
        <v>1</v>
      </c>
      <c r="AA4" s="32">
        <f t="shared" si="8"/>
        <v>1</v>
      </c>
    </row>
    <row r="5" spans="1:27" x14ac:dyDescent="0.45">
      <c r="A5">
        <v>4</v>
      </c>
      <c r="B5" s="36">
        <v>1</v>
      </c>
      <c r="C5" s="32">
        <f t="shared" si="0"/>
        <v>3</v>
      </c>
      <c r="D5">
        <v>5</v>
      </c>
      <c r="E5" s="36">
        <v>1</v>
      </c>
      <c r="F5" s="32">
        <f t="shared" si="1"/>
        <v>4</v>
      </c>
      <c r="G5">
        <v>5</v>
      </c>
      <c r="H5" s="36">
        <v>1</v>
      </c>
      <c r="I5" s="32">
        <f t="shared" si="2"/>
        <v>4</v>
      </c>
      <c r="J5">
        <v>7</v>
      </c>
      <c r="K5" s="36">
        <v>1</v>
      </c>
      <c r="L5" s="32">
        <f t="shared" si="3"/>
        <v>6</v>
      </c>
      <c r="M5">
        <v>5</v>
      </c>
      <c r="N5" s="36">
        <v>1</v>
      </c>
      <c r="O5" s="32">
        <f t="shared" si="4"/>
        <v>4</v>
      </c>
      <c r="P5">
        <v>5</v>
      </c>
      <c r="Q5" s="36">
        <v>1</v>
      </c>
      <c r="R5" s="32">
        <f t="shared" si="5"/>
        <v>4</v>
      </c>
      <c r="S5">
        <v>5</v>
      </c>
      <c r="T5" s="36">
        <v>1</v>
      </c>
      <c r="U5" s="32">
        <f t="shared" si="6"/>
        <v>4</v>
      </c>
      <c r="V5">
        <v>5</v>
      </c>
      <c r="W5" s="36">
        <v>1</v>
      </c>
      <c r="X5" s="32">
        <f t="shared" si="7"/>
        <v>4</v>
      </c>
      <c r="Y5">
        <v>6</v>
      </c>
      <c r="Z5" s="36">
        <v>1</v>
      </c>
      <c r="AA5" s="32">
        <f t="shared" si="8"/>
        <v>5</v>
      </c>
    </row>
    <row r="6" spans="1:27" x14ac:dyDescent="0.45">
      <c r="A6">
        <v>5</v>
      </c>
      <c r="B6" s="36">
        <v>1</v>
      </c>
      <c r="C6" s="32">
        <f t="shared" si="0"/>
        <v>4</v>
      </c>
      <c r="D6">
        <v>5</v>
      </c>
      <c r="E6" s="36">
        <v>1</v>
      </c>
      <c r="F6" s="32">
        <f t="shared" si="1"/>
        <v>4</v>
      </c>
      <c r="G6">
        <v>6</v>
      </c>
      <c r="H6" s="36">
        <v>1</v>
      </c>
      <c r="I6" s="32">
        <f t="shared" si="2"/>
        <v>5</v>
      </c>
      <c r="J6">
        <v>7</v>
      </c>
      <c r="K6" s="36">
        <v>1</v>
      </c>
      <c r="L6" s="32">
        <f t="shared" si="3"/>
        <v>6</v>
      </c>
      <c r="M6">
        <v>5</v>
      </c>
      <c r="N6" s="36">
        <v>1</v>
      </c>
      <c r="O6" s="32">
        <f t="shared" si="4"/>
        <v>4</v>
      </c>
      <c r="P6">
        <v>6</v>
      </c>
      <c r="Q6" s="36">
        <v>1</v>
      </c>
      <c r="R6" s="32">
        <f t="shared" si="5"/>
        <v>5</v>
      </c>
      <c r="S6">
        <v>5</v>
      </c>
      <c r="T6" s="36">
        <v>1</v>
      </c>
      <c r="U6" s="32">
        <f t="shared" si="6"/>
        <v>4</v>
      </c>
      <c r="V6">
        <v>5</v>
      </c>
      <c r="W6" s="36">
        <v>1</v>
      </c>
      <c r="X6" s="32">
        <f t="shared" si="7"/>
        <v>4</v>
      </c>
      <c r="Y6">
        <v>6</v>
      </c>
      <c r="Z6" s="36">
        <v>1</v>
      </c>
      <c r="AA6" s="32">
        <f t="shared" si="8"/>
        <v>5</v>
      </c>
    </row>
    <row r="7" spans="1:27" x14ac:dyDescent="0.45">
      <c r="A7">
        <v>5</v>
      </c>
      <c r="B7" s="36">
        <v>1</v>
      </c>
      <c r="C7" s="32">
        <f t="shared" si="0"/>
        <v>4</v>
      </c>
      <c r="D7">
        <v>5</v>
      </c>
      <c r="E7" s="36">
        <v>1</v>
      </c>
      <c r="F7" s="32">
        <f t="shared" si="1"/>
        <v>4</v>
      </c>
      <c r="G7">
        <v>6</v>
      </c>
      <c r="H7" s="36">
        <v>1</v>
      </c>
      <c r="I7" s="32">
        <f t="shared" si="2"/>
        <v>5</v>
      </c>
      <c r="J7">
        <v>7</v>
      </c>
      <c r="K7" s="36">
        <v>1</v>
      </c>
      <c r="L7" s="32">
        <f t="shared" si="3"/>
        <v>6</v>
      </c>
      <c r="M7">
        <v>5</v>
      </c>
      <c r="N7" s="36">
        <v>1</v>
      </c>
      <c r="O7" s="32">
        <f t="shared" si="4"/>
        <v>4</v>
      </c>
      <c r="P7">
        <v>6</v>
      </c>
      <c r="Q7" s="36">
        <v>1</v>
      </c>
      <c r="R7" s="32">
        <f t="shared" si="5"/>
        <v>5</v>
      </c>
      <c r="S7">
        <v>6</v>
      </c>
      <c r="T7" s="36">
        <v>1</v>
      </c>
      <c r="U7" s="32">
        <f t="shared" si="6"/>
        <v>5</v>
      </c>
      <c r="V7">
        <v>5</v>
      </c>
      <c r="W7" s="36">
        <v>1</v>
      </c>
      <c r="X7" s="32">
        <f t="shared" si="7"/>
        <v>4</v>
      </c>
      <c r="Y7">
        <v>6</v>
      </c>
      <c r="Z7" s="36">
        <v>1</v>
      </c>
      <c r="AA7" s="32">
        <f t="shared" si="8"/>
        <v>5</v>
      </c>
    </row>
    <row r="8" spans="1:27" x14ac:dyDescent="0.45">
      <c r="A8">
        <v>5</v>
      </c>
      <c r="B8" s="36">
        <v>1</v>
      </c>
      <c r="C8" s="32">
        <f t="shared" si="0"/>
        <v>4</v>
      </c>
      <c r="D8">
        <v>5</v>
      </c>
      <c r="E8" s="36">
        <v>1</v>
      </c>
      <c r="F8" s="32">
        <f t="shared" si="1"/>
        <v>4</v>
      </c>
      <c r="G8">
        <v>6</v>
      </c>
      <c r="H8" s="36">
        <v>1</v>
      </c>
      <c r="I8" s="32">
        <f t="shared" si="2"/>
        <v>5</v>
      </c>
      <c r="J8">
        <v>7</v>
      </c>
      <c r="K8" s="36">
        <v>2</v>
      </c>
      <c r="L8" s="32">
        <f t="shared" si="3"/>
        <v>5</v>
      </c>
      <c r="M8">
        <v>6</v>
      </c>
      <c r="N8" s="36">
        <v>1</v>
      </c>
      <c r="O8" s="32">
        <f t="shared" si="4"/>
        <v>5</v>
      </c>
      <c r="P8">
        <v>7</v>
      </c>
      <c r="Q8" s="36">
        <v>1</v>
      </c>
      <c r="R8" s="32">
        <f t="shared" si="5"/>
        <v>6</v>
      </c>
      <c r="S8">
        <v>6</v>
      </c>
      <c r="T8" s="36">
        <v>1</v>
      </c>
      <c r="U8" s="32">
        <f t="shared" si="6"/>
        <v>5</v>
      </c>
      <c r="V8">
        <v>5</v>
      </c>
      <c r="W8" s="36">
        <v>1</v>
      </c>
      <c r="X8" s="32">
        <f t="shared" si="7"/>
        <v>4</v>
      </c>
      <c r="Y8">
        <v>7</v>
      </c>
      <c r="Z8" s="36">
        <v>1</v>
      </c>
      <c r="AA8" s="32">
        <f t="shared" si="8"/>
        <v>6</v>
      </c>
    </row>
    <row r="9" spans="1:27" x14ac:dyDescent="0.45">
      <c r="A9">
        <v>5</v>
      </c>
      <c r="B9" s="36">
        <v>1</v>
      </c>
      <c r="C9" s="32">
        <f t="shared" si="0"/>
        <v>4</v>
      </c>
      <c r="D9">
        <v>5</v>
      </c>
      <c r="E9" s="36">
        <v>1</v>
      </c>
      <c r="F9" s="32">
        <f t="shared" si="1"/>
        <v>4</v>
      </c>
      <c r="G9">
        <v>6</v>
      </c>
      <c r="H9" s="36">
        <v>1</v>
      </c>
      <c r="I9" s="32">
        <f t="shared" si="2"/>
        <v>5</v>
      </c>
      <c r="J9">
        <v>7</v>
      </c>
      <c r="K9" s="36">
        <v>2</v>
      </c>
      <c r="L9" s="32">
        <f t="shared" si="3"/>
        <v>5</v>
      </c>
      <c r="M9">
        <v>6</v>
      </c>
      <c r="N9" s="36">
        <v>1</v>
      </c>
      <c r="O9" s="32">
        <f t="shared" si="4"/>
        <v>5</v>
      </c>
      <c r="P9">
        <v>7</v>
      </c>
      <c r="Q9" s="36">
        <v>1</v>
      </c>
      <c r="R9" s="32">
        <f t="shared" si="5"/>
        <v>6</v>
      </c>
      <c r="S9">
        <v>6</v>
      </c>
      <c r="T9" s="36">
        <v>1</v>
      </c>
      <c r="U9" s="32">
        <f t="shared" si="6"/>
        <v>5</v>
      </c>
      <c r="V9">
        <v>5</v>
      </c>
      <c r="W9" s="36">
        <v>1</v>
      </c>
      <c r="X9" s="32">
        <f t="shared" si="7"/>
        <v>4</v>
      </c>
      <c r="Y9">
        <v>7</v>
      </c>
      <c r="Z9" s="36">
        <v>1</v>
      </c>
      <c r="AA9" s="32">
        <f t="shared" si="8"/>
        <v>6</v>
      </c>
    </row>
    <row r="10" spans="1:27" x14ac:dyDescent="0.45">
      <c r="A10">
        <v>5</v>
      </c>
      <c r="B10" s="36">
        <v>1</v>
      </c>
      <c r="C10" s="32">
        <f t="shared" si="0"/>
        <v>4</v>
      </c>
      <c r="D10">
        <v>5</v>
      </c>
      <c r="E10" s="36">
        <v>1</v>
      </c>
      <c r="F10" s="32">
        <f t="shared" si="1"/>
        <v>4</v>
      </c>
      <c r="G10">
        <v>6</v>
      </c>
      <c r="H10" s="36">
        <v>1</v>
      </c>
      <c r="I10" s="32">
        <f t="shared" si="2"/>
        <v>5</v>
      </c>
      <c r="J10">
        <v>7</v>
      </c>
      <c r="K10" s="36">
        <v>2</v>
      </c>
      <c r="L10" s="32">
        <f t="shared" si="3"/>
        <v>5</v>
      </c>
      <c r="M10">
        <v>6</v>
      </c>
      <c r="N10" s="36">
        <v>1</v>
      </c>
      <c r="O10" s="32">
        <f t="shared" si="4"/>
        <v>5</v>
      </c>
      <c r="P10">
        <v>7</v>
      </c>
      <c r="Q10" s="36">
        <v>1</v>
      </c>
      <c r="R10" s="32">
        <f t="shared" si="5"/>
        <v>6</v>
      </c>
      <c r="S10">
        <v>6</v>
      </c>
      <c r="T10" s="36">
        <v>1</v>
      </c>
      <c r="U10" s="32">
        <f t="shared" si="6"/>
        <v>5</v>
      </c>
      <c r="V10">
        <v>5</v>
      </c>
      <c r="W10" s="36">
        <v>1</v>
      </c>
      <c r="X10" s="32">
        <f t="shared" si="7"/>
        <v>4</v>
      </c>
      <c r="Y10">
        <v>7</v>
      </c>
      <c r="Z10" s="36">
        <v>1</v>
      </c>
      <c r="AA10" s="32">
        <f t="shared" si="8"/>
        <v>6</v>
      </c>
    </row>
    <row r="11" spans="1:27" x14ac:dyDescent="0.45">
      <c r="A11">
        <v>5</v>
      </c>
      <c r="B11" s="36">
        <v>1</v>
      </c>
      <c r="C11" s="32">
        <f t="shared" si="0"/>
        <v>4</v>
      </c>
      <c r="D11">
        <v>5</v>
      </c>
      <c r="E11" s="36">
        <v>1</v>
      </c>
      <c r="F11" s="32">
        <f t="shared" si="1"/>
        <v>4</v>
      </c>
      <c r="G11">
        <v>6</v>
      </c>
      <c r="H11" s="36">
        <v>1</v>
      </c>
      <c r="I11" s="32">
        <f t="shared" si="2"/>
        <v>5</v>
      </c>
      <c r="J11">
        <v>7</v>
      </c>
      <c r="K11" s="36">
        <v>2</v>
      </c>
      <c r="L11" s="32">
        <f t="shared" si="3"/>
        <v>5</v>
      </c>
      <c r="M11">
        <v>6</v>
      </c>
      <c r="N11" s="36">
        <v>1</v>
      </c>
      <c r="O11" s="32">
        <f t="shared" si="4"/>
        <v>5</v>
      </c>
      <c r="P11">
        <v>7</v>
      </c>
      <c r="Q11" s="36">
        <v>1</v>
      </c>
      <c r="R11" s="32">
        <f t="shared" si="5"/>
        <v>6</v>
      </c>
      <c r="S11">
        <v>6</v>
      </c>
      <c r="T11" s="36">
        <v>1</v>
      </c>
      <c r="U11" s="32">
        <f t="shared" si="6"/>
        <v>5</v>
      </c>
      <c r="V11">
        <v>6</v>
      </c>
      <c r="W11" s="36">
        <v>1</v>
      </c>
      <c r="X11" s="32">
        <f t="shared" si="7"/>
        <v>5</v>
      </c>
      <c r="Y11">
        <v>7</v>
      </c>
      <c r="Z11" s="36">
        <v>1</v>
      </c>
      <c r="AA11" s="32">
        <f t="shared" si="8"/>
        <v>6</v>
      </c>
    </row>
    <row r="12" spans="1:27" x14ac:dyDescent="0.45">
      <c r="A12">
        <v>5</v>
      </c>
      <c r="B12" s="36">
        <v>1</v>
      </c>
      <c r="C12" s="32">
        <f t="shared" si="0"/>
        <v>4</v>
      </c>
      <c r="D12">
        <v>5</v>
      </c>
      <c r="E12" s="36">
        <v>1</v>
      </c>
      <c r="F12" s="32">
        <f t="shared" si="1"/>
        <v>4</v>
      </c>
      <c r="G12">
        <v>6</v>
      </c>
      <c r="H12" s="36">
        <v>1</v>
      </c>
      <c r="I12" s="32">
        <f t="shared" si="2"/>
        <v>5</v>
      </c>
      <c r="J12">
        <v>7</v>
      </c>
      <c r="K12" s="36">
        <v>2</v>
      </c>
      <c r="L12" s="32">
        <f t="shared" si="3"/>
        <v>5</v>
      </c>
      <c r="M12">
        <v>6</v>
      </c>
      <c r="N12" s="36">
        <v>1</v>
      </c>
      <c r="O12" s="32">
        <f t="shared" si="4"/>
        <v>5</v>
      </c>
      <c r="P12">
        <v>7</v>
      </c>
      <c r="Q12" s="36">
        <v>1</v>
      </c>
      <c r="R12" s="32">
        <f t="shared" si="5"/>
        <v>6</v>
      </c>
      <c r="S12">
        <v>6</v>
      </c>
      <c r="T12" s="36">
        <v>1</v>
      </c>
      <c r="U12" s="32">
        <f t="shared" si="6"/>
        <v>5</v>
      </c>
      <c r="V12">
        <v>6</v>
      </c>
      <c r="W12" s="36">
        <v>1</v>
      </c>
      <c r="X12" s="32">
        <f t="shared" si="7"/>
        <v>5</v>
      </c>
      <c r="Y12">
        <v>7</v>
      </c>
      <c r="Z12" s="36">
        <v>1</v>
      </c>
      <c r="AA12" s="32">
        <f t="shared" si="8"/>
        <v>6</v>
      </c>
    </row>
    <row r="13" spans="1:27" x14ac:dyDescent="0.45">
      <c r="A13">
        <v>5</v>
      </c>
      <c r="B13" s="36">
        <v>2</v>
      </c>
      <c r="C13" s="32">
        <f t="shared" si="0"/>
        <v>3</v>
      </c>
      <c r="D13">
        <v>6</v>
      </c>
      <c r="E13" s="36">
        <v>1</v>
      </c>
      <c r="F13" s="32">
        <f t="shared" si="1"/>
        <v>5</v>
      </c>
      <c r="G13">
        <v>6</v>
      </c>
      <c r="H13" s="36">
        <v>1</v>
      </c>
      <c r="I13" s="32">
        <f t="shared" si="2"/>
        <v>5</v>
      </c>
      <c r="J13">
        <v>8</v>
      </c>
      <c r="K13" s="36">
        <v>3</v>
      </c>
      <c r="L13" s="32">
        <f t="shared" si="3"/>
        <v>5</v>
      </c>
      <c r="M13">
        <v>6</v>
      </c>
      <c r="N13" s="36">
        <v>1</v>
      </c>
      <c r="O13" s="32">
        <f t="shared" si="4"/>
        <v>5</v>
      </c>
      <c r="P13">
        <v>7</v>
      </c>
      <c r="Q13" s="36">
        <v>1</v>
      </c>
      <c r="R13" s="32">
        <f t="shared" si="5"/>
        <v>6</v>
      </c>
      <c r="S13">
        <v>6</v>
      </c>
      <c r="T13" s="36">
        <v>1</v>
      </c>
      <c r="U13" s="32">
        <f t="shared" si="6"/>
        <v>5</v>
      </c>
      <c r="V13">
        <v>6</v>
      </c>
      <c r="W13" s="36">
        <v>1</v>
      </c>
      <c r="X13" s="32">
        <f t="shared" si="7"/>
        <v>5</v>
      </c>
      <c r="Y13">
        <v>7</v>
      </c>
      <c r="Z13" s="36">
        <v>1</v>
      </c>
      <c r="AA13" s="32">
        <f t="shared" si="8"/>
        <v>6</v>
      </c>
    </row>
    <row r="14" spans="1:27" x14ac:dyDescent="0.45">
      <c r="A14">
        <v>5</v>
      </c>
      <c r="B14" s="36">
        <v>2</v>
      </c>
      <c r="C14" s="32">
        <f t="shared" si="0"/>
        <v>3</v>
      </c>
      <c r="D14">
        <v>6</v>
      </c>
      <c r="E14" s="36">
        <v>1</v>
      </c>
      <c r="F14" s="32">
        <f t="shared" si="1"/>
        <v>5</v>
      </c>
      <c r="G14">
        <v>6</v>
      </c>
      <c r="H14" s="36">
        <v>1</v>
      </c>
      <c r="I14" s="32">
        <f t="shared" si="2"/>
        <v>5</v>
      </c>
      <c r="J14">
        <v>8</v>
      </c>
      <c r="K14" s="36">
        <v>4</v>
      </c>
      <c r="L14" s="32">
        <f t="shared" si="3"/>
        <v>4</v>
      </c>
      <c r="M14">
        <v>6</v>
      </c>
      <c r="N14" s="36">
        <v>1</v>
      </c>
      <c r="O14" s="32">
        <f t="shared" si="4"/>
        <v>5</v>
      </c>
      <c r="P14">
        <v>7</v>
      </c>
      <c r="Q14" s="36">
        <v>1</v>
      </c>
      <c r="R14" s="32">
        <f t="shared" si="5"/>
        <v>6</v>
      </c>
      <c r="S14">
        <v>6</v>
      </c>
      <c r="T14" s="36">
        <v>1</v>
      </c>
      <c r="U14" s="32">
        <f t="shared" si="6"/>
        <v>5</v>
      </c>
      <c r="V14">
        <v>6</v>
      </c>
      <c r="W14" s="36">
        <v>1</v>
      </c>
      <c r="X14" s="32">
        <f t="shared" si="7"/>
        <v>5</v>
      </c>
      <c r="Y14">
        <v>7</v>
      </c>
      <c r="Z14" s="36">
        <v>1</v>
      </c>
      <c r="AA14" s="32">
        <f t="shared" si="8"/>
        <v>6</v>
      </c>
    </row>
    <row r="15" spans="1:27" x14ac:dyDescent="0.45">
      <c r="A15">
        <v>5</v>
      </c>
      <c r="B15" s="36">
        <v>2</v>
      </c>
      <c r="C15" s="32">
        <f t="shared" si="0"/>
        <v>3</v>
      </c>
      <c r="D15">
        <v>6</v>
      </c>
      <c r="E15" s="36">
        <v>1</v>
      </c>
      <c r="F15" s="32">
        <f t="shared" si="1"/>
        <v>5</v>
      </c>
      <c r="G15">
        <v>6</v>
      </c>
      <c r="H15" s="36">
        <v>1</v>
      </c>
      <c r="I15" s="32">
        <f t="shared" si="2"/>
        <v>5</v>
      </c>
      <c r="J15">
        <v>8</v>
      </c>
      <c r="K15" s="36">
        <v>4</v>
      </c>
      <c r="L15" s="32">
        <f t="shared" si="3"/>
        <v>4</v>
      </c>
      <c r="M15">
        <v>6</v>
      </c>
      <c r="N15" s="36">
        <v>1</v>
      </c>
      <c r="O15" s="32">
        <f t="shared" si="4"/>
        <v>5</v>
      </c>
      <c r="P15">
        <v>7</v>
      </c>
      <c r="Q15" s="36">
        <v>1</v>
      </c>
      <c r="R15" s="32">
        <f t="shared" si="5"/>
        <v>6</v>
      </c>
      <c r="S15">
        <v>6</v>
      </c>
      <c r="T15" s="36">
        <v>1</v>
      </c>
      <c r="U15" s="32">
        <f t="shared" si="6"/>
        <v>5</v>
      </c>
      <c r="V15">
        <v>6</v>
      </c>
      <c r="W15" s="36">
        <v>1</v>
      </c>
      <c r="X15" s="32">
        <f t="shared" si="7"/>
        <v>5</v>
      </c>
      <c r="Y15">
        <v>7</v>
      </c>
      <c r="Z15" s="36">
        <v>2</v>
      </c>
      <c r="AA15" s="32">
        <f t="shared" si="8"/>
        <v>5</v>
      </c>
    </row>
    <row r="16" spans="1:27" x14ac:dyDescent="0.45">
      <c r="A16">
        <v>5</v>
      </c>
      <c r="B16" s="36">
        <v>2</v>
      </c>
      <c r="C16" s="32">
        <f t="shared" si="0"/>
        <v>3</v>
      </c>
      <c r="D16">
        <v>6</v>
      </c>
      <c r="E16" s="36">
        <v>2</v>
      </c>
      <c r="F16" s="32">
        <f t="shared" si="1"/>
        <v>4</v>
      </c>
      <c r="G16">
        <v>6</v>
      </c>
      <c r="H16" s="36">
        <v>1</v>
      </c>
      <c r="I16" s="32">
        <f t="shared" si="2"/>
        <v>5</v>
      </c>
      <c r="J16">
        <v>8</v>
      </c>
      <c r="K16" s="36">
        <v>4</v>
      </c>
      <c r="L16" s="32">
        <f t="shared" si="3"/>
        <v>4</v>
      </c>
      <c r="M16">
        <v>6</v>
      </c>
      <c r="N16" s="36">
        <v>1</v>
      </c>
      <c r="O16" s="32">
        <f t="shared" si="4"/>
        <v>5</v>
      </c>
      <c r="P16">
        <v>7</v>
      </c>
      <c r="Q16" s="36">
        <v>1</v>
      </c>
      <c r="R16" s="32">
        <f t="shared" si="5"/>
        <v>6</v>
      </c>
      <c r="S16">
        <v>6</v>
      </c>
      <c r="T16" s="36">
        <v>1</v>
      </c>
      <c r="U16" s="32">
        <f t="shared" si="6"/>
        <v>5</v>
      </c>
      <c r="V16">
        <v>6</v>
      </c>
      <c r="W16" s="36">
        <v>2</v>
      </c>
      <c r="X16" s="32">
        <f t="shared" si="7"/>
        <v>4</v>
      </c>
      <c r="Y16">
        <v>7</v>
      </c>
      <c r="Z16" s="36">
        <v>2</v>
      </c>
      <c r="AA16" s="32">
        <f t="shared" si="8"/>
        <v>5</v>
      </c>
    </row>
    <row r="17" spans="1:27" x14ac:dyDescent="0.45">
      <c r="A17">
        <v>5</v>
      </c>
      <c r="B17" s="36">
        <v>2</v>
      </c>
      <c r="C17" s="32">
        <f t="shared" si="0"/>
        <v>3</v>
      </c>
      <c r="D17">
        <v>6</v>
      </c>
      <c r="E17" s="36">
        <v>2</v>
      </c>
      <c r="F17" s="32">
        <f t="shared" si="1"/>
        <v>4</v>
      </c>
      <c r="G17">
        <v>6</v>
      </c>
      <c r="H17" s="36">
        <v>1</v>
      </c>
      <c r="I17" s="32">
        <f t="shared" si="2"/>
        <v>5</v>
      </c>
      <c r="J17">
        <v>8</v>
      </c>
      <c r="K17" s="36">
        <v>4</v>
      </c>
      <c r="L17" s="32">
        <f t="shared" si="3"/>
        <v>4</v>
      </c>
      <c r="M17">
        <v>6</v>
      </c>
      <c r="N17" s="36">
        <v>1</v>
      </c>
      <c r="O17" s="32">
        <f t="shared" si="4"/>
        <v>5</v>
      </c>
      <c r="P17">
        <v>7</v>
      </c>
      <c r="Q17" s="36">
        <v>1</v>
      </c>
      <c r="R17" s="32">
        <f t="shared" si="5"/>
        <v>6</v>
      </c>
      <c r="S17">
        <v>6</v>
      </c>
      <c r="T17" s="36">
        <v>1</v>
      </c>
      <c r="U17" s="32">
        <f t="shared" si="6"/>
        <v>5</v>
      </c>
      <c r="V17">
        <v>6</v>
      </c>
      <c r="W17" s="36">
        <v>2</v>
      </c>
      <c r="X17" s="32">
        <f t="shared" si="7"/>
        <v>4</v>
      </c>
      <c r="Y17">
        <v>7</v>
      </c>
      <c r="Z17" s="36">
        <v>2</v>
      </c>
      <c r="AA17" s="32">
        <f t="shared" si="8"/>
        <v>5</v>
      </c>
    </row>
    <row r="18" spans="1:27" x14ac:dyDescent="0.45">
      <c r="A18">
        <v>6</v>
      </c>
      <c r="B18" s="36">
        <v>2</v>
      </c>
      <c r="C18" s="32">
        <f t="shared" si="0"/>
        <v>4</v>
      </c>
      <c r="D18">
        <v>6</v>
      </c>
      <c r="E18" s="36">
        <v>2</v>
      </c>
      <c r="F18" s="32">
        <f t="shared" si="1"/>
        <v>4</v>
      </c>
      <c r="G18">
        <v>6</v>
      </c>
      <c r="H18" s="36">
        <v>1</v>
      </c>
      <c r="I18" s="32">
        <f t="shared" si="2"/>
        <v>5</v>
      </c>
      <c r="J18">
        <v>8</v>
      </c>
      <c r="K18" s="36">
        <v>4</v>
      </c>
      <c r="L18" s="32">
        <f t="shared" si="3"/>
        <v>4</v>
      </c>
      <c r="M18">
        <v>6</v>
      </c>
      <c r="N18" s="36">
        <v>1</v>
      </c>
      <c r="O18" s="32">
        <f t="shared" si="4"/>
        <v>5</v>
      </c>
      <c r="P18">
        <v>7</v>
      </c>
      <c r="Q18" s="36">
        <v>1</v>
      </c>
      <c r="R18" s="32">
        <f t="shared" si="5"/>
        <v>6</v>
      </c>
      <c r="S18">
        <v>6</v>
      </c>
      <c r="T18" s="36">
        <v>1</v>
      </c>
      <c r="U18" s="32">
        <f t="shared" si="6"/>
        <v>5</v>
      </c>
      <c r="V18">
        <v>6</v>
      </c>
      <c r="W18" s="36">
        <v>3</v>
      </c>
      <c r="X18" s="32">
        <f t="shared" si="7"/>
        <v>3</v>
      </c>
      <c r="Y18">
        <v>7</v>
      </c>
      <c r="Z18" s="36">
        <v>3</v>
      </c>
      <c r="AA18" s="32">
        <f t="shared" si="8"/>
        <v>4</v>
      </c>
    </row>
    <row r="19" spans="1:27" x14ac:dyDescent="0.45">
      <c r="A19">
        <v>6</v>
      </c>
      <c r="B19" s="36">
        <v>2</v>
      </c>
      <c r="C19" s="32">
        <f t="shared" si="0"/>
        <v>4</v>
      </c>
      <c r="D19">
        <v>6</v>
      </c>
      <c r="E19" s="36">
        <v>2</v>
      </c>
      <c r="F19" s="32">
        <f t="shared" si="1"/>
        <v>4</v>
      </c>
      <c r="G19">
        <v>6</v>
      </c>
      <c r="H19" s="36">
        <v>1</v>
      </c>
      <c r="I19" s="32">
        <f t="shared" si="2"/>
        <v>5</v>
      </c>
      <c r="J19">
        <v>8</v>
      </c>
      <c r="K19" s="36">
        <v>4</v>
      </c>
      <c r="L19" s="32">
        <f t="shared" si="3"/>
        <v>4</v>
      </c>
      <c r="M19">
        <v>6</v>
      </c>
      <c r="N19" s="36">
        <v>1</v>
      </c>
      <c r="O19" s="32">
        <f t="shared" si="4"/>
        <v>5</v>
      </c>
      <c r="P19">
        <v>8</v>
      </c>
      <c r="Q19" s="36">
        <v>1</v>
      </c>
      <c r="R19" s="32">
        <f t="shared" si="5"/>
        <v>7</v>
      </c>
      <c r="S19">
        <v>6</v>
      </c>
      <c r="T19" s="36">
        <v>1</v>
      </c>
      <c r="U19" s="32">
        <f t="shared" si="6"/>
        <v>5</v>
      </c>
      <c r="V19">
        <v>6</v>
      </c>
      <c r="W19" s="36">
        <v>3</v>
      </c>
      <c r="X19" s="32">
        <f t="shared" si="7"/>
        <v>3</v>
      </c>
      <c r="Y19">
        <v>7</v>
      </c>
      <c r="Z19" s="36">
        <v>3</v>
      </c>
      <c r="AA19" s="32">
        <f t="shared" si="8"/>
        <v>4</v>
      </c>
    </row>
    <row r="20" spans="1:27" x14ac:dyDescent="0.45">
      <c r="A20">
        <v>6</v>
      </c>
      <c r="B20" s="36">
        <v>2</v>
      </c>
      <c r="C20" s="32">
        <f t="shared" si="0"/>
        <v>4</v>
      </c>
      <c r="D20">
        <v>6</v>
      </c>
      <c r="E20" s="36">
        <v>2</v>
      </c>
      <c r="F20" s="32">
        <f t="shared" si="1"/>
        <v>4</v>
      </c>
      <c r="G20">
        <v>6</v>
      </c>
      <c r="H20" s="36">
        <v>1</v>
      </c>
      <c r="I20" s="32">
        <f t="shared" si="2"/>
        <v>5</v>
      </c>
      <c r="J20">
        <v>8</v>
      </c>
      <c r="K20" s="36">
        <v>4</v>
      </c>
      <c r="L20" s="32">
        <f t="shared" si="3"/>
        <v>4</v>
      </c>
      <c r="M20">
        <v>6</v>
      </c>
      <c r="N20" s="36">
        <v>2</v>
      </c>
      <c r="O20" s="32">
        <f t="shared" si="4"/>
        <v>4</v>
      </c>
      <c r="P20">
        <v>8</v>
      </c>
      <c r="Q20" s="36">
        <v>1</v>
      </c>
      <c r="R20" s="32">
        <f t="shared" si="5"/>
        <v>7</v>
      </c>
      <c r="S20">
        <v>6</v>
      </c>
      <c r="T20" s="36">
        <v>1</v>
      </c>
      <c r="U20" s="32">
        <f t="shared" si="6"/>
        <v>5</v>
      </c>
      <c r="V20">
        <v>6</v>
      </c>
      <c r="W20" s="36">
        <v>3</v>
      </c>
      <c r="X20" s="32">
        <f t="shared" si="7"/>
        <v>3</v>
      </c>
      <c r="Y20">
        <v>7</v>
      </c>
      <c r="Z20" s="36">
        <v>3</v>
      </c>
      <c r="AA20" s="32">
        <f t="shared" si="8"/>
        <v>4</v>
      </c>
    </row>
    <row r="21" spans="1:27" x14ac:dyDescent="0.45">
      <c r="A21">
        <v>6</v>
      </c>
      <c r="B21" s="36">
        <v>2</v>
      </c>
      <c r="C21" s="32">
        <f t="shared" si="0"/>
        <v>4</v>
      </c>
      <c r="D21">
        <v>6</v>
      </c>
      <c r="E21" s="36">
        <v>3</v>
      </c>
      <c r="F21" s="32">
        <f t="shared" si="1"/>
        <v>3</v>
      </c>
      <c r="G21">
        <v>6</v>
      </c>
      <c r="H21" s="36">
        <v>1</v>
      </c>
      <c r="I21" s="32">
        <f t="shared" si="2"/>
        <v>5</v>
      </c>
      <c r="J21">
        <v>8</v>
      </c>
      <c r="K21" s="36">
        <v>4</v>
      </c>
      <c r="L21" s="32">
        <f t="shared" si="3"/>
        <v>4</v>
      </c>
      <c r="M21">
        <v>6</v>
      </c>
      <c r="N21" s="36">
        <v>2</v>
      </c>
      <c r="O21" s="32">
        <f t="shared" si="4"/>
        <v>4</v>
      </c>
      <c r="P21">
        <v>8</v>
      </c>
      <c r="Q21" s="36">
        <v>1</v>
      </c>
      <c r="R21" s="32">
        <f t="shared" si="5"/>
        <v>7</v>
      </c>
      <c r="S21">
        <v>6</v>
      </c>
      <c r="T21" s="36">
        <v>1</v>
      </c>
      <c r="U21" s="32">
        <f t="shared" si="6"/>
        <v>5</v>
      </c>
      <c r="V21">
        <v>6</v>
      </c>
      <c r="W21" s="36">
        <v>3</v>
      </c>
      <c r="X21" s="32">
        <f t="shared" si="7"/>
        <v>3</v>
      </c>
      <c r="Y21">
        <v>7</v>
      </c>
      <c r="Z21" s="36">
        <v>3</v>
      </c>
      <c r="AA21" s="32">
        <f t="shared" si="8"/>
        <v>4</v>
      </c>
    </row>
    <row r="22" spans="1:27" x14ac:dyDescent="0.45">
      <c r="A22">
        <v>6</v>
      </c>
      <c r="B22" s="36">
        <v>3</v>
      </c>
      <c r="C22" s="32">
        <f t="shared" si="0"/>
        <v>3</v>
      </c>
      <c r="D22">
        <v>6</v>
      </c>
      <c r="E22" s="36">
        <v>3</v>
      </c>
      <c r="F22" s="32">
        <f t="shared" si="1"/>
        <v>3</v>
      </c>
      <c r="G22">
        <v>6</v>
      </c>
      <c r="H22" s="36">
        <v>1</v>
      </c>
      <c r="I22" s="32">
        <f t="shared" si="2"/>
        <v>5</v>
      </c>
      <c r="J22">
        <v>8</v>
      </c>
      <c r="K22" s="36">
        <v>4</v>
      </c>
      <c r="L22" s="32">
        <f t="shared" si="3"/>
        <v>4</v>
      </c>
      <c r="M22">
        <v>6</v>
      </c>
      <c r="N22" s="36">
        <v>2</v>
      </c>
      <c r="O22" s="32">
        <f t="shared" si="4"/>
        <v>4</v>
      </c>
      <c r="P22">
        <v>8</v>
      </c>
      <c r="Q22" s="36">
        <v>1</v>
      </c>
      <c r="R22" s="32">
        <f t="shared" si="5"/>
        <v>7</v>
      </c>
      <c r="S22">
        <v>6</v>
      </c>
      <c r="T22" s="36">
        <v>1</v>
      </c>
      <c r="U22" s="32">
        <f t="shared" si="6"/>
        <v>5</v>
      </c>
      <c r="V22">
        <v>6</v>
      </c>
      <c r="W22" s="36">
        <v>3</v>
      </c>
      <c r="X22" s="32">
        <f t="shared" si="7"/>
        <v>3</v>
      </c>
      <c r="Y22">
        <v>7</v>
      </c>
      <c r="Z22" s="36">
        <v>3</v>
      </c>
      <c r="AA22" s="32">
        <f t="shared" si="8"/>
        <v>4</v>
      </c>
    </row>
    <row r="23" spans="1:27" x14ac:dyDescent="0.45">
      <c r="A23">
        <v>6</v>
      </c>
      <c r="B23" s="36">
        <v>3</v>
      </c>
      <c r="C23" s="32">
        <f t="shared" si="0"/>
        <v>3</v>
      </c>
      <c r="D23">
        <v>6</v>
      </c>
      <c r="E23" s="36">
        <v>3</v>
      </c>
      <c r="F23" s="32">
        <f t="shared" si="1"/>
        <v>3</v>
      </c>
      <c r="G23">
        <v>6</v>
      </c>
      <c r="H23" s="36">
        <v>1</v>
      </c>
      <c r="I23" s="32">
        <f t="shared" si="2"/>
        <v>5</v>
      </c>
      <c r="J23">
        <v>8</v>
      </c>
      <c r="K23" s="36">
        <v>5</v>
      </c>
      <c r="L23" s="32">
        <f t="shared" si="3"/>
        <v>3</v>
      </c>
      <c r="M23">
        <v>6</v>
      </c>
      <c r="N23" s="36">
        <v>2</v>
      </c>
      <c r="O23" s="32">
        <f t="shared" si="4"/>
        <v>4</v>
      </c>
      <c r="P23">
        <v>8</v>
      </c>
      <c r="Q23" s="36">
        <v>1</v>
      </c>
      <c r="R23" s="32">
        <f t="shared" si="5"/>
        <v>7</v>
      </c>
      <c r="S23">
        <v>6</v>
      </c>
      <c r="T23" s="36">
        <v>1</v>
      </c>
      <c r="U23" s="32">
        <f t="shared" si="6"/>
        <v>5</v>
      </c>
      <c r="V23">
        <v>6</v>
      </c>
      <c r="W23" s="36">
        <v>3</v>
      </c>
      <c r="X23" s="32">
        <f t="shared" si="7"/>
        <v>3</v>
      </c>
      <c r="Y23">
        <v>8</v>
      </c>
      <c r="Z23" s="36">
        <v>3</v>
      </c>
      <c r="AA23" s="32">
        <f t="shared" si="8"/>
        <v>5</v>
      </c>
    </row>
    <row r="24" spans="1:27" x14ac:dyDescent="0.45">
      <c r="A24">
        <v>6</v>
      </c>
      <c r="B24" s="36">
        <v>3</v>
      </c>
      <c r="C24" s="32">
        <f t="shared" si="0"/>
        <v>3</v>
      </c>
      <c r="D24">
        <v>6</v>
      </c>
      <c r="E24" s="36">
        <v>3</v>
      </c>
      <c r="F24" s="32">
        <f t="shared" si="1"/>
        <v>3</v>
      </c>
      <c r="G24">
        <v>6</v>
      </c>
      <c r="H24" s="36">
        <v>1</v>
      </c>
      <c r="I24" s="32">
        <f t="shared" si="2"/>
        <v>5</v>
      </c>
      <c r="J24">
        <v>8</v>
      </c>
      <c r="K24" s="36">
        <v>5</v>
      </c>
      <c r="L24" s="32">
        <f t="shared" si="3"/>
        <v>3</v>
      </c>
      <c r="M24">
        <v>6</v>
      </c>
      <c r="N24" s="36">
        <v>2</v>
      </c>
      <c r="O24" s="32">
        <f t="shared" si="4"/>
        <v>4</v>
      </c>
      <c r="P24">
        <v>8</v>
      </c>
      <c r="Q24" s="36">
        <v>1</v>
      </c>
      <c r="R24" s="32">
        <f t="shared" si="5"/>
        <v>7</v>
      </c>
      <c r="S24">
        <v>6</v>
      </c>
      <c r="T24" s="36">
        <v>1</v>
      </c>
      <c r="U24" s="32">
        <f t="shared" si="6"/>
        <v>5</v>
      </c>
      <c r="V24">
        <v>6</v>
      </c>
      <c r="W24" s="36">
        <v>3</v>
      </c>
      <c r="X24" s="32">
        <f t="shared" si="7"/>
        <v>3</v>
      </c>
      <c r="Y24">
        <v>8</v>
      </c>
      <c r="Z24" s="36">
        <v>3</v>
      </c>
      <c r="AA24" s="32">
        <f t="shared" si="8"/>
        <v>5</v>
      </c>
    </row>
    <row r="25" spans="1:27" x14ac:dyDescent="0.45">
      <c r="A25">
        <v>6</v>
      </c>
      <c r="B25" s="36">
        <v>3</v>
      </c>
      <c r="C25" s="32">
        <f t="shared" si="0"/>
        <v>3</v>
      </c>
      <c r="D25">
        <v>6</v>
      </c>
      <c r="E25" s="36">
        <v>3</v>
      </c>
      <c r="F25" s="32">
        <f t="shared" si="1"/>
        <v>3</v>
      </c>
      <c r="G25">
        <v>6</v>
      </c>
      <c r="H25" s="36">
        <v>1</v>
      </c>
      <c r="I25" s="32">
        <f t="shared" si="2"/>
        <v>5</v>
      </c>
      <c r="J25">
        <v>8</v>
      </c>
      <c r="K25" s="36">
        <v>5</v>
      </c>
      <c r="L25" s="32">
        <f t="shared" si="3"/>
        <v>3</v>
      </c>
      <c r="M25">
        <v>6</v>
      </c>
      <c r="N25" s="36">
        <v>2</v>
      </c>
      <c r="O25" s="32">
        <f t="shared" si="4"/>
        <v>4</v>
      </c>
      <c r="P25">
        <v>8</v>
      </c>
      <c r="Q25" s="36">
        <v>2</v>
      </c>
      <c r="R25" s="32">
        <f t="shared" si="5"/>
        <v>6</v>
      </c>
      <c r="S25">
        <v>6</v>
      </c>
      <c r="T25" s="36">
        <v>1</v>
      </c>
      <c r="U25" s="32">
        <f t="shared" si="6"/>
        <v>5</v>
      </c>
      <c r="V25">
        <v>6</v>
      </c>
      <c r="W25" s="36">
        <v>3</v>
      </c>
      <c r="X25" s="32">
        <f t="shared" si="7"/>
        <v>3</v>
      </c>
      <c r="Y25">
        <v>8</v>
      </c>
      <c r="Z25" s="36">
        <v>4</v>
      </c>
      <c r="AA25" s="32">
        <f t="shared" si="8"/>
        <v>4</v>
      </c>
    </row>
    <row r="26" spans="1:27" x14ac:dyDescent="0.45">
      <c r="A26">
        <v>6</v>
      </c>
      <c r="B26">
        <v>3</v>
      </c>
      <c r="C26" s="32">
        <f t="shared" si="0"/>
        <v>3</v>
      </c>
      <c r="D26">
        <v>6</v>
      </c>
      <c r="E26" s="36">
        <v>3</v>
      </c>
      <c r="F26" s="32">
        <f t="shared" si="1"/>
        <v>3</v>
      </c>
      <c r="G26">
        <v>6</v>
      </c>
      <c r="H26" s="36">
        <v>1</v>
      </c>
      <c r="I26" s="32">
        <f t="shared" si="2"/>
        <v>5</v>
      </c>
      <c r="J26">
        <v>8</v>
      </c>
      <c r="K26" s="36">
        <v>5</v>
      </c>
      <c r="L26" s="32">
        <f t="shared" si="3"/>
        <v>3</v>
      </c>
      <c r="M26">
        <v>6</v>
      </c>
      <c r="N26" s="36">
        <v>3</v>
      </c>
      <c r="O26" s="32">
        <f t="shared" si="4"/>
        <v>3</v>
      </c>
      <c r="P26">
        <v>8</v>
      </c>
      <c r="Q26" s="36">
        <v>2</v>
      </c>
      <c r="R26" s="32">
        <f t="shared" si="5"/>
        <v>6</v>
      </c>
      <c r="S26">
        <v>6</v>
      </c>
      <c r="T26" s="36">
        <v>1</v>
      </c>
      <c r="U26" s="32">
        <f t="shared" si="6"/>
        <v>5</v>
      </c>
      <c r="V26">
        <v>6</v>
      </c>
      <c r="W26" s="36">
        <v>3</v>
      </c>
      <c r="X26" s="32">
        <f t="shared" si="7"/>
        <v>3</v>
      </c>
      <c r="Y26">
        <v>8</v>
      </c>
      <c r="Z26" s="36">
        <v>4</v>
      </c>
      <c r="AA26" s="32">
        <f t="shared" si="8"/>
        <v>4</v>
      </c>
    </row>
    <row r="27" spans="1:27" x14ac:dyDescent="0.45">
      <c r="A27">
        <v>6</v>
      </c>
      <c r="B27">
        <v>3</v>
      </c>
      <c r="C27" s="32">
        <f t="shared" si="0"/>
        <v>3</v>
      </c>
      <c r="D27">
        <v>6</v>
      </c>
      <c r="E27">
        <v>3</v>
      </c>
      <c r="F27" s="32">
        <f t="shared" si="1"/>
        <v>3</v>
      </c>
      <c r="G27">
        <v>6</v>
      </c>
      <c r="H27">
        <v>1</v>
      </c>
      <c r="I27" s="32">
        <f t="shared" si="2"/>
        <v>5</v>
      </c>
      <c r="J27">
        <v>8</v>
      </c>
      <c r="K27">
        <v>5</v>
      </c>
      <c r="L27" s="32">
        <f t="shared" si="3"/>
        <v>3</v>
      </c>
      <c r="M27">
        <v>6</v>
      </c>
      <c r="N27">
        <v>3</v>
      </c>
      <c r="O27" s="32">
        <f t="shared" si="4"/>
        <v>3</v>
      </c>
      <c r="P27">
        <v>8</v>
      </c>
      <c r="Q27">
        <v>2</v>
      </c>
      <c r="R27" s="32">
        <f t="shared" si="5"/>
        <v>6</v>
      </c>
      <c r="S27">
        <v>6</v>
      </c>
      <c r="T27">
        <v>1</v>
      </c>
      <c r="U27" s="32">
        <f t="shared" si="6"/>
        <v>5</v>
      </c>
      <c r="V27">
        <v>6</v>
      </c>
      <c r="W27">
        <v>3</v>
      </c>
      <c r="X27" s="32">
        <f t="shared" si="7"/>
        <v>3</v>
      </c>
      <c r="Y27">
        <v>8</v>
      </c>
      <c r="Z27">
        <v>4</v>
      </c>
      <c r="AA27" s="32">
        <f t="shared" si="8"/>
        <v>4</v>
      </c>
    </row>
    <row r="28" spans="1:27" x14ac:dyDescent="0.45">
      <c r="A28">
        <v>6</v>
      </c>
      <c r="B28">
        <v>3</v>
      </c>
      <c r="C28" s="32">
        <f t="shared" si="0"/>
        <v>3</v>
      </c>
      <c r="D28">
        <v>6</v>
      </c>
      <c r="E28">
        <v>3</v>
      </c>
      <c r="F28" s="32">
        <f t="shared" si="1"/>
        <v>3</v>
      </c>
      <c r="G28">
        <v>6</v>
      </c>
      <c r="H28">
        <v>1</v>
      </c>
      <c r="I28" s="32">
        <f t="shared" si="2"/>
        <v>5</v>
      </c>
      <c r="J28">
        <v>8</v>
      </c>
      <c r="K28">
        <v>5</v>
      </c>
      <c r="L28" s="32">
        <f t="shared" si="3"/>
        <v>3</v>
      </c>
      <c r="M28">
        <v>6</v>
      </c>
      <c r="N28">
        <v>3</v>
      </c>
      <c r="O28" s="32">
        <f t="shared" si="4"/>
        <v>3</v>
      </c>
      <c r="P28">
        <v>8</v>
      </c>
      <c r="Q28">
        <v>2</v>
      </c>
      <c r="R28" s="32">
        <f t="shared" si="5"/>
        <v>6</v>
      </c>
      <c r="S28">
        <v>6</v>
      </c>
      <c r="T28">
        <v>1</v>
      </c>
      <c r="U28" s="32">
        <f t="shared" si="6"/>
        <v>5</v>
      </c>
      <c r="V28">
        <v>6</v>
      </c>
      <c r="W28">
        <v>3</v>
      </c>
      <c r="X28" s="32">
        <f t="shared" si="7"/>
        <v>3</v>
      </c>
      <c r="Y28">
        <v>8</v>
      </c>
      <c r="Z28">
        <v>4</v>
      </c>
      <c r="AA28" s="32">
        <f t="shared" si="8"/>
        <v>4</v>
      </c>
    </row>
    <row r="29" spans="1:27" x14ac:dyDescent="0.45">
      <c r="A29">
        <v>6</v>
      </c>
      <c r="B29">
        <v>3</v>
      </c>
      <c r="C29" s="32">
        <f t="shared" si="0"/>
        <v>3</v>
      </c>
      <c r="D29">
        <v>6</v>
      </c>
      <c r="E29">
        <v>3</v>
      </c>
      <c r="F29" s="32">
        <f t="shared" si="1"/>
        <v>3</v>
      </c>
      <c r="G29">
        <v>6</v>
      </c>
      <c r="H29">
        <v>1</v>
      </c>
      <c r="I29" s="32">
        <f t="shared" si="2"/>
        <v>5</v>
      </c>
      <c r="J29">
        <v>8</v>
      </c>
      <c r="K29">
        <v>5</v>
      </c>
      <c r="L29" s="32">
        <f t="shared" si="3"/>
        <v>3</v>
      </c>
      <c r="M29">
        <v>6</v>
      </c>
      <c r="N29">
        <v>3</v>
      </c>
      <c r="O29" s="32">
        <f t="shared" si="4"/>
        <v>3</v>
      </c>
      <c r="P29">
        <v>8</v>
      </c>
      <c r="Q29">
        <v>2</v>
      </c>
      <c r="R29" s="32">
        <f t="shared" si="5"/>
        <v>6</v>
      </c>
      <c r="S29">
        <v>6</v>
      </c>
      <c r="T29">
        <v>1</v>
      </c>
      <c r="U29" s="32">
        <f t="shared" si="6"/>
        <v>5</v>
      </c>
      <c r="V29">
        <v>6</v>
      </c>
      <c r="W29">
        <v>3</v>
      </c>
      <c r="X29" s="32">
        <f t="shared" si="7"/>
        <v>3</v>
      </c>
      <c r="Y29">
        <v>8</v>
      </c>
      <c r="Z29">
        <v>4</v>
      </c>
      <c r="AA29" s="32">
        <f t="shared" si="8"/>
        <v>4</v>
      </c>
    </row>
    <row r="30" spans="1:27" x14ac:dyDescent="0.45">
      <c r="A30">
        <v>6</v>
      </c>
      <c r="B30">
        <v>4</v>
      </c>
      <c r="C30" s="32">
        <f t="shared" si="0"/>
        <v>2</v>
      </c>
      <c r="D30">
        <v>6</v>
      </c>
      <c r="E30">
        <v>3</v>
      </c>
      <c r="F30" s="32">
        <f t="shared" si="1"/>
        <v>3</v>
      </c>
      <c r="G30">
        <v>6</v>
      </c>
      <c r="H30">
        <v>1</v>
      </c>
      <c r="I30" s="32">
        <f t="shared" si="2"/>
        <v>5</v>
      </c>
      <c r="J30">
        <v>8</v>
      </c>
      <c r="K30">
        <v>5</v>
      </c>
      <c r="L30" s="32">
        <f t="shared" si="3"/>
        <v>3</v>
      </c>
      <c r="M30">
        <v>6</v>
      </c>
      <c r="N30">
        <v>3</v>
      </c>
      <c r="O30" s="32">
        <f t="shared" si="4"/>
        <v>3</v>
      </c>
      <c r="P30">
        <v>8</v>
      </c>
      <c r="Q30">
        <v>2</v>
      </c>
      <c r="R30" s="32">
        <f t="shared" si="5"/>
        <v>6</v>
      </c>
      <c r="S30">
        <v>6</v>
      </c>
      <c r="T30">
        <v>1</v>
      </c>
      <c r="U30" s="32">
        <f t="shared" si="6"/>
        <v>5</v>
      </c>
      <c r="V30">
        <v>6</v>
      </c>
      <c r="W30">
        <v>3</v>
      </c>
      <c r="X30" s="32">
        <f t="shared" si="7"/>
        <v>3</v>
      </c>
      <c r="Y30">
        <v>8</v>
      </c>
      <c r="Z30">
        <v>4</v>
      </c>
      <c r="AA30" s="32">
        <f t="shared" si="8"/>
        <v>4</v>
      </c>
    </row>
    <row r="31" spans="1:27" x14ac:dyDescent="0.45">
      <c r="A31">
        <v>6</v>
      </c>
      <c r="B31">
        <v>4</v>
      </c>
      <c r="C31" s="32">
        <f t="shared" si="0"/>
        <v>2</v>
      </c>
      <c r="D31">
        <v>6</v>
      </c>
      <c r="E31">
        <v>4</v>
      </c>
      <c r="F31" s="32">
        <f t="shared" si="1"/>
        <v>2</v>
      </c>
      <c r="G31">
        <v>6</v>
      </c>
      <c r="H31">
        <v>2</v>
      </c>
      <c r="I31" s="32">
        <f t="shared" si="2"/>
        <v>4</v>
      </c>
      <c r="J31">
        <v>8</v>
      </c>
      <c r="K31">
        <v>5</v>
      </c>
      <c r="L31" s="32">
        <f t="shared" si="3"/>
        <v>3</v>
      </c>
      <c r="M31">
        <v>6</v>
      </c>
      <c r="N31">
        <v>3</v>
      </c>
      <c r="O31" s="32">
        <f t="shared" si="4"/>
        <v>3</v>
      </c>
      <c r="P31">
        <v>8</v>
      </c>
      <c r="Q31">
        <v>2</v>
      </c>
      <c r="R31" s="32">
        <f t="shared" si="5"/>
        <v>6</v>
      </c>
      <c r="S31">
        <v>6</v>
      </c>
      <c r="T31">
        <v>1</v>
      </c>
      <c r="U31" s="32">
        <f t="shared" si="6"/>
        <v>5</v>
      </c>
      <c r="V31">
        <v>6</v>
      </c>
      <c r="W31">
        <v>3</v>
      </c>
      <c r="X31" s="32">
        <f t="shared" si="7"/>
        <v>3</v>
      </c>
      <c r="Y31">
        <v>8</v>
      </c>
      <c r="Z31">
        <v>4</v>
      </c>
      <c r="AA31" s="32">
        <f t="shared" si="8"/>
        <v>4</v>
      </c>
    </row>
    <row r="32" spans="1:27" x14ac:dyDescent="0.45">
      <c r="A32">
        <v>6</v>
      </c>
      <c r="B32">
        <v>4</v>
      </c>
      <c r="C32" s="32">
        <f t="shared" si="0"/>
        <v>2</v>
      </c>
      <c r="D32">
        <v>6</v>
      </c>
      <c r="E32">
        <v>4</v>
      </c>
      <c r="F32" s="32">
        <f t="shared" si="1"/>
        <v>2</v>
      </c>
      <c r="G32">
        <v>6</v>
      </c>
      <c r="H32">
        <v>2</v>
      </c>
      <c r="I32" s="32">
        <f t="shared" si="2"/>
        <v>4</v>
      </c>
      <c r="J32">
        <v>8</v>
      </c>
      <c r="K32">
        <v>5</v>
      </c>
      <c r="L32" s="32">
        <f t="shared" si="3"/>
        <v>3</v>
      </c>
      <c r="M32">
        <v>6</v>
      </c>
      <c r="N32">
        <v>3</v>
      </c>
      <c r="O32" s="32">
        <f t="shared" si="4"/>
        <v>3</v>
      </c>
      <c r="P32">
        <v>8</v>
      </c>
      <c r="Q32">
        <v>2</v>
      </c>
      <c r="R32" s="32">
        <f t="shared" si="5"/>
        <v>6</v>
      </c>
      <c r="S32">
        <v>7</v>
      </c>
      <c r="T32">
        <v>1</v>
      </c>
      <c r="U32" s="32">
        <f t="shared" si="6"/>
        <v>6</v>
      </c>
      <c r="V32">
        <v>6</v>
      </c>
      <c r="W32">
        <v>3</v>
      </c>
      <c r="X32" s="32">
        <f t="shared" si="7"/>
        <v>3</v>
      </c>
      <c r="Y32">
        <v>8</v>
      </c>
      <c r="Z32">
        <v>4</v>
      </c>
      <c r="AA32" s="32">
        <f t="shared" si="8"/>
        <v>4</v>
      </c>
    </row>
    <row r="33" spans="1:27" x14ac:dyDescent="0.45">
      <c r="A33">
        <v>6</v>
      </c>
      <c r="B33">
        <v>4</v>
      </c>
      <c r="C33" s="32">
        <f t="shared" si="0"/>
        <v>2</v>
      </c>
      <c r="D33">
        <v>6</v>
      </c>
      <c r="E33">
        <v>4</v>
      </c>
      <c r="F33" s="32">
        <f t="shared" si="1"/>
        <v>2</v>
      </c>
      <c r="G33">
        <v>6</v>
      </c>
      <c r="H33">
        <v>2</v>
      </c>
      <c r="I33" s="32">
        <f t="shared" si="2"/>
        <v>4</v>
      </c>
      <c r="J33">
        <v>8</v>
      </c>
      <c r="K33">
        <v>5</v>
      </c>
      <c r="L33" s="32">
        <f t="shared" si="3"/>
        <v>3</v>
      </c>
      <c r="M33">
        <v>6</v>
      </c>
      <c r="N33">
        <v>3</v>
      </c>
      <c r="O33" s="32">
        <f t="shared" si="4"/>
        <v>3</v>
      </c>
      <c r="P33">
        <v>8</v>
      </c>
      <c r="Q33">
        <v>3</v>
      </c>
      <c r="R33" s="32">
        <f t="shared" si="5"/>
        <v>5</v>
      </c>
      <c r="S33">
        <v>7</v>
      </c>
      <c r="T33">
        <v>1</v>
      </c>
      <c r="U33" s="32">
        <f t="shared" si="6"/>
        <v>6</v>
      </c>
      <c r="V33">
        <v>6</v>
      </c>
      <c r="W33">
        <v>4</v>
      </c>
      <c r="X33" s="32">
        <f t="shared" si="7"/>
        <v>2</v>
      </c>
      <c r="Y33">
        <v>8</v>
      </c>
      <c r="Z33">
        <v>4</v>
      </c>
      <c r="AA33" s="32">
        <f t="shared" si="8"/>
        <v>4</v>
      </c>
    </row>
    <row r="34" spans="1:27" x14ac:dyDescent="0.45">
      <c r="A34">
        <v>6</v>
      </c>
      <c r="B34">
        <v>4</v>
      </c>
      <c r="C34" s="32">
        <f t="shared" si="0"/>
        <v>2</v>
      </c>
      <c r="D34">
        <v>6</v>
      </c>
      <c r="E34">
        <v>4</v>
      </c>
      <c r="F34" s="32">
        <f t="shared" si="1"/>
        <v>2</v>
      </c>
      <c r="G34">
        <v>6</v>
      </c>
      <c r="H34">
        <v>2</v>
      </c>
      <c r="I34" s="32">
        <f t="shared" si="2"/>
        <v>4</v>
      </c>
      <c r="J34">
        <v>8</v>
      </c>
      <c r="K34">
        <v>5</v>
      </c>
      <c r="L34" s="32">
        <f t="shared" si="3"/>
        <v>3</v>
      </c>
      <c r="M34">
        <v>6</v>
      </c>
      <c r="N34">
        <v>3</v>
      </c>
      <c r="O34" s="32">
        <f t="shared" si="4"/>
        <v>3</v>
      </c>
      <c r="P34">
        <v>8</v>
      </c>
      <c r="Q34">
        <v>3</v>
      </c>
      <c r="R34" s="32">
        <f t="shared" si="5"/>
        <v>5</v>
      </c>
      <c r="S34">
        <v>7</v>
      </c>
      <c r="T34">
        <v>1</v>
      </c>
      <c r="U34" s="32">
        <f t="shared" si="6"/>
        <v>6</v>
      </c>
      <c r="V34">
        <v>6</v>
      </c>
      <c r="W34">
        <v>4</v>
      </c>
      <c r="X34" s="32">
        <f t="shared" si="7"/>
        <v>2</v>
      </c>
      <c r="Y34">
        <v>8</v>
      </c>
      <c r="Z34">
        <v>4</v>
      </c>
      <c r="AA34" s="32">
        <f t="shared" si="8"/>
        <v>4</v>
      </c>
    </row>
    <row r="35" spans="1:27" x14ac:dyDescent="0.45">
      <c r="A35">
        <v>6</v>
      </c>
      <c r="B35">
        <v>4</v>
      </c>
      <c r="C35" s="32">
        <f t="shared" si="0"/>
        <v>2</v>
      </c>
      <c r="D35">
        <v>6</v>
      </c>
      <c r="E35">
        <v>4</v>
      </c>
      <c r="F35" s="32">
        <f t="shared" si="1"/>
        <v>2</v>
      </c>
      <c r="G35">
        <v>6</v>
      </c>
      <c r="H35">
        <v>2</v>
      </c>
      <c r="I35" s="32">
        <f t="shared" si="2"/>
        <v>4</v>
      </c>
      <c r="J35">
        <v>8</v>
      </c>
      <c r="K35">
        <v>5</v>
      </c>
      <c r="L35" s="32">
        <f t="shared" si="3"/>
        <v>3</v>
      </c>
      <c r="M35">
        <v>6</v>
      </c>
      <c r="N35">
        <v>3</v>
      </c>
      <c r="O35" s="32">
        <f t="shared" si="4"/>
        <v>3</v>
      </c>
      <c r="P35">
        <v>8</v>
      </c>
      <c r="Q35">
        <v>3</v>
      </c>
      <c r="R35" s="32">
        <f t="shared" si="5"/>
        <v>5</v>
      </c>
      <c r="S35">
        <v>7</v>
      </c>
      <c r="T35">
        <v>1</v>
      </c>
      <c r="U35" s="32">
        <f t="shared" si="6"/>
        <v>6</v>
      </c>
      <c r="V35">
        <v>6</v>
      </c>
      <c r="W35">
        <v>4</v>
      </c>
      <c r="X35" s="32">
        <f t="shared" si="7"/>
        <v>2</v>
      </c>
      <c r="Y35">
        <v>8</v>
      </c>
      <c r="Z35">
        <v>4</v>
      </c>
      <c r="AA35" s="32">
        <f t="shared" si="8"/>
        <v>4</v>
      </c>
    </row>
    <row r="36" spans="1:27" x14ac:dyDescent="0.45">
      <c r="A36">
        <v>6</v>
      </c>
      <c r="B36">
        <v>4</v>
      </c>
      <c r="C36" s="32">
        <f t="shared" si="0"/>
        <v>2</v>
      </c>
      <c r="D36">
        <v>6</v>
      </c>
      <c r="E36">
        <v>4</v>
      </c>
      <c r="F36" s="32">
        <f t="shared" si="1"/>
        <v>2</v>
      </c>
      <c r="G36">
        <v>7</v>
      </c>
      <c r="H36">
        <v>2</v>
      </c>
      <c r="I36" s="32">
        <f t="shared" si="2"/>
        <v>5</v>
      </c>
      <c r="J36">
        <v>8</v>
      </c>
      <c r="K36">
        <v>5</v>
      </c>
      <c r="L36" s="32">
        <f t="shared" si="3"/>
        <v>3</v>
      </c>
      <c r="M36">
        <v>6</v>
      </c>
      <c r="N36">
        <v>3</v>
      </c>
      <c r="O36" s="32">
        <f t="shared" si="4"/>
        <v>3</v>
      </c>
      <c r="P36">
        <v>8</v>
      </c>
      <c r="Q36">
        <v>3</v>
      </c>
      <c r="R36" s="32">
        <f t="shared" si="5"/>
        <v>5</v>
      </c>
      <c r="S36">
        <v>7</v>
      </c>
      <c r="T36">
        <v>1</v>
      </c>
      <c r="U36" s="32">
        <f t="shared" si="6"/>
        <v>6</v>
      </c>
      <c r="V36">
        <v>6</v>
      </c>
      <c r="W36">
        <v>4</v>
      </c>
      <c r="X36" s="32">
        <f t="shared" si="7"/>
        <v>2</v>
      </c>
      <c r="Y36">
        <v>8</v>
      </c>
      <c r="Z36">
        <v>4</v>
      </c>
      <c r="AA36" s="32">
        <f t="shared" si="8"/>
        <v>4</v>
      </c>
    </row>
    <row r="37" spans="1:27" x14ac:dyDescent="0.45">
      <c r="A37">
        <v>6</v>
      </c>
      <c r="B37">
        <v>4</v>
      </c>
      <c r="C37" s="32">
        <f t="shared" si="0"/>
        <v>2</v>
      </c>
      <c r="D37">
        <v>6</v>
      </c>
      <c r="E37">
        <v>4</v>
      </c>
      <c r="F37" s="32">
        <f t="shared" si="1"/>
        <v>2</v>
      </c>
      <c r="G37">
        <v>7</v>
      </c>
      <c r="H37">
        <v>2</v>
      </c>
      <c r="I37" s="32">
        <f t="shared" si="2"/>
        <v>5</v>
      </c>
      <c r="J37">
        <v>8</v>
      </c>
      <c r="K37">
        <v>5</v>
      </c>
      <c r="L37" s="32">
        <f t="shared" si="3"/>
        <v>3</v>
      </c>
      <c r="M37">
        <v>6</v>
      </c>
      <c r="N37">
        <v>3</v>
      </c>
      <c r="O37" s="32">
        <f t="shared" si="4"/>
        <v>3</v>
      </c>
      <c r="P37">
        <v>8</v>
      </c>
      <c r="Q37">
        <v>3</v>
      </c>
      <c r="R37" s="32">
        <f t="shared" si="5"/>
        <v>5</v>
      </c>
      <c r="S37">
        <v>7</v>
      </c>
      <c r="T37">
        <v>2</v>
      </c>
      <c r="U37" s="32">
        <f t="shared" si="6"/>
        <v>5</v>
      </c>
      <c r="V37">
        <v>6</v>
      </c>
      <c r="W37">
        <v>4</v>
      </c>
      <c r="X37" s="32">
        <f t="shared" si="7"/>
        <v>2</v>
      </c>
      <c r="Y37">
        <v>8</v>
      </c>
      <c r="Z37">
        <v>5</v>
      </c>
      <c r="AA37" s="32">
        <f t="shared" si="8"/>
        <v>3</v>
      </c>
    </row>
    <row r="38" spans="1:27" x14ac:dyDescent="0.45">
      <c r="A38">
        <v>6</v>
      </c>
      <c r="B38">
        <v>4</v>
      </c>
      <c r="C38" s="32">
        <f t="shared" si="0"/>
        <v>2</v>
      </c>
      <c r="D38">
        <v>6</v>
      </c>
      <c r="E38">
        <v>4</v>
      </c>
      <c r="F38" s="32">
        <f t="shared" si="1"/>
        <v>2</v>
      </c>
      <c r="G38">
        <v>7</v>
      </c>
      <c r="H38">
        <v>2</v>
      </c>
      <c r="I38" s="32">
        <f t="shared" si="2"/>
        <v>5</v>
      </c>
      <c r="J38">
        <v>8</v>
      </c>
      <c r="K38">
        <v>5</v>
      </c>
      <c r="L38" s="32">
        <f t="shared" si="3"/>
        <v>3</v>
      </c>
      <c r="M38">
        <v>6</v>
      </c>
      <c r="N38">
        <v>3</v>
      </c>
      <c r="O38" s="32">
        <f t="shared" si="4"/>
        <v>3</v>
      </c>
      <c r="P38">
        <v>8</v>
      </c>
      <c r="Q38">
        <v>3</v>
      </c>
      <c r="R38" s="32">
        <f t="shared" si="5"/>
        <v>5</v>
      </c>
      <c r="S38">
        <v>7</v>
      </c>
      <c r="T38">
        <v>2</v>
      </c>
      <c r="U38" s="32">
        <f t="shared" si="6"/>
        <v>5</v>
      </c>
      <c r="V38">
        <v>6</v>
      </c>
      <c r="W38">
        <v>4</v>
      </c>
      <c r="X38" s="32">
        <f t="shared" si="7"/>
        <v>2</v>
      </c>
      <c r="Y38">
        <v>8</v>
      </c>
      <c r="Z38">
        <v>5</v>
      </c>
      <c r="AA38" s="32">
        <f t="shared" si="8"/>
        <v>3</v>
      </c>
    </row>
    <row r="39" spans="1:27" x14ac:dyDescent="0.45">
      <c r="A39">
        <v>6</v>
      </c>
      <c r="B39">
        <v>4</v>
      </c>
      <c r="C39" s="32">
        <f t="shared" si="0"/>
        <v>2</v>
      </c>
      <c r="D39">
        <v>6</v>
      </c>
      <c r="E39">
        <v>4</v>
      </c>
      <c r="F39" s="32">
        <f t="shared" si="1"/>
        <v>2</v>
      </c>
      <c r="G39">
        <v>7</v>
      </c>
      <c r="H39">
        <v>2</v>
      </c>
      <c r="I39" s="32">
        <f t="shared" si="2"/>
        <v>5</v>
      </c>
      <c r="J39">
        <v>8</v>
      </c>
      <c r="K39">
        <v>5</v>
      </c>
      <c r="L39" s="32">
        <f t="shared" si="3"/>
        <v>3</v>
      </c>
      <c r="M39">
        <v>6</v>
      </c>
      <c r="N39">
        <v>3</v>
      </c>
      <c r="O39" s="32">
        <f t="shared" si="4"/>
        <v>3</v>
      </c>
      <c r="P39">
        <v>8</v>
      </c>
      <c r="Q39">
        <v>3</v>
      </c>
      <c r="R39" s="32">
        <f t="shared" si="5"/>
        <v>5</v>
      </c>
      <c r="S39">
        <v>7</v>
      </c>
      <c r="T39">
        <v>2</v>
      </c>
      <c r="U39" s="32">
        <f t="shared" si="6"/>
        <v>5</v>
      </c>
      <c r="V39">
        <v>6</v>
      </c>
      <c r="W39">
        <v>4</v>
      </c>
      <c r="X39" s="32">
        <f t="shared" si="7"/>
        <v>2</v>
      </c>
      <c r="Y39">
        <v>8</v>
      </c>
      <c r="Z39">
        <v>5</v>
      </c>
      <c r="AA39" s="32">
        <f t="shared" si="8"/>
        <v>3</v>
      </c>
    </row>
    <row r="40" spans="1:27" x14ac:dyDescent="0.45">
      <c r="A40">
        <v>6</v>
      </c>
      <c r="B40">
        <v>4</v>
      </c>
      <c r="C40" s="32">
        <f t="shared" si="0"/>
        <v>2</v>
      </c>
      <c r="D40">
        <v>6</v>
      </c>
      <c r="E40">
        <v>4</v>
      </c>
      <c r="F40" s="32">
        <f t="shared" si="1"/>
        <v>2</v>
      </c>
      <c r="G40">
        <v>7</v>
      </c>
      <c r="H40">
        <v>2</v>
      </c>
      <c r="I40" s="32">
        <f t="shared" si="2"/>
        <v>5</v>
      </c>
      <c r="J40">
        <v>8</v>
      </c>
      <c r="K40">
        <v>5</v>
      </c>
      <c r="L40" s="32">
        <f t="shared" si="3"/>
        <v>3</v>
      </c>
      <c r="M40">
        <v>6</v>
      </c>
      <c r="N40">
        <v>3</v>
      </c>
      <c r="O40" s="32">
        <f t="shared" si="4"/>
        <v>3</v>
      </c>
      <c r="P40">
        <v>8</v>
      </c>
      <c r="Q40">
        <v>3</v>
      </c>
      <c r="R40" s="32">
        <f t="shared" si="5"/>
        <v>5</v>
      </c>
      <c r="S40">
        <v>7</v>
      </c>
      <c r="T40">
        <v>2</v>
      </c>
      <c r="U40" s="32">
        <f t="shared" si="6"/>
        <v>5</v>
      </c>
      <c r="V40">
        <v>6</v>
      </c>
      <c r="W40">
        <v>4</v>
      </c>
      <c r="X40" s="32">
        <f t="shared" si="7"/>
        <v>2</v>
      </c>
      <c r="Y40">
        <v>8</v>
      </c>
      <c r="Z40">
        <v>5</v>
      </c>
      <c r="AA40" s="32">
        <f t="shared" si="8"/>
        <v>3</v>
      </c>
    </row>
    <row r="41" spans="1:27" x14ac:dyDescent="0.45">
      <c r="A41">
        <v>6</v>
      </c>
      <c r="B41">
        <v>4</v>
      </c>
      <c r="C41" s="32">
        <f t="shared" si="0"/>
        <v>2</v>
      </c>
      <c r="D41">
        <v>6</v>
      </c>
      <c r="E41">
        <v>4</v>
      </c>
      <c r="F41" s="32">
        <f t="shared" si="1"/>
        <v>2</v>
      </c>
      <c r="G41">
        <v>7</v>
      </c>
      <c r="H41">
        <v>2</v>
      </c>
      <c r="I41" s="32">
        <f t="shared" si="2"/>
        <v>5</v>
      </c>
      <c r="J41">
        <v>8</v>
      </c>
      <c r="K41">
        <v>5</v>
      </c>
      <c r="L41" s="32">
        <f t="shared" si="3"/>
        <v>3</v>
      </c>
      <c r="M41">
        <v>6</v>
      </c>
      <c r="N41">
        <v>3</v>
      </c>
      <c r="O41" s="32">
        <f t="shared" si="4"/>
        <v>3</v>
      </c>
      <c r="P41">
        <v>8</v>
      </c>
      <c r="Q41">
        <v>3</v>
      </c>
      <c r="R41" s="32">
        <f t="shared" si="5"/>
        <v>5</v>
      </c>
      <c r="S41">
        <v>7</v>
      </c>
      <c r="T41">
        <v>2</v>
      </c>
      <c r="U41" s="32">
        <f t="shared" si="6"/>
        <v>5</v>
      </c>
      <c r="V41">
        <v>6</v>
      </c>
      <c r="W41">
        <v>4</v>
      </c>
      <c r="X41" s="32">
        <f t="shared" si="7"/>
        <v>2</v>
      </c>
      <c r="Y41">
        <v>8</v>
      </c>
      <c r="Z41">
        <v>5</v>
      </c>
      <c r="AA41" s="32">
        <f t="shared" si="8"/>
        <v>3</v>
      </c>
    </row>
    <row r="42" spans="1:27" x14ac:dyDescent="0.45">
      <c r="A42">
        <v>6</v>
      </c>
      <c r="B42">
        <v>4</v>
      </c>
      <c r="C42" s="32">
        <f t="shared" si="0"/>
        <v>2</v>
      </c>
      <c r="D42">
        <v>6</v>
      </c>
      <c r="E42">
        <v>4</v>
      </c>
      <c r="F42" s="32">
        <f t="shared" si="1"/>
        <v>2</v>
      </c>
      <c r="G42">
        <v>7</v>
      </c>
      <c r="H42">
        <v>3</v>
      </c>
      <c r="I42" s="32">
        <f t="shared" si="2"/>
        <v>4</v>
      </c>
      <c r="J42">
        <v>8</v>
      </c>
      <c r="K42">
        <v>5</v>
      </c>
      <c r="L42" s="32">
        <f t="shared" si="3"/>
        <v>3</v>
      </c>
      <c r="M42">
        <v>7</v>
      </c>
      <c r="N42">
        <v>4</v>
      </c>
      <c r="O42" s="32">
        <f t="shared" si="4"/>
        <v>3</v>
      </c>
      <c r="P42">
        <v>8</v>
      </c>
      <c r="Q42">
        <v>3</v>
      </c>
      <c r="R42" s="32">
        <f t="shared" si="5"/>
        <v>5</v>
      </c>
      <c r="S42">
        <v>7</v>
      </c>
      <c r="T42">
        <v>2</v>
      </c>
      <c r="U42" s="32">
        <f t="shared" si="6"/>
        <v>5</v>
      </c>
      <c r="V42">
        <v>6</v>
      </c>
      <c r="W42">
        <v>4</v>
      </c>
      <c r="X42" s="32">
        <f t="shared" si="7"/>
        <v>2</v>
      </c>
      <c r="Y42">
        <v>8</v>
      </c>
      <c r="Z42">
        <v>5</v>
      </c>
      <c r="AA42" s="32">
        <f t="shared" si="8"/>
        <v>3</v>
      </c>
    </row>
    <row r="43" spans="1:27" x14ac:dyDescent="0.45">
      <c r="A43">
        <v>6</v>
      </c>
      <c r="B43">
        <v>4</v>
      </c>
      <c r="C43" s="32">
        <f t="shared" si="0"/>
        <v>2</v>
      </c>
      <c r="D43">
        <v>6</v>
      </c>
      <c r="E43">
        <v>4</v>
      </c>
      <c r="F43" s="32">
        <f t="shared" si="1"/>
        <v>2</v>
      </c>
      <c r="G43">
        <v>7</v>
      </c>
      <c r="H43">
        <v>3</v>
      </c>
      <c r="I43" s="32">
        <f t="shared" si="2"/>
        <v>4</v>
      </c>
      <c r="J43">
        <v>8</v>
      </c>
      <c r="K43">
        <v>5</v>
      </c>
      <c r="L43" s="32">
        <f t="shared" si="3"/>
        <v>3</v>
      </c>
      <c r="M43">
        <v>7</v>
      </c>
      <c r="N43">
        <v>4</v>
      </c>
      <c r="O43" s="32">
        <f t="shared" si="4"/>
        <v>3</v>
      </c>
      <c r="P43">
        <v>8</v>
      </c>
      <c r="Q43">
        <v>3</v>
      </c>
      <c r="R43" s="32">
        <f t="shared" si="5"/>
        <v>5</v>
      </c>
      <c r="S43">
        <v>7</v>
      </c>
      <c r="T43">
        <v>2</v>
      </c>
      <c r="U43" s="32">
        <f t="shared" si="6"/>
        <v>5</v>
      </c>
      <c r="V43">
        <v>6</v>
      </c>
      <c r="W43">
        <v>4</v>
      </c>
      <c r="X43" s="32">
        <f t="shared" si="7"/>
        <v>2</v>
      </c>
      <c r="Y43">
        <v>8</v>
      </c>
      <c r="Z43">
        <v>5</v>
      </c>
      <c r="AA43" s="32">
        <f t="shared" si="8"/>
        <v>3</v>
      </c>
    </row>
    <row r="44" spans="1:27" x14ac:dyDescent="0.45">
      <c r="A44">
        <v>6</v>
      </c>
      <c r="B44">
        <v>4</v>
      </c>
      <c r="C44" s="32">
        <f t="shared" si="0"/>
        <v>2</v>
      </c>
      <c r="D44">
        <v>6</v>
      </c>
      <c r="E44">
        <v>4</v>
      </c>
      <c r="F44" s="32">
        <f t="shared" si="1"/>
        <v>2</v>
      </c>
      <c r="G44">
        <v>7</v>
      </c>
      <c r="H44">
        <v>3</v>
      </c>
      <c r="I44" s="32">
        <f t="shared" si="2"/>
        <v>4</v>
      </c>
      <c r="J44">
        <v>8</v>
      </c>
      <c r="K44">
        <v>5</v>
      </c>
      <c r="L44" s="32">
        <f t="shared" si="3"/>
        <v>3</v>
      </c>
      <c r="M44">
        <v>7</v>
      </c>
      <c r="N44">
        <v>4</v>
      </c>
      <c r="O44" s="32">
        <f t="shared" si="4"/>
        <v>3</v>
      </c>
      <c r="P44">
        <v>8</v>
      </c>
      <c r="Q44">
        <v>3</v>
      </c>
      <c r="R44" s="32">
        <f t="shared" si="5"/>
        <v>5</v>
      </c>
      <c r="S44">
        <v>7</v>
      </c>
      <c r="T44">
        <v>2</v>
      </c>
      <c r="U44" s="32">
        <f t="shared" si="6"/>
        <v>5</v>
      </c>
      <c r="V44">
        <v>6</v>
      </c>
      <c r="W44">
        <v>4</v>
      </c>
      <c r="X44" s="32">
        <f t="shared" si="7"/>
        <v>2</v>
      </c>
      <c r="Y44">
        <v>8</v>
      </c>
      <c r="Z44">
        <v>5</v>
      </c>
      <c r="AA44" s="32">
        <f t="shared" si="8"/>
        <v>3</v>
      </c>
    </row>
    <row r="45" spans="1:27" x14ac:dyDescent="0.45">
      <c r="A45">
        <v>6</v>
      </c>
      <c r="B45">
        <v>4</v>
      </c>
      <c r="C45" s="32">
        <f t="shared" si="0"/>
        <v>2</v>
      </c>
      <c r="D45">
        <v>6</v>
      </c>
      <c r="E45">
        <v>4</v>
      </c>
      <c r="F45" s="32">
        <f t="shared" si="1"/>
        <v>2</v>
      </c>
      <c r="G45">
        <v>7</v>
      </c>
      <c r="H45">
        <v>3</v>
      </c>
      <c r="I45" s="32">
        <f t="shared" si="2"/>
        <v>4</v>
      </c>
      <c r="J45">
        <v>8</v>
      </c>
      <c r="K45">
        <v>5</v>
      </c>
      <c r="L45" s="32">
        <f t="shared" si="3"/>
        <v>3</v>
      </c>
      <c r="M45">
        <v>7</v>
      </c>
      <c r="N45">
        <v>4</v>
      </c>
      <c r="O45" s="32">
        <f t="shared" si="4"/>
        <v>3</v>
      </c>
      <c r="P45">
        <v>8</v>
      </c>
      <c r="Q45">
        <v>3</v>
      </c>
      <c r="R45" s="32">
        <f t="shared" si="5"/>
        <v>5</v>
      </c>
      <c r="S45">
        <v>7</v>
      </c>
      <c r="T45">
        <v>2</v>
      </c>
      <c r="U45" s="32">
        <f t="shared" si="6"/>
        <v>5</v>
      </c>
      <c r="V45">
        <v>6</v>
      </c>
      <c r="W45">
        <v>4</v>
      </c>
      <c r="X45" s="32">
        <f t="shared" si="7"/>
        <v>2</v>
      </c>
      <c r="Y45">
        <v>8</v>
      </c>
      <c r="Z45">
        <v>5</v>
      </c>
      <c r="AA45" s="32">
        <f t="shared" si="8"/>
        <v>3</v>
      </c>
    </row>
    <row r="46" spans="1:27" x14ac:dyDescent="0.45">
      <c r="A46">
        <v>6</v>
      </c>
      <c r="B46">
        <v>4</v>
      </c>
      <c r="C46" s="32">
        <f t="shared" si="0"/>
        <v>2</v>
      </c>
      <c r="D46">
        <v>6</v>
      </c>
      <c r="E46">
        <v>4</v>
      </c>
      <c r="F46" s="32">
        <f t="shared" si="1"/>
        <v>2</v>
      </c>
      <c r="G46">
        <v>7</v>
      </c>
      <c r="H46">
        <v>3</v>
      </c>
      <c r="I46" s="32">
        <f t="shared" si="2"/>
        <v>4</v>
      </c>
      <c r="J46">
        <v>8</v>
      </c>
      <c r="K46">
        <v>5</v>
      </c>
      <c r="L46" s="32">
        <f t="shared" si="3"/>
        <v>3</v>
      </c>
      <c r="M46">
        <v>7</v>
      </c>
      <c r="N46">
        <v>4</v>
      </c>
      <c r="O46" s="32">
        <f t="shared" si="4"/>
        <v>3</v>
      </c>
      <c r="P46">
        <v>8</v>
      </c>
      <c r="Q46">
        <v>3</v>
      </c>
      <c r="R46" s="32">
        <f t="shared" si="5"/>
        <v>5</v>
      </c>
      <c r="S46">
        <v>7</v>
      </c>
      <c r="T46">
        <v>2</v>
      </c>
      <c r="U46" s="32">
        <f t="shared" si="6"/>
        <v>5</v>
      </c>
      <c r="V46">
        <v>6</v>
      </c>
      <c r="W46">
        <v>4</v>
      </c>
      <c r="X46" s="32">
        <f t="shared" si="7"/>
        <v>2</v>
      </c>
      <c r="Y46">
        <v>8</v>
      </c>
      <c r="Z46">
        <v>5</v>
      </c>
      <c r="AA46" s="32">
        <f t="shared" si="8"/>
        <v>3</v>
      </c>
    </row>
    <row r="47" spans="1:27" x14ac:dyDescent="0.45">
      <c r="A47">
        <v>6</v>
      </c>
      <c r="B47">
        <v>4</v>
      </c>
      <c r="C47" s="32">
        <f t="shared" si="0"/>
        <v>2</v>
      </c>
      <c r="D47">
        <v>6</v>
      </c>
      <c r="E47">
        <v>5</v>
      </c>
      <c r="F47" s="32">
        <f t="shared" si="1"/>
        <v>1</v>
      </c>
      <c r="G47">
        <v>7</v>
      </c>
      <c r="H47">
        <v>3</v>
      </c>
      <c r="I47" s="32">
        <f t="shared" si="2"/>
        <v>4</v>
      </c>
      <c r="J47">
        <v>8</v>
      </c>
      <c r="K47">
        <v>5</v>
      </c>
      <c r="L47" s="32">
        <f t="shared" si="3"/>
        <v>3</v>
      </c>
      <c r="M47">
        <v>7</v>
      </c>
      <c r="N47">
        <v>4</v>
      </c>
      <c r="O47" s="32">
        <f t="shared" si="4"/>
        <v>3</v>
      </c>
      <c r="P47">
        <v>8</v>
      </c>
      <c r="Q47">
        <v>3</v>
      </c>
      <c r="R47" s="32">
        <f t="shared" si="5"/>
        <v>5</v>
      </c>
      <c r="S47">
        <v>7</v>
      </c>
      <c r="T47">
        <v>2</v>
      </c>
      <c r="U47" s="32">
        <f t="shared" si="6"/>
        <v>5</v>
      </c>
      <c r="V47">
        <v>6</v>
      </c>
      <c r="W47">
        <v>4</v>
      </c>
      <c r="X47" s="32">
        <f t="shared" si="7"/>
        <v>2</v>
      </c>
      <c r="Y47">
        <v>8</v>
      </c>
      <c r="Z47">
        <v>5</v>
      </c>
      <c r="AA47" s="32">
        <f t="shared" si="8"/>
        <v>3</v>
      </c>
    </row>
    <row r="48" spans="1:27" x14ac:dyDescent="0.45">
      <c r="A48">
        <v>6</v>
      </c>
      <c r="B48">
        <v>4</v>
      </c>
      <c r="C48" s="32">
        <f t="shared" si="0"/>
        <v>2</v>
      </c>
      <c r="D48">
        <v>6</v>
      </c>
      <c r="E48">
        <v>5</v>
      </c>
      <c r="F48" s="32">
        <f t="shared" si="1"/>
        <v>1</v>
      </c>
      <c r="G48">
        <v>7</v>
      </c>
      <c r="H48">
        <v>3</v>
      </c>
      <c r="I48" s="32">
        <f t="shared" si="2"/>
        <v>4</v>
      </c>
      <c r="J48">
        <v>8</v>
      </c>
      <c r="K48">
        <v>5</v>
      </c>
      <c r="L48" s="32">
        <f t="shared" si="3"/>
        <v>3</v>
      </c>
      <c r="M48">
        <v>7</v>
      </c>
      <c r="N48">
        <v>4</v>
      </c>
      <c r="O48" s="32">
        <f t="shared" si="4"/>
        <v>3</v>
      </c>
      <c r="P48">
        <v>8</v>
      </c>
      <c r="Q48">
        <v>3</v>
      </c>
      <c r="R48" s="32">
        <f t="shared" si="5"/>
        <v>5</v>
      </c>
      <c r="S48">
        <v>7</v>
      </c>
      <c r="T48">
        <v>2</v>
      </c>
      <c r="U48" s="32">
        <f t="shared" si="6"/>
        <v>5</v>
      </c>
      <c r="V48">
        <v>6</v>
      </c>
      <c r="W48">
        <v>5</v>
      </c>
      <c r="X48" s="32">
        <f t="shared" si="7"/>
        <v>1</v>
      </c>
      <c r="Y48">
        <v>8</v>
      </c>
      <c r="Z48">
        <v>5</v>
      </c>
      <c r="AA48" s="32">
        <f t="shared" si="8"/>
        <v>3</v>
      </c>
    </row>
    <row r="49" spans="1:27" x14ac:dyDescent="0.45">
      <c r="A49">
        <v>6</v>
      </c>
      <c r="B49">
        <v>4</v>
      </c>
      <c r="C49" s="32">
        <f t="shared" si="0"/>
        <v>2</v>
      </c>
      <c r="D49">
        <v>6</v>
      </c>
      <c r="E49">
        <v>5</v>
      </c>
      <c r="F49" s="32">
        <f t="shared" si="1"/>
        <v>1</v>
      </c>
      <c r="G49">
        <v>7</v>
      </c>
      <c r="H49">
        <v>3</v>
      </c>
      <c r="I49" s="32">
        <f t="shared" si="2"/>
        <v>4</v>
      </c>
      <c r="J49">
        <v>8</v>
      </c>
      <c r="K49">
        <v>5</v>
      </c>
      <c r="L49" s="32">
        <f t="shared" si="3"/>
        <v>3</v>
      </c>
      <c r="M49">
        <v>7</v>
      </c>
      <c r="N49">
        <v>4</v>
      </c>
      <c r="O49" s="32">
        <f t="shared" si="4"/>
        <v>3</v>
      </c>
      <c r="P49">
        <v>8</v>
      </c>
      <c r="Q49">
        <v>3</v>
      </c>
      <c r="R49" s="32">
        <f t="shared" si="5"/>
        <v>5</v>
      </c>
      <c r="S49">
        <v>7</v>
      </c>
      <c r="T49">
        <v>2</v>
      </c>
      <c r="U49" s="32">
        <f t="shared" si="6"/>
        <v>5</v>
      </c>
      <c r="V49">
        <v>6</v>
      </c>
      <c r="W49">
        <v>5</v>
      </c>
      <c r="X49" s="32">
        <f t="shared" si="7"/>
        <v>1</v>
      </c>
      <c r="Y49">
        <v>8</v>
      </c>
      <c r="Z49">
        <v>5</v>
      </c>
      <c r="AA49" s="32">
        <f t="shared" si="8"/>
        <v>3</v>
      </c>
    </row>
    <row r="50" spans="1:27" x14ac:dyDescent="0.45">
      <c r="A50">
        <v>6</v>
      </c>
      <c r="B50">
        <v>4</v>
      </c>
      <c r="C50" s="32">
        <f t="shared" si="0"/>
        <v>2</v>
      </c>
      <c r="D50">
        <v>6</v>
      </c>
      <c r="E50">
        <v>5</v>
      </c>
      <c r="F50" s="32">
        <f t="shared" si="1"/>
        <v>1</v>
      </c>
      <c r="G50">
        <v>7</v>
      </c>
      <c r="H50">
        <v>3</v>
      </c>
      <c r="I50" s="32">
        <f t="shared" si="2"/>
        <v>4</v>
      </c>
      <c r="J50">
        <v>8</v>
      </c>
      <c r="K50">
        <v>5</v>
      </c>
      <c r="L50" s="32">
        <f t="shared" si="3"/>
        <v>3</v>
      </c>
      <c r="M50">
        <v>7</v>
      </c>
      <c r="N50">
        <v>4</v>
      </c>
      <c r="O50" s="32">
        <f t="shared" si="4"/>
        <v>3</v>
      </c>
      <c r="P50">
        <v>8</v>
      </c>
      <c r="Q50">
        <v>3</v>
      </c>
      <c r="R50" s="32">
        <f t="shared" si="5"/>
        <v>5</v>
      </c>
      <c r="S50">
        <v>7</v>
      </c>
      <c r="T50">
        <v>3</v>
      </c>
      <c r="U50" s="32">
        <f t="shared" si="6"/>
        <v>4</v>
      </c>
      <c r="V50">
        <v>6</v>
      </c>
      <c r="W50">
        <v>5</v>
      </c>
      <c r="X50" s="32">
        <f t="shared" si="7"/>
        <v>1</v>
      </c>
      <c r="Y50">
        <v>8</v>
      </c>
      <c r="Z50">
        <v>5</v>
      </c>
      <c r="AA50" s="32">
        <f t="shared" si="8"/>
        <v>3</v>
      </c>
    </row>
    <row r="51" spans="1:27" x14ac:dyDescent="0.45">
      <c r="A51">
        <v>6</v>
      </c>
      <c r="B51">
        <v>4</v>
      </c>
      <c r="C51" s="32">
        <f t="shared" si="0"/>
        <v>2</v>
      </c>
      <c r="D51">
        <v>6</v>
      </c>
      <c r="E51">
        <v>5</v>
      </c>
      <c r="F51" s="32">
        <f t="shared" si="1"/>
        <v>1</v>
      </c>
      <c r="G51">
        <v>7</v>
      </c>
      <c r="H51">
        <v>3</v>
      </c>
      <c r="I51" s="32">
        <f t="shared" si="2"/>
        <v>4</v>
      </c>
      <c r="J51">
        <v>8</v>
      </c>
      <c r="K51">
        <v>5</v>
      </c>
      <c r="L51" s="32">
        <f t="shared" si="3"/>
        <v>3</v>
      </c>
      <c r="M51">
        <v>7</v>
      </c>
      <c r="N51">
        <v>4</v>
      </c>
      <c r="O51" s="32">
        <f t="shared" si="4"/>
        <v>3</v>
      </c>
      <c r="P51">
        <v>8</v>
      </c>
      <c r="Q51">
        <v>3</v>
      </c>
      <c r="R51" s="32">
        <f t="shared" si="5"/>
        <v>5</v>
      </c>
      <c r="S51">
        <v>7</v>
      </c>
      <c r="T51">
        <v>3</v>
      </c>
      <c r="U51" s="32">
        <f t="shared" si="6"/>
        <v>4</v>
      </c>
      <c r="V51">
        <v>6</v>
      </c>
      <c r="W51">
        <v>5</v>
      </c>
      <c r="X51" s="32">
        <f t="shared" si="7"/>
        <v>1</v>
      </c>
      <c r="Y51">
        <v>8</v>
      </c>
      <c r="Z51">
        <v>5</v>
      </c>
      <c r="AA51" s="32">
        <f t="shared" si="8"/>
        <v>3</v>
      </c>
    </row>
    <row r="52" spans="1:27" x14ac:dyDescent="0.45">
      <c r="A52">
        <v>6</v>
      </c>
      <c r="B52">
        <v>4</v>
      </c>
      <c r="C52" s="32">
        <f t="shared" si="0"/>
        <v>2</v>
      </c>
      <c r="D52">
        <v>6</v>
      </c>
      <c r="E52">
        <v>5</v>
      </c>
      <c r="F52" s="32">
        <f t="shared" si="1"/>
        <v>1</v>
      </c>
      <c r="G52">
        <v>7</v>
      </c>
      <c r="H52">
        <v>3</v>
      </c>
      <c r="I52" s="32">
        <f t="shared" si="2"/>
        <v>4</v>
      </c>
      <c r="J52">
        <v>8</v>
      </c>
      <c r="K52">
        <v>5</v>
      </c>
      <c r="L52" s="32">
        <f t="shared" si="3"/>
        <v>3</v>
      </c>
      <c r="M52">
        <v>7</v>
      </c>
      <c r="N52">
        <v>4</v>
      </c>
      <c r="O52" s="32">
        <f t="shared" si="4"/>
        <v>3</v>
      </c>
      <c r="P52">
        <v>8</v>
      </c>
      <c r="Q52">
        <v>3</v>
      </c>
      <c r="R52" s="32">
        <f t="shared" si="5"/>
        <v>5</v>
      </c>
      <c r="S52">
        <v>7</v>
      </c>
      <c r="T52">
        <v>3</v>
      </c>
      <c r="U52" s="32">
        <f t="shared" si="6"/>
        <v>4</v>
      </c>
      <c r="V52">
        <v>6</v>
      </c>
      <c r="W52">
        <v>5</v>
      </c>
      <c r="X52" s="32">
        <f t="shared" si="7"/>
        <v>1</v>
      </c>
      <c r="Y52">
        <v>8</v>
      </c>
      <c r="Z52">
        <v>5</v>
      </c>
      <c r="AA52" s="32">
        <f t="shared" si="8"/>
        <v>3</v>
      </c>
    </row>
    <row r="53" spans="1:27" x14ac:dyDescent="0.45">
      <c r="A53">
        <v>6</v>
      </c>
      <c r="B53">
        <v>4</v>
      </c>
      <c r="C53" s="32">
        <f t="shared" si="0"/>
        <v>2</v>
      </c>
      <c r="D53">
        <v>6</v>
      </c>
      <c r="E53">
        <v>5</v>
      </c>
      <c r="F53" s="32">
        <f t="shared" si="1"/>
        <v>1</v>
      </c>
      <c r="G53">
        <v>7</v>
      </c>
      <c r="H53">
        <v>3</v>
      </c>
      <c r="I53" s="32">
        <f t="shared" si="2"/>
        <v>4</v>
      </c>
      <c r="J53">
        <v>8</v>
      </c>
      <c r="K53">
        <v>5</v>
      </c>
      <c r="L53" s="32">
        <f t="shared" si="3"/>
        <v>3</v>
      </c>
      <c r="M53">
        <v>7</v>
      </c>
      <c r="N53">
        <v>4</v>
      </c>
      <c r="O53" s="32">
        <f t="shared" si="4"/>
        <v>3</v>
      </c>
      <c r="P53">
        <v>8</v>
      </c>
      <c r="Q53">
        <v>3</v>
      </c>
      <c r="R53" s="32">
        <f t="shared" si="5"/>
        <v>5</v>
      </c>
      <c r="S53">
        <v>7</v>
      </c>
      <c r="T53">
        <v>3</v>
      </c>
      <c r="U53" s="32">
        <f t="shared" si="6"/>
        <v>4</v>
      </c>
      <c r="V53">
        <v>6</v>
      </c>
      <c r="W53">
        <v>5</v>
      </c>
      <c r="X53" s="32">
        <f t="shared" si="7"/>
        <v>1</v>
      </c>
      <c r="Y53">
        <v>8</v>
      </c>
      <c r="Z53">
        <v>5</v>
      </c>
      <c r="AA53" s="32">
        <f t="shared" si="8"/>
        <v>3</v>
      </c>
    </row>
    <row r="54" spans="1:27" x14ac:dyDescent="0.45">
      <c r="A54">
        <v>6</v>
      </c>
      <c r="B54">
        <v>4</v>
      </c>
      <c r="C54" s="32">
        <f t="shared" si="0"/>
        <v>2</v>
      </c>
      <c r="D54">
        <v>6</v>
      </c>
      <c r="E54">
        <v>5</v>
      </c>
      <c r="F54" s="32">
        <f t="shared" si="1"/>
        <v>1</v>
      </c>
      <c r="G54">
        <v>7</v>
      </c>
      <c r="H54">
        <v>3</v>
      </c>
      <c r="I54" s="32">
        <f t="shared" si="2"/>
        <v>4</v>
      </c>
      <c r="J54">
        <v>8</v>
      </c>
      <c r="K54">
        <v>5</v>
      </c>
      <c r="L54" s="32">
        <f t="shared" si="3"/>
        <v>3</v>
      </c>
      <c r="M54">
        <v>7</v>
      </c>
      <c r="N54">
        <v>4</v>
      </c>
      <c r="O54" s="32">
        <f t="shared" si="4"/>
        <v>3</v>
      </c>
      <c r="P54">
        <v>8</v>
      </c>
      <c r="Q54">
        <v>3</v>
      </c>
      <c r="R54" s="32">
        <f t="shared" si="5"/>
        <v>5</v>
      </c>
      <c r="S54">
        <v>7</v>
      </c>
      <c r="T54">
        <v>3</v>
      </c>
      <c r="U54" s="32">
        <f t="shared" si="6"/>
        <v>4</v>
      </c>
      <c r="V54">
        <v>6</v>
      </c>
      <c r="W54">
        <v>5</v>
      </c>
      <c r="X54" s="32">
        <f t="shared" si="7"/>
        <v>1</v>
      </c>
      <c r="Y54">
        <v>8</v>
      </c>
      <c r="Z54">
        <v>5</v>
      </c>
      <c r="AA54" s="32">
        <f t="shared" si="8"/>
        <v>3</v>
      </c>
    </row>
    <row r="55" spans="1:27" x14ac:dyDescent="0.45">
      <c r="A55">
        <v>6</v>
      </c>
      <c r="B55">
        <v>4</v>
      </c>
      <c r="C55" s="32">
        <f t="shared" si="0"/>
        <v>2</v>
      </c>
      <c r="D55">
        <v>6</v>
      </c>
      <c r="E55">
        <v>5</v>
      </c>
      <c r="F55" s="32">
        <f t="shared" si="1"/>
        <v>1</v>
      </c>
      <c r="G55">
        <v>7</v>
      </c>
      <c r="H55">
        <v>3</v>
      </c>
      <c r="I55" s="32">
        <f t="shared" si="2"/>
        <v>4</v>
      </c>
      <c r="J55">
        <v>8</v>
      </c>
      <c r="K55">
        <v>5</v>
      </c>
      <c r="L55" s="32">
        <f t="shared" si="3"/>
        <v>3</v>
      </c>
      <c r="M55">
        <v>7</v>
      </c>
      <c r="N55">
        <v>4</v>
      </c>
      <c r="O55" s="32">
        <f t="shared" si="4"/>
        <v>3</v>
      </c>
      <c r="P55">
        <v>8</v>
      </c>
      <c r="Q55">
        <v>4</v>
      </c>
      <c r="R55" s="32">
        <f t="shared" si="5"/>
        <v>4</v>
      </c>
      <c r="S55">
        <v>7</v>
      </c>
      <c r="T55">
        <v>3</v>
      </c>
      <c r="U55" s="32">
        <f t="shared" si="6"/>
        <v>4</v>
      </c>
      <c r="V55">
        <v>6</v>
      </c>
      <c r="W55">
        <v>5</v>
      </c>
      <c r="X55" s="32">
        <f t="shared" si="7"/>
        <v>1</v>
      </c>
      <c r="Y55">
        <v>8</v>
      </c>
      <c r="Z55">
        <v>5</v>
      </c>
      <c r="AA55" s="32">
        <f t="shared" si="8"/>
        <v>3</v>
      </c>
    </row>
    <row r="56" spans="1:27" x14ac:dyDescent="0.45">
      <c r="A56">
        <v>6</v>
      </c>
      <c r="B56">
        <v>4</v>
      </c>
      <c r="C56" s="32">
        <f t="shared" si="0"/>
        <v>2</v>
      </c>
      <c r="D56">
        <v>6</v>
      </c>
      <c r="E56">
        <v>5</v>
      </c>
      <c r="F56" s="32">
        <f t="shared" si="1"/>
        <v>1</v>
      </c>
      <c r="G56">
        <v>7</v>
      </c>
      <c r="H56">
        <v>3</v>
      </c>
      <c r="I56" s="32">
        <f t="shared" si="2"/>
        <v>4</v>
      </c>
      <c r="J56">
        <v>8</v>
      </c>
      <c r="K56">
        <v>5</v>
      </c>
      <c r="L56" s="32">
        <f t="shared" si="3"/>
        <v>3</v>
      </c>
      <c r="M56">
        <v>7</v>
      </c>
      <c r="N56">
        <v>4</v>
      </c>
      <c r="O56" s="32">
        <f t="shared" si="4"/>
        <v>3</v>
      </c>
      <c r="P56">
        <v>8</v>
      </c>
      <c r="Q56">
        <v>4</v>
      </c>
      <c r="R56" s="32">
        <f t="shared" si="5"/>
        <v>4</v>
      </c>
      <c r="S56">
        <v>7</v>
      </c>
      <c r="T56">
        <v>3</v>
      </c>
      <c r="U56" s="32">
        <f t="shared" si="6"/>
        <v>4</v>
      </c>
      <c r="V56">
        <v>6</v>
      </c>
      <c r="W56">
        <v>5</v>
      </c>
      <c r="X56" s="32">
        <f t="shared" si="7"/>
        <v>1</v>
      </c>
      <c r="Y56">
        <v>8</v>
      </c>
      <c r="Z56">
        <v>5</v>
      </c>
      <c r="AA56" s="32">
        <f t="shared" si="8"/>
        <v>3</v>
      </c>
    </row>
    <row r="57" spans="1:27" x14ac:dyDescent="0.45">
      <c r="A57">
        <v>6</v>
      </c>
      <c r="B57">
        <v>5</v>
      </c>
      <c r="C57" s="32">
        <f t="shared" si="0"/>
        <v>1</v>
      </c>
      <c r="D57">
        <v>6</v>
      </c>
      <c r="E57">
        <v>5</v>
      </c>
      <c r="F57" s="32">
        <f t="shared" si="1"/>
        <v>1</v>
      </c>
      <c r="G57">
        <v>7</v>
      </c>
      <c r="H57">
        <v>3</v>
      </c>
      <c r="I57" s="32">
        <f t="shared" si="2"/>
        <v>4</v>
      </c>
      <c r="J57">
        <v>8</v>
      </c>
      <c r="K57">
        <v>5</v>
      </c>
      <c r="L57" s="32">
        <f t="shared" si="3"/>
        <v>3</v>
      </c>
      <c r="M57">
        <v>7</v>
      </c>
      <c r="N57">
        <v>4</v>
      </c>
      <c r="O57" s="32">
        <f t="shared" si="4"/>
        <v>3</v>
      </c>
      <c r="P57">
        <v>8</v>
      </c>
      <c r="Q57">
        <v>4</v>
      </c>
      <c r="R57" s="32">
        <f t="shared" si="5"/>
        <v>4</v>
      </c>
      <c r="S57">
        <v>7</v>
      </c>
      <c r="T57">
        <v>3</v>
      </c>
      <c r="U57" s="32">
        <f t="shared" si="6"/>
        <v>4</v>
      </c>
      <c r="V57">
        <v>6</v>
      </c>
      <c r="W57">
        <v>5</v>
      </c>
      <c r="X57" s="32">
        <f t="shared" si="7"/>
        <v>1</v>
      </c>
      <c r="Y57">
        <v>8</v>
      </c>
      <c r="Z57">
        <v>5</v>
      </c>
      <c r="AA57" s="32">
        <f t="shared" si="8"/>
        <v>3</v>
      </c>
    </row>
    <row r="58" spans="1:27" x14ac:dyDescent="0.45">
      <c r="A58">
        <v>6</v>
      </c>
      <c r="B58">
        <v>5</v>
      </c>
      <c r="C58" s="32">
        <f t="shared" si="0"/>
        <v>1</v>
      </c>
      <c r="D58">
        <v>6</v>
      </c>
      <c r="E58">
        <v>5</v>
      </c>
      <c r="F58" s="32">
        <f t="shared" si="1"/>
        <v>1</v>
      </c>
      <c r="G58">
        <v>7</v>
      </c>
      <c r="H58">
        <v>3</v>
      </c>
      <c r="I58" s="32">
        <f t="shared" si="2"/>
        <v>4</v>
      </c>
      <c r="J58">
        <v>8</v>
      </c>
      <c r="K58">
        <v>5</v>
      </c>
      <c r="L58" s="32">
        <f t="shared" si="3"/>
        <v>3</v>
      </c>
      <c r="M58">
        <v>7</v>
      </c>
      <c r="N58">
        <v>4</v>
      </c>
      <c r="O58" s="32">
        <f t="shared" si="4"/>
        <v>3</v>
      </c>
      <c r="P58">
        <v>8</v>
      </c>
      <c r="Q58">
        <v>4</v>
      </c>
      <c r="R58" s="32">
        <f t="shared" si="5"/>
        <v>4</v>
      </c>
      <c r="S58">
        <v>7</v>
      </c>
      <c r="T58">
        <v>3</v>
      </c>
      <c r="U58" s="32">
        <f t="shared" si="6"/>
        <v>4</v>
      </c>
      <c r="V58">
        <v>6</v>
      </c>
      <c r="W58">
        <v>5</v>
      </c>
      <c r="X58" s="32">
        <f t="shared" si="7"/>
        <v>1</v>
      </c>
      <c r="Y58">
        <v>8</v>
      </c>
      <c r="Z58">
        <v>5</v>
      </c>
      <c r="AA58" s="32">
        <f t="shared" si="8"/>
        <v>3</v>
      </c>
    </row>
    <row r="59" spans="1:27" x14ac:dyDescent="0.45">
      <c r="A59">
        <v>6</v>
      </c>
      <c r="B59">
        <v>5</v>
      </c>
      <c r="C59" s="32">
        <f t="shared" si="0"/>
        <v>1</v>
      </c>
      <c r="D59">
        <v>6</v>
      </c>
      <c r="E59">
        <v>5</v>
      </c>
      <c r="F59" s="32">
        <f t="shared" si="1"/>
        <v>1</v>
      </c>
      <c r="G59">
        <v>7</v>
      </c>
      <c r="H59">
        <v>3</v>
      </c>
      <c r="I59" s="32">
        <f t="shared" si="2"/>
        <v>4</v>
      </c>
      <c r="J59">
        <v>8</v>
      </c>
      <c r="K59">
        <v>5</v>
      </c>
      <c r="L59" s="32">
        <f t="shared" si="3"/>
        <v>3</v>
      </c>
      <c r="M59">
        <v>7</v>
      </c>
      <c r="N59">
        <v>5</v>
      </c>
      <c r="O59" s="32">
        <f t="shared" si="4"/>
        <v>2</v>
      </c>
      <c r="P59">
        <v>8</v>
      </c>
      <c r="Q59">
        <v>4</v>
      </c>
      <c r="R59" s="32">
        <f t="shared" si="5"/>
        <v>4</v>
      </c>
      <c r="S59">
        <v>7</v>
      </c>
      <c r="T59">
        <v>4</v>
      </c>
      <c r="U59" s="32">
        <f t="shared" si="6"/>
        <v>3</v>
      </c>
      <c r="V59">
        <v>6</v>
      </c>
      <c r="W59">
        <v>5</v>
      </c>
      <c r="X59" s="32">
        <f t="shared" si="7"/>
        <v>1</v>
      </c>
      <c r="Y59">
        <v>8</v>
      </c>
      <c r="Z59">
        <v>5</v>
      </c>
      <c r="AA59" s="32">
        <f t="shared" si="8"/>
        <v>3</v>
      </c>
    </row>
    <row r="60" spans="1:27" x14ac:dyDescent="0.45">
      <c r="A60">
        <v>6</v>
      </c>
      <c r="B60">
        <v>5</v>
      </c>
      <c r="C60" s="32">
        <f t="shared" si="0"/>
        <v>1</v>
      </c>
      <c r="D60">
        <v>6</v>
      </c>
      <c r="E60">
        <v>5</v>
      </c>
      <c r="F60" s="32">
        <f t="shared" si="1"/>
        <v>1</v>
      </c>
      <c r="G60">
        <v>7</v>
      </c>
      <c r="H60">
        <v>4</v>
      </c>
      <c r="I60" s="32">
        <f t="shared" si="2"/>
        <v>3</v>
      </c>
      <c r="J60">
        <v>8</v>
      </c>
      <c r="K60">
        <v>5</v>
      </c>
      <c r="L60" s="32">
        <f t="shared" si="3"/>
        <v>3</v>
      </c>
      <c r="M60">
        <v>7</v>
      </c>
      <c r="N60">
        <v>5</v>
      </c>
      <c r="O60" s="32">
        <f t="shared" si="4"/>
        <v>2</v>
      </c>
      <c r="P60">
        <v>8</v>
      </c>
      <c r="Q60">
        <v>4</v>
      </c>
      <c r="R60" s="32">
        <f t="shared" si="5"/>
        <v>4</v>
      </c>
      <c r="S60">
        <v>7</v>
      </c>
      <c r="T60">
        <v>4</v>
      </c>
      <c r="U60" s="32">
        <f t="shared" si="6"/>
        <v>3</v>
      </c>
      <c r="V60">
        <v>6</v>
      </c>
      <c r="W60">
        <v>5</v>
      </c>
      <c r="X60" s="32">
        <f t="shared" si="7"/>
        <v>1</v>
      </c>
      <c r="Y60">
        <v>8</v>
      </c>
      <c r="Z60">
        <v>5</v>
      </c>
      <c r="AA60" s="32">
        <f t="shared" si="8"/>
        <v>3</v>
      </c>
    </row>
    <row r="61" spans="1:27" x14ac:dyDescent="0.45">
      <c r="A61">
        <v>6</v>
      </c>
      <c r="B61">
        <v>5</v>
      </c>
      <c r="C61" s="32">
        <f t="shared" si="0"/>
        <v>1</v>
      </c>
      <c r="D61">
        <v>6</v>
      </c>
      <c r="E61">
        <v>5</v>
      </c>
      <c r="F61" s="32">
        <f t="shared" si="1"/>
        <v>1</v>
      </c>
      <c r="G61">
        <v>7</v>
      </c>
      <c r="H61">
        <v>4</v>
      </c>
      <c r="I61" s="32">
        <f t="shared" si="2"/>
        <v>3</v>
      </c>
      <c r="J61">
        <v>8</v>
      </c>
      <c r="K61">
        <v>5</v>
      </c>
      <c r="L61" s="32">
        <f t="shared" si="3"/>
        <v>3</v>
      </c>
      <c r="M61">
        <v>7</v>
      </c>
      <c r="N61">
        <v>5</v>
      </c>
      <c r="O61" s="32">
        <f t="shared" si="4"/>
        <v>2</v>
      </c>
      <c r="P61">
        <v>8</v>
      </c>
      <c r="Q61">
        <v>4</v>
      </c>
      <c r="R61" s="32">
        <f t="shared" si="5"/>
        <v>4</v>
      </c>
      <c r="S61">
        <v>7</v>
      </c>
      <c r="T61">
        <v>4</v>
      </c>
      <c r="U61" s="32">
        <f t="shared" si="6"/>
        <v>3</v>
      </c>
      <c r="V61">
        <v>6</v>
      </c>
      <c r="W61">
        <v>5</v>
      </c>
      <c r="X61" s="32">
        <f t="shared" si="7"/>
        <v>1</v>
      </c>
      <c r="Y61">
        <v>8</v>
      </c>
      <c r="Z61">
        <v>5</v>
      </c>
      <c r="AA61" s="32">
        <f t="shared" si="8"/>
        <v>3</v>
      </c>
    </row>
    <row r="62" spans="1:27" x14ac:dyDescent="0.45">
      <c r="A62">
        <v>6</v>
      </c>
      <c r="B62">
        <v>5</v>
      </c>
      <c r="C62" s="32">
        <f t="shared" si="0"/>
        <v>1</v>
      </c>
      <c r="D62">
        <v>6</v>
      </c>
      <c r="E62">
        <v>5</v>
      </c>
      <c r="F62" s="32">
        <f t="shared" si="1"/>
        <v>1</v>
      </c>
      <c r="G62">
        <v>7</v>
      </c>
      <c r="H62">
        <v>4</v>
      </c>
      <c r="I62" s="32">
        <f t="shared" si="2"/>
        <v>3</v>
      </c>
      <c r="J62">
        <v>8</v>
      </c>
      <c r="K62">
        <v>5</v>
      </c>
      <c r="L62" s="32">
        <f t="shared" si="3"/>
        <v>3</v>
      </c>
      <c r="M62">
        <v>7</v>
      </c>
      <c r="N62">
        <v>5</v>
      </c>
      <c r="O62" s="32">
        <f t="shared" si="4"/>
        <v>2</v>
      </c>
      <c r="P62">
        <v>8</v>
      </c>
      <c r="Q62">
        <v>4</v>
      </c>
      <c r="R62" s="32">
        <f t="shared" si="5"/>
        <v>4</v>
      </c>
      <c r="S62">
        <v>7</v>
      </c>
      <c r="T62">
        <v>4</v>
      </c>
      <c r="U62" s="32">
        <f t="shared" si="6"/>
        <v>3</v>
      </c>
      <c r="V62">
        <v>6</v>
      </c>
      <c r="W62">
        <v>5</v>
      </c>
      <c r="X62" s="32">
        <f t="shared" si="7"/>
        <v>1</v>
      </c>
      <c r="Y62">
        <v>8</v>
      </c>
      <c r="Z62">
        <v>5</v>
      </c>
      <c r="AA62" s="32">
        <f t="shared" si="8"/>
        <v>3</v>
      </c>
    </row>
    <row r="63" spans="1:27" x14ac:dyDescent="0.45">
      <c r="A63">
        <v>6</v>
      </c>
      <c r="B63">
        <v>5</v>
      </c>
      <c r="C63" s="32">
        <f t="shared" si="0"/>
        <v>1</v>
      </c>
      <c r="D63">
        <v>6</v>
      </c>
      <c r="E63">
        <v>5</v>
      </c>
      <c r="F63" s="32">
        <f t="shared" si="1"/>
        <v>1</v>
      </c>
      <c r="G63">
        <v>7</v>
      </c>
      <c r="H63">
        <v>4</v>
      </c>
      <c r="I63" s="32">
        <f t="shared" si="2"/>
        <v>3</v>
      </c>
      <c r="J63">
        <v>8</v>
      </c>
      <c r="K63">
        <v>5</v>
      </c>
      <c r="L63" s="32">
        <f t="shared" si="3"/>
        <v>3</v>
      </c>
      <c r="M63">
        <v>7</v>
      </c>
      <c r="N63">
        <v>5</v>
      </c>
      <c r="O63" s="32">
        <f t="shared" si="4"/>
        <v>2</v>
      </c>
      <c r="P63">
        <v>8</v>
      </c>
      <c r="Q63">
        <v>4</v>
      </c>
      <c r="R63" s="32">
        <f t="shared" si="5"/>
        <v>4</v>
      </c>
      <c r="S63">
        <v>7</v>
      </c>
      <c r="T63">
        <v>4</v>
      </c>
      <c r="U63" s="32">
        <f t="shared" si="6"/>
        <v>3</v>
      </c>
      <c r="V63">
        <v>6</v>
      </c>
      <c r="W63">
        <v>5</v>
      </c>
      <c r="X63" s="32">
        <f t="shared" si="7"/>
        <v>1</v>
      </c>
      <c r="Y63">
        <v>8</v>
      </c>
      <c r="Z63">
        <v>5</v>
      </c>
      <c r="AA63" s="32">
        <f t="shared" si="8"/>
        <v>3</v>
      </c>
    </row>
    <row r="64" spans="1:27" x14ac:dyDescent="0.45">
      <c r="A64">
        <v>6</v>
      </c>
      <c r="B64">
        <v>5</v>
      </c>
      <c r="C64" s="32">
        <f t="shared" si="0"/>
        <v>1</v>
      </c>
      <c r="D64">
        <v>6</v>
      </c>
      <c r="E64">
        <v>5</v>
      </c>
      <c r="F64" s="32">
        <f t="shared" si="1"/>
        <v>1</v>
      </c>
      <c r="G64">
        <v>7</v>
      </c>
      <c r="H64">
        <v>4</v>
      </c>
      <c r="I64" s="32">
        <f t="shared" si="2"/>
        <v>3</v>
      </c>
      <c r="J64">
        <v>8</v>
      </c>
      <c r="K64">
        <v>5</v>
      </c>
      <c r="L64" s="32">
        <f t="shared" si="3"/>
        <v>3</v>
      </c>
      <c r="M64">
        <v>7</v>
      </c>
      <c r="N64">
        <v>5</v>
      </c>
      <c r="O64" s="32">
        <f t="shared" si="4"/>
        <v>2</v>
      </c>
      <c r="P64">
        <v>8</v>
      </c>
      <c r="Q64">
        <v>4</v>
      </c>
      <c r="R64" s="32">
        <f t="shared" si="5"/>
        <v>4</v>
      </c>
      <c r="S64">
        <v>7</v>
      </c>
      <c r="T64">
        <v>4</v>
      </c>
      <c r="U64" s="32">
        <f t="shared" si="6"/>
        <v>3</v>
      </c>
      <c r="V64">
        <v>6</v>
      </c>
      <c r="W64">
        <v>5</v>
      </c>
      <c r="X64" s="32">
        <f t="shared" si="7"/>
        <v>1</v>
      </c>
      <c r="Y64">
        <v>8</v>
      </c>
      <c r="Z64">
        <v>5</v>
      </c>
      <c r="AA64" s="32">
        <f t="shared" si="8"/>
        <v>3</v>
      </c>
    </row>
    <row r="65" spans="1:27" x14ac:dyDescent="0.45">
      <c r="A65">
        <v>6</v>
      </c>
      <c r="B65">
        <v>5</v>
      </c>
      <c r="C65" s="32">
        <f t="shared" si="0"/>
        <v>1</v>
      </c>
      <c r="D65">
        <v>6</v>
      </c>
      <c r="E65">
        <v>5</v>
      </c>
      <c r="F65" s="32">
        <f t="shared" si="1"/>
        <v>1</v>
      </c>
      <c r="G65">
        <v>7</v>
      </c>
      <c r="H65">
        <v>4</v>
      </c>
      <c r="I65" s="32">
        <f t="shared" si="2"/>
        <v>3</v>
      </c>
      <c r="J65">
        <v>8</v>
      </c>
      <c r="K65">
        <v>5</v>
      </c>
      <c r="L65" s="32">
        <f t="shared" si="3"/>
        <v>3</v>
      </c>
      <c r="M65">
        <v>7</v>
      </c>
      <c r="N65">
        <v>5</v>
      </c>
      <c r="O65" s="32">
        <f t="shared" si="4"/>
        <v>2</v>
      </c>
      <c r="P65">
        <v>8</v>
      </c>
      <c r="Q65">
        <v>4</v>
      </c>
      <c r="R65" s="32">
        <f t="shared" si="5"/>
        <v>4</v>
      </c>
      <c r="S65">
        <v>7</v>
      </c>
      <c r="T65">
        <v>4</v>
      </c>
      <c r="U65" s="32">
        <f t="shared" si="6"/>
        <v>3</v>
      </c>
      <c r="V65">
        <v>6</v>
      </c>
      <c r="W65">
        <v>5</v>
      </c>
      <c r="X65" s="32">
        <f t="shared" si="7"/>
        <v>1</v>
      </c>
      <c r="Y65">
        <v>8</v>
      </c>
      <c r="Z65">
        <v>5</v>
      </c>
      <c r="AA65" s="32">
        <f t="shared" si="8"/>
        <v>3</v>
      </c>
    </row>
    <row r="66" spans="1:27" x14ac:dyDescent="0.45">
      <c r="A66">
        <v>6</v>
      </c>
      <c r="B66">
        <v>5</v>
      </c>
      <c r="C66" s="32">
        <f t="shared" si="0"/>
        <v>1</v>
      </c>
      <c r="D66">
        <v>6</v>
      </c>
      <c r="E66">
        <v>5</v>
      </c>
      <c r="F66" s="32">
        <f t="shared" si="1"/>
        <v>1</v>
      </c>
      <c r="G66">
        <v>7</v>
      </c>
      <c r="H66">
        <v>4</v>
      </c>
      <c r="I66" s="32">
        <f t="shared" si="2"/>
        <v>3</v>
      </c>
      <c r="J66">
        <v>8</v>
      </c>
      <c r="K66">
        <v>5</v>
      </c>
      <c r="L66" s="32">
        <f t="shared" si="3"/>
        <v>3</v>
      </c>
      <c r="M66">
        <v>7</v>
      </c>
      <c r="N66">
        <v>5</v>
      </c>
      <c r="O66" s="32">
        <f t="shared" si="4"/>
        <v>2</v>
      </c>
      <c r="P66">
        <v>8</v>
      </c>
      <c r="Q66">
        <v>4</v>
      </c>
      <c r="R66" s="32">
        <f t="shared" si="5"/>
        <v>4</v>
      </c>
      <c r="S66">
        <v>7</v>
      </c>
      <c r="T66">
        <v>4</v>
      </c>
      <c r="U66" s="32">
        <f t="shared" si="6"/>
        <v>3</v>
      </c>
      <c r="V66">
        <v>6</v>
      </c>
      <c r="W66">
        <v>5</v>
      </c>
      <c r="X66" s="32">
        <f t="shared" si="7"/>
        <v>1</v>
      </c>
      <c r="Y66">
        <v>8</v>
      </c>
      <c r="Z66">
        <v>5</v>
      </c>
      <c r="AA66" s="32">
        <f t="shared" si="8"/>
        <v>3</v>
      </c>
    </row>
    <row r="67" spans="1:27" x14ac:dyDescent="0.45">
      <c r="A67">
        <v>6</v>
      </c>
      <c r="B67">
        <v>5</v>
      </c>
      <c r="C67" s="32">
        <f t="shared" ref="C67:C130" si="9">ABS(B67-A67)</f>
        <v>1</v>
      </c>
      <c r="D67">
        <v>6</v>
      </c>
      <c r="E67">
        <v>5</v>
      </c>
      <c r="F67" s="32">
        <f t="shared" ref="F67:F130" si="10">ABS(E67-D67)</f>
        <v>1</v>
      </c>
      <c r="G67">
        <v>7</v>
      </c>
      <c r="H67">
        <v>4</v>
      </c>
      <c r="I67" s="32">
        <f t="shared" ref="I67:I130" si="11">ABS(H67-G67)</f>
        <v>3</v>
      </c>
      <c r="J67">
        <v>8</v>
      </c>
      <c r="K67">
        <v>5</v>
      </c>
      <c r="L67" s="32">
        <f t="shared" ref="L67:L130" si="12">ABS(K67-J67)</f>
        <v>3</v>
      </c>
      <c r="M67">
        <v>7</v>
      </c>
      <c r="N67">
        <v>5</v>
      </c>
      <c r="O67" s="32">
        <f t="shared" ref="O67:O130" si="13">ABS(N67-M67)</f>
        <v>2</v>
      </c>
      <c r="P67">
        <v>8</v>
      </c>
      <c r="Q67">
        <v>4</v>
      </c>
      <c r="R67" s="32">
        <f t="shared" ref="R67:R130" si="14">ABS(Q67-P67)</f>
        <v>4</v>
      </c>
      <c r="S67">
        <v>7</v>
      </c>
      <c r="T67">
        <v>4</v>
      </c>
      <c r="U67" s="32">
        <f t="shared" ref="U67:U130" si="15">ABS(T67-S67)</f>
        <v>3</v>
      </c>
      <c r="V67">
        <v>6</v>
      </c>
      <c r="W67">
        <v>5</v>
      </c>
      <c r="X67" s="32">
        <f t="shared" ref="X67:X130" si="16">ABS(W67-V67)</f>
        <v>1</v>
      </c>
      <c r="Y67">
        <v>8</v>
      </c>
      <c r="Z67">
        <v>5</v>
      </c>
      <c r="AA67" s="32">
        <f t="shared" ref="AA67:AA130" si="17">ABS(Z67-Y67)</f>
        <v>3</v>
      </c>
    </row>
    <row r="68" spans="1:27" x14ac:dyDescent="0.45">
      <c r="A68">
        <v>6</v>
      </c>
      <c r="B68">
        <v>5</v>
      </c>
      <c r="C68" s="32">
        <f t="shared" si="9"/>
        <v>1</v>
      </c>
      <c r="D68">
        <v>6</v>
      </c>
      <c r="E68">
        <v>5</v>
      </c>
      <c r="F68" s="32">
        <f t="shared" si="10"/>
        <v>1</v>
      </c>
      <c r="G68">
        <v>7</v>
      </c>
      <c r="H68">
        <v>4</v>
      </c>
      <c r="I68" s="32">
        <f t="shared" si="11"/>
        <v>3</v>
      </c>
      <c r="J68">
        <v>8</v>
      </c>
      <c r="K68">
        <v>5</v>
      </c>
      <c r="L68" s="32">
        <f t="shared" si="12"/>
        <v>3</v>
      </c>
      <c r="M68">
        <v>7</v>
      </c>
      <c r="N68">
        <v>5</v>
      </c>
      <c r="O68" s="32">
        <f t="shared" si="13"/>
        <v>2</v>
      </c>
      <c r="P68">
        <v>8</v>
      </c>
      <c r="Q68">
        <v>4</v>
      </c>
      <c r="R68" s="32">
        <f t="shared" si="14"/>
        <v>4</v>
      </c>
      <c r="S68">
        <v>7</v>
      </c>
      <c r="T68">
        <v>4</v>
      </c>
      <c r="U68" s="32">
        <f t="shared" si="15"/>
        <v>3</v>
      </c>
      <c r="V68">
        <v>6</v>
      </c>
      <c r="W68">
        <v>5</v>
      </c>
      <c r="X68" s="32">
        <f t="shared" si="16"/>
        <v>1</v>
      </c>
      <c r="Y68">
        <v>8</v>
      </c>
      <c r="Z68">
        <v>5</v>
      </c>
      <c r="AA68" s="32">
        <f t="shared" si="17"/>
        <v>3</v>
      </c>
    </row>
    <row r="69" spans="1:27" x14ac:dyDescent="0.45">
      <c r="A69">
        <v>6</v>
      </c>
      <c r="B69">
        <v>5</v>
      </c>
      <c r="C69" s="32">
        <f t="shared" si="9"/>
        <v>1</v>
      </c>
      <c r="D69">
        <v>6</v>
      </c>
      <c r="E69">
        <v>5</v>
      </c>
      <c r="F69" s="32">
        <f t="shared" si="10"/>
        <v>1</v>
      </c>
      <c r="G69">
        <v>7</v>
      </c>
      <c r="H69">
        <v>4</v>
      </c>
      <c r="I69" s="32">
        <f t="shared" si="11"/>
        <v>3</v>
      </c>
      <c r="J69">
        <v>8</v>
      </c>
      <c r="K69">
        <v>5</v>
      </c>
      <c r="L69" s="32">
        <f t="shared" si="12"/>
        <v>3</v>
      </c>
      <c r="M69">
        <v>7</v>
      </c>
      <c r="N69">
        <v>5</v>
      </c>
      <c r="O69" s="32">
        <f t="shared" si="13"/>
        <v>2</v>
      </c>
      <c r="P69">
        <v>8</v>
      </c>
      <c r="Q69">
        <v>4</v>
      </c>
      <c r="R69" s="32">
        <f t="shared" si="14"/>
        <v>4</v>
      </c>
      <c r="S69">
        <v>7</v>
      </c>
      <c r="T69">
        <v>4</v>
      </c>
      <c r="U69" s="32">
        <f t="shared" si="15"/>
        <v>3</v>
      </c>
      <c r="V69">
        <v>6</v>
      </c>
      <c r="W69">
        <v>5</v>
      </c>
      <c r="X69" s="32">
        <f t="shared" si="16"/>
        <v>1</v>
      </c>
      <c r="Y69">
        <v>8</v>
      </c>
      <c r="Z69">
        <v>5</v>
      </c>
      <c r="AA69" s="32">
        <f t="shared" si="17"/>
        <v>3</v>
      </c>
    </row>
    <row r="70" spans="1:27" x14ac:dyDescent="0.45">
      <c r="A70">
        <v>6</v>
      </c>
      <c r="B70">
        <v>5</v>
      </c>
      <c r="C70" s="32">
        <f t="shared" si="9"/>
        <v>1</v>
      </c>
      <c r="D70">
        <v>6</v>
      </c>
      <c r="E70">
        <v>5</v>
      </c>
      <c r="F70" s="32">
        <f t="shared" si="10"/>
        <v>1</v>
      </c>
      <c r="G70">
        <v>7</v>
      </c>
      <c r="H70">
        <v>4</v>
      </c>
      <c r="I70" s="32">
        <f t="shared" si="11"/>
        <v>3</v>
      </c>
      <c r="J70">
        <v>8</v>
      </c>
      <c r="K70">
        <v>5</v>
      </c>
      <c r="L70" s="32">
        <f t="shared" si="12"/>
        <v>3</v>
      </c>
      <c r="M70">
        <v>7</v>
      </c>
      <c r="N70">
        <v>5</v>
      </c>
      <c r="O70" s="32">
        <f t="shared" si="13"/>
        <v>2</v>
      </c>
      <c r="P70">
        <v>8</v>
      </c>
      <c r="Q70">
        <v>4</v>
      </c>
      <c r="R70" s="32">
        <f t="shared" si="14"/>
        <v>4</v>
      </c>
      <c r="S70">
        <v>7</v>
      </c>
      <c r="T70">
        <v>4</v>
      </c>
      <c r="U70" s="32">
        <f t="shared" si="15"/>
        <v>3</v>
      </c>
      <c r="V70">
        <v>6</v>
      </c>
      <c r="W70">
        <v>5</v>
      </c>
      <c r="X70" s="32">
        <f t="shared" si="16"/>
        <v>1</v>
      </c>
      <c r="Y70">
        <v>8</v>
      </c>
      <c r="Z70">
        <v>5</v>
      </c>
      <c r="AA70" s="32">
        <f t="shared" si="17"/>
        <v>3</v>
      </c>
    </row>
    <row r="71" spans="1:27" x14ac:dyDescent="0.45">
      <c r="A71">
        <v>6</v>
      </c>
      <c r="B71">
        <v>5</v>
      </c>
      <c r="C71" s="32">
        <f t="shared" si="9"/>
        <v>1</v>
      </c>
      <c r="D71">
        <v>6</v>
      </c>
      <c r="E71">
        <v>5</v>
      </c>
      <c r="F71" s="32">
        <f t="shared" si="10"/>
        <v>1</v>
      </c>
      <c r="G71">
        <v>7</v>
      </c>
      <c r="H71">
        <v>4</v>
      </c>
      <c r="I71" s="32">
        <f t="shared" si="11"/>
        <v>3</v>
      </c>
      <c r="J71">
        <v>8</v>
      </c>
      <c r="K71">
        <v>5</v>
      </c>
      <c r="L71" s="32">
        <f t="shared" si="12"/>
        <v>3</v>
      </c>
      <c r="M71">
        <v>7</v>
      </c>
      <c r="N71">
        <v>5</v>
      </c>
      <c r="O71" s="32">
        <f t="shared" si="13"/>
        <v>2</v>
      </c>
      <c r="P71">
        <v>8</v>
      </c>
      <c r="Q71">
        <v>4</v>
      </c>
      <c r="R71" s="32">
        <f t="shared" si="14"/>
        <v>4</v>
      </c>
      <c r="S71">
        <v>7</v>
      </c>
      <c r="T71">
        <v>4</v>
      </c>
      <c r="U71" s="32">
        <f t="shared" si="15"/>
        <v>3</v>
      </c>
      <c r="V71">
        <v>6</v>
      </c>
      <c r="W71">
        <v>5</v>
      </c>
      <c r="X71" s="32">
        <f t="shared" si="16"/>
        <v>1</v>
      </c>
      <c r="Y71">
        <v>8</v>
      </c>
      <c r="Z71">
        <v>5</v>
      </c>
      <c r="AA71" s="32">
        <f t="shared" si="17"/>
        <v>3</v>
      </c>
    </row>
    <row r="72" spans="1:27" x14ac:dyDescent="0.45">
      <c r="A72">
        <v>6</v>
      </c>
      <c r="B72">
        <v>5</v>
      </c>
      <c r="C72" s="32">
        <f t="shared" si="9"/>
        <v>1</v>
      </c>
      <c r="D72">
        <v>6</v>
      </c>
      <c r="E72">
        <v>5</v>
      </c>
      <c r="F72" s="32">
        <f t="shared" si="10"/>
        <v>1</v>
      </c>
      <c r="G72">
        <v>7</v>
      </c>
      <c r="H72">
        <v>4</v>
      </c>
      <c r="I72" s="32">
        <f t="shared" si="11"/>
        <v>3</v>
      </c>
      <c r="J72">
        <v>8</v>
      </c>
      <c r="K72">
        <v>5</v>
      </c>
      <c r="L72" s="32">
        <f t="shared" si="12"/>
        <v>3</v>
      </c>
      <c r="M72">
        <v>7</v>
      </c>
      <c r="N72">
        <v>5</v>
      </c>
      <c r="O72" s="32">
        <f t="shared" si="13"/>
        <v>2</v>
      </c>
      <c r="P72">
        <v>8</v>
      </c>
      <c r="Q72">
        <v>5</v>
      </c>
      <c r="R72" s="32">
        <f t="shared" si="14"/>
        <v>3</v>
      </c>
      <c r="S72">
        <v>7</v>
      </c>
      <c r="T72">
        <v>4</v>
      </c>
      <c r="U72" s="32">
        <f t="shared" si="15"/>
        <v>3</v>
      </c>
      <c r="V72">
        <v>6</v>
      </c>
      <c r="W72">
        <v>5</v>
      </c>
      <c r="X72" s="32">
        <f t="shared" si="16"/>
        <v>1</v>
      </c>
      <c r="Y72">
        <v>8</v>
      </c>
      <c r="Z72">
        <v>5</v>
      </c>
      <c r="AA72" s="32">
        <f t="shared" si="17"/>
        <v>3</v>
      </c>
    </row>
    <row r="73" spans="1:27" x14ac:dyDescent="0.45">
      <c r="A73">
        <v>6</v>
      </c>
      <c r="B73">
        <v>5</v>
      </c>
      <c r="C73" s="32">
        <f t="shared" si="9"/>
        <v>1</v>
      </c>
      <c r="D73">
        <v>6</v>
      </c>
      <c r="E73">
        <v>5</v>
      </c>
      <c r="F73" s="32">
        <f t="shared" si="10"/>
        <v>1</v>
      </c>
      <c r="G73">
        <v>7</v>
      </c>
      <c r="H73">
        <v>4</v>
      </c>
      <c r="I73" s="32">
        <f t="shared" si="11"/>
        <v>3</v>
      </c>
      <c r="J73">
        <v>8</v>
      </c>
      <c r="K73">
        <v>5</v>
      </c>
      <c r="L73" s="32">
        <f t="shared" si="12"/>
        <v>3</v>
      </c>
      <c r="M73">
        <v>7</v>
      </c>
      <c r="N73">
        <v>5</v>
      </c>
      <c r="O73" s="32">
        <f t="shared" si="13"/>
        <v>2</v>
      </c>
      <c r="P73">
        <v>8</v>
      </c>
      <c r="Q73">
        <v>5</v>
      </c>
      <c r="R73" s="32">
        <f t="shared" si="14"/>
        <v>3</v>
      </c>
      <c r="S73">
        <v>7</v>
      </c>
      <c r="T73">
        <v>4</v>
      </c>
      <c r="U73" s="32">
        <f t="shared" si="15"/>
        <v>3</v>
      </c>
      <c r="V73">
        <v>6</v>
      </c>
      <c r="W73">
        <v>5</v>
      </c>
      <c r="X73" s="32">
        <f t="shared" si="16"/>
        <v>1</v>
      </c>
      <c r="Y73">
        <v>8</v>
      </c>
      <c r="Z73">
        <v>5</v>
      </c>
      <c r="AA73" s="32">
        <f t="shared" si="17"/>
        <v>3</v>
      </c>
    </row>
    <row r="74" spans="1:27" x14ac:dyDescent="0.45">
      <c r="A74">
        <v>6</v>
      </c>
      <c r="B74">
        <v>5</v>
      </c>
      <c r="C74" s="32">
        <f t="shared" si="9"/>
        <v>1</v>
      </c>
      <c r="D74">
        <v>6</v>
      </c>
      <c r="E74">
        <v>5</v>
      </c>
      <c r="F74" s="32">
        <f t="shared" si="10"/>
        <v>1</v>
      </c>
      <c r="G74">
        <v>7</v>
      </c>
      <c r="H74">
        <v>4</v>
      </c>
      <c r="I74" s="32">
        <f t="shared" si="11"/>
        <v>3</v>
      </c>
      <c r="J74">
        <v>8</v>
      </c>
      <c r="K74">
        <v>5</v>
      </c>
      <c r="L74" s="32">
        <f t="shared" si="12"/>
        <v>3</v>
      </c>
      <c r="M74">
        <v>7</v>
      </c>
      <c r="N74">
        <v>5</v>
      </c>
      <c r="O74" s="32">
        <f t="shared" si="13"/>
        <v>2</v>
      </c>
      <c r="P74">
        <v>8</v>
      </c>
      <c r="Q74">
        <v>5</v>
      </c>
      <c r="R74" s="32">
        <f t="shared" si="14"/>
        <v>3</v>
      </c>
      <c r="S74">
        <v>7</v>
      </c>
      <c r="T74">
        <v>5</v>
      </c>
      <c r="U74" s="32">
        <f t="shared" si="15"/>
        <v>2</v>
      </c>
      <c r="V74">
        <v>6</v>
      </c>
      <c r="W74">
        <v>5</v>
      </c>
      <c r="X74" s="32">
        <f t="shared" si="16"/>
        <v>1</v>
      </c>
      <c r="Y74">
        <v>8</v>
      </c>
      <c r="Z74">
        <v>5</v>
      </c>
      <c r="AA74" s="32">
        <f t="shared" si="17"/>
        <v>3</v>
      </c>
    </row>
    <row r="75" spans="1:27" x14ac:dyDescent="0.45">
      <c r="A75">
        <v>6</v>
      </c>
      <c r="B75">
        <v>5</v>
      </c>
      <c r="C75" s="32">
        <f t="shared" si="9"/>
        <v>1</v>
      </c>
      <c r="D75">
        <v>6</v>
      </c>
      <c r="E75">
        <v>5</v>
      </c>
      <c r="F75" s="32">
        <f t="shared" si="10"/>
        <v>1</v>
      </c>
      <c r="G75">
        <v>7</v>
      </c>
      <c r="H75">
        <v>4</v>
      </c>
      <c r="I75" s="32">
        <f t="shared" si="11"/>
        <v>3</v>
      </c>
      <c r="J75">
        <v>8</v>
      </c>
      <c r="K75">
        <v>5</v>
      </c>
      <c r="L75" s="32">
        <f t="shared" si="12"/>
        <v>3</v>
      </c>
      <c r="M75">
        <v>7</v>
      </c>
      <c r="N75">
        <v>5</v>
      </c>
      <c r="O75" s="32">
        <f t="shared" si="13"/>
        <v>2</v>
      </c>
      <c r="P75">
        <v>8</v>
      </c>
      <c r="Q75">
        <v>5</v>
      </c>
      <c r="R75" s="32">
        <f t="shared" si="14"/>
        <v>3</v>
      </c>
      <c r="S75">
        <v>7</v>
      </c>
      <c r="T75">
        <v>5</v>
      </c>
      <c r="U75" s="32">
        <f t="shared" si="15"/>
        <v>2</v>
      </c>
      <c r="V75">
        <v>6</v>
      </c>
      <c r="W75">
        <v>5</v>
      </c>
      <c r="X75" s="32">
        <f t="shared" si="16"/>
        <v>1</v>
      </c>
      <c r="Y75">
        <v>8</v>
      </c>
      <c r="Z75">
        <v>5</v>
      </c>
      <c r="AA75" s="32">
        <f t="shared" si="17"/>
        <v>3</v>
      </c>
    </row>
    <row r="76" spans="1:27" x14ac:dyDescent="0.45">
      <c r="A76">
        <v>6</v>
      </c>
      <c r="B76">
        <v>5</v>
      </c>
      <c r="C76" s="32">
        <f t="shared" si="9"/>
        <v>1</v>
      </c>
      <c r="D76">
        <v>6</v>
      </c>
      <c r="E76">
        <v>5</v>
      </c>
      <c r="F76" s="32">
        <f t="shared" si="10"/>
        <v>1</v>
      </c>
      <c r="G76">
        <v>7</v>
      </c>
      <c r="H76">
        <v>4</v>
      </c>
      <c r="I76" s="32">
        <f t="shared" si="11"/>
        <v>3</v>
      </c>
      <c r="J76">
        <v>8</v>
      </c>
      <c r="K76">
        <v>5</v>
      </c>
      <c r="L76" s="32">
        <f t="shared" si="12"/>
        <v>3</v>
      </c>
      <c r="M76">
        <v>7</v>
      </c>
      <c r="N76">
        <v>5</v>
      </c>
      <c r="O76" s="32">
        <f t="shared" si="13"/>
        <v>2</v>
      </c>
      <c r="P76">
        <v>8</v>
      </c>
      <c r="Q76">
        <v>5</v>
      </c>
      <c r="R76" s="32">
        <f t="shared" si="14"/>
        <v>3</v>
      </c>
      <c r="S76">
        <v>7</v>
      </c>
      <c r="T76">
        <v>5</v>
      </c>
      <c r="U76" s="32">
        <f t="shared" si="15"/>
        <v>2</v>
      </c>
      <c r="V76">
        <v>6</v>
      </c>
      <c r="W76">
        <v>5</v>
      </c>
      <c r="X76" s="32">
        <f t="shared" si="16"/>
        <v>1</v>
      </c>
      <c r="Y76">
        <v>8</v>
      </c>
      <c r="Z76">
        <v>5</v>
      </c>
      <c r="AA76" s="32">
        <f t="shared" si="17"/>
        <v>3</v>
      </c>
    </row>
    <row r="77" spans="1:27" x14ac:dyDescent="0.45">
      <c r="A77">
        <v>6</v>
      </c>
      <c r="B77">
        <v>5</v>
      </c>
      <c r="C77" s="32">
        <f t="shared" si="9"/>
        <v>1</v>
      </c>
      <c r="D77">
        <v>6</v>
      </c>
      <c r="E77">
        <v>5</v>
      </c>
      <c r="F77" s="32">
        <f t="shared" si="10"/>
        <v>1</v>
      </c>
      <c r="G77">
        <v>7</v>
      </c>
      <c r="H77">
        <v>4</v>
      </c>
      <c r="I77" s="32">
        <f t="shared" si="11"/>
        <v>3</v>
      </c>
      <c r="J77">
        <v>8</v>
      </c>
      <c r="K77">
        <v>6</v>
      </c>
      <c r="L77" s="32">
        <f t="shared" si="12"/>
        <v>2</v>
      </c>
      <c r="M77">
        <v>7</v>
      </c>
      <c r="N77">
        <v>5</v>
      </c>
      <c r="O77" s="32">
        <f t="shared" si="13"/>
        <v>2</v>
      </c>
      <c r="P77">
        <v>8</v>
      </c>
      <c r="Q77">
        <v>5</v>
      </c>
      <c r="R77" s="32">
        <f t="shared" si="14"/>
        <v>3</v>
      </c>
      <c r="S77">
        <v>7</v>
      </c>
      <c r="T77">
        <v>5</v>
      </c>
      <c r="U77" s="32">
        <f t="shared" si="15"/>
        <v>2</v>
      </c>
      <c r="V77">
        <v>7</v>
      </c>
      <c r="W77">
        <v>5</v>
      </c>
      <c r="X77" s="32">
        <f t="shared" si="16"/>
        <v>2</v>
      </c>
      <c r="Y77">
        <v>8</v>
      </c>
      <c r="Z77">
        <v>5</v>
      </c>
      <c r="AA77" s="32">
        <f t="shared" si="17"/>
        <v>3</v>
      </c>
    </row>
    <row r="78" spans="1:27" x14ac:dyDescent="0.45">
      <c r="A78">
        <v>6</v>
      </c>
      <c r="B78">
        <v>5</v>
      </c>
      <c r="C78" s="32">
        <f t="shared" si="9"/>
        <v>1</v>
      </c>
      <c r="D78">
        <v>6</v>
      </c>
      <c r="E78">
        <v>5</v>
      </c>
      <c r="F78" s="32">
        <f t="shared" si="10"/>
        <v>1</v>
      </c>
      <c r="G78">
        <v>7</v>
      </c>
      <c r="H78">
        <v>4</v>
      </c>
      <c r="I78" s="32">
        <f t="shared" si="11"/>
        <v>3</v>
      </c>
      <c r="J78">
        <v>8</v>
      </c>
      <c r="K78">
        <v>6</v>
      </c>
      <c r="L78" s="32">
        <f t="shared" si="12"/>
        <v>2</v>
      </c>
      <c r="M78">
        <v>7</v>
      </c>
      <c r="N78">
        <v>5</v>
      </c>
      <c r="O78" s="32">
        <f t="shared" si="13"/>
        <v>2</v>
      </c>
      <c r="P78">
        <v>8</v>
      </c>
      <c r="Q78">
        <v>5</v>
      </c>
      <c r="R78" s="32">
        <f t="shared" si="14"/>
        <v>3</v>
      </c>
      <c r="S78">
        <v>7</v>
      </c>
      <c r="T78">
        <v>5</v>
      </c>
      <c r="U78" s="32">
        <f t="shared" si="15"/>
        <v>2</v>
      </c>
      <c r="V78">
        <v>7</v>
      </c>
      <c r="W78">
        <v>5</v>
      </c>
      <c r="X78" s="32">
        <f t="shared" si="16"/>
        <v>2</v>
      </c>
      <c r="Y78">
        <v>8</v>
      </c>
      <c r="Z78">
        <v>5</v>
      </c>
      <c r="AA78" s="32">
        <f t="shared" si="17"/>
        <v>3</v>
      </c>
    </row>
    <row r="79" spans="1:27" x14ac:dyDescent="0.45">
      <c r="A79">
        <v>6</v>
      </c>
      <c r="B79">
        <v>5</v>
      </c>
      <c r="C79" s="32">
        <f t="shared" si="9"/>
        <v>1</v>
      </c>
      <c r="D79">
        <v>6</v>
      </c>
      <c r="E79">
        <v>5</v>
      </c>
      <c r="F79" s="32">
        <f t="shared" si="10"/>
        <v>1</v>
      </c>
      <c r="G79">
        <v>7</v>
      </c>
      <c r="H79">
        <v>4</v>
      </c>
      <c r="I79" s="32">
        <f t="shared" si="11"/>
        <v>3</v>
      </c>
      <c r="J79">
        <v>8</v>
      </c>
      <c r="K79">
        <v>6</v>
      </c>
      <c r="L79" s="32">
        <f t="shared" si="12"/>
        <v>2</v>
      </c>
      <c r="M79">
        <v>7</v>
      </c>
      <c r="N79">
        <v>5</v>
      </c>
      <c r="O79" s="32">
        <f t="shared" si="13"/>
        <v>2</v>
      </c>
      <c r="P79">
        <v>8</v>
      </c>
      <c r="Q79">
        <v>5</v>
      </c>
      <c r="R79" s="32">
        <f t="shared" si="14"/>
        <v>3</v>
      </c>
      <c r="S79">
        <v>7</v>
      </c>
      <c r="T79">
        <v>5</v>
      </c>
      <c r="U79" s="32">
        <f t="shared" si="15"/>
        <v>2</v>
      </c>
      <c r="V79">
        <v>7</v>
      </c>
      <c r="W79">
        <v>5</v>
      </c>
      <c r="X79" s="32">
        <f t="shared" si="16"/>
        <v>2</v>
      </c>
      <c r="Y79">
        <v>8</v>
      </c>
      <c r="Z79">
        <v>5</v>
      </c>
      <c r="AA79" s="32">
        <f t="shared" si="17"/>
        <v>3</v>
      </c>
    </row>
    <row r="80" spans="1:27" x14ac:dyDescent="0.45">
      <c r="A80">
        <v>6</v>
      </c>
      <c r="B80">
        <v>5</v>
      </c>
      <c r="C80" s="32">
        <f t="shared" si="9"/>
        <v>1</v>
      </c>
      <c r="D80">
        <v>6</v>
      </c>
      <c r="E80">
        <v>5</v>
      </c>
      <c r="F80" s="32">
        <f t="shared" si="10"/>
        <v>1</v>
      </c>
      <c r="G80">
        <v>7</v>
      </c>
      <c r="H80">
        <v>4</v>
      </c>
      <c r="I80" s="32">
        <f t="shared" si="11"/>
        <v>3</v>
      </c>
      <c r="J80">
        <v>8</v>
      </c>
      <c r="K80">
        <v>6</v>
      </c>
      <c r="L80" s="32">
        <f t="shared" si="12"/>
        <v>2</v>
      </c>
      <c r="M80">
        <v>7</v>
      </c>
      <c r="N80">
        <v>5</v>
      </c>
      <c r="O80" s="32">
        <f t="shared" si="13"/>
        <v>2</v>
      </c>
      <c r="P80">
        <v>8</v>
      </c>
      <c r="Q80">
        <v>5</v>
      </c>
      <c r="R80" s="32">
        <f t="shared" si="14"/>
        <v>3</v>
      </c>
      <c r="S80">
        <v>7</v>
      </c>
      <c r="T80">
        <v>5</v>
      </c>
      <c r="U80" s="32">
        <f t="shared" si="15"/>
        <v>2</v>
      </c>
      <c r="V80">
        <v>7</v>
      </c>
      <c r="W80">
        <v>5</v>
      </c>
      <c r="X80" s="32">
        <f t="shared" si="16"/>
        <v>2</v>
      </c>
      <c r="Y80">
        <v>8</v>
      </c>
      <c r="Z80">
        <v>5</v>
      </c>
      <c r="AA80" s="32">
        <f t="shared" si="17"/>
        <v>3</v>
      </c>
    </row>
    <row r="81" spans="1:27" x14ac:dyDescent="0.45">
      <c r="A81">
        <v>6</v>
      </c>
      <c r="B81">
        <v>5</v>
      </c>
      <c r="C81" s="32">
        <f t="shared" si="9"/>
        <v>1</v>
      </c>
      <c r="D81">
        <v>6</v>
      </c>
      <c r="E81">
        <v>5</v>
      </c>
      <c r="F81" s="32">
        <f t="shared" si="10"/>
        <v>1</v>
      </c>
      <c r="G81">
        <v>7</v>
      </c>
      <c r="H81">
        <v>4</v>
      </c>
      <c r="I81" s="32">
        <f t="shared" si="11"/>
        <v>3</v>
      </c>
      <c r="J81">
        <v>8</v>
      </c>
      <c r="K81">
        <v>6</v>
      </c>
      <c r="L81" s="32">
        <f t="shared" si="12"/>
        <v>2</v>
      </c>
      <c r="M81">
        <v>7</v>
      </c>
      <c r="N81">
        <v>5</v>
      </c>
      <c r="O81" s="32">
        <f t="shared" si="13"/>
        <v>2</v>
      </c>
      <c r="P81">
        <v>8</v>
      </c>
      <c r="Q81">
        <v>5</v>
      </c>
      <c r="R81" s="32">
        <f t="shared" si="14"/>
        <v>3</v>
      </c>
      <c r="S81">
        <v>7</v>
      </c>
      <c r="T81">
        <v>5</v>
      </c>
      <c r="U81" s="32">
        <f t="shared" si="15"/>
        <v>2</v>
      </c>
      <c r="V81">
        <v>7</v>
      </c>
      <c r="W81">
        <v>5</v>
      </c>
      <c r="X81" s="32">
        <f t="shared" si="16"/>
        <v>2</v>
      </c>
      <c r="Y81">
        <v>8</v>
      </c>
      <c r="Z81">
        <v>5</v>
      </c>
      <c r="AA81" s="32">
        <f t="shared" si="17"/>
        <v>3</v>
      </c>
    </row>
    <row r="82" spans="1:27" x14ac:dyDescent="0.45">
      <c r="A82">
        <v>6</v>
      </c>
      <c r="B82">
        <v>5</v>
      </c>
      <c r="C82" s="32">
        <f t="shared" si="9"/>
        <v>1</v>
      </c>
      <c r="D82">
        <v>6</v>
      </c>
      <c r="E82">
        <v>5</v>
      </c>
      <c r="F82" s="32">
        <f t="shared" si="10"/>
        <v>1</v>
      </c>
      <c r="G82">
        <v>7</v>
      </c>
      <c r="H82">
        <v>4</v>
      </c>
      <c r="I82" s="32">
        <f t="shared" si="11"/>
        <v>3</v>
      </c>
      <c r="J82">
        <v>8</v>
      </c>
      <c r="K82">
        <v>6</v>
      </c>
      <c r="L82" s="32">
        <f t="shared" si="12"/>
        <v>2</v>
      </c>
      <c r="M82">
        <v>7</v>
      </c>
      <c r="N82">
        <v>5</v>
      </c>
      <c r="O82" s="32">
        <f t="shared" si="13"/>
        <v>2</v>
      </c>
      <c r="P82">
        <v>8</v>
      </c>
      <c r="Q82">
        <v>5</v>
      </c>
      <c r="R82" s="32">
        <f t="shared" si="14"/>
        <v>3</v>
      </c>
      <c r="S82">
        <v>7</v>
      </c>
      <c r="T82">
        <v>5</v>
      </c>
      <c r="U82" s="32">
        <f t="shared" si="15"/>
        <v>2</v>
      </c>
      <c r="V82">
        <v>7</v>
      </c>
      <c r="W82">
        <v>5</v>
      </c>
      <c r="X82" s="32">
        <f t="shared" si="16"/>
        <v>2</v>
      </c>
      <c r="Y82">
        <v>8</v>
      </c>
      <c r="Z82">
        <v>5</v>
      </c>
      <c r="AA82" s="32">
        <f t="shared" si="17"/>
        <v>3</v>
      </c>
    </row>
    <row r="83" spans="1:27" x14ac:dyDescent="0.45">
      <c r="A83">
        <v>6</v>
      </c>
      <c r="B83">
        <v>5</v>
      </c>
      <c r="C83" s="32">
        <f t="shared" si="9"/>
        <v>1</v>
      </c>
      <c r="D83">
        <v>6</v>
      </c>
      <c r="E83">
        <v>5</v>
      </c>
      <c r="F83" s="32">
        <f t="shared" si="10"/>
        <v>1</v>
      </c>
      <c r="G83">
        <v>7</v>
      </c>
      <c r="H83">
        <v>4</v>
      </c>
      <c r="I83" s="32">
        <f t="shared" si="11"/>
        <v>3</v>
      </c>
      <c r="J83">
        <v>8</v>
      </c>
      <c r="K83">
        <v>6</v>
      </c>
      <c r="L83" s="32">
        <f t="shared" si="12"/>
        <v>2</v>
      </c>
      <c r="M83">
        <v>7</v>
      </c>
      <c r="N83">
        <v>5</v>
      </c>
      <c r="O83" s="32">
        <f t="shared" si="13"/>
        <v>2</v>
      </c>
      <c r="P83">
        <v>8</v>
      </c>
      <c r="Q83">
        <v>5</v>
      </c>
      <c r="R83" s="32">
        <f t="shared" si="14"/>
        <v>3</v>
      </c>
      <c r="S83">
        <v>7</v>
      </c>
      <c r="T83">
        <v>5</v>
      </c>
      <c r="U83" s="32">
        <f t="shared" si="15"/>
        <v>2</v>
      </c>
      <c r="V83">
        <v>7</v>
      </c>
      <c r="W83">
        <v>5</v>
      </c>
      <c r="X83" s="32">
        <f t="shared" si="16"/>
        <v>2</v>
      </c>
      <c r="Y83">
        <v>8</v>
      </c>
      <c r="Z83">
        <v>5</v>
      </c>
      <c r="AA83" s="32">
        <f t="shared" si="17"/>
        <v>3</v>
      </c>
    </row>
    <row r="84" spans="1:27" x14ac:dyDescent="0.45">
      <c r="A84">
        <v>6</v>
      </c>
      <c r="B84">
        <v>5</v>
      </c>
      <c r="C84" s="32">
        <f t="shared" si="9"/>
        <v>1</v>
      </c>
      <c r="D84">
        <v>6</v>
      </c>
      <c r="E84">
        <v>5</v>
      </c>
      <c r="F84" s="32">
        <f t="shared" si="10"/>
        <v>1</v>
      </c>
      <c r="G84">
        <v>7</v>
      </c>
      <c r="H84">
        <v>4</v>
      </c>
      <c r="I84" s="32">
        <f t="shared" si="11"/>
        <v>3</v>
      </c>
      <c r="J84">
        <v>8</v>
      </c>
      <c r="K84">
        <v>6</v>
      </c>
      <c r="L84" s="32">
        <f t="shared" si="12"/>
        <v>2</v>
      </c>
      <c r="M84">
        <v>7</v>
      </c>
      <c r="N84">
        <v>5</v>
      </c>
      <c r="O84" s="32">
        <f t="shared" si="13"/>
        <v>2</v>
      </c>
      <c r="P84">
        <v>8</v>
      </c>
      <c r="Q84">
        <v>5</v>
      </c>
      <c r="R84" s="32">
        <f t="shared" si="14"/>
        <v>3</v>
      </c>
      <c r="S84">
        <v>7</v>
      </c>
      <c r="T84">
        <v>5</v>
      </c>
      <c r="U84" s="32">
        <f t="shared" si="15"/>
        <v>2</v>
      </c>
      <c r="V84">
        <v>7</v>
      </c>
      <c r="W84">
        <v>5</v>
      </c>
      <c r="X84" s="32">
        <f t="shared" si="16"/>
        <v>2</v>
      </c>
      <c r="Y84">
        <v>8</v>
      </c>
      <c r="Z84">
        <v>5</v>
      </c>
      <c r="AA84" s="32">
        <f t="shared" si="17"/>
        <v>3</v>
      </c>
    </row>
    <row r="85" spans="1:27" x14ac:dyDescent="0.45">
      <c r="A85">
        <v>6</v>
      </c>
      <c r="B85">
        <v>5</v>
      </c>
      <c r="C85" s="32">
        <f t="shared" si="9"/>
        <v>1</v>
      </c>
      <c r="D85">
        <v>6</v>
      </c>
      <c r="E85">
        <v>5</v>
      </c>
      <c r="F85" s="32">
        <f t="shared" si="10"/>
        <v>1</v>
      </c>
      <c r="G85">
        <v>8</v>
      </c>
      <c r="H85">
        <v>5</v>
      </c>
      <c r="I85" s="32">
        <f t="shared" si="11"/>
        <v>3</v>
      </c>
      <c r="J85">
        <v>8</v>
      </c>
      <c r="K85">
        <v>6</v>
      </c>
      <c r="L85" s="32">
        <f t="shared" si="12"/>
        <v>2</v>
      </c>
      <c r="M85">
        <v>7</v>
      </c>
      <c r="N85">
        <v>5</v>
      </c>
      <c r="O85" s="32">
        <f t="shared" si="13"/>
        <v>2</v>
      </c>
      <c r="P85">
        <v>8</v>
      </c>
      <c r="Q85">
        <v>5</v>
      </c>
      <c r="R85" s="32">
        <f t="shared" si="14"/>
        <v>3</v>
      </c>
      <c r="S85">
        <v>7</v>
      </c>
      <c r="T85">
        <v>5</v>
      </c>
      <c r="U85" s="32">
        <f t="shared" si="15"/>
        <v>2</v>
      </c>
      <c r="V85">
        <v>7</v>
      </c>
      <c r="W85">
        <v>5</v>
      </c>
      <c r="X85" s="32">
        <f t="shared" si="16"/>
        <v>2</v>
      </c>
      <c r="Y85">
        <v>8</v>
      </c>
      <c r="Z85">
        <v>5</v>
      </c>
      <c r="AA85" s="32">
        <f t="shared" si="17"/>
        <v>3</v>
      </c>
    </row>
    <row r="86" spans="1:27" x14ac:dyDescent="0.45">
      <c r="A86">
        <v>6</v>
      </c>
      <c r="B86">
        <v>5</v>
      </c>
      <c r="C86" s="32">
        <f t="shared" si="9"/>
        <v>1</v>
      </c>
      <c r="D86">
        <v>6</v>
      </c>
      <c r="E86">
        <v>5</v>
      </c>
      <c r="F86" s="32">
        <f t="shared" si="10"/>
        <v>1</v>
      </c>
      <c r="G86">
        <v>8</v>
      </c>
      <c r="H86">
        <v>5</v>
      </c>
      <c r="I86" s="32">
        <f t="shared" si="11"/>
        <v>3</v>
      </c>
      <c r="J86">
        <v>8</v>
      </c>
      <c r="K86">
        <v>6</v>
      </c>
      <c r="L86" s="32">
        <f t="shared" si="12"/>
        <v>2</v>
      </c>
      <c r="M86">
        <v>7</v>
      </c>
      <c r="N86">
        <v>5</v>
      </c>
      <c r="O86" s="32">
        <f t="shared" si="13"/>
        <v>2</v>
      </c>
      <c r="P86">
        <v>8</v>
      </c>
      <c r="Q86">
        <v>5</v>
      </c>
      <c r="R86" s="32">
        <f t="shared" si="14"/>
        <v>3</v>
      </c>
      <c r="S86">
        <v>7</v>
      </c>
      <c r="T86">
        <v>5</v>
      </c>
      <c r="U86" s="32">
        <f t="shared" si="15"/>
        <v>2</v>
      </c>
      <c r="V86">
        <v>7</v>
      </c>
      <c r="W86">
        <v>5</v>
      </c>
      <c r="X86" s="32">
        <f t="shared" si="16"/>
        <v>2</v>
      </c>
      <c r="Y86">
        <v>8</v>
      </c>
      <c r="Z86">
        <v>5</v>
      </c>
      <c r="AA86" s="32">
        <f t="shared" si="17"/>
        <v>3</v>
      </c>
    </row>
    <row r="87" spans="1:27" x14ac:dyDescent="0.45">
      <c r="A87">
        <v>6</v>
      </c>
      <c r="B87">
        <v>5</v>
      </c>
      <c r="C87" s="32">
        <f t="shared" si="9"/>
        <v>1</v>
      </c>
      <c r="D87">
        <v>6</v>
      </c>
      <c r="E87">
        <v>5</v>
      </c>
      <c r="F87" s="32">
        <f t="shared" si="10"/>
        <v>1</v>
      </c>
      <c r="G87">
        <v>8</v>
      </c>
      <c r="H87">
        <v>5</v>
      </c>
      <c r="I87" s="32">
        <f t="shared" si="11"/>
        <v>3</v>
      </c>
      <c r="J87">
        <v>8</v>
      </c>
      <c r="K87">
        <v>6</v>
      </c>
      <c r="L87" s="32">
        <f t="shared" si="12"/>
        <v>2</v>
      </c>
      <c r="M87">
        <v>7</v>
      </c>
      <c r="N87">
        <v>5</v>
      </c>
      <c r="O87" s="32">
        <f t="shared" si="13"/>
        <v>2</v>
      </c>
      <c r="P87">
        <v>8</v>
      </c>
      <c r="Q87">
        <v>5</v>
      </c>
      <c r="R87" s="32">
        <f t="shared" si="14"/>
        <v>3</v>
      </c>
      <c r="S87">
        <v>7</v>
      </c>
      <c r="T87">
        <v>5</v>
      </c>
      <c r="U87" s="32">
        <f t="shared" si="15"/>
        <v>2</v>
      </c>
      <c r="V87">
        <v>7</v>
      </c>
      <c r="W87">
        <v>5</v>
      </c>
      <c r="X87" s="32">
        <f t="shared" si="16"/>
        <v>2</v>
      </c>
      <c r="Y87">
        <v>8</v>
      </c>
      <c r="Z87">
        <v>5</v>
      </c>
      <c r="AA87" s="32">
        <f t="shared" si="17"/>
        <v>3</v>
      </c>
    </row>
    <row r="88" spans="1:27" x14ac:dyDescent="0.45">
      <c r="A88">
        <v>6</v>
      </c>
      <c r="B88">
        <v>5</v>
      </c>
      <c r="C88" s="32">
        <f t="shared" si="9"/>
        <v>1</v>
      </c>
      <c r="D88">
        <v>6</v>
      </c>
      <c r="E88">
        <v>5</v>
      </c>
      <c r="F88" s="32">
        <f t="shared" si="10"/>
        <v>1</v>
      </c>
      <c r="G88">
        <v>8</v>
      </c>
      <c r="H88">
        <v>5</v>
      </c>
      <c r="I88" s="32">
        <f t="shared" si="11"/>
        <v>3</v>
      </c>
      <c r="J88">
        <v>8</v>
      </c>
      <c r="K88">
        <v>6</v>
      </c>
      <c r="L88" s="32">
        <f t="shared" si="12"/>
        <v>2</v>
      </c>
      <c r="M88">
        <v>7</v>
      </c>
      <c r="N88">
        <v>5</v>
      </c>
      <c r="O88" s="32">
        <f t="shared" si="13"/>
        <v>2</v>
      </c>
      <c r="P88">
        <v>8</v>
      </c>
      <c r="Q88">
        <v>5</v>
      </c>
      <c r="R88" s="32">
        <f t="shared" si="14"/>
        <v>3</v>
      </c>
      <c r="S88">
        <v>7</v>
      </c>
      <c r="T88">
        <v>5</v>
      </c>
      <c r="U88" s="32">
        <f t="shared" si="15"/>
        <v>2</v>
      </c>
      <c r="V88">
        <v>7</v>
      </c>
      <c r="W88">
        <v>5</v>
      </c>
      <c r="X88" s="32">
        <f t="shared" si="16"/>
        <v>2</v>
      </c>
      <c r="Y88">
        <v>8</v>
      </c>
      <c r="Z88">
        <v>5</v>
      </c>
      <c r="AA88" s="32">
        <f t="shared" si="17"/>
        <v>3</v>
      </c>
    </row>
    <row r="89" spans="1:27" x14ac:dyDescent="0.45">
      <c r="A89">
        <v>6</v>
      </c>
      <c r="B89">
        <v>5</v>
      </c>
      <c r="C89" s="32">
        <f t="shared" si="9"/>
        <v>1</v>
      </c>
      <c r="D89">
        <v>6</v>
      </c>
      <c r="E89">
        <v>5</v>
      </c>
      <c r="F89" s="32">
        <f t="shared" si="10"/>
        <v>1</v>
      </c>
      <c r="G89">
        <v>8</v>
      </c>
      <c r="H89">
        <v>5</v>
      </c>
      <c r="I89" s="32">
        <f t="shared" si="11"/>
        <v>3</v>
      </c>
      <c r="J89">
        <v>8</v>
      </c>
      <c r="K89">
        <v>6</v>
      </c>
      <c r="L89" s="32">
        <f t="shared" si="12"/>
        <v>2</v>
      </c>
      <c r="M89">
        <v>7</v>
      </c>
      <c r="N89">
        <v>5</v>
      </c>
      <c r="O89" s="32">
        <f t="shared" si="13"/>
        <v>2</v>
      </c>
      <c r="P89">
        <v>8</v>
      </c>
      <c r="Q89">
        <v>5</v>
      </c>
      <c r="R89" s="32">
        <f t="shared" si="14"/>
        <v>3</v>
      </c>
      <c r="S89">
        <v>7</v>
      </c>
      <c r="T89">
        <v>5</v>
      </c>
      <c r="U89" s="32">
        <f t="shared" si="15"/>
        <v>2</v>
      </c>
      <c r="V89">
        <v>7</v>
      </c>
      <c r="W89">
        <v>5</v>
      </c>
      <c r="X89" s="32">
        <f t="shared" si="16"/>
        <v>2</v>
      </c>
      <c r="Y89">
        <v>8</v>
      </c>
      <c r="Z89">
        <v>5</v>
      </c>
      <c r="AA89" s="32">
        <f t="shared" si="17"/>
        <v>3</v>
      </c>
    </row>
    <row r="90" spans="1:27" x14ac:dyDescent="0.45">
      <c r="A90">
        <v>6</v>
      </c>
      <c r="B90">
        <v>5</v>
      </c>
      <c r="C90" s="32">
        <f t="shared" si="9"/>
        <v>1</v>
      </c>
      <c r="D90">
        <v>6</v>
      </c>
      <c r="E90">
        <v>5</v>
      </c>
      <c r="F90" s="32">
        <f t="shared" si="10"/>
        <v>1</v>
      </c>
      <c r="G90">
        <v>8</v>
      </c>
      <c r="H90">
        <v>5</v>
      </c>
      <c r="I90" s="32">
        <f t="shared" si="11"/>
        <v>3</v>
      </c>
      <c r="J90">
        <v>8</v>
      </c>
      <c r="K90">
        <v>6</v>
      </c>
      <c r="L90" s="32">
        <f t="shared" si="12"/>
        <v>2</v>
      </c>
      <c r="M90">
        <v>7</v>
      </c>
      <c r="N90">
        <v>5</v>
      </c>
      <c r="O90" s="32">
        <f t="shared" si="13"/>
        <v>2</v>
      </c>
      <c r="P90">
        <v>8</v>
      </c>
      <c r="Q90">
        <v>5</v>
      </c>
      <c r="R90" s="32">
        <f t="shared" si="14"/>
        <v>3</v>
      </c>
      <c r="S90">
        <v>7</v>
      </c>
      <c r="T90">
        <v>5</v>
      </c>
      <c r="U90" s="32">
        <f t="shared" si="15"/>
        <v>2</v>
      </c>
      <c r="V90">
        <v>7</v>
      </c>
      <c r="W90">
        <v>5</v>
      </c>
      <c r="X90" s="32">
        <f t="shared" si="16"/>
        <v>2</v>
      </c>
      <c r="Y90">
        <v>8</v>
      </c>
      <c r="Z90">
        <v>5</v>
      </c>
      <c r="AA90" s="32">
        <f t="shared" si="17"/>
        <v>3</v>
      </c>
    </row>
    <row r="91" spans="1:27" x14ac:dyDescent="0.45">
      <c r="A91">
        <v>6</v>
      </c>
      <c r="B91">
        <v>5</v>
      </c>
      <c r="C91" s="32">
        <f t="shared" si="9"/>
        <v>1</v>
      </c>
      <c r="D91">
        <v>6</v>
      </c>
      <c r="E91">
        <v>5</v>
      </c>
      <c r="F91" s="32">
        <f t="shared" si="10"/>
        <v>1</v>
      </c>
      <c r="G91">
        <v>8</v>
      </c>
      <c r="H91">
        <v>5</v>
      </c>
      <c r="I91" s="32">
        <f t="shared" si="11"/>
        <v>3</v>
      </c>
      <c r="J91">
        <v>8</v>
      </c>
      <c r="K91">
        <v>6</v>
      </c>
      <c r="L91" s="32">
        <f t="shared" si="12"/>
        <v>2</v>
      </c>
      <c r="M91">
        <v>7</v>
      </c>
      <c r="N91">
        <v>5</v>
      </c>
      <c r="O91" s="32">
        <f t="shared" si="13"/>
        <v>2</v>
      </c>
      <c r="P91">
        <v>8</v>
      </c>
      <c r="Q91">
        <v>5</v>
      </c>
      <c r="R91" s="32">
        <f t="shared" si="14"/>
        <v>3</v>
      </c>
      <c r="S91">
        <v>7</v>
      </c>
      <c r="T91">
        <v>5</v>
      </c>
      <c r="U91" s="32">
        <f t="shared" si="15"/>
        <v>2</v>
      </c>
      <c r="V91">
        <v>7</v>
      </c>
      <c r="W91">
        <v>5</v>
      </c>
      <c r="X91" s="32">
        <f t="shared" si="16"/>
        <v>2</v>
      </c>
      <c r="Y91">
        <v>8</v>
      </c>
      <c r="Z91">
        <v>5</v>
      </c>
      <c r="AA91" s="32">
        <f t="shared" si="17"/>
        <v>3</v>
      </c>
    </row>
    <row r="92" spans="1:27" x14ac:dyDescent="0.45">
      <c r="A92">
        <v>6</v>
      </c>
      <c r="B92">
        <v>5</v>
      </c>
      <c r="C92" s="32">
        <f t="shared" si="9"/>
        <v>1</v>
      </c>
      <c r="D92">
        <v>6</v>
      </c>
      <c r="E92">
        <v>6</v>
      </c>
      <c r="F92" s="32">
        <f t="shared" si="10"/>
        <v>0</v>
      </c>
      <c r="G92">
        <v>8</v>
      </c>
      <c r="H92">
        <v>5</v>
      </c>
      <c r="I92" s="32">
        <f t="shared" si="11"/>
        <v>3</v>
      </c>
      <c r="J92">
        <v>8</v>
      </c>
      <c r="K92">
        <v>6</v>
      </c>
      <c r="L92" s="32">
        <f t="shared" si="12"/>
        <v>2</v>
      </c>
      <c r="M92">
        <v>7</v>
      </c>
      <c r="N92">
        <v>5</v>
      </c>
      <c r="O92" s="32">
        <f t="shared" si="13"/>
        <v>2</v>
      </c>
      <c r="P92">
        <v>8</v>
      </c>
      <c r="Q92">
        <v>5</v>
      </c>
      <c r="R92" s="32">
        <f t="shared" si="14"/>
        <v>3</v>
      </c>
      <c r="S92">
        <v>7</v>
      </c>
      <c r="T92">
        <v>5</v>
      </c>
      <c r="U92" s="32">
        <f t="shared" si="15"/>
        <v>2</v>
      </c>
      <c r="V92">
        <v>7</v>
      </c>
      <c r="W92">
        <v>5</v>
      </c>
      <c r="X92" s="32">
        <f t="shared" si="16"/>
        <v>2</v>
      </c>
      <c r="Y92">
        <v>8</v>
      </c>
      <c r="Z92">
        <v>5</v>
      </c>
      <c r="AA92" s="32">
        <f t="shared" si="17"/>
        <v>3</v>
      </c>
    </row>
    <row r="93" spans="1:27" x14ac:dyDescent="0.45">
      <c r="A93">
        <v>6</v>
      </c>
      <c r="B93">
        <v>5</v>
      </c>
      <c r="C93" s="32">
        <f t="shared" si="9"/>
        <v>1</v>
      </c>
      <c r="D93">
        <v>6</v>
      </c>
      <c r="E93">
        <v>6</v>
      </c>
      <c r="F93" s="32">
        <f t="shared" si="10"/>
        <v>0</v>
      </c>
      <c r="G93">
        <v>8</v>
      </c>
      <c r="H93">
        <v>5</v>
      </c>
      <c r="I93" s="32">
        <f t="shared" si="11"/>
        <v>3</v>
      </c>
      <c r="J93">
        <v>8</v>
      </c>
      <c r="K93">
        <v>6</v>
      </c>
      <c r="L93" s="32">
        <f t="shared" si="12"/>
        <v>2</v>
      </c>
      <c r="M93">
        <v>7</v>
      </c>
      <c r="N93">
        <v>5</v>
      </c>
      <c r="O93" s="32">
        <f t="shared" si="13"/>
        <v>2</v>
      </c>
      <c r="P93">
        <v>8</v>
      </c>
      <c r="Q93">
        <v>5</v>
      </c>
      <c r="R93" s="32">
        <f t="shared" si="14"/>
        <v>3</v>
      </c>
      <c r="S93">
        <v>7</v>
      </c>
      <c r="T93">
        <v>5</v>
      </c>
      <c r="U93" s="32">
        <f t="shared" si="15"/>
        <v>2</v>
      </c>
      <c r="V93">
        <v>7</v>
      </c>
      <c r="W93">
        <v>5</v>
      </c>
      <c r="X93" s="32">
        <f t="shared" si="16"/>
        <v>2</v>
      </c>
      <c r="Y93">
        <v>8</v>
      </c>
      <c r="Z93">
        <v>5</v>
      </c>
      <c r="AA93" s="32">
        <f t="shared" si="17"/>
        <v>3</v>
      </c>
    </row>
    <row r="94" spans="1:27" x14ac:dyDescent="0.45">
      <c r="A94">
        <v>6</v>
      </c>
      <c r="B94">
        <v>5</v>
      </c>
      <c r="C94" s="32">
        <f t="shared" si="9"/>
        <v>1</v>
      </c>
      <c r="D94">
        <v>6</v>
      </c>
      <c r="E94">
        <v>6</v>
      </c>
      <c r="F94" s="32">
        <f t="shared" si="10"/>
        <v>0</v>
      </c>
      <c r="G94">
        <v>8</v>
      </c>
      <c r="H94">
        <v>5</v>
      </c>
      <c r="I94" s="32">
        <f t="shared" si="11"/>
        <v>3</v>
      </c>
      <c r="J94">
        <v>8</v>
      </c>
      <c r="K94">
        <v>6</v>
      </c>
      <c r="L94" s="32">
        <f t="shared" si="12"/>
        <v>2</v>
      </c>
      <c r="M94">
        <v>7</v>
      </c>
      <c r="N94">
        <v>5</v>
      </c>
      <c r="O94" s="32">
        <f t="shared" si="13"/>
        <v>2</v>
      </c>
      <c r="P94">
        <v>8</v>
      </c>
      <c r="Q94">
        <v>5</v>
      </c>
      <c r="R94" s="32">
        <f t="shared" si="14"/>
        <v>3</v>
      </c>
      <c r="S94">
        <v>7</v>
      </c>
      <c r="T94">
        <v>5</v>
      </c>
      <c r="U94" s="32">
        <f t="shared" si="15"/>
        <v>2</v>
      </c>
      <c r="V94">
        <v>7</v>
      </c>
      <c r="W94">
        <v>5</v>
      </c>
      <c r="X94" s="32">
        <f t="shared" si="16"/>
        <v>2</v>
      </c>
      <c r="Y94">
        <v>8</v>
      </c>
      <c r="Z94">
        <v>5</v>
      </c>
      <c r="AA94" s="32">
        <f t="shared" si="17"/>
        <v>3</v>
      </c>
    </row>
    <row r="95" spans="1:27" x14ac:dyDescent="0.45">
      <c r="A95">
        <v>6</v>
      </c>
      <c r="B95">
        <v>5</v>
      </c>
      <c r="C95" s="32">
        <f t="shared" si="9"/>
        <v>1</v>
      </c>
      <c r="D95">
        <v>6</v>
      </c>
      <c r="E95">
        <v>6</v>
      </c>
      <c r="F95" s="32">
        <f t="shared" si="10"/>
        <v>0</v>
      </c>
      <c r="G95">
        <v>8</v>
      </c>
      <c r="H95">
        <v>5</v>
      </c>
      <c r="I95" s="32">
        <f t="shared" si="11"/>
        <v>3</v>
      </c>
      <c r="J95">
        <v>8</v>
      </c>
      <c r="K95">
        <v>6</v>
      </c>
      <c r="L95" s="32">
        <f t="shared" si="12"/>
        <v>2</v>
      </c>
      <c r="M95">
        <v>7</v>
      </c>
      <c r="N95">
        <v>5</v>
      </c>
      <c r="O95" s="32">
        <f t="shared" si="13"/>
        <v>2</v>
      </c>
      <c r="P95">
        <v>8</v>
      </c>
      <c r="Q95">
        <v>5</v>
      </c>
      <c r="R95" s="32">
        <f t="shared" si="14"/>
        <v>3</v>
      </c>
      <c r="S95">
        <v>7</v>
      </c>
      <c r="T95">
        <v>5</v>
      </c>
      <c r="U95" s="32">
        <f t="shared" si="15"/>
        <v>2</v>
      </c>
      <c r="V95">
        <v>7</v>
      </c>
      <c r="W95">
        <v>5</v>
      </c>
      <c r="X95" s="32">
        <f t="shared" si="16"/>
        <v>2</v>
      </c>
      <c r="Y95">
        <v>8</v>
      </c>
      <c r="Z95">
        <v>5</v>
      </c>
      <c r="AA95" s="32">
        <f t="shared" si="17"/>
        <v>3</v>
      </c>
    </row>
    <row r="96" spans="1:27" x14ac:dyDescent="0.45">
      <c r="A96">
        <v>6</v>
      </c>
      <c r="B96">
        <v>6</v>
      </c>
      <c r="C96" s="32">
        <f t="shared" si="9"/>
        <v>0</v>
      </c>
      <c r="D96">
        <v>6</v>
      </c>
      <c r="E96">
        <v>6</v>
      </c>
      <c r="F96" s="32">
        <f t="shared" si="10"/>
        <v>0</v>
      </c>
      <c r="G96">
        <v>8</v>
      </c>
      <c r="H96">
        <v>5</v>
      </c>
      <c r="I96" s="32">
        <f t="shared" si="11"/>
        <v>3</v>
      </c>
      <c r="J96">
        <v>8</v>
      </c>
      <c r="K96">
        <v>6</v>
      </c>
      <c r="L96" s="32">
        <f t="shared" si="12"/>
        <v>2</v>
      </c>
      <c r="M96">
        <v>7</v>
      </c>
      <c r="N96">
        <v>5</v>
      </c>
      <c r="O96" s="32">
        <f t="shared" si="13"/>
        <v>2</v>
      </c>
      <c r="P96">
        <v>8</v>
      </c>
      <c r="Q96">
        <v>5</v>
      </c>
      <c r="R96" s="32">
        <f t="shared" si="14"/>
        <v>3</v>
      </c>
      <c r="S96">
        <v>7</v>
      </c>
      <c r="T96">
        <v>5</v>
      </c>
      <c r="U96" s="32">
        <f t="shared" si="15"/>
        <v>2</v>
      </c>
      <c r="V96">
        <v>7</v>
      </c>
      <c r="W96">
        <v>5</v>
      </c>
      <c r="X96" s="32">
        <f t="shared" si="16"/>
        <v>2</v>
      </c>
      <c r="Y96">
        <v>8</v>
      </c>
      <c r="Z96">
        <v>5</v>
      </c>
      <c r="AA96" s="32">
        <f t="shared" si="17"/>
        <v>3</v>
      </c>
    </row>
    <row r="97" spans="1:27" x14ac:dyDescent="0.45">
      <c r="A97">
        <v>6</v>
      </c>
      <c r="B97">
        <v>6</v>
      </c>
      <c r="C97" s="32">
        <f t="shared" si="9"/>
        <v>0</v>
      </c>
      <c r="D97">
        <v>6</v>
      </c>
      <c r="E97">
        <v>6</v>
      </c>
      <c r="F97" s="32">
        <f t="shared" si="10"/>
        <v>0</v>
      </c>
      <c r="G97">
        <v>8</v>
      </c>
      <c r="H97">
        <v>5</v>
      </c>
      <c r="I97" s="32">
        <f t="shared" si="11"/>
        <v>3</v>
      </c>
      <c r="J97">
        <v>8</v>
      </c>
      <c r="K97">
        <v>6</v>
      </c>
      <c r="L97" s="32">
        <f t="shared" si="12"/>
        <v>2</v>
      </c>
      <c r="M97">
        <v>7</v>
      </c>
      <c r="N97">
        <v>5</v>
      </c>
      <c r="O97" s="32">
        <f t="shared" si="13"/>
        <v>2</v>
      </c>
      <c r="P97">
        <v>8</v>
      </c>
      <c r="Q97">
        <v>5</v>
      </c>
      <c r="R97" s="32">
        <f t="shared" si="14"/>
        <v>3</v>
      </c>
      <c r="S97">
        <v>7</v>
      </c>
      <c r="T97">
        <v>5</v>
      </c>
      <c r="U97" s="32">
        <f t="shared" si="15"/>
        <v>2</v>
      </c>
      <c r="V97">
        <v>7</v>
      </c>
      <c r="W97">
        <v>5</v>
      </c>
      <c r="X97" s="32">
        <f t="shared" si="16"/>
        <v>2</v>
      </c>
      <c r="Y97">
        <v>8</v>
      </c>
      <c r="Z97">
        <v>5</v>
      </c>
      <c r="AA97" s="32">
        <f t="shared" si="17"/>
        <v>3</v>
      </c>
    </row>
    <row r="98" spans="1:27" x14ac:dyDescent="0.45">
      <c r="A98">
        <v>6</v>
      </c>
      <c r="B98">
        <v>6</v>
      </c>
      <c r="C98" s="32">
        <f t="shared" si="9"/>
        <v>0</v>
      </c>
      <c r="D98">
        <v>6</v>
      </c>
      <c r="E98">
        <v>6</v>
      </c>
      <c r="F98" s="32">
        <f t="shared" si="10"/>
        <v>0</v>
      </c>
      <c r="G98">
        <v>8</v>
      </c>
      <c r="H98">
        <v>5</v>
      </c>
      <c r="I98" s="32">
        <f t="shared" si="11"/>
        <v>3</v>
      </c>
      <c r="J98">
        <v>8</v>
      </c>
      <c r="K98">
        <v>6</v>
      </c>
      <c r="L98" s="32">
        <f t="shared" si="12"/>
        <v>2</v>
      </c>
      <c r="M98">
        <v>7</v>
      </c>
      <c r="N98">
        <v>5</v>
      </c>
      <c r="O98" s="32">
        <f t="shared" si="13"/>
        <v>2</v>
      </c>
      <c r="P98">
        <v>8</v>
      </c>
      <c r="Q98">
        <v>5</v>
      </c>
      <c r="R98" s="32">
        <f t="shared" si="14"/>
        <v>3</v>
      </c>
      <c r="S98">
        <v>7</v>
      </c>
      <c r="T98">
        <v>5</v>
      </c>
      <c r="U98" s="32">
        <f t="shared" si="15"/>
        <v>2</v>
      </c>
      <c r="V98">
        <v>7</v>
      </c>
      <c r="W98">
        <v>5</v>
      </c>
      <c r="X98" s="32">
        <f t="shared" si="16"/>
        <v>2</v>
      </c>
      <c r="Y98">
        <v>8</v>
      </c>
      <c r="Z98">
        <v>5</v>
      </c>
      <c r="AA98" s="32">
        <f t="shared" si="17"/>
        <v>3</v>
      </c>
    </row>
    <row r="99" spans="1:27" x14ac:dyDescent="0.45">
      <c r="A99">
        <v>6</v>
      </c>
      <c r="B99">
        <v>6</v>
      </c>
      <c r="C99" s="32">
        <f t="shared" si="9"/>
        <v>0</v>
      </c>
      <c r="D99">
        <v>6</v>
      </c>
      <c r="E99">
        <v>6</v>
      </c>
      <c r="F99" s="32">
        <f t="shared" si="10"/>
        <v>0</v>
      </c>
      <c r="G99">
        <v>8</v>
      </c>
      <c r="H99">
        <v>5</v>
      </c>
      <c r="I99" s="32">
        <f t="shared" si="11"/>
        <v>3</v>
      </c>
      <c r="J99">
        <v>8</v>
      </c>
      <c r="K99">
        <v>6</v>
      </c>
      <c r="L99" s="32">
        <f t="shared" si="12"/>
        <v>2</v>
      </c>
      <c r="M99">
        <v>7</v>
      </c>
      <c r="N99">
        <v>5</v>
      </c>
      <c r="O99" s="32">
        <f t="shared" si="13"/>
        <v>2</v>
      </c>
      <c r="P99">
        <v>8</v>
      </c>
      <c r="Q99">
        <v>5</v>
      </c>
      <c r="R99" s="32">
        <f t="shared" si="14"/>
        <v>3</v>
      </c>
      <c r="S99">
        <v>7</v>
      </c>
      <c r="T99">
        <v>5</v>
      </c>
      <c r="U99" s="32">
        <f t="shared" si="15"/>
        <v>2</v>
      </c>
      <c r="V99">
        <v>7</v>
      </c>
      <c r="W99">
        <v>5</v>
      </c>
      <c r="X99" s="32">
        <f t="shared" si="16"/>
        <v>2</v>
      </c>
      <c r="Y99">
        <v>8</v>
      </c>
      <c r="Z99">
        <v>5</v>
      </c>
      <c r="AA99" s="32">
        <f t="shared" si="17"/>
        <v>3</v>
      </c>
    </row>
    <row r="100" spans="1:27" x14ac:dyDescent="0.45">
      <c r="A100">
        <v>6</v>
      </c>
      <c r="B100">
        <v>6</v>
      </c>
      <c r="C100" s="32">
        <f t="shared" si="9"/>
        <v>0</v>
      </c>
      <c r="D100">
        <v>6</v>
      </c>
      <c r="E100">
        <v>6</v>
      </c>
      <c r="F100" s="32">
        <f t="shared" si="10"/>
        <v>0</v>
      </c>
      <c r="G100">
        <v>8</v>
      </c>
      <c r="H100">
        <v>5</v>
      </c>
      <c r="I100" s="32">
        <f t="shared" si="11"/>
        <v>3</v>
      </c>
      <c r="J100">
        <v>8</v>
      </c>
      <c r="K100">
        <v>6</v>
      </c>
      <c r="L100" s="32">
        <f t="shared" si="12"/>
        <v>2</v>
      </c>
      <c r="M100">
        <v>7</v>
      </c>
      <c r="N100">
        <v>5</v>
      </c>
      <c r="O100" s="32">
        <f t="shared" si="13"/>
        <v>2</v>
      </c>
      <c r="P100">
        <v>8</v>
      </c>
      <c r="Q100">
        <v>5</v>
      </c>
      <c r="R100" s="32">
        <f t="shared" si="14"/>
        <v>3</v>
      </c>
      <c r="S100">
        <v>7</v>
      </c>
      <c r="T100">
        <v>5</v>
      </c>
      <c r="U100" s="32">
        <f t="shared" si="15"/>
        <v>2</v>
      </c>
      <c r="V100">
        <v>7</v>
      </c>
      <c r="W100">
        <v>5</v>
      </c>
      <c r="X100" s="32">
        <f t="shared" si="16"/>
        <v>2</v>
      </c>
      <c r="Y100">
        <v>8</v>
      </c>
      <c r="Z100">
        <v>5</v>
      </c>
      <c r="AA100" s="32">
        <f t="shared" si="17"/>
        <v>3</v>
      </c>
    </row>
    <row r="101" spans="1:27" x14ac:dyDescent="0.45">
      <c r="A101">
        <v>6</v>
      </c>
      <c r="B101">
        <v>6</v>
      </c>
      <c r="C101" s="32">
        <f t="shared" si="9"/>
        <v>0</v>
      </c>
      <c r="D101">
        <v>6</v>
      </c>
      <c r="E101">
        <v>6</v>
      </c>
      <c r="F101" s="32">
        <f t="shared" si="10"/>
        <v>0</v>
      </c>
      <c r="G101">
        <v>8</v>
      </c>
      <c r="H101">
        <v>5</v>
      </c>
      <c r="I101" s="32">
        <f t="shared" si="11"/>
        <v>3</v>
      </c>
      <c r="J101">
        <v>8</v>
      </c>
      <c r="K101">
        <v>6</v>
      </c>
      <c r="L101" s="32">
        <f t="shared" si="12"/>
        <v>2</v>
      </c>
      <c r="M101">
        <v>7</v>
      </c>
      <c r="N101">
        <v>5</v>
      </c>
      <c r="O101" s="32">
        <f t="shared" si="13"/>
        <v>2</v>
      </c>
      <c r="P101">
        <v>8</v>
      </c>
      <c r="Q101">
        <v>5</v>
      </c>
      <c r="R101" s="32">
        <f t="shared" si="14"/>
        <v>3</v>
      </c>
      <c r="S101">
        <v>7</v>
      </c>
      <c r="T101">
        <v>5</v>
      </c>
      <c r="U101" s="32">
        <f t="shared" si="15"/>
        <v>2</v>
      </c>
      <c r="V101">
        <v>7</v>
      </c>
      <c r="W101">
        <v>5</v>
      </c>
      <c r="X101" s="32">
        <f t="shared" si="16"/>
        <v>2</v>
      </c>
      <c r="Y101">
        <v>8</v>
      </c>
      <c r="Z101">
        <v>5</v>
      </c>
      <c r="AA101" s="32">
        <f t="shared" si="17"/>
        <v>3</v>
      </c>
    </row>
    <row r="102" spans="1:27" x14ac:dyDescent="0.45">
      <c r="A102">
        <v>6</v>
      </c>
      <c r="B102">
        <v>6</v>
      </c>
      <c r="C102" s="32">
        <f t="shared" si="9"/>
        <v>0</v>
      </c>
      <c r="D102">
        <v>6</v>
      </c>
      <c r="E102">
        <v>6</v>
      </c>
      <c r="F102" s="32">
        <f t="shared" si="10"/>
        <v>0</v>
      </c>
      <c r="G102">
        <v>8</v>
      </c>
      <c r="H102">
        <v>5</v>
      </c>
      <c r="I102" s="32">
        <f t="shared" si="11"/>
        <v>3</v>
      </c>
      <c r="J102">
        <v>8</v>
      </c>
      <c r="K102">
        <v>6</v>
      </c>
      <c r="L102" s="32">
        <f t="shared" si="12"/>
        <v>2</v>
      </c>
      <c r="M102">
        <v>7</v>
      </c>
      <c r="N102">
        <v>5</v>
      </c>
      <c r="O102" s="32">
        <f t="shared" si="13"/>
        <v>2</v>
      </c>
      <c r="P102">
        <v>8</v>
      </c>
      <c r="Q102">
        <v>5</v>
      </c>
      <c r="R102" s="32">
        <f t="shared" si="14"/>
        <v>3</v>
      </c>
      <c r="S102">
        <v>7</v>
      </c>
      <c r="T102">
        <v>5</v>
      </c>
      <c r="U102" s="32">
        <f t="shared" si="15"/>
        <v>2</v>
      </c>
      <c r="V102">
        <v>7</v>
      </c>
      <c r="W102">
        <v>5</v>
      </c>
      <c r="X102" s="32">
        <f t="shared" si="16"/>
        <v>2</v>
      </c>
      <c r="Y102">
        <v>8</v>
      </c>
      <c r="Z102">
        <v>5</v>
      </c>
      <c r="AA102" s="32">
        <f t="shared" si="17"/>
        <v>3</v>
      </c>
    </row>
    <row r="103" spans="1:27" x14ac:dyDescent="0.45">
      <c r="A103">
        <v>6</v>
      </c>
      <c r="B103">
        <v>6</v>
      </c>
      <c r="C103" s="32">
        <f t="shared" si="9"/>
        <v>0</v>
      </c>
      <c r="D103">
        <v>6</v>
      </c>
      <c r="E103">
        <v>6</v>
      </c>
      <c r="F103" s="32">
        <f t="shared" si="10"/>
        <v>0</v>
      </c>
      <c r="G103">
        <v>8</v>
      </c>
      <c r="H103">
        <v>5</v>
      </c>
      <c r="I103" s="32">
        <f t="shared" si="11"/>
        <v>3</v>
      </c>
      <c r="J103">
        <v>8</v>
      </c>
      <c r="K103">
        <v>6</v>
      </c>
      <c r="L103" s="32">
        <f t="shared" si="12"/>
        <v>2</v>
      </c>
      <c r="M103">
        <v>7</v>
      </c>
      <c r="N103">
        <v>5</v>
      </c>
      <c r="O103" s="32">
        <f t="shared" si="13"/>
        <v>2</v>
      </c>
      <c r="P103">
        <v>8</v>
      </c>
      <c r="Q103">
        <v>5</v>
      </c>
      <c r="R103" s="32">
        <f t="shared" si="14"/>
        <v>3</v>
      </c>
      <c r="S103">
        <v>7</v>
      </c>
      <c r="T103">
        <v>5</v>
      </c>
      <c r="U103" s="32">
        <f t="shared" si="15"/>
        <v>2</v>
      </c>
      <c r="V103">
        <v>7</v>
      </c>
      <c r="W103">
        <v>5</v>
      </c>
      <c r="X103" s="32">
        <f t="shared" si="16"/>
        <v>2</v>
      </c>
      <c r="Y103">
        <v>8</v>
      </c>
      <c r="Z103">
        <v>5</v>
      </c>
      <c r="AA103" s="32">
        <f t="shared" si="17"/>
        <v>3</v>
      </c>
    </row>
    <row r="104" spans="1:27" x14ac:dyDescent="0.45">
      <c r="A104">
        <v>6</v>
      </c>
      <c r="B104">
        <v>6</v>
      </c>
      <c r="C104" s="32">
        <f t="shared" si="9"/>
        <v>0</v>
      </c>
      <c r="D104">
        <v>6</v>
      </c>
      <c r="E104">
        <v>6</v>
      </c>
      <c r="F104" s="32">
        <f t="shared" si="10"/>
        <v>0</v>
      </c>
      <c r="G104">
        <v>8</v>
      </c>
      <c r="H104">
        <v>5</v>
      </c>
      <c r="I104" s="32">
        <f t="shared" si="11"/>
        <v>3</v>
      </c>
      <c r="J104">
        <v>8</v>
      </c>
      <c r="K104">
        <v>6</v>
      </c>
      <c r="L104" s="32">
        <f t="shared" si="12"/>
        <v>2</v>
      </c>
      <c r="M104">
        <v>7</v>
      </c>
      <c r="N104">
        <v>5</v>
      </c>
      <c r="O104" s="32">
        <f t="shared" si="13"/>
        <v>2</v>
      </c>
      <c r="P104">
        <v>8</v>
      </c>
      <c r="Q104">
        <v>5</v>
      </c>
      <c r="R104" s="32">
        <f t="shared" si="14"/>
        <v>3</v>
      </c>
      <c r="S104">
        <v>7</v>
      </c>
      <c r="T104">
        <v>5</v>
      </c>
      <c r="U104" s="32">
        <f t="shared" si="15"/>
        <v>2</v>
      </c>
      <c r="V104">
        <v>7</v>
      </c>
      <c r="W104">
        <v>5</v>
      </c>
      <c r="X104" s="32">
        <f t="shared" si="16"/>
        <v>2</v>
      </c>
      <c r="Y104">
        <v>8</v>
      </c>
      <c r="Z104">
        <v>5</v>
      </c>
      <c r="AA104" s="32">
        <f t="shared" si="17"/>
        <v>3</v>
      </c>
    </row>
    <row r="105" spans="1:27" x14ac:dyDescent="0.45">
      <c r="A105">
        <v>6</v>
      </c>
      <c r="B105">
        <v>6</v>
      </c>
      <c r="C105" s="32">
        <f t="shared" si="9"/>
        <v>0</v>
      </c>
      <c r="D105">
        <v>6</v>
      </c>
      <c r="E105">
        <v>6</v>
      </c>
      <c r="F105" s="32">
        <f t="shared" si="10"/>
        <v>0</v>
      </c>
      <c r="G105">
        <v>8</v>
      </c>
      <c r="H105">
        <v>5</v>
      </c>
      <c r="I105" s="32">
        <f t="shared" si="11"/>
        <v>3</v>
      </c>
      <c r="J105">
        <v>8</v>
      </c>
      <c r="K105">
        <v>6</v>
      </c>
      <c r="L105" s="32">
        <f t="shared" si="12"/>
        <v>2</v>
      </c>
      <c r="M105">
        <v>7</v>
      </c>
      <c r="N105">
        <v>5</v>
      </c>
      <c r="O105" s="32">
        <f t="shared" si="13"/>
        <v>2</v>
      </c>
      <c r="P105">
        <v>8</v>
      </c>
      <c r="Q105">
        <v>5</v>
      </c>
      <c r="R105" s="32">
        <f t="shared" si="14"/>
        <v>3</v>
      </c>
      <c r="S105">
        <v>7</v>
      </c>
      <c r="T105">
        <v>5</v>
      </c>
      <c r="U105" s="32">
        <f t="shared" si="15"/>
        <v>2</v>
      </c>
      <c r="V105">
        <v>7</v>
      </c>
      <c r="W105">
        <v>5</v>
      </c>
      <c r="X105" s="32">
        <f t="shared" si="16"/>
        <v>2</v>
      </c>
      <c r="Y105">
        <v>8</v>
      </c>
      <c r="Z105">
        <v>6</v>
      </c>
      <c r="AA105" s="32">
        <f t="shared" si="17"/>
        <v>2</v>
      </c>
    </row>
    <row r="106" spans="1:27" x14ac:dyDescent="0.45">
      <c r="A106">
        <v>6</v>
      </c>
      <c r="B106">
        <v>6</v>
      </c>
      <c r="C106" s="32">
        <f t="shared" si="9"/>
        <v>0</v>
      </c>
      <c r="D106">
        <v>6</v>
      </c>
      <c r="E106">
        <v>6</v>
      </c>
      <c r="F106" s="32">
        <f t="shared" si="10"/>
        <v>0</v>
      </c>
      <c r="G106">
        <v>8</v>
      </c>
      <c r="H106">
        <v>5</v>
      </c>
      <c r="I106" s="32">
        <f t="shared" si="11"/>
        <v>3</v>
      </c>
      <c r="J106">
        <v>8</v>
      </c>
      <c r="K106">
        <v>6</v>
      </c>
      <c r="L106" s="32">
        <f t="shared" si="12"/>
        <v>2</v>
      </c>
      <c r="M106">
        <v>7</v>
      </c>
      <c r="N106">
        <v>5</v>
      </c>
      <c r="O106" s="32">
        <f t="shared" si="13"/>
        <v>2</v>
      </c>
      <c r="P106">
        <v>8</v>
      </c>
      <c r="Q106">
        <v>5</v>
      </c>
      <c r="R106" s="32">
        <f t="shared" si="14"/>
        <v>3</v>
      </c>
      <c r="S106">
        <v>7</v>
      </c>
      <c r="T106">
        <v>5</v>
      </c>
      <c r="U106" s="32">
        <f t="shared" si="15"/>
        <v>2</v>
      </c>
      <c r="V106">
        <v>7</v>
      </c>
      <c r="W106">
        <v>5</v>
      </c>
      <c r="X106" s="32">
        <f t="shared" si="16"/>
        <v>2</v>
      </c>
      <c r="Y106">
        <v>8</v>
      </c>
      <c r="Z106">
        <v>6</v>
      </c>
      <c r="AA106" s="32">
        <f t="shared" si="17"/>
        <v>2</v>
      </c>
    </row>
    <row r="107" spans="1:27" x14ac:dyDescent="0.45">
      <c r="A107">
        <v>6</v>
      </c>
      <c r="B107">
        <v>6</v>
      </c>
      <c r="C107" s="32">
        <f t="shared" si="9"/>
        <v>0</v>
      </c>
      <c r="D107">
        <v>6</v>
      </c>
      <c r="E107">
        <v>6</v>
      </c>
      <c r="F107" s="32">
        <f t="shared" si="10"/>
        <v>0</v>
      </c>
      <c r="G107">
        <v>8</v>
      </c>
      <c r="H107">
        <v>5</v>
      </c>
      <c r="I107" s="32">
        <f t="shared" si="11"/>
        <v>3</v>
      </c>
      <c r="J107">
        <v>8</v>
      </c>
      <c r="K107">
        <v>6</v>
      </c>
      <c r="L107" s="32">
        <f t="shared" si="12"/>
        <v>2</v>
      </c>
      <c r="M107">
        <v>7</v>
      </c>
      <c r="N107">
        <v>5</v>
      </c>
      <c r="O107" s="32">
        <f t="shared" si="13"/>
        <v>2</v>
      </c>
      <c r="P107">
        <v>8</v>
      </c>
      <c r="Q107">
        <v>5</v>
      </c>
      <c r="R107" s="32">
        <f t="shared" si="14"/>
        <v>3</v>
      </c>
      <c r="S107">
        <v>7</v>
      </c>
      <c r="T107">
        <v>5</v>
      </c>
      <c r="U107" s="32">
        <f t="shared" si="15"/>
        <v>2</v>
      </c>
      <c r="V107">
        <v>7</v>
      </c>
      <c r="W107">
        <v>5</v>
      </c>
      <c r="X107" s="32">
        <f t="shared" si="16"/>
        <v>2</v>
      </c>
      <c r="Y107">
        <v>8</v>
      </c>
      <c r="Z107">
        <v>6</v>
      </c>
      <c r="AA107" s="32">
        <f t="shared" si="17"/>
        <v>2</v>
      </c>
    </row>
    <row r="108" spans="1:27" x14ac:dyDescent="0.45">
      <c r="A108">
        <v>7</v>
      </c>
      <c r="B108">
        <v>6</v>
      </c>
      <c r="C108" s="32">
        <f t="shared" si="9"/>
        <v>1</v>
      </c>
      <c r="D108">
        <v>6</v>
      </c>
      <c r="E108">
        <v>6</v>
      </c>
      <c r="F108" s="32">
        <f t="shared" si="10"/>
        <v>0</v>
      </c>
      <c r="G108">
        <v>8</v>
      </c>
      <c r="H108">
        <v>5</v>
      </c>
      <c r="I108" s="32">
        <f t="shared" si="11"/>
        <v>3</v>
      </c>
      <c r="J108">
        <v>8</v>
      </c>
      <c r="K108">
        <v>6</v>
      </c>
      <c r="L108" s="32">
        <f t="shared" si="12"/>
        <v>2</v>
      </c>
      <c r="M108">
        <v>7</v>
      </c>
      <c r="N108">
        <v>5</v>
      </c>
      <c r="O108" s="32">
        <f t="shared" si="13"/>
        <v>2</v>
      </c>
      <c r="P108">
        <v>8</v>
      </c>
      <c r="Q108">
        <v>5</v>
      </c>
      <c r="R108" s="32">
        <f t="shared" si="14"/>
        <v>3</v>
      </c>
      <c r="S108">
        <v>7</v>
      </c>
      <c r="T108">
        <v>5</v>
      </c>
      <c r="U108" s="32">
        <f t="shared" si="15"/>
        <v>2</v>
      </c>
      <c r="V108">
        <v>7</v>
      </c>
      <c r="W108">
        <v>5</v>
      </c>
      <c r="X108" s="32">
        <f t="shared" si="16"/>
        <v>2</v>
      </c>
      <c r="Y108">
        <v>8</v>
      </c>
      <c r="Z108">
        <v>6</v>
      </c>
      <c r="AA108" s="32">
        <f t="shared" si="17"/>
        <v>2</v>
      </c>
    </row>
    <row r="109" spans="1:27" x14ac:dyDescent="0.45">
      <c r="A109">
        <v>7</v>
      </c>
      <c r="B109">
        <v>6</v>
      </c>
      <c r="C109" s="32">
        <f t="shared" si="9"/>
        <v>1</v>
      </c>
      <c r="D109">
        <v>6</v>
      </c>
      <c r="E109">
        <v>6</v>
      </c>
      <c r="F109" s="32">
        <f t="shared" si="10"/>
        <v>0</v>
      </c>
      <c r="G109">
        <v>8</v>
      </c>
      <c r="H109">
        <v>5</v>
      </c>
      <c r="I109" s="32">
        <f t="shared" si="11"/>
        <v>3</v>
      </c>
      <c r="J109">
        <v>8</v>
      </c>
      <c r="K109">
        <v>6</v>
      </c>
      <c r="L109" s="32">
        <f t="shared" si="12"/>
        <v>2</v>
      </c>
      <c r="M109">
        <v>7</v>
      </c>
      <c r="N109">
        <v>5</v>
      </c>
      <c r="O109" s="32">
        <f t="shared" si="13"/>
        <v>2</v>
      </c>
      <c r="P109">
        <v>8</v>
      </c>
      <c r="Q109">
        <v>5</v>
      </c>
      <c r="R109" s="32">
        <f t="shared" si="14"/>
        <v>3</v>
      </c>
      <c r="S109">
        <v>7</v>
      </c>
      <c r="T109">
        <v>5</v>
      </c>
      <c r="U109" s="32">
        <f t="shared" si="15"/>
        <v>2</v>
      </c>
      <c r="V109">
        <v>7</v>
      </c>
      <c r="W109">
        <v>5</v>
      </c>
      <c r="X109" s="32">
        <f t="shared" si="16"/>
        <v>2</v>
      </c>
      <c r="Y109">
        <v>8</v>
      </c>
      <c r="Z109">
        <v>6</v>
      </c>
      <c r="AA109" s="32">
        <f t="shared" si="17"/>
        <v>2</v>
      </c>
    </row>
    <row r="110" spans="1:27" x14ac:dyDescent="0.45">
      <c r="A110">
        <v>7</v>
      </c>
      <c r="B110">
        <v>6</v>
      </c>
      <c r="C110" s="32">
        <f t="shared" si="9"/>
        <v>1</v>
      </c>
      <c r="D110">
        <v>6</v>
      </c>
      <c r="E110">
        <v>6</v>
      </c>
      <c r="F110" s="32">
        <f t="shared" si="10"/>
        <v>0</v>
      </c>
      <c r="G110">
        <v>8</v>
      </c>
      <c r="H110">
        <v>5</v>
      </c>
      <c r="I110" s="32">
        <f t="shared" si="11"/>
        <v>3</v>
      </c>
      <c r="J110">
        <v>8</v>
      </c>
      <c r="K110">
        <v>6</v>
      </c>
      <c r="L110" s="32">
        <f t="shared" si="12"/>
        <v>2</v>
      </c>
      <c r="M110">
        <v>7</v>
      </c>
      <c r="N110">
        <v>5</v>
      </c>
      <c r="O110" s="32">
        <f t="shared" si="13"/>
        <v>2</v>
      </c>
      <c r="P110">
        <v>8</v>
      </c>
      <c r="Q110">
        <v>5</v>
      </c>
      <c r="R110" s="32">
        <f t="shared" si="14"/>
        <v>3</v>
      </c>
      <c r="S110">
        <v>7</v>
      </c>
      <c r="T110">
        <v>5</v>
      </c>
      <c r="U110" s="32">
        <f t="shared" si="15"/>
        <v>2</v>
      </c>
      <c r="V110">
        <v>7</v>
      </c>
      <c r="W110">
        <v>5</v>
      </c>
      <c r="X110" s="32">
        <f t="shared" si="16"/>
        <v>2</v>
      </c>
      <c r="Y110">
        <v>8</v>
      </c>
      <c r="Z110">
        <v>6</v>
      </c>
      <c r="AA110" s="32">
        <f t="shared" si="17"/>
        <v>2</v>
      </c>
    </row>
    <row r="111" spans="1:27" x14ac:dyDescent="0.45">
      <c r="A111">
        <v>7</v>
      </c>
      <c r="B111">
        <v>6</v>
      </c>
      <c r="C111" s="32">
        <f t="shared" si="9"/>
        <v>1</v>
      </c>
      <c r="D111">
        <v>7</v>
      </c>
      <c r="E111">
        <v>6</v>
      </c>
      <c r="F111" s="32">
        <f t="shared" si="10"/>
        <v>1</v>
      </c>
      <c r="G111">
        <v>8</v>
      </c>
      <c r="H111">
        <v>5</v>
      </c>
      <c r="I111" s="32">
        <f t="shared" si="11"/>
        <v>3</v>
      </c>
      <c r="J111">
        <v>8</v>
      </c>
      <c r="K111">
        <v>6</v>
      </c>
      <c r="L111" s="32">
        <f t="shared" si="12"/>
        <v>2</v>
      </c>
      <c r="M111">
        <v>7</v>
      </c>
      <c r="N111">
        <v>5</v>
      </c>
      <c r="O111" s="32">
        <f t="shared" si="13"/>
        <v>2</v>
      </c>
      <c r="P111">
        <v>8</v>
      </c>
      <c r="Q111">
        <v>5</v>
      </c>
      <c r="R111" s="32">
        <f t="shared" si="14"/>
        <v>3</v>
      </c>
      <c r="S111">
        <v>7</v>
      </c>
      <c r="T111">
        <v>5</v>
      </c>
      <c r="U111" s="32">
        <f t="shared" si="15"/>
        <v>2</v>
      </c>
      <c r="V111">
        <v>7</v>
      </c>
      <c r="W111">
        <v>5</v>
      </c>
      <c r="X111" s="32">
        <f t="shared" si="16"/>
        <v>2</v>
      </c>
      <c r="Y111">
        <v>8</v>
      </c>
      <c r="Z111">
        <v>6</v>
      </c>
      <c r="AA111" s="32">
        <f t="shared" si="17"/>
        <v>2</v>
      </c>
    </row>
    <row r="112" spans="1:27" x14ac:dyDescent="0.45">
      <c r="A112">
        <v>7</v>
      </c>
      <c r="B112">
        <v>6</v>
      </c>
      <c r="C112" s="32">
        <f t="shared" si="9"/>
        <v>1</v>
      </c>
      <c r="D112">
        <v>7</v>
      </c>
      <c r="E112">
        <v>6</v>
      </c>
      <c r="F112" s="32">
        <f t="shared" si="10"/>
        <v>1</v>
      </c>
      <c r="G112">
        <v>8</v>
      </c>
      <c r="H112">
        <v>5</v>
      </c>
      <c r="I112" s="32">
        <f t="shared" si="11"/>
        <v>3</v>
      </c>
      <c r="J112">
        <v>8</v>
      </c>
      <c r="K112">
        <v>6</v>
      </c>
      <c r="L112" s="32">
        <f t="shared" si="12"/>
        <v>2</v>
      </c>
      <c r="M112">
        <v>7</v>
      </c>
      <c r="N112">
        <v>5</v>
      </c>
      <c r="O112" s="32">
        <f t="shared" si="13"/>
        <v>2</v>
      </c>
      <c r="P112">
        <v>8</v>
      </c>
      <c r="Q112">
        <v>5</v>
      </c>
      <c r="R112" s="32">
        <f t="shared" si="14"/>
        <v>3</v>
      </c>
      <c r="S112">
        <v>7</v>
      </c>
      <c r="T112">
        <v>5</v>
      </c>
      <c r="U112" s="32">
        <f t="shared" si="15"/>
        <v>2</v>
      </c>
      <c r="V112">
        <v>7</v>
      </c>
      <c r="W112">
        <v>5</v>
      </c>
      <c r="X112" s="32">
        <f t="shared" si="16"/>
        <v>2</v>
      </c>
      <c r="Y112">
        <v>8</v>
      </c>
      <c r="Z112">
        <v>6</v>
      </c>
      <c r="AA112" s="32">
        <f t="shared" si="17"/>
        <v>2</v>
      </c>
    </row>
    <row r="113" spans="1:27" x14ac:dyDescent="0.45">
      <c r="A113">
        <v>7</v>
      </c>
      <c r="B113">
        <v>6</v>
      </c>
      <c r="C113" s="32">
        <f t="shared" si="9"/>
        <v>1</v>
      </c>
      <c r="D113">
        <v>7</v>
      </c>
      <c r="E113">
        <v>6</v>
      </c>
      <c r="F113" s="32">
        <f t="shared" si="10"/>
        <v>1</v>
      </c>
      <c r="G113">
        <v>8</v>
      </c>
      <c r="H113">
        <v>5</v>
      </c>
      <c r="I113" s="32">
        <f t="shared" si="11"/>
        <v>3</v>
      </c>
      <c r="J113">
        <v>8</v>
      </c>
      <c r="K113">
        <v>6</v>
      </c>
      <c r="L113" s="32">
        <f t="shared" si="12"/>
        <v>2</v>
      </c>
      <c r="M113">
        <v>7</v>
      </c>
      <c r="N113">
        <v>5</v>
      </c>
      <c r="O113" s="32">
        <f t="shared" si="13"/>
        <v>2</v>
      </c>
      <c r="P113">
        <v>8</v>
      </c>
      <c r="Q113">
        <v>5</v>
      </c>
      <c r="R113" s="32">
        <f t="shared" si="14"/>
        <v>3</v>
      </c>
      <c r="S113">
        <v>7</v>
      </c>
      <c r="T113">
        <v>5</v>
      </c>
      <c r="U113" s="32">
        <f t="shared" si="15"/>
        <v>2</v>
      </c>
      <c r="V113">
        <v>7</v>
      </c>
      <c r="W113">
        <v>5</v>
      </c>
      <c r="X113" s="32">
        <f t="shared" si="16"/>
        <v>2</v>
      </c>
      <c r="Y113">
        <v>8</v>
      </c>
      <c r="Z113">
        <v>6</v>
      </c>
      <c r="AA113" s="32">
        <f t="shared" si="17"/>
        <v>2</v>
      </c>
    </row>
    <row r="114" spans="1:27" x14ac:dyDescent="0.45">
      <c r="A114">
        <v>7</v>
      </c>
      <c r="B114">
        <v>6</v>
      </c>
      <c r="C114" s="32">
        <f t="shared" si="9"/>
        <v>1</v>
      </c>
      <c r="D114">
        <v>7</v>
      </c>
      <c r="E114">
        <v>6</v>
      </c>
      <c r="F114" s="32">
        <f t="shared" si="10"/>
        <v>1</v>
      </c>
      <c r="G114">
        <v>8</v>
      </c>
      <c r="H114">
        <v>5</v>
      </c>
      <c r="I114" s="32">
        <f t="shared" si="11"/>
        <v>3</v>
      </c>
      <c r="J114">
        <v>8</v>
      </c>
      <c r="K114">
        <v>6</v>
      </c>
      <c r="L114" s="32">
        <f t="shared" si="12"/>
        <v>2</v>
      </c>
      <c r="M114">
        <v>7</v>
      </c>
      <c r="N114">
        <v>5</v>
      </c>
      <c r="O114" s="32">
        <f t="shared" si="13"/>
        <v>2</v>
      </c>
      <c r="P114">
        <v>8</v>
      </c>
      <c r="Q114">
        <v>5</v>
      </c>
      <c r="R114" s="32">
        <f t="shared" si="14"/>
        <v>3</v>
      </c>
      <c r="S114">
        <v>7</v>
      </c>
      <c r="T114">
        <v>5</v>
      </c>
      <c r="U114" s="32">
        <f t="shared" si="15"/>
        <v>2</v>
      </c>
      <c r="V114">
        <v>7</v>
      </c>
      <c r="W114">
        <v>5</v>
      </c>
      <c r="X114" s="32">
        <f t="shared" si="16"/>
        <v>2</v>
      </c>
      <c r="Y114">
        <v>8</v>
      </c>
      <c r="Z114">
        <v>6</v>
      </c>
      <c r="AA114" s="32">
        <f t="shared" si="17"/>
        <v>2</v>
      </c>
    </row>
    <row r="115" spans="1:27" x14ac:dyDescent="0.45">
      <c r="A115">
        <v>7</v>
      </c>
      <c r="B115">
        <v>6</v>
      </c>
      <c r="C115" s="32">
        <f t="shared" si="9"/>
        <v>1</v>
      </c>
      <c r="D115">
        <v>7</v>
      </c>
      <c r="E115">
        <v>6</v>
      </c>
      <c r="F115" s="32">
        <f t="shared" si="10"/>
        <v>1</v>
      </c>
      <c r="G115">
        <v>8</v>
      </c>
      <c r="H115">
        <v>5</v>
      </c>
      <c r="I115" s="32">
        <f t="shared" si="11"/>
        <v>3</v>
      </c>
      <c r="J115">
        <v>8</v>
      </c>
      <c r="K115">
        <v>6</v>
      </c>
      <c r="L115" s="32">
        <f t="shared" si="12"/>
        <v>2</v>
      </c>
      <c r="M115">
        <v>7</v>
      </c>
      <c r="N115">
        <v>5</v>
      </c>
      <c r="O115" s="32">
        <f t="shared" si="13"/>
        <v>2</v>
      </c>
      <c r="P115">
        <v>8</v>
      </c>
      <c r="Q115">
        <v>5</v>
      </c>
      <c r="R115" s="32">
        <f t="shared" si="14"/>
        <v>3</v>
      </c>
      <c r="S115">
        <v>7</v>
      </c>
      <c r="T115">
        <v>5</v>
      </c>
      <c r="U115" s="32">
        <f t="shared" si="15"/>
        <v>2</v>
      </c>
      <c r="V115">
        <v>7</v>
      </c>
      <c r="W115">
        <v>5</v>
      </c>
      <c r="X115" s="32">
        <f t="shared" si="16"/>
        <v>2</v>
      </c>
      <c r="Y115">
        <v>8</v>
      </c>
      <c r="Z115">
        <v>6</v>
      </c>
      <c r="AA115" s="32">
        <f t="shared" si="17"/>
        <v>2</v>
      </c>
    </row>
    <row r="116" spans="1:27" x14ac:dyDescent="0.45">
      <c r="A116">
        <v>7</v>
      </c>
      <c r="B116">
        <v>6</v>
      </c>
      <c r="C116" s="32">
        <f t="shared" si="9"/>
        <v>1</v>
      </c>
      <c r="D116">
        <v>7</v>
      </c>
      <c r="E116">
        <v>6</v>
      </c>
      <c r="F116" s="32">
        <f t="shared" si="10"/>
        <v>1</v>
      </c>
      <c r="G116">
        <v>8</v>
      </c>
      <c r="H116">
        <v>5</v>
      </c>
      <c r="I116" s="32">
        <f t="shared" si="11"/>
        <v>3</v>
      </c>
      <c r="J116">
        <v>8</v>
      </c>
      <c r="K116">
        <v>6</v>
      </c>
      <c r="L116" s="32">
        <f t="shared" si="12"/>
        <v>2</v>
      </c>
      <c r="M116">
        <v>7</v>
      </c>
      <c r="N116">
        <v>5</v>
      </c>
      <c r="O116" s="32">
        <f t="shared" si="13"/>
        <v>2</v>
      </c>
      <c r="P116">
        <v>8</v>
      </c>
      <c r="Q116">
        <v>5</v>
      </c>
      <c r="R116" s="32">
        <f t="shared" si="14"/>
        <v>3</v>
      </c>
      <c r="S116">
        <v>7</v>
      </c>
      <c r="T116">
        <v>5</v>
      </c>
      <c r="U116" s="32">
        <f t="shared" si="15"/>
        <v>2</v>
      </c>
      <c r="V116">
        <v>7</v>
      </c>
      <c r="W116">
        <v>5</v>
      </c>
      <c r="X116" s="32">
        <f t="shared" si="16"/>
        <v>2</v>
      </c>
      <c r="Y116">
        <v>8</v>
      </c>
      <c r="Z116">
        <v>6</v>
      </c>
      <c r="AA116" s="32">
        <f t="shared" si="17"/>
        <v>2</v>
      </c>
    </row>
    <row r="117" spans="1:27" x14ac:dyDescent="0.45">
      <c r="A117">
        <v>7</v>
      </c>
      <c r="B117">
        <v>6</v>
      </c>
      <c r="C117" s="32">
        <f t="shared" si="9"/>
        <v>1</v>
      </c>
      <c r="D117">
        <v>7</v>
      </c>
      <c r="E117">
        <v>6</v>
      </c>
      <c r="F117" s="32">
        <f t="shared" si="10"/>
        <v>1</v>
      </c>
      <c r="G117">
        <v>8</v>
      </c>
      <c r="H117">
        <v>5</v>
      </c>
      <c r="I117" s="32">
        <f t="shared" si="11"/>
        <v>3</v>
      </c>
      <c r="J117">
        <v>8</v>
      </c>
      <c r="K117">
        <v>6</v>
      </c>
      <c r="L117" s="32">
        <f t="shared" si="12"/>
        <v>2</v>
      </c>
      <c r="M117">
        <v>7</v>
      </c>
      <c r="N117">
        <v>5</v>
      </c>
      <c r="O117" s="32">
        <f t="shared" si="13"/>
        <v>2</v>
      </c>
      <c r="P117">
        <v>8</v>
      </c>
      <c r="Q117">
        <v>5</v>
      </c>
      <c r="R117" s="32">
        <f t="shared" si="14"/>
        <v>3</v>
      </c>
      <c r="S117">
        <v>7</v>
      </c>
      <c r="T117">
        <v>5</v>
      </c>
      <c r="U117" s="32">
        <f t="shared" si="15"/>
        <v>2</v>
      </c>
      <c r="V117">
        <v>7</v>
      </c>
      <c r="W117">
        <v>5</v>
      </c>
      <c r="X117" s="32">
        <f t="shared" si="16"/>
        <v>2</v>
      </c>
      <c r="Y117">
        <v>8</v>
      </c>
      <c r="Z117">
        <v>6</v>
      </c>
      <c r="AA117" s="32">
        <f t="shared" si="17"/>
        <v>2</v>
      </c>
    </row>
    <row r="118" spans="1:27" x14ac:dyDescent="0.45">
      <c r="A118">
        <v>7</v>
      </c>
      <c r="B118">
        <v>6</v>
      </c>
      <c r="C118" s="32">
        <f t="shared" si="9"/>
        <v>1</v>
      </c>
      <c r="D118">
        <v>7</v>
      </c>
      <c r="E118">
        <v>6</v>
      </c>
      <c r="F118" s="32">
        <f t="shared" si="10"/>
        <v>1</v>
      </c>
      <c r="G118">
        <v>8</v>
      </c>
      <c r="H118">
        <v>5</v>
      </c>
      <c r="I118" s="32">
        <f t="shared" si="11"/>
        <v>3</v>
      </c>
      <c r="J118">
        <v>8</v>
      </c>
      <c r="K118">
        <v>6</v>
      </c>
      <c r="L118" s="32">
        <f t="shared" si="12"/>
        <v>2</v>
      </c>
      <c r="M118">
        <v>7</v>
      </c>
      <c r="N118">
        <v>5</v>
      </c>
      <c r="O118" s="32">
        <f t="shared" si="13"/>
        <v>2</v>
      </c>
      <c r="P118">
        <v>8</v>
      </c>
      <c r="Q118">
        <v>5</v>
      </c>
      <c r="R118" s="32">
        <f t="shared" si="14"/>
        <v>3</v>
      </c>
      <c r="S118">
        <v>7</v>
      </c>
      <c r="T118">
        <v>5</v>
      </c>
      <c r="U118" s="32">
        <f t="shared" si="15"/>
        <v>2</v>
      </c>
      <c r="V118">
        <v>7</v>
      </c>
      <c r="W118">
        <v>5</v>
      </c>
      <c r="X118" s="32">
        <f t="shared" si="16"/>
        <v>2</v>
      </c>
      <c r="Y118">
        <v>8</v>
      </c>
      <c r="Z118">
        <v>6</v>
      </c>
      <c r="AA118" s="32">
        <f t="shared" si="17"/>
        <v>2</v>
      </c>
    </row>
    <row r="119" spans="1:27" x14ac:dyDescent="0.45">
      <c r="A119">
        <v>7</v>
      </c>
      <c r="B119">
        <v>6</v>
      </c>
      <c r="C119" s="32">
        <f t="shared" si="9"/>
        <v>1</v>
      </c>
      <c r="D119">
        <v>7</v>
      </c>
      <c r="E119">
        <v>6</v>
      </c>
      <c r="F119" s="32">
        <f t="shared" si="10"/>
        <v>1</v>
      </c>
      <c r="G119">
        <v>8</v>
      </c>
      <c r="H119">
        <v>5</v>
      </c>
      <c r="I119" s="32">
        <f t="shared" si="11"/>
        <v>3</v>
      </c>
      <c r="J119">
        <v>8</v>
      </c>
      <c r="K119">
        <v>6</v>
      </c>
      <c r="L119" s="32">
        <f t="shared" si="12"/>
        <v>2</v>
      </c>
      <c r="M119">
        <v>7</v>
      </c>
      <c r="N119">
        <v>5</v>
      </c>
      <c r="O119" s="32">
        <f t="shared" si="13"/>
        <v>2</v>
      </c>
      <c r="P119">
        <v>8</v>
      </c>
      <c r="Q119">
        <v>5</v>
      </c>
      <c r="R119" s="32">
        <f t="shared" si="14"/>
        <v>3</v>
      </c>
      <c r="S119">
        <v>7</v>
      </c>
      <c r="T119">
        <v>5</v>
      </c>
      <c r="U119" s="32">
        <f t="shared" si="15"/>
        <v>2</v>
      </c>
      <c r="V119">
        <v>7</v>
      </c>
      <c r="W119">
        <v>5</v>
      </c>
      <c r="X119" s="32">
        <f t="shared" si="16"/>
        <v>2</v>
      </c>
      <c r="Y119">
        <v>8</v>
      </c>
      <c r="Z119">
        <v>6</v>
      </c>
      <c r="AA119" s="32">
        <f t="shared" si="17"/>
        <v>2</v>
      </c>
    </row>
    <row r="120" spans="1:27" x14ac:dyDescent="0.45">
      <c r="A120">
        <v>7</v>
      </c>
      <c r="B120">
        <v>6</v>
      </c>
      <c r="C120" s="32">
        <f t="shared" si="9"/>
        <v>1</v>
      </c>
      <c r="D120">
        <v>7</v>
      </c>
      <c r="E120">
        <v>6</v>
      </c>
      <c r="F120" s="32">
        <f t="shared" si="10"/>
        <v>1</v>
      </c>
      <c r="G120">
        <v>8</v>
      </c>
      <c r="H120">
        <v>5</v>
      </c>
      <c r="I120" s="32">
        <f t="shared" si="11"/>
        <v>3</v>
      </c>
      <c r="J120">
        <v>8</v>
      </c>
      <c r="K120">
        <v>6</v>
      </c>
      <c r="L120" s="32">
        <f t="shared" si="12"/>
        <v>2</v>
      </c>
      <c r="M120">
        <v>7</v>
      </c>
      <c r="N120">
        <v>5</v>
      </c>
      <c r="O120" s="32">
        <f t="shared" si="13"/>
        <v>2</v>
      </c>
      <c r="P120">
        <v>8</v>
      </c>
      <c r="Q120">
        <v>5</v>
      </c>
      <c r="R120" s="32">
        <f t="shared" si="14"/>
        <v>3</v>
      </c>
      <c r="S120">
        <v>7</v>
      </c>
      <c r="T120">
        <v>5</v>
      </c>
      <c r="U120" s="32">
        <f t="shared" si="15"/>
        <v>2</v>
      </c>
      <c r="V120">
        <v>7</v>
      </c>
      <c r="W120">
        <v>5</v>
      </c>
      <c r="X120" s="32">
        <f t="shared" si="16"/>
        <v>2</v>
      </c>
      <c r="Y120">
        <v>8</v>
      </c>
      <c r="Z120">
        <v>6</v>
      </c>
      <c r="AA120" s="32">
        <f t="shared" si="17"/>
        <v>2</v>
      </c>
    </row>
    <row r="121" spans="1:27" x14ac:dyDescent="0.45">
      <c r="A121">
        <v>7</v>
      </c>
      <c r="B121">
        <v>6</v>
      </c>
      <c r="C121" s="32">
        <f t="shared" si="9"/>
        <v>1</v>
      </c>
      <c r="D121">
        <v>7</v>
      </c>
      <c r="E121">
        <v>6</v>
      </c>
      <c r="F121" s="32">
        <f t="shared" si="10"/>
        <v>1</v>
      </c>
      <c r="G121">
        <v>8</v>
      </c>
      <c r="H121">
        <v>5</v>
      </c>
      <c r="I121" s="32">
        <f t="shared" si="11"/>
        <v>3</v>
      </c>
      <c r="J121">
        <v>8</v>
      </c>
      <c r="K121">
        <v>6</v>
      </c>
      <c r="L121" s="32">
        <f t="shared" si="12"/>
        <v>2</v>
      </c>
      <c r="M121">
        <v>7</v>
      </c>
      <c r="N121">
        <v>5</v>
      </c>
      <c r="O121" s="32">
        <f t="shared" si="13"/>
        <v>2</v>
      </c>
      <c r="P121">
        <v>8</v>
      </c>
      <c r="Q121">
        <v>5</v>
      </c>
      <c r="R121" s="32">
        <f t="shared" si="14"/>
        <v>3</v>
      </c>
      <c r="S121">
        <v>7</v>
      </c>
      <c r="T121">
        <v>5</v>
      </c>
      <c r="U121" s="32">
        <f t="shared" si="15"/>
        <v>2</v>
      </c>
      <c r="V121">
        <v>7</v>
      </c>
      <c r="W121">
        <v>5</v>
      </c>
      <c r="X121" s="32">
        <f t="shared" si="16"/>
        <v>2</v>
      </c>
      <c r="Y121">
        <v>8</v>
      </c>
      <c r="Z121">
        <v>6</v>
      </c>
      <c r="AA121" s="32">
        <f t="shared" si="17"/>
        <v>2</v>
      </c>
    </row>
    <row r="122" spans="1:27" x14ac:dyDescent="0.45">
      <c r="A122">
        <v>7</v>
      </c>
      <c r="B122">
        <v>6</v>
      </c>
      <c r="C122" s="32">
        <f t="shared" si="9"/>
        <v>1</v>
      </c>
      <c r="D122">
        <v>7</v>
      </c>
      <c r="E122">
        <v>6</v>
      </c>
      <c r="F122" s="32">
        <f t="shared" si="10"/>
        <v>1</v>
      </c>
      <c r="G122">
        <v>8</v>
      </c>
      <c r="H122">
        <v>5</v>
      </c>
      <c r="I122" s="32">
        <f t="shared" si="11"/>
        <v>3</v>
      </c>
      <c r="J122">
        <v>8</v>
      </c>
      <c r="K122">
        <v>6</v>
      </c>
      <c r="L122" s="32">
        <f t="shared" si="12"/>
        <v>2</v>
      </c>
      <c r="M122">
        <v>7</v>
      </c>
      <c r="N122">
        <v>5</v>
      </c>
      <c r="O122" s="32">
        <f t="shared" si="13"/>
        <v>2</v>
      </c>
      <c r="P122">
        <v>8</v>
      </c>
      <c r="Q122">
        <v>5</v>
      </c>
      <c r="R122" s="32">
        <f t="shared" si="14"/>
        <v>3</v>
      </c>
      <c r="S122">
        <v>7</v>
      </c>
      <c r="T122">
        <v>5</v>
      </c>
      <c r="U122" s="32">
        <f t="shared" si="15"/>
        <v>2</v>
      </c>
      <c r="V122">
        <v>7</v>
      </c>
      <c r="W122">
        <v>5</v>
      </c>
      <c r="X122" s="32">
        <f t="shared" si="16"/>
        <v>2</v>
      </c>
      <c r="Y122">
        <v>8</v>
      </c>
      <c r="Z122">
        <v>6</v>
      </c>
      <c r="AA122" s="32">
        <f t="shared" si="17"/>
        <v>2</v>
      </c>
    </row>
    <row r="123" spans="1:27" x14ac:dyDescent="0.45">
      <c r="A123">
        <v>7</v>
      </c>
      <c r="B123">
        <v>6</v>
      </c>
      <c r="C123" s="32">
        <f t="shared" si="9"/>
        <v>1</v>
      </c>
      <c r="D123">
        <v>7</v>
      </c>
      <c r="E123">
        <v>6</v>
      </c>
      <c r="F123" s="32">
        <f t="shared" si="10"/>
        <v>1</v>
      </c>
      <c r="G123">
        <v>8</v>
      </c>
      <c r="H123">
        <v>5</v>
      </c>
      <c r="I123" s="32">
        <f t="shared" si="11"/>
        <v>3</v>
      </c>
      <c r="J123">
        <v>8</v>
      </c>
      <c r="K123">
        <v>6</v>
      </c>
      <c r="L123" s="32">
        <f t="shared" si="12"/>
        <v>2</v>
      </c>
      <c r="M123">
        <v>7</v>
      </c>
      <c r="N123">
        <v>5</v>
      </c>
      <c r="O123" s="32">
        <f t="shared" si="13"/>
        <v>2</v>
      </c>
      <c r="P123">
        <v>8</v>
      </c>
      <c r="Q123">
        <v>5</v>
      </c>
      <c r="R123" s="32">
        <f t="shared" si="14"/>
        <v>3</v>
      </c>
      <c r="S123">
        <v>7</v>
      </c>
      <c r="T123">
        <v>5</v>
      </c>
      <c r="U123" s="32">
        <f t="shared" si="15"/>
        <v>2</v>
      </c>
      <c r="V123">
        <v>7</v>
      </c>
      <c r="W123">
        <v>5</v>
      </c>
      <c r="X123" s="32">
        <f t="shared" si="16"/>
        <v>2</v>
      </c>
      <c r="Y123">
        <v>8</v>
      </c>
      <c r="Z123">
        <v>6</v>
      </c>
      <c r="AA123" s="32">
        <f t="shared" si="17"/>
        <v>2</v>
      </c>
    </row>
    <row r="124" spans="1:27" x14ac:dyDescent="0.45">
      <c r="A124">
        <v>7</v>
      </c>
      <c r="B124">
        <v>6</v>
      </c>
      <c r="C124" s="32">
        <f t="shared" si="9"/>
        <v>1</v>
      </c>
      <c r="D124">
        <v>7</v>
      </c>
      <c r="E124">
        <v>6</v>
      </c>
      <c r="F124" s="32">
        <f t="shared" si="10"/>
        <v>1</v>
      </c>
      <c r="G124">
        <v>8</v>
      </c>
      <c r="H124">
        <v>5</v>
      </c>
      <c r="I124" s="32">
        <f t="shared" si="11"/>
        <v>3</v>
      </c>
      <c r="J124">
        <v>8</v>
      </c>
      <c r="K124">
        <v>6</v>
      </c>
      <c r="L124" s="32">
        <f t="shared" si="12"/>
        <v>2</v>
      </c>
      <c r="M124">
        <v>7</v>
      </c>
      <c r="N124">
        <v>5</v>
      </c>
      <c r="O124" s="32">
        <f t="shared" si="13"/>
        <v>2</v>
      </c>
      <c r="P124">
        <v>8</v>
      </c>
      <c r="Q124">
        <v>5</v>
      </c>
      <c r="R124" s="32">
        <f t="shared" si="14"/>
        <v>3</v>
      </c>
      <c r="S124">
        <v>7</v>
      </c>
      <c r="T124">
        <v>5</v>
      </c>
      <c r="U124" s="32">
        <f t="shared" si="15"/>
        <v>2</v>
      </c>
      <c r="V124">
        <v>7</v>
      </c>
      <c r="W124">
        <v>5</v>
      </c>
      <c r="X124" s="32">
        <f t="shared" si="16"/>
        <v>2</v>
      </c>
      <c r="Y124">
        <v>9</v>
      </c>
      <c r="Z124">
        <v>6</v>
      </c>
      <c r="AA124" s="32">
        <f t="shared" si="17"/>
        <v>3</v>
      </c>
    </row>
    <row r="125" spans="1:27" x14ac:dyDescent="0.45">
      <c r="A125">
        <v>7</v>
      </c>
      <c r="B125">
        <v>6</v>
      </c>
      <c r="C125" s="32">
        <f t="shared" si="9"/>
        <v>1</v>
      </c>
      <c r="D125">
        <v>7</v>
      </c>
      <c r="E125">
        <v>6</v>
      </c>
      <c r="F125" s="32">
        <f t="shared" si="10"/>
        <v>1</v>
      </c>
      <c r="G125">
        <v>8</v>
      </c>
      <c r="H125">
        <v>5</v>
      </c>
      <c r="I125" s="32">
        <f t="shared" si="11"/>
        <v>3</v>
      </c>
      <c r="J125">
        <v>8</v>
      </c>
      <c r="K125">
        <v>6</v>
      </c>
      <c r="L125" s="32">
        <f t="shared" si="12"/>
        <v>2</v>
      </c>
      <c r="M125">
        <v>7</v>
      </c>
      <c r="N125">
        <v>5</v>
      </c>
      <c r="O125" s="32">
        <f t="shared" si="13"/>
        <v>2</v>
      </c>
      <c r="P125">
        <v>8</v>
      </c>
      <c r="Q125">
        <v>5</v>
      </c>
      <c r="R125" s="32">
        <f t="shared" si="14"/>
        <v>3</v>
      </c>
      <c r="S125">
        <v>7</v>
      </c>
      <c r="T125">
        <v>5</v>
      </c>
      <c r="U125" s="32">
        <f t="shared" si="15"/>
        <v>2</v>
      </c>
      <c r="V125">
        <v>7</v>
      </c>
      <c r="W125">
        <v>5</v>
      </c>
      <c r="X125" s="32">
        <f t="shared" si="16"/>
        <v>2</v>
      </c>
      <c r="Y125">
        <v>9</v>
      </c>
      <c r="Z125">
        <v>6</v>
      </c>
      <c r="AA125" s="32">
        <f t="shared" si="17"/>
        <v>3</v>
      </c>
    </row>
    <row r="126" spans="1:27" x14ac:dyDescent="0.45">
      <c r="A126">
        <v>7</v>
      </c>
      <c r="B126">
        <v>6</v>
      </c>
      <c r="C126" s="32">
        <f t="shared" si="9"/>
        <v>1</v>
      </c>
      <c r="D126">
        <v>7</v>
      </c>
      <c r="E126">
        <v>6</v>
      </c>
      <c r="F126" s="32">
        <f t="shared" si="10"/>
        <v>1</v>
      </c>
      <c r="G126">
        <v>8</v>
      </c>
      <c r="H126">
        <v>5</v>
      </c>
      <c r="I126" s="32">
        <f t="shared" si="11"/>
        <v>3</v>
      </c>
      <c r="J126">
        <v>8</v>
      </c>
      <c r="K126">
        <v>6</v>
      </c>
      <c r="L126" s="32">
        <f t="shared" si="12"/>
        <v>2</v>
      </c>
      <c r="M126">
        <v>7</v>
      </c>
      <c r="N126">
        <v>5</v>
      </c>
      <c r="O126" s="32">
        <f t="shared" si="13"/>
        <v>2</v>
      </c>
      <c r="P126">
        <v>8</v>
      </c>
      <c r="Q126">
        <v>6</v>
      </c>
      <c r="R126" s="32">
        <f t="shared" si="14"/>
        <v>2</v>
      </c>
      <c r="S126">
        <v>7</v>
      </c>
      <c r="T126">
        <v>5</v>
      </c>
      <c r="U126" s="32">
        <f t="shared" si="15"/>
        <v>2</v>
      </c>
      <c r="V126">
        <v>7</v>
      </c>
      <c r="W126">
        <v>5</v>
      </c>
      <c r="X126" s="32">
        <f t="shared" si="16"/>
        <v>2</v>
      </c>
      <c r="Y126">
        <v>9</v>
      </c>
      <c r="Z126">
        <v>6</v>
      </c>
      <c r="AA126" s="32">
        <f t="shared" si="17"/>
        <v>3</v>
      </c>
    </row>
    <row r="127" spans="1:27" x14ac:dyDescent="0.45">
      <c r="A127">
        <v>7</v>
      </c>
      <c r="B127">
        <v>6</v>
      </c>
      <c r="C127" s="32">
        <f t="shared" si="9"/>
        <v>1</v>
      </c>
      <c r="D127">
        <v>7</v>
      </c>
      <c r="E127">
        <v>6</v>
      </c>
      <c r="F127" s="32">
        <f t="shared" si="10"/>
        <v>1</v>
      </c>
      <c r="G127">
        <v>8</v>
      </c>
      <c r="H127">
        <v>5</v>
      </c>
      <c r="I127" s="32">
        <f t="shared" si="11"/>
        <v>3</v>
      </c>
      <c r="J127">
        <v>8</v>
      </c>
      <c r="K127">
        <v>6</v>
      </c>
      <c r="L127" s="32">
        <f t="shared" si="12"/>
        <v>2</v>
      </c>
      <c r="M127">
        <v>7</v>
      </c>
      <c r="N127">
        <v>5</v>
      </c>
      <c r="O127" s="32">
        <f t="shared" si="13"/>
        <v>2</v>
      </c>
      <c r="P127">
        <v>8</v>
      </c>
      <c r="Q127">
        <v>6</v>
      </c>
      <c r="R127" s="32">
        <f t="shared" si="14"/>
        <v>2</v>
      </c>
      <c r="S127">
        <v>7</v>
      </c>
      <c r="T127">
        <v>5</v>
      </c>
      <c r="U127" s="32">
        <f t="shared" si="15"/>
        <v>2</v>
      </c>
      <c r="V127">
        <v>7</v>
      </c>
      <c r="W127">
        <v>5</v>
      </c>
      <c r="X127" s="32">
        <f t="shared" si="16"/>
        <v>2</v>
      </c>
      <c r="Y127">
        <v>9</v>
      </c>
      <c r="Z127">
        <v>6</v>
      </c>
      <c r="AA127" s="32">
        <f t="shared" si="17"/>
        <v>3</v>
      </c>
    </row>
    <row r="128" spans="1:27" x14ac:dyDescent="0.45">
      <c r="A128">
        <v>7</v>
      </c>
      <c r="B128">
        <v>6</v>
      </c>
      <c r="C128" s="32">
        <f t="shared" si="9"/>
        <v>1</v>
      </c>
      <c r="D128">
        <v>7</v>
      </c>
      <c r="E128">
        <v>6</v>
      </c>
      <c r="F128" s="32">
        <f t="shared" si="10"/>
        <v>1</v>
      </c>
      <c r="G128">
        <v>8</v>
      </c>
      <c r="H128">
        <v>5</v>
      </c>
      <c r="I128" s="32">
        <f t="shared" si="11"/>
        <v>3</v>
      </c>
      <c r="J128">
        <v>8</v>
      </c>
      <c r="K128">
        <v>6</v>
      </c>
      <c r="L128" s="32">
        <f t="shared" si="12"/>
        <v>2</v>
      </c>
      <c r="M128">
        <v>7</v>
      </c>
      <c r="N128">
        <v>5</v>
      </c>
      <c r="O128" s="32">
        <f t="shared" si="13"/>
        <v>2</v>
      </c>
      <c r="P128">
        <v>8</v>
      </c>
      <c r="Q128">
        <v>6</v>
      </c>
      <c r="R128" s="32">
        <f t="shared" si="14"/>
        <v>2</v>
      </c>
      <c r="S128">
        <v>7</v>
      </c>
      <c r="T128">
        <v>5</v>
      </c>
      <c r="U128" s="32">
        <f t="shared" si="15"/>
        <v>2</v>
      </c>
      <c r="V128">
        <v>7</v>
      </c>
      <c r="W128">
        <v>5</v>
      </c>
      <c r="X128" s="32">
        <f t="shared" si="16"/>
        <v>2</v>
      </c>
      <c r="Y128">
        <v>9</v>
      </c>
      <c r="Z128">
        <v>6</v>
      </c>
      <c r="AA128" s="32">
        <f t="shared" si="17"/>
        <v>3</v>
      </c>
    </row>
    <row r="129" spans="1:27" x14ac:dyDescent="0.45">
      <c r="A129">
        <v>7</v>
      </c>
      <c r="B129">
        <v>6</v>
      </c>
      <c r="C129" s="32">
        <f t="shared" si="9"/>
        <v>1</v>
      </c>
      <c r="D129">
        <v>7</v>
      </c>
      <c r="E129">
        <v>6</v>
      </c>
      <c r="F129" s="32">
        <f t="shared" si="10"/>
        <v>1</v>
      </c>
      <c r="G129">
        <v>8</v>
      </c>
      <c r="H129">
        <v>5</v>
      </c>
      <c r="I129" s="32">
        <f t="shared" si="11"/>
        <v>3</v>
      </c>
      <c r="J129">
        <v>8</v>
      </c>
      <c r="K129">
        <v>6</v>
      </c>
      <c r="L129" s="32">
        <f t="shared" si="12"/>
        <v>2</v>
      </c>
      <c r="M129">
        <v>7</v>
      </c>
      <c r="N129">
        <v>5</v>
      </c>
      <c r="O129" s="32">
        <f t="shared" si="13"/>
        <v>2</v>
      </c>
      <c r="P129">
        <v>8</v>
      </c>
      <c r="Q129">
        <v>6</v>
      </c>
      <c r="R129" s="32">
        <f t="shared" si="14"/>
        <v>2</v>
      </c>
      <c r="S129">
        <v>7</v>
      </c>
      <c r="T129">
        <v>5</v>
      </c>
      <c r="U129" s="32">
        <f t="shared" si="15"/>
        <v>2</v>
      </c>
      <c r="V129">
        <v>7</v>
      </c>
      <c r="W129">
        <v>5</v>
      </c>
      <c r="X129" s="32">
        <f t="shared" si="16"/>
        <v>2</v>
      </c>
      <c r="Y129">
        <v>9</v>
      </c>
      <c r="Z129">
        <v>6</v>
      </c>
      <c r="AA129" s="32">
        <f t="shared" si="17"/>
        <v>3</v>
      </c>
    </row>
    <row r="130" spans="1:27" x14ac:dyDescent="0.45">
      <c r="A130">
        <v>7</v>
      </c>
      <c r="B130">
        <v>6</v>
      </c>
      <c r="C130" s="32">
        <f t="shared" si="9"/>
        <v>1</v>
      </c>
      <c r="D130">
        <v>7</v>
      </c>
      <c r="E130">
        <v>6</v>
      </c>
      <c r="F130" s="32">
        <f t="shared" si="10"/>
        <v>1</v>
      </c>
      <c r="G130">
        <v>8</v>
      </c>
      <c r="H130">
        <v>5</v>
      </c>
      <c r="I130" s="32">
        <f t="shared" si="11"/>
        <v>3</v>
      </c>
      <c r="J130">
        <v>8</v>
      </c>
      <c r="K130">
        <v>6</v>
      </c>
      <c r="L130" s="32">
        <f t="shared" si="12"/>
        <v>2</v>
      </c>
      <c r="M130">
        <v>7</v>
      </c>
      <c r="N130">
        <v>5</v>
      </c>
      <c r="O130" s="32">
        <f t="shared" si="13"/>
        <v>2</v>
      </c>
      <c r="P130">
        <v>8</v>
      </c>
      <c r="Q130">
        <v>6</v>
      </c>
      <c r="R130" s="32">
        <f t="shared" si="14"/>
        <v>2</v>
      </c>
      <c r="S130">
        <v>7</v>
      </c>
      <c r="T130">
        <v>5</v>
      </c>
      <c r="U130" s="32">
        <f t="shared" si="15"/>
        <v>2</v>
      </c>
      <c r="V130">
        <v>7</v>
      </c>
      <c r="W130">
        <v>5</v>
      </c>
      <c r="X130" s="32">
        <f t="shared" si="16"/>
        <v>2</v>
      </c>
      <c r="Y130">
        <v>9</v>
      </c>
      <c r="Z130">
        <v>6</v>
      </c>
      <c r="AA130" s="32">
        <f t="shared" si="17"/>
        <v>3</v>
      </c>
    </row>
    <row r="131" spans="1:27" x14ac:dyDescent="0.45">
      <c r="A131">
        <v>7</v>
      </c>
      <c r="B131">
        <v>6</v>
      </c>
      <c r="C131" s="32">
        <f t="shared" ref="C131:C194" si="18">ABS(B131-A131)</f>
        <v>1</v>
      </c>
      <c r="D131">
        <v>7</v>
      </c>
      <c r="E131">
        <v>6</v>
      </c>
      <c r="F131" s="32">
        <f t="shared" ref="F131:F194" si="19">ABS(E131-D131)</f>
        <v>1</v>
      </c>
      <c r="G131">
        <v>8</v>
      </c>
      <c r="H131">
        <v>5</v>
      </c>
      <c r="I131" s="32">
        <f t="shared" ref="I131:I194" si="20">ABS(H131-G131)</f>
        <v>3</v>
      </c>
      <c r="J131">
        <v>8</v>
      </c>
      <c r="K131">
        <v>7</v>
      </c>
      <c r="L131" s="32">
        <f t="shared" ref="L131:L194" si="21">ABS(K131-J131)</f>
        <v>1</v>
      </c>
      <c r="M131">
        <v>7</v>
      </c>
      <c r="N131">
        <v>5</v>
      </c>
      <c r="O131" s="32">
        <f t="shared" ref="O131:O194" si="22">ABS(N131-M131)</f>
        <v>2</v>
      </c>
      <c r="P131">
        <v>8</v>
      </c>
      <c r="Q131">
        <v>6</v>
      </c>
      <c r="R131" s="32">
        <f t="shared" ref="R131:R194" si="23">ABS(Q131-P131)</f>
        <v>2</v>
      </c>
      <c r="S131">
        <v>7</v>
      </c>
      <c r="T131">
        <v>5</v>
      </c>
      <c r="U131" s="32">
        <f t="shared" ref="U131:U194" si="24">ABS(T131-S131)</f>
        <v>2</v>
      </c>
      <c r="V131">
        <v>7</v>
      </c>
      <c r="W131">
        <v>5</v>
      </c>
      <c r="X131" s="32">
        <f t="shared" ref="X131:X194" si="25">ABS(W131-V131)</f>
        <v>2</v>
      </c>
      <c r="Y131">
        <v>9</v>
      </c>
      <c r="Z131">
        <v>6</v>
      </c>
      <c r="AA131" s="32">
        <f t="shared" ref="AA131:AA194" si="26">ABS(Z131-Y131)</f>
        <v>3</v>
      </c>
    </row>
    <row r="132" spans="1:27" x14ac:dyDescent="0.45">
      <c r="A132">
        <v>7</v>
      </c>
      <c r="B132">
        <v>6</v>
      </c>
      <c r="C132" s="32">
        <f t="shared" si="18"/>
        <v>1</v>
      </c>
      <c r="D132">
        <v>7</v>
      </c>
      <c r="E132">
        <v>7</v>
      </c>
      <c r="F132" s="32">
        <f t="shared" si="19"/>
        <v>0</v>
      </c>
      <c r="G132">
        <v>8</v>
      </c>
      <c r="H132">
        <v>5</v>
      </c>
      <c r="I132" s="32">
        <f t="shared" si="20"/>
        <v>3</v>
      </c>
      <c r="J132">
        <v>8</v>
      </c>
      <c r="K132">
        <v>7</v>
      </c>
      <c r="L132" s="32">
        <f t="shared" si="21"/>
        <v>1</v>
      </c>
      <c r="M132">
        <v>7</v>
      </c>
      <c r="N132">
        <v>5</v>
      </c>
      <c r="O132" s="32">
        <f t="shared" si="22"/>
        <v>2</v>
      </c>
      <c r="P132">
        <v>8</v>
      </c>
      <c r="Q132">
        <v>6</v>
      </c>
      <c r="R132" s="32">
        <f t="shared" si="23"/>
        <v>2</v>
      </c>
      <c r="S132">
        <v>7</v>
      </c>
      <c r="T132">
        <v>5</v>
      </c>
      <c r="U132" s="32">
        <f t="shared" si="24"/>
        <v>2</v>
      </c>
      <c r="V132">
        <v>7</v>
      </c>
      <c r="W132">
        <v>6</v>
      </c>
      <c r="X132" s="32">
        <f t="shared" si="25"/>
        <v>1</v>
      </c>
      <c r="Y132">
        <v>9</v>
      </c>
      <c r="Z132">
        <v>6</v>
      </c>
      <c r="AA132" s="32">
        <f t="shared" si="26"/>
        <v>3</v>
      </c>
    </row>
    <row r="133" spans="1:27" x14ac:dyDescent="0.45">
      <c r="A133">
        <v>7</v>
      </c>
      <c r="B133">
        <v>6</v>
      </c>
      <c r="C133" s="32">
        <f t="shared" si="18"/>
        <v>1</v>
      </c>
      <c r="D133">
        <v>7</v>
      </c>
      <c r="E133">
        <v>7</v>
      </c>
      <c r="F133" s="32">
        <f t="shared" si="19"/>
        <v>0</v>
      </c>
      <c r="G133">
        <v>8</v>
      </c>
      <c r="H133">
        <v>5</v>
      </c>
      <c r="I133" s="32">
        <f t="shared" si="20"/>
        <v>3</v>
      </c>
      <c r="J133">
        <v>8</v>
      </c>
      <c r="K133">
        <v>7</v>
      </c>
      <c r="L133" s="32">
        <f t="shared" si="21"/>
        <v>1</v>
      </c>
      <c r="M133">
        <v>7</v>
      </c>
      <c r="N133">
        <v>5</v>
      </c>
      <c r="O133" s="32">
        <f t="shared" si="22"/>
        <v>2</v>
      </c>
      <c r="P133">
        <v>8</v>
      </c>
      <c r="Q133">
        <v>6</v>
      </c>
      <c r="R133" s="32">
        <f t="shared" si="23"/>
        <v>2</v>
      </c>
      <c r="S133">
        <v>7</v>
      </c>
      <c r="T133">
        <v>5</v>
      </c>
      <c r="U133" s="32">
        <f t="shared" si="24"/>
        <v>2</v>
      </c>
      <c r="V133">
        <v>7</v>
      </c>
      <c r="W133">
        <v>6</v>
      </c>
      <c r="X133" s="32">
        <f t="shared" si="25"/>
        <v>1</v>
      </c>
      <c r="Y133">
        <v>9</v>
      </c>
      <c r="Z133">
        <v>6</v>
      </c>
      <c r="AA133" s="32">
        <f t="shared" si="26"/>
        <v>3</v>
      </c>
    </row>
    <row r="134" spans="1:27" x14ac:dyDescent="0.45">
      <c r="A134">
        <v>7</v>
      </c>
      <c r="B134">
        <v>6</v>
      </c>
      <c r="C134" s="32">
        <f t="shared" si="18"/>
        <v>1</v>
      </c>
      <c r="D134">
        <v>7</v>
      </c>
      <c r="E134">
        <v>7</v>
      </c>
      <c r="F134" s="32">
        <f t="shared" si="19"/>
        <v>0</v>
      </c>
      <c r="G134">
        <v>8</v>
      </c>
      <c r="H134">
        <v>5</v>
      </c>
      <c r="I134" s="32">
        <f t="shared" si="20"/>
        <v>3</v>
      </c>
      <c r="J134">
        <v>8</v>
      </c>
      <c r="K134">
        <v>7</v>
      </c>
      <c r="L134" s="32">
        <f t="shared" si="21"/>
        <v>1</v>
      </c>
      <c r="M134">
        <v>7</v>
      </c>
      <c r="N134">
        <v>5</v>
      </c>
      <c r="O134" s="32">
        <f t="shared" si="22"/>
        <v>2</v>
      </c>
      <c r="P134">
        <v>8</v>
      </c>
      <c r="Q134">
        <v>6</v>
      </c>
      <c r="R134" s="32">
        <f t="shared" si="23"/>
        <v>2</v>
      </c>
      <c r="S134">
        <v>7</v>
      </c>
      <c r="T134">
        <v>5</v>
      </c>
      <c r="U134" s="32">
        <f t="shared" si="24"/>
        <v>2</v>
      </c>
      <c r="V134">
        <v>7</v>
      </c>
      <c r="W134">
        <v>6</v>
      </c>
      <c r="X134" s="32">
        <f t="shared" si="25"/>
        <v>1</v>
      </c>
      <c r="Y134">
        <v>9</v>
      </c>
      <c r="Z134">
        <v>6</v>
      </c>
      <c r="AA134" s="32">
        <f t="shared" si="26"/>
        <v>3</v>
      </c>
    </row>
    <row r="135" spans="1:27" x14ac:dyDescent="0.45">
      <c r="A135">
        <v>7</v>
      </c>
      <c r="B135">
        <v>6</v>
      </c>
      <c r="C135" s="32">
        <f t="shared" si="18"/>
        <v>1</v>
      </c>
      <c r="D135">
        <v>7</v>
      </c>
      <c r="E135">
        <v>7</v>
      </c>
      <c r="F135" s="32">
        <f t="shared" si="19"/>
        <v>0</v>
      </c>
      <c r="G135">
        <v>8</v>
      </c>
      <c r="H135">
        <v>5</v>
      </c>
      <c r="I135" s="32">
        <f t="shared" si="20"/>
        <v>3</v>
      </c>
      <c r="J135">
        <v>8</v>
      </c>
      <c r="K135">
        <v>7</v>
      </c>
      <c r="L135" s="32">
        <f t="shared" si="21"/>
        <v>1</v>
      </c>
      <c r="M135">
        <v>7</v>
      </c>
      <c r="N135">
        <v>5</v>
      </c>
      <c r="O135" s="32">
        <f t="shared" si="22"/>
        <v>2</v>
      </c>
      <c r="P135">
        <v>8</v>
      </c>
      <c r="Q135">
        <v>6</v>
      </c>
      <c r="R135" s="32">
        <f t="shared" si="23"/>
        <v>2</v>
      </c>
      <c r="S135">
        <v>7</v>
      </c>
      <c r="T135">
        <v>5</v>
      </c>
      <c r="U135" s="32">
        <f t="shared" si="24"/>
        <v>2</v>
      </c>
      <c r="V135">
        <v>7</v>
      </c>
      <c r="W135">
        <v>6</v>
      </c>
      <c r="X135" s="32">
        <f t="shared" si="25"/>
        <v>1</v>
      </c>
      <c r="Y135">
        <v>9</v>
      </c>
      <c r="Z135">
        <v>6</v>
      </c>
      <c r="AA135" s="32">
        <f t="shared" si="26"/>
        <v>3</v>
      </c>
    </row>
    <row r="136" spans="1:27" x14ac:dyDescent="0.45">
      <c r="A136">
        <v>7</v>
      </c>
      <c r="B136">
        <v>6</v>
      </c>
      <c r="C136" s="32">
        <f t="shared" si="18"/>
        <v>1</v>
      </c>
      <c r="D136">
        <v>7</v>
      </c>
      <c r="E136">
        <v>7</v>
      </c>
      <c r="F136" s="32">
        <f t="shared" si="19"/>
        <v>0</v>
      </c>
      <c r="G136">
        <v>8</v>
      </c>
      <c r="H136">
        <v>5</v>
      </c>
      <c r="I136" s="32">
        <f t="shared" si="20"/>
        <v>3</v>
      </c>
      <c r="J136">
        <v>8</v>
      </c>
      <c r="K136">
        <v>7</v>
      </c>
      <c r="L136" s="32">
        <f t="shared" si="21"/>
        <v>1</v>
      </c>
      <c r="M136">
        <v>7</v>
      </c>
      <c r="N136">
        <v>5</v>
      </c>
      <c r="O136" s="32">
        <f t="shared" si="22"/>
        <v>2</v>
      </c>
      <c r="P136">
        <v>8</v>
      </c>
      <c r="Q136">
        <v>6</v>
      </c>
      <c r="R136" s="32">
        <f t="shared" si="23"/>
        <v>2</v>
      </c>
      <c r="S136">
        <v>7</v>
      </c>
      <c r="T136">
        <v>5</v>
      </c>
      <c r="U136" s="32">
        <f t="shared" si="24"/>
        <v>2</v>
      </c>
      <c r="V136">
        <v>7</v>
      </c>
      <c r="W136">
        <v>6</v>
      </c>
      <c r="X136" s="32">
        <f t="shared" si="25"/>
        <v>1</v>
      </c>
      <c r="Y136">
        <v>9</v>
      </c>
      <c r="Z136">
        <v>6</v>
      </c>
      <c r="AA136" s="32">
        <f t="shared" si="26"/>
        <v>3</v>
      </c>
    </row>
    <row r="137" spans="1:27" x14ac:dyDescent="0.45">
      <c r="A137">
        <v>7</v>
      </c>
      <c r="B137">
        <v>6</v>
      </c>
      <c r="C137" s="32">
        <f t="shared" si="18"/>
        <v>1</v>
      </c>
      <c r="D137">
        <v>7</v>
      </c>
      <c r="E137">
        <v>7</v>
      </c>
      <c r="F137" s="32">
        <f t="shared" si="19"/>
        <v>0</v>
      </c>
      <c r="G137">
        <v>8</v>
      </c>
      <c r="H137">
        <v>5</v>
      </c>
      <c r="I137" s="32">
        <f t="shared" si="20"/>
        <v>3</v>
      </c>
      <c r="J137">
        <v>8</v>
      </c>
      <c r="K137">
        <v>7</v>
      </c>
      <c r="L137" s="32">
        <f t="shared" si="21"/>
        <v>1</v>
      </c>
      <c r="M137">
        <v>7</v>
      </c>
      <c r="N137">
        <v>5</v>
      </c>
      <c r="O137" s="32">
        <f t="shared" si="22"/>
        <v>2</v>
      </c>
      <c r="P137">
        <v>8</v>
      </c>
      <c r="Q137">
        <v>6</v>
      </c>
      <c r="R137" s="32">
        <f t="shared" si="23"/>
        <v>2</v>
      </c>
      <c r="S137">
        <v>7</v>
      </c>
      <c r="T137">
        <v>5</v>
      </c>
      <c r="U137" s="32">
        <f t="shared" si="24"/>
        <v>2</v>
      </c>
      <c r="V137">
        <v>7</v>
      </c>
      <c r="W137">
        <v>6</v>
      </c>
      <c r="X137" s="32">
        <f t="shared" si="25"/>
        <v>1</v>
      </c>
      <c r="Y137">
        <v>9</v>
      </c>
      <c r="Z137">
        <v>6</v>
      </c>
      <c r="AA137" s="32">
        <f t="shared" si="26"/>
        <v>3</v>
      </c>
    </row>
    <row r="138" spans="1:27" x14ac:dyDescent="0.45">
      <c r="A138">
        <v>7</v>
      </c>
      <c r="B138">
        <v>6</v>
      </c>
      <c r="C138" s="32">
        <f t="shared" si="18"/>
        <v>1</v>
      </c>
      <c r="D138">
        <v>7</v>
      </c>
      <c r="E138">
        <v>7</v>
      </c>
      <c r="F138" s="32">
        <f t="shared" si="19"/>
        <v>0</v>
      </c>
      <c r="G138">
        <v>8</v>
      </c>
      <c r="H138">
        <v>5</v>
      </c>
      <c r="I138" s="32">
        <f t="shared" si="20"/>
        <v>3</v>
      </c>
      <c r="J138">
        <v>8</v>
      </c>
      <c r="K138">
        <v>7</v>
      </c>
      <c r="L138" s="32">
        <f t="shared" si="21"/>
        <v>1</v>
      </c>
      <c r="M138">
        <v>7</v>
      </c>
      <c r="N138">
        <v>6</v>
      </c>
      <c r="O138" s="32">
        <f t="shared" si="22"/>
        <v>1</v>
      </c>
      <c r="P138">
        <v>8</v>
      </c>
      <c r="Q138">
        <v>6</v>
      </c>
      <c r="R138" s="32">
        <f t="shared" si="23"/>
        <v>2</v>
      </c>
      <c r="S138">
        <v>7</v>
      </c>
      <c r="T138">
        <v>5</v>
      </c>
      <c r="U138" s="32">
        <f t="shared" si="24"/>
        <v>2</v>
      </c>
      <c r="V138">
        <v>7</v>
      </c>
      <c r="W138">
        <v>6</v>
      </c>
      <c r="X138" s="32">
        <f t="shared" si="25"/>
        <v>1</v>
      </c>
      <c r="Y138">
        <v>9</v>
      </c>
      <c r="Z138">
        <v>6</v>
      </c>
      <c r="AA138" s="32">
        <f t="shared" si="26"/>
        <v>3</v>
      </c>
    </row>
    <row r="139" spans="1:27" x14ac:dyDescent="0.45">
      <c r="A139">
        <v>7</v>
      </c>
      <c r="B139">
        <v>6</v>
      </c>
      <c r="C139" s="32">
        <f t="shared" si="18"/>
        <v>1</v>
      </c>
      <c r="D139">
        <v>7</v>
      </c>
      <c r="E139">
        <v>7</v>
      </c>
      <c r="F139" s="32">
        <f t="shared" si="19"/>
        <v>0</v>
      </c>
      <c r="G139">
        <v>8</v>
      </c>
      <c r="H139">
        <v>5</v>
      </c>
      <c r="I139" s="32">
        <f t="shared" si="20"/>
        <v>3</v>
      </c>
      <c r="J139">
        <v>8</v>
      </c>
      <c r="K139">
        <v>7</v>
      </c>
      <c r="L139" s="32">
        <f t="shared" si="21"/>
        <v>1</v>
      </c>
      <c r="M139">
        <v>7</v>
      </c>
      <c r="N139">
        <v>6</v>
      </c>
      <c r="O139" s="32">
        <f t="shared" si="22"/>
        <v>1</v>
      </c>
      <c r="P139">
        <v>8</v>
      </c>
      <c r="Q139">
        <v>6</v>
      </c>
      <c r="R139" s="32">
        <f t="shared" si="23"/>
        <v>2</v>
      </c>
      <c r="S139">
        <v>7</v>
      </c>
      <c r="T139">
        <v>5</v>
      </c>
      <c r="U139" s="32">
        <f t="shared" si="24"/>
        <v>2</v>
      </c>
      <c r="V139">
        <v>7</v>
      </c>
      <c r="W139">
        <v>6</v>
      </c>
      <c r="X139" s="32">
        <f t="shared" si="25"/>
        <v>1</v>
      </c>
      <c r="Y139">
        <v>9</v>
      </c>
      <c r="Z139">
        <v>6</v>
      </c>
      <c r="AA139" s="32">
        <f t="shared" si="26"/>
        <v>3</v>
      </c>
    </row>
    <row r="140" spans="1:27" x14ac:dyDescent="0.45">
      <c r="A140">
        <v>7</v>
      </c>
      <c r="B140">
        <v>6</v>
      </c>
      <c r="C140" s="32">
        <f t="shared" si="18"/>
        <v>1</v>
      </c>
      <c r="D140">
        <v>7</v>
      </c>
      <c r="E140">
        <v>7</v>
      </c>
      <c r="F140" s="32">
        <f t="shared" si="19"/>
        <v>0</v>
      </c>
      <c r="G140">
        <v>8</v>
      </c>
      <c r="H140">
        <v>5</v>
      </c>
      <c r="I140" s="32">
        <f t="shared" si="20"/>
        <v>3</v>
      </c>
      <c r="J140">
        <v>8</v>
      </c>
      <c r="K140">
        <v>7</v>
      </c>
      <c r="L140" s="32">
        <f t="shared" si="21"/>
        <v>1</v>
      </c>
      <c r="M140">
        <v>7</v>
      </c>
      <c r="N140">
        <v>6</v>
      </c>
      <c r="O140" s="32">
        <f t="shared" si="22"/>
        <v>1</v>
      </c>
      <c r="P140">
        <v>8</v>
      </c>
      <c r="Q140">
        <v>6</v>
      </c>
      <c r="R140" s="32">
        <f t="shared" si="23"/>
        <v>2</v>
      </c>
      <c r="S140">
        <v>7</v>
      </c>
      <c r="T140">
        <v>5</v>
      </c>
      <c r="U140" s="32">
        <f t="shared" si="24"/>
        <v>2</v>
      </c>
      <c r="V140">
        <v>7</v>
      </c>
      <c r="W140">
        <v>6</v>
      </c>
      <c r="X140" s="32">
        <f t="shared" si="25"/>
        <v>1</v>
      </c>
      <c r="Y140">
        <v>9</v>
      </c>
      <c r="Z140">
        <v>6</v>
      </c>
      <c r="AA140" s="32">
        <f t="shared" si="26"/>
        <v>3</v>
      </c>
    </row>
    <row r="141" spans="1:27" x14ac:dyDescent="0.45">
      <c r="A141">
        <v>7</v>
      </c>
      <c r="B141">
        <v>6</v>
      </c>
      <c r="C141" s="32">
        <f t="shared" si="18"/>
        <v>1</v>
      </c>
      <c r="D141">
        <v>7</v>
      </c>
      <c r="E141">
        <v>7</v>
      </c>
      <c r="F141" s="32">
        <f t="shared" si="19"/>
        <v>0</v>
      </c>
      <c r="G141">
        <v>8</v>
      </c>
      <c r="H141">
        <v>5</v>
      </c>
      <c r="I141" s="32">
        <f t="shared" si="20"/>
        <v>3</v>
      </c>
      <c r="J141">
        <v>8</v>
      </c>
      <c r="K141">
        <v>7</v>
      </c>
      <c r="L141" s="32">
        <f t="shared" si="21"/>
        <v>1</v>
      </c>
      <c r="M141">
        <v>7</v>
      </c>
      <c r="N141">
        <v>6</v>
      </c>
      <c r="O141" s="32">
        <f t="shared" si="22"/>
        <v>1</v>
      </c>
      <c r="P141">
        <v>8</v>
      </c>
      <c r="Q141">
        <v>6</v>
      </c>
      <c r="R141" s="32">
        <f t="shared" si="23"/>
        <v>2</v>
      </c>
      <c r="S141">
        <v>7</v>
      </c>
      <c r="T141">
        <v>5</v>
      </c>
      <c r="U141" s="32">
        <f t="shared" si="24"/>
        <v>2</v>
      </c>
      <c r="V141">
        <v>7</v>
      </c>
      <c r="W141">
        <v>6</v>
      </c>
      <c r="X141" s="32">
        <f t="shared" si="25"/>
        <v>1</v>
      </c>
      <c r="Y141">
        <v>9</v>
      </c>
      <c r="Z141">
        <v>6</v>
      </c>
      <c r="AA141" s="32">
        <f t="shared" si="26"/>
        <v>3</v>
      </c>
    </row>
    <row r="142" spans="1:27" x14ac:dyDescent="0.45">
      <c r="A142">
        <v>7</v>
      </c>
      <c r="B142">
        <v>6</v>
      </c>
      <c r="C142" s="32">
        <f t="shared" si="18"/>
        <v>1</v>
      </c>
      <c r="D142">
        <v>7</v>
      </c>
      <c r="E142">
        <v>7</v>
      </c>
      <c r="F142" s="32">
        <f t="shared" si="19"/>
        <v>0</v>
      </c>
      <c r="G142">
        <v>8</v>
      </c>
      <c r="H142">
        <v>5</v>
      </c>
      <c r="I142" s="32">
        <f t="shared" si="20"/>
        <v>3</v>
      </c>
      <c r="J142">
        <v>8</v>
      </c>
      <c r="K142">
        <v>7</v>
      </c>
      <c r="L142" s="32">
        <f t="shared" si="21"/>
        <v>1</v>
      </c>
      <c r="M142">
        <v>7</v>
      </c>
      <c r="N142">
        <v>6</v>
      </c>
      <c r="O142" s="32">
        <f t="shared" si="22"/>
        <v>1</v>
      </c>
      <c r="P142">
        <v>8</v>
      </c>
      <c r="Q142">
        <v>6</v>
      </c>
      <c r="R142" s="32">
        <f t="shared" si="23"/>
        <v>2</v>
      </c>
      <c r="S142">
        <v>7</v>
      </c>
      <c r="T142">
        <v>5</v>
      </c>
      <c r="U142" s="32">
        <f t="shared" si="24"/>
        <v>2</v>
      </c>
      <c r="V142">
        <v>7</v>
      </c>
      <c r="W142">
        <v>6</v>
      </c>
      <c r="X142" s="32">
        <f t="shared" si="25"/>
        <v>1</v>
      </c>
      <c r="Y142">
        <v>9</v>
      </c>
      <c r="Z142">
        <v>6</v>
      </c>
      <c r="AA142" s="32">
        <f t="shared" si="26"/>
        <v>3</v>
      </c>
    </row>
    <row r="143" spans="1:27" x14ac:dyDescent="0.45">
      <c r="A143">
        <v>7</v>
      </c>
      <c r="B143">
        <v>6</v>
      </c>
      <c r="C143" s="32">
        <f t="shared" si="18"/>
        <v>1</v>
      </c>
      <c r="D143">
        <v>7</v>
      </c>
      <c r="E143">
        <v>7</v>
      </c>
      <c r="F143" s="32">
        <f t="shared" si="19"/>
        <v>0</v>
      </c>
      <c r="G143">
        <v>8</v>
      </c>
      <c r="H143">
        <v>5</v>
      </c>
      <c r="I143" s="32">
        <f t="shared" si="20"/>
        <v>3</v>
      </c>
      <c r="J143">
        <v>8</v>
      </c>
      <c r="K143">
        <v>7</v>
      </c>
      <c r="L143" s="32">
        <f t="shared" si="21"/>
        <v>1</v>
      </c>
      <c r="M143">
        <v>7</v>
      </c>
      <c r="N143">
        <v>6</v>
      </c>
      <c r="O143" s="32">
        <f t="shared" si="22"/>
        <v>1</v>
      </c>
      <c r="P143">
        <v>8</v>
      </c>
      <c r="Q143">
        <v>6</v>
      </c>
      <c r="R143" s="32">
        <f t="shared" si="23"/>
        <v>2</v>
      </c>
      <c r="S143">
        <v>7</v>
      </c>
      <c r="T143">
        <v>5</v>
      </c>
      <c r="U143" s="32">
        <f t="shared" si="24"/>
        <v>2</v>
      </c>
      <c r="V143">
        <v>7</v>
      </c>
      <c r="W143">
        <v>6</v>
      </c>
      <c r="X143" s="32">
        <f t="shared" si="25"/>
        <v>1</v>
      </c>
      <c r="Y143">
        <v>9</v>
      </c>
      <c r="Z143">
        <v>6</v>
      </c>
      <c r="AA143" s="32">
        <f t="shared" si="26"/>
        <v>3</v>
      </c>
    </row>
    <row r="144" spans="1:27" x14ac:dyDescent="0.45">
      <c r="A144">
        <v>7</v>
      </c>
      <c r="B144">
        <v>6</v>
      </c>
      <c r="C144" s="32">
        <f t="shared" si="18"/>
        <v>1</v>
      </c>
      <c r="D144">
        <v>7</v>
      </c>
      <c r="E144">
        <v>7</v>
      </c>
      <c r="F144" s="32">
        <f t="shared" si="19"/>
        <v>0</v>
      </c>
      <c r="G144">
        <v>8</v>
      </c>
      <c r="H144">
        <v>5</v>
      </c>
      <c r="I144" s="32">
        <f t="shared" si="20"/>
        <v>3</v>
      </c>
      <c r="J144">
        <v>8</v>
      </c>
      <c r="K144">
        <v>7</v>
      </c>
      <c r="L144" s="32">
        <f t="shared" si="21"/>
        <v>1</v>
      </c>
      <c r="M144">
        <v>7</v>
      </c>
      <c r="N144">
        <v>6</v>
      </c>
      <c r="O144" s="32">
        <f t="shared" si="22"/>
        <v>1</v>
      </c>
      <c r="P144">
        <v>8</v>
      </c>
      <c r="Q144">
        <v>6</v>
      </c>
      <c r="R144" s="32">
        <f t="shared" si="23"/>
        <v>2</v>
      </c>
      <c r="S144">
        <v>7</v>
      </c>
      <c r="T144">
        <v>5</v>
      </c>
      <c r="U144" s="32">
        <f t="shared" si="24"/>
        <v>2</v>
      </c>
      <c r="V144">
        <v>7</v>
      </c>
      <c r="W144">
        <v>6</v>
      </c>
      <c r="X144" s="32">
        <f t="shared" si="25"/>
        <v>1</v>
      </c>
      <c r="Y144">
        <v>9</v>
      </c>
      <c r="Z144">
        <v>6</v>
      </c>
      <c r="AA144" s="32">
        <f t="shared" si="26"/>
        <v>3</v>
      </c>
    </row>
    <row r="145" spans="1:27" x14ac:dyDescent="0.45">
      <c r="A145">
        <v>7</v>
      </c>
      <c r="B145">
        <v>6</v>
      </c>
      <c r="C145" s="32">
        <f t="shared" si="18"/>
        <v>1</v>
      </c>
      <c r="D145">
        <v>7</v>
      </c>
      <c r="E145">
        <v>7</v>
      </c>
      <c r="F145" s="32">
        <f t="shared" si="19"/>
        <v>0</v>
      </c>
      <c r="G145">
        <v>8</v>
      </c>
      <c r="H145">
        <v>5</v>
      </c>
      <c r="I145" s="32">
        <f t="shared" si="20"/>
        <v>3</v>
      </c>
      <c r="J145">
        <v>9</v>
      </c>
      <c r="K145">
        <v>7</v>
      </c>
      <c r="L145" s="32">
        <f t="shared" si="21"/>
        <v>2</v>
      </c>
      <c r="M145">
        <v>7</v>
      </c>
      <c r="N145">
        <v>6</v>
      </c>
      <c r="O145" s="32">
        <f t="shared" si="22"/>
        <v>1</v>
      </c>
      <c r="P145">
        <v>8</v>
      </c>
      <c r="Q145">
        <v>6</v>
      </c>
      <c r="R145" s="32">
        <f t="shared" si="23"/>
        <v>2</v>
      </c>
      <c r="S145">
        <v>7</v>
      </c>
      <c r="T145">
        <v>5</v>
      </c>
      <c r="U145" s="32">
        <f t="shared" si="24"/>
        <v>2</v>
      </c>
      <c r="V145">
        <v>7</v>
      </c>
      <c r="W145">
        <v>6</v>
      </c>
      <c r="X145" s="32">
        <f t="shared" si="25"/>
        <v>1</v>
      </c>
      <c r="Y145">
        <v>9</v>
      </c>
      <c r="Z145">
        <v>6</v>
      </c>
      <c r="AA145" s="32">
        <f t="shared" si="26"/>
        <v>3</v>
      </c>
    </row>
    <row r="146" spans="1:27" x14ac:dyDescent="0.45">
      <c r="A146">
        <v>7</v>
      </c>
      <c r="B146">
        <v>6</v>
      </c>
      <c r="C146" s="32">
        <f t="shared" si="18"/>
        <v>1</v>
      </c>
      <c r="D146">
        <v>7</v>
      </c>
      <c r="E146">
        <v>7</v>
      </c>
      <c r="F146" s="32">
        <f t="shared" si="19"/>
        <v>0</v>
      </c>
      <c r="G146">
        <v>8</v>
      </c>
      <c r="H146">
        <v>5</v>
      </c>
      <c r="I146" s="32">
        <f t="shared" si="20"/>
        <v>3</v>
      </c>
      <c r="J146">
        <v>9</v>
      </c>
      <c r="K146">
        <v>7</v>
      </c>
      <c r="L146" s="32">
        <f t="shared" si="21"/>
        <v>2</v>
      </c>
      <c r="M146">
        <v>7</v>
      </c>
      <c r="N146">
        <v>6</v>
      </c>
      <c r="O146" s="32">
        <f t="shared" si="22"/>
        <v>1</v>
      </c>
      <c r="P146">
        <v>8</v>
      </c>
      <c r="Q146">
        <v>6</v>
      </c>
      <c r="R146" s="32">
        <f t="shared" si="23"/>
        <v>2</v>
      </c>
      <c r="S146">
        <v>7</v>
      </c>
      <c r="T146">
        <v>5</v>
      </c>
      <c r="U146" s="32">
        <f t="shared" si="24"/>
        <v>2</v>
      </c>
      <c r="V146">
        <v>7</v>
      </c>
      <c r="W146">
        <v>6</v>
      </c>
      <c r="X146" s="32">
        <f t="shared" si="25"/>
        <v>1</v>
      </c>
      <c r="Y146">
        <v>9</v>
      </c>
      <c r="Z146">
        <v>6</v>
      </c>
      <c r="AA146" s="32">
        <f t="shared" si="26"/>
        <v>3</v>
      </c>
    </row>
    <row r="147" spans="1:27" x14ac:dyDescent="0.45">
      <c r="A147">
        <v>7</v>
      </c>
      <c r="B147">
        <v>6</v>
      </c>
      <c r="C147" s="32">
        <f t="shared" si="18"/>
        <v>1</v>
      </c>
      <c r="D147">
        <v>7</v>
      </c>
      <c r="E147">
        <v>7</v>
      </c>
      <c r="F147" s="32">
        <f t="shared" si="19"/>
        <v>0</v>
      </c>
      <c r="G147">
        <v>8</v>
      </c>
      <c r="H147">
        <v>5</v>
      </c>
      <c r="I147" s="32">
        <f t="shared" si="20"/>
        <v>3</v>
      </c>
      <c r="J147">
        <v>9</v>
      </c>
      <c r="K147">
        <v>7</v>
      </c>
      <c r="L147" s="32">
        <f t="shared" si="21"/>
        <v>2</v>
      </c>
      <c r="M147">
        <v>7</v>
      </c>
      <c r="N147">
        <v>6</v>
      </c>
      <c r="O147" s="32">
        <f t="shared" si="22"/>
        <v>1</v>
      </c>
      <c r="P147">
        <v>8</v>
      </c>
      <c r="Q147">
        <v>6</v>
      </c>
      <c r="R147" s="32">
        <f t="shared" si="23"/>
        <v>2</v>
      </c>
      <c r="S147">
        <v>7</v>
      </c>
      <c r="T147">
        <v>5</v>
      </c>
      <c r="U147" s="32">
        <f t="shared" si="24"/>
        <v>2</v>
      </c>
      <c r="V147">
        <v>7</v>
      </c>
      <c r="W147">
        <v>6</v>
      </c>
      <c r="X147" s="32">
        <f t="shared" si="25"/>
        <v>1</v>
      </c>
      <c r="Y147">
        <v>9</v>
      </c>
      <c r="Z147">
        <v>6</v>
      </c>
      <c r="AA147" s="32">
        <f t="shared" si="26"/>
        <v>3</v>
      </c>
    </row>
    <row r="148" spans="1:27" x14ac:dyDescent="0.45">
      <c r="A148">
        <v>7</v>
      </c>
      <c r="B148">
        <v>6</v>
      </c>
      <c r="C148" s="32">
        <f t="shared" si="18"/>
        <v>1</v>
      </c>
      <c r="D148">
        <v>7</v>
      </c>
      <c r="E148">
        <v>7</v>
      </c>
      <c r="F148" s="32">
        <f t="shared" si="19"/>
        <v>0</v>
      </c>
      <c r="G148">
        <v>8</v>
      </c>
      <c r="H148">
        <v>5</v>
      </c>
      <c r="I148" s="32">
        <f t="shared" si="20"/>
        <v>3</v>
      </c>
      <c r="J148">
        <v>9</v>
      </c>
      <c r="K148">
        <v>7</v>
      </c>
      <c r="L148" s="32">
        <f t="shared" si="21"/>
        <v>2</v>
      </c>
      <c r="M148">
        <v>7</v>
      </c>
      <c r="N148">
        <v>6</v>
      </c>
      <c r="O148" s="32">
        <f t="shared" si="22"/>
        <v>1</v>
      </c>
      <c r="P148">
        <v>8</v>
      </c>
      <c r="Q148">
        <v>6</v>
      </c>
      <c r="R148" s="32">
        <f t="shared" si="23"/>
        <v>2</v>
      </c>
      <c r="S148">
        <v>7</v>
      </c>
      <c r="T148">
        <v>5</v>
      </c>
      <c r="U148" s="32">
        <f t="shared" si="24"/>
        <v>2</v>
      </c>
      <c r="V148">
        <v>7</v>
      </c>
      <c r="W148">
        <v>6</v>
      </c>
      <c r="X148" s="32">
        <f t="shared" si="25"/>
        <v>1</v>
      </c>
      <c r="Y148">
        <v>9</v>
      </c>
      <c r="Z148">
        <v>6</v>
      </c>
      <c r="AA148" s="32">
        <f t="shared" si="26"/>
        <v>3</v>
      </c>
    </row>
    <row r="149" spans="1:27" x14ac:dyDescent="0.45">
      <c r="A149">
        <v>7</v>
      </c>
      <c r="B149">
        <v>6</v>
      </c>
      <c r="C149" s="32">
        <f t="shared" si="18"/>
        <v>1</v>
      </c>
      <c r="D149">
        <v>7</v>
      </c>
      <c r="E149">
        <v>7</v>
      </c>
      <c r="F149" s="32">
        <f t="shared" si="19"/>
        <v>0</v>
      </c>
      <c r="G149">
        <v>8</v>
      </c>
      <c r="H149">
        <v>5</v>
      </c>
      <c r="I149" s="32">
        <f t="shared" si="20"/>
        <v>3</v>
      </c>
      <c r="J149">
        <v>9</v>
      </c>
      <c r="K149">
        <v>7</v>
      </c>
      <c r="L149" s="32">
        <f t="shared" si="21"/>
        <v>2</v>
      </c>
      <c r="M149">
        <v>7</v>
      </c>
      <c r="N149">
        <v>6</v>
      </c>
      <c r="O149" s="32">
        <f t="shared" si="22"/>
        <v>1</v>
      </c>
      <c r="P149">
        <v>8</v>
      </c>
      <c r="Q149">
        <v>6</v>
      </c>
      <c r="R149" s="32">
        <f t="shared" si="23"/>
        <v>2</v>
      </c>
      <c r="S149">
        <v>7</v>
      </c>
      <c r="T149">
        <v>5</v>
      </c>
      <c r="U149" s="32">
        <f t="shared" si="24"/>
        <v>2</v>
      </c>
      <c r="V149">
        <v>7</v>
      </c>
      <c r="W149">
        <v>6</v>
      </c>
      <c r="X149" s="32">
        <f t="shared" si="25"/>
        <v>1</v>
      </c>
      <c r="Y149">
        <v>9</v>
      </c>
      <c r="Z149">
        <v>6</v>
      </c>
      <c r="AA149" s="32">
        <f t="shared" si="26"/>
        <v>3</v>
      </c>
    </row>
    <row r="150" spans="1:27" x14ac:dyDescent="0.45">
      <c r="A150">
        <v>7</v>
      </c>
      <c r="B150">
        <v>6</v>
      </c>
      <c r="C150" s="32">
        <f t="shared" si="18"/>
        <v>1</v>
      </c>
      <c r="D150">
        <v>7</v>
      </c>
      <c r="E150">
        <v>7</v>
      </c>
      <c r="F150" s="32">
        <f t="shared" si="19"/>
        <v>0</v>
      </c>
      <c r="G150">
        <v>8</v>
      </c>
      <c r="H150">
        <v>5</v>
      </c>
      <c r="I150" s="32">
        <f t="shared" si="20"/>
        <v>3</v>
      </c>
      <c r="J150">
        <v>9</v>
      </c>
      <c r="K150">
        <v>7</v>
      </c>
      <c r="L150" s="32">
        <f t="shared" si="21"/>
        <v>2</v>
      </c>
      <c r="M150">
        <v>7</v>
      </c>
      <c r="N150">
        <v>6</v>
      </c>
      <c r="O150" s="32">
        <f t="shared" si="22"/>
        <v>1</v>
      </c>
      <c r="P150">
        <v>8</v>
      </c>
      <c r="Q150">
        <v>6</v>
      </c>
      <c r="R150" s="32">
        <f t="shared" si="23"/>
        <v>2</v>
      </c>
      <c r="S150">
        <v>7</v>
      </c>
      <c r="T150">
        <v>5</v>
      </c>
      <c r="U150" s="32">
        <f t="shared" si="24"/>
        <v>2</v>
      </c>
      <c r="V150">
        <v>7</v>
      </c>
      <c r="W150">
        <v>6</v>
      </c>
      <c r="X150" s="32">
        <f t="shared" si="25"/>
        <v>1</v>
      </c>
      <c r="Y150">
        <v>9</v>
      </c>
      <c r="Z150">
        <v>6</v>
      </c>
      <c r="AA150" s="32">
        <f t="shared" si="26"/>
        <v>3</v>
      </c>
    </row>
    <row r="151" spans="1:27" x14ac:dyDescent="0.45">
      <c r="A151">
        <v>7</v>
      </c>
      <c r="B151">
        <v>6</v>
      </c>
      <c r="C151" s="32">
        <f t="shared" si="18"/>
        <v>1</v>
      </c>
      <c r="D151">
        <v>7</v>
      </c>
      <c r="E151">
        <v>7</v>
      </c>
      <c r="F151" s="32">
        <f t="shared" si="19"/>
        <v>0</v>
      </c>
      <c r="G151">
        <v>8</v>
      </c>
      <c r="H151">
        <v>5</v>
      </c>
      <c r="I151" s="32">
        <f t="shared" si="20"/>
        <v>3</v>
      </c>
      <c r="J151">
        <v>9</v>
      </c>
      <c r="K151">
        <v>7</v>
      </c>
      <c r="L151" s="32">
        <f t="shared" si="21"/>
        <v>2</v>
      </c>
      <c r="M151">
        <v>7</v>
      </c>
      <c r="N151">
        <v>6</v>
      </c>
      <c r="O151" s="32">
        <f t="shared" si="22"/>
        <v>1</v>
      </c>
      <c r="P151">
        <v>8</v>
      </c>
      <c r="Q151">
        <v>6</v>
      </c>
      <c r="R151" s="32">
        <f t="shared" si="23"/>
        <v>2</v>
      </c>
      <c r="S151">
        <v>7</v>
      </c>
      <c r="T151">
        <v>5</v>
      </c>
      <c r="U151" s="32">
        <f t="shared" si="24"/>
        <v>2</v>
      </c>
      <c r="V151">
        <v>7</v>
      </c>
      <c r="W151">
        <v>6</v>
      </c>
      <c r="X151" s="32">
        <f t="shared" si="25"/>
        <v>1</v>
      </c>
      <c r="Y151">
        <v>9</v>
      </c>
      <c r="Z151">
        <v>6</v>
      </c>
      <c r="AA151" s="32">
        <f t="shared" si="26"/>
        <v>3</v>
      </c>
    </row>
    <row r="152" spans="1:27" x14ac:dyDescent="0.45">
      <c r="A152">
        <v>7</v>
      </c>
      <c r="B152">
        <v>6</v>
      </c>
      <c r="C152" s="32">
        <f t="shared" si="18"/>
        <v>1</v>
      </c>
      <c r="D152">
        <v>7</v>
      </c>
      <c r="E152">
        <v>7</v>
      </c>
      <c r="F152" s="32">
        <f t="shared" si="19"/>
        <v>0</v>
      </c>
      <c r="G152">
        <v>8</v>
      </c>
      <c r="H152">
        <v>5</v>
      </c>
      <c r="I152" s="32">
        <f t="shared" si="20"/>
        <v>3</v>
      </c>
      <c r="J152">
        <v>9</v>
      </c>
      <c r="K152">
        <v>7</v>
      </c>
      <c r="L152" s="32">
        <f t="shared" si="21"/>
        <v>2</v>
      </c>
      <c r="M152">
        <v>7</v>
      </c>
      <c r="N152">
        <v>6</v>
      </c>
      <c r="O152" s="32">
        <f t="shared" si="22"/>
        <v>1</v>
      </c>
      <c r="P152">
        <v>8</v>
      </c>
      <c r="Q152">
        <v>6</v>
      </c>
      <c r="R152" s="32">
        <f t="shared" si="23"/>
        <v>2</v>
      </c>
      <c r="S152">
        <v>7</v>
      </c>
      <c r="T152">
        <v>5</v>
      </c>
      <c r="U152" s="32">
        <f t="shared" si="24"/>
        <v>2</v>
      </c>
      <c r="V152">
        <v>7</v>
      </c>
      <c r="W152">
        <v>6</v>
      </c>
      <c r="X152" s="32">
        <f t="shared" si="25"/>
        <v>1</v>
      </c>
      <c r="Y152">
        <v>9</v>
      </c>
      <c r="Z152">
        <v>6</v>
      </c>
      <c r="AA152" s="32">
        <f t="shared" si="26"/>
        <v>3</v>
      </c>
    </row>
    <row r="153" spans="1:27" x14ac:dyDescent="0.45">
      <c r="A153">
        <v>7</v>
      </c>
      <c r="B153">
        <v>6</v>
      </c>
      <c r="C153" s="32">
        <f t="shared" si="18"/>
        <v>1</v>
      </c>
      <c r="D153">
        <v>7</v>
      </c>
      <c r="E153">
        <v>7</v>
      </c>
      <c r="F153" s="32">
        <f t="shared" si="19"/>
        <v>0</v>
      </c>
      <c r="G153">
        <v>8</v>
      </c>
      <c r="H153">
        <v>5</v>
      </c>
      <c r="I153" s="32">
        <f t="shared" si="20"/>
        <v>3</v>
      </c>
      <c r="J153">
        <v>9</v>
      </c>
      <c r="K153">
        <v>7</v>
      </c>
      <c r="L153" s="32">
        <f t="shared" si="21"/>
        <v>2</v>
      </c>
      <c r="M153">
        <v>7</v>
      </c>
      <c r="N153">
        <v>6</v>
      </c>
      <c r="O153" s="32">
        <f t="shared" si="22"/>
        <v>1</v>
      </c>
      <c r="P153">
        <v>8</v>
      </c>
      <c r="Q153">
        <v>6</v>
      </c>
      <c r="R153" s="32">
        <f t="shared" si="23"/>
        <v>2</v>
      </c>
      <c r="S153">
        <v>7</v>
      </c>
      <c r="T153">
        <v>5</v>
      </c>
      <c r="U153" s="32">
        <f t="shared" si="24"/>
        <v>2</v>
      </c>
      <c r="V153">
        <v>7</v>
      </c>
      <c r="W153">
        <v>6</v>
      </c>
      <c r="X153" s="32">
        <f t="shared" si="25"/>
        <v>1</v>
      </c>
      <c r="Y153">
        <v>9</v>
      </c>
      <c r="Z153">
        <v>6</v>
      </c>
      <c r="AA153" s="32">
        <f t="shared" si="26"/>
        <v>3</v>
      </c>
    </row>
    <row r="154" spans="1:27" x14ac:dyDescent="0.45">
      <c r="A154">
        <v>7</v>
      </c>
      <c r="B154">
        <v>6</v>
      </c>
      <c r="C154" s="32">
        <f t="shared" si="18"/>
        <v>1</v>
      </c>
      <c r="D154">
        <v>7</v>
      </c>
      <c r="E154">
        <v>7</v>
      </c>
      <c r="F154" s="32">
        <f t="shared" si="19"/>
        <v>0</v>
      </c>
      <c r="G154">
        <v>8</v>
      </c>
      <c r="H154">
        <v>5</v>
      </c>
      <c r="I154" s="32">
        <f t="shared" si="20"/>
        <v>3</v>
      </c>
      <c r="J154">
        <v>9</v>
      </c>
      <c r="K154">
        <v>7</v>
      </c>
      <c r="L154" s="32">
        <f t="shared" si="21"/>
        <v>2</v>
      </c>
      <c r="M154">
        <v>7</v>
      </c>
      <c r="N154">
        <v>6</v>
      </c>
      <c r="O154" s="32">
        <f t="shared" si="22"/>
        <v>1</v>
      </c>
      <c r="P154">
        <v>8</v>
      </c>
      <c r="Q154">
        <v>6</v>
      </c>
      <c r="R154" s="32">
        <f t="shared" si="23"/>
        <v>2</v>
      </c>
      <c r="S154">
        <v>7</v>
      </c>
      <c r="T154">
        <v>5</v>
      </c>
      <c r="U154" s="32">
        <f t="shared" si="24"/>
        <v>2</v>
      </c>
      <c r="V154">
        <v>7</v>
      </c>
      <c r="W154">
        <v>6</v>
      </c>
      <c r="X154" s="32">
        <f t="shared" si="25"/>
        <v>1</v>
      </c>
      <c r="Y154">
        <v>9</v>
      </c>
      <c r="Z154">
        <v>6</v>
      </c>
      <c r="AA154" s="32">
        <f t="shared" si="26"/>
        <v>3</v>
      </c>
    </row>
    <row r="155" spans="1:27" x14ac:dyDescent="0.45">
      <c r="A155">
        <v>7</v>
      </c>
      <c r="B155">
        <v>6</v>
      </c>
      <c r="C155" s="32">
        <f t="shared" si="18"/>
        <v>1</v>
      </c>
      <c r="D155">
        <v>7</v>
      </c>
      <c r="E155">
        <v>7</v>
      </c>
      <c r="F155" s="32">
        <f t="shared" si="19"/>
        <v>0</v>
      </c>
      <c r="G155">
        <v>8</v>
      </c>
      <c r="H155">
        <v>5</v>
      </c>
      <c r="I155" s="32">
        <f t="shared" si="20"/>
        <v>3</v>
      </c>
      <c r="J155">
        <v>9</v>
      </c>
      <c r="K155">
        <v>7</v>
      </c>
      <c r="L155" s="32">
        <f t="shared" si="21"/>
        <v>2</v>
      </c>
      <c r="M155">
        <v>7</v>
      </c>
      <c r="N155">
        <v>6</v>
      </c>
      <c r="O155" s="32">
        <f t="shared" si="22"/>
        <v>1</v>
      </c>
      <c r="P155">
        <v>8</v>
      </c>
      <c r="Q155">
        <v>6</v>
      </c>
      <c r="R155" s="32">
        <f t="shared" si="23"/>
        <v>2</v>
      </c>
      <c r="S155">
        <v>7</v>
      </c>
      <c r="T155">
        <v>5</v>
      </c>
      <c r="U155" s="32">
        <f t="shared" si="24"/>
        <v>2</v>
      </c>
      <c r="V155">
        <v>7</v>
      </c>
      <c r="W155">
        <v>6</v>
      </c>
      <c r="X155" s="32">
        <f t="shared" si="25"/>
        <v>1</v>
      </c>
      <c r="Y155">
        <v>9</v>
      </c>
      <c r="Z155">
        <v>6</v>
      </c>
      <c r="AA155" s="32">
        <f t="shared" si="26"/>
        <v>3</v>
      </c>
    </row>
    <row r="156" spans="1:27" x14ac:dyDescent="0.45">
      <c r="A156">
        <v>7</v>
      </c>
      <c r="B156">
        <v>6</v>
      </c>
      <c r="C156" s="32">
        <f t="shared" si="18"/>
        <v>1</v>
      </c>
      <c r="D156">
        <v>7</v>
      </c>
      <c r="E156">
        <v>7</v>
      </c>
      <c r="F156" s="32">
        <f t="shared" si="19"/>
        <v>0</v>
      </c>
      <c r="G156">
        <v>8</v>
      </c>
      <c r="H156">
        <v>5</v>
      </c>
      <c r="I156" s="32">
        <f t="shared" si="20"/>
        <v>3</v>
      </c>
      <c r="J156">
        <v>9</v>
      </c>
      <c r="K156">
        <v>7</v>
      </c>
      <c r="L156" s="32">
        <f t="shared" si="21"/>
        <v>2</v>
      </c>
      <c r="M156">
        <v>7</v>
      </c>
      <c r="N156">
        <v>6</v>
      </c>
      <c r="O156" s="32">
        <f t="shared" si="22"/>
        <v>1</v>
      </c>
      <c r="P156">
        <v>8</v>
      </c>
      <c r="Q156">
        <v>6</v>
      </c>
      <c r="R156" s="32">
        <f t="shared" si="23"/>
        <v>2</v>
      </c>
      <c r="S156">
        <v>7</v>
      </c>
      <c r="T156">
        <v>5</v>
      </c>
      <c r="U156" s="32">
        <f t="shared" si="24"/>
        <v>2</v>
      </c>
      <c r="V156">
        <v>7</v>
      </c>
      <c r="W156">
        <v>6</v>
      </c>
      <c r="X156" s="32">
        <f t="shared" si="25"/>
        <v>1</v>
      </c>
      <c r="Y156">
        <v>9</v>
      </c>
      <c r="Z156">
        <v>7</v>
      </c>
      <c r="AA156" s="32">
        <f t="shared" si="26"/>
        <v>2</v>
      </c>
    </row>
    <row r="157" spans="1:27" x14ac:dyDescent="0.45">
      <c r="A157">
        <v>7</v>
      </c>
      <c r="B157">
        <v>6</v>
      </c>
      <c r="C157" s="32">
        <f t="shared" si="18"/>
        <v>1</v>
      </c>
      <c r="D157">
        <v>7</v>
      </c>
      <c r="E157">
        <v>7</v>
      </c>
      <c r="F157" s="32">
        <f t="shared" si="19"/>
        <v>0</v>
      </c>
      <c r="G157">
        <v>8</v>
      </c>
      <c r="H157">
        <v>5</v>
      </c>
      <c r="I157" s="32">
        <f t="shared" si="20"/>
        <v>3</v>
      </c>
      <c r="J157">
        <v>9</v>
      </c>
      <c r="K157">
        <v>7</v>
      </c>
      <c r="L157" s="32">
        <f t="shared" si="21"/>
        <v>2</v>
      </c>
      <c r="M157">
        <v>7</v>
      </c>
      <c r="N157">
        <v>6</v>
      </c>
      <c r="O157" s="32">
        <f t="shared" si="22"/>
        <v>1</v>
      </c>
      <c r="P157">
        <v>8</v>
      </c>
      <c r="Q157">
        <v>6</v>
      </c>
      <c r="R157" s="32">
        <f t="shared" si="23"/>
        <v>2</v>
      </c>
      <c r="S157">
        <v>7</v>
      </c>
      <c r="T157">
        <v>5</v>
      </c>
      <c r="U157" s="32">
        <f t="shared" si="24"/>
        <v>2</v>
      </c>
      <c r="V157">
        <v>7</v>
      </c>
      <c r="W157">
        <v>6</v>
      </c>
      <c r="X157" s="32">
        <f t="shared" si="25"/>
        <v>1</v>
      </c>
      <c r="Y157">
        <v>9</v>
      </c>
      <c r="Z157">
        <v>7</v>
      </c>
      <c r="AA157" s="32">
        <f t="shared" si="26"/>
        <v>2</v>
      </c>
    </row>
    <row r="158" spans="1:27" x14ac:dyDescent="0.45">
      <c r="A158">
        <v>7</v>
      </c>
      <c r="B158">
        <v>6</v>
      </c>
      <c r="C158" s="32">
        <f t="shared" si="18"/>
        <v>1</v>
      </c>
      <c r="D158">
        <v>7</v>
      </c>
      <c r="E158">
        <v>7</v>
      </c>
      <c r="F158" s="32">
        <f t="shared" si="19"/>
        <v>0</v>
      </c>
      <c r="G158">
        <v>8</v>
      </c>
      <c r="H158">
        <v>5</v>
      </c>
      <c r="I158" s="32">
        <f t="shared" si="20"/>
        <v>3</v>
      </c>
      <c r="J158">
        <v>9</v>
      </c>
      <c r="K158">
        <v>7</v>
      </c>
      <c r="L158" s="32">
        <f t="shared" si="21"/>
        <v>2</v>
      </c>
      <c r="M158">
        <v>7</v>
      </c>
      <c r="N158">
        <v>6</v>
      </c>
      <c r="O158" s="32">
        <f t="shared" si="22"/>
        <v>1</v>
      </c>
      <c r="P158">
        <v>8</v>
      </c>
      <c r="Q158">
        <v>6</v>
      </c>
      <c r="R158" s="32">
        <f t="shared" si="23"/>
        <v>2</v>
      </c>
      <c r="S158">
        <v>7</v>
      </c>
      <c r="T158">
        <v>5</v>
      </c>
      <c r="U158" s="32">
        <f t="shared" si="24"/>
        <v>2</v>
      </c>
      <c r="V158">
        <v>7</v>
      </c>
      <c r="W158">
        <v>6</v>
      </c>
      <c r="X158" s="32">
        <f t="shared" si="25"/>
        <v>1</v>
      </c>
      <c r="Y158">
        <v>9</v>
      </c>
      <c r="Z158">
        <v>7</v>
      </c>
      <c r="AA158" s="32">
        <f t="shared" si="26"/>
        <v>2</v>
      </c>
    </row>
    <row r="159" spans="1:27" x14ac:dyDescent="0.45">
      <c r="A159">
        <v>7</v>
      </c>
      <c r="B159">
        <v>7</v>
      </c>
      <c r="C159" s="32">
        <f t="shared" si="18"/>
        <v>0</v>
      </c>
      <c r="D159">
        <v>7</v>
      </c>
      <c r="E159">
        <v>7</v>
      </c>
      <c r="F159" s="32">
        <f t="shared" si="19"/>
        <v>0</v>
      </c>
      <c r="G159">
        <v>8</v>
      </c>
      <c r="H159">
        <v>5</v>
      </c>
      <c r="I159" s="32">
        <f t="shared" si="20"/>
        <v>3</v>
      </c>
      <c r="J159">
        <v>9</v>
      </c>
      <c r="K159">
        <v>7</v>
      </c>
      <c r="L159" s="32">
        <f t="shared" si="21"/>
        <v>2</v>
      </c>
      <c r="M159">
        <v>7</v>
      </c>
      <c r="N159">
        <v>6</v>
      </c>
      <c r="O159" s="32">
        <f t="shared" si="22"/>
        <v>1</v>
      </c>
      <c r="P159">
        <v>8</v>
      </c>
      <c r="Q159">
        <v>6</v>
      </c>
      <c r="R159" s="32">
        <f t="shared" si="23"/>
        <v>2</v>
      </c>
      <c r="S159">
        <v>7</v>
      </c>
      <c r="T159">
        <v>5</v>
      </c>
      <c r="U159" s="32">
        <f t="shared" si="24"/>
        <v>2</v>
      </c>
      <c r="V159">
        <v>7</v>
      </c>
      <c r="W159">
        <v>6</v>
      </c>
      <c r="X159" s="32">
        <f t="shared" si="25"/>
        <v>1</v>
      </c>
      <c r="Y159">
        <v>9</v>
      </c>
      <c r="Z159">
        <v>7</v>
      </c>
      <c r="AA159" s="32">
        <f t="shared" si="26"/>
        <v>2</v>
      </c>
    </row>
    <row r="160" spans="1:27" x14ac:dyDescent="0.45">
      <c r="A160">
        <v>7</v>
      </c>
      <c r="B160">
        <v>7</v>
      </c>
      <c r="C160" s="32">
        <f t="shared" si="18"/>
        <v>0</v>
      </c>
      <c r="D160">
        <v>7</v>
      </c>
      <c r="E160">
        <v>7</v>
      </c>
      <c r="F160" s="32">
        <f t="shared" si="19"/>
        <v>0</v>
      </c>
      <c r="G160">
        <v>8</v>
      </c>
      <c r="H160">
        <v>5</v>
      </c>
      <c r="I160" s="32">
        <f t="shared" si="20"/>
        <v>3</v>
      </c>
      <c r="J160">
        <v>9</v>
      </c>
      <c r="K160">
        <v>7</v>
      </c>
      <c r="L160" s="32">
        <f t="shared" si="21"/>
        <v>2</v>
      </c>
      <c r="M160">
        <v>7</v>
      </c>
      <c r="N160">
        <v>6</v>
      </c>
      <c r="O160" s="32">
        <f t="shared" si="22"/>
        <v>1</v>
      </c>
      <c r="P160">
        <v>8</v>
      </c>
      <c r="Q160">
        <v>6</v>
      </c>
      <c r="R160" s="32">
        <f t="shared" si="23"/>
        <v>2</v>
      </c>
      <c r="S160">
        <v>7</v>
      </c>
      <c r="T160">
        <v>5</v>
      </c>
      <c r="U160" s="32">
        <f t="shared" si="24"/>
        <v>2</v>
      </c>
      <c r="V160">
        <v>7</v>
      </c>
      <c r="W160">
        <v>6</v>
      </c>
      <c r="X160" s="32">
        <f t="shared" si="25"/>
        <v>1</v>
      </c>
      <c r="Y160">
        <v>9</v>
      </c>
      <c r="Z160">
        <v>7</v>
      </c>
      <c r="AA160" s="32">
        <f t="shared" si="26"/>
        <v>2</v>
      </c>
    </row>
    <row r="161" spans="1:27" x14ac:dyDescent="0.45">
      <c r="A161">
        <v>7</v>
      </c>
      <c r="B161">
        <v>7</v>
      </c>
      <c r="C161" s="32">
        <f t="shared" si="18"/>
        <v>0</v>
      </c>
      <c r="D161">
        <v>7</v>
      </c>
      <c r="E161">
        <v>7</v>
      </c>
      <c r="F161" s="32">
        <f t="shared" si="19"/>
        <v>0</v>
      </c>
      <c r="G161">
        <v>8</v>
      </c>
      <c r="H161">
        <v>5</v>
      </c>
      <c r="I161" s="32">
        <f t="shared" si="20"/>
        <v>3</v>
      </c>
      <c r="J161">
        <v>9</v>
      </c>
      <c r="K161">
        <v>7</v>
      </c>
      <c r="L161" s="32">
        <f t="shared" si="21"/>
        <v>2</v>
      </c>
      <c r="M161">
        <v>7</v>
      </c>
      <c r="N161">
        <v>6</v>
      </c>
      <c r="O161" s="32">
        <f t="shared" si="22"/>
        <v>1</v>
      </c>
      <c r="P161">
        <v>8</v>
      </c>
      <c r="Q161">
        <v>6</v>
      </c>
      <c r="R161" s="32">
        <f t="shared" si="23"/>
        <v>2</v>
      </c>
      <c r="S161">
        <v>7</v>
      </c>
      <c r="T161">
        <v>5</v>
      </c>
      <c r="U161" s="32">
        <f t="shared" si="24"/>
        <v>2</v>
      </c>
      <c r="V161">
        <v>7</v>
      </c>
      <c r="W161">
        <v>6</v>
      </c>
      <c r="X161" s="32">
        <f t="shared" si="25"/>
        <v>1</v>
      </c>
      <c r="Y161">
        <v>9</v>
      </c>
      <c r="Z161">
        <v>7</v>
      </c>
      <c r="AA161" s="32">
        <f t="shared" si="26"/>
        <v>2</v>
      </c>
    </row>
    <row r="162" spans="1:27" x14ac:dyDescent="0.45">
      <c r="A162">
        <v>7</v>
      </c>
      <c r="B162">
        <v>7</v>
      </c>
      <c r="C162" s="32">
        <f t="shared" si="18"/>
        <v>0</v>
      </c>
      <c r="D162">
        <v>7</v>
      </c>
      <c r="E162">
        <v>7</v>
      </c>
      <c r="F162" s="32">
        <f t="shared" si="19"/>
        <v>0</v>
      </c>
      <c r="G162">
        <v>8</v>
      </c>
      <c r="H162">
        <v>5</v>
      </c>
      <c r="I162" s="32">
        <f t="shared" si="20"/>
        <v>3</v>
      </c>
      <c r="J162">
        <v>9</v>
      </c>
      <c r="K162">
        <v>7</v>
      </c>
      <c r="L162" s="32">
        <f t="shared" si="21"/>
        <v>2</v>
      </c>
      <c r="M162">
        <v>7</v>
      </c>
      <c r="N162">
        <v>6</v>
      </c>
      <c r="O162" s="32">
        <f t="shared" si="22"/>
        <v>1</v>
      </c>
      <c r="P162">
        <v>8</v>
      </c>
      <c r="Q162">
        <v>6</v>
      </c>
      <c r="R162" s="32">
        <f t="shared" si="23"/>
        <v>2</v>
      </c>
      <c r="S162">
        <v>7</v>
      </c>
      <c r="T162">
        <v>5</v>
      </c>
      <c r="U162" s="32">
        <f t="shared" si="24"/>
        <v>2</v>
      </c>
      <c r="V162">
        <v>7</v>
      </c>
      <c r="W162">
        <v>6</v>
      </c>
      <c r="X162" s="32">
        <f t="shared" si="25"/>
        <v>1</v>
      </c>
      <c r="Y162">
        <v>9</v>
      </c>
      <c r="Z162">
        <v>7</v>
      </c>
      <c r="AA162" s="32">
        <f t="shared" si="26"/>
        <v>2</v>
      </c>
    </row>
    <row r="163" spans="1:27" x14ac:dyDescent="0.45">
      <c r="A163">
        <v>7</v>
      </c>
      <c r="B163">
        <v>7</v>
      </c>
      <c r="C163" s="32">
        <f t="shared" si="18"/>
        <v>0</v>
      </c>
      <c r="D163">
        <v>7</v>
      </c>
      <c r="E163">
        <v>7</v>
      </c>
      <c r="F163" s="32">
        <f t="shared" si="19"/>
        <v>0</v>
      </c>
      <c r="G163">
        <v>8</v>
      </c>
      <c r="H163">
        <v>5</v>
      </c>
      <c r="I163" s="32">
        <f t="shared" si="20"/>
        <v>3</v>
      </c>
      <c r="J163">
        <v>9</v>
      </c>
      <c r="K163">
        <v>7</v>
      </c>
      <c r="L163" s="32">
        <f t="shared" si="21"/>
        <v>2</v>
      </c>
      <c r="M163">
        <v>7</v>
      </c>
      <c r="N163">
        <v>6</v>
      </c>
      <c r="O163" s="32">
        <f t="shared" si="22"/>
        <v>1</v>
      </c>
      <c r="P163">
        <v>8</v>
      </c>
      <c r="Q163">
        <v>6</v>
      </c>
      <c r="R163" s="32">
        <f t="shared" si="23"/>
        <v>2</v>
      </c>
      <c r="S163">
        <v>7</v>
      </c>
      <c r="T163">
        <v>5</v>
      </c>
      <c r="U163" s="32">
        <f t="shared" si="24"/>
        <v>2</v>
      </c>
      <c r="V163">
        <v>7</v>
      </c>
      <c r="W163">
        <v>6</v>
      </c>
      <c r="X163" s="32">
        <f t="shared" si="25"/>
        <v>1</v>
      </c>
      <c r="Y163">
        <v>9</v>
      </c>
      <c r="Z163">
        <v>7</v>
      </c>
      <c r="AA163" s="32">
        <f t="shared" si="26"/>
        <v>2</v>
      </c>
    </row>
    <row r="164" spans="1:27" x14ac:dyDescent="0.45">
      <c r="A164">
        <v>7</v>
      </c>
      <c r="B164">
        <v>7</v>
      </c>
      <c r="C164" s="32">
        <f t="shared" si="18"/>
        <v>0</v>
      </c>
      <c r="D164">
        <v>7</v>
      </c>
      <c r="E164">
        <v>7</v>
      </c>
      <c r="F164" s="32">
        <f t="shared" si="19"/>
        <v>0</v>
      </c>
      <c r="G164">
        <v>8</v>
      </c>
      <c r="H164">
        <v>5</v>
      </c>
      <c r="I164" s="32">
        <f t="shared" si="20"/>
        <v>3</v>
      </c>
      <c r="J164">
        <v>9</v>
      </c>
      <c r="K164">
        <v>7</v>
      </c>
      <c r="L164" s="32">
        <f t="shared" si="21"/>
        <v>2</v>
      </c>
      <c r="M164">
        <v>7</v>
      </c>
      <c r="N164">
        <v>6</v>
      </c>
      <c r="O164" s="32">
        <f t="shared" si="22"/>
        <v>1</v>
      </c>
      <c r="P164">
        <v>8</v>
      </c>
      <c r="Q164">
        <v>6</v>
      </c>
      <c r="R164" s="32">
        <f t="shared" si="23"/>
        <v>2</v>
      </c>
      <c r="S164">
        <v>7</v>
      </c>
      <c r="T164">
        <v>5</v>
      </c>
      <c r="U164" s="32">
        <f t="shared" si="24"/>
        <v>2</v>
      </c>
      <c r="V164">
        <v>7</v>
      </c>
      <c r="W164">
        <v>6</v>
      </c>
      <c r="X164" s="32">
        <f t="shared" si="25"/>
        <v>1</v>
      </c>
      <c r="Y164">
        <v>9</v>
      </c>
      <c r="Z164">
        <v>7</v>
      </c>
      <c r="AA164" s="32">
        <f t="shared" si="26"/>
        <v>2</v>
      </c>
    </row>
    <row r="165" spans="1:27" x14ac:dyDescent="0.45">
      <c r="A165">
        <v>7</v>
      </c>
      <c r="B165">
        <v>7</v>
      </c>
      <c r="C165" s="32">
        <f t="shared" si="18"/>
        <v>0</v>
      </c>
      <c r="D165">
        <v>7</v>
      </c>
      <c r="E165">
        <v>7</v>
      </c>
      <c r="F165" s="32">
        <f t="shared" si="19"/>
        <v>0</v>
      </c>
      <c r="G165">
        <v>8</v>
      </c>
      <c r="H165">
        <v>5</v>
      </c>
      <c r="I165" s="32">
        <f t="shared" si="20"/>
        <v>3</v>
      </c>
      <c r="J165">
        <v>9</v>
      </c>
      <c r="K165">
        <v>7</v>
      </c>
      <c r="L165" s="32">
        <f t="shared" si="21"/>
        <v>2</v>
      </c>
      <c r="M165">
        <v>7</v>
      </c>
      <c r="N165">
        <v>6</v>
      </c>
      <c r="O165" s="32">
        <f t="shared" si="22"/>
        <v>1</v>
      </c>
      <c r="P165">
        <v>8</v>
      </c>
      <c r="Q165">
        <v>6</v>
      </c>
      <c r="R165" s="32">
        <f t="shared" si="23"/>
        <v>2</v>
      </c>
      <c r="S165">
        <v>7</v>
      </c>
      <c r="T165">
        <v>5</v>
      </c>
      <c r="U165" s="32">
        <f t="shared" si="24"/>
        <v>2</v>
      </c>
      <c r="V165">
        <v>7</v>
      </c>
      <c r="W165">
        <v>6</v>
      </c>
      <c r="X165" s="32">
        <f t="shared" si="25"/>
        <v>1</v>
      </c>
      <c r="Y165">
        <v>9</v>
      </c>
      <c r="Z165">
        <v>7</v>
      </c>
      <c r="AA165" s="32">
        <f t="shared" si="26"/>
        <v>2</v>
      </c>
    </row>
    <row r="166" spans="1:27" x14ac:dyDescent="0.45">
      <c r="A166">
        <v>7</v>
      </c>
      <c r="B166">
        <v>7</v>
      </c>
      <c r="C166" s="32">
        <f t="shared" si="18"/>
        <v>0</v>
      </c>
      <c r="D166">
        <v>7</v>
      </c>
      <c r="E166">
        <v>7</v>
      </c>
      <c r="F166" s="32">
        <f t="shared" si="19"/>
        <v>0</v>
      </c>
      <c r="G166">
        <v>8</v>
      </c>
      <c r="H166">
        <v>5</v>
      </c>
      <c r="I166" s="32">
        <f t="shared" si="20"/>
        <v>3</v>
      </c>
      <c r="J166">
        <v>9</v>
      </c>
      <c r="K166">
        <v>7</v>
      </c>
      <c r="L166" s="32">
        <f t="shared" si="21"/>
        <v>2</v>
      </c>
      <c r="M166">
        <v>7</v>
      </c>
      <c r="N166">
        <v>6</v>
      </c>
      <c r="O166" s="32">
        <f t="shared" si="22"/>
        <v>1</v>
      </c>
      <c r="P166">
        <v>8</v>
      </c>
      <c r="Q166">
        <v>6</v>
      </c>
      <c r="R166" s="32">
        <f t="shared" si="23"/>
        <v>2</v>
      </c>
      <c r="S166">
        <v>7</v>
      </c>
      <c r="T166">
        <v>5</v>
      </c>
      <c r="U166" s="32">
        <f t="shared" si="24"/>
        <v>2</v>
      </c>
      <c r="V166">
        <v>7</v>
      </c>
      <c r="W166">
        <v>6</v>
      </c>
      <c r="X166" s="32">
        <f t="shared" si="25"/>
        <v>1</v>
      </c>
      <c r="Y166">
        <v>9</v>
      </c>
      <c r="Z166">
        <v>7</v>
      </c>
      <c r="AA166" s="32">
        <f t="shared" si="26"/>
        <v>2</v>
      </c>
    </row>
    <row r="167" spans="1:27" x14ac:dyDescent="0.45">
      <c r="A167">
        <v>7</v>
      </c>
      <c r="B167">
        <v>7</v>
      </c>
      <c r="C167" s="32">
        <f t="shared" si="18"/>
        <v>0</v>
      </c>
      <c r="D167">
        <v>7</v>
      </c>
      <c r="E167">
        <v>7</v>
      </c>
      <c r="F167" s="32">
        <f t="shared" si="19"/>
        <v>0</v>
      </c>
      <c r="G167">
        <v>8</v>
      </c>
      <c r="H167">
        <v>5</v>
      </c>
      <c r="I167" s="32">
        <f t="shared" si="20"/>
        <v>3</v>
      </c>
      <c r="J167">
        <v>9</v>
      </c>
      <c r="K167">
        <v>7</v>
      </c>
      <c r="L167" s="32">
        <f t="shared" si="21"/>
        <v>2</v>
      </c>
      <c r="M167">
        <v>7</v>
      </c>
      <c r="N167">
        <v>6</v>
      </c>
      <c r="O167" s="32">
        <f t="shared" si="22"/>
        <v>1</v>
      </c>
      <c r="P167">
        <v>8</v>
      </c>
      <c r="Q167">
        <v>6</v>
      </c>
      <c r="R167" s="32">
        <f t="shared" si="23"/>
        <v>2</v>
      </c>
      <c r="S167">
        <v>8</v>
      </c>
      <c r="T167">
        <v>5</v>
      </c>
      <c r="U167" s="32">
        <f t="shared" si="24"/>
        <v>3</v>
      </c>
      <c r="V167">
        <v>7</v>
      </c>
      <c r="W167">
        <v>6</v>
      </c>
      <c r="X167" s="32">
        <f t="shared" si="25"/>
        <v>1</v>
      </c>
      <c r="Y167">
        <v>9</v>
      </c>
      <c r="Z167">
        <v>7</v>
      </c>
      <c r="AA167" s="32">
        <f t="shared" si="26"/>
        <v>2</v>
      </c>
    </row>
    <row r="168" spans="1:27" x14ac:dyDescent="0.45">
      <c r="A168">
        <v>7</v>
      </c>
      <c r="B168">
        <v>7</v>
      </c>
      <c r="C168" s="32">
        <f t="shared" si="18"/>
        <v>0</v>
      </c>
      <c r="D168">
        <v>7</v>
      </c>
      <c r="E168">
        <v>7</v>
      </c>
      <c r="F168" s="32">
        <f t="shared" si="19"/>
        <v>0</v>
      </c>
      <c r="G168">
        <v>8</v>
      </c>
      <c r="H168">
        <v>5</v>
      </c>
      <c r="I168" s="32">
        <f t="shared" si="20"/>
        <v>3</v>
      </c>
      <c r="J168">
        <v>9</v>
      </c>
      <c r="K168">
        <v>7</v>
      </c>
      <c r="L168" s="32">
        <f t="shared" si="21"/>
        <v>2</v>
      </c>
      <c r="M168">
        <v>7</v>
      </c>
      <c r="N168">
        <v>6</v>
      </c>
      <c r="O168" s="32">
        <f t="shared" si="22"/>
        <v>1</v>
      </c>
      <c r="P168">
        <v>8</v>
      </c>
      <c r="Q168">
        <v>6</v>
      </c>
      <c r="R168" s="32">
        <f t="shared" si="23"/>
        <v>2</v>
      </c>
      <c r="S168">
        <v>8</v>
      </c>
      <c r="T168">
        <v>5</v>
      </c>
      <c r="U168" s="32">
        <f t="shared" si="24"/>
        <v>3</v>
      </c>
      <c r="V168">
        <v>7</v>
      </c>
      <c r="W168">
        <v>6</v>
      </c>
      <c r="X168" s="32">
        <f t="shared" si="25"/>
        <v>1</v>
      </c>
      <c r="Y168">
        <v>9</v>
      </c>
      <c r="Z168">
        <v>7</v>
      </c>
      <c r="AA168" s="32">
        <f t="shared" si="26"/>
        <v>2</v>
      </c>
    </row>
    <row r="169" spans="1:27" x14ac:dyDescent="0.45">
      <c r="A169">
        <v>7</v>
      </c>
      <c r="B169">
        <v>7</v>
      </c>
      <c r="C169" s="32">
        <f t="shared" si="18"/>
        <v>0</v>
      </c>
      <c r="D169">
        <v>7</v>
      </c>
      <c r="E169">
        <v>7</v>
      </c>
      <c r="F169" s="32">
        <f t="shared" si="19"/>
        <v>0</v>
      </c>
      <c r="G169">
        <v>8</v>
      </c>
      <c r="H169">
        <v>5</v>
      </c>
      <c r="I169" s="32">
        <f t="shared" si="20"/>
        <v>3</v>
      </c>
      <c r="J169">
        <v>9</v>
      </c>
      <c r="K169">
        <v>7</v>
      </c>
      <c r="L169" s="32">
        <f t="shared" si="21"/>
        <v>2</v>
      </c>
      <c r="M169">
        <v>7</v>
      </c>
      <c r="N169">
        <v>6</v>
      </c>
      <c r="O169" s="32">
        <f t="shared" si="22"/>
        <v>1</v>
      </c>
      <c r="P169">
        <v>8</v>
      </c>
      <c r="Q169">
        <v>6</v>
      </c>
      <c r="R169" s="32">
        <f t="shared" si="23"/>
        <v>2</v>
      </c>
      <c r="S169">
        <v>8</v>
      </c>
      <c r="T169">
        <v>5</v>
      </c>
      <c r="U169" s="32">
        <f t="shared" si="24"/>
        <v>3</v>
      </c>
      <c r="V169">
        <v>7</v>
      </c>
      <c r="W169">
        <v>6</v>
      </c>
      <c r="X169" s="32">
        <f t="shared" si="25"/>
        <v>1</v>
      </c>
      <c r="Y169">
        <v>9</v>
      </c>
      <c r="Z169">
        <v>7</v>
      </c>
      <c r="AA169" s="32">
        <f t="shared" si="26"/>
        <v>2</v>
      </c>
    </row>
    <row r="170" spans="1:27" x14ac:dyDescent="0.45">
      <c r="A170">
        <v>7</v>
      </c>
      <c r="B170">
        <v>7</v>
      </c>
      <c r="C170" s="32">
        <f t="shared" si="18"/>
        <v>0</v>
      </c>
      <c r="D170">
        <v>7</v>
      </c>
      <c r="E170">
        <v>7</v>
      </c>
      <c r="F170" s="32">
        <f t="shared" si="19"/>
        <v>0</v>
      </c>
      <c r="G170">
        <v>8</v>
      </c>
      <c r="H170">
        <v>5</v>
      </c>
      <c r="I170" s="32">
        <f t="shared" si="20"/>
        <v>3</v>
      </c>
      <c r="J170">
        <v>9</v>
      </c>
      <c r="K170">
        <v>7</v>
      </c>
      <c r="L170" s="32">
        <f t="shared" si="21"/>
        <v>2</v>
      </c>
      <c r="M170">
        <v>7</v>
      </c>
      <c r="N170">
        <v>6</v>
      </c>
      <c r="O170" s="32">
        <f t="shared" si="22"/>
        <v>1</v>
      </c>
      <c r="P170">
        <v>8</v>
      </c>
      <c r="Q170">
        <v>6</v>
      </c>
      <c r="R170" s="32">
        <f t="shared" si="23"/>
        <v>2</v>
      </c>
      <c r="S170">
        <v>8</v>
      </c>
      <c r="T170">
        <v>5</v>
      </c>
      <c r="U170" s="32">
        <f t="shared" si="24"/>
        <v>3</v>
      </c>
      <c r="V170">
        <v>7</v>
      </c>
      <c r="W170">
        <v>6</v>
      </c>
      <c r="X170" s="32">
        <f t="shared" si="25"/>
        <v>1</v>
      </c>
      <c r="Y170">
        <v>9</v>
      </c>
      <c r="Z170">
        <v>7</v>
      </c>
      <c r="AA170" s="32">
        <f t="shared" si="26"/>
        <v>2</v>
      </c>
    </row>
    <row r="171" spans="1:27" x14ac:dyDescent="0.45">
      <c r="A171">
        <v>7</v>
      </c>
      <c r="B171">
        <v>7</v>
      </c>
      <c r="C171" s="32">
        <f t="shared" si="18"/>
        <v>0</v>
      </c>
      <c r="D171">
        <v>7</v>
      </c>
      <c r="E171">
        <v>7</v>
      </c>
      <c r="F171" s="32">
        <f t="shared" si="19"/>
        <v>0</v>
      </c>
      <c r="G171">
        <v>8</v>
      </c>
      <c r="H171">
        <v>5</v>
      </c>
      <c r="I171" s="32">
        <f t="shared" si="20"/>
        <v>3</v>
      </c>
      <c r="J171">
        <v>9</v>
      </c>
      <c r="K171">
        <v>7</v>
      </c>
      <c r="L171" s="32">
        <f t="shared" si="21"/>
        <v>2</v>
      </c>
      <c r="M171">
        <v>7</v>
      </c>
      <c r="N171">
        <v>6</v>
      </c>
      <c r="O171" s="32">
        <f t="shared" si="22"/>
        <v>1</v>
      </c>
      <c r="P171">
        <v>8</v>
      </c>
      <c r="Q171">
        <v>6</v>
      </c>
      <c r="R171" s="32">
        <f t="shared" si="23"/>
        <v>2</v>
      </c>
      <c r="S171">
        <v>8</v>
      </c>
      <c r="T171">
        <v>5</v>
      </c>
      <c r="U171" s="32">
        <f t="shared" si="24"/>
        <v>3</v>
      </c>
      <c r="V171">
        <v>7</v>
      </c>
      <c r="W171">
        <v>6</v>
      </c>
      <c r="X171" s="32">
        <f t="shared" si="25"/>
        <v>1</v>
      </c>
      <c r="Y171">
        <v>9</v>
      </c>
      <c r="Z171">
        <v>7</v>
      </c>
      <c r="AA171" s="32">
        <f t="shared" si="26"/>
        <v>2</v>
      </c>
    </row>
    <row r="172" spans="1:27" x14ac:dyDescent="0.45">
      <c r="A172">
        <v>7</v>
      </c>
      <c r="B172">
        <v>7</v>
      </c>
      <c r="C172" s="32">
        <f t="shared" si="18"/>
        <v>0</v>
      </c>
      <c r="D172">
        <v>7</v>
      </c>
      <c r="E172">
        <v>7</v>
      </c>
      <c r="F172" s="32">
        <f t="shared" si="19"/>
        <v>0</v>
      </c>
      <c r="G172">
        <v>8</v>
      </c>
      <c r="H172">
        <v>5</v>
      </c>
      <c r="I172" s="32">
        <f t="shared" si="20"/>
        <v>3</v>
      </c>
      <c r="J172">
        <v>9</v>
      </c>
      <c r="K172">
        <v>7</v>
      </c>
      <c r="L172" s="32">
        <f t="shared" si="21"/>
        <v>2</v>
      </c>
      <c r="M172">
        <v>7</v>
      </c>
      <c r="N172">
        <v>6</v>
      </c>
      <c r="O172" s="32">
        <f t="shared" si="22"/>
        <v>1</v>
      </c>
      <c r="P172">
        <v>8</v>
      </c>
      <c r="Q172">
        <v>6</v>
      </c>
      <c r="R172" s="32">
        <f t="shared" si="23"/>
        <v>2</v>
      </c>
      <c r="S172">
        <v>8</v>
      </c>
      <c r="T172">
        <v>5</v>
      </c>
      <c r="U172" s="32">
        <f t="shared" si="24"/>
        <v>3</v>
      </c>
      <c r="V172">
        <v>7</v>
      </c>
      <c r="W172">
        <v>6</v>
      </c>
      <c r="X172" s="32">
        <f t="shared" si="25"/>
        <v>1</v>
      </c>
      <c r="Y172">
        <v>9</v>
      </c>
      <c r="Z172">
        <v>7</v>
      </c>
      <c r="AA172" s="32">
        <f t="shared" si="26"/>
        <v>2</v>
      </c>
    </row>
    <row r="173" spans="1:27" x14ac:dyDescent="0.45">
      <c r="A173">
        <v>7</v>
      </c>
      <c r="B173">
        <v>7</v>
      </c>
      <c r="C173" s="32">
        <f t="shared" si="18"/>
        <v>0</v>
      </c>
      <c r="D173">
        <v>7</v>
      </c>
      <c r="E173">
        <v>7</v>
      </c>
      <c r="F173" s="32">
        <f t="shared" si="19"/>
        <v>0</v>
      </c>
      <c r="G173">
        <v>8</v>
      </c>
      <c r="H173">
        <v>5</v>
      </c>
      <c r="I173" s="32">
        <f t="shared" si="20"/>
        <v>3</v>
      </c>
      <c r="J173">
        <v>9</v>
      </c>
      <c r="K173">
        <v>7</v>
      </c>
      <c r="L173" s="32">
        <f t="shared" si="21"/>
        <v>2</v>
      </c>
      <c r="M173">
        <v>7</v>
      </c>
      <c r="N173">
        <v>6</v>
      </c>
      <c r="O173" s="32">
        <f t="shared" si="22"/>
        <v>1</v>
      </c>
      <c r="P173">
        <v>8</v>
      </c>
      <c r="Q173">
        <v>6</v>
      </c>
      <c r="R173" s="32">
        <f t="shared" si="23"/>
        <v>2</v>
      </c>
      <c r="S173">
        <v>8</v>
      </c>
      <c r="T173">
        <v>5</v>
      </c>
      <c r="U173" s="32">
        <f t="shared" si="24"/>
        <v>3</v>
      </c>
      <c r="V173">
        <v>7</v>
      </c>
      <c r="W173">
        <v>6</v>
      </c>
      <c r="X173" s="32">
        <f t="shared" si="25"/>
        <v>1</v>
      </c>
      <c r="Y173">
        <v>9</v>
      </c>
      <c r="Z173">
        <v>7</v>
      </c>
      <c r="AA173" s="32">
        <f t="shared" si="26"/>
        <v>2</v>
      </c>
    </row>
    <row r="174" spans="1:27" x14ac:dyDescent="0.45">
      <c r="A174">
        <v>7</v>
      </c>
      <c r="B174">
        <v>7</v>
      </c>
      <c r="C174" s="32">
        <f t="shared" si="18"/>
        <v>0</v>
      </c>
      <c r="D174">
        <v>7</v>
      </c>
      <c r="E174">
        <v>7</v>
      </c>
      <c r="F174" s="32">
        <f t="shared" si="19"/>
        <v>0</v>
      </c>
      <c r="G174">
        <v>8</v>
      </c>
      <c r="H174">
        <v>6</v>
      </c>
      <c r="I174" s="32">
        <f t="shared" si="20"/>
        <v>2</v>
      </c>
      <c r="J174">
        <v>9</v>
      </c>
      <c r="K174">
        <v>7</v>
      </c>
      <c r="L174" s="32">
        <f t="shared" si="21"/>
        <v>2</v>
      </c>
      <c r="M174">
        <v>7</v>
      </c>
      <c r="N174">
        <v>6</v>
      </c>
      <c r="O174" s="32">
        <f t="shared" si="22"/>
        <v>1</v>
      </c>
      <c r="P174">
        <v>8</v>
      </c>
      <c r="Q174">
        <v>6</v>
      </c>
      <c r="R174" s="32">
        <f t="shared" si="23"/>
        <v>2</v>
      </c>
      <c r="S174">
        <v>8</v>
      </c>
      <c r="T174">
        <v>5</v>
      </c>
      <c r="U174" s="32">
        <f t="shared" si="24"/>
        <v>3</v>
      </c>
      <c r="V174">
        <v>7</v>
      </c>
      <c r="W174">
        <v>6</v>
      </c>
      <c r="X174" s="32">
        <f t="shared" si="25"/>
        <v>1</v>
      </c>
      <c r="Y174">
        <v>9</v>
      </c>
      <c r="Z174">
        <v>7</v>
      </c>
      <c r="AA174" s="32">
        <f t="shared" si="26"/>
        <v>2</v>
      </c>
    </row>
    <row r="175" spans="1:27" x14ac:dyDescent="0.45">
      <c r="A175">
        <v>7</v>
      </c>
      <c r="B175">
        <v>7</v>
      </c>
      <c r="C175" s="32">
        <f t="shared" si="18"/>
        <v>0</v>
      </c>
      <c r="D175">
        <v>7</v>
      </c>
      <c r="E175">
        <v>7</v>
      </c>
      <c r="F175" s="32">
        <f t="shared" si="19"/>
        <v>0</v>
      </c>
      <c r="G175">
        <v>8</v>
      </c>
      <c r="H175">
        <v>6</v>
      </c>
      <c r="I175" s="32">
        <f t="shared" si="20"/>
        <v>2</v>
      </c>
      <c r="J175">
        <v>9</v>
      </c>
      <c r="K175">
        <v>7</v>
      </c>
      <c r="L175" s="32">
        <f t="shared" si="21"/>
        <v>2</v>
      </c>
      <c r="M175">
        <v>7</v>
      </c>
      <c r="N175">
        <v>6</v>
      </c>
      <c r="O175" s="32">
        <f t="shared" si="22"/>
        <v>1</v>
      </c>
      <c r="P175">
        <v>8</v>
      </c>
      <c r="Q175">
        <v>7</v>
      </c>
      <c r="R175" s="32">
        <f t="shared" si="23"/>
        <v>1</v>
      </c>
      <c r="S175">
        <v>8</v>
      </c>
      <c r="T175">
        <v>5</v>
      </c>
      <c r="U175" s="32">
        <f t="shared" si="24"/>
        <v>3</v>
      </c>
      <c r="V175">
        <v>7</v>
      </c>
      <c r="W175">
        <v>6</v>
      </c>
      <c r="X175" s="32">
        <f t="shared" si="25"/>
        <v>1</v>
      </c>
      <c r="Y175">
        <v>9</v>
      </c>
      <c r="Z175">
        <v>7</v>
      </c>
      <c r="AA175" s="32">
        <f t="shared" si="26"/>
        <v>2</v>
      </c>
    </row>
    <row r="176" spans="1:27" x14ac:dyDescent="0.45">
      <c r="A176">
        <v>7</v>
      </c>
      <c r="B176">
        <v>7</v>
      </c>
      <c r="C176" s="32">
        <f t="shared" si="18"/>
        <v>0</v>
      </c>
      <c r="D176">
        <v>7</v>
      </c>
      <c r="E176">
        <v>7</v>
      </c>
      <c r="F176" s="32">
        <f t="shared" si="19"/>
        <v>0</v>
      </c>
      <c r="G176">
        <v>8</v>
      </c>
      <c r="H176">
        <v>6</v>
      </c>
      <c r="I176" s="32">
        <f t="shared" si="20"/>
        <v>2</v>
      </c>
      <c r="J176">
        <v>9</v>
      </c>
      <c r="K176">
        <v>7</v>
      </c>
      <c r="L176" s="32">
        <f t="shared" si="21"/>
        <v>2</v>
      </c>
      <c r="M176">
        <v>7</v>
      </c>
      <c r="N176">
        <v>6</v>
      </c>
      <c r="O176" s="32">
        <f t="shared" si="22"/>
        <v>1</v>
      </c>
      <c r="P176">
        <v>8</v>
      </c>
      <c r="Q176">
        <v>7</v>
      </c>
      <c r="R176" s="32">
        <f t="shared" si="23"/>
        <v>1</v>
      </c>
      <c r="S176">
        <v>8</v>
      </c>
      <c r="T176">
        <v>5</v>
      </c>
      <c r="U176" s="32">
        <f t="shared" si="24"/>
        <v>3</v>
      </c>
      <c r="V176">
        <v>7</v>
      </c>
      <c r="W176">
        <v>6</v>
      </c>
      <c r="X176" s="32">
        <f t="shared" si="25"/>
        <v>1</v>
      </c>
      <c r="Y176">
        <v>9</v>
      </c>
      <c r="Z176">
        <v>7</v>
      </c>
      <c r="AA176" s="32">
        <f t="shared" si="26"/>
        <v>2</v>
      </c>
    </row>
    <row r="177" spans="1:27" x14ac:dyDescent="0.45">
      <c r="A177">
        <v>7</v>
      </c>
      <c r="B177">
        <v>7</v>
      </c>
      <c r="C177" s="32">
        <f t="shared" si="18"/>
        <v>0</v>
      </c>
      <c r="D177">
        <v>7</v>
      </c>
      <c r="E177">
        <v>7</v>
      </c>
      <c r="F177" s="32">
        <f t="shared" si="19"/>
        <v>0</v>
      </c>
      <c r="G177">
        <v>8</v>
      </c>
      <c r="H177">
        <v>6</v>
      </c>
      <c r="I177" s="32">
        <f t="shared" si="20"/>
        <v>2</v>
      </c>
      <c r="J177">
        <v>9</v>
      </c>
      <c r="K177">
        <v>7</v>
      </c>
      <c r="L177" s="32">
        <f t="shared" si="21"/>
        <v>2</v>
      </c>
      <c r="M177">
        <v>7</v>
      </c>
      <c r="N177">
        <v>6</v>
      </c>
      <c r="O177" s="32">
        <f t="shared" si="22"/>
        <v>1</v>
      </c>
      <c r="P177">
        <v>9</v>
      </c>
      <c r="Q177">
        <v>7</v>
      </c>
      <c r="R177" s="32">
        <f t="shared" si="23"/>
        <v>2</v>
      </c>
      <c r="S177">
        <v>8</v>
      </c>
      <c r="T177">
        <v>5</v>
      </c>
      <c r="U177" s="32">
        <f t="shared" si="24"/>
        <v>3</v>
      </c>
      <c r="V177">
        <v>7</v>
      </c>
      <c r="W177">
        <v>6</v>
      </c>
      <c r="X177" s="32">
        <f t="shared" si="25"/>
        <v>1</v>
      </c>
      <c r="Y177">
        <v>9</v>
      </c>
      <c r="Z177">
        <v>7</v>
      </c>
      <c r="AA177" s="32">
        <f t="shared" si="26"/>
        <v>2</v>
      </c>
    </row>
    <row r="178" spans="1:27" x14ac:dyDescent="0.45">
      <c r="A178">
        <v>7</v>
      </c>
      <c r="B178">
        <v>7</v>
      </c>
      <c r="C178" s="32">
        <f t="shared" si="18"/>
        <v>0</v>
      </c>
      <c r="D178">
        <v>7</v>
      </c>
      <c r="E178">
        <v>7</v>
      </c>
      <c r="F178" s="32">
        <f t="shared" si="19"/>
        <v>0</v>
      </c>
      <c r="G178">
        <v>8</v>
      </c>
      <c r="H178">
        <v>6</v>
      </c>
      <c r="I178" s="32">
        <f t="shared" si="20"/>
        <v>2</v>
      </c>
      <c r="J178">
        <v>9</v>
      </c>
      <c r="K178">
        <v>7</v>
      </c>
      <c r="L178" s="32">
        <f t="shared" si="21"/>
        <v>2</v>
      </c>
      <c r="M178">
        <v>7</v>
      </c>
      <c r="N178">
        <v>6</v>
      </c>
      <c r="O178" s="32">
        <f t="shared" si="22"/>
        <v>1</v>
      </c>
      <c r="P178">
        <v>9</v>
      </c>
      <c r="Q178">
        <v>7</v>
      </c>
      <c r="R178" s="32">
        <f t="shared" si="23"/>
        <v>2</v>
      </c>
      <c r="S178">
        <v>8</v>
      </c>
      <c r="T178">
        <v>5</v>
      </c>
      <c r="U178" s="32">
        <f t="shared" si="24"/>
        <v>3</v>
      </c>
      <c r="V178">
        <v>7</v>
      </c>
      <c r="W178">
        <v>6</v>
      </c>
      <c r="X178" s="32">
        <f t="shared" si="25"/>
        <v>1</v>
      </c>
      <c r="Y178">
        <v>9</v>
      </c>
      <c r="Z178">
        <v>7</v>
      </c>
      <c r="AA178" s="32">
        <f t="shared" si="26"/>
        <v>2</v>
      </c>
    </row>
    <row r="179" spans="1:27" x14ac:dyDescent="0.45">
      <c r="A179">
        <v>7</v>
      </c>
      <c r="B179">
        <v>7</v>
      </c>
      <c r="C179" s="32">
        <f t="shared" si="18"/>
        <v>0</v>
      </c>
      <c r="D179">
        <v>7</v>
      </c>
      <c r="E179">
        <v>7</v>
      </c>
      <c r="F179" s="32">
        <f t="shared" si="19"/>
        <v>0</v>
      </c>
      <c r="G179">
        <v>8</v>
      </c>
      <c r="H179">
        <v>6</v>
      </c>
      <c r="I179" s="32">
        <f t="shared" si="20"/>
        <v>2</v>
      </c>
      <c r="J179">
        <v>9</v>
      </c>
      <c r="K179">
        <v>7</v>
      </c>
      <c r="L179" s="32">
        <f t="shared" si="21"/>
        <v>2</v>
      </c>
      <c r="M179">
        <v>8</v>
      </c>
      <c r="N179">
        <v>6</v>
      </c>
      <c r="O179" s="32">
        <f t="shared" si="22"/>
        <v>2</v>
      </c>
      <c r="P179">
        <v>9</v>
      </c>
      <c r="Q179">
        <v>7</v>
      </c>
      <c r="R179" s="32">
        <f t="shared" si="23"/>
        <v>2</v>
      </c>
      <c r="S179">
        <v>8</v>
      </c>
      <c r="T179">
        <v>5</v>
      </c>
      <c r="U179" s="32">
        <f t="shared" si="24"/>
        <v>3</v>
      </c>
      <c r="V179">
        <v>7</v>
      </c>
      <c r="W179">
        <v>6</v>
      </c>
      <c r="X179" s="32">
        <f t="shared" si="25"/>
        <v>1</v>
      </c>
      <c r="Y179">
        <v>9</v>
      </c>
      <c r="Z179">
        <v>7</v>
      </c>
      <c r="AA179" s="32">
        <f t="shared" si="26"/>
        <v>2</v>
      </c>
    </row>
    <row r="180" spans="1:27" x14ac:dyDescent="0.45">
      <c r="A180">
        <v>7</v>
      </c>
      <c r="B180">
        <v>7</v>
      </c>
      <c r="C180" s="32">
        <f t="shared" si="18"/>
        <v>0</v>
      </c>
      <c r="D180">
        <v>7</v>
      </c>
      <c r="E180">
        <v>7</v>
      </c>
      <c r="F180" s="32">
        <f t="shared" si="19"/>
        <v>0</v>
      </c>
      <c r="G180">
        <v>8</v>
      </c>
      <c r="H180">
        <v>6</v>
      </c>
      <c r="I180" s="32">
        <f t="shared" si="20"/>
        <v>2</v>
      </c>
      <c r="J180">
        <v>9</v>
      </c>
      <c r="K180">
        <v>7</v>
      </c>
      <c r="L180" s="32">
        <f t="shared" si="21"/>
        <v>2</v>
      </c>
      <c r="M180">
        <v>8</v>
      </c>
      <c r="N180">
        <v>6</v>
      </c>
      <c r="O180" s="32">
        <f t="shared" si="22"/>
        <v>2</v>
      </c>
      <c r="P180">
        <v>9</v>
      </c>
      <c r="Q180">
        <v>7</v>
      </c>
      <c r="R180" s="32">
        <f t="shared" si="23"/>
        <v>2</v>
      </c>
      <c r="S180">
        <v>8</v>
      </c>
      <c r="T180">
        <v>5</v>
      </c>
      <c r="U180" s="32">
        <f t="shared" si="24"/>
        <v>3</v>
      </c>
      <c r="V180">
        <v>7</v>
      </c>
      <c r="W180">
        <v>6</v>
      </c>
      <c r="X180" s="32">
        <f t="shared" si="25"/>
        <v>1</v>
      </c>
      <c r="Y180">
        <v>9</v>
      </c>
      <c r="Z180">
        <v>7</v>
      </c>
      <c r="AA180" s="32">
        <f t="shared" si="26"/>
        <v>2</v>
      </c>
    </row>
    <row r="181" spans="1:27" x14ac:dyDescent="0.45">
      <c r="A181">
        <v>7</v>
      </c>
      <c r="B181">
        <v>7</v>
      </c>
      <c r="C181" s="32">
        <f t="shared" si="18"/>
        <v>0</v>
      </c>
      <c r="D181">
        <v>7</v>
      </c>
      <c r="E181">
        <v>7</v>
      </c>
      <c r="F181" s="32">
        <f t="shared" si="19"/>
        <v>0</v>
      </c>
      <c r="G181">
        <v>8</v>
      </c>
      <c r="H181">
        <v>6</v>
      </c>
      <c r="I181" s="32">
        <f t="shared" si="20"/>
        <v>2</v>
      </c>
      <c r="J181">
        <v>9</v>
      </c>
      <c r="K181">
        <v>7</v>
      </c>
      <c r="L181" s="32">
        <f t="shared" si="21"/>
        <v>2</v>
      </c>
      <c r="M181">
        <v>8</v>
      </c>
      <c r="N181">
        <v>6</v>
      </c>
      <c r="O181" s="32">
        <f t="shared" si="22"/>
        <v>2</v>
      </c>
      <c r="P181">
        <v>9</v>
      </c>
      <c r="Q181">
        <v>7</v>
      </c>
      <c r="R181" s="32">
        <f t="shared" si="23"/>
        <v>2</v>
      </c>
      <c r="S181">
        <v>8</v>
      </c>
      <c r="T181">
        <v>5</v>
      </c>
      <c r="U181" s="32">
        <f t="shared" si="24"/>
        <v>3</v>
      </c>
      <c r="V181">
        <v>8</v>
      </c>
      <c r="W181">
        <v>6</v>
      </c>
      <c r="X181" s="32">
        <f t="shared" si="25"/>
        <v>2</v>
      </c>
      <c r="Y181">
        <v>9</v>
      </c>
      <c r="Z181">
        <v>7</v>
      </c>
      <c r="AA181" s="32">
        <f t="shared" si="26"/>
        <v>2</v>
      </c>
    </row>
    <row r="182" spans="1:27" x14ac:dyDescent="0.45">
      <c r="A182">
        <v>7</v>
      </c>
      <c r="B182">
        <v>7</v>
      </c>
      <c r="C182" s="32">
        <f t="shared" si="18"/>
        <v>0</v>
      </c>
      <c r="D182">
        <v>7</v>
      </c>
      <c r="E182">
        <v>7</v>
      </c>
      <c r="F182" s="32">
        <f t="shared" si="19"/>
        <v>0</v>
      </c>
      <c r="G182">
        <v>8</v>
      </c>
      <c r="H182">
        <v>6</v>
      </c>
      <c r="I182" s="32">
        <f t="shared" si="20"/>
        <v>2</v>
      </c>
      <c r="J182">
        <v>9</v>
      </c>
      <c r="K182">
        <v>7</v>
      </c>
      <c r="L182" s="32">
        <f t="shared" si="21"/>
        <v>2</v>
      </c>
      <c r="M182">
        <v>8</v>
      </c>
      <c r="N182">
        <v>6</v>
      </c>
      <c r="O182" s="32">
        <f t="shared" si="22"/>
        <v>2</v>
      </c>
      <c r="P182">
        <v>9</v>
      </c>
      <c r="Q182">
        <v>7</v>
      </c>
      <c r="R182" s="32">
        <f t="shared" si="23"/>
        <v>2</v>
      </c>
      <c r="S182">
        <v>8</v>
      </c>
      <c r="T182">
        <v>5</v>
      </c>
      <c r="U182" s="32">
        <f t="shared" si="24"/>
        <v>3</v>
      </c>
      <c r="V182">
        <v>8</v>
      </c>
      <c r="W182">
        <v>6</v>
      </c>
      <c r="X182" s="32">
        <f t="shared" si="25"/>
        <v>2</v>
      </c>
      <c r="Y182">
        <v>9</v>
      </c>
      <c r="Z182">
        <v>7</v>
      </c>
      <c r="AA182" s="32">
        <f t="shared" si="26"/>
        <v>2</v>
      </c>
    </row>
    <row r="183" spans="1:27" x14ac:dyDescent="0.45">
      <c r="A183">
        <v>7</v>
      </c>
      <c r="B183">
        <v>7</v>
      </c>
      <c r="C183" s="32">
        <f t="shared" si="18"/>
        <v>0</v>
      </c>
      <c r="D183">
        <v>7</v>
      </c>
      <c r="E183">
        <v>7</v>
      </c>
      <c r="F183" s="32">
        <f t="shared" si="19"/>
        <v>0</v>
      </c>
      <c r="G183">
        <v>8</v>
      </c>
      <c r="H183">
        <v>6</v>
      </c>
      <c r="I183" s="32">
        <f t="shared" si="20"/>
        <v>2</v>
      </c>
      <c r="J183">
        <v>9</v>
      </c>
      <c r="K183">
        <v>7</v>
      </c>
      <c r="L183" s="32">
        <f t="shared" si="21"/>
        <v>2</v>
      </c>
      <c r="M183">
        <v>8</v>
      </c>
      <c r="N183">
        <v>6</v>
      </c>
      <c r="O183" s="32">
        <f t="shared" si="22"/>
        <v>2</v>
      </c>
      <c r="P183">
        <v>9</v>
      </c>
      <c r="Q183">
        <v>7</v>
      </c>
      <c r="R183" s="32">
        <f t="shared" si="23"/>
        <v>2</v>
      </c>
      <c r="S183">
        <v>8</v>
      </c>
      <c r="T183">
        <v>5</v>
      </c>
      <c r="U183" s="32">
        <f t="shared" si="24"/>
        <v>3</v>
      </c>
      <c r="V183">
        <v>8</v>
      </c>
      <c r="W183">
        <v>6</v>
      </c>
      <c r="X183" s="32">
        <f t="shared" si="25"/>
        <v>2</v>
      </c>
      <c r="Y183">
        <v>9</v>
      </c>
      <c r="Z183">
        <v>7</v>
      </c>
      <c r="AA183" s="32">
        <f t="shared" si="26"/>
        <v>2</v>
      </c>
    </row>
    <row r="184" spans="1:27" x14ac:dyDescent="0.45">
      <c r="A184">
        <v>7</v>
      </c>
      <c r="B184">
        <v>7</v>
      </c>
      <c r="C184" s="32">
        <f t="shared" si="18"/>
        <v>0</v>
      </c>
      <c r="D184">
        <v>7</v>
      </c>
      <c r="E184">
        <v>7</v>
      </c>
      <c r="F184" s="32">
        <f t="shared" si="19"/>
        <v>0</v>
      </c>
      <c r="G184">
        <v>8</v>
      </c>
      <c r="H184">
        <v>6</v>
      </c>
      <c r="I184" s="32">
        <f t="shared" si="20"/>
        <v>2</v>
      </c>
      <c r="J184">
        <v>9</v>
      </c>
      <c r="K184">
        <v>7</v>
      </c>
      <c r="L184" s="32">
        <f t="shared" si="21"/>
        <v>2</v>
      </c>
      <c r="M184">
        <v>8</v>
      </c>
      <c r="N184">
        <v>6</v>
      </c>
      <c r="O184" s="32">
        <f t="shared" si="22"/>
        <v>2</v>
      </c>
      <c r="P184">
        <v>9</v>
      </c>
      <c r="Q184">
        <v>7</v>
      </c>
      <c r="R184" s="32">
        <f t="shared" si="23"/>
        <v>2</v>
      </c>
      <c r="S184">
        <v>8</v>
      </c>
      <c r="T184">
        <v>5</v>
      </c>
      <c r="U184" s="32">
        <f t="shared" si="24"/>
        <v>3</v>
      </c>
      <c r="V184">
        <v>8</v>
      </c>
      <c r="W184">
        <v>6</v>
      </c>
      <c r="X184" s="32">
        <f t="shared" si="25"/>
        <v>2</v>
      </c>
      <c r="Y184">
        <v>9</v>
      </c>
      <c r="Z184">
        <v>7</v>
      </c>
      <c r="AA184" s="32">
        <f t="shared" si="26"/>
        <v>2</v>
      </c>
    </row>
    <row r="185" spans="1:27" x14ac:dyDescent="0.45">
      <c r="A185">
        <v>7</v>
      </c>
      <c r="B185">
        <v>7</v>
      </c>
      <c r="C185" s="32">
        <f t="shared" si="18"/>
        <v>0</v>
      </c>
      <c r="D185">
        <v>7</v>
      </c>
      <c r="E185">
        <v>7</v>
      </c>
      <c r="F185" s="32">
        <f t="shared" si="19"/>
        <v>0</v>
      </c>
      <c r="G185">
        <v>8</v>
      </c>
      <c r="H185">
        <v>6</v>
      </c>
      <c r="I185" s="32">
        <f t="shared" si="20"/>
        <v>2</v>
      </c>
      <c r="J185">
        <v>9</v>
      </c>
      <c r="K185">
        <v>7</v>
      </c>
      <c r="L185" s="32">
        <f t="shared" si="21"/>
        <v>2</v>
      </c>
      <c r="M185">
        <v>8</v>
      </c>
      <c r="N185">
        <v>6</v>
      </c>
      <c r="O185" s="32">
        <f t="shared" si="22"/>
        <v>2</v>
      </c>
      <c r="P185">
        <v>9</v>
      </c>
      <c r="Q185">
        <v>7</v>
      </c>
      <c r="R185" s="32">
        <f t="shared" si="23"/>
        <v>2</v>
      </c>
      <c r="S185">
        <v>8</v>
      </c>
      <c r="T185">
        <v>5</v>
      </c>
      <c r="U185" s="32">
        <f t="shared" si="24"/>
        <v>3</v>
      </c>
      <c r="V185">
        <v>8</v>
      </c>
      <c r="W185">
        <v>6</v>
      </c>
      <c r="X185" s="32">
        <f t="shared" si="25"/>
        <v>2</v>
      </c>
      <c r="Y185">
        <v>9</v>
      </c>
      <c r="Z185">
        <v>7</v>
      </c>
      <c r="AA185" s="32">
        <f t="shared" si="26"/>
        <v>2</v>
      </c>
    </row>
    <row r="186" spans="1:27" x14ac:dyDescent="0.45">
      <c r="A186">
        <v>7</v>
      </c>
      <c r="B186">
        <v>7</v>
      </c>
      <c r="C186" s="32">
        <f t="shared" si="18"/>
        <v>0</v>
      </c>
      <c r="D186">
        <v>7</v>
      </c>
      <c r="E186">
        <v>7</v>
      </c>
      <c r="F186" s="32">
        <f t="shared" si="19"/>
        <v>0</v>
      </c>
      <c r="G186">
        <v>8</v>
      </c>
      <c r="H186">
        <v>6</v>
      </c>
      <c r="I186" s="32">
        <f t="shared" si="20"/>
        <v>2</v>
      </c>
      <c r="J186">
        <v>9</v>
      </c>
      <c r="K186">
        <v>7</v>
      </c>
      <c r="L186" s="32">
        <f t="shared" si="21"/>
        <v>2</v>
      </c>
      <c r="M186">
        <v>8</v>
      </c>
      <c r="N186">
        <v>6</v>
      </c>
      <c r="O186" s="32">
        <f t="shared" si="22"/>
        <v>2</v>
      </c>
      <c r="P186">
        <v>9</v>
      </c>
      <c r="Q186">
        <v>7</v>
      </c>
      <c r="R186" s="32">
        <f t="shared" si="23"/>
        <v>2</v>
      </c>
      <c r="S186">
        <v>8</v>
      </c>
      <c r="T186">
        <v>5</v>
      </c>
      <c r="U186" s="32">
        <f t="shared" si="24"/>
        <v>3</v>
      </c>
      <c r="V186">
        <v>8</v>
      </c>
      <c r="W186">
        <v>6</v>
      </c>
      <c r="X186" s="32">
        <f t="shared" si="25"/>
        <v>2</v>
      </c>
      <c r="Y186">
        <v>9</v>
      </c>
      <c r="Z186">
        <v>7</v>
      </c>
      <c r="AA186" s="32">
        <f t="shared" si="26"/>
        <v>2</v>
      </c>
    </row>
    <row r="187" spans="1:27" x14ac:dyDescent="0.45">
      <c r="A187">
        <v>7</v>
      </c>
      <c r="B187">
        <v>7</v>
      </c>
      <c r="C187" s="32">
        <f t="shared" si="18"/>
        <v>0</v>
      </c>
      <c r="D187">
        <v>7</v>
      </c>
      <c r="E187">
        <v>7</v>
      </c>
      <c r="F187" s="32">
        <f t="shared" si="19"/>
        <v>0</v>
      </c>
      <c r="G187">
        <v>8</v>
      </c>
      <c r="H187">
        <v>6</v>
      </c>
      <c r="I187" s="32">
        <f t="shared" si="20"/>
        <v>2</v>
      </c>
      <c r="J187">
        <v>9</v>
      </c>
      <c r="K187">
        <v>7</v>
      </c>
      <c r="L187" s="32">
        <f t="shared" si="21"/>
        <v>2</v>
      </c>
      <c r="M187">
        <v>8</v>
      </c>
      <c r="N187">
        <v>6</v>
      </c>
      <c r="O187" s="32">
        <f t="shared" si="22"/>
        <v>2</v>
      </c>
      <c r="P187">
        <v>9</v>
      </c>
      <c r="Q187">
        <v>7</v>
      </c>
      <c r="R187" s="32">
        <f t="shared" si="23"/>
        <v>2</v>
      </c>
      <c r="S187">
        <v>8</v>
      </c>
      <c r="T187">
        <v>5</v>
      </c>
      <c r="U187" s="32">
        <f t="shared" si="24"/>
        <v>3</v>
      </c>
      <c r="V187">
        <v>8</v>
      </c>
      <c r="W187">
        <v>6</v>
      </c>
      <c r="X187" s="32">
        <f t="shared" si="25"/>
        <v>2</v>
      </c>
      <c r="Y187">
        <v>9</v>
      </c>
      <c r="Z187">
        <v>7</v>
      </c>
      <c r="AA187" s="32">
        <f t="shared" si="26"/>
        <v>2</v>
      </c>
    </row>
    <row r="188" spans="1:27" x14ac:dyDescent="0.45">
      <c r="A188">
        <v>7</v>
      </c>
      <c r="B188">
        <v>7</v>
      </c>
      <c r="C188" s="32">
        <f t="shared" si="18"/>
        <v>0</v>
      </c>
      <c r="D188">
        <v>7</v>
      </c>
      <c r="E188">
        <v>7</v>
      </c>
      <c r="F188" s="32">
        <f t="shared" si="19"/>
        <v>0</v>
      </c>
      <c r="G188">
        <v>8</v>
      </c>
      <c r="H188">
        <v>6</v>
      </c>
      <c r="I188" s="32">
        <f t="shared" si="20"/>
        <v>2</v>
      </c>
      <c r="J188">
        <v>9</v>
      </c>
      <c r="K188">
        <v>7</v>
      </c>
      <c r="L188" s="32">
        <f t="shared" si="21"/>
        <v>2</v>
      </c>
      <c r="M188">
        <v>8</v>
      </c>
      <c r="N188">
        <v>6</v>
      </c>
      <c r="O188" s="32">
        <f t="shared" si="22"/>
        <v>2</v>
      </c>
      <c r="P188">
        <v>9</v>
      </c>
      <c r="Q188">
        <v>7</v>
      </c>
      <c r="R188" s="32">
        <f t="shared" si="23"/>
        <v>2</v>
      </c>
      <c r="S188">
        <v>8</v>
      </c>
      <c r="T188">
        <v>6</v>
      </c>
      <c r="U188" s="32">
        <f t="shared" si="24"/>
        <v>2</v>
      </c>
      <c r="V188">
        <v>8</v>
      </c>
      <c r="W188">
        <v>6</v>
      </c>
      <c r="X188" s="32">
        <f t="shared" si="25"/>
        <v>2</v>
      </c>
      <c r="Y188">
        <v>9</v>
      </c>
      <c r="Z188">
        <v>7</v>
      </c>
      <c r="AA188" s="32">
        <f t="shared" si="26"/>
        <v>2</v>
      </c>
    </row>
    <row r="189" spans="1:27" x14ac:dyDescent="0.45">
      <c r="A189">
        <v>7</v>
      </c>
      <c r="B189">
        <v>7</v>
      </c>
      <c r="C189" s="32">
        <f t="shared" si="18"/>
        <v>0</v>
      </c>
      <c r="D189">
        <v>7</v>
      </c>
      <c r="E189">
        <v>7</v>
      </c>
      <c r="F189" s="32">
        <f t="shared" si="19"/>
        <v>0</v>
      </c>
      <c r="G189">
        <v>8</v>
      </c>
      <c r="H189">
        <v>6</v>
      </c>
      <c r="I189" s="32">
        <f t="shared" si="20"/>
        <v>2</v>
      </c>
      <c r="J189">
        <v>9</v>
      </c>
      <c r="K189">
        <v>7</v>
      </c>
      <c r="L189" s="32">
        <f t="shared" si="21"/>
        <v>2</v>
      </c>
      <c r="M189">
        <v>8</v>
      </c>
      <c r="N189">
        <v>6</v>
      </c>
      <c r="O189" s="32">
        <f t="shared" si="22"/>
        <v>2</v>
      </c>
      <c r="P189">
        <v>9</v>
      </c>
      <c r="Q189">
        <v>7</v>
      </c>
      <c r="R189" s="32">
        <f t="shared" si="23"/>
        <v>2</v>
      </c>
      <c r="S189">
        <v>8</v>
      </c>
      <c r="T189">
        <v>6</v>
      </c>
      <c r="U189" s="32">
        <f t="shared" si="24"/>
        <v>2</v>
      </c>
      <c r="V189">
        <v>8</v>
      </c>
      <c r="W189">
        <v>6</v>
      </c>
      <c r="X189" s="32">
        <f t="shared" si="25"/>
        <v>2</v>
      </c>
      <c r="Y189">
        <v>9</v>
      </c>
      <c r="Z189">
        <v>7</v>
      </c>
      <c r="AA189" s="32">
        <f t="shared" si="26"/>
        <v>2</v>
      </c>
    </row>
    <row r="190" spans="1:27" x14ac:dyDescent="0.45">
      <c r="A190">
        <v>7</v>
      </c>
      <c r="B190">
        <v>7</v>
      </c>
      <c r="C190" s="32">
        <f t="shared" si="18"/>
        <v>0</v>
      </c>
      <c r="D190">
        <v>7</v>
      </c>
      <c r="E190">
        <v>7</v>
      </c>
      <c r="F190" s="32">
        <f t="shared" si="19"/>
        <v>0</v>
      </c>
      <c r="G190">
        <v>8</v>
      </c>
      <c r="H190">
        <v>6</v>
      </c>
      <c r="I190" s="32">
        <f t="shared" si="20"/>
        <v>2</v>
      </c>
      <c r="J190">
        <v>9</v>
      </c>
      <c r="K190">
        <v>7</v>
      </c>
      <c r="L190" s="32">
        <f t="shared" si="21"/>
        <v>2</v>
      </c>
      <c r="M190">
        <v>8</v>
      </c>
      <c r="N190">
        <v>6</v>
      </c>
      <c r="O190" s="32">
        <f t="shared" si="22"/>
        <v>2</v>
      </c>
      <c r="P190">
        <v>9</v>
      </c>
      <c r="Q190">
        <v>7</v>
      </c>
      <c r="R190" s="32">
        <f t="shared" si="23"/>
        <v>2</v>
      </c>
      <c r="S190">
        <v>8</v>
      </c>
      <c r="T190">
        <v>6</v>
      </c>
      <c r="U190" s="32">
        <f t="shared" si="24"/>
        <v>2</v>
      </c>
      <c r="V190">
        <v>8</v>
      </c>
      <c r="W190">
        <v>6</v>
      </c>
      <c r="X190" s="32">
        <f t="shared" si="25"/>
        <v>2</v>
      </c>
      <c r="Y190">
        <v>9</v>
      </c>
      <c r="Z190">
        <v>7</v>
      </c>
      <c r="AA190" s="32">
        <f t="shared" si="26"/>
        <v>2</v>
      </c>
    </row>
    <row r="191" spans="1:27" x14ac:dyDescent="0.45">
      <c r="A191">
        <v>7</v>
      </c>
      <c r="B191">
        <v>7</v>
      </c>
      <c r="C191" s="32">
        <f t="shared" si="18"/>
        <v>0</v>
      </c>
      <c r="D191">
        <v>7</v>
      </c>
      <c r="E191">
        <v>7</v>
      </c>
      <c r="F191" s="32">
        <f t="shared" si="19"/>
        <v>0</v>
      </c>
      <c r="G191">
        <v>8</v>
      </c>
      <c r="H191">
        <v>6</v>
      </c>
      <c r="I191" s="32">
        <f t="shared" si="20"/>
        <v>2</v>
      </c>
      <c r="J191">
        <v>9</v>
      </c>
      <c r="K191">
        <v>7</v>
      </c>
      <c r="L191" s="32">
        <f t="shared" si="21"/>
        <v>2</v>
      </c>
      <c r="M191">
        <v>8</v>
      </c>
      <c r="N191">
        <v>6</v>
      </c>
      <c r="O191" s="32">
        <f t="shared" si="22"/>
        <v>2</v>
      </c>
      <c r="P191">
        <v>9</v>
      </c>
      <c r="Q191">
        <v>7</v>
      </c>
      <c r="R191" s="32">
        <f t="shared" si="23"/>
        <v>2</v>
      </c>
      <c r="S191">
        <v>8</v>
      </c>
      <c r="T191">
        <v>6</v>
      </c>
      <c r="U191" s="32">
        <f t="shared" si="24"/>
        <v>2</v>
      </c>
      <c r="V191">
        <v>8</v>
      </c>
      <c r="W191">
        <v>6</v>
      </c>
      <c r="X191" s="32">
        <f t="shared" si="25"/>
        <v>2</v>
      </c>
      <c r="Y191">
        <v>9</v>
      </c>
      <c r="Z191">
        <v>7</v>
      </c>
      <c r="AA191" s="32">
        <f t="shared" si="26"/>
        <v>2</v>
      </c>
    </row>
    <row r="192" spans="1:27" x14ac:dyDescent="0.45">
      <c r="A192">
        <v>7</v>
      </c>
      <c r="B192">
        <v>7</v>
      </c>
      <c r="C192" s="32">
        <f t="shared" si="18"/>
        <v>0</v>
      </c>
      <c r="D192">
        <v>7</v>
      </c>
      <c r="E192">
        <v>7</v>
      </c>
      <c r="F192" s="32">
        <f t="shared" si="19"/>
        <v>0</v>
      </c>
      <c r="G192">
        <v>8</v>
      </c>
      <c r="H192">
        <v>6</v>
      </c>
      <c r="I192" s="32">
        <f t="shared" si="20"/>
        <v>2</v>
      </c>
      <c r="J192">
        <v>9</v>
      </c>
      <c r="K192">
        <v>7</v>
      </c>
      <c r="L192" s="32">
        <f t="shared" si="21"/>
        <v>2</v>
      </c>
      <c r="M192">
        <v>8</v>
      </c>
      <c r="N192">
        <v>6</v>
      </c>
      <c r="O192" s="32">
        <f t="shared" si="22"/>
        <v>2</v>
      </c>
      <c r="P192">
        <v>9</v>
      </c>
      <c r="Q192">
        <v>7</v>
      </c>
      <c r="R192" s="32">
        <f t="shared" si="23"/>
        <v>2</v>
      </c>
      <c r="S192">
        <v>8</v>
      </c>
      <c r="T192">
        <v>6</v>
      </c>
      <c r="U192" s="32">
        <f t="shared" si="24"/>
        <v>2</v>
      </c>
      <c r="V192">
        <v>8</v>
      </c>
      <c r="W192">
        <v>6</v>
      </c>
      <c r="X192" s="32">
        <f t="shared" si="25"/>
        <v>2</v>
      </c>
      <c r="Y192">
        <v>9</v>
      </c>
      <c r="Z192">
        <v>7</v>
      </c>
      <c r="AA192" s="32">
        <f t="shared" si="26"/>
        <v>2</v>
      </c>
    </row>
    <row r="193" spans="1:27" x14ac:dyDescent="0.45">
      <c r="A193">
        <v>7</v>
      </c>
      <c r="B193">
        <v>7</v>
      </c>
      <c r="C193" s="32">
        <f t="shared" si="18"/>
        <v>0</v>
      </c>
      <c r="D193">
        <v>7</v>
      </c>
      <c r="E193">
        <v>7</v>
      </c>
      <c r="F193" s="32">
        <f t="shared" si="19"/>
        <v>0</v>
      </c>
      <c r="G193">
        <v>8</v>
      </c>
      <c r="H193">
        <v>6</v>
      </c>
      <c r="I193" s="32">
        <f t="shared" si="20"/>
        <v>2</v>
      </c>
      <c r="J193">
        <v>9</v>
      </c>
      <c r="K193">
        <v>7</v>
      </c>
      <c r="L193" s="32">
        <f t="shared" si="21"/>
        <v>2</v>
      </c>
      <c r="M193">
        <v>8</v>
      </c>
      <c r="N193">
        <v>6</v>
      </c>
      <c r="O193" s="32">
        <f t="shared" si="22"/>
        <v>2</v>
      </c>
      <c r="P193">
        <v>9</v>
      </c>
      <c r="Q193">
        <v>7</v>
      </c>
      <c r="R193" s="32">
        <f t="shared" si="23"/>
        <v>2</v>
      </c>
      <c r="S193">
        <v>8</v>
      </c>
      <c r="T193">
        <v>6</v>
      </c>
      <c r="U193" s="32">
        <f t="shared" si="24"/>
        <v>2</v>
      </c>
      <c r="V193">
        <v>8</v>
      </c>
      <c r="W193">
        <v>6</v>
      </c>
      <c r="X193" s="32">
        <f t="shared" si="25"/>
        <v>2</v>
      </c>
      <c r="Y193">
        <v>9</v>
      </c>
      <c r="Z193">
        <v>7</v>
      </c>
      <c r="AA193" s="32">
        <f t="shared" si="26"/>
        <v>2</v>
      </c>
    </row>
    <row r="194" spans="1:27" x14ac:dyDescent="0.45">
      <c r="A194">
        <v>7</v>
      </c>
      <c r="B194">
        <v>7</v>
      </c>
      <c r="C194" s="32">
        <f t="shared" si="18"/>
        <v>0</v>
      </c>
      <c r="D194">
        <v>7</v>
      </c>
      <c r="E194">
        <v>7</v>
      </c>
      <c r="F194" s="32">
        <f t="shared" si="19"/>
        <v>0</v>
      </c>
      <c r="G194">
        <v>8</v>
      </c>
      <c r="H194">
        <v>6</v>
      </c>
      <c r="I194" s="32">
        <f t="shared" si="20"/>
        <v>2</v>
      </c>
      <c r="J194">
        <v>9</v>
      </c>
      <c r="K194">
        <v>7</v>
      </c>
      <c r="L194" s="32">
        <f t="shared" si="21"/>
        <v>2</v>
      </c>
      <c r="M194">
        <v>8</v>
      </c>
      <c r="N194">
        <v>6</v>
      </c>
      <c r="O194" s="32">
        <f t="shared" si="22"/>
        <v>2</v>
      </c>
      <c r="P194">
        <v>9</v>
      </c>
      <c r="Q194">
        <v>7</v>
      </c>
      <c r="R194" s="32">
        <f t="shared" si="23"/>
        <v>2</v>
      </c>
      <c r="S194">
        <v>8</v>
      </c>
      <c r="T194">
        <v>6</v>
      </c>
      <c r="U194" s="32">
        <f t="shared" si="24"/>
        <v>2</v>
      </c>
      <c r="V194">
        <v>8</v>
      </c>
      <c r="W194">
        <v>6</v>
      </c>
      <c r="X194" s="32">
        <f t="shared" si="25"/>
        <v>2</v>
      </c>
      <c r="Y194">
        <v>9</v>
      </c>
      <c r="Z194">
        <v>7</v>
      </c>
      <c r="AA194" s="32">
        <f t="shared" si="26"/>
        <v>2</v>
      </c>
    </row>
    <row r="195" spans="1:27" x14ac:dyDescent="0.45">
      <c r="A195">
        <v>7</v>
      </c>
      <c r="B195">
        <v>7</v>
      </c>
      <c r="C195" s="32">
        <f t="shared" ref="C195:C258" si="27">ABS(B195-A195)</f>
        <v>0</v>
      </c>
      <c r="D195">
        <v>7</v>
      </c>
      <c r="E195">
        <v>7</v>
      </c>
      <c r="F195" s="32">
        <f t="shared" ref="F195:F258" si="28">ABS(E195-D195)</f>
        <v>0</v>
      </c>
      <c r="G195">
        <v>8</v>
      </c>
      <c r="H195">
        <v>6</v>
      </c>
      <c r="I195" s="32">
        <f t="shared" ref="I195:I258" si="29">ABS(H195-G195)</f>
        <v>2</v>
      </c>
      <c r="J195">
        <v>9</v>
      </c>
      <c r="K195">
        <v>7</v>
      </c>
      <c r="L195" s="32">
        <f t="shared" ref="L195:L258" si="30">ABS(K195-J195)</f>
        <v>2</v>
      </c>
      <c r="M195">
        <v>8</v>
      </c>
      <c r="N195">
        <v>6</v>
      </c>
      <c r="O195" s="32">
        <f t="shared" ref="O195:O258" si="31">ABS(N195-M195)</f>
        <v>2</v>
      </c>
      <c r="P195">
        <v>9</v>
      </c>
      <c r="Q195">
        <v>7</v>
      </c>
      <c r="R195" s="32">
        <f t="shared" ref="R195:R258" si="32">ABS(Q195-P195)</f>
        <v>2</v>
      </c>
      <c r="S195">
        <v>8</v>
      </c>
      <c r="T195">
        <v>6</v>
      </c>
      <c r="U195" s="32">
        <f t="shared" ref="U195:U258" si="33">ABS(T195-S195)</f>
        <v>2</v>
      </c>
      <c r="V195">
        <v>8</v>
      </c>
      <c r="W195">
        <v>6</v>
      </c>
      <c r="X195" s="32">
        <f t="shared" ref="X195:X258" si="34">ABS(W195-V195)</f>
        <v>2</v>
      </c>
      <c r="Y195">
        <v>9</v>
      </c>
      <c r="Z195">
        <v>7</v>
      </c>
      <c r="AA195" s="32">
        <f t="shared" ref="AA195:AA258" si="35">ABS(Z195-Y195)</f>
        <v>2</v>
      </c>
    </row>
    <row r="196" spans="1:27" x14ac:dyDescent="0.45">
      <c r="A196">
        <v>7</v>
      </c>
      <c r="B196">
        <v>7</v>
      </c>
      <c r="C196" s="32">
        <f t="shared" si="27"/>
        <v>0</v>
      </c>
      <c r="D196">
        <v>7</v>
      </c>
      <c r="E196">
        <v>7</v>
      </c>
      <c r="F196" s="32">
        <f t="shared" si="28"/>
        <v>0</v>
      </c>
      <c r="G196">
        <v>8</v>
      </c>
      <c r="H196">
        <v>6</v>
      </c>
      <c r="I196" s="32">
        <f t="shared" si="29"/>
        <v>2</v>
      </c>
      <c r="J196">
        <v>9</v>
      </c>
      <c r="K196">
        <v>7</v>
      </c>
      <c r="L196" s="32">
        <f t="shared" si="30"/>
        <v>2</v>
      </c>
      <c r="M196">
        <v>8</v>
      </c>
      <c r="N196">
        <v>6</v>
      </c>
      <c r="O196" s="32">
        <f t="shared" si="31"/>
        <v>2</v>
      </c>
      <c r="P196">
        <v>9</v>
      </c>
      <c r="Q196">
        <v>7</v>
      </c>
      <c r="R196" s="32">
        <f t="shared" si="32"/>
        <v>2</v>
      </c>
      <c r="S196">
        <v>8</v>
      </c>
      <c r="T196">
        <v>6</v>
      </c>
      <c r="U196" s="32">
        <f t="shared" si="33"/>
        <v>2</v>
      </c>
      <c r="V196">
        <v>8</v>
      </c>
      <c r="W196">
        <v>6</v>
      </c>
      <c r="X196" s="32">
        <f t="shared" si="34"/>
        <v>2</v>
      </c>
      <c r="Y196">
        <v>9</v>
      </c>
      <c r="Z196">
        <v>7</v>
      </c>
      <c r="AA196" s="32">
        <f t="shared" si="35"/>
        <v>2</v>
      </c>
    </row>
    <row r="197" spans="1:27" x14ac:dyDescent="0.45">
      <c r="A197">
        <v>7</v>
      </c>
      <c r="B197">
        <v>7</v>
      </c>
      <c r="C197" s="32">
        <f t="shared" si="27"/>
        <v>0</v>
      </c>
      <c r="D197">
        <v>7</v>
      </c>
      <c r="E197">
        <v>7</v>
      </c>
      <c r="F197" s="32">
        <f t="shared" si="28"/>
        <v>0</v>
      </c>
      <c r="G197">
        <v>8</v>
      </c>
      <c r="H197">
        <v>6</v>
      </c>
      <c r="I197" s="32">
        <f t="shared" si="29"/>
        <v>2</v>
      </c>
      <c r="J197">
        <v>9</v>
      </c>
      <c r="K197">
        <v>7</v>
      </c>
      <c r="L197" s="32">
        <f t="shared" si="30"/>
        <v>2</v>
      </c>
      <c r="M197">
        <v>8</v>
      </c>
      <c r="N197">
        <v>6</v>
      </c>
      <c r="O197" s="32">
        <f t="shared" si="31"/>
        <v>2</v>
      </c>
      <c r="P197">
        <v>9</v>
      </c>
      <c r="Q197">
        <v>7</v>
      </c>
      <c r="R197" s="32">
        <f t="shared" si="32"/>
        <v>2</v>
      </c>
      <c r="S197">
        <v>8</v>
      </c>
      <c r="T197">
        <v>6</v>
      </c>
      <c r="U197" s="32">
        <f t="shared" si="33"/>
        <v>2</v>
      </c>
      <c r="V197">
        <v>8</v>
      </c>
      <c r="W197">
        <v>6</v>
      </c>
      <c r="X197" s="32">
        <f t="shared" si="34"/>
        <v>2</v>
      </c>
      <c r="Y197">
        <v>9</v>
      </c>
      <c r="Z197">
        <v>7</v>
      </c>
      <c r="AA197" s="32">
        <f t="shared" si="35"/>
        <v>2</v>
      </c>
    </row>
    <row r="198" spans="1:27" x14ac:dyDescent="0.45">
      <c r="A198">
        <v>7</v>
      </c>
      <c r="B198">
        <v>7</v>
      </c>
      <c r="C198" s="32">
        <f t="shared" si="27"/>
        <v>0</v>
      </c>
      <c r="D198">
        <v>7</v>
      </c>
      <c r="E198">
        <v>7</v>
      </c>
      <c r="F198" s="32">
        <f t="shared" si="28"/>
        <v>0</v>
      </c>
      <c r="G198">
        <v>8</v>
      </c>
      <c r="H198">
        <v>6</v>
      </c>
      <c r="I198" s="32">
        <f t="shared" si="29"/>
        <v>2</v>
      </c>
      <c r="J198">
        <v>9</v>
      </c>
      <c r="K198">
        <v>7</v>
      </c>
      <c r="L198" s="32">
        <f t="shared" si="30"/>
        <v>2</v>
      </c>
      <c r="M198">
        <v>8</v>
      </c>
      <c r="N198">
        <v>6</v>
      </c>
      <c r="O198" s="32">
        <f t="shared" si="31"/>
        <v>2</v>
      </c>
      <c r="P198">
        <v>9</v>
      </c>
      <c r="Q198">
        <v>7</v>
      </c>
      <c r="R198" s="32">
        <f t="shared" si="32"/>
        <v>2</v>
      </c>
      <c r="S198">
        <v>8</v>
      </c>
      <c r="T198">
        <v>6</v>
      </c>
      <c r="U198" s="32">
        <f t="shared" si="33"/>
        <v>2</v>
      </c>
      <c r="V198">
        <v>8</v>
      </c>
      <c r="W198">
        <v>6</v>
      </c>
      <c r="X198" s="32">
        <f t="shared" si="34"/>
        <v>2</v>
      </c>
      <c r="Y198">
        <v>9</v>
      </c>
      <c r="Z198">
        <v>7</v>
      </c>
      <c r="AA198" s="32">
        <f t="shared" si="35"/>
        <v>2</v>
      </c>
    </row>
    <row r="199" spans="1:27" x14ac:dyDescent="0.45">
      <c r="A199">
        <v>7</v>
      </c>
      <c r="B199">
        <v>7</v>
      </c>
      <c r="C199" s="32">
        <f t="shared" si="27"/>
        <v>0</v>
      </c>
      <c r="D199">
        <v>7</v>
      </c>
      <c r="E199">
        <v>7</v>
      </c>
      <c r="F199" s="32">
        <f t="shared" si="28"/>
        <v>0</v>
      </c>
      <c r="G199">
        <v>8</v>
      </c>
      <c r="H199">
        <v>6</v>
      </c>
      <c r="I199" s="32">
        <f t="shared" si="29"/>
        <v>2</v>
      </c>
      <c r="J199">
        <v>9</v>
      </c>
      <c r="K199">
        <v>7</v>
      </c>
      <c r="L199" s="32">
        <f t="shared" si="30"/>
        <v>2</v>
      </c>
      <c r="M199">
        <v>8</v>
      </c>
      <c r="N199">
        <v>6</v>
      </c>
      <c r="O199" s="32">
        <f t="shared" si="31"/>
        <v>2</v>
      </c>
      <c r="P199">
        <v>9</v>
      </c>
      <c r="Q199">
        <v>7</v>
      </c>
      <c r="R199" s="32">
        <f t="shared" si="32"/>
        <v>2</v>
      </c>
      <c r="S199">
        <v>8</v>
      </c>
      <c r="T199">
        <v>6</v>
      </c>
      <c r="U199" s="32">
        <f t="shared" si="33"/>
        <v>2</v>
      </c>
      <c r="V199">
        <v>8</v>
      </c>
      <c r="W199">
        <v>7</v>
      </c>
      <c r="X199" s="32">
        <f t="shared" si="34"/>
        <v>1</v>
      </c>
      <c r="Y199">
        <v>9</v>
      </c>
      <c r="Z199">
        <v>7</v>
      </c>
      <c r="AA199" s="32">
        <f t="shared" si="35"/>
        <v>2</v>
      </c>
    </row>
    <row r="200" spans="1:27" x14ac:dyDescent="0.45">
      <c r="A200">
        <v>7</v>
      </c>
      <c r="B200">
        <v>7</v>
      </c>
      <c r="C200" s="32">
        <f t="shared" si="27"/>
        <v>0</v>
      </c>
      <c r="D200">
        <v>7</v>
      </c>
      <c r="E200">
        <v>7</v>
      </c>
      <c r="F200" s="32">
        <f t="shared" si="28"/>
        <v>0</v>
      </c>
      <c r="G200">
        <v>8</v>
      </c>
      <c r="H200">
        <v>6</v>
      </c>
      <c r="I200" s="32">
        <f t="shared" si="29"/>
        <v>2</v>
      </c>
      <c r="J200">
        <v>9</v>
      </c>
      <c r="K200">
        <v>7</v>
      </c>
      <c r="L200" s="32">
        <f t="shared" si="30"/>
        <v>2</v>
      </c>
      <c r="M200">
        <v>8</v>
      </c>
      <c r="N200">
        <v>7</v>
      </c>
      <c r="O200" s="32">
        <f t="shared" si="31"/>
        <v>1</v>
      </c>
      <c r="P200">
        <v>9</v>
      </c>
      <c r="Q200">
        <v>7</v>
      </c>
      <c r="R200" s="32">
        <f t="shared" si="32"/>
        <v>2</v>
      </c>
      <c r="S200">
        <v>8</v>
      </c>
      <c r="T200">
        <v>6</v>
      </c>
      <c r="U200" s="32">
        <f t="shared" si="33"/>
        <v>2</v>
      </c>
      <c r="V200">
        <v>8</v>
      </c>
      <c r="W200">
        <v>7</v>
      </c>
      <c r="X200" s="32">
        <f t="shared" si="34"/>
        <v>1</v>
      </c>
      <c r="Y200">
        <v>9</v>
      </c>
      <c r="Z200">
        <v>7</v>
      </c>
      <c r="AA200" s="32">
        <f t="shared" si="35"/>
        <v>2</v>
      </c>
    </row>
    <row r="201" spans="1:27" x14ac:dyDescent="0.45">
      <c r="A201">
        <v>7</v>
      </c>
      <c r="B201">
        <v>7</v>
      </c>
      <c r="C201" s="32">
        <f t="shared" si="27"/>
        <v>0</v>
      </c>
      <c r="D201">
        <v>7</v>
      </c>
      <c r="E201">
        <v>7</v>
      </c>
      <c r="F201" s="32">
        <f t="shared" si="28"/>
        <v>0</v>
      </c>
      <c r="G201">
        <v>8</v>
      </c>
      <c r="H201">
        <v>6</v>
      </c>
      <c r="I201" s="32">
        <f t="shared" si="29"/>
        <v>2</v>
      </c>
      <c r="J201">
        <v>9</v>
      </c>
      <c r="K201">
        <v>7</v>
      </c>
      <c r="L201" s="32">
        <f t="shared" si="30"/>
        <v>2</v>
      </c>
      <c r="M201">
        <v>8</v>
      </c>
      <c r="N201">
        <v>7</v>
      </c>
      <c r="O201" s="32">
        <f t="shared" si="31"/>
        <v>1</v>
      </c>
      <c r="P201">
        <v>9</v>
      </c>
      <c r="Q201">
        <v>7</v>
      </c>
      <c r="R201" s="32">
        <f t="shared" si="32"/>
        <v>2</v>
      </c>
      <c r="S201">
        <v>8</v>
      </c>
      <c r="T201">
        <v>6</v>
      </c>
      <c r="U201" s="32">
        <f t="shared" si="33"/>
        <v>2</v>
      </c>
      <c r="V201">
        <v>8</v>
      </c>
      <c r="W201">
        <v>7</v>
      </c>
      <c r="X201" s="32">
        <f t="shared" si="34"/>
        <v>1</v>
      </c>
      <c r="Y201">
        <v>9</v>
      </c>
      <c r="Z201">
        <v>7</v>
      </c>
      <c r="AA201" s="32">
        <f t="shared" si="35"/>
        <v>2</v>
      </c>
    </row>
    <row r="202" spans="1:27" x14ac:dyDescent="0.45">
      <c r="A202">
        <v>7</v>
      </c>
      <c r="B202">
        <v>7</v>
      </c>
      <c r="C202" s="32">
        <f t="shared" si="27"/>
        <v>0</v>
      </c>
      <c r="D202">
        <v>7</v>
      </c>
      <c r="E202">
        <v>7</v>
      </c>
      <c r="F202" s="32">
        <f t="shared" si="28"/>
        <v>0</v>
      </c>
      <c r="G202">
        <v>8</v>
      </c>
      <c r="H202">
        <v>6</v>
      </c>
      <c r="I202" s="32">
        <f t="shared" si="29"/>
        <v>2</v>
      </c>
      <c r="J202">
        <v>9</v>
      </c>
      <c r="K202">
        <v>7</v>
      </c>
      <c r="L202" s="32">
        <f t="shared" si="30"/>
        <v>2</v>
      </c>
      <c r="M202">
        <v>8</v>
      </c>
      <c r="N202">
        <v>7</v>
      </c>
      <c r="O202" s="32">
        <f t="shared" si="31"/>
        <v>1</v>
      </c>
      <c r="P202">
        <v>9</v>
      </c>
      <c r="Q202">
        <v>7</v>
      </c>
      <c r="R202" s="32">
        <f t="shared" si="32"/>
        <v>2</v>
      </c>
      <c r="S202">
        <v>8</v>
      </c>
      <c r="T202">
        <v>6</v>
      </c>
      <c r="U202" s="32">
        <f t="shared" si="33"/>
        <v>2</v>
      </c>
      <c r="V202">
        <v>8</v>
      </c>
      <c r="W202">
        <v>7</v>
      </c>
      <c r="X202" s="32">
        <f t="shared" si="34"/>
        <v>1</v>
      </c>
      <c r="Y202">
        <v>9</v>
      </c>
      <c r="Z202">
        <v>7</v>
      </c>
      <c r="AA202" s="32">
        <f t="shared" si="35"/>
        <v>2</v>
      </c>
    </row>
    <row r="203" spans="1:27" x14ac:dyDescent="0.45">
      <c r="A203">
        <v>7</v>
      </c>
      <c r="B203">
        <v>7</v>
      </c>
      <c r="C203" s="32">
        <f t="shared" si="27"/>
        <v>0</v>
      </c>
      <c r="D203">
        <v>7</v>
      </c>
      <c r="E203">
        <v>7</v>
      </c>
      <c r="F203" s="32">
        <f t="shared" si="28"/>
        <v>0</v>
      </c>
      <c r="G203">
        <v>8</v>
      </c>
      <c r="H203">
        <v>6</v>
      </c>
      <c r="I203" s="32">
        <f t="shared" si="29"/>
        <v>2</v>
      </c>
      <c r="J203">
        <v>9</v>
      </c>
      <c r="K203">
        <v>7</v>
      </c>
      <c r="L203" s="32">
        <f t="shared" si="30"/>
        <v>2</v>
      </c>
      <c r="M203">
        <v>8</v>
      </c>
      <c r="N203">
        <v>7</v>
      </c>
      <c r="O203" s="32">
        <f t="shared" si="31"/>
        <v>1</v>
      </c>
      <c r="P203">
        <v>9</v>
      </c>
      <c r="Q203">
        <v>7</v>
      </c>
      <c r="R203" s="32">
        <f t="shared" si="32"/>
        <v>2</v>
      </c>
      <c r="S203">
        <v>8</v>
      </c>
      <c r="T203">
        <v>6</v>
      </c>
      <c r="U203" s="32">
        <f t="shared" si="33"/>
        <v>2</v>
      </c>
      <c r="V203">
        <v>8</v>
      </c>
      <c r="W203">
        <v>7</v>
      </c>
      <c r="X203" s="32">
        <f t="shared" si="34"/>
        <v>1</v>
      </c>
      <c r="Y203">
        <v>9</v>
      </c>
      <c r="Z203">
        <v>7</v>
      </c>
      <c r="AA203" s="32">
        <f t="shared" si="35"/>
        <v>2</v>
      </c>
    </row>
    <row r="204" spans="1:27" x14ac:dyDescent="0.45">
      <c r="A204">
        <v>7</v>
      </c>
      <c r="B204">
        <v>7</v>
      </c>
      <c r="C204" s="32">
        <f t="shared" si="27"/>
        <v>0</v>
      </c>
      <c r="D204">
        <v>7</v>
      </c>
      <c r="E204">
        <v>7</v>
      </c>
      <c r="F204" s="32">
        <f t="shared" si="28"/>
        <v>0</v>
      </c>
      <c r="G204">
        <v>8</v>
      </c>
      <c r="H204">
        <v>6</v>
      </c>
      <c r="I204" s="32">
        <f t="shared" si="29"/>
        <v>2</v>
      </c>
      <c r="J204">
        <v>9</v>
      </c>
      <c r="K204">
        <v>7</v>
      </c>
      <c r="L204" s="32">
        <f t="shared" si="30"/>
        <v>2</v>
      </c>
      <c r="M204">
        <v>8</v>
      </c>
      <c r="N204">
        <v>7</v>
      </c>
      <c r="O204" s="32">
        <f t="shared" si="31"/>
        <v>1</v>
      </c>
      <c r="P204">
        <v>9</v>
      </c>
      <c r="Q204">
        <v>7</v>
      </c>
      <c r="R204" s="32">
        <f t="shared" si="32"/>
        <v>2</v>
      </c>
      <c r="S204">
        <v>8</v>
      </c>
      <c r="T204">
        <v>6</v>
      </c>
      <c r="U204" s="32">
        <f t="shared" si="33"/>
        <v>2</v>
      </c>
      <c r="V204">
        <v>8</v>
      </c>
      <c r="W204">
        <v>7</v>
      </c>
      <c r="X204" s="32">
        <f t="shared" si="34"/>
        <v>1</v>
      </c>
      <c r="Y204">
        <v>9</v>
      </c>
      <c r="Z204">
        <v>7</v>
      </c>
      <c r="AA204" s="32">
        <f t="shared" si="35"/>
        <v>2</v>
      </c>
    </row>
    <row r="205" spans="1:27" x14ac:dyDescent="0.45">
      <c r="A205">
        <v>7</v>
      </c>
      <c r="B205">
        <v>7</v>
      </c>
      <c r="C205" s="32">
        <f t="shared" si="27"/>
        <v>0</v>
      </c>
      <c r="D205">
        <v>7</v>
      </c>
      <c r="E205">
        <v>7</v>
      </c>
      <c r="F205" s="32">
        <f t="shared" si="28"/>
        <v>0</v>
      </c>
      <c r="G205">
        <v>8</v>
      </c>
      <c r="H205">
        <v>6</v>
      </c>
      <c r="I205" s="32">
        <f t="shared" si="29"/>
        <v>2</v>
      </c>
      <c r="J205">
        <v>9</v>
      </c>
      <c r="K205">
        <v>7</v>
      </c>
      <c r="L205" s="32">
        <f t="shared" si="30"/>
        <v>2</v>
      </c>
      <c r="M205">
        <v>8</v>
      </c>
      <c r="N205">
        <v>7</v>
      </c>
      <c r="O205" s="32">
        <f t="shared" si="31"/>
        <v>1</v>
      </c>
      <c r="P205">
        <v>9</v>
      </c>
      <c r="Q205">
        <v>7</v>
      </c>
      <c r="R205" s="32">
        <f t="shared" si="32"/>
        <v>2</v>
      </c>
      <c r="S205">
        <v>8</v>
      </c>
      <c r="T205">
        <v>6</v>
      </c>
      <c r="U205" s="32">
        <f t="shared" si="33"/>
        <v>2</v>
      </c>
      <c r="V205">
        <v>8</v>
      </c>
      <c r="W205">
        <v>7</v>
      </c>
      <c r="X205" s="32">
        <f t="shared" si="34"/>
        <v>1</v>
      </c>
      <c r="Y205">
        <v>9</v>
      </c>
      <c r="Z205">
        <v>7</v>
      </c>
      <c r="AA205" s="32">
        <f t="shared" si="35"/>
        <v>2</v>
      </c>
    </row>
    <row r="206" spans="1:27" x14ac:dyDescent="0.45">
      <c r="A206">
        <v>7</v>
      </c>
      <c r="B206">
        <v>7</v>
      </c>
      <c r="C206" s="32">
        <f t="shared" si="27"/>
        <v>0</v>
      </c>
      <c r="D206">
        <v>7</v>
      </c>
      <c r="E206">
        <v>7</v>
      </c>
      <c r="F206" s="32">
        <f t="shared" si="28"/>
        <v>0</v>
      </c>
      <c r="G206">
        <v>8</v>
      </c>
      <c r="H206">
        <v>6</v>
      </c>
      <c r="I206" s="32">
        <f t="shared" si="29"/>
        <v>2</v>
      </c>
      <c r="J206">
        <v>9</v>
      </c>
      <c r="K206">
        <v>7</v>
      </c>
      <c r="L206" s="32">
        <f t="shared" si="30"/>
        <v>2</v>
      </c>
      <c r="M206">
        <v>8</v>
      </c>
      <c r="N206">
        <v>7</v>
      </c>
      <c r="O206" s="32">
        <f t="shared" si="31"/>
        <v>1</v>
      </c>
      <c r="P206">
        <v>9</v>
      </c>
      <c r="Q206">
        <v>7</v>
      </c>
      <c r="R206" s="32">
        <f t="shared" si="32"/>
        <v>2</v>
      </c>
      <c r="S206">
        <v>8</v>
      </c>
      <c r="T206">
        <v>6</v>
      </c>
      <c r="U206" s="32">
        <f t="shared" si="33"/>
        <v>2</v>
      </c>
      <c r="V206">
        <v>8</v>
      </c>
      <c r="W206">
        <v>7</v>
      </c>
      <c r="X206" s="32">
        <f t="shared" si="34"/>
        <v>1</v>
      </c>
      <c r="Y206">
        <v>9</v>
      </c>
      <c r="Z206">
        <v>7</v>
      </c>
      <c r="AA206" s="32">
        <f t="shared" si="35"/>
        <v>2</v>
      </c>
    </row>
    <row r="207" spans="1:27" x14ac:dyDescent="0.45">
      <c r="A207">
        <v>7</v>
      </c>
      <c r="B207">
        <v>7</v>
      </c>
      <c r="C207" s="32">
        <f t="shared" si="27"/>
        <v>0</v>
      </c>
      <c r="D207">
        <v>8</v>
      </c>
      <c r="E207">
        <v>7</v>
      </c>
      <c r="F207" s="32">
        <f t="shared" si="28"/>
        <v>1</v>
      </c>
      <c r="G207">
        <v>8</v>
      </c>
      <c r="H207">
        <v>6</v>
      </c>
      <c r="I207" s="32">
        <f t="shared" si="29"/>
        <v>2</v>
      </c>
      <c r="J207">
        <v>9</v>
      </c>
      <c r="K207">
        <v>7</v>
      </c>
      <c r="L207" s="32">
        <f t="shared" si="30"/>
        <v>2</v>
      </c>
      <c r="M207">
        <v>8</v>
      </c>
      <c r="N207">
        <v>7</v>
      </c>
      <c r="O207" s="32">
        <f t="shared" si="31"/>
        <v>1</v>
      </c>
      <c r="P207">
        <v>9</v>
      </c>
      <c r="Q207">
        <v>7</v>
      </c>
      <c r="R207" s="32">
        <f t="shared" si="32"/>
        <v>2</v>
      </c>
      <c r="S207">
        <v>8</v>
      </c>
      <c r="T207">
        <v>6</v>
      </c>
      <c r="U207" s="32">
        <f t="shared" si="33"/>
        <v>2</v>
      </c>
      <c r="V207">
        <v>8</v>
      </c>
      <c r="W207">
        <v>7</v>
      </c>
      <c r="X207" s="32">
        <f t="shared" si="34"/>
        <v>1</v>
      </c>
      <c r="Y207">
        <v>9</v>
      </c>
      <c r="Z207">
        <v>7</v>
      </c>
      <c r="AA207" s="32">
        <f t="shared" si="35"/>
        <v>2</v>
      </c>
    </row>
    <row r="208" spans="1:27" x14ac:dyDescent="0.45">
      <c r="A208">
        <v>7</v>
      </c>
      <c r="B208">
        <v>7</v>
      </c>
      <c r="C208" s="32">
        <f t="shared" si="27"/>
        <v>0</v>
      </c>
      <c r="D208">
        <v>8</v>
      </c>
      <c r="E208">
        <v>7</v>
      </c>
      <c r="F208" s="32">
        <f t="shared" si="28"/>
        <v>1</v>
      </c>
      <c r="G208">
        <v>8</v>
      </c>
      <c r="H208">
        <v>6</v>
      </c>
      <c r="I208" s="32">
        <f t="shared" si="29"/>
        <v>2</v>
      </c>
      <c r="J208">
        <v>9</v>
      </c>
      <c r="K208">
        <v>8</v>
      </c>
      <c r="L208" s="32">
        <f t="shared" si="30"/>
        <v>1</v>
      </c>
      <c r="M208">
        <v>8</v>
      </c>
      <c r="N208">
        <v>7</v>
      </c>
      <c r="O208" s="32">
        <f t="shared" si="31"/>
        <v>1</v>
      </c>
      <c r="P208">
        <v>9</v>
      </c>
      <c r="Q208">
        <v>7</v>
      </c>
      <c r="R208" s="32">
        <f t="shared" si="32"/>
        <v>2</v>
      </c>
      <c r="S208">
        <v>8</v>
      </c>
      <c r="T208">
        <v>6</v>
      </c>
      <c r="U208" s="32">
        <f t="shared" si="33"/>
        <v>2</v>
      </c>
      <c r="V208">
        <v>8</v>
      </c>
      <c r="W208">
        <v>7</v>
      </c>
      <c r="X208" s="32">
        <f t="shared" si="34"/>
        <v>1</v>
      </c>
      <c r="Y208">
        <v>9</v>
      </c>
      <c r="Z208">
        <v>7</v>
      </c>
      <c r="AA208" s="32">
        <f t="shared" si="35"/>
        <v>2</v>
      </c>
    </row>
    <row r="209" spans="1:27" x14ac:dyDescent="0.45">
      <c r="A209">
        <v>7</v>
      </c>
      <c r="B209">
        <v>7</v>
      </c>
      <c r="C209" s="32">
        <f t="shared" si="27"/>
        <v>0</v>
      </c>
      <c r="D209">
        <v>8</v>
      </c>
      <c r="E209">
        <v>7</v>
      </c>
      <c r="F209" s="32">
        <f t="shared" si="28"/>
        <v>1</v>
      </c>
      <c r="G209">
        <v>8</v>
      </c>
      <c r="H209">
        <v>7</v>
      </c>
      <c r="I209" s="32">
        <f t="shared" si="29"/>
        <v>1</v>
      </c>
      <c r="J209">
        <v>9</v>
      </c>
      <c r="K209">
        <v>8</v>
      </c>
      <c r="L209" s="32">
        <f t="shared" si="30"/>
        <v>1</v>
      </c>
      <c r="M209">
        <v>8</v>
      </c>
      <c r="N209">
        <v>7</v>
      </c>
      <c r="O209" s="32">
        <f t="shared" si="31"/>
        <v>1</v>
      </c>
      <c r="P209">
        <v>9</v>
      </c>
      <c r="Q209">
        <v>7</v>
      </c>
      <c r="R209" s="32">
        <f t="shared" si="32"/>
        <v>2</v>
      </c>
      <c r="S209">
        <v>8</v>
      </c>
      <c r="T209">
        <v>6</v>
      </c>
      <c r="U209" s="32">
        <f t="shared" si="33"/>
        <v>2</v>
      </c>
      <c r="V209">
        <v>8</v>
      </c>
      <c r="W209">
        <v>7</v>
      </c>
      <c r="X209" s="32">
        <f t="shared" si="34"/>
        <v>1</v>
      </c>
      <c r="Y209">
        <v>9</v>
      </c>
      <c r="Z209">
        <v>7</v>
      </c>
      <c r="AA209" s="32">
        <f t="shared" si="35"/>
        <v>2</v>
      </c>
    </row>
    <row r="210" spans="1:27" x14ac:dyDescent="0.45">
      <c r="A210">
        <v>7</v>
      </c>
      <c r="B210">
        <v>7</v>
      </c>
      <c r="C210" s="32">
        <f t="shared" si="27"/>
        <v>0</v>
      </c>
      <c r="D210">
        <v>8</v>
      </c>
      <c r="E210">
        <v>7</v>
      </c>
      <c r="F210" s="32">
        <f t="shared" si="28"/>
        <v>1</v>
      </c>
      <c r="G210">
        <v>8</v>
      </c>
      <c r="H210">
        <v>7</v>
      </c>
      <c r="I210" s="32">
        <f t="shared" si="29"/>
        <v>1</v>
      </c>
      <c r="J210">
        <v>9</v>
      </c>
      <c r="K210">
        <v>8</v>
      </c>
      <c r="L210" s="32">
        <f t="shared" si="30"/>
        <v>1</v>
      </c>
      <c r="M210">
        <v>8</v>
      </c>
      <c r="N210">
        <v>7</v>
      </c>
      <c r="O210" s="32">
        <f t="shared" si="31"/>
        <v>1</v>
      </c>
      <c r="P210">
        <v>9</v>
      </c>
      <c r="Q210">
        <v>7</v>
      </c>
      <c r="R210" s="32">
        <f t="shared" si="32"/>
        <v>2</v>
      </c>
      <c r="S210">
        <v>8</v>
      </c>
      <c r="T210">
        <v>6</v>
      </c>
      <c r="U210" s="32">
        <f t="shared" si="33"/>
        <v>2</v>
      </c>
      <c r="V210">
        <v>8</v>
      </c>
      <c r="W210">
        <v>7</v>
      </c>
      <c r="X210" s="32">
        <f t="shared" si="34"/>
        <v>1</v>
      </c>
      <c r="Y210">
        <v>9</v>
      </c>
      <c r="Z210">
        <v>7</v>
      </c>
      <c r="AA210" s="32">
        <f t="shared" si="35"/>
        <v>2</v>
      </c>
    </row>
    <row r="211" spans="1:27" x14ac:dyDescent="0.45">
      <c r="A211">
        <v>7</v>
      </c>
      <c r="B211">
        <v>7</v>
      </c>
      <c r="C211" s="32">
        <f t="shared" si="27"/>
        <v>0</v>
      </c>
      <c r="D211">
        <v>8</v>
      </c>
      <c r="E211">
        <v>7</v>
      </c>
      <c r="F211" s="32">
        <f t="shared" si="28"/>
        <v>1</v>
      </c>
      <c r="G211">
        <v>8</v>
      </c>
      <c r="H211">
        <v>7</v>
      </c>
      <c r="I211" s="32">
        <f t="shared" si="29"/>
        <v>1</v>
      </c>
      <c r="J211">
        <v>9</v>
      </c>
      <c r="K211">
        <v>8</v>
      </c>
      <c r="L211" s="32">
        <f t="shared" si="30"/>
        <v>1</v>
      </c>
      <c r="M211">
        <v>8</v>
      </c>
      <c r="N211">
        <v>7</v>
      </c>
      <c r="O211" s="32">
        <f t="shared" si="31"/>
        <v>1</v>
      </c>
      <c r="P211">
        <v>9</v>
      </c>
      <c r="Q211">
        <v>7</v>
      </c>
      <c r="R211" s="32">
        <f t="shared" si="32"/>
        <v>2</v>
      </c>
      <c r="S211">
        <v>8</v>
      </c>
      <c r="T211">
        <v>6</v>
      </c>
      <c r="U211" s="32">
        <f t="shared" si="33"/>
        <v>2</v>
      </c>
      <c r="V211">
        <v>8</v>
      </c>
      <c r="W211">
        <v>7</v>
      </c>
      <c r="X211" s="32">
        <f t="shared" si="34"/>
        <v>1</v>
      </c>
      <c r="Y211">
        <v>9</v>
      </c>
      <c r="Z211">
        <v>7</v>
      </c>
      <c r="AA211" s="32">
        <f t="shared" si="35"/>
        <v>2</v>
      </c>
    </row>
    <row r="212" spans="1:27" x14ac:dyDescent="0.45">
      <c r="A212">
        <v>7</v>
      </c>
      <c r="B212">
        <v>7</v>
      </c>
      <c r="C212" s="32">
        <f t="shared" si="27"/>
        <v>0</v>
      </c>
      <c r="D212">
        <v>8</v>
      </c>
      <c r="E212">
        <v>7</v>
      </c>
      <c r="F212" s="32">
        <f t="shared" si="28"/>
        <v>1</v>
      </c>
      <c r="G212">
        <v>8</v>
      </c>
      <c r="H212">
        <v>7</v>
      </c>
      <c r="I212" s="32">
        <f t="shared" si="29"/>
        <v>1</v>
      </c>
      <c r="J212">
        <v>9</v>
      </c>
      <c r="K212">
        <v>8</v>
      </c>
      <c r="L212" s="32">
        <f t="shared" si="30"/>
        <v>1</v>
      </c>
      <c r="M212">
        <v>8</v>
      </c>
      <c r="N212">
        <v>7</v>
      </c>
      <c r="O212" s="32">
        <f t="shared" si="31"/>
        <v>1</v>
      </c>
      <c r="P212">
        <v>9</v>
      </c>
      <c r="Q212">
        <v>7</v>
      </c>
      <c r="R212" s="32">
        <f t="shared" si="32"/>
        <v>2</v>
      </c>
      <c r="S212">
        <v>8</v>
      </c>
      <c r="T212">
        <v>6</v>
      </c>
      <c r="U212" s="32">
        <f t="shared" si="33"/>
        <v>2</v>
      </c>
      <c r="V212">
        <v>8</v>
      </c>
      <c r="W212">
        <v>7</v>
      </c>
      <c r="X212" s="32">
        <f t="shared" si="34"/>
        <v>1</v>
      </c>
      <c r="Y212">
        <v>9</v>
      </c>
      <c r="Z212">
        <v>7</v>
      </c>
      <c r="AA212" s="32">
        <f t="shared" si="35"/>
        <v>2</v>
      </c>
    </row>
    <row r="213" spans="1:27" x14ac:dyDescent="0.45">
      <c r="A213">
        <v>7</v>
      </c>
      <c r="B213">
        <v>7</v>
      </c>
      <c r="C213" s="32">
        <f t="shared" si="27"/>
        <v>0</v>
      </c>
      <c r="D213">
        <v>8</v>
      </c>
      <c r="E213">
        <v>8</v>
      </c>
      <c r="F213" s="32">
        <f t="shared" si="28"/>
        <v>0</v>
      </c>
      <c r="G213">
        <v>8</v>
      </c>
      <c r="H213">
        <v>7</v>
      </c>
      <c r="I213" s="32">
        <f t="shared" si="29"/>
        <v>1</v>
      </c>
      <c r="J213">
        <v>9</v>
      </c>
      <c r="K213">
        <v>8</v>
      </c>
      <c r="L213" s="32">
        <f t="shared" si="30"/>
        <v>1</v>
      </c>
      <c r="M213">
        <v>8</v>
      </c>
      <c r="N213">
        <v>7</v>
      </c>
      <c r="O213" s="32">
        <f t="shared" si="31"/>
        <v>1</v>
      </c>
      <c r="P213">
        <v>9</v>
      </c>
      <c r="Q213">
        <v>7</v>
      </c>
      <c r="R213" s="32">
        <f t="shared" si="32"/>
        <v>2</v>
      </c>
      <c r="S213">
        <v>8</v>
      </c>
      <c r="T213">
        <v>6</v>
      </c>
      <c r="U213" s="32">
        <f t="shared" si="33"/>
        <v>2</v>
      </c>
      <c r="V213">
        <v>8</v>
      </c>
      <c r="W213">
        <v>7</v>
      </c>
      <c r="X213" s="32">
        <f t="shared" si="34"/>
        <v>1</v>
      </c>
      <c r="Y213">
        <v>9</v>
      </c>
      <c r="Z213">
        <v>7</v>
      </c>
      <c r="AA213" s="32">
        <f t="shared" si="35"/>
        <v>2</v>
      </c>
    </row>
    <row r="214" spans="1:27" x14ac:dyDescent="0.45">
      <c r="A214">
        <v>7</v>
      </c>
      <c r="B214">
        <v>7</v>
      </c>
      <c r="C214" s="32">
        <f t="shared" si="27"/>
        <v>0</v>
      </c>
      <c r="D214">
        <v>8</v>
      </c>
      <c r="E214">
        <v>8</v>
      </c>
      <c r="F214" s="32">
        <f t="shared" si="28"/>
        <v>0</v>
      </c>
      <c r="G214">
        <v>9</v>
      </c>
      <c r="H214">
        <v>7</v>
      </c>
      <c r="I214" s="32">
        <f t="shared" si="29"/>
        <v>2</v>
      </c>
      <c r="J214">
        <v>9</v>
      </c>
      <c r="K214">
        <v>8</v>
      </c>
      <c r="L214" s="32">
        <f t="shared" si="30"/>
        <v>1</v>
      </c>
      <c r="M214">
        <v>8</v>
      </c>
      <c r="N214">
        <v>7</v>
      </c>
      <c r="O214" s="32">
        <f t="shared" si="31"/>
        <v>1</v>
      </c>
      <c r="P214">
        <v>9</v>
      </c>
      <c r="Q214">
        <v>7</v>
      </c>
      <c r="R214" s="32">
        <f t="shared" si="32"/>
        <v>2</v>
      </c>
      <c r="S214">
        <v>8</v>
      </c>
      <c r="T214">
        <v>6</v>
      </c>
      <c r="U214" s="32">
        <f t="shared" si="33"/>
        <v>2</v>
      </c>
      <c r="V214">
        <v>8</v>
      </c>
      <c r="W214">
        <v>7</v>
      </c>
      <c r="X214" s="32">
        <f t="shared" si="34"/>
        <v>1</v>
      </c>
      <c r="Y214">
        <v>9</v>
      </c>
      <c r="Z214">
        <v>7</v>
      </c>
      <c r="AA214" s="32">
        <f t="shared" si="35"/>
        <v>2</v>
      </c>
    </row>
    <row r="215" spans="1:27" x14ac:dyDescent="0.45">
      <c r="A215">
        <v>7</v>
      </c>
      <c r="B215">
        <v>7</v>
      </c>
      <c r="C215" s="32">
        <f t="shared" si="27"/>
        <v>0</v>
      </c>
      <c r="D215">
        <v>8</v>
      </c>
      <c r="E215">
        <v>8</v>
      </c>
      <c r="F215" s="32">
        <f t="shared" si="28"/>
        <v>0</v>
      </c>
      <c r="G215">
        <v>9</v>
      </c>
      <c r="H215">
        <v>7</v>
      </c>
      <c r="I215" s="32">
        <f t="shared" si="29"/>
        <v>2</v>
      </c>
      <c r="J215">
        <v>9</v>
      </c>
      <c r="K215">
        <v>8</v>
      </c>
      <c r="L215" s="32">
        <f t="shared" si="30"/>
        <v>1</v>
      </c>
      <c r="M215">
        <v>8</v>
      </c>
      <c r="N215">
        <v>7</v>
      </c>
      <c r="O215" s="32">
        <f t="shared" si="31"/>
        <v>1</v>
      </c>
      <c r="P215">
        <v>9</v>
      </c>
      <c r="Q215">
        <v>7</v>
      </c>
      <c r="R215" s="32">
        <f t="shared" si="32"/>
        <v>2</v>
      </c>
      <c r="S215">
        <v>8</v>
      </c>
      <c r="T215">
        <v>6</v>
      </c>
      <c r="U215" s="32">
        <f t="shared" si="33"/>
        <v>2</v>
      </c>
      <c r="V215">
        <v>8</v>
      </c>
      <c r="W215">
        <v>7</v>
      </c>
      <c r="X215" s="32">
        <f t="shared" si="34"/>
        <v>1</v>
      </c>
      <c r="Y215">
        <v>9</v>
      </c>
      <c r="Z215">
        <v>7</v>
      </c>
      <c r="AA215" s="32">
        <f t="shared" si="35"/>
        <v>2</v>
      </c>
    </row>
    <row r="216" spans="1:27" x14ac:dyDescent="0.45">
      <c r="A216">
        <v>7</v>
      </c>
      <c r="B216">
        <v>7</v>
      </c>
      <c r="C216" s="32">
        <f t="shared" si="27"/>
        <v>0</v>
      </c>
      <c r="D216">
        <v>8</v>
      </c>
      <c r="E216">
        <v>8</v>
      </c>
      <c r="F216" s="32">
        <f t="shared" si="28"/>
        <v>0</v>
      </c>
      <c r="G216">
        <v>9</v>
      </c>
      <c r="H216">
        <v>7</v>
      </c>
      <c r="I216" s="32">
        <f t="shared" si="29"/>
        <v>2</v>
      </c>
      <c r="J216">
        <v>9</v>
      </c>
      <c r="K216">
        <v>8</v>
      </c>
      <c r="L216" s="32">
        <f t="shared" si="30"/>
        <v>1</v>
      </c>
      <c r="M216">
        <v>8</v>
      </c>
      <c r="N216">
        <v>7</v>
      </c>
      <c r="O216" s="32">
        <f t="shared" si="31"/>
        <v>1</v>
      </c>
      <c r="P216">
        <v>9</v>
      </c>
      <c r="Q216">
        <v>7</v>
      </c>
      <c r="R216" s="32">
        <f t="shared" si="32"/>
        <v>2</v>
      </c>
      <c r="S216">
        <v>8</v>
      </c>
      <c r="T216">
        <v>6</v>
      </c>
      <c r="U216" s="32">
        <f t="shared" si="33"/>
        <v>2</v>
      </c>
      <c r="V216">
        <v>8</v>
      </c>
      <c r="W216">
        <v>7</v>
      </c>
      <c r="X216" s="32">
        <f t="shared" si="34"/>
        <v>1</v>
      </c>
      <c r="Y216">
        <v>9</v>
      </c>
      <c r="Z216">
        <v>7</v>
      </c>
      <c r="AA216" s="32">
        <f t="shared" si="35"/>
        <v>2</v>
      </c>
    </row>
    <row r="217" spans="1:27" x14ac:dyDescent="0.45">
      <c r="A217">
        <v>7</v>
      </c>
      <c r="B217">
        <v>7</v>
      </c>
      <c r="C217" s="32">
        <f t="shared" si="27"/>
        <v>0</v>
      </c>
      <c r="D217">
        <v>8</v>
      </c>
      <c r="E217">
        <v>8</v>
      </c>
      <c r="F217" s="32">
        <f t="shared" si="28"/>
        <v>0</v>
      </c>
      <c r="G217">
        <v>9</v>
      </c>
      <c r="H217">
        <v>7</v>
      </c>
      <c r="I217" s="32">
        <f t="shared" si="29"/>
        <v>2</v>
      </c>
      <c r="J217">
        <v>9</v>
      </c>
      <c r="K217">
        <v>8</v>
      </c>
      <c r="L217" s="32">
        <f t="shared" si="30"/>
        <v>1</v>
      </c>
      <c r="M217">
        <v>8</v>
      </c>
      <c r="N217">
        <v>7</v>
      </c>
      <c r="O217" s="32">
        <f t="shared" si="31"/>
        <v>1</v>
      </c>
      <c r="P217">
        <v>9</v>
      </c>
      <c r="Q217">
        <v>7</v>
      </c>
      <c r="R217" s="32">
        <f t="shared" si="32"/>
        <v>2</v>
      </c>
      <c r="S217">
        <v>8</v>
      </c>
      <c r="T217">
        <v>6</v>
      </c>
      <c r="U217" s="32">
        <f t="shared" si="33"/>
        <v>2</v>
      </c>
      <c r="V217">
        <v>8</v>
      </c>
      <c r="W217">
        <v>7</v>
      </c>
      <c r="X217" s="32">
        <f t="shared" si="34"/>
        <v>1</v>
      </c>
      <c r="Y217">
        <v>9</v>
      </c>
      <c r="Z217">
        <v>7</v>
      </c>
      <c r="AA217" s="32">
        <f t="shared" si="35"/>
        <v>2</v>
      </c>
    </row>
    <row r="218" spans="1:27" x14ac:dyDescent="0.45">
      <c r="A218">
        <v>7</v>
      </c>
      <c r="B218">
        <v>7</v>
      </c>
      <c r="C218" s="32">
        <f t="shared" si="27"/>
        <v>0</v>
      </c>
      <c r="D218">
        <v>8</v>
      </c>
      <c r="E218">
        <v>8</v>
      </c>
      <c r="F218" s="32">
        <f t="shared" si="28"/>
        <v>0</v>
      </c>
      <c r="G218">
        <v>9</v>
      </c>
      <c r="H218">
        <v>7</v>
      </c>
      <c r="I218" s="32">
        <f t="shared" si="29"/>
        <v>2</v>
      </c>
      <c r="J218">
        <v>9</v>
      </c>
      <c r="K218">
        <v>8</v>
      </c>
      <c r="L218" s="32">
        <f t="shared" si="30"/>
        <v>1</v>
      </c>
      <c r="M218">
        <v>8</v>
      </c>
      <c r="N218">
        <v>7</v>
      </c>
      <c r="O218" s="32">
        <f t="shared" si="31"/>
        <v>1</v>
      </c>
      <c r="P218">
        <v>9</v>
      </c>
      <c r="Q218">
        <v>7</v>
      </c>
      <c r="R218" s="32">
        <f t="shared" si="32"/>
        <v>2</v>
      </c>
      <c r="S218">
        <v>8</v>
      </c>
      <c r="T218">
        <v>6</v>
      </c>
      <c r="U218" s="32">
        <f t="shared" si="33"/>
        <v>2</v>
      </c>
      <c r="V218">
        <v>8</v>
      </c>
      <c r="W218">
        <v>7</v>
      </c>
      <c r="X218" s="32">
        <f t="shared" si="34"/>
        <v>1</v>
      </c>
      <c r="Y218">
        <v>9</v>
      </c>
      <c r="Z218">
        <v>7</v>
      </c>
      <c r="AA218" s="32">
        <f t="shared" si="35"/>
        <v>2</v>
      </c>
    </row>
    <row r="219" spans="1:27" x14ac:dyDescent="0.45">
      <c r="A219">
        <v>7</v>
      </c>
      <c r="B219">
        <v>7</v>
      </c>
      <c r="C219" s="32">
        <f t="shared" si="27"/>
        <v>0</v>
      </c>
      <c r="D219">
        <v>8</v>
      </c>
      <c r="E219">
        <v>8</v>
      </c>
      <c r="F219" s="32">
        <f t="shared" si="28"/>
        <v>0</v>
      </c>
      <c r="G219">
        <v>9</v>
      </c>
      <c r="H219">
        <v>7</v>
      </c>
      <c r="I219" s="32">
        <f t="shared" si="29"/>
        <v>2</v>
      </c>
      <c r="J219">
        <v>9</v>
      </c>
      <c r="K219">
        <v>8</v>
      </c>
      <c r="L219" s="32">
        <f t="shared" si="30"/>
        <v>1</v>
      </c>
      <c r="M219">
        <v>8</v>
      </c>
      <c r="N219">
        <v>7</v>
      </c>
      <c r="O219" s="32">
        <f t="shared" si="31"/>
        <v>1</v>
      </c>
      <c r="P219">
        <v>9</v>
      </c>
      <c r="Q219">
        <v>7</v>
      </c>
      <c r="R219" s="32">
        <f t="shared" si="32"/>
        <v>2</v>
      </c>
      <c r="S219">
        <v>8</v>
      </c>
      <c r="T219">
        <v>6</v>
      </c>
      <c r="U219" s="32">
        <f t="shared" si="33"/>
        <v>2</v>
      </c>
      <c r="V219">
        <v>8</v>
      </c>
      <c r="W219">
        <v>7</v>
      </c>
      <c r="X219" s="32">
        <f t="shared" si="34"/>
        <v>1</v>
      </c>
      <c r="Y219">
        <v>9</v>
      </c>
      <c r="Z219">
        <v>7</v>
      </c>
      <c r="AA219" s="32">
        <f t="shared" si="35"/>
        <v>2</v>
      </c>
    </row>
    <row r="220" spans="1:27" x14ac:dyDescent="0.45">
      <c r="A220">
        <v>7</v>
      </c>
      <c r="B220">
        <v>7</v>
      </c>
      <c r="C220" s="32">
        <f t="shared" si="27"/>
        <v>0</v>
      </c>
      <c r="D220">
        <v>8</v>
      </c>
      <c r="E220">
        <v>8</v>
      </c>
      <c r="F220" s="32">
        <f t="shared" si="28"/>
        <v>0</v>
      </c>
      <c r="G220">
        <v>9</v>
      </c>
      <c r="H220">
        <v>7</v>
      </c>
      <c r="I220" s="32">
        <f t="shared" si="29"/>
        <v>2</v>
      </c>
      <c r="J220">
        <v>9</v>
      </c>
      <c r="K220">
        <v>8</v>
      </c>
      <c r="L220" s="32">
        <f t="shared" si="30"/>
        <v>1</v>
      </c>
      <c r="M220">
        <v>8</v>
      </c>
      <c r="N220">
        <v>7</v>
      </c>
      <c r="O220" s="32">
        <f t="shared" si="31"/>
        <v>1</v>
      </c>
      <c r="P220">
        <v>9</v>
      </c>
      <c r="Q220">
        <v>7</v>
      </c>
      <c r="R220" s="32">
        <f t="shared" si="32"/>
        <v>2</v>
      </c>
      <c r="S220">
        <v>8</v>
      </c>
      <c r="T220">
        <v>6</v>
      </c>
      <c r="U220" s="32">
        <f t="shared" si="33"/>
        <v>2</v>
      </c>
      <c r="V220">
        <v>8</v>
      </c>
      <c r="W220">
        <v>7</v>
      </c>
      <c r="X220" s="32">
        <f t="shared" si="34"/>
        <v>1</v>
      </c>
      <c r="Y220">
        <v>9</v>
      </c>
      <c r="Z220">
        <v>7</v>
      </c>
      <c r="AA220" s="32">
        <f t="shared" si="35"/>
        <v>2</v>
      </c>
    </row>
    <row r="221" spans="1:27" x14ac:dyDescent="0.45">
      <c r="A221">
        <v>7</v>
      </c>
      <c r="B221">
        <v>7</v>
      </c>
      <c r="C221" s="32">
        <f t="shared" si="27"/>
        <v>0</v>
      </c>
      <c r="D221">
        <v>8</v>
      </c>
      <c r="E221">
        <v>8</v>
      </c>
      <c r="F221" s="32">
        <f t="shared" si="28"/>
        <v>0</v>
      </c>
      <c r="G221">
        <v>9</v>
      </c>
      <c r="H221">
        <v>7</v>
      </c>
      <c r="I221" s="32">
        <f t="shared" si="29"/>
        <v>2</v>
      </c>
      <c r="J221">
        <v>9</v>
      </c>
      <c r="K221">
        <v>8</v>
      </c>
      <c r="L221" s="32">
        <f t="shared" si="30"/>
        <v>1</v>
      </c>
      <c r="M221">
        <v>8</v>
      </c>
      <c r="N221">
        <v>7</v>
      </c>
      <c r="O221" s="32">
        <f t="shared" si="31"/>
        <v>1</v>
      </c>
      <c r="P221">
        <v>9</v>
      </c>
      <c r="Q221">
        <v>7</v>
      </c>
      <c r="R221" s="32">
        <f t="shared" si="32"/>
        <v>2</v>
      </c>
      <c r="S221">
        <v>8</v>
      </c>
      <c r="T221">
        <v>6</v>
      </c>
      <c r="U221" s="32">
        <f t="shared" si="33"/>
        <v>2</v>
      </c>
      <c r="V221">
        <v>8</v>
      </c>
      <c r="W221">
        <v>7</v>
      </c>
      <c r="X221" s="32">
        <f t="shared" si="34"/>
        <v>1</v>
      </c>
      <c r="Y221">
        <v>9</v>
      </c>
      <c r="Z221">
        <v>7</v>
      </c>
      <c r="AA221" s="32">
        <f t="shared" si="35"/>
        <v>2</v>
      </c>
    </row>
    <row r="222" spans="1:27" x14ac:dyDescent="0.45">
      <c r="A222">
        <v>7</v>
      </c>
      <c r="B222">
        <v>7</v>
      </c>
      <c r="C222" s="32">
        <f t="shared" si="27"/>
        <v>0</v>
      </c>
      <c r="D222">
        <v>8</v>
      </c>
      <c r="E222">
        <v>8</v>
      </c>
      <c r="F222" s="32">
        <f t="shared" si="28"/>
        <v>0</v>
      </c>
      <c r="G222">
        <v>9</v>
      </c>
      <c r="H222">
        <v>7</v>
      </c>
      <c r="I222" s="32">
        <f t="shared" si="29"/>
        <v>2</v>
      </c>
      <c r="J222">
        <v>9</v>
      </c>
      <c r="K222">
        <v>8</v>
      </c>
      <c r="L222" s="32">
        <f t="shared" si="30"/>
        <v>1</v>
      </c>
      <c r="M222">
        <v>8</v>
      </c>
      <c r="N222">
        <v>7</v>
      </c>
      <c r="O222" s="32">
        <f t="shared" si="31"/>
        <v>1</v>
      </c>
      <c r="P222">
        <v>9</v>
      </c>
      <c r="Q222">
        <v>7</v>
      </c>
      <c r="R222" s="32">
        <f t="shared" si="32"/>
        <v>2</v>
      </c>
      <c r="S222">
        <v>8</v>
      </c>
      <c r="T222">
        <v>6</v>
      </c>
      <c r="U222" s="32">
        <f t="shared" si="33"/>
        <v>2</v>
      </c>
      <c r="V222">
        <v>8</v>
      </c>
      <c r="W222">
        <v>7</v>
      </c>
      <c r="X222" s="32">
        <f t="shared" si="34"/>
        <v>1</v>
      </c>
      <c r="Y222">
        <v>9</v>
      </c>
      <c r="Z222">
        <v>7</v>
      </c>
      <c r="AA222" s="32">
        <f t="shared" si="35"/>
        <v>2</v>
      </c>
    </row>
    <row r="223" spans="1:27" x14ac:dyDescent="0.45">
      <c r="A223">
        <v>7</v>
      </c>
      <c r="B223">
        <v>7</v>
      </c>
      <c r="C223" s="32">
        <f t="shared" si="27"/>
        <v>0</v>
      </c>
      <c r="D223">
        <v>8</v>
      </c>
      <c r="E223">
        <v>8</v>
      </c>
      <c r="F223" s="32">
        <f t="shared" si="28"/>
        <v>0</v>
      </c>
      <c r="G223">
        <v>9</v>
      </c>
      <c r="H223">
        <v>7</v>
      </c>
      <c r="I223" s="32">
        <f t="shared" si="29"/>
        <v>2</v>
      </c>
      <c r="J223">
        <v>9</v>
      </c>
      <c r="K223">
        <v>8</v>
      </c>
      <c r="L223" s="32">
        <f t="shared" si="30"/>
        <v>1</v>
      </c>
      <c r="M223">
        <v>8</v>
      </c>
      <c r="N223">
        <v>7</v>
      </c>
      <c r="O223" s="32">
        <f t="shared" si="31"/>
        <v>1</v>
      </c>
      <c r="P223">
        <v>9</v>
      </c>
      <c r="Q223">
        <v>7</v>
      </c>
      <c r="R223" s="32">
        <f t="shared" si="32"/>
        <v>2</v>
      </c>
      <c r="S223">
        <v>8</v>
      </c>
      <c r="T223">
        <v>6</v>
      </c>
      <c r="U223" s="32">
        <f t="shared" si="33"/>
        <v>2</v>
      </c>
      <c r="V223">
        <v>8</v>
      </c>
      <c r="W223">
        <v>7</v>
      </c>
      <c r="X223" s="32">
        <f t="shared" si="34"/>
        <v>1</v>
      </c>
      <c r="Y223">
        <v>9</v>
      </c>
      <c r="Z223">
        <v>7</v>
      </c>
      <c r="AA223" s="32">
        <f t="shared" si="35"/>
        <v>2</v>
      </c>
    </row>
    <row r="224" spans="1:27" x14ac:dyDescent="0.45">
      <c r="A224">
        <v>7</v>
      </c>
      <c r="B224">
        <v>7</v>
      </c>
      <c r="C224" s="32">
        <f t="shared" si="27"/>
        <v>0</v>
      </c>
      <c r="D224">
        <v>8</v>
      </c>
      <c r="E224">
        <v>8</v>
      </c>
      <c r="F224" s="32">
        <f t="shared" si="28"/>
        <v>0</v>
      </c>
      <c r="G224">
        <v>9</v>
      </c>
      <c r="H224">
        <v>7</v>
      </c>
      <c r="I224" s="32">
        <f t="shared" si="29"/>
        <v>2</v>
      </c>
      <c r="J224">
        <v>9</v>
      </c>
      <c r="K224">
        <v>8</v>
      </c>
      <c r="L224" s="32">
        <f t="shared" si="30"/>
        <v>1</v>
      </c>
      <c r="M224">
        <v>8</v>
      </c>
      <c r="N224">
        <v>7</v>
      </c>
      <c r="O224" s="32">
        <f t="shared" si="31"/>
        <v>1</v>
      </c>
      <c r="P224">
        <v>9</v>
      </c>
      <c r="Q224">
        <v>7</v>
      </c>
      <c r="R224" s="32">
        <f t="shared" si="32"/>
        <v>2</v>
      </c>
      <c r="S224">
        <v>8</v>
      </c>
      <c r="T224">
        <v>6</v>
      </c>
      <c r="U224" s="32">
        <f t="shared" si="33"/>
        <v>2</v>
      </c>
      <c r="V224">
        <v>8</v>
      </c>
      <c r="W224">
        <v>7</v>
      </c>
      <c r="X224" s="32">
        <f t="shared" si="34"/>
        <v>1</v>
      </c>
      <c r="Y224">
        <v>9</v>
      </c>
      <c r="Z224">
        <v>7</v>
      </c>
      <c r="AA224" s="32">
        <f t="shared" si="35"/>
        <v>2</v>
      </c>
    </row>
    <row r="225" spans="1:27" x14ac:dyDescent="0.45">
      <c r="A225">
        <v>7</v>
      </c>
      <c r="B225">
        <v>7</v>
      </c>
      <c r="C225" s="32">
        <f t="shared" si="27"/>
        <v>0</v>
      </c>
      <c r="D225">
        <v>8</v>
      </c>
      <c r="E225">
        <v>8</v>
      </c>
      <c r="F225" s="32">
        <f t="shared" si="28"/>
        <v>0</v>
      </c>
      <c r="G225">
        <v>9</v>
      </c>
      <c r="H225">
        <v>7</v>
      </c>
      <c r="I225" s="32">
        <f t="shared" si="29"/>
        <v>2</v>
      </c>
      <c r="J225">
        <v>9</v>
      </c>
      <c r="K225">
        <v>8</v>
      </c>
      <c r="L225" s="32">
        <f t="shared" si="30"/>
        <v>1</v>
      </c>
      <c r="M225">
        <v>8</v>
      </c>
      <c r="N225">
        <v>7</v>
      </c>
      <c r="O225" s="32">
        <f t="shared" si="31"/>
        <v>1</v>
      </c>
      <c r="P225">
        <v>9</v>
      </c>
      <c r="Q225">
        <v>7</v>
      </c>
      <c r="R225" s="32">
        <f t="shared" si="32"/>
        <v>2</v>
      </c>
      <c r="S225">
        <v>8</v>
      </c>
      <c r="T225">
        <v>6</v>
      </c>
      <c r="U225" s="32">
        <f t="shared" si="33"/>
        <v>2</v>
      </c>
      <c r="V225">
        <v>8</v>
      </c>
      <c r="W225">
        <v>7</v>
      </c>
      <c r="X225" s="32">
        <f t="shared" si="34"/>
        <v>1</v>
      </c>
      <c r="Y225">
        <v>9</v>
      </c>
      <c r="Z225">
        <v>7</v>
      </c>
      <c r="AA225" s="32">
        <f t="shared" si="35"/>
        <v>2</v>
      </c>
    </row>
    <row r="226" spans="1:27" x14ac:dyDescent="0.45">
      <c r="A226">
        <v>7</v>
      </c>
      <c r="B226">
        <v>7</v>
      </c>
      <c r="C226" s="32">
        <f t="shared" si="27"/>
        <v>0</v>
      </c>
      <c r="D226">
        <v>8</v>
      </c>
      <c r="E226">
        <v>8</v>
      </c>
      <c r="F226" s="32">
        <f t="shared" si="28"/>
        <v>0</v>
      </c>
      <c r="G226">
        <v>9</v>
      </c>
      <c r="H226">
        <v>7</v>
      </c>
      <c r="I226" s="32">
        <f t="shared" si="29"/>
        <v>2</v>
      </c>
      <c r="J226">
        <v>9</v>
      </c>
      <c r="K226">
        <v>8</v>
      </c>
      <c r="L226" s="32">
        <f t="shared" si="30"/>
        <v>1</v>
      </c>
      <c r="M226">
        <v>8</v>
      </c>
      <c r="N226">
        <v>7</v>
      </c>
      <c r="O226" s="32">
        <f t="shared" si="31"/>
        <v>1</v>
      </c>
      <c r="P226">
        <v>9</v>
      </c>
      <c r="Q226">
        <v>7</v>
      </c>
      <c r="R226" s="32">
        <f t="shared" si="32"/>
        <v>2</v>
      </c>
      <c r="S226">
        <v>8</v>
      </c>
      <c r="T226">
        <v>6</v>
      </c>
      <c r="U226" s="32">
        <f t="shared" si="33"/>
        <v>2</v>
      </c>
      <c r="V226">
        <v>8</v>
      </c>
      <c r="W226">
        <v>7</v>
      </c>
      <c r="X226" s="32">
        <f t="shared" si="34"/>
        <v>1</v>
      </c>
      <c r="Y226">
        <v>9</v>
      </c>
      <c r="Z226">
        <v>7</v>
      </c>
      <c r="AA226" s="32">
        <f t="shared" si="35"/>
        <v>2</v>
      </c>
    </row>
    <row r="227" spans="1:27" x14ac:dyDescent="0.45">
      <c r="A227">
        <v>7</v>
      </c>
      <c r="B227">
        <v>7</v>
      </c>
      <c r="C227" s="32">
        <f t="shared" si="27"/>
        <v>0</v>
      </c>
      <c r="D227">
        <v>8</v>
      </c>
      <c r="E227">
        <v>8</v>
      </c>
      <c r="F227" s="32">
        <f t="shared" si="28"/>
        <v>0</v>
      </c>
      <c r="G227">
        <v>9</v>
      </c>
      <c r="H227">
        <v>7</v>
      </c>
      <c r="I227" s="32">
        <f t="shared" si="29"/>
        <v>2</v>
      </c>
      <c r="J227">
        <v>9</v>
      </c>
      <c r="K227">
        <v>8</v>
      </c>
      <c r="L227" s="32">
        <f t="shared" si="30"/>
        <v>1</v>
      </c>
      <c r="M227">
        <v>8</v>
      </c>
      <c r="N227">
        <v>7</v>
      </c>
      <c r="O227" s="32">
        <f t="shared" si="31"/>
        <v>1</v>
      </c>
      <c r="P227">
        <v>9</v>
      </c>
      <c r="Q227">
        <v>7</v>
      </c>
      <c r="R227" s="32">
        <f t="shared" si="32"/>
        <v>2</v>
      </c>
      <c r="S227">
        <v>8</v>
      </c>
      <c r="T227">
        <v>6</v>
      </c>
      <c r="U227" s="32">
        <f t="shared" si="33"/>
        <v>2</v>
      </c>
      <c r="V227">
        <v>8</v>
      </c>
      <c r="W227">
        <v>7</v>
      </c>
      <c r="X227" s="32">
        <f t="shared" si="34"/>
        <v>1</v>
      </c>
      <c r="Y227">
        <v>9</v>
      </c>
      <c r="Z227">
        <v>7</v>
      </c>
      <c r="AA227" s="32">
        <f t="shared" si="35"/>
        <v>2</v>
      </c>
    </row>
    <row r="228" spans="1:27" x14ac:dyDescent="0.45">
      <c r="A228">
        <v>7</v>
      </c>
      <c r="B228">
        <v>7</v>
      </c>
      <c r="C228" s="32">
        <f t="shared" si="27"/>
        <v>0</v>
      </c>
      <c r="D228">
        <v>8</v>
      </c>
      <c r="E228">
        <v>8</v>
      </c>
      <c r="F228" s="32">
        <f t="shared" si="28"/>
        <v>0</v>
      </c>
      <c r="G228">
        <v>9</v>
      </c>
      <c r="H228">
        <v>7</v>
      </c>
      <c r="I228" s="32">
        <f t="shared" si="29"/>
        <v>2</v>
      </c>
      <c r="J228">
        <v>9</v>
      </c>
      <c r="K228">
        <v>8</v>
      </c>
      <c r="L228" s="32">
        <f t="shared" si="30"/>
        <v>1</v>
      </c>
      <c r="M228">
        <v>8</v>
      </c>
      <c r="N228">
        <v>7</v>
      </c>
      <c r="O228" s="32">
        <f t="shared" si="31"/>
        <v>1</v>
      </c>
      <c r="P228">
        <v>9</v>
      </c>
      <c r="Q228">
        <v>7</v>
      </c>
      <c r="R228" s="32">
        <f t="shared" si="32"/>
        <v>2</v>
      </c>
      <c r="S228">
        <v>8</v>
      </c>
      <c r="T228">
        <v>6</v>
      </c>
      <c r="U228" s="32">
        <f t="shared" si="33"/>
        <v>2</v>
      </c>
      <c r="V228">
        <v>8</v>
      </c>
      <c r="W228">
        <v>7</v>
      </c>
      <c r="X228" s="32">
        <f t="shared" si="34"/>
        <v>1</v>
      </c>
      <c r="Y228">
        <v>9</v>
      </c>
      <c r="Z228">
        <v>7</v>
      </c>
      <c r="AA228" s="32">
        <f t="shared" si="35"/>
        <v>2</v>
      </c>
    </row>
    <row r="229" spans="1:27" x14ac:dyDescent="0.45">
      <c r="A229">
        <v>7</v>
      </c>
      <c r="B229">
        <v>7</v>
      </c>
      <c r="C229" s="32">
        <f t="shared" si="27"/>
        <v>0</v>
      </c>
      <c r="D229">
        <v>8</v>
      </c>
      <c r="E229">
        <v>8</v>
      </c>
      <c r="F229" s="32">
        <f t="shared" si="28"/>
        <v>0</v>
      </c>
      <c r="G229">
        <v>9</v>
      </c>
      <c r="H229">
        <v>7</v>
      </c>
      <c r="I229" s="32">
        <f t="shared" si="29"/>
        <v>2</v>
      </c>
      <c r="J229">
        <v>9</v>
      </c>
      <c r="K229">
        <v>8</v>
      </c>
      <c r="L229" s="32">
        <f t="shared" si="30"/>
        <v>1</v>
      </c>
      <c r="M229">
        <v>8</v>
      </c>
      <c r="N229">
        <v>7</v>
      </c>
      <c r="O229" s="32">
        <f t="shared" si="31"/>
        <v>1</v>
      </c>
      <c r="P229">
        <v>9</v>
      </c>
      <c r="Q229">
        <v>7</v>
      </c>
      <c r="R229" s="32">
        <f t="shared" si="32"/>
        <v>2</v>
      </c>
      <c r="S229">
        <v>8</v>
      </c>
      <c r="T229">
        <v>6</v>
      </c>
      <c r="U229" s="32">
        <f t="shared" si="33"/>
        <v>2</v>
      </c>
      <c r="V229">
        <v>8</v>
      </c>
      <c r="W229">
        <v>7</v>
      </c>
      <c r="X229" s="32">
        <f t="shared" si="34"/>
        <v>1</v>
      </c>
      <c r="Y229">
        <v>9</v>
      </c>
      <c r="Z229">
        <v>7</v>
      </c>
      <c r="AA229" s="32">
        <f t="shared" si="35"/>
        <v>2</v>
      </c>
    </row>
    <row r="230" spans="1:27" x14ac:dyDescent="0.45">
      <c r="A230">
        <v>7</v>
      </c>
      <c r="B230">
        <v>7</v>
      </c>
      <c r="C230" s="32">
        <f t="shared" si="27"/>
        <v>0</v>
      </c>
      <c r="D230">
        <v>8</v>
      </c>
      <c r="E230">
        <v>8</v>
      </c>
      <c r="F230" s="32">
        <f t="shared" si="28"/>
        <v>0</v>
      </c>
      <c r="G230">
        <v>9</v>
      </c>
      <c r="H230">
        <v>7</v>
      </c>
      <c r="I230" s="32">
        <f t="shared" si="29"/>
        <v>2</v>
      </c>
      <c r="J230">
        <v>9</v>
      </c>
      <c r="K230">
        <v>8</v>
      </c>
      <c r="L230" s="32">
        <f t="shared" si="30"/>
        <v>1</v>
      </c>
      <c r="M230">
        <v>8</v>
      </c>
      <c r="N230">
        <v>7</v>
      </c>
      <c r="O230" s="32">
        <f t="shared" si="31"/>
        <v>1</v>
      </c>
      <c r="P230">
        <v>9</v>
      </c>
      <c r="Q230">
        <v>7</v>
      </c>
      <c r="R230" s="32">
        <f t="shared" si="32"/>
        <v>2</v>
      </c>
      <c r="S230">
        <v>8</v>
      </c>
      <c r="T230">
        <v>6</v>
      </c>
      <c r="U230" s="32">
        <f t="shared" si="33"/>
        <v>2</v>
      </c>
      <c r="V230">
        <v>8</v>
      </c>
      <c r="W230">
        <v>7</v>
      </c>
      <c r="X230" s="32">
        <f t="shared" si="34"/>
        <v>1</v>
      </c>
      <c r="Y230">
        <v>9</v>
      </c>
      <c r="Z230">
        <v>7</v>
      </c>
      <c r="AA230" s="32">
        <f t="shared" si="35"/>
        <v>2</v>
      </c>
    </row>
    <row r="231" spans="1:27" x14ac:dyDescent="0.45">
      <c r="A231">
        <v>7</v>
      </c>
      <c r="B231">
        <v>7</v>
      </c>
      <c r="C231" s="32">
        <f t="shared" si="27"/>
        <v>0</v>
      </c>
      <c r="D231">
        <v>8</v>
      </c>
      <c r="E231">
        <v>8</v>
      </c>
      <c r="F231" s="32">
        <f t="shared" si="28"/>
        <v>0</v>
      </c>
      <c r="G231">
        <v>9</v>
      </c>
      <c r="H231">
        <v>7</v>
      </c>
      <c r="I231" s="32">
        <f t="shared" si="29"/>
        <v>2</v>
      </c>
      <c r="J231">
        <v>9</v>
      </c>
      <c r="K231">
        <v>8</v>
      </c>
      <c r="L231" s="32">
        <f t="shared" si="30"/>
        <v>1</v>
      </c>
      <c r="M231">
        <v>8</v>
      </c>
      <c r="N231">
        <v>7</v>
      </c>
      <c r="O231" s="32">
        <f t="shared" si="31"/>
        <v>1</v>
      </c>
      <c r="P231">
        <v>9</v>
      </c>
      <c r="Q231">
        <v>7</v>
      </c>
      <c r="R231" s="32">
        <f t="shared" si="32"/>
        <v>2</v>
      </c>
      <c r="S231">
        <v>8</v>
      </c>
      <c r="T231">
        <v>6</v>
      </c>
      <c r="U231" s="32">
        <f t="shared" si="33"/>
        <v>2</v>
      </c>
      <c r="V231">
        <v>8</v>
      </c>
      <c r="W231">
        <v>7</v>
      </c>
      <c r="X231" s="32">
        <f t="shared" si="34"/>
        <v>1</v>
      </c>
      <c r="Y231">
        <v>9</v>
      </c>
      <c r="Z231">
        <v>8</v>
      </c>
      <c r="AA231" s="32">
        <f t="shared" si="35"/>
        <v>1</v>
      </c>
    </row>
    <row r="232" spans="1:27" x14ac:dyDescent="0.45">
      <c r="A232">
        <v>7</v>
      </c>
      <c r="B232">
        <v>7</v>
      </c>
      <c r="C232" s="32">
        <f t="shared" si="27"/>
        <v>0</v>
      </c>
      <c r="D232">
        <v>8</v>
      </c>
      <c r="E232">
        <v>8</v>
      </c>
      <c r="F232" s="32">
        <f t="shared" si="28"/>
        <v>0</v>
      </c>
      <c r="G232">
        <v>9</v>
      </c>
      <c r="H232">
        <v>7</v>
      </c>
      <c r="I232" s="32">
        <f t="shared" si="29"/>
        <v>2</v>
      </c>
      <c r="J232">
        <v>9</v>
      </c>
      <c r="K232">
        <v>8</v>
      </c>
      <c r="L232" s="32">
        <f t="shared" si="30"/>
        <v>1</v>
      </c>
      <c r="M232">
        <v>8</v>
      </c>
      <c r="N232">
        <v>7</v>
      </c>
      <c r="O232" s="32">
        <f t="shared" si="31"/>
        <v>1</v>
      </c>
      <c r="P232">
        <v>9</v>
      </c>
      <c r="Q232">
        <v>7</v>
      </c>
      <c r="R232" s="32">
        <f t="shared" si="32"/>
        <v>2</v>
      </c>
      <c r="S232">
        <v>8</v>
      </c>
      <c r="T232">
        <v>6</v>
      </c>
      <c r="U232" s="32">
        <f t="shared" si="33"/>
        <v>2</v>
      </c>
      <c r="V232">
        <v>8</v>
      </c>
      <c r="W232">
        <v>7</v>
      </c>
      <c r="X232" s="32">
        <f t="shared" si="34"/>
        <v>1</v>
      </c>
      <c r="Y232">
        <v>9</v>
      </c>
      <c r="Z232">
        <v>8</v>
      </c>
      <c r="AA232" s="32">
        <f t="shared" si="35"/>
        <v>1</v>
      </c>
    </row>
    <row r="233" spans="1:27" x14ac:dyDescent="0.45">
      <c r="A233">
        <v>7</v>
      </c>
      <c r="B233">
        <v>7</v>
      </c>
      <c r="C233" s="32">
        <f t="shared" si="27"/>
        <v>0</v>
      </c>
      <c r="D233">
        <v>8</v>
      </c>
      <c r="E233">
        <v>8</v>
      </c>
      <c r="F233" s="32">
        <f t="shared" si="28"/>
        <v>0</v>
      </c>
      <c r="G233">
        <v>9</v>
      </c>
      <c r="H233">
        <v>7</v>
      </c>
      <c r="I233" s="32">
        <f t="shared" si="29"/>
        <v>2</v>
      </c>
      <c r="J233">
        <v>9</v>
      </c>
      <c r="K233">
        <v>8</v>
      </c>
      <c r="L233" s="32">
        <f t="shared" si="30"/>
        <v>1</v>
      </c>
      <c r="M233">
        <v>8</v>
      </c>
      <c r="N233">
        <v>7</v>
      </c>
      <c r="O233" s="32">
        <f t="shared" si="31"/>
        <v>1</v>
      </c>
      <c r="P233">
        <v>9</v>
      </c>
      <c r="Q233">
        <v>7</v>
      </c>
      <c r="R233" s="32">
        <f t="shared" si="32"/>
        <v>2</v>
      </c>
      <c r="S233">
        <v>8</v>
      </c>
      <c r="T233">
        <v>6</v>
      </c>
      <c r="U233" s="32">
        <f t="shared" si="33"/>
        <v>2</v>
      </c>
      <c r="V233">
        <v>8</v>
      </c>
      <c r="W233">
        <v>7</v>
      </c>
      <c r="X233" s="32">
        <f t="shared" si="34"/>
        <v>1</v>
      </c>
      <c r="Y233">
        <v>9</v>
      </c>
      <c r="Z233">
        <v>8</v>
      </c>
      <c r="AA233" s="32">
        <f t="shared" si="35"/>
        <v>1</v>
      </c>
    </row>
    <row r="234" spans="1:27" x14ac:dyDescent="0.45">
      <c r="A234">
        <v>7</v>
      </c>
      <c r="B234">
        <v>7</v>
      </c>
      <c r="C234" s="32">
        <f t="shared" si="27"/>
        <v>0</v>
      </c>
      <c r="D234">
        <v>8</v>
      </c>
      <c r="E234">
        <v>8</v>
      </c>
      <c r="F234" s="32">
        <f t="shared" si="28"/>
        <v>0</v>
      </c>
      <c r="G234">
        <v>9</v>
      </c>
      <c r="H234">
        <v>7</v>
      </c>
      <c r="I234" s="32">
        <f t="shared" si="29"/>
        <v>2</v>
      </c>
      <c r="J234">
        <v>9</v>
      </c>
      <c r="K234">
        <v>8</v>
      </c>
      <c r="L234" s="32">
        <f t="shared" si="30"/>
        <v>1</v>
      </c>
      <c r="M234">
        <v>8</v>
      </c>
      <c r="N234">
        <v>7</v>
      </c>
      <c r="O234" s="32">
        <f t="shared" si="31"/>
        <v>1</v>
      </c>
      <c r="P234">
        <v>9</v>
      </c>
      <c r="Q234">
        <v>7</v>
      </c>
      <c r="R234" s="32">
        <f t="shared" si="32"/>
        <v>2</v>
      </c>
      <c r="S234">
        <v>8</v>
      </c>
      <c r="T234">
        <v>6</v>
      </c>
      <c r="U234" s="32">
        <f t="shared" si="33"/>
        <v>2</v>
      </c>
      <c r="V234">
        <v>8</v>
      </c>
      <c r="W234">
        <v>7</v>
      </c>
      <c r="X234" s="32">
        <f t="shared" si="34"/>
        <v>1</v>
      </c>
      <c r="Y234">
        <v>9</v>
      </c>
      <c r="Z234">
        <v>8</v>
      </c>
      <c r="AA234" s="32">
        <f t="shared" si="35"/>
        <v>1</v>
      </c>
    </row>
    <row r="235" spans="1:27" x14ac:dyDescent="0.45">
      <c r="A235">
        <v>7</v>
      </c>
      <c r="B235">
        <v>7</v>
      </c>
      <c r="C235" s="32">
        <f t="shared" si="27"/>
        <v>0</v>
      </c>
      <c r="D235">
        <v>8</v>
      </c>
      <c r="E235">
        <v>8</v>
      </c>
      <c r="F235" s="32">
        <f t="shared" si="28"/>
        <v>0</v>
      </c>
      <c r="G235">
        <v>9</v>
      </c>
      <c r="H235">
        <v>7</v>
      </c>
      <c r="I235" s="32">
        <f t="shared" si="29"/>
        <v>2</v>
      </c>
      <c r="J235">
        <v>9</v>
      </c>
      <c r="K235">
        <v>8</v>
      </c>
      <c r="L235" s="32">
        <f t="shared" si="30"/>
        <v>1</v>
      </c>
      <c r="M235">
        <v>8</v>
      </c>
      <c r="N235">
        <v>7</v>
      </c>
      <c r="O235" s="32">
        <f t="shared" si="31"/>
        <v>1</v>
      </c>
      <c r="P235">
        <v>9</v>
      </c>
      <c r="Q235">
        <v>7</v>
      </c>
      <c r="R235" s="32">
        <f t="shared" si="32"/>
        <v>2</v>
      </c>
      <c r="S235">
        <v>8</v>
      </c>
      <c r="T235">
        <v>6</v>
      </c>
      <c r="U235" s="32">
        <f t="shared" si="33"/>
        <v>2</v>
      </c>
      <c r="V235">
        <v>8</v>
      </c>
      <c r="W235">
        <v>7</v>
      </c>
      <c r="X235" s="32">
        <f t="shared" si="34"/>
        <v>1</v>
      </c>
      <c r="Y235">
        <v>9</v>
      </c>
      <c r="Z235">
        <v>8</v>
      </c>
      <c r="AA235" s="32">
        <f t="shared" si="35"/>
        <v>1</v>
      </c>
    </row>
    <row r="236" spans="1:27" x14ac:dyDescent="0.45">
      <c r="A236">
        <v>7</v>
      </c>
      <c r="B236">
        <v>7</v>
      </c>
      <c r="C236" s="32">
        <f t="shared" si="27"/>
        <v>0</v>
      </c>
      <c r="D236">
        <v>8</v>
      </c>
      <c r="E236">
        <v>8</v>
      </c>
      <c r="F236" s="32">
        <f t="shared" si="28"/>
        <v>0</v>
      </c>
      <c r="G236">
        <v>9</v>
      </c>
      <c r="H236">
        <v>7</v>
      </c>
      <c r="I236" s="32">
        <f t="shared" si="29"/>
        <v>2</v>
      </c>
      <c r="J236">
        <v>9</v>
      </c>
      <c r="K236">
        <v>8</v>
      </c>
      <c r="L236" s="32">
        <f t="shared" si="30"/>
        <v>1</v>
      </c>
      <c r="M236">
        <v>8</v>
      </c>
      <c r="N236">
        <v>7</v>
      </c>
      <c r="O236" s="32">
        <f t="shared" si="31"/>
        <v>1</v>
      </c>
      <c r="P236">
        <v>9</v>
      </c>
      <c r="Q236">
        <v>7</v>
      </c>
      <c r="R236" s="32">
        <f t="shared" si="32"/>
        <v>2</v>
      </c>
      <c r="S236">
        <v>8</v>
      </c>
      <c r="T236">
        <v>6</v>
      </c>
      <c r="U236" s="32">
        <f t="shared" si="33"/>
        <v>2</v>
      </c>
      <c r="V236">
        <v>8</v>
      </c>
      <c r="W236">
        <v>7</v>
      </c>
      <c r="X236" s="32">
        <f t="shared" si="34"/>
        <v>1</v>
      </c>
      <c r="Y236">
        <v>9</v>
      </c>
      <c r="Z236">
        <v>8</v>
      </c>
      <c r="AA236" s="32">
        <f t="shared" si="35"/>
        <v>1</v>
      </c>
    </row>
    <row r="237" spans="1:27" x14ac:dyDescent="0.45">
      <c r="A237">
        <v>7</v>
      </c>
      <c r="B237">
        <v>8</v>
      </c>
      <c r="C237" s="32">
        <f t="shared" si="27"/>
        <v>1</v>
      </c>
      <c r="D237">
        <v>8</v>
      </c>
      <c r="E237">
        <v>8</v>
      </c>
      <c r="F237" s="32">
        <f t="shared" si="28"/>
        <v>0</v>
      </c>
      <c r="G237">
        <v>9</v>
      </c>
      <c r="H237">
        <v>7</v>
      </c>
      <c r="I237" s="32">
        <f t="shared" si="29"/>
        <v>2</v>
      </c>
      <c r="J237">
        <v>9</v>
      </c>
      <c r="K237">
        <v>8</v>
      </c>
      <c r="L237" s="32">
        <f t="shared" si="30"/>
        <v>1</v>
      </c>
      <c r="M237">
        <v>8</v>
      </c>
      <c r="N237">
        <v>7</v>
      </c>
      <c r="O237" s="32">
        <f t="shared" si="31"/>
        <v>1</v>
      </c>
      <c r="P237">
        <v>9</v>
      </c>
      <c r="Q237">
        <v>7</v>
      </c>
      <c r="R237" s="32">
        <f t="shared" si="32"/>
        <v>2</v>
      </c>
      <c r="S237">
        <v>8</v>
      </c>
      <c r="T237">
        <v>6</v>
      </c>
      <c r="U237" s="32">
        <f t="shared" si="33"/>
        <v>2</v>
      </c>
      <c r="V237">
        <v>8</v>
      </c>
      <c r="W237">
        <v>7</v>
      </c>
      <c r="X237" s="32">
        <f t="shared" si="34"/>
        <v>1</v>
      </c>
      <c r="Y237">
        <v>9</v>
      </c>
      <c r="Z237">
        <v>8</v>
      </c>
      <c r="AA237" s="32">
        <f t="shared" si="35"/>
        <v>1</v>
      </c>
    </row>
    <row r="238" spans="1:27" x14ac:dyDescent="0.45">
      <c r="A238">
        <v>7</v>
      </c>
      <c r="B238">
        <v>8</v>
      </c>
      <c r="C238" s="32">
        <f t="shared" si="27"/>
        <v>1</v>
      </c>
      <c r="D238">
        <v>8</v>
      </c>
      <c r="E238">
        <v>8</v>
      </c>
      <c r="F238" s="32">
        <f t="shared" si="28"/>
        <v>0</v>
      </c>
      <c r="G238">
        <v>9</v>
      </c>
      <c r="H238">
        <v>7</v>
      </c>
      <c r="I238" s="32">
        <f t="shared" si="29"/>
        <v>2</v>
      </c>
      <c r="J238">
        <v>9</v>
      </c>
      <c r="K238">
        <v>8</v>
      </c>
      <c r="L238" s="32">
        <f t="shared" si="30"/>
        <v>1</v>
      </c>
      <c r="M238">
        <v>8</v>
      </c>
      <c r="N238">
        <v>7</v>
      </c>
      <c r="O238" s="32">
        <f t="shared" si="31"/>
        <v>1</v>
      </c>
      <c r="P238">
        <v>9</v>
      </c>
      <c r="Q238">
        <v>7</v>
      </c>
      <c r="R238" s="32">
        <f t="shared" si="32"/>
        <v>2</v>
      </c>
      <c r="S238">
        <v>8</v>
      </c>
      <c r="T238">
        <v>7</v>
      </c>
      <c r="U238" s="32">
        <f t="shared" si="33"/>
        <v>1</v>
      </c>
      <c r="V238">
        <v>8</v>
      </c>
      <c r="W238">
        <v>7</v>
      </c>
      <c r="X238" s="32">
        <f t="shared" si="34"/>
        <v>1</v>
      </c>
      <c r="Y238">
        <v>9</v>
      </c>
      <c r="Z238">
        <v>8</v>
      </c>
      <c r="AA238" s="32">
        <f t="shared" si="35"/>
        <v>1</v>
      </c>
    </row>
    <row r="239" spans="1:27" x14ac:dyDescent="0.45">
      <c r="A239">
        <v>7</v>
      </c>
      <c r="B239">
        <v>8</v>
      </c>
      <c r="C239" s="32">
        <f t="shared" si="27"/>
        <v>1</v>
      </c>
      <c r="D239">
        <v>8</v>
      </c>
      <c r="E239">
        <v>8</v>
      </c>
      <c r="F239" s="32">
        <f t="shared" si="28"/>
        <v>0</v>
      </c>
      <c r="G239">
        <v>9</v>
      </c>
      <c r="H239">
        <v>7</v>
      </c>
      <c r="I239" s="32">
        <f t="shared" si="29"/>
        <v>2</v>
      </c>
      <c r="J239">
        <v>9</v>
      </c>
      <c r="K239">
        <v>8</v>
      </c>
      <c r="L239" s="32">
        <f t="shared" si="30"/>
        <v>1</v>
      </c>
      <c r="M239">
        <v>8</v>
      </c>
      <c r="N239">
        <v>7</v>
      </c>
      <c r="O239" s="32">
        <f t="shared" si="31"/>
        <v>1</v>
      </c>
      <c r="P239">
        <v>9</v>
      </c>
      <c r="Q239">
        <v>7</v>
      </c>
      <c r="R239" s="32">
        <f t="shared" si="32"/>
        <v>2</v>
      </c>
      <c r="S239">
        <v>8</v>
      </c>
      <c r="T239">
        <v>7</v>
      </c>
      <c r="U239" s="32">
        <f t="shared" si="33"/>
        <v>1</v>
      </c>
      <c r="V239">
        <v>8</v>
      </c>
      <c r="W239">
        <v>7</v>
      </c>
      <c r="X239" s="32">
        <f t="shared" si="34"/>
        <v>1</v>
      </c>
      <c r="Y239">
        <v>9</v>
      </c>
      <c r="Z239">
        <v>8</v>
      </c>
      <c r="AA239" s="32">
        <f t="shared" si="35"/>
        <v>1</v>
      </c>
    </row>
    <row r="240" spans="1:27" x14ac:dyDescent="0.45">
      <c r="A240">
        <v>7</v>
      </c>
      <c r="B240">
        <v>8</v>
      </c>
      <c r="C240" s="32">
        <f t="shared" si="27"/>
        <v>1</v>
      </c>
      <c r="D240">
        <v>8</v>
      </c>
      <c r="E240">
        <v>8</v>
      </c>
      <c r="F240" s="32">
        <f t="shared" si="28"/>
        <v>0</v>
      </c>
      <c r="G240">
        <v>9</v>
      </c>
      <c r="H240">
        <v>7</v>
      </c>
      <c r="I240" s="32">
        <f t="shared" si="29"/>
        <v>2</v>
      </c>
      <c r="J240">
        <v>9</v>
      </c>
      <c r="K240">
        <v>8</v>
      </c>
      <c r="L240" s="32">
        <f t="shared" si="30"/>
        <v>1</v>
      </c>
      <c r="M240">
        <v>8</v>
      </c>
      <c r="N240">
        <v>7</v>
      </c>
      <c r="O240" s="32">
        <f t="shared" si="31"/>
        <v>1</v>
      </c>
      <c r="P240">
        <v>9</v>
      </c>
      <c r="Q240">
        <v>7</v>
      </c>
      <c r="R240" s="32">
        <f t="shared" si="32"/>
        <v>2</v>
      </c>
      <c r="S240">
        <v>8</v>
      </c>
      <c r="T240">
        <v>7</v>
      </c>
      <c r="U240" s="32">
        <f t="shared" si="33"/>
        <v>1</v>
      </c>
      <c r="V240">
        <v>8</v>
      </c>
      <c r="W240">
        <v>7</v>
      </c>
      <c r="X240" s="32">
        <f t="shared" si="34"/>
        <v>1</v>
      </c>
      <c r="Y240">
        <v>9</v>
      </c>
      <c r="Z240">
        <v>8</v>
      </c>
      <c r="AA240" s="32">
        <f t="shared" si="35"/>
        <v>1</v>
      </c>
    </row>
    <row r="241" spans="1:27" x14ac:dyDescent="0.45">
      <c r="A241">
        <v>7</v>
      </c>
      <c r="B241">
        <v>8</v>
      </c>
      <c r="C241" s="32">
        <f t="shared" si="27"/>
        <v>1</v>
      </c>
      <c r="D241">
        <v>8</v>
      </c>
      <c r="E241">
        <v>8</v>
      </c>
      <c r="F241" s="32">
        <f t="shared" si="28"/>
        <v>0</v>
      </c>
      <c r="G241">
        <v>9</v>
      </c>
      <c r="H241">
        <v>7</v>
      </c>
      <c r="I241" s="32">
        <f t="shared" si="29"/>
        <v>2</v>
      </c>
      <c r="J241">
        <v>9</v>
      </c>
      <c r="K241">
        <v>8</v>
      </c>
      <c r="L241" s="32">
        <f t="shared" si="30"/>
        <v>1</v>
      </c>
      <c r="M241">
        <v>8</v>
      </c>
      <c r="N241">
        <v>7</v>
      </c>
      <c r="O241" s="32">
        <f t="shared" si="31"/>
        <v>1</v>
      </c>
      <c r="P241">
        <v>9</v>
      </c>
      <c r="Q241">
        <v>7</v>
      </c>
      <c r="R241" s="32">
        <f t="shared" si="32"/>
        <v>2</v>
      </c>
      <c r="S241">
        <v>8</v>
      </c>
      <c r="T241">
        <v>7</v>
      </c>
      <c r="U241" s="32">
        <f t="shared" si="33"/>
        <v>1</v>
      </c>
      <c r="V241">
        <v>8</v>
      </c>
      <c r="W241">
        <v>7</v>
      </c>
      <c r="X241" s="32">
        <f t="shared" si="34"/>
        <v>1</v>
      </c>
      <c r="Y241">
        <v>9</v>
      </c>
      <c r="Z241">
        <v>8</v>
      </c>
      <c r="AA241" s="32">
        <f t="shared" si="35"/>
        <v>1</v>
      </c>
    </row>
    <row r="242" spans="1:27" x14ac:dyDescent="0.45">
      <c r="A242">
        <v>7</v>
      </c>
      <c r="B242">
        <v>8</v>
      </c>
      <c r="C242" s="32">
        <f t="shared" si="27"/>
        <v>1</v>
      </c>
      <c r="D242">
        <v>8</v>
      </c>
      <c r="E242">
        <v>8</v>
      </c>
      <c r="F242" s="32">
        <f t="shared" si="28"/>
        <v>0</v>
      </c>
      <c r="G242">
        <v>9</v>
      </c>
      <c r="H242">
        <v>7</v>
      </c>
      <c r="I242" s="32">
        <f t="shared" si="29"/>
        <v>2</v>
      </c>
      <c r="J242">
        <v>9</v>
      </c>
      <c r="K242">
        <v>8</v>
      </c>
      <c r="L242" s="32">
        <f t="shared" si="30"/>
        <v>1</v>
      </c>
      <c r="M242">
        <v>8</v>
      </c>
      <c r="N242">
        <v>7</v>
      </c>
      <c r="O242" s="32">
        <f t="shared" si="31"/>
        <v>1</v>
      </c>
      <c r="P242">
        <v>9</v>
      </c>
      <c r="Q242">
        <v>7</v>
      </c>
      <c r="R242" s="32">
        <f t="shared" si="32"/>
        <v>2</v>
      </c>
      <c r="S242">
        <v>8</v>
      </c>
      <c r="T242">
        <v>7</v>
      </c>
      <c r="U242" s="32">
        <f t="shared" si="33"/>
        <v>1</v>
      </c>
      <c r="V242">
        <v>8</v>
      </c>
      <c r="W242">
        <v>7</v>
      </c>
      <c r="X242" s="32">
        <f t="shared" si="34"/>
        <v>1</v>
      </c>
      <c r="Y242">
        <v>9</v>
      </c>
      <c r="Z242">
        <v>8</v>
      </c>
      <c r="AA242" s="32">
        <f t="shared" si="35"/>
        <v>1</v>
      </c>
    </row>
    <row r="243" spans="1:27" x14ac:dyDescent="0.45">
      <c r="A243">
        <v>7</v>
      </c>
      <c r="B243">
        <v>8</v>
      </c>
      <c r="C243" s="32">
        <f t="shared" si="27"/>
        <v>1</v>
      </c>
      <c r="D243">
        <v>8</v>
      </c>
      <c r="E243">
        <v>8</v>
      </c>
      <c r="F243" s="32">
        <f t="shared" si="28"/>
        <v>0</v>
      </c>
      <c r="G243">
        <v>9</v>
      </c>
      <c r="H243">
        <v>7</v>
      </c>
      <c r="I243" s="32">
        <f t="shared" si="29"/>
        <v>2</v>
      </c>
      <c r="J243">
        <v>9</v>
      </c>
      <c r="K243">
        <v>8</v>
      </c>
      <c r="L243" s="32">
        <f t="shared" si="30"/>
        <v>1</v>
      </c>
      <c r="M243">
        <v>8</v>
      </c>
      <c r="N243">
        <v>7</v>
      </c>
      <c r="O243" s="32">
        <f t="shared" si="31"/>
        <v>1</v>
      </c>
      <c r="P243">
        <v>9</v>
      </c>
      <c r="Q243">
        <v>7</v>
      </c>
      <c r="R243" s="32">
        <f t="shared" si="32"/>
        <v>2</v>
      </c>
      <c r="S243">
        <v>8</v>
      </c>
      <c r="T243">
        <v>7</v>
      </c>
      <c r="U243" s="32">
        <f t="shared" si="33"/>
        <v>1</v>
      </c>
      <c r="V243">
        <v>8</v>
      </c>
      <c r="W243">
        <v>7</v>
      </c>
      <c r="X243" s="32">
        <f t="shared" si="34"/>
        <v>1</v>
      </c>
      <c r="Y243">
        <v>9</v>
      </c>
      <c r="Z243">
        <v>8</v>
      </c>
      <c r="AA243" s="32">
        <f t="shared" si="35"/>
        <v>1</v>
      </c>
    </row>
    <row r="244" spans="1:27" x14ac:dyDescent="0.45">
      <c r="A244">
        <v>7</v>
      </c>
      <c r="B244">
        <v>8</v>
      </c>
      <c r="C244" s="32">
        <f t="shared" si="27"/>
        <v>1</v>
      </c>
      <c r="D244">
        <v>8</v>
      </c>
      <c r="E244">
        <v>8</v>
      </c>
      <c r="F244" s="32">
        <f t="shared" si="28"/>
        <v>0</v>
      </c>
      <c r="G244">
        <v>9</v>
      </c>
      <c r="H244">
        <v>7</v>
      </c>
      <c r="I244" s="32">
        <f t="shared" si="29"/>
        <v>2</v>
      </c>
      <c r="J244">
        <v>9</v>
      </c>
      <c r="K244">
        <v>8</v>
      </c>
      <c r="L244" s="32">
        <f t="shared" si="30"/>
        <v>1</v>
      </c>
      <c r="M244">
        <v>8</v>
      </c>
      <c r="N244">
        <v>7</v>
      </c>
      <c r="O244" s="32">
        <f t="shared" si="31"/>
        <v>1</v>
      </c>
      <c r="P244">
        <v>9</v>
      </c>
      <c r="Q244">
        <v>7</v>
      </c>
      <c r="R244" s="32">
        <f t="shared" si="32"/>
        <v>2</v>
      </c>
      <c r="S244">
        <v>8</v>
      </c>
      <c r="T244">
        <v>7</v>
      </c>
      <c r="U244" s="32">
        <f t="shared" si="33"/>
        <v>1</v>
      </c>
      <c r="V244">
        <v>8</v>
      </c>
      <c r="W244">
        <v>7</v>
      </c>
      <c r="X244" s="32">
        <f t="shared" si="34"/>
        <v>1</v>
      </c>
      <c r="Y244">
        <v>9</v>
      </c>
      <c r="Z244">
        <v>8</v>
      </c>
      <c r="AA244" s="32">
        <f t="shared" si="35"/>
        <v>1</v>
      </c>
    </row>
    <row r="245" spans="1:27" x14ac:dyDescent="0.45">
      <c r="A245">
        <v>7</v>
      </c>
      <c r="B245">
        <v>8</v>
      </c>
      <c r="C245" s="32">
        <f t="shared" si="27"/>
        <v>1</v>
      </c>
      <c r="D245">
        <v>8</v>
      </c>
      <c r="E245">
        <v>8</v>
      </c>
      <c r="F245" s="32">
        <f t="shared" si="28"/>
        <v>0</v>
      </c>
      <c r="G245">
        <v>9</v>
      </c>
      <c r="H245">
        <v>7</v>
      </c>
      <c r="I245" s="32">
        <f t="shared" si="29"/>
        <v>2</v>
      </c>
      <c r="J245">
        <v>9</v>
      </c>
      <c r="K245">
        <v>8</v>
      </c>
      <c r="L245" s="32">
        <f t="shared" si="30"/>
        <v>1</v>
      </c>
      <c r="M245">
        <v>8</v>
      </c>
      <c r="N245">
        <v>7</v>
      </c>
      <c r="O245" s="32">
        <f t="shared" si="31"/>
        <v>1</v>
      </c>
      <c r="P245">
        <v>9</v>
      </c>
      <c r="Q245">
        <v>7</v>
      </c>
      <c r="R245" s="32">
        <f t="shared" si="32"/>
        <v>2</v>
      </c>
      <c r="S245">
        <v>8</v>
      </c>
      <c r="T245">
        <v>7</v>
      </c>
      <c r="U245" s="32">
        <f t="shared" si="33"/>
        <v>1</v>
      </c>
      <c r="V245">
        <v>8</v>
      </c>
      <c r="W245">
        <v>7</v>
      </c>
      <c r="X245" s="32">
        <f t="shared" si="34"/>
        <v>1</v>
      </c>
      <c r="Y245">
        <v>9</v>
      </c>
      <c r="Z245">
        <v>8</v>
      </c>
      <c r="AA245" s="32">
        <f t="shared" si="35"/>
        <v>1</v>
      </c>
    </row>
    <row r="246" spans="1:27" x14ac:dyDescent="0.45">
      <c r="A246">
        <v>7</v>
      </c>
      <c r="B246">
        <v>8</v>
      </c>
      <c r="C246" s="32">
        <f t="shared" si="27"/>
        <v>1</v>
      </c>
      <c r="D246">
        <v>8</v>
      </c>
      <c r="E246">
        <v>8</v>
      </c>
      <c r="F246" s="32">
        <f t="shared" si="28"/>
        <v>0</v>
      </c>
      <c r="G246">
        <v>9</v>
      </c>
      <c r="H246">
        <v>7</v>
      </c>
      <c r="I246" s="32">
        <f t="shared" si="29"/>
        <v>2</v>
      </c>
      <c r="J246">
        <v>9</v>
      </c>
      <c r="K246">
        <v>8</v>
      </c>
      <c r="L246" s="32">
        <f t="shared" si="30"/>
        <v>1</v>
      </c>
      <c r="M246">
        <v>8</v>
      </c>
      <c r="N246">
        <v>7</v>
      </c>
      <c r="O246" s="32">
        <f t="shared" si="31"/>
        <v>1</v>
      </c>
      <c r="P246">
        <v>9</v>
      </c>
      <c r="Q246">
        <v>7</v>
      </c>
      <c r="R246" s="32">
        <f t="shared" si="32"/>
        <v>2</v>
      </c>
      <c r="S246">
        <v>8</v>
      </c>
      <c r="T246">
        <v>7</v>
      </c>
      <c r="U246" s="32">
        <f t="shared" si="33"/>
        <v>1</v>
      </c>
      <c r="V246">
        <v>8</v>
      </c>
      <c r="W246">
        <v>7</v>
      </c>
      <c r="X246" s="32">
        <f t="shared" si="34"/>
        <v>1</v>
      </c>
      <c r="Y246">
        <v>9</v>
      </c>
      <c r="Z246">
        <v>8</v>
      </c>
      <c r="AA246" s="32">
        <f t="shared" si="35"/>
        <v>1</v>
      </c>
    </row>
    <row r="247" spans="1:27" x14ac:dyDescent="0.45">
      <c r="A247">
        <v>7</v>
      </c>
      <c r="B247">
        <v>8</v>
      </c>
      <c r="C247" s="32">
        <f t="shared" si="27"/>
        <v>1</v>
      </c>
      <c r="D247">
        <v>8</v>
      </c>
      <c r="E247">
        <v>8</v>
      </c>
      <c r="F247" s="32">
        <f t="shared" si="28"/>
        <v>0</v>
      </c>
      <c r="G247">
        <v>9</v>
      </c>
      <c r="H247">
        <v>7</v>
      </c>
      <c r="I247" s="32">
        <f t="shared" si="29"/>
        <v>2</v>
      </c>
      <c r="J247">
        <v>9</v>
      </c>
      <c r="K247">
        <v>8</v>
      </c>
      <c r="L247" s="32">
        <f t="shared" si="30"/>
        <v>1</v>
      </c>
      <c r="M247">
        <v>8</v>
      </c>
      <c r="N247">
        <v>7</v>
      </c>
      <c r="O247" s="32">
        <f t="shared" si="31"/>
        <v>1</v>
      </c>
      <c r="P247">
        <v>9</v>
      </c>
      <c r="Q247">
        <v>7</v>
      </c>
      <c r="R247" s="32">
        <f t="shared" si="32"/>
        <v>2</v>
      </c>
      <c r="S247">
        <v>8</v>
      </c>
      <c r="T247">
        <v>7</v>
      </c>
      <c r="U247" s="32">
        <f t="shared" si="33"/>
        <v>1</v>
      </c>
      <c r="V247">
        <v>8</v>
      </c>
      <c r="W247">
        <v>7</v>
      </c>
      <c r="X247" s="32">
        <f t="shared" si="34"/>
        <v>1</v>
      </c>
      <c r="Y247">
        <v>9</v>
      </c>
      <c r="Z247">
        <v>8</v>
      </c>
      <c r="AA247" s="32">
        <f t="shared" si="35"/>
        <v>1</v>
      </c>
    </row>
    <row r="248" spans="1:27" x14ac:dyDescent="0.45">
      <c r="A248">
        <v>7</v>
      </c>
      <c r="B248">
        <v>8</v>
      </c>
      <c r="C248" s="32">
        <f t="shared" si="27"/>
        <v>1</v>
      </c>
      <c r="D248">
        <v>8</v>
      </c>
      <c r="E248">
        <v>8</v>
      </c>
      <c r="F248" s="32">
        <f t="shared" si="28"/>
        <v>0</v>
      </c>
      <c r="G248">
        <v>9</v>
      </c>
      <c r="H248">
        <v>7</v>
      </c>
      <c r="I248" s="32">
        <f t="shared" si="29"/>
        <v>2</v>
      </c>
      <c r="J248">
        <v>9</v>
      </c>
      <c r="K248">
        <v>8</v>
      </c>
      <c r="L248" s="32">
        <f t="shared" si="30"/>
        <v>1</v>
      </c>
      <c r="M248">
        <v>8</v>
      </c>
      <c r="N248">
        <v>7</v>
      </c>
      <c r="O248" s="32">
        <f t="shared" si="31"/>
        <v>1</v>
      </c>
      <c r="P248">
        <v>9</v>
      </c>
      <c r="Q248">
        <v>7</v>
      </c>
      <c r="R248" s="32">
        <f t="shared" si="32"/>
        <v>2</v>
      </c>
      <c r="S248">
        <v>8</v>
      </c>
      <c r="T248">
        <v>7</v>
      </c>
      <c r="U248" s="32">
        <f t="shared" si="33"/>
        <v>1</v>
      </c>
      <c r="V248">
        <v>8</v>
      </c>
      <c r="W248">
        <v>7</v>
      </c>
      <c r="X248" s="32">
        <f t="shared" si="34"/>
        <v>1</v>
      </c>
      <c r="Y248">
        <v>9</v>
      </c>
      <c r="Z248">
        <v>8</v>
      </c>
      <c r="AA248" s="32">
        <f t="shared" si="35"/>
        <v>1</v>
      </c>
    </row>
    <row r="249" spans="1:27" x14ac:dyDescent="0.45">
      <c r="A249">
        <v>7</v>
      </c>
      <c r="B249">
        <v>8</v>
      </c>
      <c r="C249" s="32">
        <f t="shared" si="27"/>
        <v>1</v>
      </c>
      <c r="D249">
        <v>8</v>
      </c>
      <c r="E249">
        <v>8</v>
      </c>
      <c r="F249" s="32">
        <f t="shared" si="28"/>
        <v>0</v>
      </c>
      <c r="G249">
        <v>9</v>
      </c>
      <c r="H249">
        <v>7</v>
      </c>
      <c r="I249" s="32">
        <f t="shared" si="29"/>
        <v>2</v>
      </c>
      <c r="J249">
        <v>9</v>
      </c>
      <c r="K249">
        <v>8</v>
      </c>
      <c r="L249" s="32">
        <f t="shared" si="30"/>
        <v>1</v>
      </c>
      <c r="M249">
        <v>8</v>
      </c>
      <c r="N249">
        <v>7</v>
      </c>
      <c r="O249" s="32">
        <f t="shared" si="31"/>
        <v>1</v>
      </c>
      <c r="P249">
        <v>9</v>
      </c>
      <c r="Q249">
        <v>7</v>
      </c>
      <c r="R249" s="32">
        <f t="shared" si="32"/>
        <v>2</v>
      </c>
      <c r="S249">
        <v>8</v>
      </c>
      <c r="T249">
        <v>7</v>
      </c>
      <c r="U249" s="32">
        <f t="shared" si="33"/>
        <v>1</v>
      </c>
      <c r="V249">
        <v>8</v>
      </c>
      <c r="W249">
        <v>7</v>
      </c>
      <c r="X249" s="32">
        <f t="shared" si="34"/>
        <v>1</v>
      </c>
      <c r="Y249">
        <v>9</v>
      </c>
      <c r="Z249">
        <v>8</v>
      </c>
      <c r="AA249" s="32">
        <f t="shared" si="35"/>
        <v>1</v>
      </c>
    </row>
    <row r="250" spans="1:27" x14ac:dyDescent="0.45">
      <c r="A250">
        <v>7</v>
      </c>
      <c r="B250">
        <v>8</v>
      </c>
      <c r="C250" s="32">
        <f t="shared" si="27"/>
        <v>1</v>
      </c>
      <c r="D250">
        <v>8</v>
      </c>
      <c r="E250">
        <v>8</v>
      </c>
      <c r="F250" s="32">
        <f t="shared" si="28"/>
        <v>0</v>
      </c>
      <c r="G250">
        <v>9</v>
      </c>
      <c r="H250">
        <v>7</v>
      </c>
      <c r="I250" s="32">
        <f t="shared" si="29"/>
        <v>2</v>
      </c>
      <c r="J250">
        <v>9</v>
      </c>
      <c r="K250">
        <v>8</v>
      </c>
      <c r="L250" s="32">
        <f t="shared" si="30"/>
        <v>1</v>
      </c>
      <c r="M250">
        <v>8</v>
      </c>
      <c r="N250">
        <v>7</v>
      </c>
      <c r="O250" s="32">
        <f t="shared" si="31"/>
        <v>1</v>
      </c>
      <c r="P250">
        <v>9</v>
      </c>
      <c r="Q250">
        <v>8</v>
      </c>
      <c r="R250" s="32">
        <f t="shared" si="32"/>
        <v>1</v>
      </c>
      <c r="S250">
        <v>8</v>
      </c>
      <c r="T250">
        <v>7</v>
      </c>
      <c r="U250" s="32">
        <f t="shared" si="33"/>
        <v>1</v>
      </c>
      <c r="V250">
        <v>8</v>
      </c>
      <c r="W250">
        <v>7</v>
      </c>
      <c r="X250" s="32">
        <f t="shared" si="34"/>
        <v>1</v>
      </c>
      <c r="Y250">
        <v>9</v>
      </c>
      <c r="Z250">
        <v>8</v>
      </c>
      <c r="AA250" s="32">
        <f t="shared" si="35"/>
        <v>1</v>
      </c>
    </row>
    <row r="251" spans="1:27" x14ac:dyDescent="0.45">
      <c r="A251">
        <v>7</v>
      </c>
      <c r="B251">
        <v>8</v>
      </c>
      <c r="C251" s="32">
        <f t="shared" si="27"/>
        <v>1</v>
      </c>
      <c r="D251">
        <v>8</v>
      </c>
      <c r="E251">
        <v>8</v>
      </c>
      <c r="F251" s="32">
        <f t="shared" si="28"/>
        <v>0</v>
      </c>
      <c r="G251">
        <v>9</v>
      </c>
      <c r="H251">
        <v>7</v>
      </c>
      <c r="I251" s="32">
        <f t="shared" si="29"/>
        <v>2</v>
      </c>
      <c r="J251">
        <v>9</v>
      </c>
      <c r="K251">
        <v>8</v>
      </c>
      <c r="L251" s="32">
        <f t="shared" si="30"/>
        <v>1</v>
      </c>
      <c r="M251">
        <v>8</v>
      </c>
      <c r="N251">
        <v>7</v>
      </c>
      <c r="O251" s="32">
        <f t="shared" si="31"/>
        <v>1</v>
      </c>
      <c r="P251">
        <v>9</v>
      </c>
      <c r="Q251">
        <v>8</v>
      </c>
      <c r="R251" s="32">
        <f t="shared" si="32"/>
        <v>1</v>
      </c>
      <c r="S251">
        <v>8</v>
      </c>
      <c r="T251">
        <v>7</v>
      </c>
      <c r="U251" s="32">
        <f t="shared" si="33"/>
        <v>1</v>
      </c>
      <c r="V251">
        <v>8</v>
      </c>
      <c r="W251">
        <v>7</v>
      </c>
      <c r="X251" s="32">
        <f t="shared" si="34"/>
        <v>1</v>
      </c>
      <c r="Y251">
        <v>9</v>
      </c>
      <c r="Z251">
        <v>8</v>
      </c>
      <c r="AA251" s="32">
        <f t="shared" si="35"/>
        <v>1</v>
      </c>
    </row>
    <row r="252" spans="1:27" x14ac:dyDescent="0.45">
      <c r="A252">
        <v>7</v>
      </c>
      <c r="B252">
        <v>8</v>
      </c>
      <c r="C252" s="32">
        <f t="shared" si="27"/>
        <v>1</v>
      </c>
      <c r="D252">
        <v>8</v>
      </c>
      <c r="E252">
        <v>8</v>
      </c>
      <c r="F252" s="32">
        <f t="shared" si="28"/>
        <v>0</v>
      </c>
      <c r="G252">
        <v>9</v>
      </c>
      <c r="H252">
        <v>7</v>
      </c>
      <c r="I252" s="32">
        <f t="shared" si="29"/>
        <v>2</v>
      </c>
      <c r="J252">
        <v>9</v>
      </c>
      <c r="K252">
        <v>8</v>
      </c>
      <c r="L252" s="32">
        <f t="shared" si="30"/>
        <v>1</v>
      </c>
      <c r="M252">
        <v>8</v>
      </c>
      <c r="N252">
        <v>7</v>
      </c>
      <c r="O252" s="32">
        <f t="shared" si="31"/>
        <v>1</v>
      </c>
      <c r="P252">
        <v>9</v>
      </c>
      <c r="Q252">
        <v>8</v>
      </c>
      <c r="R252" s="32">
        <f t="shared" si="32"/>
        <v>1</v>
      </c>
      <c r="S252">
        <v>8</v>
      </c>
      <c r="T252">
        <v>7</v>
      </c>
      <c r="U252" s="32">
        <f t="shared" si="33"/>
        <v>1</v>
      </c>
      <c r="V252">
        <v>8</v>
      </c>
      <c r="W252">
        <v>7</v>
      </c>
      <c r="X252" s="32">
        <f t="shared" si="34"/>
        <v>1</v>
      </c>
      <c r="Y252">
        <v>9</v>
      </c>
      <c r="Z252">
        <v>8</v>
      </c>
      <c r="AA252" s="32">
        <f t="shared" si="35"/>
        <v>1</v>
      </c>
    </row>
    <row r="253" spans="1:27" x14ac:dyDescent="0.45">
      <c r="A253">
        <v>7</v>
      </c>
      <c r="B253">
        <v>8</v>
      </c>
      <c r="C253" s="32">
        <f t="shared" si="27"/>
        <v>1</v>
      </c>
      <c r="D253">
        <v>8</v>
      </c>
      <c r="E253">
        <v>8</v>
      </c>
      <c r="F253" s="32">
        <f t="shared" si="28"/>
        <v>0</v>
      </c>
      <c r="G253">
        <v>9</v>
      </c>
      <c r="H253">
        <v>7</v>
      </c>
      <c r="I253" s="32">
        <f t="shared" si="29"/>
        <v>2</v>
      </c>
      <c r="J253">
        <v>9</v>
      </c>
      <c r="K253">
        <v>8</v>
      </c>
      <c r="L253" s="32">
        <f t="shared" si="30"/>
        <v>1</v>
      </c>
      <c r="M253">
        <v>8</v>
      </c>
      <c r="N253">
        <v>7</v>
      </c>
      <c r="O253" s="32">
        <f t="shared" si="31"/>
        <v>1</v>
      </c>
      <c r="P253">
        <v>9</v>
      </c>
      <c r="Q253">
        <v>8</v>
      </c>
      <c r="R253" s="32">
        <f t="shared" si="32"/>
        <v>1</v>
      </c>
      <c r="S253">
        <v>8</v>
      </c>
      <c r="T253">
        <v>7</v>
      </c>
      <c r="U253" s="32">
        <f t="shared" si="33"/>
        <v>1</v>
      </c>
      <c r="V253">
        <v>8</v>
      </c>
      <c r="W253">
        <v>7</v>
      </c>
      <c r="X253" s="32">
        <f t="shared" si="34"/>
        <v>1</v>
      </c>
      <c r="Y253">
        <v>9</v>
      </c>
      <c r="Z253">
        <v>8</v>
      </c>
      <c r="AA253" s="32">
        <f t="shared" si="35"/>
        <v>1</v>
      </c>
    </row>
    <row r="254" spans="1:27" x14ac:dyDescent="0.45">
      <c r="A254">
        <v>7</v>
      </c>
      <c r="B254">
        <v>8</v>
      </c>
      <c r="C254" s="32">
        <f t="shared" si="27"/>
        <v>1</v>
      </c>
      <c r="D254">
        <v>8</v>
      </c>
      <c r="E254">
        <v>8</v>
      </c>
      <c r="F254" s="32">
        <f t="shared" si="28"/>
        <v>0</v>
      </c>
      <c r="G254">
        <v>9</v>
      </c>
      <c r="H254">
        <v>7</v>
      </c>
      <c r="I254" s="32">
        <f t="shared" si="29"/>
        <v>2</v>
      </c>
      <c r="J254">
        <v>9</v>
      </c>
      <c r="K254">
        <v>8</v>
      </c>
      <c r="L254" s="32">
        <f t="shared" si="30"/>
        <v>1</v>
      </c>
      <c r="M254">
        <v>8</v>
      </c>
      <c r="N254">
        <v>7</v>
      </c>
      <c r="O254" s="32">
        <f t="shared" si="31"/>
        <v>1</v>
      </c>
      <c r="P254">
        <v>9</v>
      </c>
      <c r="Q254">
        <v>8</v>
      </c>
      <c r="R254" s="32">
        <f t="shared" si="32"/>
        <v>1</v>
      </c>
      <c r="S254">
        <v>8</v>
      </c>
      <c r="T254">
        <v>7</v>
      </c>
      <c r="U254" s="32">
        <f t="shared" si="33"/>
        <v>1</v>
      </c>
      <c r="V254">
        <v>8</v>
      </c>
      <c r="W254">
        <v>7</v>
      </c>
      <c r="X254" s="32">
        <f t="shared" si="34"/>
        <v>1</v>
      </c>
      <c r="Y254">
        <v>9</v>
      </c>
      <c r="Z254">
        <v>8</v>
      </c>
      <c r="AA254" s="32">
        <f t="shared" si="35"/>
        <v>1</v>
      </c>
    </row>
    <row r="255" spans="1:27" x14ac:dyDescent="0.45">
      <c r="A255">
        <v>7</v>
      </c>
      <c r="B255">
        <v>8</v>
      </c>
      <c r="C255" s="32">
        <f t="shared" si="27"/>
        <v>1</v>
      </c>
      <c r="D255">
        <v>8</v>
      </c>
      <c r="E255">
        <v>8</v>
      </c>
      <c r="F255" s="32">
        <f t="shared" si="28"/>
        <v>0</v>
      </c>
      <c r="G255">
        <v>9</v>
      </c>
      <c r="H255">
        <v>7</v>
      </c>
      <c r="I255" s="32">
        <f t="shared" si="29"/>
        <v>2</v>
      </c>
      <c r="J255">
        <v>9</v>
      </c>
      <c r="K255">
        <v>8</v>
      </c>
      <c r="L255" s="32">
        <f t="shared" si="30"/>
        <v>1</v>
      </c>
      <c r="M255">
        <v>8</v>
      </c>
      <c r="N255">
        <v>7</v>
      </c>
      <c r="O255" s="32">
        <f t="shared" si="31"/>
        <v>1</v>
      </c>
      <c r="P255">
        <v>9</v>
      </c>
      <c r="Q255">
        <v>8</v>
      </c>
      <c r="R255" s="32">
        <f t="shared" si="32"/>
        <v>1</v>
      </c>
      <c r="S255">
        <v>8</v>
      </c>
      <c r="T255">
        <v>7</v>
      </c>
      <c r="U255" s="32">
        <f t="shared" si="33"/>
        <v>1</v>
      </c>
      <c r="V255">
        <v>8</v>
      </c>
      <c r="W255">
        <v>7</v>
      </c>
      <c r="X255" s="32">
        <f t="shared" si="34"/>
        <v>1</v>
      </c>
      <c r="Y255">
        <v>9</v>
      </c>
      <c r="Z255">
        <v>8</v>
      </c>
      <c r="AA255" s="32">
        <f t="shared" si="35"/>
        <v>1</v>
      </c>
    </row>
    <row r="256" spans="1:27" x14ac:dyDescent="0.45">
      <c r="A256">
        <v>7</v>
      </c>
      <c r="B256">
        <v>8</v>
      </c>
      <c r="C256" s="32">
        <f t="shared" si="27"/>
        <v>1</v>
      </c>
      <c r="D256">
        <v>8</v>
      </c>
      <c r="E256">
        <v>8</v>
      </c>
      <c r="F256" s="32">
        <f t="shared" si="28"/>
        <v>0</v>
      </c>
      <c r="G256">
        <v>9</v>
      </c>
      <c r="H256">
        <v>7</v>
      </c>
      <c r="I256" s="32">
        <f t="shared" si="29"/>
        <v>2</v>
      </c>
      <c r="J256">
        <v>9</v>
      </c>
      <c r="K256">
        <v>8</v>
      </c>
      <c r="L256" s="32">
        <f t="shared" si="30"/>
        <v>1</v>
      </c>
      <c r="M256">
        <v>8</v>
      </c>
      <c r="N256">
        <v>7</v>
      </c>
      <c r="O256" s="32">
        <f t="shared" si="31"/>
        <v>1</v>
      </c>
      <c r="P256">
        <v>9</v>
      </c>
      <c r="Q256">
        <v>8</v>
      </c>
      <c r="R256" s="32">
        <f t="shared" si="32"/>
        <v>1</v>
      </c>
      <c r="S256">
        <v>8</v>
      </c>
      <c r="T256">
        <v>7</v>
      </c>
      <c r="U256" s="32">
        <f t="shared" si="33"/>
        <v>1</v>
      </c>
      <c r="V256">
        <v>8</v>
      </c>
      <c r="W256">
        <v>7</v>
      </c>
      <c r="X256" s="32">
        <f t="shared" si="34"/>
        <v>1</v>
      </c>
      <c r="Y256">
        <v>9</v>
      </c>
      <c r="Z256">
        <v>8</v>
      </c>
      <c r="AA256" s="32">
        <f t="shared" si="35"/>
        <v>1</v>
      </c>
    </row>
    <row r="257" spans="1:27" x14ac:dyDescent="0.45">
      <c r="A257">
        <v>7</v>
      </c>
      <c r="B257">
        <v>8</v>
      </c>
      <c r="C257" s="32">
        <f t="shared" si="27"/>
        <v>1</v>
      </c>
      <c r="D257">
        <v>8</v>
      </c>
      <c r="E257">
        <v>8</v>
      </c>
      <c r="F257" s="32">
        <f t="shared" si="28"/>
        <v>0</v>
      </c>
      <c r="G257">
        <v>9</v>
      </c>
      <c r="H257">
        <v>7</v>
      </c>
      <c r="I257" s="32">
        <f t="shared" si="29"/>
        <v>2</v>
      </c>
      <c r="J257">
        <v>9</v>
      </c>
      <c r="K257">
        <v>8</v>
      </c>
      <c r="L257" s="32">
        <f t="shared" si="30"/>
        <v>1</v>
      </c>
      <c r="M257">
        <v>8</v>
      </c>
      <c r="N257">
        <v>7</v>
      </c>
      <c r="O257" s="32">
        <f t="shared" si="31"/>
        <v>1</v>
      </c>
      <c r="P257">
        <v>9</v>
      </c>
      <c r="Q257">
        <v>8</v>
      </c>
      <c r="R257" s="32">
        <f t="shared" si="32"/>
        <v>1</v>
      </c>
      <c r="S257">
        <v>8</v>
      </c>
      <c r="T257">
        <v>7</v>
      </c>
      <c r="U257" s="32">
        <f t="shared" si="33"/>
        <v>1</v>
      </c>
      <c r="V257">
        <v>8</v>
      </c>
      <c r="W257">
        <v>7</v>
      </c>
      <c r="X257" s="32">
        <f t="shared" si="34"/>
        <v>1</v>
      </c>
      <c r="Y257">
        <v>9</v>
      </c>
      <c r="Z257">
        <v>8</v>
      </c>
      <c r="AA257" s="32">
        <f t="shared" si="35"/>
        <v>1</v>
      </c>
    </row>
    <row r="258" spans="1:27" x14ac:dyDescent="0.45">
      <c r="A258">
        <v>7</v>
      </c>
      <c r="B258">
        <v>8</v>
      </c>
      <c r="C258" s="32">
        <f t="shared" si="27"/>
        <v>1</v>
      </c>
      <c r="D258">
        <v>8</v>
      </c>
      <c r="E258">
        <v>8</v>
      </c>
      <c r="F258" s="32">
        <f t="shared" si="28"/>
        <v>0</v>
      </c>
      <c r="G258">
        <v>9</v>
      </c>
      <c r="H258">
        <v>7</v>
      </c>
      <c r="I258" s="32">
        <f t="shared" si="29"/>
        <v>2</v>
      </c>
      <c r="J258">
        <v>9</v>
      </c>
      <c r="K258">
        <v>8</v>
      </c>
      <c r="L258" s="32">
        <f t="shared" si="30"/>
        <v>1</v>
      </c>
      <c r="M258">
        <v>8</v>
      </c>
      <c r="N258">
        <v>7</v>
      </c>
      <c r="O258" s="32">
        <f t="shared" si="31"/>
        <v>1</v>
      </c>
      <c r="P258">
        <v>9</v>
      </c>
      <c r="Q258">
        <v>8</v>
      </c>
      <c r="R258" s="32">
        <f t="shared" si="32"/>
        <v>1</v>
      </c>
      <c r="S258">
        <v>8</v>
      </c>
      <c r="T258">
        <v>7</v>
      </c>
      <c r="U258" s="32">
        <f t="shared" si="33"/>
        <v>1</v>
      </c>
      <c r="V258">
        <v>8</v>
      </c>
      <c r="W258">
        <v>7</v>
      </c>
      <c r="X258" s="32">
        <f t="shared" si="34"/>
        <v>1</v>
      </c>
      <c r="Y258">
        <v>9</v>
      </c>
      <c r="Z258">
        <v>8</v>
      </c>
      <c r="AA258" s="32">
        <f t="shared" si="35"/>
        <v>1</v>
      </c>
    </row>
    <row r="259" spans="1:27" x14ac:dyDescent="0.45">
      <c r="A259">
        <v>7</v>
      </c>
      <c r="B259">
        <v>8</v>
      </c>
      <c r="C259" s="32">
        <f t="shared" ref="C259:C322" si="36">ABS(B259-A259)</f>
        <v>1</v>
      </c>
      <c r="D259">
        <v>8</v>
      </c>
      <c r="E259">
        <v>8</v>
      </c>
      <c r="F259" s="32">
        <f t="shared" ref="F259:F322" si="37">ABS(E259-D259)</f>
        <v>0</v>
      </c>
      <c r="G259">
        <v>9</v>
      </c>
      <c r="H259">
        <v>7</v>
      </c>
      <c r="I259" s="32">
        <f t="shared" ref="I259:I322" si="38">ABS(H259-G259)</f>
        <v>2</v>
      </c>
      <c r="J259">
        <v>9</v>
      </c>
      <c r="K259">
        <v>8</v>
      </c>
      <c r="L259" s="32">
        <f t="shared" ref="L259:L322" si="39">ABS(K259-J259)</f>
        <v>1</v>
      </c>
      <c r="M259">
        <v>8</v>
      </c>
      <c r="N259">
        <v>7</v>
      </c>
      <c r="O259" s="32">
        <f t="shared" ref="O259:O322" si="40">ABS(N259-M259)</f>
        <v>1</v>
      </c>
      <c r="P259">
        <v>9</v>
      </c>
      <c r="Q259">
        <v>8</v>
      </c>
      <c r="R259" s="32">
        <f t="shared" ref="R259:R322" si="41">ABS(Q259-P259)</f>
        <v>1</v>
      </c>
      <c r="S259">
        <v>8</v>
      </c>
      <c r="T259">
        <v>7</v>
      </c>
      <c r="U259" s="32">
        <f t="shared" ref="U259:U322" si="42">ABS(T259-S259)</f>
        <v>1</v>
      </c>
      <c r="V259">
        <v>8</v>
      </c>
      <c r="W259">
        <v>7</v>
      </c>
      <c r="X259" s="32">
        <f t="shared" ref="X259:X322" si="43">ABS(W259-V259)</f>
        <v>1</v>
      </c>
      <c r="Y259">
        <v>9</v>
      </c>
      <c r="Z259">
        <v>8</v>
      </c>
      <c r="AA259" s="32">
        <f t="shared" ref="AA259:AA322" si="44">ABS(Z259-Y259)</f>
        <v>1</v>
      </c>
    </row>
    <row r="260" spans="1:27" x14ac:dyDescent="0.45">
      <c r="A260">
        <v>7</v>
      </c>
      <c r="B260">
        <v>8</v>
      </c>
      <c r="C260" s="32">
        <f t="shared" si="36"/>
        <v>1</v>
      </c>
      <c r="D260">
        <v>8</v>
      </c>
      <c r="E260">
        <v>8</v>
      </c>
      <c r="F260" s="32">
        <f t="shared" si="37"/>
        <v>0</v>
      </c>
      <c r="G260">
        <v>9</v>
      </c>
      <c r="H260">
        <v>7</v>
      </c>
      <c r="I260" s="32">
        <f t="shared" si="38"/>
        <v>2</v>
      </c>
      <c r="J260">
        <v>9</v>
      </c>
      <c r="K260">
        <v>8</v>
      </c>
      <c r="L260" s="32">
        <f t="shared" si="39"/>
        <v>1</v>
      </c>
      <c r="M260">
        <v>8</v>
      </c>
      <c r="N260">
        <v>7</v>
      </c>
      <c r="O260" s="32">
        <f t="shared" si="40"/>
        <v>1</v>
      </c>
      <c r="P260">
        <v>9</v>
      </c>
      <c r="Q260">
        <v>8</v>
      </c>
      <c r="R260" s="32">
        <f t="shared" si="41"/>
        <v>1</v>
      </c>
      <c r="S260">
        <v>8</v>
      </c>
      <c r="T260">
        <v>7</v>
      </c>
      <c r="U260" s="32">
        <f t="shared" si="42"/>
        <v>1</v>
      </c>
      <c r="V260">
        <v>8</v>
      </c>
      <c r="W260">
        <v>7</v>
      </c>
      <c r="X260" s="32">
        <f t="shared" si="43"/>
        <v>1</v>
      </c>
      <c r="Y260">
        <v>9</v>
      </c>
      <c r="Z260">
        <v>8</v>
      </c>
      <c r="AA260" s="32">
        <f t="shared" si="44"/>
        <v>1</v>
      </c>
    </row>
    <row r="261" spans="1:27" x14ac:dyDescent="0.45">
      <c r="A261">
        <v>7</v>
      </c>
      <c r="B261">
        <v>8</v>
      </c>
      <c r="C261" s="32">
        <f t="shared" si="36"/>
        <v>1</v>
      </c>
      <c r="D261">
        <v>8</v>
      </c>
      <c r="E261">
        <v>8</v>
      </c>
      <c r="F261" s="32">
        <f t="shared" si="37"/>
        <v>0</v>
      </c>
      <c r="G261">
        <v>9</v>
      </c>
      <c r="H261">
        <v>7</v>
      </c>
      <c r="I261" s="32">
        <f t="shared" si="38"/>
        <v>2</v>
      </c>
      <c r="J261">
        <v>9</v>
      </c>
      <c r="K261">
        <v>8</v>
      </c>
      <c r="L261" s="32">
        <f t="shared" si="39"/>
        <v>1</v>
      </c>
      <c r="M261">
        <v>8</v>
      </c>
      <c r="N261">
        <v>7</v>
      </c>
      <c r="O261" s="32">
        <f t="shared" si="40"/>
        <v>1</v>
      </c>
      <c r="P261">
        <v>9</v>
      </c>
      <c r="Q261">
        <v>8</v>
      </c>
      <c r="R261" s="32">
        <f t="shared" si="41"/>
        <v>1</v>
      </c>
      <c r="S261">
        <v>8</v>
      </c>
      <c r="T261">
        <v>7</v>
      </c>
      <c r="U261" s="32">
        <f t="shared" si="42"/>
        <v>1</v>
      </c>
      <c r="V261">
        <v>8</v>
      </c>
      <c r="W261">
        <v>7</v>
      </c>
      <c r="X261" s="32">
        <f t="shared" si="43"/>
        <v>1</v>
      </c>
      <c r="Y261">
        <v>9</v>
      </c>
      <c r="Z261">
        <v>8</v>
      </c>
      <c r="AA261" s="32">
        <f t="shared" si="44"/>
        <v>1</v>
      </c>
    </row>
    <row r="262" spans="1:27" x14ac:dyDescent="0.45">
      <c r="A262">
        <v>7</v>
      </c>
      <c r="B262">
        <v>8</v>
      </c>
      <c r="C262" s="32">
        <f t="shared" si="36"/>
        <v>1</v>
      </c>
      <c r="D262">
        <v>8</v>
      </c>
      <c r="E262">
        <v>8</v>
      </c>
      <c r="F262" s="32">
        <f t="shared" si="37"/>
        <v>0</v>
      </c>
      <c r="G262">
        <v>9</v>
      </c>
      <c r="H262">
        <v>8</v>
      </c>
      <c r="I262" s="32">
        <f t="shared" si="38"/>
        <v>1</v>
      </c>
      <c r="J262">
        <v>9</v>
      </c>
      <c r="K262">
        <v>8</v>
      </c>
      <c r="L262" s="32">
        <f t="shared" si="39"/>
        <v>1</v>
      </c>
      <c r="M262">
        <v>8</v>
      </c>
      <c r="N262">
        <v>7</v>
      </c>
      <c r="O262" s="32">
        <f t="shared" si="40"/>
        <v>1</v>
      </c>
      <c r="P262">
        <v>9</v>
      </c>
      <c r="Q262">
        <v>8</v>
      </c>
      <c r="R262" s="32">
        <f t="shared" si="41"/>
        <v>1</v>
      </c>
      <c r="S262">
        <v>8</v>
      </c>
      <c r="T262">
        <v>7</v>
      </c>
      <c r="U262" s="32">
        <f t="shared" si="42"/>
        <v>1</v>
      </c>
      <c r="V262">
        <v>8</v>
      </c>
      <c r="W262">
        <v>7</v>
      </c>
      <c r="X262" s="32">
        <f t="shared" si="43"/>
        <v>1</v>
      </c>
      <c r="Y262">
        <v>9</v>
      </c>
      <c r="Z262">
        <v>8</v>
      </c>
      <c r="AA262" s="32">
        <f t="shared" si="44"/>
        <v>1</v>
      </c>
    </row>
    <row r="263" spans="1:27" x14ac:dyDescent="0.45">
      <c r="A263">
        <v>7</v>
      </c>
      <c r="B263">
        <v>8</v>
      </c>
      <c r="C263" s="32">
        <f t="shared" si="36"/>
        <v>1</v>
      </c>
      <c r="D263">
        <v>8</v>
      </c>
      <c r="E263">
        <v>8</v>
      </c>
      <c r="F263" s="32">
        <f t="shared" si="37"/>
        <v>0</v>
      </c>
      <c r="G263">
        <v>9</v>
      </c>
      <c r="H263">
        <v>8</v>
      </c>
      <c r="I263" s="32">
        <f t="shared" si="38"/>
        <v>1</v>
      </c>
      <c r="J263">
        <v>9</v>
      </c>
      <c r="K263">
        <v>8</v>
      </c>
      <c r="L263" s="32">
        <f t="shared" si="39"/>
        <v>1</v>
      </c>
      <c r="M263">
        <v>8</v>
      </c>
      <c r="N263">
        <v>7</v>
      </c>
      <c r="O263" s="32">
        <f t="shared" si="40"/>
        <v>1</v>
      </c>
      <c r="P263">
        <v>9</v>
      </c>
      <c r="Q263">
        <v>8</v>
      </c>
      <c r="R263" s="32">
        <f t="shared" si="41"/>
        <v>1</v>
      </c>
      <c r="S263">
        <v>8</v>
      </c>
      <c r="T263">
        <v>7</v>
      </c>
      <c r="U263" s="32">
        <f t="shared" si="42"/>
        <v>1</v>
      </c>
      <c r="V263">
        <v>8</v>
      </c>
      <c r="W263">
        <v>7</v>
      </c>
      <c r="X263" s="32">
        <f t="shared" si="43"/>
        <v>1</v>
      </c>
      <c r="Y263">
        <v>9</v>
      </c>
      <c r="Z263">
        <v>8</v>
      </c>
      <c r="AA263" s="32">
        <f t="shared" si="44"/>
        <v>1</v>
      </c>
    </row>
    <row r="264" spans="1:27" x14ac:dyDescent="0.45">
      <c r="A264">
        <v>7</v>
      </c>
      <c r="B264">
        <v>8</v>
      </c>
      <c r="C264" s="32">
        <f t="shared" si="36"/>
        <v>1</v>
      </c>
      <c r="D264">
        <v>8</v>
      </c>
      <c r="E264">
        <v>8</v>
      </c>
      <c r="F264" s="32">
        <f t="shared" si="37"/>
        <v>0</v>
      </c>
      <c r="G264">
        <v>9</v>
      </c>
      <c r="H264">
        <v>8</v>
      </c>
      <c r="I264" s="32">
        <f t="shared" si="38"/>
        <v>1</v>
      </c>
      <c r="J264">
        <v>9</v>
      </c>
      <c r="K264">
        <v>8</v>
      </c>
      <c r="L264" s="32">
        <f t="shared" si="39"/>
        <v>1</v>
      </c>
      <c r="M264">
        <v>8</v>
      </c>
      <c r="N264">
        <v>7</v>
      </c>
      <c r="O264" s="32">
        <f t="shared" si="40"/>
        <v>1</v>
      </c>
      <c r="P264">
        <v>9</v>
      </c>
      <c r="Q264">
        <v>8</v>
      </c>
      <c r="R264" s="32">
        <f t="shared" si="41"/>
        <v>1</v>
      </c>
      <c r="S264">
        <v>8</v>
      </c>
      <c r="T264">
        <v>7</v>
      </c>
      <c r="U264" s="32">
        <f t="shared" si="42"/>
        <v>1</v>
      </c>
      <c r="V264">
        <v>8</v>
      </c>
      <c r="W264">
        <v>7</v>
      </c>
      <c r="X264" s="32">
        <f t="shared" si="43"/>
        <v>1</v>
      </c>
      <c r="Y264">
        <v>9</v>
      </c>
      <c r="Z264">
        <v>8</v>
      </c>
      <c r="AA264" s="32">
        <f t="shared" si="44"/>
        <v>1</v>
      </c>
    </row>
    <row r="265" spans="1:27" x14ac:dyDescent="0.45">
      <c r="A265">
        <v>7</v>
      </c>
      <c r="B265">
        <v>8</v>
      </c>
      <c r="C265" s="32">
        <f t="shared" si="36"/>
        <v>1</v>
      </c>
      <c r="D265">
        <v>8</v>
      </c>
      <c r="E265">
        <v>8</v>
      </c>
      <c r="F265" s="32">
        <f t="shared" si="37"/>
        <v>0</v>
      </c>
      <c r="G265">
        <v>9</v>
      </c>
      <c r="H265">
        <v>8</v>
      </c>
      <c r="I265" s="32">
        <f t="shared" si="38"/>
        <v>1</v>
      </c>
      <c r="J265">
        <v>9</v>
      </c>
      <c r="K265">
        <v>8</v>
      </c>
      <c r="L265" s="32">
        <f t="shared" si="39"/>
        <v>1</v>
      </c>
      <c r="M265">
        <v>8</v>
      </c>
      <c r="N265">
        <v>7</v>
      </c>
      <c r="O265" s="32">
        <f t="shared" si="40"/>
        <v>1</v>
      </c>
      <c r="P265">
        <v>9</v>
      </c>
      <c r="Q265">
        <v>8</v>
      </c>
      <c r="R265" s="32">
        <f t="shared" si="41"/>
        <v>1</v>
      </c>
      <c r="S265">
        <v>8</v>
      </c>
      <c r="T265">
        <v>7</v>
      </c>
      <c r="U265" s="32">
        <f t="shared" si="42"/>
        <v>1</v>
      </c>
      <c r="V265">
        <v>8</v>
      </c>
      <c r="W265">
        <v>7</v>
      </c>
      <c r="X265" s="32">
        <f t="shared" si="43"/>
        <v>1</v>
      </c>
      <c r="Y265">
        <v>9</v>
      </c>
      <c r="Z265">
        <v>8</v>
      </c>
      <c r="AA265" s="32">
        <f t="shared" si="44"/>
        <v>1</v>
      </c>
    </row>
    <row r="266" spans="1:27" x14ac:dyDescent="0.45">
      <c r="A266">
        <v>7</v>
      </c>
      <c r="B266">
        <v>8</v>
      </c>
      <c r="C266" s="32">
        <f t="shared" si="36"/>
        <v>1</v>
      </c>
      <c r="D266">
        <v>8</v>
      </c>
      <c r="E266">
        <v>8</v>
      </c>
      <c r="F266" s="32">
        <f t="shared" si="37"/>
        <v>0</v>
      </c>
      <c r="G266">
        <v>9</v>
      </c>
      <c r="H266">
        <v>8</v>
      </c>
      <c r="I266" s="32">
        <f t="shared" si="38"/>
        <v>1</v>
      </c>
      <c r="J266">
        <v>9</v>
      </c>
      <c r="K266">
        <v>8</v>
      </c>
      <c r="L266" s="32">
        <f t="shared" si="39"/>
        <v>1</v>
      </c>
      <c r="M266">
        <v>8</v>
      </c>
      <c r="N266">
        <v>7</v>
      </c>
      <c r="O266" s="32">
        <f t="shared" si="40"/>
        <v>1</v>
      </c>
      <c r="P266">
        <v>9</v>
      </c>
      <c r="Q266">
        <v>8</v>
      </c>
      <c r="R266" s="32">
        <f t="shared" si="41"/>
        <v>1</v>
      </c>
      <c r="S266">
        <v>8</v>
      </c>
      <c r="T266">
        <v>7</v>
      </c>
      <c r="U266" s="32">
        <f t="shared" si="42"/>
        <v>1</v>
      </c>
      <c r="V266">
        <v>8</v>
      </c>
      <c r="W266">
        <v>7</v>
      </c>
      <c r="X266" s="32">
        <f t="shared" si="43"/>
        <v>1</v>
      </c>
      <c r="Y266">
        <v>9</v>
      </c>
      <c r="Z266">
        <v>8</v>
      </c>
      <c r="AA266" s="32">
        <f t="shared" si="44"/>
        <v>1</v>
      </c>
    </row>
    <row r="267" spans="1:27" x14ac:dyDescent="0.45">
      <c r="A267">
        <v>7</v>
      </c>
      <c r="B267">
        <v>8</v>
      </c>
      <c r="C267" s="32">
        <f t="shared" si="36"/>
        <v>1</v>
      </c>
      <c r="D267">
        <v>8</v>
      </c>
      <c r="E267">
        <v>8</v>
      </c>
      <c r="F267" s="32">
        <f t="shared" si="37"/>
        <v>0</v>
      </c>
      <c r="G267">
        <v>9</v>
      </c>
      <c r="H267">
        <v>8</v>
      </c>
      <c r="I267" s="32">
        <f t="shared" si="38"/>
        <v>1</v>
      </c>
      <c r="J267">
        <v>9</v>
      </c>
      <c r="K267">
        <v>8</v>
      </c>
      <c r="L267" s="32">
        <f t="shared" si="39"/>
        <v>1</v>
      </c>
      <c r="M267">
        <v>8</v>
      </c>
      <c r="N267">
        <v>7</v>
      </c>
      <c r="O267" s="32">
        <f t="shared" si="40"/>
        <v>1</v>
      </c>
      <c r="P267">
        <v>9</v>
      </c>
      <c r="Q267">
        <v>8</v>
      </c>
      <c r="R267" s="32">
        <f t="shared" si="41"/>
        <v>1</v>
      </c>
      <c r="S267">
        <v>8</v>
      </c>
      <c r="T267">
        <v>7</v>
      </c>
      <c r="U267" s="32">
        <f t="shared" si="42"/>
        <v>1</v>
      </c>
      <c r="V267">
        <v>8</v>
      </c>
      <c r="W267">
        <v>7</v>
      </c>
      <c r="X267" s="32">
        <f t="shared" si="43"/>
        <v>1</v>
      </c>
      <c r="Y267">
        <v>9</v>
      </c>
      <c r="Z267">
        <v>8</v>
      </c>
      <c r="AA267" s="32">
        <f t="shared" si="44"/>
        <v>1</v>
      </c>
    </row>
    <row r="268" spans="1:27" x14ac:dyDescent="0.45">
      <c r="A268">
        <v>7</v>
      </c>
      <c r="B268">
        <v>8</v>
      </c>
      <c r="C268" s="32">
        <f t="shared" si="36"/>
        <v>1</v>
      </c>
      <c r="D268">
        <v>8</v>
      </c>
      <c r="E268">
        <v>8</v>
      </c>
      <c r="F268" s="32">
        <f t="shared" si="37"/>
        <v>0</v>
      </c>
      <c r="G268">
        <v>9</v>
      </c>
      <c r="H268">
        <v>8</v>
      </c>
      <c r="I268" s="32">
        <f t="shared" si="38"/>
        <v>1</v>
      </c>
      <c r="J268">
        <v>9</v>
      </c>
      <c r="K268">
        <v>8</v>
      </c>
      <c r="L268" s="32">
        <f t="shared" si="39"/>
        <v>1</v>
      </c>
      <c r="M268">
        <v>8</v>
      </c>
      <c r="N268">
        <v>7</v>
      </c>
      <c r="O268" s="32">
        <f t="shared" si="40"/>
        <v>1</v>
      </c>
      <c r="P268">
        <v>9</v>
      </c>
      <c r="Q268">
        <v>8</v>
      </c>
      <c r="R268" s="32">
        <f t="shared" si="41"/>
        <v>1</v>
      </c>
      <c r="S268">
        <v>8</v>
      </c>
      <c r="T268">
        <v>7</v>
      </c>
      <c r="U268" s="32">
        <f t="shared" si="42"/>
        <v>1</v>
      </c>
      <c r="V268">
        <v>8</v>
      </c>
      <c r="W268">
        <v>7</v>
      </c>
      <c r="X268" s="32">
        <f t="shared" si="43"/>
        <v>1</v>
      </c>
      <c r="Y268">
        <v>9</v>
      </c>
      <c r="Z268">
        <v>8</v>
      </c>
      <c r="AA268" s="32">
        <f t="shared" si="44"/>
        <v>1</v>
      </c>
    </row>
    <row r="269" spans="1:27" x14ac:dyDescent="0.45">
      <c r="A269">
        <v>7</v>
      </c>
      <c r="B269">
        <v>8</v>
      </c>
      <c r="C269" s="32">
        <f t="shared" si="36"/>
        <v>1</v>
      </c>
      <c r="D269">
        <v>8</v>
      </c>
      <c r="E269">
        <v>8</v>
      </c>
      <c r="F269" s="32">
        <f t="shared" si="37"/>
        <v>0</v>
      </c>
      <c r="G269">
        <v>9</v>
      </c>
      <c r="H269">
        <v>8</v>
      </c>
      <c r="I269" s="32">
        <f t="shared" si="38"/>
        <v>1</v>
      </c>
      <c r="J269">
        <v>9</v>
      </c>
      <c r="K269">
        <v>8</v>
      </c>
      <c r="L269" s="32">
        <f t="shared" si="39"/>
        <v>1</v>
      </c>
      <c r="M269">
        <v>8</v>
      </c>
      <c r="N269">
        <v>7</v>
      </c>
      <c r="O269" s="32">
        <f t="shared" si="40"/>
        <v>1</v>
      </c>
      <c r="P269">
        <v>9</v>
      </c>
      <c r="Q269">
        <v>8</v>
      </c>
      <c r="R269" s="32">
        <f t="shared" si="41"/>
        <v>1</v>
      </c>
      <c r="S269">
        <v>8</v>
      </c>
      <c r="T269">
        <v>7</v>
      </c>
      <c r="U269" s="32">
        <f t="shared" si="42"/>
        <v>1</v>
      </c>
      <c r="V269">
        <v>8</v>
      </c>
      <c r="W269">
        <v>7</v>
      </c>
      <c r="X269" s="32">
        <f t="shared" si="43"/>
        <v>1</v>
      </c>
      <c r="Y269">
        <v>9</v>
      </c>
      <c r="Z269">
        <v>8</v>
      </c>
      <c r="AA269" s="32">
        <f t="shared" si="44"/>
        <v>1</v>
      </c>
    </row>
    <row r="270" spans="1:27" x14ac:dyDescent="0.45">
      <c r="A270">
        <v>7</v>
      </c>
      <c r="B270">
        <v>8</v>
      </c>
      <c r="C270" s="32">
        <f t="shared" si="36"/>
        <v>1</v>
      </c>
      <c r="D270">
        <v>8</v>
      </c>
      <c r="E270">
        <v>8</v>
      </c>
      <c r="F270" s="32">
        <f t="shared" si="37"/>
        <v>0</v>
      </c>
      <c r="G270">
        <v>9</v>
      </c>
      <c r="H270">
        <v>8</v>
      </c>
      <c r="I270" s="32">
        <f t="shared" si="38"/>
        <v>1</v>
      </c>
      <c r="J270">
        <v>9</v>
      </c>
      <c r="K270">
        <v>8</v>
      </c>
      <c r="L270" s="32">
        <f t="shared" si="39"/>
        <v>1</v>
      </c>
      <c r="M270">
        <v>8</v>
      </c>
      <c r="N270">
        <v>7</v>
      </c>
      <c r="O270" s="32">
        <f t="shared" si="40"/>
        <v>1</v>
      </c>
      <c r="P270">
        <v>9</v>
      </c>
      <c r="Q270">
        <v>8</v>
      </c>
      <c r="R270" s="32">
        <f t="shared" si="41"/>
        <v>1</v>
      </c>
      <c r="S270">
        <v>8</v>
      </c>
      <c r="T270">
        <v>7</v>
      </c>
      <c r="U270" s="32">
        <f t="shared" si="42"/>
        <v>1</v>
      </c>
      <c r="V270">
        <v>8</v>
      </c>
      <c r="W270">
        <v>7</v>
      </c>
      <c r="X270" s="32">
        <f t="shared" si="43"/>
        <v>1</v>
      </c>
      <c r="Y270">
        <v>9</v>
      </c>
      <c r="Z270">
        <v>8</v>
      </c>
      <c r="AA270" s="32">
        <f t="shared" si="44"/>
        <v>1</v>
      </c>
    </row>
    <row r="271" spans="1:27" x14ac:dyDescent="0.45">
      <c r="A271">
        <v>7</v>
      </c>
      <c r="B271">
        <v>8</v>
      </c>
      <c r="C271" s="32">
        <f t="shared" si="36"/>
        <v>1</v>
      </c>
      <c r="D271">
        <v>8</v>
      </c>
      <c r="E271">
        <v>8</v>
      </c>
      <c r="F271" s="32">
        <f t="shared" si="37"/>
        <v>0</v>
      </c>
      <c r="G271">
        <v>9</v>
      </c>
      <c r="H271">
        <v>8</v>
      </c>
      <c r="I271" s="32">
        <f t="shared" si="38"/>
        <v>1</v>
      </c>
      <c r="J271">
        <v>9</v>
      </c>
      <c r="K271">
        <v>8</v>
      </c>
      <c r="L271" s="32">
        <f t="shared" si="39"/>
        <v>1</v>
      </c>
      <c r="M271">
        <v>8</v>
      </c>
      <c r="N271">
        <v>7</v>
      </c>
      <c r="O271" s="32">
        <f t="shared" si="40"/>
        <v>1</v>
      </c>
      <c r="P271">
        <v>9</v>
      </c>
      <c r="Q271">
        <v>8</v>
      </c>
      <c r="R271" s="32">
        <f t="shared" si="41"/>
        <v>1</v>
      </c>
      <c r="S271">
        <v>8</v>
      </c>
      <c r="T271">
        <v>7</v>
      </c>
      <c r="U271" s="32">
        <f t="shared" si="42"/>
        <v>1</v>
      </c>
      <c r="V271">
        <v>8</v>
      </c>
      <c r="W271">
        <v>7</v>
      </c>
      <c r="X271" s="32">
        <f t="shared" si="43"/>
        <v>1</v>
      </c>
      <c r="Y271">
        <v>9</v>
      </c>
      <c r="Z271">
        <v>8</v>
      </c>
      <c r="AA271" s="32">
        <f t="shared" si="44"/>
        <v>1</v>
      </c>
    </row>
    <row r="272" spans="1:27" x14ac:dyDescent="0.45">
      <c r="A272">
        <v>7</v>
      </c>
      <c r="B272">
        <v>8</v>
      </c>
      <c r="C272" s="32">
        <f t="shared" si="36"/>
        <v>1</v>
      </c>
      <c r="D272">
        <v>8</v>
      </c>
      <c r="E272">
        <v>8</v>
      </c>
      <c r="F272" s="32">
        <f t="shared" si="37"/>
        <v>0</v>
      </c>
      <c r="G272">
        <v>9</v>
      </c>
      <c r="H272">
        <v>8</v>
      </c>
      <c r="I272" s="32">
        <f t="shared" si="38"/>
        <v>1</v>
      </c>
      <c r="J272">
        <v>9</v>
      </c>
      <c r="K272">
        <v>8</v>
      </c>
      <c r="L272" s="32">
        <f t="shared" si="39"/>
        <v>1</v>
      </c>
      <c r="M272">
        <v>8</v>
      </c>
      <c r="N272">
        <v>7</v>
      </c>
      <c r="O272" s="32">
        <f t="shared" si="40"/>
        <v>1</v>
      </c>
      <c r="P272">
        <v>9</v>
      </c>
      <c r="Q272">
        <v>8</v>
      </c>
      <c r="R272" s="32">
        <f t="shared" si="41"/>
        <v>1</v>
      </c>
      <c r="S272">
        <v>8</v>
      </c>
      <c r="T272">
        <v>7</v>
      </c>
      <c r="U272" s="32">
        <f t="shared" si="42"/>
        <v>1</v>
      </c>
      <c r="V272">
        <v>8</v>
      </c>
      <c r="W272">
        <v>7</v>
      </c>
      <c r="X272" s="32">
        <f t="shared" si="43"/>
        <v>1</v>
      </c>
      <c r="Y272">
        <v>9</v>
      </c>
      <c r="Z272">
        <v>8</v>
      </c>
      <c r="AA272" s="32">
        <f t="shared" si="44"/>
        <v>1</v>
      </c>
    </row>
    <row r="273" spans="1:27" x14ac:dyDescent="0.45">
      <c r="A273">
        <v>7</v>
      </c>
      <c r="B273">
        <v>8</v>
      </c>
      <c r="C273" s="32">
        <f t="shared" si="36"/>
        <v>1</v>
      </c>
      <c r="D273">
        <v>8</v>
      </c>
      <c r="E273">
        <v>8</v>
      </c>
      <c r="F273" s="32">
        <f t="shared" si="37"/>
        <v>0</v>
      </c>
      <c r="G273">
        <v>9</v>
      </c>
      <c r="H273">
        <v>8</v>
      </c>
      <c r="I273" s="32">
        <f t="shared" si="38"/>
        <v>1</v>
      </c>
      <c r="J273">
        <v>9</v>
      </c>
      <c r="K273">
        <v>8</v>
      </c>
      <c r="L273" s="32">
        <f t="shared" si="39"/>
        <v>1</v>
      </c>
      <c r="M273">
        <v>8</v>
      </c>
      <c r="N273">
        <v>7</v>
      </c>
      <c r="O273" s="32">
        <f t="shared" si="40"/>
        <v>1</v>
      </c>
      <c r="P273">
        <v>9</v>
      </c>
      <c r="Q273">
        <v>8</v>
      </c>
      <c r="R273" s="32">
        <f t="shared" si="41"/>
        <v>1</v>
      </c>
      <c r="S273">
        <v>8</v>
      </c>
      <c r="T273">
        <v>7</v>
      </c>
      <c r="U273" s="32">
        <f t="shared" si="42"/>
        <v>1</v>
      </c>
      <c r="V273">
        <v>8</v>
      </c>
      <c r="W273">
        <v>7</v>
      </c>
      <c r="X273" s="32">
        <f t="shared" si="43"/>
        <v>1</v>
      </c>
      <c r="Y273">
        <v>9</v>
      </c>
      <c r="Z273">
        <v>8</v>
      </c>
      <c r="AA273" s="32">
        <f t="shared" si="44"/>
        <v>1</v>
      </c>
    </row>
    <row r="274" spans="1:27" x14ac:dyDescent="0.45">
      <c r="A274">
        <v>7</v>
      </c>
      <c r="B274">
        <v>8</v>
      </c>
      <c r="C274" s="32">
        <f t="shared" si="36"/>
        <v>1</v>
      </c>
      <c r="D274">
        <v>8</v>
      </c>
      <c r="E274">
        <v>8</v>
      </c>
      <c r="F274" s="32">
        <f t="shared" si="37"/>
        <v>0</v>
      </c>
      <c r="G274">
        <v>9</v>
      </c>
      <c r="H274">
        <v>8</v>
      </c>
      <c r="I274" s="32">
        <f t="shared" si="38"/>
        <v>1</v>
      </c>
      <c r="J274">
        <v>9</v>
      </c>
      <c r="K274">
        <v>8</v>
      </c>
      <c r="L274" s="32">
        <f t="shared" si="39"/>
        <v>1</v>
      </c>
      <c r="M274">
        <v>8</v>
      </c>
      <c r="N274">
        <v>7</v>
      </c>
      <c r="O274" s="32">
        <f t="shared" si="40"/>
        <v>1</v>
      </c>
      <c r="P274">
        <v>9</v>
      </c>
      <c r="Q274">
        <v>8</v>
      </c>
      <c r="R274" s="32">
        <f t="shared" si="41"/>
        <v>1</v>
      </c>
      <c r="S274">
        <v>8</v>
      </c>
      <c r="T274">
        <v>7</v>
      </c>
      <c r="U274" s="32">
        <f t="shared" si="42"/>
        <v>1</v>
      </c>
      <c r="V274">
        <v>8</v>
      </c>
      <c r="W274">
        <v>7</v>
      </c>
      <c r="X274" s="32">
        <f t="shared" si="43"/>
        <v>1</v>
      </c>
      <c r="Y274">
        <v>9</v>
      </c>
      <c r="Z274">
        <v>8</v>
      </c>
      <c r="AA274" s="32">
        <f t="shared" si="44"/>
        <v>1</v>
      </c>
    </row>
    <row r="275" spans="1:27" x14ac:dyDescent="0.45">
      <c r="A275">
        <v>7</v>
      </c>
      <c r="B275">
        <v>8</v>
      </c>
      <c r="C275" s="32">
        <f t="shared" si="36"/>
        <v>1</v>
      </c>
      <c r="D275">
        <v>8</v>
      </c>
      <c r="E275">
        <v>8</v>
      </c>
      <c r="F275" s="32">
        <f t="shared" si="37"/>
        <v>0</v>
      </c>
      <c r="G275">
        <v>9</v>
      </c>
      <c r="H275">
        <v>8</v>
      </c>
      <c r="I275" s="32">
        <f t="shared" si="38"/>
        <v>1</v>
      </c>
      <c r="J275">
        <v>9</v>
      </c>
      <c r="K275">
        <v>8</v>
      </c>
      <c r="L275" s="32">
        <f t="shared" si="39"/>
        <v>1</v>
      </c>
      <c r="M275">
        <v>8</v>
      </c>
      <c r="N275">
        <v>7</v>
      </c>
      <c r="O275" s="32">
        <f t="shared" si="40"/>
        <v>1</v>
      </c>
      <c r="P275">
        <v>9</v>
      </c>
      <c r="Q275">
        <v>8</v>
      </c>
      <c r="R275" s="32">
        <f t="shared" si="41"/>
        <v>1</v>
      </c>
      <c r="S275">
        <v>8</v>
      </c>
      <c r="T275">
        <v>7</v>
      </c>
      <c r="U275" s="32">
        <f t="shared" si="42"/>
        <v>1</v>
      </c>
      <c r="V275">
        <v>8</v>
      </c>
      <c r="W275">
        <v>7</v>
      </c>
      <c r="X275" s="32">
        <f t="shared" si="43"/>
        <v>1</v>
      </c>
      <c r="Y275">
        <v>9</v>
      </c>
      <c r="Z275">
        <v>8</v>
      </c>
      <c r="AA275" s="32">
        <f t="shared" si="44"/>
        <v>1</v>
      </c>
    </row>
    <row r="276" spans="1:27" x14ac:dyDescent="0.45">
      <c r="A276">
        <v>7</v>
      </c>
      <c r="B276">
        <v>8</v>
      </c>
      <c r="C276" s="32">
        <f t="shared" si="36"/>
        <v>1</v>
      </c>
      <c r="D276">
        <v>8</v>
      </c>
      <c r="E276">
        <v>8</v>
      </c>
      <c r="F276" s="32">
        <f t="shared" si="37"/>
        <v>0</v>
      </c>
      <c r="G276">
        <v>9</v>
      </c>
      <c r="H276">
        <v>8</v>
      </c>
      <c r="I276" s="32">
        <f t="shared" si="38"/>
        <v>1</v>
      </c>
      <c r="J276">
        <v>9</v>
      </c>
      <c r="K276">
        <v>8</v>
      </c>
      <c r="L276" s="32">
        <f t="shared" si="39"/>
        <v>1</v>
      </c>
      <c r="M276">
        <v>8</v>
      </c>
      <c r="N276">
        <v>7</v>
      </c>
      <c r="O276" s="32">
        <f t="shared" si="40"/>
        <v>1</v>
      </c>
      <c r="P276">
        <v>9</v>
      </c>
      <c r="Q276">
        <v>8</v>
      </c>
      <c r="R276" s="32">
        <f t="shared" si="41"/>
        <v>1</v>
      </c>
      <c r="S276">
        <v>8</v>
      </c>
      <c r="T276">
        <v>7</v>
      </c>
      <c r="U276" s="32">
        <f t="shared" si="42"/>
        <v>1</v>
      </c>
      <c r="V276">
        <v>8</v>
      </c>
      <c r="W276">
        <v>7</v>
      </c>
      <c r="X276" s="32">
        <f t="shared" si="43"/>
        <v>1</v>
      </c>
      <c r="Y276">
        <v>9</v>
      </c>
      <c r="Z276">
        <v>8</v>
      </c>
      <c r="AA276" s="32">
        <f t="shared" si="44"/>
        <v>1</v>
      </c>
    </row>
    <row r="277" spans="1:27" x14ac:dyDescent="0.45">
      <c r="A277">
        <v>7</v>
      </c>
      <c r="B277">
        <v>8</v>
      </c>
      <c r="C277" s="32">
        <f t="shared" si="36"/>
        <v>1</v>
      </c>
      <c r="D277">
        <v>8</v>
      </c>
      <c r="E277">
        <v>8</v>
      </c>
      <c r="F277" s="32">
        <f t="shared" si="37"/>
        <v>0</v>
      </c>
      <c r="G277">
        <v>9</v>
      </c>
      <c r="H277">
        <v>8</v>
      </c>
      <c r="I277" s="32">
        <f t="shared" si="38"/>
        <v>1</v>
      </c>
      <c r="J277">
        <v>9</v>
      </c>
      <c r="K277">
        <v>8</v>
      </c>
      <c r="L277" s="32">
        <f t="shared" si="39"/>
        <v>1</v>
      </c>
      <c r="M277">
        <v>8</v>
      </c>
      <c r="N277">
        <v>8</v>
      </c>
      <c r="O277" s="32">
        <f t="shared" si="40"/>
        <v>0</v>
      </c>
      <c r="P277">
        <v>9</v>
      </c>
      <c r="Q277">
        <v>8</v>
      </c>
      <c r="R277" s="32">
        <f t="shared" si="41"/>
        <v>1</v>
      </c>
      <c r="S277">
        <v>8</v>
      </c>
      <c r="T277">
        <v>7</v>
      </c>
      <c r="U277" s="32">
        <f t="shared" si="42"/>
        <v>1</v>
      </c>
      <c r="V277">
        <v>8</v>
      </c>
      <c r="W277">
        <v>7</v>
      </c>
      <c r="X277" s="32">
        <f t="shared" si="43"/>
        <v>1</v>
      </c>
      <c r="Y277">
        <v>9</v>
      </c>
      <c r="Z277">
        <v>8</v>
      </c>
      <c r="AA277" s="32">
        <f t="shared" si="44"/>
        <v>1</v>
      </c>
    </row>
    <row r="278" spans="1:27" x14ac:dyDescent="0.45">
      <c r="A278">
        <v>7</v>
      </c>
      <c r="B278">
        <v>8</v>
      </c>
      <c r="C278" s="32">
        <f t="shared" si="36"/>
        <v>1</v>
      </c>
      <c r="D278">
        <v>8</v>
      </c>
      <c r="E278">
        <v>8</v>
      </c>
      <c r="F278" s="32">
        <f t="shared" si="37"/>
        <v>0</v>
      </c>
      <c r="G278">
        <v>9</v>
      </c>
      <c r="H278">
        <v>8</v>
      </c>
      <c r="I278" s="32">
        <f t="shared" si="38"/>
        <v>1</v>
      </c>
      <c r="J278">
        <v>9</v>
      </c>
      <c r="K278">
        <v>8</v>
      </c>
      <c r="L278" s="32">
        <f t="shared" si="39"/>
        <v>1</v>
      </c>
      <c r="M278">
        <v>8</v>
      </c>
      <c r="N278">
        <v>8</v>
      </c>
      <c r="O278" s="32">
        <f t="shared" si="40"/>
        <v>0</v>
      </c>
      <c r="P278">
        <v>9</v>
      </c>
      <c r="Q278">
        <v>8</v>
      </c>
      <c r="R278" s="32">
        <f t="shared" si="41"/>
        <v>1</v>
      </c>
      <c r="S278">
        <v>8</v>
      </c>
      <c r="T278">
        <v>7</v>
      </c>
      <c r="U278" s="32">
        <f t="shared" si="42"/>
        <v>1</v>
      </c>
      <c r="V278">
        <v>8</v>
      </c>
      <c r="W278">
        <v>7</v>
      </c>
      <c r="X278" s="32">
        <f t="shared" si="43"/>
        <v>1</v>
      </c>
      <c r="Y278">
        <v>9</v>
      </c>
      <c r="Z278">
        <v>8</v>
      </c>
      <c r="AA278" s="32">
        <f t="shared" si="44"/>
        <v>1</v>
      </c>
    </row>
    <row r="279" spans="1:27" x14ac:dyDescent="0.45">
      <c r="A279">
        <v>7</v>
      </c>
      <c r="B279">
        <v>8</v>
      </c>
      <c r="C279" s="32">
        <f t="shared" si="36"/>
        <v>1</v>
      </c>
      <c r="D279">
        <v>8</v>
      </c>
      <c r="E279">
        <v>8</v>
      </c>
      <c r="F279" s="32">
        <f t="shared" si="37"/>
        <v>0</v>
      </c>
      <c r="G279">
        <v>9</v>
      </c>
      <c r="H279">
        <v>8</v>
      </c>
      <c r="I279" s="32">
        <f t="shared" si="38"/>
        <v>1</v>
      </c>
      <c r="J279">
        <v>9</v>
      </c>
      <c r="K279">
        <v>8</v>
      </c>
      <c r="L279" s="32">
        <f t="shared" si="39"/>
        <v>1</v>
      </c>
      <c r="M279">
        <v>8</v>
      </c>
      <c r="N279">
        <v>8</v>
      </c>
      <c r="O279" s="32">
        <f t="shared" si="40"/>
        <v>0</v>
      </c>
      <c r="P279">
        <v>9</v>
      </c>
      <c r="Q279">
        <v>8</v>
      </c>
      <c r="R279" s="32">
        <f t="shared" si="41"/>
        <v>1</v>
      </c>
      <c r="S279">
        <v>8</v>
      </c>
      <c r="T279">
        <v>7</v>
      </c>
      <c r="U279" s="32">
        <f t="shared" si="42"/>
        <v>1</v>
      </c>
      <c r="V279">
        <v>8</v>
      </c>
      <c r="W279">
        <v>7</v>
      </c>
      <c r="X279" s="32">
        <f t="shared" si="43"/>
        <v>1</v>
      </c>
      <c r="Y279">
        <v>9</v>
      </c>
      <c r="Z279">
        <v>8</v>
      </c>
      <c r="AA279" s="32">
        <f t="shared" si="44"/>
        <v>1</v>
      </c>
    </row>
    <row r="280" spans="1:27" x14ac:dyDescent="0.45">
      <c r="A280">
        <v>7</v>
      </c>
      <c r="B280">
        <v>8</v>
      </c>
      <c r="C280" s="32">
        <f t="shared" si="36"/>
        <v>1</v>
      </c>
      <c r="D280">
        <v>8</v>
      </c>
      <c r="E280">
        <v>8</v>
      </c>
      <c r="F280" s="32">
        <f t="shared" si="37"/>
        <v>0</v>
      </c>
      <c r="G280">
        <v>9</v>
      </c>
      <c r="H280">
        <v>8</v>
      </c>
      <c r="I280" s="32">
        <f t="shared" si="38"/>
        <v>1</v>
      </c>
      <c r="J280">
        <v>9</v>
      </c>
      <c r="K280">
        <v>8</v>
      </c>
      <c r="L280" s="32">
        <f t="shared" si="39"/>
        <v>1</v>
      </c>
      <c r="M280">
        <v>8</v>
      </c>
      <c r="N280">
        <v>8</v>
      </c>
      <c r="O280" s="32">
        <f t="shared" si="40"/>
        <v>0</v>
      </c>
      <c r="P280">
        <v>9</v>
      </c>
      <c r="Q280">
        <v>8</v>
      </c>
      <c r="R280" s="32">
        <f t="shared" si="41"/>
        <v>1</v>
      </c>
      <c r="S280">
        <v>8</v>
      </c>
      <c r="T280">
        <v>7</v>
      </c>
      <c r="U280" s="32">
        <f t="shared" si="42"/>
        <v>1</v>
      </c>
      <c r="V280">
        <v>8</v>
      </c>
      <c r="W280">
        <v>7</v>
      </c>
      <c r="X280" s="32">
        <f t="shared" si="43"/>
        <v>1</v>
      </c>
      <c r="Y280">
        <v>9</v>
      </c>
      <c r="Z280">
        <v>8</v>
      </c>
      <c r="AA280" s="32">
        <f t="shared" si="44"/>
        <v>1</v>
      </c>
    </row>
    <row r="281" spans="1:27" x14ac:dyDescent="0.45">
      <c r="A281">
        <v>7</v>
      </c>
      <c r="B281">
        <v>8</v>
      </c>
      <c r="C281" s="32">
        <f t="shared" si="36"/>
        <v>1</v>
      </c>
      <c r="D281">
        <v>8</v>
      </c>
      <c r="E281">
        <v>8</v>
      </c>
      <c r="F281" s="32">
        <f t="shared" si="37"/>
        <v>0</v>
      </c>
      <c r="G281">
        <v>9</v>
      </c>
      <c r="H281">
        <v>8</v>
      </c>
      <c r="I281" s="32">
        <f t="shared" si="38"/>
        <v>1</v>
      </c>
      <c r="J281">
        <v>9</v>
      </c>
      <c r="K281">
        <v>8</v>
      </c>
      <c r="L281" s="32">
        <f t="shared" si="39"/>
        <v>1</v>
      </c>
      <c r="M281">
        <v>8</v>
      </c>
      <c r="N281">
        <v>8</v>
      </c>
      <c r="O281" s="32">
        <f t="shared" si="40"/>
        <v>0</v>
      </c>
      <c r="P281">
        <v>9</v>
      </c>
      <c r="Q281">
        <v>8</v>
      </c>
      <c r="R281" s="32">
        <f t="shared" si="41"/>
        <v>1</v>
      </c>
      <c r="S281">
        <v>8</v>
      </c>
      <c r="T281">
        <v>7</v>
      </c>
      <c r="U281" s="32">
        <f t="shared" si="42"/>
        <v>1</v>
      </c>
      <c r="V281">
        <v>8</v>
      </c>
      <c r="W281">
        <v>7</v>
      </c>
      <c r="X281" s="32">
        <f t="shared" si="43"/>
        <v>1</v>
      </c>
      <c r="Y281">
        <v>9</v>
      </c>
      <c r="Z281">
        <v>8</v>
      </c>
      <c r="AA281" s="32">
        <f t="shared" si="44"/>
        <v>1</v>
      </c>
    </row>
    <row r="282" spans="1:27" x14ac:dyDescent="0.45">
      <c r="A282">
        <v>7</v>
      </c>
      <c r="B282">
        <v>8</v>
      </c>
      <c r="C282" s="32">
        <f t="shared" si="36"/>
        <v>1</v>
      </c>
      <c r="D282">
        <v>8</v>
      </c>
      <c r="E282">
        <v>8</v>
      </c>
      <c r="F282" s="32">
        <f t="shared" si="37"/>
        <v>0</v>
      </c>
      <c r="G282">
        <v>9</v>
      </c>
      <c r="H282">
        <v>8</v>
      </c>
      <c r="I282" s="32">
        <f t="shared" si="38"/>
        <v>1</v>
      </c>
      <c r="J282">
        <v>9</v>
      </c>
      <c r="K282">
        <v>8</v>
      </c>
      <c r="L282" s="32">
        <f t="shared" si="39"/>
        <v>1</v>
      </c>
      <c r="M282">
        <v>8</v>
      </c>
      <c r="N282">
        <v>8</v>
      </c>
      <c r="O282" s="32">
        <f t="shared" si="40"/>
        <v>0</v>
      </c>
      <c r="P282">
        <v>9</v>
      </c>
      <c r="Q282">
        <v>8</v>
      </c>
      <c r="R282" s="32">
        <f t="shared" si="41"/>
        <v>1</v>
      </c>
      <c r="S282">
        <v>8</v>
      </c>
      <c r="T282">
        <v>7</v>
      </c>
      <c r="U282" s="32">
        <f t="shared" si="42"/>
        <v>1</v>
      </c>
      <c r="V282">
        <v>8</v>
      </c>
      <c r="W282">
        <v>7</v>
      </c>
      <c r="X282" s="32">
        <f t="shared" si="43"/>
        <v>1</v>
      </c>
      <c r="Y282">
        <v>9</v>
      </c>
      <c r="Z282">
        <v>8</v>
      </c>
      <c r="AA282" s="32">
        <f t="shared" si="44"/>
        <v>1</v>
      </c>
    </row>
    <row r="283" spans="1:27" x14ac:dyDescent="0.45">
      <c r="A283">
        <v>8</v>
      </c>
      <c r="B283">
        <v>8</v>
      </c>
      <c r="C283" s="32">
        <f t="shared" si="36"/>
        <v>0</v>
      </c>
      <c r="D283">
        <v>8</v>
      </c>
      <c r="E283">
        <v>8</v>
      </c>
      <c r="F283" s="32">
        <f t="shared" si="37"/>
        <v>0</v>
      </c>
      <c r="G283">
        <v>9</v>
      </c>
      <c r="H283">
        <v>8</v>
      </c>
      <c r="I283" s="32">
        <f t="shared" si="38"/>
        <v>1</v>
      </c>
      <c r="J283">
        <v>9</v>
      </c>
      <c r="K283">
        <v>8</v>
      </c>
      <c r="L283" s="32">
        <f t="shared" si="39"/>
        <v>1</v>
      </c>
      <c r="M283">
        <v>8</v>
      </c>
      <c r="N283">
        <v>8</v>
      </c>
      <c r="O283" s="32">
        <f t="shared" si="40"/>
        <v>0</v>
      </c>
      <c r="P283">
        <v>9</v>
      </c>
      <c r="Q283">
        <v>8</v>
      </c>
      <c r="R283" s="32">
        <f t="shared" si="41"/>
        <v>1</v>
      </c>
      <c r="S283">
        <v>8</v>
      </c>
      <c r="T283">
        <v>7</v>
      </c>
      <c r="U283" s="32">
        <f t="shared" si="42"/>
        <v>1</v>
      </c>
      <c r="V283">
        <v>8</v>
      </c>
      <c r="W283">
        <v>8</v>
      </c>
      <c r="X283" s="32">
        <f t="shared" si="43"/>
        <v>0</v>
      </c>
      <c r="Y283">
        <v>9</v>
      </c>
      <c r="Z283">
        <v>8</v>
      </c>
      <c r="AA283" s="32">
        <f t="shared" si="44"/>
        <v>1</v>
      </c>
    </row>
    <row r="284" spans="1:27" x14ac:dyDescent="0.45">
      <c r="A284">
        <v>8</v>
      </c>
      <c r="B284">
        <v>8</v>
      </c>
      <c r="C284" s="32">
        <f t="shared" si="36"/>
        <v>0</v>
      </c>
      <c r="D284">
        <v>8</v>
      </c>
      <c r="E284">
        <v>8</v>
      </c>
      <c r="F284" s="32">
        <f t="shared" si="37"/>
        <v>0</v>
      </c>
      <c r="G284">
        <v>9</v>
      </c>
      <c r="H284">
        <v>8</v>
      </c>
      <c r="I284" s="32">
        <f t="shared" si="38"/>
        <v>1</v>
      </c>
      <c r="J284">
        <v>9</v>
      </c>
      <c r="K284">
        <v>8</v>
      </c>
      <c r="L284" s="32">
        <f t="shared" si="39"/>
        <v>1</v>
      </c>
      <c r="M284">
        <v>8</v>
      </c>
      <c r="N284">
        <v>8</v>
      </c>
      <c r="O284" s="32">
        <f t="shared" si="40"/>
        <v>0</v>
      </c>
      <c r="P284">
        <v>9</v>
      </c>
      <c r="Q284">
        <v>8</v>
      </c>
      <c r="R284" s="32">
        <f t="shared" si="41"/>
        <v>1</v>
      </c>
      <c r="S284">
        <v>8</v>
      </c>
      <c r="T284">
        <v>7</v>
      </c>
      <c r="U284" s="32">
        <f t="shared" si="42"/>
        <v>1</v>
      </c>
      <c r="V284">
        <v>8</v>
      </c>
      <c r="W284">
        <v>8</v>
      </c>
      <c r="X284" s="32">
        <f t="shared" si="43"/>
        <v>0</v>
      </c>
      <c r="Y284">
        <v>9</v>
      </c>
      <c r="Z284">
        <v>8</v>
      </c>
      <c r="AA284" s="32">
        <f t="shared" si="44"/>
        <v>1</v>
      </c>
    </row>
    <row r="285" spans="1:27" x14ac:dyDescent="0.45">
      <c r="A285">
        <v>8</v>
      </c>
      <c r="B285">
        <v>8</v>
      </c>
      <c r="C285" s="32">
        <f t="shared" si="36"/>
        <v>0</v>
      </c>
      <c r="D285">
        <v>8</v>
      </c>
      <c r="E285">
        <v>8</v>
      </c>
      <c r="F285" s="32">
        <f t="shared" si="37"/>
        <v>0</v>
      </c>
      <c r="G285">
        <v>9</v>
      </c>
      <c r="H285">
        <v>8</v>
      </c>
      <c r="I285" s="32">
        <f t="shared" si="38"/>
        <v>1</v>
      </c>
      <c r="J285">
        <v>9</v>
      </c>
      <c r="K285">
        <v>8</v>
      </c>
      <c r="L285" s="32">
        <f t="shared" si="39"/>
        <v>1</v>
      </c>
      <c r="M285">
        <v>8</v>
      </c>
      <c r="N285">
        <v>8</v>
      </c>
      <c r="O285" s="32">
        <f t="shared" si="40"/>
        <v>0</v>
      </c>
      <c r="P285">
        <v>9</v>
      </c>
      <c r="Q285">
        <v>8</v>
      </c>
      <c r="R285" s="32">
        <f t="shared" si="41"/>
        <v>1</v>
      </c>
      <c r="S285">
        <v>8</v>
      </c>
      <c r="T285">
        <v>7</v>
      </c>
      <c r="U285" s="32">
        <f t="shared" si="42"/>
        <v>1</v>
      </c>
      <c r="V285">
        <v>8</v>
      </c>
      <c r="W285">
        <v>8</v>
      </c>
      <c r="X285" s="32">
        <f t="shared" si="43"/>
        <v>0</v>
      </c>
      <c r="Y285">
        <v>9</v>
      </c>
      <c r="Z285">
        <v>8</v>
      </c>
      <c r="AA285" s="32">
        <f t="shared" si="44"/>
        <v>1</v>
      </c>
    </row>
    <row r="286" spans="1:27" x14ac:dyDescent="0.45">
      <c r="A286">
        <v>8</v>
      </c>
      <c r="B286">
        <v>8</v>
      </c>
      <c r="C286" s="32">
        <f t="shared" si="36"/>
        <v>0</v>
      </c>
      <c r="D286">
        <v>8</v>
      </c>
      <c r="E286">
        <v>8</v>
      </c>
      <c r="F286" s="32">
        <f t="shared" si="37"/>
        <v>0</v>
      </c>
      <c r="G286">
        <v>9</v>
      </c>
      <c r="H286">
        <v>8</v>
      </c>
      <c r="I286" s="32">
        <f t="shared" si="38"/>
        <v>1</v>
      </c>
      <c r="J286">
        <v>9</v>
      </c>
      <c r="K286">
        <v>8</v>
      </c>
      <c r="L286" s="32">
        <f t="shared" si="39"/>
        <v>1</v>
      </c>
      <c r="M286">
        <v>8</v>
      </c>
      <c r="N286">
        <v>8</v>
      </c>
      <c r="O286" s="32">
        <f t="shared" si="40"/>
        <v>0</v>
      </c>
      <c r="P286">
        <v>9</v>
      </c>
      <c r="Q286">
        <v>8</v>
      </c>
      <c r="R286" s="32">
        <f t="shared" si="41"/>
        <v>1</v>
      </c>
      <c r="S286">
        <v>8</v>
      </c>
      <c r="T286">
        <v>7</v>
      </c>
      <c r="U286" s="32">
        <f t="shared" si="42"/>
        <v>1</v>
      </c>
      <c r="V286">
        <v>8</v>
      </c>
      <c r="W286">
        <v>8</v>
      </c>
      <c r="X286" s="32">
        <f t="shared" si="43"/>
        <v>0</v>
      </c>
      <c r="Y286">
        <v>9</v>
      </c>
      <c r="Z286">
        <v>8</v>
      </c>
      <c r="AA286" s="32">
        <f t="shared" si="44"/>
        <v>1</v>
      </c>
    </row>
    <row r="287" spans="1:27" x14ac:dyDescent="0.45">
      <c r="A287">
        <v>8</v>
      </c>
      <c r="B287">
        <v>8</v>
      </c>
      <c r="C287" s="32">
        <f t="shared" si="36"/>
        <v>0</v>
      </c>
      <c r="D287">
        <v>8</v>
      </c>
      <c r="E287">
        <v>8</v>
      </c>
      <c r="F287" s="32">
        <f t="shared" si="37"/>
        <v>0</v>
      </c>
      <c r="G287">
        <v>9</v>
      </c>
      <c r="H287">
        <v>8</v>
      </c>
      <c r="I287" s="32">
        <f t="shared" si="38"/>
        <v>1</v>
      </c>
      <c r="J287">
        <v>9</v>
      </c>
      <c r="K287">
        <v>8</v>
      </c>
      <c r="L287" s="32">
        <f t="shared" si="39"/>
        <v>1</v>
      </c>
      <c r="M287">
        <v>8</v>
      </c>
      <c r="N287">
        <v>8</v>
      </c>
      <c r="O287" s="32">
        <f t="shared" si="40"/>
        <v>0</v>
      </c>
      <c r="P287">
        <v>9</v>
      </c>
      <c r="Q287">
        <v>8</v>
      </c>
      <c r="R287" s="32">
        <f t="shared" si="41"/>
        <v>1</v>
      </c>
      <c r="S287">
        <v>8</v>
      </c>
      <c r="T287">
        <v>7</v>
      </c>
      <c r="U287" s="32">
        <f t="shared" si="42"/>
        <v>1</v>
      </c>
      <c r="V287">
        <v>8</v>
      </c>
      <c r="W287">
        <v>8</v>
      </c>
      <c r="X287" s="32">
        <f t="shared" si="43"/>
        <v>0</v>
      </c>
      <c r="Y287">
        <v>9</v>
      </c>
      <c r="Z287">
        <v>8</v>
      </c>
      <c r="AA287" s="32">
        <f t="shared" si="44"/>
        <v>1</v>
      </c>
    </row>
    <row r="288" spans="1:27" x14ac:dyDescent="0.45">
      <c r="A288">
        <v>8</v>
      </c>
      <c r="B288">
        <v>8</v>
      </c>
      <c r="C288" s="32">
        <f t="shared" si="36"/>
        <v>0</v>
      </c>
      <c r="D288">
        <v>8</v>
      </c>
      <c r="E288">
        <v>8</v>
      </c>
      <c r="F288" s="32">
        <f t="shared" si="37"/>
        <v>0</v>
      </c>
      <c r="G288">
        <v>9</v>
      </c>
      <c r="H288">
        <v>8</v>
      </c>
      <c r="I288" s="32">
        <f t="shared" si="38"/>
        <v>1</v>
      </c>
      <c r="J288">
        <v>9</v>
      </c>
      <c r="K288">
        <v>8</v>
      </c>
      <c r="L288" s="32">
        <f t="shared" si="39"/>
        <v>1</v>
      </c>
      <c r="M288">
        <v>8</v>
      </c>
      <c r="N288">
        <v>8</v>
      </c>
      <c r="O288" s="32">
        <f t="shared" si="40"/>
        <v>0</v>
      </c>
      <c r="P288">
        <v>9</v>
      </c>
      <c r="Q288">
        <v>8</v>
      </c>
      <c r="R288" s="32">
        <f t="shared" si="41"/>
        <v>1</v>
      </c>
      <c r="S288">
        <v>8</v>
      </c>
      <c r="T288">
        <v>7</v>
      </c>
      <c r="U288" s="32">
        <f t="shared" si="42"/>
        <v>1</v>
      </c>
      <c r="V288">
        <v>8</v>
      </c>
      <c r="W288">
        <v>8</v>
      </c>
      <c r="X288" s="32">
        <f t="shared" si="43"/>
        <v>0</v>
      </c>
      <c r="Y288">
        <v>9</v>
      </c>
      <c r="Z288">
        <v>8</v>
      </c>
      <c r="AA288" s="32">
        <f t="shared" si="44"/>
        <v>1</v>
      </c>
    </row>
    <row r="289" spans="1:27" x14ac:dyDescent="0.45">
      <c r="A289">
        <v>8</v>
      </c>
      <c r="B289">
        <v>8</v>
      </c>
      <c r="C289" s="32">
        <f t="shared" si="36"/>
        <v>0</v>
      </c>
      <c r="D289">
        <v>8</v>
      </c>
      <c r="E289">
        <v>8</v>
      </c>
      <c r="F289" s="32">
        <f t="shared" si="37"/>
        <v>0</v>
      </c>
      <c r="G289">
        <v>9</v>
      </c>
      <c r="H289">
        <v>8</v>
      </c>
      <c r="I289" s="32">
        <f t="shared" si="38"/>
        <v>1</v>
      </c>
      <c r="J289">
        <v>9</v>
      </c>
      <c r="K289">
        <v>8</v>
      </c>
      <c r="L289" s="32">
        <f t="shared" si="39"/>
        <v>1</v>
      </c>
      <c r="M289">
        <v>8</v>
      </c>
      <c r="N289">
        <v>8</v>
      </c>
      <c r="O289" s="32">
        <f t="shared" si="40"/>
        <v>0</v>
      </c>
      <c r="P289">
        <v>9</v>
      </c>
      <c r="Q289">
        <v>8</v>
      </c>
      <c r="R289" s="32">
        <f t="shared" si="41"/>
        <v>1</v>
      </c>
      <c r="S289">
        <v>8</v>
      </c>
      <c r="T289">
        <v>7</v>
      </c>
      <c r="U289" s="32">
        <f t="shared" si="42"/>
        <v>1</v>
      </c>
      <c r="V289">
        <v>8</v>
      </c>
      <c r="W289">
        <v>8</v>
      </c>
      <c r="X289" s="32">
        <f t="shared" si="43"/>
        <v>0</v>
      </c>
      <c r="Y289">
        <v>9</v>
      </c>
      <c r="Z289">
        <v>8</v>
      </c>
      <c r="AA289" s="32">
        <f t="shared" si="44"/>
        <v>1</v>
      </c>
    </row>
    <row r="290" spans="1:27" x14ac:dyDescent="0.45">
      <c r="A290">
        <v>8</v>
      </c>
      <c r="B290">
        <v>8</v>
      </c>
      <c r="C290" s="32">
        <f t="shared" si="36"/>
        <v>0</v>
      </c>
      <c r="D290">
        <v>8</v>
      </c>
      <c r="E290">
        <v>8</v>
      </c>
      <c r="F290" s="32">
        <f t="shared" si="37"/>
        <v>0</v>
      </c>
      <c r="G290">
        <v>9</v>
      </c>
      <c r="H290">
        <v>8</v>
      </c>
      <c r="I290" s="32">
        <f t="shared" si="38"/>
        <v>1</v>
      </c>
      <c r="J290">
        <v>9</v>
      </c>
      <c r="K290">
        <v>8</v>
      </c>
      <c r="L290" s="32">
        <f t="shared" si="39"/>
        <v>1</v>
      </c>
      <c r="M290">
        <v>8</v>
      </c>
      <c r="N290">
        <v>8</v>
      </c>
      <c r="O290" s="32">
        <f t="shared" si="40"/>
        <v>0</v>
      </c>
      <c r="P290">
        <v>9</v>
      </c>
      <c r="Q290">
        <v>8</v>
      </c>
      <c r="R290" s="32">
        <f t="shared" si="41"/>
        <v>1</v>
      </c>
      <c r="S290">
        <v>8</v>
      </c>
      <c r="T290">
        <v>7</v>
      </c>
      <c r="U290" s="32">
        <f t="shared" si="42"/>
        <v>1</v>
      </c>
      <c r="V290">
        <v>8</v>
      </c>
      <c r="W290">
        <v>8</v>
      </c>
      <c r="X290" s="32">
        <f t="shared" si="43"/>
        <v>0</v>
      </c>
      <c r="Y290">
        <v>9</v>
      </c>
      <c r="Z290">
        <v>8</v>
      </c>
      <c r="AA290" s="32">
        <f t="shared" si="44"/>
        <v>1</v>
      </c>
    </row>
    <row r="291" spans="1:27" x14ac:dyDescent="0.45">
      <c r="A291">
        <v>8</v>
      </c>
      <c r="B291">
        <v>8</v>
      </c>
      <c r="C291" s="32">
        <f t="shared" si="36"/>
        <v>0</v>
      </c>
      <c r="D291">
        <v>8</v>
      </c>
      <c r="E291">
        <v>8</v>
      </c>
      <c r="F291" s="32">
        <f t="shared" si="37"/>
        <v>0</v>
      </c>
      <c r="G291">
        <v>9</v>
      </c>
      <c r="H291">
        <v>8</v>
      </c>
      <c r="I291" s="32">
        <f t="shared" si="38"/>
        <v>1</v>
      </c>
      <c r="J291">
        <v>9</v>
      </c>
      <c r="K291">
        <v>8</v>
      </c>
      <c r="L291" s="32">
        <f t="shared" si="39"/>
        <v>1</v>
      </c>
      <c r="M291">
        <v>8</v>
      </c>
      <c r="N291">
        <v>8</v>
      </c>
      <c r="O291" s="32">
        <f t="shared" si="40"/>
        <v>0</v>
      </c>
      <c r="P291">
        <v>9</v>
      </c>
      <c r="Q291">
        <v>8</v>
      </c>
      <c r="R291" s="32">
        <f t="shared" si="41"/>
        <v>1</v>
      </c>
      <c r="S291">
        <v>8</v>
      </c>
      <c r="T291">
        <v>8</v>
      </c>
      <c r="U291" s="32">
        <f t="shared" si="42"/>
        <v>0</v>
      </c>
      <c r="V291">
        <v>8</v>
      </c>
      <c r="W291">
        <v>8</v>
      </c>
      <c r="X291" s="32">
        <f t="shared" si="43"/>
        <v>0</v>
      </c>
      <c r="Y291">
        <v>9</v>
      </c>
      <c r="Z291">
        <v>8</v>
      </c>
      <c r="AA291" s="32">
        <f t="shared" si="44"/>
        <v>1</v>
      </c>
    </row>
    <row r="292" spans="1:27" x14ac:dyDescent="0.45">
      <c r="A292">
        <v>8</v>
      </c>
      <c r="B292">
        <v>8</v>
      </c>
      <c r="C292" s="32">
        <f t="shared" si="36"/>
        <v>0</v>
      </c>
      <c r="D292">
        <v>8</v>
      </c>
      <c r="E292">
        <v>8</v>
      </c>
      <c r="F292" s="32">
        <f t="shared" si="37"/>
        <v>0</v>
      </c>
      <c r="G292">
        <v>9</v>
      </c>
      <c r="H292">
        <v>8</v>
      </c>
      <c r="I292" s="32">
        <f t="shared" si="38"/>
        <v>1</v>
      </c>
      <c r="J292">
        <v>9</v>
      </c>
      <c r="K292">
        <v>8</v>
      </c>
      <c r="L292" s="32">
        <f t="shared" si="39"/>
        <v>1</v>
      </c>
      <c r="M292">
        <v>8</v>
      </c>
      <c r="N292">
        <v>8</v>
      </c>
      <c r="O292" s="32">
        <f t="shared" si="40"/>
        <v>0</v>
      </c>
      <c r="P292">
        <v>9</v>
      </c>
      <c r="Q292">
        <v>8</v>
      </c>
      <c r="R292" s="32">
        <f t="shared" si="41"/>
        <v>1</v>
      </c>
      <c r="S292">
        <v>8</v>
      </c>
      <c r="T292">
        <v>8</v>
      </c>
      <c r="U292" s="32">
        <f t="shared" si="42"/>
        <v>0</v>
      </c>
      <c r="V292">
        <v>8</v>
      </c>
      <c r="W292">
        <v>8</v>
      </c>
      <c r="X292" s="32">
        <f t="shared" si="43"/>
        <v>0</v>
      </c>
      <c r="Y292">
        <v>9</v>
      </c>
      <c r="Z292">
        <v>8</v>
      </c>
      <c r="AA292" s="32">
        <f t="shared" si="44"/>
        <v>1</v>
      </c>
    </row>
    <row r="293" spans="1:27" x14ac:dyDescent="0.45">
      <c r="A293">
        <v>8</v>
      </c>
      <c r="B293">
        <v>8</v>
      </c>
      <c r="C293" s="32">
        <f t="shared" si="36"/>
        <v>0</v>
      </c>
      <c r="D293">
        <v>8</v>
      </c>
      <c r="E293">
        <v>8</v>
      </c>
      <c r="F293" s="32">
        <f t="shared" si="37"/>
        <v>0</v>
      </c>
      <c r="G293">
        <v>9</v>
      </c>
      <c r="H293">
        <v>8</v>
      </c>
      <c r="I293" s="32">
        <f t="shared" si="38"/>
        <v>1</v>
      </c>
      <c r="J293">
        <v>9</v>
      </c>
      <c r="K293">
        <v>8</v>
      </c>
      <c r="L293" s="32">
        <f t="shared" si="39"/>
        <v>1</v>
      </c>
      <c r="M293">
        <v>8</v>
      </c>
      <c r="N293">
        <v>8</v>
      </c>
      <c r="O293" s="32">
        <f t="shared" si="40"/>
        <v>0</v>
      </c>
      <c r="P293">
        <v>9</v>
      </c>
      <c r="Q293">
        <v>8</v>
      </c>
      <c r="R293" s="32">
        <f t="shared" si="41"/>
        <v>1</v>
      </c>
      <c r="S293">
        <v>8</v>
      </c>
      <c r="T293">
        <v>8</v>
      </c>
      <c r="U293" s="32">
        <f t="shared" si="42"/>
        <v>0</v>
      </c>
      <c r="V293">
        <v>8</v>
      </c>
      <c r="W293">
        <v>8</v>
      </c>
      <c r="X293" s="32">
        <f t="shared" si="43"/>
        <v>0</v>
      </c>
      <c r="Y293">
        <v>9</v>
      </c>
      <c r="Z293">
        <v>8</v>
      </c>
      <c r="AA293" s="32">
        <f t="shared" si="44"/>
        <v>1</v>
      </c>
    </row>
    <row r="294" spans="1:27" x14ac:dyDescent="0.45">
      <c r="A294">
        <v>8</v>
      </c>
      <c r="B294">
        <v>8</v>
      </c>
      <c r="C294" s="32">
        <f t="shared" si="36"/>
        <v>0</v>
      </c>
      <c r="D294">
        <v>8</v>
      </c>
      <c r="E294">
        <v>8</v>
      </c>
      <c r="F294" s="32">
        <f t="shared" si="37"/>
        <v>0</v>
      </c>
      <c r="G294">
        <v>9</v>
      </c>
      <c r="H294">
        <v>8</v>
      </c>
      <c r="I294" s="32">
        <f t="shared" si="38"/>
        <v>1</v>
      </c>
      <c r="J294">
        <v>9</v>
      </c>
      <c r="K294">
        <v>8</v>
      </c>
      <c r="L294" s="32">
        <f t="shared" si="39"/>
        <v>1</v>
      </c>
      <c r="M294">
        <v>8</v>
      </c>
      <c r="N294">
        <v>8</v>
      </c>
      <c r="O294" s="32">
        <f t="shared" si="40"/>
        <v>0</v>
      </c>
      <c r="P294">
        <v>9</v>
      </c>
      <c r="Q294">
        <v>8</v>
      </c>
      <c r="R294" s="32">
        <f t="shared" si="41"/>
        <v>1</v>
      </c>
      <c r="S294">
        <v>8</v>
      </c>
      <c r="T294">
        <v>8</v>
      </c>
      <c r="U294" s="32">
        <f t="shared" si="42"/>
        <v>0</v>
      </c>
      <c r="V294">
        <v>8</v>
      </c>
      <c r="W294">
        <v>8</v>
      </c>
      <c r="X294" s="32">
        <f t="shared" si="43"/>
        <v>0</v>
      </c>
      <c r="Y294">
        <v>9</v>
      </c>
      <c r="Z294">
        <v>8</v>
      </c>
      <c r="AA294" s="32">
        <f t="shared" si="44"/>
        <v>1</v>
      </c>
    </row>
    <row r="295" spans="1:27" x14ac:dyDescent="0.45">
      <c r="A295">
        <v>8</v>
      </c>
      <c r="B295">
        <v>8</v>
      </c>
      <c r="C295" s="32">
        <f t="shared" si="36"/>
        <v>0</v>
      </c>
      <c r="D295">
        <v>8</v>
      </c>
      <c r="E295">
        <v>8</v>
      </c>
      <c r="F295" s="32">
        <f t="shared" si="37"/>
        <v>0</v>
      </c>
      <c r="G295">
        <v>9</v>
      </c>
      <c r="H295">
        <v>8</v>
      </c>
      <c r="I295" s="32">
        <f t="shared" si="38"/>
        <v>1</v>
      </c>
      <c r="J295">
        <v>9</v>
      </c>
      <c r="K295">
        <v>8</v>
      </c>
      <c r="L295" s="32">
        <f t="shared" si="39"/>
        <v>1</v>
      </c>
      <c r="M295">
        <v>8</v>
      </c>
      <c r="N295">
        <v>8</v>
      </c>
      <c r="O295" s="32">
        <f t="shared" si="40"/>
        <v>0</v>
      </c>
      <c r="P295">
        <v>9</v>
      </c>
      <c r="Q295">
        <v>8</v>
      </c>
      <c r="R295" s="32">
        <f t="shared" si="41"/>
        <v>1</v>
      </c>
      <c r="S295">
        <v>8</v>
      </c>
      <c r="T295">
        <v>8</v>
      </c>
      <c r="U295" s="32">
        <f t="shared" si="42"/>
        <v>0</v>
      </c>
      <c r="V295">
        <v>8</v>
      </c>
      <c r="W295">
        <v>8</v>
      </c>
      <c r="X295" s="32">
        <f t="shared" si="43"/>
        <v>0</v>
      </c>
      <c r="Y295">
        <v>9</v>
      </c>
      <c r="Z295">
        <v>8</v>
      </c>
      <c r="AA295" s="32">
        <f t="shared" si="44"/>
        <v>1</v>
      </c>
    </row>
    <row r="296" spans="1:27" x14ac:dyDescent="0.45">
      <c r="A296">
        <v>8</v>
      </c>
      <c r="B296">
        <v>8</v>
      </c>
      <c r="C296" s="32">
        <f t="shared" si="36"/>
        <v>0</v>
      </c>
      <c r="D296">
        <v>8</v>
      </c>
      <c r="E296">
        <v>8</v>
      </c>
      <c r="F296" s="32">
        <f t="shared" si="37"/>
        <v>0</v>
      </c>
      <c r="G296">
        <v>9</v>
      </c>
      <c r="H296">
        <v>8</v>
      </c>
      <c r="I296" s="32">
        <f t="shared" si="38"/>
        <v>1</v>
      </c>
      <c r="J296">
        <v>9</v>
      </c>
      <c r="K296">
        <v>8</v>
      </c>
      <c r="L296" s="32">
        <f t="shared" si="39"/>
        <v>1</v>
      </c>
      <c r="M296">
        <v>8</v>
      </c>
      <c r="N296">
        <v>8</v>
      </c>
      <c r="O296" s="32">
        <f t="shared" si="40"/>
        <v>0</v>
      </c>
      <c r="P296">
        <v>9</v>
      </c>
      <c r="Q296">
        <v>8</v>
      </c>
      <c r="R296" s="32">
        <f t="shared" si="41"/>
        <v>1</v>
      </c>
      <c r="S296">
        <v>8</v>
      </c>
      <c r="T296">
        <v>8</v>
      </c>
      <c r="U296" s="32">
        <f t="shared" si="42"/>
        <v>0</v>
      </c>
      <c r="V296">
        <v>8</v>
      </c>
      <c r="W296">
        <v>8</v>
      </c>
      <c r="X296" s="32">
        <f t="shared" si="43"/>
        <v>0</v>
      </c>
      <c r="Y296">
        <v>9</v>
      </c>
      <c r="Z296">
        <v>8</v>
      </c>
      <c r="AA296" s="32">
        <f t="shared" si="44"/>
        <v>1</v>
      </c>
    </row>
    <row r="297" spans="1:27" x14ac:dyDescent="0.45">
      <c r="A297">
        <v>8</v>
      </c>
      <c r="B297">
        <v>8</v>
      </c>
      <c r="C297" s="32">
        <f t="shared" si="36"/>
        <v>0</v>
      </c>
      <c r="D297">
        <v>8</v>
      </c>
      <c r="E297">
        <v>8</v>
      </c>
      <c r="F297" s="32">
        <f t="shared" si="37"/>
        <v>0</v>
      </c>
      <c r="G297">
        <v>9</v>
      </c>
      <c r="H297">
        <v>8</v>
      </c>
      <c r="I297" s="32">
        <f t="shared" si="38"/>
        <v>1</v>
      </c>
      <c r="J297">
        <v>9</v>
      </c>
      <c r="K297">
        <v>8</v>
      </c>
      <c r="L297" s="32">
        <f t="shared" si="39"/>
        <v>1</v>
      </c>
      <c r="M297">
        <v>8</v>
      </c>
      <c r="N297">
        <v>8</v>
      </c>
      <c r="O297" s="32">
        <f t="shared" si="40"/>
        <v>0</v>
      </c>
      <c r="P297">
        <v>9</v>
      </c>
      <c r="Q297">
        <v>8</v>
      </c>
      <c r="R297" s="32">
        <f t="shared" si="41"/>
        <v>1</v>
      </c>
      <c r="S297">
        <v>8</v>
      </c>
      <c r="T297">
        <v>8</v>
      </c>
      <c r="U297" s="32">
        <f t="shared" si="42"/>
        <v>0</v>
      </c>
      <c r="V297">
        <v>8</v>
      </c>
      <c r="W297">
        <v>8</v>
      </c>
      <c r="X297" s="32">
        <f t="shared" si="43"/>
        <v>0</v>
      </c>
      <c r="Y297">
        <v>9</v>
      </c>
      <c r="Z297">
        <v>8</v>
      </c>
      <c r="AA297" s="32">
        <f t="shared" si="44"/>
        <v>1</v>
      </c>
    </row>
    <row r="298" spans="1:27" x14ac:dyDescent="0.45">
      <c r="A298">
        <v>8</v>
      </c>
      <c r="B298">
        <v>8</v>
      </c>
      <c r="C298" s="32">
        <f t="shared" si="36"/>
        <v>0</v>
      </c>
      <c r="D298">
        <v>8</v>
      </c>
      <c r="E298">
        <v>8</v>
      </c>
      <c r="F298" s="32">
        <f t="shared" si="37"/>
        <v>0</v>
      </c>
      <c r="G298">
        <v>9</v>
      </c>
      <c r="H298">
        <v>8</v>
      </c>
      <c r="I298" s="32">
        <f t="shared" si="38"/>
        <v>1</v>
      </c>
      <c r="J298">
        <v>9</v>
      </c>
      <c r="K298">
        <v>8</v>
      </c>
      <c r="L298" s="32">
        <f t="shared" si="39"/>
        <v>1</v>
      </c>
      <c r="M298">
        <v>8</v>
      </c>
      <c r="N298">
        <v>8</v>
      </c>
      <c r="O298" s="32">
        <f t="shared" si="40"/>
        <v>0</v>
      </c>
      <c r="P298">
        <v>9</v>
      </c>
      <c r="Q298">
        <v>8</v>
      </c>
      <c r="R298" s="32">
        <f t="shared" si="41"/>
        <v>1</v>
      </c>
      <c r="S298">
        <v>8</v>
      </c>
      <c r="T298">
        <v>8</v>
      </c>
      <c r="U298" s="32">
        <f t="shared" si="42"/>
        <v>0</v>
      </c>
      <c r="V298">
        <v>8</v>
      </c>
      <c r="W298">
        <v>8</v>
      </c>
      <c r="X298" s="32">
        <f t="shared" si="43"/>
        <v>0</v>
      </c>
      <c r="Y298">
        <v>9</v>
      </c>
      <c r="Z298">
        <v>8</v>
      </c>
      <c r="AA298" s="32">
        <f t="shared" si="44"/>
        <v>1</v>
      </c>
    </row>
    <row r="299" spans="1:27" x14ac:dyDescent="0.45">
      <c r="A299">
        <v>8</v>
      </c>
      <c r="B299">
        <v>8</v>
      </c>
      <c r="C299" s="32">
        <f t="shared" si="36"/>
        <v>0</v>
      </c>
      <c r="D299">
        <v>8</v>
      </c>
      <c r="E299">
        <v>8</v>
      </c>
      <c r="F299" s="32">
        <f t="shared" si="37"/>
        <v>0</v>
      </c>
      <c r="G299">
        <v>9</v>
      </c>
      <c r="H299">
        <v>8</v>
      </c>
      <c r="I299" s="32">
        <f t="shared" si="38"/>
        <v>1</v>
      </c>
      <c r="J299">
        <v>9</v>
      </c>
      <c r="K299">
        <v>8</v>
      </c>
      <c r="L299" s="32">
        <f t="shared" si="39"/>
        <v>1</v>
      </c>
      <c r="M299">
        <v>8</v>
      </c>
      <c r="N299">
        <v>8</v>
      </c>
      <c r="O299" s="32">
        <f t="shared" si="40"/>
        <v>0</v>
      </c>
      <c r="P299">
        <v>9</v>
      </c>
      <c r="Q299">
        <v>8</v>
      </c>
      <c r="R299" s="32">
        <f t="shared" si="41"/>
        <v>1</v>
      </c>
      <c r="S299">
        <v>8</v>
      </c>
      <c r="T299">
        <v>8</v>
      </c>
      <c r="U299" s="32">
        <f t="shared" si="42"/>
        <v>0</v>
      </c>
      <c r="V299">
        <v>8</v>
      </c>
      <c r="W299">
        <v>8</v>
      </c>
      <c r="X299" s="32">
        <f t="shared" si="43"/>
        <v>0</v>
      </c>
      <c r="Y299">
        <v>9</v>
      </c>
      <c r="Z299">
        <v>8</v>
      </c>
      <c r="AA299" s="32">
        <f t="shared" si="44"/>
        <v>1</v>
      </c>
    </row>
    <row r="300" spans="1:27" x14ac:dyDescent="0.45">
      <c r="A300">
        <v>8</v>
      </c>
      <c r="B300">
        <v>8</v>
      </c>
      <c r="C300" s="32">
        <f t="shared" si="36"/>
        <v>0</v>
      </c>
      <c r="D300">
        <v>8</v>
      </c>
      <c r="E300">
        <v>8</v>
      </c>
      <c r="F300" s="32">
        <f t="shared" si="37"/>
        <v>0</v>
      </c>
      <c r="G300">
        <v>9</v>
      </c>
      <c r="H300">
        <v>8</v>
      </c>
      <c r="I300" s="32">
        <f t="shared" si="38"/>
        <v>1</v>
      </c>
      <c r="J300">
        <v>9</v>
      </c>
      <c r="K300">
        <v>8</v>
      </c>
      <c r="L300" s="32">
        <f t="shared" si="39"/>
        <v>1</v>
      </c>
      <c r="M300">
        <v>8</v>
      </c>
      <c r="N300">
        <v>8</v>
      </c>
      <c r="O300" s="32">
        <f t="shared" si="40"/>
        <v>0</v>
      </c>
      <c r="P300">
        <v>9</v>
      </c>
      <c r="Q300">
        <v>8</v>
      </c>
      <c r="R300" s="32">
        <f t="shared" si="41"/>
        <v>1</v>
      </c>
      <c r="S300">
        <v>8</v>
      </c>
      <c r="T300">
        <v>8</v>
      </c>
      <c r="U300" s="32">
        <f t="shared" si="42"/>
        <v>0</v>
      </c>
      <c r="V300">
        <v>8</v>
      </c>
      <c r="W300">
        <v>8</v>
      </c>
      <c r="X300" s="32">
        <f t="shared" si="43"/>
        <v>0</v>
      </c>
      <c r="Y300">
        <v>9</v>
      </c>
      <c r="Z300">
        <v>8</v>
      </c>
      <c r="AA300" s="32">
        <f t="shared" si="44"/>
        <v>1</v>
      </c>
    </row>
    <row r="301" spans="1:27" x14ac:dyDescent="0.45">
      <c r="A301">
        <v>8</v>
      </c>
      <c r="B301">
        <v>8</v>
      </c>
      <c r="C301" s="32">
        <f t="shared" si="36"/>
        <v>0</v>
      </c>
      <c r="D301">
        <v>8</v>
      </c>
      <c r="E301">
        <v>8</v>
      </c>
      <c r="F301" s="32">
        <f t="shared" si="37"/>
        <v>0</v>
      </c>
      <c r="G301">
        <v>9</v>
      </c>
      <c r="H301">
        <v>8</v>
      </c>
      <c r="I301" s="32">
        <f t="shared" si="38"/>
        <v>1</v>
      </c>
      <c r="J301">
        <v>9</v>
      </c>
      <c r="K301">
        <v>8</v>
      </c>
      <c r="L301" s="32">
        <f t="shared" si="39"/>
        <v>1</v>
      </c>
      <c r="M301">
        <v>8</v>
      </c>
      <c r="N301">
        <v>8</v>
      </c>
      <c r="O301" s="32">
        <f t="shared" si="40"/>
        <v>0</v>
      </c>
      <c r="P301">
        <v>9</v>
      </c>
      <c r="Q301">
        <v>8</v>
      </c>
      <c r="R301" s="32">
        <f t="shared" si="41"/>
        <v>1</v>
      </c>
      <c r="S301">
        <v>8</v>
      </c>
      <c r="T301">
        <v>8</v>
      </c>
      <c r="U301" s="32">
        <f t="shared" si="42"/>
        <v>0</v>
      </c>
      <c r="V301">
        <v>8</v>
      </c>
      <c r="W301">
        <v>8</v>
      </c>
      <c r="X301" s="32">
        <f t="shared" si="43"/>
        <v>0</v>
      </c>
      <c r="Y301">
        <v>9</v>
      </c>
      <c r="Z301">
        <v>8</v>
      </c>
      <c r="AA301" s="32">
        <f t="shared" si="44"/>
        <v>1</v>
      </c>
    </row>
    <row r="302" spans="1:27" x14ac:dyDescent="0.45">
      <c r="A302">
        <v>8</v>
      </c>
      <c r="B302">
        <v>8</v>
      </c>
      <c r="C302" s="32">
        <f t="shared" si="36"/>
        <v>0</v>
      </c>
      <c r="D302">
        <v>8</v>
      </c>
      <c r="E302">
        <v>8</v>
      </c>
      <c r="F302" s="32">
        <f t="shared" si="37"/>
        <v>0</v>
      </c>
      <c r="G302">
        <v>9</v>
      </c>
      <c r="H302">
        <v>8</v>
      </c>
      <c r="I302" s="32">
        <f t="shared" si="38"/>
        <v>1</v>
      </c>
      <c r="J302">
        <v>9</v>
      </c>
      <c r="K302">
        <v>8</v>
      </c>
      <c r="L302" s="32">
        <f t="shared" si="39"/>
        <v>1</v>
      </c>
      <c r="M302">
        <v>8</v>
      </c>
      <c r="N302">
        <v>8</v>
      </c>
      <c r="O302" s="32">
        <f t="shared" si="40"/>
        <v>0</v>
      </c>
      <c r="P302">
        <v>9</v>
      </c>
      <c r="Q302">
        <v>8</v>
      </c>
      <c r="R302" s="32">
        <f t="shared" si="41"/>
        <v>1</v>
      </c>
      <c r="S302">
        <v>8</v>
      </c>
      <c r="T302">
        <v>8</v>
      </c>
      <c r="U302" s="32">
        <f t="shared" si="42"/>
        <v>0</v>
      </c>
      <c r="V302">
        <v>8</v>
      </c>
      <c r="W302">
        <v>8</v>
      </c>
      <c r="X302" s="32">
        <f t="shared" si="43"/>
        <v>0</v>
      </c>
      <c r="Y302">
        <v>9</v>
      </c>
      <c r="Z302">
        <v>8</v>
      </c>
      <c r="AA302" s="32">
        <f t="shared" si="44"/>
        <v>1</v>
      </c>
    </row>
    <row r="303" spans="1:27" x14ac:dyDescent="0.45">
      <c r="A303">
        <v>8</v>
      </c>
      <c r="B303">
        <v>8</v>
      </c>
      <c r="C303" s="32">
        <f t="shared" si="36"/>
        <v>0</v>
      </c>
      <c r="D303">
        <v>8</v>
      </c>
      <c r="E303">
        <v>8</v>
      </c>
      <c r="F303" s="32">
        <f t="shared" si="37"/>
        <v>0</v>
      </c>
      <c r="G303">
        <v>9</v>
      </c>
      <c r="H303">
        <v>8</v>
      </c>
      <c r="I303" s="32">
        <f t="shared" si="38"/>
        <v>1</v>
      </c>
      <c r="J303">
        <v>9</v>
      </c>
      <c r="K303">
        <v>9</v>
      </c>
      <c r="L303" s="32">
        <f t="shared" si="39"/>
        <v>0</v>
      </c>
      <c r="M303">
        <v>8</v>
      </c>
      <c r="N303">
        <v>8</v>
      </c>
      <c r="O303" s="32">
        <f t="shared" si="40"/>
        <v>0</v>
      </c>
      <c r="P303">
        <v>9</v>
      </c>
      <c r="Q303">
        <v>8</v>
      </c>
      <c r="R303" s="32">
        <f t="shared" si="41"/>
        <v>1</v>
      </c>
      <c r="S303">
        <v>8</v>
      </c>
      <c r="T303">
        <v>8</v>
      </c>
      <c r="U303" s="32">
        <f t="shared" si="42"/>
        <v>0</v>
      </c>
      <c r="V303">
        <v>8</v>
      </c>
      <c r="W303">
        <v>8</v>
      </c>
      <c r="X303" s="32">
        <f t="shared" si="43"/>
        <v>0</v>
      </c>
      <c r="Y303">
        <v>9</v>
      </c>
      <c r="Z303">
        <v>8</v>
      </c>
      <c r="AA303" s="32">
        <f t="shared" si="44"/>
        <v>1</v>
      </c>
    </row>
    <row r="304" spans="1:27" x14ac:dyDescent="0.45">
      <c r="A304">
        <v>8</v>
      </c>
      <c r="B304">
        <v>8</v>
      </c>
      <c r="C304" s="32">
        <f t="shared" si="36"/>
        <v>0</v>
      </c>
      <c r="D304">
        <v>8</v>
      </c>
      <c r="E304">
        <v>9</v>
      </c>
      <c r="F304" s="32">
        <f t="shared" si="37"/>
        <v>1</v>
      </c>
      <c r="G304">
        <v>9</v>
      </c>
      <c r="H304">
        <v>8</v>
      </c>
      <c r="I304" s="32">
        <f t="shared" si="38"/>
        <v>1</v>
      </c>
      <c r="J304">
        <v>9</v>
      </c>
      <c r="K304">
        <v>9</v>
      </c>
      <c r="L304" s="32">
        <f t="shared" si="39"/>
        <v>0</v>
      </c>
      <c r="M304">
        <v>8</v>
      </c>
      <c r="N304">
        <v>8</v>
      </c>
      <c r="O304" s="32">
        <f t="shared" si="40"/>
        <v>0</v>
      </c>
      <c r="P304">
        <v>9</v>
      </c>
      <c r="Q304">
        <v>8</v>
      </c>
      <c r="R304" s="32">
        <f t="shared" si="41"/>
        <v>1</v>
      </c>
      <c r="S304">
        <v>8</v>
      </c>
      <c r="T304">
        <v>8</v>
      </c>
      <c r="U304" s="32">
        <f t="shared" si="42"/>
        <v>0</v>
      </c>
      <c r="V304">
        <v>8</v>
      </c>
      <c r="W304">
        <v>8</v>
      </c>
      <c r="X304" s="32">
        <f t="shared" si="43"/>
        <v>0</v>
      </c>
      <c r="Y304">
        <v>9</v>
      </c>
      <c r="Z304">
        <v>8</v>
      </c>
      <c r="AA304" s="32">
        <f t="shared" si="44"/>
        <v>1</v>
      </c>
    </row>
    <row r="305" spans="1:27" x14ac:dyDescent="0.45">
      <c r="A305">
        <v>8</v>
      </c>
      <c r="B305">
        <v>8</v>
      </c>
      <c r="C305" s="32">
        <f t="shared" si="36"/>
        <v>0</v>
      </c>
      <c r="D305">
        <v>8</v>
      </c>
      <c r="E305">
        <v>9</v>
      </c>
      <c r="F305" s="32">
        <f t="shared" si="37"/>
        <v>1</v>
      </c>
      <c r="G305">
        <v>9</v>
      </c>
      <c r="H305">
        <v>8</v>
      </c>
      <c r="I305" s="32">
        <f t="shared" si="38"/>
        <v>1</v>
      </c>
      <c r="J305">
        <v>9</v>
      </c>
      <c r="K305">
        <v>9</v>
      </c>
      <c r="L305" s="32">
        <f t="shared" si="39"/>
        <v>0</v>
      </c>
      <c r="M305">
        <v>8</v>
      </c>
      <c r="N305">
        <v>8</v>
      </c>
      <c r="O305" s="32">
        <f t="shared" si="40"/>
        <v>0</v>
      </c>
      <c r="P305">
        <v>9</v>
      </c>
      <c r="Q305">
        <v>8</v>
      </c>
      <c r="R305" s="32">
        <f t="shared" si="41"/>
        <v>1</v>
      </c>
      <c r="S305">
        <v>8</v>
      </c>
      <c r="T305">
        <v>8</v>
      </c>
      <c r="U305" s="32">
        <f t="shared" si="42"/>
        <v>0</v>
      </c>
      <c r="V305">
        <v>8</v>
      </c>
      <c r="W305">
        <v>8</v>
      </c>
      <c r="X305" s="32">
        <f t="shared" si="43"/>
        <v>0</v>
      </c>
      <c r="Y305">
        <v>9</v>
      </c>
      <c r="Z305">
        <v>8</v>
      </c>
      <c r="AA305" s="32">
        <f t="shared" si="44"/>
        <v>1</v>
      </c>
    </row>
    <row r="306" spans="1:27" x14ac:dyDescent="0.45">
      <c r="A306">
        <v>8</v>
      </c>
      <c r="B306">
        <v>8</v>
      </c>
      <c r="C306" s="32">
        <f t="shared" si="36"/>
        <v>0</v>
      </c>
      <c r="D306">
        <v>8</v>
      </c>
      <c r="E306">
        <v>9</v>
      </c>
      <c r="F306" s="32">
        <f t="shared" si="37"/>
        <v>1</v>
      </c>
      <c r="G306">
        <v>9</v>
      </c>
      <c r="H306">
        <v>8</v>
      </c>
      <c r="I306" s="32">
        <f t="shared" si="38"/>
        <v>1</v>
      </c>
      <c r="J306">
        <v>9</v>
      </c>
      <c r="K306">
        <v>9</v>
      </c>
      <c r="L306" s="32">
        <f t="shared" si="39"/>
        <v>0</v>
      </c>
      <c r="M306">
        <v>8</v>
      </c>
      <c r="N306">
        <v>8</v>
      </c>
      <c r="O306" s="32">
        <f t="shared" si="40"/>
        <v>0</v>
      </c>
      <c r="P306">
        <v>9</v>
      </c>
      <c r="Q306">
        <v>8</v>
      </c>
      <c r="R306" s="32">
        <f t="shared" si="41"/>
        <v>1</v>
      </c>
      <c r="S306">
        <v>8</v>
      </c>
      <c r="T306">
        <v>8</v>
      </c>
      <c r="U306" s="32">
        <f t="shared" si="42"/>
        <v>0</v>
      </c>
      <c r="V306">
        <v>8</v>
      </c>
      <c r="W306">
        <v>8</v>
      </c>
      <c r="X306" s="32">
        <f t="shared" si="43"/>
        <v>0</v>
      </c>
      <c r="Y306">
        <v>9</v>
      </c>
      <c r="Z306">
        <v>8</v>
      </c>
      <c r="AA306" s="32">
        <f t="shared" si="44"/>
        <v>1</v>
      </c>
    </row>
    <row r="307" spans="1:27" x14ac:dyDescent="0.45">
      <c r="A307">
        <v>8</v>
      </c>
      <c r="B307">
        <v>8</v>
      </c>
      <c r="C307" s="32">
        <f t="shared" si="36"/>
        <v>0</v>
      </c>
      <c r="D307">
        <v>8</v>
      </c>
      <c r="E307">
        <v>9</v>
      </c>
      <c r="F307" s="32">
        <f t="shared" si="37"/>
        <v>1</v>
      </c>
      <c r="G307">
        <v>9</v>
      </c>
      <c r="H307">
        <v>8</v>
      </c>
      <c r="I307" s="32">
        <f t="shared" si="38"/>
        <v>1</v>
      </c>
      <c r="J307">
        <v>9</v>
      </c>
      <c r="K307">
        <v>9</v>
      </c>
      <c r="L307" s="32">
        <f t="shared" si="39"/>
        <v>0</v>
      </c>
      <c r="M307">
        <v>8</v>
      </c>
      <c r="N307">
        <v>8</v>
      </c>
      <c r="O307" s="32">
        <f t="shared" si="40"/>
        <v>0</v>
      </c>
      <c r="P307">
        <v>9</v>
      </c>
      <c r="Q307">
        <v>8</v>
      </c>
      <c r="R307" s="32">
        <f t="shared" si="41"/>
        <v>1</v>
      </c>
      <c r="S307">
        <v>8</v>
      </c>
      <c r="T307">
        <v>8</v>
      </c>
      <c r="U307" s="32">
        <f t="shared" si="42"/>
        <v>0</v>
      </c>
      <c r="V307">
        <v>8</v>
      </c>
      <c r="W307">
        <v>8</v>
      </c>
      <c r="X307" s="32">
        <f t="shared" si="43"/>
        <v>0</v>
      </c>
      <c r="Y307">
        <v>9</v>
      </c>
      <c r="Z307">
        <v>8</v>
      </c>
      <c r="AA307" s="32">
        <f t="shared" si="44"/>
        <v>1</v>
      </c>
    </row>
    <row r="308" spans="1:27" x14ac:dyDescent="0.45">
      <c r="A308">
        <v>8</v>
      </c>
      <c r="B308">
        <v>8</v>
      </c>
      <c r="C308" s="32">
        <f t="shared" si="36"/>
        <v>0</v>
      </c>
      <c r="D308">
        <v>8</v>
      </c>
      <c r="E308">
        <v>9</v>
      </c>
      <c r="F308" s="32">
        <f t="shared" si="37"/>
        <v>1</v>
      </c>
      <c r="G308">
        <v>9</v>
      </c>
      <c r="H308">
        <v>8</v>
      </c>
      <c r="I308" s="32">
        <f t="shared" si="38"/>
        <v>1</v>
      </c>
      <c r="J308">
        <v>9</v>
      </c>
      <c r="K308">
        <v>9</v>
      </c>
      <c r="L308" s="32">
        <f t="shared" si="39"/>
        <v>0</v>
      </c>
      <c r="M308">
        <v>8</v>
      </c>
      <c r="N308">
        <v>8</v>
      </c>
      <c r="O308" s="32">
        <f t="shared" si="40"/>
        <v>0</v>
      </c>
      <c r="P308">
        <v>9</v>
      </c>
      <c r="Q308">
        <v>8</v>
      </c>
      <c r="R308" s="32">
        <f t="shared" si="41"/>
        <v>1</v>
      </c>
      <c r="S308">
        <v>8</v>
      </c>
      <c r="T308">
        <v>8</v>
      </c>
      <c r="U308" s="32">
        <f t="shared" si="42"/>
        <v>0</v>
      </c>
      <c r="V308">
        <v>8</v>
      </c>
      <c r="W308">
        <v>8</v>
      </c>
      <c r="X308" s="32">
        <f t="shared" si="43"/>
        <v>0</v>
      </c>
      <c r="Y308">
        <v>9</v>
      </c>
      <c r="Z308">
        <v>8</v>
      </c>
      <c r="AA308" s="32">
        <f t="shared" si="44"/>
        <v>1</v>
      </c>
    </row>
    <row r="309" spans="1:27" x14ac:dyDescent="0.45">
      <c r="A309">
        <v>8</v>
      </c>
      <c r="B309">
        <v>8</v>
      </c>
      <c r="C309" s="32">
        <f t="shared" si="36"/>
        <v>0</v>
      </c>
      <c r="D309">
        <v>8</v>
      </c>
      <c r="E309">
        <v>9</v>
      </c>
      <c r="F309" s="32">
        <f t="shared" si="37"/>
        <v>1</v>
      </c>
      <c r="G309">
        <v>9</v>
      </c>
      <c r="H309">
        <v>8</v>
      </c>
      <c r="I309" s="32">
        <f t="shared" si="38"/>
        <v>1</v>
      </c>
      <c r="J309">
        <v>9</v>
      </c>
      <c r="K309">
        <v>9</v>
      </c>
      <c r="L309" s="32">
        <f t="shared" si="39"/>
        <v>0</v>
      </c>
      <c r="M309">
        <v>8</v>
      </c>
      <c r="N309">
        <v>8</v>
      </c>
      <c r="O309" s="32">
        <f t="shared" si="40"/>
        <v>0</v>
      </c>
      <c r="P309">
        <v>9</v>
      </c>
      <c r="Q309">
        <v>8</v>
      </c>
      <c r="R309" s="32">
        <f t="shared" si="41"/>
        <v>1</v>
      </c>
      <c r="S309">
        <v>8</v>
      </c>
      <c r="T309">
        <v>8</v>
      </c>
      <c r="U309" s="32">
        <f t="shared" si="42"/>
        <v>0</v>
      </c>
      <c r="V309">
        <v>8</v>
      </c>
      <c r="W309">
        <v>8</v>
      </c>
      <c r="X309" s="32">
        <f t="shared" si="43"/>
        <v>0</v>
      </c>
      <c r="Y309">
        <v>9</v>
      </c>
      <c r="Z309">
        <v>8</v>
      </c>
      <c r="AA309" s="32">
        <f t="shared" si="44"/>
        <v>1</v>
      </c>
    </row>
    <row r="310" spans="1:27" x14ac:dyDescent="0.45">
      <c r="A310">
        <v>8</v>
      </c>
      <c r="B310">
        <v>8</v>
      </c>
      <c r="C310" s="32">
        <f t="shared" si="36"/>
        <v>0</v>
      </c>
      <c r="D310">
        <v>8</v>
      </c>
      <c r="E310">
        <v>9</v>
      </c>
      <c r="F310" s="32">
        <f t="shared" si="37"/>
        <v>1</v>
      </c>
      <c r="G310">
        <v>9</v>
      </c>
      <c r="H310">
        <v>8</v>
      </c>
      <c r="I310" s="32">
        <f t="shared" si="38"/>
        <v>1</v>
      </c>
      <c r="J310">
        <v>9</v>
      </c>
      <c r="K310">
        <v>9</v>
      </c>
      <c r="L310" s="32">
        <f t="shared" si="39"/>
        <v>0</v>
      </c>
      <c r="M310">
        <v>8</v>
      </c>
      <c r="N310">
        <v>8</v>
      </c>
      <c r="O310" s="32">
        <f t="shared" si="40"/>
        <v>0</v>
      </c>
      <c r="P310">
        <v>9</v>
      </c>
      <c r="Q310">
        <v>8</v>
      </c>
      <c r="R310" s="32">
        <f t="shared" si="41"/>
        <v>1</v>
      </c>
      <c r="S310">
        <v>8</v>
      </c>
      <c r="T310">
        <v>8</v>
      </c>
      <c r="U310" s="32">
        <f t="shared" si="42"/>
        <v>0</v>
      </c>
      <c r="V310">
        <v>8</v>
      </c>
      <c r="W310">
        <v>8</v>
      </c>
      <c r="X310" s="32">
        <f t="shared" si="43"/>
        <v>0</v>
      </c>
      <c r="Y310">
        <v>9</v>
      </c>
      <c r="Z310">
        <v>8</v>
      </c>
      <c r="AA310" s="32">
        <f t="shared" si="44"/>
        <v>1</v>
      </c>
    </row>
    <row r="311" spans="1:27" x14ac:dyDescent="0.45">
      <c r="A311">
        <v>8</v>
      </c>
      <c r="B311">
        <v>8</v>
      </c>
      <c r="C311" s="32">
        <f t="shared" si="36"/>
        <v>0</v>
      </c>
      <c r="D311">
        <v>8</v>
      </c>
      <c r="E311">
        <v>9</v>
      </c>
      <c r="F311" s="32">
        <f t="shared" si="37"/>
        <v>1</v>
      </c>
      <c r="G311">
        <v>9</v>
      </c>
      <c r="H311">
        <v>8</v>
      </c>
      <c r="I311" s="32">
        <f t="shared" si="38"/>
        <v>1</v>
      </c>
      <c r="J311">
        <v>9</v>
      </c>
      <c r="K311">
        <v>9</v>
      </c>
      <c r="L311" s="32">
        <f t="shared" si="39"/>
        <v>0</v>
      </c>
      <c r="M311">
        <v>8</v>
      </c>
      <c r="N311">
        <v>8</v>
      </c>
      <c r="O311" s="32">
        <f t="shared" si="40"/>
        <v>0</v>
      </c>
      <c r="P311">
        <v>9</v>
      </c>
      <c r="Q311">
        <v>8</v>
      </c>
      <c r="R311" s="32">
        <f t="shared" si="41"/>
        <v>1</v>
      </c>
      <c r="S311">
        <v>8</v>
      </c>
      <c r="T311">
        <v>8</v>
      </c>
      <c r="U311" s="32">
        <f t="shared" si="42"/>
        <v>0</v>
      </c>
      <c r="V311">
        <v>8</v>
      </c>
      <c r="W311">
        <v>8</v>
      </c>
      <c r="X311" s="32">
        <f t="shared" si="43"/>
        <v>0</v>
      </c>
      <c r="Y311">
        <v>9</v>
      </c>
      <c r="Z311">
        <v>8</v>
      </c>
      <c r="AA311" s="32">
        <f t="shared" si="44"/>
        <v>1</v>
      </c>
    </row>
    <row r="312" spans="1:27" x14ac:dyDescent="0.45">
      <c r="A312">
        <v>8</v>
      </c>
      <c r="B312">
        <v>8</v>
      </c>
      <c r="C312" s="32">
        <f t="shared" si="36"/>
        <v>0</v>
      </c>
      <c r="D312">
        <v>8</v>
      </c>
      <c r="E312">
        <v>9</v>
      </c>
      <c r="F312" s="32">
        <f t="shared" si="37"/>
        <v>1</v>
      </c>
      <c r="G312">
        <v>9</v>
      </c>
      <c r="H312">
        <v>8</v>
      </c>
      <c r="I312" s="32">
        <f t="shared" si="38"/>
        <v>1</v>
      </c>
      <c r="J312">
        <v>9</v>
      </c>
      <c r="K312">
        <v>9</v>
      </c>
      <c r="L312" s="32">
        <f t="shared" si="39"/>
        <v>0</v>
      </c>
      <c r="M312">
        <v>8</v>
      </c>
      <c r="N312">
        <v>8</v>
      </c>
      <c r="O312" s="32">
        <f t="shared" si="40"/>
        <v>0</v>
      </c>
      <c r="P312">
        <v>9</v>
      </c>
      <c r="Q312">
        <v>8</v>
      </c>
      <c r="R312" s="32">
        <f t="shared" si="41"/>
        <v>1</v>
      </c>
      <c r="S312">
        <v>8</v>
      </c>
      <c r="T312">
        <v>8</v>
      </c>
      <c r="U312" s="32">
        <f t="shared" si="42"/>
        <v>0</v>
      </c>
      <c r="V312">
        <v>8</v>
      </c>
      <c r="W312">
        <v>8</v>
      </c>
      <c r="X312" s="32">
        <f t="shared" si="43"/>
        <v>0</v>
      </c>
      <c r="Y312">
        <v>9</v>
      </c>
      <c r="Z312">
        <v>8</v>
      </c>
      <c r="AA312" s="32">
        <f t="shared" si="44"/>
        <v>1</v>
      </c>
    </row>
    <row r="313" spans="1:27" x14ac:dyDescent="0.45">
      <c r="A313">
        <v>8</v>
      </c>
      <c r="B313">
        <v>8</v>
      </c>
      <c r="C313" s="32">
        <f t="shared" si="36"/>
        <v>0</v>
      </c>
      <c r="D313">
        <v>8</v>
      </c>
      <c r="E313">
        <v>9</v>
      </c>
      <c r="F313" s="32">
        <f t="shared" si="37"/>
        <v>1</v>
      </c>
      <c r="G313">
        <v>9</v>
      </c>
      <c r="H313">
        <v>8</v>
      </c>
      <c r="I313" s="32">
        <f t="shared" si="38"/>
        <v>1</v>
      </c>
      <c r="J313">
        <v>9</v>
      </c>
      <c r="K313">
        <v>9</v>
      </c>
      <c r="L313" s="32">
        <f t="shared" si="39"/>
        <v>0</v>
      </c>
      <c r="M313">
        <v>8</v>
      </c>
      <c r="N313">
        <v>8</v>
      </c>
      <c r="O313" s="32">
        <f t="shared" si="40"/>
        <v>0</v>
      </c>
      <c r="P313">
        <v>9</v>
      </c>
      <c r="Q313">
        <v>8</v>
      </c>
      <c r="R313" s="32">
        <f t="shared" si="41"/>
        <v>1</v>
      </c>
      <c r="S313">
        <v>8</v>
      </c>
      <c r="T313">
        <v>8</v>
      </c>
      <c r="U313" s="32">
        <f t="shared" si="42"/>
        <v>0</v>
      </c>
      <c r="V313">
        <v>8</v>
      </c>
      <c r="W313">
        <v>8</v>
      </c>
      <c r="X313" s="32">
        <f t="shared" si="43"/>
        <v>0</v>
      </c>
      <c r="Y313">
        <v>9</v>
      </c>
      <c r="Z313">
        <v>8</v>
      </c>
      <c r="AA313" s="32">
        <f t="shared" si="44"/>
        <v>1</v>
      </c>
    </row>
    <row r="314" spans="1:27" x14ac:dyDescent="0.45">
      <c r="A314">
        <v>8</v>
      </c>
      <c r="B314">
        <v>8</v>
      </c>
      <c r="C314" s="32">
        <f t="shared" si="36"/>
        <v>0</v>
      </c>
      <c r="D314">
        <v>8</v>
      </c>
      <c r="E314">
        <v>9</v>
      </c>
      <c r="F314" s="32">
        <f t="shared" si="37"/>
        <v>1</v>
      </c>
      <c r="G314">
        <v>9</v>
      </c>
      <c r="H314">
        <v>8</v>
      </c>
      <c r="I314" s="32">
        <f t="shared" si="38"/>
        <v>1</v>
      </c>
      <c r="J314">
        <v>9</v>
      </c>
      <c r="K314">
        <v>9</v>
      </c>
      <c r="L314" s="32">
        <f t="shared" si="39"/>
        <v>0</v>
      </c>
      <c r="M314">
        <v>8</v>
      </c>
      <c r="N314">
        <v>8</v>
      </c>
      <c r="O314" s="32">
        <f t="shared" si="40"/>
        <v>0</v>
      </c>
      <c r="P314">
        <v>9</v>
      </c>
      <c r="Q314">
        <v>8</v>
      </c>
      <c r="R314" s="32">
        <f t="shared" si="41"/>
        <v>1</v>
      </c>
      <c r="S314">
        <v>8</v>
      </c>
      <c r="T314">
        <v>8</v>
      </c>
      <c r="U314" s="32">
        <f t="shared" si="42"/>
        <v>0</v>
      </c>
      <c r="V314">
        <v>9</v>
      </c>
      <c r="W314">
        <v>8</v>
      </c>
      <c r="X314" s="32">
        <f t="shared" si="43"/>
        <v>1</v>
      </c>
      <c r="Y314">
        <v>9</v>
      </c>
      <c r="Z314">
        <v>8</v>
      </c>
      <c r="AA314" s="32">
        <f t="shared" si="44"/>
        <v>1</v>
      </c>
    </row>
    <row r="315" spans="1:27" x14ac:dyDescent="0.45">
      <c r="A315">
        <v>8</v>
      </c>
      <c r="B315">
        <v>8</v>
      </c>
      <c r="C315" s="32">
        <f t="shared" si="36"/>
        <v>0</v>
      </c>
      <c r="D315">
        <v>8</v>
      </c>
      <c r="E315">
        <v>9</v>
      </c>
      <c r="F315" s="32">
        <f t="shared" si="37"/>
        <v>1</v>
      </c>
      <c r="G315">
        <v>9</v>
      </c>
      <c r="H315">
        <v>8</v>
      </c>
      <c r="I315" s="32">
        <f t="shared" si="38"/>
        <v>1</v>
      </c>
      <c r="J315">
        <v>9</v>
      </c>
      <c r="K315">
        <v>9</v>
      </c>
      <c r="L315" s="32">
        <f t="shared" si="39"/>
        <v>0</v>
      </c>
      <c r="M315">
        <v>8</v>
      </c>
      <c r="N315">
        <v>8</v>
      </c>
      <c r="O315" s="32">
        <f t="shared" si="40"/>
        <v>0</v>
      </c>
      <c r="P315">
        <v>9</v>
      </c>
      <c r="Q315">
        <v>8</v>
      </c>
      <c r="R315" s="32">
        <f t="shared" si="41"/>
        <v>1</v>
      </c>
      <c r="S315">
        <v>8</v>
      </c>
      <c r="T315">
        <v>8</v>
      </c>
      <c r="U315" s="32">
        <f t="shared" si="42"/>
        <v>0</v>
      </c>
      <c r="V315">
        <v>9</v>
      </c>
      <c r="W315">
        <v>8</v>
      </c>
      <c r="X315" s="32">
        <f t="shared" si="43"/>
        <v>1</v>
      </c>
      <c r="Y315">
        <v>9</v>
      </c>
      <c r="Z315">
        <v>8</v>
      </c>
      <c r="AA315" s="32">
        <f t="shared" si="44"/>
        <v>1</v>
      </c>
    </row>
    <row r="316" spans="1:27" x14ac:dyDescent="0.45">
      <c r="A316">
        <v>8</v>
      </c>
      <c r="B316">
        <v>9</v>
      </c>
      <c r="C316" s="32">
        <f t="shared" si="36"/>
        <v>1</v>
      </c>
      <c r="D316">
        <v>8</v>
      </c>
      <c r="E316">
        <v>9</v>
      </c>
      <c r="F316" s="32">
        <f t="shared" si="37"/>
        <v>1</v>
      </c>
      <c r="G316">
        <v>9</v>
      </c>
      <c r="H316">
        <v>8</v>
      </c>
      <c r="I316" s="32">
        <f t="shared" si="38"/>
        <v>1</v>
      </c>
      <c r="J316">
        <v>9</v>
      </c>
      <c r="K316">
        <v>9</v>
      </c>
      <c r="L316" s="32">
        <f t="shared" si="39"/>
        <v>0</v>
      </c>
      <c r="M316">
        <v>8</v>
      </c>
      <c r="N316">
        <v>8</v>
      </c>
      <c r="O316" s="32">
        <f t="shared" si="40"/>
        <v>0</v>
      </c>
      <c r="P316">
        <v>9</v>
      </c>
      <c r="Q316">
        <v>8</v>
      </c>
      <c r="R316" s="32">
        <f t="shared" si="41"/>
        <v>1</v>
      </c>
      <c r="S316">
        <v>8</v>
      </c>
      <c r="T316">
        <v>8</v>
      </c>
      <c r="U316" s="32">
        <f t="shared" si="42"/>
        <v>0</v>
      </c>
      <c r="V316">
        <v>9</v>
      </c>
      <c r="W316">
        <v>8</v>
      </c>
      <c r="X316" s="32">
        <f t="shared" si="43"/>
        <v>1</v>
      </c>
      <c r="Y316">
        <v>9</v>
      </c>
      <c r="Z316">
        <v>8</v>
      </c>
      <c r="AA316" s="32">
        <f t="shared" si="44"/>
        <v>1</v>
      </c>
    </row>
    <row r="317" spans="1:27" x14ac:dyDescent="0.45">
      <c r="A317">
        <v>8</v>
      </c>
      <c r="B317">
        <v>9</v>
      </c>
      <c r="C317" s="32">
        <f t="shared" si="36"/>
        <v>1</v>
      </c>
      <c r="D317">
        <v>8</v>
      </c>
      <c r="E317">
        <v>9</v>
      </c>
      <c r="F317" s="32">
        <f t="shared" si="37"/>
        <v>1</v>
      </c>
      <c r="G317">
        <v>9</v>
      </c>
      <c r="H317">
        <v>8</v>
      </c>
      <c r="I317" s="32">
        <f t="shared" si="38"/>
        <v>1</v>
      </c>
      <c r="J317">
        <v>9</v>
      </c>
      <c r="K317">
        <v>9</v>
      </c>
      <c r="L317" s="32">
        <f t="shared" si="39"/>
        <v>0</v>
      </c>
      <c r="M317">
        <v>8</v>
      </c>
      <c r="N317">
        <v>8</v>
      </c>
      <c r="O317" s="32">
        <f t="shared" si="40"/>
        <v>0</v>
      </c>
      <c r="P317">
        <v>9</v>
      </c>
      <c r="Q317">
        <v>8</v>
      </c>
      <c r="R317" s="32">
        <f t="shared" si="41"/>
        <v>1</v>
      </c>
      <c r="S317">
        <v>8</v>
      </c>
      <c r="T317">
        <v>8</v>
      </c>
      <c r="U317" s="32">
        <f t="shared" si="42"/>
        <v>0</v>
      </c>
      <c r="V317">
        <v>9</v>
      </c>
      <c r="W317">
        <v>8</v>
      </c>
      <c r="X317" s="32">
        <f t="shared" si="43"/>
        <v>1</v>
      </c>
      <c r="Y317">
        <v>9</v>
      </c>
      <c r="Z317">
        <v>8</v>
      </c>
      <c r="AA317" s="32">
        <f t="shared" si="44"/>
        <v>1</v>
      </c>
    </row>
    <row r="318" spans="1:27" x14ac:dyDescent="0.45">
      <c r="A318">
        <v>8</v>
      </c>
      <c r="B318">
        <v>9</v>
      </c>
      <c r="C318" s="32">
        <f t="shared" si="36"/>
        <v>1</v>
      </c>
      <c r="D318">
        <v>8</v>
      </c>
      <c r="E318">
        <v>9</v>
      </c>
      <c r="F318" s="32">
        <f t="shared" si="37"/>
        <v>1</v>
      </c>
      <c r="G318">
        <v>9</v>
      </c>
      <c r="H318">
        <v>8</v>
      </c>
      <c r="I318" s="32">
        <f t="shared" si="38"/>
        <v>1</v>
      </c>
      <c r="J318">
        <v>9</v>
      </c>
      <c r="K318">
        <v>9</v>
      </c>
      <c r="L318" s="32">
        <f t="shared" si="39"/>
        <v>0</v>
      </c>
      <c r="M318">
        <v>8</v>
      </c>
      <c r="N318">
        <v>8</v>
      </c>
      <c r="O318" s="32">
        <f t="shared" si="40"/>
        <v>0</v>
      </c>
      <c r="P318">
        <v>9</v>
      </c>
      <c r="Q318">
        <v>8</v>
      </c>
      <c r="R318" s="32">
        <f t="shared" si="41"/>
        <v>1</v>
      </c>
      <c r="S318">
        <v>8</v>
      </c>
      <c r="T318">
        <v>8</v>
      </c>
      <c r="U318" s="32">
        <f t="shared" si="42"/>
        <v>0</v>
      </c>
      <c r="V318">
        <v>9</v>
      </c>
      <c r="W318">
        <v>8</v>
      </c>
      <c r="X318" s="32">
        <f t="shared" si="43"/>
        <v>1</v>
      </c>
      <c r="Y318">
        <v>9</v>
      </c>
      <c r="Z318">
        <v>8</v>
      </c>
      <c r="AA318" s="32">
        <f t="shared" si="44"/>
        <v>1</v>
      </c>
    </row>
    <row r="319" spans="1:27" x14ac:dyDescent="0.45">
      <c r="A319">
        <v>8</v>
      </c>
      <c r="B319">
        <v>9</v>
      </c>
      <c r="C319" s="32">
        <f t="shared" si="36"/>
        <v>1</v>
      </c>
      <c r="D319">
        <v>8</v>
      </c>
      <c r="E319">
        <v>9</v>
      </c>
      <c r="F319" s="32">
        <f t="shared" si="37"/>
        <v>1</v>
      </c>
      <c r="G319">
        <v>9</v>
      </c>
      <c r="H319">
        <v>8</v>
      </c>
      <c r="I319" s="32">
        <f t="shared" si="38"/>
        <v>1</v>
      </c>
      <c r="J319">
        <v>9</v>
      </c>
      <c r="K319">
        <v>9</v>
      </c>
      <c r="L319" s="32">
        <f t="shared" si="39"/>
        <v>0</v>
      </c>
      <c r="M319">
        <v>8</v>
      </c>
      <c r="N319">
        <v>8</v>
      </c>
      <c r="O319" s="32">
        <f t="shared" si="40"/>
        <v>0</v>
      </c>
      <c r="P319">
        <v>9</v>
      </c>
      <c r="Q319">
        <v>8</v>
      </c>
      <c r="R319" s="32">
        <f t="shared" si="41"/>
        <v>1</v>
      </c>
      <c r="S319">
        <v>8</v>
      </c>
      <c r="T319">
        <v>8</v>
      </c>
      <c r="U319" s="32">
        <f t="shared" si="42"/>
        <v>0</v>
      </c>
      <c r="V319">
        <v>9</v>
      </c>
      <c r="W319">
        <v>8</v>
      </c>
      <c r="X319" s="32">
        <f t="shared" si="43"/>
        <v>1</v>
      </c>
      <c r="Y319">
        <v>9</v>
      </c>
      <c r="Z319">
        <v>9</v>
      </c>
      <c r="AA319" s="32">
        <f t="shared" si="44"/>
        <v>0</v>
      </c>
    </row>
    <row r="320" spans="1:27" x14ac:dyDescent="0.45">
      <c r="A320">
        <v>8</v>
      </c>
      <c r="B320">
        <v>9</v>
      </c>
      <c r="C320" s="32">
        <f t="shared" si="36"/>
        <v>1</v>
      </c>
      <c r="D320">
        <v>8</v>
      </c>
      <c r="E320">
        <v>9</v>
      </c>
      <c r="F320" s="32">
        <f t="shared" si="37"/>
        <v>1</v>
      </c>
      <c r="G320">
        <v>9</v>
      </c>
      <c r="H320">
        <v>8</v>
      </c>
      <c r="I320" s="32">
        <f t="shared" si="38"/>
        <v>1</v>
      </c>
      <c r="J320">
        <v>9</v>
      </c>
      <c r="K320">
        <v>9</v>
      </c>
      <c r="L320" s="32">
        <f t="shared" si="39"/>
        <v>0</v>
      </c>
      <c r="M320">
        <v>8</v>
      </c>
      <c r="N320">
        <v>8</v>
      </c>
      <c r="O320" s="32">
        <f t="shared" si="40"/>
        <v>0</v>
      </c>
      <c r="P320">
        <v>9</v>
      </c>
      <c r="Q320">
        <v>9</v>
      </c>
      <c r="R320" s="32">
        <f t="shared" si="41"/>
        <v>0</v>
      </c>
      <c r="S320">
        <v>8</v>
      </c>
      <c r="T320">
        <v>8</v>
      </c>
      <c r="U320" s="32">
        <f t="shared" si="42"/>
        <v>0</v>
      </c>
      <c r="V320">
        <v>9</v>
      </c>
      <c r="W320">
        <v>8</v>
      </c>
      <c r="X320" s="32">
        <f t="shared" si="43"/>
        <v>1</v>
      </c>
      <c r="Y320">
        <v>9</v>
      </c>
      <c r="Z320">
        <v>9</v>
      </c>
      <c r="AA320" s="32">
        <f t="shared" si="44"/>
        <v>0</v>
      </c>
    </row>
    <row r="321" spans="1:27" x14ac:dyDescent="0.45">
      <c r="A321">
        <v>8</v>
      </c>
      <c r="B321">
        <v>9</v>
      </c>
      <c r="C321" s="32">
        <f t="shared" si="36"/>
        <v>1</v>
      </c>
      <c r="D321">
        <v>8</v>
      </c>
      <c r="E321">
        <v>9</v>
      </c>
      <c r="F321" s="32">
        <f t="shared" si="37"/>
        <v>1</v>
      </c>
      <c r="G321">
        <v>9</v>
      </c>
      <c r="H321">
        <v>8</v>
      </c>
      <c r="I321" s="32">
        <f t="shared" si="38"/>
        <v>1</v>
      </c>
      <c r="J321">
        <v>9</v>
      </c>
      <c r="K321">
        <v>9</v>
      </c>
      <c r="L321" s="32">
        <f t="shared" si="39"/>
        <v>0</v>
      </c>
      <c r="M321">
        <v>8</v>
      </c>
      <c r="N321">
        <v>8</v>
      </c>
      <c r="O321" s="32">
        <f t="shared" si="40"/>
        <v>0</v>
      </c>
      <c r="P321">
        <v>9</v>
      </c>
      <c r="Q321">
        <v>9</v>
      </c>
      <c r="R321" s="32">
        <f t="shared" si="41"/>
        <v>0</v>
      </c>
      <c r="S321">
        <v>8</v>
      </c>
      <c r="T321">
        <v>8</v>
      </c>
      <c r="U321" s="32">
        <f t="shared" si="42"/>
        <v>0</v>
      </c>
      <c r="V321">
        <v>9</v>
      </c>
      <c r="W321">
        <v>8</v>
      </c>
      <c r="X321" s="32">
        <f t="shared" si="43"/>
        <v>1</v>
      </c>
      <c r="Y321">
        <v>9</v>
      </c>
      <c r="Z321">
        <v>9</v>
      </c>
      <c r="AA321" s="32">
        <f t="shared" si="44"/>
        <v>0</v>
      </c>
    </row>
    <row r="322" spans="1:27" x14ac:dyDescent="0.45">
      <c r="A322">
        <v>8</v>
      </c>
      <c r="B322">
        <v>9</v>
      </c>
      <c r="C322" s="32">
        <f t="shared" si="36"/>
        <v>1</v>
      </c>
      <c r="D322">
        <v>8</v>
      </c>
      <c r="E322">
        <v>9</v>
      </c>
      <c r="F322" s="32">
        <f t="shared" si="37"/>
        <v>1</v>
      </c>
      <c r="G322">
        <v>9</v>
      </c>
      <c r="H322">
        <v>8</v>
      </c>
      <c r="I322" s="32">
        <f t="shared" si="38"/>
        <v>1</v>
      </c>
      <c r="J322">
        <v>9</v>
      </c>
      <c r="K322">
        <v>9</v>
      </c>
      <c r="L322" s="32">
        <f t="shared" si="39"/>
        <v>0</v>
      </c>
      <c r="M322">
        <v>8</v>
      </c>
      <c r="N322">
        <v>8</v>
      </c>
      <c r="O322" s="32">
        <f t="shared" si="40"/>
        <v>0</v>
      </c>
      <c r="P322">
        <v>9</v>
      </c>
      <c r="Q322">
        <v>9</v>
      </c>
      <c r="R322" s="32">
        <f t="shared" si="41"/>
        <v>0</v>
      </c>
      <c r="S322">
        <v>8</v>
      </c>
      <c r="T322">
        <v>8</v>
      </c>
      <c r="U322" s="32">
        <f t="shared" si="42"/>
        <v>0</v>
      </c>
      <c r="V322">
        <v>9</v>
      </c>
      <c r="W322">
        <v>8</v>
      </c>
      <c r="X322" s="32">
        <f t="shared" si="43"/>
        <v>1</v>
      </c>
      <c r="Y322">
        <v>9</v>
      </c>
      <c r="Z322">
        <v>9</v>
      </c>
      <c r="AA322" s="32">
        <f t="shared" si="44"/>
        <v>0</v>
      </c>
    </row>
    <row r="323" spans="1:27" x14ac:dyDescent="0.45">
      <c r="A323">
        <v>8</v>
      </c>
      <c r="B323">
        <v>9</v>
      </c>
      <c r="C323" s="32">
        <f t="shared" ref="C323:C386" si="45">ABS(B323-A323)</f>
        <v>1</v>
      </c>
      <c r="D323">
        <v>8</v>
      </c>
      <c r="E323">
        <v>9</v>
      </c>
      <c r="F323" s="32">
        <f t="shared" ref="F323:F386" si="46">ABS(E323-D323)</f>
        <v>1</v>
      </c>
      <c r="G323">
        <v>9</v>
      </c>
      <c r="H323">
        <v>8</v>
      </c>
      <c r="I323" s="32">
        <f t="shared" ref="I323:I386" si="47">ABS(H323-G323)</f>
        <v>1</v>
      </c>
      <c r="J323">
        <v>9</v>
      </c>
      <c r="K323">
        <v>9</v>
      </c>
      <c r="L323" s="32">
        <f t="shared" ref="L323:L386" si="48">ABS(K323-J323)</f>
        <v>0</v>
      </c>
      <c r="M323">
        <v>8</v>
      </c>
      <c r="N323">
        <v>8</v>
      </c>
      <c r="O323" s="32">
        <f t="shared" ref="O323:O386" si="49">ABS(N323-M323)</f>
        <v>0</v>
      </c>
      <c r="P323">
        <v>9</v>
      </c>
      <c r="Q323">
        <v>9</v>
      </c>
      <c r="R323" s="32">
        <f t="shared" ref="R323:R386" si="50">ABS(Q323-P323)</f>
        <v>0</v>
      </c>
      <c r="S323">
        <v>8</v>
      </c>
      <c r="T323">
        <v>8</v>
      </c>
      <c r="U323" s="32">
        <f t="shared" ref="U323:U386" si="51">ABS(T323-S323)</f>
        <v>0</v>
      </c>
      <c r="V323">
        <v>9</v>
      </c>
      <c r="W323">
        <v>8</v>
      </c>
      <c r="X323" s="32">
        <f t="shared" ref="X323:X386" si="52">ABS(W323-V323)</f>
        <v>1</v>
      </c>
      <c r="Y323">
        <v>9</v>
      </c>
      <c r="Z323">
        <v>9</v>
      </c>
      <c r="AA323" s="32">
        <f t="shared" ref="AA323:AA386" si="53">ABS(Z323-Y323)</f>
        <v>0</v>
      </c>
    </row>
    <row r="324" spans="1:27" x14ac:dyDescent="0.45">
      <c r="A324">
        <v>8</v>
      </c>
      <c r="B324">
        <v>9</v>
      </c>
      <c r="C324" s="32">
        <f t="shared" si="45"/>
        <v>1</v>
      </c>
      <c r="D324">
        <v>8</v>
      </c>
      <c r="E324">
        <v>9</v>
      </c>
      <c r="F324" s="32">
        <f t="shared" si="46"/>
        <v>1</v>
      </c>
      <c r="G324">
        <v>9</v>
      </c>
      <c r="H324">
        <v>8</v>
      </c>
      <c r="I324" s="32">
        <f t="shared" si="47"/>
        <v>1</v>
      </c>
      <c r="J324">
        <v>9</v>
      </c>
      <c r="K324">
        <v>9</v>
      </c>
      <c r="L324" s="32">
        <f t="shared" si="48"/>
        <v>0</v>
      </c>
      <c r="M324">
        <v>9</v>
      </c>
      <c r="N324">
        <v>8</v>
      </c>
      <c r="O324" s="32">
        <f t="shared" si="49"/>
        <v>1</v>
      </c>
      <c r="P324">
        <v>9</v>
      </c>
      <c r="Q324">
        <v>9</v>
      </c>
      <c r="R324" s="32">
        <f t="shared" si="50"/>
        <v>0</v>
      </c>
      <c r="S324">
        <v>8</v>
      </c>
      <c r="T324">
        <v>8</v>
      </c>
      <c r="U324" s="32">
        <f t="shared" si="51"/>
        <v>0</v>
      </c>
      <c r="V324">
        <v>9</v>
      </c>
      <c r="W324">
        <v>8</v>
      </c>
      <c r="X324" s="32">
        <f t="shared" si="52"/>
        <v>1</v>
      </c>
      <c r="Y324">
        <v>9</v>
      </c>
      <c r="Z324">
        <v>9</v>
      </c>
      <c r="AA324" s="32">
        <f t="shared" si="53"/>
        <v>0</v>
      </c>
    </row>
    <row r="325" spans="1:27" x14ac:dyDescent="0.45">
      <c r="A325">
        <v>8</v>
      </c>
      <c r="B325">
        <v>9</v>
      </c>
      <c r="C325" s="32">
        <f t="shared" si="45"/>
        <v>1</v>
      </c>
      <c r="D325">
        <v>8</v>
      </c>
      <c r="E325">
        <v>9</v>
      </c>
      <c r="F325" s="32">
        <f t="shared" si="46"/>
        <v>1</v>
      </c>
      <c r="G325">
        <v>9</v>
      </c>
      <c r="H325">
        <v>8</v>
      </c>
      <c r="I325" s="32">
        <f t="shared" si="47"/>
        <v>1</v>
      </c>
      <c r="J325">
        <v>9</v>
      </c>
      <c r="K325">
        <v>9</v>
      </c>
      <c r="L325" s="32">
        <f t="shared" si="48"/>
        <v>0</v>
      </c>
      <c r="M325">
        <v>9</v>
      </c>
      <c r="N325">
        <v>8</v>
      </c>
      <c r="O325" s="32">
        <f t="shared" si="49"/>
        <v>1</v>
      </c>
      <c r="P325">
        <v>9</v>
      </c>
      <c r="Q325">
        <v>9</v>
      </c>
      <c r="R325" s="32">
        <f t="shared" si="50"/>
        <v>0</v>
      </c>
      <c r="S325">
        <v>8</v>
      </c>
      <c r="T325">
        <v>8</v>
      </c>
      <c r="U325" s="32">
        <f t="shared" si="51"/>
        <v>0</v>
      </c>
      <c r="V325">
        <v>9</v>
      </c>
      <c r="W325">
        <v>8</v>
      </c>
      <c r="X325" s="32">
        <f t="shared" si="52"/>
        <v>1</v>
      </c>
      <c r="Y325">
        <v>9</v>
      </c>
      <c r="Z325">
        <v>9</v>
      </c>
      <c r="AA325" s="32">
        <f t="shared" si="53"/>
        <v>0</v>
      </c>
    </row>
    <row r="326" spans="1:27" x14ac:dyDescent="0.45">
      <c r="A326">
        <v>8</v>
      </c>
      <c r="B326">
        <v>9</v>
      </c>
      <c r="C326" s="32">
        <f t="shared" si="45"/>
        <v>1</v>
      </c>
      <c r="D326">
        <v>8</v>
      </c>
      <c r="E326">
        <v>9</v>
      </c>
      <c r="F326" s="32">
        <f t="shared" si="46"/>
        <v>1</v>
      </c>
      <c r="G326">
        <v>9</v>
      </c>
      <c r="H326">
        <v>8</v>
      </c>
      <c r="I326" s="32">
        <f t="shared" si="47"/>
        <v>1</v>
      </c>
      <c r="J326">
        <v>9</v>
      </c>
      <c r="K326">
        <v>9</v>
      </c>
      <c r="L326" s="32">
        <f t="shared" si="48"/>
        <v>0</v>
      </c>
      <c r="M326">
        <v>9</v>
      </c>
      <c r="N326">
        <v>8</v>
      </c>
      <c r="O326" s="32">
        <f t="shared" si="49"/>
        <v>1</v>
      </c>
      <c r="P326">
        <v>9</v>
      </c>
      <c r="Q326">
        <v>9</v>
      </c>
      <c r="R326" s="32">
        <f t="shared" si="50"/>
        <v>0</v>
      </c>
      <c r="S326">
        <v>8</v>
      </c>
      <c r="T326">
        <v>8</v>
      </c>
      <c r="U326" s="32">
        <f t="shared" si="51"/>
        <v>0</v>
      </c>
      <c r="V326">
        <v>9</v>
      </c>
      <c r="W326">
        <v>8</v>
      </c>
      <c r="X326" s="32">
        <f t="shared" si="52"/>
        <v>1</v>
      </c>
      <c r="Y326">
        <v>9</v>
      </c>
      <c r="Z326">
        <v>9</v>
      </c>
      <c r="AA326" s="32">
        <f t="shared" si="53"/>
        <v>0</v>
      </c>
    </row>
    <row r="327" spans="1:27" x14ac:dyDescent="0.45">
      <c r="A327">
        <v>8</v>
      </c>
      <c r="B327">
        <v>9</v>
      </c>
      <c r="C327" s="32">
        <f t="shared" si="45"/>
        <v>1</v>
      </c>
      <c r="D327">
        <v>8</v>
      </c>
      <c r="E327">
        <v>9</v>
      </c>
      <c r="F327" s="32">
        <f t="shared" si="46"/>
        <v>1</v>
      </c>
      <c r="G327">
        <v>9</v>
      </c>
      <c r="H327">
        <v>8</v>
      </c>
      <c r="I327" s="32">
        <f t="shared" si="47"/>
        <v>1</v>
      </c>
      <c r="J327">
        <v>9</v>
      </c>
      <c r="K327">
        <v>9</v>
      </c>
      <c r="L327" s="32">
        <f t="shared" si="48"/>
        <v>0</v>
      </c>
      <c r="M327">
        <v>9</v>
      </c>
      <c r="N327">
        <v>8</v>
      </c>
      <c r="O327" s="32">
        <f t="shared" si="49"/>
        <v>1</v>
      </c>
      <c r="P327">
        <v>9</v>
      </c>
      <c r="Q327">
        <v>9</v>
      </c>
      <c r="R327" s="32">
        <f t="shared" si="50"/>
        <v>0</v>
      </c>
      <c r="S327">
        <v>8</v>
      </c>
      <c r="T327">
        <v>8</v>
      </c>
      <c r="U327" s="32">
        <f t="shared" si="51"/>
        <v>0</v>
      </c>
      <c r="V327">
        <v>9</v>
      </c>
      <c r="W327">
        <v>8</v>
      </c>
      <c r="X327" s="32">
        <f t="shared" si="52"/>
        <v>1</v>
      </c>
      <c r="Y327">
        <v>9</v>
      </c>
      <c r="Z327">
        <v>9</v>
      </c>
      <c r="AA327" s="32">
        <f t="shared" si="53"/>
        <v>0</v>
      </c>
    </row>
    <row r="328" spans="1:27" x14ac:dyDescent="0.45">
      <c r="A328">
        <v>8</v>
      </c>
      <c r="B328">
        <v>9</v>
      </c>
      <c r="C328" s="32">
        <f t="shared" si="45"/>
        <v>1</v>
      </c>
      <c r="D328">
        <v>8</v>
      </c>
      <c r="E328">
        <v>9</v>
      </c>
      <c r="F328" s="32">
        <f t="shared" si="46"/>
        <v>1</v>
      </c>
      <c r="G328">
        <v>9</v>
      </c>
      <c r="H328">
        <v>8</v>
      </c>
      <c r="I328" s="32">
        <f t="shared" si="47"/>
        <v>1</v>
      </c>
      <c r="J328">
        <v>9</v>
      </c>
      <c r="K328">
        <v>9</v>
      </c>
      <c r="L328" s="32">
        <f t="shared" si="48"/>
        <v>0</v>
      </c>
      <c r="M328">
        <v>9</v>
      </c>
      <c r="N328">
        <v>8</v>
      </c>
      <c r="O328" s="32">
        <f t="shared" si="49"/>
        <v>1</v>
      </c>
      <c r="P328">
        <v>9</v>
      </c>
      <c r="Q328">
        <v>9</v>
      </c>
      <c r="R328" s="32">
        <f t="shared" si="50"/>
        <v>0</v>
      </c>
      <c r="S328">
        <v>8</v>
      </c>
      <c r="T328">
        <v>8</v>
      </c>
      <c r="U328" s="32">
        <f t="shared" si="51"/>
        <v>0</v>
      </c>
      <c r="V328">
        <v>9</v>
      </c>
      <c r="W328">
        <v>8</v>
      </c>
      <c r="X328" s="32">
        <f t="shared" si="52"/>
        <v>1</v>
      </c>
      <c r="Y328">
        <v>9</v>
      </c>
      <c r="Z328">
        <v>9</v>
      </c>
      <c r="AA328" s="32">
        <f t="shared" si="53"/>
        <v>0</v>
      </c>
    </row>
    <row r="329" spans="1:27" x14ac:dyDescent="0.45">
      <c r="A329">
        <v>8</v>
      </c>
      <c r="B329">
        <v>9</v>
      </c>
      <c r="C329" s="32">
        <f t="shared" si="45"/>
        <v>1</v>
      </c>
      <c r="D329">
        <v>8</v>
      </c>
      <c r="E329">
        <v>9</v>
      </c>
      <c r="F329" s="32">
        <f t="shared" si="46"/>
        <v>1</v>
      </c>
      <c r="G329">
        <v>9</v>
      </c>
      <c r="H329">
        <v>8</v>
      </c>
      <c r="I329" s="32">
        <f t="shared" si="47"/>
        <v>1</v>
      </c>
      <c r="J329">
        <v>9</v>
      </c>
      <c r="K329">
        <v>9</v>
      </c>
      <c r="L329" s="32">
        <f t="shared" si="48"/>
        <v>0</v>
      </c>
      <c r="M329">
        <v>9</v>
      </c>
      <c r="N329">
        <v>8</v>
      </c>
      <c r="O329" s="32">
        <f t="shared" si="49"/>
        <v>1</v>
      </c>
      <c r="P329">
        <v>9</v>
      </c>
      <c r="Q329">
        <v>9</v>
      </c>
      <c r="R329" s="32">
        <f t="shared" si="50"/>
        <v>0</v>
      </c>
      <c r="S329">
        <v>8</v>
      </c>
      <c r="T329">
        <v>8</v>
      </c>
      <c r="U329" s="32">
        <f t="shared" si="51"/>
        <v>0</v>
      </c>
      <c r="V329">
        <v>9</v>
      </c>
      <c r="W329">
        <v>8</v>
      </c>
      <c r="X329" s="32">
        <f t="shared" si="52"/>
        <v>1</v>
      </c>
      <c r="Y329">
        <v>9</v>
      </c>
      <c r="Z329">
        <v>9</v>
      </c>
      <c r="AA329" s="32">
        <f t="shared" si="53"/>
        <v>0</v>
      </c>
    </row>
    <row r="330" spans="1:27" x14ac:dyDescent="0.45">
      <c r="A330">
        <v>8</v>
      </c>
      <c r="B330">
        <v>9</v>
      </c>
      <c r="C330" s="32">
        <f t="shared" si="45"/>
        <v>1</v>
      </c>
      <c r="D330">
        <v>8</v>
      </c>
      <c r="E330">
        <v>9</v>
      </c>
      <c r="F330" s="32">
        <f t="shared" si="46"/>
        <v>1</v>
      </c>
      <c r="G330">
        <v>9</v>
      </c>
      <c r="H330">
        <v>8</v>
      </c>
      <c r="I330" s="32">
        <f t="shared" si="47"/>
        <v>1</v>
      </c>
      <c r="J330">
        <v>9</v>
      </c>
      <c r="K330">
        <v>9</v>
      </c>
      <c r="L330" s="32">
        <f t="shared" si="48"/>
        <v>0</v>
      </c>
      <c r="M330">
        <v>9</v>
      </c>
      <c r="N330">
        <v>8</v>
      </c>
      <c r="O330" s="32">
        <f t="shared" si="49"/>
        <v>1</v>
      </c>
      <c r="P330">
        <v>9</v>
      </c>
      <c r="Q330">
        <v>9</v>
      </c>
      <c r="R330" s="32">
        <f t="shared" si="50"/>
        <v>0</v>
      </c>
      <c r="S330">
        <v>8</v>
      </c>
      <c r="T330">
        <v>8</v>
      </c>
      <c r="U330" s="32">
        <f t="shared" si="51"/>
        <v>0</v>
      </c>
      <c r="V330">
        <v>9</v>
      </c>
      <c r="W330">
        <v>8</v>
      </c>
      <c r="X330" s="32">
        <f t="shared" si="52"/>
        <v>1</v>
      </c>
      <c r="Y330">
        <v>9</v>
      </c>
      <c r="Z330">
        <v>9</v>
      </c>
      <c r="AA330" s="32">
        <f t="shared" si="53"/>
        <v>0</v>
      </c>
    </row>
    <row r="331" spans="1:27" x14ac:dyDescent="0.45">
      <c r="A331">
        <v>8</v>
      </c>
      <c r="B331">
        <v>9</v>
      </c>
      <c r="C331" s="32">
        <f t="shared" si="45"/>
        <v>1</v>
      </c>
      <c r="D331">
        <v>8</v>
      </c>
      <c r="E331">
        <v>9</v>
      </c>
      <c r="F331" s="32">
        <f t="shared" si="46"/>
        <v>1</v>
      </c>
      <c r="G331">
        <v>9</v>
      </c>
      <c r="H331">
        <v>8</v>
      </c>
      <c r="I331" s="32">
        <f t="shared" si="47"/>
        <v>1</v>
      </c>
      <c r="J331">
        <v>9</v>
      </c>
      <c r="K331">
        <v>9</v>
      </c>
      <c r="L331" s="32">
        <f t="shared" si="48"/>
        <v>0</v>
      </c>
      <c r="M331">
        <v>9</v>
      </c>
      <c r="N331">
        <v>8</v>
      </c>
      <c r="O331" s="32">
        <f t="shared" si="49"/>
        <v>1</v>
      </c>
      <c r="P331">
        <v>9</v>
      </c>
      <c r="Q331">
        <v>9</v>
      </c>
      <c r="R331" s="32">
        <f t="shared" si="50"/>
        <v>0</v>
      </c>
      <c r="S331">
        <v>8</v>
      </c>
      <c r="T331">
        <v>8</v>
      </c>
      <c r="U331" s="32">
        <f t="shared" si="51"/>
        <v>0</v>
      </c>
      <c r="V331">
        <v>9</v>
      </c>
      <c r="W331">
        <v>8</v>
      </c>
      <c r="X331" s="32">
        <f t="shared" si="52"/>
        <v>1</v>
      </c>
      <c r="Y331">
        <v>9</v>
      </c>
      <c r="Z331">
        <v>9</v>
      </c>
      <c r="AA331" s="32">
        <f t="shared" si="53"/>
        <v>0</v>
      </c>
    </row>
    <row r="332" spans="1:27" x14ac:dyDescent="0.45">
      <c r="A332">
        <v>8</v>
      </c>
      <c r="B332">
        <v>9</v>
      </c>
      <c r="C332" s="32">
        <f t="shared" si="45"/>
        <v>1</v>
      </c>
      <c r="D332">
        <v>8</v>
      </c>
      <c r="E332">
        <v>9</v>
      </c>
      <c r="F332" s="32">
        <f t="shared" si="46"/>
        <v>1</v>
      </c>
      <c r="G332">
        <v>9</v>
      </c>
      <c r="H332">
        <v>8</v>
      </c>
      <c r="I332" s="32">
        <f t="shared" si="47"/>
        <v>1</v>
      </c>
      <c r="J332">
        <v>9</v>
      </c>
      <c r="K332">
        <v>9</v>
      </c>
      <c r="L332" s="32">
        <f t="shared" si="48"/>
        <v>0</v>
      </c>
      <c r="M332">
        <v>9</v>
      </c>
      <c r="N332">
        <v>8</v>
      </c>
      <c r="O332" s="32">
        <f t="shared" si="49"/>
        <v>1</v>
      </c>
      <c r="P332">
        <v>9</v>
      </c>
      <c r="Q332">
        <v>9</v>
      </c>
      <c r="R332" s="32">
        <f t="shared" si="50"/>
        <v>0</v>
      </c>
      <c r="S332">
        <v>9</v>
      </c>
      <c r="T332">
        <v>8</v>
      </c>
      <c r="U332" s="32">
        <f t="shared" si="51"/>
        <v>1</v>
      </c>
      <c r="V332">
        <v>9</v>
      </c>
      <c r="W332">
        <v>8</v>
      </c>
      <c r="X332" s="32">
        <f t="shared" si="52"/>
        <v>1</v>
      </c>
      <c r="Y332">
        <v>9</v>
      </c>
      <c r="Z332">
        <v>9</v>
      </c>
      <c r="AA332" s="32">
        <f t="shared" si="53"/>
        <v>0</v>
      </c>
    </row>
    <row r="333" spans="1:27" x14ac:dyDescent="0.45">
      <c r="A333">
        <v>8</v>
      </c>
      <c r="B333">
        <v>9</v>
      </c>
      <c r="C333" s="32">
        <f t="shared" si="45"/>
        <v>1</v>
      </c>
      <c r="D333">
        <v>8</v>
      </c>
      <c r="E333">
        <v>9</v>
      </c>
      <c r="F333" s="32">
        <f t="shared" si="46"/>
        <v>1</v>
      </c>
      <c r="G333">
        <v>9</v>
      </c>
      <c r="H333">
        <v>9</v>
      </c>
      <c r="I333" s="32">
        <f t="shared" si="47"/>
        <v>0</v>
      </c>
      <c r="J333">
        <v>9</v>
      </c>
      <c r="K333">
        <v>9</v>
      </c>
      <c r="L333" s="32">
        <f t="shared" si="48"/>
        <v>0</v>
      </c>
      <c r="M333">
        <v>9</v>
      </c>
      <c r="N333">
        <v>9</v>
      </c>
      <c r="O333" s="32">
        <f t="shared" si="49"/>
        <v>0</v>
      </c>
      <c r="P333">
        <v>9</v>
      </c>
      <c r="Q333">
        <v>9</v>
      </c>
      <c r="R333" s="32">
        <f t="shared" si="50"/>
        <v>0</v>
      </c>
      <c r="S333">
        <v>9</v>
      </c>
      <c r="T333">
        <v>8</v>
      </c>
      <c r="U333" s="32">
        <f t="shared" si="51"/>
        <v>1</v>
      </c>
      <c r="V333">
        <v>9</v>
      </c>
      <c r="W333">
        <v>8</v>
      </c>
      <c r="X333" s="32">
        <f t="shared" si="52"/>
        <v>1</v>
      </c>
      <c r="Y333">
        <v>9</v>
      </c>
      <c r="Z333">
        <v>9</v>
      </c>
      <c r="AA333" s="32">
        <f t="shared" si="53"/>
        <v>0</v>
      </c>
    </row>
    <row r="334" spans="1:27" x14ac:dyDescent="0.45">
      <c r="A334">
        <v>8</v>
      </c>
      <c r="B334">
        <v>9</v>
      </c>
      <c r="C334" s="32">
        <f t="shared" si="45"/>
        <v>1</v>
      </c>
      <c r="D334">
        <v>8</v>
      </c>
      <c r="E334">
        <v>9</v>
      </c>
      <c r="F334" s="32">
        <f t="shared" si="46"/>
        <v>1</v>
      </c>
      <c r="G334">
        <v>9</v>
      </c>
      <c r="H334">
        <v>9</v>
      </c>
      <c r="I334" s="32">
        <f t="shared" si="47"/>
        <v>0</v>
      </c>
      <c r="J334">
        <v>9</v>
      </c>
      <c r="K334">
        <v>9</v>
      </c>
      <c r="L334" s="32">
        <f t="shared" si="48"/>
        <v>0</v>
      </c>
      <c r="M334">
        <v>9</v>
      </c>
      <c r="N334">
        <v>9</v>
      </c>
      <c r="O334" s="32">
        <f t="shared" si="49"/>
        <v>0</v>
      </c>
      <c r="P334">
        <v>9</v>
      </c>
      <c r="Q334">
        <v>9</v>
      </c>
      <c r="R334" s="32">
        <f t="shared" si="50"/>
        <v>0</v>
      </c>
      <c r="S334">
        <v>9</v>
      </c>
      <c r="T334">
        <v>8</v>
      </c>
      <c r="U334" s="32">
        <f t="shared" si="51"/>
        <v>1</v>
      </c>
      <c r="V334">
        <v>9</v>
      </c>
      <c r="W334">
        <v>8</v>
      </c>
      <c r="X334" s="32">
        <f t="shared" si="52"/>
        <v>1</v>
      </c>
      <c r="Y334">
        <v>9</v>
      </c>
      <c r="Z334">
        <v>9</v>
      </c>
      <c r="AA334" s="32">
        <f t="shared" si="53"/>
        <v>0</v>
      </c>
    </row>
    <row r="335" spans="1:27" x14ac:dyDescent="0.45">
      <c r="A335">
        <v>8</v>
      </c>
      <c r="B335">
        <v>9</v>
      </c>
      <c r="C335" s="32">
        <f t="shared" si="45"/>
        <v>1</v>
      </c>
      <c r="D335">
        <v>8</v>
      </c>
      <c r="E335">
        <v>9</v>
      </c>
      <c r="F335" s="32">
        <f t="shared" si="46"/>
        <v>1</v>
      </c>
      <c r="G335">
        <v>9</v>
      </c>
      <c r="H335">
        <v>9</v>
      </c>
      <c r="I335" s="32">
        <f t="shared" si="47"/>
        <v>0</v>
      </c>
      <c r="J335">
        <v>9</v>
      </c>
      <c r="K335">
        <v>9</v>
      </c>
      <c r="L335" s="32">
        <f t="shared" si="48"/>
        <v>0</v>
      </c>
      <c r="M335">
        <v>9</v>
      </c>
      <c r="N335">
        <v>9</v>
      </c>
      <c r="O335" s="32">
        <f t="shared" si="49"/>
        <v>0</v>
      </c>
      <c r="P335">
        <v>9</v>
      </c>
      <c r="Q335">
        <v>9</v>
      </c>
      <c r="R335" s="32">
        <f t="shared" si="50"/>
        <v>0</v>
      </c>
      <c r="S335">
        <v>9</v>
      </c>
      <c r="T335">
        <v>8</v>
      </c>
      <c r="U335" s="32">
        <f t="shared" si="51"/>
        <v>1</v>
      </c>
      <c r="V335">
        <v>9</v>
      </c>
      <c r="W335">
        <v>8</v>
      </c>
      <c r="X335" s="32">
        <f t="shared" si="52"/>
        <v>1</v>
      </c>
      <c r="Y335">
        <v>9</v>
      </c>
      <c r="Z335">
        <v>9</v>
      </c>
      <c r="AA335" s="32">
        <f t="shared" si="53"/>
        <v>0</v>
      </c>
    </row>
    <row r="336" spans="1:27" x14ac:dyDescent="0.45">
      <c r="A336">
        <v>8</v>
      </c>
      <c r="B336">
        <v>9</v>
      </c>
      <c r="C336" s="32">
        <f t="shared" si="45"/>
        <v>1</v>
      </c>
      <c r="D336">
        <v>8</v>
      </c>
      <c r="E336">
        <v>9</v>
      </c>
      <c r="F336" s="32">
        <f t="shared" si="46"/>
        <v>1</v>
      </c>
      <c r="G336">
        <v>9</v>
      </c>
      <c r="H336">
        <v>9</v>
      </c>
      <c r="I336" s="32">
        <f t="shared" si="47"/>
        <v>0</v>
      </c>
      <c r="J336">
        <v>9</v>
      </c>
      <c r="K336">
        <v>9</v>
      </c>
      <c r="L336" s="32">
        <f t="shared" si="48"/>
        <v>0</v>
      </c>
      <c r="M336">
        <v>9</v>
      </c>
      <c r="N336">
        <v>9</v>
      </c>
      <c r="O336" s="32">
        <f t="shared" si="49"/>
        <v>0</v>
      </c>
      <c r="P336">
        <v>9</v>
      </c>
      <c r="Q336">
        <v>9</v>
      </c>
      <c r="R336" s="32">
        <f t="shared" si="50"/>
        <v>0</v>
      </c>
      <c r="S336">
        <v>9</v>
      </c>
      <c r="T336">
        <v>8</v>
      </c>
      <c r="U336" s="32">
        <f t="shared" si="51"/>
        <v>1</v>
      </c>
      <c r="V336">
        <v>9</v>
      </c>
      <c r="W336">
        <v>8</v>
      </c>
      <c r="X336" s="32">
        <f t="shared" si="52"/>
        <v>1</v>
      </c>
      <c r="Y336">
        <v>9</v>
      </c>
      <c r="Z336">
        <v>9</v>
      </c>
      <c r="AA336" s="32">
        <f t="shared" si="53"/>
        <v>0</v>
      </c>
    </row>
    <row r="337" spans="1:27" x14ac:dyDescent="0.45">
      <c r="A337">
        <v>8</v>
      </c>
      <c r="B337">
        <v>9</v>
      </c>
      <c r="C337" s="32">
        <f t="shared" si="45"/>
        <v>1</v>
      </c>
      <c r="D337">
        <v>8</v>
      </c>
      <c r="E337">
        <v>9</v>
      </c>
      <c r="F337" s="32">
        <f t="shared" si="46"/>
        <v>1</v>
      </c>
      <c r="G337">
        <v>9</v>
      </c>
      <c r="H337">
        <v>9</v>
      </c>
      <c r="I337" s="32">
        <f t="shared" si="47"/>
        <v>0</v>
      </c>
      <c r="J337">
        <v>9</v>
      </c>
      <c r="K337">
        <v>9</v>
      </c>
      <c r="L337" s="32">
        <f t="shared" si="48"/>
        <v>0</v>
      </c>
      <c r="M337">
        <v>9</v>
      </c>
      <c r="N337">
        <v>9</v>
      </c>
      <c r="O337" s="32">
        <f t="shared" si="49"/>
        <v>0</v>
      </c>
      <c r="P337">
        <v>9</v>
      </c>
      <c r="Q337">
        <v>9</v>
      </c>
      <c r="R337" s="32">
        <f t="shared" si="50"/>
        <v>0</v>
      </c>
      <c r="S337">
        <v>9</v>
      </c>
      <c r="T337">
        <v>8</v>
      </c>
      <c r="U337" s="32">
        <f t="shared" si="51"/>
        <v>1</v>
      </c>
      <c r="V337">
        <v>9</v>
      </c>
      <c r="W337">
        <v>8</v>
      </c>
      <c r="X337" s="32">
        <f t="shared" si="52"/>
        <v>1</v>
      </c>
      <c r="Y337">
        <v>9</v>
      </c>
      <c r="Z337">
        <v>9</v>
      </c>
      <c r="AA337" s="32">
        <f t="shared" si="53"/>
        <v>0</v>
      </c>
    </row>
    <row r="338" spans="1:27" x14ac:dyDescent="0.45">
      <c r="A338">
        <v>8</v>
      </c>
      <c r="B338">
        <v>9</v>
      </c>
      <c r="C338" s="32">
        <f t="shared" si="45"/>
        <v>1</v>
      </c>
      <c r="D338">
        <v>8</v>
      </c>
      <c r="E338">
        <v>9</v>
      </c>
      <c r="F338" s="32">
        <f t="shared" si="46"/>
        <v>1</v>
      </c>
      <c r="G338">
        <v>9</v>
      </c>
      <c r="H338">
        <v>9</v>
      </c>
      <c r="I338" s="32">
        <f t="shared" si="47"/>
        <v>0</v>
      </c>
      <c r="J338">
        <v>9</v>
      </c>
      <c r="K338">
        <v>9</v>
      </c>
      <c r="L338" s="32">
        <f t="shared" si="48"/>
        <v>0</v>
      </c>
      <c r="M338">
        <v>9</v>
      </c>
      <c r="N338">
        <v>9</v>
      </c>
      <c r="O338" s="32">
        <f t="shared" si="49"/>
        <v>0</v>
      </c>
      <c r="P338">
        <v>9</v>
      </c>
      <c r="Q338">
        <v>9</v>
      </c>
      <c r="R338" s="32">
        <f t="shared" si="50"/>
        <v>0</v>
      </c>
      <c r="S338">
        <v>9</v>
      </c>
      <c r="T338">
        <v>8</v>
      </c>
      <c r="U338" s="32">
        <f t="shared" si="51"/>
        <v>1</v>
      </c>
      <c r="V338">
        <v>9</v>
      </c>
      <c r="W338">
        <v>8</v>
      </c>
      <c r="X338" s="32">
        <f t="shared" si="52"/>
        <v>1</v>
      </c>
      <c r="Y338">
        <v>9</v>
      </c>
      <c r="Z338">
        <v>9</v>
      </c>
      <c r="AA338" s="32">
        <f t="shared" si="53"/>
        <v>0</v>
      </c>
    </row>
    <row r="339" spans="1:27" x14ac:dyDescent="0.45">
      <c r="A339">
        <v>8</v>
      </c>
      <c r="B339">
        <v>9</v>
      </c>
      <c r="C339" s="32">
        <f t="shared" si="45"/>
        <v>1</v>
      </c>
      <c r="D339">
        <v>8</v>
      </c>
      <c r="E339">
        <v>9</v>
      </c>
      <c r="F339" s="32">
        <f t="shared" si="46"/>
        <v>1</v>
      </c>
      <c r="G339">
        <v>9</v>
      </c>
      <c r="H339">
        <v>9</v>
      </c>
      <c r="I339" s="32">
        <f t="shared" si="47"/>
        <v>0</v>
      </c>
      <c r="J339">
        <v>9</v>
      </c>
      <c r="K339">
        <v>9</v>
      </c>
      <c r="L339" s="32">
        <f t="shared" si="48"/>
        <v>0</v>
      </c>
      <c r="M339">
        <v>9</v>
      </c>
      <c r="N339">
        <v>9</v>
      </c>
      <c r="O339" s="32">
        <f t="shared" si="49"/>
        <v>0</v>
      </c>
      <c r="P339">
        <v>9</v>
      </c>
      <c r="Q339">
        <v>9</v>
      </c>
      <c r="R339" s="32">
        <f t="shared" si="50"/>
        <v>0</v>
      </c>
      <c r="S339">
        <v>9</v>
      </c>
      <c r="T339">
        <v>8</v>
      </c>
      <c r="U339" s="32">
        <f t="shared" si="51"/>
        <v>1</v>
      </c>
      <c r="V339">
        <v>9</v>
      </c>
      <c r="W339">
        <v>8</v>
      </c>
      <c r="X339" s="32">
        <f t="shared" si="52"/>
        <v>1</v>
      </c>
      <c r="Y339">
        <v>9</v>
      </c>
      <c r="Z339">
        <v>9</v>
      </c>
      <c r="AA339" s="32">
        <f t="shared" si="53"/>
        <v>0</v>
      </c>
    </row>
    <row r="340" spans="1:27" x14ac:dyDescent="0.45">
      <c r="A340">
        <v>8</v>
      </c>
      <c r="B340">
        <v>9</v>
      </c>
      <c r="C340" s="32">
        <f t="shared" si="45"/>
        <v>1</v>
      </c>
      <c r="D340">
        <v>8</v>
      </c>
      <c r="E340">
        <v>9</v>
      </c>
      <c r="F340" s="32">
        <f t="shared" si="46"/>
        <v>1</v>
      </c>
      <c r="G340">
        <v>9</v>
      </c>
      <c r="H340">
        <v>9</v>
      </c>
      <c r="I340" s="32">
        <f t="shared" si="47"/>
        <v>0</v>
      </c>
      <c r="J340">
        <v>9</v>
      </c>
      <c r="K340">
        <v>9</v>
      </c>
      <c r="L340" s="32">
        <f t="shared" si="48"/>
        <v>0</v>
      </c>
      <c r="M340">
        <v>9</v>
      </c>
      <c r="N340">
        <v>9</v>
      </c>
      <c r="O340" s="32">
        <f t="shared" si="49"/>
        <v>0</v>
      </c>
      <c r="P340">
        <v>9</v>
      </c>
      <c r="Q340">
        <v>9</v>
      </c>
      <c r="R340" s="32">
        <f t="shared" si="50"/>
        <v>0</v>
      </c>
      <c r="S340">
        <v>9</v>
      </c>
      <c r="T340">
        <v>8</v>
      </c>
      <c r="U340" s="32">
        <f t="shared" si="51"/>
        <v>1</v>
      </c>
      <c r="V340">
        <v>9</v>
      </c>
      <c r="W340">
        <v>8</v>
      </c>
      <c r="X340" s="32">
        <f t="shared" si="52"/>
        <v>1</v>
      </c>
      <c r="Y340">
        <v>9</v>
      </c>
      <c r="Z340">
        <v>9</v>
      </c>
      <c r="AA340" s="32">
        <f t="shared" si="53"/>
        <v>0</v>
      </c>
    </row>
    <row r="341" spans="1:27" x14ac:dyDescent="0.45">
      <c r="A341">
        <v>8</v>
      </c>
      <c r="B341">
        <v>9</v>
      </c>
      <c r="C341" s="32">
        <f t="shared" si="45"/>
        <v>1</v>
      </c>
      <c r="D341">
        <v>8</v>
      </c>
      <c r="E341">
        <v>9</v>
      </c>
      <c r="F341" s="32">
        <f t="shared" si="46"/>
        <v>1</v>
      </c>
      <c r="G341">
        <v>9</v>
      </c>
      <c r="H341">
        <v>9</v>
      </c>
      <c r="I341" s="32">
        <f t="shared" si="47"/>
        <v>0</v>
      </c>
      <c r="J341">
        <v>9</v>
      </c>
      <c r="K341">
        <v>9</v>
      </c>
      <c r="L341" s="32">
        <f t="shared" si="48"/>
        <v>0</v>
      </c>
      <c r="M341">
        <v>9</v>
      </c>
      <c r="N341">
        <v>9</v>
      </c>
      <c r="O341" s="32">
        <f t="shared" si="49"/>
        <v>0</v>
      </c>
      <c r="P341">
        <v>9</v>
      </c>
      <c r="Q341">
        <v>9</v>
      </c>
      <c r="R341" s="32">
        <f t="shared" si="50"/>
        <v>0</v>
      </c>
      <c r="S341">
        <v>9</v>
      </c>
      <c r="T341">
        <v>9</v>
      </c>
      <c r="U341" s="32">
        <f t="shared" si="51"/>
        <v>0</v>
      </c>
      <c r="V341">
        <v>9</v>
      </c>
      <c r="W341">
        <v>8</v>
      </c>
      <c r="X341" s="32">
        <f t="shared" si="52"/>
        <v>1</v>
      </c>
      <c r="Y341">
        <v>9</v>
      </c>
      <c r="Z341">
        <v>9</v>
      </c>
      <c r="AA341" s="32">
        <f t="shared" si="53"/>
        <v>0</v>
      </c>
    </row>
    <row r="342" spans="1:27" x14ac:dyDescent="0.45">
      <c r="A342">
        <v>8</v>
      </c>
      <c r="B342">
        <v>9</v>
      </c>
      <c r="C342" s="32">
        <f t="shared" si="45"/>
        <v>1</v>
      </c>
      <c r="D342">
        <v>8</v>
      </c>
      <c r="E342">
        <v>9</v>
      </c>
      <c r="F342" s="32">
        <f t="shared" si="46"/>
        <v>1</v>
      </c>
      <c r="G342">
        <v>9</v>
      </c>
      <c r="H342">
        <v>9</v>
      </c>
      <c r="I342" s="32">
        <f t="shared" si="47"/>
        <v>0</v>
      </c>
      <c r="J342">
        <v>9</v>
      </c>
      <c r="K342">
        <v>9</v>
      </c>
      <c r="L342" s="32">
        <f t="shared" si="48"/>
        <v>0</v>
      </c>
      <c r="M342">
        <v>9</v>
      </c>
      <c r="N342">
        <v>9</v>
      </c>
      <c r="O342" s="32">
        <f t="shared" si="49"/>
        <v>0</v>
      </c>
      <c r="P342">
        <v>9</v>
      </c>
      <c r="Q342">
        <v>9</v>
      </c>
      <c r="R342" s="32">
        <f t="shared" si="50"/>
        <v>0</v>
      </c>
      <c r="S342">
        <v>9</v>
      </c>
      <c r="T342">
        <v>9</v>
      </c>
      <c r="U342" s="32">
        <f t="shared" si="51"/>
        <v>0</v>
      </c>
      <c r="V342">
        <v>9</v>
      </c>
      <c r="W342">
        <v>8</v>
      </c>
      <c r="X342" s="32">
        <f t="shared" si="52"/>
        <v>1</v>
      </c>
      <c r="Y342">
        <v>9</v>
      </c>
      <c r="Z342">
        <v>9</v>
      </c>
      <c r="AA342" s="32">
        <f t="shared" si="53"/>
        <v>0</v>
      </c>
    </row>
    <row r="343" spans="1:27" x14ac:dyDescent="0.45">
      <c r="A343">
        <v>8</v>
      </c>
      <c r="B343">
        <v>9</v>
      </c>
      <c r="C343" s="32">
        <f t="shared" si="45"/>
        <v>1</v>
      </c>
      <c r="D343">
        <v>8</v>
      </c>
      <c r="E343">
        <v>9</v>
      </c>
      <c r="F343" s="32">
        <f t="shared" si="46"/>
        <v>1</v>
      </c>
      <c r="G343">
        <v>9</v>
      </c>
      <c r="H343">
        <v>9</v>
      </c>
      <c r="I343" s="32">
        <f t="shared" si="47"/>
        <v>0</v>
      </c>
      <c r="J343">
        <v>9</v>
      </c>
      <c r="K343">
        <v>9</v>
      </c>
      <c r="L343" s="32">
        <f t="shared" si="48"/>
        <v>0</v>
      </c>
      <c r="M343">
        <v>9</v>
      </c>
      <c r="N343">
        <v>9</v>
      </c>
      <c r="O343" s="32">
        <f t="shared" si="49"/>
        <v>0</v>
      </c>
      <c r="P343">
        <v>9</v>
      </c>
      <c r="Q343">
        <v>9</v>
      </c>
      <c r="R343" s="32">
        <f t="shared" si="50"/>
        <v>0</v>
      </c>
      <c r="S343">
        <v>9</v>
      </c>
      <c r="T343">
        <v>9</v>
      </c>
      <c r="U343" s="32">
        <f t="shared" si="51"/>
        <v>0</v>
      </c>
      <c r="V343">
        <v>9</v>
      </c>
      <c r="W343">
        <v>8</v>
      </c>
      <c r="X343" s="32">
        <f t="shared" si="52"/>
        <v>1</v>
      </c>
      <c r="Y343">
        <v>9</v>
      </c>
      <c r="Z343">
        <v>9</v>
      </c>
      <c r="AA343" s="32">
        <f t="shared" si="53"/>
        <v>0</v>
      </c>
    </row>
    <row r="344" spans="1:27" x14ac:dyDescent="0.45">
      <c r="A344">
        <v>8</v>
      </c>
      <c r="B344">
        <v>9</v>
      </c>
      <c r="C344" s="32">
        <f t="shared" si="45"/>
        <v>1</v>
      </c>
      <c r="D344">
        <v>9</v>
      </c>
      <c r="E344">
        <v>9</v>
      </c>
      <c r="F344" s="32">
        <f t="shared" si="46"/>
        <v>0</v>
      </c>
      <c r="G344">
        <v>9</v>
      </c>
      <c r="H344">
        <v>9</v>
      </c>
      <c r="I344" s="32">
        <f t="shared" si="47"/>
        <v>0</v>
      </c>
      <c r="J344">
        <v>9</v>
      </c>
      <c r="K344">
        <v>9</v>
      </c>
      <c r="L344" s="32">
        <f t="shared" si="48"/>
        <v>0</v>
      </c>
      <c r="M344">
        <v>9</v>
      </c>
      <c r="N344">
        <v>9</v>
      </c>
      <c r="O344" s="32">
        <f t="shared" si="49"/>
        <v>0</v>
      </c>
      <c r="P344">
        <v>9</v>
      </c>
      <c r="Q344">
        <v>9</v>
      </c>
      <c r="R344" s="32">
        <f t="shared" si="50"/>
        <v>0</v>
      </c>
      <c r="S344">
        <v>9</v>
      </c>
      <c r="T344">
        <v>9</v>
      </c>
      <c r="U344" s="32">
        <f t="shared" si="51"/>
        <v>0</v>
      </c>
      <c r="V344">
        <v>9</v>
      </c>
      <c r="W344">
        <v>8</v>
      </c>
      <c r="X344" s="32">
        <f t="shared" si="52"/>
        <v>1</v>
      </c>
      <c r="Y344">
        <v>9</v>
      </c>
      <c r="Z344">
        <v>9</v>
      </c>
      <c r="AA344" s="32">
        <f t="shared" si="53"/>
        <v>0</v>
      </c>
    </row>
    <row r="345" spans="1:27" x14ac:dyDescent="0.45">
      <c r="A345">
        <v>8</v>
      </c>
      <c r="B345">
        <v>9</v>
      </c>
      <c r="C345" s="32">
        <f t="shared" si="45"/>
        <v>1</v>
      </c>
      <c r="D345">
        <v>9</v>
      </c>
      <c r="E345">
        <v>9</v>
      </c>
      <c r="F345" s="32">
        <f t="shared" si="46"/>
        <v>0</v>
      </c>
      <c r="G345">
        <v>9</v>
      </c>
      <c r="H345">
        <v>9</v>
      </c>
      <c r="I345" s="32">
        <f t="shared" si="47"/>
        <v>0</v>
      </c>
      <c r="J345">
        <v>9</v>
      </c>
      <c r="K345">
        <v>9</v>
      </c>
      <c r="L345" s="32">
        <f t="shared" si="48"/>
        <v>0</v>
      </c>
      <c r="M345">
        <v>9</v>
      </c>
      <c r="N345">
        <v>9</v>
      </c>
      <c r="O345" s="32">
        <f t="shared" si="49"/>
        <v>0</v>
      </c>
      <c r="P345">
        <v>9</v>
      </c>
      <c r="Q345">
        <v>9</v>
      </c>
      <c r="R345" s="32">
        <f t="shared" si="50"/>
        <v>0</v>
      </c>
      <c r="S345">
        <v>9</v>
      </c>
      <c r="T345">
        <v>9</v>
      </c>
      <c r="U345" s="32">
        <f t="shared" si="51"/>
        <v>0</v>
      </c>
      <c r="V345">
        <v>9</v>
      </c>
      <c r="W345">
        <v>9</v>
      </c>
      <c r="X345" s="32">
        <f t="shared" si="52"/>
        <v>0</v>
      </c>
      <c r="Y345">
        <v>9</v>
      </c>
      <c r="Z345">
        <v>9</v>
      </c>
      <c r="AA345" s="32">
        <f t="shared" si="53"/>
        <v>0</v>
      </c>
    </row>
    <row r="346" spans="1:27" x14ac:dyDescent="0.45">
      <c r="A346">
        <v>8</v>
      </c>
      <c r="B346">
        <v>9</v>
      </c>
      <c r="C346" s="32">
        <f t="shared" si="45"/>
        <v>1</v>
      </c>
      <c r="D346">
        <v>9</v>
      </c>
      <c r="E346">
        <v>9</v>
      </c>
      <c r="F346" s="32">
        <f t="shared" si="46"/>
        <v>0</v>
      </c>
      <c r="G346">
        <v>9</v>
      </c>
      <c r="H346">
        <v>9</v>
      </c>
      <c r="I346" s="32">
        <f t="shared" si="47"/>
        <v>0</v>
      </c>
      <c r="J346">
        <v>9</v>
      </c>
      <c r="K346">
        <v>9</v>
      </c>
      <c r="L346" s="32">
        <f t="shared" si="48"/>
        <v>0</v>
      </c>
      <c r="M346">
        <v>9</v>
      </c>
      <c r="N346">
        <v>9</v>
      </c>
      <c r="O346" s="32">
        <f t="shared" si="49"/>
        <v>0</v>
      </c>
      <c r="P346">
        <v>9</v>
      </c>
      <c r="Q346">
        <v>9</v>
      </c>
      <c r="R346" s="32">
        <f t="shared" si="50"/>
        <v>0</v>
      </c>
      <c r="S346">
        <v>9</v>
      </c>
      <c r="T346">
        <v>9</v>
      </c>
      <c r="U346" s="32">
        <f t="shared" si="51"/>
        <v>0</v>
      </c>
      <c r="V346">
        <v>9</v>
      </c>
      <c r="W346">
        <v>9</v>
      </c>
      <c r="X346" s="32">
        <f t="shared" si="52"/>
        <v>0</v>
      </c>
      <c r="Y346">
        <v>9</v>
      </c>
      <c r="Z346">
        <v>10</v>
      </c>
      <c r="AA346" s="32">
        <f t="shared" si="53"/>
        <v>1</v>
      </c>
    </row>
    <row r="347" spans="1:27" x14ac:dyDescent="0.45">
      <c r="A347">
        <v>8</v>
      </c>
      <c r="B347">
        <v>9</v>
      </c>
      <c r="C347" s="32">
        <f t="shared" si="45"/>
        <v>1</v>
      </c>
      <c r="D347">
        <v>9</v>
      </c>
      <c r="E347">
        <v>9</v>
      </c>
      <c r="F347" s="32">
        <f t="shared" si="46"/>
        <v>0</v>
      </c>
      <c r="G347">
        <v>9</v>
      </c>
      <c r="H347">
        <v>9</v>
      </c>
      <c r="I347" s="32">
        <f t="shared" si="47"/>
        <v>0</v>
      </c>
      <c r="J347">
        <v>9</v>
      </c>
      <c r="K347">
        <v>9</v>
      </c>
      <c r="L347" s="32">
        <f t="shared" si="48"/>
        <v>0</v>
      </c>
      <c r="M347">
        <v>9</v>
      </c>
      <c r="N347">
        <v>9</v>
      </c>
      <c r="O347" s="32">
        <f t="shared" si="49"/>
        <v>0</v>
      </c>
      <c r="P347">
        <v>9</v>
      </c>
      <c r="Q347">
        <v>9</v>
      </c>
      <c r="R347" s="32">
        <f t="shared" si="50"/>
        <v>0</v>
      </c>
      <c r="S347">
        <v>9</v>
      </c>
      <c r="T347">
        <v>9</v>
      </c>
      <c r="U347" s="32">
        <f t="shared" si="51"/>
        <v>0</v>
      </c>
      <c r="V347">
        <v>9</v>
      </c>
      <c r="W347">
        <v>9</v>
      </c>
      <c r="X347" s="32">
        <f t="shared" si="52"/>
        <v>0</v>
      </c>
      <c r="Y347">
        <v>9</v>
      </c>
      <c r="Z347">
        <v>10</v>
      </c>
      <c r="AA347" s="32">
        <f t="shared" si="53"/>
        <v>1</v>
      </c>
    </row>
    <row r="348" spans="1:27" x14ac:dyDescent="0.45">
      <c r="A348">
        <v>8</v>
      </c>
      <c r="B348">
        <v>9</v>
      </c>
      <c r="C348" s="32">
        <f t="shared" si="45"/>
        <v>1</v>
      </c>
      <c r="D348">
        <v>9</v>
      </c>
      <c r="E348">
        <v>9</v>
      </c>
      <c r="F348" s="32">
        <f t="shared" si="46"/>
        <v>0</v>
      </c>
      <c r="G348">
        <v>9</v>
      </c>
      <c r="H348">
        <v>9</v>
      </c>
      <c r="I348" s="32">
        <f t="shared" si="47"/>
        <v>0</v>
      </c>
      <c r="J348">
        <v>9</v>
      </c>
      <c r="K348">
        <v>9</v>
      </c>
      <c r="L348" s="32">
        <f t="shared" si="48"/>
        <v>0</v>
      </c>
      <c r="M348">
        <v>9</v>
      </c>
      <c r="N348">
        <v>9</v>
      </c>
      <c r="O348" s="32">
        <f t="shared" si="49"/>
        <v>0</v>
      </c>
      <c r="P348">
        <v>9</v>
      </c>
      <c r="Q348">
        <v>9</v>
      </c>
      <c r="R348" s="32">
        <f t="shared" si="50"/>
        <v>0</v>
      </c>
      <c r="S348">
        <v>9</v>
      </c>
      <c r="T348">
        <v>9</v>
      </c>
      <c r="U348" s="32">
        <f t="shared" si="51"/>
        <v>0</v>
      </c>
      <c r="V348">
        <v>9</v>
      </c>
      <c r="W348">
        <v>9</v>
      </c>
      <c r="X348" s="32">
        <f t="shared" si="52"/>
        <v>0</v>
      </c>
      <c r="Y348">
        <v>9</v>
      </c>
      <c r="Z348">
        <v>10</v>
      </c>
      <c r="AA348" s="32">
        <f t="shared" si="53"/>
        <v>1</v>
      </c>
    </row>
    <row r="349" spans="1:27" x14ac:dyDescent="0.45">
      <c r="A349">
        <v>8</v>
      </c>
      <c r="B349">
        <v>10</v>
      </c>
      <c r="C349" s="32">
        <f t="shared" si="45"/>
        <v>2</v>
      </c>
      <c r="D349">
        <v>9</v>
      </c>
      <c r="E349">
        <v>9</v>
      </c>
      <c r="F349" s="32">
        <f t="shared" si="46"/>
        <v>0</v>
      </c>
      <c r="G349">
        <v>9</v>
      </c>
      <c r="H349">
        <v>9</v>
      </c>
      <c r="I349" s="32">
        <f t="shared" si="47"/>
        <v>0</v>
      </c>
      <c r="J349">
        <v>9</v>
      </c>
      <c r="K349">
        <v>9</v>
      </c>
      <c r="L349" s="32">
        <f t="shared" si="48"/>
        <v>0</v>
      </c>
      <c r="M349">
        <v>9</v>
      </c>
      <c r="N349">
        <v>9</v>
      </c>
      <c r="O349" s="32">
        <f t="shared" si="49"/>
        <v>0</v>
      </c>
      <c r="P349">
        <v>9</v>
      </c>
      <c r="Q349">
        <v>9</v>
      </c>
      <c r="R349" s="32">
        <f t="shared" si="50"/>
        <v>0</v>
      </c>
      <c r="S349">
        <v>9</v>
      </c>
      <c r="T349">
        <v>9</v>
      </c>
      <c r="U349" s="32">
        <f t="shared" si="51"/>
        <v>0</v>
      </c>
      <c r="V349">
        <v>9</v>
      </c>
      <c r="W349">
        <v>9</v>
      </c>
      <c r="X349" s="32">
        <f t="shared" si="52"/>
        <v>0</v>
      </c>
      <c r="Y349">
        <v>9</v>
      </c>
      <c r="Z349">
        <v>10</v>
      </c>
      <c r="AA349" s="32">
        <f t="shared" si="53"/>
        <v>1</v>
      </c>
    </row>
    <row r="350" spans="1:27" x14ac:dyDescent="0.45">
      <c r="A350">
        <v>8</v>
      </c>
      <c r="B350">
        <v>10</v>
      </c>
      <c r="C350" s="32">
        <f t="shared" si="45"/>
        <v>2</v>
      </c>
      <c r="D350">
        <v>9</v>
      </c>
      <c r="E350">
        <v>9</v>
      </c>
      <c r="F350" s="32">
        <f t="shared" si="46"/>
        <v>0</v>
      </c>
      <c r="G350">
        <v>9</v>
      </c>
      <c r="H350">
        <v>9</v>
      </c>
      <c r="I350" s="32">
        <f t="shared" si="47"/>
        <v>0</v>
      </c>
      <c r="J350">
        <v>9</v>
      </c>
      <c r="K350">
        <v>9</v>
      </c>
      <c r="L350" s="32">
        <f t="shared" si="48"/>
        <v>0</v>
      </c>
      <c r="M350">
        <v>9</v>
      </c>
      <c r="N350">
        <v>9</v>
      </c>
      <c r="O350" s="32">
        <f t="shared" si="49"/>
        <v>0</v>
      </c>
      <c r="P350">
        <v>9</v>
      </c>
      <c r="Q350">
        <v>9</v>
      </c>
      <c r="R350" s="32">
        <f t="shared" si="50"/>
        <v>0</v>
      </c>
      <c r="S350">
        <v>9</v>
      </c>
      <c r="T350">
        <v>9</v>
      </c>
      <c r="U350" s="32">
        <f t="shared" si="51"/>
        <v>0</v>
      </c>
      <c r="V350">
        <v>9</v>
      </c>
      <c r="W350">
        <v>9</v>
      </c>
      <c r="X350" s="32">
        <f t="shared" si="52"/>
        <v>0</v>
      </c>
      <c r="Y350">
        <v>9</v>
      </c>
      <c r="Z350">
        <v>10</v>
      </c>
      <c r="AA350" s="32">
        <f t="shared" si="53"/>
        <v>1</v>
      </c>
    </row>
    <row r="351" spans="1:27" x14ac:dyDescent="0.45">
      <c r="A351">
        <v>8</v>
      </c>
      <c r="B351">
        <v>10</v>
      </c>
      <c r="C351" s="32">
        <f t="shared" si="45"/>
        <v>2</v>
      </c>
      <c r="D351">
        <v>9</v>
      </c>
      <c r="E351">
        <v>9</v>
      </c>
      <c r="F351" s="32">
        <f t="shared" si="46"/>
        <v>0</v>
      </c>
      <c r="G351">
        <v>9</v>
      </c>
      <c r="H351">
        <v>9</v>
      </c>
      <c r="I351" s="32">
        <f t="shared" si="47"/>
        <v>0</v>
      </c>
      <c r="J351">
        <v>9</v>
      </c>
      <c r="K351">
        <v>9</v>
      </c>
      <c r="L351" s="32">
        <f t="shared" si="48"/>
        <v>0</v>
      </c>
      <c r="M351">
        <v>9</v>
      </c>
      <c r="N351">
        <v>9</v>
      </c>
      <c r="O351" s="32">
        <f t="shared" si="49"/>
        <v>0</v>
      </c>
      <c r="P351">
        <v>9</v>
      </c>
      <c r="Q351">
        <v>9</v>
      </c>
      <c r="R351" s="32">
        <f t="shared" si="50"/>
        <v>0</v>
      </c>
      <c r="S351">
        <v>9</v>
      </c>
      <c r="T351">
        <v>9</v>
      </c>
      <c r="U351" s="32">
        <f t="shared" si="51"/>
        <v>0</v>
      </c>
      <c r="V351">
        <v>9</v>
      </c>
      <c r="W351">
        <v>9</v>
      </c>
      <c r="X351" s="32">
        <f t="shared" si="52"/>
        <v>0</v>
      </c>
      <c r="Y351">
        <v>9</v>
      </c>
      <c r="Z351">
        <v>10</v>
      </c>
      <c r="AA351" s="32">
        <f t="shared" si="53"/>
        <v>1</v>
      </c>
    </row>
    <row r="352" spans="1:27" x14ac:dyDescent="0.45">
      <c r="A352">
        <v>8</v>
      </c>
      <c r="B352">
        <v>10</v>
      </c>
      <c r="C352" s="32">
        <f t="shared" si="45"/>
        <v>2</v>
      </c>
      <c r="D352">
        <v>9</v>
      </c>
      <c r="E352">
        <v>10</v>
      </c>
      <c r="F352" s="32">
        <f t="shared" si="46"/>
        <v>1</v>
      </c>
      <c r="G352">
        <v>9</v>
      </c>
      <c r="H352">
        <v>9</v>
      </c>
      <c r="I352" s="32">
        <f t="shared" si="47"/>
        <v>0</v>
      </c>
      <c r="J352">
        <v>9</v>
      </c>
      <c r="K352">
        <v>9</v>
      </c>
      <c r="L352" s="32">
        <f t="shared" si="48"/>
        <v>0</v>
      </c>
      <c r="M352">
        <v>9</v>
      </c>
      <c r="N352">
        <v>9</v>
      </c>
      <c r="O352" s="32">
        <f t="shared" si="49"/>
        <v>0</v>
      </c>
      <c r="P352">
        <v>9</v>
      </c>
      <c r="Q352">
        <v>9</v>
      </c>
      <c r="R352" s="32">
        <f t="shared" si="50"/>
        <v>0</v>
      </c>
      <c r="S352">
        <v>9</v>
      </c>
      <c r="T352">
        <v>9</v>
      </c>
      <c r="U352" s="32">
        <f t="shared" si="51"/>
        <v>0</v>
      </c>
      <c r="V352">
        <v>9</v>
      </c>
      <c r="W352">
        <v>9</v>
      </c>
      <c r="X352" s="32">
        <f t="shared" si="52"/>
        <v>0</v>
      </c>
      <c r="Y352">
        <v>9</v>
      </c>
      <c r="Z352">
        <v>10</v>
      </c>
      <c r="AA352" s="32">
        <f t="shared" si="53"/>
        <v>1</v>
      </c>
    </row>
    <row r="353" spans="1:27" x14ac:dyDescent="0.45">
      <c r="A353">
        <v>8</v>
      </c>
      <c r="B353">
        <v>10</v>
      </c>
      <c r="C353" s="32">
        <f t="shared" si="45"/>
        <v>2</v>
      </c>
      <c r="D353">
        <v>9</v>
      </c>
      <c r="E353">
        <v>10</v>
      </c>
      <c r="F353" s="32">
        <f t="shared" si="46"/>
        <v>1</v>
      </c>
      <c r="G353">
        <v>9</v>
      </c>
      <c r="H353">
        <v>9</v>
      </c>
      <c r="I353" s="32">
        <f t="shared" si="47"/>
        <v>0</v>
      </c>
      <c r="J353">
        <v>9</v>
      </c>
      <c r="K353">
        <v>9</v>
      </c>
      <c r="L353" s="32">
        <f t="shared" si="48"/>
        <v>0</v>
      </c>
      <c r="M353">
        <v>9</v>
      </c>
      <c r="N353">
        <v>9</v>
      </c>
      <c r="O353" s="32">
        <f t="shared" si="49"/>
        <v>0</v>
      </c>
      <c r="P353">
        <v>9</v>
      </c>
      <c r="Q353">
        <v>9</v>
      </c>
      <c r="R353" s="32">
        <f t="shared" si="50"/>
        <v>0</v>
      </c>
      <c r="S353">
        <v>9</v>
      </c>
      <c r="T353">
        <v>9</v>
      </c>
      <c r="U353" s="32">
        <f t="shared" si="51"/>
        <v>0</v>
      </c>
      <c r="V353">
        <v>9</v>
      </c>
      <c r="W353">
        <v>9</v>
      </c>
      <c r="X353" s="32">
        <f t="shared" si="52"/>
        <v>0</v>
      </c>
      <c r="Y353">
        <v>9</v>
      </c>
      <c r="Z353">
        <v>10</v>
      </c>
      <c r="AA353" s="32">
        <f t="shared" si="53"/>
        <v>1</v>
      </c>
    </row>
    <row r="354" spans="1:27" x14ac:dyDescent="0.45">
      <c r="A354">
        <v>8</v>
      </c>
      <c r="B354">
        <v>10</v>
      </c>
      <c r="C354" s="32">
        <f t="shared" si="45"/>
        <v>2</v>
      </c>
      <c r="D354">
        <v>9</v>
      </c>
      <c r="E354">
        <v>10</v>
      </c>
      <c r="F354" s="32">
        <f t="shared" si="46"/>
        <v>1</v>
      </c>
      <c r="G354">
        <v>9</v>
      </c>
      <c r="H354">
        <v>9</v>
      </c>
      <c r="I354" s="32">
        <f t="shared" si="47"/>
        <v>0</v>
      </c>
      <c r="J354">
        <v>9</v>
      </c>
      <c r="K354">
        <v>9</v>
      </c>
      <c r="L354" s="32">
        <f t="shared" si="48"/>
        <v>0</v>
      </c>
      <c r="M354">
        <v>9</v>
      </c>
      <c r="N354">
        <v>9</v>
      </c>
      <c r="O354" s="32">
        <f t="shared" si="49"/>
        <v>0</v>
      </c>
      <c r="P354">
        <v>9</v>
      </c>
      <c r="Q354">
        <v>9</v>
      </c>
      <c r="R354" s="32">
        <f t="shared" si="50"/>
        <v>0</v>
      </c>
      <c r="S354">
        <v>9</v>
      </c>
      <c r="T354">
        <v>9</v>
      </c>
      <c r="U354" s="32">
        <f t="shared" si="51"/>
        <v>0</v>
      </c>
      <c r="V354">
        <v>9</v>
      </c>
      <c r="W354">
        <v>9</v>
      </c>
      <c r="X354" s="32">
        <f t="shared" si="52"/>
        <v>0</v>
      </c>
      <c r="Y354">
        <v>9</v>
      </c>
      <c r="Z354">
        <v>10</v>
      </c>
      <c r="AA354" s="32">
        <f t="shared" si="53"/>
        <v>1</v>
      </c>
    </row>
    <row r="355" spans="1:27" x14ac:dyDescent="0.45">
      <c r="A355">
        <v>8</v>
      </c>
      <c r="B355">
        <v>10</v>
      </c>
      <c r="C355" s="32">
        <f t="shared" si="45"/>
        <v>2</v>
      </c>
      <c r="D355">
        <v>9</v>
      </c>
      <c r="E355">
        <v>10</v>
      </c>
      <c r="F355" s="32">
        <f t="shared" si="46"/>
        <v>1</v>
      </c>
      <c r="G355">
        <v>9</v>
      </c>
      <c r="H355">
        <v>9</v>
      </c>
      <c r="I355" s="32">
        <f t="shared" si="47"/>
        <v>0</v>
      </c>
      <c r="J355">
        <v>9</v>
      </c>
      <c r="K355">
        <v>9</v>
      </c>
      <c r="L355" s="32">
        <f t="shared" si="48"/>
        <v>0</v>
      </c>
      <c r="M355">
        <v>9</v>
      </c>
      <c r="N355">
        <v>9</v>
      </c>
      <c r="O355" s="32">
        <f t="shared" si="49"/>
        <v>0</v>
      </c>
      <c r="P355">
        <v>9</v>
      </c>
      <c r="Q355">
        <v>9</v>
      </c>
      <c r="R355" s="32">
        <f t="shared" si="50"/>
        <v>0</v>
      </c>
      <c r="S355">
        <v>9</v>
      </c>
      <c r="T355">
        <v>9</v>
      </c>
      <c r="U355" s="32">
        <f t="shared" si="51"/>
        <v>0</v>
      </c>
      <c r="V355">
        <v>9</v>
      </c>
      <c r="W355">
        <v>9</v>
      </c>
      <c r="X355" s="32">
        <f t="shared" si="52"/>
        <v>0</v>
      </c>
      <c r="Y355">
        <v>9</v>
      </c>
      <c r="Z355">
        <v>10</v>
      </c>
      <c r="AA355" s="32">
        <f t="shared" si="53"/>
        <v>1</v>
      </c>
    </row>
    <row r="356" spans="1:27" x14ac:dyDescent="0.45">
      <c r="A356">
        <v>8</v>
      </c>
      <c r="B356">
        <v>10</v>
      </c>
      <c r="C356" s="32">
        <f t="shared" si="45"/>
        <v>2</v>
      </c>
      <c r="D356">
        <v>9</v>
      </c>
      <c r="E356">
        <v>10</v>
      </c>
      <c r="F356" s="32">
        <f t="shared" si="46"/>
        <v>1</v>
      </c>
      <c r="G356">
        <v>9</v>
      </c>
      <c r="H356">
        <v>9</v>
      </c>
      <c r="I356" s="32">
        <f t="shared" si="47"/>
        <v>0</v>
      </c>
      <c r="J356">
        <v>9</v>
      </c>
      <c r="K356">
        <v>9</v>
      </c>
      <c r="L356" s="32">
        <f t="shared" si="48"/>
        <v>0</v>
      </c>
      <c r="M356">
        <v>9</v>
      </c>
      <c r="N356">
        <v>9</v>
      </c>
      <c r="O356" s="32">
        <f t="shared" si="49"/>
        <v>0</v>
      </c>
      <c r="P356">
        <v>9</v>
      </c>
      <c r="Q356">
        <v>9</v>
      </c>
      <c r="R356" s="32">
        <f t="shared" si="50"/>
        <v>0</v>
      </c>
      <c r="S356">
        <v>9</v>
      </c>
      <c r="T356">
        <v>9</v>
      </c>
      <c r="U356" s="32">
        <f t="shared" si="51"/>
        <v>0</v>
      </c>
      <c r="V356">
        <v>9</v>
      </c>
      <c r="W356">
        <v>9</v>
      </c>
      <c r="X356" s="32">
        <f t="shared" si="52"/>
        <v>0</v>
      </c>
      <c r="Y356">
        <v>9</v>
      </c>
      <c r="Z356">
        <v>10</v>
      </c>
      <c r="AA356" s="32">
        <f t="shared" si="53"/>
        <v>1</v>
      </c>
    </row>
    <row r="357" spans="1:27" x14ac:dyDescent="0.45">
      <c r="A357">
        <v>8</v>
      </c>
      <c r="B357">
        <v>10</v>
      </c>
      <c r="C357" s="32">
        <f t="shared" si="45"/>
        <v>2</v>
      </c>
      <c r="D357">
        <v>9</v>
      </c>
      <c r="E357">
        <v>10</v>
      </c>
      <c r="F357" s="32">
        <f t="shared" si="46"/>
        <v>1</v>
      </c>
      <c r="G357">
        <v>9</v>
      </c>
      <c r="H357">
        <v>9</v>
      </c>
      <c r="I357" s="32">
        <f t="shared" si="47"/>
        <v>0</v>
      </c>
      <c r="J357">
        <v>9</v>
      </c>
      <c r="K357">
        <v>9</v>
      </c>
      <c r="L357" s="32">
        <f t="shared" si="48"/>
        <v>0</v>
      </c>
      <c r="M357">
        <v>9</v>
      </c>
      <c r="N357">
        <v>9</v>
      </c>
      <c r="O357" s="32">
        <f t="shared" si="49"/>
        <v>0</v>
      </c>
      <c r="P357">
        <v>9</v>
      </c>
      <c r="Q357">
        <v>10</v>
      </c>
      <c r="R357" s="32">
        <f t="shared" si="50"/>
        <v>1</v>
      </c>
      <c r="S357">
        <v>9</v>
      </c>
      <c r="T357">
        <v>9</v>
      </c>
      <c r="U357" s="32">
        <f t="shared" si="51"/>
        <v>0</v>
      </c>
      <c r="V357">
        <v>9</v>
      </c>
      <c r="W357">
        <v>9</v>
      </c>
      <c r="X357" s="32">
        <f t="shared" si="52"/>
        <v>0</v>
      </c>
      <c r="Y357">
        <v>9</v>
      </c>
      <c r="Z357">
        <v>10</v>
      </c>
      <c r="AA357" s="32">
        <f t="shared" si="53"/>
        <v>1</v>
      </c>
    </row>
    <row r="358" spans="1:27" x14ac:dyDescent="0.45">
      <c r="A358">
        <v>8</v>
      </c>
      <c r="B358">
        <v>10</v>
      </c>
      <c r="C358" s="32">
        <f t="shared" si="45"/>
        <v>2</v>
      </c>
      <c r="D358">
        <v>9</v>
      </c>
      <c r="E358">
        <v>10</v>
      </c>
      <c r="F358" s="32">
        <f t="shared" si="46"/>
        <v>1</v>
      </c>
      <c r="G358">
        <v>9</v>
      </c>
      <c r="H358">
        <v>9</v>
      </c>
      <c r="I358" s="32">
        <f t="shared" si="47"/>
        <v>0</v>
      </c>
      <c r="J358">
        <v>9</v>
      </c>
      <c r="K358">
        <v>9</v>
      </c>
      <c r="L358" s="32">
        <f t="shared" si="48"/>
        <v>0</v>
      </c>
      <c r="M358">
        <v>9</v>
      </c>
      <c r="N358">
        <v>9</v>
      </c>
      <c r="O358" s="32">
        <f t="shared" si="49"/>
        <v>0</v>
      </c>
      <c r="P358">
        <v>9</v>
      </c>
      <c r="Q358">
        <v>10</v>
      </c>
      <c r="R358" s="32">
        <f t="shared" si="50"/>
        <v>1</v>
      </c>
      <c r="S358">
        <v>9</v>
      </c>
      <c r="T358">
        <v>9</v>
      </c>
      <c r="U358" s="32">
        <f t="shared" si="51"/>
        <v>0</v>
      </c>
      <c r="V358">
        <v>9</v>
      </c>
      <c r="W358">
        <v>9</v>
      </c>
      <c r="X358" s="32">
        <f t="shared" si="52"/>
        <v>0</v>
      </c>
      <c r="Y358">
        <v>9</v>
      </c>
      <c r="Z358">
        <v>10</v>
      </c>
      <c r="AA358" s="32">
        <f t="shared" si="53"/>
        <v>1</v>
      </c>
    </row>
    <row r="359" spans="1:27" x14ac:dyDescent="0.45">
      <c r="A359">
        <v>8</v>
      </c>
      <c r="B359">
        <v>10</v>
      </c>
      <c r="C359" s="32">
        <f t="shared" si="45"/>
        <v>2</v>
      </c>
      <c r="D359">
        <v>9</v>
      </c>
      <c r="E359">
        <v>10</v>
      </c>
      <c r="F359" s="32">
        <f t="shared" si="46"/>
        <v>1</v>
      </c>
      <c r="G359">
        <v>9</v>
      </c>
      <c r="H359">
        <v>9</v>
      </c>
      <c r="I359" s="32">
        <f t="shared" si="47"/>
        <v>0</v>
      </c>
      <c r="J359">
        <v>9</v>
      </c>
      <c r="K359">
        <v>9</v>
      </c>
      <c r="L359" s="32">
        <f t="shared" si="48"/>
        <v>0</v>
      </c>
      <c r="M359">
        <v>9</v>
      </c>
      <c r="N359">
        <v>9</v>
      </c>
      <c r="O359" s="32">
        <f t="shared" si="49"/>
        <v>0</v>
      </c>
      <c r="P359">
        <v>9</v>
      </c>
      <c r="Q359">
        <v>10</v>
      </c>
      <c r="R359" s="32">
        <f t="shared" si="50"/>
        <v>1</v>
      </c>
      <c r="S359">
        <v>9</v>
      </c>
      <c r="T359">
        <v>9</v>
      </c>
      <c r="U359" s="32">
        <f t="shared" si="51"/>
        <v>0</v>
      </c>
      <c r="V359">
        <v>9</v>
      </c>
      <c r="W359">
        <v>9</v>
      </c>
      <c r="X359" s="32">
        <f t="shared" si="52"/>
        <v>0</v>
      </c>
      <c r="Y359">
        <v>9</v>
      </c>
      <c r="Z359">
        <v>10</v>
      </c>
      <c r="AA359" s="32">
        <f t="shared" si="53"/>
        <v>1</v>
      </c>
    </row>
    <row r="360" spans="1:27" x14ac:dyDescent="0.45">
      <c r="A360">
        <v>8</v>
      </c>
      <c r="B360">
        <v>10</v>
      </c>
      <c r="C360" s="32">
        <f t="shared" si="45"/>
        <v>2</v>
      </c>
      <c r="D360">
        <v>9</v>
      </c>
      <c r="E360">
        <v>10</v>
      </c>
      <c r="F360" s="32">
        <f t="shared" si="46"/>
        <v>1</v>
      </c>
      <c r="G360">
        <v>9</v>
      </c>
      <c r="H360">
        <v>9</v>
      </c>
      <c r="I360" s="32">
        <f t="shared" si="47"/>
        <v>0</v>
      </c>
      <c r="J360">
        <v>9</v>
      </c>
      <c r="K360">
        <v>9</v>
      </c>
      <c r="L360" s="32">
        <f t="shared" si="48"/>
        <v>0</v>
      </c>
      <c r="M360">
        <v>9</v>
      </c>
      <c r="N360">
        <v>9</v>
      </c>
      <c r="O360" s="32">
        <f t="shared" si="49"/>
        <v>0</v>
      </c>
      <c r="P360">
        <v>9</v>
      </c>
      <c r="Q360">
        <v>10</v>
      </c>
      <c r="R360" s="32">
        <f t="shared" si="50"/>
        <v>1</v>
      </c>
      <c r="S360">
        <v>9</v>
      </c>
      <c r="T360">
        <v>9</v>
      </c>
      <c r="U360" s="32">
        <f t="shared" si="51"/>
        <v>0</v>
      </c>
      <c r="V360">
        <v>9</v>
      </c>
      <c r="W360">
        <v>9</v>
      </c>
      <c r="X360" s="32">
        <f t="shared" si="52"/>
        <v>0</v>
      </c>
      <c r="Y360">
        <v>9</v>
      </c>
      <c r="Z360">
        <v>10</v>
      </c>
      <c r="AA360" s="32">
        <f t="shared" si="53"/>
        <v>1</v>
      </c>
    </row>
    <row r="361" spans="1:27" x14ac:dyDescent="0.45">
      <c r="A361">
        <v>8</v>
      </c>
      <c r="B361">
        <v>10</v>
      </c>
      <c r="C361" s="32">
        <f t="shared" si="45"/>
        <v>2</v>
      </c>
      <c r="D361">
        <v>9</v>
      </c>
      <c r="E361">
        <v>10</v>
      </c>
      <c r="F361" s="32">
        <f t="shared" si="46"/>
        <v>1</v>
      </c>
      <c r="G361">
        <v>9</v>
      </c>
      <c r="H361">
        <v>9</v>
      </c>
      <c r="I361" s="32">
        <f t="shared" si="47"/>
        <v>0</v>
      </c>
      <c r="J361">
        <v>9</v>
      </c>
      <c r="K361">
        <v>9</v>
      </c>
      <c r="L361" s="32">
        <f t="shared" si="48"/>
        <v>0</v>
      </c>
      <c r="M361">
        <v>9</v>
      </c>
      <c r="N361">
        <v>9</v>
      </c>
      <c r="O361" s="32">
        <f t="shared" si="49"/>
        <v>0</v>
      </c>
      <c r="P361">
        <v>9</v>
      </c>
      <c r="Q361">
        <v>10</v>
      </c>
      <c r="R361" s="32">
        <f t="shared" si="50"/>
        <v>1</v>
      </c>
      <c r="S361">
        <v>9</v>
      </c>
      <c r="T361">
        <v>9</v>
      </c>
      <c r="U361" s="32">
        <f t="shared" si="51"/>
        <v>0</v>
      </c>
      <c r="V361">
        <v>9</v>
      </c>
      <c r="W361">
        <v>9</v>
      </c>
      <c r="X361" s="32">
        <f t="shared" si="52"/>
        <v>0</v>
      </c>
      <c r="Y361">
        <v>9</v>
      </c>
      <c r="Z361">
        <v>10</v>
      </c>
      <c r="AA361" s="32">
        <f t="shared" si="53"/>
        <v>1</v>
      </c>
    </row>
    <row r="362" spans="1:27" x14ac:dyDescent="0.45">
      <c r="A362">
        <v>8</v>
      </c>
      <c r="B362">
        <v>10</v>
      </c>
      <c r="C362" s="32">
        <f t="shared" si="45"/>
        <v>2</v>
      </c>
      <c r="D362">
        <v>9</v>
      </c>
      <c r="E362">
        <v>10</v>
      </c>
      <c r="F362" s="32">
        <f t="shared" si="46"/>
        <v>1</v>
      </c>
      <c r="G362">
        <v>9</v>
      </c>
      <c r="H362">
        <v>9</v>
      </c>
      <c r="I362" s="32">
        <f t="shared" si="47"/>
        <v>0</v>
      </c>
      <c r="J362">
        <v>9</v>
      </c>
      <c r="K362">
        <v>9</v>
      </c>
      <c r="L362" s="32">
        <f t="shared" si="48"/>
        <v>0</v>
      </c>
      <c r="M362">
        <v>9</v>
      </c>
      <c r="N362">
        <v>9</v>
      </c>
      <c r="O362" s="32">
        <f t="shared" si="49"/>
        <v>0</v>
      </c>
      <c r="P362">
        <v>9</v>
      </c>
      <c r="Q362">
        <v>10</v>
      </c>
      <c r="R362" s="32">
        <f t="shared" si="50"/>
        <v>1</v>
      </c>
      <c r="S362">
        <v>9</v>
      </c>
      <c r="T362">
        <v>9</v>
      </c>
      <c r="U362" s="32">
        <f t="shared" si="51"/>
        <v>0</v>
      </c>
      <c r="V362">
        <v>9</v>
      </c>
      <c r="W362">
        <v>9</v>
      </c>
      <c r="X362" s="32">
        <f t="shared" si="52"/>
        <v>0</v>
      </c>
      <c r="Y362">
        <v>9</v>
      </c>
      <c r="Z362">
        <v>10</v>
      </c>
      <c r="AA362" s="32">
        <f t="shared" si="53"/>
        <v>1</v>
      </c>
    </row>
    <row r="363" spans="1:27" x14ac:dyDescent="0.45">
      <c r="A363">
        <v>8</v>
      </c>
      <c r="B363">
        <v>10</v>
      </c>
      <c r="C363" s="32">
        <f t="shared" si="45"/>
        <v>2</v>
      </c>
      <c r="D363">
        <v>9</v>
      </c>
      <c r="E363">
        <v>10</v>
      </c>
      <c r="F363" s="32">
        <f t="shared" si="46"/>
        <v>1</v>
      </c>
      <c r="G363">
        <v>9</v>
      </c>
      <c r="H363">
        <v>9</v>
      </c>
      <c r="I363" s="32">
        <f t="shared" si="47"/>
        <v>0</v>
      </c>
      <c r="J363">
        <v>9</v>
      </c>
      <c r="K363">
        <v>9</v>
      </c>
      <c r="L363" s="32">
        <f t="shared" si="48"/>
        <v>0</v>
      </c>
      <c r="M363">
        <v>9</v>
      </c>
      <c r="N363">
        <v>9</v>
      </c>
      <c r="O363" s="32">
        <f t="shared" si="49"/>
        <v>0</v>
      </c>
      <c r="P363">
        <v>9</v>
      </c>
      <c r="Q363">
        <v>10</v>
      </c>
      <c r="R363" s="32">
        <f t="shared" si="50"/>
        <v>1</v>
      </c>
      <c r="S363">
        <v>9</v>
      </c>
      <c r="T363">
        <v>9</v>
      </c>
      <c r="U363" s="32">
        <f t="shared" si="51"/>
        <v>0</v>
      </c>
      <c r="V363">
        <v>9</v>
      </c>
      <c r="W363">
        <v>9</v>
      </c>
      <c r="X363" s="32">
        <f t="shared" si="52"/>
        <v>0</v>
      </c>
      <c r="Y363">
        <v>9</v>
      </c>
      <c r="Z363">
        <v>10</v>
      </c>
      <c r="AA363" s="32">
        <f t="shared" si="53"/>
        <v>1</v>
      </c>
    </row>
    <row r="364" spans="1:27" x14ac:dyDescent="0.45">
      <c r="A364">
        <v>8</v>
      </c>
      <c r="B364">
        <v>10</v>
      </c>
      <c r="C364" s="32">
        <f t="shared" si="45"/>
        <v>2</v>
      </c>
      <c r="D364">
        <v>9</v>
      </c>
      <c r="E364">
        <v>10</v>
      </c>
      <c r="F364" s="32">
        <f t="shared" si="46"/>
        <v>1</v>
      </c>
      <c r="G364">
        <v>9</v>
      </c>
      <c r="H364">
        <v>9</v>
      </c>
      <c r="I364" s="32">
        <f t="shared" si="47"/>
        <v>0</v>
      </c>
      <c r="J364">
        <v>9</v>
      </c>
      <c r="K364">
        <v>10</v>
      </c>
      <c r="L364" s="32">
        <f t="shared" si="48"/>
        <v>1</v>
      </c>
      <c r="M364">
        <v>9</v>
      </c>
      <c r="N364">
        <v>10</v>
      </c>
      <c r="O364" s="32">
        <f t="shared" si="49"/>
        <v>1</v>
      </c>
      <c r="P364">
        <v>9</v>
      </c>
      <c r="Q364">
        <v>10</v>
      </c>
      <c r="R364" s="32">
        <f t="shared" si="50"/>
        <v>1</v>
      </c>
      <c r="S364">
        <v>9</v>
      </c>
      <c r="T364">
        <v>9</v>
      </c>
      <c r="U364" s="32">
        <f t="shared" si="51"/>
        <v>0</v>
      </c>
      <c r="V364">
        <v>9</v>
      </c>
      <c r="W364">
        <v>9</v>
      </c>
      <c r="X364" s="32">
        <f t="shared" si="52"/>
        <v>0</v>
      </c>
      <c r="Y364">
        <v>9</v>
      </c>
      <c r="Z364">
        <v>10</v>
      </c>
      <c r="AA364" s="32">
        <f t="shared" si="53"/>
        <v>1</v>
      </c>
    </row>
    <row r="365" spans="1:27" x14ac:dyDescent="0.45">
      <c r="A365">
        <v>8</v>
      </c>
      <c r="B365">
        <v>10</v>
      </c>
      <c r="C365" s="32">
        <f t="shared" si="45"/>
        <v>2</v>
      </c>
      <c r="D365">
        <v>9</v>
      </c>
      <c r="E365">
        <v>10</v>
      </c>
      <c r="F365" s="32">
        <f t="shared" si="46"/>
        <v>1</v>
      </c>
      <c r="G365">
        <v>9</v>
      </c>
      <c r="H365">
        <v>9</v>
      </c>
      <c r="I365" s="32">
        <f t="shared" si="47"/>
        <v>0</v>
      </c>
      <c r="J365">
        <v>9</v>
      </c>
      <c r="K365">
        <v>10</v>
      </c>
      <c r="L365" s="32">
        <f t="shared" si="48"/>
        <v>1</v>
      </c>
      <c r="M365">
        <v>9</v>
      </c>
      <c r="N365">
        <v>10</v>
      </c>
      <c r="O365" s="32">
        <f t="shared" si="49"/>
        <v>1</v>
      </c>
      <c r="P365">
        <v>9</v>
      </c>
      <c r="Q365">
        <v>10</v>
      </c>
      <c r="R365" s="32">
        <f t="shared" si="50"/>
        <v>1</v>
      </c>
      <c r="S365">
        <v>9</v>
      </c>
      <c r="T365">
        <v>9</v>
      </c>
      <c r="U365" s="32">
        <f t="shared" si="51"/>
        <v>0</v>
      </c>
      <c r="V365">
        <v>9</v>
      </c>
      <c r="W365">
        <v>9</v>
      </c>
      <c r="X365" s="32">
        <f t="shared" si="52"/>
        <v>0</v>
      </c>
      <c r="Y365">
        <v>9</v>
      </c>
      <c r="Z365">
        <v>10</v>
      </c>
      <c r="AA365" s="32">
        <f t="shared" si="53"/>
        <v>1</v>
      </c>
    </row>
    <row r="366" spans="1:27" x14ac:dyDescent="0.45">
      <c r="A366">
        <v>8</v>
      </c>
      <c r="B366">
        <v>10</v>
      </c>
      <c r="C366" s="32">
        <f t="shared" si="45"/>
        <v>2</v>
      </c>
      <c r="D366">
        <v>9</v>
      </c>
      <c r="E366">
        <v>10</v>
      </c>
      <c r="F366" s="32">
        <f t="shared" si="46"/>
        <v>1</v>
      </c>
      <c r="G366">
        <v>9</v>
      </c>
      <c r="H366">
        <v>9</v>
      </c>
      <c r="I366" s="32">
        <f t="shared" si="47"/>
        <v>0</v>
      </c>
      <c r="J366">
        <v>9</v>
      </c>
      <c r="K366">
        <v>10</v>
      </c>
      <c r="L366" s="32">
        <f t="shared" si="48"/>
        <v>1</v>
      </c>
      <c r="M366">
        <v>9</v>
      </c>
      <c r="N366">
        <v>10</v>
      </c>
      <c r="O366" s="32">
        <f t="shared" si="49"/>
        <v>1</v>
      </c>
      <c r="P366">
        <v>9</v>
      </c>
      <c r="Q366">
        <v>10</v>
      </c>
      <c r="R366" s="32">
        <f t="shared" si="50"/>
        <v>1</v>
      </c>
      <c r="S366">
        <v>9</v>
      </c>
      <c r="T366">
        <v>9</v>
      </c>
      <c r="U366" s="32">
        <f t="shared" si="51"/>
        <v>0</v>
      </c>
      <c r="V366">
        <v>9</v>
      </c>
      <c r="W366">
        <v>9</v>
      </c>
      <c r="X366" s="32">
        <f t="shared" si="52"/>
        <v>0</v>
      </c>
      <c r="Y366">
        <v>9</v>
      </c>
      <c r="Z366">
        <v>10</v>
      </c>
      <c r="AA366" s="32">
        <f t="shared" si="53"/>
        <v>1</v>
      </c>
    </row>
    <row r="367" spans="1:27" x14ac:dyDescent="0.45">
      <c r="A367">
        <v>9</v>
      </c>
      <c r="B367">
        <v>10</v>
      </c>
      <c r="C367" s="32">
        <f t="shared" si="45"/>
        <v>1</v>
      </c>
      <c r="D367">
        <v>9</v>
      </c>
      <c r="E367">
        <v>10</v>
      </c>
      <c r="F367" s="32">
        <f t="shared" si="46"/>
        <v>1</v>
      </c>
      <c r="G367">
        <v>9</v>
      </c>
      <c r="H367">
        <v>9</v>
      </c>
      <c r="I367" s="32">
        <f t="shared" si="47"/>
        <v>0</v>
      </c>
      <c r="J367">
        <v>9</v>
      </c>
      <c r="K367">
        <v>10</v>
      </c>
      <c r="L367" s="32">
        <f t="shared" si="48"/>
        <v>1</v>
      </c>
      <c r="M367">
        <v>9</v>
      </c>
      <c r="N367">
        <v>10</v>
      </c>
      <c r="O367" s="32">
        <f t="shared" si="49"/>
        <v>1</v>
      </c>
      <c r="P367">
        <v>9</v>
      </c>
      <c r="Q367">
        <v>10</v>
      </c>
      <c r="R367" s="32">
        <f t="shared" si="50"/>
        <v>1</v>
      </c>
      <c r="S367">
        <v>9</v>
      </c>
      <c r="T367">
        <v>10</v>
      </c>
      <c r="U367" s="32">
        <f t="shared" si="51"/>
        <v>1</v>
      </c>
      <c r="V367">
        <v>9</v>
      </c>
      <c r="W367">
        <v>9</v>
      </c>
      <c r="X367" s="32">
        <f t="shared" si="52"/>
        <v>0</v>
      </c>
      <c r="Y367">
        <v>9</v>
      </c>
      <c r="Z367">
        <v>10</v>
      </c>
      <c r="AA367" s="32">
        <f t="shared" si="53"/>
        <v>1</v>
      </c>
    </row>
    <row r="368" spans="1:27" x14ac:dyDescent="0.45">
      <c r="A368">
        <v>9</v>
      </c>
      <c r="B368">
        <v>10</v>
      </c>
      <c r="C368" s="32">
        <f t="shared" si="45"/>
        <v>1</v>
      </c>
      <c r="D368">
        <v>9</v>
      </c>
      <c r="E368">
        <v>10</v>
      </c>
      <c r="F368" s="32">
        <f t="shared" si="46"/>
        <v>1</v>
      </c>
      <c r="G368">
        <v>9</v>
      </c>
      <c r="H368">
        <v>9</v>
      </c>
      <c r="I368" s="32">
        <f t="shared" si="47"/>
        <v>0</v>
      </c>
      <c r="J368">
        <v>9</v>
      </c>
      <c r="K368">
        <v>10</v>
      </c>
      <c r="L368" s="32">
        <f t="shared" si="48"/>
        <v>1</v>
      </c>
      <c r="M368">
        <v>9</v>
      </c>
      <c r="N368">
        <v>10</v>
      </c>
      <c r="O368" s="32">
        <f t="shared" si="49"/>
        <v>1</v>
      </c>
      <c r="P368">
        <v>9</v>
      </c>
      <c r="Q368">
        <v>10</v>
      </c>
      <c r="R368" s="32">
        <f t="shared" si="50"/>
        <v>1</v>
      </c>
      <c r="S368">
        <v>9</v>
      </c>
      <c r="T368">
        <v>10</v>
      </c>
      <c r="U368" s="32">
        <f t="shared" si="51"/>
        <v>1</v>
      </c>
      <c r="V368">
        <v>9</v>
      </c>
      <c r="W368">
        <v>9</v>
      </c>
      <c r="X368" s="32">
        <f t="shared" si="52"/>
        <v>0</v>
      </c>
      <c r="Y368">
        <v>9</v>
      </c>
      <c r="Z368">
        <v>10</v>
      </c>
      <c r="AA368" s="32">
        <f t="shared" si="53"/>
        <v>1</v>
      </c>
    </row>
    <row r="369" spans="1:27" x14ac:dyDescent="0.45">
      <c r="A369">
        <v>9</v>
      </c>
      <c r="B369">
        <v>10</v>
      </c>
      <c r="C369" s="32">
        <f t="shared" si="45"/>
        <v>1</v>
      </c>
      <c r="D369">
        <v>9</v>
      </c>
      <c r="E369">
        <v>10</v>
      </c>
      <c r="F369" s="32">
        <f t="shared" si="46"/>
        <v>1</v>
      </c>
      <c r="G369">
        <v>9</v>
      </c>
      <c r="H369">
        <v>10</v>
      </c>
      <c r="I369" s="32">
        <f t="shared" si="47"/>
        <v>1</v>
      </c>
      <c r="J369">
        <v>9</v>
      </c>
      <c r="K369">
        <v>10</v>
      </c>
      <c r="L369" s="32">
        <f t="shared" si="48"/>
        <v>1</v>
      </c>
      <c r="M369">
        <v>9</v>
      </c>
      <c r="N369">
        <v>10</v>
      </c>
      <c r="O369" s="32">
        <f t="shared" si="49"/>
        <v>1</v>
      </c>
      <c r="P369">
        <v>9</v>
      </c>
      <c r="Q369">
        <v>10</v>
      </c>
      <c r="R369" s="32">
        <f t="shared" si="50"/>
        <v>1</v>
      </c>
      <c r="S369">
        <v>9</v>
      </c>
      <c r="T369">
        <v>10</v>
      </c>
      <c r="U369" s="32">
        <f t="shared" si="51"/>
        <v>1</v>
      </c>
      <c r="V369">
        <v>9</v>
      </c>
      <c r="W369">
        <v>9</v>
      </c>
      <c r="X369" s="32">
        <f t="shared" si="52"/>
        <v>0</v>
      </c>
      <c r="Y369">
        <v>9</v>
      </c>
      <c r="Z369">
        <v>10</v>
      </c>
      <c r="AA369" s="32">
        <f t="shared" si="53"/>
        <v>1</v>
      </c>
    </row>
    <row r="370" spans="1:27" x14ac:dyDescent="0.45">
      <c r="A370">
        <v>9</v>
      </c>
      <c r="B370">
        <v>10</v>
      </c>
      <c r="C370" s="32">
        <f t="shared" si="45"/>
        <v>1</v>
      </c>
      <c r="D370">
        <v>9</v>
      </c>
      <c r="E370">
        <v>10</v>
      </c>
      <c r="F370" s="32">
        <f t="shared" si="46"/>
        <v>1</v>
      </c>
      <c r="G370">
        <v>9</v>
      </c>
      <c r="H370">
        <v>10</v>
      </c>
      <c r="I370" s="32">
        <f t="shared" si="47"/>
        <v>1</v>
      </c>
      <c r="J370">
        <v>9</v>
      </c>
      <c r="K370">
        <v>10</v>
      </c>
      <c r="L370" s="32">
        <f t="shared" si="48"/>
        <v>1</v>
      </c>
      <c r="M370">
        <v>9</v>
      </c>
      <c r="N370">
        <v>10</v>
      </c>
      <c r="O370" s="32">
        <f t="shared" si="49"/>
        <v>1</v>
      </c>
      <c r="P370">
        <v>9</v>
      </c>
      <c r="Q370">
        <v>10</v>
      </c>
      <c r="R370" s="32">
        <f t="shared" si="50"/>
        <v>1</v>
      </c>
      <c r="S370">
        <v>9</v>
      </c>
      <c r="T370">
        <v>10</v>
      </c>
      <c r="U370" s="32">
        <f t="shared" si="51"/>
        <v>1</v>
      </c>
      <c r="V370">
        <v>9</v>
      </c>
      <c r="W370">
        <v>10</v>
      </c>
      <c r="X370" s="32">
        <f t="shared" si="52"/>
        <v>1</v>
      </c>
      <c r="Y370">
        <v>9</v>
      </c>
      <c r="Z370">
        <v>10</v>
      </c>
      <c r="AA370" s="32">
        <f t="shared" si="53"/>
        <v>1</v>
      </c>
    </row>
    <row r="371" spans="1:27" x14ac:dyDescent="0.45">
      <c r="A371">
        <v>9</v>
      </c>
      <c r="B371">
        <v>10</v>
      </c>
      <c r="C371" s="32">
        <f t="shared" si="45"/>
        <v>1</v>
      </c>
      <c r="D371">
        <v>9</v>
      </c>
      <c r="E371">
        <v>10</v>
      </c>
      <c r="F371" s="32">
        <f t="shared" si="46"/>
        <v>1</v>
      </c>
      <c r="G371">
        <v>9</v>
      </c>
      <c r="H371">
        <v>10</v>
      </c>
      <c r="I371" s="32">
        <f t="shared" si="47"/>
        <v>1</v>
      </c>
      <c r="J371">
        <v>9</v>
      </c>
      <c r="K371">
        <v>10</v>
      </c>
      <c r="L371" s="32">
        <f t="shared" si="48"/>
        <v>1</v>
      </c>
      <c r="M371">
        <v>9</v>
      </c>
      <c r="N371">
        <v>10</v>
      </c>
      <c r="O371" s="32">
        <f t="shared" si="49"/>
        <v>1</v>
      </c>
      <c r="P371">
        <v>9</v>
      </c>
      <c r="Q371">
        <v>10</v>
      </c>
      <c r="R371" s="32">
        <f t="shared" si="50"/>
        <v>1</v>
      </c>
      <c r="S371">
        <v>9</v>
      </c>
      <c r="T371">
        <v>10</v>
      </c>
      <c r="U371" s="32">
        <f t="shared" si="51"/>
        <v>1</v>
      </c>
      <c r="V371">
        <v>9</v>
      </c>
      <c r="W371">
        <v>10</v>
      </c>
      <c r="X371" s="32">
        <f t="shared" si="52"/>
        <v>1</v>
      </c>
      <c r="Y371">
        <v>9</v>
      </c>
      <c r="Z371">
        <v>10</v>
      </c>
      <c r="AA371" s="32">
        <f t="shared" si="53"/>
        <v>1</v>
      </c>
    </row>
    <row r="372" spans="1:27" x14ac:dyDescent="0.45">
      <c r="A372">
        <v>9</v>
      </c>
      <c r="B372">
        <v>10</v>
      </c>
      <c r="C372" s="32">
        <f t="shared" si="45"/>
        <v>1</v>
      </c>
      <c r="D372">
        <v>9</v>
      </c>
      <c r="E372">
        <v>10</v>
      </c>
      <c r="F372" s="32">
        <f t="shared" si="46"/>
        <v>1</v>
      </c>
      <c r="G372">
        <v>9</v>
      </c>
      <c r="H372">
        <v>10</v>
      </c>
      <c r="I372" s="32">
        <f t="shared" si="47"/>
        <v>1</v>
      </c>
      <c r="J372">
        <v>9</v>
      </c>
      <c r="K372">
        <v>10</v>
      </c>
      <c r="L372" s="32">
        <f t="shared" si="48"/>
        <v>1</v>
      </c>
      <c r="M372">
        <v>9</v>
      </c>
      <c r="N372">
        <v>10</v>
      </c>
      <c r="O372" s="32">
        <f t="shared" si="49"/>
        <v>1</v>
      </c>
      <c r="P372">
        <v>9</v>
      </c>
      <c r="Q372">
        <v>10</v>
      </c>
      <c r="R372" s="32">
        <f t="shared" si="50"/>
        <v>1</v>
      </c>
      <c r="S372">
        <v>9</v>
      </c>
      <c r="T372">
        <v>10</v>
      </c>
      <c r="U372" s="32">
        <f t="shared" si="51"/>
        <v>1</v>
      </c>
      <c r="V372">
        <v>9</v>
      </c>
      <c r="W372">
        <v>10</v>
      </c>
      <c r="X372" s="32">
        <f t="shared" si="52"/>
        <v>1</v>
      </c>
      <c r="Y372">
        <v>9</v>
      </c>
      <c r="Z372">
        <v>10</v>
      </c>
      <c r="AA372" s="32">
        <f t="shared" si="53"/>
        <v>1</v>
      </c>
    </row>
    <row r="373" spans="1:27" x14ac:dyDescent="0.45">
      <c r="A373">
        <v>9</v>
      </c>
      <c r="B373">
        <v>10</v>
      </c>
      <c r="C373" s="32">
        <f t="shared" si="45"/>
        <v>1</v>
      </c>
      <c r="D373">
        <v>9</v>
      </c>
      <c r="E373">
        <v>10</v>
      </c>
      <c r="F373" s="32">
        <f t="shared" si="46"/>
        <v>1</v>
      </c>
      <c r="G373">
        <v>9</v>
      </c>
      <c r="H373">
        <v>10</v>
      </c>
      <c r="I373" s="32">
        <f t="shared" si="47"/>
        <v>1</v>
      </c>
      <c r="J373">
        <v>9</v>
      </c>
      <c r="K373">
        <v>10</v>
      </c>
      <c r="L373" s="32">
        <f t="shared" si="48"/>
        <v>1</v>
      </c>
      <c r="M373">
        <v>9</v>
      </c>
      <c r="N373">
        <v>10</v>
      </c>
      <c r="O373" s="32">
        <f t="shared" si="49"/>
        <v>1</v>
      </c>
      <c r="P373">
        <v>9</v>
      </c>
      <c r="Q373">
        <v>10</v>
      </c>
      <c r="R373" s="32">
        <f t="shared" si="50"/>
        <v>1</v>
      </c>
      <c r="S373">
        <v>9</v>
      </c>
      <c r="T373">
        <v>10</v>
      </c>
      <c r="U373" s="32">
        <f t="shared" si="51"/>
        <v>1</v>
      </c>
      <c r="V373">
        <v>9</v>
      </c>
      <c r="W373">
        <v>10</v>
      </c>
      <c r="X373" s="32">
        <f t="shared" si="52"/>
        <v>1</v>
      </c>
      <c r="Y373">
        <v>9</v>
      </c>
      <c r="Z373">
        <v>10</v>
      </c>
      <c r="AA373" s="32">
        <f t="shared" si="53"/>
        <v>1</v>
      </c>
    </row>
    <row r="374" spans="1:27" x14ac:dyDescent="0.45">
      <c r="A374">
        <v>9</v>
      </c>
      <c r="B374">
        <v>10</v>
      </c>
      <c r="C374" s="32">
        <f t="shared" si="45"/>
        <v>1</v>
      </c>
      <c r="D374">
        <v>9</v>
      </c>
      <c r="E374">
        <v>10</v>
      </c>
      <c r="F374" s="32">
        <f t="shared" si="46"/>
        <v>1</v>
      </c>
      <c r="G374">
        <v>9</v>
      </c>
      <c r="H374">
        <v>10</v>
      </c>
      <c r="I374" s="32">
        <f t="shared" si="47"/>
        <v>1</v>
      </c>
      <c r="J374">
        <v>9</v>
      </c>
      <c r="K374">
        <v>10</v>
      </c>
      <c r="L374" s="32">
        <f t="shared" si="48"/>
        <v>1</v>
      </c>
      <c r="M374">
        <v>9</v>
      </c>
      <c r="N374">
        <v>10</v>
      </c>
      <c r="O374" s="32">
        <f t="shared" si="49"/>
        <v>1</v>
      </c>
      <c r="P374">
        <v>9</v>
      </c>
      <c r="Q374">
        <v>10</v>
      </c>
      <c r="R374" s="32">
        <f t="shared" si="50"/>
        <v>1</v>
      </c>
      <c r="S374">
        <v>9</v>
      </c>
      <c r="T374">
        <v>10</v>
      </c>
      <c r="U374" s="32">
        <f t="shared" si="51"/>
        <v>1</v>
      </c>
      <c r="V374">
        <v>9</v>
      </c>
      <c r="W374">
        <v>10</v>
      </c>
      <c r="X374" s="32">
        <f t="shared" si="52"/>
        <v>1</v>
      </c>
      <c r="Y374">
        <v>9</v>
      </c>
      <c r="Z374">
        <v>10</v>
      </c>
      <c r="AA374" s="32">
        <f t="shared" si="53"/>
        <v>1</v>
      </c>
    </row>
    <row r="375" spans="1:27" x14ac:dyDescent="0.45">
      <c r="A375">
        <v>9</v>
      </c>
      <c r="B375">
        <v>10</v>
      </c>
      <c r="C375" s="32">
        <f t="shared" si="45"/>
        <v>1</v>
      </c>
      <c r="D375">
        <v>9</v>
      </c>
      <c r="E375">
        <v>10</v>
      </c>
      <c r="F375" s="32">
        <f t="shared" si="46"/>
        <v>1</v>
      </c>
      <c r="G375">
        <v>9</v>
      </c>
      <c r="H375">
        <v>10</v>
      </c>
      <c r="I375" s="32">
        <f t="shared" si="47"/>
        <v>1</v>
      </c>
      <c r="J375">
        <v>9</v>
      </c>
      <c r="K375">
        <v>10</v>
      </c>
      <c r="L375" s="32">
        <f t="shared" si="48"/>
        <v>1</v>
      </c>
      <c r="M375">
        <v>9</v>
      </c>
      <c r="N375">
        <v>10</v>
      </c>
      <c r="O375" s="32">
        <f t="shared" si="49"/>
        <v>1</v>
      </c>
      <c r="P375">
        <v>9</v>
      </c>
      <c r="Q375">
        <v>10</v>
      </c>
      <c r="R375" s="32">
        <f t="shared" si="50"/>
        <v>1</v>
      </c>
      <c r="S375">
        <v>9</v>
      </c>
      <c r="T375">
        <v>10</v>
      </c>
      <c r="U375" s="32">
        <f t="shared" si="51"/>
        <v>1</v>
      </c>
      <c r="V375">
        <v>9</v>
      </c>
      <c r="W375">
        <v>10</v>
      </c>
      <c r="X375" s="32">
        <f t="shared" si="52"/>
        <v>1</v>
      </c>
      <c r="Y375">
        <v>9</v>
      </c>
      <c r="Z375">
        <v>10</v>
      </c>
      <c r="AA375" s="32">
        <f t="shared" si="53"/>
        <v>1</v>
      </c>
    </row>
    <row r="376" spans="1:27" x14ac:dyDescent="0.45">
      <c r="A376">
        <v>9</v>
      </c>
      <c r="B376">
        <v>10</v>
      </c>
      <c r="C376" s="32">
        <f t="shared" si="45"/>
        <v>1</v>
      </c>
      <c r="D376">
        <v>9</v>
      </c>
      <c r="E376">
        <v>10</v>
      </c>
      <c r="F376" s="32">
        <f t="shared" si="46"/>
        <v>1</v>
      </c>
      <c r="G376">
        <v>9</v>
      </c>
      <c r="H376">
        <v>10</v>
      </c>
      <c r="I376" s="32">
        <f t="shared" si="47"/>
        <v>1</v>
      </c>
      <c r="J376">
        <v>9</v>
      </c>
      <c r="K376">
        <v>10</v>
      </c>
      <c r="L376" s="32">
        <f t="shared" si="48"/>
        <v>1</v>
      </c>
      <c r="M376">
        <v>9</v>
      </c>
      <c r="N376">
        <v>10</v>
      </c>
      <c r="O376" s="32">
        <f t="shared" si="49"/>
        <v>1</v>
      </c>
      <c r="P376">
        <v>9</v>
      </c>
      <c r="Q376">
        <v>10</v>
      </c>
      <c r="R376" s="32">
        <f t="shared" si="50"/>
        <v>1</v>
      </c>
      <c r="S376">
        <v>9</v>
      </c>
      <c r="T376">
        <v>10</v>
      </c>
      <c r="U376" s="32">
        <f t="shared" si="51"/>
        <v>1</v>
      </c>
      <c r="V376">
        <v>9</v>
      </c>
      <c r="W376">
        <v>10</v>
      </c>
      <c r="X376" s="32">
        <f t="shared" si="52"/>
        <v>1</v>
      </c>
      <c r="Y376">
        <v>9</v>
      </c>
      <c r="Z376">
        <v>10</v>
      </c>
      <c r="AA376" s="32">
        <f t="shared" si="53"/>
        <v>1</v>
      </c>
    </row>
    <row r="377" spans="1:27" x14ac:dyDescent="0.45">
      <c r="A377">
        <v>9</v>
      </c>
      <c r="B377">
        <v>10</v>
      </c>
      <c r="C377" s="32">
        <f t="shared" si="45"/>
        <v>1</v>
      </c>
      <c r="D377">
        <v>9</v>
      </c>
      <c r="E377">
        <v>10</v>
      </c>
      <c r="F377" s="32">
        <f t="shared" si="46"/>
        <v>1</v>
      </c>
      <c r="G377">
        <v>9</v>
      </c>
      <c r="H377">
        <v>10</v>
      </c>
      <c r="I377" s="32">
        <f t="shared" si="47"/>
        <v>1</v>
      </c>
      <c r="J377">
        <v>9</v>
      </c>
      <c r="K377">
        <v>10</v>
      </c>
      <c r="L377" s="32">
        <f t="shared" si="48"/>
        <v>1</v>
      </c>
      <c r="M377">
        <v>9</v>
      </c>
      <c r="N377">
        <v>10</v>
      </c>
      <c r="O377" s="32">
        <f t="shared" si="49"/>
        <v>1</v>
      </c>
      <c r="P377">
        <v>9</v>
      </c>
      <c r="Q377">
        <v>10</v>
      </c>
      <c r="R377" s="32">
        <f t="shared" si="50"/>
        <v>1</v>
      </c>
      <c r="S377">
        <v>9</v>
      </c>
      <c r="T377">
        <v>10</v>
      </c>
      <c r="U377" s="32">
        <f t="shared" si="51"/>
        <v>1</v>
      </c>
      <c r="V377">
        <v>9</v>
      </c>
      <c r="W377">
        <v>10</v>
      </c>
      <c r="X377" s="32">
        <f t="shared" si="52"/>
        <v>1</v>
      </c>
      <c r="Y377">
        <v>9</v>
      </c>
      <c r="Z377">
        <v>10</v>
      </c>
      <c r="AA377" s="32">
        <f t="shared" si="53"/>
        <v>1</v>
      </c>
    </row>
    <row r="378" spans="1:27" x14ac:dyDescent="0.45">
      <c r="A378">
        <v>9</v>
      </c>
      <c r="B378">
        <v>10</v>
      </c>
      <c r="C378" s="32">
        <f t="shared" si="45"/>
        <v>1</v>
      </c>
      <c r="D378">
        <v>9</v>
      </c>
      <c r="E378">
        <v>10</v>
      </c>
      <c r="F378" s="32">
        <f t="shared" si="46"/>
        <v>1</v>
      </c>
      <c r="G378">
        <v>9</v>
      </c>
      <c r="H378">
        <v>10</v>
      </c>
      <c r="I378" s="32">
        <f t="shared" si="47"/>
        <v>1</v>
      </c>
      <c r="J378">
        <v>9</v>
      </c>
      <c r="K378">
        <v>10</v>
      </c>
      <c r="L378" s="32">
        <f t="shared" si="48"/>
        <v>1</v>
      </c>
      <c r="M378">
        <v>9</v>
      </c>
      <c r="N378">
        <v>10</v>
      </c>
      <c r="O378" s="32">
        <f t="shared" si="49"/>
        <v>1</v>
      </c>
      <c r="P378">
        <v>9</v>
      </c>
      <c r="Q378">
        <v>10</v>
      </c>
      <c r="R378" s="32">
        <f t="shared" si="50"/>
        <v>1</v>
      </c>
      <c r="S378">
        <v>9</v>
      </c>
      <c r="T378">
        <v>10</v>
      </c>
      <c r="U378" s="32">
        <f t="shared" si="51"/>
        <v>1</v>
      </c>
      <c r="V378">
        <v>9</v>
      </c>
      <c r="W378">
        <v>10</v>
      </c>
      <c r="X378" s="32">
        <f t="shared" si="52"/>
        <v>1</v>
      </c>
      <c r="Y378">
        <v>9</v>
      </c>
      <c r="Z378">
        <v>10</v>
      </c>
      <c r="AA378" s="32">
        <f t="shared" si="53"/>
        <v>1</v>
      </c>
    </row>
    <row r="379" spans="1:27" x14ac:dyDescent="0.45">
      <c r="A379">
        <v>9</v>
      </c>
      <c r="B379">
        <v>10</v>
      </c>
      <c r="C379" s="32">
        <f t="shared" si="45"/>
        <v>1</v>
      </c>
      <c r="D379">
        <v>9</v>
      </c>
      <c r="E379">
        <v>10</v>
      </c>
      <c r="F379" s="32">
        <f t="shared" si="46"/>
        <v>1</v>
      </c>
      <c r="G379">
        <v>9</v>
      </c>
      <c r="H379">
        <v>10</v>
      </c>
      <c r="I379" s="32">
        <f t="shared" si="47"/>
        <v>1</v>
      </c>
      <c r="J379">
        <v>9</v>
      </c>
      <c r="K379">
        <v>10</v>
      </c>
      <c r="L379" s="32">
        <f t="shared" si="48"/>
        <v>1</v>
      </c>
      <c r="M379">
        <v>9</v>
      </c>
      <c r="N379">
        <v>10</v>
      </c>
      <c r="O379" s="32">
        <f t="shared" si="49"/>
        <v>1</v>
      </c>
      <c r="P379">
        <v>9</v>
      </c>
      <c r="Q379">
        <v>10</v>
      </c>
      <c r="R379" s="32">
        <f t="shared" si="50"/>
        <v>1</v>
      </c>
      <c r="S379">
        <v>9</v>
      </c>
      <c r="T379">
        <v>10</v>
      </c>
      <c r="U379" s="32">
        <f t="shared" si="51"/>
        <v>1</v>
      </c>
      <c r="V379">
        <v>9</v>
      </c>
      <c r="W379">
        <v>10</v>
      </c>
      <c r="X379" s="32">
        <f t="shared" si="52"/>
        <v>1</v>
      </c>
      <c r="Y379">
        <v>9</v>
      </c>
      <c r="Z379">
        <v>10</v>
      </c>
      <c r="AA379" s="32">
        <f t="shared" si="53"/>
        <v>1</v>
      </c>
    </row>
    <row r="380" spans="1:27" x14ac:dyDescent="0.45">
      <c r="A380">
        <v>9</v>
      </c>
      <c r="B380">
        <v>10</v>
      </c>
      <c r="C380" s="32">
        <f t="shared" si="45"/>
        <v>1</v>
      </c>
      <c r="D380">
        <v>9</v>
      </c>
      <c r="E380">
        <v>10</v>
      </c>
      <c r="F380" s="32">
        <f t="shared" si="46"/>
        <v>1</v>
      </c>
      <c r="G380">
        <v>9</v>
      </c>
      <c r="H380">
        <v>10</v>
      </c>
      <c r="I380" s="32">
        <f t="shared" si="47"/>
        <v>1</v>
      </c>
      <c r="J380">
        <v>9</v>
      </c>
      <c r="K380">
        <v>10</v>
      </c>
      <c r="L380" s="32">
        <f t="shared" si="48"/>
        <v>1</v>
      </c>
      <c r="M380">
        <v>9</v>
      </c>
      <c r="N380">
        <v>10</v>
      </c>
      <c r="O380" s="32">
        <f t="shared" si="49"/>
        <v>1</v>
      </c>
      <c r="P380">
        <v>9</v>
      </c>
      <c r="Q380">
        <v>10</v>
      </c>
      <c r="R380" s="32">
        <f t="shared" si="50"/>
        <v>1</v>
      </c>
      <c r="S380">
        <v>9</v>
      </c>
      <c r="T380">
        <v>10</v>
      </c>
      <c r="U380" s="32">
        <f t="shared" si="51"/>
        <v>1</v>
      </c>
      <c r="V380">
        <v>9</v>
      </c>
      <c r="W380">
        <v>10</v>
      </c>
      <c r="X380" s="32">
        <f t="shared" si="52"/>
        <v>1</v>
      </c>
      <c r="Y380">
        <v>9</v>
      </c>
      <c r="Z380">
        <v>10</v>
      </c>
      <c r="AA380" s="32">
        <f t="shared" si="53"/>
        <v>1</v>
      </c>
    </row>
    <row r="381" spans="1:27" x14ac:dyDescent="0.45">
      <c r="A381">
        <v>9</v>
      </c>
      <c r="B381">
        <v>10</v>
      </c>
      <c r="C381" s="32">
        <f t="shared" si="45"/>
        <v>1</v>
      </c>
      <c r="D381">
        <v>9</v>
      </c>
      <c r="E381">
        <v>10</v>
      </c>
      <c r="F381" s="32">
        <f t="shared" si="46"/>
        <v>1</v>
      </c>
      <c r="G381">
        <v>9</v>
      </c>
      <c r="H381">
        <v>10</v>
      </c>
      <c r="I381" s="32">
        <f t="shared" si="47"/>
        <v>1</v>
      </c>
      <c r="J381">
        <v>9</v>
      </c>
      <c r="K381">
        <v>10</v>
      </c>
      <c r="L381" s="32">
        <f t="shared" si="48"/>
        <v>1</v>
      </c>
      <c r="M381">
        <v>9</v>
      </c>
      <c r="N381">
        <v>10</v>
      </c>
      <c r="O381" s="32">
        <f t="shared" si="49"/>
        <v>1</v>
      </c>
      <c r="P381">
        <v>9</v>
      </c>
      <c r="Q381">
        <v>10</v>
      </c>
      <c r="R381" s="32">
        <f t="shared" si="50"/>
        <v>1</v>
      </c>
      <c r="S381">
        <v>9</v>
      </c>
      <c r="T381">
        <v>10</v>
      </c>
      <c r="U381" s="32">
        <f t="shared" si="51"/>
        <v>1</v>
      </c>
      <c r="V381">
        <v>9</v>
      </c>
      <c r="W381">
        <v>10</v>
      </c>
      <c r="X381" s="32">
        <f t="shared" si="52"/>
        <v>1</v>
      </c>
      <c r="Y381">
        <v>9</v>
      </c>
      <c r="Z381">
        <v>10</v>
      </c>
      <c r="AA381" s="32">
        <f t="shared" si="53"/>
        <v>1</v>
      </c>
    </row>
    <row r="382" spans="1:27" x14ac:dyDescent="0.45">
      <c r="A382">
        <v>9</v>
      </c>
      <c r="B382">
        <v>10</v>
      </c>
      <c r="C382" s="32">
        <f t="shared" si="45"/>
        <v>1</v>
      </c>
      <c r="D382">
        <v>9</v>
      </c>
      <c r="E382">
        <v>10</v>
      </c>
      <c r="F382" s="32">
        <f t="shared" si="46"/>
        <v>1</v>
      </c>
      <c r="G382">
        <v>9</v>
      </c>
      <c r="H382">
        <v>10</v>
      </c>
      <c r="I382" s="32">
        <f t="shared" si="47"/>
        <v>1</v>
      </c>
      <c r="J382">
        <v>9</v>
      </c>
      <c r="K382">
        <v>10</v>
      </c>
      <c r="L382" s="32">
        <f t="shared" si="48"/>
        <v>1</v>
      </c>
      <c r="M382">
        <v>9</v>
      </c>
      <c r="N382">
        <v>10</v>
      </c>
      <c r="O382" s="32">
        <f t="shared" si="49"/>
        <v>1</v>
      </c>
      <c r="P382">
        <v>9</v>
      </c>
      <c r="Q382">
        <v>10</v>
      </c>
      <c r="R382" s="32">
        <f t="shared" si="50"/>
        <v>1</v>
      </c>
      <c r="S382">
        <v>9</v>
      </c>
      <c r="T382">
        <v>10</v>
      </c>
      <c r="U382" s="32">
        <f t="shared" si="51"/>
        <v>1</v>
      </c>
      <c r="V382">
        <v>9</v>
      </c>
      <c r="W382">
        <v>10</v>
      </c>
      <c r="X382" s="32">
        <f t="shared" si="52"/>
        <v>1</v>
      </c>
      <c r="Y382">
        <v>9</v>
      </c>
      <c r="Z382">
        <v>10</v>
      </c>
      <c r="AA382" s="32">
        <f t="shared" si="53"/>
        <v>1</v>
      </c>
    </row>
    <row r="383" spans="1:27" x14ac:dyDescent="0.45">
      <c r="A383">
        <v>9</v>
      </c>
      <c r="B383">
        <v>10</v>
      </c>
      <c r="C383" s="32">
        <f t="shared" si="45"/>
        <v>1</v>
      </c>
      <c r="D383">
        <v>9</v>
      </c>
      <c r="E383">
        <v>10</v>
      </c>
      <c r="F383" s="32">
        <f t="shared" si="46"/>
        <v>1</v>
      </c>
      <c r="G383">
        <v>9</v>
      </c>
      <c r="H383">
        <v>10</v>
      </c>
      <c r="I383" s="32">
        <f t="shared" si="47"/>
        <v>1</v>
      </c>
      <c r="J383">
        <v>9</v>
      </c>
      <c r="K383">
        <v>10</v>
      </c>
      <c r="L383" s="32">
        <f t="shared" si="48"/>
        <v>1</v>
      </c>
      <c r="M383">
        <v>9</v>
      </c>
      <c r="N383">
        <v>10</v>
      </c>
      <c r="O383" s="32">
        <f t="shared" si="49"/>
        <v>1</v>
      </c>
      <c r="P383">
        <v>9</v>
      </c>
      <c r="Q383">
        <v>10</v>
      </c>
      <c r="R383" s="32">
        <f t="shared" si="50"/>
        <v>1</v>
      </c>
      <c r="S383">
        <v>9</v>
      </c>
      <c r="T383">
        <v>10</v>
      </c>
      <c r="U383" s="32">
        <f t="shared" si="51"/>
        <v>1</v>
      </c>
      <c r="V383">
        <v>9</v>
      </c>
      <c r="W383">
        <v>10</v>
      </c>
      <c r="X383" s="32">
        <f t="shared" si="52"/>
        <v>1</v>
      </c>
      <c r="Y383">
        <v>9</v>
      </c>
      <c r="Z383">
        <v>10</v>
      </c>
      <c r="AA383" s="32">
        <f t="shared" si="53"/>
        <v>1</v>
      </c>
    </row>
    <row r="384" spans="1:27" x14ac:dyDescent="0.45">
      <c r="A384">
        <v>9</v>
      </c>
      <c r="B384">
        <v>10</v>
      </c>
      <c r="C384" s="32">
        <f t="shared" si="45"/>
        <v>1</v>
      </c>
      <c r="D384">
        <v>9</v>
      </c>
      <c r="E384">
        <v>10</v>
      </c>
      <c r="F384" s="32">
        <f t="shared" si="46"/>
        <v>1</v>
      </c>
      <c r="G384">
        <v>9</v>
      </c>
      <c r="H384">
        <v>10</v>
      </c>
      <c r="I384" s="32">
        <f t="shared" si="47"/>
        <v>1</v>
      </c>
      <c r="J384">
        <v>9</v>
      </c>
      <c r="K384">
        <v>10</v>
      </c>
      <c r="L384" s="32">
        <f t="shared" si="48"/>
        <v>1</v>
      </c>
      <c r="M384">
        <v>9</v>
      </c>
      <c r="N384">
        <v>10</v>
      </c>
      <c r="O384" s="32">
        <f t="shared" si="49"/>
        <v>1</v>
      </c>
      <c r="P384">
        <v>9</v>
      </c>
      <c r="Q384">
        <v>10</v>
      </c>
      <c r="R384" s="32">
        <f t="shared" si="50"/>
        <v>1</v>
      </c>
      <c r="S384">
        <v>9</v>
      </c>
      <c r="T384">
        <v>10</v>
      </c>
      <c r="U384" s="32">
        <f t="shared" si="51"/>
        <v>1</v>
      </c>
      <c r="V384">
        <v>9</v>
      </c>
      <c r="W384">
        <v>10</v>
      </c>
      <c r="X384" s="32">
        <f t="shared" si="52"/>
        <v>1</v>
      </c>
      <c r="Y384">
        <v>9</v>
      </c>
      <c r="Z384">
        <v>10</v>
      </c>
      <c r="AA384" s="32">
        <f t="shared" si="53"/>
        <v>1</v>
      </c>
    </row>
    <row r="385" spans="1:27" x14ac:dyDescent="0.45">
      <c r="A385">
        <v>9</v>
      </c>
      <c r="B385">
        <v>10</v>
      </c>
      <c r="C385" s="32">
        <f t="shared" si="45"/>
        <v>1</v>
      </c>
      <c r="D385">
        <v>9</v>
      </c>
      <c r="E385">
        <v>10</v>
      </c>
      <c r="F385" s="32">
        <f t="shared" si="46"/>
        <v>1</v>
      </c>
      <c r="G385">
        <v>9</v>
      </c>
      <c r="H385">
        <v>10</v>
      </c>
      <c r="I385" s="32">
        <f t="shared" si="47"/>
        <v>1</v>
      </c>
      <c r="J385">
        <v>10</v>
      </c>
      <c r="K385">
        <v>10</v>
      </c>
      <c r="L385" s="32">
        <f t="shared" si="48"/>
        <v>0</v>
      </c>
      <c r="M385">
        <v>9</v>
      </c>
      <c r="N385">
        <v>10</v>
      </c>
      <c r="O385" s="32">
        <f t="shared" si="49"/>
        <v>1</v>
      </c>
      <c r="P385">
        <v>9</v>
      </c>
      <c r="Q385">
        <v>10</v>
      </c>
      <c r="R385" s="32">
        <f t="shared" si="50"/>
        <v>1</v>
      </c>
      <c r="S385">
        <v>9</v>
      </c>
      <c r="T385">
        <v>10</v>
      </c>
      <c r="U385" s="32">
        <f t="shared" si="51"/>
        <v>1</v>
      </c>
      <c r="V385">
        <v>9</v>
      </c>
      <c r="W385">
        <v>10</v>
      </c>
      <c r="X385" s="32">
        <f t="shared" si="52"/>
        <v>1</v>
      </c>
      <c r="Y385">
        <v>9</v>
      </c>
      <c r="Z385">
        <v>10</v>
      </c>
      <c r="AA385" s="32">
        <f t="shared" si="53"/>
        <v>1</v>
      </c>
    </row>
    <row r="386" spans="1:27" x14ac:dyDescent="0.45">
      <c r="A386">
        <v>9</v>
      </c>
      <c r="B386">
        <v>10</v>
      </c>
      <c r="C386" s="32">
        <f t="shared" si="45"/>
        <v>1</v>
      </c>
      <c r="D386">
        <v>9</v>
      </c>
      <c r="E386">
        <v>10</v>
      </c>
      <c r="F386" s="32">
        <f t="shared" si="46"/>
        <v>1</v>
      </c>
      <c r="G386">
        <v>9</v>
      </c>
      <c r="H386">
        <v>10</v>
      </c>
      <c r="I386" s="32">
        <f t="shared" si="47"/>
        <v>1</v>
      </c>
      <c r="J386">
        <v>10</v>
      </c>
      <c r="K386">
        <v>10</v>
      </c>
      <c r="L386" s="32">
        <f t="shared" si="48"/>
        <v>0</v>
      </c>
      <c r="M386">
        <v>9</v>
      </c>
      <c r="N386">
        <v>10</v>
      </c>
      <c r="O386" s="32">
        <f t="shared" si="49"/>
        <v>1</v>
      </c>
      <c r="P386">
        <v>9</v>
      </c>
      <c r="Q386">
        <v>10</v>
      </c>
      <c r="R386" s="32">
        <f t="shared" si="50"/>
        <v>1</v>
      </c>
      <c r="S386">
        <v>9</v>
      </c>
      <c r="T386">
        <v>10</v>
      </c>
      <c r="U386" s="32">
        <f t="shared" si="51"/>
        <v>1</v>
      </c>
      <c r="V386">
        <v>9</v>
      </c>
      <c r="W386">
        <v>10</v>
      </c>
      <c r="X386" s="32">
        <f t="shared" si="52"/>
        <v>1</v>
      </c>
      <c r="Y386">
        <v>9</v>
      </c>
      <c r="Z386">
        <v>10</v>
      </c>
      <c r="AA386" s="32">
        <f t="shared" si="53"/>
        <v>1</v>
      </c>
    </row>
    <row r="387" spans="1:27" x14ac:dyDescent="0.45">
      <c r="A387">
        <v>9</v>
      </c>
      <c r="B387">
        <v>10</v>
      </c>
      <c r="C387" s="32">
        <f t="shared" ref="C387:C404" si="54">ABS(B387-A387)</f>
        <v>1</v>
      </c>
      <c r="D387">
        <v>9</v>
      </c>
      <c r="E387">
        <v>10</v>
      </c>
      <c r="F387" s="32">
        <f t="shared" ref="F387:F404" si="55">ABS(E387-D387)</f>
        <v>1</v>
      </c>
      <c r="G387">
        <v>9</v>
      </c>
      <c r="H387">
        <v>10</v>
      </c>
      <c r="I387" s="32">
        <f t="shared" ref="I387:I404" si="56">ABS(H387-G387)</f>
        <v>1</v>
      </c>
      <c r="J387">
        <v>10</v>
      </c>
      <c r="K387">
        <v>10</v>
      </c>
      <c r="L387" s="32">
        <f t="shared" ref="L387:L404" si="57">ABS(K387-J387)</f>
        <v>0</v>
      </c>
      <c r="M387">
        <v>9</v>
      </c>
      <c r="N387">
        <v>10</v>
      </c>
      <c r="O387" s="32">
        <f t="shared" ref="O387:O404" si="58">ABS(N387-M387)</f>
        <v>1</v>
      </c>
      <c r="P387">
        <v>9</v>
      </c>
      <c r="Q387">
        <v>10</v>
      </c>
      <c r="R387" s="32">
        <f t="shared" ref="R387:R404" si="59">ABS(Q387-P387)</f>
        <v>1</v>
      </c>
      <c r="S387">
        <v>9</v>
      </c>
      <c r="T387">
        <v>10</v>
      </c>
      <c r="U387" s="32">
        <f t="shared" ref="U387:U404" si="60">ABS(T387-S387)</f>
        <v>1</v>
      </c>
      <c r="V387">
        <v>9</v>
      </c>
      <c r="W387">
        <v>10</v>
      </c>
      <c r="X387" s="32">
        <f t="shared" ref="X387:X404" si="61">ABS(W387-V387)</f>
        <v>1</v>
      </c>
      <c r="Y387">
        <v>10</v>
      </c>
      <c r="Z387">
        <v>10</v>
      </c>
      <c r="AA387" s="32">
        <f t="shared" ref="AA387:AA404" si="62">ABS(Z387-Y387)</f>
        <v>0</v>
      </c>
    </row>
    <row r="388" spans="1:27" x14ac:dyDescent="0.45">
      <c r="A388">
        <v>9</v>
      </c>
      <c r="B388">
        <v>10</v>
      </c>
      <c r="C388" s="32">
        <f t="shared" si="54"/>
        <v>1</v>
      </c>
      <c r="D388">
        <v>9</v>
      </c>
      <c r="E388">
        <v>10</v>
      </c>
      <c r="F388" s="32">
        <f t="shared" si="55"/>
        <v>1</v>
      </c>
      <c r="G388">
        <v>9</v>
      </c>
      <c r="H388">
        <v>10</v>
      </c>
      <c r="I388" s="32">
        <f t="shared" si="56"/>
        <v>1</v>
      </c>
      <c r="J388">
        <v>10</v>
      </c>
      <c r="K388">
        <v>10</v>
      </c>
      <c r="L388" s="32">
        <f t="shared" si="57"/>
        <v>0</v>
      </c>
      <c r="M388">
        <v>9</v>
      </c>
      <c r="N388">
        <v>10</v>
      </c>
      <c r="O388" s="32">
        <f t="shared" si="58"/>
        <v>1</v>
      </c>
      <c r="P388">
        <v>9</v>
      </c>
      <c r="Q388">
        <v>10</v>
      </c>
      <c r="R388" s="32">
        <f t="shared" si="59"/>
        <v>1</v>
      </c>
      <c r="S388">
        <v>9</v>
      </c>
      <c r="T388">
        <v>10</v>
      </c>
      <c r="U388" s="32">
        <f t="shared" si="60"/>
        <v>1</v>
      </c>
      <c r="V388">
        <v>9</v>
      </c>
      <c r="W388">
        <v>10</v>
      </c>
      <c r="X388" s="32">
        <f t="shared" si="61"/>
        <v>1</v>
      </c>
      <c r="Y388">
        <v>10</v>
      </c>
      <c r="Z388">
        <v>10</v>
      </c>
      <c r="AA388" s="32">
        <f t="shared" si="62"/>
        <v>0</v>
      </c>
    </row>
    <row r="389" spans="1:27" x14ac:dyDescent="0.45">
      <c r="A389">
        <v>9</v>
      </c>
      <c r="B389">
        <v>10</v>
      </c>
      <c r="C389" s="32">
        <f t="shared" si="54"/>
        <v>1</v>
      </c>
      <c r="D389">
        <v>9</v>
      </c>
      <c r="E389">
        <v>10</v>
      </c>
      <c r="F389" s="32">
        <f t="shared" si="55"/>
        <v>1</v>
      </c>
      <c r="G389">
        <v>9</v>
      </c>
      <c r="H389">
        <v>10</v>
      </c>
      <c r="I389" s="32">
        <f t="shared" si="56"/>
        <v>1</v>
      </c>
      <c r="J389">
        <v>10</v>
      </c>
      <c r="K389">
        <v>10</v>
      </c>
      <c r="L389" s="32">
        <f t="shared" si="57"/>
        <v>0</v>
      </c>
      <c r="M389">
        <v>9</v>
      </c>
      <c r="N389">
        <v>10</v>
      </c>
      <c r="O389" s="32">
        <f t="shared" si="58"/>
        <v>1</v>
      </c>
      <c r="P389">
        <v>9</v>
      </c>
      <c r="Q389">
        <v>10</v>
      </c>
      <c r="R389" s="32">
        <f t="shared" si="59"/>
        <v>1</v>
      </c>
      <c r="S389">
        <v>9</v>
      </c>
      <c r="T389">
        <v>10</v>
      </c>
      <c r="U389" s="32">
        <f t="shared" si="60"/>
        <v>1</v>
      </c>
      <c r="V389">
        <v>9</v>
      </c>
      <c r="W389">
        <v>10</v>
      </c>
      <c r="X389" s="32">
        <f t="shared" si="61"/>
        <v>1</v>
      </c>
      <c r="Y389">
        <v>10</v>
      </c>
      <c r="Z389">
        <v>10</v>
      </c>
      <c r="AA389" s="32">
        <f t="shared" si="62"/>
        <v>0</v>
      </c>
    </row>
    <row r="390" spans="1:27" x14ac:dyDescent="0.45">
      <c r="A390">
        <v>9</v>
      </c>
      <c r="B390">
        <v>10</v>
      </c>
      <c r="C390" s="32">
        <f t="shared" si="54"/>
        <v>1</v>
      </c>
      <c r="D390">
        <v>9</v>
      </c>
      <c r="E390">
        <v>10</v>
      </c>
      <c r="F390" s="32">
        <f t="shared" si="55"/>
        <v>1</v>
      </c>
      <c r="G390">
        <v>9</v>
      </c>
      <c r="H390">
        <v>10</v>
      </c>
      <c r="I390" s="32">
        <f t="shared" si="56"/>
        <v>1</v>
      </c>
      <c r="J390">
        <v>10</v>
      </c>
      <c r="K390">
        <v>10</v>
      </c>
      <c r="L390" s="32">
        <f t="shared" si="57"/>
        <v>0</v>
      </c>
      <c r="M390">
        <v>9</v>
      </c>
      <c r="N390">
        <v>10</v>
      </c>
      <c r="O390" s="32">
        <f t="shared" si="58"/>
        <v>1</v>
      </c>
      <c r="P390">
        <v>9</v>
      </c>
      <c r="Q390">
        <v>10</v>
      </c>
      <c r="R390" s="32">
        <f t="shared" si="59"/>
        <v>1</v>
      </c>
      <c r="S390">
        <v>9</v>
      </c>
      <c r="T390">
        <v>10</v>
      </c>
      <c r="U390" s="32">
        <f t="shared" si="60"/>
        <v>1</v>
      </c>
      <c r="V390">
        <v>9</v>
      </c>
      <c r="W390">
        <v>10</v>
      </c>
      <c r="X390" s="32">
        <f t="shared" si="61"/>
        <v>1</v>
      </c>
      <c r="Y390">
        <v>10</v>
      </c>
      <c r="Z390">
        <v>10</v>
      </c>
      <c r="AA390" s="32">
        <f t="shared" si="62"/>
        <v>0</v>
      </c>
    </row>
    <row r="391" spans="1:27" x14ac:dyDescent="0.45">
      <c r="A391">
        <v>9</v>
      </c>
      <c r="B391">
        <v>10</v>
      </c>
      <c r="C391" s="32">
        <f t="shared" si="54"/>
        <v>1</v>
      </c>
      <c r="D391">
        <v>9</v>
      </c>
      <c r="E391">
        <v>10</v>
      </c>
      <c r="F391" s="32">
        <f t="shared" si="55"/>
        <v>1</v>
      </c>
      <c r="G391">
        <v>9</v>
      </c>
      <c r="H391">
        <v>10</v>
      </c>
      <c r="I391" s="32">
        <f t="shared" si="56"/>
        <v>1</v>
      </c>
      <c r="J391">
        <v>10</v>
      </c>
      <c r="K391">
        <v>10</v>
      </c>
      <c r="L391" s="32">
        <f t="shared" si="57"/>
        <v>0</v>
      </c>
      <c r="M391">
        <v>9</v>
      </c>
      <c r="N391">
        <v>10</v>
      </c>
      <c r="O391" s="32">
        <f t="shared" si="58"/>
        <v>1</v>
      </c>
      <c r="P391">
        <v>9</v>
      </c>
      <c r="Q391">
        <v>10</v>
      </c>
      <c r="R391" s="32">
        <f t="shared" si="59"/>
        <v>1</v>
      </c>
      <c r="S391">
        <v>9</v>
      </c>
      <c r="T391">
        <v>10</v>
      </c>
      <c r="U391" s="32">
        <f t="shared" si="60"/>
        <v>1</v>
      </c>
      <c r="V391">
        <v>9</v>
      </c>
      <c r="W391">
        <v>10</v>
      </c>
      <c r="X391" s="32">
        <f t="shared" si="61"/>
        <v>1</v>
      </c>
      <c r="Y391">
        <v>10</v>
      </c>
      <c r="Z391">
        <v>10</v>
      </c>
      <c r="AA391" s="32">
        <f t="shared" si="62"/>
        <v>0</v>
      </c>
    </row>
    <row r="392" spans="1:27" x14ac:dyDescent="0.45">
      <c r="A392">
        <v>9</v>
      </c>
      <c r="B392">
        <v>10</v>
      </c>
      <c r="C392" s="32">
        <f t="shared" si="54"/>
        <v>1</v>
      </c>
      <c r="D392">
        <v>9</v>
      </c>
      <c r="E392">
        <v>10</v>
      </c>
      <c r="F392" s="32">
        <f t="shared" si="55"/>
        <v>1</v>
      </c>
      <c r="G392">
        <v>9</v>
      </c>
      <c r="H392">
        <v>10</v>
      </c>
      <c r="I392" s="32">
        <f t="shared" si="56"/>
        <v>1</v>
      </c>
      <c r="J392">
        <v>10</v>
      </c>
      <c r="K392">
        <v>10</v>
      </c>
      <c r="L392" s="32">
        <f t="shared" si="57"/>
        <v>0</v>
      </c>
      <c r="M392">
        <v>9</v>
      </c>
      <c r="N392">
        <v>10</v>
      </c>
      <c r="O392" s="32">
        <f t="shared" si="58"/>
        <v>1</v>
      </c>
      <c r="P392">
        <v>9</v>
      </c>
      <c r="Q392">
        <v>10</v>
      </c>
      <c r="R392" s="32">
        <f t="shared" si="59"/>
        <v>1</v>
      </c>
      <c r="S392">
        <v>9</v>
      </c>
      <c r="T392">
        <v>10</v>
      </c>
      <c r="U392" s="32">
        <f t="shared" si="60"/>
        <v>1</v>
      </c>
      <c r="V392">
        <v>9</v>
      </c>
      <c r="W392">
        <v>10</v>
      </c>
      <c r="X392" s="32">
        <f t="shared" si="61"/>
        <v>1</v>
      </c>
      <c r="Y392">
        <v>10</v>
      </c>
      <c r="Z392">
        <v>10</v>
      </c>
      <c r="AA392" s="32">
        <f t="shared" si="62"/>
        <v>0</v>
      </c>
    </row>
    <row r="393" spans="1:27" x14ac:dyDescent="0.45">
      <c r="A393">
        <v>9</v>
      </c>
      <c r="B393">
        <v>10</v>
      </c>
      <c r="C393" s="32">
        <f t="shared" si="54"/>
        <v>1</v>
      </c>
      <c r="D393">
        <v>9</v>
      </c>
      <c r="E393">
        <v>10</v>
      </c>
      <c r="F393" s="32">
        <f t="shared" si="55"/>
        <v>1</v>
      </c>
      <c r="G393">
        <v>9</v>
      </c>
      <c r="H393">
        <v>10</v>
      </c>
      <c r="I393" s="32">
        <f t="shared" si="56"/>
        <v>1</v>
      </c>
      <c r="J393">
        <v>10</v>
      </c>
      <c r="K393">
        <v>10</v>
      </c>
      <c r="L393" s="32">
        <f t="shared" si="57"/>
        <v>0</v>
      </c>
      <c r="M393">
        <v>9</v>
      </c>
      <c r="N393">
        <v>10</v>
      </c>
      <c r="O393" s="32">
        <f t="shared" si="58"/>
        <v>1</v>
      </c>
      <c r="P393">
        <v>9</v>
      </c>
      <c r="Q393">
        <v>10</v>
      </c>
      <c r="R393" s="32">
        <f t="shared" si="59"/>
        <v>1</v>
      </c>
      <c r="S393">
        <v>9</v>
      </c>
      <c r="T393">
        <v>10</v>
      </c>
      <c r="U393" s="32">
        <f t="shared" si="60"/>
        <v>1</v>
      </c>
      <c r="V393">
        <v>9</v>
      </c>
      <c r="W393">
        <v>10</v>
      </c>
      <c r="X393" s="32">
        <f t="shared" si="61"/>
        <v>1</v>
      </c>
      <c r="Y393">
        <v>10</v>
      </c>
      <c r="Z393">
        <v>10</v>
      </c>
      <c r="AA393" s="32">
        <f t="shared" si="62"/>
        <v>0</v>
      </c>
    </row>
    <row r="394" spans="1:27" x14ac:dyDescent="0.45">
      <c r="A394">
        <v>9</v>
      </c>
      <c r="B394">
        <v>10</v>
      </c>
      <c r="C394" s="32">
        <f t="shared" si="54"/>
        <v>1</v>
      </c>
      <c r="D394">
        <v>9</v>
      </c>
      <c r="E394">
        <v>10</v>
      </c>
      <c r="F394" s="32">
        <f t="shared" si="55"/>
        <v>1</v>
      </c>
      <c r="G394">
        <v>9</v>
      </c>
      <c r="H394">
        <v>10</v>
      </c>
      <c r="I394" s="32">
        <f t="shared" si="56"/>
        <v>1</v>
      </c>
      <c r="J394">
        <v>10</v>
      </c>
      <c r="K394">
        <v>10</v>
      </c>
      <c r="L394" s="32">
        <f t="shared" si="57"/>
        <v>0</v>
      </c>
      <c r="M394">
        <v>9</v>
      </c>
      <c r="N394">
        <v>10</v>
      </c>
      <c r="O394" s="32">
        <f t="shared" si="58"/>
        <v>1</v>
      </c>
      <c r="P394">
        <v>9</v>
      </c>
      <c r="Q394">
        <v>10</v>
      </c>
      <c r="R394" s="32">
        <f t="shared" si="59"/>
        <v>1</v>
      </c>
      <c r="S394">
        <v>9</v>
      </c>
      <c r="T394">
        <v>10</v>
      </c>
      <c r="U394" s="32">
        <f t="shared" si="60"/>
        <v>1</v>
      </c>
      <c r="V394">
        <v>9</v>
      </c>
      <c r="W394">
        <v>10</v>
      </c>
      <c r="X394" s="32">
        <f t="shared" si="61"/>
        <v>1</v>
      </c>
      <c r="Y394">
        <v>10</v>
      </c>
      <c r="Z394">
        <v>10</v>
      </c>
      <c r="AA394" s="32">
        <f t="shared" si="62"/>
        <v>0</v>
      </c>
    </row>
    <row r="395" spans="1:27" x14ac:dyDescent="0.45">
      <c r="A395">
        <v>9</v>
      </c>
      <c r="B395">
        <v>10</v>
      </c>
      <c r="C395" s="32">
        <f t="shared" si="54"/>
        <v>1</v>
      </c>
      <c r="D395">
        <v>9</v>
      </c>
      <c r="E395">
        <v>10</v>
      </c>
      <c r="F395" s="32">
        <f t="shared" si="55"/>
        <v>1</v>
      </c>
      <c r="G395">
        <v>9</v>
      </c>
      <c r="H395">
        <v>10</v>
      </c>
      <c r="I395" s="32">
        <f t="shared" si="56"/>
        <v>1</v>
      </c>
      <c r="J395">
        <v>10</v>
      </c>
      <c r="K395">
        <v>10</v>
      </c>
      <c r="L395" s="32">
        <f t="shared" si="57"/>
        <v>0</v>
      </c>
      <c r="M395">
        <v>9</v>
      </c>
      <c r="N395">
        <v>10</v>
      </c>
      <c r="O395" s="32">
        <f t="shared" si="58"/>
        <v>1</v>
      </c>
      <c r="P395">
        <v>9</v>
      </c>
      <c r="Q395">
        <v>10</v>
      </c>
      <c r="R395" s="32">
        <f t="shared" si="59"/>
        <v>1</v>
      </c>
      <c r="S395">
        <v>9</v>
      </c>
      <c r="T395">
        <v>10</v>
      </c>
      <c r="U395" s="32">
        <f t="shared" si="60"/>
        <v>1</v>
      </c>
      <c r="V395">
        <v>9</v>
      </c>
      <c r="W395">
        <v>10</v>
      </c>
      <c r="X395" s="32">
        <f t="shared" si="61"/>
        <v>1</v>
      </c>
      <c r="Y395">
        <v>10</v>
      </c>
      <c r="Z395">
        <v>10</v>
      </c>
      <c r="AA395" s="32">
        <f t="shared" si="62"/>
        <v>0</v>
      </c>
    </row>
    <row r="396" spans="1:27" x14ac:dyDescent="0.45">
      <c r="A396">
        <v>9</v>
      </c>
      <c r="B396">
        <v>10</v>
      </c>
      <c r="C396" s="32">
        <f t="shared" si="54"/>
        <v>1</v>
      </c>
      <c r="D396">
        <v>9</v>
      </c>
      <c r="E396">
        <v>10</v>
      </c>
      <c r="F396" s="32">
        <f t="shared" si="55"/>
        <v>1</v>
      </c>
      <c r="G396">
        <v>9</v>
      </c>
      <c r="H396">
        <v>10</v>
      </c>
      <c r="I396" s="32">
        <f t="shared" si="56"/>
        <v>1</v>
      </c>
      <c r="J396">
        <v>10</v>
      </c>
      <c r="K396">
        <v>10</v>
      </c>
      <c r="L396" s="32">
        <f t="shared" si="57"/>
        <v>0</v>
      </c>
      <c r="M396">
        <v>9</v>
      </c>
      <c r="N396">
        <v>10</v>
      </c>
      <c r="O396" s="32">
        <f t="shared" si="58"/>
        <v>1</v>
      </c>
      <c r="P396">
        <v>9</v>
      </c>
      <c r="Q396">
        <v>10</v>
      </c>
      <c r="R396" s="32">
        <f t="shared" si="59"/>
        <v>1</v>
      </c>
      <c r="S396">
        <v>9</v>
      </c>
      <c r="T396">
        <v>10</v>
      </c>
      <c r="U396" s="32">
        <f t="shared" si="60"/>
        <v>1</v>
      </c>
      <c r="V396">
        <v>9</v>
      </c>
      <c r="W396">
        <v>10</v>
      </c>
      <c r="X396" s="32">
        <f t="shared" si="61"/>
        <v>1</v>
      </c>
      <c r="Y396">
        <v>10</v>
      </c>
      <c r="Z396">
        <v>10</v>
      </c>
      <c r="AA396" s="32">
        <f t="shared" si="62"/>
        <v>0</v>
      </c>
    </row>
    <row r="397" spans="1:27" x14ac:dyDescent="0.45">
      <c r="A397">
        <v>9</v>
      </c>
      <c r="B397">
        <v>10</v>
      </c>
      <c r="C397" s="32">
        <f t="shared" si="54"/>
        <v>1</v>
      </c>
      <c r="D397">
        <v>9</v>
      </c>
      <c r="E397">
        <v>10</v>
      </c>
      <c r="F397" s="32">
        <f t="shared" si="55"/>
        <v>1</v>
      </c>
      <c r="G397">
        <v>9</v>
      </c>
      <c r="H397">
        <v>10</v>
      </c>
      <c r="I397" s="32">
        <f t="shared" si="56"/>
        <v>1</v>
      </c>
      <c r="J397">
        <v>10</v>
      </c>
      <c r="K397">
        <v>10</v>
      </c>
      <c r="L397" s="32">
        <f t="shared" si="57"/>
        <v>0</v>
      </c>
      <c r="M397">
        <v>9</v>
      </c>
      <c r="N397">
        <v>10</v>
      </c>
      <c r="O397" s="32">
        <f t="shared" si="58"/>
        <v>1</v>
      </c>
      <c r="P397">
        <v>9</v>
      </c>
      <c r="Q397">
        <v>10</v>
      </c>
      <c r="R397" s="32">
        <f t="shared" si="59"/>
        <v>1</v>
      </c>
      <c r="S397">
        <v>9</v>
      </c>
      <c r="T397">
        <v>10</v>
      </c>
      <c r="U397" s="32">
        <f t="shared" si="60"/>
        <v>1</v>
      </c>
      <c r="V397">
        <v>9</v>
      </c>
      <c r="W397">
        <v>10</v>
      </c>
      <c r="X397" s="32">
        <f t="shared" si="61"/>
        <v>1</v>
      </c>
      <c r="Y397">
        <v>10</v>
      </c>
      <c r="Z397">
        <v>10</v>
      </c>
      <c r="AA397" s="32">
        <f t="shared" si="62"/>
        <v>0</v>
      </c>
    </row>
    <row r="398" spans="1:27" x14ac:dyDescent="0.45">
      <c r="A398">
        <v>9</v>
      </c>
      <c r="B398">
        <v>10</v>
      </c>
      <c r="C398" s="32">
        <f t="shared" si="54"/>
        <v>1</v>
      </c>
      <c r="D398">
        <v>9</v>
      </c>
      <c r="E398">
        <v>10</v>
      </c>
      <c r="F398" s="32">
        <f t="shared" si="55"/>
        <v>1</v>
      </c>
      <c r="G398">
        <v>9</v>
      </c>
      <c r="H398">
        <v>10</v>
      </c>
      <c r="I398" s="32">
        <f t="shared" si="56"/>
        <v>1</v>
      </c>
      <c r="J398">
        <v>10</v>
      </c>
      <c r="K398">
        <v>10</v>
      </c>
      <c r="L398" s="32">
        <f t="shared" si="57"/>
        <v>0</v>
      </c>
      <c r="M398">
        <v>9</v>
      </c>
      <c r="N398">
        <v>10</v>
      </c>
      <c r="O398" s="32">
        <f t="shared" si="58"/>
        <v>1</v>
      </c>
      <c r="P398">
        <v>9</v>
      </c>
      <c r="Q398">
        <v>10</v>
      </c>
      <c r="R398" s="32">
        <f t="shared" si="59"/>
        <v>1</v>
      </c>
      <c r="S398">
        <v>9</v>
      </c>
      <c r="T398">
        <v>10</v>
      </c>
      <c r="U398" s="32">
        <f t="shared" si="60"/>
        <v>1</v>
      </c>
      <c r="V398">
        <v>9</v>
      </c>
      <c r="W398">
        <v>10</v>
      </c>
      <c r="X398" s="32">
        <f t="shared" si="61"/>
        <v>1</v>
      </c>
      <c r="Y398">
        <v>10</v>
      </c>
      <c r="Z398">
        <v>10</v>
      </c>
      <c r="AA398" s="32">
        <f t="shared" si="62"/>
        <v>0</v>
      </c>
    </row>
    <row r="399" spans="1:27" x14ac:dyDescent="0.45">
      <c r="A399">
        <v>9</v>
      </c>
      <c r="B399">
        <v>10</v>
      </c>
      <c r="C399" s="32">
        <f t="shared" si="54"/>
        <v>1</v>
      </c>
      <c r="D399">
        <v>9</v>
      </c>
      <c r="E399">
        <v>10</v>
      </c>
      <c r="F399" s="32">
        <f t="shared" si="55"/>
        <v>1</v>
      </c>
      <c r="G399">
        <v>9</v>
      </c>
      <c r="H399">
        <v>10</v>
      </c>
      <c r="I399" s="32">
        <f t="shared" si="56"/>
        <v>1</v>
      </c>
      <c r="J399">
        <v>10</v>
      </c>
      <c r="K399">
        <v>10</v>
      </c>
      <c r="L399" s="32">
        <f t="shared" si="57"/>
        <v>0</v>
      </c>
      <c r="M399">
        <v>9</v>
      </c>
      <c r="N399">
        <v>10</v>
      </c>
      <c r="O399" s="32">
        <f t="shared" si="58"/>
        <v>1</v>
      </c>
      <c r="P399">
        <v>9</v>
      </c>
      <c r="Q399">
        <v>10</v>
      </c>
      <c r="R399" s="32">
        <f t="shared" si="59"/>
        <v>1</v>
      </c>
      <c r="S399">
        <v>9</v>
      </c>
      <c r="T399">
        <v>10</v>
      </c>
      <c r="U399" s="32">
        <f t="shared" si="60"/>
        <v>1</v>
      </c>
      <c r="V399">
        <v>9</v>
      </c>
      <c r="W399">
        <v>10</v>
      </c>
      <c r="X399" s="32">
        <f t="shared" si="61"/>
        <v>1</v>
      </c>
      <c r="Y399">
        <v>10</v>
      </c>
      <c r="Z399">
        <v>10</v>
      </c>
      <c r="AA399" s="32">
        <f t="shared" si="62"/>
        <v>0</v>
      </c>
    </row>
    <row r="400" spans="1:27" x14ac:dyDescent="0.45">
      <c r="A400">
        <v>9</v>
      </c>
      <c r="B400">
        <v>10</v>
      </c>
      <c r="C400" s="32">
        <f t="shared" si="54"/>
        <v>1</v>
      </c>
      <c r="D400">
        <v>9</v>
      </c>
      <c r="E400">
        <v>10</v>
      </c>
      <c r="F400" s="32">
        <f t="shared" si="55"/>
        <v>1</v>
      </c>
      <c r="G400">
        <v>9</v>
      </c>
      <c r="H400">
        <v>10</v>
      </c>
      <c r="I400" s="32">
        <f t="shared" si="56"/>
        <v>1</v>
      </c>
      <c r="J400">
        <v>10</v>
      </c>
      <c r="K400">
        <v>10</v>
      </c>
      <c r="L400" s="32">
        <f t="shared" si="57"/>
        <v>0</v>
      </c>
      <c r="M400">
        <v>9</v>
      </c>
      <c r="N400">
        <v>10</v>
      </c>
      <c r="O400" s="32">
        <f t="shared" si="58"/>
        <v>1</v>
      </c>
      <c r="P400">
        <v>9</v>
      </c>
      <c r="Q400">
        <v>10</v>
      </c>
      <c r="R400" s="32">
        <f t="shared" si="59"/>
        <v>1</v>
      </c>
      <c r="S400">
        <v>9</v>
      </c>
      <c r="T400">
        <v>10</v>
      </c>
      <c r="U400" s="32">
        <f t="shared" si="60"/>
        <v>1</v>
      </c>
      <c r="V400">
        <v>9</v>
      </c>
      <c r="W400">
        <v>10</v>
      </c>
      <c r="X400" s="32">
        <f t="shared" si="61"/>
        <v>1</v>
      </c>
      <c r="Y400">
        <v>10</v>
      </c>
      <c r="Z400">
        <v>10</v>
      </c>
      <c r="AA400" s="32">
        <f t="shared" si="62"/>
        <v>0</v>
      </c>
    </row>
    <row r="401" spans="1:27" x14ac:dyDescent="0.45">
      <c r="A401">
        <v>9</v>
      </c>
      <c r="B401">
        <v>10</v>
      </c>
      <c r="C401" s="32">
        <f t="shared" si="54"/>
        <v>1</v>
      </c>
      <c r="D401">
        <v>9</v>
      </c>
      <c r="E401">
        <v>10</v>
      </c>
      <c r="F401" s="32">
        <f t="shared" si="55"/>
        <v>1</v>
      </c>
      <c r="G401">
        <v>9</v>
      </c>
      <c r="H401">
        <v>10</v>
      </c>
      <c r="I401" s="32">
        <f t="shared" si="56"/>
        <v>1</v>
      </c>
      <c r="J401">
        <v>10</v>
      </c>
      <c r="K401">
        <v>10</v>
      </c>
      <c r="L401" s="32">
        <f t="shared" si="57"/>
        <v>0</v>
      </c>
      <c r="M401">
        <v>9</v>
      </c>
      <c r="N401">
        <v>10</v>
      </c>
      <c r="O401" s="32">
        <f t="shared" si="58"/>
        <v>1</v>
      </c>
      <c r="P401">
        <v>9</v>
      </c>
      <c r="Q401">
        <v>10</v>
      </c>
      <c r="R401" s="32">
        <f t="shared" si="59"/>
        <v>1</v>
      </c>
      <c r="S401">
        <v>9</v>
      </c>
      <c r="T401">
        <v>10</v>
      </c>
      <c r="U401" s="32">
        <f t="shared" si="60"/>
        <v>1</v>
      </c>
      <c r="V401">
        <v>9</v>
      </c>
      <c r="W401">
        <v>10</v>
      </c>
      <c r="X401" s="32">
        <f t="shared" si="61"/>
        <v>1</v>
      </c>
      <c r="Y401">
        <v>10</v>
      </c>
      <c r="Z401">
        <v>10</v>
      </c>
      <c r="AA401" s="32">
        <f t="shared" si="62"/>
        <v>0</v>
      </c>
    </row>
    <row r="402" spans="1:27" x14ac:dyDescent="0.45">
      <c r="A402">
        <v>9</v>
      </c>
      <c r="B402">
        <v>10</v>
      </c>
      <c r="C402" s="32">
        <f t="shared" si="54"/>
        <v>1</v>
      </c>
      <c r="D402">
        <v>9</v>
      </c>
      <c r="E402">
        <v>10</v>
      </c>
      <c r="F402" s="32">
        <f t="shared" si="55"/>
        <v>1</v>
      </c>
      <c r="G402">
        <v>9</v>
      </c>
      <c r="H402">
        <v>10</v>
      </c>
      <c r="I402" s="32">
        <f t="shared" si="56"/>
        <v>1</v>
      </c>
      <c r="J402">
        <v>10</v>
      </c>
      <c r="K402">
        <v>10</v>
      </c>
      <c r="L402" s="32">
        <f t="shared" si="57"/>
        <v>0</v>
      </c>
      <c r="M402">
        <v>9</v>
      </c>
      <c r="N402">
        <v>10</v>
      </c>
      <c r="O402" s="32">
        <f t="shared" si="58"/>
        <v>1</v>
      </c>
      <c r="P402">
        <v>10</v>
      </c>
      <c r="Q402">
        <v>10</v>
      </c>
      <c r="R402" s="32">
        <f t="shared" si="59"/>
        <v>0</v>
      </c>
      <c r="S402">
        <v>9</v>
      </c>
      <c r="T402">
        <v>10</v>
      </c>
      <c r="U402" s="32">
        <f t="shared" si="60"/>
        <v>1</v>
      </c>
      <c r="V402">
        <v>9</v>
      </c>
      <c r="W402">
        <v>10</v>
      </c>
      <c r="X402" s="32">
        <f t="shared" si="61"/>
        <v>1</v>
      </c>
      <c r="Y402">
        <v>10</v>
      </c>
      <c r="Z402">
        <v>10</v>
      </c>
      <c r="AA402" s="32">
        <f t="shared" si="62"/>
        <v>0</v>
      </c>
    </row>
    <row r="403" spans="1:27" x14ac:dyDescent="0.45">
      <c r="A403">
        <v>9</v>
      </c>
      <c r="B403">
        <v>10</v>
      </c>
      <c r="C403" s="32">
        <f t="shared" si="54"/>
        <v>1</v>
      </c>
      <c r="D403">
        <v>9</v>
      </c>
      <c r="E403">
        <v>10</v>
      </c>
      <c r="F403" s="32">
        <f t="shared" si="55"/>
        <v>1</v>
      </c>
      <c r="G403">
        <v>9</v>
      </c>
      <c r="H403">
        <v>10</v>
      </c>
      <c r="I403" s="32">
        <f t="shared" si="56"/>
        <v>1</v>
      </c>
      <c r="J403">
        <v>10</v>
      </c>
      <c r="K403">
        <v>10</v>
      </c>
      <c r="L403" s="32">
        <f t="shared" si="57"/>
        <v>0</v>
      </c>
      <c r="M403">
        <v>9</v>
      </c>
      <c r="N403">
        <v>10</v>
      </c>
      <c r="O403" s="32">
        <f t="shared" si="58"/>
        <v>1</v>
      </c>
      <c r="P403">
        <v>10</v>
      </c>
      <c r="Q403">
        <v>10</v>
      </c>
      <c r="R403" s="32">
        <f t="shared" si="59"/>
        <v>0</v>
      </c>
      <c r="S403">
        <v>9</v>
      </c>
      <c r="T403">
        <v>10</v>
      </c>
      <c r="U403" s="32">
        <f t="shared" si="60"/>
        <v>1</v>
      </c>
      <c r="V403">
        <v>9</v>
      </c>
      <c r="W403">
        <v>10</v>
      </c>
      <c r="X403" s="32">
        <f t="shared" si="61"/>
        <v>1</v>
      </c>
      <c r="Y403">
        <v>10</v>
      </c>
      <c r="Z403">
        <v>10</v>
      </c>
      <c r="AA403" s="32">
        <f t="shared" si="62"/>
        <v>0</v>
      </c>
    </row>
    <row r="404" spans="1:27" x14ac:dyDescent="0.45">
      <c r="A404">
        <v>10</v>
      </c>
      <c r="B404" s="36">
        <v>10</v>
      </c>
      <c r="C404" s="32">
        <f t="shared" si="54"/>
        <v>0</v>
      </c>
      <c r="D404">
        <v>9</v>
      </c>
      <c r="E404">
        <v>10</v>
      </c>
      <c r="F404" s="32">
        <f t="shared" si="55"/>
        <v>1</v>
      </c>
      <c r="G404">
        <v>10</v>
      </c>
      <c r="H404">
        <v>10</v>
      </c>
      <c r="I404" s="32">
        <f t="shared" si="56"/>
        <v>0</v>
      </c>
      <c r="J404">
        <v>10</v>
      </c>
      <c r="K404">
        <v>10</v>
      </c>
      <c r="L404" s="32">
        <f t="shared" si="57"/>
        <v>0</v>
      </c>
      <c r="M404">
        <v>10</v>
      </c>
      <c r="N404">
        <v>10</v>
      </c>
      <c r="O404" s="32">
        <f t="shared" si="58"/>
        <v>0</v>
      </c>
      <c r="P404">
        <v>10</v>
      </c>
      <c r="Q404">
        <v>10</v>
      </c>
      <c r="R404" s="32">
        <f t="shared" si="59"/>
        <v>0</v>
      </c>
      <c r="S404">
        <v>10</v>
      </c>
      <c r="T404">
        <v>10</v>
      </c>
      <c r="U404" s="32">
        <f t="shared" si="60"/>
        <v>0</v>
      </c>
      <c r="V404">
        <v>10</v>
      </c>
      <c r="W404">
        <v>10</v>
      </c>
      <c r="X404" s="32">
        <f t="shared" si="61"/>
        <v>0</v>
      </c>
      <c r="Y404">
        <v>10</v>
      </c>
      <c r="Z404">
        <v>10</v>
      </c>
      <c r="AA404" s="32">
        <f t="shared" si="62"/>
        <v>0</v>
      </c>
    </row>
    <row r="405" spans="1:27" x14ac:dyDescent="0.45">
      <c r="C405">
        <f>AVERAGE(C2:C404)</f>
        <v>0.96277915632754341</v>
      </c>
      <c r="F405">
        <f>AVERAGE(F2:F404)</f>
        <v>0.74193548387096775</v>
      </c>
      <c r="I405">
        <f>AVERAGE(I2:I404)</f>
        <v>2.1885856079404467</v>
      </c>
      <c r="L405">
        <f>AVERAGE(L2:L404)</f>
        <v>1.5558312655086848</v>
      </c>
      <c r="O405">
        <f>AVERAGE(O2:O404)</f>
        <v>1.4069478908188586</v>
      </c>
      <c r="R405">
        <f>AVERAGE(R2:R404)</f>
        <v>2.1687344913151363</v>
      </c>
      <c r="U405">
        <f>AVERAGE(U2:U404)</f>
        <v>1.8858560794044665</v>
      </c>
      <c r="X405">
        <f>AVERAGE(X2:X404)</f>
        <v>1.2605459057071959</v>
      </c>
      <c r="AA405">
        <f>AVERAGE(AA2:AA404)</f>
        <v>1.9106699751861043</v>
      </c>
    </row>
  </sheetData>
  <sortState xmlns:xlrd2="http://schemas.microsoft.com/office/spreadsheetml/2017/richdata2" ref="Y2:Y404">
    <sortCondition ref="Y2:Y404"/>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68"/>
  <sheetViews>
    <sheetView workbookViewId="0">
      <selection activeCell="F12" sqref="F12"/>
    </sheetView>
  </sheetViews>
  <sheetFormatPr defaultRowHeight="14.25" x14ac:dyDescent="0.45"/>
  <cols>
    <col min="1" max="1" width="8.9296875" bestFit="1" customWidth="1"/>
    <col min="2" max="2" width="10" customWidth="1"/>
    <col min="3" max="3" width="12.53125" customWidth="1"/>
    <col min="4" max="4" width="17.19921875" customWidth="1"/>
    <col min="5" max="5" width="13.33203125" bestFit="1" customWidth="1"/>
    <col min="6" max="6" width="15.06640625" customWidth="1"/>
    <col min="7" max="7" width="17.06640625" bestFit="1" customWidth="1"/>
    <col min="8" max="8" width="16.73046875" bestFit="1" customWidth="1"/>
    <col min="9" max="9" width="17.265625" bestFit="1" customWidth="1"/>
    <col min="10" max="10" width="12.86328125" bestFit="1" customWidth="1"/>
    <col min="11" max="11" width="12.53125" bestFit="1" customWidth="1"/>
    <col min="12" max="12" width="13.06640625" bestFit="1" customWidth="1"/>
  </cols>
  <sheetData>
    <row r="1" spans="1:13" x14ac:dyDescent="0.45">
      <c r="A1" s="1" t="s">
        <v>4</v>
      </c>
      <c r="B1" s="1" t="s">
        <v>5</v>
      </c>
      <c r="C1" s="1" t="s">
        <v>6</v>
      </c>
      <c r="D1" s="5" t="s">
        <v>35</v>
      </c>
      <c r="E1" s="5" t="s">
        <v>203</v>
      </c>
      <c r="F1" s="5" t="s">
        <v>202</v>
      </c>
      <c r="G1" s="1" t="s">
        <v>7</v>
      </c>
      <c r="H1" s="1" t="s">
        <v>8</v>
      </c>
      <c r="I1" s="1" t="s">
        <v>9</v>
      </c>
      <c r="J1" s="1" t="s">
        <v>10</v>
      </c>
      <c r="K1" s="1" t="s">
        <v>11</v>
      </c>
      <c r="L1" s="1" t="s">
        <v>12</v>
      </c>
    </row>
    <row r="2" spans="1:13" x14ac:dyDescent="0.45">
      <c r="A2" s="4" t="s">
        <v>13</v>
      </c>
      <c r="B2" s="33">
        <f>step3_combined_data!U405</f>
        <v>1.9602977667493797</v>
      </c>
      <c r="C2" s="15">
        <f>CM_REPORT!E7</f>
        <v>0.4143920595533499</v>
      </c>
      <c r="D2" s="24">
        <f>CM_REPORT!E8</f>
        <v>-3.4629913321421582E-2</v>
      </c>
      <c r="E2" s="34">
        <f>(ABS(J2-G2)+ABS(K2-H2)+ABS(L2-I2))/2</f>
        <v>0.22084367245657568</v>
      </c>
      <c r="F2" s="37">
        <f>EMD!C405</f>
        <v>0.96277915632754341</v>
      </c>
      <c r="G2" s="15">
        <f>step3_combined_data!T406/step3_combined_data!T409</f>
        <v>0.13647642679900746</v>
      </c>
      <c r="H2" s="15">
        <f>step3_combined_data!T407/step3_combined_data!T409</f>
        <v>0.4466501240694789</v>
      </c>
      <c r="I2" s="15">
        <f>step3_combined_data!T408/step3_combined_data!T409</f>
        <v>0.41687344913151364</v>
      </c>
      <c r="J2" s="15">
        <f>step3_combined_data!R406/step3_combined_data!R409</f>
        <v>1.488833746898263E-2</v>
      </c>
      <c r="K2" s="15">
        <f>step3_combined_data!R407/step3_combined_data!R409</f>
        <v>0.66749379652605456</v>
      </c>
      <c r="L2" s="15">
        <f>step3_combined_data!R408/step3_combined_data!R409</f>
        <v>0.31761786600496278</v>
      </c>
      <c r="M2" s="25">
        <f>J2+K2+L2</f>
        <v>1</v>
      </c>
    </row>
    <row r="3" spans="1:13" x14ac:dyDescent="0.45">
      <c r="A3" s="4" t="s">
        <v>14</v>
      </c>
      <c r="B3" s="33">
        <f>step3_combined_data!Z405</f>
        <v>1.8808933002481389</v>
      </c>
      <c r="C3" s="15">
        <f>CM_REPORT!E16</f>
        <v>0.42183622828784118</v>
      </c>
      <c r="D3" s="24">
        <f>CM_REPORT!E17</f>
        <v>-3.684460626368391E-2</v>
      </c>
      <c r="E3" s="34">
        <f t="shared" ref="E3:E10" si="0">(ABS(J3-G3)+ABS(K3-H3)+ABS(L3-I3))/2</f>
        <v>0.10669975186104219</v>
      </c>
      <c r="F3" s="37">
        <f>EMD!F405</f>
        <v>0.74193548387096775</v>
      </c>
      <c r="G3" s="15">
        <f>step3_combined_data!Y406/step3_combined_data!Y409</f>
        <v>0.11166253101736973</v>
      </c>
      <c r="H3" s="15">
        <f>step3_combined_data!Y407/step3_combined_data!Y409</f>
        <v>0.41191066997518611</v>
      </c>
      <c r="I3" s="15">
        <f>step3_combined_data!Y408/step3_combined_data!Y409</f>
        <v>0.47642679900744417</v>
      </c>
      <c r="J3" s="15">
        <f>step3_combined_data!W406/step3_combined_data!W409</f>
        <v>4.9627791563275434E-3</v>
      </c>
      <c r="K3" s="15">
        <f>step3_combined_data!W407/step3_combined_data!W409</f>
        <v>0.50620347394540943</v>
      </c>
      <c r="L3" s="15">
        <f>step3_combined_data!W408/step3_combined_data!W409</f>
        <v>0.48883374689826303</v>
      </c>
      <c r="M3" s="25">
        <f t="shared" ref="M3:M10" si="1">J3+K3+L3</f>
        <v>1</v>
      </c>
    </row>
    <row r="4" spans="1:13" x14ac:dyDescent="0.45">
      <c r="A4" s="4" t="s">
        <v>15</v>
      </c>
      <c r="B4" s="33">
        <f>step3_combined_data!AE405</f>
        <v>2.6923076923076925</v>
      </c>
      <c r="C4" s="15">
        <f>CM_REPORT!E26</f>
        <v>0.35732009925558311</v>
      </c>
      <c r="D4" s="24">
        <f>CM_REPORT!E27</f>
        <v>-3.1327631002539567E-2</v>
      </c>
      <c r="E4" s="34">
        <f t="shared" si="0"/>
        <v>0.4491315136476427</v>
      </c>
      <c r="F4" s="37">
        <f>EMD!I405</f>
        <v>2.1885856079404467</v>
      </c>
      <c r="G4" s="15">
        <f>step3_combined_data!AD406/step3_combined_data!AD409</f>
        <v>0.20595533498759305</v>
      </c>
      <c r="H4" s="15">
        <f>step3_combined_data!AD407/step3_combined_data!AD409</f>
        <v>0.43920595533498757</v>
      </c>
      <c r="I4" s="15">
        <f>step3_combined_data!AD408/step3_combined_data!AD409</f>
        <v>0.35483870967741937</v>
      </c>
      <c r="J4" s="15">
        <f>step3_combined_data!AB406/step3_combined_data!AB409</f>
        <v>0</v>
      </c>
      <c r="K4" s="15">
        <f>step3_combined_data!AB407/step3_combined_data!AB409</f>
        <v>0.19602977667493796</v>
      </c>
      <c r="L4" s="15">
        <f>step3_combined_data!AB408/step3_combined_data!AB409</f>
        <v>0.80397022332506207</v>
      </c>
      <c r="M4" s="25">
        <f t="shared" si="1"/>
        <v>1</v>
      </c>
    </row>
    <row r="5" spans="1:13" x14ac:dyDescent="0.45">
      <c r="A5" s="4" t="s">
        <v>16</v>
      </c>
      <c r="B5" s="33">
        <f>step3_combined_data!AJ405</f>
        <v>1.8883374689826302</v>
      </c>
      <c r="C5" s="15">
        <f>CM_REPORT!E36</f>
        <v>0.49131513647642677</v>
      </c>
      <c r="D5" s="24">
        <f>CM_REPORT!E37</f>
        <v>1.7516124997030542E-2</v>
      </c>
      <c r="E5" s="34">
        <f t="shared" si="0"/>
        <v>0.4640198511166253</v>
      </c>
      <c r="F5" s="37">
        <f>EMD!L405</f>
        <v>1.5558312655086848</v>
      </c>
      <c r="G5" s="15">
        <f>step3_combined_data!AI406/step3_combined_data!AI409</f>
        <v>5.2109181141439205E-2</v>
      </c>
      <c r="H5" s="15">
        <f>step3_combined_data!AI407/step3_combined_data!AI409</f>
        <v>0.45905707196029777</v>
      </c>
      <c r="I5" s="15">
        <f>step3_combined_data!AI408/step3_combined_data!AI409</f>
        <v>0.48883374689826303</v>
      </c>
      <c r="J5" s="15">
        <f>step3_combined_data!AG406/step3_combined_data!AG409</f>
        <v>0</v>
      </c>
      <c r="K5" s="15">
        <f>step3_combined_data!AG407/step3_combined_data!AG409</f>
        <v>4.7146401985111663E-2</v>
      </c>
      <c r="L5" s="15">
        <f>step3_combined_data!AG408/step3_combined_data!AG409</f>
        <v>0.95285359801488834</v>
      </c>
      <c r="M5" s="25">
        <f t="shared" si="1"/>
        <v>1</v>
      </c>
    </row>
    <row r="6" spans="1:13" x14ac:dyDescent="0.45">
      <c r="A6" s="4" t="s">
        <v>17</v>
      </c>
      <c r="B6" s="33">
        <f>step3_combined_data!AO405</f>
        <v>2.1861042183622827</v>
      </c>
      <c r="C6" s="15">
        <f>CM_REPORT!E46</f>
        <v>0.41895261845386533</v>
      </c>
      <c r="D6" s="24">
        <f>CM_REPORT!E47</f>
        <v>1.0876869716755066E-2</v>
      </c>
      <c r="E6" s="34">
        <f t="shared" si="0"/>
        <v>0.24846692202496243</v>
      </c>
      <c r="F6" s="37">
        <f>EMD!O405</f>
        <v>1.4069478908188586</v>
      </c>
      <c r="G6" s="15">
        <f>step3_combined_data!AN406/step3_combined_data!AN409</f>
        <v>0.14143920595533499</v>
      </c>
      <c r="H6" s="15">
        <f>step3_combined_data!AN407/step3_combined_data!AN409</f>
        <v>0.54094292803970223</v>
      </c>
      <c r="I6" s="15">
        <f>step3_combined_data!AN408/step3_combined_data!AN409</f>
        <v>0.31761786600496278</v>
      </c>
      <c r="J6" s="15">
        <f>step3_combined_data!AL406/step3_combined_data!AL409</f>
        <v>2.4937655860349127E-3</v>
      </c>
      <c r="K6" s="15">
        <f>step3_combined_data!AL407/step3_combined_data!AL409</f>
        <v>0.4314214463840399</v>
      </c>
      <c r="L6" s="15">
        <f>step3_combined_data!AL408/step3_combined_data!AL409</f>
        <v>0.56608478802992523</v>
      </c>
      <c r="M6" s="25">
        <f t="shared" si="1"/>
        <v>1</v>
      </c>
    </row>
    <row r="7" spans="1:13" x14ac:dyDescent="0.45">
      <c r="A7" s="4" t="s">
        <v>18</v>
      </c>
      <c r="B7" s="33">
        <f>step3_combined_data!AT405</f>
        <v>2.4615384615384617</v>
      </c>
      <c r="C7" s="15">
        <f>CM_REPORT!E56</f>
        <v>0.38154613466334164</v>
      </c>
      <c r="D7" s="24">
        <f>CM_REPORT!E57</f>
        <v>-2.1815748385419175E-2</v>
      </c>
      <c r="E7" s="34">
        <f t="shared" si="0"/>
        <v>0.57548436600805686</v>
      </c>
      <c r="F7" s="37">
        <f>EMD!R405</f>
        <v>2.1687344913151363</v>
      </c>
      <c r="G7" s="15">
        <f>step3_combined_data!AS406/step3_combined_data!AS409</f>
        <v>0.17369727047146402</v>
      </c>
      <c r="H7" s="15">
        <f>step3_combined_data!AS407/step3_combined_data!AS409</f>
        <v>0.44168734491315137</v>
      </c>
      <c r="I7" s="15">
        <f>step3_combined_data!AS408/step3_combined_data!AS409</f>
        <v>0.38461538461538464</v>
      </c>
      <c r="J7" s="15">
        <f>step3_combined_data!AQ406/step3_combined_data!AQ409</f>
        <v>0</v>
      </c>
      <c r="K7" s="15">
        <f>step3_combined_data!AQ407/step3_combined_data!AQ409</f>
        <v>3.9900249376558602E-2</v>
      </c>
      <c r="L7" s="15">
        <f>step3_combined_data!AQ408/step3_combined_data!AQ409</f>
        <v>0.96009975062344144</v>
      </c>
      <c r="M7" s="25">
        <f t="shared" si="1"/>
        <v>1</v>
      </c>
    </row>
    <row r="8" spans="1:13" x14ac:dyDescent="0.45">
      <c r="A8" s="4" t="s">
        <v>19</v>
      </c>
      <c r="B8" s="33">
        <f>step3_combined_data!AY405</f>
        <v>2.5186104218362284</v>
      </c>
      <c r="C8" s="15">
        <f>CM_REPORT!E66</f>
        <v>0.40897755610972569</v>
      </c>
      <c r="D8" s="24">
        <f>CM_REPORT!E67</f>
        <v>4.2388845090714423E-2</v>
      </c>
      <c r="E8" s="34">
        <f t="shared" si="0"/>
        <v>0.31063779756563925</v>
      </c>
      <c r="F8" s="37">
        <f>EMD!U405</f>
        <v>1.8858560794044665</v>
      </c>
      <c r="G8" s="15">
        <f>step3_combined_data!AX406/step3_combined_data!AX409</f>
        <v>0.17866004962779156</v>
      </c>
      <c r="H8" s="15">
        <f>step3_combined_data!AX407/step3_combined_data!AX409</f>
        <v>0.53846153846153844</v>
      </c>
      <c r="I8" s="15">
        <f>step3_combined_data!AX408/step3_combined_data!AX409</f>
        <v>0.28287841191066998</v>
      </c>
      <c r="J8" s="15">
        <f>step3_combined_data!AV406/step3_combined_data!AV409</f>
        <v>0</v>
      </c>
      <c r="K8" s="15">
        <f>step3_combined_data!AV407/step3_combined_data!AV409</f>
        <v>0.40648379052369077</v>
      </c>
      <c r="L8" s="15">
        <f>step3_combined_data!AV408/step3_combined_data!AV409</f>
        <v>0.59351620947630923</v>
      </c>
      <c r="M8" s="25">
        <f t="shared" si="1"/>
        <v>1</v>
      </c>
    </row>
    <row r="9" spans="1:13" x14ac:dyDescent="0.45">
      <c r="A9" s="4" t="s">
        <v>20</v>
      </c>
      <c r="B9" s="33">
        <f>step3_combined_data!BD405</f>
        <v>1.9875930521091811</v>
      </c>
      <c r="C9" s="15">
        <f>CM_REPORT!E75</f>
        <v>0.42394014962593518</v>
      </c>
      <c r="D9" s="24">
        <f>CM_REPORT!E76</f>
        <v>-3.6162978154189312E-2</v>
      </c>
      <c r="E9" s="34">
        <f t="shared" si="0"/>
        <v>0.19602358867100239</v>
      </c>
      <c r="F9" s="37">
        <f>EMD!X405</f>
        <v>1.2605459057071959</v>
      </c>
      <c r="G9" s="15">
        <f>step3_combined_data!BC406/step3_combined_data!BC409</f>
        <v>0.11414392059553349</v>
      </c>
      <c r="H9" s="15">
        <f>step3_combined_data!BC407/step3_combined_data!BC409</f>
        <v>0.5831265508684863</v>
      </c>
      <c r="I9" s="15">
        <f>step3_combined_data!BC408/step3_combined_data!BC409</f>
        <v>0.30272952853598017</v>
      </c>
      <c r="J9" s="15">
        <f>step3_combined_data!BA406/step3_combined_data!BA409</f>
        <v>0</v>
      </c>
      <c r="K9" s="15">
        <f>step3_combined_data!BA407/step3_combined_data!BA409</f>
        <v>0.50124688279301743</v>
      </c>
      <c r="L9" s="15">
        <f>step3_combined_data!BA408/step3_combined_data!BA409</f>
        <v>0.49875311720698257</v>
      </c>
      <c r="M9" s="25">
        <f t="shared" si="1"/>
        <v>1</v>
      </c>
    </row>
    <row r="10" spans="1:13" x14ac:dyDescent="0.45">
      <c r="A10" s="4" t="s">
        <v>21</v>
      </c>
      <c r="B10" s="33">
        <f>step3_combined_data!BI405</f>
        <v>2.2431761786600495</v>
      </c>
      <c r="C10" s="15">
        <f>CM_REPORT!E85</f>
        <v>0.4375</v>
      </c>
      <c r="D10" s="24">
        <f>CM_REPORT!E86</f>
        <v>1.1232490817690528E-2</v>
      </c>
      <c r="E10" s="34">
        <f t="shared" si="0"/>
        <v>0.5182382133995036</v>
      </c>
      <c r="F10" s="37">
        <f>EMD!AA405</f>
        <v>1.9106699751861043</v>
      </c>
      <c r="G10" s="15">
        <f>step3_combined_data!BH406/step3_combined_data!BH409</f>
        <v>8.6848635235732011E-2</v>
      </c>
      <c r="H10" s="15">
        <f>step3_combined_data!BH407/step3_combined_data!BH409</f>
        <v>0.4813895781637717</v>
      </c>
      <c r="I10" s="15">
        <f>step3_combined_data!BH408/step3_combined_data!BH409</f>
        <v>0.4317617866004963</v>
      </c>
      <c r="J10" s="15">
        <f>step3_combined_data!BF406/step3_combined_data!BF409</f>
        <v>0</v>
      </c>
      <c r="K10" s="15">
        <f>step3_combined_data!BF407/step3_combined_data!BF409</f>
        <v>0.05</v>
      </c>
      <c r="L10" s="15">
        <f>step3_combined_data!BF408/step3_combined_data!BF409</f>
        <v>0.95</v>
      </c>
      <c r="M10" s="25">
        <f t="shared" si="1"/>
        <v>1</v>
      </c>
    </row>
    <row r="13" spans="1:13" x14ac:dyDescent="0.45">
      <c r="C13" s="29"/>
      <c r="E13" s="27" t="s">
        <v>38</v>
      </c>
      <c r="F13" t="s">
        <v>168</v>
      </c>
      <c r="G13" s="29" t="s">
        <v>169</v>
      </c>
    </row>
    <row r="14" spans="1:13" x14ac:dyDescent="0.45">
      <c r="C14" s="25"/>
      <c r="E14" s="28" t="s">
        <v>166</v>
      </c>
      <c r="F14">
        <v>159</v>
      </c>
      <c r="G14" s="25">
        <f>GETPIVOTDATA("Giới tính của bạn:",$E$13,"Giới tính của bạn:","Male")/GETPIVOTDATA("Giới tính của bạn:",$E$13)</f>
        <v>0.39454094292803971</v>
      </c>
    </row>
    <row r="15" spans="1:13" x14ac:dyDescent="0.45">
      <c r="C15" s="25"/>
      <c r="E15" s="28" t="s">
        <v>167</v>
      </c>
      <c r="F15">
        <v>244</v>
      </c>
      <c r="G15" s="25">
        <f>GETPIVOTDATA("Giới tính của bạn:",$E$13,"Giới tính của bạn:","Female")/GETPIVOTDATA("Giới tính của bạn:",$E$13)</f>
        <v>0.60545905707196035</v>
      </c>
    </row>
    <row r="16" spans="1:13" x14ac:dyDescent="0.45">
      <c r="C16" s="25"/>
      <c r="E16" s="28" t="s">
        <v>34</v>
      </c>
      <c r="F16">
        <v>403</v>
      </c>
      <c r="G16" s="25">
        <f>G14+G15</f>
        <v>1</v>
      </c>
    </row>
    <row r="19" spans="3:7" x14ac:dyDescent="0.45">
      <c r="C19" s="29"/>
      <c r="E19" s="27" t="s">
        <v>39</v>
      </c>
      <c r="F19" t="s">
        <v>213</v>
      </c>
    </row>
    <row r="20" spans="3:7" x14ac:dyDescent="0.45">
      <c r="C20" s="25"/>
      <c r="E20" s="28" t="s">
        <v>189</v>
      </c>
      <c r="F20">
        <v>55</v>
      </c>
      <c r="G20" s="38">
        <f>GETPIVOTDATA("Độ tuổi của bạn:",$E$19,"Độ tuổi của bạn:","18 - 24")/GETPIVOTDATA("Độ tuổi của bạn:",$E$19)</f>
        <v>0.13647642679900746</v>
      </c>
    </row>
    <row r="21" spans="3:7" x14ac:dyDescent="0.45">
      <c r="C21" s="25"/>
      <c r="E21" s="28" t="s">
        <v>81</v>
      </c>
      <c r="F21">
        <v>79</v>
      </c>
      <c r="G21" s="38">
        <f>GETPIVOTDATA("Độ tuổi của bạn:",$E$19,"Độ tuổi của bạn:","25 - 29")/GETPIVOTDATA("Độ tuổi của bạn:",$E$19)</f>
        <v>0.19602977667493796</v>
      </c>
    </row>
    <row r="22" spans="3:7" x14ac:dyDescent="0.45">
      <c r="C22" s="25"/>
      <c r="E22" s="28" t="s">
        <v>73</v>
      </c>
      <c r="F22">
        <v>132</v>
      </c>
      <c r="G22" s="38">
        <f>GETPIVOTDATA("Độ tuổi của bạn:",$E$19,"Độ tuổi của bạn:","30 - 39")/GETPIVOTDATA("Độ tuổi của bạn:",$E$19)</f>
        <v>0.32754342431761785</v>
      </c>
    </row>
    <row r="23" spans="3:7" x14ac:dyDescent="0.45">
      <c r="E23" s="28" t="s">
        <v>79</v>
      </c>
      <c r="F23">
        <v>79</v>
      </c>
      <c r="G23" s="38">
        <f>GETPIVOTDATA("Độ tuổi của bạn:",$E$19,"Độ tuổi của bạn:","40 - 49")/GETPIVOTDATA("Độ tuổi của bạn:",$E$19)</f>
        <v>0.19602977667493796</v>
      </c>
    </row>
    <row r="24" spans="3:7" x14ac:dyDescent="0.45">
      <c r="E24" s="28" t="s">
        <v>191</v>
      </c>
      <c r="F24">
        <v>31</v>
      </c>
      <c r="G24" s="38">
        <f>GETPIVOTDATA("Độ tuổi của bạn:",$E$19,"Độ tuổi của bạn:","50 - 54")/GETPIVOTDATA("Độ tuổi của bạn:",$E$19)</f>
        <v>7.6923076923076927E-2</v>
      </c>
    </row>
    <row r="25" spans="3:7" x14ac:dyDescent="0.45">
      <c r="C25" s="29"/>
      <c r="E25" s="28" t="s">
        <v>193</v>
      </c>
      <c r="F25">
        <v>27</v>
      </c>
      <c r="G25" s="38">
        <f>GETPIVOTDATA("Độ tuổi của bạn:",$E$19,"Độ tuổi của bạn:","55 - 64")/GETPIVOTDATA("Độ tuổi của bạn:",$E$19)</f>
        <v>6.699751861042183E-2</v>
      </c>
    </row>
    <row r="26" spans="3:7" x14ac:dyDescent="0.45">
      <c r="C26" s="25"/>
      <c r="E26" s="28" t="s">
        <v>34</v>
      </c>
      <c r="F26">
        <v>403</v>
      </c>
      <c r="G26" s="38">
        <f>SUM(G20:G25)</f>
        <v>0.99999999999999989</v>
      </c>
    </row>
    <row r="27" spans="3:7" x14ac:dyDescent="0.45">
      <c r="C27" s="25"/>
    </row>
    <row r="28" spans="3:7" x14ac:dyDescent="0.45">
      <c r="C28" s="25"/>
    </row>
    <row r="29" spans="3:7" x14ac:dyDescent="0.45">
      <c r="E29" s="27" t="s">
        <v>40</v>
      </c>
      <c r="F29" t="s">
        <v>214</v>
      </c>
      <c r="G29" s="29" t="s">
        <v>169</v>
      </c>
    </row>
    <row r="30" spans="3:7" x14ac:dyDescent="0.45">
      <c r="E30" s="28" t="s">
        <v>80</v>
      </c>
      <c r="F30">
        <v>14</v>
      </c>
      <c r="G30" s="38">
        <f>GETPIVOTDATA("Khu vực bạn đang sinh sống:",$E$29,"Khu vực bạn đang sinh sống:","Nông thôn")/GETPIVOTDATA("Khu vực bạn đang sinh sống:",$E$29)</f>
        <v>3.4739454094292806E-2</v>
      </c>
    </row>
    <row r="31" spans="3:7" x14ac:dyDescent="0.45">
      <c r="C31" s="29"/>
      <c r="E31" s="28" t="s">
        <v>74</v>
      </c>
      <c r="F31">
        <v>389</v>
      </c>
      <c r="G31" s="38">
        <f>GETPIVOTDATA("Khu vực bạn đang sinh sống:",$E$29,"Khu vực bạn đang sinh sống:","Thành thị")/GETPIVOTDATA("Khu vực bạn đang sinh sống:",$E$29)</f>
        <v>0.9652605459057072</v>
      </c>
    </row>
    <row r="32" spans="3:7" x14ac:dyDescent="0.45">
      <c r="C32" s="25"/>
      <c r="E32" s="28" t="s">
        <v>34</v>
      </c>
      <c r="F32">
        <v>403</v>
      </c>
      <c r="G32" s="25">
        <f>G30+G31</f>
        <v>1</v>
      </c>
    </row>
    <row r="33" spans="3:7" x14ac:dyDescent="0.45">
      <c r="C33" s="25"/>
    </row>
    <row r="34" spans="3:7" x14ac:dyDescent="0.45">
      <c r="C34" s="25"/>
    </row>
    <row r="35" spans="3:7" x14ac:dyDescent="0.45">
      <c r="C35" s="25"/>
      <c r="E35" s="27" t="s">
        <v>41</v>
      </c>
      <c r="F35" t="s">
        <v>215</v>
      </c>
    </row>
    <row r="36" spans="3:7" x14ac:dyDescent="0.45">
      <c r="C36" s="25"/>
      <c r="E36" s="28" t="s">
        <v>190</v>
      </c>
      <c r="F36">
        <v>8</v>
      </c>
      <c r="G36" s="38">
        <f>GETPIVOTDATA("Trình độ học vấn cao nhất:",$E$35,"Trình độ học vấn cao nhất:","Cao đẳng")/GETPIVOTDATA("Trình độ học vấn cao nhất:",$E$35)</f>
        <v>1.9851116625310174E-2</v>
      </c>
    </row>
    <row r="37" spans="3:7" x14ac:dyDescent="0.45">
      <c r="C37" s="25"/>
      <c r="E37" s="28" t="s">
        <v>77</v>
      </c>
      <c r="F37">
        <v>274</v>
      </c>
      <c r="G37" s="38">
        <f>GETPIVOTDATA("Trình độ học vấn cao nhất:",$E$35,"Trình độ học vấn cao nhất:","Đại học")/GETPIVOTDATA("Trình độ học vấn cao nhất:",$E$35)</f>
        <v>0.67990074441687343</v>
      </c>
    </row>
    <row r="38" spans="3:7" x14ac:dyDescent="0.45">
      <c r="C38" s="25"/>
      <c r="E38" s="28" t="s">
        <v>75</v>
      </c>
      <c r="F38">
        <v>117</v>
      </c>
      <c r="G38" s="38">
        <f>GETPIVOTDATA("Trình độ học vấn cao nhất:",$E$35,"Trình độ học vấn cao nhất:","Sau Đại học")/GETPIVOTDATA("Trình độ học vấn cao nhất:",$E$35)</f>
        <v>0.29032258064516131</v>
      </c>
    </row>
    <row r="39" spans="3:7" x14ac:dyDescent="0.45">
      <c r="E39" s="28" t="s">
        <v>192</v>
      </c>
      <c r="F39">
        <v>4</v>
      </c>
      <c r="G39" s="38">
        <f>GETPIVOTDATA("Trình độ học vấn cao nhất:",$E$35,"Trình độ học vấn cao nhất:","Trung học phổ thông")/GETPIVOTDATA("Trình độ học vấn cao nhất:",$E$35)</f>
        <v>9.9255583126550868E-3</v>
      </c>
    </row>
    <row r="40" spans="3:7" x14ac:dyDescent="0.45">
      <c r="E40" s="28" t="s">
        <v>34</v>
      </c>
      <c r="F40">
        <v>403</v>
      </c>
      <c r="G40" s="25">
        <f>SUM(G36:G39)</f>
        <v>0.99999999999999989</v>
      </c>
    </row>
    <row r="41" spans="3:7" x14ac:dyDescent="0.45">
      <c r="C41" s="29"/>
    </row>
    <row r="42" spans="3:7" x14ac:dyDescent="0.45">
      <c r="C42" s="25"/>
    </row>
    <row r="43" spans="3:7" x14ac:dyDescent="0.45">
      <c r="C43" s="25"/>
      <c r="E43" s="27" t="s">
        <v>42</v>
      </c>
      <c r="F43" t="s">
        <v>216</v>
      </c>
    </row>
    <row r="44" spans="3:7" x14ac:dyDescent="0.45">
      <c r="C44" s="25"/>
      <c r="E44" s="28" t="s">
        <v>197</v>
      </c>
      <c r="F44">
        <v>9</v>
      </c>
      <c r="G44" s="38">
        <f>GETPIVOTDATA("Tình trạng việc làm chính:",$E$43,"Tình trạng việc làm chính:","Khác (Về hưu, nội trợ, sinh viên)")/GETPIVOTDATA("Tình trạng việc làm chính:",$E$43)</f>
        <v>2.2332506203473945E-2</v>
      </c>
    </row>
    <row r="45" spans="3:7" x14ac:dyDescent="0.45">
      <c r="C45" s="25"/>
      <c r="E45" s="28" t="s">
        <v>100</v>
      </c>
      <c r="F45">
        <v>377</v>
      </c>
      <c r="G45" s="38">
        <f>GETPIVOTDATA("Tình trạng việc làm chính:",$E$43,"Tình trạng việc làm chính:","Khu vực chính thức (Có Hợp đồng lao động, đóng BHXH)")/GETPIVOTDATA("Tình trạng việc làm chính:",$E$43)</f>
        <v>0.93548387096774188</v>
      </c>
    </row>
    <row r="46" spans="3:7" x14ac:dyDescent="0.45">
      <c r="C46" s="25"/>
      <c r="E46" s="28" t="s">
        <v>103</v>
      </c>
      <c r="F46">
        <v>17</v>
      </c>
      <c r="G46" s="38">
        <f>GETPIVOTDATA("Tình trạng việc làm chính:",$E$43,"Tình trạng việc làm chính:","Khu vực phi chính thức (Lao động tự do, không có HĐLĐ)")/GETPIVOTDATA("Tình trạng việc làm chính:",$E$43)</f>
        <v>4.2183622828784122E-2</v>
      </c>
    </row>
    <row r="47" spans="3:7" x14ac:dyDescent="0.45">
      <c r="E47" s="28" t="s">
        <v>34</v>
      </c>
      <c r="F47">
        <v>403</v>
      </c>
      <c r="G47" s="38">
        <f>SUM(G44:G46)</f>
        <v>0.99999999999999989</v>
      </c>
    </row>
    <row r="50" spans="5:7" x14ac:dyDescent="0.45">
      <c r="E50" s="27" t="s">
        <v>218</v>
      </c>
      <c r="F50" t="s">
        <v>217</v>
      </c>
    </row>
    <row r="51" spans="5:7" x14ac:dyDescent="0.45">
      <c r="E51" s="28" t="s">
        <v>194</v>
      </c>
      <c r="F51">
        <v>41</v>
      </c>
      <c r="G51"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TNCN)","Dưới 12 triệu VNĐ")/GETPIVOTDATA("Thu nhập bình quân tháng theo Hợp đồng lao động của bạn là bao nhiêu? (Vui lòng điền tổng thu nhập trước khi khấu trừ các loại Bảo hiểm (BHXH, BHYT, BHTN) và Thuế TNCN)",$E$50)</f>
        <v>0.10173697270471464</v>
      </c>
    </row>
    <row r="52" spans="5:7" x14ac:dyDescent="0.45">
      <c r="E52" s="28" t="s">
        <v>108</v>
      </c>
      <c r="F52">
        <v>35</v>
      </c>
      <c r="G52"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TNCN)","Trên 102 triệu VNĐ")/GETPIVOTDATA("Thu nhập bình quân tháng theo Hợp đồng lao động của bạn là bao nhiêu? (Vui lòng điền tổng thu nhập trước khi khấu trừ các loại Bảo hiểm (BHXH, BHYT, BHTN) và Thuế TNCN)",$E$50)</f>
        <v>8.6848635235732011E-2</v>
      </c>
    </row>
    <row r="53" spans="5:7" x14ac:dyDescent="0.45">
      <c r="E53" s="28" t="s">
        <v>104</v>
      </c>
      <c r="F53">
        <v>79</v>
      </c>
      <c r="G53"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12 - 18 triệu VNĐ")/GETPIVOTDATA("Thu nhập bình quân tháng theo Hợp đồng lao động của bạn là bao nhiêu? (Vui lòng điền tổng thu nhập trước khi khấu trừ các loại Bảo hiểm (BHXH, BHYT, BHTN) và Thuế TNCN)",$E$50)</f>
        <v>0.19602977667493796</v>
      </c>
    </row>
    <row r="54" spans="5:7" x14ac:dyDescent="0.45">
      <c r="E54" s="28" t="s">
        <v>196</v>
      </c>
      <c r="F54">
        <v>41</v>
      </c>
      <c r="G54"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18 - 23 triệu VNĐ")/GETPIVOTDATA("Thu nhập bình quân tháng theo Hợp đồng lao động của bạn là bao nhiêu? (Vui lòng điền tổng thu nhập trước khi khấu trừ các loại Bảo hiểm (BHXH, BHYT, BHTN) và Thuế TNCN)",$E$50)</f>
        <v>0.10173697270471464</v>
      </c>
    </row>
    <row r="55" spans="5:7" x14ac:dyDescent="0.45">
      <c r="E55" s="28" t="s">
        <v>101</v>
      </c>
      <c r="F55">
        <v>53</v>
      </c>
      <c r="G55"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23 - 32 triệu VNĐ")/GETPIVOTDATA("Thu nhập bình quân tháng theo Hợp đồng lao động của bạn là bao nhiêu? (Vui lòng điền tổng thu nhập trước khi khấu trừ các loại Bảo hiểm (BHXH, BHYT, BHTN) và Thuế TNCN)",$E$50)</f>
        <v>0.13151364764267989</v>
      </c>
    </row>
    <row r="56" spans="5:7" x14ac:dyDescent="0.45">
      <c r="E56" s="28" t="s">
        <v>109</v>
      </c>
      <c r="F56">
        <v>53</v>
      </c>
      <c r="G56"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32 - 48 triệu VNĐ")/GETPIVOTDATA("Thu nhập bình quân tháng theo Hợp đồng lao động của bạn là bao nhiêu? (Vui lòng điền tổng thu nhập trước khi khấu trừ các loại Bảo hiểm (BHXH, BHYT, BHTN) và Thuế TNCN)",$E$50)</f>
        <v>0.13151364764267989</v>
      </c>
    </row>
    <row r="57" spans="5:7" x14ac:dyDescent="0.45">
      <c r="E57" s="28" t="s">
        <v>111</v>
      </c>
      <c r="F57">
        <v>62</v>
      </c>
      <c r="G57"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48 - 70 triệu VNĐ")/GETPIVOTDATA("Thu nhập bình quân tháng theo Hợp đồng lao động của bạn là bao nhiêu? (Vui lòng điền tổng thu nhập trước khi khấu trừ các loại Bảo hiểm (BHXH, BHYT, BHTN) và Thuế TNCN)",$E$50)</f>
        <v>0.15384615384615385</v>
      </c>
    </row>
    <row r="58" spans="5:7" x14ac:dyDescent="0.45">
      <c r="E58" s="28" t="s">
        <v>107</v>
      </c>
      <c r="F58">
        <v>39</v>
      </c>
      <c r="G58"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70 - 102 triệu VNĐ")/GETPIVOTDATA("Thu nhập bình quân tháng theo Hợp đồng lao động của bạn là bao nhiêu? (Vui lòng điền tổng thu nhập trước khi khấu trừ các loại Bảo hiểm (BHXH, BHYT, BHTN) và Thuế TNCN)",$E$50)</f>
        <v>9.6774193548387094E-2</v>
      </c>
    </row>
    <row r="59" spans="5:7" x14ac:dyDescent="0.45">
      <c r="E59" s="28" t="s">
        <v>34</v>
      </c>
      <c r="F59">
        <v>403</v>
      </c>
      <c r="G59" s="38">
        <f>SUM(G51:G58)</f>
        <v>1</v>
      </c>
    </row>
    <row r="62" spans="5:7" x14ac:dyDescent="0.45">
      <c r="E62" s="27" t="s">
        <v>42</v>
      </c>
      <c r="F62" t="s">
        <v>219</v>
      </c>
    </row>
    <row r="63" spans="5:7" x14ac:dyDescent="0.45">
      <c r="E63" s="28" t="s">
        <v>110</v>
      </c>
      <c r="F63">
        <v>153</v>
      </c>
      <c r="G63" s="38">
        <f>GETPIVOTDATA("Số người phụ thuộc (con nhỏ, cha mẹ già...) đủ điều kiện giảm trừ gia cảnh:",$E$62,"Số người phụ thuộc (con nhỏ, cha mẹ già...) đủ điều kiện giảm trừ gia cảnh:","0 người")/GETPIVOTDATA("Số người phụ thuộc (con nhỏ, cha mẹ già...) đủ điều kiện giảm trừ gia cảnh:",$E$62)</f>
        <v>0.37965260545905705</v>
      </c>
    </row>
    <row r="64" spans="5:7" x14ac:dyDescent="0.45">
      <c r="E64" s="28" t="s">
        <v>102</v>
      </c>
      <c r="F64">
        <v>79</v>
      </c>
      <c r="G64" s="38">
        <f>GETPIVOTDATA("Số người phụ thuộc (con nhỏ, cha mẹ già...) đủ điều kiện giảm trừ gia cảnh:",$E$62,"Số người phụ thuộc (con nhỏ, cha mẹ già...) đủ điều kiện giảm trừ gia cảnh:","1 người")/GETPIVOTDATA("Số người phụ thuộc (con nhỏ, cha mẹ già...) đủ điều kiện giảm trừ gia cảnh:",$E$62)</f>
        <v>0.19602977667493796</v>
      </c>
    </row>
    <row r="65" spans="5:7" x14ac:dyDescent="0.45">
      <c r="E65" s="28" t="s">
        <v>105</v>
      </c>
      <c r="F65">
        <v>88</v>
      </c>
      <c r="G65" s="38">
        <f>GETPIVOTDATA("Số người phụ thuộc (con nhỏ, cha mẹ già...) đủ điều kiện giảm trừ gia cảnh:",$E$62,"Số người phụ thuộc (con nhỏ, cha mẹ già...) đủ điều kiện giảm trừ gia cảnh:","2 người")/GETPIVOTDATA("Số người phụ thuộc (con nhỏ, cha mẹ già...) đủ điều kiện giảm trừ gia cảnh:",$E$62)</f>
        <v>0.21836228287841192</v>
      </c>
    </row>
    <row r="66" spans="5:7" x14ac:dyDescent="0.45">
      <c r="E66" s="28" t="s">
        <v>106</v>
      </c>
      <c r="F66">
        <v>45</v>
      </c>
      <c r="G66" s="38">
        <f>GETPIVOTDATA("Số người phụ thuộc (con nhỏ, cha mẹ già...) đủ điều kiện giảm trừ gia cảnh:",$E$62,"Số người phụ thuộc (con nhỏ, cha mẹ già...) đủ điều kiện giảm trừ gia cảnh:","3 người")/GETPIVOTDATA("Số người phụ thuộc (con nhỏ, cha mẹ già...) đủ điều kiện giảm trừ gia cảnh:",$E$62)</f>
        <v>0.11166253101736973</v>
      </c>
    </row>
    <row r="67" spans="5:7" x14ac:dyDescent="0.45">
      <c r="E67" s="28" t="s">
        <v>195</v>
      </c>
      <c r="F67">
        <v>38</v>
      </c>
      <c r="G67" s="38">
        <f>GETPIVOTDATA("Số người phụ thuộc (con nhỏ, cha mẹ già...) đủ điều kiện giảm trừ gia cảnh:",$E$62,"Số người phụ thuộc (con nhỏ, cha mẹ già...) đủ điều kiện giảm trừ gia cảnh:","4 người trở lên")/GETPIVOTDATA("Số người phụ thuộc (con nhỏ, cha mẹ già...) đủ điều kiện giảm trừ gia cảnh:",$E$62)</f>
        <v>9.4292803970223327E-2</v>
      </c>
    </row>
    <row r="68" spans="5:7" x14ac:dyDescent="0.45">
      <c r="E68" s="28" t="s">
        <v>34</v>
      </c>
      <c r="F68">
        <v>403</v>
      </c>
      <c r="G68" s="38">
        <f>SUM(G63:G67)</f>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BE655-95C4-471B-9EC9-F76FA853AAF6}">
  <dimension ref="A1:K86"/>
  <sheetViews>
    <sheetView workbookViewId="0">
      <selection activeCell="E86" sqref="E86"/>
    </sheetView>
  </sheetViews>
  <sheetFormatPr defaultRowHeight="14.25" x14ac:dyDescent="0.45"/>
  <cols>
    <col min="2" max="2" width="16.73046875" bestFit="1" customWidth="1"/>
  </cols>
  <sheetData>
    <row r="1" spans="1:11" x14ac:dyDescent="0.45">
      <c r="A1" s="40" t="s">
        <v>22</v>
      </c>
      <c r="B1" s="40"/>
      <c r="C1" s="39" t="s">
        <v>23</v>
      </c>
      <c r="D1" s="39"/>
      <c r="E1" s="39"/>
      <c r="F1" s="1" t="s">
        <v>34</v>
      </c>
    </row>
    <row r="2" spans="1:11" x14ac:dyDescent="0.45">
      <c r="A2" s="40"/>
      <c r="B2" s="40"/>
      <c r="C2" s="1" t="s">
        <v>1</v>
      </c>
      <c r="D2" s="1" t="s">
        <v>2</v>
      </c>
      <c r="E2" s="1" t="s">
        <v>3</v>
      </c>
      <c r="F2" s="4"/>
    </row>
    <row r="3" spans="1:11" x14ac:dyDescent="0.45">
      <c r="A3" s="39" t="s">
        <v>24</v>
      </c>
      <c r="B3" s="1" t="s">
        <v>1</v>
      </c>
      <c r="C3" s="3">
        <f>CM_ENF1!B2</f>
        <v>1</v>
      </c>
      <c r="D3" s="4">
        <f>CM_ENF1!C2</f>
        <v>1</v>
      </c>
      <c r="E3" s="4">
        <f>CM_ENF1!D2</f>
        <v>4</v>
      </c>
      <c r="F3" s="6">
        <f>SUM(C3:E3)</f>
        <v>6</v>
      </c>
    </row>
    <row r="4" spans="1:11" x14ac:dyDescent="0.45">
      <c r="A4" s="39"/>
      <c r="B4" s="1" t="s">
        <v>2</v>
      </c>
      <c r="C4" s="4">
        <f>CM_ENF1!B3</f>
        <v>35</v>
      </c>
      <c r="D4" s="3">
        <f>CM_ENF1!C3</f>
        <v>118</v>
      </c>
      <c r="E4" s="4">
        <f>CM_ENF1!D3</f>
        <v>116</v>
      </c>
      <c r="F4" s="6">
        <f t="shared" ref="F4:F5" si="0">SUM(C4:E4)</f>
        <v>269</v>
      </c>
    </row>
    <row r="5" spans="1:11" x14ac:dyDescent="0.45">
      <c r="A5" s="39"/>
      <c r="B5" s="1" t="s">
        <v>3</v>
      </c>
      <c r="C5" s="4">
        <f>CM_ENF1!B4</f>
        <v>19</v>
      </c>
      <c r="D5" s="4">
        <f>CM_ENF1!C4</f>
        <v>61</v>
      </c>
      <c r="E5" s="3">
        <f>CM_ENF1!D4</f>
        <v>48</v>
      </c>
      <c r="F5" s="6">
        <f t="shared" si="0"/>
        <v>128</v>
      </c>
      <c r="G5" s="26" t="s">
        <v>36</v>
      </c>
      <c r="H5" s="26" t="s">
        <v>165</v>
      </c>
      <c r="I5" s="26" t="s">
        <v>163</v>
      </c>
      <c r="J5" s="26" t="s">
        <v>164</v>
      </c>
    </row>
    <row r="6" spans="1:11" x14ac:dyDescent="0.45">
      <c r="A6" s="2"/>
      <c r="B6" s="1" t="s">
        <v>34</v>
      </c>
      <c r="C6" s="6">
        <f>SUM(C3:C5)</f>
        <v>55</v>
      </c>
      <c r="D6" s="6">
        <f>SUM(D3:D5)</f>
        <v>180</v>
      </c>
      <c r="E6" s="6">
        <f>SUM(E3:E5)</f>
        <v>168</v>
      </c>
      <c r="F6" s="6">
        <f>SUM(C6:E6)</f>
        <v>403</v>
      </c>
      <c r="G6" s="8">
        <f>C3+D4+E5</f>
        <v>167</v>
      </c>
      <c r="H6" s="8">
        <f>(C6*F3)+(D6*F4)+(E6*F5)</f>
        <v>70254</v>
      </c>
      <c r="I6" s="8">
        <f>(C6^2)+(D6^2)+(E6^2)</f>
        <v>63649</v>
      </c>
      <c r="J6" s="8">
        <f>(F3^2)+(F4^2)+(F5^2)</f>
        <v>88781</v>
      </c>
      <c r="K6" s="10"/>
    </row>
    <row r="7" spans="1:11" x14ac:dyDescent="0.45">
      <c r="A7" s="4"/>
      <c r="B7" s="5" t="s">
        <v>25</v>
      </c>
      <c r="C7" s="6"/>
      <c r="D7" s="6"/>
      <c r="E7" s="16">
        <f>(C3+D4+E5)/F6</f>
        <v>0.4143920595533499</v>
      </c>
      <c r="F7" s="4"/>
    </row>
    <row r="8" spans="1:11" x14ac:dyDescent="0.45">
      <c r="A8" s="4"/>
      <c r="B8" s="5" t="s">
        <v>35</v>
      </c>
      <c r="C8" s="4"/>
      <c r="D8" s="4"/>
      <c r="E8" s="9">
        <f>(G6*F6-H6)/SQRT((F6^2-I6)*(F6^2-J6))</f>
        <v>-3.4629913321421582E-2</v>
      </c>
      <c r="F8" s="4"/>
    </row>
    <row r="10" spans="1:11" x14ac:dyDescent="0.45">
      <c r="A10" s="40" t="s">
        <v>26</v>
      </c>
      <c r="B10" s="40"/>
      <c r="C10" s="39" t="s">
        <v>23</v>
      </c>
      <c r="D10" s="39"/>
      <c r="E10" s="39"/>
      <c r="F10" s="1" t="s">
        <v>34</v>
      </c>
    </row>
    <row r="11" spans="1:11" x14ac:dyDescent="0.45">
      <c r="A11" s="40"/>
      <c r="B11" s="40"/>
      <c r="C11" s="1" t="s">
        <v>1</v>
      </c>
      <c r="D11" s="1" t="s">
        <v>2</v>
      </c>
      <c r="E11" s="1" t="s">
        <v>3</v>
      </c>
      <c r="F11" s="4"/>
    </row>
    <row r="12" spans="1:11" x14ac:dyDescent="0.45">
      <c r="A12" s="39" t="s">
        <v>24</v>
      </c>
      <c r="B12" s="1" t="s">
        <v>1</v>
      </c>
      <c r="C12" s="3">
        <f>CM_ENF2!B2</f>
        <v>0</v>
      </c>
      <c r="D12" s="4">
        <f>CM_ENF2!C2</f>
        <v>0</v>
      </c>
      <c r="E12" s="4">
        <f>CM_ENF2!D2</f>
        <v>2</v>
      </c>
      <c r="F12" s="6">
        <f>SUM(C12:E12)</f>
        <v>2</v>
      </c>
    </row>
    <row r="13" spans="1:11" x14ac:dyDescent="0.45">
      <c r="A13" s="39"/>
      <c r="B13" s="1" t="s">
        <v>2</v>
      </c>
      <c r="C13" s="4">
        <f>CM_ENF2!B3</f>
        <v>24</v>
      </c>
      <c r="D13" s="3">
        <f>CM_ENF2!C3</f>
        <v>80</v>
      </c>
      <c r="E13" s="4">
        <f>CM_ENF2!D3</f>
        <v>100</v>
      </c>
      <c r="F13" s="6">
        <f t="shared" ref="F13:F14" si="1">SUM(C13:E13)</f>
        <v>204</v>
      </c>
    </row>
    <row r="14" spans="1:11" x14ac:dyDescent="0.45">
      <c r="A14" s="39"/>
      <c r="B14" s="1" t="s">
        <v>3</v>
      </c>
      <c r="C14" s="4">
        <f>CM_ENF2!B4</f>
        <v>21</v>
      </c>
      <c r="D14" s="4">
        <f>CM_ENF2!C4</f>
        <v>86</v>
      </c>
      <c r="E14" s="3">
        <f>CM_ENF2!D4</f>
        <v>90</v>
      </c>
      <c r="F14" s="6">
        <f t="shared" si="1"/>
        <v>197</v>
      </c>
      <c r="G14" s="26" t="s">
        <v>36</v>
      </c>
      <c r="H14" s="26" t="s">
        <v>165</v>
      </c>
      <c r="I14" s="26" t="s">
        <v>163</v>
      </c>
      <c r="J14" s="26" t="s">
        <v>164</v>
      </c>
    </row>
    <row r="15" spans="1:11" x14ac:dyDescent="0.45">
      <c r="A15" s="2"/>
      <c r="B15" s="1" t="s">
        <v>34</v>
      </c>
      <c r="C15" s="6">
        <f>SUM(C12:C14)</f>
        <v>45</v>
      </c>
      <c r="D15" s="6">
        <f>SUM(D12:D14)</f>
        <v>166</v>
      </c>
      <c r="E15" s="6">
        <f>SUM(E12:E14)</f>
        <v>192</v>
      </c>
      <c r="F15" s="6">
        <f>SUM(C15:E15)</f>
        <v>403</v>
      </c>
      <c r="G15" s="8">
        <f>C12+D13+E14</f>
        <v>170</v>
      </c>
      <c r="H15" s="8">
        <f>(C15*F12)+(D15*F13)+(E15*F14)</f>
        <v>71778</v>
      </c>
      <c r="I15" s="8">
        <f>(C15^2)+(D15^2)+(E15^2)</f>
        <v>66445</v>
      </c>
      <c r="J15" s="8">
        <f>(F12^2)+(F13^2)+(F14^2)</f>
        <v>80429</v>
      </c>
      <c r="K15" s="10"/>
    </row>
    <row r="16" spans="1:11" x14ac:dyDescent="0.45">
      <c r="A16" s="4"/>
      <c r="B16" s="5" t="s">
        <v>25</v>
      </c>
      <c r="C16" s="6"/>
      <c r="D16" s="6"/>
      <c r="E16" s="16">
        <f>(C12+D13+E14)/F15</f>
        <v>0.42183622828784118</v>
      </c>
      <c r="F16" s="4"/>
    </row>
    <row r="17" spans="1:11" x14ac:dyDescent="0.45">
      <c r="A17" s="4"/>
      <c r="B17" s="5" t="s">
        <v>35</v>
      </c>
      <c r="C17" s="4"/>
      <c r="D17" s="4"/>
      <c r="E17" s="9">
        <f>(G15*F15-H15)/SQRT((F15^2-I15)*(F15^2-J15))</f>
        <v>-3.684460626368391E-2</v>
      </c>
      <c r="F17" s="4"/>
    </row>
    <row r="20" spans="1:11" x14ac:dyDescent="0.45">
      <c r="A20" s="40" t="s">
        <v>27</v>
      </c>
      <c r="B20" s="40"/>
      <c r="C20" s="39" t="s">
        <v>23</v>
      </c>
      <c r="D20" s="39"/>
      <c r="E20" s="39"/>
      <c r="F20" s="1" t="s">
        <v>34</v>
      </c>
    </row>
    <row r="21" spans="1:11" x14ac:dyDescent="0.45">
      <c r="A21" s="40"/>
      <c r="B21" s="40"/>
      <c r="C21" s="1" t="s">
        <v>1</v>
      </c>
      <c r="D21" s="1" t="s">
        <v>2</v>
      </c>
      <c r="E21" s="1" t="s">
        <v>3</v>
      </c>
      <c r="F21" s="4"/>
    </row>
    <row r="22" spans="1:11" x14ac:dyDescent="0.45">
      <c r="A22" s="39" t="s">
        <v>24</v>
      </c>
      <c r="B22" s="1" t="s">
        <v>1</v>
      </c>
      <c r="C22" s="3">
        <f>CM_FAC1!B2</f>
        <v>0</v>
      </c>
      <c r="D22" s="4">
        <f>CM_FAC1!C2</f>
        <v>0</v>
      </c>
      <c r="E22" s="4">
        <f>CM_FAC1!D2</f>
        <v>0</v>
      </c>
      <c r="F22" s="6">
        <f>SUM(C22:E22)</f>
        <v>0</v>
      </c>
    </row>
    <row r="23" spans="1:11" x14ac:dyDescent="0.45">
      <c r="A23" s="39"/>
      <c r="B23" s="1" t="s">
        <v>2</v>
      </c>
      <c r="C23" s="4">
        <f>CM_FAC1!B3</f>
        <v>12</v>
      </c>
      <c r="D23" s="3">
        <f>CM_FAC1!C3</f>
        <v>34</v>
      </c>
      <c r="E23" s="4">
        <f>CM_FAC1!D3</f>
        <v>33</v>
      </c>
      <c r="F23" s="6">
        <f t="shared" ref="F23:F24" si="2">SUM(C23:E23)</f>
        <v>79</v>
      </c>
    </row>
    <row r="24" spans="1:11" x14ac:dyDescent="0.45">
      <c r="A24" s="39"/>
      <c r="B24" s="1" t="s">
        <v>3</v>
      </c>
      <c r="C24" s="4">
        <f>CM_FAC1!B4</f>
        <v>71</v>
      </c>
      <c r="D24" s="4">
        <f>CM_FAC1!C4</f>
        <v>143</v>
      </c>
      <c r="E24" s="3">
        <f>CM_FAC1!D4</f>
        <v>110</v>
      </c>
      <c r="F24" s="6">
        <f t="shared" si="2"/>
        <v>324</v>
      </c>
      <c r="G24" s="26" t="s">
        <v>36</v>
      </c>
      <c r="H24" s="26" t="s">
        <v>165</v>
      </c>
      <c r="I24" s="26" t="s">
        <v>163</v>
      </c>
      <c r="J24" s="26" t="s">
        <v>164</v>
      </c>
    </row>
    <row r="25" spans="1:11" x14ac:dyDescent="0.45">
      <c r="A25" s="2"/>
      <c r="B25" s="1" t="s">
        <v>34</v>
      </c>
      <c r="C25" s="6">
        <f>SUM(C22:C24)</f>
        <v>83</v>
      </c>
      <c r="D25" s="6">
        <f>SUM(D22:D24)</f>
        <v>177</v>
      </c>
      <c r="E25" s="6">
        <f>SUM(E22:E24)</f>
        <v>143</v>
      </c>
      <c r="F25" s="6">
        <f>SUM(C25:E25)</f>
        <v>403</v>
      </c>
      <c r="G25" s="8">
        <f>C22+D23+E24</f>
        <v>144</v>
      </c>
      <c r="H25" s="8">
        <f>(C25*F22)+(D25*F23)+(E25*F24)</f>
        <v>60315</v>
      </c>
      <c r="I25" s="8">
        <f>(C25^2)+(D25^2)+(E25^2)</f>
        <v>58667</v>
      </c>
      <c r="J25" s="8">
        <f>(F22^2)+(F23^2)+(F24^2)</f>
        <v>111217</v>
      </c>
      <c r="K25" s="10"/>
    </row>
    <row r="26" spans="1:11" x14ac:dyDescent="0.45">
      <c r="A26" s="4"/>
      <c r="B26" s="5" t="s">
        <v>25</v>
      </c>
      <c r="C26" s="6"/>
      <c r="D26" s="6"/>
      <c r="E26" s="16">
        <f>(C22+D23+E24)/F25</f>
        <v>0.35732009925558311</v>
      </c>
      <c r="F26" s="4"/>
    </row>
    <row r="27" spans="1:11" x14ac:dyDescent="0.45">
      <c r="A27" s="4"/>
      <c r="B27" s="5" t="s">
        <v>35</v>
      </c>
      <c r="C27" s="4"/>
      <c r="D27" s="4"/>
      <c r="E27" s="9">
        <f>(G25*F25-H25)/SQRT((F25^2-I25)*(F25^2-J25))</f>
        <v>-3.1327631002539567E-2</v>
      </c>
      <c r="F27" s="4"/>
    </row>
    <row r="30" spans="1:11" x14ac:dyDescent="0.45">
      <c r="A30" s="40" t="s">
        <v>28</v>
      </c>
      <c r="B30" s="40"/>
      <c r="C30" s="39" t="s">
        <v>23</v>
      </c>
      <c r="D30" s="39"/>
      <c r="E30" s="39"/>
      <c r="F30" s="1" t="s">
        <v>34</v>
      </c>
    </row>
    <row r="31" spans="1:11" x14ac:dyDescent="0.45">
      <c r="A31" s="40"/>
      <c r="B31" s="40"/>
      <c r="C31" s="1" t="s">
        <v>1</v>
      </c>
      <c r="D31" s="1" t="s">
        <v>2</v>
      </c>
      <c r="E31" s="1" t="s">
        <v>3</v>
      </c>
      <c r="F31" s="4"/>
    </row>
    <row r="32" spans="1:11" x14ac:dyDescent="0.45">
      <c r="A32" s="39" t="s">
        <v>24</v>
      </c>
      <c r="B32" s="1" t="s">
        <v>1</v>
      </c>
      <c r="C32" s="3">
        <f>CM_FAC2!B2</f>
        <v>0</v>
      </c>
      <c r="D32" s="4">
        <f>CM_FAC2!C2</f>
        <v>0</v>
      </c>
      <c r="E32" s="4">
        <f>CM_FAC2!D2</f>
        <v>0</v>
      </c>
      <c r="F32" s="6">
        <f>SUM(C32:E32)</f>
        <v>0</v>
      </c>
    </row>
    <row r="33" spans="1:11" x14ac:dyDescent="0.45">
      <c r="A33" s="39"/>
      <c r="B33" s="1" t="s">
        <v>2</v>
      </c>
      <c r="C33" s="4">
        <f>CM_FAC2!B3</f>
        <v>2</v>
      </c>
      <c r="D33" s="3">
        <f>CM_FAC2!C3</f>
        <v>9</v>
      </c>
      <c r="E33" s="4">
        <f>CM_FAC2!D3</f>
        <v>8</v>
      </c>
      <c r="F33" s="6">
        <f t="shared" ref="F33:F34" si="3">SUM(C33:E33)</f>
        <v>19</v>
      </c>
    </row>
    <row r="34" spans="1:11" x14ac:dyDescent="0.45">
      <c r="A34" s="39"/>
      <c r="B34" s="1" t="s">
        <v>3</v>
      </c>
      <c r="C34" s="4">
        <f>CM_FAC2!B4</f>
        <v>19</v>
      </c>
      <c r="D34" s="4">
        <f>CM_FAC2!C4</f>
        <v>176</v>
      </c>
      <c r="E34" s="3">
        <f>CM_FAC2!D4</f>
        <v>189</v>
      </c>
      <c r="F34" s="6">
        <f t="shared" si="3"/>
        <v>384</v>
      </c>
      <c r="G34" s="26" t="s">
        <v>36</v>
      </c>
      <c r="H34" s="26" t="s">
        <v>165</v>
      </c>
      <c r="I34" s="26" t="s">
        <v>163</v>
      </c>
      <c r="J34" s="26" t="s">
        <v>164</v>
      </c>
    </row>
    <row r="35" spans="1:11" x14ac:dyDescent="0.45">
      <c r="A35" s="2"/>
      <c r="B35" s="1" t="s">
        <v>34</v>
      </c>
      <c r="C35" s="6">
        <f>SUM(C32:C34)</f>
        <v>21</v>
      </c>
      <c r="D35" s="6">
        <f>SUM(D32:D34)</f>
        <v>185</v>
      </c>
      <c r="E35" s="6">
        <f>SUM(E32:E34)</f>
        <v>197</v>
      </c>
      <c r="F35" s="6">
        <f>SUM(C35:E35)</f>
        <v>403</v>
      </c>
      <c r="G35" s="8">
        <f>C32+D33+E34</f>
        <v>198</v>
      </c>
      <c r="H35" s="8">
        <f>(C35*F32)+(D35*F33)+(E35*F34)</f>
        <v>79163</v>
      </c>
      <c r="I35" s="8">
        <f>(C35^2)+(D35^2)+(E35^2)</f>
        <v>73475</v>
      </c>
      <c r="J35" s="8">
        <f>(F32^2)+(F33^2)+(F34^2)</f>
        <v>147817</v>
      </c>
      <c r="K35" s="10"/>
    </row>
    <row r="36" spans="1:11" x14ac:dyDescent="0.45">
      <c r="A36" s="4"/>
      <c r="B36" s="5" t="s">
        <v>25</v>
      </c>
      <c r="C36" s="6"/>
      <c r="D36" s="6"/>
      <c r="E36" s="16">
        <f>(C32+D33+E34)/F35</f>
        <v>0.49131513647642677</v>
      </c>
      <c r="F36" s="4"/>
    </row>
    <row r="37" spans="1:11" x14ac:dyDescent="0.45">
      <c r="A37" s="4"/>
      <c r="B37" s="5" t="s">
        <v>35</v>
      </c>
      <c r="C37" s="4"/>
      <c r="D37" s="4"/>
      <c r="E37" s="9">
        <f>(G35*F35-H35)/SQRT((F35^2-I35)*(F35^2-J35))</f>
        <v>1.7516124997030542E-2</v>
      </c>
      <c r="F37" s="4"/>
    </row>
    <row r="40" spans="1:11" x14ac:dyDescent="0.45">
      <c r="A40" s="40" t="s">
        <v>29</v>
      </c>
      <c r="B40" s="40"/>
      <c r="C40" s="39" t="s">
        <v>23</v>
      </c>
      <c r="D40" s="39"/>
      <c r="E40" s="39"/>
      <c r="F40" s="1" t="s">
        <v>34</v>
      </c>
    </row>
    <row r="41" spans="1:11" x14ac:dyDescent="0.45">
      <c r="A41" s="40"/>
      <c r="B41" s="40"/>
      <c r="C41" s="1" t="s">
        <v>1</v>
      </c>
      <c r="D41" s="1" t="s">
        <v>2</v>
      </c>
      <c r="E41" s="1" t="s">
        <v>3</v>
      </c>
      <c r="F41" s="4"/>
    </row>
    <row r="42" spans="1:11" x14ac:dyDescent="0.45">
      <c r="A42" s="39" t="s">
        <v>24</v>
      </c>
      <c r="B42" s="1" t="s">
        <v>1</v>
      </c>
      <c r="C42" s="3">
        <f>CM_TRU1!B2</f>
        <v>0</v>
      </c>
      <c r="D42" s="4">
        <f>CM_TRU1!C2</f>
        <v>0</v>
      </c>
      <c r="E42" s="4">
        <f>CM_TRU1!D2</f>
        <v>1</v>
      </c>
      <c r="F42" s="6">
        <f>SUM(C42:E42)</f>
        <v>1</v>
      </c>
    </row>
    <row r="43" spans="1:11" x14ac:dyDescent="0.45">
      <c r="A43" s="39"/>
      <c r="B43" s="1" t="s">
        <v>2</v>
      </c>
      <c r="C43" s="4">
        <f>CM_TRU1!B3</f>
        <v>23</v>
      </c>
      <c r="D43" s="3">
        <f>CM_TRU1!C3</f>
        <v>96</v>
      </c>
      <c r="E43" s="4">
        <f>CM_TRU1!D3</f>
        <v>54</v>
      </c>
      <c r="F43" s="6">
        <f t="shared" ref="F43:F44" si="4">SUM(C43:E43)</f>
        <v>173</v>
      </c>
    </row>
    <row r="44" spans="1:11" x14ac:dyDescent="0.45">
      <c r="A44" s="39"/>
      <c r="B44" s="1" t="s">
        <v>3</v>
      </c>
      <c r="C44" s="4">
        <f>CM_TRU1!B4</f>
        <v>34</v>
      </c>
      <c r="D44" s="4">
        <f>CM_TRU1!C4</f>
        <v>121</v>
      </c>
      <c r="E44" s="3">
        <f>CM_TRU1!D4</f>
        <v>72</v>
      </c>
      <c r="F44" s="6">
        <f t="shared" si="4"/>
        <v>227</v>
      </c>
      <c r="G44" s="26" t="s">
        <v>36</v>
      </c>
      <c r="H44" s="26" t="s">
        <v>165</v>
      </c>
      <c r="I44" s="26" t="s">
        <v>163</v>
      </c>
      <c r="J44" s="26" t="s">
        <v>164</v>
      </c>
    </row>
    <row r="45" spans="1:11" x14ac:dyDescent="0.45">
      <c r="A45" s="2"/>
      <c r="B45" s="1" t="s">
        <v>34</v>
      </c>
      <c r="C45" s="6">
        <f>SUM(C42:C44)</f>
        <v>57</v>
      </c>
      <c r="D45" s="6">
        <f>SUM(D42:D44)</f>
        <v>217</v>
      </c>
      <c r="E45" s="6">
        <f>SUM(E42:E44)</f>
        <v>127</v>
      </c>
      <c r="F45" s="6">
        <f>SUM(C45:E45)</f>
        <v>401</v>
      </c>
      <c r="G45" s="8">
        <f>C42+D43+E44</f>
        <v>168</v>
      </c>
      <c r="H45" s="8">
        <f>(C45*F42)+(D45*F43)+(E45*F44)</f>
        <v>66427</v>
      </c>
      <c r="I45" s="8">
        <f>(C45^2)+(D45^2)+(E45^2)</f>
        <v>66467</v>
      </c>
      <c r="J45" s="8">
        <f>(F42^2)+(F43^2)+(F44^2)</f>
        <v>81459</v>
      </c>
      <c r="K45" s="10"/>
    </row>
    <row r="46" spans="1:11" x14ac:dyDescent="0.45">
      <c r="A46" s="4"/>
      <c r="B46" s="5" t="s">
        <v>25</v>
      </c>
      <c r="C46" s="6"/>
      <c r="D46" s="6"/>
      <c r="E46" s="16">
        <f>(C42+D43+E44)/F45</f>
        <v>0.41895261845386533</v>
      </c>
      <c r="F46" s="4"/>
    </row>
    <row r="47" spans="1:11" x14ac:dyDescent="0.45">
      <c r="A47" s="4"/>
      <c r="B47" s="5" t="s">
        <v>35</v>
      </c>
      <c r="C47" s="4"/>
      <c r="D47" s="4"/>
      <c r="E47" s="9">
        <f>(G45*F45-H45)/SQRT((F45^2-I45)*(F45^2-J45))</f>
        <v>1.0876869716755066E-2</v>
      </c>
      <c r="F47" s="4"/>
    </row>
    <row r="50" spans="1:11" x14ac:dyDescent="0.45">
      <c r="A50" s="40" t="s">
        <v>30</v>
      </c>
      <c r="B50" s="40"/>
      <c r="C50" s="39" t="s">
        <v>23</v>
      </c>
      <c r="D50" s="39"/>
      <c r="E50" s="39"/>
      <c r="F50" s="1" t="s">
        <v>34</v>
      </c>
    </row>
    <row r="51" spans="1:11" x14ac:dyDescent="0.45">
      <c r="A51" s="40"/>
      <c r="B51" s="40"/>
      <c r="C51" s="1" t="s">
        <v>1</v>
      </c>
      <c r="D51" s="1" t="s">
        <v>2</v>
      </c>
      <c r="E51" s="1" t="s">
        <v>3</v>
      </c>
      <c r="F51" s="4"/>
    </row>
    <row r="52" spans="1:11" x14ac:dyDescent="0.45">
      <c r="A52" s="39" t="s">
        <v>24</v>
      </c>
      <c r="B52" s="1" t="s">
        <v>1</v>
      </c>
      <c r="C52" s="3">
        <f>CM_TRU2!B2</f>
        <v>0</v>
      </c>
      <c r="D52" s="4">
        <f>CM_TRU2!C2</f>
        <v>0</v>
      </c>
      <c r="E52" s="4">
        <f>CM_TRU2!D2</f>
        <v>0</v>
      </c>
      <c r="F52" s="6">
        <f>SUM(C52:E52)</f>
        <v>0</v>
      </c>
    </row>
    <row r="53" spans="1:11" x14ac:dyDescent="0.45">
      <c r="A53" s="39"/>
      <c r="B53" s="1" t="s">
        <v>2</v>
      </c>
      <c r="C53" s="4">
        <f>CM_TRU2!B3</f>
        <v>1</v>
      </c>
      <c r="D53" s="3">
        <f>CM_TRU2!C3</f>
        <v>7</v>
      </c>
      <c r="E53" s="4">
        <f>CM_TRU2!D3</f>
        <v>8</v>
      </c>
      <c r="F53" s="6">
        <f t="shared" ref="F53:F54" si="5">SUM(C53:E53)</f>
        <v>16</v>
      </c>
    </row>
    <row r="54" spans="1:11" x14ac:dyDescent="0.45">
      <c r="A54" s="39"/>
      <c r="B54" s="1" t="s">
        <v>3</v>
      </c>
      <c r="C54" s="4">
        <f>CM_TRU2!B4</f>
        <v>69</v>
      </c>
      <c r="D54" s="4">
        <f>CM_TRU2!C4</f>
        <v>170</v>
      </c>
      <c r="E54" s="3">
        <f>CM_TRU2!D4</f>
        <v>146</v>
      </c>
      <c r="F54" s="6">
        <f t="shared" si="5"/>
        <v>385</v>
      </c>
      <c r="G54" s="26" t="s">
        <v>36</v>
      </c>
      <c r="H54" s="26" t="s">
        <v>165</v>
      </c>
      <c r="I54" s="26" t="s">
        <v>163</v>
      </c>
      <c r="J54" s="26" t="s">
        <v>164</v>
      </c>
    </row>
    <row r="55" spans="1:11" x14ac:dyDescent="0.45">
      <c r="A55" s="2"/>
      <c r="B55" s="1" t="s">
        <v>34</v>
      </c>
      <c r="C55" s="6">
        <f>SUM(C52:C54)</f>
        <v>70</v>
      </c>
      <c r="D55" s="6">
        <f>SUM(D52:D54)</f>
        <v>177</v>
      </c>
      <c r="E55" s="6">
        <f>SUM(E52:E54)</f>
        <v>154</v>
      </c>
      <c r="F55" s="6">
        <f>SUM(C55:E55)</f>
        <v>401</v>
      </c>
      <c r="G55" s="8">
        <f>C52+D53+E54</f>
        <v>153</v>
      </c>
      <c r="H55" s="8">
        <f>(C55*F52)+(D55*F53)+(E55*F54)</f>
        <v>62122</v>
      </c>
      <c r="I55" s="8">
        <f>(C55^2)+(D55^2)+(E55^2)</f>
        <v>59945</v>
      </c>
      <c r="J55" s="8">
        <f>(F52^2)+(F53^2)+(F54^2)</f>
        <v>148481</v>
      </c>
      <c r="K55" s="10"/>
    </row>
    <row r="56" spans="1:11" x14ac:dyDescent="0.45">
      <c r="A56" s="4"/>
      <c r="B56" s="5" t="s">
        <v>25</v>
      </c>
      <c r="C56" s="6"/>
      <c r="D56" s="6"/>
      <c r="E56" s="16">
        <f>(C52+D53+E54)/F55</f>
        <v>0.38154613466334164</v>
      </c>
      <c r="F56" s="4"/>
    </row>
    <row r="57" spans="1:11" x14ac:dyDescent="0.45">
      <c r="A57" s="4"/>
      <c r="B57" s="5" t="s">
        <v>35</v>
      </c>
      <c r="C57" s="4"/>
      <c r="D57" s="4"/>
      <c r="E57" s="9">
        <f>(G55*F55-H55)/SQRT((F55^2-I55)*(F55^2-J55))</f>
        <v>-2.1815748385419175E-2</v>
      </c>
      <c r="F57" s="4"/>
    </row>
    <row r="60" spans="1:11" x14ac:dyDescent="0.45">
      <c r="A60" s="40" t="s">
        <v>31</v>
      </c>
      <c r="B60" s="40"/>
      <c r="C60" s="39" t="s">
        <v>23</v>
      </c>
      <c r="D60" s="39"/>
      <c r="E60" s="39"/>
      <c r="F60" s="1" t="s">
        <v>34</v>
      </c>
    </row>
    <row r="61" spans="1:11" x14ac:dyDescent="0.45">
      <c r="A61" s="40"/>
      <c r="B61" s="40"/>
      <c r="C61" s="13" t="s">
        <v>1</v>
      </c>
      <c r="D61" s="1" t="s">
        <v>2</v>
      </c>
      <c r="E61" s="1" t="s">
        <v>3</v>
      </c>
      <c r="F61" s="4"/>
    </row>
    <row r="62" spans="1:11" x14ac:dyDescent="0.45">
      <c r="A62" s="39" t="s">
        <v>24</v>
      </c>
      <c r="B62" s="11" t="s">
        <v>1</v>
      </c>
      <c r="C62" s="3">
        <f>CM_TRU3!B2</f>
        <v>0</v>
      </c>
      <c r="D62">
        <f>CM_TRU3!C2</f>
        <v>0</v>
      </c>
      <c r="E62">
        <f>CM_TRU3!D2</f>
        <v>0</v>
      </c>
      <c r="F62" s="6">
        <f>SUM(C62:E62)</f>
        <v>0</v>
      </c>
    </row>
    <row r="63" spans="1:11" x14ac:dyDescent="0.45">
      <c r="A63" s="39"/>
      <c r="B63" s="1" t="s">
        <v>2</v>
      </c>
      <c r="C63">
        <f>CM_TRU3!B3</f>
        <v>28</v>
      </c>
      <c r="D63" s="3">
        <f>CM_TRU3!C3</f>
        <v>93</v>
      </c>
      <c r="E63">
        <f>CM_TRU3!D3</f>
        <v>42</v>
      </c>
      <c r="F63" s="6">
        <f t="shared" ref="F63:F64" si="6">SUM(C63:E63)</f>
        <v>163</v>
      </c>
    </row>
    <row r="64" spans="1:11" x14ac:dyDescent="0.45">
      <c r="A64" s="39"/>
      <c r="B64" s="1" t="s">
        <v>3</v>
      </c>
      <c r="C64">
        <f>CM_TRU3!B4</f>
        <v>44</v>
      </c>
      <c r="D64">
        <f>CM_TRU3!C4</f>
        <v>123</v>
      </c>
      <c r="E64" s="3">
        <f>CM_TRU3!D4</f>
        <v>71</v>
      </c>
      <c r="F64" s="12">
        <f t="shared" si="6"/>
        <v>238</v>
      </c>
      <c r="G64" s="26" t="s">
        <v>36</v>
      </c>
      <c r="H64" s="26" t="s">
        <v>165</v>
      </c>
      <c r="I64" s="26" t="s">
        <v>163</v>
      </c>
      <c r="J64" s="26" t="s">
        <v>164</v>
      </c>
    </row>
    <row r="65" spans="1:11" x14ac:dyDescent="0.45">
      <c r="A65" s="2"/>
      <c r="B65" s="1" t="s">
        <v>34</v>
      </c>
      <c r="C65" s="6">
        <f>SUM(C62:C64)</f>
        <v>72</v>
      </c>
      <c r="D65" s="6">
        <f>SUM(D62:D64)</f>
        <v>216</v>
      </c>
      <c r="E65" s="14">
        <f>SUM(E62:E64)</f>
        <v>113</v>
      </c>
      <c r="F65" s="6">
        <f>SUM(C65:E65)</f>
        <v>401</v>
      </c>
      <c r="G65" s="8">
        <f>C62+D63+E64</f>
        <v>164</v>
      </c>
      <c r="H65" s="8">
        <f>(C65*F62)+(D65*F63)+(E65*F64)</f>
        <v>62102</v>
      </c>
      <c r="I65" s="8">
        <f>(C65^2)+(D65^2)+(E65^2)</f>
        <v>64609</v>
      </c>
      <c r="J65" s="8">
        <f>(F62^2)+(F63^2)+(F64^2)</f>
        <v>83213</v>
      </c>
      <c r="K65" s="10"/>
    </row>
    <row r="66" spans="1:11" x14ac:dyDescent="0.45">
      <c r="A66" s="4"/>
      <c r="B66" s="5" t="s">
        <v>25</v>
      </c>
      <c r="C66" s="6"/>
      <c r="D66" s="6"/>
      <c r="E66" s="16">
        <f>(C62+D63+E64)/F65</f>
        <v>0.40897755610972569</v>
      </c>
      <c r="F66" s="4"/>
    </row>
    <row r="67" spans="1:11" x14ac:dyDescent="0.45">
      <c r="A67" s="4"/>
      <c r="B67" s="5" t="s">
        <v>35</v>
      </c>
      <c r="C67" s="4"/>
      <c r="D67" s="4"/>
      <c r="E67" s="9">
        <f>(G65*F65-H65)/SQRT((F65^2-I65)*(F65^2-J65))</f>
        <v>4.2388845090714423E-2</v>
      </c>
      <c r="F67" s="4"/>
    </row>
    <row r="69" spans="1:11" x14ac:dyDescent="0.45">
      <c r="A69" s="40" t="s">
        <v>32</v>
      </c>
      <c r="B69" s="40"/>
      <c r="C69" s="39" t="s">
        <v>23</v>
      </c>
      <c r="D69" s="39"/>
      <c r="E69" s="39"/>
      <c r="F69" s="1" t="s">
        <v>34</v>
      </c>
    </row>
    <row r="70" spans="1:11" x14ac:dyDescent="0.45">
      <c r="A70" s="40"/>
      <c r="B70" s="40"/>
      <c r="C70" s="1" t="s">
        <v>1</v>
      </c>
      <c r="D70" s="1" t="s">
        <v>2</v>
      </c>
      <c r="E70" s="1" t="s">
        <v>3</v>
      </c>
      <c r="F70" s="4"/>
    </row>
    <row r="71" spans="1:11" x14ac:dyDescent="0.45">
      <c r="A71" s="39" t="s">
        <v>24</v>
      </c>
      <c r="B71" s="1" t="s">
        <v>1</v>
      </c>
      <c r="C71" s="3">
        <f>CM_TRU4!B2</f>
        <v>0</v>
      </c>
      <c r="D71" s="4">
        <f>CM_TRU4!C2</f>
        <v>22</v>
      </c>
      <c r="E71" s="4">
        <f>CM_TRU4!D2</f>
        <v>24</v>
      </c>
      <c r="F71" s="6">
        <f>SUM(C71:E71)</f>
        <v>46</v>
      </c>
    </row>
    <row r="72" spans="1:11" x14ac:dyDescent="0.45">
      <c r="A72" s="39"/>
      <c r="B72" s="1" t="s">
        <v>2</v>
      </c>
      <c r="C72" s="4">
        <f>CM_TRU4!B3</f>
        <v>0</v>
      </c>
      <c r="D72" s="3">
        <f>CM_TRU4!C3</f>
        <v>114</v>
      </c>
      <c r="E72" s="4">
        <f>CM_TRU4!D3</f>
        <v>120</v>
      </c>
      <c r="F72" s="6">
        <f t="shared" ref="F72:F73" si="7">SUM(C72:E72)</f>
        <v>234</v>
      </c>
    </row>
    <row r="73" spans="1:11" x14ac:dyDescent="0.45">
      <c r="A73" s="39"/>
      <c r="B73" s="1" t="s">
        <v>3</v>
      </c>
      <c r="C73" s="4">
        <f>CM_TRU4!B4</f>
        <v>0</v>
      </c>
      <c r="D73" s="4">
        <f>CM_TRU4!C4</f>
        <v>65</v>
      </c>
      <c r="E73" s="3">
        <f>CM_TRU4!D4</f>
        <v>56</v>
      </c>
      <c r="F73" s="6">
        <f t="shared" si="7"/>
        <v>121</v>
      </c>
      <c r="G73" s="26" t="s">
        <v>36</v>
      </c>
      <c r="H73" s="26" t="s">
        <v>165</v>
      </c>
      <c r="I73" s="26" t="s">
        <v>163</v>
      </c>
      <c r="J73" s="26" t="s">
        <v>164</v>
      </c>
    </row>
    <row r="74" spans="1:11" x14ac:dyDescent="0.45">
      <c r="A74" s="2"/>
      <c r="B74" s="1" t="s">
        <v>34</v>
      </c>
      <c r="C74" s="6">
        <f>SUM(C71:C73)</f>
        <v>0</v>
      </c>
      <c r="D74" s="6">
        <f>SUM(D71:D73)</f>
        <v>201</v>
      </c>
      <c r="E74" s="6">
        <f>SUM(E71:E73)</f>
        <v>200</v>
      </c>
      <c r="F74" s="6">
        <f>SUM(C74:E74)</f>
        <v>401</v>
      </c>
      <c r="G74" s="8">
        <f>C71+D72+E73</f>
        <v>170</v>
      </c>
      <c r="H74" s="8">
        <f>(C74*F71)+(D74*F72)+(E74*F73)</f>
        <v>71234</v>
      </c>
      <c r="I74" s="8">
        <f>(C74^2)+(D74^2)+(E74^2)</f>
        <v>80401</v>
      </c>
      <c r="J74" s="8">
        <f>(F71^2)+(F72^2)+(F73^2)</f>
        <v>71513</v>
      </c>
      <c r="K74" s="10"/>
    </row>
    <row r="75" spans="1:11" x14ac:dyDescent="0.45">
      <c r="A75" s="4"/>
      <c r="B75" s="5" t="s">
        <v>25</v>
      </c>
      <c r="C75" s="6"/>
      <c r="D75" s="6"/>
      <c r="E75" s="16">
        <f>(C71+D72+E73)/F74</f>
        <v>0.42394014962593518</v>
      </c>
      <c r="F75" s="4"/>
    </row>
    <row r="76" spans="1:11" x14ac:dyDescent="0.45">
      <c r="A76" s="4"/>
      <c r="B76" s="5" t="s">
        <v>35</v>
      </c>
      <c r="C76" s="4"/>
      <c r="D76" s="4"/>
      <c r="E76" s="9">
        <f>(G74*F74-H74)/SQRT((F74^2-I74)*(F74^2-J74))</f>
        <v>-3.6162978154189312E-2</v>
      </c>
      <c r="F76" s="4"/>
    </row>
    <row r="79" spans="1:11" x14ac:dyDescent="0.45">
      <c r="A79" s="40" t="s">
        <v>33</v>
      </c>
      <c r="B79" s="40"/>
      <c r="C79" s="39" t="s">
        <v>23</v>
      </c>
      <c r="D79" s="39"/>
      <c r="E79" s="39"/>
      <c r="F79" s="1" t="s">
        <v>34</v>
      </c>
    </row>
    <row r="80" spans="1:11" x14ac:dyDescent="0.45">
      <c r="A80" s="40"/>
      <c r="B80" s="40"/>
      <c r="C80" s="1" t="s">
        <v>1</v>
      </c>
      <c r="D80" s="1" t="s">
        <v>2</v>
      </c>
      <c r="E80" s="1" t="s">
        <v>3</v>
      </c>
      <c r="F80" s="4"/>
    </row>
    <row r="81" spans="1:11" x14ac:dyDescent="0.45">
      <c r="A81" s="39" t="s">
        <v>24</v>
      </c>
      <c r="B81" s="1" t="s">
        <v>1</v>
      </c>
      <c r="C81" s="7">
        <f>CM_OUT1!B2</f>
        <v>0</v>
      </c>
      <c r="D81">
        <f>CM_OUT1!C2</f>
        <v>0</v>
      </c>
      <c r="E81">
        <f>CM_OUT1!D2</f>
        <v>0</v>
      </c>
      <c r="F81" s="6">
        <f>SUM(C81:E81)</f>
        <v>0</v>
      </c>
    </row>
    <row r="82" spans="1:11" x14ac:dyDescent="0.45">
      <c r="A82" s="39"/>
      <c r="B82" s="1" t="s">
        <v>2</v>
      </c>
      <c r="C82">
        <f>CM_OUT1!B3</f>
        <v>2</v>
      </c>
      <c r="D82" s="7">
        <f>CM_OUT1!C3</f>
        <v>10</v>
      </c>
      <c r="E82">
        <f>CM_OUT1!D3</f>
        <v>8</v>
      </c>
      <c r="F82" s="6">
        <f t="shared" ref="F82:F83" si="8">SUM(C82:E82)</f>
        <v>20</v>
      </c>
    </row>
    <row r="83" spans="1:11" x14ac:dyDescent="0.45">
      <c r="A83" s="39"/>
      <c r="B83" s="1" t="s">
        <v>3</v>
      </c>
      <c r="C83">
        <f>CM_OUT1!B4</f>
        <v>33</v>
      </c>
      <c r="D83">
        <f>CM_OUT1!C4</f>
        <v>182</v>
      </c>
      <c r="E83" s="7">
        <f>CM_OUT1!D4</f>
        <v>165</v>
      </c>
      <c r="F83" s="6">
        <f t="shared" si="8"/>
        <v>380</v>
      </c>
      <c r="G83" s="26" t="s">
        <v>36</v>
      </c>
      <c r="H83" s="26" t="s">
        <v>165</v>
      </c>
      <c r="I83" s="26" t="s">
        <v>163</v>
      </c>
      <c r="J83" s="26" t="s">
        <v>164</v>
      </c>
    </row>
    <row r="84" spans="1:11" x14ac:dyDescent="0.45">
      <c r="A84" s="2"/>
      <c r="B84" s="1" t="s">
        <v>34</v>
      </c>
      <c r="C84" s="6">
        <f>SUM(C81:C83)</f>
        <v>35</v>
      </c>
      <c r="D84" s="6">
        <f>SUM(D81:D83)</f>
        <v>192</v>
      </c>
      <c r="E84" s="6">
        <f>SUM(E81:E83)</f>
        <v>173</v>
      </c>
      <c r="F84" s="6">
        <f>SUM(C84:E84)</f>
        <v>400</v>
      </c>
      <c r="G84" s="8">
        <f>C81+D82+E83</f>
        <v>175</v>
      </c>
      <c r="H84" s="8">
        <f>(C84*F81)+(D84*F82)+(E84*F83)</f>
        <v>69580</v>
      </c>
      <c r="I84" s="8">
        <f>(C84^2)+(D84^2)+(E84^2)</f>
        <v>68018</v>
      </c>
      <c r="J84" s="8">
        <f>(F81^2)+(F82^2)+(F83^2)</f>
        <v>144800</v>
      </c>
      <c r="K84" s="10"/>
    </row>
    <row r="85" spans="1:11" x14ac:dyDescent="0.45">
      <c r="A85" s="4"/>
      <c r="B85" s="5" t="s">
        <v>25</v>
      </c>
      <c r="C85" s="6"/>
      <c r="D85" s="6"/>
      <c r="E85" s="16">
        <f>(C81+D82+E83)/F84</f>
        <v>0.4375</v>
      </c>
      <c r="F85" s="4"/>
    </row>
    <row r="86" spans="1:11" x14ac:dyDescent="0.45">
      <c r="A86" s="4"/>
      <c r="B86" s="5" t="s">
        <v>35</v>
      </c>
      <c r="C86" s="4"/>
      <c r="D86" s="4"/>
      <c r="E86" s="9">
        <f>(G84*F84-H84)/SQRT((F84^2-I84)*(F84^2-J84))</f>
        <v>1.1232490817690528E-2</v>
      </c>
      <c r="F86" s="4"/>
    </row>
  </sheetData>
  <mergeCells count="27">
    <mergeCell ref="A52:A54"/>
    <mergeCell ref="A60:B61"/>
    <mergeCell ref="C60:E60"/>
    <mergeCell ref="A62:A64"/>
    <mergeCell ref="A69:B70"/>
    <mergeCell ref="C69:E69"/>
    <mergeCell ref="A1:B2"/>
    <mergeCell ref="C1:E1"/>
    <mergeCell ref="A3:A5"/>
    <mergeCell ref="A10:B11"/>
    <mergeCell ref="C10:E10"/>
    <mergeCell ref="A71:A73"/>
    <mergeCell ref="A79:B80"/>
    <mergeCell ref="C79:E79"/>
    <mergeCell ref="A81:A83"/>
    <mergeCell ref="A12:A14"/>
    <mergeCell ref="A20:B21"/>
    <mergeCell ref="C20:E20"/>
    <mergeCell ref="A22:A24"/>
    <mergeCell ref="A30:B31"/>
    <mergeCell ref="C30:E30"/>
    <mergeCell ref="A32:A34"/>
    <mergeCell ref="A40:B41"/>
    <mergeCell ref="C40:E40"/>
    <mergeCell ref="A42:A44"/>
    <mergeCell ref="A50:B51"/>
    <mergeCell ref="C50:E5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
  <sheetViews>
    <sheetView workbookViewId="0">
      <selection activeCell="D5" sqref="D5"/>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COUNTIFS(step3_combined_data!$T$2:$T$404,"Oppose", step3_combined_data!$R$2:$R$404,"Oppose")</f>
        <v>1</v>
      </c>
      <c r="C2" s="4">
        <f>COUNTIFS(step3_combined_data!$T$2:$T$404,"Neutral", step3_combined_data!$R$2:$R$404,"Oppose")</f>
        <v>1</v>
      </c>
      <c r="D2" s="4">
        <f>COUNTIFS(step3_combined_data!$T$2:$T$404,"Support", step3_combined_data!$R$2:$R$404,"Oppose")</f>
        <v>4</v>
      </c>
    </row>
    <row r="3" spans="1:4" x14ac:dyDescent="0.45">
      <c r="A3" s="1" t="s">
        <v>2</v>
      </c>
      <c r="B3" s="4">
        <f>COUNTIFS(step3_combined_data!$T$2:$T$404,"Oppose", step3_combined_data!$R$2:$R$404,"Neutral")</f>
        <v>35</v>
      </c>
      <c r="C3" s="4">
        <f>COUNTIFS(step3_combined_data!$T$2:$T$404,"Neutral", step3_combined_data!$R$2:$R$404,"Neutral")</f>
        <v>118</v>
      </c>
      <c r="D3" s="4">
        <f>COUNTIFS(step3_combined_data!$T$2:$T$404,"Support", step3_combined_data!$R$2:$R$404,"Neutral")</f>
        <v>116</v>
      </c>
    </row>
    <row r="4" spans="1:4" x14ac:dyDescent="0.45">
      <c r="A4" s="1" t="s">
        <v>3</v>
      </c>
      <c r="B4" s="4">
        <f>COUNTIFS(step3_combined_data!$T$2:$T$404,"Oppose", step3_combined_data!$R$2:$R$404,"Support")</f>
        <v>19</v>
      </c>
      <c r="C4" s="4">
        <f>COUNTIFS(step3_combined_data!$T$2:$T$404,"Neutral", step3_combined_data!$R$2:$R$404,"Support")</f>
        <v>61</v>
      </c>
      <c r="D4" s="4">
        <f>COUNTIFS(step3_combined_data!$T$2:$T$404,"Support", step3_combined_data!$R$2:$R$404,"Support")</f>
        <v>48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
  <sheetViews>
    <sheetView workbookViewId="0">
      <selection activeCell="E2" sqref="E2"/>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COUNTIFS(step3_combined_data!$Y$2:$Y$404,"Oppose", step3_combined_data!$W$2:$W$404,"Oppose")</f>
        <v>0</v>
      </c>
      <c r="C2" s="4">
        <f>COUNTIFS(step3_combined_data!$Y$2:$Y$404,"Neutral", step3_combined_data!$W$2:$W$404,"Oppose")</f>
        <v>0</v>
      </c>
      <c r="D2" s="4">
        <f>COUNTIFS(step3_combined_data!$Y$2:$Y$404,"Support", step3_combined_data!$W$2:$W$404,"Oppose")</f>
        <v>2</v>
      </c>
    </row>
    <row r="3" spans="1:4" x14ac:dyDescent="0.45">
      <c r="A3" s="1" t="s">
        <v>2</v>
      </c>
      <c r="B3" s="4">
        <f>COUNTIFS(step3_combined_data!$Y$2:$Y$404,"Oppose", step3_combined_data!$W$2:$W$404,"Neutral")</f>
        <v>24</v>
      </c>
      <c r="C3" s="4">
        <f>COUNTIFS(step3_combined_data!$Y$2:$Y$404,"Neutral", step3_combined_data!$W$2:$W$404,"Neutral")</f>
        <v>80</v>
      </c>
      <c r="D3" s="4">
        <f>COUNTIFS(step3_combined_data!$Y$2:$Y$404,"Support", step3_combined_data!$W$2:$W$404,"Neutral")</f>
        <v>100</v>
      </c>
    </row>
    <row r="4" spans="1:4" x14ac:dyDescent="0.45">
      <c r="A4" s="1" t="s">
        <v>3</v>
      </c>
      <c r="B4" s="4">
        <f>COUNTIFS(step3_combined_data!$Y$2:$Y$404,"Oppose", step3_combined_data!$W$2:$W$404,"Support")</f>
        <v>21</v>
      </c>
      <c r="C4" s="4">
        <f>COUNTIFS(step3_combined_data!$Y$2:$Y$404,"Neutral", step3_combined_data!$W$2:$W$404,"Support")</f>
        <v>86</v>
      </c>
      <c r="D4" s="4">
        <f>COUNTIFS(step3_combined_data!$Y$2:$Y$404,"Support", step3_combined_data!$W$2:$W$404,"Support")</f>
        <v>90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
  <sheetViews>
    <sheetView workbookViewId="0">
      <selection activeCell="B2" sqref="B2:D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COUNTIFS(step3_combined_data!$AD$2:$AD$404,"Oppose", step3_combined_data!$AB$2:$AB$404,"Oppose")</f>
        <v>0</v>
      </c>
      <c r="C2" s="4">
        <f>COUNTIFS(step3_combined_data!$AD$2:$AD$404,"Neutral", step3_combined_data!$AB$2:$AB$404,"Oppose")</f>
        <v>0</v>
      </c>
      <c r="D2" s="4">
        <f>COUNTIFS(step3_combined_data!$AD$2:$AD$404,"Support", step3_combined_data!$AB$2:$AB$404,"Oppose")</f>
        <v>0</v>
      </c>
    </row>
    <row r="3" spans="1:4" x14ac:dyDescent="0.45">
      <c r="A3" s="1" t="s">
        <v>2</v>
      </c>
      <c r="B3" s="4">
        <f>COUNTIFS(step3_combined_data!$AD$2:$AD$404,"Oppose", step3_combined_data!$AB$2:$AB$404,"Neutral")</f>
        <v>12</v>
      </c>
      <c r="C3" s="4">
        <f>COUNTIFS(step3_combined_data!$AD$2:$AD$404,"Neutral", step3_combined_data!$AB$2:$AB$404,"Neutral")</f>
        <v>34</v>
      </c>
      <c r="D3" s="4">
        <f>COUNTIFS(step3_combined_data!$AD$2:$AD$404,"Support", step3_combined_data!$AB$2:$AB$404,"Neutral")</f>
        <v>33</v>
      </c>
    </row>
    <row r="4" spans="1:4" x14ac:dyDescent="0.45">
      <c r="A4" s="1" t="s">
        <v>3</v>
      </c>
      <c r="B4" s="4">
        <f>COUNTIFS(step3_combined_data!$AD$2:$AD$404,"Oppose", step3_combined_data!$AB$2:$AB$404,"Support")</f>
        <v>71</v>
      </c>
      <c r="C4" s="4">
        <f>COUNTIFS(step3_combined_data!$AD$2:$AD$404,"Neutral", step3_combined_data!$AB$2:$AB$404,"Support")</f>
        <v>143</v>
      </c>
      <c r="D4" s="4">
        <f>COUNTIFS(step3_combined_data!$AD$2:$AD$404,"Support", step3_combined_data!$AB$2:$AB$404,"Support")</f>
        <v>110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
  <sheetViews>
    <sheetView workbookViewId="0">
      <selection activeCell="B2" sqref="B2:D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COUNTIFS(step3_combined_data!$AI$2:$AI$404,"Oppose", step3_combined_data!$AG$2:$AG$404,"Oppose")</f>
        <v>0</v>
      </c>
      <c r="C2" s="4">
        <f>COUNTIFS(step3_combined_data!$AI$2:$AI$404,"Neutral", step3_combined_data!$AG$2:$AG$404,"Oppose")</f>
        <v>0</v>
      </c>
      <c r="D2" s="4">
        <f>COUNTIFS(step3_combined_data!$AI$2:$AI$404,"Support", step3_combined_data!$AG$2:$AG$404,"Oppose")</f>
        <v>0</v>
      </c>
    </row>
    <row r="3" spans="1:4" x14ac:dyDescent="0.45">
      <c r="A3" s="1" t="s">
        <v>2</v>
      </c>
      <c r="B3" s="4">
        <f>COUNTIFS(step3_combined_data!$AI$2:$AI$404,"Oppose", step3_combined_data!$AG$2:$AG$404,"Neutral")</f>
        <v>2</v>
      </c>
      <c r="C3" s="4">
        <f>COUNTIFS(step3_combined_data!$AI$2:$AI$404,"Neutral", step3_combined_data!$AG$2:$AG$404,"Neutral")</f>
        <v>9</v>
      </c>
      <c r="D3" s="4">
        <f>COUNTIFS(step3_combined_data!$AI$2:$AI$404,"Support", step3_combined_data!$AG$2:$AG$404,"Neutral")</f>
        <v>8</v>
      </c>
    </row>
    <row r="4" spans="1:4" x14ac:dyDescent="0.45">
      <c r="A4" s="1" t="s">
        <v>3</v>
      </c>
      <c r="B4" s="4">
        <f>COUNTIFS(step3_combined_data!$AI$2:$AI$404,"Oppose", step3_combined_data!$AG$2:$AG$404,"Support")</f>
        <v>19</v>
      </c>
      <c r="C4" s="4">
        <f>COUNTIFS(step3_combined_data!$AI$2:$AI$404,"Neutral", step3_combined_data!$AG$2:$AG$404,"Support")</f>
        <v>176</v>
      </c>
      <c r="D4" s="4">
        <f>COUNTIFS(step3_combined_data!$AI$2:$AI$404,"Support", step3_combined_data!$AG$2:$AG$404,"Support")</f>
        <v>189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COUNTIFS(step3_combined_data!$AN$2:$AN$404,"Oppose", step3_combined_data!$AL$2:$AL$404,"Oppose")</f>
        <v>0</v>
      </c>
      <c r="C2" s="4">
        <f>COUNTIFS(step3_combined_data!$AN$2:$AN$404,"Neutral", step3_combined_data!$AL$2:$AL$404,"Oppose")</f>
        <v>0</v>
      </c>
      <c r="D2" s="4">
        <f>COUNTIFS(step3_combined_data!$AN$2:$AN$404,"Support", step3_combined_data!$AL$2:$AL$404,"Oppose")</f>
        <v>1</v>
      </c>
    </row>
    <row r="3" spans="1:4" x14ac:dyDescent="0.45">
      <c r="A3" s="1" t="s">
        <v>2</v>
      </c>
      <c r="B3" s="4">
        <f>COUNTIFS(step3_combined_data!$AN$2:$AN$404,"Oppose", step3_combined_data!$AL$2:$AL$404,"Neutral")</f>
        <v>23</v>
      </c>
      <c r="C3" s="4">
        <f>COUNTIFS(step3_combined_data!$AN$2:$AN$404,"Neutral", step3_combined_data!$AL$2:$AL$404,"Neutral")</f>
        <v>96</v>
      </c>
      <c r="D3" s="4">
        <f>COUNTIFS(step3_combined_data!$AN$2:$AN$404,"Support", step3_combined_data!$AL$2:$AL$404,"Neutral")</f>
        <v>54</v>
      </c>
    </row>
    <row r="4" spans="1:4" x14ac:dyDescent="0.45">
      <c r="A4" s="1" t="s">
        <v>3</v>
      </c>
      <c r="B4" s="4">
        <f>COUNTIFS(step3_combined_data!$AN$2:$AN$404,"Oppose", step3_combined_data!$AL$2:$AL$404,"Support")</f>
        <v>34</v>
      </c>
      <c r="C4" s="4">
        <f>COUNTIFS(step3_combined_data!$AN$2:$AN$404,"Neutral", step3_combined_data!$AL$2:$AL$404,"Support")</f>
        <v>121</v>
      </c>
      <c r="D4" s="4">
        <f>COUNTIFS(step3_combined_data!$AN$2:$AN$404,"Support", step3_combined_data!$AL$2:$AL$404,"Support")</f>
        <v>72</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COUNTIFS(step3_combined_data!$AS$2:$AS$404,"Oppose", step3_combined_data!$AQ$2:$AQ$404,"Oppose")</f>
        <v>0</v>
      </c>
      <c r="C2" s="4">
        <f>COUNTIFS(step3_combined_data!$AS$2:$AS$404,"Neutral", step3_combined_data!$AQ$2:$AQ$404,"Oppose")</f>
        <v>0</v>
      </c>
      <c r="D2" s="4">
        <f>COUNTIFS(step3_combined_data!$AS$2:$AS$404,"Support", step3_combined_data!$AQ$2:$AQ$404,"Oppose")</f>
        <v>0</v>
      </c>
    </row>
    <row r="3" spans="1:4" x14ac:dyDescent="0.45">
      <c r="A3" s="1" t="s">
        <v>2</v>
      </c>
      <c r="B3" s="4">
        <f>COUNTIFS(step3_combined_data!$AS$2:$AS$404,"Oppose", step3_combined_data!$AQ$2:$AQ$404,"Neutral")</f>
        <v>1</v>
      </c>
      <c r="C3" s="4">
        <f>COUNTIFS(step3_combined_data!$AS$2:$AS$404,"Neutral", step3_combined_data!$AQ$2:$AQ$404,"Neutral")</f>
        <v>7</v>
      </c>
      <c r="D3" s="4">
        <f>COUNTIFS(step3_combined_data!$AS$2:$AS$404,"Support", step3_combined_data!$AQ$2:$AQ$404,"Neutral")</f>
        <v>8</v>
      </c>
    </row>
    <row r="4" spans="1:4" x14ac:dyDescent="0.45">
      <c r="A4" s="1" t="s">
        <v>3</v>
      </c>
      <c r="B4" s="4">
        <f>COUNTIFS(step3_combined_data!$AS$2:$AS$404,"Oppose", step3_combined_data!$AQ$2:$AQ$404,"Support")</f>
        <v>69</v>
      </c>
      <c r="C4" s="4">
        <f>COUNTIFS(step3_combined_data!$AS$2:$AS$404,"Neutral", step3_combined_data!$AQ$2:$AQ$404,"Support")</f>
        <v>170</v>
      </c>
      <c r="D4" s="4">
        <f>COUNTIFS(step3_combined_data!$AS$2:$AS$404,"Support", step3_combined_data!$AQ$2:$AQ$404,"Support")</f>
        <v>146</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COUNTIFS(step3_combined_data!$AX$2:$AX$404,"Oppose", step3_combined_data!$AV$2:$AV$404,"Oppose")</f>
        <v>0</v>
      </c>
      <c r="C2" s="4">
        <f>COUNTIFS(step3_combined_data!$AX$2:$AX$404,"Neutral", step3_combined_data!$AV$2:$AV$404,"Oppose")</f>
        <v>0</v>
      </c>
      <c r="D2" s="4">
        <f>COUNTIFS(step3_combined_data!$AX$2:$AX$404,"Support", step3_combined_data!$AV$2:$AV$404,"Oppose")</f>
        <v>0</v>
      </c>
    </row>
    <row r="3" spans="1:4" x14ac:dyDescent="0.45">
      <c r="A3" s="1" t="s">
        <v>2</v>
      </c>
      <c r="B3" s="4">
        <f>COUNTIFS(step3_combined_data!$AX$2:$AX$404,"Oppose", step3_combined_data!$AV$2:$AV$404,"Neutral")</f>
        <v>28</v>
      </c>
      <c r="C3" s="4">
        <f>COUNTIFS(step3_combined_data!$AX$2:$AX$404,"Neutral", step3_combined_data!$AV$2:$AV$404,"Neutral")</f>
        <v>93</v>
      </c>
      <c r="D3" s="4">
        <f>COUNTIFS(step3_combined_data!$AX$2:$AX$404,"Support", step3_combined_data!$AV$2:$AV$404,"Neutral")</f>
        <v>42</v>
      </c>
    </row>
    <row r="4" spans="1:4" x14ac:dyDescent="0.45">
      <c r="A4" s="1" t="s">
        <v>3</v>
      </c>
      <c r="B4" s="4">
        <f>COUNTIFS(step3_combined_data!$AX$2:$AX$404,"Oppose", step3_combined_data!$AV$2:$AV$404,"Support")</f>
        <v>44</v>
      </c>
      <c r="C4" s="4">
        <f>COUNTIFS(step3_combined_data!$AX$2:$AX$404,"Neutral", step3_combined_data!$AV$2:$AV$404,"Support")</f>
        <v>123</v>
      </c>
      <c r="D4" s="4">
        <f>COUNTIFS(step3_combined_data!$AX$2:$AX$404,"Support", step3_combined_data!$AV$2:$AV$404,"Support")</f>
        <v>71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COUNTIFS(step3_combined_data!$BA$2:$BA$404,"Oppose", step3_combined_data!$BC$2:$BC$404,"Oppose")</f>
        <v>0</v>
      </c>
      <c r="C2" s="4">
        <f>COUNTIFS(step3_combined_data!$BA$2:$BA$404,"Neutral", step3_combined_data!$BC$2:$BC$404,"Oppose")</f>
        <v>22</v>
      </c>
      <c r="D2" s="4">
        <f>COUNTIFS(step3_combined_data!$BA$2:$BA$404,"Support", step3_combined_data!$BC$2:$BC$404,"Oppose")</f>
        <v>24</v>
      </c>
    </row>
    <row r="3" spans="1:4" x14ac:dyDescent="0.45">
      <c r="A3" s="1" t="s">
        <v>2</v>
      </c>
      <c r="B3" s="4">
        <f>COUNTIFS(step3_combined_data!$BA$2:$BA$404,"Oppose", step3_combined_data!$BC$2:$BC$404,"Neutral")</f>
        <v>0</v>
      </c>
      <c r="C3" s="4">
        <f>COUNTIFS(step3_combined_data!$BA$2:$BA$404,"Neutral", step3_combined_data!$BC$2:$BC$404,"Neutral")</f>
        <v>114</v>
      </c>
      <c r="D3" s="4">
        <f>COUNTIFS(step3_combined_data!$BA$2:$BA$404,"Support", step3_combined_data!$BC$2:$BC$404,"Neutral")</f>
        <v>120</v>
      </c>
    </row>
    <row r="4" spans="1:4" x14ac:dyDescent="0.45">
      <c r="A4" s="1" t="s">
        <v>3</v>
      </c>
      <c r="B4" s="4">
        <f>COUNTIFS(step3_combined_data!$BA$2:$BA$404,"Oppose", step3_combined_data!$BC$2:$BC$404,"Support")</f>
        <v>0</v>
      </c>
      <c r="C4" s="4">
        <f>COUNTIFS(step3_combined_data!$BA$2:$BA$404,"Neutral", step3_combined_data!$BC$2:$BC$404,"Support")</f>
        <v>65</v>
      </c>
      <c r="D4" s="4">
        <f>COUNTIFS(step3_combined_data!$BA$2:$BA$404,"Support", step3_combined_data!$BC$2:$BC$404,"Support")</f>
        <v>56</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COUNTIFS(step3_combined_data!$BH$2:$BH$404,"Oppose", step3_combined_data!$BF$2:$BF$404,"Oppose")</f>
        <v>0</v>
      </c>
      <c r="C2" s="4">
        <f>COUNTIFS(step3_combined_data!$BH$2:$BH$404,"Neutral", step3_combined_data!$BF$2:$BF$404,"Oppose")</f>
        <v>0</v>
      </c>
      <c r="D2" s="4">
        <f>COUNTIFS(step3_combined_data!$BH$2:$BH$404,"Support", step3_combined_data!$BF$2:$BF$404,"Oppose")</f>
        <v>0</v>
      </c>
    </row>
    <row r="3" spans="1:4" x14ac:dyDescent="0.45">
      <c r="A3" s="1" t="s">
        <v>2</v>
      </c>
      <c r="B3" s="4">
        <f>COUNTIFS(step3_combined_data!$BH$2:$BH$404,"Oppose", step3_combined_data!$BF$2:$BF$404,"Neutral")</f>
        <v>2</v>
      </c>
      <c r="C3" s="4">
        <f>COUNTIFS(step3_combined_data!$BH$2:$BH$404,"Neutral", step3_combined_data!$BF$2:$BF$404,"Neutral")</f>
        <v>10</v>
      </c>
      <c r="D3" s="4">
        <f>COUNTIFS(step3_combined_data!$BH$2:$BH$404,"Support", step3_combined_data!$BF$2:$BF$404,"Neutral")</f>
        <v>8</v>
      </c>
    </row>
    <row r="4" spans="1:4" x14ac:dyDescent="0.45">
      <c r="A4" s="1" t="s">
        <v>3</v>
      </c>
      <c r="B4" s="4">
        <f>COUNTIFS(step3_combined_data!$BH$2:$BH$404,"Oppose", step3_combined_data!$BF$2:$BF$404,"Support")</f>
        <v>33</v>
      </c>
      <c r="C4" s="4">
        <f>COUNTIFS(step3_combined_data!$BH$2:$BH$404,"Neutral", step3_combined_data!$BF$2:$BF$404,"Support")</f>
        <v>182</v>
      </c>
      <c r="D4" s="4">
        <f>COUNTIFS(step3_combined_data!$BH$2:$BH$404,"Support", step3_combined_data!$BF$2:$BF$404,"Support")</f>
        <v>165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81ACCC-8CB7-4DA7-B1DC-559BBAE4661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step3_validation</vt:lpstr>
      <vt:lpstr>survey_responses</vt:lpstr>
      <vt:lpstr>step3_combined_data</vt:lpstr>
      <vt:lpstr>AIx</vt:lpstr>
      <vt:lpstr>Insights</vt:lpstr>
      <vt:lpstr>EMD</vt:lpstr>
      <vt:lpstr>SUMMARY_REPORT</vt:lpstr>
      <vt:lpstr>CM_REPORT</vt:lpstr>
      <vt:lpstr>CM_ENF1</vt:lpstr>
      <vt:lpstr>CM_ENF2</vt:lpstr>
      <vt:lpstr>CM_FAC1</vt:lpstr>
      <vt:lpstr>CM_FAC2</vt:lpstr>
      <vt:lpstr>CM_TRU1</vt:lpstr>
      <vt:lpstr>CM_TRU2</vt:lpstr>
      <vt:lpstr>CM_TRU3</vt:lpstr>
      <vt:lpstr>CM_TRU4</vt:lpstr>
      <vt:lpstr>CM_OUT1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MPP26-170LM Pham Binh Phuong Duy</cp:lastModifiedBy>
  <dcterms:created xsi:type="dcterms:W3CDTF">2026-01-02T17:02:25Z</dcterms:created>
  <dcterms:modified xsi:type="dcterms:W3CDTF">2026-02-03T08:21:31Z</dcterms:modified>
</cp:coreProperties>
</file>